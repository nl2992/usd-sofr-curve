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S490_Snapshot" sheetId="6" state="visible" r:id="rId6"/>
    <sheet xmlns:r="http://schemas.openxmlformats.org/officeDocument/2006/relationships" name="Bootstrap" sheetId="7" state="visible" r:id="rId7"/>
    <sheet xmlns:r="http://schemas.openxmlformats.org/officeDocument/2006/relationships" name="Curve_Solver" sheetId="8" state="hidden" r:id="rId8"/>
    <sheet xmlns:r="http://schemas.openxmlformats.org/officeDocument/2006/relationships" name="Fwd_Interp" sheetId="9" state="visible" r:id="rId9"/>
    <sheet xmlns:r="http://schemas.openxmlformats.org/officeDocument/2006/relationships" name="Curve_Interface" sheetId="10" state="visible" r:id="rId10"/>
    <sheet xmlns:r="http://schemas.openxmlformats.org/officeDocument/2006/relationships" name="Swap_Pricer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harts" sheetId="13" state="visible" r:id="rId13"/>
    <sheet xmlns:r="http://schemas.openxmlformats.org/officeDocument/2006/relationships" name="CDS_Parameters" sheetId="14" state="visible" r:id="rId14"/>
    <sheet xmlns:r="http://schemas.openxmlformats.org/officeDocument/2006/relationships" name="CDS_Quotes" sheetId="15" state="visible" r:id="rId15"/>
    <sheet xmlns:r="http://schemas.openxmlformats.org/officeDocument/2006/relationships" name="Hazard_Bootstrap" sheetId="16" state="visible" r:id="rId16"/>
    <sheet xmlns:r="http://schemas.openxmlformats.org/officeDocument/2006/relationships" name="Hazard_Solver" sheetId="17" state="hidden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  <c r="N2" s="65" t="inlineStr">
        <is>
          <t>Paste the export's Bid/Ask into N:O. Q/R/S show BDP minus export in bp. Mixed signs of a few tenths = the two were captured at different moments and the rates ticked. A consistent shift across all 32 = wrong pricing source, field or ticker, and needs fixing. Only column S matters for the curve: H is (PX_BID+PX_ASK)/2 and is the sole input the bootstrap reads.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Maturity dates are modified-following business-day adjusted, matching S490 and the Bootstrap sheet. Display only - the curve reads column H (mid) alone.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This sheet holds 301 of the workbook's 434 Bloomberg requests and NOTHING reads it - its only consumer was the deleted Bootstrap_Lehman. Left on, it hammers the terminal and fills the sheet with errors for no benefit. Set to Yes to re-enable; the formulas are preserved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THE single place to update the comparison. Market Rate feeds SOFR_OIS_Quotes!J (the input); Zero/Discount feed Bootstrap!T:U and Bloomberg_S490_Validation!G (the target). Change it here only.</t>
        </is>
      </c>
    </row>
    <row r="4">
      <c r="A4" s="65" t="inlineStr">
        <is>
          <t>Matched pair: Market Rate equals the mid of the curve export's bid/ask (1W: (3.634854+3.651146)/2 = 3.643000), so input and output are the same instant. Only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3.6376</v>
      </c>
      <c r="D7" s="85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85" t="n">
        <v>3.6733</v>
      </c>
      <c r="D8" s="85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85" t="n">
        <v>3.68739</v>
      </c>
      <c r="D9" s="85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3.69655</v>
      </c>
      <c r="D10" s="85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85" t="n">
        <v>3.72255</v>
      </c>
      <c r="D11" s="85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3.77525</v>
      </c>
      <c r="D12" s="85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3.82085</v>
      </c>
      <c r="D13" s="85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85" t="n">
        <v>3.8622</v>
      </c>
      <c r="D14" s="85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85" t="n">
        <v>3.908</v>
      </c>
      <c r="D15" s="85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85" t="n">
        <v>3.9415</v>
      </c>
      <c r="D16" s="85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85" t="n">
        <v>3.96975</v>
      </c>
      <c r="D17" s="85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85" t="n">
        <v>4.0007</v>
      </c>
      <c r="D18" s="85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85" t="n">
        <v>4.02865</v>
      </c>
      <c r="D19" s="85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85" t="n">
        <v>4.0523</v>
      </c>
      <c r="D20" s="85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85" t="n">
        <v>4.07315</v>
      </c>
      <c r="D21" s="85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85" t="n">
        <v>4.0909</v>
      </c>
      <c r="D22" s="85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85" t="n">
        <v>4.09656</v>
      </c>
      <c r="D23" s="85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85" t="n">
        <v>4.07655</v>
      </c>
      <c r="D24" s="85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85" t="n">
        <v>4.06655</v>
      </c>
      <c r="D25" s="85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85" t="n">
        <v>4.0715</v>
      </c>
      <c r="D26" s="85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85" t="n">
        <v>4.0891</v>
      </c>
      <c r="D27" s="85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85" t="n">
        <v>4.1126</v>
      </c>
      <c r="D28" s="85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85" t="n">
        <v>4.13925</v>
      </c>
      <c r="D29" s="85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85" t="n">
        <v>4.1687</v>
      </c>
      <c r="D30" s="85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85" t="n">
        <v>4.19995</v>
      </c>
      <c r="D31" s="85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85" t="n">
        <v>4.264</v>
      </c>
      <c r="D32" s="85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85" t="n">
        <v>4.34865</v>
      </c>
      <c r="D33" s="85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85" t="n">
        <v>4.41995</v>
      </c>
      <c r="D34" s="85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85" t="n">
        <v>4.41615</v>
      </c>
      <c r="D35" s="85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85" t="n">
        <v>4.37685</v>
      </c>
      <c r="D36" s="85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85" t="n">
        <v>4.25755</v>
      </c>
      <c r="D37" s="85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85" t="n">
        <v>4.12427</v>
      </c>
      <c r="D38" s="85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5" t="inlineStr">
        <is>
          <t>S490 targets now live on the S490_Snapshot sheet - this block was a duplicate copy and has been cleared.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N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IF(MONTH((EDATE($B$8,12*A36)+IF(WEEKDAY(EDATE($B$8,12*A36),2)=6,2,IF(WEEKDAY(EDATE($B$8,12*A36),2)=7,1,0))))&lt;&gt;MONTH(EDATE($B$8,12*A36)),(EDATE($B$8,12*A36)-IF(WEEKDAY(EDATE($B$8,12*A36),2)=6,1,IF(WEEKDAY(EDATE($B$8,12*A36),2)=7,2,0))),(EDATE($B$8,12*A36)+IF(WEEKDAY(EDATE($B$8,12*A36),2)=6,2,IF(WEEKDAY(EDATE($B$8,12*A36),2)=7,1,0)))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IF(MONTH((EDATE($B$8,12*A37)+IF(WEEKDAY(EDATE($B$8,12*A37),2)=6,2,IF(WEEKDAY(EDATE($B$8,12*A37),2)=7,1,0))))&lt;&gt;MONTH(EDATE($B$8,12*A37)),(EDATE($B$8,12*A37)-IF(WEEKDAY(EDATE($B$8,12*A37),2)=6,1,IF(WEEKDAY(EDATE($B$8,12*A37),2)=7,2,0))),(EDATE($B$8,12*A37)+IF(WEEKDAY(EDATE($B$8,12*A37),2)=6,2,IF(WEEKDAY(EDATE($B$8,12*A37),2)=7,1,0)))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IF(MONTH((EDATE($B$8,12*A38)+IF(WEEKDAY(EDATE($B$8,12*A38),2)=6,2,IF(WEEKDAY(EDATE($B$8,12*A38),2)=7,1,0))))&lt;&gt;MONTH(EDATE($B$8,12*A38)),(EDATE($B$8,12*A38)-IF(WEEKDAY(EDATE($B$8,12*A38),2)=6,1,IF(WEEKDAY(EDATE($B$8,12*A38),2)=7,2,0))),(EDATE($B$8,12*A38)+IF(WEEKDAY(EDATE($B$8,12*A38),2)=6,2,IF(WEEKDAY(EDATE($B$8,12*A38),2)=7,1,0)))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IF(MONTH((EDATE($B$8,12*A39)+IF(WEEKDAY(EDATE($B$8,12*A39),2)=6,2,IF(WEEKDAY(EDATE($B$8,12*A39),2)=7,1,0))))&lt;&gt;MONTH(EDATE($B$8,12*A39)),(EDATE($B$8,12*A39)-IF(WEEKDAY(EDATE($B$8,12*A39),2)=6,1,IF(WEEKDAY(EDATE($B$8,12*A39),2)=7,2,0))),(EDATE($B$8,12*A39)+IF(WEEKDAY(EDATE($B$8,12*A39),2)=6,2,IF(WEEKDAY(EDATE($B$8,12*A39),2)=7,1,0)))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8">
        <f>IF(A40&lt;=$B$9,IF(MONTH((EDATE($B$8,12*A40)+IF(WEEKDAY(EDATE($B$8,12*A40),2)=6,2,IF(WEEKDAY(EDATE($B$8,12*A40),2)=7,1,0))))&lt;&gt;MONTH(EDATE($B$8,12*A40)),(EDATE($B$8,12*A40)-IF(WEEKDAY(EDATE($B$8,12*A40),2)=6,1,IF(WEEKDAY(EDATE($B$8,12*A40),2)=7,2,0))),(EDATE($B$8,12*A40)+IF(WEEKDAY(EDATE($B$8,12*A40),2)=6,2,IF(WEEKDAY(EDATE($B$8,12*A40),2)=7,1,0)))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8">
        <f>IF(A41&lt;=$B$9,IF(MONTH((EDATE($B$8,12*A41)+IF(WEEKDAY(EDATE($B$8,12*A41),2)=6,2,IF(WEEKDAY(EDATE($B$8,12*A41),2)=7,1,0))))&lt;&gt;MONTH(EDATE($B$8,12*A41)),(EDATE($B$8,12*A41)-IF(WEEKDAY(EDATE($B$8,12*A41),2)=6,1,IF(WEEKDAY(EDATE($B$8,12*A41),2)=7,2,0))),(EDATE($B$8,12*A41)+IF(WEEKDAY(EDATE($B$8,12*A41),2)=6,2,IF(WEEKDAY(EDATE($B$8,12*A41),2)=7,1,0)))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IF(MONTH((EDATE($B$8,12*A42)+IF(WEEKDAY(EDATE($B$8,12*A42),2)=6,2,IF(WEEKDAY(EDATE($B$8,12*A42),2)=7,1,0))))&lt;&gt;MONTH(EDATE($B$8,12*A42)),(EDATE($B$8,12*A42)-IF(WEEKDAY(EDATE($B$8,12*A42),2)=6,1,IF(WEEKDAY(EDATE($B$8,12*A42),2)=7,2,0))),(EDATE($B$8,12*A42)+IF(WEEKDAY(EDATE($B$8,12*A42),2)=6,2,IF(WEEKDAY(EDATE($B$8,12*A42),2)=7,1,0)))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IF(MONTH((EDATE($B$8,12*A43)+IF(WEEKDAY(EDATE($B$8,12*A43),2)=6,2,IF(WEEKDAY(EDATE($B$8,12*A43),2)=7,1,0))))&lt;&gt;MONTH(EDATE($B$8,12*A43)),(EDATE($B$8,12*A43)-IF(WEEKDAY(EDATE($B$8,12*A43),2)=6,1,IF(WEEKDAY(EDATE($B$8,12*A43),2)=7,2,0))),(EDATE($B$8,12*A43)+IF(WEEKDAY(EDATE($B$8,12*A43),2)=6,2,IF(WEEKDAY(EDATE($B$8,12*A43),2)=7,1,0)))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IF(MONTH((EDATE($B$8,12*A44)+IF(WEEKDAY(EDATE($B$8,12*A44),2)=6,2,IF(WEEKDAY(EDATE($B$8,12*A44),2)=7,1,0))))&lt;&gt;MONTH(EDATE($B$8,12*A44)),(EDATE($B$8,12*A44)-IF(WEEKDAY(EDATE($B$8,12*A44),2)=6,1,IF(WEEKDAY(EDATE($B$8,12*A44),2)=7,2,0))),(EDATE($B$8,12*A44)+IF(WEEKDAY(EDATE($B$8,12*A44),2)=6,2,IF(WEEKDAY(EDATE($B$8,12*A44),2)=7,1,0)))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IF(MONTH((EDATE($B$8,12*A45)+IF(WEEKDAY(EDATE($B$8,12*A45),2)=6,2,IF(WEEKDAY(EDATE($B$8,12*A45),2)=7,1,0))))&lt;&gt;MONTH(EDATE($B$8,12*A45)),(EDATE($B$8,12*A45)-IF(WEEKDAY(EDATE($B$8,12*A45),2)=6,1,IF(WEEKDAY(EDATE($B$8,12*A45),2)=7,2,0))),(EDATE($B$8,12*A45)+IF(WEEKDAY(EDATE($B$8,12*A45),2)=6,2,IF(WEEKDAY(EDATE($B$8,12*A45),2)=7,1,0)))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IF(MONTH((EDATE($B$8,12*A46)+IF(WEEKDAY(EDATE($B$8,12*A46),2)=6,2,IF(WEEKDAY(EDATE($B$8,12*A46),2)=7,1,0))))&lt;&gt;MONTH(EDATE($B$8,12*A46)),(EDATE($B$8,12*A46)-IF(WEEKDAY(EDATE($B$8,12*A46),2)=6,1,IF(WEEKDAY(EDATE($B$8,12*A46),2)=7,2,0))),(EDATE($B$8,12*A46)+IF(WEEKDAY(EDATE($B$8,12*A46),2)=6,2,IF(WEEKDAY(EDATE($B$8,12*A46),2)=7,1,0)))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IF(MONTH((EDATE($B$8,12*A47)+IF(WEEKDAY(EDATE($B$8,12*A47),2)=6,2,IF(WEEKDAY(EDATE($B$8,12*A47),2)=7,1,0))))&lt;&gt;MONTH(EDATE($B$8,12*A47)),(EDATE($B$8,12*A47)-IF(WEEKDAY(EDATE($B$8,12*A47),2)=6,1,IF(WEEKDAY(EDATE($B$8,12*A47),2)=7,2,0))),(EDATE($B$8,12*A47)+IF(WEEKDAY(EDATE($B$8,12*A47),2)=6,2,IF(WEEKDAY(EDATE($B$8,12*A47),2)=7,1,0)))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IF(MONTH((EDATE($B$8,12*A48)+IF(WEEKDAY(EDATE($B$8,12*A48),2)=6,2,IF(WEEKDAY(EDATE($B$8,12*A48),2)=7,1,0))))&lt;&gt;MONTH(EDATE($B$8,12*A48)),(EDATE($B$8,12*A48)-IF(WEEKDAY(EDATE($B$8,12*A48),2)=6,1,IF(WEEKDAY(EDATE($B$8,12*A48),2)=7,2,0))),(EDATE($B$8,12*A48)+IF(WEEKDAY(EDATE($B$8,12*A48),2)=6,2,IF(WEEKDAY(EDATE($B$8,12*A48),2)=7,1,0)))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IF(MONTH((EDATE($B$8,12*A49)+IF(WEEKDAY(EDATE($B$8,12*A49),2)=6,2,IF(WEEKDAY(EDATE($B$8,12*A49),2)=7,1,0))))&lt;&gt;MONTH(EDATE($B$8,12*A49)),(EDATE($B$8,12*A49)-IF(WEEKDAY(EDATE($B$8,12*A49),2)=6,1,IF(WEEKDAY(EDATE($B$8,12*A49),2)=7,2,0))),(EDATE($B$8,12*A49)+IF(WEEKDAY(EDATE($B$8,12*A49),2)=6,2,IF(WEEKDAY(EDATE($B$8,12*A49),2)=7,1,0)))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IF(MONTH((EDATE($B$8,12*A50)+IF(WEEKDAY(EDATE($B$8,12*A50),2)=6,2,IF(WEEKDAY(EDATE($B$8,12*A50),2)=7,1,0))))&lt;&gt;MONTH(EDATE($B$8,12*A50)),(EDATE($B$8,12*A50)-IF(WEEKDAY(EDATE($B$8,12*A50),2)=6,1,IF(WEEKDAY(EDATE($B$8,12*A50),2)=7,2,0))),(EDATE($B$8,12*A50)+IF(WEEKDAY(EDATE($B$8,12*A50),2)=6,2,IF(WEEKDAY(EDATE($B$8,12*A50),2)=7,1,0)))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IF(MONTH((EDATE($B$8,12*A51)+IF(WEEKDAY(EDATE($B$8,12*A51),2)=6,2,IF(WEEKDAY(EDATE($B$8,12*A51),2)=7,1,0))))&lt;&gt;MONTH(EDATE($B$8,12*A51)),(EDATE($B$8,12*A51)-IF(WEEKDAY(EDATE($B$8,12*A51),2)=6,1,IF(WEEKDAY(EDATE($B$8,12*A51),2)=7,2,0))),(EDATE($B$8,12*A51)+IF(WEEKDAY(EDATE($B$8,12*A51),2)=6,2,IF(WEEKDAY(EDATE($B$8,12*A51),2)=7,1,0)))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IF(MONTH((EDATE($B$8,12*A52)+IF(WEEKDAY(EDATE($B$8,12*A52),2)=6,2,IF(WEEKDAY(EDATE($B$8,12*A52),2)=7,1,0))))&lt;&gt;MONTH(EDATE($B$8,12*A52)),(EDATE($B$8,12*A52)-IF(WEEKDAY(EDATE($B$8,12*A52),2)=6,1,IF(WEEKDAY(EDATE($B$8,12*A52),2)=7,2,0))),(EDATE($B$8,12*A52)+IF(WEEKDAY(EDATE($B$8,12*A52),2)=6,2,IF(WEEKDAY(EDATE($B$8,12*A52),2)=7,1,0)))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IF(MONTH((EDATE($B$8,12*A53)+IF(WEEKDAY(EDATE($B$8,12*A53),2)=6,2,IF(WEEKDAY(EDATE($B$8,12*A53),2)=7,1,0))))&lt;&gt;MONTH(EDATE($B$8,12*A53)),(EDATE($B$8,12*A53)-IF(WEEKDAY(EDATE($B$8,12*A53),2)=6,1,IF(WEEKDAY(EDATE($B$8,12*A53),2)=7,2,0))),(EDATE($B$8,12*A53)+IF(WEEKDAY(EDATE($B$8,12*A53),2)=6,2,IF(WEEKDAY(EDATE($B$8,12*A53),2)=7,1,0)))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IF(MONTH((EDATE($B$8,12*A54)+IF(WEEKDAY(EDATE($B$8,12*A54),2)=6,2,IF(WEEKDAY(EDATE($B$8,12*A54),2)=7,1,0))))&lt;&gt;MONTH(EDATE($B$8,12*A54)),(EDATE($B$8,12*A54)-IF(WEEKDAY(EDATE($B$8,12*A54),2)=6,1,IF(WEEKDAY(EDATE($B$8,12*A54),2)=7,2,0))),(EDATE($B$8,12*A54)+IF(WEEKDAY(EDATE($B$8,12*A54),2)=6,2,IF(WEEKDAY(EDATE($B$8,12*A54),2)=7,1,0)))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IF(MONTH((EDATE($B$8,12*A55)+IF(WEEKDAY(EDATE($B$8,12*A55),2)=6,2,IF(WEEKDAY(EDATE($B$8,12*A55),2)=7,1,0))))&lt;&gt;MONTH(EDATE($B$8,12*A55)),(EDATE($B$8,12*A55)-IF(WEEKDAY(EDATE($B$8,12*A55),2)=6,1,IF(WEEKDAY(EDATE($B$8,12*A55),2)=7,2,0))),(EDATE($B$8,12*A55)+IF(WEEKDAY(EDATE($B$8,12*A55),2)=6,2,IF(WEEKDAY(EDATE($B$8,12*A55),2)=7,1,0)))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IF(MONTH((EDATE($B$8,12*A56)+IF(WEEKDAY(EDATE($B$8,12*A56),2)=6,2,IF(WEEKDAY(EDATE($B$8,12*A56),2)=7,1,0))))&lt;&gt;MONTH(EDATE($B$8,12*A56)),(EDATE($B$8,12*A56)-IF(WEEKDAY(EDATE($B$8,12*A56),2)=6,1,IF(WEEKDAY(EDATE($B$8,12*A56),2)=7,2,0))),(EDATE($B$8,12*A56)+IF(WEEKDAY(EDATE($B$8,12*A56),2)=6,2,IF(WEEKDAY(EDATE($B$8,12*A56),2)=7,1,0)))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IF(MONTH((EDATE($B$8,12*A57)+IF(WEEKDAY(EDATE($B$8,12*A57),2)=6,2,IF(WEEKDAY(EDATE($B$8,12*A57),2)=7,1,0))))&lt;&gt;MONTH(EDATE($B$8,12*A57)),(EDATE($B$8,12*A57)-IF(WEEKDAY(EDATE($B$8,12*A57),2)=6,1,IF(WEEKDAY(EDATE($B$8,12*A57),2)=7,2,0))),(EDATE($B$8,12*A57)+IF(WEEKDAY(EDATE($B$8,12*A57),2)=6,2,IF(WEEKDAY(EDATE($B$8,12*A57),2)=7,1,0)))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IF(MONTH((EDATE($B$8,12*A58)+IF(WEEKDAY(EDATE($B$8,12*A58),2)=6,2,IF(WEEKDAY(EDATE($B$8,12*A58),2)=7,1,0))))&lt;&gt;MONTH(EDATE($B$8,12*A58)),(EDATE($B$8,12*A58)-IF(WEEKDAY(EDATE($B$8,12*A58),2)=6,1,IF(WEEKDAY(EDATE($B$8,12*A58),2)=7,2,0))),(EDATE($B$8,12*A58)+IF(WEEKDAY(EDATE($B$8,12*A58),2)=6,2,IF(WEEKDAY(EDATE($B$8,12*A58),2)=7,1,0)))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IF(MONTH((EDATE($B$8,12*A59)+IF(WEEKDAY(EDATE($B$8,12*A59),2)=6,2,IF(WEEKDAY(EDATE($B$8,12*A59),2)=7,1,0))))&lt;&gt;MONTH(EDATE($B$8,12*A59)),(EDATE($B$8,12*A59)-IF(WEEKDAY(EDATE($B$8,12*A59),2)=6,1,IF(WEEKDAY(EDATE($B$8,12*A59),2)=7,2,0))),(EDATE($B$8,12*A59)+IF(WEEKDAY(EDATE($B$8,12*A59),2)=6,2,IF(WEEKDAY(EDATE($B$8,12*A59),2)=7,1,0)))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IF(MONTH((EDATE($B$8,12*A60)+IF(WEEKDAY(EDATE($B$8,12*A60),2)=6,2,IF(WEEKDAY(EDATE($B$8,12*A60),2)=7,1,0))))&lt;&gt;MONTH(EDATE($B$8,12*A60)),(EDATE($B$8,12*A60)-IF(WEEKDAY(EDATE($B$8,12*A60),2)=6,1,IF(WEEKDAY(EDATE($B$8,12*A60),2)=7,2,0))),(EDATE($B$8,12*A60)+IF(WEEKDAY(EDATE($B$8,12*A60),2)=6,2,IF(WEEKDAY(EDATE($B$8,12*A60),2)=7,1,0)))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IF(MONTH((EDATE($B$8,12*A61)+IF(WEEKDAY(EDATE($B$8,12*A61),2)=6,2,IF(WEEKDAY(EDATE($B$8,12*A61),2)=7,1,0))))&lt;&gt;MONTH(EDATE($B$8,12*A61)),(EDATE($B$8,12*A61)-IF(WEEKDAY(EDATE($B$8,12*A61),2)=6,1,IF(WEEKDAY(EDATE($B$8,12*A61),2)=7,2,0))),(EDATE($B$8,12*A61)+IF(WEEKDAY(EDATE($B$8,12*A61),2)=6,2,IF(WEEKDAY(EDATE($B$8,12*A61),2)=7,1,0)))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IF(MONTH((EDATE($B$8,12*A62)+IF(WEEKDAY(EDATE($B$8,12*A62),2)=6,2,IF(WEEKDAY(EDATE($B$8,12*A62),2)=7,1,0))))&lt;&gt;MONTH(EDATE($B$8,12*A62)),(EDATE($B$8,12*A62)-IF(WEEKDAY(EDATE($B$8,12*A62),2)=6,1,IF(WEEKDAY(EDATE($B$8,12*A62),2)=7,2,0))),(EDATE($B$8,12*A62)+IF(WEEKDAY(EDATE($B$8,12*A62),2)=6,2,IF(WEEKDAY(EDATE($B$8,12*A62),2)=7,1,0)))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IF(MONTH((EDATE($B$8,12*A63)+IF(WEEKDAY(EDATE($B$8,12*A63),2)=6,2,IF(WEEKDAY(EDATE($B$8,12*A63),2)=7,1,0))))&lt;&gt;MONTH(EDATE($B$8,12*A63)),(EDATE($B$8,12*A63)-IF(WEEKDAY(EDATE($B$8,12*A63),2)=6,1,IF(WEEKDAY(EDATE($B$8,12*A63),2)=7,2,0))),(EDATE($B$8,12*A63)+IF(WEEKDAY(EDATE($B$8,12*A63),2)=6,2,IF(WEEKDAY(EDATE($B$8,12*A63),2)=7,1,0)))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IF(MONTH((EDATE($B$8,12*A64)+IF(WEEKDAY(EDATE($B$8,12*A64),2)=6,2,IF(WEEKDAY(EDATE($B$8,12*A64),2)=7,1,0))))&lt;&gt;MONTH(EDATE($B$8,12*A64)),(EDATE($B$8,12*A64)-IF(WEEKDAY(EDATE($B$8,12*A64),2)=6,1,IF(WEEKDAY(EDATE($B$8,12*A64),2)=7,2,0))),(EDATE($B$8,12*A64)+IF(WEEKDAY(EDATE($B$8,12*A64),2)=6,2,IF(WEEKDAY(EDATE($B$8,12*A64),2)=7,1,0)))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IF(MONTH((EDATE($B$8,12*A65)+IF(WEEKDAY(EDATE($B$8,12*A65),2)=6,2,IF(WEEKDAY(EDATE($B$8,12*A65),2)=7,1,0))))&lt;&gt;MONTH(EDATE($B$8,12*A65)),(EDATE($B$8,12*A65)-IF(WEEKDAY(EDATE($B$8,12*A65),2)=6,1,IF(WEEKDAY(EDATE($B$8,12*A65),2)=7,2,0))),(EDATE($B$8,12*A65)+IF(WEEKDAY(EDATE($B$8,12*A65),2)=6,2,IF(WEEKDAY(EDATE($B$8,12*A65),2)=7,1,0)))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IF(MONTH((EDATE($B$8,12*A66)+IF(WEEKDAY(EDATE($B$8,12*A66),2)=6,2,IF(WEEKDAY(EDATE($B$8,12*A66),2)=7,1,0))))&lt;&gt;MONTH(EDATE($B$8,12*A66)),(EDATE($B$8,12*A66)-IF(WEEKDAY(EDATE($B$8,12*A66),2)=6,1,IF(WEEKDAY(EDATE($B$8,12*A66),2)=7,2,0))),(EDATE($B$8,12*A66)+IF(WEEKDAY(EDATE($B$8,12*A66),2)=6,2,IF(WEEKDAY(EDATE($B$8,12*A66),2)=7,1,0)))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IF(MONTH((EDATE($B$8,12*A67)+IF(WEEKDAY(EDATE($B$8,12*A67),2)=6,2,IF(WEEKDAY(EDATE($B$8,12*A67),2)=7,1,0))))&lt;&gt;MONTH(EDATE($B$8,12*A67)),(EDATE($B$8,12*A67)-IF(WEEKDAY(EDATE($B$8,12*A67),2)=6,1,IF(WEEKDAY(EDATE($B$8,12*A67),2)=7,2,0))),(EDATE($B$8,12*A67)+IF(WEEKDAY(EDATE($B$8,12*A67),2)=6,2,IF(WEEKDAY(EDATE($B$8,12*A67),2)=7,1,0)))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IF(MONTH((EDATE($B$8,12*A68)+IF(WEEKDAY(EDATE($B$8,12*A68),2)=6,2,IF(WEEKDAY(EDATE($B$8,12*A68),2)=7,1,0))))&lt;&gt;MONTH(EDATE($B$8,12*A68)),(EDATE($B$8,12*A68)-IF(WEEKDAY(EDATE($B$8,12*A68),2)=6,1,IF(WEEKDAY(EDATE($B$8,12*A68),2)=7,2,0))),(EDATE($B$8,12*A68)+IF(WEEKDAY(EDATE($B$8,12*A68),2)=6,2,IF(WEEKDAY(EDATE($B$8,12*A68),2)=7,1,0)))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IF(MONTH((EDATE($B$8,12*A69)+IF(WEEKDAY(EDATE($B$8,12*A69),2)=6,2,IF(WEEKDAY(EDATE($B$8,12*A69),2)=7,1,0))))&lt;&gt;MONTH(EDATE($B$8,12*A69)),(EDATE($B$8,12*A69)-IF(WEEKDAY(EDATE($B$8,12*A69),2)=6,1,IF(WEEKDAY(EDATE($B$8,12*A69),2)=7,2,0))),(EDATE($B$8,12*A69)+IF(WEEKDAY(EDATE($B$8,12*A69),2)=6,2,IF(WEEKDAY(EDATE($B$8,12*A69),2)=7,1,0)))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IF(MONTH((EDATE($B$8,12*A70)+IF(WEEKDAY(EDATE($B$8,12*A70),2)=6,2,IF(WEEKDAY(EDATE($B$8,12*A70),2)=7,1,0))))&lt;&gt;MONTH(EDATE($B$8,12*A70)),(EDATE($B$8,12*A70)-IF(WEEKDAY(EDATE($B$8,12*A70),2)=6,1,IF(WEEKDAY(EDATE($B$8,12*A70),2)=7,2,0))),(EDATE($B$8,12*A70)+IF(WEEKDAY(EDATE($B$8,12*A70),2)=6,2,IF(WEEKDAY(EDATE($B$8,12*A70),2)=7,1,0)))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IF(MONTH((EDATE($B$8,12*A71)+IF(WEEKDAY(EDATE($B$8,12*A71),2)=6,2,IF(WEEKDAY(EDATE($B$8,12*A71),2)=7,1,0))))&lt;&gt;MONTH(EDATE($B$8,12*A71)),(EDATE($B$8,12*A71)-IF(WEEKDAY(EDATE($B$8,12*A71),2)=6,1,IF(WEEKDAY(EDATE($B$8,12*A71),2)=7,2,0))),(EDATE($B$8,12*A71)+IF(WEEKDAY(EDATE($B$8,12*A71),2)=6,2,IF(WEEKDAY(EDATE($B$8,12*A71),2)=7,1,0)))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IF(MONTH((EDATE($B$8,12*A72)+IF(WEEKDAY(EDATE($B$8,12*A72),2)=6,2,IF(WEEKDAY(EDATE($B$8,12*A72),2)=7,1,0))))&lt;&gt;MONTH(EDATE($B$8,12*A72)),(EDATE($B$8,12*A72)-IF(WEEKDAY(EDATE($B$8,12*A72),2)=6,1,IF(WEEKDAY(EDATE($B$8,12*A72),2)=7,2,0))),(EDATE($B$8,12*A72)+IF(WEEKDAY(EDATE($B$8,12*A72),2)=6,2,IF(WEEKDAY(EDATE($B$8,12*A72),2)=7,1,0)))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IF(MONTH((EDATE($B$8,12*A73)+IF(WEEKDAY(EDATE($B$8,12*A73),2)=6,2,IF(WEEKDAY(EDATE($B$8,12*A73),2)=7,1,0))))&lt;&gt;MONTH(EDATE($B$8,12*A73)),(EDATE($B$8,12*A73)-IF(WEEKDAY(EDATE($B$8,12*A73),2)=6,1,IF(WEEKDAY(EDATE($B$8,12*A73),2)=7,2,0))),(EDATE($B$8,12*A73)+IF(WEEKDAY(EDATE($B$8,12*A73),2)=6,2,IF(WEEKDAY(EDATE($B$8,12*A73),2)=7,1,0)))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IF(MONTH((EDATE($B$8,12*A74)+IF(WEEKDAY(EDATE($B$8,12*A74),2)=6,2,IF(WEEKDAY(EDATE($B$8,12*A74),2)=7,1,0))))&lt;&gt;MONTH(EDATE($B$8,12*A74)),(EDATE($B$8,12*A74)-IF(WEEKDAY(EDATE($B$8,12*A74),2)=6,1,IF(WEEKDAY(EDATE($B$8,12*A74),2)=7,2,0))),(EDATE($B$8,12*A74)+IF(WEEKDAY(EDATE($B$8,12*A74),2)=6,2,IF(WEEKDAY(EDATE($B$8,12*A74),2)=7,1,0)))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IF(MONTH((EDATE($B$8,12*A75)+IF(WEEKDAY(EDATE($B$8,12*A75),2)=6,2,IF(WEEKDAY(EDATE($B$8,12*A75),2)=7,1,0))))&lt;&gt;MONTH(EDATE($B$8,12*A75)),(EDATE($B$8,12*A75)-IF(WEEKDAY(EDATE($B$8,12*A75),2)=6,1,IF(WEEKDAY(EDATE($B$8,12*A75),2)=7,2,0))),(EDATE($B$8,12*A75)+IF(WEEKDAY(EDATE($B$8,12*A75),2)=6,2,IF(WEEKDAY(EDATE($B$8,12*A75),2)=7,1,0)))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IF(MONTH((EDATE($B$8,12*A76)+IF(WEEKDAY(EDATE($B$8,12*A76),2)=6,2,IF(WEEKDAY(EDATE($B$8,12*A76),2)=7,1,0))))&lt;&gt;MONTH(EDATE($B$8,12*A76)),(EDATE($B$8,12*A76)-IF(WEEKDAY(EDATE($B$8,12*A76),2)=6,1,IF(WEEKDAY(EDATE($B$8,12*A76),2)=7,2,0))),(EDATE($B$8,12*A76)+IF(WEEKDAY(EDATE($B$8,12*A76),2)=6,2,IF(WEEKDAY(EDATE($B$8,12*A76),2)=7,1,0)))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IF(MONTH((EDATE($B$8,12*A77)+IF(WEEKDAY(EDATE($B$8,12*A77),2)=6,2,IF(WEEKDAY(EDATE($B$8,12*A77),2)=7,1,0))))&lt;&gt;MONTH(EDATE($B$8,12*A77)),(EDATE($B$8,12*A77)-IF(WEEKDAY(EDATE($B$8,12*A77),2)=6,1,IF(WEEKDAY(EDATE($B$8,12*A77),2)=7,2,0))),(EDATE($B$8,12*A77)+IF(WEEKDAY(EDATE($B$8,12*A77),2)=6,2,IF(WEEKDAY(EDATE($B$8,12*A77),2)=7,1,0)))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IF(MONTH((EDATE($B$8,12*A78)+IF(WEEKDAY(EDATE($B$8,12*A78),2)=6,2,IF(WEEKDAY(EDATE($B$8,12*A78),2)=7,1,0))))&lt;&gt;MONTH(EDATE($B$8,12*A78)),(EDATE($B$8,12*A78)-IF(WEEKDAY(EDATE($B$8,12*A78),2)=6,1,IF(WEEKDAY(EDATE($B$8,12*A78),2)=7,2,0))),(EDATE($B$8,12*A78)+IF(WEEKDAY(EDATE($B$8,12*A78),2)=6,2,IF(WEEKDAY(EDATE($B$8,12*A78),2)=7,1,0)))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IF(MONTH((EDATE($B$8,12*A79)+IF(WEEKDAY(EDATE($B$8,12*A79),2)=6,2,IF(WEEKDAY(EDATE($B$8,12*A79),2)=7,1,0))))&lt;&gt;MONTH(EDATE($B$8,12*A79)),(EDATE($B$8,12*A79)-IF(WEEKDAY(EDATE($B$8,12*A79),2)=6,1,IF(WEEKDAY(EDATE($B$8,12*A79),2)=7,2,0))),(EDATE($B$8,12*A79)+IF(WEEKDAY(EDATE($B$8,12*A79),2)=6,2,IF(WEEKDAY(EDATE($B$8,12*A79),2)=7,1,0)))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IF(MONTH((EDATE($B$8,12*A80)+IF(WEEKDAY(EDATE($B$8,12*A80),2)=6,2,IF(WEEKDAY(EDATE($B$8,12*A80),2)=7,1,0))))&lt;&gt;MONTH(EDATE($B$8,12*A80)),(EDATE($B$8,12*A80)-IF(WEEKDAY(EDATE($B$8,12*A80),2)=6,1,IF(WEEKDAY(EDATE($B$8,12*A80),2)=7,2,0))),(EDATE($B$8,12*A80)+IF(WEEKDAY(EDATE($B$8,12*A80),2)=6,2,IF(WEEKDAY(EDATE($B$8,12*A80),2)=7,1,0)))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IF(MONTH((EDATE($B$8,12*A81)+IF(WEEKDAY(EDATE($B$8,12*A81),2)=6,2,IF(WEEKDAY(EDATE($B$8,12*A81),2)=7,1,0))))&lt;&gt;MONTH(EDATE($B$8,12*A81)),(EDATE($B$8,12*A81)-IF(WEEKDAY(EDATE($B$8,12*A81),2)=6,1,IF(WEEKDAY(EDATE($B$8,12*A81),2)=7,2,0))),(EDATE($B$8,12*A81)+IF(WEEKDAY(EDATE($B$8,12*A81),2)=6,2,IF(WEEKDAY(EDATE($B$8,12*A81),2)=7,1,0)))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IF(MONTH((EDATE($B$8,12*A82)+IF(WEEKDAY(EDATE($B$8,12*A82),2)=6,2,IF(WEEKDAY(EDATE($B$8,12*A82),2)=7,1,0))))&lt;&gt;MONTH(EDATE($B$8,12*A82)),(EDATE($B$8,12*A82)-IF(WEEKDAY(EDATE($B$8,12*A82),2)=6,1,IF(WEEKDAY(EDATE($B$8,12*A82),2)=7,2,0))),(EDATE($B$8,12*A82)+IF(WEEKDAY(EDATE($B$8,12*A82),2)=6,2,IF(WEEKDAY(EDATE($B$8,12*A82),2)=7,1,0)))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IF(MONTH((EDATE($B$8,12*A83)+IF(WEEKDAY(EDATE($B$8,12*A83),2)=6,2,IF(WEEKDAY(EDATE($B$8,12*A83),2)=7,1,0))))&lt;&gt;MONTH(EDATE($B$8,12*A83)),(EDATE($B$8,12*A83)-IF(WEEKDAY(EDATE($B$8,12*A83),2)=6,1,IF(WEEKDAY(EDATE($B$8,12*A83),2)=7,2,0))),(EDATE($B$8,12*A83)+IF(WEEKDAY(EDATE($B$8,12*A83),2)=6,2,IF(WEEKDAY(EDATE($B$8,12*A83),2)=7,1,0)))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IF(MONTH((EDATE($B$8,12*A84)+IF(WEEKDAY(EDATE($B$8,12*A84),2)=6,2,IF(WEEKDAY(EDATE($B$8,12*A84),2)=7,1,0))))&lt;&gt;MONTH(EDATE($B$8,12*A84)),(EDATE($B$8,12*A84)-IF(WEEKDAY(EDATE($B$8,12*A84),2)=6,1,IF(WEEKDAY(EDATE($B$8,12*A84),2)=7,2,0))),(EDATE($B$8,12*A84)+IF(WEEKDAY(EDATE($B$8,12*A84),2)=6,2,IF(WEEKDAY(EDATE($B$8,12*A84),2)=7,1,0)))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IF(MONTH((EDATE($B$8,12*A85)+IF(WEEKDAY(EDATE($B$8,12*A85),2)=6,2,IF(WEEKDAY(EDATE($B$8,12*A85),2)=7,1,0))))&lt;&gt;MONTH(EDATE($B$8,12*A85)),(EDATE($B$8,12*A85)-IF(WEEKDAY(EDATE($B$8,12*A85),2)=6,1,IF(WEEKDAY(EDATE($B$8,12*A85),2)=7,2,0))),(EDATE($B$8,12*A85)+IF(WEEKDAY(EDATE($B$8,12*A85),2)=6,2,IF(WEEKDAY(EDATE($B$8,12*A85),2)=7,1,0)))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(the CURVE_TENOR_RATES dump lives at J12 - a second copy here would spill into it)</t>
        </is>
      </c>
      <c r="L8" s="85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L9" s="85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L10" s="85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L11" s="85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L12" s="85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L13" s="85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L14" s="85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L15" s="85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L16" s="85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L17" s="85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L18" s="85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L19" s="85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L20" s="85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L21" s="85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L22" s="85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L23" s="85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L24" s="85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L25" s="85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L26" s="85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L27" s="85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L28" s="85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L29" s="85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L30" s="85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L31" s="85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L32" s="85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L34" s="85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L37" s="85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L42" s="85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L47" s="85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L52" s="85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L62" s="85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L72" s="85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L is the FROZEN S490 zero curve, hard-coded from the 07/21/26 capture - no lookup, no live pull. Column E compares our bootstrap against it. D (live BDS) and G (snapshot lookup) remain as secondary references.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the order the CDSW screen shows them. S = par spread implied by the curve (B15);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Reference CDSW screen (CINDBK 5Y, 07/21/26) for validation: points upfront -1.97596265, price 101.97596265, principal -197,597, accrued -8,333 (30 days), cash -205,930, default exposure 6,197,596. Those are TARGETS for a like-for-like trade, not model output - the demo spreads here are not that entity's curve.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2026-07-21T15:20:54Z</dcterms:modified>
</cp:coreProperties>
</file>