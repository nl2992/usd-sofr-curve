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Bloomberg_S490_Validation" sheetId="6" state="visible" r:id="rId6"/>
    <sheet xmlns:r="http://schemas.openxmlformats.org/officeDocument/2006/relationships" name="Conventions" sheetId="7" state="visible" r:id="rId7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/dd/yyyy"/>
    <numFmt numFmtId="165" formatCode="0.0000"/>
    <numFmt numFmtId="166" formatCode="0.00000000"/>
    <numFmt numFmtId="167" formatCode="0.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11" fillId="0" borderId="1" pivotButton="0" quotePrefix="0" xfId="0"/>
    <xf numFmtId="165" fontId="3" fillId="6" borderId="1" pivotButton="0" quotePrefix="0" xfId="0"/>
    <xf numFmtId="167" fontId="3" fillId="0" borderId="1" pivotButton="0" quotePrefix="0" xfId="0"/>
    <xf numFmtId="2" fontId="3" fillId="7" borderId="1" pivotButton="0" quotePrefix="0" xfId="0"/>
    <xf numFmtId="166" fontId="11" fillId="7" borderId="1" pivotButton="0" quotePrefix="0" xfId="0"/>
    <xf numFmtId="167" fontId="3" fillId="7" borderId="1" pivotButton="0" quotePrefix="0" xfId="0"/>
    <xf numFmtId="164" fontId="3" fillId="0" borderId="0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template</author>
  </authors>
  <commentList>
    <comment ref="A12" authorId="0" shapeId="0">
      <text>
        <t>Array (spilling) formula. In Excel with Bloomberg it fills Date + PX_LAST down this block. If your Excel is pre-dynamic-array, it may need Ctrl+Shift+Enter across A:B.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7" authorId="0" shapeId="0">
      <text>
        <t>Spilling chain. Fills contract tickers down this column in Excel+Bloomberg.</t>
      </text>
    </comment>
    <comment ref="A32" authorId="0" shapeId="0">
      <text>
        <t>Spilling chain. Fills contract tickers down this column in Excel+Bloomberg.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8" authorId="0" shapeId="0">
      <text>
        <t>Spilling: Tenor in col A, par/market rate in col B (or D depending on Bloomberg's return order — verify and align). Fill zero/DF/forward from the curve screen.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5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5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5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5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5" t="inlineStr">
        <is>
          <t>Three differences vs. Lehman 2002 (where 'modern' is not a literal copy):</t>
        </is>
      </c>
    </row>
    <row r="31" ht="28" customHeight="1">
      <c r="A31" s="11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11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11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5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5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5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5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5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5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6" t="inlineStr">
        <is>
          <t>DO NOT substitute these (wrong instruments):</t>
        </is>
      </c>
    </row>
    <row r="44">
      <c r="A44" s="11" t="inlineStr">
        <is>
          <t>•  TSFR1M/3M/6M/12M Index  — Term SOFR benchmarks, NOT overnight-SOFR OIS calibration instruments.</t>
        </is>
      </c>
    </row>
    <row r="45">
      <c r="A45" s="11" t="inlineStr">
        <is>
          <t>•  USISSO02/05/10/30 Index — ICE Swap Rate fixings, NOT the live OIS quote strip needed to bootstrap.</t>
        </is>
      </c>
    </row>
    <row r="46">
      <c r="A46" s="11" t="inlineStr">
        <is>
          <t>•  Use PX midpoint (bid+ask)/2 for construction; use PX_LAST only where bid/ask are unavailable.</t>
        </is>
      </c>
    </row>
    <row r="48" ht="28" customHeight="1">
      <c r="A48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51">
    <mergeCell ref="A16:F16"/>
    <mergeCell ref="D11:F11"/>
    <mergeCell ref="D13:F13"/>
    <mergeCell ref="A46:F46"/>
    <mergeCell ref="B25:F25"/>
    <mergeCell ref="E17:F17"/>
    <mergeCell ref="B27:F27"/>
    <mergeCell ref="A2:F2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1:F1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IFERROR(BDP($A8,"FUT_DLV_DT_FIRST"),"")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IFERROR(BDP($A10,"FUT_DLV_DT_FIRST"),"")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IFERROR(BDP($A12,"FUT_DLV_DT_FIRST"),"")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IFERROR(BDP($A14,"FUT_DLV_DT_FIRST"),"")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IFERROR(BDP($A16,"FUT_DLV_DT_FIRST"),"")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IFERROR(BDP($A18,"FUT_DLV_DT_FIRST"),"")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IFERROR(BDP($A20,"FUT_DLV_DT_FIRST"),"")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IFERROR(BDP($A22,"FUT_DLV_DT_FIRST"),"")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IFERROR(BDP($A24,"FUT_DLV_DT_FIRST"),"")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IFERROR(BDP($A26,"FUT_DLV_DT_FIRST"),"")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IFERROR(BDP($A33,"FUT_DLV_DT_FIRST"),"")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IFERROR(BDP($A35,"FUT_DLV_DT_FIRST"),"")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IFERROR(BDP($A37,"FUT_DLV_DT_FIRST"),"")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IFERROR(BDP($A39,"FUT_DLV_DT_FIRST"),"")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IFERROR(BDP($A41,"FUT_DLV_DT_FIRST"),"")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IFERROR(BDP($A43,"FUT_DLV_DT_FIRST"),"")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  <col width="15" customWidth="1" min="8" max="8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Mid used for construction.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Tenor (yrs)</t>
        </is>
      </c>
      <c r="D4" s="20" t="inlineStr">
        <is>
          <t>PX_BID</t>
        </is>
      </c>
      <c r="E4" s="20" t="inlineStr">
        <is>
          <t>PX_ASK</t>
        </is>
      </c>
      <c r="F4" s="20" t="inlineStr">
        <is>
          <t>PX_LAST</t>
        </is>
      </c>
      <c r="G4" s="20" t="inlineStr">
        <is>
          <t>Mid = (Bid+Ask)/2</t>
        </is>
      </c>
      <c r="H4" s="20" t="inlineStr">
        <is>
          <t>In bootstrap set</t>
        </is>
      </c>
    </row>
    <row r="5">
      <c r="A5" s="8" t="inlineStr">
        <is>
          <t>USOSFR1Z</t>
        </is>
      </c>
      <c r="B5" s="26" t="inlineStr">
        <is>
          <t>1W</t>
        </is>
      </c>
      <c r="C5" s="27" t="n">
        <v>0.0192</v>
      </c>
      <c r="D5" s="21">
        <f>IFERROR(BDP(A5&amp;" "&amp;PX_SRC&amp;" Curncy","PX_BID"),"")</f>
        <v/>
      </c>
      <c r="E5" s="21">
        <f>IFERROR(BDP(A5&amp;" "&amp;PX_SRC&amp;" Curncy","PX_ASK"),"")</f>
        <v/>
      </c>
      <c r="F5" s="21">
        <f>IFERROR(BDP(A5&amp;" "&amp;PX_SRC&amp;" Curncy","PX_LAST"),"")</f>
        <v/>
      </c>
      <c r="G5" s="28">
        <f>IFERROR((D5+E5)/2,IFERROR(F5,""))</f>
        <v/>
      </c>
      <c r="H5" s="29" t="inlineStr">
        <is>
          <t>Y</t>
        </is>
      </c>
    </row>
    <row r="6">
      <c r="A6" s="8" t="inlineStr">
        <is>
          <t>USOSFR2Z</t>
        </is>
      </c>
      <c r="B6" s="26" t="inlineStr">
        <is>
          <t>2W</t>
        </is>
      </c>
      <c r="C6" s="27" t="n">
        <v>0.0385</v>
      </c>
      <c r="D6" s="21">
        <f>IFERROR(BDP(A6&amp;" "&amp;PX_SRC&amp;" Curncy","PX_BID"),"")</f>
        <v/>
      </c>
      <c r="E6" s="21">
        <f>IFERROR(BDP(A6&amp;" "&amp;PX_SRC&amp;" Curncy","PX_ASK"),"")</f>
        <v/>
      </c>
      <c r="F6" s="21">
        <f>IFERROR(BDP(A6&amp;" "&amp;PX_SRC&amp;" Curncy","PX_LAST"),"")</f>
        <v/>
      </c>
      <c r="G6" s="28">
        <f>IFERROR((D6+E6)/2,IFERROR(F6,""))</f>
        <v/>
      </c>
      <c r="H6" s="30" t="inlineStr"/>
    </row>
    <row r="7">
      <c r="A7" s="8" t="inlineStr">
        <is>
          <t>USOSFR3Z</t>
        </is>
      </c>
      <c r="B7" s="26" t="inlineStr">
        <is>
          <t>3W</t>
        </is>
      </c>
      <c r="C7" s="27" t="n">
        <v>0.0577</v>
      </c>
      <c r="D7" s="21">
        <f>IFERROR(BDP(A7&amp;" "&amp;PX_SRC&amp;" Curncy","PX_BID"),"")</f>
        <v/>
      </c>
      <c r="E7" s="21">
        <f>IFERROR(BDP(A7&amp;" "&amp;PX_SRC&amp;" Curncy","PX_ASK"),"")</f>
        <v/>
      </c>
      <c r="F7" s="21">
        <f>IFERROR(BDP(A7&amp;" "&amp;PX_SRC&amp;" Curncy","PX_LAST"),"")</f>
        <v/>
      </c>
      <c r="G7" s="28">
        <f>IFERROR((D7+E7)/2,IFERROR(F7,""))</f>
        <v/>
      </c>
      <c r="H7" s="30" t="inlineStr"/>
    </row>
    <row r="8">
      <c r="A8" s="8" t="inlineStr">
        <is>
          <t>USOSFRA</t>
        </is>
      </c>
      <c r="B8" s="26" t="inlineStr">
        <is>
          <t>1M</t>
        </is>
      </c>
      <c r="C8" s="27" t="n">
        <v>0.0833</v>
      </c>
      <c r="D8" s="21">
        <f>IFERROR(BDP(A8&amp;" "&amp;PX_SRC&amp;" Curncy","PX_BID"),"")</f>
        <v/>
      </c>
      <c r="E8" s="21">
        <f>IFERROR(BDP(A8&amp;" "&amp;PX_SRC&amp;" Curncy","PX_ASK"),"")</f>
        <v/>
      </c>
      <c r="F8" s="21">
        <f>IFERROR(BDP(A8&amp;" "&amp;PX_SRC&amp;" Curncy","PX_LAST"),"")</f>
        <v/>
      </c>
      <c r="G8" s="28">
        <f>IFERROR((D8+E8)/2,IFERROR(F8,""))</f>
        <v/>
      </c>
      <c r="H8" s="29" t="inlineStr">
        <is>
          <t>Y</t>
        </is>
      </c>
    </row>
    <row r="9">
      <c r="A9" s="8" t="inlineStr">
        <is>
          <t>USOSFRB</t>
        </is>
      </c>
      <c r="B9" s="26" t="inlineStr">
        <is>
          <t>2M</t>
        </is>
      </c>
      <c r="C9" s="27" t="n">
        <v>0.1667</v>
      </c>
      <c r="D9" s="21">
        <f>IFERROR(BDP(A9&amp;" "&amp;PX_SRC&amp;" Curncy","PX_BID"),"")</f>
        <v/>
      </c>
      <c r="E9" s="21">
        <f>IFERROR(BDP(A9&amp;" "&amp;PX_SRC&amp;" Curncy","PX_ASK"),"")</f>
        <v/>
      </c>
      <c r="F9" s="21">
        <f>IFERROR(BDP(A9&amp;" "&amp;PX_SRC&amp;" Curncy","PX_LAST"),"")</f>
        <v/>
      </c>
      <c r="G9" s="28">
        <f>IFERROR((D9+E9)/2,IFERROR(F9,""))</f>
        <v/>
      </c>
      <c r="H9" s="30" t="inlineStr"/>
    </row>
    <row r="10">
      <c r="A10" s="8" t="inlineStr">
        <is>
          <t>USOSFRC</t>
        </is>
      </c>
      <c r="B10" s="26" t="inlineStr">
        <is>
          <t>3M</t>
        </is>
      </c>
      <c r="C10" s="27" t="n">
        <v>0.25</v>
      </c>
      <c r="D10" s="21">
        <f>IFERROR(BDP(A10&amp;" "&amp;PX_SRC&amp;" Curncy","PX_BID"),"")</f>
        <v/>
      </c>
      <c r="E10" s="21">
        <f>IFERROR(BDP(A10&amp;" "&amp;PX_SRC&amp;" Curncy","PX_ASK"),"")</f>
        <v/>
      </c>
      <c r="F10" s="21">
        <f>IFERROR(BDP(A10&amp;" "&amp;PX_SRC&amp;" Curncy","PX_LAST"),"")</f>
        <v/>
      </c>
      <c r="G10" s="28">
        <f>IFERROR((D10+E10)/2,IFERROR(F10,""))</f>
        <v/>
      </c>
      <c r="H10" s="29" t="inlineStr">
        <is>
          <t>Y</t>
        </is>
      </c>
    </row>
    <row r="11">
      <c r="A11" s="8" t="inlineStr">
        <is>
          <t>USOSFRD</t>
        </is>
      </c>
      <c r="B11" s="26" t="inlineStr">
        <is>
          <t>4M</t>
        </is>
      </c>
      <c r="C11" s="27" t="n">
        <v>0.3333</v>
      </c>
      <c r="D11" s="21">
        <f>IFERROR(BDP(A11&amp;" "&amp;PX_SRC&amp;" Curncy","PX_BID"),"")</f>
        <v/>
      </c>
      <c r="E11" s="21">
        <f>IFERROR(BDP(A11&amp;" "&amp;PX_SRC&amp;" Curncy","PX_ASK"),"")</f>
        <v/>
      </c>
      <c r="F11" s="21">
        <f>IFERROR(BDP(A11&amp;" "&amp;PX_SRC&amp;" Curncy","PX_LAST"),"")</f>
        <v/>
      </c>
      <c r="G11" s="28">
        <f>IFERROR((D11+E11)/2,IFERROR(F11,""))</f>
        <v/>
      </c>
      <c r="H11" s="30" t="inlineStr"/>
    </row>
    <row r="12">
      <c r="A12" s="8" t="inlineStr">
        <is>
          <t>USOSFRE</t>
        </is>
      </c>
      <c r="B12" s="26" t="inlineStr">
        <is>
          <t>5M</t>
        </is>
      </c>
      <c r="C12" s="27" t="n">
        <v>0.4167</v>
      </c>
      <c r="D12" s="21">
        <f>IFERROR(BDP(A12&amp;" "&amp;PX_SRC&amp;" Curncy","PX_BID"),"")</f>
        <v/>
      </c>
      <c r="E12" s="21">
        <f>IFERROR(BDP(A12&amp;" "&amp;PX_SRC&amp;" Curncy","PX_ASK"),"")</f>
        <v/>
      </c>
      <c r="F12" s="21">
        <f>IFERROR(BDP(A12&amp;" "&amp;PX_SRC&amp;" Curncy","PX_LAST"),"")</f>
        <v/>
      </c>
      <c r="G12" s="28">
        <f>IFERROR((D12+E12)/2,IFERROR(F12,""))</f>
        <v/>
      </c>
      <c r="H12" s="30" t="inlineStr"/>
    </row>
    <row r="13">
      <c r="A13" s="8" t="inlineStr">
        <is>
          <t>USOSFRF</t>
        </is>
      </c>
      <c r="B13" s="26" t="inlineStr">
        <is>
          <t>6M</t>
        </is>
      </c>
      <c r="C13" s="27" t="n">
        <v>0.5</v>
      </c>
      <c r="D13" s="21">
        <f>IFERROR(BDP(A13&amp;" "&amp;PX_SRC&amp;" Curncy","PX_BID"),"")</f>
        <v/>
      </c>
      <c r="E13" s="21">
        <f>IFERROR(BDP(A13&amp;" "&amp;PX_SRC&amp;" Curncy","PX_ASK"),"")</f>
        <v/>
      </c>
      <c r="F13" s="21">
        <f>IFERROR(BDP(A13&amp;" "&amp;PX_SRC&amp;" Curncy","PX_LAST"),"")</f>
        <v/>
      </c>
      <c r="G13" s="28">
        <f>IFERROR((D13+E13)/2,IFERROR(F13,""))</f>
        <v/>
      </c>
      <c r="H13" s="29" t="inlineStr">
        <is>
          <t>Y</t>
        </is>
      </c>
    </row>
    <row r="14">
      <c r="A14" s="8" t="inlineStr">
        <is>
          <t>USOSFRG</t>
        </is>
      </c>
      <c r="B14" s="26" t="inlineStr">
        <is>
          <t>7M</t>
        </is>
      </c>
      <c r="C14" s="27" t="n">
        <v>0.5833</v>
      </c>
      <c r="D14" s="21">
        <f>IFERROR(BDP(A14&amp;" "&amp;PX_SRC&amp;" Curncy","PX_BID"),"")</f>
        <v/>
      </c>
      <c r="E14" s="21">
        <f>IFERROR(BDP(A14&amp;" "&amp;PX_SRC&amp;" Curncy","PX_ASK"),"")</f>
        <v/>
      </c>
      <c r="F14" s="21">
        <f>IFERROR(BDP(A14&amp;" "&amp;PX_SRC&amp;" Curncy","PX_LAST"),"")</f>
        <v/>
      </c>
      <c r="G14" s="28">
        <f>IFERROR((D14+E14)/2,IFERROR(F14,""))</f>
        <v/>
      </c>
      <c r="H14" s="30" t="inlineStr"/>
    </row>
    <row r="15">
      <c r="A15" s="8" t="inlineStr">
        <is>
          <t>USOSFRH</t>
        </is>
      </c>
      <c r="B15" s="26" t="inlineStr">
        <is>
          <t>8M</t>
        </is>
      </c>
      <c r="C15" s="27" t="n">
        <v>0.6667</v>
      </c>
      <c r="D15" s="21">
        <f>IFERROR(BDP(A15&amp;" "&amp;PX_SRC&amp;" Curncy","PX_BID"),"")</f>
        <v/>
      </c>
      <c r="E15" s="21">
        <f>IFERROR(BDP(A15&amp;" "&amp;PX_SRC&amp;" Curncy","PX_ASK"),"")</f>
        <v/>
      </c>
      <c r="F15" s="21">
        <f>IFERROR(BDP(A15&amp;" "&amp;PX_SRC&amp;" Curncy","PX_LAST"),"")</f>
        <v/>
      </c>
      <c r="G15" s="28">
        <f>IFERROR((D15+E15)/2,IFERROR(F15,""))</f>
        <v/>
      </c>
      <c r="H15" s="30" t="inlineStr"/>
    </row>
    <row r="16">
      <c r="A16" s="8" t="inlineStr">
        <is>
          <t>USOSFRI</t>
        </is>
      </c>
      <c r="B16" s="26" t="inlineStr">
        <is>
          <t>9M</t>
        </is>
      </c>
      <c r="C16" s="27" t="n">
        <v>0.75</v>
      </c>
      <c r="D16" s="21">
        <f>IFERROR(BDP(A16&amp;" "&amp;PX_SRC&amp;" Curncy","PX_BID"),"")</f>
        <v/>
      </c>
      <c r="E16" s="21">
        <f>IFERROR(BDP(A16&amp;" "&amp;PX_SRC&amp;" Curncy","PX_ASK"),"")</f>
        <v/>
      </c>
      <c r="F16" s="21">
        <f>IFERROR(BDP(A16&amp;" "&amp;PX_SRC&amp;" Curncy","PX_LAST"),"")</f>
        <v/>
      </c>
      <c r="G16" s="28">
        <f>IFERROR((D16+E16)/2,IFERROR(F16,""))</f>
        <v/>
      </c>
      <c r="H16" s="30" t="inlineStr"/>
    </row>
    <row r="17">
      <c r="A17" s="8" t="inlineStr">
        <is>
          <t>USOSFRJ</t>
        </is>
      </c>
      <c r="B17" s="26" t="inlineStr">
        <is>
          <t>10M</t>
        </is>
      </c>
      <c r="C17" s="27" t="n">
        <v>0.8333</v>
      </c>
      <c r="D17" s="21">
        <f>IFERROR(BDP(A17&amp;" "&amp;PX_SRC&amp;" Curncy","PX_BID"),"")</f>
        <v/>
      </c>
      <c r="E17" s="21">
        <f>IFERROR(BDP(A17&amp;" "&amp;PX_SRC&amp;" Curncy","PX_ASK"),"")</f>
        <v/>
      </c>
      <c r="F17" s="21">
        <f>IFERROR(BDP(A17&amp;" "&amp;PX_SRC&amp;" Curncy","PX_LAST"),"")</f>
        <v/>
      </c>
      <c r="G17" s="28">
        <f>IFERROR((D17+E17)/2,IFERROR(F17,""))</f>
        <v/>
      </c>
      <c r="H17" s="30" t="inlineStr"/>
    </row>
    <row r="18">
      <c r="A18" s="8" t="inlineStr">
        <is>
          <t>USOSFRK</t>
        </is>
      </c>
      <c r="B18" s="26" t="inlineStr">
        <is>
          <t>11M</t>
        </is>
      </c>
      <c r="C18" s="27" t="n">
        <v>0.9167</v>
      </c>
      <c r="D18" s="21">
        <f>IFERROR(BDP(A18&amp;" "&amp;PX_SRC&amp;" Curncy","PX_BID"),"")</f>
        <v/>
      </c>
      <c r="E18" s="21">
        <f>IFERROR(BDP(A18&amp;" "&amp;PX_SRC&amp;" Curncy","PX_ASK"),"")</f>
        <v/>
      </c>
      <c r="F18" s="21">
        <f>IFERROR(BDP(A18&amp;" "&amp;PX_SRC&amp;" Curncy","PX_LAST"),"")</f>
        <v/>
      </c>
      <c r="G18" s="28">
        <f>IFERROR((D18+E18)/2,IFERROR(F18,""))</f>
        <v/>
      </c>
      <c r="H18" s="30" t="inlineStr"/>
    </row>
    <row r="19">
      <c r="A19" s="8" t="inlineStr">
        <is>
          <t>USOSFR1</t>
        </is>
      </c>
      <c r="B19" s="26" t="inlineStr">
        <is>
          <t>1Y</t>
        </is>
      </c>
      <c r="C19" s="27" t="n">
        <v>1</v>
      </c>
      <c r="D19" s="21">
        <f>IFERROR(BDP(A19&amp;" "&amp;PX_SRC&amp;" Curncy","PX_BID"),"")</f>
        <v/>
      </c>
      <c r="E19" s="21">
        <f>IFERROR(BDP(A19&amp;" "&amp;PX_SRC&amp;" Curncy","PX_ASK"),"")</f>
        <v/>
      </c>
      <c r="F19" s="21">
        <f>IFERROR(BDP(A19&amp;" "&amp;PX_SRC&amp;" Curncy","PX_LAST"),"")</f>
        <v/>
      </c>
      <c r="G19" s="28">
        <f>IFERROR((D19+E19)/2,IFERROR(F19,""))</f>
        <v/>
      </c>
      <c r="H19" s="30" t="inlineStr"/>
    </row>
    <row r="20">
      <c r="A20" s="8" t="inlineStr">
        <is>
          <t>USOSFR1F</t>
        </is>
      </c>
      <c r="B20" s="26" t="inlineStr">
        <is>
          <t>18M</t>
        </is>
      </c>
      <c r="C20" s="27" t="n">
        <v>1.5</v>
      </c>
      <c r="D20" s="21">
        <f>IFERROR(BDP(A20&amp;" "&amp;PX_SRC&amp;" Curncy","PX_BID"),"")</f>
        <v/>
      </c>
      <c r="E20" s="21">
        <f>IFERROR(BDP(A20&amp;" "&amp;PX_SRC&amp;" Curncy","PX_ASK"),"")</f>
        <v/>
      </c>
      <c r="F20" s="21">
        <f>IFERROR(BDP(A20&amp;" "&amp;PX_SRC&amp;" Curncy","PX_LAST"),"")</f>
        <v/>
      </c>
      <c r="G20" s="28">
        <f>IFERROR((D20+E20)/2,IFERROR(F20,""))</f>
        <v/>
      </c>
      <c r="H20" s="30" t="inlineStr"/>
    </row>
    <row r="21">
      <c r="A21" s="8" t="inlineStr">
        <is>
          <t>USOSFR2</t>
        </is>
      </c>
      <c r="B21" s="26" t="inlineStr">
        <is>
          <t>2Y</t>
        </is>
      </c>
      <c r="C21" s="27" t="n">
        <v>2</v>
      </c>
      <c r="D21" s="21">
        <f>IFERROR(BDP(A21&amp;" "&amp;PX_SRC&amp;" Curncy","PX_BID"),"")</f>
        <v/>
      </c>
      <c r="E21" s="21">
        <f>IFERROR(BDP(A21&amp;" "&amp;PX_SRC&amp;" Curncy","PX_ASK"),"")</f>
        <v/>
      </c>
      <c r="F21" s="21">
        <f>IFERROR(BDP(A21&amp;" "&amp;PX_SRC&amp;" Curncy","PX_LAST"),"")</f>
        <v/>
      </c>
      <c r="G21" s="28">
        <f>IFERROR((D21+E21)/2,IFERROR(F21,""))</f>
        <v/>
      </c>
      <c r="H21" s="30" t="inlineStr"/>
    </row>
    <row r="22">
      <c r="A22" s="8" t="inlineStr">
        <is>
          <t>USOSFR3</t>
        </is>
      </c>
      <c r="B22" s="26" t="inlineStr">
        <is>
          <t>3Y</t>
        </is>
      </c>
      <c r="C22" s="27" t="n">
        <v>3</v>
      </c>
      <c r="D22" s="21">
        <f>IFERROR(BDP(A22&amp;" "&amp;PX_SRC&amp;" Curncy","PX_BID"),"")</f>
        <v/>
      </c>
      <c r="E22" s="21">
        <f>IFERROR(BDP(A22&amp;" "&amp;PX_SRC&amp;" Curncy","PX_ASK"),"")</f>
        <v/>
      </c>
      <c r="F22" s="21">
        <f>IFERROR(BDP(A22&amp;" "&amp;PX_SRC&amp;" Curncy","PX_LAST"),"")</f>
        <v/>
      </c>
      <c r="G22" s="28">
        <f>IFERROR((D22+E22)/2,IFERROR(F22,""))</f>
        <v/>
      </c>
      <c r="H22" s="30" t="inlineStr"/>
    </row>
    <row r="23">
      <c r="A23" s="8" t="inlineStr">
        <is>
          <t>USOSFR4</t>
        </is>
      </c>
      <c r="B23" s="26" t="inlineStr">
        <is>
          <t>4Y</t>
        </is>
      </c>
      <c r="C23" s="27" t="n">
        <v>4</v>
      </c>
      <c r="D23" s="21">
        <f>IFERROR(BDP(A23&amp;" "&amp;PX_SRC&amp;" Curncy","PX_BID"),"")</f>
        <v/>
      </c>
      <c r="E23" s="21">
        <f>IFERROR(BDP(A23&amp;" "&amp;PX_SRC&amp;" Curncy","PX_ASK"),"")</f>
        <v/>
      </c>
      <c r="F23" s="21">
        <f>IFERROR(BDP(A23&amp;" "&amp;PX_SRC&amp;" Curncy","PX_LAST"),"")</f>
        <v/>
      </c>
      <c r="G23" s="28">
        <f>IFERROR((D23+E23)/2,IFERROR(F23,""))</f>
        <v/>
      </c>
      <c r="H23" s="30" t="inlineStr"/>
    </row>
    <row r="24">
      <c r="A24" s="8" t="inlineStr">
        <is>
          <t>USOSFR5</t>
        </is>
      </c>
      <c r="B24" s="26" t="inlineStr">
        <is>
          <t>5Y</t>
        </is>
      </c>
      <c r="C24" s="27" t="n">
        <v>5</v>
      </c>
      <c r="D24" s="21">
        <f>IFERROR(BDP(A24&amp;" "&amp;PX_SRC&amp;" Curncy","PX_BID"),"")</f>
        <v/>
      </c>
      <c r="E24" s="21">
        <f>IFERROR(BDP(A24&amp;" "&amp;PX_SRC&amp;" Curncy","PX_ASK"),"")</f>
        <v/>
      </c>
      <c r="F24" s="21">
        <f>IFERROR(BDP(A24&amp;" "&amp;PX_SRC&amp;" Curncy","PX_LAST"),"")</f>
        <v/>
      </c>
      <c r="G24" s="28">
        <f>IFERROR((D24+E24)/2,IFERROR(F24,""))</f>
        <v/>
      </c>
      <c r="H24" s="29" t="inlineStr">
        <is>
          <t>Y</t>
        </is>
      </c>
    </row>
    <row r="25">
      <c r="A25" s="8" t="inlineStr">
        <is>
          <t>USOSFR6</t>
        </is>
      </c>
      <c r="B25" s="26" t="inlineStr">
        <is>
          <t>6Y</t>
        </is>
      </c>
      <c r="C25" s="27" t="n">
        <v>6</v>
      </c>
      <c r="D25" s="21">
        <f>IFERROR(BDP(A25&amp;" "&amp;PX_SRC&amp;" Curncy","PX_BID"),"")</f>
        <v/>
      </c>
      <c r="E25" s="21">
        <f>IFERROR(BDP(A25&amp;" "&amp;PX_SRC&amp;" Curncy","PX_ASK"),"")</f>
        <v/>
      </c>
      <c r="F25" s="21">
        <f>IFERROR(BDP(A25&amp;" "&amp;PX_SRC&amp;" Curncy","PX_LAST"),"")</f>
        <v/>
      </c>
      <c r="G25" s="28">
        <f>IFERROR((D25+E25)/2,IFERROR(F25,""))</f>
        <v/>
      </c>
      <c r="H25" s="29" t="inlineStr">
        <is>
          <t>Y</t>
        </is>
      </c>
    </row>
    <row r="26">
      <c r="A26" s="8" t="inlineStr">
        <is>
          <t>USOSFR7</t>
        </is>
      </c>
      <c r="B26" s="26" t="inlineStr">
        <is>
          <t>7Y</t>
        </is>
      </c>
      <c r="C26" s="27" t="n">
        <v>7</v>
      </c>
      <c r="D26" s="21">
        <f>IFERROR(BDP(A26&amp;" "&amp;PX_SRC&amp;" Curncy","PX_BID"),"")</f>
        <v/>
      </c>
      <c r="E26" s="21">
        <f>IFERROR(BDP(A26&amp;" "&amp;PX_SRC&amp;" Curncy","PX_ASK"),"")</f>
        <v/>
      </c>
      <c r="F26" s="21">
        <f>IFERROR(BDP(A26&amp;" "&amp;PX_SRC&amp;" Curncy","PX_LAST"),"")</f>
        <v/>
      </c>
      <c r="G26" s="28">
        <f>IFERROR((D26+E26)/2,IFERROR(F26,""))</f>
        <v/>
      </c>
      <c r="H26" s="29" t="inlineStr">
        <is>
          <t>Y</t>
        </is>
      </c>
    </row>
    <row r="27">
      <c r="A27" s="8" t="inlineStr">
        <is>
          <t>USOSFR8</t>
        </is>
      </c>
      <c r="B27" s="26" t="inlineStr">
        <is>
          <t>8Y</t>
        </is>
      </c>
      <c r="C27" s="27" t="n">
        <v>8</v>
      </c>
      <c r="D27" s="21">
        <f>IFERROR(BDP(A27&amp;" "&amp;PX_SRC&amp;" Curncy","PX_BID"),"")</f>
        <v/>
      </c>
      <c r="E27" s="21">
        <f>IFERROR(BDP(A27&amp;" "&amp;PX_SRC&amp;" Curncy","PX_ASK"),"")</f>
        <v/>
      </c>
      <c r="F27" s="21">
        <f>IFERROR(BDP(A27&amp;" "&amp;PX_SRC&amp;" Curncy","PX_LAST"),"")</f>
        <v/>
      </c>
      <c r="G27" s="28">
        <f>IFERROR((D27+E27)/2,IFERROR(F27,""))</f>
        <v/>
      </c>
      <c r="H27" s="29" t="inlineStr">
        <is>
          <t>Y</t>
        </is>
      </c>
    </row>
    <row r="28">
      <c r="A28" s="8" t="inlineStr">
        <is>
          <t>USOSFR9</t>
        </is>
      </c>
      <c r="B28" s="26" t="inlineStr">
        <is>
          <t>9Y</t>
        </is>
      </c>
      <c r="C28" s="27" t="n">
        <v>9</v>
      </c>
      <c r="D28" s="21">
        <f>IFERROR(BDP(A28&amp;" "&amp;PX_SRC&amp;" Curncy","PX_BID"),"")</f>
        <v/>
      </c>
      <c r="E28" s="21">
        <f>IFERROR(BDP(A28&amp;" "&amp;PX_SRC&amp;" Curncy","PX_ASK"),"")</f>
        <v/>
      </c>
      <c r="F28" s="21">
        <f>IFERROR(BDP(A28&amp;" "&amp;PX_SRC&amp;" Curncy","PX_LAST"),"")</f>
        <v/>
      </c>
      <c r="G28" s="28">
        <f>IFERROR((D28+E28)/2,IFERROR(F28,""))</f>
        <v/>
      </c>
      <c r="H28" s="29" t="inlineStr">
        <is>
          <t>Y</t>
        </is>
      </c>
    </row>
    <row r="29">
      <c r="A29" s="8" t="inlineStr">
        <is>
          <t>USOSFR10</t>
        </is>
      </c>
      <c r="B29" s="26" t="inlineStr">
        <is>
          <t>10Y</t>
        </is>
      </c>
      <c r="C29" s="27" t="n">
        <v>10</v>
      </c>
      <c r="D29" s="21">
        <f>IFERROR(BDP(A29&amp;" "&amp;PX_SRC&amp;" Curncy","PX_BID"),"")</f>
        <v/>
      </c>
      <c r="E29" s="21">
        <f>IFERROR(BDP(A29&amp;" "&amp;PX_SRC&amp;" Curncy","PX_ASK"),"")</f>
        <v/>
      </c>
      <c r="F29" s="21">
        <f>IFERROR(BDP(A29&amp;" "&amp;PX_SRC&amp;" Curncy","PX_LAST"),"")</f>
        <v/>
      </c>
      <c r="G29" s="28">
        <f>IFERROR((D29+E29)/2,IFERROR(F29,""))</f>
        <v/>
      </c>
      <c r="H29" s="29" t="inlineStr">
        <is>
          <t>Y</t>
        </is>
      </c>
    </row>
    <row r="30">
      <c r="A30" s="8" t="inlineStr">
        <is>
          <t>USOSFR12</t>
        </is>
      </c>
      <c r="B30" s="26" t="inlineStr">
        <is>
          <t>12Y</t>
        </is>
      </c>
      <c r="C30" s="27" t="n">
        <v>12</v>
      </c>
      <c r="D30" s="21">
        <f>IFERROR(BDP(A30&amp;" "&amp;PX_SRC&amp;" Curncy","PX_BID"),"")</f>
        <v/>
      </c>
      <c r="E30" s="21">
        <f>IFERROR(BDP(A30&amp;" "&amp;PX_SRC&amp;" Curncy","PX_ASK"),"")</f>
        <v/>
      </c>
      <c r="F30" s="21">
        <f>IFERROR(BDP(A30&amp;" "&amp;PX_SRC&amp;" Curncy","PX_LAST"),"")</f>
        <v/>
      </c>
      <c r="G30" s="28">
        <f>IFERROR((D30+E30)/2,IFERROR(F30,""))</f>
        <v/>
      </c>
      <c r="H30" s="29" t="inlineStr">
        <is>
          <t>Y</t>
        </is>
      </c>
    </row>
    <row r="31">
      <c r="A31" s="8" t="inlineStr">
        <is>
          <t>USOSFR15</t>
        </is>
      </c>
      <c r="B31" s="26" t="inlineStr">
        <is>
          <t>15Y</t>
        </is>
      </c>
      <c r="C31" s="27" t="n">
        <v>15</v>
      </c>
      <c r="D31" s="21">
        <f>IFERROR(BDP(A31&amp;" "&amp;PX_SRC&amp;" Curncy","PX_BID"),"")</f>
        <v/>
      </c>
      <c r="E31" s="21">
        <f>IFERROR(BDP(A31&amp;" "&amp;PX_SRC&amp;" Curncy","PX_ASK"),"")</f>
        <v/>
      </c>
      <c r="F31" s="21">
        <f>IFERROR(BDP(A31&amp;" "&amp;PX_SRC&amp;" Curncy","PX_LAST"),"")</f>
        <v/>
      </c>
      <c r="G31" s="28">
        <f>IFERROR((D31+E31)/2,IFERROR(F31,""))</f>
        <v/>
      </c>
      <c r="H31" s="29" t="inlineStr">
        <is>
          <t>Y</t>
        </is>
      </c>
    </row>
    <row r="32">
      <c r="A32" s="8" t="inlineStr">
        <is>
          <t>USOSFR20</t>
        </is>
      </c>
      <c r="B32" s="26" t="inlineStr">
        <is>
          <t>20Y</t>
        </is>
      </c>
      <c r="C32" s="27" t="n">
        <v>20</v>
      </c>
      <c r="D32" s="21">
        <f>IFERROR(BDP(A32&amp;" "&amp;PX_SRC&amp;" Curncy","PX_BID"),"")</f>
        <v/>
      </c>
      <c r="E32" s="21">
        <f>IFERROR(BDP(A32&amp;" "&amp;PX_SRC&amp;" Curncy","PX_ASK"),"")</f>
        <v/>
      </c>
      <c r="F32" s="21">
        <f>IFERROR(BDP(A32&amp;" "&amp;PX_SRC&amp;" Curncy","PX_LAST"),"")</f>
        <v/>
      </c>
      <c r="G32" s="28">
        <f>IFERROR((D32+E32)/2,IFERROR(F32,""))</f>
        <v/>
      </c>
      <c r="H32" s="29" t="inlineStr">
        <is>
          <t>Y</t>
        </is>
      </c>
    </row>
    <row r="33">
      <c r="A33" s="8" t="inlineStr">
        <is>
          <t>USOSFR25</t>
        </is>
      </c>
      <c r="B33" s="26" t="inlineStr">
        <is>
          <t>25Y</t>
        </is>
      </c>
      <c r="C33" s="27" t="n">
        <v>25</v>
      </c>
      <c r="D33" s="21">
        <f>IFERROR(BDP(A33&amp;" "&amp;PX_SRC&amp;" Curncy","PX_BID"),"")</f>
        <v/>
      </c>
      <c r="E33" s="21">
        <f>IFERROR(BDP(A33&amp;" "&amp;PX_SRC&amp;" Curncy","PX_ASK"),"")</f>
        <v/>
      </c>
      <c r="F33" s="21">
        <f>IFERROR(BDP(A33&amp;" "&amp;PX_SRC&amp;" Curncy","PX_LAST"),"")</f>
        <v/>
      </c>
      <c r="G33" s="28">
        <f>IFERROR((D33+E33)/2,IFERROR(F33,""))</f>
        <v/>
      </c>
      <c r="H33" s="29" t="inlineStr">
        <is>
          <t>Y</t>
        </is>
      </c>
    </row>
    <row r="34">
      <c r="A34" s="8" t="inlineStr">
        <is>
          <t>USOSFR30</t>
        </is>
      </c>
      <c r="B34" s="26" t="inlineStr">
        <is>
          <t>30Y</t>
        </is>
      </c>
      <c r="C34" s="27" t="n">
        <v>30</v>
      </c>
      <c r="D34" s="21">
        <f>IFERROR(BDP(A34&amp;" "&amp;PX_SRC&amp;" Curncy","PX_BID"),"")</f>
        <v/>
      </c>
      <c r="E34" s="21">
        <f>IFERROR(BDP(A34&amp;" "&amp;PX_SRC&amp;" Curncy","PX_ASK"),"")</f>
        <v/>
      </c>
      <c r="F34" s="21">
        <f>IFERROR(BDP(A34&amp;" "&amp;PX_SRC&amp;" Curncy","PX_LAST"),"")</f>
        <v/>
      </c>
      <c r="G34" s="28">
        <f>IFERROR((D34+E34)/2,IFERROR(F34,""))</f>
        <v/>
      </c>
      <c r="H34" s="29" t="inlineStr">
        <is>
          <t>Y</t>
        </is>
      </c>
    </row>
    <row r="35">
      <c r="A35" s="8" t="inlineStr">
        <is>
          <t>USOSFR40</t>
        </is>
      </c>
      <c r="B35" s="26" t="inlineStr">
        <is>
          <t>40Y</t>
        </is>
      </c>
      <c r="C35" s="27" t="n">
        <v>40</v>
      </c>
      <c r="D35" s="21">
        <f>IFERROR(BDP(A35&amp;" "&amp;PX_SRC&amp;" Curncy","PX_BID"),"")</f>
        <v/>
      </c>
      <c r="E35" s="21">
        <f>IFERROR(BDP(A35&amp;" "&amp;PX_SRC&amp;" Curncy","PX_ASK"),"")</f>
        <v/>
      </c>
      <c r="F35" s="21">
        <f>IFERROR(BDP(A35&amp;" "&amp;PX_SRC&amp;" Curncy","PX_LAST"),"")</f>
        <v/>
      </c>
      <c r="G35" s="28">
        <f>IFERROR((D35+E35)/2,IFERROR(F35,""))</f>
        <v/>
      </c>
      <c r="H35" s="29" t="inlineStr">
        <is>
          <t>Y</t>
        </is>
      </c>
    </row>
    <row r="36">
      <c r="A36" s="8" t="inlineStr">
        <is>
          <t>USOSFR50</t>
        </is>
      </c>
      <c r="B36" s="26" t="inlineStr">
        <is>
          <t>50Y</t>
        </is>
      </c>
      <c r="C36" s="27" t="n">
        <v>50</v>
      </c>
      <c r="D36" s="21">
        <f>IFERROR(BDP(A36&amp;" "&amp;PX_SRC&amp;" Curncy","PX_BID"),"")</f>
        <v/>
      </c>
      <c r="E36" s="21">
        <f>IFERROR(BDP(A36&amp;" "&amp;PX_SRC&amp;" Curncy","PX_ASK"),"")</f>
        <v/>
      </c>
      <c r="F36" s="21">
        <f>IFERROR(BDP(A36&amp;" "&amp;PX_SRC&amp;" Curncy","PX_LAST"),"")</f>
        <v/>
      </c>
      <c r="G36" s="28">
        <f>IFERROR((D36+E36)/2,IFERROR(F36,""))</f>
        <v/>
      </c>
      <c r="H36" s="29" t="inlineStr">
        <is>
          <t>Y</t>
        </is>
      </c>
    </row>
    <row r="38" ht="26" customHeight="1">
      <c r="A38" s="11" t="inlineStr">
        <is>
          <t>"In bootstrap set" = Y marks the recommended restricted calibration set (front: 1W,1M,3M,6M ; long end: 5Y–50Y). The 3M–5Y gap is filled by SR3 futures on the SOFR_Futures tab.</t>
        </is>
      </c>
    </row>
  </sheetData>
  <mergeCells count="3">
    <mergeCell ref="A38:H38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9" customWidth="1" min="3" max="3"/>
    <col width="11" customWidth="1" min="4" max="4"/>
    <col width="14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4" customWidth="1" min="11" max="11"/>
  </cols>
  <sheetData>
    <row r="1" ht="26" customHeight="1">
      <c r="A1" s="1" t="inlineStr">
        <is>
          <t>Bootstrap</t>
        </is>
      </c>
    </row>
    <row r="2" ht="16" customHeight="1">
      <c r="A2" s="2" t="inlineStr">
        <is>
          <t>Single-curve OIS bootstrap from the SOFR_OIS_Quotes mid strip → discount factors, zero &amp; forward rates</t>
        </is>
      </c>
    </row>
    <row r="4">
      <c r="A4" s="15" t="inlineStr">
        <is>
          <t>Spot (T+2):</t>
        </is>
      </c>
      <c r="B4" s="24">
        <f>WORKDAY(VAL_DATE,2)</f>
        <v/>
      </c>
    </row>
    <row r="5" ht="46" customHeight="1">
      <c r="A5" s="11" t="inlineStr">
        <is>
          <t>Par-OIS recursive bootstrap on the quoted tenor grid:  DF_n = (1 − S_n·A_(n-1)) / (1 + S_n·τ_n),  with A_(n-1) = Σ τ_i·DF_i.  Exact for the sub-1Y money-market points and the annual 1Y–10Y section (pillars coincide with coupon dates); the sparse long end (12–50Y) uses the pillar grid AS the coupon schedule — a standard, transparent approximation (the openusdcurve engine does the exact interpolated-annuity build). Par rates are pulled live from the SOFR_OIS_Quotes mid column; paste Bloomberg S490 zero rates into column J for the Δz check.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τ ACT/360</t>
        </is>
      </c>
      <c r="E7" s="20" t="inlineStr">
        <is>
          <t>Par rate S (%)</t>
        </is>
      </c>
      <c r="F7" s="20" t="inlineStr">
        <is>
          <t>Annuity Στ·DF (prior)</t>
        </is>
      </c>
      <c r="G7" s="20" t="inlineStr">
        <is>
          <t>Discount factor</t>
        </is>
      </c>
      <c r="H7" s="20" t="inlineStr">
        <is>
          <t>Zero rate (%) cont.</t>
        </is>
      </c>
      <c r="I7" s="20" t="inlineStr">
        <is>
          <t>Fwd rate (%) simple</t>
        </is>
      </c>
      <c r="J7" s="20" t="inlineStr">
        <is>
          <t>S490 zero (%) [paste]</t>
        </is>
      </c>
      <c r="K7" s="20" t="inlineStr">
        <is>
          <t>Δ vs S490 (bp)</t>
        </is>
      </c>
    </row>
    <row r="8">
      <c r="A8" s="8" t="inlineStr">
        <is>
          <t>1W</t>
        </is>
      </c>
      <c r="B8" s="18">
        <f>$B$4+7</f>
        <v/>
      </c>
      <c r="C8" s="31">
        <f>(B8-$B$4)/365</f>
        <v/>
      </c>
      <c r="D8" s="21">
        <f>(B8-$B$4)/360</f>
        <v/>
      </c>
      <c r="E8" s="21">
        <f>'SOFR_OIS_Quotes'!$G5</f>
        <v/>
      </c>
      <c r="F8" s="21" t="n">
        <v>0</v>
      </c>
      <c r="G8" s="32">
        <f>(1-(E8/100)*F8)/(1+(E8/100)*D8)</f>
        <v/>
      </c>
      <c r="H8" s="21">
        <f>-LN(G8)/C8*100</f>
        <v/>
      </c>
      <c r="I8" s="21">
        <f>(1/G8-1)/D8*100</f>
        <v/>
      </c>
      <c r="J8" s="33" t="n"/>
      <c r="K8" s="34">
        <f>IF(J8="","",(H8-J8)*100)</f>
        <v/>
      </c>
    </row>
    <row r="9">
      <c r="A9" s="23" t="inlineStr">
        <is>
          <t>2W</t>
        </is>
      </c>
      <c r="B9" s="24">
        <f>$B$4+14</f>
        <v/>
      </c>
      <c r="C9" s="35">
        <f>(B9-$B$4)/365</f>
        <v/>
      </c>
      <c r="D9" s="17">
        <f>(B9-B8)/360</f>
        <v/>
      </c>
      <c r="E9" s="17">
        <f>'SOFR_OIS_Quotes'!$G6</f>
        <v/>
      </c>
      <c r="F9" s="17">
        <f>F8+D8*G8</f>
        <v/>
      </c>
      <c r="G9" s="36">
        <f>(1-(E9/100)*F9)/(1+(E9/100)*D9)</f>
        <v/>
      </c>
      <c r="H9" s="17">
        <f>-LN(G9)/C9*100</f>
        <v/>
      </c>
      <c r="I9" s="17">
        <f>(G8/G9-1)/D9*100</f>
        <v/>
      </c>
      <c r="J9" s="33" t="n"/>
      <c r="K9" s="37">
        <f>IF(J9="","",(H9-J9)*100)</f>
        <v/>
      </c>
    </row>
    <row r="10">
      <c r="A10" s="8" t="inlineStr">
        <is>
          <t>3W</t>
        </is>
      </c>
      <c r="B10" s="18">
        <f>$B$4+21</f>
        <v/>
      </c>
      <c r="C10" s="31">
        <f>(B10-$B$4)/365</f>
        <v/>
      </c>
      <c r="D10" s="21">
        <f>(B10-B9)/360</f>
        <v/>
      </c>
      <c r="E10" s="21">
        <f>'SOFR_OIS_Quotes'!$G7</f>
        <v/>
      </c>
      <c r="F10" s="21">
        <f>F9+D9*G9</f>
        <v/>
      </c>
      <c r="G10" s="32">
        <f>(1-(E10/100)*F10)/(1+(E10/100)*D10)</f>
        <v/>
      </c>
      <c r="H10" s="21">
        <f>-LN(G10)/C10*100</f>
        <v/>
      </c>
      <c r="I10" s="21">
        <f>(G9/G10-1)/D10*100</f>
        <v/>
      </c>
      <c r="J10" s="33" t="n"/>
      <c r="K10" s="34">
        <f>IF(J10="","",(H10-J10)*100)</f>
        <v/>
      </c>
    </row>
    <row r="11">
      <c r="A11" s="23" t="inlineStr">
        <is>
          <t>1M</t>
        </is>
      </c>
      <c r="B11" s="24">
        <f>EDATE($B$4,1)</f>
        <v/>
      </c>
      <c r="C11" s="35">
        <f>(B11-$B$4)/365</f>
        <v/>
      </c>
      <c r="D11" s="17">
        <f>(B11-B10)/360</f>
        <v/>
      </c>
      <c r="E11" s="17">
        <f>'SOFR_OIS_Quotes'!$G8</f>
        <v/>
      </c>
      <c r="F11" s="17">
        <f>F10+D10*G10</f>
        <v/>
      </c>
      <c r="G11" s="36">
        <f>(1-(E11/100)*F11)/(1+(E11/100)*D11)</f>
        <v/>
      </c>
      <c r="H11" s="17">
        <f>-LN(G11)/C11*100</f>
        <v/>
      </c>
      <c r="I11" s="17">
        <f>(G10/G11-1)/D11*100</f>
        <v/>
      </c>
      <c r="J11" s="33" t="n"/>
      <c r="K11" s="37">
        <f>IF(J11="","",(H11-J11)*100)</f>
        <v/>
      </c>
    </row>
    <row r="12">
      <c r="A12" s="8" t="inlineStr">
        <is>
          <t>2M</t>
        </is>
      </c>
      <c r="B12" s="18">
        <f>EDATE($B$4,2)</f>
        <v/>
      </c>
      <c r="C12" s="31">
        <f>(B12-$B$4)/365</f>
        <v/>
      </c>
      <c r="D12" s="21">
        <f>(B12-B11)/360</f>
        <v/>
      </c>
      <c r="E12" s="21">
        <f>'SOFR_OIS_Quotes'!$G9</f>
        <v/>
      </c>
      <c r="F12" s="21">
        <f>F11+D11*G11</f>
        <v/>
      </c>
      <c r="G12" s="32">
        <f>(1-(E12/100)*F12)/(1+(E12/100)*D12)</f>
        <v/>
      </c>
      <c r="H12" s="21">
        <f>-LN(G12)/C12*100</f>
        <v/>
      </c>
      <c r="I12" s="21">
        <f>(G11/G12-1)/D12*100</f>
        <v/>
      </c>
      <c r="J12" s="33" t="n"/>
      <c r="K12" s="34">
        <f>IF(J12="","",(H12-J12)*100)</f>
        <v/>
      </c>
    </row>
    <row r="13">
      <c r="A13" s="23" t="inlineStr">
        <is>
          <t>3M</t>
        </is>
      </c>
      <c r="B13" s="24">
        <f>EDATE($B$4,3)</f>
        <v/>
      </c>
      <c r="C13" s="35">
        <f>(B13-$B$4)/365</f>
        <v/>
      </c>
      <c r="D13" s="17">
        <f>(B13-B12)/360</f>
        <v/>
      </c>
      <c r="E13" s="17">
        <f>'SOFR_OIS_Quotes'!$G10</f>
        <v/>
      </c>
      <c r="F13" s="17">
        <f>F12+D12*G12</f>
        <v/>
      </c>
      <c r="G13" s="36">
        <f>(1-(E13/100)*F13)/(1+(E13/100)*D13)</f>
        <v/>
      </c>
      <c r="H13" s="17">
        <f>-LN(G13)/C13*100</f>
        <v/>
      </c>
      <c r="I13" s="17">
        <f>(G12/G13-1)/D13*100</f>
        <v/>
      </c>
      <c r="J13" s="33" t="n"/>
      <c r="K13" s="37">
        <f>IF(J13="","",(H13-J13)*100)</f>
        <v/>
      </c>
    </row>
    <row r="14">
      <c r="A14" s="8" t="inlineStr">
        <is>
          <t>4M</t>
        </is>
      </c>
      <c r="B14" s="18">
        <f>EDATE($B$4,4)</f>
        <v/>
      </c>
      <c r="C14" s="31">
        <f>(B14-$B$4)/365</f>
        <v/>
      </c>
      <c r="D14" s="21">
        <f>(B14-B13)/360</f>
        <v/>
      </c>
      <c r="E14" s="21">
        <f>'SOFR_OIS_Quotes'!$G11</f>
        <v/>
      </c>
      <c r="F14" s="21">
        <f>F13+D13*G13</f>
        <v/>
      </c>
      <c r="G14" s="32">
        <f>(1-(E14/100)*F14)/(1+(E14/100)*D14)</f>
        <v/>
      </c>
      <c r="H14" s="21">
        <f>-LN(G14)/C14*100</f>
        <v/>
      </c>
      <c r="I14" s="21">
        <f>(G13/G14-1)/D14*100</f>
        <v/>
      </c>
      <c r="J14" s="33" t="n"/>
      <c r="K14" s="34">
        <f>IF(J14="","",(H14-J14)*100)</f>
        <v/>
      </c>
    </row>
    <row r="15">
      <c r="A15" s="23" t="inlineStr">
        <is>
          <t>5M</t>
        </is>
      </c>
      <c r="B15" s="24">
        <f>EDATE($B$4,5)</f>
        <v/>
      </c>
      <c r="C15" s="35">
        <f>(B15-$B$4)/365</f>
        <v/>
      </c>
      <c r="D15" s="17">
        <f>(B15-B14)/360</f>
        <v/>
      </c>
      <c r="E15" s="17">
        <f>'SOFR_OIS_Quotes'!$G12</f>
        <v/>
      </c>
      <c r="F15" s="17">
        <f>F14+D14*G14</f>
        <v/>
      </c>
      <c r="G15" s="36">
        <f>(1-(E15/100)*F15)/(1+(E15/100)*D15)</f>
        <v/>
      </c>
      <c r="H15" s="17">
        <f>-LN(G15)/C15*100</f>
        <v/>
      </c>
      <c r="I15" s="17">
        <f>(G14/G15-1)/D15*100</f>
        <v/>
      </c>
      <c r="J15" s="33" t="n"/>
      <c r="K15" s="37">
        <f>IF(J15="","",(H15-J15)*100)</f>
        <v/>
      </c>
    </row>
    <row r="16">
      <c r="A16" s="8" t="inlineStr">
        <is>
          <t>6M</t>
        </is>
      </c>
      <c r="B16" s="18">
        <f>EDATE($B$4,6)</f>
        <v/>
      </c>
      <c r="C16" s="31">
        <f>(B16-$B$4)/365</f>
        <v/>
      </c>
      <c r="D16" s="21">
        <f>(B16-B15)/360</f>
        <v/>
      </c>
      <c r="E16" s="21">
        <f>'SOFR_OIS_Quotes'!$G13</f>
        <v/>
      </c>
      <c r="F16" s="21">
        <f>F15+D15*G15</f>
        <v/>
      </c>
      <c r="G16" s="32">
        <f>(1-(E16/100)*F16)/(1+(E16/100)*D16)</f>
        <v/>
      </c>
      <c r="H16" s="21">
        <f>-LN(G16)/C16*100</f>
        <v/>
      </c>
      <c r="I16" s="21">
        <f>(G15/G16-1)/D16*100</f>
        <v/>
      </c>
      <c r="J16" s="33" t="n"/>
      <c r="K16" s="34">
        <f>IF(J16="","",(H16-J16)*100)</f>
        <v/>
      </c>
    </row>
    <row r="17">
      <c r="A17" s="23" t="inlineStr">
        <is>
          <t>7M</t>
        </is>
      </c>
      <c r="B17" s="24">
        <f>EDATE($B$4,7)</f>
        <v/>
      </c>
      <c r="C17" s="35">
        <f>(B17-$B$4)/365</f>
        <v/>
      </c>
      <c r="D17" s="17">
        <f>(B17-B16)/360</f>
        <v/>
      </c>
      <c r="E17" s="17">
        <f>'SOFR_OIS_Quotes'!$G14</f>
        <v/>
      </c>
      <c r="F17" s="17">
        <f>F16+D16*G16</f>
        <v/>
      </c>
      <c r="G17" s="36">
        <f>(1-(E17/100)*F17)/(1+(E17/100)*D17)</f>
        <v/>
      </c>
      <c r="H17" s="17">
        <f>-LN(G17)/C17*100</f>
        <v/>
      </c>
      <c r="I17" s="17">
        <f>(G16/G17-1)/D17*100</f>
        <v/>
      </c>
      <c r="J17" s="33" t="n"/>
      <c r="K17" s="37">
        <f>IF(J17="","",(H17-J17)*100)</f>
        <v/>
      </c>
    </row>
    <row r="18">
      <c r="A18" s="8" t="inlineStr">
        <is>
          <t>8M</t>
        </is>
      </c>
      <c r="B18" s="18">
        <f>EDATE($B$4,8)</f>
        <v/>
      </c>
      <c r="C18" s="31">
        <f>(B18-$B$4)/365</f>
        <v/>
      </c>
      <c r="D18" s="21">
        <f>(B18-B17)/360</f>
        <v/>
      </c>
      <c r="E18" s="21">
        <f>'SOFR_OIS_Quotes'!$G15</f>
        <v/>
      </c>
      <c r="F18" s="21">
        <f>F17+D17*G17</f>
        <v/>
      </c>
      <c r="G18" s="32">
        <f>(1-(E18/100)*F18)/(1+(E18/100)*D18)</f>
        <v/>
      </c>
      <c r="H18" s="21">
        <f>-LN(G18)/C18*100</f>
        <v/>
      </c>
      <c r="I18" s="21">
        <f>(G17/G18-1)/D18*100</f>
        <v/>
      </c>
      <c r="J18" s="33" t="n"/>
      <c r="K18" s="34">
        <f>IF(J18="","",(H18-J18)*100)</f>
        <v/>
      </c>
    </row>
    <row r="19">
      <c r="A19" s="23" t="inlineStr">
        <is>
          <t>9M</t>
        </is>
      </c>
      <c r="B19" s="24">
        <f>EDATE($B$4,9)</f>
        <v/>
      </c>
      <c r="C19" s="35">
        <f>(B19-$B$4)/365</f>
        <v/>
      </c>
      <c r="D19" s="17">
        <f>(B19-B18)/360</f>
        <v/>
      </c>
      <c r="E19" s="17">
        <f>'SOFR_OIS_Quotes'!$G16</f>
        <v/>
      </c>
      <c r="F19" s="17">
        <f>F18+D18*G18</f>
        <v/>
      </c>
      <c r="G19" s="36">
        <f>(1-(E19/100)*F19)/(1+(E19/100)*D19)</f>
        <v/>
      </c>
      <c r="H19" s="17">
        <f>-LN(G19)/C19*100</f>
        <v/>
      </c>
      <c r="I19" s="17">
        <f>(G18/G19-1)/D19*100</f>
        <v/>
      </c>
      <c r="J19" s="33" t="n"/>
      <c r="K19" s="37">
        <f>IF(J19="","",(H19-J19)*100)</f>
        <v/>
      </c>
    </row>
    <row r="20">
      <c r="A20" s="8" t="inlineStr">
        <is>
          <t>10M</t>
        </is>
      </c>
      <c r="B20" s="18">
        <f>EDATE($B$4,10)</f>
        <v/>
      </c>
      <c r="C20" s="31">
        <f>(B20-$B$4)/365</f>
        <v/>
      </c>
      <c r="D20" s="21">
        <f>(B20-B19)/360</f>
        <v/>
      </c>
      <c r="E20" s="21">
        <f>'SOFR_OIS_Quotes'!$G17</f>
        <v/>
      </c>
      <c r="F20" s="21">
        <f>F19+D19*G19</f>
        <v/>
      </c>
      <c r="G20" s="32">
        <f>(1-(E20/100)*F20)/(1+(E20/100)*D20)</f>
        <v/>
      </c>
      <c r="H20" s="21">
        <f>-LN(G20)/C20*100</f>
        <v/>
      </c>
      <c r="I20" s="21">
        <f>(G19/G20-1)/D20*100</f>
        <v/>
      </c>
      <c r="J20" s="33" t="n"/>
      <c r="K20" s="34">
        <f>IF(J20="","",(H20-J20)*100)</f>
        <v/>
      </c>
    </row>
    <row r="21">
      <c r="A21" s="23" t="inlineStr">
        <is>
          <t>11M</t>
        </is>
      </c>
      <c r="B21" s="24">
        <f>EDATE($B$4,11)</f>
        <v/>
      </c>
      <c r="C21" s="35">
        <f>(B21-$B$4)/365</f>
        <v/>
      </c>
      <c r="D21" s="17">
        <f>(B21-B20)/360</f>
        <v/>
      </c>
      <c r="E21" s="17">
        <f>'SOFR_OIS_Quotes'!$G18</f>
        <v/>
      </c>
      <c r="F21" s="17">
        <f>F20+D20*G20</f>
        <v/>
      </c>
      <c r="G21" s="36">
        <f>(1-(E21/100)*F21)/(1+(E21/100)*D21)</f>
        <v/>
      </c>
      <c r="H21" s="17">
        <f>-LN(G21)/C21*100</f>
        <v/>
      </c>
      <c r="I21" s="17">
        <f>(G20/G21-1)/D21*100</f>
        <v/>
      </c>
      <c r="J21" s="33" t="n"/>
      <c r="K21" s="37">
        <f>IF(J21="","",(H21-J21)*100)</f>
        <v/>
      </c>
    </row>
    <row r="22">
      <c r="A22" s="8" t="inlineStr">
        <is>
          <t>1Y</t>
        </is>
      </c>
      <c r="B22" s="18">
        <f>EDATE($B$4,12)</f>
        <v/>
      </c>
      <c r="C22" s="31">
        <f>(B22-$B$4)/365</f>
        <v/>
      </c>
      <c r="D22" s="21">
        <f>(B22-B21)/360</f>
        <v/>
      </c>
      <c r="E22" s="21">
        <f>'SOFR_OIS_Quotes'!$G19</f>
        <v/>
      </c>
      <c r="F22" s="21">
        <f>F21+D21*G21</f>
        <v/>
      </c>
      <c r="G22" s="32">
        <f>(1-(E22/100)*F22)/(1+(E22/100)*D22)</f>
        <v/>
      </c>
      <c r="H22" s="21">
        <f>-LN(G22)/C22*100</f>
        <v/>
      </c>
      <c r="I22" s="21">
        <f>(G21/G22-1)/D22*100</f>
        <v/>
      </c>
      <c r="J22" s="33" t="n"/>
      <c r="K22" s="34">
        <f>IF(J22="","",(H22-J22)*100)</f>
        <v/>
      </c>
    </row>
    <row r="23">
      <c r="A23" s="23" t="inlineStr">
        <is>
          <t>18M</t>
        </is>
      </c>
      <c r="B23" s="24">
        <f>EDATE($B$4,18)</f>
        <v/>
      </c>
      <c r="C23" s="35">
        <f>(B23-$B$4)/365</f>
        <v/>
      </c>
      <c r="D23" s="17">
        <f>(B23-B22)/360</f>
        <v/>
      </c>
      <c r="E23" s="17">
        <f>'SOFR_OIS_Quotes'!$G20</f>
        <v/>
      </c>
      <c r="F23" s="17">
        <f>F22+D22*G22</f>
        <v/>
      </c>
      <c r="G23" s="36">
        <f>(1-(E23/100)*F23)/(1+(E23/100)*D23)</f>
        <v/>
      </c>
      <c r="H23" s="17">
        <f>-LN(G23)/C23*100</f>
        <v/>
      </c>
      <c r="I23" s="17">
        <f>(G22/G23-1)/D23*100</f>
        <v/>
      </c>
      <c r="J23" s="33" t="n"/>
      <c r="K23" s="37">
        <f>IF(J23="","",(H23-J23)*100)</f>
        <v/>
      </c>
    </row>
    <row r="24">
      <c r="A24" s="8" t="inlineStr">
        <is>
          <t>2Y</t>
        </is>
      </c>
      <c r="B24" s="18">
        <f>EDATE($B$4,24)</f>
        <v/>
      </c>
      <c r="C24" s="31">
        <f>(B24-$B$4)/365</f>
        <v/>
      </c>
      <c r="D24" s="21">
        <f>(B24-B23)/360</f>
        <v/>
      </c>
      <c r="E24" s="21">
        <f>'SOFR_OIS_Quotes'!$G21</f>
        <v/>
      </c>
      <c r="F24" s="21">
        <f>F23+D23*G23</f>
        <v/>
      </c>
      <c r="G24" s="32">
        <f>(1-(E24/100)*F24)/(1+(E24/100)*D24)</f>
        <v/>
      </c>
      <c r="H24" s="21">
        <f>-LN(G24)/C24*100</f>
        <v/>
      </c>
      <c r="I24" s="21">
        <f>(G23/G24-1)/D24*100</f>
        <v/>
      </c>
      <c r="J24" s="33" t="n"/>
      <c r="K24" s="34">
        <f>IF(J24="","",(H24-J24)*100)</f>
        <v/>
      </c>
    </row>
    <row r="25">
      <c r="A25" s="23" t="inlineStr">
        <is>
          <t>3Y</t>
        </is>
      </c>
      <c r="B25" s="24">
        <f>EDATE($B$4,36)</f>
        <v/>
      </c>
      <c r="C25" s="35">
        <f>(B25-$B$4)/365</f>
        <v/>
      </c>
      <c r="D25" s="17">
        <f>(B25-B24)/360</f>
        <v/>
      </c>
      <c r="E25" s="17">
        <f>'SOFR_OIS_Quotes'!$G22</f>
        <v/>
      </c>
      <c r="F25" s="17">
        <f>F24+D24*G24</f>
        <v/>
      </c>
      <c r="G25" s="36">
        <f>(1-(E25/100)*F25)/(1+(E25/100)*D25)</f>
        <v/>
      </c>
      <c r="H25" s="17">
        <f>-LN(G25)/C25*100</f>
        <v/>
      </c>
      <c r="I25" s="17">
        <f>(G24/G25-1)/D25*100</f>
        <v/>
      </c>
      <c r="J25" s="33" t="n"/>
      <c r="K25" s="37">
        <f>IF(J25="","",(H25-J25)*100)</f>
        <v/>
      </c>
    </row>
    <row r="26">
      <c r="A26" s="8" t="inlineStr">
        <is>
          <t>4Y</t>
        </is>
      </c>
      <c r="B26" s="18">
        <f>EDATE($B$4,48)</f>
        <v/>
      </c>
      <c r="C26" s="31">
        <f>(B26-$B$4)/365</f>
        <v/>
      </c>
      <c r="D26" s="21">
        <f>(B26-B25)/360</f>
        <v/>
      </c>
      <c r="E26" s="21">
        <f>'SOFR_OIS_Quotes'!$G23</f>
        <v/>
      </c>
      <c r="F26" s="21">
        <f>F25+D25*G25</f>
        <v/>
      </c>
      <c r="G26" s="32">
        <f>(1-(E26/100)*F26)/(1+(E26/100)*D26)</f>
        <v/>
      </c>
      <c r="H26" s="21">
        <f>-LN(G26)/C26*100</f>
        <v/>
      </c>
      <c r="I26" s="21">
        <f>(G25/G26-1)/D26*100</f>
        <v/>
      </c>
      <c r="J26" s="33" t="n"/>
      <c r="K26" s="34">
        <f>IF(J26="","",(H26-J26)*100)</f>
        <v/>
      </c>
    </row>
    <row r="27">
      <c r="A27" s="23" t="inlineStr">
        <is>
          <t>5Y</t>
        </is>
      </c>
      <c r="B27" s="24">
        <f>EDATE($B$4,60)</f>
        <v/>
      </c>
      <c r="C27" s="35">
        <f>(B27-$B$4)/365</f>
        <v/>
      </c>
      <c r="D27" s="17">
        <f>(B27-B26)/360</f>
        <v/>
      </c>
      <c r="E27" s="17">
        <f>'SOFR_OIS_Quotes'!$G24</f>
        <v/>
      </c>
      <c r="F27" s="17">
        <f>F26+D26*G26</f>
        <v/>
      </c>
      <c r="G27" s="36">
        <f>(1-(E27/100)*F27)/(1+(E27/100)*D27)</f>
        <v/>
      </c>
      <c r="H27" s="17">
        <f>-LN(G27)/C27*100</f>
        <v/>
      </c>
      <c r="I27" s="17">
        <f>(G26/G27-1)/D27*100</f>
        <v/>
      </c>
      <c r="J27" s="33" t="n"/>
      <c r="K27" s="37">
        <f>IF(J27="","",(H27-J27)*100)</f>
        <v/>
      </c>
    </row>
    <row r="28">
      <c r="A28" s="8" t="inlineStr">
        <is>
          <t>6Y</t>
        </is>
      </c>
      <c r="B28" s="18">
        <f>EDATE($B$4,72)</f>
        <v/>
      </c>
      <c r="C28" s="31">
        <f>(B28-$B$4)/365</f>
        <v/>
      </c>
      <c r="D28" s="21">
        <f>(B28-B27)/360</f>
        <v/>
      </c>
      <c r="E28" s="21">
        <f>'SOFR_OIS_Quotes'!$G25</f>
        <v/>
      </c>
      <c r="F28" s="21">
        <f>F27+D27*G27</f>
        <v/>
      </c>
      <c r="G28" s="32">
        <f>(1-(E28/100)*F28)/(1+(E28/100)*D28)</f>
        <v/>
      </c>
      <c r="H28" s="21">
        <f>-LN(G28)/C28*100</f>
        <v/>
      </c>
      <c r="I28" s="21">
        <f>(G27/G28-1)/D28*100</f>
        <v/>
      </c>
      <c r="J28" s="33" t="n"/>
      <c r="K28" s="34">
        <f>IF(J28="","",(H28-J28)*100)</f>
        <v/>
      </c>
    </row>
    <row r="29">
      <c r="A29" s="23" t="inlineStr">
        <is>
          <t>7Y</t>
        </is>
      </c>
      <c r="B29" s="24">
        <f>EDATE($B$4,84)</f>
        <v/>
      </c>
      <c r="C29" s="35">
        <f>(B29-$B$4)/365</f>
        <v/>
      </c>
      <c r="D29" s="17">
        <f>(B29-B28)/360</f>
        <v/>
      </c>
      <c r="E29" s="17">
        <f>'SOFR_OIS_Quotes'!$G26</f>
        <v/>
      </c>
      <c r="F29" s="17">
        <f>F28+D28*G28</f>
        <v/>
      </c>
      <c r="G29" s="36">
        <f>(1-(E29/100)*F29)/(1+(E29/100)*D29)</f>
        <v/>
      </c>
      <c r="H29" s="17">
        <f>-LN(G29)/C29*100</f>
        <v/>
      </c>
      <c r="I29" s="17">
        <f>(G28/G29-1)/D29*100</f>
        <v/>
      </c>
      <c r="J29" s="33" t="n"/>
      <c r="K29" s="37">
        <f>IF(J29="","",(H29-J29)*100)</f>
        <v/>
      </c>
    </row>
    <row r="30">
      <c r="A30" s="8" t="inlineStr">
        <is>
          <t>8Y</t>
        </is>
      </c>
      <c r="B30" s="18">
        <f>EDATE($B$4,96)</f>
        <v/>
      </c>
      <c r="C30" s="31">
        <f>(B30-$B$4)/365</f>
        <v/>
      </c>
      <c r="D30" s="21">
        <f>(B30-B29)/360</f>
        <v/>
      </c>
      <c r="E30" s="21">
        <f>'SOFR_OIS_Quotes'!$G27</f>
        <v/>
      </c>
      <c r="F30" s="21">
        <f>F29+D29*G29</f>
        <v/>
      </c>
      <c r="G30" s="32">
        <f>(1-(E30/100)*F30)/(1+(E30/100)*D30)</f>
        <v/>
      </c>
      <c r="H30" s="21">
        <f>-LN(G30)/C30*100</f>
        <v/>
      </c>
      <c r="I30" s="21">
        <f>(G29/G30-1)/D30*100</f>
        <v/>
      </c>
      <c r="J30" s="33" t="n"/>
      <c r="K30" s="34">
        <f>IF(J30="","",(H30-J30)*100)</f>
        <v/>
      </c>
    </row>
    <row r="31">
      <c r="A31" s="23" t="inlineStr">
        <is>
          <t>9Y</t>
        </is>
      </c>
      <c r="B31" s="24">
        <f>EDATE($B$4,108)</f>
        <v/>
      </c>
      <c r="C31" s="35">
        <f>(B31-$B$4)/365</f>
        <v/>
      </c>
      <c r="D31" s="17">
        <f>(B31-B30)/360</f>
        <v/>
      </c>
      <c r="E31" s="17">
        <f>'SOFR_OIS_Quotes'!$G28</f>
        <v/>
      </c>
      <c r="F31" s="17">
        <f>F30+D30*G30</f>
        <v/>
      </c>
      <c r="G31" s="36">
        <f>(1-(E31/100)*F31)/(1+(E31/100)*D31)</f>
        <v/>
      </c>
      <c r="H31" s="17">
        <f>-LN(G31)/C31*100</f>
        <v/>
      </c>
      <c r="I31" s="17">
        <f>(G30/G31-1)/D31*100</f>
        <v/>
      </c>
      <c r="J31" s="33" t="n"/>
      <c r="K31" s="37">
        <f>IF(J31="","",(H31-J31)*100)</f>
        <v/>
      </c>
    </row>
    <row r="32">
      <c r="A32" s="8" t="inlineStr">
        <is>
          <t>10Y</t>
        </is>
      </c>
      <c r="B32" s="18">
        <f>EDATE($B$4,120)</f>
        <v/>
      </c>
      <c r="C32" s="31">
        <f>(B32-$B$4)/365</f>
        <v/>
      </c>
      <c r="D32" s="21">
        <f>(B32-B31)/360</f>
        <v/>
      </c>
      <c r="E32" s="21">
        <f>'SOFR_OIS_Quotes'!$G29</f>
        <v/>
      </c>
      <c r="F32" s="21">
        <f>F31+D31*G31</f>
        <v/>
      </c>
      <c r="G32" s="32">
        <f>(1-(E32/100)*F32)/(1+(E32/100)*D32)</f>
        <v/>
      </c>
      <c r="H32" s="21">
        <f>-LN(G32)/C32*100</f>
        <v/>
      </c>
      <c r="I32" s="21">
        <f>(G31/G32-1)/D32*100</f>
        <v/>
      </c>
      <c r="J32" s="33" t="n"/>
      <c r="K32" s="34">
        <f>IF(J32="","",(H32-J32)*100)</f>
        <v/>
      </c>
    </row>
    <row r="33">
      <c r="A33" s="23" t="inlineStr">
        <is>
          <t>12Y</t>
        </is>
      </c>
      <c r="B33" s="24">
        <f>EDATE($B$4,144)</f>
        <v/>
      </c>
      <c r="C33" s="35">
        <f>(B33-$B$4)/365</f>
        <v/>
      </c>
      <c r="D33" s="17">
        <f>(B33-B32)/360</f>
        <v/>
      </c>
      <c r="E33" s="17">
        <f>'SOFR_OIS_Quotes'!$G30</f>
        <v/>
      </c>
      <c r="F33" s="17">
        <f>F32+D32*G32</f>
        <v/>
      </c>
      <c r="G33" s="36">
        <f>(1-(E33/100)*F33)/(1+(E33/100)*D33)</f>
        <v/>
      </c>
      <c r="H33" s="17">
        <f>-LN(G33)/C33*100</f>
        <v/>
      </c>
      <c r="I33" s="17">
        <f>(G32/G33-1)/D33*100</f>
        <v/>
      </c>
      <c r="J33" s="33" t="n"/>
      <c r="K33" s="37">
        <f>IF(J33="","",(H33-J33)*100)</f>
        <v/>
      </c>
    </row>
    <row r="34">
      <c r="A34" s="8" t="inlineStr">
        <is>
          <t>15Y</t>
        </is>
      </c>
      <c r="B34" s="18">
        <f>EDATE($B$4,180)</f>
        <v/>
      </c>
      <c r="C34" s="31">
        <f>(B34-$B$4)/365</f>
        <v/>
      </c>
      <c r="D34" s="21">
        <f>(B34-B33)/360</f>
        <v/>
      </c>
      <c r="E34" s="21">
        <f>'SOFR_OIS_Quotes'!$G31</f>
        <v/>
      </c>
      <c r="F34" s="21">
        <f>F33+D33*G33</f>
        <v/>
      </c>
      <c r="G34" s="32">
        <f>(1-(E34/100)*F34)/(1+(E34/100)*D34)</f>
        <v/>
      </c>
      <c r="H34" s="21">
        <f>-LN(G34)/C34*100</f>
        <v/>
      </c>
      <c r="I34" s="21">
        <f>(G33/G34-1)/D34*100</f>
        <v/>
      </c>
      <c r="J34" s="33" t="n"/>
      <c r="K34" s="34">
        <f>IF(J34="","",(H34-J34)*100)</f>
        <v/>
      </c>
    </row>
    <row r="35">
      <c r="A35" s="23" t="inlineStr">
        <is>
          <t>20Y</t>
        </is>
      </c>
      <c r="B35" s="24">
        <f>EDATE($B$4,240)</f>
        <v/>
      </c>
      <c r="C35" s="35">
        <f>(B35-$B$4)/365</f>
        <v/>
      </c>
      <c r="D35" s="17">
        <f>(B35-B34)/360</f>
        <v/>
      </c>
      <c r="E35" s="17">
        <f>'SOFR_OIS_Quotes'!$G32</f>
        <v/>
      </c>
      <c r="F35" s="17">
        <f>F34+D34*G34</f>
        <v/>
      </c>
      <c r="G35" s="36">
        <f>(1-(E35/100)*F35)/(1+(E35/100)*D35)</f>
        <v/>
      </c>
      <c r="H35" s="17">
        <f>-LN(G35)/C35*100</f>
        <v/>
      </c>
      <c r="I35" s="17">
        <f>(G34/G35-1)/D35*100</f>
        <v/>
      </c>
      <c r="J35" s="33" t="n"/>
      <c r="K35" s="37">
        <f>IF(J35="","",(H35-J35)*100)</f>
        <v/>
      </c>
    </row>
    <row r="36">
      <c r="A36" s="8" t="inlineStr">
        <is>
          <t>25Y</t>
        </is>
      </c>
      <c r="B36" s="18">
        <f>EDATE($B$4,300)</f>
        <v/>
      </c>
      <c r="C36" s="31">
        <f>(B36-$B$4)/365</f>
        <v/>
      </c>
      <c r="D36" s="21">
        <f>(B36-B35)/360</f>
        <v/>
      </c>
      <c r="E36" s="21">
        <f>'SOFR_OIS_Quotes'!$G33</f>
        <v/>
      </c>
      <c r="F36" s="21">
        <f>F35+D35*G35</f>
        <v/>
      </c>
      <c r="G36" s="32">
        <f>(1-(E36/100)*F36)/(1+(E36/100)*D36)</f>
        <v/>
      </c>
      <c r="H36" s="21">
        <f>-LN(G36)/C36*100</f>
        <v/>
      </c>
      <c r="I36" s="21">
        <f>(G35/G36-1)/D36*100</f>
        <v/>
      </c>
      <c r="J36" s="33" t="n"/>
      <c r="K36" s="34">
        <f>IF(J36="","",(H36-J36)*100)</f>
        <v/>
      </c>
    </row>
    <row r="37">
      <c r="A37" s="23" t="inlineStr">
        <is>
          <t>30Y</t>
        </is>
      </c>
      <c r="B37" s="24">
        <f>EDATE($B$4,360)</f>
        <v/>
      </c>
      <c r="C37" s="35">
        <f>(B37-$B$4)/365</f>
        <v/>
      </c>
      <c r="D37" s="17">
        <f>(B37-B36)/360</f>
        <v/>
      </c>
      <c r="E37" s="17">
        <f>'SOFR_OIS_Quotes'!$G34</f>
        <v/>
      </c>
      <c r="F37" s="17">
        <f>F36+D36*G36</f>
        <v/>
      </c>
      <c r="G37" s="36">
        <f>(1-(E37/100)*F37)/(1+(E37/100)*D37)</f>
        <v/>
      </c>
      <c r="H37" s="17">
        <f>-LN(G37)/C37*100</f>
        <v/>
      </c>
      <c r="I37" s="17">
        <f>(G36/G37-1)/D37*100</f>
        <v/>
      </c>
      <c r="J37" s="33" t="n"/>
      <c r="K37" s="37">
        <f>IF(J37="","",(H37-J37)*100)</f>
        <v/>
      </c>
    </row>
    <row r="38">
      <c r="A38" s="8" t="inlineStr">
        <is>
          <t>40Y</t>
        </is>
      </c>
      <c r="B38" s="18">
        <f>EDATE($B$4,480)</f>
        <v/>
      </c>
      <c r="C38" s="31">
        <f>(B38-$B$4)/365</f>
        <v/>
      </c>
      <c r="D38" s="21">
        <f>(B38-B37)/360</f>
        <v/>
      </c>
      <c r="E38" s="21">
        <f>'SOFR_OIS_Quotes'!$G35</f>
        <v/>
      </c>
      <c r="F38" s="21">
        <f>F37+D37*G37</f>
        <v/>
      </c>
      <c r="G38" s="32">
        <f>(1-(E38/100)*F38)/(1+(E38/100)*D38)</f>
        <v/>
      </c>
      <c r="H38" s="21">
        <f>-LN(G38)/C38*100</f>
        <v/>
      </c>
      <c r="I38" s="21">
        <f>(G37/G38-1)/D38*100</f>
        <v/>
      </c>
      <c r="J38" s="33" t="n"/>
      <c r="K38" s="34">
        <f>IF(J38="","",(H38-J38)*100)</f>
        <v/>
      </c>
    </row>
    <row r="39">
      <c r="A39" s="23" t="inlineStr">
        <is>
          <t>50Y</t>
        </is>
      </c>
      <c r="B39" s="24">
        <f>EDATE($B$4,600)</f>
        <v/>
      </c>
      <c r="C39" s="35">
        <f>(B39-$B$4)/365</f>
        <v/>
      </c>
      <c r="D39" s="17">
        <f>(B39-B38)/360</f>
        <v/>
      </c>
      <c r="E39" s="17">
        <f>'SOFR_OIS_Quotes'!$G36</f>
        <v/>
      </c>
      <c r="F39" s="17">
        <f>F38+D38*G38</f>
        <v/>
      </c>
      <c r="G39" s="36">
        <f>(1-(E39/100)*F39)/(1+(E39/100)*D39)</f>
        <v/>
      </c>
      <c r="H39" s="17">
        <f>-LN(G39)/C39*100</f>
        <v/>
      </c>
      <c r="I39" s="17">
        <f>(G38/G39-1)/D39*100</f>
        <v/>
      </c>
      <c r="J39" s="33" t="n"/>
      <c r="K39" s="37">
        <f>IF(J39="","",(H39-J39)*100)</f>
        <v/>
      </c>
    </row>
    <row r="41" ht="40" customHeight="1">
      <c r="A41" s="11" t="inlineStr">
        <is>
          <t>Discount factor is the deliverable curve P(0,T). Zero rate is continuously-compounded (ACT/365): z = −ln(DF)/T. Forward is the simple rate over each pillar interval. Yellow column J is for pasting the Bloomberg S490 zero rates; Δ (bp) then shows your bootstrap vs Bloomberg — the validation the Lehman paper does against the dealer curve.</t>
        </is>
      </c>
    </row>
    <row r="42"/>
  </sheetData>
  <mergeCells count="4">
    <mergeCell ref="A2:K2"/>
    <mergeCell ref="A41:K42"/>
    <mergeCell ref="A1:K1"/>
    <mergeCell ref="A5:K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38">
        <f>VAL_DATE</f>
        <v/>
      </c>
    </row>
    <row r="6" ht="46" customHeight="1">
      <c r="A6" s="11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8">
        <f>BDS(S490_TKR,"CURVE_TENOR_RATES")</f>
        <v/>
      </c>
      <c r="B8" s="8" t="n"/>
      <c r="C8" s="8" t="n"/>
      <c r="D8" s="8" t="n"/>
      <c r="E8" s="8" t="n"/>
      <c r="F8" s="8" t="n"/>
      <c r="G8" s="8" t="n"/>
    </row>
    <row r="9">
      <c r="A9" s="23" t="n"/>
      <c r="B9" s="23" t="n"/>
      <c r="C9" s="23" t="n"/>
      <c r="D9" s="23" t="n"/>
      <c r="E9" s="23" t="n"/>
      <c r="F9" s="23" t="n"/>
      <c r="G9" s="2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23" t="n"/>
      <c r="B11" s="23" t="n"/>
      <c r="C11" s="23" t="n"/>
      <c r="D11" s="23" t="n"/>
      <c r="E11" s="23" t="n"/>
      <c r="F11" s="23" t="n"/>
      <c r="G11" s="2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23" t="n"/>
      <c r="B13" s="23" t="n"/>
      <c r="C13" s="23" t="n"/>
      <c r="D13" s="23" t="n"/>
      <c r="E13" s="23" t="n"/>
      <c r="F13" s="23" t="n"/>
      <c r="G13" s="2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23" t="n"/>
      <c r="B15" s="23" t="n"/>
      <c r="C15" s="23" t="n"/>
      <c r="D15" s="23" t="n"/>
      <c r="E15" s="23" t="n"/>
      <c r="F15" s="23" t="n"/>
      <c r="G15" s="2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23" t="n"/>
      <c r="B17" s="23" t="n"/>
      <c r="C17" s="23" t="n"/>
      <c r="D17" s="23" t="n"/>
      <c r="E17" s="23" t="n"/>
      <c r="F17" s="23" t="n"/>
      <c r="G17" s="2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23" t="n"/>
      <c r="B19" s="23" t="n"/>
      <c r="C19" s="23" t="n"/>
      <c r="D19" s="23" t="n"/>
      <c r="E19" s="23" t="n"/>
      <c r="F19" s="23" t="n"/>
      <c r="G19" s="2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23" t="n"/>
      <c r="B21" s="23" t="n"/>
      <c r="C21" s="23" t="n"/>
      <c r="D21" s="23" t="n"/>
      <c r="E21" s="23" t="n"/>
      <c r="F21" s="23" t="n"/>
      <c r="G21" s="2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23" t="n"/>
      <c r="B23" s="23" t="n"/>
      <c r="C23" s="23" t="n"/>
      <c r="D23" s="23" t="n"/>
      <c r="E23" s="23" t="n"/>
      <c r="F23" s="23" t="n"/>
      <c r="G23" s="2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23" t="n"/>
      <c r="B25" s="23" t="n"/>
      <c r="C25" s="23" t="n"/>
      <c r="D25" s="23" t="n"/>
      <c r="E25" s="23" t="n"/>
      <c r="F25" s="23" t="n"/>
      <c r="G25" s="2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23" t="n"/>
      <c r="B27" s="23" t="n"/>
      <c r="C27" s="23" t="n"/>
      <c r="D27" s="23" t="n"/>
      <c r="E27" s="23" t="n"/>
      <c r="F27" s="23" t="n"/>
      <c r="G27" s="2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23" t="n"/>
      <c r="B29" s="23" t="n"/>
      <c r="C29" s="23" t="n"/>
      <c r="D29" s="23" t="n"/>
      <c r="E29" s="23" t="n"/>
      <c r="F29" s="23" t="n"/>
      <c r="G29" s="2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23" t="n"/>
      <c r="B31" s="23" t="n"/>
      <c r="C31" s="23" t="n"/>
      <c r="D31" s="23" t="n"/>
      <c r="E31" s="23" t="n"/>
      <c r="F31" s="23" t="n"/>
      <c r="G31" s="2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23" t="n"/>
      <c r="B33" s="23" t="n"/>
      <c r="C33" s="23" t="n"/>
      <c r="D33" s="23" t="n"/>
      <c r="E33" s="23" t="n"/>
      <c r="F33" s="23" t="n"/>
      <c r="G33" s="2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23" t="n"/>
      <c r="B35" s="23" t="n"/>
      <c r="C35" s="23" t="n"/>
      <c r="D35" s="23" t="n"/>
      <c r="E35" s="23" t="n"/>
      <c r="F35" s="23" t="n"/>
      <c r="G35" s="2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23" t="n"/>
      <c r="B37" s="23" t="n"/>
      <c r="C37" s="23" t="n"/>
      <c r="D37" s="23" t="n"/>
      <c r="E37" s="23" t="n"/>
      <c r="F37" s="23" t="n"/>
      <c r="G37" s="2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23" t="n"/>
      <c r="B39" s="23" t="n"/>
      <c r="C39" s="23" t="n"/>
      <c r="D39" s="23" t="n"/>
      <c r="E39" s="23" t="n"/>
      <c r="F39" s="23" t="n"/>
      <c r="G39" s="2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23" t="n"/>
      <c r="B41" s="23" t="n"/>
      <c r="C41" s="23" t="n"/>
      <c r="D41" s="23" t="n"/>
      <c r="E41" s="23" t="n"/>
      <c r="F41" s="23" t="n"/>
      <c r="G41" s="2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23" t="n"/>
      <c r="B43" s="23" t="n"/>
      <c r="C43" s="23" t="n"/>
      <c r="D43" s="23" t="n"/>
      <c r="E43" s="23" t="n"/>
      <c r="F43" s="23" t="n"/>
      <c r="G43" s="2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23" t="n"/>
      <c r="B45" s="23" t="n"/>
      <c r="C45" s="23" t="n"/>
      <c r="D45" s="23" t="n"/>
      <c r="E45" s="23" t="n"/>
      <c r="F45" s="23" t="n"/>
      <c r="G45" s="2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23" t="n"/>
      <c r="B47" s="23" t="n"/>
      <c r="C47" s="23" t="n"/>
      <c r="D47" s="23" t="n"/>
      <c r="E47" s="23" t="n"/>
      <c r="F47" s="23" t="n"/>
      <c r="G47" s="23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39" t="inlineStr">
        <is>
          <t>CRNCY</t>
        </is>
      </c>
      <c r="C5" s="40">
        <f>IFERROR(BDP("USOSFRC BGN Curncy","CRNCY"),"N/A — use FLDS")</f>
        <v/>
      </c>
      <c r="D5" s="40">
        <f>IFERROR(BDP("USOSFR1 BGN Curncy","CRNCY"),"N/A — use FLDS")</f>
        <v/>
      </c>
      <c r="E5" s="40">
        <f>IFERROR(BDP("USOSFR5 BGN Curncy","CRNCY"),"N/A — use FLDS")</f>
        <v/>
      </c>
      <c r="F5" s="40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— DES/SWPM manual —</t>
        </is>
      </c>
      <c r="C6" s="26" t="inlineStr">
        <is>
          <t>— DES/SWPM —</t>
        </is>
      </c>
      <c r="D6" s="26" t="inlineStr">
        <is>
          <t>— DES/SWPM —</t>
        </is>
      </c>
      <c r="E6" s="26" t="inlineStr">
        <is>
          <t>— DES/SWPM —</t>
        </is>
      </c>
      <c r="F6" s="26" t="inlineStr">
        <is>
          <t>— DES/SWPM —</t>
        </is>
      </c>
    </row>
    <row r="7">
      <c r="A7" s="23" t="inlineStr">
        <is>
          <t>Spot / settlement lag</t>
        </is>
      </c>
      <c r="B7" s="39" t="inlineStr">
        <is>
          <t>— DES/SWPM manual —</t>
        </is>
      </c>
      <c r="C7" s="40" t="inlineStr">
        <is>
          <t>— DES/SWPM —</t>
        </is>
      </c>
      <c r="D7" s="40" t="inlineStr">
        <is>
          <t>— DES/SWPM —</t>
        </is>
      </c>
      <c r="E7" s="40" t="inlineStr">
        <is>
          <t>— DES/SWPM —</t>
        </is>
      </c>
      <c r="F7" s="40" t="inlineStr">
        <is>
          <t>— DES/SWPM —</t>
        </is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6" t="inlineStr">
        <is>
          <t>— DES/SWPM —</t>
        </is>
      </c>
      <c r="D8" s="26" t="inlineStr">
        <is>
          <t>— DES/SWPM —</t>
        </is>
      </c>
      <c r="E8" s="26" t="inlineStr">
        <is>
          <t>— DES/SWPM —</t>
        </is>
      </c>
      <c r="F8" s="26" t="inlineStr">
        <is>
          <t>— DES/SWPM —</t>
        </is>
      </c>
    </row>
    <row r="9">
      <c r="A9" s="23" t="inlineStr">
        <is>
          <t>Maturity date rule</t>
        </is>
      </c>
      <c r="B9" s="39" t="inlineStr">
        <is>
          <t>— DES/SWPM manual —</t>
        </is>
      </c>
      <c r="C9" s="40" t="inlineStr">
        <is>
          <t>— DES/SWPM —</t>
        </is>
      </c>
      <c r="D9" s="40" t="inlineStr">
        <is>
          <t>— DES/SWPM —</t>
        </is>
      </c>
      <c r="E9" s="40" t="inlineStr">
        <is>
          <t>— DES/SWPM —</t>
        </is>
      </c>
      <c r="F9" s="40" t="inlineStr">
        <is>
          <t>— DES/SWPM —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6">
        <f>IFERROR(BDP("USOSFRC BGN Curncy","CALENDAR_CODE"),"N/A — use FLDS")</f>
        <v/>
      </c>
      <c r="D10" s="26">
        <f>IFERROR(BDP("USOSFR1 BGN Curncy","CALENDAR_CODE"),"N/A — use FLDS")</f>
        <v/>
      </c>
      <c r="E10" s="26">
        <f>IFERROR(BDP("USOSFR5 BGN Curncy","CALENDAR_CODE"),"N/A — use FLDS")</f>
        <v/>
      </c>
      <c r="F10" s="26">
        <f>IFERROR(BDP("USOSFR30 BGN Curncy","CALENDAR_CODE"),"N/A — use FLDS")</f>
        <v/>
      </c>
    </row>
    <row r="11">
      <c r="A11" s="23" t="inlineStr">
        <is>
          <t>Business-day convention</t>
        </is>
      </c>
      <c r="B11" s="39" t="inlineStr">
        <is>
          <t>— DES/SWPM manual —</t>
        </is>
      </c>
      <c r="C11" s="40" t="inlineStr">
        <is>
          <t>— DES/SWPM —</t>
        </is>
      </c>
      <c r="D11" s="40" t="inlineStr">
        <is>
          <t>— DES/SWPM —</t>
        </is>
      </c>
      <c r="E11" s="40" t="inlineStr">
        <is>
          <t>— DES/SWPM —</t>
        </is>
      </c>
      <c r="F11" s="40" t="inlineStr">
        <is>
          <t>— DES/SWPM —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6">
        <f>IFERROR(BDP("USOSFRC BGN Curncy","DAY_CNT_DES"),"N/A — use FLDS")</f>
        <v/>
      </c>
      <c r="D12" s="26">
        <f>IFERROR(BDP("USOSFR1 BGN Curncy","DAY_CNT_DES"),"N/A — use FLDS")</f>
        <v/>
      </c>
      <c r="E12" s="26">
        <f>IFERROR(BDP("USOSFR5 BGN Curncy","DAY_CNT_DES"),"N/A — use FLDS")</f>
        <v/>
      </c>
      <c r="F12" s="26">
        <f>IFERROR(BDP("USOSFR30 BGN Curncy","DAY_CNT_DES"),"N/A — use FLDS")</f>
        <v/>
      </c>
    </row>
    <row r="13">
      <c r="A13" s="23" t="inlineStr">
        <is>
          <t>Fixed-leg pay frequency</t>
        </is>
      </c>
      <c r="B13" s="39" t="inlineStr">
        <is>
          <t>— DES/SWPM manual —</t>
        </is>
      </c>
      <c r="C13" s="40" t="inlineStr">
        <is>
          <t>— DES/SWPM —</t>
        </is>
      </c>
      <c r="D13" s="40" t="inlineStr">
        <is>
          <t>— DES/SWPM —</t>
        </is>
      </c>
      <c r="E13" s="40" t="inlineStr">
        <is>
          <t>— DES/SWPM —</t>
        </is>
      </c>
      <c r="F13" s="40" t="inlineStr">
        <is>
          <t>— DES/SWPM —</t>
        </is>
      </c>
    </row>
    <row r="14">
      <c r="A14" s="8" t="inlineStr">
        <is>
          <t>Floating-leg day count</t>
        </is>
      </c>
      <c r="B14" s="10" t="inlineStr">
        <is>
          <t>— DES/SWPM manual —</t>
        </is>
      </c>
      <c r="C14" s="26" t="inlineStr">
        <is>
          <t>— DES/SWPM —</t>
        </is>
      </c>
      <c r="D14" s="26" t="inlineStr">
        <is>
          <t>— DES/SWPM —</t>
        </is>
      </c>
      <c r="E14" s="26" t="inlineStr">
        <is>
          <t>— DES/SWPM —</t>
        </is>
      </c>
      <c r="F14" s="26" t="inlineStr">
        <is>
          <t>— DES/SWPM —</t>
        </is>
      </c>
    </row>
    <row r="15">
      <c r="A15" s="23" t="inlineStr">
        <is>
          <t>Floating-leg pay frequency</t>
        </is>
      </c>
      <c r="B15" s="39" t="inlineStr">
        <is>
          <t>— DES/SWPM manual —</t>
        </is>
      </c>
      <c r="C15" s="40" t="inlineStr">
        <is>
          <t>— DES/SWPM —</t>
        </is>
      </c>
      <c r="D15" s="40" t="inlineStr">
        <is>
          <t>— DES/SWPM —</t>
        </is>
      </c>
      <c r="E15" s="40" t="inlineStr">
        <is>
          <t>— DES/SWPM —</t>
        </is>
      </c>
      <c r="F15" s="40" t="inlineStr">
        <is>
          <t>— DES/SWPM —</t>
        </is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6" t="inlineStr">
        <is>
          <t>— DES/SWPM —</t>
        </is>
      </c>
      <c r="D16" s="26" t="inlineStr">
        <is>
          <t>— DES/SWPM —</t>
        </is>
      </c>
      <c r="E16" s="26" t="inlineStr">
        <is>
          <t>— DES/SWPM —</t>
        </is>
      </c>
      <c r="F16" s="26" t="inlineStr">
        <is>
          <t>— DES/SWPM —</t>
        </is>
      </c>
    </row>
    <row r="17">
      <c r="A17" s="23" t="inlineStr">
        <is>
          <t>Payment lag</t>
        </is>
      </c>
      <c r="B17" s="39" t="inlineStr">
        <is>
          <t>— DES/SWPM manual —</t>
        </is>
      </c>
      <c r="C17" s="40" t="inlineStr">
        <is>
          <t>— DES/SWPM —</t>
        </is>
      </c>
      <c r="D17" s="40" t="inlineStr">
        <is>
          <t>— DES/SWPM —</t>
        </is>
      </c>
      <c r="E17" s="40" t="inlineStr">
        <is>
          <t>— DES/SWPM —</t>
        </is>
      </c>
      <c r="F17" s="40" t="inlineStr">
        <is>
          <t>— DES/SWPM —</t>
        </is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6" t="inlineStr">
        <is>
          <t>— DES/SWPM —</t>
        </is>
      </c>
      <c r="D18" s="26" t="inlineStr">
        <is>
          <t>— DES/SWPM —</t>
        </is>
      </c>
      <c r="E18" s="26" t="inlineStr">
        <is>
          <t>— DES/SWPM —</t>
        </is>
      </c>
      <c r="F18" s="26" t="inlineStr">
        <is>
          <t>— DES/SWPM —</t>
        </is>
      </c>
    </row>
    <row r="19">
      <c r="A19" s="23" t="inlineStr">
        <is>
          <t>End-of-month treatment</t>
        </is>
      </c>
      <c r="B19" s="39" t="inlineStr">
        <is>
          <t>— DES/SWPM manual —</t>
        </is>
      </c>
      <c r="C19" s="40" t="inlineStr">
        <is>
          <t>— DES/SWPM —</t>
        </is>
      </c>
      <c r="D19" s="40" t="inlineStr">
        <is>
          <t>— DES/SWPM —</t>
        </is>
      </c>
      <c r="E19" s="40" t="inlineStr">
        <is>
          <t>— DES/SWPM —</t>
        </is>
      </c>
      <c r="F19" s="40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8" t="inlineStr">
        <is>
          <t>Reference index</t>
        </is>
      </c>
      <c r="B22" s="41" t="inlineStr">
        <is>
          <t>USD-SOFR (compounded in arrears)</t>
        </is>
      </c>
      <c r="C22" s="42" t="n"/>
      <c r="D22" s="42" t="n"/>
      <c r="E22" s="42" t="n"/>
      <c r="F22" s="42" t="n"/>
    </row>
    <row r="23">
      <c r="A23" s="8" t="inlineStr">
        <is>
          <t>Spot / settlement lag</t>
        </is>
      </c>
      <c r="B23" s="41" t="inlineStr">
        <is>
          <t>T+2 US business days</t>
        </is>
      </c>
      <c r="C23" s="42" t="n"/>
      <c r="D23" s="42" t="n"/>
      <c r="E23" s="42" t="n"/>
      <c r="F23" s="42" t="n"/>
    </row>
    <row r="24">
      <c r="A24" s="8" t="inlineStr">
        <is>
          <t>Effective date rule</t>
        </is>
      </c>
      <c r="B24" s="41" t="inlineStr">
        <is>
          <t>Spot (T+2), modified following</t>
        </is>
      </c>
      <c r="C24" s="42" t="n"/>
      <c r="D24" s="42" t="n"/>
      <c r="E24" s="42" t="n"/>
      <c r="F24" s="42" t="n"/>
    </row>
    <row r="25">
      <c r="A25" s="8" t="inlineStr">
        <is>
          <t>Maturity date rule</t>
        </is>
      </c>
      <c r="B25" s="41" t="inlineStr">
        <is>
          <t>Effective + tenor, modified following</t>
        </is>
      </c>
      <c r="C25" s="42" t="n"/>
      <c r="D25" s="42" t="n"/>
      <c r="E25" s="42" t="n"/>
      <c r="F25" s="42" t="n"/>
    </row>
    <row r="26">
      <c r="A26" s="8" t="inlineStr">
        <is>
          <t>Business-day convention</t>
        </is>
      </c>
      <c r="B26" s="41" t="inlineStr">
        <is>
          <t>Modified Following</t>
        </is>
      </c>
      <c r="C26" s="42" t="n"/>
      <c r="D26" s="42" t="n"/>
      <c r="E26" s="42" t="n"/>
      <c r="F26" s="42" t="n"/>
    </row>
    <row r="27">
      <c r="A27" s="8" t="inlineStr">
        <is>
          <t>Fixed-leg day count</t>
        </is>
      </c>
      <c r="B27" s="41" t="inlineStr">
        <is>
          <t>ACT/360</t>
        </is>
      </c>
      <c r="C27" s="42" t="n"/>
      <c r="D27" s="42" t="n"/>
      <c r="E27" s="42" t="n"/>
      <c r="F27" s="42" t="n"/>
    </row>
    <row r="28">
      <c r="A28" s="8" t="inlineStr">
        <is>
          <t>Fixed-leg pay frequency</t>
        </is>
      </c>
      <c r="B28" s="41" t="inlineStr">
        <is>
          <t>Annual  (single payment if tenor ≤ 1Y)</t>
        </is>
      </c>
      <c r="C28" s="42" t="n"/>
      <c r="D28" s="42" t="n"/>
      <c r="E28" s="42" t="n"/>
      <c r="F28" s="42" t="n"/>
    </row>
    <row r="29">
      <c r="A29" s="8" t="inlineStr">
        <is>
          <t>Floating-leg day count</t>
        </is>
      </c>
      <c r="B29" s="41" t="inlineStr">
        <is>
          <t>ACT/360</t>
        </is>
      </c>
      <c r="C29" s="42" t="n"/>
      <c r="D29" s="42" t="n"/>
      <c r="E29" s="42" t="n"/>
      <c r="F29" s="42" t="n"/>
    </row>
    <row r="30">
      <c r="A30" s="8" t="inlineStr">
        <is>
          <t>Floating-leg pay frequency</t>
        </is>
      </c>
      <c r="B30" s="41" t="inlineStr">
        <is>
          <t>Annual  (single payment if tenor ≤ 1Y)</t>
        </is>
      </c>
      <c r="C30" s="42" t="n"/>
      <c r="D30" s="42" t="n"/>
      <c r="E30" s="42" t="n"/>
      <c r="F30" s="42" t="n"/>
    </row>
    <row r="31">
      <c r="A31" s="8" t="inlineStr">
        <is>
          <t>SOFR compounding method</t>
        </is>
      </c>
      <c r="B31" s="41" t="inlineStr">
        <is>
          <t>Daily compounded, ACT/360</t>
        </is>
      </c>
      <c r="C31" s="42" t="n"/>
      <c r="D31" s="42" t="n"/>
      <c r="E31" s="42" t="n"/>
      <c r="F31" s="42" t="n"/>
    </row>
    <row r="32">
      <c r="A32" s="8" t="inlineStr">
        <is>
          <t>Payment lag</t>
        </is>
      </c>
      <c r="B32" s="41" t="inlineStr">
        <is>
          <t>2 US business days</t>
        </is>
      </c>
      <c r="C32" s="42" t="n"/>
      <c r="D32" s="42" t="n"/>
      <c r="E32" s="42" t="n"/>
      <c r="F32" s="42" t="n"/>
    </row>
    <row r="33">
      <c r="A33" s="8" t="inlineStr">
        <is>
          <t>Observation shift / lookback</t>
        </is>
      </c>
      <c r="B33" s="41" t="inlineStr">
        <is>
          <t>None (payment-delay convention, 2 bd)</t>
        </is>
      </c>
      <c r="C33" s="42" t="n"/>
      <c r="D33" s="42" t="n"/>
      <c r="E33" s="42" t="n"/>
      <c r="F33" s="42" t="n"/>
    </row>
    <row r="34">
      <c r="A34" s="8" t="inlineStr">
        <is>
          <t>End-of-month treatment</t>
        </is>
      </c>
      <c r="B34" s="41" t="inlineStr">
        <is>
          <t>EOM applies</t>
        </is>
      </c>
      <c r="C34" s="42" t="n"/>
      <c r="D34" s="42" t="n"/>
      <c r="E34" s="42" t="n"/>
      <c r="F34" s="42" t="n"/>
    </row>
    <row r="36" ht="44" customHeight="1">
      <c r="A36" s="11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7">
    <mergeCell ref="B30:F30"/>
    <mergeCell ref="A2:F2"/>
    <mergeCell ref="B29:F29"/>
    <mergeCell ref="B24:F24"/>
    <mergeCell ref="B34:F34"/>
    <mergeCell ref="B33:F33"/>
    <mergeCell ref="A1:F1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2026-07-20T13:34:55Z</dcterms:created>
  <dcterms:modified xmlns:dcterms="http://purl.org/dc/terms/" xmlns:xsi="http://www.w3.org/2001/XMLSchema-instance" xsi:type="dcterms:W3CDTF">2026-07-20T13:34:55Z</dcterms:modified>
</cp:coreProperties>
</file>