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Curve_Solver" sheetId="10" state="hidden" r:id="rId10"/>
    <sheet xmlns:r="http://schemas.openxmlformats.org/officeDocument/2006/relationships" name="Fwd_Interp" sheetId="11" state="visible" r:id="rId11"/>
    <sheet xmlns:r="http://schemas.openxmlformats.org/officeDocument/2006/relationships" name="Curve_Interface" sheetId="12" state="visible" r:id="rId12"/>
    <sheet xmlns:r="http://schemas.openxmlformats.org/officeDocument/2006/relationships" name="Swap_Pricer" sheetId="13" state="visible" r:id="rId13"/>
    <sheet xmlns:r="http://schemas.openxmlformats.org/officeDocument/2006/relationships" name="Bloomberg_S490_Validation" sheetId="14" state="visible" r:id="rId14"/>
    <sheet xmlns:r="http://schemas.openxmlformats.org/officeDocument/2006/relationships" name="Charts" sheetId="15" state="visible" r:id="rId15"/>
    <sheet xmlns:r="http://schemas.openxmlformats.org/officeDocument/2006/relationships" name="CDS_Entities" sheetId="16" state="visible" r:id="rId16"/>
    <sheet xmlns:r="http://schemas.openxmlformats.org/officeDocument/2006/relationships" name="CDS_Parameters" sheetId="17" state="visible" r:id="rId17"/>
    <sheet xmlns:r="http://schemas.openxmlformats.org/officeDocument/2006/relationships" name="CDS_Quotes" sheetId="18" state="visible" r:id="rId18"/>
    <sheet xmlns:r="http://schemas.openxmlformats.org/officeDocument/2006/relationships" name="Hazard_Bootstrap" sheetId="19" state="visible" r:id="rId19"/>
    <sheet xmlns:r="http://schemas.openxmlformats.org/officeDocument/2006/relationships" name="Hazard_Solver" sheetId="20" state="hidden" r:id="rId20"/>
    <sheet xmlns:r="http://schemas.openxmlformats.org/officeDocument/2006/relationships" name="CDS_Schedule" sheetId="21" state="visible" r:id="rId21"/>
    <sheet xmlns:r="http://schemas.openxmlformats.org/officeDocument/2006/relationships" name="CDS_Pricer" sheetId="22" state="visible" r:id="rId22"/>
    <sheet xmlns:r="http://schemas.openxmlformats.org/officeDocument/2006/relationships" name="CDS_Validation" sheetId="23" state="visible" r:id="rId23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1",INDEX(Testing!$C$7:$C$38,MATCH(B5,Testing!$A$7:$A$38,0)),IF(Bootstrap!$G$4="Test 2",INDEX(Testing!$G$7:$G$38,MATCH(B5,Testing!$A$7:$A$38,0)),IF(Bootstrap!$G$4="Test 3",INDEX(Testing!$K$7:$K$38,MATCH(B5,Testing!$A$7:$A$38,0)),IF(Bootstrap!$G$4="Fixed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1",INDEX(Testing!$C$7:$C$38,MATCH(B6,Testing!$A$7:$A$38,0)),IF(Bootstrap!$G$4="Test 2",INDEX(Testing!$G$7:$G$38,MATCH(B6,Testing!$A$7:$A$38,0)),IF(Bootstrap!$G$4="Test 3",INDEX(Testing!$K$7:$K$38,MATCH(B6,Testing!$A$7:$A$38,0)),IF(Bootstrap!$G$4="Fixed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1",INDEX(Testing!$C$7:$C$38,MATCH(B7,Testing!$A$7:$A$38,0)),IF(Bootstrap!$G$4="Test 2",INDEX(Testing!$G$7:$G$38,MATCH(B7,Testing!$A$7:$A$38,0)),IF(Bootstrap!$G$4="Test 3",INDEX(Testing!$K$7:$K$38,MATCH(B7,Testing!$A$7:$A$38,0)),IF(Bootstrap!$G$4="Fixed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1",INDEX(Testing!$C$7:$C$38,MATCH(B8,Testing!$A$7:$A$38,0)),IF(Bootstrap!$G$4="Test 2",INDEX(Testing!$G$7:$G$38,MATCH(B8,Testing!$A$7:$A$38,0)),IF(Bootstrap!$G$4="Test 3",INDEX(Testing!$K$7:$K$38,MATCH(B8,Testing!$A$7:$A$38,0)),IF(Bootstrap!$G$4="Fixed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1",INDEX(Testing!$C$7:$C$38,MATCH(B9,Testing!$A$7:$A$38,0)),IF(Bootstrap!$G$4="Test 2",INDEX(Testing!$G$7:$G$38,MATCH(B9,Testing!$A$7:$A$38,0)),IF(Bootstrap!$G$4="Test 3",INDEX(Testing!$K$7:$K$38,MATCH(B9,Testing!$A$7:$A$38,0)),IF(Bootstrap!$G$4="Fixed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1",INDEX(Testing!$C$7:$C$38,MATCH(B10,Testing!$A$7:$A$38,0)),IF(Bootstrap!$G$4="Test 2",INDEX(Testing!$G$7:$G$38,MATCH(B10,Testing!$A$7:$A$38,0)),IF(Bootstrap!$G$4="Test 3",INDEX(Testing!$K$7:$K$38,MATCH(B10,Testing!$A$7:$A$38,0)),IF(Bootstrap!$G$4="Fixed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1",INDEX(Testing!$C$7:$C$38,MATCH(B11,Testing!$A$7:$A$38,0)),IF(Bootstrap!$G$4="Test 2",INDEX(Testing!$G$7:$G$38,MATCH(B11,Testing!$A$7:$A$38,0)),IF(Bootstrap!$G$4="Test 3",INDEX(Testing!$K$7:$K$38,MATCH(B11,Testing!$A$7:$A$38,0)),IF(Bootstrap!$G$4="Fixed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1",INDEX(Testing!$C$7:$C$38,MATCH(B12,Testing!$A$7:$A$38,0)),IF(Bootstrap!$G$4="Test 2",INDEX(Testing!$G$7:$G$38,MATCH(B12,Testing!$A$7:$A$38,0)),IF(Bootstrap!$G$4="Test 3",INDEX(Testing!$K$7:$K$38,MATCH(B12,Testing!$A$7:$A$38,0)),IF(Bootstrap!$G$4="Fixed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1",INDEX(Testing!$C$7:$C$38,MATCH(B13,Testing!$A$7:$A$38,0)),IF(Bootstrap!$G$4="Test 2",INDEX(Testing!$G$7:$G$38,MATCH(B13,Testing!$A$7:$A$38,0)),IF(Bootstrap!$G$4="Test 3",INDEX(Testing!$K$7:$K$38,MATCH(B13,Testing!$A$7:$A$38,0)),IF(Bootstrap!$G$4="Fixed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1",INDEX(Testing!$C$7:$C$38,MATCH(B14,Testing!$A$7:$A$38,0)),IF(Bootstrap!$G$4="Test 2",INDEX(Testing!$G$7:$G$38,MATCH(B14,Testing!$A$7:$A$38,0)),IF(Bootstrap!$G$4="Test 3",INDEX(Testing!$K$7:$K$38,MATCH(B14,Testing!$A$7:$A$38,0)),IF(Bootstrap!$G$4="Fixed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1",INDEX(Testing!$C$7:$C$38,MATCH(B15,Testing!$A$7:$A$38,0)),IF(Bootstrap!$G$4="Test 2",INDEX(Testing!$G$7:$G$38,MATCH(B15,Testing!$A$7:$A$38,0)),IF(Bootstrap!$G$4="Test 3",INDEX(Testing!$K$7:$K$38,MATCH(B15,Testing!$A$7:$A$38,0)),IF(Bootstrap!$G$4="Fixed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1",INDEX(Testing!$C$7:$C$38,MATCH(B16,Testing!$A$7:$A$38,0)),IF(Bootstrap!$G$4="Test 2",INDEX(Testing!$G$7:$G$38,MATCH(B16,Testing!$A$7:$A$38,0)),IF(Bootstrap!$G$4="Test 3",INDEX(Testing!$K$7:$K$38,MATCH(B16,Testing!$A$7:$A$38,0)),IF(Bootstrap!$G$4="Fixed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1",INDEX(Testing!$C$7:$C$38,MATCH(B17,Testing!$A$7:$A$38,0)),IF(Bootstrap!$G$4="Test 2",INDEX(Testing!$G$7:$G$38,MATCH(B17,Testing!$A$7:$A$38,0)),IF(Bootstrap!$G$4="Test 3",INDEX(Testing!$K$7:$K$38,MATCH(B17,Testing!$A$7:$A$38,0)),IF(Bootstrap!$G$4="Fixed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1",INDEX(Testing!$C$7:$C$38,MATCH(B18,Testing!$A$7:$A$38,0)),IF(Bootstrap!$G$4="Test 2",INDEX(Testing!$G$7:$G$38,MATCH(B18,Testing!$A$7:$A$38,0)),IF(Bootstrap!$G$4="Test 3",INDEX(Testing!$K$7:$K$38,MATCH(B18,Testing!$A$7:$A$38,0)),IF(Bootstrap!$G$4="Fixed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1",INDEX(Testing!$C$7:$C$38,MATCH(B19,Testing!$A$7:$A$38,0)),IF(Bootstrap!$G$4="Test 2",INDEX(Testing!$G$7:$G$38,MATCH(B19,Testing!$A$7:$A$38,0)),IF(Bootstrap!$G$4="Test 3",INDEX(Testing!$K$7:$K$38,MATCH(B19,Testing!$A$7:$A$38,0)),IF(Bootstrap!$G$4="Fixed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1",INDEX(Testing!$C$7:$C$38,MATCH(B20,Testing!$A$7:$A$38,0)),IF(Bootstrap!$G$4="Test 2",INDEX(Testing!$G$7:$G$38,MATCH(B20,Testing!$A$7:$A$38,0)),IF(Bootstrap!$G$4="Test 3",INDEX(Testing!$K$7:$K$38,MATCH(B20,Testing!$A$7:$A$38,0)),IF(Bootstrap!$G$4="Fixed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1",INDEX(Testing!$C$7:$C$38,MATCH(B21,Testing!$A$7:$A$38,0)),IF(Bootstrap!$G$4="Test 2",INDEX(Testing!$G$7:$G$38,MATCH(B21,Testing!$A$7:$A$38,0)),IF(Bootstrap!$G$4="Test 3",INDEX(Testing!$K$7:$K$38,MATCH(B21,Testing!$A$7:$A$38,0)),IF(Bootstrap!$G$4="Fixed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1",INDEX(Testing!$C$7:$C$38,MATCH(B22,Testing!$A$7:$A$38,0)),IF(Bootstrap!$G$4="Test 2",INDEX(Testing!$G$7:$G$38,MATCH(B22,Testing!$A$7:$A$38,0)),IF(Bootstrap!$G$4="Test 3",INDEX(Testing!$K$7:$K$38,MATCH(B22,Testing!$A$7:$A$38,0)),IF(Bootstrap!$G$4="Fixed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1",INDEX(Testing!$C$7:$C$38,MATCH(B23,Testing!$A$7:$A$38,0)),IF(Bootstrap!$G$4="Test 2",INDEX(Testing!$G$7:$G$38,MATCH(B23,Testing!$A$7:$A$38,0)),IF(Bootstrap!$G$4="Test 3",INDEX(Testing!$K$7:$K$38,MATCH(B23,Testing!$A$7:$A$38,0)),IF(Bootstrap!$G$4="Fixed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1",INDEX(Testing!$C$7:$C$38,MATCH(B24,Testing!$A$7:$A$38,0)),IF(Bootstrap!$G$4="Test 2",INDEX(Testing!$G$7:$G$38,MATCH(B24,Testing!$A$7:$A$38,0)),IF(Bootstrap!$G$4="Test 3",INDEX(Testing!$K$7:$K$38,MATCH(B24,Testing!$A$7:$A$38,0)),IF(Bootstrap!$G$4="Fixed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1",INDEX(Testing!$C$7:$C$38,MATCH(B25,Testing!$A$7:$A$38,0)),IF(Bootstrap!$G$4="Test 2",INDEX(Testing!$G$7:$G$38,MATCH(B25,Testing!$A$7:$A$38,0)),IF(Bootstrap!$G$4="Test 3",INDEX(Testing!$K$7:$K$38,MATCH(B25,Testing!$A$7:$A$38,0)),IF(Bootstrap!$G$4="Fixed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1",INDEX(Testing!$C$7:$C$38,MATCH(B26,Testing!$A$7:$A$38,0)),IF(Bootstrap!$G$4="Test 2",INDEX(Testing!$G$7:$G$38,MATCH(B26,Testing!$A$7:$A$38,0)),IF(Bootstrap!$G$4="Test 3",INDEX(Testing!$K$7:$K$38,MATCH(B26,Testing!$A$7:$A$38,0)),IF(Bootstrap!$G$4="Fixed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1",INDEX(Testing!$C$7:$C$38,MATCH(B27,Testing!$A$7:$A$38,0)),IF(Bootstrap!$G$4="Test 2",INDEX(Testing!$G$7:$G$38,MATCH(B27,Testing!$A$7:$A$38,0)),IF(Bootstrap!$G$4="Test 3",INDEX(Testing!$K$7:$K$38,MATCH(B27,Testing!$A$7:$A$38,0)),IF(Bootstrap!$G$4="Fixed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1",INDEX(Testing!$C$7:$C$38,MATCH(B28,Testing!$A$7:$A$38,0)),IF(Bootstrap!$G$4="Test 2",INDEX(Testing!$G$7:$G$38,MATCH(B28,Testing!$A$7:$A$38,0)),IF(Bootstrap!$G$4="Test 3",INDEX(Testing!$K$7:$K$38,MATCH(B28,Testing!$A$7:$A$38,0)),IF(Bootstrap!$G$4="Fixed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1",INDEX(Testing!$C$7:$C$38,MATCH(B29,Testing!$A$7:$A$38,0)),IF(Bootstrap!$G$4="Test 2",INDEX(Testing!$G$7:$G$38,MATCH(B29,Testing!$A$7:$A$38,0)),IF(Bootstrap!$G$4="Test 3",INDEX(Testing!$K$7:$K$38,MATCH(B29,Testing!$A$7:$A$38,0)),IF(Bootstrap!$G$4="Fixed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1",INDEX(Testing!$C$7:$C$38,MATCH(B30,Testing!$A$7:$A$38,0)),IF(Bootstrap!$G$4="Test 2",INDEX(Testing!$G$7:$G$38,MATCH(B30,Testing!$A$7:$A$38,0)),IF(Bootstrap!$G$4="Test 3",INDEX(Testing!$K$7:$K$38,MATCH(B30,Testing!$A$7:$A$38,0)),IF(Bootstrap!$G$4="Fixed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1",INDEX(Testing!$C$7:$C$38,MATCH(B31,Testing!$A$7:$A$38,0)),IF(Bootstrap!$G$4="Test 2",INDEX(Testing!$G$7:$G$38,MATCH(B31,Testing!$A$7:$A$38,0)),IF(Bootstrap!$G$4="Test 3",INDEX(Testing!$K$7:$K$38,MATCH(B31,Testing!$A$7:$A$38,0)),IF(Bootstrap!$G$4="Fixed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1",INDEX(Testing!$C$7:$C$38,MATCH(B32,Testing!$A$7:$A$38,0)),IF(Bootstrap!$G$4="Test 2",INDEX(Testing!$G$7:$G$38,MATCH(B32,Testing!$A$7:$A$38,0)),IF(Bootstrap!$G$4="Test 3",INDEX(Testing!$K$7:$K$38,MATCH(B32,Testing!$A$7:$A$38,0)),IF(Bootstrap!$G$4="Fixed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1",INDEX(Testing!$C$7:$C$38,MATCH(B33,Testing!$A$7:$A$38,0)),IF(Bootstrap!$G$4="Test 2",INDEX(Testing!$G$7:$G$38,MATCH(B33,Testing!$A$7:$A$38,0)),IF(Bootstrap!$G$4="Test 3",INDEX(Testing!$K$7:$K$38,MATCH(B33,Testing!$A$7:$A$38,0)),IF(Bootstrap!$G$4="Fixed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1",INDEX(Testing!$C$7:$C$38,MATCH(B34,Testing!$A$7:$A$38,0)),IF(Bootstrap!$G$4="Test 2",INDEX(Testing!$G$7:$G$38,MATCH(B34,Testing!$A$7:$A$38,0)),IF(Bootstrap!$G$4="Test 3",INDEX(Testing!$K$7:$K$38,MATCH(B34,Testing!$A$7:$A$38,0)),IF(Bootstrap!$G$4="Fixed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1",INDEX(Testing!$C$7:$C$38,MATCH(B35,Testing!$A$7:$A$38,0)),IF(Bootstrap!$G$4="Test 2",INDEX(Testing!$G$7:$G$38,MATCH(B35,Testing!$A$7:$A$38,0)),IF(Bootstrap!$G$4="Test 3",INDEX(Testing!$K$7:$K$38,MATCH(B35,Testing!$A$7:$A$38,0)),IF(Bootstrap!$G$4="Fixed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1",INDEX(Testing!$C$7:$C$38,MATCH(B36,Testing!$A$7:$A$38,0)),IF(Bootstrap!$G$4="Test 2",INDEX(Testing!$G$7:$G$38,MATCH(B36,Testing!$A$7:$A$38,0)),IF(Bootstrap!$G$4="Test 3",INDEX(Testing!$K$7:$K$38,MATCH(B36,Testing!$A$7:$A$38,0)),IF(Bootstrap!$G$4="Fixed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2">
    <dataValidation sqref="G4" showDropDown="0" showInputMessage="0" showErrorMessage="0" allowBlank="0" type="list">
      <formula1>"Live (BDP),Fixed (S490 07/21/26)"</formula1>
    </dataValidation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S5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12" customWidth="1" min="4" max="4"/>
    <col width="13" customWidth="1" min="5" max="5"/>
    <col width="13" customWidth="1" min="6" max="6"/>
    <col width="14" customWidth="1" min="7" max="7"/>
    <col width="12" customWidth="1" min="8" max="8"/>
    <col width="13" customWidth="1" min="9" max="9"/>
    <col width="13" customWidth="1" min="10" max="10"/>
    <col width="14" customWidth="1" min="11" max="11"/>
    <col width="12" customWidth="1" min="12" max="12"/>
    <col width="13" customWidth="1" min="13" max="13"/>
    <col width="13" customWidth="1" min="15" max="15"/>
    <col width="12" customWidth="1" min="16" max="16"/>
    <col width="13" customWidth="1" min="17" max="17"/>
    <col width="12" customWidth="1" min="18" max="18"/>
    <col width="12" customWidth="1" min="19" max="19"/>
  </cols>
  <sheetData>
    <row r="1">
      <c r="A1" s="123" t="inlineStr">
        <is>
          <t>Testing — curve and CDS test cases</t>
        </is>
      </c>
    </row>
    <row r="2">
      <c r="A2" s="65" t="inlineStr">
        <is>
          <t>Curve: paste the swap rates Bloomberg used and the zero + discount curve it produced. Select the case at Bootstrap!G4 to route it through the bootstrap.</t>
        </is>
      </c>
    </row>
    <row r="3">
      <c r="A3" s="66" t="inlineStr">
        <is>
          <t>Only the selected case compares — there is one bootstrap, deliberately. The other two hold their inputs and wait.</t>
        </is>
      </c>
    </row>
    <row r="4">
      <c r="A4" s="67" t="inlineStr">
        <is>
          <t>Active source</t>
        </is>
      </c>
      <c r="B4" s="87">
        <f>Bootstrap!$G$4</f>
        <v/>
      </c>
      <c r="F4" s="67" t="inlineStr">
        <is>
          <t>CURVE TEST CASE 2</t>
        </is>
      </c>
      <c r="J4" s="67" t="inlineStr">
        <is>
          <t>CURVE TEST CASE 3</t>
        </is>
      </c>
      <c r="O4" s="67" t="inlineStr">
        <is>
          <t>ACTIVE CASE vs OUR BOOTSTRAP</t>
        </is>
      </c>
    </row>
    <row r="5">
      <c r="A5" s="94" t="n"/>
      <c r="B5" s="150" t="inlineStr">
        <is>
          <t>name / capture time:</t>
        </is>
      </c>
      <c r="C5" s="68" t="n"/>
      <c r="F5" s="65" t="inlineStr">
        <is>
          <t>name / capture time:</t>
        </is>
      </c>
      <c r="G5" s="68" t="n"/>
      <c r="J5" s="65" t="inlineStr">
        <is>
          <t>name / capture time:</t>
        </is>
      </c>
      <c r="K5" s="68" t="n"/>
    </row>
    <row r="6" ht="30" customHeight="1">
      <c r="A6" s="141" t="inlineStr">
        <is>
          <t>Tenor</t>
        </is>
      </c>
      <c r="B6" s="145" t="inlineStr">
        <is>
          <t>Date</t>
        </is>
      </c>
      <c r="C6" s="145" t="inlineStr">
        <is>
          <t>Swap rate (mid)</t>
        </is>
      </c>
      <c r="D6" s="145" t="inlineStr">
        <is>
          <t>BBG zero %</t>
        </is>
      </c>
      <c r="E6" s="145" t="inlineStr">
        <is>
          <t>BBG discount</t>
        </is>
      </c>
      <c r="F6" s="151" t="inlineStr">
        <is>
          <t>Date</t>
        </is>
      </c>
      <c r="G6" s="151" t="inlineStr">
        <is>
          <t>Swap rate (mid)</t>
        </is>
      </c>
      <c r="H6" s="151" t="inlineStr">
        <is>
          <t>BBG zero %</t>
        </is>
      </c>
      <c r="I6" s="151" t="inlineStr">
        <is>
          <t>BBG discount</t>
        </is>
      </c>
      <c r="J6" s="146" t="inlineStr">
        <is>
          <t>Date</t>
        </is>
      </c>
      <c r="K6" s="146" t="inlineStr">
        <is>
          <t>Swap rate (mid)</t>
        </is>
      </c>
      <c r="L6" s="146" t="inlineStr">
        <is>
          <t>BBG zero %</t>
        </is>
      </c>
      <c r="M6" s="146" t="inlineStr">
        <is>
          <t>BBG discount</t>
        </is>
      </c>
      <c r="O6" s="141" t="inlineStr">
        <is>
          <t>Date (active)</t>
        </is>
      </c>
      <c r="P6" s="141" t="inlineStr">
        <is>
          <t>Our zero %</t>
        </is>
      </c>
      <c r="Q6" s="141" t="inlineStr">
        <is>
          <t>Our DF</t>
        </is>
      </c>
      <c r="R6" s="141" t="inlineStr">
        <is>
          <t>d zero (bp)</t>
        </is>
      </c>
      <c r="S6" s="141" t="inlineStr">
        <is>
          <t>d DF</t>
        </is>
      </c>
    </row>
    <row r="7">
      <c r="A7" s="152" t="inlineStr">
        <is>
          <t>1W</t>
        </is>
      </c>
      <c r="B7" s="111" t="n"/>
      <c r="C7" s="85" t="n"/>
      <c r="D7" s="85" t="n"/>
      <c r="E7" s="69" t="n"/>
      <c r="F7" s="111" t="n"/>
      <c r="G7" s="85" t="n"/>
      <c r="H7" s="85" t="n"/>
      <c r="I7" s="69" t="n"/>
      <c r="J7" s="111" t="n"/>
      <c r="K7" s="85" t="n"/>
      <c r="L7" s="85" t="n"/>
      <c r="M7" s="69" t="n"/>
      <c r="O7" s="112">
        <f>IF(Bootstrap!$G$4="Test 1",B7,IF(Bootstrap!$G$4="Test 2",F7,IF(Bootstrap!$G$4="Test 3",J7,"")))</f>
        <v/>
      </c>
      <c r="P7" s="84">
        <f>IFERROR(INDEX(Bootstrap!$J$8:$J$72,MATCH(O7,Bootstrap!$B$8:$B$72,0)),"")</f>
        <v/>
      </c>
      <c r="Q7" s="76">
        <f>IFERROR(INDEX(Bootstrap!$H$8:$H$72,MATCH(O7,Bootstrap!$B$8:$B$72,0)),"")</f>
        <v/>
      </c>
      <c r="R7" s="89">
        <f>IF(OR(P7="",NOT(ISNUMBER(IF(Bootstrap!$G$4="Test 1",D7,IF(Bootstrap!$G$4="Test 2",H7,IF(Bootstrap!$G$4="Test 3",L7,"")))))),"",(P7-(IF(Bootstrap!$G$4="Test 1",D7,IF(Bootstrap!$G$4="Test 2",H7,IF(Bootstrap!$G$4="Test 3",L7,"")))))*100)</f>
        <v/>
      </c>
      <c r="S7" s="72">
        <f>IF(OR(Q7="",NOT(ISNUMBER(IF(Bootstrap!$G$4="Test 1",E7,IF(Bootstrap!$G$4="Test 2",I7,IF(Bootstrap!$G$4="Test 3",M7,"")))))),"",Q7-(IF(Bootstrap!$G$4="Test 1",E7,IF(Bootstrap!$G$4="Test 2",I7,IF(Bootstrap!$G$4="Test 3",M7,"")))))</f>
        <v/>
      </c>
    </row>
    <row r="8">
      <c r="A8" s="152" t="inlineStr">
        <is>
          <t>2W</t>
        </is>
      </c>
      <c r="B8" s="111" t="n"/>
      <c r="C8" s="85" t="n"/>
      <c r="D8" s="85" t="n"/>
      <c r="E8" s="69" t="n"/>
      <c r="F8" s="111" t="n"/>
      <c r="G8" s="85" t="n"/>
      <c r="H8" s="85" t="n"/>
      <c r="I8" s="69" t="n"/>
      <c r="J8" s="111" t="n"/>
      <c r="K8" s="85" t="n"/>
      <c r="L8" s="85" t="n"/>
      <c r="M8" s="69" t="n"/>
      <c r="O8" s="112">
        <f>IF(Bootstrap!$G$4="Test 1",B8,IF(Bootstrap!$G$4="Test 2",F8,IF(Bootstrap!$G$4="Test 3",J8,"")))</f>
        <v/>
      </c>
      <c r="P8" s="84">
        <f>IFERROR(INDEX(Bootstrap!$J$8:$J$72,MATCH(O8,Bootstrap!$B$8:$B$72,0)),"")</f>
        <v/>
      </c>
      <c r="Q8" s="76">
        <f>IFERROR(INDEX(Bootstrap!$H$8:$H$72,MATCH(O8,Bootstrap!$B$8:$B$72,0)),"")</f>
        <v/>
      </c>
      <c r="R8" s="89">
        <f>IF(OR(P8="",NOT(ISNUMBER(IF(Bootstrap!$G$4="Test 1",D8,IF(Bootstrap!$G$4="Test 2",H8,IF(Bootstrap!$G$4="Test 3",L8,"")))))),"",(P8-(IF(Bootstrap!$G$4="Test 1",D8,IF(Bootstrap!$G$4="Test 2",H8,IF(Bootstrap!$G$4="Test 3",L8,"")))))*100)</f>
        <v/>
      </c>
      <c r="S8" s="72">
        <f>IF(OR(Q8="",NOT(ISNUMBER(IF(Bootstrap!$G$4="Test 1",E8,IF(Bootstrap!$G$4="Test 2",I8,IF(Bootstrap!$G$4="Test 3",M8,"")))))),"",Q8-(IF(Bootstrap!$G$4="Test 1",E8,IF(Bootstrap!$G$4="Test 2",I8,IF(Bootstrap!$G$4="Test 3",M8,"")))))</f>
        <v/>
      </c>
    </row>
    <row r="9">
      <c r="A9" s="152" t="inlineStr">
        <is>
          <t>3W</t>
        </is>
      </c>
      <c r="B9" s="111" t="n"/>
      <c r="C9" s="85" t="n"/>
      <c r="D9" s="85" t="n"/>
      <c r="E9" s="69" t="n"/>
      <c r="F9" s="111" t="n"/>
      <c r="G9" s="85" t="n"/>
      <c r="H9" s="85" t="n"/>
      <c r="I9" s="69" t="n"/>
      <c r="J9" s="111" t="n"/>
      <c r="K9" s="85" t="n"/>
      <c r="L9" s="85" t="n"/>
      <c r="M9" s="69" t="n"/>
      <c r="O9" s="112">
        <f>IF(Bootstrap!$G$4="Test 1",B9,IF(Bootstrap!$G$4="Test 2",F9,IF(Bootstrap!$G$4="Test 3",J9,"")))</f>
        <v/>
      </c>
      <c r="P9" s="84">
        <f>IFERROR(INDEX(Bootstrap!$J$8:$J$72,MATCH(O9,Bootstrap!$B$8:$B$72,0)),"")</f>
        <v/>
      </c>
      <c r="Q9" s="76">
        <f>IFERROR(INDEX(Bootstrap!$H$8:$H$72,MATCH(O9,Bootstrap!$B$8:$B$72,0)),"")</f>
        <v/>
      </c>
      <c r="R9" s="89">
        <f>IF(OR(P9="",NOT(ISNUMBER(IF(Bootstrap!$G$4="Test 1",D9,IF(Bootstrap!$G$4="Test 2",H9,IF(Bootstrap!$G$4="Test 3",L9,"")))))),"",(P9-(IF(Bootstrap!$G$4="Test 1",D9,IF(Bootstrap!$G$4="Test 2",H9,IF(Bootstrap!$G$4="Test 3",L9,"")))))*100)</f>
        <v/>
      </c>
      <c r="S9" s="72">
        <f>IF(OR(Q9="",NOT(ISNUMBER(IF(Bootstrap!$G$4="Test 1",E9,IF(Bootstrap!$G$4="Test 2",I9,IF(Bootstrap!$G$4="Test 3",M9,"")))))),"",Q9-(IF(Bootstrap!$G$4="Test 1",E9,IF(Bootstrap!$G$4="Test 2",I9,IF(Bootstrap!$G$4="Test 3",M9,"")))))</f>
        <v/>
      </c>
    </row>
    <row r="10">
      <c r="A10" s="152" t="inlineStr">
        <is>
          <t>1M</t>
        </is>
      </c>
      <c r="B10" s="111" t="n"/>
      <c r="C10" s="85" t="n"/>
      <c r="D10" s="85" t="n"/>
      <c r="E10" s="69" t="n"/>
      <c r="F10" s="111" t="n"/>
      <c r="G10" s="85" t="n"/>
      <c r="H10" s="85" t="n"/>
      <c r="I10" s="69" t="n"/>
      <c r="J10" s="111" t="n"/>
      <c r="K10" s="85" t="n"/>
      <c r="L10" s="85" t="n"/>
      <c r="M10" s="69" t="n"/>
      <c r="O10" s="112">
        <f>IF(Bootstrap!$G$4="Test 1",B10,IF(Bootstrap!$G$4="Test 2",F10,IF(Bootstrap!$G$4="Test 3",J10,"")))</f>
        <v/>
      </c>
      <c r="P10" s="84">
        <f>IFERROR(INDEX(Bootstrap!$J$8:$J$72,MATCH(O10,Bootstrap!$B$8:$B$72,0)),"")</f>
        <v/>
      </c>
      <c r="Q10" s="76">
        <f>IFERROR(INDEX(Bootstrap!$H$8:$H$72,MATCH(O10,Bootstrap!$B$8:$B$72,0)),"")</f>
        <v/>
      </c>
      <c r="R10" s="89">
        <f>IF(OR(P10="",NOT(ISNUMBER(IF(Bootstrap!$G$4="Test 1",D10,IF(Bootstrap!$G$4="Test 2",H10,IF(Bootstrap!$G$4="Test 3",L10,"")))))),"",(P10-(IF(Bootstrap!$G$4="Test 1",D10,IF(Bootstrap!$G$4="Test 2",H10,IF(Bootstrap!$G$4="Test 3",L10,"")))))*100)</f>
        <v/>
      </c>
      <c r="S10" s="72">
        <f>IF(OR(Q10="",NOT(ISNUMBER(IF(Bootstrap!$G$4="Test 1",E10,IF(Bootstrap!$G$4="Test 2",I10,IF(Bootstrap!$G$4="Test 3",M10,"")))))),"",Q10-(IF(Bootstrap!$G$4="Test 1",E10,IF(Bootstrap!$G$4="Test 2",I10,IF(Bootstrap!$G$4="Test 3",M10,"")))))</f>
        <v/>
      </c>
    </row>
    <row r="11">
      <c r="A11" s="152" t="inlineStr">
        <is>
          <t>2M</t>
        </is>
      </c>
      <c r="B11" s="111" t="n"/>
      <c r="C11" s="85" t="n"/>
      <c r="D11" s="85" t="n"/>
      <c r="E11" s="69" t="n"/>
      <c r="F11" s="111" t="n"/>
      <c r="G11" s="85" t="n"/>
      <c r="H11" s="85" t="n"/>
      <c r="I11" s="69" t="n"/>
      <c r="J11" s="111" t="n"/>
      <c r="K11" s="85" t="n"/>
      <c r="L11" s="85" t="n"/>
      <c r="M11" s="69" t="n"/>
      <c r="O11" s="112">
        <f>IF(Bootstrap!$G$4="Test 1",B11,IF(Bootstrap!$G$4="Test 2",F11,IF(Bootstrap!$G$4="Test 3",J11,"")))</f>
        <v/>
      </c>
      <c r="P11" s="84">
        <f>IFERROR(INDEX(Bootstrap!$J$8:$J$72,MATCH(O11,Bootstrap!$B$8:$B$72,0)),"")</f>
        <v/>
      </c>
      <c r="Q11" s="76">
        <f>IFERROR(INDEX(Bootstrap!$H$8:$H$72,MATCH(O11,Bootstrap!$B$8:$B$72,0)),"")</f>
        <v/>
      </c>
      <c r="R11" s="89">
        <f>IF(OR(P11="",NOT(ISNUMBER(IF(Bootstrap!$G$4="Test 1",D11,IF(Bootstrap!$G$4="Test 2",H11,IF(Bootstrap!$G$4="Test 3",L11,"")))))),"",(P11-(IF(Bootstrap!$G$4="Test 1",D11,IF(Bootstrap!$G$4="Test 2",H11,IF(Bootstrap!$G$4="Test 3",L11,"")))))*100)</f>
        <v/>
      </c>
      <c r="S11" s="72">
        <f>IF(OR(Q11="",NOT(ISNUMBER(IF(Bootstrap!$G$4="Test 1",E11,IF(Bootstrap!$G$4="Test 2",I11,IF(Bootstrap!$G$4="Test 3",M11,"")))))),"",Q11-(IF(Bootstrap!$G$4="Test 1",E11,IF(Bootstrap!$G$4="Test 2",I11,IF(Bootstrap!$G$4="Test 3",M11,"")))))</f>
        <v/>
      </c>
    </row>
    <row r="12">
      <c r="A12" s="152" t="inlineStr">
        <is>
          <t>3M</t>
        </is>
      </c>
      <c r="B12" s="111" t="n"/>
      <c r="C12" s="85" t="n"/>
      <c r="D12" s="85" t="n"/>
      <c r="E12" s="69" t="n"/>
      <c r="F12" s="111" t="n"/>
      <c r="G12" s="85" t="n"/>
      <c r="H12" s="85" t="n"/>
      <c r="I12" s="69" t="n"/>
      <c r="J12" s="111" t="n"/>
      <c r="K12" s="85" t="n"/>
      <c r="L12" s="85" t="n"/>
      <c r="M12" s="69" t="n"/>
      <c r="O12" s="112">
        <f>IF(Bootstrap!$G$4="Test 1",B12,IF(Bootstrap!$G$4="Test 2",F12,IF(Bootstrap!$G$4="Test 3",J12,"")))</f>
        <v/>
      </c>
      <c r="P12" s="84">
        <f>IFERROR(INDEX(Bootstrap!$J$8:$J$72,MATCH(O12,Bootstrap!$B$8:$B$72,0)),"")</f>
        <v/>
      </c>
      <c r="Q12" s="76">
        <f>IFERROR(INDEX(Bootstrap!$H$8:$H$72,MATCH(O12,Bootstrap!$B$8:$B$72,0)),"")</f>
        <v/>
      </c>
      <c r="R12" s="89">
        <f>IF(OR(P12="",NOT(ISNUMBER(IF(Bootstrap!$G$4="Test 1",D12,IF(Bootstrap!$G$4="Test 2",H12,IF(Bootstrap!$G$4="Test 3",L12,"")))))),"",(P12-(IF(Bootstrap!$G$4="Test 1",D12,IF(Bootstrap!$G$4="Test 2",H12,IF(Bootstrap!$G$4="Test 3",L12,"")))))*100)</f>
        <v/>
      </c>
      <c r="S12" s="72">
        <f>IF(OR(Q12="",NOT(ISNUMBER(IF(Bootstrap!$G$4="Test 1",E12,IF(Bootstrap!$G$4="Test 2",I12,IF(Bootstrap!$G$4="Test 3",M12,"")))))),"",Q12-(IF(Bootstrap!$G$4="Test 1",E12,IF(Bootstrap!$G$4="Test 2",I12,IF(Bootstrap!$G$4="Test 3",M12,"")))))</f>
        <v/>
      </c>
    </row>
    <row r="13">
      <c r="A13" s="152" t="inlineStr">
        <is>
          <t>4M</t>
        </is>
      </c>
      <c r="B13" s="111" t="n"/>
      <c r="C13" s="85" t="n"/>
      <c r="D13" s="85" t="n"/>
      <c r="E13" s="69" t="n"/>
      <c r="F13" s="111" t="n"/>
      <c r="G13" s="85" t="n"/>
      <c r="H13" s="85" t="n"/>
      <c r="I13" s="69" t="n"/>
      <c r="J13" s="111" t="n"/>
      <c r="K13" s="85" t="n"/>
      <c r="L13" s="85" t="n"/>
      <c r="M13" s="69" t="n"/>
      <c r="O13" s="112">
        <f>IF(Bootstrap!$G$4="Test 1",B13,IF(Bootstrap!$G$4="Test 2",F13,IF(Bootstrap!$G$4="Test 3",J13,"")))</f>
        <v/>
      </c>
      <c r="P13" s="84">
        <f>IFERROR(INDEX(Bootstrap!$J$8:$J$72,MATCH(O13,Bootstrap!$B$8:$B$72,0)),"")</f>
        <v/>
      </c>
      <c r="Q13" s="76">
        <f>IFERROR(INDEX(Bootstrap!$H$8:$H$72,MATCH(O13,Bootstrap!$B$8:$B$72,0)),"")</f>
        <v/>
      </c>
      <c r="R13" s="89">
        <f>IF(OR(P13="",NOT(ISNUMBER(IF(Bootstrap!$G$4="Test 1",D13,IF(Bootstrap!$G$4="Test 2",H13,IF(Bootstrap!$G$4="Test 3",L13,"")))))),"",(P13-(IF(Bootstrap!$G$4="Test 1",D13,IF(Bootstrap!$G$4="Test 2",H13,IF(Bootstrap!$G$4="Test 3",L13,"")))))*100)</f>
        <v/>
      </c>
      <c r="S13" s="72">
        <f>IF(OR(Q13="",NOT(ISNUMBER(IF(Bootstrap!$G$4="Test 1",E13,IF(Bootstrap!$G$4="Test 2",I13,IF(Bootstrap!$G$4="Test 3",M13,"")))))),"",Q13-(IF(Bootstrap!$G$4="Test 1",E13,IF(Bootstrap!$G$4="Test 2",I13,IF(Bootstrap!$G$4="Test 3",M13,"")))))</f>
        <v/>
      </c>
    </row>
    <row r="14">
      <c r="A14" s="152" t="inlineStr">
        <is>
          <t>5M</t>
        </is>
      </c>
      <c r="B14" s="111" t="n"/>
      <c r="C14" s="85" t="n"/>
      <c r="D14" s="85" t="n"/>
      <c r="E14" s="69" t="n"/>
      <c r="F14" s="111" t="n"/>
      <c r="G14" s="85" t="n"/>
      <c r="H14" s="85" t="n"/>
      <c r="I14" s="69" t="n"/>
      <c r="J14" s="111" t="n"/>
      <c r="K14" s="85" t="n"/>
      <c r="L14" s="85" t="n"/>
      <c r="M14" s="69" t="n"/>
      <c r="O14" s="112">
        <f>IF(Bootstrap!$G$4="Test 1",B14,IF(Bootstrap!$G$4="Test 2",F14,IF(Bootstrap!$G$4="Test 3",J14,"")))</f>
        <v/>
      </c>
      <c r="P14" s="84">
        <f>IFERROR(INDEX(Bootstrap!$J$8:$J$72,MATCH(O14,Bootstrap!$B$8:$B$72,0)),"")</f>
        <v/>
      </c>
      <c r="Q14" s="76">
        <f>IFERROR(INDEX(Bootstrap!$H$8:$H$72,MATCH(O14,Bootstrap!$B$8:$B$72,0)),"")</f>
        <v/>
      </c>
      <c r="R14" s="89">
        <f>IF(OR(P14="",NOT(ISNUMBER(IF(Bootstrap!$G$4="Test 1",D14,IF(Bootstrap!$G$4="Test 2",H14,IF(Bootstrap!$G$4="Test 3",L14,"")))))),"",(P14-(IF(Bootstrap!$G$4="Test 1",D14,IF(Bootstrap!$G$4="Test 2",H14,IF(Bootstrap!$G$4="Test 3",L14,"")))))*100)</f>
        <v/>
      </c>
      <c r="S14" s="72">
        <f>IF(OR(Q14="",NOT(ISNUMBER(IF(Bootstrap!$G$4="Test 1",E14,IF(Bootstrap!$G$4="Test 2",I14,IF(Bootstrap!$G$4="Test 3",M14,"")))))),"",Q14-(IF(Bootstrap!$G$4="Test 1",E14,IF(Bootstrap!$G$4="Test 2",I14,IF(Bootstrap!$G$4="Test 3",M14,"")))))</f>
        <v/>
      </c>
    </row>
    <row r="15">
      <c r="A15" s="152" t="inlineStr">
        <is>
          <t>6M</t>
        </is>
      </c>
      <c r="B15" s="111" t="n"/>
      <c r="C15" s="85" t="n"/>
      <c r="D15" s="85" t="n"/>
      <c r="E15" s="69" t="n"/>
      <c r="F15" s="111" t="n"/>
      <c r="G15" s="85" t="n"/>
      <c r="H15" s="85" t="n"/>
      <c r="I15" s="69" t="n"/>
      <c r="J15" s="111" t="n"/>
      <c r="K15" s="85" t="n"/>
      <c r="L15" s="85" t="n"/>
      <c r="M15" s="69" t="n"/>
      <c r="O15" s="112">
        <f>IF(Bootstrap!$G$4="Test 1",B15,IF(Bootstrap!$G$4="Test 2",F15,IF(Bootstrap!$G$4="Test 3",J15,"")))</f>
        <v/>
      </c>
      <c r="P15" s="84">
        <f>IFERROR(INDEX(Bootstrap!$J$8:$J$72,MATCH(O15,Bootstrap!$B$8:$B$72,0)),"")</f>
        <v/>
      </c>
      <c r="Q15" s="76">
        <f>IFERROR(INDEX(Bootstrap!$H$8:$H$72,MATCH(O15,Bootstrap!$B$8:$B$72,0)),"")</f>
        <v/>
      </c>
      <c r="R15" s="89">
        <f>IF(OR(P15="",NOT(ISNUMBER(IF(Bootstrap!$G$4="Test 1",D15,IF(Bootstrap!$G$4="Test 2",H15,IF(Bootstrap!$G$4="Test 3",L15,"")))))),"",(P15-(IF(Bootstrap!$G$4="Test 1",D15,IF(Bootstrap!$G$4="Test 2",H15,IF(Bootstrap!$G$4="Test 3",L15,"")))))*100)</f>
        <v/>
      </c>
      <c r="S15" s="72">
        <f>IF(OR(Q15="",NOT(ISNUMBER(IF(Bootstrap!$G$4="Test 1",E15,IF(Bootstrap!$G$4="Test 2",I15,IF(Bootstrap!$G$4="Test 3",M15,"")))))),"",Q15-(IF(Bootstrap!$G$4="Test 1",E15,IF(Bootstrap!$G$4="Test 2",I15,IF(Bootstrap!$G$4="Test 3",M15,"")))))</f>
        <v/>
      </c>
    </row>
    <row r="16">
      <c r="A16" s="152" t="inlineStr">
        <is>
          <t>7M</t>
        </is>
      </c>
      <c r="B16" s="111" t="n"/>
      <c r="C16" s="85" t="n"/>
      <c r="D16" s="85" t="n"/>
      <c r="E16" s="69" t="n"/>
      <c r="F16" s="111" t="n"/>
      <c r="G16" s="85" t="n"/>
      <c r="H16" s="85" t="n"/>
      <c r="I16" s="69" t="n"/>
      <c r="J16" s="111" t="n"/>
      <c r="K16" s="85" t="n"/>
      <c r="L16" s="85" t="n"/>
      <c r="M16" s="69" t="n"/>
      <c r="O16" s="112">
        <f>IF(Bootstrap!$G$4="Test 1",B16,IF(Bootstrap!$G$4="Test 2",F16,IF(Bootstrap!$G$4="Test 3",J16,"")))</f>
        <v/>
      </c>
      <c r="P16" s="84">
        <f>IFERROR(INDEX(Bootstrap!$J$8:$J$72,MATCH(O16,Bootstrap!$B$8:$B$72,0)),"")</f>
        <v/>
      </c>
      <c r="Q16" s="76">
        <f>IFERROR(INDEX(Bootstrap!$H$8:$H$72,MATCH(O16,Bootstrap!$B$8:$B$72,0)),"")</f>
        <v/>
      </c>
      <c r="R16" s="89">
        <f>IF(OR(P16="",NOT(ISNUMBER(IF(Bootstrap!$G$4="Test 1",D16,IF(Bootstrap!$G$4="Test 2",H16,IF(Bootstrap!$G$4="Test 3",L16,"")))))),"",(P16-(IF(Bootstrap!$G$4="Test 1",D16,IF(Bootstrap!$G$4="Test 2",H16,IF(Bootstrap!$G$4="Test 3",L16,"")))))*100)</f>
        <v/>
      </c>
      <c r="S16" s="72">
        <f>IF(OR(Q16="",NOT(ISNUMBER(IF(Bootstrap!$G$4="Test 1",E16,IF(Bootstrap!$G$4="Test 2",I16,IF(Bootstrap!$G$4="Test 3",M16,"")))))),"",Q16-(IF(Bootstrap!$G$4="Test 1",E16,IF(Bootstrap!$G$4="Test 2",I16,IF(Bootstrap!$G$4="Test 3",M16,"")))))</f>
        <v/>
      </c>
    </row>
    <row r="17">
      <c r="A17" s="152" t="inlineStr">
        <is>
          <t>8M</t>
        </is>
      </c>
      <c r="B17" s="111" t="n"/>
      <c r="C17" s="85" t="n"/>
      <c r="D17" s="85" t="n"/>
      <c r="E17" s="69" t="n"/>
      <c r="F17" s="111" t="n"/>
      <c r="G17" s="85" t="n"/>
      <c r="H17" s="85" t="n"/>
      <c r="I17" s="69" t="n"/>
      <c r="J17" s="111" t="n"/>
      <c r="K17" s="85" t="n"/>
      <c r="L17" s="85" t="n"/>
      <c r="M17" s="69" t="n"/>
      <c r="O17" s="112">
        <f>IF(Bootstrap!$G$4="Test 1",B17,IF(Bootstrap!$G$4="Test 2",F17,IF(Bootstrap!$G$4="Test 3",J17,"")))</f>
        <v/>
      </c>
      <c r="P17" s="84">
        <f>IFERROR(INDEX(Bootstrap!$J$8:$J$72,MATCH(O17,Bootstrap!$B$8:$B$72,0)),"")</f>
        <v/>
      </c>
      <c r="Q17" s="76">
        <f>IFERROR(INDEX(Bootstrap!$H$8:$H$72,MATCH(O17,Bootstrap!$B$8:$B$72,0)),"")</f>
        <v/>
      </c>
      <c r="R17" s="89">
        <f>IF(OR(P17="",NOT(ISNUMBER(IF(Bootstrap!$G$4="Test 1",D17,IF(Bootstrap!$G$4="Test 2",H17,IF(Bootstrap!$G$4="Test 3",L17,"")))))),"",(P17-(IF(Bootstrap!$G$4="Test 1",D17,IF(Bootstrap!$G$4="Test 2",H17,IF(Bootstrap!$G$4="Test 3",L17,"")))))*100)</f>
        <v/>
      </c>
      <c r="S17" s="72">
        <f>IF(OR(Q17="",NOT(ISNUMBER(IF(Bootstrap!$G$4="Test 1",E17,IF(Bootstrap!$G$4="Test 2",I17,IF(Bootstrap!$G$4="Test 3",M17,"")))))),"",Q17-(IF(Bootstrap!$G$4="Test 1",E17,IF(Bootstrap!$G$4="Test 2",I17,IF(Bootstrap!$G$4="Test 3",M17,"")))))</f>
        <v/>
      </c>
    </row>
    <row r="18">
      <c r="A18" s="152" t="inlineStr">
        <is>
          <t>9M</t>
        </is>
      </c>
      <c r="B18" s="111" t="n"/>
      <c r="C18" s="85" t="n"/>
      <c r="D18" s="85" t="n"/>
      <c r="E18" s="69" t="n"/>
      <c r="F18" s="111" t="n"/>
      <c r="G18" s="85" t="n"/>
      <c r="H18" s="85" t="n"/>
      <c r="I18" s="69" t="n"/>
      <c r="J18" s="111" t="n"/>
      <c r="K18" s="85" t="n"/>
      <c r="L18" s="85" t="n"/>
      <c r="M18" s="69" t="n"/>
      <c r="O18" s="112">
        <f>IF(Bootstrap!$G$4="Test 1",B18,IF(Bootstrap!$G$4="Test 2",F18,IF(Bootstrap!$G$4="Test 3",J18,"")))</f>
        <v/>
      </c>
      <c r="P18" s="84">
        <f>IFERROR(INDEX(Bootstrap!$J$8:$J$72,MATCH(O18,Bootstrap!$B$8:$B$72,0)),"")</f>
        <v/>
      </c>
      <c r="Q18" s="76">
        <f>IFERROR(INDEX(Bootstrap!$H$8:$H$72,MATCH(O18,Bootstrap!$B$8:$B$72,0)),"")</f>
        <v/>
      </c>
      <c r="R18" s="89">
        <f>IF(OR(P18="",NOT(ISNUMBER(IF(Bootstrap!$G$4="Test 1",D18,IF(Bootstrap!$G$4="Test 2",H18,IF(Bootstrap!$G$4="Test 3",L18,"")))))),"",(P18-(IF(Bootstrap!$G$4="Test 1",D18,IF(Bootstrap!$G$4="Test 2",H18,IF(Bootstrap!$G$4="Test 3",L18,"")))))*100)</f>
        <v/>
      </c>
      <c r="S18" s="72">
        <f>IF(OR(Q18="",NOT(ISNUMBER(IF(Bootstrap!$G$4="Test 1",E18,IF(Bootstrap!$G$4="Test 2",I18,IF(Bootstrap!$G$4="Test 3",M18,"")))))),"",Q18-(IF(Bootstrap!$G$4="Test 1",E18,IF(Bootstrap!$G$4="Test 2",I18,IF(Bootstrap!$G$4="Test 3",M18,"")))))</f>
        <v/>
      </c>
    </row>
    <row r="19">
      <c r="A19" s="152" t="inlineStr">
        <is>
          <t>10M</t>
        </is>
      </c>
      <c r="B19" s="111" t="n"/>
      <c r="C19" s="85" t="n"/>
      <c r="D19" s="85" t="n"/>
      <c r="E19" s="69" t="n"/>
      <c r="F19" s="111" t="n"/>
      <c r="G19" s="85" t="n"/>
      <c r="H19" s="85" t="n"/>
      <c r="I19" s="69" t="n"/>
      <c r="J19" s="111" t="n"/>
      <c r="K19" s="85" t="n"/>
      <c r="L19" s="85" t="n"/>
      <c r="M19" s="69" t="n"/>
      <c r="O19" s="112">
        <f>IF(Bootstrap!$G$4="Test 1",B19,IF(Bootstrap!$G$4="Test 2",F19,IF(Bootstrap!$G$4="Test 3",J19,"")))</f>
        <v/>
      </c>
      <c r="P19" s="84">
        <f>IFERROR(INDEX(Bootstrap!$J$8:$J$72,MATCH(O19,Bootstrap!$B$8:$B$72,0)),"")</f>
        <v/>
      </c>
      <c r="Q19" s="76">
        <f>IFERROR(INDEX(Bootstrap!$H$8:$H$72,MATCH(O19,Bootstrap!$B$8:$B$72,0)),"")</f>
        <v/>
      </c>
      <c r="R19" s="89">
        <f>IF(OR(P19="",NOT(ISNUMBER(IF(Bootstrap!$G$4="Test 1",D19,IF(Bootstrap!$G$4="Test 2",H19,IF(Bootstrap!$G$4="Test 3",L19,"")))))),"",(P19-(IF(Bootstrap!$G$4="Test 1",D19,IF(Bootstrap!$G$4="Test 2",H19,IF(Bootstrap!$G$4="Test 3",L19,"")))))*100)</f>
        <v/>
      </c>
      <c r="S19" s="72">
        <f>IF(OR(Q19="",NOT(ISNUMBER(IF(Bootstrap!$G$4="Test 1",E19,IF(Bootstrap!$G$4="Test 2",I19,IF(Bootstrap!$G$4="Test 3",M19,"")))))),"",Q19-(IF(Bootstrap!$G$4="Test 1",E19,IF(Bootstrap!$G$4="Test 2",I19,IF(Bootstrap!$G$4="Test 3",M19,"")))))</f>
        <v/>
      </c>
    </row>
    <row r="20">
      <c r="A20" s="152" t="inlineStr">
        <is>
          <t>11M</t>
        </is>
      </c>
      <c r="B20" s="111" t="n"/>
      <c r="C20" s="85" t="n"/>
      <c r="D20" s="85" t="n"/>
      <c r="E20" s="69" t="n"/>
      <c r="F20" s="111" t="n"/>
      <c r="G20" s="85" t="n"/>
      <c r="H20" s="85" t="n"/>
      <c r="I20" s="69" t="n"/>
      <c r="J20" s="111" t="n"/>
      <c r="K20" s="85" t="n"/>
      <c r="L20" s="85" t="n"/>
      <c r="M20" s="69" t="n"/>
      <c r="O20" s="112">
        <f>IF(Bootstrap!$G$4="Test 1",B20,IF(Bootstrap!$G$4="Test 2",F20,IF(Bootstrap!$G$4="Test 3",J20,"")))</f>
        <v/>
      </c>
      <c r="P20" s="84">
        <f>IFERROR(INDEX(Bootstrap!$J$8:$J$72,MATCH(O20,Bootstrap!$B$8:$B$72,0)),"")</f>
        <v/>
      </c>
      <c r="Q20" s="76">
        <f>IFERROR(INDEX(Bootstrap!$H$8:$H$72,MATCH(O20,Bootstrap!$B$8:$B$72,0)),"")</f>
        <v/>
      </c>
      <c r="R20" s="89">
        <f>IF(OR(P20="",NOT(ISNUMBER(IF(Bootstrap!$G$4="Test 1",D20,IF(Bootstrap!$G$4="Test 2",H20,IF(Bootstrap!$G$4="Test 3",L20,"")))))),"",(P20-(IF(Bootstrap!$G$4="Test 1",D20,IF(Bootstrap!$G$4="Test 2",H20,IF(Bootstrap!$G$4="Test 3",L20,"")))))*100)</f>
        <v/>
      </c>
      <c r="S20" s="72">
        <f>IF(OR(Q20="",NOT(ISNUMBER(IF(Bootstrap!$G$4="Test 1",E20,IF(Bootstrap!$G$4="Test 2",I20,IF(Bootstrap!$G$4="Test 3",M20,"")))))),"",Q20-(IF(Bootstrap!$G$4="Test 1",E20,IF(Bootstrap!$G$4="Test 2",I20,IF(Bootstrap!$G$4="Test 3",M20,"")))))</f>
        <v/>
      </c>
    </row>
    <row r="21">
      <c r="A21" s="152" t="inlineStr">
        <is>
          <t>1Y</t>
        </is>
      </c>
      <c r="B21" s="111" t="n"/>
      <c r="C21" s="85" t="n"/>
      <c r="D21" s="85" t="n"/>
      <c r="E21" s="69" t="n"/>
      <c r="F21" s="111" t="n"/>
      <c r="G21" s="85" t="n"/>
      <c r="H21" s="85" t="n"/>
      <c r="I21" s="69" t="n"/>
      <c r="J21" s="111" t="n"/>
      <c r="K21" s="85" t="n"/>
      <c r="L21" s="85" t="n"/>
      <c r="M21" s="69" t="n"/>
      <c r="O21" s="112">
        <f>IF(Bootstrap!$G$4="Test 1",B21,IF(Bootstrap!$G$4="Test 2",F21,IF(Bootstrap!$G$4="Test 3",J21,"")))</f>
        <v/>
      </c>
      <c r="P21" s="84">
        <f>IFERROR(INDEX(Bootstrap!$J$8:$J$72,MATCH(O21,Bootstrap!$B$8:$B$72,0)),"")</f>
        <v/>
      </c>
      <c r="Q21" s="76">
        <f>IFERROR(INDEX(Bootstrap!$H$8:$H$72,MATCH(O21,Bootstrap!$B$8:$B$72,0)),"")</f>
        <v/>
      </c>
      <c r="R21" s="89">
        <f>IF(OR(P21="",NOT(ISNUMBER(IF(Bootstrap!$G$4="Test 1",D21,IF(Bootstrap!$G$4="Test 2",H21,IF(Bootstrap!$G$4="Test 3",L21,"")))))),"",(P21-(IF(Bootstrap!$G$4="Test 1",D21,IF(Bootstrap!$G$4="Test 2",H21,IF(Bootstrap!$G$4="Test 3",L21,"")))))*100)</f>
        <v/>
      </c>
      <c r="S21" s="72">
        <f>IF(OR(Q21="",NOT(ISNUMBER(IF(Bootstrap!$G$4="Test 1",E21,IF(Bootstrap!$G$4="Test 2",I21,IF(Bootstrap!$G$4="Test 3",M21,"")))))),"",Q21-(IF(Bootstrap!$G$4="Test 1",E21,IF(Bootstrap!$G$4="Test 2",I21,IF(Bootstrap!$G$4="Test 3",M21,"")))))</f>
        <v/>
      </c>
    </row>
    <row r="22">
      <c r="A22" s="152" t="inlineStr">
        <is>
          <t>18M</t>
        </is>
      </c>
      <c r="B22" s="111" t="n"/>
      <c r="C22" s="85" t="n"/>
      <c r="D22" s="85" t="n"/>
      <c r="E22" s="69" t="n"/>
      <c r="F22" s="111" t="n"/>
      <c r="G22" s="85" t="n"/>
      <c r="H22" s="85" t="n"/>
      <c r="I22" s="69" t="n"/>
      <c r="J22" s="111" t="n"/>
      <c r="K22" s="85" t="n"/>
      <c r="L22" s="85" t="n"/>
      <c r="M22" s="69" t="n"/>
      <c r="O22" s="112">
        <f>IF(Bootstrap!$G$4="Test 1",B22,IF(Bootstrap!$G$4="Test 2",F22,IF(Bootstrap!$G$4="Test 3",J22,"")))</f>
        <v/>
      </c>
      <c r="P22" s="84">
        <f>IFERROR(INDEX(Bootstrap!$J$8:$J$72,MATCH(O22,Bootstrap!$B$8:$B$72,0)),"")</f>
        <v/>
      </c>
      <c r="Q22" s="76">
        <f>IFERROR(INDEX(Bootstrap!$H$8:$H$72,MATCH(O22,Bootstrap!$B$8:$B$72,0)),"")</f>
        <v/>
      </c>
      <c r="R22" s="89">
        <f>IF(OR(P22="",NOT(ISNUMBER(IF(Bootstrap!$G$4="Test 1",D22,IF(Bootstrap!$G$4="Test 2",H22,IF(Bootstrap!$G$4="Test 3",L22,"")))))),"",(P22-(IF(Bootstrap!$G$4="Test 1",D22,IF(Bootstrap!$G$4="Test 2",H22,IF(Bootstrap!$G$4="Test 3",L22,"")))))*100)</f>
        <v/>
      </c>
      <c r="S22" s="72">
        <f>IF(OR(Q22="",NOT(ISNUMBER(IF(Bootstrap!$G$4="Test 1",E22,IF(Bootstrap!$G$4="Test 2",I22,IF(Bootstrap!$G$4="Test 3",M22,"")))))),"",Q22-(IF(Bootstrap!$G$4="Test 1",E22,IF(Bootstrap!$G$4="Test 2",I22,IF(Bootstrap!$G$4="Test 3",M22,"")))))</f>
        <v/>
      </c>
    </row>
    <row r="23">
      <c r="A23" s="152" t="inlineStr">
        <is>
          <t>2Y</t>
        </is>
      </c>
      <c r="B23" s="111" t="n"/>
      <c r="C23" s="85" t="n"/>
      <c r="D23" s="85" t="n"/>
      <c r="E23" s="69" t="n"/>
      <c r="F23" s="111" t="n"/>
      <c r="G23" s="85" t="n"/>
      <c r="H23" s="85" t="n"/>
      <c r="I23" s="69" t="n"/>
      <c r="J23" s="111" t="n"/>
      <c r="K23" s="85" t="n"/>
      <c r="L23" s="85" t="n"/>
      <c r="M23" s="69" t="n"/>
      <c r="O23" s="112">
        <f>IF(Bootstrap!$G$4="Test 1",B23,IF(Bootstrap!$G$4="Test 2",F23,IF(Bootstrap!$G$4="Test 3",J23,"")))</f>
        <v/>
      </c>
      <c r="P23" s="84">
        <f>IFERROR(INDEX(Bootstrap!$J$8:$J$72,MATCH(O23,Bootstrap!$B$8:$B$72,0)),"")</f>
        <v/>
      </c>
      <c r="Q23" s="76">
        <f>IFERROR(INDEX(Bootstrap!$H$8:$H$72,MATCH(O23,Bootstrap!$B$8:$B$72,0)),"")</f>
        <v/>
      </c>
      <c r="R23" s="89">
        <f>IF(OR(P23="",NOT(ISNUMBER(IF(Bootstrap!$G$4="Test 1",D23,IF(Bootstrap!$G$4="Test 2",H23,IF(Bootstrap!$G$4="Test 3",L23,"")))))),"",(P23-(IF(Bootstrap!$G$4="Test 1",D23,IF(Bootstrap!$G$4="Test 2",H23,IF(Bootstrap!$G$4="Test 3",L23,"")))))*100)</f>
        <v/>
      </c>
      <c r="S23" s="72">
        <f>IF(OR(Q23="",NOT(ISNUMBER(IF(Bootstrap!$G$4="Test 1",E23,IF(Bootstrap!$G$4="Test 2",I23,IF(Bootstrap!$G$4="Test 3",M23,"")))))),"",Q23-(IF(Bootstrap!$G$4="Test 1",E23,IF(Bootstrap!$G$4="Test 2",I23,IF(Bootstrap!$G$4="Test 3",M23,"")))))</f>
        <v/>
      </c>
    </row>
    <row r="24">
      <c r="A24" s="152" t="inlineStr">
        <is>
          <t>3Y</t>
        </is>
      </c>
      <c r="B24" s="111" t="n"/>
      <c r="C24" s="85" t="n"/>
      <c r="D24" s="85" t="n"/>
      <c r="E24" s="69" t="n"/>
      <c r="F24" s="111" t="n"/>
      <c r="G24" s="85" t="n"/>
      <c r="H24" s="85" t="n"/>
      <c r="I24" s="69" t="n"/>
      <c r="J24" s="111" t="n"/>
      <c r="K24" s="85" t="n"/>
      <c r="L24" s="85" t="n"/>
      <c r="M24" s="69" t="n"/>
      <c r="O24" s="112">
        <f>IF(Bootstrap!$G$4="Test 1",B24,IF(Bootstrap!$G$4="Test 2",F24,IF(Bootstrap!$G$4="Test 3",J24,"")))</f>
        <v/>
      </c>
      <c r="P24" s="84">
        <f>IFERROR(INDEX(Bootstrap!$J$8:$J$72,MATCH(O24,Bootstrap!$B$8:$B$72,0)),"")</f>
        <v/>
      </c>
      <c r="Q24" s="76">
        <f>IFERROR(INDEX(Bootstrap!$H$8:$H$72,MATCH(O24,Bootstrap!$B$8:$B$72,0)),"")</f>
        <v/>
      </c>
      <c r="R24" s="89">
        <f>IF(OR(P24="",NOT(ISNUMBER(IF(Bootstrap!$G$4="Test 1",D24,IF(Bootstrap!$G$4="Test 2",H24,IF(Bootstrap!$G$4="Test 3",L24,"")))))),"",(P24-(IF(Bootstrap!$G$4="Test 1",D24,IF(Bootstrap!$G$4="Test 2",H24,IF(Bootstrap!$G$4="Test 3",L24,"")))))*100)</f>
        <v/>
      </c>
      <c r="S24" s="72">
        <f>IF(OR(Q24="",NOT(ISNUMBER(IF(Bootstrap!$G$4="Test 1",E24,IF(Bootstrap!$G$4="Test 2",I24,IF(Bootstrap!$G$4="Test 3",M24,"")))))),"",Q24-(IF(Bootstrap!$G$4="Test 1",E24,IF(Bootstrap!$G$4="Test 2",I24,IF(Bootstrap!$G$4="Test 3",M24,"")))))</f>
        <v/>
      </c>
    </row>
    <row r="25">
      <c r="A25" s="152" t="inlineStr">
        <is>
          <t>4Y</t>
        </is>
      </c>
      <c r="B25" s="111" t="n"/>
      <c r="C25" s="85" t="n"/>
      <c r="D25" s="85" t="n"/>
      <c r="E25" s="69" t="n"/>
      <c r="F25" s="111" t="n"/>
      <c r="G25" s="85" t="n"/>
      <c r="H25" s="85" t="n"/>
      <c r="I25" s="69" t="n"/>
      <c r="J25" s="111" t="n"/>
      <c r="K25" s="85" t="n"/>
      <c r="L25" s="85" t="n"/>
      <c r="M25" s="69" t="n"/>
      <c r="O25" s="112">
        <f>IF(Bootstrap!$G$4="Test 1",B25,IF(Bootstrap!$G$4="Test 2",F25,IF(Bootstrap!$G$4="Test 3",J25,"")))</f>
        <v/>
      </c>
      <c r="P25" s="84">
        <f>IFERROR(INDEX(Bootstrap!$J$8:$J$72,MATCH(O25,Bootstrap!$B$8:$B$72,0)),"")</f>
        <v/>
      </c>
      <c r="Q25" s="76">
        <f>IFERROR(INDEX(Bootstrap!$H$8:$H$72,MATCH(O25,Bootstrap!$B$8:$B$72,0)),"")</f>
        <v/>
      </c>
      <c r="R25" s="89">
        <f>IF(OR(P25="",NOT(ISNUMBER(IF(Bootstrap!$G$4="Test 1",D25,IF(Bootstrap!$G$4="Test 2",H25,IF(Bootstrap!$G$4="Test 3",L25,"")))))),"",(P25-(IF(Bootstrap!$G$4="Test 1",D25,IF(Bootstrap!$G$4="Test 2",H25,IF(Bootstrap!$G$4="Test 3",L25,"")))))*100)</f>
        <v/>
      </c>
      <c r="S25" s="72">
        <f>IF(OR(Q25="",NOT(ISNUMBER(IF(Bootstrap!$G$4="Test 1",E25,IF(Bootstrap!$G$4="Test 2",I25,IF(Bootstrap!$G$4="Test 3",M25,"")))))),"",Q25-(IF(Bootstrap!$G$4="Test 1",E25,IF(Bootstrap!$G$4="Test 2",I25,IF(Bootstrap!$G$4="Test 3",M25,"")))))</f>
        <v/>
      </c>
    </row>
    <row r="26">
      <c r="A26" s="152" t="inlineStr">
        <is>
          <t>5Y</t>
        </is>
      </c>
      <c r="B26" s="111" t="n"/>
      <c r="C26" s="85" t="n"/>
      <c r="D26" s="85" t="n"/>
      <c r="E26" s="69" t="n"/>
      <c r="F26" s="111" t="n"/>
      <c r="G26" s="85" t="n"/>
      <c r="H26" s="85" t="n"/>
      <c r="I26" s="69" t="n"/>
      <c r="J26" s="111" t="n"/>
      <c r="K26" s="85" t="n"/>
      <c r="L26" s="85" t="n"/>
      <c r="M26" s="69" t="n"/>
      <c r="O26" s="112">
        <f>IF(Bootstrap!$G$4="Test 1",B26,IF(Bootstrap!$G$4="Test 2",F26,IF(Bootstrap!$G$4="Test 3",J26,"")))</f>
        <v/>
      </c>
      <c r="P26" s="84">
        <f>IFERROR(INDEX(Bootstrap!$J$8:$J$72,MATCH(O26,Bootstrap!$B$8:$B$72,0)),"")</f>
        <v/>
      </c>
      <c r="Q26" s="76">
        <f>IFERROR(INDEX(Bootstrap!$H$8:$H$72,MATCH(O26,Bootstrap!$B$8:$B$72,0)),"")</f>
        <v/>
      </c>
      <c r="R26" s="89">
        <f>IF(OR(P26="",NOT(ISNUMBER(IF(Bootstrap!$G$4="Test 1",D26,IF(Bootstrap!$G$4="Test 2",H26,IF(Bootstrap!$G$4="Test 3",L26,"")))))),"",(P26-(IF(Bootstrap!$G$4="Test 1",D26,IF(Bootstrap!$G$4="Test 2",H26,IF(Bootstrap!$G$4="Test 3",L26,"")))))*100)</f>
        <v/>
      </c>
      <c r="S26" s="72">
        <f>IF(OR(Q26="",NOT(ISNUMBER(IF(Bootstrap!$G$4="Test 1",E26,IF(Bootstrap!$G$4="Test 2",I26,IF(Bootstrap!$G$4="Test 3",M26,"")))))),"",Q26-(IF(Bootstrap!$G$4="Test 1",E26,IF(Bootstrap!$G$4="Test 2",I26,IF(Bootstrap!$G$4="Test 3",M26,"")))))</f>
        <v/>
      </c>
    </row>
    <row r="27">
      <c r="A27" s="152" t="inlineStr">
        <is>
          <t>6Y</t>
        </is>
      </c>
      <c r="B27" s="111" t="n"/>
      <c r="C27" s="85" t="n"/>
      <c r="D27" s="85" t="n"/>
      <c r="E27" s="69" t="n"/>
      <c r="F27" s="111" t="n"/>
      <c r="G27" s="85" t="n"/>
      <c r="H27" s="85" t="n"/>
      <c r="I27" s="69" t="n"/>
      <c r="J27" s="111" t="n"/>
      <c r="K27" s="85" t="n"/>
      <c r="L27" s="85" t="n"/>
      <c r="M27" s="69" t="n"/>
      <c r="O27" s="112">
        <f>IF(Bootstrap!$G$4="Test 1",B27,IF(Bootstrap!$G$4="Test 2",F27,IF(Bootstrap!$G$4="Test 3",J27,"")))</f>
        <v/>
      </c>
      <c r="P27" s="84">
        <f>IFERROR(INDEX(Bootstrap!$J$8:$J$72,MATCH(O27,Bootstrap!$B$8:$B$72,0)),"")</f>
        <v/>
      </c>
      <c r="Q27" s="76">
        <f>IFERROR(INDEX(Bootstrap!$H$8:$H$72,MATCH(O27,Bootstrap!$B$8:$B$72,0)),"")</f>
        <v/>
      </c>
      <c r="R27" s="89">
        <f>IF(OR(P27="",NOT(ISNUMBER(IF(Bootstrap!$G$4="Test 1",D27,IF(Bootstrap!$G$4="Test 2",H27,IF(Bootstrap!$G$4="Test 3",L27,"")))))),"",(P27-(IF(Bootstrap!$G$4="Test 1",D27,IF(Bootstrap!$G$4="Test 2",H27,IF(Bootstrap!$G$4="Test 3",L27,"")))))*100)</f>
        <v/>
      </c>
      <c r="S27" s="72">
        <f>IF(OR(Q27="",NOT(ISNUMBER(IF(Bootstrap!$G$4="Test 1",E27,IF(Bootstrap!$G$4="Test 2",I27,IF(Bootstrap!$G$4="Test 3",M27,"")))))),"",Q27-(IF(Bootstrap!$G$4="Test 1",E27,IF(Bootstrap!$G$4="Test 2",I27,IF(Bootstrap!$G$4="Test 3",M27,"")))))</f>
        <v/>
      </c>
    </row>
    <row r="28">
      <c r="A28" s="152" t="inlineStr">
        <is>
          <t>7Y</t>
        </is>
      </c>
      <c r="B28" s="111" t="n"/>
      <c r="C28" s="85" t="n"/>
      <c r="D28" s="85" t="n"/>
      <c r="E28" s="69" t="n"/>
      <c r="F28" s="111" t="n"/>
      <c r="G28" s="85" t="n"/>
      <c r="H28" s="85" t="n"/>
      <c r="I28" s="69" t="n"/>
      <c r="J28" s="111" t="n"/>
      <c r="K28" s="85" t="n"/>
      <c r="L28" s="85" t="n"/>
      <c r="M28" s="69" t="n"/>
      <c r="O28" s="112">
        <f>IF(Bootstrap!$G$4="Test 1",B28,IF(Bootstrap!$G$4="Test 2",F28,IF(Bootstrap!$G$4="Test 3",J28,"")))</f>
        <v/>
      </c>
      <c r="P28" s="84">
        <f>IFERROR(INDEX(Bootstrap!$J$8:$J$72,MATCH(O28,Bootstrap!$B$8:$B$72,0)),"")</f>
        <v/>
      </c>
      <c r="Q28" s="76">
        <f>IFERROR(INDEX(Bootstrap!$H$8:$H$72,MATCH(O28,Bootstrap!$B$8:$B$72,0)),"")</f>
        <v/>
      </c>
      <c r="R28" s="89">
        <f>IF(OR(P28="",NOT(ISNUMBER(IF(Bootstrap!$G$4="Test 1",D28,IF(Bootstrap!$G$4="Test 2",H28,IF(Bootstrap!$G$4="Test 3",L28,"")))))),"",(P28-(IF(Bootstrap!$G$4="Test 1",D28,IF(Bootstrap!$G$4="Test 2",H28,IF(Bootstrap!$G$4="Test 3",L28,"")))))*100)</f>
        <v/>
      </c>
      <c r="S28" s="72">
        <f>IF(OR(Q28="",NOT(ISNUMBER(IF(Bootstrap!$G$4="Test 1",E28,IF(Bootstrap!$G$4="Test 2",I28,IF(Bootstrap!$G$4="Test 3",M28,"")))))),"",Q28-(IF(Bootstrap!$G$4="Test 1",E28,IF(Bootstrap!$G$4="Test 2",I28,IF(Bootstrap!$G$4="Test 3",M28,"")))))</f>
        <v/>
      </c>
    </row>
    <row r="29">
      <c r="A29" s="152" t="inlineStr">
        <is>
          <t>8Y</t>
        </is>
      </c>
      <c r="B29" s="111" t="n"/>
      <c r="C29" s="85" t="n"/>
      <c r="D29" s="85" t="n"/>
      <c r="E29" s="69" t="n"/>
      <c r="F29" s="111" t="n"/>
      <c r="G29" s="85" t="n"/>
      <c r="H29" s="85" t="n"/>
      <c r="I29" s="69" t="n"/>
      <c r="J29" s="111" t="n"/>
      <c r="K29" s="85" t="n"/>
      <c r="L29" s="85" t="n"/>
      <c r="M29" s="69" t="n"/>
      <c r="O29" s="112">
        <f>IF(Bootstrap!$G$4="Test 1",B29,IF(Bootstrap!$G$4="Test 2",F29,IF(Bootstrap!$G$4="Test 3",J29,"")))</f>
        <v/>
      </c>
      <c r="P29" s="84">
        <f>IFERROR(INDEX(Bootstrap!$J$8:$J$72,MATCH(O29,Bootstrap!$B$8:$B$72,0)),"")</f>
        <v/>
      </c>
      <c r="Q29" s="76">
        <f>IFERROR(INDEX(Bootstrap!$H$8:$H$72,MATCH(O29,Bootstrap!$B$8:$B$72,0)),"")</f>
        <v/>
      </c>
      <c r="R29" s="89">
        <f>IF(OR(P29="",NOT(ISNUMBER(IF(Bootstrap!$G$4="Test 1",D29,IF(Bootstrap!$G$4="Test 2",H29,IF(Bootstrap!$G$4="Test 3",L29,"")))))),"",(P29-(IF(Bootstrap!$G$4="Test 1",D29,IF(Bootstrap!$G$4="Test 2",H29,IF(Bootstrap!$G$4="Test 3",L29,"")))))*100)</f>
        <v/>
      </c>
      <c r="S29" s="72">
        <f>IF(OR(Q29="",NOT(ISNUMBER(IF(Bootstrap!$G$4="Test 1",E29,IF(Bootstrap!$G$4="Test 2",I29,IF(Bootstrap!$G$4="Test 3",M29,"")))))),"",Q29-(IF(Bootstrap!$G$4="Test 1",E29,IF(Bootstrap!$G$4="Test 2",I29,IF(Bootstrap!$G$4="Test 3",M29,"")))))</f>
        <v/>
      </c>
    </row>
    <row r="30">
      <c r="A30" s="152" t="inlineStr">
        <is>
          <t>9Y</t>
        </is>
      </c>
      <c r="B30" s="111" t="n"/>
      <c r="C30" s="85" t="n"/>
      <c r="D30" s="85" t="n"/>
      <c r="E30" s="69" t="n"/>
      <c r="F30" s="111" t="n"/>
      <c r="G30" s="85" t="n"/>
      <c r="H30" s="85" t="n"/>
      <c r="I30" s="69" t="n"/>
      <c r="J30" s="111" t="n"/>
      <c r="K30" s="85" t="n"/>
      <c r="L30" s="85" t="n"/>
      <c r="M30" s="69" t="n"/>
      <c r="O30" s="112">
        <f>IF(Bootstrap!$G$4="Test 1",B30,IF(Bootstrap!$G$4="Test 2",F30,IF(Bootstrap!$G$4="Test 3",J30,"")))</f>
        <v/>
      </c>
      <c r="P30" s="84">
        <f>IFERROR(INDEX(Bootstrap!$J$8:$J$72,MATCH(O30,Bootstrap!$B$8:$B$72,0)),"")</f>
        <v/>
      </c>
      <c r="Q30" s="76">
        <f>IFERROR(INDEX(Bootstrap!$H$8:$H$72,MATCH(O30,Bootstrap!$B$8:$B$72,0)),"")</f>
        <v/>
      </c>
      <c r="R30" s="89">
        <f>IF(OR(P30="",NOT(ISNUMBER(IF(Bootstrap!$G$4="Test 1",D30,IF(Bootstrap!$G$4="Test 2",H30,IF(Bootstrap!$G$4="Test 3",L30,"")))))),"",(P30-(IF(Bootstrap!$G$4="Test 1",D30,IF(Bootstrap!$G$4="Test 2",H30,IF(Bootstrap!$G$4="Test 3",L30,"")))))*100)</f>
        <v/>
      </c>
      <c r="S30" s="72">
        <f>IF(OR(Q30="",NOT(ISNUMBER(IF(Bootstrap!$G$4="Test 1",E30,IF(Bootstrap!$G$4="Test 2",I30,IF(Bootstrap!$G$4="Test 3",M30,"")))))),"",Q30-(IF(Bootstrap!$G$4="Test 1",E30,IF(Bootstrap!$G$4="Test 2",I30,IF(Bootstrap!$G$4="Test 3",M30,"")))))</f>
        <v/>
      </c>
    </row>
    <row r="31">
      <c r="A31" s="152" t="inlineStr">
        <is>
          <t>10Y</t>
        </is>
      </c>
      <c r="B31" s="111" t="n"/>
      <c r="C31" s="85" t="n"/>
      <c r="D31" s="85" t="n"/>
      <c r="E31" s="69" t="n"/>
      <c r="F31" s="111" t="n"/>
      <c r="G31" s="85" t="n"/>
      <c r="H31" s="85" t="n"/>
      <c r="I31" s="69" t="n"/>
      <c r="J31" s="111" t="n"/>
      <c r="K31" s="85" t="n"/>
      <c r="L31" s="85" t="n"/>
      <c r="M31" s="69" t="n"/>
      <c r="O31" s="112">
        <f>IF(Bootstrap!$G$4="Test 1",B31,IF(Bootstrap!$G$4="Test 2",F31,IF(Bootstrap!$G$4="Test 3",J31,"")))</f>
        <v/>
      </c>
      <c r="P31" s="84">
        <f>IFERROR(INDEX(Bootstrap!$J$8:$J$72,MATCH(O31,Bootstrap!$B$8:$B$72,0)),"")</f>
        <v/>
      </c>
      <c r="Q31" s="76">
        <f>IFERROR(INDEX(Bootstrap!$H$8:$H$72,MATCH(O31,Bootstrap!$B$8:$B$72,0)),"")</f>
        <v/>
      </c>
      <c r="R31" s="89">
        <f>IF(OR(P31="",NOT(ISNUMBER(IF(Bootstrap!$G$4="Test 1",D31,IF(Bootstrap!$G$4="Test 2",H31,IF(Bootstrap!$G$4="Test 3",L31,"")))))),"",(P31-(IF(Bootstrap!$G$4="Test 1",D31,IF(Bootstrap!$G$4="Test 2",H31,IF(Bootstrap!$G$4="Test 3",L31,"")))))*100)</f>
        <v/>
      </c>
      <c r="S31" s="72">
        <f>IF(OR(Q31="",NOT(ISNUMBER(IF(Bootstrap!$G$4="Test 1",E31,IF(Bootstrap!$G$4="Test 2",I31,IF(Bootstrap!$G$4="Test 3",M31,"")))))),"",Q31-(IF(Bootstrap!$G$4="Test 1",E31,IF(Bootstrap!$G$4="Test 2",I31,IF(Bootstrap!$G$4="Test 3",M31,"")))))</f>
        <v/>
      </c>
    </row>
    <row r="32">
      <c r="A32" s="152" t="inlineStr">
        <is>
          <t>12Y</t>
        </is>
      </c>
      <c r="B32" s="111" t="n"/>
      <c r="C32" s="85" t="n"/>
      <c r="D32" s="85" t="n"/>
      <c r="E32" s="69" t="n"/>
      <c r="F32" s="111" t="n"/>
      <c r="G32" s="85" t="n"/>
      <c r="H32" s="85" t="n"/>
      <c r="I32" s="69" t="n"/>
      <c r="J32" s="111" t="n"/>
      <c r="K32" s="85" t="n"/>
      <c r="L32" s="85" t="n"/>
      <c r="M32" s="69" t="n"/>
      <c r="O32" s="112">
        <f>IF(Bootstrap!$G$4="Test 1",B32,IF(Bootstrap!$G$4="Test 2",F32,IF(Bootstrap!$G$4="Test 3",J32,"")))</f>
        <v/>
      </c>
      <c r="P32" s="84">
        <f>IFERROR(INDEX(Bootstrap!$J$8:$J$72,MATCH(O32,Bootstrap!$B$8:$B$72,0)),"")</f>
        <v/>
      </c>
      <c r="Q32" s="76">
        <f>IFERROR(INDEX(Bootstrap!$H$8:$H$72,MATCH(O32,Bootstrap!$B$8:$B$72,0)),"")</f>
        <v/>
      </c>
      <c r="R32" s="89">
        <f>IF(OR(P32="",NOT(ISNUMBER(IF(Bootstrap!$G$4="Test 1",D32,IF(Bootstrap!$G$4="Test 2",H32,IF(Bootstrap!$G$4="Test 3",L32,"")))))),"",(P32-(IF(Bootstrap!$G$4="Test 1",D32,IF(Bootstrap!$G$4="Test 2",H32,IF(Bootstrap!$G$4="Test 3",L32,"")))))*100)</f>
        <v/>
      </c>
      <c r="S32" s="72">
        <f>IF(OR(Q32="",NOT(ISNUMBER(IF(Bootstrap!$G$4="Test 1",E32,IF(Bootstrap!$G$4="Test 2",I32,IF(Bootstrap!$G$4="Test 3",M32,"")))))),"",Q32-(IF(Bootstrap!$G$4="Test 1",E32,IF(Bootstrap!$G$4="Test 2",I32,IF(Bootstrap!$G$4="Test 3",M32,"")))))</f>
        <v/>
      </c>
    </row>
    <row r="33">
      <c r="A33" s="152" t="inlineStr">
        <is>
          <t>15Y</t>
        </is>
      </c>
      <c r="B33" s="111" t="n"/>
      <c r="C33" s="85" t="n"/>
      <c r="D33" s="85" t="n"/>
      <c r="E33" s="69" t="n"/>
      <c r="F33" s="111" t="n"/>
      <c r="G33" s="85" t="n"/>
      <c r="H33" s="85" t="n"/>
      <c r="I33" s="69" t="n"/>
      <c r="J33" s="111" t="n"/>
      <c r="K33" s="85" t="n"/>
      <c r="L33" s="85" t="n"/>
      <c r="M33" s="69" t="n"/>
      <c r="O33" s="112">
        <f>IF(Bootstrap!$G$4="Test 1",B33,IF(Bootstrap!$G$4="Test 2",F33,IF(Bootstrap!$G$4="Test 3",J33,"")))</f>
        <v/>
      </c>
      <c r="P33" s="84">
        <f>IFERROR(INDEX(Bootstrap!$J$8:$J$72,MATCH(O33,Bootstrap!$B$8:$B$72,0)),"")</f>
        <v/>
      </c>
      <c r="Q33" s="76">
        <f>IFERROR(INDEX(Bootstrap!$H$8:$H$72,MATCH(O33,Bootstrap!$B$8:$B$72,0)),"")</f>
        <v/>
      </c>
      <c r="R33" s="89">
        <f>IF(OR(P33="",NOT(ISNUMBER(IF(Bootstrap!$G$4="Test 1",D33,IF(Bootstrap!$G$4="Test 2",H33,IF(Bootstrap!$G$4="Test 3",L33,"")))))),"",(P33-(IF(Bootstrap!$G$4="Test 1",D33,IF(Bootstrap!$G$4="Test 2",H33,IF(Bootstrap!$G$4="Test 3",L33,"")))))*100)</f>
        <v/>
      </c>
      <c r="S33" s="72">
        <f>IF(OR(Q33="",NOT(ISNUMBER(IF(Bootstrap!$G$4="Test 1",E33,IF(Bootstrap!$G$4="Test 2",I33,IF(Bootstrap!$G$4="Test 3",M33,"")))))),"",Q33-(IF(Bootstrap!$G$4="Test 1",E33,IF(Bootstrap!$G$4="Test 2",I33,IF(Bootstrap!$G$4="Test 3",M33,"")))))</f>
        <v/>
      </c>
    </row>
    <row r="34">
      <c r="A34" s="152" t="inlineStr">
        <is>
          <t>20Y</t>
        </is>
      </c>
      <c r="B34" s="111" t="n"/>
      <c r="C34" s="85" t="n"/>
      <c r="D34" s="85" t="n"/>
      <c r="E34" s="69" t="n"/>
      <c r="F34" s="111" t="n"/>
      <c r="G34" s="85" t="n"/>
      <c r="H34" s="85" t="n"/>
      <c r="I34" s="69" t="n"/>
      <c r="J34" s="111" t="n"/>
      <c r="K34" s="85" t="n"/>
      <c r="L34" s="85" t="n"/>
      <c r="M34" s="69" t="n"/>
      <c r="O34" s="112">
        <f>IF(Bootstrap!$G$4="Test 1",B34,IF(Bootstrap!$G$4="Test 2",F34,IF(Bootstrap!$G$4="Test 3",J34,"")))</f>
        <v/>
      </c>
      <c r="P34" s="84">
        <f>IFERROR(INDEX(Bootstrap!$J$8:$J$72,MATCH(O34,Bootstrap!$B$8:$B$72,0)),"")</f>
        <v/>
      </c>
      <c r="Q34" s="76">
        <f>IFERROR(INDEX(Bootstrap!$H$8:$H$72,MATCH(O34,Bootstrap!$B$8:$B$72,0)),"")</f>
        <v/>
      </c>
      <c r="R34" s="89">
        <f>IF(OR(P34="",NOT(ISNUMBER(IF(Bootstrap!$G$4="Test 1",D34,IF(Bootstrap!$G$4="Test 2",H34,IF(Bootstrap!$G$4="Test 3",L34,"")))))),"",(P34-(IF(Bootstrap!$G$4="Test 1",D34,IF(Bootstrap!$G$4="Test 2",H34,IF(Bootstrap!$G$4="Test 3",L34,"")))))*100)</f>
        <v/>
      </c>
      <c r="S34" s="72">
        <f>IF(OR(Q34="",NOT(ISNUMBER(IF(Bootstrap!$G$4="Test 1",E34,IF(Bootstrap!$G$4="Test 2",I34,IF(Bootstrap!$G$4="Test 3",M34,"")))))),"",Q34-(IF(Bootstrap!$G$4="Test 1",E34,IF(Bootstrap!$G$4="Test 2",I34,IF(Bootstrap!$G$4="Test 3",M34,"")))))</f>
        <v/>
      </c>
    </row>
    <row r="35">
      <c r="A35" s="152" t="inlineStr">
        <is>
          <t>25Y</t>
        </is>
      </c>
      <c r="B35" s="111" t="n"/>
      <c r="C35" s="85" t="n"/>
      <c r="D35" s="85" t="n"/>
      <c r="E35" s="69" t="n"/>
      <c r="F35" s="111" t="n"/>
      <c r="G35" s="85" t="n"/>
      <c r="H35" s="85" t="n"/>
      <c r="I35" s="69" t="n"/>
      <c r="J35" s="111" t="n"/>
      <c r="K35" s="85" t="n"/>
      <c r="L35" s="85" t="n"/>
      <c r="M35" s="69" t="n"/>
      <c r="O35" s="112">
        <f>IF(Bootstrap!$G$4="Test 1",B35,IF(Bootstrap!$G$4="Test 2",F35,IF(Bootstrap!$G$4="Test 3",J35,"")))</f>
        <v/>
      </c>
      <c r="P35" s="84">
        <f>IFERROR(INDEX(Bootstrap!$J$8:$J$72,MATCH(O35,Bootstrap!$B$8:$B$72,0)),"")</f>
        <v/>
      </c>
      <c r="Q35" s="76">
        <f>IFERROR(INDEX(Bootstrap!$H$8:$H$72,MATCH(O35,Bootstrap!$B$8:$B$72,0)),"")</f>
        <v/>
      </c>
      <c r="R35" s="89">
        <f>IF(OR(P35="",NOT(ISNUMBER(IF(Bootstrap!$G$4="Test 1",D35,IF(Bootstrap!$G$4="Test 2",H35,IF(Bootstrap!$G$4="Test 3",L35,"")))))),"",(P35-(IF(Bootstrap!$G$4="Test 1",D35,IF(Bootstrap!$G$4="Test 2",H35,IF(Bootstrap!$G$4="Test 3",L35,"")))))*100)</f>
        <v/>
      </c>
      <c r="S35" s="72">
        <f>IF(OR(Q35="",NOT(ISNUMBER(IF(Bootstrap!$G$4="Test 1",E35,IF(Bootstrap!$G$4="Test 2",I35,IF(Bootstrap!$G$4="Test 3",M35,"")))))),"",Q35-(IF(Bootstrap!$G$4="Test 1",E35,IF(Bootstrap!$G$4="Test 2",I35,IF(Bootstrap!$G$4="Test 3",M35,"")))))</f>
        <v/>
      </c>
    </row>
    <row r="36">
      <c r="A36" s="152" t="inlineStr">
        <is>
          <t>30Y</t>
        </is>
      </c>
      <c r="B36" s="111" t="n"/>
      <c r="C36" s="85" t="n"/>
      <c r="D36" s="85" t="n"/>
      <c r="E36" s="69" t="n"/>
      <c r="F36" s="111" t="n"/>
      <c r="G36" s="85" t="n"/>
      <c r="H36" s="85" t="n"/>
      <c r="I36" s="69" t="n"/>
      <c r="J36" s="111" t="n"/>
      <c r="K36" s="85" t="n"/>
      <c r="L36" s="85" t="n"/>
      <c r="M36" s="69" t="n"/>
      <c r="O36" s="112">
        <f>IF(Bootstrap!$G$4="Test 1",B36,IF(Bootstrap!$G$4="Test 2",F36,IF(Bootstrap!$G$4="Test 3",J36,"")))</f>
        <v/>
      </c>
      <c r="P36" s="84">
        <f>IFERROR(INDEX(Bootstrap!$J$8:$J$72,MATCH(O36,Bootstrap!$B$8:$B$72,0)),"")</f>
        <v/>
      </c>
      <c r="Q36" s="76">
        <f>IFERROR(INDEX(Bootstrap!$H$8:$H$72,MATCH(O36,Bootstrap!$B$8:$B$72,0)),"")</f>
        <v/>
      </c>
      <c r="R36" s="89">
        <f>IF(OR(P36="",NOT(ISNUMBER(IF(Bootstrap!$G$4="Test 1",D36,IF(Bootstrap!$G$4="Test 2",H36,IF(Bootstrap!$G$4="Test 3",L36,"")))))),"",(P36-(IF(Bootstrap!$G$4="Test 1",D36,IF(Bootstrap!$G$4="Test 2",H36,IF(Bootstrap!$G$4="Test 3",L36,"")))))*100)</f>
        <v/>
      </c>
      <c r="S36" s="72">
        <f>IF(OR(Q36="",NOT(ISNUMBER(IF(Bootstrap!$G$4="Test 1",E36,IF(Bootstrap!$G$4="Test 2",I36,IF(Bootstrap!$G$4="Test 3",M36,"")))))),"",Q36-(IF(Bootstrap!$G$4="Test 1",E36,IF(Bootstrap!$G$4="Test 2",I36,IF(Bootstrap!$G$4="Test 3",M36,"")))))</f>
        <v/>
      </c>
    </row>
    <row r="37">
      <c r="A37" s="152" t="inlineStr">
        <is>
          <t>40Y</t>
        </is>
      </c>
      <c r="B37" s="111" t="n"/>
      <c r="C37" s="85" t="n"/>
      <c r="D37" s="85" t="n"/>
      <c r="E37" s="69" t="n"/>
      <c r="F37" s="111" t="n"/>
      <c r="G37" s="85" t="n"/>
      <c r="H37" s="85" t="n"/>
      <c r="I37" s="69" t="n"/>
      <c r="J37" s="111" t="n"/>
      <c r="K37" s="85" t="n"/>
      <c r="L37" s="85" t="n"/>
      <c r="M37" s="69" t="n"/>
      <c r="O37" s="112">
        <f>IF(Bootstrap!$G$4="Test 1",B37,IF(Bootstrap!$G$4="Test 2",F37,IF(Bootstrap!$G$4="Test 3",J37,"")))</f>
        <v/>
      </c>
      <c r="P37" s="84">
        <f>IFERROR(INDEX(Bootstrap!$J$8:$J$72,MATCH(O37,Bootstrap!$B$8:$B$72,0)),"")</f>
        <v/>
      </c>
      <c r="Q37" s="76">
        <f>IFERROR(INDEX(Bootstrap!$H$8:$H$72,MATCH(O37,Bootstrap!$B$8:$B$72,0)),"")</f>
        <v/>
      </c>
      <c r="R37" s="89">
        <f>IF(OR(P37="",NOT(ISNUMBER(IF(Bootstrap!$G$4="Test 1",D37,IF(Bootstrap!$G$4="Test 2",H37,IF(Bootstrap!$G$4="Test 3",L37,"")))))),"",(P37-(IF(Bootstrap!$G$4="Test 1",D37,IF(Bootstrap!$G$4="Test 2",H37,IF(Bootstrap!$G$4="Test 3",L37,"")))))*100)</f>
        <v/>
      </c>
      <c r="S37" s="72">
        <f>IF(OR(Q37="",NOT(ISNUMBER(IF(Bootstrap!$G$4="Test 1",E37,IF(Bootstrap!$G$4="Test 2",I37,IF(Bootstrap!$G$4="Test 3",M37,"")))))),"",Q37-(IF(Bootstrap!$G$4="Test 1",E37,IF(Bootstrap!$G$4="Test 2",I37,IF(Bootstrap!$G$4="Test 3",M37,"")))))</f>
        <v/>
      </c>
    </row>
    <row r="38">
      <c r="A38" s="152" t="inlineStr">
        <is>
          <t>50Y</t>
        </is>
      </c>
      <c r="B38" s="111" t="n"/>
      <c r="C38" s="85" t="n"/>
      <c r="D38" s="85" t="n"/>
      <c r="E38" s="69" t="n"/>
      <c r="F38" s="111" t="n"/>
      <c r="G38" s="85" t="n"/>
      <c r="H38" s="85" t="n"/>
      <c r="I38" s="69" t="n"/>
      <c r="J38" s="111" t="n"/>
      <c r="K38" s="85" t="n"/>
      <c r="L38" s="85" t="n"/>
      <c r="M38" s="69" t="n"/>
      <c r="O38" s="112">
        <f>IF(Bootstrap!$G$4="Test 1",B38,IF(Bootstrap!$G$4="Test 2",F38,IF(Bootstrap!$G$4="Test 3",J38,"")))</f>
        <v/>
      </c>
      <c r="P38" s="84">
        <f>IFERROR(INDEX(Bootstrap!$J$8:$J$72,MATCH(O38,Bootstrap!$B$8:$B$72,0)),"")</f>
        <v/>
      </c>
      <c r="Q38" s="76">
        <f>IFERROR(INDEX(Bootstrap!$H$8:$H$72,MATCH(O38,Bootstrap!$B$8:$B$72,0)),"")</f>
        <v/>
      </c>
      <c r="R38" s="89">
        <f>IF(OR(P38="",NOT(ISNUMBER(IF(Bootstrap!$G$4="Test 1",D38,IF(Bootstrap!$G$4="Test 2",H38,IF(Bootstrap!$G$4="Test 3",L38,"")))))),"",(P38-(IF(Bootstrap!$G$4="Test 1",D38,IF(Bootstrap!$G$4="Test 2",H38,IF(Bootstrap!$G$4="Test 3",L38,"")))))*100)</f>
        <v/>
      </c>
      <c r="S38" s="72">
        <f>IF(OR(Q38="",NOT(ISNUMBER(IF(Bootstrap!$G$4="Test 1",E38,IF(Bootstrap!$G$4="Test 2",I38,IF(Bootstrap!$G$4="Test 3",M38,"")))))),"",Q38-(IF(Bootstrap!$G$4="Test 1",E38,IF(Bootstrap!$G$4="Test 2",I38,IF(Bootstrap!$G$4="Test 3",M38,"")))))</f>
        <v/>
      </c>
    </row>
    <row r="40">
      <c r="O40" s="67" t="inlineStr">
        <is>
          <t>Pillars matched</t>
        </is>
      </c>
      <c r="Q40" s="87">
        <f>COUNT(P7:P38)&amp;" / 32"</f>
        <v/>
      </c>
    </row>
    <row r="41">
      <c r="O41" s="67" t="inlineStr">
        <is>
          <t>Max |d zero| (bp)</t>
        </is>
      </c>
      <c r="Q41" s="90">
        <f>IF(COUNT(R7:R38)=0,"select a test case",MAX(MAX(R7:R38),-MIN(R7:R38)))</f>
        <v/>
      </c>
    </row>
    <row r="42">
      <c r="O42" s="67" t="inlineStr">
        <is>
          <t>Max |d DF|</t>
        </is>
      </c>
      <c r="Q42" s="91">
        <f>IF(COUNT(S7:S38)=0,"",MAX(MAX(S7:S38),-MIN(S7:S38)))</f>
        <v/>
      </c>
    </row>
    <row r="44">
      <c r="O44" s="65" t="inlineStr">
        <is>
          <t>Benchmark: the 07/21/26 capture gives 0.397bp and 1.88e-05 through this same path. A test case should land in that region.</t>
        </is>
      </c>
    </row>
    <row r="47">
      <c r="A47" s="123" t="inlineStr">
        <is>
          <t>CDS TEST CASES</t>
        </is>
      </c>
    </row>
    <row r="48">
      <c r="A48" s="65" t="inlineStr">
        <is>
          <t>Rows 5, 6 and 7 of CDS_Entities. Type a ticker in col B and the term structure pulls live; overwrite H:M to hard-code. Paste the CDSW screen into O:AC. Select which one prices at CDS_Parameters!B27.</t>
        </is>
      </c>
    </row>
    <row r="49">
      <c r="A49" s="65" t="inlineStr">
        <is>
          <t>The model-vs-capture comparison is on CDS_Pricer!A41 for whichever name is active.</t>
        </is>
      </c>
    </row>
    <row r="51">
      <c r="A51" s="67" t="inlineStr">
        <is>
          <t>Case 1</t>
        </is>
      </c>
      <c r="B51" s="93">
        <f>IF(CDS_Entities!$A$5="","(empty)",CDS_Entities!$A$5)</f>
        <v/>
      </c>
      <c r="D51" s="65">
        <f>IF(CDS_Entities!$B$5="","no ticker","ticker: "&amp;CDS_Entities!$B$5)</f>
        <v/>
      </c>
      <c r="H51" s="67">
        <f>IF(CDS_Parameters!$B$27=CDS_Entities!$A$5,"&lt;&lt; ACTIVE","")</f>
        <v/>
      </c>
    </row>
    <row r="52">
      <c r="A52" s="67" t="inlineStr">
        <is>
          <t>Case 2</t>
        </is>
      </c>
      <c r="B52" s="93">
        <f>IF(CDS_Entities!$A$6="","(empty)",CDS_Entities!$A$6)</f>
        <v/>
      </c>
      <c r="D52" s="65">
        <f>IF(CDS_Entities!$B$6="","no ticker","ticker: "&amp;CDS_Entities!$B$6)</f>
        <v/>
      </c>
      <c r="H52" s="67">
        <f>IF(CDS_Parameters!$B$27=CDS_Entities!$A$6,"&lt;&lt; ACTIVE","")</f>
        <v/>
      </c>
    </row>
    <row r="53">
      <c r="A53" s="67" t="inlineStr">
        <is>
          <t>Case 3</t>
        </is>
      </c>
      <c r="B53" s="93">
        <f>IF(CDS_Entities!$A$7="","(empty)",CDS_Entities!$A$7)</f>
        <v/>
      </c>
      <c r="D53" s="65">
        <f>IF(CDS_Entities!$B$7="","no ticker","ticker: "&amp;CDS_Entities!$B$7)</f>
        <v/>
      </c>
      <c r="H53" s="67">
        <f>IF(CDS_Parameters!$B$27=CDS_Entities!$A$7,"&lt;&lt; ACTIVE","")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2026-07-22T06:46:21Z</dcterms:modified>
</cp:coreProperties>
</file>