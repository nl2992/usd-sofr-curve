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nvention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SOFR_Futures" sheetId="5" state="visible" r:id="rId5"/>
    <sheet xmlns:r="http://schemas.openxmlformats.org/officeDocument/2006/relationships" name="S490_Snapshot" sheetId="6" state="visible" r:id="rId6"/>
    <sheet xmlns:r="http://schemas.openxmlformats.org/officeDocument/2006/relationships" name="Bootstrap" sheetId="7" state="visible" r:id="rId7"/>
    <sheet xmlns:r="http://schemas.openxmlformats.org/officeDocument/2006/relationships" name="Curve_Solver" sheetId="8" state="hidden" r:id="rId8"/>
    <sheet xmlns:r="http://schemas.openxmlformats.org/officeDocument/2006/relationships" name="Fwd_Interp" sheetId="9" state="visible" r:id="rId9"/>
    <sheet xmlns:r="http://schemas.openxmlformats.org/officeDocument/2006/relationships" name="Curve_Interface" sheetId="10" state="visible" r:id="rId10"/>
    <sheet xmlns:r="http://schemas.openxmlformats.org/officeDocument/2006/relationships" name="Swap_Pricer" sheetId="11" state="visible" r:id="rId11"/>
    <sheet xmlns:r="http://schemas.openxmlformats.org/officeDocument/2006/relationships" name="Bloomberg_S490_Validation" sheetId="12" state="visible" r:id="rId12"/>
    <sheet xmlns:r="http://schemas.openxmlformats.org/officeDocument/2006/relationships" name="Charts" sheetId="13" state="visible" r:id="rId13"/>
    <sheet xmlns:r="http://schemas.openxmlformats.org/officeDocument/2006/relationships" name="CDS_Parameters" sheetId="14" state="visible" r:id="rId14"/>
    <sheet xmlns:r="http://schemas.openxmlformats.org/officeDocument/2006/relationships" name="CDS_Quotes" sheetId="15" state="visible" r:id="rId15"/>
    <sheet xmlns:r="http://schemas.openxmlformats.org/officeDocument/2006/relationships" name="Hazard_Bootstrap" sheetId="16" state="visible" r:id="rId16"/>
    <sheet xmlns:r="http://schemas.openxmlformats.org/officeDocument/2006/relationships" name="Hazard_Solver" sheetId="17" state="hidden" r:id="rId17"/>
    <sheet xmlns:r="http://schemas.openxmlformats.org/officeDocument/2006/relationships" name="CDS_Schedule" sheetId="18" state="visible" r:id="rId18"/>
    <sheet xmlns:r="http://schemas.openxmlformats.org/officeDocument/2006/relationships" name="CDS_Pricer" sheetId="19" state="visible" r:id="rId19"/>
    <sheet xmlns:r="http://schemas.openxmlformats.org/officeDocument/2006/relationships" name="CDS_Validation" sheetId="20" state="visible" r:id="rId20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OBSERVED overnight rate from the S490 screen 07/21/26 (bid = ask = 3.59000), NOT fitted. Off-terminal fallback only: on a terminal C6 pulls the live SOFRRATE fixing. Every curve input is now something we pull - nothing is derived from the S490 zero/discount columns, which are purely the comparison target.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S4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The screen's Market Rate column, which is already the mid. Used only when BDP fails; on a terminal BDP bid/ask takes precedence.</t>
        </is>
      </c>
      <c r="N2" s="65" t="inlineStr">
        <is>
          <t>Paste the export's Bid/Ask into N:O. Q/R/S show BDP minus export in bp. Mixed signs of a few tenths = the two were captured at different moments and the rates ticked. A consistent shift across all 32 = wrong pricing source, field or ticker, and needs fixing. Only column S matters for the curve: H is (PX_BID+PX_ASK)/2 and is the sole input the bootstrap reads.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MID (%) &lt;- S490_Snapshot</t>
        </is>
      </c>
      <c r="K4" s="62" t="inlineStr">
        <is>
          <t>Source</t>
        </is>
      </c>
      <c r="L4" s="62" t="inlineStr"/>
      <c r="M4" s="65" t="inlineStr">
        <is>
          <t>Maturity dates are modified-following business-day adjusted, matching S490 and the Bootstrap sheet. Display only - the curve reads column H (mid) alone.</t>
        </is>
      </c>
      <c r="N4" s="106" t="inlineStr">
        <is>
          <t>Export Bid (paste)</t>
        </is>
      </c>
      <c r="O4" s="106" t="inlineStr">
        <is>
          <t>Export Ask (paste)</t>
        </is>
      </c>
      <c r="P4" s="106" t="inlineStr">
        <is>
          <t>Export Mid</t>
        </is>
      </c>
      <c r="Q4" s="106" t="inlineStr">
        <is>
          <t>d Bid (bp)</t>
        </is>
      </c>
      <c r="R4" s="106" t="inlineStr">
        <is>
          <t>d Ask (bp)</t>
        </is>
      </c>
      <c r="S4" s="106" t="inlineStr">
        <is>
          <t>d Mid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IFERROR((E5+F5)/2,IFERROR(G5+0,J5))</f>
        <v/>
      </c>
      <c r="I5" s="26" t="inlineStr">
        <is>
          <t>Y</t>
        </is>
      </c>
      <c r="J5" s="97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107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IFERROR((E6+F6)/2,IFERROR(G6+0,J6))</f>
        <v/>
      </c>
      <c r="I6" s="26" t="inlineStr"/>
      <c r="J6" s="97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107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IFERROR((E7+F7)/2,IFERROR(G7+0,J7))</f>
        <v/>
      </c>
      <c r="I7" s="26" t="inlineStr"/>
      <c r="J7" s="97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107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IFERROR((E8+F8)/2,IFERROR(G8+0,J8))</f>
        <v/>
      </c>
      <c r="I8" s="26" t="inlineStr">
        <is>
          <t>Y</t>
        </is>
      </c>
      <c r="J8" s="97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107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IFERROR((E9+F9)/2,IFERROR(G9+0,J9))</f>
        <v/>
      </c>
      <c r="I9" s="26" t="inlineStr"/>
      <c r="J9" s="97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107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IFERROR((E10+F10)/2,IFERROR(G10+0,J10))</f>
        <v/>
      </c>
      <c r="I10" s="26" t="inlineStr">
        <is>
          <t>Y</t>
        </is>
      </c>
      <c r="J10" s="97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107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IFERROR((E11+F11)/2,IFERROR(G11+0,J11))</f>
        <v/>
      </c>
      <c r="I11" s="26" t="inlineStr"/>
      <c r="J11" s="97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107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IFERROR((E12+F12)/2,IFERROR(G12+0,J12))</f>
        <v/>
      </c>
      <c r="I12" s="26" t="inlineStr"/>
      <c r="J12" s="97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107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IFERROR((E13+F13)/2,IFERROR(G13+0,J13))</f>
        <v/>
      </c>
      <c r="I13" s="26" t="inlineStr">
        <is>
          <t>Y</t>
        </is>
      </c>
      <c r="J13" s="97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107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IFERROR((E14+F14)/2,IFERROR(G14+0,J14))</f>
        <v/>
      </c>
      <c r="I14" s="26" t="inlineStr"/>
      <c r="J14" s="97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107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IFERROR((E15+F15)/2,IFERROR(G15+0,J15))</f>
        <v/>
      </c>
      <c r="I15" s="26" t="inlineStr"/>
      <c r="J15" s="97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107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IFERROR((E16+F16)/2,IFERROR(G16+0,J16))</f>
        <v/>
      </c>
      <c r="I16" s="26" t="inlineStr"/>
      <c r="J16" s="97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107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IFERROR((E17+F17)/2,IFERROR(G17+0,J17))</f>
        <v/>
      </c>
      <c r="I17" s="26" t="inlineStr"/>
      <c r="J17" s="97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107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IFERROR((E18+F18)/2,IFERROR(G18+0,J18))</f>
        <v/>
      </c>
      <c r="I18" s="26" t="inlineStr"/>
      <c r="J18" s="97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107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IFERROR((E19+F19)/2,IFERROR(G19+0,J19))</f>
        <v/>
      </c>
      <c r="I19" s="26" t="inlineStr"/>
      <c r="J19" s="97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107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IFERROR((E20+F20)/2,IFERROR(G20+0,J20))</f>
        <v/>
      </c>
      <c r="I20" s="26" t="inlineStr"/>
      <c r="J20" s="97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107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IFERROR((E21+F21)/2,IFERROR(G21+0,J21))</f>
        <v/>
      </c>
      <c r="I21" s="26" t="inlineStr"/>
      <c r="J21" s="97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107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IFERROR((E22+F22)/2,IFERROR(G22+0,J22))</f>
        <v/>
      </c>
      <c r="I22" s="26" t="inlineStr"/>
      <c r="J22" s="97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107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IFERROR((E23+F23)/2,IFERROR(G23+0,J23))</f>
        <v/>
      </c>
      <c r="I23" s="26" t="inlineStr"/>
      <c r="J23" s="97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107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IFERROR((E24+F24)/2,IFERROR(G24+0,J24))</f>
        <v/>
      </c>
      <c r="I24" s="26" t="inlineStr">
        <is>
          <t>Y</t>
        </is>
      </c>
      <c r="J24" s="97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107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IFERROR((E25+F25)/2,IFERROR(G25+0,J25))</f>
        <v/>
      </c>
      <c r="I25" s="26" t="inlineStr">
        <is>
          <t>Y</t>
        </is>
      </c>
      <c r="J25" s="97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107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IFERROR((E26+F26)/2,IFERROR(G26+0,J26))</f>
        <v/>
      </c>
      <c r="I26" s="26" t="inlineStr">
        <is>
          <t>Y</t>
        </is>
      </c>
      <c r="J26" s="97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107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IFERROR((E27+F27)/2,IFERROR(G27+0,J27))</f>
        <v/>
      </c>
      <c r="I27" s="26" t="inlineStr">
        <is>
          <t>Y</t>
        </is>
      </c>
      <c r="J27" s="97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107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IFERROR((E28+F28)/2,IFERROR(G28+0,J28))</f>
        <v/>
      </c>
      <c r="I28" s="26" t="inlineStr">
        <is>
          <t>Y</t>
        </is>
      </c>
      <c r="J28" s="97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107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IFERROR((E29+F29)/2,IFERROR(G29+0,J29))</f>
        <v/>
      </c>
      <c r="I29" s="26" t="inlineStr">
        <is>
          <t>Y</t>
        </is>
      </c>
      <c r="J29" s="97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107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IFERROR((E30+F30)/2,IFERROR(G30+0,J30))</f>
        <v/>
      </c>
      <c r="I30" s="26" t="inlineStr">
        <is>
          <t>Y</t>
        </is>
      </c>
      <c r="J30" s="97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107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IFERROR((E31+F31)/2,IFERROR(G31+0,J31))</f>
        <v/>
      </c>
      <c r="I31" s="26" t="inlineStr">
        <is>
          <t>Y</t>
        </is>
      </c>
      <c r="J31" s="97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107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IFERROR((E32+F32)/2,IFERROR(G32+0,J32))</f>
        <v/>
      </c>
      <c r="I32" s="26" t="inlineStr">
        <is>
          <t>Y</t>
        </is>
      </c>
      <c r="J32" s="97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107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IFERROR((E33+F33)/2,IFERROR(G33+0,J33))</f>
        <v/>
      </c>
      <c r="I33" s="26" t="inlineStr">
        <is>
          <t>Y</t>
        </is>
      </c>
      <c r="J33" s="97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107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IFERROR((E34+F34)/2,IFERROR(G34+0,J34))</f>
        <v/>
      </c>
      <c r="I34" s="26" t="inlineStr">
        <is>
          <t>Y</t>
        </is>
      </c>
      <c r="J34" s="97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107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IFERROR((E35+F35)/2,IFERROR(G35+0,J35))</f>
        <v/>
      </c>
      <c r="I35" s="26" t="inlineStr">
        <is>
          <t>Y</t>
        </is>
      </c>
      <c r="J35" s="97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107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IFERROR((E36+F36)/2,IFERROR(G36+0,J36))</f>
        <v/>
      </c>
      <c r="I36" s="26" t="inlineStr">
        <is>
          <t>Y</t>
        </is>
      </c>
      <c r="J36" s="97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107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This sheet holds 301 of the workbook's 434 Bloomberg requests and NOTHING reads it - its only consumer was the deleted Bootstrap_Lehman. Left on, it hammers the terminal and fills the sheet with errors for no benefit. Set to Yes to re-enable; the formulas are preserved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4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THE single place to update the comparison. Market Rate feeds SOFR_OIS_Quotes!J (the input); Zero/Discount feed Bootstrap!T:U and Bloomberg_S490_Validation!G (the target). Change it here only.</t>
        </is>
      </c>
    </row>
    <row r="4">
      <c r="A4" s="65" t="inlineStr">
        <is>
          <t>Matched pair: Market Rate equals the mid of the curve export's bid/ask (1W: (3.634854+3.651146)/2 = 3.643000), so input and output are the same instant. Only valid while VAL_DATE = 07/21/2026.</t>
        </is>
      </c>
    </row>
    <row r="6">
      <c r="A6" s="62" t="inlineStr">
        <is>
          <t>Date</t>
        </is>
      </c>
      <c r="B6" s="62" t="inlineStr">
        <is>
          <t>Tenor</t>
        </is>
      </c>
      <c r="C6" s="62" t="inlineStr">
        <is>
          <t>Market rate (%)</t>
        </is>
      </c>
      <c r="D6" s="62" t="inlineStr">
        <is>
          <t>Zero rate (%)</t>
        </is>
      </c>
      <c r="E6" s="62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85" t="n">
        <v>3.6376</v>
      </c>
      <c r="D7" s="85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85" t="n">
        <v>3.6733</v>
      </c>
      <c r="D8" s="85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85" t="n">
        <v>3.68739</v>
      </c>
      <c r="D9" s="85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85" t="n">
        <v>3.69655</v>
      </c>
      <c r="D10" s="85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85" t="n">
        <v>3.72255</v>
      </c>
      <c r="D11" s="85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85" t="n">
        <v>3.77525</v>
      </c>
      <c r="D12" s="85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85" t="n">
        <v>3.82085</v>
      </c>
      <c r="D13" s="85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85" t="n">
        <v>3.8622</v>
      </c>
      <c r="D14" s="85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85" t="n">
        <v>3.908</v>
      </c>
      <c r="D15" s="85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85" t="n">
        <v>3.9415</v>
      </c>
      <c r="D16" s="85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85" t="n">
        <v>3.96975</v>
      </c>
      <c r="D17" s="85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85" t="n">
        <v>4.0007</v>
      </c>
      <c r="D18" s="85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85" t="n">
        <v>4.02865</v>
      </c>
      <c r="D19" s="85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85" t="n">
        <v>4.0523</v>
      </c>
      <c r="D20" s="85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85" t="n">
        <v>4.07315</v>
      </c>
      <c r="D21" s="85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85" t="n">
        <v>4.0909</v>
      </c>
      <c r="D22" s="85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85" t="n">
        <v>4.09656</v>
      </c>
      <c r="D23" s="85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85" t="n">
        <v>4.07655</v>
      </c>
      <c r="D24" s="85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85" t="n">
        <v>4.06655</v>
      </c>
      <c r="D25" s="85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85" t="n">
        <v>4.0715</v>
      </c>
      <c r="D26" s="85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85" t="n">
        <v>4.0891</v>
      </c>
      <c r="D27" s="85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85" t="n">
        <v>4.1126</v>
      </c>
      <c r="D28" s="85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85" t="n">
        <v>4.13925</v>
      </c>
      <c r="D29" s="85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85" t="n">
        <v>4.1687</v>
      </c>
      <c r="D30" s="85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85" t="n">
        <v>4.19995</v>
      </c>
      <c r="D31" s="85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85" t="n">
        <v>4.264</v>
      </c>
      <c r="D32" s="85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85" t="n">
        <v>4.34865</v>
      </c>
      <c r="D33" s="85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85" t="n">
        <v>4.41995</v>
      </c>
      <c r="D34" s="85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85" t="n">
        <v>4.41615</v>
      </c>
      <c r="D35" s="85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85" t="n">
        <v>4.37685</v>
      </c>
      <c r="D36" s="85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85" t="n">
        <v>4.25755</v>
      </c>
      <c r="D37" s="85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85" t="n">
        <v>4.12427</v>
      </c>
      <c r="D38" s="85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  <c r="AA6" s="65" t="inlineStr">
        <is>
          <t>S490 targets now live on the S490_Snapshot sheet - this block was a duplicate copy and has been cleared.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92" t="inlineStr">
        <is>
          <t>Zero (S490)</t>
        </is>
      </c>
      <c r="U7" s="92" t="inlineStr">
        <is>
          <t>DF (S490)</t>
        </is>
      </c>
      <c r="V7" s="92" t="inlineStr">
        <is>
          <t>d zero (bp)</t>
        </is>
      </c>
      <c r="W7" s="92" t="inlineStr">
        <is>
          <t>d DF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80">
        <f>(B8-VAL_DATE)/360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84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80">
        <f>(B9-VAL_DATE)/360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84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84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84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84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84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84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84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84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84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84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84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84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84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80">
        <f>(B22-VAL_DATE)/360</f>
        <v/>
      </c>
      <c r="E22" s="17">
        <f>'SOFR_OIS_Quotes'!$H19</f>
        <v/>
      </c>
      <c r="F22" s="17">
        <f>(B22-VAL_DATE)/360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84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84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84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84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84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84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84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84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84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84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84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84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84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84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84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84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84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84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84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84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84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84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84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84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84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84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84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84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84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84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84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84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84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84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84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84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84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84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84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84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84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84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84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84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84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84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84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84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84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84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84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  <row r="76">
      <c r="T76" s="67" t="inlineStr">
        <is>
          <t>Pillars matched</t>
        </is>
      </c>
      <c r="U76" s="87">
        <f>COUNT(U8:U72)&amp;" / 32"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</row>
    <row r="80">
      <c r="T80" s="65" t="inlineStr">
        <is>
          <t>Our bootstrap vs the S490 screen. Only the 32 quoted pillars match; the interpolated gap rows have no screen counterpart and stay blank.</t>
        </is>
      </c>
    </row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86">
        <f>VAL_DATE</f>
        <v/>
      </c>
      <c r="L8" s="7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Log-linear DF interpolation on this grid (dates $K$6:$K$71, DFs $L$6:$L$71). Do NOT write text into K or L - MATCH needs a strictly ascending date column, and a stray label here silently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to price an off-grid or sub-annual swap, e.g. 07/30/2026 for the SWPM 1W deal. Leave blank to use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Bloomberg SWPM, Fixed vs SOFR, 10mm, curve date 07/21/26, valuation 07/23/26, OIS DC stripping. To reproduce: Effective 07/23/2026, Maturity override 07/30/2026, Notional 10,000,000, Coupon 3.63840, ACT/360.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(9,995,885.46) are deliberately NOT compared: SWPM discounts from the curve date to a separate valuation date, so its leg PVs are not on the same basis as this sheet's. See the note on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Y78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&lt;- S490_Snapshot</t>
        </is>
      </c>
      <c r="H7" s="67" t="inlineStr">
        <is>
          <t>Raw CURVE_TENOR_RATES dump (spills right and down from J12)</t>
        </is>
      </c>
      <c r="M7" s="62" t="inlineStr">
        <is>
          <t>DF (screen)</t>
        </is>
      </c>
      <c r="N7" s="62" t="inlineStr">
        <is>
          <t>DF (model)</t>
        </is>
      </c>
      <c r="O7" s="62" t="inlineStr">
        <is>
          <t>DF diff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97">
        <f>IFERROR(INDEX(S490_Snapshot!$D$7:$D$38,MATCH(B8,S490_Snapshot!$A$7:$A$38,0)),"")</f>
        <v/>
      </c>
      <c r="H8" s="65" t="inlineStr">
        <is>
          <t>(the CURVE_TENOR_RATES dump lives at J12 - a second copy here would spill into it)</t>
        </is>
      </c>
      <c r="L8" s="85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97">
        <f>IFERROR(INDEX(S490_Snapshot!$D$7:$D$38,MATCH(B9,S490_Snapshot!$A$7:$A$38,0)),"")</f>
        <v/>
      </c>
      <c r="L9" s="85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97">
        <f>IFERROR(INDEX(S490_Snapshot!$D$7:$D$38,MATCH(B10,S490_Snapshot!$A$7:$A$38,0)),"")</f>
        <v/>
      </c>
      <c r="L10" s="85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97">
        <f>IFERROR(INDEX(S490_Snapshot!$D$7:$D$38,MATCH(B11,S490_Snapshot!$A$7:$A$38,0)),"")</f>
        <v/>
      </c>
      <c r="L11" s="85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97">
        <f>IFERROR(INDEX(S490_Snapshot!$D$7:$D$38,MATCH(B12,S490_Snapshot!$A$7:$A$38,0)),"")</f>
        <v/>
      </c>
      <c r="J12" s="93">
        <f>BDS(S490_TKR,"CURVE_TENOR_RATES")</f>
        <v/>
      </c>
      <c r="L12" s="85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97">
        <f>IFERROR(INDEX(S490_Snapshot!$D$7:$D$38,MATCH(B13,S490_Snapshot!$A$7:$A$38,0)),"")</f>
        <v/>
      </c>
      <c r="L13" s="85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97">
        <f>IFERROR(INDEX(S490_Snapshot!$D$7:$D$38,MATCH(B14,S490_Snapshot!$A$7:$A$38,0)),"")</f>
        <v/>
      </c>
      <c r="L14" s="85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97">
        <f>IFERROR(INDEX(S490_Snapshot!$D$7:$D$38,MATCH(B15,S490_Snapshot!$A$7:$A$38,0)),"")</f>
        <v/>
      </c>
      <c r="L15" s="85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97">
        <f>IFERROR(INDEX(S490_Snapshot!$D$7:$D$38,MATCH(B16,S490_Snapshot!$A$7:$A$38,0)),"")</f>
        <v/>
      </c>
      <c r="L16" s="85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97">
        <f>IFERROR(INDEX(S490_Snapshot!$D$7:$D$38,MATCH(B17,S490_Snapshot!$A$7:$A$38,0)),"")</f>
        <v/>
      </c>
      <c r="L17" s="85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97">
        <f>IFERROR(INDEX(S490_Snapshot!$D$7:$D$38,MATCH(B18,S490_Snapshot!$A$7:$A$38,0)),"")</f>
        <v/>
      </c>
      <c r="L18" s="85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97">
        <f>IFERROR(INDEX(S490_Snapshot!$D$7:$D$38,MATCH(B19,S490_Snapshot!$A$7:$A$38,0)),"")</f>
        <v/>
      </c>
      <c r="L19" s="85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97">
        <f>IFERROR(INDEX(S490_Snapshot!$D$7:$D$38,MATCH(B20,S490_Snapshot!$A$7:$A$38,0)),"")</f>
        <v/>
      </c>
      <c r="L20" s="85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97">
        <f>IFERROR(INDEX(S490_Snapshot!$D$7:$D$38,MATCH(B21,S490_Snapshot!$A$7:$A$38,0)),"")</f>
        <v/>
      </c>
      <c r="L21" s="85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97">
        <f>IFERROR(INDEX(S490_Snapshot!$D$7:$D$38,MATCH(B22,S490_Snapshot!$A$7:$A$38,0)),"")</f>
        <v/>
      </c>
      <c r="L22" s="85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97">
        <f>IFERROR(INDEX(S490_Snapshot!$D$7:$D$38,MATCH(B23,S490_Snapshot!$A$7:$A$38,0)),"")</f>
        <v/>
      </c>
      <c r="L23" s="85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97">
        <f>IFERROR(INDEX(S490_Snapshot!$D$7:$D$38,MATCH(B24,S490_Snapshot!$A$7:$A$38,0)),"")</f>
        <v/>
      </c>
      <c r="L24" s="85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97">
        <f>IFERROR(INDEX(S490_Snapshot!$D$7:$D$38,MATCH(B25,S490_Snapshot!$A$7:$A$38,0)),"")</f>
        <v/>
      </c>
      <c r="L25" s="85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97">
        <f>IFERROR(INDEX(S490_Snapshot!$D$7:$D$38,MATCH(B26,S490_Snapshot!$A$7:$A$38,0)),"")</f>
        <v/>
      </c>
      <c r="L26" s="85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97">
        <f>IFERROR(INDEX(S490_Snapshot!$D$7:$D$38,MATCH(B27,S490_Snapshot!$A$7:$A$38,0)),"")</f>
        <v/>
      </c>
      <c r="L27" s="85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97">
        <f>IFERROR(INDEX(S490_Snapshot!$D$7:$D$38,MATCH(B28,S490_Snapshot!$A$7:$A$38,0)),"")</f>
        <v/>
      </c>
      <c r="L28" s="85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97">
        <f>IFERROR(INDEX(S490_Snapshot!$D$7:$D$38,MATCH(B29,S490_Snapshot!$A$7:$A$38,0)),"")</f>
        <v/>
      </c>
      <c r="L29" s="85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97">
        <f>IFERROR(INDEX(S490_Snapshot!$D$7:$D$38,MATCH(B30,S490_Snapshot!$A$7:$A$38,0)),"")</f>
        <v/>
      </c>
      <c r="L30" s="85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97">
        <f>IFERROR(INDEX(S490_Snapshot!$D$7:$D$38,MATCH(B31,S490_Snapshot!$A$7:$A$38,0)),"")</f>
        <v/>
      </c>
      <c r="L31" s="85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97">
        <f>IFERROR(INDEX(S490_Snapshot!$D$7:$D$38,MATCH(B32,S490_Snapshot!$A$7:$A$38,0)),"")</f>
        <v/>
      </c>
      <c r="L32" s="85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97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97">
        <f>IFERROR(INDEX(S490_Snapshot!$D$7:$D$38,MATCH(B34,S490_Snapshot!$A$7:$A$38,0)),"")</f>
        <v/>
      </c>
      <c r="L34" s="85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97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97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97">
        <f>IFERROR(INDEX(S490_Snapshot!$D$7:$D$38,MATCH(B37,S490_Snapshot!$A$7:$A$38,0)),"")</f>
        <v/>
      </c>
      <c r="L37" s="85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97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97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97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97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97">
        <f>IFERROR(INDEX(S490_Snapshot!$D$7:$D$38,MATCH(B42,S490_Snapshot!$A$7:$A$38,0)),"")</f>
        <v/>
      </c>
      <c r="L42" s="85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97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97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97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97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97">
        <f>IFERROR(INDEX(S490_Snapshot!$D$7:$D$38,MATCH(B47,S490_Snapshot!$A$7:$A$38,0)),"")</f>
        <v/>
      </c>
      <c r="L47" s="85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97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97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97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97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97">
        <f>IFERROR(INDEX(S490_Snapshot!$D$7:$D$38,MATCH(B52,S490_Snapshot!$A$7:$A$38,0)),"")</f>
        <v/>
      </c>
      <c r="L52" s="85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97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97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97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97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97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97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97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97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97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97">
        <f>IFERROR(INDEX(S490_Snapshot!$D$7:$D$38,MATCH(B62,S490_Snapshot!$A$7:$A$38,0)),"")</f>
        <v/>
      </c>
      <c r="L62" s="85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97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97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97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97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97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97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97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97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97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97">
        <f>IFERROR(INDEX(S490_Snapshot!$D$7:$D$38,MATCH(B72,S490_Snapshot!$A$7:$A$38,0)),"")</f>
        <v/>
      </c>
      <c r="L72" s="85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Column L is the FROZEN S490 zero curve, hard-coded from the 07/21/26 capture - no lookup, no live pull. Column E compares our bootstrap against it. D (live BDS) and G (snapshot lookup) remain as secondary references.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I1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Curncy","PX_LAST")+0,IFERROR(BDP(D7&amp;" BEST Curncy","PX_MID")+0,E7))</f>
        <v/>
      </c>
      <c r="G7" s="52">
        <f>(F7/10000)/(1-CDS_Parameters!$B$8)</f>
        <v/>
      </c>
      <c r="H7" s="93">
        <f>IF(ISNUMBER(IFERROR(BDP(D7&amp;" BEST Curncy","PX_LAST")+0,"")),"BDP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Curncy","PX_LAST")+0,IFERROR(BDP(D8&amp;" BEST Curncy","PX_MID")+0,E8))</f>
        <v/>
      </c>
      <c r="G8" s="52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Curncy","PX_LAST")+0,IFERROR(BDP(D9&amp;" BEST Curncy","PX_MID")+0,E9))</f>
        <v/>
      </c>
      <c r="G9" s="52">
        <f>(F9/10000)/(1-CDS_Parameters!$B$8)</f>
        <v/>
      </c>
      <c r="H9" s="93">
        <f>IF(ISNUMBER(IFERROR(BDP(D9&amp;" BEST Curncy","PX_LAST")+0,"")),"BDP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Curncy","PX_LAST")+0,IFERROR(BDP(D10&amp;" BEST Curncy","PX_MID")+0,E10))</f>
        <v/>
      </c>
      <c r="G10" s="52">
        <f>(F10/10000)/(1-CDS_Parameters!$B$8)</f>
        <v/>
      </c>
      <c r="H10" s="93">
        <f>IF(ISNUMBER(IFERROR(BDP(D10&amp;" BEST Curncy","PX_LAST")+0,"")),"BDP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Curncy","PX_LAST")+0,IFERROR(BDP(D11&amp;" BEST Curncy","PX_MID")+0,E11))</f>
        <v/>
      </c>
      <c r="G11" s="52">
        <f>(F11/10000)/(1-CDS_Parameters!$B$8)</f>
        <v/>
      </c>
      <c r="H11" s="93">
        <f>IF(ISNUMBER(IFERROR(BDP(D11&amp;" BEST Curncy","PX_LAST")+0,"")),"BDP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Curncy","PX_LAST")+0,IFERROR(BDP(D12&amp;" BEST Curncy","PX_MID")+0,E12))</f>
        <v/>
      </c>
      <c r="G12" s="52">
        <f>(F12/10000)/(1-CDS_Parameters!$B$8)</f>
        <v/>
      </c>
      <c r="H12" s="93">
        <f>IF(ISNUMBER(IFERROR(BDP(D12&amp;" BEST Curncy","PX_LAST")+0,"")),"BDP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  <row r="16">
      <c r="A16" s="65" t="inlineStr">
        <is>
          <t>SOURCE: Bloomberg Help Desk H#1330731572. Step 1 =BDP(&lt;ticker&gt;,"CDS_SPREAD_TICKER_nY") resolves each tenor's CDS ticker; step 2 =BDP(&lt;returned&gt;&amp;" BEST Curncy","PX_LAST") quotes it. Documented tenors: 1Y, 3Y, 5Y, 7Y, 10Y.</t>
        </is>
      </c>
    </row>
    <row r="17">
      <c r="A17" s="66" t="inlineStr">
        <is>
          <t>LIMITATION (Bloomberg's words): they do not provide a zero-coupon CDS spread by maturity as an exportable field, and the bootstrapped hazard rates are not a standard export. So there is NO exportable ground truth for the hazard curve - unlike the SOFR curve, which is matched against S490 to 0.36bp. Validate the credit side indirectly against CDSW screen output.</t>
        </is>
      </c>
    </row>
    <row r="18">
      <c r="A18" s="65" t="inlineStr">
        <is>
          <t>Bloomberg's suggested term structure is the credit triangle, Hazard = S/(1-R). That is only exact for a flat curve; Hazard_Solver bootstraps properly instead. CDS_Validation rows 13-18 compare the two so the difference stays visible. Methodology: CDS Model White Paper {LPHP CDSW 0:1 2989941 &lt;GO&gt;}, {HELP CDSW &lt;GO&gt;}.</t>
        </is>
      </c>
    </row>
  </sheetData>
  <mergeCells count="1">
    <mergeCell ref="A4:G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the order the CDSW screen shows them. S = par spread implied by the curve (B15);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9">
      <c r="A39" s="65" t="inlineStr">
        <is>
          <t>Reference CDSW screen (CINDBK 5Y, 07/21/26) for validation: points upfront -1.97596265, price 101.97596265, principal -197,597, accrued -8,333 (30 days), cash -205,930, default exposure 6,197,596. Those are TARGETS for a like-for-like trade, not model output - the demo spreads here are not that entity's curve.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NOTE: there is no Bloomberg export of bootstrapped hazard rates or zero-coupon CDS spreads (Help Desk H#1330731572), so these checks are INTERNAL consistency only - they confirm the curve reprices its own inputs, not that it agrees with Bloomberg. For external validation compare CDSW screen output (points upfront, price, cash amount)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2026-07-21T15:24:21Z</dcterms:modified>
</cp:coreProperties>
</file>