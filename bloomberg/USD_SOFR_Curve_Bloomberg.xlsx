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S490_Snapshot" sheetId="6" state="visible" r:id="rId6"/>
    <sheet xmlns:r="http://schemas.openxmlformats.org/officeDocument/2006/relationships" name="Bootstrap" sheetId="7" state="visible" r:id="rId7"/>
    <sheet xmlns:r="http://schemas.openxmlformats.org/officeDocument/2006/relationships" name="Curve_Solver" sheetId="8" state="hidden" r:id="rId8"/>
    <sheet xmlns:r="http://schemas.openxmlformats.org/officeDocument/2006/relationships" name="Fwd_Interp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Swap_Pricer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harts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Hazard_Solver" sheetId="17" state="hidden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yyyy-mm-dd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  <c r="N2" s="65" t="inlineStr">
        <is>
          <t>Paste the export's Bid/Ask into N:O. Q/R/S show BDP minus export in bp. Mixed signs of a few tenths = the two were captured at different moments and the rates ticked. A consistent shift across all 32 = wrong pricing source, field or ticker, and needs fixing. Only column S matters for the curve: H is (PX_BID+PX_ASK)/2 and is the sole input the bootstrap reads.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7"/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capture. USD SOFR (vs FIXED), Step Forward (Cont), Settle Date 07/21/26, Curve Side Mid, Shift +0.00bp.</t>
        </is>
      </c>
    </row>
    <row r="3">
      <c r="A3" s="65" t="inlineStr">
        <is>
          <t>THE single place to update the comparison. Market Rate feeds SOFR_OIS_Quotes!J (the input); Zero/Discount feed Bootstrap!T:U and Bloomberg_S490_Validation!G (the target). Change it here only.</t>
        </is>
      </c>
    </row>
    <row r="4">
      <c r="A4" s="65" t="inlineStr">
        <is>
          <t>Matched pair: Market Rate equals the mid of the curve export's bid/ask (1W: (3.634854+3.651146)/2 = 3.643000), so input and output are the same instant. Only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3.643</v>
      </c>
      <c r="D7" s="85" t="n">
        <v>3.69229</v>
      </c>
      <c r="E7" s="69" t="n">
        <v>0.99909</v>
      </c>
    </row>
    <row r="8">
      <c r="A8" s="111" t="n">
        <v>46240</v>
      </c>
      <c r="B8" s="68" t="inlineStr">
        <is>
          <t>2W</t>
        </is>
      </c>
      <c r="C8" s="85" t="n">
        <v>3.6787</v>
      </c>
      <c r="D8" s="85" t="n">
        <v>3.72278</v>
      </c>
      <c r="E8" s="69" t="n">
        <v>0.998369</v>
      </c>
    </row>
    <row r="9">
      <c r="A9" s="111" t="n">
        <v>46247</v>
      </c>
      <c r="B9" s="68" t="inlineStr">
        <is>
          <t>3W</t>
        </is>
      </c>
      <c r="C9" s="85" t="n">
        <v>3.68722</v>
      </c>
      <c r="D9" s="85" t="n">
        <v>3.73075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</v>
      </c>
      <c r="D10" s="85" t="n">
        <v>3.73879</v>
      </c>
      <c r="E10" s="69" t="n">
        <v>0.996523</v>
      </c>
    </row>
    <row r="11">
      <c r="A11" s="111" t="n">
        <v>46288</v>
      </c>
      <c r="B11" s="68" t="inlineStr">
        <is>
          <t>2M</t>
        </is>
      </c>
      <c r="C11" s="85" t="n">
        <v>3.72235</v>
      </c>
      <c r="D11" s="85" t="n">
        <v>3.75983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3.77507</v>
      </c>
      <c r="D12" s="85" t="n">
        <v>3.80667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3.8205</v>
      </c>
      <c r="D13" s="85" t="n">
        <v>3.846</v>
      </c>
      <c r="E13" s="69" t="n">
        <v>0.986915</v>
      </c>
    </row>
    <row r="14">
      <c r="A14" s="111" t="n">
        <v>46379</v>
      </c>
      <c r="B14" s="68" t="inlineStr">
        <is>
          <t>5M</t>
        </is>
      </c>
      <c r="C14" s="85" t="n">
        <v>3.86225</v>
      </c>
      <c r="D14" s="85" t="n">
        <v>3.88163</v>
      </c>
      <c r="E14" s="69" t="n">
        <v>0.9836510000000001</v>
      </c>
    </row>
    <row r="15">
      <c r="A15" s="111" t="n">
        <v>46412</v>
      </c>
      <c r="B15" s="68" t="inlineStr">
        <is>
          <t>6M</t>
        </is>
      </c>
      <c r="C15" s="85" t="n">
        <v>3.90812</v>
      </c>
      <c r="D15" s="85" t="n">
        <v>3.92047</v>
      </c>
      <c r="E15" s="69" t="n">
        <v>0.980009</v>
      </c>
    </row>
    <row r="16">
      <c r="A16" s="111" t="n">
        <v>46441</v>
      </c>
      <c r="B16" s="68" t="inlineStr">
        <is>
          <t>7M</t>
        </is>
      </c>
      <c r="C16" s="85" t="n">
        <v>3.9411</v>
      </c>
      <c r="D16" s="85" t="n">
        <v>3.94717</v>
      </c>
      <c r="E16" s="69" t="n">
        <v>0.976806</v>
      </c>
    </row>
    <row r="17">
      <c r="A17" s="111" t="n">
        <v>46469</v>
      </c>
      <c r="B17" s="68" t="inlineStr">
        <is>
          <t>8M</t>
        </is>
      </c>
      <c r="C17" s="85" t="n">
        <v>3.96915</v>
      </c>
      <c r="D17" s="85" t="n">
        <v>3.96903</v>
      </c>
      <c r="E17" s="69" t="n">
        <v>0.97371</v>
      </c>
    </row>
    <row r="18">
      <c r="A18" s="111" t="n">
        <v>46500</v>
      </c>
      <c r="B18" s="68" t="inlineStr">
        <is>
          <t>9M</t>
        </is>
      </c>
      <c r="C18" s="85" t="n">
        <v>3.99975</v>
      </c>
      <c r="D18" s="85" t="n">
        <v>3.99261</v>
      </c>
      <c r="E18" s="69" t="n">
        <v>0.970261</v>
      </c>
    </row>
    <row r="19">
      <c r="A19" s="111" t="n">
        <v>46531</v>
      </c>
      <c r="B19" s="68" t="inlineStr">
        <is>
          <t>10M</t>
        </is>
      </c>
      <c r="C19" s="85" t="n">
        <v>4.0275</v>
      </c>
      <c r="D19" s="85" t="n">
        <v>4.01321</v>
      </c>
      <c r="E19" s="69" t="n">
        <v>0.966808</v>
      </c>
    </row>
    <row r="20">
      <c r="A20" s="111" t="n">
        <v>46561</v>
      </c>
      <c r="B20" s="68" t="inlineStr">
        <is>
          <t>11M</t>
        </is>
      </c>
      <c r="C20" s="85" t="n">
        <v>4.05145</v>
      </c>
      <c r="D20" s="85" t="n">
        <v>4.03016</v>
      </c>
      <c r="E20" s="69" t="n">
        <v>0.9634740000000001</v>
      </c>
    </row>
    <row r="21">
      <c r="A21" s="111" t="n">
        <v>46591</v>
      </c>
      <c r="B21" s="68" t="inlineStr">
        <is>
          <t>1Y</t>
        </is>
      </c>
      <c r="C21" s="85" t="n">
        <v>4.07237</v>
      </c>
      <c r="D21" s="85" t="n">
        <v>4.04404</v>
      </c>
      <c r="E21" s="69" t="n">
        <v>0.960154</v>
      </c>
    </row>
    <row r="22">
      <c r="A22" s="111" t="n">
        <v>46776</v>
      </c>
      <c r="B22" s="68" t="inlineStr">
        <is>
          <t>18M</t>
        </is>
      </c>
      <c r="C22" s="85" t="n">
        <v>4.0908</v>
      </c>
      <c r="D22" s="85" t="n">
        <v>4.07764</v>
      </c>
      <c r="E22" s="69" t="n">
        <v>0.940196</v>
      </c>
    </row>
    <row r="23">
      <c r="A23" s="111" t="n">
        <v>46958</v>
      </c>
      <c r="B23" s="68" t="inlineStr">
        <is>
          <t>2Y</t>
        </is>
      </c>
      <c r="C23" s="85" t="n">
        <v>4.09725</v>
      </c>
      <c r="D23" s="85" t="n">
        <v>4.06943</v>
      </c>
      <c r="E23" s="69" t="n">
        <v>0.921424</v>
      </c>
    </row>
    <row r="24">
      <c r="A24" s="111" t="n">
        <v>47322</v>
      </c>
      <c r="B24" s="68" t="inlineStr">
        <is>
          <t>3Y</t>
        </is>
      </c>
      <c r="C24" s="85" t="n">
        <v>4.0782</v>
      </c>
      <c r="D24" s="85" t="n">
        <v>4.05047</v>
      </c>
      <c r="E24" s="69" t="n">
        <v>0.885284</v>
      </c>
    </row>
    <row r="25">
      <c r="A25" s="111" t="n">
        <v>47687</v>
      </c>
      <c r="B25" s="68" t="inlineStr">
        <is>
          <t>4Y</t>
        </is>
      </c>
      <c r="C25" s="85" t="n">
        <v>4.06895</v>
      </c>
      <c r="D25" s="85" t="n">
        <v>4.0412</v>
      </c>
      <c r="E25" s="69" t="n">
        <v>0.850458</v>
      </c>
    </row>
    <row r="26">
      <c r="A26" s="111" t="n">
        <v>48052</v>
      </c>
      <c r="B26" s="68" t="inlineStr">
        <is>
          <t>5Y</t>
        </is>
      </c>
      <c r="C26" s="85" t="n">
        <v>4.0745</v>
      </c>
      <c r="D26" s="85" t="n">
        <v>4.04734</v>
      </c>
      <c r="E26" s="69" t="n">
        <v>0.816523</v>
      </c>
    </row>
    <row r="27">
      <c r="A27" s="111" t="n">
        <v>48418</v>
      </c>
      <c r="B27" s="68" t="inlineStr">
        <is>
          <t>6Y</t>
        </is>
      </c>
      <c r="C27" s="85" t="n">
        <v>4.09215</v>
      </c>
      <c r="D27" s="85" t="n">
        <v>4.06648</v>
      </c>
      <c r="E27" s="69" t="n">
        <v>0.783148</v>
      </c>
    </row>
    <row r="28">
      <c r="A28" s="111" t="n">
        <v>48785</v>
      </c>
      <c r="B28" s="68" t="inlineStr">
        <is>
          <t>7Y</t>
        </is>
      </c>
      <c r="C28" s="85" t="n">
        <v>4.11555</v>
      </c>
      <c r="D28" s="85" t="n">
        <v>4.09206</v>
      </c>
      <c r="E28" s="69" t="n">
        <v>0.750424</v>
      </c>
    </row>
    <row r="29">
      <c r="A29" s="111" t="n">
        <v>49149</v>
      </c>
      <c r="B29" s="68" t="inlineStr">
        <is>
          <t>8Y</t>
        </is>
      </c>
      <c r="C29" s="85" t="n">
        <v>4.1421</v>
      </c>
      <c r="D29" s="85" t="n">
        <v>4.12158</v>
      </c>
      <c r="E29" s="69" t="n">
        <v>0.718715</v>
      </c>
    </row>
    <row r="30">
      <c r="A30" s="111" t="n">
        <v>49513</v>
      </c>
      <c r="B30" s="68" t="inlineStr">
        <is>
          <t>9Y</t>
        </is>
      </c>
      <c r="C30" s="85" t="n">
        <v>4.17128</v>
      </c>
      <c r="D30" s="85" t="n">
        <v>4.1545</v>
      </c>
      <c r="E30" s="69" t="n">
        <v>0.687729</v>
      </c>
    </row>
    <row r="31">
      <c r="A31" s="111" t="n">
        <v>49879</v>
      </c>
      <c r="B31" s="68" t="inlineStr">
        <is>
          <t>10Y</t>
        </is>
      </c>
      <c r="C31" s="85" t="n">
        <v>4.2025</v>
      </c>
      <c r="D31" s="85" t="n">
        <v>4.19026</v>
      </c>
      <c r="E31" s="69" t="n">
        <v>0.657309</v>
      </c>
    </row>
    <row r="32">
      <c r="A32" s="111" t="n">
        <v>50609</v>
      </c>
      <c r="B32" s="68" t="inlineStr">
        <is>
          <t>12Y</t>
        </is>
      </c>
      <c r="C32" s="85" t="n">
        <v>4.2663</v>
      </c>
      <c r="D32" s="85" t="n">
        <v>4.26517</v>
      </c>
      <c r="E32" s="69" t="n">
        <v>0.5990529999999999</v>
      </c>
    </row>
    <row r="33">
      <c r="A33" s="111" t="n">
        <v>51705</v>
      </c>
      <c r="B33" s="68" t="inlineStr">
        <is>
          <t>15Y</t>
        </is>
      </c>
      <c r="C33" s="85" t="n">
        <v>4.35053</v>
      </c>
      <c r="D33" s="85" t="n">
        <v>4.36781</v>
      </c>
      <c r="E33" s="69" t="n">
        <v>0.51898</v>
      </c>
    </row>
    <row r="34">
      <c r="A34" s="111" t="n">
        <v>53531</v>
      </c>
      <c r="B34" s="68" t="inlineStr">
        <is>
          <t>20Y</t>
        </is>
      </c>
      <c r="C34" s="85" t="n">
        <v>4.42135</v>
      </c>
      <c r="D34" s="85" t="n">
        <v>4.45488</v>
      </c>
      <c r="E34" s="69" t="n">
        <v>0.409905</v>
      </c>
    </row>
    <row r="35">
      <c r="A35" s="111" t="n">
        <v>55358</v>
      </c>
      <c r="B35" s="68" t="inlineStr">
        <is>
          <t>25Y</t>
        </is>
      </c>
      <c r="C35" s="85" t="n">
        <v>4.41735</v>
      </c>
      <c r="D35" s="85" t="n">
        <v>4.43447</v>
      </c>
      <c r="E35" s="69" t="n">
        <v>0.329654</v>
      </c>
    </row>
    <row r="36">
      <c r="A36" s="111" t="n">
        <v>57185</v>
      </c>
      <c r="B36" s="68" t="inlineStr">
        <is>
          <t>30Y</t>
        </is>
      </c>
      <c r="C36" s="85" t="n">
        <v>4.3778</v>
      </c>
      <c r="D36" s="85" t="n">
        <v>4.35382</v>
      </c>
      <c r="E36" s="69" t="n">
        <v>0.270507</v>
      </c>
    </row>
    <row r="37">
      <c r="A37" s="111" t="n">
        <v>60836</v>
      </c>
      <c r="B37" s="68" t="inlineStr">
        <is>
          <t>40Y</t>
        </is>
      </c>
      <c r="C37" s="85" t="n">
        <v>4.2582</v>
      </c>
      <c r="D37" s="85" t="n">
        <v>4.10978</v>
      </c>
      <c r="E37" s="69" t="n">
        <v>0.192962</v>
      </c>
    </row>
    <row r="38">
      <c r="A38" s="111" t="n">
        <v>64489</v>
      </c>
      <c r="B38" s="68" t="inlineStr">
        <is>
          <t>50Y</t>
        </is>
      </c>
      <c r="C38" s="85" t="n">
        <v>4.12531</v>
      </c>
      <c r="D38" s="85" t="n">
        <v>3.81656</v>
      </c>
      <c r="E38" s="69" t="n">
        <v>0.148103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5" t="inlineStr">
        <is>
          <t>S490 targets now live on the S490_Snapshot sheet - this block was a duplicate copy and has been cleared.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(the CURVE_TENOR_RATES dump lives at J12 - a second copy here would spill into it)</t>
        </is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2026-07-21T15:10:07Z</dcterms:modified>
</cp:coreProperties>
</file>