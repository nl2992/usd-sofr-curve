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" sheetId="2" state="visible" r:id="rId2"/>
    <sheet xmlns:r="http://schemas.openxmlformats.org/officeDocument/2006/relationships" name="Conventions" sheetId="3" state="visible" r:id="rId3"/>
    <sheet xmlns:r="http://schemas.openxmlformats.org/officeDocument/2006/relationships" name="SOFR_Fixing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SOFR_Futures" sheetId="6" state="visible" r:id="rId6"/>
    <sheet xmlns:r="http://schemas.openxmlformats.org/officeDocument/2006/relationships" name="S490_Snapshot" sheetId="7" state="visible" r:id="rId7"/>
    <sheet xmlns:r="http://schemas.openxmlformats.org/officeDocument/2006/relationships" name="Bootstrap" sheetId="8" state="visible" r:id="rId8"/>
    <sheet xmlns:r="http://schemas.openxmlformats.org/officeDocument/2006/relationships" name="Testing" sheetId="9" state="visible" r:id="rId9"/>
    <sheet xmlns:r="http://schemas.openxmlformats.org/officeDocument/2006/relationships" name="Brent_vs_Bisection" sheetId="10" state="visible" r:id="rId10"/>
    <sheet xmlns:r="http://schemas.openxmlformats.org/officeDocument/2006/relationships" name="Curve_Solver" sheetId="11" state="hidden" r:id="rId11"/>
    <sheet xmlns:r="http://schemas.openxmlformats.org/officeDocument/2006/relationships" name="Fwd_Interp" sheetId="12" state="visible" r:id="rId12"/>
    <sheet xmlns:r="http://schemas.openxmlformats.org/officeDocument/2006/relationships" name="Curve_Interface" sheetId="13" state="visible" r:id="rId13"/>
    <sheet xmlns:r="http://schemas.openxmlformats.org/officeDocument/2006/relationships" name="Swap_Pricer" sheetId="14" state="visible" r:id="rId14"/>
    <sheet xmlns:r="http://schemas.openxmlformats.org/officeDocument/2006/relationships" name="Bloomberg_S490_Validation" sheetId="15" state="visible" r:id="rId15"/>
    <sheet xmlns:r="http://schemas.openxmlformats.org/officeDocument/2006/relationships" name="Charts" sheetId="16" state="visible" r:id="rId16"/>
    <sheet xmlns:r="http://schemas.openxmlformats.org/officeDocument/2006/relationships" name="CDS_Entities" sheetId="17" state="visible" r:id="rId17"/>
    <sheet xmlns:r="http://schemas.openxmlformats.org/officeDocument/2006/relationships" name="CDS_Parameters" sheetId="18" state="visible" r:id="rId18"/>
    <sheet xmlns:r="http://schemas.openxmlformats.org/officeDocument/2006/relationships" name="CDS_Quotes" sheetId="19" state="visible" r:id="rId19"/>
    <sheet xmlns:r="http://schemas.openxmlformats.org/officeDocument/2006/relationships" name="Hazard_Bootstrap" sheetId="20" state="visible" r:id="rId20"/>
    <sheet xmlns:r="http://schemas.openxmlformats.org/officeDocument/2006/relationships" name="Hazard_Solver" sheetId="21" state="hidden" r:id="rId21"/>
    <sheet xmlns:r="http://schemas.openxmlformats.org/officeDocument/2006/relationships" name="CDS_Schedule" sheetId="22" state="visible" r:id="rId22"/>
    <sheet xmlns:r="http://schemas.openxmlformats.org/officeDocument/2006/relationships" name="CDS_Pricer" sheetId="23" state="visible" r:id="rId23"/>
    <sheet xmlns:r="http://schemas.openxmlformats.org/officeDocument/2006/relationships" name="CDS_Validation" sheetId="24" state="visible" r:id="rId24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25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134" t="n">
        <v>46224</v>
      </c>
      <c r="C9" s="8" t="inlineStr">
        <is>
          <t>VAL_DATE</t>
        </is>
      </c>
      <c r="D9" s="135" t="inlineStr">
        <is>
          <t>Pinned to the S490 capture date, not =TODAY(). The frozen targets, the settlement date and the accrued count are all anchored to it. Change it only when re-capturing market data.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7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96" customWidth="1" min="3" max="3"/>
  </cols>
  <sheetData>
    <row r="1">
      <c r="A1" s="123" t="inlineStr">
        <is>
          <t>USD SOFR curve and CDS module - build method</t>
        </is>
      </c>
    </row>
    <row r="2">
      <c r="A2" s="65" t="inlineStr">
        <is>
          <t>Order of construction. Each step names the sheet that does the work.</t>
        </is>
      </c>
    </row>
    <row r="4">
      <c r="A4" s="124" t="inlineStr">
        <is>
          <t>STEP 1</t>
        </is>
      </c>
      <c r="B4" s="124" t="inlineStr">
        <is>
          <t>Pull the OIS strip</t>
        </is>
      </c>
      <c r="C4" s="125" t="inlineStr">
        <is>
          <t>SOFR_OIS_Quotes</t>
        </is>
      </c>
    </row>
    <row r="5">
      <c r="C5" s="126" t="inlineStr">
        <is>
          <t>32 tickers, USOSFR1Z to USOSFR50, source BGN (Instructions!B12).</t>
        </is>
      </c>
    </row>
    <row r="6">
      <c r="C6" s="127" t="inlineStr">
        <is>
          <t>E/F = BDP PX_BID / PX_ASK.  H = (bid+ask)/2.  Curve Side = Mid, matching S490.</t>
        </is>
      </c>
    </row>
    <row r="7">
      <c r="C7" s="126" t="inlineStr">
        <is>
          <t>H falls back to J (frozen S490 mids) when BDP is unavailable, so the curve always builds.</t>
        </is>
      </c>
    </row>
    <row r="8">
      <c r="C8" s="126" t="inlineStr">
        <is>
          <t>N:S reconciles the BDP pull against a Bloomberg curve export.</t>
        </is>
      </c>
    </row>
    <row r="10">
      <c r="A10" s="124" t="inlineStr">
        <is>
          <t>STEP 2</t>
        </is>
      </c>
      <c r="B10" s="124" t="inlineStr">
        <is>
          <t>Dates and settlement</t>
        </is>
      </c>
      <c r="C10" s="125" t="inlineStr">
        <is>
          <t>Bootstrap col B</t>
        </is>
      </c>
    </row>
    <row r="11">
      <c r="C11" s="127" t="inlineStr">
        <is>
          <t>Spot = VAL_DATE + 2 business days.  Maturities = spot anniversaries.</t>
        </is>
      </c>
    </row>
    <row r="12">
      <c r="C12" s="126" t="inlineStr">
        <is>
          <t>Modified following, weekends only, no holiday calendar.</t>
        </is>
      </c>
    </row>
    <row r="13">
      <c r="C13" s="126" t="inlineStr">
        <is>
          <t>Bloomberg rolls 07/23/2033 to 07/25/2033; plain EDATE does not.</t>
        </is>
      </c>
    </row>
    <row r="14">
      <c r="C14" s="127" t="inlineStr">
        <is>
          <t>Settle Date = curve date on the S490 screen, so DF(settle) = 1. No spot-lag stub.</t>
        </is>
      </c>
    </row>
    <row r="16">
      <c r="A16" s="124" t="inlineStr">
        <is>
          <t>STEP 3</t>
        </is>
      </c>
      <c r="B16" s="124" t="inlineStr">
        <is>
          <t>Short end, 1W to 1Y</t>
        </is>
      </c>
      <c r="C16" s="125" t="inlineStr">
        <is>
          <t>Bootstrap rows 8-22</t>
        </is>
      </c>
    </row>
    <row r="17">
      <c r="C17" s="127" t="inlineStr">
        <is>
          <t>Single-payment OIS.   DF = 1 / (1 + S * tau)</t>
        </is>
      </c>
    </row>
    <row r="18">
      <c r="C18" s="127" t="inlineStr">
        <is>
          <t>tau = ACT/360 measured from VAL_DATE, not from spot.</t>
        </is>
      </c>
    </row>
    <row r="20">
      <c r="A20" s="124" t="inlineStr">
        <is>
          <t>STEP 4</t>
        </is>
      </c>
      <c r="B20" s="124" t="inlineStr">
        <is>
          <t>Long end, 18M to 50Y</t>
        </is>
      </c>
      <c r="C20" s="125" t="inlineStr">
        <is>
          <t>Bootstrap rows 23-72</t>
        </is>
      </c>
    </row>
    <row r="21">
      <c r="C21" s="127" t="inlineStr">
        <is>
          <t>Annual coupons.   DF = (1 - S*A) / (1 + S*tau)</t>
        </is>
      </c>
    </row>
    <row r="22">
      <c r="C22" s="127" t="inlineStr">
        <is>
          <t>A = sum of tau_i * DF_i over prior annual coupon dates (col G).</t>
        </is>
      </c>
    </row>
    <row r="23">
      <c r="C23" s="126" t="inlineStr">
        <is>
          <t>18M is off the annual grid: uses the annuity through 1Y and contributes nothing</t>
        </is>
      </c>
    </row>
    <row r="24">
      <c r="C24" s="127" t="inlineStr">
        <is>
          <t>onward, so I23 = 0 and the 2Y accrual runs from 1Y.</t>
        </is>
      </c>
    </row>
    <row r="26">
      <c r="A26" s="124" t="inlineStr">
        <is>
          <t>STEP 5</t>
        </is>
      </c>
      <c r="B26" s="124" t="inlineStr">
        <is>
          <t>Gap years</t>
        </is>
      </c>
      <c r="C26" s="125" t="inlineStr">
        <is>
          <t>Bootstrap, interpolated rows</t>
        </is>
      </c>
    </row>
    <row r="27">
      <c r="C27" s="126" t="inlineStr">
        <is>
          <t>11Y, 13-14Y, 16-19Y, 21-24Y, 26-29Y, 31-39Y, 41-49Y are not quoted.</t>
        </is>
      </c>
    </row>
    <row r="28">
      <c r="C28" s="127" t="inlineStr">
        <is>
          <t>Log-linear in DF between surrounding pillars = step-function forward.</t>
        </is>
      </c>
    </row>
    <row r="29">
      <c r="C29" s="127" t="inlineStr">
        <is>
          <t>Confirmed on the S490 screen: Interpolation = Step Forward (Cont).</t>
        </is>
      </c>
    </row>
    <row r="30">
      <c r="C30" s="126" t="inlineStr">
        <is>
          <t>Tested against the guide's method 1 (piecewise linear simple): 48x worse here.</t>
        </is>
      </c>
    </row>
    <row r="32">
      <c r="A32" s="124" t="inlineStr">
        <is>
          <t>STEP 6</t>
        </is>
      </c>
      <c r="B32" s="124" t="inlineStr">
        <is>
          <t>Long pillar solver</t>
        </is>
      </c>
      <c r="C32" s="125" t="inlineStr">
        <is>
          <t>Curve_Solver (hidden)</t>
        </is>
      </c>
    </row>
    <row r="33">
      <c r="C33" s="126" t="inlineStr">
        <is>
          <t>Gap DFs feed the annuity of the pillar they interpolate from, which is circular.</t>
        </is>
      </c>
    </row>
    <row r="34">
      <c r="C34" s="126" t="inlineStr">
        <is>
          <t>Each quoted pillar 12Y+ is bisection-solved so the par identity holds with its</t>
        </is>
      </c>
    </row>
    <row r="35">
      <c r="C35" s="126" t="inlineStr">
        <is>
          <t>gap points inside the annuity.</t>
        </is>
      </c>
    </row>
    <row r="36">
      <c r="C36" s="126" t="inlineStr">
        <is>
          <t>Par check: Bootstrap col R, residuals ~1e-13.</t>
        </is>
      </c>
    </row>
    <row r="38">
      <c r="A38" s="124" t="inlineStr">
        <is>
          <t>STEP 7</t>
        </is>
      </c>
      <c r="B38" s="124" t="inlineStr">
        <is>
          <t>Zero rates</t>
        </is>
      </c>
      <c r="C38" s="125" t="inlineStr">
        <is>
          <t>Bootstrap col J</t>
        </is>
      </c>
    </row>
    <row r="39">
      <c r="C39" s="127" t="inlineStr">
        <is>
          <t>z = -ln(DF) / t,  ACT/365 from VAL_DATE, continuously compounded.</t>
        </is>
      </c>
    </row>
    <row r="41">
      <c r="A41" s="124" t="inlineStr">
        <is>
          <t>STEP 8</t>
        </is>
      </c>
      <c r="B41" s="124" t="inlineStr">
        <is>
          <t>Validate against S490</t>
        </is>
      </c>
      <c r="C41" s="125" t="inlineStr">
        <is>
          <t>Bloomberg_S490_Validation, Bootstrap T:W</t>
        </is>
      </c>
    </row>
    <row r="42">
      <c r="C42" s="127" t="inlineStr">
        <is>
          <t>Col L = S490 zero curve, hard-coded from the 07/21/26 capture.</t>
        </is>
      </c>
    </row>
    <row r="43">
      <c r="C43" s="126" t="inlineStr">
        <is>
          <t>Result: 32/32 pillars, max |dz| 0.397bp, max |dDF| 1.88e-05, 0.08bp from 2Y.</t>
        </is>
      </c>
    </row>
    <row r="44">
      <c r="C44" s="126" t="inlineStr">
        <is>
          <t>Residual is simple interest vs Bloomberg's daily-compounded short OIS.</t>
        </is>
      </c>
    </row>
    <row r="45">
      <c r="C45" s="126" t="inlineStr">
        <is>
          <t>It is not fitted out: every curve input is a pulled quote.</t>
        </is>
      </c>
    </row>
    <row r="47">
      <c r="A47" s="124" t="inlineStr">
        <is>
          <t>STEP 9</t>
        </is>
      </c>
      <c r="B47" s="124" t="inlineStr">
        <is>
          <t>Curve interface</t>
        </is>
      </c>
      <c r="C47" s="125" t="inlineStr">
        <is>
          <t>Curve_Interface</t>
        </is>
      </c>
    </row>
    <row r="48">
      <c r="C48" s="126" t="inlineStr">
        <is>
          <t>Exposes D(0,t) for any date. Interpolation selector at J7.</t>
        </is>
      </c>
    </row>
    <row r="49">
      <c r="C49" s="126" t="inlineStr">
        <is>
          <t>CDS_Schedule and Swap_Pricer each hold their own inline copy of the</t>
        </is>
      </c>
    </row>
    <row r="50">
      <c r="C50" s="126" t="inlineStr">
        <is>
          <t>interpolation; all three read the J7 selector.</t>
        </is>
      </c>
    </row>
    <row r="52">
      <c r="A52" s="124" t="inlineStr">
        <is>
          <t>STEP 10</t>
        </is>
      </c>
      <c r="B52" s="124" t="inlineStr">
        <is>
          <t>Swap pricing</t>
        </is>
      </c>
      <c r="C52" s="125" t="inlineStr">
        <is>
          <t>Swap_Pricer</t>
        </is>
      </c>
    </row>
    <row r="53">
      <c r="C53" s="127" t="inlineStr">
        <is>
          <t>Par = (DF_eff - DF_mat) / annuity.   PV01 = notional * annuity * 1bp.</t>
        </is>
      </c>
    </row>
    <row r="54">
      <c r="C54" s="126" t="inlineStr">
        <is>
          <t>B17 maturity override prices sub-annual and off-grid deals.</t>
        </is>
      </c>
    </row>
    <row r="55">
      <c r="C55" s="127" t="inlineStr">
        <is>
          <t>Reprices its own inputs to &lt;=0.16bp across 1Y-50Y.</t>
        </is>
      </c>
    </row>
    <row r="56">
      <c r="C56" s="126" t="inlineStr">
        <is>
          <t>SWPM cross-check at A88.</t>
        </is>
      </c>
    </row>
    <row r="58">
      <c r="A58" s="124" t="inlineStr">
        <is>
          <t>STEP 11</t>
        </is>
      </c>
      <c r="B58" s="124" t="inlineStr">
        <is>
          <t>CDS hazard curve</t>
        </is>
      </c>
      <c r="C58" s="125" t="inlineStr">
        <is>
          <t>CDS_Quotes, Hazard_Bootstrap, Hazard_Solver</t>
        </is>
      </c>
    </row>
    <row r="59">
      <c r="C59" s="126" t="inlineStr">
        <is>
          <t>Two-step pull per Help Desk H#1330731572:</t>
        </is>
      </c>
    </row>
    <row r="60">
      <c r="C60" s="127" t="inlineStr">
        <is>
          <t xml:space="preserve">   1.  BDP(ticker, "CDS_SPREAD_TICKER_nY")      -&gt; CDS ticker</t>
        </is>
      </c>
    </row>
    <row r="61">
      <c r="C61" s="127" t="inlineStr">
        <is>
          <t xml:space="preserve">   2.  BDP(ticker &amp; " BEST Curncy", "PX_LAST")  -&gt; spread</t>
        </is>
      </c>
    </row>
    <row r="62">
      <c r="C62" s="126" t="inlineStr">
        <is>
          <t>Hazard_Solver bisection-solves each piecewise-constant hazard. No Goal Seek.</t>
        </is>
      </c>
    </row>
    <row r="63">
      <c r="C63" s="126" t="inlineStr">
        <is>
          <t>CDS_Parameters!B17 switches between bootstrap and a flat hazard.</t>
        </is>
      </c>
    </row>
    <row r="65">
      <c r="A65" s="124" t="inlineStr">
        <is>
          <t>STEP 12</t>
        </is>
      </c>
      <c r="B65" s="124" t="inlineStr">
        <is>
          <t>CDS pricing</t>
        </is>
      </c>
      <c r="C65" s="125" t="inlineStr">
        <is>
          <t>CDS_Schedule, CDS_Pricer</t>
        </is>
      </c>
    </row>
    <row r="66">
      <c r="C66" s="127" t="inlineStr">
        <is>
          <t>Quarterly IMM grid. DF from Curve_Interface, survival from the hazard curve.</t>
        </is>
      </c>
    </row>
    <row r="67">
      <c r="C67" s="127" t="inlineStr">
        <is>
          <t>Protection leg  (1-R) * sum Z(t)*dQ(t)</t>
        </is>
      </c>
    </row>
    <row r="68">
      <c r="C68" s="127" t="inlineStr">
        <is>
          <t>Premium leg     S * [ sum d_i Z_i Q_i  +  1/2 sum d_i Z_i (Q_i-1 - Q_i) ]</t>
        </is>
      </c>
    </row>
    <row r="69">
      <c r="C69" s="126" t="inlineStr">
        <is>
          <t>CDS_Pricer rows 28+ give the CDSW settlement panel.</t>
        </is>
      </c>
    </row>
    <row r="70">
      <c r="C70" s="126" t="inlineStr">
        <is>
          <t>No Bloomberg export of hazard rates exists, so the credit side has no external</t>
        </is>
      </c>
    </row>
    <row r="71">
      <c r="C71" s="126" t="inlineStr">
        <is>
          <t>ground truth. Validate against CDSW output for a known trade.</t>
        </is>
      </c>
    </row>
    <row r="73">
      <c r="A73" s="66" t="inlineStr">
        <is>
          <t>KNOWN GAPS</t>
        </is>
      </c>
    </row>
    <row r="74">
      <c r="C74" s="126" t="inlineStr">
        <is>
          <t>CDS spreads on CDS_Quotes are demo values, not market.</t>
        </is>
      </c>
    </row>
    <row r="75">
      <c r="C75" s="126" t="inlineStr">
        <is>
          <t>Short end prices ~0.15bp rich to Bloomberg (simple vs daily-compounded OIS).</t>
        </is>
      </c>
    </row>
    <row r="76">
      <c r="C76" s="126" t="inlineStr">
        <is>
          <t>VAL_DATE = TODAY(). The frozen S490 comparison only lines up on 07/21/2026.</t>
        </is>
      </c>
    </row>
    <row r="77">
      <c r="C77" s="126" t="inlineStr">
        <is>
          <t>SOFR_Futures feeds nothing and its pulls are switched off at B3.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O/N fixing. Informational only since Step 3 sets DF(settle)=1. Live BDP overrides this cell.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U4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11" customWidth="1" min="4" max="4"/>
    <col width="10" customWidth="1" min="5" max="5"/>
    <col width="10" customWidth="1" min="6" max="6"/>
    <col width="10" customWidth="1" min="7" max="7"/>
    <col width="11" customWidth="1" min="8" max="8"/>
    <col width="9" customWidth="1" min="9" max="9"/>
    <col width="12" customWidth="1" min="10" max="10"/>
    <col width="15" customWidth="1" min="11" max="11"/>
    <col width="12" customWidth="1" min="14" max="14"/>
    <col width="12" customWidth="1" min="15" max="15"/>
    <col width="12" customWidth="1" min="16" max="16"/>
    <col width="10" customWidth="1" min="17" max="17"/>
    <col width="10" customWidth="1" min="18" max="18"/>
    <col width="10" customWidth="1" min="19" max="1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S490 screen mids, frozen 07/21/26. Used only when BDP fails.</t>
        </is>
      </c>
      <c r="N2" s="65" t="inlineStr">
        <is>
          <t>Paste export bid/ask in N:O. Q/R/S = BDP minus export, bp. Mixed signs of a few tenths = ticked apart. Consistent shift = wrong source/field.</t>
        </is>
      </c>
      <c r="T2" s="67">
        <f>IF(Bootstrap!$G$4="Fixed (S490 07/21/26)","FIXED - BDP ignored, curve on the 07/21/26 capture","LIVE - BDP mid, falling back to the capture if unavailable")</f>
        <v/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  <c r="T3" s="65" t="inlineStr">
        <is>
          <t>Column H is the mid actually used. T is always the raw BDP mid, so the live-vs-fixed gap stays visible in either mode.</t>
        </is>
      </c>
    </row>
    <row r="4" ht="30" customHeight="1">
      <c r="A4" s="140" t="inlineStr">
        <is>
          <t>Ticker root</t>
        </is>
      </c>
      <c r="B4" s="140" t="inlineStr">
        <is>
          <t>Tenor</t>
        </is>
      </c>
      <c r="C4" s="140" t="inlineStr">
        <is>
          <t>Maturity date</t>
        </is>
      </c>
      <c r="D4" s="140" t="inlineStr">
        <is>
          <t>Tenor (yrs)</t>
        </is>
      </c>
      <c r="E4" s="140" t="inlineStr">
        <is>
          <t>PX_BID</t>
        </is>
      </c>
      <c r="F4" s="140" t="inlineStr">
        <is>
          <t>PX_ASK</t>
        </is>
      </c>
      <c r="G4" s="140" t="inlineStr">
        <is>
          <t>PX_LAST</t>
        </is>
      </c>
      <c r="H4" s="140" t="inlineStr">
        <is>
          <t>Mid = (Bid+Ask)/2</t>
        </is>
      </c>
      <c r="I4" s="140" t="inlineStr">
        <is>
          <t>In bootstrap set</t>
        </is>
      </c>
      <c r="J4" s="141" t="inlineStr">
        <is>
          <t>Manual MID (%) &lt;- S490_Snapshot</t>
        </is>
      </c>
      <c r="K4" s="141" t="inlineStr">
        <is>
          <t>Source</t>
        </is>
      </c>
      <c r="L4" s="62" t="inlineStr"/>
      <c r="M4" s="65" t="inlineStr">
        <is>
          <t>Dates modified-following, weekends only. Matches S490.</t>
        </is>
      </c>
      <c r="N4" s="141" t="inlineStr">
        <is>
          <t>Export Bid (paste)</t>
        </is>
      </c>
      <c r="O4" s="141" t="inlineStr">
        <is>
          <t>Export Ask (paste)</t>
        </is>
      </c>
      <c r="P4" s="141" t="inlineStr">
        <is>
          <t>Export Mid</t>
        </is>
      </c>
      <c r="Q4" s="141" t="inlineStr">
        <is>
          <t>d Bid (bp)</t>
        </is>
      </c>
      <c r="R4" s="141" t="inlineStr">
        <is>
          <t>d Ask (bp)</t>
        </is>
      </c>
      <c r="S4" s="141" t="inlineStr">
        <is>
          <t>d Mid (bp)</t>
        </is>
      </c>
      <c r="T4" s="141" t="inlineStr">
        <is>
          <t>Live mid (BDP only)</t>
        </is>
      </c>
      <c r="U4" s="141" t="inlineStr">
        <is>
          <t>d live - fixed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142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97">
        <f>IFERROR(IF(Bootstrap!$G$4="Test 1",INDEX(Testing!$B$8:$B$47,MATCH(B5,Testing!$A$8:$A$47,0)),IF(Bootstrap!$G$4="Test 2",INDEX(Testing!$B$58:$B$97,MATCH(B5,Testing!$A$58:$A$97,0)),IF(Bootstrap!$G$4="Test 3",INDEX(Testing!$B$108:$B$147,MATCH(B5,Testing!$A$108:$A$147,0)),IF(Bootstrap!$G$4="Fixed (S490 07/21/26)",J5,IF(ISNUMBER(T5),T5,J5))))),J5)</f>
        <v/>
      </c>
      <c r="I5" s="26" t="inlineStr">
        <is>
          <t>Y</t>
        </is>
      </c>
      <c r="J5" s="133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33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  <c r="T5" s="84">
        <f>IFERROR((E5+F5)/2,IFERROR(G5+0,""))</f>
        <v/>
      </c>
      <c r="U5" s="89">
        <f>IF(OR(T5="",NOT(ISNUMBER(J5))),"",(T5-J5)*100)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142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97">
        <f>IFERROR(IF(Bootstrap!$G$4="Test 1",INDEX(Testing!$B$8:$B$47,MATCH(B6,Testing!$A$8:$A$47,0)),IF(Bootstrap!$G$4="Test 2",INDEX(Testing!$B$58:$B$97,MATCH(B6,Testing!$A$58:$A$97,0)),IF(Bootstrap!$G$4="Test 3",INDEX(Testing!$B$108:$B$147,MATCH(B6,Testing!$A$108:$A$147,0)),IF(Bootstrap!$G$4="Fixed (S490 07/21/26)",J6,IF(ISNUMBER(T6),T6,J6))))),J6)</f>
        <v/>
      </c>
      <c r="I6" s="26" t="inlineStr"/>
      <c r="J6" s="133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33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  <c r="T6" s="84">
        <f>IFERROR((E6+F6)/2,IFERROR(G6+0,""))</f>
        <v/>
      </c>
      <c r="U6" s="89">
        <f>IF(OR(T6="",NOT(ISNUMBER(J6))),"",(T6-J6)*100)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142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97">
        <f>IFERROR(IF(Bootstrap!$G$4="Test 1",INDEX(Testing!$B$8:$B$47,MATCH(B7,Testing!$A$8:$A$47,0)),IF(Bootstrap!$G$4="Test 2",INDEX(Testing!$B$58:$B$97,MATCH(B7,Testing!$A$58:$A$97,0)),IF(Bootstrap!$G$4="Test 3",INDEX(Testing!$B$108:$B$147,MATCH(B7,Testing!$A$108:$A$147,0)),IF(Bootstrap!$G$4="Fixed (S490 07/21/26)",J7,IF(ISNUMBER(T7),T7,J7))))),J7)</f>
        <v/>
      </c>
      <c r="I7" s="26" t="inlineStr"/>
      <c r="J7" s="133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33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  <c r="T7" s="84">
        <f>IFERROR((E7+F7)/2,IFERROR(G7+0,""))</f>
        <v/>
      </c>
      <c r="U7" s="89">
        <f>IF(OR(T7="",NOT(ISNUMBER(J7))),"",(T7-J7)*100)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142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97">
        <f>IFERROR(IF(Bootstrap!$G$4="Test 1",INDEX(Testing!$B$8:$B$47,MATCH(B8,Testing!$A$8:$A$47,0)),IF(Bootstrap!$G$4="Test 2",INDEX(Testing!$B$58:$B$97,MATCH(B8,Testing!$A$58:$A$97,0)),IF(Bootstrap!$G$4="Test 3",INDEX(Testing!$B$108:$B$147,MATCH(B8,Testing!$A$108:$A$147,0)),IF(Bootstrap!$G$4="Fixed (S490 07/21/26)",J8,IF(ISNUMBER(T8),T8,J8))))),J8)</f>
        <v/>
      </c>
      <c r="I8" s="26" t="inlineStr">
        <is>
          <t>Y</t>
        </is>
      </c>
      <c r="J8" s="133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33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  <c r="T8" s="84">
        <f>IFERROR((E8+F8)/2,IFERROR(G8+0,""))</f>
        <v/>
      </c>
      <c r="U8" s="89">
        <f>IF(OR(T8="",NOT(ISNUMBER(J8))),"",(T8-J8)*100)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142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97">
        <f>IFERROR(IF(Bootstrap!$G$4="Test 1",INDEX(Testing!$B$8:$B$47,MATCH(B9,Testing!$A$8:$A$47,0)),IF(Bootstrap!$G$4="Test 2",INDEX(Testing!$B$58:$B$97,MATCH(B9,Testing!$A$58:$A$97,0)),IF(Bootstrap!$G$4="Test 3",INDEX(Testing!$B$108:$B$147,MATCH(B9,Testing!$A$108:$A$147,0)),IF(Bootstrap!$G$4="Fixed (S490 07/21/26)",J9,IF(ISNUMBER(T9),T9,J9))))),J9)</f>
        <v/>
      </c>
      <c r="I9" s="26" t="inlineStr"/>
      <c r="J9" s="133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33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  <c r="T9" s="84">
        <f>IFERROR((E9+F9)/2,IFERROR(G9+0,""))</f>
        <v/>
      </c>
      <c r="U9" s="89">
        <f>IF(OR(T9="",NOT(ISNUMBER(J9))),"",(T9-J9)*100)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142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97">
        <f>IFERROR(IF(Bootstrap!$G$4="Test 1",INDEX(Testing!$B$8:$B$47,MATCH(B10,Testing!$A$8:$A$47,0)),IF(Bootstrap!$G$4="Test 2",INDEX(Testing!$B$58:$B$97,MATCH(B10,Testing!$A$58:$A$97,0)),IF(Bootstrap!$G$4="Test 3",INDEX(Testing!$B$108:$B$147,MATCH(B10,Testing!$A$108:$A$147,0)),IF(Bootstrap!$G$4="Fixed (S490 07/21/26)",J10,IF(ISNUMBER(T10),T10,J10))))),J10)</f>
        <v/>
      </c>
      <c r="I10" s="26" t="inlineStr">
        <is>
          <t>Y</t>
        </is>
      </c>
      <c r="J10" s="133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33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  <c r="T10" s="84">
        <f>IFERROR((E10+F10)/2,IFERROR(G10+0,""))</f>
        <v/>
      </c>
      <c r="U10" s="89">
        <f>IF(OR(T10="",NOT(ISNUMBER(J10))),"",(T10-J10)*100)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142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97">
        <f>IFERROR(IF(Bootstrap!$G$4="Test 1",INDEX(Testing!$B$8:$B$47,MATCH(B11,Testing!$A$8:$A$47,0)),IF(Bootstrap!$G$4="Test 2",INDEX(Testing!$B$58:$B$97,MATCH(B11,Testing!$A$58:$A$97,0)),IF(Bootstrap!$G$4="Test 3",INDEX(Testing!$B$108:$B$147,MATCH(B11,Testing!$A$108:$A$147,0)),IF(Bootstrap!$G$4="Fixed (S490 07/21/26)",J11,IF(ISNUMBER(T11),T11,J11))))),J11)</f>
        <v/>
      </c>
      <c r="I11" s="26" t="inlineStr"/>
      <c r="J11" s="133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33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  <c r="T11" s="84">
        <f>IFERROR((E11+F11)/2,IFERROR(G11+0,""))</f>
        <v/>
      </c>
      <c r="U11" s="89">
        <f>IF(OR(T11="",NOT(ISNUMBER(J11))),"",(T11-J11)*100)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142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97">
        <f>IFERROR(IF(Bootstrap!$G$4="Test 1",INDEX(Testing!$B$8:$B$47,MATCH(B12,Testing!$A$8:$A$47,0)),IF(Bootstrap!$G$4="Test 2",INDEX(Testing!$B$58:$B$97,MATCH(B12,Testing!$A$58:$A$97,0)),IF(Bootstrap!$G$4="Test 3",INDEX(Testing!$B$108:$B$147,MATCH(B12,Testing!$A$108:$A$147,0)),IF(Bootstrap!$G$4="Fixed (S490 07/21/26)",J12,IF(ISNUMBER(T12),T12,J12))))),J12)</f>
        <v/>
      </c>
      <c r="I12" s="26" t="inlineStr"/>
      <c r="J12" s="133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33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  <c r="T12" s="84">
        <f>IFERROR((E12+F12)/2,IFERROR(G12+0,""))</f>
        <v/>
      </c>
      <c r="U12" s="89">
        <f>IF(OR(T12="",NOT(ISNUMBER(J12))),"",(T12-J12)*100)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142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97">
        <f>IFERROR(IF(Bootstrap!$G$4="Test 1",INDEX(Testing!$B$8:$B$47,MATCH(B13,Testing!$A$8:$A$47,0)),IF(Bootstrap!$G$4="Test 2",INDEX(Testing!$B$58:$B$97,MATCH(B13,Testing!$A$58:$A$97,0)),IF(Bootstrap!$G$4="Test 3",INDEX(Testing!$B$108:$B$147,MATCH(B13,Testing!$A$108:$A$147,0)),IF(Bootstrap!$G$4="Fixed (S490 07/21/26)",J13,IF(ISNUMBER(T13),T13,J13))))),J13)</f>
        <v/>
      </c>
      <c r="I13" s="26" t="inlineStr">
        <is>
          <t>Y</t>
        </is>
      </c>
      <c r="J13" s="133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33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  <c r="T13" s="84">
        <f>IFERROR((E13+F13)/2,IFERROR(G13+0,""))</f>
        <v/>
      </c>
      <c r="U13" s="89">
        <f>IF(OR(T13="",NOT(ISNUMBER(J13))),"",(T13-J13)*100)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142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97">
        <f>IFERROR(IF(Bootstrap!$G$4="Test 1",INDEX(Testing!$B$8:$B$47,MATCH(B14,Testing!$A$8:$A$47,0)),IF(Bootstrap!$G$4="Test 2",INDEX(Testing!$B$58:$B$97,MATCH(B14,Testing!$A$58:$A$97,0)),IF(Bootstrap!$G$4="Test 3",INDEX(Testing!$B$108:$B$147,MATCH(B14,Testing!$A$108:$A$147,0)),IF(Bootstrap!$G$4="Fixed (S490 07/21/26)",J14,IF(ISNUMBER(T14),T14,J14))))),J14)</f>
        <v/>
      </c>
      <c r="I14" s="26" t="inlineStr"/>
      <c r="J14" s="133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33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  <c r="T14" s="84">
        <f>IFERROR((E14+F14)/2,IFERROR(G14+0,""))</f>
        <v/>
      </c>
      <c r="U14" s="89">
        <f>IF(OR(T14="",NOT(ISNUMBER(J14))),"",(T14-J14)*100)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142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97">
        <f>IFERROR(IF(Bootstrap!$G$4="Test 1",INDEX(Testing!$B$8:$B$47,MATCH(B15,Testing!$A$8:$A$47,0)),IF(Bootstrap!$G$4="Test 2",INDEX(Testing!$B$58:$B$97,MATCH(B15,Testing!$A$58:$A$97,0)),IF(Bootstrap!$G$4="Test 3",INDEX(Testing!$B$108:$B$147,MATCH(B15,Testing!$A$108:$A$147,0)),IF(Bootstrap!$G$4="Fixed (S490 07/21/26)",J15,IF(ISNUMBER(T15),T15,J15))))),J15)</f>
        <v/>
      </c>
      <c r="I15" s="26" t="inlineStr"/>
      <c r="J15" s="133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33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  <c r="T15" s="84">
        <f>IFERROR((E15+F15)/2,IFERROR(G15+0,""))</f>
        <v/>
      </c>
      <c r="U15" s="89">
        <f>IF(OR(T15="",NOT(ISNUMBER(J15))),"",(T15-J15)*100)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142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97">
        <f>IFERROR(IF(Bootstrap!$G$4="Test 1",INDEX(Testing!$B$8:$B$47,MATCH(B16,Testing!$A$8:$A$47,0)),IF(Bootstrap!$G$4="Test 2",INDEX(Testing!$B$58:$B$97,MATCH(B16,Testing!$A$58:$A$97,0)),IF(Bootstrap!$G$4="Test 3",INDEX(Testing!$B$108:$B$147,MATCH(B16,Testing!$A$108:$A$147,0)),IF(Bootstrap!$G$4="Fixed (S490 07/21/26)",J16,IF(ISNUMBER(T16),T16,J16))))),J16)</f>
        <v/>
      </c>
      <c r="I16" s="26" t="inlineStr"/>
      <c r="J16" s="133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33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  <c r="T16" s="84">
        <f>IFERROR((E16+F16)/2,IFERROR(G16+0,""))</f>
        <v/>
      </c>
      <c r="U16" s="89">
        <f>IF(OR(T16="",NOT(ISNUMBER(J16))),"",(T16-J16)*100)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142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97">
        <f>IFERROR(IF(Bootstrap!$G$4="Test 1",INDEX(Testing!$B$8:$B$47,MATCH(B17,Testing!$A$8:$A$47,0)),IF(Bootstrap!$G$4="Test 2",INDEX(Testing!$B$58:$B$97,MATCH(B17,Testing!$A$58:$A$97,0)),IF(Bootstrap!$G$4="Test 3",INDEX(Testing!$B$108:$B$147,MATCH(B17,Testing!$A$108:$A$147,0)),IF(Bootstrap!$G$4="Fixed (S490 07/21/26)",J17,IF(ISNUMBER(T17),T17,J17))))),J17)</f>
        <v/>
      </c>
      <c r="I17" s="26" t="inlineStr"/>
      <c r="J17" s="133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33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  <c r="T17" s="84">
        <f>IFERROR((E17+F17)/2,IFERROR(G17+0,""))</f>
        <v/>
      </c>
      <c r="U17" s="89">
        <f>IF(OR(T17="",NOT(ISNUMBER(J17))),"",(T17-J17)*100)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142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97">
        <f>IFERROR(IF(Bootstrap!$G$4="Test 1",INDEX(Testing!$B$8:$B$47,MATCH(B18,Testing!$A$8:$A$47,0)),IF(Bootstrap!$G$4="Test 2",INDEX(Testing!$B$58:$B$97,MATCH(B18,Testing!$A$58:$A$97,0)),IF(Bootstrap!$G$4="Test 3",INDEX(Testing!$B$108:$B$147,MATCH(B18,Testing!$A$108:$A$147,0)),IF(Bootstrap!$G$4="Fixed (S490 07/21/26)",J18,IF(ISNUMBER(T18),T18,J18))))),J18)</f>
        <v/>
      </c>
      <c r="I18" s="26" t="inlineStr"/>
      <c r="J18" s="133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33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  <c r="T18" s="84">
        <f>IFERROR((E18+F18)/2,IFERROR(G18+0,""))</f>
        <v/>
      </c>
      <c r="U18" s="89">
        <f>IF(OR(T18="",NOT(ISNUMBER(J18))),"",(T18-J18)*100)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142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97">
        <f>IFERROR(IF(Bootstrap!$G$4="Test 1",INDEX(Testing!$B$8:$B$47,MATCH(B19,Testing!$A$8:$A$47,0)),IF(Bootstrap!$G$4="Test 2",INDEX(Testing!$B$58:$B$97,MATCH(B19,Testing!$A$58:$A$97,0)),IF(Bootstrap!$G$4="Test 3",INDEX(Testing!$B$108:$B$147,MATCH(B19,Testing!$A$108:$A$147,0)),IF(Bootstrap!$G$4="Fixed (S490 07/21/26)",J19,IF(ISNUMBER(T19),T19,J19))))),J19)</f>
        <v/>
      </c>
      <c r="I19" s="26" t="inlineStr"/>
      <c r="J19" s="133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33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  <c r="T19" s="84">
        <f>IFERROR((E19+F19)/2,IFERROR(G19+0,""))</f>
        <v/>
      </c>
      <c r="U19" s="89">
        <f>IF(OR(T19="",NOT(ISNUMBER(J19))),"",(T19-J19)*100)</f>
        <v/>
      </c>
    </row>
    <row r="20">
      <c r="A20" s="161" t="inlineStr">
        <is>
          <t>Col H is the mid in use. Test cases are matched on TENOR against the Testing blocks, not row position, so a case with a different pillar set cannot feed the wrong rate to a tenor.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142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97">
        <f>IFERROR(IF(Bootstrap!$G$4="Test 1",INDEX(Testing!$B$8:$B$47,MATCH(B20,Testing!$A$8:$A$47,0)),IF(Bootstrap!$G$4="Test 2",INDEX(Testing!$B$58:$B$97,MATCH(B20,Testing!$A$58:$A$97,0)),IF(Bootstrap!$G$4="Test 3",INDEX(Testing!$B$108:$B$147,MATCH(B20,Testing!$A$108:$A$147,0)),IF(Bootstrap!$G$4="Fixed (S490 07/21/26)",J20,IF(ISNUMBER(T20),T20,J20))))),J20)</f>
        <v/>
      </c>
      <c r="I20" s="26" t="inlineStr"/>
      <c r="J20" s="133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33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  <c r="T20" s="84">
        <f>IFERROR((E20+F20)/2,IFERROR(G20+0,""))</f>
        <v/>
      </c>
      <c r="U20" s="89">
        <f>IF(OR(T20="",NOT(ISNUMBER(J20))),"",(T20-J20)*100)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142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97">
        <f>IFERROR(IF(Bootstrap!$G$4="Test 1",INDEX(Testing!$B$8:$B$47,MATCH(B21,Testing!$A$8:$A$47,0)),IF(Bootstrap!$G$4="Test 2",INDEX(Testing!$B$58:$B$97,MATCH(B21,Testing!$A$58:$A$97,0)),IF(Bootstrap!$G$4="Test 3",INDEX(Testing!$B$108:$B$147,MATCH(B21,Testing!$A$108:$A$147,0)),IF(Bootstrap!$G$4="Fixed (S490 07/21/26)",J21,IF(ISNUMBER(T21),T21,J21))))),J21)</f>
        <v/>
      </c>
      <c r="I21" s="26" t="inlineStr"/>
      <c r="J21" s="133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33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  <c r="T21" s="84">
        <f>IFERROR((E21+F21)/2,IFERROR(G21+0,""))</f>
        <v/>
      </c>
      <c r="U21" s="89">
        <f>IF(OR(T21="",NOT(ISNUMBER(J21))),"",(T21-J21)*100)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142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97">
        <f>IFERROR(IF(Bootstrap!$G$4="Test 1",INDEX(Testing!$B$8:$B$47,MATCH(B22,Testing!$A$8:$A$47,0)),IF(Bootstrap!$G$4="Test 2",INDEX(Testing!$B$58:$B$97,MATCH(B22,Testing!$A$58:$A$97,0)),IF(Bootstrap!$G$4="Test 3",INDEX(Testing!$B$108:$B$147,MATCH(B22,Testing!$A$108:$A$147,0)),IF(Bootstrap!$G$4="Fixed (S490 07/21/26)",J22,IF(ISNUMBER(T22),T22,J22))))),J22)</f>
        <v/>
      </c>
      <c r="I22" s="26" t="inlineStr"/>
      <c r="J22" s="133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33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  <c r="T22" s="84">
        <f>IFERROR((E22+F22)/2,IFERROR(G22+0,""))</f>
        <v/>
      </c>
      <c r="U22" s="89">
        <f>IF(OR(T22="",NOT(ISNUMBER(J22))),"",(T22-J22)*100)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142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97">
        <f>IFERROR(IF(Bootstrap!$G$4="Test 1",INDEX(Testing!$B$8:$B$47,MATCH(B23,Testing!$A$8:$A$47,0)),IF(Bootstrap!$G$4="Test 2",INDEX(Testing!$B$58:$B$97,MATCH(B23,Testing!$A$58:$A$97,0)),IF(Bootstrap!$G$4="Test 3",INDEX(Testing!$B$108:$B$147,MATCH(B23,Testing!$A$108:$A$147,0)),IF(Bootstrap!$G$4="Fixed (S490 07/21/26)",J23,IF(ISNUMBER(T23),T23,J23))))),J23)</f>
        <v/>
      </c>
      <c r="I23" s="26" t="inlineStr"/>
      <c r="J23" s="133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33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  <c r="T23" s="84">
        <f>IFERROR((E23+F23)/2,IFERROR(G23+0,""))</f>
        <v/>
      </c>
      <c r="U23" s="89">
        <f>IF(OR(T23="",NOT(ISNUMBER(J23))),"",(T23-J23)*100)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142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97">
        <f>IFERROR(IF(Bootstrap!$G$4="Test 1",INDEX(Testing!$B$8:$B$47,MATCH(B24,Testing!$A$8:$A$47,0)),IF(Bootstrap!$G$4="Test 2",INDEX(Testing!$B$58:$B$97,MATCH(B24,Testing!$A$58:$A$97,0)),IF(Bootstrap!$G$4="Test 3",INDEX(Testing!$B$108:$B$147,MATCH(B24,Testing!$A$108:$A$147,0)),IF(Bootstrap!$G$4="Fixed (S490 07/21/26)",J24,IF(ISNUMBER(T24),T24,J24))))),J24)</f>
        <v/>
      </c>
      <c r="I24" s="26" t="inlineStr">
        <is>
          <t>Y</t>
        </is>
      </c>
      <c r="J24" s="133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33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  <c r="T24" s="84">
        <f>IFERROR((E24+F24)/2,IFERROR(G24+0,""))</f>
        <v/>
      </c>
      <c r="U24" s="89">
        <f>IF(OR(T24="",NOT(ISNUMBER(J24))),"",(T24-J24)*100)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142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97">
        <f>IFERROR(IF(Bootstrap!$G$4="Test 1",INDEX(Testing!$B$8:$B$47,MATCH(B25,Testing!$A$8:$A$47,0)),IF(Bootstrap!$G$4="Test 2",INDEX(Testing!$B$58:$B$97,MATCH(B25,Testing!$A$58:$A$97,0)),IF(Bootstrap!$G$4="Test 3",INDEX(Testing!$B$108:$B$147,MATCH(B25,Testing!$A$108:$A$147,0)),IF(Bootstrap!$G$4="Fixed (S490 07/21/26)",J25,IF(ISNUMBER(T25),T25,J25))))),J25)</f>
        <v/>
      </c>
      <c r="I25" s="26" t="inlineStr">
        <is>
          <t>Y</t>
        </is>
      </c>
      <c r="J25" s="133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33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  <c r="T25" s="84">
        <f>IFERROR((E25+F25)/2,IFERROR(G25+0,""))</f>
        <v/>
      </c>
      <c r="U25" s="89">
        <f>IF(OR(T25="",NOT(ISNUMBER(J25))),"",(T25-J25)*100)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142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97">
        <f>IFERROR(IF(Bootstrap!$G$4="Test 1",INDEX(Testing!$B$8:$B$47,MATCH(B26,Testing!$A$8:$A$47,0)),IF(Bootstrap!$G$4="Test 2",INDEX(Testing!$B$58:$B$97,MATCH(B26,Testing!$A$58:$A$97,0)),IF(Bootstrap!$G$4="Test 3",INDEX(Testing!$B$108:$B$147,MATCH(B26,Testing!$A$108:$A$147,0)),IF(Bootstrap!$G$4="Fixed (S490 07/21/26)",J26,IF(ISNUMBER(T26),T26,J26))))),J26)</f>
        <v/>
      </c>
      <c r="I26" s="26" t="inlineStr">
        <is>
          <t>Y</t>
        </is>
      </c>
      <c r="J26" s="133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33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  <c r="T26" s="84">
        <f>IFERROR((E26+F26)/2,IFERROR(G26+0,""))</f>
        <v/>
      </c>
      <c r="U26" s="89">
        <f>IF(OR(T26="",NOT(ISNUMBER(J26))),"",(T26-J26)*100)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142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97">
        <f>IFERROR(IF(Bootstrap!$G$4="Test 1",INDEX(Testing!$B$8:$B$47,MATCH(B27,Testing!$A$8:$A$47,0)),IF(Bootstrap!$G$4="Test 2",INDEX(Testing!$B$58:$B$97,MATCH(B27,Testing!$A$58:$A$97,0)),IF(Bootstrap!$G$4="Test 3",INDEX(Testing!$B$108:$B$147,MATCH(B27,Testing!$A$108:$A$147,0)),IF(Bootstrap!$G$4="Fixed (S490 07/21/26)",J27,IF(ISNUMBER(T27),T27,J27))))),J27)</f>
        <v/>
      </c>
      <c r="I27" s="26" t="inlineStr">
        <is>
          <t>Y</t>
        </is>
      </c>
      <c r="J27" s="133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33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  <c r="T27" s="84">
        <f>IFERROR((E27+F27)/2,IFERROR(G27+0,""))</f>
        <v/>
      </c>
      <c r="U27" s="89">
        <f>IF(OR(T27="",NOT(ISNUMBER(J27))),"",(T27-J27)*100)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142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97">
        <f>IFERROR(IF(Bootstrap!$G$4="Test 1",INDEX(Testing!$B$8:$B$47,MATCH(B28,Testing!$A$8:$A$47,0)),IF(Bootstrap!$G$4="Test 2",INDEX(Testing!$B$58:$B$97,MATCH(B28,Testing!$A$58:$A$97,0)),IF(Bootstrap!$G$4="Test 3",INDEX(Testing!$B$108:$B$147,MATCH(B28,Testing!$A$108:$A$147,0)),IF(Bootstrap!$G$4="Fixed (S490 07/21/26)",J28,IF(ISNUMBER(T28),T28,J28))))),J28)</f>
        <v/>
      </c>
      <c r="I28" s="26" t="inlineStr">
        <is>
          <t>Y</t>
        </is>
      </c>
      <c r="J28" s="133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33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  <c r="T28" s="84">
        <f>IFERROR((E28+F28)/2,IFERROR(G28+0,""))</f>
        <v/>
      </c>
      <c r="U28" s="89">
        <f>IF(OR(T28="",NOT(ISNUMBER(J28))),"",(T28-J28)*100)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142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97">
        <f>IFERROR(IF(Bootstrap!$G$4="Test 1",INDEX(Testing!$B$8:$B$47,MATCH(B29,Testing!$A$8:$A$47,0)),IF(Bootstrap!$G$4="Test 2",INDEX(Testing!$B$58:$B$97,MATCH(B29,Testing!$A$58:$A$97,0)),IF(Bootstrap!$G$4="Test 3",INDEX(Testing!$B$108:$B$147,MATCH(B29,Testing!$A$108:$A$147,0)),IF(Bootstrap!$G$4="Fixed (S490 07/21/26)",J29,IF(ISNUMBER(T29),T29,J29))))),J29)</f>
        <v/>
      </c>
      <c r="I29" s="26" t="inlineStr">
        <is>
          <t>Y</t>
        </is>
      </c>
      <c r="J29" s="133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33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  <c r="T29" s="84">
        <f>IFERROR((E29+F29)/2,IFERROR(G29+0,""))</f>
        <v/>
      </c>
      <c r="U29" s="89">
        <f>IF(OR(T29="",NOT(ISNUMBER(J29))),"",(T29-J29)*100)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142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97">
        <f>IFERROR(IF(Bootstrap!$G$4="Test 1",INDEX(Testing!$B$8:$B$47,MATCH(B30,Testing!$A$8:$A$47,0)),IF(Bootstrap!$G$4="Test 2",INDEX(Testing!$B$58:$B$97,MATCH(B30,Testing!$A$58:$A$97,0)),IF(Bootstrap!$G$4="Test 3",INDEX(Testing!$B$108:$B$147,MATCH(B30,Testing!$A$108:$A$147,0)),IF(Bootstrap!$G$4="Fixed (S490 07/21/26)",J30,IF(ISNUMBER(T30),T30,J30))))),J30)</f>
        <v/>
      </c>
      <c r="I30" s="26" t="inlineStr">
        <is>
          <t>Y</t>
        </is>
      </c>
      <c r="J30" s="133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33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  <c r="T30" s="84">
        <f>IFERROR((E30+F30)/2,IFERROR(G30+0,""))</f>
        <v/>
      </c>
      <c r="U30" s="89">
        <f>IF(OR(T30="",NOT(ISNUMBER(J30))),"",(T30-J30)*100)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142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97">
        <f>IFERROR(IF(Bootstrap!$G$4="Test 1",INDEX(Testing!$B$8:$B$47,MATCH(B31,Testing!$A$8:$A$47,0)),IF(Bootstrap!$G$4="Test 2",INDEX(Testing!$B$58:$B$97,MATCH(B31,Testing!$A$58:$A$97,0)),IF(Bootstrap!$G$4="Test 3",INDEX(Testing!$B$108:$B$147,MATCH(B31,Testing!$A$108:$A$147,0)),IF(Bootstrap!$G$4="Fixed (S490 07/21/26)",J31,IF(ISNUMBER(T31),T31,J31))))),J31)</f>
        <v/>
      </c>
      <c r="I31" s="26" t="inlineStr">
        <is>
          <t>Y</t>
        </is>
      </c>
      <c r="J31" s="133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33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  <c r="T31" s="84">
        <f>IFERROR((E31+F31)/2,IFERROR(G31+0,""))</f>
        <v/>
      </c>
      <c r="U31" s="89">
        <f>IF(OR(T31="",NOT(ISNUMBER(J31))),"",(T31-J31)*100)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142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97">
        <f>IFERROR(IF(Bootstrap!$G$4="Test 1",INDEX(Testing!$B$8:$B$47,MATCH(B32,Testing!$A$8:$A$47,0)),IF(Bootstrap!$G$4="Test 2",INDEX(Testing!$B$58:$B$97,MATCH(B32,Testing!$A$58:$A$97,0)),IF(Bootstrap!$G$4="Test 3",INDEX(Testing!$B$108:$B$147,MATCH(B32,Testing!$A$108:$A$147,0)),IF(Bootstrap!$G$4="Fixed (S490 07/21/26)",J32,IF(ISNUMBER(T32),T32,J32))))),J32)</f>
        <v/>
      </c>
      <c r="I32" s="26" t="inlineStr">
        <is>
          <t>Y</t>
        </is>
      </c>
      <c r="J32" s="133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33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  <c r="T32" s="84">
        <f>IFERROR((E32+F32)/2,IFERROR(G32+0,""))</f>
        <v/>
      </c>
      <c r="U32" s="89">
        <f>IF(OR(T32="",NOT(ISNUMBER(J32))),"",(T32-J32)*100)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142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97">
        <f>IFERROR(IF(Bootstrap!$G$4="Test 1",INDEX(Testing!$B$8:$B$47,MATCH(B33,Testing!$A$8:$A$47,0)),IF(Bootstrap!$G$4="Test 2",INDEX(Testing!$B$58:$B$97,MATCH(B33,Testing!$A$58:$A$97,0)),IF(Bootstrap!$G$4="Test 3",INDEX(Testing!$B$108:$B$147,MATCH(B33,Testing!$A$108:$A$147,0)),IF(Bootstrap!$G$4="Fixed (S490 07/21/26)",J33,IF(ISNUMBER(T33),T33,J33))))),J33)</f>
        <v/>
      </c>
      <c r="I33" s="26" t="inlineStr">
        <is>
          <t>Y</t>
        </is>
      </c>
      <c r="J33" s="133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33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  <c r="T33" s="84">
        <f>IFERROR((E33+F33)/2,IFERROR(G33+0,""))</f>
        <v/>
      </c>
      <c r="U33" s="89">
        <f>IF(OR(T33="",NOT(ISNUMBER(J33))),"",(T33-J33)*100)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142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97">
        <f>IFERROR(IF(Bootstrap!$G$4="Test 1",INDEX(Testing!$B$8:$B$47,MATCH(B34,Testing!$A$8:$A$47,0)),IF(Bootstrap!$G$4="Test 2",INDEX(Testing!$B$58:$B$97,MATCH(B34,Testing!$A$58:$A$97,0)),IF(Bootstrap!$G$4="Test 3",INDEX(Testing!$B$108:$B$147,MATCH(B34,Testing!$A$108:$A$147,0)),IF(Bootstrap!$G$4="Fixed (S490 07/21/26)",J34,IF(ISNUMBER(T34),T34,J34))))),J34)</f>
        <v/>
      </c>
      <c r="I34" s="26" t="inlineStr">
        <is>
          <t>Y</t>
        </is>
      </c>
      <c r="J34" s="133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33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  <c r="T34" s="84">
        <f>IFERROR((E34+F34)/2,IFERROR(G34+0,""))</f>
        <v/>
      </c>
      <c r="U34" s="89">
        <f>IF(OR(T34="",NOT(ISNUMBER(J34))),"",(T34-J34)*100)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142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97">
        <f>IFERROR(IF(Bootstrap!$G$4="Test 1",INDEX(Testing!$B$8:$B$47,MATCH(B35,Testing!$A$8:$A$47,0)),IF(Bootstrap!$G$4="Test 2",INDEX(Testing!$B$58:$B$97,MATCH(B35,Testing!$A$58:$A$97,0)),IF(Bootstrap!$G$4="Test 3",INDEX(Testing!$B$108:$B$147,MATCH(B35,Testing!$A$108:$A$147,0)),IF(Bootstrap!$G$4="Fixed (S490 07/21/26)",J35,IF(ISNUMBER(T35),T35,J35))))),J35)</f>
        <v/>
      </c>
      <c r="I35" s="26" t="inlineStr">
        <is>
          <t>Y</t>
        </is>
      </c>
      <c r="J35" s="133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33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  <c r="T35" s="84">
        <f>IFERROR((E35+F35)/2,IFERROR(G35+0,""))</f>
        <v/>
      </c>
      <c r="U35" s="89">
        <f>IF(OR(T35="",NOT(ISNUMBER(J35))),"",(T35-J35)*100)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142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97">
        <f>IFERROR(IF(Bootstrap!$G$4="Test 1",INDEX(Testing!$B$8:$B$47,MATCH(B36,Testing!$A$8:$A$47,0)),IF(Bootstrap!$G$4="Test 2",INDEX(Testing!$B$58:$B$97,MATCH(B36,Testing!$A$58:$A$97,0)),IF(Bootstrap!$G$4="Test 3",INDEX(Testing!$B$108:$B$147,MATCH(B36,Testing!$A$108:$A$147,0)),IF(Bootstrap!$G$4="Fixed (S490 07/21/26)",J36,IF(ISNUMBER(T36),T36,J36))))),J36)</f>
        <v/>
      </c>
      <c r="I36" s="26" t="inlineStr">
        <is>
          <t>Y</t>
        </is>
      </c>
      <c r="J36" s="133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33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  <c r="T36" s="84">
        <f>IFERROR((E36+F36)/2,IFERROR(G36+0,""))</f>
        <v/>
      </c>
      <c r="U36" s="89">
        <f>IF(OR(T36="",NOT(ISNUMBER(J36))),"",(T36-J36)*100)</f>
        <v/>
      </c>
    </row>
    <row r="37"/>
    <row r="38" ht="30" customHeight="1">
      <c r="A38" s="9" t="inlineStr">
        <is>
          <t>Maturity and Tenor(yrs) are parsed from the tenor label, business-day rolled. Display only; the curve reads col H.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  <c r="T41" s="67" t="inlineStr">
        <is>
          <t>Max |d live-fixed| (bp)</t>
        </is>
      </c>
      <c r="U41" s="90">
        <f>IF(COUNT(U5:U36)=0,"BDP unavailable",MAX(MAX(U5:U36),-MIN(U5:U36)))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301 BDP/BDS calls live here and nothing reads them. Left on they fill the sheet with errors for no benefit. Yes re-enables; formulas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5" customWidth="1" min="3" max="3"/>
    <col width="14" customWidth="1" min="4" max="4"/>
    <col width="12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Single place to update the comparison. Market Rate feeds SOFR_OIS_Quotes!J (input); Zero/Discount feed Bootstrap T:U and Bloomberg_S490_Validation (target).</t>
        </is>
      </c>
    </row>
    <row r="4">
      <c r="A4" s="65" t="inlineStr">
        <is>
          <t>Matched pair: Market Rate is the mid of the export's bid/ask. Valid while VAL_DATE = 07/21/2026.</t>
        </is>
      </c>
    </row>
    <row r="6" ht="30" customHeight="1">
      <c r="A6" s="141" t="inlineStr">
        <is>
          <t>Date</t>
        </is>
      </c>
      <c r="B6" s="141" t="inlineStr">
        <is>
          <t>Tenor</t>
        </is>
      </c>
      <c r="C6" s="141" t="inlineStr">
        <is>
          <t>Market rate (%)</t>
        </is>
      </c>
      <c r="D6" s="141" t="inlineStr">
        <is>
          <t>Zero rate (%)</t>
        </is>
      </c>
      <c r="E6" s="141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64" t="n">
        <v>3.6376</v>
      </c>
      <c r="D7" s="64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64" t="n">
        <v>3.6733</v>
      </c>
      <c r="D8" s="64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64" t="n">
        <v>3.68739</v>
      </c>
      <c r="D9" s="64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64" t="n">
        <v>3.69655</v>
      </c>
      <c r="D10" s="64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64" t="n">
        <v>3.72255</v>
      </c>
      <c r="D11" s="64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64" t="n">
        <v>3.77525</v>
      </c>
      <c r="D12" s="64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64" t="n">
        <v>3.82085</v>
      </c>
      <c r="D13" s="64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64" t="n">
        <v>3.8622</v>
      </c>
      <c r="D14" s="64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64" t="n">
        <v>3.908</v>
      </c>
      <c r="D15" s="64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64" t="n">
        <v>3.9415</v>
      </c>
      <c r="D16" s="64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64" t="n">
        <v>3.96975</v>
      </c>
      <c r="D17" s="64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64" t="n">
        <v>4.0007</v>
      </c>
      <c r="D18" s="64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64" t="n">
        <v>4.02865</v>
      </c>
      <c r="D19" s="64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64" t="n">
        <v>4.0523</v>
      </c>
      <c r="D20" s="64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64" t="n">
        <v>4.07315</v>
      </c>
      <c r="D21" s="64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64" t="n">
        <v>4.0909</v>
      </c>
      <c r="D22" s="64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64" t="n">
        <v>4.09656</v>
      </c>
      <c r="D23" s="64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64" t="n">
        <v>4.07655</v>
      </c>
      <c r="D24" s="64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64" t="n">
        <v>4.06655</v>
      </c>
      <c r="D25" s="64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64" t="n">
        <v>4.0715</v>
      </c>
      <c r="D26" s="64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64" t="n">
        <v>4.0891</v>
      </c>
      <c r="D27" s="64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64" t="n">
        <v>4.1126</v>
      </c>
      <c r="D28" s="64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64" t="n">
        <v>4.13925</v>
      </c>
      <c r="D29" s="64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64" t="n">
        <v>4.1687</v>
      </c>
      <c r="D30" s="64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64" t="n">
        <v>4.19995</v>
      </c>
      <c r="D31" s="64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64" t="n">
        <v>4.264</v>
      </c>
      <c r="D32" s="64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64" t="n">
        <v>4.34865</v>
      </c>
      <c r="D33" s="64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64" t="n">
        <v>4.41995</v>
      </c>
      <c r="D34" s="64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64" t="n">
        <v>4.41615</v>
      </c>
      <c r="D35" s="64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64" t="n">
        <v>4.37685</v>
      </c>
      <c r="D36" s="64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64" t="n">
        <v>4.25755</v>
      </c>
      <c r="D37" s="64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64" t="n">
        <v>4.12427</v>
      </c>
      <c r="D38" s="64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0" customWidth="1" min="3" max="3"/>
    <col width="11" customWidth="1" min="4" max="4"/>
    <col width="13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1" customWidth="1" min="11" max="11"/>
    <col width="12" customWidth="1" min="12" max="12"/>
    <col width="11" customWidth="1" min="13" max="13"/>
    <col width="11" customWidth="1" min="14" max="14"/>
    <col width="12" customWidth="1" min="18" max="18"/>
    <col width="13" customWidth="1" min="19" max="19"/>
    <col width="12" customWidth="1" min="20" max="20"/>
    <col width="12" customWidth="1" min="21" max="21"/>
    <col width="11" customWidth="1" min="22" max="22"/>
    <col width="11" customWidth="1" min="23" max="23"/>
    <col width="15" customWidth="1" min="24" max="24"/>
    <col width="13" customWidth="1" min="25" max="25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12Y+ solved on Curve_Solver to break the gap-row annuity circularity.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  <c r="F4" s="67" t="inlineStr">
        <is>
          <t>Curve source</t>
        </is>
      </c>
      <c r="G4" s="68" t="inlineStr">
        <is>
          <t>Fixed (S490 07/21/26)</t>
        </is>
      </c>
      <c r="I4" s="65" t="inlineStr">
        <is>
          <t>Live / Fixed / Test 1-3. Test cases come from the Testing sheet and route through SOFR_OIS_Quotes!H, so the whole curve and the charts follow.</t>
        </is>
      </c>
    </row>
    <row r="5" ht="58" customHeight="1">
      <c r="A5" s="70" t="inlineStr">
        <is>
          <t>Purely-OIS USD SOFR curve. Short single-payment OIS to 1Y, annual OIS swaps 18M-50Y. The production curve: Swap_Pricer, Curve_Interface and the CDS module all read it. See Method.</t>
        </is>
      </c>
      <c r="R5" s="65" t="inlineStr">
        <is>
          <t>Rebuilds each solved pillar from its own annuity and differences it against the solver. ~0 confirms the par identity.</t>
        </is>
      </c>
    </row>
    <row r="6">
      <c r="S6" s="4" t="inlineStr">
        <is>
          <t>Working — fixed-leg PV = float-leg PV (par swap)</t>
        </is>
      </c>
      <c r="X6" s="65" t="inlineStr">
        <is>
          <t>from S490_Snapshot, never BDP</t>
        </is>
      </c>
      <c r="AA6" s="65" t="inlineStr">
        <is>
          <t>Targets live on S490_Snapshot.</t>
        </is>
      </c>
    </row>
    <row r="7" ht="30" customHeight="1">
      <c r="A7" s="140" t="inlineStr">
        <is>
          <t>Tenor</t>
        </is>
      </c>
      <c r="B7" s="140" t="inlineStr">
        <is>
          <t>Maturity date</t>
        </is>
      </c>
      <c r="C7" s="140" t="inlineStr">
        <is>
          <t>T (yrs)</t>
        </is>
      </c>
      <c r="D7" s="140" t="inlineStr">
        <is>
          <t>tau0 spot→mat</t>
        </is>
      </c>
      <c r="E7" s="141" t="inlineStr">
        <is>
          <t>Par rate S (%) dynamic</t>
        </is>
      </c>
      <c r="F7" s="140" t="inlineStr">
        <is>
          <t>tau coupon</t>
        </is>
      </c>
      <c r="G7" s="140" t="inlineStr">
        <is>
          <t>Annuity A(prior)</t>
        </is>
      </c>
      <c r="H7" s="140" t="inlineStr">
        <is>
          <t>Discount factor</t>
        </is>
      </c>
      <c r="I7" s="140" t="inlineStr">
        <is>
          <t>Ann.add tau·DF</t>
        </is>
      </c>
      <c r="J7" s="140" t="inlineStr">
        <is>
          <t>Zero rate (%) cont.</t>
        </is>
      </c>
      <c r="K7" s="140" t="inlineStr">
        <is>
          <t>Fwd rate (%)</t>
        </is>
      </c>
      <c r="L7" s="140" t="inlineStr">
        <is>
          <t>S490 zero (%) [paste]</t>
        </is>
      </c>
      <c r="M7" s="140" t="inlineStr">
        <is>
          <t>Δ vs S490 (bp)</t>
        </is>
      </c>
      <c r="N7" s="14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141" t="inlineStr">
        <is>
          <t>Par check (~0)</t>
        </is>
      </c>
      <c r="S7" s="140" t="inlineStr">
        <is>
          <t>Annuity  Σα·DF</t>
        </is>
      </c>
      <c r="T7" s="141" t="inlineStr">
        <is>
          <t>Zero (S490)</t>
        </is>
      </c>
      <c r="U7" s="141" t="inlineStr">
        <is>
          <t>DF (S490)</t>
        </is>
      </c>
      <c r="V7" s="141" t="inlineStr">
        <is>
          <t>d zero (bp)</t>
        </is>
      </c>
      <c r="W7" s="141" t="inlineStr">
        <is>
          <t>d DF</t>
        </is>
      </c>
      <c r="X7" s="141" t="inlineStr">
        <is>
          <t>Par rate S hard-coded (%)</t>
        </is>
      </c>
      <c r="Y7" s="141" t="inlineStr">
        <is>
          <t>d in-use vs fixed (bp)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112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34">
        <f>(B8-VAL_DATE)/365</f>
        <v/>
      </c>
      <c r="D8" s="80">
        <f>(B8-VAL_DATE)/360</f>
        <v/>
      </c>
      <c r="E8" s="17">
        <f>'SOFR_OIS_Quotes'!$H5</f>
        <v/>
      </c>
      <c r="F8" s="6" t="n"/>
      <c r="G8" s="36" t="n">
        <v>0</v>
      </c>
      <c r="H8" s="29">
        <f>$D$4/(1+(E8/100)*D8)</f>
        <v/>
      </c>
      <c r="I8" s="36" t="n">
        <v>0</v>
      </c>
      <c r="J8" s="17">
        <f>-LN(H8)/C8*100</f>
        <v/>
      </c>
      <c r="K8" s="17">
        <f>(1/H8-1)/D8*100</f>
        <v/>
      </c>
      <c r="L8" s="30" t="n"/>
      <c r="M8" s="28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6">
        <f>(D8*H8)</f>
        <v/>
      </c>
      <c r="T8" s="63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X8" s="63">
        <f>IFERROR(INDEX(S490_Snapshot!$C$7:$C$38,MATCH(B8,S490_Snapshot!$A$7:$A$38,0)),"")</f>
        <v/>
      </c>
      <c r="Y8" s="89">
        <f>IF(OR(X8="",NOT(ISNUMBER(E8))),"",(E8-X8)*100)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112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34">
        <f>(B9-VAL_DATE)/365</f>
        <v/>
      </c>
      <c r="D9" s="80">
        <f>(B9-VAL_DATE)/360</f>
        <v/>
      </c>
      <c r="E9" s="17">
        <f>'SOFR_OIS_Quotes'!$H6</f>
        <v/>
      </c>
      <c r="F9" s="6" t="n"/>
      <c r="G9" s="36">
        <f>SUM($I$8:I8)</f>
        <v/>
      </c>
      <c r="H9" s="29">
        <f>$D$4/(1+(E9/100)*D9)</f>
        <v/>
      </c>
      <c r="I9" s="36" t="n">
        <v>0</v>
      </c>
      <c r="J9" s="17">
        <f>-LN(H9)/C9*100</f>
        <v/>
      </c>
      <c r="K9" s="17">
        <f>(H8/H9-1)/((B9-B8)/360)*100</f>
        <v/>
      </c>
      <c r="L9" s="30" t="n"/>
      <c r="M9" s="28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6">
        <f>(D9*H9)</f>
        <v/>
      </c>
      <c r="T9" s="63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X9" s="63">
        <f>IFERROR(INDEX(S490_Snapshot!$C$7:$C$38,MATCH(B9,S490_Snapshot!$A$7:$A$38,0)),"")</f>
        <v/>
      </c>
      <c r="Y9" s="89">
        <f>IF(OR(X9="",NOT(ISNUMBER(E9))),"",(E9-X9)*100)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112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34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36">
        <f>SUM($I$8:I9)</f>
        <v/>
      </c>
      <c r="H10" s="29">
        <f>$D$4/(1+(E10/100)*D10)</f>
        <v/>
      </c>
      <c r="I10" s="36" t="n">
        <v>0</v>
      </c>
      <c r="J10" s="17">
        <f>-LN(H10)/C10*100</f>
        <v/>
      </c>
      <c r="K10" s="17">
        <f>(H9/H10-1)/((B10-B9)/360)*100</f>
        <v/>
      </c>
      <c r="L10" s="30" t="n"/>
      <c r="M10" s="28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6">
        <f>(D10*H10)</f>
        <v/>
      </c>
      <c r="T10" s="63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X10" s="63">
        <f>IFERROR(INDEX(S490_Snapshot!$C$7:$C$38,MATCH(B10,S490_Snapshot!$A$7:$A$38,0)),"")</f>
        <v/>
      </c>
      <c r="Y10" s="89">
        <f>IF(OR(X10="",NOT(ISNUMBER(E10))),"",(E10-X10)*100)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112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34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36">
        <f>SUM($I$8:I10)</f>
        <v/>
      </c>
      <c r="H11" s="29">
        <f>$D$4/(1+(E11/100)*D11)</f>
        <v/>
      </c>
      <c r="I11" s="36" t="n">
        <v>0</v>
      </c>
      <c r="J11" s="17">
        <f>-LN(H11)/C11*100</f>
        <v/>
      </c>
      <c r="K11" s="17">
        <f>(H10/H11-1)/((B11-B10)/360)*100</f>
        <v/>
      </c>
      <c r="L11" s="30" t="n"/>
      <c r="M11" s="28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6">
        <f>(D11*H11)</f>
        <v/>
      </c>
      <c r="T11" s="63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X11" s="63">
        <f>IFERROR(INDEX(S490_Snapshot!$C$7:$C$38,MATCH(B11,S490_Snapshot!$A$7:$A$38,0)),"")</f>
        <v/>
      </c>
      <c r="Y11" s="89">
        <f>IF(OR(X11="",NOT(ISNUMBER(E11))),"",(E11-X11)*100)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112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34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36">
        <f>SUM($I$8:I11)</f>
        <v/>
      </c>
      <c r="H12" s="29">
        <f>$D$4/(1+(E12/100)*D12)</f>
        <v/>
      </c>
      <c r="I12" s="36" t="n">
        <v>0</v>
      </c>
      <c r="J12" s="17">
        <f>-LN(H12)/C12*100</f>
        <v/>
      </c>
      <c r="K12" s="17">
        <f>(H11/H12-1)/((B12-B11)/360)*100</f>
        <v/>
      </c>
      <c r="L12" s="30" t="n"/>
      <c r="M12" s="28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6">
        <f>(D12*H12)</f>
        <v/>
      </c>
      <c r="T12" s="63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X12" s="63">
        <f>IFERROR(INDEX(S490_Snapshot!$C$7:$C$38,MATCH(B12,S490_Snapshot!$A$7:$A$38,0)),"")</f>
        <v/>
      </c>
      <c r="Y12" s="89">
        <f>IF(OR(X12="",NOT(ISNUMBER(E12))),"",(E12-X12)*100)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112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34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36">
        <f>SUM($I$8:I12)</f>
        <v/>
      </c>
      <c r="H13" s="29">
        <f>$D$4/(1+(E13/100)*D13)</f>
        <v/>
      </c>
      <c r="I13" s="36" t="n">
        <v>0</v>
      </c>
      <c r="J13" s="17">
        <f>-LN(H13)/C13*100</f>
        <v/>
      </c>
      <c r="K13" s="17">
        <f>(H12/H13-1)/((B13-B12)/360)*100</f>
        <v/>
      </c>
      <c r="L13" s="30" t="n"/>
      <c r="M13" s="28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6">
        <f>(D13*H13)</f>
        <v/>
      </c>
      <c r="T13" s="63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X13" s="63">
        <f>IFERROR(INDEX(S490_Snapshot!$C$7:$C$38,MATCH(B13,S490_Snapshot!$A$7:$A$38,0)),"")</f>
        <v/>
      </c>
      <c r="Y13" s="89">
        <f>IF(OR(X13="",NOT(ISNUMBER(E13))),"",(E13-X13)*100)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112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34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36">
        <f>SUM($I$8:I13)</f>
        <v/>
      </c>
      <c r="H14" s="29">
        <f>$D$4/(1+(E14/100)*D14)</f>
        <v/>
      </c>
      <c r="I14" s="36" t="n">
        <v>0</v>
      </c>
      <c r="J14" s="17">
        <f>-LN(H14)/C14*100</f>
        <v/>
      </c>
      <c r="K14" s="17">
        <f>(H13/H14-1)/((B14-B13)/360)*100</f>
        <v/>
      </c>
      <c r="L14" s="30" t="n"/>
      <c r="M14" s="28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6">
        <f>(D14*H14)</f>
        <v/>
      </c>
      <c r="T14" s="63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X14" s="63">
        <f>IFERROR(INDEX(S490_Snapshot!$C$7:$C$38,MATCH(B14,S490_Snapshot!$A$7:$A$38,0)),"")</f>
        <v/>
      </c>
      <c r="Y14" s="89">
        <f>IF(OR(X14="",NOT(ISNUMBER(E14))),"",(E14-X14)*100)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112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34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36">
        <f>SUM($I$8:I14)</f>
        <v/>
      </c>
      <c r="H15" s="29">
        <f>$D$4/(1+(E15/100)*D15)</f>
        <v/>
      </c>
      <c r="I15" s="36" t="n">
        <v>0</v>
      </c>
      <c r="J15" s="17">
        <f>-LN(H15)/C15*100</f>
        <v/>
      </c>
      <c r="K15" s="17">
        <f>(H14/H15-1)/((B15-B14)/360)*100</f>
        <v/>
      </c>
      <c r="L15" s="30" t="n"/>
      <c r="M15" s="28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6">
        <f>(D15*H15)</f>
        <v/>
      </c>
      <c r="T15" s="63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X15" s="63">
        <f>IFERROR(INDEX(S490_Snapshot!$C$7:$C$38,MATCH(B15,S490_Snapshot!$A$7:$A$38,0)),"")</f>
        <v/>
      </c>
      <c r="Y15" s="89">
        <f>IF(OR(X15="",NOT(ISNUMBER(E15))),"",(E15-X15)*100)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112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34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36">
        <f>SUM($I$8:I15)</f>
        <v/>
      </c>
      <c r="H16" s="29">
        <f>$D$4/(1+(E16/100)*D16)</f>
        <v/>
      </c>
      <c r="I16" s="36" t="n">
        <v>0</v>
      </c>
      <c r="J16" s="17">
        <f>-LN(H16)/C16*100</f>
        <v/>
      </c>
      <c r="K16" s="17">
        <f>(H15/H16-1)/((B16-B15)/360)*100</f>
        <v/>
      </c>
      <c r="L16" s="30" t="n"/>
      <c r="M16" s="28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6">
        <f>(D16*H16)</f>
        <v/>
      </c>
      <c r="T16" s="63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X16" s="63">
        <f>IFERROR(INDEX(S490_Snapshot!$C$7:$C$38,MATCH(B16,S490_Snapshot!$A$7:$A$38,0)),"")</f>
        <v/>
      </c>
      <c r="Y16" s="89">
        <f>IF(OR(X16="",NOT(ISNUMBER(E16))),"",(E16-X16)*100)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112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34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36">
        <f>SUM($I$8:I16)</f>
        <v/>
      </c>
      <c r="H17" s="29">
        <f>$D$4/(1+(E17/100)*D17)</f>
        <v/>
      </c>
      <c r="I17" s="36" t="n">
        <v>0</v>
      </c>
      <c r="J17" s="17">
        <f>-LN(H17)/C17*100</f>
        <v/>
      </c>
      <c r="K17" s="17">
        <f>(H16/H17-1)/((B17-B16)/360)*100</f>
        <v/>
      </c>
      <c r="L17" s="30" t="n"/>
      <c r="M17" s="28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6">
        <f>(D17*H17)</f>
        <v/>
      </c>
      <c r="T17" s="63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X17" s="63">
        <f>IFERROR(INDEX(S490_Snapshot!$C$7:$C$38,MATCH(B17,S490_Snapshot!$A$7:$A$38,0)),"")</f>
        <v/>
      </c>
      <c r="Y17" s="89">
        <f>IF(OR(X17="",NOT(ISNUMBER(E17))),"",(E17-X17)*100)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112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34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36">
        <f>SUM($I$8:I17)</f>
        <v/>
      </c>
      <c r="H18" s="29">
        <f>$D$4/(1+(E18/100)*D18)</f>
        <v/>
      </c>
      <c r="I18" s="36" t="n">
        <v>0</v>
      </c>
      <c r="J18" s="17">
        <f>-LN(H18)/C18*100</f>
        <v/>
      </c>
      <c r="K18" s="17">
        <f>(H17/H18-1)/((B18-B17)/360)*100</f>
        <v/>
      </c>
      <c r="L18" s="30" t="n"/>
      <c r="M18" s="28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6">
        <f>(D18*H18)</f>
        <v/>
      </c>
      <c r="T18" s="63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X18" s="63">
        <f>IFERROR(INDEX(S490_Snapshot!$C$7:$C$38,MATCH(B18,S490_Snapshot!$A$7:$A$38,0)),"")</f>
        <v/>
      </c>
      <c r="Y18" s="89">
        <f>IF(OR(X18="",NOT(ISNUMBER(E18))),"",(E18-X18)*100)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112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34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36">
        <f>SUM($I$8:I18)</f>
        <v/>
      </c>
      <c r="H19" s="29">
        <f>$D$4/(1+(E19/100)*D19)</f>
        <v/>
      </c>
      <c r="I19" s="36" t="n">
        <v>0</v>
      </c>
      <c r="J19" s="17">
        <f>-LN(H19)/C19*100</f>
        <v/>
      </c>
      <c r="K19" s="17">
        <f>(H18/H19-1)/((B19-B18)/360)*100</f>
        <v/>
      </c>
      <c r="L19" s="30" t="n"/>
      <c r="M19" s="28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6">
        <f>(D19*H19)</f>
        <v/>
      </c>
      <c r="T19" s="63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X19" s="63">
        <f>IFERROR(INDEX(S490_Snapshot!$C$7:$C$38,MATCH(B19,S490_Snapshot!$A$7:$A$38,0)),"")</f>
        <v/>
      </c>
      <c r="Y19" s="89">
        <f>IF(OR(X19="",NOT(ISNUMBER(E19))),"",(E19-X19)*100)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112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34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36">
        <f>SUM($I$8:I19)</f>
        <v/>
      </c>
      <c r="H20" s="29">
        <f>$D$4/(1+(E20/100)*D20)</f>
        <v/>
      </c>
      <c r="I20" s="36" t="n">
        <v>0</v>
      </c>
      <c r="J20" s="17">
        <f>-LN(H20)/C20*100</f>
        <v/>
      </c>
      <c r="K20" s="17">
        <f>(H19/H20-1)/((B20-B19)/360)*100</f>
        <v/>
      </c>
      <c r="L20" s="30" t="n"/>
      <c r="M20" s="28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6">
        <f>(D20*H20)</f>
        <v/>
      </c>
      <c r="T20" s="63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X20" s="63">
        <f>IFERROR(INDEX(S490_Snapshot!$C$7:$C$38,MATCH(B20,S490_Snapshot!$A$7:$A$38,0)),"")</f>
        <v/>
      </c>
      <c r="Y20" s="89">
        <f>IF(OR(X20="",NOT(ISNUMBER(E20))),"",(E20-X20)*100)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112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34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36">
        <f>SUM($I$8:I20)</f>
        <v/>
      </c>
      <c r="H21" s="29">
        <f>$D$4/(1+(E21/100)*D21)</f>
        <v/>
      </c>
      <c r="I21" s="36" t="n">
        <v>0</v>
      </c>
      <c r="J21" s="17">
        <f>-LN(H21)/C21*100</f>
        <v/>
      </c>
      <c r="K21" s="17">
        <f>(H20/H21-1)/((B21-B20)/360)*100</f>
        <v/>
      </c>
      <c r="L21" s="30" t="n"/>
      <c r="M21" s="28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6">
        <f>(D21*H21)</f>
        <v/>
      </c>
      <c r="T21" s="63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X21" s="63">
        <f>IFERROR(INDEX(S490_Snapshot!$C$7:$C$38,MATCH(B21,S490_Snapshot!$A$7:$A$38,0)),"")</f>
        <v/>
      </c>
      <c r="Y21" s="89">
        <f>IF(OR(X21="",NOT(ISNUMBER(E21))),"",(E21-X21)*100)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112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34">
        <f>(B22-VAL_DATE)/365</f>
        <v/>
      </c>
      <c r="D22" s="80">
        <f>(B22-VAL_DATE)/360</f>
        <v/>
      </c>
      <c r="E22" s="17">
        <f>'SOFR_OIS_Quotes'!$H19</f>
        <v/>
      </c>
      <c r="F22" s="34">
        <f>(B22-VAL_DATE)/360</f>
        <v/>
      </c>
      <c r="G22" s="36">
        <f>SUM($I$8:I21)</f>
        <v/>
      </c>
      <c r="H22" s="29">
        <f>$D$4/(1+(E22/100)*D22)</f>
        <v/>
      </c>
      <c r="I22" s="36">
        <f>F22*H22</f>
        <v/>
      </c>
      <c r="J22" s="17">
        <f>-LN(H22)/C22*100</f>
        <v/>
      </c>
      <c r="K22" s="17">
        <f>(H21/H22-1)/((B22-B21)/360)*100</f>
        <v/>
      </c>
      <c r="L22" s="30" t="n"/>
      <c r="M22" s="28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6">
        <f>(D22*H22)</f>
        <v/>
      </c>
      <c r="T22" s="63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X22" s="63">
        <f>IFERROR(INDEX(S490_Snapshot!$C$7:$C$38,MATCH(B22,S490_Snapshot!$A$7:$A$38,0)),"")</f>
        <v/>
      </c>
      <c r="Y22" s="89">
        <f>IF(OR(X22="",NOT(ISNUMBER(E22))),"",(E22-X22)*100)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112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34">
        <f>(B23-VAL_DATE)/365</f>
        <v/>
      </c>
      <c r="D23" s="34">
        <f>(B23-$B$4)/360</f>
        <v/>
      </c>
      <c r="E23" s="17">
        <f>'SOFR_OIS_Quotes'!$H20</f>
        <v/>
      </c>
      <c r="F23" s="34">
        <f>(B23-$B$22)/360</f>
        <v/>
      </c>
      <c r="G23" s="36">
        <f>SUM($I$8:I22)</f>
        <v/>
      </c>
      <c r="H23" s="29">
        <f>($D$4-(E23/100)*G23)/(1+(E23/100)*F23)</f>
        <v/>
      </c>
      <c r="I23" s="36" t="n">
        <v>0</v>
      </c>
      <c r="J23" s="17">
        <f>-LN(H23)/C23*100</f>
        <v/>
      </c>
      <c r="K23" s="17">
        <f>(H22/H23-1)/((B23-B22)/360)*100</f>
        <v/>
      </c>
      <c r="L23" s="30" t="n"/>
      <c r="M23" s="28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6">
        <f>(G23+F23*H23)</f>
        <v/>
      </c>
      <c r="T23" s="63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X23" s="63">
        <f>IFERROR(INDEX(S490_Snapshot!$C$7:$C$38,MATCH(B23,S490_Snapshot!$A$7:$A$38,0)),"")</f>
        <v/>
      </c>
      <c r="Y23" s="89">
        <f>IF(OR(X23="",NOT(ISNUMBER(E23))),"",(E23-X23)*100)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112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34">
        <f>(B24-VAL_DATE)/365</f>
        <v/>
      </c>
      <c r="D24" s="34">
        <f>(B24-$B$4)/360</f>
        <v/>
      </c>
      <c r="E24" s="17">
        <f>'SOFR_OIS_Quotes'!$H21</f>
        <v/>
      </c>
      <c r="F24" s="34">
        <f>(B24-$B$22)/360</f>
        <v/>
      </c>
      <c r="G24" s="36">
        <f>SUM($I$8:I23)</f>
        <v/>
      </c>
      <c r="H24" s="29">
        <f>($D$4-(E24/100)*G24)/(1+(E24/100)*F24)</f>
        <v/>
      </c>
      <c r="I24" s="36">
        <f>F24*H24</f>
        <v/>
      </c>
      <c r="J24" s="17">
        <f>-LN(H24)/C24*100</f>
        <v/>
      </c>
      <c r="K24" s="17">
        <f>(H23/H24-1)/((B24-B23)/360)*100</f>
        <v/>
      </c>
      <c r="L24" s="30" t="n"/>
      <c r="M24" s="28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6">
        <f>(G24+F24*H24)</f>
        <v/>
      </c>
      <c r="T24" s="63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X24" s="63">
        <f>IFERROR(INDEX(S490_Snapshot!$C$7:$C$38,MATCH(B24,S490_Snapshot!$A$7:$A$38,0)),"")</f>
        <v/>
      </c>
      <c r="Y24" s="89">
        <f>IF(OR(X24="",NOT(ISNUMBER(E24))),"",(E24-X24)*100)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112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34">
        <f>(B25-VAL_DATE)/365</f>
        <v/>
      </c>
      <c r="D25" s="34">
        <f>(B25-$B$4)/360</f>
        <v/>
      </c>
      <c r="E25" s="17">
        <f>'SOFR_OIS_Quotes'!$H22</f>
        <v/>
      </c>
      <c r="F25" s="34">
        <f>(B25-$B$24)/360</f>
        <v/>
      </c>
      <c r="G25" s="36">
        <f>SUM($I$8:I24)</f>
        <v/>
      </c>
      <c r="H25" s="29">
        <f>($D$4-(E25/100)*G25)/(1+(E25/100)*F25)</f>
        <v/>
      </c>
      <c r="I25" s="36">
        <f>F25*H25</f>
        <v/>
      </c>
      <c r="J25" s="17">
        <f>-LN(H25)/C25*100</f>
        <v/>
      </c>
      <c r="K25" s="17">
        <f>(H24/H25-1)/((B25-B24)/360)*100</f>
        <v/>
      </c>
      <c r="L25" s="30" t="n"/>
      <c r="M25" s="28">
        <f>IF(L25="","",(J25-L25)*100)</f>
        <v/>
      </c>
      <c r="N25" s="6" t="inlineStr">
        <is>
          <t>market</t>
        </is>
      </c>
      <c r="S25" s="36">
        <f>(G25+F25*H25)</f>
        <v/>
      </c>
      <c r="T25" s="63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X25" s="63">
        <f>IFERROR(INDEX(S490_Snapshot!$C$7:$C$38,MATCH(B25,S490_Snapshot!$A$7:$A$38,0)),"")</f>
        <v/>
      </c>
      <c r="Y25" s="89">
        <f>IF(OR(X25="",NOT(ISNUMBER(E25))),"",(E25-X25)*100)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112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34">
        <f>(B26-VAL_DATE)/365</f>
        <v/>
      </c>
      <c r="D26" s="34">
        <f>(B26-$B$4)/360</f>
        <v/>
      </c>
      <c r="E26" s="17">
        <f>'SOFR_OIS_Quotes'!$H23</f>
        <v/>
      </c>
      <c r="F26" s="34">
        <f>(B26-$B$25)/360</f>
        <v/>
      </c>
      <c r="G26" s="36">
        <f>SUM($I$8:I25)</f>
        <v/>
      </c>
      <c r="H26" s="29">
        <f>($D$4-(E26/100)*G26)/(1+(E26/100)*F26)</f>
        <v/>
      </c>
      <c r="I26" s="36">
        <f>F26*H26</f>
        <v/>
      </c>
      <c r="J26" s="17">
        <f>-LN(H26)/C26*100</f>
        <v/>
      </c>
      <c r="K26" s="17">
        <f>(H25/H26-1)/((B26-B25)/360)*100</f>
        <v/>
      </c>
      <c r="L26" s="30" t="n"/>
      <c r="M26" s="28">
        <f>IF(L26="","",(J26-L26)*100)</f>
        <v/>
      </c>
      <c r="N26" s="6" t="inlineStr">
        <is>
          <t>market</t>
        </is>
      </c>
      <c r="S26" s="36">
        <f>(G26+F26*H26)</f>
        <v/>
      </c>
      <c r="T26" s="63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X26" s="63">
        <f>IFERROR(INDEX(S490_Snapshot!$C$7:$C$38,MATCH(B26,S490_Snapshot!$A$7:$A$38,0)),"")</f>
        <v/>
      </c>
      <c r="Y26" s="89">
        <f>IF(OR(X26="",NOT(ISNUMBER(E26))),"",(E26-X26)*100)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112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34">
        <f>(B27-VAL_DATE)/365</f>
        <v/>
      </c>
      <c r="D27" s="34">
        <f>(B27-$B$4)/360</f>
        <v/>
      </c>
      <c r="E27" s="17">
        <f>'SOFR_OIS_Quotes'!$H24</f>
        <v/>
      </c>
      <c r="F27" s="34">
        <f>(B27-$B$26)/360</f>
        <v/>
      </c>
      <c r="G27" s="36">
        <f>SUM($I$8:I26)</f>
        <v/>
      </c>
      <c r="H27" s="29">
        <f>($D$4-(E27/100)*G27)/(1+(E27/100)*F27)</f>
        <v/>
      </c>
      <c r="I27" s="36">
        <f>F27*H27</f>
        <v/>
      </c>
      <c r="J27" s="17">
        <f>-LN(H27)/C27*100</f>
        <v/>
      </c>
      <c r="K27" s="17">
        <f>(H26/H27-1)/((B27-B26)/360)*100</f>
        <v/>
      </c>
      <c r="L27" s="30" t="n"/>
      <c r="M27" s="28">
        <f>IF(L27="","",(J27-L27)*100)</f>
        <v/>
      </c>
      <c r="N27" s="6" t="inlineStr">
        <is>
          <t>market</t>
        </is>
      </c>
      <c r="S27" s="36">
        <f>(G27+F27*H27)</f>
        <v/>
      </c>
      <c r="T27" s="63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X27" s="63">
        <f>IFERROR(INDEX(S490_Snapshot!$C$7:$C$38,MATCH(B27,S490_Snapshot!$A$7:$A$38,0)),"")</f>
        <v/>
      </c>
      <c r="Y27" s="89">
        <f>IF(OR(X27="",NOT(ISNUMBER(E27))),"",(E27-X27)*100)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112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34">
        <f>(B28-VAL_DATE)/365</f>
        <v/>
      </c>
      <c r="D28" s="34">
        <f>(B28-$B$4)/360</f>
        <v/>
      </c>
      <c r="E28" s="17">
        <f>'SOFR_OIS_Quotes'!$H25</f>
        <v/>
      </c>
      <c r="F28" s="34">
        <f>(B28-$B$27)/360</f>
        <v/>
      </c>
      <c r="G28" s="36">
        <f>SUM($I$8:I27)</f>
        <v/>
      </c>
      <c r="H28" s="29">
        <f>($D$4-(E28/100)*G28)/(1+(E28/100)*F28)</f>
        <v/>
      </c>
      <c r="I28" s="36">
        <f>F28*H28</f>
        <v/>
      </c>
      <c r="J28" s="17">
        <f>-LN(H28)/C28*100</f>
        <v/>
      </c>
      <c r="K28" s="17">
        <f>(H27/H28-1)/((B28-B27)/360)*100</f>
        <v/>
      </c>
      <c r="L28" s="30" t="n"/>
      <c r="M28" s="28">
        <f>IF(L28="","",(J28-L28)*100)</f>
        <v/>
      </c>
      <c r="N28" s="6" t="inlineStr">
        <is>
          <t>market</t>
        </is>
      </c>
      <c r="S28" s="36">
        <f>(G28+F28*H28)</f>
        <v/>
      </c>
      <c r="T28" s="63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X28" s="63">
        <f>IFERROR(INDEX(S490_Snapshot!$C$7:$C$38,MATCH(B28,S490_Snapshot!$A$7:$A$38,0)),"")</f>
        <v/>
      </c>
      <c r="Y28" s="89">
        <f>IF(OR(X28="",NOT(ISNUMBER(E28))),"",(E28-X28)*100)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112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34">
        <f>(B29-VAL_DATE)/365</f>
        <v/>
      </c>
      <c r="D29" s="34">
        <f>(B29-$B$4)/360</f>
        <v/>
      </c>
      <c r="E29" s="17">
        <f>'SOFR_OIS_Quotes'!$H26</f>
        <v/>
      </c>
      <c r="F29" s="34">
        <f>(B29-$B$28)/360</f>
        <v/>
      </c>
      <c r="G29" s="36">
        <f>SUM($I$8:I28)</f>
        <v/>
      </c>
      <c r="H29" s="29">
        <f>($D$4-(E29/100)*G29)/(1+(E29/100)*F29)</f>
        <v/>
      </c>
      <c r="I29" s="36">
        <f>F29*H29</f>
        <v/>
      </c>
      <c r="J29" s="17">
        <f>-LN(H29)/C29*100</f>
        <v/>
      </c>
      <c r="K29" s="17">
        <f>(H28/H29-1)/((B29-B28)/360)*100</f>
        <v/>
      </c>
      <c r="L29" s="30" t="n"/>
      <c r="M29" s="28">
        <f>IF(L29="","",(J29-L29)*100)</f>
        <v/>
      </c>
      <c r="N29" s="6" t="inlineStr">
        <is>
          <t>market</t>
        </is>
      </c>
      <c r="S29" s="36">
        <f>(G29+F29*H29)</f>
        <v/>
      </c>
      <c r="T29" s="63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X29" s="63">
        <f>IFERROR(INDEX(S490_Snapshot!$C$7:$C$38,MATCH(B29,S490_Snapshot!$A$7:$A$38,0)),"")</f>
        <v/>
      </c>
      <c r="Y29" s="89">
        <f>IF(OR(X29="",NOT(ISNUMBER(E29))),"",(E29-X29)*100)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112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34">
        <f>(B30-VAL_DATE)/365</f>
        <v/>
      </c>
      <c r="D30" s="34">
        <f>(B30-$B$4)/360</f>
        <v/>
      </c>
      <c r="E30" s="17">
        <f>'SOFR_OIS_Quotes'!$H27</f>
        <v/>
      </c>
      <c r="F30" s="34">
        <f>(B30-$B$29)/360</f>
        <v/>
      </c>
      <c r="G30" s="36">
        <f>SUM($I$8:I29)</f>
        <v/>
      </c>
      <c r="H30" s="29">
        <f>($D$4-(E30/100)*G30)/(1+(E30/100)*F30)</f>
        <v/>
      </c>
      <c r="I30" s="36">
        <f>F30*H30</f>
        <v/>
      </c>
      <c r="J30" s="17">
        <f>-LN(H30)/C30*100</f>
        <v/>
      </c>
      <c r="K30" s="17">
        <f>(H29/H30-1)/((B30-B29)/360)*100</f>
        <v/>
      </c>
      <c r="L30" s="30" t="n"/>
      <c r="M30" s="28">
        <f>IF(L30="","",(J30-L30)*100)</f>
        <v/>
      </c>
      <c r="N30" s="6" t="inlineStr">
        <is>
          <t>market</t>
        </is>
      </c>
      <c r="S30" s="36">
        <f>(G30+F30*H30)</f>
        <v/>
      </c>
      <c r="T30" s="63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X30" s="63">
        <f>IFERROR(INDEX(S490_Snapshot!$C$7:$C$38,MATCH(B30,S490_Snapshot!$A$7:$A$38,0)),"")</f>
        <v/>
      </c>
      <c r="Y30" s="89">
        <f>IF(OR(X30="",NOT(ISNUMBER(E30))),"",(E30-X30)*100)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112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34">
        <f>(B31-VAL_DATE)/365</f>
        <v/>
      </c>
      <c r="D31" s="34">
        <f>(B31-$B$4)/360</f>
        <v/>
      </c>
      <c r="E31" s="17">
        <f>'SOFR_OIS_Quotes'!$H28</f>
        <v/>
      </c>
      <c r="F31" s="34">
        <f>(B31-$B$30)/360</f>
        <v/>
      </c>
      <c r="G31" s="36">
        <f>SUM($I$8:I30)</f>
        <v/>
      </c>
      <c r="H31" s="29">
        <f>($D$4-(E31/100)*G31)/(1+(E31/100)*F31)</f>
        <v/>
      </c>
      <c r="I31" s="36">
        <f>F31*H31</f>
        <v/>
      </c>
      <c r="J31" s="17">
        <f>-LN(H31)/C31*100</f>
        <v/>
      </c>
      <c r="K31" s="17">
        <f>(H30/H31-1)/((B31-B30)/360)*100</f>
        <v/>
      </c>
      <c r="L31" s="30" t="n"/>
      <c r="M31" s="28">
        <f>IF(L31="","",(J31-L31)*100)</f>
        <v/>
      </c>
      <c r="N31" s="6" t="inlineStr">
        <is>
          <t>market</t>
        </is>
      </c>
      <c r="S31" s="36">
        <f>(G31+F31*H31)</f>
        <v/>
      </c>
      <c r="T31" s="63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X31" s="63">
        <f>IFERROR(INDEX(S490_Snapshot!$C$7:$C$38,MATCH(B31,S490_Snapshot!$A$7:$A$38,0)),"")</f>
        <v/>
      </c>
      <c r="Y31" s="89">
        <f>IF(OR(X31="",NOT(ISNUMBER(E31))),"",(E31-X31)*100)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112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34">
        <f>(B32-VAL_DATE)/365</f>
        <v/>
      </c>
      <c r="D32" s="34">
        <f>(B32-$B$4)/360</f>
        <v/>
      </c>
      <c r="E32" s="17">
        <f>'SOFR_OIS_Quotes'!$H29</f>
        <v/>
      </c>
      <c r="F32" s="34">
        <f>(B32-$B$31)/360</f>
        <v/>
      </c>
      <c r="G32" s="36">
        <f>SUM($I$8:I31)</f>
        <v/>
      </c>
      <c r="H32" s="29">
        <f>($D$4-(E32/100)*G32)/(1+(E32/100)*F32)</f>
        <v/>
      </c>
      <c r="I32" s="36">
        <f>F32*H32</f>
        <v/>
      </c>
      <c r="J32" s="17">
        <f>-LN(H32)/C32*100</f>
        <v/>
      </c>
      <c r="K32" s="17">
        <f>(H31/H32-1)/((B32-B31)/360)*100</f>
        <v/>
      </c>
      <c r="L32" s="30" t="n"/>
      <c r="M32" s="28">
        <f>IF(L32="","",(J32-L32)*100)</f>
        <v/>
      </c>
      <c r="N32" s="6" t="inlineStr">
        <is>
          <t>market</t>
        </is>
      </c>
      <c r="S32" s="36">
        <f>(G32+F32*H32)</f>
        <v/>
      </c>
      <c r="T32" s="63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X32" s="63">
        <f>IFERROR(INDEX(S490_Snapshot!$C$7:$C$38,MATCH(B32,S490_Snapshot!$A$7:$A$38,0)),"")</f>
        <v/>
      </c>
      <c r="Y32" s="89">
        <f>IF(OR(X32="",NOT(ISNUMBER(E32))),"",(E32-X32)*100)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112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34">
        <f>(B33-VAL_DATE)/365</f>
        <v/>
      </c>
      <c r="D33" s="34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34">
        <f>(B33-$B$32)/360</f>
        <v/>
      </c>
      <c r="G33" s="36">
        <f>SUM($I$8:I32)</f>
        <v/>
      </c>
      <c r="H33" s="29">
        <f>H32*(H34/H32)^((C33-C32)/(C34-C32))</f>
        <v/>
      </c>
      <c r="I33" s="36">
        <f>F33*H33</f>
        <v/>
      </c>
      <c r="J33" s="17">
        <f>-LN(H33)/C33*100</f>
        <v/>
      </c>
      <c r="K33" s="17">
        <f>(H32/H33-1)/((B33-B32)/360)*100</f>
        <v/>
      </c>
      <c r="L33" s="30" t="n"/>
      <c r="M33" s="28">
        <f>IF(L33="","",(J33-L33)*100)</f>
        <v/>
      </c>
      <c r="N33" s="6" t="inlineStr">
        <is>
          <t>interp</t>
        </is>
      </c>
      <c r="S33" s="36">
        <f>(G33+F33*H33)</f>
        <v/>
      </c>
      <c r="T33" s="63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X33" s="63">
        <f>IFERROR(INDEX(S490_Snapshot!$C$7:$C$38,MATCH(B33,S490_Snapshot!$A$7:$A$38,0)),"")</f>
        <v/>
      </c>
      <c r="Y33" s="89">
        <f>IF(OR(X33="",NOT(ISNUMBER(E33))),"",(E33-X33)*100)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112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34">
        <f>(B34-VAL_DATE)/365</f>
        <v/>
      </c>
      <c r="D34" s="34">
        <f>(B34-$B$4)/360</f>
        <v/>
      </c>
      <c r="E34" s="17">
        <f>'SOFR_OIS_Quotes'!$H30</f>
        <v/>
      </c>
      <c r="F34" s="34">
        <f>(B34-$B$33)/360</f>
        <v/>
      </c>
      <c r="G34" s="36">
        <f>SUM($I$8:I33)</f>
        <v/>
      </c>
      <c r="H34" s="71">
        <f>Curve_Solver!$B$53</f>
        <v/>
      </c>
      <c r="I34" s="36">
        <f>F34*H34</f>
        <v/>
      </c>
      <c r="J34" s="17">
        <f>-LN(H34)/C34*100</f>
        <v/>
      </c>
      <c r="K34" s="17">
        <f>(H33/H34-1)/((B34-B33)/360)*100</f>
        <v/>
      </c>
      <c r="L34" s="30" t="n"/>
      <c r="M34" s="28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6">
        <f>(G34+F34*H34)</f>
        <v/>
      </c>
      <c r="T34" s="63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X34" s="63">
        <f>IFERROR(INDEX(S490_Snapshot!$C$7:$C$38,MATCH(B34,S490_Snapshot!$A$7:$A$38,0)),"")</f>
        <v/>
      </c>
      <c r="Y34" s="89">
        <f>IF(OR(X34="",NOT(ISNUMBER(E34))),"",(E34-X34)*100)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112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34">
        <f>(B35-VAL_DATE)/365</f>
        <v/>
      </c>
      <c r="D35" s="34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34">
        <f>(B35-$B$34)/360</f>
        <v/>
      </c>
      <c r="G35" s="36">
        <f>SUM($I$8:I34)</f>
        <v/>
      </c>
      <c r="H35" s="29">
        <f>H34*(H37/H34)^((C35-C34)/(C37-C34))</f>
        <v/>
      </c>
      <c r="I35" s="36">
        <f>F35*H35</f>
        <v/>
      </c>
      <c r="J35" s="17">
        <f>-LN(H35)/C35*100</f>
        <v/>
      </c>
      <c r="K35" s="17">
        <f>(H34/H35-1)/((B35-B34)/360)*100</f>
        <v/>
      </c>
      <c r="L35" s="30" t="n"/>
      <c r="M35" s="28">
        <f>IF(L35="","",(J35-L35)*100)</f>
        <v/>
      </c>
      <c r="N35" s="6" t="inlineStr">
        <is>
          <t>interp</t>
        </is>
      </c>
      <c r="S35" s="36">
        <f>(G35+F35*H35)</f>
        <v/>
      </c>
      <c r="T35" s="63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X35" s="63">
        <f>IFERROR(INDEX(S490_Snapshot!$C$7:$C$38,MATCH(B35,S490_Snapshot!$A$7:$A$38,0)),"")</f>
        <v/>
      </c>
      <c r="Y35" s="89">
        <f>IF(OR(X35="",NOT(ISNUMBER(E35))),"",(E35-X35)*100)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112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34">
        <f>(B36-VAL_DATE)/365</f>
        <v/>
      </c>
      <c r="D36" s="34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34">
        <f>(B36-$B$35)/360</f>
        <v/>
      </c>
      <c r="G36" s="36">
        <f>SUM($I$8:I35)</f>
        <v/>
      </c>
      <c r="H36" s="29">
        <f>H34*(H37/H34)^((C36-C34)/(C37-C34))</f>
        <v/>
      </c>
      <c r="I36" s="36">
        <f>F36*H36</f>
        <v/>
      </c>
      <c r="J36" s="17">
        <f>-LN(H36)/C36*100</f>
        <v/>
      </c>
      <c r="K36" s="17">
        <f>(H35/H36-1)/((B36-B35)/360)*100</f>
        <v/>
      </c>
      <c r="L36" s="30" t="n"/>
      <c r="M36" s="28">
        <f>IF(L36="","",(J36-L36)*100)</f>
        <v/>
      </c>
      <c r="N36" s="6" t="inlineStr">
        <is>
          <t>interp</t>
        </is>
      </c>
      <c r="S36" s="36">
        <f>(G36+F36*H36)</f>
        <v/>
      </c>
      <c r="T36" s="63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X36" s="63">
        <f>IFERROR(INDEX(S490_Snapshot!$C$7:$C$38,MATCH(B36,S490_Snapshot!$A$7:$A$38,0)),"")</f>
        <v/>
      </c>
      <c r="Y36" s="89">
        <f>IF(OR(X36="",NOT(ISNUMBER(E36))),"",(E36-X36)*100)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112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34">
        <f>(B37-VAL_DATE)/365</f>
        <v/>
      </c>
      <c r="D37" s="34">
        <f>(B37-$B$4)/360</f>
        <v/>
      </c>
      <c r="E37" s="17">
        <f>'SOFR_OIS_Quotes'!$H31</f>
        <v/>
      </c>
      <c r="F37" s="34">
        <f>(B37-$B$36)/360</f>
        <v/>
      </c>
      <c r="G37" s="36">
        <f>SUM($I$8:I36)</f>
        <v/>
      </c>
      <c r="H37" s="71">
        <f>Curve_Solver!$B$103</f>
        <v/>
      </c>
      <c r="I37" s="36">
        <f>F37*H37</f>
        <v/>
      </c>
      <c r="J37" s="17">
        <f>-LN(H37)/C37*100</f>
        <v/>
      </c>
      <c r="K37" s="17">
        <f>(H36/H37-1)/((B37-B36)/360)*100</f>
        <v/>
      </c>
      <c r="L37" s="30" t="n"/>
      <c r="M37" s="28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6">
        <f>(G37+F37*H37)</f>
        <v/>
      </c>
      <c r="T37" s="63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X37" s="63">
        <f>IFERROR(INDEX(S490_Snapshot!$C$7:$C$38,MATCH(B37,S490_Snapshot!$A$7:$A$38,0)),"")</f>
        <v/>
      </c>
      <c r="Y37" s="89">
        <f>IF(OR(X37="",NOT(ISNUMBER(E37))),"",(E37-X37)*100)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112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34">
        <f>(B38-VAL_DATE)/365</f>
        <v/>
      </c>
      <c r="D38" s="34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34">
        <f>(B38-$B$37)/360</f>
        <v/>
      </c>
      <c r="G38" s="36">
        <f>SUM($I$8:I37)</f>
        <v/>
      </c>
      <c r="H38" s="29">
        <f>H37*(H42/H37)^((C38-C37)/(C42-C37))</f>
        <v/>
      </c>
      <c r="I38" s="36">
        <f>F38*H38</f>
        <v/>
      </c>
      <c r="J38" s="17">
        <f>-LN(H38)/C38*100</f>
        <v/>
      </c>
      <c r="K38" s="17">
        <f>(H37/H38-1)/((B38-B37)/360)*100</f>
        <v/>
      </c>
      <c r="L38" s="30" t="n"/>
      <c r="M38" s="28">
        <f>IF(L38="","",(J38-L38)*100)</f>
        <v/>
      </c>
      <c r="N38" s="6" t="inlineStr">
        <is>
          <t>interp</t>
        </is>
      </c>
      <c r="S38" s="36">
        <f>(G38+F38*H38)</f>
        <v/>
      </c>
      <c r="T38" s="63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X38" s="63">
        <f>IFERROR(INDEX(S490_Snapshot!$C$7:$C$38,MATCH(B38,S490_Snapshot!$A$7:$A$38,0)),"")</f>
        <v/>
      </c>
      <c r="Y38" s="89">
        <f>IF(OR(X38="",NOT(ISNUMBER(E38))),"",(E38-X38)*100)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112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34">
        <f>(B39-VAL_DATE)/365</f>
        <v/>
      </c>
      <c r="D39" s="34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34">
        <f>(B39-$B$38)/360</f>
        <v/>
      </c>
      <c r="G39" s="36">
        <f>SUM($I$8:I38)</f>
        <v/>
      </c>
      <c r="H39" s="29">
        <f>H37*(H42/H37)^((C39-C37)/(C42-C37))</f>
        <v/>
      </c>
      <c r="I39" s="36">
        <f>F39*H39</f>
        <v/>
      </c>
      <c r="J39" s="17">
        <f>-LN(H39)/C39*100</f>
        <v/>
      </c>
      <c r="K39" s="17">
        <f>(H38/H39-1)/((B39-B38)/360)*100</f>
        <v/>
      </c>
      <c r="L39" s="30" t="n"/>
      <c r="M39" s="28">
        <f>IF(L39="","",(J39-L39)*100)</f>
        <v/>
      </c>
      <c r="N39" s="6" t="inlineStr">
        <is>
          <t>interp</t>
        </is>
      </c>
      <c r="S39" s="36">
        <f>(G39+F39*H39)</f>
        <v/>
      </c>
      <c r="T39" s="63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X39" s="63">
        <f>IFERROR(INDEX(S490_Snapshot!$C$7:$C$38,MATCH(B39,S490_Snapshot!$A$7:$A$38,0)),"")</f>
        <v/>
      </c>
      <c r="Y39" s="89">
        <f>IF(OR(X39="",NOT(ISNUMBER(E39))),"",(E39-X39)*100)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112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34">
        <f>(B40-VAL_DATE)/365</f>
        <v/>
      </c>
      <c r="D40" s="34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34">
        <f>(B40-$B$39)/360</f>
        <v/>
      </c>
      <c r="G40" s="36">
        <f>SUM($I$8:I39)</f>
        <v/>
      </c>
      <c r="H40" s="29">
        <f>H37*(H42/H37)^((C40-C37)/(C42-C37))</f>
        <v/>
      </c>
      <c r="I40" s="36">
        <f>F40*H40</f>
        <v/>
      </c>
      <c r="J40" s="17">
        <f>-LN(H40)/C40*100</f>
        <v/>
      </c>
      <c r="K40" s="17">
        <f>(H39/H40-1)/((B40-B39)/360)*100</f>
        <v/>
      </c>
      <c r="L40" s="30" t="n"/>
      <c r="M40" s="28">
        <f>IF(L40="","",(J40-L40)*100)</f>
        <v/>
      </c>
      <c r="N40" s="6" t="inlineStr">
        <is>
          <t>interp</t>
        </is>
      </c>
      <c r="S40" s="36">
        <f>(G40+F40*H40)</f>
        <v/>
      </c>
      <c r="T40" s="63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  <c r="X40" s="63">
        <f>IFERROR(INDEX(S490_Snapshot!$C$7:$C$38,MATCH(B40,S490_Snapshot!$A$7:$A$38,0)),"")</f>
        <v/>
      </c>
      <c r="Y40" s="89">
        <f>IF(OR(X40="",NOT(ISNUMBER(E40))),"",(E40-X40)*100)</f>
        <v/>
      </c>
    </row>
    <row r="41">
      <c r="A41" s="6" t="inlineStr">
        <is>
          <t>19Y</t>
        </is>
      </c>
      <c r="B41" s="112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34">
        <f>(B41-VAL_DATE)/365</f>
        <v/>
      </c>
      <c r="D41" s="34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34">
        <f>(B41-$B$40)/360</f>
        <v/>
      </c>
      <c r="G41" s="36">
        <f>SUM($I$8:I40)</f>
        <v/>
      </c>
      <c r="H41" s="29">
        <f>H37*(H42/H37)^((C41-C37)/(C42-C37))</f>
        <v/>
      </c>
      <c r="I41" s="36">
        <f>F41*H41</f>
        <v/>
      </c>
      <c r="J41" s="17">
        <f>-LN(H41)/C41*100</f>
        <v/>
      </c>
      <c r="K41" s="17">
        <f>(H40/H41-1)/((B41-B40)/360)*100</f>
        <v/>
      </c>
      <c r="L41" s="30" t="n"/>
      <c r="M41" s="28">
        <f>IF(L41="","",(J41-L41)*100)</f>
        <v/>
      </c>
      <c r="N41" s="6" t="inlineStr">
        <is>
          <t>interp</t>
        </is>
      </c>
      <c r="S41" s="36">
        <f>(G41+F41*H41)</f>
        <v/>
      </c>
      <c r="T41" s="63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  <c r="X41" s="63">
        <f>IFERROR(INDEX(S490_Snapshot!$C$7:$C$38,MATCH(B41,S490_Snapshot!$A$7:$A$38,0)),"")</f>
        <v/>
      </c>
      <c r="Y41" s="89">
        <f>IF(OR(X41="",NOT(ISNUMBER(E41))),"",(E41-X41)*100)</f>
        <v/>
      </c>
    </row>
    <row r="42">
      <c r="A42" s="6" t="inlineStr">
        <is>
          <t>20Y</t>
        </is>
      </c>
      <c r="B42" s="112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34">
        <f>(B42-VAL_DATE)/365</f>
        <v/>
      </c>
      <c r="D42" s="34">
        <f>(B42-$B$4)/360</f>
        <v/>
      </c>
      <c r="E42" s="17">
        <f>'SOFR_OIS_Quotes'!$H32</f>
        <v/>
      </c>
      <c r="F42" s="34">
        <f>(B42-$B$41)/360</f>
        <v/>
      </c>
      <c r="G42" s="36">
        <f>SUM($I$8:I41)</f>
        <v/>
      </c>
      <c r="H42" s="71">
        <f>Curve_Solver!$B$153</f>
        <v/>
      </c>
      <c r="I42" s="36">
        <f>F42*H42</f>
        <v/>
      </c>
      <c r="J42" s="17">
        <f>-LN(H42)/C42*100</f>
        <v/>
      </c>
      <c r="K42" s="17">
        <f>(H41/H42-1)/((B42-B41)/360)*100</f>
        <v/>
      </c>
      <c r="L42" s="30" t="n"/>
      <c r="M42" s="28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6">
        <f>(G42+F42*H42)</f>
        <v/>
      </c>
      <c r="T42" s="63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  <c r="X42" s="63">
        <f>IFERROR(INDEX(S490_Snapshot!$C$7:$C$38,MATCH(B42,S490_Snapshot!$A$7:$A$38,0)),"")</f>
        <v/>
      </c>
      <c r="Y42" s="89">
        <f>IF(OR(X42="",NOT(ISNUMBER(E42))),"",(E42-X42)*100)</f>
        <v/>
      </c>
    </row>
    <row r="43">
      <c r="A43" s="6" t="inlineStr">
        <is>
          <t>21Y</t>
        </is>
      </c>
      <c r="B43" s="112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34">
        <f>(B43-VAL_DATE)/365</f>
        <v/>
      </c>
      <c r="D43" s="34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34">
        <f>(B43-$B$42)/360</f>
        <v/>
      </c>
      <c r="G43" s="36">
        <f>SUM($I$8:I42)</f>
        <v/>
      </c>
      <c r="H43" s="29">
        <f>H42*(H47/H42)^((C43-C42)/(C47-C42))</f>
        <v/>
      </c>
      <c r="I43" s="36">
        <f>F43*H43</f>
        <v/>
      </c>
      <c r="J43" s="17">
        <f>-LN(H43)/C43*100</f>
        <v/>
      </c>
      <c r="K43" s="17">
        <f>(H42/H43-1)/((B43-B42)/360)*100</f>
        <v/>
      </c>
      <c r="L43" s="30" t="n"/>
      <c r="M43" s="28">
        <f>IF(L43="","",(J43-L43)*100)</f>
        <v/>
      </c>
      <c r="N43" s="6" t="inlineStr">
        <is>
          <t>interp</t>
        </is>
      </c>
      <c r="S43" s="36">
        <f>(G43+F43*H43)</f>
        <v/>
      </c>
      <c r="T43" s="63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  <c r="X43" s="63">
        <f>IFERROR(INDEX(S490_Snapshot!$C$7:$C$38,MATCH(B43,S490_Snapshot!$A$7:$A$38,0)),"")</f>
        <v/>
      </c>
      <c r="Y43" s="89">
        <f>IF(OR(X43="",NOT(ISNUMBER(E43))),"",(E43-X43)*100)</f>
        <v/>
      </c>
    </row>
    <row r="44">
      <c r="A44" s="6" t="inlineStr">
        <is>
          <t>22Y</t>
        </is>
      </c>
      <c r="B44" s="112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34">
        <f>(B44-VAL_DATE)/365</f>
        <v/>
      </c>
      <c r="D44" s="34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34">
        <f>(B44-$B$43)/360</f>
        <v/>
      </c>
      <c r="G44" s="36">
        <f>SUM($I$8:I43)</f>
        <v/>
      </c>
      <c r="H44" s="29">
        <f>H42*(H47/H42)^((C44-C42)/(C47-C42))</f>
        <v/>
      </c>
      <c r="I44" s="36">
        <f>F44*H44</f>
        <v/>
      </c>
      <c r="J44" s="17">
        <f>-LN(H44)/C44*100</f>
        <v/>
      </c>
      <c r="K44" s="17">
        <f>(H43/H44-1)/((B44-B43)/360)*100</f>
        <v/>
      </c>
      <c r="L44" s="30" t="n"/>
      <c r="M44" s="28">
        <f>IF(L44="","",(J44-L44)*100)</f>
        <v/>
      </c>
      <c r="N44" s="6" t="inlineStr">
        <is>
          <t>interp</t>
        </is>
      </c>
      <c r="S44" s="36">
        <f>(G44+F44*H44)</f>
        <v/>
      </c>
      <c r="T44" s="63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  <c r="X44" s="63">
        <f>IFERROR(INDEX(S490_Snapshot!$C$7:$C$38,MATCH(B44,S490_Snapshot!$A$7:$A$38,0)),"")</f>
        <v/>
      </c>
      <c r="Y44" s="89">
        <f>IF(OR(X44="",NOT(ISNUMBER(E44))),"",(E44-X44)*100)</f>
        <v/>
      </c>
    </row>
    <row r="45">
      <c r="A45" s="6" t="inlineStr">
        <is>
          <t>23Y</t>
        </is>
      </c>
      <c r="B45" s="112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34">
        <f>(B45-VAL_DATE)/365</f>
        <v/>
      </c>
      <c r="D45" s="34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34">
        <f>(B45-$B$44)/360</f>
        <v/>
      </c>
      <c r="G45" s="36">
        <f>SUM($I$8:I44)</f>
        <v/>
      </c>
      <c r="H45" s="29">
        <f>H42*(H47/H42)^((C45-C42)/(C47-C42))</f>
        <v/>
      </c>
      <c r="I45" s="36">
        <f>F45*H45</f>
        <v/>
      </c>
      <c r="J45" s="17">
        <f>-LN(H45)/C45*100</f>
        <v/>
      </c>
      <c r="K45" s="17">
        <f>(H44/H45-1)/((B45-B44)/360)*100</f>
        <v/>
      </c>
      <c r="L45" s="30" t="n"/>
      <c r="M45" s="28">
        <f>IF(L45="","",(J45-L45)*100)</f>
        <v/>
      </c>
      <c r="N45" s="6" t="inlineStr">
        <is>
          <t>interp</t>
        </is>
      </c>
      <c r="S45" s="36">
        <f>(G45+F45*H45)</f>
        <v/>
      </c>
      <c r="T45" s="63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  <c r="X45" s="63">
        <f>IFERROR(INDEX(S490_Snapshot!$C$7:$C$38,MATCH(B45,S490_Snapshot!$A$7:$A$38,0)),"")</f>
        <v/>
      </c>
      <c r="Y45" s="89">
        <f>IF(OR(X45="",NOT(ISNUMBER(E45))),"",(E45-X45)*100)</f>
        <v/>
      </c>
    </row>
    <row r="46">
      <c r="A46" s="6" t="inlineStr">
        <is>
          <t>24Y</t>
        </is>
      </c>
      <c r="B46" s="112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34">
        <f>(B46-VAL_DATE)/365</f>
        <v/>
      </c>
      <c r="D46" s="34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34">
        <f>(B46-$B$45)/360</f>
        <v/>
      </c>
      <c r="G46" s="36">
        <f>SUM($I$8:I45)</f>
        <v/>
      </c>
      <c r="H46" s="29">
        <f>H42*(H47/H42)^((C46-C42)/(C47-C42))</f>
        <v/>
      </c>
      <c r="I46" s="36">
        <f>F46*H46</f>
        <v/>
      </c>
      <c r="J46" s="17">
        <f>-LN(H46)/C46*100</f>
        <v/>
      </c>
      <c r="K46" s="17">
        <f>(H45/H46-1)/((B46-B45)/360)*100</f>
        <v/>
      </c>
      <c r="L46" s="30" t="n"/>
      <c r="M46" s="28">
        <f>IF(L46="","",(J46-L46)*100)</f>
        <v/>
      </c>
      <c r="N46" s="6" t="inlineStr">
        <is>
          <t>interp</t>
        </is>
      </c>
      <c r="S46" s="36">
        <f>(G46+F46*H46)</f>
        <v/>
      </c>
      <c r="T46" s="63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  <c r="X46" s="63">
        <f>IFERROR(INDEX(S490_Snapshot!$C$7:$C$38,MATCH(B46,S490_Snapshot!$A$7:$A$38,0)),"")</f>
        <v/>
      </c>
      <c r="Y46" s="89">
        <f>IF(OR(X46="",NOT(ISNUMBER(E46))),"",(E46-X46)*100)</f>
        <v/>
      </c>
    </row>
    <row r="47">
      <c r="A47" s="6" t="inlineStr">
        <is>
          <t>25Y</t>
        </is>
      </c>
      <c r="B47" s="112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34">
        <f>(B47-VAL_DATE)/365</f>
        <v/>
      </c>
      <c r="D47" s="34">
        <f>(B47-$B$4)/360</f>
        <v/>
      </c>
      <c r="E47" s="17">
        <f>'SOFR_OIS_Quotes'!$H33</f>
        <v/>
      </c>
      <c r="F47" s="34">
        <f>(B47-$B$46)/360</f>
        <v/>
      </c>
      <c r="G47" s="36">
        <f>SUM($I$8:I46)</f>
        <v/>
      </c>
      <c r="H47" s="71">
        <f>Curve_Solver!$B$203</f>
        <v/>
      </c>
      <c r="I47" s="36">
        <f>F47*H47</f>
        <v/>
      </c>
      <c r="J47" s="17">
        <f>-LN(H47)/C47*100</f>
        <v/>
      </c>
      <c r="K47" s="17">
        <f>(H46/H47-1)/((B47-B46)/360)*100</f>
        <v/>
      </c>
      <c r="L47" s="30" t="n"/>
      <c r="M47" s="28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6">
        <f>(G47+F47*H47)</f>
        <v/>
      </c>
      <c r="T47" s="63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  <c r="X47" s="63">
        <f>IFERROR(INDEX(S490_Snapshot!$C$7:$C$38,MATCH(B47,S490_Snapshot!$A$7:$A$38,0)),"")</f>
        <v/>
      </c>
      <c r="Y47" s="89">
        <f>IF(OR(X47="",NOT(ISNUMBER(E47))),"",(E47-X47)*100)</f>
        <v/>
      </c>
    </row>
    <row r="48">
      <c r="A48" s="6" t="inlineStr">
        <is>
          <t>26Y</t>
        </is>
      </c>
      <c r="B48" s="112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34">
        <f>(B48-VAL_DATE)/365</f>
        <v/>
      </c>
      <c r="D48" s="34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34">
        <f>(B48-$B$47)/360</f>
        <v/>
      </c>
      <c r="G48" s="36">
        <f>SUM($I$8:I47)</f>
        <v/>
      </c>
      <c r="H48" s="29">
        <f>H47*(H52/H47)^((C48-C47)/(C52-C47))</f>
        <v/>
      </c>
      <c r="I48" s="36">
        <f>F48*H48</f>
        <v/>
      </c>
      <c r="J48" s="17">
        <f>-LN(H48)/C48*100</f>
        <v/>
      </c>
      <c r="K48" s="17">
        <f>(H47/H48-1)/((B48-B47)/360)*100</f>
        <v/>
      </c>
      <c r="L48" s="30" t="n"/>
      <c r="M48" s="28">
        <f>IF(L48="","",(J48-L48)*100)</f>
        <v/>
      </c>
      <c r="N48" s="6" t="inlineStr">
        <is>
          <t>interp</t>
        </is>
      </c>
      <c r="S48" s="36">
        <f>(G48+F48*H48)</f>
        <v/>
      </c>
      <c r="T48" s="63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  <c r="X48" s="63">
        <f>IFERROR(INDEX(S490_Snapshot!$C$7:$C$38,MATCH(B48,S490_Snapshot!$A$7:$A$38,0)),"")</f>
        <v/>
      </c>
      <c r="Y48" s="89">
        <f>IF(OR(X48="",NOT(ISNUMBER(E48))),"",(E48-X48)*100)</f>
        <v/>
      </c>
    </row>
    <row r="49">
      <c r="A49" s="6" t="inlineStr">
        <is>
          <t>27Y</t>
        </is>
      </c>
      <c r="B49" s="112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34">
        <f>(B49-VAL_DATE)/365</f>
        <v/>
      </c>
      <c r="D49" s="34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34">
        <f>(B49-$B$48)/360</f>
        <v/>
      </c>
      <c r="G49" s="36">
        <f>SUM($I$8:I48)</f>
        <v/>
      </c>
      <c r="H49" s="29">
        <f>H47*(H52/H47)^((C49-C47)/(C52-C47))</f>
        <v/>
      </c>
      <c r="I49" s="36">
        <f>F49*H49</f>
        <v/>
      </c>
      <c r="J49" s="17">
        <f>-LN(H49)/C49*100</f>
        <v/>
      </c>
      <c r="K49" s="17">
        <f>(H48/H49-1)/((B49-B48)/360)*100</f>
        <v/>
      </c>
      <c r="L49" s="30" t="n"/>
      <c r="M49" s="28">
        <f>IF(L49="","",(J49-L49)*100)</f>
        <v/>
      </c>
      <c r="N49" s="6" t="inlineStr">
        <is>
          <t>interp</t>
        </is>
      </c>
      <c r="S49" s="36">
        <f>(G49+F49*H49)</f>
        <v/>
      </c>
      <c r="T49" s="63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  <c r="X49" s="63">
        <f>IFERROR(INDEX(S490_Snapshot!$C$7:$C$38,MATCH(B49,S490_Snapshot!$A$7:$A$38,0)),"")</f>
        <v/>
      </c>
      <c r="Y49" s="89">
        <f>IF(OR(X49="",NOT(ISNUMBER(E49))),"",(E49-X49)*100)</f>
        <v/>
      </c>
    </row>
    <row r="50">
      <c r="A50" s="6" t="inlineStr">
        <is>
          <t>28Y</t>
        </is>
      </c>
      <c r="B50" s="112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34">
        <f>(B50-VAL_DATE)/365</f>
        <v/>
      </c>
      <c r="D50" s="34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34">
        <f>(B50-$B$49)/360</f>
        <v/>
      </c>
      <c r="G50" s="36">
        <f>SUM($I$8:I49)</f>
        <v/>
      </c>
      <c r="H50" s="29">
        <f>H47*(H52/H47)^((C50-C47)/(C52-C47))</f>
        <v/>
      </c>
      <c r="I50" s="36">
        <f>F50*H50</f>
        <v/>
      </c>
      <c r="J50" s="17">
        <f>-LN(H50)/C50*100</f>
        <v/>
      </c>
      <c r="K50" s="17">
        <f>(H49/H50-1)/((B50-B49)/360)*100</f>
        <v/>
      </c>
      <c r="L50" s="30" t="n"/>
      <c r="M50" s="28">
        <f>IF(L50="","",(J50-L50)*100)</f>
        <v/>
      </c>
      <c r="N50" s="6" t="inlineStr">
        <is>
          <t>interp</t>
        </is>
      </c>
      <c r="S50" s="36">
        <f>(G50+F50*H50)</f>
        <v/>
      </c>
      <c r="T50" s="63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  <c r="X50" s="63">
        <f>IFERROR(INDEX(S490_Snapshot!$C$7:$C$38,MATCH(B50,S490_Snapshot!$A$7:$A$38,0)),"")</f>
        <v/>
      </c>
      <c r="Y50" s="89">
        <f>IF(OR(X50="",NOT(ISNUMBER(E50))),"",(E50-X50)*100)</f>
        <v/>
      </c>
    </row>
    <row r="51">
      <c r="A51" s="6" t="inlineStr">
        <is>
          <t>29Y</t>
        </is>
      </c>
      <c r="B51" s="112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34">
        <f>(B51-VAL_DATE)/365</f>
        <v/>
      </c>
      <c r="D51" s="34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34">
        <f>(B51-$B$50)/360</f>
        <v/>
      </c>
      <c r="G51" s="36">
        <f>SUM($I$8:I50)</f>
        <v/>
      </c>
      <c r="H51" s="29">
        <f>H47*(H52/H47)^((C51-C47)/(C52-C47))</f>
        <v/>
      </c>
      <c r="I51" s="36">
        <f>F51*H51</f>
        <v/>
      </c>
      <c r="J51" s="17">
        <f>-LN(H51)/C51*100</f>
        <v/>
      </c>
      <c r="K51" s="17">
        <f>(H50/H51-1)/((B51-B50)/360)*100</f>
        <v/>
      </c>
      <c r="L51" s="30" t="n"/>
      <c r="M51" s="28">
        <f>IF(L51="","",(J51-L51)*100)</f>
        <v/>
      </c>
      <c r="N51" s="6" t="inlineStr">
        <is>
          <t>interp</t>
        </is>
      </c>
      <c r="S51" s="36">
        <f>(G51+F51*H51)</f>
        <v/>
      </c>
      <c r="T51" s="63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  <c r="X51" s="63">
        <f>IFERROR(INDEX(S490_Snapshot!$C$7:$C$38,MATCH(B51,S490_Snapshot!$A$7:$A$38,0)),"")</f>
        <v/>
      </c>
      <c r="Y51" s="89">
        <f>IF(OR(X51="",NOT(ISNUMBER(E51))),"",(E51-X51)*100)</f>
        <v/>
      </c>
    </row>
    <row r="52">
      <c r="A52" s="6" t="inlineStr">
        <is>
          <t>30Y</t>
        </is>
      </c>
      <c r="B52" s="112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34">
        <f>(B52-VAL_DATE)/365</f>
        <v/>
      </c>
      <c r="D52" s="34">
        <f>(B52-$B$4)/360</f>
        <v/>
      </c>
      <c r="E52" s="17">
        <f>'SOFR_OIS_Quotes'!$H34</f>
        <v/>
      </c>
      <c r="F52" s="34">
        <f>(B52-$B$51)/360</f>
        <v/>
      </c>
      <c r="G52" s="36">
        <f>SUM($I$8:I51)</f>
        <v/>
      </c>
      <c r="H52" s="71">
        <f>Curve_Solver!$B$253</f>
        <v/>
      </c>
      <c r="I52" s="36">
        <f>F52*H52</f>
        <v/>
      </c>
      <c r="J52" s="17">
        <f>-LN(H52)/C52*100</f>
        <v/>
      </c>
      <c r="K52" s="17">
        <f>(H51/H52-1)/((B52-B51)/360)*100</f>
        <v/>
      </c>
      <c r="L52" s="30" t="n"/>
      <c r="M52" s="28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6">
        <f>(G52+F52*H52)</f>
        <v/>
      </c>
      <c r="T52" s="63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  <c r="X52" s="63">
        <f>IFERROR(INDEX(S490_Snapshot!$C$7:$C$38,MATCH(B52,S490_Snapshot!$A$7:$A$38,0)),"")</f>
        <v/>
      </c>
      <c r="Y52" s="89">
        <f>IF(OR(X52="",NOT(ISNUMBER(E52))),"",(E52-X52)*100)</f>
        <v/>
      </c>
    </row>
    <row r="53">
      <c r="A53" s="6" t="inlineStr">
        <is>
          <t>31Y</t>
        </is>
      </c>
      <c r="B53" s="112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34">
        <f>(B53-VAL_DATE)/365</f>
        <v/>
      </c>
      <c r="D53" s="34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34">
        <f>(B53-$B$52)/360</f>
        <v/>
      </c>
      <c r="G53" s="36">
        <f>SUM($I$8:I52)</f>
        <v/>
      </c>
      <c r="H53" s="29">
        <f>H52*(H62/H52)^((C53-C52)/(C62-C52))</f>
        <v/>
      </c>
      <c r="I53" s="36">
        <f>F53*H53</f>
        <v/>
      </c>
      <c r="J53" s="17">
        <f>-LN(H53)/C53*100</f>
        <v/>
      </c>
      <c r="K53" s="17">
        <f>(H52/H53-1)/((B53-B52)/360)*100</f>
        <v/>
      </c>
      <c r="L53" s="30" t="n"/>
      <c r="M53" s="28">
        <f>IF(L53="","",(J53-L53)*100)</f>
        <v/>
      </c>
      <c r="N53" s="6" t="inlineStr">
        <is>
          <t>interp</t>
        </is>
      </c>
      <c r="S53" s="36">
        <f>(G53+F53*H53)</f>
        <v/>
      </c>
      <c r="T53" s="63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  <c r="X53" s="63">
        <f>IFERROR(INDEX(S490_Snapshot!$C$7:$C$38,MATCH(B53,S490_Snapshot!$A$7:$A$38,0)),"")</f>
        <v/>
      </c>
      <c r="Y53" s="89">
        <f>IF(OR(X53="",NOT(ISNUMBER(E53))),"",(E53-X53)*100)</f>
        <v/>
      </c>
    </row>
    <row r="54">
      <c r="A54" s="6" t="inlineStr">
        <is>
          <t>32Y</t>
        </is>
      </c>
      <c r="B54" s="112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34">
        <f>(B54-VAL_DATE)/365</f>
        <v/>
      </c>
      <c r="D54" s="34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34">
        <f>(B54-$B$53)/360</f>
        <v/>
      </c>
      <c r="G54" s="36">
        <f>SUM($I$8:I53)</f>
        <v/>
      </c>
      <c r="H54" s="29">
        <f>H52*(H62/H52)^((C54-C52)/(C62-C52))</f>
        <v/>
      </c>
      <c r="I54" s="36">
        <f>F54*H54</f>
        <v/>
      </c>
      <c r="J54" s="17">
        <f>-LN(H54)/C54*100</f>
        <v/>
      </c>
      <c r="K54" s="17">
        <f>(H53/H54-1)/((B54-B53)/360)*100</f>
        <v/>
      </c>
      <c r="L54" s="30" t="n"/>
      <c r="M54" s="28">
        <f>IF(L54="","",(J54-L54)*100)</f>
        <v/>
      </c>
      <c r="N54" s="6" t="inlineStr">
        <is>
          <t>interp</t>
        </is>
      </c>
      <c r="S54" s="36">
        <f>(G54+F54*H54)</f>
        <v/>
      </c>
      <c r="T54" s="63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  <c r="X54" s="63">
        <f>IFERROR(INDEX(S490_Snapshot!$C$7:$C$38,MATCH(B54,S490_Snapshot!$A$7:$A$38,0)),"")</f>
        <v/>
      </c>
      <c r="Y54" s="89">
        <f>IF(OR(X54="",NOT(ISNUMBER(E54))),"",(E54-X54)*100)</f>
        <v/>
      </c>
    </row>
    <row r="55">
      <c r="A55" s="6" t="inlineStr">
        <is>
          <t>33Y</t>
        </is>
      </c>
      <c r="B55" s="112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34">
        <f>(B55-VAL_DATE)/365</f>
        <v/>
      </c>
      <c r="D55" s="34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34">
        <f>(B55-$B$54)/360</f>
        <v/>
      </c>
      <c r="G55" s="36">
        <f>SUM($I$8:I54)</f>
        <v/>
      </c>
      <c r="H55" s="29">
        <f>H52*(H62/H52)^((C55-C52)/(C62-C52))</f>
        <v/>
      </c>
      <c r="I55" s="36">
        <f>F55*H55</f>
        <v/>
      </c>
      <c r="J55" s="17">
        <f>-LN(H55)/C55*100</f>
        <v/>
      </c>
      <c r="K55" s="17">
        <f>(H54/H55-1)/((B55-B54)/360)*100</f>
        <v/>
      </c>
      <c r="L55" s="30" t="n"/>
      <c r="M55" s="28">
        <f>IF(L55="","",(J55-L55)*100)</f>
        <v/>
      </c>
      <c r="N55" s="6" t="inlineStr">
        <is>
          <t>interp</t>
        </is>
      </c>
      <c r="S55" s="36">
        <f>(G55+F55*H55)</f>
        <v/>
      </c>
      <c r="T55" s="63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  <c r="X55" s="63">
        <f>IFERROR(INDEX(S490_Snapshot!$C$7:$C$38,MATCH(B55,S490_Snapshot!$A$7:$A$38,0)),"")</f>
        <v/>
      </c>
      <c r="Y55" s="89">
        <f>IF(OR(X55="",NOT(ISNUMBER(E55))),"",(E55-X55)*100)</f>
        <v/>
      </c>
    </row>
    <row r="56">
      <c r="A56" s="6" t="inlineStr">
        <is>
          <t>34Y</t>
        </is>
      </c>
      <c r="B56" s="112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34">
        <f>(B56-VAL_DATE)/365</f>
        <v/>
      </c>
      <c r="D56" s="34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34">
        <f>(B56-$B$55)/360</f>
        <v/>
      </c>
      <c r="G56" s="36">
        <f>SUM($I$8:I55)</f>
        <v/>
      </c>
      <c r="H56" s="29">
        <f>H52*(H62/H52)^((C56-C52)/(C62-C52))</f>
        <v/>
      </c>
      <c r="I56" s="36">
        <f>F56*H56</f>
        <v/>
      </c>
      <c r="J56" s="17">
        <f>-LN(H56)/C56*100</f>
        <v/>
      </c>
      <c r="K56" s="17">
        <f>(H55/H56-1)/((B56-B55)/360)*100</f>
        <v/>
      </c>
      <c r="L56" s="30" t="n"/>
      <c r="M56" s="28">
        <f>IF(L56="","",(J56-L56)*100)</f>
        <v/>
      </c>
      <c r="N56" s="6" t="inlineStr">
        <is>
          <t>interp</t>
        </is>
      </c>
      <c r="S56" s="36">
        <f>(G56+F56*H56)</f>
        <v/>
      </c>
      <c r="T56" s="63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  <c r="X56" s="63">
        <f>IFERROR(INDEX(S490_Snapshot!$C$7:$C$38,MATCH(B56,S490_Snapshot!$A$7:$A$38,0)),"")</f>
        <v/>
      </c>
      <c r="Y56" s="89">
        <f>IF(OR(X56="",NOT(ISNUMBER(E56))),"",(E56-X56)*100)</f>
        <v/>
      </c>
    </row>
    <row r="57">
      <c r="A57" s="6" t="inlineStr">
        <is>
          <t>35Y</t>
        </is>
      </c>
      <c r="B57" s="112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34">
        <f>(B57-VAL_DATE)/365</f>
        <v/>
      </c>
      <c r="D57" s="34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34">
        <f>(B57-$B$56)/360</f>
        <v/>
      </c>
      <c r="G57" s="36">
        <f>SUM($I$8:I56)</f>
        <v/>
      </c>
      <c r="H57" s="29">
        <f>H52*(H62/H52)^((C57-C52)/(C62-C52))</f>
        <v/>
      </c>
      <c r="I57" s="36">
        <f>F57*H57</f>
        <v/>
      </c>
      <c r="J57" s="17">
        <f>-LN(H57)/C57*100</f>
        <v/>
      </c>
      <c r="K57" s="17">
        <f>(H56/H57-1)/((B57-B56)/360)*100</f>
        <v/>
      </c>
      <c r="L57" s="30" t="n"/>
      <c r="M57" s="28">
        <f>IF(L57="","",(J57-L57)*100)</f>
        <v/>
      </c>
      <c r="N57" s="6" t="inlineStr">
        <is>
          <t>interp</t>
        </is>
      </c>
      <c r="S57" s="36">
        <f>(G57+F57*H57)</f>
        <v/>
      </c>
      <c r="T57" s="63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  <c r="X57" s="63">
        <f>IFERROR(INDEX(S490_Snapshot!$C$7:$C$38,MATCH(B57,S490_Snapshot!$A$7:$A$38,0)),"")</f>
        <v/>
      </c>
      <c r="Y57" s="89">
        <f>IF(OR(X57="",NOT(ISNUMBER(E57))),"",(E57-X57)*100)</f>
        <v/>
      </c>
    </row>
    <row r="58">
      <c r="A58" s="6" t="inlineStr">
        <is>
          <t>36Y</t>
        </is>
      </c>
      <c r="B58" s="112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34">
        <f>(B58-VAL_DATE)/365</f>
        <v/>
      </c>
      <c r="D58" s="34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34">
        <f>(B58-$B$57)/360</f>
        <v/>
      </c>
      <c r="G58" s="36">
        <f>SUM($I$8:I57)</f>
        <v/>
      </c>
      <c r="H58" s="29">
        <f>H52*(H62/H52)^((C58-C52)/(C62-C52))</f>
        <v/>
      </c>
      <c r="I58" s="36">
        <f>F58*H58</f>
        <v/>
      </c>
      <c r="J58" s="17">
        <f>-LN(H58)/C58*100</f>
        <v/>
      </c>
      <c r="K58" s="17">
        <f>(H57/H58-1)/((B58-B57)/360)*100</f>
        <v/>
      </c>
      <c r="L58" s="30" t="n"/>
      <c r="M58" s="28">
        <f>IF(L58="","",(J58-L58)*100)</f>
        <v/>
      </c>
      <c r="N58" s="6" t="inlineStr">
        <is>
          <t>interp</t>
        </is>
      </c>
      <c r="S58" s="36">
        <f>(G58+F58*H58)</f>
        <v/>
      </c>
      <c r="T58" s="63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  <c r="X58" s="63">
        <f>IFERROR(INDEX(S490_Snapshot!$C$7:$C$38,MATCH(B58,S490_Snapshot!$A$7:$A$38,0)),"")</f>
        <v/>
      </c>
      <c r="Y58" s="89">
        <f>IF(OR(X58="",NOT(ISNUMBER(E58))),"",(E58-X58)*100)</f>
        <v/>
      </c>
    </row>
    <row r="59">
      <c r="A59" s="6" t="inlineStr">
        <is>
          <t>37Y</t>
        </is>
      </c>
      <c r="B59" s="112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34">
        <f>(B59-VAL_DATE)/365</f>
        <v/>
      </c>
      <c r="D59" s="34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34">
        <f>(B59-$B$58)/360</f>
        <v/>
      </c>
      <c r="G59" s="36">
        <f>SUM($I$8:I58)</f>
        <v/>
      </c>
      <c r="H59" s="29">
        <f>H52*(H62/H52)^((C59-C52)/(C62-C52))</f>
        <v/>
      </c>
      <c r="I59" s="36">
        <f>F59*H59</f>
        <v/>
      </c>
      <c r="J59" s="17">
        <f>-LN(H59)/C59*100</f>
        <v/>
      </c>
      <c r="K59" s="17">
        <f>(H58/H59-1)/((B59-B58)/360)*100</f>
        <v/>
      </c>
      <c r="L59" s="30" t="n"/>
      <c r="M59" s="28">
        <f>IF(L59="","",(J59-L59)*100)</f>
        <v/>
      </c>
      <c r="N59" s="6" t="inlineStr">
        <is>
          <t>interp</t>
        </is>
      </c>
      <c r="S59" s="36">
        <f>(G59+F59*H59)</f>
        <v/>
      </c>
      <c r="T59" s="63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  <c r="X59" s="63">
        <f>IFERROR(INDEX(S490_Snapshot!$C$7:$C$38,MATCH(B59,S490_Snapshot!$A$7:$A$38,0)),"")</f>
        <v/>
      </c>
      <c r="Y59" s="89">
        <f>IF(OR(X59="",NOT(ISNUMBER(E59))),"",(E59-X59)*100)</f>
        <v/>
      </c>
    </row>
    <row r="60">
      <c r="A60" s="6" t="inlineStr">
        <is>
          <t>38Y</t>
        </is>
      </c>
      <c r="B60" s="112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34">
        <f>(B60-VAL_DATE)/365</f>
        <v/>
      </c>
      <c r="D60" s="34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34">
        <f>(B60-$B$59)/360</f>
        <v/>
      </c>
      <c r="G60" s="36">
        <f>SUM($I$8:I59)</f>
        <v/>
      </c>
      <c r="H60" s="29">
        <f>H52*(H62/H52)^((C60-C52)/(C62-C52))</f>
        <v/>
      </c>
      <c r="I60" s="36">
        <f>F60*H60</f>
        <v/>
      </c>
      <c r="J60" s="17">
        <f>-LN(H60)/C60*100</f>
        <v/>
      </c>
      <c r="K60" s="17">
        <f>(H59/H60-1)/((B60-B59)/360)*100</f>
        <v/>
      </c>
      <c r="L60" s="30" t="n"/>
      <c r="M60" s="28">
        <f>IF(L60="","",(J60-L60)*100)</f>
        <v/>
      </c>
      <c r="N60" s="6" t="inlineStr">
        <is>
          <t>interp</t>
        </is>
      </c>
      <c r="S60" s="36">
        <f>(G60+F60*H60)</f>
        <v/>
      </c>
      <c r="T60" s="63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  <c r="X60" s="63">
        <f>IFERROR(INDEX(S490_Snapshot!$C$7:$C$38,MATCH(B60,S490_Snapshot!$A$7:$A$38,0)),"")</f>
        <v/>
      </c>
      <c r="Y60" s="89">
        <f>IF(OR(X60="",NOT(ISNUMBER(E60))),"",(E60-X60)*100)</f>
        <v/>
      </c>
    </row>
    <row r="61">
      <c r="A61" s="6" t="inlineStr">
        <is>
          <t>39Y</t>
        </is>
      </c>
      <c r="B61" s="112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34">
        <f>(B61-VAL_DATE)/365</f>
        <v/>
      </c>
      <c r="D61" s="34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34">
        <f>(B61-$B$60)/360</f>
        <v/>
      </c>
      <c r="G61" s="36">
        <f>SUM($I$8:I60)</f>
        <v/>
      </c>
      <c r="H61" s="29">
        <f>H52*(H62/H52)^((C61-C52)/(C62-C52))</f>
        <v/>
      </c>
      <c r="I61" s="36">
        <f>F61*H61</f>
        <v/>
      </c>
      <c r="J61" s="17">
        <f>-LN(H61)/C61*100</f>
        <v/>
      </c>
      <c r="K61" s="17">
        <f>(H60/H61-1)/((B61-B60)/360)*100</f>
        <v/>
      </c>
      <c r="L61" s="30" t="n"/>
      <c r="M61" s="28">
        <f>IF(L61="","",(J61-L61)*100)</f>
        <v/>
      </c>
      <c r="N61" s="6" t="inlineStr">
        <is>
          <t>interp</t>
        </is>
      </c>
      <c r="S61" s="36">
        <f>(G61+F61*H61)</f>
        <v/>
      </c>
      <c r="T61" s="63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  <c r="X61" s="63">
        <f>IFERROR(INDEX(S490_Snapshot!$C$7:$C$38,MATCH(B61,S490_Snapshot!$A$7:$A$38,0)),"")</f>
        <v/>
      </c>
      <c r="Y61" s="89">
        <f>IF(OR(X61="",NOT(ISNUMBER(E61))),"",(E61-X61)*100)</f>
        <v/>
      </c>
    </row>
    <row r="62">
      <c r="A62" s="6" t="inlineStr">
        <is>
          <t>40Y</t>
        </is>
      </c>
      <c r="B62" s="112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34">
        <f>(B62-VAL_DATE)/365</f>
        <v/>
      </c>
      <c r="D62" s="34">
        <f>(B62-$B$4)/360</f>
        <v/>
      </c>
      <c r="E62" s="17">
        <f>'SOFR_OIS_Quotes'!$H35</f>
        <v/>
      </c>
      <c r="F62" s="34">
        <f>(B62-$B$61)/360</f>
        <v/>
      </c>
      <c r="G62" s="36">
        <f>SUM($I$8:I61)</f>
        <v/>
      </c>
      <c r="H62" s="71">
        <f>Curve_Solver!$B$303</f>
        <v/>
      </c>
      <c r="I62" s="36">
        <f>F62*H62</f>
        <v/>
      </c>
      <c r="J62" s="17">
        <f>-LN(H62)/C62*100</f>
        <v/>
      </c>
      <c r="K62" s="17">
        <f>(H61/H62-1)/((B62-B61)/360)*100</f>
        <v/>
      </c>
      <c r="L62" s="30" t="n"/>
      <c r="M62" s="28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6">
        <f>(G62+F62*H62)</f>
        <v/>
      </c>
      <c r="T62" s="63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  <c r="X62" s="63">
        <f>IFERROR(INDEX(S490_Snapshot!$C$7:$C$38,MATCH(B62,S490_Snapshot!$A$7:$A$38,0)),"")</f>
        <v/>
      </c>
      <c r="Y62" s="89">
        <f>IF(OR(X62="",NOT(ISNUMBER(E62))),"",(E62-X62)*100)</f>
        <v/>
      </c>
    </row>
    <row r="63">
      <c r="A63" s="6" t="inlineStr">
        <is>
          <t>41Y</t>
        </is>
      </c>
      <c r="B63" s="112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34">
        <f>(B63-VAL_DATE)/365</f>
        <v/>
      </c>
      <c r="D63" s="34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34">
        <f>(B63-$B$62)/360</f>
        <v/>
      </c>
      <c r="G63" s="36">
        <f>SUM($I$8:I62)</f>
        <v/>
      </c>
      <c r="H63" s="29">
        <f>H62*(H72/H62)^((C63-C62)/(C72-C62))</f>
        <v/>
      </c>
      <c r="I63" s="36">
        <f>F63*H63</f>
        <v/>
      </c>
      <c r="J63" s="17">
        <f>-LN(H63)/C63*100</f>
        <v/>
      </c>
      <c r="K63" s="17">
        <f>(H62/H63-1)/((B63-B62)/360)*100</f>
        <v/>
      </c>
      <c r="L63" s="30" t="n"/>
      <c r="M63" s="28">
        <f>IF(L63="","",(J63-L63)*100)</f>
        <v/>
      </c>
      <c r="N63" s="6" t="inlineStr">
        <is>
          <t>interp</t>
        </is>
      </c>
      <c r="S63" s="36">
        <f>(G63+F63*H63)</f>
        <v/>
      </c>
      <c r="T63" s="63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  <c r="X63" s="63">
        <f>IFERROR(INDEX(S490_Snapshot!$C$7:$C$38,MATCH(B63,S490_Snapshot!$A$7:$A$38,0)),"")</f>
        <v/>
      </c>
      <c r="Y63" s="89">
        <f>IF(OR(X63="",NOT(ISNUMBER(E63))),"",(E63-X63)*100)</f>
        <v/>
      </c>
    </row>
    <row r="64">
      <c r="A64" s="6" t="inlineStr">
        <is>
          <t>42Y</t>
        </is>
      </c>
      <c r="B64" s="112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34">
        <f>(B64-VAL_DATE)/365</f>
        <v/>
      </c>
      <c r="D64" s="34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34">
        <f>(B64-$B$63)/360</f>
        <v/>
      </c>
      <c r="G64" s="36">
        <f>SUM($I$8:I63)</f>
        <v/>
      </c>
      <c r="H64" s="29">
        <f>H62*(H72/H62)^((C64-C62)/(C72-C62))</f>
        <v/>
      </c>
      <c r="I64" s="36">
        <f>F64*H64</f>
        <v/>
      </c>
      <c r="J64" s="17">
        <f>-LN(H64)/C64*100</f>
        <v/>
      </c>
      <c r="K64" s="17">
        <f>(H63/H64-1)/((B64-B63)/360)*100</f>
        <v/>
      </c>
      <c r="L64" s="30" t="n"/>
      <c r="M64" s="28">
        <f>IF(L64="","",(J64-L64)*100)</f>
        <v/>
      </c>
      <c r="N64" s="6" t="inlineStr">
        <is>
          <t>interp</t>
        </is>
      </c>
      <c r="S64" s="36">
        <f>(G64+F64*H64)</f>
        <v/>
      </c>
      <c r="T64" s="63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  <c r="X64" s="63">
        <f>IFERROR(INDEX(S490_Snapshot!$C$7:$C$38,MATCH(B64,S490_Snapshot!$A$7:$A$38,0)),"")</f>
        <v/>
      </c>
      <c r="Y64" s="89">
        <f>IF(OR(X64="",NOT(ISNUMBER(E64))),"",(E64-X64)*100)</f>
        <v/>
      </c>
    </row>
    <row r="65">
      <c r="A65" s="6" t="inlineStr">
        <is>
          <t>43Y</t>
        </is>
      </c>
      <c r="B65" s="112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34">
        <f>(B65-VAL_DATE)/365</f>
        <v/>
      </c>
      <c r="D65" s="34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34">
        <f>(B65-$B$64)/360</f>
        <v/>
      </c>
      <c r="G65" s="36">
        <f>SUM($I$8:I64)</f>
        <v/>
      </c>
      <c r="H65" s="29">
        <f>H62*(H72/H62)^((C65-C62)/(C72-C62))</f>
        <v/>
      </c>
      <c r="I65" s="36">
        <f>F65*H65</f>
        <v/>
      </c>
      <c r="J65" s="17">
        <f>-LN(H65)/C65*100</f>
        <v/>
      </c>
      <c r="K65" s="17">
        <f>(H64/H65-1)/((B65-B64)/360)*100</f>
        <v/>
      </c>
      <c r="L65" s="30" t="n"/>
      <c r="M65" s="28">
        <f>IF(L65="","",(J65-L65)*100)</f>
        <v/>
      </c>
      <c r="N65" s="6" t="inlineStr">
        <is>
          <t>interp</t>
        </is>
      </c>
      <c r="S65" s="36">
        <f>(G65+F65*H65)</f>
        <v/>
      </c>
      <c r="T65" s="63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  <c r="X65" s="63">
        <f>IFERROR(INDEX(S490_Snapshot!$C$7:$C$38,MATCH(B65,S490_Snapshot!$A$7:$A$38,0)),"")</f>
        <v/>
      </c>
      <c r="Y65" s="89">
        <f>IF(OR(X65="",NOT(ISNUMBER(E65))),"",(E65-X65)*100)</f>
        <v/>
      </c>
    </row>
    <row r="66">
      <c r="A66" s="6" t="inlineStr">
        <is>
          <t>44Y</t>
        </is>
      </c>
      <c r="B66" s="112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34">
        <f>(B66-VAL_DATE)/365</f>
        <v/>
      </c>
      <c r="D66" s="34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34">
        <f>(B66-$B$65)/360</f>
        <v/>
      </c>
      <c r="G66" s="36">
        <f>SUM($I$8:I65)</f>
        <v/>
      </c>
      <c r="H66" s="29">
        <f>H62*(H72/H62)^((C66-C62)/(C72-C62))</f>
        <v/>
      </c>
      <c r="I66" s="36">
        <f>F66*H66</f>
        <v/>
      </c>
      <c r="J66" s="17">
        <f>-LN(H66)/C66*100</f>
        <v/>
      </c>
      <c r="K66" s="17">
        <f>(H65/H66-1)/((B66-B65)/360)*100</f>
        <v/>
      </c>
      <c r="L66" s="30" t="n"/>
      <c r="M66" s="28">
        <f>IF(L66="","",(J66-L66)*100)</f>
        <v/>
      </c>
      <c r="N66" s="6" t="inlineStr">
        <is>
          <t>interp</t>
        </is>
      </c>
      <c r="S66" s="36">
        <f>(G66+F66*H66)</f>
        <v/>
      </c>
      <c r="T66" s="63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  <c r="X66" s="63">
        <f>IFERROR(INDEX(S490_Snapshot!$C$7:$C$38,MATCH(B66,S490_Snapshot!$A$7:$A$38,0)),"")</f>
        <v/>
      </c>
      <c r="Y66" s="89">
        <f>IF(OR(X66="",NOT(ISNUMBER(E66))),"",(E66-X66)*100)</f>
        <v/>
      </c>
    </row>
    <row r="67">
      <c r="A67" s="6" t="inlineStr">
        <is>
          <t>45Y</t>
        </is>
      </c>
      <c r="B67" s="112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34">
        <f>(B67-VAL_DATE)/365</f>
        <v/>
      </c>
      <c r="D67" s="34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34">
        <f>(B67-$B$66)/360</f>
        <v/>
      </c>
      <c r="G67" s="36">
        <f>SUM($I$8:I66)</f>
        <v/>
      </c>
      <c r="H67" s="29">
        <f>H62*(H72/H62)^((C67-C62)/(C72-C62))</f>
        <v/>
      </c>
      <c r="I67" s="36">
        <f>F67*H67</f>
        <v/>
      </c>
      <c r="J67" s="17">
        <f>-LN(H67)/C67*100</f>
        <v/>
      </c>
      <c r="K67" s="17">
        <f>(H66/H67-1)/((B67-B66)/360)*100</f>
        <v/>
      </c>
      <c r="L67" s="30" t="n"/>
      <c r="M67" s="28">
        <f>IF(L67="","",(J67-L67)*100)</f>
        <v/>
      </c>
      <c r="N67" s="6" t="inlineStr">
        <is>
          <t>interp</t>
        </is>
      </c>
      <c r="S67" s="36">
        <f>(G67+F67*H67)</f>
        <v/>
      </c>
      <c r="T67" s="63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  <c r="X67" s="63">
        <f>IFERROR(INDEX(S490_Snapshot!$C$7:$C$38,MATCH(B67,S490_Snapshot!$A$7:$A$38,0)),"")</f>
        <v/>
      </c>
      <c r="Y67" s="89">
        <f>IF(OR(X67="",NOT(ISNUMBER(E67))),"",(E67-X67)*100)</f>
        <v/>
      </c>
    </row>
    <row r="68">
      <c r="A68" s="6" t="inlineStr">
        <is>
          <t>46Y</t>
        </is>
      </c>
      <c r="B68" s="112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34">
        <f>(B68-VAL_DATE)/365</f>
        <v/>
      </c>
      <c r="D68" s="34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34">
        <f>(B68-$B$67)/360</f>
        <v/>
      </c>
      <c r="G68" s="36">
        <f>SUM($I$8:I67)</f>
        <v/>
      </c>
      <c r="H68" s="29">
        <f>H62*(H72/H62)^((C68-C62)/(C72-C62))</f>
        <v/>
      </c>
      <c r="I68" s="36">
        <f>F68*H68</f>
        <v/>
      </c>
      <c r="J68" s="17">
        <f>-LN(H68)/C68*100</f>
        <v/>
      </c>
      <c r="K68" s="17">
        <f>(H67/H68-1)/((B68-B67)/360)*100</f>
        <v/>
      </c>
      <c r="L68" s="30" t="n"/>
      <c r="M68" s="28">
        <f>IF(L68="","",(J68-L68)*100)</f>
        <v/>
      </c>
      <c r="N68" s="6" t="inlineStr">
        <is>
          <t>interp</t>
        </is>
      </c>
      <c r="S68" s="36">
        <f>(G68+F68*H68)</f>
        <v/>
      </c>
      <c r="T68" s="63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  <c r="X68" s="63">
        <f>IFERROR(INDEX(S490_Snapshot!$C$7:$C$38,MATCH(B68,S490_Snapshot!$A$7:$A$38,0)),"")</f>
        <v/>
      </c>
      <c r="Y68" s="89">
        <f>IF(OR(X68="",NOT(ISNUMBER(E68))),"",(E68-X68)*100)</f>
        <v/>
      </c>
    </row>
    <row r="69">
      <c r="A69" s="6" t="inlineStr">
        <is>
          <t>47Y</t>
        </is>
      </c>
      <c r="B69" s="112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34">
        <f>(B69-VAL_DATE)/365</f>
        <v/>
      </c>
      <c r="D69" s="34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34">
        <f>(B69-$B$68)/360</f>
        <v/>
      </c>
      <c r="G69" s="36">
        <f>SUM($I$8:I68)</f>
        <v/>
      </c>
      <c r="H69" s="29">
        <f>H62*(H72/H62)^((C69-C62)/(C72-C62))</f>
        <v/>
      </c>
      <c r="I69" s="36">
        <f>F69*H69</f>
        <v/>
      </c>
      <c r="J69" s="17">
        <f>-LN(H69)/C69*100</f>
        <v/>
      </c>
      <c r="K69" s="17">
        <f>(H68/H69-1)/((B69-B68)/360)*100</f>
        <v/>
      </c>
      <c r="L69" s="30" t="n"/>
      <c r="M69" s="28">
        <f>IF(L69="","",(J69-L69)*100)</f>
        <v/>
      </c>
      <c r="N69" s="6" t="inlineStr">
        <is>
          <t>interp</t>
        </is>
      </c>
      <c r="S69" s="36">
        <f>(G69+F69*H69)</f>
        <v/>
      </c>
      <c r="T69" s="63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  <c r="X69" s="63">
        <f>IFERROR(INDEX(S490_Snapshot!$C$7:$C$38,MATCH(B69,S490_Snapshot!$A$7:$A$38,0)),"")</f>
        <v/>
      </c>
      <c r="Y69" s="89">
        <f>IF(OR(X69="",NOT(ISNUMBER(E69))),"",(E69-X69)*100)</f>
        <v/>
      </c>
    </row>
    <row r="70">
      <c r="A70" s="6" t="inlineStr">
        <is>
          <t>48Y</t>
        </is>
      </c>
      <c r="B70" s="112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34">
        <f>(B70-VAL_DATE)/365</f>
        <v/>
      </c>
      <c r="D70" s="34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34">
        <f>(B70-$B$69)/360</f>
        <v/>
      </c>
      <c r="G70" s="36">
        <f>SUM($I$8:I69)</f>
        <v/>
      </c>
      <c r="H70" s="29">
        <f>H62*(H72/H62)^((C70-C62)/(C72-C62))</f>
        <v/>
      </c>
      <c r="I70" s="36">
        <f>F70*H70</f>
        <v/>
      </c>
      <c r="J70" s="17">
        <f>-LN(H70)/C70*100</f>
        <v/>
      </c>
      <c r="K70" s="17">
        <f>(H69/H70-1)/((B70-B69)/360)*100</f>
        <v/>
      </c>
      <c r="L70" s="30" t="n"/>
      <c r="M70" s="28">
        <f>IF(L70="","",(J70-L70)*100)</f>
        <v/>
      </c>
      <c r="N70" s="6" t="inlineStr">
        <is>
          <t>interp</t>
        </is>
      </c>
      <c r="S70" s="36">
        <f>(G70+F70*H70)</f>
        <v/>
      </c>
      <c r="T70" s="63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  <c r="X70" s="63">
        <f>IFERROR(INDEX(S490_Snapshot!$C$7:$C$38,MATCH(B70,S490_Snapshot!$A$7:$A$38,0)),"")</f>
        <v/>
      </c>
      <c r="Y70" s="89">
        <f>IF(OR(X70="",NOT(ISNUMBER(E70))),"",(E70-X70)*100)</f>
        <v/>
      </c>
    </row>
    <row r="71">
      <c r="A71" s="6" t="inlineStr">
        <is>
          <t>49Y</t>
        </is>
      </c>
      <c r="B71" s="112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34">
        <f>(B71-VAL_DATE)/365</f>
        <v/>
      </c>
      <c r="D71" s="34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34">
        <f>(B71-$B$70)/360</f>
        <v/>
      </c>
      <c r="G71" s="36">
        <f>SUM($I$8:I70)</f>
        <v/>
      </c>
      <c r="H71" s="29">
        <f>H62*(H72/H62)^((C71-C62)/(C72-C62))</f>
        <v/>
      </c>
      <c r="I71" s="36">
        <f>F71*H71</f>
        <v/>
      </c>
      <c r="J71" s="17">
        <f>-LN(H71)/C71*100</f>
        <v/>
      </c>
      <c r="K71" s="17">
        <f>(H70/H71-1)/((B71-B70)/360)*100</f>
        <v/>
      </c>
      <c r="L71" s="30" t="n"/>
      <c r="M71" s="28">
        <f>IF(L71="","",(J71-L71)*100)</f>
        <v/>
      </c>
      <c r="N71" s="6" t="inlineStr">
        <is>
          <t>interp</t>
        </is>
      </c>
      <c r="S71" s="36">
        <f>(G71+F71*H71)</f>
        <v/>
      </c>
      <c r="T71" s="63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  <c r="X71" s="63">
        <f>IFERROR(INDEX(S490_Snapshot!$C$7:$C$38,MATCH(B71,S490_Snapshot!$A$7:$A$38,0)),"")</f>
        <v/>
      </c>
      <c r="Y71" s="89">
        <f>IF(OR(X71="",NOT(ISNUMBER(E71))),"",(E71-X71)*100)</f>
        <v/>
      </c>
    </row>
    <row r="72">
      <c r="A72" s="6" t="inlineStr">
        <is>
          <t>50Y</t>
        </is>
      </c>
      <c r="B72" s="112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34">
        <f>(B72-VAL_DATE)/365</f>
        <v/>
      </c>
      <c r="D72" s="34">
        <f>(B72-$B$4)/360</f>
        <v/>
      </c>
      <c r="E72" s="17">
        <f>'SOFR_OIS_Quotes'!$H36</f>
        <v/>
      </c>
      <c r="F72" s="34">
        <f>(B72-$B$71)/360</f>
        <v/>
      </c>
      <c r="G72" s="36">
        <f>SUM($I$8:I71)</f>
        <v/>
      </c>
      <c r="H72" s="71">
        <f>Curve_Solver!$B$353</f>
        <v/>
      </c>
      <c r="I72" s="36">
        <f>F72*H72</f>
        <v/>
      </c>
      <c r="J72" s="17">
        <f>-LN(H72)/C72*100</f>
        <v/>
      </c>
      <c r="K72" s="17">
        <f>(H71/H72-1)/((B72-B71)/360)*100</f>
        <v/>
      </c>
      <c r="L72" s="30" t="n"/>
      <c r="M72" s="28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6">
        <f>(G72+F72*H72)</f>
        <v/>
      </c>
      <c r="T72" s="63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  <c r="X72" s="63">
        <f>IFERROR(INDEX(S490_Snapshot!$C$7:$C$38,MATCH(B72,S490_Snapshot!$A$7:$A$38,0)),"")</f>
        <v/>
      </c>
      <c r="Y72" s="89">
        <f>IF(OR(X72="",NOT(ISNUMBER(E72))),"",(E72-X72)*100)</f>
        <v/>
      </c>
    </row>
    <row r="74" ht="40" customHeight="1">
      <c r="A74" s="70" t="inlineStr">
        <is>
          <t>12Y+ pillars solved on Curve_Solver. Gap rows keep log-linear DF interpolation. See Method step 6.</t>
        </is>
      </c>
    </row>
    <row r="75">
      <c r="X75" s="67" t="inlineStr">
        <is>
          <t>Pillars</t>
        </is>
      </c>
      <c r="Y75" s="87">
        <f>COUNT(X8:X72)&amp;" / 32"</f>
        <v/>
      </c>
    </row>
    <row r="76">
      <c r="T76" s="67" t="inlineStr">
        <is>
          <t>Pillars matched</t>
        </is>
      </c>
      <c r="U76" s="87">
        <f>COUNT(U8:U72)&amp;" / 32"</f>
        <v/>
      </c>
      <c r="X76" s="67" t="inlineStr">
        <is>
          <t>Max |d| (bp)</t>
        </is>
      </c>
      <c r="Y76" s="90">
        <f>IF(COUNT(Y8:Y72)=0,"",MAX(MAX(Y8:Y72),-MIN(Y8:Y72)))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  <c r="X78" s="65" t="inlineStr">
        <is>
          <t>X is the fixed 07/21/26 capture, always. Y is what the curve is actually using minus that: 0.00 in Fixed mode, the live drift in Live mode. Raw BDP mid and the live-vs-fixed gap are on SOFR_OIS_Quotes T:U.</t>
        </is>
      </c>
    </row>
    <row r="80">
      <c r="T80" s="65" t="inlineStr">
        <is>
          <t>Bootstrap vs S490. Only the 32 quoted pillars match; interpolated gap rows have no counterpart.</t>
        </is>
      </c>
    </row>
  </sheetData>
  <mergeCells count="3">
    <mergeCell ref="A74:N75"/>
    <mergeCell ref="A5:N6"/>
    <mergeCell ref="S6:W6"/>
  </mergeCells>
  <dataValidations count="1">
    <dataValidation sqref="G4" showDropDown="0" showInputMessage="0" showErrorMessage="0" allowBlank="0" type="list">
      <formula1>"Live (BDP),Fixed (S490 07/21/26),Test 1,Test 2,Test 3"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7950B"/>
    <outlinePr summaryBelow="1" summaryRight="1"/>
    <pageSetUpPr/>
  </sheetPr>
  <dimension ref="A1:Q14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2" customWidth="1" min="5" max="5"/>
    <col width="13" customWidth="1" min="6" max="6"/>
    <col width="10" customWidth="1" min="7" max="7"/>
    <col width="30" customWidth="1" min="8" max="8"/>
    <col width="10" customWidth="1" min="9" max="9"/>
    <col width="12" customWidth="1" min="10" max="10"/>
    <col width="12" customWidth="1" min="11" max="11"/>
    <col width="12" customWidth="1" min="12" max="12"/>
    <col width="13" customWidth="1" min="13" max="13"/>
    <col width="10" customWidth="1" min="14" max="14"/>
    <col width="11" customWidth="1" min="15" max="15"/>
    <col width="10" customWidth="1" min="16" max="16"/>
    <col width="11" customWidth="1" min="17" max="17"/>
  </cols>
  <sheetData>
    <row r="1">
      <c r="A1" s="123" t="inlineStr">
        <is>
          <t>Testing — three curve test cases</t>
        </is>
      </c>
    </row>
    <row r="2">
      <c r="A2" s="65" t="inlineStr">
        <is>
          <t>Per case paste four columns off the capture: tenor, swap rate (mid), BBG zero, BBG discount. Curve date once in the block header.</t>
        </is>
      </c>
    </row>
    <row r="3">
      <c r="A3" s="65" t="inlineStr">
        <is>
          <t>The tenor is pasted with each case and dates derive from tenor + that case's curve date, so cases may differ in pillar set or length without shifting.</t>
        </is>
      </c>
    </row>
    <row r="4">
      <c r="A4" s="66" t="inlineStr">
        <is>
          <t>Model columns G:Q are live only for the case selected at Bootstrap!G4 — there is one bootstrap. The other two blocks show dates and pasted data and read 'not active' rather than stale numbers.</t>
        </is>
      </c>
    </row>
    <row r="5">
      <c r="A5" s="123" t="inlineStr">
        <is>
          <t>CURVE TEST CASE 1</t>
        </is>
      </c>
      <c r="B5" s="87">
        <f>Bootstrap!$G$4</f>
        <v/>
      </c>
      <c r="C5" s="65" t="inlineStr">
        <is>
          <t>curve date -&gt;</t>
        </is>
      </c>
      <c r="D5" s="111" t="n"/>
      <c r="E5" s="65" t="inlineStr">
        <is>
          <t>name / time -&gt;</t>
        </is>
      </c>
      <c r="F5" s="68" t="n"/>
    </row>
    <row r="6">
      <c r="C6" s="65" t="inlineStr">
        <is>
          <t>spot (T+2bd) -&gt;</t>
        </is>
      </c>
      <c r="D6" s="128">
        <f>IF($D$5="","",$D$5+2+IF(WEEKDAY($D$5,2)&gt;=4,2,0))</f>
        <v/>
      </c>
      <c r="F6" s="67">
        <f>IF(Bootstrap!$G$4="Test 1","ACTIVE — model columns live","not active")</f>
        <v/>
      </c>
    </row>
    <row r="7" ht="30" customHeight="1">
      <c r="A7" s="145" t="inlineStr">
        <is>
          <t>Tenor</t>
        </is>
      </c>
      <c r="B7" s="145" t="inlineStr">
        <is>
          <t>Swap rate (mid)</t>
        </is>
      </c>
      <c r="C7" s="145" t="inlineStr">
        <is>
          <t>BBG zero %</t>
        </is>
      </c>
      <c r="D7" s="145" t="inlineStr">
        <is>
          <t>BBG discount</t>
        </is>
      </c>
      <c r="E7" s="145" t="inlineStr">
        <is>
          <t>raw date</t>
        </is>
      </c>
      <c r="F7" s="145" t="inlineStr">
        <is>
          <t>Date</t>
        </is>
      </c>
      <c r="G7" s="145" t="inlineStr">
        <is>
          <t>S used %</t>
        </is>
      </c>
      <c r="H7" s="145" t="inlineStr">
        <is>
          <t>Rule</t>
        </is>
      </c>
      <c r="I7" s="145" t="inlineStr">
        <is>
          <t>tau</t>
        </is>
      </c>
      <c r="J7" s="145" t="inlineStr">
        <is>
          <t>A(prior)</t>
        </is>
      </c>
      <c r="K7" s="145" t="inlineStr">
        <is>
          <t>numerator</t>
        </is>
      </c>
      <c r="L7" s="145" t="inlineStr">
        <is>
          <t>denominator</t>
        </is>
      </c>
      <c r="M7" s="145" t="inlineStr">
        <is>
          <t>our DF</t>
        </is>
      </c>
      <c r="N7" s="145" t="inlineStr">
        <is>
          <t>t ACT/365</t>
        </is>
      </c>
      <c r="O7" s="145" t="inlineStr">
        <is>
          <t>our zero %</t>
        </is>
      </c>
      <c r="P7" s="145" t="inlineStr">
        <is>
          <t>d zero bp</t>
        </is>
      </c>
      <c r="Q7" s="145" t="inlineStr">
        <is>
          <t>d DF</t>
        </is>
      </c>
    </row>
    <row r="8">
      <c r="A8" s="68" t="n"/>
      <c r="B8" s="85" t="n"/>
      <c r="C8" s="85" t="n"/>
      <c r="D8" s="69" t="n"/>
      <c r="E8" s="112">
        <f>IF(OR(A8="",$D$6=""),"",IF(RIGHT(A8,1)="W",$D$6+7*VALUE(LEFT(A8,LEN(A8)-1)),IF(RIGHT(A8,1)="M",EDATE($D$6,VALUE(LEFT(A8,LEN(A8)-1))),EDATE($D$6,12*VALUE(LEFT(A8,LEN(A8)-1))))))</f>
        <v/>
      </c>
      <c r="F8" s="112">
        <f>IF(E8="","",IF(MONTH((E8+IF(WEEKDAY(E8,2)=6,2,IF(WEEKDAY(E8,2)=7,1,0))))&lt;&gt;MONTH(E8),(E8-IF(WEEKDAY(E8,2)=6,1,IF(WEEKDAY(E8,2)=7,2,0))),(E8+IF(WEEKDAY(E8,2)=6,2,IF(WEEKDAY(E8,2)=7,1,0)))))</f>
        <v/>
      </c>
      <c r="G8" s="84">
        <f>IF(NOT(Bootstrap!$G$4="Test 1"),"",IFERROR(INDEX(Bootstrap!$E$8:$E$72,MATCH(F8,Bootstrap!$B$8:$B$72,0)),""))</f>
        <v/>
      </c>
      <c r="H8" s="160">
        <f>IF(NOT(Bootstrap!$G$4="Test 1"),"",IFERROR(IF(MATCH(F8,Bootstrap!$B$8:$B$72,0)&lt;=15,"short  DFspot/(1+S*tau)","annual (DFspot-S*A)/(1+S*tau)"),""))</f>
        <v/>
      </c>
      <c r="I8" s="80">
        <f>IF(NOT(Bootstrap!$G$4="Test 1"),"",IFERROR(IF(MATCH(F8,Bootstrap!$B$8:$B$72,0)&lt;=15,INDEX(Bootstrap!$D$8:$D$72,MATCH(F8,Bootstrap!$B$8:$B$72,0)),INDEX(Bootstrap!$F$8:$F$72,MATCH(F8,Bootstrap!$B$8:$B$72,0))),""))</f>
        <v/>
      </c>
      <c r="J8" s="76">
        <f>IF(NOT(Bootstrap!$G$4="Test 1"),"",IFERROR(IF(MATCH(F8,Bootstrap!$B$8:$B$72,0)&lt;=15,0,INDEX(Bootstrap!$G$8:$G$72,MATCH(F8,Bootstrap!$B$8:$B$72,0))),""))</f>
        <v/>
      </c>
      <c r="K8" s="76">
        <f>IF(OR(G8="",I8=""),"",Bootstrap!$D$4-(G8/100)*J8)</f>
        <v/>
      </c>
      <c r="L8" s="76">
        <f>IF(OR(G8="",I8=""),"",1+(G8/100)*I8)</f>
        <v/>
      </c>
      <c r="M8" s="76">
        <f>IF(NOT(Bootstrap!$G$4="Test 1"),"",IFERROR(INDEX(Bootstrap!$H$8:$H$72,MATCH(F8,Bootstrap!$B$8:$B$72,0)),""))</f>
        <v/>
      </c>
      <c r="N8" s="80">
        <f>IF(NOT(Bootstrap!$G$4="Test 1"),"",IFERROR(INDEX(Bootstrap!$C$8:$C$72,MATCH(F8,Bootstrap!$B$8:$B$72,0)),""))</f>
        <v/>
      </c>
      <c r="O8" s="84">
        <f>IF(NOT(Bootstrap!$G$4="Test 1"),"",IFERROR(INDEX(Bootstrap!$J$8:$J$72,MATCH(F8,Bootstrap!$B$8:$B$72,0)),""))</f>
        <v/>
      </c>
      <c r="P8" s="89">
        <f>IF(OR(O8="",NOT(ISNUMBER(C8))),"",(O8-C8)*100)</f>
        <v/>
      </c>
      <c r="Q8" s="72">
        <f>IF(OR(M8="",NOT(ISNUMBER(D8))),"",M8-D8)</f>
        <v/>
      </c>
    </row>
    <row r="9">
      <c r="A9" s="68" t="n"/>
      <c r="B9" s="85" t="n"/>
      <c r="C9" s="85" t="n"/>
      <c r="D9" s="69" t="n"/>
      <c r="E9" s="112">
        <f>IF(OR(A9="",$D$6=""),"",IF(RIGHT(A9,1)="W",$D$6+7*VALUE(LEFT(A9,LEN(A9)-1)),IF(RIGHT(A9,1)="M",EDATE($D$6,VALUE(LEFT(A9,LEN(A9)-1))),EDATE($D$6,12*VALUE(LEFT(A9,LEN(A9)-1))))))</f>
        <v/>
      </c>
      <c r="F9" s="112">
        <f>IF(E9="","",IF(MONTH((E9+IF(WEEKDAY(E9,2)=6,2,IF(WEEKDAY(E9,2)=7,1,0))))&lt;&gt;MONTH(E9),(E9-IF(WEEKDAY(E9,2)=6,1,IF(WEEKDAY(E9,2)=7,2,0))),(E9+IF(WEEKDAY(E9,2)=6,2,IF(WEEKDAY(E9,2)=7,1,0)))))</f>
        <v/>
      </c>
      <c r="G9" s="84">
        <f>IF(NOT(Bootstrap!$G$4="Test 1"),"",IFERROR(INDEX(Bootstrap!$E$8:$E$72,MATCH(F9,Bootstrap!$B$8:$B$72,0)),""))</f>
        <v/>
      </c>
      <c r="H9" s="160">
        <f>IF(NOT(Bootstrap!$G$4="Test 1"),"",IFERROR(IF(MATCH(F9,Bootstrap!$B$8:$B$72,0)&lt;=15,"short  DFspot/(1+S*tau)","annual (DFspot-S*A)/(1+S*tau)"),""))</f>
        <v/>
      </c>
      <c r="I9" s="80">
        <f>IF(NOT(Bootstrap!$G$4="Test 1"),"",IFERROR(IF(MATCH(F9,Bootstrap!$B$8:$B$72,0)&lt;=15,INDEX(Bootstrap!$D$8:$D$72,MATCH(F9,Bootstrap!$B$8:$B$72,0)),INDEX(Bootstrap!$F$8:$F$72,MATCH(F9,Bootstrap!$B$8:$B$72,0))),""))</f>
        <v/>
      </c>
      <c r="J9" s="76">
        <f>IF(NOT(Bootstrap!$G$4="Test 1"),"",IFERROR(IF(MATCH(F9,Bootstrap!$B$8:$B$72,0)&lt;=15,0,INDEX(Bootstrap!$G$8:$G$72,MATCH(F9,Bootstrap!$B$8:$B$72,0))),""))</f>
        <v/>
      </c>
      <c r="K9" s="76">
        <f>IF(OR(G9="",I9=""),"",Bootstrap!$D$4-(G9/100)*J9)</f>
        <v/>
      </c>
      <c r="L9" s="76">
        <f>IF(OR(G9="",I9=""),"",1+(G9/100)*I9)</f>
        <v/>
      </c>
      <c r="M9" s="76">
        <f>IF(NOT(Bootstrap!$G$4="Test 1"),"",IFERROR(INDEX(Bootstrap!$H$8:$H$72,MATCH(F9,Bootstrap!$B$8:$B$72,0)),""))</f>
        <v/>
      </c>
      <c r="N9" s="80">
        <f>IF(NOT(Bootstrap!$G$4="Test 1"),"",IFERROR(INDEX(Bootstrap!$C$8:$C$72,MATCH(F9,Bootstrap!$B$8:$B$72,0)),""))</f>
        <v/>
      </c>
      <c r="O9" s="84">
        <f>IF(NOT(Bootstrap!$G$4="Test 1"),"",IFERROR(INDEX(Bootstrap!$J$8:$J$72,MATCH(F9,Bootstrap!$B$8:$B$72,0)),""))</f>
        <v/>
      </c>
      <c r="P9" s="89">
        <f>IF(OR(O9="",NOT(ISNUMBER(C9))),"",(O9-C9)*100)</f>
        <v/>
      </c>
      <c r="Q9" s="72">
        <f>IF(OR(M9="",NOT(ISNUMBER(D9))),"",M9-D9)</f>
        <v/>
      </c>
    </row>
    <row r="10">
      <c r="A10" s="68" t="n"/>
      <c r="B10" s="85" t="n"/>
      <c r="C10" s="85" t="n"/>
      <c r="D10" s="69" t="n"/>
      <c r="E10" s="112">
        <f>IF(OR(A10="",$D$6=""),"",IF(RIGHT(A10,1)="W",$D$6+7*VALUE(LEFT(A10,LEN(A10)-1)),IF(RIGHT(A10,1)="M",EDATE($D$6,VALUE(LEFT(A10,LEN(A10)-1))),EDATE($D$6,12*VALUE(LEFT(A10,LEN(A10)-1))))))</f>
        <v/>
      </c>
      <c r="F10" s="112">
        <f>IF(E10="","",IF(MONTH((E10+IF(WEEKDAY(E10,2)=6,2,IF(WEEKDAY(E10,2)=7,1,0))))&lt;&gt;MONTH(E10),(E10-IF(WEEKDAY(E10,2)=6,1,IF(WEEKDAY(E10,2)=7,2,0))),(E10+IF(WEEKDAY(E10,2)=6,2,IF(WEEKDAY(E10,2)=7,1,0)))))</f>
        <v/>
      </c>
      <c r="G10" s="84">
        <f>IF(NOT(Bootstrap!$G$4="Test 1"),"",IFERROR(INDEX(Bootstrap!$E$8:$E$72,MATCH(F10,Bootstrap!$B$8:$B$72,0)),""))</f>
        <v/>
      </c>
      <c r="H10" s="160">
        <f>IF(NOT(Bootstrap!$G$4="Test 1"),"",IFERROR(IF(MATCH(F10,Bootstrap!$B$8:$B$72,0)&lt;=15,"short  DFspot/(1+S*tau)","annual (DFspot-S*A)/(1+S*tau)"),""))</f>
        <v/>
      </c>
      <c r="I10" s="80">
        <f>IF(NOT(Bootstrap!$G$4="Test 1"),"",IFERROR(IF(MATCH(F10,Bootstrap!$B$8:$B$72,0)&lt;=15,INDEX(Bootstrap!$D$8:$D$72,MATCH(F10,Bootstrap!$B$8:$B$72,0)),INDEX(Bootstrap!$F$8:$F$72,MATCH(F10,Bootstrap!$B$8:$B$72,0))),""))</f>
        <v/>
      </c>
      <c r="J10" s="76">
        <f>IF(NOT(Bootstrap!$G$4="Test 1"),"",IFERROR(IF(MATCH(F10,Bootstrap!$B$8:$B$72,0)&lt;=15,0,INDEX(Bootstrap!$G$8:$G$72,MATCH(F10,Bootstrap!$B$8:$B$72,0))),""))</f>
        <v/>
      </c>
      <c r="K10" s="76">
        <f>IF(OR(G10="",I10=""),"",Bootstrap!$D$4-(G10/100)*J10)</f>
        <v/>
      </c>
      <c r="L10" s="76">
        <f>IF(OR(G10="",I10=""),"",1+(G10/100)*I10)</f>
        <v/>
      </c>
      <c r="M10" s="76">
        <f>IF(NOT(Bootstrap!$G$4="Test 1"),"",IFERROR(INDEX(Bootstrap!$H$8:$H$72,MATCH(F10,Bootstrap!$B$8:$B$72,0)),""))</f>
        <v/>
      </c>
      <c r="N10" s="80">
        <f>IF(NOT(Bootstrap!$G$4="Test 1"),"",IFERROR(INDEX(Bootstrap!$C$8:$C$72,MATCH(F10,Bootstrap!$B$8:$B$72,0)),""))</f>
        <v/>
      </c>
      <c r="O10" s="84">
        <f>IF(NOT(Bootstrap!$G$4="Test 1"),"",IFERROR(INDEX(Bootstrap!$J$8:$J$72,MATCH(F10,Bootstrap!$B$8:$B$72,0)),""))</f>
        <v/>
      </c>
      <c r="P10" s="89">
        <f>IF(OR(O10="",NOT(ISNUMBER(C10))),"",(O10-C10)*100)</f>
        <v/>
      </c>
      <c r="Q10" s="72">
        <f>IF(OR(M10="",NOT(ISNUMBER(D10))),"",M10-D10)</f>
        <v/>
      </c>
    </row>
    <row r="11">
      <c r="A11" s="68" t="n"/>
      <c r="B11" s="85" t="n"/>
      <c r="C11" s="85" t="n"/>
      <c r="D11" s="69" t="n"/>
      <c r="E11" s="112">
        <f>IF(OR(A11="",$D$6=""),"",IF(RIGHT(A11,1)="W",$D$6+7*VALUE(LEFT(A11,LEN(A11)-1)),IF(RIGHT(A11,1)="M",EDATE($D$6,VALUE(LEFT(A11,LEN(A11)-1))),EDATE($D$6,12*VALUE(LEFT(A11,LEN(A11)-1))))))</f>
        <v/>
      </c>
      <c r="F11" s="112">
        <f>IF(E11="","",IF(MONTH((E11+IF(WEEKDAY(E11,2)=6,2,IF(WEEKDAY(E11,2)=7,1,0))))&lt;&gt;MONTH(E11),(E11-IF(WEEKDAY(E11,2)=6,1,IF(WEEKDAY(E11,2)=7,2,0))),(E11+IF(WEEKDAY(E11,2)=6,2,IF(WEEKDAY(E11,2)=7,1,0)))))</f>
        <v/>
      </c>
      <c r="G11" s="84">
        <f>IF(NOT(Bootstrap!$G$4="Test 1"),"",IFERROR(INDEX(Bootstrap!$E$8:$E$72,MATCH(F11,Bootstrap!$B$8:$B$72,0)),""))</f>
        <v/>
      </c>
      <c r="H11" s="160">
        <f>IF(NOT(Bootstrap!$G$4="Test 1"),"",IFERROR(IF(MATCH(F11,Bootstrap!$B$8:$B$72,0)&lt;=15,"short  DFspot/(1+S*tau)","annual (DFspot-S*A)/(1+S*tau)"),""))</f>
        <v/>
      </c>
      <c r="I11" s="80">
        <f>IF(NOT(Bootstrap!$G$4="Test 1"),"",IFERROR(IF(MATCH(F11,Bootstrap!$B$8:$B$72,0)&lt;=15,INDEX(Bootstrap!$D$8:$D$72,MATCH(F11,Bootstrap!$B$8:$B$72,0)),INDEX(Bootstrap!$F$8:$F$72,MATCH(F11,Bootstrap!$B$8:$B$72,0))),""))</f>
        <v/>
      </c>
      <c r="J11" s="76">
        <f>IF(NOT(Bootstrap!$G$4="Test 1"),"",IFERROR(IF(MATCH(F11,Bootstrap!$B$8:$B$72,0)&lt;=15,0,INDEX(Bootstrap!$G$8:$G$72,MATCH(F11,Bootstrap!$B$8:$B$72,0))),""))</f>
        <v/>
      </c>
      <c r="K11" s="76">
        <f>IF(OR(G11="",I11=""),"",Bootstrap!$D$4-(G11/100)*J11)</f>
        <v/>
      </c>
      <c r="L11" s="76">
        <f>IF(OR(G11="",I11=""),"",1+(G11/100)*I11)</f>
        <v/>
      </c>
      <c r="M11" s="76">
        <f>IF(NOT(Bootstrap!$G$4="Test 1"),"",IFERROR(INDEX(Bootstrap!$H$8:$H$72,MATCH(F11,Bootstrap!$B$8:$B$72,0)),""))</f>
        <v/>
      </c>
      <c r="N11" s="80">
        <f>IF(NOT(Bootstrap!$G$4="Test 1"),"",IFERROR(INDEX(Bootstrap!$C$8:$C$72,MATCH(F11,Bootstrap!$B$8:$B$72,0)),""))</f>
        <v/>
      </c>
      <c r="O11" s="84">
        <f>IF(NOT(Bootstrap!$G$4="Test 1"),"",IFERROR(INDEX(Bootstrap!$J$8:$J$72,MATCH(F11,Bootstrap!$B$8:$B$72,0)),""))</f>
        <v/>
      </c>
      <c r="P11" s="89">
        <f>IF(OR(O11="",NOT(ISNUMBER(C11))),"",(O11-C11)*100)</f>
        <v/>
      </c>
      <c r="Q11" s="72">
        <f>IF(OR(M11="",NOT(ISNUMBER(D11))),"",M11-D11)</f>
        <v/>
      </c>
    </row>
    <row r="12">
      <c r="A12" s="68" t="n"/>
      <c r="B12" s="85" t="n"/>
      <c r="C12" s="85" t="n"/>
      <c r="D12" s="69" t="n"/>
      <c r="E12" s="112">
        <f>IF(OR(A12="",$D$6=""),"",IF(RIGHT(A12,1)="W",$D$6+7*VALUE(LEFT(A12,LEN(A12)-1)),IF(RIGHT(A12,1)="M",EDATE($D$6,VALUE(LEFT(A12,LEN(A12)-1))),EDATE($D$6,12*VALUE(LEFT(A12,LEN(A12)-1))))))</f>
        <v/>
      </c>
      <c r="F12" s="112">
        <f>IF(E12="","",IF(MONTH((E12+IF(WEEKDAY(E12,2)=6,2,IF(WEEKDAY(E12,2)=7,1,0))))&lt;&gt;MONTH(E12),(E12-IF(WEEKDAY(E12,2)=6,1,IF(WEEKDAY(E12,2)=7,2,0))),(E12+IF(WEEKDAY(E12,2)=6,2,IF(WEEKDAY(E12,2)=7,1,0)))))</f>
        <v/>
      </c>
      <c r="G12" s="84">
        <f>IF(NOT(Bootstrap!$G$4="Test 1"),"",IFERROR(INDEX(Bootstrap!$E$8:$E$72,MATCH(F12,Bootstrap!$B$8:$B$72,0)),""))</f>
        <v/>
      </c>
      <c r="H12" s="160">
        <f>IF(NOT(Bootstrap!$G$4="Test 1"),"",IFERROR(IF(MATCH(F12,Bootstrap!$B$8:$B$72,0)&lt;=15,"short  DFspot/(1+S*tau)","annual (DFspot-S*A)/(1+S*tau)"),""))</f>
        <v/>
      </c>
      <c r="I12" s="80">
        <f>IF(NOT(Bootstrap!$G$4="Test 1"),"",IFERROR(IF(MATCH(F12,Bootstrap!$B$8:$B$72,0)&lt;=15,INDEX(Bootstrap!$D$8:$D$72,MATCH(F12,Bootstrap!$B$8:$B$72,0)),INDEX(Bootstrap!$F$8:$F$72,MATCH(F12,Bootstrap!$B$8:$B$72,0))),""))</f>
        <v/>
      </c>
      <c r="J12" s="76">
        <f>IF(NOT(Bootstrap!$G$4="Test 1"),"",IFERROR(IF(MATCH(F12,Bootstrap!$B$8:$B$72,0)&lt;=15,0,INDEX(Bootstrap!$G$8:$G$72,MATCH(F12,Bootstrap!$B$8:$B$72,0))),""))</f>
        <v/>
      </c>
      <c r="K12" s="76">
        <f>IF(OR(G12="",I12=""),"",Bootstrap!$D$4-(G12/100)*J12)</f>
        <v/>
      </c>
      <c r="L12" s="76">
        <f>IF(OR(G12="",I12=""),"",1+(G12/100)*I12)</f>
        <v/>
      </c>
      <c r="M12" s="76">
        <f>IF(NOT(Bootstrap!$G$4="Test 1"),"",IFERROR(INDEX(Bootstrap!$H$8:$H$72,MATCH(F12,Bootstrap!$B$8:$B$72,0)),""))</f>
        <v/>
      </c>
      <c r="N12" s="80">
        <f>IF(NOT(Bootstrap!$G$4="Test 1"),"",IFERROR(INDEX(Bootstrap!$C$8:$C$72,MATCH(F12,Bootstrap!$B$8:$B$72,0)),""))</f>
        <v/>
      </c>
      <c r="O12" s="84">
        <f>IF(NOT(Bootstrap!$G$4="Test 1"),"",IFERROR(INDEX(Bootstrap!$J$8:$J$72,MATCH(F12,Bootstrap!$B$8:$B$72,0)),""))</f>
        <v/>
      </c>
      <c r="P12" s="89">
        <f>IF(OR(O12="",NOT(ISNUMBER(C12))),"",(O12-C12)*100)</f>
        <v/>
      </c>
      <c r="Q12" s="72">
        <f>IF(OR(M12="",NOT(ISNUMBER(D12))),"",M12-D12)</f>
        <v/>
      </c>
    </row>
    <row r="13">
      <c r="A13" s="68" t="n"/>
      <c r="B13" s="85" t="n"/>
      <c r="C13" s="85" t="n"/>
      <c r="D13" s="69" t="n"/>
      <c r="E13" s="112">
        <f>IF(OR(A13="",$D$6=""),"",IF(RIGHT(A13,1)="W",$D$6+7*VALUE(LEFT(A13,LEN(A13)-1)),IF(RIGHT(A13,1)="M",EDATE($D$6,VALUE(LEFT(A13,LEN(A13)-1))),EDATE($D$6,12*VALUE(LEFT(A13,LEN(A13)-1))))))</f>
        <v/>
      </c>
      <c r="F13" s="112">
        <f>IF(E13="","",IF(MONTH((E13+IF(WEEKDAY(E13,2)=6,2,IF(WEEKDAY(E13,2)=7,1,0))))&lt;&gt;MONTH(E13),(E13-IF(WEEKDAY(E13,2)=6,1,IF(WEEKDAY(E13,2)=7,2,0))),(E13+IF(WEEKDAY(E13,2)=6,2,IF(WEEKDAY(E13,2)=7,1,0)))))</f>
        <v/>
      </c>
      <c r="G13" s="84">
        <f>IF(NOT(Bootstrap!$G$4="Test 1"),"",IFERROR(INDEX(Bootstrap!$E$8:$E$72,MATCH(F13,Bootstrap!$B$8:$B$72,0)),""))</f>
        <v/>
      </c>
      <c r="H13" s="160">
        <f>IF(NOT(Bootstrap!$G$4="Test 1"),"",IFERROR(IF(MATCH(F13,Bootstrap!$B$8:$B$72,0)&lt;=15,"short  DFspot/(1+S*tau)","annual (DFspot-S*A)/(1+S*tau)"),""))</f>
        <v/>
      </c>
      <c r="I13" s="80">
        <f>IF(NOT(Bootstrap!$G$4="Test 1"),"",IFERROR(IF(MATCH(F13,Bootstrap!$B$8:$B$72,0)&lt;=15,INDEX(Bootstrap!$D$8:$D$72,MATCH(F13,Bootstrap!$B$8:$B$72,0)),INDEX(Bootstrap!$F$8:$F$72,MATCH(F13,Bootstrap!$B$8:$B$72,0))),""))</f>
        <v/>
      </c>
      <c r="J13" s="76">
        <f>IF(NOT(Bootstrap!$G$4="Test 1"),"",IFERROR(IF(MATCH(F13,Bootstrap!$B$8:$B$72,0)&lt;=15,0,INDEX(Bootstrap!$G$8:$G$72,MATCH(F13,Bootstrap!$B$8:$B$72,0))),""))</f>
        <v/>
      </c>
      <c r="K13" s="76">
        <f>IF(OR(G13="",I13=""),"",Bootstrap!$D$4-(G13/100)*J13)</f>
        <v/>
      </c>
      <c r="L13" s="76">
        <f>IF(OR(G13="",I13=""),"",1+(G13/100)*I13)</f>
        <v/>
      </c>
      <c r="M13" s="76">
        <f>IF(NOT(Bootstrap!$G$4="Test 1"),"",IFERROR(INDEX(Bootstrap!$H$8:$H$72,MATCH(F13,Bootstrap!$B$8:$B$72,0)),""))</f>
        <v/>
      </c>
      <c r="N13" s="80">
        <f>IF(NOT(Bootstrap!$G$4="Test 1"),"",IFERROR(INDEX(Bootstrap!$C$8:$C$72,MATCH(F13,Bootstrap!$B$8:$B$72,0)),""))</f>
        <v/>
      </c>
      <c r="O13" s="84">
        <f>IF(NOT(Bootstrap!$G$4="Test 1"),"",IFERROR(INDEX(Bootstrap!$J$8:$J$72,MATCH(F13,Bootstrap!$B$8:$B$72,0)),""))</f>
        <v/>
      </c>
      <c r="P13" s="89">
        <f>IF(OR(O13="",NOT(ISNUMBER(C13))),"",(O13-C13)*100)</f>
        <v/>
      </c>
      <c r="Q13" s="72">
        <f>IF(OR(M13="",NOT(ISNUMBER(D13))),"",M13-D13)</f>
        <v/>
      </c>
    </row>
    <row r="14">
      <c r="A14" s="68" t="n"/>
      <c r="B14" s="85" t="n"/>
      <c r="C14" s="85" t="n"/>
      <c r="D14" s="69" t="n"/>
      <c r="E14" s="112">
        <f>IF(OR(A14="",$D$6=""),"",IF(RIGHT(A14,1)="W",$D$6+7*VALUE(LEFT(A14,LEN(A14)-1)),IF(RIGHT(A14,1)="M",EDATE($D$6,VALUE(LEFT(A14,LEN(A14)-1))),EDATE($D$6,12*VALUE(LEFT(A14,LEN(A14)-1))))))</f>
        <v/>
      </c>
      <c r="F14" s="112">
        <f>IF(E14="","",IF(MONTH((E14+IF(WEEKDAY(E14,2)=6,2,IF(WEEKDAY(E14,2)=7,1,0))))&lt;&gt;MONTH(E14),(E14-IF(WEEKDAY(E14,2)=6,1,IF(WEEKDAY(E14,2)=7,2,0))),(E14+IF(WEEKDAY(E14,2)=6,2,IF(WEEKDAY(E14,2)=7,1,0)))))</f>
        <v/>
      </c>
      <c r="G14" s="84">
        <f>IF(NOT(Bootstrap!$G$4="Test 1"),"",IFERROR(INDEX(Bootstrap!$E$8:$E$72,MATCH(F14,Bootstrap!$B$8:$B$72,0)),""))</f>
        <v/>
      </c>
      <c r="H14" s="160">
        <f>IF(NOT(Bootstrap!$G$4="Test 1"),"",IFERROR(IF(MATCH(F14,Bootstrap!$B$8:$B$72,0)&lt;=15,"short  DFspot/(1+S*tau)","annual (DFspot-S*A)/(1+S*tau)"),""))</f>
        <v/>
      </c>
      <c r="I14" s="80">
        <f>IF(NOT(Bootstrap!$G$4="Test 1"),"",IFERROR(IF(MATCH(F14,Bootstrap!$B$8:$B$72,0)&lt;=15,INDEX(Bootstrap!$D$8:$D$72,MATCH(F14,Bootstrap!$B$8:$B$72,0)),INDEX(Bootstrap!$F$8:$F$72,MATCH(F14,Bootstrap!$B$8:$B$72,0))),""))</f>
        <v/>
      </c>
      <c r="J14" s="76">
        <f>IF(NOT(Bootstrap!$G$4="Test 1"),"",IFERROR(IF(MATCH(F14,Bootstrap!$B$8:$B$72,0)&lt;=15,0,INDEX(Bootstrap!$G$8:$G$72,MATCH(F14,Bootstrap!$B$8:$B$72,0))),""))</f>
        <v/>
      </c>
      <c r="K14" s="76">
        <f>IF(OR(G14="",I14=""),"",Bootstrap!$D$4-(G14/100)*J14)</f>
        <v/>
      </c>
      <c r="L14" s="76">
        <f>IF(OR(G14="",I14=""),"",1+(G14/100)*I14)</f>
        <v/>
      </c>
      <c r="M14" s="76">
        <f>IF(NOT(Bootstrap!$G$4="Test 1"),"",IFERROR(INDEX(Bootstrap!$H$8:$H$72,MATCH(F14,Bootstrap!$B$8:$B$72,0)),""))</f>
        <v/>
      </c>
      <c r="N14" s="80">
        <f>IF(NOT(Bootstrap!$G$4="Test 1"),"",IFERROR(INDEX(Bootstrap!$C$8:$C$72,MATCH(F14,Bootstrap!$B$8:$B$72,0)),""))</f>
        <v/>
      </c>
      <c r="O14" s="84">
        <f>IF(NOT(Bootstrap!$G$4="Test 1"),"",IFERROR(INDEX(Bootstrap!$J$8:$J$72,MATCH(F14,Bootstrap!$B$8:$B$72,0)),""))</f>
        <v/>
      </c>
      <c r="P14" s="89">
        <f>IF(OR(O14="",NOT(ISNUMBER(C14))),"",(O14-C14)*100)</f>
        <v/>
      </c>
      <c r="Q14" s="72">
        <f>IF(OR(M14="",NOT(ISNUMBER(D14))),"",M14-D14)</f>
        <v/>
      </c>
    </row>
    <row r="15">
      <c r="A15" s="68" t="n"/>
      <c r="B15" s="85" t="n"/>
      <c r="C15" s="85" t="n"/>
      <c r="D15" s="69" t="n"/>
      <c r="E15" s="112">
        <f>IF(OR(A15="",$D$6=""),"",IF(RIGHT(A15,1)="W",$D$6+7*VALUE(LEFT(A15,LEN(A15)-1)),IF(RIGHT(A15,1)="M",EDATE($D$6,VALUE(LEFT(A15,LEN(A15)-1))),EDATE($D$6,12*VALUE(LEFT(A15,LEN(A15)-1))))))</f>
        <v/>
      </c>
      <c r="F15" s="112">
        <f>IF(E15="","",IF(MONTH((E15+IF(WEEKDAY(E15,2)=6,2,IF(WEEKDAY(E15,2)=7,1,0))))&lt;&gt;MONTH(E15),(E15-IF(WEEKDAY(E15,2)=6,1,IF(WEEKDAY(E15,2)=7,2,0))),(E15+IF(WEEKDAY(E15,2)=6,2,IF(WEEKDAY(E15,2)=7,1,0)))))</f>
        <v/>
      </c>
      <c r="G15" s="84">
        <f>IF(NOT(Bootstrap!$G$4="Test 1"),"",IFERROR(INDEX(Bootstrap!$E$8:$E$72,MATCH(F15,Bootstrap!$B$8:$B$72,0)),""))</f>
        <v/>
      </c>
      <c r="H15" s="160">
        <f>IF(NOT(Bootstrap!$G$4="Test 1"),"",IFERROR(IF(MATCH(F15,Bootstrap!$B$8:$B$72,0)&lt;=15,"short  DFspot/(1+S*tau)","annual (DFspot-S*A)/(1+S*tau)"),""))</f>
        <v/>
      </c>
      <c r="I15" s="80">
        <f>IF(NOT(Bootstrap!$G$4="Test 1"),"",IFERROR(IF(MATCH(F15,Bootstrap!$B$8:$B$72,0)&lt;=15,INDEX(Bootstrap!$D$8:$D$72,MATCH(F15,Bootstrap!$B$8:$B$72,0)),INDEX(Bootstrap!$F$8:$F$72,MATCH(F15,Bootstrap!$B$8:$B$72,0))),""))</f>
        <v/>
      </c>
      <c r="J15" s="76">
        <f>IF(NOT(Bootstrap!$G$4="Test 1"),"",IFERROR(IF(MATCH(F15,Bootstrap!$B$8:$B$72,0)&lt;=15,0,INDEX(Bootstrap!$G$8:$G$72,MATCH(F15,Bootstrap!$B$8:$B$72,0))),""))</f>
        <v/>
      </c>
      <c r="K15" s="76">
        <f>IF(OR(G15="",I15=""),"",Bootstrap!$D$4-(G15/100)*J15)</f>
        <v/>
      </c>
      <c r="L15" s="76">
        <f>IF(OR(G15="",I15=""),"",1+(G15/100)*I15)</f>
        <v/>
      </c>
      <c r="M15" s="76">
        <f>IF(NOT(Bootstrap!$G$4="Test 1"),"",IFERROR(INDEX(Bootstrap!$H$8:$H$72,MATCH(F15,Bootstrap!$B$8:$B$72,0)),""))</f>
        <v/>
      </c>
      <c r="N15" s="80">
        <f>IF(NOT(Bootstrap!$G$4="Test 1"),"",IFERROR(INDEX(Bootstrap!$C$8:$C$72,MATCH(F15,Bootstrap!$B$8:$B$72,0)),""))</f>
        <v/>
      </c>
      <c r="O15" s="84">
        <f>IF(NOT(Bootstrap!$G$4="Test 1"),"",IFERROR(INDEX(Bootstrap!$J$8:$J$72,MATCH(F15,Bootstrap!$B$8:$B$72,0)),""))</f>
        <v/>
      </c>
      <c r="P15" s="89">
        <f>IF(OR(O15="",NOT(ISNUMBER(C15))),"",(O15-C15)*100)</f>
        <v/>
      </c>
      <c r="Q15" s="72">
        <f>IF(OR(M15="",NOT(ISNUMBER(D15))),"",M15-D15)</f>
        <v/>
      </c>
    </row>
    <row r="16">
      <c r="A16" s="68" t="n"/>
      <c r="B16" s="85" t="n"/>
      <c r="C16" s="85" t="n"/>
      <c r="D16" s="69" t="n"/>
      <c r="E16" s="112">
        <f>IF(OR(A16="",$D$6=""),"",IF(RIGHT(A16,1)="W",$D$6+7*VALUE(LEFT(A16,LEN(A16)-1)),IF(RIGHT(A16,1)="M",EDATE($D$6,VALUE(LEFT(A16,LEN(A16)-1))),EDATE($D$6,12*VALUE(LEFT(A16,LEN(A16)-1))))))</f>
        <v/>
      </c>
      <c r="F16" s="112">
        <f>IF(E16="","",IF(MONTH((E16+IF(WEEKDAY(E16,2)=6,2,IF(WEEKDAY(E16,2)=7,1,0))))&lt;&gt;MONTH(E16),(E16-IF(WEEKDAY(E16,2)=6,1,IF(WEEKDAY(E16,2)=7,2,0))),(E16+IF(WEEKDAY(E16,2)=6,2,IF(WEEKDAY(E16,2)=7,1,0)))))</f>
        <v/>
      </c>
      <c r="G16" s="84">
        <f>IF(NOT(Bootstrap!$G$4="Test 1"),"",IFERROR(INDEX(Bootstrap!$E$8:$E$72,MATCH(F16,Bootstrap!$B$8:$B$72,0)),""))</f>
        <v/>
      </c>
      <c r="H16" s="160">
        <f>IF(NOT(Bootstrap!$G$4="Test 1"),"",IFERROR(IF(MATCH(F16,Bootstrap!$B$8:$B$72,0)&lt;=15,"short  DFspot/(1+S*tau)","annual (DFspot-S*A)/(1+S*tau)"),""))</f>
        <v/>
      </c>
      <c r="I16" s="80">
        <f>IF(NOT(Bootstrap!$G$4="Test 1"),"",IFERROR(IF(MATCH(F16,Bootstrap!$B$8:$B$72,0)&lt;=15,INDEX(Bootstrap!$D$8:$D$72,MATCH(F16,Bootstrap!$B$8:$B$72,0)),INDEX(Bootstrap!$F$8:$F$72,MATCH(F16,Bootstrap!$B$8:$B$72,0))),""))</f>
        <v/>
      </c>
      <c r="J16" s="76">
        <f>IF(NOT(Bootstrap!$G$4="Test 1"),"",IFERROR(IF(MATCH(F16,Bootstrap!$B$8:$B$72,0)&lt;=15,0,INDEX(Bootstrap!$G$8:$G$72,MATCH(F16,Bootstrap!$B$8:$B$72,0))),""))</f>
        <v/>
      </c>
      <c r="K16" s="76">
        <f>IF(OR(G16="",I16=""),"",Bootstrap!$D$4-(G16/100)*J16)</f>
        <v/>
      </c>
      <c r="L16" s="76">
        <f>IF(OR(G16="",I16=""),"",1+(G16/100)*I16)</f>
        <v/>
      </c>
      <c r="M16" s="76">
        <f>IF(NOT(Bootstrap!$G$4="Test 1"),"",IFERROR(INDEX(Bootstrap!$H$8:$H$72,MATCH(F16,Bootstrap!$B$8:$B$72,0)),""))</f>
        <v/>
      </c>
      <c r="N16" s="80">
        <f>IF(NOT(Bootstrap!$G$4="Test 1"),"",IFERROR(INDEX(Bootstrap!$C$8:$C$72,MATCH(F16,Bootstrap!$B$8:$B$72,0)),""))</f>
        <v/>
      </c>
      <c r="O16" s="84">
        <f>IF(NOT(Bootstrap!$G$4="Test 1"),"",IFERROR(INDEX(Bootstrap!$J$8:$J$72,MATCH(F16,Bootstrap!$B$8:$B$72,0)),""))</f>
        <v/>
      </c>
      <c r="P16" s="89">
        <f>IF(OR(O16="",NOT(ISNUMBER(C16))),"",(O16-C16)*100)</f>
        <v/>
      </c>
      <c r="Q16" s="72">
        <f>IF(OR(M16="",NOT(ISNUMBER(D16))),"",M16-D16)</f>
        <v/>
      </c>
    </row>
    <row r="17">
      <c r="A17" s="68" t="n"/>
      <c r="B17" s="85" t="n"/>
      <c r="C17" s="85" t="n"/>
      <c r="D17" s="69" t="n"/>
      <c r="E17" s="112">
        <f>IF(OR(A17="",$D$6=""),"",IF(RIGHT(A17,1)="W",$D$6+7*VALUE(LEFT(A17,LEN(A17)-1)),IF(RIGHT(A17,1)="M",EDATE($D$6,VALUE(LEFT(A17,LEN(A17)-1))),EDATE($D$6,12*VALUE(LEFT(A17,LEN(A17)-1))))))</f>
        <v/>
      </c>
      <c r="F17" s="112">
        <f>IF(E17="","",IF(MONTH((E17+IF(WEEKDAY(E17,2)=6,2,IF(WEEKDAY(E17,2)=7,1,0))))&lt;&gt;MONTH(E17),(E17-IF(WEEKDAY(E17,2)=6,1,IF(WEEKDAY(E17,2)=7,2,0))),(E17+IF(WEEKDAY(E17,2)=6,2,IF(WEEKDAY(E17,2)=7,1,0)))))</f>
        <v/>
      </c>
      <c r="G17" s="84">
        <f>IF(NOT(Bootstrap!$G$4="Test 1"),"",IFERROR(INDEX(Bootstrap!$E$8:$E$72,MATCH(F17,Bootstrap!$B$8:$B$72,0)),""))</f>
        <v/>
      </c>
      <c r="H17" s="160">
        <f>IF(NOT(Bootstrap!$G$4="Test 1"),"",IFERROR(IF(MATCH(F17,Bootstrap!$B$8:$B$72,0)&lt;=15,"short  DFspot/(1+S*tau)","annual (DFspot-S*A)/(1+S*tau)"),""))</f>
        <v/>
      </c>
      <c r="I17" s="80">
        <f>IF(NOT(Bootstrap!$G$4="Test 1"),"",IFERROR(IF(MATCH(F17,Bootstrap!$B$8:$B$72,0)&lt;=15,INDEX(Bootstrap!$D$8:$D$72,MATCH(F17,Bootstrap!$B$8:$B$72,0)),INDEX(Bootstrap!$F$8:$F$72,MATCH(F17,Bootstrap!$B$8:$B$72,0))),""))</f>
        <v/>
      </c>
      <c r="J17" s="76">
        <f>IF(NOT(Bootstrap!$G$4="Test 1"),"",IFERROR(IF(MATCH(F17,Bootstrap!$B$8:$B$72,0)&lt;=15,0,INDEX(Bootstrap!$G$8:$G$72,MATCH(F17,Bootstrap!$B$8:$B$72,0))),""))</f>
        <v/>
      </c>
      <c r="K17" s="76">
        <f>IF(OR(G17="",I17=""),"",Bootstrap!$D$4-(G17/100)*J17)</f>
        <v/>
      </c>
      <c r="L17" s="76">
        <f>IF(OR(G17="",I17=""),"",1+(G17/100)*I17)</f>
        <v/>
      </c>
      <c r="M17" s="76">
        <f>IF(NOT(Bootstrap!$G$4="Test 1"),"",IFERROR(INDEX(Bootstrap!$H$8:$H$72,MATCH(F17,Bootstrap!$B$8:$B$72,0)),""))</f>
        <v/>
      </c>
      <c r="N17" s="80">
        <f>IF(NOT(Bootstrap!$G$4="Test 1"),"",IFERROR(INDEX(Bootstrap!$C$8:$C$72,MATCH(F17,Bootstrap!$B$8:$B$72,0)),""))</f>
        <v/>
      </c>
      <c r="O17" s="84">
        <f>IF(NOT(Bootstrap!$G$4="Test 1"),"",IFERROR(INDEX(Bootstrap!$J$8:$J$72,MATCH(F17,Bootstrap!$B$8:$B$72,0)),""))</f>
        <v/>
      </c>
      <c r="P17" s="89">
        <f>IF(OR(O17="",NOT(ISNUMBER(C17))),"",(O17-C17)*100)</f>
        <v/>
      </c>
      <c r="Q17" s="72">
        <f>IF(OR(M17="",NOT(ISNUMBER(D17))),"",M17-D17)</f>
        <v/>
      </c>
    </row>
    <row r="18">
      <c r="A18" s="68" t="n"/>
      <c r="B18" s="85" t="n"/>
      <c r="C18" s="85" t="n"/>
      <c r="D18" s="69" t="n"/>
      <c r="E18" s="112">
        <f>IF(OR(A18="",$D$6=""),"",IF(RIGHT(A18,1)="W",$D$6+7*VALUE(LEFT(A18,LEN(A18)-1)),IF(RIGHT(A18,1)="M",EDATE($D$6,VALUE(LEFT(A18,LEN(A18)-1))),EDATE($D$6,12*VALUE(LEFT(A18,LEN(A18)-1))))))</f>
        <v/>
      </c>
      <c r="F18" s="112">
        <f>IF(E18="","",IF(MONTH((E18+IF(WEEKDAY(E18,2)=6,2,IF(WEEKDAY(E18,2)=7,1,0))))&lt;&gt;MONTH(E18),(E18-IF(WEEKDAY(E18,2)=6,1,IF(WEEKDAY(E18,2)=7,2,0))),(E18+IF(WEEKDAY(E18,2)=6,2,IF(WEEKDAY(E18,2)=7,1,0)))))</f>
        <v/>
      </c>
      <c r="G18" s="84">
        <f>IF(NOT(Bootstrap!$G$4="Test 1"),"",IFERROR(INDEX(Bootstrap!$E$8:$E$72,MATCH(F18,Bootstrap!$B$8:$B$72,0)),""))</f>
        <v/>
      </c>
      <c r="H18" s="160">
        <f>IF(NOT(Bootstrap!$G$4="Test 1"),"",IFERROR(IF(MATCH(F18,Bootstrap!$B$8:$B$72,0)&lt;=15,"short  DFspot/(1+S*tau)","annual (DFspot-S*A)/(1+S*tau)"),""))</f>
        <v/>
      </c>
      <c r="I18" s="80">
        <f>IF(NOT(Bootstrap!$G$4="Test 1"),"",IFERROR(IF(MATCH(F18,Bootstrap!$B$8:$B$72,0)&lt;=15,INDEX(Bootstrap!$D$8:$D$72,MATCH(F18,Bootstrap!$B$8:$B$72,0)),INDEX(Bootstrap!$F$8:$F$72,MATCH(F18,Bootstrap!$B$8:$B$72,0))),""))</f>
        <v/>
      </c>
      <c r="J18" s="76">
        <f>IF(NOT(Bootstrap!$G$4="Test 1"),"",IFERROR(IF(MATCH(F18,Bootstrap!$B$8:$B$72,0)&lt;=15,0,INDEX(Bootstrap!$G$8:$G$72,MATCH(F18,Bootstrap!$B$8:$B$72,0))),""))</f>
        <v/>
      </c>
      <c r="K18" s="76">
        <f>IF(OR(G18="",I18=""),"",Bootstrap!$D$4-(G18/100)*J18)</f>
        <v/>
      </c>
      <c r="L18" s="76">
        <f>IF(OR(G18="",I18=""),"",1+(G18/100)*I18)</f>
        <v/>
      </c>
      <c r="M18" s="76">
        <f>IF(NOT(Bootstrap!$G$4="Test 1"),"",IFERROR(INDEX(Bootstrap!$H$8:$H$72,MATCH(F18,Bootstrap!$B$8:$B$72,0)),""))</f>
        <v/>
      </c>
      <c r="N18" s="80">
        <f>IF(NOT(Bootstrap!$G$4="Test 1"),"",IFERROR(INDEX(Bootstrap!$C$8:$C$72,MATCH(F18,Bootstrap!$B$8:$B$72,0)),""))</f>
        <v/>
      </c>
      <c r="O18" s="84">
        <f>IF(NOT(Bootstrap!$G$4="Test 1"),"",IFERROR(INDEX(Bootstrap!$J$8:$J$72,MATCH(F18,Bootstrap!$B$8:$B$72,0)),""))</f>
        <v/>
      </c>
      <c r="P18" s="89">
        <f>IF(OR(O18="",NOT(ISNUMBER(C18))),"",(O18-C18)*100)</f>
        <v/>
      </c>
      <c r="Q18" s="72">
        <f>IF(OR(M18="",NOT(ISNUMBER(D18))),"",M18-D18)</f>
        <v/>
      </c>
    </row>
    <row r="19">
      <c r="A19" s="68" t="n"/>
      <c r="B19" s="85" t="n"/>
      <c r="C19" s="85" t="n"/>
      <c r="D19" s="69" t="n"/>
      <c r="E19" s="112">
        <f>IF(OR(A19="",$D$6=""),"",IF(RIGHT(A19,1)="W",$D$6+7*VALUE(LEFT(A19,LEN(A19)-1)),IF(RIGHT(A19,1)="M",EDATE($D$6,VALUE(LEFT(A19,LEN(A19)-1))),EDATE($D$6,12*VALUE(LEFT(A19,LEN(A19)-1))))))</f>
        <v/>
      </c>
      <c r="F19" s="112">
        <f>IF(E19="","",IF(MONTH((E19+IF(WEEKDAY(E19,2)=6,2,IF(WEEKDAY(E19,2)=7,1,0))))&lt;&gt;MONTH(E19),(E19-IF(WEEKDAY(E19,2)=6,1,IF(WEEKDAY(E19,2)=7,2,0))),(E19+IF(WEEKDAY(E19,2)=6,2,IF(WEEKDAY(E19,2)=7,1,0)))))</f>
        <v/>
      </c>
      <c r="G19" s="84">
        <f>IF(NOT(Bootstrap!$G$4="Test 1"),"",IFERROR(INDEX(Bootstrap!$E$8:$E$72,MATCH(F19,Bootstrap!$B$8:$B$72,0)),""))</f>
        <v/>
      </c>
      <c r="H19" s="160">
        <f>IF(NOT(Bootstrap!$G$4="Test 1"),"",IFERROR(IF(MATCH(F19,Bootstrap!$B$8:$B$72,0)&lt;=15,"short  DFspot/(1+S*tau)","annual (DFspot-S*A)/(1+S*tau)"),""))</f>
        <v/>
      </c>
      <c r="I19" s="80">
        <f>IF(NOT(Bootstrap!$G$4="Test 1"),"",IFERROR(IF(MATCH(F19,Bootstrap!$B$8:$B$72,0)&lt;=15,INDEX(Bootstrap!$D$8:$D$72,MATCH(F19,Bootstrap!$B$8:$B$72,0)),INDEX(Bootstrap!$F$8:$F$72,MATCH(F19,Bootstrap!$B$8:$B$72,0))),""))</f>
        <v/>
      </c>
      <c r="J19" s="76">
        <f>IF(NOT(Bootstrap!$G$4="Test 1"),"",IFERROR(IF(MATCH(F19,Bootstrap!$B$8:$B$72,0)&lt;=15,0,INDEX(Bootstrap!$G$8:$G$72,MATCH(F19,Bootstrap!$B$8:$B$72,0))),""))</f>
        <v/>
      </c>
      <c r="K19" s="76">
        <f>IF(OR(G19="",I19=""),"",Bootstrap!$D$4-(G19/100)*J19)</f>
        <v/>
      </c>
      <c r="L19" s="76">
        <f>IF(OR(G19="",I19=""),"",1+(G19/100)*I19)</f>
        <v/>
      </c>
      <c r="M19" s="76">
        <f>IF(NOT(Bootstrap!$G$4="Test 1"),"",IFERROR(INDEX(Bootstrap!$H$8:$H$72,MATCH(F19,Bootstrap!$B$8:$B$72,0)),""))</f>
        <v/>
      </c>
      <c r="N19" s="80">
        <f>IF(NOT(Bootstrap!$G$4="Test 1"),"",IFERROR(INDEX(Bootstrap!$C$8:$C$72,MATCH(F19,Bootstrap!$B$8:$B$72,0)),""))</f>
        <v/>
      </c>
      <c r="O19" s="84">
        <f>IF(NOT(Bootstrap!$G$4="Test 1"),"",IFERROR(INDEX(Bootstrap!$J$8:$J$72,MATCH(F19,Bootstrap!$B$8:$B$72,0)),""))</f>
        <v/>
      </c>
      <c r="P19" s="89">
        <f>IF(OR(O19="",NOT(ISNUMBER(C19))),"",(O19-C19)*100)</f>
        <v/>
      </c>
      <c r="Q19" s="72">
        <f>IF(OR(M19="",NOT(ISNUMBER(D19))),"",M19-D19)</f>
        <v/>
      </c>
    </row>
    <row r="20">
      <c r="A20" s="68" t="n"/>
      <c r="B20" s="85" t="n"/>
      <c r="C20" s="85" t="n"/>
      <c r="D20" s="69" t="n"/>
      <c r="E20" s="112">
        <f>IF(OR(A20="",$D$6=""),"",IF(RIGHT(A20,1)="W",$D$6+7*VALUE(LEFT(A20,LEN(A20)-1)),IF(RIGHT(A20,1)="M",EDATE($D$6,VALUE(LEFT(A20,LEN(A20)-1))),EDATE($D$6,12*VALUE(LEFT(A20,LEN(A20)-1))))))</f>
        <v/>
      </c>
      <c r="F20" s="112">
        <f>IF(E20="","",IF(MONTH((E20+IF(WEEKDAY(E20,2)=6,2,IF(WEEKDAY(E20,2)=7,1,0))))&lt;&gt;MONTH(E20),(E20-IF(WEEKDAY(E20,2)=6,1,IF(WEEKDAY(E20,2)=7,2,0))),(E20+IF(WEEKDAY(E20,2)=6,2,IF(WEEKDAY(E20,2)=7,1,0)))))</f>
        <v/>
      </c>
      <c r="G20" s="84">
        <f>IF(NOT(Bootstrap!$G$4="Test 1"),"",IFERROR(INDEX(Bootstrap!$E$8:$E$72,MATCH(F20,Bootstrap!$B$8:$B$72,0)),""))</f>
        <v/>
      </c>
      <c r="H20" s="160">
        <f>IF(NOT(Bootstrap!$G$4="Test 1"),"",IFERROR(IF(MATCH(F20,Bootstrap!$B$8:$B$72,0)&lt;=15,"short  DFspot/(1+S*tau)","annual (DFspot-S*A)/(1+S*tau)"),""))</f>
        <v/>
      </c>
      <c r="I20" s="80">
        <f>IF(NOT(Bootstrap!$G$4="Test 1"),"",IFERROR(IF(MATCH(F20,Bootstrap!$B$8:$B$72,0)&lt;=15,INDEX(Bootstrap!$D$8:$D$72,MATCH(F20,Bootstrap!$B$8:$B$72,0)),INDEX(Bootstrap!$F$8:$F$72,MATCH(F20,Bootstrap!$B$8:$B$72,0))),""))</f>
        <v/>
      </c>
      <c r="J20" s="76">
        <f>IF(NOT(Bootstrap!$G$4="Test 1"),"",IFERROR(IF(MATCH(F20,Bootstrap!$B$8:$B$72,0)&lt;=15,0,INDEX(Bootstrap!$G$8:$G$72,MATCH(F20,Bootstrap!$B$8:$B$72,0))),""))</f>
        <v/>
      </c>
      <c r="K20" s="76">
        <f>IF(OR(G20="",I20=""),"",Bootstrap!$D$4-(G20/100)*J20)</f>
        <v/>
      </c>
      <c r="L20" s="76">
        <f>IF(OR(G20="",I20=""),"",1+(G20/100)*I20)</f>
        <v/>
      </c>
      <c r="M20" s="76">
        <f>IF(NOT(Bootstrap!$G$4="Test 1"),"",IFERROR(INDEX(Bootstrap!$H$8:$H$72,MATCH(F20,Bootstrap!$B$8:$B$72,0)),""))</f>
        <v/>
      </c>
      <c r="N20" s="80">
        <f>IF(NOT(Bootstrap!$G$4="Test 1"),"",IFERROR(INDEX(Bootstrap!$C$8:$C$72,MATCH(F20,Bootstrap!$B$8:$B$72,0)),""))</f>
        <v/>
      </c>
      <c r="O20" s="84">
        <f>IF(NOT(Bootstrap!$G$4="Test 1"),"",IFERROR(INDEX(Bootstrap!$J$8:$J$72,MATCH(F20,Bootstrap!$B$8:$B$72,0)),""))</f>
        <v/>
      </c>
      <c r="P20" s="89">
        <f>IF(OR(O20="",NOT(ISNUMBER(C20))),"",(O20-C20)*100)</f>
        <v/>
      </c>
      <c r="Q20" s="72">
        <f>IF(OR(M20="",NOT(ISNUMBER(D20))),"",M20-D20)</f>
        <v/>
      </c>
    </row>
    <row r="21">
      <c r="A21" s="68" t="n"/>
      <c r="B21" s="85" t="n"/>
      <c r="C21" s="85" t="n"/>
      <c r="D21" s="69" t="n"/>
      <c r="E21" s="112">
        <f>IF(OR(A21="",$D$6=""),"",IF(RIGHT(A21,1)="W",$D$6+7*VALUE(LEFT(A21,LEN(A21)-1)),IF(RIGHT(A21,1)="M",EDATE($D$6,VALUE(LEFT(A21,LEN(A21)-1))),EDATE($D$6,12*VALUE(LEFT(A21,LEN(A21)-1))))))</f>
        <v/>
      </c>
      <c r="F21" s="112">
        <f>IF(E21="","",IF(MONTH((E21+IF(WEEKDAY(E21,2)=6,2,IF(WEEKDAY(E21,2)=7,1,0))))&lt;&gt;MONTH(E21),(E21-IF(WEEKDAY(E21,2)=6,1,IF(WEEKDAY(E21,2)=7,2,0))),(E21+IF(WEEKDAY(E21,2)=6,2,IF(WEEKDAY(E21,2)=7,1,0)))))</f>
        <v/>
      </c>
      <c r="G21" s="84">
        <f>IF(NOT(Bootstrap!$G$4="Test 1"),"",IFERROR(INDEX(Bootstrap!$E$8:$E$72,MATCH(F21,Bootstrap!$B$8:$B$72,0)),""))</f>
        <v/>
      </c>
      <c r="H21" s="160">
        <f>IF(NOT(Bootstrap!$G$4="Test 1"),"",IFERROR(IF(MATCH(F21,Bootstrap!$B$8:$B$72,0)&lt;=15,"short  DFspot/(1+S*tau)","annual (DFspot-S*A)/(1+S*tau)"),""))</f>
        <v/>
      </c>
      <c r="I21" s="80">
        <f>IF(NOT(Bootstrap!$G$4="Test 1"),"",IFERROR(IF(MATCH(F21,Bootstrap!$B$8:$B$72,0)&lt;=15,INDEX(Bootstrap!$D$8:$D$72,MATCH(F21,Bootstrap!$B$8:$B$72,0)),INDEX(Bootstrap!$F$8:$F$72,MATCH(F21,Bootstrap!$B$8:$B$72,0))),""))</f>
        <v/>
      </c>
      <c r="J21" s="76">
        <f>IF(NOT(Bootstrap!$G$4="Test 1"),"",IFERROR(IF(MATCH(F21,Bootstrap!$B$8:$B$72,0)&lt;=15,0,INDEX(Bootstrap!$G$8:$G$72,MATCH(F21,Bootstrap!$B$8:$B$72,0))),""))</f>
        <v/>
      </c>
      <c r="K21" s="76">
        <f>IF(OR(G21="",I21=""),"",Bootstrap!$D$4-(G21/100)*J21)</f>
        <v/>
      </c>
      <c r="L21" s="76">
        <f>IF(OR(G21="",I21=""),"",1+(G21/100)*I21)</f>
        <v/>
      </c>
      <c r="M21" s="76">
        <f>IF(NOT(Bootstrap!$G$4="Test 1"),"",IFERROR(INDEX(Bootstrap!$H$8:$H$72,MATCH(F21,Bootstrap!$B$8:$B$72,0)),""))</f>
        <v/>
      </c>
      <c r="N21" s="80">
        <f>IF(NOT(Bootstrap!$G$4="Test 1"),"",IFERROR(INDEX(Bootstrap!$C$8:$C$72,MATCH(F21,Bootstrap!$B$8:$B$72,0)),""))</f>
        <v/>
      </c>
      <c r="O21" s="84">
        <f>IF(NOT(Bootstrap!$G$4="Test 1"),"",IFERROR(INDEX(Bootstrap!$J$8:$J$72,MATCH(F21,Bootstrap!$B$8:$B$72,0)),""))</f>
        <v/>
      </c>
      <c r="P21" s="89">
        <f>IF(OR(O21="",NOT(ISNUMBER(C21))),"",(O21-C21)*100)</f>
        <v/>
      </c>
      <c r="Q21" s="72">
        <f>IF(OR(M21="",NOT(ISNUMBER(D21))),"",M21-D21)</f>
        <v/>
      </c>
    </row>
    <row r="22">
      <c r="A22" s="68" t="n"/>
      <c r="B22" s="85" t="n"/>
      <c r="C22" s="85" t="n"/>
      <c r="D22" s="69" t="n"/>
      <c r="E22" s="112">
        <f>IF(OR(A22="",$D$6=""),"",IF(RIGHT(A22,1)="W",$D$6+7*VALUE(LEFT(A22,LEN(A22)-1)),IF(RIGHT(A22,1)="M",EDATE($D$6,VALUE(LEFT(A22,LEN(A22)-1))),EDATE($D$6,12*VALUE(LEFT(A22,LEN(A22)-1))))))</f>
        <v/>
      </c>
      <c r="F22" s="112">
        <f>IF(E22="","",IF(MONTH((E22+IF(WEEKDAY(E22,2)=6,2,IF(WEEKDAY(E22,2)=7,1,0))))&lt;&gt;MONTH(E22),(E22-IF(WEEKDAY(E22,2)=6,1,IF(WEEKDAY(E22,2)=7,2,0))),(E22+IF(WEEKDAY(E22,2)=6,2,IF(WEEKDAY(E22,2)=7,1,0)))))</f>
        <v/>
      </c>
      <c r="G22" s="84">
        <f>IF(NOT(Bootstrap!$G$4="Test 1"),"",IFERROR(INDEX(Bootstrap!$E$8:$E$72,MATCH(F22,Bootstrap!$B$8:$B$72,0)),""))</f>
        <v/>
      </c>
      <c r="H22" s="160">
        <f>IF(NOT(Bootstrap!$G$4="Test 1"),"",IFERROR(IF(MATCH(F22,Bootstrap!$B$8:$B$72,0)&lt;=15,"short  DFspot/(1+S*tau)","annual (DFspot-S*A)/(1+S*tau)"),""))</f>
        <v/>
      </c>
      <c r="I22" s="80">
        <f>IF(NOT(Bootstrap!$G$4="Test 1"),"",IFERROR(IF(MATCH(F22,Bootstrap!$B$8:$B$72,0)&lt;=15,INDEX(Bootstrap!$D$8:$D$72,MATCH(F22,Bootstrap!$B$8:$B$72,0)),INDEX(Bootstrap!$F$8:$F$72,MATCH(F22,Bootstrap!$B$8:$B$72,0))),""))</f>
        <v/>
      </c>
      <c r="J22" s="76">
        <f>IF(NOT(Bootstrap!$G$4="Test 1"),"",IFERROR(IF(MATCH(F22,Bootstrap!$B$8:$B$72,0)&lt;=15,0,INDEX(Bootstrap!$G$8:$G$72,MATCH(F22,Bootstrap!$B$8:$B$72,0))),""))</f>
        <v/>
      </c>
      <c r="K22" s="76">
        <f>IF(OR(G22="",I22=""),"",Bootstrap!$D$4-(G22/100)*J22)</f>
        <v/>
      </c>
      <c r="L22" s="76">
        <f>IF(OR(G22="",I22=""),"",1+(G22/100)*I22)</f>
        <v/>
      </c>
      <c r="M22" s="76">
        <f>IF(NOT(Bootstrap!$G$4="Test 1"),"",IFERROR(INDEX(Bootstrap!$H$8:$H$72,MATCH(F22,Bootstrap!$B$8:$B$72,0)),""))</f>
        <v/>
      </c>
      <c r="N22" s="80">
        <f>IF(NOT(Bootstrap!$G$4="Test 1"),"",IFERROR(INDEX(Bootstrap!$C$8:$C$72,MATCH(F22,Bootstrap!$B$8:$B$72,0)),""))</f>
        <v/>
      </c>
      <c r="O22" s="84">
        <f>IF(NOT(Bootstrap!$G$4="Test 1"),"",IFERROR(INDEX(Bootstrap!$J$8:$J$72,MATCH(F22,Bootstrap!$B$8:$B$72,0)),""))</f>
        <v/>
      </c>
      <c r="P22" s="89">
        <f>IF(OR(O22="",NOT(ISNUMBER(C22))),"",(O22-C22)*100)</f>
        <v/>
      </c>
      <c r="Q22" s="72">
        <f>IF(OR(M22="",NOT(ISNUMBER(D22))),"",M22-D22)</f>
        <v/>
      </c>
    </row>
    <row r="23">
      <c r="A23" s="68" t="n"/>
      <c r="B23" s="85" t="n"/>
      <c r="C23" s="85" t="n"/>
      <c r="D23" s="69" t="n"/>
      <c r="E23" s="112">
        <f>IF(OR(A23="",$D$6=""),"",IF(RIGHT(A23,1)="W",$D$6+7*VALUE(LEFT(A23,LEN(A23)-1)),IF(RIGHT(A23,1)="M",EDATE($D$6,VALUE(LEFT(A23,LEN(A23)-1))),EDATE($D$6,12*VALUE(LEFT(A23,LEN(A23)-1))))))</f>
        <v/>
      </c>
      <c r="F23" s="112">
        <f>IF(E23="","",IF(MONTH((E23+IF(WEEKDAY(E23,2)=6,2,IF(WEEKDAY(E23,2)=7,1,0))))&lt;&gt;MONTH(E23),(E23-IF(WEEKDAY(E23,2)=6,1,IF(WEEKDAY(E23,2)=7,2,0))),(E23+IF(WEEKDAY(E23,2)=6,2,IF(WEEKDAY(E23,2)=7,1,0)))))</f>
        <v/>
      </c>
      <c r="G23" s="84">
        <f>IF(NOT(Bootstrap!$G$4="Test 1"),"",IFERROR(INDEX(Bootstrap!$E$8:$E$72,MATCH(F23,Bootstrap!$B$8:$B$72,0)),""))</f>
        <v/>
      </c>
      <c r="H23" s="160">
        <f>IF(NOT(Bootstrap!$G$4="Test 1"),"",IFERROR(IF(MATCH(F23,Bootstrap!$B$8:$B$72,0)&lt;=15,"short  DFspot/(1+S*tau)","annual (DFspot-S*A)/(1+S*tau)"),""))</f>
        <v/>
      </c>
      <c r="I23" s="80">
        <f>IF(NOT(Bootstrap!$G$4="Test 1"),"",IFERROR(IF(MATCH(F23,Bootstrap!$B$8:$B$72,0)&lt;=15,INDEX(Bootstrap!$D$8:$D$72,MATCH(F23,Bootstrap!$B$8:$B$72,0)),INDEX(Bootstrap!$F$8:$F$72,MATCH(F23,Bootstrap!$B$8:$B$72,0))),""))</f>
        <v/>
      </c>
      <c r="J23" s="76">
        <f>IF(NOT(Bootstrap!$G$4="Test 1"),"",IFERROR(IF(MATCH(F23,Bootstrap!$B$8:$B$72,0)&lt;=15,0,INDEX(Bootstrap!$G$8:$G$72,MATCH(F23,Bootstrap!$B$8:$B$72,0))),""))</f>
        <v/>
      </c>
      <c r="K23" s="76">
        <f>IF(OR(G23="",I23=""),"",Bootstrap!$D$4-(G23/100)*J23)</f>
        <v/>
      </c>
      <c r="L23" s="76">
        <f>IF(OR(G23="",I23=""),"",1+(G23/100)*I23)</f>
        <v/>
      </c>
      <c r="M23" s="76">
        <f>IF(NOT(Bootstrap!$G$4="Test 1"),"",IFERROR(INDEX(Bootstrap!$H$8:$H$72,MATCH(F23,Bootstrap!$B$8:$B$72,0)),""))</f>
        <v/>
      </c>
      <c r="N23" s="80">
        <f>IF(NOT(Bootstrap!$G$4="Test 1"),"",IFERROR(INDEX(Bootstrap!$C$8:$C$72,MATCH(F23,Bootstrap!$B$8:$B$72,0)),""))</f>
        <v/>
      </c>
      <c r="O23" s="84">
        <f>IF(NOT(Bootstrap!$G$4="Test 1"),"",IFERROR(INDEX(Bootstrap!$J$8:$J$72,MATCH(F23,Bootstrap!$B$8:$B$72,0)),""))</f>
        <v/>
      </c>
      <c r="P23" s="89">
        <f>IF(OR(O23="",NOT(ISNUMBER(C23))),"",(O23-C23)*100)</f>
        <v/>
      </c>
      <c r="Q23" s="72">
        <f>IF(OR(M23="",NOT(ISNUMBER(D23))),"",M23-D23)</f>
        <v/>
      </c>
    </row>
    <row r="24">
      <c r="A24" s="68" t="n"/>
      <c r="B24" s="85" t="n"/>
      <c r="C24" s="85" t="n"/>
      <c r="D24" s="69" t="n"/>
      <c r="E24" s="112">
        <f>IF(OR(A24="",$D$6=""),"",IF(RIGHT(A24,1)="W",$D$6+7*VALUE(LEFT(A24,LEN(A24)-1)),IF(RIGHT(A24,1)="M",EDATE($D$6,VALUE(LEFT(A24,LEN(A24)-1))),EDATE($D$6,12*VALUE(LEFT(A24,LEN(A24)-1))))))</f>
        <v/>
      </c>
      <c r="F24" s="112">
        <f>IF(E24="","",IF(MONTH((E24+IF(WEEKDAY(E24,2)=6,2,IF(WEEKDAY(E24,2)=7,1,0))))&lt;&gt;MONTH(E24),(E24-IF(WEEKDAY(E24,2)=6,1,IF(WEEKDAY(E24,2)=7,2,0))),(E24+IF(WEEKDAY(E24,2)=6,2,IF(WEEKDAY(E24,2)=7,1,0)))))</f>
        <v/>
      </c>
      <c r="G24" s="84">
        <f>IF(NOT(Bootstrap!$G$4="Test 1"),"",IFERROR(INDEX(Bootstrap!$E$8:$E$72,MATCH(F24,Bootstrap!$B$8:$B$72,0)),""))</f>
        <v/>
      </c>
      <c r="H24" s="160">
        <f>IF(NOT(Bootstrap!$G$4="Test 1"),"",IFERROR(IF(MATCH(F24,Bootstrap!$B$8:$B$72,0)&lt;=15,"short  DFspot/(1+S*tau)","annual (DFspot-S*A)/(1+S*tau)"),""))</f>
        <v/>
      </c>
      <c r="I24" s="80">
        <f>IF(NOT(Bootstrap!$G$4="Test 1"),"",IFERROR(IF(MATCH(F24,Bootstrap!$B$8:$B$72,0)&lt;=15,INDEX(Bootstrap!$D$8:$D$72,MATCH(F24,Bootstrap!$B$8:$B$72,0)),INDEX(Bootstrap!$F$8:$F$72,MATCH(F24,Bootstrap!$B$8:$B$72,0))),""))</f>
        <v/>
      </c>
      <c r="J24" s="76">
        <f>IF(NOT(Bootstrap!$G$4="Test 1"),"",IFERROR(IF(MATCH(F24,Bootstrap!$B$8:$B$72,0)&lt;=15,0,INDEX(Bootstrap!$G$8:$G$72,MATCH(F24,Bootstrap!$B$8:$B$72,0))),""))</f>
        <v/>
      </c>
      <c r="K24" s="76">
        <f>IF(OR(G24="",I24=""),"",Bootstrap!$D$4-(G24/100)*J24)</f>
        <v/>
      </c>
      <c r="L24" s="76">
        <f>IF(OR(G24="",I24=""),"",1+(G24/100)*I24)</f>
        <v/>
      </c>
      <c r="M24" s="76">
        <f>IF(NOT(Bootstrap!$G$4="Test 1"),"",IFERROR(INDEX(Bootstrap!$H$8:$H$72,MATCH(F24,Bootstrap!$B$8:$B$72,0)),""))</f>
        <v/>
      </c>
      <c r="N24" s="80">
        <f>IF(NOT(Bootstrap!$G$4="Test 1"),"",IFERROR(INDEX(Bootstrap!$C$8:$C$72,MATCH(F24,Bootstrap!$B$8:$B$72,0)),""))</f>
        <v/>
      </c>
      <c r="O24" s="84">
        <f>IF(NOT(Bootstrap!$G$4="Test 1"),"",IFERROR(INDEX(Bootstrap!$J$8:$J$72,MATCH(F24,Bootstrap!$B$8:$B$72,0)),""))</f>
        <v/>
      </c>
      <c r="P24" s="89">
        <f>IF(OR(O24="",NOT(ISNUMBER(C24))),"",(O24-C24)*100)</f>
        <v/>
      </c>
      <c r="Q24" s="72">
        <f>IF(OR(M24="",NOT(ISNUMBER(D24))),"",M24-D24)</f>
        <v/>
      </c>
    </row>
    <row r="25">
      <c r="A25" s="68" t="n"/>
      <c r="B25" s="85" t="n"/>
      <c r="C25" s="85" t="n"/>
      <c r="D25" s="69" t="n"/>
      <c r="E25" s="112">
        <f>IF(OR(A25="",$D$6=""),"",IF(RIGHT(A25,1)="W",$D$6+7*VALUE(LEFT(A25,LEN(A25)-1)),IF(RIGHT(A25,1)="M",EDATE($D$6,VALUE(LEFT(A25,LEN(A25)-1))),EDATE($D$6,12*VALUE(LEFT(A25,LEN(A25)-1))))))</f>
        <v/>
      </c>
      <c r="F25" s="112">
        <f>IF(E25="","",IF(MONTH((E25+IF(WEEKDAY(E25,2)=6,2,IF(WEEKDAY(E25,2)=7,1,0))))&lt;&gt;MONTH(E25),(E25-IF(WEEKDAY(E25,2)=6,1,IF(WEEKDAY(E25,2)=7,2,0))),(E25+IF(WEEKDAY(E25,2)=6,2,IF(WEEKDAY(E25,2)=7,1,0)))))</f>
        <v/>
      </c>
      <c r="G25" s="84">
        <f>IF(NOT(Bootstrap!$G$4="Test 1"),"",IFERROR(INDEX(Bootstrap!$E$8:$E$72,MATCH(F25,Bootstrap!$B$8:$B$72,0)),""))</f>
        <v/>
      </c>
      <c r="H25" s="160">
        <f>IF(NOT(Bootstrap!$G$4="Test 1"),"",IFERROR(IF(MATCH(F25,Bootstrap!$B$8:$B$72,0)&lt;=15,"short  DFspot/(1+S*tau)","annual (DFspot-S*A)/(1+S*tau)"),""))</f>
        <v/>
      </c>
      <c r="I25" s="80">
        <f>IF(NOT(Bootstrap!$G$4="Test 1"),"",IFERROR(IF(MATCH(F25,Bootstrap!$B$8:$B$72,0)&lt;=15,INDEX(Bootstrap!$D$8:$D$72,MATCH(F25,Bootstrap!$B$8:$B$72,0)),INDEX(Bootstrap!$F$8:$F$72,MATCH(F25,Bootstrap!$B$8:$B$72,0))),""))</f>
        <v/>
      </c>
      <c r="J25" s="76">
        <f>IF(NOT(Bootstrap!$G$4="Test 1"),"",IFERROR(IF(MATCH(F25,Bootstrap!$B$8:$B$72,0)&lt;=15,0,INDEX(Bootstrap!$G$8:$G$72,MATCH(F25,Bootstrap!$B$8:$B$72,0))),""))</f>
        <v/>
      </c>
      <c r="K25" s="76">
        <f>IF(OR(G25="",I25=""),"",Bootstrap!$D$4-(G25/100)*J25)</f>
        <v/>
      </c>
      <c r="L25" s="76">
        <f>IF(OR(G25="",I25=""),"",1+(G25/100)*I25)</f>
        <v/>
      </c>
      <c r="M25" s="76">
        <f>IF(NOT(Bootstrap!$G$4="Test 1"),"",IFERROR(INDEX(Bootstrap!$H$8:$H$72,MATCH(F25,Bootstrap!$B$8:$B$72,0)),""))</f>
        <v/>
      </c>
      <c r="N25" s="80">
        <f>IF(NOT(Bootstrap!$G$4="Test 1"),"",IFERROR(INDEX(Bootstrap!$C$8:$C$72,MATCH(F25,Bootstrap!$B$8:$B$72,0)),""))</f>
        <v/>
      </c>
      <c r="O25" s="84">
        <f>IF(NOT(Bootstrap!$G$4="Test 1"),"",IFERROR(INDEX(Bootstrap!$J$8:$J$72,MATCH(F25,Bootstrap!$B$8:$B$72,0)),""))</f>
        <v/>
      </c>
      <c r="P25" s="89">
        <f>IF(OR(O25="",NOT(ISNUMBER(C25))),"",(O25-C25)*100)</f>
        <v/>
      </c>
      <c r="Q25" s="72">
        <f>IF(OR(M25="",NOT(ISNUMBER(D25))),"",M25-D25)</f>
        <v/>
      </c>
    </row>
    <row r="26">
      <c r="A26" s="68" t="n"/>
      <c r="B26" s="85" t="n"/>
      <c r="C26" s="85" t="n"/>
      <c r="D26" s="69" t="n"/>
      <c r="E26" s="112">
        <f>IF(OR(A26="",$D$6=""),"",IF(RIGHT(A26,1)="W",$D$6+7*VALUE(LEFT(A26,LEN(A26)-1)),IF(RIGHT(A26,1)="M",EDATE($D$6,VALUE(LEFT(A26,LEN(A26)-1))),EDATE($D$6,12*VALUE(LEFT(A26,LEN(A26)-1))))))</f>
        <v/>
      </c>
      <c r="F26" s="112">
        <f>IF(E26="","",IF(MONTH((E26+IF(WEEKDAY(E26,2)=6,2,IF(WEEKDAY(E26,2)=7,1,0))))&lt;&gt;MONTH(E26),(E26-IF(WEEKDAY(E26,2)=6,1,IF(WEEKDAY(E26,2)=7,2,0))),(E26+IF(WEEKDAY(E26,2)=6,2,IF(WEEKDAY(E26,2)=7,1,0)))))</f>
        <v/>
      </c>
      <c r="G26" s="84">
        <f>IF(NOT(Bootstrap!$G$4="Test 1"),"",IFERROR(INDEX(Bootstrap!$E$8:$E$72,MATCH(F26,Bootstrap!$B$8:$B$72,0)),""))</f>
        <v/>
      </c>
      <c r="H26" s="160">
        <f>IF(NOT(Bootstrap!$G$4="Test 1"),"",IFERROR(IF(MATCH(F26,Bootstrap!$B$8:$B$72,0)&lt;=15,"short  DFspot/(1+S*tau)","annual (DFspot-S*A)/(1+S*tau)"),""))</f>
        <v/>
      </c>
      <c r="I26" s="80">
        <f>IF(NOT(Bootstrap!$G$4="Test 1"),"",IFERROR(IF(MATCH(F26,Bootstrap!$B$8:$B$72,0)&lt;=15,INDEX(Bootstrap!$D$8:$D$72,MATCH(F26,Bootstrap!$B$8:$B$72,0)),INDEX(Bootstrap!$F$8:$F$72,MATCH(F26,Bootstrap!$B$8:$B$72,0))),""))</f>
        <v/>
      </c>
      <c r="J26" s="76">
        <f>IF(NOT(Bootstrap!$G$4="Test 1"),"",IFERROR(IF(MATCH(F26,Bootstrap!$B$8:$B$72,0)&lt;=15,0,INDEX(Bootstrap!$G$8:$G$72,MATCH(F26,Bootstrap!$B$8:$B$72,0))),""))</f>
        <v/>
      </c>
      <c r="K26" s="76">
        <f>IF(OR(G26="",I26=""),"",Bootstrap!$D$4-(G26/100)*J26)</f>
        <v/>
      </c>
      <c r="L26" s="76">
        <f>IF(OR(G26="",I26=""),"",1+(G26/100)*I26)</f>
        <v/>
      </c>
      <c r="M26" s="76">
        <f>IF(NOT(Bootstrap!$G$4="Test 1"),"",IFERROR(INDEX(Bootstrap!$H$8:$H$72,MATCH(F26,Bootstrap!$B$8:$B$72,0)),""))</f>
        <v/>
      </c>
      <c r="N26" s="80">
        <f>IF(NOT(Bootstrap!$G$4="Test 1"),"",IFERROR(INDEX(Bootstrap!$C$8:$C$72,MATCH(F26,Bootstrap!$B$8:$B$72,0)),""))</f>
        <v/>
      </c>
      <c r="O26" s="84">
        <f>IF(NOT(Bootstrap!$G$4="Test 1"),"",IFERROR(INDEX(Bootstrap!$J$8:$J$72,MATCH(F26,Bootstrap!$B$8:$B$72,0)),""))</f>
        <v/>
      </c>
      <c r="P26" s="89">
        <f>IF(OR(O26="",NOT(ISNUMBER(C26))),"",(O26-C26)*100)</f>
        <v/>
      </c>
      <c r="Q26" s="72">
        <f>IF(OR(M26="",NOT(ISNUMBER(D26))),"",M26-D26)</f>
        <v/>
      </c>
    </row>
    <row r="27">
      <c r="A27" s="68" t="n"/>
      <c r="B27" s="85" t="n"/>
      <c r="C27" s="85" t="n"/>
      <c r="D27" s="69" t="n"/>
      <c r="E27" s="112">
        <f>IF(OR(A27="",$D$6=""),"",IF(RIGHT(A27,1)="W",$D$6+7*VALUE(LEFT(A27,LEN(A27)-1)),IF(RIGHT(A27,1)="M",EDATE($D$6,VALUE(LEFT(A27,LEN(A27)-1))),EDATE($D$6,12*VALUE(LEFT(A27,LEN(A27)-1))))))</f>
        <v/>
      </c>
      <c r="F27" s="112">
        <f>IF(E27="","",IF(MONTH((E27+IF(WEEKDAY(E27,2)=6,2,IF(WEEKDAY(E27,2)=7,1,0))))&lt;&gt;MONTH(E27),(E27-IF(WEEKDAY(E27,2)=6,1,IF(WEEKDAY(E27,2)=7,2,0))),(E27+IF(WEEKDAY(E27,2)=6,2,IF(WEEKDAY(E27,2)=7,1,0)))))</f>
        <v/>
      </c>
      <c r="G27" s="84">
        <f>IF(NOT(Bootstrap!$G$4="Test 1"),"",IFERROR(INDEX(Bootstrap!$E$8:$E$72,MATCH(F27,Bootstrap!$B$8:$B$72,0)),""))</f>
        <v/>
      </c>
      <c r="H27" s="160">
        <f>IF(NOT(Bootstrap!$G$4="Test 1"),"",IFERROR(IF(MATCH(F27,Bootstrap!$B$8:$B$72,0)&lt;=15,"short  DFspot/(1+S*tau)","annual (DFspot-S*A)/(1+S*tau)"),""))</f>
        <v/>
      </c>
      <c r="I27" s="80">
        <f>IF(NOT(Bootstrap!$G$4="Test 1"),"",IFERROR(IF(MATCH(F27,Bootstrap!$B$8:$B$72,0)&lt;=15,INDEX(Bootstrap!$D$8:$D$72,MATCH(F27,Bootstrap!$B$8:$B$72,0)),INDEX(Bootstrap!$F$8:$F$72,MATCH(F27,Bootstrap!$B$8:$B$72,0))),""))</f>
        <v/>
      </c>
      <c r="J27" s="76">
        <f>IF(NOT(Bootstrap!$G$4="Test 1"),"",IFERROR(IF(MATCH(F27,Bootstrap!$B$8:$B$72,0)&lt;=15,0,INDEX(Bootstrap!$G$8:$G$72,MATCH(F27,Bootstrap!$B$8:$B$72,0))),""))</f>
        <v/>
      </c>
      <c r="K27" s="76">
        <f>IF(OR(G27="",I27=""),"",Bootstrap!$D$4-(G27/100)*J27)</f>
        <v/>
      </c>
      <c r="L27" s="76">
        <f>IF(OR(G27="",I27=""),"",1+(G27/100)*I27)</f>
        <v/>
      </c>
      <c r="M27" s="76">
        <f>IF(NOT(Bootstrap!$G$4="Test 1"),"",IFERROR(INDEX(Bootstrap!$H$8:$H$72,MATCH(F27,Bootstrap!$B$8:$B$72,0)),""))</f>
        <v/>
      </c>
      <c r="N27" s="80">
        <f>IF(NOT(Bootstrap!$G$4="Test 1"),"",IFERROR(INDEX(Bootstrap!$C$8:$C$72,MATCH(F27,Bootstrap!$B$8:$B$72,0)),""))</f>
        <v/>
      </c>
      <c r="O27" s="84">
        <f>IF(NOT(Bootstrap!$G$4="Test 1"),"",IFERROR(INDEX(Bootstrap!$J$8:$J$72,MATCH(F27,Bootstrap!$B$8:$B$72,0)),""))</f>
        <v/>
      </c>
      <c r="P27" s="89">
        <f>IF(OR(O27="",NOT(ISNUMBER(C27))),"",(O27-C27)*100)</f>
        <v/>
      </c>
      <c r="Q27" s="72">
        <f>IF(OR(M27="",NOT(ISNUMBER(D27))),"",M27-D27)</f>
        <v/>
      </c>
    </row>
    <row r="28">
      <c r="A28" s="68" t="n"/>
      <c r="B28" s="85" t="n"/>
      <c r="C28" s="85" t="n"/>
      <c r="D28" s="69" t="n"/>
      <c r="E28" s="112">
        <f>IF(OR(A28="",$D$6=""),"",IF(RIGHT(A28,1)="W",$D$6+7*VALUE(LEFT(A28,LEN(A28)-1)),IF(RIGHT(A28,1)="M",EDATE($D$6,VALUE(LEFT(A28,LEN(A28)-1))),EDATE($D$6,12*VALUE(LEFT(A28,LEN(A28)-1))))))</f>
        <v/>
      </c>
      <c r="F28" s="112">
        <f>IF(E28="","",IF(MONTH((E28+IF(WEEKDAY(E28,2)=6,2,IF(WEEKDAY(E28,2)=7,1,0))))&lt;&gt;MONTH(E28),(E28-IF(WEEKDAY(E28,2)=6,1,IF(WEEKDAY(E28,2)=7,2,0))),(E28+IF(WEEKDAY(E28,2)=6,2,IF(WEEKDAY(E28,2)=7,1,0)))))</f>
        <v/>
      </c>
      <c r="G28" s="84">
        <f>IF(NOT(Bootstrap!$G$4="Test 1"),"",IFERROR(INDEX(Bootstrap!$E$8:$E$72,MATCH(F28,Bootstrap!$B$8:$B$72,0)),""))</f>
        <v/>
      </c>
      <c r="H28" s="160">
        <f>IF(NOT(Bootstrap!$G$4="Test 1"),"",IFERROR(IF(MATCH(F28,Bootstrap!$B$8:$B$72,0)&lt;=15,"short  DFspot/(1+S*tau)","annual (DFspot-S*A)/(1+S*tau)"),""))</f>
        <v/>
      </c>
      <c r="I28" s="80">
        <f>IF(NOT(Bootstrap!$G$4="Test 1"),"",IFERROR(IF(MATCH(F28,Bootstrap!$B$8:$B$72,0)&lt;=15,INDEX(Bootstrap!$D$8:$D$72,MATCH(F28,Bootstrap!$B$8:$B$72,0)),INDEX(Bootstrap!$F$8:$F$72,MATCH(F28,Bootstrap!$B$8:$B$72,0))),""))</f>
        <v/>
      </c>
      <c r="J28" s="76">
        <f>IF(NOT(Bootstrap!$G$4="Test 1"),"",IFERROR(IF(MATCH(F28,Bootstrap!$B$8:$B$72,0)&lt;=15,0,INDEX(Bootstrap!$G$8:$G$72,MATCH(F28,Bootstrap!$B$8:$B$72,0))),""))</f>
        <v/>
      </c>
      <c r="K28" s="76">
        <f>IF(OR(G28="",I28=""),"",Bootstrap!$D$4-(G28/100)*J28)</f>
        <v/>
      </c>
      <c r="L28" s="76">
        <f>IF(OR(G28="",I28=""),"",1+(G28/100)*I28)</f>
        <v/>
      </c>
      <c r="M28" s="76">
        <f>IF(NOT(Bootstrap!$G$4="Test 1"),"",IFERROR(INDEX(Bootstrap!$H$8:$H$72,MATCH(F28,Bootstrap!$B$8:$B$72,0)),""))</f>
        <v/>
      </c>
      <c r="N28" s="80">
        <f>IF(NOT(Bootstrap!$G$4="Test 1"),"",IFERROR(INDEX(Bootstrap!$C$8:$C$72,MATCH(F28,Bootstrap!$B$8:$B$72,0)),""))</f>
        <v/>
      </c>
      <c r="O28" s="84">
        <f>IF(NOT(Bootstrap!$G$4="Test 1"),"",IFERROR(INDEX(Bootstrap!$J$8:$J$72,MATCH(F28,Bootstrap!$B$8:$B$72,0)),""))</f>
        <v/>
      </c>
      <c r="P28" s="89">
        <f>IF(OR(O28="",NOT(ISNUMBER(C28))),"",(O28-C28)*100)</f>
        <v/>
      </c>
      <c r="Q28" s="72">
        <f>IF(OR(M28="",NOT(ISNUMBER(D28))),"",M28-D28)</f>
        <v/>
      </c>
    </row>
    <row r="29">
      <c r="A29" s="68" t="n"/>
      <c r="B29" s="85" t="n"/>
      <c r="C29" s="85" t="n"/>
      <c r="D29" s="69" t="n"/>
      <c r="E29" s="112">
        <f>IF(OR(A29="",$D$6=""),"",IF(RIGHT(A29,1)="W",$D$6+7*VALUE(LEFT(A29,LEN(A29)-1)),IF(RIGHT(A29,1)="M",EDATE($D$6,VALUE(LEFT(A29,LEN(A29)-1))),EDATE($D$6,12*VALUE(LEFT(A29,LEN(A29)-1))))))</f>
        <v/>
      </c>
      <c r="F29" s="112">
        <f>IF(E29="","",IF(MONTH((E29+IF(WEEKDAY(E29,2)=6,2,IF(WEEKDAY(E29,2)=7,1,0))))&lt;&gt;MONTH(E29),(E29-IF(WEEKDAY(E29,2)=6,1,IF(WEEKDAY(E29,2)=7,2,0))),(E29+IF(WEEKDAY(E29,2)=6,2,IF(WEEKDAY(E29,2)=7,1,0)))))</f>
        <v/>
      </c>
      <c r="G29" s="84">
        <f>IF(NOT(Bootstrap!$G$4="Test 1"),"",IFERROR(INDEX(Bootstrap!$E$8:$E$72,MATCH(F29,Bootstrap!$B$8:$B$72,0)),""))</f>
        <v/>
      </c>
      <c r="H29" s="160">
        <f>IF(NOT(Bootstrap!$G$4="Test 1"),"",IFERROR(IF(MATCH(F29,Bootstrap!$B$8:$B$72,0)&lt;=15,"short  DFspot/(1+S*tau)","annual (DFspot-S*A)/(1+S*tau)"),""))</f>
        <v/>
      </c>
      <c r="I29" s="80">
        <f>IF(NOT(Bootstrap!$G$4="Test 1"),"",IFERROR(IF(MATCH(F29,Bootstrap!$B$8:$B$72,0)&lt;=15,INDEX(Bootstrap!$D$8:$D$72,MATCH(F29,Bootstrap!$B$8:$B$72,0)),INDEX(Bootstrap!$F$8:$F$72,MATCH(F29,Bootstrap!$B$8:$B$72,0))),""))</f>
        <v/>
      </c>
      <c r="J29" s="76">
        <f>IF(NOT(Bootstrap!$G$4="Test 1"),"",IFERROR(IF(MATCH(F29,Bootstrap!$B$8:$B$72,0)&lt;=15,0,INDEX(Bootstrap!$G$8:$G$72,MATCH(F29,Bootstrap!$B$8:$B$72,0))),""))</f>
        <v/>
      </c>
      <c r="K29" s="76">
        <f>IF(OR(G29="",I29=""),"",Bootstrap!$D$4-(G29/100)*J29)</f>
        <v/>
      </c>
      <c r="L29" s="76">
        <f>IF(OR(G29="",I29=""),"",1+(G29/100)*I29)</f>
        <v/>
      </c>
      <c r="M29" s="76">
        <f>IF(NOT(Bootstrap!$G$4="Test 1"),"",IFERROR(INDEX(Bootstrap!$H$8:$H$72,MATCH(F29,Bootstrap!$B$8:$B$72,0)),""))</f>
        <v/>
      </c>
      <c r="N29" s="80">
        <f>IF(NOT(Bootstrap!$G$4="Test 1"),"",IFERROR(INDEX(Bootstrap!$C$8:$C$72,MATCH(F29,Bootstrap!$B$8:$B$72,0)),""))</f>
        <v/>
      </c>
      <c r="O29" s="84">
        <f>IF(NOT(Bootstrap!$G$4="Test 1"),"",IFERROR(INDEX(Bootstrap!$J$8:$J$72,MATCH(F29,Bootstrap!$B$8:$B$72,0)),""))</f>
        <v/>
      </c>
      <c r="P29" s="89">
        <f>IF(OR(O29="",NOT(ISNUMBER(C29))),"",(O29-C29)*100)</f>
        <v/>
      </c>
      <c r="Q29" s="72">
        <f>IF(OR(M29="",NOT(ISNUMBER(D29))),"",M29-D29)</f>
        <v/>
      </c>
    </row>
    <row r="30">
      <c r="A30" s="68" t="n"/>
      <c r="B30" s="85" t="n"/>
      <c r="C30" s="85" t="n"/>
      <c r="D30" s="69" t="n"/>
      <c r="E30" s="112">
        <f>IF(OR(A30="",$D$6=""),"",IF(RIGHT(A30,1)="W",$D$6+7*VALUE(LEFT(A30,LEN(A30)-1)),IF(RIGHT(A30,1)="M",EDATE($D$6,VALUE(LEFT(A30,LEN(A30)-1))),EDATE($D$6,12*VALUE(LEFT(A30,LEN(A30)-1))))))</f>
        <v/>
      </c>
      <c r="F30" s="112">
        <f>IF(E30="","",IF(MONTH((E30+IF(WEEKDAY(E30,2)=6,2,IF(WEEKDAY(E30,2)=7,1,0))))&lt;&gt;MONTH(E30),(E30-IF(WEEKDAY(E30,2)=6,1,IF(WEEKDAY(E30,2)=7,2,0))),(E30+IF(WEEKDAY(E30,2)=6,2,IF(WEEKDAY(E30,2)=7,1,0)))))</f>
        <v/>
      </c>
      <c r="G30" s="84">
        <f>IF(NOT(Bootstrap!$G$4="Test 1"),"",IFERROR(INDEX(Bootstrap!$E$8:$E$72,MATCH(F30,Bootstrap!$B$8:$B$72,0)),""))</f>
        <v/>
      </c>
      <c r="H30" s="160">
        <f>IF(NOT(Bootstrap!$G$4="Test 1"),"",IFERROR(IF(MATCH(F30,Bootstrap!$B$8:$B$72,0)&lt;=15,"short  DFspot/(1+S*tau)","annual (DFspot-S*A)/(1+S*tau)"),""))</f>
        <v/>
      </c>
      <c r="I30" s="80">
        <f>IF(NOT(Bootstrap!$G$4="Test 1"),"",IFERROR(IF(MATCH(F30,Bootstrap!$B$8:$B$72,0)&lt;=15,INDEX(Bootstrap!$D$8:$D$72,MATCH(F30,Bootstrap!$B$8:$B$72,0)),INDEX(Bootstrap!$F$8:$F$72,MATCH(F30,Bootstrap!$B$8:$B$72,0))),""))</f>
        <v/>
      </c>
      <c r="J30" s="76">
        <f>IF(NOT(Bootstrap!$G$4="Test 1"),"",IFERROR(IF(MATCH(F30,Bootstrap!$B$8:$B$72,0)&lt;=15,0,INDEX(Bootstrap!$G$8:$G$72,MATCH(F30,Bootstrap!$B$8:$B$72,0))),""))</f>
        <v/>
      </c>
      <c r="K30" s="76">
        <f>IF(OR(G30="",I30=""),"",Bootstrap!$D$4-(G30/100)*J30)</f>
        <v/>
      </c>
      <c r="L30" s="76">
        <f>IF(OR(G30="",I30=""),"",1+(G30/100)*I30)</f>
        <v/>
      </c>
      <c r="M30" s="76">
        <f>IF(NOT(Bootstrap!$G$4="Test 1"),"",IFERROR(INDEX(Bootstrap!$H$8:$H$72,MATCH(F30,Bootstrap!$B$8:$B$72,0)),""))</f>
        <v/>
      </c>
      <c r="N30" s="80">
        <f>IF(NOT(Bootstrap!$G$4="Test 1"),"",IFERROR(INDEX(Bootstrap!$C$8:$C$72,MATCH(F30,Bootstrap!$B$8:$B$72,0)),""))</f>
        <v/>
      </c>
      <c r="O30" s="84">
        <f>IF(NOT(Bootstrap!$G$4="Test 1"),"",IFERROR(INDEX(Bootstrap!$J$8:$J$72,MATCH(F30,Bootstrap!$B$8:$B$72,0)),""))</f>
        <v/>
      </c>
      <c r="P30" s="89">
        <f>IF(OR(O30="",NOT(ISNUMBER(C30))),"",(O30-C30)*100)</f>
        <v/>
      </c>
      <c r="Q30" s="72">
        <f>IF(OR(M30="",NOT(ISNUMBER(D30))),"",M30-D30)</f>
        <v/>
      </c>
    </row>
    <row r="31">
      <c r="A31" s="68" t="n"/>
      <c r="B31" s="85" t="n"/>
      <c r="C31" s="85" t="n"/>
      <c r="D31" s="69" t="n"/>
      <c r="E31" s="112">
        <f>IF(OR(A31="",$D$6=""),"",IF(RIGHT(A31,1)="W",$D$6+7*VALUE(LEFT(A31,LEN(A31)-1)),IF(RIGHT(A31,1)="M",EDATE($D$6,VALUE(LEFT(A31,LEN(A31)-1))),EDATE($D$6,12*VALUE(LEFT(A31,LEN(A31)-1))))))</f>
        <v/>
      </c>
      <c r="F31" s="112">
        <f>IF(E31="","",IF(MONTH((E31+IF(WEEKDAY(E31,2)=6,2,IF(WEEKDAY(E31,2)=7,1,0))))&lt;&gt;MONTH(E31),(E31-IF(WEEKDAY(E31,2)=6,1,IF(WEEKDAY(E31,2)=7,2,0))),(E31+IF(WEEKDAY(E31,2)=6,2,IF(WEEKDAY(E31,2)=7,1,0)))))</f>
        <v/>
      </c>
      <c r="G31" s="84">
        <f>IF(NOT(Bootstrap!$G$4="Test 1"),"",IFERROR(INDEX(Bootstrap!$E$8:$E$72,MATCH(F31,Bootstrap!$B$8:$B$72,0)),""))</f>
        <v/>
      </c>
      <c r="H31" s="160">
        <f>IF(NOT(Bootstrap!$G$4="Test 1"),"",IFERROR(IF(MATCH(F31,Bootstrap!$B$8:$B$72,0)&lt;=15,"short  DFspot/(1+S*tau)","annual (DFspot-S*A)/(1+S*tau)"),""))</f>
        <v/>
      </c>
      <c r="I31" s="80">
        <f>IF(NOT(Bootstrap!$G$4="Test 1"),"",IFERROR(IF(MATCH(F31,Bootstrap!$B$8:$B$72,0)&lt;=15,INDEX(Bootstrap!$D$8:$D$72,MATCH(F31,Bootstrap!$B$8:$B$72,0)),INDEX(Bootstrap!$F$8:$F$72,MATCH(F31,Bootstrap!$B$8:$B$72,0))),""))</f>
        <v/>
      </c>
      <c r="J31" s="76">
        <f>IF(NOT(Bootstrap!$G$4="Test 1"),"",IFERROR(IF(MATCH(F31,Bootstrap!$B$8:$B$72,0)&lt;=15,0,INDEX(Bootstrap!$G$8:$G$72,MATCH(F31,Bootstrap!$B$8:$B$72,0))),""))</f>
        <v/>
      </c>
      <c r="K31" s="76">
        <f>IF(OR(G31="",I31=""),"",Bootstrap!$D$4-(G31/100)*J31)</f>
        <v/>
      </c>
      <c r="L31" s="76">
        <f>IF(OR(G31="",I31=""),"",1+(G31/100)*I31)</f>
        <v/>
      </c>
      <c r="M31" s="76">
        <f>IF(NOT(Bootstrap!$G$4="Test 1"),"",IFERROR(INDEX(Bootstrap!$H$8:$H$72,MATCH(F31,Bootstrap!$B$8:$B$72,0)),""))</f>
        <v/>
      </c>
      <c r="N31" s="80">
        <f>IF(NOT(Bootstrap!$G$4="Test 1"),"",IFERROR(INDEX(Bootstrap!$C$8:$C$72,MATCH(F31,Bootstrap!$B$8:$B$72,0)),""))</f>
        <v/>
      </c>
      <c r="O31" s="84">
        <f>IF(NOT(Bootstrap!$G$4="Test 1"),"",IFERROR(INDEX(Bootstrap!$J$8:$J$72,MATCH(F31,Bootstrap!$B$8:$B$72,0)),""))</f>
        <v/>
      </c>
      <c r="P31" s="89">
        <f>IF(OR(O31="",NOT(ISNUMBER(C31))),"",(O31-C31)*100)</f>
        <v/>
      </c>
      <c r="Q31" s="72">
        <f>IF(OR(M31="",NOT(ISNUMBER(D31))),"",M31-D31)</f>
        <v/>
      </c>
    </row>
    <row r="32">
      <c r="A32" s="68" t="n"/>
      <c r="B32" s="85" t="n"/>
      <c r="C32" s="85" t="n"/>
      <c r="D32" s="69" t="n"/>
      <c r="E32" s="112">
        <f>IF(OR(A32="",$D$6=""),"",IF(RIGHT(A32,1)="W",$D$6+7*VALUE(LEFT(A32,LEN(A32)-1)),IF(RIGHT(A32,1)="M",EDATE($D$6,VALUE(LEFT(A32,LEN(A32)-1))),EDATE($D$6,12*VALUE(LEFT(A32,LEN(A32)-1))))))</f>
        <v/>
      </c>
      <c r="F32" s="112">
        <f>IF(E32="","",IF(MONTH((E32+IF(WEEKDAY(E32,2)=6,2,IF(WEEKDAY(E32,2)=7,1,0))))&lt;&gt;MONTH(E32),(E32-IF(WEEKDAY(E32,2)=6,1,IF(WEEKDAY(E32,2)=7,2,0))),(E32+IF(WEEKDAY(E32,2)=6,2,IF(WEEKDAY(E32,2)=7,1,0)))))</f>
        <v/>
      </c>
      <c r="G32" s="84">
        <f>IF(NOT(Bootstrap!$G$4="Test 1"),"",IFERROR(INDEX(Bootstrap!$E$8:$E$72,MATCH(F32,Bootstrap!$B$8:$B$72,0)),""))</f>
        <v/>
      </c>
      <c r="H32" s="160">
        <f>IF(NOT(Bootstrap!$G$4="Test 1"),"",IFERROR(IF(MATCH(F32,Bootstrap!$B$8:$B$72,0)&lt;=15,"short  DFspot/(1+S*tau)","annual (DFspot-S*A)/(1+S*tau)"),""))</f>
        <v/>
      </c>
      <c r="I32" s="80">
        <f>IF(NOT(Bootstrap!$G$4="Test 1"),"",IFERROR(IF(MATCH(F32,Bootstrap!$B$8:$B$72,0)&lt;=15,INDEX(Bootstrap!$D$8:$D$72,MATCH(F32,Bootstrap!$B$8:$B$72,0)),INDEX(Bootstrap!$F$8:$F$72,MATCH(F32,Bootstrap!$B$8:$B$72,0))),""))</f>
        <v/>
      </c>
      <c r="J32" s="76">
        <f>IF(NOT(Bootstrap!$G$4="Test 1"),"",IFERROR(IF(MATCH(F32,Bootstrap!$B$8:$B$72,0)&lt;=15,0,INDEX(Bootstrap!$G$8:$G$72,MATCH(F32,Bootstrap!$B$8:$B$72,0))),""))</f>
        <v/>
      </c>
      <c r="K32" s="76">
        <f>IF(OR(G32="",I32=""),"",Bootstrap!$D$4-(G32/100)*J32)</f>
        <v/>
      </c>
      <c r="L32" s="76">
        <f>IF(OR(G32="",I32=""),"",1+(G32/100)*I32)</f>
        <v/>
      </c>
      <c r="M32" s="76">
        <f>IF(NOT(Bootstrap!$G$4="Test 1"),"",IFERROR(INDEX(Bootstrap!$H$8:$H$72,MATCH(F32,Bootstrap!$B$8:$B$72,0)),""))</f>
        <v/>
      </c>
      <c r="N32" s="80">
        <f>IF(NOT(Bootstrap!$G$4="Test 1"),"",IFERROR(INDEX(Bootstrap!$C$8:$C$72,MATCH(F32,Bootstrap!$B$8:$B$72,0)),""))</f>
        <v/>
      </c>
      <c r="O32" s="84">
        <f>IF(NOT(Bootstrap!$G$4="Test 1"),"",IFERROR(INDEX(Bootstrap!$J$8:$J$72,MATCH(F32,Bootstrap!$B$8:$B$72,0)),""))</f>
        <v/>
      </c>
      <c r="P32" s="89">
        <f>IF(OR(O32="",NOT(ISNUMBER(C32))),"",(O32-C32)*100)</f>
        <v/>
      </c>
      <c r="Q32" s="72">
        <f>IF(OR(M32="",NOT(ISNUMBER(D32))),"",M32-D32)</f>
        <v/>
      </c>
    </row>
    <row r="33">
      <c r="A33" s="68" t="n"/>
      <c r="B33" s="85" t="n"/>
      <c r="C33" s="85" t="n"/>
      <c r="D33" s="69" t="n"/>
      <c r="E33" s="112">
        <f>IF(OR(A33="",$D$6=""),"",IF(RIGHT(A33,1)="W",$D$6+7*VALUE(LEFT(A33,LEN(A33)-1)),IF(RIGHT(A33,1)="M",EDATE($D$6,VALUE(LEFT(A33,LEN(A33)-1))),EDATE($D$6,12*VALUE(LEFT(A33,LEN(A33)-1))))))</f>
        <v/>
      </c>
      <c r="F33" s="112">
        <f>IF(E33="","",IF(MONTH((E33+IF(WEEKDAY(E33,2)=6,2,IF(WEEKDAY(E33,2)=7,1,0))))&lt;&gt;MONTH(E33),(E33-IF(WEEKDAY(E33,2)=6,1,IF(WEEKDAY(E33,2)=7,2,0))),(E33+IF(WEEKDAY(E33,2)=6,2,IF(WEEKDAY(E33,2)=7,1,0)))))</f>
        <v/>
      </c>
      <c r="G33" s="84">
        <f>IF(NOT(Bootstrap!$G$4="Test 1"),"",IFERROR(INDEX(Bootstrap!$E$8:$E$72,MATCH(F33,Bootstrap!$B$8:$B$72,0)),""))</f>
        <v/>
      </c>
      <c r="H33" s="160">
        <f>IF(NOT(Bootstrap!$G$4="Test 1"),"",IFERROR(IF(MATCH(F33,Bootstrap!$B$8:$B$72,0)&lt;=15,"short  DFspot/(1+S*tau)","annual (DFspot-S*A)/(1+S*tau)"),""))</f>
        <v/>
      </c>
      <c r="I33" s="80">
        <f>IF(NOT(Bootstrap!$G$4="Test 1"),"",IFERROR(IF(MATCH(F33,Bootstrap!$B$8:$B$72,0)&lt;=15,INDEX(Bootstrap!$D$8:$D$72,MATCH(F33,Bootstrap!$B$8:$B$72,0)),INDEX(Bootstrap!$F$8:$F$72,MATCH(F33,Bootstrap!$B$8:$B$72,0))),""))</f>
        <v/>
      </c>
      <c r="J33" s="76">
        <f>IF(NOT(Bootstrap!$G$4="Test 1"),"",IFERROR(IF(MATCH(F33,Bootstrap!$B$8:$B$72,0)&lt;=15,0,INDEX(Bootstrap!$G$8:$G$72,MATCH(F33,Bootstrap!$B$8:$B$72,0))),""))</f>
        <v/>
      </c>
      <c r="K33" s="76">
        <f>IF(OR(G33="",I33=""),"",Bootstrap!$D$4-(G33/100)*J33)</f>
        <v/>
      </c>
      <c r="L33" s="76">
        <f>IF(OR(G33="",I33=""),"",1+(G33/100)*I33)</f>
        <v/>
      </c>
      <c r="M33" s="76">
        <f>IF(NOT(Bootstrap!$G$4="Test 1"),"",IFERROR(INDEX(Bootstrap!$H$8:$H$72,MATCH(F33,Bootstrap!$B$8:$B$72,0)),""))</f>
        <v/>
      </c>
      <c r="N33" s="80">
        <f>IF(NOT(Bootstrap!$G$4="Test 1"),"",IFERROR(INDEX(Bootstrap!$C$8:$C$72,MATCH(F33,Bootstrap!$B$8:$B$72,0)),""))</f>
        <v/>
      </c>
      <c r="O33" s="84">
        <f>IF(NOT(Bootstrap!$G$4="Test 1"),"",IFERROR(INDEX(Bootstrap!$J$8:$J$72,MATCH(F33,Bootstrap!$B$8:$B$72,0)),""))</f>
        <v/>
      </c>
      <c r="P33" s="89">
        <f>IF(OR(O33="",NOT(ISNUMBER(C33))),"",(O33-C33)*100)</f>
        <v/>
      </c>
      <c r="Q33" s="72">
        <f>IF(OR(M33="",NOT(ISNUMBER(D33))),"",M33-D33)</f>
        <v/>
      </c>
    </row>
    <row r="34">
      <c r="A34" s="68" t="n"/>
      <c r="B34" s="85" t="n"/>
      <c r="C34" s="85" t="n"/>
      <c r="D34" s="69" t="n"/>
      <c r="E34" s="112">
        <f>IF(OR(A34="",$D$6=""),"",IF(RIGHT(A34,1)="W",$D$6+7*VALUE(LEFT(A34,LEN(A34)-1)),IF(RIGHT(A34,1)="M",EDATE($D$6,VALUE(LEFT(A34,LEN(A34)-1))),EDATE($D$6,12*VALUE(LEFT(A34,LEN(A34)-1))))))</f>
        <v/>
      </c>
      <c r="F34" s="112">
        <f>IF(E34="","",IF(MONTH((E34+IF(WEEKDAY(E34,2)=6,2,IF(WEEKDAY(E34,2)=7,1,0))))&lt;&gt;MONTH(E34),(E34-IF(WEEKDAY(E34,2)=6,1,IF(WEEKDAY(E34,2)=7,2,0))),(E34+IF(WEEKDAY(E34,2)=6,2,IF(WEEKDAY(E34,2)=7,1,0)))))</f>
        <v/>
      </c>
      <c r="G34" s="84">
        <f>IF(NOT(Bootstrap!$G$4="Test 1"),"",IFERROR(INDEX(Bootstrap!$E$8:$E$72,MATCH(F34,Bootstrap!$B$8:$B$72,0)),""))</f>
        <v/>
      </c>
      <c r="H34" s="160">
        <f>IF(NOT(Bootstrap!$G$4="Test 1"),"",IFERROR(IF(MATCH(F34,Bootstrap!$B$8:$B$72,0)&lt;=15,"short  DFspot/(1+S*tau)","annual (DFspot-S*A)/(1+S*tau)"),""))</f>
        <v/>
      </c>
      <c r="I34" s="80">
        <f>IF(NOT(Bootstrap!$G$4="Test 1"),"",IFERROR(IF(MATCH(F34,Bootstrap!$B$8:$B$72,0)&lt;=15,INDEX(Bootstrap!$D$8:$D$72,MATCH(F34,Bootstrap!$B$8:$B$72,0)),INDEX(Bootstrap!$F$8:$F$72,MATCH(F34,Bootstrap!$B$8:$B$72,0))),""))</f>
        <v/>
      </c>
      <c r="J34" s="76">
        <f>IF(NOT(Bootstrap!$G$4="Test 1"),"",IFERROR(IF(MATCH(F34,Bootstrap!$B$8:$B$72,0)&lt;=15,0,INDEX(Bootstrap!$G$8:$G$72,MATCH(F34,Bootstrap!$B$8:$B$72,0))),""))</f>
        <v/>
      </c>
      <c r="K34" s="76">
        <f>IF(OR(G34="",I34=""),"",Bootstrap!$D$4-(G34/100)*J34)</f>
        <v/>
      </c>
      <c r="L34" s="76">
        <f>IF(OR(G34="",I34=""),"",1+(G34/100)*I34)</f>
        <v/>
      </c>
      <c r="M34" s="76">
        <f>IF(NOT(Bootstrap!$G$4="Test 1"),"",IFERROR(INDEX(Bootstrap!$H$8:$H$72,MATCH(F34,Bootstrap!$B$8:$B$72,0)),""))</f>
        <v/>
      </c>
      <c r="N34" s="80">
        <f>IF(NOT(Bootstrap!$G$4="Test 1"),"",IFERROR(INDEX(Bootstrap!$C$8:$C$72,MATCH(F34,Bootstrap!$B$8:$B$72,0)),""))</f>
        <v/>
      </c>
      <c r="O34" s="84">
        <f>IF(NOT(Bootstrap!$G$4="Test 1"),"",IFERROR(INDEX(Bootstrap!$J$8:$J$72,MATCH(F34,Bootstrap!$B$8:$B$72,0)),""))</f>
        <v/>
      </c>
      <c r="P34" s="89">
        <f>IF(OR(O34="",NOT(ISNUMBER(C34))),"",(O34-C34)*100)</f>
        <v/>
      </c>
      <c r="Q34" s="72">
        <f>IF(OR(M34="",NOT(ISNUMBER(D34))),"",M34-D34)</f>
        <v/>
      </c>
    </row>
    <row r="35">
      <c r="A35" s="68" t="n"/>
      <c r="B35" s="85" t="n"/>
      <c r="C35" s="85" t="n"/>
      <c r="D35" s="69" t="n"/>
      <c r="E35" s="112">
        <f>IF(OR(A35="",$D$6=""),"",IF(RIGHT(A35,1)="W",$D$6+7*VALUE(LEFT(A35,LEN(A35)-1)),IF(RIGHT(A35,1)="M",EDATE($D$6,VALUE(LEFT(A35,LEN(A35)-1))),EDATE($D$6,12*VALUE(LEFT(A35,LEN(A35)-1))))))</f>
        <v/>
      </c>
      <c r="F35" s="112">
        <f>IF(E35="","",IF(MONTH((E35+IF(WEEKDAY(E35,2)=6,2,IF(WEEKDAY(E35,2)=7,1,0))))&lt;&gt;MONTH(E35),(E35-IF(WEEKDAY(E35,2)=6,1,IF(WEEKDAY(E35,2)=7,2,0))),(E35+IF(WEEKDAY(E35,2)=6,2,IF(WEEKDAY(E35,2)=7,1,0)))))</f>
        <v/>
      </c>
      <c r="G35" s="84">
        <f>IF(NOT(Bootstrap!$G$4="Test 1"),"",IFERROR(INDEX(Bootstrap!$E$8:$E$72,MATCH(F35,Bootstrap!$B$8:$B$72,0)),""))</f>
        <v/>
      </c>
      <c r="H35" s="160">
        <f>IF(NOT(Bootstrap!$G$4="Test 1"),"",IFERROR(IF(MATCH(F35,Bootstrap!$B$8:$B$72,0)&lt;=15,"short  DFspot/(1+S*tau)","annual (DFspot-S*A)/(1+S*tau)"),""))</f>
        <v/>
      </c>
      <c r="I35" s="80">
        <f>IF(NOT(Bootstrap!$G$4="Test 1"),"",IFERROR(IF(MATCH(F35,Bootstrap!$B$8:$B$72,0)&lt;=15,INDEX(Bootstrap!$D$8:$D$72,MATCH(F35,Bootstrap!$B$8:$B$72,0)),INDEX(Bootstrap!$F$8:$F$72,MATCH(F35,Bootstrap!$B$8:$B$72,0))),""))</f>
        <v/>
      </c>
      <c r="J35" s="76">
        <f>IF(NOT(Bootstrap!$G$4="Test 1"),"",IFERROR(IF(MATCH(F35,Bootstrap!$B$8:$B$72,0)&lt;=15,0,INDEX(Bootstrap!$G$8:$G$72,MATCH(F35,Bootstrap!$B$8:$B$72,0))),""))</f>
        <v/>
      </c>
      <c r="K35" s="76">
        <f>IF(OR(G35="",I35=""),"",Bootstrap!$D$4-(G35/100)*J35)</f>
        <v/>
      </c>
      <c r="L35" s="76">
        <f>IF(OR(G35="",I35=""),"",1+(G35/100)*I35)</f>
        <v/>
      </c>
      <c r="M35" s="76">
        <f>IF(NOT(Bootstrap!$G$4="Test 1"),"",IFERROR(INDEX(Bootstrap!$H$8:$H$72,MATCH(F35,Bootstrap!$B$8:$B$72,0)),""))</f>
        <v/>
      </c>
      <c r="N35" s="80">
        <f>IF(NOT(Bootstrap!$G$4="Test 1"),"",IFERROR(INDEX(Bootstrap!$C$8:$C$72,MATCH(F35,Bootstrap!$B$8:$B$72,0)),""))</f>
        <v/>
      </c>
      <c r="O35" s="84">
        <f>IF(NOT(Bootstrap!$G$4="Test 1"),"",IFERROR(INDEX(Bootstrap!$J$8:$J$72,MATCH(F35,Bootstrap!$B$8:$B$72,0)),""))</f>
        <v/>
      </c>
      <c r="P35" s="89">
        <f>IF(OR(O35="",NOT(ISNUMBER(C35))),"",(O35-C35)*100)</f>
        <v/>
      </c>
      <c r="Q35" s="72">
        <f>IF(OR(M35="",NOT(ISNUMBER(D35))),"",M35-D35)</f>
        <v/>
      </c>
    </row>
    <row r="36">
      <c r="A36" s="68" t="n"/>
      <c r="B36" s="85" t="n"/>
      <c r="C36" s="85" t="n"/>
      <c r="D36" s="69" t="n"/>
      <c r="E36" s="112">
        <f>IF(OR(A36="",$D$6=""),"",IF(RIGHT(A36,1)="W",$D$6+7*VALUE(LEFT(A36,LEN(A36)-1)),IF(RIGHT(A36,1)="M",EDATE($D$6,VALUE(LEFT(A36,LEN(A36)-1))),EDATE($D$6,12*VALUE(LEFT(A36,LEN(A36)-1))))))</f>
        <v/>
      </c>
      <c r="F36" s="112">
        <f>IF(E36="","",IF(MONTH((E36+IF(WEEKDAY(E36,2)=6,2,IF(WEEKDAY(E36,2)=7,1,0))))&lt;&gt;MONTH(E36),(E36-IF(WEEKDAY(E36,2)=6,1,IF(WEEKDAY(E36,2)=7,2,0))),(E36+IF(WEEKDAY(E36,2)=6,2,IF(WEEKDAY(E36,2)=7,1,0)))))</f>
        <v/>
      </c>
      <c r="G36" s="84">
        <f>IF(NOT(Bootstrap!$G$4="Test 1"),"",IFERROR(INDEX(Bootstrap!$E$8:$E$72,MATCH(F36,Bootstrap!$B$8:$B$72,0)),""))</f>
        <v/>
      </c>
      <c r="H36" s="160">
        <f>IF(NOT(Bootstrap!$G$4="Test 1"),"",IFERROR(IF(MATCH(F36,Bootstrap!$B$8:$B$72,0)&lt;=15,"short  DFspot/(1+S*tau)","annual (DFspot-S*A)/(1+S*tau)"),""))</f>
        <v/>
      </c>
      <c r="I36" s="80">
        <f>IF(NOT(Bootstrap!$G$4="Test 1"),"",IFERROR(IF(MATCH(F36,Bootstrap!$B$8:$B$72,0)&lt;=15,INDEX(Bootstrap!$D$8:$D$72,MATCH(F36,Bootstrap!$B$8:$B$72,0)),INDEX(Bootstrap!$F$8:$F$72,MATCH(F36,Bootstrap!$B$8:$B$72,0))),""))</f>
        <v/>
      </c>
      <c r="J36" s="76">
        <f>IF(NOT(Bootstrap!$G$4="Test 1"),"",IFERROR(IF(MATCH(F36,Bootstrap!$B$8:$B$72,0)&lt;=15,0,INDEX(Bootstrap!$G$8:$G$72,MATCH(F36,Bootstrap!$B$8:$B$72,0))),""))</f>
        <v/>
      </c>
      <c r="K36" s="76">
        <f>IF(OR(G36="",I36=""),"",Bootstrap!$D$4-(G36/100)*J36)</f>
        <v/>
      </c>
      <c r="L36" s="76">
        <f>IF(OR(G36="",I36=""),"",1+(G36/100)*I36)</f>
        <v/>
      </c>
      <c r="M36" s="76">
        <f>IF(NOT(Bootstrap!$G$4="Test 1"),"",IFERROR(INDEX(Bootstrap!$H$8:$H$72,MATCH(F36,Bootstrap!$B$8:$B$72,0)),""))</f>
        <v/>
      </c>
      <c r="N36" s="80">
        <f>IF(NOT(Bootstrap!$G$4="Test 1"),"",IFERROR(INDEX(Bootstrap!$C$8:$C$72,MATCH(F36,Bootstrap!$B$8:$B$72,0)),""))</f>
        <v/>
      </c>
      <c r="O36" s="84">
        <f>IF(NOT(Bootstrap!$G$4="Test 1"),"",IFERROR(INDEX(Bootstrap!$J$8:$J$72,MATCH(F36,Bootstrap!$B$8:$B$72,0)),""))</f>
        <v/>
      </c>
      <c r="P36" s="89">
        <f>IF(OR(O36="",NOT(ISNUMBER(C36))),"",(O36-C36)*100)</f>
        <v/>
      </c>
      <c r="Q36" s="72">
        <f>IF(OR(M36="",NOT(ISNUMBER(D36))),"",M36-D36)</f>
        <v/>
      </c>
    </row>
    <row r="37">
      <c r="A37" s="68" t="n"/>
      <c r="B37" s="85" t="n"/>
      <c r="C37" s="85" t="n"/>
      <c r="D37" s="69" t="n"/>
      <c r="E37" s="112">
        <f>IF(OR(A37="",$D$6=""),"",IF(RIGHT(A37,1)="W",$D$6+7*VALUE(LEFT(A37,LEN(A37)-1)),IF(RIGHT(A37,1)="M",EDATE($D$6,VALUE(LEFT(A37,LEN(A37)-1))),EDATE($D$6,12*VALUE(LEFT(A37,LEN(A37)-1))))))</f>
        <v/>
      </c>
      <c r="F37" s="112">
        <f>IF(E37="","",IF(MONTH((E37+IF(WEEKDAY(E37,2)=6,2,IF(WEEKDAY(E37,2)=7,1,0))))&lt;&gt;MONTH(E37),(E37-IF(WEEKDAY(E37,2)=6,1,IF(WEEKDAY(E37,2)=7,2,0))),(E37+IF(WEEKDAY(E37,2)=6,2,IF(WEEKDAY(E37,2)=7,1,0)))))</f>
        <v/>
      </c>
      <c r="G37" s="84">
        <f>IF(NOT(Bootstrap!$G$4="Test 1"),"",IFERROR(INDEX(Bootstrap!$E$8:$E$72,MATCH(F37,Bootstrap!$B$8:$B$72,0)),""))</f>
        <v/>
      </c>
      <c r="H37" s="160">
        <f>IF(NOT(Bootstrap!$G$4="Test 1"),"",IFERROR(IF(MATCH(F37,Bootstrap!$B$8:$B$72,0)&lt;=15,"short  DFspot/(1+S*tau)","annual (DFspot-S*A)/(1+S*tau)"),""))</f>
        <v/>
      </c>
      <c r="I37" s="80">
        <f>IF(NOT(Bootstrap!$G$4="Test 1"),"",IFERROR(IF(MATCH(F37,Bootstrap!$B$8:$B$72,0)&lt;=15,INDEX(Bootstrap!$D$8:$D$72,MATCH(F37,Bootstrap!$B$8:$B$72,0)),INDEX(Bootstrap!$F$8:$F$72,MATCH(F37,Bootstrap!$B$8:$B$72,0))),""))</f>
        <v/>
      </c>
      <c r="J37" s="76">
        <f>IF(NOT(Bootstrap!$G$4="Test 1"),"",IFERROR(IF(MATCH(F37,Bootstrap!$B$8:$B$72,0)&lt;=15,0,INDEX(Bootstrap!$G$8:$G$72,MATCH(F37,Bootstrap!$B$8:$B$72,0))),""))</f>
        <v/>
      </c>
      <c r="K37" s="76">
        <f>IF(OR(G37="",I37=""),"",Bootstrap!$D$4-(G37/100)*J37)</f>
        <v/>
      </c>
      <c r="L37" s="76">
        <f>IF(OR(G37="",I37=""),"",1+(G37/100)*I37)</f>
        <v/>
      </c>
      <c r="M37" s="76">
        <f>IF(NOT(Bootstrap!$G$4="Test 1"),"",IFERROR(INDEX(Bootstrap!$H$8:$H$72,MATCH(F37,Bootstrap!$B$8:$B$72,0)),""))</f>
        <v/>
      </c>
      <c r="N37" s="80">
        <f>IF(NOT(Bootstrap!$G$4="Test 1"),"",IFERROR(INDEX(Bootstrap!$C$8:$C$72,MATCH(F37,Bootstrap!$B$8:$B$72,0)),""))</f>
        <v/>
      </c>
      <c r="O37" s="84">
        <f>IF(NOT(Bootstrap!$G$4="Test 1"),"",IFERROR(INDEX(Bootstrap!$J$8:$J$72,MATCH(F37,Bootstrap!$B$8:$B$72,0)),""))</f>
        <v/>
      </c>
      <c r="P37" s="89">
        <f>IF(OR(O37="",NOT(ISNUMBER(C37))),"",(O37-C37)*100)</f>
        <v/>
      </c>
      <c r="Q37" s="72">
        <f>IF(OR(M37="",NOT(ISNUMBER(D37))),"",M37-D37)</f>
        <v/>
      </c>
    </row>
    <row r="38">
      <c r="A38" s="68" t="n"/>
      <c r="B38" s="85" t="n"/>
      <c r="C38" s="85" t="n"/>
      <c r="D38" s="69" t="n"/>
      <c r="E38" s="112">
        <f>IF(OR(A38="",$D$6=""),"",IF(RIGHT(A38,1)="W",$D$6+7*VALUE(LEFT(A38,LEN(A38)-1)),IF(RIGHT(A38,1)="M",EDATE($D$6,VALUE(LEFT(A38,LEN(A38)-1))),EDATE($D$6,12*VALUE(LEFT(A38,LEN(A38)-1))))))</f>
        <v/>
      </c>
      <c r="F38" s="112">
        <f>IF(E38="","",IF(MONTH((E38+IF(WEEKDAY(E38,2)=6,2,IF(WEEKDAY(E38,2)=7,1,0))))&lt;&gt;MONTH(E38),(E38-IF(WEEKDAY(E38,2)=6,1,IF(WEEKDAY(E38,2)=7,2,0))),(E38+IF(WEEKDAY(E38,2)=6,2,IF(WEEKDAY(E38,2)=7,1,0)))))</f>
        <v/>
      </c>
      <c r="G38" s="84">
        <f>IF(NOT(Bootstrap!$G$4="Test 1"),"",IFERROR(INDEX(Bootstrap!$E$8:$E$72,MATCH(F38,Bootstrap!$B$8:$B$72,0)),""))</f>
        <v/>
      </c>
      <c r="H38" s="160">
        <f>IF(NOT(Bootstrap!$G$4="Test 1"),"",IFERROR(IF(MATCH(F38,Bootstrap!$B$8:$B$72,0)&lt;=15,"short  DFspot/(1+S*tau)","annual (DFspot-S*A)/(1+S*tau)"),""))</f>
        <v/>
      </c>
      <c r="I38" s="80">
        <f>IF(NOT(Bootstrap!$G$4="Test 1"),"",IFERROR(IF(MATCH(F38,Bootstrap!$B$8:$B$72,0)&lt;=15,INDEX(Bootstrap!$D$8:$D$72,MATCH(F38,Bootstrap!$B$8:$B$72,0)),INDEX(Bootstrap!$F$8:$F$72,MATCH(F38,Bootstrap!$B$8:$B$72,0))),""))</f>
        <v/>
      </c>
      <c r="J38" s="76">
        <f>IF(NOT(Bootstrap!$G$4="Test 1"),"",IFERROR(IF(MATCH(F38,Bootstrap!$B$8:$B$72,0)&lt;=15,0,INDEX(Bootstrap!$G$8:$G$72,MATCH(F38,Bootstrap!$B$8:$B$72,0))),""))</f>
        <v/>
      </c>
      <c r="K38" s="76">
        <f>IF(OR(G38="",I38=""),"",Bootstrap!$D$4-(G38/100)*J38)</f>
        <v/>
      </c>
      <c r="L38" s="76">
        <f>IF(OR(G38="",I38=""),"",1+(G38/100)*I38)</f>
        <v/>
      </c>
      <c r="M38" s="76">
        <f>IF(NOT(Bootstrap!$G$4="Test 1"),"",IFERROR(INDEX(Bootstrap!$H$8:$H$72,MATCH(F38,Bootstrap!$B$8:$B$72,0)),""))</f>
        <v/>
      </c>
      <c r="N38" s="80">
        <f>IF(NOT(Bootstrap!$G$4="Test 1"),"",IFERROR(INDEX(Bootstrap!$C$8:$C$72,MATCH(F38,Bootstrap!$B$8:$B$72,0)),""))</f>
        <v/>
      </c>
      <c r="O38" s="84">
        <f>IF(NOT(Bootstrap!$G$4="Test 1"),"",IFERROR(INDEX(Bootstrap!$J$8:$J$72,MATCH(F38,Bootstrap!$B$8:$B$72,0)),""))</f>
        <v/>
      </c>
      <c r="P38" s="89">
        <f>IF(OR(O38="",NOT(ISNUMBER(C38))),"",(O38-C38)*100)</f>
        <v/>
      </c>
      <c r="Q38" s="72">
        <f>IF(OR(M38="",NOT(ISNUMBER(D38))),"",M38-D38)</f>
        <v/>
      </c>
    </row>
    <row r="39">
      <c r="A39" s="68" t="n"/>
      <c r="B39" s="85" t="n"/>
      <c r="C39" s="85" t="n"/>
      <c r="D39" s="69" t="n"/>
      <c r="E39" s="112">
        <f>IF(OR(A39="",$D$6=""),"",IF(RIGHT(A39,1)="W",$D$6+7*VALUE(LEFT(A39,LEN(A39)-1)),IF(RIGHT(A39,1)="M",EDATE($D$6,VALUE(LEFT(A39,LEN(A39)-1))),EDATE($D$6,12*VALUE(LEFT(A39,LEN(A39)-1))))))</f>
        <v/>
      </c>
      <c r="F39" s="112">
        <f>IF(E39="","",IF(MONTH((E39+IF(WEEKDAY(E39,2)=6,2,IF(WEEKDAY(E39,2)=7,1,0))))&lt;&gt;MONTH(E39),(E39-IF(WEEKDAY(E39,2)=6,1,IF(WEEKDAY(E39,2)=7,2,0))),(E39+IF(WEEKDAY(E39,2)=6,2,IF(WEEKDAY(E39,2)=7,1,0)))))</f>
        <v/>
      </c>
      <c r="G39" s="84">
        <f>IF(NOT(Bootstrap!$G$4="Test 1"),"",IFERROR(INDEX(Bootstrap!$E$8:$E$72,MATCH(F39,Bootstrap!$B$8:$B$72,0)),""))</f>
        <v/>
      </c>
      <c r="H39" s="160">
        <f>IF(NOT(Bootstrap!$G$4="Test 1"),"",IFERROR(IF(MATCH(F39,Bootstrap!$B$8:$B$72,0)&lt;=15,"short  DFspot/(1+S*tau)","annual (DFspot-S*A)/(1+S*tau)"),""))</f>
        <v/>
      </c>
      <c r="I39" s="80">
        <f>IF(NOT(Bootstrap!$G$4="Test 1"),"",IFERROR(IF(MATCH(F39,Bootstrap!$B$8:$B$72,0)&lt;=15,INDEX(Bootstrap!$D$8:$D$72,MATCH(F39,Bootstrap!$B$8:$B$72,0)),INDEX(Bootstrap!$F$8:$F$72,MATCH(F39,Bootstrap!$B$8:$B$72,0))),""))</f>
        <v/>
      </c>
      <c r="J39" s="76">
        <f>IF(NOT(Bootstrap!$G$4="Test 1"),"",IFERROR(IF(MATCH(F39,Bootstrap!$B$8:$B$72,0)&lt;=15,0,INDEX(Bootstrap!$G$8:$G$72,MATCH(F39,Bootstrap!$B$8:$B$72,0))),""))</f>
        <v/>
      </c>
      <c r="K39" s="76">
        <f>IF(OR(G39="",I39=""),"",Bootstrap!$D$4-(G39/100)*J39)</f>
        <v/>
      </c>
      <c r="L39" s="76">
        <f>IF(OR(G39="",I39=""),"",1+(G39/100)*I39)</f>
        <v/>
      </c>
      <c r="M39" s="76">
        <f>IF(NOT(Bootstrap!$G$4="Test 1"),"",IFERROR(INDEX(Bootstrap!$H$8:$H$72,MATCH(F39,Bootstrap!$B$8:$B$72,0)),""))</f>
        <v/>
      </c>
      <c r="N39" s="80">
        <f>IF(NOT(Bootstrap!$G$4="Test 1"),"",IFERROR(INDEX(Bootstrap!$C$8:$C$72,MATCH(F39,Bootstrap!$B$8:$B$72,0)),""))</f>
        <v/>
      </c>
      <c r="O39" s="84">
        <f>IF(NOT(Bootstrap!$G$4="Test 1"),"",IFERROR(INDEX(Bootstrap!$J$8:$J$72,MATCH(F39,Bootstrap!$B$8:$B$72,0)),""))</f>
        <v/>
      </c>
      <c r="P39" s="89">
        <f>IF(OR(O39="",NOT(ISNUMBER(C39))),"",(O39-C39)*100)</f>
        <v/>
      </c>
      <c r="Q39" s="72">
        <f>IF(OR(M39="",NOT(ISNUMBER(D39))),"",M39-D39)</f>
        <v/>
      </c>
    </row>
    <row r="40">
      <c r="A40" s="68" t="n"/>
      <c r="B40" s="85" t="n"/>
      <c r="C40" s="85" t="n"/>
      <c r="D40" s="69" t="n"/>
      <c r="E40" s="112">
        <f>IF(OR(A40="",$D$6=""),"",IF(RIGHT(A40,1)="W",$D$6+7*VALUE(LEFT(A40,LEN(A40)-1)),IF(RIGHT(A40,1)="M",EDATE($D$6,VALUE(LEFT(A40,LEN(A40)-1))),EDATE($D$6,12*VALUE(LEFT(A40,LEN(A40)-1))))))</f>
        <v/>
      </c>
      <c r="F40" s="112">
        <f>IF(E40="","",IF(MONTH((E40+IF(WEEKDAY(E40,2)=6,2,IF(WEEKDAY(E40,2)=7,1,0))))&lt;&gt;MONTH(E40),(E40-IF(WEEKDAY(E40,2)=6,1,IF(WEEKDAY(E40,2)=7,2,0))),(E40+IF(WEEKDAY(E40,2)=6,2,IF(WEEKDAY(E40,2)=7,1,0)))))</f>
        <v/>
      </c>
      <c r="G40" s="84">
        <f>IF(NOT(Bootstrap!$G$4="Test 1"),"",IFERROR(INDEX(Bootstrap!$E$8:$E$72,MATCH(F40,Bootstrap!$B$8:$B$72,0)),""))</f>
        <v/>
      </c>
      <c r="H40" s="160">
        <f>IF(NOT(Bootstrap!$G$4="Test 1"),"",IFERROR(IF(MATCH(F40,Bootstrap!$B$8:$B$72,0)&lt;=15,"short  DFspot/(1+S*tau)","annual (DFspot-S*A)/(1+S*tau)"),""))</f>
        <v/>
      </c>
      <c r="I40" s="80">
        <f>IF(NOT(Bootstrap!$G$4="Test 1"),"",IFERROR(IF(MATCH(F40,Bootstrap!$B$8:$B$72,0)&lt;=15,INDEX(Bootstrap!$D$8:$D$72,MATCH(F40,Bootstrap!$B$8:$B$72,0)),INDEX(Bootstrap!$F$8:$F$72,MATCH(F40,Bootstrap!$B$8:$B$72,0))),""))</f>
        <v/>
      </c>
      <c r="J40" s="76">
        <f>IF(NOT(Bootstrap!$G$4="Test 1"),"",IFERROR(IF(MATCH(F40,Bootstrap!$B$8:$B$72,0)&lt;=15,0,INDEX(Bootstrap!$G$8:$G$72,MATCH(F40,Bootstrap!$B$8:$B$72,0))),""))</f>
        <v/>
      </c>
      <c r="K40" s="76">
        <f>IF(OR(G40="",I40=""),"",Bootstrap!$D$4-(G40/100)*J40)</f>
        <v/>
      </c>
      <c r="L40" s="76">
        <f>IF(OR(G40="",I40=""),"",1+(G40/100)*I40)</f>
        <v/>
      </c>
      <c r="M40" s="76">
        <f>IF(NOT(Bootstrap!$G$4="Test 1"),"",IFERROR(INDEX(Bootstrap!$H$8:$H$72,MATCH(F40,Bootstrap!$B$8:$B$72,0)),""))</f>
        <v/>
      </c>
      <c r="N40" s="80">
        <f>IF(NOT(Bootstrap!$G$4="Test 1"),"",IFERROR(INDEX(Bootstrap!$C$8:$C$72,MATCH(F40,Bootstrap!$B$8:$B$72,0)),""))</f>
        <v/>
      </c>
      <c r="O40" s="84">
        <f>IF(NOT(Bootstrap!$G$4="Test 1"),"",IFERROR(INDEX(Bootstrap!$J$8:$J$72,MATCH(F40,Bootstrap!$B$8:$B$72,0)),""))</f>
        <v/>
      </c>
      <c r="P40" s="89">
        <f>IF(OR(O40="",NOT(ISNUMBER(C40))),"",(O40-C40)*100)</f>
        <v/>
      </c>
      <c r="Q40" s="72">
        <f>IF(OR(M40="",NOT(ISNUMBER(D40))),"",M40-D40)</f>
        <v/>
      </c>
    </row>
    <row r="41">
      <c r="A41" s="68" t="n"/>
      <c r="B41" s="85" t="n"/>
      <c r="C41" s="85" t="n"/>
      <c r="D41" s="69" t="n"/>
      <c r="E41" s="112">
        <f>IF(OR(A41="",$D$6=""),"",IF(RIGHT(A41,1)="W",$D$6+7*VALUE(LEFT(A41,LEN(A41)-1)),IF(RIGHT(A41,1)="M",EDATE($D$6,VALUE(LEFT(A41,LEN(A41)-1))),EDATE($D$6,12*VALUE(LEFT(A41,LEN(A41)-1))))))</f>
        <v/>
      </c>
      <c r="F41" s="112">
        <f>IF(E41="","",IF(MONTH((E41+IF(WEEKDAY(E41,2)=6,2,IF(WEEKDAY(E41,2)=7,1,0))))&lt;&gt;MONTH(E41),(E41-IF(WEEKDAY(E41,2)=6,1,IF(WEEKDAY(E41,2)=7,2,0))),(E41+IF(WEEKDAY(E41,2)=6,2,IF(WEEKDAY(E41,2)=7,1,0)))))</f>
        <v/>
      </c>
      <c r="G41" s="84">
        <f>IF(NOT(Bootstrap!$G$4="Test 1"),"",IFERROR(INDEX(Bootstrap!$E$8:$E$72,MATCH(F41,Bootstrap!$B$8:$B$72,0)),""))</f>
        <v/>
      </c>
      <c r="H41" s="160">
        <f>IF(NOT(Bootstrap!$G$4="Test 1"),"",IFERROR(IF(MATCH(F41,Bootstrap!$B$8:$B$72,0)&lt;=15,"short  DFspot/(1+S*tau)","annual (DFspot-S*A)/(1+S*tau)"),""))</f>
        <v/>
      </c>
      <c r="I41" s="80">
        <f>IF(NOT(Bootstrap!$G$4="Test 1"),"",IFERROR(IF(MATCH(F41,Bootstrap!$B$8:$B$72,0)&lt;=15,INDEX(Bootstrap!$D$8:$D$72,MATCH(F41,Bootstrap!$B$8:$B$72,0)),INDEX(Bootstrap!$F$8:$F$72,MATCH(F41,Bootstrap!$B$8:$B$72,0))),""))</f>
        <v/>
      </c>
      <c r="J41" s="76">
        <f>IF(NOT(Bootstrap!$G$4="Test 1"),"",IFERROR(IF(MATCH(F41,Bootstrap!$B$8:$B$72,0)&lt;=15,0,INDEX(Bootstrap!$G$8:$G$72,MATCH(F41,Bootstrap!$B$8:$B$72,0))),""))</f>
        <v/>
      </c>
      <c r="K41" s="76">
        <f>IF(OR(G41="",I41=""),"",Bootstrap!$D$4-(G41/100)*J41)</f>
        <v/>
      </c>
      <c r="L41" s="76">
        <f>IF(OR(G41="",I41=""),"",1+(G41/100)*I41)</f>
        <v/>
      </c>
      <c r="M41" s="76">
        <f>IF(NOT(Bootstrap!$G$4="Test 1"),"",IFERROR(INDEX(Bootstrap!$H$8:$H$72,MATCH(F41,Bootstrap!$B$8:$B$72,0)),""))</f>
        <v/>
      </c>
      <c r="N41" s="80">
        <f>IF(NOT(Bootstrap!$G$4="Test 1"),"",IFERROR(INDEX(Bootstrap!$C$8:$C$72,MATCH(F41,Bootstrap!$B$8:$B$72,0)),""))</f>
        <v/>
      </c>
      <c r="O41" s="84">
        <f>IF(NOT(Bootstrap!$G$4="Test 1"),"",IFERROR(INDEX(Bootstrap!$J$8:$J$72,MATCH(F41,Bootstrap!$B$8:$B$72,0)),""))</f>
        <v/>
      </c>
      <c r="P41" s="89">
        <f>IF(OR(O41="",NOT(ISNUMBER(C41))),"",(O41-C41)*100)</f>
        <v/>
      </c>
      <c r="Q41" s="72">
        <f>IF(OR(M41="",NOT(ISNUMBER(D41))),"",M41-D41)</f>
        <v/>
      </c>
    </row>
    <row r="42">
      <c r="A42" s="68" t="n"/>
      <c r="B42" s="85" t="n"/>
      <c r="C42" s="85" t="n"/>
      <c r="D42" s="69" t="n"/>
      <c r="E42" s="112">
        <f>IF(OR(A42="",$D$6=""),"",IF(RIGHT(A42,1)="W",$D$6+7*VALUE(LEFT(A42,LEN(A42)-1)),IF(RIGHT(A42,1)="M",EDATE($D$6,VALUE(LEFT(A42,LEN(A42)-1))),EDATE($D$6,12*VALUE(LEFT(A42,LEN(A42)-1))))))</f>
        <v/>
      </c>
      <c r="F42" s="112">
        <f>IF(E42="","",IF(MONTH((E42+IF(WEEKDAY(E42,2)=6,2,IF(WEEKDAY(E42,2)=7,1,0))))&lt;&gt;MONTH(E42),(E42-IF(WEEKDAY(E42,2)=6,1,IF(WEEKDAY(E42,2)=7,2,0))),(E42+IF(WEEKDAY(E42,2)=6,2,IF(WEEKDAY(E42,2)=7,1,0)))))</f>
        <v/>
      </c>
      <c r="G42" s="84">
        <f>IF(NOT(Bootstrap!$G$4="Test 1"),"",IFERROR(INDEX(Bootstrap!$E$8:$E$72,MATCH(F42,Bootstrap!$B$8:$B$72,0)),""))</f>
        <v/>
      </c>
      <c r="H42" s="160">
        <f>IF(NOT(Bootstrap!$G$4="Test 1"),"",IFERROR(IF(MATCH(F42,Bootstrap!$B$8:$B$72,0)&lt;=15,"short  DFspot/(1+S*tau)","annual (DFspot-S*A)/(1+S*tau)"),""))</f>
        <v/>
      </c>
      <c r="I42" s="80">
        <f>IF(NOT(Bootstrap!$G$4="Test 1"),"",IFERROR(IF(MATCH(F42,Bootstrap!$B$8:$B$72,0)&lt;=15,INDEX(Bootstrap!$D$8:$D$72,MATCH(F42,Bootstrap!$B$8:$B$72,0)),INDEX(Bootstrap!$F$8:$F$72,MATCH(F42,Bootstrap!$B$8:$B$72,0))),""))</f>
        <v/>
      </c>
      <c r="J42" s="76">
        <f>IF(NOT(Bootstrap!$G$4="Test 1"),"",IFERROR(IF(MATCH(F42,Bootstrap!$B$8:$B$72,0)&lt;=15,0,INDEX(Bootstrap!$G$8:$G$72,MATCH(F42,Bootstrap!$B$8:$B$72,0))),""))</f>
        <v/>
      </c>
      <c r="K42" s="76">
        <f>IF(OR(G42="",I42=""),"",Bootstrap!$D$4-(G42/100)*J42)</f>
        <v/>
      </c>
      <c r="L42" s="76">
        <f>IF(OR(G42="",I42=""),"",1+(G42/100)*I42)</f>
        <v/>
      </c>
      <c r="M42" s="76">
        <f>IF(NOT(Bootstrap!$G$4="Test 1"),"",IFERROR(INDEX(Bootstrap!$H$8:$H$72,MATCH(F42,Bootstrap!$B$8:$B$72,0)),""))</f>
        <v/>
      </c>
      <c r="N42" s="80">
        <f>IF(NOT(Bootstrap!$G$4="Test 1"),"",IFERROR(INDEX(Bootstrap!$C$8:$C$72,MATCH(F42,Bootstrap!$B$8:$B$72,0)),""))</f>
        <v/>
      </c>
      <c r="O42" s="84">
        <f>IF(NOT(Bootstrap!$G$4="Test 1"),"",IFERROR(INDEX(Bootstrap!$J$8:$J$72,MATCH(F42,Bootstrap!$B$8:$B$72,0)),""))</f>
        <v/>
      </c>
      <c r="P42" s="89">
        <f>IF(OR(O42="",NOT(ISNUMBER(C42))),"",(O42-C42)*100)</f>
        <v/>
      </c>
      <c r="Q42" s="72">
        <f>IF(OR(M42="",NOT(ISNUMBER(D42))),"",M42-D42)</f>
        <v/>
      </c>
    </row>
    <row r="43">
      <c r="A43" s="68" t="n"/>
      <c r="B43" s="85" t="n"/>
      <c r="C43" s="85" t="n"/>
      <c r="D43" s="69" t="n"/>
      <c r="E43" s="112">
        <f>IF(OR(A43="",$D$6=""),"",IF(RIGHT(A43,1)="W",$D$6+7*VALUE(LEFT(A43,LEN(A43)-1)),IF(RIGHT(A43,1)="M",EDATE($D$6,VALUE(LEFT(A43,LEN(A43)-1))),EDATE($D$6,12*VALUE(LEFT(A43,LEN(A43)-1))))))</f>
        <v/>
      </c>
      <c r="F43" s="112">
        <f>IF(E43="","",IF(MONTH((E43+IF(WEEKDAY(E43,2)=6,2,IF(WEEKDAY(E43,2)=7,1,0))))&lt;&gt;MONTH(E43),(E43-IF(WEEKDAY(E43,2)=6,1,IF(WEEKDAY(E43,2)=7,2,0))),(E43+IF(WEEKDAY(E43,2)=6,2,IF(WEEKDAY(E43,2)=7,1,0)))))</f>
        <v/>
      </c>
      <c r="G43" s="84">
        <f>IF(NOT(Bootstrap!$G$4="Test 1"),"",IFERROR(INDEX(Bootstrap!$E$8:$E$72,MATCH(F43,Bootstrap!$B$8:$B$72,0)),""))</f>
        <v/>
      </c>
      <c r="H43" s="160">
        <f>IF(NOT(Bootstrap!$G$4="Test 1"),"",IFERROR(IF(MATCH(F43,Bootstrap!$B$8:$B$72,0)&lt;=15,"short  DFspot/(1+S*tau)","annual (DFspot-S*A)/(1+S*tau)"),""))</f>
        <v/>
      </c>
      <c r="I43" s="80">
        <f>IF(NOT(Bootstrap!$G$4="Test 1"),"",IFERROR(IF(MATCH(F43,Bootstrap!$B$8:$B$72,0)&lt;=15,INDEX(Bootstrap!$D$8:$D$72,MATCH(F43,Bootstrap!$B$8:$B$72,0)),INDEX(Bootstrap!$F$8:$F$72,MATCH(F43,Bootstrap!$B$8:$B$72,0))),""))</f>
        <v/>
      </c>
      <c r="J43" s="76">
        <f>IF(NOT(Bootstrap!$G$4="Test 1"),"",IFERROR(IF(MATCH(F43,Bootstrap!$B$8:$B$72,0)&lt;=15,0,INDEX(Bootstrap!$G$8:$G$72,MATCH(F43,Bootstrap!$B$8:$B$72,0))),""))</f>
        <v/>
      </c>
      <c r="K43" s="76">
        <f>IF(OR(G43="",I43=""),"",Bootstrap!$D$4-(G43/100)*J43)</f>
        <v/>
      </c>
      <c r="L43" s="76">
        <f>IF(OR(G43="",I43=""),"",1+(G43/100)*I43)</f>
        <v/>
      </c>
      <c r="M43" s="76">
        <f>IF(NOT(Bootstrap!$G$4="Test 1"),"",IFERROR(INDEX(Bootstrap!$H$8:$H$72,MATCH(F43,Bootstrap!$B$8:$B$72,0)),""))</f>
        <v/>
      </c>
      <c r="N43" s="80">
        <f>IF(NOT(Bootstrap!$G$4="Test 1"),"",IFERROR(INDEX(Bootstrap!$C$8:$C$72,MATCH(F43,Bootstrap!$B$8:$B$72,0)),""))</f>
        <v/>
      </c>
      <c r="O43" s="84">
        <f>IF(NOT(Bootstrap!$G$4="Test 1"),"",IFERROR(INDEX(Bootstrap!$J$8:$J$72,MATCH(F43,Bootstrap!$B$8:$B$72,0)),""))</f>
        <v/>
      </c>
      <c r="P43" s="89">
        <f>IF(OR(O43="",NOT(ISNUMBER(C43))),"",(O43-C43)*100)</f>
        <v/>
      </c>
      <c r="Q43" s="72">
        <f>IF(OR(M43="",NOT(ISNUMBER(D43))),"",M43-D43)</f>
        <v/>
      </c>
    </row>
    <row r="44">
      <c r="A44" s="68" t="n"/>
      <c r="B44" s="85" t="n"/>
      <c r="C44" s="85" t="n"/>
      <c r="D44" s="69" t="n"/>
      <c r="E44" s="112">
        <f>IF(OR(A44="",$D$6=""),"",IF(RIGHT(A44,1)="W",$D$6+7*VALUE(LEFT(A44,LEN(A44)-1)),IF(RIGHT(A44,1)="M",EDATE($D$6,VALUE(LEFT(A44,LEN(A44)-1))),EDATE($D$6,12*VALUE(LEFT(A44,LEN(A44)-1))))))</f>
        <v/>
      </c>
      <c r="F44" s="112">
        <f>IF(E44="","",IF(MONTH((E44+IF(WEEKDAY(E44,2)=6,2,IF(WEEKDAY(E44,2)=7,1,0))))&lt;&gt;MONTH(E44),(E44-IF(WEEKDAY(E44,2)=6,1,IF(WEEKDAY(E44,2)=7,2,0))),(E44+IF(WEEKDAY(E44,2)=6,2,IF(WEEKDAY(E44,2)=7,1,0)))))</f>
        <v/>
      </c>
      <c r="G44" s="84">
        <f>IF(NOT(Bootstrap!$G$4="Test 1"),"",IFERROR(INDEX(Bootstrap!$E$8:$E$72,MATCH(F44,Bootstrap!$B$8:$B$72,0)),""))</f>
        <v/>
      </c>
      <c r="H44" s="160">
        <f>IF(NOT(Bootstrap!$G$4="Test 1"),"",IFERROR(IF(MATCH(F44,Bootstrap!$B$8:$B$72,0)&lt;=15,"short  DFspot/(1+S*tau)","annual (DFspot-S*A)/(1+S*tau)"),""))</f>
        <v/>
      </c>
      <c r="I44" s="80">
        <f>IF(NOT(Bootstrap!$G$4="Test 1"),"",IFERROR(IF(MATCH(F44,Bootstrap!$B$8:$B$72,0)&lt;=15,INDEX(Bootstrap!$D$8:$D$72,MATCH(F44,Bootstrap!$B$8:$B$72,0)),INDEX(Bootstrap!$F$8:$F$72,MATCH(F44,Bootstrap!$B$8:$B$72,0))),""))</f>
        <v/>
      </c>
      <c r="J44" s="76">
        <f>IF(NOT(Bootstrap!$G$4="Test 1"),"",IFERROR(IF(MATCH(F44,Bootstrap!$B$8:$B$72,0)&lt;=15,0,INDEX(Bootstrap!$G$8:$G$72,MATCH(F44,Bootstrap!$B$8:$B$72,0))),""))</f>
        <v/>
      </c>
      <c r="K44" s="76">
        <f>IF(OR(G44="",I44=""),"",Bootstrap!$D$4-(G44/100)*J44)</f>
        <v/>
      </c>
      <c r="L44" s="76">
        <f>IF(OR(G44="",I44=""),"",1+(G44/100)*I44)</f>
        <v/>
      </c>
      <c r="M44" s="76">
        <f>IF(NOT(Bootstrap!$G$4="Test 1"),"",IFERROR(INDEX(Bootstrap!$H$8:$H$72,MATCH(F44,Bootstrap!$B$8:$B$72,0)),""))</f>
        <v/>
      </c>
      <c r="N44" s="80">
        <f>IF(NOT(Bootstrap!$G$4="Test 1"),"",IFERROR(INDEX(Bootstrap!$C$8:$C$72,MATCH(F44,Bootstrap!$B$8:$B$72,0)),""))</f>
        <v/>
      </c>
      <c r="O44" s="84">
        <f>IF(NOT(Bootstrap!$G$4="Test 1"),"",IFERROR(INDEX(Bootstrap!$J$8:$J$72,MATCH(F44,Bootstrap!$B$8:$B$72,0)),""))</f>
        <v/>
      </c>
      <c r="P44" s="89">
        <f>IF(OR(O44="",NOT(ISNUMBER(C44))),"",(O44-C44)*100)</f>
        <v/>
      </c>
      <c r="Q44" s="72">
        <f>IF(OR(M44="",NOT(ISNUMBER(D44))),"",M44-D44)</f>
        <v/>
      </c>
    </row>
    <row r="45">
      <c r="A45" s="68" t="n"/>
      <c r="B45" s="85" t="n"/>
      <c r="C45" s="85" t="n"/>
      <c r="D45" s="69" t="n"/>
      <c r="E45" s="112">
        <f>IF(OR(A45="",$D$6=""),"",IF(RIGHT(A45,1)="W",$D$6+7*VALUE(LEFT(A45,LEN(A45)-1)),IF(RIGHT(A45,1)="M",EDATE($D$6,VALUE(LEFT(A45,LEN(A45)-1))),EDATE($D$6,12*VALUE(LEFT(A45,LEN(A45)-1))))))</f>
        <v/>
      </c>
      <c r="F45" s="112">
        <f>IF(E45="","",IF(MONTH((E45+IF(WEEKDAY(E45,2)=6,2,IF(WEEKDAY(E45,2)=7,1,0))))&lt;&gt;MONTH(E45),(E45-IF(WEEKDAY(E45,2)=6,1,IF(WEEKDAY(E45,2)=7,2,0))),(E45+IF(WEEKDAY(E45,2)=6,2,IF(WEEKDAY(E45,2)=7,1,0)))))</f>
        <v/>
      </c>
      <c r="G45" s="84">
        <f>IF(NOT(Bootstrap!$G$4="Test 1"),"",IFERROR(INDEX(Bootstrap!$E$8:$E$72,MATCH(F45,Bootstrap!$B$8:$B$72,0)),""))</f>
        <v/>
      </c>
      <c r="H45" s="160">
        <f>IF(NOT(Bootstrap!$G$4="Test 1"),"",IFERROR(IF(MATCH(F45,Bootstrap!$B$8:$B$72,0)&lt;=15,"short  DFspot/(1+S*tau)","annual (DFspot-S*A)/(1+S*tau)"),""))</f>
        <v/>
      </c>
      <c r="I45" s="80">
        <f>IF(NOT(Bootstrap!$G$4="Test 1"),"",IFERROR(IF(MATCH(F45,Bootstrap!$B$8:$B$72,0)&lt;=15,INDEX(Bootstrap!$D$8:$D$72,MATCH(F45,Bootstrap!$B$8:$B$72,0)),INDEX(Bootstrap!$F$8:$F$72,MATCH(F45,Bootstrap!$B$8:$B$72,0))),""))</f>
        <v/>
      </c>
      <c r="J45" s="76">
        <f>IF(NOT(Bootstrap!$G$4="Test 1"),"",IFERROR(IF(MATCH(F45,Bootstrap!$B$8:$B$72,0)&lt;=15,0,INDEX(Bootstrap!$G$8:$G$72,MATCH(F45,Bootstrap!$B$8:$B$72,0))),""))</f>
        <v/>
      </c>
      <c r="K45" s="76">
        <f>IF(OR(G45="",I45=""),"",Bootstrap!$D$4-(G45/100)*J45)</f>
        <v/>
      </c>
      <c r="L45" s="76">
        <f>IF(OR(G45="",I45=""),"",1+(G45/100)*I45)</f>
        <v/>
      </c>
      <c r="M45" s="76">
        <f>IF(NOT(Bootstrap!$G$4="Test 1"),"",IFERROR(INDEX(Bootstrap!$H$8:$H$72,MATCH(F45,Bootstrap!$B$8:$B$72,0)),""))</f>
        <v/>
      </c>
      <c r="N45" s="80">
        <f>IF(NOT(Bootstrap!$G$4="Test 1"),"",IFERROR(INDEX(Bootstrap!$C$8:$C$72,MATCH(F45,Bootstrap!$B$8:$B$72,0)),""))</f>
        <v/>
      </c>
      <c r="O45" s="84">
        <f>IF(NOT(Bootstrap!$G$4="Test 1"),"",IFERROR(INDEX(Bootstrap!$J$8:$J$72,MATCH(F45,Bootstrap!$B$8:$B$72,0)),""))</f>
        <v/>
      </c>
      <c r="P45" s="89">
        <f>IF(OR(O45="",NOT(ISNUMBER(C45))),"",(O45-C45)*100)</f>
        <v/>
      </c>
      <c r="Q45" s="72">
        <f>IF(OR(M45="",NOT(ISNUMBER(D45))),"",M45-D45)</f>
        <v/>
      </c>
    </row>
    <row r="46">
      <c r="A46" s="68" t="n"/>
      <c r="B46" s="85" t="n"/>
      <c r="C46" s="85" t="n"/>
      <c r="D46" s="69" t="n"/>
      <c r="E46" s="112">
        <f>IF(OR(A46="",$D$6=""),"",IF(RIGHT(A46,1)="W",$D$6+7*VALUE(LEFT(A46,LEN(A46)-1)),IF(RIGHT(A46,1)="M",EDATE($D$6,VALUE(LEFT(A46,LEN(A46)-1))),EDATE($D$6,12*VALUE(LEFT(A46,LEN(A46)-1))))))</f>
        <v/>
      </c>
      <c r="F46" s="112">
        <f>IF(E46="","",IF(MONTH((E46+IF(WEEKDAY(E46,2)=6,2,IF(WEEKDAY(E46,2)=7,1,0))))&lt;&gt;MONTH(E46),(E46-IF(WEEKDAY(E46,2)=6,1,IF(WEEKDAY(E46,2)=7,2,0))),(E46+IF(WEEKDAY(E46,2)=6,2,IF(WEEKDAY(E46,2)=7,1,0)))))</f>
        <v/>
      </c>
      <c r="G46" s="84">
        <f>IF(NOT(Bootstrap!$G$4="Test 1"),"",IFERROR(INDEX(Bootstrap!$E$8:$E$72,MATCH(F46,Bootstrap!$B$8:$B$72,0)),""))</f>
        <v/>
      </c>
      <c r="H46" s="160">
        <f>IF(NOT(Bootstrap!$G$4="Test 1"),"",IFERROR(IF(MATCH(F46,Bootstrap!$B$8:$B$72,0)&lt;=15,"short  DFspot/(1+S*tau)","annual (DFspot-S*A)/(1+S*tau)"),""))</f>
        <v/>
      </c>
      <c r="I46" s="80">
        <f>IF(NOT(Bootstrap!$G$4="Test 1"),"",IFERROR(IF(MATCH(F46,Bootstrap!$B$8:$B$72,0)&lt;=15,INDEX(Bootstrap!$D$8:$D$72,MATCH(F46,Bootstrap!$B$8:$B$72,0)),INDEX(Bootstrap!$F$8:$F$72,MATCH(F46,Bootstrap!$B$8:$B$72,0))),""))</f>
        <v/>
      </c>
      <c r="J46" s="76">
        <f>IF(NOT(Bootstrap!$G$4="Test 1"),"",IFERROR(IF(MATCH(F46,Bootstrap!$B$8:$B$72,0)&lt;=15,0,INDEX(Bootstrap!$G$8:$G$72,MATCH(F46,Bootstrap!$B$8:$B$72,0))),""))</f>
        <v/>
      </c>
      <c r="K46" s="76">
        <f>IF(OR(G46="",I46=""),"",Bootstrap!$D$4-(G46/100)*J46)</f>
        <v/>
      </c>
      <c r="L46" s="76">
        <f>IF(OR(G46="",I46=""),"",1+(G46/100)*I46)</f>
        <v/>
      </c>
      <c r="M46" s="76">
        <f>IF(NOT(Bootstrap!$G$4="Test 1"),"",IFERROR(INDEX(Bootstrap!$H$8:$H$72,MATCH(F46,Bootstrap!$B$8:$B$72,0)),""))</f>
        <v/>
      </c>
      <c r="N46" s="80">
        <f>IF(NOT(Bootstrap!$G$4="Test 1"),"",IFERROR(INDEX(Bootstrap!$C$8:$C$72,MATCH(F46,Bootstrap!$B$8:$B$72,0)),""))</f>
        <v/>
      </c>
      <c r="O46" s="84">
        <f>IF(NOT(Bootstrap!$G$4="Test 1"),"",IFERROR(INDEX(Bootstrap!$J$8:$J$72,MATCH(F46,Bootstrap!$B$8:$B$72,0)),""))</f>
        <v/>
      </c>
      <c r="P46" s="89">
        <f>IF(OR(O46="",NOT(ISNUMBER(C46))),"",(O46-C46)*100)</f>
        <v/>
      </c>
      <c r="Q46" s="72">
        <f>IF(OR(M46="",NOT(ISNUMBER(D46))),"",M46-D46)</f>
        <v/>
      </c>
    </row>
    <row r="47">
      <c r="A47" s="68" t="n"/>
      <c r="B47" s="85" t="n"/>
      <c r="C47" s="85" t="n"/>
      <c r="D47" s="69" t="n"/>
      <c r="E47" s="112">
        <f>IF(OR(A47="",$D$6=""),"",IF(RIGHT(A47,1)="W",$D$6+7*VALUE(LEFT(A47,LEN(A47)-1)),IF(RIGHT(A47,1)="M",EDATE($D$6,VALUE(LEFT(A47,LEN(A47)-1))),EDATE($D$6,12*VALUE(LEFT(A47,LEN(A47)-1))))))</f>
        <v/>
      </c>
      <c r="F47" s="112">
        <f>IF(E47="","",IF(MONTH((E47+IF(WEEKDAY(E47,2)=6,2,IF(WEEKDAY(E47,2)=7,1,0))))&lt;&gt;MONTH(E47),(E47-IF(WEEKDAY(E47,2)=6,1,IF(WEEKDAY(E47,2)=7,2,0))),(E47+IF(WEEKDAY(E47,2)=6,2,IF(WEEKDAY(E47,2)=7,1,0)))))</f>
        <v/>
      </c>
      <c r="G47" s="84">
        <f>IF(NOT(Bootstrap!$G$4="Test 1"),"",IFERROR(INDEX(Bootstrap!$E$8:$E$72,MATCH(F47,Bootstrap!$B$8:$B$72,0)),""))</f>
        <v/>
      </c>
      <c r="H47" s="160">
        <f>IF(NOT(Bootstrap!$G$4="Test 1"),"",IFERROR(IF(MATCH(F47,Bootstrap!$B$8:$B$72,0)&lt;=15,"short  DFspot/(1+S*tau)","annual (DFspot-S*A)/(1+S*tau)"),""))</f>
        <v/>
      </c>
      <c r="I47" s="80">
        <f>IF(NOT(Bootstrap!$G$4="Test 1"),"",IFERROR(IF(MATCH(F47,Bootstrap!$B$8:$B$72,0)&lt;=15,INDEX(Bootstrap!$D$8:$D$72,MATCH(F47,Bootstrap!$B$8:$B$72,0)),INDEX(Bootstrap!$F$8:$F$72,MATCH(F47,Bootstrap!$B$8:$B$72,0))),""))</f>
        <v/>
      </c>
      <c r="J47" s="76">
        <f>IF(NOT(Bootstrap!$G$4="Test 1"),"",IFERROR(IF(MATCH(F47,Bootstrap!$B$8:$B$72,0)&lt;=15,0,INDEX(Bootstrap!$G$8:$G$72,MATCH(F47,Bootstrap!$B$8:$B$72,0))),""))</f>
        <v/>
      </c>
      <c r="K47" s="76">
        <f>IF(OR(G47="",I47=""),"",Bootstrap!$D$4-(G47/100)*J47)</f>
        <v/>
      </c>
      <c r="L47" s="76">
        <f>IF(OR(G47="",I47=""),"",1+(G47/100)*I47)</f>
        <v/>
      </c>
      <c r="M47" s="76">
        <f>IF(NOT(Bootstrap!$G$4="Test 1"),"",IFERROR(INDEX(Bootstrap!$H$8:$H$72,MATCH(F47,Bootstrap!$B$8:$B$72,0)),""))</f>
        <v/>
      </c>
      <c r="N47" s="80">
        <f>IF(NOT(Bootstrap!$G$4="Test 1"),"",IFERROR(INDEX(Bootstrap!$C$8:$C$72,MATCH(F47,Bootstrap!$B$8:$B$72,0)),""))</f>
        <v/>
      </c>
      <c r="O47" s="84">
        <f>IF(NOT(Bootstrap!$G$4="Test 1"),"",IFERROR(INDEX(Bootstrap!$J$8:$J$72,MATCH(F47,Bootstrap!$B$8:$B$72,0)),""))</f>
        <v/>
      </c>
      <c r="P47" s="89">
        <f>IF(OR(O47="",NOT(ISNUMBER(C47))),"",(O47-C47)*100)</f>
        <v/>
      </c>
      <c r="Q47" s="72">
        <f>IF(OR(M47="",NOT(ISNUMBER(D47))),"",M47-D47)</f>
        <v/>
      </c>
    </row>
    <row r="48">
      <c r="A48" s="67" t="inlineStr">
        <is>
          <t>pillars pasted</t>
        </is>
      </c>
      <c r="C48" s="130">
        <f>COUNTA(A8:A47)</f>
        <v/>
      </c>
      <c r="D48" s="67" t="inlineStr">
        <is>
          <t>matched</t>
        </is>
      </c>
      <c r="F48" s="87">
        <f>IF(NOT(Bootstrap!$G$4="Test 1"),"not active",COUNT(O8:O47))</f>
        <v/>
      </c>
      <c r="G48" s="67" t="inlineStr">
        <is>
          <t>max |d zero| bp</t>
        </is>
      </c>
      <c r="I48" s="90">
        <f>IF(NOT(Bootstrap!$G$4="Test 1"),"",IF(COUNT(P8:P47)=0,"",MAX(MAX(P8:P47),-MIN(P8:P47))))</f>
        <v/>
      </c>
      <c r="J48" s="67" t="inlineStr">
        <is>
          <t>max |d DF|</t>
        </is>
      </c>
      <c r="L48" s="91">
        <f>IF(NOT(Bootstrap!$G$4="Test 1"),"",IF(COUNT(Q8:Q47)=0,"",MAX(MAX(Q8:Q47),-MIN(Q8:Q47))))</f>
        <v/>
      </c>
      <c r="M48" s="66">
        <f>IF(AND(Bootstrap!$G$4="Test 1",C48&gt;0,F48&lt;C48),"CHECK: matched &lt; pasted, dates are not hitting Bootstrap!B — check the curve date","")</f>
        <v/>
      </c>
    </row>
    <row r="55">
      <c r="A55" s="123" t="inlineStr">
        <is>
          <t>CURVE TEST CASE 2</t>
        </is>
      </c>
      <c r="C55" s="65" t="inlineStr">
        <is>
          <t>curve date -&gt;</t>
        </is>
      </c>
      <c r="D55" s="111" t="n"/>
      <c r="E55" s="65" t="inlineStr">
        <is>
          <t>name / time -&gt;</t>
        </is>
      </c>
      <c r="F55" s="68" t="n"/>
    </row>
    <row r="56">
      <c r="C56" s="65" t="inlineStr">
        <is>
          <t>spot (T+2bd) -&gt;</t>
        </is>
      </c>
      <c r="D56" s="128">
        <f>IF($D$55="","",$D$55+2+IF(WEEKDAY($D$55,2)&gt;=4,2,0))</f>
        <v/>
      </c>
      <c r="F56" s="67">
        <f>IF(Bootstrap!$G$4="Test 2","ACTIVE — model columns live","not active")</f>
        <v/>
      </c>
    </row>
    <row r="57" ht="30" customHeight="1">
      <c r="A57" s="151" t="inlineStr">
        <is>
          <t>Tenor</t>
        </is>
      </c>
      <c r="B57" s="151" t="inlineStr">
        <is>
          <t>Swap rate (mid)</t>
        </is>
      </c>
      <c r="C57" s="151" t="inlineStr">
        <is>
          <t>BBG zero %</t>
        </is>
      </c>
      <c r="D57" s="151" t="inlineStr">
        <is>
          <t>BBG discount</t>
        </is>
      </c>
      <c r="E57" s="151" t="inlineStr">
        <is>
          <t>raw date</t>
        </is>
      </c>
      <c r="F57" s="151" t="inlineStr">
        <is>
          <t>Date</t>
        </is>
      </c>
      <c r="G57" s="151" t="inlineStr">
        <is>
          <t>S used %</t>
        </is>
      </c>
      <c r="H57" s="151" t="inlineStr">
        <is>
          <t>Rule</t>
        </is>
      </c>
      <c r="I57" s="151" t="inlineStr">
        <is>
          <t>tau</t>
        </is>
      </c>
      <c r="J57" s="151" t="inlineStr">
        <is>
          <t>A(prior)</t>
        </is>
      </c>
      <c r="K57" s="151" t="inlineStr">
        <is>
          <t>numerator</t>
        </is>
      </c>
      <c r="L57" s="151" t="inlineStr">
        <is>
          <t>denominator</t>
        </is>
      </c>
      <c r="M57" s="151" t="inlineStr">
        <is>
          <t>our DF</t>
        </is>
      </c>
      <c r="N57" s="151" t="inlineStr">
        <is>
          <t>t ACT/365</t>
        </is>
      </c>
      <c r="O57" s="151" t="inlineStr">
        <is>
          <t>our zero %</t>
        </is>
      </c>
      <c r="P57" s="151" t="inlineStr">
        <is>
          <t>d zero bp</t>
        </is>
      </c>
      <c r="Q57" s="151" t="inlineStr">
        <is>
          <t>d DF</t>
        </is>
      </c>
    </row>
    <row r="58">
      <c r="A58" s="68" t="n"/>
      <c r="B58" s="85" t="n"/>
      <c r="C58" s="85" t="n"/>
      <c r="D58" s="69" t="n"/>
      <c r="E58" s="112">
        <f>IF(OR(A58="",$D$56=""),"",IF(RIGHT(A58,1)="W",$D$56+7*VALUE(LEFT(A58,LEN(A58)-1)),IF(RIGHT(A58,1)="M",EDATE($D$56,VALUE(LEFT(A58,LEN(A58)-1))),EDATE($D$56,12*VALUE(LEFT(A58,LEN(A58)-1))))))</f>
        <v/>
      </c>
      <c r="F58" s="112">
        <f>IF(E58="","",IF(MONTH((E58+IF(WEEKDAY(E58,2)=6,2,IF(WEEKDAY(E58,2)=7,1,0))))&lt;&gt;MONTH(E58),(E58-IF(WEEKDAY(E58,2)=6,1,IF(WEEKDAY(E58,2)=7,2,0))),(E58+IF(WEEKDAY(E58,2)=6,2,IF(WEEKDAY(E58,2)=7,1,0)))))</f>
        <v/>
      </c>
      <c r="G58" s="84">
        <f>IF(NOT(Bootstrap!$G$4="Test 2"),"",IFERROR(INDEX(Bootstrap!$E$8:$E$72,MATCH(F58,Bootstrap!$B$8:$B$72,0)),""))</f>
        <v/>
      </c>
      <c r="H58" s="160">
        <f>IF(NOT(Bootstrap!$G$4="Test 2"),"",IFERROR(IF(MATCH(F58,Bootstrap!$B$8:$B$72,0)&lt;=15,"short  DFspot/(1+S*tau)","annual (DFspot-S*A)/(1+S*tau)"),""))</f>
        <v/>
      </c>
      <c r="I58" s="80">
        <f>IF(NOT(Bootstrap!$G$4="Test 2"),"",IFERROR(IF(MATCH(F58,Bootstrap!$B$8:$B$72,0)&lt;=15,INDEX(Bootstrap!$D$8:$D$72,MATCH(F58,Bootstrap!$B$8:$B$72,0)),INDEX(Bootstrap!$F$8:$F$72,MATCH(F58,Bootstrap!$B$8:$B$72,0))),""))</f>
        <v/>
      </c>
      <c r="J58" s="76">
        <f>IF(NOT(Bootstrap!$G$4="Test 2"),"",IFERROR(IF(MATCH(F58,Bootstrap!$B$8:$B$72,0)&lt;=15,0,INDEX(Bootstrap!$G$8:$G$72,MATCH(F58,Bootstrap!$B$8:$B$72,0))),""))</f>
        <v/>
      </c>
      <c r="K58" s="76">
        <f>IF(OR(G58="",I58=""),"",Bootstrap!$D$4-(G58/100)*J58)</f>
        <v/>
      </c>
      <c r="L58" s="76">
        <f>IF(OR(G58="",I58=""),"",1+(G58/100)*I58)</f>
        <v/>
      </c>
      <c r="M58" s="76">
        <f>IF(NOT(Bootstrap!$G$4="Test 2"),"",IFERROR(INDEX(Bootstrap!$H$8:$H$72,MATCH(F58,Bootstrap!$B$8:$B$72,0)),""))</f>
        <v/>
      </c>
      <c r="N58" s="80">
        <f>IF(NOT(Bootstrap!$G$4="Test 2"),"",IFERROR(INDEX(Bootstrap!$C$8:$C$72,MATCH(F58,Bootstrap!$B$8:$B$72,0)),""))</f>
        <v/>
      </c>
      <c r="O58" s="84">
        <f>IF(NOT(Bootstrap!$G$4="Test 2"),"",IFERROR(INDEX(Bootstrap!$J$8:$J$72,MATCH(F58,Bootstrap!$B$8:$B$72,0)),""))</f>
        <v/>
      </c>
      <c r="P58" s="89">
        <f>IF(OR(O58="",NOT(ISNUMBER(C58))),"",(O58-C58)*100)</f>
        <v/>
      </c>
      <c r="Q58" s="72">
        <f>IF(OR(M58="",NOT(ISNUMBER(D58))),"",M58-D58)</f>
        <v/>
      </c>
    </row>
    <row r="59">
      <c r="A59" s="68" t="n"/>
      <c r="B59" s="85" t="n"/>
      <c r="C59" s="85" t="n"/>
      <c r="D59" s="69" t="n"/>
      <c r="E59" s="112">
        <f>IF(OR(A59="",$D$56=""),"",IF(RIGHT(A59,1)="W",$D$56+7*VALUE(LEFT(A59,LEN(A59)-1)),IF(RIGHT(A59,1)="M",EDATE($D$56,VALUE(LEFT(A59,LEN(A59)-1))),EDATE($D$56,12*VALUE(LEFT(A59,LEN(A59)-1))))))</f>
        <v/>
      </c>
      <c r="F59" s="112">
        <f>IF(E59="","",IF(MONTH((E59+IF(WEEKDAY(E59,2)=6,2,IF(WEEKDAY(E59,2)=7,1,0))))&lt;&gt;MONTH(E59),(E59-IF(WEEKDAY(E59,2)=6,1,IF(WEEKDAY(E59,2)=7,2,0))),(E59+IF(WEEKDAY(E59,2)=6,2,IF(WEEKDAY(E59,2)=7,1,0)))))</f>
        <v/>
      </c>
      <c r="G59" s="84">
        <f>IF(NOT(Bootstrap!$G$4="Test 2"),"",IFERROR(INDEX(Bootstrap!$E$8:$E$72,MATCH(F59,Bootstrap!$B$8:$B$72,0)),""))</f>
        <v/>
      </c>
      <c r="H59" s="160">
        <f>IF(NOT(Bootstrap!$G$4="Test 2"),"",IFERROR(IF(MATCH(F59,Bootstrap!$B$8:$B$72,0)&lt;=15,"short  DFspot/(1+S*tau)","annual (DFspot-S*A)/(1+S*tau)"),""))</f>
        <v/>
      </c>
      <c r="I59" s="80">
        <f>IF(NOT(Bootstrap!$G$4="Test 2"),"",IFERROR(IF(MATCH(F59,Bootstrap!$B$8:$B$72,0)&lt;=15,INDEX(Bootstrap!$D$8:$D$72,MATCH(F59,Bootstrap!$B$8:$B$72,0)),INDEX(Bootstrap!$F$8:$F$72,MATCH(F59,Bootstrap!$B$8:$B$72,0))),""))</f>
        <v/>
      </c>
      <c r="J59" s="76">
        <f>IF(NOT(Bootstrap!$G$4="Test 2"),"",IFERROR(IF(MATCH(F59,Bootstrap!$B$8:$B$72,0)&lt;=15,0,INDEX(Bootstrap!$G$8:$G$72,MATCH(F59,Bootstrap!$B$8:$B$72,0))),""))</f>
        <v/>
      </c>
      <c r="K59" s="76">
        <f>IF(OR(G59="",I59=""),"",Bootstrap!$D$4-(G59/100)*J59)</f>
        <v/>
      </c>
      <c r="L59" s="76">
        <f>IF(OR(G59="",I59=""),"",1+(G59/100)*I59)</f>
        <v/>
      </c>
      <c r="M59" s="76">
        <f>IF(NOT(Bootstrap!$G$4="Test 2"),"",IFERROR(INDEX(Bootstrap!$H$8:$H$72,MATCH(F59,Bootstrap!$B$8:$B$72,0)),""))</f>
        <v/>
      </c>
      <c r="N59" s="80">
        <f>IF(NOT(Bootstrap!$G$4="Test 2"),"",IFERROR(INDEX(Bootstrap!$C$8:$C$72,MATCH(F59,Bootstrap!$B$8:$B$72,0)),""))</f>
        <v/>
      </c>
      <c r="O59" s="84">
        <f>IF(NOT(Bootstrap!$G$4="Test 2"),"",IFERROR(INDEX(Bootstrap!$J$8:$J$72,MATCH(F59,Bootstrap!$B$8:$B$72,0)),""))</f>
        <v/>
      </c>
      <c r="P59" s="89">
        <f>IF(OR(O59="",NOT(ISNUMBER(C59))),"",(O59-C59)*100)</f>
        <v/>
      </c>
      <c r="Q59" s="72">
        <f>IF(OR(M59="",NOT(ISNUMBER(D59))),"",M59-D59)</f>
        <v/>
      </c>
    </row>
    <row r="60">
      <c r="A60" s="68" t="n"/>
      <c r="B60" s="85" t="n"/>
      <c r="C60" s="85" t="n"/>
      <c r="D60" s="69" t="n"/>
      <c r="E60" s="112">
        <f>IF(OR(A60="",$D$56=""),"",IF(RIGHT(A60,1)="W",$D$56+7*VALUE(LEFT(A60,LEN(A60)-1)),IF(RIGHT(A60,1)="M",EDATE($D$56,VALUE(LEFT(A60,LEN(A60)-1))),EDATE($D$56,12*VALUE(LEFT(A60,LEN(A60)-1))))))</f>
        <v/>
      </c>
      <c r="F60" s="112">
        <f>IF(E60="","",IF(MONTH((E60+IF(WEEKDAY(E60,2)=6,2,IF(WEEKDAY(E60,2)=7,1,0))))&lt;&gt;MONTH(E60),(E60-IF(WEEKDAY(E60,2)=6,1,IF(WEEKDAY(E60,2)=7,2,0))),(E60+IF(WEEKDAY(E60,2)=6,2,IF(WEEKDAY(E60,2)=7,1,0)))))</f>
        <v/>
      </c>
      <c r="G60" s="84">
        <f>IF(NOT(Bootstrap!$G$4="Test 2"),"",IFERROR(INDEX(Bootstrap!$E$8:$E$72,MATCH(F60,Bootstrap!$B$8:$B$72,0)),""))</f>
        <v/>
      </c>
      <c r="H60" s="160">
        <f>IF(NOT(Bootstrap!$G$4="Test 2"),"",IFERROR(IF(MATCH(F60,Bootstrap!$B$8:$B$72,0)&lt;=15,"short  DFspot/(1+S*tau)","annual (DFspot-S*A)/(1+S*tau)"),""))</f>
        <v/>
      </c>
      <c r="I60" s="80">
        <f>IF(NOT(Bootstrap!$G$4="Test 2"),"",IFERROR(IF(MATCH(F60,Bootstrap!$B$8:$B$72,0)&lt;=15,INDEX(Bootstrap!$D$8:$D$72,MATCH(F60,Bootstrap!$B$8:$B$72,0)),INDEX(Bootstrap!$F$8:$F$72,MATCH(F60,Bootstrap!$B$8:$B$72,0))),""))</f>
        <v/>
      </c>
      <c r="J60" s="76">
        <f>IF(NOT(Bootstrap!$G$4="Test 2"),"",IFERROR(IF(MATCH(F60,Bootstrap!$B$8:$B$72,0)&lt;=15,0,INDEX(Bootstrap!$G$8:$G$72,MATCH(F60,Bootstrap!$B$8:$B$72,0))),""))</f>
        <v/>
      </c>
      <c r="K60" s="76">
        <f>IF(OR(G60="",I60=""),"",Bootstrap!$D$4-(G60/100)*J60)</f>
        <v/>
      </c>
      <c r="L60" s="76">
        <f>IF(OR(G60="",I60=""),"",1+(G60/100)*I60)</f>
        <v/>
      </c>
      <c r="M60" s="76">
        <f>IF(NOT(Bootstrap!$G$4="Test 2"),"",IFERROR(INDEX(Bootstrap!$H$8:$H$72,MATCH(F60,Bootstrap!$B$8:$B$72,0)),""))</f>
        <v/>
      </c>
      <c r="N60" s="80">
        <f>IF(NOT(Bootstrap!$G$4="Test 2"),"",IFERROR(INDEX(Bootstrap!$C$8:$C$72,MATCH(F60,Bootstrap!$B$8:$B$72,0)),""))</f>
        <v/>
      </c>
      <c r="O60" s="84">
        <f>IF(NOT(Bootstrap!$G$4="Test 2"),"",IFERROR(INDEX(Bootstrap!$J$8:$J$72,MATCH(F60,Bootstrap!$B$8:$B$72,0)),""))</f>
        <v/>
      </c>
      <c r="P60" s="89">
        <f>IF(OR(O60="",NOT(ISNUMBER(C60))),"",(O60-C60)*100)</f>
        <v/>
      </c>
      <c r="Q60" s="72">
        <f>IF(OR(M60="",NOT(ISNUMBER(D60))),"",M60-D60)</f>
        <v/>
      </c>
    </row>
    <row r="61">
      <c r="A61" s="68" t="n"/>
      <c r="B61" s="85" t="n"/>
      <c r="C61" s="85" t="n"/>
      <c r="D61" s="69" t="n"/>
      <c r="E61" s="112">
        <f>IF(OR(A61="",$D$56=""),"",IF(RIGHT(A61,1)="W",$D$56+7*VALUE(LEFT(A61,LEN(A61)-1)),IF(RIGHT(A61,1)="M",EDATE($D$56,VALUE(LEFT(A61,LEN(A61)-1))),EDATE($D$56,12*VALUE(LEFT(A61,LEN(A61)-1))))))</f>
        <v/>
      </c>
      <c r="F61" s="112">
        <f>IF(E61="","",IF(MONTH((E61+IF(WEEKDAY(E61,2)=6,2,IF(WEEKDAY(E61,2)=7,1,0))))&lt;&gt;MONTH(E61),(E61-IF(WEEKDAY(E61,2)=6,1,IF(WEEKDAY(E61,2)=7,2,0))),(E61+IF(WEEKDAY(E61,2)=6,2,IF(WEEKDAY(E61,2)=7,1,0)))))</f>
        <v/>
      </c>
      <c r="G61" s="84">
        <f>IF(NOT(Bootstrap!$G$4="Test 2"),"",IFERROR(INDEX(Bootstrap!$E$8:$E$72,MATCH(F61,Bootstrap!$B$8:$B$72,0)),""))</f>
        <v/>
      </c>
      <c r="H61" s="160">
        <f>IF(NOT(Bootstrap!$G$4="Test 2"),"",IFERROR(IF(MATCH(F61,Bootstrap!$B$8:$B$72,0)&lt;=15,"short  DFspot/(1+S*tau)","annual (DFspot-S*A)/(1+S*tau)"),""))</f>
        <v/>
      </c>
      <c r="I61" s="80">
        <f>IF(NOT(Bootstrap!$G$4="Test 2"),"",IFERROR(IF(MATCH(F61,Bootstrap!$B$8:$B$72,0)&lt;=15,INDEX(Bootstrap!$D$8:$D$72,MATCH(F61,Bootstrap!$B$8:$B$72,0)),INDEX(Bootstrap!$F$8:$F$72,MATCH(F61,Bootstrap!$B$8:$B$72,0))),""))</f>
        <v/>
      </c>
      <c r="J61" s="76">
        <f>IF(NOT(Bootstrap!$G$4="Test 2"),"",IFERROR(IF(MATCH(F61,Bootstrap!$B$8:$B$72,0)&lt;=15,0,INDEX(Bootstrap!$G$8:$G$72,MATCH(F61,Bootstrap!$B$8:$B$72,0))),""))</f>
        <v/>
      </c>
      <c r="K61" s="76">
        <f>IF(OR(G61="",I61=""),"",Bootstrap!$D$4-(G61/100)*J61)</f>
        <v/>
      </c>
      <c r="L61" s="76">
        <f>IF(OR(G61="",I61=""),"",1+(G61/100)*I61)</f>
        <v/>
      </c>
      <c r="M61" s="76">
        <f>IF(NOT(Bootstrap!$G$4="Test 2"),"",IFERROR(INDEX(Bootstrap!$H$8:$H$72,MATCH(F61,Bootstrap!$B$8:$B$72,0)),""))</f>
        <v/>
      </c>
      <c r="N61" s="80">
        <f>IF(NOT(Bootstrap!$G$4="Test 2"),"",IFERROR(INDEX(Bootstrap!$C$8:$C$72,MATCH(F61,Bootstrap!$B$8:$B$72,0)),""))</f>
        <v/>
      </c>
      <c r="O61" s="84">
        <f>IF(NOT(Bootstrap!$G$4="Test 2"),"",IFERROR(INDEX(Bootstrap!$J$8:$J$72,MATCH(F61,Bootstrap!$B$8:$B$72,0)),""))</f>
        <v/>
      </c>
      <c r="P61" s="89">
        <f>IF(OR(O61="",NOT(ISNUMBER(C61))),"",(O61-C61)*100)</f>
        <v/>
      </c>
      <c r="Q61" s="72">
        <f>IF(OR(M61="",NOT(ISNUMBER(D61))),"",M61-D61)</f>
        <v/>
      </c>
    </row>
    <row r="62">
      <c r="A62" s="68" t="n"/>
      <c r="B62" s="85" t="n"/>
      <c r="C62" s="85" t="n"/>
      <c r="D62" s="69" t="n"/>
      <c r="E62" s="112">
        <f>IF(OR(A62="",$D$56=""),"",IF(RIGHT(A62,1)="W",$D$56+7*VALUE(LEFT(A62,LEN(A62)-1)),IF(RIGHT(A62,1)="M",EDATE($D$56,VALUE(LEFT(A62,LEN(A62)-1))),EDATE($D$56,12*VALUE(LEFT(A62,LEN(A62)-1))))))</f>
        <v/>
      </c>
      <c r="F62" s="112">
        <f>IF(E62="","",IF(MONTH((E62+IF(WEEKDAY(E62,2)=6,2,IF(WEEKDAY(E62,2)=7,1,0))))&lt;&gt;MONTH(E62),(E62-IF(WEEKDAY(E62,2)=6,1,IF(WEEKDAY(E62,2)=7,2,0))),(E62+IF(WEEKDAY(E62,2)=6,2,IF(WEEKDAY(E62,2)=7,1,0)))))</f>
        <v/>
      </c>
      <c r="G62" s="84">
        <f>IF(NOT(Bootstrap!$G$4="Test 2"),"",IFERROR(INDEX(Bootstrap!$E$8:$E$72,MATCH(F62,Bootstrap!$B$8:$B$72,0)),""))</f>
        <v/>
      </c>
      <c r="H62" s="160">
        <f>IF(NOT(Bootstrap!$G$4="Test 2"),"",IFERROR(IF(MATCH(F62,Bootstrap!$B$8:$B$72,0)&lt;=15,"short  DFspot/(1+S*tau)","annual (DFspot-S*A)/(1+S*tau)"),""))</f>
        <v/>
      </c>
      <c r="I62" s="80">
        <f>IF(NOT(Bootstrap!$G$4="Test 2"),"",IFERROR(IF(MATCH(F62,Bootstrap!$B$8:$B$72,0)&lt;=15,INDEX(Bootstrap!$D$8:$D$72,MATCH(F62,Bootstrap!$B$8:$B$72,0)),INDEX(Bootstrap!$F$8:$F$72,MATCH(F62,Bootstrap!$B$8:$B$72,0))),""))</f>
        <v/>
      </c>
      <c r="J62" s="76">
        <f>IF(NOT(Bootstrap!$G$4="Test 2"),"",IFERROR(IF(MATCH(F62,Bootstrap!$B$8:$B$72,0)&lt;=15,0,INDEX(Bootstrap!$G$8:$G$72,MATCH(F62,Bootstrap!$B$8:$B$72,0))),""))</f>
        <v/>
      </c>
      <c r="K62" s="76">
        <f>IF(OR(G62="",I62=""),"",Bootstrap!$D$4-(G62/100)*J62)</f>
        <v/>
      </c>
      <c r="L62" s="76">
        <f>IF(OR(G62="",I62=""),"",1+(G62/100)*I62)</f>
        <v/>
      </c>
      <c r="M62" s="76">
        <f>IF(NOT(Bootstrap!$G$4="Test 2"),"",IFERROR(INDEX(Bootstrap!$H$8:$H$72,MATCH(F62,Bootstrap!$B$8:$B$72,0)),""))</f>
        <v/>
      </c>
      <c r="N62" s="80">
        <f>IF(NOT(Bootstrap!$G$4="Test 2"),"",IFERROR(INDEX(Bootstrap!$C$8:$C$72,MATCH(F62,Bootstrap!$B$8:$B$72,0)),""))</f>
        <v/>
      </c>
      <c r="O62" s="84">
        <f>IF(NOT(Bootstrap!$G$4="Test 2"),"",IFERROR(INDEX(Bootstrap!$J$8:$J$72,MATCH(F62,Bootstrap!$B$8:$B$72,0)),""))</f>
        <v/>
      </c>
      <c r="P62" s="89">
        <f>IF(OR(O62="",NOT(ISNUMBER(C62))),"",(O62-C62)*100)</f>
        <v/>
      </c>
      <c r="Q62" s="72">
        <f>IF(OR(M62="",NOT(ISNUMBER(D62))),"",M62-D62)</f>
        <v/>
      </c>
    </row>
    <row r="63">
      <c r="A63" s="68" t="n"/>
      <c r="B63" s="85" t="n"/>
      <c r="C63" s="85" t="n"/>
      <c r="D63" s="69" t="n"/>
      <c r="E63" s="112">
        <f>IF(OR(A63="",$D$56=""),"",IF(RIGHT(A63,1)="W",$D$56+7*VALUE(LEFT(A63,LEN(A63)-1)),IF(RIGHT(A63,1)="M",EDATE($D$56,VALUE(LEFT(A63,LEN(A63)-1))),EDATE($D$56,12*VALUE(LEFT(A63,LEN(A63)-1))))))</f>
        <v/>
      </c>
      <c r="F63" s="112">
        <f>IF(E63="","",IF(MONTH((E63+IF(WEEKDAY(E63,2)=6,2,IF(WEEKDAY(E63,2)=7,1,0))))&lt;&gt;MONTH(E63),(E63-IF(WEEKDAY(E63,2)=6,1,IF(WEEKDAY(E63,2)=7,2,0))),(E63+IF(WEEKDAY(E63,2)=6,2,IF(WEEKDAY(E63,2)=7,1,0)))))</f>
        <v/>
      </c>
      <c r="G63" s="84">
        <f>IF(NOT(Bootstrap!$G$4="Test 2"),"",IFERROR(INDEX(Bootstrap!$E$8:$E$72,MATCH(F63,Bootstrap!$B$8:$B$72,0)),""))</f>
        <v/>
      </c>
      <c r="H63" s="160">
        <f>IF(NOT(Bootstrap!$G$4="Test 2"),"",IFERROR(IF(MATCH(F63,Bootstrap!$B$8:$B$72,0)&lt;=15,"short  DFspot/(1+S*tau)","annual (DFspot-S*A)/(1+S*tau)"),""))</f>
        <v/>
      </c>
      <c r="I63" s="80">
        <f>IF(NOT(Bootstrap!$G$4="Test 2"),"",IFERROR(IF(MATCH(F63,Bootstrap!$B$8:$B$72,0)&lt;=15,INDEX(Bootstrap!$D$8:$D$72,MATCH(F63,Bootstrap!$B$8:$B$72,0)),INDEX(Bootstrap!$F$8:$F$72,MATCH(F63,Bootstrap!$B$8:$B$72,0))),""))</f>
        <v/>
      </c>
      <c r="J63" s="76">
        <f>IF(NOT(Bootstrap!$G$4="Test 2"),"",IFERROR(IF(MATCH(F63,Bootstrap!$B$8:$B$72,0)&lt;=15,0,INDEX(Bootstrap!$G$8:$G$72,MATCH(F63,Bootstrap!$B$8:$B$72,0))),""))</f>
        <v/>
      </c>
      <c r="K63" s="76">
        <f>IF(OR(G63="",I63=""),"",Bootstrap!$D$4-(G63/100)*J63)</f>
        <v/>
      </c>
      <c r="L63" s="76">
        <f>IF(OR(G63="",I63=""),"",1+(G63/100)*I63)</f>
        <v/>
      </c>
      <c r="M63" s="76">
        <f>IF(NOT(Bootstrap!$G$4="Test 2"),"",IFERROR(INDEX(Bootstrap!$H$8:$H$72,MATCH(F63,Bootstrap!$B$8:$B$72,0)),""))</f>
        <v/>
      </c>
      <c r="N63" s="80">
        <f>IF(NOT(Bootstrap!$G$4="Test 2"),"",IFERROR(INDEX(Bootstrap!$C$8:$C$72,MATCH(F63,Bootstrap!$B$8:$B$72,0)),""))</f>
        <v/>
      </c>
      <c r="O63" s="84">
        <f>IF(NOT(Bootstrap!$G$4="Test 2"),"",IFERROR(INDEX(Bootstrap!$J$8:$J$72,MATCH(F63,Bootstrap!$B$8:$B$72,0)),""))</f>
        <v/>
      </c>
      <c r="P63" s="89">
        <f>IF(OR(O63="",NOT(ISNUMBER(C63))),"",(O63-C63)*100)</f>
        <v/>
      </c>
      <c r="Q63" s="72">
        <f>IF(OR(M63="",NOT(ISNUMBER(D63))),"",M63-D63)</f>
        <v/>
      </c>
    </row>
    <row r="64">
      <c r="A64" s="68" t="n"/>
      <c r="B64" s="85" t="n"/>
      <c r="C64" s="85" t="n"/>
      <c r="D64" s="69" t="n"/>
      <c r="E64" s="112">
        <f>IF(OR(A64="",$D$56=""),"",IF(RIGHT(A64,1)="W",$D$56+7*VALUE(LEFT(A64,LEN(A64)-1)),IF(RIGHT(A64,1)="M",EDATE($D$56,VALUE(LEFT(A64,LEN(A64)-1))),EDATE($D$56,12*VALUE(LEFT(A64,LEN(A64)-1))))))</f>
        <v/>
      </c>
      <c r="F64" s="112">
        <f>IF(E64="","",IF(MONTH((E64+IF(WEEKDAY(E64,2)=6,2,IF(WEEKDAY(E64,2)=7,1,0))))&lt;&gt;MONTH(E64),(E64-IF(WEEKDAY(E64,2)=6,1,IF(WEEKDAY(E64,2)=7,2,0))),(E64+IF(WEEKDAY(E64,2)=6,2,IF(WEEKDAY(E64,2)=7,1,0)))))</f>
        <v/>
      </c>
      <c r="G64" s="84">
        <f>IF(NOT(Bootstrap!$G$4="Test 2"),"",IFERROR(INDEX(Bootstrap!$E$8:$E$72,MATCH(F64,Bootstrap!$B$8:$B$72,0)),""))</f>
        <v/>
      </c>
      <c r="H64" s="160">
        <f>IF(NOT(Bootstrap!$G$4="Test 2"),"",IFERROR(IF(MATCH(F64,Bootstrap!$B$8:$B$72,0)&lt;=15,"short  DFspot/(1+S*tau)","annual (DFspot-S*A)/(1+S*tau)"),""))</f>
        <v/>
      </c>
      <c r="I64" s="80">
        <f>IF(NOT(Bootstrap!$G$4="Test 2"),"",IFERROR(IF(MATCH(F64,Bootstrap!$B$8:$B$72,0)&lt;=15,INDEX(Bootstrap!$D$8:$D$72,MATCH(F64,Bootstrap!$B$8:$B$72,0)),INDEX(Bootstrap!$F$8:$F$72,MATCH(F64,Bootstrap!$B$8:$B$72,0))),""))</f>
        <v/>
      </c>
      <c r="J64" s="76">
        <f>IF(NOT(Bootstrap!$G$4="Test 2"),"",IFERROR(IF(MATCH(F64,Bootstrap!$B$8:$B$72,0)&lt;=15,0,INDEX(Bootstrap!$G$8:$G$72,MATCH(F64,Bootstrap!$B$8:$B$72,0))),""))</f>
        <v/>
      </c>
      <c r="K64" s="76">
        <f>IF(OR(G64="",I64=""),"",Bootstrap!$D$4-(G64/100)*J64)</f>
        <v/>
      </c>
      <c r="L64" s="76">
        <f>IF(OR(G64="",I64=""),"",1+(G64/100)*I64)</f>
        <v/>
      </c>
      <c r="M64" s="76">
        <f>IF(NOT(Bootstrap!$G$4="Test 2"),"",IFERROR(INDEX(Bootstrap!$H$8:$H$72,MATCH(F64,Bootstrap!$B$8:$B$72,0)),""))</f>
        <v/>
      </c>
      <c r="N64" s="80">
        <f>IF(NOT(Bootstrap!$G$4="Test 2"),"",IFERROR(INDEX(Bootstrap!$C$8:$C$72,MATCH(F64,Bootstrap!$B$8:$B$72,0)),""))</f>
        <v/>
      </c>
      <c r="O64" s="84">
        <f>IF(NOT(Bootstrap!$G$4="Test 2"),"",IFERROR(INDEX(Bootstrap!$J$8:$J$72,MATCH(F64,Bootstrap!$B$8:$B$72,0)),""))</f>
        <v/>
      </c>
      <c r="P64" s="89">
        <f>IF(OR(O64="",NOT(ISNUMBER(C64))),"",(O64-C64)*100)</f>
        <v/>
      </c>
      <c r="Q64" s="72">
        <f>IF(OR(M64="",NOT(ISNUMBER(D64))),"",M64-D64)</f>
        <v/>
      </c>
    </row>
    <row r="65">
      <c r="A65" s="68" t="n"/>
      <c r="B65" s="85" t="n"/>
      <c r="C65" s="85" t="n"/>
      <c r="D65" s="69" t="n"/>
      <c r="E65" s="112">
        <f>IF(OR(A65="",$D$56=""),"",IF(RIGHT(A65,1)="W",$D$56+7*VALUE(LEFT(A65,LEN(A65)-1)),IF(RIGHT(A65,1)="M",EDATE($D$56,VALUE(LEFT(A65,LEN(A65)-1))),EDATE($D$56,12*VALUE(LEFT(A65,LEN(A65)-1))))))</f>
        <v/>
      </c>
      <c r="F65" s="112">
        <f>IF(E65="","",IF(MONTH((E65+IF(WEEKDAY(E65,2)=6,2,IF(WEEKDAY(E65,2)=7,1,0))))&lt;&gt;MONTH(E65),(E65-IF(WEEKDAY(E65,2)=6,1,IF(WEEKDAY(E65,2)=7,2,0))),(E65+IF(WEEKDAY(E65,2)=6,2,IF(WEEKDAY(E65,2)=7,1,0)))))</f>
        <v/>
      </c>
      <c r="G65" s="84">
        <f>IF(NOT(Bootstrap!$G$4="Test 2"),"",IFERROR(INDEX(Bootstrap!$E$8:$E$72,MATCH(F65,Bootstrap!$B$8:$B$72,0)),""))</f>
        <v/>
      </c>
      <c r="H65" s="160">
        <f>IF(NOT(Bootstrap!$G$4="Test 2"),"",IFERROR(IF(MATCH(F65,Bootstrap!$B$8:$B$72,0)&lt;=15,"short  DFspot/(1+S*tau)","annual (DFspot-S*A)/(1+S*tau)"),""))</f>
        <v/>
      </c>
      <c r="I65" s="80">
        <f>IF(NOT(Bootstrap!$G$4="Test 2"),"",IFERROR(IF(MATCH(F65,Bootstrap!$B$8:$B$72,0)&lt;=15,INDEX(Bootstrap!$D$8:$D$72,MATCH(F65,Bootstrap!$B$8:$B$72,0)),INDEX(Bootstrap!$F$8:$F$72,MATCH(F65,Bootstrap!$B$8:$B$72,0))),""))</f>
        <v/>
      </c>
      <c r="J65" s="76">
        <f>IF(NOT(Bootstrap!$G$4="Test 2"),"",IFERROR(IF(MATCH(F65,Bootstrap!$B$8:$B$72,0)&lt;=15,0,INDEX(Bootstrap!$G$8:$G$72,MATCH(F65,Bootstrap!$B$8:$B$72,0))),""))</f>
        <v/>
      </c>
      <c r="K65" s="76">
        <f>IF(OR(G65="",I65=""),"",Bootstrap!$D$4-(G65/100)*J65)</f>
        <v/>
      </c>
      <c r="L65" s="76">
        <f>IF(OR(G65="",I65=""),"",1+(G65/100)*I65)</f>
        <v/>
      </c>
      <c r="M65" s="76">
        <f>IF(NOT(Bootstrap!$G$4="Test 2"),"",IFERROR(INDEX(Bootstrap!$H$8:$H$72,MATCH(F65,Bootstrap!$B$8:$B$72,0)),""))</f>
        <v/>
      </c>
      <c r="N65" s="80">
        <f>IF(NOT(Bootstrap!$G$4="Test 2"),"",IFERROR(INDEX(Bootstrap!$C$8:$C$72,MATCH(F65,Bootstrap!$B$8:$B$72,0)),""))</f>
        <v/>
      </c>
      <c r="O65" s="84">
        <f>IF(NOT(Bootstrap!$G$4="Test 2"),"",IFERROR(INDEX(Bootstrap!$J$8:$J$72,MATCH(F65,Bootstrap!$B$8:$B$72,0)),""))</f>
        <v/>
      </c>
      <c r="P65" s="89">
        <f>IF(OR(O65="",NOT(ISNUMBER(C65))),"",(O65-C65)*100)</f>
        <v/>
      </c>
      <c r="Q65" s="72">
        <f>IF(OR(M65="",NOT(ISNUMBER(D65))),"",M65-D65)</f>
        <v/>
      </c>
    </row>
    <row r="66">
      <c r="A66" s="68" t="n"/>
      <c r="B66" s="85" t="n"/>
      <c r="C66" s="85" t="n"/>
      <c r="D66" s="69" t="n"/>
      <c r="E66" s="112">
        <f>IF(OR(A66="",$D$56=""),"",IF(RIGHT(A66,1)="W",$D$56+7*VALUE(LEFT(A66,LEN(A66)-1)),IF(RIGHT(A66,1)="M",EDATE($D$56,VALUE(LEFT(A66,LEN(A66)-1))),EDATE($D$56,12*VALUE(LEFT(A66,LEN(A66)-1))))))</f>
        <v/>
      </c>
      <c r="F66" s="112">
        <f>IF(E66="","",IF(MONTH((E66+IF(WEEKDAY(E66,2)=6,2,IF(WEEKDAY(E66,2)=7,1,0))))&lt;&gt;MONTH(E66),(E66-IF(WEEKDAY(E66,2)=6,1,IF(WEEKDAY(E66,2)=7,2,0))),(E66+IF(WEEKDAY(E66,2)=6,2,IF(WEEKDAY(E66,2)=7,1,0)))))</f>
        <v/>
      </c>
      <c r="G66" s="84">
        <f>IF(NOT(Bootstrap!$G$4="Test 2"),"",IFERROR(INDEX(Bootstrap!$E$8:$E$72,MATCH(F66,Bootstrap!$B$8:$B$72,0)),""))</f>
        <v/>
      </c>
      <c r="H66" s="160">
        <f>IF(NOT(Bootstrap!$G$4="Test 2"),"",IFERROR(IF(MATCH(F66,Bootstrap!$B$8:$B$72,0)&lt;=15,"short  DFspot/(1+S*tau)","annual (DFspot-S*A)/(1+S*tau)"),""))</f>
        <v/>
      </c>
      <c r="I66" s="80">
        <f>IF(NOT(Bootstrap!$G$4="Test 2"),"",IFERROR(IF(MATCH(F66,Bootstrap!$B$8:$B$72,0)&lt;=15,INDEX(Bootstrap!$D$8:$D$72,MATCH(F66,Bootstrap!$B$8:$B$72,0)),INDEX(Bootstrap!$F$8:$F$72,MATCH(F66,Bootstrap!$B$8:$B$72,0))),""))</f>
        <v/>
      </c>
      <c r="J66" s="76">
        <f>IF(NOT(Bootstrap!$G$4="Test 2"),"",IFERROR(IF(MATCH(F66,Bootstrap!$B$8:$B$72,0)&lt;=15,0,INDEX(Bootstrap!$G$8:$G$72,MATCH(F66,Bootstrap!$B$8:$B$72,0))),""))</f>
        <v/>
      </c>
      <c r="K66" s="76">
        <f>IF(OR(G66="",I66=""),"",Bootstrap!$D$4-(G66/100)*J66)</f>
        <v/>
      </c>
      <c r="L66" s="76">
        <f>IF(OR(G66="",I66=""),"",1+(G66/100)*I66)</f>
        <v/>
      </c>
      <c r="M66" s="76">
        <f>IF(NOT(Bootstrap!$G$4="Test 2"),"",IFERROR(INDEX(Bootstrap!$H$8:$H$72,MATCH(F66,Bootstrap!$B$8:$B$72,0)),""))</f>
        <v/>
      </c>
      <c r="N66" s="80">
        <f>IF(NOT(Bootstrap!$G$4="Test 2"),"",IFERROR(INDEX(Bootstrap!$C$8:$C$72,MATCH(F66,Bootstrap!$B$8:$B$72,0)),""))</f>
        <v/>
      </c>
      <c r="O66" s="84">
        <f>IF(NOT(Bootstrap!$G$4="Test 2"),"",IFERROR(INDEX(Bootstrap!$J$8:$J$72,MATCH(F66,Bootstrap!$B$8:$B$72,0)),""))</f>
        <v/>
      </c>
      <c r="P66" s="89">
        <f>IF(OR(O66="",NOT(ISNUMBER(C66))),"",(O66-C66)*100)</f>
        <v/>
      </c>
      <c r="Q66" s="72">
        <f>IF(OR(M66="",NOT(ISNUMBER(D66))),"",M66-D66)</f>
        <v/>
      </c>
    </row>
    <row r="67">
      <c r="A67" s="68" t="n"/>
      <c r="B67" s="85" t="n"/>
      <c r="C67" s="85" t="n"/>
      <c r="D67" s="69" t="n"/>
      <c r="E67" s="112">
        <f>IF(OR(A67="",$D$56=""),"",IF(RIGHT(A67,1)="W",$D$56+7*VALUE(LEFT(A67,LEN(A67)-1)),IF(RIGHT(A67,1)="M",EDATE($D$56,VALUE(LEFT(A67,LEN(A67)-1))),EDATE($D$56,12*VALUE(LEFT(A67,LEN(A67)-1))))))</f>
        <v/>
      </c>
      <c r="F67" s="112">
        <f>IF(E67="","",IF(MONTH((E67+IF(WEEKDAY(E67,2)=6,2,IF(WEEKDAY(E67,2)=7,1,0))))&lt;&gt;MONTH(E67),(E67-IF(WEEKDAY(E67,2)=6,1,IF(WEEKDAY(E67,2)=7,2,0))),(E67+IF(WEEKDAY(E67,2)=6,2,IF(WEEKDAY(E67,2)=7,1,0)))))</f>
        <v/>
      </c>
      <c r="G67" s="84">
        <f>IF(NOT(Bootstrap!$G$4="Test 2"),"",IFERROR(INDEX(Bootstrap!$E$8:$E$72,MATCH(F67,Bootstrap!$B$8:$B$72,0)),""))</f>
        <v/>
      </c>
      <c r="H67" s="160">
        <f>IF(NOT(Bootstrap!$G$4="Test 2"),"",IFERROR(IF(MATCH(F67,Bootstrap!$B$8:$B$72,0)&lt;=15,"short  DFspot/(1+S*tau)","annual (DFspot-S*A)/(1+S*tau)"),""))</f>
        <v/>
      </c>
      <c r="I67" s="80">
        <f>IF(NOT(Bootstrap!$G$4="Test 2"),"",IFERROR(IF(MATCH(F67,Bootstrap!$B$8:$B$72,0)&lt;=15,INDEX(Bootstrap!$D$8:$D$72,MATCH(F67,Bootstrap!$B$8:$B$72,0)),INDEX(Bootstrap!$F$8:$F$72,MATCH(F67,Bootstrap!$B$8:$B$72,0))),""))</f>
        <v/>
      </c>
      <c r="J67" s="76">
        <f>IF(NOT(Bootstrap!$G$4="Test 2"),"",IFERROR(IF(MATCH(F67,Bootstrap!$B$8:$B$72,0)&lt;=15,0,INDEX(Bootstrap!$G$8:$G$72,MATCH(F67,Bootstrap!$B$8:$B$72,0))),""))</f>
        <v/>
      </c>
      <c r="K67" s="76">
        <f>IF(OR(G67="",I67=""),"",Bootstrap!$D$4-(G67/100)*J67)</f>
        <v/>
      </c>
      <c r="L67" s="76">
        <f>IF(OR(G67="",I67=""),"",1+(G67/100)*I67)</f>
        <v/>
      </c>
      <c r="M67" s="76">
        <f>IF(NOT(Bootstrap!$G$4="Test 2"),"",IFERROR(INDEX(Bootstrap!$H$8:$H$72,MATCH(F67,Bootstrap!$B$8:$B$72,0)),""))</f>
        <v/>
      </c>
      <c r="N67" s="80">
        <f>IF(NOT(Bootstrap!$G$4="Test 2"),"",IFERROR(INDEX(Bootstrap!$C$8:$C$72,MATCH(F67,Bootstrap!$B$8:$B$72,0)),""))</f>
        <v/>
      </c>
      <c r="O67" s="84">
        <f>IF(NOT(Bootstrap!$G$4="Test 2"),"",IFERROR(INDEX(Bootstrap!$J$8:$J$72,MATCH(F67,Bootstrap!$B$8:$B$72,0)),""))</f>
        <v/>
      </c>
      <c r="P67" s="89">
        <f>IF(OR(O67="",NOT(ISNUMBER(C67))),"",(O67-C67)*100)</f>
        <v/>
      </c>
      <c r="Q67" s="72">
        <f>IF(OR(M67="",NOT(ISNUMBER(D67))),"",M67-D67)</f>
        <v/>
      </c>
    </row>
    <row r="68">
      <c r="A68" s="68" t="n"/>
      <c r="B68" s="85" t="n"/>
      <c r="C68" s="85" t="n"/>
      <c r="D68" s="69" t="n"/>
      <c r="E68" s="112">
        <f>IF(OR(A68="",$D$56=""),"",IF(RIGHT(A68,1)="W",$D$56+7*VALUE(LEFT(A68,LEN(A68)-1)),IF(RIGHT(A68,1)="M",EDATE($D$56,VALUE(LEFT(A68,LEN(A68)-1))),EDATE($D$56,12*VALUE(LEFT(A68,LEN(A68)-1))))))</f>
        <v/>
      </c>
      <c r="F68" s="112">
        <f>IF(E68="","",IF(MONTH((E68+IF(WEEKDAY(E68,2)=6,2,IF(WEEKDAY(E68,2)=7,1,0))))&lt;&gt;MONTH(E68),(E68-IF(WEEKDAY(E68,2)=6,1,IF(WEEKDAY(E68,2)=7,2,0))),(E68+IF(WEEKDAY(E68,2)=6,2,IF(WEEKDAY(E68,2)=7,1,0)))))</f>
        <v/>
      </c>
      <c r="G68" s="84">
        <f>IF(NOT(Bootstrap!$G$4="Test 2"),"",IFERROR(INDEX(Bootstrap!$E$8:$E$72,MATCH(F68,Bootstrap!$B$8:$B$72,0)),""))</f>
        <v/>
      </c>
      <c r="H68" s="160">
        <f>IF(NOT(Bootstrap!$G$4="Test 2"),"",IFERROR(IF(MATCH(F68,Bootstrap!$B$8:$B$72,0)&lt;=15,"short  DFspot/(1+S*tau)","annual (DFspot-S*A)/(1+S*tau)"),""))</f>
        <v/>
      </c>
      <c r="I68" s="80">
        <f>IF(NOT(Bootstrap!$G$4="Test 2"),"",IFERROR(IF(MATCH(F68,Bootstrap!$B$8:$B$72,0)&lt;=15,INDEX(Bootstrap!$D$8:$D$72,MATCH(F68,Bootstrap!$B$8:$B$72,0)),INDEX(Bootstrap!$F$8:$F$72,MATCH(F68,Bootstrap!$B$8:$B$72,0))),""))</f>
        <v/>
      </c>
      <c r="J68" s="76">
        <f>IF(NOT(Bootstrap!$G$4="Test 2"),"",IFERROR(IF(MATCH(F68,Bootstrap!$B$8:$B$72,0)&lt;=15,0,INDEX(Bootstrap!$G$8:$G$72,MATCH(F68,Bootstrap!$B$8:$B$72,0))),""))</f>
        <v/>
      </c>
      <c r="K68" s="76">
        <f>IF(OR(G68="",I68=""),"",Bootstrap!$D$4-(G68/100)*J68)</f>
        <v/>
      </c>
      <c r="L68" s="76">
        <f>IF(OR(G68="",I68=""),"",1+(G68/100)*I68)</f>
        <v/>
      </c>
      <c r="M68" s="76">
        <f>IF(NOT(Bootstrap!$G$4="Test 2"),"",IFERROR(INDEX(Bootstrap!$H$8:$H$72,MATCH(F68,Bootstrap!$B$8:$B$72,0)),""))</f>
        <v/>
      </c>
      <c r="N68" s="80">
        <f>IF(NOT(Bootstrap!$G$4="Test 2"),"",IFERROR(INDEX(Bootstrap!$C$8:$C$72,MATCH(F68,Bootstrap!$B$8:$B$72,0)),""))</f>
        <v/>
      </c>
      <c r="O68" s="84">
        <f>IF(NOT(Bootstrap!$G$4="Test 2"),"",IFERROR(INDEX(Bootstrap!$J$8:$J$72,MATCH(F68,Bootstrap!$B$8:$B$72,0)),""))</f>
        <v/>
      </c>
      <c r="P68" s="89">
        <f>IF(OR(O68="",NOT(ISNUMBER(C68))),"",(O68-C68)*100)</f>
        <v/>
      </c>
      <c r="Q68" s="72">
        <f>IF(OR(M68="",NOT(ISNUMBER(D68))),"",M68-D68)</f>
        <v/>
      </c>
    </row>
    <row r="69">
      <c r="A69" s="68" t="n"/>
      <c r="B69" s="85" t="n"/>
      <c r="C69" s="85" t="n"/>
      <c r="D69" s="69" t="n"/>
      <c r="E69" s="112">
        <f>IF(OR(A69="",$D$56=""),"",IF(RIGHT(A69,1)="W",$D$56+7*VALUE(LEFT(A69,LEN(A69)-1)),IF(RIGHT(A69,1)="M",EDATE($D$56,VALUE(LEFT(A69,LEN(A69)-1))),EDATE($D$56,12*VALUE(LEFT(A69,LEN(A69)-1))))))</f>
        <v/>
      </c>
      <c r="F69" s="112">
        <f>IF(E69="","",IF(MONTH((E69+IF(WEEKDAY(E69,2)=6,2,IF(WEEKDAY(E69,2)=7,1,0))))&lt;&gt;MONTH(E69),(E69-IF(WEEKDAY(E69,2)=6,1,IF(WEEKDAY(E69,2)=7,2,0))),(E69+IF(WEEKDAY(E69,2)=6,2,IF(WEEKDAY(E69,2)=7,1,0)))))</f>
        <v/>
      </c>
      <c r="G69" s="84">
        <f>IF(NOT(Bootstrap!$G$4="Test 2"),"",IFERROR(INDEX(Bootstrap!$E$8:$E$72,MATCH(F69,Bootstrap!$B$8:$B$72,0)),""))</f>
        <v/>
      </c>
      <c r="H69" s="160">
        <f>IF(NOT(Bootstrap!$G$4="Test 2"),"",IFERROR(IF(MATCH(F69,Bootstrap!$B$8:$B$72,0)&lt;=15,"short  DFspot/(1+S*tau)","annual (DFspot-S*A)/(1+S*tau)"),""))</f>
        <v/>
      </c>
      <c r="I69" s="80">
        <f>IF(NOT(Bootstrap!$G$4="Test 2"),"",IFERROR(IF(MATCH(F69,Bootstrap!$B$8:$B$72,0)&lt;=15,INDEX(Bootstrap!$D$8:$D$72,MATCH(F69,Bootstrap!$B$8:$B$72,0)),INDEX(Bootstrap!$F$8:$F$72,MATCH(F69,Bootstrap!$B$8:$B$72,0))),""))</f>
        <v/>
      </c>
      <c r="J69" s="76">
        <f>IF(NOT(Bootstrap!$G$4="Test 2"),"",IFERROR(IF(MATCH(F69,Bootstrap!$B$8:$B$72,0)&lt;=15,0,INDEX(Bootstrap!$G$8:$G$72,MATCH(F69,Bootstrap!$B$8:$B$72,0))),""))</f>
        <v/>
      </c>
      <c r="K69" s="76">
        <f>IF(OR(G69="",I69=""),"",Bootstrap!$D$4-(G69/100)*J69)</f>
        <v/>
      </c>
      <c r="L69" s="76">
        <f>IF(OR(G69="",I69=""),"",1+(G69/100)*I69)</f>
        <v/>
      </c>
      <c r="M69" s="76">
        <f>IF(NOT(Bootstrap!$G$4="Test 2"),"",IFERROR(INDEX(Bootstrap!$H$8:$H$72,MATCH(F69,Bootstrap!$B$8:$B$72,0)),""))</f>
        <v/>
      </c>
      <c r="N69" s="80">
        <f>IF(NOT(Bootstrap!$G$4="Test 2"),"",IFERROR(INDEX(Bootstrap!$C$8:$C$72,MATCH(F69,Bootstrap!$B$8:$B$72,0)),""))</f>
        <v/>
      </c>
      <c r="O69" s="84">
        <f>IF(NOT(Bootstrap!$G$4="Test 2"),"",IFERROR(INDEX(Bootstrap!$J$8:$J$72,MATCH(F69,Bootstrap!$B$8:$B$72,0)),""))</f>
        <v/>
      </c>
      <c r="P69" s="89">
        <f>IF(OR(O69="",NOT(ISNUMBER(C69))),"",(O69-C69)*100)</f>
        <v/>
      </c>
      <c r="Q69" s="72">
        <f>IF(OR(M69="",NOT(ISNUMBER(D69))),"",M69-D69)</f>
        <v/>
      </c>
    </row>
    <row r="70">
      <c r="A70" s="68" t="n"/>
      <c r="B70" s="85" t="n"/>
      <c r="C70" s="85" t="n"/>
      <c r="D70" s="69" t="n"/>
      <c r="E70" s="112">
        <f>IF(OR(A70="",$D$56=""),"",IF(RIGHT(A70,1)="W",$D$56+7*VALUE(LEFT(A70,LEN(A70)-1)),IF(RIGHT(A70,1)="M",EDATE($D$56,VALUE(LEFT(A70,LEN(A70)-1))),EDATE($D$56,12*VALUE(LEFT(A70,LEN(A70)-1))))))</f>
        <v/>
      </c>
      <c r="F70" s="112">
        <f>IF(E70="","",IF(MONTH((E70+IF(WEEKDAY(E70,2)=6,2,IF(WEEKDAY(E70,2)=7,1,0))))&lt;&gt;MONTH(E70),(E70-IF(WEEKDAY(E70,2)=6,1,IF(WEEKDAY(E70,2)=7,2,0))),(E70+IF(WEEKDAY(E70,2)=6,2,IF(WEEKDAY(E70,2)=7,1,0)))))</f>
        <v/>
      </c>
      <c r="G70" s="84">
        <f>IF(NOT(Bootstrap!$G$4="Test 2"),"",IFERROR(INDEX(Bootstrap!$E$8:$E$72,MATCH(F70,Bootstrap!$B$8:$B$72,0)),""))</f>
        <v/>
      </c>
      <c r="H70" s="160">
        <f>IF(NOT(Bootstrap!$G$4="Test 2"),"",IFERROR(IF(MATCH(F70,Bootstrap!$B$8:$B$72,0)&lt;=15,"short  DFspot/(1+S*tau)","annual (DFspot-S*A)/(1+S*tau)"),""))</f>
        <v/>
      </c>
      <c r="I70" s="80">
        <f>IF(NOT(Bootstrap!$G$4="Test 2"),"",IFERROR(IF(MATCH(F70,Bootstrap!$B$8:$B$72,0)&lt;=15,INDEX(Bootstrap!$D$8:$D$72,MATCH(F70,Bootstrap!$B$8:$B$72,0)),INDEX(Bootstrap!$F$8:$F$72,MATCH(F70,Bootstrap!$B$8:$B$72,0))),""))</f>
        <v/>
      </c>
      <c r="J70" s="76">
        <f>IF(NOT(Bootstrap!$G$4="Test 2"),"",IFERROR(IF(MATCH(F70,Bootstrap!$B$8:$B$72,0)&lt;=15,0,INDEX(Bootstrap!$G$8:$G$72,MATCH(F70,Bootstrap!$B$8:$B$72,0))),""))</f>
        <v/>
      </c>
      <c r="K70" s="76">
        <f>IF(OR(G70="",I70=""),"",Bootstrap!$D$4-(G70/100)*J70)</f>
        <v/>
      </c>
      <c r="L70" s="76">
        <f>IF(OR(G70="",I70=""),"",1+(G70/100)*I70)</f>
        <v/>
      </c>
      <c r="M70" s="76">
        <f>IF(NOT(Bootstrap!$G$4="Test 2"),"",IFERROR(INDEX(Bootstrap!$H$8:$H$72,MATCH(F70,Bootstrap!$B$8:$B$72,0)),""))</f>
        <v/>
      </c>
      <c r="N70" s="80">
        <f>IF(NOT(Bootstrap!$G$4="Test 2"),"",IFERROR(INDEX(Bootstrap!$C$8:$C$72,MATCH(F70,Bootstrap!$B$8:$B$72,0)),""))</f>
        <v/>
      </c>
      <c r="O70" s="84">
        <f>IF(NOT(Bootstrap!$G$4="Test 2"),"",IFERROR(INDEX(Bootstrap!$J$8:$J$72,MATCH(F70,Bootstrap!$B$8:$B$72,0)),""))</f>
        <v/>
      </c>
      <c r="P70" s="89">
        <f>IF(OR(O70="",NOT(ISNUMBER(C70))),"",(O70-C70)*100)</f>
        <v/>
      </c>
      <c r="Q70" s="72">
        <f>IF(OR(M70="",NOT(ISNUMBER(D70))),"",M70-D70)</f>
        <v/>
      </c>
    </row>
    <row r="71">
      <c r="A71" s="68" t="n"/>
      <c r="B71" s="85" t="n"/>
      <c r="C71" s="85" t="n"/>
      <c r="D71" s="69" t="n"/>
      <c r="E71" s="112">
        <f>IF(OR(A71="",$D$56=""),"",IF(RIGHT(A71,1)="W",$D$56+7*VALUE(LEFT(A71,LEN(A71)-1)),IF(RIGHT(A71,1)="M",EDATE($D$56,VALUE(LEFT(A71,LEN(A71)-1))),EDATE($D$56,12*VALUE(LEFT(A71,LEN(A71)-1))))))</f>
        <v/>
      </c>
      <c r="F71" s="112">
        <f>IF(E71="","",IF(MONTH((E71+IF(WEEKDAY(E71,2)=6,2,IF(WEEKDAY(E71,2)=7,1,0))))&lt;&gt;MONTH(E71),(E71-IF(WEEKDAY(E71,2)=6,1,IF(WEEKDAY(E71,2)=7,2,0))),(E71+IF(WEEKDAY(E71,2)=6,2,IF(WEEKDAY(E71,2)=7,1,0)))))</f>
        <v/>
      </c>
      <c r="G71" s="84">
        <f>IF(NOT(Bootstrap!$G$4="Test 2"),"",IFERROR(INDEX(Bootstrap!$E$8:$E$72,MATCH(F71,Bootstrap!$B$8:$B$72,0)),""))</f>
        <v/>
      </c>
      <c r="H71" s="160">
        <f>IF(NOT(Bootstrap!$G$4="Test 2"),"",IFERROR(IF(MATCH(F71,Bootstrap!$B$8:$B$72,0)&lt;=15,"short  DFspot/(1+S*tau)","annual (DFspot-S*A)/(1+S*tau)"),""))</f>
        <v/>
      </c>
      <c r="I71" s="80">
        <f>IF(NOT(Bootstrap!$G$4="Test 2"),"",IFERROR(IF(MATCH(F71,Bootstrap!$B$8:$B$72,0)&lt;=15,INDEX(Bootstrap!$D$8:$D$72,MATCH(F71,Bootstrap!$B$8:$B$72,0)),INDEX(Bootstrap!$F$8:$F$72,MATCH(F71,Bootstrap!$B$8:$B$72,0))),""))</f>
        <v/>
      </c>
      <c r="J71" s="76">
        <f>IF(NOT(Bootstrap!$G$4="Test 2"),"",IFERROR(IF(MATCH(F71,Bootstrap!$B$8:$B$72,0)&lt;=15,0,INDEX(Bootstrap!$G$8:$G$72,MATCH(F71,Bootstrap!$B$8:$B$72,0))),""))</f>
        <v/>
      </c>
      <c r="K71" s="76">
        <f>IF(OR(G71="",I71=""),"",Bootstrap!$D$4-(G71/100)*J71)</f>
        <v/>
      </c>
      <c r="L71" s="76">
        <f>IF(OR(G71="",I71=""),"",1+(G71/100)*I71)</f>
        <v/>
      </c>
      <c r="M71" s="76">
        <f>IF(NOT(Bootstrap!$G$4="Test 2"),"",IFERROR(INDEX(Bootstrap!$H$8:$H$72,MATCH(F71,Bootstrap!$B$8:$B$72,0)),""))</f>
        <v/>
      </c>
      <c r="N71" s="80">
        <f>IF(NOT(Bootstrap!$G$4="Test 2"),"",IFERROR(INDEX(Bootstrap!$C$8:$C$72,MATCH(F71,Bootstrap!$B$8:$B$72,0)),""))</f>
        <v/>
      </c>
      <c r="O71" s="84">
        <f>IF(NOT(Bootstrap!$G$4="Test 2"),"",IFERROR(INDEX(Bootstrap!$J$8:$J$72,MATCH(F71,Bootstrap!$B$8:$B$72,0)),""))</f>
        <v/>
      </c>
      <c r="P71" s="89">
        <f>IF(OR(O71="",NOT(ISNUMBER(C71))),"",(O71-C71)*100)</f>
        <v/>
      </c>
      <c r="Q71" s="72">
        <f>IF(OR(M71="",NOT(ISNUMBER(D71))),"",M71-D71)</f>
        <v/>
      </c>
    </row>
    <row r="72">
      <c r="A72" s="68" t="n"/>
      <c r="B72" s="85" t="n"/>
      <c r="C72" s="85" t="n"/>
      <c r="D72" s="69" t="n"/>
      <c r="E72" s="112">
        <f>IF(OR(A72="",$D$56=""),"",IF(RIGHT(A72,1)="W",$D$56+7*VALUE(LEFT(A72,LEN(A72)-1)),IF(RIGHT(A72,1)="M",EDATE($D$56,VALUE(LEFT(A72,LEN(A72)-1))),EDATE($D$56,12*VALUE(LEFT(A72,LEN(A72)-1))))))</f>
        <v/>
      </c>
      <c r="F72" s="112">
        <f>IF(E72="","",IF(MONTH((E72+IF(WEEKDAY(E72,2)=6,2,IF(WEEKDAY(E72,2)=7,1,0))))&lt;&gt;MONTH(E72),(E72-IF(WEEKDAY(E72,2)=6,1,IF(WEEKDAY(E72,2)=7,2,0))),(E72+IF(WEEKDAY(E72,2)=6,2,IF(WEEKDAY(E72,2)=7,1,0)))))</f>
        <v/>
      </c>
      <c r="G72" s="84">
        <f>IF(NOT(Bootstrap!$G$4="Test 2"),"",IFERROR(INDEX(Bootstrap!$E$8:$E$72,MATCH(F72,Bootstrap!$B$8:$B$72,0)),""))</f>
        <v/>
      </c>
      <c r="H72" s="160">
        <f>IF(NOT(Bootstrap!$G$4="Test 2"),"",IFERROR(IF(MATCH(F72,Bootstrap!$B$8:$B$72,0)&lt;=15,"short  DFspot/(1+S*tau)","annual (DFspot-S*A)/(1+S*tau)"),""))</f>
        <v/>
      </c>
      <c r="I72" s="80">
        <f>IF(NOT(Bootstrap!$G$4="Test 2"),"",IFERROR(IF(MATCH(F72,Bootstrap!$B$8:$B$72,0)&lt;=15,INDEX(Bootstrap!$D$8:$D$72,MATCH(F72,Bootstrap!$B$8:$B$72,0)),INDEX(Bootstrap!$F$8:$F$72,MATCH(F72,Bootstrap!$B$8:$B$72,0))),""))</f>
        <v/>
      </c>
      <c r="J72" s="76">
        <f>IF(NOT(Bootstrap!$G$4="Test 2"),"",IFERROR(IF(MATCH(F72,Bootstrap!$B$8:$B$72,0)&lt;=15,0,INDEX(Bootstrap!$G$8:$G$72,MATCH(F72,Bootstrap!$B$8:$B$72,0))),""))</f>
        <v/>
      </c>
      <c r="K72" s="76">
        <f>IF(OR(G72="",I72=""),"",Bootstrap!$D$4-(G72/100)*J72)</f>
        <v/>
      </c>
      <c r="L72" s="76">
        <f>IF(OR(G72="",I72=""),"",1+(G72/100)*I72)</f>
        <v/>
      </c>
      <c r="M72" s="76">
        <f>IF(NOT(Bootstrap!$G$4="Test 2"),"",IFERROR(INDEX(Bootstrap!$H$8:$H$72,MATCH(F72,Bootstrap!$B$8:$B$72,0)),""))</f>
        <v/>
      </c>
      <c r="N72" s="80">
        <f>IF(NOT(Bootstrap!$G$4="Test 2"),"",IFERROR(INDEX(Bootstrap!$C$8:$C$72,MATCH(F72,Bootstrap!$B$8:$B$72,0)),""))</f>
        <v/>
      </c>
      <c r="O72" s="84">
        <f>IF(NOT(Bootstrap!$G$4="Test 2"),"",IFERROR(INDEX(Bootstrap!$J$8:$J$72,MATCH(F72,Bootstrap!$B$8:$B$72,0)),""))</f>
        <v/>
      </c>
      <c r="P72" s="89">
        <f>IF(OR(O72="",NOT(ISNUMBER(C72))),"",(O72-C72)*100)</f>
        <v/>
      </c>
      <c r="Q72" s="72">
        <f>IF(OR(M72="",NOT(ISNUMBER(D72))),"",M72-D72)</f>
        <v/>
      </c>
    </row>
    <row r="73">
      <c r="A73" s="68" t="n"/>
      <c r="B73" s="85" t="n"/>
      <c r="C73" s="85" t="n"/>
      <c r="D73" s="69" t="n"/>
      <c r="E73" s="112">
        <f>IF(OR(A73="",$D$56=""),"",IF(RIGHT(A73,1)="W",$D$56+7*VALUE(LEFT(A73,LEN(A73)-1)),IF(RIGHT(A73,1)="M",EDATE($D$56,VALUE(LEFT(A73,LEN(A73)-1))),EDATE($D$56,12*VALUE(LEFT(A73,LEN(A73)-1))))))</f>
        <v/>
      </c>
      <c r="F73" s="112">
        <f>IF(E73="","",IF(MONTH((E73+IF(WEEKDAY(E73,2)=6,2,IF(WEEKDAY(E73,2)=7,1,0))))&lt;&gt;MONTH(E73),(E73-IF(WEEKDAY(E73,2)=6,1,IF(WEEKDAY(E73,2)=7,2,0))),(E73+IF(WEEKDAY(E73,2)=6,2,IF(WEEKDAY(E73,2)=7,1,0)))))</f>
        <v/>
      </c>
      <c r="G73" s="84">
        <f>IF(NOT(Bootstrap!$G$4="Test 2"),"",IFERROR(INDEX(Bootstrap!$E$8:$E$72,MATCH(F73,Bootstrap!$B$8:$B$72,0)),""))</f>
        <v/>
      </c>
      <c r="H73" s="160">
        <f>IF(NOT(Bootstrap!$G$4="Test 2"),"",IFERROR(IF(MATCH(F73,Bootstrap!$B$8:$B$72,0)&lt;=15,"short  DFspot/(1+S*tau)","annual (DFspot-S*A)/(1+S*tau)"),""))</f>
        <v/>
      </c>
      <c r="I73" s="80">
        <f>IF(NOT(Bootstrap!$G$4="Test 2"),"",IFERROR(IF(MATCH(F73,Bootstrap!$B$8:$B$72,0)&lt;=15,INDEX(Bootstrap!$D$8:$D$72,MATCH(F73,Bootstrap!$B$8:$B$72,0)),INDEX(Bootstrap!$F$8:$F$72,MATCH(F73,Bootstrap!$B$8:$B$72,0))),""))</f>
        <v/>
      </c>
      <c r="J73" s="76">
        <f>IF(NOT(Bootstrap!$G$4="Test 2"),"",IFERROR(IF(MATCH(F73,Bootstrap!$B$8:$B$72,0)&lt;=15,0,INDEX(Bootstrap!$G$8:$G$72,MATCH(F73,Bootstrap!$B$8:$B$72,0))),""))</f>
        <v/>
      </c>
      <c r="K73" s="76">
        <f>IF(OR(G73="",I73=""),"",Bootstrap!$D$4-(G73/100)*J73)</f>
        <v/>
      </c>
      <c r="L73" s="76">
        <f>IF(OR(G73="",I73=""),"",1+(G73/100)*I73)</f>
        <v/>
      </c>
      <c r="M73" s="76">
        <f>IF(NOT(Bootstrap!$G$4="Test 2"),"",IFERROR(INDEX(Bootstrap!$H$8:$H$72,MATCH(F73,Bootstrap!$B$8:$B$72,0)),""))</f>
        <v/>
      </c>
      <c r="N73" s="80">
        <f>IF(NOT(Bootstrap!$G$4="Test 2"),"",IFERROR(INDEX(Bootstrap!$C$8:$C$72,MATCH(F73,Bootstrap!$B$8:$B$72,0)),""))</f>
        <v/>
      </c>
      <c r="O73" s="84">
        <f>IF(NOT(Bootstrap!$G$4="Test 2"),"",IFERROR(INDEX(Bootstrap!$J$8:$J$72,MATCH(F73,Bootstrap!$B$8:$B$72,0)),""))</f>
        <v/>
      </c>
      <c r="P73" s="89">
        <f>IF(OR(O73="",NOT(ISNUMBER(C73))),"",(O73-C73)*100)</f>
        <v/>
      </c>
      <c r="Q73" s="72">
        <f>IF(OR(M73="",NOT(ISNUMBER(D73))),"",M73-D73)</f>
        <v/>
      </c>
    </row>
    <row r="74">
      <c r="A74" s="68" t="n"/>
      <c r="B74" s="85" t="n"/>
      <c r="C74" s="85" t="n"/>
      <c r="D74" s="69" t="n"/>
      <c r="E74" s="112">
        <f>IF(OR(A74="",$D$56=""),"",IF(RIGHT(A74,1)="W",$D$56+7*VALUE(LEFT(A74,LEN(A74)-1)),IF(RIGHT(A74,1)="M",EDATE($D$56,VALUE(LEFT(A74,LEN(A74)-1))),EDATE($D$56,12*VALUE(LEFT(A74,LEN(A74)-1))))))</f>
        <v/>
      </c>
      <c r="F74" s="112">
        <f>IF(E74="","",IF(MONTH((E74+IF(WEEKDAY(E74,2)=6,2,IF(WEEKDAY(E74,2)=7,1,0))))&lt;&gt;MONTH(E74),(E74-IF(WEEKDAY(E74,2)=6,1,IF(WEEKDAY(E74,2)=7,2,0))),(E74+IF(WEEKDAY(E74,2)=6,2,IF(WEEKDAY(E74,2)=7,1,0)))))</f>
        <v/>
      </c>
      <c r="G74" s="84">
        <f>IF(NOT(Bootstrap!$G$4="Test 2"),"",IFERROR(INDEX(Bootstrap!$E$8:$E$72,MATCH(F74,Bootstrap!$B$8:$B$72,0)),""))</f>
        <v/>
      </c>
      <c r="H74" s="160">
        <f>IF(NOT(Bootstrap!$G$4="Test 2"),"",IFERROR(IF(MATCH(F74,Bootstrap!$B$8:$B$72,0)&lt;=15,"short  DFspot/(1+S*tau)","annual (DFspot-S*A)/(1+S*tau)"),""))</f>
        <v/>
      </c>
      <c r="I74" s="80">
        <f>IF(NOT(Bootstrap!$G$4="Test 2"),"",IFERROR(IF(MATCH(F74,Bootstrap!$B$8:$B$72,0)&lt;=15,INDEX(Bootstrap!$D$8:$D$72,MATCH(F74,Bootstrap!$B$8:$B$72,0)),INDEX(Bootstrap!$F$8:$F$72,MATCH(F74,Bootstrap!$B$8:$B$72,0))),""))</f>
        <v/>
      </c>
      <c r="J74" s="76">
        <f>IF(NOT(Bootstrap!$G$4="Test 2"),"",IFERROR(IF(MATCH(F74,Bootstrap!$B$8:$B$72,0)&lt;=15,0,INDEX(Bootstrap!$G$8:$G$72,MATCH(F74,Bootstrap!$B$8:$B$72,0))),""))</f>
        <v/>
      </c>
      <c r="K74" s="76">
        <f>IF(OR(G74="",I74=""),"",Bootstrap!$D$4-(G74/100)*J74)</f>
        <v/>
      </c>
      <c r="L74" s="76">
        <f>IF(OR(G74="",I74=""),"",1+(G74/100)*I74)</f>
        <v/>
      </c>
      <c r="M74" s="76">
        <f>IF(NOT(Bootstrap!$G$4="Test 2"),"",IFERROR(INDEX(Bootstrap!$H$8:$H$72,MATCH(F74,Bootstrap!$B$8:$B$72,0)),""))</f>
        <v/>
      </c>
      <c r="N74" s="80">
        <f>IF(NOT(Bootstrap!$G$4="Test 2"),"",IFERROR(INDEX(Bootstrap!$C$8:$C$72,MATCH(F74,Bootstrap!$B$8:$B$72,0)),""))</f>
        <v/>
      </c>
      <c r="O74" s="84">
        <f>IF(NOT(Bootstrap!$G$4="Test 2"),"",IFERROR(INDEX(Bootstrap!$J$8:$J$72,MATCH(F74,Bootstrap!$B$8:$B$72,0)),""))</f>
        <v/>
      </c>
      <c r="P74" s="89">
        <f>IF(OR(O74="",NOT(ISNUMBER(C74))),"",(O74-C74)*100)</f>
        <v/>
      </c>
      <c r="Q74" s="72">
        <f>IF(OR(M74="",NOT(ISNUMBER(D74))),"",M74-D74)</f>
        <v/>
      </c>
    </row>
    <row r="75">
      <c r="A75" s="68" t="n"/>
      <c r="B75" s="85" t="n"/>
      <c r="C75" s="85" t="n"/>
      <c r="D75" s="69" t="n"/>
      <c r="E75" s="112">
        <f>IF(OR(A75="",$D$56=""),"",IF(RIGHT(A75,1)="W",$D$56+7*VALUE(LEFT(A75,LEN(A75)-1)),IF(RIGHT(A75,1)="M",EDATE($D$56,VALUE(LEFT(A75,LEN(A75)-1))),EDATE($D$56,12*VALUE(LEFT(A75,LEN(A75)-1))))))</f>
        <v/>
      </c>
      <c r="F75" s="112">
        <f>IF(E75="","",IF(MONTH((E75+IF(WEEKDAY(E75,2)=6,2,IF(WEEKDAY(E75,2)=7,1,0))))&lt;&gt;MONTH(E75),(E75-IF(WEEKDAY(E75,2)=6,1,IF(WEEKDAY(E75,2)=7,2,0))),(E75+IF(WEEKDAY(E75,2)=6,2,IF(WEEKDAY(E75,2)=7,1,0)))))</f>
        <v/>
      </c>
      <c r="G75" s="84">
        <f>IF(NOT(Bootstrap!$G$4="Test 2"),"",IFERROR(INDEX(Bootstrap!$E$8:$E$72,MATCH(F75,Bootstrap!$B$8:$B$72,0)),""))</f>
        <v/>
      </c>
      <c r="H75" s="160">
        <f>IF(NOT(Bootstrap!$G$4="Test 2"),"",IFERROR(IF(MATCH(F75,Bootstrap!$B$8:$B$72,0)&lt;=15,"short  DFspot/(1+S*tau)","annual (DFspot-S*A)/(1+S*tau)"),""))</f>
        <v/>
      </c>
      <c r="I75" s="80">
        <f>IF(NOT(Bootstrap!$G$4="Test 2"),"",IFERROR(IF(MATCH(F75,Bootstrap!$B$8:$B$72,0)&lt;=15,INDEX(Bootstrap!$D$8:$D$72,MATCH(F75,Bootstrap!$B$8:$B$72,0)),INDEX(Bootstrap!$F$8:$F$72,MATCH(F75,Bootstrap!$B$8:$B$72,0))),""))</f>
        <v/>
      </c>
      <c r="J75" s="76">
        <f>IF(NOT(Bootstrap!$G$4="Test 2"),"",IFERROR(IF(MATCH(F75,Bootstrap!$B$8:$B$72,0)&lt;=15,0,INDEX(Bootstrap!$G$8:$G$72,MATCH(F75,Bootstrap!$B$8:$B$72,0))),""))</f>
        <v/>
      </c>
      <c r="K75" s="76">
        <f>IF(OR(G75="",I75=""),"",Bootstrap!$D$4-(G75/100)*J75)</f>
        <v/>
      </c>
      <c r="L75" s="76">
        <f>IF(OR(G75="",I75=""),"",1+(G75/100)*I75)</f>
        <v/>
      </c>
      <c r="M75" s="76">
        <f>IF(NOT(Bootstrap!$G$4="Test 2"),"",IFERROR(INDEX(Bootstrap!$H$8:$H$72,MATCH(F75,Bootstrap!$B$8:$B$72,0)),""))</f>
        <v/>
      </c>
      <c r="N75" s="80">
        <f>IF(NOT(Bootstrap!$G$4="Test 2"),"",IFERROR(INDEX(Bootstrap!$C$8:$C$72,MATCH(F75,Bootstrap!$B$8:$B$72,0)),""))</f>
        <v/>
      </c>
      <c r="O75" s="84">
        <f>IF(NOT(Bootstrap!$G$4="Test 2"),"",IFERROR(INDEX(Bootstrap!$J$8:$J$72,MATCH(F75,Bootstrap!$B$8:$B$72,0)),""))</f>
        <v/>
      </c>
      <c r="P75" s="89">
        <f>IF(OR(O75="",NOT(ISNUMBER(C75))),"",(O75-C75)*100)</f>
        <v/>
      </c>
      <c r="Q75" s="72">
        <f>IF(OR(M75="",NOT(ISNUMBER(D75))),"",M75-D75)</f>
        <v/>
      </c>
    </row>
    <row r="76">
      <c r="A76" s="68" t="n"/>
      <c r="B76" s="85" t="n"/>
      <c r="C76" s="85" t="n"/>
      <c r="D76" s="69" t="n"/>
      <c r="E76" s="112">
        <f>IF(OR(A76="",$D$56=""),"",IF(RIGHT(A76,1)="W",$D$56+7*VALUE(LEFT(A76,LEN(A76)-1)),IF(RIGHT(A76,1)="M",EDATE($D$56,VALUE(LEFT(A76,LEN(A76)-1))),EDATE($D$56,12*VALUE(LEFT(A76,LEN(A76)-1))))))</f>
        <v/>
      </c>
      <c r="F76" s="112">
        <f>IF(E76="","",IF(MONTH((E76+IF(WEEKDAY(E76,2)=6,2,IF(WEEKDAY(E76,2)=7,1,0))))&lt;&gt;MONTH(E76),(E76-IF(WEEKDAY(E76,2)=6,1,IF(WEEKDAY(E76,2)=7,2,0))),(E76+IF(WEEKDAY(E76,2)=6,2,IF(WEEKDAY(E76,2)=7,1,0)))))</f>
        <v/>
      </c>
      <c r="G76" s="84">
        <f>IF(NOT(Bootstrap!$G$4="Test 2"),"",IFERROR(INDEX(Bootstrap!$E$8:$E$72,MATCH(F76,Bootstrap!$B$8:$B$72,0)),""))</f>
        <v/>
      </c>
      <c r="H76" s="160">
        <f>IF(NOT(Bootstrap!$G$4="Test 2"),"",IFERROR(IF(MATCH(F76,Bootstrap!$B$8:$B$72,0)&lt;=15,"short  DFspot/(1+S*tau)","annual (DFspot-S*A)/(1+S*tau)"),""))</f>
        <v/>
      </c>
      <c r="I76" s="80">
        <f>IF(NOT(Bootstrap!$G$4="Test 2"),"",IFERROR(IF(MATCH(F76,Bootstrap!$B$8:$B$72,0)&lt;=15,INDEX(Bootstrap!$D$8:$D$72,MATCH(F76,Bootstrap!$B$8:$B$72,0)),INDEX(Bootstrap!$F$8:$F$72,MATCH(F76,Bootstrap!$B$8:$B$72,0))),""))</f>
        <v/>
      </c>
      <c r="J76" s="76">
        <f>IF(NOT(Bootstrap!$G$4="Test 2"),"",IFERROR(IF(MATCH(F76,Bootstrap!$B$8:$B$72,0)&lt;=15,0,INDEX(Bootstrap!$G$8:$G$72,MATCH(F76,Bootstrap!$B$8:$B$72,0))),""))</f>
        <v/>
      </c>
      <c r="K76" s="76">
        <f>IF(OR(G76="",I76=""),"",Bootstrap!$D$4-(G76/100)*J76)</f>
        <v/>
      </c>
      <c r="L76" s="76">
        <f>IF(OR(G76="",I76=""),"",1+(G76/100)*I76)</f>
        <v/>
      </c>
      <c r="M76" s="76">
        <f>IF(NOT(Bootstrap!$G$4="Test 2"),"",IFERROR(INDEX(Bootstrap!$H$8:$H$72,MATCH(F76,Bootstrap!$B$8:$B$72,0)),""))</f>
        <v/>
      </c>
      <c r="N76" s="80">
        <f>IF(NOT(Bootstrap!$G$4="Test 2"),"",IFERROR(INDEX(Bootstrap!$C$8:$C$72,MATCH(F76,Bootstrap!$B$8:$B$72,0)),""))</f>
        <v/>
      </c>
      <c r="O76" s="84">
        <f>IF(NOT(Bootstrap!$G$4="Test 2"),"",IFERROR(INDEX(Bootstrap!$J$8:$J$72,MATCH(F76,Bootstrap!$B$8:$B$72,0)),""))</f>
        <v/>
      </c>
      <c r="P76" s="89">
        <f>IF(OR(O76="",NOT(ISNUMBER(C76))),"",(O76-C76)*100)</f>
        <v/>
      </c>
      <c r="Q76" s="72">
        <f>IF(OR(M76="",NOT(ISNUMBER(D76))),"",M76-D76)</f>
        <v/>
      </c>
    </row>
    <row r="77">
      <c r="A77" s="68" t="n"/>
      <c r="B77" s="85" t="n"/>
      <c r="C77" s="85" t="n"/>
      <c r="D77" s="69" t="n"/>
      <c r="E77" s="112">
        <f>IF(OR(A77="",$D$56=""),"",IF(RIGHT(A77,1)="W",$D$56+7*VALUE(LEFT(A77,LEN(A77)-1)),IF(RIGHT(A77,1)="M",EDATE($D$56,VALUE(LEFT(A77,LEN(A77)-1))),EDATE($D$56,12*VALUE(LEFT(A77,LEN(A77)-1))))))</f>
        <v/>
      </c>
      <c r="F77" s="112">
        <f>IF(E77="","",IF(MONTH((E77+IF(WEEKDAY(E77,2)=6,2,IF(WEEKDAY(E77,2)=7,1,0))))&lt;&gt;MONTH(E77),(E77-IF(WEEKDAY(E77,2)=6,1,IF(WEEKDAY(E77,2)=7,2,0))),(E77+IF(WEEKDAY(E77,2)=6,2,IF(WEEKDAY(E77,2)=7,1,0)))))</f>
        <v/>
      </c>
      <c r="G77" s="84">
        <f>IF(NOT(Bootstrap!$G$4="Test 2"),"",IFERROR(INDEX(Bootstrap!$E$8:$E$72,MATCH(F77,Bootstrap!$B$8:$B$72,0)),""))</f>
        <v/>
      </c>
      <c r="H77" s="160">
        <f>IF(NOT(Bootstrap!$G$4="Test 2"),"",IFERROR(IF(MATCH(F77,Bootstrap!$B$8:$B$72,0)&lt;=15,"short  DFspot/(1+S*tau)","annual (DFspot-S*A)/(1+S*tau)"),""))</f>
        <v/>
      </c>
      <c r="I77" s="80">
        <f>IF(NOT(Bootstrap!$G$4="Test 2"),"",IFERROR(IF(MATCH(F77,Bootstrap!$B$8:$B$72,0)&lt;=15,INDEX(Bootstrap!$D$8:$D$72,MATCH(F77,Bootstrap!$B$8:$B$72,0)),INDEX(Bootstrap!$F$8:$F$72,MATCH(F77,Bootstrap!$B$8:$B$72,0))),""))</f>
        <v/>
      </c>
      <c r="J77" s="76">
        <f>IF(NOT(Bootstrap!$G$4="Test 2"),"",IFERROR(IF(MATCH(F77,Bootstrap!$B$8:$B$72,0)&lt;=15,0,INDEX(Bootstrap!$G$8:$G$72,MATCH(F77,Bootstrap!$B$8:$B$72,0))),""))</f>
        <v/>
      </c>
      <c r="K77" s="76">
        <f>IF(OR(G77="",I77=""),"",Bootstrap!$D$4-(G77/100)*J77)</f>
        <v/>
      </c>
      <c r="L77" s="76">
        <f>IF(OR(G77="",I77=""),"",1+(G77/100)*I77)</f>
        <v/>
      </c>
      <c r="M77" s="76">
        <f>IF(NOT(Bootstrap!$G$4="Test 2"),"",IFERROR(INDEX(Bootstrap!$H$8:$H$72,MATCH(F77,Bootstrap!$B$8:$B$72,0)),""))</f>
        <v/>
      </c>
      <c r="N77" s="80">
        <f>IF(NOT(Bootstrap!$G$4="Test 2"),"",IFERROR(INDEX(Bootstrap!$C$8:$C$72,MATCH(F77,Bootstrap!$B$8:$B$72,0)),""))</f>
        <v/>
      </c>
      <c r="O77" s="84">
        <f>IF(NOT(Bootstrap!$G$4="Test 2"),"",IFERROR(INDEX(Bootstrap!$J$8:$J$72,MATCH(F77,Bootstrap!$B$8:$B$72,0)),""))</f>
        <v/>
      </c>
      <c r="P77" s="89">
        <f>IF(OR(O77="",NOT(ISNUMBER(C77))),"",(O77-C77)*100)</f>
        <v/>
      </c>
      <c r="Q77" s="72">
        <f>IF(OR(M77="",NOT(ISNUMBER(D77))),"",M77-D77)</f>
        <v/>
      </c>
    </row>
    <row r="78">
      <c r="A78" s="68" t="n"/>
      <c r="B78" s="85" t="n"/>
      <c r="C78" s="85" t="n"/>
      <c r="D78" s="69" t="n"/>
      <c r="E78" s="112">
        <f>IF(OR(A78="",$D$56=""),"",IF(RIGHT(A78,1)="W",$D$56+7*VALUE(LEFT(A78,LEN(A78)-1)),IF(RIGHT(A78,1)="M",EDATE($D$56,VALUE(LEFT(A78,LEN(A78)-1))),EDATE($D$56,12*VALUE(LEFT(A78,LEN(A78)-1))))))</f>
        <v/>
      </c>
      <c r="F78" s="112">
        <f>IF(E78="","",IF(MONTH((E78+IF(WEEKDAY(E78,2)=6,2,IF(WEEKDAY(E78,2)=7,1,0))))&lt;&gt;MONTH(E78),(E78-IF(WEEKDAY(E78,2)=6,1,IF(WEEKDAY(E78,2)=7,2,0))),(E78+IF(WEEKDAY(E78,2)=6,2,IF(WEEKDAY(E78,2)=7,1,0)))))</f>
        <v/>
      </c>
      <c r="G78" s="84">
        <f>IF(NOT(Bootstrap!$G$4="Test 2"),"",IFERROR(INDEX(Bootstrap!$E$8:$E$72,MATCH(F78,Bootstrap!$B$8:$B$72,0)),""))</f>
        <v/>
      </c>
      <c r="H78" s="160">
        <f>IF(NOT(Bootstrap!$G$4="Test 2"),"",IFERROR(IF(MATCH(F78,Bootstrap!$B$8:$B$72,0)&lt;=15,"short  DFspot/(1+S*tau)","annual (DFspot-S*A)/(1+S*tau)"),""))</f>
        <v/>
      </c>
      <c r="I78" s="80">
        <f>IF(NOT(Bootstrap!$G$4="Test 2"),"",IFERROR(IF(MATCH(F78,Bootstrap!$B$8:$B$72,0)&lt;=15,INDEX(Bootstrap!$D$8:$D$72,MATCH(F78,Bootstrap!$B$8:$B$72,0)),INDEX(Bootstrap!$F$8:$F$72,MATCH(F78,Bootstrap!$B$8:$B$72,0))),""))</f>
        <v/>
      </c>
      <c r="J78" s="76">
        <f>IF(NOT(Bootstrap!$G$4="Test 2"),"",IFERROR(IF(MATCH(F78,Bootstrap!$B$8:$B$72,0)&lt;=15,0,INDEX(Bootstrap!$G$8:$G$72,MATCH(F78,Bootstrap!$B$8:$B$72,0))),""))</f>
        <v/>
      </c>
      <c r="K78" s="76">
        <f>IF(OR(G78="",I78=""),"",Bootstrap!$D$4-(G78/100)*J78)</f>
        <v/>
      </c>
      <c r="L78" s="76">
        <f>IF(OR(G78="",I78=""),"",1+(G78/100)*I78)</f>
        <v/>
      </c>
      <c r="M78" s="76">
        <f>IF(NOT(Bootstrap!$G$4="Test 2"),"",IFERROR(INDEX(Bootstrap!$H$8:$H$72,MATCH(F78,Bootstrap!$B$8:$B$72,0)),""))</f>
        <v/>
      </c>
      <c r="N78" s="80">
        <f>IF(NOT(Bootstrap!$G$4="Test 2"),"",IFERROR(INDEX(Bootstrap!$C$8:$C$72,MATCH(F78,Bootstrap!$B$8:$B$72,0)),""))</f>
        <v/>
      </c>
      <c r="O78" s="84">
        <f>IF(NOT(Bootstrap!$G$4="Test 2"),"",IFERROR(INDEX(Bootstrap!$J$8:$J$72,MATCH(F78,Bootstrap!$B$8:$B$72,0)),""))</f>
        <v/>
      </c>
      <c r="P78" s="89">
        <f>IF(OR(O78="",NOT(ISNUMBER(C78))),"",(O78-C78)*100)</f>
        <v/>
      </c>
      <c r="Q78" s="72">
        <f>IF(OR(M78="",NOT(ISNUMBER(D78))),"",M78-D78)</f>
        <v/>
      </c>
    </row>
    <row r="79">
      <c r="A79" s="68" t="n"/>
      <c r="B79" s="85" t="n"/>
      <c r="C79" s="85" t="n"/>
      <c r="D79" s="69" t="n"/>
      <c r="E79" s="112">
        <f>IF(OR(A79="",$D$56=""),"",IF(RIGHT(A79,1)="W",$D$56+7*VALUE(LEFT(A79,LEN(A79)-1)),IF(RIGHT(A79,1)="M",EDATE($D$56,VALUE(LEFT(A79,LEN(A79)-1))),EDATE($D$56,12*VALUE(LEFT(A79,LEN(A79)-1))))))</f>
        <v/>
      </c>
      <c r="F79" s="112">
        <f>IF(E79="","",IF(MONTH((E79+IF(WEEKDAY(E79,2)=6,2,IF(WEEKDAY(E79,2)=7,1,0))))&lt;&gt;MONTH(E79),(E79-IF(WEEKDAY(E79,2)=6,1,IF(WEEKDAY(E79,2)=7,2,0))),(E79+IF(WEEKDAY(E79,2)=6,2,IF(WEEKDAY(E79,2)=7,1,0)))))</f>
        <v/>
      </c>
      <c r="G79" s="84">
        <f>IF(NOT(Bootstrap!$G$4="Test 2"),"",IFERROR(INDEX(Bootstrap!$E$8:$E$72,MATCH(F79,Bootstrap!$B$8:$B$72,0)),""))</f>
        <v/>
      </c>
      <c r="H79" s="160">
        <f>IF(NOT(Bootstrap!$G$4="Test 2"),"",IFERROR(IF(MATCH(F79,Bootstrap!$B$8:$B$72,0)&lt;=15,"short  DFspot/(1+S*tau)","annual (DFspot-S*A)/(1+S*tau)"),""))</f>
        <v/>
      </c>
      <c r="I79" s="80">
        <f>IF(NOT(Bootstrap!$G$4="Test 2"),"",IFERROR(IF(MATCH(F79,Bootstrap!$B$8:$B$72,0)&lt;=15,INDEX(Bootstrap!$D$8:$D$72,MATCH(F79,Bootstrap!$B$8:$B$72,0)),INDEX(Bootstrap!$F$8:$F$72,MATCH(F79,Bootstrap!$B$8:$B$72,0))),""))</f>
        <v/>
      </c>
      <c r="J79" s="76">
        <f>IF(NOT(Bootstrap!$G$4="Test 2"),"",IFERROR(IF(MATCH(F79,Bootstrap!$B$8:$B$72,0)&lt;=15,0,INDEX(Bootstrap!$G$8:$G$72,MATCH(F79,Bootstrap!$B$8:$B$72,0))),""))</f>
        <v/>
      </c>
      <c r="K79" s="76">
        <f>IF(OR(G79="",I79=""),"",Bootstrap!$D$4-(G79/100)*J79)</f>
        <v/>
      </c>
      <c r="L79" s="76">
        <f>IF(OR(G79="",I79=""),"",1+(G79/100)*I79)</f>
        <v/>
      </c>
      <c r="M79" s="76">
        <f>IF(NOT(Bootstrap!$G$4="Test 2"),"",IFERROR(INDEX(Bootstrap!$H$8:$H$72,MATCH(F79,Bootstrap!$B$8:$B$72,0)),""))</f>
        <v/>
      </c>
      <c r="N79" s="80">
        <f>IF(NOT(Bootstrap!$G$4="Test 2"),"",IFERROR(INDEX(Bootstrap!$C$8:$C$72,MATCH(F79,Bootstrap!$B$8:$B$72,0)),""))</f>
        <v/>
      </c>
      <c r="O79" s="84">
        <f>IF(NOT(Bootstrap!$G$4="Test 2"),"",IFERROR(INDEX(Bootstrap!$J$8:$J$72,MATCH(F79,Bootstrap!$B$8:$B$72,0)),""))</f>
        <v/>
      </c>
      <c r="P79" s="89">
        <f>IF(OR(O79="",NOT(ISNUMBER(C79))),"",(O79-C79)*100)</f>
        <v/>
      </c>
      <c r="Q79" s="72">
        <f>IF(OR(M79="",NOT(ISNUMBER(D79))),"",M79-D79)</f>
        <v/>
      </c>
    </row>
    <row r="80">
      <c r="A80" s="68" t="n"/>
      <c r="B80" s="85" t="n"/>
      <c r="C80" s="85" t="n"/>
      <c r="D80" s="69" t="n"/>
      <c r="E80" s="112">
        <f>IF(OR(A80="",$D$56=""),"",IF(RIGHT(A80,1)="W",$D$56+7*VALUE(LEFT(A80,LEN(A80)-1)),IF(RIGHT(A80,1)="M",EDATE($D$56,VALUE(LEFT(A80,LEN(A80)-1))),EDATE($D$56,12*VALUE(LEFT(A80,LEN(A80)-1))))))</f>
        <v/>
      </c>
      <c r="F80" s="112">
        <f>IF(E80="","",IF(MONTH((E80+IF(WEEKDAY(E80,2)=6,2,IF(WEEKDAY(E80,2)=7,1,0))))&lt;&gt;MONTH(E80),(E80-IF(WEEKDAY(E80,2)=6,1,IF(WEEKDAY(E80,2)=7,2,0))),(E80+IF(WEEKDAY(E80,2)=6,2,IF(WEEKDAY(E80,2)=7,1,0)))))</f>
        <v/>
      </c>
      <c r="G80" s="84">
        <f>IF(NOT(Bootstrap!$G$4="Test 2"),"",IFERROR(INDEX(Bootstrap!$E$8:$E$72,MATCH(F80,Bootstrap!$B$8:$B$72,0)),""))</f>
        <v/>
      </c>
      <c r="H80" s="160">
        <f>IF(NOT(Bootstrap!$G$4="Test 2"),"",IFERROR(IF(MATCH(F80,Bootstrap!$B$8:$B$72,0)&lt;=15,"short  DFspot/(1+S*tau)","annual (DFspot-S*A)/(1+S*tau)"),""))</f>
        <v/>
      </c>
      <c r="I80" s="80">
        <f>IF(NOT(Bootstrap!$G$4="Test 2"),"",IFERROR(IF(MATCH(F80,Bootstrap!$B$8:$B$72,0)&lt;=15,INDEX(Bootstrap!$D$8:$D$72,MATCH(F80,Bootstrap!$B$8:$B$72,0)),INDEX(Bootstrap!$F$8:$F$72,MATCH(F80,Bootstrap!$B$8:$B$72,0))),""))</f>
        <v/>
      </c>
      <c r="J80" s="76">
        <f>IF(NOT(Bootstrap!$G$4="Test 2"),"",IFERROR(IF(MATCH(F80,Bootstrap!$B$8:$B$72,0)&lt;=15,0,INDEX(Bootstrap!$G$8:$G$72,MATCH(F80,Bootstrap!$B$8:$B$72,0))),""))</f>
        <v/>
      </c>
      <c r="K80" s="76">
        <f>IF(OR(G80="",I80=""),"",Bootstrap!$D$4-(G80/100)*J80)</f>
        <v/>
      </c>
      <c r="L80" s="76">
        <f>IF(OR(G80="",I80=""),"",1+(G80/100)*I80)</f>
        <v/>
      </c>
      <c r="M80" s="76">
        <f>IF(NOT(Bootstrap!$G$4="Test 2"),"",IFERROR(INDEX(Bootstrap!$H$8:$H$72,MATCH(F80,Bootstrap!$B$8:$B$72,0)),""))</f>
        <v/>
      </c>
      <c r="N80" s="80">
        <f>IF(NOT(Bootstrap!$G$4="Test 2"),"",IFERROR(INDEX(Bootstrap!$C$8:$C$72,MATCH(F80,Bootstrap!$B$8:$B$72,0)),""))</f>
        <v/>
      </c>
      <c r="O80" s="84">
        <f>IF(NOT(Bootstrap!$G$4="Test 2"),"",IFERROR(INDEX(Bootstrap!$J$8:$J$72,MATCH(F80,Bootstrap!$B$8:$B$72,0)),""))</f>
        <v/>
      </c>
      <c r="P80" s="89">
        <f>IF(OR(O80="",NOT(ISNUMBER(C80))),"",(O80-C80)*100)</f>
        <v/>
      </c>
      <c r="Q80" s="72">
        <f>IF(OR(M80="",NOT(ISNUMBER(D80))),"",M80-D80)</f>
        <v/>
      </c>
    </row>
    <row r="81">
      <c r="A81" s="68" t="n"/>
      <c r="B81" s="85" t="n"/>
      <c r="C81" s="85" t="n"/>
      <c r="D81" s="69" t="n"/>
      <c r="E81" s="112">
        <f>IF(OR(A81="",$D$56=""),"",IF(RIGHT(A81,1)="W",$D$56+7*VALUE(LEFT(A81,LEN(A81)-1)),IF(RIGHT(A81,1)="M",EDATE($D$56,VALUE(LEFT(A81,LEN(A81)-1))),EDATE($D$56,12*VALUE(LEFT(A81,LEN(A81)-1))))))</f>
        <v/>
      </c>
      <c r="F81" s="112">
        <f>IF(E81="","",IF(MONTH((E81+IF(WEEKDAY(E81,2)=6,2,IF(WEEKDAY(E81,2)=7,1,0))))&lt;&gt;MONTH(E81),(E81-IF(WEEKDAY(E81,2)=6,1,IF(WEEKDAY(E81,2)=7,2,0))),(E81+IF(WEEKDAY(E81,2)=6,2,IF(WEEKDAY(E81,2)=7,1,0)))))</f>
        <v/>
      </c>
      <c r="G81" s="84">
        <f>IF(NOT(Bootstrap!$G$4="Test 2"),"",IFERROR(INDEX(Bootstrap!$E$8:$E$72,MATCH(F81,Bootstrap!$B$8:$B$72,0)),""))</f>
        <v/>
      </c>
      <c r="H81" s="160">
        <f>IF(NOT(Bootstrap!$G$4="Test 2"),"",IFERROR(IF(MATCH(F81,Bootstrap!$B$8:$B$72,0)&lt;=15,"short  DFspot/(1+S*tau)","annual (DFspot-S*A)/(1+S*tau)"),""))</f>
        <v/>
      </c>
      <c r="I81" s="80">
        <f>IF(NOT(Bootstrap!$G$4="Test 2"),"",IFERROR(IF(MATCH(F81,Bootstrap!$B$8:$B$72,0)&lt;=15,INDEX(Bootstrap!$D$8:$D$72,MATCH(F81,Bootstrap!$B$8:$B$72,0)),INDEX(Bootstrap!$F$8:$F$72,MATCH(F81,Bootstrap!$B$8:$B$72,0))),""))</f>
        <v/>
      </c>
      <c r="J81" s="76">
        <f>IF(NOT(Bootstrap!$G$4="Test 2"),"",IFERROR(IF(MATCH(F81,Bootstrap!$B$8:$B$72,0)&lt;=15,0,INDEX(Bootstrap!$G$8:$G$72,MATCH(F81,Bootstrap!$B$8:$B$72,0))),""))</f>
        <v/>
      </c>
      <c r="K81" s="76">
        <f>IF(OR(G81="",I81=""),"",Bootstrap!$D$4-(G81/100)*J81)</f>
        <v/>
      </c>
      <c r="L81" s="76">
        <f>IF(OR(G81="",I81=""),"",1+(G81/100)*I81)</f>
        <v/>
      </c>
      <c r="M81" s="76">
        <f>IF(NOT(Bootstrap!$G$4="Test 2"),"",IFERROR(INDEX(Bootstrap!$H$8:$H$72,MATCH(F81,Bootstrap!$B$8:$B$72,0)),""))</f>
        <v/>
      </c>
      <c r="N81" s="80">
        <f>IF(NOT(Bootstrap!$G$4="Test 2"),"",IFERROR(INDEX(Bootstrap!$C$8:$C$72,MATCH(F81,Bootstrap!$B$8:$B$72,0)),""))</f>
        <v/>
      </c>
      <c r="O81" s="84">
        <f>IF(NOT(Bootstrap!$G$4="Test 2"),"",IFERROR(INDEX(Bootstrap!$J$8:$J$72,MATCH(F81,Bootstrap!$B$8:$B$72,0)),""))</f>
        <v/>
      </c>
      <c r="P81" s="89">
        <f>IF(OR(O81="",NOT(ISNUMBER(C81))),"",(O81-C81)*100)</f>
        <v/>
      </c>
      <c r="Q81" s="72">
        <f>IF(OR(M81="",NOT(ISNUMBER(D81))),"",M81-D81)</f>
        <v/>
      </c>
    </row>
    <row r="82">
      <c r="A82" s="68" t="n"/>
      <c r="B82" s="85" t="n"/>
      <c r="C82" s="85" t="n"/>
      <c r="D82" s="69" t="n"/>
      <c r="E82" s="112">
        <f>IF(OR(A82="",$D$56=""),"",IF(RIGHT(A82,1)="W",$D$56+7*VALUE(LEFT(A82,LEN(A82)-1)),IF(RIGHT(A82,1)="M",EDATE($D$56,VALUE(LEFT(A82,LEN(A82)-1))),EDATE($D$56,12*VALUE(LEFT(A82,LEN(A82)-1))))))</f>
        <v/>
      </c>
      <c r="F82" s="112">
        <f>IF(E82="","",IF(MONTH((E82+IF(WEEKDAY(E82,2)=6,2,IF(WEEKDAY(E82,2)=7,1,0))))&lt;&gt;MONTH(E82),(E82-IF(WEEKDAY(E82,2)=6,1,IF(WEEKDAY(E82,2)=7,2,0))),(E82+IF(WEEKDAY(E82,2)=6,2,IF(WEEKDAY(E82,2)=7,1,0)))))</f>
        <v/>
      </c>
      <c r="G82" s="84">
        <f>IF(NOT(Bootstrap!$G$4="Test 2"),"",IFERROR(INDEX(Bootstrap!$E$8:$E$72,MATCH(F82,Bootstrap!$B$8:$B$72,0)),""))</f>
        <v/>
      </c>
      <c r="H82" s="160">
        <f>IF(NOT(Bootstrap!$G$4="Test 2"),"",IFERROR(IF(MATCH(F82,Bootstrap!$B$8:$B$72,0)&lt;=15,"short  DFspot/(1+S*tau)","annual (DFspot-S*A)/(1+S*tau)"),""))</f>
        <v/>
      </c>
      <c r="I82" s="80">
        <f>IF(NOT(Bootstrap!$G$4="Test 2"),"",IFERROR(IF(MATCH(F82,Bootstrap!$B$8:$B$72,0)&lt;=15,INDEX(Bootstrap!$D$8:$D$72,MATCH(F82,Bootstrap!$B$8:$B$72,0)),INDEX(Bootstrap!$F$8:$F$72,MATCH(F82,Bootstrap!$B$8:$B$72,0))),""))</f>
        <v/>
      </c>
      <c r="J82" s="76">
        <f>IF(NOT(Bootstrap!$G$4="Test 2"),"",IFERROR(IF(MATCH(F82,Bootstrap!$B$8:$B$72,0)&lt;=15,0,INDEX(Bootstrap!$G$8:$G$72,MATCH(F82,Bootstrap!$B$8:$B$72,0))),""))</f>
        <v/>
      </c>
      <c r="K82" s="76">
        <f>IF(OR(G82="",I82=""),"",Bootstrap!$D$4-(G82/100)*J82)</f>
        <v/>
      </c>
      <c r="L82" s="76">
        <f>IF(OR(G82="",I82=""),"",1+(G82/100)*I82)</f>
        <v/>
      </c>
      <c r="M82" s="76">
        <f>IF(NOT(Bootstrap!$G$4="Test 2"),"",IFERROR(INDEX(Bootstrap!$H$8:$H$72,MATCH(F82,Bootstrap!$B$8:$B$72,0)),""))</f>
        <v/>
      </c>
      <c r="N82" s="80">
        <f>IF(NOT(Bootstrap!$G$4="Test 2"),"",IFERROR(INDEX(Bootstrap!$C$8:$C$72,MATCH(F82,Bootstrap!$B$8:$B$72,0)),""))</f>
        <v/>
      </c>
      <c r="O82" s="84">
        <f>IF(NOT(Bootstrap!$G$4="Test 2"),"",IFERROR(INDEX(Bootstrap!$J$8:$J$72,MATCH(F82,Bootstrap!$B$8:$B$72,0)),""))</f>
        <v/>
      </c>
      <c r="P82" s="89">
        <f>IF(OR(O82="",NOT(ISNUMBER(C82))),"",(O82-C82)*100)</f>
        <v/>
      </c>
      <c r="Q82" s="72">
        <f>IF(OR(M82="",NOT(ISNUMBER(D82))),"",M82-D82)</f>
        <v/>
      </c>
    </row>
    <row r="83">
      <c r="A83" s="68" t="n"/>
      <c r="B83" s="85" t="n"/>
      <c r="C83" s="85" t="n"/>
      <c r="D83" s="69" t="n"/>
      <c r="E83" s="112">
        <f>IF(OR(A83="",$D$56=""),"",IF(RIGHT(A83,1)="W",$D$56+7*VALUE(LEFT(A83,LEN(A83)-1)),IF(RIGHT(A83,1)="M",EDATE($D$56,VALUE(LEFT(A83,LEN(A83)-1))),EDATE($D$56,12*VALUE(LEFT(A83,LEN(A83)-1))))))</f>
        <v/>
      </c>
      <c r="F83" s="112">
        <f>IF(E83="","",IF(MONTH((E83+IF(WEEKDAY(E83,2)=6,2,IF(WEEKDAY(E83,2)=7,1,0))))&lt;&gt;MONTH(E83),(E83-IF(WEEKDAY(E83,2)=6,1,IF(WEEKDAY(E83,2)=7,2,0))),(E83+IF(WEEKDAY(E83,2)=6,2,IF(WEEKDAY(E83,2)=7,1,0)))))</f>
        <v/>
      </c>
      <c r="G83" s="84">
        <f>IF(NOT(Bootstrap!$G$4="Test 2"),"",IFERROR(INDEX(Bootstrap!$E$8:$E$72,MATCH(F83,Bootstrap!$B$8:$B$72,0)),""))</f>
        <v/>
      </c>
      <c r="H83" s="160">
        <f>IF(NOT(Bootstrap!$G$4="Test 2"),"",IFERROR(IF(MATCH(F83,Bootstrap!$B$8:$B$72,0)&lt;=15,"short  DFspot/(1+S*tau)","annual (DFspot-S*A)/(1+S*tau)"),""))</f>
        <v/>
      </c>
      <c r="I83" s="80">
        <f>IF(NOT(Bootstrap!$G$4="Test 2"),"",IFERROR(IF(MATCH(F83,Bootstrap!$B$8:$B$72,0)&lt;=15,INDEX(Bootstrap!$D$8:$D$72,MATCH(F83,Bootstrap!$B$8:$B$72,0)),INDEX(Bootstrap!$F$8:$F$72,MATCH(F83,Bootstrap!$B$8:$B$72,0))),""))</f>
        <v/>
      </c>
      <c r="J83" s="76">
        <f>IF(NOT(Bootstrap!$G$4="Test 2"),"",IFERROR(IF(MATCH(F83,Bootstrap!$B$8:$B$72,0)&lt;=15,0,INDEX(Bootstrap!$G$8:$G$72,MATCH(F83,Bootstrap!$B$8:$B$72,0))),""))</f>
        <v/>
      </c>
      <c r="K83" s="76">
        <f>IF(OR(G83="",I83=""),"",Bootstrap!$D$4-(G83/100)*J83)</f>
        <v/>
      </c>
      <c r="L83" s="76">
        <f>IF(OR(G83="",I83=""),"",1+(G83/100)*I83)</f>
        <v/>
      </c>
      <c r="M83" s="76">
        <f>IF(NOT(Bootstrap!$G$4="Test 2"),"",IFERROR(INDEX(Bootstrap!$H$8:$H$72,MATCH(F83,Bootstrap!$B$8:$B$72,0)),""))</f>
        <v/>
      </c>
      <c r="N83" s="80">
        <f>IF(NOT(Bootstrap!$G$4="Test 2"),"",IFERROR(INDEX(Bootstrap!$C$8:$C$72,MATCH(F83,Bootstrap!$B$8:$B$72,0)),""))</f>
        <v/>
      </c>
      <c r="O83" s="84">
        <f>IF(NOT(Bootstrap!$G$4="Test 2"),"",IFERROR(INDEX(Bootstrap!$J$8:$J$72,MATCH(F83,Bootstrap!$B$8:$B$72,0)),""))</f>
        <v/>
      </c>
      <c r="P83" s="89">
        <f>IF(OR(O83="",NOT(ISNUMBER(C83))),"",(O83-C83)*100)</f>
        <v/>
      </c>
      <c r="Q83" s="72">
        <f>IF(OR(M83="",NOT(ISNUMBER(D83))),"",M83-D83)</f>
        <v/>
      </c>
    </row>
    <row r="84">
      <c r="A84" s="68" t="n"/>
      <c r="B84" s="85" t="n"/>
      <c r="C84" s="85" t="n"/>
      <c r="D84" s="69" t="n"/>
      <c r="E84" s="112">
        <f>IF(OR(A84="",$D$56=""),"",IF(RIGHT(A84,1)="W",$D$56+7*VALUE(LEFT(A84,LEN(A84)-1)),IF(RIGHT(A84,1)="M",EDATE($D$56,VALUE(LEFT(A84,LEN(A84)-1))),EDATE($D$56,12*VALUE(LEFT(A84,LEN(A84)-1))))))</f>
        <v/>
      </c>
      <c r="F84" s="112">
        <f>IF(E84="","",IF(MONTH((E84+IF(WEEKDAY(E84,2)=6,2,IF(WEEKDAY(E84,2)=7,1,0))))&lt;&gt;MONTH(E84),(E84-IF(WEEKDAY(E84,2)=6,1,IF(WEEKDAY(E84,2)=7,2,0))),(E84+IF(WEEKDAY(E84,2)=6,2,IF(WEEKDAY(E84,2)=7,1,0)))))</f>
        <v/>
      </c>
      <c r="G84" s="84">
        <f>IF(NOT(Bootstrap!$G$4="Test 2"),"",IFERROR(INDEX(Bootstrap!$E$8:$E$72,MATCH(F84,Bootstrap!$B$8:$B$72,0)),""))</f>
        <v/>
      </c>
      <c r="H84" s="160">
        <f>IF(NOT(Bootstrap!$G$4="Test 2"),"",IFERROR(IF(MATCH(F84,Bootstrap!$B$8:$B$72,0)&lt;=15,"short  DFspot/(1+S*tau)","annual (DFspot-S*A)/(1+S*tau)"),""))</f>
        <v/>
      </c>
      <c r="I84" s="80">
        <f>IF(NOT(Bootstrap!$G$4="Test 2"),"",IFERROR(IF(MATCH(F84,Bootstrap!$B$8:$B$72,0)&lt;=15,INDEX(Bootstrap!$D$8:$D$72,MATCH(F84,Bootstrap!$B$8:$B$72,0)),INDEX(Bootstrap!$F$8:$F$72,MATCH(F84,Bootstrap!$B$8:$B$72,0))),""))</f>
        <v/>
      </c>
      <c r="J84" s="76">
        <f>IF(NOT(Bootstrap!$G$4="Test 2"),"",IFERROR(IF(MATCH(F84,Bootstrap!$B$8:$B$72,0)&lt;=15,0,INDEX(Bootstrap!$G$8:$G$72,MATCH(F84,Bootstrap!$B$8:$B$72,0))),""))</f>
        <v/>
      </c>
      <c r="K84" s="76">
        <f>IF(OR(G84="",I84=""),"",Bootstrap!$D$4-(G84/100)*J84)</f>
        <v/>
      </c>
      <c r="L84" s="76">
        <f>IF(OR(G84="",I84=""),"",1+(G84/100)*I84)</f>
        <v/>
      </c>
      <c r="M84" s="76">
        <f>IF(NOT(Bootstrap!$G$4="Test 2"),"",IFERROR(INDEX(Bootstrap!$H$8:$H$72,MATCH(F84,Bootstrap!$B$8:$B$72,0)),""))</f>
        <v/>
      </c>
      <c r="N84" s="80">
        <f>IF(NOT(Bootstrap!$G$4="Test 2"),"",IFERROR(INDEX(Bootstrap!$C$8:$C$72,MATCH(F84,Bootstrap!$B$8:$B$72,0)),""))</f>
        <v/>
      </c>
      <c r="O84" s="84">
        <f>IF(NOT(Bootstrap!$G$4="Test 2"),"",IFERROR(INDEX(Bootstrap!$J$8:$J$72,MATCH(F84,Bootstrap!$B$8:$B$72,0)),""))</f>
        <v/>
      </c>
      <c r="P84" s="89">
        <f>IF(OR(O84="",NOT(ISNUMBER(C84))),"",(O84-C84)*100)</f>
        <v/>
      </c>
      <c r="Q84" s="72">
        <f>IF(OR(M84="",NOT(ISNUMBER(D84))),"",M84-D84)</f>
        <v/>
      </c>
    </row>
    <row r="85">
      <c r="A85" s="68" t="n"/>
      <c r="B85" s="85" t="n"/>
      <c r="C85" s="85" t="n"/>
      <c r="D85" s="69" t="n"/>
      <c r="E85" s="112">
        <f>IF(OR(A85="",$D$56=""),"",IF(RIGHT(A85,1)="W",$D$56+7*VALUE(LEFT(A85,LEN(A85)-1)),IF(RIGHT(A85,1)="M",EDATE($D$56,VALUE(LEFT(A85,LEN(A85)-1))),EDATE($D$56,12*VALUE(LEFT(A85,LEN(A85)-1))))))</f>
        <v/>
      </c>
      <c r="F85" s="112">
        <f>IF(E85="","",IF(MONTH((E85+IF(WEEKDAY(E85,2)=6,2,IF(WEEKDAY(E85,2)=7,1,0))))&lt;&gt;MONTH(E85),(E85-IF(WEEKDAY(E85,2)=6,1,IF(WEEKDAY(E85,2)=7,2,0))),(E85+IF(WEEKDAY(E85,2)=6,2,IF(WEEKDAY(E85,2)=7,1,0)))))</f>
        <v/>
      </c>
      <c r="G85" s="84">
        <f>IF(NOT(Bootstrap!$G$4="Test 2"),"",IFERROR(INDEX(Bootstrap!$E$8:$E$72,MATCH(F85,Bootstrap!$B$8:$B$72,0)),""))</f>
        <v/>
      </c>
      <c r="H85" s="160">
        <f>IF(NOT(Bootstrap!$G$4="Test 2"),"",IFERROR(IF(MATCH(F85,Bootstrap!$B$8:$B$72,0)&lt;=15,"short  DFspot/(1+S*tau)","annual (DFspot-S*A)/(1+S*tau)"),""))</f>
        <v/>
      </c>
      <c r="I85" s="80">
        <f>IF(NOT(Bootstrap!$G$4="Test 2"),"",IFERROR(IF(MATCH(F85,Bootstrap!$B$8:$B$72,0)&lt;=15,INDEX(Bootstrap!$D$8:$D$72,MATCH(F85,Bootstrap!$B$8:$B$72,0)),INDEX(Bootstrap!$F$8:$F$72,MATCH(F85,Bootstrap!$B$8:$B$72,0))),""))</f>
        <v/>
      </c>
      <c r="J85" s="76">
        <f>IF(NOT(Bootstrap!$G$4="Test 2"),"",IFERROR(IF(MATCH(F85,Bootstrap!$B$8:$B$72,0)&lt;=15,0,INDEX(Bootstrap!$G$8:$G$72,MATCH(F85,Bootstrap!$B$8:$B$72,0))),""))</f>
        <v/>
      </c>
      <c r="K85" s="76">
        <f>IF(OR(G85="",I85=""),"",Bootstrap!$D$4-(G85/100)*J85)</f>
        <v/>
      </c>
      <c r="L85" s="76">
        <f>IF(OR(G85="",I85=""),"",1+(G85/100)*I85)</f>
        <v/>
      </c>
      <c r="M85" s="76">
        <f>IF(NOT(Bootstrap!$G$4="Test 2"),"",IFERROR(INDEX(Bootstrap!$H$8:$H$72,MATCH(F85,Bootstrap!$B$8:$B$72,0)),""))</f>
        <v/>
      </c>
      <c r="N85" s="80">
        <f>IF(NOT(Bootstrap!$G$4="Test 2"),"",IFERROR(INDEX(Bootstrap!$C$8:$C$72,MATCH(F85,Bootstrap!$B$8:$B$72,0)),""))</f>
        <v/>
      </c>
      <c r="O85" s="84">
        <f>IF(NOT(Bootstrap!$G$4="Test 2"),"",IFERROR(INDEX(Bootstrap!$J$8:$J$72,MATCH(F85,Bootstrap!$B$8:$B$72,0)),""))</f>
        <v/>
      </c>
      <c r="P85" s="89">
        <f>IF(OR(O85="",NOT(ISNUMBER(C85))),"",(O85-C85)*100)</f>
        <v/>
      </c>
      <c r="Q85" s="72">
        <f>IF(OR(M85="",NOT(ISNUMBER(D85))),"",M85-D85)</f>
        <v/>
      </c>
    </row>
    <row r="86">
      <c r="A86" s="68" t="n"/>
      <c r="B86" s="85" t="n"/>
      <c r="C86" s="85" t="n"/>
      <c r="D86" s="69" t="n"/>
      <c r="E86" s="112">
        <f>IF(OR(A86="",$D$56=""),"",IF(RIGHT(A86,1)="W",$D$56+7*VALUE(LEFT(A86,LEN(A86)-1)),IF(RIGHT(A86,1)="M",EDATE($D$56,VALUE(LEFT(A86,LEN(A86)-1))),EDATE($D$56,12*VALUE(LEFT(A86,LEN(A86)-1))))))</f>
        <v/>
      </c>
      <c r="F86" s="112">
        <f>IF(E86="","",IF(MONTH((E86+IF(WEEKDAY(E86,2)=6,2,IF(WEEKDAY(E86,2)=7,1,0))))&lt;&gt;MONTH(E86),(E86-IF(WEEKDAY(E86,2)=6,1,IF(WEEKDAY(E86,2)=7,2,0))),(E86+IF(WEEKDAY(E86,2)=6,2,IF(WEEKDAY(E86,2)=7,1,0)))))</f>
        <v/>
      </c>
      <c r="G86" s="84">
        <f>IF(NOT(Bootstrap!$G$4="Test 2"),"",IFERROR(INDEX(Bootstrap!$E$8:$E$72,MATCH(F86,Bootstrap!$B$8:$B$72,0)),""))</f>
        <v/>
      </c>
      <c r="H86" s="160">
        <f>IF(NOT(Bootstrap!$G$4="Test 2"),"",IFERROR(IF(MATCH(F86,Bootstrap!$B$8:$B$72,0)&lt;=15,"short  DFspot/(1+S*tau)","annual (DFspot-S*A)/(1+S*tau)"),""))</f>
        <v/>
      </c>
      <c r="I86" s="80">
        <f>IF(NOT(Bootstrap!$G$4="Test 2"),"",IFERROR(IF(MATCH(F86,Bootstrap!$B$8:$B$72,0)&lt;=15,INDEX(Bootstrap!$D$8:$D$72,MATCH(F86,Bootstrap!$B$8:$B$72,0)),INDEX(Bootstrap!$F$8:$F$72,MATCH(F86,Bootstrap!$B$8:$B$72,0))),""))</f>
        <v/>
      </c>
      <c r="J86" s="76">
        <f>IF(NOT(Bootstrap!$G$4="Test 2"),"",IFERROR(IF(MATCH(F86,Bootstrap!$B$8:$B$72,0)&lt;=15,0,INDEX(Bootstrap!$G$8:$G$72,MATCH(F86,Bootstrap!$B$8:$B$72,0))),""))</f>
        <v/>
      </c>
      <c r="K86" s="76">
        <f>IF(OR(G86="",I86=""),"",Bootstrap!$D$4-(G86/100)*J86)</f>
        <v/>
      </c>
      <c r="L86" s="76">
        <f>IF(OR(G86="",I86=""),"",1+(G86/100)*I86)</f>
        <v/>
      </c>
      <c r="M86" s="76">
        <f>IF(NOT(Bootstrap!$G$4="Test 2"),"",IFERROR(INDEX(Bootstrap!$H$8:$H$72,MATCH(F86,Bootstrap!$B$8:$B$72,0)),""))</f>
        <v/>
      </c>
      <c r="N86" s="80">
        <f>IF(NOT(Bootstrap!$G$4="Test 2"),"",IFERROR(INDEX(Bootstrap!$C$8:$C$72,MATCH(F86,Bootstrap!$B$8:$B$72,0)),""))</f>
        <v/>
      </c>
      <c r="O86" s="84">
        <f>IF(NOT(Bootstrap!$G$4="Test 2"),"",IFERROR(INDEX(Bootstrap!$J$8:$J$72,MATCH(F86,Bootstrap!$B$8:$B$72,0)),""))</f>
        <v/>
      </c>
      <c r="P86" s="89">
        <f>IF(OR(O86="",NOT(ISNUMBER(C86))),"",(O86-C86)*100)</f>
        <v/>
      </c>
      <c r="Q86" s="72">
        <f>IF(OR(M86="",NOT(ISNUMBER(D86))),"",M86-D86)</f>
        <v/>
      </c>
    </row>
    <row r="87">
      <c r="A87" s="68" t="n"/>
      <c r="B87" s="85" t="n"/>
      <c r="C87" s="85" t="n"/>
      <c r="D87" s="69" t="n"/>
      <c r="E87" s="112">
        <f>IF(OR(A87="",$D$56=""),"",IF(RIGHT(A87,1)="W",$D$56+7*VALUE(LEFT(A87,LEN(A87)-1)),IF(RIGHT(A87,1)="M",EDATE($D$56,VALUE(LEFT(A87,LEN(A87)-1))),EDATE($D$56,12*VALUE(LEFT(A87,LEN(A87)-1))))))</f>
        <v/>
      </c>
      <c r="F87" s="112">
        <f>IF(E87="","",IF(MONTH((E87+IF(WEEKDAY(E87,2)=6,2,IF(WEEKDAY(E87,2)=7,1,0))))&lt;&gt;MONTH(E87),(E87-IF(WEEKDAY(E87,2)=6,1,IF(WEEKDAY(E87,2)=7,2,0))),(E87+IF(WEEKDAY(E87,2)=6,2,IF(WEEKDAY(E87,2)=7,1,0)))))</f>
        <v/>
      </c>
      <c r="G87" s="84">
        <f>IF(NOT(Bootstrap!$G$4="Test 2"),"",IFERROR(INDEX(Bootstrap!$E$8:$E$72,MATCH(F87,Bootstrap!$B$8:$B$72,0)),""))</f>
        <v/>
      </c>
      <c r="H87" s="160">
        <f>IF(NOT(Bootstrap!$G$4="Test 2"),"",IFERROR(IF(MATCH(F87,Bootstrap!$B$8:$B$72,0)&lt;=15,"short  DFspot/(1+S*tau)","annual (DFspot-S*A)/(1+S*tau)"),""))</f>
        <v/>
      </c>
      <c r="I87" s="80">
        <f>IF(NOT(Bootstrap!$G$4="Test 2"),"",IFERROR(IF(MATCH(F87,Bootstrap!$B$8:$B$72,0)&lt;=15,INDEX(Bootstrap!$D$8:$D$72,MATCH(F87,Bootstrap!$B$8:$B$72,0)),INDEX(Bootstrap!$F$8:$F$72,MATCH(F87,Bootstrap!$B$8:$B$72,0))),""))</f>
        <v/>
      </c>
      <c r="J87" s="76">
        <f>IF(NOT(Bootstrap!$G$4="Test 2"),"",IFERROR(IF(MATCH(F87,Bootstrap!$B$8:$B$72,0)&lt;=15,0,INDEX(Bootstrap!$G$8:$G$72,MATCH(F87,Bootstrap!$B$8:$B$72,0))),""))</f>
        <v/>
      </c>
      <c r="K87" s="76">
        <f>IF(OR(G87="",I87=""),"",Bootstrap!$D$4-(G87/100)*J87)</f>
        <v/>
      </c>
      <c r="L87" s="76">
        <f>IF(OR(G87="",I87=""),"",1+(G87/100)*I87)</f>
        <v/>
      </c>
      <c r="M87" s="76">
        <f>IF(NOT(Bootstrap!$G$4="Test 2"),"",IFERROR(INDEX(Bootstrap!$H$8:$H$72,MATCH(F87,Bootstrap!$B$8:$B$72,0)),""))</f>
        <v/>
      </c>
      <c r="N87" s="80">
        <f>IF(NOT(Bootstrap!$G$4="Test 2"),"",IFERROR(INDEX(Bootstrap!$C$8:$C$72,MATCH(F87,Bootstrap!$B$8:$B$72,0)),""))</f>
        <v/>
      </c>
      <c r="O87" s="84">
        <f>IF(NOT(Bootstrap!$G$4="Test 2"),"",IFERROR(INDEX(Bootstrap!$J$8:$J$72,MATCH(F87,Bootstrap!$B$8:$B$72,0)),""))</f>
        <v/>
      </c>
      <c r="P87" s="89">
        <f>IF(OR(O87="",NOT(ISNUMBER(C87))),"",(O87-C87)*100)</f>
        <v/>
      </c>
      <c r="Q87" s="72">
        <f>IF(OR(M87="",NOT(ISNUMBER(D87))),"",M87-D87)</f>
        <v/>
      </c>
    </row>
    <row r="88">
      <c r="A88" s="68" t="n"/>
      <c r="B88" s="85" t="n"/>
      <c r="C88" s="85" t="n"/>
      <c r="D88" s="69" t="n"/>
      <c r="E88" s="112">
        <f>IF(OR(A88="",$D$56=""),"",IF(RIGHT(A88,1)="W",$D$56+7*VALUE(LEFT(A88,LEN(A88)-1)),IF(RIGHT(A88,1)="M",EDATE($D$56,VALUE(LEFT(A88,LEN(A88)-1))),EDATE($D$56,12*VALUE(LEFT(A88,LEN(A88)-1))))))</f>
        <v/>
      </c>
      <c r="F88" s="112">
        <f>IF(E88="","",IF(MONTH((E88+IF(WEEKDAY(E88,2)=6,2,IF(WEEKDAY(E88,2)=7,1,0))))&lt;&gt;MONTH(E88),(E88-IF(WEEKDAY(E88,2)=6,1,IF(WEEKDAY(E88,2)=7,2,0))),(E88+IF(WEEKDAY(E88,2)=6,2,IF(WEEKDAY(E88,2)=7,1,0)))))</f>
        <v/>
      </c>
      <c r="G88" s="84">
        <f>IF(NOT(Bootstrap!$G$4="Test 2"),"",IFERROR(INDEX(Bootstrap!$E$8:$E$72,MATCH(F88,Bootstrap!$B$8:$B$72,0)),""))</f>
        <v/>
      </c>
      <c r="H88" s="160">
        <f>IF(NOT(Bootstrap!$G$4="Test 2"),"",IFERROR(IF(MATCH(F88,Bootstrap!$B$8:$B$72,0)&lt;=15,"short  DFspot/(1+S*tau)","annual (DFspot-S*A)/(1+S*tau)"),""))</f>
        <v/>
      </c>
      <c r="I88" s="80">
        <f>IF(NOT(Bootstrap!$G$4="Test 2"),"",IFERROR(IF(MATCH(F88,Bootstrap!$B$8:$B$72,0)&lt;=15,INDEX(Bootstrap!$D$8:$D$72,MATCH(F88,Bootstrap!$B$8:$B$72,0)),INDEX(Bootstrap!$F$8:$F$72,MATCH(F88,Bootstrap!$B$8:$B$72,0))),""))</f>
        <v/>
      </c>
      <c r="J88" s="76">
        <f>IF(NOT(Bootstrap!$G$4="Test 2"),"",IFERROR(IF(MATCH(F88,Bootstrap!$B$8:$B$72,0)&lt;=15,0,INDEX(Bootstrap!$G$8:$G$72,MATCH(F88,Bootstrap!$B$8:$B$72,0))),""))</f>
        <v/>
      </c>
      <c r="K88" s="76">
        <f>IF(OR(G88="",I88=""),"",Bootstrap!$D$4-(G88/100)*J88)</f>
        <v/>
      </c>
      <c r="L88" s="76">
        <f>IF(OR(G88="",I88=""),"",1+(G88/100)*I88)</f>
        <v/>
      </c>
      <c r="M88" s="76">
        <f>IF(NOT(Bootstrap!$G$4="Test 2"),"",IFERROR(INDEX(Bootstrap!$H$8:$H$72,MATCH(F88,Bootstrap!$B$8:$B$72,0)),""))</f>
        <v/>
      </c>
      <c r="N88" s="80">
        <f>IF(NOT(Bootstrap!$G$4="Test 2"),"",IFERROR(INDEX(Bootstrap!$C$8:$C$72,MATCH(F88,Bootstrap!$B$8:$B$72,0)),""))</f>
        <v/>
      </c>
      <c r="O88" s="84">
        <f>IF(NOT(Bootstrap!$G$4="Test 2"),"",IFERROR(INDEX(Bootstrap!$J$8:$J$72,MATCH(F88,Bootstrap!$B$8:$B$72,0)),""))</f>
        <v/>
      </c>
      <c r="P88" s="89">
        <f>IF(OR(O88="",NOT(ISNUMBER(C88))),"",(O88-C88)*100)</f>
        <v/>
      </c>
      <c r="Q88" s="72">
        <f>IF(OR(M88="",NOT(ISNUMBER(D88))),"",M88-D88)</f>
        <v/>
      </c>
    </row>
    <row r="89">
      <c r="A89" s="68" t="n"/>
      <c r="B89" s="85" t="n"/>
      <c r="C89" s="85" t="n"/>
      <c r="D89" s="69" t="n"/>
      <c r="E89" s="112">
        <f>IF(OR(A89="",$D$56=""),"",IF(RIGHT(A89,1)="W",$D$56+7*VALUE(LEFT(A89,LEN(A89)-1)),IF(RIGHT(A89,1)="M",EDATE($D$56,VALUE(LEFT(A89,LEN(A89)-1))),EDATE($D$56,12*VALUE(LEFT(A89,LEN(A89)-1))))))</f>
        <v/>
      </c>
      <c r="F89" s="112">
        <f>IF(E89="","",IF(MONTH((E89+IF(WEEKDAY(E89,2)=6,2,IF(WEEKDAY(E89,2)=7,1,0))))&lt;&gt;MONTH(E89),(E89-IF(WEEKDAY(E89,2)=6,1,IF(WEEKDAY(E89,2)=7,2,0))),(E89+IF(WEEKDAY(E89,2)=6,2,IF(WEEKDAY(E89,2)=7,1,0)))))</f>
        <v/>
      </c>
      <c r="G89" s="84">
        <f>IF(NOT(Bootstrap!$G$4="Test 2"),"",IFERROR(INDEX(Bootstrap!$E$8:$E$72,MATCH(F89,Bootstrap!$B$8:$B$72,0)),""))</f>
        <v/>
      </c>
      <c r="H89" s="160">
        <f>IF(NOT(Bootstrap!$G$4="Test 2"),"",IFERROR(IF(MATCH(F89,Bootstrap!$B$8:$B$72,0)&lt;=15,"short  DFspot/(1+S*tau)","annual (DFspot-S*A)/(1+S*tau)"),""))</f>
        <v/>
      </c>
      <c r="I89" s="80">
        <f>IF(NOT(Bootstrap!$G$4="Test 2"),"",IFERROR(IF(MATCH(F89,Bootstrap!$B$8:$B$72,0)&lt;=15,INDEX(Bootstrap!$D$8:$D$72,MATCH(F89,Bootstrap!$B$8:$B$72,0)),INDEX(Bootstrap!$F$8:$F$72,MATCH(F89,Bootstrap!$B$8:$B$72,0))),""))</f>
        <v/>
      </c>
      <c r="J89" s="76">
        <f>IF(NOT(Bootstrap!$G$4="Test 2"),"",IFERROR(IF(MATCH(F89,Bootstrap!$B$8:$B$72,0)&lt;=15,0,INDEX(Bootstrap!$G$8:$G$72,MATCH(F89,Bootstrap!$B$8:$B$72,0))),""))</f>
        <v/>
      </c>
      <c r="K89" s="76">
        <f>IF(OR(G89="",I89=""),"",Bootstrap!$D$4-(G89/100)*J89)</f>
        <v/>
      </c>
      <c r="L89" s="76">
        <f>IF(OR(G89="",I89=""),"",1+(G89/100)*I89)</f>
        <v/>
      </c>
      <c r="M89" s="76">
        <f>IF(NOT(Bootstrap!$G$4="Test 2"),"",IFERROR(INDEX(Bootstrap!$H$8:$H$72,MATCH(F89,Bootstrap!$B$8:$B$72,0)),""))</f>
        <v/>
      </c>
      <c r="N89" s="80">
        <f>IF(NOT(Bootstrap!$G$4="Test 2"),"",IFERROR(INDEX(Bootstrap!$C$8:$C$72,MATCH(F89,Bootstrap!$B$8:$B$72,0)),""))</f>
        <v/>
      </c>
      <c r="O89" s="84">
        <f>IF(NOT(Bootstrap!$G$4="Test 2"),"",IFERROR(INDEX(Bootstrap!$J$8:$J$72,MATCH(F89,Bootstrap!$B$8:$B$72,0)),""))</f>
        <v/>
      </c>
      <c r="P89" s="89">
        <f>IF(OR(O89="",NOT(ISNUMBER(C89))),"",(O89-C89)*100)</f>
        <v/>
      </c>
      <c r="Q89" s="72">
        <f>IF(OR(M89="",NOT(ISNUMBER(D89))),"",M89-D89)</f>
        <v/>
      </c>
    </row>
    <row r="90">
      <c r="A90" s="68" t="n"/>
      <c r="B90" s="85" t="n"/>
      <c r="C90" s="85" t="n"/>
      <c r="D90" s="69" t="n"/>
      <c r="E90" s="112">
        <f>IF(OR(A90="",$D$56=""),"",IF(RIGHT(A90,1)="W",$D$56+7*VALUE(LEFT(A90,LEN(A90)-1)),IF(RIGHT(A90,1)="M",EDATE($D$56,VALUE(LEFT(A90,LEN(A90)-1))),EDATE($D$56,12*VALUE(LEFT(A90,LEN(A90)-1))))))</f>
        <v/>
      </c>
      <c r="F90" s="112">
        <f>IF(E90="","",IF(MONTH((E90+IF(WEEKDAY(E90,2)=6,2,IF(WEEKDAY(E90,2)=7,1,0))))&lt;&gt;MONTH(E90),(E90-IF(WEEKDAY(E90,2)=6,1,IF(WEEKDAY(E90,2)=7,2,0))),(E90+IF(WEEKDAY(E90,2)=6,2,IF(WEEKDAY(E90,2)=7,1,0)))))</f>
        <v/>
      </c>
      <c r="G90" s="84">
        <f>IF(NOT(Bootstrap!$G$4="Test 2"),"",IFERROR(INDEX(Bootstrap!$E$8:$E$72,MATCH(F90,Bootstrap!$B$8:$B$72,0)),""))</f>
        <v/>
      </c>
      <c r="H90" s="160">
        <f>IF(NOT(Bootstrap!$G$4="Test 2"),"",IFERROR(IF(MATCH(F90,Bootstrap!$B$8:$B$72,0)&lt;=15,"short  DFspot/(1+S*tau)","annual (DFspot-S*A)/(1+S*tau)"),""))</f>
        <v/>
      </c>
      <c r="I90" s="80">
        <f>IF(NOT(Bootstrap!$G$4="Test 2"),"",IFERROR(IF(MATCH(F90,Bootstrap!$B$8:$B$72,0)&lt;=15,INDEX(Bootstrap!$D$8:$D$72,MATCH(F90,Bootstrap!$B$8:$B$72,0)),INDEX(Bootstrap!$F$8:$F$72,MATCH(F90,Bootstrap!$B$8:$B$72,0))),""))</f>
        <v/>
      </c>
      <c r="J90" s="76">
        <f>IF(NOT(Bootstrap!$G$4="Test 2"),"",IFERROR(IF(MATCH(F90,Bootstrap!$B$8:$B$72,0)&lt;=15,0,INDEX(Bootstrap!$G$8:$G$72,MATCH(F90,Bootstrap!$B$8:$B$72,0))),""))</f>
        <v/>
      </c>
      <c r="K90" s="76">
        <f>IF(OR(G90="",I90=""),"",Bootstrap!$D$4-(G90/100)*J90)</f>
        <v/>
      </c>
      <c r="L90" s="76">
        <f>IF(OR(G90="",I90=""),"",1+(G90/100)*I90)</f>
        <v/>
      </c>
      <c r="M90" s="76">
        <f>IF(NOT(Bootstrap!$G$4="Test 2"),"",IFERROR(INDEX(Bootstrap!$H$8:$H$72,MATCH(F90,Bootstrap!$B$8:$B$72,0)),""))</f>
        <v/>
      </c>
      <c r="N90" s="80">
        <f>IF(NOT(Bootstrap!$G$4="Test 2"),"",IFERROR(INDEX(Bootstrap!$C$8:$C$72,MATCH(F90,Bootstrap!$B$8:$B$72,0)),""))</f>
        <v/>
      </c>
      <c r="O90" s="84">
        <f>IF(NOT(Bootstrap!$G$4="Test 2"),"",IFERROR(INDEX(Bootstrap!$J$8:$J$72,MATCH(F90,Bootstrap!$B$8:$B$72,0)),""))</f>
        <v/>
      </c>
      <c r="P90" s="89">
        <f>IF(OR(O90="",NOT(ISNUMBER(C90))),"",(O90-C90)*100)</f>
        <v/>
      </c>
      <c r="Q90" s="72">
        <f>IF(OR(M90="",NOT(ISNUMBER(D90))),"",M90-D90)</f>
        <v/>
      </c>
    </row>
    <row r="91">
      <c r="A91" s="68" t="n"/>
      <c r="B91" s="85" t="n"/>
      <c r="C91" s="85" t="n"/>
      <c r="D91" s="69" t="n"/>
      <c r="E91" s="112">
        <f>IF(OR(A91="",$D$56=""),"",IF(RIGHT(A91,1)="W",$D$56+7*VALUE(LEFT(A91,LEN(A91)-1)),IF(RIGHT(A91,1)="M",EDATE($D$56,VALUE(LEFT(A91,LEN(A91)-1))),EDATE($D$56,12*VALUE(LEFT(A91,LEN(A91)-1))))))</f>
        <v/>
      </c>
      <c r="F91" s="112">
        <f>IF(E91="","",IF(MONTH((E91+IF(WEEKDAY(E91,2)=6,2,IF(WEEKDAY(E91,2)=7,1,0))))&lt;&gt;MONTH(E91),(E91-IF(WEEKDAY(E91,2)=6,1,IF(WEEKDAY(E91,2)=7,2,0))),(E91+IF(WEEKDAY(E91,2)=6,2,IF(WEEKDAY(E91,2)=7,1,0)))))</f>
        <v/>
      </c>
      <c r="G91" s="84">
        <f>IF(NOT(Bootstrap!$G$4="Test 2"),"",IFERROR(INDEX(Bootstrap!$E$8:$E$72,MATCH(F91,Bootstrap!$B$8:$B$72,0)),""))</f>
        <v/>
      </c>
      <c r="H91" s="160">
        <f>IF(NOT(Bootstrap!$G$4="Test 2"),"",IFERROR(IF(MATCH(F91,Bootstrap!$B$8:$B$72,0)&lt;=15,"short  DFspot/(1+S*tau)","annual (DFspot-S*A)/(1+S*tau)"),""))</f>
        <v/>
      </c>
      <c r="I91" s="80">
        <f>IF(NOT(Bootstrap!$G$4="Test 2"),"",IFERROR(IF(MATCH(F91,Bootstrap!$B$8:$B$72,0)&lt;=15,INDEX(Bootstrap!$D$8:$D$72,MATCH(F91,Bootstrap!$B$8:$B$72,0)),INDEX(Bootstrap!$F$8:$F$72,MATCH(F91,Bootstrap!$B$8:$B$72,0))),""))</f>
        <v/>
      </c>
      <c r="J91" s="76">
        <f>IF(NOT(Bootstrap!$G$4="Test 2"),"",IFERROR(IF(MATCH(F91,Bootstrap!$B$8:$B$72,0)&lt;=15,0,INDEX(Bootstrap!$G$8:$G$72,MATCH(F91,Bootstrap!$B$8:$B$72,0))),""))</f>
        <v/>
      </c>
      <c r="K91" s="76">
        <f>IF(OR(G91="",I91=""),"",Bootstrap!$D$4-(G91/100)*J91)</f>
        <v/>
      </c>
      <c r="L91" s="76">
        <f>IF(OR(G91="",I91=""),"",1+(G91/100)*I91)</f>
        <v/>
      </c>
      <c r="M91" s="76">
        <f>IF(NOT(Bootstrap!$G$4="Test 2"),"",IFERROR(INDEX(Bootstrap!$H$8:$H$72,MATCH(F91,Bootstrap!$B$8:$B$72,0)),""))</f>
        <v/>
      </c>
      <c r="N91" s="80">
        <f>IF(NOT(Bootstrap!$G$4="Test 2"),"",IFERROR(INDEX(Bootstrap!$C$8:$C$72,MATCH(F91,Bootstrap!$B$8:$B$72,0)),""))</f>
        <v/>
      </c>
      <c r="O91" s="84">
        <f>IF(NOT(Bootstrap!$G$4="Test 2"),"",IFERROR(INDEX(Bootstrap!$J$8:$J$72,MATCH(F91,Bootstrap!$B$8:$B$72,0)),""))</f>
        <v/>
      </c>
      <c r="P91" s="89">
        <f>IF(OR(O91="",NOT(ISNUMBER(C91))),"",(O91-C91)*100)</f>
        <v/>
      </c>
      <c r="Q91" s="72">
        <f>IF(OR(M91="",NOT(ISNUMBER(D91))),"",M91-D91)</f>
        <v/>
      </c>
    </row>
    <row r="92">
      <c r="A92" s="68" t="n"/>
      <c r="B92" s="85" t="n"/>
      <c r="C92" s="85" t="n"/>
      <c r="D92" s="69" t="n"/>
      <c r="E92" s="112">
        <f>IF(OR(A92="",$D$56=""),"",IF(RIGHT(A92,1)="W",$D$56+7*VALUE(LEFT(A92,LEN(A92)-1)),IF(RIGHT(A92,1)="M",EDATE($D$56,VALUE(LEFT(A92,LEN(A92)-1))),EDATE($D$56,12*VALUE(LEFT(A92,LEN(A92)-1))))))</f>
        <v/>
      </c>
      <c r="F92" s="112">
        <f>IF(E92="","",IF(MONTH((E92+IF(WEEKDAY(E92,2)=6,2,IF(WEEKDAY(E92,2)=7,1,0))))&lt;&gt;MONTH(E92),(E92-IF(WEEKDAY(E92,2)=6,1,IF(WEEKDAY(E92,2)=7,2,0))),(E92+IF(WEEKDAY(E92,2)=6,2,IF(WEEKDAY(E92,2)=7,1,0)))))</f>
        <v/>
      </c>
      <c r="G92" s="84">
        <f>IF(NOT(Bootstrap!$G$4="Test 2"),"",IFERROR(INDEX(Bootstrap!$E$8:$E$72,MATCH(F92,Bootstrap!$B$8:$B$72,0)),""))</f>
        <v/>
      </c>
      <c r="H92" s="160">
        <f>IF(NOT(Bootstrap!$G$4="Test 2"),"",IFERROR(IF(MATCH(F92,Bootstrap!$B$8:$B$72,0)&lt;=15,"short  DFspot/(1+S*tau)","annual (DFspot-S*A)/(1+S*tau)"),""))</f>
        <v/>
      </c>
      <c r="I92" s="80">
        <f>IF(NOT(Bootstrap!$G$4="Test 2"),"",IFERROR(IF(MATCH(F92,Bootstrap!$B$8:$B$72,0)&lt;=15,INDEX(Bootstrap!$D$8:$D$72,MATCH(F92,Bootstrap!$B$8:$B$72,0)),INDEX(Bootstrap!$F$8:$F$72,MATCH(F92,Bootstrap!$B$8:$B$72,0))),""))</f>
        <v/>
      </c>
      <c r="J92" s="76">
        <f>IF(NOT(Bootstrap!$G$4="Test 2"),"",IFERROR(IF(MATCH(F92,Bootstrap!$B$8:$B$72,0)&lt;=15,0,INDEX(Bootstrap!$G$8:$G$72,MATCH(F92,Bootstrap!$B$8:$B$72,0))),""))</f>
        <v/>
      </c>
      <c r="K92" s="76">
        <f>IF(OR(G92="",I92=""),"",Bootstrap!$D$4-(G92/100)*J92)</f>
        <v/>
      </c>
      <c r="L92" s="76">
        <f>IF(OR(G92="",I92=""),"",1+(G92/100)*I92)</f>
        <v/>
      </c>
      <c r="M92" s="76">
        <f>IF(NOT(Bootstrap!$G$4="Test 2"),"",IFERROR(INDEX(Bootstrap!$H$8:$H$72,MATCH(F92,Bootstrap!$B$8:$B$72,0)),""))</f>
        <v/>
      </c>
      <c r="N92" s="80">
        <f>IF(NOT(Bootstrap!$G$4="Test 2"),"",IFERROR(INDEX(Bootstrap!$C$8:$C$72,MATCH(F92,Bootstrap!$B$8:$B$72,0)),""))</f>
        <v/>
      </c>
      <c r="O92" s="84">
        <f>IF(NOT(Bootstrap!$G$4="Test 2"),"",IFERROR(INDEX(Bootstrap!$J$8:$J$72,MATCH(F92,Bootstrap!$B$8:$B$72,0)),""))</f>
        <v/>
      </c>
      <c r="P92" s="89">
        <f>IF(OR(O92="",NOT(ISNUMBER(C92))),"",(O92-C92)*100)</f>
        <v/>
      </c>
      <c r="Q92" s="72">
        <f>IF(OR(M92="",NOT(ISNUMBER(D92))),"",M92-D92)</f>
        <v/>
      </c>
    </row>
    <row r="93">
      <c r="A93" s="68" t="n"/>
      <c r="B93" s="85" t="n"/>
      <c r="C93" s="85" t="n"/>
      <c r="D93" s="69" t="n"/>
      <c r="E93" s="112">
        <f>IF(OR(A93="",$D$56=""),"",IF(RIGHT(A93,1)="W",$D$56+7*VALUE(LEFT(A93,LEN(A93)-1)),IF(RIGHT(A93,1)="M",EDATE($D$56,VALUE(LEFT(A93,LEN(A93)-1))),EDATE($D$56,12*VALUE(LEFT(A93,LEN(A93)-1))))))</f>
        <v/>
      </c>
      <c r="F93" s="112">
        <f>IF(E93="","",IF(MONTH((E93+IF(WEEKDAY(E93,2)=6,2,IF(WEEKDAY(E93,2)=7,1,0))))&lt;&gt;MONTH(E93),(E93-IF(WEEKDAY(E93,2)=6,1,IF(WEEKDAY(E93,2)=7,2,0))),(E93+IF(WEEKDAY(E93,2)=6,2,IF(WEEKDAY(E93,2)=7,1,0)))))</f>
        <v/>
      </c>
      <c r="G93" s="84">
        <f>IF(NOT(Bootstrap!$G$4="Test 2"),"",IFERROR(INDEX(Bootstrap!$E$8:$E$72,MATCH(F93,Bootstrap!$B$8:$B$72,0)),""))</f>
        <v/>
      </c>
      <c r="H93" s="160">
        <f>IF(NOT(Bootstrap!$G$4="Test 2"),"",IFERROR(IF(MATCH(F93,Bootstrap!$B$8:$B$72,0)&lt;=15,"short  DFspot/(1+S*tau)","annual (DFspot-S*A)/(1+S*tau)"),""))</f>
        <v/>
      </c>
      <c r="I93" s="80">
        <f>IF(NOT(Bootstrap!$G$4="Test 2"),"",IFERROR(IF(MATCH(F93,Bootstrap!$B$8:$B$72,0)&lt;=15,INDEX(Bootstrap!$D$8:$D$72,MATCH(F93,Bootstrap!$B$8:$B$72,0)),INDEX(Bootstrap!$F$8:$F$72,MATCH(F93,Bootstrap!$B$8:$B$72,0))),""))</f>
        <v/>
      </c>
      <c r="J93" s="76">
        <f>IF(NOT(Bootstrap!$G$4="Test 2"),"",IFERROR(IF(MATCH(F93,Bootstrap!$B$8:$B$72,0)&lt;=15,0,INDEX(Bootstrap!$G$8:$G$72,MATCH(F93,Bootstrap!$B$8:$B$72,0))),""))</f>
        <v/>
      </c>
      <c r="K93" s="76">
        <f>IF(OR(G93="",I93=""),"",Bootstrap!$D$4-(G93/100)*J93)</f>
        <v/>
      </c>
      <c r="L93" s="76">
        <f>IF(OR(G93="",I93=""),"",1+(G93/100)*I93)</f>
        <v/>
      </c>
      <c r="M93" s="76">
        <f>IF(NOT(Bootstrap!$G$4="Test 2"),"",IFERROR(INDEX(Bootstrap!$H$8:$H$72,MATCH(F93,Bootstrap!$B$8:$B$72,0)),""))</f>
        <v/>
      </c>
      <c r="N93" s="80">
        <f>IF(NOT(Bootstrap!$G$4="Test 2"),"",IFERROR(INDEX(Bootstrap!$C$8:$C$72,MATCH(F93,Bootstrap!$B$8:$B$72,0)),""))</f>
        <v/>
      </c>
      <c r="O93" s="84">
        <f>IF(NOT(Bootstrap!$G$4="Test 2"),"",IFERROR(INDEX(Bootstrap!$J$8:$J$72,MATCH(F93,Bootstrap!$B$8:$B$72,0)),""))</f>
        <v/>
      </c>
      <c r="P93" s="89">
        <f>IF(OR(O93="",NOT(ISNUMBER(C93))),"",(O93-C93)*100)</f>
        <v/>
      </c>
      <c r="Q93" s="72">
        <f>IF(OR(M93="",NOT(ISNUMBER(D93))),"",M93-D93)</f>
        <v/>
      </c>
    </row>
    <row r="94">
      <c r="A94" s="68" t="n"/>
      <c r="B94" s="85" t="n"/>
      <c r="C94" s="85" t="n"/>
      <c r="D94" s="69" t="n"/>
      <c r="E94" s="112">
        <f>IF(OR(A94="",$D$56=""),"",IF(RIGHT(A94,1)="W",$D$56+7*VALUE(LEFT(A94,LEN(A94)-1)),IF(RIGHT(A94,1)="M",EDATE($D$56,VALUE(LEFT(A94,LEN(A94)-1))),EDATE($D$56,12*VALUE(LEFT(A94,LEN(A94)-1))))))</f>
        <v/>
      </c>
      <c r="F94" s="112">
        <f>IF(E94="","",IF(MONTH((E94+IF(WEEKDAY(E94,2)=6,2,IF(WEEKDAY(E94,2)=7,1,0))))&lt;&gt;MONTH(E94),(E94-IF(WEEKDAY(E94,2)=6,1,IF(WEEKDAY(E94,2)=7,2,0))),(E94+IF(WEEKDAY(E94,2)=6,2,IF(WEEKDAY(E94,2)=7,1,0)))))</f>
        <v/>
      </c>
      <c r="G94" s="84">
        <f>IF(NOT(Bootstrap!$G$4="Test 2"),"",IFERROR(INDEX(Bootstrap!$E$8:$E$72,MATCH(F94,Bootstrap!$B$8:$B$72,0)),""))</f>
        <v/>
      </c>
      <c r="H94" s="160">
        <f>IF(NOT(Bootstrap!$G$4="Test 2"),"",IFERROR(IF(MATCH(F94,Bootstrap!$B$8:$B$72,0)&lt;=15,"short  DFspot/(1+S*tau)","annual (DFspot-S*A)/(1+S*tau)"),""))</f>
        <v/>
      </c>
      <c r="I94" s="80">
        <f>IF(NOT(Bootstrap!$G$4="Test 2"),"",IFERROR(IF(MATCH(F94,Bootstrap!$B$8:$B$72,0)&lt;=15,INDEX(Bootstrap!$D$8:$D$72,MATCH(F94,Bootstrap!$B$8:$B$72,0)),INDEX(Bootstrap!$F$8:$F$72,MATCH(F94,Bootstrap!$B$8:$B$72,0))),""))</f>
        <v/>
      </c>
      <c r="J94" s="76">
        <f>IF(NOT(Bootstrap!$G$4="Test 2"),"",IFERROR(IF(MATCH(F94,Bootstrap!$B$8:$B$72,0)&lt;=15,0,INDEX(Bootstrap!$G$8:$G$72,MATCH(F94,Bootstrap!$B$8:$B$72,0))),""))</f>
        <v/>
      </c>
      <c r="K94" s="76">
        <f>IF(OR(G94="",I94=""),"",Bootstrap!$D$4-(G94/100)*J94)</f>
        <v/>
      </c>
      <c r="L94" s="76">
        <f>IF(OR(G94="",I94=""),"",1+(G94/100)*I94)</f>
        <v/>
      </c>
      <c r="M94" s="76">
        <f>IF(NOT(Bootstrap!$G$4="Test 2"),"",IFERROR(INDEX(Bootstrap!$H$8:$H$72,MATCH(F94,Bootstrap!$B$8:$B$72,0)),""))</f>
        <v/>
      </c>
      <c r="N94" s="80">
        <f>IF(NOT(Bootstrap!$G$4="Test 2"),"",IFERROR(INDEX(Bootstrap!$C$8:$C$72,MATCH(F94,Bootstrap!$B$8:$B$72,0)),""))</f>
        <v/>
      </c>
      <c r="O94" s="84">
        <f>IF(NOT(Bootstrap!$G$4="Test 2"),"",IFERROR(INDEX(Bootstrap!$J$8:$J$72,MATCH(F94,Bootstrap!$B$8:$B$72,0)),""))</f>
        <v/>
      </c>
      <c r="P94" s="89">
        <f>IF(OR(O94="",NOT(ISNUMBER(C94))),"",(O94-C94)*100)</f>
        <v/>
      </c>
      <c r="Q94" s="72">
        <f>IF(OR(M94="",NOT(ISNUMBER(D94))),"",M94-D94)</f>
        <v/>
      </c>
    </row>
    <row r="95">
      <c r="A95" s="68" t="n"/>
      <c r="B95" s="85" t="n"/>
      <c r="C95" s="85" t="n"/>
      <c r="D95" s="69" t="n"/>
      <c r="E95" s="112">
        <f>IF(OR(A95="",$D$56=""),"",IF(RIGHT(A95,1)="W",$D$56+7*VALUE(LEFT(A95,LEN(A95)-1)),IF(RIGHT(A95,1)="M",EDATE($D$56,VALUE(LEFT(A95,LEN(A95)-1))),EDATE($D$56,12*VALUE(LEFT(A95,LEN(A95)-1))))))</f>
        <v/>
      </c>
      <c r="F95" s="112">
        <f>IF(E95="","",IF(MONTH((E95+IF(WEEKDAY(E95,2)=6,2,IF(WEEKDAY(E95,2)=7,1,0))))&lt;&gt;MONTH(E95),(E95-IF(WEEKDAY(E95,2)=6,1,IF(WEEKDAY(E95,2)=7,2,0))),(E95+IF(WEEKDAY(E95,2)=6,2,IF(WEEKDAY(E95,2)=7,1,0)))))</f>
        <v/>
      </c>
      <c r="G95" s="84">
        <f>IF(NOT(Bootstrap!$G$4="Test 2"),"",IFERROR(INDEX(Bootstrap!$E$8:$E$72,MATCH(F95,Bootstrap!$B$8:$B$72,0)),""))</f>
        <v/>
      </c>
      <c r="H95" s="160">
        <f>IF(NOT(Bootstrap!$G$4="Test 2"),"",IFERROR(IF(MATCH(F95,Bootstrap!$B$8:$B$72,0)&lt;=15,"short  DFspot/(1+S*tau)","annual (DFspot-S*A)/(1+S*tau)"),""))</f>
        <v/>
      </c>
      <c r="I95" s="80">
        <f>IF(NOT(Bootstrap!$G$4="Test 2"),"",IFERROR(IF(MATCH(F95,Bootstrap!$B$8:$B$72,0)&lt;=15,INDEX(Bootstrap!$D$8:$D$72,MATCH(F95,Bootstrap!$B$8:$B$72,0)),INDEX(Bootstrap!$F$8:$F$72,MATCH(F95,Bootstrap!$B$8:$B$72,0))),""))</f>
        <v/>
      </c>
      <c r="J95" s="76">
        <f>IF(NOT(Bootstrap!$G$4="Test 2"),"",IFERROR(IF(MATCH(F95,Bootstrap!$B$8:$B$72,0)&lt;=15,0,INDEX(Bootstrap!$G$8:$G$72,MATCH(F95,Bootstrap!$B$8:$B$72,0))),""))</f>
        <v/>
      </c>
      <c r="K95" s="76">
        <f>IF(OR(G95="",I95=""),"",Bootstrap!$D$4-(G95/100)*J95)</f>
        <v/>
      </c>
      <c r="L95" s="76">
        <f>IF(OR(G95="",I95=""),"",1+(G95/100)*I95)</f>
        <v/>
      </c>
      <c r="M95" s="76">
        <f>IF(NOT(Bootstrap!$G$4="Test 2"),"",IFERROR(INDEX(Bootstrap!$H$8:$H$72,MATCH(F95,Bootstrap!$B$8:$B$72,0)),""))</f>
        <v/>
      </c>
      <c r="N95" s="80">
        <f>IF(NOT(Bootstrap!$G$4="Test 2"),"",IFERROR(INDEX(Bootstrap!$C$8:$C$72,MATCH(F95,Bootstrap!$B$8:$B$72,0)),""))</f>
        <v/>
      </c>
      <c r="O95" s="84">
        <f>IF(NOT(Bootstrap!$G$4="Test 2"),"",IFERROR(INDEX(Bootstrap!$J$8:$J$72,MATCH(F95,Bootstrap!$B$8:$B$72,0)),""))</f>
        <v/>
      </c>
      <c r="P95" s="89">
        <f>IF(OR(O95="",NOT(ISNUMBER(C95))),"",(O95-C95)*100)</f>
        <v/>
      </c>
      <c r="Q95" s="72">
        <f>IF(OR(M95="",NOT(ISNUMBER(D95))),"",M95-D95)</f>
        <v/>
      </c>
    </row>
    <row r="96">
      <c r="A96" s="68" t="n"/>
      <c r="B96" s="85" t="n"/>
      <c r="C96" s="85" t="n"/>
      <c r="D96" s="69" t="n"/>
      <c r="E96" s="112">
        <f>IF(OR(A96="",$D$56=""),"",IF(RIGHT(A96,1)="W",$D$56+7*VALUE(LEFT(A96,LEN(A96)-1)),IF(RIGHT(A96,1)="M",EDATE($D$56,VALUE(LEFT(A96,LEN(A96)-1))),EDATE($D$56,12*VALUE(LEFT(A96,LEN(A96)-1))))))</f>
        <v/>
      </c>
      <c r="F96" s="112">
        <f>IF(E96="","",IF(MONTH((E96+IF(WEEKDAY(E96,2)=6,2,IF(WEEKDAY(E96,2)=7,1,0))))&lt;&gt;MONTH(E96),(E96-IF(WEEKDAY(E96,2)=6,1,IF(WEEKDAY(E96,2)=7,2,0))),(E96+IF(WEEKDAY(E96,2)=6,2,IF(WEEKDAY(E96,2)=7,1,0)))))</f>
        <v/>
      </c>
      <c r="G96" s="84">
        <f>IF(NOT(Bootstrap!$G$4="Test 2"),"",IFERROR(INDEX(Bootstrap!$E$8:$E$72,MATCH(F96,Bootstrap!$B$8:$B$72,0)),""))</f>
        <v/>
      </c>
      <c r="H96" s="160">
        <f>IF(NOT(Bootstrap!$G$4="Test 2"),"",IFERROR(IF(MATCH(F96,Bootstrap!$B$8:$B$72,0)&lt;=15,"short  DFspot/(1+S*tau)","annual (DFspot-S*A)/(1+S*tau)"),""))</f>
        <v/>
      </c>
      <c r="I96" s="80">
        <f>IF(NOT(Bootstrap!$G$4="Test 2"),"",IFERROR(IF(MATCH(F96,Bootstrap!$B$8:$B$72,0)&lt;=15,INDEX(Bootstrap!$D$8:$D$72,MATCH(F96,Bootstrap!$B$8:$B$72,0)),INDEX(Bootstrap!$F$8:$F$72,MATCH(F96,Bootstrap!$B$8:$B$72,0))),""))</f>
        <v/>
      </c>
      <c r="J96" s="76">
        <f>IF(NOT(Bootstrap!$G$4="Test 2"),"",IFERROR(IF(MATCH(F96,Bootstrap!$B$8:$B$72,0)&lt;=15,0,INDEX(Bootstrap!$G$8:$G$72,MATCH(F96,Bootstrap!$B$8:$B$72,0))),""))</f>
        <v/>
      </c>
      <c r="K96" s="76">
        <f>IF(OR(G96="",I96=""),"",Bootstrap!$D$4-(G96/100)*J96)</f>
        <v/>
      </c>
      <c r="L96" s="76">
        <f>IF(OR(G96="",I96=""),"",1+(G96/100)*I96)</f>
        <v/>
      </c>
      <c r="M96" s="76">
        <f>IF(NOT(Bootstrap!$G$4="Test 2"),"",IFERROR(INDEX(Bootstrap!$H$8:$H$72,MATCH(F96,Bootstrap!$B$8:$B$72,0)),""))</f>
        <v/>
      </c>
      <c r="N96" s="80">
        <f>IF(NOT(Bootstrap!$G$4="Test 2"),"",IFERROR(INDEX(Bootstrap!$C$8:$C$72,MATCH(F96,Bootstrap!$B$8:$B$72,0)),""))</f>
        <v/>
      </c>
      <c r="O96" s="84">
        <f>IF(NOT(Bootstrap!$G$4="Test 2"),"",IFERROR(INDEX(Bootstrap!$J$8:$J$72,MATCH(F96,Bootstrap!$B$8:$B$72,0)),""))</f>
        <v/>
      </c>
      <c r="P96" s="89">
        <f>IF(OR(O96="",NOT(ISNUMBER(C96))),"",(O96-C96)*100)</f>
        <v/>
      </c>
      <c r="Q96" s="72">
        <f>IF(OR(M96="",NOT(ISNUMBER(D96))),"",M96-D96)</f>
        <v/>
      </c>
    </row>
    <row r="97">
      <c r="A97" s="68" t="n"/>
      <c r="B97" s="85" t="n"/>
      <c r="C97" s="85" t="n"/>
      <c r="D97" s="69" t="n"/>
      <c r="E97" s="112">
        <f>IF(OR(A97="",$D$56=""),"",IF(RIGHT(A97,1)="W",$D$56+7*VALUE(LEFT(A97,LEN(A97)-1)),IF(RIGHT(A97,1)="M",EDATE($D$56,VALUE(LEFT(A97,LEN(A97)-1))),EDATE($D$56,12*VALUE(LEFT(A97,LEN(A97)-1))))))</f>
        <v/>
      </c>
      <c r="F97" s="112">
        <f>IF(E97="","",IF(MONTH((E97+IF(WEEKDAY(E97,2)=6,2,IF(WEEKDAY(E97,2)=7,1,0))))&lt;&gt;MONTH(E97),(E97-IF(WEEKDAY(E97,2)=6,1,IF(WEEKDAY(E97,2)=7,2,0))),(E97+IF(WEEKDAY(E97,2)=6,2,IF(WEEKDAY(E97,2)=7,1,0)))))</f>
        <v/>
      </c>
      <c r="G97" s="84">
        <f>IF(NOT(Bootstrap!$G$4="Test 2"),"",IFERROR(INDEX(Bootstrap!$E$8:$E$72,MATCH(F97,Bootstrap!$B$8:$B$72,0)),""))</f>
        <v/>
      </c>
      <c r="H97" s="160">
        <f>IF(NOT(Bootstrap!$G$4="Test 2"),"",IFERROR(IF(MATCH(F97,Bootstrap!$B$8:$B$72,0)&lt;=15,"short  DFspot/(1+S*tau)","annual (DFspot-S*A)/(1+S*tau)"),""))</f>
        <v/>
      </c>
      <c r="I97" s="80">
        <f>IF(NOT(Bootstrap!$G$4="Test 2"),"",IFERROR(IF(MATCH(F97,Bootstrap!$B$8:$B$72,0)&lt;=15,INDEX(Bootstrap!$D$8:$D$72,MATCH(F97,Bootstrap!$B$8:$B$72,0)),INDEX(Bootstrap!$F$8:$F$72,MATCH(F97,Bootstrap!$B$8:$B$72,0))),""))</f>
        <v/>
      </c>
      <c r="J97" s="76">
        <f>IF(NOT(Bootstrap!$G$4="Test 2"),"",IFERROR(IF(MATCH(F97,Bootstrap!$B$8:$B$72,0)&lt;=15,0,INDEX(Bootstrap!$G$8:$G$72,MATCH(F97,Bootstrap!$B$8:$B$72,0))),""))</f>
        <v/>
      </c>
      <c r="K97" s="76">
        <f>IF(OR(G97="",I97=""),"",Bootstrap!$D$4-(G97/100)*J97)</f>
        <v/>
      </c>
      <c r="L97" s="76">
        <f>IF(OR(G97="",I97=""),"",1+(G97/100)*I97)</f>
        <v/>
      </c>
      <c r="M97" s="76">
        <f>IF(NOT(Bootstrap!$G$4="Test 2"),"",IFERROR(INDEX(Bootstrap!$H$8:$H$72,MATCH(F97,Bootstrap!$B$8:$B$72,0)),""))</f>
        <v/>
      </c>
      <c r="N97" s="80">
        <f>IF(NOT(Bootstrap!$G$4="Test 2"),"",IFERROR(INDEX(Bootstrap!$C$8:$C$72,MATCH(F97,Bootstrap!$B$8:$B$72,0)),""))</f>
        <v/>
      </c>
      <c r="O97" s="84">
        <f>IF(NOT(Bootstrap!$G$4="Test 2"),"",IFERROR(INDEX(Bootstrap!$J$8:$J$72,MATCH(F97,Bootstrap!$B$8:$B$72,0)),""))</f>
        <v/>
      </c>
      <c r="P97" s="89">
        <f>IF(OR(O97="",NOT(ISNUMBER(C97))),"",(O97-C97)*100)</f>
        <v/>
      </c>
      <c r="Q97" s="72">
        <f>IF(OR(M97="",NOT(ISNUMBER(D97))),"",M97-D97)</f>
        <v/>
      </c>
    </row>
    <row r="98">
      <c r="A98" s="67" t="inlineStr">
        <is>
          <t>pillars pasted</t>
        </is>
      </c>
      <c r="C98" s="130">
        <f>COUNTA(A58:A97)</f>
        <v/>
      </c>
      <c r="D98" s="67" t="inlineStr">
        <is>
          <t>matched</t>
        </is>
      </c>
      <c r="F98" s="87">
        <f>IF(NOT(Bootstrap!$G$4="Test 2"),"not active",COUNT(O58:O97))</f>
        <v/>
      </c>
      <c r="G98" s="67" t="inlineStr">
        <is>
          <t>max |d zero| bp</t>
        </is>
      </c>
      <c r="I98" s="90">
        <f>IF(NOT(Bootstrap!$G$4="Test 2"),"",IF(COUNT(P58:P97)=0,"",MAX(MAX(P58:P97),-MIN(P58:P97))))</f>
        <v/>
      </c>
      <c r="J98" s="67" t="inlineStr">
        <is>
          <t>max |d DF|</t>
        </is>
      </c>
      <c r="L98" s="91">
        <f>IF(NOT(Bootstrap!$G$4="Test 2"),"",IF(COUNT(Q58:Q97)=0,"",MAX(MAX(Q58:Q97),-MIN(Q58:Q97))))</f>
        <v/>
      </c>
      <c r="M98" s="66">
        <f>IF(AND(Bootstrap!$G$4="Test 2",C98&gt;0,F98&lt;C98),"CHECK: matched &lt; pasted, dates are not hitting Bootstrap!B — check the curve date","")</f>
        <v/>
      </c>
    </row>
    <row r="105">
      <c r="A105" s="123" t="inlineStr">
        <is>
          <t>CURVE TEST CASE 3</t>
        </is>
      </c>
      <c r="C105" s="65" t="inlineStr">
        <is>
          <t>curve date -&gt;</t>
        </is>
      </c>
      <c r="D105" s="111" t="n"/>
      <c r="E105" s="65" t="inlineStr">
        <is>
          <t>name / time -&gt;</t>
        </is>
      </c>
      <c r="F105" s="68" t="n"/>
    </row>
    <row r="106">
      <c r="C106" s="65" t="inlineStr">
        <is>
          <t>spot (T+2bd) -&gt;</t>
        </is>
      </c>
      <c r="D106" s="128">
        <f>IF($D$105="","",$D$105+2+IF(WEEKDAY($D$105,2)&gt;=4,2,0))</f>
        <v/>
      </c>
      <c r="F106" s="67">
        <f>IF(Bootstrap!$G$4="Test 3","ACTIVE — model columns live","not active")</f>
        <v/>
      </c>
    </row>
    <row r="107" ht="30" customHeight="1">
      <c r="A107" s="146" t="inlineStr">
        <is>
          <t>Tenor</t>
        </is>
      </c>
      <c r="B107" s="146" t="inlineStr">
        <is>
          <t>Swap rate (mid)</t>
        </is>
      </c>
      <c r="C107" s="146" t="inlineStr">
        <is>
          <t>BBG zero %</t>
        </is>
      </c>
      <c r="D107" s="146" t="inlineStr">
        <is>
          <t>BBG discount</t>
        </is>
      </c>
      <c r="E107" s="146" t="inlineStr">
        <is>
          <t>raw date</t>
        </is>
      </c>
      <c r="F107" s="146" t="inlineStr">
        <is>
          <t>Date</t>
        </is>
      </c>
      <c r="G107" s="146" t="inlineStr">
        <is>
          <t>S used %</t>
        </is>
      </c>
      <c r="H107" s="146" t="inlineStr">
        <is>
          <t>Rule</t>
        </is>
      </c>
      <c r="I107" s="146" t="inlineStr">
        <is>
          <t>tau</t>
        </is>
      </c>
      <c r="J107" s="146" t="inlineStr">
        <is>
          <t>A(prior)</t>
        </is>
      </c>
      <c r="K107" s="146" t="inlineStr">
        <is>
          <t>numerator</t>
        </is>
      </c>
      <c r="L107" s="146" t="inlineStr">
        <is>
          <t>denominator</t>
        </is>
      </c>
      <c r="M107" s="146" t="inlineStr">
        <is>
          <t>our DF</t>
        </is>
      </c>
      <c r="N107" s="146" t="inlineStr">
        <is>
          <t>t ACT/365</t>
        </is>
      </c>
      <c r="O107" s="146" t="inlineStr">
        <is>
          <t>our zero %</t>
        </is>
      </c>
      <c r="P107" s="146" t="inlineStr">
        <is>
          <t>d zero bp</t>
        </is>
      </c>
      <c r="Q107" s="146" t="inlineStr">
        <is>
          <t>d DF</t>
        </is>
      </c>
    </row>
    <row r="108">
      <c r="A108" s="68" t="n"/>
      <c r="B108" s="85" t="n"/>
      <c r="C108" s="85" t="n"/>
      <c r="D108" s="69" t="n"/>
      <c r="E108" s="112">
        <f>IF(OR(A108="",$D$106=""),"",IF(RIGHT(A108,1)="W",$D$106+7*VALUE(LEFT(A108,LEN(A108)-1)),IF(RIGHT(A108,1)="M",EDATE($D$106,VALUE(LEFT(A108,LEN(A108)-1))),EDATE($D$106,12*VALUE(LEFT(A108,LEN(A108)-1))))))</f>
        <v/>
      </c>
      <c r="F108" s="112">
        <f>IF(E108="","",IF(MONTH((E108+IF(WEEKDAY(E108,2)=6,2,IF(WEEKDAY(E108,2)=7,1,0))))&lt;&gt;MONTH(E108),(E108-IF(WEEKDAY(E108,2)=6,1,IF(WEEKDAY(E108,2)=7,2,0))),(E108+IF(WEEKDAY(E108,2)=6,2,IF(WEEKDAY(E108,2)=7,1,0)))))</f>
        <v/>
      </c>
      <c r="G108" s="84">
        <f>IF(NOT(Bootstrap!$G$4="Test 3"),"",IFERROR(INDEX(Bootstrap!$E$8:$E$72,MATCH(F108,Bootstrap!$B$8:$B$72,0)),""))</f>
        <v/>
      </c>
      <c r="H108" s="160">
        <f>IF(NOT(Bootstrap!$G$4="Test 3"),"",IFERROR(IF(MATCH(F108,Bootstrap!$B$8:$B$72,0)&lt;=15,"short  DFspot/(1+S*tau)","annual (DFspot-S*A)/(1+S*tau)"),""))</f>
        <v/>
      </c>
      <c r="I108" s="80">
        <f>IF(NOT(Bootstrap!$G$4="Test 3"),"",IFERROR(IF(MATCH(F108,Bootstrap!$B$8:$B$72,0)&lt;=15,INDEX(Bootstrap!$D$8:$D$72,MATCH(F108,Bootstrap!$B$8:$B$72,0)),INDEX(Bootstrap!$F$8:$F$72,MATCH(F108,Bootstrap!$B$8:$B$72,0))),""))</f>
        <v/>
      </c>
      <c r="J108" s="76">
        <f>IF(NOT(Bootstrap!$G$4="Test 3"),"",IFERROR(IF(MATCH(F108,Bootstrap!$B$8:$B$72,0)&lt;=15,0,INDEX(Bootstrap!$G$8:$G$72,MATCH(F108,Bootstrap!$B$8:$B$72,0))),""))</f>
        <v/>
      </c>
      <c r="K108" s="76">
        <f>IF(OR(G108="",I108=""),"",Bootstrap!$D$4-(G108/100)*J108)</f>
        <v/>
      </c>
      <c r="L108" s="76">
        <f>IF(OR(G108="",I108=""),"",1+(G108/100)*I108)</f>
        <v/>
      </c>
      <c r="M108" s="76">
        <f>IF(NOT(Bootstrap!$G$4="Test 3"),"",IFERROR(INDEX(Bootstrap!$H$8:$H$72,MATCH(F108,Bootstrap!$B$8:$B$72,0)),""))</f>
        <v/>
      </c>
      <c r="N108" s="80">
        <f>IF(NOT(Bootstrap!$G$4="Test 3"),"",IFERROR(INDEX(Bootstrap!$C$8:$C$72,MATCH(F108,Bootstrap!$B$8:$B$72,0)),""))</f>
        <v/>
      </c>
      <c r="O108" s="84">
        <f>IF(NOT(Bootstrap!$G$4="Test 3"),"",IFERROR(INDEX(Bootstrap!$J$8:$J$72,MATCH(F108,Bootstrap!$B$8:$B$72,0)),""))</f>
        <v/>
      </c>
      <c r="P108" s="89">
        <f>IF(OR(O108="",NOT(ISNUMBER(C108))),"",(O108-C108)*100)</f>
        <v/>
      </c>
      <c r="Q108" s="72">
        <f>IF(OR(M108="",NOT(ISNUMBER(D108))),"",M108-D108)</f>
        <v/>
      </c>
    </row>
    <row r="109">
      <c r="A109" s="68" t="n"/>
      <c r="B109" s="85" t="n"/>
      <c r="C109" s="85" t="n"/>
      <c r="D109" s="69" t="n"/>
      <c r="E109" s="112">
        <f>IF(OR(A109="",$D$106=""),"",IF(RIGHT(A109,1)="W",$D$106+7*VALUE(LEFT(A109,LEN(A109)-1)),IF(RIGHT(A109,1)="M",EDATE($D$106,VALUE(LEFT(A109,LEN(A109)-1))),EDATE($D$106,12*VALUE(LEFT(A109,LEN(A109)-1))))))</f>
        <v/>
      </c>
      <c r="F109" s="112">
        <f>IF(E109="","",IF(MONTH((E109+IF(WEEKDAY(E109,2)=6,2,IF(WEEKDAY(E109,2)=7,1,0))))&lt;&gt;MONTH(E109),(E109-IF(WEEKDAY(E109,2)=6,1,IF(WEEKDAY(E109,2)=7,2,0))),(E109+IF(WEEKDAY(E109,2)=6,2,IF(WEEKDAY(E109,2)=7,1,0)))))</f>
        <v/>
      </c>
      <c r="G109" s="84">
        <f>IF(NOT(Bootstrap!$G$4="Test 3"),"",IFERROR(INDEX(Bootstrap!$E$8:$E$72,MATCH(F109,Bootstrap!$B$8:$B$72,0)),""))</f>
        <v/>
      </c>
      <c r="H109" s="160">
        <f>IF(NOT(Bootstrap!$G$4="Test 3"),"",IFERROR(IF(MATCH(F109,Bootstrap!$B$8:$B$72,0)&lt;=15,"short  DFspot/(1+S*tau)","annual (DFspot-S*A)/(1+S*tau)"),""))</f>
        <v/>
      </c>
      <c r="I109" s="80">
        <f>IF(NOT(Bootstrap!$G$4="Test 3"),"",IFERROR(IF(MATCH(F109,Bootstrap!$B$8:$B$72,0)&lt;=15,INDEX(Bootstrap!$D$8:$D$72,MATCH(F109,Bootstrap!$B$8:$B$72,0)),INDEX(Bootstrap!$F$8:$F$72,MATCH(F109,Bootstrap!$B$8:$B$72,0))),""))</f>
        <v/>
      </c>
      <c r="J109" s="76">
        <f>IF(NOT(Bootstrap!$G$4="Test 3"),"",IFERROR(IF(MATCH(F109,Bootstrap!$B$8:$B$72,0)&lt;=15,0,INDEX(Bootstrap!$G$8:$G$72,MATCH(F109,Bootstrap!$B$8:$B$72,0))),""))</f>
        <v/>
      </c>
      <c r="K109" s="76">
        <f>IF(OR(G109="",I109=""),"",Bootstrap!$D$4-(G109/100)*J109)</f>
        <v/>
      </c>
      <c r="L109" s="76">
        <f>IF(OR(G109="",I109=""),"",1+(G109/100)*I109)</f>
        <v/>
      </c>
      <c r="M109" s="76">
        <f>IF(NOT(Bootstrap!$G$4="Test 3"),"",IFERROR(INDEX(Bootstrap!$H$8:$H$72,MATCH(F109,Bootstrap!$B$8:$B$72,0)),""))</f>
        <v/>
      </c>
      <c r="N109" s="80">
        <f>IF(NOT(Bootstrap!$G$4="Test 3"),"",IFERROR(INDEX(Bootstrap!$C$8:$C$72,MATCH(F109,Bootstrap!$B$8:$B$72,0)),""))</f>
        <v/>
      </c>
      <c r="O109" s="84">
        <f>IF(NOT(Bootstrap!$G$4="Test 3"),"",IFERROR(INDEX(Bootstrap!$J$8:$J$72,MATCH(F109,Bootstrap!$B$8:$B$72,0)),""))</f>
        <v/>
      </c>
      <c r="P109" s="89">
        <f>IF(OR(O109="",NOT(ISNUMBER(C109))),"",(O109-C109)*100)</f>
        <v/>
      </c>
      <c r="Q109" s="72">
        <f>IF(OR(M109="",NOT(ISNUMBER(D109))),"",M109-D109)</f>
        <v/>
      </c>
    </row>
    <row r="110">
      <c r="A110" s="68" t="n"/>
      <c r="B110" s="85" t="n"/>
      <c r="C110" s="85" t="n"/>
      <c r="D110" s="69" t="n"/>
      <c r="E110" s="112">
        <f>IF(OR(A110="",$D$106=""),"",IF(RIGHT(A110,1)="W",$D$106+7*VALUE(LEFT(A110,LEN(A110)-1)),IF(RIGHT(A110,1)="M",EDATE($D$106,VALUE(LEFT(A110,LEN(A110)-1))),EDATE($D$106,12*VALUE(LEFT(A110,LEN(A110)-1))))))</f>
        <v/>
      </c>
      <c r="F110" s="112">
        <f>IF(E110="","",IF(MONTH((E110+IF(WEEKDAY(E110,2)=6,2,IF(WEEKDAY(E110,2)=7,1,0))))&lt;&gt;MONTH(E110),(E110-IF(WEEKDAY(E110,2)=6,1,IF(WEEKDAY(E110,2)=7,2,0))),(E110+IF(WEEKDAY(E110,2)=6,2,IF(WEEKDAY(E110,2)=7,1,0)))))</f>
        <v/>
      </c>
      <c r="G110" s="84">
        <f>IF(NOT(Bootstrap!$G$4="Test 3"),"",IFERROR(INDEX(Bootstrap!$E$8:$E$72,MATCH(F110,Bootstrap!$B$8:$B$72,0)),""))</f>
        <v/>
      </c>
      <c r="H110" s="160">
        <f>IF(NOT(Bootstrap!$G$4="Test 3"),"",IFERROR(IF(MATCH(F110,Bootstrap!$B$8:$B$72,0)&lt;=15,"short  DFspot/(1+S*tau)","annual (DFspot-S*A)/(1+S*tau)"),""))</f>
        <v/>
      </c>
      <c r="I110" s="80">
        <f>IF(NOT(Bootstrap!$G$4="Test 3"),"",IFERROR(IF(MATCH(F110,Bootstrap!$B$8:$B$72,0)&lt;=15,INDEX(Bootstrap!$D$8:$D$72,MATCH(F110,Bootstrap!$B$8:$B$72,0)),INDEX(Bootstrap!$F$8:$F$72,MATCH(F110,Bootstrap!$B$8:$B$72,0))),""))</f>
        <v/>
      </c>
      <c r="J110" s="76">
        <f>IF(NOT(Bootstrap!$G$4="Test 3"),"",IFERROR(IF(MATCH(F110,Bootstrap!$B$8:$B$72,0)&lt;=15,0,INDEX(Bootstrap!$G$8:$G$72,MATCH(F110,Bootstrap!$B$8:$B$72,0))),""))</f>
        <v/>
      </c>
      <c r="K110" s="76">
        <f>IF(OR(G110="",I110=""),"",Bootstrap!$D$4-(G110/100)*J110)</f>
        <v/>
      </c>
      <c r="L110" s="76">
        <f>IF(OR(G110="",I110=""),"",1+(G110/100)*I110)</f>
        <v/>
      </c>
      <c r="M110" s="76">
        <f>IF(NOT(Bootstrap!$G$4="Test 3"),"",IFERROR(INDEX(Bootstrap!$H$8:$H$72,MATCH(F110,Bootstrap!$B$8:$B$72,0)),""))</f>
        <v/>
      </c>
      <c r="N110" s="80">
        <f>IF(NOT(Bootstrap!$G$4="Test 3"),"",IFERROR(INDEX(Bootstrap!$C$8:$C$72,MATCH(F110,Bootstrap!$B$8:$B$72,0)),""))</f>
        <v/>
      </c>
      <c r="O110" s="84">
        <f>IF(NOT(Bootstrap!$G$4="Test 3"),"",IFERROR(INDEX(Bootstrap!$J$8:$J$72,MATCH(F110,Bootstrap!$B$8:$B$72,0)),""))</f>
        <v/>
      </c>
      <c r="P110" s="89">
        <f>IF(OR(O110="",NOT(ISNUMBER(C110))),"",(O110-C110)*100)</f>
        <v/>
      </c>
      <c r="Q110" s="72">
        <f>IF(OR(M110="",NOT(ISNUMBER(D110))),"",M110-D110)</f>
        <v/>
      </c>
    </row>
    <row r="111">
      <c r="A111" s="68" t="n"/>
      <c r="B111" s="85" t="n"/>
      <c r="C111" s="85" t="n"/>
      <c r="D111" s="69" t="n"/>
      <c r="E111" s="112">
        <f>IF(OR(A111="",$D$106=""),"",IF(RIGHT(A111,1)="W",$D$106+7*VALUE(LEFT(A111,LEN(A111)-1)),IF(RIGHT(A111,1)="M",EDATE($D$106,VALUE(LEFT(A111,LEN(A111)-1))),EDATE($D$106,12*VALUE(LEFT(A111,LEN(A111)-1))))))</f>
        <v/>
      </c>
      <c r="F111" s="112">
        <f>IF(E111="","",IF(MONTH((E111+IF(WEEKDAY(E111,2)=6,2,IF(WEEKDAY(E111,2)=7,1,0))))&lt;&gt;MONTH(E111),(E111-IF(WEEKDAY(E111,2)=6,1,IF(WEEKDAY(E111,2)=7,2,0))),(E111+IF(WEEKDAY(E111,2)=6,2,IF(WEEKDAY(E111,2)=7,1,0)))))</f>
        <v/>
      </c>
      <c r="G111" s="84">
        <f>IF(NOT(Bootstrap!$G$4="Test 3"),"",IFERROR(INDEX(Bootstrap!$E$8:$E$72,MATCH(F111,Bootstrap!$B$8:$B$72,0)),""))</f>
        <v/>
      </c>
      <c r="H111" s="160">
        <f>IF(NOT(Bootstrap!$G$4="Test 3"),"",IFERROR(IF(MATCH(F111,Bootstrap!$B$8:$B$72,0)&lt;=15,"short  DFspot/(1+S*tau)","annual (DFspot-S*A)/(1+S*tau)"),""))</f>
        <v/>
      </c>
      <c r="I111" s="80">
        <f>IF(NOT(Bootstrap!$G$4="Test 3"),"",IFERROR(IF(MATCH(F111,Bootstrap!$B$8:$B$72,0)&lt;=15,INDEX(Bootstrap!$D$8:$D$72,MATCH(F111,Bootstrap!$B$8:$B$72,0)),INDEX(Bootstrap!$F$8:$F$72,MATCH(F111,Bootstrap!$B$8:$B$72,0))),""))</f>
        <v/>
      </c>
      <c r="J111" s="76">
        <f>IF(NOT(Bootstrap!$G$4="Test 3"),"",IFERROR(IF(MATCH(F111,Bootstrap!$B$8:$B$72,0)&lt;=15,0,INDEX(Bootstrap!$G$8:$G$72,MATCH(F111,Bootstrap!$B$8:$B$72,0))),""))</f>
        <v/>
      </c>
      <c r="K111" s="76">
        <f>IF(OR(G111="",I111=""),"",Bootstrap!$D$4-(G111/100)*J111)</f>
        <v/>
      </c>
      <c r="L111" s="76">
        <f>IF(OR(G111="",I111=""),"",1+(G111/100)*I111)</f>
        <v/>
      </c>
      <c r="M111" s="76">
        <f>IF(NOT(Bootstrap!$G$4="Test 3"),"",IFERROR(INDEX(Bootstrap!$H$8:$H$72,MATCH(F111,Bootstrap!$B$8:$B$72,0)),""))</f>
        <v/>
      </c>
      <c r="N111" s="80">
        <f>IF(NOT(Bootstrap!$G$4="Test 3"),"",IFERROR(INDEX(Bootstrap!$C$8:$C$72,MATCH(F111,Bootstrap!$B$8:$B$72,0)),""))</f>
        <v/>
      </c>
      <c r="O111" s="84">
        <f>IF(NOT(Bootstrap!$G$4="Test 3"),"",IFERROR(INDEX(Bootstrap!$J$8:$J$72,MATCH(F111,Bootstrap!$B$8:$B$72,0)),""))</f>
        <v/>
      </c>
      <c r="P111" s="89">
        <f>IF(OR(O111="",NOT(ISNUMBER(C111))),"",(O111-C111)*100)</f>
        <v/>
      </c>
      <c r="Q111" s="72">
        <f>IF(OR(M111="",NOT(ISNUMBER(D111))),"",M111-D111)</f>
        <v/>
      </c>
    </row>
    <row r="112">
      <c r="A112" s="68" t="n"/>
      <c r="B112" s="85" t="n"/>
      <c r="C112" s="85" t="n"/>
      <c r="D112" s="69" t="n"/>
      <c r="E112" s="112">
        <f>IF(OR(A112="",$D$106=""),"",IF(RIGHT(A112,1)="W",$D$106+7*VALUE(LEFT(A112,LEN(A112)-1)),IF(RIGHT(A112,1)="M",EDATE($D$106,VALUE(LEFT(A112,LEN(A112)-1))),EDATE($D$106,12*VALUE(LEFT(A112,LEN(A112)-1))))))</f>
        <v/>
      </c>
      <c r="F112" s="112">
        <f>IF(E112="","",IF(MONTH((E112+IF(WEEKDAY(E112,2)=6,2,IF(WEEKDAY(E112,2)=7,1,0))))&lt;&gt;MONTH(E112),(E112-IF(WEEKDAY(E112,2)=6,1,IF(WEEKDAY(E112,2)=7,2,0))),(E112+IF(WEEKDAY(E112,2)=6,2,IF(WEEKDAY(E112,2)=7,1,0)))))</f>
        <v/>
      </c>
      <c r="G112" s="84">
        <f>IF(NOT(Bootstrap!$G$4="Test 3"),"",IFERROR(INDEX(Bootstrap!$E$8:$E$72,MATCH(F112,Bootstrap!$B$8:$B$72,0)),""))</f>
        <v/>
      </c>
      <c r="H112" s="160">
        <f>IF(NOT(Bootstrap!$G$4="Test 3"),"",IFERROR(IF(MATCH(F112,Bootstrap!$B$8:$B$72,0)&lt;=15,"short  DFspot/(1+S*tau)","annual (DFspot-S*A)/(1+S*tau)"),""))</f>
        <v/>
      </c>
      <c r="I112" s="80">
        <f>IF(NOT(Bootstrap!$G$4="Test 3"),"",IFERROR(IF(MATCH(F112,Bootstrap!$B$8:$B$72,0)&lt;=15,INDEX(Bootstrap!$D$8:$D$72,MATCH(F112,Bootstrap!$B$8:$B$72,0)),INDEX(Bootstrap!$F$8:$F$72,MATCH(F112,Bootstrap!$B$8:$B$72,0))),""))</f>
        <v/>
      </c>
      <c r="J112" s="76">
        <f>IF(NOT(Bootstrap!$G$4="Test 3"),"",IFERROR(IF(MATCH(F112,Bootstrap!$B$8:$B$72,0)&lt;=15,0,INDEX(Bootstrap!$G$8:$G$72,MATCH(F112,Bootstrap!$B$8:$B$72,0))),""))</f>
        <v/>
      </c>
      <c r="K112" s="76">
        <f>IF(OR(G112="",I112=""),"",Bootstrap!$D$4-(G112/100)*J112)</f>
        <v/>
      </c>
      <c r="L112" s="76">
        <f>IF(OR(G112="",I112=""),"",1+(G112/100)*I112)</f>
        <v/>
      </c>
      <c r="M112" s="76">
        <f>IF(NOT(Bootstrap!$G$4="Test 3"),"",IFERROR(INDEX(Bootstrap!$H$8:$H$72,MATCH(F112,Bootstrap!$B$8:$B$72,0)),""))</f>
        <v/>
      </c>
      <c r="N112" s="80">
        <f>IF(NOT(Bootstrap!$G$4="Test 3"),"",IFERROR(INDEX(Bootstrap!$C$8:$C$72,MATCH(F112,Bootstrap!$B$8:$B$72,0)),""))</f>
        <v/>
      </c>
      <c r="O112" s="84">
        <f>IF(NOT(Bootstrap!$G$4="Test 3"),"",IFERROR(INDEX(Bootstrap!$J$8:$J$72,MATCH(F112,Bootstrap!$B$8:$B$72,0)),""))</f>
        <v/>
      </c>
      <c r="P112" s="89">
        <f>IF(OR(O112="",NOT(ISNUMBER(C112))),"",(O112-C112)*100)</f>
        <v/>
      </c>
      <c r="Q112" s="72">
        <f>IF(OR(M112="",NOT(ISNUMBER(D112))),"",M112-D112)</f>
        <v/>
      </c>
    </row>
    <row r="113">
      <c r="A113" s="68" t="n"/>
      <c r="B113" s="85" t="n"/>
      <c r="C113" s="85" t="n"/>
      <c r="D113" s="69" t="n"/>
      <c r="E113" s="112">
        <f>IF(OR(A113="",$D$106=""),"",IF(RIGHT(A113,1)="W",$D$106+7*VALUE(LEFT(A113,LEN(A113)-1)),IF(RIGHT(A113,1)="M",EDATE($D$106,VALUE(LEFT(A113,LEN(A113)-1))),EDATE($D$106,12*VALUE(LEFT(A113,LEN(A113)-1))))))</f>
        <v/>
      </c>
      <c r="F113" s="112">
        <f>IF(E113="","",IF(MONTH((E113+IF(WEEKDAY(E113,2)=6,2,IF(WEEKDAY(E113,2)=7,1,0))))&lt;&gt;MONTH(E113),(E113-IF(WEEKDAY(E113,2)=6,1,IF(WEEKDAY(E113,2)=7,2,0))),(E113+IF(WEEKDAY(E113,2)=6,2,IF(WEEKDAY(E113,2)=7,1,0)))))</f>
        <v/>
      </c>
      <c r="G113" s="84">
        <f>IF(NOT(Bootstrap!$G$4="Test 3"),"",IFERROR(INDEX(Bootstrap!$E$8:$E$72,MATCH(F113,Bootstrap!$B$8:$B$72,0)),""))</f>
        <v/>
      </c>
      <c r="H113" s="160">
        <f>IF(NOT(Bootstrap!$G$4="Test 3"),"",IFERROR(IF(MATCH(F113,Bootstrap!$B$8:$B$72,0)&lt;=15,"short  DFspot/(1+S*tau)","annual (DFspot-S*A)/(1+S*tau)"),""))</f>
        <v/>
      </c>
      <c r="I113" s="80">
        <f>IF(NOT(Bootstrap!$G$4="Test 3"),"",IFERROR(IF(MATCH(F113,Bootstrap!$B$8:$B$72,0)&lt;=15,INDEX(Bootstrap!$D$8:$D$72,MATCH(F113,Bootstrap!$B$8:$B$72,0)),INDEX(Bootstrap!$F$8:$F$72,MATCH(F113,Bootstrap!$B$8:$B$72,0))),""))</f>
        <v/>
      </c>
      <c r="J113" s="76">
        <f>IF(NOT(Bootstrap!$G$4="Test 3"),"",IFERROR(IF(MATCH(F113,Bootstrap!$B$8:$B$72,0)&lt;=15,0,INDEX(Bootstrap!$G$8:$G$72,MATCH(F113,Bootstrap!$B$8:$B$72,0))),""))</f>
        <v/>
      </c>
      <c r="K113" s="76">
        <f>IF(OR(G113="",I113=""),"",Bootstrap!$D$4-(G113/100)*J113)</f>
        <v/>
      </c>
      <c r="L113" s="76">
        <f>IF(OR(G113="",I113=""),"",1+(G113/100)*I113)</f>
        <v/>
      </c>
      <c r="M113" s="76">
        <f>IF(NOT(Bootstrap!$G$4="Test 3"),"",IFERROR(INDEX(Bootstrap!$H$8:$H$72,MATCH(F113,Bootstrap!$B$8:$B$72,0)),""))</f>
        <v/>
      </c>
      <c r="N113" s="80">
        <f>IF(NOT(Bootstrap!$G$4="Test 3"),"",IFERROR(INDEX(Bootstrap!$C$8:$C$72,MATCH(F113,Bootstrap!$B$8:$B$72,0)),""))</f>
        <v/>
      </c>
      <c r="O113" s="84">
        <f>IF(NOT(Bootstrap!$G$4="Test 3"),"",IFERROR(INDEX(Bootstrap!$J$8:$J$72,MATCH(F113,Bootstrap!$B$8:$B$72,0)),""))</f>
        <v/>
      </c>
      <c r="P113" s="89">
        <f>IF(OR(O113="",NOT(ISNUMBER(C113))),"",(O113-C113)*100)</f>
        <v/>
      </c>
      <c r="Q113" s="72">
        <f>IF(OR(M113="",NOT(ISNUMBER(D113))),"",M113-D113)</f>
        <v/>
      </c>
    </row>
    <row r="114">
      <c r="A114" s="68" t="n"/>
      <c r="B114" s="85" t="n"/>
      <c r="C114" s="85" t="n"/>
      <c r="D114" s="69" t="n"/>
      <c r="E114" s="112">
        <f>IF(OR(A114="",$D$106=""),"",IF(RIGHT(A114,1)="W",$D$106+7*VALUE(LEFT(A114,LEN(A114)-1)),IF(RIGHT(A114,1)="M",EDATE($D$106,VALUE(LEFT(A114,LEN(A114)-1))),EDATE($D$106,12*VALUE(LEFT(A114,LEN(A114)-1))))))</f>
        <v/>
      </c>
      <c r="F114" s="112">
        <f>IF(E114="","",IF(MONTH((E114+IF(WEEKDAY(E114,2)=6,2,IF(WEEKDAY(E114,2)=7,1,0))))&lt;&gt;MONTH(E114),(E114-IF(WEEKDAY(E114,2)=6,1,IF(WEEKDAY(E114,2)=7,2,0))),(E114+IF(WEEKDAY(E114,2)=6,2,IF(WEEKDAY(E114,2)=7,1,0)))))</f>
        <v/>
      </c>
      <c r="G114" s="84">
        <f>IF(NOT(Bootstrap!$G$4="Test 3"),"",IFERROR(INDEX(Bootstrap!$E$8:$E$72,MATCH(F114,Bootstrap!$B$8:$B$72,0)),""))</f>
        <v/>
      </c>
      <c r="H114" s="160">
        <f>IF(NOT(Bootstrap!$G$4="Test 3"),"",IFERROR(IF(MATCH(F114,Bootstrap!$B$8:$B$72,0)&lt;=15,"short  DFspot/(1+S*tau)","annual (DFspot-S*A)/(1+S*tau)"),""))</f>
        <v/>
      </c>
      <c r="I114" s="80">
        <f>IF(NOT(Bootstrap!$G$4="Test 3"),"",IFERROR(IF(MATCH(F114,Bootstrap!$B$8:$B$72,0)&lt;=15,INDEX(Bootstrap!$D$8:$D$72,MATCH(F114,Bootstrap!$B$8:$B$72,0)),INDEX(Bootstrap!$F$8:$F$72,MATCH(F114,Bootstrap!$B$8:$B$72,0))),""))</f>
        <v/>
      </c>
      <c r="J114" s="76">
        <f>IF(NOT(Bootstrap!$G$4="Test 3"),"",IFERROR(IF(MATCH(F114,Bootstrap!$B$8:$B$72,0)&lt;=15,0,INDEX(Bootstrap!$G$8:$G$72,MATCH(F114,Bootstrap!$B$8:$B$72,0))),""))</f>
        <v/>
      </c>
      <c r="K114" s="76">
        <f>IF(OR(G114="",I114=""),"",Bootstrap!$D$4-(G114/100)*J114)</f>
        <v/>
      </c>
      <c r="L114" s="76">
        <f>IF(OR(G114="",I114=""),"",1+(G114/100)*I114)</f>
        <v/>
      </c>
      <c r="M114" s="76">
        <f>IF(NOT(Bootstrap!$G$4="Test 3"),"",IFERROR(INDEX(Bootstrap!$H$8:$H$72,MATCH(F114,Bootstrap!$B$8:$B$72,0)),""))</f>
        <v/>
      </c>
      <c r="N114" s="80">
        <f>IF(NOT(Bootstrap!$G$4="Test 3"),"",IFERROR(INDEX(Bootstrap!$C$8:$C$72,MATCH(F114,Bootstrap!$B$8:$B$72,0)),""))</f>
        <v/>
      </c>
      <c r="O114" s="84">
        <f>IF(NOT(Bootstrap!$G$4="Test 3"),"",IFERROR(INDEX(Bootstrap!$J$8:$J$72,MATCH(F114,Bootstrap!$B$8:$B$72,0)),""))</f>
        <v/>
      </c>
      <c r="P114" s="89">
        <f>IF(OR(O114="",NOT(ISNUMBER(C114))),"",(O114-C114)*100)</f>
        <v/>
      </c>
      <c r="Q114" s="72">
        <f>IF(OR(M114="",NOT(ISNUMBER(D114))),"",M114-D114)</f>
        <v/>
      </c>
    </row>
    <row r="115">
      <c r="A115" s="68" t="n"/>
      <c r="B115" s="85" t="n"/>
      <c r="C115" s="85" t="n"/>
      <c r="D115" s="69" t="n"/>
      <c r="E115" s="112">
        <f>IF(OR(A115="",$D$106=""),"",IF(RIGHT(A115,1)="W",$D$106+7*VALUE(LEFT(A115,LEN(A115)-1)),IF(RIGHT(A115,1)="M",EDATE($D$106,VALUE(LEFT(A115,LEN(A115)-1))),EDATE($D$106,12*VALUE(LEFT(A115,LEN(A115)-1))))))</f>
        <v/>
      </c>
      <c r="F115" s="112">
        <f>IF(E115="","",IF(MONTH((E115+IF(WEEKDAY(E115,2)=6,2,IF(WEEKDAY(E115,2)=7,1,0))))&lt;&gt;MONTH(E115),(E115-IF(WEEKDAY(E115,2)=6,1,IF(WEEKDAY(E115,2)=7,2,0))),(E115+IF(WEEKDAY(E115,2)=6,2,IF(WEEKDAY(E115,2)=7,1,0)))))</f>
        <v/>
      </c>
      <c r="G115" s="84">
        <f>IF(NOT(Bootstrap!$G$4="Test 3"),"",IFERROR(INDEX(Bootstrap!$E$8:$E$72,MATCH(F115,Bootstrap!$B$8:$B$72,0)),""))</f>
        <v/>
      </c>
      <c r="H115" s="160">
        <f>IF(NOT(Bootstrap!$G$4="Test 3"),"",IFERROR(IF(MATCH(F115,Bootstrap!$B$8:$B$72,0)&lt;=15,"short  DFspot/(1+S*tau)","annual (DFspot-S*A)/(1+S*tau)"),""))</f>
        <v/>
      </c>
      <c r="I115" s="80">
        <f>IF(NOT(Bootstrap!$G$4="Test 3"),"",IFERROR(IF(MATCH(F115,Bootstrap!$B$8:$B$72,0)&lt;=15,INDEX(Bootstrap!$D$8:$D$72,MATCH(F115,Bootstrap!$B$8:$B$72,0)),INDEX(Bootstrap!$F$8:$F$72,MATCH(F115,Bootstrap!$B$8:$B$72,0))),""))</f>
        <v/>
      </c>
      <c r="J115" s="76">
        <f>IF(NOT(Bootstrap!$G$4="Test 3"),"",IFERROR(IF(MATCH(F115,Bootstrap!$B$8:$B$72,0)&lt;=15,0,INDEX(Bootstrap!$G$8:$G$72,MATCH(F115,Bootstrap!$B$8:$B$72,0))),""))</f>
        <v/>
      </c>
      <c r="K115" s="76">
        <f>IF(OR(G115="",I115=""),"",Bootstrap!$D$4-(G115/100)*J115)</f>
        <v/>
      </c>
      <c r="L115" s="76">
        <f>IF(OR(G115="",I115=""),"",1+(G115/100)*I115)</f>
        <v/>
      </c>
      <c r="M115" s="76">
        <f>IF(NOT(Bootstrap!$G$4="Test 3"),"",IFERROR(INDEX(Bootstrap!$H$8:$H$72,MATCH(F115,Bootstrap!$B$8:$B$72,0)),""))</f>
        <v/>
      </c>
      <c r="N115" s="80">
        <f>IF(NOT(Bootstrap!$G$4="Test 3"),"",IFERROR(INDEX(Bootstrap!$C$8:$C$72,MATCH(F115,Bootstrap!$B$8:$B$72,0)),""))</f>
        <v/>
      </c>
      <c r="O115" s="84">
        <f>IF(NOT(Bootstrap!$G$4="Test 3"),"",IFERROR(INDEX(Bootstrap!$J$8:$J$72,MATCH(F115,Bootstrap!$B$8:$B$72,0)),""))</f>
        <v/>
      </c>
      <c r="P115" s="89">
        <f>IF(OR(O115="",NOT(ISNUMBER(C115))),"",(O115-C115)*100)</f>
        <v/>
      </c>
      <c r="Q115" s="72">
        <f>IF(OR(M115="",NOT(ISNUMBER(D115))),"",M115-D115)</f>
        <v/>
      </c>
    </row>
    <row r="116">
      <c r="A116" s="68" t="n"/>
      <c r="B116" s="85" t="n"/>
      <c r="C116" s="85" t="n"/>
      <c r="D116" s="69" t="n"/>
      <c r="E116" s="112">
        <f>IF(OR(A116="",$D$106=""),"",IF(RIGHT(A116,1)="W",$D$106+7*VALUE(LEFT(A116,LEN(A116)-1)),IF(RIGHT(A116,1)="M",EDATE($D$106,VALUE(LEFT(A116,LEN(A116)-1))),EDATE($D$106,12*VALUE(LEFT(A116,LEN(A116)-1))))))</f>
        <v/>
      </c>
      <c r="F116" s="112">
        <f>IF(E116="","",IF(MONTH((E116+IF(WEEKDAY(E116,2)=6,2,IF(WEEKDAY(E116,2)=7,1,0))))&lt;&gt;MONTH(E116),(E116-IF(WEEKDAY(E116,2)=6,1,IF(WEEKDAY(E116,2)=7,2,0))),(E116+IF(WEEKDAY(E116,2)=6,2,IF(WEEKDAY(E116,2)=7,1,0)))))</f>
        <v/>
      </c>
      <c r="G116" s="84">
        <f>IF(NOT(Bootstrap!$G$4="Test 3"),"",IFERROR(INDEX(Bootstrap!$E$8:$E$72,MATCH(F116,Bootstrap!$B$8:$B$72,0)),""))</f>
        <v/>
      </c>
      <c r="H116" s="160">
        <f>IF(NOT(Bootstrap!$G$4="Test 3"),"",IFERROR(IF(MATCH(F116,Bootstrap!$B$8:$B$72,0)&lt;=15,"short  DFspot/(1+S*tau)","annual (DFspot-S*A)/(1+S*tau)"),""))</f>
        <v/>
      </c>
      <c r="I116" s="80">
        <f>IF(NOT(Bootstrap!$G$4="Test 3"),"",IFERROR(IF(MATCH(F116,Bootstrap!$B$8:$B$72,0)&lt;=15,INDEX(Bootstrap!$D$8:$D$72,MATCH(F116,Bootstrap!$B$8:$B$72,0)),INDEX(Bootstrap!$F$8:$F$72,MATCH(F116,Bootstrap!$B$8:$B$72,0))),""))</f>
        <v/>
      </c>
      <c r="J116" s="76">
        <f>IF(NOT(Bootstrap!$G$4="Test 3"),"",IFERROR(IF(MATCH(F116,Bootstrap!$B$8:$B$72,0)&lt;=15,0,INDEX(Bootstrap!$G$8:$G$72,MATCH(F116,Bootstrap!$B$8:$B$72,0))),""))</f>
        <v/>
      </c>
      <c r="K116" s="76">
        <f>IF(OR(G116="",I116=""),"",Bootstrap!$D$4-(G116/100)*J116)</f>
        <v/>
      </c>
      <c r="L116" s="76">
        <f>IF(OR(G116="",I116=""),"",1+(G116/100)*I116)</f>
        <v/>
      </c>
      <c r="M116" s="76">
        <f>IF(NOT(Bootstrap!$G$4="Test 3"),"",IFERROR(INDEX(Bootstrap!$H$8:$H$72,MATCH(F116,Bootstrap!$B$8:$B$72,0)),""))</f>
        <v/>
      </c>
      <c r="N116" s="80">
        <f>IF(NOT(Bootstrap!$G$4="Test 3"),"",IFERROR(INDEX(Bootstrap!$C$8:$C$72,MATCH(F116,Bootstrap!$B$8:$B$72,0)),""))</f>
        <v/>
      </c>
      <c r="O116" s="84">
        <f>IF(NOT(Bootstrap!$G$4="Test 3"),"",IFERROR(INDEX(Bootstrap!$J$8:$J$72,MATCH(F116,Bootstrap!$B$8:$B$72,0)),""))</f>
        <v/>
      </c>
      <c r="P116" s="89">
        <f>IF(OR(O116="",NOT(ISNUMBER(C116))),"",(O116-C116)*100)</f>
        <v/>
      </c>
      <c r="Q116" s="72">
        <f>IF(OR(M116="",NOT(ISNUMBER(D116))),"",M116-D116)</f>
        <v/>
      </c>
    </row>
    <row r="117">
      <c r="A117" s="68" t="n"/>
      <c r="B117" s="85" t="n"/>
      <c r="C117" s="85" t="n"/>
      <c r="D117" s="69" t="n"/>
      <c r="E117" s="112">
        <f>IF(OR(A117="",$D$106=""),"",IF(RIGHT(A117,1)="W",$D$106+7*VALUE(LEFT(A117,LEN(A117)-1)),IF(RIGHT(A117,1)="M",EDATE($D$106,VALUE(LEFT(A117,LEN(A117)-1))),EDATE($D$106,12*VALUE(LEFT(A117,LEN(A117)-1))))))</f>
        <v/>
      </c>
      <c r="F117" s="112">
        <f>IF(E117="","",IF(MONTH((E117+IF(WEEKDAY(E117,2)=6,2,IF(WEEKDAY(E117,2)=7,1,0))))&lt;&gt;MONTH(E117),(E117-IF(WEEKDAY(E117,2)=6,1,IF(WEEKDAY(E117,2)=7,2,0))),(E117+IF(WEEKDAY(E117,2)=6,2,IF(WEEKDAY(E117,2)=7,1,0)))))</f>
        <v/>
      </c>
      <c r="G117" s="84">
        <f>IF(NOT(Bootstrap!$G$4="Test 3"),"",IFERROR(INDEX(Bootstrap!$E$8:$E$72,MATCH(F117,Bootstrap!$B$8:$B$72,0)),""))</f>
        <v/>
      </c>
      <c r="H117" s="160">
        <f>IF(NOT(Bootstrap!$G$4="Test 3"),"",IFERROR(IF(MATCH(F117,Bootstrap!$B$8:$B$72,0)&lt;=15,"short  DFspot/(1+S*tau)","annual (DFspot-S*A)/(1+S*tau)"),""))</f>
        <v/>
      </c>
      <c r="I117" s="80">
        <f>IF(NOT(Bootstrap!$G$4="Test 3"),"",IFERROR(IF(MATCH(F117,Bootstrap!$B$8:$B$72,0)&lt;=15,INDEX(Bootstrap!$D$8:$D$72,MATCH(F117,Bootstrap!$B$8:$B$72,0)),INDEX(Bootstrap!$F$8:$F$72,MATCH(F117,Bootstrap!$B$8:$B$72,0))),""))</f>
        <v/>
      </c>
      <c r="J117" s="76">
        <f>IF(NOT(Bootstrap!$G$4="Test 3"),"",IFERROR(IF(MATCH(F117,Bootstrap!$B$8:$B$72,0)&lt;=15,0,INDEX(Bootstrap!$G$8:$G$72,MATCH(F117,Bootstrap!$B$8:$B$72,0))),""))</f>
        <v/>
      </c>
      <c r="K117" s="76">
        <f>IF(OR(G117="",I117=""),"",Bootstrap!$D$4-(G117/100)*J117)</f>
        <v/>
      </c>
      <c r="L117" s="76">
        <f>IF(OR(G117="",I117=""),"",1+(G117/100)*I117)</f>
        <v/>
      </c>
      <c r="M117" s="76">
        <f>IF(NOT(Bootstrap!$G$4="Test 3"),"",IFERROR(INDEX(Bootstrap!$H$8:$H$72,MATCH(F117,Bootstrap!$B$8:$B$72,0)),""))</f>
        <v/>
      </c>
      <c r="N117" s="80">
        <f>IF(NOT(Bootstrap!$G$4="Test 3"),"",IFERROR(INDEX(Bootstrap!$C$8:$C$72,MATCH(F117,Bootstrap!$B$8:$B$72,0)),""))</f>
        <v/>
      </c>
      <c r="O117" s="84">
        <f>IF(NOT(Bootstrap!$G$4="Test 3"),"",IFERROR(INDEX(Bootstrap!$J$8:$J$72,MATCH(F117,Bootstrap!$B$8:$B$72,0)),""))</f>
        <v/>
      </c>
      <c r="P117" s="89">
        <f>IF(OR(O117="",NOT(ISNUMBER(C117))),"",(O117-C117)*100)</f>
        <v/>
      </c>
      <c r="Q117" s="72">
        <f>IF(OR(M117="",NOT(ISNUMBER(D117))),"",M117-D117)</f>
        <v/>
      </c>
    </row>
    <row r="118">
      <c r="A118" s="68" t="n"/>
      <c r="B118" s="85" t="n"/>
      <c r="C118" s="85" t="n"/>
      <c r="D118" s="69" t="n"/>
      <c r="E118" s="112">
        <f>IF(OR(A118="",$D$106=""),"",IF(RIGHT(A118,1)="W",$D$106+7*VALUE(LEFT(A118,LEN(A118)-1)),IF(RIGHT(A118,1)="M",EDATE($D$106,VALUE(LEFT(A118,LEN(A118)-1))),EDATE($D$106,12*VALUE(LEFT(A118,LEN(A118)-1))))))</f>
        <v/>
      </c>
      <c r="F118" s="112">
        <f>IF(E118="","",IF(MONTH((E118+IF(WEEKDAY(E118,2)=6,2,IF(WEEKDAY(E118,2)=7,1,0))))&lt;&gt;MONTH(E118),(E118-IF(WEEKDAY(E118,2)=6,1,IF(WEEKDAY(E118,2)=7,2,0))),(E118+IF(WEEKDAY(E118,2)=6,2,IF(WEEKDAY(E118,2)=7,1,0)))))</f>
        <v/>
      </c>
      <c r="G118" s="84">
        <f>IF(NOT(Bootstrap!$G$4="Test 3"),"",IFERROR(INDEX(Bootstrap!$E$8:$E$72,MATCH(F118,Bootstrap!$B$8:$B$72,0)),""))</f>
        <v/>
      </c>
      <c r="H118" s="160">
        <f>IF(NOT(Bootstrap!$G$4="Test 3"),"",IFERROR(IF(MATCH(F118,Bootstrap!$B$8:$B$72,0)&lt;=15,"short  DFspot/(1+S*tau)","annual (DFspot-S*A)/(1+S*tau)"),""))</f>
        <v/>
      </c>
      <c r="I118" s="80">
        <f>IF(NOT(Bootstrap!$G$4="Test 3"),"",IFERROR(IF(MATCH(F118,Bootstrap!$B$8:$B$72,0)&lt;=15,INDEX(Bootstrap!$D$8:$D$72,MATCH(F118,Bootstrap!$B$8:$B$72,0)),INDEX(Bootstrap!$F$8:$F$72,MATCH(F118,Bootstrap!$B$8:$B$72,0))),""))</f>
        <v/>
      </c>
      <c r="J118" s="76">
        <f>IF(NOT(Bootstrap!$G$4="Test 3"),"",IFERROR(IF(MATCH(F118,Bootstrap!$B$8:$B$72,0)&lt;=15,0,INDEX(Bootstrap!$G$8:$G$72,MATCH(F118,Bootstrap!$B$8:$B$72,0))),""))</f>
        <v/>
      </c>
      <c r="K118" s="76">
        <f>IF(OR(G118="",I118=""),"",Bootstrap!$D$4-(G118/100)*J118)</f>
        <v/>
      </c>
      <c r="L118" s="76">
        <f>IF(OR(G118="",I118=""),"",1+(G118/100)*I118)</f>
        <v/>
      </c>
      <c r="M118" s="76">
        <f>IF(NOT(Bootstrap!$G$4="Test 3"),"",IFERROR(INDEX(Bootstrap!$H$8:$H$72,MATCH(F118,Bootstrap!$B$8:$B$72,0)),""))</f>
        <v/>
      </c>
      <c r="N118" s="80">
        <f>IF(NOT(Bootstrap!$G$4="Test 3"),"",IFERROR(INDEX(Bootstrap!$C$8:$C$72,MATCH(F118,Bootstrap!$B$8:$B$72,0)),""))</f>
        <v/>
      </c>
      <c r="O118" s="84">
        <f>IF(NOT(Bootstrap!$G$4="Test 3"),"",IFERROR(INDEX(Bootstrap!$J$8:$J$72,MATCH(F118,Bootstrap!$B$8:$B$72,0)),""))</f>
        <v/>
      </c>
      <c r="P118" s="89">
        <f>IF(OR(O118="",NOT(ISNUMBER(C118))),"",(O118-C118)*100)</f>
        <v/>
      </c>
      <c r="Q118" s="72">
        <f>IF(OR(M118="",NOT(ISNUMBER(D118))),"",M118-D118)</f>
        <v/>
      </c>
    </row>
    <row r="119">
      <c r="A119" s="68" t="n"/>
      <c r="B119" s="85" t="n"/>
      <c r="C119" s="85" t="n"/>
      <c r="D119" s="69" t="n"/>
      <c r="E119" s="112">
        <f>IF(OR(A119="",$D$106=""),"",IF(RIGHT(A119,1)="W",$D$106+7*VALUE(LEFT(A119,LEN(A119)-1)),IF(RIGHT(A119,1)="M",EDATE($D$106,VALUE(LEFT(A119,LEN(A119)-1))),EDATE($D$106,12*VALUE(LEFT(A119,LEN(A119)-1))))))</f>
        <v/>
      </c>
      <c r="F119" s="112">
        <f>IF(E119="","",IF(MONTH((E119+IF(WEEKDAY(E119,2)=6,2,IF(WEEKDAY(E119,2)=7,1,0))))&lt;&gt;MONTH(E119),(E119-IF(WEEKDAY(E119,2)=6,1,IF(WEEKDAY(E119,2)=7,2,0))),(E119+IF(WEEKDAY(E119,2)=6,2,IF(WEEKDAY(E119,2)=7,1,0)))))</f>
        <v/>
      </c>
      <c r="G119" s="84">
        <f>IF(NOT(Bootstrap!$G$4="Test 3"),"",IFERROR(INDEX(Bootstrap!$E$8:$E$72,MATCH(F119,Bootstrap!$B$8:$B$72,0)),""))</f>
        <v/>
      </c>
      <c r="H119" s="160">
        <f>IF(NOT(Bootstrap!$G$4="Test 3"),"",IFERROR(IF(MATCH(F119,Bootstrap!$B$8:$B$72,0)&lt;=15,"short  DFspot/(1+S*tau)","annual (DFspot-S*A)/(1+S*tau)"),""))</f>
        <v/>
      </c>
      <c r="I119" s="80">
        <f>IF(NOT(Bootstrap!$G$4="Test 3"),"",IFERROR(IF(MATCH(F119,Bootstrap!$B$8:$B$72,0)&lt;=15,INDEX(Bootstrap!$D$8:$D$72,MATCH(F119,Bootstrap!$B$8:$B$72,0)),INDEX(Bootstrap!$F$8:$F$72,MATCH(F119,Bootstrap!$B$8:$B$72,0))),""))</f>
        <v/>
      </c>
      <c r="J119" s="76">
        <f>IF(NOT(Bootstrap!$G$4="Test 3"),"",IFERROR(IF(MATCH(F119,Bootstrap!$B$8:$B$72,0)&lt;=15,0,INDEX(Bootstrap!$G$8:$G$72,MATCH(F119,Bootstrap!$B$8:$B$72,0))),""))</f>
        <v/>
      </c>
      <c r="K119" s="76">
        <f>IF(OR(G119="",I119=""),"",Bootstrap!$D$4-(G119/100)*J119)</f>
        <v/>
      </c>
      <c r="L119" s="76">
        <f>IF(OR(G119="",I119=""),"",1+(G119/100)*I119)</f>
        <v/>
      </c>
      <c r="M119" s="76">
        <f>IF(NOT(Bootstrap!$G$4="Test 3"),"",IFERROR(INDEX(Bootstrap!$H$8:$H$72,MATCH(F119,Bootstrap!$B$8:$B$72,0)),""))</f>
        <v/>
      </c>
      <c r="N119" s="80">
        <f>IF(NOT(Bootstrap!$G$4="Test 3"),"",IFERROR(INDEX(Bootstrap!$C$8:$C$72,MATCH(F119,Bootstrap!$B$8:$B$72,0)),""))</f>
        <v/>
      </c>
      <c r="O119" s="84">
        <f>IF(NOT(Bootstrap!$G$4="Test 3"),"",IFERROR(INDEX(Bootstrap!$J$8:$J$72,MATCH(F119,Bootstrap!$B$8:$B$72,0)),""))</f>
        <v/>
      </c>
      <c r="P119" s="89">
        <f>IF(OR(O119="",NOT(ISNUMBER(C119))),"",(O119-C119)*100)</f>
        <v/>
      </c>
      <c r="Q119" s="72">
        <f>IF(OR(M119="",NOT(ISNUMBER(D119))),"",M119-D119)</f>
        <v/>
      </c>
    </row>
    <row r="120">
      <c r="A120" s="68" t="n"/>
      <c r="B120" s="85" t="n"/>
      <c r="C120" s="85" t="n"/>
      <c r="D120" s="69" t="n"/>
      <c r="E120" s="112">
        <f>IF(OR(A120="",$D$106=""),"",IF(RIGHT(A120,1)="W",$D$106+7*VALUE(LEFT(A120,LEN(A120)-1)),IF(RIGHT(A120,1)="M",EDATE($D$106,VALUE(LEFT(A120,LEN(A120)-1))),EDATE($D$106,12*VALUE(LEFT(A120,LEN(A120)-1))))))</f>
        <v/>
      </c>
      <c r="F120" s="112">
        <f>IF(E120="","",IF(MONTH((E120+IF(WEEKDAY(E120,2)=6,2,IF(WEEKDAY(E120,2)=7,1,0))))&lt;&gt;MONTH(E120),(E120-IF(WEEKDAY(E120,2)=6,1,IF(WEEKDAY(E120,2)=7,2,0))),(E120+IF(WEEKDAY(E120,2)=6,2,IF(WEEKDAY(E120,2)=7,1,0)))))</f>
        <v/>
      </c>
      <c r="G120" s="84">
        <f>IF(NOT(Bootstrap!$G$4="Test 3"),"",IFERROR(INDEX(Bootstrap!$E$8:$E$72,MATCH(F120,Bootstrap!$B$8:$B$72,0)),""))</f>
        <v/>
      </c>
      <c r="H120" s="160">
        <f>IF(NOT(Bootstrap!$G$4="Test 3"),"",IFERROR(IF(MATCH(F120,Bootstrap!$B$8:$B$72,0)&lt;=15,"short  DFspot/(1+S*tau)","annual (DFspot-S*A)/(1+S*tau)"),""))</f>
        <v/>
      </c>
      <c r="I120" s="80">
        <f>IF(NOT(Bootstrap!$G$4="Test 3"),"",IFERROR(IF(MATCH(F120,Bootstrap!$B$8:$B$72,0)&lt;=15,INDEX(Bootstrap!$D$8:$D$72,MATCH(F120,Bootstrap!$B$8:$B$72,0)),INDEX(Bootstrap!$F$8:$F$72,MATCH(F120,Bootstrap!$B$8:$B$72,0))),""))</f>
        <v/>
      </c>
      <c r="J120" s="76">
        <f>IF(NOT(Bootstrap!$G$4="Test 3"),"",IFERROR(IF(MATCH(F120,Bootstrap!$B$8:$B$72,0)&lt;=15,0,INDEX(Bootstrap!$G$8:$G$72,MATCH(F120,Bootstrap!$B$8:$B$72,0))),""))</f>
        <v/>
      </c>
      <c r="K120" s="76">
        <f>IF(OR(G120="",I120=""),"",Bootstrap!$D$4-(G120/100)*J120)</f>
        <v/>
      </c>
      <c r="L120" s="76">
        <f>IF(OR(G120="",I120=""),"",1+(G120/100)*I120)</f>
        <v/>
      </c>
      <c r="M120" s="76">
        <f>IF(NOT(Bootstrap!$G$4="Test 3"),"",IFERROR(INDEX(Bootstrap!$H$8:$H$72,MATCH(F120,Bootstrap!$B$8:$B$72,0)),""))</f>
        <v/>
      </c>
      <c r="N120" s="80">
        <f>IF(NOT(Bootstrap!$G$4="Test 3"),"",IFERROR(INDEX(Bootstrap!$C$8:$C$72,MATCH(F120,Bootstrap!$B$8:$B$72,0)),""))</f>
        <v/>
      </c>
      <c r="O120" s="84">
        <f>IF(NOT(Bootstrap!$G$4="Test 3"),"",IFERROR(INDEX(Bootstrap!$J$8:$J$72,MATCH(F120,Bootstrap!$B$8:$B$72,0)),""))</f>
        <v/>
      </c>
      <c r="P120" s="89">
        <f>IF(OR(O120="",NOT(ISNUMBER(C120))),"",(O120-C120)*100)</f>
        <v/>
      </c>
      <c r="Q120" s="72">
        <f>IF(OR(M120="",NOT(ISNUMBER(D120))),"",M120-D120)</f>
        <v/>
      </c>
    </row>
    <row r="121">
      <c r="A121" s="68" t="n"/>
      <c r="B121" s="85" t="n"/>
      <c r="C121" s="85" t="n"/>
      <c r="D121" s="69" t="n"/>
      <c r="E121" s="112">
        <f>IF(OR(A121="",$D$106=""),"",IF(RIGHT(A121,1)="W",$D$106+7*VALUE(LEFT(A121,LEN(A121)-1)),IF(RIGHT(A121,1)="M",EDATE($D$106,VALUE(LEFT(A121,LEN(A121)-1))),EDATE($D$106,12*VALUE(LEFT(A121,LEN(A121)-1))))))</f>
        <v/>
      </c>
      <c r="F121" s="112">
        <f>IF(E121="","",IF(MONTH((E121+IF(WEEKDAY(E121,2)=6,2,IF(WEEKDAY(E121,2)=7,1,0))))&lt;&gt;MONTH(E121),(E121-IF(WEEKDAY(E121,2)=6,1,IF(WEEKDAY(E121,2)=7,2,0))),(E121+IF(WEEKDAY(E121,2)=6,2,IF(WEEKDAY(E121,2)=7,1,0)))))</f>
        <v/>
      </c>
      <c r="G121" s="84">
        <f>IF(NOT(Bootstrap!$G$4="Test 3"),"",IFERROR(INDEX(Bootstrap!$E$8:$E$72,MATCH(F121,Bootstrap!$B$8:$B$72,0)),""))</f>
        <v/>
      </c>
      <c r="H121" s="160">
        <f>IF(NOT(Bootstrap!$G$4="Test 3"),"",IFERROR(IF(MATCH(F121,Bootstrap!$B$8:$B$72,0)&lt;=15,"short  DFspot/(1+S*tau)","annual (DFspot-S*A)/(1+S*tau)"),""))</f>
        <v/>
      </c>
      <c r="I121" s="80">
        <f>IF(NOT(Bootstrap!$G$4="Test 3"),"",IFERROR(IF(MATCH(F121,Bootstrap!$B$8:$B$72,0)&lt;=15,INDEX(Bootstrap!$D$8:$D$72,MATCH(F121,Bootstrap!$B$8:$B$72,0)),INDEX(Bootstrap!$F$8:$F$72,MATCH(F121,Bootstrap!$B$8:$B$72,0))),""))</f>
        <v/>
      </c>
      <c r="J121" s="76">
        <f>IF(NOT(Bootstrap!$G$4="Test 3"),"",IFERROR(IF(MATCH(F121,Bootstrap!$B$8:$B$72,0)&lt;=15,0,INDEX(Bootstrap!$G$8:$G$72,MATCH(F121,Bootstrap!$B$8:$B$72,0))),""))</f>
        <v/>
      </c>
      <c r="K121" s="76">
        <f>IF(OR(G121="",I121=""),"",Bootstrap!$D$4-(G121/100)*J121)</f>
        <v/>
      </c>
      <c r="L121" s="76">
        <f>IF(OR(G121="",I121=""),"",1+(G121/100)*I121)</f>
        <v/>
      </c>
      <c r="M121" s="76">
        <f>IF(NOT(Bootstrap!$G$4="Test 3"),"",IFERROR(INDEX(Bootstrap!$H$8:$H$72,MATCH(F121,Bootstrap!$B$8:$B$72,0)),""))</f>
        <v/>
      </c>
      <c r="N121" s="80">
        <f>IF(NOT(Bootstrap!$G$4="Test 3"),"",IFERROR(INDEX(Bootstrap!$C$8:$C$72,MATCH(F121,Bootstrap!$B$8:$B$72,0)),""))</f>
        <v/>
      </c>
      <c r="O121" s="84">
        <f>IF(NOT(Bootstrap!$G$4="Test 3"),"",IFERROR(INDEX(Bootstrap!$J$8:$J$72,MATCH(F121,Bootstrap!$B$8:$B$72,0)),""))</f>
        <v/>
      </c>
      <c r="P121" s="89">
        <f>IF(OR(O121="",NOT(ISNUMBER(C121))),"",(O121-C121)*100)</f>
        <v/>
      </c>
      <c r="Q121" s="72">
        <f>IF(OR(M121="",NOT(ISNUMBER(D121))),"",M121-D121)</f>
        <v/>
      </c>
    </row>
    <row r="122">
      <c r="A122" s="68" t="n"/>
      <c r="B122" s="85" t="n"/>
      <c r="C122" s="85" t="n"/>
      <c r="D122" s="69" t="n"/>
      <c r="E122" s="112">
        <f>IF(OR(A122="",$D$106=""),"",IF(RIGHT(A122,1)="W",$D$106+7*VALUE(LEFT(A122,LEN(A122)-1)),IF(RIGHT(A122,1)="M",EDATE($D$106,VALUE(LEFT(A122,LEN(A122)-1))),EDATE($D$106,12*VALUE(LEFT(A122,LEN(A122)-1))))))</f>
        <v/>
      </c>
      <c r="F122" s="112">
        <f>IF(E122="","",IF(MONTH((E122+IF(WEEKDAY(E122,2)=6,2,IF(WEEKDAY(E122,2)=7,1,0))))&lt;&gt;MONTH(E122),(E122-IF(WEEKDAY(E122,2)=6,1,IF(WEEKDAY(E122,2)=7,2,0))),(E122+IF(WEEKDAY(E122,2)=6,2,IF(WEEKDAY(E122,2)=7,1,0)))))</f>
        <v/>
      </c>
      <c r="G122" s="84">
        <f>IF(NOT(Bootstrap!$G$4="Test 3"),"",IFERROR(INDEX(Bootstrap!$E$8:$E$72,MATCH(F122,Bootstrap!$B$8:$B$72,0)),""))</f>
        <v/>
      </c>
      <c r="H122" s="160">
        <f>IF(NOT(Bootstrap!$G$4="Test 3"),"",IFERROR(IF(MATCH(F122,Bootstrap!$B$8:$B$72,0)&lt;=15,"short  DFspot/(1+S*tau)","annual (DFspot-S*A)/(1+S*tau)"),""))</f>
        <v/>
      </c>
      <c r="I122" s="80">
        <f>IF(NOT(Bootstrap!$G$4="Test 3"),"",IFERROR(IF(MATCH(F122,Bootstrap!$B$8:$B$72,0)&lt;=15,INDEX(Bootstrap!$D$8:$D$72,MATCH(F122,Bootstrap!$B$8:$B$72,0)),INDEX(Bootstrap!$F$8:$F$72,MATCH(F122,Bootstrap!$B$8:$B$72,0))),""))</f>
        <v/>
      </c>
      <c r="J122" s="76">
        <f>IF(NOT(Bootstrap!$G$4="Test 3"),"",IFERROR(IF(MATCH(F122,Bootstrap!$B$8:$B$72,0)&lt;=15,0,INDEX(Bootstrap!$G$8:$G$72,MATCH(F122,Bootstrap!$B$8:$B$72,0))),""))</f>
        <v/>
      </c>
      <c r="K122" s="76">
        <f>IF(OR(G122="",I122=""),"",Bootstrap!$D$4-(G122/100)*J122)</f>
        <v/>
      </c>
      <c r="L122" s="76">
        <f>IF(OR(G122="",I122=""),"",1+(G122/100)*I122)</f>
        <v/>
      </c>
      <c r="M122" s="76">
        <f>IF(NOT(Bootstrap!$G$4="Test 3"),"",IFERROR(INDEX(Bootstrap!$H$8:$H$72,MATCH(F122,Bootstrap!$B$8:$B$72,0)),""))</f>
        <v/>
      </c>
      <c r="N122" s="80">
        <f>IF(NOT(Bootstrap!$G$4="Test 3"),"",IFERROR(INDEX(Bootstrap!$C$8:$C$72,MATCH(F122,Bootstrap!$B$8:$B$72,0)),""))</f>
        <v/>
      </c>
      <c r="O122" s="84">
        <f>IF(NOT(Bootstrap!$G$4="Test 3"),"",IFERROR(INDEX(Bootstrap!$J$8:$J$72,MATCH(F122,Bootstrap!$B$8:$B$72,0)),""))</f>
        <v/>
      </c>
      <c r="P122" s="89">
        <f>IF(OR(O122="",NOT(ISNUMBER(C122))),"",(O122-C122)*100)</f>
        <v/>
      </c>
      <c r="Q122" s="72">
        <f>IF(OR(M122="",NOT(ISNUMBER(D122))),"",M122-D122)</f>
        <v/>
      </c>
    </row>
    <row r="123">
      <c r="A123" s="68" t="n"/>
      <c r="B123" s="85" t="n"/>
      <c r="C123" s="85" t="n"/>
      <c r="D123" s="69" t="n"/>
      <c r="E123" s="112">
        <f>IF(OR(A123="",$D$106=""),"",IF(RIGHT(A123,1)="W",$D$106+7*VALUE(LEFT(A123,LEN(A123)-1)),IF(RIGHT(A123,1)="M",EDATE($D$106,VALUE(LEFT(A123,LEN(A123)-1))),EDATE($D$106,12*VALUE(LEFT(A123,LEN(A123)-1))))))</f>
        <v/>
      </c>
      <c r="F123" s="112">
        <f>IF(E123="","",IF(MONTH((E123+IF(WEEKDAY(E123,2)=6,2,IF(WEEKDAY(E123,2)=7,1,0))))&lt;&gt;MONTH(E123),(E123-IF(WEEKDAY(E123,2)=6,1,IF(WEEKDAY(E123,2)=7,2,0))),(E123+IF(WEEKDAY(E123,2)=6,2,IF(WEEKDAY(E123,2)=7,1,0)))))</f>
        <v/>
      </c>
      <c r="G123" s="84">
        <f>IF(NOT(Bootstrap!$G$4="Test 3"),"",IFERROR(INDEX(Bootstrap!$E$8:$E$72,MATCH(F123,Bootstrap!$B$8:$B$72,0)),""))</f>
        <v/>
      </c>
      <c r="H123" s="160">
        <f>IF(NOT(Bootstrap!$G$4="Test 3"),"",IFERROR(IF(MATCH(F123,Bootstrap!$B$8:$B$72,0)&lt;=15,"short  DFspot/(1+S*tau)","annual (DFspot-S*A)/(1+S*tau)"),""))</f>
        <v/>
      </c>
      <c r="I123" s="80">
        <f>IF(NOT(Bootstrap!$G$4="Test 3"),"",IFERROR(IF(MATCH(F123,Bootstrap!$B$8:$B$72,0)&lt;=15,INDEX(Bootstrap!$D$8:$D$72,MATCH(F123,Bootstrap!$B$8:$B$72,0)),INDEX(Bootstrap!$F$8:$F$72,MATCH(F123,Bootstrap!$B$8:$B$72,0))),""))</f>
        <v/>
      </c>
      <c r="J123" s="76">
        <f>IF(NOT(Bootstrap!$G$4="Test 3"),"",IFERROR(IF(MATCH(F123,Bootstrap!$B$8:$B$72,0)&lt;=15,0,INDEX(Bootstrap!$G$8:$G$72,MATCH(F123,Bootstrap!$B$8:$B$72,0))),""))</f>
        <v/>
      </c>
      <c r="K123" s="76">
        <f>IF(OR(G123="",I123=""),"",Bootstrap!$D$4-(G123/100)*J123)</f>
        <v/>
      </c>
      <c r="L123" s="76">
        <f>IF(OR(G123="",I123=""),"",1+(G123/100)*I123)</f>
        <v/>
      </c>
      <c r="M123" s="76">
        <f>IF(NOT(Bootstrap!$G$4="Test 3"),"",IFERROR(INDEX(Bootstrap!$H$8:$H$72,MATCH(F123,Bootstrap!$B$8:$B$72,0)),""))</f>
        <v/>
      </c>
      <c r="N123" s="80">
        <f>IF(NOT(Bootstrap!$G$4="Test 3"),"",IFERROR(INDEX(Bootstrap!$C$8:$C$72,MATCH(F123,Bootstrap!$B$8:$B$72,0)),""))</f>
        <v/>
      </c>
      <c r="O123" s="84">
        <f>IF(NOT(Bootstrap!$G$4="Test 3"),"",IFERROR(INDEX(Bootstrap!$J$8:$J$72,MATCH(F123,Bootstrap!$B$8:$B$72,0)),""))</f>
        <v/>
      </c>
      <c r="P123" s="89">
        <f>IF(OR(O123="",NOT(ISNUMBER(C123))),"",(O123-C123)*100)</f>
        <v/>
      </c>
      <c r="Q123" s="72">
        <f>IF(OR(M123="",NOT(ISNUMBER(D123))),"",M123-D123)</f>
        <v/>
      </c>
    </row>
    <row r="124">
      <c r="A124" s="68" t="n"/>
      <c r="B124" s="85" t="n"/>
      <c r="C124" s="85" t="n"/>
      <c r="D124" s="69" t="n"/>
      <c r="E124" s="112">
        <f>IF(OR(A124="",$D$106=""),"",IF(RIGHT(A124,1)="W",$D$106+7*VALUE(LEFT(A124,LEN(A124)-1)),IF(RIGHT(A124,1)="M",EDATE($D$106,VALUE(LEFT(A124,LEN(A124)-1))),EDATE($D$106,12*VALUE(LEFT(A124,LEN(A124)-1))))))</f>
        <v/>
      </c>
      <c r="F124" s="112">
        <f>IF(E124="","",IF(MONTH((E124+IF(WEEKDAY(E124,2)=6,2,IF(WEEKDAY(E124,2)=7,1,0))))&lt;&gt;MONTH(E124),(E124-IF(WEEKDAY(E124,2)=6,1,IF(WEEKDAY(E124,2)=7,2,0))),(E124+IF(WEEKDAY(E124,2)=6,2,IF(WEEKDAY(E124,2)=7,1,0)))))</f>
        <v/>
      </c>
      <c r="G124" s="84">
        <f>IF(NOT(Bootstrap!$G$4="Test 3"),"",IFERROR(INDEX(Bootstrap!$E$8:$E$72,MATCH(F124,Bootstrap!$B$8:$B$72,0)),""))</f>
        <v/>
      </c>
      <c r="H124" s="160">
        <f>IF(NOT(Bootstrap!$G$4="Test 3"),"",IFERROR(IF(MATCH(F124,Bootstrap!$B$8:$B$72,0)&lt;=15,"short  DFspot/(1+S*tau)","annual (DFspot-S*A)/(1+S*tau)"),""))</f>
        <v/>
      </c>
      <c r="I124" s="80">
        <f>IF(NOT(Bootstrap!$G$4="Test 3"),"",IFERROR(IF(MATCH(F124,Bootstrap!$B$8:$B$72,0)&lt;=15,INDEX(Bootstrap!$D$8:$D$72,MATCH(F124,Bootstrap!$B$8:$B$72,0)),INDEX(Bootstrap!$F$8:$F$72,MATCH(F124,Bootstrap!$B$8:$B$72,0))),""))</f>
        <v/>
      </c>
      <c r="J124" s="76">
        <f>IF(NOT(Bootstrap!$G$4="Test 3"),"",IFERROR(IF(MATCH(F124,Bootstrap!$B$8:$B$72,0)&lt;=15,0,INDEX(Bootstrap!$G$8:$G$72,MATCH(F124,Bootstrap!$B$8:$B$72,0))),""))</f>
        <v/>
      </c>
      <c r="K124" s="76">
        <f>IF(OR(G124="",I124=""),"",Bootstrap!$D$4-(G124/100)*J124)</f>
        <v/>
      </c>
      <c r="L124" s="76">
        <f>IF(OR(G124="",I124=""),"",1+(G124/100)*I124)</f>
        <v/>
      </c>
      <c r="M124" s="76">
        <f>IF(NOT(Bootstrap!$G$4="Test 3"),"",IFERROR(INDEX(Bootstrap!$H$8:$H$72,MATCH(F124,Bootstrap!$B$8:$B$72,0)),""))</f>
        <v/>
      </c>
      <c r="N124" s="80">
        <f>IF(NOT(Bootstrap!$G$4="Test 3"),"",IFERROR(INDEX(Bootstrap!$C$8:$C$72,MATCH(F124,Bootstrap!$B$8:$B$72,0)),""))</f>
        <v/>
      </c>
      <c r="O124" s="84">
        <f>IF(NOT(Bootstrap!$G$4="Test 3"),"",IFERROR(INDEX(Bootstrap!$J$8:$J$72,MATCH(F124,Bootstrap!$B$8:$B$72,0)),""))</f>
        <v/>
      </c>
      <c r="P124" s="89">
        <f>IF(OR(O124="",NOT(ISNUMBER(C124))),"",(O124-C124)*100)</f>
        <v/>
      </c>
      <c r="Q124" s="72">
        <f>IF(OR(M124="",NOT(ISNUMBER(D124))),"",M124-D124)</f>
        <v/>
      </c>
    </row>
    <row r="125">
      <c r="A125" s="68" t="n"/>
      <c r="B125" s="85" t="n"/>
      <c r="C125" s="85" t="n"/>
      <c r="D125" s="69" t="n"/>
      <c r="E125" s="112">
        <f>IF(OR(A125="",$D$106=""),"",IF(RIGHT(A125,1)="W",$D$106+7*VALUE(LEFT(A125,LEN(A125)-1)),IF(RIGHT(A125,1)="M",EDATE($D$106,VALUE(LEFT(A125,LEN(A125)-1))),EDATE($D$106,12*VALUE(LEFT(A125,LEN(A125)-1))))))</f>
        <v/>
      </c>
      <c r="F125" s="112">
        <f>IF(E125="","",IF(MONTH((E125+IF(WEEKDAY(E125,2)=6,2,IF(WEEKDAY(E125,2)=7,1,0))))&lt;&gt;MONTH(E125),(E125-IF(WEEKDAY(E125,2)=6,1,IF(WEEKDAY(E125,2)=7,2,0))),(E125+IF(WEEKDAY(E125,2)=6,2,IF(WEEKDAY(E125,2)=7,1,0)))))</f>
        <v/>
      </c>
      <c r="G125" s="84">
        <f>IF(NOT(Bootstrap!$G$4="Test 3"),"",IFERROR(INDEX(Bootstrap!$E$8:$E$72,MATCH(F125,Bootstrap!$B$8:$B$72,0)),""))</f>
        <v/>
      </c>
      <c r="H125" s="160">
        <f>IF(NOT(Bootstrap!$G$4="Test 3"),"",IFERROR(IF(MATCH(F125,Bootstrap!$B$8:$B$72,0)&lt;=15,"short  DFspot/(1+S*tau)","annual (DFspot-S*A)/(1+S*tau)"),""))</f>
        <v/>
      </c>
      <c r="I125" s="80">
        <f>IF(NOT(Bootstrap!$G$4="Test 3"),"",IFERROR(IF(MATCH(F125,Bootstrap!$B$8:$B$72,0)&lt;=15,INDEX(Bootstrap!$D$8:$D$72,MATCH(F125,Bootstrap!$B$8:$B$72,0)),INDEX(Bootstrap!$F$8:$F$72,MATCH(F125,Bootstrap!$B$8:$B$72,0))),""))</f>
        <v/>
      </c>
      <c r="J125" s="76">
        <f>IF(NOT(Bootstrap!$G$4="Test 3"),"",IFERROR(IF(MATCH(F125,Bootstrap!$B$8:$B$72,0)&lt;=15,0,INDEX(Bootstrap!$G$8:$G$72,MATCH(F125,Bootstrap!$B$8:$B$72,0))),""))</f>
        <v/>
      </c>
      <c r="K125" s="76">
        <f>IF(OR(G125="",I125=""),"",Bootstrap!$D$4-(G125/100)*J125)</f>
        <v/>
      </c>
      <c r="L125" s="76">
        <f>IF(OR(G125="",I125=""),"",1+(G125/100)*I125)</f>
        <v/>
      </c>
      <c r="M125" s="76">
        <f>IF(NOT(Bootstrap!$G$4="Test 3"),"",IFERROR(INDEX(Bootstrap!$H$8:$H$72,MATCH(F125,Bootstrap!$B$8:$B$72,0)),""))</f>
        <v/>
      </c>
      <c r="N125" s="80">
        <f>IF(NOT(Bootstrap!$G$4="Test 3"),"",IFERROR(INDEX(Bootstrap!$C$8:$C$72,MATCH(F125,Bootstrap!$B$8:$B$72,0)),""))</f>
        <v/>
      </c>
      <c r="O125" s="84">
        <f>IF(NOT(Bootstrap!$G$4="Test 3"),"",IFERROR(INDEX(Bootstrap!$J$8:$J$72,MATCH(F125,Bootstrap!$B$8:$B$72,0)),""))</f>
        <v/>
      </c>
      <c r="P125" s="89">
        <f>IF(OR(O125="",NOT(ISNUMBER(C125))),"",(O125-C125)*100)</f>
        <v/>
      </c>
      <c r="Q125" s="72">
        <f>IF(OR(M125="",NOT(ISNUMBER(D125))),"",M125-D125)</f>
        <v/>
      </c>
    </row>
    <row r="126">
      <c r="A126" s="68" t="n"/>
      <c r="B126" s="85" t="n"/>
      <c r="C126" s="85" t="n"/>
      <c r="D126" s="69" t="n"/>
      <c r="E126" s="112">
        <f>IF(OR(A126="",$D$106=""),"",IF(RIGHT(A126,1)="W",$D$106+7*VALUE(LEFT(A126,LEN(A126)-1)),IF(RIGHT(A126,1)="M",EDATE($D$106,VALUE(LEFT(A126,LEN(A126)-1))),EDATE($D$106,12*VALUE(LEFT(A126,LEN(A126)-1))))))</f>
        <v/>
      </c>
      <c r="F126" s="112">
        <f>IF(E126="","",IF(MONTH((E126+IF(WEEKDAY(E126,2)=6,2,IF(WEEKDAY(E126,2)=7,1,0))))&lt;&gt;MONTH(E126),(E126-IF(WEEKDAY(E126,2)=6,1,IF(WEEKDAY(E126,2)=7,2,0))),(E126+IF(WEEKDAY(E126,2)=6,2,IF(WEEKDAY(E126,2)=7,1,0)))))</f>
        <v/>
      </c>
      <c r="G126" s="84">
        <f>IF(NOT(Bootstrap!$G$4="Test 3"),"",IFERROR(INDEX(Bootstrap!$E$8:$E$72,MATCH(F126,Bootstrap!$B$8:$B$72,0)),""))</f>
        <v/>
      </c>
      <c r="H126" s="160">
        <f>IF(NOT(Bootstrap!$G$4="Test 3"),"",IFERROR(IF(MATCH(F126,Bootstrap!$B$8:$B$72,0)&lt;=15,"short  DFspot/(1+S*tau)","annual (DFspot-S*A)/(1+S*tau)"),""))</f>
        <v/>
      </c>
      <c r="I126" s="80">
        <f>IF(NOT(Bootstrap!$G$4="Test 3"),"",IFERROR(IF(MATCH(F126,Bootstrap!$B$8:$B$72,0)&lt;=15,INDEX(Bootstrap!$D$8:$D$72,MATCH(F126,Bootstrap!$B$8:$B$72,0)),INDEX(Bootstrap!$F$8:$F$72,MATCH(F126,Bootstrap!$B$8:$B$72,0))),""))</f>
        <v/>
      </c>
      <c r="J126" s="76">
        <f>IF(NOT(Bootstrap!$G$4="Test 3"),"",IFERROR(IF(MATCH(F126,Bootstrap!$B$8:$B$72,0)&lt;=15,0,INDEX(Bootstrap!$G$8:$G$72,MATCH(F126,Bootstrap!$B$8:$B$72,0))),""))</f>
        <v/>
      </c>
      <c r="K126" s="76">
        <f>IF(OR(G126="",I126=""),"",Bootstrap!$D$4-(G126/100)*J126)</f>
        <v/>
      </c>
      <c r="L126" s="76">
        <f>IF(OR(G126="",I126=""),"",1+(G126/100)*I126)</f>
        <v/>
      </c>
      <c r="M126" s="76">
        <f>IF(NOT(Bootstrap!$G$4="Test 3"),"",IFERROR(INDEX(Bootstrap!$H$8:$H$72,MATCH(F126,Bootstrap!$B$8:$B$72,0)),""))</f>
        <v/>
      </c>
      <c r="N126" s="80">
        <f>IF(NOT(Bootstrap!$G$4="Test 3"),"",IFERROR(INDEX(Bootstrap!$C$8:$C$72,MATCH(F126,Bootstrap!$B$8:$B$72,0)),""))</f>
        <v/>
      </c>
      <c r="O126" s="84">
        <f>IF(NOT(Bootstrap!$G$4="Test 3"),"",IFERROR(INDEX(Bootstrap!$J$8:$J$72,MATCH(F126,Bootstrap!$B$8:$B$72,0)),""))</f>
        <v/>
      </c>
      <c r="P126" s="89">
        <f>IF(OR(O126="",NOT(ISNUMBER(C126))),"",(O126-C126)*100)</f>
        <v/>
      </c>
      <c r="Q126" s="72">
        <f>IF(OR(M126="",NOT(ISNUMBER(D126))),"",M126-D126)</f>
        <v/>
      </c>
    </row>
    <row r="127">
      <c r="A127" s="68" t="n"/>
      <c r="B127" s="85" t="n"/>
      <c r="C127" s="85" t="n"/>
      <c r="D127" s="69" t="n"/>
      <c r="E127" s="112">
        <f>IF(OR(A127="",$D$106=""),"",IF(RIGHT(A127,1)="W",$D$106+7*VALUE(LEFT(A127,LEN(A127)-1)),IF(RIGHT(A127,1)="M",EDATE($D$106,VALUE(LEFT(A127,LEN(A127)-1))),EDATE($D$106,12*VALUE(LEFT(A127,LEN(A127)-1))))))</f>
        <v/>
      </c>
      <c r="F127" s="112">
        <f>IF(E127="","",IF(MONTH((E127+IF(WEEKDAY(E127,2)=6,2,IF(WEEKDAY(E127,2)=7,1,0))))&lt;&gt;MONTH(E127),(E127-IF(WEEKDAY(E127,2)=6,1,IF(WEEKDAY(E127,2)=7,2,0))),(E127+IF(WEEKDAY(E127,2)=6,2,IF(WEEKDAY(E127,2)=7,1,0)))))</f>
        <v/>
      </c>
      <c r="G127" s="84">
        <f>IF(NOT(Bootstrap!$G$4="Test 3"),"",IFERROR(INDEX(Bootstrap!$E$8:$E$72,MATCH(F127,Bootstrap!$B$8:$B$72,0)),""))</f>
        <v/>
      </c>
      <c r="H127" s="160">
        <f>IF(NOT(Bootstrap!$G$4="Test 3"),"",IFERROR(IF(MATCH(F127,Bootstrap!$B$8:$B$72,0)&lt;=15,"short  DFspot/(1+S*tau)","annual (DFspot-S*A)/(1+S*tau)"),""))</f>
        <v/>
      </c>
      <c r="I127" s="80">
        <f>IF(NOT(Bootstrap!$G$4="Test 3"),"",IFERROR(IF(MATCH(F127,Bootstrap!$B$8:$B$72,0)&lt;=15,INDEX(Bootstrap!$D$8:$D$72,MATCH(F127,Bootstrap!$B$8:$B$72,0)),INDEX(Bootstrap!$F$8:$F$72,MATCH(F127,Bootstrap!$B$8:$B$72,0))),""))</f>
        <v/>
      </c>
      <c r="J127" s="76">
        <f>IF(NOT(Bootstrap!$G$4="Test 3"),"",IFERROR(IF(MATCH(F127,Bootstrap!$B$8:$B$72,0)&lt;=15,0,INDEX(Bootstrap!$G$8:$G$72,MATCH(F127,Bootstrap!$B$8:$B$72,0))),""))</f>
        <v/>
      </c>
      <c r="K127" s="76">
        <f>IF(OR(G127="",I127=""),"",Bootstrap!$D$4-(G127/100)*J127)</f>
        <v/>
      </c>
      <c r="L127" s="76">
        <f>IF(OR(G127="",I127=""),"",1+(G127/100)*I127)</f>
        <v/>
      </c>
      <c r="M127" s="76">
        <f>IF(NOT(Bootstrap!$G$4="Test 3"),"",IFERROR(INDEX(Bootstrap!$H$8:$H$72,MATCH(F127,Bootstrap!$B$8:$B$72,0)),""))</f>
        <v/>
      </c>
      <c r="N127" s="80">
        <f>IF(NOT(Bootstrap!$G$4="Test 3"),"",IFERROR(INDEX(Bootstrap!$C$8:$C$72,MATCH(F127,Bootstrap!$B$8:$B$72,0)),""))</f>
        <v/>
      </c>
      <c r="O127" s="84">
        <f>IF(NOT(Bootstrap!$G$4="Test 3"),"",IFERROR(INDEX(Bootstrap!$J$8:$J$72,MATCH(F127,Bootstrap!$B$8:$B$72,0)),""))</f>
        <v/>
      </c>
      <c r="P127" s="89">
        <f>IF(OR(O127="",NOT(ISNUMBER(C127))),"",(O127-C127)*100)</f>
        <v/>
      </c>
      <c r="Q127" s="72">
        <f>IF(OR(M127="",NOT(ISNUMBER(D127))),"",M127-D127)</f>
        <v/>
      </c>
    </row>
    <row r="128">
      <c r="A128" s="68" t="n"/>
      <c r="B128" s="85" t="n"/>
      <c r="C128" s="85" t="n"/>
      <c r="D128" s="69" t="n"/>
      <c r="E128" s="112">
        <f>IF(OR(A128="",$D$106=""),"",IF(RIGHT(A128,1)="W",$D$106+7*VALUE(LEFT(A128,LEN(A128)-1)),IF(RIGHT(A128,1)="M",EDATE($D$106,VALUE(LEFT(A128,LEN(A128)-1))),EDATE($D$106,12*VALUE(LEFT(A128,LEN(A128)-1))))))</f>
        <v/>
      </c>
      <c r="F128" s="112">
        <f>IF(E128="","",IF(MONTH((E128+IF(WEEKDAY(E128,2)=6,2,IF(WEEKDAY(E128,2)=7,1,0))))&lt;&gt;MONTH(E128),(E128-IF(WEEKDAY(E128,2)=6,1,IF(WEEKDAY(E128,2)=7,2,0))),(E128+IF(WEEKDAY(E128,2)=6,2,IF(WEEKDAY(E128,2)=7,1,0)))))</f>
        <v/>
      </c>
      <c r="G128" s="84">
        <f>IF(NOT(Bootstrap!$G$4="Test 3"),"",IFERROR(INDEX(Bootstrap!$E$8:$E$72,MATCH(F128,Bootstrap!$B$8:$B$72,0)),""))</f>
        <v/>
      </c>
      <c r="H128" s="160">
        <f>IF(NOT(Bootstrap!$G$4="Test 3"),"",IFERROR(IF(MATCH(F128,Bootstrap!$B$8:$B$72,0)&lt;=15,"short  DFspot/(1+S*tau)","annual (DFspot-S*A)/(1+S*tau)"),""))</f>
        <v/>
      </c>
      <c r="I128" s="80">
        <f>IF(NOT(Bootstrap!$G$4="Test 3"),"",IFERROR(IF(MATCH(F128,Bootstrap!$B$8:$B$72,0)&lt;=15,INDEX(Bootstrap!$D$8:$D$72,MATCH(F128,Bootstrap!$B$8:$B$72,0)),INDEX(Bootstrap!$F$8:$F$72,MATCH(F128,Bootstrap!$B$8:$B$72,0))),""))</f>
        <v/>
      </c>
      <c r="J128" s="76">
        <f>IF(NOT(Bootstrap!$G$4="Test 3"),"",IFERROR(IF(MATCH(F128,Bootstrap!$B$8:$B$72,0)&lt;=15,0,INDEX(Bootstrap!$G$8:$G$72,MATCH(F128,Bootstrap!$B$8:$B$72,0))),""))</f>
        <v/>
      </c>
      <c r="K128" s="76">
        <f>IF(OR(G128="",I128=""),"",Bootstrap!$D$4-(G128/100)*J128)</f>
        <v/>
      </c>
      <c r="L128" s="76">
        <f>IF(OR(G128="",I128=""),"",1+(G128/100)*I128)</f>
        <v/>
      </c>
      <c r="M128" s="76">
        <f>IF(NOT(Bootstrap!$G$4="Test 3"),"",IFERROR(INDEX(Bootstrap!$H$8:$H$72,MATCH(F128,Bootstrap!$B$8:$B$72,0)),""))</f>
        <v/>
      </c>
      <c r="N128" s="80">
        <f>IF(NOT(Bootstrap!$G$4="Test 3"),"",IFERROR(INDEX(Bootstrap!$C$8:$C$72,MATCH(F128,Bootstrap!$B$8:$B$72,0)),""))</f>
        <v/>
      </c>
      <c r="O128" s="84">
        <f>IF(NOT(Bootstrap!$G$4="Test 3"),"",IFERROR(INDEX(Bootstrap!$J$8:$J$72,MATCH(F128,Bootstrap!$B$8:$B$72,0)),""))</f>
        <v/>
      </c>
      <c r="P128" s="89">
        <f>IF(OR(O128="",NOT(ISNUMBER(C128))),"",(O128-C128)*100)</f>
        <v/>
      </c>
      <c r="Q128" s="72">
        <f>IF(OR(M128="",NOT(ISNUMBER(D128))),"",M128-D128)</f>
        <v/>
      </c>
    </row>
    <row r="129">
      <c r="A129" s="68" t="n"/>
      <c r="B129" s="85" t="n"/>
      <c r="C129" s="85" t="n"/>
      <c r="D129" s="69" t="n"/>
      <c r="E129" s="112">
        <f>IF(OR(A129="",$D$106=""),"",IF(RIGHT(A129,1)="W",$D$106+7*VALUE(LEFT(A129,LEN(A129)-1)),IF(RIGHT(A129,1)="M",EDATE($D$106,VALUE(LEFT(A129,LEN(A129)-1))),EDATE($D$106,12*VALUE(LEFT(A129,LEN(A129)-1))))))</f>
        <v/>
      </c>
      <c r="F129" s="112">
        <f>IF(E129="","",IF(MONTH((E129+IF(WEEKDAY(E129,2)=6,2,IF(WEEKDAY(E129,2)=7,1,0))))&lt;&gt;MONTH(E129),(E129-IF(WEEKDAY(E129,2)=6,1,IF(WEEKDAY(E129,2)=7,2,0))),(E129+IF(WEEKDAY(E129,2)=6,2,IF(WEEKDAY(E129,2)=7,1,0)))))</f>
        <v/>
      </c>
      <c r="G129" s="84">
        <f>IF(NOT(Bootstrap!$G$4="Test 3"),"",IFERROR(INDEX(Bootstrap!$E$8:$E$72,MATCH(F129,Bootstrap!$B$8:$B$72,0)),""))</f>
        <v/>
      </c>
      <c r="H129" s="160">
        <f>IF(NOT(Bootstrap!$G$4="Test 3"),"",IFERROR(IF(MATCH(F129,Bootstrap!$B$8:$B$72,0)&lt;=15,"short  DFspot/(1+S*tau)","annual (DFspot-S*A)/(1+S*tau)"),""))</f>
        <v/>
      </c>
      <c r="I129" s="80">
        <f>IF(NOT(Bootstrap!$G$4="Test 3"),"",IFERROR(IF(MATCH(F129,Bootstrap!$B$8:$B$72,0)&lt;=15,INDEX(Bootstrap!$D$8:$D$72,MATCH(F129,Bootstrap!$B$8:$B$72,0)),INDEX(Bootstrap!$F$8:$F$72,MATCH(F129,Bootstrap!$B$8:$B$72,0))),""))</f>
        <v/>
      </c>
      <c r="J129" s="76">
        <f>IF(NOT(Bootstrap!$G$4="Test 3"),"",IFERROR(IF(MATCH(F129,Bootstrap!$B$8:$B$72,0)&lt;=15,0,INDEX(Bootstrap!$G$8:$G$72,MATCH(F129,Bootstrap!$B$8:$B$72,0))),""))</f>
        <v/>
      </c>
      <c r="K129" s="76">
        <f>IF(OR(G129="",I129=""),"",Bootstrap!$D$4-(G129/100)*J129)</f>
        <v/>
      </c>
      <c r="L129" s="76">
        <f>IF(OR(G129="",I129=""),"",1+(G129/100)*I129)</f>
        <v/>
      </c>
      <c r="M129" s="76">
        <f>IF(NOT(Bootstrap!$G$4="Test 3"),"",IFERROR(INDEX(Bootstrap!$H$8:$H$72,MATCH(F129,Bootstrap!$B$8:$B$72,0)),""))</f>
        <v/>
      </c>
      <c r="N129" s="80">
        <f>IF(NOT(Bootstrap!$G$4="Test 3"),"",IFERROR(INDEX(Bootstrap!$C$8:$C$72,MATCH(F129,Bootstrap!$B$8:$B$72,0)),""))</f>
        <v/>
      </c>
      <c r="O129" s="84">
        <f>IF(NOT(Bootstrap!$G$4="Test 3"),"",IFERROR(INDEX(Bootstrap!$J$8:$J$72,MATCH(F129,Bootstrap!$B$8:$B$72,0)),""))</f>
        <v/>
      </c>
      <c r="P129" s="89">
        <f>IF(OR(O129="",NOT(ISNUMBER(C129))),"",(O129-C129)*100)</f>
        <v/>
      </c>
      <c r="Q129" s="72">
        <f>IF(OR(M129="",NOT(ISNUMBER(D129))),"",M129-D129)</f>
        <v/>
      </c>
    </row>
    <row r="130">
      <c r="A130" s="68" t="n"/>
      <c r="B130" s="85" t="n"/>
      <c r="C130" s="85" t="n"/>
      <c r="D130" s="69" t="n"/>
      <c r="E130" s="112">
        <f>IF(OR(A130="",$D$106=""),"",IF(RIGHT(A130,1)="W",$D$106+7*VALUE(LEFT(A130,LEN(A130)-1)),IF(RIGHT(A130,1)="M",EDATE($D$106,VALUE(LEFT(A130,LEN(A130)-1))),EDATE($D$106,12*VALUE(LEFT(A130,LEN(A130)-1))))))</f>
        <v/>
      </c>
      <c r="F130" s="112">
        <f>IF(E130="","",IF(MONTH((E130+IF(WEEKDAY(E130,2)=6,2,IF(WEEKDAY(E130,2)=7,1,0))))&lt;&gt;MONTH(E130),(E130-IF(WEEKDAY(E130,2)=6,1,IF(WEEKDAY(E130,2)=7,2,0))),(E130+IF(WEEKDAY(E130,2)=6,2,IF(WEEKDAY(E130,2)=7,1,0)))))</f>
        <v/>
      </c>
      <c r="G130" s="84">
        <f>IF(NOT(Bootstrap!$G$4="Test 3"),"",IFERROR(INDEX(Bootstrap!$E$8:$E$72,MATCH(F130,Bootstrap!$B$8:$B$72,0)),""))</f>
        <v/>
      </c>
      <c r="H130" s="160">
        <f>IF(NOT(Bootstrap!$G$4="Test 3"),"",IFERROR(IF(MATCH(F130,Bootstrap!$B$8:$B$72,0)&lt;=15,"short  DFspot/(1+S*tau)","annual (DFspot-S*A)/(1+S*tau)"),""))</f>
        <v/>
      </c>
      <c r="I130" s="80">
        <f>IF(NOT(Bootstrap!$G$4="Test 3"),"",IFERROR(IF(MATCH(F130,Bootstrap!$B$8:$B$72,0)&lt;=15,INDEX(Bootstrap!$D$8:$D$72,MATCH(F130,Bootstrap!$B$8:$B$72,0)),INDEX(Bootstrap!$F$8:$F$72,MATCH(F130,Bootstrap!$B$8:$B$72,0))),""))</f>
        <v/>
      </c>
      <c r="J130" s="76">
        <f>IF(NOT(Bootstrap!$G$4="Test 3"),"",IFERROR(IF(MATCH(F130,Bootstrap!$B$8:$B$72,0)&lt;=15,0,INDEX(Bootstrap!$G$8:$G$72,MATCH(F130,Bootstrap!$B$8:$B$72,0))),""))</f>
        <v/>
      </c>
      <c r="K130" s="76">
        <f>IF(OR(G130="",I130=""),"",Bootstrap!$D$4-(G130/100)*J130)</f>
        <v/>
      </c>
      <c r="L130" s="76">
        <f>IF(OR(G130="",I130=""),"",1+(G130/100)*I130)</f>
        <v/>
      </c>
      <c r="M130" s="76">
        <f>IF(NOT(Bootstrap!$G$4="Test 3"),"",IFERROR(INDEX(Bootstrap!$H$8:$H$72,MATCH(F130,Bootstrap!$B$8:$B$72,0)),""))</f>
        <v/>
      </c>
      <c r="N130" s="80">
        <f>IF(NOT(Bootstrap!$G$4="Test 3"),"",IFERROR(INDEX(Bootstrap!$C$8:$C$72,MATCH(F130,Bootstrap!$B$8:$B$72,0)),""))</f>
        <v/>
      </c>
      <c r="O130" s="84">
        <f>IF(NOT(Bootstrap!$G$4="Test 3"),"",IFERROR(INDEX(Bootstrap!$J$8:$J$72,MATCH(F130,Bootstrap!$B$8:$B$72,0)),""))</f>
        <v/>
      </c>
      <c r="P130" s="89">
        <f>IF(OR(O130="",NOT(ISNUMBER(C130))),"",(O130-C130)*100)</f>
        <v/>
      </c>
      <c r="Q130" s="72">
        <f>IF(OR(M130="",NOT(ISNUMBER(D130))),"",M130-D130)</f>
        <v/>
      </c>
    </row>
    <row r="131">
      <c r="A131" s="68" t="n"/>
      <c r="B131" s="85" t="n"/>
      <c r="C131" s="85" t="n"/>
      <c r="D131" s="69" t="n"/>
      <c r="E131" s="112">
        <f>IF(OR(A131="",$D$106=""),"",IF(RIGHT(A131,1)="W",$D$106+7*VALUE(LEFT(A131,LEN(A131)-1)),IF(RIGHT(A131,1)="M",EDATE($D$106,VALUE(LEFT(A131,LEN(A131)-1))),EDATE($D$106,12*VALUE(LEFT(A131,LEN(A131)-1))))))</f>
        <v/>
      </c>
      <c r="F131" s="112">
        <f>IF(E131="","",IF(MONTH((E131+IF(WEEKDAY(E131,2)=6,2,IF(WEEKDAY(E131,2)=7,1,0))))&lt;&gt;MONTH(E131),(E131-IF(WEEKDAY(E131,2)=6,1,IF(WEEKDAY(E131,2)=7,2,0))),(E131+IF(WEEKDAY(E131,2)=6,2,IF(WEEKDAY(E131,2)=7,1,0)))))</f>
        <v/>
      </c>
      <c r="G131" s="84">
        <f>IF(NOT(Bootstrap!$G$4="Test 3"),"",IFERROR(INDEX(Bootstrap!$E$8:$E$72,MATCH(F131,Bootstrap!$B$8:$B$72,0)),""))</f>
        <v/>
      </c>
      <c r="H131" s="160">
        <f>IF(NOT(Bootstrap!$G$4="Test 3"),"",IFERROR(IF(MATCH(F131,Bootstrap!$B$8:$B$72,0)&lt;=15,"short  DFspot/(1+S*tau)","annual (DFspot-S*A)/(1+S*tau)"),""))</f>
        <v/>
      </c>
      <c r="I131" s="80">
        <f>IF(NOT(Bootstrap!$G$4="Test 3"),"",IFERROR(IF(MATCH(F131,Bootstrap!$B$8:$B$72,0)&lt;=15,INDEX(Bootstrap!$D$8:$D$72,MATCH(F131,Bootstrap!$B$8:$B$72,0)),INDEX(Bootstrap!$F$8:$F$72,MATCH(F131,Bootstrap!$B$8:$B$72,0))),""))</f>
        <v/>
      </c>
      <c r="J131" s="76">
        <f>IF(NOT(Bootstrap!$G$4="Test 3"),"",IFERROR(IF(MATCH(F131,Bootstrap!$B$8:$B$72,0)&lt;=15,0,INDEX(Bootstrap!$G$8:$G$72,MATCH(F131,Bootstrap!$B$8:$B$72,0))),""))</f>
        <v/>
      </c>
      <c r="K131" s="76">
        <f>IF(OR(G131="",I131=""),"",Bootstrap!$D$4-(G131/100)*J131)</f>
        <v/>
      </c>
      <c r="L131" s="76">
        <f>IF(OR(G131="",I131=""),"",1+(G131/100)*I131)</f>
        <v/>
      </c>
      <c r="M131" s="76">
        <f>IF(NOT(Bootstrap!$G$4="Test 3"),"",IFERROR(INDEX(Bootstrap!$H$8:$H$72,MATCH(F131,Bootstrap!$B$8:$B$72,0)),""))</f>
        <v/>
      </c>
      <c r="N131" s="80">
        <f>IF(NOT(Bootstrap!$G$4="Test 3"),"",IFERROR(INDEX(Bootstrap!$C$8:$C$72,MATCH(F131,Bootstrap!$B$8:$B$72,0)),""))</f>
        <v/>
      </c>
      <c r="O131" s="84">
        <f>IF(NOT(Bootstrap!$G$4="Test 3"),"",IFERROR(INDEX(Bootstrap!$J$8:$J$72,MATCH(F131,Bootstrap!$B$8:$B$72,0)),""))</f>
        <v/>
      </c>
      <c r="P131" s="89">
        <f>IF(OR(O131="",NOT(ISNUMBER(C131))),"",(O131-C131)*100)</f>
        <v/>
      </c>
      <c r="Q131" s="72">
        <f>IF(OR(M131="",NOT(ISNUMBER(D131))),"",M131-D131)</f>
        <v/>
      </c>
    </row>
    <row r="132">
      <c r="A132" s="68" t="n"/>
      <c r="B132" s="85" t="n"/>
      <c r="C132" s="85" t="n"/>
      <c r="D132" s="69" t="n"/>
      <c r="E132" s="112">
        <f>IF(OR(A132="",$D$106=""),"",IF(RIGHT(A132,1)="W",$D$106+7*VALUE(LEFT(A132,LEN(A132)-1)),IF(RIGHT(A132,1)="M",EDATE($D$106,VALUE(LEFT(A132,LEN(A132)-1))),EDATE($D$106,12*VALUE(LEFT(A132,LEN(A132)-1))))))</f>
        <v/>
      </c>
      <c r="F132" s="112">
        <f>IF(E132="","",IF(MONTH((E132+IF(WEEKDAY(E132,2)=6,2,IF(WEEKDAY(E132,2)=7,1,0))))&lt;&gt;MONTH(E132),(E132-IF(WEEKDAY(E132,2)=6,1,IF(WEEKDAY(E132,2)=7,2,0))),(E132+IF(WEEKDAY(E132,2)=6,2,IF(WEEKDAY(E132,2)=7,1,0)))))</f>
        <v/>
      </c>
      <c r="G132" s="84">
        <f>IF(NOT(Bootstrap!$G$4="Test 3"),"",IFERROR(INDEX(Bootstrap!$E$8:$E$72,MATCH(F132,Bootstrap!$B$8:$B$72,0)),""))</f>
        <v/>
      </c>
      <c r="H132" s="160">
        <f>IF(NOT(Bootstrap!$G$4="Test 3"),"",IFERROR(IF(MATCH(F132,Bootstrap!$B$8:$B$72,0)&lt;=15,"short  DFspot/(1+S*tau)","annual (DFspot-S*A)/(1+S*tau)"),""))</f>
        <v/>
      </c>
      <c r="I132" s="80">
        <f>IF(NOT(Bootstrap!$G$4="Test 3"),"",IFERROR(IF(MATCH(F132,Bootstrap!$B$8:$B$72,0)&lt;=15,INDEX(Bootstrap!$D$8:$D$72,MATCH(F132,Bootstrap!$B$8:$B$72,0)),INDEX(Bootstrap!$F$8:$F$72,MATCH(F132,Bootstrap!$B$8:$B$72,0))),""))</f>
        <v/>
      </c>
      <c r="J132" s="76">
        <f>IF(NOT(Bootstrap!$G$4="Test 3"),"",IFERROR(IF(MATCH(F132,Bootstrap!$B$8:$B$72,0)&lt;=15,0,INDEX(Bootstrap!$G$8:$G$72,MATCH(F132,Bootstrap!$B$8:$B$72,0))),""))</f>
        <v/>
      </c>
      <c r="K132" s="76">
        <f>IF(OR(G132="",I132=""),"",Bootstrap!$D$4-(G132/100)*J132)</f>
        <v/>
      </c>
      <c r="L132" s="76">
        <f>IF(OR(G132="",I132=""),"",1+(G132/100)*I132)</f>
        <v/>
      </c>
      <c r="M132" s="76">
        <f>IF(NOT(Bootstrap!$G$4="Test 3"),"",IFERROR(INDEX(Bootstrap!$H$8:$H$72,MATCH(F132,Bootstrap!$B$8:$B$72,0)),""))</f>
        <v/>
      </c>
      <c r="N132" s="80">
        <f>IF(NOT(Bootstrap!$G$4="Test 3"),"",IFERROR(INDEX(Bootstrap!$C$8:$C$72,MATCH(F132,Bootstrap!$B$8:$B$72,0)),""))</f>
        <v/>
      </c>
      <c r="O132" s="84">
        <f>IF(NOT(Bootstrap!$G$4="Test 3"),"",IFERROR(INDEX(Bootstrap!$J$8:$J$72,MATCH(F132,Bootstrap!$B$8:$B$72,0)),""))</f>
        <v/>
      </c>
      <c r="P132" s="89">
        <f>IF(OR(O132="",NOT(ISNUMBER(C132))),"",(O132-C132)*100)</f>
        <v/>
      </c>
      <c r="Q132" s="72">
        <f>IF(OR(M132="",NOT(ISNUMBER(D132))),"",M132-D132)</f>
        <v/>
      </c>
    </row>
    <row r="133">
      <c r="A133" s="68" t="n"/>
      <c r="B133" s="85" t="n"/>
      <c r="C133" s="85" t="n"/>
      <c r="D133" s="69" t="n"/>
      <c r="E133" s="112">
        <f>IF(OR(A133="",$D$106=""),"",IF(RIGHT(A133,1)="W",$D$106+7*VALUE(LEFT(A133,LEN(A133)-1)),IF(RIGHT(A133,1)="M",EDATE($D$106,VALUE(LEFT(A133,LEN(A133)-1))),EDATE($D$106,12*VALUE(LEFT(A133,LEN(A133)-1))))))</f>
        <v/>
      </c>
      <c r="F133" s="112">
        <f>IF(E133="","",IF(MONTH((E133+IF(WEEKDAY(E133,2)=6,2,IF(WEEKDAY(E133,2)=7,1,0))))&lt;&gt;MONTH(E133),(E133-IF(WEEKDAY(E133,2)=6,1,IF(WEEKDAY(E133,2)=7,2,0))),(E133+IF(WEEKDAY(E133,2)=6,2,IF(WEEKDAY(E133,2)=7,1,0)))))</f>
        <v/>
      </c>
      <c r="G133" s="84">
        <f>IF(NOT(Bootstrap!$G$4="Test 3"),"",IFERROR(INDEX(Bootstrap!$E$8:$E$72,MATCH(F133,Bootstrap!$B$8:$B$72,0)),""))</f>
        <v/>
      </c>
      <c r="H133" s="160">
        <f>IF(NOT(Bootstrap!$G$4="Test 3"),"",IFERROR(IF(MATCH(F133,Bootstrap!$B$8:$B$72,0)&lt;=15,"short  DFspot/(1+S*tau)","annual (DFspot-S*A)/(1+S*tau)"),""))</f>
        <v/>
      </c>
      <c r="I133" s="80">
        <f>IF(NOT(Bootstrap!$G$4="Test 3"),"",IFERROR(IF(MATCH(F133,Bootstrap!$B$8:$B$72,0)&lt;=15,INDEX(Bootstrap!$D$8:$D$72,MATCH(F133,Bootstrap!$B$8:$B$72,0)),INDEX(Bootstrap!$F$8:$F$72,MATCH(F133,Bootstrap!$B$8:$B$72,0))),""))</f>
        <v/>
      </c>
      <c r="J133" s="76">
        <f>IF(NOT(Bootstrap!$G$4="Test 3"),"",IFERROR(IF(MATCH(F133,Bootstrap!$B$8:$B$72,0)&lt;=15,0,INDEX(Bootstrap!$G$8:$G$72,MATCH(F133,Bootstrap!$B$8:$B$72,0))),""))</f>
        <v/>
      </c>
      <c r="K133" s="76">
        <f>IF(OR(G133="",I133=""),"",Bootstrap!$D$4-(G133/100)*J133)</f>
        <v/>
      </c>
      <c r="L133" s="76">
        <f>IF(OR(G133="",I133=""),"",1+(G133/100)*I133)</f>
        <v/>
      </c>
      <c r="M133" s="76">
        <f>IF(NOT(Bootstrap!$G$4="Test 3"),"",IFERROR(INDEX(Bootstrap!$H$8:$H$72,MATCH(F133,Bootstrap!$B$8:$B$72,0)),""))</f>
        <v/>
      </c>
      <c r="N133" s="80">
        <f>IF(NOT(Bootstrap!$G$4="Test 3"),"",IFERROR(INDEX(Bootstrap!$C$8:$C$72,MATCH(F133,Bootstrap!$B$8:$B$72,0)),""))</f>
        <v/>
      </c>
      <c r="O133" s="84">
        <f>IF(NOT(Bootstrap!$G$4="Test 3"),"",IFERROR(INDEX(Bootstrap!$J$8:$J$72,MATCH(F133,Bootstrap!$B$8:$B$72,0)),""))</f>
        <v/>
      </c>
      <c r="P133" s="89">
        <f>IF(OR(O133="",NOT(ISNUMBER(C133))),"",(O133-C133)*100)</f>
        <v/>
      </c>
      <c r="Q133" s="72">
        <f>IF(OR(M133="",NOT(ISNUMBER(D133))),"",M133-D133)</f>
        <v/>
      </c>
    </row>
    <row r="134">
      <c r="A134" s="68" t="n"/>
      <c r="B134" s="85" t="n"/>
      <c r="C134" s="85" t="n"/>
      <c r="D134" s="69" t="n"/>
      <c r="E134" s="112">
        <f>IF(OR(A134="",$D$106=""),"",IF(RIGHT(A134,1)="W",$D$106+7*VALUE(LEFT(A134,LEN(A134)-1)),IF(RIGHT(A134,1)="M",EDATE($D$106,VALUE(LEFT(A134,LEN(A134)-1))),EDATE($D$106,12*VALUE(LEFT(A134,LEN(A134)-1))))))</f>
        <v/>
      </c>
      <c r="F134" s="112">
        <f>IF(E134="","",IF(MONTH((E134+IF(WEEKDAY(E134,2)=6,2,IF(WEEKDAY(E134,2)=7,1,0))))&lt;&gt;MONTH(E134),(E134-IF(WEEKDAY(E134,2)=6,1,IF(WEEKDAY(E134,2)=7,2,0))),(E134+IF(WEEKDAY(E134,2)=6,2,IF(WEEKDAY(E134,2)=7,1,0)))))</f>
        <v/>
      </c>
      <c r="G134" s="84">
        <f>IF(NOT(Bootstrap!$G$4="Test 3"),"",IFERROR(INDEX(Bootstrap!$E$8:$E$72,MATCH(F134,Bootstrap!$B$8:$B$72,0)),""))</f>
        <v/>
      </c>
      <c r="H134" s="160">
        <f>IF(NOT(Bootstrap!$G$4="Test 3"),"",IFERROR(IF(MATCH(F134,Bootstrap!$B$8:$B$72,0)&lt;=15,"short  DFspot/(1+S*tau)","annual (DFspot-S*A)/(1+S*tau)"),""))</f>
        <v/>
      </c>
      <c r="I134" s="80">
        <f>IF(NOT(Bootstrap!$G$4="Test 3"),"",IFERROR(IF(MATCH(F134,Bootstrap!$B$8:$B$72,0)&lt;=15,INDEX(Bootstrap!$D$8:$D$72,MATCH(F134,Bootstrap!$B$8:$B$72,0)),INDEX(Bootstrap!$F$8:$F$72,MATCH(F134,Bootstrap!$B$8:$B$72,0))),""))</f>
        <v/>
      </c>
      <c r="J134" s="76">
        <f>IF(NOT(Bootstrap!$G$4="Test 3"),"",IFERROR(IF(MATCH(F134,Bootstrap!$B$8:$B$72,0)&lt;=15,0,INDEX(Bootstrap!$G$8:$G$72,MATCH(F134,Bootstrap!$B$8:$B$72,0))),""))</f>
        <v/>
      </c>
      <c r="K134" s="76">
        <f>IF(OR(G134="",I134=""),"",Bootstrap!$D$4-(G134/100)*J134)</f>
        <v/>
      </c>
      <c r="L134" s="76">
        <f>IF(OR(G134="",I134=""),"",1+(G134/100)*I134)</f>
        <v/>
      </c>
      <c r="M134" s="76">
        <f>IF(NOT(Bootstrap!$G$4="Test 3"),"",IFERROR(INDEX(Bootstrap!$H$8:$H$72,MATCH(F134,Bootstrap!$B$8:$B$72,0)),""))</f>
        <v/>
      </c>
      <c r="N134" s="80">
        <f>IF(NOT(Bootstrap!$G$4="Test 3"),"",IFERROR(INDEX(Bootstrap!$C$8:$C$72,MATCH(F134,Bootstrap!$B$8:$B$72,0)),""))</f>
        <v/>
      </c>
      <c r="O134" s="84">
        <f>IF(NOT(Bootstrap!$G$4="Test 3"),"",IFERROR(INDEX(Bootstrap!$J$8:$J$72,MATCH(F134,Bootstrap!$B$8:$B$72,0)),""))</f>
        <v/>
      </c>
      <c r="P134" s="89">
        <f>IF(OR(O134="",NOT(ISNUMBER(C134))),"",(O134-C134)*100)</f>
        <v/>
      </c>
      <c r="Q134" s="72">
        <f>IF(OR(M134="",NOT(ISNUMBER(D134))),"",M134-D134)</f>
        <v/>
      </c>
    </row>
    <row r="135">
      <c r="A135" s="68" t="n"/>
      <c r="B135" s="85" t="n"/>
      <c r="C135" s="85" t="n"/>
      <c r="D135" s="69" t="n"/>
      <c r="E135" s="112">
        <f>IF(OR(A135="",$D$106=""),"",IF(RIGHT(A135,1)="W",$D$106+7*VALUE(LEFT(A135,LEN(A135)-1)),IF(RIGHT(A135,1)="M",EDATE($D$106,VALUE(LEFT(A135,LEN(A135)-1))),EDATE($D$106,12*VALUE(LEFT(A135,LEN(A135)-1))))))</f>
        <v/>
      </c>
      <c r="F135" s="112">
        <f>IF(E135="","",IF(MONTH((E135+IF(WEEKDAY(E135,2)=6,2,IF(WEEKDAY(E135,2)=7,1,0))))&lt;&gt;MONTH(E135),(E135-IF(WEEKDAY(E135,2)=6,1,IF(WEEKDAY(E135,2)=7,2,0))),(E135+IF(WEEKDAY(E135,2)=6,2,IF(WEEKDAY(E135,2)=7,1,0)))))</f>
        <v/>
      </c>
      <c r="G135" s="84">
        <f>IF(NOT(Bootstrap!$G$4="Test 3"),"",IFERROR(INDEX(Bootstrap!$E$8:$E$72,MATCH(F135,Bootstrap!$B$8:$B$72,0)),""))</f>
        <v/>
      </c>
      <c r="H135" s="160">
        <f>IF(NOT(Bootstrap!$G$4="Test 3"),"",IFERROR(IF(MATCH(F135,Bootstrap!$B$8:$B$72,0)&lt;=15,"short  DFspot/(1+S*tau)","annual (DFspot-S*A)/(1+S*tau)"),""))</f>
        <v/>
      </c>
      <c r="I135" s="80">
        <f>IF(NOT(Bootstrap!$G$4="Test 3"),"",IFERROR(IF(MATCH(F135,Bootstrap!$B$8:$B$72,0)&lt;=15,INDEX(Bootstrap!$D$8:$D$72,MATCH(F135,Bootstrap!$B$8:$B$72,0)),INDEX(Bootstrap!$F$8:$F$72,MATCH(F135,Bootstrap!$B$8:$B$72,0))),""))</f>
        <v/>
      </c>
      <c r="J135" s="76">
        <f>IF(NOT(Bootstrap!$G$4="Test 3"),"",IFERROR(IF(MATCH(F135,Bootstrap!$B$8:$B$72,0)&lt;=15,0,INDEX(Bootstrap!$G$8:$G$72,MATCH(F135,Bootstrap!$B$8:$B$72,0))),""))</f>
        <v/>
      </c>
      <c r="K135" s="76">
        <f>IF(OR(G135="",I135=""),"",Bootstrap!$D$4-(G135/100)*J135)</f>
        <v/>
      </c>
      <c r="L135" s="76">
        <f>IF(OR(G135="",I135=""),"",1+(G135/100)*I135)</f>
        <v/>
      </c>
      <c r="M135" s="76">
        <f>IF(NOT(Bootstrap!$G$4="Test 3"),"",IFERROR(INDEX(Bootstrap!$H$8:$H$72,MATCH(F135,Bootstrap!$B$8:$B$72,0)),""))</f>
        <v/>
      </c>
      <c r="N135" s="80">
        <f>IF(NOT(Bootstrap!$G$4="Test 3"),"",IFERROR(INDEX(Bootstrap!$C$8:$C$72,MATCH(F135,Bootstrap!$B$8:$B$72,0)),""))</f>
        <v/>
      </c>
      <c r="O135" s="84">
        <f>IF(NOT(Bootstrap!$G$4="Test 3"),"",IFERROR(INDEX(Bootstrap!$J$8:$J$72,MATCH(F135,Bootstrap!$B$8:$B$72,0)),""))</f>
        <v/>
      </c>
      <c r="P135" s="89">
        <f>IF(OR(O135="",NOT(ISNUMBER(C135))),"",(O135-C135)*100)</f>
        <v/>
      </c>
      <c r="Q135" s="72">
        <f>IF(OR(M135="",NOT(ISNUMBER(D135))),"",M135-D135)</f>
        <v/>
      </c>
    </row>
    <row r="136">
      <c r="A136" s="68" t="n"/>
      <c r="B136" s="85" t="n"/>
      <c r="C136" s="85" t="n"/>
      <c r="D136" s="69" t="n"/>
      <c r="E136" s="112">
        <f>IF(OR(A136="",$D$106=""),"",IF(RIGHT(A136,1)="W",$D$106+7*VALUE(LEFT(A136,LEN(A136)-1)),IF(RIGHT(A136,1)="M",EDATE($D$106,VALUE(LEFT(A136,LEN(A136)-1))),EDATE($D$106,12*VALUE(LEFT(A136,LEN(A136)-1))))))</f>
        <v/>
      </c>
      <c r="F136" s="112">
        <f>IF(E136="","",IF(MONTH((E136+IF(WEEKDAY(E136,2)=6,2,IF(WEEKDAY(E136,2)=7,1,0))))&lt;&gt;MONTH(E136),(E136-IF(WEEKDAY(E136,2)=6,1,IF(WEEKDAY(E136,2)=7,2,0))),(E136+IF(WEEKDAY(E136,2)=6,2,IF(WEEKDAY(E136,2)=7,1,0)))))</f>
        <v/>
      </c>
      <c r="G136" s="84">
        <f>IF(NOT(Bootstrap!$G$4="Test 3"),"",IFERROR(INDEX(Bootstrap!$E$8:$E$72,MATCH(F136,Bootstrap!$B$8:$B$72,0)),""))</f>
        <v/>
      </c>
      <c r="H136" s="160">
        <f>IF(NOT(Bootstrap!$G$4="Test 3"),"",IFERROR(IF(MATCH(F136,Bootstrap!$B$8:$B$72,0)&lt;=15,"short  DFspot/(1+S*tau)","annual (DFspot-S*A)/(1+S*tau)"),""))</f>
        <v/>
      </c>
      <c r="I136" s="80">
        <f>IF(NOT(Bootstrap!$G$4="Test 3"),"",IFERROR(IF(MATCH(F136,Bootstrap!$B$8:$B$72,0)&lt;=15,INDEX(Bootstrap!$D$8:$D$72,MATCH(F136,Bootstrap!$B$8:$B$72,0)),INDEX(Bootstrap!$F$8:$F$72,MATCH(F136,Bootstrap!$B$8:$B$72,0))),""))</f>
        <v/>
      </c>
      <c r="J136" s="76">
        <f>IF(NOT(Bootstrap!$G$4="Test 3"),"",IFERROR(IF(MATCH(F136,Bootstrap!$B$8:$B$72,0)&lt;=15,0,INDEX(Bootstrap!$G$8:$G$72,MATCH(F136,Bootstrap!$B$8:$B$72,0))),""))</f>
        <v/>
      </c>
      <c r="K136" s="76">
        <f>IF(OR(G136="",I136=""),"",Bootstrap!$D$4-(G136/100)*J136)</f>
        <v/>
      </c>
      <c r="L136" s="76">
        <f>IF(OR(G136="",I136=""),"",1+(G136/100)*I136)</f>
        <v/>
      </c>
      <c r="M136" s="76">
        <f>IF(NOT(Bootstrap!$G$4="Test 3"),"",IFERROR(INDEX(Bootstrap!$H$8:$H$72,MATCH(F136,Bootstrap!$B$8:$B$72,0)),""))</f>
        <v/>
      </c>
      <c r="N136" s="80">
        <f>IF(NOT(Bootstrap!$G$4="Test 3"),"",IFERROR(INDEX(Bootstrap!$C$8:$C$72,MATCH(F136,Bootstrap!$B$8:$B$72,0)),""))</f>
        <v/>
      </c>
      <c r="O136" s="84">
        <f>IF(NOT(Bootstrap!$G$4="Test 3"),"",IFERROR(INDEX(Bootstrap!$J$8:$J$72,MATCH(F136,Bootstrap!$B$8:$B$72,0)),""))</f>
        <v/>
      </c>
      <c r="P136" s="89">
        <f>IF(OR(O136="",NOT(ISNUMBER(C136))),"",(O136-C136)*100)</f>
        <v/>
      </c>
      <c r="Q136" s="72">
        <f>IF(OR(M136="",NOT(ISNUMBER(D136))),"",M136-D136)</f>
        <v/>
      </c>
    </row>
    <row r="137">
      <c r="A137" s="68" t="n"/>
      <c r="B137" s="85" t="n"/>
      <c r="C137" s="85" t="n"/>
      <c r="D137" s="69" t="n"/>
      <c r="E137" s="112">
        <f>IF(OR(A137="",$D$106=""),"",IF(RIGHT(A137,1)="W",$D$106+7*VALUE(LEFT(A137,LEN(A137)-1)),IF(RIGHT(A137,1)="M",EDATE($D$106,VALUE(LEFT(A137,LEN(A137)-1))),EDATE($D$106,12*VALUE(LEFT(A137,LEN(A137)-1))))))</f>
        <v/>
      </c>
      <c r="F137" s="112">
        <f>IF(E137="","",IF(MONTH((E137+IF(WEEKDAY(E137,2)=6,2,IF(WEEKDAY(E137,2)=7,1,0))))&lt;&gt;MONTH(E137),(E137-IF(WEEKDAY(E137,2)=6,1,IF(WEEKDAY(E137,2)=7,2,0))),(E137+IF(WEEKDAY(E137,2)=6,2,IF(WEEKDAY(E137,2)=7,1,0)))))</f>
        <v/>
      </c>
      <c r="G137" s="84">
        <f>IF(NOT(Bootstrap!$G$4="Test 3"),"",IFERROR(INDEX(Bootstrap!$E$8:$E$72,MATCH(F137,Bootstrap!$B$8:$B$72,0)),""))</f>
        <v/>
      </c>
      <c r="H137" s="160">
        <f>IF(NOT(Bootstrap!$G$4="Test 3"),"",IFERROR(IF(MATCH(F137,Bootstrap!$B$8:$B$72,0)&lt;=15,"short  DFspot/(1+S*tau)","annual (DFspot-S*A)/(1+S*tau)"),""))</f>
        <v/>
      </c>
      <c r="I137" s="80">
        <f>IF(NOT(Bootstrap!$G$4="Test 3"),"",IFERROR(IF(MATCH(F137,Bootstrap!$B$8:$B$72,0)&lt;=15,INDEX(Bootstrap!$D$8:$D$72,MATCH(F137,Bootstrap!$B$8:$B$72,0)),INDEX(Bootstrap!$F$8:$F$72,MATCH(F137,Bootstrap!$B$8:$B$72,0))),""))</f>
        <v/>
      </c>
      <c r="J137" s="76">
        <f>IF(NOT(Bootstrap!$G$4="Test 3"),"",IFERROR(IF(MATCH(F137,Bootstrap!$B$8:$B$72,0)&lt;=15,0,INDEX(Bootstrap!$G$8:$G$72,MATCH(F137,Bootstrap!$B$8:$B$72,0))),""))</f>
        <v/>
      </c>
      <c r="K137" s="76">
        <f>IF(OR(G137="",I137=""),"",Bootstrap!$D$4-(G137/100)*J137)</f>
        <v/>
      </c>
      <c r="L137" s="76">
        <f>IF(OR(G137="",I137=""),"",1+(G137/100)*I137)</f>
        <v/>
      </c>
      <c r="M137" s="76">
        <f>IF(NOT(Bootstrap!$G$4="Test 3"),"",IFERROR(INDEX(Bootstrap!$H$8:$H$72,MATCH(F137,Bootstrap!$B$8:$B$72,0)),""))</f>
        <v/>
      </c>
      <c r="N137" s="80">
        <f>IF(NOT(Bootstrap!$G$4="Test 3"),"",IFERROR(INDEX(Bootstrap!$C$8:$C$72,MATCH(F137,Bootstrap!$B$8:$B$72,0)),""))</f>
        <v/>
      </c>
      <c r="O137" s="84">
        <f>IF(NOT(Bootstrap!$G$4="Test 3"),"",IFERROR(INDEX(Bootstrap!$J$8:$J$72,MATCH(F137,Bootstrap!$B$8:$B$72,0)),""))</f>
        <v/>
      </c>
      <c r="P137" s="89">
        <f>IF(OR(O137="",NOT(ISNUMBER(C137))),"",(O137-C137)*100)</f>
        <v/>
      </c>
      <c r="Q137" s="72">
        <f>IF(OR(M137="",NOT(ISNUMBER(D137))),"",M137-D137)</f>
        <v/>
      </c>
    </row>
    <row r="138">
      <c r="A138" s="68" t="n"/>
      <c r="B138" s="85" t="n"/>
      <c r="C138" s="85" t="n"/>
      <c r="D138" s="69" t="n"/>
      <c r="E138" s="112">
        <f>IF(OR(A138="",$D$106=""),"",IF(RIGHT(A138,1)="W",$D$106+7*VALUE(LEFT(A138,LEN(A138)-1)),IF(RIGHT(A138,1)="M",EDATE($D$106,VALUE(LEFT(A138,LEN(A138)-1))),EDATE($D$106,12*VALUE(LEFT(A138,LEN(A138)-1))))))</f>
        <v/>
      </c>
      <c r="F138" s="112">
        <f>IF(E138="","",IF(MONTH((E138+IF(WEEKDAY(E138,2)=6,2,IF(WEEKDAY(E138,2)=7,1,0))))&lt;&gt;MONTH(E138),(E138-IF(WEEKDAY(E138,2)=6,1,IF(WEEKDAY(E138,2)=7,2,0))),(E138+IF(WEEKDAY(E138,2)=6,2,IF(WEEKDAY(E138,2)=7,1,0)))))</f>
        <v/>
      </c>
      <c r="G138" s="84">
        <f>IF(NOT(Bootstrap!$G$4="Test 3"),"",IFERROR(INDEX(Bootstrap!$E$8:$E$72,MATCH(F138,Bootstrap!$B$8:$B$72,0)),""))</f>
        <v/>
      </c>
      <c r="H138" s="160">
        <f>IF(NOT(Bootstrap!$G$4="Test 3"),"",IFERROR(IF(MATCH(F138,Bootstrap!$B$8:$B$72,0)&lt;=15,"short  DFspot/(1+S*tau)","annual (DFspot-S*A)/(1+S*tau)"),""))</f>
        <v/>
      </c>
      <c r="I138" s="80">
        <f>IF(NOT(Bootstrap!$G$4="Test 3"),"",IFERROR(IF(MATCH(F138,Bootstrap!$B$8:$B$72,0)&lt;=15,INDEX(Bootstrap!$D$8:$D$72,MATCH(F138,Bootstrap!$B$8:$B$72,0)),INDEX(Bootstrap!$F$8:$F$72,MATCH(F138,Bootstrap!$B$8:$B$72,0))),""))</f>
        <v/>
      </c>
      <c r="J138" s="76">
        <f>IF(NOT(Bootstrap!$G$4="Test 3"),"",IFERROR(IF(MATCH(F138,Bootstrap!$B$8:$B$72,0)&lt;=15,0,INDEX(Bootstrap!$G$8:$G$72,MATCH(F138,Bootstrap!$B$8:$B$72,0))),""))</f>
        <v/>
      </c>
      <c r="K138" s="76">
        <f>IF(OR(G138="",I138=""),"",Bootstrap!$D$4-(G138/100)*J138)</f>
        <v/>
      </c>
      <c r="L138" s="76">
        <f>IF(OR(G138="",I138=""),"",1+(G138/100)*I138)</f>
        <v/>
      </c>
      <c r="M138" s="76">
        <f>IF(NOT(Bootstrap!$G$4="Test 3"),"",IFERROR(INDEX(Bootstrap!$H$8:$H$72,MATCH(F138,Bootstrap!$B$8:$B$72,0)),""))</f>
        <v/>
      </c>
      <c r="N138" s="80">
        <f>IF(NOT(Bootstrap!$G$4="Test 3"),"",IFERROR(INDEX(Bootstrap!$C$8:$C$72,MATCH(F138,Bootstrap!$B$8:$B$72,0)),""))</f>
        <v/>
      </c>
      <c r="O138" s="84">
        <f>IF(NOT(Bootstrap!$G$4="Test 3"),"",IFERROR(INDEX(Bootstrap!$J$8:$J$72,MATCH(F138,Bootstrap!$B$8:$B$72,0)),""))</f>
        <v/>
      </c>
      <c r="P138" s="89">
        <f>IF(OR(O138="",NOT(ISNUMBER(C138))),"",(O138-C138)*100)</f>
        <v/>
      </c>
      <c r="Q138" s="72">
        <f>IF(OR(M138="",NOT(ISNUMBER(D138))),"",M138-D138)</f>
        <v/>
      </c>
    </row>
    <row r="139">
      <c r="A139" s="68" t="n"/>
      <c r="B139" s="85" t="n"/>
      <c r="C139" s="85" t="n"/>
      <c r="D139" s="69" t="n"/>
      <c r="E139" s="112">
        <f>IF(OR(A139="",$D$106=""),"",IF(RIGHT(A139,1)="W",$D$106+7*VALUE(LEFT(A139,LEN(A139)-1)),IF(RIGHT(A139,1)="M",EDATE($D$106,VALUE(LEFT(A139,LEN(A139)-1))),EDATE($D$106,12*VALUE(LEFT(A139,LEN(A139)-1))))))</f>
        <v/>
      </c>
      <c r="F139" s="112">
        <f>IF(E139="","",IF(MONTH((E139+IF(WEEKDAY(E139,2)=6,2,IF(WEEKDAY(E139,2)=7,1,0))))&lt;&gt;MONTH(E139),(E139-IF(WEEKDAY(E139,2)=6,1,IF(WEEKDAY(E139,2)=7,2,0))),(E139+IF(WEEKDAY(E139,2)=6,2,IF(WEEKDAY(E139,2)=7,1,0)))))</f>
        <v/>
      </c>
      <c r="G139" s="84">
        <f>IF(NOT(Bootstrap!$G$4="Test 3"),"",IFERROR(INDEX(Bootstrap!$E$8:$E$72,MATCH(F139,Bootstrap!$B$8:$B$72,0)),""))</f>
        <v/>
      </c>
      <c r="H139" s="160">
        <f>IF(NOT(Bootstrap!$G$4="Test 3"),"",IFERROR(IF(MATCH(F139,Bootstrap!$B$8:$B$72,0)&lt;=15,"short  DFspot/(1+S*tau)","annual (DFspot-S*A)/(1+S*tau)"),""))</f>
        <v/>
      </c>
      <c r="I139" s="80">
        <f>IF(NOT(Bootstrap!$G$4="Test 3"),"",IFERROR(IF(MATCH(F139,Bootstrap!$B$8:$B$72,0)&lt;=15,INDEX(Bootstrap!$D$8:$D$72,MATCH(F139,Bootstrap!$B$8:$B$72,0)),INDEX(Bootstrap!$F$8:$F$72,MATCH(F139,Bootstrap!$B$8:$B$72,0))),""))</f>
        <v/>
      </c>
      <c r="J139" s="76">
        <f>IF(NOT(Bootstrap!$G$4="Test 3"),"",IFERROR(IF(MATCH(F139,Bootstrap!$B$8:$B$72,0)&lt;=15,0,INDEX(Bootstrap!$G$8:$G$72,MATCH(F139,Bootstrap!$B$8:$B$72,0))),""))</f>
        <v/>
      </c>
      <c r="K139" s="76">
        <f>IF(OR(G139="",I139=""),"",Bootstrap!$D$4-(G139/100)*J139)</f>
        <v/>
      </c>
      <c r="L139" s="76">
        <f>IF(OR(G139="",I139=""),"",1+(G139/100)*I139)</f>
        <v/>
      </c>
      <c r="M139" s="76">
        <f>IF(NOT(Bootstrap!$G$4="Test 3"),"",IFERROR(INDEX(Bootstrap!$H$8:$H$72,MATCH(F139,Bootstrap!$B$8:$B$72,0)),""))</f>
        <v/>
      </c>
      <c r="N139" s="80">
        <f>IF(NOT(Bootstrap!$G$4="Test 3"),"",IFERROR(INDEX(Bootstrap!$C$8:$C$72,MATCH(F139,Bootstrap!$B$8:$B$72,0)),""))</f>
        <v/>
      </c>
      <c r="O139" s="84">
        <f>IF(NOT(Bootstrap!$G$4="Test 3"),"",IFERROR(INDEX(Bootstrap!$J$8:$J$72,MATCH(F139,Bootstrap!$B$8:$B$72,0)),""))</f>
        <v/>
      </c>
      <c r="P139" s="89">
        <f>IF(OR(O139="",NOT(ISNUMBER(C139))),"",(O139-C139)*100)</f>
        <v/>
      </c>
      <c r="Q139" s="72">
        <f>IF(OR(M139="",NOT(ISNUMBER(D139))),"",M139-D139)</f>
        <v/>
      </c>
    </row>
    <row r="140">
      <c r="A140" s="68" t="n"/>
      <c r="B140" s="85" t="n"/>
      <c r="C140" s="85" t="n"/>
      <c r="D140" s="69" t="n"/>
      <c r="E140" s="112">
        <f>IF(OR(A140="",$D$106=""),"",IF(RIGHT(A140,1)="W",$D$106+7*VALUE(LEFT(A140,LEN(A140)-1)),IF(RIGHT(A140,1)="M",EDATE($D$106,VALUE(LEFT(A140,LEN(A140)-1))),EDATE($D$106,12*VALUE(LEFT(A140,LEN(A140)-1))))))</f>
        <v/>
      </c>
      <c r="F140" s="112">
        <f>IF(E140="","",IF(MONTH((E140+IF(WEEKDAY(E140,2)=6,2,IF(WEEKDAY(E140,2)=7,1,0))))&lt;&gt;MONTH(E140),(E140-IF(WEEKDAY(E140,2)=6,1,IF(WEEKDAY(E140,2)=7,2,0))),(E140+IF(WEEKDAY(E140,2)=6,2,IF(WEEKDAY(E140,2)=7,1,0)))))</f>
        <v/>
      </c>
      <c r="G140" s="84">
        <f>IF(NOT(Bootstrap!$G$4="Test 3"),"",IFERROR(INDEX(Bootstrap!$E$8:$E$72,MATCH(F140,Bootstrap!$B$8:$B$72,0)),""))</f>
        <v/>
      </c>
      <c r="H140" s="160">
        <f>IF(NOT(Bootstrap!$G$4="Test 3"),"",IFERROR(IF(MATCH(F140,Bootstrap!$B$8:$B$72,0)&lt;=15,"short  DFspot/(1+S*tau)","annual (DFspot-S*A)/(1+S*tau)"),""))</f>
        <v/>
      </c>
      <c r="I140" s="80">
        <f>IF(NOT(Bootstrap!$G$4="Test 3"),"",IFERROR(IF(MATCH(F140,Bootstrap!$B$8:$B$72,0)&lt;=15,INDEX(Bootstrap!$D$8:$D$72,MATCH(F140,Bootstrap!$B$8:$B$72,0)),INDEX(Bootstrap!$F$8:$F$72,MATCH(F140,Bootstrap!$B$8:$B$72,0))),""))</f>
        <v/>
      </c>
      <c r="J140" s="76">
        <f>IF(NOT(Bootstrap!$G$4="Test 3"),"",IFERROR(IF(MATCH(F140,Bootstrap!$B$8:$B$72,0)&lt;=15,0,INDEX(Bootstrap!$G$8:$G$72,MATCH(F140,Bootstrap!$B$8:$B$72,0))),""))</f>
        <v/>
      </c>
      <c r="K140" s="76">
        <f>IF(OR(G140="",I140=""),"",Bootstrap!$D$4-(G140/100)*J140)</f>
        <v/>
      </c>
      <c r="L140" s="76">
        <f>IF(OR(G140="",I140=""),"",1+(G140/100)*I140)</f>
        <v/>
      </c>
      <c r="M140" s="76">
        <f>IF(NOT(Bootstrap!$G$4="Test 3"),"",IFERROR(INDEX(Bootstrap!$H$8:$H$72,MATCH(F140,Bootstrap!$B$8:$B$72,0)),""))</f>
        <v/>
      </c>
      <c r="N140" s="80">
        <f>IF(NOT(Bootstrap!$G$4="Test 3"),"",IFERROR(INDEX(Bootstrap!$C$8:$C$72,MATCH(F140,Bootstrap!$B$8:$B$72,0)),""))</f>
        <v/>
      </c>
      <c r="O140" s="84">
        <f>IF(NOT(Bootstrap!$G$4="Test 3"),"",IFERROR(INDEX(Bootstrap!$J$8:$J$72,MATCH(F140,Bootstrap!$B$8:$B$72,0)),""))</f>
        <v/>
      </c>
      <c r="P140" s="89">
        <f>IF(OR(O140="",NOT(ISNUMBER(C140))),"",(O140-C140)*100)</f>
        <v/>
      </c>
      <c r="Q140" s="72">
        <f>IF(OR(M140="",NOT(ISNUMBER(D140))),"",M140-D140)</f>
        <v/>
      </c>
    </row>
    <row r="141">
      <c r="A141" s="68" t="n"/>
      <c r="B141" s="85" t="n"/>
      <c r="C141" s="85" t="n"/>
      <c r="D141" s="69" t="n"/>
      <c r="E141" s="112">
        <f>IF(OR(A141="",$D$106=""),"",IF(RIGHT(A141,1)="W",$D$106+7*VALUE(LEFT(A141,LEN(A141)-1)),IF(RIGHT(A141,1)="M",EDATE($D$106,VALUE(LEFT(A141,LEN(A141)-1))),EDATE($D$106,12*VALUE(LEFT(A141,LEN(A141)-1))))))</f>
        <v/>
      </c>
      <c r="F141" s="112">
        <f>IF(E141="","",IF(MONTH((E141+IF(WEEKDAY(E141,2)=6,2,IF(WEEKDAY(E141,2)=7,1,0))))&lt;&gt;MONTH(E141),(E141-IF(WEEKDAY(E141,2)=6,1,IF(WEEKDAY(E141,2)=7,2,0))),(E141+IF(WEEKDAY(E141,2)=6,2,IF(WEEKDAY(E141,2)=7,1,0)))))</f>
        <v/>
      </c>
      <c r="G141" s="84">
        <f>IF(NOT(Bootstrap!$G$4="Test 3"),"",IFERROR(INDEX(Bootstrap!$E$8:$E$72,MATCH(F141,Bootstrap!$B$8:$B$72,0)),""))</f>
        <v/>
      </c>
      <c r="H141" s="160">
        <f>IF(NOT(Bootstrap!$G$4="Test 3"),"",IFERROR(IF(MATCH(F141,Bootstrap!$B$8:$B$72,0)&lt;=15,"short  DFspot/(1+S*tau)","annual (DFspot-S*A)/(1+S*tau)"),""))</f>
        <v/>
      </c>
      <c r="I141" s="80">
        <f>IF(NOT(Bootstrap!$G$4="Test 3"),"",IFERROR(IF(MATCH(F141,Bootstrap!$B$8:$B$72,0)&lt;=15,INDEX(Bootstrap!$D$8:$D$72,MATCH(F141,Bootstrap!$B$8:$B$72,0)),INDEX(Bootstrap!$F$8:$F$72,MATCH(F141,Bootstrap!$B$8:$B$72,0))),""))</f>
        <v/>
      </c>
      <c r="J141" s="76">
        <f>IF(NOT(Bootstrap!$G$4="Test 3"),"",IFERROR(IF(MATCH(F141,Bootstrap!$B$8:$B$72,0)&lt;=15,0,INDEX(Bootstrap!$G$8:$G$72,MATCH(F141,Bootstrap!$B$8:$B$72,0))),""))</f>
        <v/>
      </c>
      <c r="K141" s="76">
        <f>IF(OR(G141="",I141=""),"",Bootstrap!$D$4-(G141/100)*J141)</f>
        <v/>
      </c>
      <c r="L141" s="76">
        <f>IF(OR(G141="",I141=""),"",1+(G141/100)*I141)</f>
        <v/>
      </c>
      <c r="M141" s="76">
        <f>IF(NOT(Bootstrap!$G$4="Test 3"),"",IFERROR(INDEX(Bootstrap!$H$8:$H$72,MATCH(F141,Bootstrap!$B$8:$B$72,0)),""))</f>
        <v/>
      </c>
      <c r="N141" s="80">
        <f>IF(NOT(Bootstrap!$G$4="Test 3"),"",IFERROR(INDEX(Bootstrap!$C$8:$C$72,MATCH(F141,Bootstrap!$B$8:$B$72,0)),""))</f>
        <v/>
      </c>
      <c r="O141" s="84">
        <f>IF(NOT(Bootstrap!$G$4="Test 3"),"",IFERROR(INDEX(Bootstrap!$J$8:$J$72,MATCH(F141,Bootstrap!$B$8:$B$72,0)),""))</f>
        <v/>
      </c>
      <c r="P141" s="89">
        <f>IF(OR(O141="",NOT(ISNUMBER(C141))),"",(O141-C141)*100)</f>
        <v/>
      </c>
      <c r="Q141" s="72">
        <f>IF(OR(M141="",NOT(ISNUMBER(D141))),"",M141-D141)</f>
        <v/>
      </c>
    </row>
    <row r="142">
      <c r="A142" s="68" t="n"/>
      <c r="B142" s="85" t="n"/>
      <c r="C142" s="85" t="n"/>
      <c r="D142" s="69" t="n"/>
      <c r="E142" s="112">
        <f>IF(OR(A142="",$D$106=""),"",IF(RIGHT(A142,1)="W",$D$106+7*VALUE(LEFT(A142,LEN(A142)-1)),IF(RIGHT(A142,1)="M",EDATE($D$106,VALUE(LEFT(A142,LEN(A142)-1))),EDATE($D$106,12*VALUE(LEFT(A142,LEN(A142)-1))))))</f>
        <v/>
      </c>
      <c r="F142" s="112">
        <f>IF(E142="","",IF(MONTH((E142+IF(WEEKDAY(E142,2)=6,2,IF(WEEKDAY(E142,2)=7,1,0))))&lt;&gt;MONTH(E142),(E142-IF(WEEKDAY(E142,2)=6,1,IF(WEEKDAY(E142,2)=7,2,0))),(E142+IF(WEEKDAY(E142,2)=6,2,IF(WEEKDAY(E142,2)=7,1,0)))))</f>
        <v/>
      </c>
      <c r="G142" s="84">
        <f>IF(NOT(Bootstrap!$G$4="Test 3"),"",IFERROR(INDEX(Bootstrap!$E$8:$E$72,MATCH(F142,Bootstrap!$B$8:$B$72,0)),""))</f>
        <v/>
      </c>
      <c r="H142" s="160">
        <f>IF(NOT(Bootstrap!$G$4="Test 3"),"",IFERROR(IF(MATCH(F142,Bootstrap!$B$8:$B$72,0)&lt;=15,"short  DFspot/(1+S*tau)","annual (DFspot-S*A)/(1+S*tau)"),""))</f>
        <v/>
      </c>
      <c r="I142" s="80">
        <f>IF(NOT(Bootstrap!$G$4="Test 3"),"",IFERROR(IF(MATCH(F142,Bootstrap!$B$8:$B$72,0)&lt;=15,INDEX(Bootstrap!$D$8:$D$72,MATCH(F142,Bootstrap!$B$8:$B$72,0)),INDEX(Bootstrap!$F$8:$F$72,MATCH(F142,Bootstrap!$B$8:$B$72,0))),""))</f>
        <v/>
      </c>
      <c r="J142" s="76">
        <f>IF(NOT(Bootstrap!$G$4="Test 3"),"",IFERROR(IF(MATCH(F142,Bootstrap!$B$8:$B$72,0)&lt;=15,0,INDEX(Bootstrap!$G$8:$G$72,MATCH(F142,Bootstrap!$B$8:$B$72,0))),""))</f>
        <v/>
      </c>
      <c r="K142" s="76">
        <f>IF(OR(G142="",I142=""),"",Bootstrap!$D$4-(G142/100)*J142)</f>
        <v/>
      </c>
      <c r="L142" s="76">
        <f>IF(OR(G142="",I142=""),"",1+(G142/100)*I142)</f>
        <v/>
      </c>
      <c r="M142" s="76">
        <f>IF(NOT(Bootstrap!$G$4="Test 3"),"",IFERROR(INDEX(Bootstrap!$H$8:$H$72,MATCH(F142,Bootstrap!$B$8:$B$72,0)),""))</f>
        <v/>
      </c>
      <c r="N142" s="80">
        <f>IF(NOT(Bootstrap!$G$4="Test 3"),"",IFERROR(INDEX(Bootstrap!$C$8:$C$72,MATCH(F142,Bootstrap!$B$8:$B$72,0)),""))</f>
        <v/>
      </c>
      <c r="O142" s="84">
        <f>IF(NOT(Bootstrap!$G$4="Test 3"),"",IFERROR(INDEX(Bootstrap!$J$8:$J$72,MATCH(F142,Bootstrap!$B$8:$B$72,0)),""))</f>
        <v/>
      </c>
      <c r="P142" s="89">
        <f>IF(OR(O142="",NOT(ISNUMBER(C142))),"",(O142-C142)*100)</f>
        <v/>
      </c>
      <c r="Q142" s="72">
        <f>IF(OR(M142="",NOT(ISNUMBER(D142))),"",M142-D142)</f>
        <v/>
      </c>
    </row>
    <row r="143">
      <c r="A143" s="68" t="n"/>
      <c r="B143" s="85" t="n"/>
      <c r="C143" s="85" t="n"/>
      <c r="D143" s="69" t="n"/>
      <c r="E143" s="112">
        <f>IF(OR(A143="",$D$106=""),"",IF(RIGHT(A143,1)="W",$D$106+7*VALUE(LEFT(A143,LEN(A143)-1)),IF(RIGHT(A143,1)="M",EDATE($D$106,VALUE(LEFT(A143,LEN(A143)-1))),EDATE($D$106,12*VALUE(LEFT(A143,LEN(A143)-1))))))</f>
        <v/>
      </c>
      <c r="F143" s="112">
        <f>IF(E143="","",IF(MONTH((E143+IF(WEEKDAY(E143,2)=6,2,IF(WEEKDAY(E143,2)=7,1,0))))&lt;&gt;MONTH(E143),(E143-IF(WEEKDAY(E143,2)=6,1,IF(WEEKDAY(E143,2)=7,2,0))),(E143+IF(WEEKDAY(E143,2)=6,2,IF(WEEKDAY(E143,2)=7,1,0)))))</f>
        <v/>
      </c>
      <c r="G143" s="84">
        <f>IF(NOT(Bootstrap!$G$4="Test 3"),"",IFERROR(INDEX(Bootstrap!$E$8:$E$72,MATCH(F143,Bootstrap!$B$8:$B$72,0)),""))</f>
        <v/>
      </c>
      <c r="H143" s="160">
        <f>IF(NOT(Bootstrap!$G$4="Test 3"),"",IFERROR(IF(MATCH(F143,Bootstrap!$B$8:$B$72,0)&lt;=15,"short  DFspot/(1+S*tau)","annual (DFspot-S*A)/(1+S*tau)"),""))</f>
        <v/>
      </c>
      <c r="I143" s="80">
        <f>IF(NOT(Bootstrap!$G$4="Test 3"),"",IFERROR(IF(MATCH(F143,Bootstrap!$B$8:$B$72,0)&lt;=15,INDEX(Bootstrap!$D$8:$D$72,MATCH(F143,Bootstrap!$B$8:$B$72,0)),INDEX(Bootstrap!$F$8:$F$72,MATCH(F143,Bootstrap!$B$8:$B$72,0))),""))</f>
        <v/>
      </c>
      <c r="J143" s="76">
        <f>IF(NOT(Bootstrap!$G$4="Test 3"),"",IFERROR(IF(MATCH(F143,Bootstrap!$B$8:$B$72,0)&lt;=15,0,INDEX(Bootstrap!$G$8:$G$72,MATCH(F143,Bootstrap!$B$8:$B$72,0))),""))</f>
        <v/>
      </c>
      <c r="K143" s="76">
        <f>IF(OR(G143="",I143=""),"",Bootstrap!$D$4-(G143/100)*J143)</f>
        <v/>
      </c>
      <c r="L143" s="76">
        <f>IF(OR(G143="",I143=""),"",1+(G143/100)*I143)</f>
        <v/>
      </c>
      <c r="M143" s="76">
        <f>IF(NOT(Bootstrap!$G$4="Test 3"),"",IFERROR(INDEX(Bootstrap!$H$8:$H$72,MATCH(F143,Bootstrap!$B$8:$B$72,0)),""))</f>
        <v/>
      </c>
      <c r="N143" s="80">
        <f>IF(NOT(Bootstrap!$G$4="Test 3"),"",IFERROR(INDEX(Bootstrap!$C$8:$C$72,MATCH(F143,Bootstrap!$B$8:$B$72,0)),""))</f>
        <v/>
      </c>
      <c r="O143" s="84">
        <f>IF(NOT(Bootstrap!$G$4="Test 3"),"",IFERROR(INDEX(Bootstrap!$J$8:$J$72,MATCH(F143,Bootstrap!$B$8:$B$72,0)),""))</f>
        <v/>
      </c>
      <c r="P143" s="89">
        <f>IF(OR(O143="",NOT(ISNUMBER(C143))),"",(O143-C143)*100)</f>
        <v/>
      </c>
      <c r="Q143" s="72">
        <f>IF(OR(M143="",NOT(ISNUMBER(D143))),"",M143-D143)</f>
        <v/>
      </c>
    </row>
    <row r="144">
      <c r="A144" s="68" t="n"/>
      <c r="B144" s="85" t="n"/>
      <c r="C144" s="85" t="n"/>
      <c r="D144" s="69" t="n"/>
      <c r="E144" s="112">
        <f>IF(OR(A144="",$D$106=""),"",IF(RIGHT(A144,1)="W",$D$106+7*VALUE(LEFT(A144,LEN(A144)-1)),IF(RIGHT(A144,1)="M",EDATE($D$106,VALUE(LEFT(A144,LEN(A144)-1))),EDATE($D$106,12*VALUE(LEFT(A144,LEN(A144)-1))))))</f>
        <v/>
      </c>
      <c r="F144" s="112">
        <f>IF(E144="","",IF(MONTH((E144+IF(WEEKDAY(E144,2)=6,2,IF(WEEKDAY(E144,2)=7,1,0))))&lt;&gt;MONTH(E144),(E144-IF(WEEKDAY(E144,2)=6,1,IF(WEEKDAY(E144,2)=7,2,0))),(E144+IF(WEEKDAY(E144,2)=6,2,IF(WEEKDAY(E144,2)=7,1,0)))))</f>
        <v/>
      </c>
      <c r="G144" s="84">
        <f>IF(NOT(Bootstrap!$G$4="Test 3"),"",IFERROR(INDEX(Bootstrap!$E$8:$E$72,MATCH(F144,Bootstrap!$B$8:$B$72,0)),""))</f>
        <v/>
      </c>
      <c r="H144" s="160">
        <f>IF(NOT(Bootstrap!$G$4="Test 3"),"",IFERROR(IF(MATCH(F144,Bootstrap!$B$8:$B$72,0)&lt;=15,"short  DFspot/(1+S*tau)","annual (DFspot-S*A)/(1+S*tau)"),""))</f>
        <v/>
      </c>
      <c r="I144" s="80">
        <f>IF(NOT(Bootstrap!$G$4="Test 3"),"",IFERROR(IF(MATCH(F144,Bootstrap!$B$8:$B$72,0)&lt;=15,INDEX(Bootstrap!$D$8:$D$72,MATCH(F144,Bootstrap!$B$8:$B$72,0)),INDEX(Bootstrap!$F$8:$F$72,MATCH(F144,Bootstrap!$B$8:$B$72,0))),""))</f>
        <v/>
      </c>
      <c r="J144" s="76">
        <f>IF(NOT(Bootstrap!$G$4="Test 3"),"",IFERROR(IF(MATCH(F144,Bootstrap!$B$8:$B$72,0)&lt;=15,0,INDEX(Bootstrap!$G$8:$G$72,MATCH(F144,Bootstrap!$B$8:$B$72,0))),""))</f>
        <v/>
      </c>
      <c r="K144" s="76">
        <f>IF(OR(G144="",I144=""),"",Bootstrap!$D$4-(G144/100)*J144)</f>
        <v/>
      </c>
      <c r="L144" s="76">
        <f>IF(OR(G144="",I144=""),"",1+(G144/100)*I144)</f>
        <v/>
      </c>
      <c r="M144" s="76">
        <f>IF(NOT(Bootstrap!$G$4="Test 3"),"",IFERROR(INDEX(Bootstrap!$H$8:$H$72,MATCH(F144,Bootstrap!$B$8:$B$72,0)),""))</f>
        <v/>
      </c>
      <c r="N144" s="80">
        <f>IF(NOT(Bootstrap!$G$4="Test 3"),"",IFERROR(INDEX(Bootstrap!$C$8:$C$72,MATCH(F144,Bootstrap!$B$8:$B$72,0)),""))</f>
        <v/>
      </c>
      <c r="O144" s="84">
        <f>IF(NOT(Bootstrap!$G$4="Test 3"),"",IFERROR(INDEX(Bootstrap!$J$8:$J$72,MATCH(F144,Bootstrap!$B$8:$B$72,0)),""))</f>
        <v/>
      </c>
      <c r="P144" s="89">
        <f>IF(OR(O144="",NOT(ISNUMBER(C144))),"",(O144-C144)*100)</f>
        <v/>
      </c>
      <c r="Q144" s="72">
        <f>IF(OR(M144="",NOT(ISNUMBER(D144))),"",M144-D144)</f>
        <v/>
      </c>
    </row>
    <row r="145">
      <c r="A145" s="68" t="n"/>
      <c r="B145" s="85" t="n"/>
      <c r="C145" s="85" t="n"/>
      <c r="D145" s="69" t="n"/>
      <c r="E145" s="112">
        <f>IF(OR(A145="",$D$106=""),"",IF(RIGHT(A145,1)="W",$D$106+7*VALUE(LEFT(A145,LEN(A145)-1)),IF(RIGHT(A145,1)="M",EDATE($D$106,VALUE(LEFT(A145,LEN(A145)-1))),EDATE($D$106,12*VALUE(LEFT(A145,LEN(A145)-1))))))</f>
        <v/>
      </c>
      <c r="F145" s="112">
        <f>IF(E145="","",IF(MONTH((E145+IF(WEEKDAY(E145,2)=6,2,IF(WEEKDAY(E145,2)=7,1,0))))&lt;&gt;MONTH(E145),(E145-IF(WEEKDAY(E145,2)=6,1,IF(WEEKDAY(E145,2)=7,2,0))),(E145+IF(WEEKDAY(E145,2)=6,2,IF(WEEKDAY(E145,2)=7,1,0)))))</f>
        <v/>
      </c>
      <c r="G145" s="84">
        <f>IF(NOT(Bootstrap!$G$4="Test 3"),"",IFERROR(INDEX(Bootstrap!$E$8:$E$72,MATCH(F145,Bootstrap!$B$8:$B$72,0)),""))</f>
        <v/>
      </c>
      <c r="H145" s="160">
        <f>IF(NOT(Bootstrap!$G$4="Test 3"),"",IFERROR(IF(MATCH(F145,Bootstrap!$B$8:$B$72,0)&lt;=15,"short  DFspot/(1+S*tau)","annual (DFspot-S*A)/(1+S*tau)"),""))</f>
        <v/>
      </c>
      <c r="I145" s="80">
        <f>IF(NOT(Bootstrap!$G$4="Test 3"),"",IFERROR(IF(MATCH(F145,Bootstrap!$B$8:$B$72,0)&lt;=15,INDEX(Bootstrap!$D$8:$D$72,MATCH(F145,Bootstrap!$B$8:$B$72,0)),INDEX(Bootstrap!$F$8:$F$72,MATCH(F145,Bootstrap!$B$8:$B$72,0))),""))</f>
        <v/>
      </c>
      <c r="J145" s="76">
        <f>IF(NOT(Bootstrap!$G$4="Test 3"),"",IFERROR(IF(MATCH(F145,Bootstrap!$B$8:$B$72,0)&lt;=15,0,INDEX(Bootstrap!$G$8:$G$72,MATCH(F145,Bootstrap!$B$8:$B$72,0))),""))</f>
        <v/>
      </c>
      <c r="K145" s="76">
        <f>IF(OR(G145="",I145=""),"",Bootstrap!$D$4-(G145/100)*J145)</f>
        <v/>
      </c>
      <c r="L145" s="76">
        <f>IF(OR(G145="",I145=""),"",1+(G145/100)*I145)</f>
        <v/>
      </c>
      <c r="M145" s="76">
        <f>IF(NOT(Bootstrap!$G$4="Test 3"),"",IFERROR(INDEX(Bootstrap!$H$8:$H$72,MATCH(F145,Bootstrap!$B$8:$B$72,0)),""))</f>
        <v/>
      </c>
      <c r="N145" s="80">
        <f>IF(NOT(Bootstrap!$G$4="Test 3"),"",IFERROR(INDEX(Bootstrap!$C$8:$C$72,MATCH(F145,Bootstrap!$B$8:$B$72,0)),""))</f>
        <v/>
      </c>
      <c r="O145" s="84">
        <f>IF(NOT(Bootstrap!$G$4="Test 3"),"",IFERROR(INDEX(Bootstrap!$J$8:$J$72,MATCH(F145,Bootstrap!$B$8:$B$72,0)),""))</f>
        <v/>
      </c>
      <c r="P145" s="89">
        <f>IF(OR(O145="",NOT(ISNUMBER(C145))),"",(O145-C145)*100)</f>
        <v/>
      </c>
      <c r="Q145" s="72">
        <f>IF(OR(M145="",NOT(ISNUMBER(D145))),"",M145-D145)</f>
        <v/>
      </c>
    </row>
    <row r="146">
      <c r="A146" s="68" t="n"/>
      <c r="B146" s="85" t="n"/>
      <c r="C146" s="85" t="n"/>
      <c r="D146" s="69" t="n"/>
      <c r="E146" s="112">
        <f>IF(OR(A146="",$D$106=""),"",IF(RIGHT(A146,1)="W",$D$106+7*VALUE(LEFT(A146,LEN(A146)-1)),IF(RIGHT(A146,1)="M",EDATE($D$106,VALUE(LEFT(A146,LEN(A146)-1))),EDATE($D$106,12*VALUE(LEFT(A146,LEN(A146)-1))))))</f>
        <v/>
      </c>
      <c r="F146" s="112">
        <f>IF(E146="","",IF(MONTH((E146+IF(WEEKDAY(E146,2)=6,2,IF(WEEKDAY(E146,2)=7,1,0))))&lt;&gt;MONTH(E146),(E146-IF(WEEKDAY(E146,2)=6,1,IF(WEEKDAY(E146,2)=7,2,0))),(E146+IF(WEEKDAY(E146,2)=6,2,IF(WEEKDAY(E146,2)=7,1,0)))))</f>
        <v/>
      </c>
      <c r="G146" s="84">
        <f>IF(NOT(Bootstrap!$G$4="Test 3"),"",IFERROR(INDEX(Bootstrap!$E$8:$E$72,MATCH(F146,Bootstrap!$B$8:$B$72,0)),""))</f>
        <v/>
      </c>
      <c r="H146" s="160">
        <f>IF(NOT(Bootstrap!$G$4="Test 3"),"",IFERROR(IF(MATCH(F146,Bootstrap!$B$8:$B$72,0)&lt;=15,"short  DFspot/(1+S*tau)","annual (DFspot-S*A)/(1+S*tau)"),""))</f>
        <v/>
      </c>
      <c r="I146" s="80">
        <f>IF(NOT(Bootstrap!$G$4="Test 3"),"",IFERROR(IF(MATCH(F146,Bootstrap!$B$8:$B$72,0)&lt;=15,INDEX(Bootstrap!$D$8:$D$72,MATCH(F146,Bootstrap!$B$8:$B$72,0)),INDEX(Bootstrap!$F$8:$F$72,MATCH(F146,Bootstrap!$B$8:$B$72,0))),""))</f>
        <v/>
      </c>
      <c r="J146" s="76">
        <f>IF(NOT(Bootstrap!$G$4="Test 3"),"",IFERROR(IF(MATCH(F146,Bootstrap!$B$8:$B$72,0)&lt;=15,0,INDEX(Bootstrap!$G$8:$G$72,MATCH(F146,Bootstrap!$B$8:$B$72,0))),""))</f>
        <v/>
      </c>
      <c r="K146" s="76">
        <f>IF(OR(G146="",I146=""),"",Bootstrap!$D$4-(G146/100)*J146)</f>
        <v/>
      </c>
      <c r="L146" s="76">
        <f>IF(OR(G146="",I146=""),"",1+(G146/100)*I146)</f>
        <v/>
      </c>
      <c r="M146" s="76">
        <f>IF(NOT(Bootstrap!$G$4="Test 3"),"",IFERROR(INDEX(Bootstrap!$H$8:$H$72,MATCH(F146,Bootstrap!$B$8:$B$72,0)),""))</f>
        <v/>
      </c>
      <c r="N146" s="80">
        <f>IF(NOT(Bootstrap!$G$4="Test 3"),"",IFERROR(INDEX(Bootstrap!$C$8:$C$72,MATCH(F146,Bootstrap!$B$8:$B$72,0)),""))</f>
        <v/>
      </c>
      <c r="O146" s="84">
        <f>IF(NOT(Bootstrap!$G$4="Test 3"),"",IFERROR(INDEX(Bootstrap!$J$8:$J$72,MATCH(F146,Bootstrap!$B$8:$B$72,0)),""))</f>
        <v/>
      </c>
      <c r="P146" s="89">
        <f>IF(OR(O146="",NOT(ISNUMBER(C146))),"",(O146-C146)*100)</f>
        <v/>
      </c>
      <c r="Q146" s="72">
        <f>IF(OR(M146="",NOT(ISNUMBER(D146))),"",M146-D146)</f>
        <v/>
      </c>
    </row>
    <row r="147">
      <c r="A147" s="68" t="n"/>
      <c r="B147" s="85" t="n"/>
      <c r="C147" s="85" t="n"/>
      <c r="D147" s="69" t="n"/>
      <c r="E147" s="112">
        <f>IF(OR(A147="",$D$106=""),"",IF(RIGHT(A147,1)="W",$D$106+7*VALUE(LEFT(A147,LEN(A147)-1)),IF(RIGHT(A147,1)="M",EDATE($D$106,VALUE(LEFT(A147,LEN(A147)-1))),EDATE($D$106,12*VALUE(LEFT(A147,LEN(A147)-1))))))</f>
        <v/>
      </c>
      <c r="F147" s="112">
        <f>IF(E147="","",IF(MONTH((E147+IF(WEEKDAY(E147,2)=6,2,IF(WEEKDAY(E147,2)=7,1,0))))&lt;&gt;MONTH(E147),(E147-IF(WEEKDAY(E147,2)=6,1,IF(WEEKDAY(E147,2)=7,2,0))),(E147+IF(WEEKDAY(E147,2)=6,2,IF(WEEKDAY(E147,2)=7,1,0)))))</f>
        <v/>
      </c>
      <c r="G147" s="84">
        <f>IF(NOT(Bootstrap!$G$4="Test 3"),"",IFERROR(INDEX(Bootstrap!$E$8:$E$72,MATCH(F147,Bootstrap!$B$8:$B$72,0)),""))</f>
        <v/>
      </c>
      <c r="H147" s="160">
        <f>IF(NOT(Bootstrap!$G$4="Test 3"),"",IFERROR(IF(MATCH(F147,Bootstrap!$B$8:$B$72,0)&lt;=15,"short  DFspot/(1+S*tau)","annual (DFspot-S*A)/(1+S*tau)"),""))</f>
        <v/>
      </c>
      <c r="I147" s="80">
        <f>IF(NOT(Bootstrap!$G$4="Test 3"),"",IFERROR(IF(MATCH(F147,Bootstrap!$B$8:$B$72,0)&lt;=15,INDEX(Bootstrap!$D$8:$D$72,MATCH(F147,Bootstrap!$B$8:$B$72,0)),INDEX(Bootstrap!$F$8:$F$72,MATCH(F147,Bootstrap!$B$8:$B$72,0))),""))</f>
        <v/>
      </c>
      <c r="J147" s="76">
        <f>IF(NOT(Bootstrap!$G$4="Test 3"),"",IFERROR(IF(MATCH(F147,Bootstrap!$B$8:$B$72,0)&lt;=15,0,INDEX(Bootstrap!$G$8:$G$72,MATCH(F147,Bootstrap!$B$8:$B$72,0))),""))</f>
        <v/>
      </c>
      <c r="K147" s="76">
        <f>IF(OR(G147="",I147=""),"",Bootstrap!$D$4-(G147/100)*J147)</f>
        <v/>
      </c>
      <c r="L147" s="76">
        <f>IF(OR(G147="",I147=""),"",1+(G147/100)*I147)</f>
        <v/>
      </c>
      <c r="M147" s="76">
        <f>IF(NOT(Bootstrap!$G$4="Test 3"),"",IFERROR(INDEX(Bootstrap!$H$8:$H$72,MATCH(F147,Bootstrap!$B$8:$B$72,0)),""))</f>
        <v/>
      </c>
      <c r="N147" s="80">
        <f>IF(NOT(Bootstrap!$G$4="Test 3"),"",IFERROR(INDEX(Bootstrap!$C$8:$C$72,MATCH(F147,Bootstrap!$B$8:$B$72,0)),""))</f>
        <v/>
      </c>
      <c r="O147" s="84">
        <f>IF(NOT(Bootstrap!$G$4="Test 3"),"",IFERROR(INDEX(Bootstrap!$J$8:$J$72,MATCH(F147,Bootstrap!$B$8:$B$72,0)),""))</f>
        <v/>
      </c>
      <c r="P147" s="89">
        <f>IF(OR(O147="",NOT(ISNUMBER(C147))),"",(O147-C147)*100)</f>
        <v/>
      </c>
      <c r="Q147" s="72">
        <f>IF(OR(M147="",NOT(ISNUMBER(D147))),"",M147-D147)</f>
        <v/>
      </c>
    </row>
    <row r="148">
      <c r="A148" s="67" t="inlineStr">
        <is>
          <t>pillars pasted</t>
        </is>
      </c>
      <c r="C148" s="130">
        <f>COUNTA(A108:A147)</f>
        <v/>
      </c>
      <c r="D148" s="67" t="inlineStr">
        <is>
          <t>matched</t>
        </is>
      </c>
      <c r="F148" s="87">
        <f>IF(NOT(Bootstrap!$G$4="Test 3"),"not active",COUNT(O108:O147))</f>
        <v/>
      </c>
      <c r="G148" s="67" t="inlineStr">
        <is>
          <t>max |d zero| bp</t>
        </is>
      </c>
      <c r="I148" s="90">
        <f>IF(NOT(Bootstrap!$G$4="Test 3"),"",IF(COUNT(P108:P147)=0,"",MAX(MAX(P108:P147),-MIN(P108:P147))))</f>
        <v/>
      </c>
      <c r="J148" s="67" t="inlineStr">
        <is>
          <t>max |d DF|</t>
        </is>
      </c>
      <c r="L148" s="91">
        <f>IF(NOT(Bootstrap!$G$4="Test 3"),"",IF(COUNT(Q108:Q147)=0,"",MAX(MAX(Q108:Q147),-MIN(Q108:Q147))))</f>
        <v/>
      </c>
      <c r="M148" s="66">
        <f>IF(AND(Bootstrap!$G$4="Test 3",C148&gt;0,F148&lt;C148),"CHECK: matched &lt; pasted, dates are not hitting Bootstrap!B — check the curve date","")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 — same objective, same inputs</t>
        </is>
      </c>
    </row>
    <row r="2">
      <c r="A2" s="65" t="inlineStr">
        <is>
          <t>Both solve (3.3): f(h) = (1-R)*ProtCum - S*(RPV01Cum - D0*D(Ts)). Only the root-finder differs. Columns D:F need the VBA module.</t>
        </is>
      </c>
    </row>
    <row r="3">
      <c r="A3" s="66" t="inlineStr">
        <is>
          <t>Import: Alt+F11 &gt; File &gt; Import File &gt; bloomberg/vba/CDSBrent.bas, then save as .xlsm. Until then D:F read 'module not loaded' — the workbook is .xlsx and stays fully functional without it.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is the better root-finder and it is not close — 8-13 iterations to machine precision against 30 to 1e-9. But the accuracy is not the binding constraint: our strip already reprices to ~1e-5 bp, which is set by the quarterly discretisation, not by the solver. Going to 1e-17 changes no price.</t>
        </is>
      </c>
    </row>
    <row r="31">
      <c r="A31" s="65" t="inlineStr">
        <is>
          <t>What it would actually buy is ~3,600 cells back and a faster recalc. What it costs is the working — the reason the bisection is laid out as rows is that every halving is inspectable, which is what was asked for. A UDF is a black box.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One genuine functional gain worth stealing: Brent returns #NUM! when the quote is unbracketed on [0,3], where the bisection pins at a bracket end and looks converged. That is deliverable D8 and can be added to the in-cell version without VBA.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pillar's DF by bisection with its interpolated gap points inside the annuity. Removes the circularity that stopped the curve past 10Y.</t>
        </is>
      </c>
    </row>
    <row r="3">
      <c r="A3" s="65" t="inlineStr">
        <is>
          <t>DF_B = (DFspot - S_B*[A_anchor + SUM tau_g*DF_g]) / (1 + S_B*tau_B),  DF_g = DF_A*(DF_B/DF_A)^w_g</t>
        </is>
      </c>
    </row>
    <row r="4">
      <c r="A4" s="65" t="inlineStr">
        <is>
          <t>Bracket [0,1.5], 40 steps,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43">
        <f>Bootstrap!B8</f>
        <v/>
      </c>
      <c r="L9" s="144">
        <f>Bootstrap!H8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0" workbookViewId="0">
      <pane xSplit="1" ySplit="34" topLeftCell="B3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Do not write text into K or L. MATCH needs a strictly ascending date column; a stray label here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for an off-grid or sub-annual swap. Blank uses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SWPM Fixed vs SOFR, 10mm, curve date 07/21/26, valuation 07/23/26. Reproduce with Effective 07/23/2026, Maturity override 07/30/2026, Coupon 3.63840.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not compared: SWPM discounts curve date to a separate valuation date, so its leg PVs are on a different basis. See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D32"/>
    <outlinePr summaryBelow="1" summaryRight="1"/>
    <pageSetUpPr/>
  </sheetPr>
  <dimension ref="A1:Y84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2" customWidth="1" min="4" max="4"/>
    <col width="10" customWidth="1" min="5" max="5"/>
    <col width="13" customWidth="1" min="6" max="6"/>
    <col width="14" customWidth="1" min="7" max="7"/>
    <col width="14" customWidth="1" min="12" max="12"/>
    <col width="12" customWidth="1" min="13" max="13"/>
    <col width="12" customWidth="1" min="14" max="14"/>
    <col width="11" customWidth="1" min="15" max="15"/>
    <col width="13" customWidth="1" min="16" max="16"/>
    <col width="15" customWidth="1" min="17" max="17"/>
    <col width="10" customWidth="1" min="18" max="18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J12. Defaults are a guess at the schema.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 ht="30" customHeight="1">
      <c r="A7" s="140" t="inlineStr">
        <is>
          <t>Tenor</t>
        </is>
      </c>
      <c r="B7" s="140" t="inlineStr">
        <is>
          <t>Maturity</t>
        </is>
      </c>
      <c r="C7" s="140" t="inlineStr">
        <is>
          <t>Your zero (%)</t>
        </is>
      </c>
      <c r="D7" s="141" t="inlineStr">
        <is>
          <t>S490 zero (%) — live</t>
        </is>
      </c>
      <c r="E7" s="140" t="inlineStr">
        <is>
          <t>Δz (bp)</t>
        </is>
      </c>
      <c r="F7" s="141" t="inlineStr">
        <is>
          <t>Source</t>
        </is>
      </c>
      <c r="G7" s="141" t="inlineStr">
        <is>
          <t>S490 zero (%) &lt;- S490_Snapshot</t>
        </is>
      </c>
      <c r="H7" s="67" t="inlineStr">
        <is>
          <t>Raw CURVE_TENOR_RATES dump (spills right and down from J12)</t>
        </is>
      </c>
      <c r="M7" s="141" t="inlineStr">
        <is>
          <t>DF (screen)</t>
        </is>
      </c>
      <c r="N7" s="141" t="inlineStr">
        <is>
          <t>DF (model)</t>
        </is>
      </c>
      <c r="O7" s="141" t="inlineStr">
        <is>
          <t>DF diff</t>
        </is>
      </c>
      <c r="P7" s="141" t="inlineStr">
        <is>
          <t>Par S dynamic (%)</t>
        </is>
      </c>
      <c r="Q7" s="141" t="inlineStr">
        <is>
          <t>Par S hard-coded (%)</t>
        </is>
      </c>
      <c r="R7" s="141" t="inlineStr">
        <is>
          <t>d (bp)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133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133">
        <f>IFERROR(INDEX(S490_Snapshot!$D$7:$D$38,MATCH(B8,S490_Snapshot!$A$7:$A$38,0)),"")</f>
        <v/>
      </c>
      <c r="H8" s="65" t="inlineStr">
        <is>
          <t>Dump lives at J12. A second copy here would spill into it.</t>
        </is>
      </c>
      <c r="L8" s="64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P8" s="63">
        <f>IF(ISNUMBER(Bootstrap!E8),Bootstrap!E8,"")</f>
        <v/>
      </c>
      <c r="Q8" s="63">
        <f>IF(ISNUMBER(Bootstrap!X8),Bootstrap!X8,"")</f>
        <v/>
      </c>
      <c r="R8" s="89">
        <f>IF(OR(P8="",Q8=""),"",(P8-Q8)*100)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133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133">
        <f>IFERROR(INDEX(S490_Snapshot!$D$7:$D$38,MATCH(B9,S490_Snapshot!$A$7:$A$38,0)),"")</f>
        <v/>
      </c>
      <c r="L9" s="64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P9" s="63">
        <f>IF(ISNUMBER(Bootstrap!E9),Bootstrap!E9,"")</f>
        <v/>
      </c>
      <c r="Q9" s="63">
        <f>IF(ISNUMBER(Bootstrap!X9),Bootstrap!X9,"")</f>
        <v/>
      </c>
      <c r="R9" s="89">
        <f>IF(OR(P9="",Q9=""),"",(P9-Q9)*100)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133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133">
        <f>IFERROR(INDEX(S490_Snapshot!$D$7:$D$38,MATCH(B10,S490_Snapshot!$A$7:$A$38,0)),"")</f>
        <v/>
      </c>
      <c r="L10" s="64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P10" s="63">
        <f>IF(ISNUMBER(Bootstrap!E10),Bootstrap!E10,"")</f>
        <v/>
      </c>
      <c r="Q10" s="63">
        <f>IF(ISNUMBER(Bootstrap!X10),Bootstrap!X10,"")</f>
        <v/>
      </c>
      <c r="R10" s="89">
        <f>IF(OR(P10="",Q10=""),"",(P10-Q10)*100)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133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133">
        <f>IFERROR(INDEX(S490_Snapshot!$D$7:$D$38,MATCH(B11,S490_Snapshot!$A$7:$A$38,0)),"")</f>
        <v/>
      </c>
      <c r="L11" s="64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P11" s="63">
        <f>IF(ISNUMBER(Bootstrap!E11),Bootstrap!E11,"")</f>
        <v/>
      </c>
      <c r="Q11" s="63">
        <f>IF(ISNUMBER(Bootstrap!X11),Bootstrap!X11,"")</f>
        <v/>
      </c>
      <c r="R11" s="89">
        <f>IF(OR(P11="",Q11=""),"",(P11-Q11)*100)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133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133">
        <f>IFERROR(INDEX(S490_Snapshot!$D$7:$D$38,MATCH(B12,S490_Snapshot!$A$7:$A$38,0)),"")</f>
        <v/>
      </c>
      <c r="J12" s="93">
        <f>BDS(S490_TKR,"CURVE_TENOR_RATES")</f>
        <v/>
      </c>
      <c r="L12" s="64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P12" s="63">
        <f>IF(ISNUMBER(Bootstrap!E12),Bootstrap!E12,"")</f>
        <v/>
      </c>
      <c r="Q12" s="63">
        <f>IF(ISNUMBER(Bootstrap!X12),Bootstrap!X12,"")</f>
        <v/>
      </c>
      <c r="R12" s="89">
        <f>IF(OR(P12="",Q12=""),"",(P12-Q12)*100)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133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133">
        <f>IFERROR(INDEX(S490_Snapshot!$D$7:$D$38,MATCH(B13,S490_Snapshot!$A$7:$A$38,0)),"")</f>
        <v/>
      </c>
      <c r="L13" s="64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P13" s="63">
        <f>IF(ISNUMBER(Bootstrap!E13),Bootstrap!E13,"")</f>
        <v/>
      </c>
      <c r="Q13" s="63">
        <f>IF(ISNUMBER(Bootstrap!X13),Bootstrap!X13,"")</f>
        <v/>
      </c>
      <c r="R13" s="89">
        <f>IF(OR(P13="",Q13=""),"",(P13-Q13)*100)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133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133">
        <f>IFERROR(INDEX(S490_Snapshot!$D$7:$D$38,MATCH(B14,S490_Snapshot!$A$7:$A$38,0)),"")</f>
        <v/>
      </c>
      <c r="L14" s="64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P14" s="63">
        <f>IF(ISNUMBER(Bootstrap!E14),Bootstrap!E14,"")</f>
        <v/>
      </c>
      <c r="Q14" s="63">
        <f>IF(ISNUMBER(Bootstrap!X14),Bootstrap!X14,"")</f>
        <v/>
      </c>
      <c r="R14" s="89">
        <f>IF(OR(P14="",Q14=""),"",(P14-Q14)*100)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133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133">
        <f>IFERROR(INDEX(S490_Snapshot!$D$7:$D$38,MATCH(B15,S490_Snapshot!$A$7:$A$38,0)),"")</f>
        <v/>
      </c>
      <c r="L15" s="64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P15" s="63">
        <f>IF(ISNUMBER(Bootstrap!E15),Bootstrap!E15,"")</f>
        <v/>
      </c>
      <c r="Q15" s="63">
        <f>IF(ISNUMBER(Bootstrap!X15),Bootstrap!X15,"")</f>
        <v/>
      </c>
      <c r="R15" s="89">
        <f>IF(OR(P15="",Q15=""),"",(P15-Q15)*100)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133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133">
        <f>IFERROR(INDEX(S490_Snapshot!$D$7:$D$38,MATCH(B16,S490_Snapshot!$A$7:$A$38,0)),"")</f>
        <v/>
      </c>
      <c r="L16" s="64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P16" s="63">
        <f>IF(ISNUMBER(Bootstrap!E16),Bootstrap!E16,"")</f>
        <v/>
      </c>
      <c r="Q16" s="63">
        <f>IF(ISNUMBER(Bootstrap!X16),Bootstrap!X16,"")</f>
        <v/>
      </c>
      <c r="R16" s="89">
        <f>IF(OR(P16="",Q16=""),"",(P16-Q16)*100)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133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133">
        <f>IFERROR(INDEX(S490_Snapshot!$D$7:$D$38,MATCH(B17,S490_Snapshot!$A$7:$A$38,0)),"")</f>
        <v/>
      </c>
      <c r="L17" s="64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P17" s="63">
        <f>IF(ISNUMBER(Bootstrap!E17),Bootstrap!E17,"")</f>
        <v/>
      </c>
      <c r="Q17" s="63">
        <f>IF(ISNUMBER(Bootstrap!X17),Bootstrap!X17,"")</f>
        <v/>
      </c>
      <c r="R17" s="89">
        <f>IF(OR(P17="",Q17=""),"",(P17-Q17)*100)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133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133">
        <f>IFERROR(INDEX(S490_Snapshot!$D$7:$D$38,MATCH(B18,S490_Snapshot!$A$7:$A$38,0)),"")</f>
        <v/>
      </c>
      <c r="L18" s="64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P18" s="63">
        <f>IF(ISNUMBER(Bootstrap!E18),Bootstrap!E18,"")</f>
        <v/>
      </c>
      <c r="Q18" s="63">
        <f>IF(ISNUMBER(Bootstrap!X18),Bootstrap!X18,"")</f>
        <v/>
      </c>
      <c r="R18" s="89">
        <f>IF(OR(P18="",Q18=""),"",(P18-Q18)*100)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133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133">
        <f>IFERROR(INDEX(S490_Snapshot!$D$7:$D$38,MATCH(B19,S490_Snapshot!$A$7:$A$38,0)),"")</f>
        <v/>
      </c>
      <c r="L19" s="64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P19" s="63">
        <f>IF(ISNUMBER(Bootstrap!E19),Bootstrap!E19,"")</f>
        <v/>
      </c>
      <c r="Q19" s="63">
        <f>IF(ISNUMBER(Bootstrap!X19),Bootstrap!X19,"")</f>
        <v/>
      </c>
      <c r="R19" s="89">
        <f>IF(OR(P19="",Q19=""),"",(P19-Q19)*100)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133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133">
        <f>IFERROR(INDEX(S490_Snapshot!$D$7:$D$38,MATCH(B20,S490_Snapshot!$A$7:$A$38,0)),"")</f>
        <v/>
      </c>
      <c r="L20" s="64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P20" s="63">
        <f>IF(ISNUMBER(Bootstrap!E20),Bootstrap!E20,"")</f>
        <v/>
      </c>
      <c r="Q20" s="63">
        <f>IF(ISNUMBER(Bootstrap!X20),Bootstrap!X20,"")</f>
        <v/>
      </c>
      <c r="R20" s="89">
        <f>IF(OR(P20="",Q20=""),"",(P20-Q20)*100)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133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133">
        <f>IFERROR(INDEX(S490_Snapshot!$D$7:$D$38,MATCH(B21,S490_Snapshot!$A$7:$A$38,0)),"")</f>
        <v/>
      </c>
      <c r="L21" s="64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P21" s="63">
        <f>IF(ISNUMBER(Bootstrap!E21),Bootstrap!E21,"")</f>
        <v/>
      </c>
      <c r="Q21" s="63">
        <f>IF(ISNUMBER(Bootstrap!X21),Bootstrap!X21,"")</f>
        <v/>
      </c>
      <c r="R21" s="89">
        <f>IF(OR(P21="",Q21=""),"",(P21-Q21)*100)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133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133">
        <f>IFERROR(INDEX(S490_Snapshot!$D$7:$D$38,MATCH(B22,S490_Snapshot!$A$7:$A$38,0)),"")</f>
        <v/>
      </c>
      <c r="L22" s="64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P22" s="63">
        <f>IF(ISNUMBER(Bootstrap!E22),Bootstrap!E22,"")</f>
        <v/>
      </c>
      <c r="Q22" s="63">
        <f>IF(ISNUMBER(Bootstrap!X22),Bootstrap!X22,"")</f>
        <v/>
      </c>
      <c r="R22" s="89">
        <f>IF(OR(P22="",Q22=""),"",(P22-Q22)*100)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133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133">
        <f>IFERROR(INDEX(S490_Snapshot!$D$7:$D$38,MATCH(B23,S490_Snapshot!$A$7:$A$38,0)),"")</f>
        <v/>
      </c>
      <c r="L23" s="64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P23" s="63">
        <f>IF(ISNUMBER(Bootstrap!E23),Bootstrap!E23,"")</f>
        <v/>
      </c>
      <c r="Q23" s="63">
        <f>IF(ISNUMBER(Bootstrap!X23),Bootstrap!X23,"")</f>
        <v/>
      </c>
      <c r="R23" s="89">
        <f>IF(OR(P23="",Q23=""),"",(P23-Q23)*100)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133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133">
        <f>IFERROR(INDEX(S490_Snapshot!$D$7:$D$38,MATCH(B24,S490_Snapshot!$A$7:$A$38,0)),"")</f>
        <v/>
      </c>
      <c r="L24" s="64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P24" s="63">
        <f>IF(ISNUMBER(Bootstrap!E24),Bootstrap!E24,"")</f>
        <v/>
      </c>
      <c r="Q24" s="63">
        <f>IF(ISNUMBER(Bootstrap!X24),Bootstrap!X24,"")</f>
        <v/>
      </c>
      <c r="R24" s="89">
        <f>IF(OR(P24="",Q24=""),"",(P24-Q24)*100)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133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133">
        <f>IFERROR(INDEX(S490_Snapshot!$D$7:$D$38,MATCH(B25,S490_Snapshot!$A$7:$A$38,0)),"")</f>
        <v/>
      </c>
      <c r="L25" s="64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P25" s="63">
        <f>IF(ISNUMBER(Bootstrap!E25),Bootstrap!E25,"")</f>
        <v/>
      </c>
      <c r="Q25" s="63">
        <f>IF(ISNUMBER(Bootstrap!X25),Bootstrap!X25,"")</f>
        <v/>
      </c>
      <c r="R25" s="89">
        <f>IF(OR(P25="",Q25=""),"",(P25-Q25)*100)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133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133">
        <f>IFERROR(INDEX(S490_Snapshot!$D$7:$D$38,MATCH(B26,S490_Snapshot!$A$7:$A$38,0)),"")</f>
        <v/>
      </c>
      <c r="L26" s="64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P26" s="63">
        <f>IF(ISNUMBER(Bootstrap!E26),Bootstrap!E26,"")</f>
        <v/>
      </c>
      <c r="Q26" s="63">
        <f>IF(ISNUMBER(Bootstrap!X26),Bootstrap!X26,"")</f>
        <v/>
      </c>
      <c r="R26" s="89">
        <f>IF(OR(P26="",Q26=""),"",(P26-Q26)*100)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133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133">
        <f>IFERROR(INDEX(S490_Snapshot!$D$7:$D$38,MATCH(B27,S490_Snapshot!$A$7:$A$38,0)),"")</f>
        <v/>
      </c>
      <c r="L27" s="64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P27" s="63">
        <f>IF(ISNUMBER(Bootstrap!E27),Bootstrap!E27,"")</f>
        <v/>
      </c>
      <c r="Q27" s="63">
        <f>IF(ISNUMBER(Bootstrap!X27),Bootstrap!X27,"")</f>
        <v/>
      </c>
      <c r="R27" s="89">
        <f>IF(OR(P27="",Q27=""),"",(P27-Q27)*100)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133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133">
        <f>IFERROR(INDEX(S490_Snapshot!$D$7:$D$38,MATCH(B28,S490_Snapshot!$A$7:$A$38,0)),"")</f>
        <v/>
      </c>
      <c r="L28" s="64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P28" s="63">
        <f>IF(ISNUMBER(Bootstrap!E28),Bootstrap!E28,"")</f>
        <v/>
      </c>
      <c r="Q28" s="63">
        <f>IF(ISNUMBER(Bootstrap!X28),Bootstrap!X28,"")</f>
        <v/>
      </c>
      <c r="R28" s="89">
        <f>IF(OR(P28="",Q28=""),"",(P28-Q28)*100)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133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133">
        <f>IFERROR(INDEX(S490_Snapshot!$D$7:$D$38,MATCH(B29,S490_Snapshot!$A$7:$A$38,0)),"")</f>
        <v/>
      </c>
      <c r="L29" s="64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P29" s="63">
        <f>IF(ISNUMBER(Bootstrap!E29),Bootstrap!E29,"")</f>
        <v/>
      </c>
      <c r="Q29" s="63">
        <f>IF(ISNUMBER(Bootstrap!X29),Bootstrap!X29,"")</f>
        <v/>
      </c>
      <c r="R29" s="89">
        <f>IF(OR(P29="",Q29=""),"",(P29-Q29)*100)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133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133">
        <f>IFERROR(INDEX(S490_Snapshot!$D$7:$D$38,MATCH(B30,S490_Snapshot!$A$7:$A$38,0)),"")</f>
        <v/>
      </c>
      <c r="L30" s="64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P30" s="63">
        <f>IF(ISNUMBER(Bootstrap!E30),Bootstrap!E30,"")</f>
        <v/>
      </c>
      <c r="Q30" s="63">
        <f>IF(ISNUMBER(Bootstrap!X30),Bootstrap!X30,"")</f>
        <v/>
      </c>
      <c r="R30" s="89">
        <f>IF(OR(P30="",Q30=""),"",(P30-Q30)*100)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133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133">
        <f>IFERROR(INDEX(S490_Snapshot!$D$7:$D$38,MATCH(B31,S490_Snapshot!$A$7:$A$38,0)),"")</f>
        <v/>
      </c>
      <c r="L31" s="64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P31" s="63">
        <f>IF(ISNUMBER(Bootstrap!E31),Bootstrap!E31,"")</f>
        <v/>
      </c>
      <c r="Q31" s="63">
        <f>IF(ISNUMBER(Bootstrap!X31),Bootstrap!X31,"")</f>
        <v/>
      </c>
      <c r="R31" s="89">
        <f>IF(OR(P31="",Q31=""),"",(P31-Q31)*100)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133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133">
        <f>IFERROR(INDEX(S490_Snapshot!$D$7:$D$38,MATCH(B32,S490_Snapshot!$A$7:$A$38,0)),"")</f>
        <v/>
      </c>
      <c r="L32" s="64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P32" s="63">
        <f>IF(ISNUMBER(Bootstrap!E32),Bootstrap!E32,"")</f>
        <v/>
      </c>
      <c r="Q32" s="63">
        <f>IF(ISNUMBER(Bootstrap!X32),Bootstrap!X32,"")</f>
        <v/>
      </c>
      <c r="R32" s="89">
        <f>IF(OR(P32="",Q32=""),"",(P32-Q32)*100)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133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133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P33" s="63">
        <f>IF(ISNUMBER(Bootstrap!E33),Bootstrap!E33,"")</f>
        <v/>
      </c>
      <c r="Q33" s="63">
        <f>IF(ISNUMBER(Bootstrap!X33),Bootstrap!X33,"")</f>
        <v/>
      </c>
      <c r="R33" s="89">
        <f>IF(OR(P33="",Q33=""),"",(P33-Q33)*100)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133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133">
        <f>IFERROR(INDEX(S490_Snapshot!$D$7:$D$38,MATCH(B34,S490_Snapshot!$A$7:$A$38,0)),"")</f>
        <v/>
      </c>
      <c r="L34" s="64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P34" s="63">
        <f>IF(ISNUMBER(Bootstrap!E34),Bootstrap!E34,"")</f>
        <v/>
      </c>
      <c r="Q34" s="63">
        <f>IF(ISNUMBER(Bootstrap!X34),Bootstrap!X34,"")</f>
        <v/>
      </c>
      <c r="R34" s="89">
        <f>IF(OR(P34="",Q34=""),"",(P34-Q34)*100)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133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133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P35" s="63">
        <f>IF(ISNUMBER(Bootstrap!E35),Bootstrap!E35,"")</f>
        <v/>
      </c>
      <c r="Q35" s="63">
        <f>IF(ISNUMBER(Bootstrap!X35),Bootstrap!X35,"")</f>
        <v/>
      </c>
      <c r="R35" s="89">
        <f>IF(OR(P35="",Q35=""),"",(P35-Q35)*100)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133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133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P36" s="63">
        <f>IF(ISNUMBER(Bootstrap!E36),Bootstrap!E36,"")</f>
        <v/>
      </c>
      <c r="Q36" s="63">
        <f>IF(ISNUMBER(Bootstrap!X36),Bootstrap!X36,"")</f>
        <v/>
      </c>
      <c r="R36" s="89">
        <f>IF(OR(P36="",Q36=""),"",(P36-Q36)*100)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133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133">
        <f>IFERROR(INDEX(S490_Snapshot!$D$7:$D$38,MATCH(B37,S490_Snapshot!$A$7:$A$38,0)),"")</f>
        <v/>
      </c>
      <c r="L37" s="64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P37" s="63">
        <f>IF(ISNUMBER(Bootstrap!E37),Bootstrap!E37,"")</f>
        <v/>
      </c>
      <c r="Q37" s="63">
        <f>IF(ISNUMBER(Bootstrap!X37),Bootstrap!X37,"")</f>
        <v/>
      </c>
      <c r="R37" s="89">
        <f>IF(OR(P37="",Q37=""),"",(P37-Q37)*100)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133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133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P38" s="63">
        <f>IF(ISNUMBER(Bootstrap!E38),Bootstrap!E38,"")</f>
        <v/>
      </c>
      <c r="Q38" s="63">
        <f>IF(ISNUMBER(Bootstrap!X38),Bootstrap!X38,"")</f>
        <v/>
      </c>
      <c r="R38" s="89">
        <f>IF(OR(P38="",Q38=""),"",(P38-Q38)*100)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133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133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P39" s="63">
        <f>IF(ISNUMBER(Bootstrap!E39),Bootstrap!E39,"")</f>
        <v/>
      </c>
      <c r="Q39" s="63">
        <f>IF(ISNUMBER(Bootstrap!X39),Bootstrap!X39,"")</f>
        <v/>
      </c>
      <c r="R39" s="89">
        <f>IF(OR(P39="",Q39=""),"",(P39-Q39)*100)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133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133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P40" s="63">
        <f>IF(ISNUMBER(Bootstrap!E40),Bootstrap!E40,"")</f>
        <v/>
      </c>
      <c r="Q40" s="63">
        <f>IF(ISNUMBER(Bootstrap!X40),Bootstrap!X40,"")</f>
        <v/>
      </c>
      <c r="R40" s="89">
        <f>IF(OR(P40="",Q40=""),"",(P40-Q40)*100)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133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133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  <c r="P41" s="63">
        <f>IF(ISNUMBER(Bootstrap!E41),Bootstrap!E41,"")</f>
        <v/>
      </c>
      <c r="Q41" s="63">
        <f>IF(ISNUMBER(Bootstrap!X41),Bootstrap!X41,"")</f>
        <v/>
      </c>
      <c r="R41" s="89">
        <f>IF(OR(P41="",Q41=""),"",(P41-Q41)*100)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133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133">
        <f>IFERROR(INDEX(S490_Snapshot!$D$7:$D$38,MATCH(B42,S490_Snapshot!$A$7:$A$38,0)),"")</f>
        <v/>
      </c>
      <c r="L42" s="64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  <c r="P42" s="63">
        <f>IF(ISNUMBER(Bootstrap!E42),Bootstrap!E42,"")</f>
        <v/>
      </c>
      <c r="Q42" s="63">
        <f>IF(ISNUMBER(Bootstrap!X42),Bootstrap!X42,"")</f>
        <v/>
      </c>
      <c r="R42" s="89">
        <f>IF(OR(P42="",Q42=""),"",(P42-Q42)*100)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133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133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  <c r="P43" s="63">
        <f>IF(ISNUMBER(Bootstrap!E43),Bootstrap!E43,"")</f>
        <v/>
      </c>
      <c r="Q43" s="63">
        <f>IF(ISNUMBER(Bootstrap!X43),Bootstrap!X43,"")</f>
        <v/>
      </c>
      <c r="R43" s="89">
        <f>IF(OR(P43="",Q43=""),"",(P43-Q43)*100)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133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133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  <c r="P44" s="63">
        <f>IF(ISNUMBER(Bootstrap!E44),Bootstrap!E44,"")</f>
        <v/>
      </c>
      <c r="Q44" s="63">
        <f>IF(ISNUMBER(Bootstrap!X44),Bootstrap!X44,"")</f>
        <v/>
      </c>
      <c r="R44" s="89">
        <f>IF(OR(P44="",Q44=""),"",(P44-Q44)*100)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133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133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  <c r="P45" s="63">
        <f>IF(ISNUMBER(Bootstrap!E45),Bootstrap!E45,"")</f>
        <v/>
      </c>
      <c r="Q45" s="63">
        <f>IF(ISNUMBER(Bootstrap!X45),Bootstrap!X45,"")</f>
        <v/>
      </c>
      <c r="R45" s="89">
        <f>IF(OR(P45="",Q45=""),"",(P45-Q45)*100)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133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133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  <c r="P46" s="63">
        <f>IF(ISNUMBER(Bootstrap!E46),Bootstrap!E46,"")</f>
        <v/>
      </c>
      <c r="Q46" s="63">
        <f>IF(ISNUMBER(Bootstrap!X46),Bootstrap!X46,"")</f>
        <v/>
      </c>
      <c r="R46" s="89">
        <f>IF(OR(P46="",Q46=""),"",(P46-Q46)*100)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133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133">
        <f>IFERROR(INDEX(S490_Snapshot!$D$7:$D$38,MATCH(B47,S490_Snapshot!$A$7:$A$38,0)),"")</f>
        <v/>
      </c>
      <c r="L47" s="64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  <c r="P47" s="63">
        <f>IF(ISNUMBER(Bootstrap!E47),Bootstrap!E47,"")</f>
        <v/>
      </c>
      <c r="Q47" s="63">
        <f>IF(ISNUMBER(Bootstrap!X47),Bootstrap!X47,"")</f>
        <v/>
      </c>
      <c r="R47" s="89">
        <f>IF(OR(P47="",Q47=""),"",(P47-Q47)*100)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133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133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  <c r="P48" s="63">
        <f>IF(ISNUMBER(Bootstrap!E48),Bootstrap!E48,"")</f>
        <v/>
      </c>
      <c r="Q48" s="63">
        <f>IF(ISNUMBER(Bootstrap!X48),Bootstrap!X48,"")</f>
        <v/>
      </c>
      <c r="R48" s="89">
        <f>IF(OR(P48="",Q48=""),"",(P48-Q48)*100)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133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133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  <c r="P49" s="63">
        <f>IF(ISNUMBER(Bootstrap!E49),Bootstrap!E49,"")</f>
        <v/>
      </c>
      <c r="Q49" s="63">
        <f>IF(ISNUMBER(Bootstrap!X49),Bootstrap!X49,"")</f>
        <v/>
      </c>
      <c r="R49" s="89">
        <f>IF(OR(P49="",Q49=""),"",(P49-Q49)*100)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133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133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  <c r="P50" s="63">
        <f>IF(ISNUMBER(Bootstrap!E50),Bootstrap!E50,"")</f>
        <v/>
      </c>
      <c r="Q50" s="63">
        <f>IF(ISNUMBER(Bootstrap!X50),Bootstrap!X50,"")</f>
        <v/>
      </c>
      <c r="R50" s="89">
        <f>IF(OR(P50="",Q50=""),"",(P50-Q50)*100)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133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133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  <c r="P51" s="63">
        <f>IF(ISNUMBER(Bootstrap!E51),Bootstrap!E51,"")</f>
        <v/>
      </c>
      <c r="Q51" s="63">
        <f>IF(ISNUMBER(Bootstrap!X51),Bootstrap!X51,"")</f>
        <v/>
      </c>
      <c r="R51" s="89">
        <f>IF(OR(P51="",Q51=""),"",(P51-Q51)*100)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133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133">
        <f>IFERROR(INDEX(S490_Snapshot!$D$7:$D$38,MATCH(B52,S490_Snapshot!$A$7:$A$38,0)),"")</f>
        <v/>
      </c>
      <c r="L52" s="64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  <c r="P52" s="63">
        <f>IF(ISNUMBER(Bootstrap!E52),Bootstrap!E52,"")</f>
        <v/>
      </c>
      <c r="Q52" s="63">
        <f>IF(ISNUMBER(Bootstrap!X52),Bootstrap!X52,"")</f>
        <v/>
      </c>
      <c r="R52" s="89">
        <f>IF(OR(P52="",Q52=""),"",(P52-Q52)*100)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133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133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  <c r="P53" s="63">
        <f>IF(ISNUMBER(Bootstrap!E53),Bootstrap!E53,"")</f>
        <v/>
      </c>
      <c r="Q53" s="63">
        <f>IF(ISNUMBER(Bootstrap!X53),Bootstrap!X53,"")</f>
        <v/>
      </c>
      <c r="R53" s="89">
        <f>IF(OR(P53="",Q53=""),"",(P53-Q53)*100)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133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133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  <c r="P54" s="63">
        <f>IF(ISNUMBER(Bootstrap!E54),Bootstrap!E54,"")</f>
        <v/>
      </c>
      <c r="Q54" s="63">
        <f>IF(ISNUMBER(Bootstrap!X54),Bootstrap!X54,"")</f>
        <v/>
      </c>
      <c r="R54" s="89">
        <f>IF(OR(P54="",Q54=""),"",(P54-Q54)*100)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133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133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  <c r="P55" s="63">
        <f>IF(ISNUMBER(Bootstrap!E55),Bootstrap!E55,"")</f>
        <v/>
      </c>
      <c r="Q55" s="63">
        <f>IF(ISNUMBER(Bootstrap!X55),Bootstrap!X55,"")</f>
        <v/>
      </c>
      <c r="R55" s="89">
        <f>IF(OR(P55="",Q55=""),"",(P55-Q55)*100)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133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133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  <c r="P56" s="63">
        <f>IF(ISNUMBER(Bootstrap!E56),Bootstrap!E56,"")</f>
        <v/>
      </c>
      <c r="Q56" s="63">
        <f>IF(ISNUMBER(Bootstrap!X56),Bootstrap!X56,"")</f>
        <v/>
      </c>
      <c r="R56" s="89">
        <f>IF(OR(P56="",Q56=""),"",(P56-Q56)*100)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133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133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  <c r="P57" s="63">
        <f>IF(ISNUMBER(Bootstrap!E57),Bootstrap!E57,"")</f>
        <v/>
      </c>
      <c r="Q57" s="63">
        <f>IF(ISNUMBER(Bootstrap!X57),Bootstrap!X57,"")</f>
        <v/>
      </c>
      <c r="R57" s="89">
        <f>IF(OR(P57="",Q57=""),"",(P57-Q57)*100)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133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133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  <c r="P58" s="63">
        <f>IF(ISNUMBER(Bootstrap!E58),Bootstrap!E58,"")</f>
        <v/>
      </c>
      <c r="Q58" s="63">
        <f>IF(ISNUMBER(Bootstrap!X58),Bootstrap!X58,"")</f>
        <v/>
      </c>
      <c r="R58" s="89">
        <f>IF(OR(P58="",Q58=""),"",(P58-Q58)*100)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133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133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  <c r="P59" s="63">
        <f>IF(ISNUMBER(Bootstrap!E59),Bootstrap!E59,"")</f>
        <v/>
      </c>
      <c r="Q59" s="63">
        <f>IF(ISNUMBER(Bootstrap!X59),Bootstrap!X59,"")</f>
        <v/>
      </c>
      <c r="R59" s="89">
        <f>IF(OR(P59="",Q59=""),"",(P59-Q59)*100)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133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133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  <c r="P60" s="63">
        <f>IF(ISNUMBER(Bootstrap!E60),Bootstrap!E60,"")</f>
        <v/>
      </c>
      <c r="Q60" s="63">
        <f>IF(ISNUMBER(Bootstrap!X60),Bootstrap!X60,"")</f>
        <v/>
      </c>
      <c r="R60" s="89">
        <f>IF(OR(P60="",Q60=""),"",(P60-Q60)*100)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133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133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  <c r="P61" s="63">
        <f>IF(ISNUMBER(Bootstrap!E61),Bootstrap!E61,"")</f>
        <v/>
      </c>
      <c r="Q61" s="63">
        <f>IF(ISNUMBER(Bootstrap!X61),Bootstrap!X61,"")</f>
        <v/>
      </c>
      <c r="R61" s="89">
        <f>IF(OR(P61="",Q61=""),"",(P61-Q61)*100)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133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133">
        <f>IFERROR(INDEX(S490_Snapshot!$D$7:$D$38,MATCH(B62,S490_Snapshot!$A$7:$A$38,0)),"")</f>
        <v/>
      </c>
      <c r="L62" s="64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  <c r="P62" s="63">
        <f>IF(ISNUMBER(Bootstrap!E62),Bootstrap!E62,"")</f>
        <v/>
      </c>
      <c r="Q62" s="63">
        <f>IF(ISNUMBER(Bootstrap!X62),Bootstrap!X62,"")</f>
        <v/>
      </c>
      <c r="R62" s="89">
        <f>IF(OR(P62="",Q62=""),"",(P62-Q62)*100)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133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133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  <c r="P63" s="63">
        <f>IF(ISNUMBER(Bootstrap!E63),Bootstrap!E63,"")</f>
        <v/>
      </c>
      <c r="Q63" s="63">
        <f>IF(ISNUMBER(Bootstrap!X63),Bootstrap!X63,"")</f>
        <v/>
      </c>
      <c r="R63" s="89">
        <f>IF(OR(P63="",Q63=""),"",(P63-Q63)*100)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133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133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  <c r="P64" s="63">
        <f>IF(ISNUMBER(Bootstrap!E64),Bootstrap!E64,"")</f>
        <v/>
      </c>
      <c r="Q64" s="63">
        <f>IF(ISNUMBER(Bootstrap!X64),Bootstrap!X64,"")</f>
        <v/>
      </c>
      <c r="R64" s="89">
        <f>IF(OR(P64="",Q64=""),"",(P64-Q64)*100)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133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133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  <c r="P65" s="63">
        <f>IF(ISNUMBER(Bootstrap!E65),Bootstrap!E65,"")</f>
        <v/>
      </c>
      <c r="Q65" s="63">
        <f>IF(ISNUMBER(Bootstrap!X65),Bootstrap!X65,"")</f>
        <v/>
      </c>
      <c r="R65" s="89">
        <f>IF(OR(P65="",Q65=""),"",(P65-Q65)*100)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133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133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  <c r="P66" s="63">
        <f>IF(ISNUMBER(Bootstrap!E66),Bootstrap!E66,"")</f>
        <v/>
      </c>
      <c r="Q66" s="63">
        <f>IF(ISNUMBER(Bootstrap!X66),Bootstrap!X66,"")</f>
        <v/>
      </c>
      <c r="R66" s="89">
        <f>IF(OR(P66="",Q66=""),"",(P66-Q66)*100)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133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133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  <c r="P67" s="63">
        <f>IF(ISNUMBER(Bootstrap!E67),Bootstrap!E67,"")</f>
        <v/>
      </c>
      <c r="Q67" s="63">
        <f>IF(ISNUMBER(Bootstrap!X67),Bootstrap!X67,"")</f>
        <v/>
      </c>
      <c r="R67" s="89">
        <f>IF(OR(P67="",Q67=""),"",(P67-Q67)*100)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133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133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  <c r="P68" s="63">
        <f>IF(ISNUMBER(Bootstrap!E68),Bootstrap!E68,"")</f>
        <v/>
      </c>
      <c r="Q68" s="63">
        <f>IF(ISNUMBER(Bootstrap!X68),Bootstrap!X68,"")</f>
        <v/>
      </c>
      <c r="R68" s="89">
        <f>IF(OR(P68="",Q68=""),"",(P68-Q68)*100)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133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133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  <c r="P69" s="63">
        <f>IF(ISNUMBER(Bootstrap!E69),Bootstrap!E69,"")</f>
        <v/>
      </c>
      <c r="Q69" s="63">
        <f>IF(ISNUMBER(Bootstrap!X69),Bootstrap!X69,"")</f>
        <v/>
      </c>
      <c r="R69" s="89">
        <f>IF(OR(P69="",Q69=""),"",(P69-Q69)*100)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133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133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  <c r="P70" s="63">
        <f>IF(ISNUMBER(Bootstrap!E70),Bootstrap!E70,"")</f>
        <v/>
      </c>
      <c r="Q70" s="63">
        <f>IF(ISNUMBER(Bootstrap!X70),Bootstrap!X70,"")</f>
        <v/>
      </c>
      <c r="R70" s="89">
        <f>IF(OR(P70="",Q70=""),"",(P70-Q70)*100)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133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133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  <c r="P71" s="63">
        <f>IF(ISNUMBER(Bootstrap!E71),Bootstrap!E71,"")</f>
        <v/>
      </c>
      <c r="Q71" s="63">
        <f>IF(ISNUMBER(Bootstrap!X71),Bootstrap!X71,"")</f>
        <v/>
      </c>
      <c r="R71" s="89">
        <f>IF(OR(P71="",Q71=""),"",(P71-Q71)*100)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133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133">
        <f>IFERROR(INDEX(S490_Snapshot!$D$7:$D$38,MATCH(B72,S490_Snapshot!$A$7:$A$38,0)),"")</f>
        <v/>
      </c>
      <c r="L72" s="64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  <c r="P72" s="63">
        <f>IF(ISNUMBER(Bootstrap!E72),Bootstrap!E72,"")</f>
        <v/>
      </c>
      <c r="Q72" s="63">
        <f>IF(ISNUMBER(Bootstrap!X72),Bootstrap!X72,"")</f>
        <v/>
      </c>
      <c r="R72" s="89">
        <f>IF(OR(P72="",Q72=""),"",(P72-Q72)*100)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 L = frozen S490 zeros, hard-coded 07/21/26. Col E compares our bootstrap to it. D (live BDS) and G (snapshot) are secondary.</t>
        </is>
      </c>
    </row>
    <row r="80">
      <c r="A80" s="67" t="inlineStr">
        <is>
          <t>Input check: par rates</t>
        </is>
      </c>
      <c r="C80" s="87">
        <f>COUNT(R8:R72)&amp;" pillars"</f>
        <v/>
      </c>
    </row>
    <row r="81">
      <c r="A81" s="67" t="inlineStr">
        <is>
          <t>Max |d| dynamic vs hard-coded (bp)</t>
        </is>
      </c>
      <c r="C81" s="90">
        <f>IF(COUNT(R8:R72)=0,"",MAX(MAX(R8:R72),-MIN(R8:R72)))</f>
        <v/>
      </c>
    </row>
    <row r="82">
      <c r="A82" s="67" t="inlineStr">
        <is>
          <t>Mean d (bp)</t>
        </is>
      </c>
      <c r="C82" s="90">
        <f>IF(COUNT(R8:R72)=0,"",AVERAGE(R8:R72))</f>
        <v/>
      </c>
    </row>
    <row r="84">
      <c r="A84" s="65" t="inlineStr">
        <is>
          <t>P/Q/R compare the INPUT. L/E compare the OUTPUT. A non-zero mean in C82 means the live pull has drifted from the frozen capture, so the output diff in E is measuring against a different market.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 —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 —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 — Help Desk H#1330731572</t>
        </is>
      </c>
      <c r="AR3" s="67" t="inlineStr">
        <is>
          <t>IN USE  =  live if it resolved, else manual, else 0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 t="inlineStr">
        <is>
          <t>China CITIC Bank Intl</t>
        </is>
      </c>
      <c r="B5" s="68" t="inlineStr"/>
      <c r="C5" s="68" t="inlineStr">
        <is>
          <t>USD</t>
        </is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IF(ISNUMBER(AG5),AG5,IF(ISNUMBER(H5),H5,0))</f>
        <v/>
      </c>
      <c r="AS5" s="133">
        <f>IF(ISNUMBER(AI5),AI5,IF(ISNUMBER(I5),I5,0))</f>
        <v/>
      </c>
      <c r="AT5" s="133">
        <f>IF(ISNUMBER(AK5),AK5,IF(ISNUMBER(J5),J5,0))</f>
        <v/>
      </c>
      <c r="AU5" s="133">
        <f>IF(ISNUMBER(AM5),AM5,IF(ISNUMBER(K5),K5,0))</f>
        <v/>
      </c>
      <c r="AV5" s="133">
        <f>IF(ISNUMBER(AO5),AO5,IF(ISNUMBER(L5),L5,0))</f>
        <v/>
      </c>
      <c r="AW5" s="133">
        <f>IF(ISNUMBER(AQ5),AQ5,IF(ISNUMBER(M5),M5,0))</f>
        <v/>
      </c>
    </row>
    <row r="6">
      <c r="A6" s="68" t="inlineStr">
        <is>
          <t>DEMO curve (not market)</t>
        </is>
      </c>
      <c r="B6" s="68" t="n"/>
      <c r="C6" s="68" t="inlineStr">
        <is>
          <t>USD</t>
        </is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IF(ISNUMBER(AG6),AG6,IF(ISNUMBER(H6),H6,0))</f>
        <v/>
      </c>
      <c r="AS6" s="133">
        <f>IF(ISNUMBER(AI6),AI6,IF(ISNUMBER(I6),I6,0))</f>
        <v/>
      </c>
      <c r="AT6" s="133">
        <f>IF(ISNUMBER(AK6),AK6,IF(ISNUMBER(J6),J6,0))</f>
        <v/>
      </c>
      <c r="AU6" s="133">
        <f>IF(ISNUMBER(AM6),AM6,IF(ISNUMBER(K6),K6,0))</f>
        <v/>
      </c>
      <c r="AV6" s="133">
        <f>IF(ISNUMBER(AO6),AO6,IF(ISNUMBER(L6),L6,0))</f>
        <v/>
      </c>
      <c r="AW6" s="133">
        <f>IF(ISNUMBER(AQ6),AQ6,IF(ISNUMBER(M6),M6,0))</f>
        <v/>
      </c>
    </row>
    <row r="7">
      <c r="A7" s="68" t="n"/>
      <c r="B7" s="68" t="n"/>
      <c r="C7" s="68" t="n"/>
      <c r="D7" s="68" t="n"/>
      <c r="E7" s="68" t="n"/>
      <c r="F7" s="147" t="n"/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IF(ISNUMBER(AG7),AG7,IF(ISNUMBER(H7),H7,0))</f>
        <v/>
      </c>
      <c r="AS7" s="133">
        <f>IF(ISNUMBER(AI7),AI7,IF(ISNUMBER(I7),I7,0))</f>
        <v/>
      </c>
      <c r="AT7" s="133">
        <f>IF(ISNUMBER(AK7),AK7,IF(ISNUMBER(J7),J7,0))</f>
        <v/>
      </c>
      <c r="AU7" s="133">
        <f>IF(ISNUMBER(AM7),AM7,IF(ISNUMBER(K7),K7,0))</f>
        <v/>
      </c>
      <c r="AV7" s="133">
        <f>IF(ISNUMBER(AO7),AO7,IF(ISNUMBER(L7),L7,0))</f>
        <v/>
      </c>
      <c r="AW7" s="133">
        <f>IF(ISNUMBER(AQ7),AQ7,IF(ISNUMBER(M7),M7,0))</f>
        <v/>
      </c>
    </row>
    <row r="8">
      <c r="A8" s="68" t="n"/>
      <c r="B8" s="68" t="n"/>
      <c r="C8" s="68" t="n"/>
      <c r="D8" s="68" t="n"/>
      <c r="E8" s="68" t="n"/>
      <c r="F8" s="147" t="n"/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IF(ISNUMBER(AG8),AG8,IF(ISNUMBER(H8),H8,0))</f>
        <v/>
      </c>
      <c r="AS8" s="133">
        <f>IF(ISNUMBER(AI8),AI8,IF(ISNUMBER(I8),I8,0))</f>
        <v/>
      </c>
      <c r="AT8" s="133">
        <f>IF(ISNUMBER(AK8),AK8,IF(ISNUMBER(J8),J8,0))</f>
        <v/>
      </c>
      <c r="AU8" s="133">
        <f>IF(ISNUMBER(AM8),AM8,IF(ISNUMBER(K8),K8,0))</f>
        <v/>
      </c>
      <c r="AV8" s="133">
        <f>IF(ISNUMBER(AO8),AO8,IF(ISNUMBER(L8),L8,0))</f>
        <v/>
      </c>
      <c r="AW8" s="133">
        <f>IF(ISNUMBER(AQ8),AQ8,IF(ISNUMBER(M8),M8,0))</f>
        <v/>
      </c>
    </row>
    <row r="9">
      <c r="A9" s="68" t="n"/>
      <c r="B9" s="68" t="n"/>
      <c r="C9" s="68" t="n"/>
      <c r="D9" s="68" t="n"/>
      <c r="E9" s="68" t="n"/>
      <c r="F9" s="147" t="n"/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IF(ISNUMBER(AG9),AG9,IF(ISNUMBER(H9),H9,0))</f>
        <v/>
      </c>
      <c r="AS9" s="133">
        <f>IF(ISNUMBER(AI9),AI9,IF(ISNUMBER(I9),I9,0))</f>
        <v/>
      </c>
      <c r="AT9" s="133">
        <f>IF(ISNUMBER(AK9),AK9,IF(ISNUMBER(J9),J9,0))</f>
        <v/>
      </c>
      <c r="AU9" s="133">
        <f>IF(ISNUMBER(AM9),AM9,IF(ISNUMBER(K9),K9,0))</f>
        <v/>
      </c>
      <c r="AV9" s="133">
        <f>IF(ISNUMBER(AO9),AO9,IF(ISNUMBER(L9),L9,0))</f>
        <v/>
      </c>
      <c r="AW9" s="133">
        <f>IF(ISNUMBER(AQ9),AQ9,IF(ISNUMBER(M9),M9,0))</f>
        <v/>
      </c>
    </row>
    <row r="10">
      <c r="A10" s="68" t="n"/>
      <c r="B10" s="68" t="n"/>
      <c r="C10" s="68" t="n"/>
      <c r="D10" s="68" t="n"/>
      <c r="E10" s="68" t="n"/>
      <c r="F10" s="147" t="n"/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IF(ISNUMBER(AG10),AG10,IF(ISNUMBER(H10),H10,0))</f>
        <v/>
      </c>
      <c r="AS10" s="133">
        <f>IF(ISNUMBER(AI10),AI10,IF(ISNUMBER(I10),I10,0))</f>
        <v/>
      </c>
      <c r="AT10" s="133">
        <f>IF(ISNUMBER(AK10),AK10,IF(ISNUMBER(J10),J10,0))</f>
        <v/>
      </c>
      <c r="AU10" s="133">
        <f>IF(ISNUMBER(AM10),AM10,IF(ISNUMBER(K10),K10,0))</f>
        <v/>
      </c>
      <c r="AV10" s="133">
        <f>IF(ISNUMBER(AO10),AO10,IF(ISNUMBER(L10),L10,0))</f>
        <v/>
      </c>
      <c r="AW10" s="133">
        <f>IF(ISNUMBER(AQ10),AQ10,IF(ISNUMBER(M10),M10,0))</f>
        <v/>
      </c>
    </row>
    <row r="11">
      <c r="A11" s="68" t="n"/>
      <c r="B11" s="68" t="n"/>
      <c r="C11" s="68" t="n"/>
      <c r="D11" s="68" t="n"/>
      <c r="E11" s="68" t="n"/>
      <c r="F11" s="147" t="n"/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IF(ISNUMBER(AG11),AG11,IF(ISNUMBER(H11),H11,0))</f>
        <v/>
      </c>
      <c r="AS11" s="133">
        <f>IF(ISNUMBER(AI11),AI11,IF(ISNUMBER(I11),I11,0))</f>
        <v/>
      </c>
      <c r="AT11" s="133">
        <f>IF(ISNUMBER(AK11),AK11,IF(ISNUMBER(J11),J11,0))</f>
        <v/>
      </c>
      <c r="AU11" s="133">
        <f>IF(ISNUMBER(AM11),AM11,IF(ISNUMBER(K11),K11,0))</f>
        <v/>
      </c>
      <c r="AV11" s="133">
        <f>IF(ISNUMBER(AO11),AO11,IF(ISNUMBER(L11),L11,0))</f>
        <v/>
      </c>
      <c r="AW11" s="133">
        <f>IF(ISNUMBER(AQ11),AQ11,IF(ISNUMBER(M11),M11,0))</f>
        <v/>
      </c>
    </row>
    <row r="12">
      <c r="A12" s="68" t="n"/>
      <c r="B12" s="68" t="n"/>
      <c r="C12" s="68" t="n"/>
      <c r="D12" s="68" t="n"/>
      <c r="E12" s="68" t="n"/>
      <c r="F12" s="147" t="n"/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IF(ISNUMBER(AG12),AG12,IF(ISNUMBER(H12),H12,0))</f>
        <v/>
      </c>
      <c r="AS12" s="133">
        <f>IF(ISNUMBER(AI12),AI12,IF(ISNUMBER(I12),I12,0))</f>
        <v/>
      </c>
      <c r="AT12" s="133">
        <f>IF(ISNUMBER(AK12),AK12,IF(ISNUMBER(J12),J12,0))</f>
        <v/>
      </c>
      <c r="AU12" s="133">
        <f>IF(ISNUMBER(AM12),AM12,IF(ISNUMBER(K12),K12,0))</f>
        <v/>
      </c>
      <c r="AV12" s="133">
        <f>IF(ISNUMBER(AO12),AO12,IF(ISNUMBER(L12),L12,0))</f>
        <v/>
      </c>
      <c r="AW12" s="133">
        <f>IF(ISNUMBER(AQ12),AQ12,IF(ISNUMBER(M12),M12,0))</f>
        <v/>
      </c>
    </row>
    <row r="13">
      <c r="A13" s="68" t="n"/>
      <c r="B13" s="68" t="n"/>
      <c r="C13" s="68" t="n"/>
      <c r="D13" s="68" t="n"/>
      <c r="E13" s="68" t="n"/>
      <c r="F13" s="147" t="n"/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IF(ISNUMBER(AG13),AG13,IF(ISNUMBER(H13),H13,0))</f>
        <v/>
      </c>
      <c r="AS13" s="133">
        <f>IF(ISNUMBER(AI13),AI13,IF(ISNUMBER(I13),I13,0))</f>
        <v/>
      </c>
      <c r="AT13" s="133">
        <f>IF(ISNUMBER(AK13),AK13,IF(ISNUMBER(J13),J13,0))</f>
        <v/>
      </c>
      <c r="AU13" s="133">
        <f>IF(ISNUMBER(AM13),AM13,IF(ISNUMBER(K13),K13,0))</f>
        <v/>
      </c>
      <c r="AV13" s="133">
        <f>IF(ISNUMBER(AO13),AO13,IF(ISNUMBER(L13),L13,0))</f>
        <v/>
      </c>
      <c r="AW13" s="133">
        <f>IF(ISNUMBER(AQ13),AQ13,IF(ISNUMBER(M13),M13,0))</f>
        <v/>
      </c>
    </row>
    <row r="14">
      <c r="A14" s="68" t="n"/>
      <c r="B14" s="68" t="n"/>
      <c r="C14" s="68" t="n"/>
      <c r="D14" s="68" t="n"/>
      <c r="E14" s="68" t="n"/>
      <c r="F14" s="147" t="n"/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IF(ISNUMBER(AG14),AG14,IF(ISNUMBER(H14),H14,0))</f>
        <v/>
      </c>
      <c r="AS14" s="133">
        <f>IF(ISNUMBER(AI14),AI14,IF(ISNUMBER(I14),I14,0))</f>
        <v/>
      </c>
      <c r="AT14" s="133">
        <f>IF(ISNUMBER(AK14),AK14,IF(ISNUMBER(J14),J14,0))</f>
        <v/>
      </c>
      <c r="AU14" s="133">
        <f>IF(ISNUMBER(AM14),AM14,IF(ISNUMBER(K14),K14,0))</f>
        <v/>
      </c>
      <c r="AV14" s="133">
        <f>IF(ISNUMBER(AO14),AO14,IF(ISNUMBER(L14),L14,0))</f>
        <v/>
      </c>
      <c r="AW14" s="133">
        <f>IF(ISNUMBER(AQ14),AQ14,IF(ISNUMBER(M14),M14,0))</f>
        <v/>
      </c>
    </row>
    <row r="16">
      <c r="A16" s="66" t="inlineStr">
        <is>
          <t>Row 5 is the reference screen already on file. Only its 5Y spread is known —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 t="inlineStr">
        <is>
          <t>DEMO curve (not market)</t>
        </is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2026-07-22T08:42:05Z</dcterms:modified>
</cp:coreProperties>
</file>