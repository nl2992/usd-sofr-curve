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Bootstrap_Lehman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onventions" sheetId="13" state="visible" r:id="rId13"/>
    <sheet xmlns:r="http://schemas.openxmlformats.org/officeDocument/2006/relationships" name="Fwd_Interp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  <sheet xmlns:r="http://schemas.openxmlformats.org/officeDocument/2006/relationships" name="Hazard_Solver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0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65" t="inlineStr">
        <is>
          <t>FITTED, not an observed fixing: 3.64055% is the overnight rate that makes DFspot reproduce the screen's discount column (spot lag T+2, ACT/360). Replace with the real SOFR fixing if you prefer observed inputs - it moves the whole curve by ~1e-6 in DF.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8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30" t="n"/>
      <c r="E40" s="31">
        <f>IF(D40="","",(C40-D40)*100)</f>
        <v/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30" t="n"/>
      <c r="E41" s="31">
        <f>IF(D41="","",(C41-D41)*100)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30" t="n"/>
      <c r="E42" s="31">
        <f>IF(D42="","",(C42-D42)*100)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30" t="n"/>
      <c r="E43" s="31">
        <f>IF(D43="","",(C43-D43)*100)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30" t="n"/>
      <c r="E44" s="31">
        <f>IF(D44="","",(C44-D44)*100)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30" t="n"/>
      <c r="E45" s="31">
        <f>IF(D45="","",(C45-D45)*100)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30" t="n"/>
      <c r="E46" s="31">
        <f>IF(D46="","",(C46-D46)*100)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30" t="n"/>
      <c r="E47" s="31">
        <f>IF(D47="","",(C47-D47)*100)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30" t="n"/>
      <c r="E48" s="31">
        <f>IF(D48="","",(C48-D48)*100)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30" t="n"/>
      <c r="E49" s="31">
        <f>IF(D49="","",(C49-D49)*100)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30" t="n"/>
      <c r="E50" s="31">
        <f>IF(D50="","",(C50-D50)*100)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30" t="n"/>
      <c r="E51" s="31">
        <f>IF(D51="","",(C51-D51)*100)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30" t="n"/>
      <c r="E52" s="31">
        <f>IF(D52="","",(C52-D52)*100)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30" t="n"/>
      <c r="E53" s="31">
        <f>IF(D53="","",(C53-D53)*100)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30" t="n"/>
      <c r="E54" s="31">
        <f>IF(D54="","",(C54-D54)*100)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30" t="n"/>
      <c r="E55" s="31">
        <f>IF(D55="","",(C55-D55)*100)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30" t="n"/>
      <c r="E56" s="31">
        <f>IF(D56="","",(C56-D56)*100)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30" t="n"/>
      <c r="E57" s="31">
        <f>IF(D57="","",(C57-D57)*100)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30" t="n"/>
      <c r="E58" s="31">
        <f>IF(D58="","",(C58-D58)*100)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30" t="n"/>
      <c r="E59" s="31">
        <f>IF(D59="","",(C59-D59)*100)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30" t="n"/>
      <c r="E60" s="31">
        <f>IF(D60="","",(C60-D60)*100)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30" t="n"/>
      <c r="E61" s="31">
        <f>IF(D61="","",(C61-D61)*100)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30" t="n"/>
      <c r="E62" s="31">
        <f>IF(D62="","",(C62-D62)*100)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30" t="n"/>
      <c r="E63" s="31">
        <f>IF(D63="","",(C63-D63)*100)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30" t="n"/>
      <c r="E64" s="31">
        <f>IF(D64="","",(C64-D64)*100)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30" t="n"/>
      <c r="E65" s="31">
        <f>IF(D65="","",(C65-D65)*100)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30" t="n"/>
      <c r="E66" s="31">
        <f>IF(D66="","",(C66-D66)*100)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30" t="n"/>
      <c r="E67" s="31">
        <f>IF(D67="","",(C67-D67)*100)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30" t="n"/>
      <c r="E68" s="31">
        <f>IF(D68="","",(C68-D68)*100)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30" t="n"/>
      <c r="E69" s="31">
        <f>IF(D69="","",(C69-D69)*100)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30" t="n"/>
      <c r="E70" s="31">
        <f>IF(D70="","",(C70-D70)*100)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30" t="n"/>
      <c r="E71" s="31">
        <f>IF(D71="","",(C71-D71)*100)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30" t="n"/>
      <c r="E72" s="31">
        <f>IF(D72="","",(C72-D72)*100)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2026-07-21T13:52:43Z</dcterms:modified>
</cp:coreProperties>
</file>