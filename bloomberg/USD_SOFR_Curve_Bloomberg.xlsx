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Future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Bootstrap" sheetId="6" state="visible" r:id="rId6"/>
    <sheet xmlns:r="http://schemas.openxmlformats.org/officeDocument/2006/relationships" name="Bootstrap_Lehman" sheetId="7" state="visible" r:id="rId7"/>
    <sheet xmlns:r="http://schemas.openxmlformats.org/officeDocument/2006/relationships" name="Swap_Pricer" sheetId="8" state="visible" r:id="rId8"/>
    <sheet xmlns:r="http://schemas.openxmlformats.org/officeDocument/2006/relationships" name="Curve_Interface" sheetId="9" state="visible" r:id="rId9"/>
    <sheet xmlns:r="http://schemas.openxmlformats.org/officeDocument/2006/relationships" name="Bloomberg_S490_Validation" sheetId="10" state="visible" r:id="rId10"/>
    <sheet xmlns:r="http://schemas.openxmlformats.org/officeDocument/2006/relationships" name="Conventions" sheetId="11" state="visible" r:id="rId11"/>
    <sheet xmlns:r="http://schemas.openxmlformats.org/officeDocument/2006/relationships" name="Fwd_Interp" sheetId="12" state="visible" r:id="rId12"/>
    <sheet xmlns:r="http://schemas.openxmlformats.org/officeDocument/2006/relationships" name="CDS_Parameters" sheetId="13" state="visible" r:id="rId13"/>
    <sheet xmlns:r="http://schemas.openxmlformats.org/officeDocument/2006/relationships" name="CDS_Quotes" sheetId="14" state="visible" r:id="rId14"/>
    <sheet xmlns:r="http://schemas.openxmlformats.org/officeDocument/2006/relationships" name="Hazard_Bootstrap" sheetId="15" state="visible" r:id="rId15"/>
    <sheet xmlns:r="http://schemas.openxmlformats.org/officeDocument/2006/relationships" name="CDS_Schedule" sheetId="16" state="visible" r:id="rId16"/>
    <sheet xmlns:r="http://schemas.openxmlformats.org/officeDocument/2006/relationships" name="CDS_Pricer" sheetId="17" state="visible" r:id="rId17"/>
    <sheet xmlns:r="http://schemas.openxmlformats.org/officeDocument/2006/relationships" name="CDS_Validation" sheetId="18" state="visible" r:id="rId18"/>
    <sheet xmlns:r="http://schemas.openxmlformats.org/officeDocument/2006/relationships" name="Hazard_Solver" sheetId="19" state="visible" r:id="rId19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7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</numFmts>
  <fonts count="18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13" t="inlineStr">
        <is>
          <t>Bootstrap_Lehman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Manual o/n (%)</t>
        </is>
      </c>
    </row>
    <row r="6">
      <c r="A6" s="6">
        <f>SOFR_TKR</f>
        <v/>
      </c>
      <c r="B6" s="6" t="inlineStr">
        <is>
          <t>PX_LAST</t>
        </is>
      </c>
      <c r="C6" s="63">
        <f>IFERROR(BDP(SOFR_TKR,"PX_LAST")+0,E6)</f>
        <v/>
      </c>
      <c r="D6" s="18">
        <f>IFERROR(BDP(SOFR_TKR,"LAST_UPDATE_DT"),"ERROR PLZ FIX")</f>
        <v/>
      </c>
      <c r="E6" s="64" t="n">
        <v>4.06</v>
      </c>
      <c r="F6" s="65" t="inlineStr">
        <is>
          <t>PLACEHOLDER — used only if BDP fails. Sets DFspot.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IFERROR(BDP($A7,"SECURITY_DES"),"ERROR PLZ FIX")</f>
        <v/>
      </c>
      <c r="C7" s="17">
        <f>IFERROR(BDP($A7,"PX_LAST"),"ERROR PLZ FIX")</f>
        <v/>
      </c>
      <c r="D7" s="17">
        <f>IFERROR(BDP($A7,"PX_BID"),"ERROR PLZ FIX")</f>
        <v/>
      </c>
      <c r="E7" s="17">
        <f>IFERROR(BDP($A7,"PX_ASK"),"ERROR PLZ FIX")</f>
        <v/>
      </c>
      <c r="F7" s="17">
        <f>IFERROR(100-C7,"ERROR PLZ FIX")</f>
        <v/>
      </c>
      <c r="G7" s="6">
        <f>IFERROR(BDP($A7,"FUT_MONTH_YR"),"ERROR PLZ FIX")</f>
        <v/>
      </c>
      <c r="H7" s="18">
        <f>IFERROR(BDP($A7,"FUT_DLV_DT_FIRST"),"ERROR PLZ FIX")</f>
        <v/>
      </c>
      <c r="I7" s="18">
        <f>IFERROR(BDP($A7,"LAST_TRADEABLE_DT"),"ERROR PLZ FIX")</f>
        <v/>
      </c>
      <c r="J7" s="21">
        <f>IFERROR(BDP($A7,"VOLUME"),"ERROR PLZ FIX")</f>
        <v/>
      </c>
      <c r="K7" s="21">
        <f>IFERROR(BDP($A7,"OPEN_INT"),"ERROR PLZ FIX")</f>
        <v/>
      </c>
    </row>
    <row r="8">
      <c r="A8" s="6" t="n"/>
      <c r="B8" s="6">
        <f>IFERROR(BDP($A8,"SECURITY_DES"),"ERROR PLZ FIX")</f>
        <v/>
      </c>
      <c r="C8" s="17">
        <f>IFERROR(BDP($A8,"PX_LAST"),"ERROR PLZ FIX")</f>
        <v/>
      </c>
      <c r="D8" s="17">
        <f>IFERROR(BDP($A8,"PX_BID"),"ERROR PLZ FIX")</f>
        <v/>
      </c>
      <c r="E8" s="17">
        <f>IFERROR(BDP($A8,"PX_ASK"),"ERROR PLZ FIX")</f>
        <v/>
      </c>
      <c r="F8" s="17">
        <f>IFERROR(100-C8,"ERROR PLZ FIX")</f>
        <v/>
      </c>
      <c r="G8" s="6">
        <f>IFERROR(BDP($A8,"FUT_MONTH_YR"),"ERROR PLZ FIX")</f>
        <v/>
      </c>
      <c r="H8" s="18">
        <f>IFERROR(BDP($A8,"FUT_DLV_DT_FIRST"),"ERROR PLZ FIX")</f>
        <v/>
      </c>
      <c r="I8" s="18">
        <f>IFERROR(BDP($A8,"LAST_TRADEABLE_DT"),"ERROR PLZ FIX")</f>
        <v/>
      </c>
      <c r="J8" s="21">
        <f>IFERROR(BDP($A8,"VOLUME"),"ERROR PLZ FIX")</f>
        <v/>
      </c>
      <c r="K8" s="21">
        <f>IFERROR(BDP($A8,"OPEN_INT"),"ERROR PLZ FIX")</f>
        <v/>
      </c>
    </row>
    <row r="9">
      <c r="A9" s="6" t="n"/>
      <c r="B9" s="6">
        <f>IFERROR(BDP($A9,"SECURITY_DES"),"ERROR PLZ FIX")</f>
        <v/>
      </c>
      <c r="C9" s="17">
        <f>IFERROR(BDP($A9,"PX_LAST"),"ERROR PLZ FIX")</f>
        <v/>
      </c>
      <c r="D9" s="17">
        <f>IFERROR(BDP($A9,"PX_BID"),"ERROR PLZ FIX")</f>
        <v/>
      </c>
      <c r="E9" s="17">
        <f>IFERROR(BDP($A9,"PX_ASK"),"ERROR PLZ FIX")</f>
        <v/>
      </c>
      <c r="F9" s="17">
        <f>IFERROR(100-C9,"ERROR PLZ FIX")</f>
        <v/>
      </c>
      <c r="G9" s="6">
        <f>IFERROR(BDP($A9,"FUT_MONTH_YR"),"ERROR PLZ FIX")</f>
        <v/>
      </c>
      <c r="H9" s="18">
        <f>IFERROR(BDP($A9,"FUT_DLV_DT_FIRST"),"ERROR PLZ FIX")</f>
        <v/>
      </c>
      <c r="I9" s="18">
        <f>IFERROR(BDP($A9,"LAST_TRADEABLE_DT"),"ERROR PLZ FIX")</f>
        <v/>
      </c>
      <c r="J9" s="21">
        <f>IFERROR(BDP($A9,"VOLUME"),"ERROR PLZ FIX")</f>
        <v/>
      </c>
      <c r="K9" s="21">
        <f>IFERROR(BDP($A9,"OPEN_INT"),"ERROR PLZ FIX")</f>
        <v/>
      </c>
    </row>
    <row r="10">
      <c r="A10" s="6" t="n"/>
      <c r="B10" s="6">
        <f>IFERROR(BDP($A10,"SECURITY_DES"),"ERROR PLZ FIX")</f>
        <v/>
      </c>
      <c r="C10" s="17">
        <f>IFERROR(BDP($A10,"PX_LAST"),"ERROR PLZ FIX")</f>
        <v/>
      </c>
      <c r="D10" s="17">
        <f>IFERROR(BDP($A10,"PX_BID"),"ERROR PLZ FIX")</f>
        <v/>
      </c>
      <c r="E10" s="17">
        <f>IFERROR(BDP($A10,"PX_ASK"),"ERROR PLZ FIX")</f>
        <v/>
      </c>
      <c r="F10" s="17">
        <f>IFERROR(100-C10,"ERROR PLZ FIX")</f>
        <v/>
      </c>
      <c r="G10" s="6">
        <f>IFERROR(BDP($A10,"FUT_MONTH_YR"),"ERROR PLZ FIX")</f>
        <v/>
      </c>
      <c r="H10" s="18">
        <f>IFERROR(BDP($A10,"FUT_DLV_DT_FIRST"),"ERROR PLZ FIX")</f>
        <v/>
      </c>
      <c r="I10" s="18">
        <f>IFERROR(BDP($A10,"LAST_TRADEABLE_DT"),"ERROR PLZ FIX")</f>
        <v/>
      </c>
      <c r="J10" s="21">
        <f>IFERROR(BDP($A10,"VOLUME"),"ERROR PLZ FIX")</f>
        <v/>
      </c>
      <c r="K10" s="21">
        <f>IFERROR(BDP($A10,"OPEN_INT"),"ERROR PLZ FIX")</f>
        <v/>
      </c>
    </row>
    <row r="11">
      <c r="A11" s="6" t="n"/>
      <c r="B11" s="6">
        <f>IFERROR(BDP($A11,"SECURITY_DES"),"ERROR PLZ FIX")</f>
        <v/>
      </c>
      <c r="C11" s="17">
        <f>IFERROR(BDP($A11,"PX_LAST"),"ERROR PLZ FIX")</f>
        <v/>
      </c>
      <c r="D11" s="17">
        <f>IFERROR(BDP($A11,"PX_BID"),"ERROR PLZ FIX")</f>
        <v/>
      </c>
      <c r="E11" s="17">
        <f>IFERROR(BDP($A11,"PX_ASK"),"ERROR PLZ FIX")</f>
        <v/>
      </c>
      <c r="F11" s="17">
        <f>IFERROR(100-C11,"ERROR PLZ FIX")</f>
        <v/>
      </c>
      <c r="G11" s="6">
        <f>IFERROR(BDP($A11,"FUT_MONTH_YR"),"ERROR PLZ FIX")</f>
        <v/>
      </c>
      <c r="H11" s="18">
        <f>IFERROR(BDP($A11,"FUT_DLV_DT_FIRST"),"ERROR PLZ FIX")</f>
        <v/>
      </c>
      <c r="I11" s="18">
        <f>IFERROR(BDP($A11,"LAST_TRADEABLE_DT"),"ERROR PLZ FIX")</f>
        <v/>
      </c>
      <c r="J11" s="21">
        <f>IFERROR(BDP($A11,"VOLUME"),"ERROR PLZ FIX")</f>
        <v/>
      </c>
      <c r="K11" s="21">
        <f>IFERROR(BDP($A11,"OPEN_INT"),"ERROR PLZ FIX")</f>
        <v/>
      </c>
    </row>
    <row r="12">
      <c r="A12" s="6" t="n"/>
      <c r="B12" s="6">
        <f>IFERROR(BDP($A12,"SECURITY_DES"),"ERROR PLZ FIX")</f>
        <v/>
      </c>
      <c r="C12" s="17">
        <f>IFERROR(BDP($A12,"PX_LAST"),"ERROR PLZ FIX")</f>
        <v/>
      </c>
      <c r="D12" s="17">
        <f>IFERROR(BDP($A12,"PX_BID"),"ERROR PLZ FIX")</f>
        <v/>
      </c>
      <c r="E12" s="17">
        <f>IFERROR(BDP($A12,"PX_ASK"),"ERROR PLZ FIX")</f>
        <v/>
      </c>
      <c r="F12" s="17">
        <f>IFERROR(100-C12,"ERROR PLZ FIX")</f>
        <v/>
      </c>
      <c r="G12" s="6">
        <f>IFERROR(BDP($A12,"FUT_MONTH_YR"),"ERROR PLZ FIX")</f>
        <v/>
      </c>
      <c r="H12" s="18">
        <f>IFERROR(BDP($A12,"FUT_DLV_DT_FIRST"),"ERROR PLZ FIX")</f>
        <v/>
      </c>
      <c r="I12" s="18">
        <f>IFERROR(BDP($A12,"LAST_TRADEABLE_DT"),"ERROR PLZ FIX")</f>
        <v/>
      </c>
      <c r="J12" s="21">
        <f>IFERROR(BDP($A12,"VOLUME"),"ERROR PLZ FIX")</f>
        <v/>
      </c>
      <c r="K12" s="21">
        <f>IFERROR(BDP($A12,"OPEN_INT"),"ERROR PLZ FIX")</f>
        <v/>
      </c>
    </row>
    <row r="13">
      <c r="A13" s="6" t="n"/>
      <c r="B13" s="6">
        <f>IFERROR(BDP($A13,"SECURITY_DES"),"ERROR PLZ FIX")</f>
        <v/>
      </c>
      <c r="C13" s="17">
        <f>IFERROR(BDP($A13,"PX_LAST"),"ERROR PLZ FIX")</f>
        <v/>
      </c>
      <c r="D13" s="17">
        <f>IFERROR(BDP($A13,"PX_BID"),"ERROR PLZ FIX")</f>
        <v/>
      </c>
      <c r="E13" s="17">
        <f>IFERROR(BDP($A13,"PX_ASK"),"ERROR PLZ FIX")</f>
        <v/>
      </c>
      <c r="F13" s="17">
        <f>IFERROR(100-C13,"ERROR PLZ FIX")</f>
        <v/>
      </c>
      <c r="G13" s="6">
        <f>IFERROR(BDP($A13,"FUT_MONTH_YR"),"ERROR PLZ FIX")</f>
        <v/>
      </c>
      <c r="H13" s="18">
        <f>IFERROR(BDP($A13,"FUT_DLV_DT_FIRST"),"ERROR PLZ FIX")</f>
        <v/>
      </c>
      <c r="I13" s="18">
        <f>IFERROR(BDP($A13,"LAST_TRADEABLE_DT"),"ERROR PLZ FIX")</f>
        <v/>
      </c>
      <c r="J13" s="21">
        <f>IFERROR(BDP($A13,"VOLUME"),"ERROR PLZ FIX")</f>
        <v/>
      </c>
      <c r="K13" s="21">
        <f>IFERROR(BDP($A13,"OPEN_INT"),"ERROR PLZ FIX")</f>
        <v/>
      </c>
    </row>
    <row r="14">
      <c r="A14" s="6" t="n"/>
      <c r="B14" s="6">
        <f>IFERROR(BDP($A14,"SECURITY_DES"),"ERROR PLZ FIX")</f>
        <v/>
      </c>
      <c r="C14" s="17">
        <f>IFERROR(BDP($A14,"PX_LAST"),"ERROR PLZ FIX")</f>
        <v/>
      </c>
      <c r="D14" s="17">
        <f>IFERROR(BDP($A14,"PX_BID"),"ERROR PLZ FIX")</f>
        <v/>
      </c>
      <c r="E14" s="17">
        <f>IFERROR(BDP($A14,"PX_ASK"),"ERROR PLZ FIX")</f>
        <v/>
      </c>
      <c r="F14" s="17">
        <f>IFERROR(100-C14,"ERROR PLZ FIX")</f>
        <v/>
      </c>
      <c r="G14" s="6">
        <f>IFERROR(BDP($A14,"FUT_MONTH_YR"),"ERROR PLZ FIX")</f>
        <v/>
      </c>
      <c r="H14" s="18">
        <f>IFERROR(BDP($A14,"FUT_DLV_DT_FIRST"),"ERROR PLZ FIX")</f>
        <v/>
      </c>
      <c r="I14" s="18">
        <f>IFERROR(BDP($A14,"LAST_TRADEABLE_DT"),"ERROR PLZ FIX")</f>
        <v/>
      </c>
      <c r="J14" s="21">
        <f>IFERROR(BDP($A14,"VOLUME"),"ERROR PLZ FIX")</f>
        <v/>
      </c>
      <c r="K14" s="21">
        <f>IFERROR(BDP($A14,"OPEN_INT"),"ERROR PLZ FIX")</f>
        <v/>
      </c>
    </row>
    <row r="15">
      <c r="A15" s="6" t="n"/>
      <c r="B15" s="6">
        <f>IFERROR(BDP($A15,"SECURITY_DES"),"ERROR PLZ FIX")</f>
        <v/>
      </c>
      <c r="C15" s="17">
        <f>IFERROR(BDP($A15,"PX_LAST"),"ERROR PLZ FIX")</f>
        <v/>
      </c>
      <c r="D15" s="17">
        <f>IFERROR(BDP($A15,"PX_BID"),"ERROR PLZ FIX")</f>
        <v/>
      </c>
      <c r="E15" s="17">
        <f>IFERROR(BDP($A15,"PX_ASK"),"ERROR PLZ FIX")</f>
        <v/>
      </c>
      <c r="F15" s="17">
        <f>IFERROR(100-C15,"ERROR PLZ FIX")</f>
        <v/>
      </c>
      <c r="G15" s="6">
        <f>IFERROR(BDP($A15,"FUT_MONTH_YR"),"ERROR PLZ FIX")</f>
        <v/>
      </c>
      <c r="H15" s="18">
        <f>IFERROR(BDP($A15,"FUT_DLV_DT_FIRST"),"ERROR PLZ FIX")</f>
        <v/>
      </c>
      <c r="I15" s="18">
        <f>IFERROR(BDP($A15,"LAST_TRADEABLE_DT"),"ERROR PLZ FIX")</f>
        <v/>
      </c>
      <c r="J15" s="21">
        <f>IFERROR(BDP($A15,"VOLUME"),"ERROR PLZ FIX")</f>
        <v/>
      </c>
      <c r="K15" s="21">
        <f>IFERROR(BDP($A15,"OPEN_INT"),"ERROR PLZ FIX")</f>
        <v/>
      </c>
    </row>
    <row r="16">
      <c r="A16" s="6" t="n"/>
      <c r="B16" s="6">
        <f>IFERROR(BDP($A16,"SECURITY_DES"),"ERROR PLZ FIX")</f>
        <v/>
      </c>
      <c r="C16" s="17">
        <f>IFERROR(BDP($A16,"PX_LAST"),"ERROR PLZ FIX")</f>
        <v/>
      </c>
      <c r="D16" s="17">
        <f>IFERROR(BDP($A16,"PX_BID"),"ERROR PLZ FIX")</f>
        <v/>
      </c>
      <c r="E16" s="17">
        <f>IFERROR(BDP($A16,"PX_ASK"),"ERROR PLZ FIX")</f>
        <v/>
      </c>
      <c r="F16" s="17">
        <f>IFERROR(100-C16,"ERROR PLZ FIX")</f>
        <v/>
      </c>
      <c r="G16" s="6">
        <f>IFERROR(BDP($A16,"FUT_MONTH_YR"),"ERROR PLZ FIX")</f>
        <v/>
      </c>
      <c r="H16" s="18">
        <f>IFERROR(BDP($A16,"FUT_DLV_DT_FIRST"),"ERROR PLZ FIX")</f>
        <v/>
      </c>
      <c r="I16" s="18">
        <f>IFERROR(BDP($A16,"LAST_TRADEABLE_DT"),"ERROR PLZ FIX")</f>
        <v/>
      </c>
      <c r="J16" s="21">
        <f>IFERROR(BDP($A16,"VOLUME"),"ERROR PLZ FIX")</f>
        <v/>
      </c>
      <c r="K16" s="21">
        <f>IFERROR(BDP($A16,"OPEN_INT"),"ERROR PLZ FIX")</f>
        <v/>
      </c>
    </row>
    <row r="17">
      <c r="A17" s="6" t="n"/>
      <c r="B17" s="6">
        <f>IFERROR(BDP($A17,"SECURITY_DES"),"ERROR PLZ FIX")</f>
        <v/>
      </c>
      <c r="C17" s="17">
        <f>IFERROR(BDP($A17,"PX_LAST"),"ERROR PLZ FIX")</f>
        <v/>
      </c>
      <c r="D17" s="17">
        <f>IFERROR(BDP($A17,"PX_BID"),"ERROR PLZ FIX")</f>
        <v/>
      </c>
      <c r="E17" s="17">
        <f>IFERROR(BDP($A17,"PX_ASK"),"ERROR PLZ FIX")</f>
        <v/>
      </c>
      <c r="F17" s="17">
        <f>IFERROR(100-C17,"ERROR PLZ FIX")</f>
        <v/>
      </c>
      <c r="G17" s="6">
        <f>IFERROR(BDP($A17,"FUT_MONTH_YR"),"ERROR PLZ FIX")</f>
        <v/>
      </c>
      <c r="H17" s="18">
        <f>IFERROR(BDP($A17,"FUT_DLV_DT_FIRST"),"ERROR PLZ FIX")</f>
        <v/>
      </c>
      <c r="I17" s="18">
        <f>IFERROR(BDP($A17,"LAST_TRADEABLE_DT"),"ERROR PLZ FIX")</f>
        <v/>
      </c>
      <c r="J17" s="21">
        <f>IFERROR(BDP($A17,"VOLUME"),"ERROR PLZ FIX")</f>
        <v/>
      </c>
      <c r="K17" s="21">
        <f>IFERROR(BDP($A17,"OPEN_INT"),"ERROR PLZ FIX")</f>
        <v/>
      </c>
    </row>
    <row r="18">
      <c r="A18" s="6" t="n"/>
      <c r="B18" s="6">
        <f>IFERROR(BDP($A18,"SECURITY_DES"),"ERROR PLZ FIX")</f>
        <v/>
      </c>
      <c r="C18" s="17">
        <f>IFERROR(BDP($A18,"PX_LAST"),"ERROR PLZ FIX")</f>
        <v/>
      </c>
      <c r="D18" s="17">
        <f>IFERROR(BDP($A18,"PX_BID"),"ERROR PLZ FIX")</f>
        <v/>
      </c>
      <c r="E18" s="17">
        <f>IFERROR(BDP($A18,"PX_ASK"),"ERROR PLZ FIX")</f>
        <v/>
      </c>
      <c r="F18" s="17">
        <f>IFERROR(100-C18,"ERROR PLZ FIX")</f>
        <v/>
      </c>
      <c r="G18" s="6">
        <f>IFERROR(BDP($A18,"FUT_MONTH_YR"),"ERROR PLZ FIX")</f>
        <v/>
      </c>
      <c r="H18" s="18">
        <f>IFERROR(BDP($A18,"FUT_DLV_DT_FIRST"),"ERROR PLZ FIX")</f>
        <v/>
      </c>
      <c r="I18" s="18">
        <f>IFERROR(BDP($A18,"LAST_TRADEABLE_DT"),"ERROR PLZ FIX")</f>
        <v/>
      </c>
      <c r="J18" s="21">
        <f>IFERROR(BDP($A18,"VOLUME"),"ERROR PLZ FIX")</f>
        <v/>
      </c>
      <c r="K18" s="21">
        <f>IFERROR(BDP($A18,"OPEN_INT"),"ERROR PLZ FIX")</f>
        <v/>
      </c>
    </row>
    <row r="19">
      <c r="A19" s="6" t="n"/>
      <c r="B19" s="6">
        <f>IFERROR(BDP($A19,"SECURITY_DES"),"ERROR PLZ FIX")</f>
        <v/>
      </c>
      <c r="C19" s="17">
        <f>IFERROR(BDP($A19,"PX_LAST"),"ERROR PLZ FIX")</f>
        <v/>
      </c>
      <c r="D19" s="17">
        <f>IFERROR(BDP($A19,"PX_BID"),"ERROR PLZ FIX")</f>
        <v/>
      </c>
      <c r="E19" s="17">
        <f>IFERROR(BDP($A19,"PX_ASK"),"ERROR PLZ FIX")</f>
        <v/>
      </c>
      <c r="F19" s="17">
        <f>IFERROR(100-C19,"ERROR PLZ FIX")</f>
        <v/>
      </c>
      <c r="G19" s="6">
        <f>IFERROR(BDP($A19,"FUT_MONTH_YR"),"ERROR PLZ FIX")</f>
        <v/>
      </c>
      <c r="H19" s="18">
        <f>IFERROR(BDP($A19,"FUT_DLV_DT_FIRST"),"ERROR PLZ FIX")</f>
        <v/>
      </c>
      <c r="I19" s="18">
        <f>IFERROR(BDP($A19,"LAST_TRADEABLE_DT"),"ERROR PLZ FIX")</f>
        <v/>
      </c>
      <c r="J19" s="21">
        <f>IFERROR(BDP($A19,"VOLUME"),"ERROR PLZ FIX")</f>
        <v/>
      </c>
      <c r="K19" s="21">
        <f>IFERROR(BDP($A19,"OPEN_INT"),"ERROR PLZ FIX")</f>
        <v/>
      </c>
    </row>
    <row r="20">
      <c r="A20" s="6" t="n"/>
      <c r="B20" s="6">
        <f>IFERROR(BDP($A20,"SECURITY_DES"),"ERROR PLZ FIX")</f>
        <v/>
      </c>
      <c r="C20" s="17">
        <f>IFERROR(BDP($A20,"PX_LAST"),"ERROR PLZ FIX")</f>
        <v/>
      </c>
      <c r="D20" s="17">
        <f>IFERROR(BDP($A20,"PX_BID"),"ERROR PLZ FIX")</f>
        <v/>
      </c>
      <c r="E20" s="17">
        <f>IFERROR(BDP($A20,"PX_ASK"),"ERROR PLZ FIX")</f>
        <v/>
      </c>
      <c r="F20" s="17">
        <f>IFERROR(100-C20,"ERROR PLZ FIX")</f>
        <v/>
      </c>
      <c r="G20" s="6">
        <f>IFERROR(BDP($A20,"FUT_MONTH_YR"),"ERROR PLZ FIX")</f>
        <v/>
      </c>
      <c r="H20" s="18">
        <f>IFERROR(BDP($A20,"FUT_DLV_DT_FIRST"),"ERROR PLZ FIX")</f>
        <v/>
      </c>
      <c r="I20" s="18">
        <f>IFERROR(BDP($A20,"LAST_TRADEABLE_DT"),"ERROR PLZ FIX")</f>
        <v/>
      </c>
      <c r="J20" s="21">
        <f>IFERROR(BDP($A20,"VOLUME"),"ERROR PLZ FIX")</f>
        <v/>
      </c>
      <c r="K20" s="21">
        <f>IFERROR(BDP($A20,"OPEN_INT"),"ERROR PLZ FIX")</f>
        <v/>
      </c>
    </row>
    <row r="21">
      <c r="A21" s="6" t="n"/>
      <c r="B21" s="6">
        <f>IFERROR(BDP($A21,"SECURITY_DES"),"ERROR PLZ FIX")</f>
        <v/>
      </c>
      <c r="C21" s="17">
        <f>IFERROR(BDP($A21,"PX_LAST"),"ERROR PLZ FIX")</f>
        <v/>
      </c>
      <c r="D21" s="17">
        <f>IFERROR(BDP($A21,"PX_BID"),"ERROR PLZ FIX")</f>
        <v/>
      </c>
      <c r="E21" s="17">
        <f>IFERROR(BDP($A21,"PX_ASK"),"ERROR PLZ FIX")</f>
        <v/>
      </c>
      <c r="F21" s="17">
        <f>IFERROR(100-C21,"ERROR PLZ FIX")</f>
        <v/>
      </c>
      <c r="G21" s="6">
        <f>IFERROR(BDP($A21,"FUT_MONTH_YR"),"ERROR PLZ FIX")</f>
        <v/>
      </c>
      <c r="H21" s="18">
        <f>IFERROR(BDP($A21,"FUT_DLV_DT_FIRST"),"ERROR PLZ FIX")</f>
        <v/>
      </c>
      <c r="I21" s="18">
        <f>IFERROR(BDP($A21,"LAST_TRADEABLE_DT"),"ERROR PLZ FIX")</f>
        <v/>
      </c>
      <c r="J21" s="21">
        <f>IFERROR(BDP($A21,"VOLUME"),"ERROR PLZ FIX")</f>
        <v/>
      </c>
      <c r="K21" s="21">
        <f>IFERROR(BDP($A21,"OPEN_INT"),"ERROR PLZ FIX")</f>
        <v/>
      </c>
    </row>
    <row r="22">
      <c r="A22" s="6" t="n"/>
      <c r="B22" s="6">
        <f>IFERROR(BDP($A22,"SECURITY_DES"),"ERROR PLZ FIX")</f>
        <v/>
      </c>
      <c r="C22" s="17">
        <f>IFERROR(BDP($A22,"PX_LAST"),"ERROR PLZ FIX")</f>
        <v/>
      </c>
      <c r="D22" s="17">
        <f>IFERROR(BDP($A22,"PX_BID"),"ERROR PLZ FIX")</f>
        <v/>
      </c>
      <c r="E22" s="17">
        <f>IFERROR(BDP($A22,"PX_ASK"),"ERROR PLZ FIX")</f>
        <v/>
      </c>
      <c r="F22" s="17">
        <f>IFERROR(100-C22,"ERROR PLZ FIX")</f>
        <v/>
      </c>
      <c r="G22" s="6">
        <f>IFERROR(BDP($A22,"FUT_MONTH_YR"),"ERROR PLZ FIX")</f>
        <v/>
      </c>
      <c r="H22" s="18">
        <f>IFERROR(BDP($A22,"FUT_DLV_DT_FIRST"),"ERROR PLZ FIX")</f>
        <v/>
      </c>
      <c r="I22" s="18">
        <f>IFERROR(BDP($A22,"LAST_TRADEABLE_DT"),"ERROR PLZ FIX")</f>
        <v/>
      </c>
      <c r="J22" s="21">
        <f>IFERROR(BDP($A22,"VOLUME"),"ERROR PLZ FIX")</f>
        <v/>
      </c>
      <c r="K22" s="21">
        <f>IFERROR(BDP($A22,"OPEN_INT"),"ERROR PLZ FIX")</f>
        <v/>
      </c>
    </row>
    <row r="23">
      <c r="A23" s="6" t="n"/>
      <c r="B23" s="6">
        <f>IFERROR(BDP($A23,"SECURITY_DES"),"ERROR PLZ FIX")</f>
        <v/>
      </c>
      <c r="C23" s="17">
        <f>IFERROR(BDP($A23,"PX_LAST"),"ERROR PLZ FIX")</f>
        <v/>
      </c>
      <c r="D23" s="17">
        <f>IFERROR(BDP($A23,"PX_BID"),"ERROR PLZ FIX")</f>
        <v/>
      </c>
      <c r="E23" s="17">
        <f>IFERROR(BDP($A23,"PX_ASK"),"ERROR PLZ FIX")</f>
        <v/>
      </c>
      <c r="F23" s="17">
        <f>IFERROR(100-C23,"ERROR PLZ FIX")</f>
        <v/>
      </c>
      <c r="G23" s="6">
        <f>IFERROR(BDP($A23,"FUT_MONTH_YR"),"ERROR PLZ FIX")</f>
        <v/>
      </c>
      <c r="H23" s="18">
        <f>IFERROR(BDP($A23,"FUT_DLV_DT_FIRST"),"ERROR PLZ FIX")</f>
        <v/>
      </c>
      <c r="I23" s="18">
        <f>IFERROR(BDP($A23,"LAST_TRADEABLE_DT"),"ERROR PLZ FIX")</f>
        <v/>
      </c>
      <c r="J23" s="21">
        <f>IFERROR(BDP($A23,"VOLUME"),"ERROR PLZ FIX")</f>
        <v/>
      </c>
      <c r="K23" s="21">
        <f>IFERROR(BDP($A23,"OPEN_INT"),"ERROR PLZ FIX")</f>
        <v/>
      </c>
    </row>
    <row r="24">
      <c r="A24" s="6" t="n"/>
      <c r="B24" s="6">
        <f>IFERROR(BDP($A24,"SECURITY_DES"),"ERROR PLZ FIX")</f>
        <v/>
      </c>
      <c r="C24" s="17">
        <f>IFERROR(BDP($A24,"PX_LAST"),"ERROR PLZ FIX")</f>
        <v/>
      </c>
      <c r="D24" s="17">
        <f>IFERROR(BDP($A24,"PX_BID"),"ERROR PLZ FIX")</f>
        <v/>
      </c>
      <c r="E24" s="17">
        <f>IFERROR(BDP($A24,"PX_ASK"),"ERROR PLZ FIX")</f>
        <v/>
      </c>
      <c r="F24" s="17">
        <f>IFERROR(100-C24,"ERROR PLZ FIX")</f>
        <v/>
      </c>
      <c r="G24" s="6">
        <f>IFERROR(BDP($A24,"FUT_MONTH_YR"),"ERROR PLZ FIX")</f>
        <v/>
      </c>
      <c r="H24" s="18">
        <f>IFERROR(BDP($A24,"FUT_DLV_DT_FIRST"),"ERROR PLZ FIX")</f>
        <v/>
      </c>
      <c r="I24" s="18">
        <f>IFERROR(BDP($A24,"LAST_TRADEABLE_DT"),"ERROR PLZ FIX")</f>
        <v/>
      </c>
      <c r="J24" s="21">
        <f>IFERROR(BDP($A24,"VOLUME"),"ERROR PLZ FIX")</f>
        <v/>
      </c>
      <c r="K24" s="21">
        <f>IFERROR(BDP($A24,"OPEN_INT"),"ERROR PLZ FIX")</f>
        <v/>
      </c>
    </row>
    <row r="25">
      <c r="A25" s="6" t="n"/>
      <c r="B25" s="6">
        <f>IFERROR(BDP($A25,"SECURITY_DES"),"ERROR PLZ FIX")</f>
        <v/>
      </c>
      <c r="C25" s="17">
        <f>IFERROR(BDP($A25,"PX_LAST"),"ERROR PLZ FIX")</f>
        <v/>
      </c>
      <c r="D25" s="17">
        <f>IFERROR(BDP($A25,"PX_BID"),"ERROR PLZ FIX")</f>
        <v/>
      </c>
      <c r="E25" s="17">
        <f>IFERROR(BDP($A25,"PX_ASK"),"ERROR PLZ FIX")</f>
        <v/>
      </c>
      <c r="F25" s="17">
        <f>IFERROR(100-C25,"ERROR PLZ FIX")</f>
        <v/>
      </c>
      <c r="G25" s="6">
        <f>IFERROR(BDP($A25,"FUT_MONTH_YR"),"ERROR PLZ FIX")</f>
        <v/>
      </c>
      <c r="H25" s="18">
        <f>IFERROR(BDP($A25,"FUT_DLV_DT_FIRST"),"ERROR PLZ FIX")</f>
        <v/>
      </c>
      <c r="I25" s="18">
        <f>IFERROR(BDP($A25,"LAST_TRADEABLE_DT"),"ERROR PLZ FIX")</f>
        <v/>
      </c>
      <c r="J25" s="21">
        <f>IFERROR(BDP($A25,"VOLUME"),"ERROR PLZ FIX")</f>
        <v/>
      </c>
      <c r="K25" s="21">
        <f>IFERROR(BDP($A25,"OPEN_INT"),"ERROR PLZ FIX")</f>
        <v/>
      </c>
    </row>
    <row r="26">
      <c r="A26" s="6" t="n"/>
      <c r="B26" s="6">
        <f>IFERROR(BDP($A26,"SECURITY_DES"),"ERROR PLZ FIX")</f>
        <v/>
      </c>
      <c r="C26" s="17">
        <f>IFERROR(BDP($A26,"PX_LAST"),"ERROR PLZ FIX")</f>
        <v/>
      </c>
      <c r="D26" s="17">
        <f>IFERROR(BDP($A26,"PX_BID"),"ERROR PLZ FIX")</f>
        <v/>
      </c>
      <c r="E26" s="17">
        <f>IFERROR(BDP($A26,"PX_ASK"),"ERROR PLZ FIX")</f>
        <v/>
      </c>
      <c r="F26" s="17">
        <f>IFERROR(100-C26,"ERROR PLZ FIX")</f>
        <v/>
      </c>
      <c r="G26" s="6">
        <f>IFERROR(BDP($A26,"FUT_MONTH_YR"),"ERROR PLZ FIX")</f>
        <v/>
      </c>
      <c r="H26" s="18">
        <f>IFERROR(BDP($A26,"FUT_DLV_DT_FIRST"),"ERROR PLZ FIX")</f>
        <v/>
      </c>
      <c r="I26" s="18">
        <f>IFERROR(BDP($A26,"LAST_TRADEABLE_DT"),"ERROR PLZ FIX")</f>
        <v/>
      </c>
      <c r="J26" s="21">
        <f>IFERROR(BDP($A26,"VOLUME"),"ERROR PLZ FIX")</f>
        <v/>
      </c>
      <c r="K26" s="21">
        <f>IFERROR(BDP($A26,"OPEN_INT"),"ERROR PLZ FIX")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IFERROR(BDP($A32,"SECURITY_DES"),"ERROR PLZ FIX")</f>
        <v/>
      </c>
      <c r="C32" s="17">
        <f>IFERROR(BDP($A32,"PX_LAST"),"ERROR PLZ FIX")</f>
        <v/>
      </c>
      <c r="D32" s="17">
        <f>IFERROR(BDP($A32,"PX_BID"),"ERROR PLZ FIX")</f>
        <v/>
      </c>
      <c r="E32" s="17">
        <f>IFERROR(BDP($A32,"PX_ASK"),"ERROR PLZ FIX")</f>
        <v/>
      </c>
      <c r="F32" s="17">
        <f>IFERROR(100-C32,"ERROR PLZ FIX")</f>
        <v/>
      </c>
      <c r="G32" s="6">
        <f>IFERROR(BDP($A32,"FUT_MONTH_YR"),"ERROR PLZ FIX")</f>
        <v/>
      </c>
      <c r="H32" s="18">
        <f>IFERROR(BDP($A32,"FUT_DLV_DT_FIRST"),"ERROR PLZ FIX")</f>
        <v/>
      </c>
      <c r="I32" s="18">
        <f>IFERROR(BDP($A32,"LAST_TRADEABLE_DT"),"ERROR PLZ FIX")</f>
        <v/>
      </c>
      <c r="J32" s="21">
        <f>IFERROR(BDP($A32,"VOLUME"),"ERROR PLZ FIX")</f>
        <v/>
      </c>
      <c r="K32" s="21">
        <f>IFERROR(BDP($A32,"OPEN_INT"),"ERROR PLZ FIX")</f>
        <v/>
      </c>
    </row>
    <row r="33">
      <c r="A33" s="6" t="n"/>
      <c r="B33" s="6">
        <f>IFERROR(BDP($A33,"SECURITY_DES"),"ERROR PLZ FIX")</f>
        <v/>
      </c>
      <c r="C33" s="17">
        <f>IFERROR(BDP($A33,"PX_LAST"),"ERROR PLZ FIX")</f>
        <v/>
      </c>
      <c r="D33" s="17">
        <f>IFERROR(BDP($A33,"PX_BID"),"ERROR PLZ FIX")</f>
        <v/>
      </c>
      <c r="E33" s="17">
        <f>IFERROR(BDP($A33,"PX_ASK"),"ERROR PLZ FIX")</f>
        <v/>
      </c>
      <c r="F33" s="17">
        <f>IFERROR(100-C33,"ERROR PLZ FIX")</f>
        <v/>
      </c>
      <c r="G33" s="6">
        <f>IFERROR(BDP($A33,"FUT_MONTH_YR"),"ERROR PLZ FIX")</f>
        <v/>
      </c>
      <c r="H33" s="18">
        <f>IFERROR(BDP($A33,"FUT_DLV_DT_FIRST"),"ERROR PLZ FIX")</f>
        <v/>
      </c>
      <c r="I33" s="18">
        <f>IFERROR(BDP($A33,"LAST_TRADEABLE_DT"),"ERROR PLZ FIX")</f>
        <v/>
      </c>
      <c r="J33" s="21">
        <f>IFERROR(BDP($A33,"VOLUME"),"ERROR PLZ FIX")</f>
        <v/>
      </c>
      <c r="K33" s="21">
        <f>IFERROR(BDP($A33,"OPEN_INT"),"ERROR PLZ FIX")</f>
        <v/>
      </c>
    </row>
    <row r="34">
      <c r="A34" s="6" t="n"/>
      <c r="B34" s="6">
        <f>IFERROR(BDP($A34,"SECURITY_DES"),"ERROR PLZ FIX")</f>
        <v/>
      </c>
      <c r="C34" s="17">
        <f>IFERROR(BDP($A34,"PX_LAST"),"ERROR PLZ FIX")</f>
        <v/>
      </c>
      <c r="D34" s="17">
        <f>IFERROR(BDP($A34,"PX_BID"),"ERROR PLZ FIX")</f>
        <v/>
      </c>
      <c r="E34" s="17">
        <f>IFERROR(BDP($A34,"PX_ASK"),"ERROR PLZ FIX")</f>
        <v/>
      </c>
      <c r="F34" s="17">
        <f>IFERROR(100-C34,"ERROR PLZ FIX")</f>
        <v/>
      </c>
      <c r="G34" s="6">
        <f>IFERROR(BDP($A34,"FUT_MONTH_YR"),"ERROR PLZ FIX")</f>
        <v/>
      </c>
      <c r="H34" s="18">
        <f>IFERROR(BDP($A34,"FUT_DLV_DT_FIRST"),"ERROR PLZ FIX")</f>
        <v/>
      </c>
      <c r="I34" s="18">
        <f>IFERROR(BDP($A34,"LAST_TRADEABLE_DT"),"ERROR PLZ FIX")</f>
        <v/>
      </c>
      <c r="J34" s="21">
        <f>IFERROR(BDP($A34,"VOLUME"),"ERROR PLZ FIX")</f>
        <v/>
      </c>
      <c r="K34" s="21">
        <f>IFERROR(BDP($A34,"OPEN_INT"),"ERROR PLZ FIX")</f>
        <v/>
      </c>
    </row>
    <row r="35">
      <c r="A35" s="6" t="n"/>
      <c r="B35" s="6">
        <f>IFERROR(BDP($A35,"SECURITY_DES"),"ERROR PLZ FIX")</f>
        <v/>
      </c>
      <c r="C35" s="17">
        <f>IFERROR(BDP($A35,"PX_LAST"),"ERROR PLZ FIX")</f>
        <v/>
      </c>
      <c r="D35" s="17">
        <f>IFERROR(BDP($A35,"PX_BID"),"ERROR PLZ FIX")</f>
        <v/>
      </c>
      <c r="E35" s="17">
        <f>IFERROR(BDP($A35,"PX_ASK"),"ERROR PLZ FIX")</f>
        <v/>
      </c>
      <c r="F35" s="17">
        <f>IFERROR(100-C35,"ERROR PLZ FIX")</f>
        <v/>
      </c>
      <c r="G35" s="6">
        <f>IFERROR(BDP($A35,"FUT_MONTH_YR"),"ERROR PLZ FIX")</f>
        <v/>
      </c>
      <c r="H35" s="18">
        <f>IFERROR(BDP($A35,"FUT_DLV_DT_FIRST"),"ERROR PLZ FIX")</f>
        <v/>
      </c>
      <c r="I35" s="18">
        <f>IFERROR(BDP($A35,"LAST_TRADEABLE_DT"),"ERROR PLZ FIX")</f>
        <v/>
      </c>
      <c r="J35" s="21">
        <f>IFERROR(BDP($A35,"VOLUME"),"ERROR PLZ FIX")</f>
        <v/>
      </c>
      <c r="K35" s="21">
        <f>IFERROR(BDP($A35,"OPEN_INT"),"ERROR PLZ FIX")</f>
        <v/>
      </c>
    </row>
    <row r="36">
      <c r="A36" s="6" t="n"/>
      <c r="B36" s="6">
        <f>IFERROR(BDP($A36,"SECURITY_DES"),"ERROR PLZ FIX")</f>
        <v/>
      </c>
      <c r="C36" s="17">
        <f>IFERROR(BDP($A36,"PX_LAST"),"ERROR PLZ FIX")</f>
        <v/>
      </c>
      <c r="D36" s="17">
        <f>IFERROR(BDP($A36,"PX_BID"),"ERROR PLZ FIX")</f>
        <v/>
      </c>
      <c r="E36" s="17">
        <f>IFERROR(BDP($A36,"PX_ASK"),"ERROR PLZ FIX")</f>
        <v/>
      </c>
      <c r="F36" s="17">
        <f>IFERROR(100-C36,"ERROR PLZ FIX")</f>
        <v/>
      </c>
      <c r="G36" s="6">
        <f>IFERROR(BDP($A36,"FUT_MONTH_YR"),"ERROR PLZ FIX")</f>
        <v/>
      </c>
      <c r="H36" s="18">
        <f>IFERROR(BDP($A36,"FUT_DLV_DT_FIRST"),"ERROR PLZ FIX")</f>
        <v/>
      </c>
      <c r="I36" s="18">
        <f>IFERROR(BDP($A36,"LAST_TRADEABLE_DT"),"ERROR PLZ FIX")</f>
        <v/>
      </c>
      <c r="J36" s="21">
        <f>IFERROR(BDP($A36,"VOLUME"),"ERROR PLZ FIX")</f>
        <v/>
      </c>
      <c r="K36" s="21">
        <f>IFERROR(BDP($A36,"OPEN_INT"),"ERROR PLZ FIX")</f>
        <v/>
      </c>
    </row>
    <row r="37">
      <c r="A37" s="6" t="n"/>
      <c r="B37" s="6">
        <f>IFERROR(BDP($A37,"SECURITY_DES"),"ERROR PLZ FIX")</f>
        <v/>
      </c>
      <c r="C37" s="17">
        <f>IFERROR(BDP($A37,"PX_LAST"),"ERROR PLZ FIX")</f>
        <v/>
      </c>
      <c r="D37" s="17">
        <f>IFERROR(BDP($A37,"PX_BID"),"ERROR PLZ FIX")</f>
        <v/>
      </c>
      <c r="E37" s="17">
        <f>IFERROR(BDP($A37,"PX_ASK"),"ERROR PLZ FIX")</f>
        <v/>
      </c>
      <c r="F37" s="17">
        <f>IFERROR(100-C37,"ERROR PLZ FIX")</f>
        <v/>
      </c>
      <c r="G37" s="6">
        <f>IFERROR(BDP($A37,"FUT_MONTH_YR"),"ERROR PLZ FIX")</f>
        <v/>
      </c>
      <c r="H37" s="18">
        <f>IFERROR(BDP($A37,"FUT_DLV_DT_FIRST"),"ERROR PLZ FIX")</f>
        <v/>
      </c>
      <c r="I37" s="18">
        <f>IFERROR(BDP($A37,"LAST_TRADEABLE_DT"),"ERROR PLZ FIX")</f>
        <v/>
      </c>
      <c r="J37" s="21">
        <f>IFERROR(BDP($A37,"VOLUME"),"ERROR PLZ FIX")</f>
        <v/>
      </c>
      <c r="K37" s="21">
        <f>IFERROR(BDP($A37,"OPEN_INT"),"ERROR PLZ FIX")</f>
        <v/>
      </c>
    </row>
    <row r="38">
      <c r="A38" s="6" t="n"/>
      <c r="B38" s="6">
        <f>IFERROR(BDP($A38,"SECURITY_DES"),"ERROR PLZ FIX")</f>
        <v/>
      </c>
      <c r="C38" s="17">
        <f>IFERROR(BDP($A38,"PX_LAST"),"ERROR PLZ FIX")</f>
        <v/>
      </c>
      <c r="D38" s="17">
        <f>IFERROR(BDP($A38,"PX_BID"),"ERROR PLZ FIX")</f>
        <v/>
      </c>
      <c r="E38" s="17">
        <f>IFERROR(BDP($A38,"PX_ASK"),"ERROR PLZ FIX")</f>
        <v/>
      </c>
      <c r="F38" s="17">
        <f>IFERROR(100-C38,"ERROR PLZ FIX")</f>
        <v/>
      </c>
      <c r="G38" s="6">
        <f>IFERROR(BDP($A38,"FUT_MONTH_YR"),"ERROR PLZ FIX")</f>
        <v/>
      </c>
      <c r="H38" s="18">
        <f>IFERROR(BDP($A38,"FUT_DLV_DT_FIRST"),"ERROR PLZ FIX")</f>
        <v/>
      </c>
      <c r="I38" s="18">
        <f>IFERROR(BDP($A38,"LAST_TRADEABLE_DT"),"ERROR PLZ FIX")</f>
        <v/>
      </c>
      <c r="J38" s="21">
        <f>IFERROR(BDP($A38,"VOLUME"),"ERROR PLZ FIX")</f>
        <v/>
      </c>
      <c r="K38" s="21">
        <f>IFERROR(BDP($A38,"OPEN_INT"),"ERROR PLZ FIX")</f>
        <v/>
      </c>
    </row>
    <row r="39">
      <c r="A39" s="6" t="n"/>
      <c r="B39" s="6">
        <f>IFERROR(BDP($A39,"SECURITY_DES"),"ERROR PLZ FIX")</f>
        <v/>
      </c>
      <c r="C39" s="17">
        <f>IFERROR(BDP($A39,"PX_LAST"),"ERROR PLZ FIX")</f>
        <v/>
      </c>
      <c r="D39" s="17">
        <f>IFERROR(BDP($A39,"PX_BID"),"ERROR PLZ FIX")</f>
        <v/>
      </c>
      <c r="E39" s="17">
        <f>IFERROR(BDP($A39,"PX_ASK"),"ERROR PLZ FIX")</f>
        <v/>
      </c>
      <c r="F39" s="17">
        <f>IFERROR(100-C39,"ERROR PLZ FIX")</f>
        <v/>
      </c>
      <c r="G39" s="6">
        <f>IFERROR(BDP($A39,"FUT_MONTH_YR"),"ERROR PLZ FIX")</f>
        <v/>
      </c>
      <c r="H39" s="18">
        <f>IFERROR(BDP($A39,"FUT_DLV_DT_FIRST"),"ERROR PLZ FIX")</f>
        <v/>
      </c>
      <c r="I39" s="18">
        <f>IFERROR(BDP($A39,"LAST_TRADEABLE_DT"),"ERROR PLZ FIX")</f>
        <v/>
      </c>
      <c r="J39" s="21">
        <f>IFERROR(BDP($A39,"VOLUME"),"ERROR PLZ FIX")</f>
        <v/>
      </c>
      <c r="K39" s="21">
        <f>IFERROR(BDP($A39,"OPEN_INT"),"ERROR PLZ FIX")</f>
        <v/>
      </c>
    </row>
    <row r="40">
      <c r="A40" s="6" t="n"/>
      <c r="B40" s="6">
        <f>IFERROR(BDP($A40,"SECURITY_DES"),"ERROR PLZ FIX")</f>
        <v/>
      </c>
      <c r="C40" s="17">
        <f>IFERROR(BDP($A40,"PX_LAST"),"ERROR PLZ FIX")</f>
        <v/>
      </c>
      <c r="D40" s="17">
        <f>IFERROR(BDP($A40,"PX_BID"),"ERROR PLZ FIX")</f>
        <v/>
      </c>
      <c r="E40" s="17">
        <f>IFERROR(BDP($A40,"PX_ASK"),"ERROR PLZ FIX")</f>
        <v/>
      </c>
      <c r="F40" s="17">
        <f>IFERROR(100-C40,"ERROR PLZ FIX")</f>
        <v/>
      </c>
      <c r="G40" s="6">
        <f>IFERROR(BDP($A40,"FUT_MONTH_YR"),"ERROR PLZ FIX")</f>
        <v/>
      </c>
      <c r="H40" s="18">
        <f>IFERROR(BDP($A40,"FUT_DLV_DT_FIRST"),"ERROR PLZ FIX")</f>
        <v/>
      </c>
      <c r="I40" s="18">
        <f>IFERROR(BDP($A40,"LAST_TRADEABLE_DT"),"ERROR PLZ FIX")</f>
        <v/>
      </c>
      <c r="J40" s="21">
        <f>IFERROR(BDP($A40,"VOLUME"),"ERROR PLZ FIX")</f>
        <v/>
      </c>
      <c r="K40" s="21">
        <f>IFERROR(BDP($A40,"OPEN_INT"),"ERROR PLZ FIX")</f>
        <v/>
      </c>
    </row>
    <row r="41">
      <c r="A41" s="6" t="n"/>
      <c r="B41" s="6">
        <f>IFERROR(BDP($A41,"SECURITY_DES"),"ERROR PLZ FIX")</f>
        <v/>
      </c>
      <c r="C41" s="17">
        <f>IFERROR(BDP($A41,"PX_LAST"),"ERROR PLZ FIX")</f>
        <v/>
      </c>
      <c r="D41" s="17">
        <f>IFERROR(BDP($A41,"PX_BID"),"ERROR PLZ FIX")</f>
        <v/>
      </c>
      <c r="E41" s="17">
        <f>IFERROR(BDP($A41,"PX_ASK"),"ERROR PLZ FIX")</f>
        <v/>
      </c>
      <c r="F41" s="17">
        <f>IFERROR(100-C41,"ERROR PLZ FIX")</f>
        <v/>
      </c>
      <c r="G41" s="6">
        <f>IFERROR(BDP($A41,"FUT_MONTH_YR"),"ERROR PLZ FIX")</f>
        <v/>
      </c>
      <c r="H41" s="18">
        <f>IFERROR(BDP($A41,"FUT_DLV_DT_FIRST"),"ERROR PLZ FIX")</f>
        <v/>
      </c>
      <c r="I41" s="18">
        <f>IFERROR(BDP($A41,"LAST_TRADEABLE_DT"),"ERROR PLZ FIX")</f>
        <v/>
      </c>
      <c r="J41" s="21">
        <f>IFERROR(BDP($A41,"VOLUME"),"ERROR PLZ FIX")</f>
        <v/>
      </c>
      <c r="K41" s="21">
        <f>IFERROR(BDP($A41,"OPEN_INT"),"ERROR PLZ FIX")</f>
        <v/>
      </c>
    </row>
    <row r="42">
      <c r="A42" s="6" t="n"/>
      <c r="B42" s="6">
        <f>IFERROR(BDP($A42,"SECURITY_DES"),"ERROR PLZ FIX")</f>
        <v/>
      </c>
      <c r="C42" s="17">
        <f>IFERROR(BDP($A42,"PX_LAST"),"ERROR PLZ FIX")</f>
        <v/>
      </c>
      <c r="D42" s="17">
        <f>IFERROR(BDP($A42,"PX_BID"),"ERROR PLZ FIX")</f>
        <v/>
      </c>
      <c r="E42" s="17">
        <f>IFERROR(BDP($A42,"PX_ASK"),"ERROR PLZ FIX")</f>
        <v/>
      </c>
      <c r="F42" s="17">
        <f>IFERROR(100-C42,"ERROR PLZ FIX")</f>
        <v/>
      </c>
      <c r="G42" s="6">
        <f>IFERROR(BDP($A42,"FUT_MONTH_YR"),"ERROR PLZ FIX")</f>
        <v/>
      </c>
      <c r="H42" s="18">
        <f>IFERROR(BDP($A42,"FUT_DLV_DT_FIRST"),"ERROR PLZ FIX")</f>
        <v/>
      </c>
      <c r="I42" s="18">
        <f>IFERROR(BDP($A42,"LAST_TRADEABLE_DT"),"ERROR PLZ FIX")</f>
        <v/>
      </c>
      <c r="J42" s="21">
        <f>IFERROR(BDP($A42,"VOLUME"),"ERROR PLZ FIX")</f>
        <v/>
      </c>
      <c r="K42" s="21">
        <f>IFERROR(BDP($A42,"OPEN_INT"),"ERROR PLZ FIX")</f>
        <v/>
      </c>
    </row>
    <row r="43">
      <c r="A43" s="6" t="n"/>
      <c r="B43" s="6">
        <f>IFERROR(BDP($A43,"SECURITY_DES"),"ERROR PLZ FIX")</f>
        <v/>
      </c>
      <c r="C43" s="17">
        <f>IFERROR(BDP($A43,"PX_LAST"),"ERROR PLZ FIX")</f>
        <v/>
      </c>
      <c r="D43" s="17">
        <f>IFERROR(BDP($A43,"PX_BID"),"ERROR PLZ FIX")</f>
        <v/>
      </c>
      <c r="E43" s="17">
        <f>IFERROR(BDP($A43,"PX_ASK"),"ERROR PLZ FIX")</f>
        <v/>
      </c>
      <c r="F43" s="17">
        <f>IFERROR(100-C43,"ERROR PLZ FIX")</f>
        <v/>
      </c>
      <c r="G43" s="6">
        <f>IFERROR(BDP($A43,"FUT_MONTH_YR"),"ERROR PLZ FIX")</f>
        <v/>
      </c>
      <c r="H43" s="18">
        <f>IFERROR(BDP($A43,"FUT_DLV_DT_FIRST"),"ERROR PLZ FIX")</f>
        <v/>
      </c>
      <c r="I43" s="18">
        <f>IFERROR(BDP($A43,"LAST_TRADEABLE_DT"),"ERROR PLZ FIX")</f>
        <v/>
      </c>
      <c r="J43" s="21">
        <f>IFERROR(BDP($A43,"VOLUME"),"ERROR PLZ FIX")</f>
        <v/>
      </c>
      <c r="K43" s="21">
        <f>IFERROR(BDP($A43,"OPEN_INT"),"ERROR PLZ FIX")</f>
        <v/>
      </c>
    </row>
    <row r="44">
      <c r="A44" s="6" t="n"/>
      <c r="B44" s="6">
        <f>IFERROR(BDP($A44,"SECURITY_DES"),"ERROR PLZ FIX")</f>
        <v/>
      </c>
      <c r="C44" s="17">
        <f>IFERROR(BDP($A44,"PX_LAST"),"ERROR PLZ FIX")</f>
        <v/>
      </c>
      <c r="D44" s="17">
        <f>IFERROR(BDP($A44,"PX_BID"),"ERROR PLZ FIX")</f>
        <v/>
      </c>
      <c r="E44" s="17">
        <f>IFERROR(BDP($A44,"PX_ASK"),"ERROR PLZ FIX")</f>
        <v/>
      </c>
      <c r="F44" s="17">
        <f>IFERROR(100-C44,"ERROR PLZ FIX")</f>
        <v/>
      </c>
      <c r="G44" s="6">
        <f>IFERROR(BDP($A44,"FUT_MONTH_YR"),"ERROR PLZ FIX")</f>
        <v/>
      </c>
      <c r="H44" s="18">
        <f>IFERROR(BDP($A44,"FUT_DLV_DT_FIRST"),"ERROR PLZ FIX")</f>
        <v/>
      </c>
      <c r="I44" s="18">
        <f>IFERROR(BDP($A44,"LAST_TRADEABLE_DT"),"ERROR PLZ FIX")</f>
        <v/>
      </c>
      <c r="J44" s="21">
        <f>IFERROR(BDP($A44,"VOLUME"),"ERROR PLZ FIX")</f>
        <v/>
      </c>
      <c r="K44" s="21">
        <f>IFERROR(BDP($A44,"OPEN_INT"),"ERROR PLZ FIX")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  <c r="J1" s="66" t="inlineStr">
        <is>
          <t>MANUAL FALLBACK — PLACEHOLDER RATES, NOT MARKET DATA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Column J is used only when BDP fails. These are a plausible Jul-2026 SOFR OIS shape so the curve computes off-terminal — they are invented, not observed. Overwrite with real quotes before using any output for anything real. On a terminal, BDP takes precedence automatically and column J is ignored.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  <c r="J4" s="62" t="inlineStr">
        <is>
          <t>Manual quote (%)</t>
        </is>
      </c>
      <c r="K4" s="62" t="inlineStr">
        <is>
          <t>Source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63">
        <f>IFERROR((E5+F5)/2,IFERROR(G5+0,J5))</f>
        <v/>
      </c>
      <c r="I5" s="26" t="inlineStr">
        <is>
          <t>Y</t>
        </is>
      </c>
      <c r="J5" s="64" t="n">
        <v>4.05</v>
      </c>
      <c r="K5" s="65" t="inlineStr">
        <is>
          <t>PLACEHOLDER</t>
        </is>
      </c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63">
        <f>IFERROR((E6+F6)/2,IFERROR(G6+0,J6))</f>
        <v/>
      </c>
      <c r="I6" s="26" t="inlineStr"/>
      <c r="J6" s="64" t="n">
        <v>4.05</v>
      </c>
      <c r="K6" s="65" t="inlineStr">
        <is>
          <t>PLACEHOLDER</t>
        </is>
      </c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63">
        <f>IFERROR((E7+F7)/2,IFERROR(G7+0,J7))</f>
        <v/>
      </c>
      <c r="I7" s="26" t="inlineStr"/>
      <c r="J7" s="64" t="n">
        <v>4.04</v>
      </c>
      <c r="K7" s="65" t="inlineStr">
        <is>
          <t>PLACEHOLDER</t>
        </is>
      </c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63">
        <f>IFERROR((E8+F8)/2,IFERROR(G8+0,J8))</f>
        <v/>
      </c>
      <c r="I8" s="26" t="inlineStr">
        <is>
          <t>Y</t>
        </is>
      </c>
      <c r="J8" s="64" t="n">
        <v>4.03</v>
      </c>
      <c r="K8" s="65" t="inlineStr">
        <is>
          <t>PLACEHOLDER</t>
        </is>
      </c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63">
        <f>IFERROR((E9+F9)/2,IFERROR(G9+0,J9))</f>
        <v/>
      </c>
      <c r="I9" s="26" t="inlineStr"/>
      <c r="J9" s="64" t="n">
        <v>4</v>
      </c>
      <c r="K9" s="65" t="inlineStr">
        <is>
          <t>PLACEHOLDER</t>
        </is>
      </c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63">
        <f>IFERROR((E10+F10)/2,IFERROR(G10+0,J10))</f>
        <v/>
      </c>
      <c r="I10" s="26" t="inlineStr">
        <is>
          <t>Y</t>
        </is>
      </c>
      <c r="J10" s="64" t="n">
        <v>3.97</v>
      </c>
      <c r="K10" s="65" t="inlineStr">
        <is>
          <t>PLACEHOLDER</t>
        </is>
      </c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63">
        <f>IFERROR((E11+F11)/2,IFERROR(G11+0,J11))</f>
        <v/>
      </c>
      <c r="I11" s="26" t="inlineStr"/>
      <c r="J11" s="64" t="n">
        <v>3.94</v>
      </c>
      <c r="K11" s="65" t="inlineStr">
        <is>
          <t>PLACEHOLDER</t>
        </is>
      </c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63">
        <f>IFERROR((E12+F12)/2,IFERROR(G12+0,J12))</f>
        <v/>
      </c>
      <c r="I12" s="26" t="inlineStr"/>
      <c r="J12" s="64" t="n">
        <v>3.91</v>
      </c>
      <c r="K12" s="65" t="inlineStr">
        <is>
          <t>PLACEHOLDER</t>
        </is>
      </c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63">
        <f>IFERROR((E13+F13)/2,IFERROR(G13+0,J13))</f>
        <v/>
      </c>
      <c r="I13" s="26" t="inlineStr">
        <is>
          <t>Y</t>
        </is>
      </c>
      <c r="J13" s="64" t="n">
        <v>3.88</v>
      </c>
      <c r="K13" s="65" t="inlineStr">
        <is>
          <t>PLACEHOLDER</t>
        </is>
      </c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63">
        <f>IFERROR((E14+F14)/2,IFERROR(G14+0,J14))</f>
        <v/>
      </c>
      <c r="I14" s="26" t="inlineStr"/>
      <c r="J14" s="64" t="n">
        <v>3.86</v>
      </c>
      <c r="K14" s="65" t="inlineStr">
        <is>
          <t>PLACEHOLDER</t>
        </is>
      </c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63">
        <f>IFERROR((E15+F15)/2,IFERROR(G15+0,J15))</f>
        <v/>
      </c>
      <c r="I15" s="26" t="inlineStr"/>
      <c r="J15" s="64" t="n">
        <v>3.84</v>
      </c>
      <c r="K15" s="65" t="inlineStr">
        <is>
          <t>PLACEHOLDER</t>
        </is>
      </c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63">
        <f>IFERROR((E16+F16)/2,IFERROR(G16+0,J16))</f>
        <v/>
      </c>
      <c r="I16" s="26" t="inlineStr"/>
      <c r="J16" s="64" t="n">
        <v>3.82</v>
      </c>
      <c r="K16" s="65" t="inlineStr">
        <is>
          <t>PLACEHOLDER</t>
        </is>
      </c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63">
        <f>IFERROR((E17+F17)/2,IFERROR(G17+0,J17))</f>
        <v/>
      </c>
      <c r="I17" s="26" t="inlineStr"/>
      <c r="J17" s="64" t="n">
        <v>3.8</v>
      </c>
      <c r="K17" s="65" t="inlineStr">
        <is>
          <t>PLACEHOLDER</t>
        </is>
      </c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63">
        <f>IFERROR((E18+F18)/2,IFERROR(G18+0,J18))</f>
        <v/>
      </c>
      <c r="I18" s="26" t="inlineStr"/>
      <c r="J18" s="64" t="n">
        <v>3.79</v>
      </c>
      <c r="K18" s="65" t="inlineStr">
        <is>
          <t>PLACEHOLDER</t>
        </is>
      </c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63">
        <f>IFERROR((E19+F19)/2,IFERROR(G19+0,J19))</f>
        <v/>
      </c>
      <c r="I19" s="26" t="inlineStr"/>
      <c r="J19" s="64" t="n">
        <v>3.78</v>
      </c>
      <c r="K19" s="65" t="inlineStr">
        <is>
          <t>PLACEHOLDER</t>
        </is>
      </c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63">
        <f>IFERROR((E20+F20)/2,IFERROR(G20+0,J20))</f>
        <v/>
      </c>
      <c r="I20" s="26" t="inlineStr"/>
      <c r="J20" s="64" t="n">
        <v>3.72</v>
      </c>
      <c r="K20" s="65" t="inlineStr">
        <is>
          <t>PLACEHOLDER</t>
        </is>
      </c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63">
        <f>IFERROR((E21+F21)/2,IFERROR(G21+0,J21))</f>
        <v/>
      </c>
      <c r="I21" s="26" t="inlineStr"/>
      <c r="J21" s="64" t="n">
        <v>3.7</v>
      </c>
      <c r="K21" s="65" t="inlineStr">
        <is>
          <t>PLACEHOLDER</t>
        </is>
      </c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63">
        <f>IFERROR((E22+F22)/2,IFERROR(G22+0,J22))</f>
        <v/>
      </c>
      <c r="I22" s="26" t="inlineStr"/>
      <c r="J22" s="64" t="n">
        <v>3.71</v>
      </c>
      <c r="K22" s="65" t="inlineStr">
        <is>
          <t>PLACEHOLDER</t>
        </is>
      </c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63">
        <f>IFERROR((E23+F23)/2,IFERROR(G23+0,J23))</f>
        <v/>
      </c>
      <c r="I23" s="26" t="inlineStr"/>
      <c r="J23" s="64" t="n">
        <v>3.74</v>
      </c>
      <c r="K23" s="65" t="inlineStr">
        <is>
          <t>PLACEHOLDER</t>
        </is>
      </c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63">
        <f>IFERROR((E24+F24)/2,IFERROR(G24+0,J24))</f>
        <v/>
      </c>
      <c r="I24" s="26" t="inlineStr">
        <is>
          <t>Y</t>
        </is>
      </c>
      <c r="J24" s="64" t="n">
        <v>3.78</v>
      </c>
      <c r="K24" s="65" t="inlineStr">
        <is>
          <t>PLACEHOLDER</t>
        </is>
      </c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63">
        <f>IFERROR((E25+F25)/2,IFERROR(G25+0,J25))</f>
        <v/>
      </c>
      <c r="I25" s="26" t="inlineStr">
        <is>
          <t>Y</t>
        </is>
      </c>
      <c r="J25" s="64" t="n">
        <v>3.82</v>
      </c>
      <c r="K25" s="65" t="inlineStr">
        <is>
          <t>PLACEHOLDER</t>
        </is>
      </c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63">
        <f>IFERROR((E26+F26)/2,IFERROR(G26+0,J26))</f>
        <v/>
      </c>
      <c r="I26" s="26" t="inlineStr">
        <is>
          <t>Y</t>
        </is>
      </c>
      <c r="J26" s="64" t="n">
        <v>3.86</v>
      </c>
      <c r="K26" s="65" t="inlineStr">
        <is>
          <t>PLACEHOLDER</t>
        </is>
      </c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63">
        <f>IFERROR((E27+F27)/2,IFERROR(G27+0,J27))</f>
        <v/>
      </c>
      <c r="I27" s="26" t="inlineStr">
        <is>
          <t>Y</t>
        </is>
      </c>
      <c r="J27" s="64" t="n">
        <v>3.9</v>
      </c>
      <c r="K27" s="65" t="inlineStr">
        <is>
          <t>PLACEHOLDER</t>
        </is>
      </c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63">
        <f>IFERROR((E28+F28)/2,IFERROR(G28+0,J28))</f>
        <v/>
      </c>
      <c r="I28" s="26" t="inlineStr">
        <is>
          <t>Y</t>
        </is>
      </c>
      <c r="J28" s="64" t="n">
        <v>3.93</v>
      </c>
      <c r="K28" s="65" t="inlineStr">
        <is>
          <t>PLACEHOLDER</t>
        </is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63">
        <f>IFERROR((E29+F29)/2,IFERROR(G29+0,J29))</f>
        <v/>
      </c>
      <c r="I29" s="26" t="inlineStr">
        <is>
          <t>Y</t>
        </is>
      </c>
      <c r="J29" s="64" t="n">
        <v>3.96</v>
      </c>
      <c r="K29" s="65" t="inlineStr">
        <is>
          <t>PLACEHOLDER</t>
        </is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63">
        <f>IFERROR((E30+F30)/2,IFERROR(G30+0,J30))</f>
        <v/>
      </c>
      <c r="I30" s="26" t="inlineStr">
        <is>
          <t>Y</t>
        </is>
      </c>
      <c r="J30" s="64" t="n">
        <v>4.01</v>
      </c>
      <c r="K30" s="65" t="inlineStr">
        <is>
          <t>PLACEHOLDER</t>
        </is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63">
        <f>IFERROR((E31+F31)/2,IFERROR(G31+0,J31))</f>
        <v/>
      </c>
      <c r="I31" s="26" t="inlineStr">
        <is>
          <t>Y</t>
        </is>
      </c>
      <c r="J31" s="64" t="n">
        <v>4.05</v>
      </c>
      <c r="K31" s="65" t="inlineStr">
        <is>
          <t>PLACEHOLDER</t>
        </is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63">
        <f>IFERROR((E32+F32)/2,IFERROR(G32+0,J32))</f>
        <v/>
      </c>
      <c r="I32" s="26" t="inlineStr">
        <is>
          <t>Y</t>
        </is>
      </c>
      <c r="J32" s="64" t="n">
        <v>4.06</v>
      </c>
      <c r="K32" s="65" t="inlineStr">
        <is>
          <t>PLACEHOLDER</t>
        </is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63">
        <f>IFERROR((E33+F33)/2,IFERROR(G33+0,J33))</f>
        <v/>
      </c>
      <c r="I33" s="26" t="inlineStr">
        <is>
          <t>Y</t>
        </is>
      </c>
      <c r="J33" s="64" t="n">
        <v>4.02</v>
      </c>
      <c r="K33" s="65" t="inlineStr">
        <is>
          <t>PLACEHOLDER</t>
        </is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63">
        <f>IFERROR((E34+F34)/2,IFERROR(G34+0,J34))</f>
        <v/>
      </c>
      <c r="I34" s="26" t="inlineStr">
        <is>
          <t>Y</t>
        </is>
      </c>
      <c r="J34" s="64" t="n">
        <v>3.97</v>
      </c>
      <c r="K34" s="65" t="inlineStr">
        <is>
          <t>PLACEHOLDER</t>
        </is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63">
        <f>IFERROR((E35+F35)/2,IFERROR(G35+0,J35))</f>
        <v/>
      </c>
      <c r="I35" s="26" t="inlineStr">
        <is>
          <t>Y</t>
        </is>
      </c>
      <c r="J35" s="64" t="n">
        <v>3.85</v>
      </c>
      <c r="K35" s="65" t="inlineStr">
        <is>
          <t>PLACEHOLDER</t>
        </is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63">
        <f>IFERROR((E36+F36)/2,IFERROR(G36+0,J36))</f>
        <v/>
      </c>
      <c r="I36" s="26" t="inlineStr">
        <is>
          <t>Y</t>
        </is>
      </c>
      <c r="J36" s="64" t="n">
        <v>3.75</v>
      </c>
      <c r="K36" s="65" t="inlineStr">
        <is>
          <t>PLACEHOLDER</t>
        </is>
      </c>
    </row>
    <row r="37"/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75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</cols>
  <sheetData>
    <row r="1">
      <c r="A1" s="1" t="inlineStr">
        <is>
          <t>Bootstrap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27">
        <f>1/(1+('SOFR_Fixings'!$C$6/100)*($B$4-VAL_DATE)/360)</f>
        <v/>
      </c>
    </row>
    <row r="5" ht="58" customHeight="1">
      <c r="A5" s="9" t="inlineStr">
        <is>
          <t>Purely from the SOFR OIS quotes — no futures. SHORT (o/n–1Y): each OIS pays a single coupon, so DF = 1/(1+S·tau0). 18M–50Y: annual coupons, DF = (1−S·A_prior)/(1+S·taucoupon), where A_prior (col G) sums tau·DF over prior annual coupon dates (col I books this only at annual pillars; sub-annual and 18M add 0). Every input reprices to par. Col E par rates pull live from SOFR_OIS_Quotes. Paste Bloomberg S490 zeros into column L for the Δz check. For the Lehman-style build that puts SR3 futures in the 1Y–5Y middle, see the Bootstrap_Lehman tab.</t>
        </is>
      </c>
    </row>
    <row r="6">
      <c r="S6" s="4" t="inlineStr">
        <is>
          <t>Working — fixed-leg PV = float-leg PV (par swap)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S7" s="20" t="inlineStr">
        <is>
          <t>Annuity  Σα·DF</t>
        </is>
      </c>
      <c r="T7" s="20" t="inlineStr">
        <is>
          <t>Fixed leg  K·Σα·DF</t>
        </is>
      </c>
      <c r="U7" s="20" t="inlineStr">
        <is>
          <t>Float leg  DF0−DF(T)</t>
        </is>
      </c>
      <c r="V7" s="20" t="inlineStr">
        <is>
          <t>Model par (%)</t>
        </is>
      </c>
      <c r="W7" s="20" t="inlineStr">
        <is>
          <t>Reprice (bp)</t>
        </is>
      </c>
    </row>
    <row r="8">
      <c r="A8" s="6" t="inlineStr">
        <is>
          <t>1W</t>
        </is>
      </c>
      <c r="B8" s="18">
        <f>$B$4+7</f>
        <v/>
      </c>
      <c r="C8" s="28">
        <f>(B8-VAL_DATE)/365</f>
        <v/>
      </c>
      <c r="D8" s="17">
        <f>(B8-$B$4)/360</f>
        <v/>
      </c>
      <c r="E8" s="17">
        <f>'SOFR_OIS_Quotes'!$H5</f>
        <v/>
      </c>
      <c r="F8" s="6" t="n"/>
      <c r="G8" s="17" t="n">
        <v>0</v>
      </c>
      <c r="H8" s="29">
        <f>$D$4/(1+(E8/100)*D8)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4">
        <f>(D8*H8)</f>
        <v/>
      </c>
      <c r="T8" s="34">
        <f>(E8/100)*S8</f>
        <v/>
      </c>
      <c r="U8" s="34">
        <f>$D$4-H8</f>
        <v/>
      </c>
      <c r="V8" s="17">
        <f>U8/S8*100</f>
        <v/>
      </c>
      <c r="W8" s="31">
        <f>(V8-E8)*100</f>
        <v/>
      </c>
    </row>
    <row r="9">
      <c r="A9" s="6" t="inlineStr">
        <is>
          <t>2W</t>
        </is>
      </c>
      <c r="B9" s="18">
        <f>$B$4+14</f>
        <v/>
      </c>
      <c r="C9" s="28">
        <f>(B9-VAL_DATE)/365</f>
        <v/>
      </c>
      <c r="D9" s="17">
        <f>(B9-$B$4)/360</f>
        <v/>
      </c>
      <c r="E9" s="17">
        <f>'SOFR_OIS_Quotes'!$H6</f>
        <v/>
      </c>
      <c r="F9" s="6" t="n"/>
      <c r="G9" s="17">
        <f>SUM($I$8:I8)</f>
        <v/>
      </c>
      <c r="H9" s="29">
        <f>$D$4/(1+(E9/100)*D9)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4">
        <f>(D9*H9)</f>
        <v/>
      </c>
      <c r="T9" s="34">
        <f>(E9/100)*S9</f>
        <v/>
      </c>
      <c r="U9" s="34">
        <f>$D$4-H9</f>
        <v/>
      </c>
      <c r="V9" s="17">
        <f>U9/S9*100</f>
        <v/>
      </c>
      <c r="W9" s="31">
        <f>(V9-E9)*100</f>
        <v/>
      </c>
    </row>
    <row r="10">
      <c r="A10" s="6" t="inlineStr">
        <is>
          <t>3W</t>
        </is>
      </c>
      <c r="B10" s="18">
        <f>$B$4+21</f>
        <v/>
      </c>
      <c r="C10" s="28">
        <f>(B10-VAL_DATE)/365</f>
        <v/>
      </c>
      <c r="D10" s="17">
        <f>(B10-$B$4)/360</f>
        <v/>
      </c>
      <c r="E10" s="17">
        <f>'SOFR_OIS_Quotes'!$H7</f>
        <v/>
      </c>
      <c r="F10" s="6" t="n"/>
      <c r="G10" s="17">
        <f>SUM($I$8:I9)</f>
        <v/>
      </c>
      <c r="H10" s="29">
        <f>$D$4/(1+(E10/100)*D10)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4">
        <f>(D10*H10)</f>
        <v/>
      </c>
      <c r="T10" s="34">
        <f>(E10/100)*S10</f>
        <v/>
      </c>
      <c r="U10" s="34">
        <f>$D$4-H10</f>
        <v/>
      </c>
      <c r="V10" s="17">
        <f>U10/S10*100</f>
        <v/>
      </c>
      <c r="W10" s="31">
        <f>(V10-E10)*100</f>
        <v/>
      </c>
    </row>
    <row r="11">
      <c r="A11" s="6" t="inlineStr">
        <is>
          <t>1M</t>
        </is>
      </c>
      <c r="B11" s="18">
        <f>EDATE($B$4,1)</f>
        <v/>
      </c>
      <c r="C11" s="28">
        <f>(B11-VAL_DATE)/365</f>
        <v/>
      </c>
      <c r="D11" s="17">
        <f>(B11-$B$4)/360</f>
        <v/>
      </c>
      <c r="E11" s="17">
        <f>'SOFR_OIS_Quotes'!$H8</f>
        <v/>
      </c>
      <c r="F11" s="6" t="n"/>
      <c r="G11" s="17">
        <f>SUM($I$8:I10)</f>
        <v/>
      </c>
      <c r="H11" s="29">
        <f>$D$4/(1+(E11/100)*D11)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4">
        <f>(D11*H11)</f>
        <v/>
      </c>
      <c r="T11" s="34">
        <f>(E11/100)*S11</f>
        <v/>
      </c>
      <c r="U11" s="34">
        <f>$D$4-H11</f>
        <v/>
      </c>
      <c r="V11" s="17">
        <f>U11/S11*100</f>
        <v/>
      </c>
      <c r="W11" s="31">
        <f>(V11-E11)*100</f>
        <v/>
      </c>
    </row>
    <row r="12">
      <c r="A12" s="6" t="inlineStr">
        <is>
          <t>2M</t>
        </is>
      </c>
      <c r="B12" s="18">
        <f>EDATE($B$4,2)</f>
        <v/>
      </c>
      <c r="C12" s="28">
        <f>(B12-VAL_DATE)/365</f>
        <v/>
      </c>
      <c r="D12" s="17">
        <f>(B12-$B$4)/360</f>
        <v/>
      </c>
      <c r="E12" s="17">
        <f>'SOFR_OIS_Quotes'!$H9</f>
        <v/>
      </c>
      <c r="F12" s="6" t="n"/>
      <c r="G12" s="17">
        <f>SUM($I$8:I11)</f>
        <v/>
      </c>
      <c r="H12" s="29">
        <f>$D$4/(1+(E12/100)*D12)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4">
        <f>(D12*H12)</f>
        <v/>
      </c>
      <c r="T12" s="34">
        <f>(E12/100)*S12</f>
        <v/>
      </c>
      <c r="U12" s="34">
        <f>$D$4-H12</f>
        <v/>
      </c>
      <c r="V12" s="17">
        <f>U12/S12*100</f>
        <v/>
      </c>
      <c r="W12" s="31">
        <f>(V12-E12)*100</f>
        <v/>
      </c>
    </row>
    <row r="13">
      <c r="A13" s="6" t="inlineStr">
        <is>
          <t>3M</t>
        </is>
      </c>
      <c r="B13" s="18">
        <f>EDATE($B$4,3)</f>
        <v/>
      </c>
      <c r="C13" s="28">
        <f>(B13-VAL_DATE)/365</f>
        <v/>
      </c>
      <c r="D13" s="17">
        <f>(B13-$B$4)/360</f>
        <v/>
      </c>
      <c r="E13" s="17">
        <f>'SOFR_OIS_Quotes'!$H10</f>
        <v/>
      </c>
      <c r="F13" s="6" t="n"/>
      <c r="G13" s="17">
        <f>SUM($I$8:I12)</f>
        <v/>
      </c>
      <c r="H13" s="29">
        <f>$D$4/(1+(E13/100)*D13)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4">
        <f>(D13*H13)</f>
        <v/>
      </c>
      <c r="T13" s="34">
        <f>(E13/100)*S13</f>
        <v/>
      </c>
      <c r="U13" s="34">
        <f>$D$4-H13</f>
        <v/>
      </c>
      <c r="V13" s="17">
        <f>U13/S13*100</f>
        <v/>
      </c>
      <c r="W13" s="31">
        <f>(V13-E13)*100</f>
        <v/>
      </c>
    </row>
    <row r="14">
      <c r="A14" s="6" t="inlineStr">
        <is>
          <t>4M</t>
        </is>
      </c>
      <c r="B14" s="18">
        <f>EDATE($B$4,4)</f>
        <v/>
      </c>
      <c r="C14" s="28">
        <f>(B14-VAL_DATE)/365</f>
        <v/>
      </c>
      <c r="D14" s="17">
        <f>(B14-$B$4)/360</f>
        <v/>
      </c>
      <c r="E14" s="17">
        <f>'SOFR_OIS_Quotes'!$H11</f>
        <v/>
      </c>
      <c r="F14" s="6" t="n"/>
      <c r="G14" s="17">
        <f>SUM($I$8:I13)</f>
        <v/>
      </c>
      <c r="H14" s="29">
        <f>$D$4/(1+(E14/100)*D14)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4">
        <f>(D14*H14)</f>
        <v/>
      </c>
      <c r="T14" s="34">
        <f>(E14/100)*S14</f>
        <v/>
      </c>
      <c r="U14" s="34">
        <f>$D$4-H14</f>
        <v/>
      </c>
      <c r="V14" s="17">
        <f>U14/S14*100</f>
        <v/>
      </c>
      <c r="W14" s="31">
        <f>(V14-E14)*100</f>
        <v/>
      </c>
    </row>
    <row r="15">
      <c r="A15" s="6" t="inlineStr">
        <is>
          <t>5M</t>
        </is>
      </c>
      <c r="B15" s="18">
        <f>EDATE($B$4,5)</f>
        <v/>
      </c>
      <c r="C15" s="28">
        <f>(B15-VAL_DATE)/365</f>
        <v/>
      </c>
      <c r="D15" s="17">
        <f>(B15-$B$4)/360</f>
        <v/>
      </c>
      <c r="E15" s="17">
        <f>'SOFR_OIS_Quotes'!$H12</f>
        <v/>
      </c>
      <c r="F15" s="6" t="n"/>
      <c r="G15" s="17">
        <f>SUM($I$8:I14)</f>
        <v/>
      </c>
      <c r="H15" s="29">
        <f>$D$4/(1+(E15/100)*D15)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4">
        <f>(D15*H15)</f>
        <v/>
      </c>
      <c r="T15" s="34">
        <f>(E15/100)*S15</f>
        <v/>
      </c>
      <c r="U15" s="34">
        <f>$D$4-H15</f>
        <v/>
      </c>
      <c r="V15" s="17">
        <f>U15/S15*100</f>
        <v/>
      </c>
      <c r="W15" s="31">
        <f>(V15-E15)*100</f>
        <v/>
      </c>
    </row>
    <row r="16">
      <c r="A16" s="6" t="inlineStr">
        <is>
          <t>6M</t>
        </is>
      </c>
      <c r="B16" s="18">
        <f>EDATE($B$4,6)</f>
        <v/>
      </c>
      <c r="C16" s="28">
        <f>(B16-VAL_DATE)/365</f>
        <v/>
      </c>
      <c r="D16" s="17">
        <f>(B16-$B$4)/360</f>
        <v/>
      </c>
      <c r="E16" s="17">
        <f>'SOFR_OIS_Quotes'!$H13</f>
        <v/>
      </c>
      <c r="F16" s="6" t="n"/>
      <c r="G16" s="17">
        <f>SUM($I$8:I15)</f>
        <v/>
      </c>
      <c r="H16" s="29">
        <f>$D$4/(1+(E16/100)*D16)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4">
        <f>(D16*H16)</f>
        <v/>
      </c>
      <c r="T16" s="34">
        <f>(E16/100)*S16</f>
        <v/>
      </c>
      <c r="U16" s="34">
        <f>$D$4-H16</f>
        <v/>
      </c>
      <c r="V16" s="17">
        <f>U16/S16*100</f>
        <v/>
      </c>
      <c r="W16" s="31">
        <f>(V16-E16)*100</f>
        <v/>
      </c>
    </row>
    <row r="17">
      <c r="A17" s="6" t="inlineStr">
        <is>
          <t>7M</t>
        </is>
      </c>
      <c r="B17" s="18">
        <f>EDATE($B$4,7)</f>
        <v/>
      </c>
      <c r="C17" s="28">
        <f>(B17-VAL_DATE)/365</f>
        <v/>
      </c>
      <c r="D17" s="17">
        <f>(B17-$B$4)/360</f>
        <v/>
      </c>
      <c r="E17" s="17">
        <f>'SOFR_OIS_Quotes'!$H14</f>
        <v/>
      </c>
      <c r="F17" s="6" t="n"/>
      <c r="G17" s="17">
        <f>SUM($I$8:I16)</f>
        <v/>
      </c>
      <c r="H17" s="29">
        <f>$D$4/(1+(E17/100)*D17)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4">
        <f>(D17*H17)</f>
        <v/>
      </c>
      <c r="T17" s="34">
        <f>(E17/100)*S17</f>
        <v/>
      </c>
      <c r="U17" s="34">
        <f>$D$4-H17</f>
        <v/>
      </c>
      <c r="V17" s="17">
        <f>U17/S17*100</f>
        <v/>
      </c>
      <c r="W17" s="31">
        <f>(V17-E17)*100</f>
        <v/>
      </c>
    </row>
    <row r="18">
      <c r="A18" s="6" t="inlineStr">
        <is>
          <t>8M</t>
        </is>
      </c>
      <c r="B18" s="18">
        <f>EDATE($B$4,8)</f>
        <v/>
      </c>
      <c r="C18" s="28">
        <f>(B18-VAL_DATE)/365</f>
        <v/>
      </c>
      <c r="D18" s="17">
        <f>(B18-$B$4)/360</f>
        <v/>
      </c>
      <c r="E18" s="17">
        <f>'SOFR_OIS_Quotes'!$H15</f>
        <v/>
      </c>
      <c r="F18" s="6" t="n"/>
      <c r="G18" s="17">
        <f>SUM($I$8:I17)</f>
        <v/>
      </c>
      <c r="H18" s="29">
        <f>$D$4/(1+(E18/100)*D18)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4">
        <f>(D18*H18)</f>
        <v/>
      </c>
      <c r="T18" s="34">
        <f>(E18/100)*S18</f>
        <v/>
      </c>
      <c r="U18" s="34">
        <f>$D$4-H18</f>
        <v/>
      </c>
      <c r="V18" s="17">
        <f>U18/S18*100</f>
        <v/>
      </c>
      <c r="W18" s="31">
        <f>(V18-E18)*100</f>
        <v/>
      </c>
    </row>
    <row r="19">
      <c r="A19" s="6" t="inlineStr">
        <is>
          <t>9M</t>
        </is>
      </c>
      <c r="B19" s="18">
        <f>EDATE($B$4,9)</f>
        <v/>
      </c>
      <c r="C19" s="28">
        <f>(B19-VAL_DATE)/365</f>
        <v/>
      </c>
      <c r="D19" s="17">
        <f>(B19-$B$4)/360</f>
        <v/>
      </c>
      <c r="E19" s="17">
        <f>'SOFR_OIS_Quotes'!$H16</f>
        <v/>
      </c>
      <c r="F19" s="6" t="n"/>
      <c r="G19" s="17">
        <f>SUM($I$8:I18)</f>
        <v/>
      </c>
      <c r="H19" s="29">
        <f>$D$4/(1+(E19/100)*D19)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4">
        <f>(D19*H19)</f>
        <v/>
      </c>
      <c r="T19" s="34">
        <f>(E19/100)*S19</f>
        <v/>
      </c>
      <c r="U19" s="34">
        <f>$D$4-H19</f>
        <v/>
      </c>
      <c r="V19" s="17">
        <f>U19/S19*100</f>
        <v/>
      </c>
      <c r="W19" s="31">
        <f>(V19-E19)*100</f>
        <v/>
      </c>
    </row>
    <row r="20">
      <c r="A20" s="6" t="inlineStr">
        <is>
          <t>10M</t>
        </is>
      </c>
      <c r="B20" s="18">
        <f>EDATE($B$4,10)</f>
        <v/>
      </c>
      <c r="C20" s="28">
        <f>(B20-VAL_DATE)/365</f>
        <v/>
      </c>
      <c r="D20" s="17">
        <f>(B20-$B$4)/360</f>
        <v/>
      </c>
      <c r="E20" s="17">
        <f>'SOFR_OIS_Quotes'!$H17</f>
        <v/>
      </c>
      <c r="F20" s="6" t="n"/>
      <c r="G20" s="17">
        <f>SUM($I$8:I19)</f>
        <v/>
      </c>
      <c r="H20" s="29">
        <f>$D$4/(1+(E20/100)*D20)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4">
        <f>(D20*H20)</f>
        <v/>
      </c>
      <c r="T20" s="34">
        <f>(E20/100)*S20</f>
        <v/>
      </c>
      <c r="U20" s="34">
        <f>$D$4-H20</f>
        <v/>
      </c>
      <c r="V20" s="17">
        <f>U20/S20*100</f>
        <v/>
      </c>
      <c r="W20" s="31">
        <f>(V20-E20)*100</f>
        <v/>
      </c>
    </row>
    <row r="21">
      <c r="A21" s="6" t="inlineStr">
        <is>
          <t>11M</t>
        </is>
      </c>
      <c r="B21" s="18">
        <f>EDATE($B$4,11)</f>
        <v/>
      </c>
      <c r="C21" s="28">
        <f>(B21-VAL_DATE)/365</f>
        <v/>
      </c>
      <c r="D21" s="17">
        <f>(B21-$B$4)/360</f>
        <v/>
      </c>
      <c r="E21" s="17">
        <f>'SOFR_OIS_Quotes'!$H18</f>
        <v/>
      </c>
      <c r="F21" s="6" t="n"/>
      <c r="G21" s="17">
        <f>SUM($I$8:I20)</f>
        <v/>
      </c>
      <c r="H21" s="29">
        <f>$D$4/(1+(E21/100)*D21)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4">
        <f>(D21*H21)</f>
        <v/>
      </c>
      <c r="T21" s="34">
        <f>(E21/100)*S21</f>
        <v/>
      </c>
      <c r="U21" s="34">
        <f>$D$4-H21</f>
        <v/>
      </c>
      <c r="V21" s="17">
        <f>U21/S21*100</f>
        <v/>
      </c>
      <c r="W21" s="31">
        <f>(V21-E21)*100</f>
        <v/>
      </c>
    </row>
    <row r="22">
      <c r="A22" s="6" t="inlineStr">
        <is>
          <t>1Y</t>
        </is>
      </c>
      <c r="B22" s="18">
        <f>EDATE($B$4,12)</f>
        <v/>
      </c>
      <c r="C22" s="28">
        <f>(B22-VAL_DATE)/365</f>
        <v/>
      </c>
      <c r="D22" s="17">
        <f>(B22-$B$4)/360</f>
        <v/>
      </c>
      <c r="E22" s="17">
        <f>'SOFR_OIS_Quotes'!$H19</f>
        <v/>
      </c>
      <c r="F22" s="17">
        <f>(B22-$B$4)/360</f>
        <v/>
      </c>
      <c r="G22" s="17">
        <f>SUM($I$8:I21)</f>
        <v/>
      </c>
      <c r="H22" s="29">
        <f>$D$4/(1+(E22/100)*D22)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4">
        <f>(D22*H22)</f>
        <v/>
      </c>
      <c r="T22" s="34">
        <f>(E22/100)*S22</f>
        <v/>
      </c>
      <c r="U22" s="34">
        <f>$D$4-H22</f>
        <v/>
      </c>
      <c r="V22" s="17">
        <f>U22/S22*100</f>
        <v/>
      </c>
      <c r="W22" s="31">
        <f>(V22-E22)*100</f>
        <v/>
      </c>
    </row>
    <row r="23">
      <c r="A23" s="6" t="inlineStr">
        <is>
          <t>18M</t>
        </is>
      </c>
      <c r="B23" s="18">
        <f>EDATE($B$4,18)</f>
        <v/>
      </c>
      <c r="C23" s="28">
        <f>(B23-VAL_DATE)/365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($D$4-(E23/100)*G23)/(1+(E23/100)*F23)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4">
        <f>(G23+F23*H23)</f>
        <v/>
      </c>
      <c r="T23" s="34">
        <f>(E23/100)*S23</f>
        <v/>
      </c>
      <c r="U23" s="34">
        <f>$D$4-H23</f>
        <v/>
      </c>
      <c r="V23" s="17">
        <f>U23/S23*100</f>
        <v/>
      </c>
      <c r="W23" s="31">
        <f>(V23-E23)*100</f>
        <v/>
      </c>
    </row>
    <row r="24">
      <c r="A24" s="6" t="inlineStr">
        <is>
          <t>2Y</t>
        </is>
      </c>
      <c r="B24" s="18">
        <f>EDATE($B$4,24)</f>
        <v/>
      </c>
      <c r="C24" s="28">
        <f>(B24-VAL_DATE)/365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($D$4-(E24/100)*G24)/(1+(E24/100)*F24)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4">
        <f>(G24+F24*H24)</f>
        <v/>
      </c>
      <c r="T24" s="34">
        <f>(E24/100)*S24</f>
        <v/>
      </c>
      <c r="U24" s="34">
        <f>$D$4-H24</f>
        <v/>
      </c>
      <c r="V24" s="17">
        <f>U24/S24*100</f>
        <v/>
      </c>
      <c r="W24" s="31">
        <f>(V24-E24)*100</f>
        <v/>
      </c>
    </row>
    <row r="25">
      <c r="A25" s="6" t="inlineStr">
        <is>
          <t>3Y</t>
        </is>
      </c>
      <c r="B25" s="18">
        <f>EDATE($B$4,36)</f>
        <v/>
      </c>
      <c r="C25" s="28">
        <f>(B25-VAL_DATE)/365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($D$4-(E25/100)*G25)/(1+(E25/100)*F25)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market</t>
        </is>
      </c>
      <c r="S25" s="34">
        <f>(G25+F25*H25)</f>
        <v/>
      </c>
      <c r="T25" s="34">
        <f>(E25/100)*S25</f>
        <v/>
      </c>
      <c r="U25" s="34">
        <f>$D$4-H25</f>
        <v/>
      </c>
      <c r="V25" s="17">
        <f>U25/S25*100</f>
        <v/>
      </c>
      <c r="W25" s="31">
        <f>(V25-E25)*100</f>
        <v/>
      </c>
    </row>
    <row r="26">
      <c r="A26" s="6" t="inlineStr">
        <is>
          <t>4Y</t>
        </is>
      </c>
      <c r="B26" s="18">
        <f>EDATE($B$4,48)</f>
        <v/>
      </c>
      <c r="C26" s="28">
        <f>(B26-VAL_DATE)/365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($D$4-(E26/100)*G26)/(1+(E26/100)*F26)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market</t>
        </is>
      </c>
      <c r="S26" s="34">
        <f>(G26+F26*H26)</f>
        <v/>
      </c>
      <c r="T26" s="34">
        <f>(E26/100)*S26</f>
        <v/>
      </c>
      <c r="U26" s="34">
        <f>$D$4-H26</f>
        <v/>
      </c>
      <c r="V26" s="17">
        <f>U26/S26*100</f>
        <v/>
      </c>
      <c r="W26" s="31">
        <f>(V26-E26)*100</f>
        <v/>
      </c>
    </row>
    <row r="27">
      <c r="A27" s="6" t="inlineStr">
        <is>
          <t>5Y</t>
        </is>
      </c>
      <c r="B27" s="18">
        <f>EDATE($B$4,60)</f>
        <v/>
      </c>
      <c r="C27" s="28">
        <f>(B27-VAL_DATE)/365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($D$4-(E27/100)*G27)/(1+(E27/100)*F27)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market</t>
        </is>
      </c>
      <c r="S27" s="34">
        <f>(G27+F27*H27)</f>
        <v/>
      </c>
      <c r="T27" s="34">
        <f>(E27/100)*S27</f>
        <v/>
      </c>
      <c r="U27" s="34">
        <f>$D$4-H27</f>
        <v/>
      </c>
      <c r="V27" s="17">
        <f>U27/S27*100</f>
        <v/>
      </c>
      <c r="W27" s="31">
        <f>(V27-E27)*100</f>
        <v/>
      </c>
    </row>
    <row r="28">
      <c r="A28" s="6" t="inlineStr">
        <is>
          <t>6Y</t>
        </is>
      </c>
      <c r="B28" s="18">
        <f>EDATE($B$4,72)</f>
        <v/>
      </c>
      <c r="C28" s="28">
        <f>(B28-VAL_DATE)/365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market</t>
        </is>
      </c>
      <c r="S28" s="34">
        <f>(G28+F28*H28)</f>
        <v/>
      </c>
      <c r="T28" s="34">
        <f>(E28/100)*S28</f>
        <v/>
      </c>
      <c r="U28" s="34">
        <f>$D$4-H28</f>
        <v/>
      </c>
      <c r="V28" s="17">
        <f>U28/S28*100</f>
        <v/>
      </c>
      <c r="W28" s="31">
        <f>(V28-E28)*100</f>
        <v/>
      </c>
    </row>
    <row r="29">
      <c r="A29" s="6" t="inlineStr">
        <is>
          <t>7Y</t>
        </is>
      </c>
      <c r="B29" s="18">
        <f>EDATE($B$4,84)</f>
        <v/>
      </c>
      <c r="C29" s="28">
        <f>(B29-VAL_DATE)/365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market</t>
        </is>
      </c>
      <c r="S29" s="34">
        <f>(G29+F29*H29)</f>
        <v/>
      </c>
      <c r="T29" s="34">
        <f>(E29/100)*S29</f>
        <v/>
      </c>
      <c r="U29" s="34">
        <f>$D$4-H29</f>
        <v/>
      </c>
      <c r="V29" s="17">
        <f>U29/S29*100</f>
        <v/>
      </c>
      <c r="W29" s="31">
        <f>(V29-E29)*100</f>
        <v/>
      </c>
    </row>
    <row r="30">
      <c r="A30" s="6" t="inlineStr">
        <is>
          <t>8Y</t>
        </is>
      </c>
      <c r="B30" s="18">
        <f>EDATE($B$4,96)</f>
        <v/>
      </c>
      <c r="C30" s="28">
        <f>(B30-VAL_DATE)/365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market</t>
        </is>
      </c>
      <c r="S30" s="34">
        <f>(G30+F30*H30)</f>
        <v/>
      </c>
      <c r="T30" s="34">
        <f>(E30/100)*S30</f>
        <v/>
      </c>
      <c r="U30" s="34">
        <f>$D$4-H30</f>
        <v/>
      </c>
      <c r="V30" s="17">
        <f>U30/S30*100</f>
        <v/>
      </c>
      <c r="W30" s="31">
        <f>(V30-E30)*100</f>
        <v/>
      </c>
    </row>
    <row r="31">
      <c r="A31" s="6" t="inlineStr">
        <is>
          <t>9Y</t>
        </is>
      </c>
      <c r="B31" s="18">
        <f>EDATE($B$4,108)</f>
        <v/>
      </c>
      <c r="C31" s="28">
        <f>(B31-VAL_DATE)/365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market</t>
        </is>
      </c>
      <c r="S31" s="34">
        <f>(G31+F31*H31)</f>
        <v/>
      </c>
      <c r="T31" s="34">
        <f>(E31/100)*S31</f>
        <v/>
      </c>
      <c r="U31" s="34">
        <f>$D$4-H31</f>
        <v/>
      </c>
      <c r="V31" s="17">
        <f>U31/S31*100</f>
        <v/>
      </c>
      <c r="W31" s="31">
        <f>(V31-E31)*100</f>
        <v/>
      </c>
    </row>
    <row r="32">
      <c r="A32" s="6" t="inlineStr">
        <is>
          <t>10Y</t>
        </is>
      </c>
      <c r="B32" s="18">
        <f>EDATE($B$4,120)</f>
        <v/>
      </c>
      <c r="C32" s="28">
        <f>(B32-VAL_DATE)/365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market</t>
        </is>
      </c>
      <c r="S32" s="34">
        <f>(G32+F32*H32)</f>
        <v/>
      </c>
      <c r="T32" s="34">
        <f>(E32/100)*S32</f>
        <v/>
      </c>
      <c r="U32" s="34">
        <f>$D$4-H32</f>
        <v/>
      </c>
      <c r="V32" s="17">
        <f>U32/S32*100</f>
        <v/>
      </c>
      <c r="W32" s="31">
        <f>(V32-E32)*100</f>
        <v/>
      </c>
    </row>
    <row r="33">
      <c r="A33" s="6" t="inlineStr">
        <is>
          <t>11Y</t>
        </is>
      </c>
      <c r="B33" s="18">
        <f>EDATE($B$4,132)</f>
        <v/>
      </c>
      <c r="C33" s="28">
        <f>(B33-VAL_DATE)/365</f>
        <v/>
      </c>
      <c r="D33" s="17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17">
        <f>(B33-$B$32)/360</f>
        <v/>
      </c>
      <c r="G33" s="17">
        <f>SUM($I$8:I32)</f>
        <v/>
      </c>
      <c r="H33" s="29">
        <f>H32*(H34/H32)^((C33-C32)/(C34-C32))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interp</t>
        </is>
      </c>
      <c r="S33" s="34">
        <f>(G33+F33*H33)</f>
        <v/>
      </c>
      <c r="T33" s="34">
        <f>(E33/100)*S33</f>
        <v/>
      </c>
      <c r="U33" s="34">
        <f>$D$4-H33</f>
        <v/>
      </c>
      <c r="V33" s="17">
        <f>U33/S33*100</f>
        <v/>
      </c>
      <c r="W33" s="31">
        <f>(V33-E33)*100</f>
        <v/>
      </c>
    </row>
    <row r="34">
      <c r="A34" s="6" t="inlineStr">
        <is>
          <t>12Y</t>
        </is>
      </c>
      <c r="B34" s="18">
        <f>EDATE($B$4,144)</f>
        <v/>
      </c>
      <c r="C34" s="28">
        <f>(B34-VAL_DATE)/365</f>
        <v/>
      </c>
      <c r="D34" s="17">
        <f>(B34-$B$4)/360</f>
        <v/>
      </c>
      <c r="E34" s="17">
        <f>'SOFR_OIS_Quotes'!$H30</f>
        <v/>
      </c>
      <c r="F34" s="17">
        <f>(B34-$B$33)/360</f>
        <v/>
      </c>
      <c r="G34" s="17">
        <f>SUM($I$8:I33)</f>
        <v/>
      </c>
      <c r="H34" s="29">
        <f>($D$4-(E34/100)*G34)/(1+(E34/100)*F34)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market</t>
        </is>
      </c>
      <c r="S34" s="34">
        <f>(G34+F34*H34)</f>
        <v/>
      </c>
      <c r="T34" s="34">
        <f>(E34/100)*S34</f>
        <v/>
      </c>
      <c r="U34" s="34">
        <f>$D$4-H34</f>
        <v/>
      </c>
      <c r="V34" s="17">
        <f>U34/S34*100</f>
        <v/>
      </c>
      <c r="W34" s="31">
        <f>(V34-E34)*100</f>
        <v/>
      </c>
    </row>
    <row r="35">
      <c r="A35" s="6" t="inlineStr">
        <is>
          <t>13Y</t>
        </is>
      </c>
      <c r="B35" s="18">
        <f>EDATE($B$4,156)</f>
        <v/>
      </c>
      <c r="C35" s="28">
        <f>(B35-VAL_DATE)/365</f>
        <v/>
      </c>
      <c r="D35" s="17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17">
        <f>(B35-$B$34)/360</f>
        <v/>
      </c>
      <c r="G35" s="17">
        <f>SUM($I$8:I34)</f>
        <v/>
      </c>
      <c r="H35" s="29">
        <f>H34*(H37/H34)^((C35-C34)/(C37-C34))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interp</t>
        </is>
      </c>
      <c r="S35" s="34">
        <f>(G35+F35*H35)</f>
        <v/>
      </c>
      <c r="T35" s="34">
        <f>(E35/100)*S35</f>
        <v/>
      </c>
      <c r="U35" s="34">
        <f>$D$4-H35</f>
        <v/>
      </c>
      <c r="V35" s="17">
        <f>U35/S35*100</f>
        <v/>
      </c>
      <c r="W35" s="31">
        <f>(V35-E35)*100</f>
        <v/>
      </c>
    </row>
    <row r="36">
      <c r="A36" s="6" t="inlineStr">
        <is>
          <t>14Y</t>
        </is>
      </c>
      <c r="B36" s="18">
        <f>EDATE($B$4,168)</f>
        <v/>
      </c>
      <c r="C36" s="28">
        <f>(B36-VAL_DATE)/365</f>
        <v/>
      </c>
      <c r="D36" s="17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17">
        <f>(B36-$B$35)/360</f>
        <v/>
      </c>
      <c r="G36" s="17">
        <f>SUM($I$8:I35)</f>
        <v/>
      </c>
      <c r="H36" s="29">
        <f>H34*(H37/H34)^((C36-C34)/(C37-C34))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interp</t>
        </is>
      </c>
      <c r="S36" s="34">
        <f>(G36+F36*H36)</f>
        <v/>
      </c>
      <c r="T36" s="34">
        <f>(E36/100)*S36</f>
        <v/>
      </c>
      <c r="U36" s="34">
        <f>$D$4-H36</f>
        <v/>
      </c>
      <c r="V36" s="17">
        <f>U36/S36*100</f>
        <v/>
      </c>
      <c r="W36" s="31">
        <f>(V36-E36)*100</f>
        <v/>
      </c>
    </row>
    <row r="37">
      <c r="A37" s="6" t="inlineStr">
        <is>
          <t>15Y</t>
        </is>
      </c>
      <c r="B37" s="18">
        <f>EDATE($B$4,180)</f>
        <v/>
      </c>
      <c r="C37" s="28">
        <f>(B37-VAL_DATE)/365</f>
        <v/>
      </c>
      <c r="D37" s="17">
        <f>(B37-$B$4)/360</f>
        <v/>
      </c>
      <c r="E37" s="17">
        <f>'SOFR_OIS_Quotes'!$H31</f>
        <v/>
      </c>
      <c r="F37" s="17">
        <f>(B37-$B$36)/360</f>
        <v/>
      </c>
      <c r="G37" s="17">
        <f>SUM($I$8:I36)</f>
        <v/>
      </c>
      <c r="H37" s="29">
        <f>($D$4-(E37/100)*G37)/(1+(E37/100)*F37)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market</t>
        </is>
      </c>
      <c r="S37" s="34">
        <f>(G37+F37*H37)</f>
        <v/>
      </c>
      <c r="T37" s="34">
        <f>(E37/100)*S37</f>
        <v/>
      </c>
      <c r="U37" s="34">
        <f>$D$4-H37</f>
        <v/>
      </c>
      <c r="V37" s="17">
        <f>U37/S37*100</f>
        <v/>
      </c>
      <c r="W37" s="31">
        <f>(V37-E37)*100</f>
        <v/>
      </c>
    </row>
    <row r="38">
      <c r="A38" s="6" t="inlineStr">
        <is>
          <t>16Y</t>
        </is>
      </c>
      <c r="B38" s="18">
        <f>EDATE($B$4,192)</f>
        <v/>
      </c>
      <c r="C38" s="28">
        <f>(B38-VAL_DATE)/365</f>
        <v/>
      </c>
      <c r="D38" s="17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17">
        <f>(B38-$B$37)/360</f>
        <v/>
      </c>
      <c r="G38" s="17">
        <f>SUM($I$8:I37)</f>
        <v/>
      </c>
      <c r="H38" s="29">
        <f>H37*(H42/H37)^((C38-C37)/(C42-C37))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interp</t>
        </is>
      </c>
      <c r="S38" s="34">
        <f>(G38+F38*H38)</f>
        <v/>
      </c>
      <c r="T38" s="34">
        <f>(E38/100)*S38</f>
        <v/>
      </c>
      <c r="U38" s="34">
        <f>$D$4-H38</f>
        <v/>
      </c>
      <c r="V38" s="17">
        <f>U38/S38*100</f>
        <v/>
      </c>
      <c r="W38" s="31">
        <f>(V38-E38)*100</f>
        <v/>
      </c>
    </row>
    <row r="39">
      <c r="A39" s="6" t="inlineStr">
        <is>
          <t>17Y</t>
        </is>
      </c>
      <c r="B39" s="18">
        <f>EDATE($B$4,204)</f>
        <v/>
      </c>
      <c r="C39" s="28">
        <f>(B39-VAL_DATE)/365</f>
        <v/>
      </c>
      <c r="D39" s="17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17">
        <f>(B39-$B$38)/360</f>
        <v/>
      </c>
      <c r="G39" s="17">
        <f>SUM($I$8:I38)</f>
        <v/>
      </c>
      <c r="H39" s="29">
        <f>H37*(H42/H37)^((C39-C37)/(C42-C37))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interp</t>
        </is>
      </c>
      <c r="S39" s="34">
        <f>(G39+F39*H39)</f>
        <v/>
      </c>
      <c r="T39" s="34">
        <f>(E39/100)*S39</f>
        <v/>
      </c>
      <c r="U39" s="34">
        <f>$D$4-H39</f>
        <v/>
      </c>
      <c r="V39" s="17">
        <f>U39/S39*100</f>
        <v/>
      </c>
      <c r="W39" s="31">
        <f>(V39-E39)*100</f>
        <v/>
      </c>
    </row>
    <row r="40">
      <c r="A40" s="6" t="inlineStr">
        <is>
          <t>18Y</t>
        </is>
      </c>
      <c r="B40" s="18">
        <f>EDATE($B$4,216)</f>
        <v/>
      </c>
      <c r="C40" s="28">
        <f>(B40-VAL_DATE)/365</f>
        <v/>
      </c>
      <c r="D40" s="17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17">
        <f>(B40-$B$39)/360</f>
        <v/>
      </c>
      <c r="G40" s="17">
        <f>SUM($I$8:I39)</f>
        <v/>
      </c>
      <c r="H40" s="29">
        <f>H37*(H42/H37)^((C40-C37)/(C42-C37))</f>
        <v/>
      </c>
      <c r="I40" s="17">
        <f>F40*H40</f>
        <v/>
      </c>
      <c r="J40" s="17">
        <f>-LN(H40)/C40*100</f>
        <v/>
      </c>
      <c r="K40" s="17">
        <f>(H39/H40-1)/((B40-B39)/360)*100</f>
        <v/>
      </c>
      <c r="L40" s="30" t="n"/>
      <c r="M40" s="31">
        <f>IF(L40="","",(J40-L40)*100)</f>
        <v/>
      </c>
      <c r="N40" s="6" t="inlineStr">
        <is>
          <t>interp</t>
        </is>
      </c>
      <c r="S40" s="34">
        <f>(G40+F40*H40)</f>
        <v/>
      </c>
      <c r="T40" s="34">
        <f>(E40/100)*S40</f>
        <v/>
      </c>
      <c r="U40" s="34">
        <f>$D$4-H40</f>
        <v/>
      </c>
      <c r="V40" s="17">
        <f>U40/S40*100</f>
        <v/>
      </c>
      <c r="W40" s="31">
        <f>(V40-E40)*100</f>
        <v/>
      </c>
    </row>
    <row r="41">
      <c r="A41" s="6" t="inlineStr">
        <is>
          <t>19Y</t>
        </is>
      </c>
      <c r="B41" s="18">
        <f>EDATE($B$4,228)</f>
        <v/>
      </c>
      <c r="C41" s="28">
        <f>(B41-VAL_DATE)/365</f>
        <v/>
      </c>
      <c r="D41" s="17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17">
        <f>(B41-$B$40)/360</f>
        <v/>
      </c>
      <c r="G41" s="17">
        <f>SUM($I$8:I40)</f>
        <v/>
      </c>
      <c r="H41" s="29">
        <f>H37*(H42/H37)^((C41-C37)/(C42-C37))</f>
        <v/>
      </c>
      <c r="I41" s="17">
        <f>F41*H41</f>
        <v/>
      </c>
      <c r="J41" s="17">
        <f>-LN(H41)/C41*100</f>
        <v/>
      </c>
      <c r="K41" s="17">
        <f>(H40/H41-1)/((B41-B40)/360)*100</f>
        <v/>
      </c>
      <c r="L41" s="30" t="n"/>
      <c r="M41" s="31">
        <f>IF(L41="","",(J41-L41)*100)</f>
        <v/>
      </c>
      <c r="N41" s="6" t="inlineStr">
        <is>
          <t>interp</t>
        </is>
      </c>
      <c r="S41" s="34">
        <f>(G41+F41*H41)</f>
        <v/>
      </c>
      <c r="T41" s="34">
        <f>(E41/100)*S41</f>
        <v/>
      </c>
      <c r="U41" s="34">
        <f>$D$4-H41</f>
        <v/>
      </c>
      <c r="V41" s="17">
        <f>U41/S41*100</f>
        <v/>
      </c>
      <c r="W41" s="31">
        <f>(V41-E41)*100</f>
        <v/>
      </c>
    </row>
    <row r="42">
      <c r="A42" s="6" t="inlineStr">
        <is>
          <t>20Y</t>
        </is>
      </c>
      <c r="B42" s="18">
        <f>EDATE($B$4,240)</f>
        <v/>
      </c>
      <c r="C42" s="28">
        <f>(B42-VAL_DATE)/365</f>
        <v/>
      </c>
      <c r="D42" s="17">
        <f>(B42-$B$4)/360</f>
        <v/>
      </c>
      <c r="E42" s="17">
        <f>'SOFR_OIS_Quotes'!$H32</f>
        <v/>
      </c>
      <c r="F42" s="17">
        <f>(B42-$B$41)/360</f>
        <v/>
      </c>
      <c r="G42" s="17">
        <f>SUM($I$8:I41)</f>
        <v/>
      </c>
      <c r="H42" s="29">
        <f>($D$4-(E42/100)*G42)/(1+(E42/100)*F42)</f>
        <v/>
      </c>
      <c r="I42" s="17">
        <f>F42*H42</f>
        <v/>
      </c>
      <c r="J42" s="17">
        <f>-LN(H42)/C42*100</f>
        <v/>
      </c>
      <c r="K42" s="17">
        <f>(H41/H42-1)/((B42-B41)/360)*100</f>
        <v/>
      </c>
      <c r="L42" s="30" t="n"/>
      <c r="M42" s="31">
        <f>IF(L42="","",(J42-L42)*100)</f>
        <v/>
      </c>
      <c r="N42" s="6" t="inlineStr">
        <is>
          <t>market</t>
        </is>
      </c>
      <c r="S42" s="34">
        <f>(G42+F42*H42)</f>
        <v/>
      </c>
      <c r="T42" s="34">
        <f>(E42/100)*S42</f>
        <v/>
      </c>
      <c r="U42" s="34">
        <f>$D$4-H42</f>
        <v/>
      </c>
      <c r="V42" s="17">
        <f>U42/S42*100</f>
        <v/>
      </c>
      <c r="W42" s="31">
        <f>(V42-E42)*100</f>
        <v/>
      </c>
    </row>
    <row r="43">
      <c r="A43" s="6" t="inlineStr">
        <is>
          <t>21Y</t>
        </is>
      </c>
      <c r="B43" s="18">
        <f>EDATE($B$4,252)</f>
        <v/>
      </c>
      <c r="C43" s="28">
        <f>(B43-VAL_DATE)/365</f>
        <v/>
      </c>
      <c r="D43" s="17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17">
        <f>(B43-$B$42)/360</f>
        <v/>
      </c>
      <c r="G43" s="17">
        <f>SUM($I$8:I42)</f>
        <v/>
      </c>
      <c r="H43" s="29">
        <f>H42*(H47/H42)^((C43-C42)/(C47-C42))</f>
        <v/>
      </c>
      <c r="I43" s="17">
        <f>F43*H43</f>
        <v/>
      </c>
      <c r="J43" s="17">
        <f>-LN(H43)/C43*100</f>
        <v/>
      </c>
      <c r="K43" s="17">
        <f>(H42/H43-1)/((B43-B42)/360)*100</f>
        <v/>
      </c>
      <c r="L43" s="30" t="n"/>
      <c r="M43" s="31">
        <f>IF(L43="","",(J43-L43)*100)</f>
        <v/>
      </c>
      <c r="N43" s="6" t="inlineStr">
        <is>
          <t>interp</t>
        </is>
      </c>
      <c r="S43" s="34">
        <f>(G43+F43*H43)</f>
        <v/>
      </c>
      <c r="T43" s="34">
        <f>(E43/100)*S43</f>
        <v/>
      </c>
      <c r="U43" s="34">
        <f>$D$4-H43</f>
        <v/>
      </c>
      <c r="V43" s="17">
        <f>U43/S43*100</f>
        <v/>
      </c>
      <c r="W43" s="31">
        <f>(V43-E43)*100</f>
        <v/>
      </c>
    </row>
    <row r="44">
      <c r="A44" s="6" t="inlineStr">
        <is>
          <t>22Y</t>
        </is>
      </c>
      <c r="B44" s="18">
        <f>EDATE($B$4,264)</f>
        <v/>
      </c>
      <c r="C44" s="28">
        <f>(B44-VAL_DATE)/365</f>
        <v/>
      </c>
      <c r="D44" s="17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17">
        <f>(B44-$B$43)/360</f>
        <v/>
      </c>
      <c r="G44" s="17">
        <f>SUM($I$8:I43)</f>
        <v/>
      </c>
      <c r="H44" s="29">
        <f>H42*(H47/H42)^((C44-C42)/(C47-C42))</f>
        <v/>
      </c>
      <c r="I44" s="17">
        <f>F44*H44</f>
        <v/>
      </c>
      <c r="J44" s="17">
        <f>-LN(H44)/C44*100</f>
        <v/>
      </c>
      <c r="K44" s="17">
        <f>(H43/H44-1)/((B44-B43)/360)*100</f>
        <v/>
      </c>
      <c r="L44" s="30" t="n"/>
      <c r="M44" s="31">
        <f>IF(L44="","",(J44-L44)*100)</f>
        <v/>
      </c>
      <c r="N44" s="6" t="inlineStr">
        <is>
          <t>interp</t>
        </is>
      </c>
      <c r="S44" s="34">
        <f>(G44+F44*H44)</f>
        <v/>
      </c>
      <c r="T44" s="34">
        <f>(E44/100)*S44</f>
        <v/>
      </c>
      <c r="U44" s="34">
        <f>$D$4-H44</f>
        <v/>
      </c>
      <c r="V44" s="17">
        <f>U44/S44*100</f>
        <v/>
      </c>
      <c r="W44" s="31">
        <f>(V44-E44)*100</f>
        <v/>
      </c>
    </row>
    <row r="45">
      <c r="A45" s="6" t="inlineStr">
        <is>
          <t>23Y</t>
        </is>
      </c>
      <c r="B45" s="18">
        <f>EDATE($B$4,276)</f>
        <v/>
      </c>
      <c r="C45" s="28">
        <f>(B45-VAL_DATE)/365</f>
        <v/>
      </c>
      <c r="D45" s="17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17">
        <f>(B45-$B$44)/360</f>
        <v/>
      </c>
      <c r="G45" s="17">
        <f>SUM($I$8:I44)</f>
        <v/>
      </c>
      <c r="H45" s="29">
        <f>H42*(H47/H42)^((C45-C42)/(C47-C42))</f>
        <v/>
      </c>
      <c r="I45" s="17">
        <f>F45*H45</f>
        <v/>
      </c>
      <c r="J45" s="17">
        <f>-LN(H45)/C45*100</f>
        <v/>
      </c>
      <c r="K45" s="17">
        <f>(H44/H45-1)/((B45-B44)/360)*100</f>
        <v/>
      </c>
      <c r="L45" s="30" t="n"/>
      <c r="M45" s="31">
        <f>IF(L45="","",(J45-L45)*100)</f>
        <v/>
      </c>
      <c r="N45" s="6" t="inlineStr">
        <is>
          <t>interp</t>
        </is>
      </c>
      <c r="S45" s="34">
        <f>(G45+F45*H45)</f>
        <v/>
      </c>
      <c r="T45" s="34">
        <f>(E45/100)*S45</f>
        <v/>
      </c>
      <c r="U45" s="34">
        <f>$D$4-H45</f>
        <v/>
      </c>
      <c r="V45" s="17">
        <f>U45/S45*100</f>
        <v/>
      </c>
      <c r="W45" s="31">
        <f>(V45-E45)*100</f>
        <v/>
      </c>
    </row>
    <row r="46">
      <c r="A46" s="6" t="inlineStr">
        <is>
          <t>24Y</t>
        </is>
      </c>
      <c r="B46" s="18">
        <f>EDATE($B$4,288)</f>
        <v/>
      </c>
      <c r="C46" s="28">
        <f>(B46-VAL_DATE)/365</f>
        <v/>
      </c>
      <c r="D46" s="17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17">
        <f>(B46-$B$45)/360</f>
        <v/>
      </c>
      <c r="G46" s="17">
        <f>SUM($I$8:I45)</f>
        <v/>
      </c>
      <c r="H46" s="29">
        <f>H42*(H47/H42)^((C46-C42)/(C47-C42))</f>
        <v/>
      </c>
      <c r="I46" s="17">
        <f>F46*H46</f>
        <v/>
      </c>
      <c r="J46" s="17">
        <f>-LN(H46)/C46*100</f>
        <v/>
      </c>
      <c r="K46" s="17">
        <f>(H45/H46-1)/((B46-B45)/360)*100</f>
        <v/>
      </c>
      <c r="L46" s="30" t="n"/>
      <c r="M46" s="31">
        <f>IF(L46="","",(J46-L46)*100)</f>
        <v/>
      </c>
      <c r="N46" s="6" t="inlineStr">
        <is>
          <t>interp</t>
        </is>
      </c>
      <c r="S46" s="34">
        <f>(G46+F46*H46)</f>
        <v/>
      </c>
      <c r="T46" s="34">
        <f>(E46/100)*S46</f>
        <v/>
      </c>
      <c r="U46" s="34">
        <f>$D$4-H46</f>
        <v/>
      </c>
      <c r="V46" s="17">
        <f>U46/S46*100</f>
        <v/>
      </c>
      <c r="W46" s="31">
        <f>(V46-E46)*100</f>
        <v/>
      </c>
    </row>
    <row r="47">
      <c r="A47" s="6" t="inlineStr">
        <is>
          <t>25Y</t>
        </is>
      </c>
      <c r="B47" s="18">
        <f>EDATE($B$4,300)</f>
        <v/>
      </c>
      <c r="C47" s="28">
        <f>(B47-VAL_DATE)/365</f>
        <v/>
      </c>
      <c r="D47" s="17">
        <f>(B47-$B$4)/360</f>
        <v/>
      </c>
      <c r="E47" s="17">
        <f>'SOFR_OIS_Quotes'!$H33</f>
        <v/>
      </c>
      <c r="F47" s="17">
        <f>(B47-$B$46)/360</f>
        <v/>
      </c>
      <c r="G47" s="17">
        <f>SUM($I$8:I46)</f>
        <v/>
      </c>
      <c r="H47" s="29">
        <f>($D$4-(E47/100)*G47)/(1+(E47/100)*F47)</f>
        <v/>
      </c>
      <c r="I47" s="17">
        <f>F47*H47</f>
        <v/>
      </c>
      <c r="J47" s="17">
        <f>-LN(H47)/C47*100</f>
        <v/>
      </c>
      <c r="K47" s="17">
        <f>(H46/H47-1)/((B47-B46)/360)*100</f>
        <v/>
      </c>
      <c r="L47" s="30" t="n"/>
      <c r="M47" s="31">
        <f>IF(L47="","",(J47-L47)*100)</f>
        <v/>
      </c>
      <c r="N47" s="6" t="inlineStr">
        <is>
          <t>market</t>
        </is>
      </c>
      <c r="S47" s="34">
        <f>(G47+F47*H47)</f>
        <v/>
      </c>
      <c r="T47" s="34">
        <f>(E47/100)*S47</f>
        <v/>
      </c>
      <c r="U47" s="34">
        <f>$D$4-H47</f>
        <v/>
      </c>
      <c r="V47" s="17">
        <f>U47/S47*100</f>
        <v/>
      </c>
      <c r="W47" s="31">
        <f>(V47-E47)*100</f>
        <v/>
      </c>
    </row>
    <row r="48">
      <c r="A48" s="6" t="inlineStr">
        <is>
          <t>26Y</t>
        </is>
      </c>
      <c r="B48" s="18">
        <f>EDATE($B$4,312)</f>
        <v/>
      </c>
      <c r="C48" s="28">
        <f>(B48-VAL_DATE)/365</f>
        <v/>
      </c>
      <c r="D48" s="17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17">
        <f>(B48-$B$47)/360</f>
        <v/>
      </c>
      <c r="G48" s="17">
        <f>SUM($I$8:I47)</f>
        <v/>
      </c>
      <c r="H48" s="29">
        <f>H47*(H52/H47)^((C48-C47)/(C52-C47))</f>
        <v/>
      </c>
      <c r="I48" s="17">
        <f>F48*H48</f>
        <v/>
      </c>
      <c r="J48" s="17">
        <f>-LN(H48)/C48*100</f>
        <v/>
      </c>
      <c r="K48" s="17">
        <f>(H47/H48-1)/((B48-B47)/360)*100</f>
        <v/>
      </c>
      <c r="L48" s="30" t="n"/>
      <c r="M48" s="31">
        <f>IF(L48="","",(J48-L48)*100)</f>
        <v/>
      </c>
      <c r="N48" s="6" t="inlineStr">
        <is>
          <t>interp</t>
        </is>
      </c>
      <c r="S48" s="34">
        <f>(G48+F48*H48)</f>
        <v/>
      </c>
      <c r="T48" s="34">
        <f>(E48/100)*S48</f>
        <v/>
      </c>
      <c r="U48" s="34">
        <f>$D$4-H48</f>
        <v/>
      </c>
      <c r="V48" s="17">
        <f>U48/S48*100</f>
        <v/>
      </c>
      <c r="W48" s="31">
        <f>(V48-E48)*100</f>
        <v/>
      </c>
    </row>
    <row r="49">
      <c r="A49" s="6" t="inlineStr">
        <is>
          <t>27Y</t>
        </is>
      </c>
      <c r="B49" s="18">
        <f>EDATE($B$4,324)</f>
        <v/>
      </c>
      <c r="C49" s="28">
        <f>(B49-VAL_DATE)/365</f>
        <v/>
      </c>
      <c r="D49" s="17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17">
        <f>(B49-$B$48)/360</f>
        <v/>
      </c>
      <c r="G49" s="17">
        <f>SUM($I$8:I48)</f>
        <v/>
      </c>
      <c r="H49" s="29">
        <f>H47*(H52/H47)^((C49-C47)/(C52-C47))</f>
        <v/>
      </c>
      <c r="I49" s="17">
        <f>F49*H49</f>
        <v/>
      </c>
      <c r="J49" s="17">
        <f>-LN(H49)/C49*100</f>
        <v/>
      </c>
      <c r="K49" s="17">
        <f>(H48/H49-1)/((B49-B48)/360)*100</f>
        <v/>
      </c>
      <c r="L49" s="30" t="n"/>
      <c r="M49" s="31">
        <f>IF(L49="","",(J49-L49)*100)</f>
        <v/>
      </c>
      <c r="N49" s="6" t="inlineStr">
        <is>
          <t>interp</t>
        </is>
      </c>
      <c r="S49" s="34">
        <f>(G49+F49*H49)</f>
        <v/>
      </c>
      <c r="T49" s="34">
        <f>(E49/100)*S49</f>
        <v/>
      </c>
      <c r="U49" s="34">
        <f>$D$4-H49</f>
        <v/>
      </c>
      <c r="V49" s="17">
        <f>U49/S49*100</f>
        <v/>
      </c>
      <c r="W49" s="31">
        <f>(V49-E49)*100</f>
        <v/>
      </c>
    </row>
    <row r="50">
      <c r="A50" s="6" t="inlineStr">
        <is>
          <t>28Y</t>
        </is>
      </c>
      <c r="B50" s="18">
        <f>EDATE($B$4,336)</f>
        <v/>
      </c>
      <c r="C50" s="28">
        <f>(B50-VAL_DATE)/365</f>
        <v/>
      </c>
      <c r="D50" s="17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17">
        <f>(B50-$B$49)/360</f>
        <v/>
      </c>
      <c r="G50" s="17">
        <f>SUM($I$8:I49)</f>
        <v/>
      </c>
      <c r="H50" s="29">
        <f>H47*(H52/H47)^((C50-C47)/(C52-C47))</f>
        <v/>
      </c>
      <c r="I50" s="17">
        <f>F50*H50</f>
        <v/>
      </c>
      <c r="J50" s="17">
        <f>-LN(H50)/C50*100</f>
        <v/>
      </c>
      <c r="K50" s="17">
        <f>(H49/H50-1)/((B50-B49)/360)*100</f>
        <v/>
      </c>
      <c r="L50" s="30" t="n"/>
      <c r="M50" s="31">
        <f>IF(L50="","",(J50-L50)*100)</f>
        <v/>
      </c>
      <c r="N50" s="6" t="inlineStr">
        <is>
          <t>interp</t>
        </is>
      </c>
      <c r="S50" s="34">
        <f>(G50+F50*H50)</f>
        <v/>
      </c>
      <c r="T50" s="34">
        <f>(E50/100)*S50</f>
        <v/>
      </c>
      <c r="U50" s="34">
        <f>$D$4-H50</f>
        <v/>
      </c>
      <c r="V50" s="17">
        <f>U50/S50*100</f>
        <v/>
      </c>
      <c r="W50" s="31">
        <f>(V50-E50)*100</f>
        <v/>
      </c>
    </row>
    <row r="51">
      <c r="A51" s="6" t="inlineStr">
        <is>
          <t>29Y</t>
        </is>
      </c>
      <c r="B51" s="18">
        <f>EDATE($B$4,348)</f>
        <v/>
      </c>
      <c r="C51" s="28">
        <f>(B51-VAL_DATE)/365</f>
        <v/>
      </c>
      <c r="D51" s="17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17">
        <f>(B51-$B$50)/360</f>
        <v/>
      </c>
      <c r="G51" s="17">
        <f>SUM($I$8:I50)</f>
        <v/>
      </c>
      <c r="H51" s="29">
        <f>H47*(H52/H47)^((C51-C47)/(C52-C47))</f>
        <v/>
      </c>
      <c r="I51" s="17">
        <f>F51*H51</f>
        <v/>
      </c>
      <c r="J51" s="17">
        <f>-LN(H51)/C51*100</f>
        <v/>
      </c>
      <c r="K51" s="17">
        <f>(H50/H51-1)/((B51-B50)/360)*100</f>
        <v/>
      </c>
      <c r="L51" s="30" t="n"/>
      <c r="M51" s="31">
        <f>IF(L51="","",(J51-L51)*100)</f>
        <v/>
      </c>
      <c r="N51" s="6" t="inlineStr">
        <is>
          <t>interp</t>
        </is>
      </c>
      <c r="S51" s="34">
        <f>(G51+F51*H51)</f>
        <v/>
      </c>
      <c r="T51" s="34">
        <f>(E51/100)*S51</f>
        <v/>
      </c>
      <c r="U51" s="34">
        <f>$D$4-H51</f>
        <v/>
      </c>
      <c r="V51" s="17">
        <f>U51/S51*100</f>
        <v/>
      </c>
      <c r="W51" s="31">
        <f>(V51-E51)*100</f>
        <v/>
      </c>
    </row>
    <row r="52">
      <c r="A52" s="6" t="inlineStr">
        <is>
          <t>30Y</t>
        </is>
      </c>
      <c r="B52" s="18">
        <f>EDATE($B$4,360)</f>
        <v/>
      </c>
      <c r="C52" s="28">
        <f>(B52-VAL_DATE)/365</f>
        <v/>
      </c>
      <c r="D52" s="17">
        <f>(B52-$B$4)/360</f>
        <v/>
      </c>
      <c r="E52" s="17">
        <f>'SOFR_OIS_Quotes'!$H34</f>
        <v/>
      </c>
      <c r="F52" s="17">
        <f>(B52-$B$51)/360</f>
        <v/>
      </c>
      <c r="G52" s="17">
        <f>SUM($I$8:I51)</f>
        <v/>
      </c>
      <c r="H52" s="29">
        <f>($D$4-(E52/100)*G52)/(1+(E52/100)*F52)</f>
        <v/>
      </c>
      <c r="I52" s="17">
        <f>F52*H52</f>
        <v/>
      </c>
      <c r="J52" s="17">
        <f>-LN(H52)/C52*100</f>
        <v/>
      </c>
      <c r="K52" s="17">
        <f>(H51/H52-1)/((B52-B51)/360)*100</f>
        <v/>
      </c>
      <c r="L52" s="30" t="n"/>
      <c r="M52" s="31">
        <f>IF(L52="","",(J52-L52)*100)</f>
        <v/>
      </c>
      <c r="N52" s="6" t="inlineStr">
        <is>
          <t>market</t>
        </is>
      </c>
      <c r="S52" s="34">
        <f>(G52+F52*H52)</f>
        <v/>
      </c>
      <c r="T52" s="34">
        <f>(E52/100)*S52</f>
        <v/>
      </c>
      <c r="U52" s="34">
        <f>$D$4-H52</f>
        <v/>
      </c>
      <c r="V52" s="17">
        <f>U52/S52*100</f>
        <v/>
      </c>
      <c r="W52" s="31">
        <f>(V52-E52)*100</f>
        <v/>
      </c>
    </row>
    <row r="53">
      <c r="A53" s="6" t="inlineStr">
        <is>
          <t>31Y</t>
        </is>
      </c>
      <c r="B53" s="18">
        <f>EDATE($B$4,372)</f>
        <v/>
      </c>
      <c r="C53" s="28">
        <f>(B53-VAL_DATE)/365</f>
        <v/>
      </c>
      <c r="D53" s="17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17">
        <f>(B53-$B$52)/360</f>
        <v/>
      </c>
      <c r="G53" s="17">
        <f>SUM($I$8:I52)</f>
        <v/>
      </c>
      <c r="H53" s="29">
        <f>H52*(H62/H52)^((C53-C52)/(C62-C52))</f>
        <v/>
      </c>
      <c r="I53" s="17">
        <f>F53*H53</f>
        <v/>
      </c>
      <c r="J53" s="17">
        <f>-LN(H53)/C53*100</f>
        <v/>
      </c>
      <c r="K53" s="17">
        <f>(H52/H53-1)/((B53-B52)/360)*100</f>
        <v/>
      </c>
      <c r="L53" s="30" t="n"/>
      <c r="M53" s="31">
        <f>IF(L53="","",(J53-L53)*100)</f>
        <v/>
      </c>
      <c r="N53" s="6" t="inlineStr">
        <is>
          <t>interp</t>
        </is>
      </c>
      <c r="S53" s="34">
        <f>(G53+F53*H53)</f>
        <v/>
      </c>
      <c r="T53" s="34">
        <f>(E53/100)*S53</f>
        <v/>
      </c>
      <c r="U53" s="34">
        <f>$D$4-H53</f>
        <v/>
      </c>
      <c r="V53" s="17">
        <f>U53/S53*100</f>
        <v/>
      </c>
      <c r="W53" s="31">
        <f>(V53-E53)*100</f>
        <v/>
      </c>
    </row>
    <row r="54">
      <c r="A54" s="6" t="inlineStr">
        <is>
          <t>32Y</t>
        </is>
      </c>
      <c r="B54" s="18">
        <f>EDATE($B$4,384)</f>
        <v/>
      </c>
      <c r="C54" s="28">
        <f>(B54-VAL_DATE)/365</f>
        <v/>
      </c>
      <c r="D54" s="17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17">
        <f>(B54-$B$53)/360</f>
        <v/>
      </c>
      <c r="G54" s="17">
        <f>SUM($I$8:I53)</f>
        <v/>
      </c>
      <c r="H54" s="29">
        <f>H52*(H62/H52)^((C54-C52)/(C62-C52))</f>
        <v/>
      </c>
      <c r="I54" s="17">
        <f>F54*H54</f>
        <v/>
      </c>
      <c r="J54" s="17">
        <f>-LN(H54)/C54*100</f>
        <v/>
      </c>
      <c r="K54" s="17">
        <f>(H53/H54-1)/((B54-B53)/360)*100</f>
        <v/>
      </c>
      <c r="L54" s="30" t="n"/>
      <c r="M54" s="31">
        <f>IF(L54="","",(J54-L54)*100)</f>
        <v/>
      </c>
      <c r="N54" s="6" t="inlineStr">
        <is>
          <t>interp</t>
        </is>
      </c>
      <c r="S54" s="34">
        <f>(G54+F54*H54)</f>
        <v/>
      </c>
      <c r="T54" s="34">
        <f>(E54/100)*S54</f>
        <v/>
      </c>
      <c r="U54" s="34">
        <f>$D$4-H54</f>
        <v/>
      </c>
      <c r="V54" s="17">
        <f>U54/S54*100</f>
        <v/>
      </c>
      <c r="W54" s="31">
        <f>(V54-E54)*100</f>
        <v/>
      </c>
    </row>
    <row r="55">
      <c r="A55" s="6" t="inlineStr">
        <is>
          <t>33Y</t>
        </is>
      </c>
      <c r="B55" s="18">
        <f>EDATE($B$4,396)</f>
        <v/>
      </c>
      <c r="C55" s="28">
        <f>(B55-VAL_DATE)/365</f>
        <v/>
      </c>
      <c r="D55" s="17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17">
        <f>(B55-$B$54)/360</f>
        <v/>
      </c>
      <c r="G55" s="17">
        <f>SUM($I$8:I54)</f>
        <v/>
      </c>
      <c r="H55" s="29">
        <f>H52*(H62/H52)^((C55-C52)/(C62-C52))</f>
        <v/>
      </c>
      <c r="I55" s="17">
        <f>F55*H55</f>
        <v/>
      </c>
      <c r="J55" s="17">
        <f>-LN(H55)/C55*100</f>
        <v/>
      </c>
      <c r="K55" s="17">
        <f>(H54/H55-1)/((B55-B54)/360)*100</f>
        <v/>
      </c>
      <c r="L55" s="30" t="n"/>
      <c r="M55" s="31">
        <f>IF(L55="","",(J55-L55)*100)</f>
        <v/>
      </c>
      <c r="N55" s="6" t="inlineStr">
        <is>
          <t>interp</t>
        </is>
      </c>
      <c r="S55" s="34">
        <f>(G55+F55*H55)</f>
        <v/>
      </c>
      <c r="T55" s="34">
        <f>(E55/100)*S55</f>
        <v/>
      </c>
      <c r="U55" s="34">
        <f>$D$4-H55</f>
        <v/>
      </c>
      <c r="V55" s="17">
        <f>U55/S55*100</f>
        <v/>
      </c>
      <c r="W55" s="31">
        <f>(V55-E55)*100</f>
        <v/>
      </c>
    </row>
    <row r="56">
      <c r="A56" s="6" t="inlineStr">
        <is>
          <t>34Y</t>
        </is>
      </c>
      <c r="B56" s="18">
        <f>EDATE($B$4,408)</f>
        <v/>
      </c>
      <c r="C56" s="28">
        <f>(B56-VAL_DATE)/365</f>
        <v/>
      </c>
      <c r="D56" s="17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17">
        <f>(B56-$B$55)/360</f>
        <v/>
      </c>
      <c r="G56" s="17">
        <f>SUM($I$8:I55)</f>
        <v/>
      </c>
      <c r="H56" s="29">
        <f>H52*(H62/H52)^((C56-C52)/(C62-C52))</f>
        <v/>
      </c>
      <c r="I56" s="17">
        <f>F56*H56</f>
        <v/>
      </c>
      <c r="J56" s="17">
        <f>-LN(H56)/C56*100</f>
        <v/>
      </c>
      <c r="K56" s="17">
        <f>(H55/H56-1)/((B56-B55)/360)*100</f>
        <v/>
      </c>
      <c r="L56" s="30" t="n"/>
      <c r="M56" s="31">
        <f>IF(L56="","",(J56-L56)*100)</f>
        <v/>
      </c>
      <c r="N56" s="6" t="inlineStr">
        <is>
          <t>interp</t>
        </is>
      </c>
      <c r="S56" s="34">
        <f>(G56+F56*H56)</f>
        <v/>
      </c>
      <c r="T56" s="34">
        <f>(E56/100)*S56</f>
        <v/>
      </c>
      <c r="U56" s="34">
        <f>$D$4-H56</f>
        <v/>
      </c>
      <c r="V56" s="17">
        <f>U56/S56*100</f>
        <v/>
      </c>
      <c r="W56" s="31">
        <f>(V56-E56)*100</f>
        <v/>
      </c>
    </row>
    <row r="57">
      <c r="A57" s="6" t="inlineStr">
        <is>
          <t>35Y</t>
        </is>
      </c>
      <c r="B57" s="18">
        <f>EDATE($B$4,420)</f>
        <v/>
      </c>
      <c r="C57" s="28">
        <f>(B57-VAL_DATE)/365</f>
        <v/>
      </c>
      <c r="D57" s="17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17">
        <f>(B57-$B$56)/360</f>
        <v/>
      </c>
      <c r="G57" s="17">
        <f>SUM($I$8:I56)</f>
        <v/>
      </c>
      <c r="H57" s="29">
        <f>H52*(H62/H52)^((C57-C52)/(C62-C52))</f>
        <v/>
      </c>
      <c r="I57" s="17">
        <f>F57*H57</f>
        <v/>
      </c>
      <c r="J57" s="17">
        <f>-LN(H57)/C57*100</f>
        <v/>
      </c>
      <c r="K57" s="17">
        <f>(H56/H57-1)/((B57-B56)/360)*100</f>
        <v/>
      </c>
      <c r="L57" s="30" t="n"/>
      <c r="M57" s="31">
        <f>IF(L57="","",(J57-L57)*100)</f>
        <v/>
      </c>
      <c r="N57" s="6" t="inlineStr">
        <is>
          <t>interp</t>
        </is>
      </c>
      <c r="S57" s="34">
        <f>(G57+F57*H57)</f>
        <v/>
      </c>
      <c r="T57" s="34">
        <f>(E57/100)*S57</f>
        <v/>
      </c>
      <c r="U57" s="34">
        <f>$D$4-H57</f>
        <v/>
      </c>
      <c r="V57" s="17">
        <f>U57/S57*100</f>
        <v/>
      </c>
      <c r="W57" s="31">
        <f>(V57-E57)*100</f>
        <v/>
      </c>
    </row>
    <row r="58">
      <c r="A58" s="6" t="inlineStr">
        <is>
          <t>36Y</t>
        </is>
      </c>
      <c r="B58" s="18">
        <f>EDATE($B$4,432)</f>
        <v/>
      </c>
      <c r="C58" s="28">
        <f>(B58-VAL_DATE)/365</f>
        <v/>
      </c>
      <c r="D58" s="17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17">
        <f>(B58-$B$57)/360</f>
        <v/>
      </c>
      <c r="G58" s="17">
        <f>SUM($I$8:I57)</f>
        <v/>
      </c>
      <c r="H58" s="29">
        <f>H52*(H62/H52)^((C58-C52)/(C62-C52))</f>
        <v/>
      </c>
      <c r="I58" s="17">
        <f>F58*H58</f>
        <v/>
      </c>
      <c r="J58" s="17">
        <f>-LN(H58)/C58*100</f>
        <v/>
      </c>
      <c r="K58" s="17">
        <f>(H57/H58-1)/((B58-B57)/360)*100</f>
        <v/>
      </c>
      <c r="L58" s="30" t="n"/>
      <c r="M58" s="31">
        <f>IF(L58="","",(J58-L58)*100)</f>
        <v/>
      </c>
      <c r="N58" s="6" t="inlineStr">
        <is>
          <t>interp</t>
        </is>
      </c>
      <c r="S58" s="34">
        <f>(G58+F58*H58)</f>
        <v/>
      </c>
      <c r="T58" s="34">
        <f>(E58/100)*S58</f>
        <v/>
      </c>
      <c r="U58" s="34">
        <f>$D$4-H58</f>
        <v/>
      </c>
      <c r="V58" s="17">
        <f>U58/S58*100</f>
        <v/>
      </c>
      <c r="W58" s="31">
        <f>(V58-E58)*100</f>
        <v/>
      </c>
    </row>
    <row r="59">
      <c r="A59" s="6" t="inlineStr">
        <is>
          <t>37Y</t>
        </is>
      </c>
      <c r="B59" s="18">
        <f>EDATE($B$4,444)</f>
        <v/>
      </c>
      <c r="C59" s="28">
        <f>(B59-VAL_DATE)/365</f>
        <v/>
      </c>
      <c r="D59" s="17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17">
        <f>(B59-$B$58)/360</f>
        <v/>
      </c>
      <c r="G59" s="17">
        <f>SUM($I$8:I58)</f>
        <v/>
      </c>
      <c r="H59" s="29">
        <f>H52*(H62/H52)^((C59-C52)/(C62-C52))</f>
        <v/>
      </c>
      <c r="I59" s="17">
        <f>F59*H59</f>
        <v/>
      </c>
      <c r="J59" s="17">
        <f>-LN(H59)/C59*100</f>
        <v/>
      </c>
      <c r="K59" s="17">
        <f>(H58/H59-1)/((B59-B58)/360)*100</f>
        <v/>
      </c>
      <c r="L59" s="30" t="n"/>
      <c r="M59" s="31">
        <f>IF(L59="","",(J59-L59)*100)</f>
        <v/>
      </c>
      <c r="N59" s="6" t="inlineStr">
        <is>
          <t>interp</t>
        </is>
      </c>
      <c r="S59" s="34">
        <f>(G59+F59*H59)</f>
        <v/>
      </c>
      <c r="T59" s="34">
        <f>(E59/100)*S59</f>
        <v/>
      </c>
      <c r="U59" s="34">
        <f>$D$4-H59</f>
        <v/>
      </c>
      <c r="V59" s="17">
        <f>U59/S59*100</f>
        <v/>
      </c>
      <c r="W59" s="31">
        <f>(V59-E59)*100</f>
        <v/>
      </c>
    </row>
    <row r="60">
      <c r="A60" s="6" t="inlineStr">
        <is>
          <t>38Y</t>
        </is>
      </c>
      <c r="B60" s="18">
        <f>EDATE($B$4,456)</f>
        <v/>
      </c>
      <c r="C60" s="28">
        <f>(B60-VAL_DATE)/365</f>
        <v/>
      </c>
      <c r="D60" s="17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17">
        <f>(B60-$B$59)/360</f>
        <v/>
      </c>
      <c r="G60" s="17">
        <f>SUM($I$8:I59)</f>
        <v/>
      </c>
      <c r="H60" s="29">
        <f>H52*(H62/H52)^((C60-C52)/(C62-C52))</f>
        <v/>
      </c>
      <c r="I60" s="17">
        <f>F60*H60</f>
        <v/>
      </c>
      <c r="J60" s="17">
        <f>-LN(H60)/C60*100</f>
        <v/>
      </c>
      <c r="K60" s="17">
        <f>(H59/H60-1)/((B60-B59)/360)*100</f>
        <v/>
      </c>
      <c r="L60" s="30" t="n"/>
      <c r="M60" s="31">
        <f>IF(L60="","",(J60-L60)*100)</f>
        <v/>
      </c>
      <c r="N60" s="6" t="inlineStr">
        <is>
          <t>interp</t>
        </is>
      </c>
      <c r="S60" s="34">
        <f>(G60+F60*H60)</f>
        <v/>
      </c>
      <c r="T60" s="34">
        <f>(E60/100)*S60</f>
        <v/>
      </c>
      <c r="U60" s="34">
        <f>$D$4-H60</f>
        <v/>
      </c>
      <c r="V60" s="17">
        <f>U60/S60*100</f>
        <v/>
      </c>
      <c r="W60" s="31">
        <f>(V60-E60)*100</f>
        <v/>
      </c>
    </row>
    <row r="61">
      <c r="A61" s="6" t="inlineStr">
        <is>
          <t>39Y</t>
        </is>
      </c>
      <c r="B61" s="18">
        <f>EDATE($B$4,468)</f>
        <v/>
      </c>
      <c r="C61" s="28">
        <f>(B61-VAL_DATE)/365</f>
        <v/>
      </c>
      <c r="D61" s="17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17">
        <f>(B61-$B$60)/360</f>
        <v/>
      </c>
      <c r="G61" s="17">
        <f>SUM($I$8:I60)</f>
        <v/>
      </c>
      <c r="H61" s="29">
        <f>H52*(H62/H52)^((C61-C52)/(C62-C52))</f>
        <v/>
      </c>
      <c r="I61" s="17">
        <f>F61*H61</f>
        <v/>
      </c>
      <c r="J61" s="17">
        <f>-LN(H61)/C61*100</f>
        <v/>
      </c>
      <c r="K61" s="17">
        <f>(H60/H61-1)/((B61-B60)/360)*100</f>
        <v/>
      </c>
      <c r="L61" s="30" t="n"/>
      <c r="M61" s="31">
        <f>IF(L61="","",(J61-L61)*100)</f>
        <v/>
      </c>
      <c r="N61" s="6" t="inlineStr">
        <is>
          <t>interp</t>
        </is>
      </c>
      <c r="S61" s="34">
        <f>(G61+F61*H61)</f>
        <v/>
      </c>
      <c r="T61" s="34">
        <f>(E61/100)*S61</f>
        <v/>
      </c>
      <c r="U61" s="34">
        <f>$D$4-H61</f>
        <v/>
      </c>
      <c r="V61" s="17">
        <f>U61/S61*100</f>
        <v/>
      </c>
      <c r="W61" s="31">
        <f>(V61-E61)*100</f>
        <v/>
      </c>
    </row>
    <row r="62">
      <c r="A62" s="6" t="inlineStr">
        <is>
          <t>40Y</t>
        </is>
      </c>
      <c r="B62" s="18">
        <f>EDATE($B$4,480)</f>
        <v/>
      </c>
      <c r="C62" s="28">
        <f>(B62-VAL_DATE)/365</f>
        <v/>
      </c>
      <c r="D62" s="17">
        <f>(B62-$B$4)/360</f>
        <v/>
      </c>
      <c r="E62" s="17">
        <f>'SOFR_OIS_Quotes'!$H35</f>
        <v/>
      </c>
      <c r="F62" s="17">
        <f>(B62-$B$61)/360</f>
        <v/>
      </c>
      <c r="G62" s="17">
        <f>SUM($I$8:I61)</f>
        <v/>
      </c>
      <c r="H62" s="29">
        <f>($D$4-(E62/100)*G62)/(1+(E62/100)*F62)</f>
        <v/>
      </c>
      <c r="I62" s="17">
        <f>F62*H62</f>
        <v/>
      </c>
      <c r="J62" s="17">
        <f>-LN(H62)/C62*100</f>
        <v/>
      </c>
      <c r="K62" s="17">
        <f>(H61/H62-1)/((B62-B61)/360)*100</f>
        <v/>
      </c>
      <c r="L62" s="30" t="n"/>
      <c r="M62" s="31">
        <f>IF(L62="","",(J62-L62)*100)</f>
        <v/>
      </c>
      <c r="N62" s="6" t="inlineStr">
        <is>
          <t>market</t>
        </is>
      </c>
      <c r="S62" s="34">
        <f>(G62+F62*H62)</f>
        <v/>
      </c>
      <c r="T62" s="34">
        <f>(E62/100)*S62</f>
        <v/>
      </c>
      <c r="U62" s="34">
        <f>$D$4-H62</f>
        <v/>
      </c>
      <c r="V62" s="17">
        <f>U62/S62*100</f>
        <v/>
      </c>
      <c r="W62" s="31">
        <f>(V62-E62)*100</f>
        <v/>
      </c>
    </row>
    <row r="63">
      <c r="A63" s="6" t="inlineStr">
        <is>
          <t>41Y</t>
        </is>
      </c>
      <c r="B63" s="18">
        <f>EDATE($B$4,492)</f>
        <v/>
      </c>
      <c r="C63" s="28">
        <f>(B63-VAL_DATE)/365</f>
        <v/>
      </c>
      <c r="D63" s="17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17">
        <f>(B63-$B$62)/360</f>
        <v/>
      </c>
      <c r="G63" s="17">
        <f>SUM($I$8:I62)</f>
        <v/>
      </c>
      <c r="H63" s="29">
        <f>H62*(H72/H62)^((C63-C62)/(C72-C62))</f>
        <v/>
      </c>
      <c r="I63" s="17">
        <f>F63*H63</f>
        <v/>
      </c>
      <c r="J63" s="17">
        <f>-LN(H63)/C63*100</f>
        <v/>
      </c>
      <c r="K63" s="17">
        <f>(H62/H63-1)/((B63-B62)/360)*100</f>
        <v/>
      </c>
      <c r="L63" s="30" t="n"/>
      <c r="M63" s="31">
        <f>IF(L63="","",(J63-L63)*100)</f>
        <v/>
      </c>
      <c r="N63" s="6" t="inlineStr">
        <is>
          <t>interp</t>
        </is>
      </c>
      <c r="S63" s="34">
        <f>(G63+F63*H63)</f>
        <v/>
      </c>
      <c r="T63" s="34">
        <f>(E63/100)*S63</f>
        <v/>
      </c>
      <c r="U63" s="34">
        <f>$D$4-H63</f>
        <v/>
      </c>
      <c r="V63" s="17">
        <f>U63/S63*100</f>
        <v/>
      </c>
      <c r="W63" s="31">
        <f>(V63-E63)*100</f>
        <v/>
      </c>
    </row>
    <row r="64">
      <c r="A64" s="6" t="inlineStr">
        <is>
          <t>42Y</t>
        </is>
      </c>
      <c r="B64" s="18">
        <f>EDATE($B$4,504)</f>
        <v/>
      </c>
      <c r="C64" s="28">
        <f>(B64-VAL_DATE)/365</f>
        <v/>
      </c>
      <c r="D64" s="17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17">
        <f>(B64-$B$63)/360</f>
        <v/>
      </c>
      <c r="G64" s="17">
        <f>SUM($I$8:I63)</f>
        <v/>
      </c>
      <c r="H64" s="29">
        <f>H62*(H72/H62)^((C64-C62)/(C72-C62))</f>
        <v/>
      </c>
      <c r="I64" s="17">
        <f>F64*H64</f>
        <v/>
      </c>
      <c r="J64" s="17">
        <f>-LN(H64)/C64*100</f>
        <v/>
      </c>
      <c r="K64" s="17">
        <f>(H63/H64-1)/((B64-B63)/360)*100</f>
        <v/>
      </c>
      <c r="L64" s="30" t="n"/>
      <c r="M64" s="31">
        <f>IF(L64="","",(J64-L64)*100)</f>
        <v/>
      </c>
      <c r="N64" s="6" t="inlineStr">
        <is>
          <t>interp</t>
        </is>
      </c>
      <c r="S64" s="34">
        <f>(G64+F64*H64)</f>
        <v/>
      </c>
      <c r="T64" s="34">
        <f>(E64/100)*S64</f>
        <v/>
      </c>
      <c r="U64" s="34">
        <f>$D$4-H64</f>
        <v/>
      </c>
      <c r="V64" s="17">
        <f>U64/S64*100</f>
        <v/>
      </c>
      <c r="W64" s="31">
        <f>(V64-E64)*100</f>
        <v/>
      </c>
    </row>
    <row r="65">
      <c r="A65" s="6" t="inlineStr">
        <is>
          <t>43Y</t>
        </is>
      </c>
      <c r="B65" s="18">
        <f>EDATE($B$4,516)</f>
        <v/>
      </c>
      <c r="C65" s="28">
        <f>(B65-VAL_DATE)/365</f>
        <v/>
      </c>
      <c r="D65" s="17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17">
        <f>(B65-$B$64)/360</f>
        <v/>
      </c>
      <c r="G65" s="17">
        <f>SUM($I$8:I64)</f>
        <v/>
      </c>
      <c r="H65" s="29">
        <f>H62*(H72/H62)^((C65-C62)/(C72-C62))</f>
        <v/>
      </c>
      <c r="I65" s="17">
        <f>F65*H65</f>
        <v/>
      </c>
      <c r="J65" s="17">
        <f>-LN(H65)/C65*100</f>
        <v/>
      </c>
      <c r="K65" s="17">
        <f>(H64/H65-1)/((B65-B64)/360)*100</f>
        <v/>
      </c>
      <c r="L65" s="30" t="n"/>
      <c r="M65" s="31">
        <f>IF(L65="","",(J65-L65)*100)</f>
        <v/>
      </c>
      <c r="N65" s="6" t="inlineStr">
        <is>
          <t>interp</t>
        </is>
      </c>
      <c r="S65" s="34">
        <f>(G65+F65*H65)</f>
        <v/>
      </c>
      <c r="T65" s="34">
        <f>(E65/100)*S65</f>
        <v/>
      </c>
      <c r="U65" s="34">
        <f>$D$4-H65</f>
        <v/>
      </c>
      <c r="V65" s="17">
        <f>U65/S65*100</f>
        <v/>
      </c>
      <c r="W65" s="31">
        <f>(V65-E65)*100</f>
        <v/>
      </c>
    </row>
    <row r="66">
      <c r="A66" s="6" t="inlineStr">
        <is>
          <t>44Y</t>
        </is>
      </c>
      <c r="B66" s="18">
        <f>EDATE($B$4,528)</f>
        <v/>
      </c>
      <c r="C66" s="28">
        <f>(B66-VAL_DATE)/365</f>
        <v/>
      </c>
      <c r="D66" s="17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17">
        <f>(B66-$B$65)/360</f>
        <v/>
      </c>
      <c r="G66" s="17">
        <f>SUM($I$8:I65)</f>
        <v/>
      </c>
      <c r="H66" s="29">
        <f>H62*(H72/H62)^((C66-C62)/(C72-C62))</f>
        <v/>
      </c>
      <c r="I66" s="17">
        <f>F66*H66</f>
        <v/>
      </c>
      <c r="J66" s="17">
        <f>-LN(H66)/C66*100</f>
        <v/>
      </c>
      <c r="K66" s="17">
        <f>(H65/H66-1)/((B66-B65)/360)*100</f>
        <v/>
      </c>
      <c r="L66" s="30" t="n"/>
      <c r="M66" s="31">
        <f>IF(L66="","",(J66-L66)*100)</f>
        <v/>
      </c>
      <c r="N66" s="6" t="inlineStr">
        <is>
          <t>interp</t>
        </is>
      </c>
      <c r="S66" s="34">
        <f>(G66+F66*H66)</f>
        <v/>
      </c>
      <c r="T66" s="34">
        <f>(E66/100)*S66</f>
        <v/>
      </c>
      <c r="U66" s="34">
        <f>$D$4-H66</f>
        <v/>
      </c>
      <c r="V66" s="17">
        <f>U66/S66*100</f>
        <v/>
      </c>
      <c r="W66" s="31">
        <f>(V66-E66)*100</f>
        <v/>
      </c>
    </row>
    <row r="67">
      <c r="A67" s="6" t="inlineStr">
        <is>
          <t>45Y</t>
        </is>
      </c>
      <c r="B67" s="18">
        <f>EDATE($B$4,540)</f>
        <v/>
      </c>
      <c r="C67" s="28">
        <f>(B67-VAL_DATE)/365</f>
        <v/>
      </c>
      <c r="D67" s="17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17">
        <f>(B67-$B$66)/360</f>
        <v/>
      </c>
      <c r="G67" s="17">
        <f>SUM($I$8:I66)</f>
        <v/>
      </c>
      <c r="H67" s="29">
        <f>H62*(H72/H62)^((C67-C62)/(C72-C62))</f>
        <v/>
      </c>
      <c r="I67" s="17">
        <f>F67*H67</f>
        <v/>
      </c>
      <c r="J67" s="17">
        <f>-LN(H67)/C67*100</f>
        <v/>
      </c>
      <c r="K67" s="17">
        <f>(H66/H67-1)/((B67-B66)/360)*100</f>
        <v/>
      </c>
      <c r="L67" s="30" t="n"/>
      <c r="M67" s="31">
        <f>IF(L67="","",(J67-L67)*100)</f>
        <v/>
      </c>
      <c r="N67" s="6" t="inlineStr">
        <is>
          <t>interp</t>
        </is>
      </c>
      <c r="S67" s="34">
        <f>(G67+F67*H67)</f>
        <v/>
      </c>
      <c r="T67" s="34">
        <f>(E67/100)*S67</f>
        <v/>
      </c>
      <c r="U67" s="34">
        <f>$D$4-H67</f>
        <v/>
      </c>
      <c r="V67" s="17">
        <f>U67/S67*100</f>
        <v/>
      </c>
      <c r="W67" s="31">
        <f>(V67-E67)*100</f>
        <v/>
      </c>
    </row>
    <row r="68">
      <c r="A68" s="6" t="inlineStr">
        <is>
          <t>46Y</t>
        </is>
      </c>
      <c r="B68" s="18">
        <f>EDATE($B$4,552)</f>
        <v/>
      </c>
      <c r="C68" s="28">
        <f>(B68-VAL_DATE)/365</f>
        <v/>
      </c>
      <c r="D68" s="17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17">
        <f>(B68-$B$67)/360</f>
        <v/>
      </c>
      <c r="G68" s="17">
        <f>SUM($I$8:I67)</f>
        <v/>
      </c>
      <c r="H68" s="29">
        <f>H62*(H72/H62)^((C68-C62)/(C72-C62))</f>
        <v/>
      </c>
      <c r="I68" s="17">
        <f>F68*H68</f>
        <v/>
      </c>
      <c r="J68" s="17">
        <f>-LN(H68)/C68*100</f>
        <v/>
      </c>
      <c r="K68" s="17">
        <f>(H67/H68-1)/((B68-B67)/360)*100</f>
        <v/>
      </c>
      <c r="L68" s="30" t="n"/>
      <c r="M68" s="31">
        <f>IF(L68="","",(J68-L68)*100)</f>
        <v/>
      </c>
      <c r="N68" s="6" t="inlineStr">
        <is>
          <t>interp</t>
        </is>
      </c>
      <c r="S68" s="34">
        <f>(G68+F68*H68)</f>
        <v/>
      </c>
      <c r="T68" s="34">
        <f>(E68/100)*S68</f>
        <v/>
      </c>
      <c r="U68" s="34">
        <f>$D$4-H68</f>
        <v/>
      </c>
      <c r="V68" s="17">
        <f>U68/S68*100</f>
        <v/>
      </c>
      <c r="W68" s="31">
        <f>(V68-E68)*100</f>
        <v/>
      </c>
    </row>
    <row r="69">
      <c r="A69" s="6" t="inlineStr">
        <is>
          <t>47Y</t>
        </is>
      </c>
      <c r="B69" s="18">
        <f>EDATE($B$4,564)</f>
        <v/>
      </c>
      <c r="C69" s="28">
        <f>(B69-VAL_DATE)/365</f>
        <v/>
      </c>
      <c r="D69" s="17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17">
        <f>(B69-$B$68)/360</f>
        <v/>
      </c>
      <c r="G69" s="17">
        <f>SUM($I$8:I68)</f>
        <v/>
      </c>
      <c r="H69" s="29">
        <f>H62*(H72/H62)^((C69-C62)/(C72-C62))</f>
        <v/>
      </c>
      <c r="I69" s="17">
        <f>F69*H69</f>
        <v/>
      </c>
      <c r="J69" s="17">
        <f>-LN(H69)/C69*100</f>
        <v/>
      </c>
      <c r="K69" s="17">
        <f>(H68/H69-1)/((B69-B68)/360)*100</f>
        <v/>
      </c>
      <c r="L69" s="30" t="n"/>
      <c r="M69" s="31">
        <f>IF(L69="","",(J69-L69)*100)</f>
        <v/>
      </c>
      <c r="N69" s="6" t="inlineStr">
        <is>
          <t>interp</t>
        </is>
      </c>
      <c r="S69" s="34">
        <f>(G69+F69*H69)</f>
        <v/>
      </c>
      <c r="T69" s="34">
        <f>(E69/100)*S69</f>
        <v/>
      </c>
      <c r="U69" s="34">
        <f>$D$4-H69</f>
        <v/>
      </c>
      <c r="V69" s="17">
        <f>U69/S69*100</f>
        <v/>
      </c>
      <c r="W69" s="31">
        <f>(V69-E69)*100</f>
        <v/>
      </c>
    </row>
    <row r="70">
      <c r="A70" s="6" t="inlineStr">
        <is>
          <t>48Y</t>
        </is>
      </c>
      <c r="B70" s="18">
        <f>EDATE($B$4,576)</f>
        <v/>
      </c>
      <c r="C70" s="28">
        <f>(B70-VAL_DATE)/365</f>
        <v/>
      </c>
      <c r="D70" s="17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17">
        <f>(B70-$B$69)/360</f>
        <v/>
      </c>
      <c r="G70" s="17">
        <f>SUM($I$8:I69)</f>
        <v/>
      </c>
      <c r="H70" s="29">
        <f>H62*(H72/H62)^((C70-C62)/(C72-C62))</f>
        <v/>
      </c>
      <c r="I70" s="17">
        <f>F70*H70</f>
        <v/>
      </c>
      <c r="J70" s="17">
        <f>-LN(H70)/C70*100</f>
        <v/>
      </c>
      <c r="K70" s="17">
        <f>(H69/H70-1)/((B70-B69)/360)*100</f>
        <v/>
      </c>
      <c r="L70" s="30" t="n"/>
      <c r="M70" s="31">
        <f>IF(L70="","",(J70-L70)*100)</f>
        <v/>
      </c>
      <c r="N70" s="6" t="inlineStr">
        <is>
          <t>interp</t>
        </is>
      </c>
      <c r="S70" s="34">
        <f>(G70+F70*H70)</f>
        <v/>
      </c>
      <c r="T70" s="34">
        <f>(E70/100)*S70</f>
        <v/>
      </c>
      <c r="U70" s="34">
        <f>$D$4-H70</f>
        <v/>
      </c>
      <c r="V70" s="17">
        <f>U70/S70*100</f>
        <v/>
      </c>
      <c r="W70" s="31">
        <f>(V70-E70)*100</f>
        <v/>
      </c>
    </row>
    <row r="71">
      <c r="A71" s="6" t="inlineStr">
        <is>
          <t>49Y</t>
        </is>
      </c>
      <c r="B71" s="18">
        <f>EDATE($B$4,588)</f>
        <v/>
      </c>
      <c r="C71" s="28">
        <f>(B71-VAL_DATE)/365</f>
        <v/>
      </c>
      <c r="D71" s="17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17">
        <f>(B71-$B$70)/360</f>
        <v/>
      </c>
      <c r="G71" s="17">
        <f>SUM($I$8:I70)</f>
        <v/>
      </c>
      <c r="H71" s="29">
        <f>H62*(H72/H62)^((C71-C62)/(C72-C62))</f>
        <v/>
      </c>
      <c r="I71" s="17">
        <f>F71*H71</f>
        <v/>
      </c>
      <c r="J71" s="17">
        <f>-LN(H71)/C71*100</f>
        <v/>
      </c>
      <c r="K71" s="17">
        <f>(H70/H71-1)/((B71-B70)/360)*100</f>
        <v/>
      </c>
      <c r="L71" s="30" t="n"/>
      <c r="M71" s="31">
        <f>IF(L71="","",(J71-L71)*100)</f>
        <v/>
      </c>
      <c r="N71" s="6" t="inlineStr">
        <is>
          <t>interp</t>
        </is>
      </c>
      <c r="S71" s="34">
        <f>(G71+F71*H71)</f>
        <v/>
      </c>
      <c r="T71" s="34">
        <f>(E71/100)*S71</f>
        <v/>
      </c>
      <c r="U71" s="34">
        <f>$D$4-H71</f>
        <v/>
      </c>
      <c r="V71" s="17">
        <f>U71/S71*100</f>
        <v/>
      </c>
      <c r="W71" s="31">
        <f>(V71-E71)*100</f>
        <v/>
      </c>
    </row>
    <row r="72">
      <c r="A72" s="6" t="inlineStr">
        <is>
          <t>50Y</t>
        </is>
      </c>
      <c r="B72" s="18">
        <f>EDATE($B$4,600)</f>
        <v/>
      </c>
      <c r="C72" s="28">
        <f>(B72-VAL_DATE)/365</f>
        <v/>
      </c>
      <c r="D72" s="17">
        <f>(B72-$B$4)/360</f>
        <v/>
      </c>
      <c r="E72" s="17">
        <f>'SOFR_OIS_Quotes'!$H36</f>
        <v/>
      </c>
      <c r="F72" s="17">
        <f>(B72-$B$71)/360</f>
        <v/>
      </c>
      <c r="G72" s="17">
        <f>SUM($I$8:I71)</f>
        <v/>
      </c>
      <c r="H72" s="29">
        <f>($D$4-(E72/100)*G72)/(1+(E72/100)*F72)</f>
        <v/>
      </c>
      <c r="I72" s="17">
        <f>F72*H72</f>
        <v/>
      </c>
      <c r="J72" s="17">
        <f>-LN(H72)/C72*100</f>
        <v/>
      </c>
      <c r="K72" s="17">
        <f>(H71/H72-1)/((B72-B71)/360)*100</f>
        <v/>
      </c>
      <c r="L72" s="30" t="n"/>
      <c r="M72" s="31">
        <f>IF(L72="","",(J72-L72)*100)</f>
        <v/>
      </c>
      <c r="N72" s="6" t="inlineStr">
        <is>
          <t>market</t>
        </is>
      </c>
      <c r="S72" s="34">
        <f>(G72+F72*H72)</f>
        <v/>
      </c>
      <c r="T72" s="34">
        <f>(E72/100)*S72</f>
        <v/>
      </c>
      <c r="U72" s="34">
        <f>$D$4-H72</f>
        <v/>
      </c>
      <c r="V72" s="17">
        <f>U72/S72*100</f>
        <v/>
      </c>
      <c r="W72" s="31">
        <f>(V72-E72)*100</f>
        <v/>
      </c>
    </row>
    <row r="74" ht="40" customHeight="1">
      <c r="A74" s="9" t="inlineStr">
        <is>
          <t>PURELY OIS bootstrap:  SHORT o/n–1Y = single-payment SOFR OIS (DF = 1/(1+S·tau0));  18M–50Y = annual SOFR OIS swaps (DF = (1−S·A_prior)/(1+S·tau_coupon)), with the annuity (col I) booked only at annual coupon dates. Every input reprices to par. Column H is the curve P(0,T); zero z = −ln(DF)/T; DF source in col N. Paste S490 zeros into column L for the Δz check. This is the curve the Swap_Pricer, Curve_Interface, and the whole CDS module use. Bootstrap_Lehman is the alternative 3-segment build (short OIS + SR3 futures + OIS swaps).</t>
        </is>
      </c>
    </row>
    <row r="75"/>
  </sheetData>
  <mergeCells count="3">
    <mergeCell ref="A74:N75"/>
    <mergeCell ref="A5:N6"/>
    <mergeCell ref="S6:W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9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0" customWidth="1" min="4" max="4"/>
    <col width="11" customWidth="1" min="5" max="5"/>
    <col width="10" customWidth="1" min="6" max="6"/>
    <col width="15" customWidth="1" min="7" max="7"/>
    <col width="15" customWidth="1" min="8" max="8"/>
    <col width="13" customWidth="1" min="9" max="9"/>
    <col width="12" customWidth="1" min="10" max="10"/>
    <col width="12" customWidth="1" min="11" max="11"/>
    <col width="18" customWidth="1" min="12" max="12"/>
    <col width="16" customWidth="1" min="15" max="15"/>
    <col width="12" customWidth="1" min="16" max="16"/>
    <col width="12" customWidth="1" min="17" max="17"/>
    <col width="12" customWidth="1" min="18" max="18"/>
    <col width="11" customWidth="1" min="19" max="19"/>
    <col width="12" customWidth="1" min="20" max="20"/>
    <col width="11" customWidth="1" min="21" max="21"/>
    <col width="13" customWidth="1" min="22" max="22"/>
    <col width="13" customWidth="1" min="23" max="23"/>
    <col width="12" customWidth="1" min="25" max="25"/>
    <col width="13" customWidth="1" min="26" max="26"/>
  </cols>
  <sheetData>
    <row r="1">
      <c r="A1" s="1" t="inlineStr">
        <is>
          <t>Bootstrap_Lehman</t>
        </is>
      </c>
    </row>
    <row r="2">
      <c r="A2" s="2" t="inlineStr">
        <is>
          <t>Lehman-2002 methodology on modern SOFR: short OIS (≤1Y) + SR3 FUTURES (1Y–5Y) + OIS swaps (5Y–50Y). The middle uses the futures; the purely-OIS Bootstrap tab is the alternative.</t>
        </is>
      </c>
    </row>
    <row r="4" ht="62" customHeight="1">
      <c r="A4" s="9" t="inlineStr">
        <is>
          <t>Zhou-2002 three-segment build. SHORT (≤1Y) &amp; LONG (5Y–50Y) are the same OIS bootstrap as the Bootstrap tab; the MIDDLE (18M/2Y/3Y/4Y/5Y) is driven by the SR3 futures chain (own helper block cols O–W), which chains the QUARTERLY contracts (ref start Mar/Jun/Sep/Dec) forward from the OIS 1Y DF and interpolates onto the pillar dates. Falls back to OIS only on a hard error, so the futures drive the middle whenever the SR3 data is good (col L = 'SR3 futures'). Convexity in the chain uses the yellow sigma (bp/yr). Compare col H against the Bootstrap tab to see the futures-vs-OIS difference. Downstream tabs use the purely-OIS Bootstrap.</t>
        </is>
      </c>
    </row>
    <row r="5">
      <c r="O5" s="13" t="inlineStr">
        <is>
          <t>sigma (bp/yr):</t>
        </is>
      </c>
      <c r="P5" s="35" t="n">
        <v>100</v>
      </c>
    </row>
    <row r="6">
      <c r="O6" s="4" t="inlineStr">
        <is>
          <t>MIDDLE — SR3 futures chain (quarterly only)</t>
        </is>
      </c>
      <c r="Y6" s="4" t="inlineStr">
        <is>
          <t>Mid grid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T (yrs)</t>
        </is>
      </c>
      <c r="D7" s="20" t="inlineStr">
        <is>
          <t>tau0</t>
        </is>
      </c>
      <c r="E7" s="20" t="inlineStr">
        <is>
          <t>Par S (%)</t>
        </is>
      </c>
      <c r="F7" s="20" t="inlineStr">
        <is>
          <t>tau cpn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(%)</t>
        </is>
      </c>
      <c r="K7" s="20" t="inlineStr">
        <is>
          <t>Fwd (%)</t>
        </is>
      </c>
      <c r="L7" s="20" t="inlineStr">
        <is>
          <t>DF source</t>
        </is>
      </c>
      <c r="O7" s="20" t="inlineStr">
        <is>
          <t>Contract</t>
        </is>
      </c>
      <c r="P7" s="20" t="inlineStr">
        <is>
          <t>Fut start</t>
        </is>
      </c>
      <c r="Q7" s="20" t="inlineStr">
        <is>
          <t>Fut end</t>
        </is>
      </c>
      <c r="R7" s="20" t="inlineStr">
        <is>
          <t>tau eff</t>
        </is>
      </c>
      <c r="S7" s="20" t="inlineStr">
        <is>
          <t>Implied %</t>
        </is>
      </c>
      <c r="T7" s="20" t="inlineStr">
        <is>
          <t>Convexity bp</t>
        </is>
      </c>
      <c r="U7" s="20" t="inlineStr">
        <is>
          <t>Fwd</t>
        </is>
      </c>
      <c r="V7" s="20" t="inlineStr">
        <is>
          <t>DF before</t>
        </is>
      </c>
      <c r="W7" s="20" t="inlineStr">
        <is>
          <t>DF after</t>
        </is>
      </c>
      <c r="Y7" s="20" t="inlineStr">
        <is>
          <t>Date</t>
        </is>
      </c>
      <c r="Z7" s="20" t="inlineStr">
        <is>
          <t>DF</t>
        </is>
      </c>
    </row>
    <row r="8">
      <c r="A8" s="17">
        <f>'Bootstrap'!A8</f>
        <v/>
      </c>
      <c r="B8" s="18">
        <f>'Bootstrap'!B8</f>
        <v/>
      </c>
      <c r="C8" s="28">
        <f>'Bootstrap'!C8</f>
        <v/>
      </c>
      <c r="D8" s="17">
        <f>'Bootstrap'!D8</f>
        <v/>
      </c>
      <c r="E8" s="17">
        <f>'Bootstrap'!E8</f>
        <v/>
      </c>
      <c r="F8" s="17">
        <f>'Bootstrap'!F8</f>
        <v/>
      </c>
      <c r="G8" s="17" t="n">
        <v>0</v>
      </c>
      <c r="H8" s="29">
        <f>('Bootstrap'!$D$4)/(1+(E8/100)*D8)</f>
        <v/>
      </c>
      <c r="I8" s="17" t="n">
        <v>0</v>
      </c>
      <c r="J8" s="17">
        <f>-LN(H8)/C8*100</f>
        <v/>
      </c>
      <c r="K8" s="17">
        <f>(1/H8-1)/D8*100</f>
        <v/>
      </c>
      <c r="L8" s="6" t="inlineStr">
        <is>
          <t>short OIS</t>
        </is>
      </c>
      <c r="O8" s="6">
        <f>'SOFR_Futures'!A7</f>
        <v/>
      </c>
      <c r="P8" s="18">
        <f>'SOFR_Futures'!H7</f>
        <v/>
      </c>
      <c r="Q8" s="18">
        <f>EDATE(P8,3)</f>
        <v/>
      </c>
      <c r="R8" s="17">
        <f>IF(OR(MONTH(P8)=3,MONTH(P8)=6,MONTH(P8)=9,MONTH(P8)=12),MAX(0,(Q8-MAX(P8,$B$22))/360),0)</f>
        <v/>
      </c>
      <c r="S8" s="17">
        <f>'SOFR_Futures'!F7</f>
        <v/>
      </c>
      <c r="T8" s="28">
        <f>0.5*$P$5^2*((P8-'Bootstrap'!$B$4)/365)*((Q8-'Bootstrap'!$B$4)/365)/10000</f>
        <v/>
      </c>
      <c r="U8" s="34">
        <f>(S8-T8/100)/100</f>
        <v/>
      </c>
      <c r="V8" s="36">
        <f>$H$22</f>
        <v/>
      </c>
      <c r="W8" s="36">
        <f>V8/(1+U8*R8)</f>
        <v/>
      </c>
      <c r="Y8" s="18">
        <f>$B$22</f>
        <v/>
      </c>
      <c r="Z8" s="36">
        <f>$H$22</f>
        <v/>
      </c>
    </row>
    <row r="9">
      <c r="A9" s="17">
        <f>'Bootstrap'!A9</f>
        <v/>
      </c>
      <c r="B9" s="18">
        <f>'Bootstrap'!B9</f>
        <v/>
      </c>
      <c r="C9" s="28">
        <f>'Bootstrap'!C9</f>
        <v/>
      </c>
      <c r="D9" s="17">
        <f>'Bootstrap'!D9</f>
        <v/>
      </c>
      <c r="E9" s="17">
        <f>'Bootstrap'!E9</f>
        <v/>
      </c>
      <c r="F9" s="17">
        <f>'Bootstrap'!F9</f>
        <v/>
      </c>
      <c r="G9" s="17">
        <f>SUM($I$8:I8)</f>
        <v/>
      </c>
      <c r="H9" s="29">
        <f>('Bootstrap'!$D$4)/(1+(E9/100)*D9)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6" t="inlineStr">
        <is>
          <t>short OIS</t>
        </is>
      </c>
      <c r="O9" s="6">
        <f>'SOFR_Futures'!A8</f>
        <v/>
      </c>
      <c r="P9" s="18">
        <f>'SOFR_Futures'!H8</f>
        <v/>
      </c>
      <c r="Q9" s="18">
        <f>EDATE(P9,3)</f>
        <v/>
      </c>
      <c r="R9" s="17">
        <f>IF(OR(MONTH(P9)=3,MONTH(P9)=6,MONTH(P9)=9,MONTH(P9)=12),MAX(0,(Q9-MAX(P9,$B$22))/360),0)</f>
        <v/>
      </c>
      <c r="S9" s="17">
        <f>'SOFR_Futures'!F8</f>
        <v/>
      </c>
      <c r="T9" s="28">
        <f>0.5*$P$5^2*((P9-'Bootstrap'!$B$4)/365)*((Q9-'Bootstrap'!$B$4)/365)/10000</f>
        <v/>
      </c>
      <c r="U9" s="34">
        <f>(S9-T9/100)/100</f>
        <v/>
      </c>
      <c r="V9" s="36">
        <f>W8</f>
        <v/>
      </c>
      <c r="W9" s="36">
        <f>V9/(1+U9*R9)</f>
        <v/>
      </c>
      <c r="Y9" s="18">
        <f>MAX(Q8,$B$22)</f>
        <v/>
      </c>
      <c r="Z9" s="36">
        <f>W8</f>
        <v/>
      </c>
    </row>
    <row r="10">
      <c r="A10" s="17">
        <f>'Bootstrap'!A10</f>
        <v/>
      </c>
      <c r="B10" s="18">
        <f>'Bootstrap'!B10</f>
        <v/>
      </c>
      <c r="C10" s="28">
        <f>'Bootstrap'!C10</f>
        <v/>
      </c>
      <c r="D10" s="17">
        <f>'Bootstrap'!D10</f>
        <v/>
      </c>
      <c r="E10" s="17">
        <f>'Bootstrap'!E10</f>
        <v/>
      </c>
      <c r="F10" s="17">
        <f>'Bootstrap'!F10</f>
        <v/>
      </c>
      <c r="G10" s="17">
        <f>SUM($I$8:I9)</f>
        <v/>
      </c>
      <c r="H10" s="29">
        <f>('Bootstrap'!$D$4)/(1+(E10/100)*D10)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6" t="inlineStr">
        <is>
          <t>short OIS</t>
        </is>
      </c>
      <c r="O10" s="6">
        <f>'SOFR_Futures'!A9</f>
        <v/>
      </c>
      <c r="P10" s="18">
        <f>'SOFR_Futures'!H9</f>
        <v/>
      </c>
      <c r="Q10" s="18">
        <f>EDATE(P10,3)</f>
        <v/>
      </c>
      <c r="R10" s="17">
        <f>IF(OR(MONTH(P10)=3,MONTH(P10)=6,MONTH(P10)=9,MONTH(P10)=12),MAX(0,(Q10-MAX(P10,$B$22))/360),0)</f>
        <v/>
      </c>
      <c r="S10" s="17">
        <f>'SOFR_Futures'!F9</f>
        <v/>
      </c>
      <c r="T10" s="28">
        <f>0.5*$P$5^2*((P10-'Bootstrap'!$B$4)/365)*((Q10-'Bootstrap'!$B$4)/365)/10000</f>
        <v/>
      </c>
      <c r="U10" s="34">
        <f>(S10-T10/100)/100</f>
        <v/>
      </c>
      <c r="V10" s="36">
        <f>W9</f>
        <v/>
      </c>
      <c r="W10" s="36">
        <f>V10/(1+U10*R10)</f>
        <v/>
      </c>
      <c r="Y10" s="18">
        <f>MAX(Q9,$B$22)</f>
        <v/>
      </c>
      <c r="Z10" s="36">
        <f>W9</f>
        <v/>
      </c>
    </row>
    <row r="11">
      <c r="A11" s="17">
        <f>'Bootstrap'!A11</f>
        <v/>
      </c>
      <c r="B11" s="18">
        <f>'Bootstrap'!B11</f>
        <v/>
      </c>
      <c r="C11" s="28">
        <f>'Bootstrap'!C11</f>
        <v/>
      </c>
      <c r="D11" s="17">
        <f>'Bootstrap'!D11</f>
        <v/>
      </c>
      <c r="E11" s="17">
        <f>'Bootstrap'!E11</f>
        <v/>
      </c>
      <c r="F11" s="17">
        <f>'Bootstrap'!F11</f>
        <v/>
      </c>
      <c r="G11" s="17">
        <f>SUM($I$8:I10)</f>
        <v/>
      </c>
      <c r="H11" s="29">
        <f>('Bootstrap'!$D$4)/(1+(E11/100)*D11)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6" t="inlineStr">
        <is>
          <t>short OIS</t>
        </is>
      </c>
      <c r="O11" s="6">
        <f>'SOFR_Futures'!A10</f>
        <v/>
      </c>
      <c r="P11" s="18">
        <f>'SOFR_Futures'!H10</f>
        <v/>
      </c>
      <c r="Q11" s="18">
        <f>EDATE(P11,3)</f>
        <v/>
      </c>
      <c r="R11" s="17">
        <f>IF(OR(MONTH(P11)=3,MONTH(P11)=6,MONTH(P11)=9,MONTH(P11)=12),MAX(0,(Q11-MAX(P11,$B$22))/360),0)</f>
        <v/>
      </c>
      <c r="S11" s="17">
        <f>'SOFR_Futures'!F10</f>
        <v/>
      </c>
      <c r="T11" s="28">
        <f>0.5*$P$5^2*((P11-'Bootstrap'!$B$4)/365)*((Q11-'Bootstrap'!$B$4)/365)/10000</f>
        <v/>
      </c>
      <c r="U11" s="34">
        <f>(S11-T11/100)/100</f>
        <v/>
      </c>
      <c r="V11" s="36">
        <f>W10</f>
        <v/>
      </c>
      <c r="W11" s="36">
        <f>V11/(1+U11*R11)</f>
        <v/>
      </c>
      <c r="Y11" s="18">
        <f>MAX(Q10,$B$22)</f>
        <v/>
      </c>
      <c r="Z11" s="36">
        <f>W10</f>
        <v/>
      </c>
    </row>
    <row r="12">
      <c r="A12" s="17">
        <f>'Bootstrap'!A12</f>
        <v/>
      </c>
      <c r="B12" s="18">
        <f>'Bootstrap'!B12</f>
        <v/>
      </c>
      <c r="C12" s="28">
        <f>'Bootstrap'!C12</f>
        <v/>
      </c>
      <c r="D12" s="17">
        <f>'Bootstrap'!D12</f>
        <v/>
      </c>
      <c r="E12" s="17">
        <f>'Bootstrap'!E12</f>
        <v/>
      </c>
      <c r="F12" s="17">
        <f>'Bootstrap'!F12</f>
        <v/>
      </c>
      <c r="G12" s="17">
        <f>SUM($I$8:I11)</f>
        <v/>
      </c>
      <c r="H12" s="29">
        <f>('Bootstrap'!$D$4)/(1+(E12/100)*D12)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6" t="inlineStr">
        <is>
          <t>short OIS</t>
        </is>
      </c>
      <c r="O12" s="6">
        <f>'SOFR_Futures'!A11</f>
        <v/>
      </c>
      <c r="P12" s="18">
        <f>'SOFR_Futures'!H11</f>
        <v/>
      </c>
      <c r="Q12" s="18">
        <f>EDATE(P12,3)</f>
        <v/>
      </c>
      <c r="R12" s="17">
        <f>IF(OR(MONTH(P12)=3,MONTH(P12)=6,MONTH(P12)=9,MONTH(P12)=12),MAX(0,(Q12-MAX(P12,$B$22))/360),0)</f>
        <v/>
      </c>
      <c r="S12" s="17">
        <f>'SOFR_Futures'!F11</f>
        <v/>
      </c>
      <c r="T12" s="28">
        <f>0.5*$P$5^2*((P12-'Bootstrap'!$B$4)/365)*((Q12-'Bootstrap'!$B$4)/365)/10000</f>
        <v/>
      </c>
      <c r="U12" s="34">
        <f>(S12-T12/100)/100</f>
        <v/>
      </c>
      <c r="V12" s="36">
        <f>W11</f>
        <v/>
      </c>
      <c r="W12" s="36">
        <f>V12/(1+U12*R12)</f>
        <v/>
      </c>
      <c r="Y12" s="18">
        <f>MAX(Q11,$B$22)</f>
        <v/>
      </c>
      <c r="Z12" s="36">
        <f>W11</f>
        <v/>
      </c>
    </row>
    <row r="13">
      <c r="A13" s="17">
        <f>'Bootstrap'!A13</f>
        <v/>
      </c>
      <c r="B13" s="18">
        <f>'Bootstrap'!B13</f>
        <v/>
      </c>
      <c r="C13" s="28">
        <f>'Bootstrap'!C13</f>
        <v/>
      </c>
      <c r="D13" s="17">
        <f>'Bootstrap'!D13</f>
        <v/>
      </c>
      <c r="E13" s="17">
        <f>'Bootstrap'!E13</f>
        <v/>
      </c>
      <c r="F13" s="17">
        <f>'Bootstrap'!F13</f>
        <v/>
      </c>
      <c r="G13" s="17">
        <f>SUM($I$8:I12)</f>
        <v/>
      </c>
      <c r="H13" s="29">
        <f>('Bootstrap'!$D$4)/(1+(E13/100)*D13)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6" t="inlineStr">
        <is>
          <t>short OIS</t>
        </is>
      </c>
      <c r="O13" s="6">
        <f>'SOFR_Futures'!A12</f>
        <v/>
      </c>
      <c r="P13" s="18">
        <f>'SOFR_Futures'!H12</f>
        <v/>
      </c>
      <c r="Q13" s="18">
        <f>EDATE(P13,3)</f>
        <v/>
      </c>
      <c r="R13" s="17">
        <f>IF(OR(MONTH(P13)=3,MONTH(P13)=6,MONTH(P13)=9,MONTH(P13)=12),MAX(0,(Q13-MAX(P13,$B$22))/360),0)</f>
        <v/>
      </c>
      <c r="S13" s="17">
        <f>'SOFR_Futures'!F12</f>
        <v/>
      </c>
      <c r="T13" s="28">
        <f>0.5*$P$5^2*((P13-'Bootstrap'!$B$4)/365)*((Q13-'Bootstrap'!$B$4)/365)/10000</f>
        <v/>
      </c>
      <c r="U13" s="34">
        <f>(S13-T13/100)/100</f>
        <v/>
      </c>
      <c r="V13" s="36">
        <f>W12</f>
        <v/>
      </c>
      <c r="W13" s="36">
        <f>V13/(1+U13*R13)</f>
        <v/>
      </c>
      <c r="Y13" s="18">
        <f>MAX(Q12,$B$22)</f>
        <v/>
      </c>
      <c r="Z13" s="36">
        <f>W12</f>
        <v/>
      </c>
    </row>
    <row r="14">
      <c r="A14" s="17">
        <f>'Bootstrap'!A14</f>
        <v/>
      </c>
      <c r="B14" s="18">
        <f>'Bootstrap'!B14</f>
        <v/>
      </c>
      <c r="C14" s="28">
        <f>'Bootstrap'!C14</f>
        <v/>
      </c>
      <c r="D14" s="17">
        <f>'Bootstrap'!D14</f>
        <v/>
      </c>
      <c r="E14" s="17">
        <f>'Bootstrap'!E14</f>
        <v/>
      </c>
      <c r="F14" s="17">
        <f>'Bootstrap'!F14</f>
        <v/>
      </c>
      <c r="G14" s="17">
        <f>SUM($I$8:I13)</f>
        <v/>
      </c>
      <c r="H14" s="29">
        <f>('Bootstrap'!$D$4)/(1+(E14/100)*D14)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6" t="inlineStr">
        <is>
          <t>short OIS</t>
        </is>
      </c>
      <c r="O14" s="6">
        <f>'SOFR_Futures'!A13</f>
        <v/>
      </c>
      <c r="P14" s="18">
        <f>'SOFR_Futures'!H13</f>
        <v/>
      </c>
      <c r="Q14" s="18">
        <f>EDATE(P14,3)</f>
        <v/>
      </c>
      <c r="R14" s="17">
        <f>IF(OR(MONTH(P14)=3,MONTH(P14)=6,MONTH(P14)=9,MONTH(P14)=12),MAX(0,(Q14-MAX(P14,$B$22))/360),0)</f>
        <v/>
      </c>
      <c r="S14" s="17">
        <f>'SOFR_Futures'!F13</f>
        <v/>
      </c>
      <c r="T14" s="28">
        <f>0.5*$P$5^2*((P14-'Bootstrap'!$B$4)/365)*((Q14-'Bootstrap'!$B$4)/365)/10000</f>
        <v/>
      </c>
      <c r="U14" s="34">
        <f>(S14-T14/100)/100</f>
        <v/>
      </c>
      <c r="V14" s="36">
        <f>W13</f>
        <v/>
      </c>
      <c r="W14" s="36">
        <f>V14/(1+U14*R14)</f>
        <v/>
      </c>
      <c r="Y14" s="18">
        <f>MAX(Q13,$B$22)</f>
        <v/>
      </c>
      <c r="Z14" s="36">
        <f>W13</f>
        <v/>
      </c>
    </row>
    <row r="15">
      <c r="A15" s="17">
        <f>'Bootstrap'!A15</f>
        <v/>
      </c>
      <c r="B15" s="18">
        <f>'Bootstrap'!B15</f>
        <v/>
      </c>
      <c r="C15" s="28">
        <f>'Bootstrap'!C15</f>
        <v/>
      </c>
      <c r="D15" s="17">
        <f>'Bootstrap'!D15</f>
        <v/>
      </c>
      <c r="E15" s="17">
        <f>'Bootstrap'!E15</f>
        <v/>
      </c>
      <c r="F15" s="17">
        <f>'Bootstrap'!F15</f>
        <v/>
      </c>
      <c r="G15" s="17">
        <f>SUM($I$8:I14)</f>
        <v/>
      </c>
      <c r="H15" s="29">
        <f>('Bootstrap'!$D$4)/(1+(E15/100)*D15)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6" t="inlineStr">
        <is>
          <t>short OIS</t>
        </is>
      </c>
      <c r="O15" s="6">
        <f>'SOFR_Futures'!A14</f>
        <v/>
      </c>
      <c r="P15" s="18">
        <f>'SOFR_Futures'!H14</f>
        <v/>
      </c>
      <c r="Q15" s="18">
        <f>EDATE(P15,3)</f>
        <v/>
      </c>
      <c r="R15" s="17">
        <f>IF(OR(MONTH(P15)=3,MONTH(P15)=6,MONTH(P15)=9,MONTH(P15)=12),MAX(0,(Q15-MAX(P15,$B$22))/360),0)</f>
        <v/>
      </c>
      <c r="S15" s="17">
        <f>'SOFR_Futures'!F14</f>
        <v/>
      </c>
      <c r="T15" s="28">
        <f>0.5*$P$5^2*((P15-'Bootstrap'!$B$4)/365)*((Q15-'Bootstrap'!$B$4)/365)/10000</f>
        <v/>
      </c>
      <c r="U15" s="34">
        <f>(S15-T15/100)/100</f>
        <v/>
      </c>
      <c r="V15" s="36">
        <f>W14</f>
        <v/>
      </c>
      <c r="W15" s="36">
        <f>V15/(1+U15*R15)</f>
        <v/>
      </c>
      <c r="Y15" s="18">
        <f>MAX(Q14,$B$22)</f>
        <v/>
      </c>
      <c r="Z15" s="36">
        <f>W14</f>
        <v/>
      </c>
    </row>
    <row r="16">
      <c r="A16" s="17">
        <f>'Bootstrap'!A16</f>
        <v/>
      </c>
      <c r="B16" s="18">
        <f>'Bootstrap'!B16</f>
        <v/>
      </c>
      <c r="C16" s="28">
        <f>'Bootstrap'!C16</f>
        <v/>
      </c>
      <c r="D16" s="17">
        <f>'Bootstrap'!D16</f>
        <v/>
      </c>
      <c r="E16" s="17">
        <f>'Bootstrap'!E16</f>
        <v/>
      </c>
      <c r="F16" s="17">
        <f>'Bootstrap'!F16</f>
        <v/>
      </c>
      <c r="G16" s="17">
        <f>SUM($I$8:I15)</f>
        <v/>
      </c>
      <c r="H16" s="29">
        <f>('Bootstrap'!$D$4)/(1+(E16/100)*D16)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6" t="inlineStr">
        <is>
          <t>short OIS</t>
        </is>
      </c>
      <c r="O16" s="6">
        <f>'SOFR_Futures'!A15</f>
        <v/>
      </c>
      <c r="P16" s="18">
        <f>'SOFR_Futures'!H15</f>
        <v/>
      </c>
      <c r="Q16" s="18">
        <f>EDATE(P16,3)</f>
        <v/>
      </c>
      <c r="R16" s="17">
        <f>IF(OR(MONTH(P16)=3,MONTH(P16)=6,MONTH(P16)=9,MONTH(P16)=12),MAX(0,(Q16-MAX(P16,$B$22))/360),0)</f>
        <v/>
      </c>
      <c r="S16" s="17">
        <f>'SOFR_Futures'!F15</f>
        <v/>
      </c>
      <c r="T16" s="28">
        <f>0.5*$P$5^2*((P16-'Bootstrap'!$B$4)/365)*((Q16-'Bootstrap'!$B$4)/365)/10000</f>
        <v/>
      </c>
      <c r="U16" s="34">
        <f>(S16-T16/100)/100</f>
        <v/>
      </c>
      <c r="V16" s="36">
        <f>W15</f>
        <v/>
      </c>
      <c r="W16" s="36">
        <f>V16/(1+U16*R16)</f>
        <v/>
      </c>
      <c r="Y16" s="18">
        <f>MAX(Q15,$B$22)</f>
        <v/>
      </c>
      <c r="Z16" s="36">
        <f>W15</f>
        <v/>
      </c>
    </row>
    <row r="17">
      <c r="A17" s="17">
        <f>'Bootstrap'!A17</f>
        <v/>
      </c>
      <c r="B17" s="18">
        <f>'Bootstrap'!B17</f>
        <v/>
      </c>
      <c r="C17" s="28">
        <f>'Bootstrap'!C17</f>
        <v/>
      </c>
      <c r="D17" s="17">
        <f>'Bootstrap'!D17</f>
        <v/>
      </c>
      <c r="E17" s="17">
        <f>'Bootstrap'!E17</f>
        <v/>
      </c>
      <c r="F17" s="17">
        <f>'Bootstrap'!F17</f>
        <v/>
      </c>
      <c r="G17" s="17">
        <f>SUM($I$8:I16)</f>
        <v/>
      </c>
      <c r="H17" s="29">
        <f>('Bootstrap'!$D$4)/(1+(E17/100)*D17)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6" t="inlineStr">
        <is>
          <t>short OIS</t>
        </is>
      </c>
      <c r="O17" s="6">
        <f>'SOFR_Futures'!A16</f>
        <v/>
      </c>
      <c r="P17" s="18">
        <f>'SOFR_Futures'!H16</f>
        <v/>
      </c>
      <c r="Q17" s="18">
        <f>EDATE(P17,3)</f>
        <v/>
      </c>
      <c r="R17" s="17">
        <f>IF(OR(MONTH(P17)=3,MONTH(P17)=6,MONTH(P17)=9,MONTH(P17)=12),MAX(0,(Q17-MAX(P17,$B$22))/360),0)</f>
        <v/>
      </c>
      <c r="S17" s="17">
        <f>'SOFR_Futures'!F16</f>
        <v/>
      </c>
      <c r="T17" s="28">
        <f>0.5*$P$5^2*((P17-'Bootstrap'!$B$4)/365)*((Q17-'Bootstrap'!$B$4)/365)/10000</f>
        <v/>
      </c>
      <c r="U17" s="34">
        <f>(S17-T17/100)/100</f>
        <v/>
      </c>
      <c r="V17" s="36">
        <f>W16</f>
        <v/>
      </c>
      <c r="W17" s="36">
        <f>V17/(1+U17*R17)</f>
        <v/>
      </c>
      <c r="Y17" s="18">
        <f>MAX(Q16,$B$22)</f>
        <v/>
      </c>
      <c r="Z17" s="36">
        <f>W16</f>
        <v/>
      </c>
    </row>
    <row r="18">
      <c r="A18" s="17">
        <f>'Bootstrap'!A18</f>
        <v/>
      </c>
      <c r="B18" s="18">
        <f>'Bootstrap'!B18</f>
        <v/>
      </c>
      <c r="C18" s="28">
        <f>'Bootstrap'!C18</f>
        <v/>
      </c>
      <c r="D18" s="17">
        <f>'Bootstrap'!D18</f>
        <v/>
      </c>
      <c r="E18" s="17">
        <f>'Bootstrap'!E18</f>
        <v/>
      </c>
      <c r="F18" s="17">
        <f>'Bootstrap'!F18</f>
        <v/>
      </c>
      <c r="G18" s="17">
        <f>SUM($I$8:I17)</f>
        <v/>
      </c>
      <c r="H18" s="29">
        <f>('Bootstrap'!$D$4)/(1+(E18/100)*D18)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6" t="inlineStr">
        <is>
          <t>short OIS</t>
        </is>
      </c>
      <c r="O18" s="6">
        <f>'SOFR_Futures'!A17</f>
        <v/>
      </c>
      <c r="P18" s="18">
        <f>'SOFR_Futures'!H17</f>
        <v/>
      </c>
      <c r="Q18" s="18">
        <f>EDATE(P18,3)</f>
        <v/>
      </c>
      <c r="R18" s="17">
        <f>IF(OR(MONTH(P18)=3,MONTH(P18)=6,MONTH(P18)=9,MONTH(P18)=12),MAX(0,(Q18-MAX(P18,$B$22))/360),0)</f>
        <v/>
      </c>
      <c r="S18" s="17">
        <f>'SOFR_Futures'!F17</f>
        <v/>
      </c>
      <c r="T18" s="28">
        <f>0.5*$P$5^2*((P18-'Bootstrap'!$B$4)/365)*((Q18-'Bootstrap'!$B$4)/365)/10000</f>
        <v/>
      </c>
      <c r="U18" s="34">
        <f>(S18-T18/100)/100</f>
        <v/>
      </c>
      <c r="V18" s="36">
        <f>W17</f>
        <v/>
      </c>
      <c r="W18" s="36">
        <f>V18/(1+U18*R18)</f>
        <v/>
      </c>
      <c r="Y18" s="18">
        <f>MAX(Q17,$B$22)</f>
        <v/>
      </c>
      <c r="Z18" s="36">
        <f>W17</f>
        <v/>
      </c>
    </row>
    <row r="19">
      <c r="A19" s="17">
        <f>'Bootstrap'!A19</f>
        <v/>
      </c>
      <c r="B19" s="18">
        <f>'Bootstrap'!B19</f>
        <v/>
      </c>
      <c r="C19" s="28">
        <f>'Bootstrap'!C19</f>
        <v/>
      </c>
      <c r="D19" s="17">
        <f>'Bootstrap'!D19</f>
        <v/>
      </c>
      <c r="E19" s="17">
        <f>'Bootstrap'!E19</f>
        <v/>
      </c>
      <c r="F19" s="17">
        <f>'Bootstrap'!F19</f>
        <v/>
      </c>
      <c r="G19" s="17">
        <f>SUM($I$8:I18)</f>
        <v/>
      </c>
      <c r="H19" s="29">
        <f>('Bootstrap'!$D$4)/(1+(E19/100)*D19)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6" t="inlineStr">
        <is>
          <t>short OIS</t>
        </is>
      </c>
      <c r="O19" s="6">
        <f>'SOFR_Futures'!A18</f>
        <v/>
      </c>
      <c r="P19" s="18">
        <f>'SOFR_Futures'!H18</f>
        <v/>
      </c>
      <c r="Q19" s="18">
        <f>EDATE(P19,3)</f>
        <v/>
      </c>
      <c r="R19" s="17">
        <f>IF(OR(MONTH(P19)=3,MONTH(P19)=6,MONTH(P19)=9,MONTH(P19)=12),MAX(0,(Q19-MAX(P19,$B$22))/360),0)</f>
        <v/>
      </c>
      <c r="S19" s="17">
        <f>'SOFR_Futures'!F18</f>
        <v/>
      </c>
      <c r="T19" s="28">
        <f>0.5*$P$5^2*((P19-'Bootstrap'!$B$4)/365)*((Q19-'Bootstrap'!$B$4)/365)/10000</f>
        <v/>
      </c>
      <c r="U19" s="34">
        <f>(S19-T19/100)/100</f>
        <v/>
      </c>
      <c r="V19" s="36">
        <f>W18</f>
        <v/>
      </c>
      <c r="W19" s="36">
        <f>V19/(1+U19*R19)</f>
        <v/>
      </c>
      <c r="Y19" s="18">
        <f>MAX(Q18,$B$22)</f>
        <v/>
      </c>
      <c r="Z19" s="36">
        <f>W18</f>
        <v/>
      </c>
    </row>
    <row r="20">
      <c r="A20" s="17">
        <f>'Bootstrap'!A20</f>
        <v/>
      </c>
      <c r="B20" s="18">
        <f>'Bootstrap'!B20</f>
        <v/>
      </c>
      <c r="C20" s="28">
        <f>'Bootstrap'!C20</f>
        <v/>
      </c>
      <c r="D20" s="17">
        <f>'Bootstrap'!D20</f>
        <v/>
      </c>
      <c r="E20" s="17">
        <f>'Bootstrap'!E20</f>
        <v/>
      </c>
      <c r="F20" s="17">
        <f>'Bootstrap'!F20</f>
        <v/>
      </c>
      <c r="G20" s="17">
        <f>SUM($I$8:I19)</f>
        <v/>
      </c>
      <c r="H20" s="29">
        <f>('Bootstrap'!$D$4)/(1+(E20/100)*D20)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6" t="inlineStr">
        <is>
          <t>short OIS</t>
        </is>
      </c>
      <c r="O20" s="6">
        <f>'SOFR_Futures'!A19</f>
        <v/>
      </c>
      <c r="P20" s="18">
        <f>'SOFR_Futures'!H19</f>
        <v/>
      </c>
      <c r="Q20" s="18">
        <f>EDATE(P20,3)</f>
        <v/>
      </c>
      <c r="R20" s="17">
        <f>IF(OR(MONTH(P20)=3,MONTH(P20)=6,MONTH(P20)=9,MONTH(P20)=12),MAX(0,(Q20-MAX(P20,$B$22))/360),0)</f>
        <v/>
      </c>
      <c r="S20" s="17">
        <f>'SOFR_Futures'!F19</f>
        <v/>
      </c>
      <c r="T20" s="28">
        <f>0.5*$P$5^2*((P20-'Bootstrap'!$B$4)/365)*((Q20-'Bootstrap'!$B$4)/365)/10000</f>
        <v/>
      </c>
      <c r="U20" s="34">
        <f>(S20-T20/100)/100</f>
        <v/>
      </c>
      <c r="V20" s="36">
        <f>W19</f>
        <v/>
      </c>
      <c r="W20" s="36">
        <f>V20/(1+U20*R20)</f>
        <v/>
      </c>
      <c r="Y20" s="18">
        <f>MAX(Q19,$B$22)</f>
        <v/>
      </c>
      <c r="Z20" s="36">
        <f>W19</f>
        <v/>
      </c>
    </row>
    <row r="21">
      <c r="A21" s="17">
        <f>'Bootstrap'!A21</f>
        <v/>
      </c>
      <c r="B21" s="18">
        <f>'Bootstrap'!B21</f>
        <v/>
      </c>
      <c r="C21" s="28">
        <f>'Bootstrap'!C21</f>
        <v/>
      </c>
      <c r="D21" s="17">
        <f>'Bootstrap'!D21</f>
        <v/>
      </c>
      <c r="E21" s="17">
        <f>'Bootstrap'!E21</f>
        <v/>
      </c>
      <c r="F21" s="17">
        <f>'Bootstrap'!F21</f>
        <v/>
      </c>
      <c r="G21" s="17">
        <f>SUM($I$8:I20)</f>
        <v/>
      </c>
      <c r="H21" s="29">
        <f>('Bootstrap'!$D$4)/(1+(E21/100)*D21)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6" t="inlineStr">
        <is>
          <t>short OIS</t>
        </is>
      </c>
      <c r="O21" s="6">
        <f>'SOFR_Futures'!A20</f>
        <v/>
      </c>
      <c r="P21" s="18">
        <f>'SOFR_Futures'!H20</f>
        <v/>
      </c>
      <c r="Q21" s="18">
        <f>EDATE(P21,3)</f>
        <v/>
      </c>
      <c r="R21" s="17">
        <f>IF(OR(MONTH(P21)=3,MONTH(P21)=6,MONTH(P21)=9,MONTH(P21)=12),MAX(0,(Q21-MAX(P21,$B$22))/360),0)</f>
        <v/>
      </c>
      <c r="S21" s="17">
        <f>'SOFR_Futures'!F20</f>
        <v/>
      </c>
      <c r="T21" s="28">
        <f>0.5*$P$5^2*((P21-'Bootstrap'!$B$4)/365)*((Q21-'Bootstrap'!$B$4)/365)/10000</f>
        <v/>
      </c>
      <c r="U21" s="34">
        <f>(S21-T21/100)/100</f>
        <v/>
      </c>
      <c r="V21" s="36">
        <f>W20</f>
        <v/>
      </c>
      <c r="W21" s="36">
        <f>V21/(1+U21*R21)</f>
        <v/>
      </c>
      <c r="Y21" s="18">
        <f>MAX(Q20,$B$22)</f>
        <v/>
      </c>
      <c r="Z21" s="36">
        <f>W20</f>
        <v/>
      </c>
    </row>
    <row r="22">
      <c r="A22" s="17">
        <f>'Bootstrap'!A22</f>
        <v/>
      </c>
      <c r="B22" s="18">
        <f>'Bootstrap'!B22</f>
        <v/>
      </c>
      <c r="C22" s="28">
        <f>'Bootstrap'!C22</f>
        <v/>
      </c>
      <c r="D22" s="17">
        <f>'Bootstrap'!D22</f>
        <v/>
      </c>
      <c r="E22" s="17">
        <f>'Bootstrap'!E22</f>
        <v/>
      </c>
      <c r="F22" s="17">
        <f>'Bootstrap'!F22</f>
        <v/>
      </c>
      <c r="G22" s="17">
        <f>SUM($I$8:I21)</f>
        <v/>
      </c>
      <c r="H22" s="29">
        <f>('Bootstrap'!$D$4)/(1+(E22/100)*D22)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6" t="inlineStr">
        <is>
          <t>short OIS</t>
        </is>
      </c>
      <c r="O22" s="6">
        <f>'SOFR_Futures'!A21</f>
        <v/>
      </c>
      <c r="P22" s="18">
        <f>'SOFR_Futures'!H21</f>
        <v/>
      </c>
      <c r="Q22" s="18">
        <f>EDATE(P22,3)</f>
        <v/>
      </c>
      <c r="R22" s="17">
        <f>IF(OR(MONTH(P22)=3,MONTH(P22)=6,MONTH(P22)=9,MONTH(P22)=12),MAX(0,(Q22-MAX(P22,$B$22))/360),0)</f>
        <v/>
      </c>
      <c r="S22" s="17">
        <f>'SOFR_Futures'!F21</f>
        <v/>
      </c>
      <c r="T22" s="28">
        <f>0.5*$P$5^2*((P22-'Bootstrap'!$B$4)/365)*((Q22-'Bootstrap'!$B$4)/365)/10000</f>
        <v/>
      </c>
      <c r="U22" s="34">
        <f>(S22-T22/100)/100</f>
        <v/>
      </c>
      <c r="V22" s="36">
        <f>W21</f>
        <v/>
      </c>
      <c r="W22" s="36">
        <f>V22/(1+U22*R22)</f>
        <v/>
      </c>
      <c r="Y22" s="18">
        <f>MAX(Q21,$B$22)</f>
        <v/>
      </c>
      <c r="Z22" s="36">
        <f>W21</f>
        <v/>
      </c>
    </row>
    <row r="23">
      <c r="A23" s="17">
        <f>'Bootstrap'!A23</f>
        <v/>
      </c>
      <c r="B23" s="18">
        <f>'Bootstrap'!B23</f>
        <v/>
      </c>
      <c r="C23" s="28">
        <f>'Bootstrap'!C23</f>
        <v/>
      </c>
      <c r="D23" s="17">
        <f>'Bootstrap'!D23</f>
        <v/>
      </c>
      <c r="E23" s="17">
        <f>'Bootstrap'!E23</f>
        <v/>
      </c>
      <c r="F23" s="17">
        <f>'Bootstrap'!F23</f>
        <v/>
      </c>
      <c r="G23" s="17">
        <f>SUM($I$8:I22)</f>
        <v/>
      </c>
      <c r="H23" s="29">
        <f>IFERROR(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,('Bootstrap'!$D$4-(E23/100)*G23)/(1+(E23/100)*F23)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6" t="inlineStr">
        <is>
          <t>SR3 futures</t>
        </is>
      </c>
      <c r="O23" s="6">
        <f>'SOFR_Futures'!A22</f>
        <v/>
      </c>
      <c r="P23" s="18">
        <f>'SOFR_Futures'!H22</f>
        <v/>
      </c>
      <c r="Q23" s="18">
        <f>EDATE(P23,3)</f>
        <v/>
      </c>
      <c r="R23" s="17">
        <f>IF(OR(MONTH(P23)=3,MONTH(P23)=6,MONTH(P23)=9,MONTH(P23)=12),MAX(0,(Q23-MAX(P23,$B$22))/360),0)</f>
        <v/>
      </c>
      <c r="S23" s="17">
        <f>'SOFR_Futures'!F22</f>
        <v/>
      </c>
      <c r="T23" s="28">
        <f>0.5*$P$5^2*((P23-'Bootstrap'!$B$4)/365)*((Q23-'Bootstrap'!$B$4)/365)/10000</f>
        <v/>
      </c>
      <c r="U23" s="34">
        <f>(S23-T23/100)/100</f>
        <v/>
      </c>
      <c r="V23" s="36">
        <f>W22</f>
        <v/>
      </c>
      <c r="W23" s="36">
        <f>V23/(1+U23*R23)</f>
        <v/>
      </c>
      <c r="Y23" s="18">
        <f>MAX(Q22,$B$22)</f>
        <v/>
      </c>
      <c r="Z23" s="36">
        <f>W22</f>
        <v/>
      </c>
    </row>
    <row r="24">
      <c r="A24" s="17">
        <f>'Bootstrap'!A24</f>
        <v/>
      </c>
      <c r="B24" s="18">
        <f>'Bootstrap'!B24</f>
        <v/>
      </c>
      <c r="C24" s="28">
        <f>'Bootstrap'!C24</f>
        <v/>
      </c>
      <c r="D24" s="17">
        <f>'Bootstrap'!D24</f>
        <v/>
      </c>
      <c r="E24" s="17">
        <f>'Bootstrap'!E24</f>
        <v/>
      </c>
      <c r="F24" s="17">
        <f>'Bootstrap'!F24</f>
        <v/>
      </c>
      <c r="G24" s="17">
        <f>SUM($I$8:I23)</f>
        <v/>
      </c>
      <c r="H24" s="29">
        <f>IFERROR(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,('Bootstrap'!$D$4-(E24/100)*G24)/(1+(E24/100)*F24)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6" t="inlineStr">
        <is>
          <t>SR3 futures</t>
        </is>
      </c>
      <c r="O24" s="6">
        <f>'SOFR_Futures'!A23</f>
        <v/>
      </c>
      <c r="P24" s="18">
        <f>'SOFR_Futures'!H23</f>
        <v/>
      </c>
      <c r="Q24" s="18">
        <f>EDATE(P24,3)</f>
        <v/>
      </c>
      <c r="R24" s="17">
        <f>IF(OR(MONTH(P24)=3,MONTH(P24)=6,MONTH(P24)=9,MONTH(P24)=12),MAX(0,(Q24-MAX(P24,$B$22))/360),0)</f>
        <v/>
      </c>
      <c r="S24" s="17">
        <f>'SOFR_Futures'!F23</f>
        <v/>
      </c>
      <c r="T24" s="28">
        <f>0.5*$P$5^2*((P24-'Bootstrap'!$B$4)/365)*((Q24-'Bootstrap'!$B$4)/365)/10000</f>
        <v/>
      </c>
      <c r="U24" s="34">
        <f>(S24-T24/100)/100</f>
        <v/>
      </c>
      <c r="V24" s="36">
        <f>W23</f>
        <v/>
      </c>
      <c r="W24" s="36">
        <f>V24/(1+U24*R24)</f>
        <v/>
      </c>
      <c r="Y24" s="18">
        <f>MAX(Q23,$B$22)</f>
        <v/>
      </c>
      <c r="Z24" s="36">
        <f>W23</f>
        <v/>
      </c>
    </row>
    <row r="25">
      <c r="A25" s="17">
        <f>'Bootstrap'!A25</f>
        <v/>
      </c>
      <c r="B25" s="18">
        <f>'Bootstrap'!B25</f>
        <v/>
      </c>
      <c r="C25" s="28">
        <f>'Bootstrap'!C25</f>
        <v/>
      </c>
      <c r="D25" s="17">
        <f>'Bootstrap'!D25</f>
        <v/>
      </c>
      <c r="E25" s="17">
        <f>'Bootstrap'!E25</f>
        <v/>
      </c>
      <c r="F25" s="17">
        <f>'Bootstrap'!F25</f>
        <v/>
      </c>
      <c r="G25" s="17">
        <f>SUM($I$8:I24)</f>
        <v/>
      </c>
      <c r="H25" s="29">
        <f>IFERROR(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,('Bootstrap'!$D$4-(E25/100)*G25)/(1+(E25/100)*F25)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6" t="inlineStr">
        <is>
          <t>SR3 futures</t>
        </is>
      </c>
      <c r="O25" s="6">
        <f>'SOFR_Futures'!A24</f>
        <v/>
      </c>
      <c r="P25" s="18">
        <f>'SOFR_Futures'!H24</f>
        <v/>
      </c>
      <c r="Q25" s="18">
        <f>EDATE(P25,3)</f>
        <v/>
      </c>
      <c r="R25" s="17">
        <f>IF(OR(MONTH(P25)=3,MONTH(P25)=6,MONTH(P25)=9,MONTH(P25)=12),MAX(0,(Q25-MAX(P25,$B$22))/360),0)</f>
        <v/>
      </c>
      <c r="S25" s="17">
        <f>'SOFR_Futures'!F24</f>
        <v/>
      </c>
      <c r="T25" s="28">
        <f>0.5*$P$5^2*((P25-'Bootstrap'!$B$4)/365)*((Q25-'Bootstrap'!$B$4)/365)/10000</f>
        <v/>
      </c>
      <c r="U25" s="34">
        <f>(S25-T25/100)/100</f>
        <v/>
      </c>
      <c r="V25" s="36">
        <f>W24</f>
        <v/>
      </c>
      <c r="W25" s="36">
        <f>V25/(1+U25*R25)</f>
        <v/>
      </c>
      <c r="Y25" s="18">
        <f>MAX(Q24,$B$22)</f>
        <v/>
      </c>
      <c r="Z25" s="36">
        <f>W24</f>
        <v/>
      </c>
    </row>
    <row r="26">
      <c r="A26" s="17">
        <f>'Bootstrap'!A26</f>
        <v/>
      </c>
      <c r="B26" s="18">
        <f>'Bootstrap'!B26</f>
        <v/>
      </c>
      <c r="C26" s="28">
        <f>'Bootstrap'!C26</f>
        <v/>
      </c>
      <c r="D26" s="17">
        <f>'Bootstrap'!D26</f>
        <v/>
      </c>
      <c r="E26" s="17">
        <f>'Bootstrap'!E26</f>
        <v/>
      </c>
      <c r="F26" s="17">
        <f>'Bootstrap'!F26</f>
        <v/>
      </c>
      <c r="G26" s="17">
        <f>SUM($I$8:I25)</f>
        <v/>
      </c>
      <c r="H26" s="29">
        <f>IFERROR(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,('Bootstrap'!$D$4-(E26/100)*G26)/(1+(E26/100)*F26)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6" t="inlineStr">
        <is>
          <t>SR3 futures</t>
        </is>
      </c>
      <c r="O26" s="6">
        <f>'SOFR_Futures'!A25</f>
        <v/>
      </c>
      <c r="P26" s="18">
        <f>'SOFR_Futures'!H25</f>
        <v/>
      </c>
      <c r="Q26" s="18">
        <f>EDATE(P26,3)</f>
        <v/>
      </c>
      <c r="R26" s="17">
        <f>IF(OR(MONTH(P26)=3,MONTH(P26)=6,MONTH(P26)=9,MONTH(P26)=12),MAX(0,(Q26-MAX(P26,$B$22))/360),0)</f>
        <v/>
      </c>
      <c r="S26" s="17">
        <f>'SOFR_Futures'!F25</f>
        <v/>
      </c>
      <c r="T26" s="28">
        <f>0.5*$P$5^2*((P26-'Bootstrap'!$B$4)/365)*((Q26-'Bootstrap'!$B$4)/365)/10000</f>
        <v/>
      </c>
      <c r="U26" s="34">
        <f>(S26-T26/100)/100</f>
        <v/>
      </c>
      <c r="V26" s="36">
        <f>W25</f>
        <v/>
      </c>
      <c r="W26" s="36">
        <f>V26/(1+U26*R26)</f>
        <v/>
      </c>
      <c r="Y26" s="18">
        <f>MAX(Q25,$B$22)</f>
        <v/>
      </c>
      <c r="Z26" s="36">
        <f>W25</f>
        <v/>
      </c>
    </row>
    <row r="27">
      <c r="A27" s="17">
        <f>'Bootstrap'!A27</f>
        <v/>
      </c>
      <c r="B27" s="18">
        <f>'Bootstrap'!B27</f>
        <v/>
      </c>
      <c r="C27" s="28">
        <f>'Bootstrap'!C27</f>
        <v/>
      </c>
      <c r="D27" s="17">
        <f>'Bootstrap'!D27</f>
        <v/>
      </c>
      <c r="E27" s="17">
        <f>'Bootstrap'!E27</f>
        <v/>
      </c>
      <c r="F27" s="17">
        <f>'Bootstrap'!F27</f>
        <v/>
      </c>
      <c r="G27" s="17">
        <f>SUM($I$8:I26)</f>
        <v/>
      </c>
      <c r="H27" s="29">
        <f>IFERROR(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,('Bootstrap'!$D$4-(E27/100)*G27)/(1+(E27/100)*F27)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6" t="inlineStr">
        <is>
          <t>SR3 futures</t>
        </is>
      </c>
      <c r="O27" s="6">
        <f>'SOFR_Futures'!A26</f>
        <v/>
      </c>
      <c r="P27" s="18">
        <f>'SOFR_Futures'!H26</f>
        <v/>
      </c>
      <c r="Q27" s="18">
        <f>EDATE(P27,3)</f>
        <v/>
      </c>
      <c r="R27" s="17">
        <f>IF(OR(MONTH(P27)=3,MONTH(P27)=6,MONTH(P27)=9,MONTH(P27)=12),MAX(0,(Q27-MAX(P27,$B$22))/360),0)</f>
        <v/>
      </c>
      <c r="S27" s="17">
        <f>'SOFR_Futures'!F26</f>
        <v/>
      </c>
      <c r="T27" s="28">
        <f>0.5*$P$5^2*((P27-'Bootstrap'!$B$4)/365)*((Q27-'Bootstrap'!$B$4)/365)/10000</f>
        <v/>
      </c>
      <c r="U27" s="34">
        <f>(S27-T27/100)/100</f>
        <v/>
      </c>
      <c r="V27" s="36">
        <f>W26</f>
        <v/>
      </c>
      <c r="W27" s="36">
        <f>V27/(1+U27*R27)</f>
        <v/>
      </c>
      <c r="Y27" s="18">
        <f>MAX(Q26,$B$22)</f>
        <v/>
      </c>
      <c r="Z27" s="36">
        <f>W26</f>
        <v/>
      </c>
    </row>
    <row r="28">
      <c r="A28" s="17">
        <f>'Bootstrap'!A28</f>
        <v/>
      </c>
      <c r="B28" s="18">
        <f>'Bootstrap'!B28</f>
        <v/>
      </c>
      <c r="C28" s="28">
        <f>'Bootstrap'!C28</f>
        <v/>
      </c>
      <c r="D28" s="17">
        <f>'Bootstrap'!D28</f>
        <v/>
      </c>
      <c r="E28" s="17">
        <f>'Bootstrap'!E28</f>
        <v/>
      </c>
      <c r="F28" s="17">
        <f>'Bootstrap'!F28</f>
        <v/>
      </c>
      <c r="G28" s="17">
        <f>SUM($I$8:I27)</f>
        <v/>
      </c>
      <c r="H28" s="29">
        <f>('Bootstrap'!$D$4-(E28/100)*G28)/(1+(E28/100)*F28)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6" t="inlineStr">
        <is>
          <t>OIS swap</t>
        </is>
      </c>
      <c r="Y28" s="18">
        <f>MAX(Q27,$B$22)</f>
        <v/>
      </c>
      <c r="Z28" s="36">
        <f>W27</f>
        <v/>
      </c>
    </row>
    <row r="29">
      <c r="A29" s="17">
        <f>'Bootstrap'!A29</f>
        <v/>
      </c>
      <c r="B29" s="18">
        <f>'Bootstrap'!B29</f>
        <v/>
      </c>
      <c r="C29" s="28">
        <f>'Bootstrap'!C29</f>
        <v/>
      </c>
      <c r="D29" s="17">
        <f>'Bootstrap'!D29</f>
        <v/>
      </c>
      <c r="E29" s="17">
        <f>'Bootstrap'!E29</f>
        <v/>
      </c>
      <c r="F29" s="17">
        <f>'Bootstrap'!F29</f>
        <v/>
      </c>
      <c r="G29" s="17">
        <f>SUM($I$8:I28)</f>
        <v/>
      </c>
      <c r="H29" s="29">
        <f>('Bootstrap'!$D$4-(E29/100)*G29)/(1+(E29/100)*F29)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6" t="inlineStr">
        <is>
          <t>OIS swap</t>
        </is>
      </c>
    </row>
    <row r="30">
      <c r="A30" s="17">
        <f>'Bootstrap'!A30</f>
        <v/>
      </c>
      <c r="B30" s="18">
        <f>'Bootstrap'!B30</f>
        <v/>
      </c>
      <c r="C30" s="28">
        <f>'Bootstrap'!C30</f>
        <v/>
      </c>
      <c r="D30" s="17">
        <f>'Bootstrap'!D30</f>
        <v/>
      </c>
      <c r="E30" s="17">
        <f>'Bootstrap'!E30</f>
        <v/>
      </c>
      <c r="F30" s="17">
        <f>'Bootstrap'!F30</f>
        <v/>
      </c>
      <c r="G30" s="17">
        <f>SUM($I$8:I29)</f>
        <v/>
      </c>
      <c r="H30" s="29">
        <f>('Bootstrap'!$D$4-(E30/100)*G30)/(1+(E30/100)*F30)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6" t="inlineStr">
        <is>
          <t>OIS swap</t>
        </is>
      </c>
    </row>
    <row r="31">
      <c r="A31" s="17">
        <f>'Bootstrap'!A31</f>
        <v/>
      </c>
      <c r="B31" s="18">
        <f>'Bootstrap'!B31</f>
        <v/>
      </c>
      <c r="C31" s="28">
        <f>'Bootstrap'!C31</f>
        <v/>
      </c>
      <c r="D31" s="17">
        <f>'Bootstrap'!D31</f>
        <v/>
      </c>
      <c r="E31" s="17">
        <f>'Bootstrap'!E31</f>
        <v/>
      </c>
      <c r="F31" s="17">
        <f>'Bootstrap'!F31</f>
        <v/>
      </c>
      <c r="G31" s="17">
        <f>SUM($I$8:I30)</f>
        <v/>
      </c>
      <c r="H31" s="29">
        <f>('Bootstrap'!$D$4-(E31/100)*G31)/(1+(E31/100)*F31)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6" t="inlineStr">
        <is>
          <t>OIS swap</t>
        </is>
      </c>
    </row>
    <row r="32">
      <c r="A32" s="17">
        <f>'Bootstrap'!A32</f>
        <v/>
      </c>
      <c r="B32" s="18">
        <f>'Bootstrap'!B32</f>
        <v/>
      </c>
      <c r="C32" s="28">
        <f>'Bootstrap'!C32</f>
        <v/>
      </c>
      <c r="D32" s="17">
        <f>'Bootstrap'!D32</f>
        <v/>
      </c>
      <c r="E32" s="17">
        <f>'Bootstrap'!E32</f>
        <v/>
      </c>
      <c r="F32" s="17">
        <f>'Bootstrap'!F32</f>
        <v/>
      </c>
      <c r="G32" s="17">
        <f>SUM($I$8:I31)</f>
        <v/>
      </c>
      <c r="H32" s="29">
        <f>('Bootstrap'!$D$4-(E32/100)*G32)/(1+(E32/100)*F32)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6" t="inlineStr">
        <is>
          <t>OIS swap</t>
        </is>
      </c>
    </row>
    <row r="33">
      <c r="A33" s="17">
        <f>'Bootstrap'!A33</f>
        <v/>
      </c>
      <c r="B33" s="18">
        <f>'Bootstrap'!B33</f>
        <v/>
      </c>
      <c r="C33" s="28">
        <f>'Bootstrap'!C33</f>
        <v/>
      </c>
      <c r="D33" s="17">
        <f>'Bootstrap'!D33</f>
        <v/>
      </c>
      <c r="E33" s="17">
        <f>'Bootstrap'!E33</f>
        <v/>
      </c>
      <c r="F33" s="17">
        <f>'Bootstrap'!F33</f>
        <v/>
      </c>
      <c r="G33" s="17">
        <f>SUM($I$8:I32)</f>
        <v/>
      </c>
      <c r="H33" s="29">
        <f>('Bootstrap'!$D$4-(E33/100)*G33)/(1+(E33/100)*F33)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6" t="inlineStr">
        <is>
          <t>OIS swap</t>
        </is>
      </c>
    </row>
    <row r="34">
      <c r="A34" s="17">
        <f>'Bootstrap'!A34</f>
        <v/>
      </c>
      <c r="B34" s="18">
        <f>'Bootstrap'!B34</f>
        <v/>
      </c>
      <c r="C34" s="28">
        <f>'Bootstrap'!C34</f>
        <v/>
      </c>
      <c r="D34" s="17">
        <f>'Bootstrap'!D34</f>
        <v/>
      </c>
      <c r="E34" s="17">
        <f>'Bootstrap'!E34</f>
        <v/>
      </c>
      <c r="F34" s="17">
        <f>'Bootstrap'!F34</f>
        <v/>
      </c>
      <c r="G34" s="17">
        <f>SUM($I$8:I33)</f>
        <v/>
      </c>
      <c r="H34" s="29">
        <f>('Bootstrap'!$D$4-(E34/100)*G34)/(1+(E34/100)*F34)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6" t="inlineStr">
        <is>
          <t>OIS swap</t>
        </is>
      </c>
    </row>
    <row r="35">
      <c r="A35" s="17">
        <f>'Bootstrap'!A35</f>
        <v/>
      </c>
      <c r="B35" s="18">
        <f>'Bootstrap'!B35</f>
        <v/>
      </c>
      <c r="C35" s="28">
        <f>'Bootstrap'!C35</f>
        <v/>
      </c>
      <c r="D35" s="17">
        <f>'Bootstrap'!D35</f>
        <v/>
      </c>
      <c r="E35" s="17">
        <f>'Bootstrap'!E35</f>
        <v/>
      </c>
      <c r="F35" s="17">
        <f>'Bootstrap'!F35</f>
        <v/>
      </c>
      <c r="G35" s="17">
        <f>SUM($I$8:I34)</f>
        <v/>
      </c>
      <c r="H35" s="29">
        <f>('Bootstrap'!$D$4-(E35/100)*G35)/(1+(E35/100)*F35)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6" t="inlineStr">
        <is>
          <t>OIS swap</t>
        </is>
      </c>
    </row>
    <row r="36">
      <c r="A36" s="17">
        <f>'Bootstrap'!A36</f>
        <v/>
      </c>
      <c r="B36" s="18">
        <f>'Bootstrap'!B36</f>
        <v/>
      </c>
      <c r="C36" s="28">
        <f>'Bootstrap'!C36</f>
        <v/>
      </c>
      <c r="D36" s="17">
        <f>'Bootstrap'!D36</f>
        <v/>
      </c>
      <c r="E36" s="17">
        <f>'Bootstrap'!E36</f>
        <v/>
      </c>
      <c r="F36" s="17">
        <f>'Bootstrap'!F36</f>
        <v/>
      </c>
      <c r="G36" s="17">
        <f>SUM($I$8:I35)</f>
        <v/>
      </c>
      <c r="H36" s="29">
        <f>('Bootstrap'!$D$4-(E36/100)*G36)/(1+(E36/100)*F36)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6" t="inlineStr">
        <is>
          <t>OIS swap</t>
        </is>
      </c>
    </row>
    <row r="37">
      <c r="A37" s="17">
        <f>'Bootstrap'!A37</f>
        <v/>
      </c>
      <c r="B37" s="18">
        <f>'Bootstrap'!B37</f>
        <v/>
      </c>
      <c r="C37" s="28">
        <f>'Bootstrap'!C37</f>
        <v/>
      </c>
      <c r="D37" s="17">
        <f>'Bootstrap'!D37</f>
        <v/>
      </c>
      <c r="E37" s="17">
        <f>'Bootstrap'!E37</f>
        <v/>
      </c>
      <c r="F37" s="17">
        <f>'Bootstrap'!F37</f>
        <v/>
      </c>
      <c r="G37" s="17">
        <f>SUM($I$8:I36)</f>
        <v/>
      </c>
      <c r="H37" s="29">
        <f>('Bootstrap'!$D$4-(E37/100)*G37)/(1+(E37/100)*F37)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6" t="inlineStr">
        <is>
          <t>OIS swap</t>
        </is>
      </c>
    </row>
    <row r="38">
      <c r="A38" s="17">
        <f>'Bootstrap'!A38</f>
        <v/>
      </c>
      <c r="B38" s="18">
        <f>'Bootstrap'!B38</f>
        <v/>
      </c>
      <c r="C38" s="28">
        <f>'Bootstrap'!C38</f>
        <v/>
      </c>
      <c r="D38" s="17">
        <f>'Bootstrap'!D38</f>
        <v/>
      </c>
      <c r="E38" s="17">
        <f>'Bootstrap'!E38</f>
        <v/>
      </c>
      <c r="F38" s="17">
        <f>'Bootstrap'!F38</f>
        <v/>
      </c>
      <c r="G38" s="17">
        <f>SUM($I$8:I37)</f>
        <v/>
      </c>
      <c r="H38" s="29">
        <f>('Bootstrap'!$D$4-(E38/100)*G38)/(1+(E38/100)*F38)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6" t="inlineStr">
        <is>
          <t>OIS swap</t>
        </is>
      </c>
    </row>
    <row r="39">
      <c r="A39" s="17">
        <f>'Bootstrap'!A39</f>
        <v/>
      </c>
      <c r="B39" s="18">
        <f>'Bootstrap'!B39</f>
        <v/>
      </c>
      <c r="C39" s="28">
        <f>'Bootstrap'!C39</f>
        <v/>
      </c>
      <c r="D39" s="17">
        <f>'Bootstrap'!D39</f>
        <v/>
      </c>
      <c r="E39" s="17">
        <f>'Bootstrap'!E39</f>
        <v/>
      </c>
      <c r="F39" s="17">
        <f>'Bootstrap'!F39</f>
        <v/>
      </c>
      <c r="G39" s="17">
        <f>SUM($I$8:I38)</f>
        <v/>
      </c>
      <c r="H39" s="29">
        <f>('Bootstrap'!$D$4-(E39/100)*G39)/(1+(E39/100)*F39)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6" t="inlineStr">
        <is>
          <t>OIS swap</t>
        </is>
      </c>
    </row>
  </sheetData>
  <mergeCells count="3">
    <mergeCell ref="O6:W6"/>
    <mergeCell ref="Y6:Z6"/>
    <mergeCell ref="A4:M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18">
        <f>Bootstrap!$B$4</f>
        <v/>
      </c>
      <c r="L6" s="3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8">
        <f>EDATE(B8,12*B9)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NDEX($L$6:$L$71,MATCH($B$8,$K$6:$K$71,1))*(INDEX($L$6:$L$71,MATCH($B$8,$K$6:$K$71,1)+1)/INDEX($L$6:$L$71,MATCH($B$8,$K$6:$K$71,1)))^(($B$8-INDEX($K$6:$K$71,MATCH($B$8,$K$6:$K$71,1)))/(INDEX($K$6:$K$71,MATCH($B$8,$K$6:$K$71,1)+1)-INDEX($K$6:$K$71,MATCH($B$8,$K$6:$K$71,1)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8">
        <f>IF(A36&lt;=$B$9,EDATE($B$8,12*A36),"")</f>
        <v/>
      </c>
      <c r="C36" s="18">
        <f>IF(A36&lt;=$B$9,$B$8,"")</f>
        <v/>
      </c>
      <c r="D36" s="17">
        <f>IF(A36&lt;=$B$9,(B36-C36)/360,"")</f>
        <v/>
      </c>
      <c r="E36" s="36">
        <f>IF(A36&lt;=$B$9,IFERROR(INDEX($L$6:$L$71,MATCH(B36,$K$6:$K$71,1))*(INDEX($L$6:$L$71,MATCH(B36,$K$6:$K$71,1)+1)/INDEX($L$6:$L$71,MATCH(B36,$K$6:$K$71,1)))^((B36-INDEX($K$6:$K$71,MATCH(B36,$K$6:$K$71,1)))/(INDEX($K$6:$K$71,MATCH(B36,$K$6:$K$71,1)+1)-INDEX($K$6:$K$71,MATCH(B36,$K$6:$K$71,1)))),INDEX($L$6:$L$71,MATCH(B36,$K$6:$K$71,1))),"")</f>
        <v/>
      </c>
      <c r="F36" s="44">
        <f>IF(A36&lt;=$B$9,$B$6*$B$11/100*D36,"")</f>
        <v/>
      </c>
      <c r="G36" s="44">
        <f>IF(A36&lt;=$B$9,F36*E36,"")</f>
        <v/>
      </c>
      <c r="H36" s="34">
        <f>IF(A36&lt;=$B$9,D36*E36,"")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8">
        <f>IF(A37&lt;=$B$9,EDATE($B$8,12*A37),"")</f>
        <v/>
      </c>
      <c r="C37" s="18">
        <f>IF(A37&lt;=$B$9,B36,"")</f>
        <v/>
      </c>
      <c r="D37" s="17">
        <f>IF(A37&lt;=$B$9,(B37-C37)/360,"")</f>
        <v/>
      </c>
      <c r="E37" s="36">
        <f>IF(A37&lt;=$B$9,IFERROR(INDEX($L$6:$L$71,MATCH(B37,$K$6:$K$71,1))*(INDEX($L$6:$L$71,MATCH(B37,$K$6:$K$71,1)+1)/INDEX($L$6:$L$71,MATCH(B37,$K$6:$K$71,1)))^((B37-INDEX($K$6:$K$71,MATCH(B37,$K$6:$K$71,1)))/(INDEX($K$6:$K$71,MATCH(B37,$K$6:$K$71,1)+1)-INDEX($K$6:$K$71,MATCH(B37,$K$6:$K$71,1)))),INDEX($L$6:$L$71,MATCH(B37,$K$6:$K$71,1))),"")</f>
        <v/>
      </c>
      <c r="F37" s="44">
        <f>IF(A37&lt;=$B$9,$B$6*$B$11/100*D37,"")</f>
        <v/>
      </c>
      <c r="G37" s="44">
        <f>IF(A37&lt;=$B$9,F37*E37,"")</f>
        <v/>
      </c>
      <c r="H37" s="34">
        <f>IF(A37&lt;=$B$9,D37*E37,"")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8">
        <f>IF(A38&lt;=$B$9,EDATE($B$8,12*A38),"")</f>
        <v/>
      </c>
      <c r="C38" s="18">
        <f>IF(A38&lt;=$B$9,B37,"")</f>
        <v/>
      </c>
      <c r="D38" s="17">
        <f>IF(A38&lt;=$B$9,(B38-C38)/360,"")</f>
        <v/>
      </c>
      <c r="E38" s="36">
        <f>IF(A38&lt;=$B$9,IFERROR(INDEX($L$6:$L$71,MATCH(B38,$K$6:$K$71,1))*(INDEX($L$6:$L$71,MATCH(B38,$K$6:$K$71,1)+1)/INDEX($L$6:$L$71,MATCH(B38,$K$6:$K$71,1)))^((B38-INDEX($K$6:$K$71,MATCH(B38,$K$6:$K$71,1)))/(INDEX($K$6:$K$71,MATCH(B38,$K$6:$K$71,1)+1)-INDEX($K$6:$K$71,MATCH(B38,$K$6:$K$71,1)))),INDEX($L$6:$L$71,MATCH(B38,$K$6:$K$71,1))),"")</f>
        <v/>
      </c>
      <c r="F38" s="44">
        <f>IF(A38&lt;=$B$9,$B$6*$B$11/100*D38,"")</f>
        <v/>
      </c>
      <c r="G38" s="44">
        <f>IF(A38&lt;=$B$9,F38*E38,"")</f>
        <v/>
      </c>
      <c r="H38" s="34">
        <f>IF(A38&lt;=$B$9,D38*E38,"")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8">
        <f>IF(A39&lt;=$B$9,EDATE($B$8,12*A39),"")</f>
        <v/>
      </c>
      <c r="C39" s="18">
        <f>IF(A39&lt;=$B$9,B38,"")</f>
        <v/>
      </c>
      <c r="D39" s="17">
        <f>IF(A39&lt;=$B$9,(B39-C39)/360,"")</f>
        <v/>
      </c>
      <c r="E39" s="36">
        <f>IF(A39&lt;=$B$9,IFERROR(INDEX($L$6:$L$71,MATCH(B39,$K$6:$K$71,1))*(INDEX($L$6:$L$71,MATCH(B39,$K$6:$K$71,1)+1)/INDEX($L$6:$L$71,MATCH(B39,$K$6:$K$71,1)))^((B39-INDEX($K$6:$K$71,MATCH(B39,$K$6:$K$71,1)))/(INDEX($K$6:$K$71,MATCH(B39,$K$6:$K$71,1)+1)-INDEX($K$6:$K$71,MATCH(B39,$K$6:$K$71,1)))),INDEX($L$6:$L$71,MATCH(B39,$K$6:$K$71,1))),"")</f>
        <v/>
      </c>
      <c r="F39" s="44">
        <f>IF(A39&lt;=$B$9,$B$6*$B$11/100*D39,"")</f>
        <v/>
      </c>
      <c r="G39" s="44">
        <f>IF(A39&lt;=$B$9,F39*E39,"")</f>
        <v/>
      </c>
      <c r="H39" s="34">
        <f>IF(A39&lt;=$B$9,D39*E39,"")</f>
        <v/>
      </c>
      <c r="K39" s="46" t="inlineStr">
        <is>
          <t>Log-linear DF interpolation on this grid (dates $K$6:$K$71, DFs $L$6:$L$71).</t>
        </is>
      </c>
    </row>
    <row r="40">
      <c r="A40" s="43">
        <f>ROW()-35</f>
        <v/>
      </c>
      <c r="B40" s="18">
        <f>IF(A40&lt;=$B$9,EDATE($B$8,12*A40),"")</f>
        <v/>
      </c>
      <c r="C40" s="18">
        <f>IF(A40&lt;=$B$9,B39,"")</f>
        <v/>
      </c>
      <c r="D40" s="17">
        <f>IF(A40&lt;=$B$9,(B40-C40)/360,"")</f>
        <v/>
      </c>
      <c r="E40" s="36">
        <f>IF(A40&lt;=$B$9,IFERROR(INDEX($L$6:$L$71,MATCH(B40,$K$6:$K$71,1))*(INDEX($L$6:$L$71,MATCH(B40,$K$6:$K$71,1)+1)/INDEX($L$6:$L$71,MATCH(B40,$K$6:$K$71,1)))^((B40-INDEX($K$6:$K$71,MATCH(B40,$K$6:$K$71,1)))/(INDEX($K$6:$K$71,MATCH(B40,$K$6:$K$71,1)+1)-INDEX($K$6:$K$71,MATCH(B40,$K$6:$K$71,1)))),INDEX($L$6:$L$71,MATCH(B40,$K$6:$K$71,1))),"")</f>
        <v/>
      </c>
      <c r="F40" s="44">
        <f>IF(A40&lt;=$B$9,$B$6*$B$11/100*D40,"")</f>
        <v/>
      </c>
      <c r="G40" s="44">
        <f>IF(A40&lt;=$B$9,F40*E40,"")</f>
        <v/>
      </c>
      <c r="H40" s="34">
        <f>IF(A40&lt;=$B$9,D40*E40,"")</f>
        <v/>
      </c>
    </row>
    <row r="41">
      <c r="A41" s="43">
        <f>ROW()-35</f>
        <v/>
      </c>
      <c r="B41" s="18">
        <f>IF(A41&lt;=$B$9,EDATE($B$8,12*A41),"")</f>
        <v/>
      </c>
      <c r="C41" s="18">
        <f>IF(A41&lt;=$B$9,B40,"")</f>
        <v/>
      </c>
      <c r="D41" s="17">
        <f>IF(A41&lt;=$B$9,(B41-C41)/360,"")</f>
        <v/>
      </c>
      <c r="E41" s="36">
        <f>IF(A41&lt;=$B$9,IFERROR(INDEX($L$6:$L$71,MATCH(B41,$K$6:$K$71,1))*(INDEX($L$6:$L$71,MATCH(B41,$K$6:$K$71,1)+1)/INDEX($L$6:$L$71,MATCH(B41,$K$6:$K$71,1)))^((B41-INDEX($K$6:$K$71,MATCH(B41,$K$6:$K$71,1)))/(INDEX($K$6:$K$71,MATCH(B41,$K$6:$K$71,1)+1)-INDEX($K$6:$K$71,MATCH(B41,$K$6:$K$71,1)))),INDEX($L$6:$L$71,MATCH(B41,$K$6:$K$71,1))),"")</f>
        <v/>
      </c>
      <c r="F41" s="44">
        <f>IF(A41&lt;=$B$9,$B$6*$B$11/100*D41,"")</f>
        <v/>
      </c>
      <c r="G41" s="44">
        <f>IF(A41&lt;=$B$9,F41*E41,"")</f>
        <v/>
      </c>
      <c r="H41" s="34">
        <f>IF(A41&lt;=$B$9,D41*E41,"")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8">
        <f>IF(A42&lt;=$B$9,EDATE($B$8,12*A42),"")</f>
        <v/>
      </c>
      <c r="C42" s="18">
        <f>IF(A42&lt;=$B$9,B41,"")</f>
        <v/>
      </c>
      <c r="D42" s="17">
        <f>IF(A42&lt;=$B$9,(B42-C42)/360,"")</f>
        <v/>
      </c>
      <c r="E42" s="36">
        <f>IF(A42&lt;=$B$9,IFERROR(INDEX($L$6:$L$71,MATCH(B42,$K$6:$K$71,1))*(INDEX($L$6:$L$71,MATCH(B42,$K$6:$K$71,1)+1)/INDEX($L$6:$L$71,MATCH(B42,$K$6:$K$71,1)))^((B42-INDEX($K$6:$K$71,MATCH(B42,$K$6:$K$71,1)))/(INDEX($K$6:$K$71,MATCH(B42,$K$6:$K$71,1)+1)-INDEX($K$6:$K$71,MATCH(B42,$K$6:$K$71,1)))),INDEX($L$6:$L$71,MATCH(B42,$K$6:$K$71,1))),"")</f>
        <v/>
      </c>
      <c r="F42" s="44">
        <f>IF(A42&lt;=$B$9,$B$6*$B$11/100*D42,"")</f>
        <v/>
      </c>
      <c r="G42" s="44">
        <f>IF(A42&lt;=$B$9,F42*E42,"")</f>
        <v/>
      </c>
      <c r="H42" s="34">
        <f>IF(A42&lt;=$B$9,D42*E42,"")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8">
        <f>IF(A43&lt;=$B$9,EDATE($B$8,12*A43),"")</f>
        <v/>
      </c>
      <c r="C43" s="18">
        <f>IF(A43&lt;=$B$9,B42,"")</f>
        <v/>
      </c>
      <c r="D43" s="17">
        <f>IF(A43&lt;=$B$9,(B43-C43)/360,"")</f>
        <v/>
      </c>
      <c r="E43" s="36">
        <f>IF(A43&lt;=$B$9,IFERROR(INDEX($L$6:$L$71,MATCH(B43,$K$6:$K$71,1))*(INDEX($L$6:$L$71,MATCH(B43,$K$6:$K$71,1)+1)/INDEX($L$6:$L$71,MATCH(B43,$K$6:$K$71,1)))^((B43-INDEX($K$6:$K$71,MATCH(B43,$K$6:$K$71,1)))/(INDEX($K$6:$K$71,MATCH(B43,$K$6:$K$71,1)+1)-INDEX($K$6:$K$71,MATCH(B43,$K$6:$K$71,1)))),INDEX($L$6:$L$71,MATCH(B43,$K$6:$K$71,1))),"")</f>
        <v/>
      </c>
      <c r="F43" s="44">
        <f>IF(A43&lt;=$B$9,$B$6*$B$11/100*D43,"")</f>
        <v/>
      </c>
      <c r="G43" s="44">
        <f>IF(A43&lt;=$B$9,F43*E43,"")</f>
        <v/>
      </c>
      <c r="H43" s="34">
        <f>IF(A43&lt;=$B$9,D43*E43,"")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8">
        <f>IF(A44&lt;=$B$9,EDATE($B$8,12*A44),"")</f>
        <v/>
      </c>
      <c r="C44" s="18">
        <f>IF(A44&lt;=$B$9,B43,"")</f>
        <v/>
      </c>
      <c r="D44" s="17">
        <f>IF(A44&lt;=$B$9,(B44-C44)/360,"")</f>
        <v/>
      </c>
      <c r="E44" s="36">
        <f>IF(A44&lt;=$B$9,IFERROR(INDEX($L$6:$L$71,MATCH(B44,$K$6:$K$71,1))*(INDEX($L$6:$L$71,MATCH(B44,$K$6:$K$71,1)+1)/INDEX($L$6:$L$71,MATCH(B44,$K$6:$K$71,1)))^((B44-INDEX($K$6:$K$71,MATCH(B44,$K$6:$K$71,1)))/(INDEX($K$6:$K$71,MATCH(B44,$K$6:$K$71,1)+1)-INDEX($K$6:$K$71,MATCH(B44,$K$6:$K$71,1)))),INDEX($L$6:$L$71,MATCH(B44,$K$6:$K$71,1))),"")</f>
        <v/>
      </c>
      <c r="F44" s="44">
        <f>IF(A44&lt;=$B$9,$B$6*$B$11/100*D44,"")</f>
        <v/>
      </c>
      <c r="G44" s="44">
        <f>IF(A44&lt;=$B$9,F44*E44,"")</f>
        <v/>
      </c>
      <c r="H44" s="34">
        <f>IF(A44&lt;=$B$9,D44*E44,"")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8">
        <f>IF(A45&lt;=$B$9,EDATE($B$8,12*A45),"")</f>
        <v/>
      </c>
      <c r="C45" s="18">
        <f>IF(A45&lt;=$B$9,B44,"")</f>
        <v/>
      </c>
      <c r="D45" s="17">
        <f>IF(A45&lt;=$B$9,(B45-C45)/360,"")</f>
        <v/>
      </c>
      <c r="E45" s="36">
        <f>IF(A45&lt;=$B$9,IFERROR(INDEX($L$6:$L$71,MATCH(B45,$K$6:$K$71,1))*(INDEX($L$6:$L$71,MATCH(B45,$K$6:$K$71,1)+1)/INDEX($L$6:$L$71,MATCH(B45,$K$6:$K$71,1)))^((B45-INDEX($K$6:$K$71,MATCH(B45,$K$6:$K$71,1)))/(INDEX($K$6:$K$71,MATCH(B45,$K$6:$K$71,1)+1)-INDEX($K$6:$K$71,MATCH(B45,$K$6:$K$71,1)))),INDEX($L$6:$L$71,MATCH(B45,$K$6:$K$71,1))),"")</f>
        <v/>
      </c>
      <c r="F45" s="44">
        <f>IF(A45&lt;=$B$9,$B$6*$B$11/100*D45,"")</f>
        <v/>
      </c>
      <c r="G45" s="44">
        <f>IF(A45&lt;=$B$9,F45*E45,"")</f>
        <v/>
      </c>
      <c r="H45" s="34">
        <f>IF(A45&lt;=$B$9,D45*E45,"")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8">
        <f>IF(A46&lt;=$B$9,EDATE($B$8,12*A46),"")</f>
        <v/>
      </c>
      <c r="C46" s="18">
        <f>IF(A46&lt;=$B$9,B45,"")</f>
        <v/>
      </c>
      <c r="D46" s="17">
        <f>IF(A46&lt;=$B$9,(B46-C46)/360,"")</f>
        <v/>
      </c>
      <c r="E46" s="36">
        <f>IF(A46&lt;=$B$9,IFERROR(INDEX($L$6:$L$71,MATCH(B46,$K$6:$K$71,1))*(INDEX($L$6:$L$71,MATCH(B46,$K$6:$K$71,1)+1)/INDEX($L$6:$L$71,MATCH(B46,$K$6:$K$71,1)))^((B46-INDEX($K$6:$K$71,MATCH(B46,$K$6:$K$71,1)))/(INDEX($K$6:$K$71,MATCH(B46,$K$6:$K$71,1)+1)-INDEX($K$6:$K$71,MATCH(B46,$K$6:$K$71,1)))),INDEX($L$6:$L$71,MATCH(B46,$K$6:$K$71,1))),"")</f>
        <v/>
      </c>
      <c r="F46" s="44">
        <f>IF(A46&lt;=$B$9,$B$6*$B$11/100*D46,"")</f>
        <v/>
      </c>
      <c r="G46" s="44">
        <f>IF(A46&lt;=$B$9,F46*E46,"")</f>
        <v/>
      </c>
      <c r="H46" s="34">
        <f>IF(A46&lt;=$B$9,D46*E46,"")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8">
        <f>IF(A47&lt;=$B$9,EDATE($B$8,12*A47),"")</f>
        <v/>
      </c>
      <c r="C47" s="18">
        <f>IF(A47&lt;=$B$9,B46,"")</f>
        <v/>
      </c>
      <c r="D47" s="17">
        <f>IF(A47&lt;=$B$9,(B47-C47)/360,"")</f>
        <v/>
      </c>
      <c r="E47" s="36">
        <f>IF(A47&lt;=$B$9,IFERROR(INDEX($L$6:$L$71,MATCH(B47,$K$6:$K$71,1))*(INDEX($L$6:$L$71,MATCH(B47,$K$6:$K$71,1)+1)/INDEX($L$6:$L$71,MATCH(B47,$K$6:$K$71,1)))^((B47-INDEX($K$6:$K$71,MATCH(B47,$K$6:$K$71,1)))/(INDEX($K$6:$K$71,MATCH(B47,$K$6:$K$71,1)+1)-INDEX($K$6:$K$71,MATCH(B47,$K$6:$K$71,1)))),INDEX($L$6:$L$71,MATCH(B47,$K$6:$K$71,1))),"")</f>
        <v/>
      </c>
      <c r="F47" s="44">
        <f>IF(A47&lt;=$B$9,$B$6*$B$11/100*D47,"")</f>
        <v/>
      </c>
      <c r="G47" s="44">
        <f>IF(A47&lt;=$B$9,F47*E47,"")</f>
        <v/>
      </c>
      <c r="H47" s="34">
        <f>IF(A47&lt;=$B$9,D47*E47,"")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8">
        <f>IF(A48&lt;=$B$9,EDATE($B$8,12*A48),"")</f>
        <v/>
      </c>
      <c r="C48" s="18">
        <f>IF(A48&lt;=$B$9,B47,"")</f>
        <v/>
      </c>
      <c r="D48" s="17">
        <f>IF(A48&lt;=$B$9,(B48-C48)/360,"")</f>
        <v/>
      </c>
      <c r="E48" s="36">
        <f>IF(A48&lt;=$B$9,IFERROR(INDEX($L$6:$L$71,MATCH(B48,$K$6:$K$71,1))*(INDEX($L$6:$L$71,MATCH(B48,$K$6:$K$71,1)+1)/INDEX($L$6:$L$71,MATCH(B48,$K$6:$K$71,1)))^((B48-INDEX($K$6:$K$71,MATCH(B48,$K$6:$K$71,1)))/(INDEX($K$6:$K$71,MATCH(B48,$K$6:$K$71,1)+1)-INDEX($K$6:$K$71,MATCH(B48,$K$6:$K$71,1)))),INDEX($L$6:$L$71,MATCH(B48,$K$6:$K$71,1))),"")</f>
        <v/>
      </c>
      <c r="F48" s="44">
        <f>IF(A48&lt;=$B$9,$B$6*$B$11/100*D48,"")</f>
        <v/>
      </c>
      <c r="G48" s="44">
        <f>IF(A48&lt;=$B$9,F48*E48,"")</f>
        <v/>
      </c>
      <c r="H48" s="34">
        <f>IF(A48&lt;=$B$9,D48*E48,"")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8">
        <f>IF(A49&lt;=$B$9,EDATE($B$8,12*A49),"")</f>
        <v/>
      </c>
      <c r="C49" s="18">
        <f>IF(A49&lt;=$B$9,B48,"")</f>
        <v/>
      </c>
      <c r="D49" s="17">
        <f>IF(A49&lt;=$B$9,(B49-C49)/360,"")</f>
        <v/>
      </c>
      <c r="E49" s="36">
        <f>IF(A49&lt;=$B$9,IFERROR(INDEX($L$6:$L$71,MATCH(B49,$K$6:$K$71,1))*(INDEX($L$6:$L$71,MATCH(B49,$K$6:$K$71,1)+1)/INDEX($L$6:$L$71,MATCH(B49,$K$6:$K$71,1)))^((B49-INDEX($K$6:$K$71,MATCH(B49,$K$6:$K$71,1)))/(INDEX($K$6:$K$71,MATCH(B49,$K$6:$K$71,1)+1)-INDEX($K$6:$K$71,MATCH(B49,$K$6:$K$71,1)))),INDEX($L$6:$L$71,MATCH(B49,$K$6:$K$71,1))),"")</f>
        <v/>
      </c>
      <c r="F49" s="44">
        <f>IF(A49&lt;=$B$9,$B$6*$B$11/100*D49,"")</f>
        <v/>
      </c>
      <c r="G49" s="44">
        <f>IF(A49&lt;=$B$9,F49*E49,"")</f>
        <v/>
      </c>
      <c r="H49" s="34">
        <f>IF(A49&lt;=$B$9,D49*E49,"")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8">
        <f>IF(A50&lt;=$B$9,EDATE($B$8,12*A50),"")</f>
        <v/>
      </c>
      <c r="C50" s="18">
        <f>IF(A50&lt;=$B$9,B49,"")</f>
        <v/>
      </c>
      <c r="D50" s="17">
        <f>IF(A50&lt;=$B$9,(B50-C50)/360,"")</f>
        <v/>
      </c>
      <c r="E50" s="36">
        <f>IF(A50&lt;=$B$9,IFERROR(INDEX($L$6:$L$71,MATCH(B50,$K$6:$K$71,1))*(INDEX($L$6:$L$71,MATCH(B50,$K$6:$K$71,1)+1)/INDEX($L$6:$L$71,MATCH(B50,$K$6:$K$71,1)))^((B50-INDEX($K$6:$K$71,MATCH(B50,$K$6:$K$71,1)))/(INDEX($K$6:$K$71,MATCH(B50,$K$6:$K$71,1)+1)-INDEX($K$6:$K$71,MATCH(B50,$K$6:$K$71,1)))),INDEX($L$6:$L$71,MATCH(B50,$K$6:$K$71,1))),"")</f>
        <v/>
      </c>
      <c r="F50" s="44">
        <f>IF(A50&lt;=$B$9,$B$6*$B$11/100*D50,"")</f>
        <v/>
      </c>
      <c r="G50" s="44">
        <f>IF(A50&lt;=$B$9,F50*E50,"")</f>
        <v/>
      </c>
      <c r="H50" s="34">
        <f>IF(A50&lt;=$B$9,D50*E50,"")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8">
        <f>IF(A51&lt;=$B$9,EDATE($B$8,12*A51),"")</f>
        <v/>
      </c>
      <c r="C51" s="18">
        <f>IF(A51&lt;=$B$9,B50,"")</f>
        <v/>
      </c>
      <c r="D51" s="17">
        <f>IF(A51&lt;=$B$9,(B51-C51)/360,"")</f>
        <v/>
      </c>
      <c r="E51" s="36">
        <f>IF(A51&lt;=$B$9,IFERROR(INDEX($L$6:$L$71,MATCH(B51,$K$6:$K$71,1))*(INDEX($L$6:$L$71,MATCH(B51,$K$6:$K$71,1)+1)/INDEX($L$6:$L$71,MATCH(B51,$K$6:$K$71,1)))^((B51-INDEX($K$6:$K$71,MATCH(B51,$K$6:$K$71,1)))/(INDEX($K$6:$K$71,MATCH(B51,$K$6:$K$71,1)+1)-INDEX($K$6:$K$71,MATCH(B51,$K$6:$K$71,1)))),INDEX($L$6:$L$71,MATCH(B51,$K$6:$K$71,1))),"")</f>
        <v/>
      </c>
      <c r="F51" s="44">
        <f>IF(A51&lt;=$B$9,$B$6*$B$11/100*D51,"")</f>
        <v/>
      </c>
      <c r="G51" s="44">
        <f>IF(A51&lt;=$B$9,F51*E51,"")</f>
        <v/>
      </c>
      <c r="H51" s="34">
        <f>IF(A51&lt;=$B$9,D51*E51,"")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8">
        <f>IF(A52&lt;=$B$9,EDATE($B$8,12*A52),"")</f>
        <v/>
      </c>
      <c r="C52" s="18">
        <f>IF(A52&lt;=$B$9,B51,"")</f>
        <v/>
      </c>
      <c r="D52" s="17">
        <f>IF(A52&lt;=$B$9,(B52-C52)/360,"")</f>
        <v/>
      </c>
      <c r="E52" s="36">
        <f>IF(A52&lt;=$B$9,IFERROR(INDEX($L$6:$L$71,MATCH(B52,$K$6:$K$71,1))*(INDEX($L$6:$L$71,MATCH(B52,$K$6:$K$71,1)+1)/INDEX($L$6:$L$71,MATCH(B52,$K$6:$K$71,1)))^((B52-INDEX($K$6:$K$71,MATCH(B52,$K$6:$K$71,1)))/(INDEX($K$6:$K$71,MATCH(B52,$K$6:$K$71,1)+1)-INDEX($K$6:$K$71,MATCH(B52,$K$6:$K$71,1)))),INDEX($L$6:$L$71,MATCH(B52,$K$6:$K$71,1))),"")</f>
        <v/>
      </c>
      <c r="F52" s="44">
        <f>IF(A52&lt;=$B$9,$B$6*$B$11/100*D52,"")</f>
        <v/>
      </c>
      <c r="G52" s="44">
        <f>IF(A52&lt;=$B$9,F52*E52,"")</f>
        <v/>
      </c>
      <c r="H52" s="34">
        <f>IF(A52&lt;=$B$9,D52*E52,"")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8">
        <f>IF(A53&lt;=$B$9,EDATE($B$8,12*A53),"")</f>
        <v/>
      </c>
      <c r="C53" s="18">
        <f>IF(A53&lt;=$B$9,B52,"")</f>
        <v/>
      </c>
      <c r="D53" s="17">
        <f>IF(A53&lt;=$B$9,(B53-C53)/360,"")</f>
        <v/>
      </c>
      <c r="E53" s="36">
        <f>IF(A53&lt;=$B$9,IFERROR(INDEX($L$6:$L$71,MATCH(B53,$K$6:$K$71,1))*(INDEX($L$6:$L$71,MATCH(B53,$K$6:$K$71,1)+1)/INDEX($L$6:$L$71,MATCH(B53,$K$6:$K$71,1)))^((B53-INDEX($K$6:$K$71,MATCH(B53,$K$6:$K$71,1)))/(INDEX($K$6:$K$71,MATCH(B53,$K$6:$K$71,1)+1)-INDEX($K$6:$K$71,MATCH(B53,$K$6:$K$71,1)))),INDEX($L$6:$L$71,MATCH(B53,$K$6:$K$71,1))),"")</f>
        <v/>
      </c>
      <c r="F53" s="44">
        <f>IF(A53&lt;=$B$9,$B$6*$B$11/100*D53,"")</f>
        <v/>
      </c>
      <c r="G53" s="44">
        <f>IF(A53&lt;=$B$9,F53*E53,"")</f>
        <v/>
      </c>
      <c r="H53" s="34">
        <f>IF(A53&lt;=$B$9,D53*E53,"")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8">
        <f>IF(A54&lt;=$B$9,EDATE($B$8,12*A54),"")</f>
        <v/>
      </c>
      <c r="C54" s="18">
        <f>IF(A54&lt;=$B$9,B53,"")</f>
        <v/>
      </c>
      <c r="D54" s="17">
        <f>IF(A54&lt;=$B$9,(B54-C54)/360,"")</f>
        <v/>
      </c>
      <c r="E54" s="36">
        <f>IF(A54&lt;=$B$9,IFERROR(INDEX($L$6:$L$71,MATCH(B54,$K$6:$K$71,1))*(INDEX($L$6:$L$71,MATCH(B54,$K$6:$K$71,1)+1)/INDEX($L$6:$L$71,MATCH(B54,$K$6:$K$71,1)))^((B54-INDEX($K$6:$K$71,MATCH(B54,$K$6:$K$71,1)))/(INDEX($K$6:$K$71,MATCH(B54,$K$6:$K$71,1)+1)-INDEX($K$6:$K$71,MATCH(B54,$K$6:$K$71,1)))),INDEX($L$6:$L$71,MATCH(B54,$K$6:$K$71,1))),"")</f>
        <v/>
      </c>
      <c r="F54" s="44">
        <f>IF(A54&lt;=$B$9,$B$6*$B$11/100*D54,"")</f>
        <v/>
      </c>
      <c r="G54" s="44">
        <f>IF(A54&lt;=$B$9,F54*E54,"")</f>
        <v/>
      </c>
      <c r="H54" s="34">
        <f>IF(A54&lt;=$B$9,D54*E54,"")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8">
        <f>IF(A55&lt;=$B$9,EDATE($B$8,12*A55),"")</f>
        <v/>
      </c>
      <c r="C55" s="18">
        <f>IF(A55&lt;=$B$9,B54,"")</f>
        <v/>
      </c>
      <c r="D55" s="17">
        <f>IF(A55&lt;=$B$9,(B55-C55)/360,"")</f>
        <v/>
      </c>
      <c r="E55" s="36">
        <f>IF(A55&lt;=$B$9,IFERROR(INDEX($L$6:$L$71,MATCH(B55,$K$6:$K$71,1))*(INDEX($L$6:$L$71,MATCH(B55,$K$6:$K$71,1)+1)/INDEX($L$6:$L$71,MATCH(B55,$K$6:$K$71,1)))^((B55-INDEX($K$6:$K$71,MATCH(B55,$K$6:$K$71,1)))/(INDEX($K$6:$K$71,MATCH(B55,$K$6:$K$71,1)+1)-INDEX($K$6:$K$71,MATCH(B55,$K$6:$K$71,1)))),INDEX($L$6:$L$71,MATCH(B55,$K$6:$K$71,1))),"")</f>
        <v/>
      </c>
      <c r="F55" s="44">
        <f>IF(A55&lt;=$B$9,$B$6*$B$11/100*D55,"")</f>
        <v/>
      </c>
      <c r="G55" s="44">
        <f>IF(A55&lt;=$B$9,F55*E55,"")</f>
        <v/>
      </c>
      <c r="H55" s="34">
        <f>IF(A55&lt;=$B$9,D55*E55,"")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8">
        <f>IF(A56&lt;=$B$9,EDATE($B$8,12*A56),"")</f>
        <v/>
      </c>
      <c r="C56" s="18">
        <f>IF(A56&lt;=$B$9,B55,"")</f>
        <v/>
      </c>
      <c r="D56" s="17">
        <f>IF(A56&lt;=$B$9,(B56-C56)/360,"")</f>
        <v/>
      </c>
      <c r="E56" s="36">
        <f>IF(A56&lt;=$B$9,IFERROR(INDEX($L$6:$L$71,MATCH(B56,$K$6:$K$71,1))*(INDEX($L$6:$L$71,MATCH(B56,$K$6:$K$71,1)+1)/INDEX($L$6:$L$71,MATCH(B56,$K$6:$K$71,1)))^((B56-INDEX($K$6:$K$71,MATCH(B56,$K$6:$K$71,1)))/(INDEX($K$6:$K$71,MATCH(B56,$K$6:$K$71,1)+1)-INDEX($K$6:$K$71,MATCH(B56,$K$6:$K$71,1)))),INDEX($L$6:$L$71,MATCH(B56,$K$6:$K$71,1))),"")</f>
        <v/>
      </c>
      <c r="F56" s="44">
        <f>IF(A56&lt;=$B$9,$B$6*$B$11/100*D56,"")</f>
        <v/>
      </c>
      <c r="G56" s="44">
        <f>IF(A56&lt;=$B$9,F56*E56,"")</f>
        <v/>
      </c>
      <c r="H56" s="34">
        <f>IF(A56&lt;=$B$9,D56*E56,"")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8">
        <f>IF(A57&lt;=$B$9,EDATE($B$8,12*A57),"")</f>
        <v/>
      </c>
      <c r="C57" s="18">
        <f>IF(A57&lt;=$B$9,B56,"")</f>
        <v/>
      </c>
      <c r="D57" s="17">
        <f>IF(A57&lt;=$B$9,(B57-C57)/360,"")</f>
        <v/>
      </c>
      <c r="E57" s="36">
        <f>IF(A57&lt;=$B$9,IFERROR(INDEX($L$6:$L$71,MATCH(B57,$K$6:$K$71,1))*(INDEX($L$6:$L$71,MATCH(B57,$K$6:$K$71,1)+1)/INDEX($L$6:$L$71,MATCH(B57,$K$6:$K$71,1)))^((B57-INDEX($K$6:$K$71,MATCH(B57,$K$6:$K$71,1)))/(INDEX($K$6:$K$71,MATCH(B57,$K$6:$K$71,1)+1)-INDEX($K$6:$K$71,MATCH(B57,$K$6:$K$71,1)))),INDEX($L$6:$L$71,MATCH(B57,$K$6:$K$71,1))),"")</f>
        <v/>
      </c>
      <c r="F57" s="44">
        <f>IF(A57&lt;=$B$9,$B$6*$B$11/100*D57,"")</f>
        <v/>
      </c>
      <c r="G57" s="44">
        <f>IF(A57&lt;=$B$9,F57*E57,"")</f>
        <v/>
      </c>
      <c r="H57" s="34">
        <f>IF(A57&lt;=$B$9,D57*E57,"")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8">
        <f>IF(A58&lt;=$B$9,EDATE($B$8,12*A58),"")</f>
        <v/>
      </c>
      <c r="C58" s="18">
        <f>IF(A58&lt;=$B$9,B57,"")</f>
        <v/>
      </c>
      <c r="D58" s="17">
        <f>IF(A58&lt;=$B$9,(B58-C58)/360,"")</f>
        <v/>
      </c>
      <c r="E58" s="36">
        <f>IF(A58&lt;=$B$9,IFERROR(INDEX($L$6:$L$71,MATCH(B58,$K$6:$K$71,1))*(INDEX($L$6:$L$71,MATCH(B58,$K$6:$K$71,1)+1)/INDEX($L$6:$L$71,MATCH(B58,$K$6:$K$71,1)))^((B58-INDEX($K$6:$K$71,MATCH(B58,$K$6:$K$71,1)))/(INDEX($K$6:$K$71,MATCH(B58,$K$6:$K$71,1)+1)-INDEX($K$6:$K$71,MATCH(B58,$K$6:$K$71,1)))),INDEX($L$6:$L$71,MATCH(B58,$K$6:$K$71,1))),"")</f>
        <v/>
      </c>
      <c r="F58" s="44">
        <f>IF(A58&lt;=$B$9,$B$6*$B$11/100*D58,"")</f>
        <v/>
      </c>
      <c r="G58" s="44">
        <f>IF(A58&lt;=$B$9,F58*E58,"")</f>
        <v/>
      </c>
      <c r="H58" s="34">
        <f>IF(A58&lt;=$B$9,D58*E58,"")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8">
        <f>IF(A59&lt;=$B$9,EDATE($B$8,12*A59),"")</f>
        <v/>
      </c>
      <c r="C59" s="18">
        <f>IF(A59&lt;=$B$9,B58,"")</f>
        <v/>
      </c>
      <c r="D59" s="17">
        <f>IF(A59&lt;=$B$9,(B59-C59)/360,"")</f>
        <v/>
      </c>
      <c r="E59" s="36">
        <f>IF(A59&lt;=$B$9,IFERROR(INDEX($L$6:$L$71,MATCH(B59,$K$6:$K$71,1))*(INDEX($L$6:$L$71,MATCH(B59,$K$6:$K$71,1)+1)/INDEX($L$6:$L$71,MATCH(B59,$K$6:$K$71,1)))^((B59-INDEX($K$6:$K$71,MATCH(B59,$K$6:$K$71,1)))/(INDEX($K$6:$K$71,MATCH(B59,$K$6:$K$71,1)+1)-INDEX($K$6:$K$71,MATCH(B59,$K$6:$K$71,1)))),INDEX($L$6:$L$71,MATCH(B59,$K$6:$K$71,1))),"")</f>
        <v/>
      </c>
      <c r="F59" s="44">
        <f>IF(A59&lt;=$B$9,$B$6*$B$11/100*D59,"")</f>
        <v/>
      </c>
      <c r="G59" s="44">
        <f>IF(A59&lt;=$B$9,F59*E59,"")</f>
        <v/>
      </c>
      <c r="H59" s="34">
        <f>IF(A59&lt;=$B$9,D59*E59,"")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8">
        <f>IF(A60&lt;=$B$9,EDATE($B$8,12*A60),"")</f>
        <v/>
      </c>
      <c r="C60" s="18">
        <f>IF(A60&lt;=$B$9,B59,"")</f>
        <v/>
      </c>
      <c r="D60" s="17">
        <f>IF(A60&lt;=$B$9,(B60-C60)/360,"")</f>
        <v/>
      </c>
      <c r="E60" s="36">
        <f>IF(A60&lt;=$B$9,IFERROR(INDEX($L$6:$L$71,MATCH(B60,$K$6:$K$71,1))*(INDEX($L$6:$L$71,MATCH(B60,$K$6:$K$71,1)+1)/INDEX($L$6:$L$71,MATCH(B60,$K$6:$K$71,1)))^((B60-INDEX($K$6:$K$71,MATCH(B60,$K$6:$K$71,1)))/(INDEX($K$6:$K$71,MATCH(B60,$K$6:$K$71,1)+1)-INDEX($K$6:$K$71,MATCH(B60,$K$6:$K$71,1)))),INDEX($L$6:$L$71,MATCH(B60,$K$6:$K$71,1))),"")</f>
        <v/>
      </c>
      <c r="F60" s="44">
        <f>IF(A60&lt;=$B$9,$B$6*$B$11/100*D60,"")</f>
        <v/>
      </c>
      <c r="G60" s="44">
        <f>IF(A60&lt;=$B$9,F60*E60,"")</f>
        <v/>
      </c>
      <c r="H60" s="34">
        <f>IF(A60&lt;=$B$9,D60*E60,"")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8">
        <f>IF(A61&lt;=$B$9,EDATE($B$8,12*A61),"")</f>
        <v/>
      </c>
      <c r="C61" s="18">
        <f>IF(A61&lt;=$B$9,B60,"")</f>
        <v/>
      </c>
      <c r="D61" s="17">
        <f>IF(A61&lt;=$B$9,(B61-C61)/360,"")</f>
        <v/>
      </c>
      <c r="E61" s="36">
        <f>IF(A61&lt;=$B$9,IFERROR(INDEX($L$6:$L$71,MATCH(B61,$K$6:$K$71,1))*(INDEX($L$6:$L$71,MATCH(B61,$K$6:$K$71,1)+1)/INDEX($L$6:$L$71,MATCH(B61,$K$6:$K$71,1)))^((B61-INDEX($K$6:$K$71,MATCH(B61,$K$6:$K$71,1)))/(INDEX($K$6:$K$71,MATCH(B61,$K$6:$K$71,1)+1)-INDEX($K$6:$K$71,MATCH(B61,$K$6:$K$71,1)))),INDEX($L$6:$L$71,MATCH(B61,$K$6:$K$71,1))),"")</f>
        <v/>
      </c>
      <c r="F61" s="44">
        <f>IF(A61&lt;=$B$9,$B$6*$B$11/100*D61,"")</f>
        <v/>
      </c>
      <c r="G61" s="44">
        <f>IF(A61&lt;=$B$9,F61*E61,"")</f>
        <v/>
      </c>
      <c r="H61" s="34">
        <f>IF(A61&lt;=$B$9,D61*E61,"")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8">
        <f>IF(A62&lt;=$B$9,EDATE($B$8,12*A62),"")</f>
        <v/>
      </c>
      <c r="C62" s="18">
        <f>IF(A62&lt;=$B$9,B61,"")</f>
        <v/>
      </c>
      <c r="D62" s="17">
        <f>IF(A62&lt;=$B$9,(B62-C62)/360,"")</f>
        <v/>
      </c>
      <c r="E62" s="36">
        <f>IF(A62&lt;=$B$9,IFERROR(INDEX($L$6:$L$71,MATCH(B62,$K$6:$K$71,1))*(INDEX($L$6:$L$71,MATCH(B62,$K$6:$K$71,1)+1)/INDEX($L$6:$L$71,MATCH(B62,$K$6:$K$71,1)))^((B62-INDEX($K$6:$K$71,MATCH(B62,$K$6:$K$71,1)))/(INDEX($K$6:$K$71,MATCH(B62,$K$6:$K$71,1)+1)-INDEX($K$6:$K$71,MATCH(B62,$K$6:$K$71,1)))),INDEX($L$6:$L$71,MATCH(B62,$K$6:$K$71,1))),"")</f>
        <v/>
      </c>
      <c r="F62" s="44">
        <f>IF(A62&lt;=$B$9,$B$6*$B$11/100*D62,"")</f>
        <v/>
      </c>
      <c r="G62" s="44">
        <f>IF(A62&lt;=$B$9,F62*E62,"")</f>
        <v/>
      </c>
      <c r="H62" s="34">
        <f>IF(A62&lt;=$B$9,D62*E62,"")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8">
        <f>IF(A63&lt;=$B$9,EDATE($B$8,12*A63),"")</f>
        <v/>
      </c>
      <c r="C63" s="18">
        <f>IF(A63&lt;=$B$9,B62,"")</f>
        <v/>
      </c>
      <c r="D63" s="17">
        <f>IF(A63&lt;=$B$9,(B63-C63)/360,"")</f>
        <v/>
      </c>
      <c r="E63" s="36">
        <f>IF(A63&lt;=$B$9,IFERROR(INDEX($L$6:$L$71,MATCH(B63,$K$6:$K$71,1))*(INDEX($L$6:$L$71,MATCH(B63,$K$6:$K$71,1)+1)/INDEX($L$6:$L$71,MATCH(B63,$K$6:$K$71,1)))^((B63-INDEX($K$6:$K$71,MATCH(B63,$K$6:$K$71,1)))/(INDEX($K$6:$K$71,MATCH(B63,$K$6:$K$71,1)+1)-INDEX($K$6:$K$71,MATCH(B63,$K$6:$K$71,1)))),INDEX($L$6:$L$71,MATCH(B63,$K$6:$K$71,1))),"")</f>
        <v/>
      </c>
      <c r="F63" s="44">
        <f>IF(A63&lt;=$B$9,$B$6*$B$11/100*D63,"")</f>
        <v/>
      </c>
      <c r="G63" s="44">
        <f>IF(A63&lt;=$B$9,F63*E63,"")</f>
        <v/>
      </c>
      <c r="H63" s="34">
        <f>IF(A63&lt;=$B$9,D63*E63,"")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8">
        <f>IF(A64&lt;=$B$9,EDATE($B$8,12*A64),"")</f>
        <v/>
      </c>
      <c r="C64" s="18">
        <f>IF(A64&lt;=$B$9,B63,"")</f>
        <v/>
      </c>
      <c r="D64" s="17">
        <f>IF(A64&lt;=$B$9,(B64-C64)/360,"")</f>
        <v/>
      </c>
      <c r="E64" s="36">
        <f>IF(A64&lt;=$B$9,IFERROR(INDEX($L$6:$L$71,MATCH(B64,$K$6:$K$71,1))*(INDEX($L$6:$L$71,MATCH(B64,$K$6:$K$71,1)+1)/INDEX($L$6:$L$71,MATCH(B64,$K$6:$K$71,1)))^((B64-INDEX($K$6:$K$71,MATCH(B64,$K$6:$K$71,1)))/(INDEX($K$6:$K$71,MATCH(B64,$K$6:$K$71,1)+1)-INDEX($K$6:$K$71,MATCH(B64,$K$6:$K$71,1)))),INDEX($L$6:$L$71,MATCH(B64,$K$6:$K$71,1))),"")</f>
        <v/>
      </c>
      <c r="F64" s="44">
        <f>IF(A64&lt;=$B$9,$B$6*$B$11/100*D64,"")</f>
        <v/>
      </c>
      <c r="G64" s="44">
        <f>IF(A64&lt;=$B$9,F64*E64,"")</f>
        <v/>
      </c>
      <c r="H64" s="34">
        <f>IF(A64&lt;=$B$9,D64*E64,"")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8">
        <f>IF(A65&lt;=$B$9,EDATE($B$8,12*A65),"")</f>
        <v/>
      </c>
      <c r="C65" s="18">
        <f>IF(A65&lt;=$B$9,B64,"")</f>
        <v/>
      </c>
      <c r="D65" s="17">
        <f>IF(A65&lt;=$B$9,(B65-C65)/360,"")</f>
        <v/>
      </c>
      <c r="E65" s="36">
        <f>IF(A65&lt;=$B$9,IFERROR(INDEX($L$6:$L$71,MATCH(B65,$K$6:$K$71,1))*(INDEX($L$6:$L$71,MATCH(B65,$K$6:$K$71,1)+1)/INDEX($L$6:$L$71,MATCH(B65,$K$6:$K$71,1)))^((B65-INDEX($K$6:$K$71,MATCH(B65,$K$6:$K$71,1)))/(INDEX($K$6:$K$71,MATCH(B65,$K$6:$K$71,1)+1)-INDEX($K$6:$K$71,MATCH(B65,$K$6:$K$71,1)))),INDEX($L$6:$L$71,MATCH(B65,$K$6:$K$71,1))),"")</f>
        <v/>
      </c>
      <c r="F65" s="44">
        <f>IF(A65&lt;=$B$9,$B$6*$B$11/100*D65,"")</f>
        <v/>
      </c>
      <c r="G65" s="44">
        <f>IF(A65&lt;=$B$9,F65*E65,"")</f>
        <v/>
      </c>
      <c r="H65" s="34">
        <f>IF(A65&lt;=$B$9,D65*E65,"")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8">
        <f>IF(A66&lt;=$B$9,EDATE($B$8,12*A66),"")</f>
        <v/>
      </c>
      <c r="C66" s="18">
        <f>IF(A66&lt;=$B$9,B65,"")</f>
        <v/>
      </c>
      <c r="D66" s="17">
        <f>IF(A66&lt;=$B$9,(B66-C66)/360,"")</f>
        <v/>
      </c>
      <c r="E66" s="36">
        <f>IF(A66&lt;=$B$9,IFERROR(INDEX($L$6:$L$71,MATCH(B66,$K$6:$K$71,1))*(INDEX($L$6:$L$71,MATCH(B66,$K$6:$K$71,1)+1)/INDEX($L$6:$L$71,MATCH(B66,$K$6:$K$71,1)))^((B66-INDEX($K$6:$K$71,MATCH(B66,$K$6:$K$71,1)))/(INDEX($K$6:$K$71,MATCH(B66,$K$6:$K$71,1)+1)-INDEX($K$6:$K$71,MATCH(B66,$K$6:$K$71,1)))),INDEX($L$6:$L$71,MATCH(B66,$K$6:$K$71,1))),"")</f>
        <v/>
      </c>
      <c r="F66" s="44">
        <f>IF(A66&lt;=$B$9,$B$6*$B$11/100*D66,"")</f>
        <v/>
      </c>
      <c r="G66" s="44">
        <f>IF(A66&lt;=$B$9,F66*E66,"")</f>
        <v/>
      </c>
      <c r="H66" s="34">
        <f>IF(A66&lt;=$B$9,D66*E66,"")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8">
        <f>IF(A67&lt;=$B$9,EDATE($B$8,12*A67),"")</f>
        <v/>
      </c>
      <c r="C67" s="18">
        <f>IF(A67&lt;=$B$9,B66,"")</f>
        <v/>
      </c>
      <c r="D67" s="17">
        <f>IF(A67&lt;=$B$9,(B67-C67)/360,"")</f>
        <v/>
      </c>
      <c r="E67" s="36">
        <f>IF(A67&lt;=$B$9,IFERROR(INDEX($L$6:$L$71,MATCH(B67,$K$6:$K$71,1))*(INDEX($L$6:$L$71,MATCH(B67,$K$6:$K$71,1)+1)/INDEX($L$6:$L$71,MATCH(B67,$K$6:$K$71,1)))^((B67-INDEX($K$6:$K$71,MATCH(B67,$K$6:$K$71,1)))/(INDEX($K$6:$K$71,MATCH(B67,$K$6:$K$71,1)+1)-INDEX($K$6:$K$71,MATCH(B67,$K$6:$K$71,1)))),INDEX($L$6:$L$71,MATCH(B67,$K$6:$K$71,1))),"")</f>
        <v/>
      </c>
      <c r="F67" s="44">
        <f>IF(A67&lt;=$B$9,$B$6*$B$11/100*D67,"")</f>
        <v/>
      </c>
      <c r="G67" s="44">
        <f>IF(A67&lt;=$B$9,F67*E67,"")</f>
        <v/>
      </c>
      <c r="H67" s="34">
        <f>IF(A67&lt;=$B$9,D67*E67,"")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8">
        <f>IF(A68&lt;=$B$9,EDATE($B$8,12*A68),"")</f>
        <v/>
      </c>
      <c r="C68" s="18">
        <f>IF(A68&lt;=$B$9,B67,"")</f>
        <v/>
      </c>
      <c r="D68" s="17">
        <f>IF(A68&lt;=$B$9,(B68-C68)/360,"")</f>
        <v/>
      </c>
      <c r="E68" s="36">
        <f>IF(A68&lt;=$B$9,IFERROR(INDEX($L$6:$L$71,MATCH(B68,$K$6:$K$71,1))*(INDEX($L$6:$L$71,MATCH(B68,$K$6:$K$71,1)+1)/INDEX($L$6:$L$71,MATCH(B68,$K$6:$K$71,1)))^((B68-INDEX($K$6:$K$71,MATCH(B68,$K$6:$K$71,1)))/(INDEX($K$6:$K$71,MATCH(B68,$K$6:$K$71,1)+1)-INDEX($K$6:$K$71,MATCH(B68,$K$6:$K$71,1)))),INDEX($L$6:$L$71,MATCH(B68,$K$6:$K$71,1))),"")</f>
        <v/>
      </c>
      <c r="F68" s="44">
        <f>IF(A68&lt;=$B$9,$B$6*$B$11/100*D68,"")</f>
        <v/>
      </c>
      <c r="G68" s="44">
        <f>IF(A68&lt;=$B$9,F68*E68,"")</f>
        <v/>
      </c>
      <c r="H68" s="34">
        <f>IF(A68&lt;=$B$9,D68*E68,"")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8">
        <f>IF(A69&lt;=$B$9,EDATE($B$8,12*A69),"")</f>
        <v/>
      </c>
      <c r="C69" s="18">
        <f>IF(A69&lt;=$B$9,B68,"")</f>
        <v/>
      </c>
      <c r="D69" s="17">
        <f>IF(A69&lt;=$B$9,(B69-C69)/360,"")</f>
        <v/>
      </c>
      <c r="E69" s="36">
        <f>IF(A69&lt;=$B$9,IFERROR(INDEX($L$6:$L$71,MATCH(B69,$K$6:$K$71,1))*(INDEX($L$6:$L$71,MATCH(B69,$K$6:$K$71,1)+1)/INDEX($L$6:$L$71,MATCH(B69,$K$6:$K$71,1)))^((B69-INDEX($K$6:$K$71,MATCH(B69,$K$6:$K$71,1)))/(INDEX($K$6:$K$71,MATCH(B69,$K$6:$K$71,1)+1)-INDEX($K$6:$K$71,MATCH(B69,$K$6:$K$71,1)))),INDEX($L$6:$L$71,MATCH(B69,$K$6:$K$71,1))),"")</f>
        <v/>
      </c>
      <c r="F69" s="44">
        <f>IF(A69&lt;=$B$9,$B$6*$B$11/100*D69,"")</f>
        <v/>
      </c>
      <c r="G69" s="44">
        <f>IF(A69&lt;=$B$9,F69*E69,"")</f>
        <v/>
      </c>
      <c r="H69" s="34">
        <f>IF(A69&lt;=$B$9,D69*E69,"")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8">
        <f>IF(A70&lt;=$B$9,EDATE($B$8,12*A70),"")</f>
        <v/>
      </c>
      <c r="C70" s="18">
        <f>IF(A70&lt;=$B$9,B69,"")</f>
        <v/>
      </c>
      <c r="D70" s="17">
        <f>IF(A70&lt;=$B$9,(B70-C70)/360,"")</f>
        <v/>
      </c>
      <c r="E70" s="36">
        <f>IF(A70&lt;=$B$9,IFERROR(INDEX($L$6:$L$71,MATCH(B70,$K$6:$K$71,1))*(INDEX($L$6:$L$71,MATCH(B70,$K$6:$K$71,1)+1)/INDEX($L$6:$L$71,MATCH(B70,$K$6:$K$71,1)))^((B70-INDEX($K$6:$K$71,MATCH(B70,$K$6:$K$71,1)))/(INDEX($K$6:$K$71,MATCH(B70,$K$6:$K$71,1)+1)-INDEX($K$6:$K$71,MATCH(B70,$K$6:$K$71,1)))),INDEX($L$6:$L$71,MATCH(B70,$K$6:$K$71,1))),"")</f>
        <v/>
      </c>
      <c r="F70" s="44">
        <f>IF(A70&lt;=$B$9,$B$6*$B$11/100*D70,"")</f>
        <v/>
      </c>
      <c r="G70" s="44">
        <f>IF(A70&lt;=$B$9,F70*E70,"")</f>
        <v/>
      </c>
      <c r="H70" s="34">
        <f>IF(A70&lt;=$B$9,D70*E70,"")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8">
        <f>IF(A71&lt;=$B$9,EDATE($B$8,12*A71),"")</f>
        <v/>
      </c>
      <c r="C71" s="18">
        <f>IF(A71&lt;=$B$9,B70,"")</f>
        <v/>
      </c>
      <c r="D71" s="17">
        <f>IF(A71&lt;=$B$9,(B71-C71)/360,"")</f>
        <v/>
      </c>
      <c r="E71" s="36">
        <f>IF(A71&lt;=$B$9,IFERROR(INDEX($L$6:$L$71,MATCH(B71,$K$6:$K$71,1))*(INDEX($L$6:$L$71,MATCH(B71,$K$6:$K$71,1)+1)/INDEX($L$6:$L$71,MATCH(B71,$K$6:$K$71,1)))^((B71-INDEX($K$6:$K$71,MATCH(B71,$K$6:$K$71,1)))/(INDEX($K$6:$K$71,MATCH(B71,$K$6:$K$71,1)+1)-INDEX($K$6:$K$71,MATCH(B71,$K$6:$K$71,1)))),INDEX($L$6:$L$71,MATCH(B71,$K$6:$K$71,1))),"")</f>
        <v/>
      </c>
      <c r="F71" s="44">
        <f>IF(A71&lt;=$B$9,$B$6*$B$11/100*D71,"")</f>
        <v/>
      </c>
      <c r="G71" s="44">
        <f>IF(A71&lt;=$B$9,F71*E71,"")</f>
        <v/>
      </c>
      <c r="H71" s="34">
        <f>IF(A71&lt;=$B$9,D71*E71,"")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8">
        <f>IF(A72&lt;=$B$9,EDATE($B$8,12*A72),"")</f>
        <v/>
      </c>
      <c r="C72" s="18">
        <f>IF(A72&lt;=$B$9,B71,"")</f>
        <v/>
      </c>
      <c r="D72" s="17">
        <f>IF(A72&lt;=$B$9,(B72-C72)/360,"")</f>
        <v/>
      </c>
      <c r="E72" s="36">
        <f>IF(A72&lt;=$B$9,IFERROR(INDEX($L$6:$L$71,MATCH(B72,$K$6:$K$71,1))*(INDEX($L$6:$L$71,MATCH(B72,$K$6:$K$71,1)+1)/INDEX($L$6:$L$71,MATCH(B72,$K$6:$K$71,1)))^((B72-INDEX($K$6:$K$71,MATCH(B72,$K$6:$K$71,1)))/(INDEX($K$6:$K$71,MATCH(B72,$K$6:$K$71,1)+1)-INDEX($K$6:$K$71,MATCH(B72,$K$6:$K$71,1)))),INDEX($L$6:$L$71,MATCH(B72,$K$6:$K$71,1))),"")</f>
        <v/>
      </c>
      <c r="F72" s="44">
        <f>IF(A72&lt;=$B$9,$B$6*$B$11/100*D72,"")</f>
        <v/>
      </c>
      <c r="G72" s="44">
        <f>IF(A72&lt;=$B$9,F72*E72,"")</f>
        <v/>
      </c>
      <c r="H72" s="34">
        <f>IF(A72&lt;=$B$9,D72*E72,"")</f>
        <v/>
      </c>
    </row>
    <row r="73">
      <c r="A73" s="43">
        <f>ROW()-35</f>
        <v/>
      </c>
      <c r="B73" s="18">
        <f>IF(A73&lt;=$B$9,EDATE($B$8,12*A73),"")</f>
        <v/>
      </c>
      <c r="C73" s="18">
        <f>IF(A73&lt;=$B$9,B72,"")</f>
        <v/>
      </c>
      <c r="D73" s="17">
        <f>IF(A73&lt;=$B$9,(B73-C73)/360,"")</f>
        <v/>
      </c>
      <c r="E73" s="36">
        <f>IF(A73&lt;=$B$9,IFERROR(INDEX($L$6:$L$71,MATCH(B73,$K$6:$K$71,1))*(INDEX($L$6:$L$71,MATCH(B73,$K$6:$K$71,1)+1)/INDEX($L$6:$L$71,MATCH(B73,$K$6:$K$71,1)))^((B73-INDEX($K$6:$K$71,MATCH(B73,$K$6:$K$71,1)))/(INDEX($K$6:$K$71,MATCH(B73,$K$6:$K$71,1)+1)-INDEX($K$6:$K$71,MATCH(B73,$K$6:$K$71,1)))),INDEX($L$6:$L$71,MATCH(B73,$K$6:$K$71,1))),"")</f>
        <v/>
      </c>
      <c r="F73" s="44">
        <f>IF(A73&lt;=$B$9,$B$6*$B$11/100*D73,"")</f>
        <v/>
      </c>
      <c r="G73" s="44">
        <f>IF(A73&lt;=$B$9,F73*E73,"")</f>
        <v/>
      </c>
      <c r="H73" s="34">
        <f>IF(A73&lt;=$B$9,D73*E73,"")</f>
        <v/>
      </c>
    </row>
    <row r="74">
      <c r="A74" s="43">
        <f>ROW()-35</f>
        <v/>
      </c>
      <c r="B74" s="18">
        <f>IF(A74&lt;=$B$9,EDATE($B$8,12*A74),"")</f>
        <v/>
      </c>
      <c r="C74" s="18">
        <f>IF(A74&lt;=$B$9,B73,"")</f>
        <v/>
      </c>
      <c r="D74" s="17">
        <f>IF(A74&lt;=$B$9,(B74-C74)/360,"")</f>
        <v/>
      </c>
      <c r="E74" s="36">
        <f>IF(A74&lt;=$B$9,IFERROR(INDEX($L$6:$L$71,MATCH(B74,$K$6:$K$71,1))*(INDEX($L$6:$L$71,MATCH(B74,$K$6:$K$71,1)+1)/INDEX($L$6:$L$71,MATCH(B74,$K$6:$K$71,1)))^((B74-INDEX($K$6:$K$71,MATCH(B74,$K$6:$K$71,1)))/(INDEX($K$6:$K$71,MATCH(B74,$K$6:$K$71,1)+1)-INDEX($K$6:$K$71,MATCH(B74,$K$6:$K$71,1)))),INDEX($L$6:$L$71,MATCH(B74,$K$6:$K$71,1))),"")</f>
        <v/>
      </c>
      <c r="F74" s="44">
        <f>IF(A74&lt;=$B$9,$B$6*$B$11/100*D74,"")</f>
        <v/>
      </c>
      <c r="G74" s="44">
        <f>IF(A74&lt;=$B$9,F74*E74,"")</f>
        <v/>
      </c>
      <c r="H74" s="34">
        <f>IF(A74&lt;=$B$9,D74*E74,"")</f>
        <v/>
      </c>
    </row>
    <row r="75">
      <c r="A75" s="43">
        <f>ROW()-35</f>
        <v/>
      </c>
      <c r="B75" s="18">
        <f>IF(A75&lt;=$B$9,EDATE($B$8,12*A75),"")</f>
        <v/>
      </c>
      <c r="C75" s="18">
        <f>IF(A75&lt;=$B$9,B74,"")</f>
        <v/>
      </c>
      <c r="D75" s="17">
        <f>IF(A75&lt;=$B$9,(B75-C75)/360,"")</f>
        <v/>
      </c>
      <c r="E75" s="36">
        <f>IF(A75&lt;=$B$9,IFERROR(INDEX($L$6:$L$71,MATCH(B75,$K$6:$K$71,1))*(INDEX($L$6:$L$71,MATCH(B75,$K$6:$K$71,1)+1)/INDEX($L$6:$L$71,MATCH(B75,$K$6:$K$71,1)))^((B75-INDEX($K$6:$K$71,MATCH(B75,$K$6:$K$71,1)))/(INDEX($K$6:$K$71,MATCH(B75,$K$6:$K$71,1)+1)-INDEX($K$6:$K$71,MATCH(B75,$K$6:$K$71,1)))),INDEX($L$6:$L$71,MATCH(B75,$K$6:$K$71,1))),"")</f>
        <v/>
      </c>
      <c r="F75" s="44">
        <f>IF(A75&lt;=$B$9,$B$6*$B$11/100*D75,"")</f>
        <v/>
      </c>
      <c r="G75" s="44">
        <f>IF(A75&lt;=$B$9,F75*E75,"")</f>
        <v/>
      </c>
      <c r="H75" s="34">
        <f>IF(A75&lt;=$B$9,D75*E75,"")</f>
        <v/>
      </c>
    </row>
    <row r="76">
      <c r="A76" s="43">
        <f>ROW()-35</f>
        <v/>
      </c>
      <c r="B76" s="18">
        <f>IF(A76&lt;=$B$9,EDATE($B$8,12*A76),"")</f>
        <v/>
      </c>
      <c r="C76" s="18">
        <f>IF(A76&lt;=$B$9,B75,"")</f>
        <v/>
      </c>
      <c r="D76" s="17">
        <f>IF(A76&lt;=$B$9,(B76-C76)/360,"")</f>
        <v/>
      </c>
      <c r="E76" s="36">
        <f>IF(A76&lt;=$B$9,IFERROR(INDEX($L$6:$L$71,MATCH(B76,$K$6:$K$71,1))*(INDEX($L$6:$L$71,MATCH(B76,$K$6:$K$71,1)+1)/INDEX($L$6:$L$71,MATCH(B76,$K$6:$K$71,1)))^((B76-INDEX($K$6:$K$71,MATCH(B76,$K$6:$K$71,1)))/(INDEX($K$6:$K$71,MATCH(B76,$K$6:$K$71,1)+1)-INDEX($K$6:$K$71,MATCH(B76,$K$6:$K$71,1)))),INDEX($L$6:$L$71,MATCH(B76,$K$6:$K$71,1))),"")</f>
        <v/>
      </c>
      <c r="F76" s="44">
        <f>IF(A76&lt;=$B$9,$B$6*$B$11/100*D76,"")</f>
        <v/>
      </c>
      <c r="G76" s="44">
        <f>IF(A76&lt;=$B$9,F76*E76,"")</f>
        <v/>
      </c>
      <c r="H76" s="34">
        <f>IF(A76&lt;=$B$9,D76*E76,"")</f>
        <v/>
      </c>
    </row>
    <row r="77">
      <c r="A77" s="43">
        <f>ROW()-35</f>
        <v/>
      </c>
      <c r="B77" s="18">
        <f>IF(A77&lt;=$B$9,EDATE($B$8,12*A77),"")</f>
        <v/>
      </c>
      <c r="C77" s="18">
        <f>IF(A77&lt;=$B$9,B76,"")</f>
        <v/>
      </c>
      <c r="D77" s="17">
        <f>IF(A77&lt;=$B$9,(B77-C77)/360,"")</f>
        <v/>
      </c>
      <c r="E77" s="36">
        <f>IF(A77&lt;=$B$9,IFERROR(INDEX($L$6:$L$71,MATCH(B77,$K$6:$K$71,1))*(INDEX($L$6:$L$71,MATCH(B77,$K$6:$K$71,1)+1)/INDEX($L$6:$L$71,MATCH(B77,$K$6:$K$71,1)))^((B77-INDEX($K$6:$K$71,MATCH(B77,$K$6:$K$71,1)))/(INDEX($K$6:$K$71,MATCH(B77,$K$6:$K$71,1)+1)-INDEX($K$6:$K$71,MATCH(B77,$K$6:$K$71,1)))),INDEX($L$6:$L$71,MATCH(B77,$K$6:$K$71,1))),"")</f>
        <v/>
      </c>
      <c r="F77" s="44">
        <f>IF(A77&lt;=$B$9,$B$6*$B$11/100*D77,"")</f>
        <v/>
      </c>
      <c r="G77" s="44">
        <f>IF(A77&lt;=$B$9,F77*E77,"")</f>
        <v/>
      </c>
      <c r="H77" s="34">
        <f>IF(A77&lt;=$B$9,D77*E77,"")</f>
        <v/>
      </c>
    </row>
    <row r="78">
      <c r="A78" s="43">
        <f>ROW()-35</f>
        <v/>
      </c>
      <c r="B78" s="18">
        <f>IF(A78&lt;=$B$9,EDATE($B$8,12*A78),"")</f>
        <v/>
      </c>
      <c r="C78" s="18">
        <f>IF(A78&lt;=$B$9,B77,"")</f>
        <v/>
      </c>
      <c r="D78" s="17">
        <f>IF(A78&lt;=$B$9,(B78-C78)/360,"")</f>
        <v/>
      </c>
      <c r="E78" s="36">
        <f>IF(A78&lt;=$B$9,IFERROR(INDEX($L$6:$L$71,MATCH(B78,$K$6:$K$71,1))*(INDEX($L$6:$L$71,MATCH(B78,$K$6:$K$71,1)+1)/INDEX($L$6:$L$71,MATCH(B78,$K$6:$K$71,1)))^((B78-INDEX($K$6:$K$71,MATCH(B78,$K$6:$K$71,1)))/(INDEX($K$6:$K$71,MATCH(B78,$K$6:$K$71,1)+1)-INDEX($K$6:$K$71,MATCH(B78,$K$6:$K$71,1)))),INDEX($L$6:$L$71,MATCH(B78,$K$6:$K$71,1))),"")</f>
        <v/>
      </c>
      <c r="F78" s="44">
        <f>IF(A78&lt;=$B$9,$B$6*$B$11/100*D78,"")</f>
        <v/>
      </c>
      <c r="G78" s="44">
        <f>IF(A78&lt;=$B$9,F78*E78,"")</f>
        <v/>
      </c>
      <c r="H78" s="34">
        <f>IF(A78&lt;=$B$9,D78*E78,"")</f>
        <v/>
      </c>
    </row>
    <row r="79">
      <c r="A79" s="43">
        <f>ROW()-35</f>
        <v/>
      </c>
      <c r="B79" s="18">
        <f>IF(A79&lt;=$B$9,EDATE($B$8,12*A79),"")</f>
        <v/>
      </c>
      <c r="C79" s="18">
        <f>IF(A79&lt;=$B$9,B78,"")</f>
        <v/>
      </c>
      <c r="D79" s="17">
        <f>IF(A79&lt;=$B$9,(B79-C79)/360,"")</f>
        <v/>
      </c>
      <c r="E79" s="36">
        <f>IF(A79&lt;=$B$9,IFERROR(INDEX($L$6:$L$71,MATCH(B79,$K$6:$K$71,1))*(INDEX($L$6:$L$71,MATCH(B79,$K$6:$K$71,1)+1)/INDEX($L$6:$L$71,MATCH(B79,$K$6:$K$71,1)))^((B79-INDEX($K$6:$K$71,MATCH(B79,$K$6:$K$71,1)))/(INDEX($K$6:$K$71,MATCH(B79,$K$6:$K$71,1)+1)-INDEX($K$6:$K$71,MATCH(B79,$K$6:$K$71,1)))),INDEX($L$6:$L$71,MATCH(B79,$K$6:$K$71,1))),"")</f>
        <v/>
      </c>
      <c r="F79" s="44">
        <f>IF(A79&lt;=$B$9,$B$6*$B$11/100*D79,"")</f>
        <v/>
      </c>
      <c r="G79" s="44">
        <f>IF(A79&lt;=$B$9,F79*E79,"")</f>
        <v/>
      </c>
      <c r="H79" s="34">
        <f>IF(A79&lt;=$B$9,D79*E79,"")</f>
        <v/>
      </c>
    </row>
    <row r="80">
      <c r="A80" s="43">
        <f>ROW()-35</f>
        <v/>
      </c>
      <c r="B80" s="18">
        <f>IF(A80&lt;=$B$9,EDATE($B$8,12*A80),"")</f>
        <v/>
      </c>
      <c r="C80" s="18">
        <f>IF(A80&lt;=$B$9,B79,"")</f>
        <v/>
      </c>
      <c r="D80" s="17">
        <f>IF(A80&lt;=$B$9,(B80-C80)/360,"")</f>
        <v/>
      </c>
      <c r="E80" s="36">
        <f>IF(A80&lt;=$B$9,IFERROR(INDEX($L$6:$L$71,MATCH(B80,$K$6:$K$71,1))*(INDEX($L$6:$L$71,MATCH(B80,$K$6:$K$71,1)+1)/INDEX($L$6:$L$71,MATCH(B80,$K$6:$K$71,1)))^((B80-INDEX($K$6:$K$71,MATCH(B80,$K$6:$K$71,1)))/(INDEX($K$6:$K$71,MATCH(B80,$K$6:$K$71,1)+1)-INDEX($K$6:$K$71,MATCH(B80,$K$6:$K$71,1)))),INDEX($L$6:$L$71,MATCH(B80,$K$6:$K$71,1))),"")</f>
        <v/>
      </c>
      <c r="F80" s="44">
        <f>IF(A80&lt;=$B$9,$B$6*$B$11/100*D80,"")</f>
        <v/>
      </c>
      <c r="G80" s="44">
        <f>IF(A80&lt;=$B$9,F80*E80,"")</f>
        <v/>
      </c>
      <c r="H80" s="34">
        <f>IF(A80&lt;=$B$9,D80*E80,"")</f>
        <v/>
      </c>
    </row>
    <row r="81">
      <c r="A81" s="43">
        <f>ROW()-35</f>
        <v/>
      </c>
      <c r="B81" s="18">
        <f>IF(A81&lt;=$B$9,EDATE($B$8,12*A81),"")</f>
        <v/>
      </c>
      <c r="C81" s="18">
        <f>IF(A81&lt;=$B$9,B80,"")</f>
        <v/>
      </c>
      <c r="D81" s="17">
        <f>IF(A81&lt;=$B$9,(B81-C81)/360,"")</f>
        <v/>
      </c>
      <c r="E81" s="36">
        <f>IF(A81&lt;=$B$9,IFERROR(INDEX($L$6:$L$71,MATCH(B81,$K$6:$K$71,1))*(INDEX($L$6:$L$71,MATCH(B81,$K$6:$K$71,1)+1)/INDEX($L$6:$L$71,MATCH(B81,$K$6:$K$71,1)))^((B81-INDEX($K$6:$K$71,MATCH(B81,$K$6:$K$71,1)))/(INDEX($K$6:$K$71,MATCH(B81,$K$6:$K$71,1)+1)-INDEX($K$6:$K$71,MATCH(B81,$K$6:$K$71,1)))),INDEX($L$6:$L$71,MATCH(B81,$K$6:$K$71,1))),"")</f>
        <v/>
      </c>
      <c r="F81" s="44">
        <f>IF(A81&lt;=$B$9,$B$6*$B$11/100*D81,"")</f>
        <v/>
      </c>
      <c r="G81" s="44">
        <f>IF(A81&lt;=$B$9,F81*E81,"")</f>
        <v/>
      </c>
      <c r="H81" s="34">
        <f>IF(A81&lt;=$B$9,D81*E81,"")</f>
        <v/>
      </c>
    </row>
    <row r="82">
      <c r="A82" s="43">
        <f>ROW()-35</f>
        <v/>
      </c>
      <c r="B82" s="18">
        <f>IF(A82&lt;=$B$9,EDATE($B$8,12*A82),"")</f>
        <v/>
      </c>
      <c r="C82" s="18">
        <f>IF(A82&lt;=$B$9,B81,"")</f>
        <v/>
      </c>
      <c r="D82" s="17">
        <f>IF(A82&lt;=$B$9,(B82-C82)/360,"")</f>
        <v/>
      </c>
      <c r="E82" s="36">
        <f>IF(A82&lt;=$B$9,IFERROR(INDEX($L$6:$L$71,MATCH(B82,$K$6:$K$71,1))*(INDEX($L$6:$L$71,MATCH(B82,$K$6:$K$71,1)+1)/INDEX($L$6:$L$71,MATCH(B82,$K$6:$K$71,1)))^((B82-INDEX($K$6:$K$71,MATCH(B82,$K$6:$K$71,1)))/(INDEX($K$6:$K$71,MATCH(B82,$K$6:$K$71,1)+1)-INDEX($K$6:$K$71,MATCH(B82,$K$6:$K$71,1)))),INDEX($L$6:$L$71,MATCH(B82,$K$6:$K$71,1))),"")</f>
        <v/>
      </c>
      <c r="F82" s="44">
        <f>IF(A82&lt;=$B$9,$B$6*$B$11/100*D82,"")</f>
        <v/>
      </c>
      <c r="G82" s="44">
        <f>IF(A82&lt;=$B$9,F82*E82,"")</f>
        <v/>
      </c>
      <c r="H82" s="34">
        <f>IF(A82&lt;=$B$9,D82*E82,"")</f>
        <v/>
      </c>
    </row>
    <row r="83">
      <c r="A83" s="43">
        <f>ROW()-35</f>
        <v/>
      </c>
      <c r="B83" s="18">
        <f>IF(A83&lt;=$B$9,EDATE($B$8,12*A83),"")</f>
        <v/>
      </c>
      <c r="C83" s="18">
        <f>IF(A83&lt;=$B$9,B82,"")</f>
        <v/>
      </c>
      <c r="D83" s="17">
        <f>IF(A83&lt;=$B$9,(B83-C83)/360,"")</f>
        <v/>
      </c>
      <c r="E83" s="36">
        <f>IF(A83&lt;=$B$9,IFERROR(INDEX($L$6:$L$71,MATCH(B83,$K$6:$K$71,1))*(INDEX($L$6:$L$71,MATCH(B83,$K$6:$K$71,1)+1)/INDEX($L$6:$L$71,MATCH(B83,$K$6:$K$71,1)))^((B83-INDEX($K$6:$K$71,MATCH(B83,$K$6:$K$71,1)))/(INDEX($K$6:$K$71,MATCH(B83,$K$6:$K$71,1)+1)-INDEX($K$6:$K$71,MATCH(B83,$K$6:$K$71,1)))),INDEX($L$6:$L$71,MATCH(B83,$K$6:$K$71,1))),"")</f>
        <v/>
      </c>
      <c r="F83" s="44">
        <f>IF(A83&lt;=$B$9,$B$6*$B$11/100*D83,"")</f>
        <v/>
      </c>
      <c r="G83" s="44">
        <f>IF(A83&lt;=$B$9,F83*E83,"")</f>
        <v/>
      </c>
      <c r="H83" s="34">
        <f>IF(A83&lt;=$B$9,D83*E83,"")</f>
        <v/>
      </c>
    </row>
    <row r="84">
      <c r="A84" s="43">
        <f>ROW()-35</f>
        <v/>
      </c>
      <c r="B84" s="18">
        <f>IF(A84&lt;=$B$9,EDATE($B$8,12*A84),"")</f>
        <v/>
      </c>
      <c r="C84" s="18">
        <f>IF(A84&lt;=$B$9,B83,"")</f>
        <v/>
      </c>
      <c r="D84" s="17">
        <f>IF(A84&lt;=$B$9,(B84-C84)/360,"")</f>
        <v/>
      </c>
      <c r="E84" s="36">
        <f>IF(A84&lt;=$B$9,IFERROR(INDEX($L$6:$L$71,MATCH(B84,$K$6:$K$71,1))*(INDEX($L$6:$L$71,MATCH(B84,$K$6:$K$71,1)+1)/INDEX($L$6:$L$71,MATCH(B84,$K$6:$K$71,1)))^((B84-INDEX($K$6:$K$71,MATCH(B84,$K$6:$K$71,1)))/(INDEX($K$6:$K$71,MATCH(B84,$K$6:$K$71,1)+1)-INDEX($K$6:$K$71,MATCH(B84,$K$6:$K$71,1)))),INDEX($L$6:$L$71,MATCH(B84,$K$6:$K$71,1))),"")</f>
        <v/>
      </c>
      <c r="F84" s="44">
        <f>IF(A84&lt;=$B$9,$B$6*$B$11/100*D84,"")</f>
        <v/>
      </c>
      <c r="G84" s="44">
        <f>IF(A84&lt;=$B$9,F84*E84,"")</f>
        <v/>
      </c>
      <c r="H84" s="34">
        <f>IF(A84&lt;=$B$9,D84*E84,"")</f>
        <v/>
      </c>
    </row>
    <row r="85">
      <c r="A85" s="43">
        <f>ROW()-35</f>
        <v/>
      </c>
      <c r="B85" s="18">
        <f>IF(A85&lt;=$B$9,EDATE($B$8,12*A85),"")</f>
        <v/>
      </c>
      <c r="C85" s="18">
        <f>IF(A85&lt;=$B$9,B84,"")</f>
        <v/>
      </c>
      <c r="D85" s="17">
        <f>IF(A85&lt;=$B$9,(B85-C85)/360,"")</f>
        <v/>
      </c>
      <c r="E85" s="36">
        <f>IF(A85&lt;=$B$9,IFERROR(INDEX($L$6:$L$71,MATCH(B85,$K$6:$K$71,1))*(INDEX($L$6:$L$71,MATCH(B85,$K$6:$K$71,1)+1)/INDEX($L$6:$L$71,MATCH(B85,$K$6:$K$71,1)))^((B85-INDEX($K$6:$K$71,MATCH(B85,$K$6:$K$71,1)))/(INDEX($K$6:$K$71,MATCH(B85,$K$6:$K$71,1)+1)-INDEX($K$6:$K$71,MATCH(B85,$K$6:$K$71,1)))),INDEX($L$6:$L$71,MATCH(B85,$K$6:$K$71,1))),"")</f>
        <v/>
      </c>
      <c r="F85" s="44">
        <f>IF(A85&lt;=$B$9,$B$6*$B$11/100*D85,"")</f>
        <v/>
      </c>
      <c r="G85" s="44">
        <f>IF(A85&lt;=$B$9,F85*E85,"")</f>
        <v/>
      </c>
      <c r="H85" s="34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K7" s="20" t="inlineStr">
        <is>
          <t>Date</t>
        </is>
      </c>
      <c r="L7" s="20" t="inlineStr">
        <is>
          <t>DF</t>
        </is>
      </c>
    </row>
    <row r="8">
      <c r="K8" s="18">
        <f>Bootstrap!$B$4</f>
        <v/>
      </c>
      <c r="L8" s="36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6">
        <f>Bootstrap!H8</f>
        <v/>
      </c>
    </row>
    <row r="10">
      <c r="A10" s="43" t="n">
        <v>1</v>
      </c>
      <c r="B10" s="18">
        <f>EDATE($F$7,3*0)</f>
        <v/>
      </c>
      <c r="C10" s="28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36">
        <f>INDEX($L$8:$L$73,MATCH(B10,$K$8:$K$73,1))*EXP(-(F10/100)*(B10-D10)/365)</f>
        <v/>
      </c>
      <c r="H10" s="17">
        <f>-LN(G10)/C10*100</f>
        <v/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28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36">
        <f>INDEX($L$8:$L$73,MATCH(B11,$K$8:$K$73,1))*EXP(-(F11/100)*(B11-D11)/365)</f>
        <v/>
      </c>
      <c r="H11" s="17">
        <f>-LN(G11)/C11*100</f>
        <v/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28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36">
        <f>INDEX($L$8:$L$73,MATCH(B12,$K$8:$K$73,1))*EXP(-(F12/100)*(B12-D12)/365)</f>
        <v/>
      </c>
      <c r="H12" s="17">
        <f>-LN(G12)/C12*100</f>
        <v/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28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36">
        <f>INDEX($L$8:$L$73,MATCH(B13,$K$8:$K$73,1))*EXP(-(F13/100)*(B13-D13)/365)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28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36">
        <f>INDEX($L$8:$L$73,MATCH(B14,$K$8:$K$73,1))*EXP(-(F14/100)*(B14-D14)/365)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28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36">
        <f>INDEX($L$8:$L$73,MATCH(B15,$K$8:$K$73,1))*EXP(-(F15/100)*(B15-D15)/365)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28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36">
        <f>INDEX($L$8:$L$73,MATCH(B16,$K$8:$K$73,1))*EXP(-(F16/100)*(B16-D16)/365)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28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36">
        <f>INDEX($L$8:$L$73,MATCH(B17,$K$8:$K$73,1))*EXP(-(F17/100)*(B17-D17)/365)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28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36">
        <f>INDEX($L$8:$L$73,MATCH(B18,$K$8:$K$73,1))*EXP(-(F18/100)*(B18-D18)/365)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28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36">
        <f>INDEX($L$8:$L$73,MATCH(B19,$K$8:$K$73,1))*EXP(-(F19/100)*(B19-D19)/365)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28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36">
        <f>INDEX($L$8:$L$73,MATCH(B20,$K$8:$K$73,1))*EXP(-(F20/100)*(B20-D20)/365)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28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36">
        <f>INDEX($L$8:$L$73,MATCH(B21,$K$8:$K$73,1))*EXP(-(F21/100)*(B21-D21)/365)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28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36">
        <f>INDEX($L$8:$L$73,MATCH(B22,$K$8:$K$73,1))*EXP(-(F22/100)*(B22-D22)/365)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28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36">
        <f>INDEX($L$8:$L$73,MATCH(B23,$K$8:$K$73,1))*EXP(-(F23/100)*(B23-D23)/365)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28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36">
        <f>INDEX($L$8:$L$73,MATCH(B24,$K$8:$K$73,1))*EXP(-(F24/100)*(B24-D24)/365)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28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36">
        <f>INDEX($L$8:$L$73,MATCH(B25,$K$8:$K$73,1))*EXP(-(F25/100)*(B25-D25)/365)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28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36">
        <f>INDEX($L$8:$L$73,MATCH(B26,$K$8:$K$73,1))*EXP(-(F26/100)*(B26-D26)/365)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28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36">
        <f>INDEX($L$8:$L$73,MATCH(B27,$K$8:$K$73,1))*EXP(-(F27/100)*(B27-D27)/365)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28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36">
        <f>INDEX($L$8:$L$73,MATCH(B28,$K$8:$K$73,1))*EXP(-(F28/100)*(B28-D28)/365)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28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36">
        <f>INDEX($L$8:$L$73,MATCH(B29,$K$8:$K$73,1))*EXP(-(F29/100)*(B29-D29)/365)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28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36">
        <f>INDEX($L$8:$L$73,MATCH(B30,$K$8:$K$73,1))*EXP(-(F30/100)*(B30-D30)/365)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28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36">
        <f>INDEX($L$8:$L$73,MATCH(B31,$K$8:$K$73,1))*EXP(-(F31/100)*(B31-D31)/365)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28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36">
        <f>INDEX($L$8:$L$73,MATCH(B32,$K$8:$K$73,1))*EXP(-(F32/100)*(B32-D32)/365)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28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36">
        <f>INDEX($L$8:$L$73,MATCH(B33,$K$8:$K$73,1))*EXP(-(F33/100)*(B33-D33)/365)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28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36">
        <f>INDEX($L$8:$L$73,MATCH(B34,$K$8:$K$73,1))*EXP(-(F34/100)*(B34-D34)/365)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28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36">
        <f>INDEX($L$8:$L$73,MATCH(B35,$K$8:$K$73,1))*EXP(-(F35/100)*(B35-D35)/365)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28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36">
        <f>INDEX($L$8:$L$73,MATCH(B36,$K$8:$K$73,1))*EXP(-(F36/100)*(B36-D36)/365)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28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36">
        <f>INDEX($L$8:$L$73,MATCH(B37,$K$8:$K$73,1))*EXP(-(F37/100)*(B37-D37)/365)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28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36">
        <f>INDEX($L$8:$L$73,MATCH(B38,$K$8:$K$73,1))*EXP(-(F38/100)*(B38-D38)/365)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28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36">
        <f>INDEX($L$8:$L$73,MATCH(B39,$K$8:$K$73,1))*EXP(-(F39/100)*(B39-D39)/365)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28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36">
        <f>INDEX($L$8:$L$73,MATCH(B40,$K$8:$K$73,1))*EXP(-(F40/100)*(B40-D40)/365)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28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36">
        <f>INDEX($L$8:$L$73,MATCH(B41,$K$8:$K$73,1))*EXP(-(F41/100)*(B41-D41)/365)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28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36">
        <f>INDEX($L$8:$L$73,MATCH(B42,$K$8:$K$73,1))*EXP(-(F42/100)*(B42-D42)/365)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28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36">
        <f>INDEX($L$8:$L$73,MATCH(B43,$K$8:$K$73,1))*EXP(-(F43/100)*(B43-D43)/365)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28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36">
        <f>INDEX($L$8:$L$73,MATCH(B44,$K$8:$K$73,1))*EXP(-(F44/100)*(B44-D44)/365)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28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36">
        <f>INDEX($L$8:$L$73,MATCH(B45,$K$8:$K$73,1))*EXP(-(F45/100)*(B45-D45)/365)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28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36">
        <f>INDEX($L$8:$L$73,MATCH(B46,$K$8:$K$73,1))*EXP(-(F46/100)*(B46-D46)/365)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28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36">
        <f>INDEX($L$8:$L$73,MATCH(B47,$K$8:$K$73,1))*EXP(-(F47/100)*(B47-D47)/365)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28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36">
        <f>INDEX($L$8:$L$73,MATCH(B48,$K$8:$K$73,1))*EXP(-(F48/100)*(B48-D48)/365)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28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36">
        <f>INDEX($L$8:$L$73,MATCH(B49,$K$8:$K$73,1))*EXP(-(F49/100)*(B49-D49)/365)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72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</row>
    <row r="4">
      <c r="A4" s="13" t="inlineStr">
        <is>
          <t>Curve name:</t>
        </is>
      </c>
      <c r="B4" s="19">
        <f>IFERROR(BDP(S490_TKR,"NAME"),"ERROR PLZ FIX")</f>
        <v/>
      </c>
    </row>
    <row r="5">
      <c r="A5" s="13" t="inlineStr">
        <is>
          <t>Curve date:</t>
        </is>
      </c>
      <c r="B5" s="48">
        <f>VAL_DATE</f>
        <v/>
      </c>
    </row>
    <row r="6" ht="40" customHeight="1">
      <c r="A6" s="9" t="inlineStr">
        <is>
          <t>Paste Bloomberg's S490 zero rates (from YCSW0490 &lt;GO&gt; or SWDF) into the yellow column D, tenor for tenor; column E then shows Δz = your bootstrap − Bloomberg in bp (single digits = agreement). The raw BDS(CURVE_TENOR_RATES) dump is off to the right (cols H:I) as an optional live pull — its column order is Bloomberg-defined, so verify before relying on it.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20" t="inlineStr">
        <is>
          <t>S490 zero (%) [paste]</t>
        </is>
      </c>
      <c r="E7" s="20" t="inlineStr">
        <is>
          <t>Δz (bp)</t>
        </is>
      </c>
      <c r="H7" s="16" t="inlineStr">
        <is>
          <t>Raw CURVE_TENOR_RATES (verify order)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30" t="n"/>
      <c r="E8" s="31">
        <f>IF(D8="","",(C8-D8)*100)</f>
        <v/>
      </c>
      <c r="H8">
        <f>BDS(S490_TKR,"CURVE_TENOR_RATES")</f>
        <v/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30" t="n"/>
      <c r="E9" s="31">
        <f>IF(D9="","",(C9-D9)*100)</f>
        <v/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30" t="n"/>
      <c r="E10" s="31">
        <f>IF(D10="","",(C10-D10)*100)</f>
        <v/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30" t="n"/>
      <c r="E11" s="31">
        <f>IF(D11="","",(C11-D11)*100)</f>
        <v/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30" t="n"/>
      <c r="E12" s="31">
        <f>IF(D12="","",(C12-D12)*100)</f>
        <v/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30" t="n"/>
      <c r="E13" s="31">
        <f>IF(D13="","",(C13-D13)*100)</f>
        <v/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30" t="n"/>
      <c r="E14" s="31">
        <f>IF(D14="","",(C14-D14)*100)</f>
        <v/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30" t="n"/>
      <c r="E15" s="31">
        <f>IF(D15="","",(C15-D15)*100)</f>
        <v/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30" t="n"/>
      <c r="E16" s="31">
        <f>IF(D16="","",(C16-D16)*100)</f>
        <v/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30" t="n"/>
      <c r="E17" s="31">
        <f>IF(D17="","",(C17-D17)*100)</f>
        <v/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30" t="n"/>
      <c r="E18" s="31">
        <f>IF(D18="","",(C18-D18)*100)</f>
        <v/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30" t="n"/>
      <c r="E19" s="31">
        <f>IF(D19="","",(C19-D19)*100)</f>
        <v/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30" t="n"/>
      <c r="E20" s="31">
        <f>IF(D20="","",(C20-D20)*100)</f>
        <v/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30" t="n"/>
      <c r="E21" s="31">
        <f>IF(D21="","",(C21-D21)*100)</f>
        <v/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30" t="n"/>
      <c r="E22" s="31">
        <f>IF(D22="","",(C22-D22)*100)</f>
        <v/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30" t="n"/>
      <c r="E23" s="31">
        <f>IF(D23="","",(C23-D23)*100)</f>
        <v/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30" t="n"/>
      <c r="E24" s="31">
        <f>IF(D24="","",(C24-D24)*100)</f>
        <v/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30" t="n"/>
      <c r="E25" s="31">
        <f>IF(D25="","",(C25-D25)*100)</f>
        <v/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30" t="n"/>
      <c r="E26" s="31">
        <f>IF(D26="","",(C26-D26)*100)</f>
        <v/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30" t="n"/>
      <c r="E27" s="31">
        <f>IF(D27="","",(C27-D27)*100)</f>
        <v/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30" t="n"/>
      <c r="E28" s="31">
        <f>IF(D28="","",(C28-D28)*100)</f>
        <v/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30" t="n"/>
      <c r="E29" s="31">
        <f>IF(D29="","",(C29-D29)*100)</f>
        <v/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30" t="n"/>
      <c r="E30" s="31">
        <f>IF(D30="","",(C30-D30)*100)</f>
        <v/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30" t="n"/>
      <c r="E31" s="31">
        <f>IF(D31="","",(C31-D31)*100)</f>
        <v/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30" t="n"/>
      <c r="E32" s="31">
        <f>IF(D32="","",(C32-D32)*100)</f>
        <v/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30" t="n"/>
      <c r="E33" s="31">
        <f>IF(D33="","",(C33-D33)*100)</f>
        <v/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30" t="n"/>
      <c r="E34" s="31">
        <f>IF(D34="","",(C34-D34)*100)</f>
        <v/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30" t="n"/>
      <c r="E35" s="31">
        <f>IF(D35="","",(C35-D35)*100)</f>
        <v/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30" t="n"/>
      <c r="E36" s="31">
        <f>IF(D36="","",(C36-D36)*100)</f>
        <v/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30" t="n"/>
      <c r="E37" s="31">
        <f>IF(D37="","",(C37-D37)*100)</f>
        <v/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30" t="n"/>
      <c r="E38" s="31">
        <f>IF(D38="","",(C38-D38)*100)</f>
        <v/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30" t="n"/>
      <c r="E39" s="31">
        <f>IF(D39="","",(C39-D39)*100)</f>
        <v/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30" t="n"/>
      <c r="E40" s="31">
        <f>IF(D40="","",(C40-D40)*100)</f>
        <v/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30" t="n"/>
      <c r="E41" s="31">
        <f>IF(D41="","",(C41-D41)*100)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30" t="n"/>
      <c r="E42" s="31">
        <f>IF(D42="","",(C42-D42)*100)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30" t="n"/>
      <c r="E43" s="31">
        <f>IF(D43="","",(C43-D43)*100)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30" t="n"/>
      <c r="E44" s="31">
        <f>IF(D44="","",(C44-D44)*100)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30" t="n"/>
      <c r="E45" s="31">
        <f>IF(D45="","",(C45-D45)*100)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30" t="n"/>
      <c r="E46" s="31">
        <f>IF(D46="","",(C46-D46)*100)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30" t="n"/>
      <c r="E47" s="31">
        <f>IF(D47="","",(C47-D47)*100)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30" t="n"/>
      <c r="E48" s="31">
        <f>IF(D48="","",(C48-D48)*100)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30" t="n"/>
      <c r="E49" s="31">
        <f>IF(D49="","",(C49-D49)*100)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30" t="n"/>
      <c r="E50" s="31">
        <f>IF(D50="","",(C50-D50)*100)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30" t="n"/>
      <c r="E51" s="31">
        <f>IF(D51="","",(C51-D51)*100)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30" t="n"/>
      <c r="E52" s="31">
        <f>IF(D52="","",(C52-D52)*100)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30" t="n"/>
      <c r="E53" s="31">
        <f>IF(D53="","",(C53-D53)*100)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30" t="n"/>
      <c r="E54" s="31">
        <f>IF(D54="","",(C54-D54)*100)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30" t="n"/>
      <c r="E55" s="31">
        <f>IF(D55="","",(C55-D55)*100)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30" t="n"/>
      <c r="E56" s="31">
        <f>IF(D56="","",(C56-D56)*100)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30" t="n"/>
      <c r="E57" s="31">
        <f>IF(D57="","",(C57-D57)*100)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30" t="n"/>
      <c r="E58" s="31">
        <f>IF(D58="","",(C58-D58)*100)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30" t="n"/>
      <c r="E59" s="31">
        <f>IF(D59="","",(C59-D59)*100)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30" t="n"/>
      <c r="E60" s="31">
        <f>IF(D60="","",(C60-D60)*100)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30" t="n"/>
      <c r="E61" s="31">
        <f>IF(D61="","",(C61-D61)*100)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30" t="n"/>
      <c r="E62" s="31">
        <f>IF(D62="","",(C62-D62)*100)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30" t="n"/>
      <c r="E63" s="31">
        <f>IF(D63="","",(C63-D63)*100)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30" t="n"/>
      <c r="E64" s="31">
        <f>IF(D64="","",(C64-D64)*100)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30" t="n"/>
      <c r="E65" s="31">
        <f>IF(D65="","",(C65-D65)*100)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30" t="n"/>
      <c r="E66" s="31">
        <f>IF(D66="","",(C66-D66)*100)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30" t="n"/>
      <c r="E67" s="31">
        <f>IF(D67="","",(C67-D67)*100)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30" t="n"/>
      <c r="E68" s="31">
        <f>IF(D68="","",(C68-D68)*100)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30" t="n"/>
      <c r="E69" s="31">
        <f>IF(D69="","",(C69-D69)*100)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30" t="n"/>
      <c r="E70" s="31">
        <f>IF(D70="","",(C70-D70)*100)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30" t="n"/>
      <c r="E71" s="31">
        <f>IF(D71="","",(C71-D71)*100)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30" t="n"/>
      <c r="E72" s="31">
        <f>IF(D72="","",(C72-D72)*100)</f>
        <v/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Dropdown. "Bootstrap from CDS curve" fits the term structure to CDS_Quotes; "Flat hazard rate"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intensity, used at every tenor when B17 = Flat hazard rate. Credit-triangle guide: s/(1-R).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17" showDropDown="0" showInputMessage="0" showErrorMessage="0" allowBlank="0" type="list">
      <formula1>"Bootstrap from CDS curve,Flat hazard rate"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2" t="inlineStr">
        <is>
          <t>Single-name CDS par spreads — one entity, one seniority/clause. Live BDP overrides the manual demo values.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20" t="inlineStr">
        <is>
          <t>CDS ticker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37" t="inlineStr"/>
      <c r="E7" s="55" t="n">
        <v>40</v>
      </c>
      <c r="F7" s="31">
        <f>IF(D7="",E7,IFERROR(BDP(D7,"PX_LAST"),E7))</f>
        <v/>
      </c>
      <c r="G7" s="52">
        <f>(F7/10000)/(1-CDS_Parameters!$B$8)</f>
        <v/>
      </c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37" t="inlineStr"/>
      <c r="E8" s="55" t="n">
        <v>55</v>
      </c>
      <c r="F8" s="31">
        <f>IF(D8="",E8,IFERROR(BDP(D8,"PX_LAST"),E8))</f>
        <v/>
      </c>
      <c r="G8" s="52">
        <f>(F8/10000)/(1-CDS_Parameters!$B$8)</f>
        <v/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37" t="inlineStr"/>
      <c r="E9" s="55" t="n">
        <v>70</v>
      </c>
      <c r="F9" s="31">
        <f>IF(D9="",E9,IFERROR(BDP(D9,"PX_LAST"),E9))</f>
        <v/>
      </c>
      <c r="G9" s="52">
        <f>(F9/10000)/(1-CDS_Parameters!$B$8)</f>
        <v/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37" t="inlineStr"/>
      <c r="E10" s="55" t="n">
        <v>95</v>
      </c>
      <c r="F10" s="31">
        <f>IF(D10="",E10,IFERROR(BDP(D10,"PX_LAST"),E10))</f>
        <v/>
      </c>
      <c r="G10" s="52">
        <f>(F10/10000)/(1-CDS_Parameters!$B$8)</f>
        <v/>
      </c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37" t="inlineStr"/>
      <c r="E11" s="55" t="n">
        <v>115</v>
      </c>
      <c r="F11" s="31">
        <f>IF(D11="",E11,IFERROR(BDP(D11,"PX_LAST"),E11))</f>
        <v/>
      </c>
      <c r="G11" s="52">
        <f>(F11/10000)/(1-CDS_Parameters!$B$8)</f>
        <v/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37" t="inlineStr"/>
      <c r="E12" s="55" t="n">
        <v>135</v>
      </c>
      <c r="F12" s="31">
        <f>IF(D12="",E12,IFERROR(BDP(D12,"PX_LAST"),E12))</f>
        <v/>
      </c>
      <c r="G12" s="52">
        <f>(F12/10000)/(1-CDS_Parameters!$B$8)</f>
        <v/>
      </c>
    </row>
  </sheetData>
  <mergeCells count="1">
    <mergeCell ref="A4:G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65" t="inlineStr">
        <is>
          <t>Piecewise-constant hazard curve. Column D is solved live by Hazard_Solver (bisection) — no Goal Seek needed. Set CDS_Parameters!B17 to switch to a flat hazard rate.</t>
        </is>
      </c>
    </row>
    <row r="4" ht="40" customHeight="1">
      <c r="A4" s="70" t="inlineStr">
        <is>
          <t>Bootstrap maturity by maturity: hold earlier hazards fixed, solve the current segment so model spread = market. Column D now reads the in-cell bisection on Hazard_Solver, so column J (repricing error) is ~0 automatically and stays there when inputs change.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  <c r="L6" s="67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17">
        <f>SUMIF(CDS_Schedule!$C$7:$C$46,"&lt;="&amp;B7,CDS_Schedule!$M$7:$M$46)+SUMIF(CDS_Schedule!$C$7:$C$46,"&lt;="&amp;B7,CDS_Schedule!$N$7:$N$46)</f>
        <v/>
      </c>
      <c r="H7" s="34">
        <f>SUMIF(CDS_Schedule!$C$7:$C$46,"&lt;="&amp;B7,CDS_Schedule!$O$7:$O$46)</f>
        <v/>
      </c>
      <c r="I7" s="28">
        <f>(1-CDS_Parameters!$B$8)*H7/G7*10000</f>
        <v/>
      </c>
      <c r="J7" s="57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17">
        <f>SUMIF(CDS_Schedule!$C$7:$C$46,"&lt;="&amp;B8,CDS_Schedule!$M$7:$M$46)+SUMIF(CDS_Schedule!$C$7:$C$46,"&lt;="&amp;B8,CDS_Schedule!$N$7:$N$46)</f>
        <v/>
      </c>
      <c r="H8" s="34">
        <f>SUMIF(CDS_Schedule!$C$7:$C$46,"&lt;="&amp;B8,CDS_Schedule!$O$7:$O$46)</f>
        <v/>
      </c>
      <c r="I8" s="28">
        <f>(1-CDS_Parameters!$B$8)*H8/G8*10000</f>
        <v/>
      </c>
      <c r="J8" s="57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17">
        <f>SUMIF(CDS_Schedule!$C$7:$C$46,"&lt;="&amp;B9,CDS_Schedule!$M$7:$M$46)+SUMIF(CDS_Schedule!$C$7:$C$46,"&lt;="&amp;B9,CDS_Schedule!$N$7:$N$46)</f>
        <v/>
      </c>
      <c r="H9" s="34">
        <f>SUMIF(CDS_Schedule!$C$7:$C$46,"&lt;="&amp;B9,CDS_Schedule!$O$7:$O$46)</f>
        <v/>
      </c>
      <c r="I9" s="28">
        <f>(1-CDS_Parameters!$B$8)*H9/G9*10000</f>
        <v/>
      </c>
      <c r="J9" s="57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17">
        <f>SUMIF(CDS_Schedule!$C$7:$C$46,"&lt;="&amp;B10,CDS_Schedule!$M$7:$M$46)+SUMIF(CDS_Schedule!$C$7:$C$46,"&lt;="&amp;B10,CDS_Schedule!$N$7:$N$46)</f>
        <v/>
      </c>
      <c r="H10" s="34">
        <f>SUMIF(CDS_Schedule!$C$7:$C$46,"&lt;="&amp;B10,CDS_Schedule!$O$7:$O$46)</f>
        <v/>
      </c>
      <c r="I10" s="28">
        <f>(1-CDS_Parameters!$B$8)*H10/G10*10000</f>
        <v/>
      </c>
      <c r="J10" s="57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17">
        <f>SUMIF(CDS_Schedule!$C$7:$C$46,"&lt;="&amp;B11,CDS_Schedule!$M$7:$M$46)+SUMIF(CDS_Schedule!$C$7:$C$46,"&lt;="&amp;B11,CDS_Schedule!$N$7:$N$46)</f>
        <v/>
      </c>
      <c r="H11" s="34">
        <f>SUMIF(CDS_Schedule!$C$7:$C$46,"&lt;="&amp;B11,CDS_Schedule!$O$7:$O$46)</f>
        <v/>
      </c>
      <c r="I11" s="28">
        <f>(1-CDS_Parameters!$B$8)*H11/G11*10000</f>
        <v/>
      </c>
      <c r="J11" s="57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17">
        <f>SUMIF(CDS_Schedule!$C$7:$C$46,"&lt;="&amp;B12,CDS_Schedule!$M$7:$M$46)+SUMIF(CDS_Schedule!$C$7:$C$46,"&lt;="&amp;B12,CDS_Schedule!$N$7:$N$46)</f>
        <v/>
      </c>
      <c r="H12" s="34">
        <f>SUMIF(CDS_Schedule!$C$7:$C$46,"&lt;="&amp;B12,CDS_Schedule!$O$7:$O$46)</f>
        <v/>
      </c>
      <c r="I12" s="28">
        <f>(1-CDS_Parameters!$B$8)*H12/G12*10000</f>
        <v/>
      </c>
      <c r="J12" s="57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/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6">
        <f>IFERROR(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,INDEX('Curve_Interface'!$L$8:$L$73,MATCH(C7,'Curve_Interface'!$K$8:$K$73,1)))</f>
        <v/>
      </c>
      <c r="H7" s="36">
        <f>IFERROR(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,INDEX('Curve_Interface'!$L$8:$L$73,MATCH((B7+C7)/2,'Curve_Interface'!$K$8:$K$73,1)))</f>
        <v/>
      </c>
      <c r="I7" s="52">
        <f>INDEX(Hazard_Bootstrap!$D$7:$D$12,MIN(COUNTIF(Hazard_Bootstrap!$B$7:$B$12,"&lt;"&amp;C7)+1,6))</f>
        <v/>
      </c>
      <c r="J7" s="34">
        <f>1</f>
        <v/>
      </c>
      <c r="K7" s="34">
        <f>J7*EXP(-I7*E7)</f>
        <v/>
      </c>
      <c r="L7" s="34">
        <f>J7-K7</f>
        <v/>
      </c>
      <c r="M7" s="34">
        <f>D7*G7*K7</f>
        <v/>
      </c>
      <c r="N7" s="34">
        <f>(D7/2)*H7*L7</f>
        <v/>
      </c>
      <c r="O7" s="34">
        <f>H7*L7</f>
        <v/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6">
        <f>IFERROR(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,INDEX('Curve_Interface'!$L$8:$L$73,MATCH(C8,'Curve_Interface'!$K$8:$K$73,1)))</f>
        <v/>
      </c>
      <c r="H8" s="36">
        <f>IFERROR(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,INDEX('Curve_Interface'!$L$8:$L$73,MATCH((B8+C8)/2,'Curve_Interface'!$K$8:$K$73,1)))</f>
        <v/>
      </c>
      <c r="I8" s="52">
        <f>INDEX(Hazard_Bootstrap!$D$7:$D$12,MIN(COUNTIF(Hazard_Bootstrap!$B$7:$B$12,"&lt;"&amp;C8)+1,6))</f>
        <v/>
      </c>
      <c r="J8" s="34">
        <f>K7</f>
        <v/>
      </c>
      <c r="K8" s="34">
        <f>J8*EXP(-I8*E8)</f>
        <v/>
      </c>
      <c r="L8" s="34">
        <f>J8-K8</f>
        <v/>
      </c>
      <c r="M8" s="34">
        <f>D8*G8*K8</f>
        <v/>
      </c>
      <c r="N8" s="34">
        <f>(D8/2)*H8*L8</f>
        <v/>
      </c>
      <c r="O8" s="34">
        <f>H8*L8</f>
        <v/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6">
        <f>IFERROR(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,INDEX('Curve_Interface'!$L$8:$L$73,MATCH(C9,'Curve_Interface'!$K$8:$K$73,1)))</f>
        <v/>
      </c>
      <c r="H9" s="36">
        <f>IFERROR(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,INDEX('Curve_Interface'!$L$8:$L$73,MATCH((B9+C9)/2,'Curve_Interface'!$K$8:$K$73,1)))</f>
        <v/>
      </c>
      <c r="I9" s="52">
        <f>INDEX(Hazard_Bootstrap!$D$7:$D$12,MIN(COUNTIF(Hazard_Bootstrap!$B$7:$B$12,"&lt;"&amp;C9)+1,6))</f>
        <v/>
      </c>
      <c r="J9" s="34">
        <f>K8</f>
        <v/>
      </c>
      <c r="K9" s="34">
        <f>J9*EXP(-I9*E9)</f>
        <v/>
      </c>
      <c r="L9" s="34">
        <f>J9-K9</f>
        <v/>
      </c>
      <c r="M9" s="34">
        <f>D9*G9*K9</f>
        <v/>
      </c>
      <c r="N9" s="34">
        <f>(D9/2)*H9*L9</f>
        <v/>
      </c>
      <c r="O9" s="34">
        <f>H9*L9</f>
        <v/>
      </c>
    </row>
    <row r="10">
      <c r="A10" s="43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6">
        <f>IFERROR(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,INDEX('Curve_Interface'!$L$8:$L$73,MATCH(C10,'Curve_Interface'!$K$8:$K$73,1)))</f>
        <v/>
      </c>
      <c r="H10" s="36">
        <f>IFERROR(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,INDEX('Curve_Interface'!$L$8:$L$73,MATCH((B10+C10)/2,'Curve_Interface'!$K$8:$K$73,1)))</f>
        <v/>
      </c>
      <c r="I10" s="52">
        <f>INDEX(Hazard_Bootstrap!$D$7:$D$12,MIN(COUNTIF(Hazard_Bootstrap!$B$7:$B$12,"&lt;"&amp;C10)+1,6))</f>
        <v/>
      </c>
      <c r="J10" s="34">
        <f>K9</f>
        <v/>
      </c>
      <c r="K10" s="34">
        <f>J10*EXP(-I10*E10)</f>
        <v/>
      </c>
      <c r="L10" s="34">
        <f>J10-K10</f>
        <v/>
      </c>
      <c r="M10" s="34">
        <f>D10*G10*K10</f>
        <v/>
      </c>
      <c r="N10" s="34">
        <f>(D10/2)*H10*L10</f>
        <v/>
      </c>
      <c r="O10" s="34">
        <f>H10*L10</f>
        <v/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6">
        <f>IFERROR(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,INDEX('Curve_Interface'!$L$8:$L$73,MATCH(C11,'Curve_Interface'!$K$8:$K$73,1)))</f>
        <v/>
      </c>
      <c r="H11" s="36">
        <f>IFERROR(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,INDEX('Curve_Interface'!$L$8:$L$73,MATCH((B11+C11)/2,'Curve_Interface'!$K$8:$K$73,1)))</f>
        <v/>
      </c>
      <c r="I11" s="52">
        <f>INDEX(Hazard_Bootstrap!$D$7:$D$12,MIN(COUNTIF(Hazard_Bootstrap!$B$7:$B$12,"&lt;"&amp;C11)+1,6))</f>
        <v/>
      </c>
      <c r="J11" s="34">
        <f>K10</f>
        <v/>
      </c>
      <c r="K11" s="34">
        <f>J11*EXP(-I11*E11)</f>
        <v/>
      </c>
      <c r="L11" s="34">
        <f>J11-K11</f>
        <v/>
      </c>
      <c r="M11" s="34">
        <f>D11*G11*K11</f>
        <v/>
      </c>
      <c r="N11" s="34">
        <f>(D11/2)*H11*L11</f>
        <v/>
      </c>
      <c r="O11" s="34">
        <f>H11*L11</f>
        <v/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6">
        <f>IFERROR(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,INDEX('Curve_Interface'!$L$8:$L$73,MATCH(C12,'Curve_Interface'!$K$8:$K$73,1)))</f>
        <v/>
      </c>
      <c r="H12" s="36">
        <f>IFERROR(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,INDEX('Curve_Interface'!$L$8:$L$73,MATCH((B12+C12)/2,'Curve_Interface'!$K$8:$K$73,1)))</f>
        <v/>
      </c>
      <c r="I12" s="52">
        <f>INDEX(Hazard_Bootstrap!$D$7:$D$12,MIN(COUNTIF(Hazard_Bootstrap!$B$7:$B$12,"&lt;"&amp;C12)+1,6))</f>
        <v/>
      </c>
      <c r="J12" s="34">
        <f>K11</f>
        <v/>
      </c>
      <c r="K12" s="34">
        <f>J12*EXP(-I12*E12)</f>
        <v/>
      </c>
      <c r="L12" s="34">
        <f>J12-K12</f>
        <v/>
      </c>
      <c r="M12" s="34">
        <f>D12*G12*K12</f>
        <v/>
      </c>
      <c r="N12" s="34">
        <f>(D12/2)*H12*L12</f>
        <v/>
      </c>
      <c r="O12" s="34">
        <f>H12*L12</f>
        <v/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6">
        <f>IFERROR(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,INDEX('Curve_Interface'!$L$8:$L$73,MATCH(C13,'Curve_Interface'!$K$8:$K$73,1)))</f>
        <v/>
      </c>
      <c r="H13" s="36">
        <f>IFERROR(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,INDEX('Curve_Interface'!$L$8:$L$73,MATCH((B13+C13)/2,'Curve_Interface'!$K$8:$K$73,1)))</f>
        <v/>
      </c>
      <c r="I13" s="52">
        <f>INDEX(Hazard_Bootstrap!$D$7:$D$12,MIN(COUNTIF(Hazard_Bootstrap!$B$7:$B$12,"&lt;"&amp;C13)+1,6))</f>
        <v/>
      </c>
      <c r="J13" s="34">
        <f>K12</f>
        <v/>
      </c>
      <c r="K13" s="34">
        <f>J13*EXP(-I13*E13)</f>
        <v/>
      </c>
      <c r="L13" s="34">
        <f>J13-K13</f>
        <v/>
      </c>
      <c r="M13" s="34">
        <f>D13*G13*K13</f>
        <v/>
      </c>
      <c r="N13" s="34">
        <f>(D13/2)*H13*L13</f>
        <v/>
      </c>
      <c r="O13" s="34">
        <f>H13*L13</f>
        <v/>
      </c>
    </row>
    <row r="14">
      <c r="A14" s="43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6">
        <f>IFERROR(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,INDEX('Curve_Interface'!$L$8:$L$73,MATCH(C14,'Curve_Interface'!$K$8:$K$73,1)))</f>
        <v/>
      </c>
      <c r="H14" s="36">
        <f>IFERROR(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,INDEX('Curve_Interface'!$L$8:$L$73,MATCH((B14+C14)/2,'Curve_Interface'!$K$8:$K$73,1)))</f>
        <v/>
      </c>
      <c r="I14" s="52">
        <f>INDEX(Hazard_Bootstrap!$D$7:$D$12,MIN(COUNTIF(Hazard_Bootstrap!$B$7:$B$12,"&lt;"&amp;C14)+1,6))</f>
        <v/>
      </c>
      <c r="J14" s="34">
        <f>K13</f>
        <v/>
      </c>
      <c r="K14" s="34">
        <f>J14*EXP(-I14*E14)</f>
        <v/>
      </c>
      <c r="L14" s="34">
        <f>J14-K14</f>
        <v/>
      </c>
      <c r="M14" s="34">
        <f>D14*G14*K14</f>
        <v/>
      </c>
      <c r="N14" s="34">
        <f>(D14/2)*H14*L14</f>
        <v/>
      </c>
      <c r="O14" s="34">
        <f>H14*L14</f>
        <v/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6">
        <f>IFERROR(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,INDEX('Curve_Interface'!$L$8:$L$73,MATCH(C15,'Curve_Interface'!$K$8:$K$73,1)))</f>
        <v/>
      </c>
      <c r="H15" s="36">
        <f>IFERROR(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,INDEX('Curve_Interface'!$L$8:$L$73,MATCH((B15+C15)/2,'Curve_Interface'!$K$8:$K$73,1)))</f>
        <v/>
      </c>
      <c r="I15" s="52">
        <f>INDEX(Hazard_Bootstrap!$D$7:$D$12,MIN(COUNTIF(Hazard_Bootstrap!$B$7:$B$12,"&lt;"&amp;C15)+1,6))</f>
        <v/>
      </c>
      <c r="J15" s="34">
        <f>K14</f>
        <v/>
      </c>
      <c r="K15" s="34">
        <f>J15*EXP(-I15*E15)</f>
        <v/>
      </c>
      <c r="L15" s="34">
        <f>J15-K15</f>
        <v/>
      </c>
      <c r="M15" s="34">
        <f>D15*G15*K15</f>
        <v/>
      </c>
      <c r="N15" s="34">
        <f>(D15/2)*H15*L15</f>
        <v/>
      </c>
      <c r="O15" s="34">
        <f>H15*L15</f>
        <v/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6">
        <f>IFERROR(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,INDEX('Curve_Interface'!$L$8:$L$73,MATCH(C16,'Curve_Interface'!$K$8:$K$73,1)))</f>
        <v/>
      </c>
      <c r="H16" s="36">
        <f>IFERROR(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,INDEX('Curve_Interface'!$L$8:$L$73,MATCH((B16+C16)/2,'Curve_Interface'!$K$8:$K$73,1)))</f>
        <v/>
      </c>
      <c r="I16" s="52">
        <f>INDEX(Hazard_Bootstrap!$D$7:$D$12,MIN(COUNTIF(Hazard_Bootstrap!$B$7:$B$12,"&lt;"&amp;C16)+1,6))</f>
        <v/>
      </c>
      <c r="J16" s="34">
        <f>K15</f>
        <v/>
      </c>
      <c r="K16" s="34">
        <f>J16*EXP(-I16*E16)</f>
        <v/>
      </c>
      <c r="L16" s="34">
        <f>J16-K16</f>
        <v/>
      </c>
      <c r="M16" s="34">
        <f>D16*G16*K16</f>
        <v/>
      </c>
      <c r="N16" s="34">
        <f>(D16/2)*H16*L16</f>
        <v/>
      </c>
      <c r="O16" s="34">
        <f>H16*L16</f>
        <v/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6">
        <f>IFERROR(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,INDEX('Curve_Interface'!$L$8:$L$73,MATCH(C17,'Curve_Interface'!$K$8:$K$73,1)))</f>
        <v/>
      </c>
      <c r="H17" s="36">
        <f>IFERROR(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,INDEX('Curve_Interface'!$L$8:$L$73,MATCH((B17+C17)/2,'Curve_Interface'!$K$8:$K$73,1)))</f>
        <v/>
      </c>
      <c r="I17" s="52">
        <f>INDEX(Hazard_Bootstrap!$D$7:$D$12,MIN(COUNTIF(Hazard_Bootstrap!$B$7:$B$12,"&lt;"&amp;C17)+1,6))</f>
        <v/>
      </c>
      <c r="J17" s="34">
        <f>K16</f>
        <v/>
      </c>
      <c r="K17" s="34">
        <f>J17*EXP(-I17*E17)</f>
        <v/>
      </c>
      <c r="L17" s="34">
        <f>J17-K17</f>
        <v/>
      </c>
      <c r="M17" s="34">
        <f>D17*G17*K17</f>
        <v/>
      </c>
      <c r="N17" s="34">
        <f>(D17/2)*H17*L17</f>
        <v/>
      </c>
      <c r="O17" s="34">
        <f>H17*L17</f>
        <v/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6">
        <f>IFERROR(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,INDEX('Curve_Interface'!$L$8:$L$73,MATCH(C18,'Curve_Interface'!$K$8:$K$73,1)))</f>
        <v/>
      </c>
      <c r="H18" s="36">
        <f>IFERROR(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,INDEX('Curve_Interface'!$L$8:$L$73,MATCH((B18+C18)/2,'Curve_Interface'!$K$8:$K$73,1)))</f>
        <v/>
      </c>
      <c r="I18" s="52">
        <f>INDEX(Hazard_Bootstrap!$D$7:$D$12,MIN(COUNTIF(Hazard_Bootstrap!$B$7:$B$12,"&lt;"&amp;C18)+1,6))</f>
        <v/>
      </c>
      <c r="J18" s="34">
        <f>K17</f>
        <v/>
      </c>
      <c r="K18" s="34">
        <f>J18*EXP(-I18*E18)</f>
        <v/>
      </c>
      <c r="L18" s="34">
        <f>J18-K18</f>
        <v/>
      </c>
      <c r="M18" s="34">
        <f>D18*G18*K18</f>
        <v/>
      </c>
      <c r="N18" s="34">
        <f>(D18/2)*H18*L18</f>
        <v/>
      </c>
      <c r="O18" s="34">
        <f>H18*L18</f>
        <v/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6">
        <f>IFERROR(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,INDEX('Curve_Interface'!$L$8:$L$73,MATCH(C19,'Curve_Interface'!$K$8:$K$73,1)))</f>
        <v/>
      </c>
      <c r="H19" s="36">
        <f>IFERROR(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,INDEX('Curve_Interface'!$L$8:$L$73,MATCH((B19+C19)/2,'Curve_Interface'!$K$8:$K$73,1)))</f>
        <v/>
      </c>
      <c r="I19" s="52">
        <f>INDEX(Hazard_Bootstrap!$D$7:$D$12,MIN(COUNTIF(Hazard_Bootstrap!$B$7:$B$12,"&lt;"&amp;C19)+1,6))</f>
        <v/>
      </c>
      <c r="J19" s="34">
        <f>K18</f>
        <v/>
      </c>
      <c r="K19" s="34">
        <f>J19*EXP(-I19*E19)</f>
        <v/>
      </c>
      <c r="L19" s="34">
        <f>J19-K19</f>
        <v/>
      </c>
      <c r="M19" s="34">
        <f>D19*G19*K19</f>
        <v/>
      </c>
      <c r="N19" s="34">
        <f>(D19/2)*H19*L19</f>
        <v/>
      </c>
      <c r="O19" s="34">
        <f>H19*L19</f>
        <v/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6">
        <f>IFERROR(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,INDEX('Curve_Interface'!$L$8:$L$73,MATCH(C20,'Curve_Interface'!$K$8:$K$73,1)))</f>
        <v/>
      </c>
      <c r="H20" s="36">
        <f>IFERROR(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,INDEX('Curve_Interface'!$L$8:$L$73,MATCH((B20+C20)/2,'Curve_Interface'!$K$8:$K$73,1)))</f>
        <v/>
      </c>
      <c r="I20" s="52">
        <f>INDEX(Hazard_Bootstrap!$D$7:$D$12,MIN(COUNTIF(Hazard_Bootstrap!$B$7:$B$12,"&lt;"&amp;C20)+1,6))</f>
        <v/>
      </c>
      <c r="J20" s="34">
        <f>K19</f>
        <v/>
      </c>
      <c r="K20" s="34">
        <f>J20*EXP(-I20*E20)</f>
        <v/>
      </c>
      <c r="L20" s="34">
        <f>J20-K20</f>
        <v/>
      </c>
      <c r="M20" s="34">
        <f>D20*G20*K20</f>
        <v/>
      </c>
      <c r="N20" s="34">
        <f>(D20/2)*H20*L20</f>
        <v/>
      </c>
      <c r="O20" s="34">
        <f>H20*L20</f>
        <v/>
      </c>
    </row>
    <row r="21">
      <c r="A21" s="43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6">
        <f>IFERROR(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,INDEX('Curve_Interface'!$L$8:$L$73,MATCH(C21,'Curve_Interface'!$K$8:$K$73,1)))</f>
        <v/>
      </c>
      <c r="H21" s="36">
        <f>IFERROR(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,INDEX('Curve_Interface'!$L$8:$L$73,MATCH((B21+C21)/2,'Curve_Interface'!$K$8:$K$73,1)))</f>
        <v/>
      </c>
      <c r="I21" s="52">
        <f>INDEX(Hazard_Bootstrap!$D$7:$D$12,MIN(COUNTIF(Hazard_Bootstrap!$B$7:$B$12,"&lt;"&amp;C21)+1,6))</f>
        <v/>
      </c>
      <c r="J21" s="34">
        <f>K20</f>
        <v/>
      </c>
      <c r="K21" s="34">
        <f>J21*EXP(-I21*E21)</f>
        <v/>
      </c>
      <c r="L21" s="34">
        <f>J21-K21</f>
        <v/>
      </c>
      <c r="M21" s="34">
        <f>D21*G21*K21</f>
        <v/>
      </c>
      <c r="N21" s="34">
        <f>(D21/2)*H21*L21</f>
        <v/>
      </c>
      <c r="O21" s="34">
        <f>H21*L21</f>
        <v/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6">
        <f>IFERROR(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,INDEX('Curve_Interface'!$L$8:$L$73,MATCH(C22,'Curve_Interface'!$K$8:$K$73,1)))</f>
        <v/>
      </c>
      <c r="H22" s="36">
        <f>IFERROR(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,INDEX('Curve_Interface'!$L$8:$L$73,MATCH((B22+C22)/2,'Curve_Interface'!$K$8:$K$73,1)))</f>
        <v/>
      </c>
      <c r="I22" s="52">
        <f>INDEX(Hazard_Bootstrap!$D$7:$D$12,MIN(COUNTIF(Hazard_Bootstrap!$B$7:$B$12,"&lt;"&amp;C22)+1,6))</f>
        <v/>
      </c>
      <c r="J22" s="34">
        <f>K21</f>
        <v/>
      </c>
      <c r="K22" s="34">
        <f>J22*EXP(-I22*E22)</f>
        <v/>
      </c>
      <c r="L22" s="34">
        <f>J22-K22</f>
        <v/>
      </c>
      <c r="M22" s="34">
        <f>D22*G22*K22</f>
        <v/>
      </c>
      <c r="N22" s="34">
        <f>(D22/2)*H22*L22</f>
        <v/>
      </c>
      <c r="O22" s="34">
        <f>H22*L22</f>
        <v/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6">
        <f>IFERROR(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,INDEX('Curve_Interface'!$L$8:$L$73,MATCH(C23,'Curve_Interface'!$K$8:$K$73,1)))</f>
        <v/>
      </c>
      <c r="H23" s="36">
        <f>IFERROR(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,INDEX('Curve_Interface'!$L$8:$L$73,MATCH((B23+C23)/2,'Curve_Interface'!$K$8:$K$73,1)))</f>
        <v/>
      </c>
      <c r="I23" s="52">
        <f>INDEX(Hazard_Bootstrap!$D$7:$D$12,MIN(COUNTIF(Hazard_Bootstrap!$B$7:$B$12,"&lt;"&amp;C23)+1,6))</f>
        <v/>
      </c>
      <c r="J23" s="34">
        <f>K22</f>
        <v/>
      </c>
      <c r="K23" s="34">
        <f>J23*EXP(-I23*E23)</f>
        <v/>
      </c>
      <c r="L23" s="34">
        <f>J23-K23</f>
        <v/>
      </c>
      <c r="M23" s="34">
        <f>D23*G23*K23</f>
        <v/>
      </c>
      <c r="N23" s="34">
        <f>(D23/2)*H23*L23</f>
        <v/>
      </c>
      <c r="O23" s="34">
        <f>H23*L23</f>
        <v/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6">
        <f>IFERROR(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,INDEX('Curve_Interface'!$L$8:$L$73,MATCH(C24,'Curve_Interface'!$K$8:$K$73,1)))</f>
        <v/>
      </c>
      <c r="H24" s="36">
        <f>IFERROR(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,INDEX('Curve_Interface'!$L$8:$L$73,MATCH((B24+C24)/2,'Curve_Interface'!$K$8:$K$73,1)))</f>
        <v/>
      </c>
      <c r="I24" s="52">
        <f>INDEX(Hazard_Bootstrap!$D$7:$D$12,MIN(COUNTIF(Hazard_Bootstrap!$B$7:$B$12,"&lt;"&amp;C24)+1,6))</f>
        <v/>
      </c>
      <c r="J24" s="34">
        <f>K23</f>
        <v/>
      </c>
      <c r="K24" s="34">
        <f>J24*EXP(-I24*E24)</f>
        <v/>
      </c>
      <c r="L24" s="34">
        <f>J24-K24</f>
        <v/>
      </c>
      <c r="M24" s="34">
        <f>D24*G24*K24</f>
        <v/>
      </c>
      <c r="N24" s="34">
        <f>(D24/2)*H24*L24</f>
        <v/>
      </c>
      <c r="O24" s="34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6">
        <f>IFERROR(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,INDEX('Curve_Interface'!$L$8:$L$73,MATCH(C25,'Curve_Interface'!$K$8:$K$73,1)))</f>
        <v/>
      </c>
      <c r="H25" s="36">
        <f>IFERROR(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,INDEX('Curve_Interface'!$L$8:$L$73,MATCH((B25+C25)/2,'Curve_Interface'!$K$8:$K$73,1)))</f>
        <v/>
      </c>
      <c r="I25" s="52">
        <f>INDEX(Hazard_Bootstrap!$D$7:$D$12,MIN(COUNTIF(Hazard_Bootstrap!$B$7:$B$12,"&lt;"&amp;C25)+1,6))</f>
        <v/>
      </c>
      <c r="J25" s="34">
        <f>K24</f>
        <v/>
      </c>
      <c r="K25" s="34">
        <f>J25*EXP(-I25*E25)</f>
        <v/>
      </c>
      <c r="L25" s="34">
        <f>J25-K25</f>
        <v/>
      </c>
      <c r="M25" s="34">
        <f>D25*G25*K25</f>
        <v/>
      </c>
      <c r="N25" s="34">
        <f>(D25/2)*H25*L25</f>
        <v/>
      </c>
      <c r="O25" s="34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6">
        <f>IFERROR(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,INDEX('Curve_Interface'!$L$8:$L$73,MATCH(C26,'Curve_Interface'!$K$8:$K$73,1)))</f>
        <v/>
      </c>
      <c r="H26" s="36">
        <f>IFERROR(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,INDEX('Curve_Interface'!$L$8:$L$73,MATCH((B26+C26)/2,'Curve_Interface'!$K$8:$K$73,1)))</f>
        <v/>
      </c>
      <c r="I26" s="52">
        <f>INDEX(Hazard_Bootstrap!$D$7:$D$12,MIN(COUNTIF(Hazard_Bootstrap!$B$7:$B$12,"&lt;"&amp;C26)+1,6))</f>
        <v/>
      </c>
      <c r="J26" s="34">
        <f>K25</f>
        <v/>
      </c>
      <c r="K26" s="34">
        <f>J26*EXP(-I26*E26)</f>
        <v/>
      </c>
      <c r="L26" s="34">
        <f>J26-K26</f>
        <v/>
      </c>
      <c r="M26" s="34">
        <f>D26*G26*K26</f>
        <v/>
      </c>
      <c r="N26" s="34">
        <f>(D26/2)*H26*L26</f>
        <v/>
      </c>
      <c r="O26" s="34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6">
        <f>IFERROR(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,INDEX('Curve_Interface'!$L$8:$L$73,MATCH(C27,'Curve_Interface'!$K$8:$K$73,1)))</f>
        <v/>
      </c>
      <c r="H27" s="36">
        <f>IFERROR(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,INDEX('Curve_Interface'!$L$8:$L$73,MATCH((B27+C27)/2,'Curve_Interface'!$K$8:$K$73,1)))</f>
        <v/>
      </c>
      <c r="I27" s="52">
        <f>INDEX(Hazard_Bootstrap!$D$7:$D$12,MIN(COUNTIF(Hazard_Bootstrap!$B$7:$B$12,"&lt;"&amp;C27)+1,6))</f>
        <v/>
      </c>
      <c r="J27" s="34">
        <f>K26</f>
        <v/>
      </c>
      <c r="K27" s="34">
        <f>J27*EXP(-I27*E27)</f>
        <v/>
      </c>
      <c r="L27" s="34">
        <f>J27-K27</f>
        <v/>
      </c>
      <c r="M27" s="34">
        <f>D27*G27*K27</f>
        <v/>
      </c>
      <c r="N27" s="34">
        <f>(D27/2)*H27*L27</f>
        <v/>
      </c>
      <c r="O27" s="34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6">
        <f>IFERROR(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,INDEX('Curve_Interface'!$L$8:$L$73,MATCH(C28,'Curve_Interface'!$K$8:$K$73,1)))</f>
        <v/>
      </c>
      <c r="H28" s="36">
        <f>IFERROR(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,INDEX('Curve_Interface'!$L$8:$L$73,MATCH((B28+C28)/2,'Curve_Interface'!$K$8:$K$73,1)))</f>
        <v/>
      </c>
      <c r="I28" s="52">
        <f>INDEX(Hazard_Bootstrap!$D$7:$D$12,MIN(COUNTIF(Hazard_Bootstrap!$B$7:$B$12,"&lt;"&amp;C28)+1,6))</f>
        <v/>
      </c>
      <c r="J28" s="34">
        <f>K27</f>
        <v/>
      </c>
      <c r="K28" s="34">
        <f>J28*EXP(-I28*E28)</f>
        <v/>
      </c>
      <c r="L28" s="34">
        <f>J28-K28</f>
        <v/>
      </c>
      <c r="M28" s="34">
        <f>D28*G28*K28</f>
        <v/>
      </c>
      <c r="N28" s="34">
        <f>(D28/2)*H28*L28</f>
        <v/>
      </c>
      <c r="O28" s="34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6">
        <f>IFERROR(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,INDEX('Curve_Interface'!$L$8:$L$73,MATCH(C29,'Curve_Interface'!$K$8:$K$73,1)))</f>
        <v/>
      </c>
      <c r="H29" s="36">
        <f>IFERROR(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,INDEX('Curve_Interface'!$L$8:$L$73,MATCH((B29+C29)/2,'Curve_Interface'!$K$8:$K$73,1)))</f>
        <v/>
      </c>
      <c r="I29" s="52">
        <f>INDEX(Hazard_Bootstrap!$D$7:$D$12,MIN(COUNTIF(Hazard_Bootstrap!$B$7:$B$12,"&lt;"&amp;C29)+1,6))</f>
        <v/>
      </c>
      <c r="J29" s="34">
        <f>K28</f>
        <v/>
      </c>
      <c r="K29" s="34">
        <f>J29*EXP(-I29*E29)</f>
        <v/>
      </c>
      <c r="L29" s="34">
        <f>J29-K29</f>
        <v/>
      </c>
      <c r="M29" s="34">
        <f>D29*G29*K29</f>
        <v/>
      </c>
      <c r="N29" s="34">
        <f>(D29/2)*H29*L29</f>
        <v/>
      </c>
      <c r="O29" s="34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6">
        <f>IFERROR(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,INDEX('Curve_Interface'!$L$8:$L$73,MATCH(C30,'Curve_Interface'!$K$8:$K$73,1)))</f>
        <v/>
      </c>
      <c r="H30" s="36">
        <f>IFERROR(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,INDEX('Curve_Interface'!$L$8:$L$73,MATCH((B30+C30)/2,'Curve_Interface'!$K$8:$K$73,1)))</f>
        <v/>
      </c>
      <c r="I30" s="52">
        <f>INDEX(Hazard_Bootstrap!$D$7:$D$12,MIN(COUNTIF(Hazard_Bootstrap!$B$7:$B$12,"&lt;"&amp;C30)+1,6))</f>
        <v/>
      </c>
      <c r="J30" s="34">
        <f>K29</f>
        <v/>
      </c>
      <c r="K30" s="34">
        <f>J30*EXP(-I30*E30)</f>
        <v/>
      </c>
      <c r="L30" s="34">
        <f>J30-K30</f>
        <v/>
      </c>
      <c r="M30" s="34">
        <f>D30*G30*K30</f>
        <v/>
      </c>
      <c r="N30" s="34">
        <f>(D30/2)*H30*L30</f>
        <v/>
      </c>
      <c r="O30" s="34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6">
        <f>IFERROR(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,INDEX('Curve_Interface'!$L$8:$L$73,MATCH(C31,'Curve_Interface'!$K$8:$K$73,1)))</f>
        <v/>
      </c>
      <c r="H31" s="36">
        <f>IFERROR(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,INDEX('Curve_Interface'!$L$8:$L$73,MATCH((B31+C31)/2,'Curve_Interface'!$K$8:$K$73,1)))</f>
        <v/>
      </c>
      <c r="I31" s="52">
        <f>INDEX(Hazard_Bootstrap!$D$7:$D$12,MIN(COUNTIF(Hazard_Bootstrap!$B$7:$B$12,"&lt;"&amp;C31)+1,6))</f>
        <v/>
      </c>
      <c r="J31" s="34">
        <f>K30</f>
        <v/>
      </c>
      <c r="K31" s="34">
        <f>J31*EXP(-I31*E31)</f>
        <v/>
      </c>
      <c r="L31" s="34">
        <f>J31-K31</f>
        <v/>
      </c>
      <c r="M31" s="34">
        <f>D31*G31*K31</f>
        <v/>
      </c>
      <c r="N31" s="34">
        <f>(D31/2)*H31*L31</f>
        <v/>
      </c>
      <c r="O31" s="34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6">
        <f>IFERROR(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,INDEX('Curve_Interface'!$L$8:$L$73,MATCH(C32,'Curve_Interface'!$K$8:$K$73,1)))</f>
        <v/>
      </c>
      <c r="H32" s="36">
        <f>IFERROR(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,INDEX('Curve_Interface'!$L$8:$L$73,MATCH((B32+C32)/2,'Curve_Interface'!$K$8:$K$73,1)))</f>
        <v/>
      </c>
      <c r="I32" s="52">
        <f>INDEX(Hazard_Bootstrap!$D$7:$D$12,MIN(COUNTIF(Hazard_Bootstrap!$B$7:$B$12,"&lt;"&amp;C32)+1,6))</f>
        <v/>
      </c>
      <c r="J32" s="34">
        <f>K31</f>
        <v/>
      </c>
      <c r="K32" s="34">
        <f>J32*EXP(-I32*E32)</f>
        <v/>
      </c>
      <c r="L32" s="34">
        <f>J32-K32</f>
        <v/>
      </c>
      <c r="M32" s="34">
        <f>D32*G32*K32</f>
        <v/>
      </c>
      <c r="N32" s="34">
        <f>(D32/2)*H32*L32</f>
        <v/>
      </c>
      <c r="O32" s="34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6">
        <f>IFERROR(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,INDEX('Curve_Interface'!$L$8:$L$73,MATCH(C33,'Curve_Interface'!$K$8:$K$73,1)))</f>
        <v/>
      </c>
      <c r="H33" s="36">
        <f>IFERROR(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,INDEX('Curve_Interface'!$L$8:$L$73,MATCH((B33+C33)/2,'Curve_Interface'!$K$8:$K$73,1)))</f>
        <v/>
      </c>
      <c r="I33" s="52">
        <f>INDEX(Hazard_Bootstrap!$D$7:$D$12,MIN(COUNTIF(Hazard_Bootstrap!$B$7:$B$12,"&lt;"&amp;C33)+1,6))</f>
        <v/>
      </c>
      <c r="J33" s="34">
        <f>K32</f>
        <v/>
      </c>
      <c r="K33" s="34">
        <f>J33*EXP(-I33*E33)</f>
        <v/>
      </c>
      <c r="L33" s="34">
        <f>J33-K33</f>
        <v/>
      </c>
      <c r="M33" s="34">
        <f>D33*G33*K33</f>
        <v/>
      </c>
      <c r="N33" s="34">
        <f>(D33/2)*H33*L33</f>
        <v/>
      </c>
      <c r="O33" s="34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6">
        <f>IFERROR(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,INDEX('Curve_Interface'!$L$8:$L$73,MATCH(C34,'Curve_Interface'!$K$8:$K$73,1)))</f>
        <v/>
      </c>
      <c r="H34" s="36">
        <f>IFERROR(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,INDEX('Curve_Interface'!$L$8:$L$73,MATCH((B34+C34)/2,'Curve_Interface'!$K$8:$K$73,1)))</f>
        <v/>
      </c>
      <c r="I34" s="52">
        <f>INDEX(Hazard_Bootstrap!$D$7:$D$12,MIN(COUNTIF(Hazard_Bootstrap!$B$7:$B$12,"&lt;"&amp;C34)+1,6))</f>
        <v/>
      </c>
      <c r="J34" s="34">
        <f>K33</f>
        <v/>
      </c>
      <c r="K34" s="34">
        <f>J34*EXP(-I34*E34)</f>
        <v/>
      </c>
      <c r="L34" s="34">
        <f>J34-K34</f>
        <v/>
      </c>
      <c r="M34" s="34">
        <f>D34*G34*K34</f>
        <v/>
      </c>
      <c r="N34" s="34">
        <f>(D34/2)*H34*L34</f>
        <v/>
      </c>
      <c r="O34" s="34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6">
        <f>IFERROR(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,INDEX('Curve_Interface'!$L$8:$L$73,MATCH(C35,'Curve_Interface'!$K$8:$K$73,1)))</f>
        <v/>
      </c>
      <c r="H35" s="36">
        <f>IFERROR(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,INDEX('Curve_Interface'!$L$8:$L$73,MATCH((B35+C35)/2,'Curve_Interface'!$K$8:$K$73,1)))</f>
        <v/>
      </c>
      <c r="I35" s="52">
        <f>INDEX(Hazard_Bootstrap!$D$7:$D$12,MIN(COUNTIF(Hazard_Bootstrap!$B$7:$B$12,"&lt;"&amp;C35)+1,6))</f>
        <v/>
      </c>
      <c r="J35" s="34">
        <f>K34</f>
        <v/>
      </c>
      <c r="K35" s="34">
        <f>J35*EXP(-I35*E35)</f>
        <v/>
      </c>
      <c r="L35" s="34">
        <f>J35-K35</f>
        <v/>
      </c>
      <c r="M35" s="34">
        <f>D35*G35*K35</f>
        <v/>
      </c>
      <c r="N35" s="34">
        <f>(D35/2)*H35*L35</f>
        <v/>
      </c>
      <c r="O35" s="34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6">
        <f>IFERROR(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,INDEX('Curve_Interface'!$L$8:$L$73,MATCH(C36,'Curve_Interface'!$K$8:$K$73,1)))</f>
        <v/>
      </c>
      <c r="H36" s="36">
        <f>IFERROR(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,INDEX('Curve_Interface'!$L$8:$L$73,MATCH((B36+C36)/2,'Curve_Interface'!$K$8:$K$73,1)))</f>
        <v/>
      </c>
      <c r="I36" s="52">
        <f>INDEX(Hazard_Bootstrap!$D$7:$D$12,MIN(COUNTIF(Hazard_Bootstrap!$B$7:$B$12,"&lt;"&amp;C36)+1,6))</f>
        <v/>
      </c>
      <c r="J36" s="34">
        <f>K35</f>
        <v/>
      </c>
      <c r="K36" s="34">
        <f>J36*EXP(-I36*E36)</f>
        <v/>
      </c>
      <c r="L36" s="34">
        <f>J36-K36</f>
        <v/>
      </c>
      <c r="M36" s="34">
        <f>D36*G36*K36</f>
        <v/>
      </c>
      <c r="N36" s="34">
        <f>(D36/2)*H36*L36</f>
        <v/>
      </c>
      <c r="O36" s="34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6">
        <f>IFERROR(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,INDEX('Curve_Interface'!$L$8:$L$73,MATCH(C37,'Curve_Interface'!$K$8:$K$73,1)))</f>
        <v/>
      </c>
      <c r="H37" s="36">
        <f>IFERROR(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,INDEX('Curve_Interface'!$L$8:$L$73,MATCH((B37+C37)/2,'Curve_Interface'!$K$8:$K$73,1)))</f>
        <v/>
      </c>
      <c r="I37" s="52">
        <f>INDEX(Hazard_Bootstrap!$D$7:$D$12,MIN(COUNTIF(Hazard_Bootstrap!$B$7:$B$12,"&lt;"&amp;C37)+1,6))</f>
        <v/>
      </c>
      <c r="J37" s="34">
        <f>K36</f>
        <v/>
      </c>
      <c r="K37" s="34">
        <f>J37*EXP(-I37*E37)</f>
        <v/>
      </c>
      <c r="L37" s="34">
        <f>J37-K37</f>
        <v/>
      </c>
      <c r="M37" s="34">
        <f>D37*G37*K37</f>
        <v/>
      </c>
      <c r="N37" s="34">
        <f>(D37/2)*H37*L37</f>
        <v/>
      </c>
      <c r="O37" s="34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6">
        <f>IFERROR(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,INDEX('Curve_Interface'!$L$8:$L$73,MATCH(C38,'Curve_Interface'!$K$8:$K$73,1)))</f>
        <v/>
      </c>
      <c r="H38" s="36">
        <f>IFERROR(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,INDEX('Curve_Interface'!$L$8:$L$73,MATCH((B38+C38)/2,'Curve_Interface'!$K$8:$K$73,1)))</f>
        <v/>
      </c>
      <c r="I38" s="52">
        <f>INDEX(Hazard_Bootstrap!$D$7:$D$12,MIN(COUNTIF(Hazard_Bootstrap!$B$7:$B$12,"&lt;"&amp;C38)+1,6))</f>
        <v/>
      </c>
      <c r="J38" s="34">
        <f>K37</f>
        <v/>
      </c>
      <c r="K38" s="34">
        <f>J38*EXP(-I38*E38)</f>
        <v/>
      </c>
      <c r="L38" s="34">
        <f>J38-K38</f>
        <v/>
      </c>
      <c r="M38" s="34">
        <f>D38*G38*K38</f>
        <v/>
      </c>
      <c r="N38" s="34">
        <f>(D38/2)*H38*L38</f>
        <v/>
      </c>
      <c r="O38" s="34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6">
        <f>IFERROR(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,INDEX('Curve_Interface'!$L$8:$L$73,MATCH(C39,'Curve_Interface'!$K$8:$K$73,1)))</f>
        <v/>
      </c>
      <c r="H39" s="36">
        <f>IFERROR(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,INDEX('Curve_Interface'!$L$8:$L$73,MATCH((B39+C39)/2,'Curve_Interface'!$K$8:$K$73,1)))</f>
        <v/>
      </c>
      <c r="I39" s="52">
        <f>INDEX(Hazard_Bootstrap!$D$7:$D$12,MIN(COUNTIF(Hazard_Bootstrap!$B$7:$B$12,"&lt;"&amp;C39)+1,6))</f>
        <v/>
      </c>
      <c r="J39" s="34">
        <f>K38</f>
        <v/>
      </c>
      <c r="K39" s="34">
        <f>J39*EXP(-I39*E39)</f>
        <v/>
      </c>
      <c r="L39" s="34">
        <f>J39-K39</f>
        <v/>
      </c>
      <c r="M39" s="34">
        <f>D39*G39*K39</f>
        <v/>
      </c>
      <c r="N39" s="34">
        <f>(D39/2)*H39*L39</f>
        <v/>
      </c>
      <c r="O39" s="34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6">
        <f>IFERROR(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,INDEX('Curve_Interface'!$L$8:$L$73,MATCH(C40,'Curve_Interface'!$K$8:$K$73,1)))</f>
        <v/>
      </c>
      <c r="H40" s="36">
        <f>IFERROR(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,INDEX('Curve_Interface'!$L$8:$L$73,MATCH((B40+C40)/2,'Curve_Interface'!$K$8:$K$73,1)))</f>
        <v/>
      </c>
      <c r="I40" s="52">
        <f>INDEX(Hazard_Bootstrap!$D$7:$D$12,MIN(COUNTIF(Hazard_Bootstrap!$B$7:$B$12,"&lt;"&amp;C40)+1,6))</f>
        <v/>
      </c>
      <c r="J40" s="34">
        <f>K39</f>
        <v/>
      </c>
      <c r="K40" s="34">
        <f>J40*EXP(-I40*E40)</f>
        <v/>
      </c>
      <c r="L40" s="34">
        <f>J40-K40</f>
        <v/>
      </c>
      <c r="M40" s="34">
        <f>D40*G40*K40</f>
        <v/>
      </c>
      <c r="N40" s="34">
        <f>(D40/2)*H40*L40</f>
        <v/>
      </c>
      <c r="O40" s="34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6">
        <f>IFERROR(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,INDEX('Curve_Interface'!$L$8:$L$73,MATCH(C41,'Curve_Interface'!$K$8:$K$73,1)))</f>
        <v/>
      </c>
      <c r="H41" s="36">
        <f>IFERROR(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,INDEX('Curve_Interface'!$L$8:$L$73,MATCH((B41+C41)/2,'Curve_Interface'!$K$8:$K$73,1)))</f>
        <v/>
      </c>
      <c r="I41" s="52">
        <f>INDEX(Hazard_Bootstrap!$D$7:$D$12,MIN(COUNTIF(Hazard_Bootstrap!$B$7:$B$12,"&lt;"&amp;C41)+1,6))</f>
        <v/>
      </c>
      <c r="J41" s="34">
        <f>K40</f>
        <v/>
      </c>
      <c r="K41" s="34">
        <f>J41*EXP(-I41*E41)</f>
        <v/>
      </c>
      <c r="L41" s="34">
        <f>J41-K41</f>
        <v/>
      </c>
      <c r="M41" s="34">
        <f>D41*G41*K41</f>
        <v/>
      </c>
      <c r="N41" s="34">
        <f>(D41/2)*H41*L41</f>
        <v/>
      </c>
      <c r="O41" s="34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6">
        <f>IFERROR(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,INDEX('Curve_Interface'!$L$8:$L$73,MATCH(C42,'Curve_Interface'!$K$8:$K$73,1)))</f>
        <v/>
      </c>
      <c r="H42" s="36">
        <f>IFERROR(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,INDEX('Curve_Interface'!$L$8:$L$73,MATCH((B42+C42)/2,'Curve_Interface'!$K$8:$K$73,1)))</f>
        <v/>
      </c>
      <c r="I42" s="52">
        <f>INDEX(Hazard_Bootstrap!$D$7:$D$12,MIN(COUNTIF(Hazard_Bootstrap!$B$7:$B$12,"&lt;"&amp;C42)+1,6))</f>
        <v/>
      </c>
      <c r="J42" s="34">
        <f>K41</f>
        <v/>
      </c>
      <c r="K42" s="34">
        <f>J42*EXP(-I42*E42)</f>
        <v/>
      </c>
      <c r="L42" s="34">
        <f>J42-K42</f>
        <v/>
      </c>
      <c r="M42" s="34">
        <f>D42*G42*K42</f>
        <v/>
      </c>
      <c r="N42" s="34">
        <f>(D42/2)*H42*L42</f>
        <v/>
      </c>
      <c r="O42" s="34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6">
        <f>IFERROR(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,INDEX('Curve_Interface'!$L$8:$L$73,MATCH(C43,'Curve_Interface'!$K$8:$K$73,1)))</f>
        <v/>
      </c>
      <c r="H43" s="36">
        <f>IFERROR(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,INDEX('Curve_Interface'!$L$8:$L$73,MATCH((B43+C43)/2,'Curve_Interface'!$K$8:$K$73,1)))</f>
        <v/>
      </c>
      <c r="I43" s="52">
        <f>INDEX(Hazard_Bootstrap!$D$7:$D$12,MIN(COUNTIF(Hazard_Bootstrap!$B$7:$B$12,"&lt;"&amp;C43)+1,6))</f>
        <v/>
      </c>
      <c r="J43" s="34">
        <f>K42</f>
        <v/>
      </c>
      <c r="K43" s="34">
        <f>J43*EXP(-I43*E43)</f>
        <v/>
      </c>
      <c r="L43" s="34">
        <f>J43-K43</f>
        <v/>
      </c>
      <c r="M43" s="34">
        <f>D43*G43*K43</f>
        <v/>
      </c>
      <c r="N43" s="34">
        <f>(D43/2)*H43*L43</f>
        <v/>
      </c>
      <c r="O43" s="34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6">
        <f>IFERROR(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,INDEX('Curve_Interface'!$L$8:$L$73,MATCH(C44,'Curve_Interface'!$K$8:$K$73,1)))</f>
        <v/>
      </c>
      <c r="H44" s="36">
        <f>IFERROR(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,INDEX('Curve_Interface'!$L$8:$L$73,MATCH((B44+C44)/2,'Curve_Interface'!$K$8:$K$73,1)))</f>
        <v/>
      </c>
      <c r="I44" s="52">
        <f>INDEX(Hazard_Bootstrap!$D$7:$D$12,MIN(COUNTIF(Hazard_Bootstrap!$B$7:$B$12,"&lt;"&amp;C44)+1,6))</f>
        <v/>
      </c>
      <c r="J44" s="34">
        <f>K43</f>
        <v/>
      </c>
      <c r="K44" s="34">
        <f>J44*EXP(-I44*E44)</f>
        <v/>
      </c>
      <c r="L44" s="34">
        <f>J44-K44</f>
        <v/>
      </c>
      <c r="M44" s="34">
        <f>D44*G44*K44</f>
        <v/>
      </c>
      <c r="N44" s="34">
        <f>(D44/2)*H44*L44</f>
        <v/>
      </c>
      <c r="O44" s="34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6">
        <f>IFERROR(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,INDEX('Curve_Interface'!$L$8:$L$73,MATCH(C45,'Curve_Interface'!$K$8:$K$73,1)))</f>
        <v/>
      </c>
      <c r="H45" s="36">
        <f>IFERROR(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,INDEX('Curve_Interface'!$L$8:$L$73,MATCH((B45+C45)/2,'Curve_Interface'!$K$8:$K$73,1)))</f>
        <v/>
      </c>
      <c r="I45" s="52">
        <f>INDEX(Hazard_Bootstrap!$D$7:$D$12,MIN(COUNTIF(Hazard_Bootstrap!$B$7:$B$12,"&lt;"&amp;C45)+1,6))</f>
        <v/>
      </c>
      <c r="J45" s="34">
        <f>K44</f>
        <v/>
      </c>
      <c r="K45" s="34">
        <f>J45*EXP(-I45*E45)</f>
        <v/>
      </c>
      <c r="L45" s="34">
        <f>J45-K45</f>
        <v/>
      </c>
      <c r="M45" s="34">
        <f>D45*G45*K45</f>
        <v/>
      </c>
      <c r="N45" s="34">
        <f>(D45/2)*H45*L45</f>
        <v/>
      </c>
      <c r="O45" s="34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6">
        <f>IFERROR(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,INDEX('Curve_Interface'!$L$8:$L$73,MATCH(C46,'Curve_Interface'!$K$8:$K$73,1)))</f>
        <v/>
      </c>
      <c r="H46" s="36">
        <f>IFERROR(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,INDEX('Curve_Interface'!$L$8:$L$73,MATCH((B46+C46)/2,'Curve_Interface'!$K$8:$K$73,1)))</f>
        <v/>
      </c>
      <c r="I46" s="52">
        <f>INDEX(Hazard_Bootstrap!$D$7:$D$12,MIN(COUNTIF(Hazard_Bootstrap!$B$7:$B$12,"&lt;"&amp;C46)+1,6))</f>
        <v/>
      </c>
      <c r="J46" s="34">
        <f>K45</f>
        <v/>
      </c>
      <c r="K46" s="34">
        <f>J46*EXP(-I46*E46)</f>
        <v/>
      </c>
      <c r="L46" s="34">
        <f>J46-K46</f>
        <v/>
      </c>
      <c r="M46" s="34">
        <f>D46*G46*K46</f>
        <v/>
      </c>
      <c r="N46" s="34">
        <f>(D46/2)*H46*L46</f>
        <v/>
      </c>
      <c r="O46" s="34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8">
        <f>CDS_Parameters!$B$8</f>
        <v/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41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9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4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</row>
    <row r="18">
      <c r="A18" s="5" t="inlineStr">
        <is>
          <t>Upfront (% notional)</t>
        </is>
      </c>
      <c r="B18" s="60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</sheetData>
  <mergeCells count="1">
    <mergeCell ref="A11:F1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565C0"/>
    <outlinePr summaryBelow="1" summaryRight="1"/>
    <pageSetUpPr/>
  </sheetPr>
  <dimension ref="A1:T26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bisection, in cells. Replaces the Goal Seek step: Hazard_Bootstrap fits exactly and updates live when spreads, recovery or the SOFR curve move.</t>
        </is>
      </c>
    </row>
    <row r="3">
      <c r="A3" s="65" t="inlineStr">
        <is>
          <t>Reads only the hazard-INDEPENDENT columns of CDS_Schedule (D alpha, E dt, G DF_end, H DF_mid), so there is no circular reference. Same leg conventions as CDS_Schedule M/N/O.</t>
        </is>
      </c>
    </row>
    <row r="4">
      <c r="A4" s="65" t="inlineStr">
        <is>
          <t>Bracket [0, 3], 30 bisection steps -&gt; resolution ~3e-9.</t>
        </is>
      </c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(1-$F$7)*($D$8+R16)-$D$7*($F$8+S16)</f>
        <v/>
      </c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(1-$F$7)*($D$8+R17)-$D$7*($F$8+S17)</f>
        <v/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(1-$F$7)*($D$8+R18)-$D$7*($F$8+S18)</f>
        <v/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(1-$F$7)*($D$8+R19)-$D$7*($F$8+S19)</f>
        <v/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(1-$F$7)*($D$8+R20)-$D$7*($F$8+S20)</f>
        <v/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(1-$F$7)*($D$8+R21)-$D$7*($F$8+S21)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(1-$F$7)*($D$8+R22)-$D$7*($F$8+S22)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(1-$F$7)*($D$8+R23)-$D$7*($F$8+S23)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(1-$F$7)*($D$8+R24)-$D$7*($F$8+S24)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(1-$F$7)*($D$8+R25)-$D$7*($F$8+S25)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(1-$F$7)*($D$8+R26)-$D$7*($F$8+S26)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(1-$F$7)*($D$8+R27)-$D$7*($F$8+S27)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(1-$F$7)*($D$8+R28)-$D$7*($F$8+S28)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(1-$F$7)*($D$8+R29)-$D$7*($F$8+S29)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(1-$F$7)*($D$8+R30)-$D$7*($F$8+S30)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(1-$F$7)*($D$8+R31)-$D$7*($F$8+S31)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(1-$F$7)*($D$8+R32)-$D$7*($F$8+S32)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(1-$F$7)*($D$8+R33)-$D$7*($F$8+S33)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(1-$F$7)*($D$8+R34)-$D$7*($F$8+S34)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(1-$F$7)*($D$8+R35)-$D$7*($F$8+S35)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(1-$F$7)*($D$8+R36)-$D$7*($F$8+S36)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(1-$F$7)*($D$8+R37)-$D$7*($F$8+S37)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(1-$F$7)*($D$8+R38)-$D$7*($F$8+S38)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(1-$F$7)*($D$8+R39)-$D$7*($F$8+S39)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(1-$F$7)*($D$8+R40)-$D$7*($F$8+S40)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(1-$F$7)*($D$8+R41)-$D$7*($F$8+S41)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(1-$F$7)*($D$8+R42)-$D$7*($F$8+S42)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(1-$F$7)*($D$8+R43)-$D$7*($F$8+S43)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(1-$F$7)*($D$8+R44)-$D$7*($F$8+S44)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(1-$F$7)*($D$8+R45)-$D$7*($F$8+S45)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(1-$F$50)*($D$51+R59)-$D$50*($F$51+S59)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(1-$F$50)*($D$51+R60)-$D$50*($F$51+S60)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(1-$F$50)*($D$51+R61)-$D$50*($F$51+S61)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(1-$F$50)*($D$51+R62)-$D$50*($F$51+S62)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(1-$F$50)*($D$51+R63)-$D$50*($F$51+S63)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(1-$F$50)*($D$51+R64)-$D$50*($F$51+S64)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(1-$F$50)*($D$51+R65)-$D$50*($F$51+S65)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(1-$F$50)*($D$51+R66)-$D$50*($F$51+S66)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(1-$F$50)*($D$51+R67)-$D$50*($F$51+S67)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(1-$F$50)*($D$51+R68)-$D$50*($F$51+S68)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(1-$F$50)*($D$51+R69)-$D$50*($F$51+S69)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(1-$F$50)*($D$51+R70)-$D$50*($F$51+S70)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(1-$F$50)*($D$51+R71)-$D$50*($F$51+S71)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(1-$F$50)*($D$51+R72)-$D$50*($F$51+S72)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(1-$F$50)*($D$51+R73)-$D$50*($F$51+S73)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(1-$F$50)*($D$51+R74)-$D$50*($F$51+S74)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(1-$F$50)*($D$51+R75)-$D$50*($F$51+S75)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(1-$F$50)*($D$51+R76)-$D$50*($F$51+S76)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(1-$F$50)*($D$51+R77)-$D$50*($F$51+S77)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(1-$F$50)*($D$51+R78)-$D$50*($F$51+S78)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(1-$F$50)*($D$51+R79)-$D$50*($F$51+S79)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(1-$F$50)*($D$51+R80)-$D$50*($F$51+S80)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(1-$F$50)*($D$51+R81)-$D$50*($F$51+S81)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(1-$F$50)*($D$51+R82)-$D$50*($F$51+S82)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(1-$F$50)*($D$51+R83)-$D$50*($F$51+S83)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(1-$F$50)*($D$51+R84)-$D$50*($F$51+S84)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(1-$F$50)*($D$51+R85)-$D$50*($F$51+S85)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(1-$F$50)*($D$51+R86)-$D$50*($F$51+S86)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(1-$F$50)*($D$51+R87)-$D$50*($F$51+S87)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(1-$F$50)*($D$51+R88)-$D$50*($F$51+S88)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(1-$F$93)*($D$94+R102)-$D$93*($F$94+S102)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(1-$F$93)*($D$94+R103)-$D$93*($F$94+S103)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(1-$F$93)*($D$94+R104)-$D$93*($F$94+S104)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(1-$F$93)*($D$94+R105)-$D$93*($F$94+S105)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(1-$F$93)*($D$94+R106)-$D$93*($F$94+S106)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(1-$F$93)*($D$94+R107)-$D$93*($F$94+S107)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(1-$F$93)*($D$94+R108)-$D$93*($F$94+S108)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(1-$F$93)*($D$94+R109)-$D$93*($F$94+S109)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(1-$F$93)*($D$94+R110)-$D$93*($F$94+S110)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(1-$F$93)*($D$94+R111)-$D$93*($F$94+S111)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(1-$F$93)*($D$94+R112)-$D$93*($F$94+S112)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(1-$F$93)*($D$94+R113)-$D$93*($F$94+S113)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(1-$F$93)*($D$94+R114)-$D$93*($F$94+S114)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(1-$F$93)*($D$94+R115)-$D$93*($F$94+S115)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(1-$F$93)*($D$94+R116)-$D$93*($F$94+S116)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(1-$F$93)*($D$94+R117)-$D$93*($F$94+S117)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(1-$F$93)*($D$94+R118)-$D$93*($F$94+S118)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(1-$F$93)*($D$94+R119)-$D$93*($F$94+S119)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(1-$F$93)*($D$94+R120)-$D$93*($F$94+S120)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(1-$F$93)*($D$94+R121)-$D$93*($F$94+S121)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(1-$F$93)*($D$94+R122)-$D$93*($F$94+S122)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(1-$F$93)*($D$94+R123)-$D$93*($F$94+S123)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(1-$F$93)*($D$94+R124)-$D$93*($F$94+S124)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(1-$F$93)*($D$94+R125)-$D$93*($F$94+S125)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(1-$F$93)*($D$94+R126)-$D$93*($F$94+S126)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(1-$F$93)*($D$94+R127)-$D$93*($F$94+S127)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(1-$F$93)*($D$94+R128)-$D$93*($F$94+S128)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(1-$F$93)*($D$94+R129)-$D$93*($F$94+S129)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(1-$F$93)*($D$94+R130)-$D$93*($F$94+S130)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(1-$F$93)*($D$94+R131)-$D$93*($F$94+S131)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(1-$F$136)*($D$137+R145)-$D$136*($F$137+S145)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(1-$F$136)*($D$137+R146)-$D$136*($F$137+S146)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(1-$F$136)*($D$137+R147)-$D$136*($F$137+S147)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(1-$F$136)*($D$137+R148)-$D$136*($F$137+S148)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(1-$F$136)*($D$137+R149)-$D$136*($F$137+S149)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(1-$F$136)*($D$137+R150)-$D$136*($F$137+S150)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(1-$F$136)*($D$137+R151)-$D$136*($F$137+S151)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(1-$F$136)*($D$137+R152)-$D$136*($F$137+S152)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(1-$F$136)*($D$137+R153)-$D$136*($F$137+S153)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(1-$F$136)*($D$137+R154)-$D$136*($F$137+S154)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(1-$F$136)*($D$137+R155)-$D$136*($F$137+S155)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(1-$F$136)*($D$137+R156)-$D$136*($F$137+S156)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(1-$F$136)*($D$137+R157)-$D$136*($F$137+S157)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(1-$F$136)*($D$137+R158)-$D$136*($F$137+S158)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(1-$F$136)*($D$137+R159)-$D$136*($F$137+S159)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(1-$F$136)*($D$137+R160)-$D$136*($F$137+S160)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(1-$F$136)*($D$137+R161)-$D$136*($F$137+S161)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(1-$F$136)*($D$137+R162)-$D$136*($F$137+S162)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(1-$F$136)*($D$137+R163)-$D$136*($F$137+S163)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(1-$F$136)*($D$137+R164)-$D$136*($F$137+S164)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(1-$F$136)*($D$137+R165)-$D$136*($F$137+S165)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(1-$F$136)*($D$137+R166)-$D$136*($F$137+S166)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(1-$F$136)*($D$137+R167)-$D$136*($F$137+S167)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(1-$F$136)*($D$137+R168)-$D$136*($F$137+S168)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(1-$F$136)*($D$137+R169)-$D$136*($F$137+S169)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(1-$F$136)*($D$137+R170)-$D$136*($F$137+S170)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(1-$F$136)*($D$137+R171)-$D$136*($F$137+S171)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(1-$F$136)*($D$137+R172)-$D$136*($F$137+S172)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(1-$F$136)*($D$137+R173)-$D$136*($F$137+S173)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(1-$F$136)*($D$137+R174)-$D$136*($F$137+S174)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(1-$F$179)*($D$180+R188)-$D$179*($F$180+S188)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(1-$F$179)*($D$180+R189)-$D$179*($F$180+S189)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(1-$F$179)*($D$180+R190)-$D$179*($F$180+S190)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(1-$F$179)*($D$180+R191)-$D$179*($F$180+S191)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(1-$F$179)*($D$180+R192)-$D$179*($F$180+S192)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(1-$F$179)*($D$180+R193)-$D$179*($F$180+S193)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(1-$F$179)*($D$180+R194)-$D$179*($F$180+S194)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(1-$F$179)*($D$180+R195)-$D$179*($F$180+S195)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(1-$F$179)*($D$180+R196)-$D$179*($F$180+S196)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(1-$F$179)*($D$180+R197)-$D$179*($F$180+S197)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(1-$F$179)*($D$180+R198)-$D$179*($F$180+S198)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(1-$F$179)*($D$180+R199)-$D$179*($F$180+S199)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(1-$F$179)*($D$180+R200)-$D$179*($F$180+S200)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(1-$F$179)*($D$180+R201)-$D$179*($F$180+S201)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(1-$F$179)*($D$180+R202)-$D$179*($F$180+S202)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(1-$F$179)*($D$180+R203)-$D$179*($F$180+S203)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(1-$F$179)*($D$180+R204)-$D$179*($F$180+S204)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(1-$F$179)*($D$180+R205)-$D$179*($F$180+S205)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(1-$F$179)*($D$180+R206)-$D$179*($F$180+S206)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(1-$F$179)*($D$180+R207)-$D$179*($F$180+S207)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(1-$F$179)*($D$180+R208)-$D$179*($F$180+S208)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(1-$F$179)*($D$180+R209)-$D$179*($F$180+S209)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(1-$F$179)*($D$180+R210)-$D$179*($F$180+S210)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(1-$F$179)*($D$180+R211)-$D$179*($F$180+S211)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(1-$F$179)*($D$180+R212)-$D$179*($F$180+S212)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(1-$F$179)*($D$180+R213)-$D$179*($F$180+S213)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(1-$F$179)*($D$180+R214)-$D$179*($F$180+S214)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(1-$F$179)*($D$180+R215)-$D$179*($F$180+S215)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(1-$F$179)*($D$180+R216)-$D$179*($F$180+S216)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(1-$F$179)*($D$180+R217)-$D$179*($F$180+S217)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(1-$F$222)*($D$223+R231)-$D$222*($F$223+S231)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(1-$F$222)*($D$223+R232)-$D$222*($F$223+S232)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(1-$F$222)*($D$223+R233)-$D$222*($F$223+S233)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(1-$F$222)*($D$223+R234)-$D$222*($F$223+S234)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(1-$F$222)*($D$223+R235)-$D$222*($F$223+S235)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(1-$F$222)*($D$223+R236)-$D$222*($F$223+S236)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(1-$F$222)*($D$223+R237)-$D$222*($F$223+S237)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(1-$F$222)*($D$223+R238)-$D$222*($F$223+S238)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(1-$F$222)*($D$223+R239)-$D$222*($F$223+S239)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(1-$F$222)*($D$223+R240)-$D$222*($F$223+S240)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(1-$F$222)*($D$223+R241)-$D$222*($F$223+S241)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(1-$F$222)*($D$223+R242)-$D$222*($F$223+S242)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(1-$F$222)*($D$223+R243)-$D$222*($F$223+S243)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(1-$F$222)*($D$223+R244)-$D$222*($F$223+S244)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(1-$F$222)*($D$223+R245)-$D$222*($F$223+S245)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(1-$F$222)*($D$223+R246)-$D$222*($F$223+S246)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(1-$F$222)*($D$223+R247)-$D$222*($F$223+S247)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(1-$F$222)*($D$223+R248)-$D$222*($F$223+S248)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(1-$F$222)*($D$223+R249)-$D$222*($F$223+S249)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(1-$F$222)*($D$223+R250)-$D$222*($F$223+S250)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(1-$F$222)*($D$223+R251)-$D$222*($F$223+S251)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(1-$F$222)*($D$223+R252)-$D$222*($F$223+S252)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(1-$F$222)*($D$223+R253)-$D$222*($F$223+S253)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(1-$F$222)*($D$223+R254)-$D$222*($F$223+S254)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(1-$F$222)*($D$223+R255)-$D$222*($F$223+S255)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(1-$F$222)*($D$223+R256)-$D$222*($F$223+S256)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(1-$F$222)*($D$223+R257)-$D$222*($F$223+S257)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(1-$F$222)*($D$223+R258)-$D$222*($F$223+S258)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(1-$F$222)*($D$223+R259)-$D$222*($F$223+S259)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(1-$F$222)*($D$223+R260)-$D$222*($F$223+S260)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2026-07-21T13:52:42Z</dcterms:modified>
</cp:coreProperties>
</file>