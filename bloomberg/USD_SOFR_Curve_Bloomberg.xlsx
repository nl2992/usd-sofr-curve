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Interface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Bloomberg_S490_Validation" sheetId="9" state="visible" r:id="rId9"/>
    <sheet xmlns:r="http://schemas.openxmlformats.org/officeDocument/2006/relationships" name="Conventions" sheetId="10" state="visible" r:id="rId10"/>
    <sheet xmlns:r="http://schemas.openxmlformats.org/officeDocument/2006/relationships" name="Fwd_Interp" sheetId="11" state="visible" r:id="rId1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" fontId="0" fillId="2" borderId="1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4" fontId="0" fillId="0" borderId="0" pivotButton="0" quotePrefix="0" xfId="0"/>
    <xf numFmtId="1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Live single-curve OIS bootstrap → discount factors, zero &amp; forward rates, S490 Δz check.</t>
        </is>
      </c>
    </row>
    <row r="41">
      <c r="A41" s="13" t="inlineStr">
        <is>
          <t>Curve_Interface</t>
        </is>
      </c>
      <c r="B41" s="3" t="inlineStr">
        <is>
          <t>Shared D(0,t): interpolates the SOFR curve to ANY date (quarterly CDS dates demo). Used by Swap_Pricer + CDS.</t>
        </is>
      </c>
    </row>
    <row r="42">
      <c r="A42" s="13" t="inlineStr">
        <is>
          <t>5. Bloomberg_S490_Validation</t>
        </is>
      </c>
      <c r="B42" s="3" t="inlineStr">
        <is>
          <t>Bloomberg's own USD SOFR curve (S490) for benchmarking your bootstrap.</t>
        </is>
      </c>
    </row>
    <row r="43">
      <c r="A43" s="13" t="inlineStr">
        <is>
          <t>6. Conventions</t>
        </is>
      </c>
      <c r="B43" s="3" t="inlineStr">
        <is>
          <t>DES/SWPM conventions for representative OIS (spot lag, day counts, compounding, EOM…).</t>
        </is>
      </c>
    </row>
    <row r="44">
      <c r="A44" s="13" t="inlineStr">
        <is>
          <t>7. Fwd_Interp</t>
        </is>
      </c>
      <c r="B44" s="3" t="inlineStr">
        <is>
          <t>Zhou 2002 forward interpolation: V1 piecewise-flat vs V2 piecewise-quadratic forwards.</t>
        </is>
      </c>
    </row>
    <row r="46">
      <c r="A46" s="15" t="inlineStr">
        <is>
          <t>DO NOT substitute these (wrong instruments):</t>
        </is>
      </c>
    </row>
    <row r="47">
      <c r="A47" s="9" t="inlineStr">
        <is>
          <t>•  TSFR1M/3M/6M/12M Index  — Term SOFR benchmarks, NOT overnight-SOFR OIS calibration instruments.</t>
        </is>
      </c>
    </row>
    <row r="48">
      <c r="A48" s="9" t="inlineStr">
        <is>
          <t>•  USISSO02/05/10/30 Index — ICE Swap Rate fixings, NOT the live OIS quote strip needed to bootstrap.</t>
        </is>
      </c>
    </row>
    <row r="49">
      <c r="A49" s="9" t="inlineStr">
        <is>
          <t>•  Use PX midpoint (bid+ask)/2 for construction; use PX_LAST only where bid/ask are unavailable.</t>
        </is>
      </c>
    </row>
    <row r="51" ht="28" customHeight="1">
      <c r="A51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2"/>
  </sheetData>
  <mergeCells count="52">
    <mergeCell ref="A16:F16"/>
    <mergeCell ref="D11:F11"/>
    <mergeCell ref="D13:F13"/>
    <mergeCell ref="A46:F46"/>
    <mergeCell ref="B25:F25"/>
    <mergeCell ref="E17:F17"/>
    <mergeCell ref="B27:F27"/>
    <mergeCell ref="C20:D20"/>
    <mergeCell ref="A33:F33"/>
    <mergeCell ref="B43:F43"/>
    <mergeCell ref="E20:F20"/>
    <mergeCell ref="B39:F39"/>
    <mergeCell ref="A47:F47"/>
    <mergeCell ref="B42:F42"/>
    <mergeCell ref="E19:F19"/>
    <mergeCell ref="A32:F32"/>
    <mergeCell ref="D12:F12"/>
    <mergeCell ref="D9:F9"/>
    <mergeCell ref="C22:D22"/>
    <mergeCell ref="A35:F35"/>
    <mergeCell ref="A51:F52"/>
    <mergeCell ref="A18:B18"/>
    <mergeCell ref="D8:F8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48:F48"/>
    <mergeCell ref="A30:F30"/>
    <mergeCell ref="C17:D17"/>
    <mergeCell ref="B40:F40"/>
    <mergeCell ref="A22:B22"/>
    <mergeCell ref="D10:F10"/>
    <mergeCell ref="A24:F24"/>
    <mergeCell ref="A20:B20"/>
    <mergeCell ref="A49:F49"/>
    <mergeCell ref="A19:B19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8">
        <f>WORKDAY(VAL_DATE,2)</f>
        <v/>
      </c>
    </row>
    <row r="5" ht="58" customHeight="1">
      <c r="A5" s="9" t="inlineStr">
        <is>
          <t>SHORT (o/n–1Y): single-payment SOFR OIS, DF = 1/(1+S·tau0).  MIDDLE (1Y–5Y): the DF at 18M/2Y/3Y/4Y/5Y is interpolated off the SR3 futures chain (helper block cols O–W), which discounts each contract's forward rate forward from the OIS 1Y DF — so 18M/2Y…5Y here are driven by FUTURES, not the OIS pars (col E is shown only for reference).  LONG (5Y–50Y): annual SOFR OIS swaps, DF = (1−S·A_prior)/(1+S·taucoupon), with the annuity (col I) built from the short + futures DFs. Cutovers at 1Y and 5Y mean nothing overlaps. Paste S490 zeros into column L for the Δz check.</t>
        </is>
      </c>
      <c r="O5" s="13" t="inlineStr">
        <is>
          <t>sigma (bp/yr):</t>
        </is>
      </c>
      <c r="P5" s="27" t="n">
        <v>100</v>
      </c>
      <c r="Q5" s="16" t="inlineStr">
        <is>
          <t>futures convexity CA = 0.5·sigma^2·t1·t2 (col T, bp)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 (post-1Y)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6" t="inlineStr">
        <is>
          <t>1W</t>
        </is>
      </c>
      <c r="B8" s="18">
        <f>$B$4+7</f>
        <v/>
      </c>
      <c r="C8" s="28">
        <f>(B8-$B$4)/365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'SOFR_Futures'!H8</f>
        <v/>
      </c>
      <c r="R8" s="17">
        <f>MAX(0,(Q8-MAX(P8,$B$22))/360)</f>
        <v/>
      </c>
      <c r="S8" s="17">
        <f>'SOFR_Futures'!F7</f>
        <v/>
      </c>
      <c r="T8" s="28">
        <f>0.5*$P$5^2*((P8-$B$4)/365)*((Q8-$B$4)/365)/10000</f>
        <v/>
      </c>
      <c r="U8" s="32">
        <f>(S8-T8/100)/100</f>
        <v/>
      </c>
      <c r="V8" s="33">
        <f>$H$22</f>
        <v/>
      </c>
      <c r="W8" s="33">
        <f>V8/(1+U8*R8)</f>
        <v/>
      </c>
      <c r="Y8" s="18">
        <f>$B$22</f>
        <v/>
      </c>
      <c r="Z8" s="33">
        <f>$H$22</f>
        <v/>
      </c>
    </row>
    <row r="9">
      <c r="A9" s="6" t="inlineStr">
        <is>
          <t>2W</t>
        </is>
      </c>
      <c r="B9" s="18">
        <f>$B$4+14</f>
        <v/>
      </c>
      <c r="C9" s="28">
        <f>(B9-$B$4)/365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'SOFR_Futures'!H9</f>
        <v/>
      </c>
      <c r="R9" s="17">
        <f>MAX(0,(Q9-MAX(P9,$B$22))/360)</f>
        <v/>
      </c>
      <c r="S9" s="17">
        <f>'SOFR_Futures'!F8</f>
        <v/>
      </c>
      <c r="T9" s="28">
        <f>0.5*$P$5^2*((P9-$B$4)/365)*((Q9-$B$4)/365)/10000</f>
        <v/>
      </c>
      <c r="U9" s="32">
        <f>(S9-T9/100)/100</f>
        <v/>
      </c>
      <c r="V9" s="33">
        <f>W8</f>
        <v/>
      </c>
      <c r="W9" s="33">
        <f>V9/(1+U9*R9)</f>
        <v/>
      </c>
      <c r="Y9" s="18">
        <f>MAX(Q8,$B$22)</f>
        <v/>
      </c>
      <c r="Z9" s="33">
        <f>W8</f>
        <v/>
      </c>
    </row>
    <row r="10">
      <c r="A10" s="6" t="inlineStr">
        <is>
          <t>3W</t>
        </is>
      </c>
      <c r="B10" s="18">
        <f>$B$4+21</f>
        <v/>
      </c>
      <c r="C10" s="28">
        <f>(B10-$B$4)/365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'SOFR_Futures'!H10</f>
        <v/>
      </c>
      <c r="R10" s="17">
        <f>MAX(0,(Q10-MAX(P10,$B$22))/360)</f>
        <v/>
      </c>
      <c r="S10" s="17">
        <f>'SOFR_Futures'!F9</f>
        <v/>
      </c>
      <c r="T10" s="28">
        <f>0.5*$P$5^2*((P10-$B$4)/365)*((Q10-$B$4)/365)/10000</f>
        <v/>
      </c>
      <c r="U10" s="32">
        <f>(S10-T10/100)/100</f>
        <v/>
      </c>
      <c r="V10" s="33">
        <f>W9</f>
        <v/>
      </c>
      <c r="W10" s="33">
        <f>V10/(1+U10*R10)</f>
        <v/>
      </c>
      <c r="Y10" s="18">
        <f>MAX(Q9,$B$22)</f>
        <v/>
      </c>
      <c r="Z10" s="33">
        <f>W9</f>
        <v/>
      </c>
    </row>
    <row r="11">
      <c r="A11" s="6" t="inlineStr">
        <is>
          <t>1M</t>
        </is>
      </c>
      <c r="B11" s="18">
        <f>EDATE($B$4,1)</f>
        <v/>
      </c>
      <c r="C11" s="28">
        <f>(B11-$B$4)/365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'SOFR_Futures'!H11</f>
        <v/>
      </c>
      <c r="R11" s="17">
        <f>MAX(0,(Q11-MAX(P11,$B$22))/360)</f>
        <v/>
      </c>
      <c r="S11" s="17">
        <f>'SOFR_Futures'!F10</f>
        <v/>
      </c>
      <c r="T11" s="28">
        <f>0.5*$P$5^2*((P11-$B$4)/365)*((Q11-$B$4)/365)/10000</f>
        <v/>
      </c>
      <c r="U11" s="32">
        <f>(S11-T11/100)/100</f>
        <v/>
      </c>
      <c r="V11" s="33">
        <f>W10</f>
        <v/>
      </c>
      <c r="W11" s="33">
        <f>V11/(1+U11*R11)</f>
        <v/>
      </c>
      <c r="Y11" s="18">
        <f>MAX(Q10,$B$22)</f>
        <v/>
      </c>
      <c r="Z11" s="33">
        <f>W10</f>
        <v/>
      </c>
    </row>
    <row r="12">
      <c r="A12" s="6" t="inlineStr">
        <is>
          <t>2M</t>
        </is>
      </c>
      <c r="B12" s="18">
        <f>EDATE($B$4,2)</f>
        <v/>
      </c>
      <c r="C12" s="28">
        <f>(B12-$B$4)/365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'SOFR_Futures'!H12</f>
        <v/>
      </c>
      <c r="R12" s="17">
        <f>MAX(0,(Q12-MAX(P12,$B$22))/360)</f>
        <v/>
      </c>
      <c r="S12" s="17">
        <f>'SOFR_Futures'!F11</f>
        <v/>
      </c>
      <c r="T12" s="28">
        <f>0.5*$P$5^2*((P12-$B$4)/365)*((Q12-$B$4)/365)/10000</f>
        <v/>
      </c>
      <c r="U12" s="32">
        <f>(S12-T12/100)/100</f>
        <v/>
      </c>
      <c r="V12" s="33">
        <f>W11</f>
        <v/>
      </c>
      <c r="W12" s="33">
        <f>V12/(1+U12*R12)</f>
        <v/>
      </c>
      <c r="Y12" s="18">
        <f>MAX(Q11,$B$22)</f>
        <v/>
      </c>
      <c r="Z12" s="33">
        <f>W11</f>
        <v/>
      </c>
    </row>
    <row r="13">
      <c r="A13" s="6" t="inlineStr">
        <is>
          <t>3M</t>
        </is>
      </c>
      <c r="B13" s="18">
        <f>EDATE($B$4,3)</f>
        <v/>
      </c>
      <c r="C13" s="28">
        <f>(B13-$B$4)/365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'SOFR_Futures'!H13</f>
        <v/>
      </c>
      <c r="R13" s="17">
        <f>MAX(0,(Q13-MAX(P13,$B$22))/360)</f>
        <v/>
      </c>
      <c r="S13" s="17">
        <f>'SOFR_Futures'!F12</f>
        <v/>
      </c>
      <c r="T13" s="28">
        <f>0.5*$P$5^2*((P13-$B$4)/365)*((Q13-$B$4)/365)/10000</f>
        <v/>
      </c>
      <c r="U13" s="32">
        <f>(S13-T13/100)/100</f>
        <v/>
      </c>
      <c r="V13" s="33">
        <f>W12</f>
        <v/>
      </c>
      <c r="W13" s="33">
        <f>V13/(1+U13*R13)</f>
        <v/>
      </c>
      <c r="Y13" s="18">
        <f>MAX(Q12,$B$22)</f>
        <v/>
      </c>
      <c r="Z13" s="33">
        <f>W12</f>
        <v/>
      </c>
    </row>
    <row r="14">
      <c r="A14" s="6" t="inlineStr">
        <is>
          <t>4M</t>
        </is>
      </c>
      <c r="B14" s="18">
        <f>EDATE($B$4,4)</f>
        <v/>
      </c>
      <c r="C14" s="28">
        <f>(B14-$B$4)/365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'SOFR_Futures'!H14</f>
        <v/>
      </c>
      <c r="R14" s="17">
        <f>MAX(0,(Q14-MAX(P14,$B$22))/360)</f>
        <v/>
      </c>
      <c r="S14" s="17">
        <f>'SOFR_Futures'!F13</f>
        <v/>
      </c>
      <c r="T14" s="28">
        <f>0.5*$P$5^2*((P14-$B$4)/365)*((Q14-$B$4)/365)/10000</f>
        <v/>
      </c>
      <c r="U14" s="32">
        <f>(S14-T14/100)/100</f>
        <v/>
      </c>
      <c r="V14" s="33">
        <f>W13</f>
        <v/>
      </c>
      <c r="W14" s="33">
        <f>V14/(1+U14*R14)</f>
        <v/>
      </c>
      <c r="Y14" s="18">
        <f>MAX(Q13,$B$22)</f>
        <v/>
      </c>
      <c r="Z14" s="33">
        <f>W13</f>
        <v/>
      </c>
    </row>
    <row r="15">
      <c r="A15" s="6" t="inlineStr">
        <is>
          <t>5M</t>
        </is>
      </c>
      <c r="B15" s="18">
        <f>EDATE($B$4,5)</f>
        <v/>
      </c>
      <c r="C15" s="28">
        <f>(B15-$B$4)/365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'SOFR_Futures'!H15</f>
        <v/>
      </c>
      <c r="R15" s="17">
        <f>MAX(0,(Q15-MAX(P15,$B$22))/360)</f>
        <v/>
      </c>
      <c r="S15" s="17">
        <f>'SOFR_Futures'!F14</f>
        <v/>
      </c>
      <c r="T15" s="28">
        <f>0.5*$P$5^2*((P15-$B$4)/365)*((Q15-$B$4)/365)/10000</f>
        <v/>
      </c>
      <c r="U15" s="32">
        <f>(S15-T15/100)/100</f>
        <v/>
      </c>
      <c r="V15" s="33">
        <f>W14</f>
        <v/>
      </c>
      <c r="W15" s="33">
        <f>V15/(1+U15*R15)</f>
        <v/>
      </c>
      <c r="Y15" s="18">
        <f>MAX(Q14,$B$22)</f>
        <v/>
      </c>
      <c r="Z15" s="33">
        <f>W14</f>
        <v/>
      </c>
    </row>
    <row r="16">
      <c r="A16" s="6" t="inlineStr">
        <is>
          <t>6M</t>
        </is>
      </c>
      <c r="B16" s="18">
        <f>EDATE($B$4,6)</f>
        <v/>
      </c>
      <c r="C16" s="28">
        <f>(B16-$B$4)/365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'SOFR_Futures'!H16</f>
        <v/>
      </c>
      <c r="R16" s="17">
        <f>MAX(0,(Q16-MAX(P16,$B$22))/360)</f>
        <v/>
      </c>
      <c r="S16" s="17">
        <f>'SOFR_Futures'!F15</f>
        <v/>
      </c>
      <c r="T16" s="28">
        <f>0.5*$P$5^2*((P16-$B$4)/365)*((Q16-$B$4)/365)/10000</f>
        <v/>
      </c>
      <c r="U16" s="32">
        <f>(S16-T16/100)/100</f>
        <v/>
      </c>
      <c r="V16" s="33">
        <f>W15</f>
        <v/>
      </c>
      <c r="W16" s="33">
        <f>V16/(1+U16*R16)</f>
        <v/>
      </c>
      <c r="Y16" s="18">
        <f>MAX(Q15,$B$22)</f>
        <v/>
      </c>
      <c r="Z16" s="33">
        <f>W15</f>
        <v/>
      </c>
    </row>
    <row r="17">
      <c r="A17" s="6" t="inlineStr">
        <is>
          <t>7M</t>
        </is>
      </c>
      <c r="B17" s="18">
        <f>EDATE($B$4,7)</f>
        <v/>
      </c>
      <c r="C17" s="28">
        <f>(B17-$B$4)/365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'SOFR_Futures'!H17</f>
        <v/>
      </c>
      <c r="R17" s="17">
        <f>MAX(0,(Q17-MAX(P17,$B$22))/360)</f>
        <v/>
      </c>
      <c r="S17" s="17">
        <f>'SOFR_Futures'!F16</f>
        <v/>
      </c>
      <c r="T17" s="28">
        <f>0.5*$P$5^2*((P17-$B$4)/365)*((Q17-$B$4)/365)/10000</f>
        <v/>
      </c>
      <c r="U17" s="32">
        <f>(S17-T17/100)/100</f>
        <v/>
      </c>
      <c r="V17" s="33">
        <f>W16</f>
        <v/>
      </c>
      <c r="W17" s="33">
        <f>V17/(1+U17*R17)</f>
        <v/>
      </c>
      <c r="Y17" s="18">
        <f>MAX(Q16,$B$22)</f>
        <v/>
      </c>
      <c r="Z17" s="33">
        <f>W16</f>
        <v/>
      </c>
    </row>
    <row r="18">
      <c r="A18" s="6" t="inlineStr">
        <is>
          <t>8M</t>
        </is>
      </c>
      <c r="B18" s="18">
        <f>EDATE($B$4,8)</f>
        <v/>
      </c>
      <c r="C18" s="28">
        <f>(B18-$B$4)/365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'SOFR_Futures'!H18</f>
        <v/>
      </c>
      <c r="R18" s="17">
        <f>MAX(0,(Q18-MAX(P18,$B$22))/360)</f>
        <v/>
      </c>
      <c r="S18" s="17">
        <f>'SOFR_Futures'!F17</f>
        <v/>
      </c>
      <c r="T18" s="28">
        <f>0.5*$P$5^2*((P18-$B$4)/365)*((Q18-$B$4)/365)/10000</f>
        <v/>
      </c>
      <c r="U18" s="32">
        <f>(S18-T18/100)/100</f>
        <v/>
      </c>
      <c r="V18" s="33">
        <f>W17</f>
        <v/>
      </c>
      <c r="W18" s="33">
        <f>V18/(1+U18*R18)</f>
        <v/>
      </c>
      <c r="Y18" s="18">
        <f>MAX(Q17,$B$22)</f>
        <v/>
      </c>
      <c r="Z18" s="33">
        <f>W17</f>
        <v/>
      </c>
    </row>
    <row r="19">
      <c r="A19" s="6" t="inlineStr">
        <is>
          <t>9M</t>
        </is>
      </c>
      <c r="B19" s="18">
        <f>EDATE($B$4,9)</f>
        <v/>
      </c>
      <c r="C19" s="28">
        <f>(B19-$B$4)/365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'SOFR_Futures'!H19</f>
        <v/>
      </c>
      <c r="R19" s="17">
        <f>MAX(0,(Q19-MAX(P19,$B$22))/360)</f>
        <v/>
      </c>
      <c r="S19" s="17">
        <f>'SOFR_Futures'!F18</f>
        <v/>
      </c>
      <c r="T19" s="28">
        <f>0.5*$P$5^2*((P19-$B$4)/365)*((Q19-$B$4)/365)/10000</f>
        <v/>
      </c>
      <c r="U19" s="32">
        <f>(S19-T19/100)/100</f>
        <v/>
      </c>
      <c r="V19" s="33">
        <f>W18</f>
        <v/>
      </c>
      <c r="W19" s="33">
        <f>V19/(1+U19*R19)</f>
        <v/>
      </c>
      <c r="Y19" s="18">
        <f>MAX(Q18,$B$22)</f>
        <v/>
      </c>
      <c r="Z19" s="33">
        <f>W18</f>
        <v/>
      </c>
    </row>
    <row r="20">
      <c r="A20" s="6" t="inlineStr">
        <is>
          <t>10M</t>
        </is>
      </c>
      <c r="B20" s="18">
        <f>EDATE($B$4,10)</f>
        <v/>
      </c>
      <c r="C20" s="28">
        <f>(B20-$B$4)/365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'SOFR_Futures'!H20</f>
        <v/>
      </c>
      <c r="R20" s="17">
        <f>MAX(0,(Q20-MAX(P20,$B$22))/360)</f>
        <v/>
      </c>
      <c r="S20" s="17">
        <f>'SOFR_Futures'!F19</f>
        <v/>
      </c>
      <c r="T20" s="28">
        <f>0.5*$P$5^2*((P20-$B$4)/365)*((Q20-$B$4)/365)/10000</f>
        <v/>
      </c>
      <c r="U20" s="32">
        <f>(S20-T20/100)/100</f>
        <v/>
      </c>
      <c r="V20" s="33">
        <f>W19</f>
        <v/>
      </c>
      <c r="W20" s="33">
        <f>V20/(1+U20*R20)</f>
        <v/>
      </c>
      <c r="Y20" s="18">
        <f>MAX(Q19,$B$22)</f>
        <v/>
      </c>
      <c r="Z20" s="33">
        <f>W19</f>
        <v/>
      </c>
    </row>
    <row r="21">
      <c r="A21" s="6" t="inlineStr">
        <is>
          <t>11M</t>
        </is>
      </c>
      <c r="B21" s="18">
        <f>EDATE($B$4,11)</f>
        <v/>
      </c>
      <c r="C21" s="28">
        <f>(B21-$B$4)/365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'SOFR_Futures'!H21</f>
        <v/>
      </c>
      <c r="R21" s="17">
        <f>MAX(0,(Q21-MAX(P21,$B$22))/360)</f>
        <v/>
      </c>
      <c r="S21" s="17">
        <f>'SOFR_Futures'!F20</f>
        <v/>
      </c>
      <c r="T21" s="28">
        <f>0.5*$P$5^2*((P21-$B$4)/365)*((Q21-$B$4)/365)/10000</f>
        <v/>
      </c>
      <c r="U21" s="32">
        <f>(S21-T21/100)/100</f>
        <v/>
      </c>
      <c r="V21" s="33">
        <f>W20</f>
        <v/>
      </c>
      <c r="W21" s="33">
        <f>V21/(1+U21*R21)</f>
        <v/>
      </c>
      <c r="Y21" s="18">
        <f>MAX(Q20,$B$22)</f>
        <v/>
      </c>
      <c r="Z21" s="33">
        <f>W20</f>
        <v/>
      </c>
    </row>
    <row r="22">
      <c r="A22" s="6" t="inlineStr">
        <is>
          <t>1Y</t>
        </is>
      </c>
      <c r="B22" s="18">
        <f>EDATE($B$4,12)</f>
        <v/>
      </c>
      <c r="C22" s="28">
        <f>(B22-$B$4)/365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'SOFR_Futures'!H22</f>
        <v/>
      </c>
      <c r="R22" s="17">
        <f>MAX(0,(Q22-MAX(P22,$B$22))/360)</f>
        <v/>
      </c>
      <c r="S22" s="17">
        <f>'SOFR_Futures'!F21</f>
        <v/>
      </c>
      <c r="T22" s="28">
        <f>0.5*$P$5^2*((P22-$B$4)/365)*((Q22-$B$4)/365)/10000</f>
        <v/>
      </c>
      <c r="U22" s="32">
        <f>(S22-T22/100)/100</f>
        <v/>
      </c>
      <c r="V22" s="33">
        <f>W21</f>
        <v/>
      </c>
      <c r="W22" s="33">
        <f>V22/(1+U22*R22)</f>
        <v/>
      </c>
      <c r="Y22" s="18">
        <f>MAX(Q21,$B$22)</f>
        <v/>
      </c>
      <c r="Z22" s="33">
        <f>W21</f>
        <v/>
      </c>
    </row>
    <row r="23">
      <c r="A23" s="6" t="inlineStr">
        <is>
          <t>18M</t>
        </is>
      </c>
      <c r="B23" s="18">
        <f>EDATE($B$4,18)</f>
        <v/>
      </c>
      <c r="C23" s="28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'SOFR_Futures'!H23</f>
        <v/>
      </c>
      <c r="R23" s="17">
        <f>MAX(0,(Q23-MAX(P23,$B$22))/360)</f>
        <v/>
      </c>
      <c r="S23" s="17">
        <f>'SOFR_Futures'!F22</f>
        <v/>
      </c>
      <c r="T23" s="28">
        <f>0.5*$P$5^2*((P23-$B$4)/365)*((Q23-$B$4)/365)/10000</f>
        <v/>
      </c>
      <c r="U23" s="32">
        <f>(S23-T23/100)/100</f>
        <v/>
      </c>
      <c r="V23" s="33">
        <f>W22</f>
        <v/>
      </c>
      <c r="W23" s="33">
        <f>V23/(1+U23*R23)</f>
        <v/>
      </c>
      <c r="Y23" s="18">
        <f>MAX(Q22,$B$22)</f>
        <v/>
      </c>
      <c r="Z23" s="33">
        <f>W22</f>
        <v/>
      </c>
    </row>
    <row r="24">
      <c r="A24" s="6" t="inlineStr">
        <is>
          <t>2Y</t>
        </is>
      </c>
      <c r="B24" s="18">
        <f>EDATE($B$4,24)</f>
        <v/>
      </c>
      <c r="C24" s="28">
        <f>(B24-$B$4)/365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'SOFR_Futures'!H24</f>
        <v/>
      </c>
      <c r="R24" s="17">
        <f>MAX(0,(Q24-MAX(P24,$B$22))/360)</f>
        <v/>
      </c>
      <c r="S24" s="17">
        <f>'SOFR_Futures'!F23</f>
        <v/>
      </c>
      <c r="T24" s="28">
        <f>0.5*$P$5^2*((P24-$B$4)/365)*((Q24-$B$4)/365)/10000</f>
        <v/>
      </c>
      <c r="U24" s="32">
        <f>(S24-T24/100)/100</f>
        <v/>
      </c>
      <c r="V24" s="33">
        <f>W23</f>
        <v/>
      </c>
      <c r="W24" s="33">
        <f>V24/(1+U24*R24)</f>
        <v/>
      </c>
      <c r="Y24" s="18">
        <f>MAX(Q23,$B$22)</f>
        <v/>
      </c>
      <c r="Z24" s="33">
        <f>W23</f>
        <v/>
      </c>
    </row>
    <row r="25">
      <c r="A25" s="6" t="inlineStr">
        <is>
          <t>3Y</t>
        </is>
      </c>
      <c r="B25" s="18">
        <f>EDATE($B$4,36)</f>
        <v/>
      </c>
      <c r="C25" s="28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'SOFR_Futures'!H25</f>
        <v/>
      </c>
      <c r="R25" s="17">
        <f>MAX(0,(Q25-MAX(P25,$B$22))/360)</f>
        <v/>
      </c>
      <c r="S25" s="17">
        <f>'SOFR_Futures'!F24</f>
        <v/>
      </c>
      <c r="T25" s="28">
        <f>0.5*$P$5^2*((P25-$B$4)/365)*((Q25-$B$4)/365)/10000</f>
        <v/>
      </c>
      <c r="U25" s="32">
        <f>(S25-T25/100)/100</f>
        <v/>
      </c>
      <c r="V25" s="33">
        <f>W24</f>
        <v/>
      </c>
      <c r="W25" s="33">
        <f>V25/(1+U25*R25)</f>
        <v/>
      </c>
      <c r="Y25" s="18">
        <f>MAX(Q24,$B$22)</f>
        <v/>
      </c>
      <c r="Z25" s="33">
        <f>W24</f>
        <v/>
      </c>
    </row>
    <row r="26">
      <c r="A26" s="6" t="inlineStr">
        <is>
          <t>4Y</t>
        </is>
      </c>
      <c r="B26" s="18">
        <f>EDATE($B$4,48)</f>
        <v/>
      </c>
      <c r="C26" s="28">
        <f>(B26-$B$4)/365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'SOFR_Futures'!H26</f>
        <v/>
      </c>
      <c r="R26" s="17">
        <f>MAX(0,(Q26-MAX(P26,$B$22))/360)</f>
        <v/>
      </c>
      <c r="S26" s="17">
        <f>'SOFR_Futures'!F25</f>
        <v/>
      </c>
      <c r="T26" s="28">
        <f>0.5*$P$5^2*((P26-$B$4)/365)*((Q26-$B$4)/365)/10000</f>
        <v/>
      </c>
      <c r="U26" s="32">
        <f>(S26-T26/100)/100</f>
        <v/>
      </c>
      <c r="V26" s="33">
        <f>W25</f>
        <v/>
      </c>
      <c r="W26" s="33">
        <f>V26/(1+U26*R26)</f>
        <v/>
      </c>
      <c r="Y26" s="18">
        <f>MAX(Q25,$B$22)</f>
        <v/>
      </c>
      <c r="Z26" s="33">
        <f>W25</f>
        <v/>
      </c>
    </row>
    <row r="27">
      <c r="A27" s="6" t="inlineStr">
        <is>
          <t>5Y</t>
        </is>
      </c>
      <c r="B27" s="18">
        <f>EDATE($B$4,60)</f>
        <v/>
      </c>
      <c r="C27" s="28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MAX(0,(Q27-MAX(P27,$B$22))/360)</f>
        <v/>
      </c>
      <c r="S27" s="17">
        <f>'SOFR_Futures'!F26</f>
        <v/>
      </c>
      <c r="T27" s="28">
        <f>0.5*$P$5^2*((P27-$B$4)/365)*((Q27-$B$4)/365)/10000</f>
        <v/>
      </c>
      <c r="U27" s="32">
        <f>(S27-T27/100)/100</f>
        <v/>
      </c>
      <c r="V27" s="33">
        <f>W26</f>
        <v/>
      </c>
      <c r="W27" s="33">
        <f>V27/(1+U27*R27)</f>
        <v/>
      </c>
      <c r="Y27" s="18">
        <f>MAX(Q26,$B$22)</f>
        <v/>
      </c>
      <c r="Z27" s="33">
        <f>W26</f>
        <v/>
      </c>
    </row>
    <row r="28">
      <c r="A28" s="6" t="inlineStr">
        <is>
          <t>6Y</t>
        </is>
      </c>
      <c r="B28" s="18">
        <f>EDATE($B$4,72)</f>
        <v/>
      </c>
      <c r="C28" s="28">
        <f>(B28-$B$4)/365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OIS swap</t>
        </is>
      </c>
      <c r="Y28" s="18">
        <f>MAX(Q27,$B$22)</f>
        <v/>
      </c>
      <c r="Z28" s="33">
        <f>W27</f>
        <v/>
      </c>
    </row>
    <row r="29">
      <c r="A29" s="6" t="inlineStr">
        <is>
          <t>7Y</t>
        </is>
      </c>
      <c r="B29" s="18">
        <f>EDATE($B$4,84)</f>
        <v/>
      </c>
      <c r="C29" s="28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8">
        <f>(B30-$B$4)/365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8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8">
        <f>(B32-$B$4)/365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8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9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8">
        <f>(B34-$B$4)/365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9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8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9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8">
        <f>(B36-$B$4)/365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9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8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9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8">
        <f>(B38-$B$4)/365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9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8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9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OIS swap</t>
        </is>
      </c>
    </row>
    <row r="41" ht="44" customHeight="1">
      <c r="A41" s="9" t="inlineStr">
        <is>
          <t>THREE SEGMENTS (Zhou 2002 structure):  SHORT o/n–1Y = single-payment SOFR OIS  (DF=1/(1+S·tau0));  MIDDLE 1Y–5Y = SR3 futures chained from the 1Y DF (helper block to the right, cols O–W);  LONG 5Y–50Y = annual SOFR OIS swaps built off the futures-derived 5Y point. No overlap — each maturity is covered once. Column H is the curve P(0,T); zero z=−ln(DF)/T; DF source is in col N. Futures→forward convexity (chain col T) = 0.5·sigma^2·t1·t2, driven by the yellow sigma (bp/yr) input above the chain — raise it and the futures pull below the OIS levels. Paste S490 zeros into column L for the Δz check; the Swap_Pricer values any OIS off this curve.</t>
        </is>
      </c>
    </row>
    <row r="42"/>
  </sheetData>
  <mergeCells count="5">
    <mergeCell ref="O6:W6"/>
    <mergeCell ref="Y6:Z6"/>
    <mergeCell ref="A41:N42"/>
    <mergeCell ref="A5:N6"/>
    <mergeCell ref="Q5:W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34">
        <f>VAL_DATE</f>
        <v/>
      </c>
      <c r="C7" s="13" t="inlineStr">
        <is>
          <t>Spot:</t>
        </is>
      </c>
      <c r="D7" s="34">
        <f>Bootstrap!$B$4</f>
        <v/>
      </c>
      <c r="E7" s="13" t="inlineStr">
        <is>
          <t>1st CDS date:</t>
        </is>
      </c>
      <c r="F7" s="34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3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3">
        <f>Bootstrap!H8</f>
        <v/>
      </c>
    </row>
    <row r="10">
      <c r="A10" s="35" t="n">
        <v>1</v>
      </c>
      <c r="B10" s="18">
        <f>EDATE($F$7,3*0)</f>
        <v/>
      </c>
      <c r="C10" s="28">
        <f>(B10-VAL_DATE)/365</f>
        <v/>
      </c>
      <c r="D10" s="18">
        <f>INDEX($K$8:$K$40,MATCH(B10,$K$8:$K$40,1))</f>
        <v/>
      </c>
      <c r="E10" s="18">
        <f>INDEX($K$8:$K$40,MATCH(B10,$K$8:$K$40,1)+1)</f>
        <v/>
      </c>
      <c r="F10" s="17">
        <f>-LN(INDEX($L$8:$L$40,MATCH(B10,$K$8:$K$40,1)+1)/INDEX($L$8:$L$40,MATCH(B10,$K$8:$K$40,1)))/((E10-D10)/365)*100</f>
        <v/>
      </c>
      <c r="G10" s="33">
        <f>INDEX($L$8:$L$40,MATCH(B10,$K$8:$K$40,1))*EXP(-(F10/100)*(B10-D10)/365)</f>
        <v/>
      </c>
      <c r="H10" s="17">
        <f>-LN(G10)/C10*100</f>
        <v/>
      </c>
      <c r="K10" s="18">
        <f>Bootstrap!B9</f>
        <v/>
      </c>
      <c r="L10" s="33">
        <f>Bootstrap!H9</f>
        <v/>
      </c>
    </row>
    <row r="11">
      <c r="A11" s="35" t="n">
        <v>2</v>
      </c>
      <c r="B11" s="18">
        <f>EDATE($F$7,3*1)</f>
        <v/>
      </c>
      <c r="C11" s="28">
        <f>(B11-VAL_DATE)/365</f>
        <v/>
      </c>
      <c r="D11" s="18">
        <f>INDEX($K$8:$K$40,MATCH(B11,$K$8:$K$40,1))</f>
        <v/>
      </c>
      <c r="E11" s="18">
        <f>INDEX($K$8:$K$40,MATCH(B11,$K$8:$K$40,1)+1)</f>
        <v/>
      </c>
      <c r="F11" s="17">
        <f>-LN(INDEX($L$8:$L$40,MATCH(B11,$K$8:$K$40,1)+1)/INDEX($L$8:$L$40,MATCH(B11,$K$8:$K$40,1)))/((E11-D11)/365)*100</f>
        <v/>
      </c>
      <c r="G11" s="33">
        <f>INDEX($L$8:$L$40,MATCH(B11,$K$8:$K$40,1))*EXP(-(F11/100)*(B11-D11)/365)</f>
        <v/>
      </c>
      <c r="H11" s="17">
        <f>-LN(G11)/C11*100</f>
        <v/>
      </c>
      <c r="K11" s="18">
        <f>Bootstrap!B10</f>
        <v/>
      </c>
      <c r="L11" s="33">
        <f>Bootstrap!H10</f>
        <v/>
      </c>
    </row>
    <row r="12">
      <c r="A12" s="35" t="n">
        <v>3</v>
      </c>
      <c r="B12" s="18">
        <f>EDATE($F$7,3*2)</f>
        <v/>
      </c>
      <c r="C12" s="28">
        <f>(B12-VAL_DATE)/365</f>
        <v/>
      </c>
      <c r="D12" s="18">
        <f>INDEX($K$8:$K$40,MATCH(B12,$K$8:$K$40,1))</f>
        <v/>
      </c>
      <c r="E12" s="18">
        <f>INDEX($K$8:$K$40,MATCH(B12,$K$8:$K$40,1)+1)</f>
        <v/>
      </c>
      <c r="F12" s="17">
        <f>-LN(INDEX($L$8:$L$40,MATCH(B12,$K$8:$K$40,1)+1)/INDEX($L$8:$L$40,MATCH(B12,$K$8:$K$40,1)))/((E12-D12)/365)*100</f>
        <v/>
      </c>
      <c r="G12" s="33">
        <f>INDEX($L$8:$L$40,MATCH(B12,$K$8:$K$40,1))*EXP(-(F12/100)*(B12-D12)/365)</f>
        <v/>
      </c>
      <c r="H12" s="17">
        <f>-LN(G12)/C12*100</f>
        <v/>
      </c>
      <c r="K12" s="18">
        <f>Bootstrap!B11</f>
        <v/>
      </c>
      <c r="L12" s="33">
        <f>Bootstrap!H11</f>
        <v/>
      </c>
    </row>
    <row r="13">
      <c r="A13" s="35" t="n">
        <v>4</v>
      </c>
      <c r="B13" s="18">
        <f>EDATE($F$7,3*3)</f>
        <v/>
      </c>
      <c r="C13" s="28">
        <f>(B13-VAL_DATE)/365</f>
        <v/>
      </c>
      <c r="D13" s="18">
        <f>INDEX($K$8:$K$40,MATCH(B13,$K$8:$K$40,1))</f>
        <v/>
      </c>
      <c r="E13" s="18">
        <f>INDEX($K$8:$K$40,MATCH(B13,$K$8:$K$40,1)+1)</f>
        <v/>
      </c>
      <c r="F13" s="17">
        <f>-LN(INDEX($L$8:$L$40,MATCH(B13,$K$8:$K$40,1)+1)/INDEX($L$8:$L$40,MATCH(B13,$K$8:$K$40,1)))/((E13-D13)/365)*100</f>
        <v/>
      </c>
      <c r="G13" s="33">
        <f>INDEX($L$8:$L$40,MATCH(B13,$K$8:$K$40,1))*EXP(-(F13/100)*(B13-D13)/365)</f>
        <v/>
      </c>
      <c r="H13" s="17">
        <f>-LN(G13)/C13*100</f>
        <v/>
      </c>
      <c r="K13" s="18">
        <f>Bootstrap!B12</f>
        <v/>
      </c>
      <c r="L13" s="33">
        <f>Bootstrap!H12</f>
        <v/>
      </c>
    </row>
    <row r="14">
      <c r="A14" s="35" t="n">
        <v>5</v>
      </c>
      <c r="B14" s="18">
        <f>EDATE($F$7,3*4)</f>
        <v/>
      </c>
      <c r="C14" s="28">
        <f>(B14-VAL_DATE)/365</f>
        <v/>
      </c>
      <c r="D14" s="18">
        <f>INDEX($K$8:$K$40,MATCH(B14,$K$8:$K$40,1))</f>
        <v/>
      </c>
      <c r="E14" s="18">
        <f>INDEX($K$8:$K$40,MATCH(B14,$K$8:$K$40,1)+1)</f>
        <v/>
      </c>
      <c r="F14" s="17">
        <f>-LN(INDEX($L$8:$L$40,MATCH(B14,$K$8:$K$40,1)+1)/INDEX($L$8:$L$40,MATCH(B14,$K$8:$K$40,1)))/((E14-D14)/365)*100</f>
        <v/>
      </c>
      <c r="G14" s="33">
        <f>INDEX($L$8:$L$40,MATCH(B14,$K$8:$K$40,1))*EXP(-(F14/100)*(B14-D14)/365)</f>
        <v/>
      </c>
      <c r="H14" s="17">
        <f>-LN(G14)/C14*100</f>
        <v/>
      </c>
      <c r="K14" s="18">
        <f>Bootstrap!B13</f>
        <v/>
      </c>
      <c r="L14" s="33">
        <f>Bootstrap!H13</f>
        <v/>
      </c>
    </row>
    <row r="15">
      <c r="A15" s="35" t="n">
        <v>6</v>
      </c>
      <c r="B15" s="18">
        <f>EDATE($F$7,3*5)</f>
        <v/>
      </c>
      <c r="C15" s="28">
        <f>(B15-VAL_DATE)/365</f>
        <v/>
      </c>
      <c r="D15" s="18">
        <f>INDEX($K$8:$K$40,MATCH(B15,$K$8:$K$40,1))</f>
        <v/>
      </c>
      <c r="E15" s="18">
        <f>INDEX($K$8:$K$40,MATCH(B15,$K$8:$K$40,1)+1)</f>
        <v/>
      </c>
      <c r="F15" s="17">
        <f>-LN(INDEX($L$8:$L$40,MATCH(B15,$K$8:$K$40,1)+1)/INDEX($L$8:$L$40,MATCH(B15,$K$8:$K$40,1)))/((E15-D15)/365)*100</f>
        <v/>
      </c>
      <c r="G15" s="33">
        <f>INDEX($L$8:$L$40,MATCH(B15,$K$8:$K$40,1))*EXP(-(F15/100)*(B15-D15)/365)</f>
        <v/>
      </c>
      <c r="H15" s="17">
        <f>-LN(G15)/C15*100</f>
        <v/>
      </c>
      <c r="K15" s="18">
        <f>Bootstrap!B14</f>
        <v/>
      </c>
      <c r="L15" s="33">
        <f>Bootstrap!H14</f>
        <v/>
      </c>
    </row>
    <row r="16">
      <c r="A16" s="35" t="n">
        <v>7</v>
      </c>
      <c r="B16" s="18">
        <f>EDATE($F$7,3*6)</f>
        <v/>
      </c>
      <c r="C16" s="28">
        <f>(B16-VAL_DATE)/365</f>
        <v/>
      </c>
      <c r="D16" s="18">
        <f>INDEX($K$8:$K$40,MATCH(B16,$K$8:$K$40,1))</f>
        <v/>
      </c>
      <c r="E16" s="18">
        <f>INDEX($K$8:$K$40,MATCH(B16,$K$8:$K$40,1)+1)</f>
        <v/>
      </c>
      <c r="F16" s="17">
        <f>-LN(INDEX($L$8:$L$40,MATCH(B16,$K$8:$K$40,1)+1)/INDEX($L$8:$L$40,MATCH(B16,$K$8:$K$40,1)))/((E16-D16)/365)*100</f>
        <v/>
      </c>
      <c r="G16" s="33">
        <f>INDEX($L$8:$L$40,MATCH(B16,$K$8:$K$40,1))*EXP(-(F16/100)*(B16-D16)/365)</f>
        <v/>
      </c>
      <c r="H16" s="17">
        <f>-LN(G16)/C16*100</f>
        <v/>
      </c>
      <c r="K16" s="18">
        <f>Bootstrap!B15</f>
        <v/>
      </c>
      <c r="L16" s="33">
        <f>Bootstrap!H15</f>
        <v/>
      </c>
    </row>
    <row r="17">
      <c r="A17" s="35" t="n">
        <v>8</v>
      </c>
      <c r="B17" s="18">
        <f>EDATE($F$7,3*7)</f>
        <v/>
      </c>
      <c r="C17" s="28">
        <f>(B17-VAL_DATE)/365</f>
        <v/>
      </c>
      <c r="D17" s="18">
        <f>INDEX($K$8:$K$40,MATCH(B17,$K$8:$K$40,1))</f>
        <v/>
      </c>
      <c r="E17" s="18">
        <f>INDEX($K$8:$K$40,MATCH(B17,$K$8:$K$40,1)+1)</f>
        <v/>
      </c>
      <c r="F17" s="17">
        <f>-LN(INDEX($L$8:$L$40,MATCH(B17,$K$8:$K$40,1)+1)/INDEX($L$8:$L$40,MATCH(B17,$K$8:$K$40,1)))/((E17-D17)/365)*100</f>
        <v/>
      </c>
      <c r="G17" s="33">
        <f>INDEX($L$8:$L$40,MATCH(B17,$K$8:$K$40,1))*EXP(-(F17/100)*(B17-D17)/365)</f>
        <v/>
      </c>
      <c r="H17" s="17">
        <f>-LN(G17)/C17*100</f>
        <v/>
      </c>
      <c r="K17" s="18">
        <f>Bootstrap!B16</f>
        <v/>
      </c>
      <c r="L17" s="33">
        <f>Bootstrap!H16</f>
        <v/>
      </c>
    </row>
    <row r="18">
      <c r="A18" s="35" t="n">
        <v>9</v>
      </c>
      <c r="B18" s="18">
        <f>EDATE($F$7,3*8)</f>
        <v/>
      </c>
      <c r="C18" s="28">
        <f>(B18-VAL_DATE)/365</f>
        <v/>
      </c>
      <c r="D18" s="18">
        <f>INDEX($K$8:$K$40,MATCH(B18,$K$8:$K$40,1))</f>
        <v/>
      </c>
      <c r="E18" s="18">
        <f>INDEX($K$8:$K$40,MATCH(B18,$K$8:$K$40,1)+1)</f>
        <v/>
      </c>
      <c r="F18" s="17">
        <f>-LN(INDEX($L$8:$L$40,MATCH(B18,$K$8:$K$40,1)+1)/INDEX($L$8:$L$40,MATCH(B18,$K$8:$K$40,1)))/((E18-D18)/365)*100</f>
        <v/>
      </c>
      <c r="G18" s="33">
        <f>INDEX($L$8:$L$40,MATCH(B18,$K$8:$K$40,1))*EXP(-(F18/100)*(B18-D18)/365)</f>
        <v/>
      </c>
      <c r="H18" s="17">
        <f>-LN(G18)/C18*100</f>
        <v/>
      </c>
      <c r="K18" s="18">
        <f>Bootstrap!B17</f>
        <v/>
      </c>
      <c r="L18" s="33">
        <f>Bootstrap!H17</f>
        <v/>
      </c>
    </row>
    <row r="19">
      <c r="A19" s="35" t="n">
        <v>10</v>
      </c>
      <c r="B19" s="18">
        <f>EDATE($F$7,3*9)</f>
        <v/>
      </c>
      <c r="C19" s="28">
        <f>(B19-VAL_DATE)/365</f>
        <v/>
      </c>
      <c r="D19" s="18">
        <f>INDEX($K$8:$K$40,MATCH(B19,$K$8:$K$40,1))</f>
        <v/>
      </c>
      <c r="E19" s="18">
        <f>INDEX($K$8:$K$40,MATCH(B19,$K$8:$K$40,1)+1)</f>
        <v/>
      </c>
      <c r="F19" s="17">
        <f>-LN(INDEX($L$8:$L$40,MATCH(B19,$K$8:$K$40,1)+1)/INDEX($L$8:$L$40,MATCH(B19,$K$8:$K$40,1)))/((E19-D19)/365)*100</f>
        <v/>
      </c>
      <c r="G19" s="33">
        <f>INDEX($L$8:$L$40,MATCH(B19,$K$8:$K$40,1))*EXP(-(F19/100)*(B19-D19)/365)</f>
        <v/>
      </c>
      <c r="H19" s="17">
        <f>-LN(G19)/C19*100</f>
        <v/>
      </c>
      <c r="K19" s="18">
        <f>Bootstrap!B18</f>
        <v/>
      </c>
      <c r="L19" s="33">
        <f>Bootstrap!H18</f>
        <v/>
      </c>
    </row>
    <row r="20">
      <c r="A20" s="35" t="n">
        <v>11</v>
      </c>
      <c r="B20" s="18">
        <f>EDATE($F$7,3*10)</f>
        <v/>
      </c>
      <c r="C20" s="28">
        <f>(B20-VAL_DATE)/365</f>
        <v/>
      </c>
      <c r="D20" s="18">
        <f>INDEX($K$8:$K$40,MATCH(B20,$K$8:$K$40,1))</f>
        <v/>
      </c>
      <c r="E20" s="18">
        <f>INDEX($K$8:$K$40,MATCH(B20,$K$8:$K$40,1)+1)</f>
        <v/>
      </c>
      <c r="F20" s="17">
        <f>-LN(INDEX($L$8:$L$40,MATCH(B20,$K$8:$K$40,1)+1)/INDEX($L$8:$L$40,MATCH(B20,$K$8:$K$40,1)))/((E20-D20)/365)*100</f>
        <v/>
      </c>
      <c r="G20" s="33">
        <f>INDEX($L$8:$L$40,MATCH(B20,$K$8:$K$40,1))*EXP(-(F20/100)*(B20-D20)/365)</f>
        <v/>
      </c>
      <c r="H20" s="17">
        <f>-LN(G20)/C20*100</f>
        <v/>
      </c>
      <c r="K20" s="18">
        <f>Bootstrap!B19</f>
        <v/>
      </c>
      <c r="L20" s="33">
        <f>Bootstrap!H19</f>
        <v/>
      </c>
    </row>
    <row r="21">
      <c r="A21" s="35" t="n">
        <v>12</v>
      </c>
      <c r="B21" s="18">
        <f>EDATE($F$7,3*11)</f>
        <v/>
      </c>
      <c r="C21" s="28">
        <f>(B21-VAL_DATE)/365</f>
        <v/>
      </c>
      <c r="D21" s="18">
        <f>INDEX($K$8:$K$40,MATCH(B21,$K$8:$K$40,1))</f>
        <v/>
      </c>
      <c r="E21" s="18">
        <f>INDEX($K$8:$K$40,MATCH(B21,$K$8:$K$40,1)+1)</f>
        <v/>
      </c>
      <c r="F21" s="17">
        <f>-LN(INDEX($L$8:$L$40,MATCH(B21,$K$8:$K$40,1)+1)/INDEX($L$8:$L$40,MATCH(B21,$K$8:$K$40,1)))/((E21-D21)/365)*100</f>
        <v/>
      </c>
      <c r="G21" s="33">
        <f>INDEX($L$8:$L$40,MATCH(B21,$K$8:$K$40,1))*EXP(-(F21/100)*(B21-D21)/365)</f>
        <v/>
      </c>
      <c r="H21" s="17">
        <f>-LN(G21)/C21*100</f>
        <v/>
      </c>
      <c r="K21" s="18">
        <f>Bootstrap!B20</f>
        <v/>
      </c>
      <c r="L21" s="33">
        <f>Bootstrap!H20</f>
        <v/>
      </c>
    </row>
    <row r="22">
      <c r="A22" s="35" t="n">
        <v>13</v>
      </c>
      <c r="B22" s="18">
        <f>EDATE($F$7,3*12)</f>
        <v/>
      </c>
      <c r="C22" s="28">
        <f>(B22-VAL_DATE)/365</f>
        <v/>
      </c>
      <c r="D22" s="18">
        <f>INDEX($K$8:$K$40,MATCH(B22,$K$8:$K$40,1))</f>
        <v/>
      </c>
      <c r="E22" s="18">
        <f>INDEX($K$8:$K$40,MATCH(B22,$K$8:$K$40,1)+1)</f>
        <v/>
      </c>
      <c r="F22" s="17">
        <f>-LN(INDEX($L$8:$L$40,MATCH(B22,$K$8:$K$40,1)+1)/INDEX($L$8:$L$40,MATCH(B22,$K$8:$K$40,1)))/((E22-D22)/365)*100</f>
        <v/>
      </c>
      <c r="G22" s="33">
        <f>INDEX($L$8:$L$40,MATCH(B22,$K$8:$K$40,1))*EXP(-(F22/100)*(B22-D22)/365)</f>
        <v/>
      </c>
      <c r="H22" s="17">
        <f>-LN(G22)/C22*100</f>
        <v/>
      </c>
      <c r="K22" s="18">
        <f>Bootstrap!B21</f>
        <v/>
      </c>
      <c r="L22" s="33">
        <f>Bootstrap!H21</f>
        <v/>
      </c>
    </row>
    <row r="23">
      <c r="A23" s="35" t="n">
        <v>14</v>
      </c>
      <c r="B23" s="18">
        <f>EDATE($F$7,3*13)</f>
        <v/>
      </c>
      <c r="C23" s="28">
        <f>(B23-VAL_DATE)/365</f>
        <v/>
      </c>
      <c r="D23" s="18">
        <f>INDEX($K$8:$K$40,MATCH(B23,$K$8:$K$40,1))</f>
        <v/>
      </c>
      <c r="E23" s="18">
        <f>INDEX($K$8:$K$40,MATCH(B23,$K$8:$K$40,1)+1)</f>
        <v/>
      </c>
      <c r="F23" s="17">
        <f>-LN(INDEX($L$8:$L$40,MATCH(B23,$K$8:$K$40,1)+1)/INDEX($L$8:$L$40,MATCH(B23,$K$8:$K$40,1)))/((E23-D23)/365)*100</f>
        <v/>
      </c>
      <c r="G23" s="33">
        <f>INDEX($L$8:$L$40,MATCH(B23,$K$8:$K$40,1))*EXP(-(F23/100)*(B23-D23)/365)</f>
        <v/>
      </c>
      <c r="H23" s="17">
        <f>-LN(G23)/C23*100</f>
        <v/>
      </c>
      <c r="K23" s="18">
        <f>Bootstrap!B22</f>
        <v/>
      </c>
      <c r="L23" s="33">
        <f>Bootstrap!H22</f>
        <v/>
      </c>
    </row>
    <row r="24">
      <c r="A24" s="35" t="n">
        <v>15</v>
      </c>
      <c r="B24" s="18">
        <f>EDATE($F$7,3*14)</f>
        <v/>
      </c>
      <c r="C24" s="28">
        <f>(B24-VAL_DATE)/365</f>
        <v/>
      </c>
      <c r="D24" s="18">
        <f>INDEX($K$8:$K$40,MATCH(B24,$K$8:$K$40,1))</f>
        <v/>
      </c>
      <c r="E24" s="18">
        <f>INDEX($K$8:$K$40,MATCH(B24,$K$8:$K$40,1)+1)</f>
        <v/>
      </c>
      <c r="F24" s="17">
        <f>-LN(INDEX($L$8:$L$40,MATCH(B24,$K$8:$K$40,1)+1)/INDEX($L$8:$L$40,MATCH(B24,$K$8:$K$40,1)))/((E24-D24)/365)*100</f>
        <v/>
      </c>
      <c r="G24" s="33">
        <f>INDEX($L$8:$L$40,MATCH(B24,$K$8:$K$40,1))*EXP(-(F24/100)*(B24-D24)/365)</f>
        <v/>
      </c>
      <c r="H24" s="17">
        <f>-LN(G24)/C24*100</f>
        <v/>
      </c>
      <c r="K24" s="18">
        <f>Bootstrap!B23</f>
        <v/>
      </c>
      <c r="L24" s="33">
        <f>Bootstrap!H23</f>
        <v/>
      </c>
    </row>
    <row r="25">
      <c r="A25" s="35" t="n">
        <v>16</v>
      </c>
      <c r="B25" s="18">
        <f>EDATE($F$7,3*15)</f>
        <v/>
      </c>
      <c r="C25" s="28">
        <f>(B25-VAL_DATE)/365</f>
        <v/>
      </c>
      <c r="D25" s="18">
        <f>INDEX($K$8:$K$40,MATCH(B25,$K$8:$K$40,1))</f>
        <v/>
      </c>
      <c r="E25" s="18">
        <f>INDEX($K$8:$K$40,MATCH(B25,$K$8:$K$40,1)+1)</f>
        <v/>
      </c>
      <c r="F25" s="17">
        <f>-LN(INDEX($L$8:$L$40,MATCH(B25,$K$8:$K$40,1)+1)/INDEX($L$8:$L$40,MATCH(B25,$K$8:$K$40,1)))/((E25-D25)/365)*100</f>
        <v/>
      </c>
      <c r="G25" s="33">
        <f>INDEX($L$8:$L$40,MATCH(B25,$K$8:$K$40,1))*EXP(-(F25/100)*(B25-D25)/365)</f>
        <v/>
      </c>
      <c r="H25" s="17">
        <f>-LN(G25)/C25*100</f>
        <v/>
      </c>
      <c r="K25" s="18">
        <f>Bootstrap!B24</f>
        <v/>
      </c>
      <c r="L25" s="33">
        <f>Bootstrap!H24</f>
        <v/>
      </c>
    </row>
    <row r="26">
      <c r="A26" s="35" t="n">
        <v>17</v>
      </c>
      <c r="B26" s="18">
        <f>EDATE($F$7,3*16)</f>
        <v/>
      </c>
      <c r="C26" s="28">
        <f>(B26-VAL_DATE)/365</f>
        <v/>
      </c>
      <c r="D26" s="18">
        <f>INDEX($K$8:$K$40,MATCH(B26,$K$8:$K$40,1))</f>
        <v/>
      </c>
      <c r="E26" s="18">
        <f>INDEX($K$8:$K$40,MATCH(B26,$K$8:$K$40,1)+1)</f>
        <v/>
      </c>
      <c r="F26" s="17">
        <f>-LN(INDEX($L$8:$L$40,MATCH(B26,$K$8:$K$40,1)+1)/INDEX($L$8:$L$40,MATCH(B26,$K$8:$K$40,1)))/((E26-D26)/365)*100</f>
        <v/>
      </c>
      <c r="G26" s="33">
        <f>INDEX($L$8:$L$40,MATCH(B26,$K$8:$K$40,1))*EXP(-(F26/100)*(B26-D26)/365)</f>
        <v/>
      </c>
      <c r="H26" s="17">
        <f>-LN(G26)/C26*100</f>
        <v/>
      </c>
      <c r="K26" s="18">
        <f>Bootstrap!B25</f>
        <v/>
      </c>
      <c r="L26" s="33">
        <f>Bootstrap!H25</f>
        <v/>
      </c>
    </row>
    <row r="27">
      <c r="A27" s="35" t="n">
        <v>18</v>
      </c>
      <c r="B27" s="18">
        <f>EDATE($F$7,3*17)</f>
        <v/>
      </c>
      <c r="C27" s="28">
        <f>(B27-VAL_DATE)/365</f>
        <v/>
      </c>
      <c r="D27" s="18">
        <f>INDEX($K$8:$K$40,MATCH(B27,$K$8:$K$40,1))</f>
        <v/>
      </c>
      <c r="E27" s="18">
        <f>INDEX($K$8:$K$40,MATCH(B27,$K$8:$K$40,1)+1)</f>
        <v/>
      </c>
      <c r="F27" s="17">
        <f>-LN(INDEX($L$8:$L$40,MATCH(B27,$K$8:$K$40,1)+1)/INDEX($L$8:$L$40,MATCH(B27,$K$8:$K$40,1)))/((E27-D27)/365)*100</f>
        <v/>
      </c>
      <c r="G27" s="33">
        <f>INDEX($L$8:$L$40,MATCH(B27,$K$8:$K$40,1))*EXP(-(F27/100)*(B27-D27)/365)</f>
        <v/>
      </c>
      <c r="H27" s="17">
        <f>-LN(G27)/C27*100</f>
        <v/>
      </c>
      <c r="K27" s="18">
        <f>Bootstrap!B26</f>
        <v/>
      </c>
      <c r="L27" s="33">
        <f>Bootstrap!H26</f>
        <v/>
      </c>
    </row>
    <row r="28">
      <c r="A28" s="35" t="n">
        <v>19</v>
      </c>
      <c r="B28" s="18">
        <f>EDATE($F$7,3*18)</f>
        <v/>
      </c>
      <c r="C28" s="28">
        <f>(B28-VAL_DATE)/365</f>
        <v/>
      </c>
      <c r="D28" s="18">
        <f>INDEX($K$8:$K$40,MATCH(B28,$K$8:$K$40,1))</f>
        <v/>
      </c>
      <c r="E28" s="18">
        <f>INDEX($K$8:$K$40,MATCH(B28,$K$8:$K$40,1)+1)</f>
        <v/>
      </c>
      <c r="F28" s="17">
        <f>-LN(INDEX($L$8:$L$40,MATCH(B28,$K$8:$K$40,1)+1)/INDEX($L$8:$L$40,MATCH(B28,$K$8:$K$40,1)))/((E28-D28)/365)*100</f>
        <v/>
      </c>
      <c r="G28" s="33">
        <f>INDEX($L$8:$L$40,MATCH(B28,$K$8:$K$40,1))*EXP(-(F28/100)*(B28-D28)/365)</f>
        <v/>
      </c>
      <c r="H28" s="17">
        <f>-LN(G28)/C28*100</f>
        <v/>
      </c>
      <c r="K28" s="18">
        <f>Bootstrap!B27</f>
        <v/>
      </c>
      <c r="L28" s="33">
        <f>Bootstrap!H27</f>
        <v/>
      </c>
    </row>
    <row r="29">
      <c r="A29" s="35" t="n">
        <v>20</v>
      </c>
      <c r="B29" s="18">
        <f>EDATE($F$7,3*19)</f>
        <v/>
      </c>
      <c r="C29" s="28">
        <f>(B29-VAL_DATE)/365</f>
        <v/>
      </c>
      <c r="D29" s="18">
        <f>INDEX($K$8:$K$40,MATCH(B29,$K$8:$K$40,1))</f>
        <v/>
      </c>
      <c r="E29" s="18">
        <f>INDEX($K$8:$K$40,MATCH(B29,$K$8:$K$40,1)+1)</f>
        <v/>
      </c>
      <c r="F29" s="17">
        <f>-LN(INDEX($L$8:$L$40,MATCH(B29,$K$8:$K$40,1)+1)/INDEX($L$8:$L$40,MATCH(B29,$K$8:$K$40,1)))/((E29-D29)/365)*100</f>
        <v/>
      </c>
      <c r="G29" s="33">
        <f>INDEX($L$8:$L$40,MATCH(B29,$K$8:$K$40,1))*EXP(-(F29/100)*(B29-D29)/365)</f>
        <v/>
      </c>
      <c r="H29" s="17">
        <f>-LN(G29)/C29*100</f>
        <v/>
      </c>
      <c r="K29" s="18">
        <f>Bootstrap!B28</f>
        <v/>
      </c>
      <c r="L29" s="33">
        <f>Bootstrap!H28</f>
        <v/>
      </c>
    </row>
    <row r="30">
      <c r="A30" s="35" t="n">
        <v>21</v>
      </c>
      <c r="B30" s="18">
        <f>EDATE($F$7,3*20)</f>
        <v/>
      </c>
      <c r="C30" s="28">
        <f>(B30-VAL_DATE)/365</f>
        <v/>
      </c>
      <c r="D30" s="18">
        <f>INDEX($K$8:$K$40,MATCH(B30,$K$8:$K$40,1))</f>
        <v/>
      </c>
      <c r="E30" s="18">
        <f>INDEX($K$8:$K$40,MATCH(B30,$K$8:$K$40,1)+1)</f>
        <v/>
      </c>
      <c r="F30" s="17">
        <f>-LN(INDEX($L$8:$L$40,MATCH(B30,$K$8:$K$40,1)+1)/INDEX($L$8:$L$40,MATCH(B30,$K$8:$K$40,1)))/((E30-D30)/365)*100</f>
        <v/>
      </c>
      <c r="G30" s="33">
        <f>INDEX($L$8:$L$40,MATCH(B30,$K$8:$K$40,1))*EXP(-(F30/100)*(B30-D30)/365)</f>
        <v/>
      </c>
      <c r="H30" s="17">
        <f>-LN(G30)/C30*100</f>
        <v/>
      </c>
      <c r="K30" s="18">
        <f>Bootstrap!B29</f>
        <v/>
      </c>
      <c r="L30" s="33">
        <f>Bootstrap!H29</f>
        <v/>
      </c>
    </row>
    <row r="31">
      <c r="A31" s="35" t="n">
        <v>22</v>
      </c>
      <c r="B31" s="18">
        <f>EDATE($F$7,3*21)</f>
        <v/>
      </c>
      <c r="C31" s="28">
        <f>(B31-VAL_DATE)/365</f>
        <v/>
      </c>
      <c r="D31" s="18">
        <f>INDEX($K$8:$K$40,MATCH(B31,$K$8:$K$40,1))</f>
        <v/>
      </c>
      <c r="E31" s="18">
        <f>INDEX($K$8:$K$40,MATCH(B31,$K$8:$K$40,1)+1)</f>
        <v/>
      </c>
      <c r="F31" s="17">
        <f>-LN(INDEX($L$8:$L$40,MATCH(B31,$K$8:$K$40,1)+1)/INDEX($L$8:$L$40,MATCH(B31,$K$8:$K$40,1)))/((E31-D31)/365)*100</f>
        <v/>
      </c>
      <c r="G31" s="33">
        <f>INDEX($L$8:$L$40,MATCH(B31,$K$8:$K$40,1))*EXP(-(F31/100)*(B31-D31)/365)</f>
        <v/>
      </c>
      <c r="H31" s="17">
        <f>-LN(G31)/C31*100</f>
        <v/>
      </c>
      <c r="K31" s="18">
        <f>Bootstrap!B30</f>
        <v/>
      </c>
      <c r="L31" s="33">
        <f>Bootstrap!H30</f>
        <v/>
      </c>
    </row>
    <row r="32">
      <c r="A32" s="35" t="n">
        <v>23</v>
      </c>
      <c r="B32" s="18">
        <f>EDATE($F$7,3*22)</f>
        <v/>
      </c>
      <c r="C32" s="28">
        <f>(B32-VAL_DATE)/365</f>
        <v/>
      </c>
      <c r="D32" s="18">
        <f>INDEX($K$8:$K$40,MATCH(B32,$K$8:$K$40,1))</f>
        <v/>
      </c>
      <c r="E32" s="18">
        <f>INDEX($K$8:$K$40,MATCH(B32,$K$8:$K$40,1)+1)</f>
        <v/>
      </c>
      <c r="F32" s="17">
        <f>-LN(INDEX($L$8:$L$40,MATCH(B32,$K$8:$K$40,1)+1)/INDEX($L$8:$L$40,MATCH(B32,$K$8:$K$40,1)))/((E32-D32)/365)*100</f>
        <v/>
      </c>
      <c r="G32" s="33">
        <f>INDEX($L$8:$L$40,MATCH(B32,$K$8:$K$40,1))*EXP(-(F32/100)*(B32-D32)/365)</f>
        <v/>
      </c>
      <c r="H32" s="17">
        <f>-LN(G32)/C32*100</f>
        <v/>
      </c>
      <c r="K32" s="18">
        <f>Bootstrap!B31</f>
        <v/>
      </c>
      <c r="L32" s="33">
        <f>Bootstrap!H31</f>
        <v/>
      </c>
    </row>
    <row r="33">
      <c r="A33" s="35" t="n">
        <v>24</v>
      </c>
      <c r="B33" s="18">
        <f>EDATE($F$7,3*23)</f>
        <v/>
      </c>
      <c r="C33" s="28">
        <f>(B33-VAL_DATE)/365</f>
        <v/>
      </c>
      <c r="D33" s="18">
        <f>INDEX($K$8:$K$40,MATCH(B33,$K$8:$K$40,1))</f>
        <v/>
      </c>
      <c r="E33" s="18">
        <f>INDEX($K$8:$K$40,MATCH(B33,$K$8:$K$40,1)+1)</f>
        <v/>
      </c>
      <c r="F33" s="17">
        <f>-LN(INDEX($L$8:$L$40,MATCH(B33,$K$8:$K$40,1)+1)/INDEX($L$8:$L$40,MATCH(B33,$K$8:$K$40,1)))/((E33-D33)/365)*100</f>
        <v/>
      </c>
      <c r="G33" s="33">
        <f>INDEX($L$8:$L$40,MATCH(B33,$K$8:$K$40,1))*EXP(-(F33/100)*(B33-D33)/365)</f>
        <v/>
      </c>
      <c r="H33" s="17">
        <f>-LN(G33)/C33*100</f>
        <v/>
      </c>
      <c r="K33" s="18">
        <f>Bootstrap!B32</f>
        <v/>
      </c>
      <c r="L33" s="33">
        <f>Bootstrap!H32</f>
        <v/>
      </c>
    </row>
    <row r="34">
      <c r="A34" s="35" t="n">
        <v>25</v>
      </c>
      <c r="B34" s="18">
        <f>EDATE($F$7,3*24)</f>
        <v/>
      </c>
      <c r="C34" s="28">
        <f>(B34-VAL_DATE)/365</f>
        <v/>
      </c>
      <c r="D34" s="18">
        <f>INDEX($K$8:$K$40,MATCH(B34,$K$8:$K$40,1))</f>
        <v/>
      </c>
      <c r="E34" s="18">
        <f>INDEX($K$8:$K$40,MATCH(B34,$K$8:$K$40,1)+1)</f>
        <v/>
      </c>
      <c r="F34" s="17">
        <f>-LN(INDEX($L$8:$L$40,MATCH(B34,$K$8:$K$40,1)+1)/INDEX($L$8:$L$40,MATCH(B34,$K$8:$K$40,1)))/((E34-D34)/365)*100</f>
        <v/>
      </c>
      <c r="G34" s="33">
        <f>INDEX($L$8:$L$40,MATCH(B34,$K$8:$K$40,1))*EXP(-(F34/100)*(B34-D34)/365)</f>
        <v/>
      </c>
      <c r="H34" s="17">
        <f>-LN(G34)/C34*100</f>
        <v/>
      </c>
      <c r="K34" s="18">
        <f>Bootstrap!B33</f>
        <v/>
      </c>
      <c r="L34" s="33">
        <f>Bootstrap!H33</f>
        <v/>
      </c>
    </row>
    <row r="35">
      <c r="A35" s="35" t="n">
        <v>26</v>
      </c>
      <c r="B35" s="18">
        <f>EDATE($F$7,3*25)</f>
        <v/>
      </c>
      <c r="C35" s="28">
        <f>(B35-VAL_DATE)/365</f>
        <v/>
      </c>
      <c r="D35" s="18">
        <f>INDEX($K$8:$K$40,MATCH(B35,$K$8:$K$40,1))</f>
        <v/>
      </c>
      <c r="E35" s="18">
        <f>INDEX($K$8:$K$40,MATCH(B35,$K$8:$K$40,1)+1)</f>
        <v/>
      </c>
      <c r="F35" s="17">
        <f>-LN(INDEX($L$8:$L$40,MATCH(B35,$K$8:$K$40,1)+1)/INDEX($L$8:$L$40,MATCH(B35,$K$8:$K$40,1)))/((E35-D35)/365)*100</f>
        <v/>
      </c>
      <c r="G35" s="33">
        <f>INDEX($L$8:$L$40,MATCH(B35,$K$8:$K$40,1))*EXP(-(F35/100)*(B35-D35)/365)</f>
        <v/>
      </c>
      <c r="H35" s="17">
        <f>-LN(G35)/C35*100</f>
        <v/>
      </c>
      <c r="K35" s="18">
        <f>Bootstrap!B34</f>
        <v/>
      </c>
      <c r="L35" s="33">
        <f>Bootstrap!H34</f>
        <v/>
      </c>
    </row>
    <row r="36">
      <c r="A36" s="35" t="n">
        <v>27</v>
      </c>
      <c r="B36" s="18">
        <f>EDATE($F$7,3*26)</f>
        <v/>
      </c>
      <c r="C36" s="28">
        <f>(B36-VAL_DATE)/365</f>
        <v/>
      </c>
      <c r="D36" s="18">
        <f>INDEX($K$8:$K$40,MATCH(B36,$K$8:$K$40,1))</f>
        <v/>
      </c>
      <c r="E36" s="18">
        <f>INDEX($K$8:$K$40,MATCH(B36,$K$8:$K$40,1)+1)</f>
        <v/>
      </c>
      <c r="F36" s="17">
        <f>-LN(INDEX($L$8:$L$40,MATCH(B36,$K$8:$K$40,1)+1)/INDEX($L$8:$L$40,MATCH(B36,$K$8:$K$40,1)))/((E36-D36)/365)*100</f>
        <v/>
      </c>
      <c r="G36" s="33">
        <f>INDEX($L$8:$L$40,MATCH(B36,$K$8:$K$40,1))*EXP(-(F36/100)*(B36-D36)/365)</f>
        <v/>
      </c>
      <c r="H36" s="17">
        <f>-LN(G36)/C36*100</f>
        <v/>
      </c>
      <c r="K36" s="18">
        <f>Bootstrap!B35</f>
        <v/>
      </c>
      <c r="L36" s="33">
        <f>Bootstrap!H35</f>
        <v/>
      </c>
    </row>
    <row r="37">
      <c r="A37" s="35" t="n">
        <v>28</v>
      </c>
      <c r="B37" s="18">
        <f>EDATE($F$7,3*27)</f>
        <v/>
      </c>
      <c r="C37" s="28">
        <f>(B37-VAL_DATE)/365</f>
        <v/>
      </c>
      <c r="D37" s="18">
        <f>INDEX($K$8:$K$40,MATCH(B37,$K$8:$K$40,1))</f>
        <v/>
      </c>
      <c r="E37" s="18">
        <f>INDEX($K$8:$K$40,MATCH(B37,$K$8:$K$40,1)+1)</f>
        <v/>
      </c>
      <c r="F37" s="17">
        <f>-LN(INDEX($L$8:$L$40,MATCH(B37,$K$8:$K$40,1)+1)/INDEX($L$8:$L$40,MATCH(B37,$K$8:$K$40,1)))/((E37-D37)/365)*100</f>
        <v/>
      </c>
      <c r="G37" s="33">
        <f>INDEX($L$8:$L$40,MATCH(B37,$K$8:$K$40,1))*EXP(-(F37/100)*(B37-D37)/365)</f>
        <v/>
      </c>
      <c r="H37" s="17">
        <f>-LN(G37)/C37*100</f>
        <v/>
      </c>
      <c r="K37" s="18">
        <f>Bootstrap!B36</f>
        <v/>
      </c>
      <c r="L37" s="33">
        <f>Bootstrap!H36</f>
        <v/>
      </c>
    </row>
    <row r="38">
      <c r="A38" s="35" t="n">
        <v>29</v>
      </c>
      <c r="B38" s="18">
        <f>EDATE($F$7,3*28)</f>
        <v/>
      </c>
      <c r="C38" s="28">
        <f>(B38-VAL_DATE)/365</f>
        <v/>
      </c>
      <c r="D38" s="18">
        <f>INDEX($K$8:$K$40,MATCH(B38,$K$8:$K$40,1))</f>
        <v/>
      </c>
      <c r="E38" s="18">
        <f>INDEX($K$8:$K$40,MATCH(B38,$K$8:$K$40,1)+1)</f>
        <v/>
      </c>
      <c r="F38" s="17">
        <f>-LN(INDEX($L$8:$L$40,MATCH(B38,$K$8:$K$40,1)+1)/INDEX($L$8:$L$40,MATCH(B38,$K$8:$K$40,1)))/((E38-D38)/365)*100</f>
        <v/>
      </c>
      <c r="G38" s="33">
        <f>INDEX($L$8:$L$40,MATCH(B38,$K$8:$K$40,1))*EXP(-(F38/100)*(B38-D38)/365)</f>
        <v/>
      </c>
      <c r="H38" s="17">
        <f>-LN(G38)/C38*100</f>
        <v/>
      </c>
      <c r="K38" s="18">
        <f>Bootstrap!B37</f>
        <v/>
      </c>
      <c r="L38" s="33">
        <f>Bootstrap!H37</f>
        <v/>
      </c>
    </row>
    <row r="39">
      <c r="A39" s="35" t="n">
        <v>30</v>
      </c>
      <c r="B39" s="18">
        <f>EDATE($F$7,3*29)</f>
        <v/>
      </c>
      <c r="C39" s="28">
        <f>(B39-VAL_DATE)/365</f>
        <v/>
      </c>
      <c r="D39" s="18">
        <f>INDEX($K$8:$K$40,MATCH(B39,$K$8:$K$40,1))</f>
        <v/>
      </c>
      <c r="E39" s="18">
        <f>INDEX($K$8:$K$40,MATCH(B39,$K$8:$K$40,1)+1)</f>
        <v/>
      </c>
      <c r="F39" s="17">
        <f>-LN(INDEX($L$8:$L$40,MATCH(B39,$K$8:$K$40,1)+1)/INDEX($L$8:$L$40,MATCH(B39,$K$8:$K$40,1)))/((E39-D39)/365)*100</f>
        <v/>
      </c>
      <c r="G39" s="33">
        <f>INDEX($L$8:$L$40,MATCH(B39,$K$8:$K$40,1))*EXP(-(F39/100)*(B39-D39)/365)</f>
        <v/>
      </c>
      <c r="H39" s="17">
        <f>-LN(G39)/C39*100</f>
        <v/>
      </c>
      <c r="K39" s="18">
        <f>Bootstrap!B38</f>
        <v/>
      </c>
      <c r="L39" s="33">
        <f>Bootstrap!H38</f>
        <v/>
      </c>
    </row>
    <row r="40">
      <c r="A40" s="35" t="n">
        <v>31</v>
      </c>
      <c r="B40" s="18">
        <f>EDATE($F$7,3*30)</f>
        <v/>
      </c>
      <c r="C40" s="28">
        <f>(B40-VAL_DATE)/365</f>
        <v/>
      </c>
      <c r="D40" s="18">
        <f>INDEX($K$8:$K$40,MATCH(B40,$K$8:$K$40,1))</f>
        <v/>
      </c>
      <c r="E40" s="18">
        <f>INDEX($K$8:$K$40,MATCH(B40,$K$8:$K$40,1)+1)</f>
        <v/>
      </c>
      <c r="F40" s="17">
        <f>-LN(INDEX($L$8:$L$40,MATCH(B40,$K$8:$K$40,1)+1)/INDEX($L$8:$L$40,MATCH(B40,$K$8:$K$40,1)))/((E40-D40)/365)*100</f>
        <v/>
      </c>
      <c r="G40" s="33">
        <f>INDEX($L$8:$L$40,MATCH(B40,$K$8:$K$40,1))*EXP(-(F40/100)*(B40-D40)/365)</f>
        <v/>
      </c>
      <c r="H40" s="17">
        <f>-LN(G40)/C40*100</f>
        <v/>
      </c>
      <c r="K40" s="18">
        <f>Bootstrap!B39</f>
        <v/>
      </c>
      <c r="L40" s="33">
        <f>Bootstrap!H39</f>
        <v/>
      </c>
    </row>
    <row r="41">
      <c r="A41" s="35" t="n">
        <v>32</v>
      </c>
      <c r="B41" s="18">
        <f>EDATE($F$7,3*31)</f>
        <v/>
      </c>
      <c r="C41" s="28">
        <f>(B41-VAL_DATE)/365</f>
        <v/>
      </c>
      <c r="D41" s="18">
        <f>INDEX($K$8:$K$40,MATCH(B41,$K$8:$K$40,1))</f>
        <v/>
      </c>
      <c r="E41" s="18">
        <f>INDEX($K$8:$K$40,MATCH(B41,$K$8:$K$40,1)+1)</f>
        <v/>
      </c>
      <c r="F41" s="17">
        <f>-LN(INDEX($L$8:$L$40,MATCH(B41,$K$8:$K$40,1)+1)/INDEX($L$8:$L$40,MATCH(B41,$K$8:$K$40,1)))/((E41-D41)/365)*100</f>
        <v/>
      </c>
      <c r="G41" s="33">
        <f>INDEX($L$8:$L$40,MATCH(B41,$K$8:$K$40,1))*EXP(-(F41/100)*(B41-D41)/365)</f>
        <v/>
      </c>
      <c r="H41" s="17">
        <f>-LN(G41)/C41*100</f>
        <v/>
      </c>
    </row>
    <row r="42">
      <c r="A42" s="35" t="n">
        <v>33</v>
      </c>
      <c r="B42" s="18">
        <f>EDATE($F$7,3*32)</f>
        <v/>
      </c>
      <c r="C42" s="28">
        <f>(B42-VAL_DATE)/365</f>
        <v/>
      </c>
      <c r="D42" s="18">
        <f>INDEX($K$8:$K$40,MATCH(B42,$K$8:$K$40,1))</f>
        <v/>
      </c>
      <c r="E42" s="18">
        <f>INDEX($K$8:$K$40,MATCH(B42,$K$8:$K$40,1)+1)</f>
        <v/>
      </c>
      <c r="F42" s="17">
        <f>-LN(INDEX($L$8:$L$40,MATCH(B42,$K$8:$K$40,1)+1)/INDEX($L$8:$L$40,MATCH(B42,$K$8:$K$40,1)))/((E42-D42)/365)*100</f>
        <v/>
      </c>
      <c r="G42" s="33">
        <f>INDEX($L$8:$L$40,MATCH(B42,$K$8:$K$40,1))*EXP(-(F42/100)*(B42-D42)/365)</f>
        <v/>
      </c>
      <c r="H42" s="17">
        <f>-LN(G42)/C42*100</f>
        <v/>
      </c>
    </row>
    <row r="43">
      <c r="A43" s="35" t="n">
        <v>34</v>
      </c>
      <c r="B43" s="18">
        <f>EDATE($F$7,3*33)</f>
        <v/>
      </c>
      <c r="C43" s="28">
        <f>(B43-VAL_DATE)/365</f>
        <v/>
      </c>
      <c r="D43" s="18">
        <f>INDEX($K$8:$K$40,MATCH(B43,$K$8:$K$40,1))</f>
        <v/>
      </c>
      <c r="E43" s="18">
        <f>INDEX($K$8:$K$40,MATCH(B43,$K$8:$K$40,1)+1)</f>
        <v/>
      </c>
      <c r="F43" s="17">
        <f>-LN(INDEX($L$8:$L$40,MATCH(B43,$K$8:$K$40,1)+1)/INDEX($L$8:$L$40,MATCH(B43,$K$8:$K$40,1)))/((E43-D43)/365)*100</f>
        <v/>
      </c>
      <c r="G43" s="33">
        <f>INDEX($L$8:$L$40,MATCH(B43,$K$8:$K$40,1))*EXP(-(F43/100)*(B43-D43)/365)</f>
        <v/>
      </c>
      <c r="H43" s="17">
        <f>-LN(G43)/C43*100</f>
        <v/>
      </c>
    </row>
    <row r="44">
      <c r="A44" s="35" t="n">
        <v>35</v>
      </c>
      <c r="B44" s="18">
        <f>EDATE($F$7,3*34)</f>
        <v/>
      </c>
      <c r="C44" s="28">
        <f>(B44-VAL_DATE)/365</f>
        <v/>
      </c>
      <c r="D44" s="18">
        <f>INDEX($K$8:$K$40,MATCH(B44,$K$8:$K$40,1))</f>
        <v/>
      </c>
      <c r="E44" s="18">
        <f>INDEX($K$8:$K$40,MATCH(B44,$K$8:$K$40,1)+1)</f>
        <v/>
      </c>
      <c r="F44" s="17">
        <f>-LN(INDEX($L$8:$L$40,MATCH(B44,$K$8:$K$40,1)+1)/INDEX($L$8:$L$40,MATCH(B44,$K$8:$K$40,1)))/((E44-D44)/365)*100</f>
        <v/>
      </c>
      <c r="G44" s="33">
        <f>INDEX($L$8:$L$40,MATCH(B44,$K$8:$K$40,1))*EXP(-(F44/100)*(B44-D44)/365)</f>
        <v/>
      </c>
      <c r="H44" s="17">
        <f>-LN(G44)/C44*100</f>
        <v/>
      </c>
    </row>
    <row r="45">
      <c r="A45" s="35" t="n">
        <v>36</v>
      </c>
      <c r="B45" s="18">
        <f>EDATE($F$7,3*35)</f>
        <v/>
      </c>
      <c r="C45" s="28">
        <f>(B45-VAL_DATE)/365</f>
        <v/>
      </c>
      <c r="D45" s="18">
        <f>INDEX($K$8:$K$40,MATCH(B45,$K$8:$K$40,1))</f>
        <v/>
      </c>
      <c r="E45" s="18">
        <f>INDEX($K$8:$K$40,MATCH(B45,$K$8:$K$40,1)+1)</f>
        <v/>
      </c>
      <c r="F45" s="17">
        <f>-LN(INDEX($L$8:$L$40,MATCH(B45,$K$8:$K$40,1)+1)/INDEX($L$8:$L$40,MATCH(B45,$K$8:$K$40,1)))/((E45-D45)/365)*100</f>
        <v/>
      </c>
      <c r="G45" s="33">
        <f>INDEX($L$8:$L$40,MATCH(B45,$K$8:$K$40,1))*EXP(-(F45/100)*(B45-D45)/365)</f>
        <v/>
      </c>
      <c r="H45" s="17">
        <f>-LN(G45)/C45*100</f>
        <v/>
      </c>
    </row>
    <row r="46">
      <c r="A46" s="35" t="n">
        <v>37</v>
      </c>
      <c r="B46" s="18">
        <f>EDATE($F$7,3*36)</f>
        <v/>
      </c>
      <c r="C46" s="28">
        <f>(B46-VAL_DATE)/365</f>
        <v/>
      </c>
      <c r="D46" s="18">
        <f>INDEX($K$8:$K$40,MATCH(B46,$K$8:$K$40,1))</f>
        <v/>
      </c>
      <c r="E46" s="18">
        <f>INDEX($K$8:$K$40,MATCH(B46,$K$8:$K$40,1)+1)</f>
        <v/>
      </c>
      <c r="F46" s="17">
        <f>-LN(INDEX($L$8:$L$40,MATCH(B46,$K$8:$K$40,1)+1)/INDEX($L$8:$L$40,MATCH(B46,$K$8:$K$40,1)))/((E46-D46)/365)*100</f>
        <v/>
      </c>
      <c r="G46" s="33">
        <f>INDEX($L$8:$L$40,MATCH(B46,$K$8:$K$40,1))*EXP(-(F46/100)*(B46-D46)/365)</f>
        <v/>
      </c>
      <c r="H46" s="17">
        <f>-LN(G46)/C46*100</f>
        <v/>
      </c>
    </row>
    <row r="47">
      <c r="A47" s="35" t="n">
        <v>38</v>
      </c>
      <c r="B47" s="18">
        <f>EDATE($F$7,3*37)</f>
        <v/>
      </c>
      <c r="C47" s="28">
        <f>(B47-VAL_DATE)/365</f>
        <v/>
      </c>
      <c r="D47" s="18">
        <f>INDEX($K$8:$K$40,MATCH(B47,$K$8:$K$40,1))</f>
        <v/>
      </c>
      <c r="E47" s="18">
        <f>INDEX($K$8:$K$40,MATCH(B47,$K$8:$K$40,1)+1)</f>
        <v/>
      </c>
      <c r="F47" s="17">
        <f>-LN(INDEX($L$8:$L$40,MATCH(B47,$K$8:$K$40,1)+1)/INDEX($L$8:$L$40,MATCH(B47,$K$8:$K$40,1)))/((E47-D47)/365)*100</f>
        <v/>
      </c>
      <c r="G47" s="33">
        <f>INDEX($L$8:$L$40,MATCH(B47,$K$8:$K$40,1))*EXP(-(F47/100)*(B47-D47)/365)</f>
        <v/>
      </c>
      <c r="H47" s="17">
        <f>-LN(G47)/C47*100</f>
        <v/>
      </c>
    </row>
    <row r="48">
      <c r="A48" s="35" t="n">
        <v>39</v>
      </c>
      <c r="B48" s="18">
        <f>EDATE($F$7,3*38)</f>
        <v/>
      </c>
      <c r="C48" s="28">
        <f>(B48-VAL_DATE)/365</f>
        <v/>
      </c>
      <c r="D48" s="18">
        <f>INDEX($K$8:$K$40,MATCH(B48,$K$8:$K$40,1))</f>
        <v/>
      </c>
      <c r="E48" s="18">
        <f>INDEX($K$8:$K$40,MATCH(B48,$K$8:$K$40,1)+1)</f>
        <v/>
      </c>
      <c r="F48" s="17">
        <f>-LN(INDEX($L$8:$L$40,MATCH(B48,$K$8:$K$40,1)+1)/INDEX($L$8:$L$40,MATCH(B48,$K$8:$K$40,1)))/((E48-D48)/365)*100</f>
        <v/>
      </c>
      <c r="G48" s="33">
        <f>INDEX($L$8:$L$40,MATCH(B48,$K$8:$K$40,1))*EXP(-(F48/100)*(B48-D48)/365)</f>
        <v/>
      </c>
      <c r="H48" s="17">
        <f>-LN(G48)/C48*100</f>
        <v/>
      </c>
    </row>
    <row r="49">
      <c r="A49" s="35" t="n">
        <v>40</v>
      </c>
      <c r="B49" s="18">
        <f>EDATE($F$7,3*39)</f>
        <v/>
      </c>
      <c r="C49" s="28">
        <f>(B49-VAL_DATE)/365</f>
        <v/>
      </c>
      <c r="D49" s="18">
        <f>INDEX($K$8:$K$40,MATCH(B49,$K$8:$K$40,1))</f>
        <v/>
      </c>
      <c r="E49" s="18">
        <f>INDEX($K$8:$K$40,MATCH(B49,$K$8:$K$40,1)+1)</f>
        <v/>
      </c>
      <c r="F49" s="17">
        <f>-LN(INDEX($L$8:$L$40,MATCH(B49,$K$8:$K$40,1)+1)/INDEX($L$8:$L$40,MATCH(B49,$K$8:$K$40,1)))/((E49-D49)/365)*100</f>
        <v/>
      </c>
      <c r="G49" s="33">
        <f>INDEX($L$8:$L$40,MATCH(B49,$K$8:$K$40,1))*EXP(-(F49/100)*(B49-D49)/365)</f>
        <v/>
      </c>
      <c r="H49" s="17">
        <f>-LN(G49)/C49*100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6" t="inlineStr">
        <is>
          <t>Receive fixed</t>
        </is>
      </c>
      <c r="C5" s="37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8" t="n">
        <v>10000000</v>
      </c>
      <c r="C6" s="37" t="inlineStr">
        <is>
          <t>Both legs, USD.</t>
        </is>
      </c>
      <c r="K6" s="18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9">
        <f>Bootstrap!$B$4</f>
        <v/>
      </c>
      <c r="C8" s="37" t="inlineStr">
        <is>
          <t>Defaults to curve spot (T+2). Overtype for a forward-start swap.</t>
        </is>
      </c>
      <c r="K8" s="18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40" t="n">
        <v>1</v>
      </c>
      <c r="C9" s="37" t="inlineStr">
        <is>
          <t>Whole years; drives the annual coupon schedule below.</t>
        </is>
      </c>
      <c r="K9" s="18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7" t="inlineStr">
        <is>
          <t>Effective + Tenor.</t>
        </is>
      </c>
      <c r="K10" s="18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41">
        <f>B25</f>
        <v/>
      </c>
      <c r="C11" s="37" t="inlineStr">
        <is>
          <t>Defaults to the Par coupon (row 25) → NPV ≈ 0. Overtype to value an off-market coupon.</t>
        </is>
      </c>
      <c r="K11" s="18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7" t="inlineStr">
        <is>
          <t>Curve is discounted from spot = Bootstrap!B4.</t>
        </is>
      </c>
      <c r="K15" s="18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35">
        <f>IF($B$5="Receive fixed",1,-1)</f>
        <v/>
      </c>
      <c r="K16" s="18">
        <f>Bootstrap!B17</f>
        <v/>
      </c>
      <c r="L16" s="33">
        <f>Bootstrap!H17</f>
        <v/>
      </c>
    </row>
    <row r="17">
      <c r="K17" s="18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7" t="inlineStr">
        <is>
          <t>Interpolated from the curve.</t>
        </is>
      </c>
      <c r="K19" s="18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7" t="inlineStr">
        <is>
          <t>Sum of tau·DF over the fixed coupon dates.</t>
        </is>
      </c>
      <c r="K21" s="18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2">
        <f>SUM(G36:G85)</f>
        <v/>
      </c>
      <c r="K22" s="18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2">
        <f>B6*(B19-B20)</f>
        <v/>
      </c>
      <c r="C23" s="37" t="inlineStr">
        <is>
          <t>Single-curve SOFR float leg telescopes to N·(DF_eff − DF_mat).</t>
        </is>
      </c>
      <c r="K23" s="18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2">
        <f>B6*B20</f>
        <v/>
      </c>
      <c r="C24" s="37" t="inlineStr">
        <is>
          <t>For the SWPM-style leg display only.</t>
        </is>
      </c>
      <c r="K24" s="18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7" t="inlineStr">
        <is>
          <t>Coupon that sets NPV = 0:  (DF_eff − DF_mat) / annuity.</t>
        </is>
      </c>
      <c r="K25" s="18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2">
        <f>B16*(B22+B24)</f>
        <v/>
      </c>
      <c r="C26" s="37" t="inlineStr">
        <is>
          <t>SWPM shows each leg incl. a notional redemption.</t>
        </is>
      </c>
      <c r="K26" s="18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2">
        <f>-B16*(B23+B24)</f>
        <v/>
      </c>
      <c r="K27" s="18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3">
        <f>B26+B27</f>
        <v/>
      </c>
      <c r="C28" s="37" t="inlineStr">
        <is>
          <t>Fixed − Float (notionals cancel); ≈ 0 at par coupon.</t>
        </is>
      </c>
      <c r="K28" s="18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2">
        <f>B6*B21*0.0001</f>
        <v/>
      </c>
      <c r="C29" s="37" t="inlineStr">
        <is>
          <t>Annuity × notional × 1bp.</t>
        </is>
      </c>
      <c r="K29" s="18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2" t="n">
        <v>0</v>
      </c>
      <c r="K30" s="18">
        <f>Bootstrap!B31</f>
        <v/>
      </c>
      <c r="L30" s="33">
        <f>Bootstrap!H31</f>
        <v/>
      </c>
    </row>
    <row r="31">
      <c r="K31" s="18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3">
        <f>Bootstrap!H33</f>
        <v/>
      </c>
    </row>
    <row r="33">
      <c r="K33" s="18">
        <f>Bootstrap!B34</f>
        <v/>
      </c>
      <c r="L33" s="33">
        <f>Bootstrap!H34</f>
        <v/>
      </c>
    </row>
    <row r="34">
      <c r="K34" s="18">
        <f>Bootstrap!B35</f>
        <v/>
      </c>
      <c r="L34" s="33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3">
        <f>Bootstrap!H36</f>
        <v/>
      </c>
    </row>
    <row r="36">
      <c r="A36" s="35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2">
        <f>IF(A36&lt;=$B$9,$B$6*$B$11/100*D36,"")</f>
        <v/>
      </c>
      <c r="G36" s="42">
        <f>IF(A36&lt;=$B$9,F36*E36,"")</f>
        <v/>
      </c>
      <c r="H36" s="32">
        <f>IF(A36&lt;=$B$9,D36*E36,"")</f>
        <v/>
      </c>
      <c r="K36" s="18">
        <f>Bootstrap!B37</f>
        <v/>
      </c>
      <c r="L36" s="33">
        <f>Bootstrap!H37</f>
        <v/>
      </c>
    </row>
    <row r="37">
      <c r="A37" s="35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2">
        <f>IF(A37&lt;=$B$9,$B$6*$B$11/100*D37,"")</f>
        <v/>
      </c>
      <c r="G37" s="42">
        <f>IF(A37&lt;=$B$9,F37*E37,"")</f>
        <v/>
      </c>
      <c r="H37" s="32">
        <f>IF(A37&lt;=$B$9,D37*E37,"")</f>
        <v/>
      </c>
      <c r="K37" s="18">
        <f>Bootstrap!B38</f>
        <v/>
      </c>
      <c r="L37" s="33">
        <f>Bootstrap!H38</f>
        <v/>
      </c>
    </row>
    <row r="38">
      <c r="A38" s="35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2">
        <f>IF(A38&lt;=$B$9,$B$6*$B$11/100*D38,"")</f>
        <v/>
      </c>
      <c r="G38" s="42">
        <f>IF(A38&lt;=$B$9,F38*E38,"")</f>
        <v/>
      </c>
      <c r="H38" s="32">
        <f>IF(A38&lt;=$B$9,D38*E38,"")</f>
        <v/>
      </c>
      <c r="K38" s="18">
        <f>Bootstrap!B39</f>
        <v/>
      </c>
      <c r="L38" s="33">
        <f>Bootstrap!H39</f>
        <v/>
      </c>
    </row>
    <row r="39">
      <c r="A39" s="35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2">
        <f>IF(A39&lt;=$B$9,$B$6*$B$11/100*D39,"")</f>
        <v/>
      </c>
      <c r="G39" s="42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35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2">
        <f>IF(A40&lt;=$B$9,$B$6*$B$11/100*D40,"")</f>
        <v/>
      </c>
      <c r="G40" s="42">
        <f>IF(A40&lt;=$B$9,F40*E40,"")</f>
        <v/>
      </c>
      <c r="H40" s="32">
        <f>IF(A40&lt;=$B$9,D40*E40,"")</f>
        <v/>
      </c>
    </row>
    <row r="41">
      <c r="A41" s="35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2">
        <f>IF(A41&lt;=$B$9,$B$6*$B$11/100*D41,"")</f>
        <v/>
      </c>
      <c r="G41" s="42">
        <f>IF(A41&lt;=$B$9,F41*E41,"")</f>
        <v/>
      </c>
      <c r="H41" s="32">
        <f>IF(A41&lt;=$B$9,D41*E41,"")</f>
        <v/>
      </c>
    </row>
    <row r="42">
      <c r="A42" s="35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2">
        <f>IF(A42&lt;=$B$9,$B$6*$B$11/100*D42,"")</f>
        <v/>
      </c>
      <c r="G42" s="42">
        <f>IF(A42&lt;=$B$9,F42*E42,"")</f>
        <v/>
      </c>
      <c r="H42" s="32">
        <f>IF(A42&lt;=$B$9,D42*E42,"")</f>
        <v/>
      </c>
    </row>
    <row r="43">
      <c r="A43" s="35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2">
        <f>IF(A43&lt;=$B$9,$B$6*$B$11/100*D43,"")</f>
        <v/>
      </c>
      <c r="G43" s="42">
        <f>IF(A43&lt;=$B$9,F43*E43,"")</f>
        <v/>
      </c>
      <c r="H43" s="32">
        <f>IF(A43&lt;=$B$9,D43*E43,"")</f>
        <v/>
      </c>
    </row>
    <row r="44">
      <c r="A44" s="35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2">
        <f>IF(A44&lt;=$B$9,$B$6*$B$11/100*D44,"")</f>
        <v/>
      </c>
      <c r="G44" s="42">
        <f>IF(A44&lt;=$B$9,F44*E44,"")</f>
        <v/>
      </c>
      <c r="H44" s="32">
        <f>IF(A44&lt;=$B$9,D44*E44,"")</f>
        <v/>
      </c>
    </row>
    <row r="45">
      <c r="A45" s="35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2">
        <f>IF(A45&lt;=$B$9,$B$6*$B$11/100*D45,"")</f>
        <v/>
      </c>
      <c r="G45" s="42">
        <f>IF(A45&lt;=$B$9,F45*E45,"")</f>
        <v/>
      </c>
      <c r="H45" s="32">
        <f>IF(A45&lt;=$B$9,D45*E45,"")</f>
        <v/>
      </c>
    </row>
    <row r="46">
      <c r="A46" s="35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2">
        <f>IF(A46&lt;=$B$9,$B$6*$B$11/100*D46,"")</f>
        <v/>
      </c>
      <c r="G46" s="42">
        <f>IF(A46&lt;=$B$9,F46*E46,"")</f>
        <v/>
      </c>
      <c r="H46" s="32">
        <f>IF(A46&lt;=$B$9,D46*E46,"")</f>
        <v/>
      </c>
    </row>
    <row r="47">
      <c r="A47" s="35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2">
        <f>IF(A47&lt;=$B$9,$B$6*$B$11/100*D47,"")</f>
        <v/>
      </c>
      <c r="G47" s="42">
        <f>IF(A47&lt;=$B$9,F47*E47,"")</f>
        <v/>
      </c>
      <c r="H47" s="32">
        <f>IF(A47&lt;=$B$9,D47*E47,"")</f>
        <v/>
      </c>
    </row>
    <row r="48">
      <c r="A48" s="35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2">
        <f>IF(A48&lt;=$B$9,$B$6*$B$11/100*D48,"")</f>
        <v/>
      </c>
      <c r="G48" s="42">
        <f>IF(A48&lt;=$B$9,F48*E48,"")</f>
        <v/>
      </c>
      <c r="H48" s="32">
        <f>IF(A48&lt;=$B$9,D48*E48,"")</f>
        <v/>
      </c>
    </row>
    <row r="49">
      <c r="A49" s="35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2">
        <f>IF(A49&lt;=$B$9,$B$6*$B$11/100*D49,"")</f>
        <v/>
      </c>
      <c r="G49" s="42">
        <f>IF(A49&lt;=$B$9,F49*E49,"")</f>
        <v/>
      </c>
      <c r="H49" s="32">
        <f>IF(A49&lt;=$B$9,D49*E49,"")</f>
        <v/>
      </c>
    </row>
    <row r="50">
      <c r="A50" s="35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2">
        <f>IF(A50&lt;=$B$9,$B$6*$B$11/100*D50,"")</f>
        <v/>
      </c>
      <c r="G50" s="42">
        <f>IF(A50&lt;=$B$9,F50*E50,"")</f>
        <v/>
      </c>
      <c r="H50" s="32">
        <f>IF(A50&lt;=$B$9,D50*E50,"")</f>
        <v/>
      </c>
    </row>
    <row r="51">
      <c r="A51" s="35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2">
        <f>IF(A51&lt;=$B$9,$B$6*$B$11/100*D51,"")</f>
        <v/>
      </c>
      <c r="G51" s="42">
        <f>IF(A51&lt;=$B$9,F51*E51,"")</f>
        <v/>
      </c>
      <c r="H51" s="32">
        <f>IF(A51&lt;=$B$9,D51*E51,"")</f>
        <v/>
      </c>
    </row>
    <row r="52">
      <c r="A52" s="35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2">
        <f>IF(A52&lt;=$B$9,$B$6*$B$11/100*D52,"")</f>
        <v/>
      </c>
      <c r="G52" s="42">
        <f>IF(A52&lt;=$B$9,F52*E52,"")</f>
        <v/>
      </c>
      <c r="H52" s="32">
        <f>IF(A52&lt;=$B$9,D52*E52,"")</f>
        <v/>
      </c>
    </row>
    <row r="53">
      <c r="A53" s="35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2">
        <f>IF(A53&lt;=$B$9,$B$6*$B$11/100*D53,"")</f>
        <v/>
      </c>
      <c r="G53" s="42">
        <f>IF(A53&lt;=$B$9,F53*E53,"")</f>
        <v/>
      </c>
      <c r="H53" s="32">
        <f>IF(A53&lt;=$B$9,D53*E53,"")</f>
        <v/>
      </c>
    </row>
    <row r="54">
      <c r="A54" s="35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2">
        <f>IF(A54&lt;=$B$9,$B$6*$B$11/100*D54,"")</f>
        <v/>
      </c>
      <c r="G54" s="42">
        <f>IF(A54&lt;=$B$9,F54*E54,"")</f>
        <v/>
      </c>
      <c r="H54" s="32">
        <f>IF(A54&lt;=$B$9,D54*E54,"")</f>
        <v/>
      </c>
    </row>
    <row r="55">
      <c r="A55" s="35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2">
        <f>IF(A55&lt;=$B$9,$B$6*$B$11/100*D55,"")</f>
        <v/>
      </c>
      <c r="G55" s="42">
        <f>IF(A55&lt;=$B$9,F55*E55,"")</f>
        <v/>
      </c>
      <c r="H55" s="32">
        <f>IF(A55&lt;=$B$9,D55*E55,"")</f>
        <v/>
      </c>
    </row>
    <row r="56">
      <c r="A56" s="35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2">
        <f>IF(A56&lt;=$B$9,$B$6*$B$11/100*D56,"")</f>
        <v/>
      </c>
      <c r="G56" s="42">
        <f>IF(A56&lt;=$B$9,F56*E56,"")</f>
        <v/>
      </c>
      <c r="H56" s="32">
        <f>IF(A56&lt;=$B$9,D56*E56,"")</f>
        <v/>
      </c>
    </row>
    <row r="57">
      <c r="A57" s="35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2">
        <f>IF(A57&lt;=$B$9,$B$6*$B$11/100*D57,"")</f>
        <v/>
      </c>
      <c r="G57" s="42">
        <f>IF(A57&lt;=$B$9,F57*E57,"")</f>
        <v/>
      </c>
      <c r="H57" s="32">
        <f>IF(A57&lt;=$B$9,D57*E57,"")</f>
        <v/>
      </c>
    </row>
    <row r="58">
      <c r="A58" s="35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2">
        <f>IF(A58&lt;=$B$9,$B$6*$B$11/100*D58,"")</f>
        <v/>
      </c>
      <c r="G58" s="42">
        <f>IF(A58&lt;=$B$9,F58*E58,"")</f>
        <v/>
      </c>
      <c r="H58" s="32">
        <f>IF(A58&lt;=$B$9,D58*E58,"")</f>
        <v/>
      </c>
    </row>
    <row r="59">
      <c r="A59" s="35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2">
        <f>IF(A59&lt;=$B$9,$B$6*$B$11/100*D59,"")</f>
        <v/>
      </c>
      <c r="G59" s="42">
        <f>IF(A59&lt;=$B$9,F59*E59,"")</f>
        <v/>
      </c>
      <c r="H59" s="32">
        <f>IF(A59&lt;=$B$9,D59*E59,"")</f>
        <v/>
      </c>
    </row>
    <row r="60">
      <c r="A60" s="35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2">
        <f>IF(A60&lt;=$B$9,$B$6*$B$11/100*D60,"")</f>
        <v/>
      </c>
      <c r="G60" s="42">
        <f>IF(A60&lt;=$B$9,F60*E60,"")</f>
        <v/>
      </c>
      <c r="H60" s="32">
        <f>IF(A60&lt;=$B$9,D60*E60,"")</f>
        <v/>
      </c>
    </row>
    <row r="61">
      <c r="A61" s="35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2">
        <f>IF(A61&lt;=$B$9,$B$6*$B$11/100*D61,"")</f>
        <v/>
      </c>
      <c r="G61" s="42">
        <f>IF(A61&lt;=$B$9,F61*E61,"")</f>
        <v/>
      </c>
      <c r="H61" s="32">
        <f>IF(A61&lt;=$B$9,D61*E61,"")</f>
        <v/>
      </c>
    </row>
    <row r="62">
      <c r="A62" s="35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2">
        <f>IF(A62&lt;=$B$9,$B$6*$B$11/100*D62,"")</f>
        <v/>
      </c>
      <c r="G62" s="42">
        <f>IF(A62&lt;=$B$9,F62*E62,"")</f>
        <v/>
      </c>
      <c r="H62" s="32">
        <f>IF(A62&lt;=$B$9,D62*E62,"")</f>
        <v/>
      </c>
    </row>
    <row r="63">
      <c r="A63" s="35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2">
        <f>IF(A63&lt;=$B$9,$B$6*$B$11/100*D63,"")</f>
        <v/>
      </c>
      <c r="G63" s="42">
        <f>IF(A63&lt;=$B$9,F63*E63,"")</f>
        <v/>
      </c>
      <c r="H63" s="32">
        <f>IF(A63&lt;=$B$9,D63*E63,"")</f>
        <v/>
      </c>
    </row>
    <row r="64">
      <c r="A64" s="35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2">
        <f>IF(A64&lt;=$B$9,$B$6*$B$11/100*D64,"")</f>
        <v/>
      </c>
      <c r="G64" s="42">
        <f>IF(A64&lt;=$B$9,F64*E64,"")</f>
        <v/>
      </c>
      <c r="H64" s="32">
        <f>IF(A64&lt;=$B$9,D64*E64,"")</f>
        <v/>
      </c>
    </row>
    <row r="65">
      <c r="A65" s="35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2">
        <f>IF(A65&lt;=$B$9,$B$6*$B$11/100*D65,"")</f>
        <v/>
      </c>
      <c r="G65" s="42">
        <f>IF(A65&lt;=$B$9,F65*E65,"")</f>
        <v/>
      </c>
      <c r="H65" s="32">
        <f>IF(A65&lt;=$B$9,D65*E65,"")</f>
        <v/>
      </c>
    </row>
    <row r="66">
      <c r="A66" s="35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2">
        <f>IF(A66&lt;=$B$9,$B$6*$B$11/100*D66,"")</f>
        <v/>
      </c>
      <c r="G66" s="42">
        <f>IF(A66&lt;=$B$9,F66*E66,"")</f>
        <v/>
      </c>
      <c r="H66" s="32">
        <f>IF(A66&lt;=$B$9,D66*E66,"")</f>
        <v/>
      </c>
    </row>
    <row r="67">
      <c r="A67" s="35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2">
        <f>IF(A67&lt;=$B$9,$B$6*$B$11/100*D67,"")</f>
        <v/>
      </c>
      <c r="G67" s="42">
        <f>IF(A67&lt;=$B$9,F67*E67,"")</f>
        <v/>
      </c>
      <c r="H67" s="32">
        <f>IF(A67&lt;=$B$9,D67*E67,"")</f>
        <v/>
      </c>
    </row>
    <row r="68">
      <c r="A68" s="35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2">
        <f>IF(A68&lt;=$B$9,$B$6*$B$11/100*D68,"")</f>
        <v/>
      </c>
      <c r="G68" s="42">
        <f>IF(A68&lt;=$B$9,F68*E68,"")</f>
        <v/>
      </c>
      <c r="H68" s="32">
        <f>IF(A68&lt;=$B$9,D68*E68,"")</f>
        <v/>
      </c>
    </row>
    <row r="69">
      <c r="A69" s="35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2">
        <f>IF(A69&lt;=$B$9,$B$6*$B$11/100*D69,"")</f>
        <v/>
      </c>
      <c r="G69" s="42">
        <f>IF(A69&lt;=$B$9,F69*E69,"")</f>
        <v/>
      </c>
      <c r="H69" s="32">
        <f>IF(A69&lt;=$B$9,D69*E69,"")</f>
        <v/>
      </c>
    </row>
    <row r="70">
      <c r="A70" s="35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2">
        <f>IF(A70&lt;=$B$9,$B$6*$B$11/100*D70,"")</f>
        <v/>
      </c>
      <c r="G70" s="42">
        <f>IF(A70&lt;=$B$9,F70*E70,"")</f>
        <v/>
      </c>
      <c r="H70" s="32">
        <f>IF(A70&lt;=$B$9,D70*E70,"")</f>
        <v/>
      </c>
    </row>
    <row r="71">
      <c r="A71" s="35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2">
        <f>IF(A71&lt;=$B$9,$B$6*$B$11/100*D71,"")</f>
        <v/>
      </c>
      <c r="G71" s="42">
        <f>IF(A71&lt;=$B$9,F71*E71,"")</f>
        <v/>
      </c>
      <c r="H71" s="32">
        <f>IF(A71&lt;=$B$9,D71*E71,"")</f>
        <v/>
      </c>
    </row>
    <row r="72">
      <c r="A72" s="35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2">
        <f>IF(A72&lt;=$B$9,$B$6*$B$11/100*D72,"")</f>
        <v/>
      </c>
      <c r="G72" s="42">
        <f>IF(A72&lt;=$B$9,F72*E72,"")</f>
        <v/>
      </c>
      <c r="H72" s="32">
        <f>IF(A72&lt;=$B$9,D72*E72,"")</f>
        <v/>
      </c>
    </row>
    <row r="73">
      <c r="A73" s="35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2">
        <f>IF(A73&lt;=$B$9,$B$6*$B$11/100*D73,"")</f>
        <v/>
      </c>
      <c r="G73" s="42">
        <f>IF(A73&lt;=$B$9,F73*E73,"")</f>
        <v/>
      </c>
      <c r="H73" s="32">
        <f>IF(A73&lt;=$B$9,D73*E73,"")</f>
        <v/>
      </c>
    </row>
    <row r="74">
      <c r="A74" s="35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2">
        <f>IF(A74&lt;=$B$9,$B$6*$B$11/100*D74,"")</f>
        <v/>
      </c>
      <c r="G74" s="42">
        <f>IF(A74&lt;=$B$9,F74*E74,"")</f>
        <v/>
      </c>
      <c r="H74" s="32">
        <f>IF(A74&lt;=$B$9,D74*E74,"")</f>
        <v/>
      </c>
    </row>
    <row r="75">
      <c r="A75" s="35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2">
        <f>IF(A75&lt;=$B$9,$B$6*$B$11/100*D75,"")</f>
        <v/>
      </c>
      <c r="G75" s="42">
        <f>IF(A75&lt;=$B$9,F75*E75,"")</f>
        <v/>
      </c>
      <c r="H75" s="32">
        <f>IF(A75&lt;=$B$9,D75*E75,"")</f>
        <v/>
      </c>
    </row>
    <row r="76">
      <c r="A76" s="35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2">
        <f>IF(A76&lt;=$B$9,$B$6*$B$11/100*D76,"")</f>
        <v/>
      </c>
      <c r="G76" s="42">
        <f>IF(A76&lt;=$B$9,F76*E76,"")</f>
        <v/>
      </c>
      <c r="H76" s="32">
        <f>IF(A76&lt;=$B$9,D76*E76,"")</f>
        <v/>
      </c>
    </row>
    <row r="77">
      <c r="A77" s="35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2">
        <f>IF(A77&lt;=$B$9,$B$6*$B$11/100*D77,"")</f>
        <v/>
      </c>
      <c r="G77" s="42">
        <f>IF(A77&lt;=$B$9,F77*E77,"")</f>
        <v/>
      </c>
      <c r="H77" s="32">
        <f>IF(A77&lt;=$B$9,D77*E77,"")</f>
        <v/>
      </c>
    </row>
    <row r="78">
      <c r="A78" s="35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2">
        <f>IF(A78&lt;=$B$9,$B$6*$B$11/100*D78,"")</f>
        <v/>
      </c>
      <c r="G78" s="42">
        <f>IF(A78&lt;=$B$9,F78*E78,"")</f>
        <v/>
      </c>
      <c r="H78" s="32">
        <f>IF(A78&lt;=$B$9,D78*E78,"")</f>
        <v/>
      </c>
    </row>
    <row r="79">
      <c r="A79" s="35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2">
        <f>IF(A79&lt;=$B$9,$B$6*$B$11/100*D79,"")</f>
        <v/>
      </c>
      <c r="G79" s="42">
        <f>IF(A79&lt;=$B$9,F79*E79,"")</f>
        <v/>
      </c>
      <c r="H79" s="32">
        <f>IF(A79&lt;=$B$9,D79*E79,"")</f>
        <v/>
      </c>
    </row>
    <row r="80">
      <c r="A80" s="35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2">
        <f>IF(A80&lt;=$B$9,$B$6*$B$11/100*D80,"")</f>
        <v/>
      </c>
      <c r="G80" s="42">
        <f>IF(A80&lt;=$B$9,F80*E80,"")</f>
        <v/>
      </c>
      <c r="H80" s="32">
        <f>IF(A80&lt;=$B$9,D80*E80,"")</f>
        <v/>
      </c>
    </row>
    <row r="81">
      <c r="A81" s="35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2">
        <f>IF(A81&lt;=$B$9,$B$6*$B$11/100*D81,"")</f>
        <v/>
      </c>
      <c r="G81" s="42">
        <f>IF(A81&lt;=$B$9,F81*E81,"")</f>
        <v/>
      </c>
      <c r="H81" s="32">
        <f>IF(A81&lt;=$B$9,D81*E81,"")</f>
        <v/>
      </c>
    </row>
    <row r="82">
      <c r="A82" s="35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2">
        <f>IF(A82&lt;=$B$9,$B$6*$B$11/100*D82,"")</f>
        <v/>
      </c>
      <c r="G82" s="42">
        <f>IF(A82&lt;=$B$9,F82*E82,"")</f>
        <v/>
      </c>
      <c r="H82" s="32">
        <f>IF(A82&lt;=$B$9,D82*E82,"")</f>
        <v/>
      </c>
    </row>
    <row r="83">
      <c r="A83" s="35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2">
        <f>IF(A83&lt;=$B$9,$B$6*$B$11/100*D83,"")</f>
        <v/>
      </c>
      <c r="G83" s="42">
        <f>IF(A83&lt;=$B$9,F83*E83,"")</f>
        <v/>
      </c>
      <c r="H83" s="32">
        <f>IF(A83&lt;=$B$9,D83*E83,"")</f>
        <v/>
      </c>
    </row>
    <row r="84">
      <c r="A84" s="35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2">
        <f>IF(A84&lt;=$B$9,$B$6*$B$11/100*D84,"")</f>
        <v/>
      </c>
      <c r="G84" s="42">
        <f>IF(A84&lt;=$B$9,F84*E84,"")</f>
        <v/>
      </c>
      <c r="H84" s="32">
        <f>IF(A84&lt;=$B$9,D84*E84,"")</f>
        <v/>
      </c>
    </row>
    <row r="85">
      <c r="A85" s="35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2">
        <f>IF(A85&lt;=$B$9,$B$6*$B$11/100*D85,"")</f>
        <v/>
      </c>
      <c r="G85" s="42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9">
        <f>IFERROR(BDP(S490_TKR,"NAME"),"ERROR PLZ FIX")</f>
        <v/>
      </c>
    </row>
    <row r="5">
      <c r="A5" s="13" t="inlineStr">
        <is>
          <t>Curve date</t>
        </is>
      </c>
      <c r="B5" s="44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5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5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5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5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5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5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5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5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5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5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5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5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5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6" t="n">
        <v>0</v>
      </c>
      <c r="C8" s="47" t="n">
        <v>1</v>
      </c>
      <c r="G8" s="48">
        <f>F9</f>
        <v/>
      </c>
    </row>
    <row r="9">
      <c r="A9" s="6">
        <f>'Bootstrap'!A8</f>
        <v/>
      </c>
      <c r="B9" s="28">
        <f>'Bootstrap'!C8</f>
        <v/>
      </c>
      <c r="C9" s="33">
        <f>'Bootstrap'!H8</f>
        <v/>
      </c>
      <c r="D9" s="28">
        <f>B9-B8</f>
        <v/>
      </c>
      <c r="E9" s="32">
        <f>-LN(C9/C8)</f>
        <v/>
      </c>
      <c r="F9" s="49">
        <f>E9/D9</f>
        <v/>
      </c>
      <c r="G9" s="49">
        <f>(F9+F10)/2</f>
        <v/>
      </c>
      <c r="H9" s="49">
        <f>G8</f>
        <v/>
      </c>
      <c r="I9" s="32">
        <f>(G9-G8)/D9-J9*D9</f>
        <v/>
      </c>
      <c r="J9" s="32">
        <f>3*(G9-G8)/D9^2-6*(E9-G8*D9)/D9^3</f>
        <v/>
      </c>
      <c r="K9" s="49">
        <f>H9+I9*D9/2+J9*D9^2/4</f>
        <v/>
      </c>
      <c r="L9" s="50">
        <f>H9*D9+I9*D9^2/2+J9*D9^3/3-E9</f>
        <v/>
      </c>
    </row>
    <row r="10">
      <c r="A10" s="6">
        <f>'Bootstrap'!A9</f>
        <v/>
      </c>
      <c r="B10" s="28">
        <f>'Bootstrap'!C9</f>
        <v/>
      </c>
      <c r="C10" s="33">
        <f>'Bootstrap'!H9</f>
        <v/>
      </c>
      <c r="D10" s="28">
        <f>B10-B9</f>
        <v/>
      </c>
      <c r="E10" s="32">
        <f>-LN(C10/C9)</f>
        <v/>
      </c>
      <c r="F10" s="49">
        <f>E10/D10</f>
        <v/>
      </c>
      <c r="G10" s="49">
        <f>(F10+F11)/2</f>
        <v/>
      </c>
      <c r="H10" s="49">
        <f>G9</f>
        <v/>
      </c>
      <c r="I10" s="32">
        <f>(G10-G9)/D10-J10*D10</f>
        <v/>
      </c>
      <c r="J10" s="32">
        <f>3*(G10-G9)/D10^2-6*(E10-G9*D10)/D10^3</f>
        <v/>
      </c>
      <c r="K10" s="49">
        <f>H10+I10*D10/2+J10*D10^2/4</f>
        <v/>
      </c>
      <c r="L10" s="50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3">
        <f>'Bootstrap'!H10</f>
        <v/>
      </c>
      <c r="D11" s="28">
        <f>B11-B10</f>
        <v/>
      </c>
      <c r="E11" s="32">
        <f>-LN(C11/C10)</f>
        <v/>
      </c>
      <c r="F11" s="49">
        <f>E11/D11</f>
        <v/>
      </c>
      <c r="G11" s="49">
        <f>(F11+F12)/2</f>
        <v/>
      </c>
      <c r="H11" s="49">
        <f>G10</f>
        <v/>
      </c>
      <c r="I11" s="32">
        <f>(G11-G10)/D11-J11*D11</f>
        <v/>
      </c>
      <c r="J11" s="32">
        <f>3*(G11-G10)/D11^2-6*(E11-G10*D11)/D11^3</f>
        <v/>
      </c>
      <c r="K11" s="49">
        <f>H11+I11*D11/2+J11*D11^2/4</f>
        <v/>
      </c>
      <c r="L11" s="50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3">
        <f>'Bootstrap'!H11</f>
        <v/>
      </c>
      <c r="D12" s="28">
        <f>B12-B11</f>
        <v/>
      </c>
      <c r="E12" s="32">
        <f>-LN(C12/C11)</f>
        <v/>
      </c>
      <c r="F12" s="49">
        <f>E12/D12</f>
        <v/>
      </c>
      <c r="G12" s="49">
        <f>(F12+F13)/2</f>
        <v/>
      </c>
      <c r="H12" s="49">
        <f>G11</f>
        <v/>
      </c>
      <c r="I12" s="32">
        <f>(G12-G11)/D12-J12*D12</f>
        <v/>
      </c>
      <c r="J12" s="32">
        <f>3*(G12-G11)/D12^2-6*(E12-G11*D12)/D12^3</f>
        <v/>
      </c>
      <c r="K12" s="49">
        <f>H12+I12*D12/2+J12*D12^2/4</f>
        <v/>
      </c>
      <c r="L12" s="50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3">
        <f>'Bootstrap'!H12</f>
        <v/>
      </c>
      <c r="D13" s="28">
        <f>B13-B12</f>
        <v/>
      </c>
      <c r="E13" s="32">
        <f>-LN(C13/C12)</f>
        <v/>
      </c>
      <c r="F13" s="49">
        <f>E13/D13</f>
        <v/>
      </c>
      <c r="G13" s="49">
        <f>(F13+F14)/2</f>
        <v/>
      </c>
      <c r="H13" s="49">
        <f>G12</f>
        <v/>
      </c>
      <c r="I13" s="32">
        <f>(G13-G12)/D13-J13*D13</f>
        <v/>
      </c>
      <c r="J13" s="32">
        <f>3*(G13-G12)/D13^2-6*(E13-G12*D13)/D13^3</f>
        <v/>
      </c>
      <c r="K13" s="49">
        <f>H13+I13*D13/2+J13*D13^2/4</f>
        <v/>
      </c>
      <c r="L13" s="50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3">
        <f>'Bootstrap'!H13</f>
        <v/>
      </c>
      <c r="D14" s="28">
        <f>B14-B13</f>
        <v/>
      </c>
      <c r="E14" s="32">
        <f>-LN(C14/C13)</f>
        <v/>
      </c>
      <c r="F14" s="49">
        <f>E14/D14</f>
        <v/>
      </c>
      <c r="G14" s="49">
        <f>(F14+F15)/2</f>
        <v/>
      </c>
      <c r="H14" s="49">
        <f>G13</f>
        <v/>
      </c>
      <c r="I14" s="32">
        <f>(G14-G13)/D14-J14*D14</f>
        <v/>
      </c>
      <c r="J14" s="32">
        <f>3*(G14-G13)/D14^2-6*(E14-G13*D14)/D14^3</f>
        <v/>
      </c>
      <c r="K14" s="49">
        <f>H14+I14*D14/2+J14*D14^2/4</f>
        <v/>
      </c>
      <c r="L14" s="50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3">
        <f>'Bootstrap'!H14</f>
        <v/>
      </c>
      <c r="D15" s="28">
        <f>B15-B14</f>
        <v/>
      </c>
      <c r="E15" s="32">
        <f>-LN(C15/C14)</f>
        <v/>
      </c>
      <c r="F15" s="49">
        <f>E15/D15</f>
        <v/>
      </c>
      <c r="G15" s="49">
        <f>(F15+F16)/2</f>
        <v/>
      </c>
      <c r="H15" s="49">
        <f>G14</f>
        <v/>
      </c>
      <c r="I15" s="32">
        <f>(G15-G14)/D15-J15*D15</f>
        <v/>
      </c>
      <c r="J15" s="32">
        <f>3*(G15-G14)/D15^2-6*(E15-G14*D15)/D15^3</f>
        <v/>
      </c>
      <c r="K15" s="49">
        <f>H15+I15*D15/2+J15*D15^2/4</f>
        <v/>
      </c>
      <c r="L15" s="50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3">
        <f>'Bootstrap'!H15</f>
        <v/>
      </c>
      <c r="D16" s="28">
        <f>B16-B15</f>
        <v/>
      </c>
      <c r="E16" s="32">
        <f>-LN(C16/C15)</f>
        <v/>
      </c>
      <c r="F16" s="49">
        <f>E16/D16</f>
        <v/>
      </c>
      <c r="G16" s="49">
        <f>(F16+F17)/2</f>
        <v/>
      </c>
      <c r="H16" s="49">
        <f>G15</f>
        <v/>
      </c>
      <c r="I16" s="32">
        <f>(G16-G15)/D16-J16*D16</f>
        <v/>
      </c>
      <c r="J16" s="32">
        <f>3*(G16-G15)/D16^2-6*(E16-G15*D16)/D16^3</f>
        <v/>
      </c>
      <c r="K16" s="49">
        <f>H16+I16*D16/2+J16*D16^2/4</f>
        <v/>
      </c>
      <c r="L16" s="50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3">
        <f>'Bootstrap'!H16</f>
        <v/>
      </c>
      <c r="D17" s="28">
        <f>B17-B16</f>
        <v/>
      </c>
      <c r="E17" s="32">
        <f>-LN(C17/C16)</f>
        <v/>
      </c>
      <c r="F17" s="49">
        <f>E17/D17</f>
        <v/>
      </c>
      <c r="G17" s="49">
        <f>(F17+F18)/2</f>
        <v/>
      </c>
      <c r="H17" s="49">
        <f>G16</f>
        <v/>
      </c>
      <c r="I17" s="32">
        <f>(G17-G16)/D17-J17*D17</f>
        <v/>
      </c>
      <c r="J17" s="32">
        <f>3*(G17-G16)/D17^2-6*(E17-G16*D17)/D17^3</f>
        <v/>
      </c>
      <c r="K17" s="49">
        <f>H17+I17*D17/2+J17*D17^2/4</f>
        <v/>
      </c>
      <c r="L17" s="50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3">
        <f>'Bootstrap'!H17</f>
        <v/>
      </c>
      <c r="D18" s="28">
        <f>B18-B17</f>
        <v/>
      </c>
      <c r="E18" s="32">
        <f>-LN(C18/C17)</f>
        <v/>
      </c>
      <c r="F18" s="49">
        <f>E18/D18</f>
        <v/>
      </c>
      <c r="G18" s="49">
        <f>(F18+F19)/2</f>
        <v/>
      </c>
      <c r="H18" s="49">
        <f>G17</f>
        <v/>
      </c>
      <c r="I18" s="32">
        <f>(G18-G17)/D18-J18*D18</f>
        <v/>
      </c>
      <c r="J18" s="32">
        <f>3*(G18-G17)/D18^2-6*(E18-G17*D18)/D18^3</f>
        <v/>
      </c>
      <c r="K18" s="49">
        <f>H18+I18*D18/2+J18*D18^2/4</f>
        <v/>
      </c>
      <c r="L18" s="50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3">
        <f>'Bootstrap'!H18</f>
        <v/>
      </c>
      <c r="D19" s="28">
        <f>B19-B18</f>
        <v/>
      </c>
      <c r="E19" s="32">
        <f>-LN(C19/C18)</f>
        <v/>
      </c>
      <c r="F19" s="49">
        <f>E19/D19</f>
        <v/>
      </c>
      <c r="G19" s="49">
        <f>(F19+F20)/2</f>
        <v/>
      </c>
      <c r="H19" s="49">
        <f>G18</f>
        <v/>
      </c>
      <c r="I19" s="32">
        <f>(G19-G18)/D19-J19*D19</f>
        <v/>
      </c>
      <c r="J19" s="32">
        <f>3*(G19-G18)/D19^2-6*(E19-G18*D19)/D19^3</f>
        <v/>
      </c>
      <c r="K19" s="49">
        <f>H19+I19*D19/2+J19*D19^2/4</f>
        <v/>
      </c>
      <c r="L19" s="50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3">
        <f>'Bootstrap'!H19</f>
        <v/>
      </c>
      <c r="D20" s="28">
        <f>B20-B19</f>
        <v/>
      </c>
      <c r="E20" s="32">
        <f>-LN(C20/C19)</f>
        <v/>
      </c>
      <c r="F20" s="49">
        <f>E20/D20</f>
        <v/>
      </c>
      <c r="G20" s="49">
        <f>(F20+F21)/2</f>
        <v/>
      </c>
      <c r="H20" s="49">
        <f>G19</f>
        <v/>
      </c>
      <c r="I20" s="32">
        <f>(G20-G19)/D20-J20*D20</f>
        <v/>
      </c>
      <c r="J20" s="32">
        <f>3*(G20-G19)/D20^2-6*(E20-G19*D20)/D20^3</f>
        <v/>
      </c>
      <c r="K20" s="49">
        <f>H20+I20*D20/2+J20*D20^2/4</f>
        <v/>
      </c>
      <c r="L20" s="50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3">
        <f>'Bootstrap'!H20</f>
        <v/>
      </c>
      <c r="D21" s="28">
        <f>B21-B20</f>
        <v/>
      </c>
      <c r="E21" s="32">
        <f>-LN(C21/C20)</f>
        <v/>
      </c>
      <c r="F21" s="49">
        <f>E21/D21</f>
        <v/>
      </c>
      <c r="G21" s="49">
        <f>(F21+F22)/2</f>
        <v/>
      </c>
      <c r="H21" s="49">
        <f>G20</f>
        <v/>
      </c>
      <c r="I21" s="32">
        <f>(G21-G20)/D21-J21*D21</f>
        <v/>
      </c>
      <c r="J21" s="32">
        <f>3*(G21-G20)/D21^2-6*(E21-G20*D21)/D21^3</f>
        <v/>
      </c>
      <c r="K21" s="49">
        <f>H21+I21*D21/2+J21*D21^2/4</f>
        <v/>
      </c>
      <c r="L21" s="50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3">
        <f>'Bootstrap'!H21</f>
        <v/>
      </c>
      <c r="D22" s="28">
        <f>B22-B21</f>
        <v/>
      </c>
      <c r="E22" s="32">
        <f>-LN(C22/C21)</f>
        <v/>
      </c>
      <c r="F22" s="49">
        <f>E22/D22</f>
        <v/>
      </c>
      <c r="G22" s="49">
        <f>(F22+F23)/2</f>
        <v/>
      </c>
      <c r="H22" s="49">
        <f>G21</f>
        <v/>
      </c>
      <c r="I22" s="32">
        <f>(G22-G21)/D22-J22*D22</f>
        <v/>
      </c>
      <c r="J22" s="32">
        <f>3*(G22-G21)/D22^2-6*(E22-G21*D22)/D22^3</f>
        <v/>
      </c>
      <c r="K22" s="49">
        <f>H22+I22*D22/2+J22*D22^2/4</f>
        <v/>
      </c>
      <c r="L22" s="50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3">
        <f>'Bootstrap'!H22</f>
        <v/>
      </c>
      <c r="D23" s="28">
        <f>B23-B22</f>
        <v/>
      </c>
      <c r="E23" s="32">
        <f>-LN(C23/C22)</f>
        <v/>
      </c>
      <c r="F23" s="49">
        <f>E23/D23</f>
        <v/>
      </c>
      <c r="G23" s="49">
        <f>(F23+F24)/2</f>
        <v/>
      </c>
      <c r="H23" s="49">
        <f>G22</f>
        <v/>
      </c>
      <c r="I23" s="32">
        <f>(G23-G22)/D23-J23*D23</f>
        <v/>
      </c>
      <c r="J23" s="32">
        <f>3*(G23-G22)/D23^2-6*(E23-G22*D23)/D23^3</f>
        <v/>
      </c>
      <c r="K23" s="49">
        <f>H23+I23*D23/2+J23*D23^2/4</f>
        <v/>
      </c>
      <c r="L23" s="50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3">
        <f>'Bootstrap'!H23</f>
        <v/>
      </c>
      <c r="D24" s="28">
        <f>B24-B23</f>
        <v/>
      </c>
      <c r="E24" s="32">
        <f>-LN(C24/C23)</f>
        <v/>
      </c>
      <c r="F24" s="49">
        <f>E24/D24</f>
        <v/>
      </c>
      <c r="G24" s="49">
        <f>(F24+F25)/2</f>
        <v/>
      </c>
      <c r="H24" s="49">
        <f>G23</f>
        <v/>
      </c>
      <c r="I24" s="32">
        <f>(G24-G23)/D24-J24*D24</f>
        <v/>
      </c>
      <c r="J24" s="32">
        <f>3*(G24-G23)/D24^2-6*(E24-G23*D24)/D24^3</f>
        <v/>
      </c>
      <c r="K24" s="49">
        <f>H24+I24*D24/2+J24*D24^2/4</f>
        <v/>
      </c>
      <c r="L24" s="50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3">
        <f>'Bootstrap'!H24</f>
        <v/>
      </c>
      <c r="D25" s="28">
        <f>B25-B24</f>
        <v/>
      </c>
      <c r="E25" s="32">
        <f>-LN(C25/C24)</f>
        <v/>
      </c>
      <c r="F25" s="49">
        <f>E25/D25</f>
        <v/>
      </c>
      <c r="G25" s="49">
        <f>(F25+F26)/2</f>
        <v/>
      </c>
      <c r="H25" s="49">
        <f>G24</f>
        <v/>
      </c>
      <c r="I25" s="32">
        <f>(G25-G24)/D25-J25*D25</f>
        <v/>
      </c>
      <c r="J25" s="32">
        <f>3*(G25-G24)/D25^2-6*(E25-G24*D25)/D25^3</f>
        <v/>
      </c>
      <c r="K25" s="49">
        <f>H25+I25*D25/2+J25*D25^2/4</f>
        <v/>
      </c>
      <c r="L25" s="50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3">
        <f>'Bootstrap'!H25</f>
        <v/>
      </c>
      <c r="D26" s="28">
        <f>B26-B25</f>
        <v/>
      </c>
      <c r="E26" s="32">
        <f>-LN(C26/C25)</f>
        <v/>
      </c>
      <c r="F26" s="49">
        <f>E26/D26</f>
        <v/>
      </c>
      <c r="G26" s="49">
        <f>(F26+F27)/2</f>
        <v/>
      </c>
      <c r="H26" s="49">
        <f>G25</f>
        <v/>
      </c>
      <c r="I26" s="32">
        <f>(G26-G25)/D26-J26*D26</f>
        <v/>
      </c>
      <c r="J26" s="32">
        <f>3*(G26-G25)/D26^2-6*(E26-G25*D26)/D26^3</f>
        <v/>
      </c>
      <c r="K26" s="49">
        <f>H26+I26*D26/2+J26*D26^2/4</f>
        <v/>
      </c>
      <c r="L26" s="50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3">
        <f>'Bootstrap'!H26</f>
        <v/>
      </c>
      <c r="D27" s="28">
        <f>B27-B26</f>
        <v/>
      </c>
      <c r="E27" s="32">
        <f>-LN(C27/C26)</f>
        <v/>
      </c>
      <c r="F27" s="49">
        <f>E27/D27</f>
        <v/>
      </c>
      <c r="G27" s="49">
        <f>(F27+F28)/2</f>
        <v/>
      </c>
      <c r="H27" s="49">
        <f>G26</f>
        <v/>
      </c>
      <c r="I27" s="32">
        <f>(G27-G26)/D27-J27*D27</f>
        <v/>
      </c>
      <c r="J27" s="32">
        <f>3*(G27-G26)/D27^2-6*(E27-G26*D27)/D27^3</f>
        <v/>
      </c>
      <c r="K27" s="49">
        <f>H27+I27*D27/2+J27*D27^2/4</f>
        <v/>
      </c>
      <c r="L27" s="50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3">
        <f>'Bootstrap'!H27</f>
        <v/>
      </c>
      <c r="D28" s="28">
        <f>B28-B27</f>
        <v/>
      </c>
      <c r="E28" s="32">
        <f>-LN(C28/C27)</f>
        <v/>
      </c>
      <c r="F28" s="49">
        <f>E28/D28</f>
        <v/>
      </c>
      <c r="G28" s="49">
        <f>(F28+F29)/2</f>
        <v/>
      </c>
      <c r="H28" s="49">
        <f>G27</f>
        <v/>
      </c>
      <c r="I28" s="32">
        <f>(G28-G27)/D28-J28*D28</f>
        <v/>
      </c>
      <c r="J28" s="32">
        <f>3*(G28-G27)/D28^2-6*(E28-G27*D28)/D28^3</f>
        <v/>
      </c>
      <c r="K28" s="49">
        <f>H28+I28*D28/2+J28*D28^2/4</f>
        <v/>
      </c>
      <c r="L28" s="50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3">
        <f>'Bootstrap'!H28</f>
        <v/>
      </c>
      <c r="D29" s="28">
        <f>B29-B28</f>
        <v/>
      </c>
      <c r="E29" s="32">
        <f>-LN(C29/C28)</f>
        <v/>
      </c>
      <c r="F29" s="49">
        <f>E29/D29</f>
        <v/>
      </c>
      <c r="G29" s="49">
        <f>(F29+F30)/2</f>
        <v/>
      </c>
      <c r="H29" s="49">
        <f>G28</f>
        <v/>
      </c>
      <c r="I29" s="32">
        <f>(G29-G28)/D29-J29*D29</f>
        <v/>
      </c>
      <c r="J29" s="32">
        <f>3*(G29-G28)/D29^2-6*(E29-G28*D29)/D29^3</f>
        <v/>
      </c>
      <c r="K29" s="49">
        <f>H29+I29*D29/2+J29*D29^2/4</f>
        <v/>
      </c>
      <c r="L29" s="50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3">
        <f>'Bootstrap'!H29</f>
        <v/>
      </c>
      <c r="D30" s="28">
        <f>B30-B29</f>
        <v/>
      </c>
      <c r="E30" s="32">
        <f>-LN(C30/C29)</f>
        <v/>
      </c>
      <c r="F30" s="49">
        <f>E30/D30</f>
        <v/>
      </c>
      <c r="G30" s="49">
        <f>(F30+F31)/2</f>
        <v/>
      </c>
      <c r="H30" s="49">
        <f>G29</f>
        <v/>
      </c>
      <c r="I30" s="32">
        <f>(G30-G29)/D30-J30*D30</f>
        <v/>
      </c>
      <c r="J30" s="32">
        <f>3*(G30-G29)/D30^2-6*(E30-G29*D30)/D30^3</f>
        <v/>
      </c>
      <c r="K30" s="49">
        <f>H30+I30*D30/2+J30*D30^2/4</f>
        <v/>
      </c>
      <c r="L30" s="50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3">
        <f>'Bootstrap'!H30</f>
        <v/>
      </c>
      <c r="D31" s="28">
        <f>B31-B30</f>
        <v/>
      </c>
      <c r="E31" s="32">
        <f>-LN(C31/C30)</f>
        <v/>
      </c>
      <c r="F31" s="49">
        <f>E31/D31</f>
        <v/>
      </c>
      <c r="G31" s="49">
        <f>(F31+F32)/2</f>
        <v/>
      </c>
      <c r="H31" s="49">
        <f>G30</f>
        <v/>
      </c>
      <c r="I31" s="32">
        <f>(G31-G30)/D31-J31*D31</f>
        <v/>
      </c>
      <c r="J31" s="32">
        <f>3*(G31-G30)/D31^2-6*(E31-G30*D31)/D31^3</f>
        <v/>
      </c>
      <c r="K31" s="49">
        <f>H31+I31*D31/2+J31*D31^2/4</f>
        <v/>
      </c>
      <c r="L31" s="50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3">
        <f>'Bootstrap'!H31</f>
        <v/>
      </c>
      <c r="D32" s="28">
        <f>B32-B31</f>
        <v/>
      </c>
      <c r="E32" s="32">
        <f>-LN(C32/C31)</f>
        <v/>
      </c>
      <c r="F32" s="49">
        <f>E32/D32</f>
        <v/>
      </c>
      <c r="G32" s="49">
        <f>(F32+F33)/2</f>
        <v/>
      </c>
      <c r="H32" s="49">
        <f>G31</f>
        <v/>
      </c>
      <c r="I32" s="32">
        <f>(G32-G31)/D32-J32*D32</f>
        <v/>
      </c>
      <c r="J32" s="32">
        <f>3*(G32-G31)/D32^2-6*(E32-G31*D32)/D32^3</f>
        <v/>
      </c>
      <c r="K32" s="49">
        <f>H32+I32*D32/2+J32*D32^2/4</f>
        <v/>
      </c>
      <c r="L32" s="50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3">
        <f>'Bootstrap'!H32</f>
        <v/>
      </c>
      <c r="D33" s="28">
        <f>B33-B32</f>
        <v/>
      </c>
      <c r="E33" s="32">
        <f>-LN(C33/C32)</f>
        <v/>
      </c>
      <c r="F33" s="49">
        <f>E33/D33</f>
        <v/>
      </c>
      <c r="G33" s="49">
        <f>(F33+F34)/2</f>
        <v/>
      </c>
      <c r="H33" s="49">
        <f>G32</f>
        <v/>
      </c>
      <c r="I33" s="32">
        <f>(G33-G32)/D33-J33*D33</f>
        <v/>
      </c>
      <c r="J33" s="32">
        <f>3*(G33-G32)/D33^2-6*(E33-G32*D33)/D33^3</f>
        <v/>
      </c>
      <c r="K33" s="49">
        <f>H33+I33*D33/2+J33*D33^2/4</f>
        <v/>
      </c>
      <c r="L33" s="50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3">
        <f>'Bootstrap'!H33</f>
        <v/>
      </c>
      <c r="D34" s="28">
        <f>B34-B33</f>
        <v/>
      </c>
      <c r="E34" s="32">
        <f>-LN(C34/C33)</f>
        <v/>
      </c>
      <c r="F34" s="49">
        <f>E34/D34</f>
        <v/>
      </c>
      <c r="G34" s="49">
        <f>(F34+F35)/2</f>
        <v/>
      </c>
      <c r="H34" s="49">
        <f>G33</f>
        <v/>
      </c>
      <c r="I34" s="32">
        <f>(G34-G33)/D34-J34*D34</f>
        <v/>
      </c>
      <c r="J34" s="32">
        <f>3*(G34-G33)/D34^2-6*(E34-G33*D34)/D34^3</f>
        <v/>
      </c>
      <c r="K34" s="49">
        <f>H34+I34*D34/2+J34*D34^2/4</f>
        <v/>
      </c>
      <c r="L34" s="50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3">
        <f>'Bootstrap'!H34</f>
        <v/>
      </c>
      <c r="D35" s="28">
        <f>B35-B34</f>
        <v/>
      </c>
      <c r="E35" s="32">
        <f>-LN(C35/C34)</f>
        <v/>
      </c>
      <c r="F35" s="49">
        <f>E35/D35</f>
        <v/>
      </c>
      <c r="G35" s="49">
        <f>(F35+F36)/2</f>
        <v/>
      </c>
      <c r="H35" s="49">
        <f>G34</f>
        <v/>
      </c>
      <c r="I35" s="32">
        <f>(G35-G34)/D35-J35*D35</f>
        <v/>
      </c>
      <c r="J35" s="32">
        <f>3*(G35-G34)/D35^2-6*(E35-G34*D35)/D35^3</f>
        <v/>
      </c>
      <c r="K35" s="49">
        <f>H35+I35*D35/2+J35*D35^2/4</f>
        <v/>
      </c>
      <c r="L35" s="50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3">
        <f>'Bootstrap'!H35</f>
        <v/>
      </c>
      <c r="D36" s="28">
        <f>B36-B35</f>
        <v/>
      </c>
      <c r="E36" s="32">
        <f>-LN(C36/C35)</f>
        <v/>
      </c>
      <c r="F36" s="49">
        <f>E36/D36</f>
        <v/>
      </c>
      <c r="G36" s="49">
        <f>(F36+F37)/2</f>
        <v/>
      </c>
      <c r="H36" s="49">
        <f>G35</f>
        <v/>
      </c>
      <c r="I36" s="32">
        <f>(G36-G35)/D36-J36*D36</f>
        <v/>
      </c>
      <c r="J36" s="32">
        <f>3*(G36-G35)/D36^2-6*(E36-G35*D36)/D36^3</f>
        <v/>
      </c>
      <c r="K36" s="49">
        <f>H36+I36*D36/2+J36*D36^2/4</f>
        <v/>
      </c>
      <c r="L36" s="50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3">
        <f>'Bootstrap'!H36</f>
        <v/>
      </c>
      <c r="D37" s="28">
        <f>B37-B36</f>
        <v/>
      </c>
      <c r="E37" s="32">
        <f>-LN(C37/C36)</f>
        <v/>
      </c>
      <c r="F37" s="49">
        <f>E37/D37</f>
        <v/>
      </c>
      <c r="G37" s="49">
        <f>(F37+F38)/2</f>
        <v/>
      </c>
      <c r="H37" s="49">
        <f>G36</f>
        <v/>
      </c>
      <c r="I37" s="32">
        <f>(G37-G36)/D37-J37*D37</f>
        <v/>
      </c>
      <c r="J37" s="32">
        <f>3*(G37-G36)/D37^2-6*(E37-G36*D37)/D37^3</f>
        <v/>
      </c>
      <c r="K37" s="49">
        <f>H37+I37*D37/2+J37*D37^2/4</f>
        <v/>
      </c>
      <c r="L37" s="50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3">
        <f>'Bootstrap'!H37</f>
        <v/>
      </c>
      <c r="D38" s="28">
        <f>B38-B37</f>
        <v/>
      </c>
      <c r="E38" s="32">
        <f>-LN(C38/C37)</f>
        <v/>
      </c>
      <c r="F38" s="49">
        <f>E38/D38</f>
        <v/>
      </c>
      <c r="G38" s="49">
        <f>(F38+F39)/2</f>
        <v/>
      </c>
      <c r="H38" s="49">
        <f>G37</f>
        <v/>
      </c>
      <c r="I38" s="32">
        <f>(G38-G37)/D38-J38*D38</f>
        <v/>
      </c>
      <c r="J38" s="32">
        <f>3*(G38-G37)/D38^2-6*(E38-G37*D38)/D38^3</f>
        <v/>
      </c>
      <c r="K38" s="49">
        <f>H38+I38*D38/2+J38*D38^2/4</f>
        <v/>
      </c>
      <c r="L38" s="50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3">
        <f>'Bootstrap'!H38</f>
        <v/>
      </c>
      <c r="D39" s="28">
        <f>B39-B38</f>
        <v/>
      </c>
      <c r="E39" s="32">
        <f>-LN(C39/C38)</f>
        <v/>
      </c>
      <c r="F39" s="49">
        <f>E39/D39</f>
        <v/>
      </c>
      <c r="G39" s="49">
        <f>(F39+F40)/2</f>
        <v/>
      </c>
      <c r="H39" s="49">
        <f>G38</f>
        <v/>
      </c>
      <c r="I39" s="32">
        <f>(G39-G38)/D39-J39*D39</f>
        <v/>
      </c>
      <c r="J39" s="32">
        <f>3*(G39-G38)/D39^2-6*(E39-G38*D39)/D39^3</f>
        <v/>
      </c>
      <c r="K39" s="49">
        <f>H39+I39*D39/2+J39*D39^2/4</f>
        <v/>
      </c>
      <c r="L39" s="50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3">
        <f>'Bootstrap'!H39</f>
        <v/>
      </c>
      <c r="D40" s="28">
        <f>B40-B39</f>
        <v/>
      </c>
      <c r="E40" s="32">
        <f>-LN(C40/C39)</f>
        <v/>
      </c>
      <c r="F40" s="49">
        <f>E40/D40</f>
        <v/>
      </c>
      <c r="G40" s="49">
        <f>F40</f>
        <v/>
      </c>
      <c r="H40" s="49">
        <f>G39</f>
        <v/>
      </c>
      <c r="I40" s="32">
        <f>(G40-G39)/D40-J40*D40</f>
        <v/>
      </c>
      <c r="J40" s="32">
        <f>3*(G40-G39)/D40^2-6*(E40-G39*D40)/D40^3</f>
        <v/>
      </c>
      <c r="K40" s="49">
        <f>H40+I40*D40/2+J40*D40^2/4</f>
        <v/>
      </c>
      <c r="L40" s="50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2026-07-20T15:44:14Z</dcterms:created>
  <dcterms:modified xmlns:dcterms="http://purl.org/dc/terms/" xmlns:xsi="http://www.w3.org/2001/XMLSchema-instance" xsi:type="dcterms:W3CDTF">2026-07-20T15:44:14Z</dcterms:modified>
</cp:coreProperties>
</file>