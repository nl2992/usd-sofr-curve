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S490_Snapshot" sheetId="6" state="visible" r:id="rId6"/>
    <sheet xmlns:r="http://schemas.openxmlformats.org/officeDocument/2006/relationships" name="Bootstrap" sheetId="7" state="visible" r:id="rId7"/>
    <sheet xmlns:r="http://schemas.openxmlformats.org/officeDocument/2006/relationships" name="Curve_Solver" sheetId="8" state="hidden" r:id="rId8"/>
    <sheet xmlns:r="http://schemas.openxmlformats.org/officeDocument/2006/relationships" name="Fwd_Interp" sheetId="9" state="visible" r:id="rId9"/>
    <sheet xmlns:r="http://schemas.openxmlformats.org/officeDocument/2006/relationships" name="Curve_Interface" sheetId="10" state="visible" r:id="rId10"/>
    <sheet xmlns:r="http://schemas.openxmlformats.org/officeDocument/2006/relationships" name="Swap_Pricer" sheetId="11" state="visible" r:id="rId11"/>
    <sheet xmlns:r="http://schemas.openxmlformats.org/officeDocument/2006/relationships" name="Bloomberg_S490_Validation" sheetId="12" state="visible" r:id="rId12"/>
    <sheet xmlns:r="http://schemas.openxmlformats.org/officeDocument/2006/relationships" name="Charts" sheetId="13" state="visible" r:id="rId13"/>
    <sheet xmlns:r="http://schemas.openxmlformats.org/officeDocument/2006/relationships" name="CDS_Parameters" sheetId="14" state="visible" r:id="rId14"/>
    <sheet xmlns:r="http://schemas.openxmlformats.org/officeDocument/2006/relationships" name="CDS_Quotes" sheetId="15" state="visible" r:id="rId15"/>
    <sheet xmlns:r="http://schemas.openxmlformats.org/officeDocument/2006/relationships" name="Hazard_Bootstrap" sheetId="16" state="visible" r:id="rId16"/>
    <sheet xmlns:r="http://schemas.openxmlformats.org/officeDocument/2006/relationships" name="Hazard_Solver" sheetId="17" state="hidden" r:id="rId17"/>
    <sheet xmlns:r="http://schemas.openxmlformats.org/officeDocument/2006/relationships" name="CDS_Schedule" sheetId="18" state="visible" r:id="rId18"/>
    <sheet xmlns:r="http://schemas.openxmlformats.org/officeDocument/2006/relationships" name="CDS_Pricer" sheetId="19" state="visible" r:id="rId19"/>
    <sheet xmlns:r="http://schemas.openxmlformats.org/officeDocument/2006/relationships" name="CDS_Validation" sheetId="20" state="visible" r:id="rId20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OBSERVED overnight rate from the S490 screen 07/21/26 (bid = ask = 3.59000), NOT fitted. Off-terminal fallback only: on a terminal C6 pulls the live SOFRRATE fixing. Every curve input is now something we pull - nothing is derived from the S490 zero/discount columns, which are purely the comparison target.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S4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The screen's Market Rate column, which is already the mid. Used only when BDP fails; on a terminal BDP bid/ask takes precedence.</t>
        </is>
      </c>
      <c r="N2" s="65" t="inlineStr">
        <is>
          <t>Paste the export's Bid/Ask into N:O. Q/R/S show BDP minus export in bp. Mixed signs of a few tenths = the two were captured at different moments and the rates ticked. A consistent shift across all 32 = wrong pricing source, field or ticker, and needs fixing. Only column S matters for the curve: H is (PX_BID+PX_ASK)/2 and is the sole input the bootstrap reads.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 &lt;- S490_Snapshot</t>
        </is>
      </c>
      <c r="K4" s="62" t="inlineStr">
        <is>
          <t>Source</t>
        </is>
      </c>
      <c r="L4" s="62" t="inlineStr"/>
      <c r="M4" s="65" t="inlineStr">
        <is>
          <t>Maturity dates are modified-following business-day adjusted, matching S490 and the Bootstrap sheet. Display only - the curve reads column H (mid) alone.</t>
        </is>
      </c>
      <c r="N4" s="106" t="inlineStr">
        <is>
          <t>Export Bid (paste)</t>
        </is>
      </c>
      <c r="O4" s="106" t="inlineStr">
        <is>
          <t>Export Ask (paste)</t>
        </is>
      </c>
      <c r="P4" s="106" t="inlineStr">
        <is>
          <t>Export Mid</t>
        </is>
      </c>
      <c r="Q4" s="106" t="inlineStr">
        <is>
          <t>d Bid (bp)</t>
        </is>
      </c>
      <c r="R4" s="106" t="inlineStr">
        <is>
          <t>d Ask (bp)</t>
        </is>
      </c>
      <c r="S4" s="106" t="inlineStr">
        <is>
          <t>d Mid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97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107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97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107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97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107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97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107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97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107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97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107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97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107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97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107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97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107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97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107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97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107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97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107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97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107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97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107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97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107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97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107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97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107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97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107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97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107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97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107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97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107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97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107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97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107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97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107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97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107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97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107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97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107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97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107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97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107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97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107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97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107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97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107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This sheet holds 301 of the workbook's 434 Bloomberg requests and NOTHING reads it - its only consumer was the deleted Bootstrap_Lehman. Left on, it hammers the terminal and fills the sheet with errors for no benefit. Set to Yes to re-enable; the formulas are preserved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7"/>
    <row r="28"/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capture. USD SOFR (vs FIXED), Step Forward (Cont), Settle Date 07/21/26, Curve Side Mid, Shift +0.00bp.</t>
        </is>
      </c>
    </row>
    <row r="3">
      <c r="A3" s="65" t="inlineStr">
        <is>
          <t>THE single place to update the comparison. Market Rate feeds SOFR_OIS_Quotes!J (the input); Zero/Discount feed Bootstrap!T:U and Bloomberg_S490_Validation!G (the target). Change it here only.</t>
        </is>
      </c>
    </row>
    <row r="4">
      <c r="A4" s="65" t="inlineStr">
        <is>
          <t>Matched pair: Market Rate equals the mid of the curve export's bid/ask (1W: (3.634854+3.651146)/2 = 3.643000), so input and output are the same instant. Only valid while VAL_DATE = 07/21/2026.</t>
        </is>
      </c>
    </row>
    <row r="6">
      <c r="A6" s="62" t="inlineStr">
        <is>
          <t>Date</t>
        </is>
      </c>
      <c r="B6" s="62" t="inlineStr">
        <is>
          <t>Tenor</t>
        </is>
      </c>
      <c r="C6" s="62" t="inlineStr">
        <is>
          <t>Market rate (%)</t>
        </is>
      </c>
      <c r="D6" s="62" t="inlineStr">
        <is>
          <t>Zero rate (%)</t>
        </is>
      </c>
      <c r="E6" s="62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85" t="n">
        <v>3.643</v>
      </c>
      <c r="D7" s="85" t="n">
        <v>3.69229</v>
      </c>
      <c r="E7" s="69" t="n">
        <v>0.99909</v>
      </c>
    </row>
    <row r="8">
      <c r="A8" s="111" t="n">
        <v>46240</v>
      </c>
      <c r="B8" s="68" t="inlineStr">
        <is>
          <t>2W</t>
        </is>
      </c>
      <c r="C8" s="85" t="n">
        <v>3.6787</v>
      </c>
      <c r="D8" s="85" t="n">
        <v>3.72278</v>
      </c>
      <c r="E8" s="69" t="n">
        <v>0.998369</v>
      </c>
    </row>
    <row r="9">
      <c r="A9" s="111" t="n">
        <v>46247</v>
      </c>
      <c r="B9" s="68" t="inlineStr">
        <is>
          <t>3W</t>
        </is>
      </c>
      <c r="C9" s="85" t="n">
        <v>3.68722</v>
      </c>
      <c r="D9" s="85" t="n">
        <v>3.73075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85" t="n">
        <v>3.6965</v>
      </c>
      <c r="D10" s="85" t="n">
        <v>3.73879</v>
      </c>
      <c r="E10" s="69" t="n">
        <v>0.996523</v>
      </c>
    </row>
    <row r="11">
      <c r="A11" s="111" t="n">
        <v>46288</v>
      </c>
      <c r="B11" s="68" t="inlineStr">
        <is>
          <t>2M</t>
        </is>
      </c>
      <c r="C11" s="85" t="n">
        <v>3.72235</v>
      </c>
      <c r="D11" s="85" t="n">
        <v>3.75983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85" t="n">
        <v>3.77507</v>
      </c>
      <c r="D12" s="85" t="n">
        <v>3.80667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85" t="n">
        <v>3.8205</v>
      </c>
      <c r="D13" s="85" t="n">
        <v>3.846</v>
      </c>
      <c r="E13" s="69" t="n">
        <v>0.986915</v>
      </c>
    </row>
    <row r="14">
      <c r="A14" s="111" t="n">
        <v>46379</v>
      </c>
      <c r="B14" s="68" t="inlineStr">
        <is>
          <t>5M</t>
        </is>
      </c>
      <c r="C14" s="85" t="n">
        <v>3.86225</v>
      </c>
      <c r="D14" s="85" t="n">
        <v>3.88163</v>
      </c>
      <c r="E14" s="69" t="n">
        <v>0.9836510000000001</v>
      </c>
    </row>
    <row r="15">
      <c r="A15" s="111" t="n">
        <v>46412</v>
      </c>
      <c r="B15" s="68" t="inlineStr">
        <is>
          <t>6M</t>
        </is>
      </c>
      <c r="C15" s="85" t="n">
        <v>3.90812</v>
      </c>
      <c r="D15" s="85" t="n">
        <v>3.92047</v>
      </c>
      <c r="E15" s="69" t="n">
        <v>0.980009</v>
      </c>
    </row>
    <row r="16">
      <c r="A16" s="111" t="n">
        <v>46441</v>
      </c>
      <c r="B16" s="68" t="inlineStr">
        <is>
          <t>7M</t>
        </is>
      </c>
      <c r="C16" s="85" t="n">
        <v>3.9411</v>
      </c>
      <c r="D16" s="85" t="n">
        <v>3.94717</v>
      </c>
      <c r="E16" s="69" t="n">
        <v>0.976806</v>
      </c>
    </row>
    <row r="17">
      <c r="A17" s="111" t="n">
        <v>46469</v>
      </c>
      <c r="B17" s="68" t="inlineStr">
        <is>
          <t>8M</t>
        </is>
      </c>
      <c r="C17" s="85" t="n">
        <v>3.96915</v>
      </c>
      <c r="D17" s="85" t="n">
        <v>3.96903</v>
      </c>
      <c r="E17" s="69" t="n">
        <v>0.97371</v>
      </c>
    </row>
    <row r="18">
      <c r="A18" s="111" t="n">
        <v>46500</v>
      </c>
      <c r="B18" s="68" t="inlineStr">
        <is>
          <t>9M</t>
        </is>
      </c>
      <c r="C18" s="85" t="n">
        <v>3.99975</v>
      </c>
      <c r="D18" s="85" t="n">
        <v>3.99261</v>
      </c>
      <c r="E18" s="69" t="n">
        <v>0.970261</v>
      </c>
    </row>
    <row r="19">
      <c r="A19" s="111" t="n">
        <v>46531</v>
      </c>
      <c r="B19" s="68" t="inlineStr">
        <is>
          <t>10M</t>
        </is>
      </c>
      <c r="C19" s="85" t="n">
        <v>4.0275</v>
      </c>
      <c r="D19" s="85" t="n">
        <v>4.01321</v>
      </c>
      <c r="E19" s="69" t="n">
        <v>0.966808</v>
      </c>
    </row>
    <row r="20">
      <c r="A20" s="111" t="n">
        <v>46561</v>
      </c>
      <c r="B20" s="68" t="inlineStr">
        <is>
          <t>11M</t>
        </is>
      </c>
      <c r="C20" s="85" t="n">
        <v>4.05145</v>
      </c>
      <c r="D20" s="85" t="n">
        <v>4.03016</v>
      </c>
      <c r="E20" s="69" t="n">
        <v>0.9634740000000001</v>
      </c>
    </row>
    <row r="21">
      <c r="A21" s="111" t="n">
        <v>46591</v>
      </c>
      <c r="B21" s="68" t="inlineStr">
        <is>
          <t>1Y</t>
        </is>
      </c>
      <c r="C21" s="85" t="n">
        <v>4.07237</v>
      </c>
      <c r="D21" s="85" t="n">
        <v>4.04404</v>
      </c>
      <c r="E21" s="69" t="n">
        <v>0.960154</v>
      </c>
    </row>
    <row r="22">
      <c r="A22" s="111" t="n">
        <v>46776</v>
      </c>
      <c r="B22" s="68" t="inlineStr">
        <is>
          <t>18M</t>
        </is>
      </c>
      <c r="C22" s="85" t="n">
        <v>4.0908</v>
      </c>
      <c r="D22" s="85" t="n">
        <v>4.07764</v>
      </c>
      <c r="E22" s="69" t="n">
        <v>0.940196</v>
      </c>
    </row>
    <row r="23">
      <c r="A23" s="111" t="n">
        <v>46958</v>
      </c>
      <c r="B23" s="68" t="inlineStr">
        <is>
          <t>2Y</t>
        </is>
      </c>
      <c r="C23" s="85" t="n">
        <v>4.09725</v>
      </c>
      <c r="D23" s="85" t="n">
        <v>4.06943</v>
      </c>
      <c r="E23" s="69" t="n">
        <v>0.921424</v>
      </c>
    </row>
    <row r="24">
      <c r="A24" s="111" t="n">
        <v>47322</v>
      </c>
      <c r="B24" s="68" t="inlineStr">
        <is>
          <t>3Y</t>
        </is>
      </c>
      <c r="C24" s="85" t="n">
        <v>4.0782</v>
      </c>
      <c r="D24" s="85" t="n">
        <v>4.05047</v>
      </c>
      <c r="E24" s="69" t="n">
        <v>0.885284</v>
      </c>
    </row>
    <row r="25">
      <c r="A25" s="111" t="n">
        <v>47687</v>
      </c>
      <c r="B25" s="68" t="inlineStr">
        <is>
          <t>4Y</t>
        </is>
      </c>
      <c r="C25" s="85" t="n">
        <v>4.06895</v>
      </c>
      <c r="D25" s="85" t="n">
        <v>4.0412</v>
      </c>
      <c r="E25" s="69" t="n">
        <v>0.850458</v>
      </c>
    </row>
    <row r="26">
      <c r="A26" s="111" t="n">
        <v>48052</v>
      </c>
      <c r="B26" s="68" t="inlineStr">
        <is>
          <t>5Y</t>
        </is>
      </c>
      <c r="C26" s="85" t="n">
        <v>4.0745</v>
      </c>
      <c r="D26" s="85" t="n">
        <v>4.04734</v>
      </c>
      <c r="E26" s="69" t="n">
        <v>0.816523</v>
      </c>
    </row>
    <row r="27">
      <c r="A27" s="111" t="n">
        <v>48418</v>
      </c>
      <c r="B27" s="68" t="inlineStr">
        <is>
          <t>6Y</t>
        </is>
      </c>
      <c r="C27" s="85" t="n">
        <v>4.09215</v>
      </c>
      <c r="D27" s="85" t="n">
        <v>4.06648</v>
      </c>
      <c r="E27" s="69" t="n">
        <v>0.783148</v>
      </c>
    </row>
    <row r="28">
      <c r="A28" s="111" t="n">
        <v>48785</v>
      </c>
      <c r="B28" s="68" t="inlineStr">
        <is>
          <t>7Y</t>
        </is>
      </c>
      <c r="C28" s="85" t="n">
        <v>4.11555</v>
      </c>
      <c r="D28" s="85" t="n">
        <v>4.09206</v>
      </c>
      <c r="E28" s="69" t="n">
        <v>0.750424</v>
      </c>
    </row>
    <row r="29">
      <c r="A29" s="111" t="n">
        <v>49149</v>
      </c>
      <c r="B29" s="68" t="inlineStr">
        <is>
          <t>8Y</t>
        </is>
      </c>
      <c r="C29" s="85" t="n">
        <v>4.1421</v>
      </c>
      <c r="D29" s="85" t="n">
        <v>4.12158</v>
      </c>
      <c r="E29" s="69" t="n">
        <v>0.718715</v>
      </c>
    </row>
    <row r="30">
      <c r="A30" s="111" t="n">
        <v>49513</v>
      </c>
      <c r="B30" s="68" t="inlineStr">
        <is>
          <t>9Y</t>
        </is>
      </c>
      <c r="C30" s="85" t="n">
        <v>4.17128</v>
      </c>
      <c r="D30" s="85" t="n">
        <v>4.1545</v>
      </c>
      <c r="E30" s="69" t="n">
        <v>0.687729</v>
      </c>
    </row>
    <row r="31">
      <c r="A31" s="111" t="n">
        <v>49879</v>
      </c>
      <c r="B31" s="68" t="inlineStr">
        <is>
          <t>10Y</t>
        </is>
      </c>
      <c r="C31" s="85" t="n">
        <v>4.2025</v>
      </c>
      <c r="D31" s="85" t="n">
        <v>4.19026</v>
      </c>
      <c r="E31" s="69" t="n">
        <v>0.657309</v>
      </c>
    </row>
    <row r="32">
      <c r="A32" s="111" t="n">
        <v>50609</v>
      </c>
      <c r="B32" s="68" t="inlineStr">
        <is>
          <t>12Y</t>
        </is>
      </c>
      <c r="C32" s="85" t="n">
        <v>4.2663</v>
      </c>
      <c r="D32" s="85" t="n">
        <v>4.26517</v>
      </c>
      <c r="E32" s="69" t="n">
        <v>0.5990529999999999</v>
      </c>
    </row>
    <row r="33">
      <c r="A33" s="111" t="n">
        <v>51705</v>
      </c>
      <c r="B33" s="68" t="inlineStr">
        <is>
          <t>15Y</t>
        </is>
      </c>
      <c r="C33" s="85" t="n">
        <v>4.35053</v>
      </c>
      <c r="D33" s="85" t="n">
        <v>4.36781</v>
      </c>
      <c r="E33" s="69" t="n">
        <v>0.51898</v>
      </c>
    </row>
    <row r="34">
      <c r="A34" s="111" t="n">
        <v>53531</v>
      </c>
      <c r="B34" s="68" t="inlineStr">
        <is>
          <t>20Y</t>
        </is>
      </c>
      <c r="C34" s="85" t="n">
        <v>4.42135</v>
      </c>
      <c r="D34" s="85" t="n">
        <v>4.45488</v>
      </c>
      <c r="E34" s="69" t="n">
        <v>0.409905</v>
      </c>
    </row>
    <row r="35">
      <c r="A35" s="111" t="n">
        <v>55358</v>
      </c>
      <c r="B35" s="68" t="inlineStr">
        <is>
          <t>25Y</t>
        </is>
      </c>
      <c r="C35" s="85" t="n">
        <v>4.41735</v>
      </c>
      <c r="D35" s="85" t="n">
        <v>4.43447</v>
      </c>
      <c r="E35" s="69" t="n">
        <v>0.329654</v>
      </c>
    </row>
    <row r="36">
      <c r="A36" s="111" t="n">
        <v>57185</v>
      </c>
      <c r="B36" s="68" t="inlineStr">
        <is>
          <t>30Y</t>
        </is>
      </c>
      <c r="C36" s="85" t="n">
        <v>4.3778</v>
      </c>
      <c r="D36" s="85" t="n">
        <v>4.35382</v>
      </c>
      <c r="E36" s="69" t="n">
        <v>0.270507</v>
      </c>
    </row>
    <row r="37">
      <c r="A37" s="111" t="n">
        <v>60836</v>
      </c>
      <c r="B37" s="68" t="inlineStr">
        <is>
          <t>40Y</t>
        </is>
      </c>
      <c r="C37" s="85" t="n">
        <v>4.2582</v>
      </c>
      <c r="D37" s="85" t="n">
        <v>4.10978</v>
      </c>
      <c r="E37" s="69" t="n">
        <v>0.192962</v>
      </c>
    </row>
    <row r="38">
      <c r="A38" s="111" t="n">
        <v>64489</v>
      </c>
      <c r="B38" s="68" t="inlineStr">
        <is>
          <t>50Y</t>
        </is>
      </c>
      <c r="C38" s="85" t="n">
        <v>4.12531</v>
      </c>
      <c r="D38" s="85" t="n">
        <v>3.81656</v>
      </c>
      <c r="E38" s="69" t="n">
        <v>0.148103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  <c r="AA6" s="65" t="inlineStr">
        <is>
          <t>S490 targets now live on the S490_Snapshot sheet - this block was a duplicate copy and has been cleared.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  <row r="76">
      <c r="T76" s="67" t="inlineStr">
        <is>
          <t>Pillars matched</t>
        </is>
      </c>
      <c r="U76" s="87">
        <f>COUNT(U8:U72)&amp;" / 32"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</row>
    <row r="80">
      <c r="T80" s="65" t="inlineStr">
        <is>
          <t>Our bootstrap vs the S490 screen. Only the 32 quoted pillars match; the interpolated gap rows have no screen counterpart and stay blank.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N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Log-linear DF interpolation on this grid (dates $K$6:$K$71, DFs $L$6:$L$71). Do NOT write text into K or L - MATCH needs a strictly ascending date column, and a stray label here silently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IF(MONTH((EDATE($B$8,12*A36)+IF(WEEKDAY(EDATE($B$8,12*A36),2)=6,2,IF(WEEKDAY(EDATE($B$8,12*A36),2)=7,1,0))))&lt;&gt;MONTH(EDATE($B$8,12*A36)),(EDATE($B$8,12*A36)-IF(WEEKDAY(EDATE($B$8,12*A36),2)=6,1,IF(WEEKDAY(EDATE($B$8,12*A36),2)=7,2,0))),(EDATE($B$8,12*A36)+IF(WEEKDAY(EDATE($B$8,12*A36),2)=6,2,IF(WEEKDAY(EDATE($B$8,12*A36),2)=7,1,0)))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IF(MONTH((EDATE($B$8,12*A37)+IF(WEEKDAY(EDATE($B$8,12*A37),2)=6,2,IF(WEEKDAY(EDATE($B$8,12*A37),2)=7,1,0))))&lt;&gt;MONTH(EDATE($B$8,12*A37)),(EDATE($B$8,12*A37)-IF(WEEKDAY(EDATE($B$8,12*A37),2)=6,1,IF(WEEKDAY(EDATE($B$8,12*A37),2)=7,2,0))),(EDATE($B$8,12*A37)+IF(WEEKDAY(EDATE($B$8,12*A37),2)=6,2,IF(WEEKDAY(EDATE($B$8,12*A37),2)=7,1,0)))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IF(MONTH((EDATE($B$8,12*A38)+IF(WEEKDAY(EDATE($B$8,12*A38),2)=6,2,IF(WEEKDAY(EDATE($B$8,12*A38),2)=7,1,0))))&lt;&gt;MONTH(EDATE($B$8,12*A38)),(EDATE($B$8,12*A38)-IF(WEEKDAY(EDATE($B$8,12*A38),2)=6,1,IF(WEEKDAY(EDATE($B$8,12*A38),2)=7,2,0))),(EDATE($B$8,12*A38)+IF(WEEKDAY(EDATE($B$8,12*A38),2)=6,2,IF(WEEKDAY(EDATE($B$8,12*A38),2)=7,1,0)))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IF(MONTH((EDATE($B$8,12*A39)+IF(WEEKDAY(EDATE($B$8,12*A39),2)=6,2,IF(WEEKDAY(EDATE($B$8,12*A39),2)=7,1,0))))&lt;&gt;MONTH(EDATE($B$8,12*A39)),(EDATE($B$8,12*A39)-IF(WEEKDAY(EDATE($B$8,12*A39),2)=6,1,IF(WEEKDAY(EDATE($B$8,12*A39),2)=7,2,0))),(EDATE($B$8,12*A39)+IF(WEEKDAY(EDATE($B$8,12*A39),2)=6,2,IF(WEEKDAY(EDATE($B$8,12*A39),2)=7,1,0)))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8">
        <f>IF(A40&lt;=$B$9,IF(MONTH((EDATE($B$8,12*A40)+IF(WEEKDAY(EDATE($B$8,12*A40),2)=6,2,IF(WEEKDAY(EDATE($B$8,12*A40),2)=7,1,0))))&lt;&gt;MONTH(EDATE($B$8,12*A40)),(EDATE($B$8,12*A40)-IF(WEEKDAY(EDATE($B$8,12*A40),2)=6,1,IF(WEEKDAY(EDATE($B$8,12*A40),2)=7,2,0))),(EDATE($B$8,12*A40)+IF(WEEKDAY(EDATE($B$8,12*A40),2)=6,2,IF(WEEKDAY(EDATE($B$8,12*A40),2)=7,1,0)))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8">
        <f>IF(A41&lt;=$B$9,IF(MONTH((EDATE($B$8,12*A41)+IF(WEEKDAY(EDATE($B$8,12*A41),2)=6,2,IF(WEEKDAY(EDATE($B$8,12*A41),2)=7,1,0))))&lt;&gt;MONTH(EDATE($B$8,12*A41)),(EDATE($B$8,12*A41)-IF(WEEKDAY(EDATE($B$8,12*A41),2)=6,1,IF(WEEKDAY(EDATE($B$8,12*A41),2)=7,2,0))),(EDATE($B$8,12*A41)+IF(WEEKDAY(EDATE($B$8,12*A41),2)=6,2,IF(WEEKDAY(EDATE($B$8,12*A41),2)=7,1,0)))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IF(MONTH((EDATE($B$8,12*A42)+IF(WEEKDAY(EDATE($B$8,12*A42),2)=6,2,IF(WEEKDAY(EDATE($B$8,12*A42),2)=7,1,0))))&lt;&gt;MONTH(EDATE($B$8,12*A42)),(EDATE($B$8,12*A42)-IF(WEEKDAY(EDATE($B$8,12*A42),2)=6,1,IF(WEEKDAY(EDATE($B$8,12*A42),2)=7,2,0))),(EDATE($B$8,12*A42)+IF(WEEKDAY(EDATE($B$8,12*A42),2)=6,2,IF(WEEKDAY(EDATE($B$8,12*A42),2)=7,1,0)))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IF(MONTH((EDATE($B$8,12*A43)+IF(WEEKDAY(EDATE($B$8,12*A43),2)=6,2,IF(WEEKDAY(EDATE($B$8,12*A43),2)=7,1,0))))&lt;&gt;MONTH(EDATE($B$8,12*A43)),(EDATE($B$8,12*A43)-IF(WEEKDAY(EDATE($B$8,12*A43),2)=6,1,IF(WEEKDAY(EDATE($B$8,12*A43),2)=7,2,0))),(EDATE($B$8,12*A43)+IF(WEEKDAY(EDATE($B$8,12*A43),2)=6,2,IF(WEEKDAY(EDATE($B$8,12*A43),2)=7,1,0)))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IF(MONTH((EDATE($B$8,12*A44)+IF(WEEKDAY(EDATE($B$8,12*A44),2)=6,2,IF(WEEKDAY(EDATE($B$8,12*A44),2)=7,1,0))))&lt;&gt;MONTH(EDATE($B$8,12*A44)),(EDATE($B$8,12*A44)-IF(WEEKDAY(EDATE($B$8,12*A44),2)=6,1,IF(WEEKDAY(EDATE($B$8,12*A44),2)=7,2,0))),(EDATE($B$8,12*A44)+IF(WEEKDAY(EDATE($B$8,12*A44),2)=6,2,IF(WEEKDAY(EDATE($B$8,12*A44),2)=7,1,0)))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IF(MONTH((EDATE($B$8,12*A45)+IF(WEEKDAY(EDATE($B$8,12*A45),2)=6,2,IF(WEEKDAY(EDATE($B$8,12*A45),2)=7,1,0))))&lt;&gt;MONTH(EDATE($B$8,12*A45)),(EDATE($B$8,12*A45)-IF(WEEKDAY(EDATE($B$8,12*A45),2)=6,1,IF(WEEKDAY(EDATE($B$8,12*A45),2)=7,2,0))),(EDATE($B$8,12*A45)+IF(WEEKDAY(EDATE($B$8,12*A45),2)=6,2,IF(WEEKDAY(EDATE($B$8,12*A45),2)=7,1,0)))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IF(MONTH((EDATE($B$8,12*A46)+IF(WEEKDAY(EDATE($B$8,12*A46),2)=6,2,IF(WEEKDAY(EDATE($B$8,12*A46),2)=7,1,0))))&lt;&gt;MONTH(EDATE($B$8,12*A46)),(EDATE($B$8,12*A46)-IF(WEEKDAY(EDATE($B$8,12*A46),2)=6,1,IF(WEEKDAY(EDATE($B$8,12*A46),2)=7,2,0))),(EDATE($B$8,12*A46)+IF(WEEKDAY(EDATE($B$8,12*A46),2)=6,2,IF(WEEKDAY(EDATE($B$8,12*A46),2)=7,1,0)))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IF(MONTH((EDATE($B$8,12*A47)+IF(WEEKDAY(EDATE($B$8,12*A47),2)=6,2,IF(WEEKDAY(EDATE($B$8,12*A47),2)=7,1,0))))&lt;&gt;MONTH(EDATE($B$8,12*A47)),(EDATE($B$8,12*A47)-IF(WEEKDAY(EDATE($B$8,12*A47),2)=6,1,IF(WEEKDAY(EDATE($B$8,12*A47),2)=7,2,0))),(EDATE($B$8,12*A47)+IF(WEEKDAY(EDATE($B$8,12*A47),2)=6,2,IF(WEEKDAY(EDATE($B$8,12*A47),2)=7,1,0)))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IF(MONTH((EDATE($B$8,12*A48)+IF(WEEKDAY(EDATE($B$8,12*A48),2)=6,2,IF(WEEKDAY(EDATE($B$8,12*A48),2)=7,1,0))))&lt;&gt;MONTH(EDATE($B$8,12*A48)),(EDATE($B$8,12*A48)-IF(WEEKDAY(EDATE($B$8,12*A48),2)=6,1,IF(WEEKDAY(EDATE($B$8,12*A48),2)=7,2,0))),(EDATE($B$8,12*A48)+IF(WEEKDAY(EDATE($B$8,12*A48),2)=6,2,IF(WEEKDAY(EDATE($B$8,12*A48),2)=7,1,0)))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IF(MONTH((EDATE($B$8,12*A49)+IF(WEEKDAY(EDATE($B$8,12*A49),2)=6,2,IF(WEEKDAY(EDATE($B$8,12*A49),2)=7,1,0))))&lt;&gt;MONTH(EDATE($B$8,12*A49)),(EDATE($B$8,12*A49)-IF(WEEKDAY(EDATE($B$8,12*A49),2)=6,1,IF(WEEKDAY(EDATE($B$8,12*A49),2)=7,2,0))),(EDATE($B$8,12*A49)+IF(WEEKDAY(EDATE($B$8,12*A49),2)=6,2,IF(WEEKDAY(EDATE($B$8,12*A49),2)=7,1,0)))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IF(MONTH((EDATE($B$8,12*A50)+IF(WEEKDAY(EDATE($B$8,12*A50),2)=6,2,IF(WEEKDAY(EDATE($B$8,12*A50),2)=7,1,0))))&lt;&gt;MONTH(EDATE($B$8,12*A50)),(EDATE($B$8,12*A50)-IF(WEEKDAY(EDATE($B$8,12*A50),2)=6,1,IF(WEEKDAY(EDATE($B$8,12*A50),2)=7,2,0))),(EDATE($B$8,12*A50)+IF(WEEKDAY(EDATE($B$8,12*A50),2)=6,2,IF(WEEKDAY(EDATE($B$8,12*A50),2)=7,1,0)))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IF(MONTH((EDATE($B$8,12*A51)+IF(WEEKDAY(EDATE($B$8,12*A51),2)=6,2,IF(WEEKDAY(EDATE($B$8,12*A51),2)=7,1,0))))&lt;&gt;MONTH(EDATE($B$8,12*A51)),(EDATE($B$8,12*A51)-IF(WEEKDAY(EDATE($B$8,12*A51),2)=6,1,IF(WEEKDAY(EDATE($B$8,12*A51),2)=7,2,0))),(EDATE($B$8,12*A51)+IF(WEEKDAY(EDATE($B$8,12*A51),2)=6,2,IF(WEEKDAY(EDATE($B$8,12*A51),2)=7,1,0)))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IF(MONTH((EDATE($B$8,12*A52)+IF(WEEKDAY(EDATE($B$8,12*A52),2)=6,2,IF(WEEKDAY(EDATE($B$8,12*A52),2)=7,1,0))))&lt;&gt;MONTH(EDATE($B$8,12*A52)),(EDATE($B$8,12*A52)-IF(WEEKDAY(EDATE($B$8,12*A52),2)=6,1,IF(WEEKDAY(EDATE($B$8,12*A52),2)=7,2,0))),(EDATE($B$8,12*A52)+IF(WEEKDAY(EDATE($B$8,12*A52),2)=6,2,IF(WEEKDAY(EDATE($B$8,12*A52),2)=7,1,0)))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IF(MONTH((EDATE($B$8,12*A53)+IF(WEEKDAY(EDATE($B$8,12*A53),2)=6,2,IF(WEEKDAY(EDATE($B$8,12*A53),2)=7,1,0))))&lt;&gt;MONTH(EDATE($B$8,12*A53)),(EDATE($B$8,12*A53)-IF(WEEKDAY(EDATE($B$8,12*A53),2)=6,1,IF(WEEKDAY(EDATE($B$8,12*A53),2)=7,2,0))),(EDATE($B$8,12*A53)+IF(WEEKDAY(EDATE($B$8,12*A53),2)=6,2,IF(WEEKDAY(EDATE($B$8,12*A53),2)=7,1,0)))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IF(MONTH((EDATE($B$8,12*A54)+IF(WEEKDAY(EDATE($B$8,12*A54),2)=6,2,IF(WEEKDAY(EDATE($B$8,12*A54),2)=7,1,0))))&lt;&gt;MONTH(EDATE($B$8,12*A54)),(EDATE($B$8,12*A54)-IF(WEEKDAY(EDATE($B$8,12*A54),2)=6,1,IF(WEEKDAY(EDATE($B$8,12*A54),2)=7,2,0))),(EDATE($B$8,12*A54)+IF(WEEKDAY(EDATE($B$8,12*A54),2)=6,2,IF(WEEKDAY(EDATE($B$8,12*A54),2)=7,1,0)))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IF(MONTH((EDATE($B$8,12*A55)+IF(WEEKDAY(EDATE($B$8,12*A55),2)=6,2,IF(WEEKDAY(EDATE($B$8,12*A55),2)=7,1,0))))&lt;&gt;MONTH(EDATE($B$8,12*A55)),(EDATE($B$8,12*A55)-IF(WEEKDAY(EDATE($B$8,12*A55),2)=6,1,IF(WEEKDAY(EDATE($B$8,12*A55),2)=7,2,0))),(EDATE($B$8,12*A55)+IF(WEEKDAY(EDATE($B$8,12*A55),2)=6,2,IF(WEEKDAY(EDATE($B$8,12*A55),2)=7,1,0)))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IF(MONTH((EDATE($B$8,12*A56)+IF(WEEKDAY(EDATE($B$8,12*A56),2)=6,2,IF(WEEKDAY(EDATE($B$8,12*A56),2)=7,1,0))))&lt;&gt;MONTH(EDATE($B$8,12*A56)),(EDATE($B$8,12*A56)-IF(WEEKDAY(EDATE($B$8,12*A56),2)=6,1,IF(WEEKDAY(EDATE($B$8,12*A56),2)=7,2,0))),(EDATE($B$8,12*A56)+IF(WEEKDAY(EDATE($B$8,12*A56),2)=6,2,IF(WEEKDAY(EDATE($B$8,12*A56),2)=7,1,0)))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IF(MONTH((EDATE($B$8,12*A57)+IF(WEEKDAY(EDATE($B$8,12*A57),2)=6,2,IF(WEEKDAY(EDATE($B$8,12*A57),2)=7,1,0))))&lt;&gt;MONTH(EDATE($B$8,12*A57)),(EDATE($B$8,12*A57)-IF(WEEKDAY(EDATE($B$8,12*A57),2)=6,1,IF(WEEKDAY(EDATE($B$8,12*A57),2)=7,2,0))),(EDATE($B$8,12*A57)+IF(WEEKDAY(EDATE($B$8,12*A57),2)=6,2,IF(WEEKDAY(EDATE($B$8,12*A57),2)=7,1,0)))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IF(MONTH((EDATE($B$8,12*A58)+IF(WEEKDAY(EDATE($B$8,12*A58),2)=6,2,IF(WEEKDAY(EDATE($B$8,12*A58),2)=7,1,0))))&lt;&gt;MONTH(EDATE($B$8,12*A58)),(EDATE($B$8,12*A58)-IF(WEEKDAY(EDATE($B$8,12*A58),2)=6,1,IF(WEEKDAY(EDATE($B$8,12*A58),2)=7,2,0))),(EDATE($B$8,12*A58)+IF(WEEKDAY(EDATE($B$8,12*A58),2)=6,2,IF(WEEKDAY(EDATE($B$8,12*A58),2)=7,1,0)))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IF(MONTH((EDATE($B$8,12*A59)+IF(WEEKDAY(EDATE($B$8,12*A59),2)=6,2,IF(WEEKDAY(EDATE($B$8,12*A59),2)=7,1,0))))&lt;&gt;MONTH(EDATE($B$8,12*A59)),(EDATE($B$8,12*A59)-IF(WEEKDAY(EDATE($B$8,12*A59),2)=6,1,IF(WEEKDAY(EDATE($B$8,12*A59),2)=7,2,0))),(EDATE($B$8,12*A59)+IF(WEEKDAY(EDATE($B$8,12*A59),2)=6,2,IF(WEEKDAY(EDATE($B$8,12*A59),2)=7,1,0)))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IF(MONTH((EDATE($B$8,12*A60)+IF(WEEKDAY(EDATE($B$8,12*A60),2)=6,2,IF(WEEKDAY(EDATE($B$8,12*A60),2)=7,1,0))))&lt;&gt;MONTH(EDATE($B$8,12*A60)),(EDATE($B$8,12*A60)-IF(WEEKDAY(EDATE($B$8,12*A60),2)=6,1,IF(WEEKDAY(EDATE($B$8,12*A60),2)=7,2,0))),(EDATE($B$8,12*A60)+IF(WEEKDAY(EDATE($B$8,12*A60),2)=6,2,IF(WEEKDAY(EDATE($B$8,12*A60),2)=7,1,0)))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IF(MONTH((EDATE($B$8,12*A61)+IF(WEEKDAY(EDATE($B$8,12*A61),2)=6,2,IF(WEEKDAY(EDATE($B$8,12*A61),2)=7,1,0))))&lt;&gt;MONTH(EDATE($B$8,12*A61)),(EDATE($B$8,12*A61)-IF(WEEKDAY(EDATE($B$8,12*A61),2)=6,1,IF(WEEKDAY(EDATE($B$8,12*A61),2)=7,2,0))),(EDATE($B$8,12*A61)+IF(WEEKDAY(EDATE($B$8,12*A61),2)=6,2,IF(WEEKDAY(EDATE($B$8,12*A61),2)=7,1,0)))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IF(MONTH((EDATE($B$8,12*A62)+IF(WEEKDAY(EDATE($B$8,12*A62),2)=6,2,IF(WEEKDAY(EDATE($B$8,12*A62),2)=7,1,0))))&lt;&gt;MONTH(EDATE($B$8,12*A62)),(EDATE($B$8,12*A62)-IF(WEEKDAY(EDATE($B$8,12*A62),2)=6,1,IF(WEEKDAY(EDATE($B$8,12*A62),2)=7,2,0))),(EDATE($B$8,12*A62)+IF(WEEKDAY(EDATE($B$8,12*A62),2)=6,2,IF(WEEKDAY(EDATE($B$8,12*A62),2)=7,1,0)))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IF(MONTH((EDATE($B$8,12*A63)+IF(WEEKDAY(EDATE($B$8,12*A63),2)=6,2,IF(WEEKDAY(EDATE($B$8,12*A63),2)=7,1,0))))&lt;&gt;MONTH(EDATE($B$8,12*A63)),(EDATE($B$8,12*A63)-IF(WEEKDAY(EDATE($B$8,12*A63),2)=6,1,IF(WEEKDAY(EDATE($B$8,12*A63),2)=7,2,0))),(EDATE($B$8,12*A63)+IF(WEEKDAY(EDATE($B$8,12*A63),2)=6,2,IF(WEEKDAY(EDATE($B$8,12*A63),2)=7,1,0)))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IF(MONTH((EDATE($B$8,12*A64)+IF(WEEKDAY(EDATE($B$8,12*A64),2)=6,2,IF(WEEKDAY(EDATE($B$8,12*A64),2)=7,1,0))))&lt;&gt;MONTH(EDATE($B$8,12*A64)),(EDATE($B$8,12*A64)-IF(WEEKDAY(EDATE($B$8,12*A64),2)=6,1,IF(WEEKDAY(EDATE($B$8,12*A64),2)=7,2,0))),(EDATE($B$8,12*A64)+IF(WEEKDAY(EDATE($B$8,12*A64),2)=6,2,IF(WEEKDAY(EDATE($B$8,12*A64),2)=7,1,0)))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IF(MONTH((EDATE($B$8,12*A65)+IF(WEEKDAY(EDATE($B$8,12*A65),2)=6,2,IF(WEEKDAY(EDATE($B$8,12*A65),2)=7,1,0))))&lt;&gt;MONTH(EDATE($B$8,12*A65)),(EDATE($B$8,12*A65)-IF(WEEKDAY(EDATE($B$8,12*A65),2)=6,1,IF(WEEKDAY(EDATE($B$8,12*A65),2)=7,2,0))),(EDATE($B$8,12*A65)+IF(WEEKDAY(EDATE($B$8,12*A65),2)=6,2,IF(WEEKDAY(EDATE($B$8,12*A65),2)=7,1,0)))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IF(MONTH((EDATE($B$8,12*A66)+IF(WEEKDAY(EDATE($B$8,12*A66),2)=6,2,IF(WEEKDAY(EDATE($B$8,12*A66),2)=7,1,0))))&lt;&gt;MONTH(EDATE($B$8,12*A66)),(EDATE($B$8,12*A66)-IF(WEEKDAY(EDATE($B$8,12*A66),2)=6,1,IF(WEEKDAY(EDATE($B$8,12*A66),2)=7,2,0))),(EDATE($B$8,12*A66)+IF(WEEKDAY(EDATE($B$8,12*A66),2)=6,2,IF(WEEKDAY(EDATE($B$8,12*A66),2)=7,1,0)))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IF(MONTH((EDATE($B$8,12*A67)+IF(WEEKDAY(EDATE($B$8,12*A67),2)=6,2,IF(WEEKDAY(EDATE($B$8,12*A67),2)=7,1,0))))&lt;&gt;MONTH(EDATE($B$8,12*A67)),(EDATE($B$8,12*A67)-IF(WEEKDAY(EDATE($B$8,12*A67),2)=6,1,IF(WEEKDAY(EDATE($B$8,12*A67),2)=7,2,0))),(EDATE($B$8,12*A67)+IF(WEEKDAY(EDATE($B$8,12*A67),2)=6,2,IF(WEEKDAY(EDATE($B$8,12*A67),2)=7,1,0)))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IF(MONTH((EDATE($B$8,12*A68)+IF(WEEKDAY(EDATE($B$8,12*A68),2)=6,2,IF(WEEKDAY(EDATE($B$8,12*A68),2)=7,1,0))))&lt;&gt;MONTH(EDATE($B$8,12*A68)),(EDATE($B$8,12*A68)-IF(WEEKDAY(EDATE($B$8,12*A68),2)=6,1,IF(WEEKDAY(EDATE($B$8,12*A68),2)=7,2,0))),(EDATE($B$8,12*A68)+IF(WEEKDAY(EDATE($B$8,12*A68),2)=6,2,IF(WEEKDAY(EDATE($B$8,12*A68),2)=7,1,0)))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IF(MONTH((EDATE($B$8,12*A69)+IF(WEEKDAY(EDATE($B$8,12*A69),2)=6,2,IF(WEEKDAY(EDATE($B$8,12*A69),2)=7,1,0))))&lt;&gt;MONTH(EDATE($B$8,12*A69)),(EDATE($B$8,12*A69)-IF(WEEKDAY(EDATE($B$8,12*A69),2)=6,1,IF(WEEKDAY(EDATE($B$8,12*A69),2)=7,2,0))),(EDATE($B$8,12*A69)+IF(WEEKDAY(EDATE($B$8,12*A69),2)=6,2,IF(WEEKDAY(EDATE($B$8,12*A69),2)=7,1,0)))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IF(MONTH((EDATE($B$8,12*A70)+IF(WEEKDAY(EDATE($B$8,12*A70),2)=6,2,IF(WEEKDAY(EDATE($B$8,12*A70),2)=7,1,0))))&lt;&gt;MONTH(EDATE($B$8,12*A70)),(EDATE($B$8,12*A70)-IF(WEEKDAY(EDATE($B$8,12*A70),2)=6,1,IF(WEEKDAY(EDATE($B$8,12*A70),2)=7,2,0))),(EDATE($B$8,12*A70)+IF(WEEKDAY(EDATE($B$8,12*A70),2)=6,2,IF(WEEKDAY(EDATE($B$8,12*A70),2)=7,1,0)))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IF(MONTH((EDATE($B$8,12*A71)+IF(WEEKDAY(EDATE($B$8,12*A71),2)=6,2,IF(WEEKDAY(EDATE($B$8,12*A71),2)=7,1,0))))&lt;&gt;MONTH(EDATE($B$8,12*A71)),(EDATE($B$8,12*A71)-IF(WEEKDAY(EDATE($B$8,12*A71),2)=6,1,IF(WEEKDAY(EDATE($B$8,12*A71),2)=7,2,0))),(EDATE($B$8,12*A71)+IF(WEEKDAY(EDATE($B$8,12*A71),2)=6,2,IF(WEEKDAY(EDATE($B$8,12*A71),2)=7,1,0)))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IF(MONTH((EDATE($B$8,12*A72)+IF(WEEKDAY(EDATE($B$8,12*A72),2)=6,2,IF(WEEKDAY(EDATE($B$8,12*A72),2)=7,1,0))))&lt;&gt;MONTH(EDATE($B$8,12*A72)),(EDATE($B$8,12*A72)-IF(WEEKDAY(EDATE($B$8,12*A72),2)=6,1,IF(WEEKDAY(EDATE($B$8,12*A72),2)=7,2,0))),(EDATE($B$8,12*A72)+IF(WEEKDAY(EDATE($B$8,12*A72),2)=6,2,IF(WEEKDAY(EDATE($B$8,12*A72),2)=7,1,0)))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IF(MONTH((EDATE($B$8,12*A73)+IF(WEEKDAY(EDATE($B$8,12*A73),2)=6,2,IF(WEEKDAY(EDATE($B$8,12*A73),2)=7,1,0))))&lt;&gt;MONTH(EDATE($B$8,12*A73)),(EDATE($B$8,12*A73)-IF(WEEKDAY(EDATE($B$8,12*A73),2)=6,1,IF(WEEKDAY(EDATE($B$8,12*A73),2)=7,2,0))),(EDATE($B$8,12*A73)+IF(WEEKDAY(EDATE($B$8,12*A73),2)=6,2,IF(WEEKDAY(EDATE($B$8,12*A73),2)=7,1,0)))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IF(MONTH((EDATE($B$8,12*A74)+IF(WEEKDAY(EDATE($B$8,12*A74),2)=6,2,IF(WEEKDAY(EDATE($B$8,12*A74),2)=7,1,0))))&lt;&gt;MONTH(EDATE($B$8,12*A74)),(EDATE($B$8,12*A74)-IF(WEEKDAY(EDATE($B$8,12*A74),2)=6,1,IF(WEEKDAY(EDATE($B$8,12*A74),2)=7,2,0))),(EDATE($B$8,12*A74)+IF(WEEKDAY(EDATE($B$8,12*A74),2)=6,2,IF(WEEKDAY(EDATE($B$8,12*A74),2)=7,1,0)))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IF(MONTH((EDATE($B$8,12*A75)+IF(WEEKDAY(EDATE($B$8,12*A75),2)=6,2,IF(WEEKDAY(EDATE($B$8,12*A75),2)=7,1,0))))&lt;&gt;MONTH(EDATE($B$8,12*A75)),(EDATE($B$8,12*A75)-IF(WEEKDAY(EDATE($B$8,12*A75),2)=6,1,IF(WEEKDAY(EDATE($B$8,12*A75),2)=7,2,0))),(EDATE($B$8,12*A75)+IF(WEEKDAY(EDATE($B$8,12*A75),2)=6,2,IF(WEEKDAY(EDATE($B$8,12*A75),2)=7,1,0)))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IF(MONTH((EDATE($B$8,12*A76)+IF(WEEKDAY(EDATE($B$8,12*A76),2)=6,2,IF(WEEKDAY(EDATE($B$8,12*A76),2)=7,1,0))))&lt;&gt;MONTH(EDATE($B$8,12*A76)),(EDATE($B$8,12*A76)-IF(WEEKDAY(EDATE($B$8,12*A76),2)=6,1,IF(WEEKDAY(EDATE($B$8,12*A76),2)=7,2,0))),(EDATE($B$8,12*A76)+IF(WEEKDAY(EDATE($B$8,12*A76),2)=6,2,IF(WEEKDAY(EDATE($B$8,12*A76),2)=7,1,0)))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IF(MONTH((EDATE($B$8,12*A77)+IF(WEEKDAY(EDATE($B$8,12*A77),2)=6,2,IF(WEEKDAY(EDATE($B$8,12*A77),2)=7,1,0))))&lt;&gt;MONTH(EDATE($B$8,12*A77)),(EDATE($B$8,12*A77)-IF(WEEKDAY(EDATE($B$8,12*A77),2)=6,1,IF(WEEKDAY(EDATE($B$8,12*A77),2)=7,2,0))),(EDATE($B$8,12*A77)+IF(WEEKDAY(EDATE($B$8,12*A77),2)=6,2,IF(WEEKDAY(EDATE($B$8,12*A77),2)=7,1,0)))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IF(MONTH((EDATE($B$8,12*A78)+IF(WEEKDAY(EDATE($B$8,12*A78),2)=6,2,IF(WEEKDAY(EDATE($B$8,12*A78),2)=7,1,0))))&lt;&gt;MONTH(EDATE($B$8,12*A78)),(EDATE($B$8,12*A78)-IF(WEEKDAY(EDATE($B$8,12*A78),2)=6,1,IF(WEEKDAY(EDATE($B$8,12*A78),2)=7,2,0))),(EDATE($B$8,12*A78)+IF(WEEKDAY(EDATE($B$8,12*A78),2)=6,2,IF(WEEKDAY(EDATE($B$8,12*A78),2)=7,1,0)))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IF(MONTH((EDATE($B$8,12*A79)+IF(WEEKDAY(EDATE($B$8,12*A79),2)=6,2,IF(WEEKDAY(EDATE($B$8,12*A79),2)=7,1,0))))&lt;&gt;MONTH(EDATE($B$8,12*A79)),(EDATE($B$8,12*A79)-IF(WEEKDAY(EDATE($B$8,12*A79),2)=6,1,IF(WEEKDAY(EDATE($B$8,12*A79),2)=7,2,0))),(EDATE($B$8,12*A79)+IF(WEEKDAY(EDATE($B$8,12*A79),2)=6,2,IF(WEEKDAY(EDATE($B$8,12*A79),2)=7,1,0)))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IF(MONTH((EDATE($B$8,12*A80)+IF(WEEKDAY(EDATE($B$8,12*A80),2)=6,2,IF(WEEKDAY(EDATE($B$8,12*A80),2)=7,1,0))))&lt;&gt;MONTH(EDATE($B$8,12*A80)),(EDATE($B$8,12*A80)-IF(WEEKDAY(EDATE($B$8,12*A80),2)=6,1,IF(WEEKDAY(EDATE($B$8,12*A80),2)=7,2,0))),(EDATE($B$8,12*A80)+IF(WEEKDAY(EDATE($B$8,12*A80),2)=6,2,IF(WEEKDAY(EDATE($B$8,12*A80),2)=7,1,0)))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IF(MONTH((EDATE($B$8,12*A81)+IF(WEEKDAY(EDATE($B$8,12*A81),2)=6,2,IF(WEEKDAY(EDATE($B$8,12*A81),2)=7,1,0))))&lt;&gt;MONTH(EDATE($B$8,12*A81)),(EDATE($B$8,12*A81)-IF(WEEKDAY(EDATE($B$8,12*A81),2)=6,1,IF(WEEKDAY(EDATE($B$8,12*A81),2)=7,2,0))),(EDATE($B$8,12*A81)+IF(WEEKDAY(EDATE($B$8,12*A81),2)=6,2,IF(WEEKDAY(EDATE($B$8,12*A81),2)=7,1,0)))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IF(MONTH((EDATE($B$8,12*A82)+IF(WEEKDAY(EDATE($B$8,12*A82),2)=6,2,IF(WEEKDAY(EDATE($B$8,12*A82),2)=7,1,0))))&lt;&gt;MONTH(EDATE($B$8,12*A82)),(EDATE($B$8,12*A82)-IF(WEEKDAY(EDATE($B$8,12*A82),2)=6,1,IF(WEEKDAY(EDATE($B$8,12*A82),2)=7,2,0))),(EDATE($B$8,12*A82)+IF(WEEKDAY(EDATE($B$8,12*A82),2)=6,2,IF(WEEKDAY(EDATE($B$8,12*A82),2)=7,1,0)))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IF(MONTH((EDATE($B$8,12*A83)+IF(WEEKDAY(EDATE($B$8,12*A83),2)=6,2,IF(WEEKDAY(EDATE($B$8,12*A83),2)=7,1,0))))&lt;&gt;MONTH(EDATE($B$8,12*A83)),(EDATE($B$8,12*A83)-IF(WEEKDAY(EDATE($B$8,12*A83),2)=6,1,IF(WEEKDAY(EDATE($B$8,12*A83),2)=7,2,0))),(EDATE($B$8,12*A83)+IF(WEEKDAY(EDATE($B$8,12*A83),2)=6,2,IF(WEEKDAY(EDATE($B$8,12*A83),2)=7,1,0)))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IF(MONTH((EDATE($B$8,12*A84)+IF(WEEKDAY(EDATE($B$8,12*A84),2)=6,2,IF(WEEKDAY(EDATE($B$8,12*A84),2)=7,1,0))))&lt;&gt;MONTH(EDATE($B$8,12*A84)),(EDATE($B$8,12*A84)-IF(WEEKDAY(EDATE($B$8,12*A84),2)=6,1,IF(WEEKDAY(EDATE($B$8,12*A84),2)=7,2,0))),(EDATE($B$8,12*A84)+IF(WEEKDAY(EDATE($B$8,12*A84),2)=6,2,IF(WEEKDAY(EDATE($B$8,12*A84),2)=7,1,0)))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IF(MONTH((EDATE($B$8,12*A85)+IF(WEEKDAY(EDATE($B$8,12*A85),2)=6,2,IF(WEEKDAY(EDATE($B$8,12*A85),2)=7,1,0))))&lt;&gt;MONTH(EDATE($B$8,12*A85)),(EDATE($B$8,12*A85)-IF(WEEKDAY(EDATE($B$8,12*A85),2)=6,1,IF(WEEKDAY(EDATE($B$8,12*A85),2)=7,2,0))),(EDATE($B$8,12*A85)+IF(WEEKDAY(EDATE($B$8,12*A85),2)=6,2,IF(WEEKDAY(EDATE($B$8,12*A85),2)=7,1,0)))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&lt;- S490_Snapshot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IF(ISNUMBER(D8),(C8-D8)*100,IF(ISNUMBER(G8),(C8-G8)*100,""))</f>
        <v/>
      </c>
      <c r="F8" s="93">
        <f>IF(ISNUMBER(IFERROR(INDEX($J$12:$T$82,MATCH(B8,INDEX($J$12:$T$82,0,$I$3),0),$I$4)*$I$5,"")),"BDS live",IF(ISNUMBER(G8),"manual paste","-"))</f>
        <v/>
      </c>
      <c r="G8" s="97">
        <f>IFERROR(INDEX(S490_Snapshot!$D$7:$D$38,MATCH(B8,S490_Snapshot!$A$7:$A$38,0)),"")</f>
        <v/>
      </c>
      <c r="H8" s="65" t="inlineStr">
        <is>
          <t>(the CURVE_TENOR_RATES dump lives at J12 - a second copy here would spill into it)</t>
        </is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IF(ISNUMBER(D9),(C9-D9)*100,IF(ISNUMBER(G9),(C9-G9)*100,""))</f>
        <v/>
      </c>
      <c r="F9" s="93">
        <f>IF(ISNUMBER(IFERROR(INDEX($J$12:$T$82,MATCH(B9,INDEX($J$12:$T$82,0,$I$3),0),$I$4)*$I$5,"")),"BDS live",IF(ISNUMBER(G9),"manual paste","-"))</f>
        <v/>
      </c>
      <c r="G9" s="97">
        <f>IFERROR(INDEX(S490_Snapshot!$D$7:$D$38,MATCH(B9,S490_Snapshot!$A$7:$A$38,0)),"")</f>
        <v/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IF(ISNUMBER(D10),(C10-D10)*100,IF(ISNUMBER(G10),(C10-G10)*100,""))</f>
        <v/>
      </c>
      <c r="F10" s="93">
        <f>IF(ISNUMBER(IFERROR(INDEX($J$12:$T$82,MATCH(B10,INDEX($J$12:$T$82,0,$I$3),0),$I$4)*$I$5,"")),"BDS live",IF(ISNUMBER(G10),"manual paste","-"))</f>
        <v/>
      </c>
      <c r="G10" s="97">
        <f>IFERROR(INDEX(S490_Snapshot!$D$7:$D$38,MATCH(B10,S490_Snapshot!$A$7:$A$38,0)),"")</f>
        <v/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IF(ISNUMBER(D11),(C11-D11)*100,IF(ISNUMBER(G11),(C11-G11)*100,""))</f>
        <v/>
      </c>
      <c r="F11" s="93">
        <f>IF(ISNUMBER(IFERROR(INDEX($J$12:$T$82,MATCH(B11,INDEX($J$12:$T$82,0,$I$3),0),$I$4)*$I$5,"")),"BDS live",IF(ISNUMBER(G11),"manual paste","-"))</f>
        <v/>
      </c>
      <c r="G11" s="97">
        <f>IFERROR(INDEX(S490_Snapshot!$D$7:$D$38,MATCH(B11,S490_Snapshot!$A$7:$A$38,0)),"")</f>
        <v/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IF(ISNUMBER(D12),(C12-D12)*100,IF(ISNUMBER(G12),(C12-G12)*100,""))</f>
        <v/>
      </c>
      <c r="F12" s="93">
        <f>IF(ISNUMBER(IFERROR(INDEX($J$12:$T$82,MATCH(B12,INDEX($J$12:$T$82,0,$I$3),0),$I$4)*$I$5,"")),"BDS live",IF(ISNUMBER(G12),"manual paste","-"))</f>
        <v/>
      </c>
      <c r="G12" s="97">
        <f>IFERROR(INDEX(S490_Snapshot!$D$7:$D$38,MATCH(B12,S490_Snapshot!$A$7:$A$38,0)),"")</f>
        <v/>
      </c>
      <c r="J12" s="93">
        <f>BDS(S490_TKR,"CURVE_TENOR_RATES")</f>
        <v/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IF(ISNUMBER(D13),(C13-D13)*100,IF(ISNUMBER(G13),(C13-G13)*100,""))</f>
        <v/>
      </c>
      <c r="F13" s="93">
        <f>IF(ISNUMBER(IFERROR(INDEX($J$12:$T$82,MATCH(B13,INDEX($J$12:$T$82,0,$I$3),0),$I$4)*$I$5,"")),"BDS live",IF(ISNUMBER(G13),"manual paste","-"))</f>
        <v/>
      </c>
      <c r="G13" s="97">
        <f>IFERROR(INDEX(S490_Snapshot!$D$7:$D$38,MATCH(B13,S490_Snapshot!$A$7:$A$38,0)),"")</f>
        <v/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IF(ISNUMBER(D14),(C14-D14)*100,IF(ISNUMBER(G14),(C14-G14)*100,""))</f>
        <v/>
      </c>
      <c r="F14" s="93">
        <f>IF(ISNUMBER(IFERROR(INDEX($J$12:$T$82,MATCH(B14,INDEX($J$12:$T$82,0,$I$3),0),$I$4)*$I$5,"")),"BDS live",IF(ISNUMBER(G14),"manual paste","-"))</f>
        <v/>
      </c>
      <c r="G14" s="97">
        <f>IFERROR(INDEX(S490_Snapshot!$D$7:$D$38,MATCH(B14,S490_Snapshot!$A$7:$A$38,0)),"")</f>
        <v/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IF(ISNUMBER(D15),(C15-D15)*100,IF(ISNUMBER(G15),(C15-G15)*100,""))</f>
        <v/>
      </c>
      <c r="F15" s="93">
        <f>IF(ISNUMBER(IFERROR(INDEX($J$12:$T$82,MATCH(B15,INDEX($J$12:$T$82,0,$I$3),0),$I$4)*$I$5,"")),"BDS live",IF(ISNUMBER(G15),"manual paste","-"))</f>
        <v/>
      </c>
      <c r="G15" s="97">
        <f>IFERROR(INDEX(S490_Snapshot!$D$7:$D$38,MATCH(B15,S490_Snapshot!$A$7:$A$38,0)),"")</f>
        <v/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IF(ISNUMBER(D16),(C16-D16)*100,IF(ISNUMBER(G16),(C16-G16)*100,""))</f>
        <v/>
      </c>
      <c r="F16" s="93">
        <f>IF(ISNUMBER(IFERROR(INDEX($J$12:$T$82,MATCH(B16,INDEX($J$12:$T$82,0,$I$3),0),$I$4)*$I$5,"")),"BDS live",IF(ISNUMBER(G16),"manual paste","-"))</f>
        <v/>
      </c>
      <c r="G16" s="97">
        <f>IFERROR(INDEX(S490_Snapshot!$D$7:$D$38,MATCH(B16,S490_Snapshot!$A$7:$A$38,0)),"")</f>
        <v/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IF(ISNUMBER(D17),(C17-D17)*100,IF(ISNUMBER(G17),(C17-G17)*100,""))</f>
        <v/>
      </c>
      <c r="F17" s="93">
        <f>IF(ISNUMBER(IFERROR(INDEX($J$12:$T$82,MATCH(B17,INDEX($J$12:$T$82,0,$I$3),0),$I$4)*$I$5,"")),"BDS live",IF(ISNUMBER(G17),"manual paste","-"))</f>
        <v/>
      </c>
      <c r="G17" s="97">
        <f>IFERROR(INDEX(S490_Snapshot!$D$7:$D$38,MATCH(B17,S490_Snapshot!$A$7:$A$38,0)),"")</f>
        <v/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IF(ISNUMBER(D18),(C18-D18)*100,IF(ISNUMBER(G18),(C18-G18)*100,""))</f>
        <v/>
      </c>
      <c r="F18" s="93">
        <f>IF(ISNUMBER(IFERROR(INDEX($J$12:$T$82,MATCH(B18,INDEX($J$12:$T$82,0,$I$3),0),$I$4)*$I$5,"")),"BDS live",IF(ISNUMBER(G18),"manual paste","-"))</f>
        <v/>
      </c>
      <c r="G18" s="97">
        <f>IFERROR(INDEX(S490_Snapshot!$D$7:$D$38,MATCH(B18,S490_Snapshot!$A$7:$A$38,0)),"")</f>
        <v/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IF(ISNUMBER(D19),(C19-D19)*100,IF(ISNUMBER(G19),(C19-G19)*100,""))</f>
        <v/>
      </c>
      <c r="F19" s="93">
        <f>IF(ISNUMBER(IFERROR(INDEX($J$12:$T$82,MATCH(B19,INDEX($J$12:$T$82,0,$I$3),0),$I$4)*$I$5,"")),"BDS live",IF(ISNUMBER(G19),"manual paste","-"))</f>
        <v/>
      </c>
      <c r="G19" s="97">
        <f>IFERROR(INDEX(S490_Snapshot!$D$7:$D$38,MATCH(B19,S490_Snapshot!$A$7:$A$38,0)),"")</f>
        <v/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IF(ISNUMBER(D20),(C20-D20)*100,IF(ISNUMBER(G20),(C20-G20)*100,""))</f>
        <v/>
      </c>
      <c r="F20" s="93">
        <f>IF(ISNUMBER(IFERROR(INDEX($J$12:$T$82,MATCH(B20,INDEX($J$12:$T$82,0,$I$3),0),$I$4)*$I$5,"")),"BDS live",IF(ISNUMBER(G20),"manual paste","-"))</f>
        <v/>
      </c>
      <c r="G20" s="97">
        <f>IFERROR(INDEX(S490_Snapshot!$D$7:$D$38,MATCH(B20,S490_Snapshot!$A$7:$A$38,0)),"")</f>
        <v/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IF(ISNUMBER(D21),(C21-D21)*100,IF(ISNUMBER(G21),(C21-G21)*100,""))</f>
        <v/>
      </c>
      <c r="F21" s="93">
        <f>IF(ISNUMBER(IFERROR(INDEX($J$12:$T$82,MATCH(B21,INDEX($J$12:$T$82,0,$I$3),0),$I$4)*$I$5,"")),"BDS live",IF(ISNUMBER(G21),"manual paste","-"))</f>
        <v/>
      </c>
      <c r="G21" s="97">
        <f>IFERROR(INDEX(S490_Snapshot!$D$7:$D$38,MATCH(B21,S490_Snapshot!$A$7:$A$38,0)),"")</f>
        <v/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IF(ISNUMBER(D22),(C22-D22)*100,IF(ISNUMBER(G22),(C22-G22)*100,""))</f>
        <v/>
      </c>
      <c r="F22" s="93">
        <f>IF(ISNUMBER(IFERROR(INDEX($J$12:$T$82,MATCH(B22,INDEX($J$12:$T$82,0,$I$3),0),$I$4)*$I$5,"")),"BDS live",IF(ISNUMBER(G22),"manual paste","-"))</f>
        <v/>
      </c>
      <c r="G22" s="97">
        <f>IFERROR(INDEX(S490_Snapshot!$D$7:$D$38,MATCH(B22,S490_Snapshot!$A$7:$A$38,0)),"")</f>
        <v/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IF(ISNUMBER(D23),(C23-D23)*100,IF(ISNUMBER(G23),(C23-G23)*100,""))</f>
        <v/>
      </c>
      <c r="F23" s="93">
        <f>IF(ISNUMBER(IFERROR(INDEX($J$12:$T$82,MATCH(B23,INDEX($J$12:$T$82,0,$I$3),0),$I$4)*$I$5,"")),"BDS live",IF(ISNUMBER(G23),"manual paste","-"))</f>
        <v/>
      </c>
      <c r="G23" s="97">
        <f>IFERROR(INDEX(S490_Snapshot!$D$7:$D$38,MATCH(B23,S490_Snapshot!$A$7:$A$38,0)),"")</f>
        <v/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IF(ISNUMBER(D24),(C24-D24)*100,IF(ISNUMBER(G24),(C24-G24)*100,""))</f>
        <v/>
      </c>
      <c r="F24" s="93">
        <f>IF(ISNUMBER(IFERROR(INDEX($J$12:$T$82,MATCH(B24,INDEX($J$12:$T$82,0,$I$3),0),$I$4)*$I$5,"")),"BDS live",IF(ISNUMBER(G24),"manual paste","-"))</f>
        <v/>
      </c>
      <c r="G24" s="97">
        <f>IFERROR(INDEX(S490_Snapshot!$D$7:$D$38,MATCH(B24,S490_Snapshot!$A$7:$A$38,0)),"")</f>
        <v/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IF(ISNUMBER(D25),(C25-D25)*100,IF(ISNUMBER(G25),(C25-G25)*100,""))</f>
        <v/>
      </c>
      <c r="F25" s="93">
        <f>IF(ISNUMBER(IFERROR(INDEX($J$12:$T$82,MATCH(B25,INDEX($J$12:$T$82,0,$I$3),0),$I$4)*$I$5,"")),"BDS live",IF(ISNUMBER(G25),"manual paste","-"))</f>
        <v/>
      </c>
      <c r="G25" s="97">
        <f>IFERROR(INDEX(S490_Snapshot!$D$7:$D$38,MATCH(B25,S490_Snapshot!$A$7:$A$38,0)),"")</f>
        <v/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IF(ISNUMBER(D26),(C26-D26)*100,IF(ISNUMBER(G26),(C26-G26)*100,""))</f>
        <v/>
      </c>
      <c r="F26" s="93">
        <f>IF(ISNUMBER(IFERROR(INDEX($J$12:$T$82,MATCH(B26,INDEX($J$12:$T$82,0,$I$3),0),$I$4)*$I$5,"")),"BDS live",IF(ISNUMBER(G26),"manual paste","-"))</f>
        <v/>
      </c>
      <c r="G26" s="97">
        <f>IFERROR(INDEX(S490_Snapshot!$D$7:$D$38,MATCH(B26,S490_Snapshot!$A$7:$A$38,0)),"")</f>
        <v/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IF(ISNUMBER(D27),(C27-D27)*100,IF(ISNUMBER(G27),(C27-G27)*100,""))</f>
        <v/>
      </c>
      <c r="F27" s="93">
        <f>IF(ISNUMBER(IFERROR(INDEX($J$12:$T$82,MATCH(B27,INDEX($J$12:$T$82,0,$I$3),0),$I$4)*$I$5,"")),"BDS live",IF(ISNUMBER(G27),"manual paste","-"))</f>
        <v/>
      </c>
      <c r="G27" s="97">
        <f>IFERROR(INDEX(S490_Snapshot!$D$7:$D$38,MATCH(B27,S490_Snapshot!$A$7:$A$38,0)),"")</f>
        <v/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IF(ISNUMBER(D28),(C28-D28)*100,IF(ISNUMBER(G28),(C28-G28)*100,""))</f>
        <v/>
      </c>
      <c r="F28" s="93">
        <f>IF(ISNUMBER(IFERROR(INDEX($J$12:$T$82,MATCH(B28,INDEX($J$12:$T$82,0,$I$3),0),$I$4)*$I$5,"")),"BDS live",IF(ISNUMBER(G28),"manual paste","-"))</f>
        <v/>
      </c>
      <c r="G28" s="97">
        <f>IFERROR(INDEX(S490_Snapshot!$D$7:$D$38,MATCH(B28,S490_Snapshot!$A$7:$A$38,0)),"")</f>
        <v/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IF(ISNUMBER(D29),(C29-D29)*100,IF(ISNUMBER(G29),(C29-G29)*100,""))</f>
        <v/>
      </c>
      <c r="F29" s="93">
        <f>IF(ISNUMBER(IFERROR(INDEX($J$12:$T$82,MATCH(B29,INDEX($J$12:$T$82,0,$I$3),0),$I$4)*$I$5,"")),"BDS live",IF(ISNUMBER(G29),"manual paste","-"))</f>
        <v/>
      </c>
      <c r="G29" s="97">
        <f>IFERROR(INDEX(S490_Snapshot!$D$7:$D$38,MATCH(B29,S490_Snapshot!$A$7:$A$38,0)),"")</f>
        <v/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IF(ISNUMBER(D30),(C30-D30)*100,IF(ISNUMBER(G30),(C30-G30)*100,""))</f>
        <v/>
      </c>
      <c r="F30" s="93">
        <f>IF(ISNUMBER(IFERROR(INDEX($J$12:$T$82,MATCH(B30,INDEX($J$12:$T$82,0,$I$3),0),$I$4)*$I$5,"")),"BDS live",IF(ISNUMBER(G30),"manual paste","-"))</f>
        <v/>
      </c>
      <c r="G30" s="97">
        <f>IFERROR(INDEX(S490_Snapshot!$D$7:$D$38,MATCH(B30,S490_Snapshot!$A$7:$A$38,0)),"")</f>
        <v/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IF(ISNUMBER(D31),(C31-D31)*100,IF(ISNUMBER(G31),(C31-G31)*100,""))</f>
        <v/>
      </c>
      <c r="F31" s="93">
        <f>IF(ISNUMBER(IFERROR(INDEX($J$12:$T$82,MATCH(B31,INDEX($J$12:$T$82,0,$I$3),0),$I$4)*$I$5,"")),"BDS live",IF(ISNUMBER(G31),"manual paste","-"))</f>
        <v/>
      </c>
      <c r="G31" s="97">
        <f>IFERROR(INDEX(S490_Snapshot!$D$7:$D$38,MATCH(B31,S490_Snapshot!$A$7:$A$38,0)),"")</f>
        <v/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IF(ISNUMBER(D32),(C32-D32)*100,IF(ISNUMBER(G32),(C32-G32)*100,""))</f>
        <v/>
      </c>
      <c r="F32" s="93">
        <f>IF(ISNUMBER(IFERROR(INDEX($J$12:$T$82,MATCH(B32,INDEX($J$12:$T$82,0,$I$3),0),$I$4)*$I$5,"")),"BDS live",IF(ISNUMBER(G32),"manual paste","-"))</f>
        <v/>
      </c>
      <c r="G32" s="97">
        <f>IFERROR(INDEX(S490_Snapshot!$D$7:$D$38,MATCH(B32,S490_Snapshot!$A$7:$A$38,0)),"")</f>
        <v/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IF(ISNUMBER(D33),(C33-D33)*100,IF(ISNUMBER(G33),(C33-G33)*100,""))</f>
        <v/>
      </c>
      <c r="F33" s="93">
        <f>IF(ISNUMBER(IFERROR(INDEX($J$12:$T$82,MATCH(B33,INDEX($J$12:$T$82,0,$I$3),0),$I$4)*$I$5,"")),"BDS live",IF(ISNUMBER(G33),"manual paste","-"))</f>
        <v/>
      </c>
      <c r="G33" s="97">
        <f>IFERROR(INDEX(S490_Snapshot!$D$7:$D$38,MATCH(B33,S490_Snapshot!$A$7:$A$38,0)),"")</f>
        <v/>
      </c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IF(ISNUMBER(D34),(C34-D34)*100,IF(ISNUMBER(G34),(C34-G34)*100,""))</f>
        <v/>
      </c>
      <c r="F34" s="93">
        <f>IF(ISNUMBER(IFERROR(INDEX($J$12:$T$82,MATCH(B34,INDEX($J$12:$T$82,0,$I$3),0),$I$4)*$I$5,"")),"BDS live",IF(ISNUMBER(G34),"manual paste","-"))</f>
        <v/>
      </c>
      <c r="G34" s="97">
        <f>IFERROR(INDEX(S490_Snapshot!$D$7:$D$38,MATCH(B34,S490_Snapshot!$A$7:$A$38,0)),"")</f>
        <v/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IF(ISNUMBER(D35),(C35-D35)*100,IF(ISNUMBER(G35),(C35-G35)*100,""))</f>
        <v/>
      </c>
      <c r="F35" s="93">
        <f>IF(ISNUMBER(IFERROR(INDEX($J$12:$T$82,MATCH(B35,INDEX($J$12:$T$82,0,$I$3),0),$I$4)*$I$5,"")),"BDS live",IF(ISNUMBER(G35),"manual paste","-"))</f>
        <v/>
      </c>
      <c r="G35" s="97">
        <f>IFERROR(INDEX(S490_Snapshot!$D$7:$D$38,MATCH(B35,S490_Snapshot!$A$7:$A$38,0)),"")</f>
        <v/>
      </c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IF(ISNUMBER(D36),(C36-D36)*100,IF(ISNUMBER(G36),(C36-G36)*100,""))</f>
        <v/>
      </c>
      <c r="F36" s="93">
        <f>IF(ISNUMBER(IFERROR(INDEX($J$12:$T$82,MATCH(B36,INDEX($J$12:$T$82,0,$I$3),0),$I$4)*$I$5,"")),"BDS live",IF(ISNUMBER(G36),"manual paste","-"))</f>
        <v/>
      </c>
      <c r="G36" s="97">
        <f>IFERROR(INDEX(S490_Snapshot!$D$7:$D$38,MATCH(B36,S490_Snapshot!$A$7:$A$38,0)),"")</f>
        <v/>
      </c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IF(ISNUMBER(D37),(C37-D37)*100,IF(ISNUMBER(G37),(C37-G37)*100,""))</f>
        <v/>
      </c>
      <c r="F37" s="93">
        <f>IF(ISNUMBER(IFERROR(INDEX($J$12:$T$82,MATCH(B37,INDEX($J$12:$T$82,0,$I$3),0),$I$4)*$I$5,"")),"BDS live",IF(ISNUMBER(G37),"manual paste","-"))</f>
        <v/>
      </c>
      <c r="G37" s="97">
        <f>IFERROR(INDEX(S490_Snapshot!$D$7:$D$38,MATCH(B37,S490_Snapshot!$A$7:$A$38,0)),"")</f>
        <v/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IF(ISNUMBER(D38),(C38-D38)*100,IF(ISNUMBER(G38),(C38-G38)*100,""))</f>
        <v/>
      </c>
      <c r="F38" s="93">
        <f>IF(ISNUMBER(IFERROR(INDEX($J$12:$T$82,MATCH(B38,INDEX($J$12:$T$82,0,$I$3),0),$I$4)*$I$5,"")),"BDS live",IF(ISNUMBER(G38),"manual paste","-"))</f>
        <v/>
      </c>
      <c r="G38" s="97">
        <f>IFERROR(INDEX(S490_Snapshot!$D$7:$D$38,MATCH(B38,S490_Snapshot!$A$7:$A$38,0)),"")</f>
        <v/>
      </c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IF(ISNUMBER(D39),(C39-D39)*100,IF(ISNUMBER(G39),(C39-G39)*100,""))</f>
        <v/>
      </c>
      <c r="F39" s="93">
        <f>IF(ISNUMBER(IFERROR(INDEX($J$12:$T$82,MATCH(B39,INDEX($J$12:$T$82,0,$I$3),0),$I$4)*$I$5,"")),"BDS live",IF(ISNUMBER(G39),"manual paste","-"))</f>
        <v/>
      </c>
      <c r="G39" s="97">
        <f>IFERROR(INDEX(S490_Snapshot!$D$7:$D$38,MATCH(B39,S490_Snapshot!$A$7:$A$38,0)),"")</f>
        <v/>
      </c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IF(ISNUMBER(D40),(C40-D40)*100,IF(ISNUMBER(G40),(C40-G40)*100,""))</f>
        <v/>
      </c>
      <c r="F40" s="93">
        <f>IF(ISNUMBER(IFERROR(INDEX($J$12:$T$82,MATCH(B40,INDEX($J$12:$T$82,0,$I$3),0),$I$4)*$I$5,"")),"BDS live",IF(ISNUMBER(G40),"manual paste","-"))</f>
        <v/>
      </c>
      <c r="G40" s="97">
        <f>IFERROR(INDEX(S490_Snapshot!$D$7:$D$38,MATCH(B40,S490_Snapshot!$A$7:$A$38,0)),"")</f>
        <v/>
      </c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IF(ISNUMBER(D41),(C41-D41)*100,IF(ISNUMBER(G41),(C41-G41)*100,""))</f>
        <v/>
      </c>
      <c r="F41" s="93">
        <f>IF(ISNUMBER(IFERROR(INDEX($J$12:$T$82,MATCH(B41,INDEX($J$12:$T$82,0,$I$3),0),$I$4)*$I$5,"")),"BDS live",IF(ISNUMBER(G41),"manual paste","-"))</f>
        <v/>
      </c>
      <c r="G41" s="97">
        <f>IFERROR(INDEX(S490_Snapshot!$D$7:$D$38,MATCH(B41,S490_Snapshot!$A$7:$A$38,0)),"")</f>
        <v/>
      </c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IF(ISNUMBER(D42),(C42-D42)*100,IF(ISNUMBER(G42),(C42-G42)*100,""))</f>
        <v/>
      </c>
      <c r="F42" s="93">
        <f>IF(ISNUMBER(IFERROR(INDEX($J$12:$T$82,MATCH(B42,INDEX($J$12:$T$82,0,$I$3),0),$I$4)*$I$5,"")),"BDS live",IF(ISNUMBER(G42),"manual paste","-"))</f>
        <v/>
      </c>
      <c r="G42" s="97">
        <f>IFERROR(INDEX(S490_Snapshot!$D$7:$D$38,MATCH(B42,S490_Snapshot!$A$7:$A$38,0)),"")</f>
        <v/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IF(ISNUMBER(D43),(C43-D43)*100,IF(ISNUMBER(G43),(C43-G43)*100,""))</f>
        <v/>
      </c>
      <c r="F43" s="93">
        <f>IF(ISNUMBER(IFERROR(INDEX($J$12:$T$82,MATCH(B43,INDEX($J$12:$T$82,0,$I$3),0),$I$4)*$I$5,"")),"BDS live",IF(ISNUMBER(G43),"manual paste","-"))</f>
        <v/>
      </c>
      <c r="G43" s="97">
        <f>IFERROR(INDEX(S490_Snapshot!$D$7:$D$38,MATCH(B43,S490_Snapshot!$A$7:$A$38,0)),"")</f>
        <v/>
      </c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IF(ISNUMBER(D44),(C44-D44)*100,IF(ISNUMBER(G44),(C44-G44)*100,""))</f>
        <v/>
      </c>
      <c r="F44" s="93">
        <f>IF(ISNUMBER(IFERROR(INDEX($J$12:$T$82,MATCH(B44,INDEX($J$12:$T$82,0,$I$3),0),$I$4)*$I$5,"")),"BDS live",IF(ISNUMBER(G44),"manual paste","-"))</f>
        <v/>
      </c>
      <c r="G44" s="97">
        <f>IFERROR(INDEX(S490_Snapshot!$D$7:$D$38,MATCH(B44,S490_Snapshot!$A$7:$A$38,0)),"")</f>
        <v/>
      </c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IF(ISNUMBER(D45),(C45-D45)*100,IF(ISNUMBER(G45),(C45-G45)*100,""))</f>
        <v/>
      </c>
      <c r="F45" s="93">
        <f>IF(ISNUMBER(IFERROR(INDEX($J$12:$T$82,MATCH(B45,INDEX($J$12:$T$82,0,$I$3),0),$I$4)*$I$5,"")),"BDS live",IF(ISNUMBER(G45),"manual paste","-"))</f>
        <v/>
      </c>
      <c r="G45" s="97">
        <f>IFERROR(INDEX(S490_Snapshot!$D$7:$D$38,MATCH(B45,S490_Snapshot!$A$7:$A$38,0)),"")</f>
        <v/>
      </c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IF(ISNUMBER(D46),(C46-D46)*100,IF(ISNUMBER(G46),(C46-G46)*100,""))</f>
        <v/>
      </c>
      <c r="F46" s="93">
        <f>IF(ISNUMBER(IFERROR(INDEX($J$12:$T$82,MATCH(B46,INDEX($J$12:$T$82,0,$I$3),0),$I$4)*$I$5,"")),"BDS live",IF(ISNUMBER(G46),"manual paste","-"))</f>
        <v/>
      </c>
      <c r="G46" s="97">
        <f>IFERROR(INDEX(S490_Snapshot!$D$7:$D$38,MATCH(B46,S490_Snapshot!$A$7:$A$38,0)),"")</f>
        <v/>
      </c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IF(ISNUMBER(D47),(C47-D47)*100,IF(ISNUMBER(G47),(C47-G47)*100,""))</f>
        <v/>
      </c>
      <c r="F47" s="93">
        <f>IF(ISNUMBER(IFERROR(INDEX($J$12:$T$82,MATCH(B47,INDEX($J$12:$T$82,0,$I$3),0),$I$4)*$I$5,"")),"BDS live",IF(ISNUMBER(G47),"manual paste","-"))</f>
        <v/>
      </c>
      <c r="G47" s="97">
        <f>IFERROR(INDEX(S490_Snapshot!$D$7:$D$38,MATCH(B47,S490_Snapshot!$A$7:$A$38,0)),"")</f>
        <v/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IF(ISNUMBER(D48),(C48-D48)*100,IF(ISNUMBER(G48),(C48-G48)*100,""))</f>
        <v/>
      </c>
      <c r="F48" s="93">
        <f>IF(ISNUMBER(IFERROR(INDEX($J$12:$T$82,MATCH(B48,INDEX($J$12:$T$82,0,$I$3),0),$I$4)*$I$5,"")),"BDS live",IF(ISNUMBER(G48),"manual paste","-"))</f>
        <v/>
      </c>
      <c r="G48" s="97">
        <f>IFERROR(INDEX(S490_Snapshot!$D$7:$D$38,MATCH(B48,S490_Snapshot!$A$7:$A$38,0)),"")</f>
        <v/>
      </c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IF(ISNUMBER(D49),(C49-D49)*100,IF(ISNUMBER(G49),(C49-G49)*100,""))</f>
        <v/>
      </c>
      <c r="F49" s="93">
        <f>IF(ISNUMBER(IFERROR(INDEX($J$12:$T$82,MATCH(B49,INDEX($J$12:$T$82,0,$I$3),0),$I$4)*$I$5,"")),"BDS live",IF(ISNUMBER(G49),"manual paste","-"))</f>
        <v/>
      </c>
      <c r="G49" s="97">
        <f>IFERROR(INDEX(S490_Snapshot!$D$7:$D$38,MATCH(B49,S490_Snapshot!$A$7:$A$38,0)),"")</f>
        <v/>
      </c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IF(ISNUMBER(D50),(C50-D50)*100,IF(ISNUMBER(G50),(C50-G50)*100,""))</f>
        <v/>
      </c>
      <c r="F50" s="93">
        <f>IF(ISNUMBER(IFERROR(INDEX($J$12:$T$82,MATCH(B50,INDEX($J$12:$T$82,0,$I$3),0),$I$4)*$I$5,"")),"BDS live",IF(ISNUMBER(G50),"manual paste","-"))</f>
        <v/>
      </c>
      <c r="G50" s="97">
        <f>IFERROR(INDEX(S490_Snapshot!$D$7:$D$38,MATCH(B50,S490_Snapshot!$A$7:$A$38,0)),"")</f>
        <v/>
      </c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IF(ISNUMBER(D51),(C51-D51)*100,IF(ISNUMBER(G51),(C51-G51)*100,""))</f>
        <v/>
      </c>
      <c r="F51" s="93">
        <f>IF(ISNUMBER(IFERROR(INDEX($J$12:$T$82,MATCH(B51,INDEX($J$12:$T$82,0,$I$3),0),$I$4)*$I$5,"")),"BDS live",IF(ISNUMBER(G51),"manual paste","-"))</f>
        <v/>
      </c>
      <c r="G51" s="97">
        <f>IFERROR(INDEX(S490_Snapshot!$D$7:$D$38,MATCH(B51,S490_Snapshot!$A$7:$A$38,0)),"")</f>
        <v/>
      </c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IF(ISNUMBER(D52),(C52-D52)*100,IF(ISNUMBER(G52),(C52-G52)*100,""))</f>
        <v/>
      </c>
      <c r="F52" s="93">
        <f>IF(ISNUMBER(IFERROR(INDEX($J$12:$T$82,MATCH(B52,INDEX($J$12:$T$82,0,$I$3),0),$I$4)*$I$5,"")),"BDS live",IF(ISNUMBER(G52),"manual paste","-"))</f>
        <v/>
      </c>
      <c r="G52" s="97">
        <f>IFERROR(INDEX(S490_Snapshot!$D$7:$D$38,MATCH(B52,S490_Snapshot!$A$7:$A$38,0)),"")</f>
        <v/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IF(ISNUMBER(D53),(C53-D53)*100,IF(ISNUMBER(G53),(C53-G53)*100,""))</f>
        <v/>
      </c>
      <c r="F53" s="93">
        <f>IF(ISNUMBER(IFERROR(INDEX($J$12:$T$82,MATCH(B53,INDEX($J$12:$T$82,0,$I$3),0),$I$4)*$I$5,"")),"BDS live",IF(ISNUMBER(G53),"manual paste","-"))</f>
        <v/>
      </c>
      <c r="G53" s="97">
        <f>IFERROR(INDEX(S490_Snapshot!$D$7:$D$38,MATCH(B53,S490_Snapshot!$A$7:$A$38,0)),"")</f>
        <v/>
      </c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IF(ISNUMBER(D54),(C54-D54)*100,IF(ISNUMBER(G54),(C54-G54)*100,""))</f>
        <v/>
      </c>
      <c r="F54" s="93">
        <f>IF(ISNUMBER(IFERROR(INDEX($J$12:$T$82,MATCH(B54,INDEX($J$12:$T$82,0,$I$3),0),$I$4)*$I$5,"")),"BDS live",IF(ISNUMBER(G54),"manual paste","-"))</f>
        <v/>
      </c>
      <c r="G54" s="97">
        <f>IFERROR(INDEX(S490_Snapshot!$D$7:$D$38,MATCH(B54,S490_Snapshot!$A$7:$A$38,0)),"")</f>
        <v/>
      </c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IF(ISNUMBER(D55),(C55-D55)*100,IF(ISNUMBER(G55),(C55-G55)*100,""))</f>
        <v/>
      </c>
      <c r="F55" s="93">
        <f>IF(ISNUMBER(IFERROR(INDEX($J$12:$T$82,MATCH(B55,INDEX($J$12:$T$82,0,$I$3),0),$I$4)*$I$5,"")),"BDS live",IF(ISNUMBER(G55),"manual paste","-"))</f>
        <v/>
      </c>
      <c r="G55" s="97">
        <f>IFERROR(INDEX(S490_Snapshot!$D$7:$D$38,MATCH(B55,S490_Snapshot!$A$7:$A$38,0)),"")</f>
        <v/>
      </c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IF(ISNUMBER(D56),(C56-D56)*100,IF(ISNUMBER(G56),(C56-G56)*100,""))</f>
        <v/>
      </c>
      <c r="F56" s="93">
        <f>IF(ISNUMBER(IFERROR(INDEX($J$12:$T$82,MATCH(B56,INDEX($J$12:$T$82,0,$I$3),0),$I$4)*$I$5,"")),"BDS live",IF(ISNUMBER(G56),"manual paste","-"))</f>
        <v/>
      </c>
      <c r="G56" s="97">
        <f>IFERROR(INDEX(S490_Snapshot!$D$7:$D$38,MATCH(B56,S490_Snapshot!$A$7:$A$38,0)),"")</f>
        <v/>
      </c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IF(ISNUMBER(D57),(C57-D57)*100,IF(ISNUMBER(G57),(C57-G57)*100,""))</f>
        <v/>
      </c>
      <c r="F57" s="93">
        <f>IF(ISNUMBER(IFERROR(INDEX($J$12:$T$82,MATCH(B57,INDEX($J$12:$T$82,0,$I$3),0),$I$4)*$I$5,"")),"BDS live",IF(ISNUMBER(G57),"manual paste","-"))</f>
        <v/>
      </c>
      <c r="G57" s="97">
        <f>IFERROR(INDEX(S490_Snapshot!$D$7:$D$38,MATCH(B57,S490_Snapshot!$A$7:$A$38,0)),"")</f>
        <v/>
      </c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IF(ISNUMBER(D58),(C58-D58)*100,IF(ISNUMBER(G58),(C58-G58)*100,""))</f>
        <v/>
      </c>
      <c r="F58" s="93">
        <f>IF(ISNUMBER(IFERROR(INDEX($J$12:$T$82,MATCH(B58,INDEX($J$12:$T$82,0,$I$3),0),$I$4)*$I$5,"")),"BDS live",IF(ISNUMBER(G58),"manual paste","-"))</f>
        <v/>
      </c>
      <c r="G58" s="97">
        <f>IFERROR(INDEX(S490_Snapshot!$D$7:$D$38,MATCH(B58,S490_Snapshot!$A$7:$A$38,0)),"")</f>
        <v/>
      </c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IF(ISNUMBER(D59),(C59-D59)*100,IF(ISNUMBER(G59),(C59-G59)*100,""))</f>
        <v/>
      </c>
      <c r="F59" s="93">
        <f>IF(ISNUMBER(IFERROR(INDEX($J$12:$T$82,MATCH(B59,INDEX($J$12:$T$82,0,$I$3),0),$I$4)*$I$5,"")),"BDS live",IF(ISNUMBER(G59),"manual paste","-"))</f>
        <v/>
      </c>
      <c r="G59" s="97">
        <f>IFERROR(INDEX(S490_Snapshot!$D$7:$D$38,MATCH(B59,S490_Snapshot!$A$7:$A$38,0)),"")</f>
        <v/>
      </c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IF(ISNUMBER(D60),(C60-D60)*100,IF(ISNUMBER(G60),(C60-G60)*100,""))</f>
        <v/>
      </c>
      <c r="F60" s="93">
        <f>IF(ISNUMBER(IFERROR(INDEX($J$12:$T$82,MATCH(B60,INDEX($J$12:$T$82,0,$I$3),0),$I$4)*$I$5,"")),"BDS live",IF(ISNUMBER(G60),"manual paste","-"))</f>
        <v/>
      </c>
      <c r="G60" s="97">
        <f>IFERROR(INDEX(S490_Snapshot!$D$7:$D$38,MATCH(B60,S490_Snapshot!$A$7:$A$38,0)),"")</f>
        <v/>
      </c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IF(ISNUMBER(D61),(C61-D61)*100,IF(ISNUMBER(G61),(C61-G61)*100,""))</f>
        <v/>
      </c>
      <c r="F61" s="93">
        <f>IF(ISNUMBER(IFERROR(INDEX($J$12:$T$82,MATCH(B61,INDEX($J$12:$T$82,0,$I$3),0),$I$4)*$I$5,"")),"BDS live",IF(ISNUMBER(G61),"manual paste","-"))</f>
        <v/>
      </c>
      <c r="G61" s="97">
        <f>IFERROR(INDEX(S490_Snapshot!$D$7:$D$38,MATCH(B61,S490_Snapshot!$A$7:$A$38,0)),"")</f>
        <v/>
      </c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IF(ISNUMBER(D62),(C62-D62)*100,IF(ISNUMBER(G62),(C62-G62)*100,""))</f>
        <v/>
      </c>
      <c r="F62" s="93">
        <f>IF(ISNUMBER(IFERROR(INDEX($J$12:$T$82,MATCH(B62,INDEX($J$12:$T$82,0,$I$3),0),$I$4)*$I$5,"")),"BDS live",IF(ISNUMBER(G62),"manual paste","-"))</f>
        <v/>
      </c>
      <c r="G62" s="97">
        <f>IFERROR(INDEX(S490_Snapshot!$D$7:$D$38,MATCH(B62,S490_Snapshot!$A$7:$A$38,0)),"")</f>
        <v/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IF(ISNUMBER(D63),(C63-D63)*100,IF(ISNUMBER(G63),(C63-G63)*100,""))</f>
        <v/>
      </c>
      <c r="F63" s="93">
        <f>IF(ISNUMBER(IFERROR(INDEX($J$12:$T$82,MATCH(B63,INDEX($J$12:$T$82,0,$I$3),0),$I$4)*$I$5,"")),"BDS live",IF(ISNUMBER(G63),"manual paste","-"))</f>
        <v/>
      </c>
      <c r="G63" s="97">
        <f>IFERROR(INDEX(S490_Snapshot!$D$7:$D$38,MATCH(B63,S490_Snapshot!$A$7:$A$38,0)),"")</f>
        <v/>
      </c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IF(ISNUMBER(D64),(C64-D64)*100,IF(ISNUMBER(G64),(C64-G64)*100,""))</f>
        <v/>
      </c>
      <c r="F64" s="93">
        <f>IF(ISNUMBER(IFERROR(INDEX($J$12:$T$82,MATCH(B64,INDEX($J$12:$T$82,0,$I$3),0),$I$4)*$I$5,"")),"BDS live",IF(ISNUMBER(G64),"manual paste","-"))</f>
        <v/>
      </c>
      <c r="G64" s="97">
        <f>IFERROR(INDEX(S490_Snapshot!$D$7:$D$38,MATCH(B64,S490_Snapshot!$A$7:$A$38,0)),"")</f>
        <v/>
      </c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IF(ISNUMBER(D65),(C65-D65)*100,IF(ISNUMBER(G65),(C65-G65)*100,""))</f>
        <v/>
      </c>
      <c r="F65" s="93">
        <f>IF(ISNUMBER(IFERROR(INDEX($J$12:$T$82,MATCH(B65,INDEX($J$12:$T$82,0,$I$3),0),$I$4)*$I$5,"")),"BDS live",IF(ISNUMBER(G65),"manual paste","-"))</f>
        <v/>
      </c>
      <c r="G65" s="97">
        <f>IFERROR(INDEX(S490_Snapshot!$D$7:$D$38,MATCH(B65,S490_Snapshot!$A$7:$A$38,0)),"")</f>
        <v/>
      </c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IF(ISNUMBER(D66),(C66-D66)*100,IF(ISNUMBER(G66),(C66-G66)*100,""))</f>
        <v/>
      </c>
      <c r="F66" s="93">
        <f>IF(ISNUMBER(IFERROR(INDEX($J$12:$T$82,MATCH(B66,INDEX($J$12:$T$82,0,$I$3),0),$I$4)*$I$5,"")),"BDS live",IF(ISNUMBER(G66),"manual paste","-"))</f>
        <v/>
      </c>
      <c r="G66" s="97">
        <f>IFERROR(INDEX(S490_Snapshot!$D$7:$D$38,MATCH(B66,S490_Snapshot!$A$7:$A$38,0)),"")</f>
        <v/>
      </c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IF(ISNUMBER(D67),(C67-D67)*100,IF(ISNUMBER(G67),(C67-G67)*100,""))</f>
        <v/>
      </c>
      <c r="F67" s="93">
        <f>IF(ISNUMBER(IFERROR(INDEX($J$12:$T$82,MATCH(B67,INDEX($J$12:$T$82,0,$I$3),0),$I$4)*$I$5,"")),"BDS live",IF(ISNUMBER(G67),"manual paste","-"))</f>
        <v/>
      </c>
      <c r="G67" s="97">
        <f>IFERROR(INDEX(S490_Snapshot!$D$7:$D$38,MATCH(B67,S490_Snapshot!$A$7:$A$38,0)),"")</f>
        <v/>
      </c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IF(ISNUMBER(D68),(C68-D68)*100,IF(ISNUMBER(G68),(C68-G68)*100,""))</f>
        <v/>
      </c>
      <c r="F68" s="93">
        <f>IF(ISNUMBER(IFERROR(INDEX($J$12:$T$82,MATCH(B68,INDEX($J$12:$T$82,0,$I$3),0),$I$4)*$I$5,"")),"BDS live",IF(ISNUMBER(G68),"manual paste","-"))</f>
        <v/>
      </c>
      <c r="G68" s="97">
        <f>IFERROR(INDEX(S490_Snapshot!$D$7:$D$38,MATCH(B68,S490_Snapshot!$A$7:$A$38,0)),"")</f>
        <v/>
      </c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IF(ISNUMBER(D69),(C69-D69)*100,IF(ISNUMBER(G69),(C69-G69)*100,""))</f>
        <v/>
      </c>
      <c r="F69" s="93">
        <f>IF(ISNUMBER(IFERROR(INDEX($J$12:$T$82,MATCH(B69,INDEX($J$12:$T$82,0,$I$3),0),$I$4)*$I$5,"")),"BDS live",IF(ISNUMBER(G69),"manual paste","-"))</f>
        <v/>
      </c>
      <c r="G69" s="97">
        <f>IFERROR(INDEX(S490_Snapshot!$D$7:$D$38,MATCH(B69,S490_Snapshot!$A$7:$A$38,0)),"")</f>
        <v/>
      </c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IF(ISNUMBER(D70),(C70-D70)*100,IF(ISNUMBER(G70),(C70-G70)*100,""))</f>
        <v/>
      </c>
      <c r="F70" s="93">
        <f>IF(ISNUMBER(IFERROR(INDEX($J$12:$T$82,MATCH(B70,INDEX($J$12:$T$82,0,$I$3),0),$I$4)*$I$5,"")),"BDS live",IF(ISNUMBER(G70),"manual paste","-"))</f>
        <v/>
      </c>
      <c r="G70" s="97">
        <f>IFERROR(INDEX(S490_Snapshot!$D$7:$D$38,MATCH(B70,S490_Snapshot!$A$7:$A$38,0)),"")</f>
        <v/>
      </c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IF(ISNUMBER(D71),(C71-D71)*100,IF(ISNUMBER(G71),(C71-G71)*100,""))</f>
        <v/>
      </c>
      <c r="F71" s="93">
        <f>IF(ISNUMBER(IFERROR(INDEX($J$12:$T$82,MATCH(B71,INDEX($J$12:$T$82,0,$I$3),0),$I$4)*$I$5,"")),"BDS live",IF(ISNUMBER(G71),"manual paste","-"))</f>
        <v/>
      </c>
      <c r="G71" s="97">
        <f>IFERROR(INDEX(S490_Snapshot!$D$7:$D$38,MATCH(B71,S490_Snapshot!$A$7:$A$38,0)),"")</f>
        <v/>
      </c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IF(ISNUMBER(D72),(C72-D72)*100,IF(ISNUMBER(G72),(C72-G72)*100,""))</f>
        <v/>
      </c>
      <c r="F72" s="93">
        <f>IF(ISNUMBER(IFERROR(INDEX($J$12:$T$82,MATCH(B72,INDEX($J$12:$T$82,0,$I$3),0),$I$4)*$I$5,"")),"BDS live",IF(ISNUMBER(G72),"manual paste","-"))</f>
        <v/>
      </c>
      <c r="G72" s="97">
        <f>IFERROR(INDEX(S490_Snapshot!$D$7:$D$38,MATCH(B72,S490_Snapshot!$A$7:$A$38,0)),"")</f>
        <v/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screen</t>
        </is>
      </c>
      <c r="C74" s="87">
        <f>COUNT(M8:M72)&amp;" / 32"</f>
        <v/>
      </c>
    </row>
    <row r="75">
      <c r="A75" s="67" t="inlineStr">
        <is>
          <t>Max |zero diff| vs screen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D = Bloomberg's own curve pulled live via BDS. Column G/M = the 07/21/26 screen snapshot in V:Y. Column E compares your zero to whichever is present.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  <row r="16">
      <c r="A16" s="65" t="inlineStr">
        <is>
          <t>SOURCE: Bloomberg Help Desk H#1330731572. Step 1 =BDP(&lt;ticker&gt;,"CDS_SPREAD_TICKER_nY") resolves each tenor's CDS ticker; step 2 =BDP(&lt;returned&gt;&amp;" BEST Curncy","PX_LAST") quotes it. Documented tenors: 1Y, 3Y, 5Y, 7Y, 10Y.</t>
        </is>
      </c>
    </row>
    <row r="17">
      <c r="A17" s="66" t="inlineStr">
        <is>
          <t>LIMITATION (Bloomberg's words): they do not provide a zero-coupon CDS spread by maturity as an exportable field, and the bootstrapped hazard rates are not a standard export. So there is NO exportable ground truth for the hazard curve - unlike the SOFR curve, which is matched against S490 to 0.36bp. Validate the credit side indirectly against CDSW screen output.</t>
        </is>
      </c>
    </row>
    <row r="18">
      <c r="A18" s="65" t="inlineStr">
        <is>
          <t>Bloomberg's suggested term structure is the credit triangle, Hazard = S/(1-R). That is only exact for a flat curve; Hazard_Solver bootstraps properly instead. CDS_Validation rows 13-18 compare the two so the difference stays visible. Methodology: CDS Model White Paper {LPHP CDSW 0:1 2989941 &lt;GO&gt;}, {HELP CDSW &lt;GO&gt;}.</t>
        </is>
      </c>
    </row>
  </sheetData>
  <mergeCells count="1">
    <mergeCell ref="A4:G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the order the CDSW screen shows them. S = par spread implied by the curve (B15);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9">
      <c r="A39" s="65" t="inlineStr">
        <is>
          <t>Reference CDSW screen (CINDBK 5Y, 07/21/26) for validation: points upfront -1.97596265, price 101.97596265, principal -197,597, accrued -8,333 (30 days), cash -205,930, default exposure 6,197,596. Those are TARGETS for a like-for-like trade, not model output - the demo spreads here are not that entity's curve.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NOTE: there is no Bloomberg export of bootstrapped hazard rates or zero-coupon CDS spreads (Help Desk H#1330731572), so these checks are INTERNAL consistency only - they confirm the curve reprices its own inputs, not that it agrees with Bloomberg. For external validation compare CDSW screen output (points upfront, price, cash amount)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2026-07-21T15:15:57Z</dcterms:modified>
</cp:coreProperties>
</file>