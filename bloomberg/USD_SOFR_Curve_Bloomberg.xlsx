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Interface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Bloomberg_S490_Validation" sheetId="9" state="visible" r:id="rId9"/>
    <sheet xmlns:r="http://schemas.openxmlformats.org/officeDocument/2006/relationships" name="Conventions" sheetId="10" state="visible" r:id="rId10"/>
    <sheet xmlns:r="http://schemas.openxmlformats.org/officeDocument/2006/relationships" name="Fwd_Interp" sheetId="11" state="visible" r:id="rId1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0" fillId="2" borderId="1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4" fontId="0" fillId="0" borderId="0" pivotButton="0" quotePrefix="0" xfId="0"/>
    <xf numFmtId="1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Live single-curve OIS bootstrap → discount factors, zero &amp; forward rates, S490 Δz check.</t>
        </is>
      </c>
    </row>
    <row r="41">
      <c r="A41" s="13" t="inlineStr">
        <is>
          <t>Curve_Interface</t>
        </is>
      </c>
      <c r="B41" s="3" t="inlineStr">
        <is>
          <t>Shared D(0,t): interpolates the SOFR curve to ANY date (quarterly CDS dates demo). Used by Swap_Pricer + CDS.</t>
        </is>
      </c>
    </row>
    <row r="42">
      <c r="A42" s="13" t="inlineStr">
        <is>
          <t>5. Bloomberg_S490_Validation</t>
        </is>
      </c>
      <c r="B42" s="3" t="inlineStr">
        <is>
          <t>Bloomberg's own USD SOFR curve (S490) for benchmarking your bootstrap.</t>
        </is>
      </c>
    </row>
    <row r="43">
      <c r="A43" s="13" t="inlineStr">
        <is>
          <t>6. Conventions</t>
        </is>
      </c>
      <c r="B43" s="3" t="inlineStr">
        <is>
          <t>DES/SWPM conventions for representative OIS (spot lag, day counts, compounding, EOM…).</t>
        </is>
      </c>
    </row>
    <row r="44">
      <c r="A44" s="13" t="inlineStr">
        <is>
          <t>7. Fwd_Interp</t>
        </is>
      </c>
      <c r="B44" s="3" t="inlineStr">
        <is>
          <t>Zhou 2002 forward interpolation: V1 piecewise-flat vs V2 piecewise-quadratic forwards.</t>
        </is>
      </c>
    </row>
    <row r="46">
      <c r="A46" s="15" t="inlineStr">
        <is>
          <t>DO NOT substitute these (wrong instruments):</t>
        </is>
      </c>
    </row>
    <row r="47">
      <c r="A47" s="9" t="inlineStr">
        <is>
          <t>•  TSFR1M/3M/6M/12M Index  — Term SOFR benchmarks, NOT overnight-SOFR OIS calibration instruments.</t>
        </is>
      </c>
    </row>
    <row r="48">
      <c r="A48" s="9" t="inlineStr">
        <is>
          <t>•  USISSO02/05/10/30 Index — ICE Swap Rate fixings, NOT the live OIS quote strip needed to bootstrap.</t>
        </is>
      </c>
    </row>
    <row r="49">
      <c r="A49" s="9" t="inlineStr">
        <is>
          <t>•  Use PX midpoint (bid+ask)/2 for construction; use PX_LAST only where bid/ask are unavailable.</t>
        </is>
      </c>
    </row>
    <row r="51" ht="28" customHeight="1">
      <c r="A51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2"/>
  </sheetData>
  <mergeCells count="52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B43:F43"/>
    <mergeCell ref="E20:F20"/>
    <mergeCell ref="B39:F39"/>
    <mergeCell ref="A47:F47"/>
    <mergeCell ref="B42:F42"/>
    <mergeCell ref="E19:F19"/>
    <mergeCell ref="A32:F32"/>
    <mergeCell ref="D12:F12"/>
    <mergeCell ref="D9:F9"/>
    <mergeCell ref="C22:D22"/>
    <mergeCell ref="A35:F35"/>
    <mergeCell ref="A51:F52"/>
    <mergeCell ref="A18:B18"/>
    <mergeCell ref="D8:F8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48:F48"/>
    <mergeCell ref="A30:F30"/>
    <mergeCell ref="C17:D17"/>
    <mergeCell ref="B40:F40"/>
    <mergeCell ref="A22:B22"/>
    <mergeCell ref="D10:F10"/>
    <mergeCell ref="A24:F24"/>
    <mergeCell ref="A20:B20"/>
    <mergeCell ref="A49:F49"/>
    <mergeCell ref="A19:B19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IFERROR(BDP($A7,"SECURITY_DES"),"")</f>
        <v/>
      </c>
      <c r="C7" s="17">
        <f>IFERROR(BDP($A7,"PX_LAST"),"")</f>
        <v/>
      </c>
      <c r="D7" s="17">
        <f>IFERROR(BDP($A7,"PX_BID"),"")</f>
        <v/>
      </c>
      <c r="E7" s="17">
        <f>IFERROR(BDP($A7,"PX_ASK"),"")</f>
        <v/>
      </c>
      <c r="F7" s="17">
        <f>IFERROR(100-C7,"")</f>
        <v/>
      </c>
      <c r="G7" s="6">
        <f>IFERROR(BDP($A7,"FUT_MONTH_YR"),"")</f>
        <v/>
      </c>
      <c r="H7" s="18">
        <f>IFERROR(BDP($A7,"FUT_DLV_DT_FIRST"),"")</f>
        <v/>
      </c>
      <c r="I7" s="18">
        <f>IFERROR(BDP($A7,"LAST_TRADEABLE_DT"),"")</f>
        <v/>
      </c>
      <c r="J7" s="21">
        <f>IFERROR(BDP($A7,"VOLUME"),"")</f>
        <v/>
      </c>
      <c r="K7" s="21">
        <f>IFERROR(BDP($A7,"OPEN_INT"),"")</f>
        <v/>
      </c>
    </row>
    <row r="8">
      <c r="A8" s="6" t="n"/>
      <c r="B8" s="6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6">
        <f>IFERROR(BDP($A8,"FUT_MONTH_YR"),"")</f>
        <v/>
      </c>
      <c r="H8" s="18">
        <f>IFERROR(BDP($A8,"FUT_DLV_DT_FIRST"),"")</f>
        <v/>
      </c>
      <c r="I8" s="18">
        <f>IFERROR(BDP($A8,"LAST_TRADEABLE_DT"),"")</f>
        <v/>
      </c>
      <c r="J8" s="21">
        <f>IFERROR(BDP($A8,"VOLUME"),"")</f>
        <v/>
      </c>
      <c r="K8" s="21">
        <f>IFERROR(BDP($A8,"OPEN_INT"),"")</f>
        <v/>
      </c>
    </row>
    <row r="9">
      <c r="A9" s="6" t="n"/>
      <c r="B9" s="6">
        <f>IFERROR(BDP($A9,"SECURITY_DES"),"")</f>
        <v/>
      </c>
      <c r="C9" s="17">
        <f>IFERROR(BDP($A9,"PX_LAST"),"")</f>
        <v/>
      </c>
      <c r="D9" s="17">
        <f>IFERROR(BDP($A9,"PX_BID"),"")</f>
        <v/>
      </c>
      <c r="E9" s="17">
        <f>IFERROR(BDP($A9,"PX_ASK"),"")</f>
        <v/>
      </c>
      <c r="F9" s="17">
        <f>IFERROR(100-C9,"")</f>
        <v/>
      </c>
      <c r="G9" s="6">
        <f>IFERROR(BDP($A9,"FUT_MONTH_YR"),"")</f>
        <v/>
      </c>
      <c r="H9" s="18">
        <f>IFERROR(BDP($A9,"FUT_DLV_DT_FIRST"),"")</f>
        <v/>
      </c>
      <c r="I9" s="18">
        <f>IFERROR(BDP($A9,"LAST_TRADEABLE_DT"),"")</f>
        <v/>
      </c>
      <c r="J9" s="21">
        <f>IFERROR(BDP($A9,"VOLUME"),"")</f>
        <v/>
      </c>
      <c r="K9" s="21">
        <f>IFERROR(BDP($A9,"OPEN_INT"),"")</f>
        <v/>
      </c>
    </row>
    <row r="10">
      <c r="A10" s="6" t="n"/>
      <c r="B10" s="6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6">
        <f>IFERROR(BDP($A10,"FUT_MONTH_YR"),"")</f>
        <v/>
      </c>
      <c r="H10" s="18">
        <f>IFERROR(BDP($A10,"FUT_DLV_DT_FIRST"),"")</f>
        <v/>
      </c>
      <c r="I10" s="18">
        <f>IFERROR(BDP($A10,"LAST_TRADEABLE_DT"),"")</f>
        <v/>
      </c>
      <c r="J10" s="21">
        <f>IFERROR(BDP($A10,"VOLUME"),"")</f>
        <v/>
      </c>
      <c r="K10" s="21">
        <f>IFERROR(BDP($A10,"OPEN_INT"),"")</f>
        <v/>
      </c>
    </row>
    <row r="11">
      <c r="A11" s="6" t="n"/>
      <c r="B11" s="6">
        <f>IFERROR(BDP($A11,"SECURITY_DES"),"")</f>
        <v/>
      </c>
      <c r="C11" s="17">
        <f>IFERROR(BDP($A11,"PX_LAST"),"")</f>
        <v/>
      </c>
      <c r="D11" s="17">
        <f>IFERROR(BDP($A11,"PX_BID"),"")</f>
        <v/>
      </c>
      <c r="E11" s="17">
        <f>IFERROR(BDP($A11,"PX_ASK"),"")</f>
        <v/>
      </c>
      <c r="F11" s="17">
        <f>IFERROR(100-C11,"")</f>
        <v/>
      </c>
      <c r="G11" s="6">
        <f>IFERROR(BDP($A11,"FUT_MONTH_YR"),"")</f>
        <v/>
      </c>
      <c r="H11" s="18">
        <f>IFERROR(BDP($A11,"FUT_DLV_DT_FIRST"),"")</f>
        <v/>
      </c>
      <c r="I11" s="18">
        <f>IFERROR(BDP($A11,"LAST_TRADEABLE_DT"),"")</f>
        <v/>
      </c>
      <c r="J11" s="21">
        <f>IFERROR(BDP($A11,"VOLUME"),"")</f>
        <v/>
      </c>
      <c r="K11" s="21">
        <f>IFERROR(BDP($A11,"OPEN_INT"),"")</f>
        <v/>
      </c>
    </row>
    <row r="12">
      <c r="A12" s="6" t="n"/>
      <c r="B12" s="6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6">
        <f>IFERROR(BDP($A12,"FUT_MONTH_YR"),"")</f>
        <v/>
      </c>
      <c r="H12" s="18">
        <f>IFERROR(BDP($A12,"FUT_DLV_DT_FIRST"),"")</f>
        <v/>
      </c>
      <c r="I12" s="18">
        <f>IFERROR(BDP($A12,"LAST_TRADEABLE_DT"),"")</f>
        <v/>
      </c>
      <c r="J12" s="21">
        <f>IFERROR(BDP($A12,"VOLUME"),"")</f>
        <v/>
      </c>
      <c r="K12" s="21">
        <f>IFERROR(BDP($A12,"OPEN_INT"),"")</f>
        <v/>
      </c>
    </row>
    <row r="13">
      <c r="A13" s="6" t="n"/>
      <c r="B13" s="6">
        <f>IFERROR(BDP($A13,"SECURITY_DES"),"")</f>
        <v/>
      </c>
      <c r="C13" s="17">
        <f>IFERROR(BDP($A13,"PX_LAST"),"")</f>
        <v/>
      </c>
      <c r="D13" s="17">
        <f>IFERROR(BDP($A13,"PX_BID"),"")</f>
        <v/>
      </c>
      <c r="E13" s="17">
        <f>IFERROR(BDP($A13,"PX_ASK"),"")</f>
        <v/>
      </c>
      <c r="F13" s="17">
        <f>IFERROR(100-C13,"")</f>
        <v/>
      </c>
      <c r="G13" s="6">
        <f>IFERROR(BDP($A13,"FUT_MONTH_YR"),"")</f>
        <v/>
      </c>
      <c r="H13" s="18">
        <f>IFERROR(BDP($A13,"FUT_DLV_DT_FIRST"),"")</f>
        <v/>
      </c>
      <c r="I13" s="18">
        <f>IFERROR(BDP($A13,"LAST_TRADEABLE_DT"),"")</f>
        <v/>
      </c>
      <c r="J13" s="21">
        <f>IFERROR(BDP($A13,"VOLUME"),"")</f>
        <v/>
      </c>
      <c r="K13" s="21">
        <f>IFERROR(BDP($A13,"OPEN_INT"),"")</f>
        <v/>
      </c>
    </row>
    <row r="14">
      <c r="A14" s="6" t="n"/>
      <c r="B14" s="6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6">
        <f>IFERROR(BDP($A14,"FUT_MONTH_YR"),"")</f>
        <v/>
      </c>
      <c r="H14" s="18">
        <f>IFERROR(BDP($A14,"FUT_DLV_DT_FIRST"),"")</f>
        <v/>
      </c>
      <c r="I14" s="18">
        <f>IFERROR(BDP($A14,"LAST_TRADEABLE_DT"),"")</f>
        <v/>
      </c>
      <c r="J14" s="21">
        <f>IFERROR(BDP($A14,"VOLUME"),"")</f>
        <v/>
      </c>
      <c r="K14" s="21">
        <f>IFERROR(BDP($A14,"OPEN_INT"),"")</f>
        <v/>
      </c>
    </row>
    <row r="15">
      <c r="A15" s="6" t="n"/>
      <c r="B15" s="6">
        <f>IFERROR(BDP($A15,"SECURITY_DES"),"")</f>
        <v/>
      </c>
      <c r="C15" s="17">
        <f>IFERROR(BDP($A15,"PX_LAST"),"")</f>
        <v/>
      </c>
      <c r="D15" s="17">
        <f>IFERROR(BDP($A15,"PX_BID"),"")</f>
        <v/>
      </c>
      <c r="E15" s="17">
        <f>IFERROR(BDP($A15,"PX_ASK"),"")</f>
        <v/>
      </c>
      <c r="F15" s="17">
        <f>IFERROR(100-C15,"")</f>
        <v/>
      </c>
      <c r="G15" s="6">
        <f>IFERROR(BDP($A15,"FUT_MONTH_YR"),"")</f>
        <v/>
      </c>
      <c r="H15" s="18">
        <f>IFERROR(BDP($A15,"FUT_DLV_DT_FIRST"),"")</f>
        <v/>
      </c>
      <c r="I15" s="18">
        <f>IFERROR(BDP($A15,"LAST_TRADEABLE_DT"),"")</f>
        <v/>
      </c>
      <c r="J15" s="21">
        <f>IFERROR(BDP($A15,"VOLUME"),"")</f>
        <v/>
      </c>
      <c r="K15" s="21">
        <f>IFERROR(BDP($A15,"OPEN_INT"),"")</f>
        <v/>
      </c>
    </row>
    <row r="16">
      <c r="A16" s="6" t="n"/>
      <c r="B16" s="6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6">
        <f>IFERROR(BDP($A16,"FUT_MONTH_YR"),"")</f>
        <v/>
      </c>
      <c r="H16" s="18">
        <f>IFERROR(BDP($A16,"FUT_DLV_DT_FIRST"),"")</f>
        <v/>
      </c>
      <c r="I16" s="18">
        <f>IFERROR(BDP($A16,"LAST_TRADEABLE_DT"),"")</f>
        <v/>
      </c>
      <c r="J16" s="21">
        <f>IFERROR(BDP($A16,"VOLUME"),"")</f>
        <v/>
      </c>
      <c r="K16" s="21">
        <f>IFERROR(BDP($A16,"OPEN_INT"),"")</f>
        <v/>
      </c>
    </row>
    <row r="17">
      <c r="A17" s="6" t="n"/>
      <c r="B17" s="6">
        <f>IFERROR(BDP($A17,"SECURITY_DES"),"")</f>
        <v/>
      </c>
      <c r="C17" s="17">
        <f>IFERROR(BDP($A17,"PX_LAST"),"")</f>
        <v/>
      </c>
      <c r="D17" s="17">
        <f>IFERROR(BDP($A17,"PX_BID"),"")</f>
        <v/>
      </c>
      <c r="E17" s="17">
        <f>IFERROR(BDP($A17,"PX_ASK"),"")</f>
        <v/>
      </c>
      <c r="F17" s="17">
        <f>IFERROR(100-C17,"")</f>
        <v/>
      </c>
      <c r="G17" s="6">
        <f>IFERROR(BDP($A17,"FUT_MONTH_YR"),"")</f>
        <v/>
      </c>
      <c r="H17" s="18">
        <f>IFERROR(BDP($A17,"FUT_DLV_DT_FIRST"),"")</f>
        <v/>
      </c>
      <c r="I17" s="18">
        <f>IFERROR(BDP($A17,"LAST_TRADEABLE_DT"),"")</f>
        <v/>
      </c>
      <c r="J17" s="21">
        <f>IFERROR(BDP($A17,"VOLUME"),"")</f>
        <v/>
      </c>
      <c r="K17" s="21">
        <f>IFERROR(BDP($A17,"OPEN_INT"),"")</f>
        <v/>
      </c>
    </row>
    <row r="18">
      <c r="A18" s="6" t="n"/>
      <c r="B18" s="6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6">
        <f>IFERROR(BDP($A18,"FUT_MONTH_YR"),"")</f>
        <v/>
      </c>
      <c r="H18" s="18">
        <f>IFERROR(BDP($A18,"FUT_DLV_DT_FIRST"),"")</f>
        <v/>
      </c>
      <c r="I18" s="18">
        <f>IFERROR(BDP($A18,"LAST_TRADEABLE_DT"),"")</f>
        <v/>
      </c>
      <c r="J18" s="21">
        <f>IFERROR(BDP($A18,"VOLUME"),"")</f>
        <v/>
      </c>
      <c r="K18" s="21">
        <f>IFERROR(BDP($A18,"OPEN_INT"),"")</f>
        <v/>
      </c>
    </row>
    <row r="19">
      <c r="A19" s="6" t="n"/>
      <c r="B19" s="6">
        <f>IFERROR(BDP($A19,"SECURITY_DES"),"")</f>
        <v/>
      </c>
      <c r="C19" s="17">
        <f>IFERROR(BDP($A19,"PX_LAST"),"")</f>
        <v/>
      </c>
      <c r="D19" s="17">
        <f>IFERROR(BDP($A19,"PX_BID"),"")</f>
        <v/>
      </c>
      <c r="E19" s="17">
        <f>IFERROR(BDP($A19,"PX_ASK"),"")</f>
        <v/>
      </c>
      <c r="F19" s="17">
        <f>IFERROR(100-C19,"")</f>
        <v/>
      </c>
      <c r="G19" s="6">
        <f>IFERROR(BDP($A19,"FUT_MONTH_YR"),"")</f>
        <v/>
      </c>
      <c r="H19" s="18">
        <f>IFERROR(BDP($A19,"FUT_DLV_DT_FIRST"),"")</f>
        <v/>
      </c>
      <c r="I19" s="18">
        <f>IFERROR(BDP($A19,"LAST_TRADEABLE_DT"),"")</f>
        <v/>
      </c>
      <c r="J19" s="21">
        <f>IFERROR(BDP($A19,"VOLUME"),"")</f>
        <v/>
      </c>
      <c r="K19" s="21">
        <f>IFERROR(BDP($A19,"OPEN_INT"),"")</f>
        <v/>
      </c>
    </row>
    <row r="20">
      <c r="A20" s="6" t="n"/>
      <c r="B20" s="6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6">
        <f>IFERROR(BDP($A20,"FUT_MONTH_YR"),"")</f>
        <v/>
      </c>
      <c r="H20" s="18">
        <f>IFERROR(BDP($A20,"FUT_DLV_DT_FIRST"),"")</f>
        <v/>
      </c>
      <c r="I20" s="18">
        <f>IFERROR(BDP($A20,"LAST_TRADEABLE_DT"),"")</f>
        <v/>
      </c>
      <c r="J20" s="21">
        <f>IFERROR(BDP($A20,"VOLUME"),"")</f>
        <v/>
      </c>
      <c r="K20" s="21">
        <f>IFERROR(BDP($A20,"OPEN_INT"),"")</f>
        <v/>
      </c>
    </row>
    <row r="21">
      <c r="A21" s="6" t="n"/>
      <c r="B21" s="6">
        <f>IFERROR(BDP($A21,"SECURITY_DES"),"")</f>
        <v/>
      </c>
      <c r="C21" s="17">
        <f>IFERROR(BDP($A21,"PX_LAST"),"")</f>
        <v/>
      </c>
      <c r="D21" s="17">
        <f>IFERROR(BDP($A21,"PX_BID"),"")</f>
        <v/>
      </c>
      <c r="E21" s="17">
        <f>IFERROR(BDP($A21,"PX_ASK"),"")</f>
        <v/>
      </c>
      <c r="F21" s="17">
        <f>IFERROR(100-C21,"")</f>
        <v/>
      </c>
      <c r="G21" s="6">
        <f>IFERROR(BDP($A21,"FUT_MONTH_YR"),"")</f>
        <v/>
      </c>
      <c r="H21" s="18">
        <f>IFERROR(BDP($A21,"FUT_DLV_DT_FIRST"),"")</f>
        <v/>
      </c>
      <c r="I21" s="18">
        <f>IFERROR(BDP($A21,"LAST_TRADEABLE_DT"),"")</f>
        <v/>
      </c>
      <c r="J21" s="21">
        <f>IFERROR(BDP($A21,"VOLUME"),"")</f>
        <v/>
      </c>
      <c r="K21" s="21">
        <f>IFERROR(BDP($A21,"OPEN_INT"),"")</f>
        <v/>
      </c>
    </row>
    <row r="22">
      <c r="A22" s="6" t="n"/>
      <c r="B22" s="6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6">
        <f>IFERROR(BDP($A22,"FUT_MONTH_YR"),"")</f>
        <v/>
      </c>
      <c r="H22" s="18">
        <f>IFERROR(BDP($A22,"FUT_DLV_DT_FIRST"),"")</f>
        <v/>
      </c>
      <c r="I22" s="18">
        <f>IFERROR(BDP($A22,"LAST_TRADEABLE_DT"),"")</f>
        <v/>
      </c>
      <c r="J22" s="21">
        <f>IFERROR(BDP($A22,"VOLUME"),"")</f>
        <v/>
      </c>
      <c r="K22" s="21">
        <f>IFERROR(BDP($A22,"OPEN_INT"),"")</f>
        <v/>
      </c>
    </row>
    <row r="23">
      <c r="A23" s="6" t="n"/>
      <c r="B23" s="6">
        <f>IFERROR(BDP($A23,"SECURITY_DES"),"")</f>
        <v/>
      </c>
      <c r="C23" s="17">
        <f>IFERROR(BDP($A23,"PX_LAST"),"")</f>
        <v/>
      </c>
      <c r="D23" s="17">
        <f>IFERROR(BDP($A23,"PX_BID"),"")</f>
        <v/>
      </c>
      <c r="E23" s="17">
        <f>IFERROR(BDP($A23,"PX_ASK"),"")</f>
        <v/>
      </c>
      <c r="F23" s="17">
        <f>IFERROR(100-C23,"")</f>
        <v/>
      </c>
      <c r="G23" s="6">
        <f>IFERROR(BDP($A23,"FUT_MONTH_YR"),"")</f>
        <v/>
      </c>
      <c r="H23" s="18">
        <f>IFERROR(BDP($A23,"FUT_DLV_DT_FIRST"),"")</f>
        <v/>
      </c>
      <c r="I23" s="18">
        <f>IFERROR(BDP($A23,"LAST_TRADEABLE_DT"),"")</f>
        <v/>
      </c>
      <c r="J23" s="21">
        <f>IFERROR(BDP($A23,"VOLUME"),"")</f>
        <v/>
      </c>
      <c r="K23" s="21">
        <f>IFERROR(BDP($A23,"OPEN_INT"),"")</f>
        <v/>
      </c>
    </row>
    <row r="24">
      <c r="A24" s="6" t="n"/>
      <c r="B24" s="6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6">
        <f>IFERROR(BDP($A24,"FUT_MONTH_YR"),"")</f>
        <v/>
      </c>
      <c r="H24" s="18">
        <f>IFERROR(BDP($A24,"FUT_DLV_DT_FIRST"),"")</f>
        <v/>
      </c>
      <c r="I24" s="18">
        <f>IFERROR(BDP($A24,"LAST_TRADEABLE_DT"),"")</f>
        <v/>
      </c>
      <c r="J24" s="21">
        <f>IFERROR(BDP($A24,"VOLUME"),"")</f>
        <v/>
      </c>
      <c r="K24" s="21">
        <f>IFERROR(BDP($A24,"OPEN_INT"),"")</f>
        <v/>
      </c>
    </row>
    <row r="25">
      <c r="A25" s="6" t="n"/>
      <c r="B25" s="6">
        <f>IFERROR(BDP($A25,"SECURITY_DES"),"")</f>
        <v/>
      </c>
      <c r="C25" s="17">
        <f>IFERROR(BDP($A25,"PX_LAST"),"")</f>
        <v/>
      </c>
      <c r="D25" s="17">
        <f>IFERROR(BDP($A25,"PX_BID"),"")</f>
        <v/>
      </c>
      <c r="E25" s="17">
        <f>IFERROR(BDP($A25,"PX_ASK"),"")</f>
        <v/>
      </c>
      <c r="F25" s="17">
        <f>IFERROR(100-C25,"")</f>
        <v/>
      </c>
      <c r="G25" s="6">
        <f>IFERROR(BDP($A25,"FUT_MONTH_YR"),"")</f>
        <v/>
      </c>
      <c r="H25" s="18">
        <f>IFERROR(BDP($A25,"FUT_DLV_DT_FIRST"),"")</f>
        <v/>
      </c>
      <c r="I25" s="18">
        <f>IFERROR(BDP($A25,"LAST_TRADEABLE_DT"),"")</f>
        <v/>
      </c>
      <c r="J25" s="21">
        <f>IFERROR(BDP($A25,"VOLUME"),"")</f>
        <v/>
      </c>
      <c r="K25" s="21">
        <f>IFERROR(BDP($A25,"OPEN_INT"),"")</f>
        <v/>
      </c>
    </row>
    <row r="26">
      <c r="A26" s="6" t="n"/>
      <c r="B26" s="6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6">
        <f>IFERROR(BDP($A26,"FUT_MONTH_YR"),"")</f>
        <v/>
      </c>
      <c r="H26" s="18">
        <f>IFERROR(BDP($A26,"FUT_DLV_DT_FIRST"),"")</f>
        <v/>
      </c>
      <c r="I26" s="18">
        <f>IFERROR(BDP($A26,"LAST_TRADEABLE_DT"),"")</f>
        <v/>
      </c>
      <c r="J26" s="21">
        <f>IFERROR(BDP($A26,"VOLUME"),"")</f>
        <v/>
      </c>
      <c r="K26" s="21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IFERROR(BDP($A32,"SECURITY_DES"),"")</f>
        <v/>
      </c>
      <c r="C32" s="17">
        <f>IFERROR(BDP($A32,"PX_LAST"),"")</f>
        <v/>
      </c>
      <c r="D32" s="17">
        <f>IFERROR(BDP($A32,"PX_BID"),"")</f>
        <v/>
      </c>
      <c r="E32" s="17">
        <f>IFERROR(BDP($A32,"PX_ASK"),"")</f>
        <v/>
      </c>
      <c r="F32" s="17">
        <f>IFERROR(100-C32,"")</f>
        <v/>
      </c>
      <c r="G32" s="6">
        <f>IFERROR(BDP($A32,"FUT_MONTH_YR"),"")</f>
        <v/>
      </c>
      <c r="H32" s="18">
        <f>IFERROR(BDP($A32,"FUT_DLV_DT_FIRST"),"")</f>
        <v/>
      </c>
      <c r="I32" s="18">
        <f>IFERROR(BDP($A32,"LAST_TRADEABLE_DT"),"")</f>
        <v/>
      </c>
      <c r="J32" s="21">
        <f>IFERROR(BDP($A32,"VOLUME"),"")</f>
        <v/>
      </c>
      <c r="K32" s="21">
        <f>IFERROR(BDP($A32,"OPEN_INT"),"")</f>
        <v/>
      </c>
    </row>
    <row r="33">
      <c r="A33" s="6" t="n"/>
      <c r="B33" s="6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6">
        <f>IFERROR(BDP($A33,"FUT_MONTH_YR"),"")</f>
        <v/>
      </c>
      <c r="H33" s="18">
        <f>IFERROR(BDP($A33,"FUT_DLV_DT_FIRST"),"")</f>
        <v/>
      </c>
      <c r="I33" s="18">
        <f>IFERROR(BDP($A33,"LAST_TRADEABLE_DT"),"")</f>
        <v/>
      </c>
      <c r="J33" s="21">
        <f>IFERROR(BDP($A33,"VOLUME"),"")</f>
        <v/>
      </c>
      <c r="K33" s="21">
        <f>IFERROR(BDP($A33,"OPEN_INT"),"")</f>
        <v/>
      </c>
    </row>
    <row r="34">
      <c r="A34" s="6" t="n"/>
      <c r="B34" s="6">
        <f>IFERROR(BDP($A34,"SECURITY_DES"),"")</f>
        <v/>
      </c>
      <c r="C34" s="17">
        <f>IFERROR(BDP($A34,"PX_LAST"),"")</f>
        <v/>
      </c>
      <c r="D34" s="17">
        <f>IFERROR(BDP($A34,"PX_BID"),"")</f>
        <v/>
      </c>
      <c r="E34" s="17">
        <f>IFERROR(BDP($A34,"PX_ASK"),"")</f>
        <v/>
      </c>
      <c r="F34" s="17">
        <f>IFERROR(100-C34,"")</f>
        <v/>
      </c>
      <c r="G34" s="6">
        <f>IFERROR(BDP($A34,"FUT_MONTH_YR"),"")</f>
        <v/>
      </c>
      <c r="H34" s="18">
        <f>IFERROR(BDP($A34,"FUT_DLV_DT_FIRST"),"")</f>
        <v/>
      </c>
      <c r="I34" s="18">
        <f>IFERROR(BDP($A34,"LAST_TRADEABLE_DT"),"")</f>
        <v/>
      </c>
      <c r="J34" s="21">
        <f>IFERROR(BDP($A34,"VOLUME"),"")</f>
        <v/>
      </c>
      <c r="K34" s="21">
        <f>IFERROR(BDP($A34,"OPEN_INT"),"")</f>
        <v/>
      </c>
    </row>
    <row r="35">
      <c r="A35" s="6" t="n"/>
      <c r="B35" s="6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6">
        <f>IFERROR(BDP($A35,"FUT_MONTH_YR"),"")</f>
        <v/>
      </c>
      <c r="H35" s="18">
        <f>IFERROR(BDP($A35,"FUT_DLV_DT_FIRST"),"")</f>
        <v/>
      </c>
      <c r="I35" s="18">
        <f>IFERROR(BDP($A35,"LAST_TRADEABLE_DT"),"")</f>
        <v/>
      </c>
      <c r="J35" s="21">
        <f>IFERROR(BDP($A35,"VOLUME"),"")</f>
        <v/>
      </c>
      <c r="K35" s="21">
        <f>IFERROR(BDP($A35,"OPEN_INT"),"")</f>
        <v/>
      </c>
    </row>
    <row r="36">
      <c r="A36" s="6" t="n"/>
      <c r="B36" s="6">
        <f>IFERROR(BDP($A36,"SECURITY_DES"),"")</f>
        <v/>
      </c>
      <c r="C36" s="17">
        <f>IFERROR(BDP($A36,"PX_LAST"),"")</f>
        <v/>
      </c>
      <c r="D36" s="17">
        <f>IFERROR(BDP($A36,"PX_BID"),"")</f>
        <v/>
      </c>
      <c r="E36" s="17">
        <f>IFERROR(BDP($A36,"PX_ASK"),"")</f>
        <v/>
      </c>
      <c r="F36" s="17">
        <f>IFERROR(100-C36,"")</f>
        <v/>
      </c>
      <c r="G36" s="6">
        <f>IFERROR(BDP($A36,"FUT_MONTH_YR"),"")</f>
        <v/>
      </c>
      <c r="H36" s="18">
        <f>IFERROR(BDP($A36,"FUT_DLV_DT_FIRST"),"")</f>
        <v/>
      </c>
      <c r="I36" s="18">
        <f>IFERROR(BDP($A36,"LAST_TRADEABLE_DT"),"")</f>
        <v/>
      </c>
      <c r="J36" s="21">
        <f>IFERROR(BDP($A36,"VOLUME"),"")</f>
        <v/>
      </c>
      <c r="K36" s="21">
        <f>IFERROR(BDP($A36,"OPEN_INT"),"")</f>
        <v/>
      </c>
    </row>
    <row r="37">
      <c r="A37" s="6" t="n"/>
      <c r="B37" s="6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6">
        <f>IFERROR(BDP($A37,"FUT_MONTH_YR"),"")</f>
        <v/>
      </c>
      <c r="H37" s="18">
        <f>IFERROR(BDP($A37,"FUT_DLV_DT_FIRST"),"")</f>
        <v/>
      </c>
      <c r="I37" s="18">
        <f>IFERROR(BDP($A37,"LAST_TRADEABLE_DT"),"")</f>
        <v/>
      </c>
      <c r="J37" s="21">
        <f>IFERROR(BDP($A37,"VOLUME"),"")</f>
        <v/>
      </c>
      <c r="K37" s="21">
        <f>IFERROR(BDP($A37,"OPEN_INT"),"")</f>
        <v/>
      </c>
    </row>
    <row r="38">
      <c r="A38" s="6" t="n"/>
      <c r="B38" s="6">
        <f>IFERROR(BDP($A38,"SECURITY_DES"),"")</f>
        <v/>
      </c>
      <c r="C38" s="17">
        <f>IFERROR(BDP($A38,"PX_LAST"),"")</f>
        <v/>
      </c>
      <c r="D38" s="17">
        <f>IFERROR(BDP($A38,"PX_BID"),"")</f>
        <v/>
      </c>
      <c r="E38" s="17">
        <f>IFERROR(BDP($A38,"PX_ASK"),"")</f>
        <v/>
      </c>
      <c r="F38" s="17">
        <f>IFERROR(100-C38,"")</f>
        <v/>
      </c>
      <c r="G38" s="6">
        <f>IFERROR(BDP($A38,"FUT_MONTH_YR"),"")</f>
        <v/>
      </c>
      <c r="H38" s="18">
        <f>IFERROR(BDP($A38,"FUT_DLV_DT_FIRST"),"")</f>
        <v/>
      </c>
      <c r="I38" s="18">
        <f>IFERROR(BDP($A38,"LAST_TRADEABLE_DT"),"")</f>
        <v/>
      </c>
      <c r="J38" s="21">
        <f>IFERROR(BDP($A38,"VOLUME"),"")</f>
        <v/>
      </c>
      <c r="K38" s="21">
        <f>IFERROR(BDP($A38,"OPEN_INT"),"")</f>
        <v/>
      </c>
    </row>
    <row r="39">
      <c r="A39" s="6" t="n"/>
      <c r="B39" s="6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6">
        <f>IFERROR(BDP($A39,"FUT_MONTH_YR"),"")</f>
        <v/>
      </c>
      <c r="H39" s="18">
        <f>IFERROR(BDP($A39,"FUT_DLV_DT_FIRST"),"")</f>
        <v/>
      </c>
      <c r="I39" s="18">
        <f>IFERROR(BDP($A39,"LAST_TRADEABLE_DT"),"")</f>
        <v/>
      </c>
      <c r="J39" s="21">
        <f>IFERROR(BDP($A39,"VOLUME"),"")</f>
        <v/>
      </c>
      <c r="K39" s="21">
        <f>IFERROR(BDP($A39,"OPEN_INT"),"")</f>
        <v/>
      </c>
    </row>
    <row r="40">
      <c r="A40" s="6" t="n"/>
      <c r="B40" s="6">
        <f>IFERROR(BDP($A40,"SECURITY_DES"),"")</f>
        <v/>
      </c>
      <c r="C40" s="17">
        <f>IFERROR(BDP($A40,"PX_LAST"),"")</f>
        <v/>
      </c>
      <c r="D40" s="17">
        <f>IFERROR(BDP($A40,"PX_BID"),"")</f>
        <v/>
      </c>
      <c r="E40" s="17">
        <f>IFERROR(BDP($A40,"PX_ASK"),"")</f>
        <v/>
      </c>
      <c r="F40" s="17">
        <f>IFERROR(100-C40,"")</f>
        <v/>
      </c>
      <c r="G40" s="6">
        <f>IFERROR(BDP($A40,"FUT_MONTH_YR"),"")</f>
        <v/>
      </c>
      <c r="H40" s="18">
        <f>IFERROR(BDP($A40,"FUT_DLV_DT_FIRST"),"")</f>
        <v/>
      </c>
      <c r="I40" s="18">
        <f>IFERROR(BDP($A40,"LAST_TRADEABLE_DT"),"")</f>
        <v/>
      </c>
      <c r="J40" s="21">
        <f>IFERROR(BDP($A40,"VOLUME"),"")</f>
        <v/>
      </c>
      <c r="K40" s="21">
        <f>IFERROR(BDP($A40,"OPEN_INT"),"")</f>
        <v/>
      </c>
    </row>
    <row r="41">
      <c r="A41" s="6" t="n"/>
      <c r="B41" s="6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6">
        <f>IFERROR(BDP($A41,"FUT_MONTH_YR"),"")</f>
        <v/>
      </c>
      <c r="H41" s="18">
        <f>IFERROR(BDP($A41,"FUT_DLV_DT_FIRST"),"")</f>
        <v/>
      </c>
      <c r="I41" s="18">
        <f>IFERROR(BDP($A41,"LAST_TRADEABLE_DT"),"")</f>
        <v/>
      </c>
      <c r="J41" s="21">
        <f>IFERROR(BDP($A41,"VOLUME"),"")</f>
        <v/>
      </c>
      <c r="K41" s="21">
        <f>IFERROR(BDP($A41,"OPEN_INT"),"")</f>
        <v/>
      </c>
    </row>
    <row r="42">
      <c r="A42" s="6" t="n"/>
      <c r="B42" s="6">
        <f>IFERROR(BDP($A42,"SECURITY_DES"),"")</f>
        <v/>
      </c>
      <c r="C42" s="17">
        <f>IFERROR(BDP($A42,"PX_LAST"),"")</f>
        <v/>
      </c>
      <c r="D42" s="17">
        <f>IFERROR(BDP($A42,"PX_BID"),"")</f>
        <v/>
      </c>
      <c r="E42" s="17">
        <f>IFERROR(BDP($A42,"PX_ASK"),"")</f>
        <v/>
      </c>
      <c r="F42" s="17">
        <f>IFERROR(100-C42,"")</f>
        <v/>
      </c>
      <c r="G42" s="6">
        <f>IFERROR(BDP($A42,"FUT_MONTH_YR"),"")</f>
        <v/>
      </c>
      <c r="H42" s="18">
        <f>IFERROR(BDP($A42,"FUT_DLV_DT_FIRST"),"")</f>
        <v/>
      </c>
      <c r="I42" s="18">
        <f>IFERROR(BDP($A42,"LAST_TRADEABLE_DT"),"")</f>
        <v/>
      </c>
      <c r="J42" s="21">
        <f>IFERROR(BDP($A42,"VOLUME"),"")</f>
        <v/>
      </c>
      <c r="K42" s="21">
        <f>IFERROR(BDP($A42,"OPEN_INT"),"")</f>
        <v/>
      </c>
    </row>
    <row r="43">
      <c r="A43" s="6" t="n"/>
      <c r="B43" s="6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6">
        <f>IFERROR(BDP($A43,"FUT_MONTH_YR"),"")</f>
        <v/>
      </c>
      <c r="H43" s="18">
        <f>IFERROR(BDP($A43,"FUT_DLV_DT_FIRST"),"")</f>
        <v/>
      </c>
      <c r="I43" s="18">
        <f>IFERROR(BDP($A43,"LAST_TRADEABLE_DT"),"")</f>
        <v/>
      </c>
      <c r="J43" s="21">
        <f>IFERROR(BDP($A43,"VOLUME"),"")</f>
        <v/>
      </c>
      <c r="K43" s="21">
        <f>IFERROR(BDP($A43,"OPEN_INT"),"")</f>
        <v/>
      </c>
    </row>
    <row r="44">
      <c r="A44" s="6" t="n"/>
      <c r="B44" s="6">
        <f>IFERROR(BDP($A44,"SECURITY_DES"),"")</f>
        <v/>
      </c>
      <c r="C44" s="17">
        <f>IFERROR(BDP($A44,"PX_LAST"),"")</f>
        <v/>
      </c>
      <c r="D44" s="17">
        <f>IFERROR(BDP($A44,"PX_BID"),"")</f>
        <v/>
      </c>
      <c r="E44" s="17">
        <f>IFERROR(BDP($A44,"PX_ASK"),"")</f>
        <v/>
      </c>
      <c r="F44" s="17">
        <f>IFERROR(100-C44,"")</f>
        <v/>
      </c>
      <c r="G44" s="6">
        <f>IFERROR(BDP($A44,"FUT_MONTH_YR"),"")</f>
        <v/>
      </c>
      <c r="H44" s="18">
        <f>IFERROR(BDP($A44,"FUT_DLV_DT_FIRST"),"")</f>
        <v/>
      </c>
      <c r="I44" s="18">
        <f>IFERROR(BDP($A44,"LAST_TRADEABLE_DT"),"")</f>
        <v/>
      </c>
      <c r="J44" s="21">
        <f>IFERROR(BDP($A44,"VOLUME"),"")</f>
        <v/>
      </c>
      <c r="K44" s="21">
        <f>IFERROR(BDP($A44,"OPEN_INT"),"")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Curncy","PX_BID"),"")</f>
        <v/>
      </c>
      <c r="F5" s="17">
        <f>IFERROR(BDP(A5&amp;" "&amp;PX_SRC&amp;" Curncy","PX_ASK"),"")</f>
        <v/>
      </c>
      <c r="G5" s="17">
        <f>IFERROR(BDP(A5&amp;" "&amp;PX_SRC&amp;" Curncy","PX_LAST"),"")</f>
        <v/>
      </c>
      <c r="H5" s="25">
        <f>IFERROR((E5+F5)/2,IFERROR(G5,""))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Curncy","PX_BID"),"")</f>
        <v/>
      </c>
      <c r="F6" s="17">
        <f>IFERROR(BDP(A6&amp;" "&amp;PX_SRC&amp;" Curncy","PX_ASK"),"")</f>
        <v/>
      </c>
      <c r="G6" s="17">
        <f>IFERROR(BDP(A6&amp;" "&amp;PX_SRC&amp;" Curncy","PX_LAST"),"")</f>
        <v/>
      </c>
      <c r="H6" s="25">
        <f>IFERROR((E6+F6)/2,IFERROR(G6,""))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Curncy","PX_BID"),"")</f>
        <v/>
      </c>
      <c r="F7" s="17">
        <f>IFERROR(BDP(A7&amp;" "&amp;PX_SRC&amp;" Curncy","PX_ASK"),"")</f>
        <v/>
      </c>
      <c r="G7" s="17">
        <f>IFERROR(BDP(A7&amp;" "&amp;PX_SRC&amp;" Curncy","PX_LAST"),"")</f>
        <v/>
      </c>
      <c r="H7" s="25">
        <f>IFERROR((E7+F7)/2,IFERROR(G7,""))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Curncy","PX_BID"),"")</f>
        <v/>
      </c>
      <c r="F8" s="17">
        <f>IFERROR(BDP(A8&amp;" "&amp;PX_SRC&amp;" Curncy","PX_ASK"),"")</f>
        <v/>
      </c>
      <c r="G8" s="17">
        <f>IFERROR(BDP(A8&amp;" "&amp;PX_SRC&amp;" Curncy","PX_LAST"),"")</f>
        <v/>
      </c>
      <c r="H8" s="25">
        <f>IFERROR((E8+F8)/2,IFERROR(G8,""))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Curncy","PX_BID"),"")</f>
        <v/>
      </c>
      <c r="F9" s="17">
        <f>IFERROR(BDP(A9&amp;" "&amp;PX_SRC&amp;" Curncy","PX_ASK"),"")</f>
        <v/>
      </c>
      <c r="G9" s="17">
        <f>IFERROR(BDP(A9&amp;" "&amp;PX_SRC&amp;" Curncy","PX_LAST"),"")</f>
        <v/>
      </c>
      <c r="H9" s="25">
        <f>IFERROR((E9+F9)/2,IFERROR(G9,""))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Curncy","PX_BID"),"")</f>
        <v/>
      </c>
      <c r="F10" s="17">
        <f>IFERROR(BDP(A10&amp;" "&amp;PX_SRC&amp;" Curncy","PX_ASK"),"")</f>
        <v/>
      </c>
      <c r="G10" s="17">
        <f>IFERROR(BDP(A10&amp;" "&amp;PX_SRC&amp;" Curncy","PX_LAST"),"")</f>
        <v/>
      </c>
      <c r="H10" s="25">
        <f>IFERROR((E10+F10)/2,IFERROR(G10,""))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Curncy","PX_BID"),"")</f>
        <v/>
      </c>
      <c r="F11" s="17">
        <f>IFERROR(BDP(A11&amp;" "&amp;PX_SRC&amp;" Curncy","PX_ASK"),"")</f>
        <v/>
      </c>
      <c r="G11" s="17">
        <f>IFERROR(BDP(A11&amp;" "&amp;PX_SRC&amp;" Curncy","PX_LAST"),"")</f>
        <v/>
      </c>
      <c r="H11" s="25">
        <f>IFERROR((E11+F11)/2,IFERROR(G11,""))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Curncy","PX_BID"),"")</f>
        <v/>
      </c>
      <c r="F12" s="17">
        <f>IFERROR(BDP(A12&amp;" "&amp;PX_SRC&amp;" Curncy","PX_ASK"),"")</f>
        <v/>
      </c>
      <c r="G12" s="17">
        <f>IFERROR(BDP(A12&amp;" "&amp;PX_SRC&amp;" Curncy","PX_LAST"),"")</f>
        <v/>
      </c>
      <c r="H12" s="25">
        <f>IFERROR((E12+F12)/2,IFERROR(G12,""))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Curncy","PX_BID"),"")</f>
        <v/>
      </c>
      <c r="F13" s="17">
        <f>IFERROR(BDP(A13&amp;" "&amp;PX_SRC&amp;" Curncy","PX_ASK"),"")</f>
        <v/>
      </c>
      <c r="G13" s="17">
        <f>IFERROR(BDP(A13&amp;" "&amp;PX_SRC&amp;" Curncy","PX_LAST"),"")</f>
        <v/>
      </c>
      <c r="H13" s="25">
        <f>IFERROR((E13+F13)/2,IFERROR(G13,""))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Curncy","PX_BID"),"")</f>
        <v/>
      </c>
      <c r="F14" s="17">
        <f>IFERROR(BDP(A14&amp;" "&amp;PX_SRC&amp;" Curncy","PX_ASK"),"")</f>
        <v/>
      </c>
      <c r="G14" s="17">
        <f>IFERROR(BDP(A14&amp;" "&amp;PX_SRC&amp;" Curncy","PX_LAST"),"")</f>
        <v/>
      </c>
      <c r="H14" s="25">
        <f>IFERROR((E14+F14)/2,IFERROR(G14,""))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Curncy","PX_BID"),"")</f>
        <v/>
      </c>
      <c r="F15" s="17">
        <f>IFERROR(BDP(A15&amp;" "&amp;PX_SRC&amp;" Curncy","PX_ASK"),"")</f>
        <v/>
      </c>
      <c r="G15" s="17">
        <f>IFERROR(BDP(A15&amp;" "&amp;PX_SRC&amp;" Curncy","PX_LAST"),"")</f>
        <v/>
      </c>
      <c r="H15" s="25">
        <f>IFERROR((E15+F15)/2,IFERROR(G15,""))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Curncy","PX_BID"),"")</f>
        <v/>
      </c>
      <c r="F16" s="17">
        <f>IFERROR(BDP(A16&amp;" "&amp;PX_SRC&amp;" Curncy","PX_ASK"),"")</f>
        <v/>
      </c>
      <c r="G16" s="17">
        <f>IFERROR(BDP(A16&amp;" "&amp;PX_SRC&amp;" Curncy","PX_LAST"),"")</f>
        <v/>
      </c>
      <c r="H16" s="25">
        <f>IFERROR((E16+F16)/2,IFERROR(G16,""))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Curncy","PX_BID"),"")</f>
        <v/>
      </c>
      <c r="F17" s="17">
        <f>IFERROR(BDP(A17&amp;" "&amp;PX_SRC&amp;" Curncy","PX_ASK"),"")</f>
        <v/>
      </c>
      <c r="G17" s="17">
        <f>IFERROR(BDP(A17&amp;" "&amp;PX_SRC&amp;" Curncy","PX_LAST"),"")</f>
        <v/>
      </c>
      <c r="H17" s="25">
        <f>IFERROR((E17+F17)/2,IFERROR(G17,""))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Curncy","PX_BID"),"")</f>
        <v/>
      </c>
      <c r="F18" s="17">
        <f>IFERROR(BDP(A18&amp;" "&amp;PX_SRC&amp;" Curncy","PX_ASK"),"")</f>
        <v/>
      </c>
      <c r="G18" s="17">
        <f>IFERROR(BDP(A18&amp;" "&amp;PX_SRC&amp;" Curncy","PX_LAST"),"")</f>
        <v/>
      </c>
      <c r="H18" s="25">
        <f>IFERROR((E18+F18)/2,IFERROR(G18,""))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Curncy","PX_BID"),"")</f>
        <v/>
      </c>
      <c r="F19" s="17">
        <f>IFERROR(BDP(A19&amp;" "&amp;PX_SRC&amp;" Curncy","PX_ASK"),"")</f>
        <v/>
      </c>
      <c r="G19" s="17">
        <f>IFERROR(BDP(A19&amp;" "&amp;PX_SRC&amp;" Curncy","PX_LAST"),"")</f>
        <v/>
      </c>
      <c r="H19" s="25">
        <f>IFERROR((E19+F19)/2,IFERROR(G19,""))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Curncy","PX_BID"),"")</f>
        <v/>
      </c>
      <c r="F20" s="17">
        <f>IFERROR(BDP(A20&amp;" "&amp;PX_SRC&amp;" Curncy","PX_ASK"),"")</f>
        <v/>
      </c>
      <c r="G20" s="17">
        <f>IFERROR(BDP(A20&amp;" "&amp;PX_SRC&amp;" Curncy","PX_LAST"),"")</f>
        <v/>
      </c>
      <c r="H20" s="25">
        <f>IFERROR((E20+F20)/2,IFERROR(G20,""))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Curncy","PX_BID"),"")</f>
        <v/>
      </c>
      <c r="F21" s="17">
        <f>IFERROR(BDP(A21&amp;" "&amp;PX_SRC&amp;" Curncy","PX_ASK"),"")</f>
        <v/>
      </c>
      <c r="G21" s="17">
        <f>IFERROR(BDP(A21&amp;" "&amp;PX_SRC&amp;" Curncy","PX_LAST"),"")</f>
        <v/>
      </c>
      <c r="H21" s="25">
        <f>IFERROR((E21+F21)/2,IFERROR(G21,""))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Curncy","PX_BID"),"")</f>
        <v/>
      </c>
      <c r="F22" s="17">
        <f>IFERROR(BDP(A22&amp;" "&amp;PX_SRC&amp;" Curncy","PX_ASK"),"")</f>
        <v/>
      </c>
      <c r="G22" s="17">
        <f>IFERROR(BDP(A22&amp;" "&amp;PX_SRC&amp;" Curncy","PX_LAST"),"")</f>
        <v/>
      </c>
      <c r="H22" s="25">
        <f>IFERROR((E22+F22)/2,IFERROR(G22,""))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Curncy","PX_BID"),"")</f>
        <v/>
      </c>
      <c r="F23" s="17">
        <f>IFERROR(BDP(A23&amp;" "&amp;PX_SRC&amp;" Curncy","PX_ASK"),"")</f>
        <v/>
      </c>
      <c r="G23" s="17">
        <f>IFERROR(BDP(A23&amp;" "&amp;PX_SRC&amp;" Curncy","PX_LAST"),"")</f>
        <v/>
      </c>
      <c r="H23" s="25">
        <f>IFERROR((E23+F23)/2,IFERROR(G23,""))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Curncy","PX_BID"),"")</f>
        <v/>
      </c>
      <c r="F24" s="17">
        <f>IFERROR(BDP(A24&amp;" "&amp;PX_SRC&amp;" Curncy","PX_ASK"),"")</f>
        <v/>
      </c>
      <c r="G24" s="17">
        <f>IFERROR(BDP(A24&amp;" "&amp;PX_SRC&amp;" Curncy","PX_LAST"),"")</f>
        <v/>
      </c>
      <c r="H24" s="25">
        <f>IFERROR((E24+F24)/2,IFERROR(G24,""))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Curncy","PX_BID"),"")</f>
        <v/>
      </c>
      <c r="F25" s="17">
        <f>IFERROR(BDP(A25&amp;" "&amp;PX_SRC&amp;" Curncy","PX_ASK"),"")</f>
        <v/>
      </c>
      <c r="G25" s="17">
        <f>IFERROR(BDP(A25&amp;" "&amp;PX_SRC&amp;" Curncy","PX_LAST"),"")</f>
        <v/>
      </c>
      <c r="H25" s="25">
        <f>IFERROR((E25+F25)/2,IFERROR(G25,""))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Curncy","PX_BID"),"")</f>
        <v/>
      </c>
      <c r="F26" s="17">
        <f>IFERROR(BDP(A26&amp;" "&amp;PX_SRC&amp;" Curncy","PX_ASK"),"")</f>
        <v/>
      </c>
      <c r="G26" s="17">
        <f>IFERROR(BDP(A26&amp;" "&amp;PX_SRC&amp;" Curncy","PX_LAST"),"")</f>
        <v/>
      </c>
      <c r="H26" s="25">
        <f>IFERROR((E26+F26)/2,IFERROR(G26,""))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Curncy","PX_BID"),"")</f>
        <v/>
      </c>
      <c r="F27" s="17">
        <f>IFERROR(BDP(A27&amp;" "&amp;PX_SRC&amp;" Curncy","PX_ASK"),"")</f>
        <v/>
      </c>
      <c r="G27" s="17">
        <f>IFERROR(BDP(A27&amp;" "&amp;PX_SRC&amp;" Curncy","PX_LAST"),"")</f>
        <v/>
      </c>
      <c r="H27" s="25">
        <f>IFERROR((E27+F27)/2,IFERROR(G27,""))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Curncy","PX_BID"),"")</f>
        <v/>
      </c>
      <c r="F28" s="17">
        <f>IFERROR(BDP(A28&amp;" "&amp;PX_SRC&amp;" Curncy","PX_ASK"),"")</f>
        <v/>
      </c>
      <c r="G28" s="17">
        <f>IFERROR(BDP(A28&amp;" "&amp;PX_SRC&amp;" Curncy","PX_LAST"),"")</f>
        <v/>
      </c>
      <c r="H28" s="25">
        <f>IFERROR((E28+F28)/2,IFERROR(G28,""))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Curncy","PX_BID"),"")</f>
        <v/>
      </c>
      <c r="F29" s="17">
        <f>IFERROR(BDP(A29&amp;" "&amp;PX_SRC&amp;" Curncy","PX_ASK"),"")</f>
        <v/>
      </c>
      <c r="G29" s="17">
        <f>IFERROR(BDP(A29&amp;" "&amp;PX_SRC&amp;" Curncy","PX_LAST"),"")</f>
        <v/>
      </c>
      <c r="H29" s="25">
        <f>IFERROR((E29+F29)/2,IFERROR(G29,""))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Curncy","PX_BID"),"")</f>
        <v/>
      </c>
      <c r="F30" s="17">
        <f>IFERROR(BDP(A30&amp;" "&amp;PX_SRC&amp;" Curncy","PX_ASK"),"")</f>
        <v/>
      </c>
      <c r="G30" s="17">
        <f>IFERROR(BDP(A30&amp;" "&amp;PX_SRC&amp;" Curncy","PX_LAST"),"")</f>
        <v/>
      </c>
      <c r="H30" s="25">
        <f>IFERROR((E30+F30)/2,IFERROR(G30,""))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Curncy","PX_BID"),"")</f>
        <v/>
      </c>
      <c r="F31" s="17">
        <f>IFERROR(BDP(A31&amp;" "&amp;PX_SRC&amp;" Curncy","PX_ASK"),"")</f>
        <v/>
      </c>
      <c r="G31" s="17">
        <f>IFERROR(BDP(A31&amp;" "&amp;PX_SRC&amp;" Curncy","PX_LAST"),"")</f>
        <v/>
      </c>
      <c r="H31" s="25">
        <f>IFERROR((E31+F31)/2,IFERROR(G31,""))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Curncy","PX_BID"),"")</f>
        <v/>
      </c>
      <c r="F32" s="17">
        <f>IFERROR(BDP(A32&amp;" "&amp;PX_SRC&amp;" Curncy","PX_ASK"),"")</f>
        <v/>
      </c>
      <c r="G32" s="17">
        <f>IFERROR(BDP(A32&amp;" "&amp;PX_SRC&amp;" Curncy","PX_LAST"),"")</f>
        <v/>
      </c>
      <c r="H32" s="25">
        <f>IFERROR((E32+F32)/2,IFERROR(G32,""))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Curncy","PX_BID"),"")</f>
        <v/>
      </c>
      <c r="F33" s="17">
        <f>IFERROR(BDP(A33&amp;" "&amp;PX_SRC&amp;" Curncy","PX_ASK"),"")</f>
        <v/>
      </c>
      <c r="G33" s="17">
        <f>IFERROR(BDP(A33&amp;" "&amp;PX_SRC&amp;" Curncy","PX_LAST"),"")</f>
        <v/>
      </c>
      <c r="H33" s="25">
        <f>IFERROR((E33+F33)/2,IFERROR(G33,""))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Curncy","PX_BID"),"")</f>
        <v/>
      </c>
      <c r="F34" s="17">
        <f>IFERROR(BDP(A34&amp;" "&amp;PX_SRC&amp;" Curncy","PX_ASK"),"")</f>
        <v/>
      </c>
      <c r="G34" s="17">
        <f>IFERROR(BDP(A34&amp;" "&amp;PX_SRC&amp;" Curncy","PX_LAST"),"")</f>
        <v/>
      </c>
      <c r="H34" s="25">
        <f>IFERROR((E34+F34)/2,IFERROR(G34,""))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Curncy","PX_BID"),"")</f>
        <v/>
      </c>
      <c r="F35" s="17">
        <f>IFERROR(BDP(A35&amp;" "&amp;PX_SRC&amp;" Curncy","PX_ASK"),"")</f>
        <v/>
      </c>
      <c r="G35" s="17">
        <f>IFERROR(BDP(A35&amp;" "&amp;PX_SRC&amp;" Curncy","PX_LAST"),"")</f>
        <v/>
      </c>
      <c r="H35" s="25">
        <f>IFERROR((E35+F35)/2,IFERROR(G35,""))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Curncy","PX_BID"),"")</f>
        <v/>
      </c>
      <c r="F36" s="17">
        <f>IFERROR(BDP(A36&amp;" "&amp;PX_SRC&amp;" Curncy","PX_ASK"),"")</f>
        <v/>
      </c>
      <c r="G36" s="17">
        <f>IFERROR(BDP(A36&amp;" "&amp;PX_SRC&amp;" Curncy","PX_LAST"),"")</f>
        <v/>
      </c>
      <c r="H36" s="25">
        <f>IFERROR((E36+F36)/2,IFERROR(G36,""))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 LONG (5Y–50Y): annual SOFR OIS swaps, DF = (1−S·A_prior)/(1+S·taucoupon), with the annuity (col I) built from the short + futures DFs. Cutovers at 1Y and 5Y mean nothing overlaps. Paste S490 zeros into column L for the Δz check.</t>
        </is>
      </c>
      <c r="O5" s="13" t="inlineStr">
        <is>
          <t>sigma (bp/yr):</t>
        </is>
      </c>
      <c r="P5" s="27" t="n">
        <v>100</v>
      </c>
      <c r="Q5" s="16" t="inlineStr">
        <is>
          <t>futures convexity CA = 0.5·sigma^2·t1·t2 (col T, bp)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 (post-1Y)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6" t="inlineStr">
        <is>
          <t>1W</t>
        </is>
      </c>
      <c r="B8" s="18">
        <f>$B$4+7</f>
        <v/>
      </c>
      <c r="C8" s="28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'SOFR_Futures'!H8</f>
        <v/>
      </c>
      <c r="R8" s="17">
        <f>MAX(0,(Q8-MAX(P8,$B$22))/360)</f>
        <v/>
      </c>
      <c r="S8" s="17">
        <f>'SOFR_Futures'!F7</f>
        <v/>
      </c>
      <c r="T8" s="28">
        <f>0.5*$P$5^2*((P8-$B$4)/365)*((Q8-$B$4)/365)/10000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6" t="inlineStr">
        <is>
          <t>2W</t>
        </is>
      </c>
      <c r="B9" s="18">
        <f>$B$4+14</f>
        <v/>
      </c>
      <c r="C9" s="28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'SOFR_Futures'!H9</f>
        <v/>
      </c>
      <c r="R9" s="17">
        <f>MAX(0,(Q9-MAX(P9,$B$22))/360)</f>
        <v/>
      </c>
      <c r="S9" s="17">
        <f>'SOFR_Futures'!F8</f>
        <v/>
      </c>
      <c r="T9" s="28">
        <f>0.5*$P$5^2*((P9-$B$4)/365)*((Q9-$B$4)/365)/10000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6" t="inlineStr">
        <is>
          <t>3W</t>
        </is>
      </c>
      <c r="B10" s="18">
        <f>$B$4+21</f>
        <v/>
      </c>
      <c r="C10" s="28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'SOFR_Futures'!H10</f>
        <v/>
      </c>
      <c r="R10" s="17">
        <f>MAX(0,(Q10-MAX(P10,$B$22))/360)</f>
        <v/>
      </c>
      <c r="S10" s="17">
        <f>'SOFR_Futures'!F9</f>
        <v/>
      </c>
      <c r="T10" s="28">
        <f>0.5*$P$5^2*((P10-$B$4)/365)*((Q10-$B$4)/365)/10000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6" t="inlineStr">
        <is>
          <t>1M</t>
        </is>
      </c>
      <c r="B11" s="18">
        <f>EDATE($B$4,1)</f>
        <v/>
      </c>
      <c r="C11" s="28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'SOFR_Futures'!H11</f>
        <v/>
      </c>
      <c r="R11" s="17">
        <f>MAX(0,(Q11-MAX(P11,$B$22))/360)</f>
        <v/>
      </c>
      <c r="S11" s="17">
        <f>'SOFR_Futures'!F10</f>
        <v/>
      </c>
      <c r="T11" s="28">
        <f>0.5*$P$5^2*((P11-$B$4)/365)*((Q11-$B$4)/365)/10000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6" t="inlineStr">
        <is>
          <t>2M</t>
        </is>
      </c>
      <c r="B12" s="18">
        <f>EDATE($B$4,2)</f>
        <v/>
      </c>
      <c r="C12" s="28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'SOFR_Futures'!H12</f>
        <v/>
      </c>
      <c r="R12" s="17">
        <f>MAX(0,(Q12-MAX(P12,$B$22))/360)</f>
        <v/>
      </c>
      <c r="S12" s="17">
        <f>'SOFR_Futures'!F11</f>
        <v/>
      </c>
      <c r="T12" s="28">
        <f>0.5*$P$5^2*((P12-$B$4)/365)*((Q12-$B$4)/365)/10000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6" t="inlineStr">
        <is>
          <t>3M</t>
        </is>
      </c>
      <c r="B13" s="18">
        <f>EDATE($B$4,3)</f>
        <v/>
      </c>
      <c r="C13" s="28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'SOFR_Futures'!H13</f>
        <v/>
      </c>
      <c r="R13" s="17">
        <f>MAX(0,(Q13-MAX(P13,$B$22))/360)</f>
        <v/>
      </c>
      <c r="S13" s="17">
        <f>'SOFR_Futures'!F12</f>
        <v/>
      </c>
      <c r="T13" s="28">
        <f>0.5*$P$5^2*((P13-$B$4)/365)*((Q13-$B$4)/365)/10000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6" t="inlineStr">
        <is>
          <t>4M</t>
        </is>
      </c>
      <c r="B14" s="18">
        <f>EDATE($B$4,4)</f>
        <v/>
      </c>
      <c r="C14" s="28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'SOFR_Futures'!H14</f>
        <v/>
      </c>
      <c r="R14" s="17">
        <f>MAX(0,(Q14-MAX(P14,$B$22))/360)</f>
        <v/>
      </c>
      <c r="S14" s="17">
        <f>'SOFR_Futures'!F13</f>
        <v/>
      </c>
      <c r="T14" s="28">
        <f>0.5*$P$5^2*((P14-$B$4)/365)*((Q14-$B$4)/365)/10000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6" t="inlineStr">
        <is>
          <t>5M</t>
        </is>
      </c>
      <c r="B15" s="18">
        <f>EDATE($B$4,5)</f>
        <v/>
      </c>
      <c r="C15" s="28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'SOFR_Futures'!H15</f>
        <v/>
      </c>
      <c r="R15" s="17">
        <f>MAX(0,(Q15-MAX(P15,$B$22))/360)</f>
        <v/>
      </c>
      <c r="S15" s="17">
        <f>'SOFR_Futures'!F14</f>
        <v/>
      </c>
      <c r="T15" s="28">
        <f>0.5*$P$5^2*((P15-$B$4)/365)*((Q15-$B$4)/365)/10000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6" t="inlineStr">
        <is>
          <t>6M</t>
        </is>
      </c>
      <c r="B16" s="18">
        <f>EDATE($B$4,6)</f>
        <v/>
      </c>
      <c r="C16" s="28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'SOFR_Futures'!H16</f>
        <v/>
      </c>
      <c r="R16" s="17">
        <f>MAX(0,(Q16-MAX(P16,$B$22))/360)</f>
        <v/>
      </c>
      <c r="S16" s="17">
        <f>'SOFR_Futures'!F15</f>
        <v/>
      </c>
      <c r="T16" s="28">
        <f>0.5*$P$5^2*((P16-$B$4)/365)*((Q16-$B$4)/365)/10000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6" t="inlineStr">
        <is>
          <t>7M</t>
        </is>
      </c>
      <c r="B17" s="18">
        <f>EDATE($B$4,7)</f>
        <v/>
      </c>
      <c r="C17" s="28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'SOFR_Futures'!H17</f>
        <v/>
      </c>
      <c r="R17" s="17">
        <f>MAX(0,(Q17-MAX(P17,$B$22))/360)</f>
        <v/>
      </c>
      <c r="S17" s="17">
        <f>'SOFR_Futures'!F16</f>
        <v/>
      </c>
      <c r="T17" s="28">
        <f>0.5*$P$5^2*((P17-$B$4)/365)*((Q17-$B$4)/365)/10000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6" t="inlineStr">
        <is>
          <t>8M</t>
        </is>
      </c>
      <c r="B18" s="18">
        <f>EDATE($B$4,8)</f>
        <v/>
      </c>
      <c r="C18" s="28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'SOFR_Futures'!H18</f>
        <v/>
      </c>
      <c r="R18" s="17">
        <f>MAX(0,(Q18-MAX(P18,$B$22))/360)</f>
        <v/>
      </c>
      <c r="S18" s="17">
        <f>'SOFR_Futures'!F17</f>
        <v/>
      </c>
      <c r="T18" s="28">
        <f>0.5*$P$5^2*((P18-$B$4)/365)*((Q18-$B$4)/365)/10000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6" t="inlineStr">
        <is>
          <t>9M</t>
        </is>
      </c>
      <c r="B19" s="18">
        <f>EDATE($B$4,9)</f>
        <v/>
      </c>
      <c r="C19" s="28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'SOFR_Futures'!H19</f>
        <v/>
      </c>
      <c r="R19" s="17">
        <f>MAX(0,(Q19-MAX(P19,$B$22))/360)</f>
        <v/>
      </c>
      <c r="S19" s="17">
        <f>'SOFR_Futures'!F18</f>
        <v/>
      </c>
      <c r="T19" s="28">
        <f>0.5*$P$5^2*((P19-$B$4)/365)*((Q19-$B$4)/365)/10000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6" t="inlineStr">
        <is>
          <t>10M</t>
        </is>
      </c>
      <c r="B20" s="18">
        <f>EDATE($B$4,10)</f>
        <v/>
      </c>
      <c r="C20" s="28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'SOFR_Futures'!H20</f>
        <v/>
      </c>
      <c r="R20" s="17">
        <f>MAX(0,(Q20-MAX(P20,$B$22))/360)</f>
        <v/>
      </c>
      <c r="S20" s="17">
        <f>'SOFR_Futures'!F19</f>
        <v/>
      </c>
      <c r="T20" s="28">
        <f>0.5*$P$5^2*((P20-$B$4)/365)*((Q20-$B$4)/365)/10000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6" t="inlineStr">
        <is>
          <t>11M</t>
        </is>
      </c>
      <c r="B21" s="18">
        <f>EDATE($B$4,11)</f>
        <v/>
      </c>
      <c r="C21" s="28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'SOFR_Futures'!H21</f>
        <v/>
      </c>
      <c r="R21" s="17">
        <f>MAX(0,(Q21-MAX(P21,$B$22))/360)</f>
        <v/>
      </c>
      <c r="S21" s="17">
        <f>'SOFR_Futures'!F20</f>
        <v/>
      </c>
      <c r="T21" s="28">
        <f>0.5*$P$5^2*((P21-$B$4)/365)*((Q21-$B$4)/365)/10000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6" t="inlineStr">
        <is>
          <t>1Y</t>
        </is>
      </c>
      <c r="B22" s="18">
        <f>EDATE($B$4,12)</f>
        <v/>
      </c>
      <c r="C22" s="28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'SOFR_Futures'!H22</f>
        <v/>
      </c>
      <c r="R22" s="17">
        <f>MAX(0,(Q22-MAX(P22,$B$22))/360)</f>
        <v/>
      </c>
      <c r="S22" s="17">
        <f>'SOFR_Futures'!F21</f>
        <v/>
      </c>
      <c r="T22" s="28">
        <f>0.5*$P$5^2*((P22-$B$4)/365)*((Q22-$B$4)/365)/10000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6" t="inlineStr">
        <is>
          <t>18M</t>
        </is>
      </c>
      <c r="B23" s="18">
        <f>EDATE($B$4,18)</f>
        <v/>
      </c>
      <c r="C23" s="28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'SOFR_Futures'!H23</f>
        <v/>
      </c>
      <c r="R23" s="17">
        <f>MAX(0,(Q23-MAX(P23,$B$22))/360)</f>
        <v/>
      </c>
      <c r="S23" s="17">
        <f>'SOFR_Futures'!F22</f>
        <v/>
      </c>
      <c r="T23" s="28">
        <f>0.5*$P$5^2*((P23-$B$4)/365)*((Q23-$B$4)/365)/10000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6" t="inlineStr">
        <is>
          <t>2Y</t>
        </is>
      </c>
      <c r="B24" s="18">
        <f>EDATE($B$4,24)</f>
        <v/>
      </c>
      <c r="C24" s="28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'SOFR_Futures'!H24</f>
        <v/>
      </c>
      <c r="R24" s="17">
        <f>MAX(0,(Q24-MAX(P24,$B$22))/360)</f>
        <v/>
      </c>
      <c r="S24" s="17">
        <f>'SOFR_Futures'!F23</f>
        <v/>
      </c>
      <c r="T24" s="28">
        <f>0.5*$P$5^2*((P24-$B$4)/365)*((Q24-$B$4)/365)/10000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6" t="inlineStr">
        <is>
          <t>3Y</t>
        </is>
      </c>
      <c r="B25" s="18">
        <f>EDATE($B$4,36)</f>
        <v/>
      </c>
      <c r="C25" s="28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'SOFR_Futures'!H25</f>
        <v/>
      </c>
      <c r="R25" s="17">
        <f>MAX(0,(Q25-MAX(P25,$B$22))/360)</f>
        <v/>
      </c>
      <c r="S25" s="17">
        <f>'SOFR_Futures'!F24</f>
        <v/>
      </c>
      <c r="T25" s="28">
        <f>0.5*$P$5^2*((P25-$B$4)/365)*((Q25-$B$4)/365)/10000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6" t="inlineStr">
        <is>
          <t>4Y</t>
        </is>
      </c>
      <c r="B26" s="18">
        <f>EDATE($B$4,48)</f>
        <v/>
      </c>
      <c r="C26" s="28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'SOFR_Futures'!H26</f>
        <v/>
      </c>
      <c r="R26" s="17">
        <f>MAX(0,(Q26-MAX(P26,$B$22))/360)</f>
        <v/>
      </c>
      <c r="S26" s="17">
        <f>'SOFR_Futures'!F25</f>
        <v/>
      </c>
      <c r="T26" s="28">
        <f>0.5*$P$5^2*((P26-$B$4)/365)*((Q26-$B$4)/365)/10000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6" t="inlineStr">
        <is>
          <t>5Y</t>
        </is>
      </c>
      <c r="B27" s="18">
        <f>EDATE($B$4,60)</f>
        <v/>
      </c>
      <c r="C27" s="28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MAX(0,(Q27-MAX(P27,$B$22))/360)</f>
        <v/>
      </c>
      <c r="S27" s="17">
        <f>'SOFR_Futures'!F26</f>
        <v/>
      </c>
      <c r="T27" s="28">
        <f>0.5*$P$5^2*((P27-$B$4)/365)*((Q27-$B$4)/365)/10000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6" t="inlineStr">
        <is>
          <t>6Y</t>
        </is>
      </c>
      <c r="B28" s="18">
        <f>EDATE($B$4,72)</f>
        <v/>
      </c>
      <c r="C28" s="28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6" t="inlineStr">
        <is>
          <t>7Y</t>
        </is>
      </c>
      <c r="B29" s="18">
        <f>EDATE($B$4,84)</f>
        <v/>
      </c>
      <c r="C29" s="28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z=−ln(DF)/T; DF source is in col N. Futures→forward convexity (chain col T) = 0.5·sigma^2·t1·t2, driven by the yellow sigma (bp/yr) input above the chain — raise it and the futures pull below the OIS levels. Paste S490 zeros into column L for the Δz check; the Swap_Pricer values any OIS off this curve.</t>
        </is>
      </c>
    </row>
    <row r="42"/>
  </sheetData>
  <mergeCells count="5">
    <mergeCell ref="O6:W6"/>
    <mergeCell ref="Y6:Z6"/>
    <mergeCell ref="A41:N42"/>
    <mergeCell ref="A5:N6"/>
    <mergeCell ref="Q5:W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34">
        <f>VAL_DATE</f>
        <v/>
      </c>
      <c r="C7" s="13" t="inlineStr">
        <is>
          <t>Spot:</t>
        </is>
      </c>
      <c r="D7" s="34">
        <f>Bootstrap!$B$4</f>
        <v/>
      </c>
      <c r="E7" s="13" t="inlineStr">
        <is>
          <t>1st CDS date:</t>
        </is>
      </c>
      <c r="F7" s="34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3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3">
        <f>Bootstrap!H8</f>
        <v/>
      </c>
    </row>
    <row r="10">
      <c r="A10" s="35" t="n">
        <v>1</v>
      </c>
      <c r="B10" s="18">
        <f>EDATE($F$7,3*0)</f>
        <v/>
      </c>
      <c r="C10" s="28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3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3">
        <f>Bootstrap!H9</f>
        <v/>
      </c>
    </row>
    <row r="11">
      <c r="A11" s="35" t="n">
        <v>2</v>
      </c>
      <c r="B11" s="18">
        <f>EDATE($F$7,3*1)</f>
        <v/>
      </c>
      <c r="C11" s="28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3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3">
        <f>Bootstrap!H10</f>
        <v/>
      </c>
    </row>
    <row r="12">
      <c r="A12" s="35" t="n">
        <v>3</v>
      </c>
      <c r="B12" s="18">
        <f>EDATE($F$7,3*2)</f>
        <v/>
      </c>
      <c r="C12" s="28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3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3">
        <f>Bootstrap!H11</f>
        <v/>
      </c>
    </row>
    <row r="13">
      <c r="A13" s="35" t="n">
        <v>4</v>
      </c>
      <c r="B13" s="18">
        <f>EDATE($F$7,3*3)</f>
        <v/>
      </c>
      <c r="C13" s="28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3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3">
        <f>Bootstrap!H12</f>
        <v/>
      </c>
    </row>
    <row r="14">
      <c r="A14" s="35" t="n">
        <v>5</v>
      </c>
      <c r="B14" s="18">
        <f>EDATE($F$7,3*4)</f>
        <v/>
      </c>
      <c r="C14" s="28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3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3">
        <f>Bootstrap!H13</f>
        <v/>
      </c>
    </row>
    <row r="15">
      <c r="A15" s="35" t="n">
        <v>6</v>
      </c>
      <c r="B15" s="18">
        <f>EDATE($F$7,3*5)</f>
        <v/>
      </c>
      <c r="C15" s="28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3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3">
        <f>Bootstrap!H14</f>
        <v/>
      </c>
    </row>
    <row r="16">
      <c r="A16" s="35" t="n">
        <v>7</v>
      </c>
      <c r="B16" s="18">
        <f>EDATE($F$7,3*6)</f>
        <v/>
      </c>
      <c r="C16" s="28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3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3">
        <f>Bootstrap!H15</f>
        <v/>
      </c>
    </row>
    <row r="17">
      <c r="A17" s="35" t="n">
        <v>8</v>
      </c>
      <c r="B17" s="18">
        <f>EDATE($F$7,3*7)</f>
        <v/>
      </c>
      <c r="C17" s="28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3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3">
        <f>Bootstrap!H16</f>
        <v/>
      </c>
    </row>
    <row r="18">
      <c r="A18" s="35" t="n">
        <v>9</v>
      </c>
      <c r="B18" s="18">
        <f>EDATE($F$7,3*8)</f>
        <v/>
      </c>
      <c r="C18" s="28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3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3">
        <f>Bootstrap!H17</f>
        <v/>
      </c>
    </row>
    <row r="19">
      <c r="A19" s="35" t="n">
        <v>10</v>
      </c>
      <c r="B19" s="18">
        <f>EDATE($F$7,3*9)</f>
        <v/>
      </c>
      <c r="C19" s="28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3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3">
        <f>Bootstrap!H18</f>
        <v/>
      </c>
    </row>
    <row r="20">
      <c r="A20" s="35" t="n">
        <v>11</v>
      </c>
      <c r="B20" s="18">
        <f>EDATE($F$7,3*10)</f>
        <v/>
      </c>
      <c r="C20" s="28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3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3">
        <f>Bootstrap!H19</f>
        <v/>
      </c>
    </row>
    <row r="21">
      <c r="A21" s="35" t="n">
        <v>12</v>
      </c>
      <c r="B21" s="18">
        <f>EDATE($F$7,3*11)</f>
        <v/>
      </c>
      <c r="C21" s="28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3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3">
        <f>Bootstrap!H20</f>
        <v/>
      </c>
    </row>
    <row r="22">
      <c r="A22" s="35" t="n">
        <v>13</v>
      </c>
      <c r="B22" s="18">
        <f>EDATE($F$7,3*12)</f>
        <v/>
      </c>
      <c r="C22" s="28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3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3">
        <f>Bootstrap!H21</f>
        <v/>
      </c>
    </row>
    <row r="23">
      <c r="A23" s="35" t="n">
        <v>14</v>
      </c>
      <c r="B23" s="18">
        <f>EDATE($F$7,3*13)</f>
        <v/>
      </c>
      <c r="C23" s="28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3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3">
        <f>Bootstrap!H22</f>
        <v/>
      </c>
    </row>
    <row r="24">
      <c r="A24" s="35" t="n">
        <v>15</v>
      </c>
      <c r="B24" s="18">
        <f>EDATE($F$7,3*14)</f>
        <v/>
      </c>
      <c r="C24" s="28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3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3">
        <f>Bootstrap!H23</f>
        <v/>
      </c>
    </row>
    <row r="25">
      <c r="A25" s="35" t="n">
        <v>16</v>
      </c>
      <c r="B25" s="18">
        <f>EDATE($F$7,3*15)</f>
        <v/>
      </c>
      <c r="C25" s="28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3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3">
        <f>Bootstrap!H24</f>
        <v/>
      </c>
    </row>
    <row r="26">
      <c r="A26" s="35" t="n">
        <v>17</v>
      </c>
      <c r="B26" s="18">
        <f>EDATE($F$7,3*16)</f>
        <v/>
      </c>
      <c r="C26" s="28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3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3">
        <f>Bootstrap!H25</f>
        <v/>
      </c>
    </row>
    <row r="27">
      <c r="A27" s="35" t="n">
        <v>18</v>
      </c>
      <c r="B27" s="18">
        <f>EDATE($F$7,3*17)</f>
        <v/>
      </c>
      <c r="C27" s="28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3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3">
        <f>Bootstrap!H26</f>
        <v/>
      </c>
    </row>
    <row r="28">
      <c r="A28" s="35" t="n">
        <v>19</v>
      </c>
      <c r="B28" s="18">
        <f>EDATE($F$7,3*18)</f>
        <v/>
      </c>
      <c r="C28" s="28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3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3">
        <f>Bootstrap!H27</f>
        <v/>
      </c>
    </row>
    <row r="29">
      <c r="A29" s="35" t="n">
        <v>20</v>
      </c>
      <c r="B29" s="18">
        <f>EDATE($F$7,3*19)</f>
        <v/>
      </c>
      <c r="C29" s="28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3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3">
        <f>Bootstrap!H28</f>
        <v/>
      </c>
    </row>
    <row r="30">
      <c r="A30" s="35" t="n">
        <v>21</v>
      </c>
      <c r="B30" s="18">
        <f>EDATE($F$7,3*20)</f>
        <v/>
      </c>
      <c r="C30" s="28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3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3">
        <f>Bootstrap!H29</f>
        <v/>
      </c>
    </row>
    <row r="31">
      <c r="A31" s="35" t="n">
        <v>22</v>
      </c>
      <c r="B31" s="18">
        <f>EDATE($F$7,3*21)</f>
        <v/>
      </c>
      <c r="C31" s="28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3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3">
        <f>Bootstrap!H30</f>
        <v/>
      </c>
    </row>
    <row r="32">
      <c r="A32" s="35" t="n">
        <v>23</v>
      </c>
      <c r="B32" s="18">
        <f>EDATE($F$7,3*22)</f>
        <v/>
      </c>
      <c r="C32" s="28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3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3">
        <f>Bootstrap!H31</f>
        <v/>
      </c>
    </row>
    <row r="33">
      <c r="A33" s="35" t="n">
        <v>24</v>
      </c>
      <c r="B33" s="18">
        <f>EDATE($F$7,3*23)</f>
        <v/>
      </c>
      <c r="C33" s="28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3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3">
        <f>Bootstrap!H32</f>
        <v/>
      </c>
    </row>
    <row r="34">
      <c r="A34" s="35" t="n">
        <v>25</v>
      </c>
      <c r="B34" s="18">
        <f>EDATE($F$7,3*24)</f>
        <v/>
      </c>
      <c r="C34" s="28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3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3">
        <f>Bootstrap!H33</f>
        <v/>
      </c>
    </row>
    <row r="35">
      <c r="A35" s="35" t="n">
        <v>26</v>
      </c>
      <c r="B35" s="18">
        <f>EDATE($F$7,3*25)</f>
        <v/>
      </c>
      <c r="C35" s="28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3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3">
        <f>Bootstrap!H34</f>
        <v/>
      </c>
    </row>
    <row r="36">
      <c r="A36" s="35" t="n">
        <v>27</v>
      </c>
      <c r="B36" s="18">
        <f>EDATE($F$7,3*26)</f>
        <v/>
      </c>
      <c r="C36" s="28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3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3">
        <f>Bootstrap!H35</f>
        <v/>
      </c>
    </row>
    <row r="37">
      <c r="A37" s="35" t="n">
        <v>28</v>
      </c>
      <c r="B37" s="18">
        <f>EDATE($F$7,3*27)</f>
        <v/>
      </c>
      <c r="C37" s="28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3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3">
        <f>Bootstrap!H36</f>
        <v/>
      </c>
    </row>
    <row r="38">
      <c r="A38" s="35" t="n">
        <v>29</v>
      </c>
      <c r="B38" s="18">
        <f>EDATE($F$7,3*28)</f>
        <v/>
      </c>
      <c r="C38" s="28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3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3">
        <f>Bootstrap!H37</f>
        <v/>
      </c>
    </row>
    <row r="39">
      <c r="A39" s="35" t="n">
        <v>30</v>
      </c>
      <c r="B39" s="18">
        <f>EDATE($F$7,3*29)</f>
        <v/>
      </c>
      <c r="C39" s="28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3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3">
        <f>Bootstrap!H38</f>
        <v/>
      </c>
    </row>
    <row r="40">
      <c r="A40" s="35" t="n">
        <v>31</v>
      </c>
      <c r="B40" s="18">
        <f>EDATE($F$7,3*30)</f>
        <v/>
      </c>
      <c r="C40" s="28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3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3">
        <f>Bootstrap!H39</f>
        <v/>
      </c>
    </row>
    <row r="41">
      <c r="A41" s="35" t="n">
        <v>32</v>
      </c>
      <c r="B41" s="18">
        <f>EDATE($F$7,3*31)</f>
        <v/>
      </c>
      <c r="C41" s="28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3">
        <f>INDEX($L$8:$L$40,MATCH(B41,$K$8:$K$40,1))*EXP(-(F41/100)*(B41-D41)/365)</f>
        <v/>
      </c>
      <c r="H41" s="17">
        <f>-LN(G41)/C41*100</f>
        <v/>
      </c>
    </row>
    <row r="42">
      <c r="A42" s="35" t="n">
        <v>33</v>
      </c>
      <c r="B42" s="18">
        <f>EDATE($F$7,3*32)</f>
        <v/>
      </c>
      <c r="C42" s="28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3">
        <f>INDEX($L$8:$L$40,MATCH(B42,$K$8:$K$40,1))*EXP(-(F42/100)*(B42-D42)/365)</f>
        <v/>
      </c>
      <c r="H42" s="17">
        <f>-LN(G42)/C42*100</f>
        <v/>
      </c>
    </row>
    <row r="43">
      <c r="A43" s="35" t="n">
        <v>34</v>
      </c>
      <c r="B43" s="18">
        <f>EDATE($F$7,3*33)</f>
        <v/>
      </c>
      <c r="C43" s="28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3">
        <f>INDEX($L$8:$L$40,MATCH(B43,$K$8:$K$40,1))*EXP(-(F43/100)*(B43-D43)/365)</f>
        <v/>
      </c>
      <c r="H43" s="17">
        <f>-LN(G43)/C43*100</f>
        <v/>
      </c>
    </row>
    <row r="44">
      <c r="A44" s="35" t="n">
        <v>35</v>
      </c>
      <c r="B44" s="18">
        <f>EDATE($F$7,3*34)</f>
        <v/>
      </c>
      <c r="C44" s="28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3">
        <f>INDEX($L$8:$L$40,MATCH(B44,$K$8:$K$40,1))*EXP(-(F44/100)*(B44-D44)/365)</f>
        <v/>
      </c>
      <c r="H44" s="17">
        <f>-LN(G44)/C44*100</f>
        <v/>
      </c>
    </row>
    <row r="45">
      <c r="A45" s="35" t="n">
        <v>36</v>
      </c>
      <c r="B45" s="18">
        <f>EDATE($F$7,3*35)</f>
        <v/>
      </c>
      <c r="C45" s="28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3">
        <f>INDEX($L$8:$L$40,MATCH(B45,$K$8:$K$40,1))*EXP(-(F45/100)*(B45-D45)/365)</f>
        <v/>
      </c>
      <c r="H45" s="17">
        <f>-LN(G45)/C45*100</f>
        <v/>
      </c>
    </row>
    <row r="46">
      <c r="A46" s="35" t="n">
        <v>37</v>
      </c>
      <c r="B46" s="18">
        <f>EDATE($F$7,3*36)</f>
        <v/>
      </c>
      <c r="C46" s="28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3">
        <f>INDEX($L$8:$L$40,MATCH(B46,$K$8:$K$40,1))*EXP(-(F46/100)*(B46-D46)/365)</f>
        <v/>
      </c>
      <c r="H46" s="17">
        <f>-LN(G46)/C46*100</f>
        <v/>
      </c>
    </row>
    <row r="47">
      <c r="A47" s="35" t="n">
        <v>38</v>
      </c>
      <c r="B47" s="18">
        <f>EDATE($F$7,3*37)</f>
        <v/>
      </c>
      <c r="C47" s="28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3">
        <f>INDEX($L$8:$L$40,MATCH(B47,$K$8:$K$40,1))*EXP(-(F47/100)*(B47-D47)/365)</f>
        <v/>
      </c>
      <c r="H47" s="17">
        <f>-LN(G47)/C47*100</f>
        <v/>
      </c>
    </row>
    <row r="48">
      <c r="A48" s="35" t="n">
        <v>39</v>
      </c>
      <c r="B48" s="18">
        <f>EDATE($F$7,3*38)</f>
        <v/>
      </c>
      <c r="C48" s="28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3">
        <f>INDEX($L$8:$L$40,MATCH(B48,$K$8:$K$40,1))*EXP(-(F48/100)*(B48-D48)/365)</f>
        <v/>
      </c>
      <c r="H48" s="17">
        <f>-LN(G48)/C48*100</f>
        <v/>
      </c>
    </row>
    <row r="49">
      <c r="A49" s="35" t="n">
        <v>40</v>
      </c>
      <c r="B49" s="18">
        <f>EDATE($F$7,3*39)</f>
        <v/>
      </c>
      <c r="C49" s="28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3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6" t="inlineStr">
        <is>
          <t>Receive fixed</t>
        </is>
      </c>
      <c r="C5" s="37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8" t="n">
        <v>10000000</v>
      </c>
      <c r="C6" s="37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9">
        <f>Bootstrap!$B$4</f>
        <v/>
      </c>
      <c r="C8" s="37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40" t="n">
        <v>1</v>
      </c>
      <c r="C9" s="37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7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41">
        <f>B25</f>
        <v/>
      </c>
      <c r="C11" s="37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7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35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7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7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2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2">
        <f>B6*(B19-B20)</f>
        <v/>
      </c>
      <c r="C23" s="37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2">
        <f>B6*B20</f>
        <v/>
      </c>
      <c r="C24" s="37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7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2">
        <f>B16*(B22+B24)</f>
        <v/>
      </c>
      <c r="C26" s="37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2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3">
        <f>B26+B27</f>
        <v/>
      </c>
      <c r="C28" s="37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2">
        <f>B6*B21*0.0001</f>
        <v/>
      </c>
      <c r="C29" s="37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2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35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2">
        <f>IF(A36&lt;=$B$9,$B$6*$B$11/100*D36,"")</f>
        <v/>
      </c>
      <c r="G36" s="42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35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2">
        <f>IF(A37&lt;=$B$9,$B$6*$B$11/100*D37,"")</f>
        <v/>
      </c>
      <c r="G37" s="42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35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2">
        <f>IF(A38&lt;=$B$9,$B$6*$B$11/100*D38,"")</f>
        <v/>
      </c>
      <c r="G38" s="42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35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2">
        <f>IF(A39&lt;=$B$9,$B$6*$B$11/100*D39,"")</f>
        <v/>
      </c>
      <c r="G39" s="42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35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2">
        <f>IF(A40&lt;=$B$9,$B$6*$B$11/100*D40,"")</f>
        <v/>
      </c>
      <c r="G40" s="42">
        <f>IF(A40&lt;=$B$9,F40*E40,"")</f>
        <v/>
      </c>
      <c r="H40" s="32">
        <f>IF(A40&lt;=$B$9,D40*E40,"")</f>
        <v/>
      </c>
    </row>
    <row r="41">
      <c r="A41" s="35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2">
        <f>IF(A41&lt;=$B$9,$B$6*$B$11/100*D41,"")</f>
        <v/>
      </c>
      <c r="G41" s="42">
        <f>IF(A41&lt;=$B$9,F41*E41,"")</f>
        <v/>
      </c>
      <c r="H41" s="32">
        <f>IF(A41&lt;=$B$9,D41*E41,"")</f>
        <v/>
      </c>
    </row>
    <row r="42">
      <c r="A42" s="35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2">
        <f>IF(A42&lt;=$B$9,$B$6*$B$11/100*D42,"")</f>
        <v/>
      </c>
      <c r="G42" s="42">
        <f>IF(A42&lt;=$B$9,F42*E42,"")</f>
        <v/>
      </c>
      <c r="H42" s="32">
        <f>IF(A42&lt;=$B$9,D42*E42,"")</f>
        <v/>
      </c>
    </row>
    <row r="43">
      <c r="A43" s="35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2">
        <f>IF(A43&lt;=$B$9,$B$6*$B$11/100*D43,"")</f>
        <v/>
      </c>
      <c r="G43" s="42">
        <f>IF(A43&lt;=$B$9,F43*E43,"")</f>
        <v/>
      </c>
      <c r="H43" s="32">
        <f>IF(A43&lt;=$B$9,D43*E43,"")</f>
        <v/>
      </c>
    </row>
    <row r="44">
      <c r="A44" s="35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2">
        <f>IF(A44&lt;=$B$9,$B$6*$B$11/100*D44,"")</f>
        <v/>
      </c>
      <c r="G44" s="42">
        <f>IF(A44&lt;=$B$9,F44*E44,"")</f>
        <v/>
      </c>
      <c r="H44" s="32">
        <f>IF(A44&lt;=$B$9,D44*E44,"")</f>
        <v/>
      </c>
    </row>
    <row r="45">
      <c r="A45" s="35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2">
        <f>IF(A45&lt;=$B$9,$B$6*$B$11/100*D45,"")</f>
        <v/>
      </c>
      <c r="G45" s="42">
        <f>IF(A45&lt;=$B$9,F45*E45,"")</f>
        <v/>
      </c>
      <c r="H45" s="32">
        <f>IF(A45&lt;=$B$9,D45*E45,"")</f>
        <v/>
      </c>
    </row>
    <row r="46">
      <c r="A46" s="35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2">
        <f>IF(A46&lt;=$B$9,$B$6*$B$11/100*D46,"")</f>
        <v/>
      </c>
      <c r="G46" s="42">
        <f>IF(A46&lt;=$B$9,F46*E46,"")</f>
        <v/>
      </c>
      <c r="H46" s="32">
        <f>IF(A46&lt;=$B$9,D46*E46,"")</f>
        <v/>
      </c>
    </row>
    <row r="47">
      <c r="A47" s="35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2">
        <f>IF(A47&lt;=$B$9,$B$6*$B$11/100*D47,"")</f>
        <v/>
      </c>
      <c r="G47" s="42">
        <f>IF(A47&lt;=$B$9,F47*E47,"")</f>
        <v/>
      </c>
      <c r="H47" s="32">
        <f>IF(A47&lt;=$B$9,D47*E47,"")</f>
        <v/>
      </c>
    </row>
    <row r="48">
      <c r="A48" s="35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2">
        <f>IF(A48&lt;=$B$9,$B$6*$B$11/100*D48,"")</f>
        <v/>
      </c>
      <c r="G48" s="42">
        <f>IF(A48&lt;=$B$9,F48*E48,"")</f>
        <v/>
      </c>
      <c r="H48" s="32">
        <f>IF(A48&lt;=$B$9,D48*E48,"")</f>
        <v/>
      </c>
    </row>
    <row r="49">
      <c r="A49" s="35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2">
        <f>IF(A49&lt;=$B$9,$B$6*$B$11/100*D49,"")</f>
        <v/>
      </c>
      <c r="G49" s="42">
        <f>IF(A49&lt;=$B$9,F49*E49,"")</f>
        <v/>
      </c>
      <c r="H49" s="32">
        <f>IF(A49&lt;=$B$9,D49*E49,"")</f>
        <v/>
      </c>
    </row>
    <row r="50">
      <c r="A50" s="35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2">
        <f>IF(A50&lt;=$B$9,$B$6*$B$11/100*D50,"")</f>
        <v/>
      </c>
      <c r="G50" s="42">
        <f>IF(A50&lt;=$B$9,F50*E50,"")</f>
        <v/>
      </c>
      <c r="H50" s="32">
        <f>IF(A50&lt;=$B$9,D50*E50,"")</f>
        <v/>
      </c>
    </row>
    <row r="51">
      <c r="A51" s="35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2">
        <f>IF(A51&lt;=$B$9,$B$6*$B$11/100*D51,"")</f>
        <v/>
      </c>
      <c r="G51" s="42">
        <f>IF(A51&lt;=$B$9,F51*E51,"")</f>
        <v/>
      </c>
      <c r="H51" s="32">
        <f>IF(A51&lt;=$B$9,D51*E51,"")</f>
        <v/>
      </c>
    </row>
    <row r="52">
      <c r="A52" s="35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2">
        <f>IF(A52&lt;=$B$9,$B$6*$B$11/100*D52,"")</f>
        <v/>
      </c>
      <c r="G52" s="42">
        <f>IF(A52&lt;=$B$9,F52*E52,"")</f>
        <v/>
      </c>
      <c r="H52" s="32">
        <f>IF(A52&lt;=$B$9,D52*E52,"")</f>
        <v/>
      </c>
    </row>
    <row r="53">
      <c r="A53" s="35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2">
        <f>IF(A53&lt;=$B$9,$B$6*$B$11/100*D53,"")</f>
        <v/>
      </c>
      <c r="G53" s="42">
        <f>IF(A53&lt;=$B$9,F53*E53,"")</f>
        <v/>
      </c>
      <c r="H53" s="32">
        <f>IF(A53&lt;=$B$9,D53*E53,"")</f>
        <v/>
      </c>
    </row>
    <row r="54">
      <c r="A54" s="35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2">
        <f>IF(A54&lt;=$B$9,$B$6*$B$11/100*D54,"")</f>
        <v/>
      </c>
      <c r="G54" s="42">
        <f>IF(A54&lt;=$B$9,F54*E54,"")</f>
        <v/>
      </c>
      <c r="H54" s="32">
        <f>IF(A54&lt;=$B$9,D54*E54,"")</f>
        <v/>
      </c>
    </row>
    <row r="55">
      <c r="A55" s="35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2">
        <f>IF(A55&lt;=$B$9,$B$6*$B$11/100*D55,"")</f>
        <v/>
      </c>
      <c r="G55" s="42">
        <f>IF(A55&lt;=$B$9,F55*E55,"")</f>
        <v/>
      </c>
      <c r="H55" s="32">
        <f>IF(A55&lt;=$B$9,D55*E55,"")</f>
        <v/>
      </c>
    </row>
    <row r="56">
      <c r="A56" s="35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2">
        <f>IF(A56&lt;=$B$9,$B$6*$B$11/100*D56,"")</f>
        <v/>
      </c>
      <c r="G56" s="42">
        <f>IF(A56&lt;=$B$9,F56*E56,"")</f>
        <v/>
      </c>
      <c r="H56" s="32">
        <f>IF(A56&lt;=$B$9,D56*E56,"")</f>
        <v/>
      </c>
    </row>
    <row r="57">
      <c r="A57" s="35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2">
        <f>IF(A57&lt;=$B$9,$B$6*$B$11/100*D57,"")</f>
        <v/>
      </c>
      <c r="G57" s="42">
        <f>IF(A57&lt;=$B$9,F57*E57,"")</f>
        <v/>
      </c>
      <c r="H57" s="32">
        <f>IF(A57&lt;=$B$9,D57*E57,"")</f>
        <v/>
      </c>
    </row>
    <row r="58">
      <c r="A58" s="35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2">
        <f>IF(A58&lt;=$B$9,$B$6*$B$11/100*D58,"")</f>
        <v/>
      </c>
      <c r="G58" s="42">
        <f>IF(A58&lt;=$B$9,F58*E58,"")</f>
        <v/>
      </c>
      <c r="H58" s="32">
        <f>IF(A58&lt;=$B$9,D58*E58,"")</f>
        <v/>
      </c>
    </row>
    <row r="59">
      <c r="A59" s="35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2">
        <f>IF(A59&lt;=$B$9,$B$6*$B$11/100*D59,"")</f>
        <v/>
      </c>
      <c r="G59" s="42">
        <f>IF(A59&lt;=$B$9,F59*E59,"")</f>
        <v/>
      </c>
      <c r="H59" s="32">
        <f>IF(A59&lt;=$B$9,D59*E59,"")</f>
        <v/>
      </c>
    </row>
    <row r="60">
      <c r="A60" s="35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2">
        <f>IF(A60&lt;=$B$9,$B$6*$B$11/100*D60,"")</f>
        <v/>
      </c>
      <c r="G60" s="42">
        <f>IF(A60&lt;=$B$9,F60*E60,"")</f>
        <v/>
      </c>
      <c r="H60" s="32">
        <f>IF(A60&lt;=$B$9,D60*E60,"")</f>
        <v/>
      </c>
    </row>
    <row r="61">
      <c r="A61" s="35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2">
        <f>IF(A61&lt;=$B$9,$B$6*$B$11/100*D61,"")</f>
        <v/>
      </c>
      <c r="G61" s="42">
        <f>IF(A61&lt;=$B$9,F61*E61,"")</f>
        <v/>
      </c>
      <c r="H61" s="32">
        <f>IF(A61&lt;=$B$9,D61*E61,"")</f>
        <v/>
      </c>
    </row>
    <row r="62">
      <c r="A62" s="35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2">
        <f>IF(A62&lt;=$B$9,$B$6*$B$11/100*D62,"")</f>
        <v/>
      </c>
      <c r="G62" s="42">
        <f>IF(A62&lt;=$B$9,F62*E62,"")</f>
        <v/>
      </c>
      <c r="H62" s="32">
        <f>IF(A62&lt;=$B$9,D62*E62,"")</f>
        <v/>
      </c>
    </row>
    <row r="63">
      <c r="A63" s="35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2">
        <f>IF(A63&lt;=$B$9,$B$6*$B$11/100*D63,"")</f>
        <v/>
      </c>
      <c r="G63" s="42">
        <f>IF(A63&lt;=$B$9,F63*E63,"")</f>
        <v/>
      </c>
      <c r="H63" s="32">
        <f>IF(A63&lt;=$B$9,D63*E63,"")</f>
        <v/>
      </c>
    </row>
    <row r="64">
      <c r="A64" s="35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2">
        <f>IF(A64&lt;=$B$9,$B$6*$B$11/100*D64,"")</f>
        <v/>
      </c>
      <c r="G64" s="42">
        <f>IF(A64&lt;=$B$9,F64*E64,"")</f>
        <v/>
      </c>
      <c r="H64" s="32">
        <f>IF(A64&lt;=$B$9,D64*E64,"")</f>
        <v/>
      </c>
    </row>
    <row r="65">
      <c r="A65" s="35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2">
        <f>IF(A65&lt;=$B$9,$B$6*$B$11/100*D65,"")</f>
        <v/>
      </c>
      <c r="G65" s="42">
        <f>IF(A65&lt;=$B$9,F65*E65,"")</f>
        <v/>
      </c>
      <c r="H65" s="32">
        <f>IF(A65&lt;=$B$9,D65*E65,"")</f>
        <v/>
      </c>
    </row>
    <row r="66">
      <c r="A66" s="35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2">
        <f>IF(A66&lt;=$B$9,$B$6*$B$11/100*D66,"")</f>
        <v/>
      </c>
      <c r="G66" s="42">
        <f>IF(A66&lt;=$B$9,F66*E66,"")</f>
        <v/>
      </c>
      <c r="H66" s="32">
        <f>IF(A66&lt;=$B$9,D66*E66,"")</f>
        <v/>
      </c>
    </row>
    <row r="67">
      <c r="A67" s="35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2">
        <f>IF(A67&lt;=$B$9,$B$6*$B$11/100*D67,"")</f>
        <v/>
      </c>
      <c r="G67" s="42">
        <f>IF(A67&lt;=$B$9,F67*E67,"")</f>
        <v/>
      </c>
      <c r="H67" s="32">
        <f>IF(A67&lt;=$B$9,D67*E67,"")</f>
        <v/>
      </c>
    </row>
    <row r="68">
      <c r="A68" s="35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2">
        <f>IF(A68&lt;=$B$9,$B$6*$B$11/100*D68,"")</f>
        <v/>
      </c>
      <c r="G68" s="42">
        <f>IF(A68&lt;=$B$9,F68*E68,"")</f>
        <v/>
      </c>
      <c r="H68" s="32">
        <f>IF(A68&lt;=$B$9,D68*E68,"")</f>
        <v/>
      </c>
    </row>
    <row r="69">
      <c r="A69" s="35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2">
        <f>IF(A69&lt;=$B$9,$B$6*$B$11/100*D69,"")</f>
        <v/>
      </c>
      <c r="G69" s="42">
        <f>IF(A69&lt;=$B$9,F69*E69,"")</f>
        <v/>
      </c>
      <c r="H69" s="32">
        <f>IF(A69&lt;=$B$9,D69*E69,"")</f>
        <v/>
      </c>
    </row>
    <row r="70">
      <c r="A70" s="35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2">
        <f>IF(A70&lt;=$B$9,$B$6*$B$11/100*D70,"")</f>
        <v/>
      </c>
      <c r="G70" s="42">
        <f>IF(A70&lt;=$B$9,F70*E70,"")</f>
        <v/>
      </c>
      <c r="H70" s="32">
        <f>IF(A70&lt;=$B$9,D70*E70,"")</f>
        <v/>
      </c>
    </row>
    <row r="71">
      <c r="A71" s="35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2">
        <f>IF(A71&lt;=$B$9,$B$6*$B$11/100*D71,"")</f>
        <v/>
      </c>
      <c r="G71" s="42">
        <f>IF(A71&lt;=$B$9,F71*E71,"")</f>
        <v/>
      </c>
      <c r="H71" s="32">
        <f>IF(A71&lt;=$B$9,D71*E71,"")</f>
        <v/>
      </c>
    </row>
    <row r="72">
      <c r="A72" s="35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2">
        <f>IF(A72&lt;=$B$9,$B$6*$B$11/100*D72,"")</f>
        <v/>
      </c>
      <c r="G72" s="42">
        <f>IF(A72&lt;=$B$9,F72*E72,"")</f>
        <v/>
      </c>
      <c r="H72" s="32">
        <f>IF(A72&lt;=$B$9,D72*E72,"")</f>
        <v/>
      </c>
    </row>
    <row r="73">
      <c r="A73" s="35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2">
        <f>IF(A73&lt;=$B$9,$B$6*$B$11/100*D73,"")</f>
        <v/>
      </c>
      <c r="G73" s="42">
        <f>IF(A73&lt;=$B$9,F73*E73,"")</f>
        <v/>
      </c>
      <c r="H73" s="32">
        <f>IF(A73&lt;=$B$9,D73*E73,"")</f>
        <v/>
      </c>
    </row>
    <row r="74">
      <c r="A74" s="35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2">
        <f>IF(A74&lt;=$B$9,$B$6*$B$11/100*D74,"")</f>
        <v/>
      </c>
      <c r="G74" s="42">
        <f>IF(A74&lt;=$B$9,F74*E74,"")</f>
        <v/>
      </c>
      <c r="H74" s="32">
        <f>IF(A74&lt;=$B$9,D74*E74,"")</f>
        <v/>
      </c>
    </row>
    <row r="75">
      <c r="A75" s="35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2">
        <f>IF(A75&lt;=$B$9,$B$6*$B$11/100*D75,"")</f>
        <v/>
      </c>
      <c r="G75" s="42">
        <f>IF(A75&lt;=$B$9,F75*E75,"")</f>
        <v/>
      </c>
      <c r="H75" s="32">
        <f>IF(A75&lt;=$B$9,D75*E75,"")</f>
        <v/>
      </c>
    </row>
    <row r="76">
      <c r="A76" s="35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2">
        <f>IF(A76&lt;=$B$9,$B$6*$B$11/100*D76,"")</f>
        <v/>
      </c>
      <c r="G76" s="42">
        <f>IF(A76&lt;=$B$9,F76*E76,"")</f>
        <v/>
      </c>
      <c r="H76" s="32">
        <f>IF(A76&lt;=$B$9,D76*E76,"")</f>
        <v/>
      </c>
    </row>
    <row r="77">
      <c r="A77" s="35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2">
        <f>IF(A77&lt;=$B$9,$B$6*$B$11/100*D77,"")</f>
        <v/>
      </c>
      <c r="G77" s="42">
        <f>IF(A77&lt;=$B$9,F77*E77,"")</f>
        <v/>
      </c>
      <c r="H77" s="32">
        <f>IF(A77&lt;=$B$9,D77*E77,"")</f>
        <v/>
      </c>
    </row>
    <row r="78">
      <c r="A78" s="35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2">
        <f>IF(A78&lt;=$B$9,$B$6*$B$11/100*D78,"")</f>
        <v/>
      </c>
      <c r="G78" s="42">
        <f>IF(A78&lt;=$B$9,F78*E78,"")</f>
        <v/>
      </c>
      <c r="H78" s="32">
        <f>IF(A78&lt;=$B$9,D78*E78,"")</f>
        <v/>
      </c>
    </row>
    <row r="79">
      <c r="A79" s="35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2">
        <f>IF(A79&lt;=$B$9,$B$6*$B$11/100*D79,"")</f>
        <v/>
      </c>
      <c r="G79" s="42">
        <f>IF(A79&lt;=$B$9,F79*E79,"")</f>
        <v/>
      </c>
      <c r="H79" s="32">
        <f>IF(A79&lt;=$B$9,D79*E79,"")</f>
        <v/>
      </c>
    </row>
    <row r="80">
      <c r="A80" s="35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2">
        <f>IF(A80&lt;=$B$9,$B$6*$B$11/100*D80,"")</f>
        <v/>
      </c>
      <c r="G80" s="42">
        <f>IF(A80&lt;=$B$9,F80*E80,"")</f>
        <v/>
      </c>
      <c r="H80" s="32">
        <f>IF(A80&lt;=$B$9,D80*E80,"")</f>
        <v/>
      </c>
    </row>
    <row r="81">
      <c r="A81" s="35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2">
        <f>IF(A81&lt;=$B$9,$B$6*$B$11/100*D81,"")</f>
        <v/>
      </c>
      <c r="G81" s="42">
        <f>IF(A81&lt;=$B$9,F81*E81,"")</f>
        <v/>
      </c>
      <c r="H81" s="32">
        <f>IF(A81&lt;=$B$9,D81*E81,"")</f>
        <v/>
      </c>
    </row>
    <row r="82">
      <c r="A82" s="35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2">
        <f>IF(A82&lt;=$B$9,$B$6*$B$11/100*D82,"")</f>
        <v/>
      </c>
      <c r="G82" s="42">
        <f>IF(A82&lt;=$B$9,F82*E82,"")</f>
        <v/>
      </c>
      <c r="H82" s="32">
        <f>IF(A82&lt;=$B$9,D82*E82,"")</f>
        <v/>
      </c>
    </row>
    <row r="83">
      <c r="A83" s="35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2">
        <f>IF(A83&lt;=$B$9,$B$6*$B$11/100*D83,"")</f>
        <v/>
      </c>
      <c r="G83" s="42">
        <f>IF(A83&lt;=$B$9,F83*E83,"")</f>
        <v/>
      </c>
      <c r="H83" s="32">
        <f>IF(A83&lt;=$B$9,D83*E83,"")</f>
        <v/>
      </c>
    </row>
    <row r="84">
      <c r="A84" s="35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2">
        <f>IF(A84&lt;=$B$9,$B$6*$B$11/100*D84,"")</f>
        <v/>
      </c>
      <c r="G84" s="42">
        <f>IF(A84&lt;=$B$9,F84*E84,"")</f>
        <v/>
      </c>
      <c r="H84" s="32">
        <f>IF(A84&lt;=$B$9,D84*E84,"")</f>
        <v/>
      </c>
    </row>
    <row r="85">
      <c r="A85" s="35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2">
        <f>IF(A85&lt;=$B$9,$B$6*$B$11/100*D85,"")</f>
        <v/>
      </c>
      <c r="G85" s="42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9">
        <f>IFERROR(BDP(S490_TKR,"NAME"),"open in Bloomberg")</f>
        <v/>
      </c>
    </row>
    <row r="5">
      <c r="A5" s="13" t="inlineStr">
        <is>
          <t>Curve date</t>
        </is>
      </c>
      <c r="B5" s="44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Curncy","CRNCY"),"N/A — use FLDS")</f>
        <v/>
      </c>
      <c r="D5" s="22">
        <f>IFERROR(BDP("USOSFR1 BGN Curncy","CRNCY"),"N/A — use FLDS")</f>
        <v/>
      </c>
      <c r="E5" s="22">
        <f>IFERROR(BDP("USOSFR5 BGN Curncy","CRNCY"),"N/A — use FLDS")</f>
        <v/>
      </c>
      <c r="F5" s="22">
        <f>IFERROR(BDP("USOSFR30 BGN Curncy","CRNCY"),"N/A — use FLDS")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Curncy","CALENDAR_CODE"),"N/A — use FLDS")</f>
        <v/>
      </c>
      <c r="D10" s="22">
        <f>IFERROR(BDP("USOSFR1 BGN Curncy","CALENDAR_CODE"),"N/A — use FLDS")</f>
        <v/>
      </c>
      <c r="E10" s="22">
        <f>IFERROR(BDP("USOSFR5 BGN Curncy","CALENDAR_CODE"),"N/A — use FLDS")</f>
        <v/>
      </c>
      <c r="F10" s="22">
        <f>IFERROR(BDP("USOSFR30 BGN Curncy","CALENDAR_CODE"),"N/A — use FLDS")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Curncy","DAY_CNT_DES"),"N/A — use FLDS")</f>
        <v/>
      </c>
      <c r="D12" s="22">
        <f>IFERROR(BDP("USOSFR1 BGN Curncy","DAY_CNT_DES"),"N/A — use FLDS")</f>
        <v/>
      </c>
      <c r="E12" s="22">
        <f>IFERROR(BDP("USOSFR5 BGN Curncy","DAY_CNT_DES"),"N/A — use FLDS")</f>
        <v/>
      </c>
      <c r="F12" s="22">
        <f>IFERROR(BDP("USOSFR30 BGN Curncy","DAY_CNT_DES"),"N/A — use FLDS")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5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5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5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5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5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5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5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5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5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5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5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5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5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6" t="n">
        <v>0</v>
      </c>
      <c r="C8" s="47" t="n">
        <v>1</v>
      </c>
      <c r="G8" s="48">
        <f>F9</f>
        <v/>
      </c>
    </row>
    <row r="9">
      <c r="A9" s="6">
        <f>'Bootstrap'!A8</f>
        <v/>
      </c>
      <c r="B9" s="28">
        <f>'Bootstrap'!C8</f>
        <v/>
      </c>
      <c r="C9" s="33">
        <f>'Bootstrap'!H8</f>
        <v/>
      </c>
      <c r="D9" s="28">
        <f>B9-B8</f>
        <v/>
      </c>
      <c r="E9" s="32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2">
        <f>(G9-G8)/D9-J9*D9</f>
        <v/>
      </c>
      <c r="J9" s="32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8">
        <f>'Bootstrap'!C9</f>
        <v/>
      </c>
      <c r="C10" s="33">
        <f>'Bootstrap'!H9</f>
        <v/>
      </c>
      <c r="D10" s="28">
        <f>B10-B9</f>
        <v/>
      </c>
      <c r="E10" s="32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2">
        <f>(G10-G9)/D10-J10*D10</f>
        <v/>
      </c>
      <c r="J10" s="32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3">
        <f>'Bootstrap'!H10</f>
        <v/>
      </c>
      <c r="D11" s="28">
        <f>B11-B10</f>
        <v/>
      </c>
      <c r="E11" s="32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2">
        <f>(G11-G10)/D11-J11*D11</f>
        <v/>
      </c>
      <c r="J11" s="32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3">
        <f>'Bootstrap'!H11</f>
        <v/>
      </c>
      <c r="D12" s="28">
        <f>B12-B11</f>
        <v/>
      </c>
      <c r="E12" s="32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2">
        <f>(G12-G11)/D12-J12*D12</f>
        <v/>
      </c>
      <c r="J12" s="32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3">
        <f>'Bootstrap'!H12</f>
        <v/>
      </c>
      <c r="D13" s="28">
        <f>B13-B12</f>
        <v/>
      </c>
      <c r="E13" s="32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2">
        <f>(G13-G12)/D13-J13*D13</f>
        <v/>
      </c>
      <c r="J13" s="32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3">
        <f>'Bootstrap'!H13</f>
        <v/>
      </c>
      <c r="D14" s="28">
        <f>B14-B13</f>
        <v/>
      </c>
      <c r="E14" s="32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2">
        <f>(G14-G13)/D14-J14*D14</f>
        <v/>
      </c>
      <c r="J14" s="32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3">
        <f>'Bootstrap'!H14</f>
        <v/>
      </c>
      <c r="D15" s="28">
        <f>B15-B14</f>
        <v/>
      </c>
      <c r="E15" s="32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2">
        <f>(G15-G14)/D15-J15*D15</f>
        <v/>
      </c>
      <c r="J15" s="32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3">
        <f>'Bootstrap'!H15</f>
        <v/>
      </c>
      <c r="D16" s="28">
        <f>B16-B15</f>
        <v/>
      </c>
      <c r="E16" s="32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2">
        <f>(G16-G15)/D16-J16*D16</f>
        <v/>
      </c>
      <c r="J16" s="32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3">
        <f>'Bootstrap'!H16</f>
        <v/>
      </c>
      <c r="D17" s="28">
        <f>B17-B16</f>
        <v/>
      </c>
      <c r="E17" s="32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2">
        <f>(G17-G16)/D17-J17*D17</f>
        <v/>
      </c>
      <c r="J17" s="32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3">
        <f>'Bootstrap'!H17</f>
        <v/>
      </c>
      <c r="D18" s="28">
        <f>B18-B17</f>
        <v/>
      </c>
      <c r="E18" s="32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2">
        <f>(G18-G17)/D18-J18*D18</f>
        <v/>
      </c>
      <c r="J18" s="32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3">
        <f>'Bootstrap'!H18</f>
        <v/>
      </c>
      <c r="D19" s="28">
        <f>B19-B18</f>
        <v/>
      </c>
      <c r="E19" s="32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2">
        <f>(G19-G18)/D19-J19*D19</f>
        <v/>
      </c>
      <c r="J19" s="32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3">
        <f>'Bootstrap'!H19</f>
        <v/>
      </c>
      <c r="D20" s="28">
        <f>B20-B19</f>
        <v/>
      </c>
      <c r="E20" s="32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2">
        <f>(G20-G19)/D20-J20*D20</f>
        <v/>
      </c>
      <c r="J20" s="32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3">
        <f>'Bootstrap'!H20</f>
        <v/>
      </c>
      <c r="D21" s="28">
        <f>B21-B20</f>
        <v/>
      </c>
      <c r="E21" s="32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2">
        <f>(G21-G20)/D21-J21*D21</f>
        <v/>
      </c>
      <c r="J21" s="32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3">
        <f>'Bootstrap'!H21</f>
        <v/>
      </c>
      <c r="D22" s="28">
        <f>B22-B21</f>
        <v/>
      </c>
      <c r="E22" s="32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2">
        <f>(G22-G21)/D22-J22*D22</f>
        <v/>
      </c>
      <c r="J22" s="32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3">
        <f>'Bootstrap'!H22</f>
        <v/>
      </c>
      <c r="D23" s="28">
        <f>B23-B22</f>
        <v/>
      </c>
      <c r="E23" s="32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2">
        <f>(G23-G22)/D23-J23*D23</f>
        <v/>
      </c>
      <c r="J23" s="32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3">
        <f>'Bootstrap'!H23</f>
        <v/>
      </c>
      <c r="D24" s="28">
        <f>B24-B23</f>
        <v/>
      </c>
      <c r="E24" s="32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2">
        <f>(G24-G23)/D24-J24*D24</f>
        <v/>
      </c>
      <c r="J24" s="32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3">
        <f>'Bootstrap'!H24</f>
        <v/>
      </c>
      <c r="D25" s="28">
        <f>B25-B24</f>
        <v/>
      </c>
      <c r="E25" s="32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2">
        <f>(G25-G24)/D25-J25*D25</f>
        <v/>
      </c>
      <c r="J25" s="32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3">
        <f>'Bootstrap'!H25</f>
        <v/>
      </c>
      <c r="D26" s="28">
        <f>B26-B25</f>
        <v/>
      </c>
      <c r="E26" s="32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2">
        <f>(G26-G25)/D26-J26*D26</f>
        <v/>
      </c>
      <c r="J26" s="32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3">
        <f>'Bootstrap'!H26</f>
        <v/>
      </c>
      <c r="D27" s="28">
        <f>B27-B26</f>
        <v/>
      </c>
      <c r="E27" s="32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2">
        <f>(G27-G26)/D27-J27*D27</f>
        <v/>
      </c>
      <c r="J27" s="32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3">
        <f>'Bootstrap'!H27</f>
        <v/>
      </c>
      <c r="D28" s="28">
        <f>B28-B27</f>
        <v/>
      </c>
      <c r="E28" s="32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2">
        <f>(G28-G27)/D28-J28*D28</f>
        <v/>
      </c>
      <c r="J28" s="32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3">
        <f>'Bootstrap'!H28</f>
        <v/>
      </c>
      <c r="D29" s="28">
        <f>B29-B28</f>
        <v/>
      </c>
      <c r="E29" s="32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2">
        <f>(G29-G28)/D29-J29*D29</f>
        <v/>
      </c>
      <c r="J29" s="32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3">
        <f>'Bootstrap'!H29</f>
        <v/>
      </c>
      <c r="D30" s="28">
        <f>B30-B29</f>
        <v/>
      </c>
      <c r="E30" s="32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2">
        <f>(G30-G29)/D30-J30*D30</f>
        <v/>
      </c>
      <c r="J30" s="32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3">
        <f>'Bootstrap'!H30</f>
        <v/>
      </c>
      <c r="D31" s="28">
        <f>B31-B30</f>
        <v/>
      </c>
      <c r="E31" s="32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2">
        <f>(G31-G30)/D31-J31*D31</f>
        <v/>
      </c>
      <c r="J31" s="32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3">
        <f>'Bootstrap'!H31</f>
        <v/>
      </c>
      <c r="D32" s="28">
        <f>B32-B31</f>
        <v/>
      </c>
      <c r="E32" s="32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2">
        <f>(G32-G31)/D32-J32*D32</f>
        <v/>
      </c>
      <c r="J32" s="32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3">
        <f>'Bootstrap'!H32</f>
        <v/>
      </c>
      <c r="D33" s="28">
        <f>B33-B32</f>
        <v/>
      </c>
      <c r="E33" s="32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2">
        <f>(G33-G32)/D33-J33*D33</f>
        <v/>
      </c>
      <c r="J33" s="32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3">
        <f>'Bootstrap'!H33</f>
        <v/>
      </c>
      <c r="D34" s="28">
        <f>B34-B33</f>
        <v/>
      </c>
      <c r="E34" s="32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2">
        <f>(G34-G33)/D34-J34*D34</f>
        <v/>
      </c>
      <c r="J34" s="32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3">
        <f>'Bootstrap'!H34</f>
        <v/>
      </c>
      <c r="D35" s="28">
        <f>B35-B34</f>
        <v/>
      </c>
      <c r="E35" s="32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2">
        <f>(G35-G34)/D35-J35*D35</f>
        <v/>
      </c>
      <c r="J35" s="32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3">
        <f>'Bootstrap'!H35</f>
        <v/>
      </c>
      <c r="D36" s="28">
        <f>B36-B35</f>
        <v/>
      </c>
      <c r="E36" s="32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2">
        <f>(G36-G35)/D36-J36*D36</f>
        <v/>
      </c>
      <c r="J36" s="32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3">
        <f>'Bootstrap'!H36</f>
        <v/>
      </c>
      <c r="D37" s="28">
        <f>B37-B36</f>
        <v/>
      </c>
      <c r="E37" s="32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2">
        <f>(G37-G36)/D37-J37*D37</f>
        <v/>
      </c>
      <c r="J37" s="32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3">
        <f>'Bootstrap'!H37</f>
        <v/>
      </c>
      <c r="D38" s="28">
        <f>B38-B37</f>
        <v/>
      </c>
      <c r="E38" s="32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2">
        <f>(G38-G37)/D38-J38*D38</f>
        <v/>
      </c>
      <c r="J38" s="32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3">
        <f>'Bootstrap'!H38</f>
        <v/>
      </c>
      <c r="D39" s="28">
        <f>B39-B38</f>
        <v/>
      </c>
      <c r="E39" s="32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2">
        <f>(G39-G38)/D39-J39*D39</f>
        <v/>
      </c>
      <c r="J39" s="32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3">
        <f>'Bootstrap'!H39</f>
        <v/>
      </c>
      <c r="D40" s="28">
        <f>B40-B39</f>
        <v/>
      </c>
      <c r="E40" s="32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2">
        <f>(G40-G39)/D40-J40*D40</f>
        <v/>
      </c>
      <c r="J40" s="32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2026-07-20T15:40:41Z</dcterms:created>
  <dcterms:modified xmlns:dcterms="http://purl.org/dc/terms/" xmlns:xsi="http://www.w3.org/2001/XMLSchema-instance" xsi:type="dcterms:W3CDTF">2026-07-20T15:40:41Z</dcterms:modified>
</cp:coreProperties>
</file>