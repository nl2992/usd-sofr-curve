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FR_Fixings" sheetId="2" state="visible" r:id="rId2"/>
    <sheet xmlns:r="http://schemas.openxmlformats.org/officeDocument/2006/relationships" name="SOFR_Future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Bootstrap" sheetId="5" state="visible" r:id="rId5"/>
    <sheet xmlns:r="http://schemas.openxmlformats.org/officeDocument/2006/relationships" name="Swap_Pricer" sheetId="6" state="visible" r:id="rId6"/>
    <sheet xmlns:r="http://schemas.openxmlformats.org/officeDocument/2006/relationships" name="Bloomberg_S490_Validation" sheetId="7" state="visible" r:id="rId7"/>
    <sheet xmlns:r="http://schemas.openxmlformats.org/officeDocument/2006/relationships" name="Conventions" sheetId="8" state="visible" r:id="rId8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000"/>
    <numFmt numFmtId="166" formatCode="0.00000000"/>
    <numFmt numFmtId="167" formatCode="0.0"/>
    <numFmt numFmtId="168" formatCode="0.000000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7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67" fontId="3" fillId="2" borderId="1" pivotButton="0" quotePrefix="0" xfId="0"/>
    <xf numFmtId="168" fontId="3" fillId="0" borderId="1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1. SOFR_Fixings</t>
        </is>
      </c>
      <c r="B36" s="3" t="inlineStr">
        <is>
          <t>Overnight SOFR fixing — current (BDP) + daily history (BDH).</t>
        </is>
      </c>
    </row>
    <row r="37">
      <c r="A37" s="13" t="inlineStr">
        <is>
          <t>2. SOFR_Futures</t>
        </is>
      </c>
      <c r="B37" s="3" t="inlineStr">
        <is>
          <t>SR3 (3M) and SR1 (1M) SOFR futures chains + fields + implied rate = 100 − price.</t>
        </is>
      </c>
    </row>
    <row r="38">
      <c r="A38" s="13" t="inlineStr">
        <is>
          <t>3. SOFR_OIS_Quotes</t>
        </is>
      </c>
      <c r="B38" s="3" t="inlineStr">
        <is>
          <t>Full USOSFR OIS strip (1W–50Y): bid / ask / last + mid. Bootstrap-set flagged.</t>
        </is>
      </c>
    </row>
    <row r="39">
      <c r="A39" s="13" t="inlineStr">
        <is>
          <t>4. Bootstrap</t>
        </is>
      </c>
      <c r="B39" s="3" t="inlineStr">
        <is>
          <t>Live single-curve OIS bootstrap → discount factors, zero &amp; forward rates, S490 Δz check.</t>
        </is>
      </c>
    </row>
    <row r="40">
      <c r="A40" s="13" t="inlineStr">
        <is>
          <t>5. Bloomberg_S490_Validation</t>
        </is>
      </c>
      <c r="B40" s="3" t="inlineStr">
        <is>
          <t>Bloomberg's own USD SOFR curve (S490) for benchmarking your bootstrap.</t>
        </is>
      </c>
    </row>
    <row r="41">
      <c r="A41" s="13" t="inlineStr">
        <is>
          <t>6. Conventions</t>
        </is>
      </c>
      <c r="B41" s="3" t="inlineStr">
        <is>
          <t>DES/SWPM conventions for representative OIS (spot lag, day counts, compounding, EOM…).</t>
        </is>
      </c>
    </row>
    <row r="43">
      <c r="A43" s="15" t="inlineStr">
        <is>
          <t>DO NOT substitute these (wrong instruments):</t>
        </is>
      </c>
    </row>
    <row r="44">
      <c r="A44" s="9" t="inlineStr">
        <is>
          <t>•  TSFR1M/3M/6M/12M Index  — Term SOFR benchmarks, NOT overnight-SOFR OIS calibration instruments.</t>
        </is>
      </c>
    </row>
    <row r="45">
      <c r="A45" s="9" t="inlineStr">
        <is>
          <t>•  USISSO02/05/10/30 Index — ICE Swap Rate fixings, NOT the live OIS quote strip needed to bootstrap.</t>
        </is>
      </c>
    </row>
    <row r="46">
      <c r="A46" s="9" t="inlineStr">
        <is>
          <t>•  Use PX midpoint (bid+ask)/2 for construction; use PX_LAST only where bid/ask are unavailable.</t>
        </is>
      </c>
    </row>
    <row r="48" ht="28" customHeight="1">
      <c r="A4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49"/>
  </sheetData>
  <mergeCells count="49">
    <mergeCell ref="A16:F16"/>
    <mergeCell ref="D11:F11"/>
    <mergeCell ref="D13:F13"/>
    <mergeCell ref="A46:F46"/>
    <mergeCell ref="B25:F25"/>
    <mergeCell ref="E17:F17"/>
    <mergeCell ref="B27:F27"/>
    <mergeCell ref="C20:D20"/>
    <mergeCell ref="A33:F33"/>
    <mergeCell ref="E20:F20"/>
    <mergeCell ref="B39:F39"/>
    <mergeCell ref="A48:F49"/>
    <mergeCell ref="E19:F19"/>
    <mergeCell ref="A32:F32"/>
    <mergeCell ref="D12:F12"/>
    <mergeCell ref="D9:F9"/>
    <mergeCell ref="C22:D22"/>
    <mergeCell ref="A35:F35"/>
    <mergeCell ref="A18:B18"/>
    <mergeCell ref="D8:F8"/>
    <mergeCell ref="A43:F43"/>
    <mergeCell ref="A21:B21"/>
    <mergeCell ref="D14:F14"/>
    <mergeCell ref="C21:D21"/>
    <mergeCell ref="B38:F38"/>
    <mergeCell ref="A44:F44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A20:B20"/>
    <mergeCell ref="A19:B19"/>
    <mergeCell ref="A45:F45"/>
    <mergeCell ref="C19:D19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6">
        <f>IFERROR(BDP(SOFR_TKR,"PX_LAST"),"open in Bloomberg")</f>
        <v/>
      </c>
      <c r="D6" s="17">
        <f>IFERROR(BDP(SOFR_TKR,"LAST_UPDATE_DT"),"—")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8">
        <f>IFERROR(BDH(SOFR_TKR,"PX_LAST",TEXT(HIST_START,"mm/dd/yyyy"),TEXT(HIST_END,"mm/dd/yyyy")),"open in Bloomberg")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19" t="inlineStr">
        <is>
          <t>Contract (from CT chain)</t>
        </is>
      </c>
      <c r="B6" s="19" t="inlineStr">
        <is>
          <t>SECURITY_DES</t>
        </is>
      </c>
      <c r="C6" s="19" t="inlineStr">
        <is>
          <t>PX_LAST</t>
        </is>
      </c>
      <c r="D6" s="19" t="inlineStr">
        <is>
          <t>PX_BID</t>
        </is>
      </c>
      <c r="E6" s="19" t="inlineStr">
        <is>
          <t>PX_ASK</t>
        </is>
      </c>
      <c r="F6" s="19" t="inlineStr">
        <is>
          <t>Implied rate % (100−Last)</t>
        </is>
      </c>
      <c r="G6" s="19" t="inlineStr">
        <is>
          <t>FUT_MONTH_YR</t>
        </is>
      </c>
      <c r="H6" s="19" t="inlineStr">
        <is>
          <t>Ref. start (FUT_DLV_DT_FIRST)</t>
        </is>
      </c>
      <c r="I6" s="19" t="inlineStr">
        <is>
          <t>LAST_TRADEABLE_DT</t>
        </is>
      </c>
      <c r="J6" s="19" t="inlineStr">
        <is>
          <t>VOLUME</t>
        </is>
      </c>
      <c r="K6" s="19" t="inlineStr">
        <is>
          <t>OPEN_INT</t>
        </is>
      </c>
    </row>
    <row r="7">
      <c r="A7" s="6">
        <f>BDS("SFRA Comdty","FUT_CHAIN")</f>
        <v/>
      </c>
      <c r="B7" s="6">
        <f>IFERROR(BDP($A7,"SECURITY_DES"),"")</f>
        <v/>
      </c>
      <c r="C7" s="16">
        <f>IFERROR(BDP($A7,"PX_LAST"),"")</f>
        <v/>
      </c>
      <c r="D7" s="16">
        <f>IFERROR(BDP($A7,"PX_BID"),"")</f>
        <v/>
      </c>
      <c r="E7" s="16">
        <f>IFERROR(BDP($A7,"PX_ASK"),"")</f>
        <v/>
      </c>
      <c r="F7" s="16">
        <f>IFERROR(100-C7,"")</f>
        <v/>
      </c>
      <c r="G7" s="6">
        <f>IFERROR(BDP($A7,"FUT_MONTH_YR"),"")</f>
        <v/>
      </c>
      <c r="H7" s="17">
        <f>IFERROR(BDP($A7,"FUT_DLV_DT_FIRST"),"")</f>
        <v/>
      </c>
      <c r="I7" s="17">
        <f>IFERROR(BDP($A7,"LAST_TRADEABLE_DT"),"")</f>
        <v/>
      </c>
      <c r="J7" s="20">
        <f>IFERROR(BDP($A7,"VOLUME"),"")</f>
        <v/>
      </c>
      <c r="K7" s="20">
        <f>IFERROR(BDP($A7,"OPEN_INT"),"")</f>
        <v/>
      </c>
    </row>
    <row r="8">
      <c r="A8" s="6" t="n"/>
      <c r="B8" s="6">
        <f>IFERROR(BDP($A8,"SECURITY_DES"),"")</f>
        <v/>
      </c>
      <c r="C8" s="16">
        <f>IFERROR(BDP($A8,"PX_LAST"),"")</f>
        <v/>
      </c>
      <c r="D8" s="16">
        <f>IFERROR(BDP($A8,"PX_BID"),"")</f>
        <v/>
      </c>
      <c r="E8" s="16">
        <f>IFERROR(BDP($A8,"PX_ASK"),"")</f>
        <v/>
      </c>
      <c r="F8" s="16">
        <f>IFERROR(100-C8,"")</f>
        <v/>
      </c>
      <c r="G8" s="6">
        <f>IFERROR(BDP($A8,"FUT_MONTH_YR"),"")</f>
        <v/>
      </c>
      <c r="H8" s="17">
        <f>IFERROR(BDP($A8,"FUT_DLV_DT_FIRST"),"")</f>
        <v/>
      </c>
      <c r="I8" s="17">
        <f>IFERROR(BDP($A8,"LAST_TRADEABLE_DT"),"")</f>
        <v/>
      </c>
      <c r="J8" s="20">
        <f>IFERROR(BDP($A8,"VOLUME"),"")</f>
        <v/>
      </c>
      <c r="K8" s="20">
        <f>IFERROR(BDP($A8,"OPEN_INT"),"")</f>
        <v/>
      </c>
    </row>
    <row r="9">
      <c r="A9" s="6" t="n"/>
      <c r="B9" s="6">
        <f>IFERROR(BDP($A9,"SECURITY_DES"),"")</f>
        <v/>
      </c>
      <c r="C9" s="16">
        <f>IFERROR(BDP($A9,"PX_LAST"),"")</f>
        <v/>
      </c>
      <c r="D9" s="16">
        <f>IFERROR(BDP($A9,"PX_BID"),"")</f>
        <v/>
      </c>
      <c r="E9" s="16">
        <f>IFERROR(BDP($A9,"PX_ASK"),"")</f>
        <v/>
      </c>
      <c r="F9" s="16">
        <f>IFERROR(100-C9,"")</f>
        <v/>
      </c>
      <c r="G9" s="6">
        <f>IFERROR(BDP($A9,"FUT_MONTH_YR"),"")</f>
        <v/>
      </c>
      <c r="H9" s="17">
        <f>IFERROR(BDP($A9,"FUT_DLV_DT_FIRST"),"")</f>
        <v/>
      </c>
      <c r="I9" s="17">
        <f>IFERROR(BDP($A9,"LAST_TRADEABLE_DT"),"")</f>
        <v/>
      </c>
      <c r="J9" s="20">
        <f>IFERROR(BDP($A9,"VOLUME"),"")</f>
        <v/>
      </c>
      <c r="K9" s="20">
        <f>IFERROR(BDP($A9,"OPEN_INT"),"")</f>
        <v/>
      </c>
    </row>
    <row r="10">
      <c r="A10" s="6" t="n"/>
      <c r="B10" s="6">
        <f>IFERROR(BDP($A10,"SECURITY_DES"),"")</f>
        <v/>
      </c>
      <c r="C10" s="16">
        <f>IFERROR(BDP($A10,"PX_LAST"),"")</f>
        <v/>
      </c>
      <c r="D10" s="16">
        <f>IFERROR(BDP($A10,"PX_BID"),"")</f>
        <v/>
      </c>
      <c r="E10" s="16">
        <f>IFERROR(BDP($A10,"PX_ASK"),"")</f>
        <v/>
      </c>
      <c r="F10" s="16">
        <f>IFERROR(100-C10,"")</f>
        <v/>
      </c>
      <c r="G10" s="6">
        <f>IFERROR(BDP($A10,"FUT_MONTH_YR"),"")</f>
        <v/>
      </c>
      <c r="H10" s="17">
        <f>IFERROR(BDP($A10,"FUT_DLV_DT_FIRST"),"")</f>
        <v/>
      </c>
      <c r="I10" s="17">
        <f>IFERROR(BDP($A10,"LAST_TRADEABLE_DT"),"")</f>
        <v/>
      </c>
      <c r="J10" s="20">
        <f>IFERROR(BDP($A10,"VOLUME"),"")</f>
        <v/>
      </c>
      <c r="K10" s="20">
        <f>IFERROR(BDP($A10,"OPEN_INT"),"")</f>
        <v/>
      </c>
    </row>
    <row r="11">
      <c r="A11" s="6" t="n"/>
      <c r="B11" s="6">
        <f>IFERROR(BDP($A11,"SECURITY_DES"),"")</f>
        <v/>
      </c>
      <c r="C11" s="16">
        <f>IFERROR(BDP($A11,"PX_LAST"),"")</f>
        <v/>
      </c>
      <c r="D11" s="16">
        <f>IFERROR(BDP($A11,"PX_BID"),"")</f>
        <v/>
      </c>
      <c r="E11" s="16">
        <f>IFERROR(BDP($A11,"PX_ASK"),"")</f>
        <v/>
      </c>
      <c r="F11" s="16">
        <f>IFERROR(100-C11,"")</f>
        <v/>
      </c>
      <c r="G11" s="6">
        <f>IFERROR(BDP($A11,"FUT_MONTH_YR"),"")</f>
        <v/>
      </c>
      <c r="H11" s="17">
        <f>IFERROR(BDP($A11,"FUT_DLV_DT_FIRST"),"")</f>
        <v/>
      </c>
      <c r="I11" s="17">
        <f>IFERROR(BDP($A11,"LAST_TRADEABLE_DT"),"")</f>
        <v/>
      </c>
      <c r="J11" s="20">
        <f>IFERROR(BDP($A11,"VOLUME"),"")</f>
        <v/>
      </c>
      <c r="K11" s="20">
        <f>IFERROR(BDP($A11,"OPEN_INT"),"")</f>
        <v/>
      </c>
    </row>
    <row r="12">
      <c r="A12" s="6" t="n"/>
      <c r="B12" s="6">
        <f>IFERROR(BDP($A12,"SECURITY_DES"),"")</f>
        <v/>
      </c>
      <c r="C12" s="16">
        <f>IFERROR(BDP($A12,"PX_LAST"),"")</f>
        <v/>
      </c>
      <c r="D12" s="16">
        <f>IFERROR(BDP($A12,"PX_BID"),"")</f>
        <v/>
      </c>
      <c r="E12" s="16">
        <f>IFERROR(BDP($A12,"PX_ASK"),"")</f>
        <v/>
      </c>
      <c r="F12" s="16">
        <f>IFERROR(100-C12,"")</f>
        <v/>
      </c>
      <c r="G12" s="6">
        <f>IFERROR(BDP($A12,"FUT_MONTH_YR"),"")</f>
        <v/>
      </c>
      <c r="H12" s="17">
        <f>IFERROR(BDP($A12,"FUT_DLV_DT_FIRST"),"")</f>
        <v/>
      </c>
      <c r="I12" s="17">
        <f>IFERROR(BDP($A12,"LAST_TRADEABLE_DT"),"")</f>
        <v/>
      </c>
      <c r="J12" s="20">
        <f>IFERROR(BDP($A12,"VOLUME"),"")</f>
        <v/>
      </c>
      <c r="K12" s="20">
        <f>IFERROR(BDP($A12,"OPEN_INT"),"")</f>
        <v/>
      </c>
    </row>
    <row r="13">
      <c r="A13" s="6" t="n"/>
      <c r="B13" s="6">
        <f>IFERROR(BDP($A13,"SECURITY_DES"),"")</f>
        <v/>
      </c>
      <c r="C13" s="16">
        <f>IFERROR(BDP($A13,"PX_LAST"),"")</f>
        <v/>
      </c>
      <c r="D13" s="16">
        <f>IFERROR(BDP($A13,"PX_BID"),"")</f>
        <v/>
      </c>
      <c r="E13" s="16">
        <f>IFERROR(BDP($A13,"PX_ASK"),"")</f>
        <v/>
      </c>
      <c r="F13" s="16">
        <f>IFERROR(100-C13,"")</f>
        <v/>
      </c>
      <c r="G13" s="6">
        <f>IFERROR(BDP($A13,"FUT_MONTH_YR"),"")</f>
        <v/>
      </c>
      <c r="H13" s="17">
        <f>IFERROR(BDP($A13,"FUT_DLV_DT_FIRST"),"")</f>
        <v/>
      </c>
      <c r="I13" s="17">
        <f>IFERROR(BDP($A13,"LAST_TRADEABLE_DT"),"")</f>
        <v/>
      </c>
      <c r="J13" s="20">
        <f>IFERROR(BDP($A13,"VOLUME"),"")</f>
        <v/>
      </c>
      <c r="K13" s="20">
        <f>IFERROR(BDP($A13,"OPEN_INT"),"")</f>
        <v/>
      </c>
    </row>
    <row r="14">
      <c r="A14" s="6" t="n"/>
      <c r="B14" s="6">
        <f>IFERROR(BDP($A14,"SECURITY_DES"),"")</f>
        <v/>
      </c>
      <c r="C14" s="16">
        <f>IFERROR(BDP($A14,"PX_LAST"),"")</f>
        <v/>
      </c>
      <c r="D14" s="16">
        <f>IFERROR(BDP($A14,"PX_BID"),"")</f>
        <v/>
      </c>
      <c r="E14" s="16">
        <f>IFERROR(BDP($A14,"PX_ASK"),"")</f>
        <v/>
      </c>
      <c r="F14" s="16">
        <f>IFERROR(100-C14,"")</f>
        <v/>
      </c>
      <c r="G14" s="6">
        <f>IFERROR(BDP($A14,"FUT_MONTH_YR"),"")</f>
        <v/>
      </c>
      <c r="H14" s="17">
        <f>IFERROR(BDP($A14,"FUT_DLV_DT_FIRST"),"")</f>
        <v/>
      </c>
      <c r="I14" s="17">
        <f>IFERROR(BDP($A14,"LAST_TRADEABLE_DT"),"")</f>
        <v/>
      </c>
      <c r="J14" s="20">
        <f>IFERROR(BDP($A14,"VOLUME"),"")</f>
        <v/>
      </c>
      <c r="K14" s="20">
        <f>IFERROR(BDP($A14,"OPEN_INT"),"")</f>
        <v/>
      </c>
    </row>
    <row r="15">
      <c r="A15" s="6" t="n"/>
      <c r="B15" s="6">
        <f>IFERROR(BDP($A15,"SECURITY_DES"),"")</f>
        <v/>
      </c>
      <c r="C15" s="16">
        <f>IFERROR(BDP($A15,"PX_LAST"),"")</f>
        <v/>
      </c>
      <c r="D15" s="16">
        <f>IFERROR(BDP($A15,"PX_BID"),"")</f>
        <v/>
      </c>
      <c r="E15" s="16">
        <f>IFERROR(BDP($A15,"PX_ASK"),"")</f>
        <v/>
      </c>
      <c r="F15" s="16">
        <f>IFERROR(100-C15,"")</f>
        <v/>
      </c>
      <c r="G15" s="6">
        <f>IFERROR(BDP($A15,"FUT_MONTH_YR"),"")</f>
        <v/>
      </c>
      <c r="H15" s="17">
        <f>IFERROR(BDP($A15,"FUT_DLV_DT_FIRST"),"")</f>
        <v/>
      </c>
      <c r="I15" s="17">
        <f>IFERROR(BDP($A15,"LAST_TRADEABLE_DT"),"")</f>
        <v/>
      </c>
      <c r="J15" s="20">
        <f>IFERROR(BDP($A15,"VOLUME"),"")</f>
        <v/>
      </c>
      <c r="K15" s="20">
        <f>IFERROR(BDP($A15,"OPEN_INT"),"")</f>
        <v/>
      </c>
    </row>
    <row r="16">
      <c r="A16" s="6" t="n"/>
      <c r="B16" s="6">
        <f>IFERROR(BDP($A16,"SECURITY_DES"),"")</f>
        <v/>
      </c>
      <c r="C16" s="16">
        <f>IFERROR(BDP($A16,"PX_LAST"),"")</f>
        <v/>
      </c>
      <c r="D16" s="16">
        <f>IFERROR(BDP($A16,"PX_BID"),"")</f>
        <v/>
      </c>
      <c r="E16" s="16">
        <f>IFERROR(BDP($A16,"PX_ASK"),"")</f>
        <v/>
      </c>
      <c r="F16" s="16">
        <f>IFERROR(100-C16,"")</f>
        <v/>
      </c>
      <c r="G16" s="6">
        <f>IFERROR(BDP($A16,"FUT_MONTH_YR"),"")</f>
        <v/>
      </c>
      <c r="H16" s="17">
        <f>IFERROR(BDP($A16,"FUT_DLV_DT_FIRST"),"")</f>
        <v/>
      </c>
      <c r="I16" s="17">
        <f>IFERROR(BDP($A16,"LAST_TRADEABLE_DT"),"")</f>
        <v/>
      </c>
      <c r="J16" s="20">
        <f>IFERROR(BDP($A16,"VOLUME"),"")</f>
        <v/>
      </c>
      <c r="K16" s="20">
        <f>IFERROR(BDP($A16,"OPEN_INT"),"")</f>
        <v/>
      </c>
    </row>
    <row r="17">
      <c r="A17" s="6" t="n"/>
      <c r="B17" s="6">
        <f>IFERROR(BDP($A17,"SECURITY_DES"),"")</f>
        <v/>
      </c>
      <c r="C17" s="16">
        <f>IFERROR(BDP($A17,"PX_LAST"),"")</f>
        <v/>
      </c>
      <c r="D17" s="16">
        <f>IFERROR(BDP($A17,"PX_BID"),"")</f>
        <v/>
      </c>
      <c r="E17" s="16">
        <f>IFERROR(BDP($A17,"PX_ASK"),"")</f>
        <v/>
      </c>
      <c r="F17" s="16">
        <f>IFERROR(100-C17,"")</f>
        <v/>
      </c>
      <c r="G17" s="6">
        <f>IFERROR(BDP($A17,"FUT_MONTH_YR"),"")</f>
        <v/>
      </c>
      <c r="H17" s="17">
        <f>IFERROR(BDP($A17,"FUT_DLV_DT_FIRST"),"")</f>
        <v/>
      </c>
      <c r="I17" s="17">
        <f>IFERROR(BDP($A17,"LAST_TRADEABLE_DT"),"")</f>
        <v/>
      </c>
      <c r="J17" s="20">
        <f>IFERROR(BDP($A17,"VOLUME"),"")</f>
        <v/>
      </c>
      <c r="K17" s="20">
        <f>IFERROR(BDP($A17,"OPEN_INT"),"")</f>
        <v/>
      </c>
    </row>
    <row r="18">
      <c r="A18" s="6" t="n"/>
      <c r="B18" s="6">
        <f>IFERROR(BDP($A18,"SECURITY_DES"),"")</f>
        <v/>
      </c>
      <c r="C18" s="16">
        <f>IFERROR(BDP($A18,"PX_LAST"),"")</f>
        <v/>
      </c>
      <c r="D18" s="16">
        <f>IFERROR(BDP($A18,"PX_BID"),"")</f>
        <v/>
      </c>
      <c r="E18" s="16">
        <f>IFERROR(BDP($A18,"PX_ASK"),"")</f>
        <v/>
      </c>
      <c r="F18" s="16">
        <f>IFERROR(100-C18,"")</f>
        <v/>
      </c>
      <c r="G18" s="6">
        <f>IFERROR(BDP($A18,"FUT_MONTH_YR"),"")</f>
        <v/>
      </c>
      <c r="H18" s="17">
        <f>IFERROR(BDP($A18,"FUT_DLV_DT_FIRST"),"")</f>
        <v/>
      </c>
      <c r="I18" s="17">
        <f>IFERROR(BDP($A18,"LAST_TRADEABLE_DT"),"")</f>
        <v/>
      </c>
      <c r="J18" s="20">
        <f>IFERROR(BDP($A18,"VOLUME"),"")</f>
        <v/>
      </c>
      <c r="K18" s="20">
        <f>IFERROR(BDP($A18,"OPEN_INT"),"")</f>
        <v/>
      </c>
    </row>
    <row r="19">
      <c r="A19" s="6" t="n"/>
      <c r="B19" s="6">
        <f>IFERROR(BDP($A19,"SECURITY_DES"),"")</f>
        <v/>
      </c>
      <c r="C19" s="16">
        <f>IFERROR(BDP($A19,"PX_LAST"),"")</f>
        <v/>
      </c>
      <c r="D19" s="16">
        <f>IFERROR(BDP($A19,"PX_BID"),"")</f>
        <v/>
      </c>
      <c r="E19" s="16">
        <f>IFERROR(BDP($A19,"PX_ASK"),"")</f>
        <v/>
      </c>
      <c r="F19" s="16">
        <f>IFERROR(100-C19,"")</f>
        <v/>
      </c>
      <c r="G19" s="6">
        <f>IFERROR(BDP($A19,"FUT_MONTH_YR"),"")</f>
        <v/>
      </c>
      <c r="H19" s="17">
        <f>IFERROR(BDP($A19,"FUT_DLV_DT_FIRST"),"")</f>
        <v/>
      </c>
      <c r="I19" s="17">
        <f>IFERROR(BDP($A19,"LAST_TRADEABLE_DT"),"")</f>
        <v/>
      </c>
      <c r="J19" s="20">
        <f>IFERROR(BDP($A19,"VOLUME"),"")</f>
        <v/>
      </c>
      <c r="K19" s="20">
        <f>IFERROR(BDP($A19,"OPEN_INT"),"")</f>
        <v/>
      </c>
    </row>
    <row r="20">
      <c r="A20" s="6" t="n"/>
      <c r="B20" s="6">
        <f>IFERROR(BDP($A20,"SECURITY_DES"),"")</f>
        <v/>
      </c>
      <c r="C20" s="16">
        <f>IFERROR(BDP($A20,"PX_LAST"),"")</f>
        <v/>
      </c>
      <c r="D20" s="16">
        <f>IFERROR(BDP($A20,"PX_BID"),"")</f>
        <v/>
      </c>
      <c r="E20" s="16">
        <f>IFERROR(BDP($A20,"PX_ASK"),"")</f>
        <v/>
      </c>
      <c r="F20" s="16">
        <f>IFERROR(100-C20,"")</f>
        <v/>
      </c>
      <c r="G20" s="6">
        <f>IFERROR(BDP($A20,"FUT_MONTH_YR"),"")</f>
        <v/>
      </c>
      <c r="H20" s="17">
        <f>IFERROR(BDP($A20,"FUT_DLV_DT_FIRST"),"")</f>
        <v/>
      </c>
      <c r="I20" s="17">
        <f>IFERROR(BDP($A20,"LAST_TRADEABLE_DT"),"")</f>
        <v/>
      </c>
      <c r="J20" s="20">
        <f>IFERROR(BDP($A20,"VOLUME"),"")</f>
        <v/>
      </c>
      <c r="K20" s="20">
        <f>IFERROR(BDP($A20,"OPEN_INT"),"")</f>
        <v/>
      </c>
    </row>
    <row r="21">
      <c r="A21" s="6" t="n"/>
      <c r="B21" s="6">
        <f>IFERROR(BDP($A21,"SECURITY_DES"),"")</f>
        <v/>
      </c>
      <c r="C21" s="16">
        <f>IFERROR(BDP($A21,"PX_LAST"),"")</f>
        <v/>
      </c>
      <c r="D21" s="16">
        <f>IFERROR(BDP($A21,"PX_BID"),"")</f>
        <v/>
      </c>
      <c r="E21" s="16">
        <f>IFERROR(BDP($A21,"PX_ASK"),"")</f>
        <v/>
      </c>
      <c r="F21" s="16">
        <f>IFERROR(100-C21,"")</f>
        <v/>
      </c>
      <c r="G21" s="6">
        <f>IFERROR(BDP($A21,"FUT_MONTH_YR"),"")</f>
        <v/>
      </c>
      <c r="H21" s="17">
        <f>IFERROR(BDP($A21,"FUT_DLV_DT_FIRST"),"")</f>
        <v/>
      </c>
      <c r="I21" s="17">
        <f>IFERROR(BDP($A21,"LAST_TRADEABLE_DT"),"")</f>
        <v/>
      </c>
      <c r="J21" s="20">
        <f>IFERROR(BDP($A21,"VOLUME"),"")</f>
        <v/>
      </c>
      <c r="K21" s="20">
        <f>IFERROR(BDP($A21,"OPEN_INT"),"")</f>
        <v/>
      </c>
    </row>
    <row r="22">
      <c r="A22" s="6" t="n"/>
      <c r="B22" s="6">
        <f>IFERROR(BDP($A22,"SECURITY_DES"),"")</f>
        <v/>
      </c>
      <c r="C22" s="16">
        <f>IFERROR(BDP($A22,"PX_LAST"),"")</f>
        <v/>
      </c>
      <c r="D22" s="16">
        <f>IFERROR(BDP($A22,"PX_BID"),"")</f>
        <v/>
      </c>
      <c r="E22" s="16">
        <f>IFERROR(BDP($A22,"PX_ASK"),"")</f>
        <v/>
      </c>
      <c r="F22" s="16">
        <f>IFERROR(100-C22,"")</f>
        <v/>
      </c>
      <c r="G22" s="6">
        <f>IFERROR(BDP($A22,"FUT_MONTH_YR"),"")</f>
        <v/>
      </c>
      <c r="H22" s="17">
        <f>IFERROR(BDP($A22,"FUT_DLV_DT_FIRST"),"")</f>
        <v/>
      </c>
      <c r="I22" s="17">
        <f>IFERROR(BDP($A22,"LAST_TRADEABLE_DT"),"")</f>
        <v/>
      </c>
      <c r="J22" s="20">
        <f>IFERROR(BDP($A22,"VOLUME"),"")</f>
        <v/>
      </c>
      <c r="K22" s="20">
        <f>IFERROR(BDP($A22,"OPEN_INT"),"")</f>
        <v/>
      </c>
    </row>
    <row r="23">
      <c r="A23" s="6" t="n"/>
      <c r="B23" s="6">
        <f>IFERROR(BDP($A23,"SECURITY_DES"),"")</f>
        <v/>
      </c>
      <c r="C23" s="16">
        <f>IFERROR(BDP($A23,"PX_LAST"),"")</f>
        <v/>
      </c>
      <c r="D23" s="16">
        <f>IFERROR(BDP($A23,"PX_BID"),"")</f>
        <v/>
      </c>
      <c r="E23" s="16">
        <f>IFERROR(BDP($A23,"PX_ASK"),"")</f>
        <v/>
      </c>
      <c r="F23" s="16">
        <f>IFERROR(100-C23,"")</f>
        <v/>
      </c>
      <c r="G23" s="6">
        <f>IFERROR(BDP($A23,"FUT_MONTH_YR"),"")</f>
        <v/>
      </c>
      <c r="H23" s="17">
        <f>IFERROR(BDP($A23,"FUT_DLV_DT_FIRST"),"")</f>
        <v/>
      </c>
      <c r="I23" s="17">
        <f>IFERROR(BDP($A23,"LAST_TRADEABLE_DT"),"")</f>
        <v/>
      </c>
      <c r="J23" s="20">
        <f>IFERROR(BDP($A23,"VOLUME"),"")</f>
        <v/>
      </c>
      <c r="K23" s="20">
        <f>IFERROR(BDP($A23,"OPEN_INT"),"")</f>
        <v/>
      </c>
    </row>
    <row r="24">
      <c r="A24" s="6" t="n"/>
      <c r="B24" s="6">
        <f>IFERROR(BDP($A24,"SECURITY_DES"),"")</f>
        <v/>
      </c>
      <c r="C24" s="16">
        <f>IFERROR(BDP($A24,"PX_LAST"),"")</f>
        <v/>
      </c>
      <c r="D24" s="16">
        <f>IFERROR(BDP($A24,"PX_BID"),"")</f>
        <v/>
      </c>
      <c r="E24" s="16">
        <f>IFERROR(BDP($A24,"PX_ASK"),"")</f>
        <v/>
      </c>
      <c r="F24" s="16">
        <f>IFERROR(100-C24,"")</f>
        <v/>
      </c>
      <c r="G24" s="6">
        <f>IFERROR(BDP($A24,"FUT_MONTH_YR"),"")</f>
        <v/>
      </c>
      <c r="H24" s="17">
        <f>IFERROR(BDP($A24,"FUT_DLV_DT_FIRST"),"")</f>
        <v/>
      </c>
      <c r="I24" s="17">
        <f>IFERROR(BDP($A24,"LAST_TRADEABLE_DT"),"")</f>
        <v/>
      </c>
      <c r="J24" s="20">
        <f>IFERROR(BDP($A24,"VOLUME"),"")</f>
        <v/>
      </c>
      <c r="K24" s="20">
        <f>IFERROR(BDP($A24,"OPEN_INT"),"")</f>
        <v/>
      </c>
    </row>
    <row r="25">
      <c r="A25" s="6" t="n"/>
      <c r="B25" s="6">
        <f>IFERROR(BDP($A25,"SECURITY_DES"),"")</f>
        <v/>
      </c>
      <c r="C25" s="16">
        <f>IFERROR(BDP($A25,"PX_LAST"),"")</f>
        <v/>
      </c>
      <c r="D25" s="16">
        <f>IFERROR(BDP($A25,"PX_BID"),"")</f>
        <v/>
      </c>
      <c r="E25" s="16">
        <f>IFERROR(BDP($A25,"PX_ASK"),"")</f>
        <v/>
      </c>
      <c r="F25" s="16">
        <f>IFERROR(100-C25,"")</f>
        <v/>
      </c>
      <c r="G25" s="6">
        <f>IFERROR(BDP($A25,"FUT_MONTH_YR"),"")</f>
        <v/>
      </c>
      <c r="H25" s="17">
        <f>IFERROR(BDP($A25,"FUT_DLV_DT_FIRST"),"")</f>
        <v/>
      </c>
      <c r="I25" s="17">
        <f>IFERROR(BDP($A25,"LAST_TRADEABLE_DT"),"")</f>
        <v/>
      </c>
      <c r="J25" s="20">
        <f>IFERROR(BDP($A25,"VOLUME"),"")</f>
        <v/>
      </c>
      <c r="K25" s="20">
        <f>IFERROR(BDP($A25,"OPEN_INT"),"")</f>
        <v/>
      </c>
    </row>
    <row r="26">
      <c r="A26" s="6" t="n"/>
      <c r="B26" s="6">
        <f>IFERROR(BDP($A26,"SECURITY_DES"),"")</f>
        <v/>
      </c>
      <c r="C26" s="16">
        <f>IFERROR(BDP($A26,"PX_LAST"),"")</f>
        <v/>
      </c>
      <c r="D26" s="16">
        <f>IFERROR(BDP($A26,"PX_BID"),"")</f>
        <v/>
      </c>
      <c r="E26" s="16">
        <f>IFERROR(BDP($A26,"PX_ASK"),"")</f>
        <v/>
      </c>
      <c r="F26" s="16">
        <f>IFERROR(100-C26,"")</f>
        <v/>
      </c>
      <c r="G26" s="6">
        <f>IFERROR(BDP($A26,"FUT_MONTH_YR"),"")</f>
        <v/>
      </c>
      <c r="H26" s="17">
        <f>IFERROR(BDP($A26,"FUT_DLV_DT_FIRST"),"")</f>
        <v/>
      </c>
      <c r="I26" s="17">
        <f>IFERROR(BDP($A26,"LAST_TRADEABLE_DT"),"")</f>
        <v/>
      </c>
      <c r="J26" s="20">
        <f>IFERROR(BDP($A26,"VOLUME"),"")</f>
        <v/>
      </c>
      <c r="K26" s="20">
        <f>IFERROR(BDP($A26,"OPEN_INT"),"")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19" t="inlineStr">
        <is>
          <t>Contract (from CT chain)</t>
        </is>
      </c>
      <c r="B31" s="19" t="inlineStr">
        <is>
          <t>SECURITY_DES</t>
        </is>
      </c>
      <c r="C31" s="19" t="inlineStr">
        <is>
          <t>PX_LAST</t>
        </is>
      </c>
      <c r="D31" s="19" t="inlineStr">
        <is>
          <t>PX_BID</t>
        </is>
      </c>
      <c r="E31" s="19" t="inlineStr">
        <is>
          <t>PX_ASK</t>
        </is>
      </c>
      <c r="F31" s="19" t="inlineStr">
        <is>
          <t>Implied rate % (100−Last)</t>
        </is>
      </c>
      <c r="G31" s="19" t="inlineStr">
        <is>
          <t>FUT_MONTH_YR</t>
        </is>
      </c>
      <c r="H31" s="19" t="inlineStr">
        <is>
          <t>Ref. start (FUT_DLV_DT_FIRST)</t>
        </is>
      </c>
      <c r="I31" s="19" t="inlineStr">
        <is>
          <t>LAST_TRADEABLE_DT</t>
        </is>
      </c>
      <c r="J31" s="19" t="inlineStr">
        <is>
          <t>VOLUME</t>
        </is>
      </c>
      <c r="K31" s="19" t="inlineStr">
        <is>
          <t>OPEN_INT</t>
        </is>
      </c>
    </row>
    <row r="32">
      <c r="A32" s="6">
        <f>BDS("SERA Comdty","FUT_CHAIN")</f>
        <v/>
      </c>
      <c r="B32" s="6">
        <f>IFERROR(BDP($A32,"SECURITY_DES"),"")</f>
        <v/>
      </c>
      <c r="C32" s="16">
        <f>IFERROR(BDP($A32,"PX_LAST"),"")</f>
        <v/>
      </c>
      <c r="D32" s="16">
        <f>IFERROR(BDP($A32,"PX_BID"),"")</f>
        <v/>
      </c>
      <c r="E32" s="16">
        <f>IFERROR(BDP($A32,"PX_ASK"),"")</f>
        <v/>
      </c>
      <c r="F32" s="16">
        <f>IFERROR(100-C32,"")</f>
        <v/>
      </c>
      <c r="G32" s="6">
        <f>IFERROR(BDP($A32,"FUT_MONTH_YR"),"")</f>
        <v/>
      </c>
      <c r="H32" s="17">
        <f>IFERROR(BDP($A32,"FUT_DLV_DT_FIRST"),"")</f>
        <v/>
      </c>
      <c r="I32" s="17">
        <f>IFERROR(BDP($A32,"LAST_TRADEABLE_DT"),"")</f>
        <v/>
      </c>
      <c r="J32" s="20">
        <f>IFERROR(BDP($A32,"VOLUME"),"")</f>
        <v/>
      </c>
      <c r="K32" s="20">
        <f>IFERROR(BDP($A32,"OPEN_INT"),"")</f>
        <v/>
      </c>
    </row>
    <row r="33">
      <c r="A33" s="6" t="n"/>
      <c r="B33" s="6">
        <f>IFERROR(BDP($A33,"SECURITY_DES"),"")</f>
        <v/>
      </c>
      <c r="C33" s="16">
        <f>IFERROR(BDP($A33,"PX_LAST"),"")</f>
        <v/>
      </c>
      <c r="D33" s="16">
        <f>IFERROR(BDP($A33,"PX_BID"),"")</f>
        <v/>
      </c>
      <c r="E33" s="16">
        <f>IFERROR(BDP($A33,"PX_ASK"),"")</f>
        <v/>
      </c>
      <c r="F33" s="16">
        <f>IFERROR(100-C33,"")</f>
        <v/>
      </c>
      <c r="G33" s="6">
        <f>IFERROR(BDP($A33,"FUT_MONTH_YR"),"")</f>
        <v/>
      </c>
      <c r="H33" s="17">
        <f>IFERROR(BDP($A33,"FUT_DLV_DT_FIRST"),"")</f>
        <v/>
      </c>
      <c r="I33" s="17">
        <f>IFERROR(BDP($A33,"LAST_TRADEABLE_DT"),"")</f>
        <v/>
      </c>
      <c r="J33" s="20">
        <f>IFERROR(BDP($A33,"VOLUME"),"")</f>
        <v/>
      </c>
      <c r="K33" s="20">
        <f>IFERROR(BDP($A33,"OPEN_INT"),"")</f>
        <v/>
      </c>
    </row>
    <row r="34">
      <c r="A34" s="6" t="n"/>
      <c r="B34" s="6">
        <f>IFERROR(BDP($A34,"SECURITY_DES"),"")</f>
        <v/>
      </c>
      <c r="C34" s="16">
        <f>IFERROR(BDP($A34,"PX_LAST"),"")</f>
        <v/>
      </c>
      <c r="D34" s="16">
        <f>IFERROR(BDP($A34,"PX_BID"),"")</f>
        <v/>
      </c>
      <c r="E34" s="16">
        <f>IFERROR(BDP($A34,"PX_ASK"),"")</f>
        <v/>
      </c>
      <c r="F34" s="16">
        <f>IFERROR(100-C34,"")</f>
        <v/>
      </c>
      <c r="G34" s="6">
        <f>IFERROR(BDP($A34,"FUT_MONTH_YR"),"")</f>
        <v/>
      </c>
      <c r="H34" s="17">
        <f>IFERROR(BDP($A34,"FUT_DLV_DT_FIRST"),"")</f>
        <v/>
      </c>
      <c r="I34" s="17">
        <f>IFERROR(BDP($A34,"LAST_TRADEABLE_DT"),"")</f>
        <v/>
      </c>
      <c r="J34" s="20">
        <f>IFERROR(BDP($A34,"VOLUME"),"")</f>
        <v/>
      </c>
      <c r="K34" s="20">
        <f>IFERROR(BDP($A34,"OPEN_INT"),"")</f>
        <v/>
      </c>
    </row>
    <row r="35">
      <c r="A35" s="6" t="n"/>
      <c r="B35" s="6">
        <f>IFERROR(BDP($A35,"SECURITY_DES"),"")</f>
        <v/>
      </c>
      <c r="C35" s="16">
        <f>IFERROR(BDP($A35,"PX_LAST"),"")</f>
        <v/>
      </c>
      <c r="D35" s="16">
        <f>IFERROR(BDP($A35,"PX_BID"),"")</f>
        <v/>
      </c>
      <c r="E35" s="16">
        <f>IFERROR(BDP($A35,"PX_ASK"),"")</f>
        <v/>
      </c>
      <c r="F35" s="16">
        <f>IFERROR(100-C35,"")</f>
        <v/>
      </c>
      <c r="G35" s="6">
        <f>IFERROR(BDP($A35,"FUT_MONTH_YR"),"")</f>
        <v/>
      </c>
      <c r="H35" s="17">
        <f>IFERROR(BDP($A35,"FUT_DLV_DT_FIRST"),"")</f>
        <v/>
      </c>
      <c r="I35" s="17">
        <f>IFERROR(BDP($A35,"LAST_TRADEABLE_DT"),"")</f>
        <v/>
      </c>
      <c r="J35" s="20">
        <f>IFERROR(BDP($A35,"VOLUME"),"")</f>
        <v/>
      </c>
      <c r="K35" s="20">
        <f>IFERROR(BDP($A35,"OPEN_INT"),"")</f>
        <v/>
      </c>
    </row>
    <row r="36">
      <c r="A36" s="6" t="n"/>
      <c r="B36" s="6">
        <f>IFERROR(BDP($A36,"SECURITY_DES"),"")</f>
        <v/>
      </c>
      <c r="C36" s="16">
        <f>IFERROR(BDP($A36,"PX_LAST"),"")</f>
        <v/>
      </c>
      <c r="D36" s="16">
        <f>IFERROR(BDP($A36,"PX_BID"),"")</f>
        <v/>
      </c>
      <c r="E36" s="16">
        <f>IFERROR(BDP($A36,"PX_ASK"),"")</f>
        <v/>
      </c>
      <c r="F36" s="16">
        <f>IFERROR(100-C36,"")</f>
        <v/>
      </c>
      <c r="G36" s="6">
        <f>IFERROR(BDP($A36,"FUT_MONTH_YR"),"")</f>
        <v/>
      </c>
      <c r="H36" s="17">
        <f>IFERROR(BDP($A36,"FUT_DLV_DT_FIRST"),"")</f>
        <v/>
      </c>
      <c r="I36" s="17">
        <f>IFERROR(BDP($A36,"LAST_TRADEABLE_DT"),"")</f>
        <v/>
      </c>
      <c r="J36" s="20">
        <f>IFERROR(BDP($A36,"VOLUME"),"")</f>
        <v/>
      </c>
      <c r="K36" s="20">
        <f>IFERROR(BDP($A36,"OPEN_INT"),"")</f>
        <v/>
      </c>
    </row>
    <row r="37">
      <c r="A37" s="6" t="n"/>
      <c r="B37" s="6">
        <f>IFERROR(BDP($A37,"SECURITY_DES"),"")</f>
        <v/>
      </c>
      <c r="C37" s="16">
        <f>IFERROR(BDP($A37,"PX_LAST"),"")</f>
        <v/>
      </c>
      <c r="D37" s="16">
        <f>IFERROR(BDP($A37,"PX_BID"),"")</f>
        <v/>
      </c>
      <c r="E37" s="16">
        <f>IFERROR(BDP($A37,"PX_ASK"),"")</f>
        <v/>
      </c>
      <c r="F37" s="16">
        <f>IFERROR(100-C37,"")</f>
        <v/>
      </c>
      <c r="G37" s="6">
        <f>IFERROR(BDP($A37,"FUT_MONTH_YR"),"")</f>
        <v/>
      </c>
      <c r="H37" s="17">
        <f>IFERROR(BDP($A37,"FUT_DLV_DT_FIRST"),"")</f>
        <v/>
      </c>
      <c r="I37" s="17">
        <f>IFERROR(BDP($A37,"LAST_TRADEABLE_DT"),"")</f>
        <v/>
      </c>
      <c r="J37" s="20">
        <f>IFERROR(BDP($A37,"VOLUME"),"")</f>
        <v/>
      </c>
      <c r="K37" s="20">
        <f>IFERROR(BDP($A37,"OPEN_INT"),"")</f>
        <v/>
      </c>
    </row>
    <row r="38">
      <c r="A38" s="6" t="n"/>
      <c r="B38" s="6">
        <f>IFERROR(BDP($A38,"SECURITY_DES"),"")</f>
        <v/>
      </c>
      <c r="C38" s="16">
        <f>IFERROR(BDP($A38,"PX_LAST"),"")</f>
        <v/>
      </c>
      <c r="D38" s="16">
        <f>IFERROR(BDP($A38,"PX_BID"),"")</f>
        <v/>
      </c>
      <c r="E38" s="16">
        <f>IFERROR(BDP($A38,"PX_ASK"),"")</f>
        <v/>
      </c>
      <c r="F38" s="16">
        <f>IFERROR(100-C38,"")</f>
        <v/>
      </c>
      <c r="G38" s="6">
        <f>IFERROR(BDP($A38,"FUT_MONTH_YR"),"")</f>
        <v/>
      </c>
      <c r="H38" s="17">
        <f>IFERROR(BDP($A38,"FUT_DLV_DT_FIRST"),"")</f>
        <v/>
      </c>
      <c r="I38" s="17">
        <f>IFERROR(BDP($A38,"LAST_TRADEABLE_DT"),"")</f>
        <v/>
      </c>
      <c r="J38" s="20">
        <f>IFERROR(BDP($A38,"VOLUME"),"")</f>
        <v/>
      </c>
      <c r="K38" s="20">
        <f>IFERROR(BDP($A38,"OPEN_INT"),"")</f>
        <v/>
      </c>
    </row>
    <row r="39">
      <c r="A39" s="6" t="n"/>
      <c r="B39" s="6">
        <f>IFERROR(BDP($A39,"SECURITY_DES"),"")</f>
        <v/>
      </c>
      <c r="C39" s="16">
        <f>IFERROR(BDP($A39,"PX_LAST"),"")</f>
        <v/>
      </c>
      <c r="D39" s="16">
        <f>IFERROR(BDP($A39,"PX_BID"),"")</f>
        <v/>
      </c>
      <c r="E39" s="16">
        <f>IFERROR(BDP($A39,"PX_ASK"),"")</f>
        <v/>
      </c>
      <c r="F39" s="16">
        <f>IFERROR(100-C39,"")</f>
        <v/>
      </c>
      <c r="G39" s="6">
        <f>IFERROR(BDP($A39,"FUT_MONTH_YR"),"")</f>
        <v/>
      </c>
      <c r="H39" s="17">
        <f>IFERROR(BDP($A39,"FUT_DLV_DT_FIRST"),"")</f>
        <v/>
      </c>
      <c r="I39" s="17">
        <f>IFERROR(BDP($A39,"LAST_TRADEABLE_DT"),"")</f>
        <v/>
      </c>
      <c r="J39" s="20">
        <f>IFERROR(BDP($A39,"VOLUME"),"")</f>
        <v/>
      </c>
      <c r="K39" s="20">
        <f>IFERROR(BDP($A39,"OPEN_INT"),"")</f>
        <v/>
      </c>
    </row>
    <row r="40">
      <c r="A40" s="6" t="n"/>
      <c r="B40" s="6">
        <f>IFERROR(BDP($A40,"SECURITY_DES"),"")</f>
        <v/>
      </c>
      <c r="C40" s="16">
        <f>IFERROR(BDP($A40,"PX_LAST"),"")</f>
        <v/>
      </c>
      <c r="D40" s="16">
        <f>IFERROR(BDP($A40,"PX_BID"),"")</f>
        <v/>
      </c>
      <c r="E40" s="16">
        <f>IFERROR(BDP($A40,"PX_ASK"),"")</f>
        <v/>
      </c>
      <c r="F40" s="16">
        <f>IFERROR(100-C40,"")</f>
        <v/>
      </c>
      <c r="G40" s="6">
        <f>IFERROR(BDP($A40,"FUT_MONTH_YR"),"")</f>
        <v/>
      </c>
      <c r="H40" s="17">
        <f>IFERROR(BDP($A40,"FUT_DLV_DT_FIRST"),"")</f>
        <v/>
      </c>
      <c r="I40" s="17">
        <f>IFERROR(BDP($A40,"LAST_TRADEABLE_DT"),"")</f>
        <v/>
      </c>
      <c r="J40" s="20">
        <f>IFERROR(BDP($A40,"VOLUME"),"")</f>
        <v/>
      </c>
      <c r="K40" s="20">
        <f>IFERROR(BDP($A40,"OPEN_INT"),"")</f>
        <v/>
      </c>
    </row>
    <row r="41">
      <c r="A41" s="6" t="n"/>
      <c r="B41" s="6">
        <f>IFERROR(BDP($A41,"SECURITY_DES"),"")</f>
        <v/>
      </c>
      <c r="C41" s="16">
        <f>IFERROR(BDP($A41,"PX_LAST"),"")</f>
        <v/>
      </c>
      <c r="D41" s="16">
        <f>IFERROR(BDP($A41,"PX_BID"),"")</f>
        <v/>
      </c>
      <c r="E41" s="16">
        <f>IFERROR(BDP($A41,"PX_ASK"),"")</f>
        <v/>
      </c>
      <c r="F41" s="16">
        <f>IFERROR(100-C41,"")</f>
        <v/>
      </c>
      <c r="G41" s="6">
        <f>IFERROR(BDP($A41,"FUT_MONTH_YR"),"")</f>
        <v/>
      </c>
      <c r="H41" s="17">
        <f>IFERROR(BDP($A41,"FUT_DLV_DT_FIRST"),"")</f>
        <v/>
      </c>
      <c r="I41" s="17">
        <f>IFERROR(BDP($A41,"LAST_TRADEABLE_DT"),"")</f>
        <v/>
      </c>
      <c r="J41" s="20">
        <f>IFERROR(BDP($A41,"VOLUME"),"")</f>
        <v/>
      </c>
      <c r="K41" s="20">
        <f>IFERROR(BDP($A41,"OPEN_INT"),"")</f>
        <v/>
      </c>
    </row>
    <row r="42">
      <c r="A42" s="6" t="n"/>
      <c r="B42" s="6">
        <f>IFERROR(BDP($A42,"SECURITY_DES"),"")</f>
        <v/>
      </c>
      <c r="C42" s="16">
        <f>IFERROR(BDP($A42,"PX_LAST"),"")</f>
        <v/>
      </c>
      <c r="D42" s="16">
        <f>IFERROR(BDP($A42,"PX_BID"),"")</f>
        <v/>
      </c>
      <c r="E42" s="16">
        <f>IFERROR(BDP($A42,"PX_ASK"),"")</f>
        <v/>
      </c>
      <c r="F42" s="16">
        <f>IFERROR(100-C42,"")</f>
        <v/>
      </c>
      <c r="G42" s="6">
        <f>IFERROR(BDP($A42,"FUT_MONTH_YR"),"")</f>
        <v/>
      </c>
      <c r="H42" s="17">
        <f>IFERROR(BDP($A42,"FUT_DLV_DT_FIRST"),"")</f>
        <v/>
      </c>
      <c r="I42" s="17">
        <f>IFERROR(BDP($A42,"LAST_TRADEABLE_DT"),"")</f>
        <v/>
      </c>
      <c r="J42" s="20">
        <f>IFERROR(BDP($A42,"VOLUME"),"")</f>
        <v/>
      </c>
      <c r="K42" s="20">
        <f>IFERROR(BDP($A42,"OPEN_INT"),"")</f>
        <v/>
      </c>
    </row>
    <row r="43">
      <c r="A43" s="6" t="n"/>
      <c r="B43" s="6">
        <f>IFERROR(BDP($A43,"SECURITY_DES"),"")</f>
        <v/>
      </c>
      <c r="C43" s="16">
        <f>IFERROR(BDP($A43,"PX_LAST"),"")</f>
        <v/>
      </c>
      <c r="D43" s="16">
        <f>IFERROR(BDP($A43,"PX_BID"),"")</f>
        <v/>
      </c>
      <c r="E43" s="16">
        <f>IFERROR(BDP($A43,"PX_ASK"),"")</f>
        <v/>
      </c>
      <c r="F43" s="16">
        <f>IFERROR(100-C43,"")</f>
        <v/>
      </c>
      <c r="G43" s="6">
        <f>IFERROR(BDP($A43,"FUT_MONTH_YR"),"")</f>
        <v/>
      </c>
      <c r="H43" s="17">
        <f>IFERROR(BDP($A43,"FUT_DLV_DT_FIRST"),"")</f>
        <v/>
      </c>
      <c r="I43" s="17">
        <f>IFERROR(BDP($A43,"LAST_TRADEABLE_DT"),"")</f>
        <v/>
      </c>
      <c r="J43" s="20">
        <f>IFERROR(BDP($A43,"VOLUME"),"")</f>
        <v/>
      </c>
      <c r="K43" s="20">
        <f>IFERROR(BDP($A43,"OPEN_INT"),"")</f>
        <v/>
      </c>
    </row>
    <row r="44">
      <c r="A44" s="6" t="n"/>
      <c r="B44" s="6">
        <f>IFERROR(BDP($A44,"SECURITY_DES"),"")</f>
        <v/>
      </c>
      <c r="C44" s="16">
        <f>IFERROR(BDP($A44,"PX_LAST"),"")</f>
        <v/>
      </c>
      <c r="D44" s="16">
        <f>IFERROR(BDP($A44,"PX_BID"),"")</f>
        <v/>
      </c>
      <c r="E44" s="16">
        <f>IFERROR(BDP($A44,"PX_ASK"),"")</f>
        <v/>
      </c>
      <c r="F44" s="16">
        <f>IFERROR(100-C44,"")</f>
        <v/>
      </c>
      <c r="G44" s="6">
        <f>IFERROR(BDP($A44,"FUT_MONTH_YR"),"")</f>
        <v/>
      </c>
      <c r="H44" s="17">
        <f>IFERROR(BDP($A44,"FUT_DLV_DT_FIRST"),"")</f>
        <v/>
      </c>
      <c r="I44" s="17">
        <f>IFERROR(BDP($A44,"LAST_TRADEABLE_DT"),"")</f>
        <v/>
      </c>
      <c r="J44" s="20">
        <f>IFERROR(BDP($A44,"VOLUME"),"")</f>
        <v/>
      </c>
      <c r="K44" s="20">
        <f>IFERROR(BDP($A44,"OPEN_INT"),"")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7">
        <f>WORKDAY(VAL_DATE,2)</f>
        <v/>
      </c>
      <c r="C3" s="21" t="inlineStr">
        <is>
          <t>Maturity &amp; Tenor(yrs) recompute from the tenor label + spot.</t>
        </is>
      </c>
    </row>
    <row r="4">
      <c r="A4" s="19" t="inlineStr">
        <is>
          <t>Ticker root</t>
        </is>
      </c>
      <c r="B4" s="19" t="inlineStr">
        <is>
          <t>Tenor</t>
        </is>
      </c>
      <c r="C4" s="19" t="inlineStr">
        <is>
          <t>Maturity date</t>
        </is>
      </c>
      <c r="D4" s="19" t="inlineStr">
        <is>
          <t>Tenor (yrs)</t>
        </is>
      </c>
      <c r="E4" s="19" t="inlineStr">
        <is>
          <t>PX_BID</t>
        </is>
      </c>
      <c r="F4" s="19" t="inlineStr">
        <is>
          <t>PX_ASK</t>
        </is>
      </c>
      <c r="G4" s="19" t="inlineStr">
        <is>
          <t>PX_LAST</t>
        </is>
      </c>
      <c r="H4" s="19" t="inlineStr">
        <is>
          <t>Mid = (Bid+Ask)/2</t>
        </is>
      </c>
      <c r="I4" s="19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6">
        <f>IFERROR(BDP(A5&amp;" "&amp;PX_SRC&amp;" Curncy","PX_BID"),"")</f>
        <v/>
      </c>
      <c r="F5" s="16">
        <f>IFERROR(BDP(A5&amp;" "&amp;PX_SRC&amp;" Curncy","PX_ASK"),"")</f>
        <v/>
      </c>
      <c r="G5" s="16">
        <f>IFERROR(BDP(A5&amp;" "&amp;PX_SRC&amp;" Curncy","PX_LAST"),"")</f>
        <v/>
      </c>
      <c r="H5" s="25">
        <f>IFERROR((E5+F5)/2,IFERROR(G5,""))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6">
        <f>IFERROR(BDP(A6&amp;" "&amp;PX_SRC&amp;" Curncy","PX_BID"),"")</f>
        <v/>
      </c>
      <c r="F6" s="16">
        <f>IFERROR(BDP(A6&amp;" "&amp;PX_SRC&amp;" Curncy","PX_ASK"),"")</f>
        <v/>
      </c>
      <c r="G6" s="16">
        <f>IFERROR(BDP(A6&amp;" "&amp;PX_SRC&amp;" Curncy","PX_LAST"),"")</f>
        <v/>
      </c>
      <c r="H6" s="25">
        <f>IFERROR((E6+F6)/2,IFERROR(G6,""))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6">
        <f>IFERROR(BDP(A7&amp;" "&amp;PX_SRC&amp;" Curncy","PX_BID"),"")</f>
        <v/>
      </c>
      <c r="F7" s="16">
        <f>IFERROR(BDP(A7&amp;" "&amp;PX_SRC&amp;" Curncy","PX_ASK"),"")</f>
        <v/>
      </c>
      <c r="G7" s="16">
        <f>IFERROR(BDP(A7&amp;" "&amp;PX_SRC&amp;" Curncy","PX_LAST"),"")</f>
        <v/>
      </c>
      <c r="H7" s="25">
        <f>IFERROR((E7+F7)/2,IFERROR(G7,""))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6">
        <f>IFERROR(BDP(A8&amp;" "&amp;PX_SRC&amp;" Curncy","PX_BID"),"")</f>
        <v/>
      </c>
      <c r="F8" s="16">
        <f>IFERROR(BDP(A8&amp;" "&amp;PX_SRC&amp;" Curncy","PX_ASK"),"")</f>
        <v/>
      </c>
      <c r="G8" s="16">
        <f>IFERROR(BDP(A8&amp;" "&amp;PX_SRC&amp;" Curncy","PX_LAST"),"")</f>
        <v/>
      </c>
      <c r="H8" s="25">
        <f>IFERROR((E8+F8)/2,IFERROR(G8,""))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6">
        <f>IFERROR(BDP(A9&amp;" "&amp;PX_SRC&amp;" Curncy","PX_BID"),"")</f>
        <v/>
      </c>
      <c r="F9" s="16">
        <f>IFERROR(BDP(A9&amp;" "&amp;PX_SRC&amp;" Curncy","PX_ASK"),"")</f>
        <v/>
      </c>
      <c r="G9" s="16">
        <f>IFERROR(BDP(A9&amp;" "&amp;PX_SRC&amp;" Curncy","PX_LAST"),"")</f>
        <v/>
      </c>
      <c r="H9" s="25">
        <f>IFERROR((E9+F9)/2,IFERROR(G9,""))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6">
        <f>IFERROR(BDP(A10&amp;" "&amp;PX_SRC&amp;" Curncy","PX_BID"),"")</f>
        <v/>
      </c>
      <c r="F10" s="16">
        <f>IFERROR(BDP(A10&amp;" "&amp;PX_SRC&amp;" Curncy","PX_ASK"),"")</f>
        <v/>
      </c>
      <c r="G10" s="16">
        <f>IFERROR(BDP(A10&amp;" "&amp;PX_SRC&amp;" Curncy","PX_LAST"),"")</f>
        <v/>
      </c>
      <c r="H10" s="25">
        <f>IFERROR((E10+F10)/2,IFERROR(G10,""))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6">
        <f>IFERROR(BDP(A11&amp;" "&amp;PX_SRC&amp;" Curncy","PX_BID"),"")</f>
        <v/>
      </c>
      <c r="F11" s="16">
        <f>IFERROR(BDP(A11&amp;" "&amp;PX_SRC&amp;" Curncy","PX_ASK"),"")</f>
        <v/>
      </c>
      <c r="G11" s="16">
        <f>IFERROR(BDP(A11&amp;" "&amp;PX_SRC&amp;" Curncy","PX_LAST"),"")</f>
        <v/>
      </c>
      <c r="H11" s="25">
        <f>IFERROR((E11+F11)/2,IFERROR(G11,""))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6">
        <f>IFERROR(BDP(A12&amp;" "&amp;PX_SRC&amp;" Curncy","PX_BID"),"")</f>
        <v/>
      </c>
      <c r="F12" s="16">
        <f>IFERROR(BDP(A12&amp;" "&amp;PX_SRC&amp;" Curncy","PX_ASK"),"")</f>
        <v/>
      </c>
      <c r="G12" s="16">
        <f>IFERROR(BDP(A12&amp;" "&amp;PX_SRC&amp;" Curncy","PX_LAST"),"")</f>
        <v/>
      </c>
      <c r="H12" s="25">
        <f>IFERROR((E12+F12)/2,IFERROR(G12,""))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6">
        <f>IFERROR(BDP(A13&amp;" "&amp;PX_SRC&amp;" Curncy","PX_BID"),"")</f>
        <v/>
      </c>
      <c r="F13" s="16">
        <f>IFERROR(BDP(A13&amp;" "&amp;PX_SRC&amp;" Curncy","PX_ASK"),"")</f>
        <v/>
      </c>
      <c r="G13" s="16">
        <f>IFERROR(BDP(A13&amp;" "&amp;PX_SRC&amp;" Curncy","PX_LAST"),"")</f>
        <v/>
      </c>
      <c r="H13" s="25">
        <f>IFERROR((E13+F13)/2,IFERROR(G13,""))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6">
        <f>IFERROR(BDP(A14&amp;" "&amp;PX_SRC&amp;" Curncy","PX_BID"),"")</f>
        <v/>
      </c>
      <c r="F14" s="16">
        <f>IFERROR(BDP(A14&amp;" "&amp;PX_SRC&amp;" Curncy","PX_ASK"),"")</f>
        <v/>
      </c>
      <c r="G14" s="16">
        <f>IFERROR(BDP(A14&amp;" "&amp;PX_SRC&amp;" Curncy","PX_LAST"),"")</f>
        <v/>
      </c>
      <c r="H14" s="25">
        <f>IFERROR((E14+F14)/2,IFERROR(G14,""))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6">
        <f>IFERROR(BDP(A15&amp;" "&amp;PX_SRC&amp;" Curncy","PX_BID"),"")</f>
        <v/>
      </c>
      <c r="F15" s="16">
        <f>IFERROR(BDP(A15&amp;" "&amp;PX_SRC&amp;" Curncy","PX_ASK"),"")</f>
        <v/>
      </c>
      <c r="G15" s="16">
        <f>IFERROR(BDP(A15&amp;" "&amp;PX_SRC&amp;" Curncy","PX_LAST"),"")</f>
        <v/>
      </c>
      <c r="H15" s="25">
        <f>IFERROR((E15+F15)/2,IFERROR(G15,""))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6">
        <f>IFERROR(BDP(A16&amp;" "&amp;PX_SRC&amp;" Curncy","PX_BID"),"")</f>
        <v/>
      </c>
      <c r="F16" s="16">
        <f>IFERROR(BDP(A16&amp;" "&amp;PX_SRC&amp;" Curncy","PX_ASK"),"")</f>
        <v/>
      </c>
      <c r="G16" s="16">
        <f>IFERROR(BDP(A16&amp;" "&amp;PX_SRC&amp;" Curncy","PX_LAST"),"")</f>
        <v/>
      </c>
      <c r="H16" s="25">
        <f>IFERROR((E16+F16)/2,IFERROR(G16,""))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6">
        <f>IFERROR(BDP(A17&amp;" "&amp;PX_SRC&amp;" Curncy","PX_BID"),"")</f>
        <v/>
      </c>
      <c r="F17" s="16">
        <f>IFERROR(BDP(A17&amp;" "&amp;PX_SRC&amp;" Curncy","PX_ASK"),"")</f>
        <v/>
      </c>
      <c r="G17" s="16">
        <f>IFERROR(BDP(A17&amp;" "&amp;PX_SRC&amp;" Curncy","PX_LAST"),"")</f>
        <v/>
      </c>
      <c r="H17" s="25">
        <f>IFERROR((E17+F17)/2,IFERROR(G17,""))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6">
        <f>IFERROR(BDP(A18&amp;" "&amp;PX_SRC&amp;" Curncy","PX_BID"),"")</f>
        <v/>
      </c>
      <c r="F18" s="16">
        <f>IFERROR(BDP(A18&amp;" "&amp;PX_SRC&amp;" Curncy","PX_ASK"),"")</f>
        <v/>
      </c>
      <c r="G18" s="16">
        <f>IFERROR(BDP(A18&amp;" "&amp;PX_SRC&amp;" Curncy","PX_LAST"),"")</f>
        <v/>
      </c>
      <c r="H18" s="25">
        <f>IFERROR((E18+F18)/2,IFERROR(G18,""))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6">
        <f>IFERROR(BDP(A19&amp;" "&amp;PX_SRC&amp;" Curncy","PX_BID"),"")</f>
        <v/>
      </c>
      <c r="F19" s="16">
        <f>IFERROR(BDP(A19&amp;" "&amp;PX_SRC&amp;" Curncy","PX_ASK"),"")</f>
        <v/>
      </c>
      <c r="G19" s="16">
        <f>IFERROR(BDP(A19&amp;" "&amp;PX_SRC&amp;" Curncy","PX_LAST"),"")</f>
        <v/>
      </c>
      <c r="H19" s="25">
        <f>IFERROR((E19+F19)/2,IFERROR(G19,""))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6">
        <f>IFERROR(BDP(A20&amp;" "&amp;PX_SRC&amp;" Curncy","PX_BID"),"")</f>
        <v/>
      </c>
      <c r="F20" s="16">
        <f>IFERROR(BDP(A20&amp;" "&amp;PX_SRC&amp;" Curncy","PX_ASK"),"")</f>
        <v/>
      </c>
      <c r="G20" s="16">
        <f>IFERROR(BDP(A20&amp;" "&amp;PX_SRC&amp;" Curncy","PX_LAST"),"")</f>
        <v/>
      </c>
      <c r="H20" s="25">
        <f>IFERROR((E20+F20)/2,IFERROR(G20,""))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6">
        <f>IFERROR(BDP(A21&amp;" "&amp;PX_SRC&amp;" Curncy","PX_BID"),"")</f>
        <v/>
      </c>
      <c r="F21" s="16">
        <f>IFERROR(BDP(A21&amp;" "&amp;PX_SRC&amp;" Curncy","PX_ASK"),"")</f>
        <v/>
      </c>
      <c r="G21" s="16">
        <f>IFERROR(BDP(A21&amp;" "&amp;PX_SRC&amp;" Curncy","PX_LAST"),"")</f>
        <v/>
      </c>
      <c r="H21" s="25">
        <f>IFERROR((E21+F21)/2,IFERROR(G21,""))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6">
        <f>IFERROR(BDP(A22&amp;" "&amp;PX_SRC&amp;" Curncy","PX_BID"),"")</f>
        <v/>
      </c>
      <c r="F22" s="16">
        <f>IFERROR(BDP(A22&amp;" "&amp;PX_SRC&amp;" Curncy","PX_ASK"),"")</f>
        <v/>
      </c>
      <c r="G22" s="16">
        <f>IFERROR(BDP(A22&amp;" "&amp;PX_SRC&amp;" Curncy","PX_LAST"),"")</f>
        <v/>
      </c>
      <c r="H22" s="25">
        <f>IFERROR((E22+F22)/2,IFERROR(G22,""))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6">
        <f>IFERROR(BDP(A23&amp;" "&amp;PX_SRC&amp;" Curncy","PX_BID"),"")</f>
        <v/>
      </c>
      <c r="F23" s="16">
        <f>IFERROR(BDP(A23&amp;" "&amp;PX_SRC&amp;" Curncy","PX_ASK"),"")</f>
        <v/>
      </c>
      <c r="G23" s="16">
        <f>IFERROR(BDP(A23&amp;" "&amp;PX_SRC&amp;" Curncy","PX_LAST"),"")</f>
        <v/>
      </c>
      <c r="H23" s="25">
        <f>IFERROR((E23+F23)/2,IFERROR(G23,""))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6">
        <f>IFERROR(BDP(A24&amp;" "&amp;PX_SRC&amp;" Curncy","PX_BID"),"")</f>
        <v/>
      </c>
      <c r="F24" s="16">
        <f>IFERROR(BDP(A24&amp;" "&amp;PX_SRC&amp;" Curncy","PX_ASK"),"")</f>
        <v/>
      </c>
      <c r="G24" s="16">
        <f>IFERROR(BDP(A24&amp;" "&amp;PX_SRC&amp;" Curncy","PX_LAST"),"")</f>
        <v/>
      </c>
      <c r="H24" s="25">
        <f>IFERROR((E24+F24)/2,IFERROR(G24,""))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6">
        <f>IFERROR(BDP(A25&amp;" "&amp;PX_SRC&amp;" Curncy","PX_BID"),"")</f>
        <v/>
      </c>
      <c r="F25" s="16">
        <f>IFERROR(BDP(A25&amp;" "&amp;PX_SRC&amp;" Curncy","PX_ASK"),"")</f>
        <v/>
      </c>
      <c r="G25" s="16">
        <f>IFERROR(BDP(A25&amp;" "&amp;PX_SRC&amp;" Curncy","PX_LAST"),"")</f>
        <v/>
      </c>
      <c r="H25" s="25">
        <f>IFERROR((E25+F25)/2,IFERROR(G25,""))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6">
        <f>IFERROR(BDP(A26&amp;" "&amp;PX_SRC&amp;" Curncy","PX_BID"),"")</f>
        <v/>
      </c>
      <c r="F26" s="16">
        <f>IFERROR(BDP(A26&amp;" "&amp;PX_SRC&amp;" Curncy","PX_ASK"),"")</f>
        <v/>
      </c>
      <c r="G26" s="16">
        <f>IFERROR(BDP(A26&amp;" "&amp;PX_SRC&amp;" Curncy","PX_LAST"),"")</f>
        <v/>
      </c>
      <c r="H26" s="25">
        <f>IFERROR((E26+F26)/2,IFERROR(G26,""))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6">
        <f>IFERROR(BDP(A27&amp;" "&amp;PX_SRC&amp;" Curncy","PX_BID"),"")</f>
        <v/>
      </c>
      <c r="F27" s="16">
        <f>IFERROR(BDP(A27&amp;" "&amp;PX_SRC&amp;" Curncy","PX_ASK"),"")</f>
        <v/>
      </c>
      <c r="G27" s="16">
        <f>IFERROR(BDP(A27&amp;" "&amp;PX_SRC&amp;" Curncy","PX_LAST"),"")</f>
        <v/>
      </c>
      <c r="H27" s="25">
        <f>IFERROR((E27+F27)/2,IFERROR(G27,""))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6">
        <f>IFERROR(BDP(A28&amp;" "&amp;PX_SRC&amp;" Curncy","PX_BID"),"")</f>
        <v/>
      </c>
      <c r="F28" s="16">
        <f>IFERROR(BDP(A28&amp;" "&amp;PX_SRC&amp;" Curncy","PX_ASK"),"")</f>
        <v/>
      </c>
      <c r="G28" s="16">
        <f>IFERROR(BDP(A28&amp;" "&amp;PX_SRC&amp;" Curncy","PX_LAST"),"")</f>
        <v/>
      </c>
      <c r="H28" s="25">
        <f>IFERROR((E28+F28)/2,IFERROR(G28,""))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6">
        <f>IFERROR(BDP(A29&amp;" "&amp;PX_SRC&amp;" Curncy","PX_BID"),"")</f>
        <v/>
      </c>
      <c r="F29" s="16">
        <f>IFERROR(BDP(A29&amp;" "&amp;PX_SRC&amp;" Curncy","PX_ASK"),"")</f>
        <v/>
      </c>
      <c r="G29" s="16">
        <f>IFERROR(BDP(A29&amp;" "&amp;PX_SRC&amp;" Curncy","PX_LAST"),"")</f>
        <v/>
      </c>
      <c r="H29" s="25">
        <f>IFERROR((E29+F29)/2,IFERROR(G29,""))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6">
        <f>IFERROR(BDP(A30&amp;" "&amp;PX_SRC&amp;" Curncy","PX_BID"),"")</f>
        <v/>
      </c>
      <c r="F30" s="16">
        <f>IFERROR(BDP(A30&amp;" "&amp;PX_SRC&amp;" Curncy","PX_ASK"),"")</f>
        <v/>
      </c>
      <c r="G30" s="16">
        <f>IFERROR(BDP(A30&amp;" "&amp;PX_SRC&amp;" Curncy","PX_LAST"),"")</f>
        <v/>
      </c>
      <c r="H30" s="25">
        <f>IFERROR((E30+F30)/2,IFERROR(G30,""))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6">
        <f>IFERROR(BDP(A31&amp;" "&amp;PX_SRC&amp;" Curncy","PX_BID"),"")</f>
        <v/>
      </c>
      <c r="F31" s="16">
        <f>IFERROR(BDP(A31&amp;" "&amp;PX_SRC&amp;" Curncy","PX_ASK"),"")</f>
        <v/>
      </c>
      <c r="G31" s="16">
        <f>IFERROR(BDP(A31&amp;" "&amp;PX_SRC&amp;" Curncy","PX_LAST"),"")</f>
        <v/>
      </c>
      <c r="H31" s="25">
        <f>IFERROR((E31+F31)/2,IFERROR(G31,""))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6">
        <f>IFERROR(BDP(A32&amp;" "&amp;PX_SRC&amp;" Curncy","PX_BID"),"")</f>
        <v/>
      </c>
      <c r="F32" s="16">
        <f>IFERROR(BDP(A32&amp;" "&amp;PX_SRC&amp;" Curncy","PX_ASK"),"")</f>
        <v/>
      </c>
      <c r="G32" s="16">
        <f>IFERROR(BDP(A32&amp;" "&amp;PX_SRC&amp;" Curncy","PX_LAST"),"")</f>
        <v/>
      </c>
      <c r="H32" s="25">
        <f>IFERROR((E32+F32)/2,IFERROR(G32,""))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6">
        <f>IFERROR(BDP(A33&amp;" "&amp;PX_SRC&amp;" Curncy","PX_BID"),"")</f>
        <v/>
      </c>
      <c r="F33" s="16">
        <f>IFERROR(BDP(A33&amp;" "&amp;PX_SRC&amp;" Curncy","PX_ASK"),"")</f>
        <v/>
      </c>
      <c r="G33" s="16">
        <f>IFERROR(BDP(A33&amp;" "&amp;PX_SRC&amp;" Curncy","PX_LAST"),"")</f>
        <v/>
      </c>
      <c r="H33" s="25">
        <f>IFERROR((E33+F33)/2,IFERROR(G33,""))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6">
        <f>IFERROR(BDP(A34&amp;" "&amp;PX_SRC&amp;" Curncy","PX_BID"),"")</f>
        <v/>
      </c>
      <c r="F34" s="16">
        <f>IFERROR(BDP(A34&amp;" "&amp;PX_SRC&amp;" Curncy","PX_ASK"),"")</f>
        <v/>
      </c>
      <c r="G34" s="16">
        <f>IFERROR(BDP(A34&amp;" "&amp;PX_SRC&amp;" Curncy","PX_LAST"),"")</f>
        <v/>
      </c>
      <c r="H34" s="25">
        <f>IFERROR((E34+F34)/2,IFERROR(G34,""))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6">
        <f>IFERROR(BDP(A35&amp;" "&amp;PX_SRC&amp;" Curncy","PX_BID"),"")</f>
        <v/>
      </c>
      <c r="F35" s="16">
        <f>IFERROR(BDP(A35&amp;" "&amp;PX_SRC&amp;" Curncy","PX_ASK"),"")</f>
        <v/>
      </c>
      <c r="G35" s="16">
        <f>IFERROR(BDP(A35&amp;" "&amp;PX_SRC&amp;" Curncy","PX_LAST"),"")</f>
        <v/>
      </c>
      <c r="H35" s="25">
        <f>IFERROR((E35+F35)/2,IFERROR(G35,""))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6">
        <f>IFERROR(BDP(A36&amp;" "&amp;PX_SRC&amp;" Curncy","PX_BID"),"")</f>
        <v/>
      </c>
      <c r="F36" s="16">
        <f>IFERROR(BDP(A36&amp;" "&amp;PX_SRC&amp;" Curncy","PX_ASK"),"")</f>
        <v/>
      </c>
      <c r="G36" s="16">
        <f>IFERROR(BDP(A36&amp;" "&amp;PX_SRC&amp;" Curncy","PX_LAST"),"")</f>
        <v/>
      </c>
      <c r="H36" s="25">
        <f>IFERROR((E36+F36)/2,IFERROR(G36,""))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2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6" customWidth="1" min="15" max="15"/>
    <col width="12" customWidth="1" min="16" max="16"/>
    <col width="12" customWidth="1" min="17" max="17"/>
    <col width="15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</t>
        </is>
      </c>
    </row>
    <row r="2">
      <c r="A2" s="2" t="inlineStr">
        <is>
          <t>Three-segment USD curve (Zhou 2002): short OIS (≤1Y) · SR3 futures (1Y–5Y) · OIS swaps (5Y–50Y)</t>
        </is>
      </c>
    </row>
    <row r="4">
      <c r="A4" s="13" t="inlineStr">
        <is>
          <t>Spot (T+2):</t>
        </is>
      </c>
      <c r="B4" s="17">
        <f>WORKDAY(VAL_DATE,2)</f>
        <v/>
      </c>
    </row>
    <row r="5" ht="58" customHeight="1">
      <c r="A5" s="9" t="inlineStr">
        <is>
          <t>SHORT (o/n–1Y): single-payment SOFR OIS, DF = 1/(1+S·τ0).  MIDDLE (1Y–5Y): the DF at 18M/2Y/3Y/4Y/5Y is interpolated off the SR3 futures chain (helper block cols O–W), which discounts each contract's forward rate forward from the OIS 1Y DF — so 18M/2Y…5Y here are driven by FUTURES, not the OIS pars (col E is shown only for reference).  LONG (5Y–50Y): annual SOFR OIS swaps, DF = (1−S·A_prior)/(1+S·τcoupon), with the annuity (col I) built from the short + futures DFs. Cutovers at 1Y and 5Y mean nothing overlaps. Paste S490 zeros into column L for the Δz check.</t>
        </is>
      </c>
    </row>
    <row r="6">
      <c r="O6" s="4" t="inlineStr">
        <is>
          <t>MIDDLE SEGMENT — SR3 futures chain (1Y→5Y)</t>
        </is>
      </c>
      <c r="Y6" s="4" t="inlineStr">
        <is>
          <t>Mid interp grid</t>
        </is>
      </c>
    </row>
    <row r="7">
      <c r="A7" s="19" t="inlineStr">
        <is>
          <t>Tenor</t>
        </is>
      </c>
      <c r="B7" s="19" t="inlineStr">
        <is>
          <t>Maturity date</t>
        </is>
      </c>
      <c r="C7" s="19" t="inlineStr">
        <is>
          <t>T (yrs)</t>
        </is>
      </c>
      <c r="D7" s="19" t="inlineStr">
        <is>
          <t>τ0 spot→mat</t>
        </is>
      </c>
      <c r="E7" s="19" t="inlineStr">
        <is>
          <t>Par rate S (%)</t>
        </is>
      </c>
      <c r="F7" s="19" t="inlineStr">
        <is>
          <t>τ coupon</t>
        </is>
      </c>
      <c r="G7" s="19" t="inlineStr">
        <is>
          <t>Annuity A(prior)</t>
        </is>
      </c>
      <c r="H7" s="19" t="inlineStr">
        <is>
          <t>Discount factor</t>
        </is>
      </c>
      <c r="I7" s="19" t="inlineStr">
        <is>
          <t>Ann.add τ·DF</t>
        </is>
      </c>
      <c r="J7" s="19" t="inlineStr">
        <is>
          <t>Zero rate (%) cont.</t>
        </is>
      </c>
      <c r="K7" s="19" t="inlineStr">
        <is>
          <t>Fwd rate (%)</t>
        </is>
      </c>
      <c r="L7" s="19" t="inlineStr">
        <is>
          <t>S490 zero (%) [paste]</t>
        </is>
      </c>
      <c r="M7" s="19" t="inlineStr">
        <is>
          <t>Δ vs S490 (bp)</t>
        </is>
      </c>
      <c r="O7" s="19" t="inlineStr">
        <is>
          <t>Contract</t>
        </is>
      </c>
      <c r="P7" s="19" t="inlineStr">
        <is>
          <t>Fut start</t>
        </is>
      </c>
      <c r="Q7" s="19" t="inlineStr">
        <is>
          <t>Fut end</t>
        </is>
      </c>
      <c r="R7" s="19" t="inlineStr">
        <is>
          <t>τ eff (post-1Y)</t>
        </is>
      </c>
      <c r="S7" s="19" t="inlineStr">
        <is>
          <t>Implied %</t>
        </is>
      </c>
      <c r="T7" s="19" t="inlineStr">
        <is>
          <t>Convexity bp</t>
        </is>
      </c>
      <c r="U7" s="19" t="inlineStr">
        <is>
          <t>Fwd</t>
        </is>
      </c>
      <c r="V7" s="19" t="inlineStr">
        <is>
          <t>DF before</t>
        </is>
      </c>
      <c r="W7" s="19" t="inlineStr">
        <is>
          <t>DF after</t>
        </is>
      </c>
      <c r="Y7" s="19" t="inlineStr">
        <is>
          <t>Date</t>
        </is>
      </c>
      <c r="Z7" s="19" t="inlineStr">
        <is>
          <t>DF</t>
        </is>
      </c>
    </row>
    <row r="8">
      <c r="A8" s="6" t="inlineStr">
        <is>
          <t>1W</t>
        </is>
      </c>
      <c r="B8" s="17">
        <f>$B$4+7</f>
        <v/>
      </c>
      <c r="C8" s="27">
        <f>(B8-$B$4)/365</f>
        <v/>
      </c>
      <c r="D8" s="16">
        <f>(B8-$B$4)/360</f>
        <v/>
      </c>
      <c r="E8" s="16">
        <f>'SOFR_OIS_Quotes'!$H5</f>
        <v/>
      </c>
      <c r="F8" s="6" t="n"/>
      <c r="G8" s="16" t="n">
        <v>0</v>
      </c>
      <c r="H8" s="28">
        <f>1/(1+(E8/100)*D8)</f>
        <v/>
      </c>
      <c r="I8" s="16" t="n">
        <v>0</v>
      </c>
      <c r="J8" s="16">
        <f>-LN(H8)/C8*100</f>
        <v/>
      </c>
      <c r="K8" s="16">
        <f>(1/H8-1)/D8*100</f>
        <v/>
      </c>
      <c r="L8" s="29" t="n"/>
      <c r="M8" s="30">
        <f>IF(L8="","",(J8-L8)*100)</f>
        <v/>
      </c>
      <c r="O8" s="6">
        <f>'SOFR_Futures'!A7</f>
        <v/>
      </c>
      <c r="P8" s="17">
        <f>'SOFR_Futures'!H7</f>
        <v/>
      </c>
      <c r="Q8" s="17">
        <f>'SOFR_Futures'!H8</f>
        <v/>
      </c>
      <c r="R8" s="16">
        <f>MAX(0,(Q8-MAX(P8,$B$22))/360)</f>
        <v/>
      </c>
      <c r="S8" s="16">
        <f>'SOFR_Futures'!F7</f>
        <v/>
      </c>
      <c r="T8" s="31" t="n">
        <v>0</v>
      </c>
      <c r="U8" s="32">
        <f>(S8-T8/100)/100</f>
        <v/>
      </c>
      <c r="V8" s="33">
        <f>$H$22</f>
        <v/>
      </c>
      <c r="W8" s="33">
        <f>V8/(1+U8*R8)</f>
        <v/>
      </c>
      <c r="Y8" s="17">
        <f>$B$22</f>
        <v/>
      </c>
      <c r="Z8" s="33">
        <f>$H$22</f>
        <v/>
      </c>
    </row>
    <row r="9">
      <c r="A9" s="6" t="inlineStr">
        <is>
          <t>2W</t>
        </is>
      </c>
      <c r="B9" s="17">
        <f>$B$4+14</f>
        <v/>
      </c>
      <c r="C9" s="27">
        <f>(B9-$B$4)/365</f>
        <v/>
      </c>
      <c r="D9" s="16">
        <f>(B9-$B$4)/360</f>
        <v/>
      </c>
      <c r="E9" s="16">
        <f>'SOFR_OIS_Quotes'!$H6</f>
        <v/>
      </c>
      <c r="F9" s="6" t="n"/>
      <c r="G9" s="16">
        <f>SUM($I$8:I8)</f>
        <v/>
      </c>
      <c r="H9" s="28">
        <f>1/(1+(E9/100)*D9)</f>
        <v/>
      </c>
      <c r="I9" s="16" t="n">
        <v>0</v>
      </c>
      <c r="J9" s="16">
        <f>-LN(H9)/C9*100</f>
        <v/>
      </c>
      <c r="K9" s="16">
        <f>(H8/H9-1)/((B9-B8)/360)*100</f>
        <v/>
      </c>
      <c r="L9" s="29" t="n"/>
      <c r="M9" s="30">
        <f>IF(L9="","",(J9-L9)*100)</f>
        <v/>
      </c>
      <c r="O9" s="6">
        <f>'SOFR_Futures'!A8</f>
        <v/>
      </c>
      <c r="P9" s="17">
        <f>'SOFR_Futures'!H8</f>
        <v/>
      </c>
      <c r="Q9" s="17">
        <f>'SOFR_Futures'!H9</f>
        <v/>
      </c>
      <c r="R9" s="16">
        <f>MAX(0,(Q9-MAX(P9,$B$22))/360)</f>
        <v/>
      </c>
      <c r="S9" s="16">
        <f>'SOFR_Futures'!F8</f>
        <v/>
      </c>
      <c r="T9" s="31" t="n">
        <v>0</v>
      </c>
      <c r="U9" s="32">
        <f>(S9-T9/100)/100</f>
        <v/>
      </c>
      <c r="V9" s="33">
        <f>W8</f>
        <v/>
      </c>
      <c r="W9" s="33">
        <f>V9/(1+U9*R9)</f>
        <v/>
      </c>
      <c r="Y9" s="17">
        <f>MAX(Q8,$B$22)</f>
        <v/>
      </c>
      <c r="Z9" s="33">
        <f>W8</f>
        <v/>
      </c>
    </row>
    <row r="10">
      <c r="A10" s="6" t="inlineStr">
        <is>
          <t>3W</t>
        </is>
      </c>
      <c r="B10" s="17">
        <f>$B$4+21</f>
        <v/>
      </c>
      <c r="C10" s="27">
        <f>(B10-$B$4)/365</f>
        <v/>
      </c>
      <c r="D10" s="16">
        <f>(B10-$B$4)/360</f>
        <v/>
      </c>
      <c r="E10" s="16">
        <f>'SOFR_OIS_Quotes'!$H7</f>
        <v/>
      </c>
      <c r="F10" s="6" t="n"/>
      <c r="G10" s="16">
        <f>SUM($I$8:I9)</f>
        <v/>
      </c>
      <c r="H10" s="28">
        <f>1/(1+(E10/100)*D10)</f>
        <v/>
      </c>
      <c r="I10" s="16" t="n">
        <v>0</v>
      </c>
      <c r="J10" s="16">
        <f>-LN(H10)/C10*100</f>
        <v/>
      </c>
      <c r="K10" s="16">
        <f>(H9/H10-1)/((B10-B9)/360)*100</f>
        <v/>
      </c>
      <c r="L10" s="29" t="n"/>
      <c r="M10" s="30">
        <f>IF(L10="","",(J10-L10)*100)</f>
        <v/>
      </c>
      <c r="O10" s="6">
        <f>'SOFR_Futures'!A9</f>
        <v/>
      </c>
      <c r="P10" s="17">
        <f>'SOFR_Futures'!H9</f>
        <v/>
      </c>
      <c r="Q10" s="17">
        <f>'SOFR_Futures'!H10</f>
        <v/>
      </c>
      <c r="R10" s="16">
        <f>MAX(0,(Q10-MAX(P10,$B$22))/360)</f>
        <v/>
      </c>
      <c r="S10" s="16">
        <f>'SOFR_Futures'!F9</f>
        <v/>
      </c>
      <c r="T10" s="31" t="n">
        <v>0</v>
      </c>
      <c r="U10" s="32">
        <f>(S10-T10/100)/100</f>
        <v/>
      </c>
      <c r="V10" s="33">
        <f>W9</f>
        <v/>
      </c>
      <c r="W10" s="33">
        <f>V10/(1+U10*R10)</f>
        <v/>
      </c>
      <c r="Y10" s="17">
        <f>MAX(Q9,$B$22)</f>
        <v/>
      </c>
      <c r="Z10" s="33">
        <f>W9</f>
        <v/>
      </c>
    </row>
    <row r="11">
      <c r="A11" s="6" t="inlineStr">
        <is>
          <t>1M</t>
        </is>
      </c>
      <c r="B11" s="17">
        <f>EDATE($B$4,1)</f>
        <v/>
      </c>
      <c r="C11" s="27">
        <f>(B11-$B$4)/365</f>
        <v/>
      </c>
      <c r="D11" s="16">
        <f>(B11-$B$4)/360</f>
        <v/>
      </c>
      <c r="E11" s="16">
        <f>'SOFR_OIS_Quotes'!$H8</f>
        <v/>
      </c>
      <c r="F11" s="6" t="n"/>
      <c r="G11" s="16">
        <f>SUM($I$8:I10)</f>
        <v/>
      </c>
      <c r="H11" s="28">
        <f>1/(1+(E11/100)*D11)</f>
        <v/>
      </c>
      <c r="I11" s="16" t="n">
        <v>0</v>
      </c>
      <c r="J11" s="16">
        <f>-LN(H11)/C11*100</f>
        <v/>
      </c>
      <c r="K11" s="16">
        <f>(H10/H11-1)/((B11-B10)/360)*100</f>
        <v/>
      </c>
      <c r="L11" s="29" t="n"/>
      <c r="M11" s="30">
        <f>IF(L11="","",(J11-L11)*100)</f>
        <v/>
      </c>
      <c r="O11" s="6">
        <f>'SOFR_Futures'!A10</f>
        <v/>
      </c>
      <c r="P11" s="17">
        <f>'SOFR_Futures'!H10</f>
        <v/>
      </c>
      <c r="Q11" s="17">
        <f>'SOFR_Futures'!H11</f>
        <v/>
      </c>
      <c r="R11" s="16">
        <f>MAX(0,(Q11-MAX(P11,$B$22))/360)</f>
        <v/>
      </c>
      <c r="S11" s="16">
        <f>'SOFR_Futures'!F10</f>
        <v/>
      </c>
      <c r="T11" s="31" t="n">
        <v>0</v>
      </c>
      <c r="U11" s="32">
        <f>(S11-T11/100)/100</f>
        <v/>
      </c>
      <c r="V11" s="33">
        <f>W10</f>
        <v/>
      </c>
      <c r="W11" s="33">
        <f>V11/(1+U11*R11)</f>
        <v/>
      </c>
      <c r="Y11" s="17">
        <f>MAX(Q10,$B$22)</f>
        <v/>
      </c>
      <c r="Z11" s="33">
        <f>W10</f>
        <v/>
      </c>
    </row>
    <row r="12">
      <c r="A12" s="6" t="inlineStr">
        <is>
          <t>2M</t>
        </is>
      </c>
      <c r="B12" s="17">
        <f>EDATE($B$4,2)</f>
        <v/>
      </c>
      <c r="C12" s="27">
        <f>(B12-$B$4)/365</f>
        <v/>
      </c>
      <c r="D12" s="16">
        <f>(B12-$B$4)/360</f>
        <v/>
      </c>
      <c r="E12" s="16">
        <f>'SOFR_OIS_Quotes'!$H9</f>
        <v/>
      </c>
      <c r="F12" s="6" t="n"/>
      <c r="G12" s="16">
        <f>SUM($I$8:I11)</f>
        <v/>
      </c>
      <c r="H12" s="28">
        <f>1/(1+(E12/100)*D12)</f>
        <v/>
      </c>
      <c r="I12" s="16" t="n">
        <v>0</v>
      </c>
      <c r="J12" s="16">
        <f>-LN(H12)/C12*100</f>
        <v/>
      </c>
      <c r="K12" s="16">
        <f>(H11/H12-1)/((B12-B11)/360)*100</f>
        <v/>
      </c>
      <c r="L12" s="29" t="n"/>
      <c r="M12" s="30">
        <f>IF(L12="","",(J12-L12)*100)</f>
        <v/>
      </c>
      <c r="O12" s="6">
        <f>'SOFR_Futures'!A11</f>
        <v/>
      </c>
      <c r="P12" s="17">
        <f>'SOFR_Futures'!H11</f>
        <v/>
      </c>
      <c r="Q12" s="17">
        <f>'SOFR_Futures'!H12</f>
        <v/>
      </c>
      <c r="R12" s="16">
        <f>MAX(0,(Q12-MAX(P12,$B$22))/360)</f>
        <v/>
      </c>
      <c r="S12" s="16">
        <f>'SOFR_Futures'!F11</f>
        <v/>
      </c>
      <c r="T12" s="31" t="n">
        <v>0</v>
      </c>
      <c r="U12" s="32">
        <f>(S12-T12/100)/100</f>
        <v/>
      </c>
      <c r="V12" s="33">
        <f>W11</f>
        <v/>
      </c>
      <c r="W12" s="33">
        <f>V12/(1+U12*R12)</f>
        <v/>
      </c>
      <c r="Y12" s="17">
        <f>MAX(Q11,$B$22)</f>
        <v/>
      </c>
      <c r="Z12" s="33">
        <f>W11</f>
        <v/>
      </c>
    </row>
    <row r="13">
      <c r="A13" s="6" t="inlineStr">
        <is>
          <t>3M</t>
        </is>
      </c>
      <c r="B13" s="17">
        <f>EDATE($B$4,3)</f>
        <v/>
      </c>
      <c r="C13" s="27">
        <f>(B13-$B$4)/365</f>
        <v/>
      </c>
      <c r="D13" s="16">
        <f>(B13-$B$4)/360</f>
        <v/>
      </c>
      <c r="E13" s="16">
        <f>'SOFR_OIS_Quotes'!$H10</f>
        <v/>
      </c>
      <c r="F13" s="6" t="n"/>
      <c r="G13" s="16">
        <f>SUM($I$8:I12)</f>
        <v/>
      </c>
      <c r="H13" s="28">
        <f>1/(1+(E13/100)*D13)</f>
        <v/>
      </c>
      <c r="I13" s="16" t="n">
        <v>0</v>
      </c>
      <c r="J13" s="16">
        <f>-LN(H13)/C13*100</f>
        <v/>
      </c>
      <c r="K13" s="16">
        <f>(H12/H13-1)/((B13-B12)/360)*100</f>
        <v/>
      </c>
      <c r="L13" s="29" t="n"/>
      <c r="M13" s="30">
        <f>IF(L13="","",(J13-L13)*100)</f>
        <v/>
      </c>
      <c r="O13" s="6">
        <f>'SOFR_Futures'!A12</f>
        <v/>
      </c>
      <c r="P13" s="17">
        <f>'SOFR_Futures'!H12</f>
        <v/>
      </c>
      <c r="Q13" s="17">
        <f>'SOFR_Futures'!H13</f>
        <v/>
      </c>
      <c r="R13" s="16">
        <f>MAX(0,(Q13-MAX(P13,$B$22))/360)</f>
        <v/>
      </c>
      <c r="S13" s="16">
        <f>'SOFR_Futures'!F12</f>
        <v/>
      </c>
      <c r="T13" s="31" t="n">
        <v>0</v>
      </c>
      <c r="U13" s="32">
        <f>(S13-T13/100)/100</f>
        <v/>
      </c>
      <c r="V13" s="33">
        <f>W12</f>
        <v/>
      </c>
      <c r="W13" s="33">
        <f>V13/(1+U13*R13)</f>
        <v/>
      </c>
      <c r="Y13" s="17">
        <f>MAX(Q12,$B$22)</f>
        <v/>
      </c>
      <c r="Z13" s="33">
        <f>W12</f>
        <v/>
      </c>
    </row>
    <row r="14">
      <c r="A14" s="6" t="inlineStr">
        <is>
          <t>4M</t>
        </is>
      </c>
      <c r="B14" s="17">
        <f>EDATE($B$4,4)</f>
        <v/>
      </c>
      <c r="C14" s="27">
        <f>(B14-$B$4)/365</f>
        <v/>
      </c>
      <c r="D14" s="16">
        <f>(B14-$B$4)/360</f>
        <v/>
      </c>
      <c r="E14" s="16">
        <f>'SOFR_OIS_Quotes'!$H11</f>
        <v/>
      </c>
      <c r="F14" s="6" t="n"/>
      <c r="G14" s="16">
        <f>SUM($I$8:I13)</f>
        <v/>
      </c>
      <c r="H14" s="28">
        <f>1/(1+(E14/100)*D14)</f>
        <v/>
      </c>
      <c r="I14" s="16" t="n">
        <v>0</v>
      </c>
      <c r="J14" s="16">
        <f>-LN(H14)/C14*100</f>
        <v/>
      </c>
      <c r="K14" s="16">
        <f>(H13/H14-1)/((B14-B13)/360)*100</f>
        <v/>
      </c>
      <c r="L14" s="29" t="n"/>
      <c r="M14" s="30">
        <f>IF(L14="","",(J14-L14)*100)</f>
        <v/>
      </c>
      <c r="O14" s="6">
        <f>'SOFR_Futures'!A13</f>
        <v/>
      </c>
      <c r="P14" s="17">
        <f>'SOFR_Futures'!H13</f>
        <v/>
      </c>
      <c r="Q14" s="17">
        <f>'SOFR_Futures'!H14</f>
        <v/>
      </c>
      <c r="R14" s="16">
        <f>MAX(0,(Q14-MAX(P14,$B$22))/360)</f>
        <v/>
      </c>
      <c r="S14" s="16">
        <f>'SOFR_Futures'!F13</f>
        <v/>
      </c>
      <c r="T14" s="31" t="n">
        <v>0</v>
      </c>
      <c r="U14" s="32">
        <f>(S14-T14/100)/100</f>
        <v/>
      </c>
      <c r="V14" s="33">
        <f>W13</f>
        <v/>
      </c>
      <c r="W14" s="33">
        <f>V14/(1+U14*R14)</f>
        <v/>
      </c>
      <c r="Y14" s="17">
        <f>MAX(Q13,$B$22)</f>
        <v/>
      </c>
      <c r="Z14" s="33">
        <f>W13</f>
        <v/>
      </c>
    </row>
    <row r="15">
      <c r="A15" s="6" t="inlineStr">
        <is>
          <t>5M</t>
        </is>
      </c>
      <c r="B15" s="17">
        <f>EDATE($B$4,5)</f>
        <v/>
      </c>
      <c r="C15" s="27">
        <f>(B15-$B$4)/365</f>
        <v/>
      </c>
      <c r="D15" s="16">
        <f>(B15-$B$4)/360</f>
        <v/>
      </c>
      <c r="E15" s="16">
        <f>'SOFR_OIS_Quotes'!$H12</f>
        <v/>
      </c>
      <c r="F15" s="6" t="n"/>
      <c r="G15" s="16">
        <f>SUM($I$8:I14)</f>
        <v/>
      </c>
      <c r="H15" s="28">
        <f>1/(1+(E15/100)*D15)</f>
        <v/>
      </c>
      <c r="I15" s="16" t="n">
        <v>0</v>
      </c>
      <c r="J15" s="16">
        <f>-LN(H15)/C15*100</f>
        <v/>
      </c>
      <c r="K15" s="16">
        <f>(H14/H15-1)/((B15-B14)/360)*100</f>
        <v/>
      </c>
      <c r="L15" s="29" t="n"/>
      <c r="M15" s="30">
        <f>IF(L15="","",(J15-L15)*100)</f>
        <v/>
      </c>
      <c r="O15" s="6">
        <f>'SOFR_Futures'!A14</f>
        <v/>
      </c>
      <c r="P15" s="17">
        <f>'SOFR_Futures'!H14</f>
        <v/>
      </c>
      <c r="Q15" s="17">
        <f>'SOFR_Futures'!H15</f>
        <v/>
      </c>
      <c r="R15" s="16">
        <f>MAX(0,(Q15-MAX(P15,$B$22))/360)</f>
        <v/>
      </c>
      <c r="S15" s="16">
        <f>'SOFR_Futures'!F14</f>
        <v/>
      </c>
      <c r="T15" s="31" t="n">
        <v>0</v>
      </c>
      <c r="U15" s="32">
        <f>(S15-T15/100)/100</f>
        <v/>
      </c>
      <c r="V15" s="33">
        <f>W14</f>
        <v/>
      </c>
      <c r="W15" s="33">
        <f>V15/(1+U15*R15)</f>
        <v/>
      </c>
      <c r="Y15" s="17">
        <f>MAX(Q14,$B$22)</f>
        <v/>
      </c>
      <c r="Z15" s="33">
        <f>W14</f>
        <v/>
      </c>
    </row>
    <row r="16">
      <c r="A16" s="6" t="inlineStr">
        <is>
          <t>6M</t>
        </is>
      </c>
      <c r="B16" s="17">
        <f>EDATE($B$4,6)</f>
        <v/>
      </c>
      <c r="C16" s="27">
        <f>(B16-$B$4)/365</f>
        <v/>
      </c>
      <c r="D16" s="16">
        <f>(B16-$B$4)/360</f>
        <v/>
      </c>
      <c r="E16" s="16">
        <f>'SOFR_OIS_Quotes'!$H13</f>
        <v/>
      </c>
      <c r="F16" s="6" t="n"/>
      <c r="G16" s="16">
        <f>SUM($I$8:I15)</f>
        <v/>
      </c>
      <c r="H16" s="28">
        <f>1/(1+(E16/100)*D16)</f>
        <v/>
      </c>
      <c r="I16" s="16" t="n">
        <v>0</v>
      </c>
      <c r="J16" s="16">
        <f>-LN(H16)/C16*100</f>
        <v/>
      </c>
      <c r="K16" s="16">
        <f>(H15/H16-1)/((B16-B15)/360)*100</f>
        <v/>
      </c>
      <c r="L16" s="29" t="n"/>
      <c r="M16" s="30">
        <f>IF(L16="","",(J16-L16)*100)</f>
        <v/>
      </c>
      <c r="O16" s="6">
        <f>'SOFR_Futures'!A15</f>
        <v/>
      </c>
      <c r="P16" s="17">
        <f>'SOFR_Futures'!H15</f>
        <v/>
      </c>
      <c r="Q16" s="17">
        <f>'SOFR_Futures'!H16</f>
        <v/>
      </c>
      <c r="R16" s="16">
        <f>MAX(0,(Q16-MAX(P16,$B$22))/360)</f>
        <v/>
      </c>
      <c r="S16" s="16">
        <f>'SOFR_Futures'!F15</f>
        <v/>
      </c>
      <c r="T16" s="31" t="n">
        <v>0</v>
      </c>
      <c r="U16" s="32">
        <f>(S16-T16/100)/100</f>
        <v/>
      </c>
      <c r="V16" s="33">
        <f>W15</f>
        <v/>
      </c>
      <c r="W16" s="33">
        <f>V16/(1+U16*R16)</f>
        <v/>
      </c>
      <c r="Y16" s="17">
        <f>MAX(Q15,$B$22)</f>
        <v/>
      </c>
      <c r="Z16" s="33">
        <f>W15</f>
        <v/>
      </c>
    </row>
    <row r="17">
      <c r="A17" s="6" t="inlineStr">
        <is>
          <t>7M</t>
        </is>
      </c>
      <c r="B17" s="17">
        <f>EDATE($B$4,7)</f>
        <v/>
      </c>
      <c r="C17" s="27">
        <f>(B17-$B$4)/365</f>
        <v/>
      </c>
      <c r="D17" s="16">
        <f>(B17-$B$4)/360</f>
        <v/>
      </c>
      <c r="E17" s="16">
        <f>'SOFR_OIS_Quotes'!$H14</f>
        <v/>
      </c>
      <c r="F17" s="6" t="n"/>
      <c r="G17" s="16">
        <f>SUM($I$8:I16)</f>
        <v/>
      </c>
      <c r="H17" s="28">
        <f>1/(1+(E17/100)*D17)</f>
        <v/>
      </c>
      <c r="I17" s="16" t="n">
        <v>0</v>
      </c>
      <c r="J17" s="16">
        <f>-LN(H17)/C17*100</f>
        <v/>
      </c>
      <c r="K17" s="16">
        <f>(H16/H17-1)/((B17-B16)/360)*100</f>
        <v/>
      </c>
      <c r="L17" s="29" t="n"/>
      <c r="M17" s="30">
        <f>IF(L17="","",(J17-L17)*100)</f>
        <v/>
      </c>
      <c r="O17" s="6">
        <f>'SOFR_Futures'!A16</f>
        <v/>
      </c>
      <c r="P17" s="17">
        <f>'SOFR_Futures'!H16</f>
        <v/>
      </c>
      <c r="Q17" s="17">
        <f>'SOFR_Futures'!H17</f>
        <v/>
      </c>
      <c r="R17" s="16">
        <f>MAX(0,(Q17-MAX(P17,$B$22))/360)</f>
        <v/>
      </c>
      <c r="S17" s="16">
        <f>'SOFR_Futures'!F16</f>
        <v/>
      </c>
      <c r="T17" s="31" t="n">
        <v>0</v>
      </c>
      <c r="U17" s="32">
        <f>(S17-T17/100)/100</f>
        <v/>
      </c>
      <c r="V17" s="33">
        <f>W16</f>
        <v/>
      </c>
      <c r="W17" s="33">
        <f>V17/(1+U17*R17)</f>
        <v/>
      </c>
      <c r="Y17" s="17">
        <f>MAX(Q16,$B$22)</f>
        <v/>
      </c>
      <c r="Z17" s="33">
        <f>W16</f>
        <v/>
      </c>
    </row>
    <row r="18">
      <c r="A18" s="6" t="inlineStr">
        <is>
          <t>8M</t>
        </is>
      </c>
      <c r="B18" s="17">
        <f>EDATE($B$4,8)</f>
        <v/>
      </c>
      <c r="C18" s="27">
        <f>(B18-$B$4)/365</f>
        <v/>
      </c>
      <c r="D18" s="16">
        <f>(B18-$B$4)/360</f>
        <v/>
      </c>
      <c r="E18" s="16">
        <f>'SOFR_OIS_Quotes'!$H15</f>
        <v/>
      </c>
      <c r="F18" s="6" t="n"/>
      <c r="G18" s="16">
        <f>SUM($I$8:I17)</f>
        <v/>
      </c>
      <c r="H18" s="28">
        <f>1/(1+(E18/100)*D18)</f>
        <v/>
      </c>
      <c r="I18" s="16" t="n">
        <v>0</v>
      </c>
      <c r="J18" s="16">
        <f>-LN(H18)/C18*100</f>
        <v/>
      </c>
      <c r="K18" s="16">
        <f>(H17/H18-1)/((B18-B17)/360)*100</f>
        <v/>
      </c>
      <c r="L18" s="29" t="n"/>
      <c r="M18" s="30">
        <f>IF(L18="","",(J18-L18)*100)</f>
        <v/>
      </c>
      <c r="O18" s="6">
        <f>'SOFR_Futures'!A17</f>
        <v/>
      </c>
      <c r="P18" s="17">
        <f>'SOFR_Futures'!H17</f>
        <v/>
      </c>
      <c r="Q18" s="17">
        <f>'SOFR_Futures'!H18</f>
        <v/>
      </c>
      <c r="R18" s="16">
        <f>MAX(0,(Q18-MAX(P18,$B$22))/360)</f>
        <v/>
      </c>
      <c r="S18" s="16">
        <f>'SOFR_Futures'!F17</f>
        <v/>
      </c>
      <c r="T18" s="31" t="n">
        <v>0</v>
      </c>
      <c r="U18" s="32">
        <f>(S18-T18/100)/100</f>
        <v/>
      </c>
      <c r="V18" s="33">
        <f>W17</f>
        <v/>
      </c>
      <c r="W18" s="33">
        <f>V18/(1+U18*R18)</f>
        <v/>
      </c>
      <c r="Y18" s="17">
        <f>MAX(Q17,$B$22)</f>
        <v/>
      </c>
      <c r="Z18" s="33">
        <f>W17</f>
        <v/>
      </c>
    </row>
    <row r="19">
      <c r="A19" s="6" t="inlineStr">
        <is>
          <t>9M</t>
        </is>
      </c>
      <c r="B19" s="17">
        <f>EDATE($B$4,9)</f>
        <v/>
      </c>
      <c r="C19" s="27">
        <f>(B19-$B$4)/365</f>
        <v/>
      </c>
      <c r="D19" s="16">
        <f>(B19-$B$4)/360</f>
        <v/>
      </c>
      <c r="E19" s="16">
        <f>'SOFR_OIS_Quotes'!$H16</f>
        <v/>
      </c>
      <c r="F19" s="6" t="n"/>
      <c r="G19" s="16">
        <f>SUM($I$8:I18)</f>
        <v/>
      </c>
      <c r="H19" s="28">
        <f>1/(1+(E19/100)*D19)</f>
        <v/>
      </c>
      <c r="I19" s="16" t="n">
        <v>0</v>
      </c>
      <c r="J19" s="16">
        <f>-LN(H19)/C19*100</f>
        <v/>
      </c>
      <c r="K19" s="16">
        <f>(H18/H19-1)/((B19-B18)/360)*100</f>
        <v/>
      </c>
      <c r="L19" s="29" t="n"/>
      <c r="M19" s="30">
        <f>IF(L19="","",(J19-L19)*100)</f>
        <v/>
      </c>
      <c r="O19" s="6">
        <f>'SOFR_Futures'!A18</f>
        <v/>
      </c>
      <c r="P19" s="17">
        <f>'SOFR_Futures'!H18</f>
        <v/>
      </c>
      <c r="Q19" s="17">
        <f>'SOFR_Futures'!H19</f>
        <v/>
      </c>
      <c r="R19" s="16">
        <f>MAX(0,(Q19-MAX(P19,$B$22))/360)</f>
        <v/>
      </c>
      <c r="S19" s="16">
        <f>'SOFR_Futures'!F18</f>
        <v/>
      </c>
      <c r="T19" s="31" t="n">
        <v>0</v>
      </c>
      <c r="U19" s="32">
        <f>(S19-T19/100)/100</f>
        <v/>
      </c>
      <c r="V19" s="33">
        <f>W18</f>
        <v/>
      </c>
      <c r="W19" s="33">
        <f>V19/(1+U19*R19)</f>
        <v/>
      </c>
      <c r="Y19" s="17">
        <f>MAX(Q18,$B$22)</f>
        <v/>
      </c>
      <c r="Z19" s="33">
        <f>W18</f>
        <v/>
      </c>
    </row>
    <row r="20">
      <c r="A20" s="6" t="inlineStr">
        <is>
          <t>10M</t>
        </is>
      </c>
      <c r="B20" s="17">
        <f>EDATE($B$4,10)</f>
        <v/>
      </c>
      <c r="C20" s="27">
        <f>(B20-$B$4)/365</f>
        <v/>
      </c>
      <c r="D20" s="16">
        <f>(B20-$B$4)/360</f>
        <v/>
      </c>
      <c r="E20" s="16">
        <f>'SOFR_OIS_Quotes'!$H17</f>
        <v/>
      </c>
      <c r="F20" s="6" t="n"/>
      <c r="G20" s="16">
        <f>SUM($I$8:I19)</f>
        <v/>
      </c>
      <c r="H20" s="28">
        <f>1/(1+(E20/100)*D20)</f>
        <v/>
      </c>
      <c r="I20" s="16" t="n">
        <v>0</v>
      </c>
      <c r="J20" s="16">
        <f>-LN(H20)/C20*100</f>
        <v/>
      </c>
      <c r="K20" s="16">
        <f>(H19/H20-1)/((B20-B19)/360)*100</f>
        <v/>
      </c>
      <c r="L20" s="29" t="n"/>
      <c r="M20" s="30">
        <f>IF(L20="","",(J20-L20)*100)</f>
        <v/>
      </c>
      <c r="O20" s="6">
        <f>'SOFR_Futures'!A19</f>
        <v/>
      </c>
      <c r="P20" s="17">
        <f>'SOFR_Futures'!H19</f>
        <v/>
      </c>
      <c r="Q20" s="17">
        <f>'SOFR_Futures'!H20</f>
        <v/>
      </c>
      <c r="R20" s="16">
        <f>MAX(0,(Q20-MAX(P20,$B$22))/360)</f>
        <v/>
      </c>
      <c r="S20" s="16">
        <f>'SOFR_Futures'!F19</f>
        <v/>
      </c>
      <c r="T20" s="31" t="n">
        <v>0</v>
      </c>
      <c r="U20" s="32">
        <f>(S20-T20/100)/100</f>
        <v/>
      </c>
      <c r="V20" s="33">
        <f>W19</f>
        <v/>
      </c>
      <c r="W20" s="33">
        <f>V20/(1+U20*R20)</f>
        <v/>
      </c>
      <c r="Y20" s="17">
        <f>MAX(Q19,$B$22)</f>
        <v/>
      </c>
      <c r="Z20" s="33">
        <f>W19</f>
        <v/>
      </c>
    </row>
    <row r="21">
      <c r="A21" s="6" t="inlineStr">
        <is>
          <t>11M</t>
        </is>
      </c>
      <c r="B21" s="17">
        <f>EDATE($B$4,11)</f>
        <v/>
      </c>
      <c r="C21" s="27">
        <f>(B21-$B$4)/365</f>
        <v/>
      </c>
      <c r="D21" s="16">
        <f>(B21-$B$4)/360</f>
        <v/>
      </c>
      <c r="E21" s="16">
        <f>'SOFR_OIS_Quotes'!$H18</f>
        <v/>
      </c>
      <c r="F21" s="6" t="n"/>
      <c r="G21" s="16">
        <f>SUM($I$8:I20)</f>
        <v/>
      </c>
      <c r="H21" s="28">
        <f>1/(1+(E21/100)*D21)</f>
        <v/>
      </c>
      <c r="I21" s="16" t="n">
        <v>0</v>
      </c>
      <c r="J21" s="16">
        <f>-LN(H21)/C21*100</f>
        <v/>
      </c>
      <c r="K21" s="16">
        <f>(H20/H21-1)/((B21-B20)/360)*100</f>
        <v/>
      </c>
      <c r="L21" s="29" t="n"/>
      <c r="M21" s="30">
        <f>IF(L21="","",(J21-L21)*100)</f>
        <v/>
      </c>
      <c r="O21" s="6">
        <f>'SOFR_Futures'!A20</f>
        <v/>
      </c>
      <c r="P21" s="17">
        <f>'SOFR_Futures'!H20</f>
        <v/>
      </c>
      <c r="Q21" s="17">
        <f>'SOFR_Futures'!H21</f>
        <v/>
      </c>
      <c r="R21" s="16">
        <f>MAX(0,(Q21-MAX(P21,$B$22))/360)</f>
        <v/>
      </c>
      <c r="S21" s="16">
        <f>'SOFR_Futures'!F20</f>
        <v/>
      </c>
      <c r="T21" s="31" t="n">
        <v>0</v>
      </c>
      <c r="U21" s="32">
        <f>(S21-T21/100)/100</f>
        <v/>
      </c>
      <c r="V21" s="33">
        <f>W20</f>
        <v/>
      </c>
      <c r="W21" s="33">
        <f>V21/(1+U21*R21)</f>
        <v/>
      </c>
      <c r="Y21" s="17">
        <f>MAX(Q20,$B$22)</f>
        <v/>
      </c>
      <c r="Z21" s="33">
        <f>W20</f>
        <v/>
      </c>
    </row>
    <row r="22">
      <c r="A22" s="6" t="inlineStr">
        <is>
          <t>1Y</t>
        </is>
      </c>
      <c r="B22" s="17">
        <f>EDATE($B$4,12)</f>
        <v/>
      </c>
      <c r="C22" s="27">
        <f>(B22-$B$4)/365</f>
        <v/>
      </c>
      <c r="D22" s="16">
        <f>(B22-$B$4)/360</f>
        <v/>
      </c>
      <c r="E22" s="16">
        <f>'SOFR_OIS_Quotes'!$H19</f>
        <v/>
      </c>
      <c r="F22" s="16">
        <f>(B22-$B$4)/360</f>
        <v/>
      </c>
      <c r="G22" s="16">
        <f>SUM($I$8:I21)</f>
        <v/>
      </c>
      <c r="H22" s="28">
        <f>1/(1+(E22/100)*D22)</f>
        <v/>
      </c>
      <c r="I22" s="16">
        <f>F22*H22</f>
        <v/>
      </c>
      <c r="J22" s="16">
        <f>-LN(H22)/C22*100</f>
        <v/>
      </c>
      <c r="K22" s="16">
        <f>(H21/H22-1)/((B22-B21)/360)*100</f>
        <v/>
      </c>
      <c r="L22" s="29" t="n"/>
      <c r="M22" s="30">
        <f>IF(L22="","",(J22-L22)*100)</f>
        <v/>
      </c>
      <c r="O22" s="6">
        <f>'SOFR_Futures'!A21</f>
        <v/>
      </c>
      <c r="P22" s="17">
        <f>'SOFR_Futures'!H21</f>
        <v/>
      </c>
      <c r="Q22" s="17">
        <f>'SOFR_Futures'!H22</f>
        <v/>
      </c>
      <c r="R22" s="16">
        <f>MAX(0,(Q22-MAX(P22,$B$22))/360)</f>
        <v/>
      </c>
      <c r="S22" s="16">
        <f>'SOFR_Futures'!F21</f>
        <v/>
      </c>
      <c r="T22" s="31" t="n">
        <v>0</v>
      </c>
      <c r="U22" s="32">
        <f>(S22-T22/100)/100</f>
        <v/>
      </c>
      <c r="V22" s="33">
        <f>W21</f>
        <v/>
      </c>
      <c r="W22" s="33">
        <f>V22/(1+U22*R22)</f>
        <v/>
      </c>
      <c r="Y22" s="17">
        <f>MAX(Q21,$B$22)</f>
        <v/>
      </c>
      <c r="Z22" s="33">
        <f>W21</f>
        <v/>
      </c>
    </row>
    <row r="23">
      <c r="A23" s="6" t="inlineStr">
        <is>
          <t>18M</t>
        </is>
      </c>
      <c r="B23" s="17">
        <f>EDATE($B$4,18)</f>
        <v/>
      </c>
      <c r="C23" s="27">
        <f>(B23-$B$4)/365</f>
        <v/>
      </c>
      <c r="D23" s="16">
        <f>(B23-$B$4)/360</f>
        <v/>
      </c>
      <c r="E23" s="16">
        <f>'SOFR_OIS_Quotes'!$H20</f>
        <v/>
      </c>
      <c r="F23" s="16">
        <f>(B23-$B$22)/360</f>
        <v/>
      </c>
      <c r="G23" s="16">
        <f>SUM($I$8:I22)</f>
        <v/>
      </c>
      <c r="H23" s="28">
        <f>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</f>
        <v/>
      </c>
      <c r="I23" s="16" t="n">
        <v>0</v>
      </c>
      <c r="J23" s="16">
        <f>-LN(H23)/C23*100</f>
        <v/>
      </c>
      <c r="K23" s="16">
        <f>(H22/H23-1)/((B23-B22)/360)*100</f>
        <v/>
      </c>
      <c r="L23" s="29" t="n"/>
      <c r="M23" s="30">
        <f>IF(L23="","",(J23-L23)*100)</f>
        <v/>
      </c>
      <c r="O23" s="6">
        <f>'SOFR_Futures'!A22</f>
        <v/>
      </c>
      <c r="P23" s="17">
        <f>'SOFR_Futures'!H22</f>
        <v/>
      </c>
      <c r="Q23" s="17">
        <f>'SOFR_Futures'!H23</f>
        <v/>
      </c>
      <c r="R23" s="16">
        <f>MAX(0,(Q23-MAX(P23,$B$22))/360)</f>
        <v/>
      </c>
      <c r="S23" s="16">
        <f>'SOFR_Futures'!F22</f>
        <v/>
      </c>
      <c r="T23" s="31" t="n">
        <v>0</v>
      </c>
      <c r="U23" s="32">
        <f>(S23-T23/100)/100</f>
        <v/>
      </c>
      <c r="V23" s="33">
        <f>W22</f>
        <v/>
      </c>
      <c r="W23" s="33">
        <f>V23/(1+U23*R23)</f>
        <v/>
      </c>
      <c r="Y23" s="17">
        <f>MAX(Q22,$B$22)</f>
        <v/>
      </c>
      <c r="Z23" s="33">
        <f>W22</f>
        <v/>
      </c>
    </row>
    <row r="24">
      <c r="A24" s="6" t="inlineStr">
        <is>
          <t>2Y</t>
        </is>
      </c>
      <c r="B24" s="17">
        <f>EDATE($B$4,24)</f>
        <v/>
      </c>
      <c r="C24" s="27">
        <f>(B24-$B$4)/365</f>
        <v/>
      </c>
      <c r="D24" s="16">
        <f>(B24-$B$4)/360</f>
        <v/>
      </c>
      <c r="E24" s="16">
        <f>'SOFR_OIS_Quotes'!$H21</f>
        <v/>
      </c>
      <c r="F24" s="16">
        <f>(B24-$B$22)/360</f>
        <v/>
      </c>
      <c r="G24" s="16">
        <f>SUM($I$8:I23)</f>
        <v/>
      </c>
      <c r="H24" s="28">
        <f>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</f>
        <v/>
      </c>
      <c r="I24" s="16">
        <f>F24*H24</f>
        <v/>
      </c>
      <c r="J24" s="16">
        <f>-LN(H24)/C24*100</f>
        <v/>
      </c>
      <c r="K24" s="16">
        <f>(H23/H24-1)/((B24-B23)/360)*100</f>
        <v/>
      </c>
      <c r="L24" s="29" t="n"/>
      <c r="M24" s="30">
        <f>IF(L24="","",(J24-L24)*100)</f>
        <v/>
      </c>
      <c r="O24" s="6">
        <f>'SOFR_Futures'!A23</f>
        <v/>
      </c>
      <c r="P24" s="17">
        <f>'SOFR_Futures'!H23</f>
        <v/>
      </c>
      <c r="Q24" s="17">
        <f>'SOFR_Futures'!H24</f>
        <v/>
      </c>
      <c r="R24" s="16">
        <f>MAX(0,(Q24-MAX(P24,$B$22))/360)</f>
        <v/>
      </c>
      <c r="S24" s="16">
        <f>'SOFR_Futures'!F23</f>
        <v/>
      </c>
      <c r="T24" s="31" t="n">
        <v>0</v>
      </c>
      <c r="U24" s="32">
        <f>(S24-T24/100)/100</f>
        <v/>
      </c>
      <c r="V24" s="33">
        <f>W23</f>
        <v/>
      </c>
      <c r="W24" s="33">
        <f>V24/(1+U24*R24)</f>
        <v/>
      </c>
      <c r="Y24" s="17">
        <f>MAX(Q23,$B$22)</f>
        <v/>
      </c>
      <c r="Z24" s="33">
        <f>W23</f>
        <v/>
      </c>
    </row>
    <row r="25">
      <c r="A25" s="6" t="inlineStr">
        <is>
          <t>3Y</t>
        </is>
      </c>
      <c r="B25" s="17">
        <f>EDATE($B$4,36)</f>
        <v/>
      </c>
      <c r="C25" s="27">
        <f>(B25-$B$4)/365</f>
        <v/>
      </c>
      <c r="D25" s="16">
        <f>(B25-$B$4)/360</f>
        <v/>
      </c>
      <c r="E25" s="16">
        <f>'SOFR_OIS_Quotes'!$H22</f>
        <v/>
      </c>
      <c r="F25" s="16">
        <f>(B25-$B$24)/360</f>
        <v/>
      </c>
      <c r="G25" s="16">
        <f>SUM($I$8:I24)</f>
        <v/>
      </c>
      <c r="H25" s="28">
        <f>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</f>
        <v/>
      </c>
      <c r="I25" s="16">
        <f>F25*H25</f>
        <v/>
      </c>
      <c r="J25" s="16">
        <f>-LN(H25)/C25*100</f>
        <v/>
      </c>
      <c r="K25" s="16">
        <f>(H24/H25-1)/((B25-B24)/360)*100</f>
        <v/>
      </c>
      <c r="L25" s="29" t="n"/>
      <c r="M25" s="30">
        <f>IF(L25="","",(J25-L25)*100)</f>
        <v/>
      </c>
      <c r="O25" s="6">
        <f>'SOFR_Futures'!A24</f>
        <v/>
      </c>
      <c r="P25" s="17">
        <f>'SOFR_Futures'!H24</f>
        <v/>
      </c>
      <c r="Q25" s="17">
        <f>'SOFR_Futures'!H25</f>
        <v/>
      </c>
      <c r="R25" s="16">
        <f>MAX(0,(Q25-MAX(P25,$B$22))/360)</f>
        <v/>
      </c>
      <c r="S25" s="16">
        <f>'SOFR_Futures'!F24</f>
        <v/>
      </c>
      <c r="T25" s="31" t="n">
        <v>0</v>
      </c>
      <c r="U25" s="32">
        <f>(S25-T25/100)/100</f>
        <v/>
      </c>
      <c r="V25" s="33">
        <f>W24</f>
        <v/>
      </c>
      <c r="W25" s="33">
        <f>V25/(1+U25*R25)</f>
        <v/>
      </c>
      <c r="Y25" s="17">
        <f>MAX(Q24,$B$22)</f>
        <v/>
      </c>
      <c r="Z25" s="33">
        <f>W24</f>
        <v/>
      </c>
    </row>
    <row r="26">
      <c r="A26" s="6" t="inlineStr">
        <is>
          <t>4Y</t>
        </is>
      </c>
      <c r="B26" s="17">
        <f>EDATE($B$4,48)</f>
        <v/>
      </c>
      <c r="C26" s="27">
        <f>(B26-$B$4)/365</f>
        <v/>
      </c>
      <c r="D26" s="16">
        <f>(B26-$B$4)/360</f>
        <v/>
      </c>
      <c r="E26" s="16">
        <f>'SOFR_OIS_Quotes'!$H23</f>
        <v/>
      </c>
      <c r="F26" s="16">
        <f>(B26-$B$25)/360</f>
        <v/>
      </c>
      <c r="G26" s="16">
        <f>SUM($I$8:I25)</f>
        <v/>
      </c>
      <c r="H26" s="28">
        <f>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</f>
        <v/>
      </c>
      <c r="I26" s="16">
        <f>F26*H26</f>
        <v/>
      </c>
      <c r="J26" s="16">
        <f>-LN(H26)/C26*100</f>
        <v/>
      </c>
      <c r="K26" s="16">
        <f>(H25/H26-1)/((B26-B25)/360)*100</f>
        <v/>
      </c>
      <c r="L26" s="29" t="n"/>
      <c r="M26" s="30">
        <f>IF(L26="","",(J26-L26)*100)</f>
        <v/>
      </c>
      <c r="O26" s="6">
        <f>'SOFR_Futures'!A25</f>
        <v/>
      </c>
      <c r="P26" s="17">
        <f>'SOFR_Futures'!H25</f>
        <v/>
      </c>
      <c r="Q26" s="17">
        <f>'SOFR_Futures'!H26</f>
        <v/>
      </c>
      <c r="R26" s="16">
        <f>MAX(0,(Q26-MAX(P26,$B$22))/360)</f>
        <v/>
      </c>
      <c r="S26" s="16">
        <f>'SOFR_Futures'!F25</f>
        <v/>
      </c>
      <c r="T26" s="31" t="n">
        <v>0</v>
      </c>
      <c r="U26" s="32">
        <f>(S26-T26/100)/100</f>
        <v/>
      </c>
      <c r="V26" s="33">
        <f>W25</f>
        <v/>
      </c>
      <c r="W26" s="33">
        <f>V26/(1+U26*R26)</f>
        <v/>
      </c>
      <c r="Y26" s="17">
        <f>MAX(Q25,$B$22)</f>
        <v/>
      </c>
      <c r="Z26" s="33">
        <f>W25</f>
        <v/>
      </c>
    </row>
    <row r="27">
      <c r="A27" s="6" t="inlineStr">
        <is>
          <t>5Y</t>
        </is>
      </c>
      <c r="B27" s="17">
        <f>EDATE($B$4,60)</f>
        <v/>
      </c>
      <c r="C27" s="27">
        <f>(B27-$B$4)/365</f>
        <v/>
      </c>
      <c r="D27" s="16">
        <f>(B27-$B$4)/360</f>
        <v/>
      </c>
      <c r="E27" s="16">
        <f>'SOFR_OIS_Quotes'!$H24</f>
        <v/>
      </c>
      <c r="F27" s="16">
        <f>(B27-$B$26)/360</f>
        <v/>
      </c>
      <c r="G27" s="16">
        <f>SUM($I$8:I26)</f>
        <v/>
      </c>
      <c r="H27" s="28">
        <f>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</f>
        <v/>
      </c>
      <c r="I27" s="16">
        <f>F27*H27</f>
        <v/>
      </c>
      <c r="J27" s="16">
        <f>-LN(H27)/C27*100</f>
        <v/>
      </c>
      <c r="K27" s="16">
        <f>(H26/H27-1)/((B27-B26)/360)*100</f>
        <v/>
      </c>
      <c r="L27" s="29" t="n"/>
      <c r="M27" s="30">
        <f>IF(L27="","",(J27-L27)*100)</f>
        <v/>
      </c>
      <c r="O27" s="6">
        <f>'SOFR_Futures'!A26</f>
        <v/>
      </c>
      <c r="P27" s="17">
        <f>'SOFR_Futures'!H26</f>
        <v/>
      </c>
      <c r="Q27" s="17">
        <f>EDATE(P27,3)</f>
        <v/>
      </c>
      <c r="R27" s="16">
        <f>MAX(0,(Q27-MAX(P27,$B$22))/360)</f>
        <v/>
      </c>
      <c r="S27" s="16">
        <f>'SOFR_Futures'!F26</f>
        <v/>
      </c>
      <c r="T27" s="31" t="n">
        <v>0</v>
      </c>
      <c r="U27" s="32">
        <f>(S27-T27/100)/100</f>
        <v/>
      </c>
      <c r="V27" s="33">
        <f>W26</f>
        <v/>
      </c>
      <c r="W27" s="33">
        <f>V27/(1+U27*R27)</f>
        <v/>
      </c>
      <c r="Y27" s="17">
        <f>MAX(Q26,$B$22)</f>
        <v/>
      </c>
      <c r="Z27" s="33">
        <f>W26</f>
        <v/>
      </c>
    </row>
    <row r="28">
      <c r="A28" s="6" t="inlineStr">
        <is>
          <t>6Y</t>
        </is>
      </c>
      <c r="B28" s="17">
        <f>EDATE($B$4,72)</f>
        <v/>
      </c>
      <c r="C28" s="27">
        <f>(B28-$B$4)/365</f>
        <v/>
      </c>
      <c r="D28" s="16">
        <f>(B28-$B$4)/360</f>
        <v/>
      </c>
      <c r="E28" s="16">
        <f>'SOFR_OIS_Quotes'!$H25</f>
        <v/>
      </c>
      <c r="F28" s="16">
        <f>(B28-$B$27)/360</f>
        <v/>
      </c>
      <c r="G28" s="16">
        <f>SUM($I$8:I27)</f>
        <v/>
      </c>
      <c r="H28" s="28">
        <f>(1-(E28/100)*G28)/(1+(E28/100)*F28)</f>
        <v/>
      </c>
      <c r="I28" s="16">
        <f>F28*H28</f>
        <v/>
      </c>
      <c r="J28" s="16">
        <f>-LN(H28)/C28*100</f>
        <v/>
      </c>
      <c r="K28" s="16">
        <f>(H27/H28-1)/((B28-B27)/360)*100</f>
        <v/>
      </c>
      <c r="L28" s="29" t="n"/>
      <c r="M28" s="30">
        <f>IF(L28="","",(J28-L28)*100)</f>
        <v/>
      </c>
      <c r="Y28" s="17">
        <f>MAX(Q27,$B$22)</f>
        <v/>
      </c>
      <c r="Z28" s="33">
        <f>W27</f>
        <v/>
      </c>
    </row>
    <row r="29">
      <c r="A29" s="6" t="inlineStr">
        <is>
          <t>7Y</t>
        </is>
      </c>
      <c r="B29" s="17">
        <f>EDATE($B$4,84)</f>
        <v/>
      </c>
      <c r="C29" s="27">
        <f>(B29-$B$4)/365</f>
        <v/>
      </c>
      <c r="D29" s="16">
        <f>(B29-$B$4)/360</f>
        <v/>
      </c>
      <c r="E29" s="16">
        <f>'SOFR_OIS_Quotes'!$H26</f>
        <v/>
      </c>
      <c r="F29" s="16">
        <f>(B29-$B$28)/360</f>
        <v/>
      </c>
      <c r="G29" s="16">
        <f>SUM($I$8:I28)</f>
        <v/>
      </c>
      <c r="H29" s="28">
        <f>(1-(E29/100)*G29)/(1+(E29/100)*F29)</f>
        <v/>
      </c>
      <c r="I29" s="16">
        <f>F29*H29</f>
        <v/>
      </c>
      <c r="J29" s="16">
        <f>-LN(H29)/C29*100</f>
        <v/>
      </c>
      <c r="K29" s="16">
        <f>(H28/H29-1)/((B29-B28)/360)*100</f>
        <v/>
      </c>
      <c r="L29" s="29" t="n"/>
      <c r="M29" s="30">
        <f>IF(L29="","",(J29-L29)*100)</f>
        <v/>
      </c>
    </row>
    <row r="30">
      <c r="A30" s="6" t="inlineStr">
        <is>
          <t>8Y</t>
        </is>
      </c>
      <c r="B30" s="17">
        <f>EDATE($B$4,96)</f>
        <v/>
      </c>
      <c r="C30" s="27">
        <f>(B30-$B$4)/365</f>
        <v/>
      </c>
      <c r="D30" s="16">
        <f>(B30-$B$4)/360</f>
        <v/>
      </c>
      <c r="E30" s="16">
        <f>'SOFR_OIS_Quotes'!$H27</f>
        <v/>
      </c>
      <c r="F30" s="16">
        <f>(B30-$B$29)/360</f>
        <v/>
      </c>
      <c r="G30" s="16">
        <f>SUM($I$8:I29)</f>
        <v/>
      </c>
      <c r="H30" s="28">
        <f>(1-(E30/100)*G30)/(1+(E30/100)*F30)</f>
        <v/>
      </c>
      <c r="I30" s="16">
        <f>F30*H30</f>
        <v/>
      </c>
      <c r="J30" s="16">
        <f>-LN(H30)/C30*100</f>
        <v/>
      </c>
      <c r="K30" s="16">
        <f>(H29/H30-1)/((B30-B29)/360)*100</f>
        <v/>
      </c>
      <c r="L30" s="29" t="n"/>
      <c r="M30" s="30">
        <f>IF(L30="","",(J30-L30)*100)</f>
        <v/>
      </c>
    </row>
    <row r="31">
      <c r="A31" s="6" t="inlineStr">
        <is>
          <t>9Y</t>
        </is>
      </c>
      <c r="B31" s="17">
        <f>EDATE($B$4,108)</f>
        <v/>
      </c>
      <c r="C31" s="27">
        <f>(B31-$B$4)/365</f>
        <v/>
      </c>
      <c r="D31" s="16">
        <f>(B31-$B$4)/360</f>
        <v/>
      </c>
      <c r="E31" s="16">
        <f>'SOFR_OIS_Quotes'!$H28</f>
        <v/>
      </c>
      <c r="F31" s="16">
        <f>(B31-$B$30)/360</f>
        <v/>
      </c>
      <c r="G31" s="16">
        <f>SUM($I$8:I30)</f>
        <v/>
      </c>
      <c r="H31" s="28">
        <f>(1-(E31/100)*G31)/(1+(E31/100)*F31)</f>
        <v/>
      </c>
      <c r="I31" s="16">
        <f>F31*H31</f>
        <v/>
      </c>
      <c r="J31" s="16">
        <f>-LN(H31)/C31*100</f>
        <v/>
      </c>
      <c r="K31" s="16">
        <f>(H30/H31-1)/((B31-B30)/360)*100</f>
        <v/>
      </c>
      <c r="L31" s="29" t="n"/>
      <c r="M31" s="30">
        <f>IF(L31="","",(J31-L31)*100)</f>
        <v/>
      </c>
    </row>
    <row r="32">
      <c r="A32" s="6" t="inlineStr">
        <is>
          <t>10Y</t>
        </is>
      </c>
      <c r="B32" s="17">
        <f>EDATE($B$4,120)</f>
        <v/>
      </c>
      <c r="C32" s="27">
        <f>(B32-$B$4)/365</f>
        <v/>
      </c>
      <c r="D32" s="16">
        <f>(B32-$B$4)/360</f>
        <v/>
      </c>
      <c r="E32" s="16">
        <f>'SOFR_OIS_Quotes'!$H29</f>
        <v/>
      </c>
      <c r="F32" s="16">
        <f>(B32-$B$31)/360</f>
        <v/>
      </c>
      <c r="G32" s="16">
        <f>SUM($I$8:I31)</f>
        <v/>
      </c>
      <c r="H32" s="28">
        <f>(1-(E32/100)*G32)/(1+(E32/100)*F32)</f>
        <v/>
      </c>
      <c r="I32" s="16">
        <f>F32*H32</f>
        <v/>
      </c>
      <c r="J32" s="16">
        <f>-LN(H32)/C32*100</f>
        <v/>
      </c>
      <c r="K32" s="16">
        <f>(H31/H32-1)/((B32-B31)/360)*100</f>
        <v/>
      </c>
      <c r="L32" s="29" t="n"/>
      <c r="M32" s="30">
        <f>IF(L32="","",(J32-L32)*100)</f>
        <v/>
      </c>
    </row>
    <row r="33">
      <c r="A33" s="6" t="inlineStr">
        <is>
          <t>12Y</t>
        </is>
      </c>
      <c r="B33" s="17">
        <f>EDATE($B$4,144)</f>
        <v/>
      </c>
      <c r="C33" s="27">
        <f>(B33-$B$4)/365</f>
        <v/>
      </c>
      <c r="D33" s="16">
        <f>(B33-$B$4)/360</f>
        <v/>
      </c>
      <c r="E33" s="16">
        <f>'SOFR_OIS_Quotes'!$H30</f>
        <v/>
      </c>
      <c r="F33" s="16">
        <f>(B33-$B$32)/360</f>
        <v/>
      </c>
      <c r="G33" s="16">
        <f>SUM($I$8:I32)</f>
        <v/>
      </c>
      <c r="H33" s="28">
        <f>(1-(E33/100)*G33)/(1+(E33/100)*F33)</f>
        <v/>
      </c>
      <c r="I33" s="16">
        <f>F33*H33</f>
        <v/>
      </c>
      <c r="J33" s="16">
        <f>-LN(H33)/C33*100</f>
        <v/>
      </c>
      <c r="K33" s="16">
        <f>(H32/H33-1)/((B33-B32)/360)*100</f>
        <v/>
      </c>
      <c r="L33" s="29" t="n"/>
      <c r="M33" s="30">
        <f>IF(L33="","",(J33-L33)*100)</f>
        <v/>
      </c>
    </row>
    <row r="34">
      <c r="A34" s="6" t="inlineStr">
        <is>
          <t>15Y</t>
        </is>
      </c>
      <c r="B34" s="17">
        <f>EDATE($B$4,180)</f>
        <v/>
      </c>
      <c r="C34" s="27">
        <f>(B34-$B$4)/365</f>
        <v/>
      </c>
      <c r="D34" s="16">
        <f>(B34-$B$4)/360</f>
        <v/>
      </c>
      <c r="E34" s="16">
        <f>'SOFR_OIS_Quotes'!$H31</f>
        <v/>
      </c>
      <c r="F34" s="16">
        <f>(B34-$B$33)/360</f>
        <v/>
      </c>
      <c r="G34" s="16">
        <f>SUM($I$8:I33)</f>
        <v/>
      </c>
      <c r="H34" s="28">
        <f>(1-(E34/100)*G34)/(1+(E34/100)*F34)</f>
        <v/>
      </c>
      <c r="I34" s="16">
        <f>F34*H34</f>
        <v/>
      </c>
      <c r="J34" s="16">
        <f>-LN(H34)/C34*100</f>
        <v/>
      </c>
      <c r="K34" s="16">
        <f>(H33/H34-1)/((B34-B33)/360)*100</f>
        <v/>
      </c>
      <c r="L34" s="29" t="n"/>
      <c r="M34" s="30">
        <f>IF(L34="","",(J34-L34)*100)</f>
        <v/>
      </c>
    </row>
    <row r="35">
      <c r="A35" s="6" t="inlineStr">
        <is>
          <t>20Y</t>
        </is>
      </c>
      <c r="B35" s="17">
        <f>EDATE($B$4,240)</f>
        <v/>
      </c>
      <c r="C35" s="27">
        <f>(B35-$B$4)/365</f>
        <v/>
      </c>
      <c r="D35" s="16">
        <f>(B35-$B$4)/360</f>
        <v/>
      </c>
      <c r="E35" s="16">
        <f>'SOFR_OIS_Quotes'!$H32</f>
        <v/>
      </c>
      <c r="F35" s="16">
        <f>(B35-$B$34)/360</f>
        <v/>
      </c>
      <c r="G35" s="16">
        <f>SUM($I$8:I34)</f>
        <v/>
      </c>
      <c r="H35" s="28">
        <f>(1-(E35/100)*G35)/(1+(E35/100)*F35)</f>
        <v/>
      </c>
      <c r="I35" s="16">
        <f>F35*H35</f>
        <v/>
      </c>
      <c r="J35" s="16">
        <f>-LN(H35)/C35*100</f>
        <v/>
      </c>
      <c r="K35" s="16">
        <f>(H34/H35-1)/((B35-B34)/360)*100</f>
        <v/>
      </c>
      <c r="L35" s="29" t="n"/>
      <c r="M35" s="30">
        <f>IF(L35="","",(J35-L35)*100)</f>
        <v/>
      </c>
    </row>
    <row r="36">
      <c r="A36" s="6" t="inlineStr">
        <is>
          <t>25Y</t>
        </is>
      </c>
      <c r="B36" s="17">
        <f>EDATE($B$4,300)</f>
        <v/>
      </c>
      <c r="C36" s="27">
        <f>(B36-$B$4)/365</f>
        <v/>
      </c>
      <c r="D36" s="16">
        <f>(B36-$B$4)/360</f>
        <v/>
      </c>
      <c r="E36" s="16">
        <f>'SOFR_OIS_Quotes'!$H33</f>
        <v/>
      </c>
      <c r="F36" s="16">
        <f>(B36-$B$35)/360</f>
        <v/>
      </c>
      <c r="G36" s="16">
        <f>SUM($I$8:I35)</f>
        <v/>
      </c>
      <c r="H36" s="28">
        <f>(1-(E36/100)*G36)/(1+(E36/100)*F36)</f>
        <v/>
      </c>
      <c r="I36" s="16">
        <f>F36*H36</f>
        <v/>
      </c>
      <c r="J36" s="16">
        <f>-LN(H36)/C36*100</f>
        <v/>
      </c>
      <c r="K36" s="16">
        <f>(H35/H36-1)/((B36-B35)/360)*100</f>
        <v/>
      </c>
      <c r="L36" s="29" t="n"/>
      <c r="M36" s="30">
        <f>IF(L36="","",(J36-L36)*100)</f>
        <v/>
      </c>
    </row>
    <row r="37">
      <c r="A37" s="6" t="inlineStr">
        <is>
          <t>30Y</t>
        </is>
      </c>
      <c r="B37" s="17">
        <f>EDATE($B$4,360)</f>
        <v/>
      </c>
      <c r="C37" s="27">
        <f>(B37-$B$4)/365</f>
        <v/>
      </c>
      <c r="D37" s="16">
        <f>(B37-$B$4)/360</f>
        <v/>
      </c>
      <c r="E37" s="16">
        <f>'SOFR_OIS_Quotes'!$H34</f>
        <v/>
      </c>
      <c r="F37" s="16">
        <f>(B37-$B$36)/360</f>
        <v/>
      </c>
      <c r="G37" s="16">
        <f>SUM($I$8:I36)</f>
        <v/>
      </c>
      <c r="H37" s="28">
        <f>(1-(E37/100)*G37)/(1+(E37/100)*F37)</f>
        <v/>
      </c>
      <c r="I37" s="16">
        <f>F37*H37</f>
        <v/>
      </c>
      <c r="J37" s="16">
        <f>-LN(H37)/C37*100</f>
        <v/>
      </c>
      <c r="K37" s="16">
        <f>(H36/H37-1)/((B37-B36)/360)*100</f>
        <v/>
      </c>
      <c r="L37" s="29" t="n"/>
      <c r="M37" s="30">
        <f>IF(L37="","",(J37-L37)*100)</f>
        <v/>
      </c>
    </row>
    <row r="38">
      <c r="A38" s="6" t="inlineStr">
        <is>
          <t>40Y</t>
        </is>
      </c>
      <c r="B38" s="17">
        <f>EDATE($B$4,480)</f>
        <v/>
      </c>
      <c r="C38" s="27">
        <f>(B38-$B$4)/365</f>
        <v/>
      </c>
      <c r="D38" s="16">
        <f>(B38-$B$4)/360</f>
        <v/>
      </c>
      <c r="E38" s="16">
        <f>'SOFR_OIS_Quotes'!$H35</f>
        <v/>
      </c>
      <c r="F38" s="16">
        <f>(B38-$B$37)/360</f>
        <v/>
      </c>
      <c r="G38" s="16">
        <f>SUM($I$8:I37)</f>
        <v/>
      </c>
      <c r="H38" s="28">
        <f>(1-(E38/100)*G38)/(1+(E38/100)*F38)</f>
        <v/>
      </c>
      <c r="I38" s="16">
        <f>F38*H38</f>
        <v/>
      </c>
      <c r="J38" s="16">
        <f>-LN(H38)/C38*100</f>
        <v/>
      </c>
      <c r="K38" s="16">
        <f>(H37/H38-1)/((B38-B37)/360)*100</f>
        <v/>
      </c>
      <c r="L38" s="29" t="n"/>
      <c r="M38" s="30">
        <f>IF(L38="","",(J38-L38)*100)</f>
        <v/>
      </c>
    </row>
    <row r="39">
      <c r="A39" s="6" t="inlineStr">
        <is>
          <t>50Y</t>
        </is>
      </c>
      <c r="B39" s="17">
        <f>EDATE($B$4,600)</f>
        <v/>
      </c>
      <c r="C39" s="27">
        <f>(B39-$B$4)/365</f>
        <v/>
      </c>
      <c r="D39" s="16">
        <f>(B39-$B$4)/360</f>
        <v/>
      </c>
      <c r="E39" s="16">
        <f>'SOFR_OIS_Quotes'!$H36</f>
        <v/>
      </c>
      <c r="F39" s="16">
        <f>(B39-$B$38)/360</f>
        <v/>
      </c>
      <c r="G39" s="16">
        <f>SUM($I$8:I38)</f>
        <v/>
      </c>
      <c r="H39" s="28">
        <f>(1-(E39/100)*G39)/(1+(E39/100)*F39)</f>
        <v/>
      </c>
      <c r="I39" s="16">
        <f>F39*H39</f>
        <v/>
      </c>
      <c r="J39" s="16">
        <f>-LN(H39)/C39*100</f>
        <v/>
      </c>
      <c r="K39" s="16">
        <f>(H38/H39-1)/((B39-B38)/360)*100</f>
        <v/>
      </c>
      <c r="L39" s="29" t="n"/>
      <c r="M39" s="30">
        <f>IF(L39="","",(J39-L39)*100)</f>
        <v/>
      </c>
    </row>
    <row r="41" ht="44" customHeight="1">
      <c r="A41" s="9" t="inlineStr">
        <is>
          <t>THREE SEGMENTS (Zhou 2002 structure):  SHORT o/n–1Y = single-payment SOFR OIS  (DF=1/(1+S·τ0));  MIDDLE 1Y–5Y = SR3 futures chained from the 1Y DF (helper block to the right, cols O–W);  LONG 5Y–50Y = annual SOFR OIS swaps built off the futures-derived 5Y point. No overlap — each maturity is covered once. Column H is the curve P(0,T); zero z=−ln(DF)/T. The futures convexity column (T) defaults to 0 — enter an adjustment in bp to correct futures→forward. Paste S490 zeros into column L for the Δz check; the Swap_Pricer values any OIS off this curve.</t>
        </is>
      </c>
    </row>
    <row r="42"/>
  </sheetData>
  <mergeCells count="4">
    <mergeCell ref="O6:W6"/>
    <mergeCell ref="A5:M6"/>
    <mergeCell ref="Y6:Z6"/>
    <mergeCell ref="A41:M4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4" t="inlineStr">
        <is>
          <t>Receive fixed</t>
        </is>
      </c>
      <c r="C5" s="35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6" t="n">
        <v>10000000</v>
      </c>
      <c r="C6" s="35" t="inlineStr">
        <is>
          <t>Both legs, USD.</t>
        </is>
      </c>
      <c r="K6" s="17">
        <f>Bootstrap!$B$4</f>
        <v/>
      </c>
      <c r="L6" s="33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7">
        <f>Bootstrap!B8</f>
        <v/>
      </c>
      <c r="L7" s="33">
        <f>Bootstrap!H8</f>
        <v/>
      </c>
    </row>
    <row r="8">
      <c r="A8" s="5" t="inlineStr">
        <is>
          <t>Effective date</t>
        </is>
      </c>
      <c r="B8" s="37">
        <f>Bootstrap!$B$4</f>
        <v/>
      </c>
      <c r="C8" s="35" t="inlineStr">
        <is>
          <t>Defaults to curve spot (T+2). Overtype for a forward-start swap.</t>
        </is>
      </c>
      <c r="K8" s="17">
        <f>Bootstrap!B9</f>
        <v/>
      </c>
      <c r="L8" s="33">
        <f>Bootstrap!H9</f>
        <v/>
      </c>
    </row>
    <row r="9">
      <c r="A9" s="5" t="inlineStr">
        <is>
          <t>Tenor (years)</t>
        </is>
      </c>
      <c r="B9" s="38" t="n">
        <v>1</v>
      </c>
      <c r="C9" s="35" t="inlineStr">
        <is>
          <t>Whole years; drives the annual coupon schedule below.</t>
        </is>
      </c>
      <c r="K9" s="17">
        <f>Bootstrap!B10</f>
        <v/>
      </c>
      <c r="L9" s="33">
        <f>Bootstrap!H10</f>
        <v/>
      </c>
    </row>
    <row r="10">
      <c r="A10" s="5" t="inlineStr">
        <is>
          <t>Maturity date</t>
        </is>
      </c>
      <c r="B10" s="17">
        <f>EDATE(B8,12*B9)</f>
        <v/>
      </c>
      <c r="C10" s="35" t="inlineStr">
        <is>
          <t>Effective + Tenor.</t>
        </is>
      </c>
      <c r="K10" s="17">
        <f>Bootstrap!B11</f>
        <v/>
      </c>
      <c r="L10" s="33">
        <f>Bootstrap!H11</f>
        <v/>
      </c>
    </row>
    <row r="11">
      <c r="A11" s="5" t="inlineStr">
        <is>
          <t>Fixed coupon (%)</t>
        </is>
      </c>
      <c r="B11" s="39">
        <f>B25</f>
        <v/>
      </c>
      <c r="C11" s="35" t="inlineStr">
        <is>
          <t>Defaults to the Par coupon (row 25) → NPV ≈ 0. Overtype to value an off-market coupon.</t>
        </is>
      </c>
      <c r="K11" s="17">
        <f>Bootstrap!B12</f>
        <v/>
      </c>
      <c r="L11" s="33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7">
        <f>Bootstrap!B13</f>
        <v/>
      </c>
      <c r="L12" s="33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7">
        <f>Bootstrap!B14</f>
        <v/>
      </c>
      <c r="L13" s="33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7">
        <f>Bootstrap!B15</f>
        <v/>
      </c>
      <c r="L14" s="33">
        <f>Bootstrap!H15</f>
        <v/>
      </c>
    </row>
    <row r="15">
      <c r="A15" s="5" t="inlineStr">
        <is>
          <t>Curve / valuation date</t>
        </is>
      </c>
      <c r="B15" s="17">
        <f>VAL_DATE</f>
        <v/>
      </c>
      <c r="C15" s="35" t="inlineStr">
        <is>
          <t>Curve is discounted from spot = Bootstrap!B4.</t>
        </is>
      </c>
      <c r="K15" s="17">
        <f>Bootstrap!B16</f>
        <v/>
      </c>
      <c r="L15" s="33">
        <f>Bootstrap!H16</f>
        <v/>
      </c>
    </row>
    <row r="16">
      <c r="A16" s="5" t="inlineStr">
        <is>
          <t>Direction sign (+recv / −pay)</t>
        </is>
      </c>
      <c r="B16" s="40">
        <f>IF($B$5="Receive fixed",1,-1)</f>
        <v/>
      </c>
      <c r="K16" s="17">
        <f>Bootstrap!B17</f>
        <v/>
      </c>
      <c r="L16" s="33">
        <f>Bootstrap!H17</f>
        <v/>
      </c>
    </row>
    <row r="17">
      <c r="K17" s="17">
        <f>Bootstrap!B18</f>
        <v/>
      </c>
      <c r="L17" s="33">
        <f>Bootstrap!H18</f>
        <v/>
      </c>
    </row>
    <row r="18">
      <c r="A18" s="4" t="inlineStr">
        <is>
          <t>VALUATION RESULTS — single-curve OIS discounting</t>
        </is>
      </c>
      <c r="K18" s="17">
        <f>Bootstrap!B19</f>
        <v/>
      </c>
      <c r="L18" s="33">
        <f>Bootstrap!H19</f>
        <v/>
      </c>
    </row>
    <row r="19">
      <c r="A19" s="5" t="inlineStr">
        <is>
          <t>DF(effective)</t>
        </is>
      </c>
      <c r="B19" s="33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35" t="inlineStr">
        <is>
          <t>Interpolated from the curve.</t>
        </is>
      </c>
      <c r="K19" s="17">
        <f>Bootstrap!B20</f>
        <v/>
      </c>
      <c r="L19" s="33">
        <f>Bootstrap!H20</f>
        <v/>
      </c>
    </row>
    <row r="20">
      <c r="A20" s="5" t="inlineStr">
        <is>
          <t>DF(maturity)</t>
        </is>
      </c>
      <c r="B20" s="33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7">
        <f>Bootstrap!B21</f>
        <v/>
      </c>
      <c r="L20" s="33">
        <f>Bootstrap!H21</f>
        <v/>
      </c>
    </row>
    <row r="21">
      <c r="A21" s="5" t="inlineStr">
        <is>
          <t>Fixed annuity  Στ·DF</t>
        </is>
      </c>
      <c r="B21" s="32">
        <f>SUM(H36:H85)</f>
        <v/>
      </c>
      <c r="C21" s="35" t="inlineStr">
        <is>
          <t>Sum of τ·DF over the fixed coupon dates.</t>
        </is>
      </c>
      <c r="K21" s="17">
        <f>Bootstrap!B22</f>
        <v/>
      </c>
      <c r="L21" s="33">
        <f>Bootstrap!H22</f>
        <v/>
      </c>
    </row>
    <row r="22">
      <c r="A22" s="5" t="inlineStr">
        <is>
          <t>Fixed leg PV (coupons)</t>
        </is>
      </c>
      <c r="B22" s="41">
        <f>SUM(G36:G85)</f>
        <v/>
      </c>
      <c r="K22" s="17">
        <f>Bootstrap!B23</f>
        <v/>
      </c>
      <c r="L22" s="33">
        <f>Bootstrap!H23</f>
        <v/>
      </c>
    </row>
    <row r="23">
      <c r="A23" s="5" t="inlineStr">
        <is>
          <t>Float leg PV</t>
        </is>
      </c>
      <c r="B23" s="41">
        <f>B6*(B19-B20)</f>
        <v/>
      </c>
      <c r="C23" s="35" t="inlineStr">
        <is>
          <t>Single-curve SOFR float leg telescopes to N·(DF_eff − DF_mat).</t>
        </is>
      </c>
      <c r="K23" s="17">
        <f>Bootstrap!B24</f>
        <v/>
      </c>
      <c r="L23" s="33">
        <f>Bootstrap!H24</f>
        <v/>
      </c>
    </row>
    <row r="24">
      <c r="A24" s="5" t="inlineStr">
        <is>
          <t>Notional PV @ maturity</t>
        </is>
      </c>
      <c r="B24" s="41">
        <f>B6*B20</f>
        <v/>
      </c>
      <c r="C24" s="35" t="inlineStr">
        <is>
          <t>For the SWPM-style leg display only.</t>
        </is>
      </c>
      <c r="K24" s="17">
        <f>Bootstrap!B25</f>
        <v/>
      </c>
      <c r="L24" s="33">
        <f>Bootstrap!H25</f>
        <v/>
      </c>
    </row>
    <row r="25">
      <c r="A25" s="5" t="inlineStr">
        <is>
          <t>Par coupon (%)</t>
        </is>
      </c>
      <c r="B25" s="32">
        <f>(B19-B20)/B21*100</f>
        <v/>
      </c>
      <c r="C25" s="35" t="inlineStr">
        <is>
          <t>Coupon that sets NPV = 0:  (DF_eff − DF_mat) / annuity.</t>
        </is>
      </c>
      <c r="K25" s="17">
        <f>Bootstrap!B26</f>
        <v/>
      </c>
      <c r="L25" s="33">
        <f>Bootstrap!H26</f>
        <v/>
      </c>
    </row>
    <row r="26">
      <c r="A26" s="5" t="inlineStr">
        <is>
          <t>Leg 1 NPV  (fixed + notional)</t>
        </is>
      </c>
      <c r="B26" s="41">
        <f>B16*(B22+B24)</f>
        <v/>
      </c>
      <c r="C26" s="35" t="inlineStr">
        <is>
          <t>SWPM shows each leg incl. a notional redemption.</t>
        </is>
      </c>
      <c r="K26" s="17">
        <f>Bootstrap!B27</f>
        <v/>
      </c>
      <c r="L26" s="33">
        <f>Bootstrap!H27</f>
        <v/>
      </c>
    </row>
    <row r="27">
      <c r="A27" s="5" t="inlineStr">
        <is>
          <t>Leg 2 NPV  (float + notional)</t>
        </is>
      </c>
      <c r="B27" s="41">
        <f>-B16*(B23+B24)</f>
        <v/>
      </c>
      <c r="K27" s="17">
        <f>Bootstrap!B28</f>
        <v/>
      </c>
      <c r="L27" s="33">
        <f>Bootstrap!H28</f>
        <v/>
      </c>
    </row>
    <row r="28">
      <c r="A28" s="5" t="inlineStr">
        <is>
          <t>Net swap NPV</t>
        </is>
      </c>
      <c r="B28" s="42">
        <f>B26+B27</f>
        <v/>
      </c>
      <c r="C28" s="35" t="inlineStr">
        <is>
          <t>Fixed − Float (notionals cancel); ≈ 0 at par coupon.</t>
        </is>
      </c>
      <c r="K28" s="17">
        <f>Bootstrap!B29</f>
        <v/>
      </c>
      <c r="L28" s="33">
        <f>Bootstrap!H29</f>
        <v/>
      </c>
    </row>
    <row r="29">
      <c r="A29" s="5" t="inlineStr">
        <is>
          <t>PV01 / DV01  (per 1bp)</t>
        </is>
      </c>
      <c r="B29" s="41">
        <f>B6*B21*0.0001</f>
        <v/>
      </c>
      <c r="C29" s="35" t="inlineStr">
        <is>
          <t>Annuity × notional × 1bp.</t>
        </is>
      </c>
      <c r="K29" s="17">
        <f>Bootstrap!B30</f>
        <v/>
      </c>
      <c r="L29" s="33">
        <f>Bootstrap!H30</f>
        <v/>
      </c>
    </row>
    <row r="30">
      <c r="A30" s="5" t="inlineStr">
        <is>
          <t>Accrued (at inception)</t>
        </is>
      </c>
      <c r="B30" s="41" t="n">
        <v>0</v>
      </c>
      <c r="K30" s="17">
        <f>Bootstrap!B31</f>
        <v/>
      </c>
      <c r="L30" s="33">
        <f>Bootstrap!H31</f>
        <v/>
      </c>
    </row>
    <row r="31">
      <c r="K31" s="17">
        <f>Bootstrap!B32</f>
        <v/>
      </c>
      <c r="L31" s="33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7">
        <f>Bootstrap!B33</f>
        <v/>
      </c>
      <c r="L32" s="33">
        <f>Bootstrap!H33</f>
        <v/>
      </c>
    </row>
    <row r="33">
      <c r="K33" s="17">
        <f>Bootstrap!B34</f>
        <v/>
      </c>
      <c r="L33" s="33">
        <f>Bootstrap!H34</f>
        <v/>
      </c>
    </row>
    <row r="34">
      <c r="K34" s="17">
        <f>Bootstrap!B35</f>
        <v/>
      </c>
      <c r="L34" s="33">
        <f>Bootstrap!H35</f>
        <v/>
      </c>
    </row>
    <row r="35">
      <c r="A35" s="19" t="inlineStr">
        <is>
          <t>k</t>
        </is>
      </c>
      <c r="B35" s="19" t="inlineStr">
        <is>
          <t>Pay date</t>
        </is>
      </c>
      <c r="C35" s="19" t="inlineStr">
        <is>
          <t>Prev date</t>
        </is>
      </c>
      <c r="D35" s="19" t="inlineStr">
        <is>
          <t>τ ACT/360</t>
        </is>
      </c>
      <c r="E35" s="19" t="inlineStr">
        <is>
          <t>DF (interp)</t>
        </is>
      </c>
      <c r="F35" s="19" t="inlineStr">
        <is>
          <t>Coupon CF</t>
        </is>
      </c>
      <c r="G35" s="19" t="inlineStr">
        <is>
          <t>PV</t>
        </is>
      </c>
      <c r="H35" s="19" t="inlineStr">
        <is>
          <t>τ·DF</t>
        </is>
      </c>
      <c r="K35" s="17">
        <f>Bootstrap!B36</f>
        <v/>
      </c>
      <c r="L35" s="33">
        <f>Bootstrap!H36</f>
        <v/>
      </c>
    </row>
    <row r="36">
      <c r="A36" s="40">
        <f>ROW()-35</f>
        <v/>
      </c>
      <c r="B36" s="17">
        <f>IF(A36&lt;=$B$9,EDATE($B$8,12*A36),"")</f>
        <v/>
      </c>
      <c r="C36" s="17">
        <f>IF(A36&lt;=$B$9,$B$8,"")</f>
        <v/>
      </c>
      <c r="D36" s="16">
        <f>IF(A36&lt;=$B$9,(B36-C36)/360,"")</f>
        <v/>
      </c>
      <c r="E36" s="33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41">
        <f>IF(A36&lt;=$B$9,$B$6*$B$11/100*D36,"")</f>
        <v/>
      </c>
      <c r="G36" s="41">
        <f>IF(A36&lt;=$B$9,F36*E36,"")</f>
        <v/>
      </c>
      <c r="H36" s="32">
        <f>IF(A36&lt;=$B$9,D36*E36,"")</f>
        <v/>
      </c>
      <c r="K36" s="17">
        <f>Bootstrap!B37</f>
        <v/>
      </c>
      <c r="L36" s="33">
        <f>Bootstrap!H37</f>
        <v/>
      </c>
    </row>
    <row r="37">
      <c r="A37" s="40">
        <f>ROW()-35</f>
        <v/>
      </c>
      <c r="B37" s="17">
        <f>IF(A37&lt;=$B$9,EDATE($B$8,12*A37),"")</f>
        <v/>
      </c>
      <c r="C37" s="17">
        <f>IF(A37&lt;=$B$9,B36,"")</f>
        <v/>
      </c>
      <c r="D37" s="16">
        <f>IF(A37&lt;=$B$9,(B37-C37)/360,"")</f>
        <v/>
      </c>
      <c r="E37" s="33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41">
        <f>IF(A37&lt;=$B$9,$B$6*$B$11/100*D37,"")</f>
        <v/>
      </c>
      <c r="G37" s="41">
        <f>IF(A37&lt;=$B$9,F37*E37,"")</f>
        <v/>
      </c>
      <c r="H37" s="32">
        <f>IF(A37&lt;=$B$9,D37*E37,"")</f>
        <v/>
      </c>
      <c r="K37" s="17">
        <f>Bootstrap!B38</f>
        <v/>
      </c>
      <c r="L37" s="33">
        <f>Bootstrap!H38</f>
        <v/>
      </c>
    </row>
    <row r="38">
      <c r="A38" s="40">
        <f>ROW()-35</f>
        <v/>
      </c>
      <c r="B38" s="17">
        <f>IF(A38&lt;=$B$9,EDATE($B$8,12*A38),"")</f>
        <v/>
      </c>
      <c r="C38" s="17">
        <f>IF(A38&lt;=$B$9,B37,"")</f>
        <v/>
      </c>
      <c r="D38" s="16">
        <f>IF(A38&lt;=$B$9,(B38-C38)/360,"")</f>
        <v/>
      </c>
      <c r="E38" s="33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41">
        <f>IF(A38&lt;=$B$9,$B$6*$B$11/100*D38,"")</f>
        <v/>
      </c>
      <c r="G38" s="41">
        <f>IF(A38&lt;=$B$9,F38*E38,"")</f>
        <v/>
      </c>
      <c r="H38" s="32">
        <f>IF(A38&lt;=$B$9,D38*E38,"")</f>
        <v/>
      </c>
      <c r="K38" s="17">
        <f>Bootstrap!B39</f>
        <v/>
      </c>
      <c r="L38" s="33">
        <f>Bootstrap!H39</f>
        <v/>
      </c>
    </row>
    <row r="39">
      <c r="A39" s="40">
        <f>ROW()-35</f>
        <v/>
      </c>
      <c r="B39" s="17">
        <f>IF(A39&lt;=$B$9,EDATE($B$8,12*A39),"")</f>
        <v/>
      </c>
      <c r="C39" s="17">
        <f>IF(A39&lt;=$B$9,B38,"")</f>
        <v/>
      </c>
      <c r="D39" s="16">
        <f>IF(A39&lt;=$B$9,(B39-C39)/360,"")</f>
        <v/>
      </c>
      <c r="E39" s="33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41">
        <f>IF(A39&lt;=$B$9,$B$6*$B$11/100*D39,"")</f>
        <v/>
      </c>
      <c r="G39" s="41">
        <f>IF(A39&lt;=$B$9,F39*E39,"")</f>
        <v/>
      </c>
      <c r="H39" s="32">
        <f>IF(A39&lt;=$B$9,D39*E39,"")</f>
        <v/>
      </c>
      <c r="K39" s="9" t="inlineStr">
        <is>
          <t>Log-linear DF interpolation on this grid (dates $K$6:$K$38, DFs $L$6:$L$38).</t>
        </is>
      </c>
    </row>
    <row r="40">
      <c r="A40" s="40">
        <f>ROW()-35</f>
        <v/>
      </c>
      <c r="B40" s="17">
        <f>IF(A40&lt;=$B$9,EDATE($B$8,12*A40),"")</f>
        <v/>
      </c>
      <c r="C40" s="17">
        <f>IF(A40&lt;=$B$9,B39,"")</f>
        <v/>
      </c>
      <c r="D40" s="16">
        <f>IF(A40&lt;=$B$9,(B40-C40)/360,"")</f>
        <v/>
      </c>
      <c r="E40" s="33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41">
        <f>IF(A40&lt;=$B$9,$B$6*$B$11/100*D40,"")</f>
        <v/>
      </c>
      <c r="G40" s="41">
        <f>IF(A40&lt;=$B$9,F40*E40,"")</f>
        <v/>
      </c>
      <c r="H40" s="32">
        <f>IF(A40&lt;=$B$9,D40*E40,"")</f>
        <v/>
      </c>
    </row>
    <row r="41">
      <c r="A41" s="40">
        <f>ROW()-35</f>
        <v/>
      </c>
      <c r="B41" s="17">
        <f>IF(A41&lt;=$B$9,EDATE($B$8,12*A41),"")</f>
        <v/>
      </c>
      <c r="C41" s="17">
        <f>IF(A41&lt;=$B$9,B40,"")</f>
        <v/>
      </c>
      <c r="D41" s="16">
        <f>IF(A41&lt;=$B$9,(B41-C41)/360,"")</f>
        <v/>
      </c>
      <c r="E41" s="33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41">
        <f>IF(A41&lt;=$B$9,$B$6*$B$11/100*D41,"")</f>
        <v/>
      </c>
      <c r="G41" s="41">
        <f>IF(A41&lt;=$B$9,F41*E41,"")</f>
        <v/>
      </c>
      <c r="H41" s="32">
        <f>IF(A41&lt;=$B$9,D41*E41,"")</f>
        <v/>
      </c>
    </row>
    <row r="42">
      <c r="A42" s="40">
        <f>ROW()-35</f>
        <v/>
      </c>
      <c r="B42" s="17">
        <f>IF(A42&lt;=$B$9,EDATE($B$8,12*A42),"")</f>
        <v/>
      </c>
      <c r="C42" s="17">
        <f>IF(A42&lt;=$B$9,B41,"")</f>
        <v/>
      </c>
      <c r="D42" s="16">
        <f>IF(A42&lt;=$B$9,(B42-C42)/360,"")</f>
        <v/>
      </c>
      <c r="E42" s="33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41">
        <f>IF(A42&lt;=$B$9,$B$6*$B$11/100*D42,"")</f>
        <v/>
      </c>
      <c r="G42" s="41">
        <f>IF(A42&lt;=$B$9,F42*E42,"")</f>
        <v/>
      </c>
      <c r="H42" s="32">
        <f>IF(A42&lt;=$B$9,D42*E42,"")</f>
        <v/>
      </c>
    </row>
    <row r="43">
      <c r="A43" s="40">
        <f>ROW()-35</f>
        <v/>
      </c>
      <c r="B43" s="17">
        <f>IF(A43&lt;=$B$9,EDATE($B$8,12*A43),"")</f>
        <v/>
      </c>
      <c r="C43" s="17">
        <f>IF(A43&lt;=$B$9,B42,"")</f>
        <v/>
      </c>
      <c r="D43" s="16">
        <f>IF(A43&lt;=$B$9,(B43-C43)/360,"")</f>
        <v/>
      </c>
      <c r="E43" s="33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41">
        <f>IF(A43&lt;=$B$9,$B$6*$B$11/100*D43,"")</f>
        <v/>
      </c>
      <c r="G43" s="41">
        <f>IF(A43&lt;=$B$9,F43*E43,"")</f>
        <v/>
      </c>
      <c r="H43" s="32">
        <f>IF(A43&lt;=$B$9,D43*E43,"")</f>
        <v/>
      </c>
    </row>
    <row r="44">
      <c r="A44" s="40">
        <f>ROW()-35</f>
        <v/>
      </c>
      <c r="B44" s="17">
        <f>IF(A44&lt;=$B$9,EDATE($B$8,12*A44),"")</f>
        <v/>
      </c>
      <c r="C44" s="17">
        <f>IF(A44&lt;=$B$9,B43,"")</f>
        <v/>
      </c>
      <c r="D44" s="16">
        <f>IF(A44&lt;=$B$9,(B44-C44)/360,"")</f>
        <v/>
      </c>
      <c r="E44" s="33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41">
        <f>IF(A44&lt;=$B$9,$B$6*$B$11/100*D44,"")</f>
        <v/>
      </c>
      <c r="G44" s="41">
        <f>IF(A44&lt;=$B$9,F44*E44,"")</f>
        <v/>
      </c>
      <c r="H44" s="32">
        <f>IF(A44&lt;=$B$9,D44*E44,"")</f>
        <v/>
      </c>
    </row>
    <row r="45">
      <c r="A45" s="40">
        <f>ROW()-35</f>
        <v/>
      </c>
      <c r="B45" s="17">
        <f>IF(A45&lt;=$B$9,EDATE($B$8,12*A45),"")</f>
        <v/>
      </c>
      <c r="C45" s="17">
        <f>IF(A45&lt;=$B$9,B44,"")</f>
        <v/>
      </c>
      <c r="D45" s="16">
        <f>IF(A45&lt;=$B$9,(B45-C45)/360,"")</f>
        <v/>
      </c>
      <c r="E45" s="33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41">
        <f>IF(A45&lt;=$B$9,$B$6*$B$11/100*D45,"")</f>
        <v/>
      </c>
      <c r="G45" s="41">
        <f>IF(A45&lt;=$B$9,F45*E45,"")</f>
        <v/>
      </c>
      <c r="H45" s="32">
        <f>IF(A45&lt;=$B$9,D45*E45,"")</f>
        <v/>
      </c>
    </row>
    <row r="46">
      <c r="A46" s="40">
        <f>ROW()-35</f>
        <v/>
      </c>
      <c r="B46" s="17">
        <f>IF(A46&lt;=$B$9,EDATE($B$8,12*A46),"")</f>
        <v/>
      </c>
      <c r="C46" s="17">
        <f>IF(A46&lt;=$B$9,B45,"")</f>
        <v/>
      </c>
      <c r="D46" s="16">
        <f>IF(A46&lt;=$B$9,(B46-C46)/360,"")</f>
        <v/>
      </c>
      <c r="E46" s="33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41">
        <f>IF(A46&lt;=$B$9,$B$6*$B$11/100*D46,"")</f>
        <v/>
      </c>
      <c r="G46" s="41">
        <f>IF(A46&lt;=$B$9,F46*E46,"")</f>
        <v/>
      </c>
      <c r="H46" s="32">
        <f>IF(A46&lt;=$B$9,D46*E46,"")</f>
        <v/>
      </c>
    </row>
    <row r="47">
      <c r="A47" s="40">
        <f>ROW()-35</f>
        <v/>
      </c>
      <c r="B47" s="17">
        <f>IF(A47&lt;=$B$9,EDATE($B$8,12*A47),"")</f>
        <v/>
      </c>
      <c r="C47" s="17">
        <f>IF(A47&lt;=$B$9,B46,"")</f>
        <v/>
      </c>
      <c r="D47" s="16">
        <f>IF(A47&lt;=$B$9,(B47-C47)/360,"")</f>
        <v/>
      </c>
      <c r="E47" s="33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41">
        <f>IF(A47&lt;=$B$9,$B$6*$B$11/100*D47,"")</f>
        <v/>
      </c>
      <c r="G47" s="41">
        <f>IF(A47&lt;=$B$9,F47*E47,"")</f>
        <v/>
      </c>
      <c r="H47" s="32">
        <f>IF(A47&lt;=$B$9,D47*E47,"")</f>
        <v/>
      </c>
    </row>
    <row r="48">
      <c r="A48" s="40">
        <f>ROW()-35</f>
        <v/>
      </c>
      <c r="B48" s="17">
        <f>IF(A48&lt;=$B$9,EDATE($B$8,12*A48),"")</f>
        <v/>
      </c>
      <c r="C48" s="17">
        <f>IF(A48&lt;=$B$9,B47,"")</f>
        <v/>
      </c>
      <c r="D48" s="16">
        <f>IF(A48&lt;=$B$9,(B48-C48)/360,"")</f>
        <v/>
      </c>
      <c r="E48" s="33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41">
        <f>IF(A48&lt;=$B$9,$B$6*$B$11/100*D48,"")</f>
        <v/>
      </c>
      <c r="G48" s="41">
        <f>IF(A48&lt;=$B$9,F48*E48,"")</f>
        <v/>
      </c>
      <c r="H48" s="32">
        <f>IF(A48&lt;=$B$9,D48*E48,"")</f>
        <v/>
      </c>
    </row>
    <row r="49">
      <c r="A49" s="40">
        <f>ROW()-35</f>
        <v/>
      </c>
      <c r="B49" s="17">
        <f>IF(A49&lt;=$B$9,EDATE($B$8,12*A49),"")</f>
        <v/>
      </c>
      <c r="C49" s="17">
        <f>IF(A49&lt;=$B$9,B48,"")</f>
        <v/>
      </c>
      <c r="D49" s="16">
        <f>IF(A49&lt;=$B$9,(B49-C49)/360,"")</f>
        <v/>
      </c>
      <c r="E49" s="33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41">
        <f>IF(A49&lt;=$B$9,$B$6*$B$11/100*D49,"")</f>
        <v/>
      </c>
      <c r="G49" s="41">
        <f>IF(A49&lt;=$B$9,F49*E49,"")</f>
        <v/>
      </c>
      <c r="H49" s="32">
        <f>IF(A49&lt;=$B$9,D49*E49,"")</f>
        <v/>
      </c>
    </row>
    <row r="50">
      <c r="A50" s="40">
        <f>ROW()-35</f>
        <v/>
      </c>
      <c r="B50" s="17">
        <f>IF(A50&lt;=$B$9,EDATE($B$8,12*A50),"")</f>
        <v/>
      </c>
      <c r="C50" s="17">
        <f>IF(A50&lt;=$B$9,B49,"")</f>
        <v/>
      </c>
      <c r="D50" s="16">
        <f>IF(A50&lt;=$B$9,(B50-C50)/360,"")</f>
        <v/>
      </c>
      <c r="E50" s="33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41">
        <f>IF(A50&lt;=$B$9,$B$6*$B$11/100*D50,"")</f>
        <v/>
      </c>
      <c r="G50" s="41">
        <f>IF(A50&lt;=$B$9,F50*E50,"")</f>
        <v/>
      </c>
      <c r="H50" s="32">
        <f>IF(A50&lt;=$B$9,D50*E50,"")</f>
        <v/>
      </c>
    </row>
    <row r="51">
      <c r="A51" s="40">
        <f>ROW()-35</f>
        <v/>
      </c>
      <c r="B51" s="17">
        <f>IF(A51&lt;=$B$9,EDATE($B$8,12*A51),"")</f>
        <v/>
      </c>
      <c r="C51" s="17">
        <f>IF(A51&lt;=$B$9,B50,"")</f>
        <v/>
      </c>
      <c r="D51" s="16">
        <f>IF(A51&lt;=$B$9,(B51-C51)/360,"")</f>
        <v/>
      </c>
      <c r="E51" s="33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41">
        <f>IF(A51&lt;=$B$9,$B$6*$B$11/100*D51,"")</f>
        <v/>
      </c>
      <c r="G51" s="41">
        <f>IF(A51&lt;=$B$9,F51*E51,"")</f>
        <v/>
      </c>
      <c r="H51" s="32">
        <f>IF(A51&lt;=$B$9,D51*E51,"")</f>
        <v/>
      </c>
    </row>
    <row r="52">
      <c r="A52" s="40">
        <f>ROW()-35</f>
        <v/>
      </c>
      <c r="B52" s="17">
        <f>IF(A52&lt;=$B$9,EDATE($B$8,12*A52),"")</f>
        <v/>
      </c>
      <c r="C52" s="17">
        <f>IF(A52&lt;=$B$9,B51,"")</f>
        <v/>
      </c>
      <c r="D52" s="16">
        <f>IF(A52&lt;=$B$9,(B52-C52)/360,"")</f>
        <v/>
      </c>
      <c r="E52" s="33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41">
        <f>IF(A52&lt;=$B$9,$B$6*$B$11/100*D52,"")</f>
        <v/>
      </c>
      <c r="G52" s="41">
        <f>IF(A52&lt;=$B$9,F52*E52,"")</f>
        <v/>
      </c>
      <c r="H52" s="32">
        <f>IF(A52&lt;=$B$9,D52*E52,"")</f>
        <v/>
      </c>
    </row>
    <row r="53">
      <c r="A53" s="40">
        <f>ROW()-35</f>
        <v/>
      </c>
      <c r="B53" s="17">
        <f>IF(A53&lt;=$B$9,EDATE($B$8,12*A53),"")</f>
        <v/>
      </c>
      <c r="C53" s="17">
        <f>IF(A53&lt;=$B$9,B52,"")</f>
        <v/>
      </c>
      <c r="D53" s="16">
        <f>IF(A53&lt;=$B$9,(B53-C53)/360,"")</f>
        <v/>
      </c>
      <c r="E53" s="33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41">
        <f>IF(A53&lt;=$B$9,$B$6*$B$11/100*D53,"")</f>
        <v/>
      </c>
      <c r="G53" s="41">
        <f>IF(A53&lt;=$B$9,F53*E53,"")</f>
        <v/>
      </c>
      <c r="H53" s="32">
        <f>IF(A53&lt;=$B$9,D53*E53,"")</f>
        <v/>
      </c>
    </row>
    <row r="54">
      <c r="A54" s="40">
        <f>ROW()-35</f>
        <v/>
      </c>
      <c r="B54" s="17">
        <f>IF(A54&lt;=$B$9,EDATE($B$8,12*A54),"")</f>
        <v/>
      </c>
      <c r="C54" s="17">
        <f>IF(A54&lt;=$B$9,B53,"")</f>
        <v/>
      </c>
      <c r="D54" s="16">
        <f>IF(A54&lt;=$B$9,(B54-C54)/360,"")</f>
        <v/>
      </c>
      <c r="E54" s="33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41">
        <f>IF(A54&lt;=$B$9,$B$6*$B$11/100*D54,"")</f>
        <v/>
      </c>
      <c r="G54" s="41">
        <f>IF(A54&lt;=$B$9,F54*E54,"")</f>
        <v/>
      </c>
      <c r="H54" s="32">
        <f>IF(A54&lt;=$B$9,D54*E54,"")</f>
        <v/>
      </c>
    </row>
    <row r="55">
      <c r="A55" s="40">
        <f>ROW()-35</f>
        <v/>
      </c>
      <c r="B55" s="17">
        <f>IF(A55&lt;=$B$9,EDATE($B$8,12*A55),"")</f>
        <v/>
      </c>
      <c r="C55" s="17">
        <f>IF(A55&lt;=$B$9,B54,"")</f>
        <v/>
      </c>
      <c r="D55" s="16">
        <f>IF(A55&lt;=$B$9,(B55-C55)/360,"")</f>
        <v/>
      </c>
      <c r="E55" s="33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41">
        <f>IF(A55&lt;=$B$9,$B$6*$B$11/100*D55,"")</f>
        <v/>
      </c>
      <c r="G55" s="41">
        <f>IF(A55&lt;=$B$9,F55*E55,"")</f>
        <v/>
      </c>
      <c r="H55" s="32">
        <f>IF(A55&lt;=$B$9,D55*E55,"")</f>
        <v/>
      </c>
    </row>
    <row r="56">
      <c r="A56" s="40">
        <f>ROW()-35</f>
        <v/>
      </c>
      <c r="B56" s="17">
        <f>IF(A56&lt;=$B$9,EDATE($B$8,12*A56),"")</f>
        <v/>
      </c>
      <c r="C56" s="17">
        <f>IF(A56&lt;=$B$9,B55,"")</f>
        <v/>
      </c>
      <c r="D56" s="16">
        <f>IF(A56&lt;=$B$9,(B56-C56)/360,"")</f>
        <v/>
      </c>
      <c r="E56" s="33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41">
        <f>IF(A56&lt;=$B$9,$B$6*$B$11/100*D56,"")</f>
        <v/>
      </c>
      <c r="G56" s="41">
        <f>IF(A56&lt;=$B$9,F56*E56,"")</f>
        <v/>
      </c>
      <c r="H56" s="32">
        <f>IF(A56&lt;=$B$9,D56*E56,"")</f>
        <v/>
      </c>
    </row>
    <row r="57">
      <c r="A57" s="40">
        <f>ROW()-35</f>
        <v/>
      </c>
      <c r="B57" s="17">
        <f>IF(A57&lt;=$B$9,EDATE($B$8,12*A57),"")</f>
        <v/>
      </c>
      <c r="C57" s="17">
        <f>IF(A57&lt;=$B$9,B56,"")</f>
        <v/>
      </c>
      <c r="D57" s="16">
        <f>IF(A57&lt;=$B$9,(B57-C57)/360,"")</f>
        <v/>
      </c>
      <c r="E57" s="33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41">
        <f>IF(A57&lt;=$B$9,$B$6*$B$11/100*D57,"")</f>
        <v/>
      </c>
      <c r="G57" s="41">
        <f>IF(A57&lt;=$B$9,F57*E57,"")</f>
        <v/>
      </c>
      <c r="H57" s="32">
        <f>IF(A57&lt;=$B$9,D57*E57,"")</f>
        <v/>
      </c>
    </row>
    <row r="58">
      <c r="A58" s="40">
        <f>ROW()-35</f>
        <v/>
      </c>
      <c r="B58" s="17">
        <f>IF(A58&lt;=$B$9,EDATE($B$8,12*A58),"")</f>
        <v/>
      </c>
      <c r="C58" s="17">
        <f>IF(A58&lt;=$B$9,B57,"")</f>
        <v/>
      </c>
      <c r="D58" s="16">
        <f>IF(A58&lt;=$B$9,(B58-C58)/360,"")</f>
        <v/>
      </c>
      <c r="E58" s="33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41">
        <f>IF(A58&lt;=$B$9,$B$6*$B$11/100*D58,"")</f>
        <v/>
      </c>
      <c r="G58" s="41">
        <f>IF(A58&lt;=$B$9,F58*E58,"")</f>
        <v/>
      </c>
      <c r="H58" s="32">
        <f>IF(A58&lt;=$B$9,D58*E58,"")</f>
        <v/>
      </c>
    </row>
    <row r="59">
      <c r="A59" s="40">
        <f>ROW()-35</f>
        <v/>
      </c>
      <c r="B59" s="17">
        <f>IF(A59&lt;=$B$9,EDATE($B$8,12*A59),"")</f>
        <v/>
      </c>
      <c r="C59" s="17">
        <f>IF(A59&lt;=$B$9,B58,"")</f>
        <v/>
      </c>
      <c r="D59" s="16">
        <f>IF(A59&lt;=$B$9,(B59-C59)/360,"")</f>
        <v/>
      </c>
      <c r="E59" s="33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41">
        <f>IF(A59&lt;=$B$9,$B$6*$B$11/100*D59,"")</f>
        <v/>
      </c>
      <c r="G59" s="41">
        <f>IF(A59&lt;=$B$9,F59*E59,"")</f>
        <v/>
      </c>
      <c r="H59" s="32">
        <f>IF(A59&lt;=$B$9,D59*E59,"")</f>
        <v/>
      </c>
    </row>
    <row r="60">
      <c r="A60" s="40">
        <f>ROW()-35</f>
        <v/>
      </c>
      <c r="B60" s="17">
        <f>IF(A60&lt;=$B$9,EDATE($B$8,12*A60),"")</f>
        <v/>
      </c>
      <c r="C60" s="17">
        <f>IF(A60&lt;=$B$9,B59,"")</f>
        <v/>
      </c>
      <c r="D60" s="16">
        <f>IF(A60&lt;=$B$9,(B60-C60)/360,"")</f>
        <v/>
      </c>
      <c r="E60" s="33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41">
        <f>IF(A60&lt;=$B$9,$B$6*$B$11/100*D60,"")</f>
        <v/>
      </c>
      <c r="G60" s="41">
        <f>IF(A60&lt;=$B$9,F60*E60,"")</f>
        <v/>
      </c>
      <c r="H60" s="32">
        <f>IF(A60&lt;=$B$9,D60*E60,"")</f>
        <v/>
      </c>
    </row>
    <row r="61">
      <c r="A61" s="40">
        <f>ROW()-35</f>
        <v/>
      </c>
      <c r="B61" s="17">
        <f>IF(A61&lt;=$B$9,EDATE($B$8,12*A61),"")</f>
        <v/>
      </c>
      <c r="C61" s="17">
        <f>IF(A61&lt;=$B$9,B60,"")</f>
        <v/>
      </c>
      <c r="D61" s="16">
        <f>IF(A61&lt;=$B$9,(B61-C61)/360,"")</f>
        <v/>
      </c>
      <c r="E61" s="33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41">
        <f>IF(A61&lt;=$B$9,$B$6*$B$11/100*D61,"")</f>
        <v/>
      </c>
      <c r="G61" s="41">
        <f>IF(A61&lt;=$B$9,F61*E61,"")</f>
        <v/>
      </c>
      <c r="H61" s="32">
        <f>IF(A61&lt;=$B$9,D61*E61,"")</f>
        <v/>
      </c>
    </row>
    <row r="62">
      <c r="A62" s="40">
        <f>ROW()-35</f>
        <v/>
      </c>
      <c r="B62" s="17">
        <f>IF(A62&lt;=$B$9,EDATE($B$8,12*A62),"")</f>
        <v/>
      </c>
      <c r="C62" s="17">
        <f>IF(A62&lt;=$B$9,B61,"")</f>
        <v/>
      </c>
      <c r="D62" s="16">
        <f>IF(A62&lt;=$B$9,(B62-C62)/360,"")</f>
        <v/>
      </c>
      <c r="E62" s="33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41">
        <f>IF(A62&lt;=$B$9,$B$6*$B$11/100*D62,"")</f>
        <v/>
      </c>
      <c r="G62" s="41">
        <f>IF(A62&lt;=$B$9,F62*E62,"")</f>
        <v/>
      </c>
      <c r="H62" s="32">
        <f>IF(A62&lt;=$B$9,D62*E62,"")</f>
        <v/>
      </c>
    </row>
    <row r="63">
      <c r="A63" s="40">
        <f>ROW()-35</f>
        <v/>
      </c>
      <c r="B63" s="17">
        <f>IF(A63&lt;=$B$9,EDATE($B$8,12*A63),"")</f>
        <v/>
      </c>
      <c r="C63" s="17">
        <f>IF(A63&lt;=$B$9,B62,"")</f>
        <v/>
      </c>
      <c r="D63" s="16">
        <f>IF(A63&lt;=$B$9,(B63-C63)/360,"")</f>
        <v/>
      </c>
      <c r="E63" s="33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41">
        <f>IF(A63&lt;=$B$9,$B$6*$B$11/100*D63,"")</f>
        <v/>
      </c>
      <c r="G63" s="41">
        <f>IF(A63&lt;=$B$9,F63*E63,"")</f>
        <v/>
      </c>
      <c r="H63" s="32">
        <f>IF(A63&lt;=$B$9,D63*E63,"")</f>
        <v/>
      </c>
    </row>
    <row r="64">
      <c r="A64" s="40">
        <f>ROW()-35</f>
        <v/>
      </c>
      <c r="B64" s="17">
        <f>IF(A64&lt;=$B$9,EDATE($B$8,12*A64),"")</f>
        <v/>
      </c>
      <c r="C64" s="17">
        <f>IF(A64&lt;=$B$9,B63,"")</f>
        <v/>
      </c>
      <c r="D64" s="16">
        <f>IF(A64&lt;=$B$9,(B64-C64)/360,"")</f>
        <v/>
      </c>
      <c r="E64" s="33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41">
        <f>IF(A64&lt;=$B$9,$B$6*$B$11/100*D64,"")</f>
        <v/>
      </c>
      <c r="G64" s="41">
        <f>IF(A64&lt;=$B$9,F64*E64,"")</f>
        <v/>
      </c>
      <c r="H64" s="32">
        <f>IF(A64&lt;=$B$9,D64*E64,"")</f>
        <v/>
      </c>
    </row>
    <row r="65">
      <c r="A65" s="40">
        <f>ROW()-35</f>
        <v/>
      </c>
      <c r="B65" s="17">
        <f>IF(A65&lt;=$B$9,EDATE($B$8,12*A65),"")</f>
        <v/>
      </c>
      <c r="C65" s="17">
        <f>IF(A65&lt;=$B$9,B64,"")</f>
        <v/>
      </c>
      <c r="D65" s="16">
        <f>IF(A65&lt;=$B$9,(B65-C65)/360,"")</f>
        <v/>
      </c>
      <c r="E65" s="33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41">
        <f>IF(A65&lt;=$B$9,$B$6*$B$11/100*D65,"")</f>
        <v/>
      </c>
      <c r="G65" s="41">
        <f>IF(A65&lt;=$B$9,F65*E65,"")</f>
        <v/>
      </c>
      <c r="H65" s="32">
        <f>IF(A65&lt;=$B$9,D65*E65,"")</f>
        <v/>
      </c>
    </row>
    <row r="66">
      <c r="A66" s="40">
        <f>ROW()-35</f>
        <v/>
      </c>
      <c r="B66" s="17">
        <f>IF(A66&lt;=$B$9,EDATE($B$8,12*A66),"")</f>
        <v/>
      </c>
      <c r="C66" s="17">
        <f>IF(A66&lt;=$B$9,B65,"")</f>
        <v/>
      </c>
      <c r="D66" s="16">
        <f>IF(A66&lt;=$B$9,(B66-C66)/360,"")</f>
        <v/>
      </c>
      <c r="E66" s="33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41">
        <f>IF(A66&lt;=$B$9,$B$6*$B$11/100*D66,"")</f>
        <v/>
      </c>
      <c r="G66" s="41">
        <f>IF(A66&lt;=$B$9,F66*E66,"")</f>
        <v/>
      </c>
      <c r="H66" s="32">
        <f>IF(A66&lt;=$B$9,D66*E66,"")</f>
        <v/>
      </c>
    </row>
    <row r="67">
      <c r="A67" s="40">
        <f>ROW()-35</f>
        <v/>
      </c>
      <c r="B67" s="17">
        <f>IF(A67&lt;=$B$9,EDATE($B$8,12*A67),"")</f>
        <v/>
      </c>
      <c r="C67" s="17">
        <f>IF(A67&lt;=$B$9,B66,"")</f>
        <v/>
      </c>
      <c r="D67" s="16">
        <f>IF(A67&lt;=$B$9,(B67-C67)/360,"")</f>
        <v/>
      </c>
      <c r="E67" s="33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41">
        <f>IF(A67&lt;=$B$9,$B$6*$B$11/100*D67,"")</f>
        <v/>
      </c>
      <c r="G67" s="41">
        <f>IF(A67&lt;=$B$9,F67*E67,"")</f>
        <v/>
      </c>
      <c r="H67" s="32">
        <f>IF(A67&lt;=$B$9,D67*E67,"")</f>
        <v/>
      </c>
    </row>
    <row r="68">
      <c r="A68" s="40">
        <f>ROW()-35</f>
        <v/>
      </c>
      <c r="B68" s="17">
        <f>IF(A68&lt;=$B$9,EDATE($B$8,12*A68),"")</f>
        <v/>
      </c>
      <c r="C68" s="17">
        <f>IF(A68&lt;=$B$9,B67,"")</f>
        <v/>
      </c>
      <c r="D68" s="16">
        <f>IF(A68&lt;=$B$9,(B68-C68)/360,"")</f>
        <v/>
      </c>
      <c r="E68" s="33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41">
        <f>IF(A68&lt;=$B$9,$B$6*$B$11/100*D68,"")</f>
        <v/>
      </c>
      <c r="G68" s="41">
        <f>IF(A68&lt;=$B$9,F68*E68,"")</f>
        <v/>
      </c>
      <c r="H68" s="32">
        <f>IF(A68&lt;=$B$9,D68*E68,"")</f>
        <v/>
      </c>
    </row>
    <row r="69">
      <c r="A69" s="40">
        <f>ROW()-35</f>
        <v/>
      </c>
      <c r="B69" s="17">
        <f>IF(A69&lt;=$B$9,EDATE($B$8,12*A69),"")</f>
        <v/>
      </c>
      <c r="C69" s="17">
        <f>IF(A69&lt;=$B$9,B68,"")</f>
        <v/>
      </c>
      <c r="D69" s="16">
        <f>IF(A69&lt;=$B$9,(B69-C69)/360,"")</f>
        <v/>
      </c>
      <c r="E69" s="33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41">
        <f>IF(A69&lt;=$B$9,$B$6*$B$11/100*D69,"")</f>
        <v/>
      </c>
      <c r="G69" s="41">
        <f>IF(A69&lt;=$B$9,F69*E69,"")</f>
        <v/>
      </c>
      <c r="H69" s="32">
        <f>IF(A69&lt;=$B$9,D69*E69,"")</f>
        <v/>
      </c>
    </row>
    <row r="70">
      <c r="A70" s="40">
        <f>ROW()-35</f>
        <v/>
      </c>
      <c r="B70" s="17">
        <f>IF(A70&lt;=$B$9,EDATE($B$8,12*A70),"")</f>
        <v/>
      </c>
      <c r="C70" s="17">
        <f>IF(A70&lt;=$B$9,B69,"")</f>
        <v/>
      </c>
      <c r="D70" s="16">
        <f>IF(A70&lt;=$B$9,(B70-C70)/360,"")</f>
        <v/>
      </c>
      <c r="E70" s="33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41">
        <f>IF(A70&lt;=$B$9,$B$6*$B$11/100*D70,"")</f>
        <v/>
      </c>
      <c r="G70" s="41">
        <f>IF(A70&lt;=$B$9,F70*E70,"")</f>
        <v/>
      </c>
      <c r="H70" s="32">
        <f>IF(A70&lt;=$B$9,D70*E70,"")</f>
        <v/>
      </c>
    </row>
    <row r="71">
      <c r="A71" s="40">
        <f>ROW()-35</f>
        <v/>
      </c>
      <c r="B71" s="17">
        <f>IF(A71&lt;=$B$9,EDATE($B$8,12*A71),"")</f>
        <v/>
      </c>
      <c r="C71" s="17">
        <f>IF(A71&lt;=$B$9,B70,"")</f>
        <v/>
      </c>
      <c r="D71" s="16">
        <f>IF(A71&lt;=$B$9,(B71-C71)/360,"")</f>
        <v/>
      </c>
      <c r="E71" s="33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41">
        <f>IF(A71&lt;=$B$9,$B$6*$B$11/100*D71,"")</f>
        <v/>
      </c>
      <c r="G71" s="41">
        <f>IF(A71&lt;=$B$9,F71*E71,"")</f>
        <v/>
      </c>
      <c r="H71" s="32">
        <f>IF(A71&lt;=$B$9,D71*E71,"")</f>
        <v/>
      </c>
    </row>
    <row r="72">
      <c r="A72" s="40">
        <f>ROW()-35</f>
        <v/>
      </c>
      <c r="B72" s="17">
        <f>IF(A72&lt;=$B$9,EDATE($B$8,12*A72),"")</f>
        <v/>
      </c>
      <c r="C72" s="17">
        <f>IF(A72&lt;=$B$9,B71,"")</f>
        <v/>
      </c>
      <c r="D72" s="16">
        <f>IF(A72&lt;=$B$9,(B72-C72)/360,"")</f>
        <v/>
      </c>
      <c r="E72" s="33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41">
        <f>IF(A72&lt;=$B$9,$B$6*$B$11/100*D72,"")</f>
        <v/>
      </c>
      <c r="G72" s="41">
        <f>IF(A72&lt;=$B$9,F72*E72,"")</f>
        <v/>
      </c>
      <c r="H72" s="32">
        <f>IF(A72&lt;=$B$9,D72*E72,"")</f>
        <v/>
      </c>
    </row>
    <row r="73">
      <c r="A73" s="40">
        <f>ROW()-35</f>
        <v/>
      </c>
      <c r="B73" s="17">
        <f>IF(A73&lt;=$B$9,EDATE($B$8,12*A73),"")</f>
        <v/>
      </c>
      <c r="C73" s="17">
        <f>IF(A73&lt;=$B$9,B72,"")</f>
        <v/>
      </c>
      <c r="D73" s="16">
        <f>IF(A73&lt;=$B$9,(B73-C73)/360,"")</f>
        <v/>
      </c>
      <c r="E73" s="33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41">
        <f>IF(A73&lt;=$B$9,$B$6*$B$11/100*D73,"")</f>
        <v/>
      </c>
      <c r="G73" s="41">
        <f>IF(A73&lt;=$B$9,F73*E73,"")</f>
        <v/>
      </c>
      <c r="H73" s="32">
        <f>IF(A73&lt;=$B$9,D73*E73,"")</f>
        <v/>
      </c>
    </row>
    <row r="74">
      <c r="A74" s="40">
        <f>ROW()-35</f>
        <v/>
      </c>
      <c r="B74" s="17">
        <f>IF(A74&lt;=$B$9,EDATE($B$8,12*A74),"")</f>
        <v/>
      </c>
      <c r="C74" s="17">
        <f>IF(A74&lt;=$B$9,B73,"")</f>
        <v/>
      </c>
      <c r="D74" s="16">
        <f>IF(A74&lt;=$B$9,(B74-C74)/360,"")</f>
        <v/>
      </c>
      <c r="E74" s="33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41">
        <f>IF(A74&lt;=$B$9,$B$6*$B$11/100*D74,"")</f>
        <v/>
      </c>
      <c r="G74" s="41">
        <f>IF(A74&lt;=$B$9,F74*E74,"")</f>
        <v/>
      </c>
      <c r="H74" s="32">
        <f>IF(A74&lt;=$B$9,D74*E74,"")</f>
        <v/>
      </c>
    </row>
    <row r="75">
      <c r="A75" s="40">
        <f>ROW()-35</f>
        <v/>
      </c>
      <c r="B75" s="17">
        <f>IF(A75&lt;=$B$9,EDATE($B$8,12*A75),"")</f>
        <v/>
      </c>
      <c r="C75" s="17">
        <f>IF(A75&lt;=$B$9,B74,"")</f>
        <v/>
      </c>
      <c r="D75" s="16">
        <f>IF(A75&lt;=$B$9,(B75-C75)/360,"")</f>
        <v/>
      </c>
      <c r="E75" s="33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41">
        <f>IF(A75&lt;=$B$9,$B$6*$B$11/100*D75,"")</f>
        <v/>
      </c>
      <c r="G75" s="41">
        <f>IF(A75&lt;=$B$9,F75*E75,"")</f>
        <v/>
      </c>
      <c r="H75" s="32">
        <f>IF(A75&lt;=$B$9,D75*E75,"")</f>
        <v/>
      </c>
    </row>
    <row r="76">
      <c r="A76" s="40">
        <f>ROW()-35</f>
        <v/>
      </c>
      <c r="B76" s="17">
        <f>IF(A76&lt;=$B$9,EDATE($B$8,12*A76),"")</f>
        <v/>
      </c>
      <c r="C76" s="17">
        <f>IF(A76&lt;=$B$9,B75,"")</f>
        <v/>
      </c>
      <c r="D76" s="16">
        <f>IF(A76&lt;=$B$9,(B76-C76)/360,"")</f>
        <v/>
      </c>
      <c r="E76" s="33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41">
        <f>IF(A76&lt;=$B$9,$B$6*$B$11/100*D76,"")</f>
        <v/>
      </c>
      <c r="G76" s="41">
        <f>IF(A76&lt;=$B$9,F76*E76,"")</f>
        <v/>
      </c>
      <c r="H76" s="32">
        <f>IF(A76&lt;=$B$9,D76*E76,"")</f>
        <v/>
      </c>
    </row>
    <row r="77">
      <c r="A77" s="40">
        <f>ROW()-35</f>
        <v/>
      </c>
      <c r="B77" s="17">
        <f>IF(A77&lt;=$B$9,EDATE($B$8,12*A77),"")</f>
        <v/>
      </c>
      <c r="C77" s="17">
        <f>IF(A77&lt;=$B$9,B76,"")</f>
        <v/>
      </c>
      <c r="D77" s="16">
        <f>IF(A77&lt;=$B$9,(B77-C77)/360,"")</f>
        <v/>
      </c>
      <c r="E77" s="33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41">
        <f>IF(A77&lt;=$B$9,$B$6*$B$11/100*D77,"")</f>
        <v/>
      </c>
      <c r="G77" s="41">
        <f>IF(A77&lt;=$B$9,F77*E77,"")</f>
        <v/>
      </c>
      <c r="H77" s="32">
        <f>IF(A77&lt;=$B$9,D77*E77,"")</f>
        <v/>
      </c>
    </row>
    <row r="78">
      <c r="A78" s="40">
        <f>ROW()-35</f>
        <v/>
      </c>
      <c r="B78" s="17">
        <f>IF(A78&lt;=$B$9,EDATE($B$8,12*A78),"")</f>
        <v/>
      </c>
      <c r="C78" s="17">
        <f>IF(A78&lt;=$B$9,B77,"")</f>
        <v/>
      </c>
      <c r="D78" s="16">
        <f>IF(A78&lt;=$B$9,(B78-C78)/360,"")</f>
        <v/>
      </c>
      <c r="E78" s="33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41">
        <f>IF(A78&lt;=$B$9,$B$6*$B$11/100*D78,"")</f>
        <v/>
      </c>
      <c r="G78" s="41">
        <f>IF(A78&lt;=$B$9,F78*E78,"")</f>
        <v/>
      </c>
      <c r="H78" s="32">
        <f>IF(A78&lt;=$B$9,D78*E78,"")</f>
        <v/>
      </c>
    </row>
    <row r="79">
      <c r="A79" s="40">
        <f>ROW()-35</f>
        <v/>
      </c>
      <c r="B79" s="17">
        <f>IF(A79&lt;=$B$9,EDATE($B$8,12*A79),"")</f>
        <v/>
      </c>
      <c r="C79" s="17">
        <f>IF(A79&lt;=$B$9,B78,"")</f>
        <v/>
      </c>
      <c r="D79" s="16">
        <f>IF(A79&lt;=$B$9,(B79-C79)/360,"")</f>
        <v/>
      </c>
      <c r="E79" s="33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41">
        <f>IF(A79&lt;=$B$9,$B$6*$B$11/100*D79,"")</f>
        <v/>
      </c>
      <c r="G79" s="41">
        <f>IF(A79&lt;=$B$9,F79*E79,"")</f>
        <v/>
      </c>
      <c r="H79" s="32">
        <f>IF(A79&lt;=$B$9,D79*E79,"")</f>
        <v/>
      </c>
    </row>
    <row r="80">
      <c r="A80" s="40">
        <f>ROW()-35</f>
        <v/>
      </c>
      <c r="B80" s="17">
        <f>IF(A80&lt;=$B$9,EDATE($B$8,12*A80),"")</f>
        <v/>
      </c>
      <c r="C80" s="17">
        <f>IF(A80&lt;=$B$9,B79,"")</f>
        <v/>
      </c>
      <c r="D80" s="16">
        <f>IF(A80&lt;=$B$9,(B80-C80)/360,"")</f>
        <v/>
      </c>
      <c r="E80" s="33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41">
        <f>IF(A80&lt;=$B$9,$B$6*$B$11/100*D80,"")</f>
        <v/>
      </c>
      <c r="G80" s="41">
        <f>IF(A80&lt;=$B$9,F80*E80,"")</f>
        <v/>
      </c>
      <c r="H80" s="32">
        <f>IF(A80&lt;=$B$9,D80*E80,"")</f>
        <v/>
      </c>
    </row>
    <row r="81">
      <c r="A81" s="40">
        <f>ROW()-35</f>
        <v/>
      </c>
      <c r="B81" s="17">
        <f>IF(A81&lt;=$B$9,EDATE($B$8,12*A81),"")</f>
        <v/>
      </c>
      <c r="C81" s="17">
        <f>IF(A81&lt;=$B$9,B80,"")</f>
        <v/>
      </c>
      <c r="D81" s="16">
        <f>IF(A81&lt;=$B$9,(B81-C81)/360,"")</f>
        <v/>
      </c>
      <c r="E81" s="33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41">
        <f>IF(A81&lt;=$B$9,$B$6*$B$11/100*D81,"")</f>
        <v/>
      </c>
      <c r="G81" s="41">
        <f>IF(A81&lt;=$B$9,F81*E81,"")</f>
        <v/>
      </c>
      <c r="H81" s="32">
        <f>IF(A81&lt;=$B$9,D81*E81,"")</f>
        <v/>
      </c>
    </row>
    <row r="82">
      <c r="A82" s="40">
        <f>ROW()-35</f>
        <v/>
      </c>
      <c r="B82" s="17">
        <f>IF(A82&lt;=$B$9,EDATE($B$8,12*A82),"")</f>
        <v/>
      </c>
      <c r="C82" s="17">
        <f>IF(A82&lt;=$B$9,B81,"")</f>
        <v/>
      </c>
      <c r="D82" s="16">
        <f>IF(A82&lt;=$B$9,(B82-C82)/360,"")</f>
        <v/>
      </c>
      <c r="E82" s="33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41">
        <f>IF(A82&lt;=$B$9,$B$6*$B$11/100*D82,"")</f>
        <v/>
      </c>
      <c r="G82" s="41">
        <f>IF(A82&lt;=$B$9,F82*E82,"")</f>
        <v/>
      </c>
      <c r="H82" s="32">
        <f>IF(A82&lt;=$B$9,D82*E82,"")</f>
        <v/>
      </c>
    </row>
    <row r="83">
      <c r="A83" s="40">
        <f>ROW()-35</f>
        <v/>
      </c>
      <c r="B83" s="17">
        <f>IF(A83&lt;=$B$9,EDATE($B$8,12*A83),"")</f>
        <v/>
      </c>
      <c r="C83" s="17">
        <f>IF(A83&lt;=$B$9,B82,"")</f>
        <v/>
      </c>
      <c r="D83" s="16">
        <f>IF(A83&lt;=$B$9,(B83-C83)/360,"")</f>
        <v/>
      </c>
      <c r="E83" s="33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41">
        <f>IF(A83&lt;=$B$9,$B$6*$B$11/100*D83,"")</f>
        <v/>
      </c>
      <c r="G83" s="41">
        <f>IF(A83&lt;=$B$9,F83*E83,"")</f>
        <v/>
      </c>
      <c r="H83" s="32">
        <f>IF(A83&lt;=$B$9,D83*E83,"")</f>
        <v/>
      </c>
    </row>
    <row r="84">
      <c r="A84" s="40">
        <f>ROW()-35</f>
        <v/>
      </c>
      <c r="B84" s="17">
        <f>IF(A84&lt;=$B$9,EDATE($B$8,12*A84),"")</f>
        <v/>
      </c>
      <c r="C84" s="17">
        <f>IF(A84&lt;=$B$9,B83,"")</f>
        <v/>
      </c>
      <c r="D84" s="16">
        <f>IF(A84&lt;=$B$9,(B84-C84)/360,"")</f>
        <v/>
      </c>
      <c r="E84" s="33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41">
        <f>IF(A84&lt;=$B$9,$B$6*$B$11/100*D84,"")</f>
        <v/>
      </c>
      <c r="G84" s="41">
        <f>IF(A84&lt;=$B$9,F84*E84,"")</f>
        <v/>
      </c>
      <c r="H84" s="32">
        <f>IF(A84&lt;=$B$9,D84*E84,"")</f>
        <v/>
      </c>
    </row>
    <row r="85">
      <c r="A85" s="40">
        <f>ROW()-35</f>
        <v/>
      </c>
      <c r="B85" s="17">
        <f>IF(A85&lt;=$B$9,EDATE($B$8,12*A85),"")</f>
        <v/>
      </c>
      <c r="C85" s="17">
        <f>IF(A85&lt;=$B$9,B84,"")</f>
        <v/>
      </c>
      <c r="D85" s="16">
        <f>IF(A85&lt;=$B$9,(B85-C85)/360,"")</f>
        <v/>
      </c>
      <c r="E85" s="33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41">
        <f>IF(A85&lt;=$B$9,$B$6*$B$11/100*D85,"")</f>
        <v/>
      </c>
      <c r="G85" s="41">
        <f>IF(A85&lt;=$B$9,F85*E85,"")</f>
        <v/>
      </c>
      <c r="H85" s="32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</t>
        </is>
      </c>
      <c r="B4" s="18">
        <f>IFERROR(BDP(S490_TKR,"NAME"),"open in Bloomberg")</f>
        <v/>
      </c>
    </row>
    <row r="5">
      <c r="A5" s="13" t="inlineStr">
        <is>
          <t>Curve date</t>
        </is>
      </c>
      <c r="B5" s="43">
        <f>VAL_DATE</f>
        <v/>
      </c>
    </row>
    <row r="6" ht="46" customHeight="1">
      <c r="A6" s="9" t="inlineStr">
        <is>
          <t>The anchor cell A8 holds =BDS(S490_TKR,"CURVE_TENOR_RATES") and spills raw below in Bloomberg's own column order (typically tenor, curve member, maturity, mid rate). It is NOT pre-labeled, because forcing headers/date-formats mis-aligned the columns. Bloomberg's zero rates / discount factors are best read from the curve screen (YCSW0490 &lt;GO&gt;, or SWDF). The actual bootstrap + comparison lives on the Bootstrap tab: paste S490 zero rates into its column J to get Δz in bp.</t>
        </is>
      </c>
    </row>
    <row r="7">
      <c r="A7" s="19" t="inlineStr">
        <is>
          <t>Raw CURVE_TENOR_RATES dump — Bloomberg-defined column order; verify on terminal, then paste S490 zero rates into the Bootstrap tab (column J) for the Δz check</t>
        </is>
      </c>
      <c r="B7" s="19" t="inlineStr"/>
      <c r="C7" s="19" t="inlineStr"/>
      <c r="D7" s="19" t="inlineStr"/>
      <c r="E7" s="19" t="inlineStr"/>
      <c r="F7" s="19" t="inlineStr"/>
      <c r="G7" s="19" t="inlineStr"/>
    </row>
    <row r="8">
      <c r="A8" s="6">
        <f>BDS(S490_TKR,"CURVE_TENOR_RATES")</f>
        <v/>
      </c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3">
      <c r="A43" s="6" t="n"/>
      <c r="B43" s="6" t="n"/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6">
      <c r="A46" s="6" t="n"/>
      <c r="B46" s="6" t="n"/>
      <c r="C46" s="6" t="n"/>
      <c r="D46" s="6" t="n"/>
      <c r="E46" s="6" t="n"/>
      <c r="F46" s="6" t="n"/>
      <c r="G46" s="6" t="n"/>
    </row>
    <row r="47">
      <c r="A47" s="6" t="n"/>
      <c r="B47" s="6" t="n"/>
      <c r="C47" s="6" t="n"/>
      <c r="D47" s="6" t="n"/>
      <c r="E47" s="6" t="n"/>
      <c r="F47" s="6" t="n"/>
      <c r="G47" s="6" t="n"/>
    </row>
  </sheetData>
  <mergeCells count="2">
    <mergeCell ref="A6:G6"/>
    <mergeCell ref="B4:D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19" t="inlineStr">
        <is>
          <t>Convention attribute</t>
        </is>
      </c>
      <c r="B4" s="19" t="inlineStr">
        <is>
          <t>BDP field (verify via FLDS)</t>
        </is>
      </c>
      <c r="C4" s="19" t="inlineStr">
        <is>
          <t>USOSFRC  (3M)</t>
        </is>
      </c>
      <c r="D4" s="19" t="inlineStr">
        <is>
          <t>USOSFR1  (1Y)</t>
        </is>
      </c>
      <c r="E4" s="19" t="inlineStr">
        <is>
          <t>USOSFR5  (5Y)</t>
        </is>
      </c>
      <c r="F4" s="19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Curncy","CRNCY"),"N/A — use FLDS")</f>
        <v/>
      </c>
      <c r="D5" s="22">
        <f>IFERROR(BDP("USOSFR1 BGN Curncy","CRNCY"),"N/A — use FLDS")</f>
        <v/>
      </c>
      <c r="E5" s="22">
        <f>IFERROR(BDP("USOSFR5 BGN Curncy","CRNCY"),"N/A — use FLDS")</f>
        <v/>
      </c>
      <c r="F5" s="22">
        <f>IFERROR(BDP("USOSFR30 BGN Curncy","CRNCY"),"N/A — use FLDS")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Curncy","CALENDAR_CODE"),"N/A — use FLDS")</f>
        <v/>
      </c>
      <c r="D10" s="22">
        <f>IFERROR(BDP("USOSFR1 BGN Curncy","CALENDAR_CODE"),"N/A — use FLDS")</f>
        <v/>
      </c>
      <c r="E10" s="22">
        <f>IFERROR(BDP("USOSFR5 BGN Curncy","CALENDAR_CODE"),"N/A — use FLDS")</f>
        <v/>
      </c>
      <c r="F10" s="22">
        <f>IFERROR(BDP("USOSFR30 BGN Curncy","CALENDAR_CODE"),"N/A — use FLDS")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Curncy","DAY_CNT_DES"),"N/A — use FLDS")</f>
        <v/>
      </c>
      <c r="D12" s="22">
        <f>IFERROR(BDP("USOSFR1 BGN Curncy","DAY_CNT_DES"),"N/A — use FLDS")</f>
        <v/>
      </c>
      <c r="E12" s="22">
        <f>IFERROR(BDP("USOSFR5 BGN Curncy","DAY_CNT_DES"),"N/A — use FLDS")</f>
        <v/>
      </c>
      <c r="F12" s="22">
        <f>IFERROR(BDP("USOSFR30 BGN Curncy","DAY_CNT_DES"),"N/A — use FLDS")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4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4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4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4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4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4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4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4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4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4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4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4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4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2026-07-20T15:13:31Z</dcterms:created>
  <dcterms:modified xmlns:dcterms="http://purl.org/dc/terms/" xmlns:xsi="http://www.w3.org/2001/XMLSchema-instance" xsi:type="dcterms:W3CDTF">2026-07-20T15:13:31Z</dcterms:modified>
</cp:coreProperties>
</file>