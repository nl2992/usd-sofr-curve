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" fontId="0" fillId="2" borderId="0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</row>
    <row r="33">
      <c r="A33" s="6" t="inlineStr">
        <is>
          <t>11Y</t>
        </is>
      </c>
      <c r="B33" s="18">
        <f>EDATE($B$4,132)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</row>
    <row r="34">
      <c r="A34" s="6" t="inlineStr">
        <is>
          <t>12Y</t>
        </is>
      </c>
      <c r="B34" s="18">
        <f>EDATE($B$4,144)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29">
        <f>($D$4-(E34/100)*G34)/(1+(E34/100)*F34)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</row>
    <row r="35">
      <c r="A35" s="6" t="inlineStr">
        <is>
          <t>13Y</t>
        </is>
      </c>
      <c r="B35" s="18">
        <f>EDATE($B$4,156)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</row>
    <row r="36">
      <c r="A36" s="6" t="inlineStr">
        <is>
          <t>14Y</t>
        </is>
      </c>
      <c r="B36" s="18">
        <f>EDATE($B$4,168)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</row>
    <row r="37">
      <c r="A37" s="6" t="inlineStr">
        <is>
          <t>15Y</t>
        </is>
      </c>
      <c r="B37" s="18">
        <f>EDATE($B$4,180)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29">
        <f>($D$4-(E37/100)*G37)/(1+(E37/100)*F37)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</row>
    <row r="38">
      <c r="A38" s="6" t="inlineStr">
        <is>
          <t>16Y</t>
        </is>
      </c>
      <c r="B38" s="18">
        <f>EDATE($B$4,192)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</row>
    <row r="39">
      <c r="A39" s="6" t="inlineStr">
        <is>
          <t>17Y</t>
        </is>
      </c>
      <c r="B39" s="18">
        <f>EDATE($B$4,204)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</row>
    <row r="40">
      <c r="A40" s="6" t="inlineStr">
        <is>
          <t>18Y</t>
        </is>
      </c>
      <c r="B40" s="18">
        <f>EDATE($B$4,216)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</row>
    <row r="41">
      <c r="A41" s="6" t="inlineStr">
        <is>
          <t>19Y</t>
        </is>
      </c>
      <c r="B41" s="18">
        <f>EDATE($B$4,228)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</row>
    <row r="42">
      <c r="A42" s="6" t="inlineStr">
        <is>
          <t>20Y</t>
        </is>
      </c>
      <c r="B42" s="18">
        <f>EDATE($B$4,240)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29">
        <f>($D$4-(E42/100)*G42)/(1+(E42/100)*F42)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</row>
    <row r="43">
      <c r="A43" s="6" t="inlineStr">
        <is>
          <t>21Y</t>
        </is>
      </c>
      <c r="B43" s="18">
        <f>EDATE($B$4,252)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</row>
    <row r="44">
      <c r="A44" s="6" t="inlineStr">
        <is>
          <t>22Y</t>
        </is>
      </c>
      <c r="B44" s="18">
        <f>EDATE($B$4,264)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</row>
    <row r="45">
      <c r="A45" s="6" t="inlineStr">
        <is>
          <t>23Y</t>
        </is>
      </c>
      <c r="B45" s="18">
        <f>EDATE($B$4,276)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</row>
    <row r="46">
      <c r="A46" s="6" t="inlineStr">
        <is>
          <t>24Y</t>
        </is>
      </c>
      <c r="B46" s="18">
        <f>EDATE($B$4,288)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</row>
    <row r="47">
      <c r="A47" s="6" t="inlineStr">
        <is>
          <t>25Y</t>
        </is>
      </c>
      <c r="B47" s="18">
        <f>EDATE($B$4,300)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29">
        <f>($D$4-(E47/100)*G47)/(1+(E47/100)*F47)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</row>
    <row r="48">
      <c r="A48" s="6" t="inlineStr">
        <is>
          <t>26Y</t>
        </is>
      </c>
      <c r="B48" s="18">
        <f>EDATE($B$4,312)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</row>
    <row r="49">
      <c r="A49" s="6" t="inlineStr">
        <is>
          <t>27Y</t>
        </is>
      </c>
      <c r="B49" s="18">
        <f>EDATE($B$4,324)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</row>
    <row r="50">
      <c r="A50" s="6" t="inlineStr">
        <is>
          <t>28Y</t>
        </is>
      </c>
      <c r="B50" s="18">
        <f>EDATE($B$4,336)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</row>
    <row r="51">
      <c r="A51" s="6" t="inlineStr">
        <is>
          <t>29Y</t>
        </is>
      </c>
      <c r="B51" s="18">
        <f>EDATE($B$4,348)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</row>
    <row r="52">
      <c r="A52" s="6" t="inlineStr">
        <is>
          <t>30Y</t>
        </is>
      </c>
      <c r="B52" s="18">
        <f>EDATE($B$4,360)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29">
        <f>($D$4-(E52/100)*G52)/(1+(E52/100)*F52)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</row>
    <row r="53">
      <c r="A53" s="6" t="inlineStr">
        <is>
          <t>31Y</t>
        </is>
      </c>
      <c r="B53" s="18">
        <f>EDATE($B$4,372)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</row>
    <row r="54">
      <c r="A54" s="6" t="inlineStr">
        <is>
          <t>32Y</t>
        </is>
      </c>
      <c r="B54" s="18">
        <f>EDATE($B$4,384)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</row>
    <row r="55">
      <c r="A55" s="6" t="inlineStr">
        <is>
          <t>33Y</t>
        </is>
      </c>
      <c r="B55" s="18">
        <f>EDATE($B$4,396)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</row>
    <row r="56">
      <c r="A56" s="6" t="inlineStr">
        <is>
          <t>34Y</t>
        </is>
      </c>
      <c r="B56" s="18">
        <f>EDATE($B$4,408)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</row>
    <row r="57">
      <c r="A57" s="6" t="inlineStr">
        <is>
          <t>35Y</t>
        </is>
      </c>
      <c r="B57" s="18">
        <f>EDATE($B$4,420)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</row>
    <row r="58">
      <c r="A58" s="6" t="inlineStr">
        <is>
          <t>36Y</t>
        </is>
      </c>
      <c r="B58" s="18">
        <f>EDATE($B$4,432)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</row>
    <row r="59">
      <c r="A59" s="6" t="inlineStr">
        <is>
          <t>37Y</t>
        </is>
      </c>
      <c r="B59" s="18">
        <f>EDATE($B$4,444)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</row>
    <row r="60">
      <c r="A60" s="6" t="inlineStr">
        <is>
          <t>38Y</t>
        </is>
      </c>
      <c r="B60" s="18">
        <f>EDATE($B$4,456)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</row>
    <row r="61">
      <c r="A61" s="6" t="inlineStr">
        <is>
          <t>39Y</t>
        </is>
      </c>
      <c r="B61" s="18">
        <f>EDATE($B$4,468)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</row>
    <row r="62">
      <c r="A62" s="6" t="inlineStr">
        <is>
          <t>40Y</t>
        </is>
      </c>
      <c r="B62" s="18">
        <f>EDATE($B$4,480)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29">
        <f>($D$4-(E62/100)*G62)/(1+(E62/100)*F62)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</row>
    <row r="63">
      <c r="A63" s="6" t="inlineStr">
        <is>
          <t>41Y</t>
        </is>
      </c>
      <c r="B63" s="18">
        <f>EDATE($B$4,492)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</row>
    <row r="64">
      <c r="A64" s="6" t="inlineStr">
        <is>
          <t>42Y</t>
        </is>
      </c>
      <c r="B64" s="18">
        <f>EDATE($B$4,504)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</row>
    <row r="65">
      <c r="A65" s="6" t="inlineStr">
        <is>
          <t>43Y</t>
        </is>
      </c>
      <c r="B65" s="18">
        <f>EDATE($B$4,516)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</row>
    <row r="66">
      <c r="A66" s="6" t="inlineStr">
        <is>
          <t>44Y</t>
        </is>
      </c>
      <c r="B66" s="18">
        <f>EDATE($B$4,528)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</row>
    <row r="67">
      <c r="A67" s="6" t="inlineStr">
        <is>
          <t>45Y</t>
        </is>
      </c>
      <c r="B67" s="18">
        <f>EDATE($B$4,540)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</row>
    <row r="68">
      <c r="A68" s="6" t="inlineStr">
        <is>
          <t>46Y</t>
        </is>
      </c>
      <c r="B68" s="18">
        <f>EDATE($B$4,552)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</row>
    <row r="69">
      <c r="A69" s="6" t="inlineStr">
        <is>
          <t>47Y</t>
        </is>
      </c>
      <c r="B69" s="18">
        <f>EDATE($B$4,564)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</row>
    <row r="70">
      <c r="A70" s="6" t="inlineStr">
        <is>
          <t>48Y</t>
        </is>
      </c>
      <c r="B70" s="18">
        <f>EDATE($B$4,576)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</row>
    <row r="71">
      <c r="A71" s="6" t="inlineStr">
        <is>
          <t>49Y</t>
        </is>
      </c>
      <c r="B71" s="18">
        <f>EDATE($B$4,588)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</row>
    <row r="72">
      <c r="A72" s="6" t="inlineStr">
        <is>
          <t>50Y</t>
        </is>
      </c>
      <c r="B72" s="18">
        <f>EDATE($B$4,600)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29">
        <f>($D$4-(E72/100)*G72)/(1+(E72/100)*F72)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2">
    <mergeCell ref="A74:N75"/>
    <mergeCell ref="A5:N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4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5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5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5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5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5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5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5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5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5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5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5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5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5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5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5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5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5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5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5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5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5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5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5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5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5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5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5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5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5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5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5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5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5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5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5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5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5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5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5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5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5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5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5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5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5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5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5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5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5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5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5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5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5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5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5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5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5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5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5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5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5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5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5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5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5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5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5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5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5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5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5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5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9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9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9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9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9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9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9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9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9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5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5">
        <f>(G9-G8)/D9-J9*D9</f>
        <v/>
      </c>
      <c r="J9" s="35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5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5">
        <f>(G10-G9)/D10-J10*D10</f>
        <v/>
      </c>
      <c r="J10" s="35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5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5">
        <f>(G11-G10)/D11-J11*D11</f>
        <v/>
      </c>
      <c r="J11" s="35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5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5">
        <f>(G12-G11)/D12-J12*D12</f>
        <v/>
      </c>
      <c r="J12" s="35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5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5">
        <f>(G13-G12)/D13-J13*D13</f>
        <v/>
      </c>
      <c r="J13" s="35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5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5">
        <f>(G14-G13)/D14-J14*D14</f>
        <v/>
      </c>
      <c r="J14" s="35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5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5">
        <f>(G15-G14)/D15-J15*D15</f>
        <v/>
      </c>
      <c r="J15" s="35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5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5">
        <f>(G16-G15)/D16-J16*D16</f>
        <v/>
      </c>
      <c r="J16" s="35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5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5">
        <f>(G17-G16)/D17-J17*D17</f>
        <v/>
      </c>
      <c r="J17" s="35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5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5">
        <f>(G18-G17)/D18-J18*D18</f>
        <v/>
      </c>
      <c r="J18" s="35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5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5">
        <f>(G19-G18)/D19-J19*D19</f>
        <v/>
      </c>
      <c r="J19" s="35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5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5">
        <f>(G20-G19)/D20-J20*D20</f>
        <v/>
      </c>
      <c r="J20" s="35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5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5">
        <f>(G21-G20)/D21-J21*D21</f>
        <v/>
      </c>
      <c r="J21" s="35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5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5">
        <f>(G22-G21)/D22-J22*D22</f>
        <v/>
      </c>
      <c r="J22" s="35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5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5">
        <f>(G23-G22)/D23-J23*D23</f>
        <v/>
      </c>
      <c r="J23" s="35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5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5">
        <f>(G24-G23)/D24-J24*D24</f>
        <v/>
      </c>
      <c r="J24" s="35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5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5">
        <f>(G25-G24)/D25-J25*D25</f>
        <v/>
      </c>
      <c r="J25" s="35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5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5">
        <f>(G26-G25)/D26-J26*D26</f>
        <v/>
      </c>
      <c r="J26" s="35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5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5">
        <f>(G27-G26)/D27-J27*D27</f>
        <v/>
      </c>
      <c r="J27" s="35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5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5">
        <f>(G28-G27)/D28-J28*D28</f>
        <v/>
      </c>
      <c r="J28" s="35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5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5">
        <f>(G29-G28)/D29-J29*D29</f>
        <v/>
      </c>
      <c r="J29" s="35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5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5">
        <f>(G30-G29)/D30-J30*D30</f>
        <v/>
      </c>
      <c r="J30" s="35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5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5">
        <f>(G31-G30)/D31-J31*D31</f>
        <v/>
      </c>
      <c r="J31" s="35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5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5">
        <f>(G32-G31)/D32-J32*D32</f>
        <v/>
      </c>
      <c r="J32" s="35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5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5">
        <f>(G33-G32)/D33-J33*D33</f>
        <v/>
      </c>
      <c r="J33" s="35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5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5">
        <f>(G34-G33)/D34-J34*D34</f>
        <v/>
      </c>
      <c r="J34" s="35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5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5">
        <f>(G35-G34)/D35-J35*D35</f>
        <v/>
      </c>
      <c r="J35" s="35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5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5">
        <f>(G36-G35)/D36-J36*D36</f>
        <v/>
      </c>
      <c r="J36" s="35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5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5">
        <f>(G37-G36)/D37-J37*D37</f>
        <v/>
      </c>
      <c r="J37" s="35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5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5">
        <f>(G38-G37)/D38-J38*D38</f>
        <v/>
      </c>
      <c r="J38" s="35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5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5">
        <f>(G39-G38)/D39-J39*D39</f>
        <v/>
      </c>
      <c r="J39" s="35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5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5">
        <f>(G40-G39)/D40-J40*D40</f>
        <v/>
      </c>
      <c r="J40" s="35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5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5">
        <f>(G41-G40)/D41-J41*D41</f>
        <v/>
      </c>
      <c r="J41" s="35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5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5">
        <f>(G42-G41)/D42-J42*D42</f>
        <v/>
      </c>
      <c r="J42" s="35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5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5">
        <f>(G43-G42)/D43-J43*D43</f>
        <v/>
      </c>
      <c r="J43" s="35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5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5">
        <f>(G44-G43)/D44-J44*D44</f>
        <v/>
      </c>
      <c r="J44" s="35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5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5">
        <f>(G45-G44)/D45-J45*D45</f>
        <v/>
      </c>
      <c r="J45" s="35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5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5">
        <f>(G46-G45)/D46-J46*D46</f>
        <v/>
      </c>
      <c r="J46" s="35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5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5">
        <f>(G47-G46)/D47-J47*D47</f>
        <v/>
      </c>
      <c r="J47" s="35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5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5">
        <f>(G48-G47)/D48-J48*D48</f>
        <v/>
      </c>
      <c r="J48" s="35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5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5">
        <f>(G49-G48)/D49-J49*D49</f>
        <v/>
      </c>
      <c r="J49" s="35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5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5">
        <f>(G50-G49)/D50-J50*D50</f>
        <v/>
      </c>
      <c r="J50" s="35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5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5">
        <f>(G51-G50)/D51-J51*D51</f>
        <v/>
      </c>
      <c r="J51" s="35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5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5">
        <f>(G52-G51)/D52-J52*D52</f>
        <v/>
      </c>
      <c r="J52" s="35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5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5">
        <f>(G53-G52)/D53-J53*D53</f>
        <v/>
      </c>
      <c r="J53" s="35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5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5">
        <f>(G54-G53)/D54-J54*D54</f>
        <v/>
      </c>
      <c r="J54" s="35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5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5">
        <f>(G55-G54)/D55-J55*D55</f>
        <v/>
      </c>
      <c r="J55" s="35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5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5">
        <f>(G56-G55)/D56-J56*D56</f>
        <v/>
      </c>
      <c r="J56" s="35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5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5">
        <f>(G57-G56)/D57-J57*D57</f>
        <v/>
      </c>
      <c r="J57" s="35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5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5">
        <f>(G58-G57)/D58-J58*D58</f>
        <v/>
      </c>
      <c r="J58" s="35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5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5">
        <f>(G59-G58)/D59-J59*D59</f>
        <v/>
      </c>
      <c r="J59" s="35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5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5">
        <f>(G60-G59)/D60-J60*D60</f>
        <v/>
      </c>
      <c r="J60" s="35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5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5">
        <f>(G61-G60)/D61-J61*D61</f>
        <v/>
      </c>
      <c r="J61" s="35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5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5">
        <f>(G62-G61)/D62-J62*D62</f>
        <v/>
      </c>
      <c r="J62" s="35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5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5">
        <f>(G63-G62)/D63-J63*D63</f>
        <v/>
      </c>
      <c r="J63" s="35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5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5">
        <f>(G64-G63)/D64-J64*D64</f>
        <v/>
      </c>
      <c r="J64" s="35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5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5">
        <f>(G65-G64)/D65-J65*D65</f>
        <v/>
      </c>
      <c r="J65" s="35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5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5">
        <f>(G66-G65)/D66-J66*D66</f>
        <v/>
      </c>
      <c r="J66" s="35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5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5">
        <f>(G67-G66)/D67-J67*D67</f>
        <v/>
      </c>
      <c r="J67" s="35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5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5">
        <f>(G68-G67)/D68-J68*D68</f>
        <v/>
      </c>
      <c r="J68" s="35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5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5">
        <f>(G69-G68)/D69-J69*D69</f>
        <v/>
      </c>
      <c r="J69" s="35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5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5">
        <f>(G70-G69)/D70-J70*D70</f>
        <v/>
      </c>
      <c r="J70" s="35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5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5">
        <f>(G71-G70)/D71-J71*D71</f>
        <v/>
      </c>
      <c r="J71" s="35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5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5">
        <f>(G72-G71)/D72-J72*D72</f>
        <v/>
      </c>
      <c r="J72" s="35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5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5">
        <f>(G73-G72)/D73-J73*D73</f>
        <v/>
      </c>
      <c r="J73" s="35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6">
        <f>(C7/10000)/(1-CDS_Parameters!$B$8)</f>
        <v/>
      </c>
      <c r="E7" s="35">
        <f>INDEX(CDS_Schedule!$K$7:$K$46,MATCH(B7,CDS_Schedule!$C$7:$C$46,1))</f>
        <v/>
      </c>
      <c r="F7" s="35">
        <f>1-E7</f>
        <v/>
      </c>
      <c r="G7" s="17">
        <f>SUMIF(CDS_Schedule!$C$7:$C$46,"&lt;="&amp;B7,CDS_Schedule!$M$7:$M$46)+SUMIF(CDS_Schedule!$C$7:$C$46,"&lt;="&amp;B7,CDS_Schedule!$N$7:$N$46)</f>
        <v/>
      </c>
      <c r="H7" s="35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6">
        <f>((C8/10000)*(B8-VAL_DATE)/365-(C7/10000)*(B7-VAL_DATE)/365)/((1-CDS_Parameters!$B$8)*((B8-VAL_DATE)/365-(B7-VAL_DATE)/365))</f>
        <v/>
      </c>
      <c r="E8" s="35">
        <f>INDEX(CDS_Schedule!$K$7:$K$46,MATCH(B8,CDS_Schedule!$C$7:$C$46,1))</f>
        <v/>
      </c>
      <c r="F8" s="35">
        <f>1-E8</f>
        <v/>
      </c>
      <c r="G8" s="17">
        <f>SUMIF(CDS_Schedule!$C$7:$C$46,"&lt;="&amp;B8,CDS_Schedule!$M$7:$M$46)+SUMIF(CDS_Schedule!$C$7:$C$46,"&lt;="&amp;B8,CDS_Schedule!$N$7:$N$46)</f>
        <v/>
      </c>
      <c r="H8" s="35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6">
        <f>((C9/10000)*(B9-VAL_DATE)/365-(C8/10000)*(B8-VAL_DATE)/365)/((1-CDS_Parameters!$B$8)*((B9-VAL_DATE)/365-(B8-VAL_DATE)/365))</f>
        <v/>
      </c>
      <c r="E9" s="35">
        <f>INDEX(CDS_Schedule!$K$7:$K$46,MATCH(B9,CDS_Schedule!$C$7:$C$46,1))</f>
        <v/>
      </c>
      <c r="F9" s="35">
        <f>1-E9</f>
        <v/>
      </c>
      <c r="G9" s="17">
        <f>SUMIF(CDS_Schedule!$C$7:$C$46,"&lt;="&amp;B9,CDS_Schedule!$M$7:$M$46)+SUMIF(CDS_Schedule!$C$7:$C$46,"&lt;="&amp;B9,CDS_Schedule!$N$7:$N$46)</f>
        <v/>
      </c>
      <c r="H9" s="35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6">
        <f>((C10/10000)*(B10-VAL_DATE)/365-(C9/10000)*(B9-VAL_DATE)/365)/((1-CDS_Parameters!$B$8)*((B10-VAL_DATE)/365-(B9-VAL_DATE)/365))</f>
        <v/>
      </c>
      <c r="E10" s="35">
        <f>INDEX(CDS_Schedule!$K$7:$K$46,MATCH(B10,CDS_Schedule!$C$7:$C$46,1))</f>
        <v/>
      </c>
      <c r="F10" s="35">
        <f>1-E10</f>
        <v/>
      </c>
      <c r="G10" s="17">
        <f>SUMIF(CDS_Schedule!$C$7:$C$46,"&lt;="&amp;B10,CDS_Schedule!$M$7:$M$46)+SUMIF(CDS_Schedule!$C$7:$C$46,"&lt;="&amp;B10,CDS_Schedule!$N$7:$N$46)</f>
        <v/>
      </c>
      <c r="H10" s="35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6">
        <f>((C11/10000)*(B11-VAL_DATE)/365-(C10/10000)*(B10-VAL_DATE)/365)/((1-CDS_Parameters!$B$8)*((B11-VAL_DATE)/365-(B10-VAL_DATE)/365))</f>
        <v/>
      </c>
      <c r="E11" s="35">
        <f>INDEX(CDS_Schedule!$K$7:$K$46,MATCH(B11,CDS_Schedule!$C$7:$C$46,1))</f>
        <v/>
      </c>
      <c r="F11" s="35">
        <f>1-E11</f>
        <v/>
      </c>
      <c r="G11" s="17">
        <f>SUMIF(CDS_Schedule!$C$7:$C$46,"&lt;="&amp;B11,CDS_Schedule!$M$7:$M$46)+SUMIF(CDS_Schedule!$C$7:$C$46,"&lt;="&amp;B11,CDS_Schedule!$N$7:$N$46)</f>
        <v/>
      </c>
      <c r="H11" s="35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6">
        <f>((C12/10000)*(B12-VAL_DATE)/365-(C11/10000)*(B11-VAL_DATE)/365)/((1-CDS_Parameters!$B$8)*((B12-VAL_DATE)/365-(B11-VAL_DATE)/365))</f>
        <v/>
      </c>
      <c r="E12" s="35">
        <f>INDEX(CDS_Schedule!$K$7:$K$46,MATCH(B12,CDS_Schedule!$C$7:$C$46,1))</f>
        <v/>
      </c>
      <c r="F12" s="35">
        <f>1-E12</f>
        <v/>
      </c>
      <c r="G12" s="17">
        <f>SUMIF(CDS_Schedule!$C$7:$C$46,"&lt;="&amp;B12,CDS_Schedule!$M$7:$M$46)+SUMIF(CDS_Schedule!$C$7:$C$46,"&lt;="&amp;B12,CDS_Schedule!$N$7:$N$46)</f>
        <v/>
      </c>
      <c r="H12" s="35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5">
        <f>1</f>
        <v/>
      </c>
      <c r="K7" s="35">
        <f>J7*EXP(-I7*E7)</f>
        <v/>
      </c>
      <c r="L7" s="35">
        <f>J7-K7</f>
        <v/>
      </c>
      <c r="M7" s="35">
        <f>D7*G7*K7</f>
        <v/>
      </c>
      <c r="N7" s="35">
        <f>(D7/2)*H7*L7</f>
        <v/>
      </c>
      <c r="O7" s="35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5">
        <f>K7</f>
        <v/>
      </c>
      <c r="K8" s="35">
        <f>J8*EXP(-I8*E8)</f>
        <v/>
      </c>
      <c r="L8" s="35">
        <f>J8-K8</f>
        <v/>
      </c>
      <c r="M8" s="35">
        <f>D8*G8*K8</f>
        <v/>
      </c>
      <c r="N8" s="35">
        <f>(D8/2)*H8*L8</f>
        <v/>
      </c>
      <c r="O8" s="35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5">
        <f>K8</f>
        <v/>
      </c>
      <c r="K9" s="35">
        <f>J9*EXP(-I9*E9)</f>
        <v/>
      </c>
      <c r="L9" s="35">
        <f>J9-K9</f>
        <v/>
      </c>
      <c r="M9" s="35">
        <f>D9*G9*K9</f>
        <v/>
      </c>
      <c r="N9" s="35">
        <f>(D9/2)*H9*L9</f>
        <v/>
      </c>
      <c r="O9" s="35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5">
        <f>K9</f>
        <v/>
      </c>
      <c r="K10" s="35">
        <f>J10*EXP(-I10*E10)</f>
        <v/>
      </c>
      <c r="L10" s="35">
        <f>J10-K10</f>
        <v/>
      </c>
      <c r="M10" s="35">
        <f>D10*G10*K10</f>
        <v/>
      </c>
      <c r="N10" s="35">
        <f>(D10/2)*H10*L10</f>
        <v/>
      </c>
      <c r="O10" s="35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5">
        <f>K10</f>
        <v/>
      </c>
      <c r="K11" s="35">
        <f>J11*EXP(-I11*E11)</f>
        <v/>
      </c>
      <c r="L11" s="35">
        <f>J11-K11</f>
        <v/>
      </c>
      <c r="M11" s="35">
        <f>D11*G11*K11</f>
        <v/>
      </c>
      <c r="N11" s="35">
        <f>(D11/2)*H11*L11</f>
        <v/>
      </c>
      <c r="O11" s="35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5">
        <f>K11</f>
        <v/>
      </c>
      <c r="K12" s="35">
        <f>J12*EXP(-I12*E12)</f>
        <v/>
      </c>
      <c r="L12" s="35">
        <f>J12-K12</f>
        <v/>
      </c>
      <c r="M12" s="35">
        <f>D12*G12*K12</f>
        <v/>
      </c>
      <c r="N12" s="35">
        <f>(D12/2)*H12*L12</f>
        <v/>
      </c>
      <c r="O12" s="35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5">
        <f>K12</f>
        <v/>
      </c>
      <c r="K13" s="35">
        <f>J13*EXP(-I13*E13)</f>
        <v/>
      </c>
      <c r="L13" s="35">
        <f>J13-K13</f>
        <v/>
      </c>
      <c r="M13" s="35">
        <f>D13*G13*K13</f>
        <v/>
      </c>
      <c r="N13" s="35">
        <f>(D13/2)*H13*L13</f>
        <v/>
      </c>
      <c r="O13" s="35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5">
        <f>K13</f>
        <v/>
      </c>
      <c r="K14" s="35">
        <f>J14*EXP(-I14*E14)</f>
        <v/>
      </c>
      <c r="L14" s="35">
        <f>J14-K14</f>
        <v/>
      </c>
      <c r="M14" s="35">
        <f>D14*G14*K14</f>
        <v/>
      </c>
      <c r="N14" s="35">
        <f>(D14/2)*H14*L14</f>
        <v/>
      </c>
      <c r="O14" s="35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5">
        <f>K14</f>
        <v/>
      </c>
      <c r="K15" s="35">
        <f>J15*EXP(-I15*E15)</f>
        <v/>
      </c>
      <c r="L15" s="35">
        <f>J15-K15</f>
        <v/>
      </c>
      <c r="M15" s="35">
        <f>D15*G15*K15</f>
        <v/>
      </c>
      <c r="N15" s="35">
        <f>(D15/2)*H15*L15</f>
        <v/>
      </c>
      <c r="O15" s="35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5">
        <f>K15</f>
        <v/>
      </c>
      <c r="K16" s="35">
        <f>J16*EXP(-I16*E16)</f>
        <v/>
      </c>
      <c r="L16" s="35">
        <f>J16-K16</f>
        <v/>
      </c>
      <c r="M16" s="35">
        <f>D16*G16*K16</f>
        <v/>
      </c>
      <c r="N16" s="35">
        <f>(D16/2)*H16*L16</f>
        <v/>
      </c>
      <c r="O16" s="35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5">
        <f>K16</f>
        <v/>
      </c>
      <c r="K17" s="35">
        <f>J17*EXP(-I17*E17)</f>
        <v/>
      </c>
      <c r="L17" s="35">
        <f>J17-K17</f>
        <v/>
      </c>
      <c r="M17" s="35">
        <f>D17*G17*K17</f>
        <v/>
      </c>
      <c r="N17" s="35">
        <f>(D17/2)*H17*L17</f>
        <v/>
      </c>
      <c r="O17" s="35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5">
        <f>K17</f>
        <v/>
      </c>
      <c r="K18" s="35">
        <f>J18*EXP(-I18*E18)</f>
        <v/>
      </c>
      <c r="L18" s="35">
        <f>J18-K18</f>
        <v/>
      </c>
      <c r="M18" s="35">
        <f>D18*G18*K18</f>
        <v/>
      </c>
      <c r="N18" s="35">
        <f>(D18/2)*H18*L18</f>
        <v/>
      </c>
      <c r="O18" s="35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5">
        <f>K18</f>
        <v/>
      </c>
      <c r="K19" s="35">
        <f>J19*EXP(-I19*E19)</f>
        <v/>
      </c>
      <c r="L19" s="35">
        <f>J19-K19</f>
        <v/>
      </c>
      <c r="M19" s="35">
        <f>D19*G19*K19</f>
        <v/>
      </c>
      <c r="N19" s="35">
        <f>(D19/2)*H19*L19</f>
        <v/>
      </c>
      <c r="O19" s="35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5">
        <f>K19</f>
        <v/>
      </c>
      <c r="K20" s="35">
        <f>J20*EXP(-I20*E20)</f>
        <v/>
      </c>
      <c r="L20" s="35">
        <f>J20-K20</f>
        <v/>
      </c>
      <c r="M20" s="35">
        <f>D20*G20*K20</f>
        <v/>
      </c>
      <c r="N20" s="35">
        <f>(D20/2)*H20*L20</f>
        <v/>
      </c>
      <c r="O20" s="35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5">
        <f>K20</f>
        <v/>
      </c>
      <c r="K21" s="35">
        <f>J21*EXP(-I21*E21)</f>
        <v/>
      </c>
      <c r="L21" s="35">
        <f>J21-K21</f>
        <v/>
      </c>
      <c r="M21" s="35">
        <f>D21*G21*K21</f>
        <v/>
      </c>
      <c r="N21" s="35">
        <f>(D21/2)*H21*L21</f>
        <v/>
      </c>
      <c r="O21" s="35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5">
        <f>K21</f>
        <v/>
      </c>
      <c r="K22" s="35">
        <f>J22*EXP(-I22*E22)</f>
        <v/>
      </c>
      <c r="L22" s="35">
        <f>J22-K22</f>
        <v/>
      </c>
      <c r="M22" s="35">
        <f>D22*G22*K22</f>
        <v/>
      </c>
      <c r="N22" s="35">
        <f>(D22/2)*H22*L22</f>
        <v/>
      </c>
      <c r="O22" s="35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5">
        <f>K22</f>
        <v/>
      </c>
      <c r="K23" s="35">
        <f>J23*EXP(-I23*E23)</f>
        <v/>
      </c>
      <c r="L23" s="35">
        <f>J23-K23</f>
        <v/>
      </c>
      <c r="M23" s="35">
        <f>D23*G23*K23</f>
        <v/>
      </c>
      <c r="N23" s="35">
        <f>(D23/2)*H23*L23</f>
        <v/>
      </c>
      <c r="O23" s="35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5">
        <f>K23</f>
        <v/>
      </c>
      <c r="K24" s="35">
        <f>J24*EXP(-I24*E24)</f>
        <v/>
      </c>
      <c r="L24" s="35">
        <f>J24-K24</f>
        <v/>
      </c>
      <c r="M24" s="35">
        <f>D24*G24*K24</f>
        <v/>
      </c>
      <c r="N24" s="35">
        <f>(D24/2)*H24*L24</f>
        <v/>
      </c>
      <c r="O24" s="35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5">
        <f>K24</f>
        <v/>
      </c>
      <c r="K25" s="35">
        <f>J25*EXP(-I25*E25)</f>
        <v/>
      </c>
      <c r="L25" s="35">
        <f>J25-K25</f>
        <v/>
      </c>
      <c r="M25" s="35">
        <f>D25*G25*K25</f>
        <v/>
      </c>
      <c r="N25" s="35">
        <f>(D25/2)*H25*L25</f>
        <v/>
      </c>
      <c r="O25" s="35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5">
        <f>K25</f>
        <v/>
      </c>
      <c r="K26" s="35">
        <f>J26*EXP(-I26*E26)</f>
        <v/>
      </c>
      <c r="L26" s="35">
        <f>J26-K26</f>
        <v/>
      </c>
      <c r="M26" s="35">
        <f>D26*G26*K26</f>
        <v/>
      </c>
      <c r="N26" s="35">
        <f>(D26/2)*H26*L26</f>
        <v/>
      </c>
      <c r="O26" s="35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5">
        <f>K26</f>
        <v/>
      </c>
      <c r="K27" s="35">
        <f>J27*EXP(-I27*E27)</f>
        <v/>
      </c>
      <c r="L27" s="35">
        <f>J27-K27</f>
        <v/>
      </c>
      <c r="M27" s="35">
        <f>D27*G27*K27</f>
        <v/>
      </c>
      <c r="N27" s="35">
        <f>(D27/2)*H27*L27</f>
        <v/>
      </c>
      <c r="O27" s="35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5">
        <f>K27</f>
        <v/>
      </c>
      <c r="K28" s="35">
        <f>J28*EXP(-I28*E28)</f>
        <v/>
      </c>
      <c r="L28" s="35">
        <f>J28-K28</f>
        <v/>
      </c>
      <c r="M28" s="35">
        <f>D28*G28*K28</f>
        <v/>
      </c>
      <c r="N28" s="35">
        <f>(D28/2)*H28*L28</f>
        <v/>
      </c>
      <c r="O28" s="35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5">
        <f>K28</f>
        <v/>
      </c>
      <c r="K29" s="35">
        <f>J29*EXP(-I29*E29)</f>
        <v/>
      </c>
      <c r="L29" s="35">
        <f>J29-K29</f>
        <v/>
      </c>
      <c r="M29" s="35">
        <f>D29*G29*K29</f>
        <v/>
      </c>
      <c r="N29" s="35">
        <f>(D29/2)*H29*L29</f>
        <v/>
      </c>
      <c r="O29" s="35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5">
        <f>K29</f>
        <v/>
      </c>
      <c r="K30" s="35">
        <f>J30*EXP(-I30*E30)</f>
        <v/>
      </c>
      <c r="L30" s="35">
        <f>J30-K30</f>
        <v/>
      </c>
      <c r="M30" s="35">
        <f>D30*G30*K30</f>
        <v/>
      </c>
      <c r="N30" s="35">
        <f>(D30/2)*H30*L30</f>
        <v/>
      </c>
      <c r="O30" s="35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5">
        <f>K30</f>
        <v/>
      </c>
      <c r="K31" s="35">
        <f>J31*EXP(-I31*E31)</f>
        <v/>
      </c>
      <c r="L31" s="35">
        <f>J31-K31</f>
        <v/>
      </c>
      <c r="M31" s="35">
        <f>D31*G31*K31</f>
        <v/>
      </c>
      <c r="N31" s="35">
        <f>(D31/2)*H31*L31</f>
        <v/>
      </c>
      <c r="O31" s="35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5">
        <f>K31</f>
        <v/>
      </c>
      <c r="K32" s="35">
        <f>J32*EXP(-I32*E32)</f>
        <v/>
      </c>
      <c r="L32" s="35">
        <f>J32-K32</f>
        <v/>
      </c>
      <c r="M32" s="35">
        <f>D32*G32*K32</f>
        <v/>
      </c>
      <c r="N32" s="35">
        <f>(D32/2)*H32*L32</f>
        <v/>
      </c>
      <c r="O32" s="35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5">
        <f>K32</f>
        <v/>
      </c>
      <c r="K33" s="35">
        <f>J33*EXP(-I33*E33)</f>
        <v/>
      </c>
      <c r="L33" s="35">
        <f>J33-K33</f>
        <v/>
      </c>
      <c r="M33" s="35">
        <f>D33*G33*K33</f>
        <v/>
      </c>
      <c r="N33" s="35">
        <f>(D33/2)*H33*L33</f>
        <v/>
      </c>
      <c r="O33" s="35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5">
        <f>K33</f>
        <v/>
      </c>
      <c r="K34" s="35">
        <f>J34*EXP(-I34*E34)</f>
        <v/>
      </c>
      <c r="L34" s="35">
        <f>J34-K34</f>
        <v/>
      </c>
      <c r="M34" s="35">
        <f>D34*G34*K34</f>
        <v/>
      </c>
      <c r="N34" s="35">
        <f>(D34/2)*H34*L34</f>
        <v/>
      </c>
      <c r="O34" s="35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5">
        <f>K34</f>
        <v/>
      </c>
      <c r="K35" s="35">
        <f>J35*EXP(-I35*E35)</f>
        <v/>
      </c>
      <c r="L35" s="35">
        <f>J35-K35</f>
        <v/>
      </c>
      <c r="M35" s="35">
        <f>D35*G35*K35</f>
        <v/>
      </c>
      <c r="N35" s="35">
        <f>(D35/2)*H35*L35</f>
        <v/>
      </c>
      <c r="O35" s="35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5">
        <f>K35</f>
        <v/>
      </c>
      <c r="K36" s="35">
        <f>J36*EXP(-I36*E36)</f>
        <v/>
      </c>
      <c r="L36" s="35">
        <f>J36-K36</f>
        <v/>
      </c>
      <c r="M36" s="35">
        <f>D36*G36*K36</f>
        <v/>
      </c>
      <c r="N36" s="35">
        <f>(D36/2)*H36*L36</f>
        <v/>
      </c>
      <c r="O36" s="35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5">
        <f>K36</f>
        <v/>
      </c>
      <c r="K37" s="35">
        <f>J37*EXP(-I37*E37)</f>
        <v/>
      </c>
      <c r="L37" s="35">
        <f>J37-K37</f>
        <v/>
      </c>
      <c r="M37" s="35">
        <f>D37*G37*K37</f>
        <v/>
      </c>
      <c r="N37" s="35">
        <f>(D37/2)*H37*L37</f>
        <v/>
      </c>
      <c r="O37" s="35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5">
        <f>K37</f>
        <v/>
      </c>
      <c r="K38" s="35">
        <f>J38*EXP(-I38*E38)</f>
        <v/>
      </c>
      <c r="L38" s="35">
        <f>J38-K38</f>
        <v/>
      </c>
      <c r="M38" s="35">
        <f>D38*G38*K38</f>
        <v/>
      </c>
      <c r="N38" s="35">
        <f>(D38/2)*H38*L38</f>
        <v/>
      </c>
      <c r="O38" s="35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5">
        <f>K38</f>
        <v/>
      </c>
      <c r="K39" s="35">
        <f>J39*EXP(-I39*E39)</f>
        <v/>
      </c>
      <c r="L39" s="35">
        <f>J39-K39</f>
        <v/>
      </c>
      <c r="M39" s="35">
        <f>D39*G39*K39</f>
        <v/>
      </c>
      <c r="N39" s="35">
        <f>(D39/2)*H39*L39</f>
        <v/>
      </c>
      <c r="O39" s="35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5">
        <f>K39</f>
        <v/>
      </c>
      <c r="K40" s="35">
        <f>J40*EXP(-I40*E40)</f>
        <v/>
      </c>
      <c r="L40" s="35">
        <f>J40-K40</f>
        <v/>
      </c>
      <c r="M40" s="35">
        <f>D40*G40*K40</f>
        <v/>
      </c>
      <c r="N40" s="35">
        <f>(D40/2)*H40*L40</f>
        <v/>
      </c>
      <c r="O40" s="35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5">
        <f>K40</f>
        <v/>
      </c>
      <c r="K41" s="35">
        <f>J41*EXP(-I41*E41)</f>
        <v/>
      </c>
      <c r="L41" s="35">
        <f>J41-K41</f>
        <v/>
      </c>
      <c r="M41" s="35">
        <f>D41*G41*K41</f>
        <v/>
      </c>
      <c r="N41" s="35">
        <f>(D41/2)*H41*L41</f>
        <v/>
      </c>
      <c r="O41" s="35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5">
        <f>K41</f>
        <v/>
      </c>
      <c r="K42" s="35">
        <f>J42*EXP(-I42*E42)</f>
        <v/>
      </c>
      <c r="L42" s="35">
        <f>J42-K42</f>
        <v/>
      </c>
      <c r="M42" s="35">
        <f>D42*G42*K42</f>
        <v/>
      </c>
      <c r="N42" s="35">
        <f>(D42/2)*H42*L42</f>
        <v/>
      </c>
      <c r="O42" s="35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5">
        <f>K42</f>
        <v/>
      </c>
      <c r="K43" s="35">
        <f>J43*EXP(-I43*E43)</f>
        <v/>
      </c>
      <c r="L43" s="35">
        <f>J43-K43</f>
        <v/>
      </c>
      <c r="M43" s="35">
        <f>D43*G43*K43</f>
        <v/>
      </c>
      <c r="N43" s="35">
        <f>(D43/2)*H43*L43</f>
        <v/>
      </c>
      <c r="O43" s="35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5">
        <f>K43</f>
        <v/>
      </c>
      <c r="K44" s="35">
        <f>J44*EXP(-I44*E44)</f>
        <v/>
      </c>
      <c r="L44" s="35">
        <f>J44-K44</f>
        <v/>
      </c>
      <c r="M44" s="35">
        <f>D44*G44*K44</f>
        <v/>
      </c>
      <c r="N44" s="35">
        <f>(D44/2)*H44*L44</f>
        <v/>
      </c>
      <c r="O44" s="35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5">
        <f>K44</f>
        <v/>
      </c>
      <c r="K45" s="35">
        <f>J45*EXP(-I45*E45)</f>
        <v/>
      </c>
      <c r="L45" s="35">
        <f>J45-K45</f>
        <v/>
      </c>
      <c r="M45" s="35">
        <f>D45*G45*K45</f>
        <v/>
      </c>
      <c r="N45" s="35">
        <f>(D45/2)*H45*L45</f>
        <v/>
      </c>
      <c r="O45" s="35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5">
        <f>K45</f>
        <v/>
      </c>
      <c r="K46" s="35">
        <f>J46*EXP(-I46*E46)</f>
        <v/>
      </c>
      <c r="L46" s="35">
        <f>J46-K46</f>
        <v/>
      </c>
      <c r="M46" s="35">
        <f>D46*G46*K46</f>
        <v/>
      </c>
      <c r="N46" s="35">
        <f>(D46/2)*H46*L46</f>
        <v/>
      </c>
      <c r="O46" s="35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2026-07-21T11:53:25Z</dcterms:created>
  <dcterms:modified xmlns:dcterms="http://purl.org/dc/terms/" xmlns:xsi="http://www.w3.org/2001/XMLSchema-instance" xsi:type="dcterms:W3CDTF">2026-07-21T11:53:25Z</dcterms:modified>
</cp:coreProperties>
</file>