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vention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SOFR_Futur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Solver" sheetId="7" state="hidden" r:id="rId7"/>
    <sheet xmlns:r="http://schemas.openxmlformats.org/officeDocument/2006/relationships" name="Fwd_Interp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Bloomberg_S490_Validation" sheetId="11" state="visible" r:id="rId11"/>
    <sheet xmlns:r="http://schemas.openxmlformats.org/officeDocument/2006/relationships" name="Charts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Hazard_Solver" sheetId="16" state="hidden" r:id="rId16"/>
    <sheet xmlns:r="http://schemas.openxmlformats.org/officeDocument/2006/relationships" name="CDS_Schedule" sheetId="17" state="visible" r:id="rId17"/>
    <sheet xmlns:r="http://schemas.openxmlformats.org/officeDocument/2006/relationships" name="CDS_Pricer" sheetId="18" state="visible" r:id="rId18"/>
    <sheet xmlns:r="http://schemas.openxmlformats.org/officeDocument/2006/relationships" name="CDS_Validation" sheetId="19" state="visible" r:id="rId19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1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OBSERVED overnight rate from the S490 screen 07/21/26 (bid = ask = 3.59000), NOT fitted. Off-terminal fallback only: on a terminal C6 pulls the live SOFRRATE fixing. Every curve input is now something we pull - nothing is derived from the S490 zero/discount columns, which are purely the comparison target.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— Bloomberg YCSW0490 USD SOFR, curve date 07/21/2026, PCS BGN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Source: S490 Curve Construction screen (user-supplied photo, 07/21/26). Mid = (bid+ask)/2 reproduces Bloomberg's Market Rate column for all 32 pillars. Used only when BDP fails; on a terminal BDP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BID (%)</t>
        </is>
      </c>
      <c r="K4" s="62" t="inlineStr">
        <is>
          <t>Manual ASK (%)</t>
        </is>
      </c>
      <c r="L4" s="62" t="inlineStr">
        <is>
          <t>Source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IFERROR((E5+F5)/2,IFERROR(G5+0,(J5+K5)/2))</f>
        <v/>
      </c>
      <c r="I5" s="26" t="inlineStr">
        <is>
          <t>Y</t>
        </is>
      </c>
      <c r="J5" s="85" t="n">
        <v>3.62682</v>
      </c>
      <c r="K5" s="85" t="n">
        <v>3.63318</v>
      </c>
      <c r="L5" s="65" t="inlineStr">
        <is>
          <t>S490 07/21/26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IFERROR((E6+F6)/2,IFERROR(G6+0,(J6+K6)/2))</f>
        <v/>
      </c>
      <c r="I6" s="26" t="inlineStr"/>
      <c r="J6" s="85" t="n">
        <v>3.66879</v>
      </c>
      <c r="K6" s="85" t="n">
        <v>3.67521</v>
      </c>
      <c r="L6" s="65" t="inlineStr">
        <is>
          <t>S490 07/21/26</t>
        </is>
      </c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IFERROR((E7+F7)/2,IFERROR(G7+0,(J7+K7)/2))</f>
        <v/>
      </c>
      <c r="I7" s="26" t="inlineStr"/>
      <c r="J7" s="85" t="n">
        <v>3.66701</v>
      </c>
      <c r="K7" s="85" t="n">
        <v>3.67279</v>
      </c>
      <c r="L7" s="65" t="inlineStr">
        <is>
          <t>S490 07/21/26</t>
        </is>
      </c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IFERROR((E8+F8)/2,IFERROR(G8+0,(J8+K8)/2))</f>
        <v/>
      </c>
      <c r="I8" s="26" t="inlineStr">
        <is>
          <t>Y</t>
        </is>
      </c>
      <c r="J8" s="85" t="n">
        <v>3.67722</v>
      </c>
      <c r="K8" s="85" t="n">
        <v>3.68058</v>
      </c>
      <c r="L8" s="65" t="inlineStr">
        <is>
          <t>S490 07/21/26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IFERROR((E9+F9)/2,IFERROR(G9+0,(J9+K9)/2))</f>
        <v/>
      </c>
      <c r="I9" s="26" t="inlineStr"/>
      <c r="J9" s="85" t="n">
        <v>3.70154</v>
      </c>
      <c r="K9" s="85" t="n">
        <v>3.70535</v>
      </c>
      <c r="L9" s="65" t="inlineStr">
        <is>
          <t>S490 07/21/26</t>
        </is>
      </c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IFERROR((E10+F10)/2,IFERROR(G10+0,(J10+K10)/2))</f>
        <v/>
      </c>
      <c r="I10" s="26" t="inlineStr">
        <is>
          <t>Y</t>
        </is>
      </c>
      <c r="J10" s="85" t="n">
        <v>3.7508</v>
      </c>
      <c r="K10" s="85" t="n">
        <v>3.7549</v>
      </c>
      <c r="L10" s="65" t="inlineStr">
        <is>
          <t>S490 07/21/26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IFERROR((E11+F11)/2,IFERROR(G11+0,(J11+K11)/2))</f>
        <v/>
      </c>
      <c r="I11" s="26" t="inlineStr"/>
      <c r="J11" s="85" t="n">
        <v>3.79361</v>
      </c>
      <c r="K11" s="85" t="n">
        <v>3.79789</v>
      </c>
      <c r="L11" s="65" t="inlineStr">
        <is>
          <t>S490 07/21/26</t>
        </is>
      </c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IFERROR((E12+F12)/2,IFERROR(G12+0,(J12+K12)/2))</f>
        <v/>
      </c>
      <c r="I12" s="26" t="inlineStr"/>
      <c r="J12" s="85" t="n">
        <v>3.83196</v>
      </c>
      <c r="K12" s="85" t="n">
        <v>3.83674</v>
      </c>
      <c r="L12" s="65" t="inlineStr">
        <is>
          <t>S490 07/21/26</t>
        </is>
      </c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IFERROR((E13+F13)/2,IFERROR(G13+0,(J13+K13)/2))</f>
        <v/>
      </c>
      <c r="I13" s="26" t="inlineStr">
        <is>
          <t>Y</t>
        </is>
      </c>
      <c r="J13" s="85" t="n">
        <v>3.87501</v>
      </c>
      <c r="K13" s="85" t="n">
        <v>3.87949</v>
      </c>
      <c r="L13" s="65" t="inlineStr">
        <is>
          <t>S490 07/21/26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IFERROR((E14+F14)/2,IFERROR(G14+0,(J14+K14)/2))</f>
        <v/>
      </c>
      <c r="I14" s="26" t="inlineStr"/>
      <c r="J14" s="85" t="n">
        <v>3.90612</v>
      </c>
      <c r="K14" s="85" t="n">
        <v>3.91028</v>
      </c>
      <c r="L14" s="65" t="inlineStr">
        <is>
          <t>S490 07/21/26</t>
        </is>
      </c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IFERROR((E15+F15)/2,IFERROR(G15+0,(J15+K15)/2))</f>
        <v/>
      </c>
      <c r="I15" s="26" t="inlineStr"/>
      <c r="J15" s="85" t="n">
        <v>3.93252</v>
      </c>
      <c r="K15" s="85" t="n">
        <v>3.93648</v>
      </c>
      <c r="L15" s="65" t="inlineStr">
        <is>
          <t>S490 07/21/26</t>
        </is>
      </c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IFERROR((E16+F16)/2,IFERROR(G16+0,(J16+K16)/2))</f>
        <v/>
      </c>
      <c r="I16" s="26" t="inlineStr"/>
      <c r="J16" s="85" t="n">
        <v>3.96102</v>
      </c>
      <c r="K16" s="85" t="n">
        <v>3.96488</v>
      </c>
      <c r="L16" s="65" t="inlineStr">
        <is>
          <t>S490 07/21/26</t>
        </is>
      </c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IFERROR((E17+F17)/2,IFERROR(G17+0,(J17+K17)/2))</f>
        <v/>
      </c>
      <c r="I17" s="26" t="inlineStr"/>
      <c r="J17" s="85" t="n">
        <v>3.98669</v>
      </c>
      <c r="K17" s="85" t="n">
        <v>3.99051</v>
      </c>
      <c r="L17" s="65" t="inlineStr">
        <is>
          <t>S490 07/21/26</t>
        </is>
      </c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IFERROR((E18+F18)/2,IFERROR(G18+0,(J18+K18)/2))</f>
        <v/>
      </c>
      <c r="I18" s="26" t="inlineStr"/>
      <c r="J18" s="85" t="n">
        <v>4.00898</v>
      </c>
      <c r="K18" s="85" t="n">
        <v>4.01272</v>
      </c>
      <c r="L18" s="65" t="inlineStr">
        <is>
          <t>S490 07/21/26</t>
        </is>
      </c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IFERROR((E19+F19)/2,IFERROR(G19+0,(J19+K19)/2))</f>
        <v/>
      </c>
      <c r="I19" s="26" t="inlineStr"/>
      <c r="J19" s="85" t="n">
        <v>4.02869</v>
      </c>
      <c r="K19" s="85" t="n">
        <v>4.03192</v>
      </c>
      <c r="L19" s="65" t="inlineStr">
        <is>
          <t>S490 07/21/26</t>
        </is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IFERROR((E20+F20)/2,IFERROR(G20+0,(J20+K20)/2))</f>
        <v/>
      </c>
      <c r="I20" s="26" t="inlineStr"/>
      <c r="J20" s="85" t="n">
        <v>4.04401</v>
      </c>
      <c r="K20" s="85" t="n">
        <v>4.04717</v>
      </c>
      <c r="L20" s="65" t="inlineStr">
        <is>
          <t>S490 07/21/26</t>
        </is>
      </c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IFERROR((E21+F21)/2,IFERROR(G21+0,(J21+K21)/2))</f>
        <v/>
      </c>
      <c r="I21" s="26" t="inlineStr"/>
      <c r="J21" s="85" t="n">
        <v>4.0498</v>
      </c>
      <c r="K21" s="85" t="n">
        <v>4.0524</v>
      </c>
      <c r="L21" s="65" t="inlineStr">
        <is>
          <t>S490 07/21/26</t>
        </is>
      </c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IFERROR((E22+F22)/2,IFERROR(G22+0,(J22+K22)/2))</f>
        <v/>
      </c>
      <c r="I22" s="26" t="inlineStr"/>
      <c r="J22" s="85" t="n">
        <v>4.0302</v>
      </c>
      <c r="K22" s="85" t="n">
        <v>4.0327</v>
      </c>
      <c r="L22" s="65" t="inlineStr">
        <is>
          <t>S490 07/21/26</t>
        </is>
      </c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IFERROR((E23+F23)/2,IFERROR(G23+0,(J23+K23)/2))</f>
        <v/>
      </c>
      <c r="I23" s="26" t="inlineStr"/>
      <c r="J23" s="85" t="n">
        <v>4.02235</v>
      </c>
      <c r="K23" s="85" t="n">
        <v>4.02486</v>
      </c>
      <c r="L23" s="65" t="inlineStr">
        <is>
          <t>S490 07/21/26</t>
        </is>
      </c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IFERROR((E24+F24)/2,IFERROR(G24+0,(J24+K24)/2))</f>
        <v/>
      </c>
      <c r="I24" s="26" t="inlineStr">
        <is>
          <t>Y</t>
        </is>
      </c>
      <c r="J24" s="85" t="n">
        <v>4.03007</v>
      </c>
      <c r="K24" s="85" t="n">
        <v>4.03273</v>
      </c>
      <c r="L24" s="65" t="inlineStr">
        <is>
          <t>S490 07/21/26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IFERROR((E25+F25)/2,IFERROR(G25+0,(J25+K25)/2))</f>
        <v/>
      </c>
      <c r="I25" s="26" t="inlineStr">
        <is>
          <t>Y</t>
        </is>
      </c>
      <c r="J25" s="85" t="n">
        <v>4.0507</v>
      </c>
      <c r="K25" s="85" t="n">
        <v>4.05283</v>
      </c>
      <c r="L25" s="65" t="inlineStr">
        <is>
          <t>S490 07/21/26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IFERROR((E26+F26)/2,IFERROR(G26+0,(J26+K26)/2))</f>
        <v/>
      </c>
      <c r="I26" s="26" t="inlineStr">
        <is>
          <t>Y</t>
        </is>
      </c>
      <c r="J26" s="85" t="n">
        <v>4.07677</v>
      </c>
      <c r="K26" s="85" t="n">
        <v>4.07909</v>
      </c>
      <c r="L26" s="65" t="inlineStr">
        <is>
          <t>S490 07/21/26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IFERROR((E27+F27)/2,IFERROR(G27+0,(J27+K27)/2))</f>
        <v/>
      </c>
      <c r="I27" s="26" t="inlineStr">
        <is>
          <t>Y</t>
        </is>
      </c>
      <c r="J27" s="85" t="n">
        <v>4.10574</v>
      </c>
      <c r="K27" s="85" t="n">
        <v>4.10816</v>
      </c>
      <c r="L27" s="65" t="inlineStr">
        <is>
          <t>S490 07/21/26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IFERROR((E28+F28)/2,IFERROR(G28+0,(J28+K28)/2))</f>
        <v/>
      </c>
      <c r="I28" s="26" t="inlineStr">
        <is>
          <t>Y</t>
        </is>
      </c>
      <c r="J28" s="85" t="n">
        <v>4.13691</v>
      </c>
      <c r="K28" s="85" t="n">
        <v>4.13959</v>
      </c>
      <c r="L28" s="65" t="inlineStr">
        <is>
          <t>S490 07/21/26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IFERROR((E29+F29)/2,IFERROR(G29+0,(J29+K29)/2))</f>
        <v/>
      </c>
      <c r="I29" s="26" t="inlineStr">
        <is>
          <t>Y</t>
        </is>
      </c>
      <c r="J29" s="85" t="n">
        <v>4.17029</v>
      </c>
      <c r="K29" s="85" t="n">
        <v>4.17301</v>
      </c>
      <c r="L29" s="65" t="inlineStr">
        <is>
          <t>S490 07/21/26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IFERROR((E30+F30)/2,IFERROR(G30+0,(J30+K30)/2))</f>
        <v/>
      </c>
      <c r="I30" s="26" t="inlineStr">
        <is>
          <t>Y</t>
        </is>
      </c>
      <c r="J30" s="85" t="n">
        <v>4.23713</v>
      </c>
      <c r="K30" s="85" t="n">
        <v>4.23995</v>
      </c>
      <c r="L30" s="65" t="inlineStr">
        <is>
          <t>S490 07/21/26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IFERROR((E31+F31)/2,IFERROR(G31+0,(J31+K31)/2))</f>
        <v/>
      </c>
      <c r="I31" s="26" t="inlineStr">
        <is>
          <t>Y</t>
        </is>
      </c>
      <c r="J31" s="85" t="n">
        <v>4.32475</v>
      </c>
      <c r="K31" s="85" t="n">
        <v>4.32801</v>
      </c>
      <c r="L31" s="65" t="inlineStr">
        <is>
          <t>S490 07/21/26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IFERROR((E32+F32)/2,IFERROR(G32+0,(J32+K32)/2))</f>
        <v/>
      </c>
      <c r="I32" s="26" t="inlineStr">
        <is>
          <t>Y</t>
        </is>
      </c>
      <c r="J32" s="85" t="n">
        <v>4.39966</v>
      </c>
      <c r="K32" s="85" t="n">
        <v>4.40294</v>
      </c>
      <c r="L32" s="65" t="inlineStr">
        <is>
          <t>S490 07/21/26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IFERROR((E33+F33)/2,IFERROR(G33+0,(J33+K33)/2))</f>
        <v/>
      </c>
      <c r="I33" s="26" t="inlineStr">
        <is>
          <t>Y</t>
        </is>
      </c>
      <c r="J33" s="85" t="n">
        <v>4.39842</v>
      </c>
      <c r="K33" s="85" t="n">
        <v>4.40168</v>
      </c>
      <c r="L33" s="65" t="inlineStr">
        <is>
          <t>S490 07/21/26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IFERROR((E34+F34)/2,IFERROR(G34+0,(J34+K34)/2))</f>
        <v/>
      </c>
      <c r="I34" s="26" t="inlineStr">
        <is>
          <t>Y</t>
        </is>
      </c>
      <c r="J34" s="85" t="n">
        <v>4.36132</v>
      </c>
      <c r="K34" s="85" t="n">
        <v>4.36422</v>
      </c>
      <c r="L34" s="65" t="inlineStr">
        <is>
          <t>S490 07/21/26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IFERROR((E35+F35)/2,IFERROR(G35+0,(J35+K35)/2))</f>
        <v/>
      </c>
      <c r="I35" s="26" t="inlineStr">
        <is>
          <t>Y</t>
        </is>
      </c>
      <c r="J35" s="85" t="n">
        <v>4.23695</v>
      </c>
      <c r="K35" s="85" t="n">
        <v>4.25025</v>
      </c>
      <c r="L35" s="65" t="inlineStr">
        <is>
          <t>S490 07/21/26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IFERROR((E36+F36)/2,IFERROR(G36+0,(J36+K36)/2))</f>
        <v/>
      </c>
      <c r="I36" s="26" t="inlineStr">
        <is>
          <t>Y</t>
        </is>
      </c>
      <c r="J36" s="85" t="n">
        <v>4.09924</v>
      </c>
      <c r="K36" s="85" t="n">
        <v>4.1213</v>
      </c>
      <c r="L36" s="65" t="inlineStr">
        <is>
          <t>S490 07/21/26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W75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20" t="inlineStr">
        <is>
          <t>Fixed leg  K·Σα·DF</t>
        </is>
      </c>
      <c r="U7" s="20" t="inlineStr">
        <is>
          <t>Float leg  DF0−DF(T)</t>
        </is>
      </c>
      <c r="V7" s="20" t="inlineStr">
        <is>
          <t>Model par (%)</t>
        </is>
      </c>
      <c r="W7" s="20" t="inlineStr">
        <is>
          <t>Reprice (bp)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34">
        <f>(E8/100)*S8</f>
        <v/>
      </c>
      <c r="U8" s="34">
        <f>$D$4-H8</f>
        <v/>
      </c>
      <c r="V8" s="17">
        <f>U8/S8*100</f>
        <v/>
      </c>
      <c r="W8" s="31">
        <f>(V8-E8)*100</f>
        <v/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34">
        <f>(E9/100)*S9</f>
        <v/>
      </c>
      <c r="U9" s="34">
        <f>$D$4-H9</f>
        <v/>
      </c>
      <c r="V9" s="17">
        <f>U9/S9*100</f>
        <v/>
      </c>
      <c r="W9" s="31">
        <f>(V9-E9)*100</f>
        <v/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34">
        <f>(E10/100)*S10</f>
        <v/>
      </c>
      <c r="U10" s="34">
        <f>$D$4-H10</f>
        <v/>
      </c>
      <c r="V10" s="17">
        <f>U10/S10*100</f>
        <v/>
      </c>
      <c r="W10" s="31">
        <f>(V10-E10)*100</f>
        <v/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34">
        <f>(E11/100)*S11</f>
        <v/>
      </c>
      <c r="U11" s="34">
        <f>$D$4-H11</f>
        <v/>
      </c>
      <c r="V11" s="17">
        <f>U11/S11*100</f>
        <v/>
      </c>
      <c r="W11" s="31">
        <f>(V11-E11)*100</f>
        <v/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34">
        <f>(E12/100)*S12</f>
        <v/>
      </c>
      <c r="U12" s="34">
        <f>$D$4-H12</f>
        <v/>
      </c>
      <c r="V12" s="17">
        <f>U12/S12*100</f>
        <v/>
      </c>
      <c r="W12" s="31">
        <f>(V12-E12)*100</f>
        <v/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34">
        <f>(E13/100)*S13</f>
        <v/>
      </c>
      <c r="U13" s="34">
        <f>$D$4-H13</f>
        <v/>
      </c>
      <c r="V13" s="17">
        <f>U13/S13*100</f>
        <v/>
      </c>
      <c r="W13" s="31">
        <f>(V13-E13)*100</f>
        <v/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34">
        <f>(E14/100)*S14</f>
        <v/>
      </c>
      <c r="U14" s="34">
        <f>$D$4-H14</f>
        <v/>
      </c>
      <c r="V14" s="17">
        <f>U14/S14*100</f>
        <v/>
      </c>
      <c r="W14" s="31">
        <f>(V14-E14)*100</f>
        <v/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34">
        <f>(E15/100)*S15</f>
        <v/>
      </c>
      <c r="U15" s="34">
        <f>$D$4-H15</f>
        <v/>
      </c>
      <c r="V15" s="17">
        <f>U15/S15*100</f>
        <v/>
      </c>
      <c r="W15" s="31">
        <f>(V15-E15)*100</f>
        <v/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34">
        <f>(E16/100)*S16</f>
        <v/>
      </c>
      <c r="U16" s="34">
        <f>$D$4-H16</f>
        <v/>
      </c>
      <c r="V16" s="17">
        <f>U16/S16*100</f>
        <v/>
      </c>
      <c r="W16" s="31">
        <f>(V16-E16)*100</f>
        <v/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34">
        <f>(E17/100)*S17</f>
        <v/>
      </c>
      <c r="U17" s="34">
        <f>$D$4-H17</f>
        <v/>
      </c>
      <c r="V17" s="17">
        <f>U17/S17*100</f>
        <v/>
      </c>
      <c r="W17" s="31">
        <f>(V17-E17)*100</f>
        <v/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34">
        <f>(E18/100)*S18</f>
        <v/>
      </c>
      <c r="U18" s="34">
        <f>$D$4-H18</f>
        <v/>
      </c>
      <c r="V18" s="17">
        <f>U18/S18*100</f>
        <v/>
      </c>
      <c r="W18" s="31">
        <f>(V18-E18)*100</f>
        <v/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34">
        <f>(E19/100)*S19</f>
        <v/>
      </c>
      <c r="U19" s="34">
        <f>$D$4-H19</f>
        <v/>
      </c>
      <c r="V19" s="17">
        <f>U19/S19*100</f>
        <v/>
      </c>
      <c r="W19" s="31">
        <f>(V19-E19)*100</f>
        <v/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34">
        <f>(E20/100)*S20</f>
        <v/>
      </c>
      <c r="U20" s="34">
        <f>$D$4-H20</f>
        <v/>
      </c>
      <c r="V20" s="17">
        <f>U20/S20*100</f>
        <v/>
      </c>
      <c r="W20" s="31">
        <f>(V20-E20)*100</f>
        <v/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34">
        <f>(E21/100)*S21</f>
        <v/>
      </c>
      <c r="U21" s="34">
        <f>$D$4-H21</f>
        <v/>
      </c>
      <c r="V21" s="17">
        <f>U21/S21*100</f>
        <v/>
      </c>
      <c r="W21" s="31">
        <f>(V21-E21)*100</f>
        <v/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34">
        <f>(E22/100)*S22</f>
        <v/>
      </c>
      <c r="U22" s="34">
        <f>$D$4-H22</f>
        <v/>
      </c>
      <c r="V22" s="17">
        <f>U22/S22*100</f>
        <v/>
      </c>
      <c r="W22" s="31">
        <f>(V22-E22)*100</f>
        <v/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34">
        <f>(E23/100)*S23</f>
        <v/>
      </c>
      <c r="U23" s="34">
        <f>$D$4-H23</f>
        <v/>
      </c>
      <c r="V23" s="17">
        <f>U23/S23*100</f>
        <v/>
      </c>
      <c r="W23" s="31">
        <f>(V23-E23)*100</f>
        <v/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34">
        <f>(E24/100)*S24</f>
        <v/>
      </c>
      <c r="U24" s="34">
        <f>$D$4-H24</f>
        <v/>
      </c>
      <c r="V24" s="17">
        <f>U24/S24*100</f>
        <v/>
      </c>
      <c r="W24" s="31">
        <f>(V24-E24)*100</f>
        <v/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34">
        <f>(E25/100)*S25</f>
        <v/>
      </c>
      <c r="U25" s="34">
        <f>$D$4-H25</f>
        <v/>
      </c>
      <c r="V25" s="17">
        <f>U25/S25*100</f>
        <v/>
      </c>
      <c r="W25" s="31">
        <f>(V25-E25)*100</f>
        <v/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34">
        <f>(E26/100)*S26</f>
        <v/>
      </c>
      <c r="U26" s="34">
        <f>$D$4-H26</f>
        <v/>
      </c>
      <c r="V26" s="17">
        <f>U26/S26*100</f>
        <v/>
      </c>
      <c r="W26" s="31">
        <f>(V26-E26)*100</f>
        <v/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34">
        <f>(E27/100)*S27</f>
        <v/>
      </c>
      <c r="U27" s="34">
        <f>$D$4-H27</f>
        <v/>
      </c>
      <c r="V27" s="17">
        <f>U27/S27*100</f>
        <v/>
      </c>
      <c r="W27" s="31">
        <f>(V27-E27)*100</f>
        <v/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34">
        <f>(E28/100)*S28</f>
        <v/>
      </c>
      <c r="U28" s="34">
        <f>$D$4-H28</f>
        <v/>
      </c>
      <c r="V28" s="17">
        <f>U28/S28*100</f>
        <v/>
      </c>
      <c r="W28" s="31">
        <f>(V28-E28)*100</f>
        <v/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34">
        <f>(E29/100)*S29</f>
        <v/>
      </c>
      <c r="U29" s="34">
        <f>$D$4-H29</f>
        <v/>
      </c>
      <c r="V29" s="17">
        <f>U29/S29*100</f>
        <v/>
      </c>
      <c r="W29" s="31">
        <f>(V29-E29)*100</f>
        <v/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34">
        <f>(E30/100)*S30</f>
        <v/>
      </c>
      <c r="U30" s="34">
        <f>$D$4-H30</f>
        <v/>
      </c>
      <c r="V30" s="17">
        <f>U30/S30*100</f>
        <v/>
      </c>
      <c r="W30" s="31">
        <f>(V30-E30)*100</f>
        <v/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34">
        <f>(E31/100)*S31</f>
        <v/>
      </c>
      <c r="U31" s="34">
        <f>$D$4-H31</f>
        <v/>
      </c>
      <c r="V31" s="17">
        <f>U31/S31*100</f>
        <v/>
      </c>
      <c r="W31" s="31">
        <f>(V31-E31)*100</f>
        <v/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34">
        <f>(E32/100)*S32</f>
        <v/>
      </c>
      <c r="U32" s="34">
        <f>$D$4-H32</f>
        <v/>
      </c>
      <c r="V32" s="17">
        <f>U32/S32*100</f>
        <v/>
      </c>
      <c r="W32" s="31">
        <f>(V32-E32)*100</f>
        <v/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34">
        <f>(E33/100)*S33</f>
        <v/>
      </c>
      <c r="U33" s="34">
        <f>$D$4-H33</f>
        <v/>
      </c>
      <c r="V33" s="17">
        <f>U33/S33*100</f>
        <v/>
      </c>
      <c r="W33" s="31">
        <f>(V33-E33)*100</f>
        <v/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34">
        <f>(E34/100)*S34</f>
        <v/>
      </c>
      <c r="U34" s="34">
        <f>$D$4-H34</f>
        <v/>
      </c>
      <c r="V34" s="17">
        <f>U34/S34*100</f>
        <v/>
      </c>
      <c r="W34" s="31">
        <f>(V34-E34)*100</f>
        <v/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34">
        <f>(E35/100)*S35</f>
        <v/>
      </c>
      <c r="U35" s="34">
        <f>$D$4-H35</f>
        <v/>
      </c>
      <c r="V35" s="17">
        <f>U35/S35*100</f>
        <v/>
      </c>
      <c r="W35" s="31">
        <f>(V35-E35)*100</f>
        <v/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34">
        <f>(E36/100)*S36</f>
        <v/>
      </c>
      <c r="U36" s="34">
        <f>$D$4-H36</f>
        <v/>
      </c>
      <c r="V36" s="17">
        <f>U36/S36*100</f>
        <v/>
      </c>
      <c r="W36" s="31">
        <f>(V36-E36)*100</f>
        <v/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34">
        <f>(E37/100)*S37</f>
        <v/>
      </c>
      <c r="U37" s="34">
        <f>$D$4-H37</f>
        <v/>
      </c>
      <c r="V37" s="17">
        <f>U37/S37*100</f>
        <v/>
      </c>
      <c r="W37" s="31">
        <f>(V37-E37)*100</f>
        <v/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34">
        <f>(E38/100)*S38</f>
        <v/>
      </c>
      <c r="U38" s="34">
        <f>$D$4-H38</f>
        <v/>
      </c>
      <c r="V38" s="17">
        <f>U38/S38*100</f>
        <v/>
      </c>
      <c r="W38" s="31">
        <f>(V38-E38)*100</f>
        <v/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34">
        <f>(E39/100)*S39</f>
        <v/>
      </c>
      <c r="U39" s="34">
        <f>$D$4-H39</f>
        <v/>
      </c>
      <c r="V39" s="17">
        <f>U39/S39*100</f>
        <v/>
      </c>
      <c r="W39" s="31">
        <f>(V39-E39)*100</f>
        <v/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34">
        <f>(E40/100)*S40</f>
        <v/>
      </c>
      <c r="U40" s="34">
        <f>$D$4-H40</f>
        <v/>
      </c>
      <c r="V40" s="17">
        <f>U40/S40*100</f>
        <v/>
      </c>
      <c r="W40" s="31">
        <f>(V40-E40)*100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34">
        <f>(E41/100)*S41</f>
        <v/>
      </c>
      <c r="U41" s="34">
        <f>$D$4-H41</f>
        <v/>
      </c>
      <c r="V41" s="17">
        <f>U41/S41*100</f>
        <v/>
      </c>
      <c r="W41" s="31">
        <f>(V41-E41)*100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34">
        <f>(E42/100)*S42</f>
        <v/>
      </c>
      <c r="U42" s="34">
        <f>$D$4-H42</f>
        <v/>
      </c>
      <c r="V42" s="17">
        <f>U42/S42*100</f>
        <v/>
      </c>
      <c r="W42" s="31">
        <f>(V42-E42)*100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34">
        <f>(E43/100)*S43</f>
        <v/>
      </c>
      <c r="U43" s="34">
        <f>$D$4-H43</f>
        <v/>
      </c>
      <c r="V43" s="17">
        <f>U43/S43*100</f>
        <v/>
      </c>
      <c r="W43" s="31">
        <f>(V43-E43)*100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34">
        <f>(E44/100)*S44</f>
        <v/>
      </c>
      <c r="U44" s="34">
        <f>$D$4-H44</f>
        <v/>
      </c>
      <c r="V44" s="17">
        <f>U44/S44*100</f>
        <v/>
      </c>
      <c r="W44" s="31">
        <f>(V44-E44)*100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34">
        <f>(E45/100)*S45</f>
        <v/>
      </c>
      <c r="U45" s="34">
        <f>$D$4-H45</f>
        <v/>
      </c>
      <c r="V45" s="17">
        <f>U45/S45*100</f>
        <v/>
      </c>
      <c r="W45" s="31">
        <f>(V45-E45)*100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34">
        <f>(E46/100)*S46</f>
        <v/>
      </c>
      <c r="U46" s="34">
        <f>$D$4-H46</f>
        <v/>
      </c>
      <c r="V46" s="17">
        <f>U46/S46*100</f>
        <v/>
      </c>
      <c r="W46" s="31">
        <f>(V46-E46)*100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34">
        <f>(E47/100)*S47</f>
        <v/>
      </c>
      <c r="U47" s="34">
        <f>$D$4-H47</f>
        <v/>
      </c>
      <c r="V47" s="17">
        <f>U47/S47*100</f>
        <v/>
      </c>
      <c r="W47" s="31">
        <f>(V47-E47)*100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34">
        <f>(E48/100)*S48</f>
        <v/>
      </c>
      <c r="U48" s="34">
        <f>$D$4-H48</f>
        <v/>
      </c>
      <c r="V48" s="17">
        <f>U48/S48*100</f>
        <v/>
      </c>
      <c r="W48" s="31">
        <f>(V48-E48)*100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34">
        <f>(E49/100)*S49</f>
        <v/>
      </c>
      <c r="U49" s="34">
        <f>$D$4-H49</f>
        <v/>
      </c>
      <c r="V49" s="17">
        <f>U49/S49*100</f>
        <v/>
      </c>
      <c r="W49" s="31">
        <f>(V49-E49)*100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34">
        <f>(E50/100)*S50</f>
        <v/>
      </c>
      <c r="U50" s="34">
        <f>$D$4-H50</f>
        <v/>
      </c>
      <c r="V50" s="17">
        <f>U50/S50*100</f>
        <v/>
      </c>
      <c r="W50" s="31">
        <f>(V50-E50)*100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34">
        <f>(E51/100)*S51</f>
        <v/>
      </c>
      <c r="U51" s="34">
        <f>$D$4-H51</f>
        <v/>
      </c>
      <c r="V51" s="17">
        <f>U51/S51*100</f>
        <v/>
      </c>
      <c r="W51" s="31">
        <f>(V51-E51)*100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34">
        <f>(E52/100)*S52</f>
        <v/>
      </c>
      <c r="U52" s="34">
        <f>$D$4-H52</f>
        <v/>
      </c>
      <c r="V52" s="17">
        <f>U52/S52*100</f>
        <v/>
      </c>
      <c r="W52" s="31">
        <f>(V52-E52)*100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34">
        <f>(E53/100)*S53</f>
        <v/>
      </c>
      <c r="U53" s="34">
        <f>$D$4-H53</f>
        <v/>
      </c>
      <c r="V53" s="17">
        <f>U53/S53*100</f>
        <v/>
      </c>
      <c r="W53" s="31">
        <f>(V53-E53)*100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34">
        <f>(E54/100)*S54</f>
        <v/>
      </c>
      <c r="U54" s="34">
        <f>$D$4-H54</f>
        <v/>
      </c>
      <c r="V54" s="17">
        <f>U54/S54*100</f>
        <v/>
      </c>
      <c r="W54" s="31">
        <f>(V54-E54)*100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34">
        <f>(E55/100)*S55</f>
        <v/>
      </c>
      <c r="U55" s="34">
        <f>$D$4-H55</f>
        <v/>
      </c>
      <c r="V55" s="17">
        <f>U55/S55*100</f>
        <v/>
      </c>
      <c r="W55" s="31">
        <f>(V55-E55)*100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34">
        <f>(E56/100)*S56</f>
        <v/>
      </c>
      <c r="U56" s="34">
        <f>$D$4-H56</f>
        <v/>
      </c>
      <c r="V56" s="17">
        <f>U56/S56*100</f>
        <v/>
      </c>
      <c r="W56" s="31">
        <f>(V56-E56)*100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34">
        <f>(E57/100)*S57</f>
        <v/>
      </c>
      <c r="U57" s="34">
        <f>$D$4-H57</f>
        <v/>
      </c>
      <c r="V57" s="17">
        <f>U57/S57*100</f>
        <v/>
      </c>
      <c r="W57" s="31">
        <f>(V57-E57)*100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34">
        <f>(E58/100)*S58</f>
        <v/>
      </c>
      <c r="U58" s="34">
        <f>$D$4-H58</f>
        <v/>
      </c>
      <c r="V58" s="17">
        <f>U58/S58*100</f>
        <v/>
      </c>
      <c r="W58" s="31">
        <f>(V58-E58)*100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34">
        <f>(E59/100)*S59</f>
        <v/>
      </c>
      <c r="U59" s="34">
        <f>$D$4-H59</f>
        <v/>
      </c>
      <c r="V59" s="17">
        <f>U59/S59*100</f>
        <v/>
      </c>
      <c r="W59" s="31">
        <f>(V59-E59)*100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34">
        <f>(E60/100)*S60</f>
        <v/>
      </c>
      <c r="U60" s="34">
        <f>$D$4-H60</f>
        <v/>
      </c>
      <c r="V60" s="17">
        <f>U60/S60*100</f>
        <v/>
      </c>
      <c r="W60" s="31">
        <f>(V60-E60)*100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34">
        <f>(E61/100)*S61</f>
        <v/>
      </c>
      <c r="U61" s="34">
        <f>$D$4-H61</f>
        <v/>
      </c>
      <c r="V61" s="17">
        <f>U61/S61*100</f>
        <v/>
      </c>
      <c r="W61" s="31">
        <f>(V61-E61)*100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34">
        <f>(E62/100)*S62</f>
        <v/>
      </c>
      <c r="U62" s="34">
        <f>$D$4-H62</f>
        <v/>
      </c>
      <c r="V62" s="17">
        <f>U62/S62*100</f>
        <v/>
      </c>
      <c r="W62" s="31">
        <f>(V62-E62)*100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34">
        <f>(E63/100)*S63</f>
        <v/>
      </c>
      <c r="U63" s="34">
        <f>$D$4-H63</f>
        <v/>
      </c>
      <c r="V63" s="17">
        <f>U63/S63*100</f>
        <v/>
      </c>
      <c r="W63" s="31">
        <f>(V63-E63)*100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34">
        <f>(E64/100)*S64</f>
        <v/>
      </c>
      <c r="U64" s="34">
        <f>$D$4-H64</f>
        <v/>
      </c>
      <c r="V64" s="17">
        <f>U64/S64*100</f>
        <v/>
      </c>
      <c r="W64" s="31">
        <f>(V64-E64)*100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34">
        <f>(E65/100)*S65</f>
        <v/>
      </c>
      <c r="U65" s="34">
        <f>$D$4-H65</f>
        <v/>
      </c>
      <c r="V65" s="17">
        <f>U65/S65*100</f>
        <v/>
      </c>
      <c r="W65" s="31">
        <f>(V65-E65)*100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34">
        <f>(E66/100)*S66</f>
        <v/>
      </c>
      <c r="U66" s="34">
        <f>$D$4-H66</f>
        <v/>
      </c>
      <c r="V66" s="17">
        <f>U66/S66*100</f>
        <v/>
      </c>
      <c r="W66" s="31">
        <f>(V66-E66)*100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34">
        <f>(E67/100)*S67</f>
        <v/>
      </c>
      <c r="U67" s="34">
        <f>$D$4-H67</f>
        <v/>
      </c>
      <c r="V67" s="17">
        <f>U67/S67*100</f>
        <v/>
      </c>
      <c r="W67" s="31">
        <f>(V67-E67)*100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34">
        <f>(E68/100)*S68</f>
        <v/>
      </c>
      <c r="U68" s="34">
        <f>$D$4-H68</f>
        <v/>
      </c>
      <c r="V68" s="17">
        <f>U68/S68*100</f>
        <v/>
      </c>
      <c r="W68" s="31">
        <f>(V68-E68)*100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34">
        <f>(E69/100)*S69</f>
        <v/>
      </c>
      <c r="U69" s="34">
        <f>$D$4-H69</f>
        <v/>
      </c>
      <c r="V69" s="17">
        <f>U69/S69*100</f>
        <v/>
      </c>
      <c r="W69" s="31">
        <f>(V69-E69)*100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34">
        <f>(E70/100)*S70</f>
        <v/>
      </c>
      <c r="U70" s="34">
        <f>$D$4-H70</f>
        <v/>
      </c>
      <c r="V70" s="17">
        <f>U70/S70*100</f>
        <v/>
      </c>
      <c r="W70" s="31">
        <f>(V70-E70)*100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34">
        <f>(E71/100)*S71</f>
        <v/>
      </c>
      <c r="U71" s="34">
        <f>$D$4-H71</f>
        <v/>
      </c>
      <c r="V71" s="17">
        <f>U71/S71*100</f>
        <v/>
      </c>
      <c r="W71" s="31">
        <f>(V71-E71)*100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34">
        <f>(E72/100)*S72</f>
        <v/>
      </c>
      <c r="U72" s="34">
        <f>$D$4-H72</f>
        <v/>
      </c>
      <c r="V72" s="17">
        <f>U72/S72*100</f>
        <v/>
      </c>
      <c r="W72" s="31">
        <f>(V72-E72)*100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18">
        <f>Bootstrap!$B$4</f>
        <v/>
      </c>
      <c r="L8" s="36">
        <f>Bootstrap!$D$4</f>
        <v/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>
        <f>Bootstrap!$D$4</f>
        <v/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Y78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— screen 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IF(ISNUMBER(D8),(C8-D8)*100,IF(ISNUMBER(G8),(C8-G8)*100,""))</f>
        <v/>
      </c>
      <c r="F8" s="93">
        <f>IF(ISNUMBER(IFERROR(INDEX($J$12:$T$82,MATCH(B8,INDEX($J$12:$T$82,0,$I$3),0),$I$4)*$I$5,"")),"BDS live",IF(ISNUMBER(G8),"manual paste","-"))</f>
        <v/>
      </c>
      <c r="G8" s="99">
        <f>IFERROR(INDEX($X$9:$X$40,MATCH(B8,$V$9:$V$40,0)),"")</f>
        <v/>
      </c>
      <c r="H8" s="65" t="inlineStr">
        <is>
          <t>(the CURVE_TENOR_RATES dump lives at J12 - a second copy here would spill into it)</t>
        </is>
      </c>
      <c r="M8" s="80">
        <f>IFERROR(INDEX($Y$9:$Y$40,MATCH(B8,$V$9:$V$40,0)),"")</f>
        <v/>
      </c>
      <c r="N8" s="80">
        <f>IF(M8="","",Bootstrap!H8)</f>
        <v/>
      </c>
      <c r="O8" s="72">
        <f>IF(M8="","",N8-M8)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IF(ISNUMBER(D9),(C9-D9)*100,IF(ISNUMBER(G9),(C9-G9)*100,""))</f>
        <v/>
      </c>
      <c r="F9" s="93">
        <f>IF(ISNUMBER(IFERROR(INDEX($J$12:$T$82,MATCH(B9,INDEX($J$12:$T$82,0,$I$3),0),$I$4)*$I$5,"")),"BDS live",IF(ISNUMBER(G9),"manual paste","-"))</f>
        <v/>
      </c>
      <c r="G9" s="99">
        <f>IFERROR(INDEX($X$9:$X$40,MATCH(B9,$V$9:$V$40,0)),"")</f>
        <v/>
      </c>
      <c r="M9" s="80">
        <f>IFERROR(INDEX($Y$9:$Y$40,MATCH(B9,$V$9:$V$40,0)),"")</f>
        <v/>
      </c>
      <c r="N9" s="80">
        <f>IF(M9="","",Bootstrap!H9)</f>
        <v/>
      </c>
      <c r="O9" s="72">
        <f>IF(M9="","",N9-M9)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IF(ISNUMBER(D10),(C10-D10)*100,IF(ISNUMBER(G10),(C10-G10)*100,""))</f>
        <v/>
      </c>
      <c r="F10" s="93">
        <f>IF(ISNUMBER(IFERROR(INDEX($J$12:$T$82,MATCH(B10,INDEX($J$12:$T$82,0,$I$3),0),$I$4)*$I$5,"")),"BDS live",IF(ISNUMBER(G10),"manual paste","-"))</f>
        <v/>
      </c>
      <c r="G10" s="99">
        <f>IFERROR(INDEX($X$9:$X$40,MATCH(B10,$V$9:$V$40,0)),"")</f>
        <v/>
      </c>
      <c r="M10" s="80">
        <f>IFERROR(INDEX($Y$9:$Y$40,MATCH(B10,$V$9:$V$40,0)),"")</f>
        <v/>
      </c>
      <c r="N10" s="80">
        <f>IF(M10="","",Bootstrap!H10)</f>
        <v/>
      </c>
      <c r="O10" s="72">
        <f>IF(M10="","",N10-M10)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IF(ISNUMBER(D11),(C11-D11)*100,IF(ISNUMBER(G11),(C11-G11)*100,""))</f>
        <v/>
      </c>
      <c r="F11" s="93">
        <f>IF(ISNUMBER(IFERROR(INDEX($J$12:$T$82,MATCH(B11,INDEX($J$12:$T$82,0,$I$3),0),$I$4)*$I$5,"")),"BDS live",IF(ISNUMBER(G11),"manual paste","-"))</f>
        <v/>
      </c>
      <c r="G11" s="99">
        <f>IFERROR(INDEX($X$9:$X$40,MATCH(B11,$V$9:$V$40,0)),"")</f>
        <v/>
      </c>
      <c r="M11" s="80">
        <f>IFERROR(INDEX($Y$9:$Y$40,MATCH(B11,$V$9:$V$40,0)),"")</f>
        <v/>
      </c>
      <c r="N11" s="80">
        <f>IF(M11="","",Bootstrap!H11)</f>
        <v/>
      </c>
      <c r="O11" s="72">
        <f>IF(M11="","",N11-M11)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IF(ISNUMBER(D12),(C12-D12)*100,IF(ISNUMBER(G12),(C12-G12)*100,""))</f>
        <v/>
      </c>
      <c r="F12" s="93">
        <f>IF(ISNUMBER(IFERROR(INDEX($J$12:$T$82,MATCH(B12,INDEX($J$12:$T$82,0,$I$3),0),$I$4)*$I$5,"")),"BDS live",IF(ISNUMBER(G12),"manual paste","-"))</f>
        <v/>
      </c>
      <c r="G12" s="99">
        <f>IFERROR(INDEX($X$9:$X$40,MATCH(B12,$V$9:$V$40,0)),"")</f>
        <v/>
      </c>
      <c r="J12" s="93">
        <f>BDS(S490_TKR,"CURVE_TENOR_RATES")</f>
        <v/>
      </c>
      <c r="M12" s="80">
        <f>IFERROR(INDEX($Y$9:$Y$40,MATCH(B12,$V$9:$V$40,0)),"")</f>
        <v/>
      </c>
      <c r="N12" s="80">
        <f>IF(M12="","",Bootstrap!H12)</f>
        <v/>
      </c>
      <c r="O12" s="72">
        <f>IF(M12="","",N12-M12)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IF(ISNUMBER(D13),(C13-D13)*100,IF(ISNUMBER(G13),(C13-G13)*100,""))</f>
        <v/>
      </c>
      <c r="F13" s="93">
        <f>IF(ISNUMBER(IFERROR(INDEX($J$12:$T$82,MATCH(B13,INDEX($J$12:$T$82,0,$I$3),0),$I$4)*$I$5,"")),"BDS live",IF(ISNUMBER(G13),"manual paste","-"))</f>
        <v/>
      </c>
      <c r="G13" s="99">
        <f>IFERROR(INDEX($X$9:$X$40,MATCH(B13,$V$9:$V$40,0)),"")</f>
        <v/>
      </c>
      <c r="M13" s="80">
        <f>IFERROR(INDEX($Y$9:$Y$40,MATCH(B13,$V$9:$V$40,0)),"")</f>
        <v/>
      </c>
      <c r="N13" s="80">
        <f>IF(M13="","",Bootstrap!H13)</f>
        <v/>
      </c>
      <c r="O13" s="72">
        <f>IF(M13="","",N13-M13)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IF(ISNUMBER(D14),(C14-D14)*100,IF(ISNUMBER(G14),(C14-G14)*100,""))</f>
        <v/>
      </c>
      <c r="F14" s="93">
        <f>IF(ISNUMBER(IFERROR(INDEX($J$12:$T$82,MATCH(B14,INDEX($J$12:$T$82,0,$I$3),0),$I$4)*$I$5,"")),"BDS live",IF(ISNUMBER(G14),"manual paste","-"))</f>
        <v/>
      </c>
      <c r="G14" s="99">
        <f>IFERROR(INDEX($X$9:$X$40,MATCH(B14,$V$9:$V$40,0)),"")</f>
        <v/>
      </c>
      <c r="M14" s="80">
        <f>IFERROR(INDEX($Y$9:$Y$40,MATCH(B14,$V$9:$V$40,0)),"")</f>
        <v/>
      </c>
      <c r="N14" s="80">
        <f>IF(M14="","",Bootstrap!H14)</f>
        <v/>
      </c>
      <c r="O14" s="72">
        <f>IF(M14="","",N14-M14)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IF(ISNUMBER(D15),(C15-D15)*100,IF(ISNUMBER(G15),(C15-G15)*100,""))</f>
        <v/>
      </c>
      <c r="F15" s="93">
        <f>IF(ISNUMBER(IFERROR(INDEX($J$12:$T$82,MATCH(B15,INDEX($J$12:$T$82,0,$I$3),0),$I$4)*$I$5,"")),"BDS live",IF(ISNUMBER(G15),"manual paste","-"))</f>
        <v/>
      </c>
      <c r="G15" s="99">
        <f>IFERROR(INDEX($X$9:$X$40,MATCH(B15,$V$9:$V$40,0)),"")</f>
        <v/>
      </c>
      <c r="M15" s="80">
        <f>IFERROR(INDEX($Y$9:$Y$40,MATCH(B15,$V$9:$V$40,0)),"")</f>
        <v/>
      </c>
      <c r="N15" s="80">
        <f>IF(M15="","",Bootstrap!H15)</f>
        <v/>
      </c>
      <c r="O15" s="72">
        <f>IF(M15="","",N15-M15)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IF(ISNUMBER(D16),(C16-D16)*100,IF(ISNUMBER(G16),(C16-G16)*100,""))</f>
        <v/>
      </c>
      <c r="F16" s="93">
        <f>IF(ISNUMBER(IFERROR(INDEX($J$12:$T$82,MATCH(B16,INDEX($J$12:$T$82,0,$I$3),0),$I$4)*$I$5,"")),"BDS live",IF(ISNUMBER(G16),"manual paste","-"))</f>
        <v/>
      </c>
      <c r="G16" s="99">
        <f>IFERROR(INDEX($X$9:$X$40,MATCH(B16,$V$9:$V$40,0)),"")</f>
        <v/>
      </c>
      <c r="M16" s="80">
        <f>IFERROR(INDEX($Y$9:$Y$40,MATCH(B16,$V$9:$V$40,0)),"")</f>
        <v/>
      </c>
      <c r="N16" s="80">
        <f>IF(M16="","",Bootstrap!H16)</f>
        <v/>
      </c>
      <c r="O16" s="72">
        <f>IF(M16="","",N16-M16)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IF(ISNUMBER(D17),(C17-D17)*100,IF(ISNUMBER(G17),(C17-G17)*100,""))</f>
        <v/>
      </c>
      <c r="F17" s="93">
        <f>IF(ISNUMBER(IFERROR(INDEX($J$12:$T$82,MATCH(B17,INDEX($J$12:$T$82,0,$I$3),0),$I$4)*$I$5,"")),"BDS live",IF(ISNUMBER(G17),"manual paste","-"))</f>
        <v/>
      </c>
      <c r="G17" s="99">
        <f>IFERROR(INDEX($X$9:$X$40,MATCH(B17,$V$9:$V$40,0)),"")</f>
        <v/>
      </c>
      <c r="M17" s="80">
        <f>IFERROR(INDEX($Y$9:$Y$40,MATCH(B17,$V$9:$V$40,0)),"")</f>
        <v/>
      </c>
      <c r="N17" s="80">
        <f>IF(M17="","",Bootstrap!H17)</f>
        <v/>
      </c>
      <c r="O17" s="72">
        <f>IF(M17="","",N17-M17)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IF(ISNUMBER(D18),(C18-D18)*100,IF(ISNUMBER(G18),(C18-G18)*100,""))</f>
        <v/>
      </c>
      <c r="F18" s="93">
        <f>IF(ISNUMBER(IFERROR(INDEX($J$12:$T$82,MATCH(B18,INDEX($J$12:$T$82,0,$I$3),0),$I$4)*$I$5,"")),"BDS live",IF(ISNUMBER(G18),"manual paste","-"))</f>
        <v/>
      </c>
      <c r="G18" s="99">
        <f>IFERROR(INDEX($X$9:$X$40,MATCH(B18,$V$9:$V$40,0)),"")</f>
        <v/>
      </c>
      <c r="M18" s="80">
        <f>IFERROR(INDEX($Y$9:$Y$40,MATCH(B18,$V$9:$V$40,0)),"")</f>
        <v/>
      </c>
      <c r="N18" s="80">
        <f>IF(M18="","",Bootstrap!H18)</f>
        <v/>
      </c>
      <c r="O18" s="72">
        <f>IF(M18="","",N18-M18)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IF(ISNUMBER(D19),(C19-D19)*100,IF(ISNUMBER(G19),(C19-G19)*100,""))</f>
        <v/>
      </c>
      <c r="F19" s="93">
        <f>IF(ISNUMBER(IFERROR(INDEX($J$12:$T$82,MATCH(B19,INDEX($J$12:$T$82,0,$I$3),0),$I$4)*$I$5,"")),"BDS live",IF(ISNUMBER(G19),"manual paste","-"))</f>
        <v/>
      </c>
      <c r="G19" s="99">
        <f>IFERROR(INDEX($X$9:$X$40,MATCH(B19,$V$9:$V$40,0)),"")</f>
        <v/>
      </c>
      <c r="M19" s="80">
        <f>IFERROR(INDEX($Y$9:$Y$40,MATCH(B19,$V$9:$V$40,0)),"")</f>
        <v/>
      </c>
      <c r="N19" s="80">
        <f>IF(M19="","",Bootstrap!H19)</f>
        <v/>
      </c>
      <c r="O19" s="72">
        <f>IF(M19="","",N19-M19)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IF(ISNUMBER(D20),(C20-D20)*100,IF(ISNUMBER(G20),(C20-G20)*100,""))</f>
        <v/>
      </c>
      <c r="F20" s="93">
        <f>IF(ISNUMBER(IFERROR(INDEX($J$12:$T$82,MATCH(B20,INDEX($J$12:$T$82,0,$I$3),0),$I$4)*$I$5,"")),"BDS live",IF(ISNUMBER(G20),"manual paste","-"))</f>
        <v/>
      </c>
      <c r="G20" s="99">
        <f>IFERROR(INDEX($X$9:$X$40,MATCH(B20,$V$9:$V$40,0)),"")</f>
        <v/>
      </c>
      <c r="M20" s="80">
        <f>IFERROR(INDEX($Y$9:$Y$40,MATCH(B20,$V$9:$V$40,0)),"")</f>
        <v/>
      </c>
      <c r="N20" s="80">
        <f>IF(M20="","",Bootstrap!H20)</f>
        <v/>
      </c>
      <c r="O20" s="72">
        <f>IF(M20="","",N20-M20)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IF(ISNUMBER(D21),(C21-D21)*100,IF(ISNUMBER(G21),(C21-G21)*100,""))</f>
        <v/>
      </c>
      <c r="F21" s="93">
        <f>IF(ISNUMBER(IFERROR(INDEX($J$12:$T$82,MATCH(B21,INDEX($J$12:$T$82,0,$I$3),0),$I$4)*$I$5,"")),"BDS live",IF(ISNUMBER(G21),"manual paste","-"))</f>
        <v/>
      </c>
      <c r="G21" s="99">
        <f>IFERROR(INDEX($X$9:$X$40,MATCH(B21,$V$9:$V$40,0)),"")</f>
        <v/>
      </c>
      <c r="M21" s="80">
        <f>IFERROR(INDEX($Y$9:$Y$40,MATCH(B21,$V$9:$V$40,0)),"")</f>
        <v/>
      </c>
      <c r="N21" s="80">
        <f>IF(M21="","",Bootstrap!H21)</f>
        <v/>
      </c>
      <c r="O21" s="72">
        <f>IF(M21="","",N21-M21)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IF(ISNUMBER(D22),(C22-D22)*100,IF(ISNUMBER(G22),(C22-G22)*100,""))</f>
        <v/>
      </c>
      <c r="F22" s="93">
        <f>IF(ISNUMBER(IFERROR(INDEX($J$12:$T$82,MATCH(B22,INDEX($J$12:$T$82,0,$I$3),0),$I$4)*$I$5,"")),"BDS live",IF(ISNUMBER(G22),"manual paste","-"))</f>
        <v/>
      </c>
      <c r="G22" s="99">
        <f>IFERROR(INDEX($X$9:$X$40,MATCH(B22,$V$9:$V$40,0)),"")</f>
        <v/>
      </c>
      <c r="M22" s="80">
        <f>IFERROR(INDEX($Y$9:$Y$40,MATCH(B22,$V$9:$V$40,0)),"")</f>
        <v/>
      </c>
      <c r="N22" s="80">
        <f>IF(M22="","",Bootstrap!H22)</f>
        <v/>
      </c>
      <c r="O22" s="72">
        <f>IF(M22="","",N22-M22)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IF(ISNUMBER(D23),(C23-D23)*100,IF(ISNUMBER(G23),(C23-G23)*100,""))</f>
        <v/>
      </c>
      <c r="F23" s="93">
        <f>IF(ISNUMBER(IFERROR(INDEX($J$12:$T$82,MATCH(B23,INDEX($J$12:$T$82,0,$I$3),0),$I$4)*$I$5,"")),"BDS live",IF(ISNUMBER(G23),"manual paste","-"))</f>
        <v/>
      </c>
      <c r="G23" s="99">
        <f>IFERROR(INDEX($X$9:$X$40,MATCH(B23,$V$9:$V$40,0)),"")</f>
        <v/>
      </c>
      <c r="M23" s="80">
        <f>IFERROR(INDEX($Y$9:$Y$40,MATCH(B23,$V$9:$V$40,0)),"")</f>
        <v/>
      </c>
      <c r="N23" s="80">
        <f>IF(M23="","",Bootstrap!H23)</f>
        <v/>
      </c>
      <c r="O23" s="72">
        <f>IF(M23="","",N23-M23)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IF(ISNUMBER(D24),(C24-D24)*100,IF(ISNUMBER(G24),(C24-G24)*100,""))</f>
        <v/>
      </c>
      <c r="F24" s="93">
        <f>IF(ISNUMBER(IFERROR(INDEX($J$12:$T$82,MATCH(B24,INDEX($J$12:$T$82,0,$I$3),0),$I$4)*$I$5,"")),"BDS live",IF(ISNUMBER(G24),"manual paste","-"))</f>
        <v/>
      </c>
      <c r="G24" s="99">
        <f>IFERROR(INDEX($X$9:$X$40,MATCH(B24,$V$9:$V$40,0)),"")</f>
        <v/>
      </c>
      <c r="M24" s="80">
        <f>IFERROR(INDEX($Y$9:$Y$40,MATCH(B24,$V$9:$V$40,0)),"")</f>
        <v/>
      </c>
      <c r="N24" s="80">
        <f>IF(M24="","",Bootstrap!H24)</f>
        <v/>
      </c>
      <c r="O24" s="72">
        <f>IF(M24="","",N24-M24)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IF(ISNUMBER(D25),(C25-D25)*100,IF(ISNUMBER(G25),(C25-G25)*100,""))</f>
        <v/>
      </c>
      <c r="F25" s="93">
        <f>IF(ISNUMBER(IFERROR(INDEX($J$12:$T$82,MATCH(B25,INDEX($J$12:$T$82,0,$I$3),0),$I$4)*$I$5,"")),"BDS live",IF(ISNUMBER(G25),"manual paste","-"))</f>
        <v/>
      </c>
      <c r="G25" s="99">
        <f>IFERROR(INDEX($X$9:$X$40,MATCH(B25,$V$9:$V$40,0)),"")</f>
        <v/>
      </c>
      <c r="M25" s="80">
        <f>IFERROR(INDEX($Y$9:$Y$40,MATCH(B25,$V$9:$V$40,0)),"")</f>
        <v/>
      </c>
      <c r="N25" s="80">
        <f>IF(M25="","",Bootstrap!H25)</f>
        <v/>
      </c>
      <c r="O25" s="72">
        <f>IF(M25="","",N25-M25)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IF(ISNUMBER(D26),(C26-D26)*100,IF(ISNUMBER(G26),(C26-G26)*100,""))</f>
        <v/>
      </c>
      <c r="F26" s="93">
        <f>IF(ISNUMBER(IFERROR(INDEX($J$12:$T$82,MATCH(B26,INDEX($J$12:$T$82,0,$I$3),0),$I$4)*$I$5,"")),"BDS live",IF(ISNUMBER(G26),"manual paste","-"))</f>
        <v/>
      </c>
      <c r="G26" s="99">
        <f>IFERROR(INDEX($X$9:$X$40,MATCH(B26,$V$9:$V$40,0)),"")</f>
        <v/>
      </c>
      <c r="M26" s="80">
        <f>IFERROR(INDEX($Y$9:$Y$40,MATCH(B26,$V$9:$V$40,0)),"")</f>
        <v/>
      </c>
      <c r="N26" s="80">
        <f>IF(M26="","",Bootstrap!H26)</f>
        <v/>
      </c>
      <c r="O26" s="72">
        <f>IF(M26="","",N26-M26)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IF(ISNUMBER(D27),(C27-D27)*100,IF(ISNUMBER(G27),(C27-G27)*100,""))</f>
        <v/>
      </c>
      <c r="F27" s="93">
        <f>IF(ISNUMBER(IFERROR(INDEX($J$12:$T$82,MATCH(B27,INDEX($J$12:$T$82,0,$I$3),0),$I$4)*$I$5,"")),"BDS live",IF(ISNUMBER(G27),"manual paste","-"))</f>
        <v/>
      </c>
      <c r="G27" s="99">
        <f>IFERROR(INDEX($X$9:$X$40,MATCH(B27,$V$9:$V$40,0)),"")</f>
        <v/>
      </c>
      <c r="M27" s="80">
        <f>IFERROR(INDEX($Y$9:$Y$40,MATCH(B27,$V$9:$V$40,0)),"")</f>
        <v/>
      </c>
      <c r="N27" s="80">
        <f>IF(M27="","",Bootstrap!H27)</f>
        <v/>
      </c>
      <c r="O27" s="72">
        <f>IF(M27="","",N27-M27)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IF(ISNUMBER(D28),(C28-D28)*100,IF(ISNUMBER(G28),(C28-G28)*100,""))</f>
        <v/>
      </c>
      <c r="F28" s="93">
        <f>IF(ISNUMBER(IFERROR(INDEX($J$12:$T$82,MATCH(B28,INDEX($J$12:$T$82,0,$I$3),0),$I$4)*$I$5,"")),"BDS live",IF(ISNUMBER(G28),"manual paste","-"))</f>
        <v/>
      </c>
      <c r="G28" s="99">
        <f>IFERROR(INDEX($X$9:$X$40,MATCH(B28,$V$9:$V$40,0)),"")</f>
        <v/>
      </c>
      <c r="M28" s="80">
        <f>IFERROR(INDEX($Y$9:$Y$40,MATCH(B28,$V$9:$V$40,0)),"")</f>
        <v/>
      </c>
      <c r="N28" s="80">
        <f>IF(M28="","",Bootstrap!H28)</f>
        <v/>
      </c>
      <c r="O28" s="72">
        <f>IF(M28="","",N28-M28)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IF(ISNUMBER(D29),(C29-D29)*100,IF(ISNUMBER(G29),(C29-G29)*100,""))</f>
        <v/>
      </c>
      <c r="F29" s="93">
        <f>IF(ISNUMBER(IFERROR(INDEX($J$12:$T$82,MATCH(B29,INDEX($J$12:$T$82,0,$I$3),0),$I$4)*$I$5,"")),"BDS live",IF(ISNUMBER(G29),"manual paste","-"))</f>
        <v/>
      </c>
      <c r="G29" s="99">
        <f>IFERROR(INDEX($X$9:$X$40,MATCH(B29,$V$9:$V$40,0)),"")</f>
        <v/>
      </c>
      <c r="M29" s="80">
        <f>IFERROR(INDEX($Y$9:$Y$40,MATCH(B29,$V$9:$V$40,0)),"")</f>
        <v/>
      </c>
      <c r="N29" s="80">
        <f>IF(M29="","",Bootstrap!H29)</f>
        <v/>
      </c>
      <c r="O29" s="72">
        <f>IF(M29="","",N29-M29)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IF(ISNUMBER(D30),(C30-D30)*100,IF(ISNUMBER(G30),(C30-G30)*100,""))</f>
        <v/>
      </c>
      <c r="F30" s="93">
        <f>IF(ISNUMBER(IFERROR(INDEX($J$12:$T$82,MATCH(B30,INDEX($J$12:$T$82,0,$I$3),0),$I$4)*$I$5,"")),"BDS live",IF(ISNUMBER(G30),"manual paste","-"))</f>
        <v/>
      </c>
      <c r="G30" s="99">
        <f>IFERROR(INDEX($X$9:$X$40,MATCH(B30,$V$9:$V$40,0)),"")</f>
        <v/>
      </c>
      <c r="M30" s="80">
        <f>IFERROR(INDEX($Y$9:$Y$40,MATCH(B30,$V$9:$V$40,0)),"")</f>
        <v/>
      </c>
      <c r="N30" s="80">
        <f>IF(M30="","",Bootstrap!H30)</f>
        <v/>
      </c>
      <c r="O30" s="72">
        <f>IF(M30="","",N30-M30)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IF(ISNUMBER(D31),(C31-D31)*100,IF(ISNUMBER(G31),(C31-G31)*100,""))</f>
        <v/>
      </c>
      <c r="F31" s="93">
        <f>IF(ISNUMBER(IFERROR(INDEX($J$12:$T$82,MATCH(B31,INDEX($J$12:$T$82,0,$I$3),0),$I$4)*$I$5,"")),"BDS live",IF(ISNUMBER(G31),"manual paste","-"))</f>
        <v/>
      </c>
      <c r="G31" s="99">
        <f>IFERROR(INDEX($X$9:$X$40,MATCH(B31,$V$9:$V$40,0)),"")</f>
        <v/>
      </c>
      <c r="M31" s="80">
        <f>IFERROR(INDEX($Y$9:$Y$40,MATCH(B31,$V$9:$V$40,0)),"")</f>
        <v/>
      </c>
      <c r="N31" s="80">
        <f>IF(M31="","",Bootstrap!H31)</f>
        <v/>
      </c>
      <c r="O31" s="72">
        <f>IF(M31="","",N31-M31)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IF(ISNUMBER(D32),(C32-D32)*100,IF(ISNUMBER(G32),(C32-G32)*100,""))</f>
        <v/>
      </c>
      <c r="F32" s="93">
        <f>IF(ISNUMBER(IFERROR(INDEX($J$12:$T$82,MATCH(B32,INDEX($J$12:$T$82,0,$I$3),0),$I$4)*$I$5,"")),"BDS live",IF(ISNUMBER(G32),"manual paste","-"))</f>
        <v/>
      </c>
      <c r="G32" s="99">
        <f>IFERROR(INDEX($X$9:$X$40,MATCH(B32,$V$9:$V$40,0)),"")</f>
        <v/>
      </c>
      <c r="M32" s="80">
        <f>IFERROR(INDEX($Y$9:$Y$40,MATCH(B32,$V$9:$V$40,0)),"")</f>
        <v/>
      </c>
      <c r="N32" s="80">
        <f>IF(M32="","",Bootstrap!H32)</f>
        <v/>
      </c>
      <c r="O32" s="72">
        <f>IF(M32="","",N32-M32)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IF(ISNUMBER(D33),(C33-D33)*100,IF(ISNUMBER(G33),(C33-G33)*100,""))</f>
        <v/>
      </c>
      <c r="F33" s="93">
        <f>IF(ISNUMBER(IFERROR(INDEX($J$12:$T$82,MATCH(B33,INDEX($J$12:$T$82,0,$I$3),0),$I$4)*$I$5,"")),"BDS live",IF(ISNUMBER(G33),"manual paste","-"))</f>
        <v/>
      </c>
      <c r="G33" s="99">
        <f>IFERROR(INDEX($X$9:$X$40,MATCH(B33,$V$9:$V$40,0)),"")</f>
        <v/>
      </c>
      <c r="M33" s="80">
        <f>IFERROR(INDEX($Y$9:$Y$40,MATCH(B33,$V$9:$V$40,0)),"")</f>
        <v/>
      </c>
      <c r="N33" s="80">
        <f>IF(M33="","",Bootstrap!H33)</f>
        <v/>
      </c>
      <c r="O33" s="72">
        <f>IF(M33="","",N33-M33)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IF(ISNUMBER(D34),(C34-D34)*100,IF(ISNUMBER(G34),(C34-G34)*100,""))</f>
        <v/>
      </c>
      <c r="F34" s="93">
        <f>IF(ISNUMBER(IFERROR(INDEX($J$12:$T$82,MATCH(B34,INDEX($J$12:$T$82,0,$I$3),0),$I$4)*$I$5,"")),"BDS live",IF(ISNUMBER(G34),"manual paste","-"))</f>
        <v/>
      </c>
      <c r="G34" s="99">
        <f>IFERROR(INDEX($X$9:$X$40,MATCH(B34,$V$9:$V$40,0)),"")</f>
        <v/>
      </c>
      <c r="M34" s="80">
        <f>IFERROR(INDEX($Y$9:$Y$40,MATCH(B34,$V$9:$V$40,0)),"")</f>
        <v/>
      </c>
      <c r="N34" s="80">
        <f>IF(M34="","",Bootstrap!H34)</f>
        <v/>
      </c>
      <c r="O34" s="72">
        <f>IF(M34="","",N34-M34)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IF(ISNUMBER(D35),(C35-D35)*100,IF(ISNUMBER(G35),(C35-G35)*100,""))</f>
        <v/>
      </c>
      <c r="F35" s="93">
        <f>IF(ISNUMBER(IFERROR(INDEX($J$12:$T$82,MATCH(B35,INDEX($J$12:$T$82,0,$I$3),0),$I$4)*$I$5,"")),"BDS live",IF(ISNUMBER(G35),"manual paste","-"))</f>
        <v/>
      </c>
      <c r="G35" s="99">
        <f>IFERROR(INDEX($X$9:$X$40,MATCH(B35,$V$9:$V$40,0)),"")</f>
        <v/>
      </c>
      <c r="M35" s="80">
        <f>IFERROR(INDEX($Y$9:$Y$40,MATCH(B35,$V$9:$V$40,0)),"")</f>
        <v/>
      </c>
      <c r="N35" s="80">
        <f>IF(M35="","",Bootstrap!H35)</f>
        <v/>
      </c>
      <c r="O35" s="72">
        <f>IF(M35="","",N35-M35)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IF(ISNUMBER(D36),(C36-D36)*100,IF(ISNUMBER(G36),(C36-G36)*100,""))</f>
        <v/>
      </c>
      <c r="F36" s="93">
        <f>IF(ISNUMBER(IFERROR(INDEX($J$12:$T$82,MATCH(B36,INDEX($J$12:$T$82,0,$I$3),0),$I$4)*$I$5,"")),"BDS live",IF(ISNUMBER(G36),"manual paste","-"))</f>
        <v/>
      </c>
      <c r="G36" s="99">
        <f>IFERROR(INDEX($X$9:$X$40,MATCH(B36,$V$9:$V$40,0)),"")</f>
        <v/>
      </c>
      <c r="M36" s="80">
        <f>IFERROR(INDEX($Y$9:$Y$40,MATCH(B36,$V$9:$V$40,0)),"")</f>
        <v/>
      </c>
      <c r="N36" s="80">
        <f>IF(M36="","",Bootstrap!H36)</f>
        <v/>
      </c>
      <c r="O36" s="72">
        <f>IF(M36="","",N36-M36)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IF(ISNUMBER(D37),(C37-D37)*100,IF(ISNUMBER(G37),(C37-G37)*100,""))</f>
        <v/>
      </c>
      <c r="F37" s="93">
        <f>IF(ISNUMBER(IFERROR(INDEX($J$12:$T$82,MATCH(B37,INDEX($J$12:$T$82,0,$I$3),0),$I$4)*$I$5,"")),"BDS live",IF(ISNUMBER(G37),"manual paste","-"))</f>
        <v/>
      </c>
      <c r="G37" s="99">
        <f>IFERROR(INDEX($X$9:$X$40,MATCH(B37,$V$9:$V$40,0)),"")</f>
        <v/>
      </c>
      <c r="M37" s="80">
        <f>IFERROR(INDEX($Y$9:$Y$40,MATCH(B37,$V$9:$V$40,0)),"")</f>
        <v/>
      </c>
      <c r="N37" s="80">
        <f>IF(M37="","",Bootstrap!H37)</f>
        <v/>
      </c>
      <c r="O37" s="72">
        <f>IF(M37="","",N37-M37)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IF(ISNUMBER(D38),(C38-D38)*100,IF(ISNUMBER(G38),(C38-G38)*100,""))</f>
        <v/>
      </c>
      <c r="F38" s="93">
        <f>IF(ISNUMBER(IFERROR(INDEX($J$12:$T$82,MATCH(B38,INDEX($J$12:$T$82,0,$I$3),0),$I$4)*$I$5,"")),"BDS live",IF(ISNUMBER(G38),"manual paste","-"))</f>
        <v/>
      </c>
      <c r="G38" s="99">
        <f>IFERROR(INDEX($X$9:$X$40,MATCH(B38,$V$9:$V$40,0)),"")</f>
        <v/>
      </c>
      <c r="M38" s="80">
        <f>IFERROR(INDEX($Y$9:$Y$40,MATCH(B38,$V$9:$V$40,0)),"")</f>
        <v/>
      </c>
      <c r="N38" s="80">
        <f>IF(M38="","",Bootstrap!H38)</f>
        <v/>
      </c>
      <c r="O38" s="72">
        <f>IF(M38="","",N38-M38)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IF(ISNUMBER(D39),(C39-D39)*100,IF(ISNUMBER(G39),(C39-G39)*100,""))</f>
        <v/>
      </c>
      <c r="F39" s="93">
        <f>IF(ISNUMBER(IFERROR(INDEX($J$12:$T$82,MATCH(B39,INDEX($J$12:$T$82,0,$I$3),0),$I$4)*$I$5,"")),"BDS live",IF(ISNUMBER(G39),"manual paste","-"))</f>
        <v/>
      </c>
      <c r="G39" s="99">
        <f>IFERROR(INDEX($X$9:$X$40,MATCH(B39,$V$9:$V$40,0)),"")</f>
        <v/>
      </c>
      <c r="M39" s="80">
        <f>IFERROR(INDEX($Y$9:$Y$40,MATCH(B39,$V$9:$V$40,0)),"")</f>
        <v/>
      </c>
      <c r="N39" s="80">
        <f>IF(M39="","",Bootstrap!H39)</f>
        <v/>
      </c>
      <c r="O39" s="72">
        <f>IF(M39="","",N39-M39)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IF(ISNUMBER(D40),(C40-D40)*100,IF(ISNUMBER(G40),(C40-G40)*100,""))</f>
        <v/>
      </c>
      <c r="F40" s="93">
        <f>IF(ISNUMBER(IFERROR(INDEX($J$12:$T$82,MATCH(B40,INDEX($J$12:$T$82,0,$I$3),0),$I$4)*$I$5,"")),"BDS live",IF(ISNUMBER(G40),"manual paste","-"))</f>
        <v/>
      </c>
      <c r="G40" s="99">
        <f>IFERROR(INDEX($X$9:$X$40,MATCH(B40,$V$9:$V$40,0)),"")</f>
        <v/>
      </c>
      <c r="M40" s="80">
        <f>IFERROR(INDEX($Y$9:$Y$40,MATCH(B40,$V$9:$V$40,0)),"")</f>
        <v/>
      </c>
      <c r="N40" s="80">
        <f>IF(M40="","",Bootstrap!H40)</f>
        <v/>
      </c>
      <c r="O40" s="72">
        <f>IF(M40="","",N40-M40)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IF(ISNUMBER(D41),(C41-D41)*100,IF(ISNUMBER(G41),(C41-G41)*100,""))</f>
        <v/>
      </c>
      <c r="F41" s="93">
        <f>IF(ISNUMBER(IFERROR(INDEX($J$12:$T$82,MATCH(B41,INDEX($J$12:$T$82,0,$I$3),0),$I$4)*$I$5,"")),"BDS live",IF(ISNUMBER(G41),"manual paste","-"))</f>
        <v/>
      </c>
      <c r="G41" s="99">
        <f>IFERROR(INDEX($X$9:$X$40,MATCH(B41,$V$9:$V$40,0)),"")</f>
        <v/>
      </c>
      <c r="M41" s="80">
        <f>IFERROR(INDEX($Y$9:$Y$40,MATCH(B41,$V$9:$V$40,0)),"")</f>
        <v/>
      </c>
      <c r="N41" s="80">
        <f>IF(M41="","",Bootstrap!H41)</f>
        <v/>
      </c>
      <c r="O41" s="72">
        <f>IF(M41="","",N41-M41)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IF(ISNUMBER(D42),(C42-D42)*100,IF(ISNUMBER(G42),(C42-G42)*100,""))</f>
        <v/>
      </c>
      <c r="F42" s="93">
        <f>IF(ISNUMBER(IFERROR(INDEX($J$12:$T$82,MATCH(B42,INDEX($J$12:$T$82,0,$I$3),0),$I$4)*$I$5,"")),"BDS live",IF(ISNUMBER(G42),"manual paste","-"))</f>
        <v/>
      </c>
      <c r="G42" s="99">
        <f>IFERROR(INDEX($X$9:$X$40,MATCH(B42,$V$9:$V$40,0)),"")</f>
        <v/>
      </c>
      <c r="M42" s="80">
        <f>IFERROR(INDEX($Y$9:$Y$40,MATCH(B42,$V$9:$V$40,0)),"")</f>
        <v/>
      </c>
      <c r="N42" s="80">
        <f>IF(M42="","",Bootstrap!H42)</f>
        <v/>
      </c>
      <c r="O42" s="72">
        <f>IF(M42="","",N42-M42)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IF(ISNUMBER(D43),(C43-D43)*100,IF(ISNUMBER(G43),(C43-G43)*100,""))</f>
        <v/>
      </c>
      <c r="F43" s="93">
        <f>IF(ISNUMBER(IFERROR(INDEX($J$12:$T$82,MATCH(B43,INDEX($J$12:$T$82,0,$I$3),0),$I$4)*$I$5,"")),"BDS live",IF(ISNUMBER(G43),"manual paste","-"))</f>
        <v/>
      </c>
      <c r="G43" s="99">
        <f>IFERROR(INDEX($X$9:$X$40,MATCH(B43,$V$9:$V$40,0)),"")</f>
        <v/>
      </c>
      <c r="M43" s="80">
        <f>IFERROR(INDEX($Y$9:$Y$40,MATCH(B43,$V$9:$V$40,0)),"")</f>
        <v/>
      </c>
      <c r="N43" s="80">
        <f>IF(M43="","",Bootstrap!H43)</f>
        <v/>
      </c>
      <c r="O43" s="72">
        <f>IF(M43="","",N43-M43)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IF(ISNUMBER(D44),(C44-D44)*100,IF(ISNUMBER(G44),(C44-G44)*100,""))</f>
        <v/>
      </c>
      <c r="F44" s="93">
        <f>IF(ISNUMBER(IFERROR(INDEX($J$12:$T$82,MATCH(B44,INDEX($J$12:$T$82,0,$I$3),0),$I$4)*$I$5,"")),"BDS live",IF(ISNUMBER(G44),"manual paste","-"))</f>
        <v/>
      </c>
      <c r="G44" s="99">
        <f>IFERROR(INDEX($X$9:$X$40,MATCH(B44,$V$9:$V$40,0)),"")</f>
        <v/>
      </c>
      <c r="M44" s="80">
        <f>IFERROR(INDEX($Y$9:$Y$40,MATCH(B44,$V$9:$V$40,0)),"")</f>
        <v/>
      </c>
      <c r="N44" s="80">
        <f>IF(M44="","",Bootstrap!H44)</f>
        <v/>
      </c>
      <c r="O44" s="72">
        <f>IF(M44="","",N44-M44)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IF(ISNUMBER(D45),(C45-D45)*100,IF(ISNUMBER(G45),(C45-G45)*100,""))</f>
        <v/>
      </c>
      <c r="F45" s="93">
        <f>IF(ISNUMBER(IFERROR(INDEX($J$12:$T$82,MATCH(B45,INDEX($J$12:$T$82,0,$I$3),0),$I$4)*$I$5,"")),"BDS live",IF(ISNUMBER(G45),"manual paste","-"))</f>
        <v/>
      </c>
      <c r="G45" s="99">
        <f>IFERROR(INDEX($X$9:$X$40,MATCH(B45,$V$9:$V$40,0)),"")</f>
        <v/>
      </c>
      <c r="M45" s="80">
        <f>IFERROR(INDEX($Y$9:$Y$40,MATCH(B45,$V$9:$V$40,0)),"")</f>
        <v/>
      </c>
      <c r="N45" s="80">
        <f>IF(M45="","",Bootstrap!H45)</f>
        <v/>
      </c>
      <c r="O45" s="72">
        <f>IF(M45="","",N45-M45)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IF(ISNUMBER(D46),(C46-D46)*100,IF(ISNUMBER(G46),(C46-G46)*100,""))</f>
        <v/>
      </c>
      <c r="F46" s="93">
        <f>IF(ISNUMBER(IFERROR(INDEX($J$12:$T$82,MATCH(B46,INDEX($J$12:$T$82,0,$I$3),0),$I$4)*$I$5,"")),"BDS live",IF(ISNUMBER(G46),"manual paste","-"))</f>
        <v/>
      </c>
      <c r="G46" s="99">
        <f>IFERROR(INDEX($X$9:$X$40,MATCH(B46,$V$9:$V$40,0)),"")</f>
        <v/>
      </c>
      <c r="M46" s="80">
        <f>IFERROR(INDEX($Y$9:$Y$40,MATCH(B46,$V$9:$V$40,0)),"")</f>
        <v/>
      </c>
      <c r="N46" s="80">
        <f>IF(M46="","",Bootstrap!H46)</f>
        <v/>
      </c>
      <c r="O46" s="72">
        <f>IF(M46="","",N46-M46)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IF(ISNUMBER(D47),(C47-D47)*100,IF(ISNUMBER(G47),(C47-G47)*100,""))</f>
        <v/>
      </c>
      <c r="F47" s="93">
        <f>IF(ISNUMBER(IFERROR(INDEX($J$12:$T$82,MATCH(B47,INDEX($J$12:$T$82,0,$I$3),0),$I$4)*$I$5,"")),"BDS live",IF(ISNUMBER(G47),"manual paste","-"))</f>
        <v/>
      </c>
      <c r="G47" s="99">
        <f>IFERROR(INDEX($X$9:$X$40,MATCH(B47,$V$9:$V$40,0)),"")</f>
        <v/>
      </c>
      <c r="M47" s="80">
        <f>IFERROR(INDEX($Y$9:$Y$40,MATCH(B47,$V$9:$V$40,0)),"")</f>
        <v/>
      </c>
      <c r="N47" s="80">
        <f>IF(M47="","",Bootstrap!H47)</f>
        <v/>
      </c>
      <c r="O47" s="72">
        <f>IF(M47="","",N47-M47)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IF(ISNUMBER(D48),(C48-D48)*100,IF(ISNUMBER(G48),(C48-G48)*100,""))</f>
        <v/>
      </c>
      <c r="F48" s="93">
        <f>IF(ISNUMBER(IFERROR(INDEX($J$12:$T$82,MATCH(B48,INDEX($J$12:$T$82,0,$I$3),0),$I$4)*$I$5,"")),"BDS live",IF(ISNUMBER(G48),"manual paste","-"))</f>
        <v/>
      </c>
      <c r="G48" s="99">
        <f>IFERROR(INDEX($X$9:$X$40,MATCH(B48,$V$9:$V$40,0)),"")</f>
        <v/>
      </c>
      <c r="M48" s="80">
        <f>IFERROR(INDEX($Y$9:$Y$40,MATCH(B48,$V$9:$V$40,0)),"")</f>
        <v/>
      </c>
      <c r="N48" s="80">
        <f>IF(M48="","",Bootstrap!H48)</f>
        <v/>
      </c>
      <c r="O48" s="72">
        <f>IF(M48="","",N48-M48)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IF(ISNUMBER(D49),(C49-D49)*100,IF(ISNUMBER(G49),(C49-G49)*100,""))</f>
        <v/>
      </c>
      <c r="F49" s="93">
        <f>IF(ISNUMBER(IFERROR(INDEX($J$12:$T$82,MATCH(B49,INDEX($J$12:$T$82,0,$I$3),0),$I$4)*$I$5,"")),"BDS live",IF(ISNUMBER(G49),"manual paste","-"))</f>
        <v/>
      </c>
      <c r="G49" s="99">
        <f>IFERROR(INDEX($X$9:$X$40,MATCH(B49,$V$9:$V$40,0)),"")</f>
        <v/>
      </c>
      <c r="M49" s="80">
        <f>IFERROR(INDEX($Y$9:$Y$40,MATCH(B49,$V$9:$V$40,0)),"")</f>
        <v/>
      </c>
      <c r="N49" s="80">
        <f>IF(M49="","",Bootstrap!H49)</f>
        <v/>
      </c>
      <c r="O49" s="72">
        <f>IF(M49="","",N49-M49)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IF(ISNUMBER(D50),(C50-D50)*100,IF(ISNUMBER(G50),(C50-G50)*100,""))</f>
        <v/>
      </c>
      <c r="F50" s="93">
        <f>IF(ISNUMBER(IFERROR(INDEX($J$12:$T$82,MATCH(B50,INDEX($J$12:$T$82,0,$I$3),0),$I$4)*$I$5,"")),"BDS live",IF(ISNUMBER(G50),"manual paste","-"))</f>
        <v/>
      </c>
      <c r="G50" s="99">
        <f>IFERROR(INDEX($X$9:$X$40,MATCH(B50,$V$9:$V$40,0)),"")</f>
        <v/>
      </c>
      <c r="M50" s="80">
        <f>IFERROR(INDEX($Y$9:$Y$40,MATCH(B50,$V$9:$V$40,0)),"")</f>
        <v/>
      </c>
      <c r="N50" s="80">
        <f>IF(M50="","",Bootstrap!H50)</f>
        <v/>
      </c>
      <c r="O50" s="72">
        <f>IF(M50="","",N50-M50)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IF(ISNUMBER(D51),(C51-D51)*100,IF(ISNUMBER(G51),(C51-G51)*100,""))</f>
        <v/>
      </c>
      <c r="F51" s="93">
        <f>IF(ISNUMBER(IFERROR(INDEX($J$12:$T$82,MATCH(B51,INDEX($J$12:$T$82,0,$I$3),0),$I$4)*$I$5,"")),"BDS live",IF(ISNUMBER(G51),"manual paste","-"))</f>
        <v/>
      </c>
      <c r="G51" s="99">
        <f>IFERROR(INDEX($X$9:$X$40,MATCH(B51,$V$9:$V$40,0)),"")</f>
        <v/>
      </c>
      <c r="M51" s="80">
        <f>IFERROR(INDEX($Y$9:$Y$40,MATCH(B51,$V$9:$V$40,0)),"")</f>
        <v/>
      </c>
      <c r="N51" s="80">
        <f>IF(M51="","",Bootstrap!H51)</f>
        <v/>
      </c>
      <c r="O51" s="72">
        <f>IF(M51="","",N51-M51)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IF(ISNUMBER(D52),(C52-D52)*100,IF(ISNUMBER(G52),(C52-G52)*100,""))</f>
        <v/>
      </c>
      <c r="F52" s="93">
        <f>IF(ISNUMBER(IFERROR(INDEX($J$12:$T$82,MATCH(B52,INDEX($J$12:$T$82,0,$I$3),0),$I$4)*$I$5,"")),"BDS live",IF(ISNUMBER(G52),"manual paste","-"))</f>
        <v/>
      </c>
      <c r="G52" s="99">
        <f>IFERROR(INDEX($X$9:$X$40,MATCH(B52,$V$9:$V$40,0)),"")</f>
        <v/>
      </c>
      <c r="M52" s="80">
        <f>IFERROR(INDEX($Y$9:$Y$40,MATCH(B52,$V$9:$V$40,0)),"")</f>
        <v/>
      </c>
      <c r="N52" s="80">
        <f>IF(M52="","",Bootstrap!H52)</f>
        <v/>
      </c>
      <c r="O52" s="72">
        <f>IF(M52="","",N52-M52)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IF(ISNUMBER(D53),(C53-D53)*100,IF(ISNUMBER(G53),(C53-G53)*100,""))</f>
        <v/>
      </c>
      <c r="F53" s="93">
        <f>IF(ISNUMBER(IFERROR(INDEX($J$12:$T$82,MATCH(B53,INDEX($J$12:$T$82,0,$I$3),0),$I$4)*$I$5,"")),"BDS live",IF(ISNUMBER(G53),"manual paste","-"))</f>
        <v/>
      </c>
      <c r="G53" s="99">
        <f>IFERROR(INDEX($X$9:$X$40,MATCH(B53,$V$9:$V$40,0)),"")</f>
        <v/>
      </c>
      <c r="M53" s="80">
        <f>IFERROR(INDEX($Y$9:$Y$40,MATCH(B53,$V$9:$V$40,0)),"")</f>
        <v/>
      </c>
      <c r="N53" s="80">
        <f>IF(M53="","",Bootstrap!H53)</f>
        <v/>
      </c>
      <c r="O53" s="72">
        <f>IF(M53="","",N53-M53)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IF(ISNUMBER(D54),(C54-D54)*100,IF(ISNUMBER(G54),(C54-G54)*100,""))</f>
        <v/>
      </c>
      <c r="F54" s="93">
        <f>IF(ISNUMBER(IFERROR(INDEX($J$12:$T$82,MATCH(B54,INDEX($J$12:$T$82,0,$I$3),0),$I$4)*$I$5,"")),"BDS live",IF(ISNUMBER(G54),"manual paste","-"))</f>
        <v/>
      </c>
      <c r="G54" s="99">
        <f>IFERROR(INDEX($X$9:$X$40,MATCH(B54,$V$9:$V$40,0)),"")</f>
        <v/>
      </c>
      <c r="M54" s="80">
        <f>IFERROR(INDEX($Y$9:$Y$40,MATCH(B54,$V$9:$V$40,0)),"")</f>
        <v/>
      </c>
      <c r="N54" s="80">
        <f>IF(M54="","",Bootstrap!H54)</f>
        <v/>
      </c>
      <c r="O54" s="72">
        <f>IF(M54="","",N54-M54)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IF(ISNUMBER(D55),(C55-D55)*100,IF(ISNUMBER(G55),(C55-G55)*100,""))</f>
        <v/>
      </c>
      <c r="F55" s="93">
        <f>IF(ISNUMBER(IFERROR(INDEX($J$12:$T$82,MATCH(B55,INDEX($J$12:$T$82,0,$I$3),0),$I$4)*$I$5,"")),"BDS live",IF(ISNUMBER(G55),"manual paste","-"))</f>
        <v/>
      </c>
      <c r="G55" s="99">
        <f>IFERROR(INDEX($X$9:$X$40,MATCH(B55,$V$9:$V$40,0)),"")</f>
        <v/>
      </c>
      <c r="M55" s="80">
        <f>IFERROR(INDEX($Y$9:$Y$40,MATCH(B55,$V$9:$V$40,0)),"")</f>
        <v/>
      </c>
      <c r="N55" s="80">
        <f>IF(M55="","",Bootstrap!H55)</f>
        <v/>
      </c>
      <c r="O55" s="72">
        <f>IF(M55="","",N55-M55)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IF(ISNUMBER(D56),(C56-D56)*100,IF(ISNUMBER(G56),(C56-G56)*100,""))</f>
        <v/>
      </c>
      <c r="F56" s="93">
        <f>IF(ISNUMBER(IFERROR(INDEX($J$12:$T$82,MATCH(B56,INDEX($J$12:$T$82,0,$I$3),0),$I$4)*$I$5,"")),"BDS live",IF(ISNUMBER(G56),"manual paste","-"))</f>
        <v/>
      </c>
      <c r="G56" s="99">
        <f>IFERROR(INDEX($X$9:$X$40,MATCH(B56,$V$9:$V$40,0)),"")</f>
        <v/>
      </c>
      <c r="M56" s="80">
        <f>IFERROR(INDEX($Y$9:$Y$40,MATCH(B56,$V$9:$V$40,0)),"")</f>
        <v/>
      </c>
      <c r="N56" s="80">
        <f>IF(M56="","",Bootstrap!H56)</f>
        <v/>
      </c>
      <c r="O56" s="72">
        <f>IF(M56="","",N56-M56)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IF(ISNUMBER(D57),(C57-D57)*100,IF(ISNUMBER(G57),(C57-G57)*100,""))</f>
        <v/>
      </c>
      <c r="F57" s="93">
        <f>IF(ISNUMBER(IFERROR(INDEX($J$12:$T$82,MATCH(B57,INDEX($J$12:$T$82,0,$I$3),0),$I$4)*$I$5,"")),"BDS live",IF(ISNUMBER(G57),"manual paste","-"))</f>
        <v/>
      </c>
      <c r="G57" s="99">
        <f>IFERROR(INDEX($X$9:$X$40,MATCH(B57,$V$9:$V$40,0)),"")</f>
        <v/>
      </c>
      <c r="M57" s="80">
        <f>IFERROR(INDEX($Y$9:$Y$40,MATCH(B57,$V$9:$V$40,0)),"")</f>
        <v/>
      </c>
      <c r="N57" s="80">
        <f>IF(M57="","",Bootstrap!H57)</f>
        <v/>
      </c>
      <c r="O57" s="72">
        <f>IF(M57="","",N57-M57)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IF(ISNUMBER(D58),(C58-D58)*100,IF(ISNUMBER(G58),(C58-G58)*100,""))</f>
        <v/>
      </c>
      <c r="F58" s="93">
        <f>IF(ISNUMBER(IFERROR(INDEX($J$12:$T$82,MATCH(B58,INDEX($J$12:$T$82,0,$I$3),0),$I$4)*$I$5,"")),"BDS live",IF(ISNUMBER(G58),"manual paste","-"))</f>
        <v/>
      </c>
      <c r="G58" s="99">
        <f>IFERROR(INDEX($X$9:$X$40,MATCH(B58,$V$9:$V$40,0)),"")</f>
        <v/>
      </c>
      <c r="M58" s="80">
        <f>IFERROR(INDEX($Y$9:$Y$40,MATCH(B58,$V$9:$V$40,0)),"")</f>
        <v/>
      </c>
      <c r="N58" s="80">
        <f>IF(M58="","",Bootstrap!H58)</f>
        <v/>
      </c>
      <c r="O58" s="72">
        <f>IF(M58="","",N58-M58)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IF(ISNUMBER(D59),(C59-D59)*100,IF(ISNUMBER(G59),(C59-G59)*100,""))</f>
        <v/>
      </c>
      <c r="F59" s="93">
        <f>IF(ISNUMBER(IFERROR(INDEX($J$12:$T$82,MATCH(B59,INDEX($J$12:$T$82,0,$I$3),0),$I$4)*$I$5,"")),"BDS live",IF(ISNUMBER(G59),"manual paste","-"))</f>
        <v/>
      </c>
      <c r="G59" s="99">
        <f>IFERROR(INDEX($X$9:$X$40,MATCH(B59,$V$9:$V$40,0)),"")</f>
        <v/>
      </c>
      <c r="M59" s="80">
        <f>IFERROR(INDEX($Y$9:$Y$40,MATCH(B59,$V$9:$V$40,0)),"")</f>
        <v/>
      </c>
      <c r="N59" s="80">
        <f>IF(M59="","",Bootstrap!H59)</f>
        <v/>
      </c>
      <c r="O59" s="72">
        <f>IF(M59="","",N59-M59)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IF(ISNUMBER(D60),(C60-D60)*100,IF(ISNUMBER(G60),(C60-G60)*100,""))</f>
        <v/>
      </c>
      <c r="F60" s="93">
        <f>IF(ISNUMBER(IFERROR(INDEX($J$12:$T$82,MATCH(B60,INDEX($J$12:$T$82,0,$I$3),0),$I$4)*$I$5,"")),"BDS live",IF(ISNUMBER(G60),"manual paste","-"))</f>
        <v/>
      </c>
      <c r="G60" s="99">
        <f>IFERROR(INDEX($X$9:$X$40,MATCH(B60,$V$9:$V$40,0)),"")</f>
        <v/>
      </c>
      <c r="M60" s="80">
        <f>IFERROR(INDEX($Y$9:$Y$40,MATCH(B60,$V$9:$V$40,0)),"")</f>
        <v/>
      </c>
      <c r="N60" s="80">
        <f>IF(M60="","",Bootstrap!H60)</f>
        <v/>
      </c>
      <c r="O60" s="72">
        <f>IF(M60="","",N60-M60)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IF(ISNUMBER(D61),(C61-D61)*100,IF(ISNUMBER(G61),(C61-G61)*100,""))</f>
        <v/>
      </c>
      <c r="F61" s="93">
        <f>IF(ISNUMBER(IFERROR(INDEX($J$12:$T$82,MATCH(B61,INDEX($J$12:$T$82,0,$I$3),0),$I$4)*$I$5,"")),"BDS live",IF(ISNUMBER(G61),"manual paste","-"))</f>
        <v/>
      </c>
      <c r="G61" s="99">
        <f>IFERROR(INDEX($X$9:$X$40,MATCH(B61,$V$9:$V$40,0)),"")</f>
        <v/>
      </c>
      <c r="M61" s="80">
        <f>IFERROR(INDEX($Y$9:$Y$40,MATCH(B61,$V$9:$V$40,0)),"")</f>
        <v/>
      </c>
      <c r="N61" s="80">
        <f>IF(M61="","",Bootstrap!H61)</f>
        <v/>
      </c>
      <c r="O61" s="72">
        <f>IF(M61="","",N61-M61)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IF(ISNUMBER(D62),(C62-D62)*100,IF(ISNUMBER(G62),(C62-G62)*100,""))</f>
        <v/>
      </c>
      <c r="F62" s="93">
        <f>IF(ISNUMBER(IFERROR(INDEX($J$12:$T$82,MATCH(B62,INDEX($J$12:$T$82,0,$I$3),0),$I$4)*$I$5,"")),"BDS live",IF(ISNUMBER(G62),"manual paste","-"))</f>
        <v/>
      </c>
      <c r="G62" s="99">
        <f>IFERROR(INDEX($X$9:$X$40,MATCH(B62,$V$9:$V$40,0)),"")</f>
        <v/>
      </c>
      <c r="M62" s="80">
        <f>IFERROR(INDEX($Y$9:$Y$40,MATCH(B62,$V$9:$V$40,0)),"")</f>
        <v/>
      </c>
      <c r="N62" s="80">
        <f>IF(M62="","",Bootstrap!H62)</f>
        <v/>
      </c>
      <c r="O62" s="72">
        <f>IF(M62="","",N62-M62)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IF(ISNUMBER(D63),(C63-D63)*100,IF(ISNUMBER(G63),(C63-G63)*100,""))</f>
        <v/>
      </c>
      <c r="F63" s="93">
        <f>IF(ISNUMBER(IFERROR(INDEX($J$12:$T$82,MATCH(B63,INDEX($J$12:$T$82,0,$I$3),0),$I$4)*$I$5,"")),"BDS live",IF(ISNUMBER(G63),"manual paste","-"))</f>
        <v/>
      </c>
      <c r="G63" s="99">
        <f>IFERROR(INDEX($X$9:$X$40,MATCH(B63,$V$9:$V$40,0)),"")</f>
        <v/>
      </c>
      <c r="M63" s="80">
        <f>IFERROR(INDEX($Y$9:$Y$40,MATCH(B63,$V$9:$V$40,0)),"")</f>
        <v/>
      </c>
      <c r="N63" s="80">
        <f>IF(M63="","",Bootstrap!H63)</f>
        <v/>
      </c>
      <c r="O63" s="72">
        <f>IF(M63="","",N63-M63)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IF(ISNUMBER(D64),(C64-D64)*100,IF(ISNUMBER(G64),(C64-G64)*100,""))</f>
        <v/>
      </c>
      <c r="F64" s="93">
        <f>IF(ISNUMBER(IFERROR(INDEX($J$12:$T$82,MATCH(B64,INDEX($J$12:$T$82,0,$I$3),0),$I$4)*$I$5,"")),"BDS live",IF(ISNUMBER(G64),"manual paste","-"))</f>
        <v/>
      </c>
      <c r="G64" s="99">
        <f>IFERROR(INDEX($X$9:$X$40,MATCH(B64,$V$9:$V$40,0)),"")</f>
        <v/>
      </c>
      <c r="M64" s="80">
        <f>IFERROR(INDEX($Y$9:$Y$40,MATCH(B64,$V$9:$V$40,0)),"")</f>
        <v/>
      </c>
      <c r="N64" s="80">
        <f>IF(M64="","",Bootstrap!H64)</f>
        <v/>
      </c>
      <c r="O64" s="72">
        <f>IF(M64="","",N64-M64)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IF(ISNUMBER(D65),(C65-D65)*100,IF(ISNUMBER(G65),(C65-G65)*100,""))</f>
        <v/>
      </c>
      <c r="F65" s="93">
        <f>IF(ISNUMBER(IFERROR(INDEX($J$12:$T$82,MATCH(B65,INDEX($J$12:$T$82,0,$I$3),0),$I$4)*$I$5,"")),"BDS live",IF(ISNUMBER(G65),"manual paste","-"))</f>
        <v/>
      </c>
      <c r="G65" s="99">
        <f>IFERROR(INDEX($X$9:$X$40,MATCH(B65,$V$9:$V$40,0)),"")</f>
        <v/>
      </c>
      <c r="M65" s="80">
        <f>IFERROR(INDEX($Y$9:$Y$40,MATCH(B65,$V$9:$V$40,0)),"")</f>
        <v/>
      </c>
      <c r="N65" s="80">
        <f>IF(M65="","",Bootstrap!H65)</f>
        <v/>
      </c>
      <c r="O65" s="72">
        <f>IF(M65="","",N65-M65)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IF(ISNUMBER(D66),(C66-D66)*100,IF(ISNUMBER(G66),(C66-G66)*100,""))</f>
        <v/>
      </c>
      <c r="F66" s="93">
        <f>IF(ISNUMBER(IFERROR(INDEX($J$12:$T$82,MATCH(B66,INDEX($J$12:$T$82,0,$I$3),0),$I$4)*$I$5,"")),"BDS live",IF(ISNUMBER(G66),"manual paste","-"))</f>
        <v/>
      </c>
      <c r="G66" s="99">
        <f>IFERROR(INDEX($X$9:$X$40,MATCH(B66,$V$9:$V$40,0)),"")</f>
        <v/>
      </c>
      <c r="M66" s="80">
        <f>IFERROR(INDEX($Y$9:$Y$40,MATCH(B66,$V$9:$V$40,0)),"")</f>
        <v/>
      </c>
      <c r="N66" s="80">
        <f>IF(M66="","",Bootstrap!H66)</f>
        <v/>
      </c>
      <c r="O66" s="72">
        <f>IF(M66="","",N66-M66)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IF(ISNUMBER(D67),(C67-D67)*100,IF(ISNUMBER(G67),(C67-G67)*100,""))</f>
        <v/>
      </c>
      <c r="F67" s="93">
        <f>IF(ISNUMBER(IFERROR(INDEX($J$12:$T$82,MATCH(B67,INDEX($J$12:$T$82,0,$I$3),0),$I$4)*$I$5,"")),"BDS live",IF(ISNUMBER(G67),"manual paste","-"))</f>
        <v/>
      </c>
      <c r="G67" s="99">
        <f>IFERROR(INDEX($X$9:$X$40,MATCH(B67,$V$9:$V$40,0)),"")</f>
        <v/>
      </c>
      <c r="M67" s="80">
        <f>IFERROR(INDEX($Y$9:$Y$40,MATCH(B67,$V$9:$V$40,0)),"")</f>
        <v/>
      </c>
      <c r="N67" s="80">
        <f>IF(M67="","",Bootstrap!H67)</f>
        <v/>
      </c>
      <c r="O67" s="72">
        <f>IF(M67="","",N67-M67)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IF(ISNUMBER(D68),(C68-D68)*100,IF(ISNUMBER(G68),(C68-G68)*100,""))</f>
        <v/>
      </c>
      <c r="F68" s="93">
        <f>IF(ISNUMBER(IFERROR(INDEX($J$12:$T$82,MATCH(B68,INDEX($J$12:$T$82,0,$I$3),0),$I$4)*$I$5,"")),"BDS live",IF(ISNUMBER(G68),"manual paste","-"))</f>
        <v/>
      </c>
      <c r="G68" s="99">
        <f>IFERROR(INDEX($X$9:$X$40,MATCH(B68,$V$9:$V$40,0)),"")</f>
        <v/>
      </c>
      <c r="M68" s="80">
        <f>IFERROR(INDEX($Y$9:$Y$40,MATCH(B68,$V$9:$V$40,0)),"")</f>
        <v/>
      </c>
      <c r="N68" s="80">
        <f>IF(M68="","",Bootstrap!H68)</f>
        <v/>
      </c>
      <c r="O68" s="72">
        <f>IF(M68="","",N68-M68)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IF(ISNUMBER(D69),(C69-D69)*100,IF(ISNUMBER(G69),(C69-G69)*100,""))</f>
        <v/>
      </c>
      <c r="F69" s="93">
        <f>IF(ISNUMBER(IFERROR(INDEX($J$12:$T$82,MATCH(B69,INDEX($J$12:$T$82,0,$I$3),0),$I$4)*$I$5,"")),"BDS live",IF(ISNUMBER(G69),"manual paste","-"))</f>
        <v/>
      </c>
      <c r="G69" s="99">
        <f>IFERROR(INDEX($X$9:$X$40,MATCH(B69,$V$9:$V$40,0)),"")</f>
        <v/>
      </c>
      <c r="M69" s="80">
        <f>IFERROR(INDEX($Y$9:$Y$40,MATCH(B69,$V$9:$V$40,0)),"")</f>
        <v/>
      </c>
      <c r="N69" s="80">
        <f>IF(M69="","",Bootstrap!H69)</f>
        <v/>
      </c>
      <c r="O69" s="72">
        <f>IF(M69="","",N69-M69)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IF(ISNUMBER(D70),(C70-D70)*100,IF(ISNUMBER(G70),(C70-G70)*100,""))</f>
        <v/>
      </c>
      <c r="F70" s="93">
        <f>IF(ISNUMBER(IFERROR(INDEX($J$12:$T$82,MATCH(B70,INDEX($J$12:$T$82,0,$I$3),0),$I$4)*$I$5,"")),"BDS live",IF(ISNUMBER(G70),"manual paste","-"))</f>
        <v/>
      </c>
      <c r="G70" s="99">
        <f>IFERROR(INDEX($X$9:$X$40,MATCH(B70,$V$9:$V$40,0)),"")</f>
        <v/>
      </c>
      <c r="M70" s="80">
        <f>IFERROR(INDEX($Y$9:$Y$40,MATCH(B70,$V$9:$V$40,0)),"")</f>
        <v/>
      </c>
      <c r="N70" s="80">
        <f>IF(M70="","",Bootstrap!H70)</f>
        <v/>
      </c>
      <c r="O70" s="72">
        <f>IF(M70="","",N70-M70)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IF(ISNUMBER(D71),(C71-D71)*100,IF(ISNUMBER(G71),(C71-G71)*100,""))</f>
        <v/>
      </c>
      <c r="F71" s="93">
        <f>IF(ISNUMBER(IFERROR(INDEX($J$12:$T$82,MATCH(B71,INDEX($J$12:$T$82,0,$I$3),0),$I$4)*$I$5,"")),"BDS live",IF(ISNUMBER(G71),"manual paste","-"))</f>
        <v/>
      </c>
      <c r="G71" s="99">
        <f>IFERROR(INDEX($X$9:$X$40,MATCH(B71,$V$9:$V$40,0)),"")</f>
        <v/>
      </c>
      <c r="M71" s="80">
        <f>IFERROR(INDEX($Y$9:$Y$40,MATCH(B71,$V$9:$V$40,0)),"")</f>
        <v/>
      </c>
      <c r="N71" s="80">
        <f>IF(M71="","",Bootstrap!H71)</f>
        <v/>
      </c>
      <c r="O71" s="72">
        <f>IF(M71="","",N71-M71)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IF(ISNUMBER(D72),(C72-D72)*100,IF(ISNUMBER(G72),(C72-G72)*100,""))</f>
        <v/>
      </c>
      <c r="F72" s="93">
        <f>IF(ISNUMBER(IFERROR(INDEX($J$12:$T$82,MATCH(B72,INDEX($J$12:$T$82,0,$I$3),0),$I$4)*$I$5,"")),"BDS live",IF(ISNUMBER(G72),"manual paste","-"))</f>
        <v/>
      </c>
      <c r="G72" s="99">
        <f>IFERROR(INDEX($X$9:$X$40,MATCH(B72,$V$9:$V$40,0)),"")</f>
        <v/>
      </c>
      <c r="M72" s="80">
        <f>IFERROR(INDEX($Y$9:$Y$40,MATCH(B72,$V$9:$V$40,0)),"")</f>
        <v/>
      </c>
      <c r="N72" s="80">
        <f>IF(M72="","",Bootstrap!H72)</f>
        <v/>
      </c>
      <c r="O72" s="72">
        <f>IF(M72="","",N72-M72)</f>
        <v/>
      </c>
    </row>
    <row r="74">
      <c r="A74" s="67" t="inlineStr">
        <is>
          <t>Pillars matched to the screen</t>
        </is>
      </c>
      <c r="C74" s="87">
        <f>COUNT(M8:M72)&amp;" / 32"</f>
        <v/>
      </c>
    </row>
    <row r="75">
      <c r="A75" s="67" t="inlineStr">
        <is>
          <t>Max |zero diff| vs screen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Column D = Bloomberg's own curve pulled live via BDS. Column G/M = the 07/21/26 screen snapshot in V:Y. Column E compares your zero to whichever is present.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Curncy","PX_MID")+0,IFERROR(BDP(D7,"PX_LAST")+0,E7))</f>
        <v/>
      </c>
      <c r="G7" s="52">
        <f>(F7/10000)/(1-CDS_Parameters!$B$8)</f>
        <v/>
      </c>
      <c r="H7" s="93">
        <f>IF(ISNUMBER(IFERROR(BDP(D7&amp;" BEST Curncy","PX_MID")+0,"")),"BDP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Curncy","PX_MID")+0,IFERROR(BDP(D8,"PX_LAST")+0,E8))</f>
        <v/>
      </c>
      <c r="G8" s="52">
        <f>(F8/10000)/(1-CDS_Parameters!$B$8)</f>
        <v/>
      </c>
      <c r="H8" s="93">
        <f>IF(ISNUMBER(IFERROR(BDP(D8&amp;" BEST Curncy","PX_MID")+0,"")),"BDP live","MANUAL (demo)")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Curncy","PX_MID")+0,IFERROR(BDP(D9,"PX_LAST")+0,E9))</f>
        <v/>
      </c>
      <c r="G9" s="52">
        <f>(F9/10000)/(1-CDS_Parameters!$B$8)</f>
        <v/>
      </c>
      <c r="H9" s="93">
        <f>IF(ISNUMBER(IFERROR(BDP(D9&amp;" BEST Curncy","PX_MID")+0,"")),"BDP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Curncy","PX_MID")+0,IFERROR(BDP(D10,"PX_LAST")+0,E10))</f>
        <v/>
      </c>
      <c r="G10" s="52">
        <f>(F10/10000)/(1-CDS_Parameters!$B$8)</f>
        <v/>
      </c>
      <c r="H10" s="93">
        <f>IF(ISNUMBER(IFERROR(BDP(D10&amp;" BEST Curncy","PX_MID")+0,"")),"BDP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Curncy","PX_MID")+0,IFERROR(BDP(D11,"PX_LAST")+0,E11))</f>
        <v/>
      </c>
      <c r="G11" s="52">
        <f>(F11/10000)/(1-CDS_Parameters!$B$8)</f>
        <v/>
      </c>
      <c r="H11" s="93">
        <f>IF(ISNUMBER(IFERROR(BDP(D11&amp;" BEST Curncy","PX_MID")+0,"")),"BDP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Curncy","PX_MID")+0,IFERROR(BDP(D12,"PX_LAST")+0,E12))</f>
        <v/>
      </c>
      <c r="G12" s="52">
        <f>(F12/10000)/(1-CDS_Parameters!$B$8)</f>
        <v/>
      </c>
      <c r="H12" s="93">
        <f>IF(ISNUMBER(IFERROR(BDP(D12&amp;" BEST Curncy","PX_MID")+0,"")),"BDP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2026-07-21T14:00:57Z</dcterms:modified>
</cp:coreProperties>
</file>