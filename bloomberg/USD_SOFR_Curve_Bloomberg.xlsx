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Solver" sheetId="7" state="visible" r:id="rId7"/>
    <sheet xmlns:r="http://schemas.openxmlformats.org/officeDocument/2006/relationships" name="Bootstrap_Lehman" sheetId="8" state="visible" r:id="rId8"/>
    <sheet xmlns:r="http://schemas.openxmlformats.org/officeDocument/2006/relationships" name="Swap_Pricer" sheetId="9" state="visible" r:id="rId9"/>
    <sheet xmlns:r="http://schemas.openxmlformats.org/officeDocument/2006/relationships" name="Curve_Interface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onventions" sheetId="12" state="visible" r:id="rId12"/>
    <sheet xmlns:r="http://schemas.openxmlformats.org/officeDocument/2006/relationships" name="Fwd_Interp" sheetId="13" state="visible" r:id="rId13"/>
    <sheet xmlns:r="http://schemas.openxmlformats.org/officeDocument/2006/relationships" name="CDS_Parameters" sheetId="14" state="visible" r:id="rId14"/>
    <sheet xmlns:r="http://schemas.openxmlformats.org/officeDocument/2006/relationships" name="CDS_Quotes" sheetId="15" state="visible" r:id="rId15"/>
    <sheet xmlns:r="http://schemas.openxmlformats.org/officeDocument/2006/relationships" name="Hazard_Bootstrap" sheetId="16" state="visible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  <sheet xmlns:r="http://schemas.openxmlformats.org/officeDocument/2006/relationships" name="Hazard_Solver" sheetId="20" state="visible" r:id="rId20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Manual o/n (%)</t>
        </is>
      </c>
    </row>
    <row r="6">
      <c r="A6" s="6">
        <f>SOFR_TKR</f>
        <v/>
      </c>
      <c r="B6" s="6" t="inlineStr">
        <is>
          <t>PX_LAST</t>
        </is>
      </c>
      <c r="C6" s="63">
        <f>IFERROR(BDP(SOFR_TKR,"PX_LAST")+0,E6)</f>
        <v/>
      </c>
      <c r="D6" s="18">
        <f>IFERROR(BDP(SOFR_TKR,"LAST_UPDATE_DT"),"ERROR PLZ FIX")</f>
        <v/>
      </c>
      <c r="E6" s="64" t="n">
        <v>4.06</v>
      </c>
      <c r="F6" s="65" t="inlineStr">
        <is>
          <t>PLACEHOLDER — used only if BDP fails. Sets DFspot.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MANUAL FALLBACK — PLACEHOLDER RATES, NOT MARKET DATA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Column J is used only when BDP fails. These are a plausible Jul-2026 SOFR OIS shape so the curve computes off-terminal — they are invented, not observed. Overwrite with real quotes before using any output for anything real. On a terminal, BDP takes precedence automatically and column J is ignored.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quote (%)</t>
        </is>
      </c>
      <c r="K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63">
        <f>IFERROR((E5+F5)/2,IFERROR(G5+0,J5))</f>
        <v/>
      </c>
      <c r="I5" s="26" t="inlineStr">
        <is>
          <t>Y</t>
        </is>
      </c>
      <c r="J5" s="64" t="n">
        <v>4.05</v>
      </c>
      <c r="K5" s="65" t="inlineStr">
        <is>
          <t>PLACEHOLDER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63">
        <f>IFERROR((E6+F6)/2,IFERROR(G6+0,J6))</f>
        <v/>
      </c>
      <c r="I6" s="26" t="inlineStr"/>
      <c r="J6" s="64" t="n">
        <v>4.05</v>
      </c>
      <c r="K6" s="65" t="inlineStr">
        <is>
          <t>PLACEHOLDER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63">
        <f>IFERROR((E7+F7)/2,IFERROR(G7+0,J7))</f>
        <v/>
      </c>
      <c r="I7" s="26" t="inlineStr"/>
      <c r="J7" s="64" t="n">
        <v>4.04</v>
      </c>
      <c r="K7" s="65" t="inlineStr">
        <is>
          <t>PLACEHOLDER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63">
        <f>IFERROR((E8+F8)/2,IFERROR(G8+0,J8))</f>
        <v/>
      </c>
      <c r="I8" s="26" t="inlineStr">
        <is>
          <t>Y</t>
        </is>
      </c>
      <c r="J8" s="64" t="n">
        <v>4.03</v>
      </c>
      <c r="K8" s="65" t="inlineStr">
        <is>
          <t>PLACEHOLDER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63">
        <f>IFERROR((E9+F9)/2,IFERROR(G9+0,J9))</f>
        <v/>
      </c>
      <c r="I9" s="26" t="inlineStr"/>
      <c r="J9" s="64" t="n">
        <v>4</v>
      </c>
      <c r="K9" s="65" t="inlineStr">
        <is>
          <t>PLACEHOLDER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63">
        <f>IFERROR((E10+F10)/2,IFERROR(G10+0,J10))</f>
        <v/>
      </c>
      <c r="I10" s="26" t="inlineStr">
        <is>
          <t>Y</t>
        </is>
      </c>
      <c r="J10" s="64" t="n">
        <v>3.97</v>
      </c>
      <c r="K10" s="65" t="inlineStr">
        <is>
          <t>PLACEHOLDER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63">
        <f>IFERROR((E11+F11)/2,IFERROR(G11+0,J11))</f>
        <v/>
      </c>
      <c r="I11" s="26" t="inlineStr"/>
      <c r="J11" s="64" t="n">
        <v>3.94</v>
      </c>
      <c r="K11" s="65" t="inlineStr">
        <is>
          <t>PLACEHOLDER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63">
        <f>IFERROR((E12+F12)/2,IFERROR(G12+0,J12))</f>
        <v/>
      </c>
      <c r="I12" s="26" t="inlineStr"/>
      <c r="J12" s="64" t="n">
        <v>3.91</v>
      </c>
      <c r="K12" s="65" t="inlineStr">
        <is>
          <t>PLACEHOLDER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63">
        <f>IFERROR((E13+F13)/2,IFERROR(G13+0,J13))</f>
        <v/>
      </c>
      <c r="I13" s="26" t="inlineStr">
        <is>
          <t>Y</t>
        </is>
      </c>
      <c r="J13" s="64" t="n">
        <v>3.88</v>
      </c>
      <c r="K13" s="65" t="inlineStr">
        <is>
          <t>PLACEHOLDER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63">
        <f>IFERROR((E14+F14)/2,IFERROR(G14+0,J14))</f>
        <v/>
      </c>
      <c r="I14" s="26" t="inlineStr"/>
      <c r="J14" s="64" t="n">
        <v>3.86</v>
      </c>
      <c r="K14" s="65" t="inlineStr">
        <is>
          <t>PLACEHOLDER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63">
        <f>IFERROR((E15+F15)/2,IFERROR(G15+0,J15))</f>
        <v/>
      </c>
      <c r="I15" s="26" t="inlineStr"/>
      <c r="J15" s="64" t="n">
        <v>3.84</v>
      </c>
      <c r="K15" s="65" t="inlineStr">
        <is>
          <t>PLACEHOLDER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63">
        <f>IFERROR((E16+F16)/2,IFERROR(G16+0,J16))</f>
        <v/>
      </c>
      <c r="I16" s="26" t="inlineStr"/>
      <c r="J16" s="64" t="n">
        <v>3.82</v>
      </c>
      <c r="K16" s="65" t="inlineStr">
        <is>
          <t>PLACEHOLDER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63">
        <f>IFERROR((E17+F17)/2,IFERROR(G17+0,J17))</f>
        <v/>
      </c>
      <c r="I17" s="26" t="inlineStr"/>
      <c r="J17" s="64" t="n">
        <v>3.8</v>
      </c>
      <c r="K17" s="65" t="inlineStr">
        <is>
          <t>PLACEHOLDER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63">
        <f>IFERROR((E18+F18)/2,IFERROR(G18+0,J18))</f>
        <v/>
      </c>
      <c r="I18" s="26" t="inlineStr"/>
      <c r="J18" s="64" t="n">
        <v>3.79</v>
      </c>
      <c r="K18" s="65" t="inlineStr">
        <is>
          <t>PLACEHOLDER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63">
        <f>IFERROR((E19+F19)/2,IFERROR(G19+0,J19))</f>
        <v/>
      </c>
      <c r="I19" s="26" t="inlineStr"/>
      <c r="J19" s="64" t="n">
        <v>3.78</v>
      </c>
      <c r="K19" s="65" t="inlineStr">
        <is>
          <t>PLACEHOLDER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63">
        <f>IFERROR((E20+F20)/2,IFERROR(G20+0,J20))</f>
        <v/>
      </c>
      <c r="I20" s="26" t="inlineStr"/>
      <c r="J20" s="64" t="n">
        <v>3.72</v>
      </c>
      <c r="K20" s="65" t="inlineStr">
        <is>
          <t>PLACEHOLDER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63">
        <f>IFERROR((E21+F21)/2,IFERROR(G21+0,J21))</f>
        <v/>
      </c>
      <c r="I21" s="26" t="inlineStr"/>
      <c r="J21" s="64" t="n">
        <v>3.7</v>
      </c>
      <c r="K21" s="65" t="inlineStr">
        <is>
          <t>PLACEHOLDER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63">
        <f>IFERROR((E22+F22)/2,IFERROR(G22+0,J22))</f>
        <v/>
      </c>
      <c r="I22" s="26" t="inlineStr"/>
      <c r="J22" s="64" t="n">
        <v>3.71</v>
      </c>
      <c r="K22" s="65" t="inlineStr">
        <is>
          <t>PLACEHOLDER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63">
        <f>IFERROR((E23+F23)/2,IFERROR(G23+0,J23))</f>
        <v/>
      </c>
      <c r="I23" s="26" t="inlineStr"/>
      <c r="J23" s="64" t="n">
        <v>3.74</v>
      </c>
      <c r="K23" s="65" t="inlineStr">
        <is>
          <t>PLACEHOLDER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63">
        <f>IFERROR((E24+F24)/2,IFERROR(G24+0,J24))</f>
        <v/>
      </c>
      <c r="I24" s="26" t="inlineStr">
        <is>
          <t>Y</t>
        </is>
      </c>
      <c r="J24" s="64" t="n">
        <v>3.78</v>
      </c>
      <c r="K24" s="65" t="inlineStr">
        <is>
          <t>PLACEHOLDER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63">
        <f>IFERROR((E25+F25)/2,IFERROR(G25+0,J25))</f>
        <v/>
      </c>
      <c r="I25" s="26" t="inlineStr">
        <is>
          <t>Y</t>
        </is>
      </c>
      <c r="J25" s="64" t="n">
        <v>3.82</v>
      </c>
      <c r="K25" s="65" t="inlineStr">
        <is>
          <t>PLACEHOLDER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63">
        <f>IFERROR((E26+F26)/2,IFERROR(G26+0,J26))</f>
        <v/>
      </c>
      <c r="I26" s="26" t="inlineStr">
        <is>
          <t>Y</t>
        </is>
      </c>
      <c r="J26" s="64" t="n">
        <v>3.86</v>
      </c>
      <c r="K26" s="65" t="inlineStr">
        <is>
          <t>PLACEHOLDER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63">
        <f>IFERROR((E27+F27)/2,IFERROR(G27+0,J27))</f>
        <v/>
      </c>
      <c r="I27" s="26" t="inlineStr">
        <is>
          <t>Y</t>
        </is>
      </c>
      <c r="J27" s="64" t="n">
        <v>3.9</v>
      </c>
      <c r="K27" s="65" t="inlineStr">
        <is>
          <t>PLACEHOLDER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63">
        <f>IFERROR((E28+F28)/2,IFERROR(G28+0,J28))</f>
        <v/>
      </c>
      <c r="I28" s="26" t="inlineStr">
        <is>
          <t>Y</t>
        </is>
      </c>
      <c r="J28" s="64" t="n">
        <v>3.93</v>
      </c>
      <c r="K28" s="65" t="inlineStr">
        <is>
          <t>PLACEHOLDER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63">
        <f>IFERROR((E29+F29)/2,IFERROR(G29+0,J29))</f>
        <v/>
      </c>
      <c r="I29" s="26" t="inlineStr">
        <is>
          <t>Y</t>
        </is>
      </c>
      <c r="J29" s="64" t="n">
        <v>3.96</v>
      </c>
      <c r="K29" s="65" t="inlineStr">
        <is>
          <t>PLACEHOLDER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63">
        <f>IFERROR((E30+F30)/2,IFERROR(G30+0,J30))</f>
        <v/>
      </c>
      <c r="I30" s="26" t="inlineStr">
        <is>
          <t>Y</t>
        </is>
      </c>
      <c r="J30" s="64" t="n">
        <v>4.01</v>
      </c>
      <c r="K30" s="65" t="inlineStr">
        <is>
          <t>PLACEHOLDER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63">
        <f>IFERROR((E31+F31)/2,IFERROR(G31+0,J31))</f>
        <v/>
      </c>
      <c r="I31" s="26" t="inlineStr">
        <is>
          <t>Y</t>
        </is>
      </c>
      <c r="J31" s="64" t="n">
        <v>4.05</v>
      </c>
      <c r="K31" s="65" t="inlineStr">
        <is>
          <t>PLACEHOLDER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63">
        <f>IFERROR((E32+F32)/2,IFERROR(G32+0,J32))</f>
        <v/>
      </c>
      <c r="I32" s="26" t="inlineStr">
        <is>
          <t>Y</t>
        </is>
      </c>
      <c r="J32" s="64" t="n">
        <v>4.06</v>
      </c>
      <c r="K32" s="65" t="inlineStr">
        <is>
          <t>PLACEHOLDER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63">
        <f>IFERROR((E33+F33)/2,IFERROR(G33+0,J33))</f>
        <v/>
      </c>
      <c r="I33" s="26" t="inlineStr">
        <is>
          <t>Y</t>
        </is>
      </c>
      <c r="J33" s="64" t="n">
        <v>4.02</v>
      </c>
      <c r="K33" s="65" t="inlineStr">
        <is>
          <t>PLACEHOLDER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63">
        <f>IFERROR((E34+F34)/2,IFERROR(G34+0,J34))</f>
        <v/>
      </c>
      <c r="I34" s="26" t="inlineStr">
        <is>
          <t>Y</t>
        </is>
      </c>
      <c r="J34" s="64" t="n">
        <v>3.97</v>
      </c>
      <c r="K34" s="65" t="inlineStr">
        <is>
          <t>PLACEHOLDER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63">
        <f>IFERROR((E35+F35)/2,IFERROR(G35+0,J35))</f>
        <v/>
      </c>
      <c r="I35" s="26" t="inlineStr">
        <is>
          <t>Y</t>
        </is>
      </c>
      <c r="J35" s="64" t="n">
        <v>3.85</v>
      </c>
      <c r="K35" s="65" t="inlineStr">
        <is>
          <t>PLACEHOLDER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63">
        <f>IFERROR((E36+F36)/2,IFERROR(G36+0,J36))</f>
        <v/>
      </c>
      <c r="I36" s="26" t="inlineStr">
        <is>
          <t>Y</t>
        </is>
      </c>
      <c r="J36" s="64" t="n">
        <v>3.75</v>
      </c>
      <c r="K36" s="65" t="inlineStr">
        <is>
          <t>PLACEHOLDER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18">
        <f>$B$4+7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18">
        <f>$B$4+14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18">
        <f>$B$4+21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18">
        <f>EDATE($B$4,1)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18">
        <f>EDATE($B$4,2)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18">
        <f>EDATE($B$4,3)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18">
        <f>EDATE($B$4,4)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18">
        <f>EDATE($B$4,5)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18">
        <f>EDATE($B$4,6)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18">
        <f>EDATE($B$4,7)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18">
        <f>EDATE($B$4,8)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18">
        <f>EDATE($B$4,9)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18">
        <f>EDATE($B$4,10)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18">
        <f>EDATE($B$4,11)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18">
        <f>EDATE($B$4,12)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18">
        <f>EDATE($B$4,18)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18">
        <f>EDATE($B$4,24)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18">
        <f>EDATE($B$4,36)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18">
        <f>EDATE($B$4,48)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18">
        <f>EDATE($B$4,60)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18">
        <f>EDATE($B$4,72)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18">
        <f>EDATE($B$4,84)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18">
        <f>EDATE($B$4,96)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18">
        <f>EDATE($B$4,108)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18">
        <f>EDATE($B$4,120)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18">
        <f>EDATE($B$4,132)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18">
        <f>EDATE($B$4,144)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18">
        <f>EDATE($B$4,156)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18">
        <f>EDATE($B$4,168)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18">
        <f>EDATE($B$4,180)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18">
        <f>EDATE($B$4,192)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18">
        <f>EDATE($B$4,204)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18">
        <f>EDATE($B$4,216)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18">
        <f>EDATE($B$4,228)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18">
        <f>EDATE($B$4,240)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18">
        <f>EDATE($B$4,252)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18">
        <f>EDATE($B$4,264)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18">
        <f>EDATE($B$4,276)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18">
        <f>EDATE($B$4,288)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18">
        <f>EDATE($B$4,300)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18">
        <f>EDATE($B$4,312)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18">
        <f>EDATE($B$4,324)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18">
        <f>EDATE($B$4,336)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18">
        <f>EDATE($B$4,348)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18">
        <f>EDATE($B$4,360)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18">
        <f>EDATE($B$4,372)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18">
        <f>EDATE($B$4,384)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18">
        <f>EDATE($B$4,396)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18">
        <f>EDATE($B$4,408)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18">
        <f>EDATE($B$4,420)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18">
        <f>EDATE($B$4,432)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18">
        <f>EDATE($B$4,444)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18">
        <f>EDATE($B$4,456)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18">
        <f>EDATE($B$4,468)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18">
        <f>EDATE($B$4,480)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18">
        <f>EDATE($B$4,492)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18">
        <f>EDATE($B$4,504)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18">
        <f>EDATE($B$4,516)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18">
        <f>EDATE($B$4,528)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18">
        <f>EDATE($B$4,540)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18">
        <f>EDATE($B$4,552)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18">
        <f>EDATE($B$4,564)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18">
        <f>EDATE($B$4,576)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18">
        <f>EDATE($B$4,588)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18">
        <f>EDATE($B$4,600)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5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4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4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4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4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4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4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4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4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4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4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4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4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4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4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4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4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4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4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4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4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NDEX($L$6:$L$71,MATCH($B$8,$K$6:$K$71,1))*(INDEX($L$6:$L$71,MATCH($B$8,$K$6:$K$71,1)+1)/INDEX($L$6:$L$71,MATCH($B$8,$K$6:$K$71,1)))^(($B$8-INDEX($K$6:$K$71,MATCH($B$8,$K$6:$K$71,1)))/(INDEX($K$6:$K$71,MATCH($B$8,$K$6:$K$71,1)+1)-INDEX($K$6:$K$71,MATCH($B$8,$K$6:$K$71,1)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36">
        <f>INDEX($L$8:$L$73,MATCH(B10,$K$8:$K$73,1))*EXP(-(F10/100)*(B10-D10)/365)</f>
        <v/>
      </c>
      <c r="H10" s="17">
        <f>-LN(G10)/C10*100</f>
        <v/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36">
        <f>INDEX($L$8:$L$73,MATCH(B11,$K$8:$K$73,1))*EXP(-(F11/100)*(B11-D11)/365)</f>
        <v/>
      </c>
      <c r="H11" s="17">
        <f>-LN(G11)/C11*100</f>
        <v/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36">
        <f>INDEX($L$8:$L$73,MATCH(B12,$K$8:$K$73,1))*EXP(-(F12/100)*(B12-D12)/365)</f>
        <v/>
      </c>
      <c r="H12" s="17">
        <f>-LN(G12)/C12*100</f>
        <v/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36">
        <f>INDEX($L$8:$L$73,MATCH(B13,$K$8:$K$73,1))*EXP(-(F13/100)*(B13-D13)/365)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36">
        <f>INDEX($L$8:$L$73,MATCH(B14,$K$8:$K$73,1))*EXP(-(F14/100)*(B14-D14)/365)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36">
        <f>INDEX($L$8:$L$73,MATCH(B15,$K$8:$K$73,1))*EXP(-(F15/100)*(B15-D15)/365)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36">
        <f>INDEX($L$8:$L$73,MATCH(B16,$K$8:$K$73,1))*EXP(-(F16/100)*(B16-D16)/365)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36">
        <f>INDEX($L$8:$L$73,MATCH(B17,$K$8:$K$73,1))*EXP(-(F17/100)*(B17-D17)/365)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36">
        <f>INDEX($L$8:$L$73,MATCH(B18,$K$8:$K$73,1))*EXP(-(F18/100)*(B18-D18)/365)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36">
        <f>INDEX($L$8:$L$73,MATCH(B19,$K$8:$K$73,1))*EXP(-(F19/100)*(B19-D19)/365)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36">
        <f>INDEX($L$8:$L$73,MATCH(B20,$K$8:$K$73,1))*EXP(-(F20/100)*(B20-D20)/365)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36">
        <f>INDEX($L$8:$L$73,MATCH(B21,$K$8:$K$73,1))*EXP(-(F21/100)*(B21-D21)/365)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36">
        <f>INDEX($L$8:$L$73,MATCH(B22,$K$8:$K$73,1))*EXP(-(F22/100)*(B22-D22)/365)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36">
        <f>INDEX($L$8:$L$73,MATCH(B23,$K$8:$K$73,1))*EXP(-(F23/100)*(B23-D23)/365)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36">
        <f>INDEX($L$8:$L$73,MATCH(B24,$K$8:$K$73,1))*EXP(-(F24/100)*(B24-D24)/365)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36">
        <f>INDEX($L$8:$L$73,MATCH(B25,$K$8:$K$73,1))*EXP(-(F25/100)*(B25-D25)/365)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36">
        <f>INDEX($L$8:$L$73,MATCH(B26,$K$8:$K$73,1))*EXP(-(F26/100)*(B26-D26)/365)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36">
        <f>INDEX($L$8:$L$73,MATCH(B27,$K$8:$K$73,1))*EXP(-(F27/100)*(B27-D27)/365)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36">
        <f>INDEX($L$8:$L$73,MATCH(B28,$K$8:$K$73,1))*EXP(-(F28/100)*(B28-D28)/365)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36">
        <f>INDEX($L$8:$L$73,MATCH(B29,$K$8:$K$73,1))*EXP(-(F29/100)*(B29-D29)/365)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36">
        <f>INDEX($L$8:$L$73,MATCH(B30,$K$8:$K$73,1))*EXP(-(F30/100)*(B30-D30)/365)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36">
        <f>INDEX($L$8:$L$73,MATCH(B31,$K$8:$K$73,1))*EXP(-(F31/100)*(B31-D31)/365)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36">
        <f>INDEX($L$8:$L$73,MATCH(B32,$K$8:$K$73,1))*EXP(-(F32/100)*(B32-D32)/365)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36">
        <f>INDEX($L$8:$L$73,MATCH(B33,$K$8:$K$73,1))*EXP(-(F33/100)*(B33-D33)/365)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36">
        <f>INDEX($L$8:$L$73,MATCH(B34,$K$8:$K$73,1))*EXP(-(F34/100)*(B34-D34)/365)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36">
        <f>INDEX($L$8:$L$73,MATCH(B35,$K$8:$K$73,1))*EXP(-(F35/100)*(B35-D35)/365)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36">
        <f>INDEX($L$8:$L$73,MATCH(B36,$K$8:$K$73,1))*EXP(-(F36/100)*(B36-D36)/365)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36">
        <f>INDEX($L$8:$L$73,MATCH(B37,$K$8:$K$73,1))*EXP(-(F37/100)*(B37-D37)/365)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36">
        <f>INDEX($L$8:$L$73,MATCH(B38,$K$8:$K$73,1))*EXP(-(F38/100)*(B38-D38)/365)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36">
        <f>INDEX($L$8:$L$73,MATCH(B39,$K$8:$K$73,1))*EXP(-(F39/100)*(B39-D39)/365)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36">
        <f>INDEX($L$8:$L$73,MATCH(B40,$K$8:$K$73,1))*EXP(-(F40/100)*(B40-D40)/365)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36">
        <f>INDEX($L$8:$L$73,MATCH(B41,$K$8:$K$73,1))*EXP(-(F41/100)*(B41-D41)/365)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36">
        <f>INDEX($L$8:$L$73,MATCH(B42,$K$8:$K$73,1))*EXP(-(F42/100)*(B42-D42)/365)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36">
        <f>INDEX($L$8:$L$73,MATCH(B43,$K$8:$K$73,1))*EXP(-(F43/100)*(B43-D43)/365)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36">
        <f>INDEX($L$8:$L$73,MATCH(B44,$K$8:$K$73,1))*EXP(-(F44/100)*(B44-D44)/365)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36">
        <f>INDEX($L$8:$L$73,MATCH(B45,$K$8:$K$73,1))*EXP(-(F45/100)*(B45-D45)/365)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36">
        <f>INDEX($L$8:$L$73,MATCH(B46,$K$8:$K$73,1))*EXP(-(F46/100)*(B46-D46)/365)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36">
        <f>INDEX($L$8:$L$73,MATCH(B47,$K$8:$K$73,1))*EXP(-(F47/100)*(B47-D47)/365)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36">
        <f>INDEX($L$8:$L$73,MATCH(B48,$K$8:$K$73,1))*EXP(-(F48/100)*(B48-D48)/365)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36">
        <f>INDEX($L$8:$L$73,MATCH(B49,$K$8:$K$73,1))*EXP(-(F49/100)*(B49-D49)/365)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8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30" t="n"/>
      <c r="E8" s="31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30" t="n"/>
      <c r="E9" s="31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30" t="n"/>
      <c r="E10" s="31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30" t="n"/>
      <c r="E11" s="31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30" t="n"/>
      <c r="E12" s="31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30" t="n"/>
      <c r="E13" s="31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30" t="n"/>
      <c r="E14" s="31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30" t="n"/>
      <c r="E15" s="31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30" t="n"/>
      <c r="E16" s="31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30" t="n"/>
      <c r="E17" s="31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30" t="n"/>
      <c r="E18" s="31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30" t="n"/>
      <c r="E19" s="31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30" t="n"/>
      <c r="E20" s="31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30" t="n"/>
      <c r="E21" s="31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30" t="n"/>
      <c r="E22" s="31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30" t="n"/>
      <c r="E23" s="31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30" t="n"/>
      <c r="E24" s="31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30" t="n"/>
      <c r="E25" s="31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30" t="n"/>
      <c r="E26" s="31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30" t="n"/>
      <c r="E27" s="31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30" t="n"/>
      <c r="E28" s="31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30" t="n"/>
      <c r="E29" s="31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30" t="n"/>
      <c r="E30" s="31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30" t="n"/>
      <c r="E31" s="31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30" t="n"/>
      <c r="E32" s="31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30" t="n"/>
      <c r="E33" s="31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30" t="n"/>
      <c r="E34" s="31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30" t="n"/>
      <c r="E35" s="31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30" t="n"/>
      <c r="E36" s="31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30" t="n"/>
      <c r="E37" s="31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30" t="n"/>
      <c r="E38" s="31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30" t="n"/>
      <c r="E39" s="31">
        <f>IF(D39="","",(C39-D39)*100)</f>
        <v/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30" t="n"/>
      <c r="E40" s="31">
        <f>IF(D40="","",(C40-D40)*100)</f>
        <v/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30" t="n"/>
      <c r="E41" s="31">
        <f>IF(D41="","",(C41-D41)*100)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30" t="n"/>
      <c r="E42" s="31">
        <f>IF(D42="","",(C42-D42)*100)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30" t="n"/>
      <c r="E43" s="31">
        <f>IF(D43="","",(C43-D43)*100)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30" t="n"/>
      <c r="E44" s="31">
        <f>IF(D44="","",(C44-D44)*100)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30" t="n"/>
      <c r="E45" s="31">
        <f>IF(D45="","",(C45-D45)*100)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30" t="n"/>
      <c r="E46" s="31">
        <f>IF(D46="","",(C46-D46)*100)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30" t="n"/>
      <c r="E47" s="31">
        <f>IF(D47="","",(C47-D47)*100)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30" t="n"/>
      <c r="E48" s="31">
        <f>IF(D48="","",(C48-D48)*100)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30" t="n"/>
      <c r="E49" s="31">
        <f>IF(D49="","",(C49-D49)*100)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30" t="n"/>
      <c r="E50" s="31">
        <f>IF(D50="","",(C50-D50)*100)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30" t="n"/>
      <c r="E51" s="31">
        <f>IF(D51="","",(C51-D51)*100)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30" t="n"/>
      <c r="E52" s="31">
        <f>IF(D52="","",(C52-D52)*100)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30" t="n"/>
      <c r="E53" s="31">
        <f>IF(D53="","",(C53-D53)*100)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30" t="n"/>
      <c r="E54" s="31">
        <f>IF(D54="","",(C54-D54)*100)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30" t="n"/>
      <c r="E55" s="31">
        <f>IF(D55="","",(C55-D55)*100)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30" t="n"/>
      <c r="E56" s="31">
        <f>IF(D56="","",(C56-D56)*100)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30" t="n"/>
      <c r="E57" s="31">
        <f>IF(D57="","",(C57-D57)*100)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30" t="n"/>
      <c r="E58" s="31">
        <f>IF(D58="","",(C58-D58)*100)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30" t="n"/>
      <c r="E59" s="31">
        <f>IF(D59="","",(C59-D59)*100)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30" t="n"/>
      <c r="E60" s="31">
        <f>IF(D60="","",(C60-D60)*100)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30" t="n"/>
      <c r="E61" s="31">
        <f>IF(D61="","",(C61-D61)*100)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30" t="n"/>
      <c r="E62" s="31">
        <f>IF(D62="","",(C62-D62)*100)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30" t="n"/>
      <c r="E63" s="31">
        <f>IF(D63="","",(C63-D63)*100)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30" t="n"/>
      <c r="E64" s="31">
        <f>IF(D64="","",(C64-D64)*100)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30" t="n"/>
      <c r="E65" s="31">
        <f>IF(D65="","",(C65-D65)*100)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30" t="n"/>
      <c r="E66" s="31">
        <f>IF(D66="","",(C66-D66)*100)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30" t="n"/>
      <c r="E67" s="31">
        <f>IF(D67="","",(C67-D67)*100)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30" t="n"/>
      <c r="E68" s="31">
        <f>IF(D68="","",(C68-D68)*100)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30" t="n"/>
      <c r="E69" s="31">
        <f>IF(D69="","",(C69-D69)*100)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30" t="n"/>
      <c r="E70" s="31">
        <f>IF(D70="","",(C70-D70)*100)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30" t="n"/>
      <c r="E71" s="31">
        <f>IF(D71="","",(C71-D71)*100)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30" t="n"/>
      <c r="E72" s="31">
        <f>IF(D72="","",(C72-D72)*100)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37" t="inlineStr"/>
      <c r="E7" s="55" t="n">
        <v>40</v>
      </c>
      <c r="F7" s="31">
        <f>IF(D7="",E7,IFERROR(BDP(D7,"PX_LAST"),E7))</f>
        <v/>
      </c>
      <c r="G7" s="52">
        <f>(F7/10000)/(1-CDS_Parameters!$B$8)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37" t="inlineStr"/>
      <c r="E8" s="55" t="n">
        <v>55</v>
      </c>
      <c r="F8" s="31">
        <f>IF(D8="",E8,IFERROR(BDP(D8,"PX_LAST"),E8))</f>
        <v/>
      </c>
      <c r="G8" s="52">
        <f>(F8/10000)/(1-CDS_Parameters!$B$8)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37" t="inlineStr"/>
      <c r="E9" s="55" t="n">
        <v>70</v>
      </c>
      <c r="F9" s="31">
        <f>IF(D9="",E9,IFERROR(BDP(D9,"PX_LAST"),E9))</f>
        <v/>
      </c>
      <c r="G9" s="52">
        <f>(F9/10000)/(1-CDS_Parameters!$B$8)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37" t="inlineStr"/>
      <c r="E10" s="55" t="n">
        <v>95</v>
      </c>
      <c r="F10" s="31">
        <f>IF(D10="",E10,IFERROR(BDP(D10,"PX_LAST"),E10))</f>
        <v/>
      </c>
      <c r="G10" s="52">
        <f>(F10/10000)/(1-CDS_Parameters!$B$8)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37" t="inlineStr"/>
      <c r="E11" s="55" t="n">
        <v>115</v>
      </c>
      <c r="F11" s="31">
        <f>IF(D11="",E11,IFERROR(BDP(D11,"PX_LAST"),E11))</f>
        <v/>
      </c>
      <c r="G11" s="52">
        <f>(F11/10000)/(1-CDS_Parameters!$B$8)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37" t="inlineStr"/>
      <c r="E12" s="55" t="n">
        <v>135</v>
      </c>
      <c r="F12" s="31">
        <f>IF(D12="",E12,IFERROR(BDP(D12,"PX_LAST"),E12))</f>
        <v/>
      </c>
      <c r="G12" s="52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,INDEX('Curve_Interface'!$L$8:$L$73,MATCH(C7,'Curve_Interface'!$K$8:$K$73,1)))</f>
        <v/>
      </c>
      <c r="H7" s="36">
        <f>IFERROR(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,INDEX('Curve_Interface'!$L$8:$L$73,MATCH(C8,'Curve_Interface'!$K$8:$K$73,1)))</f>
        <v/>
      </c>
      <c r="H8" s="36">
        <f>IFERROR(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,INDEX('Curve_Interface'!$L$8:$L$73,MATCH(C9,'Curve_Interface'!$K$8:$K$73,1)))</f>
        <v/>
      </c>
      <c r="H9" s="36">
        <f>IFERROR(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,INDEX('Curve_Interface'!$L$8:$L$73,MATCH(C10,'Curve_Interface'!$K$8:$K$73,1)))</f>
        <v/>
      </c>
      <c r="H10" s="36">
        <f>IFERROR(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,INDEX('Curve_Interface'!$L$8:$L$73,MATCH(C11,'Curve_Interface'!$K$8:$K$73,1)))</f>
        <v/>
      </c>
      <c r="H11" s="36">
        <f>IFERROR(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,INDEX('Curve_Interface'!$L$8:$L$73,MATCH(C12,'Curve_Interface'!$K$8:$K$73,1)))</f>
        <v/>
      </c>
      <c r="H12" s="36">
        <f>IFERROR(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,INDEX('Curve_Interface'!$L$8:$L$73,MATCH(C13,'Curve_Interface'!$K$8:$K$73,1)))</f>
        <v/>
      </c>
      <c r="H13" s="36">
        <f>IFERROR(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,INDEX('Curve_Interface'!$L$8:$L$73,MATCH(C14,'Curve_Interface'!$K$8:$K$73,1)))</f>
        <v/>
      </c>
      <c r="H14" s="36">
        <f>IFERROR(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,INDEX('Curve_Interface'!$L$8:$L$73,MATCH(C15,'Curve_Interface'!$K$8:$K$73,1)))</f>
        <v/>
      </c>
      <c r="H15" s="36">
        <f>IFERROR(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,INDEX('Curve_Interface'!$L$8:$L$73,MATCH(C16,'Curve_Interface'!$K$8:$K$73,1)))</f>
        <v/>
      </c>
      <c r="H16" s="36">
        <f>IFERROR(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,INDEX('Curve_Interface'!$L$8:$L$73,MATCH(C17,'Curve_Interface'!$K$8:$K$73,1)))</f>
        <v/>
      </c>
      <c r="H17" s="36">
        <f>IFERROR(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,INDEX('Curve_Interface'!$L$8:$L$73,MATCH(C18,'Curve_Interface'!$K$8:$K$73,1)))</f>
        <v/>
      </c>
      <c r="H18" s="36">
        <f>IFERROR(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,INDEX('Curve_Interface'!$L$8:$L$73,MATCH(C19,'Curve_Interface'!$K$8:$K$73,1)))</f>
        <v/>
      </c>
      <c r="H19" s="36">
        <f>IFERROR(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,INDEX('Curve_Interface'!$L$8:$L$73,MATCH(C20,'Curve_Interface'!$K$8:$K$73,1)))</f>
        <v/>
      </c>
      <c r="H20" s="36">
        <f>IFERROR(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,INDEX('Curve_Interface'!$L$8:$L$73,MATCH(C21,'Curve_Interface'!$K$8:$K$73,1)))</f>
        <v/>
      </c>
      <c r="H21" s="36">
        <f>IFERROR(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,INDEX('Curve_Interface'!$L$8:$L$73,MATCH(C22,'Curve_Interface'!$K$8:$K$73,1)))</f>
        <v/>
      </c>
      <c r="H22" s="36">
        <f>IFERROR(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,INDEX('Curve_Interface'!$L$8:$L$73,MATCH(C23,'Curve_Interface'!$K$8:$K$73,1)))</f>
        <v/>
      </c>
      <c r="H23" s="36">
        <f>IFERROR(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,INDEX('Curve_Interface'!$L$8:$L$73,MATCH(C24,'Curve_Interface'!$K$8:$K$73,1)))</f>
        <v/>
      </c>
      <c r="H24" s="36">
        <f>IFERROR(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,INDEX('Curve_Interface'!$L$8:$L$73,MATCH(C25,'Curve_Interface'!$K$8:$K$73,1)))</f>
        <v/>
      </c>
      <c r="H25" s="36">
        <f>IFERROR(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,INDEX('Curve_Interface'!$L$8:$L$73,MATCH(C26,'Curve_Interface'!$K$8:$K$73,1)))</f>
        <v/>
      </c>
      <c r="H26" s="36">
        <f>IFERROR(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,INDEX('Curve_Interface'!$L$8:$L$73,MATCH(C27,'Curve_Interface'!$K$8:$K$73,1)))</f>
        <v/>
      </c>
      <c r="H27" s="36">
        <f>IFERROR(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,INDEX('Curve_Interface'!$L$8:$L$73,MATCH(C28,'Curve_Interface'!$K$8:$K$73,1)))</f>
        <v/>
      </c>
      <c r="H28" s="36">
        <f>IFERROR(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,INDEX('Curve_Interface'!$L$8:$L$73,MATCH(C29,'Curve_Interface'!$K$8:$K$73,1)))</f>
        <v/>
      </c>
      <c r="H29" s="36">
        <f>IFERROR(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,INDEX('Curve_Interface'!$L$8:$L$73,MATCH(C30,'Curve_Interface'!$K$8:$K$73,1)))</f>
        <v/>
      </c>
      <c r="H30" s="36">
        <f>IFERROR(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,INDEX('Curve_Interface'!$L$8:$L$73,MATCH(C31,'Curve_Interface'!$K$8:$K$73,1)))</f>
        <v/>
      </c>
      <c r="H31" s="36">
        <f>IFERROR(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,INDEX('Curve_Interface'!$L$8:$L$73,MATCH(C32,'Curve_Interface'!$K$8:$K$73,1)))</f>
        <v/>
      </c>
      <c r="H32" s="36">
        <f>IFERROR(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,INDEX('Curve_Interface'!$L$8:$L$73,MATCH(C33,'Curve_Interface'!$K$8:$K$73,1)))</f>
        <v/>
      </c>
      <c r="H33" s="36">
        <f>IFERROR(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,INDEX('Curve_Interface'!$L$8:$L$73,MATCH(C34,'Curve_Interface'!$K$8:$K$73,1)))</f>
        <v/>
      </c>
      <c r="H34" s="36">
        <f>IFERROR(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,INDEX('Curve_Interface'!$L$8:$L$73,MATCH(C35,'Curve_Interface'!$K$8:$K$73,1)))</f>
        <v/>
      </c>
      <c r="H35" s="36">
        <f>IFERROR(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,INDEX('Curve_Interface'!$L$8:$L$73,MATCH(C36,'Curve_Interface'!$K$8:$K$73,1)))</f>
        <v/>
      </c>
      <c r="H36" s="36">
        <f>IFERROR(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,INDEX('Curve_Interface'!$L$8:$L$73,MATCH(C37,'Curve_Interface'!$K$8:$K$73,1)))</f>
        <v/>
      </c>
      <c r="H37" s="36">
        <f>IFERROR(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,INDEX('Curve_Interface'!$L$8:$L$73,MATCH(C38,'Curve_Interface'!$K$8:$K$73,1)))</f>
        <v/>
      </c>
      <c r="H38" s="36">
        <f>IFERROR(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,INDEX('Curve_Interface'!$L$8:$L$73,MATCH(C39,'Curve_Interface'!$K$8:$K$73,1)))</f>
        <v/>
      </c>
      <c r="H39" s="36">
        <f>IFERROR(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,INDEX('Curve_Interface'!$L$8:$L$73,MATCH(C40,'Curve_Interface'!$K$8:$K$73,1)))</f>
        <v/>
      </c>
      <c r="H40" s="36">
        <f>IFERROR(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,INDEX('Curve_Interface'!$L$8:$L$73,MATCH(C41,'Curve_Interface'!$K$8:$K$73,1)))</f>
        <v/>
      </c>
      <c r="H41" s="36">
        <f>IFERROR(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,INDEX('Curve_Interface'!$L$8:$L$73,MATCH(C42,'Curve_Interface'!$K$8:$K$73,1)))</f>
        <v/>
      </c>
      <c r="H42" s="36">
        <f>IFERROR(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,INDEX('Curve_Interface'!$L$8:$L$73,MATCH(C43,'Curve_Interface'!$K$8:$K$73,1)))</f>
        <v/>
      </c>
      <c r="H43" s="36">
        <f>IFERROR(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,INDEX('Curve_Interface'!$L$8:$L$73,MATCH(C44,'Curve_Interface'!$K$8:$K$73,1)))</f>
        <v/>
      </c>
      <c r="H44" s="36">
        <f>IFERROR(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,INDEX('Curve_Interface'!$L$8:$L$73,MATCH(C45,'Curve_Interface'!$K$8:$K$73,1)))</f>
        <v/>
      </c>
      <c r="H45" s="36">
        <f>IFERROR(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,INDEX('Curve_Interface'!$L$8:$L$73,MATCH(C46,'Curve_Interface'!$K$8:$K$73,1)))</f>
        <v/>
      </c>
      <c r="H46" s="36">
        <f>IFERROR(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565C0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2026-07-21T13:52:42Z</dcterms:modified>
</cp:coreProperties>
</file>