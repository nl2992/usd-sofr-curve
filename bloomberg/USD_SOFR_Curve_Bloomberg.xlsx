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vention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SOFR_Futur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Solver" sheetId="7" state="hidden" r:id="rId7"/>
    <sheet xmlns:r="http://schemas.openxmlformats.org/officeDocument/2006/relationships" name="Fwd_Interp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Swap_Pricer" sheetId="10" state="visible" r:id="rId10"/>
    <sheet xmlns:r="http://schemas.openxmlformats.org/officeDocument/2006/relationships" name="Bloomberg_S490_Validation" sheetId="11" state="visible" r:id="rId11"/>
    <sheet xmlns:r="http://schemas.openxmlformats.org/officeDocument/2006/relationships" name="Charts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Hazard_Solver" sheetId="16" state="hidden" r:id="rId16"/>
    <sheet xmlns:r="http://schemas.openxmlformats.org/officeDocument/2006/relationships" name="CDS_Schedule" sheetId="17" state="visible" r:id="rId17"/>
    <sheet xmlns:r="http://schemas.openxmlformats.org/officeDocument/2006/relationships" name="CDS_Pricer" sheetId="18" state="visible" r:id="rId18"/>
    <sheet xmlns:r="http://schemas.openxmlformats.org/officeDocument/2006/relationships" name="CDS_Validation" sheetId="19" state="visible" r:id="rId19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1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OBSERVED overnight rate from the S490 screen 07/21/26 (bid = ask = 3.59000), NOT fitted. Off-terminal fallback only: on a terminal C6 pulls the live SOFRRATE fixing. Every curve input is now something we pull - nothing is derived from the S490 zero/discount columns, which are purely the comparison target.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L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The screen's Market Rate column, which is already the mid. Used only when BDP fails; on a terminal BDP bid/ask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MID (%)</t>
        </is>
      </c>
      <c r="K4" s="62" t="inlineStr">
        <is>
          <t>Source</t>
        </is>
      </c>
      <c r="L4" s="62" t="inlineStr"/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IFERROR((E5+F5)/2,IFERROR(G5+0,J5))</f>
        <v/>
      </c>
      <c r="I5" s="26" t="inlineStr">
        <is>
          <t>Y</t>
        </is>
      </c>
      <c r="J5" s="85" t="n">
        <v>3.6395</v>
      </c>
      <c r="K5" s="100" t="inlineStr">
        <is>
          <t>S490 07/21/26</t>
        </is>
      </c>
      <c r="L5" s="94" t="inlineStr"/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IFERROR((E6+F6)/2,IFERROR(G6+0,J6))</f>
        <v/>
      </c>
      <c r="I6" s="26" t="inlineStr"/>
      <c r="J6" s="85" t="n">
        <v>3.67225</v>
      </c>
      <c r="K6" s="100" t="inlineStr">
        <is>
          <t>S490 07/21/26</t>
        </is>
      </c>
      <c r="L6" s="94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IFERROR((E7+F7)/2,IFERROR(G7+0,J7))</f>
        <v/>
      </c>
      <c r="I7" s="26" t="inlineStr"/>
      <c r="J7" s="85" t="n">
        <v>3.67967</v>
      </c>
      <c r="K7" s="100" t="inlineStr">
        <is>
          <t>S490 07/21/26</t>
        </is>
      </c>
      <c r="L7" s="94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IFERROR((E8+F8)/2,IFERROR(G8+0,J8))</f>
        <v/>
      </c>
      <c r="I8" s="26" t="inlineStr">
        <is>
          <t>Y</t>
        </is>
      </c>
      <c r="J8" s="85" t="n">
        <v>3.6885</v>
      </c>
      <c r="K8" s="100" t="inlineStr">
        <is>
          <t>S490 07/21/26</t>
        </is>
      </c>
      <c r="L8" s="94" t="inlineStr"/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IFERROR((E9+F9)/2,IFERROR(G9+0,J9))</f>
        <v/>
      </c>
      <c r="I9" s="26" t="inlineStr"/>
      <c r="J9" s="85" t="n">
        <v>3.71345</v>
      </c>
      <c r="K9" s="100" t="inlineStr">
        <is>
          <t>S490 07/21/26</t>
        </is>
      </c>
      <c r="L9" s="94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IFERROR((E10+F10)/2,IFERROR(G10+0,J10))</f>
        <v/>
      </c>
      <c r="I10" s="26" t="inlineStr">
        <is>
          <t>Y</t>
        </is>
      </c>
      <c r="J10" s="85" t="n">
        <v>3.76634</v>
      </c>
      <c r="K10" s="100" t="inlineStr">
        <is>
          <t>S490 07/21/26</t>
        </is>
      </c>
      <c r="L10" s="94" t="inlineStr"/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IFERROR((E11+F11)/2,IFERROR(G11+0,J11))</f>
        <v/>
      </c>
      <c r="I11" s="26" t="inlineStr"/>
      <c r="J11" s="85" t="n">
        <v>3.81204</v>
      </c>
      <c r="K11" s="100" t="inlineStr">
        <is>
          <t>S490 07/21/26</t>
        </is>
      </c>
      <c r="L11" s="94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IFERROR((E12+F12)/2,IFERROR(G12+0,J12))</f>
        <v/>
      </c>
      <c r="I12" s="26" t="inlineStr"/>
      <c r="J12" s="85" t="n">
        <v>3.8536</v>
      </c>
      <c r="K12" s="100" t="inlineStr">
        <is>
          <t>S490 07/21/26</t>
        </is>
      </c>
      <c r="L12" s="94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IFERROR((E13+F13)/2,IFERROR(G13+0,J13))</f>
        <v/>
      </c>
      <c r="I13" s="26" t="inlineStr">
        <is>
          <t>Y</t>
        </is>
      </c>
      <c r="J13" s="85" t="n">
        <v>3.8993</v>
      </c>
      <c r="K13" s="100" t="inlineStr">
        <is>
          <t>S490 07/21/26</t>
        </is>
      </c>
      <c r="L13" s="94" t="inlineStr"/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IFERROR((E14+F14)/2,IFERROR(G14+0,J14))</f>
        <v/>
      </c>
      <c r="I14" s="26" t="inlineStr"/>
      <c r="J14" s="85" t="n">
        <v>3.9329</v>
      </c>
      <c r="K14" s="100" t="inlineStr">
        <is>
          <t>S490 07/21/26</t>
        </is>
      </c>
      <c r="L14" s="94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IFERROR((E15+F15)/2,IFERROR(G15+0,J15))</f>
        <v/>
      </c>
      <c r="I15" s="26" t="inlineStr"/>
      <c r="J15" s="85" t="n">
        <v>3.96135</v>
      </c>
      <c r="K15" s="100" t="inlineStr">
        <is>
          <t>S490 07/21/26</t>
        </is>
      </c>
      <c r="L15" s="94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IFERROR((E16+F16)/2,IFERROR(G16+0,J16))</f>
        <v/>
      </c>
      <c r="I16" s="26" t="inlineStr"/>
      <c r="J16" s="85" t="n">
        <v>3.99225</v>
      </c>
      <c r="K16" s="100" t="inlineStr">
        <is>
          <t>S490 07/21/26</t>
        </is>
      </c>
      <c r="L16" s="94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IFERROR((E17+F17)/2,IFERROR(G17+0,J17))</f>
        <v/>
      </c>
      <c r="I17" s="26" t="inlineStr"/>
      <c r="J17" s="85" t="n">
        <v>4.0196</v>
      </c>
      <c r="K17" s="100" t="inlineStr">
        <is>
          <t>S490 07/21/26</t>
        </is>
      </c>
      <c r="L17" s="94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IFERROR((E18+F18)/2,IFERROR(G18+0,J18))</f>
        <v/>
      </c>
      <c r="I18" s="26" t="inlineStr"/>
      <c r="J18" s="85" t="n">
        <v>4.04375</v>
      </c>
      <c r="K18" s="100" t="inlineStr">
        <is>
          <t>S490 07/21/26</t>
        </is>
      </c>
      <c r="L18" s="94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IFERROR((E19+F19)/2,IFERROR(G19+0,J19))</f>
        <v/>
      </c>
      <c r="I19" s="26" t="inlineStr"/>
      <c r="J19" s="85" t="n">
        <v>4.06475</v>
      </c>
      <c r="K19" s="100" t="inlineStr">
        <is>
          <t>S490 07/21/26</t>
        </is>
      </c>
      <c r="L19" s="94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IFERROR((E20+F20)/2,IFERROR(G20+0,J20))</f>
        <v/>
      </c>
      <c r="I20" s="26" t="inlineStr"/>
      <c r="J20" s="85" t="n">
        <v>4.08619</v>
      </c>
      <c r="K20" s="100" t="inlineStr">
        <is>
          <t>S490 07/21/26</t>
        </is>
      </c>
      <c r="L20" s="94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IFERROR((E21+F21)/2,IFERROR(G21+0,J21))</f>
        <v/>
      </c>
      <c r="I21" s="26" t="inlineStr"/>
      <c r="J21" s="85" t="n">
        <v>4.0953</v>
      </c>
      <c r="K21" s="100" t="inlineStr">
        <is>
          <t>S490 07/21/26</t>
        </is>
      </c>
      <c r="L21" s="94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IFERROR((E22+F22)/2,IFERROR(G22+0,J22))</f>
        <v/>
      </c>
      <c r="I22" s="26" t="inlineStr"/>
      <c r="J22" s="85" t="n">
        <v>4.0795</v>
      </c>
      <c r="K22" s="100" t="inlineStr">
        <is>
          <t>S490 07/21/26</t>
        </is>
      </c>
      <c r="L22" s="94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IFERROR((E23+F23)/2,IFERROR(G23+0,J23))</f>
        <v/>
      </c>
      <c r="I23" s="26" t="inlineStr"/>
      <c r="J23" s="85" t="n">
        <v>4.07218</v>
      </c>
      <c r="K23" s="100" t="inlineStr">
        <is>
          <t>S490 07/21/26</t>
        </is>
      </c>
      <c r="L23" s="94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IFERROR((E24+F24)/2,IFERROR(G24+0,J24))</f>
        <v/>
      </c>
      <c r="I24" s="26" t="inlineStr">
        <is>
          <t>Y</t>
        </is>
      </c>
      <c r="J24" s="85" t="n">
        <v>4.079</v>
      </c>
      <c r="K24" s="100" t="inlineStr">
        <is>
          <t>S490 07/21/26</t>
        </is>
      </c>
      <c r="L24" s="94" t="inlineStr"/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IFERROR((E25+F25)/2,IFERROR(G25+0,J25))</f>
        <v/>
      </c>
      <c r="I25" s="26" t="inlineStr">
        <is>
          <t>Y</t>
        </is>
      </c>
      <c r="J25" s="85" t="n">
        <v>4.09731</v>
      </c>
      <c r="K25" s="100" t="inlineStr">
        <is>
          <t>S490 07/21/26</t>
        </is>
      </c>
      <c r="L25" s="94" t="inlineStr"/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IFERROR((E26+F26)/2,IFERROR(G26+0,J26))</f>
        <v/>
      </c>
      <c r="I26" s="26" t="inlineStr">
        <is>
          <t>Y</t>
        </is>
      </c>
      <c r="J26" s="85" t="n">
        <v>4.121</v>
      </c>
      <c r="K26" s="100" t="inlineStr">
        <is>
          <t>S490 07/21/26</t>
        </is>
      </c>
      <c r="L26" s="94" t="inlineStr"/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IFERROR((E27+F27)/2,IFERROR(G27+0,J27))</f>
        <v/>
      </c>
      <c r="I27" s="26" t="inlineStr">
        <is>
          <t>Y</t>
        </is>
      </c>
      <c r="J27" s="85" t="n">
        <v>4.14781</v>
      </c>
      <c r="K27" s="100" t="inlineStr">
        <is>
          <t>S490 07/21/26</t>
        </is>
      </c>
      <c r="L27" s="94" t="inlineStr"/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IFERROR((E28+F28)/2,IFERROR(G28+0,J28))</f>
        <v/>
      </c>
      <c r="I28" s="26" t="inlineStr">
        <is>
          <t>Y</t>
        </is>
      </c>
      <c r="J28" s="85" t="n">
        <v>4.17719</v>
      </c>
      <c r="K28" s="100" t="inlineStr">
        <is>
          <t>S490 07/21/26</t>
        </is>
      </c>
      <c r="L28" s="94" t="inlineStr"/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IFERROR((E29+F29)/2,IFERROR(G29+0,J29))</f>
        <v/>
      </c>
      <c r="I29" s="26" t="inlineStr">
        <is>
          <t>Y</t>
        </is>
      </c>
      <c r="J29" s="85" t="n">
        <v>4.2085</v>
      </c>
      <c r="K29" s="100" t="inlineStr">
        <is>
          <t>S490 07/21/26</t>
        </is>
      </c>
      <c r="L29" s="94" t="inlineStr"/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IFERROR((E30+F30)/2,IFERROR(G30+0,J30))</f>
        <v/>
      </c>
      <c r="I30" s="26" t="inlineStr">
        <is>
          <t>Y</t>
        </is>
      </c>
      <c r="J30" s="85" t="n">
        <v>4.27258</v>
      </c>
      <c r="K30" s="100" t="inlineStr">
        <is>
          <t>S490 07/21/26</t>
        </is>
      </c>
      <c r="L30" s="94" t="inlineStr"/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IFERROR((E31+F31)/2,IFERROR(G31+0,J31))</f>
        <v/>
      </c>
      <c r="I31" s="26" t="inlineStr">
        <is>
          <t>Y</t>
        </is>
      </c>
      <c r="J31" s="85" t="n">
        <v>4.35709</v>
      </c>
      <c r="K31" s="100" t="inlineStr">
        <is>
          <t>S490 07/21/26</t>
        </is>
      </c>
      <c r="L31" s="94" t="inlineStr"/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IFERROR((E32+F32)/2,IFERROR(G32+0,J32))</f>
        <v/>
      </c>
      <c r="I32" s="26" t="inlineStr">
        <is>
          <t>Y</t>
        </is>
      </c>
      <c r="J32" s="85" t="n">
        <v>4.42825</v>
      </c>
      <c r="K32" s="100" t="inlineStr">
        <is>
          <t>S490 07/21/26</t>
        </is>
      </c>
      <c r="L32" s="94" t="inlineStr"/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IFERROR((E33+F33)/2,IFERROR(G33+0,J33))</f>
        <v/>
      </c>
      <c r="I33" s="26" t="inlineStr">
        <is>
          <t>Y</t>
        </is>
      </c>
      <c r="J33" s="85" t="n">
        <v>4.4242</v>
      </c>
      <c r="K33" s="100" t="inlineStr">
        <is>
          <t>S490 07/21/26</t>
        </is>
      </c>
      <c r="L33" s="94" t="inlineStr"/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IFERROR((E34+F34)/2,IFERROR(G34+0,J34))</f>
        <v/>
      </c>
      <c r="I34" s="26" t="inlineStr">
        <is>
          <t>Y</t>
        </is>
      </c>
      <c r="J34" s="85" t="n">
        <v>4.3847</v>
      </c>
      <c r="K34" s="100" t="inlineStr">
        <is>
          <t>S490 07/21/26</t>
        </is>
      </c>
      <c r="L34" s="94" t="inlineStr"/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IFERROR((E35+F35)/2,IFERROR(G35+0,J35))</f>
        <v/>
      </c>
      <c r="I35" s="26" t="inlineStr">
        <is>
          <t>Y</t>
        </is>
      </c>
      <c r="J35" s="85" t="n">
        <v>4.2655</v>
      </c>
      <c r="K35" s="100" t="inlineStr">
        <is>
          <t>S490 07/21/26</t>
        </is>
      </c>
      <c r="L35" s="94" t="inlineStr"/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IFERROR((E36+F36)/2,IFERROR(G36+0,J36))</f>
        <v/>
      </c>
      <c r="I36" s="26" t="inlineStr">
        <is>
          <t>Y</t>
        </is>
      </c>
      <c r="J36" s="85" t="n">
        <v>4.1329</v>
      </c>
      <c r="K36" s="100" t="inlineStr">
        <is>
          <t>S490 07/21/26</t>
        </is>
      </c>
      <c r="L36" s="94" t="inlineStr"/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curve: short single-payment OIS (&lt;=1Y) + annual OIS swaps (18M-50Y). THE single production curve - used by Swap_Pricer, Curve_Interface and the CDS module. Verified against the Bloomberg S490 screen (see S490_Target): 32/32 pillars, max zero diff 0.26bp, max DF diff 1.2e-05.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  <c r="AA6" s="67" t="inlineStr">
        <is>
          <t>S490 snapshot 07/21/26 (hard-coded target)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92" t="inlineStr">
        <is>
          <t>Zero (S490)</t>
        </is>
      </c>
      <c r="U7" s="92" t="inlineStr">
        <is>
          <t>DF (S490)</t>
        </is>
      </c>
      <c r="V7" s="92" t="inlineStr">
        <is>
          <t>d zero (bp)</t>
        </is>
      </c>
      <c r="W7" s="92" t="inlineStr">
        <is>
          <t>d DF</t>
        </is>
      </c>
      <c r="AA7" s="62" t="inlineStr">
        <is>
          <t>Date</t>
        </is>
      </c>
      <c r="AB7" s="62" t="inlineStr">
        <is>
          <t>Market rate</t>
        </is>
      </c>
      <c r="AC7" s="62" t="inlineStr">
        <is>
          <t>Zero (screen)</t>
        </is>
      </c>
      <c r="AD7" s="62" t="inlineStr">
        <is>
          <t>DF (screen)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80">
        <f>(B8-VAL_DATE)/360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84">
        <f>IFERROR(INDEX($AC$8:$AC$39,MATCH(B8,$AA$8:$AA$39,0)),"")</f>
        <v/>
      </c>
      <c r="U8" s="80">
        <f>IFERROR(INDEX($AD$8:$AD$39,MATCH(B8,$AA$8:$AA$39,0)),"")</f>
        <v/>
      </c>
      <c r="V8" s="89">
        <f>IF(T8="","",(J8-T8)*100)</f>
        <v/>
      </c>
      <c r="W8" s="72">
        <f>IF(U8="","",H8-U8)</f>
        <v/>
      </c>
      <c r="AA8" s="88" t="n">
        <v>46233</v>
      </c>
      <c r="AB8" s="85" t="n">
        <v>3.6395</v>
      </c>
      <c r="AC8" s="85" t="n">
        <v>3.68874</v>
      </c>
      <c r="AD8" s="69" t="n">
        <v>0.999091</v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80">
        <f>(B9-VAL_DATE)/360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84">
        <f>IFERROR(INDEX($AC$8:$AC$39,MATCH(B9,$AA$8:$AA$39,0)),"")</f>
        <v/>
      </c>
      <c r="U9" s="80">
        <f>IFERROR(INDEX($AD$8:$AD$39,MATCH(B9,$AA$8:$AA$39,0)),"")</f>
        <v/>
      </c>
      <c r="V9" s="89">
        <f>IF(T9="","",(J9-T9)*100)</f>
        <v/>
      </c>
      <c r="W9" s="72">
        <f>IF(U9="","",H9-U9)</f>
        <v/>
      </c>
      <c r="AA9" s="88" t="n">
        <v>46240</v>
      </c>
      <c r="AB9" s="85" t="n">
        <v>3.67225</v>
      </c>
      <c r="AC9" s="85" t="n">
        <v>3.71661</v>
      </c>
      <c r="AD9" s="69" t="n">
        <v>0.998372</v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84">
        <f>IFERROR(INDEX($AC$8:$AC$39,MATCH(B10,$AA$8:$AA$39,0)),"")</f>
        <v/>
      </c>
      <c r="U10" s="80">
        <f>IFERROR(INDEX($AD$8:$AD$39,MATCH(B10,$AA$8:$AA$39,0)),"")</f>
        <v/>
      </c>
      <c r="V10" s="89">
        <f>IF(T10="","",(J10-T10)*100)</f>
        <v/>
      </c>
      <c r="W10" s="72">
        <f>IF(U10="","",H10-U10)</f>
        <v/>
      </c>
      <c r="AA10" s="88" t="n">
        <v>46247</v>
      </c>
      <c r="AB10" s="85" t="n">
        <v>3.67967</v>
      </c>
      <c r="AC10" s="85" t="n">
        <v>3.72347</v>
      </c>
      <c r="AD10" s="69" t="n">
        <v>0.997656</v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84">
        <f>IFERROR(INDEX($AC$8:$AC$39,MATCH(B11,$AA$8:$AA$39,0)),"")</f>
        <v/>
      </c>
      <c r="U11" s="80">
        <f>IFERROR(INDEX($AD$8:$AD$39,MATCH(B11,$AA$8:$AA$39,0)),"")</f>
        <v/>
      </c>
      <c r="V11" s="89">
        <f>IF(T11="","",(J11-T11)*100)</f>
        <v/>
      </c>
      <c r="W11" s="72">
        <f>IF(U11="","",H11-U11)</f>
        <v/>
      </c>
      <c r="AA11" s="88" t="n">
        <v>46258</v>
      </c>
      <c r="AB11" s="85" t="n">
        <v>3.6885</v>
      </c>
      <c r="AC11" s="85" t="n">
        <v>3.73097</v>
      </c>
      <c r="AD11" s="69" t="n">
        <v>0.9965309999999999</v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84">
        <f>IFERROR(INDEX($AC$8:$AC$39,MATCH(B12,$AA$8:$AA$39,0)),"")</f>
        <v/>
      </c>
      <c r="U12" s="80">
        <f>IFERROR(INDEX($AD$8:$AD$39,MATCH(B12,$AA$8:$AA$39,0)),"")</f>
        <v/>
      </c>
      <c r="V12" s="89">
        <f>IF(T12="","",(J12-T12)*100)</f>
        <v/>
      </c>
      <c r="W12" s="72">
        <f>IF(U12="","",H12-U12)</f>
        <v/>
      </c>
      <c r="AA12" s="88" t="n">
        <v>46288</v>
      </c>
      <c r="AB12" s="85" t="n">
        <v>3.71345</v>
      </c>
      <c r="AC12" s="85" t="n">
        <v>3.75103</v>
      </c>
      <c r="AD12" s="69" t="n">
        <v>0.993444</v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84">
        <f>IFERROR(INDEX($AC$8:$AC$39,MATCH(B13,$AA$8:$AA$39,0)),"")</f>
        <v/>
      </c>
      <c r="U13" s="80">
        <f>IFERROR(INDEX($AD$8:$AD$39,MATCH(B13,$AA$8:$AA$39,0)),"")</f>
        <v/>
      </c>
      <c r="V13" s="89">
        <f>IF(T13="","",(J13-T13)*100)</f>
        <v/>
      </c>
      <c r="W13" s="72">
        <f>IF(U13="","",H13-U13)</f>
        <v/>
      </c>
      <c r="AA13" s="88" t="n">
        <v>46318</v>
      </c>
      <c r="AB13" s="85" t="n">
        <v>3.76634</v>
      </c>
      <c r="AC13" s="85" t="n">
        <v>3.79801</v>
      </c>
      <c r="AD13" s="69" t="n">
        <v>0.990267</v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84">
        <f>IFERROR(INDEX($AC$8:$AC$39,MATCH(B14,$AA$8:$AA$39,0)),"")</f>
        <v/>
      </c>
      <c r="U14" s="80">
        <f>IFERROR(INDEX($AD$8:$AD$39,MATCH(B14,$AA$8:$AA$39,0)),"")</f>
        <v/>
      </c>
      <c r="V14" s="89">
        <f>IF(T14="","",(J14-T14)*100)</f>
        <v/>
      </c>
      <c r="W14" s="72">
        <f>IF(U14="","",H14-U14)</f>
        <v/>
      </c>
      <c r="AA14" s="88" t="n">
        <v>46349</v>
      </c>
      <c r="AB14" s="85" t="n">
        <v>3.81204</v>
      </c>
      <c r="AC14" s="85" t="n">
        <v>3.83761</v>
      </c>
      <c r="AD14" s="69" t="n">
        <v>0.986943</v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84">
        <f>IFERROR(INDEX($AC$8:$AC$39,MATCH(B15,$AA$8:$AA$39,0)),"")</f>
        <v/>
      </c>
      <c r="U15" s="80">
        <f>IFERROR(INDEX($AD$8:$AD$39,MATCH(B15,$AA$8:$AA$39,0)),"")</f>
        <v/>
      </c>
      <c r="V15" s="89">
        <f>IF(T15="","",(J15-T15)*100)</f>
        <v/>
      </c>
      <c r="W15" s="72">
        <f>IF(U15="","",H15-U15)</f>
        <v/>
      </c>
      <c r="AA15" s="88" t="n">
        <v>46379</v>
      </c>
      <c r="AB15" s="85" t="n">
        <v>3.8536</v>
      </c>
      <c r="AC15" s="85" t="n">
        <v>3.87306</v>
      </c>
      <c r="AD15" s="69" t="n">
        <v>0.983687</v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84">
        <f>IFERROR(INDEX($AC$8:$AC$39,MATCH(B16,$AA$8:$AA$39,0)),"")</f>
        <v/>
      </c>
      <c r="U16" s="80">
        <f>IFERROR(INDEX($AD$8:$AD$39,MATCH(B16,$AA$8:$AA$39,0)),"")</f>
        <v/>
      </c>
      <c r="V16" s="89">
        <f>IF(T16="","",(J16-T16)*100)</f>
        <v/>
      </c>
      <c r="W16" s="72">
        <f>IF(U16="","",H16-U16)</f>
        <v/>
      </c>
      <c r="AA16" s="88" t="n">
        <v>46412</v>
      </c>
      <c r="AB16" s="85" t="n">
        <v>3.8993</v>
      </c>
      <c r="AC16" s="85" t="n">
        <v>3.91176</v>
      </c>
      <c r="AD16" s="69" t="n">
        <v>0.980053</v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84">
        <f>IFERROR(INDEX($AC$8:$AC$39,MATCH(B17,$AA$8:$AA$39,0)),"")</f>
        <v/>
      </c>
      <c r="U17" s="80">
        <f>IFERROR(INDEX($AD$8:$AD$39,MATCH(B17,$AA$8:$AA$39,0)),"")</f>
        <v/>
      </c>
      <c r="V17" s="89">
        <f>IF(T17="","",(J17-T17)*100)</f>
        <v/>
      </c>
      <c r="W17" s="72">
        <f>IF(U17="","",H17-U17)</f>
        <v/>
      </c>
      <c r="AA17" s="88" t="n">
        <v>46441</v>
      </c>
      <c r="AB17" s="85" t="n">
        <v>3.9329</v>
      </c>
      <c r="AC17" s="85" t="n">
        <v>3.93909</v>
      </c>
      <c r="AD17" s="69" t="n">
        <v>0.976853</v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84">
        <f>IFERROR(INDEX($AC$8:$AC$39,MATCH(B18,$AA$8:$AA$39,0)),"")</f>
        <v/>
      </c>
      <c r="U18" s="80">
        <f>IFERROR(INDEX($AD$8:$AD$39,MATCH(B18,$AA$8:$AA$39,0)),"")</f>
        <v/>
      </c>
      <c r="V18" s="89">
        <f>IF(T18="","",(J18-T18)*100)</f>
        <v/>
      </c>
      <c r="W18" s="72">
        <f>IF(U18="","",H18-U18)</f>
        <v/>
      </c>
      <c r="AA18" s="88" t="n">
        <v>46469</v>
      </c>
      <c r="AB18" s="85" t="n">
        <v>3.96135</v>
      </c>
      <c r="AC18" s="85" t="n">
        <v>3.96137</v>
      </c>
      <c r="AD18" s="69" t="n">
        <v>0.97376</v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84">
        <f>IFERROR(INDEX($AC$8:$AC$39,MATCH(B19,$AA$8:$AA$39,0)),"")</f>
        <v/>
      </c>
      <c r="U19" s="80">
        <f>IFERROR(INDEX($AD$8:$AD$39,MATCH(B19,$AA$8:$AA$39,0)),"")</f>
        <v/>
      </c>
      <c r="V19" s="89">
        <f>IF(T19="","",(J19-T19)*100)</f>
        <v/>
      </c>
      <c r="W19" s="72">
        <f>IF(U19="","",H19-U19)</f>
        <v/>
      </c>
      <c r="AA19" s="88" t="n">
        <v>46500</v>
      </c>
      <c r="AB19" s="85" t="n">
        <v>3.99225</v>
      </c>
      <c r="AC19" s="85" t="n">
        <v>3.98526</v>
      </c>
      <c r="AD19" s="69" t="n">
        <v>0.970314</v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84">
        <f>IFERROR(INDEX($AC$8:$AC$39,MATCH(B20,$AA$8:$AA$39,0)),"")</f>
        <v/>
      </c>
      <c r="U20" s="80">
        <f>IFERROR(INDEX($AD$8:$AD$39,MATCH(B20,$AA$8:$AA$39,0)),"")</f>
        <v/>
      </c>
      <c r="V20" s="89">
        <f>IF(T20="","",(J20-T20)*100)</f>
        <v/>
      </c>
      <c r="W20" s="72">
        <f>IF(U20="","",H20-U20)</f>
        <v/>
      </c>
      <c r="AA20" s="88" t="n">
        <v>46531</v>
      </c>
      <c r="AB20" s="85" t="n">
        <v>4.0196</v>
      </c>
      <c r="AC20" s="85" t="n">
        <v>4.00549</v>
      </c>
      <c r="AD20" s="69" t="n">
        <v>0.966871</v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84">
        <f>IFERROR(INDEX($AC$8:$AC$39,MATCH(B21,$AA$8:$AA$39,0)),"")</f>
        <v/>
      </c>
      <c r="U21" s="80">
        <f>IFERROR(INDEX($AD$8:$AD$39,MATCH(B21,$AA$8:$AA$39,0)),"")</f>
        <v/>
      </c>
      <c r="V21" s="89">
        <f>IF(T21="","",(J21-T21)*100)</f>
        <v/>
      </c>
      <c r="W21" s="72">
        <f>IF(U21="","",H21-U21)</f>
        <v/>
      </c>
      <c r="AA21" s="88" t="n">
        <v>46561</v>
      </c>
      <c r="AB21" s="85" t="n">
        <v>4.04375</v>
      </c>
      <c r="AC21" s="85" t="n">
        <v>4.02266</v>
      </c>
      <c r="AD21" s="69" t="n">
        <v>0.963541</v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80">
        <f>(B22-VAL_DATE)/360</f>
        <v/>
      </c>
      <c r="E22" s="17">
        <f>'SOFR_OIS_Quotes'!$H19</f>
        <v/>
      </c>
      <c r="F22" s="17">
        <f>(B22-VAL_DATE)/360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84">
        <f>IFERROR(INDEX($AC$8:$AC$39,MATCH(B22,$AA$8:$AA$39,0)),"")</f>
        <v/>
      </c>
      <c r="U22" s="80">
        <f>IFERROR(INDEX($AD$8:$AD$39,MATCH(B22,$AA$8:$AA$39,0)),"")</f>
        <v/>
      </c>
      <c r="V22" s="89">
        <f>IF(T22="","",(J22-T22)*100)</f>
        <v/>
      </c>
      <c r="W22" s="72">
        <f>IF(U22="","",H22-U22)</f>
        <v/>
      </c>
      <c r="AA22" s="88" t="n">
        <v>46591</v>
      </c>
      <c r="AB22" s="85" t="n">
        <v>4.06475</v>
      </c>
      <c r="AC22" s="85" t="n">
        <v>4.03664</v>
      </c>
      <c r="AD22" s="69" t="n">
        <v>0.960225</v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84">
        <f>IFERROR(INDEX($AC$8:$AC$39,MATCH(B23,$AA$8:$AA$39,0)),"")</f>
        <v/>
      </c>
      <c r="U23" s="80">
        <f>IFERROR(INDEX($AD$8:$AD$39,MATCH(B23,$AA$8:$AA$39,0)),"")</f>
        <v/>
      </c>
      <c r="V23" s="89">
        <f>IF(T23="","",(J23-T23)*100)</f>
        <v/>
      </c>
      <c r="W23" s="72">
        <f>IF(U23="","",H23-U23)</f>
        <v/>
      </c>
      <c r="AA23" s="88" t="n">
        <v>46776</v>
      </c>
      <c r="AB23" s="85" t="n">
        <v>4.08619</v>
      </c>
      <c r="AC23" s="85" t="n">
        <v>4.07316</v>
      </c>
      <c r="AD23" s="69" t="n">
        <v>0.940259</v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84">
        <f>IFERROR(INDEX($AC$8:$AC$39,MATCH(B24,$AA$8:$AA$39,0)),"")</f>
        <v/>
      </c>
      <c r="U24" s="80">
        <f>IFERROR(INDEX($AD$8:$AD$39,MATCH(B24,$AA$8:$AA$39,0)),"")</f>
        <v/>
      </c>
      <c r="V24" s="89">
        <f>IF(T24="","",(J24-T24)*100)</f>
        <v/>
      </c>
      <c r="W24" s="72">
        <f>IF(U24="","",H24-U24)</f>
        <v/>
      </c>
      <c r="AA24" s="88" t="n">
        <v>46958</v>
      </c>
      <c r="AB24" s="85" t="n">
        <v>4.0953</v>
      </c>
      <c r="AC24" s="85" t="n">
        <v>4.06764</v>
      </c>
      <c r="AD24" s="69" t="n">
        <v>0.921457</v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84">
        <f>IFERROR(INDEX($AC$8:$AC$39,MATCH(B25,$AA$8:$AA$39,0)),"")</f>
        <v/>
      </c>
      <c r="U25" s="80">
        <f>IFERROR(INDEX($AD$8:$AD$39,MATCH(B25,$AA$8:$AA$39,0)),"")</f>
        <v/>
      </c>
      <c r="V25" s="89">
        <f>IF(T25="","",(J25-T25)*100)</f>
        <v/>
      </c>
      <c r="W25" s="72">
        <f>IF(U25="","",H25-U25)</f>
        <v/>
      </c>
      <c r="AA25" s="88" t="n">
        <v>47322</v>
      </c>
      <c r="AB25" s="85" t="n">
        <v>4.0795</v>
      </c>
      <c r="AC25" s="85" t="n">
        <v>4.05193</v>
      </c>
      <c r="AD25" s="69" t="n">
        <v>0.8852449999999999</v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84">
        <f>IFERROR(INDEX($AC$8:$AC$39,MATCH(B26,$AA$8:$AA$39,0)),"")</f>
        <v/>
      </c>
      <c r="U26" s="80">
        <f>IFERROR(INDEX($AD$8:$AD$39,MATCH(B26,$AA$8:$AA$39,0)),"")</f>
        <v/>
      </c>
      <c r="V26" s="89">
        <f>IF(T26="","",(J26-T26)*100)</f>
        <v/>
      </c>
      <c r="W26" s="72">
        <f>IF(U26="","",H26-U26)</f>
        <v/>
      </c>
      <c r="AA26" s="88" t="n">
        <v>47687</v>
      </c>
      <c r="AB26" s="85" t="n">
        <v>4.07218</v>
      </c>
      <c r="AC26" s="85" t="n">
        <v>4.0446</v>
      </c>
      <c r="AD26" s="69" t="n">
        <v>0.850342</v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84">
        <f>IFERROR(INDEX($AC$8:$AC$39,MATCH(B27,$AA$8:$AA$39,0)),"")</f>
        <v/>
      </c>
      <c r="U27" s="80">
        <f>IFERROR(INDEX($AD$8:$AD$39,MATCH(B27,$AA$8:$AA$39,0)),"")</f>
        <v/>
      </c>
      <c r="V27" s="89">
        <f>IF(T27="","",(J27-T27)*100)</f>
        <v/>
      </c>
      <c r="W27" s="72">
        <f>IF(U27="","",H27-U27)</f>
        <v/>
      </c>
      <c r="AA27" s="88" t="n">
        <v>48052</v>
      </c>
      <c r="AB27" s="85" t="n">
        <v>4.079</v>
      </c>
      <c r="AC27" s="85" t="n">
        <v>4.05204</v>
      </c>
      <c r="AD27" s="69" t="n">
        <v>0.816331</v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84">
        <f>IFERROR(INDEX($AC$8:$AC$39,MATCH(B28,$AA$8:$AA$39,0)),"")</f>
        <v/>
      </c>
      <c r="U28" s="80">
        <f>IFERROR(INDEX($AD$8:$AD$39,MATCH(B28,$AA$8:$AA$39,0)),"")</f>
        <v/>
      </c>
      <c r="V28" s="89">
        <f>IF(T28="","",(J28-T28)*100)</f>
        <v/>
      </c>
      <c r="W28" s="72">
        <f>IF(U28="","",H28-U28)</f>
        <v/>
      </c>
      <c r="AA28" s="88" t="n">
        <v>48418</v>
      </c>
      <c r="AB28" s="85" t="n">
        <v>4.09731</v>
      </c>
      <c r="AC28" s="85" t="n">
        <v>4.07184</v>
      </c>
      <c r="AD28" s="69" t="n">
        <v>0.782895</v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84">
        <f>IFERROR(INDEX($AC$8:$AC$39,MATCH(B29,$AA$8:$AA$39,0)),"")</f>
        <v/>
      </c>
      <c r="U29" s="80">
        <f>IFERROR(INDEX($AD$8:$AD$39,MATCH(B29,$AA$8:$AA$39,0)),"")</f>
        <v/>
      </c>
      <c r="V29" s="89">
        <f>IF(T29="","",(J29-T29)*100)</f>
        <v/>
      </c>
      <c r="W29" s="72">
        <f>IF(U29="","",H29-U29)</f>
        <v/>
      </c>
      <c r="AA29" s="88" t="n">
        <v>48785</v>
      </c>
      <c r="AB29" s="85" t="n">
        <v>4.121</v>
      </c>
      <c r="AC29" s="85" t="n">
        <v>4.0977</v>
      </c>
      <c r="AD29" s="69" t="n">
        <v>0.750127</v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84">
        <f>IFERROR(INDEX($AC$8:$AC$39,MATCH(B30,$AA$8:$AA$39,0)),"")</f>
        <v/>
      </c>
      <c r="U30" s="80">
        <f>IFERROR(INDEX($AD$8:$AD$39,MATCH(B30,$AA$8:$AA$39,0)),"")</f>
        <v/>
      </c>
      <c r="V30" s="89">
        <f>IF(T30="","",(J30-T30)*100)</f>
        <v/>
      </c>
      <c r="W30" s="72">
        <f>IF(U30="","",H30-U30)</f>
        <v/>
      </c>
      <c r="AA30" s="88" t="n">
        <v>49149</v>
      </c>
      <c r="AB30" s="85" t="n">
        <v>4.14781</v>
      </c>
      <c r="AC30" s="85" t="n">
        <v>4.12747</v>
      </c>
      <c r="AD30" s="69" t="n">
        <v>0.718375</v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84">
        <f>IFERROR(INDEX($AC$8:$AC$39,MATCH(B31,$AA$8:$AA$39,0)),"")</f>
        <v/>
      </c>
      <c r="U31" s="80">
        <f>IFERROR(INDEX($AD$8:$AD$39,MATCH(B31,$AA$8:$AA$39,0)),"")</f>
        <v/>
      </c>
      <c r="V31" s="89">
        <f>IF(T31="","",(J31-T31)*100)</f>
        <v/>
      </c>
      <c r="W31" s="72">
        <f>IF(U31="","",H31-U31)</f>
        <v/>
      </c>
      <c r="AA31" s="88" t="n">
        <v>49513</v>
      </c>
      <c r="AB31" s="85" t="n">
        <v>4.17719</v>
      </c>
      <c r="AC31" s="85" t="n">
        <v>4.16061</v>
      </c>
      <c r="AD31" s="69" t="n">
        <v>0.687351</v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84">
        <f>IFERROR(INDEX($AC$8:$AC$39,MATCH(B32,$AA$8:$AA$39,0)),"")</f>
        <v/>
      </c>
      <c r="U32" s="80">
        <f>IFERROR(INDEX($AD$8:$AD$39,MATCH(B32,$AA$8:$AA$39,0)),"")</f>
        <v/>
      </c>
      <c r="V32" s="89">
        <f>IF(T32="","",(J32-T32)*100)</f>
        <v/>
      </c>
      <c r="W32" s="72">
        <f>IF(U32="","",H32-U32)</f>
        <v/>
      </c>
      <c r="AA32" s="88" t="n">
        <v>49879</v>
      </c>
      <c r="AB32" s="85" t="n">
        <v>4.2085</v>
      </c>
      <c r="AC32" s="85" t="n">
        <v>4.19645</v>
      </c>
      <c r="AD32" s="69" t="n">
        <v>0.656903</v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84">
        <f>IFERROR(INDEX($AC$8:$AC$39,MATCH(B33,$AA$8:$AA$39,0)),"")</f>
        <v/>
      </c>
      <c r="U33" s="80">
        <f>IFERROR(INDEX($AD$8:$AD$39,MATCH(B33,$AA$8:$AA$39,0)),"")</f>
        <v/>
      </c>
      <c r="V33" s="89">
        <f>IF(T33="","",(J33-T33)*100)</f>
        <v/>
      </c>
      <c r="W33" s="72">
        <f>IF(U33="","",H33-U33)</f>
        <v/>
      </c>
      <c r="AA33" s="88" t="n">
        <v>50609</v>
      </c>
      <c r="AB33" s="85" t="n">
        <v>4.27258</v>
      </c>
      <c r="AC33" s="85" t="n">
        <v>4.27167</v>
      </c>
      <c r="AD33" s="69" t="n">
        <v>0.598586</v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84">
        <f>IFERROR(INDEX($AC$8:$AC$39,MATCH(B34,$AA$8:$AA$39,0)),"")</f>
        <v/>
      </c>
      <c r="U34" s="80">
        <f>IFERROR(INDEX($AD$8:$AD$39,MATCH(B34,$AA$8:$AA$39,0)),"")</f>
        <v/>
      </c>
      <c r="V34" s="89">
        <f>IF(T34="","",(J34-T34)*100)</f>
        <v/>
      </c>
      <c r="W34" s="72">
        <f>IF(U34="","",H34-U34)</f>
        <v/>
      </c>
      <c r="AA34" s="88" t="n">
        <v>51705</v>
      </c>
      <c r="AB34" s="85" t="n">
        <v>4.35709</v>
      </c>
      <c r="AC34" s="85" t="n">
        <v>4.37465</v>
      </c>
      <c r="AD34" s="69" t="n">
        <v>0.518448</v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84">
        <f>IFERROR(INDEX($AC$8:$AC$39,MATCH(B35,$AA$8:$AA$39,0)),"")</f>
        <v/>
      </c>
      <c r="U35" s="80">
        <f>IFERROR(INDEX($AD$8:$AD$39,MATCH(B35,$AA$8:$AA$39,0)),"")</f>
        <v/>
      </c>
      <c r="V35" s="89">
        <f>IF(T35="","",(J35-T35)*100)</f>
        <v/>
      </c>
      <c r="W35" s="72">
        <f>IF(U35="","",H35-U35)</f>
        <v/>
      </c>
      <c r="AA35" s="88" t="n">
        <v>53531</v>
      </c>
      <c r="AB35" s="85" t="n">
        <v>4.42825</v>
      </c>
      <c r="AC35" s="85" t="n">
        <v>4.46214</v>
      </c>
      <c r="AD35" s="69" t="n">
        <v>0.40931</v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84">
        <f>IFERROR(INDEX($AC$8:$AC$39,MATCH(B36,$AA$8:$AA$39,0)),"")</f>
        <v/>
      </c>
      <c r="U36" s="80">
        <f>IFERROR(INDEX($AD$8:$AD$39,MATCH(B36,$AA$8:$AA$39,0)),"")</f>
        <v/>
      </c>
      <c r="V36" s="89">
        <f>IF(T36="","",(J36-T36)*100)</f>
        <v/>
      </c>
      <c r="W36" s="72">
        <f>IF(U36="","",H36-U36)</f>
        <v/>
      </c>
      <c r="AA36" s="88" t="n">
        <v>55358</v>
      </c>
      <c r="AB36" s="85" t="n">
        <v>4.4242</v>
      </c>
      <c r="AC36" s="85" t="n">
        <v>4.44153</v>
      </c>
      <c r="AD36" s="69" t="n">
        <v>0.329072</v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84">
        <f>IFERROR(INDEX($AC$8:$AC$39,MATCH(B37,$AA$8:$AA$39,0)),"")</f>
        <v/>
      </c>
      <c r="U37" s="80">
        <f>IFERROR(INDEX($AD$8:$AD$39,MATCH(B37,$AA$8:$AA$39,0)),"")</f>
        <v/>
      </c>
      <c r="V37" s="89">
        <f>IF(T37="","",(J37-T37)*100)</f>
        <v/>
      </c>
      <c r="W37" s="72">
        <f>IF(U37="","",H37-U37)</f>
        <v/>
      </c>
      <c r="AA37" s="88" t="n">
        <v>57185</v>
      </c>
      <c r="AB37" s="85" t="n">
        <v>4.3847</v>
      </c>
      <c r="AC37" s="85" t="n">
        <v>4.36083</v>
      </c>
      <c r="AD37" s="69" t="n">
        <v>0.269938</v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84">
        <f>IFERROR(INDEX($AC$8:$AC$39,MATCH(B38,$AA$8:$AA$39,0)),"")</f>
        <v/>
      </c>
      <c r="U38" s="80">
        <f>IFERROR(INDEX($AD$8:$AD$39,MATCH(B38,$AA$8:$AA$39,0)),"")</f>
        <v/>
      </c>
      <c r="V38" s="89">
        <f>IF(T38="","",(J38-T38)*100)</f>
        <v/>
      </c>
      <c r="W38" s="72">
        <f>IF(U38="","",H38-U38)</f>
        <v/>
      </c>
      <c r="AA38" s="88" t="n">
        <v>60836</v>
      </c>
      <c r="AB38" s="85" t="n">
        <v>4.2655</v>
      </c>
      <c r="AC38" s="85" t="n">
        <v>4.11716</v>
      </c>
      <c r="AD38" s="69" t="n">
        <v>0.192392</v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84">
        <f>IFERROR(INDEX($AC$8:$AC$39,MATCH(B39,$AA$8:$AA$39,0)),"")</f>
        <v/>
      </c>
      <c r="U39" s="80">
        <f>IFERROR(INDEX($AD$8:$AD$39,MATCH(B39,$AA$8:$AA$39,0)),"")</f>
        <v/>
      </c>
      <c r="V39" s="89">
        <f>IF(T39="","",(J39-T39)*100)</f>
        <v/>
      </c>
      <c r="W39" s="72">
        <f>IF(U39="","",H39-U39)</f>
        <v/>
      </c>
      <c r="AA39" s="88" t="n">
        <v>64489</v>
      </c>
      <c r="AB39" s="85" t="n">
        <v>4.1329</v>
      </c>
      <c r="AC39" s="85" t="n">
        <v>3.82391</v>
      </c>
      <c r="AD39" s="69" t="n">
        <v>0.147559</v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84">
        <f>IFERROR(INDEX($AC$8:$AC$39,MATCH(B40,$AA$8:$AA$39,0)),"")</f>
        <v/>
      </c>
      <c r="U40" s="80">
        <f>IFERROR(INDEX($AD$8:$AD$39,MATCH(B40,$AA$8:$AA$39,0)),"")</f>
        <v/>
      </c>
      <c r="V40" s="89">
        <f>IF(T40="","",(J40-T40)*100)</f>
        <v/>
      </c>
      <c r="W40" s="72">
        <f>IF(U40="","",H40-U40)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84">
        <f>IFERROR(INDEX($AC$8:$AC$39,MATCH(B41,$AA$8:$AA$39,0)),"")</f>
        <v/>
      </c>
      <c r="U41" s="80">
        <f>IFERROR(INDEX($AD$8:$AD$39,MATCH(B41,$AA$8:$AA$39,0)),"")</f>
        <v/>
      </c>
      <c r="V41" s="89">
        <f>IF(T41="","",(J41-T41)*100)</f>
        <v/>
      </c>
      <c r="W41" s="72">
        <f>IF(U41="","",H41-U41)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84">
        <f>IFERROR(INDEX($AC$8:$AC$39,MATCH(B42,$AA$8:$AA$39,0)),"")</f>
        <v/>
      </c>
      <c r="U42" s="80">
        <f>IFERROR(INDEX($AD$8:$AD$39,MATCH(B42,$AA$8:$AA$39,0)),"")</f>
        <v/>
      </c>
      <c r="V42" s="89">
        <f>IF(T42="","",(J42-T42)*100)</f>
        <v/>
      </c>
      <c r="W42" s="72">
        <f>IF(U42="","",H42-U42)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84">
        <f>IFERROR(INDEX($AC$8:$AC$39,MATCH(B43,$AA$8:$AA$39,0)),"")</f>
        <v/>
      </c>
      <c r="U43" s="80">
        <f>IFERROR(INDEX($AD$8:$AD$39,MATCH(B43,$AA$8:$AA$39,0)),"")</f>
        <v/>
      </c>
      <c r="V43" s="89">
        <f>IF(T43="","",(J43-T43)*100)</f>
        <v/>
      </c>
      <c r="W43" s="72">
        <f>IF(U43="","",H43-U43)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84">
        <f>IFERROR(INDEX($AC$8:$AC$39,MATCH(B44,$AA$8:$AA$39,0)),"")</f>
        <v/>
      </c>
      <c r="U44" s="80">
        <f>IFERROR(INDEX($AD$8:$AD$39,MATCH(B44,$AA$8:$AA$39,0)),"")</f>
        <v/>
      </c>
      <c r="V44" s="89">
        <f>IF(T44="","",(J44-T44)*100)</f>
        <v/>
      </c>
      <c r="W44" s="72">
        <f>IF(U44="","",H44-U44)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84">
        <f>IFERROR(INDEX($AC$8:$AC$39,MATCH(B45,$AA$8:$AA$39,0)),"")</f>
        <v/>
      </c>
      <c r="U45" s="80">
        <f>IFERROR(INDEX($AD$8:$AD$39,MATCH(B45,$AA$8:$AA$39,0)),"")</f>
        <v/>
      </c>
      <c r="V45" s="89">
        <f>IF(T45="","",(J45-T45)*100)</f>
        <v/>
      </c>
      <c r="W45" s="72">
        <f>IF(U45="","",H45-U45)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84">
        <f>IFERROR(INDEX($AC$8:$AC$39,MATCH(B46,$AA$8:$AA$39,0)),"")</f>
        <v/>
      </c>
      <c r="U46" s="80">
        <f>IFERROR(INDEX($AD$8:$AD$39,MATCH(B46,$AA$8:$AA$39,0)),"")</f>
        <v/>
      </c>
      <c r="V46" s="89">
        <f>IF(T46="","",(J46-T46)*100)</f>
        <v/>
      </c>
      <c r="W46" s="72">
        <f>IF(U46="","",H46-U46)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84">
        <f>IFERROR(INDEX($AC$8:$AC$39,MATCH(B47,$AA$8:$AA$39,0)),"")</f>
        <v/>
      </c>
      <c r="U47" s="80">
        <f>IFERROR(INDEX($AD$8:$AD$39,MATCH(B47,$AA$8:$AA$39,0)),"")</f>
        <v/>
      </c>
      <c r="V47" s="89">
        <f>IF(T47="","",(J47-T47)*100)</f>
        <v/>
      </c>
      <c r="W47" s="72">
        <f>IF(U47="","",H47-U47)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84">
        <f>IFERROR(INDEX($AC$8:$AC$39,MATCH(B48,$AA$8:$AA$39,0)),"")</f>
        <v/>
      </c>
      <c r="U48" s="80">
        <f>IFERROR(INDEX($AD$8:$AD$39,MATCH(B48,$AA$8:$AA$39,0)),"")</f>
        <v/>
      </c>
      <c r="V48" s="89">
        <f>IF(T48="","",(J48-T48)*100)</f>
        <v/>
      </c>
      <c r="W48" s="72">
        <f>IF(U48="","",H48-U48)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84">
        <f>IFERROR(INDEX($AC$8:$AC$39,MATCH(B49,$AA$8:$AA$39,0)),"")</f>
        <v/>
      </c>
      <c r="U49" s="80">
        <f>IFERROR(INDEX($AD$8:$AD$39,MATCH(B49,$AA$8:$AA$39,0)),"")</f>
        <v/>
      </c>
      <c r="V49" s="89">
        <f>IF(T49="","",(J49-T49)*100)</f>
        <v/>
      </c>
      <c r="W49" s="72">
        <f>IF(U49="","",H49-U49)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84">
        <f>IFERROR(INDEX($AC$8:$AC$39,MATCH(B50,$AA$8:$AA$39,0)),"")</f>
        <v/>
      </c>
      <c r="U50" s="80">
        <f>IFERROR(INDEX($AD$8:$AD$39,MATCH(B50,$AA$8:$AA$39,0)),"")</f>
        <v/>
      </c>
      <c r="V50" s="89">
        <f>IF(T50="","",(J50-T50)*100)</f>
        <v/>
      </c>
      <c r="W50" s="72">
        <f>IF(U50="","",H50-U50)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84">
        <f>IFERROR(INDEX($AC$8:$AC$39,MATCH(B51,$AA$8:$AA$39,0)),"")</f>
        <v/>
      </c>
      <c r="U51" s="80">
        <f>IFERROR(INDEX($AD$8:$AD$39,MATCH(B51,$AA$8:$AA$39,0)),"")</f>
        <v/>
      </c>
      <c r="V51" s="89">
        <f>IF(T51="","",(J51-T51)*100)</f>
        <v/>
      </c>
      <c r="W51" s="72">
        <f>IF(U51="","",H51-U51)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84">
        <f>IFERROR(INDEX($AC$8:$AC$39,MATCH(B52,$AA$8:$AA$39,0)),"")</f>
        <v/>
      </c>
      <c r="U52" s="80">
        <f>IFERROR(INDEX($AD$8:$AD$39,MATCH(B52,$AA$8:$AA$39,0)),"")</f>
        <v/>
      </c>
      <c r="V52" s="89">
        <f>IF(T52="","",(J52-T52)*100)</f>
        <v/>
      </c>
      <c r="W52" s="72">
        <f>IF(U52="","",H52-U52)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84">
        <f>IFERROR(INDEX($AC$8:$AC$39,MATCH(B53,$AA$8:$AA$39,0)),"")</f>
        <v/>
      </c>
      <c r="U53" s="80">
        <f>IFERROR(INDEX($AD$8:$AD$39,MATCH(B53,$AA$8:$AA$39,0)),"")</f>
        <v/>
      </c>
      <c r="V53" s="89">
        <f>IF(T53="","",(J53-T53)*100)</f>
        <v/>
      </c>
      <c r="W53" s="72">
        <f>IF(U53="","",H53-U53)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84">
        <f>IFERROR(INDEX($AC$8:$AC$39,MATCH(B54,$AA$8:$AA$39,0)),"")</f>
        <v/>
      </c>
      <c r="U54" s="80">
        <f>IFERROR(INDEX($AD$8:$AD$39,MATCH(B54,$AA$8:$AA$39,0)),"")</f>
        <v/>
      </c>
      <c r="V54" s="89">
        <f>IF(T54="","",(J54-T54)*100)</f>
        <v/>
      </c>
      <c r="W54" s="72">
        <f>IF(U54="","",H54-U54)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84">
        <f>IFERROR(INDEX($AC$8:$AC$39,MATCH(B55,$AA$8:$AA$39,0)),"")</f>
        <v/>
      </c>
      <c r="U55" s="80">
        <f>IFERROR(INDEX($AD$8:$AD$39,MATCH(B55,$AA$8:$AA$39,0)),"")</f>
        <v/>
      </c>
      <c r="V55" s="89">
        <f>IF(T55="","",(J55-T55)*100)</f>
        <v/>
      </c>
      <c r="W55" s="72">
        <f>IF(U55="","",H55-U55)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84">
        <f>IFERROR(INDEX($AC$8:$AC$39,MATCH(B56,$AA$8:$AA$39,0)),"")</f>
        <v/>
      </c>
      <c r="U56" s="80">
        <f>IFERROR(INDEX($AD$8:$AD$39,MATCH(B56,$AA$8:$AA$39,0)),"")</f>
        <v/>
      </c>
      <c r="V56" s="89">
        <f>IF(T56="","",(J56-T56)*100)</f>
        <v/>
      </c>
      <c r="W56" s="72">
        <f>IF(U56="","",H56-U56)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84">
        <f>IFERROR(INDEX($AC$8:$AC$39,MATCH(B57,$AA$8:$AA$39,0)),"")</f>
        <v/>
      </c>
      <c r="U57" s="80">
        <f>IFERROR(INDEX($AD$8:$AD$39,MATCH(B57,$AA$8:$AA$39,0)),"")</f>
        <v/>
      </c>
      <c r="V57" s="89">
        <f>IF(T57="","",(J57-T57)*100)</f>
        <v/>
      </c>
      <c r="W57" s="72">
        <f>IF(U57="","",H57-U57)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84">
        <f>IFERROR(INDEX($AC$8:$AC$39,MATCH(B58,$AA$8:$AA$39,0)),"")</f>
        <v/>
      </c>
      <c r="U58" s="80">
        <f>IFERROR(INDEX($AD$8:$AD$39,MATCH(B58,$AA$8:$AA$39,0)),"")</f>
        <v/>
      </c>
      <c r="V58" s="89">
        <f>IF(T58="","",(J58-T58)*100)</f>
        <v/>
      </c>
      <c r="W58" s="72">
        <f>IF(U58="","",H58-U58)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84">
        <f>IFERROR(INDEX($AC$8:$AC$39,MATCH(B59,$AA$8:$AA$39,0)),"")</f>
        <v/>
      </c>
      <c r="U59" s="80">
        <f>IFERROR(INDEX($AD$8:$AD$39,MATCH(B59,$AA$8:$AA$39,0)),"")</f>
        <v/>
      </c>
      <c r="V59" s="89">
        <f>IF(T59="","",(J59-T59)*100)</f>
        <v/>
      </c>
      <c r="W59" s="72">
        <f>IF(U59="","",H59-U59)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84">
        <f>IFERROR(INDEX($AC$8:$AC$39,MATCH(B60,$AA$8:$AA$39,0)),"")</f>
        <v/>
      </c>
      <c r="U60" s="80">
        <f>IFERROR(INDEX($AD$8:$AD$39,MATCH(B60,$AA$8:$AA$39,0)),"")</f>
        <v/>
      </c>
      <c r="V60" s="89">
        <f>IF(T60="","",(J60-T60)*100)</f>
        <v/>
      </c>
      <c r="W60" s="72">
        <f>IF(U60="","",H60-U60)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84">
        <f>IFERROR(INDEX($AC$8:$AC$39,MATCH(B61,$AA$8:$AA$39,0)),"")</f>
        <v/>
      </c>
      <c r="U61" s="80">
        <f>IFERROR(INDEX($AD$8:$AD$39,MATCH(B61,$AA$8:$AA$39,0)),"")</f>
        <v/>
      </c>
      <c r="V61" s="89">
        <f>IF(T61="","",(J61-T61)*100)</f>
        <v/>
      </c>
      <c r="W61" s="72">
        <f>IF(U61="","",H61-U61)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84">
        <f>IFERROR(INDEX($AC$8:$AC$39,MATCH(B62,$AA$8:$AA$39,0)),"")</f>
        <v/>
      </c>
      <c r="U62" s="80">
        <f>IFERROR(INDEX($AD$8:$AD$39,MATCH(B62,$AA$8:$AA$39,0)),"")</f>
        <v/>
      </c>
      <c r="V62" s="89">
        <f>IF(T62="","",(J62-T62)*100)</f>
        <v/>
      </c>
      <c r="W62" s="72">
        <f>IF(U62="","",H62-U62)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84">
        <f>IFERROR(INDEX($AC$8:$AC$39,MATCH(B63,$AA$8:$AA$39,0)),"")</f>
        <v/>
      </c>
      <c r="U63" s="80">
        <f>IFERROR(INDEX($AD$8:$AD$39,MATCH(B63,$AA$8:$AA$39,0)),"")</f>
        <v/>
      </c>
      <c r="V63" s="89">
        <f>IF(T63="","",(J63-T63)*100)</f>
        <v/>
      </c>
      <c r="W63" s="72">
        <f>IF(U63="","",H63-U63)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84">
        <f>IFERROR(INDEX($AC$8:$AC$39,MATCH(B64,$AA$8:$AA$39,0)),"")</f>
        <v/>
      </c>
      <c r="U64" s="80">
        <f>IFERROR(INDEX($AD$8:$AD$39,MATCH(B64,$AA$8:$AA$39,0)),"")</f>
        <v/>
      </c>
      <c r="V64" s="89">
        <f>IF(T64="","",(J64-T64)*100)</f>
        <v/>
      </c>
      <c r="W64" s="72">
        <f>IF(U64="","",H64-U64)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84">
        <f>IFERROR(INDEX($AC$8:$AC$39,MATCH(B65,$AA$8:$AA$39,0)),"")</f>
        <v/>
      </c>
      <c r="U65" s="80">
        <f>IFERROR(INDEX($AD$8:$AD$39,MATCH(B65,$AA$8:$AA$39,0)),"")</f>
        <v/>
      </c>
      <c r="V65" s="89">
        <f>IF(T65="","",(J65-T65)*100)</f>
        <v/>
      </c>
      <c r="W65" s="72">
        <f>IF(U65="","",H65-U65)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84">
        <f>IFERROR(INDEX($AC$8:$AC$39,MATCH(B66,$AA$8:$AA$39,0)),"")</f>
        <v/>
      </c>
      <c r="U66" s="80">
        <f>IFERROR(INDEX($AD$8:$AD$39,MATCH(B66,$AA$8:$AA$39,0)),"")</f>
        <v/>
      </c>
      <c r="V66" s="89">
        <f>IF(T66="","",(J66-T66)*100)</f>
        <v/>
      </c>
      <c r="W66" s="72">
        <f>IF(U66="","",H66-U66)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84">
        <f>IFERROR(INDEX($AC$8:$AC$39,MATCH(B67,$AA$8:$AA$39,0)),"")</f>
        <v/>
      </c>
      <c r="U67" s="80">
        <f>IFERROR(INDEX($AD$8:$AD$39,MATCH(B67,$AA$8:$AA$39,0)),"")</f>
        <v/>
      </c>
      <c r="V67" s="89">
        <f>IF(T67="","",(J67-T67)*100)</f>
        <v/>
      </c>
      <c r="W67" s="72">
        <f>IF(U67="","",H67-U67)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84">
        <f>IFERROR(INDEX($AC$8:$AC$39,MATCH(B68,$AA$8:$AA$39,0)),"")</f>
        <v/>
      </c>
      <c r="U68" s="80">
        <f>IFERROR(INDEX($AD$8:$AD$39,MATCH(B68,$AA$8:$AA$39,0)),"")</f>
        <v/>
      </c>
      <c r="V68" s="89">
        <f>IF(T68="","",(J68-T68)*100)</f>
        <v/>
      </c>
      <c r="W68" s="72">
        <f>IF(U68="","",H68-U68)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84">
        <f>IFERROR(INDEX($AC$8:$AC$39,MATCH(B69,$AA$8:$AA$39,0)),"")</f>
        <v/>
      </c>
      <c r="U69" s="80">
        <f>IFERROR(INDEX($AD$8:$AD$39,MATCH(B69,$AA$8:$AA$39,0)),"")</f>
        <v/>
      </c>
      <c r="V69" s="89">
        <f>IF(T69="","",(J69-T69)*100)</f>
        <v/>
      </c>
      <c r="W69" s="72">
        <f>IF(U69="","",H69-U69)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84">
        <f>IFERROR(INDEX($AC$8:$AC$39,MATCH(B70,$AA$8:$AA$39,0)),"")</f>
        <v/>
      </c>
      <c r="U70" s="80">
        <f>IFERROR(INDEX($AD$8:$AD$39,MATCH(B70,$AA$8:$AA$39,0)),"")</f>
        <v/>
      </c>
      <c r="V70" s="89">
        <f>IF(T70="","",(J70-T70)*100)</f>
        <v/>
      </c>
      <c r="W70" s="72">
        <f>IF(U70="","",H70-U70)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84">
        <f>IFERROR(INDEX($AC$8:$AC$39,MATCH(B71,$AA$8:$AA$39,0)),"")</f>
        <v/>
      </c>
      <c r="U71" s="80">
        <f>IFERROR(INDEX($AD$8:$AD$39,MATCH(B71,$AA$8:$AA$39,0)),"")</f>
        <v/>
      </c>
      <c r="V71" s="89">
        <f>IF(T71="","",(J71-T71)*100)</f>
        <v/>
      </c>
      <c r="W71" s="72">
        <f>IF(U71="","",H71-U71)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84">
        <f>IFERROR(INDEX($AC$8:$AC$39,MATCH(B72,$AA$8:$AA$39,0)),"")</f>
        <v/>
      </c>
      <c r="U72" s="80">
        <f>IFERROR(INDEX($AD$8:$AD$39,MATCH(B72,$AA$8:$AA$39,0)),"")</f>
        <v/>
      </c>
      <c r="V72" s="89">
        <f>IF(T72="","",(J72-T72)*100)</f>
        <v/>
      </c>
      <c r="W72" s="72">
        <f>IF(U72="","",H72-U72)</f>
        <v/>
      </c>
    </row>
    <row r="74" ht="40" customHeight="1">
      <c r="A74" s="70" t="inlineStr">
        <is>
          <t>Long-end quoted pillars (12Y+) are solved on Curve_Solver to break the gap-row annuity circularity. Gap rows keep log-linear DF interpolation (= step-function forward), the method verified against S490.</t>
        </is>
      </c>
    </row>
    <row r="75"/>
    <row r="76">
      <c r="T76" s="67" t="inlineStr">
        <is>
          <t>Pillars matched</t>
        </is>
      </c>
      <c r="U76" s="87">
        <f>COUNT(U8:U72)&amp;" / 32"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</row>
    <row r="80">
      <c r="T80" s="65" t="inlineStr">
        <is>
          <t>Our bootstrap vs the S490 screen. Only the 32 quoted pillars match; the interpolated gap rows have no screen counterpart and stay blank.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86">
        <f>VAL_DATE</f>
        <v/>
      </c>
      <c r="L8" s="7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IF(MONTH((EDATE($B$8,12*A36)+IF(WEEKDAY(EDATE($B$8,12*A36),2)=6,2,IF(WEEKDAY(EDATE($B$8,12*A36),2)=7,1,0))))&lt;&gt;MONTH(EDATE($B$8,12*A36)),(EDATE($B$8,12*A36)-IF(WEEKDAY(EDATE($B$8,12*A36),2)=6,1,IF(WEEKDAY(EDATE($B$8,12*A36),2)=7,2,0))),(EDATE($B$8,12*A36)+IF(WEEKDAY(EDATE($B$8,12*A36),2)=6,2,IF(WEEKDAY(EDATE($B$8,12*A36),2)=7,1,0)))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IF(MONTH((EDATE($B$8,12*A37)+IF(WEEKDAY(EDATE($B$8,12*A37),2)=6,2,IF(WEEKDAY(EDATE($B$8,12*A37),2)=7,1,0))))&lt;&gt;MONTH(EDATE($B$8,12*A37)),(EDATE($B$8,12*A37)-IF(WEEKDAY(EDATE($B$8,12*A37),2)=6,1,IF(WEEKDAY(EDATE($B$8,12*A37),2)=7,2,0))),(EDATE($B$8,12*A37)+IF(WEEKDAY(EDATE($B$8,12*A37),2)=6,2,IF(WEEKDAY(EDATE($B$8,12*A37),2)=7,1,0)))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IF(MONTH((EDATE($B$8,12*A38)+IF(WEEKDAY(EDATE($B$8,12*A38),2)=6,2,IF(WEEKDAY(EDATE($B$8,12*A38),2)=7,1,0))))&lt;&gt;MONTH(EDATE($B$8,12*A38)),(EDATE($B$8,12*A38)-IF(WEEKDAY(EDATE($B$8,12*A38),2)=6,1,IF(WEEKDAY(EDATE($B$8,12*A38),2)=7,2,0))),(EDATE($B$8,12*A38)+IF(WEEKDAY(EDATE($B$8,12*A38),2)=6,2,IF(WEEKDAY(EDATE($B$8,12*A38),2)=7,1,0)))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IF(MONTH((EDATE($B$8,12*A39)+IF(WEEKDAY(EDATE($B$8,12*A39),2)=6,2,IF(WEEKDAY(EDATE($B$8,12*A39),2)=7,1,0))))&lt;&gt;MONTH(EDATE($B$8,12*A39)),(EDATE($B$8,12*A39)-IF(WEEKDAY(EDATE($B$8,12*A39),2)=6,1,IF(WEEKDAY(EDATE($B$8,12*A39),2)=7,2,0))),(EDATE($B$8,12*A39)+IF(WEEKDAY(EDATE($B$8,12*A39),2)=6,2,IF(WEEKDAY(EDATE($B$8,12*A39),2)=7,1,0)))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IF(MONTH((EDATE($B$8,12*A40)+IF(WEEKDAY(EDATE($B$8,12*A40),2)=6,2,IF(WEEKDAY(EDATE($B$8,12*A40),2)=7,1,0))))&lt;&gt;MONTH(EDATE($B$8,12*A40)),(EDATE($B$8,12*A40)-IF(WEEKDAY(EDATE($B$8,12*A40),2)=6,1,IF(WEEKDAY(EDATE($B$8,12*A40),2)=7,2,0))),(EDATE($B$8,12*A40)+IF(WEEKDAY(EDATE($B$8,12*A40),2)=6,2,IF(WEEKDAY(EDATE($B$8,12*A40),2)=7,1,0)))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IF(MONTH((EDATE($B$8,12*A41)+IF(WEEKDAY(EDATE($B$8,12*A41),2)=6,2,IF(WEEKDAY(EDATE($B$8,12*A41),2)=7,1,0))))&lt;&gt;MONTH(EDATE($B$8,12*A41)),(EDATE($B$8,12*A41)-IF(WEEKDAY(EDATE($B$8,12*A41),2)=6,1,IF(WEEKDAY(EDATE($B$8,12*A41),2)=7,2,0))),(EDATE($B$8,12*A41)+IF(WEEKDAY(EDATE($B$8,12*A41),2)=6,2,IF(WEEKDAY(EDATE($B$8,12*A41),2)=7,1,0)))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IF(MONTH((EDATE($B$8,12*A42)+IF(WEEKDAY(EDATE($B$8,12*A42),2)=6,2,IF(WEEKDAY(EDATE($B$8,12*A42),2)=7,1,0))))&lt;&gt;MONTH(EDATE($B$8,12*A42)),(EDATE($B$8,12*A42)-IF(WEEKDAY(EDATE($B$8,12*A42),2)=6,1,IF(WEEKDAY(EDATE($B$8,12*A42),2)=7,2,0))),(EDATE($B$8,12*A42)+IF(WEEKDAY(EDATE($B$8,12*A42),2)=6,2,IF(WEEKDAY(EDATE($B$8,12*A42),2)=7,1,0)))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IF(MONTH((EDATE($B$8,12*A43)+IF(WEEKDAY(EDATE($B$8,12*A43),2)=6,2,IF(WEEKDAY(EDATE($B$8,12*A43),2)=7,1,0))))&lt;&gt;MONTH(EDATE($B$8,12*A43)),(EDATE($B$8,12*A43)-IF(WEEKDAY(EDATE($B$8,12*A43),2)=6,1,IF(WEEKDAY(EDATE($B$8,12*A43),2)=7,2,0))),(EDATE($B$8,12*A43)+IF(WEEKDAY(EDATE($B$8,12*A43),2)=6,2,IF(WEEKDAY(EDATE($B$8,12*A43),2)=7,1,0)))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IF(MONTH((EDATE($B$8,12*A44)+IF(WEEKDAY(EDATE($B$8,12*A44),2)=6,2,IF(WEEKDAY(EDATE($B$8,12*A44),2)=7,1,0))))&lt;&gt;MONTH(EDATE($B$8,12*A44)),(EDATE($B$8,12*A44)-IF(WEEKDAY(EDATE($B$8,12*A44),2)=6,1,IF(WEEKDAY(EDATE($B$8,12*A44),2)=7,2,0))),(EDATE($B$8,12*A44)+IF(WEEKDAY(EDATE($B$8,12*A44),2)=6,2,IF(WEEKDAY(EDATE($B$8,12*A44),2)=7,1,0)))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IF(MONTH((EDATE($B$8,12*A45)+IF(WEEKDAY(EDATE($B$8,12*A45),2)=6,2,IF(WEEKDAY(EDATE($B$8,12*A45),2)=7,1,0))))&lt;&gt;MONTH(EDATE($B$8,12*A45)),(EDATE($B$8,12*A45)-IF(WEEKDAY(EDATE($B$8,12*A45),2)=6,1,IF(WEEKDAY(EDATE($B$8,12*A45),2)=7,2,0))),(EDATE($B$8,12*A45)+IF(WEEKDAY(EDATE($B$8,12*A45),2)=6,2,IF(WEEKDAY(EDATE($B$8,12*A45),2)=7,1,0)))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IF(MONTH((EDATE($B$8,12*A46)+IF(WEEKDAY(EDATE($B$8,12*A46),2)=6,2,IF(WEEKDAY(EDATE($B$8,12*A46),2)=7,1,0))))&lt;&gt;MONTH(EDATE($B$8,12*A46)),(EDATE($B$8,12*A46)-IF(WEEKDAY(EDATE($B$8,12*A46),2)=6,1,IF(WEEKDAY(EDATE($B$8,12*A46),2)=7,2,0))),(EDATE($B$8,12*A46)+IF(WEEKDAY(EDATE($B$8,12*A46),2)=6,2,IF(WEEKDAY(EDATE($B$8,12*A46),2)=7,1,0)))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IF(MONTH((EDATE($B$8,12*A47)+IF(WEEKDAY(EDATE($B$8,12*A47),2)=6,2,IF(WEEKDAY(EDATE($B$8,12*A47),2)=7,1,0))))&lt;&gt;MONTH(EDATE($B$8,12*A47)),(EDATE($B$8,12*A47)-IF(WEEKDAY(EDATE($B$8,12*A47),2)=6,1,IF(WEEKDAY(EDATE($B$8,12*A47),2)=7,2,0))),(EDATE($B$8,12*A47)+IF(WEEKDAY(EDATE($B$8,12*A47),2)=6,2,IF(WEEKDAY(EDATE($B$8,12*A47),2)=7,1,0)))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IF(MONTH((EDATE($B$8,12*A48)+IF(WEEKDAY(EDATE($B$8,12*A48),2)=6,2,IF(WEEKDAY(EDATE($B$8,12*A48),2)=7,1,0))))&lt;&gt;MONTH(EDATE($B$8,12*A48)),(EDATE($B$8,12*A48)-IF(WEEKDAY(EDATE($B$8,12*A48),2)=6,1,IF(WEEKDAY(EDATE($B$8,12*A48),2)=7,2,0))),(EDATE($B$8,12*A48)+IF(WEEKDAY(EDATE($B$8,12*A48),2)=6,2,IF(WEEKDAY(EDATE($B$8,12*A48),2)=7,1,0)))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IF(MONTH((EDATE($B$8,12*A49)+IF(WEEKDAY(EDATE($B$8,12*A49),2)=6,2,IF(WEEKDAY(EDATE($B$8,12*A49),2)=7,1,0))))&lt;&gt;MONTH(EDATE($B$8,12*A49)),(EDATE($B$8,12*A49)-IF(WEEKDAY(EDATE($B$8,12*A49),2)=6,1,IF(WEEKDAY(EDATE($B$8,12*A49),2)=7,2,0))),(EDATE($B$8,12*A49)+IF(WEEKDAY(EDATE($B$8,12*A49),2)=6,2,IF(WEEKDAY(EDATE($B$8,12*A49),2)=7,1,0)))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IF(MONTH((EDATE($B$8,12*A50)+IF(WEEKDAY(EDATE($B$8,12*A50),2)=6,2,IF(WEEKDAY(EDATE($B$8,12*A50),2)=7,1,0))))&lt;&gt;MONTH(EDATE($B$8,12*A50)),(EDATE($B$8,12*A50)-IF(WEEKDAY(EDATE($B$8,12*A50),2)=6,1,IF(WEEKDAY(EDATE($B$8,12*A50),2)=7,2,0))),(EDATE($B$8,12*A50)+IF(WEEKDAY(EDATE($B$8,12*A50),2)=6,2,IF(WEEKDAY(EDATE($B$8,12*A50),2)=7,1,0)))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IF(MONTH((EDATE($B$8,12*A51)+IF(WEEKDAY(EDATE($B$8,12*A51),2)=6,2,IF(WEEKDAY(EDATE($B$8,12*A51),2)=7,1,0))))&lt;&gt;MONTH(EDATE($B$8,12*A51)),(EDATE($B$8,12*A51)-IF(WEEKDAY(EDATE($B$8,12*A51),2)=6,1,IF(WEEKDAY(EDATE($B$8,12*A51),2)=7,2,0))),(EDATE($B$8,12*A51)+IF(WEEKDAY(EDATE($B$8,12*A51),2)=6,2,IF(WEEKDAY(EDATE($B$8,12*A51),2)=7,1,0)))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IF(MONTH((EDATE($B$8,12*A52)+IF(WEEKDAY(EDATE($B$8,12*A52),2)=6,2,IF(WEEKDAY(EDATE($B$8,12*A52),2)=7,1,0))))&lt;&gt;MONTH(EDATE($B$8,12*A52)),(EDATE($B$8,12*A52)-IF(WEEKDAY(EDATE($B$8,12*A52),2)=6,1,IF(WEEKDAY(EDATE($B$8,12*A52),2)=7,2,0))),(EDATE($B$8,12*A52)+IF(WEEKDAY(EDATE($B$8,12*A52),2)=6,2,IF(WEEKDAY(EDATE($B$8,12*A52),2)=7,1,0)))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IF(MONTH((EDATE($B$8,12*A53)+IF(WEEKDAY(EDATE($B$8,12*A53),2)=6,2,IF(WEEKDAY(EDATE($B$8,12*A53),2)=7,1,0))))&lt;&gt;MONTH(EDATE($B$8,12*A53)),(EDATE($B$8,12*A53)-IF(WEEKDAY(EDATE($B$8,12*A53),2)=6,1,IF(WEEKDAY(EDATE($B$8,12*A53),2)=7,2,0))),(EDATE($B$8,12*A53)+IF(WEEKDAY(EDATE($B$8,12*A53),2)=6,2,IF(WEEKDAY(EDATE($B$8,12*A53),2)=7,1,0)))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IF(MONTH((EDATE($B$8,12*A54)+IF(WEEKDAY(EDATE($B$8,12*A54),2)=6,2,IF(WEEKDAY(EDATE($B$8,12*A54),2)=7,1,0))))&lt;&gt;MONTH(EDATE($B$8,12*A54)),(EDATE($B$8,12*A54)-IF(WEEKDAY(EDATE($B$8,12*A54),2)=6,1,IF(WEEKDAY(EDATE($B$8,12*A54),2)=7,2,0))),(EDATE($B$8,12*A54)+IF(WEEKDAY(EDATE($B$8,12*A54),2)=6,2,IF(WEEKDAY(EDATE($B$8,12*A54),2)=7,1,0)))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IF(MONTH((EDATE($B$8,12*A55)+IF(WEEKDAY(EDATE($B$8,12*A55),2)=6,2,IF(WEEKDAY(EDATE($B$8,12*A55),2)=7,1,0))))&lt;&gt;MONTH(EDATE($B$8,12*A55)),(EDATE($B$8,12*A55)-IF(WEEKDAY(EDATE($B$8,12*A55),2)=6,1,IF(WEEKDAY(EDATE($B$8,12*A55),2)=7,2,0))),(EDATE($B$8,12*A55)+IF(WEEKDAY(EDATE($B$8,12*A55),2)=6,2,IF(WEEKDAY(EDATE($B$8,12*A55),2)=7,1,0)))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IF(MONTH((EDATE($B$8,12*A56)+IF(WEEKDAY(EDATE($B$8,12*A56),2)=6,2,IF(WEEKDAY(EDATE($B$8,12*A56),2)=7,1,0))))&lt;&gt;MONTH(EDATE($B$8,12*A56)),(EDATE($B$8,12*A56)-IF(WEEKDAY(EDATE($B$8,12*A56),2)=6,1,IF(WEEKDAY(EDATE($B$8,12*A56),2)=7,2,0))),(EDATE($B$8,12*A56)+IF(WEEKDAY(EDATE($B$8,12*A56),2)=6,2,IF(WEEKDAY(EDATE($B$8,12*A56),2)=7,1,0)))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IF(MONTH((EDATE($B$8,12*A57)+IF(WEEKDAY(EDATE($B$8,12*A57),2)=6,2,IF(WEEKDAY(EDATE($B$8,12*A57),2)=7,1,0))))&lt;&gt;MONTH(EDATE($B$8,12*A57)),(EDATE($B$8,12*A57)-IF(WEEKDAY(EDATE($B$8,12*A57),2)=6,1,IF(WEEKDAY(EDATE($B$8,12*A57),2)=7,2,0))),(EDATE($B$8,12*A57)+IF(WEEKDAY(EDATE($B$8,12*A57),2)=6,2,IF(WEEKDAY(EDATE($B$8,12*A57),2)=7,1,0)))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IF(MONTH((EDATE($B$8,12*A58)+IF(WEEKDAY(EDATE($B$8,12*A58),2)=6,2,IF(WEEKDAY(EDATE($B$8,12*A58),2)=7,1,0))))&lt;&gt;MONTH(EDATE($B$8,12*A58)),(EDATE($B$8,12*A58)-IF(WEEKDAY(EDATE($B$8,12*A58),2)=6,1,IF(WEEKDAY(EDATE($B$8,12*A58),2)=7,2,0))),(EDATE($B$8,12*A58)+IF(WEEKDAY(EDATE($B$8,12*A58),2)=6,2,IF(WEEKDAY(EDATE($B$8,12*A58),2)=7,1,0)))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IF(MONTH((EDATE($B$8,12*A59)+IF(WEEKDAY(EDATE($B$8,12*A59),2)=6,2,IF(WEEKDAY(EDATE($B$8,12*A59),2)=7,1,0))))&lt;&gt;MONTH(EDATE($B$8,12*A59)),(EDATE($B$8,12*A59)-IF(WEEKDAY(EDATE($B$8,12*A59),2)=6,1,IF(WEEKDAY(EDATE($B$8,12*A59),2)=7,2,0))),(EDATE($B$8,12*A59)+IF(WEEKDAY(EDATE($B$8,12*A59),2)=6,2,IF(WEEKDAY(EDATE($B$8,12*A59),2)=7,1,0)))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IF(MONTH((EDATE($B$8,12*A60)+IF(WEEKDAY(EDATE($B$8,12*A60),2)=6,2,IF(WEEKDAY(EDATE($B$8,12*A60),2)=7,1,0))))&lt;&gt;MONTH(EDATE($B$8,12*A60)),(EDATE($B$8,12*A60)-IF(WEEKDAY(EDATE($B$8,12*A60),2)=6,1,IF(WEEKDAY(EDATE($B$8,12*A60),2)=7,2,0))),(EDATE($B$8,12*A60)+IF(WEEKDAY(EDATE($B$8,12*A60),2)=6,2,IF(WEEKDAY(EDATE($B$8,12*A60),2)=7,1,0)))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IF(MONTH((EDATE($B$8,12*A61)+IF(WEEKDAY(EDATE($B$8,12*A61),2)=6,2,IF(WEEKDAY(EDATE($B$8,12*A61),2)=7,1,0))))&lt;&gt;MONTH(EDATE($B$8,12*A61)),(EDATE($B$8,12*A61)-IF(WEEKDAY(EDATE($B$8,12*A61),2)=6,1,IF(WEEKDAY(EDATE($B$8,12*A61),2)=7,2,0))),(EDATE($B$8,12*A61)+IF(WEEKDAY(EDATE($B$8,12*A61),2)=6,2,IF(WEEKDAY(EDATE($B$8,12*A61),2)=7,1,0)))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IF(MONTH((EDATE($B$8,12*A62)+IF(WEEKDAY(EDATE($B$8,12*A62),2)=6,2,IF(WEEKDAY(EDATE($B$8,12*A62),2)=7,1,0))))&lt;&gt;MONTH(EDATE($B$8,12*A62)),(EDATE($B$8,12*A62)-IF(WEEKDAY(EDATE($B$8,12*A62),2)=6,1,IF(WEEKDAY(EDATE($B$8,12*A62),2)=7,2,0))),(EDATE($B$8,12*A62)+IF(WEEKDAY(EDATE($B$8,12*A62),2)=6,2,IF(WEEKDAY(EDATE($B$8,12*A62),2)=7,1,0)))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IF(MONTH((EDATE($B$8,12*A63)+IF(WEEKDAY(EDATE($B$8,12*A63),2)=6,2,IF(WEEKDAY(EDATE($B$8,12*A63),2)=7,1,0))))&lt;&gt;MONTH(EDATE($B$8,12*A63)),(EDATE($B$8,12*A63)-IF(WEEKDAY(EDATE($B$8,12*A63),2)=6,1,IF(WEEKDAY(EDATE($B$8,12*A63),2)=7,2,0))),(EDATE($B$8,12*A63)+IF(WEEKDAY(EDATE($B$8,12*A63),2)=6,2,IF(WEEKDAY(EDATE($B$8,12*A63),2)=7,1,0)))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IF(MONTH((EDATE($B$8,12*A64)+IF(WEEKDAY(EDATE($B$8,12*A64),2)=6,2,IF(WEEKDAY(EDATE($B$8,12*A64),2)=7,1,0))))&lt;&gt;MONTH(EDATE($B$8,12*A64)),(EDATE($B$8,12*A64)-IF(WEEKDAY(EDATE($B$8,12*A64),2)=6,1,IF(WEEKDAY(EDATE($B$8,12*A64),2)=7,2,0))),(EDATE($B$8,12*A64)+IF(WEEKDAY(EDATE($B$8,12*A64),2)=6,2,IF(WEEKDAY(EDATE($B$8,12*A64),2)=7,1,0)))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IF(MONTH((EDATE($B$8,12*A65)+IF(WEEKDAY(EDATE($B$8,12*A65),2)=6,2,IF(WEEKDAY(EDATE($B$8,12*A65),2)=7,1,0))))&lt;&gt;MONTH(EDATE($B$8,12*A65)),(EDATE($B$8,12*A65)-IF(WEEKDAY(EDATE($B$8,12*A65),2)=6,1,IF(WEEKDAY(EDATE($B$8,12*A65),2)=7,2,0))),(EDATE($B$8,12*A65)+IF(WEEKDAY(EDATE($B$8,12*A65),2)=6,2,IF(WEEKDAY(EDATE($B$8,12*A65),2)=7,1,0)))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IF(MONTH((EDATE($B$8,12*A66)+IF(WEEKDAY(EDATE($B$8,12*A66),2)=6,2,IF(WEEKDAY(EDATE($B$8,12*A66),2)=7,1,0))))&lt;&gt;MONTH(EDATE($B$8,12*A66)),(EDATE($B$8,12*A66)-IF(WEEKDAY(EDATE($B$8,12*A66),2)=6,1,IF(WEEKDAY(EDATE($B$8,12*A66),2)=7,2,0))),(EDATE($B$8,12*A66)+IF(WEEKDAY(EDATE($B$8,12*A66),2)=6,2,IF(WEEKDAY(EDATE($B$8,12*A66),2)=7,1,0)))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IF(MONTH((EDATE($B$8,12*A67)+IF(WEEKDAY(EDATE($B$8,12*A67),2)=6,2,IF(WEEKDAY(EDATE($B$8,12*A67),2)=7,1,0))))&lt;&gt;MONTH(EDATE($B$8,12*A67)),(EDATE($B$8,12*A67)-IF(WEEKDAY(EDATE($B$8,12*A67),2)=6,1,IF(WEEKDAY(EDATE($B$8,12*A67),2)=7,2,0))),(EDATE($B$8,12*A67)+IF(WEEKDAY(EDATE($B$8,12*A67),2)=6,2,IF(WEEKDAY(EDATE($B$8,12*A67),2)=7,1,0)))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IF(MONTH((EDATE($B$8,12*A68)+IF(WEEKDAY(EDATE($B$8,12*A68),2)=6,2,IF(WEEKDAY(EDATE($B$8,12*A68),2)=7,1,0))))&lt;&gt;MONTH(EDATE($B$8,12*A68)),(EDATE($B$8,12*A68)-IF(WEEKDAY(EDATE($B$8,12*A68),2)=6,1,IF(WEEKDAY(EDATE($B$8,12*A68),2)=7,2,0))),(EDATE($B$8,12*A68)+IF(WEEKDAY(EDATE($B$8,12*A68),2)=6,2,IF(WEEKDAY(EDATE($B$8,12*A68),2)=7,1,0)))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IF(MONTH((EDATE($B$8,12*A69)+IF(WEEKDAY(EDATE($B$8,12*A69),2)=6,2,IF(WEEKDAY(EDATE($B$8,12*A69),2)=7,1,0))))&lt;&gt;MONTH(EDATE($B$8,12*A69)),(EDATE($B$8,12*A69)-IF(WEEKDAY(EDATE($B$8,12*A69),2)=6,1,IF(WEEKDAY(EDATE($B$8,12*A69),2)=7,2,0))),(EDATE($B$8,12*A69)+IF(WEEKDAY(EDATE($B$8,12*A69),2)=6,2,IF(WEEKDAY(EDATE($B$8,12*A69),2)=7,1,0)))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IF(MONTH((EDATE($B$8,12*A70)+IF(WEEKDAY(EDATE($B$8,12*A70),2)=6,2,IF(WEEKDAY(EDATE($B$8,12*A70),2)=7,1,0))))&lt;&gt;MONTH(EDATE($B$8,12*A70)),(EDATE($B$8,12*A70)-IF(WEEKDAY(EDATE($B$8,12*A70),2)=6,1,IF(WEEKDAY(EDATE($B$8,12*A70),2)=7,2,0))),(EDATE($B$8,12*A70)+IF(WEEKDAY(EDATE($B$8,12*A70),2)=6,2,IF(WEEKDAY(EDATE($B$8,12*A70),2)=7,1,0)))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IF(MONTH((EDATE($B$8,12*A71)+IF(WEEKDAY(EDATE($B$8,12*A71),2)=6,2,IF(WEEKDAY(EDATE($B$8,12*A71),2)=7,1,0))))&lt;&gt;MONTH(EDATE($B$8,12*A71)),(EDATE($B$8,12*A71)-IF(WEEKDAY(EDATE($B$8,12*A71),2)=6,1,IF(WEEKDAY(EDATE($B$8,12*A71),2)=7,2,0))),(EDATE($B$8,12*A71)+IF(WEEKDAY(EDATE($B$8,12*A71),2)=6,2,IF(WEEKDAY(EDATE($B$8,12*A71),2)=7,1,0)))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IF(MONTH((EDATE($B$8,12*A72)+IF(WEEKDAY(EDATE($B$8,12*A72),2)=6,2,IF(WEEKDAY(EDATE($B$8,12*A72),2)=7,1,0))))&lt;&gt;MONTH(EDATE($B$8,12*A72)),(EDATE($B$8,12*A72)-IF(WEEKDAY(EDATE($B$8,12*A72),2)=6,1,IF(WEEKDAY(EDATE($B$8,12*A72),2)=7,2,0))),(EDATE($B$8,12*A72)+IF(WEEKDAY(EDATE($B$8,12*A72),2)=6,2,IF(WEEKDAY(EDATE($B$8,12*A72),2)=7,1,0)))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IF(MONTH((EDATE($B$8,12*A73)+IF(WEEKDAY(EDATE($B$8,12*A73),2)=6,2,IF(WEEKDAY(EDATE($B$8,12*A73),2)=7,1,0))))&lt;&gt;MONTH(EDATE($B$8,12*A73)),(EDATE($B$8,12*A73)-IF(WEEKDAY(EDATE($B$8,12*A73),2)=6,1,IF(WEEKDAY(EDATE($B$8,12*A73),2)=7,2,0))),(EDATE($B$8,12*A73)+IF(WEEKDAY(EDATE($B$8,12*A73),2)=6,2,IF(WEEKDAY(EDATE($B$8,12*A73),2)=7,1,0)))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IF(MONTH((EDATE($B$8,12*A74)+IF(WEEKDAY(EDATE($B$8,12*A74),2)=6,2,IF(WEEKDAY(EDATE($B$8,12*A74),2)=7,1,0))))&lt;&gt;MONTH(EDATE($B$8,12*A74)),(EDATE($B$8,12*A74)-IF(WEEKDAY(EDATE($B$8,12*A74),2)=6,1,IF(WEEKDAY(EDATE($B$8,12*A74),2)=7,2,0))),(EDATE($B$8,12*A74)+IF(WEEKDAY(EDATE($B$8,12*A74),2)=6,2,IF(WEEKDAY(EDATE($B$8,12*A74),2)=7,1,0)))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IF(MONTH((EDATE($B$8,12*A75)+IF(WEEKDAY(EDATE($B$8,12*A75),2)=6,2,IF(WEEKDAY(EDATE($B$8,12*A75),2)=7,1,0))))&lt;&gt;MONTH(EDATE($B$8,12*A75)),(EDATE($B$8,12*A75)-IF(WEEKDAY(EDATE($B$8,12*A75),2)=6,1,IF(WEEKDAY(EDATE($B$8,12*A75),2)=7,2,0))),(EDATE($B$8,12*A75)+IF(WEEKDAY(EDATE($B$8,12*A75),2)=6,2,IF(WEEKDAY(EDATE($B$8,12*A75),2)=7,1,0)))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IF(MONTH((EDATE($B$8,12*A76)+IF(WEEKDAY(EDATE($B$8,12*A76),2)=6,2,IF(WEEKDAY(EDATE($B$8,12*A76),2)=7,1,0))))&lt;&gt;MONTH(EDATE($B$8,12*A76)),(EDATE($B$8,12*A76)-IF(WEEKDAY(EDATE($B$8,12*A76),2)=6,1,IF(WEEKDAY(EDATE($B$8,12*A76),2)=7,2,0))),(EDATE($B$8,12*A76)+IF(WEEKDAY(EDATE($B$8,12*A76),2)=6,2,IF(WEEKDAY(EDATE($B$8,12*A76),2)=7,1,0)))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IF(MONTH((EDATE($B$8,12*A77)+IF(WEEKDAY(EDATE($B$8,12*A77),2)=6,2,IF(WEEKDAY(EDATE($B$8,12*A77),2)=7,1,0))))&lt;&gt;MONTH(EDATE($B$8,12*A77)),(EDATE($B$8,12*A77)-IF(WEEKDAY(EDATE($B$8,12*A77),2)=6,1,IF(WEEKDAY(EDATE($B$8,12*A77),2)=7,2,0))),(EDATE($B$8,12*A77)+IF(WEEKDAY(EDATE($B$8,12*A77),2)=6,2,IF(WEEKDAY(EDATE($B$8,12*A77),2)=7,1,0)))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IF(MONTH((EDATE($B$8,12*A78)+IF(WEEKDAY(EDATE($B$8,12*A78),2)=6,2,IF(WEEKDAY(EDATE($B$8,12*A78),2)=7,1,0))))&lt;&gt;MONTH(EDATE($B$8,12*A78)),(EDATE($B$8,12*A78)-IF(WEEKDAY(EDATE($B$8,12*A78),2)=6,1,IF(WEEKDAY(EDATE($B$8,12*A78),2)=7,2,0))),(EDATE($B$8,12*A78)+IF(WEEKDAY(EDATE($B$8,12*A78),2)=6,2,IF(WEEKDAY(EDATE($B$8,12*A78),2)=7,1,0)))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IF(MONTH((EDATE($B$8,12*A79)+IF(WEEKDAY(EDATE($B$8,12*A79),2)=6,2,IF(WEEKDAY(EDATE($B$8,12*A79),2)=7,1,0))))&lt;&gt;MONTH(EDATE($B$8,12*A79)),(EDATE($B$8,12*A79)-IF(WEEKDAY(EDATE($B$8,12*A79),2)=6,1,IF(WEEKDAY(EDATE($B$8,12*A79),2)=7,2,0))),(EDATE($B$8,12*A79)+IF(WEEKDAY(EDATE($B$8,12*A79),2)=6,2,IF(WEEKDAY(EDATE($B$8,12*A79),2)=7,1,0)))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IF(MONTH((EDATE($B$8,12*A80)+IF(WEEKDAY(EDATE($B$8,12*A80),2)=6,2,IF(WEEKDAY(EDATE($B$8,12*A80),2)=7,1,0))))&lt;&gt;MONTH(EDATE($B$8,12*A80)),(EDATE($B$8,12*A80)-IF(WEEKDAY(EDATE($B$8,12*A80),2)=6,1,IF(WEEKDAY(EDATE($B$8,12*A80),2)=7,2,0))),(EDATE($B$8,12*A80)+IF(WEEKDAY(EDATE($B$8,12*A80),2)=6,2,IF(WEEKDAY(EDATE($B$8,12*A80),2)=7,1,0)))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IF(MONTH((EDATE($B$8,12*A81)+IF(WEEKDAY(EDATE($B$8,12*A81),2)=6,2,IF(WEEKDAY(EDATE($B$8,12*A81),2)=7,1,0))))&lt;&gt;MONTH(EDATE($B$8,12*A81)),(EDATE($B$8,12*A81)-IF(WEEKDAY(EDATE($B$8,12*A81),2)=6,1,IF(WEEKDAY(EDATE($B$8,12*A81),2)=7,2,0))),(EDATE($B$8,12*A81)+IF(WEEKDAY(EDATE($B$8,12*A81),2)=6,2,IF(WEEKDAY(EDATE($B$8,12*A81),2)=7,1,0)))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IF(MONTH((EDATE($B$8,12*A82)+IF(WEEKDAY(EDATE($B$8,12*A82),2)=6,2,IF(WEEKDAY(EDATE($B$8,12*A82),2)=7,1,0))))&lt;&gt;MONTH(EDATE($B$8,12*A82)),(EDATE($B$8,12*A82)-IF(WEEKDAY(EDATE($B$8,12*A82),2)=6,1,IF(WEEKDAY(EDATE($B$8,12*A82),2)=7,2,0))),(EDATE($B$8,12*A82)+IF(WEEKDAY(EDATE($B$8,12*A82),2)=6,2,IF(WEEKDAY(EDATE($B$8,12*A82),2)=7,1,0)))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IF(MONTH((EDATE($B$8,12*A83)+IF(WEEKDAY(EDATE($B$8,12*A83),2)=6,2,IF(WEEKDAY(EDATE($B$8,12*A83),2)=7,1,0))))&lt;&gt;MONTH(EDATE($B$8,12*A83)),(EDATE($B$8,12*A83)-IF(WEEKDAY(EDATE($B$8,12*A83),2)=6,1,IF(WEEKDAY(EDATE($B$8,12*A83),2)=7,2,0))),(EDATE($B$8,12*A83)+IF(WEEKDAY(EDATE($B$8,12*A83),2)=6,2,IF(WEEKDAY(EDATE($B$8,12*A83),2)=7,1,0)))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IF(MONTH((EDATE($B$8,12*A84)+IF(WEEKDAY(EDATE($B$8,12*A84),2)=6,2,IF(WEEKDAY(EDATE($B$8,12*A84),2)=7,1,0))))&lt;&gt;MONTH(EDATE($B$8,12*A84)),(EDATE($B$8,12*A84)-IF(WEEKDAY(EDATE($B$8,12*A84),2)=6,1,IF(WEEKDAY(EDATE($B$8,12*A84),2)=7,2,0))),(EDATE($B$8,12*A84)+IF(WEEKDAY(EDATE($B$8,12*A84),2)=6,2,IF(WEEKDAY(EDATE($B$8,12*A84),2)=7,1,0)))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IF(MONTH((EDATE($B$8,12*A85)+IF(WEEKDAY(EDATE($B$8,12*A85),2)=6,2,IF(WEEKDAY(EDATE($B$8,12*A85),2)=7,1,0))))&lt;&gt;MONTH(EDATE($B$8,12*A85)),(EDATE($B$8,12*A85)-IF(WEEKDAY(EDATE($B$8,12*A85),2)=6,1,IF(WEEKDAY(EDATE($B$8,12*A85),2)=7,2,0))),(EDATE($B$8,12*A85)+IF(WEEKDAY(EDATE($B$8,12*A85),2)=6,2,IF(WEEKDAY(EDATE($B$8,12*A85),2)=7,1,0)))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Y78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— screen 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IF(ISNUMBER(D8),(C8-D8)*100,IF(ISNUMBER(G8),(C8-G8)*100,""))</f>
        <v/>
      </c>
      <c r="F8" s="93">
        <f>IF(ISNUMBER(IFERROR(INDEX($J$12:$T$82,MATCH(B8,INDEX($J$12:$T$82,0,$I$3),0),$I$4)*$I$5,"")),"BDS live",IF(ISNUMBER(G8),"manual paste","-"))</f>
        <v/>
      </c>
      <c r="G8" s="99">
        <f>IFERROR(INDEX($X$9:$X$40,MATCH(B8,$V$9:$V$40,0)),"")</f>
        <v/>
      </c>
      <c r="H8" s="65" t="inlineStr">
        <is>
          <t>(the CURVE_TENOR_RATES dump lives at J12 - a second copy here would spill into it)</t>
        </is>
      </c>
      <c r="M8" s="80">
        <f>IFERROR(INDEX($Y$9:$Y$40,MATCH(B8,$V$9:$V$40,0)),"")</f>
        <v/>
      </c>
      <c r="N8" s="80">
        <f>IF(M8="","",Bootstrap!H8)</f>
        <v/>
      </c>
      <c r="O8" s="72">
        <f>IF(M8="","",N8-M8)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IF(ISNUMBER(D9),(C9-D9)*100,IF(ISNUMBER(G9),(C9-G9)*100,""))</f>
        <v/>
      </c>
      <c r="F9" s="93">
        <f>IF(ISNUMBER(IFERROR(INDEX($J$12:$T$82,MATCH(B9,INDEX($J$12:$T$82,0,$I$3),0),$I$4)*$I$5,"")),"BDS live",IF(ISNUMBER(G9),"manual paste","-"))</f>
        <v/>
      </c>
      <c r="G9" s="99">
        <f>IFERROR(INDEX($X$9:$X$40,MATCH(B9,$V$9:$V$40,0)),"")</f>
        <v/>
      </c>
      <c r="M9" s="80">
        <f>IFERROR(INDEX($Y$9:$Y$40,MATCH(B9,$V$9:$V$40,0)),"")</f>
        <v/>
      </c>
      <c r="N9" s="80">
        <f>IF(M9="","",Bootstrap!H9)</f>
        <v/>
      </c>
      <c r="O9" s="72">
        <f>IF(M9="","",N9-M9)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IF(ISNUMBER(D10),(C10-D10)*100,IF(ISNUMBER(G10),(C10-G10)*100,""))</f>
        <v/>
      </c>
      <c r="F10" s="93">
        <f>IF(ISNUMBER(IFERROR(INDEX($J$12:$T$82,MATCH(B10,INDEX($J$12:$T$82,0,$I$3),0),$I$4)*$I$5,"")),"BDS live",IF(ISNUMBER(G10),"manual paste","-"))</f>
        <v/>
      </c>
      <c r="G10" s="99">
        <f>IFERROR(INDEX($X$9:$X$40,MATCH(B10,$V$9:$V$40,0)),"")</f>
        <v/>
      </c>
      <c r="M10" s="80">
        <f>IFERROR(INDEX($Y$9:$Y$40,MATCH(B10,$V$9:$V$40,0)),"")</f>
        <v/>
      </c>
      <c r="N10" s="80">
        <f>IF(M10="","",Bootstrap!H10)</f>
        <v/>
      </c>
      <c r="O10" s="72">
        <f>IF(M10="","",N10-M10)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IF(ISNUMBER(D11),(C11-D11)*100,IF(ISNUMBER(G11),(C11-G11)*100,""))</f>
        <v/>
      </c>
      <c r="F11" s="93">
        <f>IF(ISNUMBER(IFERROR(INDEX($J$12:$T$82,MATCH(B11,INDEX($J$12:$T$82,0,$I$3),0),$I$4)*$I$5,"")),"BDS live",IF(ISNUMBER(G11),"manual paste","-"))</f>
        <v/>
      </c>
      <c r="G11" s="99">
        <f>IFERROR(INDEX($X$9:$X$40,MATCH(B11,$V$9:$V$40,0)),"")</f>
        <v/>
      </c>
      <c r="M11" s="80">
        <f>IFERROR(INDEX($Y$9:$Y$40,MATCH(B11,$V$9:$V$40,0)),"")</f>
        <v/>
      </c>
      <c r="N11" s="80">
        <f>IF(M11="","",Bootstrap!H11)</f>
        <v/>
      </c>
      <c r="O11" s="72">
        <f>IF(M11="","",N11-M11)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IF(ISNUMBER(D12),(C12-D12)*100,IF(ISNUMBER(G12),(C12-G12)*100,""))</f>
        <v/>
      </c>
      <c r="F12" s="93">
        <f>IF(ISNUMBER(IFERROR(INDEX($J$12:$T$82,MATCH(B12,INDEX($J$12:$T$82,0,$I$3),0),$I$4)*$I$5,"")),"BDS live",IF(ISNUMBER(G12),"manual paste","-"))</f>
        <v/>
      </c>
      <c r="G12" s="99">
        <f>IFERROR(INDEX($X$9:$X$40,MATCH(B12,$V$9:$V$40,0)),"")</f>
        <v/>
      </c>
      <c r="J12" s="93">
        <f>BDS(S490_TKR,"CURVE_TENOR_RATES")</f>
        <v/>
      </c>
      <c r="M12" s="80">
        <f>IFERROR(INDEX($Y$9:$Y$40,MATCH(B12,$V$9:$V$40,0)),"")</f>
        <v/>
      </c>
      <c r="N12" s="80">
        <f>IF(M12="","",Bootstrap!H12)</f>
        <v/>
      </c>
      <c r="O12" s="72">
        <f>IF(M12="","",N12-M12)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IF(ISNUMBER(D13),(C13-D13)*100,IF(ISNUMBER(G13),(C13-G13)*100,""))</f>
        <v/>
      </c>
      <c r="F13" s="93">
        <f>IF(ISNUMBER(IFERROR(INDEX($J$12:$T$82,MATCH(B13,INDEX($J$12:$T$82,0,$I$3),0),$I$4)*$I$5,"")),"BDS live",IF(ISNUMBER(G13),"manual paste","-"))</f>
        <v/>
      </c>
      <c r="G13" s="99">
        <f>IFERROR(INDEX($X$9:$X$40,MATCH(B13,$V$9:$V$40,0)),"")</f>
        <v/>
      </c>
      <c r="M13" s="80">
        <f>IFERROR(INDEX($Y$9:$Y$40,MATCH(B13,$V$9:$V$40,0)),"")</f>
        <v/>
      </c>
      <c r="N13" s="80">
        <f>IF(M13="","",Bootstrap!H13)</f>
        <v/>
      </c>
      <c r="O13" s="72">
        <f>IF(M13="","",N13-M13)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IF(ISNUMBER(D14),(C14-D14)*100,IF(ISNUMBER(G14),(C14-G14)*100,""))</f>
        <v/>
      </c>
      <c r="F14" s="93">
        <f>IF(ISNUMBER(IFERROR(INDEX($J$12:$T$82,MATCH(B14,INDEX($J$12:$T$82,0,$I$3),0),$I$4)*$I$5,"")),"BDS live",IF(ISNUMBER(G14),"manual paste","-"))</f>
        <v/>
      </c>
      <c r="G14" s="99">
        <f>IFERROR(INDEX($X$9:$X$40,MATCH(B14,$V$9:$V$40,0)),"")</f>
        <v/>
      </c>
      <c r="M14" s="80">
        <f>IFERROR(INDEX($Y$9:$Y$40,MATCH(B14,$V$9:$V$40,0)),"")</f>
        <v/>
      </c>
      <c r="N14" s="80">
        <f>IF(M14="","",Bootstrap!H14)</f>
        <v/>
      </c>
      <c r="O14" s="72">
        <f>IF(M14="","",N14-M14)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IF(ISNUMBER(D15),(C15-D15)*100,IF(ISNUMBER(G15),(C15-G15)*100,""))</f>
        <v/>
      </c>
      <c r="F15" s="93">
        <f>IF(ISNUMBER(IFERROR(INDEX($J$12:$T$82,MATCH(B15,INDEX($J$12:$T$82,0,$I$3),0),$I$4)*$I$5,"")),"BDS live",IF(ISNUMBER(G15),"manual paste","-"))</f>
        <v/>
      </c>
      <c r="G15" s="99">
        <f>IFERROR(INDEX($X$9:$X$40,MATCH(B15,$V$9:$V$40,0)),"")</f>
        <v/>
      </c>
      <c r="M15" s="80">
        <f>IFERROR(INDEX($Y$9:$Y$40,MATCH(B15,$V$9:$V$40,0)),"")</f>
        <v/>
      </c>
      <c r="N15" s="80">
        <f>IF(M15="","",Bootstrap!H15)</f>
        <v/>
      </c>
      <c r="O15" s="72">
        <f>IF(M15="","",N15-M15)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IF(ISNUMBER(D16),(C16-D16)*100,IF(ISNUMBER(G16),(C16-G16)*100,""))</f>
        <v/>
      </c>
      <c r="F16" s="93">
        <f>IF(ISNUMBER(IFERROR(INDEX($J$12:$T$82,MATCH(B16,INDEX($J$12:$T$82,0,$I$3),0),$I$4)*$I$5,"")),"BDS live",IF(ISNUMBER(G16),"manual paste","-"))</f>
        <v/>
      </c>
      <c r="G16" s="99">
        <f>IFERROR(INDEX($X$9:$X$40,MATCH(B16,$V$9:$V$40,0)),"")</f>
        <v/>
      </c>
      <c r="M16" s="80">
        <f>IFERROR(INDEX($Y$9:$Y$40,MATCH(B16,$V$9:$V$40,0)),"")</f>
        <v/>
      </c>
      <c r="N16" s="80">
        <f>IF(M16="","",Bootstrap!H16)</f>
        <v/>
      </c>
      <c r="O16" s="72">
        <f>IF(M16="","",N16-M16)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IF(ISNUMBER(D17),(C17-D17)*100,IF(ISNUMBER(G17),(C17-G17)*100,""))</f>
        <v/>
      </c>
      <c r="F17" s="93">
        <f>IF(ISNUMBER(IFERROR(INDEX($J$12:$T$82,MATCH(B17,INDEX($J$12:$T$82,0,$I$3),0),$I$4)*$I$5,"")),"BDS live",IF(ISNUMBER(G17),"manual paste","-"))</f>
        <v/>
      </c>
      <c r="G17" s="99">
        <f>IFERROR(INDEX($X$9:$X$40,MATCH(B17,$V$9:$V$40,0)),"")</f>
        <v/>
      </c>
      <c r="M17" s="80">
        <f>IFERROR(INDEX($Y$9:$Y$40,MATCH(B17,$V$9:$V$40,0)),"")</f>
        <v/>
      </c>
      <c r="N17" s="80">
        <f>IF(M17="","",Bootstrap!H17)</f>
        <v/>
      </c>
      <c r="O17" s="72">
        <f>IF(M17="","",N17-M17)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IF(ISNUMBER(D18),(C18-D18)*100,IF(ISNUMBER(G18),(C18-G18)*100,""))</f>
        <v/>
      </c>
      <c r="F18" s="93">
        <f>IF(ISNUMBER(IFERROR(INDEX($J$12:$T$82,MATCH(B18,INDEX($J$12:$T$82,0,$I$3),0),$I$4)*$I$5,"")),"BDS live",IF(ISNUMBER(G18),"manual paste","-"))</f>
        <v/>
      </c>
      <c r="G18" s="99">
        <f>IFERROR(INDEX($X$9:$X$40,MATCH(B18,$V$9:$V$40,0)),"")</f>
        <v/>
      </c>
      <c r="M18" s="80">
        <f>IFERROR(INDEX($Y$9:$Y$40,MATCH(B18,$V$9:$V$40,0)),"")</f>
        <v/>
      </c>
      <c r="N18" s="80">
        <f>IF(M18="","",Bootstrap!H18)</f>
        <v/>
      </c>
      <c r="O18" s="72">
        <f>IF(M18="","",N18-M18)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IF(ISNUMBER(D19),(C19-D19)*100,IF(ISNUMBER(G19),(C19-G19)*100,""))</f>
        <v/>
      </c>
      <c r="F19" s="93">
        <f>IF(ISNUMBER(IFERROR(INDEX($J$12:$T$82,MATCH(B19,INDEX($J$12:$T$82,0,$I$3),0),$I$4)*$I$5,"")),"BDS live",IF(ISNUMBER(G19),"manual paste","-"))</f>
        <v/>
      </c>
      <c r="G19" s="99">
        <f>IFERROR(INDEX($X$9:$X$40,MATCH(B19,$V$9:$V$40,0)),"")</f>
        <v/>
      </c>
      <c r="M19" s="80">
        <f>IFERROR(INDEX($Y$9:$Y$40,MATCH(B19,$V$9:$V$40,0)),"")</f>
        <v/>
      </c>
      <c r="N19" s="80">
        <f>IF(M19="","",Bootstrap!H19)</f>
        <v/>
      </c>
      <c r="O19" s="72">
        <f>IF(M19="","",N19-M19)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IF(ISNUMBER(D20),(C20-D20)*100,IF(ISNUMBER(G20),(C20-G20)*100,""))</f>
        <v/>
      </c>
      <c r="F20" s="93">
        <f>IF(ISNUMBER(IFERROR(INDEX($J$12:$T$82,MATCH(B20,INDEX($J$12:$T$82,0,$I$3),0),$I$4)*$I$5,"")),"BDS live",IF(ISNUMBER(G20),"manual paste","-"))</f>
        <v/>
      </c>
      <c r="G20" s="99">
        <f>IFERROR(INDEX($X$9:$X$40,MATCH(B20,$V$9:$V$40,0)),"")</f>
        <v/>
      </c>
      <c r="M20" s="80">
        <f>IFERROR(INDEX($Y$9:$Y$40,MATCH(B20,$V$9:$V$40,0)),"")</f>
        <v/>
      </c>
      <c r="N20" s="80">
        <f>IF(M20="","",Bootstrap!H20)</f>
        <v/>
      </c>
      <c r="O20" s="72">
        <f>IF(M20="","",N20-M20)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IF(ISNUMBER(D21),(C21-D21)*100,IF(ISNUMBER(G21),(C21-G21)*100,""))</f>
        <v/>
      </c>
      <c r="F21" s="93">
        <f>IF(ISNUMBER(IFERROR(INDEX($J$12:$T$82,MATCH(B21,INDEX($J$12:$T$82,0,$I$3),0),$I$4)*$I$5,"")),"BDS live",IF(ISNUMBER(G21),"manual paste","-"))</f>
        <v/>
      </c>
      <c r="G21" s="99">
        <f>IFERROR(INDEX($X$9:$X$40,MATCH(B21,$V$9:$V$40,0)),"")</f>
        <v/>
      </c>
      <c r="M21" s="80">
        <f>IFERROR(INDEX($Y$9:$Y$40,MATCH(B21,$V$9:$V$40,0)),"")</f>
        <v/>
      </c>
      <c r="N21" s="80">
        <f>IF(M21="","",Bootstrap!H21)</f>
        <v/>
      </c>
      <c r="O21" s="72">
        <f>IF(M21="","",N21-M21)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IF(ISNUMBER(D22),(C22-D22)*100,IF(ISNUMBER(G22),(C22-G22)*100,""))</f>
        <v/>
      </c>
      <c r="F22" s="93">
        <f>IF(ISNUMBER(IFERROR(INDEX($J$12:$T$82,MATCH(B22,INDEX($J$12:$T$82,0,$I$3),0),$I$4)*$I$5,"")),"BDS live",IF(ISNUMBER(G22),"manual paste","-"))</f>
        <v/>
      </c>
      <c r="G22" s="99">
        <f>IFERROR(INDEX($X$9:$X$40,MATCH(B22,$V$9:$V$40,0)),"")</f>
        <v/>
      </c>
      <c r="M22" s="80">
        <f>IFERROR(INDEX($Y$9:$Y$40,MATCH(B22,$V$9:$V$40,0)),"")</f>
        <v/>
      </c>
      <c r="N22" s="80">
        <f>IF(M22="","",Bootstrap!H22)</f>
        <v/>
      </c>
      <c r="O22" s="72">
        <f>IF(M22="","",N22-M22)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IF(ISNUMBER(D23),(C23-D23)*100,IF(ISNUMBER(G23),(C23-G23)*100,""))</f>
        <v/>
      </c>
      <c r="F23" s="93">
        <f>IF(ISNUMBER(IFERROR(INDEX($J$12:$T$82,MATCH(B23,INDEX($J$12:$T$82,0,$I$3),0),$I$4)*$I$5,"")),"BDS live",IF(ISNUMBER(G23),"manual paste","-"))</f>
        <v/>
      </c>
      <c r="G23" s="99">
        <f>IFERROR(INDEX($X$9:$X$40,MATCH(B23,$V$9:$V$40,0)),"")</f>
        <v/>
      </c>
      <c r="M23" s="80">
        <f>IFERROR(INDEX($Y$9:$Y$40,MATCH(B23,$V$9:$V$40,0)),"")</f>
        <v/>
      </c>
      <c r="N23" s="80">
        <f>IF(M23="","",Bootstrap!H23)</f>
        <v/>
      </c>
      <c r="O23" s="72">
        <f>IF(M23="","",N23-M23)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IF(ISNUMBER(D24),(C24-D24)*100,IF(ISNUMBER(G24),(C24-G24)*100,""))</f>
        <v/>
      </c>
      <c r="F24" s="93">
        <f>IF(ISNUMBER(IFERROR(INDEX($J$12:$T$82,MATCH(B24,INDEX($J$12:$T$82,0,$I$3),0),$I$4)*$I$5,"")),"BDS live",IF(ISNUMBER(G24),"manual paste","-"))</f>
        <v/>
      </c>
      <c r="G24" s="99">
        <f>IFERROR(INDEX($X$9:$X$40,MATCH(B24,$V$9:$V$40,0)),"")</f>
        <v/>
      </c>
      <c r="M24" s="80">
        <f>IFERROR(INDEX($Y$9:$Y$40,MATCH(B24,$V$9:$V$40,0)),"")</f>
        <v/>
      </c>
      <c r="N24" s="80">
        <f>IF(M24="","",Bootstrap!H24)</f>
        <v/>
      </c>
      <c r="O24" s="72">
        <f>IF(M24="","",N24-M24)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IF(ISNUMBER(D25),(C25-D25)*100,IF(ISNUMBER(G25),(C25-G25)*100,""))</f>
        <v/>
      </c>
      <c r="F25" s="93">
        <f>IF(ISNUMBER(IFERROR(INDEX($J$12:$T$82,MATCH(B25,INDEX($J$12:$T$82,0,$I$3),0),$I$4)*$I$5,"")),"BDS live",IF(ISNUMBER(G25),"manual paste","-"))</f>
        <v/>
      </c>
      <c r="G25" s="99">
        <f>IFERROR(INDEX($X$9:$X$40,MATCH(B25,$V$9:$V$40,0)),"")</f>
        <v/>
      </c>
      <c r="M25" s="80">
        <f>IFERROR(INDEX($Y$9:$Y$40,MATCH(B25,$V$9:$V$40,0)),"")</f>
        <v/>
      </c>
      <c r="N25" s="80">
        <f>IF(M25="","",Bootstrap!H25)</f>
        <v/>
      </c>
      <c r="O25" s="72">
        <f>IF(M25="","",N25-M25)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IF(ISNUMBER(D26),(C26-D26)*100,IF(ISNUMBER(G26),(C26-G26)*100,""))</f>
        <v/>
      </c>
      <c r="F26" s="93">
        <f>IF(ISNUMBER(IFERROR(INDEX($J$12:$T$82,MATCH(B26,INDEX($J$12:$T$82,0,$I$3),0),$I$4)*$I$5,"")),"BDS live",IF(ISNUMBER(G26),"manual paste","-"))</f>
        <v/>
      </c>
      <c r="G26" s="99">
        <f>IFERROR(INDEX($X$9:$X$40,MATCH(B26,$V$9:$V$40,0)),"")</f>
        <v/>
      </c>
      <c r="M26" s="80">
        <f>IFERROR(INDEX($Y$9:$Y$40,MATCH(B26,$V$9:$V$40,0)),"")</f>
        <v/>
      </c>
      <c r="N26" s="80">
        <f>IF(M26="","",Bootstrap!H26)</f>
        <v/>
      </c>
      <c r="O26" s="72">
        <f>IF(M26="","",N26-M26)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IF(ISNUMBER(D27),(C27-D27)*100,IF(ISNUMBER(G27),(C27-G27)*100,""))</f>
        <v/>
      </c>
      <c r="F27" s="93">
        <f>IF(ISNUMBER(IFERROR(INDEX($J$12:$T$82,MATCH(B27,INDEX($J$12:$T$82,0,$I$3),0),$I$4)*$I$5,"")),"BDS live",IF(ISNUMBER(G27),"manual paste","-"))</f>
        <v/>
      </c>
      <c r="G27" s="99">
        <f>IFERROR(INDEX($X$9:$X$40,MATCH(B27,$V$9:$V$40,0)),"")</f>
        <v/>
      </c>
      <c r="M27" s="80">
        <f>IFERROR(INDEX($Y$9:$Y$40,MATCH(B27,$V$9:$V$40,0)),"")</f>
        <v/>
      </c>
      <c r="N27" s="80">
        <f>IF(M27="","",Bootstrap!H27)</f>
        <v/>
      </c>
      <c r="O27" s="72">
        <f>IF(M27="","",N27-M27)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IF(ISNUMBER(D28),(C28-D28)*100,IF(ISNUMBER(G28),(C28-G28)*100,""))</f>
        <v/>
      </c>
      <c r="F28" s="93">
        <f>IF(ISNUMBER(IFERROR(INDEX($J$12:$T$82,MATCH(B28,INDEX($J$12:$T$82,0,$I$3),0),$I$4)*$I$5,"")),"BDS live",IF(ISNUMBER(G28),"manual paste","-"))</f>
        <v/>
      </c>
      <c r="G28" s="99">
        <f>IFERROR(INDEX($X$9:$X$40,MATCH(B28,$V$9:$V$40,0)),"")</f>
        <v/>
      </c>
      <c r="M28" s="80">
        <f>IFERROR(INDEX($Y$9:$Y$40,MATCH(B28,$V$9:$V$40,0)),"")</f>
        <v/>
      </c>
      <c r="N28" s="80">
        <f>IF(M28="","",Bootstrap!H28)</f>
        <v/>
      </c>
      <c r="O28" s="72">
        <f>IF(M28="","",N28-M28)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IF(ISNUMBER(D29),(C29-D29)*100,IF(ISNUMBER(G29),(C29-G29)*100,""))</f>
        <v/>
      </c>
      <c r="F29" s="93">
        <f>IF(ISNUMBER(IFERROR(INDEX($J$12:$T$82,MATCH(B29,INDEX($J$12:$T$82,0,$I$3),0),$I$4)*$I$5,"")),"BDS live",IF(ISNUMBER(G29),"manual paste","-"))</f>
        <v/>
      </c>
      <c r="G29" s="99">
        <f>IFERROR(INDEX($X$9:$X$40,MATCH(B29,$V$9:$V$40,0)),"")</f>
        <v/>
      </c>
      <c r="M29" s="80">
        <f>IFERROR(INDEX($Y$9:$Y$40,MATCH(B29,$V$9:$V$40,0)),"")</f>
        <v/>
      </c>
      <c r="N29" s="80">
        <f>IF(M29="","",Bootstrap!H29)</f>
        <v/>
      </c>
      <c r="O29" s="72">
        <f>IF(M29="","",N29-M29)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IF(ISNUMBER(D30),(C30-D30)*100,IF(ISNUMBER(G30),(C30-G30)*100,""))</f>
        <v/>
      </c>
      <c r="F30" s="93">
        <f>IF(ISNUMBER(IFERROR(INDEX($J$12:$T$82,MATCH(B30,INDEX($J$12:$T$82,0,$I$3),0),$I$4)*$I$5,"")),"BDS live",IF(ISNUMBER(G30),"manual paste","-"))</f>
        <v/>
      </c>
      <c r="G30" s="99">
        <f>IFERROR(INDEX($X$9:$X$40,MATCH(B30,$V$9:$V$40,0)),"")</f>
        <v/>
      </c>
      <c r="M30" s="80">
        <f>IFERROR(INDEX($Y$9:$Y$40,MATCH(B30,$V$9:$V$40,0)),"")</f>
        <v/>
      </c>
      <c r="N30" s="80">
        <f>IF(M30="","",Bootstrap!H30)</f>
        <v/>
      </c>
      <c r="O30" s="72">
        <f>IF(M30="","",N30-M30)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IF(ISNUMBER(D31),(C31-D31)*100,IF(ISNUMBER(G31),(C31-G31)*100,""))</f>
        <v/>
      </c>
      <c r="F31" s="93">
        <f>IF(ISNUMBER(IFERROR(INDEX($J$12:$T$82,MATCH(B31,INDEX($J$12:$T$82,0,$I$3),0),$I$4)*$I$5,"")),"BDS live",IF(ISNUMBER(G31),"manual paste","-"))</f>
        <v/>
      </c>
      <c r="G31" s="99">
        <f>IFERROR(INDEX($X$9:$X$40,MATCH(B31,$V$9:$V$40,0)),"")</f>
        <v/>
      </c>
      <c r="M31" s="80">
        <f>IFERROR(INDEX($Y$9:$Y$40,MATCH(B31,$V$9:$V$40,0)),"")</f>
        <v/>
      </c>
      <c r="N31" s="80">
        <f>IF(M31="","",Bootstrap!H31)</f>
        <v/>
      </c>
      <c r="O31" s="72">
        <f>IF(M31="","",N31-M31)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IF(ISNUMBER(D32),(C32-D32)*100,IF(ISNUMBER(G32),(C32-G32)*100,""))</f>
        <v/>
      </c>
      <c r="F32" s="93">
        <f>IF(ISNUMBER(IFERROR(INDEX($J$12:$T$82,MATCH(B32,INDEX($J$12:$T$82,0,$I$3),0),$I$4)*$I$5,"")),"BDS live",IF(ISNUMBER(G32),"manual paste","-"))</f>
        <v/>
      </c>
      <c r="G32" s="99">
        <f>IFERROR(INDEX($X$9:$X$40,MATCH(B32,$V$9:$V$40,0)),"")</f>
        <v/>
      </c>
      <c r="M32" s="80">
        <f>IFERROR(INDEX($Y$9:$Y$40,MATCH(B32,$V$9:$V$40,0)),"")</f>
        <v/>
      </c>
      <c r="N32" s="80">
        <f>IF(M32="","",Bootstrap!H32)</f>
        <v/>
      </c>
      <c r="O32" s="72">
        <f>IF(M32="","",N32-M32)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IF(ISNUMBER(D33),(C33-D33)*100,IF(ISNUMBER(G33),(C33-G33)*100,""))</f>
        <v/>
      </c>
      <c r="F33" s="93">
        <f>IF(ISNUMBER(IFERROR(INDEX($J$12:$T$82,MATCH(B33,INDEX($J$12:$T$82,0,$I$3),0),$I$4)*$I$5,"")),"BDS live",IF(ISNUMBER(G33),"manual paste","-"))</f>
        <v/>
      </c>
      <c r="G33" s="99">
        <f>IFERROR(INDEX($X$9:$X$40,MATCH(B33,$V$9:$V$40,0)),"")</f>
        <v/>
      </c>
      <c r="M33" s="80">
        <f>IFERROR(INDEX($Y$9:$Y$40,MATCH(B33,$V$9:$V$40,0)),"")</f>
        <v/>
      </c>
      <c r="N33" s="80">
        <f>IF(M33="","",Bootstrap!H33)</f>
        <v/>
      </c>
      <c r="O33" s="72">
        <f>IF(M33="","",N33-M33)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IF(ISNUMBER(D34),(C34-D34)*100,IF(ISNUMBER(G34),(C34-G34)*100,""))</f>
        <v/>
      </c>
      <c r="F34" s="93">
        <f>IF(ISNUMBER(IFERROR(INDEX($J$12:$T$82,MATCH(B34,INDEX($J$12:$T$82,0,$I$3),0),$I$4)*$I$5,"")),"BDS live",IF(ISNUMBER(G34),"manual paste","-"))</f>
        <v/>
      </c>
      <c r="G34" s="99">
        <f>IFERROR(INDEX($X$9:$X$40,MATCH(B34,$V$9:$V$40,0)),"")</f>
        <v/>
      </c>
      <c r="M34" s="80">
        <f>IFERROR(INDEX($Y$9:$Y$40,MATCH(B34,$V$9:$V$40,0)),"")</f>
        <v/>
      </c>
      <c r="N34" s="80">
        <f>IF(M34="","",Bootstrap!H34)</f>
        <v/>
      </c>
      <c r="O34" s="72">
        <f>IF(M34="","",N34-M34)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IF(ISNUMBER(D35),(C35-D35)*100,IF(ISNUMBER(G35),(C35-G35)*100,""))</f>
        <v/>
      </c>
      <c r="F35" s="93">
        <f>IF(ISNUMBER(IFERROR(INDEX($J$12:$T$82,MATCH(B35,INDEX($J$12:$T$82,0,$I$3),0),$I$4)*$I$5,"")),"BDS live",IF(ISNUMBER(G35),"manual paste","-"))</f>
        <v/>
      </c>
      <c r="G35" s="99">
        <f>IFERROR(INDEX($X$9:$X$40,MATCH(B35,$V$9:$V$40,0)),"")</f>
        <v/>
      </c>
      <c r="M35" s="80">
        <f>IFERROR(INDEX($Y$9:$Y$40,MATCH(B35,$V$9:$V$40,0)),"")</f>
        <v/>
      </c>
      <c r="N35" s="80">
        <f>IF(M35="","",Bootstrap!H35)</f>
        <v/>
      </c>
      <c r="O35" s="72">
        <f>IF(M35="","",N35-M35)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IF(ISNUMBER(D36),(C36-D36)*100,IF(ISNUMBER(G36),(C36-G36)*100,""))</f>
        <v/>
      </c>
      <c r="F36" s="93">
        <f>IF(ISNUMBER(IFERROR(INDEX($J$12:$T$82,MATCH(B36,INDEX($J$12:$T$82,0,$I$3),0),$I$4)*$I$5,"")),"BDS live",IF(ISNUMBER(G36),"manual paste","-"))</f>
        <v/>
      </c>
      <c r="G36" s="99">
        <f>IFERROR(INDEX($X$9:$X$40,MATCH(B36,$V$9:$V$40,0)),"")</f>
        <v/>
      </c>
      <c r="M36" s="80">
        <f>IFERROR(INDEX($Y$9:$Y$40,MATCH(B36,$V$9:$V$40,0)),"")</f>
        <v/>
      </c>
      <c r="N36" s="80">
        <f>IF(M36="","",Bootstrap!H36)</f>
        <v/>
      </c>
      <c r="O36" s="72">
        <f>IF(M36="","",N36-M36)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IF(ISNUMBER(D37),(C37-D37)*100,IF(ISNUMBER(G37),(C37-G37)*100,""))</f>
        <v/>
      </c>
      <c r="F37" s="93">
        <f>IF(ISNUMBER(IFERROR(INDEX($J$12:$T$82,MATCH(B37,INDEX($J$12:$T$82,0,$I$3),0),$I$4)*$I$5,"")),"BDS live",IF(ISNUMBER(G37),"manual paste","-"))</f>
        <v/>
      </c>
      <c r="G37" s="99">
        <f>IFERROR(INDEX($X$9:$X$40,MATCH(B37,$V$9:$V$40,0)),"")</f>
        <v/>
      </c>
      <c r="M37" s="80">
        <f>IFERROR(INDEX($Y$9:$Y$40,MATCH(B37,$V$9:$V$40,0)),"")</f>
        <v/>
      </c>
      <c r="N37" s="80">
        <f>IF(M37="","",Bootstrap!H37)</f>
        <v/>
      </c>
      <c r="O37" s="72">
        <f>IF(M37="","",N37-M37)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IF(ISNUMBER(D38),(C38-D38)*100,IF(ISNUMBER(G38),(C38-G38)*100,""))</f>
        <v/>
      </c>
      <c r="F38" s="93">
        <f>IF(ISNUMBER(IFERROR(INDEX($J$12:$T$82,MATCH(B38,INDEX($J$12:$T$82,0,$I$3),0),$I$4)*$I$5,"")),"BDS live",IF(ISNUMBER(G38),"manual paste","-"))</f>
        <v/>
      </c>
      <c r="G38" s="99">
        <f>IFERROR(INDEX($X$9:$X$40,MATCH(B38,$V$9:$V$40,0)),"")</f>
        <v/>
      </c>
      <c r="M38" s="80">
        <f>IFERROR(INDEX($Y$9:$Y$40,MATCH(B38,$V$9:$V$40,0)),"")</f>
        <v/>
      </c>
      <c r="N38" s="80">
        <f>IF(M38="","",Bootstrap!H38)</f>
        <v/>
      </c>
      <c r="O38" s="72">
        <f>IF(M38="","",N38-M38)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IF(ISNUMBER(D39),(C39-D39)*100,IF(ISNUMBER(G39),(C39-G39)*100,""))</f>
        <v/>
      </c>
      <c r="F39" s="93">
        <f>IF(ISNUMBER(IFERROR(INDEX($J$12:$T$82,MATCH(B39,INDEX($J$12:$T$82,0,$I$3),0),$I$4)*$I$5,"")),"BDS live",IF(ISNUMBER(G39),"manual paste","-"))</f>
        <v/>
      </c>
      <c r="G39" s="99">
        <f>IFERROR(INDEX($X$9:$X$40,MATCH(B39,$V$9:$V$40,0)),"")</f>
        <v/>
      </c>
      <c r="M39" s="80">
        <f>IFERROR(INDEX($Y$9:$Y$40,MATCH(B39,$V$9:$V$40,0)),"")</f>
        <v/>
      </c>
      <c r="N39" s="80">
        <f>IF(M39="","",Bootstrap!H39)</f>
        <v/>
      </c>
      <c r="O39" s="72">
        <f>IF(M39="","",N39-M39)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IF(ISNUMBER(D40),(C40-D40)*100,IF(ISNUMBER(G40),(C40-G40)*100,""))</f>
        <v/>
      </c>
      <c r="F40" s="93">
        <f>IF(ISNUMBER(IFERROR(INDEX($J$12:$T$82,MATCH(B40,INDEX($J$12:$T$82,0,$I$3),0),$I$4)*$I$5,"")),"BDS live",IF(ISNUMBER(G40),"manual paste","-"))</f>
        <v/>
      </c>
      <c r="G40" s="99">
        <f>IFERROR(INDEX($X$9:$X$40,MATCH(B40,$V$9:$V$40,0)),"")</f>
        <v/>
      </c>
      <c r="M40" s="80">
        <f>IFERROR(INDEX($Y$9:$Y$40,MATCH(B40,$V$9:$V$40,0)),"")</f>
        <v/>
      </c>
      <c r="N40" s="80">
        <f>IF(M40="","",Bootstrap!H40)</f>
        <v/>
      </c>
      <c r="O40" s="72">
        <f>IF(M40="","",N40-M40)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IF(ISNUMBER(D41),(C41-D41)*100,IF(ISNUMBER(G41),(C41-G41)*100,""))</f>
        <v/>
      </c>
      <c r="F41" s="93">
        <f>IF(ISNUMBER(IFERROR(INDEX($J$12:$T$82,MATCH(B41,INDEX($J$12:$T$82,0,$I$3),0),$I$4)*$I$5,"")),"BDS live",IF(ISNUMBER(G41),"manual paste","-"))</f>
        <v/>
      </c>
      <c r="G41" s="99">
        <f>IFERROR(INDEX($X$9:$X$40,MATCH(B41,$V$9:$V$40,0)),"")</f>
        <v/>
      </c>
      <c r="M41" s="80">
        <f>IFERROR(INDEX($Y$9:$Y$40,MATCH(B41,$V$9:$V$40,0)),"")</f>
        <v/>
      </c>
      <c r="N41" s="80">
        <f>IF(M41="","",Bootstrap!H41)</f>
        <v/>
      </c>
      <c r="O41" s="72">
        <f>IF(M41="","",N41-M41)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IF(ISNUMBER(D42),(C42-D42)*100,IF(ISNUMBER(G42),(C42-G42)*100,""))</f>
        <v/>
      </c>
      <c r="F42" s="93">
        <f>IF(ISNUMBER(IFERROR(INDEX($J$12:$T$82,MATCH(B42,INDEX($J$12:$T$82,0,$I$3),0),$I$4)*$I$5,"")),"BDS live",IF(ISNUMBER(G42),"manual paste","-"))</f>
        <v/>
      </c>
      <c r="G42" s="99">
        <f>IFERROR(INDEX($X$9:$X$40,MATCH(B42,$V$9:$V$40,0)),"")</f>
        <v/>
      </c>
      <c r="M42" s="80">
        <f>IFERROR(INDEX($Y$9:$Y$40,MATCH(B42,$V$9:$V$40,0)),"")</f>
        <v/>
      </c>
      <c r="N42" s="80">
        <f>IF(M42="","",Bootstrap!H42)</f>
        <v/>
      </c>
      <c r="O42" s="72">
        <f>IF(M42="","",N42-M42)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IF(ISNUMBER(D43),(C43-D43)*100,IF(ISNUMBER(G43),(C43-G43)*100,""))</f>
        <v/>
      </c>
      <c r="F43" s="93">
        <f>IF(ISNUMBER(IFERROR(INDEX($J$12:$T$82,MATCH(B43,INDEX($J$12:$T$82,0,$I$3),0),$I$4)*$I$5,"")),"BDS live",IF(ISNUMBER(G43),"manual paste","-"))</f>
        <v/>
      </c>
      <c r="G43" s="99">
        <f>IFERROR(INDEX($X$9:$X$40,MATCH(B43,$V$9:$V$40,0)),"")</f>
        <v/>
      </c>
      <c r="M43" s="80">
        <f>IFERROR(INDEX($Y$9:$Y$40,MATCH(B43,$V$9:$V$40,0)),"")</f>
        <v/>
      </c>
      <c r="N43" s="80">
        <f>IF(M43="","",Bootstrap!H43)</f>
        <v/>
      </c>
      <c r="O43" s="72">
        <f>IF(M43="","",N43-M43)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IF(ISNUMBER(D44),(C44-D44)*100,IF(ISNUMBER(G44),(C44-G44)*100,""))</f>
        <v/>
      </c>
      <c r="F44" s="93">
        <f>IF(ISNUMBER(IFERROR(INDEX($J$12:$T$82,MATCH(B44,INDEX($J$12:$T$82,0,$I$3),0),$I$4)*$I$5,"")),"BDS live",IF(ISNUMBER(G44),"manual paste","-"))</f>
        <v/>
      </c>
      <c r="G44" s="99">
        <f>IFERROR(INDEX($X$9:$X$40,MATCH(B44,$V$9:$V$40,0)),"")</f>
        <v/>
      </c>
      <c r="M44" s="80">
        <f>IFERROR(INDEX($Y$9:$Y$40,MATCH(B44,$V$9:$V$40,0)),"")</f>
        <v/>
      </c>
      <c r="N44" s="80">
        <f>IF(M44="","",Bootstrap!H44)</f>
        <v/>
      </c>
      <c r="O44" s="72">
        <f>IF(M44="","",N44-M44)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IF(ISNUMBER(D45),(C45-D45)*100,IF(ISNUMBER(G45),(C45-G45)*100,""))</f>
        <v/>
      </c>
      <c r="F45" s="93">
        <f>IF(ISNUMBER(IFERROR(INDEX($J$12:$T$82,MATCH(B45,INDEX($J$12:$T$82,0,$I$3),0),$I$4)*$I$5,"")),"BDS live",IF(ISNUMBER(G45),"manual paste","-"))</f>
        <v/>
      </c>
      <c r="G45" s="99">
        <f>IFERROR(INDEX($X$9:$X$40,MATCH(B45,$V$9:$V$40,0)),"")</f>
        <v/>
      </c>
      <c r="M45" s="80">
        <f>IFERROR(INDEX($Y$9:$Y$40,MATCH(B45,$V$9:$V$40,0)),"")</f>
        <v/>
      </c>
      <c r="N45" s="80">
        <f>IF(M45="","",Bootstrap!H45)</f>
        <v/>
      </c>
      <c r="O45" s="72">
        <f>IF(M45="","",N45-M45)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IF(ISNUMBER(D46),(C46-D46)*100,IF(ISNUMBER(G46),(C46-G46)*100,""))</f>
        <v/>
      </c>
      <c r="F46" s="93">
        <f>IF(ISNUMBER(IFERROR(INDEX($J$12:$T$82,MATCH(B46,INDEX($J$12:$T$82,0,$I$3),0),$I$4)*$I$5,"")),"BDS live",IF(ISNUMBER(G46),"manual paste","-"))</f>
        <v/>
      </c>
      <c r="G46" s="99">
        <f>IFERROR(INDEX($X$9:$X$40,MATCH(B46,$V$9:$V$40,0)),"")</f>
        <v/>
      </c>
      <c r="M46" s="80">
        <f>IFERROR(INDEX($Y$9:$Y$40,MATCH(B46,$V$9:$V$40,0)),"")</f>
        <v/>
      </c>
      <c r="N46" s="80">
        <f>IF(M46="","",Bootstrap!H46)</f>
        <v/>
      </c>
      <c r="O46" s="72">
        <f>IF(M46="","",N46-M46)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IF(ISNUMBER(D47),(C47-D47)*100,IF(ISNUMBER(G47),(C47-G47)*100,""))</f>
        <v/>
      </c>
      <c r="F47" s="93">
        <f>IF(ISNUMBER(IFERROR(INDEX($J$12:$T$82,MATCH(B47,INDEX($J$12:$T$82,0,$I$3),0),$I$4)*$I$5,"")),"BDS live",IF(ISNUMBER(G47),"manual paste","-"))</f>
        <v/>
      </c>
      <c r="G47" s="99">
        <f>IFERROR(INDEX($X$9:$X$40,MATCH(B47,$V$9:$V$40,0)),"")</f>
        <v/>
      </c>
      <c r="M47" s="80">
        <f>IFERROR(INDEX($Y$9:$Y$40,MATCH(B47,$V$9:$V$40,0)),"")</f>
        <v/>
      </c>
      <c r="N47" s="80">
        <f>IF(M47="","",Bootstrap!H47)</f>
        <v/>
      </c>
      <c r="O47" s="72">
        <f>IF(M47="","",N47-M47)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IF(ISNUMBER(D48),(C48-D48)*100,IF(ISNUMBER(G48),(C48-G48)*100,""))</f>
        <v/>
      </c>
      <c r="F48" s="93">
        <f>IF(ISNUMBER(IFERROR(INDEX($J$12:$T$82,MATCH(B48,INDEX($J$12:$T$82,0,$I$3),0),$I$4)*$I$5,"")),"BDS live",IF(ISNUMBER(G48),"manual paste","-"))</f>
        <v/>
      </c>
      <c r="G48" s="99">
        <f>IFERROR(INDEX($X$9:$X$40,MATCH(B48,$V$9:$V$40,0)),"")</f>
        <v/>
      </c>
      <c r="M48" s="80">
        <f>IFERROR(INDEX($Y$9:$Y$40,MATCH(B48,$V$9:$V$40,0)),"")</f>
        <v/>
      </c>
      <c r="N48" s="80">
        <f>IF(M48="","",Bootstrap!H48)</f>
        <v/>
      </c>
      <c r="O48" s="72">
        <f>IF(M48="","",N48-M48)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IF(ISNUMBER(D49),(C49-D49)*100,IF(ISNUMBER(G49),(C49-G49)*100,""))</f>
        <v/>
      </c>
      <c r="F49" s="93">
        <f>IF(ISNUMBER(IFERROR(INDEX($J$12:$T$82,MATCH(B49,INDEX($J$12:$T$82,0,$I$3),0),$I$4)*$I$5,"")),"BDS live",IF(ISNUMBER(G49),"manual paste","-"))</f>
        <v/>
      </c>
      <c r="G49" s="99">
        <f>IFERROR(INDEX($X$9:$X$40,MATCH(B49,$V$9:$V$40,0)),"")</f>
        <v/>
      </c>
      <c r="M49" s="80">
        <f>IFERROR(INDEX($Y$9:$Y$40,MATCH(B49,$V$9:$V$40,0)),"")</f>
        <v/>
      </c>
      <c r="N49" s="80">
        <f>IF(M49="","",Bootstrap!H49)</f>
        <v/>
      </c>
      <c r="O49" s="72">
        <f>IF(M49="","",N49-M49)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IF(ISNUMBER(D50),(C50-D50)*100,IF(ISNUMBER(G50),(C50-G50)*100,""))</f>
        <v/>
      </c>
      <c r="F50" s="93">
        <f>IF(ISNUMBER(IFERROR(INDEX($J$12:$T$82,MATCH(B50,INDEX($J$12:$T$82,0,$I$3),0),$I$4)*$I$5,"")),"BDS live",IF(ISNUMBER(G50),"manual paste","-"))</f>
        <v/>
      </c>
      <c r="G50" s="99">
        <f>IFERROR(INDEX($X$9:$X$40,MATCH(B50,$V$9:$V$40,0)),"")</f>
        <v/>
      </c>
      <c r="M50" s="80">
        <f>IFERROR(INDEX($Y$9:$Y$40,MATCH(B50,$V$9:$V$40,0)),"")</f>
        <v/>
      </c>
      <c r="N50" s="80">
        <f>IF(M50="","",Bootstrap!H50)</f>
        <v/>
      </c>
      <c r="O50" s="72">
        <f>IF(M50="","",N50-M50)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IF(ISNUMBER(D51),(C51-D51)*100,IF(ISNUMBER(G51),(C51-G51)*100,""))</f>
        <v/>
      </c>
      <c r="F51" s="93">
        <f>IF(ISNUMBER(IFERROR(INDEX($J$12:$T$82,MATCH(B51,INDEX($J$12:$T$82,0,$I$3),0),$I$4)*$I$5,"")),"BDS live",IF(ISNUMBER(G51),"manual paste","-"))</f>
        <v/>
      </c>
      <c r="G51" s="99">
        <f>IFERROR(INDEX($X$9:$X$40,MATCH(B51,$V$9:$V$40,0)),"")</f>
        <v/>
      </c>
      <c r="M51" s="80">
        <f>IFERROR(INDEX($Y$9:$Y$40,MATCH(B51,$V$9:$V$40,0)),"")</f>
        <v/>
      </c>
      <c r="N51" s="80">
        <f>IF(M51="","",Bootstrap!H51)</f>
        <v/>
      </c>
      <c r="O51" s="72">
        <f>IF(M51="","",N51-M51)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IF(ISNUMBER(D52),(C52-D52)*100,IF(ISNUMBER(G52),(C52-G52)*100,""))</f>
        <v/>
      </c>
      <c r="F52" s="93">
        <f>IF(ISNUMBER(IFERROR(INDEX($J$12:$T$82,MATCH(B52,INDEX($J$12:$T$82,0,$I$3),0),$I$4)*$I$5,"")),"BDS live",IF(ISNUMBER(G52),"manual paste","-"))</f>
        <v/>
      </c>
      <c r="G52" s="99">
        <f>IFERROR(INDEX($X$9:$X$40,MATCH(B52,$V$9:$V$40,0)),"")</f>
        <v/>
      </c>
      <c r="M52" s="80">
        <f>IFERROR(INDEX($Y$9:$Y$40,MATCH(B52,$V$9:$V$40,0)),"")</f>
        <v/>
      </c>
      <c r="N52" s="80">
        <f>IF(M52="","",Bootstrap!H52)</f>
        <v/>
      </c>
      <c r="O52" s="72">
        <f>IF(M52="","",N52-M52)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IF(ISNUMBER(D53),(C53-D53)*100,IF(ISNUMBER(G53),(C53-G53)*100,""))</f>
        <v/>
      </c>
      <c r="F53" s="93">
        <f>IF(ISNUMBER(IFERROR(INDEX($J$12:$T$82,MATCH(B53,INDEX($J$12:$T$82,0,$I$3),0),$I$4)*$I$5,"")),"BDS live",IF(ISNUMBER(G53),"manual paste","-"))</f>
        <v/>
      </c>
      <c r="G53" s="99">
        <f>IFERROR(INDEX($X$9:$X$40,MATCH(B53,$V$9:$V$40,0)),"")</f>
        <v/>
      </c>
      <c r="M53" s="80">
        <f>IFERROR(INDEX($Y$9:$Y$40,MATCH(B53,$V$9:$V$40,0)),"")</f>
        <v/>
      </c>
      <c r="N53" s="80">
        <f>IF(M53="","",Bootstrap!H53)</f>
        <v/>
      </c>
      <c r="O53" s="72">
        <f>IF(M53="","",N53-M53)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IF(ISNUMBER(D54),(C54-D54)*100,IF(ISNUMBER(G54),(C54-G54)*100,""))</f>
        <v/>
      </c>
      <c r="F54" s="93">
        <f>IF(ISNUMBER(IFERROR(INDEX($J$12:$T$82,MATCH(B54,INDEX($J$12:$T$82,0,$I$3),0),$I$4)*$I$5,"")),"BDS live",IF(ISNUMBER(G54),"manual paste","-"))</f>
        <v/>
      </c>
      <c r="G54" s="99">
        <f>IFERROR(INDEX($X$9:$X$40,MATCH(B54,$V$9:$V$40,0)),"")</f>
        <v/>
      </c>
      <c r="M54" s="80">
        <f>IFERROR(INDEX($Y$9:$Y$40,MATCH(B54,$V$9:$V$40,0)),"")</f>
        <v/>
      </c>
      <c r="N54" s="80">
        <f>IF(M54="","",Bootstrap!H54)</f>
        <v/>
      </c>
      <c r="O54" s="72">
        <f>IF(M54="","",N54-M54)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IF(ISNUMBER(D55),(C55-D55)*100,IF(ISNUMBER(G55),(C55-G55)*100,""))</f>
        <v/>
      </c>
      <c r="F55" s="93">
        <f>IF(ISNUMBER(IFERROR(INDEX($J$12:$T$82,MATCH(B55,INDEX($J$12:$T$82,0,$I$3),0),$I$4)*$I$5,"")),"BDS live",IF(ISNUMBER(G55),"manual paste","-"))</f>
        <v/>
      </c>
      <c r="G55" s="99">
        <f>IFERROR(INDEX($X$9:$X$40,MATCH(B55,$V$9:$V$40,0)),"")</f>
        <v/>
      </c>
      <c r="M55" s="80">
        <f>IFERROR(INDEX($Y$9:$Y$40,MATCH(B55,$V$9:$V$40,0)),"")</f>
        <v/>
      </c>
      <c r="N55" s="80">
        <f>IF(M55="","",Bootstrap!H55)</f>
        <v/>
      </c>
      <c r="O55" s="72">
        <f>IF(M55="","",N55-M55)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IF(ISNUMBER(D56),(C56-D56)*100,IF(ISNUMBER(G56),(C56-G56)*100,""))</f>
        <v/>
      </c>
      <c r="F56" s="93">
        <f>IF(ISNUMBER(IFERROR(INDEX($J$12:$T$82,MATCH(B56,INDEX($J$12:$T$82,0,$I$3),0),$I$4)*$I$5,"")),"BDS live",IF(ISNUMBER(G56),"manual paste","-"))</f>
        <v/>
      </c>
      <c r="G56" s="99">
        <f>IFERROR(INDEX($X$9:$X$40,MATCH(B56,$V$9:$V$40,0)),"")</f>
        <v/>
      </c>
      <c r="M56" s="80">
        <f>IFERROR(INDEX($Y$9:$Y$40,MATCH(B56,$V$9:$V$40,0)),"")</f>
        <v/>
      </c>
      <c r="N56" s="80">
        <f>IF(M56="","",Bootstrap!H56)</f>
        <v/>
      </c>
      <c r="O56" s="72">
        <f>IF(M56="","",N56-M56)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IF(ISNUMBER(D57),(C57-D57)*100,IF(ISNUMBER(G57),(C57-G57)*100,""))</f>
        <v/>
      </c>
      <c r="F57" s="93">
        <f>IF(ISNUMBER(IFERROR(INDEX($J$12:$T$82,MATCH(B57,INDEX($J$12:$T$82,0,$I$3),0),$I$4)*$I$5,"")),"BDS live",IF(ISNUMBER(G57),"manual paste","-"))</f>
        <v/>
      </c>
      <c r="G57" s="99">
        <f>IFERROR(INDEX($X$9:$X$40,MATCH(B57,$V$9:$V$40,0)),"")</f>
        <v/>
      </c>
      <c r="M57" s="80">
        <f>IFERROR(INDEX($Y$9:$Y$40,MATCH(B57,$V$9:$V$40,0)),"")</f>
        <v/>
      </c>
      <c r="N57" s="80">
        <f>IF(M57="","",Bootstrap!H57)</f>
        <v/>
      </c>
      <c r="O57" s="72">
        <f>IF(M57="","",N57-M57)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IF(ISNUMBER(D58),(C58-D58)*100,IF(ISNUMBER(G58),(C58-G58)*100,""))</f>
        <v/>
      </c>
      <c r="F58" s="93">
        <f>IF(ISNUMBER(IFERROR(INDEX($J$12:$T$82,MATCH(B58,INDEX($J$12:$T$82,0,$I$3),0),$I$4)*$I$5,"")),"BDS live",IF(ISNUMBER(G58),"manual paste","-"))</f>
        <v/>
      </c>
      <c r="G58" s="99">
        <f>IFERROR(INDEX($X$9:$X$40,MATCH(B58,$V$9:$V$40,0)),"")</f>
        <v/>
      </c>
      <c r="M58" s="80">
        <f>IFERROR(INDEX($Y$9:$Y$40,MATCH(B58,$V$9:$V$40,0)),"")</f>
        <v/>
      </c>
      <c r="N58" s="80">
        <f>IF(M58="","",Bootstrap!H58)</f>
        <v/>
      </c>
      <c r="O58" s="72">
        <f>IF(M58="","",N58-M58)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IF(ISNUMBER(D59),(C59-D59)*100,IF(ISNUMBER(G59),(C59-G59)*100,""))</f>
        <v/>
      </c>
      <c r="F59" s="93">
        <f>IF(ISNUMBER(IFERROR(INDEX($J$12:$T$82,MATCH(B59,INDEX($J$12:$T$82,0,$I$3),0),$I$4)*$I$5,"")),"BDS live",IF(ISNUMBER(G59),"manual paste","-"))</f>
        <v/>
      </c>
      <c r="G59" s="99">
        <f>IFERROR(INDEX($X$9:$X$40,MATCH(B59,$V$9:$V$40,0)),"")</f>
        <v/>
      </c>
      <c r="M59" s="80">
        <f>IFERROR(INDEX($Y$9:$Y$40,MATCH(B59,$V$9:$V$40,0)),"")</f>
        <v/>
      </c>
      <c r="N59" s="80">
        <f>IF(M59="","",Bootstrap!H59)</f>
        <v/>
      </c>
      <c r="O59" s="72">
        <f>IF(M59="","",N59-M59)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IF(ISNUMBER(D60),(C60-D60)*100,IF(ISNUMBER(G60),(C60-G60)*100,""))</f>
        <v/>
      </c>
      <c r="F60" s="93">
        <f>IF(ISNUMBER(IFERROR(INDEX($J$12:$T$82,MATCH(B60,INDEX($J$12:$T$82,0,$I$3),0),$I$4)*$I$5,"")),"BDS live",IF(ISNUMBER(G60),"manual paste","-"))</f>
        <v/>
      </c>
      <c r="G60" s="99">
        <f>IFERROR(INDEX($X$9:$X$40,MATCH(B60,$V$9:$V$40,0)),"")</f>
        <v/>
      </c>
      <c r="M60" s="80">
        <f>IFERROR(INDEX($Y$9:$Y$40,MATCH(B60,$V$9:$V$40,0)),"")</f>
        <v/>
      </c>
      <c r="N60" s="80">
        <f>IF(M60="","",Bootstrap!H60)</f>
        <v/>
      </c>
      <c r="O60" s="72">
        <f>IF(M60="","",N60-M60)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IF(ISNUMBER(D61),(C61-D61)*100,IF(ISNUMBER(G61),(C61-G61)*100,""))</f>
        <v/>
      </c>
      <c r="F61" s="93">
        <f>IF(ISNUMBER(IFERROR(INDEX($J$12:$T$82,MATCH(B61,INDEX($J$12:$T$82,0,$I$3),0),$I$4)*$I$5,"")),"BDS live",IF(ISNUMBER(G61),"manual paste","-"))</f>
        <v/>
      </c>
      <c r="G61" s="99">
        <f>IFERROR(INDEX($X$9:$X$40,MATCH(B61,$V$9:$V$40,0)),"")</f>
        <v/>
      </c>
      <c r="M61" s="80">
        <f>IFERROR(INDEX($Y$9:$Y$40,MATCH(B61,$V$9:$V$40,0)),"")</f>
        <v/>
      </c>
      <c r="N61" s="80">
        <f>IF(M61="","",Bootstrap!H61)</f>
        <v/>
      </c>
      <c r="O61" s="72">
        <f>IF(M61="","",N61-M61)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IF(ISNUMBER(D62),(C62-D62)*100,IF(ISNUMBER(G62),(C62-G62)*100,""))</f>
        <v/>
      </c>
      <c r="F62" s="93">
        <f>IF(ISNUMBER(IFERROR(INDEX($J$12:$T$82,MATCH(B62,INDEX($J$12:$T$82,0,$I$3),0),$I$4)*$I$5,"")),"BDS live",IF(ISNUMBER(G62),"manual paste","-"))</f>
        <v/>
      </c>
      <c r="G62" s="99">
        <f>IFERROR(INDEX($X$9:$X$40,MATCH(B62,$V$9:$V$40,0)),"")</f>
        <v/>
      </c>
      <c r="M62" s="80">
        <f>IFERROR(INDEX($Y$9:$Y$40,MATCH(B62,$V$9:$V$40,0)),"")</f>
        <v/>
      </c>
      <c r="N62" s="80">
        <f>IF(M62="","",Bootstrap!H62)</f>
        <v/>
      </c>
      <c r="O62" s="72">
        <f>IF(M62="","",N62-M62)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IF(ISNUMBER(D63),(C63-D63)*100,IF(ISNUMBER(G63),(C63-G63)*100,""))</f>
        <v/>
      </c>
      <c r="F63" s="93">
        <f>IF(ISNUMBER(IFERROR(INDEX($J$12:$T$82,MATCH(B63,INDEX($J$12:$T$82,0,$I$3),0),$I$4)*$I$5,"")),"BDS live",IF(ISNUMBER(G63),"manual paste","-"))</f>
        <v/>
      </c>
      <c r="G63" s="99">
        <f>IFERROR(INDEX($X$9:$X$40,MATCH(B63,$V$9:$V$40,0)),"")</f>
        <v/>
      </c>
      <c r="M63" s="80">
        <f>IFERROR(INDEX($Y$9:$Y$40,MATCH(B63,$V$9:$V$40,0)),"")</f>
        <v/>
      </c>
      <c r="N63" s="80">
        <f>IF(M63="","",Bootstrap!H63)</f>
        <v/>
      </c>
      <c r="O63" s="72">
        <f>IF(M63="","",N63-M63)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IF(ISNUMBER(D64),(C64-D64)*100,IF(ISNUMBER(G64),(C64-G64)*100,""))</f>
        <v/>
      </c>
      <c r="F64" s="93">
        <f>IF(ISNUMBER(IFERROR(INDEX($J$12:$T$82,MATCH(B64,INDEX($J$12:$T$82,0,$I$3),0),$I$4)*$I$5,"")),"BDS live",IF(ISNUMBER(G64),"manual paste","-"))</f>
        <v/>
      </c>
      <c r="G64" s="99">
        <f>IFERROR(INDEX($X$9:$X$40,MATCH(B64,$V$9:$V$40,0)),"")</f>
        <v/>
      </c>
      <c r="M64" s="80">
        <f>IFERROR(INDEX($Y$9:$Y$40,MATCH(B64,$V$9:$V$40,0)),"")</f>
        <v/>
      </c>
      <c r="N64" s="80">
        <f>IF(M64="","",Bootstrap!H64)</f>
        <v/>
      </c>
      <c r="O64" s="72">
        <f>IF(M64="","",N64-M64)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IF(ISNUMBER(D65),(C65-D65)*100,IF(ISNUMBER(G65),(C65-G65)*100,""))</f>
        <v/>
      </c>
      <c r="F65" s="93">
        <f>IF(ISNUMBER(IFERROR(INDEX($J$12:$T$82,MATCH(B65,INDEX($J$12:$T$82,0,$I$3),0),$I$4)*$I$5,"")),"BDS live",IF(ISNUMBER(G65),"manual paste","-"))</f>
        <v/>
      </c>
      <c r="G65" s="99">
        <f>IFERROR(INDEX($X$9:$X$40,MATCH(B65,$V$9:$V$40,0)),"")</f>
        <v/>
      </c>
      <c r="M65" s="80">
        <f>IFERROR(INDEX($Y$9:$Y$40,MATCH(B65,$V$9:$V$40,0)),"")</f>
        <v/>
      </c>
      <c r="N65" s="80">
        <f>IF(M65="","",Bootstrap!H65)</f>
        <v/>
      </c>
      <c r="O65" s="72">
        <f>IF(M65="","",N65-M65)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IF(ISNUMBER(D66),(C66-D66)*100,IF(ISNUMBER(G66),(C66-G66)*100,""))</f>
        <v/>
      </c>
      <c r="F66" s="93">
        <f>IF(ISNUMBER(IFERROR(INDEX($J$12:$T$82,MATCH(B66,INDEX($J$12:$T$82,0,$I$3),0),$I$4)*$I$5,"")),"BDS live",IF(ISNUMBER(G66),"manual paste","-"))</f>
        <v/>
      </c>
      <c r="G66" s="99">
        <f>IFERROR(INDEX($X$9:$X$40,MATCH(B66,$V$9:$V$40,0)),"")</f>
        <v/>
      </c>
      <c r="M66" s="80">
        <f>IFERROR(INDEX($Y$9:$Y$40,MATCH(B66,$V$9:$V$40,0)),"")</f>
        <v/>
      </c>
      <c r="N66" s="80">
        <f>IF(M66="","",Bootstrap!H66)</f>
        <v/>
      </c>
      <c r="O66" s="72">
        <f>IF(M66="","",N66-M66)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IF(ISNUMBER(D67),(C67-D67)*100,IF(ISNUMBER(G67),(C67-G67)*100,""))</f>
        <v/>
      </c>
      <c r="F67" s="93">
        <f>IF(ISNUMBER(IFERROR(INDEX($J$12:$T$82,MATCH(B67,INDEX($J$12:$T$82,0,$I$3),0),$I$4)*$I$5,"")),"BDS live",IF(ISNUMBER(G67),"manual paste","-"))</f>
        <v/>
      </c>
      <c r="G67" s="99">
        <f>IFERROR(INDEX($X$9:$X$40,MATCH(B67,$V$9:$V$40,0)),"")</f>
        <v/>
      </c>
      <c r="M67" s="80">
        <f>IFERROR(INDEX($Y$9:$Y$40,MATCH(B67,$V$9:$V$40,0)),"")</f>
        <v/>
      </c>
      <c r="N67" s="80">
        <f>IF(M67="","",Bootstrap!H67)</f>
        <v/>
      </c>
      <c r="O67" s="72">
        <f>IF(M67="","",N67-M67)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IF(ISNUMBER(D68),(C68-D68)*100,IF(ISNUMBER(G68),(C68-G68)*100,""))</f>
        <v/>
      </c>
      <c r="F68" s="93">
        <f>IF(ISNUMBER(IFERROR(INDEX($J$12:$T$82,MATCH(B68,INDEX($J$12:$T$82,0,$I$3),0),$I$4)*$I$5,"")),"BDS live",IF(ISNUMBER(G68),"manual paste","-"))</f>
        <v/>
      </c>
      <c r="G68" s="99">
        <f>IFERROR(INDEX($X$9:$X$40,MATCH(B68,$V$9:$V$40,0)),"")</f>
        <v/>
      </c>
      <c r="M68" s="80">
        <f>IFERROR(INDEX($Y$9:$Y$40,MATCH(B68,$V$9:$V$40,0)),"")</f>
        <v/>
      </c>
      <c r="N68" s="80">
        <f>IF(M68="","",Bootstrap!H68)</f>
        <v/>
      </c>
      <c r="O68" s="72">
        <f>IF(M68="","",N68-M68)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IF(ISNUMBER(D69),(C69-D69)*100,IF(ISNUMBER(G69),(C69-G69)*100,""))</f>
        <v/>
      </c>
      <c r="F69" s="93">
        <f>IF(ISNUMBER(IFERROR(INDEX($J$12:$T$82,MATCH(B69,INDEX($J$12:$T$82,0,$I$3),0),$I$4)*$I$5,"")),"BDS live",IF(ISNUMBER(G69),"manual paste","-"))</f>
        <v/>
      </c>
      <c r="G69" s="99">
        <f>IFERROR(INDEX($X$9:$X$40,MATCH(B69,$V$9:$V$40,0)),"")</f>
        <v/>
      </c>
      <c r="M69" s="80">
        <f>IFERROR(INDEX($Y$9:$Y$40,MATCH(B69,$V$9:$V$40,0)),"")</f>
        <v/>
      </c>
      <c r="N69" s="80">
        <f>IF(M69="","",Bootstrap!H69)</f>
        <v/>
      </c>
      <c r="O69" s="72">
        <f>IF(M69="","",N69-M69)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IF(ISNUMBER(D70),(C70-D70)*100,IF(ISNUMBER(G70),(C70-G70)*100,""))</f>
        <v/>
      </c>
      <c r="F70" s="93">
        <f>IF(ISNUMBER(IFERROR(INDEX($J$12:$T$82,MATCH(B70,INDEX($J$12:$T$82,0,$I$3),0),$I$4)*$I$5,"")),"BDS live",IF(ISNUMBER(G70),"manual paste","-"))</f>
        <v/>
      </c>
      <c r="G70" s="99">
        <f>IFERROR(INDEX($X$9:$X$40,MATCH(B70,$V$9:$V$40,0)),"")</f>
        <v/>
      </c>
      <c r="M70" s="80">
        <f>IFERROR(INDEX($Y$9:$Y$40,MATCH(B70,$V$9:$V$40,0)),"")</f>
        <v/>
      </c>
      <c r="N70" s="80">
        <f>IF(M70="","",Bootstrap!H70)</f>
        <v/>
      </c>
      <c r="O70" s="72">
        <f>IF(M70="","",N70-M70)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IF(ISNUMBER(D71),(C71-D71)*100,IF(ISNUMBER(G71),(C71-G71)*100,""))</f>
        <v/>
      </c>
      <c r="F71" s="93">
        <f>IF(ISNUMBER(IFERROR(INDEX($J$12:$T$82,MATCH(B71,INDEX($J$12:$T$82,0,$I$3),0),$I$4)*$I$5,"")),"BDS live",IF(ISNUMBER(G71),"manual paste","-"))</f>
        <v/>
      </c>
      <c r="G71" s="99">
        <f>IFERROR(INDEX($X$9:$X$40,MATCH(B71,$V$9:$V$40,0)),"")</f>
        <v/>
      </c>
      <c r="M71" s="80">
        <f>IFERROR(INDEX($Y$9:$Y$40,MATCH(B71,$V$9:$V$40,0)),"")</f>
        <v/>
      </c>
      <c r="N71" s="80">
        <f>IF(M71="","",Bootstrap!H71)</f>
        <v/>
      </c>
      <c r="O71" s="72">
        <f>IF(M71="","",N71-M71)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IF(ISNUMBER(D72),(C72-D72)*100,IF(ISNUMBER(G72),(C72-G72)*100,""))</f>
        <v/>
      </c>
      <c r="F72" s="93">
        <f>IF(ISNUMBER(IFERROR(INDEX($J$12:$T$82,MATCH(B72,INDEX($J$12:$T$82,0,$I$3),0),$I$4)*$I$5,"")),"BDS live",IF(ISNUMBER(G72),"manual paste","-"))</f>
        <v/>
      </c>
      <c r="G72" s="99">
        <f>IFERROR(INDEX($X$9:$X$40,MATCH(B72,$V$9:$V$40,0)),"")</f>
        <v/>
      </c>
      <c r="M72" s="80">
        <f>IFERROR(INDEX($Y$9:$Y$40,MATCH(B72,$V$9:$V$40,0)),"")</f>
        <v/>
      </c>
      <c r="N72" s="80">
        <f>IF(M72="","",Bootstrap!H72)</f>
        <v/>
      </c>
      <c r="O72" s="72">
        <f>IF(M72="","",N72-M72)</f>
        <v/>
      </c>
    </row>
    <row r="74">
      <c r="A74" s="67" t="inlineStr">
        <is>
          <t>Pillars matched to the screen</t>
        </is>
      </c>
      <c r="C74" s="87">
        <f>COUNT(M8:M72)&amp;" / 32"</f>
        <v/>
      </c>
    </row>
    <row r="75">
      <c r="A75" s="67" t="inlineStr">
        <is>
          <t>Max |zero diff| vs screen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Column D = Bloomberg's own curve pulled live via BDS. Column G/M = the 07/21/26 screen snapshot in V:Y. Column E compares your zero to whichever is present.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6A1B9A"/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Curncy","PX_LAST")+0,IFERROR(BDP(D7&amp;" BEST Curncy","PX_MID")+0,E7))</f>
        <v/>
      </c>
      <c r="G7" s="52">
        <f>(F7/10000)/(1-CDS_Parameters!$B$8)</f>
        <v/>
      </c>
      <c r="H7" s="93">
        <f>IF(ISNUMBER(IFERROR(BDP(D7&amp;" BEST Curncy","PX_LAST")+0,"")),"BDP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Curncy","PX_LAST")+0,IFERROR(BDP(D8&amp;" BEST Curncy","PX_MID")+0,E8))</f>
        <v/>
      </c>
      <c r="G8" s="52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Curncy","PX_LAST")+0,IFERROR(BDP(D9&amp;" BEST Curncy","PX_MID")+0,E9))</f>
        <v/>
      </c>
      <c r="G9" s="52">
        <f>(F9/10000)/(1-CDS_Parameters!$B$8)</f>
        <v/>
      </c>
      <c r="H9" s="93">
        <f>IF(ISNUMBER(IFERROR(BDP(D9&amp;" BEST Curncy","PX_LAST")+0,"")),"BDP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Curncy","PX_LAST")+0,IFERROR(BDP(D10&amp;" BEST Curncy","PX_MID")+0,E10))</f>
        <v/>
      </c>
      <c r="G10" s="52">
        <f>(F10/10000)/(1-CDS_Parameters!$B$8)</f>
        <v/>
      </c>
      <c r="H10" s="93">
        <f>IF(ISNUMBER(IFERROR(BDP(D10&amp;" BEST Curncy","PX_LAST")+0,"")),"BDP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Curncy","PX_LAST")+0,IFERROR(BDP(D11&amp;" BEST Curncy","PX_MID")+0,E11))</f>
        <v/>
      </c>
      <c r="G11" s="52">
        <f>(F11/10000)/(1-CDS_Parameters!$B$8)</f>
        <v/>
      </c>
      <c r="H11" s="93">
        <f>IF(ISNUMBER(IFERROR(BDP(D11&amp;" BEST Curncy","PX_LAST")+0,"")),"BDP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Curncy","PX_LAST")+0,IFERROR(BDP(D12&amp;" BEST Curncy","PX_MID")+0,E12))</f>
        <v/>
      </c>
      <c r="G12" s="52">
        <f>(F12/10000)/(1-CDS_Parameters!$B$8)</f>
        <v/>
      </c>
      <c r="H12" s="93">
        <f>IF(ISNUMBER(IFERROR(BDP(D12&amp;" BEST Curncy","PX_LAST")+0,"")),"BDP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  <row r="16">
      <c r="A16" s="65" t="inlineStr">
        <is>
          <t>SOURCE: Bloomberg Help Desk H#1330731572. Step 1 =BDP(&lt;ticker&gt;,"CDS_SPREAD_TICKER_nY") resolves each tenor's CDS ticker; step 2 =BDP(&lt;returned&gt;&amp;" BEST Curncy","PX_LAST") quotes it. Documented tenors: 1Y, 3Y, 5Y, 7Y, 10Y.</t>
        </is>
      </c>
    </row>
    <row r="17">
      <c r="A17" s="66" t="inlineStr">
        <is>
          <t>LIMITATION (Bloomberg's words): they do not provide a zero-coupon CDS spread by maturity as an exportable field, and the bootstrapped hazard rates are not a standard export. So there is NO exportable ground truth for the hazard curve - unlike the SOFR curve, which is matched against S490 to 0.36bp. Validate the credit side indirectly against CDSW screen output.</t>
        </is>
      </c>
    </row>
    <row r="18">
      <c r="A18" s="65" t="inlineStr">
        <is>
          <t>Bloomberg's suggested term structure is the credit triangle, Hazard = S/(1-R). That is only exact for a flat curve; Hazard_Solver bootstraps properly instead. CDS_Validation rows 13-18 compare the two so the difference stays visible. Methodology: CDS Model White Paper {LPHP CDSW 0:1 2989941 &lt;GO&gt;}, {HELP CDSW &lt;GO&gt;}.</t>
        </is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NOTE: there is no Bloomberg export of bootstrapped hazard rates or zero-coupon CDS spreads (Help Desk H#1330731572), so these checks are INTERNAL consistency only - they confirm the curve reprices its own inputs, not that it agrees with Bloomberg. For external validation compare CDSW screen output (points upfront, price, cash amount)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2026-07-21T14:28:48Z</dcterms:modified>
</cp:coreProperties>
</file>