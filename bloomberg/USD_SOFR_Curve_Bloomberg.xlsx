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SOFR_Fixings" sheetId="3" state="visible" r:id="rId3"/>
    <sheet xmlns:r="http://schemas.openxmlformats.org/officeDocument/2006/relationships" name="SOFR_Futures" sheetId="4" state="visible" r:id="rId4"/>
    <sheet xmlns:r="http://schemas.openxmlformats.org/officeDocument/2006/relationships" name="SOFR_OIS_Quotes" sheetId="5" state="visible" r:id="rId5"/>
    <sheet xmlns:r="http://schemas.openxmlformats.org/officeDocument/2006/relationships" name="Bootstrap" sheetId="6" state="visible" r:id="rId6"/>
    <sheet xmlns:r="http://schemas.openxmlformats.org/officeDocument/2006/relationships" name="Curve_Interface" sheetId="7" state="visible" r:id="rId7"/>
    <sheet xmlns:r="http://schemas.openxmlformats.org/officeDocument/2006/relationships" name="Swap_Pricer" sheetId="8" state="visible" r:id="rId8"/>
    <sheet xmlns:r="http://schemas.openxmlformats.org/officeDocument/2006/relationships" name="Bloomberg_S490_Validation" sheetId="9" state="visible" r:id="rId9"/>
    <sheet xmlns:r="http://schemas.openxmlformats.org/officeDocument/2006/relationships" name="Conventions" sheetId="10" state="visible" r:id="rId10"/>
    <sheet xmlns:r="http://schemas.openxmlformats.org/officeDocument/2006/relationships" name="Fwd_Interp" sheetId="11" state="visible" r:id="rId11"/>
    <sheet xmlns:r="http://schemas.openxmlformats.org/officeDocument/2006/relationships" name="CDS_Parameters" sheetId="12" state="visible" r:id="rId12"/>
    <sheet xmlns:r="http://schemas.openxmlformats.org/officeDocument/2006/relationships" name="CDS_Quotes" sheetId="13" state="visible" r:id="rId13"/>
    <sheet xmlns:r="http://schemas.openxmlformats.org/officeDocument/2006/relationships" name="Hazard_Bootstrap" sheetId="14" state="visible" r:id="rId14"/>
    <sheet xmlns:r="http://schemas.openxmlformats.org/officeDocument/2006/relationships" name="CDS_Schedule" sheetId="15" state="visible" r:id="rId15"/>
    <sheet xmlns:r="http://schemas.openxmlformats.org/officeDocument/2006/relationships" name="CDS_Pricer" sheetId="16" state="visible" r:id="rId16"/>
    <sheet xmlns:r="http://schemas.openxmlformats.org/officeDocument/2006/relationships" name="CDS_Validation" sheetId="17" state="visible" r:id="rId17"/>
  </sheets>
  <definedNames>
    <definedName name="VAL_DATE">Instructions!$B$9</definedName>
    <definedName name="HIST_START">Instructions!$B$10</definedName>
    <definedName name="HIST_END">Instructions!$B$11</definedName>
    <definedName name="PX_SRC">Instructions!$B$12</definedName>
    <definedName name="SOFR_TKR">Instructions!$B$13</definedName>
    <definedName name="S490_TKR">Instructions!$B$14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" fontId="0" fillId="2" borderId="1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6" fontId="3" fillId="0" borderId="1" pivotButton="0" quotePrefix="0" xfId="0"/>
    <xf numFmtId="164" fontId="0" fillId="0" borderId="0" pivotButton="0" quotePrefix="0" xfId="0"/>
    <xf numFmtId="1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SOFR — Zero curve (%)</a:t>
            </a:r>
          </a:p>
        </rich>
      </tx>
    </title>
    <plotArea>
      <lineChart>
        <grouping val="standard"/>
        <ser>
          <idx val="0"/>
          <order val="0"/>
          <tx>
            <strRef>
              <f>'Bootstrap'!J7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'Bootstrap'!$C$8:$C$39</f>
            </numRef>
          </cat>
          <val>
            <numRef>
              <f>'Bootstrap'!$J$8:$J$39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Zero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SOFR — Discount factors P(0,T)</a:t>
            </a:r>
          </a:p>
        </rich>
      </tx>
    </title>
    <plotArea>
      <lineChart>
        <grouping val="standard"/>
        <ser>
          <idx val="0"/>
          <order val="0"/>
          <tx>
            <strRef>
              <f>'Bootstrap'!H7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'Bootstrap'!$C$8:$C$39</f>
            </numRef>
          </cat>
          <val>
            <numRef>
              <f>'Bootstrap'!$H$8:$H$39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DF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Instantaneous forward — V1 flat vs V2 quadratic</a:t>
            </a:r>
          </a:p>
        </rich>
      </tx>
    </title>
    <plotArea>
      <lineChart>
        <grouping val="standard"/>
        <ser>
          <idx val="0"/>
          <order val="0"/>
          <tx>
            <v>V1 flat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'Fwd_Interp'!$B$9:$B$40</f>
            </numRef>
          </cat>
          <val>
            <numRef>
              <f>'Fwd_Interp'!$F$9:$F$40</f>
            </numRef>
          </val>
        </ser>
        <ser>
          <idx val="1"/>
          <order val="1"/>
          <tx>
            <v>V2 quadratic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'Fwd_Interp'!$B$9:$B$40</f>
            </numRef>
          </cat>
          <val>
            <numRef>
              <f>'Fwd_Interp'!$K$9:$K$40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Forward (decimal)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USD SOFR Curve — Bloomberg Data Template</t>
        </is>
      </c>
    </row>
    <row r="2">
      <c r="A2" s="2" t="inlineStr">
        <is>
          <t>Modern replication of the Lehman (2002) USD single-curve build:  fixing + SR3/SR1 futures + SOFR OIS</t>
        </is>
      </c>
    </row>
    <row r="4" ht="30" customHeight="1">
      <c r="A4" s="3" t="inlineStr">
        <is>
          <t>This workbook is a live Bloomberg template. Open it in Excel on a machine with the Bloomberg Add-in (BLPAPI) connected; the BDP / BDH / BDS formulas then populate automatically. Off-terminal (or in any non-Bloomberg viewer) the Bloomberg cells show #NAME? or blanks — that is expected, not a defect. Set the parameters below first; every date-driven pull references them.</t>
        </is>
      </c>
    </row>
    <row r="5"/>
    <row r="7">
      <c r="A7" s="4" t="inlineStr">
        <is>
          <t>PARAMETERS  (edit the yellow cells)</t>
        </is>
      </c>
    </row>
    <row r="8">
      <c r="A8" s="5" t="inlineStr">
        <is>
          <t>Parameter</t>
        </is>
      </c>
      <c r="B8" s="5" t="inlineStr">
        <is>
          <t>Value</t>
        </is>
      </c>
      <c r="C8" s="5" t="inlineStr">
        <is>
          <t>Named ref</t>
        </is>
      </c>
      <c r="D8" s="5" t="inlineStr">
        <is>
          <t>Notes</t>
        </is>
      </c>
    </row>
    <row r="9" ht="26" customHeight="1">
      <c r="A9" s="6" t="inlineStr">
        <is>
          <t>Valuation date</t>
        </is>
      </c>
      <c r="B9" s="7">
        <f>TODAY()</f>
        <v/>
      </c>
      <c r="C9" s="8" t="inlineStr">
        <is>
          <t>VAL_DATE</t>
        </is>
      </c>
      <c r="D9" s="9" t="inlineStr">
        <is>
          <t>Curve reference / spot date. Live pulls (BDP) are as-of now; set this to your snapshot date.</t>
        </is>
      </c>
    </row>
    <row r="10" ht="26" customHeight="1">
      <c r="A10" s="6" t="inlineStr">
        <is>
          <t>Historical start</t>
        </is>
      </c>
      <c r="B10" s="10" t="inlineStr">
        <is>
          <t>01/01/2018</t>
        </is>
      </c>
      <c r="C10" s="8" t="inlineStr">
        <is>
          <t>HIST_START</t>
        </is>
      </c>
      <c r="D10" s="9" t="inlineStr">
        <is>
          <t>Start of BDH history windows.</t>
        </is>
      </c>
    </row>
    <row r="11" ht="26" customHeight="1">
      <c r="A11" s="6" t="inlineStr">
        <is>
          <t>Historical end</t>
        </is>
      </c>
      <c r="B11" s="10" t="inlineStr">
        <is>
          <t>07/20/2026</t>
        </is>
      </c>
      <c r="C11" s="8" t="inlineStr">
        <is>
          <t>HIST_END</t>
        </is>
      </c>
      <c r="D11" s="9" t="inlineStr">
        <is>
          <t>End of BDH history windows.</t>
        </is>
      </c>
    </row>
    <row r="12" ht="26" customHeight="1">
      <c r="A12" s="6" t="inlineStr">
        <is>
          <t>Price source</t>
        </is>
      </c>
      <c r="B12" s="7" t="inlineStr">
        <is>
          <t>BGN</t>
        </is>
      </c>
      <c r="C12" s="8" t="inlineStr">
        <is>
          <t>PX_SRC</t>
        </is>
      </c>
      <c r="D12" s="9" t="inlineStr">
        <is>
          <t>Bloomberg pricing source suffix used across every OIS ticker (BGN = Bloomberg Generic). Keep one source across all maturities.</t>
        </is>
      </c>
    </row>
    <row r="13" ht="26" customHeight="1">
      <c r="A13" s="6" t="inlineStr">
        <is>
          <t>Overnight SOFR ticker</t>
        </is>
      </c>
      <c r="B13" s="7" t="inlineStr">
        <is>
          <t>SOFRRATE Index</t>
        </is>
      </c>
      <c r="C13" s="8" t="inlineStr">
        <is>
          <t>SOFR_TKR</t>
        </is>
      </c>
      <c r="D13" s="9" t="inlineStr">
        <is>
          <t>Published overnight SOFR fixing (NY Fed).</t>
        </is>
      </c>
    </row>
    <row r="14" ht="26" customHeight="1">
      <c r="A14" s="6" t="inlineStr">
        <is>
          <t>Bloomberg SOFR curve</t>
        </is>
      </c>
      <c r="B14" s="7" t="inlineStr">
        <is>
          <t>YCSW0490 Index</t>
        </is>
      </c>
      <c r="C14" s="8" t="inlineStr">
        <is>
          <t>S490_TKR</t>
        </is>
      </c>
      <c r="D14" s="9" t="inlineStr">
        <is>
          <t>Bloomberg curve S490 (USD SOFR) — validation benchmark only.</t>
        </is>
      </c>
    </row>
    <row r="16">
      <c r="A16" s="4" t="inlineStr">
        <is>
          <t>LEHMAN 2002  →  MODERN USD CURVE MAPPING</t>
        </is>
      </c>
    </row>
    <row r="17">
      <c r="A17" s="5" t="inlineStr">
        <is>
          <t>Lehman 2002 instrument</t>
        </is>
      </c>
      <c r="B17" s="11" t="n"/>
      <c r="C17" s="5" t="inlineStr">
        <is>
          <t>Modern equivalent</t>
        </is>
      </c>
      <c r="D17" s="11" t="n"/>
      <c r="E17" s="5" t="inlineStr">
        <is>
          <t>Bloomberg source</t>
        </is>
      </c>
      <c r="F17" s="11" t="n"/>
    </row>
    <row r="18">
      <c r="A18" s="6" t="inlineStr">
        <is>
          <t>LIBOR deposits</t>
        </is>
      </c>
      <c r="C18" s="6" t="inlineStr">
        <is>
          <t>SOFR fixing / short OIS</t>
        </is>
      </c>
      <c r="E18" s="12" t="inlineStr">
        <is>
          <t>SOFRRATE Index; USOSFR1Z..USOSFRF</t>
        </is>
      </c>
    </row>
    <row r="19">
      <c r="A19" s="6" t="inlineStr">
        <is>
          <t>Eurodollar futures</t>
        </is>
      </c>
      <c r="C19" s="6" t="inlineStr">
        <is>
          <t>3M SOFR futures (SR3)</t>
        </is>
      </c>
      <c r="E19" s="12" t="inlineStr">
        <is>
          <t>SFRA Comdty  (CT chain)</t>
        </is>
      </c>
    </row>
    <row r="20">
      <c r="A20" s="6" t="inlineStr">
        <is>
          <t>(1M money market)</t>
        </is>
      </c>
      <c r="C20" s="6" t="inlineStr">
        <is>
          <t>1M SOFR futures (SR1)</t>
        </is>
      </c>
      <c r="E20" s="12" t="inlineStr">
        <is>
          <t>SERA Comdty  (CT chain)</t>
        </is>
      </c>
    </row>
    <row r="21">
      <c r="A21" s="6" t="inlineStr">
        <is>
          <t>LIBOR swaps</t>
        </is>
      </c>
      <c r="C21" s="6" t="inlineStr">
        <is>
          <t>SOFR OIS swaps</t>
        </is>
      </c>
      <c r="E21" s="12" t="inlineStr">
        <is>
          <t>USOSFR2..USOSFR50 BGN Curncy</t>
        </is>
      </c>
    </row>
    <row r="22">
      <c r="A22" s="6" t="inlineStr">
        <is>
          <t>Dealer curve</t>
        </is>
      </c>
      <c r="C22" s="6" t="inlineStr">
        <is>
          <t>Bloomberg S490 (validation)</t>
        </is>
      </c>
      <c r="E22" s="12" t="inlineStr">
        <is>
          <t>YCSW0490 Index</t>
        </is>
      </c>
    </row>
    <row r="24">
      <c r="A24" s="4" t="inlineStr">
        <is>
          <t>BOOTSTRAP METHODOLOGY  —  one discount curve, three liquid segments</t>
        </is>
      </c>
    </row>
    <row r="25" ht="28" customHeight="1">
      <c r="A25" s="13" t="inlineStr">
        <is>
          <t>Short end (o/n – ~1Y)</t>
        </is>
      </c>
      <c r="B25" s="3" t="inlineStr">
        <is>
          <t>SOFR fixing + short OIS (1W,1M,3M,6M) anchor P(0,T) at the front — the modern LIBOR-deposit segment.</t>
        </is>
      </c>
    </row>
    <row r="26" ht="28" customHeight="1">
      <c r="A26" s="13" t="inlineStr">
        <is>
          <t>Mid (~3M – ~5Y)</t>
        </is>
      </c>
      <c r="B26" s="3" t="inlineStr">
        <is>
          <t>SR3 3M-SOFR futures; implied rate = 100 − price, each covering one 3M IMM reference quarter — the modern Eurodollar-futures segment.</t>
        </is>
      </c>
    </row>
    <row r="27" ht="28" customHeight="1">
      <c r="A27" s="13" t="inlineStr">
        <is>
          <t>Long end (~2Y – 50Y)</t>
        </is>
      </c>
      <c r="B27" s="3" t="inlineStr">
        <is>
          <t>SOFR OIS par swaps (mid = (bid+ask)/2) where deep liquidity lives — the modern LIBOR-swap segment.</t>
        </is>
      </c>
    </row>
    <row r="28" ht="28" customHeight="1">
      <c r="A28" s="13" t="inlineStr">
        <is>
          <t>Bootstrap order</t>
        </is>
      </c>
      <c r="B28" s="3" t="inlineStr">
        <is>
          <t>Left → right: each instrument solves for the next discount-factor pillar given everything already solved to its left (sequential 1-D root find).</t>
        </is>
      </c>
    </row>
    <row r="30">
      <c r="A30" s="14" t="inlineStr">
        <is>
          <t>Three differences vs. Lehman 2002 (where 'modern' is not a literal copy):</t>
        </is>
      </c>
    </row>
    <row r="31" ht="28" customHeight="1">
      <c r="A31" s="9" t="inlineStr">
        <is>
          <t>•  Single-curve: the SOFR curve both projects forwards AND discounts. Lehman 2002 was also single-curve (LIBOR did both), so a SOFR OIS build is CLOSER to the paper than a modern LIBOR build would be.</t>
        </is>
      </c>
    </row>
    <row r="32" ht="28" customHeight="1">
      <c r="A32" s="9" t="inlineStr">
        <is>
          <t>•  Compounding: SOFR is an overnight rate compounded daily in arrears over each period; LIBOR was a term rate set once. The OIS/futures legs carry a daily-compounding calc LIBOR did not need.</t>
        </is>
      </c>
    </row>
    <row r="33" ht="28" customHeight="1">
      <c r="A33" s="9" t="inlineStr">
        <is>
          <t>•  Futures convexity: SR3 (like Eurodollar) futures need a small convexity adjustment before the implied rate enters the curve. A first pass can omit it and report the bias against the S490 benchmark.</t>
        </is>
      </c>
    </row>
    <row r="35">
      <c r="A35" s="4" t="inlineStr">
        <is>
          <t>TABS IN THIS WORKBOOK</t>
        </is>
      </c>
    </row>
    <row r="36">
      <c r="A36" s="13" t="inlineStr">
        <is>
          <t>Charts</t>
        </is>
      </c>
      <c r="B36" s="3" t="inlineStr">
        <is>
          <t>Curve visuals — zero curve, discount factors, and V1-vs-V2 forward comparison.</t>
        </is>
      </c>
    </row>
    <row r="37">
      <c r="A37" s="13" t="inlineStr">
        <is>
          <t>1. SOFR_Fixings</t>
        </is>
      </c>
      <c r="B37" s="3" t="inlineStr">
        <is>
          <t>Overnight SOFR fixing — current (BDP) + daily history (BDH).</t>
        </is>
      </c>
    </row>
    <row r="38">
      <c r="A38" s="13" t="inlineStr">
        <is>
          <t>2. SOFR_Futures</t>
        </is>
      </c>
      <c r="B38" s="3" t="inlineStr">
        <is>
          <t>SR3 (3M) and SR1 (1M) SOFR futures chains + fields + implied rate = 100 − price.</t>
        </is>
      </c>
    </row>
    <row r="39">
      <c r="A39" s="13" t="inlineStr">
        <is>
          <t>3. SOFR_OIS_Quotes</t>
        </is>
      </c>
      <c r="B39" s="3" t="inlineStr">
        <is>
          <t>Full USOSFR OIS strip (1W–50Y): bid / ask / last + mid. Bootstrap-set flagged.</t>
        </is>
      </c>
    </row>
    <row r="40">
      <c r="A40" s="13" t="inlineStr">
        <is>
          <t>4. Bootstrap</t>
        </is>
      </c>
      <c r="B40" s="3" t="inlineStr">
        <is>
          <t>Live single-curve OIS bootstrap → discount factors, zero &amp; forward rates, S490 Δz check.</t>
        </is>
      </c>
    </row>
    <row r="41">
      <c r="A41" s="13" t="inlineStr">
        <is>
          <t>Curve_Interface</t>
        </is>
      </c>
      <c r="B41" s="3" t="inlineStr">
        <is>
          <t>Shared D(0,t): interpolates the SOFR curve to ANY date (quarterly CDS dates demo). Used by Swap_Pricer + CDS.</t>
        </is>
      </c>
    </row>
    <row r="42">
      <c r="A42" s="13" t="inlineStr">
        <is>
          <t>CDS_Parameters</t>
        </is>
      </c>
      <c r="B42" s="3" t="inlineStr">
        <is>
          <t>Credit assumptions: recovery, notional, coupon, direction (recovery is an INPUT).</t>
        </is>
      </c>
    </row>
    <row r="43">
      <c r="A43" s="13" t="inlineStr">
        <is>
          <t>CDS_Quotes</t>
        </is>
      </c>
      <c r="B43" s="3" t="inlineStr">
        <is>
          <t>Single-name CDS par spreads (BDP ticker, or manual demo). One entity, one seniority.</t>
        </is>
      </c>
    </row>
    <row r="44">
      <c r="A44" s="13" t="inlineStr">
        <is>
          <t>CDS_Schedule</t>
        </is>
      </c>
      <c r="B44" s="3" t="inlineStr">
        <is>
          <t>Quarterly premium/default schedule to 10Y; DF from the SOFR curve, survival from hazards.</t>
        </is>
      </c>
    </row>
    <row r="45">
      <c r="A45" s="13" t="inlineStr">
        <is>
          <t>Hazard_Bootstrap</t>
        </is>
      </c>
      <c r="B45" s="3" t="inlineStr">
        <is>
          <t>Piecewise-constant hazard curve; s/(1-R) default, Goal-Seek the error to 0 for exact fit.</t>
        </is>
      </c>
    </row>
    <row r="46">
      <c r="A46" s="13" t="inlineStr">
        <is>
          <t>CDS_Pricer</t>
        </is>
      </c>
      <c r="B46" s="3" t="inlineStr">
        <is>
          <t>Prices a CDS off both curves: protection − premium, par spread, upfront, CS01.</t>
        </is>
      </c>
    </row>
    <row r="47">
      <c r="A47" s="13" t="inlineStr">
        <is>
          <t>CDS_Validation</t>
        </is>
      </c>
      <c r="B47" s="3" t="inlineStr">
        <is>
          <t>Survival/hazard sanity checks + the s ≈ (1-R)·lambda approximation.</t>
        </is>
      </c>
    </row>
    <row r="48">
      <c r="A48" s="13" t="inlineStr">
        <is>
          <t>5. Bloomberg_S490_Validation</t>
        </is>
      </c>
      <c r="B48" s="3" t="inlineStr">
        <is>
          <t>Bloomberg's own USD SOFR curve (S490) for benchmarking your bootstrap.</t>
        </is>
      </c>
    </row>
    <row r="49">
      <c r="A49" s="13" t="inlineStr">
        <is>
          <t>6. Conventions</t>
        </is>
      </c>
      <c r="B49" s="3" t="inlineStr">
        <is>
          <t>DES/SWPM conventions for representative OIS (spot lag, day counts, compounding, EOM…).</t>
        </is>
      </c>
    </row>
    <row r="50">
      <c r="A50" s="13" t="inlineStr">
        <is>
          <t>7. Fwd_Interp</t>
        </is>
      </c>
      <c r="B50" s="3" t="inlineStr">
        <is>
          <t>Zhou 2002 forward interpolation: V1 piecewise-flat vs V2 piecewise-quadratic forwards.</t>
        </is>
      </c>
    </row>
    <row r="52">
      <c r="A52" s="15" t="inlineStr">
        <is>
          <t>DO NOT substitute these (wrong instruments):</t>
        </is>
      </c>
    </row>
    <row r="53">
      <c r="A53" s="9" t="inlineStr">
        <is>
          <t>•  TSFR1M/3M/6M/12M Index  — Term SOFR benchmarks, NOT overnight-SOFR OIS calibration instruments.</t>
        </is>
      </c>
    </row>
    <row r="54">
      <c r="A54" s="9" t="inlineStr">
        <is>
          <t>•  USISSO02/05/10/30 Index — ICE Swap Rate fixings, NOT the live OIS quote strip needed to bootstrap.</t>
        </is>
      </c>
    </row>
    <row r="55">
      <c r="A55" s="9" t="inlineStr">
        <is>
          <t>•  Use PX midpoint (bid+ask)/2 for construction; use PX_LAST only where bid/ask are unavailable.</t>
        </is>
      </c>
    </row>
    <row r="57" ht="28" customHeight="1">
      <c r="A57" s="9" t="inlineStr">
        <is>
          <t>Licensing: Bloomberg data is licensed and entitlement-dependent — do NOT redistribute pulled values or commit them to a public repository. This template ships formulas only, no data. Some static convention fields may return N/A under your entitlement; use FLDS &lt;GO&gt; on the security to find the enabled mnemonic.</t>
        </is>
      </c>
    </row>
    <row r="58"/>
  </sheetData>
  <mergeCells count="58">
    <mergeCell ref="A16:F16"/>
    <mergeCell ref="A54:F54"/>
    <mergeCell ref="D11:F11"/>
    <mergeCell ref="D13:F13"/>
    <mergeCell ref="B47:F47"/>
    <mergeCell ref="B25:F25"/>
    <mergeCell ref="B46:F46"/>
    <mergeCell ref="E17:F17"/>
    <mergeCell ref="A55:F55"/>
    <mergeCell ref="B27:F27"/>
    <mergeCell ref="C20:D20"/>
    <mergeCell ref="A33:F33"/>
    <mergeCell ref="B43:F43"/>
    <mergeCell ref="E20:F20"/>
    <mergeCell ref="B39:F39"/>
    <mergeCell ref="B48:F48"/>
    <mergeCell ref="B42:F42"/>
    <mergeCell ref="E19:F19"/>
    <mergeCell ref="A32:F32"/>
    <mergeCell ref="D12:F12"/>
    <mergeCell ref="D9:F9"/>
    <mergeCell ref="C22:D22"/>
    <mergeCell ref="A35:F35"/>
    <mergeCell ref="A18:B18"/>
    <mergeCell ref="D8:F8"/>
    <mergeCell ref="B50:F50"/>
    <mergeCell ref="A53:F53"/>
    <mergeCell ref="B44:F44"/>
    <mergeCell ref="A21:B21"/>
    <mergeCell ref="D14:F14"/>
    <mergeCell ref="A52:F52"/>
    <mergeCell ref="C21:D21"/>
    <mergeCell ref="B38:F38"/>
    <mergeCell ref="B28:F28"/>
    <mergeCell ref="A31:F31"/>
    <mergeCell ref="B37:F37"/>
    <mergeCell ref="A17:B17"/>
    <mergeCell ref="A30:F30"/>
    <mergeCell ref="C17:D17"/>
    <mergeCell ref="B40:F40"/>
    <mergeCell ref="A22:B22"/>
    <mergeCell ref="D10:F10"/>
    <mergeCell ref="A24:F24"/>
    <mergeCell ref="B49:F49"/>
    <mergeCell ref="A20:B20"/>
    <mergeCell ref="A19:B19"/>
    <mergeCell ref="C19:D19"/>
    <mergeCell ref="B45:F45"/>
    <mergeCell ref="E22:F22"/>
    <mergeCell ref="A57:F58"/>
    <mergeCell ref="B36:F36"/>
    <mergeCell ref="C18:D18"/>
    <mergeCell ref="A4:F5"/>
    <mergeCell ref="E18:F18"/>
    <mergeCell ref="B26:F26"/>
    <mergeCell ref="B41:F41"/>
    <mergeCell ref="A7:F7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Curve visuals</t>
        </is>
      </c>
    </row>
    <row r="2">
      <c r="A2" s="16" t="inlineStr">
        <is>
          <t>Charts read live from the Bootstrap and Fwd_Interp tabs — they populate once Bloomberg fills the data. Bootstrap columns: T (C), Discount factor (H), Zero (J); Fwd_Interp: T (B), flat fwd V1 (F), quadratic V2 (K).</t>
        </is>
      </c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</cols>
  <sheetData>
    <row r="1">
      <c r="A1" s="1" t="inlineStr">
        <is>
          <t>SOFR_Fixings</t>
        </is>
      </c>
    </row>
    <row r="2">
      <c r="A2" s="2" t="inlineStr">
        <is>
          <t>Overnight SOFR fixing (SOFRRATE Index) — the curve's shortest anchor point</t>
        </is>
      </c>
    </row>
    <row r="4">
      <c r="A4" s="4" t="inlineStr">
        <is>
          <t>CURRENT FIXING</t>
        </is>
      </c>
    </row>
    <row r="5">
      <c r="A5" s="5" t="inlineStr">
        <is>
          <t>Ticker</t>
        </is>
      </c>
      <c r="B5" s="5" t="inlineStr">
        <is>
          <t>Field</t>
        </is>
      </c>
      <c r="C5" s="5" t="inlineStr">
        <is>
          <t>Value (%)</t>
        </is>
      </c>
      <c r="D5" s="5" t="inlineStr">
        <is>
          <t>As of</t>
        </is>
      </c>
    </row>
    <row r="6">
      <c r="A6" s="6">
        <f>SOFR_TKR</f>
        <v/>
      </c>
      <c r="B6" s="6" t="inlineStr">
        <is>
          <t>PX_LAST</t>
        </is>
      </c>
      <c r="C6" s="17">
        <f>IFERROR(BDP(SOFR_TKR,"PX_LAST"),"ERROR PLZ FIX")</f>
        <v/>
      </c>
      <c r="D6" s="18">
        <f>IFERROR(BDP(SOFR_TKR,"LAST_UPDATE_DT"),"ERROR PLZ FIX")</f>
        <v/>
      </c>
    </row>
    <row r="9">
      <c r="A9" s="4" t="inlineStr">
        <is>
          <t>DAILY HISTORY</t>
        </is>
      </c>
    </row>
    <row r="10">
      <c r="A10" s="9" t="inlineStr">
        <is>
          <t>The BDH array below spills down two columns (Date, PX_LAST) from the anchor cell A12. It uses the HIST_START / HIST_END parameters on the Instructions tab.</t>
        </is>
      </c>
    </row>
    <row r="11">
      <c r="A11" s="5" t="inlineStr">
        <is>
          <t>Date</t>
        </is>
      </c>
      <c r="B11" s="5" t="inlineStr">
        <is>
          <t>SOFR PX_LAST (%)</t>
        </is>
      </c>
    </row>
    <row r="12">
      <c r="A12" s="19">
        <f>IFERROR(BDH(SOFR_TKR,"PX_LAST",TEXT(HIST_START,"mm/dd/yyyy"),TEXT(HIST_END,"mm/dd/yyyy")),"ERROR PLZ FIX")</f>
        <v/>
      </c>
    </row>
  </sheetData>
  <mergeCells count="3">
    <mergeCell ref="A4:D4"/>
    <mergeCell ref="A10:F10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6" customWidth="1" min="6" max="6"/>
    <col width="13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SOFR_Futures</t>
        </is>
      </c>
    </row>
    <row r="2">
      <c r="A2" s="2" t="inlineStr">
        <is>
          <t>SR3 (3M) and SR1 (1M) SOFR futures — modern replacement for the Eurodollar-futures strip</t>
        </is>
      </c>
    </row>
    <row r="4">
      <c r="A4" s="4" t="inlineStr">
        <is>
          <t>SR3 — THREE-MONTH SOFR FUTURES  (SFRA Comdty · CME SR3) — first 20 quarterly contracts</t>
        </is>
      </c>
    </row>
    <row r="5" ht="26" customHeight="1">
      <c r="A5" s="9" t="inlineStr">
        <is>
          <t>Column A cell below holds =BDS("SFRA Comdty","FUT_CHAIN") and SPILLS the active contract tickers down. Field columns reference each row's contract in column A. Adjust the row count to the liquid strip (check VOLUME / OPEN_INT).</t>
        </is>
      </c>
    </row>
    <row r="6">
      <c r="A6" s="20" t="inlineStr">
        <is>
          <t>Contract (from CT chain)</t>
        </is>
      </c>
      <c r="B6" s="20" t="inlineStr">
        <is>
          <t>SECURITY_DES</t>
        </is>
      </c>
      <c r="C6" s="20" t="inlineStr">
        <is>
          <t>PX_LAST</t>
        </is>
      </c>
      <c r="D6" s="20" t="inlineStr">
        <is>
          <t>PX_BID</t>
        </is>
      </c>
      <c r="E6" s="20" t="inlineStr">
        <is>
          <t>PX_ASK</t>
        </is>
      </c>
      <c r="F6" s="20" t="inlineStr">
        <is>
          <t>Implied rate % (100−Last)</t>
        </is>
      </c>
      <c r="G6" s="20" t="inlineStr">
        <is>
          <t>FUT_MONTH_YR</t>
        </is>
      </c>
      <c r="H6" s="20" t="inlineStr">
        <is>
          <t>Ref. start (FUT_DLV_DT_FIRST)</t>
        </is>
      </c>
      <c r="I6" s="20" t="inlineStr">
        <is>
          <t>LAST_TRADEABLE_DT</t>
        </is>
      </c>
      <c r="J6" s="20" t="inlineStr">
        <is>
          <t>VOLUME</t>
        </is>
      </c>
      <c r="K6" s="20" t="inlineStr">
        <is>
          <t>OPEN_INT</t>
        </is>
      </c>
    </row>
    <row r="7">
      <c r="A7" s="6">
        <f>BDS("SFRA Comdty","FUT_CHAIN")</f>
        <v/>
      </c>
      <c r="B7" s="6">
        <f>IFERROR(BDP($A7,"SECURITY_DES"),"ERROR PLZ FIX")</f>
        <v/>
      </c>
      <c r="C7" s="17">
        <f>IFERROR(BDP($A7,"PX_LAST"),"ERROR PLZ FIX")</f>
        <v/>
      </c>
      <c r="D7" s="17">
        <f>IFERROR(BDP($A7,"PX_BID"),"ERROR PLZ FIX")</f>
        <v/>
      </c>
      <c r="E7" s="17">
        <f>IFERROR(BDP($A7,"PX_ASK"),"ERROR PLZ FIX")</f>
        <v/>
      </c>
      <c r="F7" s="17">
        <f>IFERROR(100-C7,"ERROR PLZ FIX")</f>
        <v/>
      </c>
      <c r="G7" s="6">
        <f>IFERROR(BDP($A7,"FUT_MONTH_YR"),"ERROR PLZ FIX")</f>
        <v/>
      </c>
      <c r="H7" s="18">
        <f>IFERROR(BDP($A7,"FUT_DLV_DT_FIRST"),"ERROR PLZ FIX")</f>
        <v/>
      </c>
      <c r="I7" s="18">
        <f>IFERROR(BDP($A7,"LAST_TRADEABLE_DT"),"ERROR PLZ FIX")</f>
        <v/>
      </c>
      <c r="J7" s="21">
        <f>IFERROR(BDP($A7,"VOLUME"),"ERROR PLZ FIX")</f>
        <v/>
      </c>
      <c r="K7" s="21">
        <f>IFERROR(BDP($A7,"OPEN_INT"),"ERROR PLZ FIX")</f>
        <v/>
      </c>
    </row>
    <row r="8">
      <c r="A8" s="6" t="n"/>
      <c r="B8" s="6">
        <f>IFERROR(BDP($A8,"SECURITY_DES"),"ERROR PLZ FIX")</f>
        <v/>
      </c>
      <c r="C8" s="17">
        <f>IFERROR(BDP($A8,"PX_LAST"),"ERROR PLZ FIX")</f>
        <v/>
      </c>
      <c r="D8" s="17">
        <f>IFERROR(BDP($A8,"PX_BID"),"ERROR PLZ FIX")</f>
        <v/>
      </c>
      <c r="E8" s="17">
        <f>IFERROR(BDP($A8,"PX_ASK"),"ERROR PLZ FIX")</f>
        <v/>
      </c>
      <c r="F8" s="17">
        <f>IFERROR(100-C8,"ERROR PLZ FIX")</f>
        <v/>
      </c>
      <c r="G8" s="6">
        <f>IFERROR(BDP($A8,"FUT_MONTH_YR"),"ERROR PLZ FIX")</f>
        <v/>
      </c>
      <c r="H8" s="18">
        <f>IFERROR(BDP($A8,"FUT_DLV_DT_FIRST"),"ERROR PLZ FIX")</f>
        <v/>
      </c>
      <c r="I8" s="18">
        <f>IFERROR(BDP($A8,"LAST_TRADEABLE_DT"),"ERROR PLZ FIX")</f>
        <v/>
      </c>
      <c r="J8" s="21">
        <f>IFERROR(BDP($A8,"VOLUME"),"ERROR PLZ FIX")</f>
        <v/>
      </c>
      <c r="K8" s="21">
        <f>IFERROR(BDP($A8,"OPEN_INT"),"ERROR PLZ FIX")</f>
        <v/>
      </c>
    </row>
    <row r="9">
      <c r="A9" s="6" t="n"/>
      <c r="B9" s="6">
        <f>IFERROR(BDP($A9,"SECURITY_DES"),"ERROR PLZ FIX")</f>
        <v/>
      </c>
      <c r="C9" s="17">
        <f>IFERROR(BDP($A9,"PX_LAST"),"ERROR PLZ FIX")</f>
        <v/>
      </c>
      <c r="D9" s="17">
        <f>IFERROR(BDP($A9,"PX_BID"),"ERROR PLZ FIX")</f>
        <v/>
      </c>
      <c r="E9" s="17">
        <f>IFERROR(BDP($A9,"PX_ASK"),"ERROR PLZ FIX")</f>
        <v/>
      </c>
      <c r="F9" s="17">
        <f>IFERROR(100-C9,"ERROR PLZ FIX")</f>
        <v/>
      </c>
      <c r="G9" s="6">
        <f>IFERROR(BDP($A9,"FUT_MONTH_YR"),"ERROR PLZ FIX")</f>
        <v/>
      </c>
      <c r="H9" s="18">
        <f>IFERROR(BDP($A9,"FUT_DLV_DT_FIRST"),"ERROR PLZ FIX")</f>
        <v/>
      </c>
      <c r="I9" s="18">
        <f>IFERROR(BDP($A9,"LAST_TRADEABLE_DT"),"ERROR PLZ FIX")</f>
        <v/>
      </c>
      <c r="J9" s="21">
        <f>IFERROR(BDP($A9,"VOLUME"),"ERROR PLZ FIX")</f>
        <v/>
      </c>
      <c r="K9" s="21">
        <f>IFERROR(BDP($A9,"OPEN_INT"),"ERROR PLZ FIX")</f>
        <v/>
      </c>
    </row>
    <row r="10">
      <c r="A10" s="6" t="n"/>
      <c r="B10" s="6">
        <f>IFERROR(BDP($A10,"SECURITY_DES"),"ERROR PLZ FIX")</f>
        <v/>
      </c>
      <c r="C10" s="17">
        <f>IFERROR(BDP($A10,"PX_LAST"),"ERROR PLZ FIX")</f>
        <v/>
      </c>
      <c r="D10" s="17">
        <f>IFERROR(BDP($A10,"PX_BID"),"ERROR PLZ FIX")</f>
        <v/>
      </c>
      <c r="E10" s="17">
        <f>IFERROR(BDP($A10,"PX_ASK"),"ERROR PLZ FIX")</f>
        <v/>
      </c>
      <c r="F10" s="17">
        <f>IFERROR(100-C10,"ERROR PLZ FIX")</f>
        <v/>
      </c>
      <c r="G10" s="6">
        <f>IFERROR(BDP($A10,"FUT_MONTH_YR"),"ERROR PLZ FIX")</f>
        <v/>
      </c>
      <c r="H10" s="18">
        <f>IFERROR(BDP($A10,"FUT_DLV_DT_FIRST"),"ERROR PLZ FIX")</f>
        <v/>
      </c>
      <c r="I10" s="18">
        <f>IFERROR(BDP($A10,"LAST_TRADEABLE_DT"),"ERROR PLZ FIX")</f>
        <v/>
      </c>
      <c r="J10" s="21">
        <f>IFERROR(BDP($A10,"VOLUME"),"ERROR PLZ FIX")</f>
        <v/>
      </c>
      <c r="K10" s="21">
        <f>IFERROR(BDP($A10,"OPEN_INT"),"ERROR PLZ FIX")</f>
        <v/>
      </c>
    </row>
    <row r="11">
      <c r="A11" s="6" t="n"/>
      <c r="B11" s="6">
        <f>IFERROR(BDP($A11,"SECURITY_DES"),"ERROR PLZ FIX")</f>
        <v/>
      </c>
      <c r="C11" s="17">
        <f>IFERROR(BDP($A11,"PX_LAST"),"ERROR PLZ FIX")</f>
        <v/>
      </c>
      <c r="D11" s="17">
        <f>IFERROR(BDP($A11,"PX_BID"),"ERROR PLZ FIX")</f>
        <v/>
      </c>
      <c r="E11" s="17">
        <f>IFERROR(BDP($A11,"PX_ASK"),"ERROR PLZ FIX")</f>
        <v/>
      </c>
      <c r="F11" s="17">
        <f>IFERROR(100-C11,"ERROR PLZ FIX")</f>
        <v/>
      </c>
      <c r="G11" s="6">
        <f>IFERROR(BDP($A11,"FUT_MONTH_YR"),"ERROR PLZ FIX")</f>
        <v/>
      </c>
      <c r="H11" s="18">
        <f>IFERROR(BDP($A11,"FUT_DLV_DT_FIRST"),"ERROR PLZ FIX")</f>
        <v/>
      </c>
      <c r="I11" s="18">
        <f>IFERROR(BDP($A11,"LAST_TRADEABLE_DT"),"ERROR PLZ FIX")</f>
        <v/>
      </c>
      <c r="J11" s="21">
        <f>IFERROR(BDP($A11,"VOLUME"),"ERROR PLZ FIX")</f>
        <v/>
      </c>
      <c r="K11" s="21">
        <f>IFERROR(BDP($A11,"OPEN_INT"),"ERROR PLZ FIX")</f>
        <v/>
      </c>
    </row>
    <row r="12">
      <c r="A12" s="6" t="n"/>
      <c r="B12" s="6">
        <f>IFERROR(BDP($A12,"SECURITY_DES"),"ERROR PLZ FIX")</f>
        <v/>
      </c>
      <c r="C12" s="17">
        <f>IFERROR(BDP($A12,"PX_LAST"),"ERROR PLZ FIX")</f>
        <v/>
      </c>
      <c r="D12" s="17">
        <f>IFERROR(BDP($A12,"PX_BID"),"ERROR PLZ FIX")</f>
        <v/>
      </c>
      <c r="E12" s="17">
        <f>IFERROR(BDP($A12,"PX_ASK"),"ERROR PLZ FIX")</f>
        <v/>
      </c>
      <c r="F12" s="17">
        <f>IFERROR(100-C12,"ERROR PLZ FIX")</f>
        <v/>
      </c>
      <c r="G12" s="6">
        <f>IFERROR(BDP($A12,"FUT_MONTH_YR"),"ERROR PLZ FIX")</f>
        <v/>
      </c>
      <c r="H12" s="18">
        <f>IFERROR(BDP($A12,"FUT_DLV_DT_FIRST"),"ERROR PLZ FIX")</f>
        <v/>
      </c>
      <c r="I12" s="18">
        <f>IFERROR(BDP($A12,"LAST_TRADEABLE_DT"),"ERROR PLZ FIX")</f>
        <v/>
      </c>
      <c r="J12" s="21">
        <f>IFERROR(BDP($A12,"VOLUME"),"ERROR PLZ FIX")</f>
        <v/>
      </c>
      <c r="K12" s="21">
        <f>IFERROR(BDP($A12,"OPEN_INT"),"ERROR PLZ FIX")</f>
        <v/>
      </c>
    </row>
    <row r="13">
      <c r="A13" s="6" t="n"/>
      <c r="B13" s="6">
        <f>IFERROR(BDP($A13,"SECURITY_DES"),"ERROR PLZ FIX")</f>
        <v/>
      </c>
      <c r="C13" s="17">
        <f>IFERROR(BDP($A13,"PX_LAST"),"ERROR PLZ FIX")</f>
        <v/>
      </c>
      <c r="D13" s="17">
        <f>IFERROR(BDP($A13,"PX_BID"),"ERROR PLZ FIX")</f>
        <v/>
      </c>
      <c r="E13" s="17">
        <f>IFERROR(BDP($A13,"PX_ASK"),"ERROR PLZ FIX")</f>
        <v/>
      </c>
      <c r="F13" s="17">
        <f>IFERROR(100-C13,"ERROR PLZ FIX")</f>
        <v/>
      </c>
      <c r="G13" s="6">
        <f>IFERROR(BDP($A13,"FUT_MONTH_YR"),"ERROR PLZ FIX")</f>
        <v/>
      </c>
      <c r="H13" s="18">
        <f>IFERROR(BDP($A13,"FUT_DLV_DT_FIRST"),"ERROR PLZ FIX")</f>
        <v/>
      </c>
      <c r="I13" s="18">
        <f>IFERROR(BDP($A13,"LAST_TRADEABLE_DT"),"ERROR PLZ FIX")</f>
        <v/>
      </c>
      <c r="J13" s="21">
        <f>IFERROR(BDP($A13,"VOLUME"),"ERROR PLZ FIX")</f>
        <v/>
      </c>
      <c r="K13" s="21">
        <f>IFERROR(BDP($A13,"OPEN_INT"),"ERROR PLZ FIX")</f>
        <v/>
      </c>
    </row>
    <row r="14">
      <c r="A14" s="6" t="n"/>
      <c r="B14" s="6">
        <f>IFERROR(BDP($A14,"SECURITY_DES"),"ERROR PLZ FIX")</f>
        <v/>
      </c>
      <c r="C14" s="17">
        <f>IFERROR(BDP($A14,"PX_LAST"),"ERROR PLZ FIX")</f>
        <v/>
      </c>
      <c r="D14" s="17">
        <f>IFERROR(BDP($A14,"PX_BID"),"ERROR PLZ FIX")</f>
        <v/>
      </c>
      <c r="E14" s="17">
        <f>IFERROR(BDP($A14,"PX_ASK"),"ERROR PLZ FIX")</f>
        <v/>
      </c>
      <c r="F14" s="17">
        <f>IFERROR(100-C14,"ERROR PLZ FIX")</f>
        <v/>
      </c>
      <c r="G14" s="6">
        <f>IFERROR(BDP($A14,"FUT_MONTH_YR"),"ERROR PLZ FIX")</f>
        <v/>
      </c>
      <c r="H14" s="18">
        <f>IFERROR(BDP($A14,"FUT_DLV_DT_FIRST"),"ERROR PLZ FIX")</f>
        <v/>
      </c>
      <c r="I14" s="18">
        <f>IFERROR(BDP($A14,"LAST_TRADEABLE_DT"),"ERROR PLZ FIX")</f>
        <v/>
      </c>
      <c r="J14" s="21">
        <f>IFERROR(BDP($A14,"VOLUME"),"ERROR PLZ FIX")</f>
        <v/>
      </c>
      <c r="K14" s="21">
        <f>IFERROR(BDP($A14,"OPEN_INT"),"ERROR PLZ FIX")</f>
        <v/>
      </c>
    </row>
    <row r="15">
      <c r="A15" s="6" t="n"/>
      <c r="B15" s="6">
        <f>IFERROR(BDP($A15,"SECURITY_DES"),"ERROR PLZ FIX")</f>
        <v/>
      </c>
      <c r="C15" s="17">
        <f>IFERROR(BDP($A15,"PX_LAST"),"ERROR PLZ FIX")</f>
        <v/>
      </c>
      <c r="D15" s="17">
        <f>IFERROR(BDP($A15,"PX_BID"),"ERROR PLZ FIX")</f>
        <v/>
      </c>
      <c r="E15" s="17">
        <f>IFERROR(BDP($A15,"PX_ASK"),"ERROR PLZ FIX")</f>
        <v/>
      </c>
      <c r="F15" s="17">
        <f>IFERROR(100-C15,"ERROR PLZ FIX")</f>
        <v/>
      </c>
      <c r="G15" s="6">
        <f>IFERROR(BDP($A15,"FUT_MONTH_YR"),"ERROR PLZ FIX")</f>
        <v/>
      </c>
      <c r="H15" s="18">
        <f>IFERROR(BDP($A15,"FUT_DLV_DT_FIRST"),"ERROR PLZ FIX")</f>
        <v/>
      </c>
      <c r="I15" s="18">
        <f>IFERROR(BDP($A15,"LAST_TRADEABLE_DT"),"ERROR PLZ FIX")</f>
        <v/>
      </c>
      <c r="J15" s="21">
        <f>IFERROR(BDP($A15,"VOLUME"),"ERROR PLZ FIX")</f>
        <v/>
      </c>
      <c r="K15" s="21">
        <f>IFERROR(BDP($A15,"OPEN_INT"),"ERROR PLZ FIX")</f>
        <v/>
      </c>
    </row>
    <row r="16">
      <c r="A16" s="6" t="n"/>
      <c r="B16" s="6">
        <f>IFERROR(BDP($A16,"SECURITY_DES"),"ERROR PLZ FIX")</f>
        <v/>
      </c>
      <c r="C16" s="17">
        <f>IFERROR(BDP($A16,"PX_LAST"),"ERROR PLZ FIX")</f>
        <v/>
      </c>
      <c r="D16" s="17">
        <f>IFERROR(BDP($A16,"PX_BID"),"ERROR PLZ FIX")</f>
        <v/>
      </c>
      <c r="E16" s="17">
        <f>IFERROR(BDP($A16,"PX_ASK"),"ERROR PLZ FIX")</f>
        <v/>
      </c>
      <c r="F16" s="17">
        <f>IFERROR(100-C16,"ERROR PLZ FIX")</f>
        <v/>
      </c>
      <c r="G16" s="6">
        <f>IFERROR(BDP($A16,"FUT_MONTH_YR"),"ERROR PLZ FIX")</f>
        <v/>
      </c>
      <c r="H16" s="18">
        <f>IFERROR(BDP($A16,"FUT_DLV_DT_FIRST"),"ERROR PLZ FIX")</f>
        <v/>
      </c>
      <c r="I16" s="18">
        <f>IFERROR(BDP($A16,"LAST_TRADEABLE_DT"),"ERROR PLZ FIX")</f>
        <v/>
      </c>
      <c r="J16" s="21">
        <f>IFERROR(BDP($A16,"VOLUME"),"ERROR PLZ FIX")</f>
        <v/>
      </c>
      <c r="K16" s="21">
        <f>IFERROR(BDP($A16,"OPEN_INT"),"ERROR PLZ FIX")</f>
        <v/>
      </c>
    </row>
    <row r="17">
      <c r="A17" s="6" t="n"/>
      <c r="B17" s="6">
        <f>IFERROR(BDP($A17,"SECURITY_DES"),"ERROR PLZ FIX")</f>
        <v/>
      </c>
      <c r="C17" s="17">
        <f>IFERROR(BDP($A17,"PX_LAST"),"ERROR PLZ FIX")</f>
        <v/>
      </c>
      <c r="D17" s="17">
        <f>IFERROR(BDP($A17,"PX_BID"),"ERROR PLZ FIX")</f>
        <v/>
      </c>
      <c r="E17" s="17">
        <f>IFERROR(BDP($A17,"PX_ASK"),"ERROR PLZ FIX")</f>
        <v/>
      </c>
      <c r="F17" s="17">
        <f>IFERROR(100-C17,"ERROR PLZ FIX")</f>
        <v/>
      </c>
      <c r="G17" s="6">
        <f>IFERROR(BDP($A17,"FUT_MONTH_YR"),"ERROR PLZ FIX")</f>
        <v/>
      </c>
      <c r="H17" s="18">
        <f>IFERROR(BDP($A17,"FUT_DLV_DT_FIRST"),"ERROR PLZ FIX")</f>
        <v/>
      </c>
      <c r="I17" s="18">
        <f>IFERROR(BDP($A17,"LAST_TRADEABLE_DT"),"ERROR PLZ FIX")</f>
        <v/>
      </c>
      <c r="J17" s="21">
        <f>IFERROR(BDP($A17,"VOLUME"),"ERROR PLZ FIX")</f>
        <v/>
      </c>
      <c r="K17" s="21">
        <f>IFERROR(BDP($A17,"OPEN_INT"),"ERROR PLZ FIX")</f>
        <v/>
      </c>
    </row>
    <row r="18">
      <c r="A18" s="6" t="n"/>
      <c r="B18" s="6">
        <f>IFERROR(BDP($A18,"SECURITY_DES"),"ERROR PLZ FIX")</f>
        <v/>
      </c>
      <c r="C18" s="17">
        <f>IFERROR(BDP($A18,"PX_LAST"),"ERROR PLZ FIX")</f>
        <v/>
      </c>
      <c r="D18" s="17">
        <f>IFERROR(BDP($A18,"PX_BID"),"ERROR PLZ FIX")</f>
        <v/>
      </c>
      <c r="E18" s="17">
        <f>IFERROR(BDP($A18,"PX_ASK"),"ERROR PLZ FIX")</f>
        <v/>
      </c>
      <c r="F18" s="17">
        <f>IFERROR(100-C18,"ERROR PLZ FIX")</f>
        <v/>
      </c>
      <c r="G18" s="6">
        <f>IFERROR(BDP($A18,"FUT_MONTH_YR"),"ERROR PLZ FIX")</f>
        <v/>
      </c>
      <c r="H18" s="18">
        <f>IFERROR(BDP($A18,"FUT_DLV_DT_FIRST"),"ERROR PLZ FIX")</f>
        <v/>
      </c>
      <c r="I18" s="18">
        <f>IFERROR(BDP($A18,"LAST_TRADEABLE_DT"),"ERROR PLZ FIX")</f>
        <v/>
      </c>
      <c r="J18" s="21">
        <f>IFERROR(BDP($A18,"VOLUME"),"ERROR PLZ FIX")</f>
        <v/>
      </c>
      <c r="K18" s="21">
        <f>IFERROR(BDP($A18,"OPEN_INT"),"ERROR PLZ FIX")</f>
        <v/>
      </c>
    </row>
    <row r="19">
      <c r="A19" s="6" t="n"/>
      <c r="B19" s="6">
        <f>IFERROR(BDP($A19,"SECURITY_DES"),"ERROR PLZ FIX")</f>
        <v/>
      </c>
      <c r="C19" s="17">
        <f>IFERROR(BDP($A19,"PX_LAST"),"ERROR PLZ FIX")</f>
        <v/>
      </c>
      <c r="D19" s="17">
        <f>IFERROR(BDP($A19,"PX_BID"),"ERROR PLZ FIX")</f>
        <v/>
      </c>
      <c r="E19" s="17">
        <f>IFERROR(BDP($A19,"PX_ASK"),"ERROR PLZ FIX")</f>
        <v/>
      </c>
      <c r="F19" s="17">
        <f>IFERROR(100-C19,"ERROR PLZ FIX")</f>
        <v/>
      </c>
      <c r="G19" s="6">
        <f>IFERROR(BDP($A19,"FUT_MONTH_YR"),"ERROR PLZ FIX")</f>
        <v/>
      </c>
      <c r="H19" s="18">
        <f>IFERROR(BDP($A19,"FUT_DLV_DT_FIRST"),"ERROR PLZ FIX")</f>
        <v/>
      </c>
      <c r="I19" s="18">
        <f>IFERROR(BDP($A19,"LAST_TRADEABLE_DT"),"ERROR PLZ FIX")</f>
        <v/>
      </c>
      <c r="J19" s="21">
        <f>IFERROR(BDP($A19,"VOLUME"),"ERROR PLZ FIX")</f>
        <v/>
      </c>
      <c r="K19" s="21">
        <f>IFERROR(BDP($A19,"OPEN_INT"),"ERROR PLZ FIX")</f>
        <v/>
      </c>
    </row>
    <row r="20">
      <c r="A20" s="6" t="n"/>
      <c r="B20" s="6">
        <f>IFERROR(BDP($A20,"SECURITY_DES"),"ERROR PLZ FIX")</f>
        <v/>
      </c>
      <c r="C20" s="17">
        <f>IFERROR(BDP($A20,"PX_LAST"),"ERROR PLZ FIX")</f>
        <v/>
      </c>
      <c r="D20" s="17">
        <f>IFERROR(BDP($A20,"PX_BID"),"ERROR PLZ FIX")</f>
        <v/>
      </c>
      <c r="E20" s="17">
        <f>IFERROR(BDP($A20,"PX_ASK"),"ERROR PLZ FIX")</f>
        <v/>
      </c>
      <c r="F20" s="17">
        <f>IFERROR(100-C20,"ERROR PLZ FIX")</f>
        <v/>
      </c>
      <c r="G20" s="6">
        <f>IFERROR(BDP($A20,"FUT_MONTH_YR"),"ERROR PLZ FIX")</f>
        <v/>
      </c>
      <c r="H20" s="18">
        <f>IFERROR(BDP($A20,"FUT_DLV_DT_FIRST"),"ERROR PLZ FIX")</f>
        <v/>
      </c>
      <c r="I20" s="18">
        <f>IFERROR(BDP($A20,"LAST_TRADEABLE_DT"),"ERROR PLZ FIX")</f>
        <v/>
      </c>
      <c r="J20" s="21">
        <f>IFERROR(BDP($A20,"VOLUME"),"ERROR PLZ FIX")</f>
        <v/>
      </c>
      <c r="K20" s="21">
        <f>IFERROR(BDP($A20,"OPEN_INT"),"ERROR PLZ FIX")</f>
        <v/>
      </c>
    </row>
    <row r="21">
      <c r="A21" s="6" t="n"/>
      <c r="B21" s="6">
        <f>IFERROR(BDP($A21,"SECURITY_DES"),"ERROR PLZ FIX")</f>
        <v/>
      </c>
      <c r="C21" s="17">
        <f>IFERROR(BDP($A21,"PX_LAST"),"ERROR PLZ FIX")</f>
        <v/>
      </c>
      <c r="D21" s="17">
        <f>IFERROR(BDP($A21,"PX_BID"),"ERROR PLZ FIX")</f>
        <v/>
      </c>
      <c r="E21" s="17">
        <f>IFERROR(BDP($A21,"PX_ASK"),"ERROR PLZ FIX")</f>
        <v/>
      </c>
      <c r="F21" s="17">
        <f>IFERROR(100-C21,"ERROR PLZ FIX")</f>
        <v/>
      </c>
      <c r="G21" s="6">
        <f>IFERROR(BDP($A21,"FUT_MONTH_YR"),"ERROR PLZ FIX")</f>
        <v/>
      </c>
      <c r="H21" s="18">
        <f>IFERROR(BDP($A21,"FUT_DLV_DT_FIRST"),"ERROR PLZ FIX")</f>
        <v/>
      </c>
      <c r="I21" s="18">
        <f>IFERROR(BDP($A21,"LAST_TRADEABLE_DT"),"ERROR PLZ FIX")</f>
        <v/>
      </c>
      <c r="J21" s="21">
        <f>IFERROR(BDP($A21,"VOLUME"),"ERROR PLZ FIX")</f>
        <v/>
      </c>
      <c r="K21" s="21">
        <f>IFERROR(BDP($A21,"OPEN_INT"),"ERROR PLZ FIX")</f>
        <v/>
      </c>
    </row>
    <row r="22">
      <c r="A22" s="6" t="n"/>
      <c r="B22" s="6">
        <f>IFERROR(BDP($A22,"SECURITY_DES"),"ERROR PLZ FIX")</f>
        <v/>
      </c>
      <c r="C22" s="17">
        <f>IFERROR(BDP($A22,"PX_LAST"),"ERROR PLZ FIX")</f>
        <v/>
      </c>
      <c r="D22" s="17">
        <f>IFERROR(BDP($A22,"PX_BID"),"ERROR PLZ FIX")</f>
        <v/>
      </c>
      <c r="E22" s="17">
        <f>IFERROR(BDP($A22,"PX_ASK"),"ERROR PLZ FIX")</f>
        <v/>
      </c>
      <c r="F22" s="17">
        <f>IFERROR(100-C22,"ERROR PLZ FIX")</f>
        <v/>
      </c>
      <c r="G22" s="6">
        <f>IFERROR(BDP($A22,"FUT_MONTH_YR"),"ERROR PLZ FIX")</f>
        <v/>
      </c>
      <c r="H22" s="18">
        <f>IFERROR(BDP($A22,"FUT_DLV_DT_FIRST"),"ERROR PLZ FIX")</f>
        <v/>
      </c>
      <c r="I22" s="18">
        <f>IFERROR(BDP($A22,"LAST_TRADEABLE_DT"),"ERROR PLZ FIX")</f>
        <v/>
      </c>
      <c r="J22" s="21">
        <f>IFERROR(BDP($A22,"VOLUME"),"ERROR PLZ FIX")</f>
        <v/>
      </c>
      <c r="K22" s="21">
        <f>IFERROR(BDP($A22,"OPEN_INT"),"ERROR PLZ FIX")</f>
        <v/>
      </c>
    </row>
    <row r="23">
      <c r="A23" s="6" t="n"/>
      <c r="B23" s="6">
        <f>IFERROR(BDP($A23,"SECURITY_DES"),"ERROR PLZ FIX")</f>
        <v/>
      </c>
      <c r="C23" s="17">
        <f>IFERROR(BDP($A23,"PX_LAST"),"ERROR PLZ FIX")</f>
        <v/>
      </c>
      <c r="D23" s="17">
        <f>IFERROR(BDP($A23,"PX_BID"),"ERROR PLZ FIX")</f>
        <v/>
      </c>
      <c r="E23" s="17">
        <f>IFERROR(BDP($A23,"PX_ASK"),"ERROR PLZ FIX")</f>
        <v/>
      </c>
      <c r="F23" s="17">
        <f>IFERROR(100-C23,"ERROR PLZ FIX")</f>
        <v/>
      </c>
      <c r="G23" s="6">
        <f>IFERROR(BDP($A23,"FUT_MONTH_YR"),"ERROR PLZ FIX")</f>
        <v/>
      </c>
      <c r="H23" s="18">
        <f>IFERROR(BDP($A23,"FUT_DLV_DT_FIRST"),"ERROR PLZ FIX")</f>
        <v/>
      </c>
      <c r="I23" s="18">
        <f>IFERROR(BDP($A23,"LAST_TRADEABLE_DT"),"ERROR PLZ FIX")</f>
        <v/>
      </c>
      <c r="J23" s="21">
        <f>IFERROR(BDP($A23,"VOLUME"),"ERROR PLZ FIX")</f>
        <v/>
      </c>
      <c r="K23" s="21">
        <f>IFERROR(BDP($A23,"OPEN_INT"),"ERROR PLZ FIX")</f>
        <v/>
      </c>
    </row>
    <row r="24">
      <c r="A24" s="6" t="n"/>
      <c r="B24" s="6">
        <f>IFERROR(BDP($A24,"SECURITY_DES"),"ERROR PLZ FIX")</f>
        <v/>
      </c>
      <c r="C24" s="17">
        <f>IFERROR(BDP($A24,"PX_LAST"),"ERROR PLZ FIX")</f>
        <v/>
      </c>
      <c r="D24" s="17">
        <f>IFERROR(BDP($A24,"PX_BID"),"ERROR PLZ FIX")</f>
        <v/>
      </c>
      <c r="E24" s="17">
        <f>IFERROR(BDP($A24,"PX_ASK"),"ERROR PLZ FIX")</f>
        <v/>
      </c>
      <c r="F24" s="17">
        <f>IFERROR(100-C24,"ERROR PLZ FIX")</f>
        <v/>
      </c>
      <c r="G24" s="6">
        <f>IFERROR(BDP($A24,"FUT_MONTH_YR"),"ERROR PLZ FIX")</f>
        <v/>
      </c>
      <c r="H24" s="18">
        <f>IFERROR(BDP($A24,"FUT_DLV_DT_FIRST"),"ERROR PLZ FIX")</f>
        <v/>
      </c>
      <c r="I24" s="18">
        <f>IFERROR(BDP($A24,"LAST_TRADEABLE_DT"),"ERROR PLZ FIX")</f>
        <v/>
      </c>
      <c r="J24" s="21">
        <f>IFERROR(BDP($A24,"VOLUME"),"ERROR PLZ FIX")</f>
        <v/>
      </c>
      <c r="K24" s="21">
        <f>IFERROR(BDP($A24,"OPEN_INT"),"ERROR PLZ FIX")</f>
        <v/>
      </c>
    </row>
    <row r="25">
      <c r="A25" s="6" t="n"/>
      <c r="B25" s="6">
        <f>IFERROR(BDP($A25,"SECURITY_DES"),"ERROR PLZ FIX")</f>
        <v/>
      </c>
      <c r="C25" s="17">
        <f>IFERROR(BDP($A25,"PX_LAST"),"ERROR PLZ FIX")</f>
        <v/>
      </c>
      <c r="D25" s="17">
        <f>IFERROR(BDP($A25,"PX_BID"),"ERROR PLZ FIX")</f>
        <v/>
      </c>
      <c r="E25" s="17">
        <f>IFERROR(BDP($A25,"PX_ASK"),"ERROR PLZ FIX")</f>
        <v/>
      </c>
      <c r="F25" s="17">
        <f>IFERROR(100-C25,"ERROR PLZ FIX")</f>
        <v/>
      </c>
      <c r="G25" s="6">
        <f>IFERROR(BDP($A25,"FUT_MONTH_YR"),"ERROR PLZ FIX")</f>
        <v/>
      </c>
      <c r="H25" s="18">
        <f>IFERROR(BDP($A25,"FUT_DLV_DT_FIRST"),"ERROR PLZ FIX")</f>
        <v/>
      </c>
      <c r="I25" s="18">
        <f>IFERROR(BDP($A25,"LAST_TRADEABLE_DT"),"ERROR PLZ FIX")</f>
        <v/>
      </c>
      <c r="J25" s="21">
        <f>IFERROR(BDP($A25,"VOLUME"),"ERROR PLZ FIX")</f>
        <v/>
      </c>
      <c r="K25" s="21">
        <f>IFERROR(BDP($A25,"OPEN_INT"),"ERROR PLZ FIX")</f>
        <v/>
      </c>
    </row>
    <row r="26">
      <c r="A26" s="6" t="n"/>
      <c r="B26" s="6">
        <f>IFERROR(BDP($A26,"SECURITY_DES"),"ERROR PLZ FIX")</f>
        <v/>
      </c>
      <c r="C26" s="17">
        <f>IFERROR(BDP($A26,"PX_LAST"),"ERROR PLZ FIX")</f>
        <v/>
      </c>
      <c r="D26" s="17">
        <f>IFERROR(BDP($A26,"PX_BID"),"ERROR PLZ FIX")</f>
        <v/>
      </c>
      <c r="E26" s="17">
        <f>IFERROR(BDP($A26,"PX_ASK"),"ERROR PLZ FIX")</f>
        <v/>
      </c>
      <c r="F26" s="17">
        <f>IFERROR(100-C26,"ERROR PLZ FIX")</f>
        <v/>
      </c>
      <c r="G26" s="6">
        <f>IFERROR(BDP($A26,"FUT_MONTH_YR"),"ERROR PLZ FIX")</f>
        <v/>
      </c>
      <c r="H26" s="18">
        <f>IFERROR(BDP($A26,"FUT_DLV_DT_FIRST"),"ERROR PLZ FIX")</f>
        <v/>
      </c>
      <c r="I26" s="18">
        <f>IFERROR(BDP($A26,"LAST_TRADEABLE_DT"),"ERROR PLZ FIX")</f>
        <v/>
      </c>
      <c r="J26" s="21">
        <f>IFERROR(BDP($A26,"VOLUME"),"ERROR PLZ FIX")</f>
        <v/>
      </c>
      <c r="K26" s="21">
        <f>IFERROR(BDP($A26,"OPEN_INT"),"ERROR PLZ FIX")</f>
        <v/>
      </c>
    </row>
    <row r="29">
      <c r="A29" s="4" t="inlineStr">
        <is>
          <t>SR1 — ONE-MONTH SOFR FUTURES  (SERA Comdty · CME SR1) — first 13 monthly contracts</t>
        </is>
      </c>
    </row>
    <row r="30" ht="26" customHeight="1">
      <c r="A30" s="9" t="inlineStr">
        <is>
          <t>Column A cell below holds =BDS("SERA Comdty","FUT_CHAIN") and SPILLS the active contract tickers down. Field columns reference each row's contract in column A. Adjust the row count to the liquid strip (check VOLUME / OPEN_INT).</t>
        </is>
      </c>
    </row>
    <row r="31">
      <c r="A31" s="20" t="inlineStr">
        <is>
          <t>Contract (from CT chain)</t>
        </is>
      </c>
      <c r="B31" s="20" t="inlineStr">
        <is>
          <t>SECURITY_DES</t>
        </is>
      </c>
      <c r="C31" s="20" t="inlineStr">
        <is>
          <t>PX_LAST</t>
        </is>
      </c>
      <c r="D31" s="20" t="inlineStr">
        <is>
          <t>PX_BID</t>
        </is>
      </c>
      <c r="E31" s="20" t="inlineStr">
        <is>
          <t>PX_ASK</t>
        </is>
      </c>
      <c r="F31" s="20" t="inlineStr">
        <is>
          <t>Implied rate % (100−Last)</t>
        </is>
      </c>
      <c r="G31" s="20" t="inlineStr">
        <is>
          <t>FUT_MONTH_YR</t>
        </is>
      </c>
      <c r="H31" s="20" t="inlineStr">
        <is>
          <t>Ref. start (FUT_DLV_DT_FIRST)</t>
        </is>
      </c>
      <c r="I31" s="20" t="inlineStr">
        <is>
          <t>LAST_TRADEABLE_DT</t>
        </is>
      </c>
      <c r="J31" s="20" t="inlineStr">
        <is>
          <t>VOLUME</t>
        </is>
      </c>
      <c r="K31" s="20" t="inlineStr">
        <is>
          <t>OPEN_INT</t>
        </is>
      </c>
    </row>
    <row r="32">
      <c r="A32" s="6">
        <f>BDS("SERA Comdty","FUT_CHAIN")</f>
        <v/>
      </c>
      <c r="B32" s="6">
        <f>IFERROR(BDP($A32,"SECURITY_DES"),"ERROR PLZ FIX")</f>
        <v/>
      </c>
      <c r="C32" s="17">
        <f>IFERROR(BDP($A32,"PX_LAST"),"ERROR PLZ FIX")</f>
        <v/>
      </c>
      <c r="D32" s="17">
        <f>IFERROR(BDP($A32,"PX_BID"),"ERROR PLZ FIX")</f>
        <v/>
      </c>
      <c r="E32" s="17">
        <f>IFERROR(BDP($A32,"PX_ASK"),"ERROR PLZ FIX")</f>
        <v/>
      </c>
      <c r="F32" s="17">
        <f>IFERROR(100-C32,"ERROR PLZ FIX")</f>
        <v/>
      </c>
      <c r="G32" s="6">
        <f>IFERROR(BDP($A32,"FUT_MONTH_YR"),"ERROR PLZ FIX")</f>
        <v/>
      </c>
      <c r="H32" s="18">
        <f>IFERROR(BDP($A32,"FUT_DLV_DT_FIRST"),"ERROR PLZ FIX")</f>
        <v/>
      </c>
      <c r="I32" s="18">
        <f>IFERROR(BDP($A32,"LAST_TRADEABLE_DT"),"ERROR PLZ FIX")</f>
        <v/>
      </c>
      <c r="J32" s="21">
        <f>IFERROR(BDP($A32,"VOLUME"),"ERROR PLZ FIX")</f>
        <v/>
      </c>
      <c r="K32" s="21">
        <f>IFERROR(BDP($A32,"OPEN_INT"),"ERROR PLZ FIX")</f>
        <v/>
      </c>
    </row>
    <row r="33">
      <c r="A33" s="6" t="n"/>
      <c r="B33" s="6">
        <f>IFERROR(BDP($A33,"SECURITY_DES"),"ERROR PLZ FIX")</f>
        <v/>
      </c>
      <c r="C33" s="17">
        <f>IFERROR(BDP($A33,"PX_LAST"),"ERROR PLZ FIX")</f>
        <v/>
      </c>
      <c r="D33" s="17">
        <f>IFERROR(BDP($A33,"PX_BID"),"ERROR PLZ FIX")</f>
        <v/>
      </c>
      <c r="E33" s="17">
        <f>IFERROR(BDP($A33,"PX_ASK"),"ERROR PLZ FIX")</f>
        <v/>
      </c>
      <c r="F33" s="17">
        <f>IFERROR(100-C33,"ERROR PLZ FIX")</f>
        <v/>
      </c>
      <c r="G33" s="6">
        <f>IFERROR(BDP($A33,"FUT_MONTH_YR"),"ERROR PLZ FIX")</f>
        <v/>
      </c>
      <c r="H33" s="18">
        <f>IFERROR(BDP($A33,"FUT_DLV_DT_FIRST"),"ERROR PLZ FIX")</f>
        <v/>
      </c>
      <c r="I33" s="18">
        <f>IFERROR(BDP($A33,"LAST_TRADEABLE_DT"),"ERROR PLZ FIX")</f>
        <v/>
      </c>
      <c r="J33" s="21">
        <f>IFERROR(BDP($A33,"VOLUME"),"ERROR PLZ FIX")</f>
        <v/>
      </c>
      <c r="K33" s="21">
        <f>IFERROR(BDP($A33,"OPEN_INT"),"ERROR PLZ FIX")</f>
        <v/>
      </c>
    </row>
    <row r="34">
      <c r="A34" s="6" t="n"/>
      <c r="B34" s="6">
        <f>IFERROR(BDP($A34,"SECURITY_DES"),"ERROR PLZ FIX")</f>
        <v/>
      </c>
      <c r="C34" s="17">
        <f>IFERROR(BDP($A34,"PX_LAST"),"ERROR PLZ FIX")</f>
        <v/>
      </c>
      <c r="D34" s="17">
        <f>IFERROR(BDP($A34,"PX_BID"),"ERROR PLZ FIX")</f>
        <v/>
      </c>
      <c r="E34" s="17">
        <f>IFERROR(BDP($A34,"PX_ASK"),"ERROR PLZ FIX")</f>
        <v/>
      </c>
      <c r="F34" s="17">
        <f>IFERROR(100-C34,"ERROR PLZ FIX")</f>
        <v/>
      </c>
      <c r="G34" s="6">
        <f>IFERROR(BDP($A34,"FUT_MONTH_YR"),"ERROR PLZ FIX")</f>
        <v/>
      </c>
      <c r="H34" s="18">
        <f>IFERROR(BDP($A34,"FUT_DLV_DT_FIRST"),"ERROR PLZ FIX")</f>
        <v/>
      </c>
      <c r="I34" s="18">
        <f>IFERROR(BDP($A34,"LAST_TRADEABLE_DT"),"ERROR PLZ FIX")</f>
        <v/>
      </c>
      <c r="J34" s="21">
        <f>IFERROR(BDP($A34,"VOLUME"),"ERROR PLZ FIX")</f>
        <v/>
      </c>
      <c r="K34" s="21">
        <f>IFERROR(BDP($A34,"OPEN_INT"),"ERROR PLZ FIX")</f>
        <v/>
      </c>
    </row>
    <row r="35">
      <c r="A35" s="6" t="n"/>
      <c r="B35" s="6">
        <f>IFERROR(BDP($A35,"SECURITY_DES"),"ERROR PLZ FIX")</f>
        <v/>
      </c>
      <c r="C35" s="17">
        <f>IFERROR(BDP($A35,"PX_LAST"),"ERROR PLZ FIX")</f>
        <v/>
      </c>
      <c r="D35" s="17">
        <f>IFERROR(BDP($A35,"PX_BID"),"ERROR PLZ FIX")</f>
        <v/>
      </c>
      <c r="E35" s="17">
        <f>IFERROR(BDP($A35,"PX_ASK"),"ERROR PLZ FIX")</f>
        <v/>
      </c>
      <c r="F35" s="17">
        <f>IFERROR(100-C35,"ERROR PLZ FIX")</f>
        <v/>
      </c>
      <c r="G35" s="6">
        <f>IFERROR(BDP($A35,"FUT_MONTH_YR"),"ERROR PLZ FIX")</f>
        <v/>
      </c>
      <c r="H35" s="18">
        <f>IFERROR(BDP($A35,"FUT_DLV_DT_FIRST"),"ERROR PLZ FIX")</f>
        <v/>
      </c>
      <c r="I35" s="18">
        <f>IFERROR(BDP($A35,"LAST_TRADEABLE_DT"),"ERROR PLZ FIX")</f>
        <v/>
      </c>
      <c r="J35" s="21">
        <f>IFERROR(BDP($A35,"VOLUME"),"ERROR PLZ FIX")</f>
        <v/>
      </c>
      <c r="K35" s="21">
        <f>IFERROR(BDP($A35,"OPEN_INT"),"ERROR PLZ FIX")</f>
        <v/>
      </c>
    </row>
    <row r="36">
      <c r="A36" s="6" t="n"/>
      <c r="B36" s="6">
        <f>IFERROR(BDP($A36,"SECURITY_DES"),"ERROR PLZ FIX")</f>
        <v/>
      </c>
      <c r="C36" s="17">
        <f>IFERROR(BDP($A36,"PX_LAST"),"ERROR PLZ FIX")</f>
        <v/>
      </c>
      <c r="D36" s="17">
        <f>IFERROR(BDP($A36,"PX_BID"),"ERROR PLZ FIX")</f>
        <v/>
      </c>
      <c r="E36" s="17">
        <f>IFERROR(BDP($A36,"PX_ASK"),"ERROR PLZ FIX")</f>
        <v/>
      </c>
      <c r="F36" s="17">
        <f>IFERROR(100-C36,"ERROR PLZ FIX")</f>
        <v/>
      </c>
      <c r="G36" s="6">
        <f>IFERROR(BDP($A36,"FUT_MONTH_YR"),"ERROR PLZ FIX")</f>
        <v/>
      </c>
      <c r="H36" s="18">
        <f>IFERROR(BDP($A36,"FUT_DLV_DT_FIRST"),"ERROR PLZ FIX")</f>
        <v/>
      </c>
      <c r="I36" s="18">
        <f>IFERROR(BDP($A36,"LAST_TRADEABLE_DT"),"ERROR PLZ FIX")</f>
        <v/>
      </c>
      <c r="J36" s="21">
        <f>IFERROR(BDP($A36,"VOLUME"),"ERROR PLZ FIX")</f>
        <v/>
      </c>
      <c r="K36" s="21">
        <f>IFERROR(BDP($A36,"OPEN_INT"),"ERROR PLZ FIX")</f>
        <v/>
      </c>
    </row>
    <row r="37">
      <c r="A37" s="6" t="n"/>
      <c r="B37" s="6">
        <f>IFERROR(BDP($A37,"SECURITY_DES"),"ERROR PLZ FIX")</f>
        <v/>
      </c>
      <c r="C37" s="17">
        <f>IFERROR(BDP($A37,"PX_LAST"),"ERROR PLZ FIX")</f>
        <v/>
      </c>
      <c r="D37" s="17">
        <f>IFERROR(BDP($A37,"PX_BID"),"ERROR PLZ FIX")</f>
        <v/>
      </c>
      <c r="E37" s="17">
        <f>IFERROR(BDP($A37,"PX_ASK"),"ERROR PLZ FIX")</f>
        <v/>
      </c>
      <c r="F37" s="17">
        <f>IFERROR(100-C37,"ERROR PLZ FIX")</f>
        <v/>
      </c>
      <c r="G37" s="6">
        <f>IFERROR(BDP($A37,"FUT_MONTH_YR"),"ERROR PLZ FIX")</f>
        <v/>
      </c>
      <c r="H37" s="18">
        <f>IFERROR(BDP($A37,"FUT_DLV_DT_FIRST"),"ERROR PLZ FIX")</f>
        <v/>
      </c>
      <c r="I37" s="18">
        <f>IFERROR(BDP($A37,"LAST_TRADEABLE_DT"),"ERROR PLZ FIX")</f>
        <v/>
      </c>
      <c r="J37" s="21">
        <f>IFERROR(BDP($A37,"VOLUME"),"ERROR PLZ FIX")</f>
        <v/>
      </c>
      <c r="K37" s="21">
        <f>IFERROR(BDP($A37,"OPEN_INT"),"ERROR PLZ FIX")</f>
        <v/>
      </c>
    </row>
    <row r="38">
      <c r="A38" s="6" t="n"/>
      <c r="B38" s="6">
        <f>IFERROR(BDP($A38,"SECURITY_DES"),"ERROR PLZ FIX")</f>
        <v/>
      </c>
      <c r="C38" s="17">
        <f>IFERROR(BDP($A38,"PX_LAST"),"ERROR PLZ FIX")</f>
        <v/>
      </c>
      <c r="D38" s="17">
        <f>IFERROR(BDP($A38,"PX_BID"),"ERROR PLZ FIX")</f>
        <v/>
      </c>
      <c r="E38" s="17">
        <f>IFERROR(BDP($A38,"PX_ASK"),"ERROR PLZ FIX")</f>
        <v/>
      </c>
      <c r="F38" s="17">
        <f>IFERROR(100-C38,"ERROR PLZ FIX")</f>
        <v/>
      </c>
      <c r="G38" s="6">
        <f>IFERROR(BDP($A38,"FUT_MONTH_YR"),"ERROR PLZ FIX")</f>
        <v/>
      </c>
      <c r="H38" s="18">
        <f>IFERROR(BDP($A38,"FUT_DLV_DT_FIRST"),"ERROR PLZ FIX")</f>
        <v/>
      </c>
      <c r="I38" s="18">
        <f>IFERROR(BDP($A38,"LAST_TRADEABLE_DT"),"ERROR PLZ FIX")</f>
        <v/>
      </c>
      <c r="J38" s="21">
        <f>IFERROR(BDP($A38,"VOLUME"),"ERROR PLZ FIX")</f>
        <v/>
      </c>
      <c r="K38" s="21">
        <f>IFERROR(BDP($A38,"OPEN_INT"),"ERROR PLZ FIX")</f>
        <v/>
      </c>
    </row>
    <row r="39">
      <c r="A39" s="6" t="n"/>
      <c r="B39" s="6">
        <f>IFERROR(BDP($A39,"SECURITY_DES"),"ERROR PLZ FIX")</f>
        <v/>
      </c>
      <c r="C39" s="17">
        <f>IFERROR(BDP($A39,"PX_LAST"),"ERROR PLZ FIX")</f>
        <v/>
      </c>
      <c r="D39" s="17">
        <f>IFERROR(BDP($A39,"PX_BID"),"ERROR PLZ FIX")</f>
        <v/>
      </c>
      <c r="E39" s="17">
        <f>IFERROR(BDP($A39,"PX_ASK"),"ERROR PLZ FIX")</f>
        <v/>
      </c>
      <c r="F39" s="17">
        <f>IFERROR(100-C39,"ERROR PLZ FIX")</f>
        <v/>
      </c>
      <c r="G39" s="6">
        <f>IFERROR(BDP($A39,"FUT_MONTH_YR"),"ERROR PLZ FIX")</f>
        <v/>
      </c>
      <c r="H39" s="18">
        <f>IFERROR(BDP($A39,"FUT_DLV_DT_FIRST"),"ERROR PLZ FIX")</f>
        <v/>
      </c>
      <c r="I39" s="18">
        <f>IFERROR(BDP($A39,"LAST_TRADEABLE_DT"),"ERROR PLZ FIX")</f>
        <v/>
      </c>
      <c r="J39" s="21">
        <f>IFERROR(BDP($A39,"VOLUME"),"ERROR PLZ FIX")</f>
        <v/>
      </c>
      <c r="K39" s="21">
        <f>IFERROR(BDP($A39,"OPEN_INT"),"ERROR PLZ FIX")</f>
        <v/>
      </c>
    </row>
    <row r="40">
      <c r="A40" s="6" t="n"/>
      <c r="B40" s="6">
        <f>IFERROR(BDP($A40,"SECURITY_DES"),"ERROR PLZ FIX")</f>
        <v/>
      </c>
      <c r="C40" s="17">
        <f>IFERROR(BDP($A40,"PX_LAST"),"ERROR PLZ FIX")</f>
        <v/>
      </c>
      <c r="D40" s="17">
        <f>IFERROR(BDP($A40,"PX_BID"),"ERROR PLZ FIX")</f>
        <v/>
      </c>
      <c r="E40" s="17">
        <f>IFERROR(BDP($A40,"PX_ASK"),"ERROR PLZ FIX")</f>
        <v/>
      </c>
      <c r="F40" s="17">
        <f>IFERROR(100-C40,"ERROR PLZ FIX")</f>
        <v/>
      </c>
      <c r="G40" s="6">
        <f>IFERROR(BDP($A40,"FUT_MONTH_YR"),"ERROR PLZ FIX")</f>
        <v/>
      </c>
      <c r="H40" s="18">
        <f>IFERROR(BDP($A40,"FUT_DLV_DT_FIRST"),"ERROR PLZ FIX")</f>
        <v/>
      </c>
      <c r="I40" s="18">
        <f>IFERROR(BDP($A40,"LAST_TRADEABLE_DT"),"ERROR PLZ FIX")</f>
        <v/>
      </c>
      <c r="J40" s="21">
        <f>IFERROR(BDP($A40,"VOLUME"),"ERROR PLZ FIX")</f>
        <v/>
      </c>
      <c r="K40" s="21">
        <f>IFERROR(BDP($A40,"OPEN_INT"),"ERROR PLZ FIX")</f>
        <v/>
      </c>
    </row>
    <row r="41">
      <c r="A41" s="6" t="n"/>
      <c r="B41" s="6">
        <f>IFERROR(BDP($A41,"SECURITY_DES"),"ERROR PLZ FIX")</f>
        <v/>
      </c>
      <c r="C41" s="17">
        <f>IFERROR(BDP($A41,"PX_LAST"),"ERROR PLZ FIX")</f>
        <v/>
      </c>
      <c r="D41" s="17">
        <f>IFERROR(BDP($A41,"PX_BID"),"ERROR PLZ FIX")</f>
        <v/>
      </c>
      <c r="E41" s="17">
        <f>IFERROR(BDP($A41,"PX_ASK"),"ERROR PLZ FIX")</f>
        <v/>
      </c>
      <c r="F41" s="17">
        <f>IFERROR(100-C41,"ERROR PLZ FIX")</f>
        <v/>
      </c>
      <c r="G41" s="6">
        <f>IFERROR(BDP($A41,"FUT_MONTH_YR"),"ERROR PLZ FIX")</f>
        <v/>
      </c>
      <c r="H41" s="18">
        <f>IFERROR(BDP($A41,"FUT_DLV_DT_FIRST"),"ERROR PLZ FIX")</f>
        <v/>
      </c>
      <c r="I41" s="18">
        <f>IFERROR(BDP($A41,"LAST_TRADEABLE_DT"),"ERROR PLZ FIX")</f>
        <v/>
      </c>
      <c r="J41" s="21">
        <f>IFERROR(BDP($A41,"VOLUME"),"ERROR PLZ FIX")</f>
        <v/>
      </c>
      <c r="K41" s="21">
        <f>IFERROR(BDP($A41,"OPEN_INT"),"ERROR PLZ FIX")</f>
        <v/>
      </c>
    </row>
    <row r="42">
      <c r="A42" s="6" t="n"/>
      <c r="B42" s="6">
        <f>IFERROR(BDP($A42,"SECURITY_DES"),"ERROR PLZ FIX")</f>
        <v/>
      </c>
      <c r="C42" s="17">
        <f>IFERROR(BDP($A42,"PX_LAST"),"ERROR PLZ FIX")</f>
        <v/>
      </c>
      <c r="D42" s="17">
        <f>IFERROR(BDP($A42,"PX_BID"),"ERROR PLZ FIX")</f>
        <v/>
      </c>
      <c r="E42" s="17">
        <f>IFERROR(BDP($A42,"PX_ASK"),"ERROR PLZ FIX")</f>
        <v/>
      </c>
      <c r="F42" s="17">
        <f>IFERROR(100-C42,"ERROR PLZ FIX")</f>
        <v/>
      </c>
      <c r="G42" s="6">
        <f>IFERROR(BDP($A42,"FUT_MONTH_YR"),"ERROR PLZ FIX")</f>
        <v/>
      </c>
      <c r="H42" s="18">
        <f>IFERROR(BDP($A42,"FUT_DLV_DT_FIRST"),"ERROR PLZ FIX")</f>
        <v/>
      </c>
      <c r="I42" s="18">
        <f>IFERROR(BDP($A42,"LAST_TRADEABLE_DT"),"ERROR PLZ FIX")</f>
        <v/>
      </c>
      <c r="J42" s="21">
        <f>IFERROR(BDP($A42,"VOLUME"),"ERROR PLZ FIX")</f>
        <v/>
      </c>
      <c r="K42" s="21">
        <f>IFERROR(BDP($A42,"OPEN_INT"),"ERROR PLZ FIX")</f>
        <v/>
      </c>
    </row>
    <row r="43">
      <c r="A43" s="6" t="n"/>
      <c r="B43" s="6">
        <f>IFERROR(BDP($A43,"SECURITY_DES"),"ERROR PLZ FIX")</f>
        <v/>
      </c>
      <c r="C43" s="17">
        <f>IFERROR(BDP($A43,"PX_LAST"),"ERROR PLZ FIX")</f>
        <v/>
      </c>
      <c r="D43" s="17">
        <f>IFERROR(BDP($A43,"PX_BID"),"ERROR PLZ FIX")</f>
        <v/>
      </c>
      <c r="E43" s="17">
        <f>IFERROR(BDP($A43,"PX_ASK"),"ERROR PLZ FIX")</f>
        <v/>
      </c>
      <c r="F43" s="17">
        <f>IFERROR(100-C43,"ERROR PLZ FIX")</f>
        <v/>
      </c>
      <c r="G43" s="6">
        <f>IFERROR(BDP($A43,"FUT_MONTH_YR"),"ERROR PLZ FIX")</f>
        <v/>
      </c>
      <c r="H43" s="18">
        <f>IFERROR(BDP($A43,"FUT_DLV_DT_FIRST"),"ERROR PLZ FIX")</f>
        <v/>
      </c>
      <c r="I43" s="18">
        <f>IFERROR(BDP($A43,"LAST_TRADEABLE_DT"),"ERROR PLZ FIX")</f>
        <v/>
      </c>
      <c r="J43" s="21">
        <f>IFERROR(BDP($A43,"VOLUME"),"ERROR PLZ FIX")</f>
        <v/>
      </c>
      <c r="K43" s="21">
        <f>IFERROR(BDP($A43,"OPEN_INT"),"ERROR PLZ FIX")</f>
        <v/>
      </c>
    </row>
    <row r="44">
      <c r="A44" s="6" t="n"/>
      <c r="B44" s="6">
        <f>IFERROR(BDP($A44,"SECURITY_DES"),"ERROR PLZ FIX")</f>
        <v/>
      </c>
      <c r="C44" s="17">
        <f>IFERROR(BDP($A44,"PX_LAST"),"ERROR PLZ FIX")</f>
        <v/>
      </c>
      <c r="D44" s="17">
        <f>IFERROR(BDP($A44,"PX_BID"),"ERROR PLZ FIX")</f>
        <v/>
      </c>
      <c r="E44" s="17">
        <f>IFERROR(BDP($A44,"PX_ASK"),"ERROR PLZ FIX")</f>
        <v/>
      </c>
      <c r="F44" s="17">
        <f>IFERROR(100-C44,"ERROR PLZ FIX")</f>
        <v/>
      </c>
      <c r="G44" s="6">
        <f>IFERROR(BDP($A44,"FUT_MONTH_YR"),"ERROR PLZ FIX")</f>
        <v/>
      </c>
      <c r="H44" s="18">
        <f>IFERROR(BDP($A44,"FUT_DLV_DT_FIRST"),"ERROR PLZ FIX")</f>
        <v/>
      </c>
      <c r="I44" s="18">
        <f>IFERROR(BDP($A44,"LAST_TRADEABLE_DT"),"ERROR PLZ FIX")</f>
        <v/>
      </c>
      <c r="J44" s="21">
        <f>IFERROR(BDP($A44,"VOLUME"),"ERROR PLZ FIX")</f>
        <v/>
      </c>
      <c r="K44" s="21">
        <f>IFERROR(BDP($A44,"OPEN_INT"),"ERROR PLZ FIX")</f>
        <v/>
      </c>
    </row>
  </sheetData>
  <mergeCells count="4">
    <mergeCell ref="A30:K30"/>
    <mergeCell ref="A5:K5"/>
    <mergeCell ref="A4:K4"/>
    <mergeCell ref="A29:K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1" customWidth="1" min="4" max="4"/>
    <col width="10" customWidth="1" min="5" max="5"/>
    <col width="10" customWidth="1" min="6" max="6"/>
    <col width="10" customWidth="1" min="7" max="7"/>
    <col width="18" customWidth="1" min="8" max="8"/>
    <col width="15" customWidth="1" min="9" max="9"/>
  </cols>
  <sheetData>
    <row r="1">
      <c r="A1" s="1" t="inlineStr">
        <is>
          <t>SOFR_OIS_Quotes</t>
        </is>
      </c>
    </row>
    <row r="2">
      <c r="A2" s="2" t="inlineStr">
        <is>
          <t>USD fixed-vs-SOFR OIS strip (USOSFR…, BGN) — 1W to 50Y.  Maturity &amp; years are derived live from the tenor.</t>
        </is>
      </c>
    </row>
    <row r="3">
      <c r="A3" s="13" t="inlineStr">
        <is>
          <t>Spot (T+2):</t>
        </is>
      </c>
      <c r="B3" s="18">
        <f>WORKDAY(VAL_DATE,2)</f>
        <v/>
      </c>
      <c r="C3" s="16" t="inlineStr">
        <is>
          <t>Maturity &amp; Tenor(yrs) recompute from the tenor label + spot.</t>
        </is>
      </c>
    </row>
    <row r="4">
      <c r="A4" s="20" t="inlineStr">
        <is>
          <t>Ticker root</t>
        </is>
      </c>
      <c r="B4" s="20" t="inlineStr">
        <is>
          <t>Tenor</t>
        </is>
      </c>
      <c r="C4" s="20" t="inlineStr">
        <is>
          <t>Maturity date</t>
        </is>
      </c>
      <c r="D4" s="20" t="inlineStr">
        <is>
          <t>Tenor (yrs)</t>
        </is>
      </c>
      <c r="E4" s="20" t="inlineStr">
        <is>
          <t>PX_BID</t>
        </is>
      </c>
      <c r="F4" s="20" t="inlineStr">
        <is>
          <t>PX_ASK</t>
        </is>
      </c>
      <c r="G4" s="20" t="inlineStr">
        <is>
          <t>PX_LAST</t>
        </is>
      </c>
      <c r="H4" s="20" t="inlineStr">
        <is>
          <t>Mid = (Bid+Ask)/2</t>
        </is>
      </c>
      <c r="I4" s="20" t="inlineStr">
        <is>
          <t>In bootstrap set</t>
        </is>
      </c>
    </row>
    <row r="5">
      <c r="A5" s="6" t="inlineStr">
        <is>
          <t>USOSFR1Z</t>
        </is>
      </c>
      <c r="B5" s="22" t="inlineStr">
        <is>
          <t>1W</t>
        </is>
      </c>
      <c r="C5" s="23">
        <f>IF(RIGHT(B5,1)="W",$B$3+7*VALUE(LEFT(B5,LEN(B5)-1)),IF(RIGHT(B5,1)="M",EDATE($B$3,VALUE(LEFT(B5,LEN(B5)-1))),EDATE($B$3,12*VALUE(LEFT(B5,LEN(B5)-1)))))</f>
        <v/>
      </c>
      <c r="D5" s="24">
        <f>(C5-$B$3)/365</f>
        <v/>
      </c>
      <c r="E5" s="17">
        <f>IFERROR(BDP(A5&amp;" "&amp;PX_SRC&amp;" Curncy","PX_BID"),"ERROR PLZ FIX")</f>
        <v/>
      </c>
      <c r="F5" s="17">
        <f>IFERROR(BDP(A5&amp;" "&amp;PX_SRC&amp;" Curncy","PX_ASK"),"ERROR PLZ FIX")</f>
        <v/>
      </c>
      <c r="G5" s="17">
        <f>IFERROR(BDP(A5&amp;" "&amp;PX_SRC&amp;" Curncy","PX_LAST"),"ERROR PLZ FIX")</f>
        <v/>
      </c>
      <c r="H5" s="25">
        <f>IFERROR((E5+F5)/2,IFERROR(G5,"ERROR PLZ FIX"))</f>
        <v/>
      </c>
      <c r="I5" s="26" t="inlineStr">
        <is>
          <t>Y</t>
        </is>
      </c>
    </row>
    <row r="6">
      <c r="A6" s="6" t="inlineStr">
        <is>
          <t>USOSFR2Z</t>
        </is>
      </c>
      <c r="B6" s="22" t="inlineStr">
        <is>
          <t>2W</t>
        </is>
      </c>
      <c r="C6" s="23">
        <f>IF(RIGHT(B6,1)="W",$B$3+7*VALUE(LEFT(B6,LEN(B6)-1)),IF(RIGHT(B6,1)="M",EDATE($B$3,VALUE(LEFT(B6,LEN(B6)-1))),EDATE($B$3,12*VALUE(LEFT(B6,LEN(B6)-1)))))</f>
        <v/>
      </c>
      <c r="D6" s="24">
        <f>(C6-$B$3)/365</f>
        <v/>
      </c>
      <c r="E6" s="17">
        <f>IFERROR(BDP(A6&amp;" "&amp;PX_SRC&amp;" Curncy","PX_BID"),"ERROR PLZ FIX")</f>
        <v/>
      </c>
      <c r="F6" s="17">
        <f>IFERROR(BDP(A6&amp;" "&amp;PX_SRC&amp;" Curncy","PX_ASK"),"ERROR PLZ FIX")</f>
        <v/>
      </c>
      <c r="G6" s="17">
        <f>IFERROR(BDP(A6&amp;" "&amp;PX_SRC&amp;" Curncy","PX_LAST"),"ERROR PLZ FIX")</f>
        <v/>
      </c>
      <c r="H6" s="25">
        <f>IFERROR((E6+F6)/2,IFERROR(G6,"ERROR PLZ FIX"))</f>
        <v/>
      </c>
      <c r="I6" s="26" t="inlineStr"/>
    </row>
    <row r="7">
      <c r="A7" s="6" t="inlineStr">
        <is>
          <t>USOSFR3Z</t>
        </is>
      </c>
      <c r="B7" s="22" t="inlineStr">
        <is>
          <t>3W</t>
        </is>
      </c>
      <c r="C7" s="23">
        <f>IF(RIGHT(B7,1)="W",$B$3+7*VALUE(LEFT(B7,LEN(B7)-1)),IF(RIGHT(B7,1)="M",EDATE($B$3,VALUE(LEFT(B7,LEN(B7)-1))),EDATE($B$3,12*VALUE(LEFT(B7,LEN(B7)-1)))))</f>
        <v/>
      </c>
      <c r="D7" s="24">
        <f>(C7-$B$3)/365</f>
        <v/>
      </c>
      <c r="E7" s="17">
        <f>IFERROR(BDP(A7&amp;" "&amp;PX_SRC&amp;" Curncy","PX_BID"),"ERROR PLZ FIX")</f>
        <v/>
      </c>
      <c r="F7" s="17">
        <f>IFERROR(BDP(A7&amp;" "&amp;PX_SRC&amp;" Curncy","PX_ASK"),"ERROR PLZ FIX")</f>
        <v/>
      </c>
      <c r="G7" s="17">
        <f>IFERROR(BDP(A7&amp;" "&amp;PX_SRC&amp;" Curncy","PX_LAST"),"ERROR PLZ FIX")</f>
        <v/>
      </c>
      <c r="H7" s="25">
        <f>IFERROR((E7+F7)/2,IFERROR(G7,"ERROR PLZ FIX"))</f>
        <v/>
      </c>
      <c r="I7" s="26" t="inlineStr"/>
    </row>
    <row r="8">
      <c r="A8" s="6" t="inlineStr">
        <is>
          <t>USOSFRA</t>
        </is>
      </c>
      <c r="B8" s="22" t="inlineStr">
        <is>
          <t>1M</t>
        </is>
      </c>
      <c r="C8" s="23">
        <f>IF(RIGHT(B8,1)="W",$B$3+7*VALUE(LEFT(B8,LEN(B8)-1)),IF(RIGHT(B8,1)="M",EDATE($B$3,VALUE(LEFT(B8,LEN(B8)-1))),EDATE($B$3,12*VALUE(LEFT(B8,LEN(B8)-1)))))</f>
        <v/>
      </c>
      <c r="D8" s="24">
        <f>(C8-$B$3)/365</f>
        <v/>
      </c>
      <c r="E8" s="17">
        <f>IFERROR(BDP(A8&amp;" "&amp;PX_SRC&amp;" Curncy","PX_BID"),"ERROR PLZ FIX")</f>
        <v/>
      </c>
      <c r="F8" s="17">
        <f>IFERROR(BDP(A8&amp;" "&amp;PX_SRC&amp;" Curncy","PX_ASK"),"ERROR PLZ FIX")</f>
        <v/>
      </c>
      <c r="G8" s="17">
        <f>IFERROR(BDP(A8&amp;" "&amp;PX_SRC&amp;" Curncy","PX_LAST"),"ERROR PLZ FIX")</f>
        <v/>
      </c>
      <c r="H8" s="25">
        <f>IFERROR((E8+F8)/2,IFERROR(G8,"ERROR PLZ FIX"))</f>
        <v/>
      </c>
      <c r="I8" s="26" t="inlineStr">
        <is>
          <t>Y</t>
        </is>
      </c>
    </row>
    <row r="9">
      <c r="A9" s="6" t="inlineStr">
        <is>
          <t>USOSFRB</t>
        </is>
      </c>
      <c r="B9" s="22" t="inlineStr">
        <is>
          <t>2M</t>
        </is>
      </c>
      <c r="C9" s="23">
        <f>IF(RIGHT(B9,1)="W",$B$3+7*VALUE(LEFT(B9,LEN(B9)-1)),IF(RIGHT(B9,1)="M",EDATE($B$3,VALUE(LEFT(B9,LEN(B9)-1))),EDATE($B$3,12*VALUE(LEFT(B9,LEN(B9)-1)))))</f>
        <v/>
      </c>
      <c r="D9" s="24">
        <f>(C9-$B$3)/365</f>
        <v/>
      </c>
      <c r="E9" s="17">
        <f>IFERROR(BDP(A9&amp;" "&amp;PX_SRC&amp;" Curncy","PX_BID"),"ERROR PLZ FIX")</f>
        <v/>
      </c>
      <c r="F9" s="17">
        <f>IFERROR(BDP(A9&amp;" "&amp;PX_SRC&amp;" Curncy","PX_ASK"),"ERROR PLZ FIX")</f>
        <v/>
      </c>
      <c r="G9" s="17">
        <f>IFERROR(BDP(A9&amp;" "&amp;PX_SRC&amp;" Curncy","PX_LAST"),"ERROR PLZ FIX")</f>
        <v/>
      </c>
      <c r="H9" s="25">
        <f>IFERROR((E9+F9)/2,IFERROR(G9,"ERROR PLZ FIX"))</f>
        <v/>
      </c>
      <c r="I9" s="26" t="inlineStr"/>
    </row>
    <row r="10">
      <c r="A10" s="6" t="inlineStr">
        <is>
          <t>USOSFRC</t>
        </is>
      </c>
      <c r="B10" s="22" t="inlineStr">
        <is>
          <t>3M</t>
        </is>
      </c>
      <c r="C10" s="23">
        <f>IF(RIGHT(B10,1)="W",$B$3+7*VALUE(LEFT(B10,LEN(B10)-1)),IF(RIGHT(B10,1)="M",EDATE($B$3,VALUE(LEFT(B10,LEN(B10)-1))),EDATE($B$3,12*VALUE(LEFT(B10,LEN(B10)-1)))))</f>
        <v/>
      </c>
      <c r="D10" s="24">
        <f>(C10-$B$3)/365</f>
        <v/>
      </c>
      <c r="E10" s="17">
        <f>IFERROR(BDP(A10&amp;" "&amp;PX_SRC&amp;" Curncy","PX_BID"),"ERROR PLZ FIX")</f>
        <v/>
      </c>
      <c r="F10" s="17">
        <f>IFERROR(BDP(A10&amp;" "&amp;PX_SRC&amp;" Curncy","PX_ASK"),"ERROR PLZ FIX")</f>
        <v/>
      </c>
      <c r="G10" s="17">
        <f>IFERROR(BDP(A10&amp;" "&amp;PX_SRC&amp;" Curncy","PX_LAST"),"ERROR PLZ FIX")</f>
        <v/>
      </c>
      <c r="H10" s="25">
        <f>IFERROR((E10+F10)/2,IFERROR(G10,"ERROR PLZ FIX"))</f>
        <v/>
      </c>
      <c r="I10" s="26" t="inlineStr">
        <is>
          <t>Y</t>
        </is>
      </c>
    </row>
    <row r="11">
      <c r="A11" s="6" t="inlineStr">
        <is>
          <t>USOSFRD</t>
        </is>
      </c>
      <c r="B11" s="22" t="inlineStr">
        <is>
          <t>4M</t>
        </is>
      </c>
      <c r="C11" s="23">
        <f>IF(RIGHT(B11,1)="W",$B$3+7*VALUE(LEFT(B11,LEN(B11)-1)),IF(RIGHT(B11,1)="M",EDATE($B$3,VALUE(LEFT(B11,LEN(B11)-1))),EDATE($B$3,12*VALUE(LEFT(B11,LEN(B11)-1)))))</f>
        <v/>
      </c>
      <c r="D11" s="24">
        <f>(C11-$B$3)/365</f>
        <v/>
      </c>
      <c r="E11" s="17">
        <f>IFERROR(BDP(A11&amp;" "&amp;PX_SRC&amp;" Curncy","PX_BID"),"ERROR PLZ FIX")</f>
        <v/>
      </c>
      <c r="F11" s="17">
        <f>IFERROR(BDP(A11&amp;" "&amp;PX_SRC&amp;" Curncy","PX_ASK"),"ERROR PLZ FIX")</f>
        <v/>
      </c>
      <c r="G11" s="17">
        <f>IFERROR(BDP(A11&amp;" "&amp;PX_SRC&amp;" Curncy","PX_LAST"),"ERROR PLZ FIX")</f>
        <v/>
      </c>
      <c r="H11" s="25">
        <f>IFERROR((E11+F11)/2,IFERROR(G11,"ERROR PLZ FIX"))</f>
        <v/>
      </c>
      <c r="I11" s="26" t="inlineStr"/>
    </row>
    <row r="12">
      <c r="A12" s="6" t="inlineStr">
        <is>
          <t>USOSFRE</t>
        </is>
      </c>
      <c r="B12" s="22" t="inlineStr">
        <is>
          <t>5M</t>
        </is>
      </c>
      <c r="C12" s="23">
        <f>IF(RIGHT(B12,1)="W",$B$3+7*VALUE(LEFT(B12,LEN(B12)-1)),IF(RIGHT(B12,1)="M",EDATE($B$3,VALUE(LEFT(B12,LEN(B12)-1))),EDATE($B$3,12*VALUE(LEFT(B12,LEN(B12)-1)))))</f>
        <v/>
      </c>
      <c r="D12" s="24">
        <f>(C12-$B$3)/365</f>
        <v/>
      </c>
      <c r="E12" s="17">
        <f>IFERROR(BDP(A12&amp;" "&amp;PX_SRC&amp;" Curncy","PX_BID"),"ERROR PLZ FIX")</f>
        <v/>
      </c>
      <c r="F12" s="17">
        <f>IFERROR(BDP(A12&amp;" "&amp;PX_SRC&amp;" Curncy","PX_ASK"),"ERROR PLZ FIX")</f>
        <v/>
      </c>
      <c r="G12" s="17">
        <f>IFERROR(BDP(A12&amp;" "&amp;PX_SRC&amp;" Curncy","PX_LAST"),"ERROR PLZ FIX")</f>
        <v/>
      </c>
      <c r="H12" s="25">
        <f>IFERROR((E12+F12)/2,IFERROR(G12,"ERROR PLZ FIX"))</f>
        <v/>
      </c>
      <c r="I12" s="26" t="inlineStr"/>
    </row>
    <row r="13">
      <c r="A13" s="6" t="inlineStr">
        <is>
          <t>USOSFRF</t>
        </is>
      </c>
      <c r="B13" s="22" t="inlineStr">
        <is>
          <t>6M</t>
        </is>
      </c>
      <c r="C13" s="23">
        <f>IF(RIGHT(B13,1)="W",$B$3+7*VALUE(LEFT(B13,LEN(B13)-1)),IF(RIGHT(B13,1)="M",EDATE($B$3,VALUE(LEFT(B13,LEN(B13)-1))),EDATE($B$3,12*VALUE(LEFT(B13,LEN(B13)-1)))))</f>
        <v/>
      </c>
      <c r="D13" s="24">
        <f>(C13-$B$3)/365</f>
        <v/>
      </c>
      <c r="E13" s="17">
        <f>IFERROR(BDP(A13&amp;" "&amp;PX_SRC&amp;" Curncy","PX_BID"),"ERROR PLZ FIX")</f>
        <v/>
      </c>
      <c r="F13" s="17">
        <f>IFERROR(BDP(A13&amp;" "&amp;PX_SRC&amp;" Curncy","PX_ASK"),"ERROR PLZ FIX")</f>
        <v/>
      </c>
      <c r="G13" s="17">
        <f>IFERROR(BDP(A13&amp;" "&amp;PX_SRC&amp;" Curncy","PX_LAST"),"ERROR PLZ FIX")</f>
        <v/>
      </c>
      <c r="H13" s="25">
        <f>IFERROR((E13+F13)/2,IFERROR(G13,"ERROR PLZ FIX"))</f>
        <v/>
      </c>
      <c r="I13" s="26" t="inlineStr">
        <is>
          <t>Y</t>
        </is>
      </c>
    </row>
    <row r="14">
      <c r="A14" s="6" t="inlineStr">
        <is>
          <t>USOSFRG</t>
        </is>
      </c>
      <c r="B14" s="22" t="inlineStr">
        <is>
          <t>7M</t>
        </is>
      </c>
      <c r="C14" s="23">
        <f>IF(RIGHT(B14,1)="W",$B$3+7*VALUE(LEFT(B14,LEN(B14)-1)),IF(RIGHT(B14,1)="M",EDATE($B$3,VALUE(LEFT(B14,LEN(B14)-1))),EDATE($B$3,12*VALUE(LEFT(B14,LEN(B14)-1)))))</f>
        <v/>
      </c>
      <c r="D14" s="24">
        <f>(C14-$B$3)/365</f>
        <v/>
      </c>
      <c r="E14" s="17">
        <f>IFERROR(BDP(A14&amp;" "&amp;PX_SRC&amp;" Curncy","PX_BID"),"ERROR PLZ FIX")</f>
        <v/>
      </c>
      <c r="F14" s="17">
        <f>IFERROR(BDP(A14&amp;" "&amp;PX_SRC&amp;" Curncy","PX_ASK"),"ERROR PLZ FIX")</f>
        <v/>
      </c>
      <c r="G14" s="17">
        <f>IFERROR(BDP(A14&amp;" "&amp;PX_SRC&amp;" Curncy","PX_LAST"),"ERROR PLZ FIX")</f>
        <v/>
      </c>
      <c r="H14" s="25">
        <f>IFERROR((E14+F14)/2,IFERROR(G14,"ERROR PLZ FIX"))</f>
        <v/>
      </c>
      <c r="I14" s="26" t="inlineStr"/>
    </row>
    <row r="15">
      <c r="A15" s="6" t="inlineStr">
        <is>
          <t>USOSFRH</t>
        </is>
      </c>
      <c r="B15" s="22" t="inlineStr">
        <is>
          <t>8M</t>
        </is>
      </c>
      <c r="C15" s="23">
        <f>IF(RIGHT(B15,1)="W",$B$3+7*VALUE(LEFT(B15,LEN(B15)-1)),IF(RIGHT(B15,1)="M",EDATE($B$3,VALUE(LEFT(B15,LEN(B15)-1))),EDATE($B$3,12*VALUE(LEFT(B15,LEN(B15)-1)))))</f>
        <v/>
      </c>
      <c r="D15" s="24">
        <f>(C15-$B$3)/365</f>
        <v/>
      </c>
      <c r="E15" s="17">
        <f>IFERROR(BDP(A15&amp;" "&amp;PX_SRC&amp;" Curncy","PX_BID"),"ERROR PLZ FIX")</f>
        <v/>
      </c>
      <c r="F15" s="17">
        <f>IFERROR(BDP(A15&amp;" "&amp;PX_SRC&amp;" Curncy","PX_ASK"),"ERROR PLZ FIX")</f>
        <v/>
      </c>
      <c r="G15" s="17">
        <f>IFERROR(BDP(A15&amp;" "&amp;PX_SRC&amp;" Curncy","PX_LAST"),"ERROR PLZ FIX")</f>
        <v/>
      </c>
      <c r="H15" s="25">
        <f>IFERROR((E15+F15)/2,IFERROR(G15,"ERROR PLZ FIX"))</f>
        <v/>
      </c>
      <c r="I15" s="26" t="inlineStr"/>
    </row>
    <row r="16">
      <c r="A16" s="6" t="inlineStr">
        <is>
          <t>USOSFRI</t>
        </is>
      </c>
      <c r="B16" s="22" t="inlineStr">
        <is>
          <t>9M</t>
        </is>
      </c>
      <c r="C16" s="23">
        <f>IF(RIGHT(B16,1)="W",$B$3+7*VALUE(LEFT(B16,LEN(B16)-1)),IF(RIGHT(B16,1)="M",EDATE($B$3,VALUE(LEFT(B16,LEN(B16)-1))),EDATE($B$3,12*VALUE(LEFT(B16,LEN(B16)-1)))))</f>
        <v/>
      </c>
      <c r="D16" s="24">
        <f>(C16-$B$3)/365</f>
        <v/>
      </c>
      <c r="E16" s="17">
        <f>IFERROR(BDP(A16&amp;" "&amp;PX_SRC&amp;" Curncy","PX_BID"),"ERROR PLZ FIX")</f>
        <v/>
      </c>
      <c r="F16" s="17">
        <f>IFERROR(BDP(A16&amp;" "&amp;PX_SRC&amp;" Curncy","PX_ASK"),"ERROR PLZ FIX")</f>
        <v/>
      </c>
      <c r="G16" s="17">
        <f>IFERROR(BDP(A16&amp;" "&amp;PX_SRC&amp;" Curncy","PX_LAST"),"ERROR PLZ FIX")</f>
        <v/>
      </c>
      <c r="H16" s="25">
        <f>IFERROR((E16+F16)/2,IFERROR(G16,"ERROR PLZ FIX"))</f>
        <v/>
      </c>
      <c r="I16" s="26" t="inlineStr"/>
    </row>
    <row r="17">
      <c r="A17" s="6" t="inlineStr">
        <is>
          <t>USOSFRJ</t>
        </is>
      </c>
      <c r="B17" s="22" t="inlineStr">
        <is>
          <t>10M</t>
        </is>
      </c>
      <c r="C17" s="23">
        <f>IF(RIGHT(B17,1)="W",$B$3+7*VALUE(LEFT(B17,LEN(B17)-1)),IF(RIGHT(B17,1)="M",EDATE($B$3,VALUE(LEFT(B17,LEN(B17)-1))),EDATE($B$3,12*VALUE(LEFT(B17,LEN(B17)-1)))))</f>
        <v/>
      </c>
      <c r="D17" s="24">
        <f>(C17-$B$3)/365</f>
        <v/>
      </c>
      <c r="E17" s="17">
        <f>IFERROR(BDP(A17&amp;" "&amp;PX_SRC&amp;" Curncy","PX_BID"),"ERROR PLZ FIX")</f>
        <v/>
      </c>
      <c r="F17" s="17">
        <f>IFERROR(BDP(A17&amp;" "&amp;PX_SRC&amp;" Curncy","PX_ASK"),"ERROR PLZ FIX")</f>
        <v/>
      </c>
      <c r="G17" s="17">
        <f>IFERROR(BDP(A17&amp;" "&amp;PX_SRC&amp;" Curncy","PX_LAST"),"ERROR PLZ FIX")</f>
        <v/>
      </c>
      <c r="H17" s="25">
        <f>IFERROR((E17+F17)/2,IFERROR(G17,"ERROR PLZ FIX"))</f>
        <v/>
      </c>
      <c r="I17" s="26" t="inlineStr"/>
    </row>
    <row r="18">
      <c r="A18" s="6" t="inlineStr">
        <is>
          <t>USOSFRK</t>
        </is>
      </c>
      <c r="B18" s="22" t="inlineStr">
        <is>
          <t>11M</t>
        </is>
      </c>
      <c r="C18" s="23">
        <f>IF(RIGHT(B18,1)="W",$B$3+7*VALUE(LEFT(B18,LEN(B18)-1)),IF(RIGHT(B18,1)="M",EDATE($B$3,VALUE(LEFT(B18,LEN(B18)-1))),EDATE($B$3,12*VALUE(LEFT(B18,LEN(B18)-1)))))</f>
        <v/>
      </c>
      <c r="D18" s="24">
        <f>(C18-$B$3)/365</f>
        <v/>
      </c>
      <c r="E18" s="17">
        <f>IFERROR(BDP(A18&amp;" "&amp;PX_SRC&amp;" Curncy","PX_BID"),"ERROR PLZ FIX")</f>
        <v/>
      </c>
      <c r="F18" s="17">
        <f>IFERROR(BDP(A18&amp;" "&amp;PX_SRC&amp;" Curncy","PX_ASK"),"ERROR PLZ FIX")</f>
        <v/>
      </c>
      <c r="G18" s="17">
        <f>IFERROR(BDP(A18&amp;" "&amp;PX_SRC&amp;" Curncy","PX_LAST"),"ERROR PLZ FIX")</f>
        <v/>
      </c>
      <c r="H18" s="25">
        <f>IFERROR((E18+F18)/2,IFERROR(G18,"ERROR PLZ FIX"))</f>
        <v/>
      </c>
      <c r="I18" s="26" t="inlineStr"/>
    </row>
    <row r="19">
      <c r="A19" s="6" t="inlineStr">
        <is>
          <t>USOSFR1</t>
        </is>
      </c>
      <c r="B19" s="22" t="inlineStr">
        <is>
          <t>1Y</t>
        </is>
      </c>
      <c r="C19" s="23">
        <f>IF(RIGHT(B19,1)="W",$B$3+7*VALUE(LEFT(B19,LEN(B19)-1)),IF(RIGHT(B19,1)="M",EDATE($B$3,VALUE(LEFT(B19,LEN(B19)-1))),EDATE($B$3,12*VALUE(LEFT(B19,LEN(B19)-1)))))</f>
        <v/>
      </c>
      <c r="D19" s="24">
        <f>(C19-$B$3)/365</f>
        <v/>
      </c>
      <c r="E19" s="17">
        <f>IFERROR(BDP(A19&amp;" "&amp;PX_SRC&amp;" Curncy","PX_BID"),"ERROR PLZ FIX")</f>
        <v/>
      </c>
      <c r="F19" s="17">
        <f>IFERROR(BDP(A19&amp;" "&amp;PX_SRC&amp;" Curncy","PX_ASK"),"ERROR PLZ FIX")</f>
        <v/>
      </c>
      <c r="G19" s="17">
        <f>IFERROR(BDP(A19&amp;" "&amp;PX_SRC&amp;" Curncy","PX_LAST"),"ERROR PLZ FIX")</f>
        <v/>
      </c>
      <c r="H19" s="25">
        <f>IFERROR((E19+F19)/2,IFERROR(G19,"ERROR PLZ FIX"))</f>
        <v/>
      </c>
      <c r="I19" s="26" t="inlineStr"/>
    </row>
    <row r="20">
      <c r="A20" s="6" t="inlineStr">
        <is>
          <t>USOSFR1F</t>
        </is>
      </c>
      <c r="B20" s="22" t="inlineStr">
        <is>
          <t>18M</t>
        </is>
      </c>
      <c r="C20" s="23">
        <f>IF(RIGHT(B20,1)="W",$B$3+7*VALUE(LEFT(B20,LEN(B20)-1)),IF(RIGHT(B20,1)="M",EDATE($B$3,VALUE(LEFT(B20,LEN(B20)-1))),EDATE($B$3,12*VALUE(LEFT(B20,LEN(B20)-1)))))</f>
        <v/>
      </c>
      <c r="D20" s="24">
        <f>(C20-$B$3)/365</f>
        <v/>
      </c>
      <c r="E20" s="17">
        <f>IFERROR(BDP(A20&amp;" "&amp;PX_SRC&amp;" Curncy","PX_BID"),"ERROR PLZ FIX")</f>
        <v/>
      </c>
      <c r="F20" s="17">
        <f>IFERROR(BDP(A20&amp;" "&amp;PX_SRC&amp;" Curncy","PX_ASK"),"ERROR PLZ FIX")</f>
        <v/>
      </c>
      <c r="G20" s="17">
        <f>IFERROR(BDP(A20&amp;" "&amp;PX_SRC&amp;" Curncy","PX_LAST"),"ERROR PLZ FIX")</f>
        <v/>
      </c>
      <c r="H20" s="25">
        <f>IFERROR((E20+F20)/2,IFERROR(G20,"ERROR PLZ FIX"))</f>
        <v/>
      </c>
      <c r="I20" s="26" t="inlineStr"/>
    </row>
    <row r="21">
      <c r="A21" s="6" t="inlineStr">
        <is>
          <t>USOSFR2</t>
        </is>
      </c>
      <c r="B21" s="22" t="inlineStr">
        <is>
          <t>2Y</t>
        </is>
      </c>
      <c r="C21" s="23">
        <f>IF(RIGHT(B21,1)="W",$B$3+7*VALUE(LEFT(B21,LEN(B21)-1)),IF(RIGHT(B21,1)="M",EDATE($B$3,VALUE(LEFT(B21,LEN(B21)-1))),EDATE($B$3,12*VALUE(LEFT(B21,LEN(B21)-1)))))</f>
        <v/>
      </c>
      <c r="D21" s="24">
        <f>(C21-$B$3)/365</f>
        <v/>
      </c>
      <c r="E21" s="17">
        <f>IFERROR(BDP(A21&amp;" "&amp;PX_SRC&amp;" Curncy","PX_BID"),"ERROR PLZ FIX")</f>
        <v/>
      </c>
      <c r="F21" s="17">
        <f>IFERROR(BDP(A21&amp;" "&amp;PX_SRC&amp;" Curncy","PX_ASK"),"ERROR PLZ FIX")</f>
        <v/>
      </c>
      <c r="G21" s="17">
        <f>IFERROR(BDP(A21&amp;" "&amp;PX_SRC&amp;" Curncy","PX_LAST"),"ERROR PLZ FIX")</f>
        <v/>
      </c>
      <c r="H21" s="25">
        <f>IFERROR((E21+F21)/2,IFERROR(G21,"ERROR PLZ FIX"))</f>
        <v/>
      </c>
      <c r="I21" s="26" t="inlineStr"/>
    </row>
    <row r="22">
      <c r="A22" s="6" t="inlineStr">
        <is>
          <t>USOSFR3</t>
        </is>
      </c>
      <c r="B22" s="22" t="inlineStr">
        <is>
          <t>3Y</t>
        </is>
      </c>
      <c r="C22" s="23">
        <f>IF(RIGHT(B22,1)="W",$B$3+7*VALUE(LEFT(B22,LEN(B22)-1)),IF(RIGHT(B22,1)="M",EDATE($B$3,VALUE(LEFT(B22,LEN(B22)-1))),EDATE($B$3,12*VALUE(LEFT(B22,LEN(B22)-1)))))</f>
        <v/>
      </c>
      <c r="D22" s="24">
        <f>(C22-$B$3)/365</f>
        <v/>
      </c>
      <c r="E22" s="17">
        <f>IFERROR(BDP(A22&amp;" "&amp;PX_SRC&amp;" Curncy","PX_BID"),"ERROR PLZ FIX")</f>
        <v/>
      </c>
      <c r="F22" s="17">
        <f>IFERROR(BDP(A22&amp;" "&amp;PX_SRC&amp;" Curncy","PX_ASK"),"ERROR PLZ FIX")</f>
        <v/>
      </c>
      <c r="G22" s="17">
        <f>IFERROR(BDP(A22&amp;" "&amp;PX_SRC&amp;" Curncy","PX_LAST"),"ERROR PLZ FIX")</f>
        <v/>
      </c>
      <c r="H22" s="25">
        <f>IFERROR((E22+F22)/2,IFERROR(G22,"ERROR PLZ FIX"))</f>
        <v/>
      </c>
      <c r="I22" s="26" t="inlineStr"/>
    </row>
    <row r="23">
      <c r="A23" s="6" t="inlineStr">
        <is>
          <t>USOSFR4</t>
        </is>
      </c>
      <c r="B23" s="22" t="inlineStr">
        <is>
          <t>4Y</t>
        </is>
      </c>
      <c r="C23" s="23">
        <f>IF(RIGHT(B23,1)="W",$B$3+7*VALUE(LEFT(B23,LEN(B23)-1)),IF(RIGHT(B23,1)="M",EDATE($B$3,VALUE(LEFT(B23,LEN(B23)-1))),EDATE($B$3,12*VALUE(LEFT(B23,LEN(B23)-1)))))</f>
        <v/>
      </c>
      <c r="D23" s="24">
        <f>(C23-$B$3)/365</f>
        <v/>
      </c>
      <c r="E23" s="17">
        <f>IFERROR(BDP(A23&amp;" "&amp;PX_SRC&amp;" Curncy","PX_BID"),"ERROR PLZ FIX")</f>
        <v/>
      </c>
      <c r="F23" s="17">
        <f>IFERROR(BDP(A23&amp;" "&amp;PX_SRC&amp;" Curncy","PX_ASK"),"ERROR PLZ FIX")</f>
        <v/>
      </c>
      <c r="G23" s="17">
        <f>IFERROR(BDP(A23&amp;" "&amp;PX_SRC&amp;" Curncy","PX_LAST"),"ERROR PLZ FIX")</f>
        <v/>
      </c>
      <c r="H23" s="25">
        <f>IFERROR((E23+F23)/2,IFERROR(G23,"ERROR PLZ FIX"))</f>
        <v/>
      </c>
      <c r="I23" s="26" t="inlineStr"/>
    </row>
    <row r="24">
      <c r="A24" s="6" t="inlineStr">
        <is>
          <t>USOSFR5</t>
        </is>
      </c>
      <c r="B24" s="22" t="inlineStr">
        <is>
          <t>5Y</t>
        </is>
      </c>
      <c r="C24" s="23">
        <f>IF(RIGHT(B24,1)="W",$B$3+7*VALUE(LEFT(B24,LEN(B24)-1)),IF(RIGHT(B24,1)="M",EDATE($B$3,VALUE(LEFT(B24,LEN(B24)-1))),EDATE($B$3,12*VALUE(LEFT(B24,LEN(B24)-1)))))</f>
        <v/>
      </c>
      <c r="D24" s="24">
        <f>(C24-$B$3)/365</f>
        <v/>
      </c>
      <c r="E24" s="17">
        <f>IFERROR(BDP(A24&amp;" "&amp;PX_SRC&amp;" Curncy","PX_BID"),"ERROR PLZ FIX")</f>
        <v/>
      </c>
      <c r="F24" s="17">
        <f>IFERROR(BDP(A24&amp;" "&amp;PX_SRC&amp;" Curncy","PX_ASK"),"ERROR PLZ FIX")</f>
        <v/>
      </c>
      <c r="G24" s="17">
        <f>IFERROR(BDP(A24&amp;" "&amp;PX_SRC&amp;" Curncy","PX_LAST"),"ERROR PLZ FIX")</f>
        <v/>
      </c>
      <c r="H24" s="25">
        <f>IFERROR((E24+F24)/2,IFERROR(G24,"ERROR PLZ FIX"))</f>
        <v/>
      </c>
      <c r="I24" s="26" t="inlineStr">
        <is>
          <t>Y</t>
        </is>
      </c>
    </row>
    <row r="25">
      <c r="A25" s="6" t="inlineStr">
        <is>
          <t>USOSFR6</t>
        </is>
      </c>
      <c r="B25" s="22" t="inlineStr">
        <is>
          <t>6Y</t>
        </is>
      </c>
      <c r="C25" s="23">
        <f>IF(RIGHT(B25,1)="W",$B$3+7*VALUE(LEFT(B25,LEN(B25)-1)),IF(RIGHT(B25,1)="M",EDATE($B$3,VALUE(LEFT(B25,LEN(B25)-1))),EDATE($B$3,12*VALUE(LEFT(B25,LEN(B25)-1)))))</f>
        <v/>
      </c>
      <c r="D25" s="24">
        <f>(C25-$B$3)/365</f>
        <v/>
      </c>
      <c r="E25" s="17">
        <f>IFERROR(BDP(A25&amp;" "&amp;PX_SRC&amp;" Curncy","PX_BID"),"ERROR PLZ FIX")</f>
        <v/>
      </c>
      <c r="F25" s="17">
        <f>IFERROR(BDP(A25&amp;" "&amp;PX_SRC&amp;" Curncy","PX_ASK"),"ERROR PLZ FIX")</f>
        <v/>
      </c>
      <c r="G25" s="17">
        <f>IFERROR(BDP(A25&amp;" "&amp;PX_SRC&amp;" Curncy","PX_LAST"),"ERROR PLZ FIX")</f>
        <v/>
      </c>
      <c r="H25" s="25">
        <f>IFERROR((E25+F25)/2,IFERROR(G25,"ERROR PLZ FIX"))</f>
        <v/>
      </c>
      <c r="I25" s="26" t="inlineStr">
        <is>
          <t>Y</t>
        </is>
      </c>
    </row>
    <row r="26">
      <c r="A26" s="6" t="inlineStr">
        <is>
          <t>USOSFR7</t>
        </is>
      </c>
      <c r="B26" s="22" t="inlineStr">
        <is>
          <t>7Y</t>
        </is>
      </c>
      <c r="C26" s="23">
        <f>IF(RIGHT(B26,1)="W",$B$3+7*VALUE(LEFT(B26,LEN(B26)-1)),IF(RIGHT(B26,1)="M",EDATE($B$3,VALUE(LEFT(B26,LEN(B26)-1))),EDATE($B$3,12*VALUE(LEFT(B26,LEN(B26)-1)))))</f>
        <v/>
      </c>
      <c r="D26" s="24">
        <f>(C26-$B$3)/365</f>
        <v/>
      </c>
      <c r="E26" s="17">
        <f>IFERROR(BDP(A26&amp;" "&amp;PX_SRC&amp;" Curncy","PX_BID"),"ERROR PLZ FIX")</f>
        <v/>
      </c>
      <c r="F26" s="17">
        <f>IFERROR(BDP(A26&amp;" "&amp;PX_SRC&amp;" Curncy","PX_ASK"),"ERROR PLZ FIX")</f>
        <v/>
      </c>
      <c r="G26" s="17">
        <f>IFERROR(BDP(A26&amp;" "&amp;PX_SRC&amp;" Curncy","PX_LAST"),"ERROR PLZ FIX")</f>
        <v/>
      </c>
      <c r="H26" s="25">
        <f>IFERROR((E26+F26)/2,IFERROR(G26,"ERROR PLZ FIX"))</f>
        <v/>
      </c>
      <c r="I26" s="26" t="inlineStr">
        <is>
          <t>Y</t>
        </is>
      </c>
    </row>
    <row r="27">
      <c r="A27" s="6" t="inlineStr">
        <is>
          <t>USOSFR8</t>
        </is>
      </c>
      <c r="B27" s="22" t="inlineStr">
        <is>
          <t>8Y</t>
        </is>
      </c>
      <c r="C27" s="23">
        <f>IF(RIGHT(B27,1)="W",$B$3+7*VALUE(LEFT(B27,LEN(B27)-1)),IF(RIGHT(B27,1)="M",EDATE($B$3,VALUE(LEFT(B27,LEN(B27)-1))),EDATE($B$3,12*VALUE(LEFT(B27,LEN(B27)-1)))))</f>
        <v/>
      </c>
      <c r="D27" s="24">
        <f>(C27-$B$3)/365</f>
        <v/>
      </c>
      <c r="E27" s="17">
        <f>IFERROR(BDP(A27&amp;" "&amp;PX_SRC&amp;" Curncy","PX_BID"),"ERROR PLZ FIX")</f>
        <v/>
      </c>
      <c r="F27" s="17">
        <f>IFERROR(BDP(A27&amp;" "&amp;PX_SRC&amp;" Curncy","PX_ASK"),"ERROR PLZ FIX")</f>
        <v/>
      </c>
      <c r="G27" s="17">
        <f>IFERROR(BDP(A27&amp;" "&amp;PX_SRC&amp;" Curncy","PX_LAST"),"ERROR PLZ FIX")</f>
        <v/>
      </c>
      <c r="H27" s="25">
        <f>IFERROR((E27+F27)/2,IFERROR(G27,"ERROR PLZ FIX"))</f>
        <v/>
      </c>
      <c r="I27" s="26" t="inlineStr">
        <is>
          <t>Y</t>
        </is>
      </c>
    </row>
    <row r="28">
      <c r="A28" s="6" t="inlineStr">
        <is>
          <t>USOSFR9</t>
        </is>
      </c>
      <c r="B28" s="22" t="inlineStr">
        <is>
          <t>9Y</t>
        </is>
      </c>
      <c r="C28" s="23">
        <f>IF(RIGHT(B28,1)="W",$B$3+7*VALUE(LEFT(B28,LEN(B28)-1)),IF(RIGHT(B28,1)="M",EDATE($B$3,VALUE(LEFT(B28,LEN(B28)-1))),EDATE($B$3,12*VALUE(LEFT(B28,LEN(B28)-1)))))</f>
        <v/>
      </c>
      <c r="D28" s="24">
        <f>(C28-$B$3)/365</f>
        <v/>
      </c>
      <c r="E28" s="17">
        <f>IFERROR(BDP(A28&amp;" "&amp;PX_SRC&amp;" Curncy","PX_BID"),"ERROR PLZ FIX")</f>
        <v/>
      </c>
      <c r="F28" s="17">
        <f>IFERROR(BDP(A28&amp;" "&amp;PX_SRC&amp;" Curncy","PX_ASK"),"ERROR PLZ FIX")</f>
        <v/>
      </c>
      <c r="G28" s="17">
        <f>IFERROR(BDP(A28&amp;" "&amp;PX_SRC&amp;" Curncy","PX_LAST"),"ERROR PLZ FIX")</f>
        <v/>
      </c>
      <c r="H28" s="25">
        <f>IFERROR((E28+F28)/2,IFERROR(G28,"ERROR PLZ FIX"))</f>
        <v/>
      </c>
      <c r="I28" s="26" t="inlineStr">
        <is>
          <t>Y</t>
        </is>
      </c>
    </row>
    <row r="29">
      <c r="A29" s="6" t="inlineStr">
        <is>
          <t>USOSFR10</t>
        </is>
      </c>
      <c r="B29" s="22" t="inlineStr">
        <is>
          <t>10Y</t>
        </is>
      </c>
      <c r="C29" s="23">
        <f>IF(RIGHT(B29,1)="W",$B$3+7*VALUE(LEFT(B29,LEN(B29)-1)),IF(RIGHT(B29,1)="M",EDATE($B$3,VALUE(LEFT(B29,LEN(B29)-1))),EDATE($B$3,12*VALUE(LEFT(B29,LEN(B29)-1)))))</f>
        <v/>
      </c>
      <c r="D29" s="24">
        <f>(C29-$B$3)/365</f>
        <v/>
      </c>
      <c r="E29" s="17">
        <f>IFERROR(BDP(A29&amp;" "&amp;PX_SRC&amp;" Curncy","PX_BID"),"ERROR PLZ FIX")</f>
        <v/>
      </c>
      <c r="F29" s="17">
        <f>IFERROR(BDP(A29&amp;" "&amp;PX_SRC&amp;" Curncy","PX_ASK"),"ERROR PLZ FIX")</f>
        <v/>
      </c>
      <c r="G29" s="17">
        <f>IFERROR(BDP(A29&amp;" "&amp;PX_SRC&amp;" Curncy","PX_LAST"),"ERROR PLZ FIX")</f>
        <v/>
      </c>
      <c r="H29" s="25">
        <f>IFERROR((E29+F29)/2,IFERROR(G29,"ERROR PLZ FIX"))</f>
        <v/>
      </c>
      <c r="I29" s="26" t="inlineStr">
        <is>
          <t>Y</t>
        </is>
      </c>
    </row>
    <row r="30">
      <c r="A30" s="6" t="inlineStr">
        <is>
          <t>USOSFR12</t>
        </is>
      </c>
      <c r="B30" s="22" t="inlineStr">
        <is>
          <t>12Y</t>
        </is>
      </c>
      <c r="C30" s="23">
        <f>IF(RIGHT(B30,1)="W",$B$3+7*VALUE(LEFT(B30,LEN(B30)-1)),IF(RIGHT(B30,1)="M",EDATE($B$3,VALUE(LEFT(B30,LEN(B30)-1))),EDATE($B$3,12*VALUE(LEFT(B30,LEN(B30)-1)))))</f>
        <v/>
      </c>
      <c r="D30" s="24">
        <f>(C30-$B$3)/365</f>
        <v/>
      </c>
      <c r="E30" s="17">
        <f>IFERROR(BDP(A30&amp;" "&amp;PX_SRC&amp;" Curncy","PX_BID"),"ERROR PLZ FIX")</f>
        <v/>
      </c>
      <c r="F30" s="17">
        <f>IFERROR(BDP(A30&amp;" "&amp;PX_SRC&amp;" Curncy","PX_ASK"),"ERROR PLZ FIX")</f>
        <v/>
      </c>
      <c r="G30" s="17">
        <f>IFERROR(BDP(A30&amp;" "&amp;PX_SRC&amp;" Curncy","PX_LAST"),"ERROR PLZ FIX")</f>
        <v/>
      </c>
      <c r="H30" s="25">
        <f>IFERROR((E30+F30)/2,IFERROR(G30,"ERROR PLZ FIX"))</f>
        <v/>
      </c>
      <c r="I30" s="26" t="inlineStr">
        <is>
          <t>Y</t>
        </is>
      </c>
    </row>
    <row r="31">
      <c r="A31" s="6" t="inlineStr">
        <is>
          <t>USOSFR15</t>
        </is>
      </c>
      <c r="B31" s="22" t="inlineStr">
        <is>
          <t>15Y</t>
        </is>
      </c>
      <c r="C31" s="23">
        <f>IF(RIGHT(B31,1)="W",$B$3+7*VALUE(LEFT(B31,LEN(B31)-1)),IF(RIGHT(B31,1)="M",EDATE($B$3,VALUE(LEFT(B31,LEN(B31)-1))),EDATE($B$3,12*VALUE(LEFT(B31,LEN(B31)-1)))))</f>
        <v/>
      </c>
      <c r="D31" s="24">
        <f>(C31-$B$3)/365</f>
        <v/>
      </c>
      <c r="E31" s="17">
        <f>IFERROR(BDP(A31&amp;" "&amp;PX_SRC&amp;" Curncy","PX_BID"),"ERROR PLZ FIX")</f>
        <v/>
      </c>
      <c r="F31" s="17">
        <f>IFERROR(BDP(A31&amp;" "&amp;PX_SRC&amp;" Curncy","PX_ASK"),"ERROR PLZ FIX")</f>
        <v/>
      </c>
      <c r="G31" s="17">
        <f>IFERROR(BDP(A31&amp;" "&amp;PX_SRC&amp;" Curncy","PX_LAST"),"ERROR PLZ FIX")</f>
        <v/>
      </c>
      <c r="H31" s="25">
        <f>IFERROR((E31+F31)/2,IFERROR(G31,"ERROR PLZ FIX"))</f>
        <v/>
      </c>
      <c r="I31" s="26" t="inlineStr">
        <is>
          <t>Y</t>
        </is>
      </c>
    </row>
    <row r="32">
      <c r="A32" s="6" t="inlineStr">
        <is>
          <t>USOSFR20</t>
        </is>
      </c>
      <c r="B32" s="22" t="inlineStr">
        <is>
          <t>20Y</t>
        </is>
      </c>
      <c r="C32" s="23">
        <f>IF(RIGHT(B32,1)="W",$B$3+7*VALUE(LEFT(B32,LEN(B32)-1)),IF(RIGHT(B32,1)="M",EDATE($B$3,VALUE(LEFT(B32,LEN(B32)-1))),EDATE($B$3,12*VALUE(LEFT(B32,LEN(B32)-1)))))</f>
        <v/>
      </c>
      <c r="D32" s="24">
        <f>(C32-$B$3)/365</f>
        <v/>
      </c>
      <c r="E32" s="17">
        <f>IFERROR(BDP(A32&amp;" "&amp;PX_SRC&amp;" Curncy","PX_BID"),"ERROR PLZ FIX")</f>
        <v/>
      </c>
      <c r="F32" s="17">
        <f>IFERROR(BDP(A32&amp;" "&amp;PX_SRC&amp;" Curncy","PX_ASK"),"ERROR PLZ FIX")</f>
        <v/>
      </c>
      <c r="G32" s="17">
        <f>IFERROR(BDP(A32&amp;" "&amp;PX_SRC&amp;" Curncy","PX_LAST"),"ERROR PLZ FIX")</f>
        <v/>
      </c>
      <c r="H32" s="25">
        <f>IFERROR((E32+F32)/2,IFERROR(G32,"ERROR PLZ FIX"))</f>
        <v/>
      </c>
      <c r="I32" s="26" t="inlineStr">
        <is>
          <t>Y</t>
        </is>
      </c>
    </row>
    <row r="33">
      <c r="A33" s="6" t="inlineStr">
        <is>
          <t>USOSFR25</t>
        </is>
      </c>
      <c r="B33" s="22" t="inlineStr">
        <is>
          <t>25Y</t>
        </is>
      </c>
      <c r="C33" s="23">
        <f>IF(RIGHT(B33,1)="W",$B$3+7*VALUE(LEFT(B33,LEN(B33)-1)),IF(RIGHT(B33,1)="M",EDATE($B$3,VALUE(LEFT(B33,LEN(B33)-1))),EDATE($B$3,12*VALUE(LEFT(B33,LEN(B33)-1)))))</f>
        <v/>
      </c>
      <c r="D33" s="24">
        <f>(C33-$B$3)/365</f>
        <v/>
      </c>
      <c r="E33" s="17">
        <f>IFERROR(BDP(A33&amp;" "&amp;PX_SRC&amp;" Curncy","PX_BID"),"ERROR PLZ FIX")</f>
        <v/>
      </c>
      <c r="F33" s="17">
        <f>IFERROR(BDP(A33&amp;" "&amp;PX_SRC&amp;" Curncy","PX_ASK"),"ERROR PLZ FIX")</f>
        <v/>
      </c>
      <c r="G33" s="17">
        <f>IFERROR(BDP(A33&amp;" "&amp;PX_SRC&amp;" Curncy","PX_LAST"),"ERROR PLZ FIX")</f>
        <v/>
      </c>
      <c r="H33" s="25">
        <f>IFERROR((E33+F33)/2,IFERROR(G33,"ERROR PLZ FIX"))</f>
        <v/>
      </c>
      <c r="I33" s="26" t="inlineStr">
        <is>
          <t>Y</t>
        </is>
      </c>
    </row>
    <row r="34">
      <c r="A34" s="6" t="inlineStr">
        <is>
          <t>USOSFR30</t>
        </is>
      </c>
      <c r="B34" s="22" t="inlineStr">
        <is>
          <t>30Y</t>
        </is>
      </c>
      <c r="C34" s="23">
        <f>IF(RIGHT(B34,1)="W",$B$3+7*VALUE(LEFT(B34,LEN(B34)-1)),IF(RIGHT(B34,1)="M",EDATE($B$3,VALUE(LEFT(B34,LEN(B34)-1))),EDATE($B$3,12*VALUE(LEFT(B34,LEN(B34)-1)))))</f>
        <v/>
      </c>
      <c r="D34" s="24">
        <f>(C34-$B$3)/365</f>
        <v/>
      </c>
      <c r="E34" s="17">
        <f>IFERROR(BDP(A34&amp;" "&amp;PX_SRC&amp;" Curncy","PX_BID"),"ERROR PLZ FIX")</f>
        <v/>
      </c>
      <c r="F34" s="17">
        <f>IFERROR(BDP(A34&amp;" "&amp;PX_SRC&amp;" Curncy","PX_ASK"),"ERROR PLZ FIX")</f>
        <v/>
      </c>
      <c r="G34" s="17">
        <f>IFERROR(BDP(A34&amp;" "&amp;PX_SRC&amp;" Curncy","PX_LAST"),"ERROR PLZ FIX")</f>
        <v/>
      </c>
      <c r="H34" s="25">
        <f>IFERROR((E34+F34)/2,IFERROR(G34,"ERROR PLZ FIX"))</f>
        <v/>
      </c>
      <c r="I34" s="26" t="inlineStr">
        <is>
          <t>Y</t>
        </is>
      </c>
    </row>
    <row r="35">
      <c r="A35" s="6" t="inlineStr">
        <is>
          <t>USOSFR40</t>
        </is>
      </c>
      <c r="B35" s="22" t="inlineStr">
        <is>
          <t>40Y</t>
        </is>
      </c>
      <c r="C35" s="23">
        <f>IF(RIGHT(B35,1)="W",$B$3+7*VALUE(LEFT(B35,LEN(B35)-1)),IF(RIGHT(B35,1)="M",EDATE($B$3,VALUE(LEFT(B35,LEN(B35)-1))),EDATE($B$3,12*VALUE(LEFT(B35,LEN(B35)-1)))))</f>
        <v/>
      </c>
      <c r="D35" s="24">
        <f>(C35-$B$3)/365</f>
        <v/>
      </c>
      <c r="E35" s="17">
        <f>IFERROR(BDP(A35&amp;" "&amp;PX_SRC&amp;" Curncy","PX_BID"),"ERROR PLZ FIX")</f>
        <v/>
      </c>
      <c r="F35" s="17">
        <f>IFERROR(BDP(A35&amp;" "&amp;PX_SRC&amp;" Curncy","PX_ASK"),"ERROR PLZ FIX")</f>
        <v/>
      </c>
      <c r="G35" s="17">
        <f>IFERROR(BDP(A35&amp;" "&amp;PX_SRC&amp;" Curncy","PX_LAST"),"ERROR PLZ FIX")</f>
        <v/>
      </c>
      <c r="H35" s="25">
        <f>IFERROR((E35+F35)/2,IFERROR(G35,"ERROR PLZ FIX"))</f>
        <v/>
      </c>
      <c r="I35" s="26" t="inlineStr">
        <is>
          <t>Y</t>
        </is>
      </c>
    </row>
    <row r="36">
      <c r="A36" s="6" t="inlineStr">
        <is>
          <t>USOSFR50</t>
        </is>
      </c>
      <c r="B36" s="22" t="inlineStr">
        <is>
          <t>50Y</t>
        </is>
      </c>
      <c r="C36" s="23">
        <f>IF(RIGHT(B36,1)="W",$B$3+7*VALUE(LEFT(B36,LEN(B36)-1)),IF(RIGHT(B36,1)="M",EDATE($B$3,VALUE(LEFT(B36,LEN(B36)-1))),EDATE($B$3,12*VALUE(LEFT(B36,LEN(B36)-1)))))</f>
        <v/>
      </c>
      <c r="D36" s="24">
        <f>(C36-$B$3)/365</f>
        <v/>
      </c>
      <c r="E36" s="17">
        <f>IFERROR(BDP(A36&amp;" "&amp;PX_SRC&amp;" Curncy","PX_BID"),"ERROR PLZ FIX")</f>
        <v/>
      </c>
      <c r="F36" s="17">
        <f>IFERROR(BDP(A36&amp;" "&amp;PX_SRC&amp;" Curncy","PX_ASK"),"ERROR PLZ FIX")</f>
        <v/>
      </c>
      <c r="G36" s="17">
        <f>IFERROR(BDP(A36&amp;" "&amp;PX_SRC&amp;" Curncy","PX_LAST"),"ERROR PLZ FIX")</f>
        <v/>
      </c>
      <c r="H36" s="25">
        <f>IFERROR((E36+F36)/2,IFERROR(G36,"ERROR PLZ FIX"))</f>
        <v/>
      </c>
      <c r="I36" s="26" t="inlineStr">
        <is>
          <t>Y</t>
        </is>
      </c>
    </row>
    <row r="38" ht="30" customHeight="1">
      <c r="A38" s="9" t="inlineStr">
        <is>
          <t>Maturity date and Tenor (yrs) are live formulas parsed from the tenor label (e.g. "18M" → EDATE(spot,18)) — change the tenor or the valuation date and they update. "In bootstrap set" = Y marks the recommended restricted calibration set (front 1W,1M,3M,6M; long end 5Y–50Y); the 3M–5Y gap is filled by SR3 futures on the SOFR_Futures tab.</t>
        </is>
      </c>
    </row>
    <row r="39"/>
  </sheetData>
  <mergeCells count="2">
    <mergeCell ref="A38:I39"/>
    <mergeCell ref="C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5" customWidth="1" min="10" max="10"/>
    <col width="12" customWidth="1" min="11" max="11"/>
    <col width="16" customWidth="1" min="12" max="12"/>
    <col width="14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11" customWidth="1" min="19" max="19"/>
    <col width="12" customWidth="1" min="20" max="20"/>
    <col width="11" customWidth="1" min="21" max="21"/>
    <col width="13" customWidth="1" min="22" max="22"/>
    <col width="13" customWidth="1" min="23" max="23"/>
    <col width="12" customWidth="1" min="25" max="25"/>
    <col width="13" customWidth="1" min="26" max="26"/>
  </cols>
  <sheetData>
    <row r="1">
      <c r="A1" s="1" t="inlineStr">
        <is>
          <t>Bootstrap</t>
        </is>
      </c>
    </row>
    <row r="2">
      <c r="A2" s="2" t="inlineStr">
        <is>
          <t>Three-segment USD curve (Zhou 2002): short OIS (≤1Y) · SR3 futures (1Y–5Y) · OIS swaps (5Y–50Y)</t>
        </is>
      </c>
    </row>
    <row r="4">
      <c r="A4" s="13" t="inlineStr">
        <is>
          <t>Spot (T+2):</t>
        </is>
      </c>
      <c r="B4" s="18">
        <f>WORKDAY(VAL_DATE,2)</f>
        <v/>
      </c>
    </row>
    <row r="5" ht="58" customHeight="1">
      <c r="A5" s="9" t="inlineStr">
        <is>
          <t>SHORT (o/n–1Y): single-payment SOFR OIS, DF = 1/(1+S·tau0).  MIDDLE (1Y–5Y): the DF at 18M/2Y/3Y/4Y/5Y is interpolated off the SR3 futures chain (helper block cols O–W), which discounts each contract's forward rate forward from the OIS 1Y DF — so 18M/2Y…5Y here are driven by FUTURES, not the OIS pars (col E is shown only for reference). If the SR3 chain is unavailable the middle DFs FALL BACK to the OIS bootstrap so the curve never breaks — col N shows which is live per pillar. LONG (5Y–50Y): annual SOFR OIS swaps, DF = (1−S·A_prior)/(1+S·taucoupon), annuity (col I) built from the short + middle DFs. Cutovers at 1Y and 5Y mean nothing overlaps. Paste S490 zeros into column L for the Δz check.</t>
        </is>
      </c>
      <c r="O5" s="13" t="inlineStr">
        <is>
          <t>sigma (bp/yr):</t>
        </is>
      </c>
      <c r="P5" s="27" t="n">
        <v>100</v>
      </c>
      <c r="Q5" s="16" t="inlineStr">
        <is>
          <t>futures convexity CA = 0.5·sigma^2·t1·t2 (col T, bp)</t>
        </is>
      </c>
    </row>
    <row r="6">
      <c r="O6" s="4" t="inlineStr">
        <is>
          <t>MIDDLE SEGMENT — SR3 futures chain (1Y→5Y)</t>
        </is>
      </c>
      <c r="Y6" s="4" t="inlineStr">
        <is>
          <t>Mid interp grid</t>
        </is>
      </c>
    </row>
    <row r="7">
      <c r="A7" s="20" t="inlineStr">
        <is>
          <t>Tenor</t>
        </is>
      </c>
      <c r="B7" s="20" t="inlineStr">
        <is>
          <t>Maturity date</t>
        </is>
      </c>
      <c r="C7" s="20" t="inlineStr">
        <is>
          <t>T (yrs)</t>
        </is>
      </c>
      <c r="D7" s="20" t="inlineStr">
        <is>
          <t>tau0 spot→mat</t>
        </is>
      </c>
      <c r="E7" s="20" t="inlineStr">
        <is>
          <t>Par rate S (%)</t>
        </is>
      </c>
      <c r="F7" s="20" t="inlineStr">
        <is>
          <t>tau coupon</t>
        </is>
      </c>
      <c r="G7" s="20" t="inlineStr">
        <is>
          <t>Annuity A(prior)</t>
        </is>
      </c>
      <c r="H7" s="20" t="inlineStr">
        <is>
          <t>Discount factor</t>
        </is>
      </c>
      <c r="I7" s="20" t="inlineStr">
        <is>
          <t>Ann.add tau·DF</t>
        </is>
      </c>
      <c r="J7" s="20" t="inlineStr">
        <is>
          <t>Zero rate (%) cont.</t>
        </is>
      </c>
      <c r="K7" s="20" t="inlineStr">
        <is>
          <t>Fwd rate (%)</t>
        </is>
      </c>
      <c r="L7" s="20" t="inlineStr">
        <is>
          <t>S490 zero (%) [paste]</t>
        </is>
      </c>
      <c r="M7" s="20" t="inlineStr">
        <is>
          <t>Δ vs S490 (bp)</t>
        </is>
      </c>
      <c r="N7" s="20" t="inlineStr">
        <is>
          <t>DF source</t>
        </is>
      </c>
      <c r="O7" s="20" t="inlineStr">
        <is>
          <t>Contract</t>
        </is>
      </c>
      <c r="P7" s="20" t="inlineStr">
        <is>
          <t>Fut start</t>
        </is>
      </c>
      <c r="Q7" s="20" t="inlineStr">
        <is>
          <t>Fut end</t>
        </is>
      </c>
      <c r="R7" s="20" t="inlineStr">
        <is>
          <t>tau eff (post-1Y)</t>
        </is>
      </c>
      <c r="S7" s="20" t="inlineStr">
        <is>
          <t>Implied %</t>
        </is>
      </c>
      <c r="T7" s="20" t="inlineStr">
        <is>
          <t>Convexity bp</t>
        </is>
      </c>
      <c r="U7" s="20" t="inlineStr">
        <is>
          <t>Fwd</t>
        </is>
      </c>
      <c r="V7" s="20" t="inlineStr">
        <is>
          <t>DF before</t>
        </is>
      </c>
      <c r="W7" s="20" t="inlineStr">
        <is>
          <t>DF after</t>
        </is>
      </c>
      <c r="Y7" s="20" t="inlineStr">
        <is>
          <t>Date</t>
        </is>
      </c>
      <c r="Z7" s="20" t="inlineStr">
        <is>
          <t>DF</t>
        </is>
      </c>
    </row>
    <row r="8">
      <c r="A8" s="6" t="inlineStr">
        <is>
          <t>1W</t>
        </is>
      </c>
      <c r="B8" s="18">
        <f>$B$4+7</f>
        <v/>
      </c>
      <c r="C8" s="28">
        <f>(B8-$B$4)/365</f>
        <v/>
      </c>
      <c r="D8" s="17">
        <f>(B8-$B$4)/360</f>
        <v/>
      </c>
      <c r="E8" s="17">
        <f>'SOFR_OIS_Quotes'!$H5</f>
        <v/>
      </c>
      <c r="F8" s="6" t="n"/>
      <c r="G8" s="17" t="n">
        <v>0</v>
      </c>
      <c r="H8" s="29">
        <f>1/(1+(E8/100)*D8)</f>
        <v/>
      </c>
      <c r="I8" s="17" t="n">
        <v>0</v>
      </c>
      <c r="J8" s="17">
        <f>-LN(H8)/C8*100</f>
        <v/>
      </c>
      <c r="K8" s="17">
        <f>(1/H8-1)/D8*100</f>
        <v/>
      </c>
      <c r="L8" s="30" t="n"/>
      <c r="M8" s="31">
        <f>IF(L8="","",(J8-L8)*100)</f>
        <v/>
      </c>
      <c r="N8" s="6" t="inlineStr">
        <is>
          <t>short OIS</t>
        </is>
      </c>
      <c r="O8" s="6">
        <f>'SOFR_Futures'!A7</f>
        <v/>
      </c>
      <c r="P8" s="18">
        <f>'SOFR_Futures'!H7</f>
        <v/>
      </c>
      <c r="Q8" s="18">
        <f>'SOFR_Futures'!H8</f>
        <v/>
      </c>
      <c r="R8" s="17">
        <f>MAX(0,(Q8-MAX(P8,$B$22))/360)</f>
        <v/>
      </c>
      <c r="S8" s="17">
        <f>'SOFR_Futures'!F7</f>
        <v/>
      </c>
      <c r="T8" s="28">
        <f>0.5*$P$5^2*((P8-$B$4)/365)*((Q8-$B$4)/365)/10000</f>
        <v/>
      </c>
      <c r="U8" s="32">
        <f>(S8-T8/100)/100</f>
        <v/>
      </c>
      <c r="V8" s="33">
        <f>$H$22</f>
        <v/>
      </c>
      <c r="W8" s="33">
        <f>V8/(1+U8*R8)</f>
        <v/>
      </c>
      <c r="Y8" s="18">
        <f>$B$22</f>
        <v/>
      </c>
      <c r="Z8" s="33">
        <f>$H$22</f>
        <v/>
      </c>
    </row>
    <row r="9">
      <c r="A9" s="6" t="inlineStr">
        <is>
          <t>2W</t>
        </is>
      </c>
      <c r="B9" s="18">
        <f>$B$4+14</f>
        <v/>
      </c>
      <c r="C9" s="28">
        <f>(B9-$B$4)/365</f>
        <v/>
      </c>
      <c r="D9" s="17">
        <f>(B9-$B$4)/360</f>
        <v/>
      </c>
      <c r="E9" s="17">
        <f>'SOFR_OIS_Quotes'!$H6</f>
        <v/>
      </c>
      <c r="F9" s="6" t="n"/>
      <c r="G9" s="17">
        <f>SUM($I$8:I8)</f>
        <v/>
      </c>
      <c r="H9" s="29">
        <f>1/(1+(E9/100)*D9)</f>
        <v/>
      </c>
      <c r="I9" s="17" t="n">
        <v>0</v>
      </c>
      <c r="J9" s="17">
        <f>-LN(H9)/C9*100</f>
        <v/>
      </c>
      <c r="K9" s="17">
        <f>(H8/H9-1)/((B9-B8)/360)*100</f>
        <v/>
      </c>
      <c r="L9" s="30" t="n"/>
      <c r="M9" s="31">
        <f>IF(L9="","",(J9-L9)*100)</f>
        <v/>
      </c>
      <c r="N9" s="6" t="inlineStr">
        <is>
          <t>short OIS</t>
        </is>
      </c>
      <c r="O9" s="6">
        <f>'SOFR_Futures'!A8</f>
        <v/>
      </c>
      <c r="P9" s="18">
        <f>'SOFR_Futures'!H8</f>
        <v/>
      </c>
      <c r="Q9" s="18">
        <f>'SOFR_Futures'!H9</f>
        <v/>
      </c>
      <c r="R9" s="17">
        <f>MAX(0,(Q9-MAX(P9,$B$22))/360)</f>
        <v/>
      </c>
      <c r="S9" s="17">
        <f>'SOFR_Futures'!F8</f>
        <v/>
      </c>
      <c r="T9" s="28">
        <f>0.5*$P$5^2*((P9-$B$4)/365)*((Q9-$B$4)/365)/10000</f>
        <v/>
      </c>
      <c r="U9" s="32">
        <f>(S9-T9/100)/100</f>
        <v/>
      </c>
      <c r="V9" s="33">
        <f>W8</f>
        <v/>
      </c>
      <c r="W9" s="33">
        <f>V9/(1+U9*R9)</f>
        <v/>
      </c>
      <c r="Y9" s="18">
        <f>MAX(Q8,$B$22)</f>
        <v/>
      </c>
      <c r="Z9" s="33">
        <f>W8</f>
        <v/>
      </c>
    </row>
    <row r="10">
      <c r="A10" s="6" t="inlineStr">
        <is>
          <t>3W</t>
        </is>
      </c>
      <c r="B10" s="18">
        <f>$B$4+21</f>
        <v/>
      </c>
      <c r="C10" s="28">
        <f>(B10-$B$4)/365</f>
        <v/>
      </c>
      <c r="D10" s="17">
        <f>(B10-$B$4)/360</f>
        <v/>
      </c>
      <c r="E10" s="17">
        <f>'SOFR_OIS_Quotes'!$H7</f>
        <v/>
      </c>
      <c r="F10" s="6" t="n"/>
      <c r="G10" s="17">
        <f>SUM($I$8:I9)</f>
        <v/>
      </c>
      <c r="H10" s="29">
        <f>1/(1+(E10/100)*D10)</f>
        <v/>
      </c>
      <c r="I10" s="17" t="n">
        <v>0</v>
      </c>
      <c r="J10" s="17">
        <f>-LN(H10)/C10*100</f>
        <v/>
      </c>
      <c r="K10" s="17">
        <f>(H9/H10-1)/((B10-B9)/360)*100</f>
        <v/>
      </c>
      <c r="L10" s="30" t="n"/>
      <c r="M10" s="31">
        <f>IF(L10="","",(J10-L10)*100)</f>
        <v/>
      </c>
      <c r="N10" s="6" t="inlineStr">
        <is>
          <t>short OIS</t>
        </is>
      </c>
      <c r="O10" s="6">
        <f>'SOFR_Futures'!A9</f>
        <v/>
      </c>
      <c r="P10" s="18">
        <f>'SOFR_Futures'!H9</f>
        <v/>
      </c>
      <c r="Q10" s="18">
        <f>'SOFR_Futures'!H10</f>
        <v/>
      </c>
      <c r="R10" s="17">
        <f>MAX(0,(Q10-MAX(P10,$B$22))/360)</f>
        <v/>
      </c>
      <c r="S10" s="17">
        <f>'SOFR_Futures'!F9</f>
        <v/>
      </c>
      <c r="T10" s="28">
        <f>0.5*$P$5^2*((P10-$B$4)/365)*((Q10-$B$4)/365)/10000</f>
        <v/>
      </c>
      <c r="U10" s="32">
        <f>(S10-T10/100)/100</f>
        <v/>
      </c>
      <c r="V10" s="33">
        <f>W9</f>
        <v/>
      </c>
      <c r="W10" s="33">
        <f>V10/(1+U10*R10)</f>
        <v/>
      </c>
      <c r="Y10" s="18">
        <f>MAX(Q9,$B$22)</f>
        <v/>
      </c>
      <c r="Z10" s="33">
        <f>W9</f>
        <v/>
      </c>
    </row>
    <row r="11">
      <c r="A11" s="6" t="inlineStr">
        <is>
          <t>1M</t>
        </is>
      </c>
      <c r="B11" s="18">
        <f>EDATE($B$4,1)</f>
        <v/>
      </c>
      <c r="C11" s="28">
        <f>(B11-$B$4)/365</f>
        <v/>
      </c>
      <c r="D11" s="17">
        <f>(B11-$B$4)/360</f>
        <v/>
      </c>
      <c r="E11" s="17">
        <f>'SOFR_OIS_Quotes'!$H8</f>
        <v/>
      </c>
      <c r="F11" s="6" t="n"/>
      <c r="G11" s="17">
        <f>SUM($I$8:I10)</f>
        <v/>
      </c>
      <c r="H11" s="29">
        <f>1/(1+(E11/100)*D11)</f>
        <v/>
      </c>
      <c r="I11" s="17" t="n">
        <v>0</v>
      </c>
      <c r="J11" s="17">
        <f>-LN(H11)/C11*100</f>
        <v/>
      </c>
      <c r="K11" s="17">
        <f>(H10/H11-1)/((B11-B10)/360)*100</f>
        <v/>
      </c>
      <c r="L11" s="30" t="n"/>
      <c r="M11" s="31">
        <f>IF(L11="","",(J11-L11)*100)</f>
        <v/>
      </c>
      <c r="N11" s="6" t="inlineStr">
        <is>
          <t>short OIS</t>
        </is>
      </c>
      <c r="O11" s="6">
        <f>'SOFR_Futures'!A10</f>
        <v/>
      </c>
      <c r="P11" s="18">
        <f>'SOFR_Futures'!H10</f>
        <v/>
      </c>
      <c r="Q11" s="18">
        <f>'SOFR_Futures'!H11</f>
        <v/>
      </c>
      <c r="R11" s="17">
        <f>MAX(0,(Q11-MAX(P11,$B$22))/360)</f>
        <v/>
      </c>
      <c r="S11" s="17">
        <f>'SOFR_Futures'!F10</f>
        <v/>
      </c>
      <c r="T11" s="28">
        <f>0.5*$P$5^2*((P11-$B$4)/365)*((Q11-$B$4)/365)/10000</f>
        <v/>
      </c>
      <c r="U11" s="32">
        <f>(S11-T11/100)/100</f>
        <v/>
      </c>
      <c r="V11" s="33">
        <f>W10</f>
        <v/>
      </c>
      <c r="W11" s="33">
        <f>V11/(1+U11*R11)</f>
        <v/>
      </c>
      <c r="Y11" s="18">
        <f>MAX(Q10,$B$22)</f>
        <v/>
      </c>
      <c r="Z11" s="33">
        <f>W10</f>
        <v/>
      </c>
    </row>
    <row r="12">
      <c r="A12" s="6" t="inlineStr">
        <is>
          <t>2M</t>
        </is>
      </c>
      <c r="B12" s="18">
        <f>EDATE($B$4,2)</f>
        <v/>
      </c>
      <c r="C12" s="28">
        <f>(B12-$B$4)/365</f>
        <v/>
      </c>
      <c r="D12" s="17">
        <f>(B12-$B$4)/360</f>
        <v/>
      </c>
      <c r="E12" s="17">
        <f>'SOFR_OIS_Quotes'!$H9</f>
        <v/>
      </c>
      <c r="F12" s="6" t="n"/>
      <c r="G12" s="17">
        <f>SUM($I$8:I11)</f>
        <v/>
      </c>
      <c r="H12" s="29">
        <f>1/(1+(E12/100)*D12)</f>
        <v/>
      </c>
      <c r="I12" s="17" t="n">
        <v>0</v>
      </c>
      <c r="J12" s="17">
        <f>-LN(H12)/C12*100</f>
        <v/>
      </c>
      <c r="K12" s="17">
        <f>(H11/H12-1)/((B12-B11)/360)*100</f>
        <v/>
      </c>
      <c r="L12" s="30" t="n"/>
      <c r="M12" s="31">
        <f>IF(L12="","",(J12-L12)*100)</f>
        <v/>
      </c>
      <c r="N12" s="6" t="inlineStr">
        <is>
          <t>short OIS</t>
        </is>
      </c>
      <c r="O12" s="6">
        <f>'SOFR_Futures'!A11</f>
        <v/>
      </c>
      <c r="P12" s="18">
        <f>'SOFR_Futures'!H11</f>
        <v/>
      </c>
      <c r="Q12" s="18">
        <f>'SOFR_Futures'!H12</f>
        <v/>
      </c>
      <c r="R12" s="17">
        <f>MAX(0,(Q12-MAX(P12,$B$22))/360)</f>
        <v/>
      </c>
      <c r="S12" s="17">
        <f>'SOFR_Futures'!F11</f>
        <v/>
      </c>
      <c r="T12" s="28">
        <f>0.5*$P$5^2*((P12-$B$4)/365)*((Q12-$B$4)/365)/10000</f>
        <v/>
      </c>
      <c r="U12" s="32">
        <f>(S12-T12/100)/100</f>
        <v/>
      </c>
      <c r="V12" s="33">
        <f>W11</f>
        <v/>
      </c>
      <c r="W12" s="33">
        <f>V12/(1+U12*R12)</f>
        <v/>
      </c>
      <c r="Y12" s="18">
        <f>MAX(Q11,$B$22)</f>
        <v/>
      </c>
      <c r="Z12" s="33">
        <f>W11</f>
        <v/>
      </c>
    </row>
    <row r="13">
      <c r="A13" s="6" t="inlineStr">
        <is>
          <t>3M</t>
        </is>
      </c>
      <c r="B13" s="18">
        <f>EDATE($B$4,3)</f>
        <v/>
      </c>
      <c r="C13" s="28">
        <f>(B13-$B$4)/365</f>
        <v/>
      </c>
      <c r="D13" s="17">
        <f>(B13-$B$4)/360</f>
        <v/>
      </c>
      <c r="E13" s="17">
        <f>'SOFR_OIS_Quotes'!$H10</f>
        <v/>
      </c>
      <c r="F13" s="6" t="n"/>
      <c r="G13" s="17">
        <f>SUM($I$8:I12)</f>
        <v/>
      </c>
      <c r="H13" s="29">
        <f>1/(1+(E13/100)*D13)</f>
        <v/>
      </c>
      <c r="I13" s="17" t="n">
        <v>0</v>
      </c>
      <c r="J13" s="17">
        <f>-LN(H13)/C13*100</f>
        <v/>
      </c>
      <c r="K13" s="17">
        <f>(H12/H13-1)/((B13-B12)/360)*100</f>
        <v/>
      </c>
      <c r="L13" s="30" t="n"/>
      <c r="M13" s="31">
        <f>IF(L13="","",(J13-L13)*100)</f>
        <v/>
      </c>
      <c r="N13" s="6" t="inlineStr">
        <is>
          <t>short OIS</t>
        </is>
      </c>
      <c r="O13" s="6">
        <f>'SOFR_Futures'!A12</f>
        <v/>
      </c>
      <c r="P13" s="18">
        <f>'SOFR_Futures'!H12</f>
        <v/>
      </c>
      <c r="Q13" s="18">
        <f>'SOFR_Futures'!H13</f>
        <v/>
      </c>
      <c r="R13" s="17">
        <f>MAX(0,(Q13-MAX(P13,$B$22))/360)</f>
        <v/>
      </c>
      <c r="S13" s="17">
        <f>'SOFR_Futures'!F12</f>
        <v/>
      </c>
      <c r="T13" s="28">
        <f>0.5*$P$5^2*((P13-$B$4)/365)*((Q13-$B$4)/365)/10000</f>
        <v/>
      </c>
      <c r="U13" s="32">
        <f>(S13-T13/100)/100</f>
        <v/>
      </c>
      <c r="V13" s="33">
        <f>W12</f>
        <v/>
      </c>
      <c r="W13" s="33">
        <f>V13/(1+U13*R13)</f>
        <v/>
      </c>
      <c r="Y13" s="18">
        <f>MAX(Q12,$B$22)</f>
        <v/>
      </c>
      <c r="Z13" s="33">
        <f>W12</f>
        <v/>
      </c>
    </row>
    <row r="14">
      <c r="A14" s="6" t="inlineStr">
        <is>
          <t>4M</t>
        </is>
      </c>
      <c r="B14" s="18">
        <f>EDATE($B$4,4)</f>
        <v/>
      </c>
      <c r="C14" s="28">
        <f>(B14-$B$4)/365</f>
        <v/>
      </c>
      <c r="D14" s="17">
        <f>(B14-$B$4)/360</f>
        <v/>
      </c>
      <c r="E14" s="17">
        <f>'SOFR_OIS_Quotes'!$H11</f>
        <v/>
      </c>
      <c r="F14" s="6" t="n"/>
      <c r="G14" s="17">
        <f>SUM($I$8:I13)</f>
        <v/>
      </c>
      <c r="H14" s="29">
        <f>1/(1+(E14/100)*D14)</f>
        <v/>
      </c>
      <c r="I14" s="17" t="n">
        <v>0</v>
      </c>
      <c r="J14" s="17">
        <f>-LN(H14)/C14*100</f>
        <v/>
      </c>
      <c r="K14" s="17">
        <f>(H13/H14-1)/((B14-B13)/360)*100</f>
        <v/>
      </c>
      <c r="L14" s="30" t="n"/>
      <c r="M14" s="31">
        <f>IF(L14="","",(J14-L14)*100)</f>
        <v/>
      </c>
      <c r="N14" s="6" t="inlineStr">
        <is>
          <t>short OIS</t>
        </is>
      </c>
      <c r="O14" s="6">
        <f>'SOFR_Futures'!A13</f>
        <v/>
      </c>
      <c r="P14" s="18">
        <f>'SOFR_Futures'!H13</f>
        <v/>
      </c>
      <c r="Q14" s="18">
        <f>'SOFR_Futures'!H14</f>
        <v/>
      </c>
      <c r="R14" s="17">
        <f>MAX(0,(Q14-MAX(P14,$B$22))/360)</f>
        <v/>
      </c>
      <c r="S14" s="17">
        <f>'SOFR_Futures'!F13</f>
        <v/>
      </c>
      <c r="T14" s="28">
        <f>0.5*$P$5^2*((P14-$B$4)/365)*((Q14-$B$4)/365)/10000</f>
        <v/>
      </c>
      <c r="U14" s="32">
        <f>(S14-T14/100)/100</f>
        <v/>
      </c>
      <c r="V14" s="33">
        <f>W13</f>
        <v/>
      </c>
      <c r="W14" s="33">
        <f>V14/(1+U14*R14)</f>
        <v/>
      </c>
      <c r="Y14" s="18">
        <f>MAX(Q13,$B$22)</f>
        <v/>
      </c>
      <c r="Z14" s="33">
        <f>W13</f>
        <v/>
      </c>
    </row>
    <row r="15">
      <c r="A15" s="6" t="inlineStr">
        <is>
          <t>5M</t>
        </is>
      </c>
      <c r="B15" s="18">
        <f>EDATE($B$4,5)</f>
        <v/>
      </c>
      <c r="C15" s="28">
        <f>(B15-$B$4)/365</f>
        <v/>
      </c>
      <c r="D15" s="17">
        <f>(B15-$B$4)/360</f>
        <v/>
      </c>
      <c r="E15" s="17">
        <f>'SOFR_OIS_Quotes'!$H12</f>
        <v/>
      </c>
      <c r="F15" s="6" t="n"/>
      <c r="G15" s="17">
        <f>SUM($I$8:I14)</f>
        <v/>
      </c>
      <c r="H15" s="29">
        <f>1/(1+(E15/100)*D15)</f>
        <v/>
      </c>
      <c r="I15" s="17" t="n">
        <v>0</v>
      </c>
      <c r="J15" s="17">
        <f>-LN(H15)/C15*100</f>
        <v/>
      </c>
      <c r="K15" s="17">
        <f>(H14/H15-1)/((B15-B14)/360)*100</f>
        <v/>
      </c>
      <c r="L15" s="30" t="n"/>
      <c r="M15" s="31">
        <f>IF(L15="","",(J15-L15)*100)</f>
        <v/>
      </c>
      <c r="N15" s="6" t="inlineStr">
        <is>
          <t>short OIS</t>
        </is>
      </c>
      <c r="O15" s="6">
        <f>'SOFR_Futures'!A14</f>
        <v/>
      </c>
      <c r="P15" s="18">
        <f>'SOFR_Futures'!H14</f>
        <v/>
      </c>
      <c r="Q15" s="18">
        <f>'SOFR_Futures'!H15</f>
        <v/>
      </c>
      <c r="R15" s="17">
        <f>MAX(0,(Q15-MAX(P15,$B$22))/360)</f>
        <v/>
      </c>
      <c r="S15" s="17">
        <f>'SOFR_Futures'!F14</f>
        <v/>
      </c>
      <c r="T15" s="28">
        <f>0.5*$P$5^2*((P15-$B$4)/365)*((Q15-$B$4)/365)/10000</f>
        <v/>
      </c>
      <c r="U15" s="32">
        <f>(S15-T15/100)/100</f>
        <v/>
      </c>
      <c r="V15" s="33">
        <f>W14</f>
        <v/>
      </c>
      <c r="W15" s="33">
        <f>V15/(1+U15*R15)</f>
        <v/>
      </c>
      <c r="Y15" s="18">
        <f>MAX(Q14,$B$22)</f>
        <v/>
      </c>
      <c r="Z15" s="33">
        <f>W14</f>
        <v/>
      </c>
    </row>
    <row r="16">
      <c r="A16" s="6" t="inlineStr">
        <is>
          <t>6M</t>
        </is>
      </c>
      <c r="B16" s="18">
        <f>EDATE($B$4,6)</f>
        <v/>
      </c>
      <c r="C16" s="28">
        <f>(B16-$B$4)/365</f>
        <v/>
      </c>
      <c r="D16" s="17">
        <f>(B16-$B$4)/360</f>
        <v/>
      </c>
      <c r="E16" s="17">
        <f>'SOFR_OIS_Quotes'!$H13</f>
        <v/>
      </c>
      <c r="F16" s="6" t="n"/>
      <c r="G16" s="17">
        <f>SUM($I$8:I15)</f>
        <v/>
      </c>
      <c r="H16" s="29">
        <f>1/(1+(E16/100)*D16)</f>
        <v/>
      </c>
      <c r="I16" s="17" t="n">
        <v>0</v>
      </c>
      <c r="J16" s="17">
        <f>-LN(H16)/C16*100</f>
        <v/>
      </c>
      <c r="K16" s="17">
        <f>(H15/H16-1)/((B16-B15)/360)*100</f>
        <v/>
      </c>
      <c r="L16" s="30" t="n"/>
      <c r="M16" s="31">
        <f>IF(L16="","",(J16-L16)*100)</f>
        <v/>
      </c>
      <c r="N16" s="6" t="inlineStr">
        <is>
          <t>short OIS</t>
        </is>
      </c>
      <c r="O16" s="6">
        <f>'SOFR_Futures'!A15</f>
        <v/>
      </c>
      <c r="P16" s="18">
        <f>'SOFR_Futures'!H15</f>
        <v/>
      </c>
      <c r="Q16" s="18">
        <f>'SOFR_Futures'!H16</f>
        <v/>
      </c>
      <c r="R16" s="17">
        <f>MAX(0,(Q16-MAX(P16,$B$22))/360)</f>
        <v/>
      </c>
      <c r="S16" s="17">
        <f>'SOFR_Futures'!F15</f>
        <v/>
      </c>
      <c r="T16" s="28">
        <f>0.5*$P$5^2*((P16-$B$4)/365)*((Q16-$B$4)/365)/10000</f>
        <v/>
      </c>
      <c r="U16" s="32">
        <f>(S16-T16/100)/100</f>
        <v/>
      </c>
      <c r="V16" s="33">
        <f>W15</f>
        <v/>
      </c>
      <c r="W16" s="33">
        <f>V16/(1+U16*R16)</f>
        <v/>
      </c>
      <c r="Y16" s="18">
        <f>MAX(Q15,$B$22)</f>
        <v/>
      </c>
      <c r="Z16" s="33">
        <f>W15</f>
        <v/>
      </c>
    </row>
    <row r="17">
      <c r="A17" s="6" t="inlineStr">
        <is>
          <t>7M</t>
        </is>
      </c>
      <c r="B17" s="18">
        <f>EDATE($B$4,7)</f>
        <v/>
      </c>
      <c r="C17" s="28">
        <f>(B17-$B$4)/365</f>
        <v/>
      </c>
      <c r="D17" s="17">
        <f>(B17-$B$4)/360</f>
        <v/>
      </c>
      <c r="E17" s="17">
        <f>'SOFR_OIS_Quotes'!$H14</f>
        <v/>
      </c>
      <c r="F17" s="6" t="n"/>
      <c r="G17" s="17">
        <f>SUM($I$8:I16)</f>
        <v/>
      </c>
      <c r="H17" s="29">
        <f>1/(1+(E17/100)*D17)</f>
        <v/>
      </c>
      <c r="I17" s="17" t="n">
        <v>0</v>
      </c>
      <c r="J17" s="17">
        <f>-LN(H17)/C17*100</f>
        <v/>
      </c>
      <c r="K17" s="17">
        <f>(H16/H17-1)/((B17-B16)/360)*100</f>
        <v/>
      </c>
      <c r="L17" s="30" t="n"/>
      <c r="M17" s="31">
        <f>IF(L17="","",(J17-L17)*100)</f>
        <v/>
      </c>
      <c r="N17" s="6" t="inlineStr">
        <is>
          <t>short OIS</t>
        </is>
      </c>
      <c r="O17" s="6">
        <f>'SOFR_Futures'!A16</f>
        <v/>
      </c>
      <c r="P17" s="18">
        <f>'SOFR_Futures'!H16</f>
        <v/>
      </c>
      <c r="Q17" s="18">
        <f>'SOFR_Futures'!H17</f>
        <v/>
      </c>
      <c r="R17" s="17">
        <f>MAX(0,(Q17-MAX(P17,$B$22))/360)</f>
        <v/>
      </c>
      <c r="S17" s="17">
        <f>'SOFR_Futures'!F16</f>
        <v/>
      </c>
      <c r="T17" s="28">
        <f>0.5*$P$5^2*((P17-$B$4)/365)*((Q17-$B$4)/365)/10000</f>
        <v/>
      </c>
      <c r="U17" s="32">
        <f>(S17-T17/100)/100</f>
        <v/>
      </c>
      <c r="V17" s="33">
        <f>W16</f>
        <v/>
      </c>
      <c r="W17" s="33">
        <f>V17/(1+U17*R17)</f>
        <v/>
      </c>
      <c r="Y17" s="18">
        <f>MAX(Q16,$B$22)</f>
        <v/>
      </c>
      <c r="Z17" s="33">
        <f>W16</f>
        <v/>
      </c>
    </row>
    <row r="18">
      <c r="A18" s="6" t="inlineStr">
        <is>
          <t>8M</t>
        </is>
      </c>
      <c r="B18" s="18">
        <f>EDATE($B$4,8)</f>
        <v/>
      </c>
      <c r="C18" s="28">
        <f>(B18-$B$4)/365</f>
        <v/>
      </c>
      <c r="D18" s="17">
        <f>(B18-$B$4)/360</f>
        <v/>
      </c>
      <c r="E18" s="17">
        <f>'SOFR_OIS_Quotes'!$H15</f>
        <v/>
      </c>
      <c r="F18" s="6" t="n"/>
      <c r="G18" s="17">
        <f>SUM($I$8:I17)</f>
        <v/>
      </c>
      <c r="H18" s="29">
        <f>1/(1+(E18/100)*D18)</f>
        <v/>
      </c>
      <c r="I18" s="17" t="n">
        <v>0</v>
      </c>
      <c r="J18" s="17">
        <f>-LN(H18)/C18*100</f>
        <v/>
      </c>
      <c r="K18" s="17">
        <f>(H17/H18-1)/((B18-B17)/360)*100</f>
        <v/>
      </c>
      <c r="L18" s="30" t="n"/>
      <c r="M18" s="31">
        <f>IF(L18="","",(J18-L18)*100)</f>
        <v/>
      </c>
      <c r="N18" s="6" t="inlineStr">
        <is>
          <t>short OIS</t>
        </is>
      </c>
      <c r="O18" s="6">
        <f>'SOFR_Futures'!A17</f>
        <v/>
      </c>
      <c r="P18" s="18">
        <f>'SOFR_Futures'!H17</f>
        <v/>
      </c>
      <c r="Q18" s="18">
        <f>'SOFR_Futures'!H18</f>
        <v/>
      </c>
      <c r="R18" s="17">
        <f>MAX(0,(Q18-MAX(P18,$B$22))/360)</f>
        <v/>
      </c>
      <c r="S18" s="17">
        <f>'SOFR_Futures'!F17</f>
        <v/>
      </c>
      <c r="T18" s="28">
        <f>0.5*$P$5^2*((P18-$B$4)/365)*((Q18-$B$4)/365)/10000</f>
        <v/>
      </c>
      <c r="U18" s="32">
        <f>(S18-T18/100)/100</f>
        <v/>
      </c>
      <c r="V18" s="33">
        <f>W17</f>
        <v/>
      </c>
      <c r="W18" s="33">
        <f>V18/(1+U18*R18)</f>
        <v/>
      </c>
      <c r="Y18" s="18">
        <f>MAX(Q17,$B$22)</f>
        <v/>
      </c>
      <c r="Z18" s="33">
        <f>W17</f>
        <v/>
      </c>
    </row>
    <row r="19">
      <c r="A19" s="6" t="inlineStr">
        <is>
          <t>9M</t>
        </is>
      </c>
      <c r="B19" s="18">
        <f>EDATE($B$4,9)</f>
        <v/>
      </c>
      <c r="C19" s="28">
        <f>(B19-$B$4)/365</f>
        <v/>
      </c>
      <c r="D19" s="17">
        <f>(B19-$B$4)/360</f>
        <v/>
      </c>
      <c r="E19" s="17">
        <f>'SOFR_OIS_Quotes'!$H16</f>
        <v/>
      </c>
      <c r="F19" s="6" t="n"/>
      <c r="G19" s="17">
        <f>SUM($I$8:I18)</f>
        <v/>
      </c>
      <c r="H19" s="29">
        <f>1/(1+(E19/100)*D19)</f>
        <v/>
      </c>
      <c r="I19" s="17" t="n">
        <v>0</v>
      </c>
      <c r="J19" s="17">
        <f>-LN(H19)/C19*100</f>
        <v/>
      </c>
      <c r="K19" s="17">
        <f>(H18/H19-1)/((B19-B18)/360)*100</f>
        <v/>
      </c>
      <c r="L19" s="30" t="n"/>
      <c r="M19" s="31">
        <f>IF(L19="","",(J19-L19)*100)</f>
        <v/>
      </c>
      <c r="N19" s="6" t="inlineStr">
        <is>
          <t>short OIS</t>
        </is>
      </c>
      <c r="O19" s="6">
        <f>'SOFR_Futures'!A18</f>
        <v/>
      </c>
      <c r="P19" s="18">
        <f>'SOFR_Futures'!H18</f>
        <v/>
      </c>
      <c r="Q19" s="18">
        <f>'SOFR_Futures'!H19</f>
        <v/>
      </c>
      <c r="R19" s="17">
        <f>MAX(0,(Q19-MAX(P19,$B$22))/360)</f>
        <v/>
      </c>
      <c r="S19" s="17">
        <f>'SOFR_Futures'!F18</f>
        <v/>
      </c>
      <c r="T19" s="28">
        <f>0.5*$P$5^2*((P19-$B$4)/365)*((Q19-$B$4)/365)/10000</f>
        <v/>
      </c>
      <c r="U19" s="32">
        <f>(S19-T19/100)/100</f>
        <v/>
      </c>
      <c r="V19" s="33">
        <f>W18</f>
        <v/>
      </c>
      <c r="W19" s="33">
        <f>V19/(1+U19*R19)</f>
        <v/>
      </c>
      <c r="Y19" s="18">
        <f>MAX(Q18,$B$22)</f>
        <v/>
      </c>
      <c r="Z19" s="33">
        <f>W18</f>
        <v/>
      </c>
    </row>
    <row r="20">
      <c r="A20" s="6" t="inlineStr">
        <is>
          <t>10M</t>
        </is>
      </c>
      <c r="B20" s="18">
        <f>EDATE($B$4,10)</f>
        <v/>
      </c>
      <c r="C20" s="28">
        <f>(B20-$B$4)/365</f>
        <v/>
      </c>
      <c r="D20" s="17">
        <f>(B20-$B$4)/360</f>
        <v/>
      </c>
      <c r="E20" s="17">
        <f>'SOFR_OIS_Quotes'!$H17</f>
        <v/>
      </c>
      <c r="F20" s="6" t="n"/>
      <c r="G20" s="17">
        <f>SUM($I$8:I19)</f>
        <v/>
      </c>
      <c r="H20" s="29">
        <f>1/(1+(E20/100)*D20)</f>
        <v/>
      </c>
      <c r="I20" s="17" t="n">
        <v>0</v>
      </c>
      <c r="J20" s="17">
        <f>-LN(H20)/C20*100</f>
        <v/>
      </c>
      <c r="K20" s="17">
        <f>(H19/H20-1)/((B20-B19)/360)*100</f>
        <v/>
      </c>
      <c r="L20" s="30" t="n"/>
      <c r="M20" s="31">
        <f>IF(L20="","",(J20-L20)*100)</f>
        <v/>
      </c>
      <c r="N20" s="6" t="inlineStr">
        <is>
          <t>short OIS</t>
        </is>
      </c>
      <c r="O20" s="6">
        <f>'SOFR_Futures'!A19</f>
        <v/>
      </c>
      <c r="P20" s="18">
        <f>'SOFR_Futures'!H19</f>
        <v/>
      </c>
      <c r="Q20" s="18">
        <f>'SOFR_Futures'!H20</f>
        <v/>
      </c>
      <c r="R20" s="17">
        <f>MAX(0,(Q20-MAX(P20,$B$22))/360)</f>
        <v/>
      </c>
      <c r="S20" s="17">
        <f>'SOFR_Futures'!F19</f>
        <v/>
      </c>
      <c r="T20" s="28">
        <f>0.5*$P$5^2*((P20-$B$4)/365)*((Q20-$B$4)/365)/10000</f>
        <v/>
      </c>
      <c r="U20" s="32">
        <f>(S20-T20/100)/100</f>
        <v/>
      </c>
      <c r="V20" s="33">
        <f>W19</f>
        <v/>
      </c>
      <c r="W20" s="33">
        <f>V20/(1+U20*R20)</f>
        <v/>
      </c>
      <c r="Y20" s="18">
        <f>MAX(Q19,$B$22)</f>
        <v/>
      </c>
      <c r="Z20" s="33">
        <f>W19</f>
        <v/>
      </c>
    </row>
    <row r="21">
      <c r="A21" s="6" t="inlineStr">
        <is>
          <t>11M</t>
        </is>
      </c>
      <c r="B21" s="18">
        <f>EDATE($B$4,11)</f>
        <v/>
      </c>
      <c r="C21" s="28">
        <f>(B21-$B$4)/365</f>
        <v/>
      </c>
      <c r="D21" s="17">
        <f>(B21-$B$4)/360</f>
        <v/>
      </c>
      <c r="E21" s="17">
        <f>'SOFR_OIS_Quotes'!$H18</f>
        <v/>
      </c>
      <c r="F21" s="6" t="n"/>
      <c r="G21" s="17">
        <f>SUM($I$8:I20)</f>
        <v/>
      </c>
      <c r="H21" s="29">
        <f>1/(1+(E21/100)*D21)</f>
        <v/>
      </c>
      <c r="I21" s="17" t="n">
        <v>0</v>
      </c>
      <c r="J21" s="17">
        <f>-LN(H21)/C21*100</f>
        <v/>
      </c>
      <c r="K21" s="17">
        <f>(H20/H21-1)/((B21-B20)/360)*100</f>
        <v/>
      </c>
      <c r="L21" s="30" t="n"/>
      <c r="M21" s="31">
        <f>IF(L21="","",(J21-L21)*100)</f>
        <v/>
      </c>
      <c r="N21" s="6" t="inlineStr">
        <is>
          <t>short OIS</t>
        </is>
      </c>
      <c r="O21" s="6">
        <f>'SOFR_Futures'!A20</f>
        <v/>
      </c>
      <c r="P21" s="18">
        <f>'SOFR_Futures'!H20</f>
        <v/>
      </c>
      <c r="Q21" s="18">
        <f>'SOFR_Futures'!H21</f>
        <v/>
      </c>
      <c r="R21" s="17">
        <f>MAX(0,(Q21-MAX(P21,$B$22))/360)</f>
        <v/>
      </c>
      <c r="S21" s="17">
        <f>'SOFR_Futures'!F20</f>
        <v/>
      </c>
      <c r="T21" s="28">
        <f>0.5*$P$5^2*((P21-$B$4)/365)*((Q21-$B$4)/365)/10000</f>
        <v/>
      </c>
      <c r="U21" s="32">
        <f>(S21-T21/100)/100</f>
        <v/>
      </c>
      <c r="V21" s="33">
        <f>W20</f>
        <v/>
      </c>
      <c r="W21" s="33">
        <f>V21/(1+U21*R21)</f>
        <v/>
      </c>
      <c r="Y21" s="18">
        <f>MAX(Q20,$B$22)</f>
        <v/>
      </c>
      <c r="Z21" s="33">
        <f>W20</f>
        <v/>
      </c>
    </row>
    <row r="22">
      <c r="A22" s="6" t="inlineStr">
        <is>
          <t>1Y</t>
        </is>
      </c>
      <c r="B22" s="18">
        <f>EDATE($B$4,12)</f>
        <v/>
      </c>
      <c r="C22" s="28">
        <f>(B22-$B$4)/365</f>
        <v/>
      </c>
      <c r="D22" s="17">
        <f>(B22-$B$4)/360</f>
        <v/>
      </c>
      <c r="E22" s="17">
        <f>'SOFR_OIS_Quotes'!$H19</f>
        <v/>
      </c>
      <c r="F22" s="17">
        <f>(B22-$B$4)/360</f>
        <v/>
      </c>
      <c r="G22" s="17">
        <f>SUM($I$8:I21)</f>
        <v/>
      </c>
      <c r="H22" s="29">
        <f>1/(1+(E22/100)*D22)</f>
        <v/>
      </c>
      <c r="I22" s="17">
        <f>F22*H22</f>
        <v/>
      </c>
      <c r="J22" s="17">
        <f>-LN(H22)/C22*100</f>
        <v/>
      </c>
      <c r="K22" s="17">
        <f>(H21/H22-1)/((B22-B21)/360)*100</f>
        <v/>
      </c>
      <c r="L22" s="30" t="n"/>
      <c r="M22" s="31">
        <f>IF(L22="","",(J22-L22)*100)</f>
        <v/>
      </c>
      <c r="N22" s="6" t="inlineStr">
        <is>
          <t>short OIS</t>
        </is>
      </c>
      <c r="O22" s="6">
        <f>'SOFR_Futures'!A21</f>
        <v/>
      </c>
      <c r="P22" s="18">
        <f>'SOFR_Futures'!H21</f>
        <v/>
      </c>
      <c r="Q22" s="18">
        <f>'SOFR_Futures'!H22</f>
        <v/>
      </c>
      <c r="R22" s="17">
        <f>MAX(0,(Q22-MAX(P22,$B$22))/360)</f>
        <v/>
      </c>
      <c r="S22" s="17">
        <f>'SOFR_Futures'!F21</f>
        <v/>
      </c>
      <c r="T22" s="28">
        <f>0.5*$P$5^2*((P22-$B$4)/365)*((Q22-$B$4)/365)/10000</f>
        <v/>
      </c>
      <c r="U22" s="32">
        <f>(S22-T22/100)/100</f>
        <v/>
      </c>
      <c r="V22" s="33">
        <f>W21</f>
        <v/>
      </c>
      <c r="W22" s="33">
        <f>V22/(1+U22*R22)</f>
        <v/>
      </c>
      <c r="Y22" s="18">
        <f>MAX(Q21,$B$22)</f>
        <v/>
      </c>
      <c r="Z22" s="33">
        <f>W21</f>
        <v/>
      </c>
    </row>
    <row r="23">
      <c r="A23" s="6" t="inlineStr">
        <is>
          <t>18M</t>
        </is>
      </c>
      <c r="B23" s="18">
        <f>EDATE($B$4,18)</f>
        <v/>
      </c>
      <c r="C23" s="28">
        <f>(B23-$B$4)/365</f>
        <v/>
      </c>
      <c r="D23" s="17">
        <f>(B23-$B$4)/360</f>
        <v/>
      </c>
      <c r="E23" s="17">
        <f>'SOFR_OIS_Quotes'!$H20</f>
        <v/>
      </c>
      <c r="F23" s="17">
        <f>(B23-$B$22)/360</f>
        <v/>
      </c>
      <c r="G23" s="17">
        <f>SUM($I$8:I22)</f>
        <v/>
      </c>
      <c r="H23" s="29">
        <f>IFERROR(IF(ABS((IFERROR(INDEX($Z$8:$Z$28,MATCH(B23,$Y$8:$Y$28,1))*(INDEX($Z$8:$Z$28,MATCH(B23,$Y$8:$Y$28,1)+1)/INDEX($Z$8:$Z$28,MATCH(B23,$Y$8:$Y$28,1)))^((B23-INDEX($Y$8:$Y$28,MATCH(B23,$Y$8:$Y$28,1)))/(INDEX($Y$8:$Y$28,MATCH(B23,$Y$8:$Y$28,1)+1)-INDEX($Y$8:$Y$28,MATCH(B23,$Y$8:$Y$28,1)))),INDEX($Z$8:$Z$28,MATCH(B23,$Y$8:$Y$28,1))))-((1-(E23/100)*G23)/(1+(E23/100)*F23)))&lt;0.03,(IFERROR(INDEX($Z$8:$Z$28,MATCH(B23,$Y$8:$Y$28,1))*(INDEX($Z$8:$Z$28,MATCH(B23,$Y$8:$Y$28,1)+1)/INDEX($Z$8:$Z$28,MATCH(B23,$Y$8:$Y$28,1)))^((B23-INDEX($Y$8:$Y$28,MATCH(B23,$Y$8:$Y$28,1)))/(INDEX($Y$8:$Y$28,MATCH(B23,$Y$8:$Y$28,1)+1)-INDEX($Y$8:$Y$28,MATCH(B23,$Y$8:$Y$28,1)))),INDEX($Z$8:$Z$28,MATCH(B23,$Y$8:$Y$28,1)))),((1-(E23/100)*G23)/(1+(E23/100)*F23))),((1-(E23/100)*G23)/(1+(E23/100)*F23)))</f>
        <v/>
      </c>
      <c r="I23" s="17" t="n">
        <v>0</v>
      </c>
      <c r="J23" s="17">
        <f>-LN(H23)/C23*100</f>
        <v/>
      </c>
      <c r="K23" s="17">
        <f>(H22/H23-1)/((B23-B22)/360)*100</f>
        <v/>
      </c>
      <c r="L23" s="30" t="n"/>
      <c r="M23" s="31">
        <f>IF(L23="","",(J23-L23)*100)</f>
        <v/>
      </c>
      <c r="N23" s="6">
        <f>IF(AND(ISNUMBER(IFERROR(INDEX($Z$8:$Z$28,MATCH(B23,$Y$8:$Y$28,1))*(INDEX($Z$8:$Z$28,MATCH(B23,$Y$8:$Y$28,1)+1)/INDEX($Z$8:$Z$28,MATCH(B23,$Y$8:$Y$28,1)))^((B23-INDEX($Y$8:$Y$28,MATCH(B23,$Y$8:$Y$28,1)))/(INDEX($Y$8:$Y$28,MATCH(B23,$Y$8:$Y$28,1)+1)-INDEX($Y$8:$Y$28,MATCH(B23,$Y$8:$Y$28,1)))),INDEX($Z$8:$Z$28,MATCH(B23,$Y$8:$Y$28,1)))),ABS((IFERROR(INDEX($Z$8:$Z$28,MATCH(B23,$Y$8:$Y$28,1))*(INDEX($Z$8:$Z$28,MATCH(B23,$Y$8:$Y$28,1)+1)/INDEX($Z$8:$Z$28,MATCH(B23,$Y$8:$Y$28,1)))^((B23-INDEX($Y$8:$Y$28,MATCH(B23,$Y$8:$Y$28,1)))/(INDEX($Y$8:$Y$28,MATCH(B23,$Y$8:$Y$28,1)+1)-INDEX($Y$8:$Y$28,MATCH(B23,$Y$8:$Y$28,1)))),INDEX($Z$8:$Z$28,MATCH(B23,$Y$8:$Y$28,1))))-((1-(E23/100)*G23)/(1+(E23/100)*F23)))&lt;0.03),"SR3 futures","OIS fallback")</f>
        <v/>
      </c>
      <c r="O23" s="6">
        <f>'SOFR_Futures'!A22</f>
        <v/>
      </c>
      <c r="P23" s="18">
        <f>'SOFR_Futures'!H22</f>
        <v/>
      </c>
      <c r="Q23" s="18">
        <f>'SOFR_Futures'!H23</f>
        <v/>
      </c>
      <c r="R23" s="17">
        <f>MAX(0,(Q23-MAX(P23,$B$22))/360)</f>
        <v/>
      </c>
      <c r="S23" s="17">
        <f>'SOFR_Futures'!F22</f>
        <v/>
      </c>
      <c r="T23" s="28">
        <f>0.5*$P$5^2*((P23-$B$4)/365)*((Q23-$B$4)/365)/10000</f>
        <v/>
      </c>
      <c r="U23" s="32">
        <f>(S23-T23/100)/100</f>
        <v/>
      </c>
      <c r="V23" s="33">
        <f>W22</f>
        <v/>
      </c>
      <c r="W23" s="33">
        <f>V23/(1+U23*R23)</f>
        <v/>
      </c>
      <c r="Y23" s="18">
        <f>MAX(Q22,$B$22)</f>
        <v/>
      </c>
      <c r="Z23" s="33">
        <f>W22</f>
        <v/>
      </c>
    </row>
    <row r="24">
      <c r="A24" s="6" t="inlineStr">
        <is>
          <t>2Y</t>
        </is>
      </c>
      <c r="B24" s="18">
        <f>EDATE($B$4,24)</f>
        <v/>
      </c>
      <c r="C24" s="28">
        <f>(B24-$B$4)/365</f>
        <v/>
      </c>
      <c r="D24" s="17">
        <f>(B24-$B$4)/360</f>
        <v/>
      </c>
      <c r="E24" s="17">
        <f>'SOFR_OIS_Quotes'!$H21</f>
        <v/>
      </c>
      <c r="F24" s="17">
        <f>(B24-$B$22)/360</f>
        <v/>
      </c>
      <c r="G24" s="17">
        <f>SUM($I$8:I23)</f>
        <v/>
      </c>
      <c r="H24" s="29">
        <f>IFERROR(IF(ABS((IFERROR(INDEX($Z$8:$Z$28,MATCH(B24,$Y$8:$Y$28,1))*(INDEX($Z$8:$Z$28,MATCH(B24,$Y$8:$Y$28,1)+1)/INDEX($Z$8:$Z$28,MATCH(B24,$Y$8:$Y$28,1)))^((B24-INDEX($Y$8:$Y$28,MATCH(B24,$Y$8:$Y$28,1)))/(INDEX($Y$8:$Y$28,MATCH(B24,$Y$8:$Y$28,1)+1)-INDEX($Y$8:$Y$28,MATCH(B24,$Y$8:$Y$28,1)))),INDEX($Z$8:$Z$28,MATCH(B24,$Y$8:$Y$28,1))))-((1-(E24/100)*G24)/(1+(E24/100)*F24)))&lt;0.03,(IFERROR(INDEX($Z$8:$Z$28,MATCH(B24,$Y$8:$Y$28,1))*(INDEX($Z$8:$Z$28,MATCH(B24,$Y$8:$Y$28,1)+1)/INDEX($Z$8:$Z$28,MATCH(B24,$Y$8:$Y$28,1)))^((B24-INDEX($Y$8:$Y$28,MATCH(B24,$Y$8:$Y$28,1)))/(INDEX($Y$8:$Y$28,MATCH(B24,$Y$8:$Y$28,1)+1)-INDEX($Y$8:$Y$28,MATCH(B24,$Y$8:$Y$28,1)))),INDEX($Z$8:$Z$28,MATCH(B24,$Y$8:$Y$28,1)))),((1-(E24/100)*G24)/(1+(E24/100)*F24))),((1-(E24/100)*G24)/(1+(E24/100)*F24)))</f>
        <v/>
      </c>
      <c r="I24" s="17">
        <f>F24*H24</f>
        <v/>
      </c>
      <c r="J24" s="17">
        <f>-LN(H24)/C24*100</f>
        <v/>
      </c>
      <c r="K24" s="17">
        <f>(H23/H24-1)/((B24-B23)/360)*100</f>
        <v/>
      </c>
      <c r="L24" s="30" t="n"/>
      <c r="M24" s="31">
        <f>IF(L24="","",(J24-L24)*100)</f>
        <v/>
      </c>
      <c r="N24" s="6">
        <f>IF(AND(ISNUMBER(IFERROR(INDEX($Z$8:$Z$28,MATCH(B24,$Y$8:$Y$28,1))*(INDEX($Z$8:$Z$28,MATCH(B24,$Y$8:$Y$28,1)+1)/INDEX($Z$8:$Z$28,MATCH(B24,$Y$8:$Y$28,1)))^((B24-INDEX($Y$8:$Y$28,MATCH(B24,$Y$8:$Y$28,1)))/(INDEX($Y$8:$Y$28,MATCH(B24,$Y$8:$Y$28,1)+1)-INDEX($Y$8:$Y$28,MATCH(B24,$Y$8:$Y$28,1)))),INDEX($Z$8:$Z$28,MATCH(B24,$Y$8:$Y$28,1)))),ABS((IFERROR(INDEX($Z$8:$Z$28,MATCH(B24,$Y$8:$Y$28,1))*(INDEX($Z$8:$Z$28,MATCH(B24,$Y$8:$Y$28,1)+1)/INDEX($Z$8:$Z$28,MATCH(B24,$Y$8:$Y$28,1)))^((B24-INDEX($Y$8:$Y$28,MATCH(B24,$Y$8:$Y$28,1)))/(INDEX($Y$8:$Y$28,MATCH(B24,$Y$8:$Y$28,1)+1)-INDEX($Y$8:$Y$28,MATCH(B24,$Y$8:$Y$28,1)))),INDEX($Z$8:$Z$28,MATCH(B24,$Y$8:$Y$28,1))))-((1-(E24/100)*G24)/(1+(E24/100)*F24)))&lt;0.03),"SR3 futures","OIS fallback")</f>
        <v/>
      </c>
      <c r="O24" s="6">
        <f>'SOFR_Futures'!A23</f>
        <v/>
      </c>
      <c r="P24" s="18">
        <f>'SOFR_Futures'!H23</f>
        <v/>
      </c>
      <c r="Q24" s="18">
        <f>'SOFR_Futures'!H24</f>
        <v/>
      </c>
      <c r="R24" s="17">
        <f>MAX(0,(Q24-MAX(P24,$B$22))/360)</f>
        <v/>
      </c>
      <c r="S24" s="17">
        <f>'SOFR_Futures'!F23</f>
        <v/>
      </c>
      <c r="T24" s="28">
        <f>0.5*$P$5^2*((P24-$B$4)/365)*((Q24-$B$4)/365)/10000</f>
        <v/>
      </c>
      <c r="U24" s="32">
        <f>(S24-T24/100)/100</f>
        <v/>
      </c>
      <c r="V24" s="33">
        <f>W23</f>
        <v/>
      </c>
      <c r="W24" s="33">
        <f>V24/(1+U24*R24)</f>
        <v/>
      </c>
      <c r="Y24" s="18">
        <f>MAX(Q23,$B$22)</f>
        <v/>
      </c>
      <c r="Z24" s="33">
        <f>W23</f>
        <v/>
      </c>
    </row>
    <row r="25">
      <c r="A25" s="6" t="inlineStr">
        <is>
          <t>3Y</t>
        </is>
      </c>
      <c r="B25" s="18">
        <f>EDATE($B$4,36)</f>
        <v/>
      </c>
      <c r="C25" s="28">
        <f>(B25-$B$4)/365</f>
        <v/>
      </c>
      <c r="D25" s="17">
        <f>(B25-$B$4)/360</f>
        <v/>
      </c>
      <c r="E25" s="17">
        <f>'SOFR_OIS_Quotes'!$H22</f>
        <v/>
      </c>
      <c r="F25" s="17">
        <f>(B25-$B$24)/360</f>
        <v/>
      </c>
      <c r="G25" s="17">
        <f>SUM($I$8:I24)</f>
        <v/>
      </c>
      <c r="H25" s="29">
        <f>IFERROR(IF(ABS((IFERROR(INDEX($Z$8:$Z$28,MATCH(B25,$Y$8:$Y$28,1))*(INDEX($Z$8:$Z$28,MATCH(B25,$Y$8:$Y$28,1)+1)/INDEX($Z$8:$Z$28,MATCH(B25,$Y$8:$Y$28,1)))^((B25-INDEX($Y$8:$Y$28,MATCH(B25,$Y$8:$Y$28,1)))/(INDEX($Y$8:$Y$28,MATCH(B25,$Y$8:$Y$28,1)+1)-INDEX($Y$8:$Y$28,MATCH(B25,$Y$8:$Y$28,1)))),INDEX($Z$8:$Z$28,MATCH(B25,$Y$8:$Y$28,1))))-((1-(E25/100)*G25)/(1+(E25/100)*F25)))&lt;0.03,(IFERROR(INDEX($Z$8:$Z$28,MATCH(B25,$Y$8:$Y$28,1))*(INDEX($Z$8:$Z$28,MATCH(B25,$Y$8:$Y$28,1)+1)/INDEX($Z$8:$Z$28,MATCH(B25,$Y$8:$Y$28,1)))^((B25-INDEX($Y$8:$Y$28,MATCH(B25,$Y$8:$Y$28,1)))/(INDEX($Y$8:$Y$28,MATCH(B25,$Y$8:$Y$28,1)+1)-INDEX($Y$8:$Y$28,MATCH(B25,$Y$8:$Y$28,1)))),INDEX($Z$8:$Z$28,MATCH(B25,$Y$8:$Y$28,1)))),((1-(E25/100)*G25)/(1+(E25/100)*F25))),((1-(E25/100)*G25)/(1+(E25/100)*F25)))</f>
        <v/>
      </c>
      <c r="I25" s="17">
        <f>F25*H25</f>
        <v/>
      </c>
      <c r="J25" s="17">
        <f>-LN(H25)/C25*100</f>
        <v/>
      </c>
      <c r="K25" s="17">
        <f>(H24/H25-1)/((B25-B24)/360)*100</f>
        <v/>
      </c>
      <c r="L25" s="30" t="n"/>
      <c r="M25" s="31">
        <f>IF(L25="","",(J25-L25)*100)</f>
        <v/>
      </c>
      <c r="N25" s="6">
        <f>IF(AND(ISNUMBER(IFERROR(INDEX($Z$8:$Z$28,MATCH(B25,$Y$8:$Y$28,1))*(INDEX($Z$8:$Z$28,MATCH(B25,$Y$8:$Y$28,1)+1)/INDEX($Z$8:$Z$28,MATCH(B25,$Y$8:$Y$28,1)))^((B25-INDEX($Y$8:$Y$28,MATCH(B25,$Y$8:$Y$28,1)))/(INDEX($Y$8:$Y$28,MATCH(B25,$Y$8:$Y$28,1)+1)-INDEX($Y$8:$Y$28,MATCH(B25,$Y$8:$Y$28,1)))),INDEX($Z$8:$Z$28,MATCH(B25,$Y$8:$Y$28,1)))),ABS((IFERROR(INDEX($Z$8:$Z$28,MATCH(B25,$Y$8:$Y$28,1))*(INDEX($Z$8:$Z$28,MATCH(B25,$Y$8:$Y$28,1)+1)/INDEX($Z$8:$Z$28,MATCH(B25,$Y$8:$Y$28,1)))^((B25-INDEX($Y$8:$Y$28,MATCH(B25,$Y$8:$Y$28,1)))/(INDEX($Y$8:$Y$28,MATCH(B25,$Y$8:$Y$28,1)+1)-INDEX($Y$8:$Y$28,MATCH(B25,$Y$8:$Y$28,1)))),INDEX($Z$8:$Z$28,MATCH(B25,$Y$8:$Y$28,1))))-((1-(E25/100)*G25)/(1+(E25/100)*F25)))&lt;0.03),"SR3 futures","OIS fallback")</f>
        <v/>
      </c>
      <c r="O25" s="6">
        <f>'SOFR_Futures'!A24</f>
        <v/>
      </c>
      <c r="P25" s="18">
        <f>'SOFR_Futures'!H24</f>
        <v/>
      </c>
      <c r="Q25" s="18">
        <f>'SOFR_Futures'!H25</f>
        <v/>
      </c>
      <c r="R25" s="17">
        <f>MAX(0,(Q25-MAX(P25,$B$22))/360)</f>
        <v/>
      </c>
      <c r="S25" s="17">
        <f>'SOFR_Futures'!F24</f>
        <v/>
      </c>
      <c r="T25" s="28">
        <f>0.5*$P$5^2*((P25-$B$4)/365)*((Q25-$B$4)/365)/10000</f>
        <v/>
      </c>
      <c r="U25" s="32">
        <f>(S25-T25/100)/100</f>
        <v/>
      </c>
      <c r="V25" s="33">
        <f>W24</f>
        <v/>
      </c>
      <c r="W25" s="33">
        <f>V25/(1+U25*R25)</f>
        <v/>
      </c>
      <c r="Y25" s="18">
        <f>MAX(Q24,$B$22)</f>
        <v/>
      </c>
      <c r="Z25" s="33">
        <f>W24</f>
        <v/>
      </c>
    </row>
    <row r="26">
      <c r="A26" s="6" t="inlineStr">
        <is>
          <t>4Y</t>
        </is>
      </c>
      <c r="B26" s="18">
        <f>EDATE($B$4,48)</f>
        <v/>
      </c>
      <c r="C26" s="28">
        <f>(B26-$B$4)/365</f>
        <v/>
      </c>
      <c r="D26" s="17">
        <f>(B26-$B$4)/360</f>
        <v/>
      </c>
      <c r="E26" s="17">
        <f>'SOFR_OIS_Quotes'!$H23</f>
        <v/>
      </c>
      <c r="F26" s="17">
        <f>(B26-$B$25)/360</f>
        <v/>
      </c>
      <c r="G26" s="17">
        <f>SUM($I$8:I25)</f>
        <v/>
      </c>
      <c r="H26" s="29">
        <f>IFERROR(IF(ABS((IFERROR(INDEX($Z$8:$Z$28,MATCH(B26,$Y$8:$Y$28,1))*(INDEX($Z$8:$Z$28,MATCH(B26,$Y$8:$Y$28,1)+1)/INDEX($Z$8:$Z$28,MATCH(B26,$Y$8:$Y$28,1)))^((B26-INDEX($Y$8:$Y$28,MATCH(B26,$Y$8:$Y$28,1)))/(INDEX($Y$8:$Y$28,MATCH(B26,$Y$8:$Y$28,1)+1)-INDEX($Y$8:$Y$28,MATCH(B26,$Y$8:$Y$28,1)))),INDEX($Z$8:$Z$28,MATCH(B26,$Y$8:$Y$28,1))))-((1-(E26/100)*G26)/(1+(E26/100)*F26)))&lt;0.03,(IFERROR(INDEX($Z$8:$Z$28,MATCH(B26,$Y$8:$Y$28,1))*(INDEX($Z$8:$Z$28,MATCH(B26,$Y$8:$Y$28,1)+1)/INDEX($Z$8:$Z$28,MATCH(B26,$Y$8:$Y$28,1)))^((B26-INDEX($Y$8:$Y$28,MATCH(B26,$Y$8:$Y$28,1)))/(INDEX($Y$8:$Y$28,MATCH(B26,$Y$8:$Y$28,1)+1)-INDEX($Y$8:$Y$28,MATCH(B26,$Y$8:$Y$28,1)))),INDEX($Z$8:$Z$28,MATCH(B26,$Y$8:$Y$28,1)))),((1-(E26/100)*G26)/(1+(E26/100)*F26))),((1-(E26/100)*G26)/(1+(E26/100)*F26)))</f>
        <v/>
      </c>
      <c r="I26" s="17">
        <f>F26*H26</f>
        <v/>
      </c>
      <c r="J26" s="17">
        <f>-LN(H26)/C26*100</f>
        <v/>
      </c>
      <c r="K26" s="17">
        <f>(H25/H26-1)/((B26-B25)/360)*100</f>
        <v/>
      </c>
      <c r="L26" s="30" t="n"/>
      <c r="M26" s="31">
        <f>IF(L26="","",(J26-L26)*100)</f>
        <v/>
      </c>
      <c r="N26" s="6">
        <f>IF(AND(ISNUMBER(IFERROR(INDEX($Z$8:$Z$28,MATCH(B26,$Y$8:$Y$28,1))*(INDEX($Z$8:$Z$28,MATCH(B26,$Y$8:$Y$28,1)+1)/INDEX($Z$8:$Z$28,MATCH(B26,$Y$8:$Y$28,1)))^((B26-INDEX($Y$8:$Y$28,MATCH(B26,$Y$8:$Y$28,1)))/(INDEX($Y$8:$Y$28,MATCH(B26,$Y$8:$Y$28,1)+1)-INDEX($Y$8:$Y$28,MATCH(B26,$Y$8:$Y$28,1)))),INDEX($Z$8:$Z$28,MATCH(B26,$Y$8:$Y$28,1)))),ABS((IFERROR(INDEX($Z$8:$Z$28,MATCH(B26,$Y$8:$Y$28,1))*(INDEX($Z$8:$Z$28,MATCH(B26,$Y$8:$Y$28,1)+1)/INDEX($Z$8:$Z$28,MATCH(B26,$Y$8:$Y$28,1)))^((B26-INDEX($Y$8:$Y$28,MATCH(B26,$Y$8:$Y$28,1)))/(INDEX($Y$8:$Y$28,MATCH(B26,$Y$8:$Y$28,1)+1)-INDEX($Y$8:$Y$28,MATCH(B26,$Y$8:$Y$28,1)))),INDEX($Z$8:$Z$28,MATCH(B26,$Y$8:$Y$28,1))))-((1-(E26/100)*G26)/(1+(E26/100)*F26)))&lt;0.03),"SR3 futures","OIS fallback")</f>
        <v/>
      </c>
      <c r="O26" s="6">
        <f>'SOFR_Futures'!A25</f>
        <v/>
      </c>
      <c r="P26" s="18">
        <f>'SOFR_Futures'!H25</f>
        <v/>
      </c>
      <c r="Q26" s="18">
        <f>'SOFR_Futures'!H26</f>
        <v/>
      </c>
      <c r="R26" s="17">
        <f>MAX(0,(Q26-MAX(P26,$B$22))/360)</f>
        <v/>
      </c>
      <c r="S26" s="17">
        <f>'SOFR_Futures'!F25</f>
        <v/>
      </c>
      <c r="T26" s="28">
        <f>0.5*$P$5^2*((P26-$B$4)/365)*((Q26-$B$4)/365)/10000</f>
        <v/>
      </c>
      <c r="U26" s="32">
        <f>(S26-T26/100)/100</f>
        <v/>
      </c>
      <c r="V26" s="33">
        <f>W25</f>
        <v/>
      </c>
      <c r="W26" s="33">
        <f>V26/(1+U26*R26)</f>
        <v/>
      </c>
      <c r="Y26" s="18">
        <f>MAX(Q25,$B$22)</f>
        <v/>
      </c>
      <c r="Z26" s="33">
        <f>W25</f>
        <v/>
      </c>
    </row>
    <row r="27">
      <c r="A27" s="6" t="inlineStr">
        <is>
          <t>5Y</t>
        </is>
      </c>
      <c r="B27" s="18">
        <f>EDATE($B$4,60)</f>
        <v/>
      </c>
      <c r="C27" s="28">
        <f>(B27-$B$4)/365</f>
        <v/>
      </c>
      <c r="D27" s="17">
        <f>(B27-$B$4)/360</f>
        <v/>
      </c>
      <c r="E27" s="17">
        <f>'SOFR_OIS_Quotes'!$H24</f>
        <v/>
      </c>
      <c r="F27" s="17">
        <f>(B27-$B$26)/360</f>
        <v/>
      </c>
      <c r="G27" s="17">
        <f>SUM($I$8:I26)</f>
        <v/>
      </c>
      <c r="H27" s="29">
        <f>IFERROR(IF(ABS((IFERROR(INDEX($Z$8:$Z$28,MATCH(B27,$Y$8:$Y$28,1))*(INDEX($Z$8:$Z$28,MATCH(B27,$Y$8:$Y$28,1)+1)/INDEX($Z$8:$Z$28,MATCH(B27,$Y$8:$Y$28,1)))^((B27-INDEX($Y$8:$Y$28,MATCH(B27,$Y$8:$Y$28,1)))/(INDEX($Y$8:$Y$28,MATCH(B27,$Y$8:$Y$28,1)+1)-INDEX($Y$8:$Y$28,MATCH(B27,$Y$8:$Y$28,1)))),INDEX($Z$8:$Z$28,MATCH(B27,$Y$8:$Y$28,1))))-((1-(E27/100)*G27)/(1+(E27/100)*F27)))&lt;0.03,(IFERROR(INDEX($Z$8:$Z$28,MATCH(B27,$Y$8:$Y$28,1))*(INDEX($Z$8:$Z$28,MATCH(B27,$Y$8:$Y$28,1)+1)/INDEX($Z$8:$Z$28,MATCH(B27,$Y$8:$Y$28,1)))^((B27-INDEX($Y$8:$Y$28,MATCH(B27,$Y$8:$Y$28,1)))/(INDEX($Y$8:$Y$28,MATCH(B27,$Y$8:$Y$28,1)+1)-INDEX($Y$8:$Y$28,MATCH(B27,$Y$8:$Y$28,1)))),INDEX($Z$8:$Z$28,MATCH(B27,$Y$8:$Y$28,1)))),((1-(E27/100)*G27)/(1+(E27/100)*F27))),((1-(E27/100)*G27)/(1+(E27/100)*F27)))</f>
        <v/>
      </c>
      <c r="I27" s="17">
        <f>F27*H27</f>
        <v/>
      </c>
      <c r="J27" s="17">
        <f>-LN(H27)/C27*100</f>
        <v/>
      </c>
      <c r="K27" s="17">
        <f>(H26/H27-1)/((B27-B26)/360)*100</f>
        <v/>
      </c>
      <c r="L27" s="30" t="n"/>
      <c r="M27" s="31">
        <f>IF(L27="","",(J27-L27)*100)</f>
        <v/>
      </c>
      <c r="N27" s="6">
        <f>IF(AND(ISNUMBER(IFERROR(INDEX($Z$8:$Z$28,MATCH(B27,$Y$8:$Y$28,1))*(INDEX($Z$8:$Z$28,MATCH(B27,$Y$8:$Y$28,1)+1)/INDEX($Z$8:$Z$28,MATCH(B27,$Y$8:$Y$28,1)))^((B27-INDEX($Y$8:$Y$28,MATCH(B27,$Y$8:$Y$28,1)))/(INDEX($Y$8:$Y$28,MATCH(B27,$Y$8:$Y$28,1)+1)-INDEX($Y$8:$Y$28,MATCH(B27,$Y$8:$Y$28,1)))),INDEX($Z$8:$Z$28,MATCH(B27,$Y$8:$Y$28,1)))),ABS((IFERROR(INDEX($Z$8:$Z$28,MATCH(B27,$Y$8:$Y$28,1))*(INDEX($Z$8:$Z$28,MATCH(B27,$Y$8:$Y$28,1)+1)/INDEX($Z$8:$Z$28,MATCH(B27,$Y$8:$Y$28,1)))^((B27-INDEX($Y$8:$Y$28,MATCH(B27,$Y$8:$Y$28,1)))/(INDEX($Y$8:$Y$28,MATCH(B27,$Y$8:$Y$28,1)+1)-INDEX($Y$8:$Y$28,MATCH(B27,$Y$8:$Y$28,1)))),INDEX($Z$8:$Z$28,MATCH(B27,$Y$8:$Y$28,1))))-((1-(E27/100)*G27)/(1+(E27/100)*F27)))&lt;0.03),"SR3 futures","OIS fallback")</f>
        <v/>
      </c>
      <c r="O27" s="6">
        <f>'SOFR_Futures'!A26</f>
        <v/>
      </c>
      <c r="P27" s="18">
        <f>'SOFR_Futures'!H26</f>
        <v/>
      </c>
      <c r="Q27" s="18">
        <f>EDATE(P27,3)</f>
        <v/>
      </c>
      <c r="R27" s="17">
        <f>MAX(0,(Q27-MAX(P27,$B$22))/360)</f>
        <v/>
      </c>
      <c r="S27" s="17">
        <f>'SOFR_Futures'!F26</f>
        <v/>
      </c>
      <c r="T27" s="28">
        <f>0.5*$P$5^2*((P27-$B$4)/365)*((Q27-$B$4)/365)/10000</f>
        <v/>
      </c>
      <c r="U27" s="32">
        <f>(S27-T27/100)/100</f>
        <v/>
      </c>
      <c r="V27" s="33">
        <f>W26</f>
        <v/>
      </c>
      <c r="W27" s="33">
        <f>V27/(1+U27*R27)</f>
        <v/>
      </c>
      <c r="Y27" s="18">
        <f>MAX(Q26,$B$22)</f>
        <v/>
      </c>
      <c r="Z27" s="33">
        <f>W26</f>
        <v/>
      </c>
    </row>
    <row r="28">
      <c r="A28" s="6" t="inlineStr">
        <is>
          <t>6Y</t>
        </is>
      </c>
      <c r="B28" s="18">
        <f>EDATE($B$4,72)</f>
        <v/>
      </c>
      <c r="C28" s="28">
        <f>(B28-$B$4)/365</f>
        <v/>
      </c>
      <c r="D28" s="17">
        <f>(B28-$B$4)/360</f>
        <v/>
      </c>
      <c r="E28" s="17">
        <f>'SOFR_OIS_Quotes'!$H25</f>
        <v/>
      </c>
      <c r="F28" s="17">
        <f>(B28-$B$27)/360</f>
        <v/>
      </c>
      <c r="G28" s="17">
        <f>SUM($I$8:I27)</f>
        <v/>
      </c>
      <c r="H28" s="29">
        <f>(1-(E28/100)*G28)/(1+(E28/100)*F28)</f>
        <v/>
      </c>
      <c r="I28" s="17">
        <f>F28*H28</f>
        <v/>
      </c>
      <c r="J28" s="17">
        <f>-LN(H28)/C28*100</f>
        <v/>
      </c>
      <c r="K28" s="17">
        <f>(H27/H28-1)/((B28-B27)/360)*100</f>
        <v/>
      </c>
      <c r="L28" s="30" t="n"/>
      <c r="M28" s="31">
        <f>IF(L28="","",(J28-L28)*100)</f>
        <v/>
      </c>
      <c r="N28" s="6" t="inlineStr">
        <is>
          <t>OIS swap</t>
        </is>
      </c>
      <c r="Y28" s="18">
        <f>MAX(Q27,$B$22)</f>
        <v/>
      </c>
      <c r="Z28" s="33">
        <f>W27</f>
        <v/>
      </c>
    </row>
    <row r="29">
      <c r="A29" s="6" t="inlineStr">
        <is>
          <t>7Y</t>
        </is>
      </c>
      <c r="B29" s="18">
        <f>EDATE($B$4,84)</f>
        <v/>
      </c>
      <c r="C29" s="28">
        <f>(B29-$B$4)/365</f>
        <v/>
      </c>
      <c r="D29" s="17">
        <f>(B29-$B$4)/360</f>
        <v/>
      </c>
      <c r="E29" s="17">
        <f>'SOFR_OIS_Quotes'!$H26</f>
        <v/>
      </c>
      <c r="F29" s="17">
        <f>(B29-$B$28)/360</f>
        <v/>
      </c>
      <c r="G29" s="17">
        <f>SUM($I$8:I28)</f>
        <v/>
      </c>
      <c r="H29" s="29">
        <f>(1-(E29/100)*G29)/(1+(E29/100)*F29)</f>
        <v/>
      </c>
      <c r="I29" s="17">
        <f>F29*H29</f>
        <v/>
      </c>
      <c r="J29" s="17">
        <f>-LN(H29)/C29*100</f>
        <v/>
      </c>
      <c r="K29" s="17">
        <f>(H28/H29-1)/((B29-B28)/360)*100</f>
        <v/>
      </c>
      <c r="L29" s="30" t="n"/>
      <c r="M29" s="31">
        <f>IF(L29="","",(J29-L29)*100)</f>
        <v/>
      </c>
      <c r="N29" s="6" t="inlineStr">
        <is>
          <t>OIS swap</t>
        </is>
      </c>
    </row>
    <row r="30">
      <c r="A30" s="6" t="inlineStr">
        <is>
          <t>8Y</t>
        </is>
      </c>
      <c r="B30" s="18">
        <f>EDATE($B$4,96)</f>
        <v/>
      </c>
      <c r="C30" s="28">
        <f>(B30-$B$4)/365</f>
        <v/>
      </c>
      <c r="D30" s="17">
        <f>(B30-$B$4)/360</f>
        <v/>
      </c>
      <c r="E30" s="17">
        <f>'SOFR_OIS_Quotes'!$H27</f>
        <v/>
      </c>
      <c r="F30" s="17">
        <f>(B30-$B$29)/360</f>
        <v/>
      </c>
      <c r="G30" s="17">
        <f>SUM($I$8:I29)</f>
        <v/>
      </c>
      <c r="H30" s="29">
        <f>(1-(E30/100)*G30)/(1+(E30/100)*F30)</f>
        <v/>
      </c>
      <c r="I30" s="17">
        <f>F30*H30</f>
        <v/>
      </c>
      <c r="J30" s="17">
        <f>-LN(H30)/C30*100</f>
        <v/>
      </c>
      <c r="K30" s="17">
        <f>(H29/H30-1)/((B30-B29)/360)*100</f>
        <v/>
      </c>
      <c r="L30" s="30" t="n"/>
      <c r="M30" s="31">
        <f>IF(L30="","",(J30-L30)*100)</f>
        <v/>
      </c>
      <c r="N30" s="6" t="inlineStr">
        <is>
          <t>OIS swap</t>
        </is>
      </c>
    </row>
    <row r="31">
      <c r="A31" s="6" t="inlineStr">
        <is>
          <t>9Y</t>
        </is>
      </c>
      <c r="B31" s="18">
        <f>EDATE($B$4,108)</f>
        <v/>
      </c>
      <c r="C31" s="28">
        <f>(B31-$B$4)/365</f>
        <v/>
      </c>
      <c r="D31" s="17">
        <f>(B31-$B$4)/360</f>
        <v/>
      </c>
      <c r="E31" s="17">
        <f>'SOFR_OIS_Quotes'!$H28</f>
        <v/>
      </c>
      <c r="F31" s="17">
        <f>(B31-$B$30)/360</f>
        <v/>
      </c>
      <c r="G31" s="17">
        <f>SUM($I$8:I30)</f>
        <v/>
      </c>
      <c r="H31" s="29">
        <f>(1-(E31/100)*G31)/(1+(E31/100)*F31)</f>
        <v/>
      </c>
      <c r="I31" s="17">
        <f>F31*H31</f>
        <v/>
      </c>
      <c r="J31" s="17">
        <f>-LN(H31)/C31*100</f>
        <v/>
      </c>
      <c r="K31" s="17">
        <f>(H30/H31-1)/((B31-B30)/360)*100</f>
        <v/>
      </c>
      <c r="L31" s="30" t="n"/>
      <c r="M31" s="31">
        <f>IF(L31="","",(J31-L31)*100)</f>
        <v/>
      </c>
      <c r="N31" s="6" t="inlineStr">
        <is>
          <t>OIS swap</t>
        </is>
      </c>
    </row>
    <row r="32">
      <c r="A32" s="6" t="inlineStr">
        <is>
          <t>10Y</t>
        </is>
      </c>
      <c r="B32" s="18">
        <f>EDATE($B$4,120)</f>
        <v/>
      </c>
      <c r="C32" s="28">
        <f>(B32-$B$4)/365</f>
        <v/>
      </c>
      <c r="D32" s="17">
        <f>(B32-$B$4)/360</f>
        <v/>
      </c>
      <c r="E32" s="17">
        <f>'SOFR_OIS_Quotes'!$H29</f>
        <v/>
      </c>
      <c r="F32" s="17">
        <f>(B32-$B$31)/360</f>
        <v/>
      </c>
      <c r="G32" s="17">
        <f>SUM($I$8:I31)</f>
        <v/>
      </c>
      <c r="H32" s="29">
        <f>(1-(E32/100)*G32)/(1+(E32/100)*F32)</f>
        <v/>
      </c>
      <c r="I32" s="17">
        <f>F32*H32</f>
        <v/>
      </c>
      <c r="J32" s="17">
        <f>-LN(H32)/C32*100</f>
        <v/>
      </c>
      <c r="K32" s="17">
        <f>(H31/H32-1)/((B32-B31)/360)*100</f>
        <v/>
      </c>
      <c r="L32" s="30" t="n"/>
      <c r="M32" s="31">
        <f>IF(L32="","",(J32-L32)*100)</f>
        <v/>
      </c>
      <c r="N32" s="6" t="inlineStr">
        <is>
          <t>OIS swap</t>
        </is>
      </c>
    </row>
    <row r="33">
      <c r="A33" s="6" t="inlineStr">
        <is>
          <t>12Y</t>
        </is>
      </c>
      <c r="B33" s="18">
        <f>EDATE($B$4,144)</f>
        <v/>
      </c>
      <c r="C33" s="28">
        <f>(B33-$B$4)/365</f>
        <v/>
      </c>
      <c r="D33" s="17">
        <f>(B33-$B$4)/360</f>
        <v/>
      </c>
      <c r="E33" s="17">
        <f>'SOFR_OIS_Quotes'!$H30</f>
        <v/>
      </c>
      <c r="F33" s="17">
        <f>(B33-$B$32)/360</f>
        <v/>
      </c>
      <c r="G33" s="17">
        <f>SUM($I$8:I32)</f>
        <v/>
      </c>
      <c r="H33" s="29">
        <f>(1-(E33/100)*G33)/(1+(E33/100)*F33)</f>
        <v/>
      </c>
      <c r="I33" s="17">
        <f>F33*H33</f>
        <v/>
      </c>
      <c r="J33" s="17">
        <f>-LN(H33)/C33*100</f>
        <v/>
      </c>
      <c r="K33" s="17">
        <f>(H32/H33-1)/((B33-B32)/360)*100</f>
        <v/>
      </c>
      <c r="L33" s="30" t="n"/>
      <c r="M33" s="31">
        <f>IF(L33="","",(J33-L33)*100)</f>
        <v/>
      </c>
      <c r="N33" s="6" t="inlineStr">
        <is>
          <t>OIS swap</t>
        </is>
      </c>
    </row>
    <row r="34">
      <c r="A34" s="6" t="inlineStr">
        <is>
          <t>15Y</t>
        </is>
      </c>
      <c r="B34" s="18">
        <f>EDATE($B$4,180)</f>
        <v/>
      </c>
      <c r="C34" s="28">
        <f>(B34-$B$4)/365</f>
        <v/>
      </c>
      <c r="D34" s="17">
        <f>(B34-$B$4)/360</f>
        <v/>
      </c>
      <c r="E34" s="17">
        <f>'SOFR_OIS_Quotes'!$H31</f>
        <v/>
      </c>
      <c r="F34" s="17">
        <f>(B34-$B$33)/360</f>
        <v/>
      </c>
      <c r="G34" s="17">
        <f>SUM($I$8:I33)</f>
        <v/>
      </c>
      <c r="H34" s="29">
        <f>(1-(E34/100)*G34)/(1+(E34/100)*F34)</f>
        <v/>
      </c>
      <c r="I34" s="17">
        <f>F34*H34</f>
        <v/>
      </c>
      <c r="J34" s="17">
        <f>-LN(H34)/C34*100</f>
        <v/>
      </c>
      <c r="K34" s="17">
        <f>(H33/H34-1)/((B34-B33)/360)*100</f>
        <v/>
      </c>
      <c r="L34" s="30" t="n"/>
      <c r="M34" s="31">
        <f>IF(L34="","",(J34-L34)*100)</f>
        <v/>
      </c>
      <c r="N34" s="6" t="inlineStr">
        <is>
          <t>OIS swap</t>
        </is>
      </c>
    </row>
    <row r="35">
      <c r="A35" s="6" t="inlineStr">
        <is>
          <t>20Y</t>
        </is>
      </c>
      <c r="B35" s="18">
        <f>EDATE($B$4,240)</f>
        <v/>
      </c>
      <c r="C35" s="28">
        <f>(B35-$B$4)/365</f>
        <v/>
      </c>
      <c r="D35" s="17">
        <f>(B35-$B$4)/360</f>
        <v/>
      </c>
      <c r="E35" s="17">
        <f>'SOFR_OIS_Quotes'!$H32</f>
        <v/>
      </c>
      <c r="F35" s="17">
        <f>(B35-$B$34)/360</f>
        <v/>
      </c>
      <c r="G35" s="17">
        <f>SUM($I$8:I34)</f>
        <v/>
      </c>
      <c r="H35" s="29">
        <f>(1-(E35/100)*G35)/(1+(E35/100)*F35)</f>
        <v/>
      </c>
      <c r="I35" s="17">
        <f>F35*H35</f>
        <v/>
      </c>
      <c r="J35" s="17">
        <f>-LN(H35)/C35*100</f>
        <v/>
      </c>
      <c r="K35" s="17">
        <f>(H34/H35-1)/((B35-B34)/360)*100</f>
        <v/>
      </c>
      <c r="L35" s="30" t="n"/>
      <c r="M35" s="31">
        <f>IF(L35="","",(J35-L35)*100)</f>
        <v/>
      </c>
      <c r="N35" s="6" t="inlineStr">
        <is>
          <t>OIS swap</t>
        </is>
      </c>
    </row>
    <row r="36">
      <c r="A36" s="6" t="inlineStr">
        <is>
          <t>25Y</t>
        </is>
      </c>
      <c r="B36" s="18">
        <f>EDATE($B$4,300)</f>
        <v/>
      </c>
      <c r="C36" s="28">
        <f>(B36-$B$4)/365</f>
        <v/>
      </c>
      <c r="D36" s="17">
        <f>(B36-$B$4)/360</f>
        <v/>
      </c>
      <c r="E36" s="17">
        <f>'SOFR_OIS_Quotes'!$H33</f>
        <v/>
      </c>
      <c r="F36" s="17">
        <f>(B36-$B$35)/360</f>
        <v/>
      </c>
      <c r="G36" s="17">
        <f>SUM($I$8:I35)</f>
        <v/>
      </c>
      <c r="H36" s="29">
        <f>(1-(E36/100)*G36)/(1+(E36/100)*F36)</f>
        <v/>
      </c>
      <c r="I36" s="17">
        <f>F36*H36</f>
        <v/>
      </c>
      <c r="J36" s="17">
        <f>-LN(H36)/C36*100</f>
        <v/>
      </c>
      <c r="K36" s="17">
        <f>(H35/H36-1)/((B36-B35)/360)*100</f>
        <v/>
      </c>
      <c r="L36" s="30" t="n"/>
      <c r="M36" s="31">
        <f>IF(L36="","",(J36-L36)*100)</f>
        <v/>
      </c>
      <c r="N36" s="6" t="inlineStr">
        <is>
          <t>OIS swap</t>
        </is>
      </c>
    </row>
    <row r="37">
      <c r="A37" s="6" t="inlineStr">
        <is>
          <t>30Y</t>
        </is>
      </c>
      <c r="B37" s="18">
        <f>EDATE($B$4,360)</f>
        <v/>
      </c>
      <c r="C37" s="28">
        <f>(B37-$B$4)/365</f>
        <v/>
      </c>
      <c r="D37" s="17">
        <f>(B37-$B$4)/360</f>
        <v/>
      </c>
      <c r="E37" s="17">
        <f>'SOFR_OIS_Quotes'!$H34</f>
        <v/>
      </c>
      <c r="F37" s="17">
        <f>(B37-$B$36)/360</f>
        <v/>
      </c>
      <c r="G37" s="17">
        <f>SUM($I$8:I36)</f>
        <v/>
      </c>
      <c r="H37" s="29">
        <f>(1-(E37/100)*G37)/(1+(E37/100)*F37)</f>
        <v/>
      </c>
      <c r="I37" s="17">
        <f>F37*H37</f>
        <v/>
      </c>
      <c r="J37" s="17">
        <f>-LN(H37)/C37*100</f>
        <v/>
      </c>
      <c r="K37" s="17">
        <f>(H36/H37-1)/((B37-B36)/360)*100</f>
        <v/>
      </c>
      <c r="L37" s="30" t="n"/>
      <c r="M37" s="31">
        <f>IF(L37="","",(J37-L37)*100)</f>
        <v/>
      </c>
      <c r="N37" s="6" t="inlineStr">
        <is>
          <t>OIS swap</t>
        </is>
      </c>
    </row>
    <row r="38">
      <c r="A38" s="6" t="inlineStr">
        <is>
          <t>40Y</t>
        </is>
      </c>
      <c r="B38" s="18">
        <f>EDATE($B$4,480)</f>
        <v/>
      </c>
      <c r="C38" s="28">
        <f>(B38-$B$4)/365</f>
        <v/>
      </c>
      <c r="D38" s="17">
        <f>(B38-$B$4)/360</f>
        <v/>
      </c>
      <c r="E38" s="17">
        <f>'SOFR_OIS_Quotes'!$H35</f>
        <v/>
      </c>
      <c r="F38" s="17">
        <f>(B38-$B$37)/360</f>
        <v/>
      </c>
      <c r="G38" s="17">
        <f>SUM($I$8:I37)</f>
        <v/>
      </c>
      <c r="H38" s="29">
        <f>(1-(E38/100)*G38)/(1+(E38/100)*F38)</f>
        <v/>
      </c>
      <c r="I38" s="17">
        <f>F38*H38</f>
        <v/>
      </c>
      <c r="J38" s="17">
        <f>-LN(H38)/C38*100</f>
        <v/>
      </c>
      <c r="K38" s="17">
        <f>(H37/H38-1)/((B38-B37)/360)*100</f>
        <v/>
      </c>
      <c r="L38" s="30" t="n"/>
      <c r="M38" s="31">
        <f>IF(L38="","",(J38-L38)*100)</f>
        <v/>
      </c>
      <c r="N38" s="6" t="inlineStr">
        <is>
          <t>OIS swap</t>
        </is>
      </c>
    </row>
    <row r="39">
      <c r="A39" s="6" t="inlineStr">
        <is>
          <t>50Y</t>
        </is>
      </c>
      <c r="B39" s="18">
        <f>EDATE($B$4,600)</f>
        <v/>
      </c>
      <c r="C39" s="28">
        <f>(B39-$B$4)/365</f>
        <v/>
      </c>
      <c r="D39" s="17">
        <f>(B39-$B$4)/360</f>
        <v/>
      </c>
      <c r="E39" s="17">
        <f>'SOFR_OIS_Quotes'!$H36</f>
        <v/>
      </c>
      <c r="F39" s="17">
        <f>(B39-$B$38)/360</f>
        <v/>
      </c>
      <c r="G39" s="17">
        <f>SUM($I$8:I38)</f>
        <v/>
      </c>
      <c r="H39" s="29">
        <f>(1-(E39/100)*G39)/(1+(E39/100)*F39)</f>
        <v/>
      </c>
      <c r="I39" s="17">
        <f>F39*H39</f>
        <v/>
      </c>
      <c r="J39" s="17">
        <f>-LN(H39)/C39*100</f>
        <v/>
      </c>
      <c r="K39" s="17">
        <f>(H38/H39-1)/((B39-B38)/360)*100</f>
        <v/>
      </c>
      <c r="L39" s="30" t="n"/>
      <c r="M39" s="31">
        <f>IF(L39="","",(J39-L39)*100)</f>
        <v/>
      </c>
      <c r="N39" s="6" t="inlineStr">
        <is>
          <t>OIS swap</t>
        </is>
      </c>
    </row>
    <row r="41" ht="44" customHeight="1">
      <c r="A41" s="9" t="inlineStr">
        <is>
          <t>THREE SEGMENTS (Zhou 2002 structure):  SHORT o/n–1Y = single-payment SOFR OIS  (DF=1/(1+S·tau0));  MIDDLE 1Y–5Y = SR3 futures chained from the 1Y DF (helper block to the right, cols O–W);  LONG 5Y–50Y = annual SOFR OIS swaps built off the futures-derived 5Y point. No overlap — each maturity is covered once. Column H is the curve P(0,T); zero z=−ln(DF)/T; DF source is in col N. Futures→forward convexity (chain col T) = 0.5·sigma^2·t1·t2, driven by the yellow sigma (bp/yr) input above the chain — raise it and the futures pull below the OIS levels. Paste S490 zeros into column L for the Δz check; the Swap_Pricer values any OIS off this curve.</t>
        </is>
      </c>
    </row>
    <row r="42"/>
  </sheetData>
  <mergeCells count="5">
    <mergeCell ref="O6:W6"/>
    <mergeCell ref="Y6:Z6"/>
    <mergeCell ref="A41:N42"/>
    <mergeCell ref="A5:N6"/>
    <mergeCell ref="Q5:W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5" customWidth="1" min="4" max="4"/>
    <col width="15" customWidth="1" min="5" max="5"/>
    <col width="13" customWidth="1" min="6" max="6"/>
    <col width="16" customWidth="1" min="7" max="7"/>
    <col width="14" customWidth="1" min="8" max="8"/>
    <col width="12" customWidth="1" min="11" max="11"/>
    <col width="13" customWidth="1" min="12" max="12"/>
  </cols>
  <sheetData>
    <row r="1">
      <c r="A1" s="1" t="inlineStr">
        <is>
          <t>Curve_Interface</t>
        </is>
      </c>
    </row>
    <row r="2">
      <c r="A2" s="2" t="inlineStr">
        <is>
          <t>Shared discounting D(0,t): interpolates the SOFR Bootstrap curve to ANY date (piecewise-flat forward). One function used by both Swap_Pricer and the CDS module.</t>
        </is>
      </c>
    </row>
    <row r="4" ht="66" customHeight="1">
      <c r="A4" s="9" t="inlineStr">
        <is>
          <t>Piecewise-flat instantaneous-forward interpolation — the SOFR curve's own baseline method. For t in (T_prev, T_next]: f = −ln(D_next/D_prev)/(T_next−T_prev), then D(0,t) = D_prev·exp(−f·(t−T_prev)). The demo rows are the STANDARD quarterly CDS dates (20 Mar/Jun/Sep/Dec) out to 10Y — proving the curve returns a discount factor on every CDS payment date even though those dates don't coincide with the SOFR pillars. A CDS schedule just references this same formula, so any change to fixings/futures/OIS/interpolation flows straight through. Curve grid (spot + Bootstrap pillars) is in cols K:L.</t>
        </is>
      </c>
    </row>
    <row r="5"/>
    <row r="6">
      <c r="K6" s="13" t="inlineStr">
        <is>
          <t>Curve grid (from Bootstrap)</t>
        </is>
      </c>
    </row>
    <row r="7">
      <c r="A7" s="13" t="inlineStr">
        <is>
          <t>Valuation:</t>
        </is>
      </c>
      <c r="B7" s="34">
        <f>VAL_DATE</f>
        <v/>
      </c>
      <c r="C7" s="13" t="inlineStr">
        <is>
          <t>Spot:</t>
        </is>
      </c>
      <c r="D7" s="34">
        <f>Bootstrap!$B$4</f>
        <v/>
      </c>
      <c r="E7" s="13" t="inlineStr">
        <is>
          <t>1st CDS date:</t>
        </is>
      </c>
      <c r="F7" s="34">
        <f>IF(DATE(YEAR(VAL_DATE),CEILING(MONTH(VAL_DATE)/3,1)*3,20)&gt;=VAL_DATE,DATE(YEAR(VAL_DATE),CEILING(MONTH(VAL_DATE)/3,1)*3,20),EDATE(DATE(YEAR(VAL_DATE),CEILING(MONTH(VAL_DATE)/3,1)*3,20),3))</f>
        <v/>
      </c>
      <c r="K7" s="20" t="inlineStr">
        <is>
          <t>Date</t>
        </is>
      </c>
      <c r="L7" s="20" t="inlineStr">
        <is>
          <t>DF</t>
        </is>
      </c>
    </row>
    <row r="8">
      <c r="K8" s="18">
        <f>Bootstrap!$B$4</f>
        <v/>
      </c>
      <c r="L8" s="33" t="n">
        <v>1</v>
      </c>
    </row>
    <row r="9">
      <c r="A9" s="20" t="inlineStr">
        <is>
          <t>Coupon #</t>
        </is>
      </c>
      <c r="B9" s="20" t="inlineStr">
        <is>
          <t>Date</t>
        </is>
      </c>
      <c r="C9" s="20" t="inlineStr">
        <is>
          <t>Time from val (yrs)</t>
        </is>
      </c>
      <c r="D9" s="20" t="inlineStr">
        <is>
          <t>Prev SOFR pillar</t>
        </is>
      </c>
      <c r="E9" s="20" t="inlineStr">
        <is>
          <t>Next SOFR pillar</t>
        </is>
      </c>
      <c r="F9" s="20" t="inlineStr">
        <is>
          <t>Segment fwd (%)</t>
        </is>
      </c>
      <c r="G9" s="20" t="inlineStr">
        <is>
          <t>Interp DF  D(0,t)</t>
        </is>
      </c>
      <c r="H9" s="20" t="inlineStr">
        <is>
          <t>Interp zero (%)</t>
        </is>
      </c>
      <c r="K9" s="18">
        <f>Bootstrap!B8</f>
        <v/>
      </c>
      <c r="L9" s="33">
        <f>Bootstrap!H8</f>
        <v/>
      </c>
    </row>
    <row r="10">
      <c r="A10" s="35" t="n">
        <v>1</v>
      </c>
      <c r="B10" s="18">
        <f>EDATE($F$7,3*0)</f>
        <v/>
      </c>
      <c r="C10" s="28">
        <f>(B10-VAL_DATE)/365</f>
        <v/>
      </c>
      <c r="D10" s="18">
        <f>INDEX($K$8:$K$40,MATCH(B10,$K$8:$K$40,1))</f>
        <v/>
      </c>
      <c r="E10" s="18">
        <f>INDEX($K$8:$K$40,MATCH(B10,$K$8:$K$40,1)+1)</f>
        <v/>
      </c>
      <c r="F10" s="17">
        <f>-LN(INDEX($L$8:$L$40,MATCH(B10,$K$8:$K$40,1)+1)/INDEX($L$8:$L$40,MATCH(B10,$K$8:$K$40,1)))/((E10-D10)/365)*100</f>
        <v/>
      </c>
      <c r="G10" s="33">
        <f>INDEX($L$8:$L$40,MATCH(B10,$K$8:$K$40,1))*EXP(-(F10/100)*(B10-D10)/365)</f>
        <v/>
      </c>
      <c r="H10" s="17">
        <f>-LN(G10)/C10*100</f>
        <v/>
      </c>
      <c r="K10" s="18">
        <f>Bootstrap!B9</f>
        <v/>
      </c>
      <c r="L10" s="33">
        <f>Bootstrap!H9</f>
        <v/>
      </c>
    </row>
    <row r="11">
      <c r="A11" s="35" t="n">
        <v>2</v>
      </c>
      <c r="B11" s="18">
        <f>EDATE($F$7,3*1)</f>
        <v/>
      </c>
      <c r="C11" s="28">
        <f>(B11-VAL_DATE)/365</f>
        <v/>
      </c>
      <c r="D11" s="18">
        <f>INDEX($K$8:$K$40,MATCH(B11,$K$8:$K$40,1))</f>
        <v/>
      </c>
      <c r="E11" s="18">
        <f>INDEX($K$8:$K$40,MATCH(B11,$K$8:$K$40,1)+1)</f>
        <v/>
      </c>
      <c r="F11" s="17">
        <f>-LN(INDEX($L$8:$L$40,MATCH(B11,$K$8:$K$40,1)+1)/INDEX($L$8:$L$40,MATCH(B11,$K$8:$K$40,1)))/((E11-D11)/365)*100</f>
        <v/>
      </c>
      <c r="G11" s="33">
        <f>INDEX($L$8:$L$40,MATCH(B11,$K$8:$K$40,1))*EXP(-(F11/100)*(B11-D11)/365)</f>
        <v/>
      </c>
      <c r="H11" s="17">
        <f>-LN(G11)/C11*100</f>
        <v/>
      </c>
      <c r="K11" s="18">
        <f>Bootstrap!B10</f>
        <v/>
      </c>
      <c r="L11" s="33">
        <f>Bootstrap!H10</f>
        <v/>
      </c>
    </row>
    <row r="12">
      <c r="A12" s="35" t="n">
        <v>3</v>
      </c>
      <c r="B12" s="18">
        <f>EDATE($F$7,3*2)</f>
        <v/>
      </c>
      <c r="C12" s="28">
        <f>(B12-VAL_DATE)/365</f>
        <v/>
      </c>
      <c r="D12" s="18">
        <f>INDEX($K$8:$K$40,MATCH(B12,$K$8:$K$40,1))</f>
        <v/>
      </c>
      <c r="E12" s="18">
        <f>INDEX($K$8:$K$40,MATCH(B12,$K$8:$K$40,1)+1)</f>
        <v/>
      </c>
      <c r="F12" s="17">
        <f>-LN(INDEX($L$8:$L$40,MATCH(B12,$K$8:$K$40,1)+1)/INDEX($L$8:$L$40,MATCH(B12,$K$8:$K$40,1)))/((E12-D12)/365)*100</f>
        <v/>
      </c>
      <c r="G12" s="33">
        <f>INDEX($L$8:$L$40,MATCH(B12,$K$8:$K$40,1))*EXP(-(F12/100)*(B12-D12)/365)</f>
        <v/>
      </c>
      <c r="H12" s="17">
        <f>-LN(G12)/C12*100</f>
        <v/>
      </c>
      <c r="K12" s="18">
        <f>Bootstrap!B11</f>
        <v/>
      </c>
      <c r="L12" s="33">
        <f>Bootstrap!H11</f>
        <v/>
      </c>
    </row>
    <row r="13">
      <c r="A13" s="35" t="n">
        <v>4</v>
      </c>
      <c r="B13" s="18">
        <f>EDATE($F$7,3*3)</f>
        <v/>
      </c>
      <c r="C13" s="28">
        <f>(B13-VAL_DATE)/365</f>
        <v/>
      </c>
      <c r="D13" s="18">
        <f>INDEX($K$8:$K$40,MATCH(B13,$K$8:$K$40,1))</f>
        <v/>
      </c>
      <c r="E13" s="18">
        <f>INDEX($K$8:$K$40,MATCH(B13,$K$8:$K$40,1)+1)</f>
        <v/>
      </c>
      <c r="F13" s="17">
        <f>-LN(INDEX($L$8:$L$40,MATCH(B13,$K$8:$K$40,1)+1)/INDEX($L$8:$L$40,MATCH(B13,$K$8:$K$40,1)))/((E13-D13)/365)*100</f>
        <v/>
      </c>
      <c r="G13" s="33">
        <f>INDEX($L$8:$L$40,MATCH(B13,$K$8:$K$40,1))*EXP(-(F13/100)*(B13-D13)/365)</f>
        <v/>
      </c>
      <c r="H13" s="17">
        <f>-LN(G13)/C13*100</f>
        <v/>
      </c>
      <c r="K13" s="18">
        <f>Bootstrap!B12</f>
        <v/>
      </c>
      <c r="L13" s="33">
        <f>Bootstrap!H12</f>
        <v/>
      </c>
    </row>
    <row r="14">
      <c r="A14" s="35" t="n">
        <v>5</v>
      </c>
      <c r="B14" s="18">
        <f>EDATE($F$7,3*4)</f>
        <v/>
      </c>
      <c r="C14" s="28">
        <f>(B14-VAL_DATE)/365</f>
        <v/>
      </c>
      <c r="D14" s="18">
        <f>INDEX($K$8:$K$40,MATCH(B14,$K$8:$K$40,1))</f>
        <v/>
      </c>
      <c r="E14" s="18">
        <f>INDEX($K$8:$K$40,MATCH(B14,$K$8:$K$40,1)+1)</f>
        <v/>
      </c>
      <c r="F14" s="17">
        <f>-LN(INDEX($L$8:$L$40,MATCH(B14,$K$8:$K$40,1)+1)/INDEX($L$8:$L$40,MATCH(B14,$K$8:$K$40,1)))/((E14-D14)/365)*100</f>
        <v/>
      </c>
      <c r="G14" s="33">
        <f>INDEX($L$8:$L$40,MATCH(B14,$K$8:$K$40,1))*EXP(-(F14/100)*(B14-D14)/365)</f>
        <v/>
      </c>
      <c r="H14" s="17">
        <f>-LN(G14)/C14*100</f>
        <v/>
      </c>
      <c r="K14" s="18">
        <f>Bootstrap!B13</f>
        <v/>
      </c>
      <c r="L14" s="33">
        <f>Bootstrap!H13</f>
        <v/>
      </c>
    </row>
    <row r="15">
      <c r="A15" s="35" t="n">
        <v>6</v>
      </c>
      <c r="B15" s="18">
        <f>EDATE($F$7,3*5)</f>
        <v/>
      </c>
      <c r="C15" s="28">
        <f>(B15-VAL_DATE)/365</f>
        <v/>
      </c>
      <c r="D15" s="18">
        <f>INDEX($K$8:$K$40,MATCH(B15,$K$8:$K$40,1))</f>
        <v/>
      </c>
      <c r="E15" s="18">
        <f>INDEX($K$8:$K$40,MATCH(B15,$K$8:$K$40,1)+1)</f>
        <v/>
      </c>
      <c r="F15" s="17">
        <f>-LN(INDEX($L$8:$L$40,MATCH(B15,$K$8:$K$40,1)+1)/INDEX($L$8:$L$40,MATCH(B15,$K$8:$K$40,1)))/((E15-D15)/365)*100</f>
        <v/>
      </c>
      <c r="G15" s="33">
        <f>INDEX($L$8:$L$40,MATCH(B15,$K$8:$K$40,1))*EXP(-(F15/100)*(B15-D15)/365)</f>
        <v/>
      </c>
      <c r="H15" s="17">
        <f>-LN(G15)/C15*100</f>
        <v/>
      </c>
      <c r="K15" s="18">
        <f>Bootstrap!B14</f>
        <v/>
      </c>
      <c r="L15" s="33">
        <f>Bootstrap!H14</f>
        <v/>
      </c>
    </row>
    <row r="16">
      <c r="A16" s="35" t="n">
        <v>7</v>
      </c>
      <c r="B16" s="18">
        <f>EDATE($F$7,3*6)</f>
        <v/>
      </c>
      <c r="C16" s="28">
        <f>(B16-VAL_DATE)/365</f>
        <v/>
      </c>
      <c r="D16" s="18">
        <f>INDEX($K$8:$K$40,MATCH(B16,$K$8:$K$40,1))</f>
        <v/>
      </c>
      <c r="E16" s="18">
        <f>INDEX($K$8:$K$40,MATCH(B16,$K$8:$K$40,1)+1)</f>
        <v/>
      </c>
      <c r="F16" s="17">
        <f>-LN(INDEX($L$8:$L$40,MATCH(B16,$K$8:$K$40,1)+1)/INDEX($L$8:$L$40,MATCH(B16,$K$8:$K$40,1)))/((E16-D16)/365)*100</f>
        <v/>
      </c>
      <c r="G16" s="33">
        <f>INDEX($L$8:$L$40,MATCH(B16,$K$8:$K$40,1))*EXP(-(F16/100)*(B16-D16)/365)</f>
        <v/>
      </c>
      <c r="H16" s="17">
        <f>-LN(G16)/C16*100</f>
        <v/>
      </c>
      <c r="K16" s="18">
        <f>Bootstrap!B15</f>
        <v/>
      </c>
      <c r="L16" s="33">
        <f>Bootstrap!H15</f>
        <v/>
      </c>
    </row>
    <row r="17">
      <c r="A17" s="35" t="n">
        <v>8</v>
      </c>
      <c r="B17" s="18">
        <f>EDATE($F$7,3*7)</f>
        <v/>
      </c>
      <c r="C17" s="28">
        <f>(B17-VAL_DATE)/365</f>
        <v/>
      </c>
      <c r="D17" s="18">
        <f>INDEX($K$8:$K$40,MATCH(B17,$K$8:$K$40,1))</f>
        <v/>
      </c>
      <c r="E17" s="18">
        <f>INDEX($K$8:$K$40,MATCH(B17,$K$8:$K$40,1)+1)</f>
        <v/>
      </c>
      <c r="F17" s="17">
        <f>-LN(INDEX($L$8:$L$40,MATCH(B17,$K$8:$K$40,1)+1)/INDEX($L$8:$L$40,MATCH(B17,$K$8:$K$40,1)))/((E17-D17)/365)*100</f>
        <v/>
      </c>
      <c r="G17" s="33">
        <f>INDEX($L$8:$L$40,MATCH(B17,$K$8:$K$40,1))*EXP(-(F17/100)*(B17-D17)/365)</f>
        <v/>
      </c>
      <c r="H17" s="17">
        <f>-LN(G17)/C17*100</f>
        <v/>
      </c>
      <c r="K17" s="18">
        <f>Bootstrap!B16</f>
        <v/>
      </c>
      <c r="L17" s="33">
        <f>Bootstrap!H16</f>
        <v/>
      </c>
    </row>
    <row r="18">
      <c r="A18" s="35" t="n">
        <v>9</v>
      </c>
      <c r="B18" s="18">
        <f>EDATE($F$7,3*8)</f>
        <v/>
      </c>
      <c r="C18" s="28">
        <f>(B18-VAL_DATE)/365</f>
        <v/>
      </c>
      <c r="D18" s="18">
        <f>INDEX($K$8:$K$40,MATCH(B18,$K$8:$K$40,1))</f>
        <v/>
      </c>
      <c r="E18" s="18">
        <f>INDEX($K$8:$K$40,MATCH(B18,$K$8:$K$40,1)+1)</f>
        <v/>
      </c>
      <c r="F18" s="17">
        <f>-LN(INDEX($L$8:$L$40,MATCH(B18,$K$8:$K$40,1)+1)/INDEX($L$8:$L$40,MATCH(B18,$K$8:$K$40,1)))/((E18-D18)/365)*100</f>
        <v/>
      </c>
      <c r="G18" s="33">
        <f>INDEX($L$8:$L$40,MATCH(B18,$K$8:$K$40,1))*EXP(-(F18/100)*(B18-D18)/365)</f>
        <v/>
      </c>
      <c r="H18" s="17">
        <f>-LN(G18)/C18*100</f>
        <v/>
      </c>
      <c r="K18" s="18">
        <f>Bootstrap!B17</f>
        <v/>
      </c>
      <c r="L18" s="33">
        <f>Bootstrap!H17</f>
        <v/>
      </c>
    </row>
    <row r="19">
      <c r="A19" s="35" t="n">
        <v>10</v>
      </c>
      <c r="B19" s="18">
        <f>EDATE($F$7,3*9)</f>
        <v/>
      </c>
      <c r="C19" s="28">
        <f>(B19-VAL_DATE)/365</f>
        <v/>
      </c>
      <c r="D19" s="18">
        <f>INDEX($K$8:$K$40,MATCH(B19,$K$8:$K$40,1))</f>
        <v/>
      </c>
      <c r="E19" s="18">
        <f>INDEX($K$8:$K$40,MATCH(B19,$K$8:$K$40,1)+1)</f>
        <v/>
      </c>
      <c r="F19" s="17">
        <f>-LN(INDEX($L$8:$L$40,MATCH(B19,$K$8:$K$40,1)+1)/INDEX($L$8:$L$40,MATCH(B19,$K$8:$K$40,1)))/((E19-D19)/365)*100</f>
        <v/>
      </c>
      <c r="G19" s="33">
        <f>INDEX($L$8:$L$40,MATCH(B19,$K$8:$K$40,1))*EXP(-(F19/100)*(B19-D19)/365)</f>
        <v/>
      </c>
      <c r="H19" s="17">
        <f>-LN(G19)/C19*100</f>
        <v/>
      </c>
      <c r="K19" s="18">
        <f>Bootstrap!B18</f>
        <v/>
      </c>
      <c r="L19" s="33">
        <f>Bootstrap!H18</f>
        <v/>
      </c>
    </row>
    <row r="20">
      <c r="A20" s="35" t="n">
        <v>11</v>
      </c>
      <c r="B20" s="18">
        <f>EDATE($F$7,3*10)</f>
        <v/>
      </c>
      <c r="C20" s="28">
        <f>(B20-VAL_DATE)/365</f>
        <v/>
      </c>
      <c r="D20" s="18">
        <f>INDEX($K$8:$K$40,MATCH(B20,$K$8:$K$40,1))</f>
        <v/>
      </c>
      <c r="E20" s="18">
        <f>INDEX($K$8:$K$40,MATCH(B20,$K$8:$K$40,1)+1)</f>
        <v/>
      </c>
      <c r="F20" s="17">
        <f>-LN(INDEX($L$8:$L$40,MATCH(B20,$K$8:$K$40,1)+1)/INDEX($L$8:$L$40,MATCH(B20,$K$8:$K$40,1)))/((E20-D20)/365)*100</f>
        <v/>
      </c>
      <c r="G20" s="33">
        <f>INDEX($L$8:$L$40,MATCH(B20,$K$8:$K$40,1))*EXP(-(F20/100)*(B20-D20)/365)</f>
        <v/>
      </c>
      <c r="H20" s="17">
        <f>-LN(G20)/C20*100</f>
        <v/>
      </c>
      <c r="K20" s="18">
        <f>Bootstrap!B19</f>
        <v/>
      </c>
      <c r="L20" s="33">
        <f>Bootstrap!H19</f>
        <v/>
      </c>
    </row>
    <row r="21">
      <c r="A21" s="35" t="n">
        <v>12</v>
      </c>
      <c r="B21" s="18">
        <f>EDATE($F$7,3*11)</f>
        <v/>
      </c>
      <c r="C21" s="28">
        <f>(B21-VAL_DATE)/365</f>
        <v/>
      </c>
      <c r="D21" s="18">
        <f>INDEX($K$8:$K$40,MATCH(B21,$K$8:$K$40,1))</f>
        <v/>
      </c>
      <c r="E21" s="18">
        <f>INDEX($K$8:$K$40,MATCH(B21,$K$8:$K$40,1)+1)</f>
        <v/>
      </c>
      <c r="F21" s="17">
        <f>-LN(INDEX($L$8:$L$40,MATCH(B21,$K$8:$K$40,1)+1)/INDEX($L$8:$L$40,MATCH(B21,$K$8:$K$40,1)))/((E21-D21)/365)*100</f>
        <v/>
      </c>
      <c r="G21" s="33">
        <f>INDEX($L$8:$L$40,MATCH(B21,$K$8:$K$40,1))*EXP(-(F21/100)*(B21-D21)/365)</f>
        <v/>
      </c>
      <c r="H21" s="17">
        <f>-LN(G21)/C21*100</f>
        <v/>
      </c>
      <c r="K21" s="18">
        <f>Bootstrap!B20</f>
        <v/>
      </c>
      <c r="L21" s="33">
        <f>Bootstrap!H20</f>
        <v/>
      </c>
    </row>
    <row r="22">
      <c r="A22" s="35" t="n">
        <v>13</v>
      </c>
      <c r="B22" s="18">
        <f>EDATE($F$7,3*12)</f>
        <v/>
      </c>
      <c r="C22" s="28">
        <f>(B22-VAL_DATE)/365</f>
        <v/>
      </c>
      <c r="D22" s="18">
        <f>INDEX($K$8:$K$40,MATCH(B22,$K$8:$K$40,1))</f>
        <v/>
      </c>
      <c r="E22" s="18">
        <f>INDEX($K$8:$K$40,MATCH(B22,$K$8:$K$40,1)+1)</f>
        <v/>
      </c>
      <c r="F22" s="17">
        <f>-LN(INDEX($L$8:$L$40,MATCH(B22,$K$8:$K$40,1)+1)/INDEX($L$8:$L$40,MATCH(B22,$K$8:$K$40,1)))/((E22-D22)/365)*100</f>
        <v/>
      </c>
      <c r="G22" s="33">
        <f>INDEX($L$8:$L$40,MATCH(B22,$K$8:$K$40,1))*EXP(-(F22/100)*(B22-D22)/365)</f>
        <v/>
      </c>
      <c r="H22" s="17">
        <f>-LN(G22)/C22*100</f>
        <v/>
      </c>
      <c r="K22" s="18">
        <f>Bootstrap!B21</f>
        <v/>
      </c>
      <c r="L22" s="33">
        <f>Bootstrap!H21</f>
        <v/>
      </c>
    </row>
    <row r="23">
      <c r="A23" s="35" t="n">
        <v>14</v>
      </c>
      <c r="B23" s="18">
        <f>EDATE($F$7,3*13)</f>
        <v/>
      </c>
      <c r="C23" s="28">
        <f>(B23-VAL_DATE)/365</f>
        <v/>
      </c>
      <c r="D23" s="18">
        <f>INDEX($K$8:$K$40,MATCH(B23,$K$8:$K$40,1))</f>
        <v/>
      </c>
      <c r="E23" s="18">
        <f>INDEX($K$8:$K$40,MATCH(B23,$K$8:$K$40,1)+1)</f>
        <v/>
      </c>
      <c r="F23" s="17">
        <f>-LN(INDEX($L$8:$L$40,MATCH(B23,$K$8:$K$40,1)+1)/INDEX($L$8:$L$40,MATCH(B23,$K$8:$K$40,1)))/((E23-D23)/365)*100</f>
        <v/>
      </c>
      <c r="G23" s="33">
        <f>INDEX($L$8:$L$40,MATCH(B23,$K$8:$K$40,1))*EXP(-(F23/100)*(B23-D23)/365)</f>
        <v/>
      </c>
      <c r="H23" s="17">
        <f>-LN(G23)/C23*100</f>
        <v/>
      </c>
      <c r="K23" s="18">
        <f>Bootstrap!B22</f>
        <v/>
      </c>
      <c r="L23" s="33">
        <f>Bootstrap!H22</f>
        <v/>
      </c>
    </row>
    <row r="24">
      <c r="A24" s="35" t="n">
        <v>15</v>
      </c>
      <c r="B24" s="18">
        <f>EDATE($F$7,3*14)</f>
        <v/>
      </c>
      <c r="C24" s="28">
        <f>(B24-VAL_DATE)/365</f>
        <v/>
      </c>
      <c r="D24" s="18">
        <f>INDEX($K$8:$K$40,MATCH(B24,$K$8:$K$40,1))</f>
        <v/>
      </c>
      <c r="E24" s="18">
        <f>INDEX($K$8:$K$40,MATCH(B24,$K$8:$K$40,1)+1)</f>
        <v/>
      </c>
      <c r="F24" s="17">
        <f>-LN(INDEX($L$8:$L$40,MATCH(B24,$K$8:$K$40,1)+1)/INDEX($L$8:$L$40,MATCH(B24,$K$8:$K$40,1)))/((E24-D24)/365)*100</f>
        <v/>
      </c>
      <c r="G24" s="33">
        <f>INDEX($L$8:$L$40,MATCH(B24,$K$8:$K$40,1))*EXP(-(F24/100)*(B24-D24)/365)</f>
        <v/>
      </c>
      <c r="H24" s="17">
        <f>-LN(G24)/C24*100</f>
        <v/>
      </c>
      <c r="K24" s="18">
        <f>Bootstrap!B23</f>
        <v/>
      </c>
      <c r="L24" s="33">
        <f>Bootstrap!H23</f>
        <v/>
      </c>
    </row>
    <row r="25">
      <c r="A25" s="35" t="n">
        <v>16</v>
      </c>
      <c r="B25" s="18">
        <f>EDATE($F$7,3*15)</f>
        <v/>
      </c>
      <c r="C25" s="28">
        <f>(B25-VAL_DATE)/365</f>
        <v/>
      </c>
      <c r="D25" s="18">
        <f>INDEX($K$8:$K$40,MATCH(B25,$K$8:$K$40,1))</f>
        <v/>
      </c>
      <c r="E25" s="18">
        <f>INDEX($K$8:$K$40,MATCH(B25,$K$8:$K$40,1)+1)</f>
        <v/>
      </c>
      <c r="F25" s="17">
        <f>-LN(INDEX($L$8:$L$40,MATCH(B25,$K$8:$K$40,1)+1)/INDEX($L$8:$L$40,MATCH(B25,$K$8:$K$40,1)))/((E25-D25)/365)*100</f>
        <v/>
      </c>
      <c r="G25" s="33">
        <f>INDEX($L$8:$L$40,MATCH(B25,$K$8:$K$40,1))*EXP(-(F25/100)*(B25-D25)/365)</f>
        <v/>
      </c>
      <c r="H25" s="17">
        <f>-LN(G25)/C25*100</f>
        <v/>
      </c>
      <c r="K25" s="18">
        <f>Bootstrap!B24</f>
        <v/>
      </c>
      <c r="L25" s="33">
        <f>Bootstrap!H24</f>
        <v/>
      </c>
    </row>
    <row r="26">
      <c r="A26" s="35" t="n">
        <v>17</v>
      </c>
      <c r="B26" s="18">
        <f>EDATE($F$7,3*16)</f>
        <v/>
      </c>
      <c r="C26" s="28">
        <f>(B26-VAL_DATE)/365</f>
        <v/>
      </c>
      <c r="D26" s="18">
        <f>INDEX($K$8:$K$40,MATCH(B26,$K$8:$K$40,1))</f>
        <v/>
      </c>
      <c r="E26" s="18">
        <f>INDEX($K$8:$K$40,MATCH(B26,$K$8:$K$40,1)+1)</f>
        <v/>
      </c>
      <c r="F26" s="17">
        <f>-LN(INDEX($L$8:$L$40,MATCH(B26,$K$8:$K$40,1)+1)/INDEX($L$8:$L$40,MATCH(B26,$K$8:$K$40,1)))/((E26-D26)/365)*100</f>
        <v/>
      </c>
      <c r="G26" s="33">
        <f>INDEX($L$8:$L$40,MATCH(B26,$K$8:$K$40,1))*EXP(-(F26/100)*(B26-D26)/365)</f>
        <v/>
      </c>
      <c r="H26" s="17">
        <f>-LN(G26)/C26*100</f>
        <v/>
      </c>
      <c r="K26" s="18">
        <f>Bootstrap!B25</f>
        <v/>
      </c>
      <c r="L26" s="33">
        <f>Bootstrap!H25</f>
        <v/>
      </c>
    </row>
    <row r="27">
      <c r="A27" s="35" t="n">
        <v>18</v>
      </c>
      <c r="B27" s="18">
        <f>EDATE($F$7,3*17)</f>
        <v/>
      </c>
      <c r="C27" s="28">
        <f>(B27-VAL_DATE)/365</f>
        <v/>
      </c>
      <c r="D27" s="18">
        <f>INDEX($K$8:$K$40,MATCH(B27,$K$8:$K$40,1))</f>
        <v/>
      </c>
      <c r="E27" s="18">
        <f>INDEX($K$8:$K$40,MATCH(B27,$K$8:$K$40,1)+1)</f>
        <v/>
      </c>
      <c r="F27" s="17">
        <f>-LN(INDEX($L$8:$L$40,MATCH(B27,$K$8:$K$40,1)+1)/INDEX($L$8:$L$40,MATCH(B27,$K$8:$K$40,1)))/((E27-D27)/365)*100</f>
        <v/>
      </c>
      <c r="G27" s="33">
        <f>INDEX($L$8:$L$40,MATCH(B27,$K$8:$K$40,1))*EXP(-(F27/100)*(B27-D27)/365)</f>
        <v/>
      </c>
      <c r="H27" s="17">
        <f>-LN(G27)/C27*100</f>
        <v/>
      </c>
      <c r="K27" s="18">
        <f>Bootstrap!B26</f>
        <v/>
      </c>
      <c r="L27" s="33">
        <f>Bootstrap!H26</f>
        <v/>
      </c>
    </row>
    <row r="28">
      <c r="A28" s="35" t="n">
        <v>19</v>
      </c>
      <c r="B28" s="18">
        <f>EDATE($F$7,3*18)</f>
        <v/>
      </c>
      <c r="C28" s="28">
        <f>(B28-VAL_DATE)/365</f>
        <v/>
      </c>
      <c r="D28" s="18">
        <f>INDEX($K$8:$K$40,MATCH(B28,$K$8:$K$40,1))</f>
        <v/>
      </c>
      <c r="E28" s="18">
        <f>INDEX($K$8:$K$40,MATCH(B28,$K$8:$K$40,1)+1)</f>
        <v/>
      </c>
      <c r="F28" s="17">
        <f>-LN(INDEX($L$8:$L$40,MATCH(B28,$K$8:$K$40,1)+1)/INDEX($L$8:$L$40,MATCH(B28,$K$8:$K$40,1)))/((E28-D28)/365)*100</f>
        <v/>
      </c>
      <c r="G28" s="33">
        <f>INDEX($L$8:$L$40,MATCH(B28,$K$8:$K$40,1))*EXP(-(F28/100)*(B28-D28)/365)</f>
        <v/>
      </c>
      <c r="H28" s="17">
        <f>-LN(G28)/C28*100</f>
        <v/>
      </c>
      <c r="K28" s="18">
        <f>Bootstrap!B27</f>
        <v/>
      </c>
      <c r="L28" s="33">
        <f>Bootstrap!H27</f>
        <v/>
      </c>
    </row>
    <row r="29">
      <c r="A29" s="35" t="n">
        <v>20</v>
      </c>
      <c r="B29" s="18">
        <f>EDATE($F$7,3*19)</f>
        <v/>
      </c>
      <c r="C29" s="28">
        <f>(B29-VAL_DATE)/365</f>
        <v/>
      </c>
      <c r="D29" s="18">
        <f>INDEX($K$8:$K$40,MATCH(B29,$K$8:$K$40,1))</f>
        <v/>
      </c>
      <c r="E29" s="18">
        <f>INDEX($K$8:$K$40,MATCH(B29,$K$8:$K$40,1)+1)</f>
        <v/>
      </c>
      <c r="F29" s="17">
        <f>-LN(INDEX($L$8:$L$40,MATCH(B29,$K$8:$K$40,1)+1)/INDEX($L$8:$L$40,MATCH(B29,$K$8:$K$40,1)))/((E29-D29)/365)*100</f>
        <v/>
      </c>
      <c r="G29" s="33">
        <f>INDEX($L$8:$L$40,MATCH(B29,$K$8:$K$40,1))*EXP(-(F29/100)*(B29-D29)/365)</f>
        <v/>
      </c>
      <c r="H29" s="17">
        <f>-LN(G29)/C29*100</f>
        <v/>
      </c>
      <c r="K29" s="18">
        <f>Bootstrap!B28</f>
        <v/>
      </c>
      <c r="L29" s="33">
        <f>Bootstrap!H28</f>
        <v/>
      </c>
    </row>
    <row r="30">
      <c r="A30" s="35" t="n">
        <v>21</v>
      </c>
      <c r="B30" s="18">
        <f>EDATE($F$7,3*20)</f>
        <v/>
      </c>
      <c r="C30" s="28">
        <f>(B30-VAL_DATE)/365</f>
        <v/>
      </c>
      <c r="D30" s="18">
        <f>INDEX($K$8:$K$40,MATCH(B30,$K$8:$K$40,1))</f>
        <v/>
      </c>
      <c r="E30" s="18">
        <f>INDEX($K$8:$K$40,MATCH(B30,$K$8:$K$40,1)+1)</f>
        <v/>
      </c>
      <c r="F30" s="17">
        <f>-LN(INDEX($L$8:$L$40,MATCH(B30,$K$8:$K$40,1)+1)/INDEX($L$8:$L$40,MATCH(B30,$K$8:$K$40,1)))/((E30-D30)/365)*100</f>
        <v/>
      </c>
      <c r="G30" s="33">
        <f>INDEX($L$8:$L$40,MATCH(B30,$K$8:$K$40,1))*EXP(-(F30/100)*(B30-D30)/365)</f>
        <v/>
      </c>
      <c r="H30" s="17">
        <f>-LN(G30)/C30*100</f>
        <v/>
      </c>
      <c r="K30" s="18">
        <f>Bootstrap!B29</f>
        <v/>
      </c>
      <c r="L30" s="33">
        <f>Bootstrap!H29</f>
        <v/>
      </c>
    </row>
    <row r="31">
      <c r="A31" s="35" t="n">
        <v>22</v>
      </c>
      <c r="B31" s="18">
        <f>EDATE($F$7,3*21)</f>
        <v/>
      </c>
      <c r="C31" s="28">
        <f>(B31-VAL_DATE)/365</f>
        <v/>
      </c>
      <c r="D31" s="18">
        <f>INDEX($K$8:$K$40,MATCH(B31,$K$8:$K$40,1))</f>
        <v/>
      </c>
      <c r="E31" s="18">
        <f>INDEX($K$8:$K$40,MATCH(B31,$K$8:$K$40,1)+1)</f>
        <v/>
      </c>
      <c r="F31" s="17">
        <f>-LN(INDEX($L$8:$L$40,MATCH(B31,$K$8:$K$40,1)+1)/INDEX($L$8:$L$40,MATCH(B31,$K$8:$K$40,1)))/((E31-D31)/365)*100</f>
        <v/>
      </c>
      <c r="G31" s="33">
        <f>INDEX($L$8:$L$40,MATCH(B31,$K$8:$K$40,1))*EXP(-(F31/100)*(B31-D31)/365)</f>
        <v/>
      </c>
      <c r="H31" s="17">
        <f>-LN(G31)/C31*100</f>
        <v/>
      </c>
      <c r="K31" s="18">
        <f>Bootstrap!B30</f>
        <v/>
      </c>
      <c r="L31" s="33">
        <f>Bootstrap!H30</f>
        <v/>
      </c>
    </row>
    <row r="32">
      <c r="A32" s="35" t="n">
        <v>23</v>
      </c>
      <c r="B32" s="18">
        <f>EDATE($F$7,3*22)</f>
        <v/>
      </c>
      <c r="C32" s="28">
        <f>(B32-VAL_DATE)/365</f>
        <v/>
      </c>
      <c r="D32" s="18">
        <f>INDEX($K$8:$K$40,MATCH(B32,$K$8:$K$40,1))</f>
        <v/>
      </c>
      <c r="E32" s="18">
        <f>INDEX($K$8:$K$40,MATCH(B32,$K$8:$K$40,1)+1)</f>
        <v/>
      </c>
      <c r="F32" s="17">
        <f>-LN(INDEX($L$8:$L$40,MATCH(B32,$K$8:$K$40,1)+1)/INDEX($L$8:$L$40,MATCH(B32,$K$8:$K$40,1)))/((E32-D32)/365)*100</f>
        <v/>
      </c>
      <c r="G32" s="33">
        <f>INDEX($L$8:$L$40,MATCH(B32,$K$8:$K$40,1))*EXP(-(F32/100)*(B32-D32)/365)</f>
        <v/>
      </c>
      <c r="H32" s="17">
        <f>-LN(G32)/C32*100</f>
        <v/>
      </c>
      <c r="K32" s="18">
        <f>Bootstrap!B31</f>
        <v/>
      </c>
      <c r="L32" s="33">
        <f>Bootstrap!H31</f>
        <v/>
      </c>
    </row>
    <row r="33">
      <c r="A33" s="35" t="n">
        <v>24</v>
      </c>
      <c r="B33" s="18">
        <f>EDATE($F$7,3*23)</f>
        <v/>
      </c>
      <c r="C33" s="28">
        <f>(B33-VAL_DATE)/365</f>
        <v/>
      </c>
      <c r="D33" s="18">
        <f>INDEX($K$8:$K$40,MATCH(B33,$K$8:$K$40,1))</f>
        <v/>
      </c>
      <c r="E33" s="18">
        <f>INDEX($K$8:$K$40,MATCH(B33,$K$8:$K$40,1)+1)</f>
        <v/>
      </c>
      <c r="F33" s="17">
        <f>-LN(INDEX($L$8:$L$40,MATCH(B33,$K$8:$K$40,1)+1)/INDEX($L$8:$L$40,MATCH(B33,$K$8:$K$40,1)))/((E33-D33)/365)*100</f>
        <v/>
      </c>
      <c r="G33" s="33">
        <f>INDEX($L$8:$L$40,MATCH(B33,$K$8:$K$40,1))*EXP(-(F33/100)*(B33-D33)/365)</f>
        <v/>
      </c>
      <c r="H33" s="17">
        <f>-LN(G33)/C33*100</f>
        <v/>
      </c>
      <c r="K33" s="18">
        <f>Bootstrap!B32</f>
        <v/>
      </c>
      <c r="L33" s="33">
        <f>Bootstrap!H32</f>
        <v/>
      </c>
    </row>
    <row r="34">
      <c r="A34" s="35" t="n">
        <v>25</v>
      </c>
      <c r="B34" s="18">
        <f>EDATE($F$7,3*24)</f>
        <v/>
      </c>
      <c r="C34" s="28">
        <f>(B34-VAL_DATE)/365</f>
        <v/>
      </c>
      <c r="D34" s="18">
        <f>INDEX($K$8:$K$40,MATCH(B34,$K$8:$K$40,1))</f>
        <v/>
      </c>
      <c r="E34" s="18">
        <f>INDEX($K$8:$K$40,MATCH(B34,$K$8:$K$40,1)+1)</f>
        <v/>
      </c>
      <c r="F34" s="17">
        <f>-LN(INDEX($L$8:$L$40,MATCH(B34,$K$8:$K$40,1)+1)/INDEX($L$8:$L$40,MATCH(B34,$K$8:$K$40,1)))/((E34-D34)/365)*100</f>
        <v/>
      </c>
      <c r="G34" s="33">
        <f>INDEX($L$8:$L$40,MATCH(B34,$K$8:$K$40,1))*EXP(-(F34/100)*(B34-D34)/365)</f>
        <v/>
      </c>
      <c r="H34" s="17">
        <f>-LN(G34)/C34*100</f>
        <v/>
      </c>
      <c r="K34" s="18">
        <f>Bootstrap!B33</f>
        <v/>
      </c>
      <c r="L34" s="33">
        <f>Bootstrap!H33</f>
        <v/>
      </c>
    </row>
    <row r="35">
      <c r="A35" s="35" t="n">
        <v>26</v>
      </c>
      <c r="B35" s="18">
        <f>EDATE($F$7,3*25)</f>
        <v/>
      </c>
      <c r="C35" s="28">
        <f>(B35-VAL_DATE)/365</f>
        <v/>
      </c>
      <c r="D35" s="18">
        <f>INDEX($K$8:$K$40,MATCH(B35,$K$8:$K$40,1))</f>
        <v/>
      </c>
      <c r="E35" s="18">
        <f>INDEX($K$8:$K$40,MATCH(B35,$K$8:$K$40,1)+1)</f>
        <v/>
      </c>
      <c r="F35" s="17">
        <f>-LN(INDEX($L$8:$L$40,MATCH(B35,$K$8:$K$40,1)+1)/INDEX($L$8:$L$40,MATCH(B35,$K$8:$K$40,1)))/((E35-D35)/365)*100</f>
        <v/>
      </c>
      <c r="G35" s="33">
        <f>INDEX($L$8:$L$40,MATCH(B35,$K$8:$K$40,1))*EXP(-(F35/100)*(B35-D35)/365)</f>
        <v/>
      </c>
      <c r="H35" s="17">
        <f>-LN(G35)/C35*100</f>
        <v/>
      </c>
      <c r="K35" s="18">
        <f>Bootstrap!B34</f>
        <v/>
      </c>
      <c r="L35" s="33">
        <f>Bootstrap!H34</f>
        <v/>
      </c>
    </row>
    <row r="36">
      <c r="A36" s="35" t="n">
        <v>27</v>
      </c>
      <c r="B36" s="18">
        <f>EDATE($F$7,3*26)</f>
        <v/>
      </c>
      <c r="C36" s="28">
        <f>(B36-VAL_DATE)/365</f>
        <v/>
      </c>
      <c r="D36" s="18">
        <f>INDEX($K$8:$K$40,MATCH(B36,$K$8:$K$40,1))</f>
        <v/>
      </c>
      <c r="E36" s="18">
        <f>INDEX($K$8:$K$40,MATCH(B36,$K$8:$K$40,1)+1)</f>
        <v/>
      </c>
      <c r="F36" s="17">
        <f>-LN(INDEX($L$8:$L$40,MATCH(B36,$K$8:$K$40,1)+1)/INDEX($L$8:$L$40,MATCH(B36,$K$8:$K$40,1)))/((E36-D36)/365)*100</f>
        <v/>
      </c>
      <c r="G36" s="33">
        <f>INDEX($L$8:$L$40,MATCH(B36,$K$8:$K$40,1))*EXP(-(F36/100)*(B36-D36)/365)</f>
        <v/>
      </c>
      <c r="H36" s="17">
        <f>-LN(G36)/C36*100</f>
        <v/>
      </c>
      <c r="K36" s="18">
        <f>Bootstrap!B35</f>
        <v/>
      </c>
      <c r="L36" s="33">
        <f>Bootstrap!H35</f>
        <v/>
      </c>
    </row>
    <row r="37">
      <c r="A37" s="35" t="n">
        <v>28</v>
      </c>
      <c r="B37" s="18">
        <f>EDATE($F$7,3*27)</f>
        <v/>
      </c>
      <c r="C37" s="28">
        <f>(B37-VAL_DATE)/365</f>
        <v/>
      </c>
      <c r="D37" s="18">
        <f>INDEX($K$8:$K$40,MATCH(B37,$K$8:$K$40,1))</f>
        <v/>
      </c>
      <c r="E37" s="18">
        <f>INDEX($K$8:$K$40,MATCH(B37,$K$8:$K$40,1)+1)</f>
        <v/>
      </c>
      <c r="F37" s="17">
        <f>-LN(INDEX($L$8:$L$40,MATCH(B37,$K$8:$K$40,1)+1)/INDEX($L$8:$L$40,MATCH(B37,$K$8:$K$40,1)))/((E37-D37)/365)*100</f>
        <v/>
      </c>
      <c r="G37" s="33">
        <f>INDEX($L$8:$L$40,MATCH(B37,$K$8:$K$40,1))*EXP(-(F37/100)*(B37-D37)/365)</f>
        <v/>
      </c>
      <c r="H37" s="17">
        <f>-LN(G37)/C37*100</f>
        <v/>
      </c>
      <c r="K37" s="18">
        <f>Bootstrap!B36</f>
        <v/>
      </c>
      <c r="L37" s="33">
        <f>Bootstrap!H36</f>
        <v/>
      </c>
    </row>
    <row r="38">
      <c r="A38" s="35" t="n">
        <v>29</v>
      </c>
      <c r="B38" s="18">
        <f>EDATE($F$7,3*28)</f>
        <v/>
      </c>
      <c r="C38" s="28">
        <f>(B38-VAL_DATE)/365</f>
        <v/>
      </c>
      <c r="D38" s="18">
        <f>INDEX($K$8:$K$40,MATCH(B38,$K$8:$K$40,1))</f>
        <v/>
      </c>
      <c r="E38" s="18">
        <f>INDEX($K$8:$K$40,MATCH(B38,$K$8:$K$40,1)+1)</f>
        <v/>
      </c>
      <c r="F38" s="17">
        <f>-LN(INDEX($L$8:$L$40,MATCH(B38,$K$8:$K$40,1)+1)/INDEX($L$8:$L$40,MATCH(B38,$K$8:$K$40,1)))/((E38-D38)/365)*100</f>
        <v/>
      </c>
      <c r="G38" s="33">
        <f>INDEX($L$8:$L$40,MATCH(B38,$K$8:$K$40,1))*EXP(-(F38/100)*(B38-D38)/365)</f>
        <v/>
      </c>
      <c r="H38" s="17">
        <f>-LN(G38)/C38*100</f>
        <v/>
      </c>
      <c r="K38" s="18">
        <f>Bootstrap!B37</f>
        <v/>
      </c>
      <c r="L38" s="33">
        <f>Bootstrap!H37</f>
        <v/>
      </c>
    </row>
    <row r="39">
      <c r="A39" s="35" t="n">
        <v>30</v>
      </c>
      <c r="B39" s="18">
        <f>EDATE($F$7,3*29)</f>
        <v/>
      </c>
      <c r="C39" s="28">
        <f>(B39-VAL_DATE)/365</f>
        <v/>
      </c>
      <c r="D39" s="18">
        <f>INDEX($K$8:$K$40,MATCH(B39,$K$8:$K$40,1))</f>
        <v/>
      </c>
      <c r="E39" s="18">
        <f>INDEX($K$8:$K$40,MATCH(B39,$K$8:$K$40,1)+1)</f>
        <v/>
      </c>
      <c r="F39" s="17">
        <f>-LN(INDEX($L$8:$L$40,MATCH(B39,$K$8:$K$40,1)+1)/INDEX($L$8:$L$40,MATCH(B39,$K$8:$K$40,1)))/((E39-D39)/365)*100</f>
        <v/>
      </c>
      <c r="G39" s="33">
        <f>INDEX($L$8:$L$40,MATCH(B39,$K$8:$K$40,1))*EXP(-(F39/100)*(B39-D39)/365)</f>
        <v/>
      </c>
      <c r="H39" s="17">
        <f>-LN(G39)/C39*100</f>
        <v/>
      </c>
      <c r="K39" s="18">
        <f>Bootstrap!B38</f>
        <v/>
      </c>
      <c r="L39" s="33">
        <f>Bootstrap!H38</f>
        <v/>
      </c>
    </row>
    <row r="40">
      <c r="A40" s="35" t="n">
        <v>31</v>
      </c>
      <c r="B40" s="18">
        <f>EDATE($F$7,3*30)</f>
        <v/>
      </c>
      <c r="C40" s="28">
        <f>(B40-VAL_DATE)/365</f>
        <v/>
      </c>
      <c r="D40" s="18">
        <f>INDEX($K$8:$K$40,MATCH(B40,$K$8:$K$40,1))</f>
        <v/>
      </c>
      <c r="E40" s="18">
        <f>INDEX($K$8:$K$40,MATCH(B40,$K$8:$K$40,1)+1)</f>
        <v/>
      </c>
      <c r="F40" s="17">
        <f>-LN(INDEX($L$8:$L$40,MATCH(B40,$K$8:$K$40,1)+1)/INDEX($L$8:$L$40,MATCH(B40,$K$8:$K$40,1)))/((E40-D40)/365)*100</f>
        <v/>
      </c>
      <c r="G40" s="33">
        <f>INDEX($L$8:$L$40,MATCH(B40,$K$8:$K$40,1))*EXP(-(F40/100)*(B40-D40)/365)</f>
        <v/>
      </c>
      <c r="H40" s="17">
        <f>-LN(G40)/C40*100</f>
        <v/>
      </c>
      <c r="K40" s="18">
        <f>Bootstrap!B39</f>
        <v/>
      </c>
      <c r="L40" s="33">
        <f>Bootstrap!H39</f>
        <v/>
      </c>
    </row>
    <row r="41">
      <c r="A41" s="35" t="n">
        <v>32</v>
      </c>
      <c r="B41" s="18">
        <f>EDATE($F$7,3*31)</f>
        <v/>
      </c>
      <c r="C41" s="28">
        <f>(B41-VAL_DATE)/365</f>
        <v/>
      </c>
      <c r="D41" s="18">
        <f>INDEX($K$8:$K$40,MATCH(B41,$K$8:$K$40,1))</f>
        <v/>
      </c>
      <c r="E41" s="18">
        <f>INDEX($K$8:$K$40,MATCH(B41,$K$8:$K$40,1)+1)</f>
        <v/>
      </c>
      <c r="F41" s="17">
        <f>-LN(INDEX($L$8:$L$40,MATCH(B41,$K$8:$K$40,1)+1)/INDEX($L$8:$L$40,MATCH(B41,$K$8:$K$40,1)))/((E41-D41)/365)*100</f>
        <v/>
      </c>
      <c r="G41" s="33">
        <f>INDEX($L$8:$L$40,MATCH(B41,$K$8:$K$40,1))*EXP(-(F41/100)*(B41-D41)/365)</f>
        <v/>
      </c>
      <c r="H41" s="17">
        <f>-LN(G41)/C41*100</f>
        <v/>
      </c>
    </row>
    <row r="42">
      <c r="A42" s="35" t="n">
        <v>33</v>
      </c>
      <c r="B42" s="18">
        <f>EDATE($F$7,3*32)</f>
        <v/>
      </c>
      <c r="C42" s="28">
        <f>(B42-VAL_DATE)/365</f>
        <v/>
      </c>
      <c r="D42" s="18">
        <f>INDEX($K$8:$K$40,MATCH(B42,$K$8:$K$40,1))</f>
        <v/>
      </c>
      <c r="E42" s="18">
        <f>INDEX($K$8:$K$40,MATCH(B42,$K$8:$K$40,1)+1)</f>
        <v/>
      </c>
      <c r="F42" s="17">
        <f>-LN(INDEX($L$8:$L$40,MATCH(B42,$K$8:$K$40,1)+1)/INDEX($L$8:$L$40,MATCH(B42,$K$8:$K$40,1)))/((E42-D42)/365)*100</f>
        <v/>
      </c>
      <c r="G42" s="33">
        <f>INDEX($L$8:$L$40,MATCH(B42,$K$8:$K$40,1))*EXP(-(F42/100)*(B42-D42)/365)</f>
        <v/>
      </c>
      <c r="H42" s="17">
        <f>-LN(G42)/C42*100</f>
        <v/>
      </c>
    </row>
    <row r="43">
      <c r="A43" s="35" t="n">
        <v>34</v>
      </c>
      <c r="B43" s="18">
        <f>EDATE($F$7,3*33)</f>
        <v/>
      </c>
      <c r="C43" s="28">
        <f>(B43-VAL_DATE)/365</f>
        <v/>
      </c>
      <c r="D43" s="18">
        <f>INDEX($K$8:$K$40,MATCH(B43,$K$8:$K$40,1))</f>
        <v/>
      </c>
      <c r="E43" s="18">
        <f>INDEX($K$8:$K$40,MATCH(B43,$K$8:$K$40,1)+1)</f>
        <v/>
      </c>
      <c r="F43" s="17">
        <f>-LN(INDEX($L$8:$L$40,MATCH(B43,$K$8:$K$40,1)+1)/INDEX($L$8:$L$40,MATCH(B43,$K$8:$K$40,1)))/((E43-D43)/365)*100</f>
        <v/>
      </c>
      <c r="G43" s="33">
        <f>INDEX($L$8:$L$40,MATCH(B43,$K$8:$K$40,1))*EXP(-(F43/100)*(B43-D43)/365)</f>
        <v/>
      </c>
      <c r="H43" s="17">
        <f>-LN(G43)/C43*100</f>
        <v/>
      </c>
    </row>
    <row r="44">
      <c r="A44" s="35" t="n">
        <v>35</v>
      </c>
      <c r="B44" s="18">
        <f>EDATE($F$7,3*34)</f>
        <v/>
      </c>
      <c r="C44" s="28">
        <f>(B44-VAL_DATE)/365</f>
        <v/>
      </c>
      <c r="D44" s="18">
        <f>INDEX($K$8:$K$40,MATCH(B44,$K$8:$K$40,1))</f>
        <v/>
      </c>
      <c r="E44" s="18">
        <f>INDEX($K$8:$K$40,MATCH(B44,$K$8:$K$40,1)+1)</f>
        <v/>
      </c>
      <c r="F44" s="17">
        <f>-LN(INDEX($L$8:$L$40,MATCH(B44,$K$8:$K$40,1)+1)/INDEX($L$8:$L$40,MATCH(B44,$K$8:$K$40,1)))/((E44-D44)/365)*100</f>
        <v/>
      </c>
      <c r="G44" s="33">
        <f>INDEX($L$8:$L$40,MATCH(B44,$K$8:$K$40,1))*EXP(-(F44/100)*(B44-D44)/365)</f>
        <v/>
      </c>
      <c r="H44" s="17">
        <f>-LN(G44)/C44*100</f>
        <v/>
      </c>
    </row>
    <row r="45">
      <c r="A45" s="35" t="n">
        <v>36</v>
      </c>
      <c r="B45" s="18">
        <f>EDATE($F$7,3*35)</f>
        <v/>
      </c>
      <c r="C45" s="28">
        <f>(B45-VAL_DATE)/365</f>
        <v/>
      </c>
      <c r="D45" s="18">
        <f>INDEX($K$8:$K$40,MATCH(B45,$K$8:$K$40,1))</f>
        <v/>
      </c>
      <c r="E45" s="18">
        <f>INDEX($K$8:$K$40,MATCH(B45,$K$8:$K$40,1)+1)</f>
        <v/>
      </c>
      <c r="F45" s="17">
        <f>-LN(INDEX($L$8:$L$40,MATCH(B45,$K$8:$K$40,1)+1)/INDEX($L$8:$L$40,MATCH(B45,$K$8:$K$40,1)))/((E45-D45)/365)*100</f>
        <v/>
      </c>
      <c r="G45" s="33">
        <f>INDEX($L$8:$L$40,MATCH(B45,$K$8:$K$40,1))*EXP(-(F45/100)*(B45-D45)/365)</f>
        <v/>
      </c>
      <c r="H45" s="17">
        <f>-LN(G45)/C45*100</f>
        <v/>
      </c>
    </row>
    <row r="46">
      <c r="A46" s="35" t="n">
        <v>37</v>
      </c>
      <c r="B46" s="18">
        <f>EDATE($F$7,3*36)</f>
        <v/>
      </c>
      <c r="C46" s="28">
        <f>(B46-VAL_DATE)/365</f>
        <v/>
      </c>
      <c r="D46" s="18">
        <f>INDEX($K$8:$K$40,MATCH(B46,$K$8:$K$40,1))</f>
        <v/>
      </c>
      <c r="E46" s="18">
        <f>INDEX($K$8:$K$40,MATCH(B46,$K$8:$K$40,1)+1)</f>
        <v/>
      </c>
      <c r="F46" s="17">
        <f>-LN(INDEX($L$8:$L$40,MATCH(B46,$K$8:$K$40,1)+1)/INDEX($L$8:$L$40,MATCH(B46,$K$8:$K$40,1)))/((E46-D46)/365)*100</f>
        <v/>
      </c>
      <c r="G46" s="33">
        <f>INDEX($L$8:$L$40,MATCH(B46,$K$8:$K$40,1))*EXP(-(F46/100)*(B46-D46)/365)</f>
        <v/>
      </c>
      <c r="H46" s="17">
        <f>-LN(G46)/C46*100</f>
        <v/>
      </c>
    </row>
    <row r="47">
      <c r="A47" s="35" t="n">
        <v>38</v>
      </c>
      <c r="B47" s="18">
        <f>EDATE($F$7,3*37)</f>
        <v/>
      </c>
      <c r="C47" s="28">
        <f>(B47-VAL_DATE)/365</f>
        <v/>
      </c>
      <c r="D47" s="18">
        <f>INDEX($K$8:$K$40,MATCH(B47,$K$8:$K$40,1))</f>
        <v/>
      </c>
      <c r="E47" s="18">
        <f>INDEX($K$8:$K$40,MATCH(B47,$K$8:$K$40,1)+1)</f>
        <v/>
      </c>
      <c r="F47" s="17">
        <f>-LN(INDEX($L$8:$L$40,MATCH(B47,$K$8:$K$40,1)+1)/INDEX($L$8:$L$40,MATCH(B47,$K$8:$K$40,1)))/((E47-D47)/365)*100</f>
        <v/>
      </c>
      <c r="G47" s="33">
        <f>INDEX($L$8:$L$40,MATCH(B47,$K$8:$K$40,1))*EXP(-(F47/100)*(B47-D47)/365)</f>
        <v/>
      </c>
      <c r="H47" s="17">
        <f>-LN(G47)/C47*100</f>
        <v/>
      </c>
    </row>
    <row r="48">
      <c r="A48" s="35" t="n">
        <v>39</v>
      </c>
      <c r="B48" s="18">
        <f>EDATE($F$7,3*38)</f>
        <v/>
      </c>
      <c r="C48" s="28">
        <f>(B48-VAL_DATE)/365</f>
        <v/>
      </c>
      <c r="D48" s="18">
        <f>INDEX($K$8:$K$40,MATCH(B48,$K$8:$K$40,1))</f>
        <v/>
      </c>
      <c r="E48" s="18">
        <f>INDEX($K$8:$K$40,MATCH(B48,$K$8:$K$40,1)+1)</f>
        <v/>
      </c>
      <c r="F48" s="17">
        <f>-LN(INDEX($L$8:$L$40,MATCH(B48,$K$8:$K$40,1)+1)/INDEX($L$8:$L$40,MATCH(B48,$K$8:$K$40,1)))/((E48-D48)/365)*100</f>
        <v/>
      </c>
      <c r="G48" s="33">
        <f>INDEX($L$8:$L$40,MATCH(B48,$K$8:$K$40,1))*EXP(-(F48/100)*(B48-D48)/365)</f>
        <v/>
      </c>
      <c r="H48" s="17">
        <f>-LN(G48)/C48*100</f>
        <v/>
      </c>
    </row>
    <row r="49">
      <c r="A49" s="35" t="n">
        <v>40</v>
      </c>
      <c r="B49" s="18">
        <f>EDATE($F$7,3*39)</f>
        <v/>
      </c>
      <c r="C49" s="28">
        <f>(B49-VAL_DATE)/365</f>
        <v/>
      </c>
      <c r="D49" s="18">
        <f>INDEX($K$8:$K$40,MATCH(B49,$K$8:$K$40,1))</f>
        <v/>
      </c>
      <c r="E49" s="18">
        <f>INDEX($K$8:$K$40,MATCH(B49,$K$8:$K$40,1)+1)</f>
        <v/>
      </c>
      <c r="F49" s="17">
        <f>-LN(INDEX($L$8:$L$40,MATCH(B49,$K$8:$K$40,1)+1)/INDEX($L$8:$L$40,MATCH(B49,$K$8:$K$40,1)))/((E49-D49)/365)*100</f>
        <v/>
      </c>
      <c r="G49" s="33">
        <f>INDEX($L$8:$L$40,MATCH(B49,$K$8:$K$40,1))*EXP(-(F49/100)*(B49-D49)/365)</f>
        <v/>
      </c>
      <c r="H49" s="17">
        <f>-LN(G49)/C49*100</f>
        <v/>
      </c>
    </row>
  </sheetData>
  <mergeCells count="2">
    <mergeCell ref="K6:L6"/>
    <mergeCell ref="A4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1" customWidth="1" min="4" max="4"/>
    <col width="14" customWidth="1" min="5" max="5"/>
    <col width="15" customWidth="1" min="6" max="6"/>
    <col width="15" customWidth="1" min="7" max="7"/>
    <col width="11" customWidth="1" min="8" max="8"/>
    <col width="2" customWidth="1" min="9" max="9"/>
    <col width="1" customWidth="1" min="10" max="10"/>
    <col width="14" customWidth="1" min="11" max="11"/>
    <col width="12" customWidth="1" min="12" max="12"/>
  </cols>
  <sheetData>
    <row r="1">
      <c r="A1" s="1" t="inlineStr">
        <is>
          <t>Swap_Pricer</t>
        </is>
      </c>
    </row>
    <row r="2">
      <c r="A2" s="2" t="inlineStr">
        <is>
          <t>Dynamic Fixed-vs-SOFR OIS valuation (SWPM-style), priced off the Bootstrap curve — every cell is live</t>
        </is>
      </c>
    </row>
    <row r="4">
      <c r="A4" s="4" t="inlineStr">
        <is>
          <t>DEAL — Fixed vs SOFR OIS   (yellow = inputs; everything else is computed)</t>
        </is>
      </c>
      <c r="K4" s="13" t="inlineStr">
        <is>
          <t>Discount curve (from Bootstrap)</t>
        </is>
      </c>
    </row>
    <row r="5">
      <c r="A5" s="5" t="inlineStr">
        <is>
          <t>Direction (Leg 1 = Fixed)</t>
        </is>
      </c>
      <c r="B5" s="36" t="inlineStr">
        <is>
          <t>Receive fixed</t>
        </is>
      </c>
      <c r="C5" s="37" t="inlineStr">
        <is>
          <t>Type "Receive fixed" or "Pay fixed". Sets the sign of the net NPV.</t>
        </is>
      </c>
      <c r="K5" s="13" t="inlineStr">
        <is>
          <t>Curve date</t>
        </is>
      </c>
      <c r="L5" s="13" t="inlineStr">
        <is>
          <t>DF</t>
        </is>
      </c>
    </row>
    <row r="6">
      <c r="A6" s="5" t="inlineStr">
        <is>
          <t>Notional</t>
        </is>
      </c>
      <c r="B6" s="38" t="n">
        <v>10000000</v>
      </c>
      <c r="C6" s="37" t="inlineStr">
        <is>
          <t>Both legs, USD.</t>
        </is>
      </c>
      <c r="K6" s="18">
        <f>Bootstrap!$B$4</f>
        <v/>
      </c>
      <c r="L6" s="33" t="n">
        <v>1</v>
      </c>
    </row>
    <row r="7">
      <c r="A7" s="5" t="inlineStr">
        <is>
          <t>Currency</t>
        </is>
      </c>
      <c r="B7" s="6" t="inlineStr">
        <is>
          <t>USD</t>
        </is>
      </c>
      <c r="K7" s="18">
        <f>Bootstrap!B8</f>
        <v/>
      </c>
      <c r="L7" s="33">
        <f>Bootstrap!H8</f>
        <v/>
      </c>
    </row>
    <row r="8">
      <c r="A8" s="5" t="inlineStr">
        <is>
          <t>Effective date</t>
        </is>
      </c>
      <c r="B8" s="39">
        <f>Bootstrap!$B$4</f>
        <v/>
      </c>
      <c r="C8" s="37" t="inlineStr">
        <is>
          <t>Defaults to curve spot (T+2). Overtype for a forward-start swap.</t>
        </is>
      </c>
      <c r="K8" s="18">
        <f>Bootstrap!B9</f>
        <v/>
      </c>
      <c r="L8" s="33">
        <f>Bootstrap!H9</f>
        <v/>
      </c>
    </row>
    <row r="9">
      <c r="A9" s="5" t="inlineStr">
        <is>
          <t>Tenor (years)</t>
        </is>
      </c>
      <c r="B9" s="40" t="n">
        <v>1</v>
      </c>
      <c r="C9" s="37" t="inlineStr">
        <is>
          <t>Whole years; drives the annual coupon schedule below.</t>
        </is>
      </c>
      <c r="K9" s="18">
        <f>Bootstrap!B10</f>
        <v/>
      </c>
      <c r="L9" s="33">
        <f>Bootstrap!H10</f>
        <v/>
      </c>
    </row>
    <row r="10">
      <c r="A10" s="5" t="inlineStr">
        <is>
          <t>Maturity date</t>
        </is>
      </c>
      <c r="B10" s="18">
        <f>EDATE(B8,12*B9)</f>
        <v/>
      </c>
      <c r="C10" s="37" t="inlineStr">
        <is>
          <t>Effective + Tenor.</t>
        </is>
      </c>
      <c r="K10" s="18">
        <f>Bootstrap!B11</f>
        <v/>
      </c>
      <c r="L10" s="33">
        <f>Bootstrap!H11</f>
        <v/>
      </c>
    </row>
    <row r="11">
      <c r="A11" s="5" t="inlineStr">
        <is>
          <t>Fixed coupon (%)</t>
        </is>
      </c>
      <c r="B11" s="41">
        <f>B25</f>
        <v/>
      </c>
      <c r="C11" s="37" t="inlineStr">
        <is>
          <t>Defaults to the Par coupon (row 25) → NPV ≈ 0. Overtype to value an off-market coupon.</t>
        </is>
      </c>
      <c r="K11" s="18">
        <f>Bootstrap!B12</f>
        <v/>
      </c>
      <c r="L11" s="33">
        <f>Bootstrap!H12</f>
        <v/>
      </c>
    </row>
    <row r="12">
      <c r="A12" s="5" t="inlineStr">
        <is>
          <t>Fixed pay frequency</t>
        </is>
      </c>
      <c r="B12" s="6" t="inlineStr">
        <is>
          <t>Annual</t>
        </is>
      </c>
      <c r="K12" s="18">
        <f>Bootstrap!B13</f>
        <v/>
      </c>
      <c r="L12" s="33">
        <f>Bootstrap!H13</f>
        <v/>
      </c>
    </row>
    <row r="13">
      <c r="A13" s="5" t="inlineStr">
        <is>
          <t>Fixed day count</t>
        </is>
      </c>
      <c r="B13" s="6" t="inlineStr">
        <is>
          <t>ACT/360</t>
        </is>
      </c>
      <c r="K13" s="18">
        <f>Bootstrap!B14</f>
        <v/>
      </c>
      <c r="L13" s="33">
        <f>Bootstrap!H14</f>
        <v/>
      </c>
    </row>
    <row r="14">
      <c r="A14" s="5" t="inlineStr">
        <is>
          <t>Float index</t>
        </is>
      </c>
      <c r="B14" s="6" t="inlineStr">
        <is>
          <t>SOFR (daily compounded, single-curve)</t>
        </is>
      </c>
      <c r="K14" s="18">
        <f>Bootstrap!B15</f>
        <v/>
      </c>
      <c r="L14" s="33">
        <f>Bootstrap!H15</f>
        <v/>
      </c>
    </row>
    <row r="15">
      <c r="A15" s="5" t="inlineStr">
        <is>
          <t>Curve / valuation date</t>
        </is>
      </c>
      <c r="B15" s="18">
        <f>VAL_DATE</f>
        <v/>
      </c>
      <c r="C15" s="37" t="inlineStr">
        <is>
          <t>Curve is discounted from spot = Bootstrap!B4.</t>
        </is>
      </c>
      <c r="K15" s="18">
        <f>Bootstrap!B16</f>
        <v/>
      </c>
      <c r="L15" s="33">
        <f>Bootstrap!H16</f>
        <v/>
      </c>
    </row>
    <row r="16">
      <c r="A16" s="5" t="inlineStr">
        <is>
          <t>Direction sign (+recv / −pay)</t>
        </is>
      </c>
      <c r="B16" s="35">
        <f>IF($B$5="Receive fixed",1,-1)</f>
        <v/>
      </c>
      <c r="K16" s="18">
        <f>Bootstrap!B17</f>
        <v/>
      </c>
      <c r="L16" s="33">
        <f>Bootstrap!H17</f>
        <v/>
      </c>
    </row>
    <row r="17">
      <c r="K17" s="18">
        <f>Bootstrap!B18</f>
        <v/>
      </c>
      <c r="L17" s="33">
        <f>Bootstrap!H18</f>
        <v/>
      </c>
    </row>
    <row r="18">
      <c r="A18" s="4" t="inlineStr">
        <is>
          <t>VALUATION RESULTS — single-curve OIS discounting</t>
        </is>
      </c>
      <c r="K18" s="18">
        <f>Bootstrap!B19</f>
        <v/>
      </c>
      <c r="L18" s="33">
        <f>Bootstrap!H19</f>
        <v/>
      </c>
    </row>
    <row r="19">
      <c r="A19" s="5" t="inlineStr">
        <is>
          <t>DF(effective)</t>
        </is>
      </c>
      <c r="B19" s="33">
        <f>IFERROR(INDEX($L$6:$L$38,MATCH($B$8,$K$6:$K$38,1))*(INDEX($L$6:$L$38,MATCH($B$8,$K$6:$K$38,1)+1)/INDEX($L$6:$L$38,MATCH($B$8,$K$6:$K$38,1)))^(($B$8-INDEX($K$6:$K$38,MATCH($B$8,$K$6:$K$38,1)))/(INDEX($K$6:$K$38,MATCH($B$8,$K$6:$K$38,1)+1)-INDEX($K$6:$K$38,MATCH($B$8,$K$6:$K$38,1)))),INDEX($L$6:$L$38,MATCH($B$8,$K$6:$K$38,1)))</f>
        <v/>
      </c>
      <c r="C19" s="37" t="inlineStr">
        <is>
          <t>Interpolated from the curve.</t>
        </is>
      </c>
      <c r="K19" s="18">
        <f>Bootstrap!B20</f>
        <v/>
      </c>
      <c r="L19" s="33">
        <f>Bootstrap!H20</f>
        <v/>
      </c>
    </row>
    <row r="20">
      <c r="A20" s="5" t="inlineStr">
        <is>
          <t>DF(maturity)</t>
        </is>
      </c>
      <c r="B20" s="33">
        <f>IFERROR(INDEX($L$6:$L$38,MATCH($B$10,$K$6:$K$38,1))*(INDEX($L$6:$L$38,MATCH($B$10,$K$6:$K$38,1)+1)/INDEX($L$6:$L$38,MATCH($B$10,$K$6:$K$38,1)))^(($B$10-INDEX($K$6:$K$38,MATCH($B$10,$K$6:$K$38,1)))/(INDEX($K$6:$K$38,MATCH($B$10,$K$6:$K$38,1)+1)-INDEX($K$6:$K$38,MATCH($B$10,$K$6:$K$38,1)))),INDEX($L$6:$L$38,MATCH($B$10,$K$6:$K$38,1)))</f>
        <v/>
      </c>
      <c r="K20" s="18">
        <f>Bootstrap!B21</f>
        <v/>
      </c>
      <c r="L20" s="33">
        <f>Bootstrap!H21</f>
        <v/>
      </c>
    </row>
    <row r="21">
      <c r="A21" s="5" t="inlineStr">
        <is>
          <t>Fixed annuity  Sum tau·DF</t>
        </is>
      </c>
      <c r="B21" s="32">
        <f>SUM(H36:H85)</f>
        <v/>
      </c>
      <c r="C21" s="37" t="inlineStr">
        <is>
          <t>Sum of tau·DF over the fixed coupon dates.</t>
        </is>
      </c>
      <c r="K21" s="18">
        <f>Bootstrap!B22</f>
        <v/>
      </c>
      <c r="L21" s="33">
        <f>Bootstrap!H22</f>
        <v/>
      </c>
    </row>
    <row r="22">
      <c r="A22" s="5" t="inlineStr">
        <is>
          <t>Fixed leg PV (coupons)</t>
        </is>
      </c>
      <c r="B22" s="42">
        <f>SUM(G36:G85)</f>
        <v/>
      </c>
      <c r="K22" s="18">
        <f>Bootstrap!B23</f>
        <v/>
      </c>
      <c r="L22" s="33">
        <f>Bootstrap!H23</f>
        <v/>
      </c>
    </row>
    <row r="23">
      <c r="A23" s="5" t="inlineStr">
        <is>
          <t>Float leg PV</t>
        </is>
      </c>
      <c r="B23" s="42">
        <f>B6*(B19-B20)</f>
        <v/>
      </c>
      <c r="C23" s="37" t="inlineStr">
        <is>
          <t>Single-curve SOFR float leg telescopes to N·(DF_eff − DF_mat).</t>
        </is>
      </c>
      <c r="K23" s="18">
        <f>Bootstrap!B24</f>
        <v/>
      </c>
      <c r="L23" s="33">
        <f>Bootstrap!H24</f>
        <v/>
      </c>
    </row>
    <row r="24">
      <c r="A24" s="5" t="inlineStr">
        <is>
          <t>Notional PV @ maturity</t>
        </is>
      </c>
      <c r="B24" s="42">
        <f>B6*B20</f>
        <v/>
      </c>
      <c r="C24" s="37" t="inlineStr">
        <is>
          <t>For the SWPM-style leg display only.</t>
        </is>
      </c>
      <c r="K24" s="18">
        <f>Bootstrap!B25</f>
        <v/>
      </c>
      <c r="L24" s="33">
        <f>Bootstrap!H25</f>
        <v/>
      </c>
    </row>
    <row r="25">
      <c r="A25" s="5" t="inlineStr">
        <is>
          <t>Par coupon (%)</t>
        </is>
      </c>
      <c r="B25" s="32">
        <f>(B19-B20)/B21*100</f>
        <v/>
      </c>
      <c r="C25" s="37" t="inlineStr">
        <is>
          <t>Coupon that sets NPV = 0:  (DF_eff − DF_mat) / annuity.</t>
        </is>
      </c>
      <c r="K25" s="18">
        <f>Bootstrap!B26</f>
        <v/>
      </c>
      <c r="L25" s="33">
        <f>Bootstrap!H26</f>
        <v/>
      </c>
    </row>
    <row r="26">
      <c r="A26" s="5" t="inlineStr">
        <is>
          <t>Leg 1 NPV  (fixed + notional)</t>
        </is>
      </c>
      <c r="B26" s="42">
        <f>B16*(B22+B24)</f>
        <v/>
      </c>
      <c r="C26" s="37" t="inlineStr">
        <is>
          <t>SWPM shows each leg incl. a notional redemption.</t>
        </is>
      </c>
      <c r="K26" s="18">
        <f>Bootstrap!B27</f>
        <v/>
      </c>
      <c r="L26" s="33">
        <f>Bootstrap!H27</f>
        <v/>
      </c>
    </row>
    <row r="27">
      <c r="A27" s="5" t="inlineStr">
        <is>
          <t>Leg 2 NPV  (float + notional)</t>
        </is>
      </c>
      <c r="B27" s="42">
        <f>-B16*(B23+B24)</f>
        <v/>
      </c>
      <c r="K27" s="18">
        <f>Bootstrap!B28</f>
        <v/>
      </c>
      <c r="L27" s="33">
        <f>Bootstrap!H28</f>
        <v/>
      </c>
    </row>
    <row r="28">
      <c r="A28" s="5" t="inlineStr">
        <is>
          <t>Net swap NPV</t>
        </is>
      </c>
      <c r="B28" s="43">
        <f>B26+B27</f>
        <v/>
      </c>
      <c r="C28" s="37" t="inlineStr">
        <is>
          <t>Fixed − Float (notionals cancel); ≈ 0 at par coupon.</t>
        </is>
      </c>
      <c r="K28" s="18">
        <f>Bootstrap!B29</f>
        <v/>
      </c>
      <c r="L28" s="33">
        <f>Bootstrap!H29</f>
        <v/>
      </c>
    </row>
    <row r="29">
      <c r="A29" s="5" t="inlineStr">
        <is>
          <t>PV01 / DV01  (per 1bp)</t>
        </is>
      </c>
      <c r="B29" s="42">
        <f>B6*B21*0.0001</f>
        <v/>
      </c>
      <c r="C29" s="37" t="inlineStr">
        <is>
          <t>Annuity × notional × 1bp.</t>
        </is>
      </c>
      <c r="K29" s="18">
        <f>Bootstrap!B30</f>
        <v/>
      </c>
      <c r="L29" s="33">
        <f>Bootstrap!H30</f>
        <v/>
      </c>
    </row>
    <row r="30">
      <c r="A30" s="5" t="inlineStr">
        <is>
          <t>Accrued (at inception)</t>
        </is>
      </c>
      <c r="B30" s="42" t="n">
        <v>0</v>
      </c>
      <c r="K30" s="18">
        <f>Bootstrap!B31</f>
        <v/>
      </c>
      <c r="L30" s="33">
        <f>Bootstrap!H31</f>
        <v/>
      </c>
    </row>
    <row r="31">
      <c r="K31" s="18">
        <f>Bootstrap!B32</f>
        <v/>
      </c>
      <c r="L31" s="33">
        <f>Bootstrap!H32</f>
        <v/>
      </c>
    </row>
    <row r="32" ht="44" customHeight="1">
      <c r="A32" s="9" t="inlineStr">
        <is>
          <t>Cross-check vs the SWPM screen: Par coupon and PV01 match (≈4.02%, ≈974 for a 10mm 1Y). SWPM's leg NPVs read ~9,995,534 rather than 10,000,000 because it discounts from curve date to a valuation date 2 business days after effective; here effective = spot so DF(effective) = 1 exactly. The net NPV, par coupon and DV01 are unaffected.</t>
        </is>
      </c>
      <c r="K32" s="18">
        <f>Bootstrap!B33</f>
        <v/>
      </c>
      <c r="L32" s="33">
        <f>Bootstrap!H33</f>
        <v/>
      </c>
    </row>
    <row r="33">
      <c r="K33" s="18">
        <f>Bootstrap!B34</f>
        <v/>
      </c>
      <c r="L33" s="33">
        <f>Bootstrap!H34</f>
        <v/>
      </c>
    </row>
    <row r="34">
      <c r="K34" s="18">
        <f>Bootstrap!B35</f>
        <v/>
      </c>
      <c r="L34" s="33">
        <f>Bootstrap!H35</f>
        <v/>
      </c>
    </row>
    <row r="35">
      <c r="A35" s="20" t="inlineStr">
        <is>
          <t>k</t>
        </is>
      </c>
      <c r="B35" s="20" t="inlineStr">
        <is>
          <t>Pay date</t>
        </is>
      </c>
      <c r="C35" s="20" t="inlineStr">
        <is>
          <t>Prev date</t>
        </is>
      </c>
      <c r="D35" s="20" t="inlineStr">
        <is>
          <t>tau ACT/360</t>
        </is>
      </c>
      <c r="E35" s="20" t="inlineStr">
        <is>
          <t>DF (interp)</t>
        </is>
      </c>
      <c r="F35" s="20" t="inlineStr">
        <is>
          <t>Coupon CF</t>
        </is>
      </c>
      <c r="G35" s="20" t="inlineStr">
        <is>
          <t>PV</t>
        </is>
      </c>
      <c r="H35" s="20" t="inlineStr">
        <is>
          <t>tau·DF</t>
        </is>
      </c>
      <c r="K35" s="18">
        <f>Bootstrap!B36</f>
        <v/>
      </c>
      <c r="L35" s="33">
        <f>Bootstrap!H36</f>
        <v/>
      </c>
    </row>
    <row r="36">
      <c r="A36" s="35">
        <f>ROW()-35</f>
        <v/>
      </c>
      <c r="B36" s="18">
        <f>IF(A36&lt;=$B$9,EDATE($B$8,12*A36),"")</f>
        <v/>
      </c>
      <c r="C36" s="18">
        <f>IF(A36&lt;=$B$9,$B$8,"")</f>
        <v/>
      </c>
      <c r="D36" s="17">
        <f>IF(A36&lt;=$B$9,(B36-C36)/360,"")</f>
        <v/>
      </c>
      <c r="E36" s="33">
        <f>IF(A36&lt;=$B$9,IFERROR(INDEX($L$6:$L$38,MATCH(B36,$K$6:$K$38,1))*(INDEX($L$6:$L$38,MATCH(B36,$K$6:$K$38,1)+1)/INDEX($L$6:$L$38,MATCH(B36,$K$6:$K$38,1)))^((B36-INDEX($K$6:$K$38,MATCH(B36,$K$6:$K$38,1)))/(INDEX($K$6:$K$38,MATCH(B36,$K$6:$K$38,1)+1)-INDEX($K$6:$K$38,MATCH(B36,$K$6:$K$38,1)))),INDEX($L$6:$L$38,MATCH(B36,$K$6:$K$38,1))),"")</f>
        <v/>
      </c>
      <c r="F36" s="42">
        <f>IF(A36&lt;=$B$9,$B$6*$B$11/100*D36,"")</f>
        <v/>
      </c>
      <c r="G36" s="42">
        <f>IF(A36&lt;=$B$9,F36*E36,"")</f>
        <v/>
      </c>
      <c r="H36" s="32">
        <f>IF(A36&lt;=$B$9,D36*E36,"")</f>
        <v/>
      </c>
      <c r="K36" s="18">
        <f>Bootstrap!B37</f>
        <v/>
      </c>
      <c r="L36" s="33">
        <f>Bootstrap!H37</f>
        <v/>
      </c>
    </row>
    <row r="37">
      <c r="A37" s="35">
        <f>ROW()-35</f>
        <v/>
      </c>
      <c r="B37" s="18">
        <f>IF(A37&lt;=$B$9,EDATE($B$8,12*A37),"")</f>
        <v/>
      </c>
      <c r="C37" s="18">
        <f>IF(A37&lt;=$B$9,B36,"")</f>
        <v/>
      </c>
      <c r="D37" s="17">
        <f>IF(A37&lt;=$B$9,(B37-C37)/360,"")</f>
        <v/>
      </c>
      <c r="E37" s="33">
        <f>IF(A37&lt;=$B$9,IFERROR(INDEX($L$6:$L$38,MATCH(B37,$K$6:$K$38,1))*(INDEX($L$6:$L$38,MATCH(B37,$K$6:$K$38,1)+1)/INDEX($L$6:$L$38,MATCH(B37,$K$6:$K$38,1)))^((B37-INDEX($K$6:$K$38,MATCH(B37,$K$6:$K$38,1)))/(INDEX($K$6:$K$38,MATCH(B37,$K$6:$K$38,1)+1)-INDEX($K$6:$K$38,MATCH(B37,$K$6:$K$38,1)))),INDEX($L$6:$L$38,MATCH(B37,$K$6:$K$38,1))),"")</f>
        <v/>
      </c>
      <c r="F37" s="42">
        <f>IF(A37&lt;=$B$9,$B$6*$B$11/100*D37,"")</f>
        <v/>
      </c>
      <c r="G37" s="42">
        <f>IF(A37&lt;=$B$9,F37*E37,"")</f>
        <v/>
      </c>
      <c r="H37" s="32">
        <f>IF(A37&lt;=$B$9,D37*E37,"")</f>
        <v/>
      </c>
      <c r="K37" s="18">
        <f>Bootstrap!B38</f>
        <v/>
      </c>
      <c r="L37" s="33">
        <f>Bootstrap!H38</f>
        <v/>
      </c>
    </row>
    <row r="38">
      <c r="A38" s="35">
        <f>ROW()-35</f>
        <v/>
      </c>
      <c r="B38" s="18">
        <f>IF(A38&lt;=$B$9,EDATE($B$8,12*A38),"")</f>
        <v/>
      </c>
      <c r="C38" s="18">
        <f>IF(A38&lt;=$B$9,B37,"")</f>
        <v/>
      </c>
      <c r="D38" s="17">
        <f>IF(A38&lt;=$B$9,(B38-C38)/360,"")</f>
        <v/>
      </c>
      <c r="E38" s="33">
        <f>IF(A38&lt;=$B$9,IFERROR(INDEX($L$6:$L$38,MATCH(B38,$K$6:$K$38,1))*(INDEX($L$6:$L$38,MATCH(B38,$K$6:$K$38,1)+1)/INDEX($L$6:$L$38,MATCH(B38,$K$6:$K$38,1)))^((B38-INDEX($K$6:$K$38,MATCH(B38,$K$6:$K$38,1)))/(INDEX($K$6:$K$38,MATCH(B38,$K$6:$K$38,1)+1)-INDEX($K$6:$K$38,MATCH(B38,$K$6:$K$38,1)))),INDEX($L$6:$L$38,MATCH(B38,$K$6:$K$38,1))),"")</f>
        <v/>
      </c>
      <c r="F38" s="42">
        <f>IF(A38&lt;=$B$9,$B$6*$B$11/100*D38,"")</f>
        <v/>
      </c>
      <c r="G38" s="42">
        <f>IF(A38&lt;=$B$9,F38*E38,"")</f>
        <v/>
      </c>
      <c r="H38" s="32">
        <f>IF(A38&lt;=$B$9,D38*E38,"")</f>
        <v/>
      </c>
      <c r="K38" s="18">
        <f>Bootstrap!B39</f>
        <v/>
      </c>
      <c r="L38" s="33">
        <f>Bootstrap!H39</f>
        <v/>
      </c>
    </row>
    <row r="39">
      <c r="A39" s="35">
        <f>ROW()-35</f>
        <v/>
      </c>
      <c r="B39" s="18">
        <f>IF(A39&lt;=$B$9,EDATE($B$8,12*A39),"")</f>
        <v/>
      </c>
      <c r="C39" s="18">
        <f>IF(A39&lt;=$B$9,B38,"")</f>
        <v/>
      </c>
      <c r="D39" s="17">
        <f>IF(A39&lt;=$B$9,(B39-C39)/360,"")</f>
        <v/>
      </c>
      <c r="E39" s="33">
        <f>IF(A39&lt;=$B$9,IFERROR(INDEX($L$6:$L$38,MATCH(B39,$K$6:$K$38,1))*(INDEX($L$6:$L$38,MATCH(B39,$K$6:$K$38,1)+1)/INDEX($L$6:$L$38,MATCH(B39,$K$6:$K$38,1)))^((B39-INDEX($K$6:$K$38,MATCH(B39,$K$6:$K$38,1)))/(INDEX($K$6:$K$38,MATCH(B39,$K$6:$K$38,1)+1)-INDEX($K$6:$K$38,MATCH(B39,$K$6:$K$38,1)))),INDEX($L$6:$L$38,MATCH(B39,$K$6:$K$38,1))),"")</f>
        <v/>
      </c>
      <c r="F39" s="42">
        <f>IF(A39&lt;=$B$9,$B$6*$B$11/100*D39,"")</f>
        <v/>
      </c>
      <c r="G39" s="42">
        <f>IF(A39&lt;=$B$9,F39*E39,"")</f>
        <v/>
      </c>
      <c r="H39" s="32">
        <f>IF(A39&lt;=$B$9,D39*E39,"")</f>
        <v/>
      </c>
      <c r="K39" s="9" t="inlineStr">
        <is>
          <t>Log-linear DF interpolation on this grid (dates $K$6:$K$38, DFs $L$6:$L$38).</t>
        </is>
      </c>
    </row>
    <row r="40">
      <c r="A40" s="35">
        <f>ROW()-35</f>
        <v/>
      </c>
      <c r="B40" s="18">
        <f>IF(A40&lt;=$B$9,EDATE($B$8,12*A40),"")</f>
        <v/>
      </c>
      <c r="C40" s="18">
        <f>IF(A40&lt;=$B$9,B39,"")</f>
        <v/>
      </c>
      <c r="D40" s="17">
        <f>IF(A40&lt;=$B$9,(B40-C40)/360,"")</f>
        <v/>
      </c>
      <c r="E40" s="33">
        <f>IF(A40&lt;=$B$9,IFERROR(INDEX($L$6:$L$38,MATCH(B40,$K$6:$K$38,1))*(INDEX($L$6:$L$38,MATCH(B40,$K$6:$K$38,1)+1)/INDEX($L$6:$L$38,MATCH(B40,$K$6:$K$38,1)))^((B40-INDEX($K$6:$K$38,MATCH(B40,$K$6:$K$38,1)))/(INDEX($K$6:$K$38,MATCH(B40,$K$6:$K$38,1)+1)-INDEX($K$6:$K$38,MATCH(B40,$K$6:$K$38,1)))),INDEX($L$6:$L$38,MATCH(B40,$K$6:$K$38,1))),"")</f>
        <v/>
      </c>
      <c r="F40" s="42">
        <f>IF(A40&lt;=$B$9,$B$6*$B$11/100*D40,"")</f>
        <v/>
      </c>
      <c r="G40" s="42">
        <f>IF(A40&lt;=$B$9,F40*E40,"")</f>
        <v/>
      </c>
      <c r="H40" s="32">
        <f>IF(A40&lt;=$B$9,D40*E40,"")</f>
        <v/>
      </c>
    </row>
    <row r="41">
      <c r="A41" s="35">
        <f>ROW()-35</f>
        <v/>
      </c>
      <c r="B41" s="18">
        <f>IF(A41&lt;=$B$9,EDATE($B$8,12*A41),"")</f>
        <v/>
      </c>
      <c r="C41" s="18">
        <f>IF(A41&lt;=$B$9,B40,"")</f>
        <v/>
      </c>
      <c r="D41" s="17">
        <f>IF(A41&lt;=$B$9,(B41-C41)/360,"")</f>
        <v/>
      </c>
      <c r="E41" s="33">
        <f>IF(A41&lt;=$B$9,IFERROR(INDEX($L$6:$L$38,MATCH(B41,$K$6:$K$38,1))*(INDEX($L$6:$L$38,MATCH(B41,$K$6:$K$38,1)+1)/INDEX($L$6:$L$38,MATCH(B41,$K$6:$K$38,1)))^((B41-INDEX($K$6:$K$38,MATCH(B41,$K$6:$K$38,1)))/(INDEX($K$6:$K$38,MATCH(B41,$K$6:$K$38,1)+1)-INDEX($K$6:$K$38,MATCH(B41,$K$6:$K$38,1)))),INDEX($L$6:$L$38,MATCH(B41,$K$6:$K$38,1))),"")</f>
        <v/>
      </c>
      <c r="F41" s="42">
        <f>IF(A41&lt;=$B$9,$B$6*$B$11/100*D41,"")</f>
        <v/>
      </c>
      <c r="G41" s="42">
        <f>IF(A41&lt;=$B$9,F41*E41,"")</f>
        <v/>
      </c>
      <c r="H41" s="32">
        <f>IF(A41&lt;=$B$9,D41*E41,"")</f>
        <v/>
      </c>
    </row>
    <row r="42">
      <c r="A42" s="35">
        <f>ROW()-35</f>
        <v/>
      </c>
      <c r="B42" s="18">
        <f>IF(A42&lt;=$B$9,EDATE($B$8,12*A42),"")</f>
        <v/>
      </c>
      <c r="C42" s="18">
        <f>IF(A42&lt;=$B$9,B41,"")</f>
        <v/>
      </c>
      <c r="D42" s="17">
        <f>IF(A42&lt;=$B$9,(B42-C42)/360,"")</f>
        <v/>
      </c>
      <c r="E42" s="33">
        <f>IF(A42&lt;=$B$9,IFERROR(INDEX($L$6:$L$38,MATCH(B42,$K$6:$K$38,1))*(INDEX($L$6:$L$38,MATCH(B42,$K$6:$K$38,1)+1)/INDEX($L$6:$L$38,MATCH(B42,$K$6:$K$38,1)))^((B42-INDEX($K$6:$K$38,MATCH(B42,$K$6:$K$38,1)))/(INDEX($K$6:$K$38,MATCH(B42,$K$6:$K$38,1)+1)-INDEX($K$6:$K$38,MATCH(B42,$K$6:$K$38,1)))),INDEX($L$6:$L$38,MATCH(B42,$K$6:$K$38,1))),"")</f>
        <v/>
      </c>
      <c r="F42" s="42">
        <f>IF(A42&lt;=$B$9,$B$6*$B$11/100*D42,"")</f>
        <v/>
      </c>
      <c r="G42" s="42">
        <f>IF(A42&lt;=$B$9,F42*E42,"")</f>
        <v/>
      </c>
      <c r="H42" s="32">
        <f>IF(A42&lt;=$B$9,D42*E42,"")</f>
        <v/>
      </c>
    </row>
    <row r="43">
      <c r="A43" s="35">
        <f>ROW()-35</f>
        <v/>
      </c>
      <c r="B43" s="18">
        <f>IF(A43&lt;=$B$9,EDATE($B$8,12*A43),"")</f>
        <v/>
      </c>
      <c r="C43" s="18">
        <f>IF(A43&lt;=$B$9,B42,"")</f>
        <v/>
      </c>
      <c r="D43" s="17">
        <f>IF(A43&lt;=$B$9,(B43-C43)/360,"")</f>
        <v/>
      </c>
      <c r="E43" s="33">
        <f>IF(A43&lt;=$B$9,IFERROR(INDEX($L$6:$L$38,MATCH(B43,$K$6:$K$38,1))*(INDEX($L$6:$L$38,MATCH(B43,$K$6:$K$38,1)+1)/INDEX($L$6:$L$38,MATCH(B43,$K$6:$K$38,1)))^((B43-INDEX($K$6:$K$38,MATCH(B43,$K$6:$K$38,1)))/(INDEX($K$6:$K$38,MATCH(B43,$K$6:$K$38,1)+1)-INDEX($K$6:$K$38,MATCH(B43,$K$6:$K$38,1)))),INDEX($L$6:$L$38,MATCH(B43,$K$6:$K$38,1))),"")</f>
        <v/>
      </c>
      <c r="F43" s="42">
        <f>IF(A43&lt;=$B$9,$B$6*$B$11/100*D43,"")</f>
        <v/>
      </c>
      <c r="G43" s="42">
        <f>IF(A43&lt;=$B$9,F43*E43,"")</f>
        <v/>
      </c>
      <c r="H43" s="32">
        <f>IF(A43&lt;=$B$9,D43*E43,"")</f>
        <v/>
      </c>
    </row>
    <row r="44">
      <c r="A44" s="35">
        <f>ROW()-35</f>
        <v/>
      </c>
      <c r="B44" s="18">
        <f>IF(A44&lt;=$B$9,EDATE($B$8,12*A44),"")</f>
        <v/>
      </c>
      <c r="C44" s="18">
        <f>IF(A44&lt;=$B$9,B43,"")</f>
        <v/>
      </c>
      <c r="D44" s="17">
        <f>IF(A44&lt;=$B$9,(B44-C44)/360,"")</f>
        <v/>
      </c>
      <c r="E44" s="33">
        <f>IF(A44&lt;=$B$9,IFERROR(INDEX($L$6:$L$38,MATCH(B44,$K$6:$K$38,1))*(INDEX($L$6:$L$38,MATCH(B44,$K$6:$K$38,1)+1)/INDEX($L$6:$L$38,MATCH(B44,$K$6:$K$38,1)))^((B44-INDEX($K$6:$K$38,MATCH(B44,$K$6:$K$38,1)))/(INDEX($K$6:$K$38,MATCH(B44,$K$6:$K$38,1)+1)-INDEX($K$6:$K$38,MATCH(B44,$K$6:$K$38,1)))),INDEX($L$6:$L$38,MATCH(B44,$K$6:$K$38,1))),"")</f>
        <v/>
      </c>
      <c r="F44" s="42">
        <f>IF(A44&lt;=$B$9,$B$6*$B$11/100*D44,"")</f>
        <v/>
      </c>
      <c r="G44" s="42">
        <f>IF(A44&lt;=$B$9,F44*E44,"")</f>
        <v/>
      </c>
      <c r="H44" s="32">
        <f>IF(A44&lt;=$B$9,D44*E44,"")</f>
        <v/>
      </c>
    </row>
    <row r="45">
      <c r="A45" s="35">
        <f>ROW()-35</f>
        <v/>
      </c>
      <c r="B45" s="18">
        <f>IF(A45&lt;=$B$9,EDATE($B$8,12*A45),"")</f>
        <v/>
      </c>
      <c r="C45" s="18">
        <f>IF(A45&lt;=$B$9,B44,"")</f>
        <v/>
      </c>
      <c r="D45" s="17">
        <f>IF(A45&lt;=$B$9,(B45-C45)/360,"")</f>
        <v/>
      </c>
      <c r="E45" s="33">
        <f>IF(A45&lt;=$B$9,IFERROR(INDEX($L$6:$L$38,MATCH(B45,$K$6:$K$38,1))*(INDEX($L$6:$L$38,MATCH(B45,$K$6:$K$38,1)+1)/INDEX($L$6:$L$38,MATCH(B45,$K$6:$K$38,1)))^((B45-INDEX($K$6:$K$38,MATCH(B45,$K$6:$K$38,1)))/(INDEX($K$6:$K$38,MATCH(B45,$K$6:$K$38,1)+1)-INDEX($K$6:$K$38,MATCH(B45,$K$6:$K$38,1)))),INDEX($L$6:$L$38,MATCH(B45,$K$6:$K$38,1))),"")</f>
        <v/>
      </c>
      <c r="F45" s="42">
        <f>IF(A45&lt;=$B$9,$B$6*$B$11/100*D45,"")</f>
        <v/>
      </c>
      <c r="G45" s="42">
        <f>IF(A45&lt;=$B$9,F45*E45,"")</f>
        <v/>
      </c>
      <c r="H45" s="32">
        <f>IF(A45&lt;=$B$9,D45*E45,"")</f>
        <v/>
      </c>
    </row>
    <row r="46">
      <c r="A46" s="35">
        <f>ROW()-35</f>
        <v/>
      </c>
      <c r="B46" s="18">
        <f>IF(A46&lt;=$B$9,EDATE($B$8,12*A46),"")</f>
        <v/>
      </c>
      <c r="C46" s="18">
        <f>IF(A46&lt;=$B$9,B45,"")</f>
        <v/>
      </c>
      <c r="D46" s="17">
        <f>IF(A46&lt;=$B$9,(B46-C46)/360,"")</f>
        <v/>
      </c>
      <c r="E46" s="33">
        <f>IF(A46&lt;=$B$9,IFERROR(INDEX($L$6:$L$38,MATCH(B46,$K$6:$K$38,1))*(INDEX($L$6:$L$38,MATCH(B46,$K$6:$K$38,1)+1)/INDEX($L$6:$L$38,MATCH(B46,$K$6:$K$38,1)))^((B46-INDEX($K$6:$K$38,MATCH(B46,$K$6:$K$38,1)))/(INDEX($K$6:$K$38,MATCH(B46,$K$6:$K$38,1)+1)-INDEX($K$6:$K$38,MATCH(B46,$K$6:$K$38,1)))),INDEX($L$6:$L$38,MATCH(B46,$K$6:$K$38,1))),"")</f>
        <v/>
      </c>
      <c r="F46" s="42">
        <f>IF(A46&lt;=$B$9,$B$6*$B$11/100*D46,"")</f>
        <v/>
      </c>
      <c r="G46" s="42">
        <f>IF(A46&lt;=$B$9,F46*E46,"")</f>
        <v/>
      </c>
      <c r="H46" s="32">
        <f>IF(A46&lt;=$B$9,D46*E46,"")</f>
        <v/>
      </c>
    </row>
    <row r="47">
      <c r="A47" s="35">
        <f>ROW()-35</f>
        <v/>
      </c>
      <c r="B47" s="18">
        <f>IF(A47&lt;=$B$9,EDATE($B$8,12*A47),"")</f>
        <v/>
      </c>
      <c r="C47" s="18">
        <f>IF(A47&lt;=$B$9,B46,"")</f>
        <v/>
      </c>
      <c r="D47" s="17">
        <f>IF(A47&lt;=$B$9,(B47-C47)/360,"")</f>
        <v/>
      </c>
      <c r="E47" s="33">
        <f>IF(A47&lt;=$B$9,IFERROR(INDEX($L$6:$L$38,MATCH(B47,$K$6:$K$38,1))*(INDEX($L$6:$L$38,MATCH(B47,$K$6:$K$38,1)+1)/INDEX($L$6:$L$38,MATCH(B47,$K$6:$K$38,1)))^((B47-INDEX($K$6:$K$38,MATCH(B47,$K$6:$K$38,1)))/(INDEX($K$6:$K$38,MATCH(B47,$K$6:$K$38,1)+1)-INDEX($K$6:$K$38,MATCH(B47,$K$6:$K$38,1)))),INDEX($L$6:$L$38,MATCH(B47,$K$6:$K$38,1))),"")</f>
        <v/>
      </c>
      <c r="F47" s="42">
        <f>IF(A47&lt;=$B$9,$B$6*$B$11/100*D47,"")</f>
        <v/>
      </c>
      <c r="G47" s="42">
        <f>IF(A47&lt;=$B$9,F47*E47,"")</f>
        <v/>
      </c>
      <c r="H47" s="32">
        <f>IF(A47&lt;=$B$9,D47*E47,"")</f>
        <v/>
      </c>
    </row>
    <row r="48">
      <c r="A48" s="35">
        <f>ROW()-35</f>
        <v/>
      </c>
      <c r="B48" s="18">
        <f>IF(A48&lt;=$B$9,EDATE($B$8,12*A48),"")</f>
        <v/>
      </c>
      <c r="C48" s="18">
        <f>IF(A48&lt;=$B$9,B47,"")</f>
        <v/>
      </c>
      <c r="D48" s="17">
        <f>IF(A48&lt;=$B$9,(B48-C48)/360,"")</f>
        <v/>
      </c>
      <c r="E48" s="33">
        <f>IF(A48&lt;=$B$9,IFERROR(INDEX($L$6:$L$38,MATCH(B48,$K$6:$K$38,1))*(INDEX($L$6:$L$38,MATCH(B48,$K$6:$K$38,1)+1)/INDEX($L$6:$L$38,MATCH(B48,$K$6:$K$38,1)))^((B48-INDEX($K$6:$K$38,MATCH(B48,$K$6:$K$38,1)))/(INDEX($K$6:$K$38,MATCH(B48,$K$6:$K$38,1)+1)-INDEX($K$6:$K$38,MATCH(B48,$K$6:$K$38,1)))),INDEX($L$6:$L$38,MATCH(B48,$K$6:$K$38,1))),"")</f>
        <v/>
      </c>
      <c r="F48" s="42">
        <f>IF(A48&lt;=$B$9,$B$6*$B$11/100*D48,"")</f>
        <v/>
      </c>
      <c r="G48" s="42">
        <f>IF(A48&lt;=$B$9,F48*E48,"")</f>
        <v/>
      </c>
      <c r="H48" s="32">
        <f>IF(A48&lt;=$B$9,D48*E48,"")</f>
        <v/>
      </c>
    </row>
    <row r="49">
      <c r="A49" s="35">
        <f>ROW()-35</f>
        <v/>
      </c>
      <c r="B49" s="18">
        <f>IF(A49&lt;=$B$9,EDATE($B$8,12*A49),"")</f>
        <v/>
      </c>
      <c r="C49" s="18">
        <f>IF(A49&lt;=$B$9,B48,"")</f>
        <v/>
      </c>
      <c r="D49" s="17">
        <f>IF(A49&lt;=$B$9,(B49-C49)/360,"")</f>
        <v/>
      </c>
      <c r="E49" s="33">
        <f>IF(A49&lt;=$B$9,IFERROR(INDEX($L$6:$L$38,MATCH(B49,$K$6:$K$38,1))*(INDEX($L$6:$L$38,MATCH(B49,$K$6:$K$38,1)+1)/INDEX($L$6:$L$38,MATCH(B49,$K$6:$K$38,1)))^((B49-INDEX($K$6:$K$38,MATCH(B49,$K$6:$K$38,1)))/(INDEX($K$6:$K$38,MATCH(B49,$K$6:$K$38,1)+1)-INDEX($K$6:$K$38,MATCH(B49,$K$6:$K$38,1)))),INDEX($L$6:$L$38,MATCH(B49,$K$6:$K$38,1))),"")</f>
        <v/>
      </c>
      <c r="F49" s="42">
        <f>IF(A49&lt;=$B$9,$B$6*$B$11/100*D49,"")</f>
        <v/>
      </c>
      <c r="G49" s="42">
        <f>IF(A49&lt;=$B$9,F49*E49,"")</f>
        <v/>
      </c>
      <c r="H49" s="32">
        <f>IF(A49&lt;=$B$9,D49*E49,"")</f>
        <v/>
      </c>
    </row>
    <row r="50">
      <c r="A50" s="35">
        <f>ROW()-35</f>
        <v/>
      </c>
      <c r="B50" s="18">
        <f>IF(A50&lt;=$B$9,EDATE($B$8,12*A50),"")</f>
        <v/>
      </c>
      <c r="C50" s="18">
        <f>IF(A50&lt;=$B$9,B49,"")</f>
        <v/>
      </c>
      <c r="D50" s="17">
        <f>IF(A50&lt;=$B$9,(B50-C50)/360,"")</f>
        <v/>
      </c>
      <c r="E50" s="33">
        <f>IF(A50&lt;=$B$9,IFERROR(INDEX($L$6:$L$38,MATCH(B50,$K$6:$K$38,1))*(INDEX($L$6:$L$38,MATCH(B50,$K$6:$K$38,1)+1)/INDEX($L$6:$L$38,MATCH(B50,$K$6:$K$38,1)))^((B50-INDEX($K$6:$K$38,MATCH(B50,$K$6:$K$38,1)))/(INDEX($K$6:$K$38,MATCH(B50,$K$6:$K$38,1)+1)-INDEX($K$6:$K$38,MATCH(B50,$K$6:$K$38,1)))),INDEX($L$6:$L$38,MATCH(B50,$K$6:$K$38,1))),"")</f>
        <v/>
      </c>
      <c r="F50" s="42">
        <f>IF(A50&lt;=$B$9,$B$6*$B$11/100*D50,"")</f>
        <v/>
      </c>
      <c r="G50" s="42">
        <f>IF(A50&lt;=$B$9,F50*E50,"")</f>
        <v/>
      </c>
      <c r="H50" s="32">
        <f>IF(A50&lt;=$B$9,D50*E50,"")</f>
        <v/>
      </c>
    </row>
    <row r="51">
      <c r="A51" s="35">
        <f>ROW()-35</f>
        <v/>
      </c>
      <c r="B51" s="18">
        <f>IF(A51&lt;=$B$9,EDATE($B$8,12*A51),"")</f>
        <v/>
      </c>
      <c r="C51" s="18">
        <f>IF(A51&lt;=$B$9,B50,"")</f>
        <v/>
      </c>
      <c r="D51" s="17">
        <f>IF(A51&lt;=$B$9,(B51-C51)/360,"")</f>
        <v/>
      </c>
      <c r="E51" s="33">
        <f>IF(A51&lt;=$B$9,IFERROR(INDEX($L$6:$L$38,MATCH(B51,$K$6:$K$38,1))*(INDEX($L$6:$L$38,MATCH(B51,$K$6:$K$38,1)+1)/INDEX($L$6:$L$38,MATCH(B51,$K$6:$K$38,1)))^((B51-INDEX($K$6:$K$38,MATCH(B51,$K$6:$K$38,1)))/(INDEX($K$6:$K$38,MATCH(B51,$K$6:$K$38,1)+1)-INDEX($K$6:$K$38,MATCH(B51,$K$6:$K$38,1)))),INDEX($L$6:$L$38,MATCH(B51,$K$6:$K$38,1))),"")</f>
        <v/>
      </c>
      <c r="F51" s="42">
        <f>IF(A51&lt;=$B$9,$B$6*$B$11/100*D51,"")</f>
        <v/>
      </c>
      <c r="G51" s="42">
        <f>IF(A51&lt;=$B$9,F51*E51,"")</f>
        <v/>
      </c>
      <c r="H51" s="32">
        <f>IF(A51&lt;=$B$9,D51*E51,"")</f>
        <v/>
      </c>
    </row>
    <row r="52">
      <c r="A52" s="35">
        <f>ROW()-35</f>
        <v/>
      </c>
      <c r="B52" s="18">
        <f>IF(A52&lt;=$B$9,EDATE($B$8,12*A52),"")</f>
        <v/>
      </c>
      <c r="C52" s="18">
        <f>IF(A52&lt;=$B$9,B51,"")</f>
        <v/>
      </c>
      <c r="D52" s="17">
        <f>IF(A52&lt;=$B$9,(B52-C52)/360,"")</f>
        <v/>
      </c>
      <c r="E52" s="33">
        <f>IF(A52&lt;=$B$9,IFERROR(INDEX($L$6:$L$38,MATCH(B52,$K$6:$K$38,1))*(INDEX($L$6:$L$38,MATCH(B52,$K$6:$K$38,1)+1)/INDEX($L$6:$L$38,MATCH(B52,$K$6:$K$38,1)))^((B52-INDEX($K$6:$K$38,MATCH(B52,$K$6:$K$38,1)))/(INDEX($K$6:$K$38,MATCH(B52,$K$6:$K$38,1)+1)-INDEX($K$6:$K$38,MATCH(B52,$K$6:$K$38,1)))),INDEX($L$6:$L$38,MATCH(B52,$K$6:$K$38,1))),"")</f>
        <v/>
      </c>
      <c r="F52" s="42">
        <f>IF(A52&lt;=$B$9,$B$6*$B$11/100*D52,"")</f>
        <v/>
      </c>
      <c r="G52" s="42">
        <f>IF(A52&lt;=$B$9,F52*E52,"")</f>
        <v/>
      </c>
      <c r="H52" s="32">
        <f>IF(A52&lt;=$B$9,D52*E52,"")</f>
        <v/>
      </c>
    </row>
    <row r="53">
      <c r="A53" s="35">
        <f>ROW()-35</f>
        <v/>
      </c>
      <c r="B53" s="18">
        <f>IF(A53&lt;=$B$9,EDATE($B$8,12*A53),"")</f>
        <v/>
      </c>
      <c r="C53" s="18">
        <f>IF(A53&lt;=$B$9,B52,"")</f>
        <v/>
      </c>
      <c r="D53" s="17">
        <f>IF(A53&lt;=$B$9,(B53-C53)/360,"")</f>
        <v/>
      </c>
      <c r="E53" s="33">
        <f>IF(A53&lt;=$B$9,IFERROR(INDEX($L$6:$L$38,MATCH(B53,$K$6:$K$38,1))*(INDEX($L$6:$L$38,MATCH(B53,$K$6:$K$38,1)+1)/INDEX($L$6:$L$38,MATCH(B53,$K$6:$K$38,1)))^((B53-INDEX($K$6:$K$38,MATCH(B53,$K$6:$K$38,1)))/(INDEX($K$6:$K$38,MATCH(B53,$K$6:$K$38,1)+1)-INDEX($K$6:$K$38,MATCH(B53,$K$6:$K$38,1)))),INDEX($L$6:$L$38,MATCH(B53,$K$6:$K$38,1))),"")</f>
        <v/>
      </c>
      <c r="F53" s="42">
        <f>IF(A53&lt;=$B$9,$B$6*$B$11/100*D53,"")</f>
        <v/>
      </c>
      <c r="G53" s="42">
        <f>IF(A53&lt;=$B$9,F53*E53,"")</f>
        <v/>
      </c>
      <c r="H53" s="32">
        <f>IF(A53&lt;=$B$9,D53*E53,"")</f>
        <v/>
      </c>
    </row>
    <row r="54">
      <c r="A54" s="35">
        <f>ROW()-35</f>
        <v/>
      </c>
      <c r="B54" s="18">
        <f>IF(A54&lt;=$B$9,EDATE($B$8,12*A54),"")</f>
        <v/>
      </c>
      <c r="C54" s="18">
        <f>IF(A54&lt;=$B$9,B53,"")</f>
        <v/>
      </c>
      <c r="D54" s="17">
        <f>IF(A54&lt;=$B$9,(B54-C54)/360,"")</f>
        <v/>
      </c>
      <c r="E54" s="33">
        <f>IF(A54&lt;=$B$9,IFERROR(INDEX($L$6:$L$38,MATCH(B54,$K$6:$K$38,1))*(INDEX($L$6:$L$38,MATCH(B54,$K$6:$K$38,1)+1)/INDEX($L$6:$L$38,MATCH(B54,$K$6:$K$38,1)))^((B54-INDEX($K$6:$K$38,MATCH(B54,$K$6:$K$38,1)))/(INDEX($K$6:$K$38,MATCH(B54,$K$6:$K$38,1)+1)-INDEX($K$6:$K$38,MATCH(B54,$K$6:$K$38,1)))),INDEX($L$6:$L$38,MATCH(B54,$K$6:$K$38,1))),"")</f>
        <v/>
      </c>
      <c r="F54" s="42">
        <f>IF(A54&lt;=$B$9,$B$6*$B$11/100*D54,"")</f>
        <v/>
      </c>
      <c r="G54" s="42">
        <f>IF(A54&lt;=$B$9,F54*E54,"")</f>
        <v/>
      </c>
      <c r="H54" s="32">
        <f>IF(A54&lt;=$B$9,D54*E54,"")</f>
        <v/>
      </c>
    </row>
    <row r="55">
      <c r="A55" s="35">
        <f>ROW()-35</f>
        <v/>
      </c>
      <c r="B55" s="18">
        <f>IF(A55&lt;=$B$9,EDATE($B$8,12*A55),"")</f>
        <v/>
      </c>
      <c r="C55" s="18">
        <f>IF(A55&lt;=$B$9,B54,"")</f>
        <v/>
      </c>
      <c r="D55" s="17">
        <f>IF(A55&lt;=$B$9,(B55-C55)/360,"")</f>
        <v/>
      </c>
      <c r="E55" s="33">
        <f>IF(A55&lt;=$B$9,IFERROR(INDEX($L$6:$L$38,MATCH(B55,$K$6:$K$38,1))*(INDEX($L$6:$L$38,MATCH(B55,$K$6:$K$38,1)+1)/INDEX($L$6:$L$38,MATCH(B55,$K$6:$K$38,1)))^((B55-INDEX($K$6:$K$38,MATCH(B55,$K$6:$K$38,1)))/(INDEX($K$6:$K$38,MATCH(B55,$K$6:$K$38,1)+1)-INDEX($K$6:$K$38,MATCH(B55,$K$6:$K$38,1)))),INDEX($L$6:$L$38,MATCH(B55,$K$6:$K$38,1))),"")</f>
        <v/>
      </c>
      <c r="F55" s="42">
        <f>IF(A55&lt;=$B$9,$B$6*$B$11/100*D55,"")</f>
        <v/>
      </c>
      <c r="G55" s="42">
        <f>IF(A55&lt;=$B$9,F55*E55,"")</f>
        <v/>
      </c>
      <c r="H55" s="32">
        <f>IF(A55&lt;=$B$9,D55*E55,"")</f>
        <v/>
      </c>
    </row>
    <row r="56">
      <c r="A56" s="35">
        <f>ROW()-35</f>
        <v/>
      </c>
      <c r="B56" s="18">
        <f>IF(A56&lt;=$B$9,EDATE($B$8,12*A56),"")</f>
        <v/>
      </c>
      <c r="C56" s="18">
        <f>IF(A56&lt;=$B$9,B55,"")</f>
        <v/>
      </c>
      <c r="D56" s="17">
        <f>IF(A56&lt;=$B$9,(B56-C56)/360,"")</f>
        <v/>
      </c>
      <c r="E56" s="33">
        <f>IF(A56&lt;=$B$9,IFERROR(INDEX($L$6:$L$38,MATCH(B56,$K$6:$K$38,1))*(INDEX($L$6:$L$38,MATCH(B56,$K$6:$K$38,1)+1)/INDEX($L$6:$L$38,MATCH(B56,$K$6:$K$38,1)))^((B56-INDEX($K$6:$K$38,MATCH(B56,$K$6:$K$38,1)))/(INDEX($K$6:$K$38,MATCH(B56,$K$6:$K$38,1)+1)-INDEX($K$6:$K$38,MATCH(B56,$K$6:$K$38,1)))),INDEX($L$6:$L$38,MATCH(B56,$K$6:$K$38,1))),"")</f>
        <v/>
      </c>
      <c r="F56" s="42">
        <f>IF(A56&lt;=$B$9,$B$6*$B$11/100*D56,"")</f>
        <v/>
      </c>
      <c r="G56" s="42">
        <f>IF(A56&lt;=$B$9,F56*E56,"")</f>
        <v/>
      </c>
      <c r="H56" s="32">
        <f>IF(A56&lt;=$B$9,D56*E56,"")</f>
        <v/>
      </c>
    </row>
    <row r="57">
      <c r="A57" s="35">
        <f>ROW()-35</f>
        <v/>
      </c>
      <c r="B57" s="18">
        <f>IF(A57&lt;=$B$9,EDATE($B$8,12*A57),"")</f>
        <v/>
      </c>
      <c r="C57" s="18">
        <f>IF(A57&lt;=$B$9,B56,"")</f>
        <v/>
      </c>
      <c r="D57" s="17">
        <f>IF(A57&lt;=$B$9,(B57-C57)/360,"")</f>
        <v/>
      </c>
      <c r="E57" s="33">
        <f>IF(A57&lt;=$B$9,IFERROR(INDEX($L$6:$L$38,MATCH(B57,$K$6:$K$38,1))*(INDEX($L$6:$L$38,MATCH(B57,$K$6:$K$38,1)+1)/INDEX($L$6:$L$38,MATCH(B57,$K$6:$K$38,1)))^((B57-INDEX($K$6:$K$38,MATCH(B57,$K$6:$K$38,1)))/(INDEX($K$6:$K$38,MATCH(B57,$K$6:$K$38,1)+1)-INDEX($K$6:$K$38,MATCH(B57,$K$6:$K$38,1)))),INDEX($L$6:$L$38,MATCH(B57,$K$6:$K$38,1))),"")</f>
        <v/>
      </c>
      <c r="F57" s="42">
        <f>IF(A57&lt;=$B$9,$B$6*$B$11/100*D57,"")</f>
        <v/>
      </c>
      <c r="G57" s="42">
        <f>IF(A57&lt;=$B$9,F57*E57,"")</f>
        <v/>
      </c>
      <c r="H57" s="32">
        <f>IF(A57&lt;=$B$9,D57*E57,"")</f>
        <v/>
      </c>
    </row>
    <row r="58">
      <c r="A58" s="35">
        <f>ROW()-35</f>
        <v/>
      </c>
      <c r="B58" s="18">
        <f>IF(A58&lt;=$B$9,EDATE($B$8,12*A58),"")</f>
        <v/>
      </c>
      <c r="C58" s="18">
        <f>IF(A58&lt;=$B$9,B57,"")</f>
        <v/>
      </c>
      <c r="D58" s="17">
        <f>IF(A58&lt;=$B$9,(B58-C58)/360,"")</f>
        <v/>
      </c>
      <c r="E58" s="33">
        <f>IF(A58&lt;=$B$9,IFERROR(INDEX($L$6:$L$38,MATCH(B58,$K$6:$K$38,1))*(INDEX($L$6:$L$38,MATCH(B58,$K$6:$K$38,1)+1)/INDEX($L$6:$L$38,MATCH(B58,$K$6:$K$38,1)))^((B58-INDEX($K$6:$K$38,MATCH(B58,$K$6:$K$38,1)))/(INDEX($K$6:$K$38,MATCH(B58,$K$6:$K$38,1)+1)-INDEX($K$6:$K$38,MATCH(B58,$K$6:$K$38,1)))),INDEX($L$6:$L$38,MATCH(B58,$K$6:$K$38,1))),"")</f>
        <v/>
      </c>
      <c r="F58" s="42">
        <f>IF(A58&lt;=$B$9,$B$6*$B$11/100*D58,"")</f>
        <v/>
      </c>
      <c r="G58" s="42">
        <f>IF(A58&lt;=$B$9,F58*E58,"")</f>
        <v/>
      </c>
      <c r="H58" s="32">
        <f>IF(A58&lt;=$B$9,D58*E58,"")</f>
        <v/>
      </c>
    </row>
    <row r="59">
      <c r="A59" s="35">
        <f>ROW()-35</f>
        <v/>
      </c>
      <c r="B59" s="18">
        <f>IF(A59&lt;=$B$9,EDATE($B$8,12*A59),"")</f>
        <v/>
      </c>
      <c r="C59" s="18">
        <f>IF(A59&lt;=$B$9,B58,"")</f>
        <v/>
      </c>
      <c r="D59" s="17">
        <f>IF(A59&lt;=$B$9,(B59-C59)/360,"")</f>
        <v/>
      </c>
      <c r="E59" s="33">
        <f>IF(A59&lt;=$B$9,IFERROR(INDEX($L$6:$L$38,MATCH(B59,$K$6:$K$38,1))*(INDEX($L$6:$L$38,MATCH(B59,$K$6:$K$38,1)+1)/INDEX($L$6:$L$38,MATCH(B59,$K$6:$K$38,1)))^((B59-INDEX($K$6:$K$38,MATCH(B59,$K$6:$K$38,1)))/(INDEX($K$6:$K$38,MATCH(B59,$K$6:$K$38,1)+1)-INDEX($K$6:$K$38,MATCH(B59,$K$6:$K$38,1)))),INDEX($L$6:$L$38,MATCH(B59,$K$6:$K$38,1))),"")</f>
        <v/>
      </c>
      <c r="F59" s="42">
        <f>IF(A59&lt;=$B$9,$B$6*$B$11/100*D59,"")</f>
        <v/>
      </c>
      <c r="G59" s="42">
        <f>IF(A59&lt;=$B$9,F59*E59,"")</f>
        <v/>
      </c>
      <c r="H59" s="32">
        <f>IF(A59&lt;=$B$9,D59*E59,"")</f>
        <v/>
      </c>
    </row>
    <row r="60">
      <c r="A60" s="35">
        <f>ROW()-35</f>
        <v/>
      </c>
      <c r="B60" s="18">
        <f>IF(A60&lt;=$B$9,EDATE($B$8,12*A60),"")</f>
        <v/>
      </c>
      <c r="C60" s="18">
        <f>IF(A60&lt;=$B$9,B59,"")</f>
        <v/>
      </c>
      <c r="D60" s="17">
        <f>IF(A60&lt;=$B$9,(B60-C60)/360,"")</f>
        <v/>
      </c>
      <c r="E60" s="33">
        <f>IF(A60&lt;=$B$9,IFERROR(INDEX($L$6:$L$38,MATCH(B60,$K$6:$K$38,1))*(INDEX($L$6:$L$38,MATCH(B60,$K$6:$K$38,1)+1)/INDEX($L$6:$L$38,MATCH(B60,$K$6:$K$38,1)))^((B60-INDEX($K$6:$K$38,MATCH(B60,$K$6:$K$38,1)))/(INDEX($K$6:$K$38,MATCH(B60,$K$6:$K$38,1)+1)-INDEX($K$6:$K$38,MATCH(B60,$K$6:$K$38,1)))),INDEX($L$6:$L$38,MATCH(B60,$K$6:$K$38,1))),"")</f>
        <v/>
      </c>
      <c r="F60" s="42">
        <f>IF(A60&lt;=$B$9,$B$6*$B$11/100*D60,"")</f>
        <v/>
      </c>
      <c r="G60" s="42">
        <f>IF(A60&lt;=$B$9,F60*E60,"")</f>
        <v/>
      </c>
      <c r="H60" s="32">
        <f>IF(A60&lt;=$B$9,D60*E60,"")</f>
        <v/>
      </c>
    </row>
    <row r="61">
      <c r="A61" s="35">
        <f>ROW()-35</f>
        <v/>
      </c>
      <c r="B61" s="18">
        <f>IF(A61&lt;=$B$9,EDATE($B$8,12*A61),"")</f>
        <v/>
      </c>
      <c r="C61" s="18">
        <f>IF(A61&lt;=$B$9,B60,"")</f>
        <v/>
      </c>
      <c r="D61" s="17">
        <f>IF(A61&lt;=$B$9,(B61-C61)/360,"")</f>
        <v/>
      </c>
      <c r="E61" s="33">
        <f>IF(A61&lt;=$B$9,IFERROR(INDEX($L$6:$L$38,MATCH(B61,$K$6:$K$38,1))*(INDEX($L$6:$L$38,MATCH(B61,$K$6:$K$38,1)+1)/INDEX($L$6:$L$38,MATCH(B61,$K$6:$K$38,1)))^((B61-INDEX($K$6:$K$38,MATCH(B61,$K$6:$K$38,1)))/(INDEX($K$6:$K$38,MATCH(B61,$K$6:$K$38,1)+1)-INDEX($K$6:$K$38,MATCH(B61,$K$6:$K$38,1)))),INDEX($L$6:$L$38,MATCH(B61,$K$6:$K$38,1))),"")</f>
        <v/>
      </c>
      <c r="F61" s="42">
        <f>IF(A61&lt;=$B$9,$B$6*$B$11/100*D61,"")</f>
        <v/>
      </c>
      <c r="G61" s="42">
        <f>IF(A61&lt;=$B$9,F61*E61,"")</f>
        <v/>
      </c>
      <c r="H61" s="32">
        <f>IF(A61&lt;=$B$9,D61*E61,"")</f>
        <v/>
      </c>
    </row>
    <row r="62">
      <c r="A62" s="35">
        <f>ROW()-35</f>
        <v/>
      </c>
      <c r="B62" s="18">
        <f>IF(A62&lt;=$B$9,EDATE($B$8,12*A62),"")</f>
        <v/>
      </c>
      <c r="C62" s="18">
        <f>IF(A62&lt;=$B$9,B61,"")</f>
        <v/>
      </c>
      <c r="D62" s="17">
        <f>IF(A62&lt;=$B$9,(B62-C62)/360,"")</f>
        <v/>
      </c>
      <c r="E62" s="33">
        <f>IF(A62&lt;=$B$9,IFERROR(INDEX($L$6:$L$38,MATCH(B62,$K$6:$K$38,1))*(INDEX($L$6:$L$38,MATCH(B62,$K$6:$K$38,1)+1)/INDEX($L$6:$L$38,MATCH(B62,$K$6:$K$38,1)))^((B62-INDEX($K$6:$K$38,MATCH(B62,$K$6:$K$38,1)))/(INDEX($K$6:$K$38,MATCH(B62,$K$6:$K$38,1)+1)-INDEX($K$6:$K$38,MATCH(B62,$K$6:$K$38,1)))),INDEX($L$6:$L$38,MATCH(B62,$K$6:$K$38,1))),"")</f>
        <v/>
      </c>
      <c r="F62" s="42">
        <f>IF(A62&lt;=$B$9,$B$6*$B$11/100*D62,"")</f>
        <v/>
      </c>
      <c r="G62" s="42">
        <f>IF(A62&lt;=$B$9,F62*E62,"")</f>
        <v/>
      </c>
      <c r="H62" s="32">
        <f>IF(A62&lt;=$B$9,D62*E62,"")</f>
        <v/>
      </c>
    </row>
    <row r="63">
      <c r="A63" s="35">
        <f>ROW()-35</f>
        <v/>
      </c>
      <c r="B63" s="18">
        <f>IF(A63&lt;=$B$9,EDATE($B$8,12*A63),"")</f>
        <v/>
      </c>
      <c r="C63" s="18">
        <f>IF(A63&lt;=$B$9,B62,"")</f>
        <v/>
      </c>
      <c r="D63" s="17">
        <f>IF(A63&lt;=$B$9,(B63-C63)/360,"")</f>
        <v/>
      </c>
      <c r="E63" s="33">
        <f>IF(A63&lt;=$B$9,IFERROR(INDEX($L$6:$L$38,MATCH(B63,$K$6:$K$38,1))*(INDEX($L$6:$L$38,MATCH(B63,$K$6:$K$38,1)+1)/INDEX($L$6:$L$38,MATCH(B63,$K$6:$K$38,1)))^((B63-INDEX($K$6:$K$38,MATCH(B63,$K$6:$K$38,1)))/(INDEX($K$6:$K$38,MATCH(B63,$K$6:$K$38,1)+1)-INDEX($K$6:$K$38,MATCH(B63,$K$6:$K$38,1)))),INDEX($L$6:$L$38,MATCH(B63,$K$6:$K$38,1))),"")</f>
        <v/>
      </c>
      <c r="F63" s="42">
        <f>IF(A63&lt;=$B$9,$B$6*$B$11/100*D63,"")</f>
        <v/>
      </c>
      <c r="G63" s="42">
        <f>IF(A63&lt;=$B$9,F63*E63,"")</f>
        <v/>
      </c>
      <c r="H63" s="32">
        <f>IF(A63&lt;=$B$9,D63*E63,"")</f>
        <v/>
      </c>
    </row>
    <row r="64">
      <c r="A64" s="35">
        <f>ROW()-35</f>
        <v/>
      </c>
      <c r="B64" s="18">
        <f>IF(A64&lt;=$B$9,EDATE($B$8,12*A64),"")</f>
        <v/>
      </c>
      <c r="C64" s="18">
        <f>IF(A64&lt;=$B$9,B63,"")</f>
        <v/>
      </c>
      <c r="D64" s="17">
        <f>IF(A64&lt;=$B$9,(B64-C64)/360,"")</f>
        <v/>
      </c>
      <c r="E64" s="33">
        <f>IF(A64&lt;=$B$9,IFERROR(INDEX($L$6:$L$38,MATCH(B64,$K$6:$K$38,1))*(INDEX($L$6:$L$38,MATCH(B64,$K$6:$K$38,1)+1)/INDEX($L$6:$L$38,MATCH(B64,$K$6:$K$38,1)))^((B64-INDEX($K$6:$K$38,MATCH(B64,$K$6:$K$38,1)))/(INDEX($K$6:$K$38,MATCH(B64,$K$6:$K$38,1)+1)-INDEX($K$6:$K$38,MATCH(B64,$K$6:$K$38,1)))),INDEX($L$6:$L$38,MATCH(B64,$K$6:$K$38,1))),"")</f>
        <v/>
      </c>
      <c r="F64" s="42">
        <f>IF(A64&lt;=$B$9,$B$6*$B$11/100*D64,"")</f>
        <v/>
      </c>
      <c r="G64" s="42">
        <f>IF(A64&lt;=$B$9,F64*E64,"")</f>
        <v/>
      </c>
      <c r="H64" s="32">
        <f>IF(A64&lt;=$B$9,D64*E64,"")</f>
        <v/>
      </c>
    </row>
    <row r="65">
      <c r="A65" s="35">
        <f>ROW()-35</f>
        <v/>
      </c>
      <c r="B65" s="18">
        <f>IF(A65&lt;=$B$9,EDATE($B$8,12*A65),"")</f>
        <v/>
      </c>
      <c r="C65" s="18">
        <f>IF(A65&lt;=$B$9,B64,"")</f>
        <v/>
      </c>
      <c r="D65" s="17">
        <f>IF(A65&lt;=$B$9,(B65-C65)/360,"")</f>
        <v/>
      </c>
      <c r="E65" s="33">
        <f>IF(A65&lt;=$B$9,IFERROR(INDEX($L$6:$L$38,MATCH(B65,$K$6:$K$38,1))*(INDEX($L$6:$L$38,MATCH(B65,$K$6:$K$38,1)+1)/INDEX($L$6:$L$38,MATCH(B65,$K$6:$K$38,1)))^((B65-INDEX($K$6:$K$38,MATCH(B65,$K$6:$K$38,1)))/(INDEX($K$6:$K$38,MATCH(B65,$K$6:$K$38,1)+1)-INDEX($K$6:$K$38,MATCH(B65,$K$6:$K$38,1)))),INDEX($L$6:$L$38,MATCH(B65,$K$6:$K$38,1))),"")</f>
        <v/>
      </c>
      <c r="F65" s="42">
        <f>IF(A65&lt;=$B$9,$B$6*$B$11/100*D65,"")</f>
        <v/>
      </c>
      <c r="G65" s="42">
        <f>IF(A65&lt;=$B$9,F65*E65,"")</f>
        <v/>
      </c>
      <c r="H65" s="32">
        <f>IF(A65&lt;=$B$9,D65*E65,"")</f>
        <v/>
      </c>
    </row>
    <row r="66">
      <c r="A66" s="35">
        <f>ROW()-35</f>
        <v/>
      </c>
      <c r="B66" s="18">
        <f>IF(A66&lt;=$B$9,EDATE($B$8,12*A66),"")</f>
        <v/>
      </c>
      <c r="C66" s="18">
        <f>IF(A66&lt;=$B$9,B65,"")</f>
        <v/>
      </c>
      <c r="D66" s="17">
        <f>IF(A66&lt;=$B$9,(B66-C66)/360,"")</f>
        <v/>
      </c>
      <c r="E66" s="33">
        <f>IF(A66&lt;=$B$9,IFERROR(INDEX($L$6:$L$38,MATCH(B66,$K$6:$K$38,1))*(INDEX($L$6:$L$38,MATCH(B66,$K$6:$K$38,1)+1)/INDEX($L$6:$L$38,MATCH(B66,$K$6:$K$38,1)))^((B66-INDEX($K$6:$K$38,MATCH(B66,$K$6:$K$38,1)))/(INDEX($K$6:$K$38,MATCH(B66,$K$6:$K$38,1)+1)-INDEX($K$6:$K$38,MATCH(B66,$K$6:$K$38,1)))),INDEX($L$6:$L$38,MATCH(B66,$K$6:$K$38,1))),"")</f>
        <v/>
      </c>
      <c r="F66" s="42">
        <f>IF(A66&lt;=$B$9,$B$6*$B$11/100*D66,"")</f>
        <v/>
      </c>
      <c r="G66" s="42">
        <f>IF(A66&lt;=$B$9,F66*E66,"")</f>
        <v/>
      </c>
      <c r="H66" s="32">
        <f>IF(A66&lt;=$B$9,D66*E66,"")</f>
        <v/>
      </c>
    </row>
    <row r="67">
      <c r="A67" s="35">
        <f>ROW()-35</f>
        <v/>
      </c>
      <c r="B67" s="18">
        <f>IF(A67&lt;=$B$9,EDATE($B$8,12*A67),"")</f>
        <v/>
      </c>
      <c r="C67" s="18">
        <f>IF(A67&lt;=$B$9,B66,"")</f>
        <v/>
      </c>
      <c r="D67" s="17">
        <f>IF(A67&lt;=$B$9,(B67-C67)/360,"")</f>
        <v/>
      </c>
      <c r="E67" s="33">
        <f>IF(A67&lt;=$B$9,IFERROR(INDEX($L$6:$L$38,MATCH(B67,$K$6:$K$38,1))*(INDEX($L$6:$L$38,MATCH(B67,$K$6:$K$38,1)+1)/INDEX($L$6:$L$38,MATCH(B67,$K$6:$K$38,1)))^((B67-INDEX($K$6:$K$38,MATCH(B67,$K$6:$K$38,1)))/(INDEX($K$6:$K$38,MATCH(B67,$K$6:$K$38,1)+1)-INDEX($K$6:$K$38,MATCH(B67,$K$6:$K$38,1)))),INDEX($L$6:$L$38,MATCH(B67,$K$6:$K$38,1))),"")</f>
        <v/>
      </c>
      <c r="F67" s="42">
        <f>IF(A67&lt;=$B$9,$B$6*$B$11/100*D67,"")</f>
        <v/>
      </c>
      <c r="G67" s="42">
        <f>IF(A67&lt;=$B$9,F67*E67,"")</f>
        <v/>
      </c>
      <c r="H67" s="32">
        <f>IF(A67&lt;=$B$9,D67*E67,"")</f>
        <v/>
      </c>
    </row>
    <row r="68">
      <c r="A68" s="35">
        <f>ROW()-35</f>
        <v/>
      </c>
      <c r="B68" s="18">
        <f>IF(A68&lt;=$B$9,EDATE($B$8,12*A68),"")</f>
        <v/>
      </c>
      <c r="C68" s="18">
        <f>IF(A68&lt;=$B$9,B67,"")</f>
        <v/>
      </c>
      <c r="D68" s="17">
        <f>IF(A68&lt;=$B$9,(B68-C68)/360,"")</f>
        <v/>
      </c>
      <c r="E68" s="33">
        <f>IF(A68&lt;=$B$9,IFERROR(INDEX($L$6:$L$38,MATCH(B68,$K$6:$K$38,1))*(INDEX($L$6:$L$38,MATCH(B68,$K$6:$K$38,1)+1)/INDEX($L$6:$L$38,MATCH(B68,$K$6:$K$38,1)))^((B68-INDEX($K$6:$K$38,MATCH(B68,$K$6:$K$38,1)))/(INDEX($K$6:$K$38,MATCH(B68,$K$6:$K$38,1)+1)-INDEX($K$6:$K$38,MATCH(B68,$K$6:$K$38,1)))),INDEX($L$6:$L$38,MATCH(B68,$K$6:$K$38,1))),"")</f>
        <v/>
      </c>
      <c r="F68" s="42">
        <f>IF(A68&lt;=$B$9,$B$6*$B$11/100*D68,"")</f>
        <v/>
      </c>
      <c r="G68" s="42">
        <f>IF(A68&lt;=$B$9,F68*E68,"")</f>
        <v/>
      </c>
      <c r="H68" s="32">
        <f>IF(A68&lt;=$B$9,D68*E68,"")</f>
        <v/>
      </c>
    </row>
    <row r="69">
      <c r="A69" s="35">
        <f>ROW()-35</f>
        <v/>
      </c>
      <c r="B69" s="18">
        <f>IF(A69&lt;=$B$9,EDATE($B$8,12*A69),"")</f>
        <v/>
      </c>
      <c r="C69" s="18">
        <f>IF(A69&lt;=$B$9,B68,"")</f>
        <v/>
      </c>
      <c r="D69" s="17">
        <f>IF(A69&lt;=$B$9,(B69-C69)/360,"")</f>
        <v/>
      </c>
      <c r="E69" s="33">
        <f>IF(A69&lt;=$B$9,IFERROR(INDEX($L$6:$L$38,MATCH(B69,$K$6:$K$38,1))*(INDEX($L$6:$L$38,MATCH(B69,$K$6:$K$38,1)+1)/INDEX($L$6:$L$38,MATCH(B69,$K$6:$K$38,1)))^((B69-INDEX($K$6:$K$38,MATCH(B69,$K$6:$K$38,1)))/(INDEX($K$6:$K$38,MATCH(B69,$K$6:$K$38,1)+1)-INDEX($K$6:$K$38,MATCH(B69,$K$6:$K$38,1)))),INDEX($L$6:$L$38,MATCH(B69,$K$6:$K$38,1))),"")</f>
        <v/>
      </c>
      <c r="F69" s="42">
        <f>IF(A69&lt;=$B$9,$B$6*$B$11/100*D69,"")</f>
        <v/>
      </c>
      <c r="G69" s="42">
        <f>IF(A69&lt;=$B$9,F69*E69,"")</f>
        <v/>
      </c>
      <c r="H69" s="32">
        <f>IF(A69&lt;=$B$9,D69*E69,"")</f>
        <v/>
      </c>
    </row>
    <row r="70">
      <c r="A70" s="35">
        <f>ROW()-35</f>
        <v/>
      </c>
      <c r="B70" s="18">
        <f>IF(A70&lt;=$B$9,EDATE($B$8,12*A70),"")</f>
        <v/>
      </c>
      <c r="C70" s="18">
        <f>IF(A70&lt;=$B$9,B69,"")</f>
        <v/>
      </c>
      <c r="D70" s="17">
        <f>IF(A70&lt;=$B$9,(B70-C70)/360,"")</f>
        <v/>
      </c>
      <c r="E70" s="33">
        <f>IF(A70&lt;=$B$9,IFERROR(INDEX($L$6:$L$38,MATCH(B70,$K$6:$K$38,1))*(INDEX($L$6:$L$38,MATCH(B70,$K$6:$K$38,1)+1)/INDEX($L$6:$L$38,MATCH(B70,$K$6:$K$38,1)))^((B70-INDEX($K$6:$K$38,MATCH(B70,$K$6:$K$38,1)))/(INDEX($K$6:$K$38,MATCH(B70,$K$6:$K$38,1)+1)-INDEX($K$6:$K$38,MATCH(B70,$K$6:$K$38,1)))),INDEX($L$6:$L$38,MATCH(B70,$K$6:$K$38,1))),"")</f>
        <v/>
      </c>
      <c r="F70" s="42">
        <f>IF(A70&lt;=$B$9,$B$6*$B$11/100*D70,"")</f>
        <v/>
      </c>
      <c r="G70" s="42">
        <f>IF(A70&lt;=$B$9,F70*E70,"")</f>
        <v/>
      </c>
      <c r="H70" s="32">
        <f>IF(A70&lt;=$B$9,D70*E70,"")</f>
        <v/>
      </c>
    </row>
    <row r="71">
      <c r="A71" s="35">
        <f>ROW()-35</f>
        <v/>
      </c>
      <c r="B71" s="18">
        <f>IF(A71&lt;=$B$9,EDATE($B$8,12*A71),"")</f>
        <v/>
      </c>
      <c r="C71" s="18">
        <f>IF(A71&lt;=$B$9,B70,"")</f>
        <v/>
      </c>
      <c r="D71" s="17">
        <f>IF(A71&lt;=$B$9,(B71-C71)/360,"")</f>
        <v/>
      </c>
      <c r="E71" s="33">
        <f>IF(A71&lt;=$B$9,IFERROR(INDEX($L$6:$L$38,MATCH(B71,$K$6:$K$38,1))*(INDEX($L$6:$L$38,MATCH(B71,$K$6:$K$38,1)+1)/INDEX($L$6:$L$38,MATCH(B71,$K$6:$K$38,1)))^((B71-INDEX($K$6:$K$38,MATCH(B71,$K$6:$K$38,1)))/(INDEX($K$6:$K$38,MATCH(B71,$K$6:$K$38,1)+1)-INDEX($K$6:$K$38,MATCH(B71,$K$6:$K$38,1)))),INDEX($L$6:$L$38,MATCH(B71,$K$6:$K$38,1))),"")</f>
        <v/>
      </c>
      <c r="F71" s="42">
        <f>IF(A71&lt;=$B$9,$B$6*$B$11/100*D71,"")</f>
        <v/>
      </c>
      <c r="G71" s="42">
        <f>IF(A71&lt;=$B$9,F71*E71,"")</f>
        <v/>
      </c>
      <c r="H71" s="32">
        <f>IF(A71&lt;=$B$9,D71*E71,"")</f>
        <v/>
      </c>
    </row>
    <row r="72">
      <c r="A72" s="35">
        <f>ROW()-35</f>
        <v/>
      </c>
      <c r="B72" s="18">
        <f>IF(A72&lt;=$B$9,EDATE($B$8,12*A72),"")</f>
        <v/>
      </c>
      <c r="C72" s="18">
        <f>IF(A72&lt;=$B$9,B71,"")</f>
        <v/>
      </c>
      <c r="D72" s="17">
        <f>IF(A72&lt;=$B$9,(B72-C72)/360,"")</f>
        <v/>
      </c>
      <c r="E72" s="33">
        <f>IF(A72&lt;=$B$9,IFERROR(INDEX($L$6:$L$38,MATCH(B72,$K$6:$K$38,1))*(INDEX($L$6:$L$38,MATCH(B72,$K$6:$K$38,1)+1)/INDEX($L$6:$L$38,MATCH(B72,$K$6:$K$38,1)))^((B72-INDEX($K$6:$K$38,MATCH(B72,$K$6:$K$38,1)))/(INDEX($K$6:$K$38,MATCH(B72,$K$6:$K$38,1)+1)-INDEX($K$6:$K$38,MATCH(B72,$K$6:$K$38,1)))),INDEX($L$6:$L$38,MATCH(B72,$K$6:$K$38,1))),"")</f>
        <v/>
      </c>
      <c r="F72" s="42">
        <f>IF(A72&lt;=$B$9,$B$6*$B$11/100*D72,"")</f>
        <v/>
      </c>
      <c r="G72" s="42">
        <f>IF(A72&lt;=$B$9,F72*E72,"")</f>
        <v/>
      </c>
      <c r="H72" s="32">
        <f>IF(A72&lt;=$B$9,D72*E72,"")</f>
        <v/>
      </c>
    </row>
    <row r="73">
      <c r="A73" s="35">
        <f>ROW()-35</f>
        <v/>
      </c>
      <c r="B73" s="18">
        <f>IF(A73&lt;=$B$9,EDATE($B$8,12*A73),"")</f>
        <v/>
      </c>
      <c r="C73" s="18">
        <f>IF(A73&lt;=$B$9,B72,"")</f>
        <v/>
      </c>
      <c r="D73" s="17">
        <f>IF(A73&lt;=$B$9,(B73-C73)/360,"")</f>
        <v/>
      </c>
      <c r="E73" s="33">
        <f>IF(A73&lt;=$B$9,IFERROR(INDEX($L$6:$L$38,MATCH(B73,$K$6:$K$38,1))*(INDEX($L$6:$L$38,MATCH(B73,$K$6:$K$38,1)+1)/INDEX($L$6:$L$38,MATCH(B73,$K$6:$K$38,1)))^((B73-INDEX($K$6:$K$38,MATCH(B73,$K$6:$K$38,1)))/(INDEX($K$6:$K$38,MATCH(B73,$K$6:$K$38,1)+1)-INDEX($K$6:$K$38,MATCH(B73,$K$6:$K$38,1)))),INDEX($L$6:$L$38,MATCH(B73,$K$6:$K$38,1))),"")</f>
        <v/>
      </c>
      <c r="F73" s="42">
        <f>IF(A73&lt;=$B$9,$B$6*$B$11/100*D73,"")</f>
        <v/>
      </c>
      <c r="G73" s="42">
        <f>IF(A73&lt;=$B$9,F73*E73,"")</f>
        <v/>
      </c>
      <c r="H73" s="32">
        <f>IF(A73&lt;=$B$9,D73*E73,"")</f>
        <v/>
      </c>
    </row>
    <row r="74">
      <c r="A74" s="35">
        <f>ROW()-35</f>
        <v/>
      </c>
      <c r="B74" s="18">
        <f>IF(A74&lt;=$B$9,EDATE($B$8,12*A74),"")</f>
        <v/>
      </c>
      <c r="C74" s="18">
        <f>IF(A74&lt;=$B$9,B73,"")</f>
        <v/>
      </c>
      <c r="D74" s="17">
        <f>IF(A74&lt;=$B$9,(B74-C74)/360,"")</f>
        <v/>
      </c>
      <c r="E74" s="33">
        <f>IF(A74&lt;=$B$9,IFERROR(INDEX($L$6:$L$38,MATCH(B74,$K$6:$K$38,1))*(INDEX($L$6:$L$38,MATCH(B74,$K$6:$K$38,1)+1)/INDEX($L$6:$L$38,MATCH(B74,$K$6:$K$38,1)))^((B74-INDEX($K$6:$K$38,MATCH(B74,$K$6:$K$38,1)))/(INDEX($K$6:$K$38,MATCH(B74,$K$6:$K$38,1)+1)-INDEX($K$6:$K$38,MATCH(B74,$K$6:$K$38,1)))),INDEX($L$6:$L$38,MATCH(B74,$K$6:$K$38,1))),"")</f>
        <v/>
      </c>
      <c r="F74" s="42">
        <f>IF(A74&lt;=$B$9,$B$6*$B$11/100*D74,"")</f>
        <v/>
      </c>
      <c r="G74" s="42">
        <f>IF(A74&lt;=$B$9,F74*E74,"")</f>
        <v/>
      </c>
      <c r="H74" s="32">
        <f>IF(A74&lt;=$B$9,D74*E74,"")</f>
        <v/>
      </c>
    </row>
    <row r="75">
      <c r="A75" s="35">
        <f>ROW()-35</f>
        <v/>
      </c>
      <c r="B75" s="18">
        <f>IF(A75&lt;=$B$9,EDATE($B$8,12*A75),"")</f>
        <v/>
      </c>
      <c r="C75" s="18">
        <f>IF(A75&lt;=$B$9,B74,"")</f>
        <v/>
      </c>
      <c r="D75" s="17">
        <f>IF(A75&lt;=$B$9,(B75-C75)/360,"")</f>
        <v/>
      </c>
      <c r="E75" s="33">
        <f>IF(A75&lt;=$B$9,IFERROR(INDEX($L$6:$L$38,MATCH(B75,$K$6:$K$38,1))*(INDEX($L$6:$L$38,MATCH(B75,$K$6:$K$38,1)+1)/INDEX($L$6:$L$38,MATCH(B75,$K$6:$K$38,1)))^((B75-INDEX($K$6:$K$38,MATCH(B75,$K$6:$K$38,1)))/(INDEX($K$6:$K$38,MATCH(B75,$K$6:$K$38,1)+1)-INDEX($K$6:$K$38,MATCH(B75,$K$6:$K$38,1)))),INDEX($L$6:$L$38,MATCH(B75,$K$6:$K$38,1))),"")</f>
        <v/>
      </c>
      <c r="F75" s="42">
        <f>IF(A75&lt;=$B$9,$B$6*$B$11/100*D75,"")</f>
        <v/>
      </c>
      <c r="G75" s="42">
        <f>IF(A75&lt;=$B$9,F75*E75,"")</f>
        <v/>
      </c>
      <c r="H75" s="32">
        <f>IF(A75&lt;=$B$9,D75*E75,"")</f>
        <v/>
      </c>
    </row>
    <row r="76">
      <c r="A76" s="35">
        <f>ROW()-35</f>
        <v/>
      </c>
      <c r="B76" s="18">
        <f>IF(A76&lt;=$B$9,EDATE($B$8,12*A76),"")</f>
        <v/>
      </c>
      <c r="C76" s="18">
        <f>IF(A76&lt;=$B$9,B75,"")</f>
        <v/>
      </c>
      <c r="D76" s="17">
        <f>IF(A76&lt;=$B$9,(B76-C76)/360,"")</f>
        <v/>
      </c>
      <c r="E76" s="33">
        <f>IF(A76&lt;=$B$9,IFERROR(INDEX($L$6:$L$38,MATCH(B76,$K$6:$K$38,1))*(INDEX($L$6:$L$38,MATCH(B76,$K$6:$K$38,1)+1)/INDEX($L$6:$L$38,MATCH(B76,$K$6:$K$38,1)))^((B76-INDEX($K$6:$K$38,MATCH(B76,$K$6:$K$38,1)))/(INDEX($K$6:$K$38,MATCH(B76,$K$6:$K$38,1)+1)-INDEX($K$6:$K$38,MATCH(B76,$K$6:$K$38,1)))),INDEX($L$6:$L$38,MATCH(B76,$K$6:$K$38,1))),"")</f>
        <v/>
      </c>
      <c r="F76" s="42">
        <f>IF(A76&lt;=$B$9,$B$6*$B$11/100*D76,"")</f>
        <v/>
      </c>
      <c r="G76" s="42">
        <f>IF(A76&lt;=$B$9,F76*E76,"")</f>
        <v/>
      </c>
      <c r="H76" s="32">
        <f>IF(A76&lt;=$B$9,D76*E76,"")</f>
        <v/>
      </c>
    </row>
    <row r="77">
      <c r="A77" s="35">
        <f>ROW()-35</f>
        <v/>
      </c>
      <c r="B77" s="18">
        <f>IF(A77&lt;=$B$9,EDATE($B$8,12*A77),"")</f>
        <v/>
      </c>
      <c r="C77" s="18">
        <f>IF(A77&lt;=$B$9,B76,"")</f>
        <v/>
      </c>
      <c r="D77" s="17">
        <f>IF(A77&lt;=$B$9,(B77-C77)/360,"")</f>
        <v/>
      </c>
      <c r="E77" s="33">
        <f>IF(A77&lt;=$B$9,IFERROR(INDEX($L$6:$L$38,MATCH(B77,$K$6:$K$38,1))*(INDEX($L$6:$L$38,MATCH(B77,$K$6:$K$38,1)+1)/INDEX($L$6:$L$38,MATCH(B77,$K$6:$K$38,1)))^((B77-INDEX($K$6:$K$38,MATCH(B77,$K$6:$K$38,1)))/(INDEX($K$6:$K$38,MATCH(B77,$K$6:$K$38,1)+1)-INDEX($K$6:$K$38,MATCH(B77,$K$6:$K$38,1)))),INDEX($L$6:$L$38,MATCH(B77,$K$6:$K$38,1))),"")</f>
        <v/>
      </c>
      <c r="F77" s="42">
        <f>IF(A77&lt;=$B$9,$B$6*$B$11/100*D77,"")</f>
        <v/>
      </c>
      <c r="G77" s="42">
        <f>IF(A77&lt;=$B$9,F77*E77,"")</f>
        <v/>
      </c>
      <c r="H77" s="32">
        <f>IF(A77&lt;=$B$9,D77*E77,"")</f>
        <v/>
      </c>
    </row>
    <row r="78">
      <c r="A78" s="35">
        <f>ROW()-35</f>
        <v/>
      </c>
      <c r="B78" s="18">
        <f>IF(A78&lt;=$B$9,EDATE($B$8,12*A78),"")</f>
        <v/>
      </c>
      <c r="C78" s="18">
        <f>IF(A78&lt;=$B$9,B77,"")</f>
        <v/>
      </c>
      <c r="D78" s="17">
        <f>IF(A78&lt;=$B$9,(B78-C78)/360,"")</f>
        <v/>
      </c>
      <c r="E78" s="33">
        <f>IF(A78&lt;=$B$9,IFERROR(INDEX($L$6:$L$38,MATCH(B78,$K$6:$K$38,1))*(INDEX($L$6:$L$38,MATCH(B78,$K$6:$K$38,1)+1)/INDEX($L$6:$L$38,MATCH(B78,$K$6:$K$38,1)))^((B78-INDEX($K$6:$K$38,MATCH(B78,$K$6:$K$38,1)))/(INDEX($K$6:$K$38,MATCH(B78,$K$6:$K$38,1)+1)-INDEX($K$6:$K$38,MATCH(B78,$K$6:$K$38,1)))),INDEX($L$6:$L$38,MATCH(B78,$K$6:$K$38,1))),"")</f>
        <v/>
      </c>
      <c r="F78" s="42">
        <f>IF(A78&lt;=$B$9,$B$6*$B$11/100*D78,"")</f>
        <v/>
      </c>
      <c r="G78" s="42">
        <f>IF(A78&lt;=$B$9,F78*E78,"")</f>
        <v/>
      </c>
      <c r="H78" s="32">
        <f>IF(A78&lt;=$B$9,D78*E78,"")</f>
        <v/>
      </c>
    </row>
    <row r="79">
      <c r="A79" s="35">
        <f>ROW()-35</f>
        <v/>
      </c>
      <c r="B79" s="18">
        <f>IF(A79&lt;=$B$9,EDATE($B$8,12*A79),"")</f>
        <v/>
      </c>
      <c r="C79" s="18">
        <f>IF(A79&lt;=$B$9,B78,"")</f>
        <v/>
      </c>
      <c r="D79" s="17">
        <f>IF(A79&lt;=$B$9,(B79-C79)/360,"")</f>
        <v/>
      </c>
      <c r="E79" s="33">
        <f>IF(A79&lt;=$B$9,IFERROR(INDEX($L$6:$L$38,MATCH(B79,$K$6:$K$38,1))*(INDEX($L$6:$L$38,MATCH(B79,$K$6:$K$38,1)+1)/INDEX($L$6:$L$38,MATCH(B79,$K$6:$K$38,1)))^((B79-INDEX($K$6:$K$38,MATCH(B79,$K$6:$K$38,1)))/(INDEX($K$6:$K$38,MATCH(B79,$K$6:$K$38,1)+1)-INDEX($K$6:$K$38,MATCH(B79,$K$6:$K$38,1)))),INDEX($L$6:$L$38,MATCH(B79,$K$6:$K$38,1))),"")</f>
        <v/>
      </c>
      <c r="F79" s="42">
        <f>IF(A79&lt;=$B$9,$B$6*$B$11/100*D79,"")</f>
        <v/>
      </c>
      <c r="G79" s="42">
        <f>IF(A79&lt;=$B$9,F79*E79,"")</f>
        <v/>
      </c>
      <c r="H79" s="32">
        <f>IF(A79&lt;=$B$9,D79*E79,"")</f>
        <v/>
      </c>
    </row>
    <row r="80">
      <c r="A80" s="35">
        <f>ROW()-35</f>
        <v/>
      </c>
      <c r="B80" s="18">
        <f>IF(A80&lt;=$B$9,EDATE($B$8,12*A80),"")</f>
        <v/>
      </c>
      <c r="C80" s="18">
        <f>IF(A80&lt;=$B$9,B79,"")</f>
        <v/>
      </c>
      <c r="D80" s="17">
        <f>IF(A80&lt;=$B$9,(B80-C80)/360,"")</f>
        <v/>
      </c>
      <c r="E80" s="33">
        <f>IF(A80&lt;=$B$9,IFERROR(INDEX($L$6:$L$38,MATCH(B80,$K$6:$K$38,1))*(INDEX($L$6:$L$38,MATCH(B80,$K$6:$K$38,1)+1)/INDEX($L$6:$L$38,MATCH(B80,$K$6:$K$38,1)))^((B80-INDEX($K$6:$K$38,MATCH(B80,$K$6:$K$38,1)))/(INDEX($K$6:$K$38,MATCH(B80,$K$6:$K$38,1)+1)-INDEX($K$6:$K$38,MATCH(B80,$K$6:$K$38,1)))),INDEX($L$6:$L$38,MATCH(B80,$K$6:$K$38,1))),"")</f>
        <v/>
      </c>
      <c r="F80" s="42">
        <f>IF(A80&lt;=$B$9,$B$6*$B$11/100*D80,"")</f>
        <v/>
      </c>
      <c r="G80" s="42">
        <f>IF(A80&lt;=$B$9,F80*E80,"")</f>
        <v/>
      </c>
      <c r="H80" s="32">
        <f>IF(A80&lt;=$B$9,D80*E80,"")</f>
        <v/>
      </c>
    </row>
    <row r="81">
      <c r="A81" s="35">
        <f>ROW()-35</f>
        <v/>
      </c>
      <c r="B81" s="18">
        <f>IF(A81&lt;=$B$9,EDATE($B$8,12*A81),"")</f>
        <v/>
      </c>
      <c r="C81" s="18">
        <f>IF(A81&lt;=$B$9,B80,"")</f>
        <v/>
      </c>
      <c r="D81" s="17">
        <f>IF(A81&lt;=$B$9,(B81-C81)/360,"")</f>
        <v/>
      </c>
      <c r="E81" s="33">
        <f>IF(A81&lt;=$B$9,IFERROR(INDEX($L$6:$L$38,MATCH(B81,$K$6:$K$38,1))*(INDEX($L$6:$L$38,MATCH(B81,$K$6:$K$38,1)+1)/INDEX($L$6:$L$38,MATCH(B81,$K$6:$K$38,1)))^((B81-INDEX($K$6:$K$38,MATCH(B81,$K$6:$K$38,1)))/(INDEX($K$6:$K$38,MATCH(B81,$K$6:$K$38,1)+1)-INDEX($K$6:$K$38,MATCH(B81,$K$6:$K$38,1)))),INDEX($L$6:$L$38,MATCH(B81,$K$6:$K$38,1))),"")</f>
        <v/>
      </c>
      <c r="F81" s="42">
        <f>IF(A81&lt;=$B$9,$B$6*$B$11/100*D81,"")</f>
        <v/>
      </c>
      <c r="G81" s="42">
        <f>IF(A81&lt;=$B$9,F81*E81,"")</f>
        <v/>
      </c>
      <c r="H81" s="32">
        <f>IF(A81&lt;=$B$9,D81*E81,"")</f>
        <v/>
      </c>
    </row>
    <row r="82">
      <c r="A82" s="35">
        <f>ROW()-35</f>
        <v/>
      </c>
      <c r="B82" s="18">
        <f>IF(A82&lt;=$B$9,EDATE($B$8,12*A82),"")</f>
        <v/>
      </c>
      <c r="C82" s="18">
        <f>IF(A82&lt;=$B$9,B81,"")</f>
        <v/>
      </c>
      <c r="D82" s="17">
        <f>IF(A82&lt;=$B$9,(B82-C82)/360,"")</f>
        <v/>
      </c>
      <c r="E82" s="33">
        <f>IF(A82&lt;=$B$9,IFERROR(INDEX($L$6:$L$38,MATCH(B82,$K$6:$K$38,1))*(INDEX($L$6:$L$38,MATCH(B82,$K$6:$K$38,1)+1)/INDEX($L$6:$L$38,MATCH(B82,$K$6:$K$38,1)))^((B82-INDEX($K$6:$K$38,MATCH(B82,$K$6:$K$38,1)))/(INDEX($K$6:$K$38,MATCH(B82,$K$6:$K$38,1)+1)-INDEX($K$6:$K$38,MATCH(B82,$K$6:$K$38,1)))),INDEX($L$6:$L$38,MATCH(B82,$K$6:$K$38,1))),"")</f>
        <v/>
      </c>
      <c r="F82" s="42">
        <f>IF(A82&lt;=$B$9,$B$6*$B$11/100*D82,"")</f>
        <v/>
      </c>
      <c r="G82" s="42">
        <f>IF(A82&lt;=$B$9,F82*E82,"")</f>
        <v/>
      </c>
      <c r="H82" s="32">
        <f>IF(A82&lt;=$B$9,D82*E82,"")</f>
        <v/>
      </c>
    </row>
    <row r="83">
      <c r="A83" s="35">
        <f>ROW()-35</f>
        <v/>
      </c>
      <c r="B83" s="18">
        <f>IF(A83&lt;=$B$9,EDATE($B$8,12*A83),"")</f>
        <v/>
      </c>
      <c r="C83" s="18">
        <f>IF(A83&lt;=$B$9,B82,"")</f>
        <v/>
      </c>
      <c r="D83" s="17">
        <f>IF(A83&lt;=$B$9,(B83-C83)/360,"")</f>
        <v/>
      </c>
      <c r="E83" s="33">
        <f>IF(A83&lt;=$B$9,IFERROR(INDEX($L$6:$L$38,MATCH(B83,$K$6:$K$38,1))*(INDEX($L$6:$L$38,MATCH(B83,$K$6:$K$38,1)+1)/INDEX($L$6:$L$38,MATCH(B83,$K$6:$K$38,1)))^((B83-INDEX($K$6:$K$38,MATCH(B83,$K$6:$K$38,1)))/(INDEX($K$6:$K$38,MATCH(B83,$K$6:$K$38,1)+1)-INDEX($K$6:$K$38,MATCH(B83,$K$6:$K$38,1)))),INDEX($L$6:$L$38,MATCH(B83,$K$6:$K$38,1))),"")</f>
        <v/>
      </c>
      <c r="F83" s="42">
        <f>IF(A83&lt;=$B$9,$B$6*$B$11/100*D83,"")</f>
        <v/>
      </c>
      <c r="G83" s="42">
        <f>IF(A83&lt;=$B$9,F83*E83,"")</f>
        <v/>
      </c>
      <c r="H83" s="32">
        <f>IF(A83&lt;=$B$9,D83*E83,"")</f>
        <v/>
      </c>
    </row>
    <row r="84">
      <c r="A84" s="35">
        <f>ROW()-35</f>
        <v/>
      </c>
      <c r="B84" s="18">
        <f>IF(A84&lt;=$B$9,EDATE($B$8,12*A84),"")</f>
        <v/>
      </c>
      <c r="C84" s="18">
        <f>IF(A84&lt;=$B$9,B83,"")</f>
        <v/>
      </c>
      <c r="D84" s="17">
        <f>IF(A84&lt;=$B$9,(B84-C84)/360,"")</f>
        <v/>
      </c>
      <c r="E84" s="33">
        <f>IF(A84&lt;=$B$9,IFERROR(INDEX($L$6:$L$38,MATCH(B84,$K$6:$K$38,1))*(INDEX($L$6:$L$38,MATCH(B84,$K$6:$K$38,1)+1)/INDEX($L$6:$L$38,MATCH(B84,$K$6:$K$38,1)))^((B84-INDEX($K$6:$K$38,MATCH(B84,$K$6:$K$38,1)))/(INDEX($K$6:$K$38,MATCH(B84,$K$6:$K$38,1)+1)-INDEX($K$6:$K$38,MATCH(B84,$K$6:$K$38,1)))),INDEX($L$6:$L$38,MATCH(B84,$K$6:$K$38,1))),"")</f>
        <v/>
      </c>
      <c r="F84" s="42">
        <f>IF(A84&lt;=$B$9,$B$6*$B$11/100*D84,"")</f>
        <v/>
      </c>
      <c r="G84" s="42">
        <f>IF(A84&lt;=$B$9,F84*E84,"")</f>
        <v/>
      </c>
      <c r="H84" s="32">
        <f>IF(A84&lt;=$B$9,D84*E84,"")</f>
        <v/>
      </c>
    </row>
    <row r="85">
      <c r="A85" s="35">
        <f>ROW()-35</f>
        <v/>
      </c>
      <c r="B85" s="18">
        <f>IF(A85&lt;=$B$9,EDATE($B$8,12*A85),"")</f>
        <v/>
      </c>
      <c r="C85" s="18">
        <f>IF(A85&lt;=$B$9,B84,"")</f>
        <v/>
      </c>
      <c r="D85" s="17">
        <f>IF(A85&lt;=$B$9,(B85-C85)/360,"")</f>
        <v/>
      </c>
      <c r="E85" s="33">
        <f>IF(A85&lt;=$B$9,IFERROR(INDEX($L$6:$L$38,MATCH(B85,$K$6:$K$38,1))*(INDEX($L$6:$L$38,MATCH(B85,$K$6:$K$38,1)+1)/INDEX($L$6:$L$38,MATCH(B85,$K$6:$K$38,1)))^((B85-INDEX($K$6:$K$38,MATCH(B85,$K$6:$K$38,1)))/(INDEX($K$6:$K$38,MATCH(B85,$K$6:$K$38,1)+1)-INDEX($K$6:$K$38,MATCH(B85,$K$6:$K$38,1)))),INDEX($L$6:$L$38,MATCH(B85,$K$6:$K$38,1))),"")</f>
        <v/>
      </c>
      <c r="F85" s="42">
        <f>IF(A85&lt;=$B$9,$B$6*$B$11/100*D85,"")</f>
        <v/>
      </c>
      <c r="G85" s="42">
        <f>IF(A85&lt;=$B$9,F85*E85,"")</f>
        <v/>
      </c>
      <c r="H85" s="32">
        <f>IF(A85&lt;=$B$9,D85*E85,"")</f>
        <v/>
      </c>
    </row>
  </sheetData>
  <mergeCells count="20">
    <mergeCell ref="C23:I23"/>
    <mergeCell ref="K39:L40"/>
    <mergeCell ref="C8:I8"/>
    <mergeCell ref="A18:I18"/>
    <mergeCell ref="C19:I19"/>
    <mergeCell ref="C28:I28"/>
    <mergeCell ref="C6:I6"/>
    <mergeCell ref="C24:I24"/>
    <mergeCell ref="C15:I15"/>
    <mergeCell ref="A4:I4"/>
    <mergeCell ref="C5:I5"/>
    <mergeCell ref="C26:I26"/>
    <mergeCell ref="C29:I29"/>
    <mergeCell ref="C10:I10"/>
    <mergeCell ref="C25:I25"/>
    <mergeCell ref="C9:I9"/>
    <mergeCell ref="C21:I21"/>
    <mergeCell ref="A32:I33"/>
    <mergeCell ref="K4:L4"/>
    <mergeCell ref="C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Bloomberg_S490_Validation</t>
        </is>
      </c>
    </row>
    <row r="2">
      <c r="A2" s="2" t="inlineStr">
        <is>
          <t>Bloomberg's own USD SOFR curve (S490 / YCSW0490 Index) — benchmark for your bootstrap, not an input</t>
        </is>
      </c>
    </row>
    <row r="4">
      <c r="A4" s="13" t="inlineStr">
        <is>
          <t>Curve name:</t>
        </is>
      </c>
      <c r="B4" s="19">
        <f>IFERROR(BDP(S490_TKR,"NAME"),"ERROR PLZ FIX")</f>
        <v/>
      </c>
    </row>
    <row r="5">
      <c r="A5" s="13" t="inlineStr">
        <is>
          <t>Curve date:</t>
        </is>
      </c>
      <c r="B5" s="44">
        <f>VAL_DATE</f>
        <v/>
      </c>
    </row>
    <row r="6" ht="40" customHeight="1">
      <c r="A6" s="9" t="inlineStr">
        <is>
          <t>Paste Bloomberg's S490 zero rates (from YCSW0490 &lt;GO&gt; or SWDF) into the yellow column D, tenor for tenor; column E then shows Δz = your bootstrap − Bloomberg in bp (single digits = agreement). The raw BDS(CURVE_TENOR_RATES) dump is off to the right (cols H:I) as an optional live pull — its column order is Bloomberg-defined, so verify before relying on it.</t>
        </is>
      </c>
    </row>
    <row r="7">
      <c r="A7" s="20" t="inlineStr">
        <is>
          <t>Tenor</t>
        </is>
      </c>
      <c r="B7" s="20" t="inlineStr">
        <is>
          <t>Maturity</t>
        </is>
      </c>
      <c r="C7" s="20" t="inlineStr">
        <is>
          <t>Your zero (%)</t>
        </is>
      </c>
      <c r="D7" s="20" t="inlineStr">
        <is>
          <t>S490 zero (%) [paste]</t>
        </is>
      </c>
      <c r="E7" s="20" t="inlineStr">
        <is>
          <t>Δz (bp)</t>
        </is>
      </c>
      <c r="H7" s="16" t="inlineStr">
        <is>
          <t>Raw CURVE_TENOR_RATES (verify order)</t>
        </is>
      </c>
    </row>
    <row r="8">
      <c r="A8" s="6">
        <f>Bootstrap!A8</f>
        <v/>
      </c>
      <c r="B8" s="18">
        <f>Bootstrap!B8</f>
        <v/>
      </c>
      <c r="C8" s="17">
        <f>Bootstrap!J8</f>
        <v/>
      </c>
      <c r="D8" s="30" t="n"/>
      <c r="E8" s="31">
        <f>IF(D8="","",(C8-D8)*100)</f>
        <v/>
      </c>
      <c r="H8">
        <f>BDS(S490_TKR,"CURVE_TENOR_RATES")</f>
        <v/>
      </c>
    </row>
    <row r="9">
      <c r="A9" s="6">
        <f>Bootstrap!A9</f>
        <v/>
      </c>
      <c r="B9" s="18">
        <f>Bootstrap!B9</f>
        <v/>
      </c>
      <c r="C9" s="17">
        <f>Bootstrap!J9</f>
        <v/>
      </c>
      <c r="D9" s="30" t="n"/>
      <c r="E9" s="31">
        <f>IF(D9="","",(C9-D9)*100)</f>
        <v/>
      </c>
    </row>
    <row r="10">
      <c r="A10" s="6">
        <f>Bootstrap!A10</f>
        <v/>
      </c>
      <c r="B10" s="18">
        <f>Bootstrap!B10</f>
        <v/>
      </c>
      <c r="C10" s="17">
        <f>Bootstrap!J10</f>
        <v/>
      </c>
      <c r="D10" s="30" t="n"/>
      <c r="E10" s="31">
        <f>IF(D10="","",(C10-D10)*100)</f>
        <v/>
      </c>
    </row>
    <row r="11">
      <c r="A11" s="6">
        <f>Bootstrap!A11</f>
        <v/>
      </c>
      <c r="B11" s="18">
        <f>Bootstrap!B11</f>
        <v/>
      </c>
      <c r="C11" s="17">
        <f>Bootstrap!J11</f>
        <v/>
      </c>
      <c r="D11" s="30" t="n"/>
      <c r="E11" s="31">
        <f>IF(D11="","",(C11-D11)*100)</f>
        <v/>
      </c>
    </row>
    <row r="12">
      <c r="A12" s="6">
        <f>Bootstrap!A12</f>
        <v/>
      </c>
      <c r="B12" s="18">
        <f>Bootstrap!B12</f>
        <v/>
      </c>
      <c r="C12" s="17">
        <f>Bootstrap!J12</f>
        <v/>
      </c>
      <c r="D12" s="30" t="n"/>
      <c r="E12" s="31">
        <f>IF(D12="","",(C12-D12)*100)</f>
        <v/>
      </c>
    </row>
    <row r="13">
      <c r="A13" s="6">
        <f>Bootstrap!A13</f>
        <v/>
      </c>
      <c r="B13" s="18">
        <f>Bootstrap!B13</f>
        <v/>
      </c>
      <c r="C13" s="17">
        <f>Bootstrap!J13</f>
        <v/>
      </c>
      <c r="D13" s="30" t="n"/>
      <c r="E13" s="31">
        <f>IF(D13="","",(C13-D13)*100)</f>
        <v/>
      </c>
    </row>
    <row r="14">
      <c r="A14" s="6">
        <f>Bootstrap!A14</f>
        <v/>
      </c>
      <c r="B14" s="18">
        <f>Bootstrap!B14</f>
        <v/>
      </c>
      <c r="C14" s="17">
        <f>Bootstrap!J14</f>
        <v/>
      </c>
      <c r="D14" s="30" t="n"/>
      <c r="E14" s="31">
        <f>IF(D14="","",(C14-D14)*100)</f>
        <v/>
      </c>
    </row>
    <row r="15">
      <c r="A15" s="6">
        <f>Bootstrap!A15</f>
        <v/>
      </c>
      <c r="B15" s="18">
        <f>Bootstrap!B15</f>
        <v/>
      </c>
      <c r="C15" s="17">
        <f>Bootstrap!J15</f>
        <v/>
      </c>
      <c r="D15" s="30" t="n"/>
      <c r="E15" s="31">
        <f>IF(D15="","",(C15-D15)*100)</f>
        <v/>
      </c>
    </row>
    <row r="16">
      <c r="A16" s="6">
        <f>Bootstrap!A16</f>
        <v/>
      </c>
      <c r="B16" s="18">
        <f>Bootstrap!B16</f>
        <v/>
      </c>
      <c r="C16" s="17">
        <f>Bootstrap!J16</f>
        <v/>
      </c>
      <c r="D16" s="30" t="n"/>
      <c r="E16" s="31">
        <f>IF(D16="","",(C16-D16)*100)</f>
        <v/>
      </c>
    </row>
    <row r="17">
      <c r="A17" s="6">
        <f>Bootstrap!A17</f>
        <v/>
      </c>
      <c r="B17" s="18">
        <f>Bootstrap!B17</f>
        <v/>
      </c>
      <c r="C17" s="17">
        <f>Bootstrap!J17</f>
        <v/>
      </c>
      <c r="D17" s="30" t="n"/>
      <c r="E17" s="31">
        <f>IF(D17="","",(C17-D17)*100)</f>
        <v/>
      </c>
    </row>
    <row r="18">
      <c r="A18" s="6">
        <f>Bootstrap!A18</f>
        <v/>
      </c>
      <c r="B18" s="18">
        <f>Bootstrap!B18</f>
        <v/>
      </c>
      <c r="C18" s="17">
        <f>Bootstrap!J18</f>
        <v/>
      </c>
      <c r="D18" s="30" t="n"/>
      <c r="E18" s="31">
        <f>IF(D18="","",(C18-D18)*100)</f>
        <v/>
      </c>
    </row>
    <row r="19">
      <c r="A19" s="6">
        <f>Bootstrap!A19</f>
        <v/>
      </c>
      <c r="B19" s="18">
        <f>Bootstrap!B19</f>
        <v/>
      </c>
      <c r="C19" s="17">
        <f>Bootstrap!J19</f>
        <v/>
      </c>
      <c r="D19" s="30" t="n"/>
      <c r="E19" s="31">
        <f>IF(D19="","",(C19-D19)*100)</f>
        <v/>
      </c>
    </row>
    <row r="20">
      <c r="A20" s="6">
        <f>Bootstrap!A20</f>
        <v/>
      </c>
      <c r="B20" s="18">
        <f>Bootstrap!B20</f>
        <v/>
      </c>
      <c r="C20" s="17">
        <f>Bootstrap!J20</f>
        <v/>
      </c>
      <c r="D20" s="30" t="n"/>
      <c r="E20" s="31">
        <f>IF(D20="","",(C20-D20)*100)</f>
        <v/>
      </c>
    </row>
    <row r="21">
      <c r="A21" s="6">
        <f>Bootstrap!A21</f>
        <v/>
      </c>
      <c r="B21" s="18">
        <f>Bootstrap!B21</f>
        <v/>
      </c>
      <c r="C21" s="17">
        <f>Bootstrap!J21</f>
        <v/>
      </c>
      <c r="D21" s="30" t="n"/>
      <c r="E21" s="31">
        <f>IF(D21="","",(C21-D21)*100)</f>
        <v/>
      </c>
    </row>
    <row r="22">
      <c r="A22" s="6">
        <f>Bootstrap!A22</f>
        <v/>
      </c>
      <c r="B22" s="18">
        <f>Bootstrap!B22</f>
        <v/>
      </c>
      <c r="C22" s="17">
        <f>Bootstrap!J22</f>
        <v/>
      </c>
      <c r="D22" s="30" t="n"/>
      <c r="E22" s="31">
        <f>IF(D22="","",(C22-D22)*100)</f>
        <v/>
      </c>
    </row>
    <row r="23">
      <c r="A23" s="6">
        <f>Bootstrap!A23</f>
        <v/>
      </c>
      <c r="B23" s="18">
        <f>Bootstrap!B23</f>
        <v/>
      </c>
      <c r="C23" s="17">
        <f>Bootstrap!J23</f>
        <v/>
      </c>
      <c r="D23" s="30" t="n"/>
      <c r="E23" s="31">
        <f>IF(D23="","",(C23-D23)*100)</f>
        <v/>
      </c>
    </row>
    <row r="24">
      <c r="A24" s="6">
        <f>Bootstrap!A24</f>
        <v/>
      </c>
      <c r="B24" s="18">
        <f>Bootstrap!B24</f>
        <v/>
      </c>
      <c r="C24" s="17">
        <f>Bootstrap!J24</f>
        <v/>
      </c>
      <c r="D24" s="30" t="n"/>
      <c r="E24" s="31">
        <f>IF(D24="","",(C24-D24)*100)</f>
        <v/>
      </c>
    </row>
    <row r="25">
      <c r="A25" s="6">
        <f>Bootstrap!A25</f>
        <v/>
      </c>
      <c r="B25" s="18">
        <f>Bootstrap!B25</f>
        <v/>
      </c>
      <c r="C25" s="17">
        <f>Bootstrap!J25</f>
        <v/>
      </c>
      <c r="D25" s="30" t="n"/>
      <c r="E25" s="31">
        <f>IF(D25="","",(C25-D25)*100)</f>
        <v/>
      </c>
    </row>
    <row r="26">
      <c r="A26" s="6">
        <f>Bootstrap!A26</f>
        <v/>
      </c>
      <c r="B26" s="18">
        <f>Bootstrap!B26</f>
        <v/>
      </c>
      <c r="C26" s="17">
        <f>Bootstrap!J26</f>
        <v/>
      </c>
      <c r="D26" s="30" t="n"/>
      <c r="E26" s="31">
        <f>IF(D26="","",(C26-D26)*100)</f>
        <v/>
      </c>
    </row>
    <row r="27">
      <c r="A27" s="6">
        <f>Bootstrap!A27</f>
        <v/>
      </c>
      <c r="B27" s="18">
        <f>Bootstrap!B27</f>
        <v/>
      </c>
      <c r="C27" s="17">
        <f>Bootstrap!J27</f>
        <v/>
      </c>
      <c r="D27" s="30" t="n"/>
      <c r="E27" s="31">
        <f>IF(D27="","",(C27-D27)*100)</f>
        <v/>
      </c>
    </row>
    <row r="28">
      <c r="A28" s="6">
        <f>Bootstrap!A28</f>
        <v/>
      </c>
      <c r="B28" s="18">
        <f>Bootstrap!B28</f>
        <v/>
      </c>
      <c r="C28" s="17">
        <f>Bootstrap!J28</f>
        <v/>
      </c>
      <c r="D28" s="30" t="n"/>
      <c r="E28" s="31">
        <f>IF(D28="","",(C28-D28)*100)</f>
        <v/>
      </c>
    </row>
    <row r="29">
      <c r="A29" s="6">
        <f>Bootstrap!A29</f>
        <v/>
      </c>
      <c r="B29" s="18">
        <f>Bootstrap!B29</f>
        <v/>
      </c>
      <c r="C29" s="17">
        <f>Bootstrap!J29</f>
        <v/>
      </c>
      <c r="D29" s="30" t="n"/>
      <c r="E29" s="31">
        <f>IF(D29="","",(C29-D29)*100)</f>
        <v/>
      </c>
    </row>
    <row r="30">
      <c r="A30" s="6">
        <f>Bootstrap!A30</f>
        <v/>
      </c>
      <c r="B30" s="18">
        <f>Bootstrap!B30</f>
        <v/>
      </c>
      <c r="C30" s="17">
        <f>Bootstrap!J30</f>
        <v/>
      </c>
      <c r="D30" s="30" t="n"/>
      <c r="E30" s="31">
        <f>IF(D30="","",(C30-D30)*100)</f>
        <v/>
      </c>
    </row>
    <row r="31">
      <c r="A31" s="6">
        <f>Bootstrap!A31</f>
        <v/>
      </c>
      <c r="B31" s="18">
        <f>Bootstrap!B31</f>
        <v/>
      </c>
      <c r="C31" s="17">
        <f>Bootstrap!J31</f>
        <v/>
      </c>
      <c r="D31" s="30" t="n"/>
      <c r="E31" s="31">
        <f>IF(D31="","",(C31-D31)*100)</f>
        <v/>
      </c>
    </row>
    <row r="32">
      <c r="A32" s="6">
        <f>Bootstrap!A32</f>
        <v/>
      </c>
      <c r="B32" s="18">
        <f>Bootstrap!B32</f>
        <v/>
      </c>
      <c r="C32" s="17">
        <f>Bootstrap!J32</f>
        <v/>
      </c>
      <c r="D32" s="30" t="n"/>
      <c r="E32" s="31">
        <f>IF(D32="","",(C32-D32)*100)</f>
        <v/>
      </c>
    </row>
    <row r="33">
      <c r="A33" s="6">
        <f>Bootstrap!A33</f>
        <v/>
      </c>
      <c r="B33" s="18">
        <f>Bootstrap!B33</f>
        <v/>
      </c>
      <c r="C33" s="17">
        <f>Bootstrap!J33</f>
        <v/>
      </c>
      <c r="D33" s="30" t="n"/>
      <c r="E33" s="31">
        <f>IF(D33="","",(C33-D33)*100)</f>
        <v/>
      </c>
    </row>
    <row r="34">
      <c r="A34" s="6">
        <f>Bootstrap!A34</f>
        <v/>
      </c>
      <c r="B34" s="18">
        <f>Bootstrap!B34</f>
        <v/>
      </c>
      <c r="C34" s="17">
        <f>Bootstrap!J34</f>
        <v/>
      </c>
      <c r="D34" s="30" t="n"/>
      <c r="E34" s="31">
        <f>IF(D34="","",(C34-D34)*100)</f>
        <v/>
      </c>
    </row>
    <row r="35">
      <c r="A35" s="6">
        <f>Bootstrap!A35</f>
        <v/>
      </c>
      <c r="B35" s="18">
        <f>Bootstrap!B35</f>
        <v/>
      </c>
      <c r="C35" s="17">
        <f>Bootstrap!J35</f>
        <v/>
      </c>
      <c r="D35" s="30" t="n"/>
      <c r="E35" s="31">
        <f>IF(D35="","",(C35-D35)*100)</f>
        <v/>
      </c>
    </row>
    <row r="36">
      <c r="A36" s="6">
        <f>Bootstrap!A36</f>
        <v/>
      </c>
      <c r="B36" s="18">
        <f>Bootstrap!B36</f>
        <v/>
      </c>
      <c r="C36" s="17">
        <f>Bootstrap!J36</f>
        <v/>
      </c>
      <c r="D36" s="30" t="n"/>
      <c r="E36" s="31">
        <f>IF(D36="","",(C36-D36)*100)</f>
        <v/>
      </c>
    </row>
    <row r="37">
      <c r="A37" s="6">
        <f>Bootstrap!A37</f>
        <v/>
      </c>
      <c r="B37" s="18">
        <f>Bootstrap!B37</f>
        <v/>
      </c>
      <c r="C37" s="17">
        <f>Bootstrap!J37</f>
        <v/>
      </c>
      <c r="D37" s="30" t="n"/>
      <c r="E37" s="31">
        <f>IF(D37="","",(C37-D37)*100)</f>
        <v/>
      </c>
    </row>
    <row r="38">
      <c r="A38" s="6">
        <f>Bootstrap!A38</f>
        <v/>
      </c>
      <c r="B38" s="18">
        <f>Bootstrap!B38</f>
        <v/>
      </c>
      <c r="C38" s="17">
        <f>Bootstrap!J38</f>
        <v/>
      </c>
      <c r="D38" s="30" t="n"/>
      <c r="E38" s="31">
        <f>IF(D38="","",(C38-D38)*100)</f>
        <v/>
      </c>
    </row>
    <row r="39">
      <c r="A39" s="6">
        <f>Bootstrap!A39</f>
        <v/>
      </c>
      <c r="B39" s="18">
        <f>Bootstrap!B39</f>
        <v/>
      </c>
      <c r="C39" s="17">
        <f>Bootstrap!J39</f>
        <v/>
      </c>
      <c r="D39" s="30" t="n"/>
      <c r="E39" s="31">
        <f>IF(D39="","",(C39-D39)*100)</f>
        <v/>
      </c>
    </row>
  </sheetData>
  <mergeCells count="3">
    <mergeCell ref="H7:L7"/>
    <mergeCell ref="A6:E6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Conventions</t>
        </is>
      </c>
    </row>
    <row r="2">
      <c r="A2" s="2" t="inlineStr">
        <is>
          <t>OIS quote conventions (DES/FLDS) for representative tenors — record before you bootstrap</t>
        </is>
      </c>
    </row>
    <row r="4">
      <c r="A4" s="20" t="inlineStr">
        <is>
          <t>Convention attribute</t>
        </is>
      </c>
      <c r="B4" s="20" t="inlineStr">
        <is>
          <t>BDP field (verify via FLDS)</t>
        </is>
      </c>
      <c r="C4" s="20" t="inlineStr">
        <is>
          <t>USOSFRC  (3M)</t>
        </is>
      </c>
      <c r="D4" s="20" t="inlineStr">
        <is>
          <t>USOSFR1  (1Y)</t>
        </is>
      </c>
      <c r="E4" s="20" t="inlineStr">
        <is>
          <t>USOSFR5  (5Y)</t>
        </is>
      </c>
      <c r="F4" s="20" t="inlineStr">
        <is>
          <t>USOSFR30  (30Y)</t>
        </is>
      </c>
    </row>
    <row r="5">
      <c r="A5" s="6" t="inlineStr">
        <is>
          <t>Currency</t>
        </is>
      </c>
      <c r="B5" s="8" t="inlineStr">
        <is>
          <t>CRNCY</t>
        </is>
      </c>
      <c r="C5" s="22">
        <f>IFERROR(BDP("USOSFRC BGN Curncy","CRNCY"),"ERROR PLZ FIX")</f>
        <v/>
      </c>
      <c r="D5" s="22">
        <f>IFERROR(BDP("USOSFR1 BGN Curncy","CRNCY"),"ERROR PLZ FIX")</f>
        <v/>
      </c>
      <c r="E5" s="22">
        <f>IFERROR(BDP("USOSFR5 BGN Curncy","CRNCY"),"ERROR PLZ FIX")</f>
        <v/>
      </c>
      <c r="F5" s="22">
        <f>IFERROR(BDP("USOSFR30 BGN Curncy","CRNCY"),"ERROR PLZ FIX")</f>
        <v/>
      </c>
    </row>
    <row r="6">
      <c r="A6" s="6" t="inlineStr">
        <is>
          <t>Reference index</t>
        </is>
      </c>
      <c r="B6" s="8" t="inlineStr">
        <is>
          <t>— DES/SWPM manual —</t>
        </is>
      </c>
      <c r="C6" s="22" t="inlineStr">
        <is>
          <t>— DES/SWPM —</t>
        </is>
      </c>
      <c r="D6" s="22" t="inlineStr">
        <is>
          <t>— DES/SWPM —</t>
        </is>
      </c>
      <c r="E6" s="22" t="inlineStr">
        <is>
          <t>— DES/SWPM —</t>
        </is>
      </c>
      <c r="F6" s="22" t="inlineStr">
        <is>
          <t>— DES/SWPM —</t>
        </is>
      </c>
    </row>
    <row r="7">
      <c r="A7" s="6" t="inlineStr">
        <is>
          <t>Spot / settlement lag</t>
        </is>
      </c>
      <c r="B7" s="8" t="inlineStr">
        <is>
          <t>— DES/SWPM manual —</t>
        </is>
      </c>
      <c r="C7" s="22" t="inlineStr">
        <is>
          <t>— DES/SWPM —</t>
        </is>
      </c>
      <c r="D7" s="22" t="inlineStr">
        <is>
          <t>— DES/SWPM —</t>
        </is>
      </c>
      <c r="E7" s="22" t="inlineStr">
        <is>
          <t>— DES/SWPM —</t>
        </is>
      </c>
      <c r="F7" s="22" t="inlineStr">
        <is>
          <t>— DES/SWPM —</t>
        </is>
      </c>
    </row>
    <row r="8">
      <c r="A8" s="6" t="inlineStr">
        <is>
          <t>Effective date rule</t>
        </is>
      </c>
      <c r="B8" s="8" t="inlineStr">
        <is>
          <t>— DES/SWPM manual —</t>
        </is>
      </c>
      <c r="C8" s="22" t="inlineStr">
        <is>
          <t>— DES/SWPM —</t>
        </is>
      </c>
      <c r="D8" s="22" t="inlineStr">
        <is>
          <t>— DES/SWPM —</t>
        </is>
      </c>
      <c r="E8" s="22" t="inlineStr">
        <is>
          <t>— DES/SWPM —</t>
        </is>
      </c>
      <c r="F8" s="22" t="inlineStr">
        <is>
          <t>— DES/SWPM —</t>
        </is>
      </c>
    </row>
    <row r="9">
      <c r="A9" s="6" t="inlineStr">
        <is>
          <t>Maturity date rule</t>
        </is>
      </c>
      <c r="B9" s="8" t="inlineStr">
        <is>
          <t>— DES/SWPM manual —</t>
        </is>
      </c>
      <c r="C9" s="22" t="inlineStr">
        <is>
          <t>— DES/SWPM —</t>
        </is>
      </c>
      <c r="D9" s="22" t="inlineStr">
        <is>
          <t>— DES/SWPM —</t>
        </is>
      </c>
      <c r="E9" s="22" t="inlineStr">
        <is>
          <t>— DES/SWPM —</t>
        </is>
      </c>
      <c r="F9" s="22" t="inlineStr">
        <is>
          <t>— DES/SWPM —</t>
        </is>
      </c>
    </row>
    <row r="10">
      <c r="A10" s="6" t="inlineStr">
        <is>
          <t>Business-day calendar</t>
        </is>
      </c>
      <c r="B10" s="8" t="inlineStr">
        <is>
          <t>CALENDAR_CODE</t>
        </is>
      </c>
      <c r="C10" s="22">
        <f>IFERROR(BDP("USOSFRC BGN Curncy","CALENDAR_CODE"),"ERROR PLZ FIX")</f>
        <v/>
      </c>
      <c r="D10" s="22">
        <f>IFERROR(BDP("USOSFR1 BGN Curncy","CALENDAR_CODE"),"ERROR PLZ FIX")</f>
        <v/>
      </c>
      <c r="E10" s="22">
        <f>IFERROR(BDP("USOSFR5 BGN Curncy","CALENDAR_CODE"),"ERROR PLZ FIX")</f>
        <v/>
      </c>
      <c r="F10" s="22">
        <f>IFERROR(BDP("USOSFR30 BGN Curncy","CALENDAR_CODE"),"ERROR PLZ FIX")</f>
        <v/>
      </c>
    </row>
    <row r="11">
      <c r="A11" s="6" t="inlineStr">
        <is>
          <t>Business-day convention</t>
        </is>
      </c>
      <c r="B11" s="8" t="inlineStr">
        <is>
          <t>— DES/SWPM manual —</t>
        </is>
      </c>
      <c r="C11" s="22" t="inlineStr">
        <is>
          <t>— DES/SWPM —</t>
        </is>
      </c>
      <c r="D11" s="22" t="inlineStr">
        <is>
          <t>— DES/SWPM —</t>
        </is>
      </c>
      <c r="E11" s="22" t="inlineStr">
        <is>
          <t>— DES/SWPM —</t>
        </is>
      </c>
      <c r="F11" s="22" t="inlineStr">
        <is>
          <t>— DES/SWPM —</t>
        </is>
      </c>
    </row>
    <row r="12">
      <c r="A12" s="6" t="inlineStr">
        <is>
          <t>Fixed-leg day count</t>
        </is>
      </c>
      <c r="B12" s="8" t="inlineStr">
        <is>
          <t>DAY_CNT_DES</t>
        </is>
      </c>
      <c r="C12" s="22">
        <f>IFERROR(BDP("USOSFRC BGN Curncy","DAY_CNT_DES"),"ERROR PLZ FIX")</f>
        <v/>
      </c>
      <c r="D12" s="22">
        <f>IFERROR(BDP("USOSFR1 BGN Curncy","DAY_CNT_DES"),"ERROR PLZ FIX")</f>
        <v/>
      </c>
      <c r="E12" s="22">
        <f>IFERROR(BDP("USOSFR5 BGN Curncy","DAY_CNT_DES"),"ERROR PLZ FIX")</f>
        <v/>
      </c>
      <c r="F12" s="22">
        <f>IFERROR(BDP("USOSFR30 BGN Curncy","DAY_CNT_DES"),"ERROR PLZ FIX")</f>
        <v/>
      </c>
    </row>
    <row r="13">
      <c r="A13" s="6" t="inlineStr">
        <is>
          <t>Fixed-leg pay frequency</t>
        </is>
      </c>
      <c r="B13" s="8" t="inlineStr">
        <is>
          <t>— DES/SWPM manual —</t>
        </is>
      </c>
      <c r="C13" s="22" t="inlineStr">
        <is>
          <t>— DES/SWPM —</t>
        </is>
      </c>
      <c r="D13" s="22" t="inlineStr">
        <is>
          <t>— DES/SWPM —</t>
        </is>
      </c>
      <c r="E13" s="22" t="inlineStr">
        <is>
          <t>— DES/SWPM —</t>
        </is>
      </c>
      <c r="F13" s="22" t="inlineStr">
        <is>
          <t>— DES/SWPM —</t>
        </is>
      </c>
    </row>
    <row r="14">
      <c r="A14" s="6" t="inlineStr">
        <is>
          <t>Floating-leg day count</t>
        </is>
      </c>
      <c r="B14" s="8" t="inlineStr">
        <is>
          <t>— DES/SWPM manual —</t>
        </is>
      </c>
      <c r="C14" s="22" t="inlineStr">
        <is>
          <t>— DES/SWPM —</t>
        </is>
      </c>
      <c r="D14" s="22" t="inlineStr">
        <is>
          <t>— DES/SWPM —</t>
        </is>
      </c>
      <c r="E14" s="22" t="inlineStr">
        <is>
          <t>— DES/SWPM —</t>
        </is>
      </c>
      <c r="F14" s="22" t="inlineStr">
        <is>
          <t>— DES/SWPM —</t>
        </is>
      </c>
    </row>
    <row r="15">
      <c r="A15" s="6" t="inlineStr">
        <is>
          <t>Floating-leg pay frequency</t>
        </is>
      </c>
      <c r="B15" s="8" t="inlineStr">
        <is>
          <t>— DES/SWPM manual —</t>
        </is>
      </c>
      <c r="C15" s="22" t="inlineStr">
        <is>
          <t>— DES/SWPM —</t>
        </is>
      </c>
      <c r="D15" s="22" t="inlineStr">
        <is>
          <t>— DES/SWPM —</t>
        </is>
      </c>
      <c r="E15" s="22" t="inlineStr">
        <is>
          <t>— DES/SWPM —</t>
        </is>
      </c>
      <c r="F15" s="22" t="inlineStr">
        <is>
          <t>— DES/SWPM —</t>
        </is>
      </c>
    </row>
    <row r="16">
      <c r="A16" s="6" t="inlineStr">
        <is>
          <t>SOFR compounding method</t>
        </is>
      </c>
      <c r="B16" s="8" t="inlineStr">
        <is>
          <t>— DES/SWPM manual —</t>
        </is>
      </c>
      <c r="C16" s="22" t="inlineStr">
        <is>
          <t>— DES/SWPM —</t>
        </is>
      </c>
      <c r="D16" s="22" t="inlineStr">
        <is>
          <t>— DES/SWPM —</t>
        </is>
      </c>
      <c r="E16" s="22" t="inlineStr">
        <is>
          <t>— DES/SWPM —</t>
        </is>
      </c>
      <c r="F16" s="22" t="inlineStr">
        <is>
          <t>— DES/SWPM —</t>
        </is>
      </c>
    </row>
    <row r="17">
      <c r="A17" s="6" t="inlineStr">
        <is>
          <t>Payment lag</t>
        </is>
      </c>
      <c r="B17" s="8" t="inlineStr">
        <is>
          <t>— DES/SWPM manual —</t>
        </is>
      </c>
      <c r="C17" s="22" t="inlineStr">
        <is>
          <t>— DES/SWPM —</t>
        </is>
      </c>
      <c r="D17" s="22" t="inlineStr">
        <is>
          <t>— DES/SWPM —</t>
        </is>
      </c>
      <c r="E17" s="22" t="inlineStr">
        <is>
          <t>— DES/SWPM —</t>
        </is>
      </c>
      <c r="F17" s="22" t="inlineStr">
        <is>
          <t>— DES/SWPM —</t>
        </is>
      </c>
    </row>
    <row r="18">
      <c r="A18" s="6" t="inlineStr">
        <is>
          <t>Observation shift / lookback</t>
        </is>
      </c>
      <c r="B18" s="8" t="inlineStr">
        <is>
          <t>— DES/SWPM manual —</t>
        </is>
      </c>
      <c r="C18" s="22" t="inlineStr">
        <is>
          <t>— DES/SWPM —</t>
        </is>
      </c>
      <c r="D18" s="22" t="inlineStr">
        <is>
          <t>— DES/SWPM —</t>
        </is>
      </c>
      <c r="E18" s="22" t="inlineStr">
        <is>
          <t>— DES/SWPM —</t>
        </is>
      </c>
      <c r="F18" s="22" t="inlineStr">
        <is>
          <t>— DES/SWPM —</t>
        </is>
      </c>
    </row>
    <row r="19">
      <c r="A19" s="6" t="inlineStr">
        <is>
          <t>End-of-month treatment</t>
        </is>
      </c>
      <c r="B19" s="8" t="inlineStr">
        <is>
          <t>— DES/SWPM manual —</t>
        </is>
      </c>
      <c r="C19" s="22" t="inlineStr">
        <is>
          <t>— DES/SWPM —</t>
        </is>
      </c>
      <c r="D19" s="22" t="inlineStr">
        <is>
          <t>— DES/SWPM —</t>
        </is>
      </c>
      <c r="E19" s="22" t="inlineStr">
        <is>
          <t>— DES/SWPM —</t>
        </is>
      </c>
      <c r="F19" s="22" t="inlineStr">
        <is>
          <t>— DES/SWPM —</t>
        </is>
      </c>
    </row>
    <row r="21">
      <c r="A21" s="4" t="inlineStr">
        <is>
          <t>USD SOFR OIS — MARKET-STANDARD CONVENTIONS  (confirm per-trade in DES)</t>
        </is>
      </c>
    </row>
    <row r="22">
      <c r="A22" s="6" t="inlineStr">
        <is>
          <t>Reference index</t>
        </is>
      </c>
      <c r="B22" s="45" t="inlineStr">
        <is>
          <t>USD-SOFR (compounded in arrears)</t>
        </is>
      </c>
      <c r="C22" s="11" t="n"/>
      <c r="D22" s="11" t="n"/>
      <c r="E22" s="11" t="n"/>
      <c r="F22" s="11" t="n"/>
    </row>
    <row r="23">
      <c r="A23" s="6" t="inlineStr">
        <is>
          <t>Spot / settlement lag</t>
        </is>
      </c>
      <c r="B23" s="45" t="inlineStr">
        <is>
          <t>T+2 US business days</t>
        </is>
      </c>
      <c r="C23" s="11" t="n"/>
      <c r="D23" s="11" t="n"/>
      <c r="E23" s="11" t="n"/>
      <c r="F23" s="11" t="n"/>
    </row>
    <row r="24">
      <c r="A24" s="6" t="inlineStr">
        <is>
          <t>Effective date rule</t>
        </is>
      </c>
      <c r="B24" s="45" t="inlineStr">
        <is>
          <t>Spot (T+2), modified following</t>
        </is>
      </c>
      <c r="C24" s="11" t="n"/>
      <c r="D24" s="11" t="n"/>
      <c r="E24" s="11" t="n"/>
      <c r="F24" s="11" t="n"/>
    </row>
    <row r="25">
      <c r="A25" s="6" t="inlineStr">
        <is>
          <t>Maturity date rule</t>
        </is>
      </c>
      <c r="B25" s="45" t="inlineStr">
        <is>
          <t>Effective + tenor, modified following</t>
        </is>
      </c>
      <c r="C25" s="11" t="n"/>
      <c r="D25" s="11" t="n"/>
      <c r="E25" s="11" t="n"/>
      <c r="F25" s="11" t="n"/>
    </row>
    <row r="26">
      <c r="A26" s="6" t="inlineStr">
        <is>
          <t>Business-day convention</t>
        </is>
      </c>
      <c r="B26" s="45" t="inlineStr">
        <is>
          <t>Modified Following</t>
        </is>
      </c>
      <c r="C26" s="11" t="n"/>
      <c r="D26" s="11" t="n"/>
      <c r="E26" s="11" t="n"/>
      <c r="F26" s="11" t="n"/>
    </row>
    <row r="27">
      <c r="A27" s="6" t="inlineStr">
        <is>
          <t>Fixed-leg day count</t>
        </is>
      </c>
      <c r="B27" s="45" t="inlineStr">
        <is>
          <t>ACT/360</t>
        </is>
      </c>
      <c r="C27" s="11" t="n"/>
      <c r="D27" s="11" t="n"/>
      <c r="E27" s="11" t="n"/>
      <c r="F27" s="11" t="n"/>
    </row>
    <row r="28">
      <c r="A28" s="6" t="inlineStr">
        <is>
          <t>Fixed-leg pay frequency</t>
        </is>
      </c>
      <c r="B28" s="45" t="inlineStr">
        <is>
          <t>Annual  (single payment if tenor ≤ 1Y)</t>
        </is>
      </c>
      <c r="C28" s="11" t="n"/>
      <c r="D28" s="11" t="n"/>
      <c r="E28" s="11" t="n"/>
      <c r="F28" s="11" t="n"/>
    </row>
    <row r="29">
      <c r="A29" s="6" t="inlineStr">
        <is>
          <t>Floating-leg day count</t>
        </is>
      </c>
      <c r="B29" s="45" t="inlineStr">
        <is>
          <t>ACT/360</t>
        </is>
      </c>
      <c r="C29" s="11" t="n"/>
      <c r="D29" s="11" t="n"/>
      <c r="E29" s="11" t="n"/>
      <c r="F29" s="11" t="n"/>
    </row>
    <row r="30">
      <c r="A30" s="6" t="inlineStr">
        <is>
          <t>Floating-leg pay frequency</t>
        </is>
      </c>
      <c r="B30" s="45" t="inlineStr">
        <is>
          <t>Annual  (single payment if tenor ≤ 1Y)</t>
        </is>
      </c>
      <c r="C30" s="11" t="n"/>
      <c r="D30" s="11" t="n"/>
      <c r="E30" s="11" t="n"/>
      <c r="F30" s="11" t="n"/>
    </row>
    <row r="31">
      <c r="A31" s="6" t="inlineStr">
        <is>
          <t>SOFR compounding method</t>
        </is>
      </c>
      <c r="B31" s="45" t="inlineStr">
        <is>
          <t>Daily compounded, ACT/360</t>
        </is>
      </c>
      <c r="C31" s="11" t="n"/>
      <c r="D31" s="11" t="n"/>
      <c r="E31" s="11" t="n"/>
      <c r="F31" s="11" t="n"/>
    </row>
    <row r="32">
      <c r="A32" s="6" t="inlineStr">
        <is>
          <t>Payment lag</t>
        </is>
      </c>
      <c r="B32" s="45" t="inlineStr">
        <is>
          <t>2 US business days</t>
        </is>
      </c>
      <c r="C32" s="11" t="n"/>
      <c r="D32" s="11" t="n"/>
      <c r="E32" s="11" t="n"/>
      <c r="F32" s="11" t="n"/>
    </row>
    <row r="33">
      <c r="A33" s="6" t="inlineStr">
        <is>
          <t>Observation shift / lookback</t>
        </is>
      </c>
      <c r="B33" s="45" t="inlineStr">
        <is>
          <t>None (payment-delay convention, 2 bd)</t>
        </is>
      </c>
      <c r="C33" s="11" t="n"/>
      <c r="D33" s="11" t="n"/>
      <c r="E33" s="11" t="n"/>
      <c r="F33" s="11" t="n"/>
    </row>
    <row r="34">
      <c r="A34" s="6" t="inlineStr">
        <is>
          <t>End-of-month treatment</t>
        </is>
      </c>
      <c r="B34" s="45" t="inlineStr">
        <is>
          <t>EOM applies</t>
        </is>
      </c>
      <c r="C34" s="11" t="n"/>
      <c r="D34" s="11" t="n"/>
      <c r="E34" s="11" t="n"/>
      <c r="F34" s="11" t="n"/>
    </row>
    <row r="36" ht="44" customHeight="1">
      <c r="A36" s="9" t="inlineStr">
        <is>
          <t>SWPM &lt;GO&gt;: build a representative SOFR OIS for 1Y, 5Y and 30Y and export the cashflow schedule — that gives an authoritative set of pay/accrual dates to test your own date generation against. Rows marked '— DES/SWPM —' are leg-level conventions that a rate-quote ticker does not carry; read them from DES &lt;GO&gt; on an actual swap (the market-standard defaults above are the expected values). Where a BDP cell shows 'N/A — use FLDS', open FLDS &lt;GO&gt; to find the enabled field.</t>
        </is>
      </c>
    </row>
    <row r="37"/>
  </sheetData>
  <mergeCells count="15">
    <mergeCell ref="B30:F30"/>
    <mergeCell ref="B29:F29"/>
    <mergeCell ref="B24:F24"/>
    <mergeCell ref="B34:F34"/>
    <mergeCell ref="B33:F33"/>
    <mergeCell ref="B25:F25"/>
    <mergeCell ref="B28:F28"/>
    <mergeCell ref="A36:F37"/>
    <mergeCell ref="B31:F31"/>
    <mergeCell ref="B23:F23"/>
    <mergeCell ref="B22:F22"/>
    <mergeCell ref="B32:F32"/>
    <mergeCell ref="A21:F21"/>
    <mergeCell ref="B26:F26"/>
    <mergeCell ref="B27:F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9" customWidth="1" min="4" max="4"/>
    <col width="13" customWidth="1" min="5" max="5"/>
    <col width="13" customWidth="1" min="6" max="6"/>
    <col width="12" customWidth="1" min="7" max="7"/>
    <col width="10" customWidth="1" min="8" max="8"/>
    <col width="11" customWidth="1" min="9" max="9"/>
    <col width="11" customWidth="1" min="10" max="10"/>
    <col width="13" customWidth="1" min="11" max="11"/>
    <col width="13" customWidth="1" min="12" max="12"/>
  </cols>
  <sheetData>
    <row r="1">
      <c r="A1" s="1" t="inlineStr">
        <is>
          <t>Fwd_Interp</t>
        </is>
      </c>
    </row>
    <row r="2">
      <c r="A2" s="2" t="inlineStr">
        <is>
          <t>Zhou 2002 forward interpolation — V1 piecewise-flat vs V2 piecewise-quadratic instantaneous forwards</t>
        </is>
      </c>
    </row>
    <row r="4" ht="70" customHeight="1">
      <c r="A4" s="9" t="inlineStr">
        <is>
          <t>Both variants reprice the pillar DFs IDENTICALLY (same segment integral ∫f = −ln(DF_i/DF_(i-1))). V1 (Flat fwd) holds the instantaneous forward CONSTANT over each segment → a step curve; simplest &amp; most stable — Lehman's default. V2 makes the forward piecewise-QUADRATIC f(x)=a+bx+cx², CONTINUOUS across pillars (adjacent segments share the Node fwd) while still repricing exactly. a,b,c are closed-form from (f_left=node at left pillar, f_right=node at right pillar, ∫f) — no solver needed. Node fwd = average of the two adjacent flat forwards. 'reprice check' = ∫quad − ∫f ≈ 0 confirms V2 preserves every DF. The difference is intra-segment: compare Flat fwd (V1) vs V2 fwd @ mid — largest across the wide long-end gaps (10Y→15Y→20Y→30Y), which is exactly what V2 smooths.</t>
        </is>
      </c>
    </row>
    <row r="5"/>
    <row r="6"/>
    <row r="7">
      <c r="A7" s="20" t="inlineStr">
        <is>
          <t>Pillar</t>
        </is>
      </c>
      <c r="B7" s="20" t="inlineStr">
        <is>
          <t>T (yrs)</t>
        </is>
      </c>
      <c r="C7" s="20" t="inlineStr">
        <is>
          <t>DF</t>
        </is>
      </c>
      <c r="D7" s="20" t="inlineStr">
        <is>
          <t>Δ (yrs)</t>
        </is>
      </c>
      <c r="E7" s="20" t="inlineStr">
        <is>
          <t>∫f (integral)</t>
        </is>
      </c>
      <c r="F7" s="20" t="inlineStr">
        <is>
          <t>Flat fwd (V1)</t>
        </is>
      </c>
      <c r="G7" s="20" t="inlineStr">
        <is>
          <t>Node fwd</t>
        </is>
      </c>
      <c r="H7" s="20" t="inlineStr">
        <is>
          <t>a</t>
        </is>
      </c>
      <c r="I7" s="20" t="inlineStr">
        <is>
          <t>b</t>
        </is>
      </c>
      <c r="J7" s="20" t="inlineStr">
        <is>
          <t>c</t>
        </is>
      </c>
      <c r="K7" s="20" t="inlineStr">
        <is>
          <t>V2 fwd @ mid</t>
        </is>
      </c>
      <c r="L7" s="20" t="inlineStr">
        <is>
          <t>reprice check</t>
        </is>
      </c>
    </row>
    <row r="8">
      <c r="A8" s="19" t="inlineStr">
        <is>
          <t>Spot</t>
        </is>
      </c>
      <c r="B8" s="46" t="n">
        <v>0</v>
      </c>
      <c r="C8" s="47" t="n">
        <v>1</v>
      </c>
      <c r="G8" s="48">
        <f>F9</f>
        <v/>
      </c>
    </row>
    <row r="9">
      <c r="A9" s="6">
        <f>'Bootstrap'!A8</f>
        <v/>
      </c>
      <c r="B9" s="28">
        <f>'Bootstrap'!C8</f>
        <v/>
      </c>
      <c r="C9" s="33">
        <f>'Bootstrap'!H8</f>
        <v/>
      </c>
      <c r="D9" s="28">
        <f>B9-B8</f>
        <v/>
      </c>
      <c r="E9" s="32">
        <f>-LN(C9/C8)</f>
        <v/>
      </c>
      <c r="F9" s="49">
        <f>E9/D9</f>
        <v/>
      </c>
      <c r="G9" s="49">
        <f>(F9+F10)/2</f>
        <v/>
      </c>
      <c r="H9" s="49">
        <f>G8</f>
        <v/>
      </c>
      <c r="I9" s="32">
        <f>(G9-G8)/D9-J9*D9</f>
        <v/>
      </c>
      <c r="J9" s="32">
        <f>3*(G9-G8)/D9^2-6*(E9-G8*D9)/D9^3</f>
        <v/>
      </c>
      <c r="K9" s="49">
        <f>H9+I9*D9/2+J9*D9^2/4</f>
        <v/>
      </c>
      <c r="L9" s="50">
        <f>H9*D9+I9*D9^2/2+J9*D9^3/3-E9</f>
        <v/>
      </c>
    </row>
    <row r="10">
      <c r="A10" s="6">
        <f>'Bootstrap'!A9</f>
        <v/>
      </c>
      <c r="B10" s="28">
        <f>'Bootstrap'!C9</f>
        <v/>
      </c>
      <c r="C10" s="33">
        <f>'Bootstrap'!H9</f>
        <v/>
      </c>
      <c r="D10" s="28">
        <f>B10-B9</f>
        <v/>
      </c>
      <c r="E10" s="32">
        <f>-LN(C10/C9)</f>
        <v/>
      </c>
      <c r="F10" s="49">
        <f>E10/D10</f>
        <v/>
      </c>
      <c r="G10" s="49">
        <f>(F10+F11)/2</f>
        <v/>
      </c>
      <c r="H10" s="49">
        <f>G9</f>
        <v/>
      </c>
      <c r="I10" s="32">
        <f>(G10-G9)/D10-J10*D10</f>
        <v/>
      </c>
      <c r="J10" s="32">
        <f>3*(G10-G9)/D10^2-6*(E10-G9*D10)/D10^3</f>
        <v/>
      </c>
      <c r="K10" s="49">
        <f>H10+I10*D10/2+J10*D10^2/4</f>
        <v/>
      </c>
      <c r="L10" s="50">
        <f>H10*D10+I10*D10^2/2+J10*D10^3/3-E10</f>
        <v/>
      </c>
    </row>
    <row r="11">
      <c r="A11" s="6">
        <f>'Bootstrap'!A10</f>
        <v/>
      </c>
      <c r="B11" s="28">
        <f>'Bootstrap'!C10</f>
        <v/>
      </c>
      <c r="C11" s="33">
        <f>'Bootstrap'!H10</f>
        <v/>
      </c>
      <c r="D11" s="28">
        <f>B11-B10</f>
        <v/>
      </c>
      <c r="E11" s="32">
        <f>-LN(C11/C10)</f>
        <v/>
      </c>
      <c r="F11" s="49">
        <f>E11/D11</f>
        <v/>
      </c>
      <c r="G11" s="49">
        <f>(F11+F12)/2</f>
        <v/>
      </c>
      <c r="H11" s="49">
        <f>G10</f>
        <v/>
      </c>
      <c r="I11" s="32">
        <f>(G11-G10)/D11-J11*D11</f>
        <v/>
      </c>
      <c r="J11" s="32">
        <f>3*(G11-G10)/D11^2-6*(E11-G10*D11)/D11^3</f>
        <v/>
      </c>
      <c r="K11" s="49">
        <f>H11+I11*D11/2+J11*D11^2/4</f>
        <v/>
      </c>
      <c r="L11" s="50">
        <f>H11*D11+I11*D11^2/2+J11*D11^3/3-E11</f>
        <v/>
      </c>
    </row>
    <row r="12">
      <c r="A12" s="6">
        <f>'Bootstrap'!A11</f>
        <v/>
      </c>
      <c r="B12" s="28">
        <f>'Bootstrap'!C11</f>
        <v/>
      </c>
      <c r="C12" s="33">
        <f>'Bootstrap'!H11</f>
        <v/>
      </c>
      <c r="D12" s="28">
        <f>B12-B11</f>
        <v/>
      </c>
      <c r="E12" s="32">
        <f>-LN(C12/C11)</f>
        <v/>
      </c>
      <c r="F12" s="49">
        <f>E12/D12</f>
        <v/>
      </c>
      <c r="G12" s="49">
        <f>(F12+F13)/2</f>
        <v/>
      </c>
      <c r="H12" s="49">
        <f>G11</f>
        <v/>
      </c>
      <c r="I12" s="32">
        <f>(G12-G11)/D12-J12*D12</f>
        <v/>
      </c>
      <c r="J12" s="32">
        <f>3*(G12-G11)/D12^2-6*(E12-G11*D12)/D12^3</f>
        <v/>
      </c>
      <c r="K12" s="49">
        <f>H12+I12*D12/2+J12*D12^2/4</f>
        <v/>
      </c>
      <c r="L12" s="50">
        <f>H12*D12+I12*D12^2/2+J12*D12^3/3-E12</f>
        <v/>
      </c>
    </row>
    <row r="13">
      <c r="A13" s="6">
        <f>'Bootstrap'!A12</f>
        <v/>
      </c>
      <c r="B13" s="28">
        <f>'Bootstrap'!C12</f>
        <v/>
      </c>
      <c r="C13" s="33">
        <f>'Bootstrap'!H12</f>
        <v/>
      </c>
      <c r="D13" s="28">
        <f>B13-B12</f>
        <v/>
      </c>
      <c r="E13" s="32">
        <f>-LN(C13/C12)</f>
        <v/>
      </c>
      <c r="F13" s="49">
        <f>E13/D13</f>
        <v/>
      </c>
      <c r="G13" s="49">
        <f>(F13+F14)/2</f>
        <v/>
      </c>
      <c r="H13" s="49">
        <f>G12</f>
        <v/>
      </c>
      <c r="I13" s="32">
        <f>(G13-G12)/D13-J13*D13</f>
        <v/>
      </c>
      <c r="J13" s="32">
        <f>3*(G13-G12)/D13^2-6*(E13-G12*D13)/D13^3</f>
        <v/>
      </c>
      <c r="K13" s="49">
        <f>H13+I13*D13/2+J13*D13^2/4</f>
        <v/>
      </c>
      <c r="L13" s="50">
        <f>H13*D13+I13*D13^2/2+J13*D13^3/3-E13</f>
        <v/>
      </c>
    </row>
    <row r="14">
      <c r="A14" s="6">
        <f>'Bootstrap'!A13</f>
        <v/>
      </c>
      <c r="B14" s="28">
        <f>'Bootstrap'!C13</f>
        <v/>
      </c>
      <c r="C14" s="33">
        <f>'Bootstrap'!H13</f>
        <v/>
      </c>
      <c r="D14" s="28">
        <f>B14-B13</f>
        <v/>
      </c>
      <c r="E14" s="32">
        <f>-LN(C14/C13)</f>
        <v/>
      </c>
      <c r="F14" s="49">
        <f>E14/D14</f>
        <v/>
      </c>
      <c r="G14" s="49">
        <f>(F14+F15)/2</f>
        <v/>
      </c>
      <c r="H14" s="49">
        <f>G13</f>
        <v/>
      </c>
      <c r="I14" s="32">
        <f>(G14-G13)/D14-J14*D14</f>
        <v/>
      </c>
      <c r="J14" s="32">
        <f>3*(G14-G13)/D14^2-6*(E14-G13*D14)/D14^3</f>
        <v/>
      </c>
      <c r="K14" s="49">
        <f>H14+I14*D14/2+J14*D14^2/4</f>
        <v/>
      </c>
      <c r="L14" s="50">
        <f>H14*D14+I14*D14^2/2+J14*D14^3/3-E14</f>
        <v/>
      </c>
    </row>
    <row r="15">
      <c r="A15" s="6">
        <f>'Bootstrap'!A14</f>
        <v/>
      </c>
      <c r="B15" s="28">
        <f>'Bootstrap'!C14</f>
        <v/>
      </c>
      <c r="C15" s="33">
        <f>'Bootstrap'!H14</f>
        <v/>
      </c>
      <c r="D15" s="28">
        <f>B15-B14</f>
        <v/>
      </c>
      <c r="E15" s="32">
        <f>-LN(C15/C14)</f>
        <v/>
      </c>
      <c r="F15" s="49">
        <f>E15/D15</f>
        <v/>
      </c>
      <c r="G15" s="49">
        <f>(F15+F16)/2</f>
        <v/>
      </c>
      <c r="H15" s="49">
        <f>G14</f>
        <v/>
      </c>
      <c r="I15" s="32">
        <f>(G15-G14)/D15-J15*D15</f>
        <v/>
      </c>
      <c r="J15" s="32">
        <f>3*(G15-G14)/D15^2-6*(E15-G14*D15)/D15^3</f>
        <v/>
      </c>
      <c r="K15" s="49">
        <f>H15+I15*D15/2+J15*D15^2/4</f>
        <v/>
      </c>
      <c r="L15" s="50">
        <f>H15*D15+I15*D15^2/2+J15*D15^3/3-E15</f>
        <v/>
      </c>
    </row>
    <row r="16">
      <c r="A16" s="6">
        <f>'Bootstrap'!A15</f>
        <v/>
      </c>
      <c r="B16" s="28">
        <f>'Bootstrap'!C15</f>
        <v/>
      </c>
      <c r="C16" s="33">
        <f>'Bootstrap'!H15</f>
        <v/>
      </c>
      <c r="D16" s="28">
        <f>B16-B15</f>
        <v/>
      </c>
      <c r="E16" s="32">
        <f>-LN(C16/C15)</f>
        <v/>
      </c>
      <c r="F16" s="49">
        <f>E16/D16</f>
        <v/>
      </c>
      <c r="G16" s="49">
        <f>(F16+F17)/2</f>
        <v/>
      </c>
      <c r="H16" s="49">
        <f>G15</f>
        <v/>
      </c>
      <c r="I16" s="32">
        <f>(G16-G15)/D16-J16*D16</f>
        <v/>
      </c>
      <c r="J16" s="32">
        <f>3*(G16-G15)/D16^2-6*(E16-G15*D16)/D16^3</f>
        <v/>
      </c>
      <c r="K16" s="49">
        <f>H16+I16*D16/2+J16*D16^2/4</f>
        <v/>
      </c>
      <c r="L16" s="50">
        <f>H16*D16+I16*D16^2/2+J16*D16^3/3-E16</f>
        <v/>
      </c>
    </row>
    <row r="17">
      <c r="A17" s="6">
        <f>'Bootstrap'!A16</f>
        <v/>
      </c>
      <c r="B17" s="28">
        <f>'Bootstrap'!C16</f>
        <v/>
      </c>
      <c r="C17" s="33">
        <f>'Bootstrap'!H16</f>
        <v/>
      </c>
      <c r="D17" s="28">
        <f>B17-B16</f>
        <v/>
      </c>
      <c r="E17" s="32">
        <f>-LN(C17/C16)</f>
        <v/>
      </c>
      <c r="F17" s="49">
        <f>E17/D17</f>
        <v/>
      </c>
      <c r="G17" s="49">
        <f>(F17+F18)/2</f>
        <v/>
      </c>
      <c r="H17" s="49">
        <f>G16</f>
        <v/>
      </c>
      <c r="I17" s="32">
        <f>(G17-G16)/D17-J17*D17</f>
        <v/>
      </c>
      <c r="J17" s="32">
        <f>3*(G17-G16)/D17^2-6*(E17-G16*D17)/D17^3</f>
        <v/>
      </c>
      <c r="K17" s="49">
        <f>H17+I17*D17/2+J17*D17^2/4</f>
        <v/>
      </c>
      <c r="L17" s="50">
        <f>H17*D17+I17*D17^2/2+J17*D17^3/3-E17</f>
        <v/>
      </c>
    </row>
    <row r="18">
      <c r="A18" s="6">
        <f>'Bootstrap'!A17</f>
        <v/>
      </c>
      <c r="B18" s="28">
        <f>'Bootstrap'!C17</f>
        <v/>
      </c>
      <c r="C18" s="33">
        <f>'Bootstrap'!H17</f>
        <v/>
      </c>
      <c r="D18" s="28">
        <f>B18-B17</f>
        <v/>
      </c>
      <c r="E18" s="32">
        <f>-LN(C18/C17)</f>
        <v/>
      </c>
      <c r="F18" s="49">
        <f>E18/D18</f>
        <v/>
      </c>
      <c r="G18" s="49">
        <f>(F18+F19)/2</f>
        <v/>
      </c>
      <c r="H18" s="49">
        <f>G17</f>
        <v/>
      </c>
      <c r="I18" s="32">
        <f>(G18-G17)/D18-J18*D18</f>
        <v/>
      </c>
      <c r="J18" s="32">
        <f>3*(G18-G17)/D18^2-6*(E18-G17*D18)/D18^3</f>
        <v/>
      </c>
      <c r="K18" s="49">
        <f>H18+I18*D18/2+J18*D18^2/4</f>
        <v/>
      </c>
      <c r="L18" s="50">
        <f>H18*D18+I18*D18^2/2+J18*D18^3/3-E18</f>
        <v/>
      </c>
    </row>
    <row r="19">
      <c r="A19" s="6">
        <f>'Bootstrap'!A18</f>
        <v/>
      </c>
      <c r="B19" s="28">
        <f>'Bootstrap'!C18</f>
        <v/>
      </c>
      <c r="C19" s="33">
        <f>'Bootstrap'!H18</f>
        <v/>
      </c>
      <c r="D19" s="28">
        <f>B19-B18</f>
        <v/>
      </c>
      <c r="E19" s="32">
        <f>-LN(C19/C18)</f>
        <v/>
      </c>
      <c r="F19" s="49">
        <f>E19/D19</f>
        <v/>
      </c>
      <c r="G19" s="49">
        <f>(F19+F20)/2</f>
        <v/>
      </c>
      <c r="H19" s="49">
        <f>G18</f>
        <v/>
      </c>
      <c r="I19" s="32">
        <f>(G19-G18)/D19-J19*D19</f>
        <v/>
      </c>
      <c r="J19" s="32">
        <f>3*(G19-G18)/D19^2-6*(E19-G18*D19)/D19^3</f>
        <v/>
      </c>
      <c r="K19" s="49">
        <f>H19+I19*D19/2+J19*D19^2/4</f>
        <v/>
      </c>
      <c r="L19" s="50">
        <f>H19*D19+I19*D19^2/2+J19*D19^3/3-E19</f>
        <v/>
      </c>
    </row>
    <row r="20">
      <c r="A20" s="6">
        <f>'Bootstrap'!A19</f>
        <v/>
      </c>
      <c r="B20" s="28">
        <f>'Bootstrap'!C19</f>
        <v/>
      </c>
      <c r="C20" s="33">
        <f>'Bootstrap'!H19</f>
        <v/>
      </c>
      <c r="D20" s="28">
        <f>B20-B19</f>
        <v/>
      </c>
      <c r="E20" s="32">
        <f>-LN(C20/C19)</f>
        <v/>
      </c>
      <c r="F20" s="49">
        <f>E20/D20</f>
        <v/>
      </c>
      <c r="G20" s="49">
        <f>(F20+F21)/2</f>
        <v/>
      </c>
      <c r="H20" s="49">
        <f>G19</f>
        <v/>
      </c>
      <c r="I20" s="32">
        <f>(G20-G19)/D20-J20*D20</f>
        <v/>
      </c>
      <c r="J20" s="32">
        <f>3*(G20-G19)/D20^2-6*(E20-G19*D20)/D20^3</f>
        <v/>
      </c>
      <c r="K20" s="49">
        <f>H20+I20*D20/2+J20*D20^2/4</f>
        <v/>
      </c>
      <c r="L20" s="50">
        <f>H20*D20+I20*D20^2/2+J20*D20^3/3-E20</f>
        <v/>
      </c>
    </row>
    <row r="21">
      <c r="A21" s="6">
        <f>'Bootstrap'!A20</f>
        <v/>
      </c>
      <c r="B21" s="28">
        <f>'Bootstrap'!C20</f>
        <v/>
      </c>
      <c r="C21" s="33">
        <f>'Bootstrap'!H20</f>
        <v/>
      </c>
      <c r="D21" s="28">
        <f>B21-B20</f>
        <v/>
      </c>
      <c r="E21" s="32">
        <f>-LN(C21/C20)</f>
        <v/>
      </c>
      <c r="F21" s="49">
        <f>E21/D21</f>
        <v/>
      </c>
      <c r="G21" s="49">
        <f>(F21+F22)/2</f>
        <v/>
      </c>
      <c r="H21" s="49">
        <f>G20</f>
        <v/>
      </c>
      <c r="I21" s="32">
        <f>(G21-G20)/D21-J21*D21</f>
        <v/>
      </c>
      <c r="J21" s="32">
        <f>3*(G21-G20)/D21^2-6*(E21-G20*D21)/D21^3</f>
        <v/>
      </c>
      <c r="K21" s="49">
        <f>H21+I21*D21/2+J21*D21^2/4</f>
        <v/>
      </c>
      <c r="L21" s="50">
        <f>H21*D21+I21*D21^2/2+J21*D21^3/3-E21</f>
        <v/>
      </c>
    </row>
    <row r="22">
      <c r="A22" s="6">
        <f>'Bootstrap'!A21</f>
        <v/>
      </c>
      <c r="B22" s="28">
        <f>'Bootstrap'!C21</f>
        <v/>
      </c>
      <c r="C22" s="33">
        <f>'Bootstrap'!H21</f>
        <v/>
      </c>
      <c r="D22" s="28">
        <f>B22-B21</f>
        <v/>
      </c>
      <c r="E22" s="32">
        <f>-LN(C22/C21)</f>
        <v/>
      </c>
      <c r="F22" s="49">
        <f>E22/D22</f>
        <v/>
      </c>
      <c r="G22" s="49">
        <f>(F22+F23)/2</f>
        <v/>
      </c>
      <c r="H22" s="49">
        <f>G21</f>
        <v/>
      </c>
      <c r="I22" s="32">
        <f>(G22-G21)/D22-J22*D22</f>
        <v/>
      </c>
      <c r="J22" s="32">
        <f>3*(G22-G21)/D22^2-6*(E22-G21*D22)/D22^3</f>
        <v/>
      </c>
      <c r="K22" s="49">
        <f>H22+I22*D22/2+J22*D22^2/4</f>
        <v/>
      </c>
      <c r="L22" s="50">
        <f>H22*D22+I22*D22^2/2+J22*D22^3/3-E22</f>
        <v/>
      </c>
    </row>
    <row r="23">
      <c r="A23" s="6">
        <f>'Bootstrap'!A22</f>
        <v/>
      </c>
      <c r="B23" s="28">
        <f>'Bootstrap'!C22</f>
        <v/>
      </c>
      <c r="C23" s="33">
        <f>'Bootstrap'!H22</f>
        <v/>
      </c>
      <c r="D23" s="28">
        <f>B23-B22</f>
        <v/>
      </c>
      <c r="E23" s="32">
        <f>-LN(C23/C22)</f>
        <v/>
      </c>
      <c r="F23" s="49">
        <f>E23/D23</f>
        <v/>
      </c>
      <c r="G23" s="49">
        <f>(F23+F24)/2</f>
        <v/>
      </c>
      <c r="H23" s="49">
        <f>G22</f>
        <v/>
      </c>
      <c r="I23" s="32">
        <f>(G23-G22)/D23-J23*D23</f>
        <v/>
      </c>
      <c r="J23" s="32">
        <f>3*(G23-G22)/D23^2-6*(E23-G22*D23)/D23^3</f>
        <v/>
      </c>
      <c r="K23" s="49">
        <f>H23+I23*D23/2+J23*D23^2/4</f>
        <v/>
      </c>
      <c r="L23" s="50">
        <f>H23*D23+I23*D23^2/2+J23*D23^3/3-E23</f>
        <v/>
      </c>
    </row>
    <row r="24">
      <c r="A24" s="6">
        <f>'Bootstrap'!A23</f>
        <v/>
      </c>
      <c r="B24" s="28">
        <f>'Bootstrap'!C23</f>
        <v/>
      </c>
      <c r="C24" s="33">
        <f>'Bootstrap'!H23</f>
        <v/>
      </c>
      <c r="D24" s="28">
        <f>B24-B23</f>
        <v/>
      </c>
      <c r="E24" s="32">
        <f>-LN(C24/C23)</f>
        <v/>
      </c>
      <c r="F24" s="49">
        <f>E24/D24</f>
        <v/>
      </c>
      <c r="G24" s="49">
        <f>(F24+F25)/2</f>
        <v/>
      </c>
      <c r="H24" s="49">
        <f>G23</f>
        <v/>
      </c>
      <c r="I24" s="32">
        <f>(G24-G23)/D24-J24*D24</f>
        <v/>
      </c>
      <c r="J24" s="32">
        <f>3*(G24-G23)/D24^2-6*(E24-G23*D24)/D24^3</f>
        <v/>
      </c>
      <c r="K24" s="49">
        <f>H24+I24*D24/2+J24*D24^2/4</f>
        <v/>
      </c>
      <c r="L24" s="50">
        <f>H24*D24+I24*D24^2/2+J24*D24^3/3-E24</f>
        <v/>
      </c>
    </row>
    <row r="25">
      <c r="A25" s="6">
        <f>'Bootstrap'!A24</f>
        <v/>
      </c>
      <c r="B25" s="28">
        <f>'Bootstrap'!C24</f>
        <v/>
      </c>
      <c r="C25" s="33">
        <f>'Bootstrap'!H24</f>
        <v/>
      </c>
      <c r="D25" s="28">
        <f>B25-B24</f>
        <v/>
      </c>
      <c r="E25" s="32">
        <f>-LN(C25/C24)</f>
        <v/>
      </c>
      <c r="F25" s="49">
        <f>E25/D25</f>
        <v/>
      </c>
      <c r="G25" s="49">
        <f>(F25+F26)/2</f>
        <v/>
      </c>
      <c r="H25" s="49">
        <f>G24</f>
        <v/>
      </c>
      <c r="I25" s="32">
        <f>(G25-G24)/D25-J25*D25</f>
        <v/>
      </c>
      <c r="J25" s="32">
        <f>3*(G25-G24)/D25^2-6*(E25-G24*D25)/D25^3</f>
        <v/>
      </c>
      <c r="K25" s="49">
        <f>H25+I25*D25/2+J25*D25^2/4</f>
        <v/>
      </c>
      <c r="L25" s="50">
        <f>H25*D25+I25*D25^2/2+J25*D25^3/3-E25</f>
        <v/>
      </c>
    </row>
    <row r="26">
      <c r="A26" s="6">
        <f>'Bootstrap'!A25</f>
        <v/>
      </c>
      <c r="B26" s="28">
        <f>'Bootstrap'!C25</f>
        <v/>
      </c>
      <c r="C26" s="33">
        <f>'Bootstrap'!H25</f>
        <v/>
      </c>
      <c r="D26" s="28">
        <f>B26-B25</f>
        <v/>
      </c>
      <c r="E26" s="32">
        <f>-LN(C26/C25)</f>
        <v/>
      </c>
      <c r="F26" s="49">
        <f>E26/D26</f>
        <v/>
      </c>
      <c r="G26" s="49">
        <f>(F26+F27)/2</f>
        <v/>
      </c>
      <c r="H26" s="49">
        <f>G25</f>
        <v/>
      </c>
      <c r="I26" s="32">
        <f>(G26-G25)/D26-J26*D26</f>
        <v/>
      </c>
      <c r="J26" s="32">
        <f>3*(G26-G25)/D26^2-6*(E26-G25*D26)/D26^3</f>
        <v/>
      </c>
      <c r="K26" s="49">
        <f>H26+I26*D26/2+J26*D26^2/4</f>
        <v/>
      </c>
      <c r="L26" s="50">
        <f>H26*D26+I26*D26^2/2+J26*D26^3/3-E26</f>
        <v/>
      </c>
    </row>
    <row r="27">
      <c r="A27" s="6">
        <f>'Bootstrap'!A26</f>
        <v/>
      </c>
      <c r="B27" s="28">
        <f>'Bootstrap'!C26</f>
        <v/>
      </c>
      <c r="C27" s="33">
        <f>'Bootstrap'!H26</f>
        <v/>
      </c>
      <c r="D27" s="28">
        <f>B27-B26</f>
        <v/>
      </c>
      <c r="E27" s="32">
        <f>-LN(C27/C26)</f>
        <v/>
      </c>
      <c r="F27" s="49">
        <f>E27/D27</f>
        <v/>
      </c>
      <c r="G27" s="49">
        <f>(F27+F28)/2</f>
        <v/>
      </c>
      <c r="H27" s="49">
        <f>G26</f>
        <v/>
      </c>
      <c r="I27" s="32">
        <f>(G27-G26)/D27-J27*D27</f>
        <v/>
      </c>
      <c r="J27" s="32">
        <f>3*(G27-G26)/D27^2-6*(E27-G26*D27)/D27^3</f>
        <v/>
      </c>
      <c r="K27" s="49">
        <f>H27+I27*D27/2+J27*D27^2/4</f>
        <v/>
      </c>
      <c r="L27" s="50">
        <f>H27*D27+I27*D27^2/2+J27*D27^3/3-E27</f>
        <v/>
      </c>
    </row>
    <row r="28">
      <c r="A28" s="6">
        <f>'Bootstrap'!A27</f>
        <v/>
      </c>
      <c r="B28" s="28">
        <f>'Bootstrap'!C27</f>
        <v/>
      </c>
      <c r="C28" s="33">
        <f>'Bootstrap'!H27</f>
        <v/>
      </c>
      <c r="D28" s="28">
        <f>B28-B27</f>
        <v/>
      </c>
      <c r="E28" s="32">
        <f>-LN(C28/C27)</f>
        <v/>
      </c>
      <c r="F28" s="49">
        <f>E28/D28</f>
        <v/>
      </c>
      <c r="G28" s="49">
        <f>(F28+F29)/2</f>
        <v/>
      </c>
      <c r="H28" s="49">
        <f>G27</f>
        <v/>
      </c>
      <c r="I28" s="32">
        <f>(G28-G27)/D28-J28*D28</f>
        <v/>
      </c>
      <c r="J28" s="32">
        <f>3*(G28-G27)/D28^2-6*(E28-G27*D28)/D28^3</f>
        <v/>
      </c>
      <c r="K28" s="49">
        <f>H28+I28*D28/2+J28*D28^2/4</f>
        <v/>
      </c>
      <c r="L28" s="50">
        <f>H28*D28+I28*D28^2/2+J28*D28^3/3-E28</f>
        <v/>
      </c>
    </row>
    <row r="29">
      <c r="A29" s="6">
        <f>'Bootstrap'!A28</f>
        <v/>
      </c>
      <c r="B29" s="28">
        <f>'Bootstrap'!C28</f>
        <v/>
      </c>
      <c r="C29" s="33">
        <f>'Bootstrap'!H28</f>
        <v/>
      </c>
      <c r="D29" s="28">
        <f>B29-B28</f>
        <v/>
      </c>
      <c r="E29" s="32">
        <f>-LN(C29/C28)</f>
        <v/>
      </c>
      <c r="F29" s="49">
        <f>E29/D29</f>
        <v/>
      </c>
      <c r="G29" s="49">
        <f>(F29+F30)/2</f>
        <v/>
      </c>
      <c r="H29" s="49">
        <f>G28</f>
        <v/>
      </c>
      <c r="I29" s="32">
        <f>(G29-G28)/D29-J29*D29</f>
        <v/>
      </c>
      <c r="J29" s="32">
        <f>3*(G29-G28)/D29^2-6*(E29-G28*D29)/D29^3</f>
        <v/>
      </c>
      <c r="K29" s="49">
        <f>H29+I29*D29/2+J29*D29^2/4</f>
        <v/>
      </c>
      <c r="L29" s="50">
        <f>H29*D29+I29*D29^2/2+J29*D29^3/3-E29</f>
        <v/>
      </c>
    </row>
    <row r="30">
      <c r="A30" s="6">
        <f>'Bootstrap'!A29</f>
        <v/>
      </c>
      <c r="B30" s="28">
        <f>'Bootstrap'!C29</f>
        <v/>
      </c>
      <c r="C30" s="33">
        <f>'Bootstrap'!H29</f>
        <v/>
      </c>
      <c r="D30" s="28">
        <f>B30-B29</f>
        <v/>
      </c>
      <c r="E30" s="32">
        <f>-LN(C30/C29)</f>
        <v/>
      </c>
      <c r="F30" s="49">
        <f>E30/D30</f>
        <v/>
      </c>
      <c r="G30" s="49">
        <f>(F30+F31)/2</f>
        <v/>
      </c>
      <c r="H30" s="49">
        <f>G29</f>
        <v/>
      </c>
      <c r="I30" s="32">
        <f>(G30-G29)/D30-J30*D30</f>
        <v/>
      </c>
      <c r="J30" s="32">
        <f>3*(G30-G29)/D30^2-6*(E30-G29*D30)/D30^3</f>
        <v/>
      </c>
      <c r="K30" s="49">
        <f>H30+I30*D30/2+J30*D30^2/4</f>
        <v/>
      </c>
      <c r="L30" s="50">
        <f>H30*D30+I30*D30^2/2+J30*D30^3/3-E30</f>
        <v/>
      </c>
    </row>
    <row r="31">
      <c r="A31" s="6">
        <f>'Bootstrap'!A30</f>
        <v/>
      </c>
      <c r="B31" s="28">
        <f>'Bootstrap'!C30</f>
        <v/>
      </c>
      <c r="C31" s="33">
        <f>'Bootstrap'!H30</f>
        <v/>
      </c>
      <c r="D31" s="28">
        <f>B31-B30</f>
        <v/>
      </c>
      <c r="E31" s="32">
        <f>-LN(C31/C30)</f>
        <v/>
      </c>
      <c r="F31" s="49">
        <f>E31/D31</f>
        <v/>
      </c>
      <c r="G31" s="49">
        <f>(F31+F32)/2</f>
        <v/>
      </c>
      <c r="H31" s="49">
        <f>G30</f>
        <v/>
      </c>
      <c r="I31" s="32">
        <f>(G31-G30)/D31-J31*D31</f>
        <v/>
      </c>
      <c r="J31" s="32">
        <f>3*(G31-G30)/D31^2-6*(E31-G30*D31)/D31^3</f>
        <v/>
      </c>
      <c r="K31" s="49">
        <f>H31+I31*D31/2+J31*D31^2/4</f>
        <v/>
      </c>
      <c r="L31" s="50">
        <f>H31*D31+I31*D31^2/2+J31*D31^3/3-E31</f>
        <v/>
      </c>
    </row>
    <row r="32">
      <c r="A32" s="6">
        <f>'Bootstrap'!A31</f>
        <v/>
      </c>
      <c r="B32" s="28">
        <f>'Bootstrap'!C31</f>
        <v/>
      </c>
      <c r="C32" s="33">
        <f>'Bootstrap'!H31</f>
        <v/>
      </c>
      <c r="D32" s="28">
        <f>B32-B31</f>
        <v/>
      </c>
      <c r="E32" s="32">
        <f>-LN(C32/C31)</f>
        <v/>
      </c>
      <c r="F32" s="49">
        <f>E32/D32</f>
        <v/>
      </c>
      <c r="G32" s="49">
        <f>(F32+F33)/2</f>
        <v/>
      </c>
      <c r="H32" s="49">
        <f>G31</f>
        <v/>
      </c>
      <c r="I32" s="32">
        <f>(G32-G31)/D32-J32*D32</f>
        <v/>
      </c>
      <c r="J32" s="32">
        <f>3*(G32-G31)/D32^2-6*(E32-G31*D32)/D32^3</f>
        <v/>
      </c>
      <c r="K32" s="49">
        <f>H32+I32*D32/2+J32*D32^2/4</f>
        <v/>
      </c>
      <c r="L32" s="50">
        <f>H32*D32+I32*D32^2/2+J32*D32^3/3-E32</f>
        <v/>
      </c>
    </row>
    <row r="33">
      <c r="A33" s="6">
        <f>'Bootstrap'!A32</f>
        <v/>
      </c>
      <c r="B33" s="28">
        <f>'Bootstrap'!C32</f>
        <v/>
      </c>
      <c r="C33" s="33">
        <f>'Bootstrap'!H32</f>
        <v/>
      </c>
      <c r="D33" s="28">
        <f>B33-B32</f>
        <v/>
      </c>
      <c r="E33" s="32">
        <f>-LN(C33/C32)</f>
        <v/>
      </c>
      <c r="F33" s="49">
        <f>E33/D33</f>
        <v/>
      </c>
      <c r="G33" s="49">
        <f>(F33+F34)/2</f>
        <v/>
      </c>
      <c r="H33" s="49">
        <f>G32</f>
        <v/>
      </c>
      <c r="I33" s="32">
        <f>(G33-G32)/D33-J33*D33</f>
        <v/>
      </c>
      <c r="J33" s="32">
        <f>3*(G33-G32)/D33^2-6*(E33-G32*D33)/D33^3</f>
        <v/>
      </c>
      <c r="K33" s="49">
        <f>H33+I33*D33/2+J33*D33^2/4</f>
        <v/>
      </c>
      <c r="L33" s="50">
        <f>H33*D33+I33*D33^2/2+J33*D33^3/3-E33</f>
        <v/>
      </c>
    </row>
    <row r="34">
      <c r="A34" s="6">
        <f>'Bootstrap'!A33</f>
        <v/>
      </c>
      <c r="B34" s="28">
        <f>'Bootstrap'!C33</f>
        <v/>
      </c>
      <c r="C34" s="33">
        <f>'Bootstrap'!H33</f>
        <v/>
      </c>
      <c r="D34" s="28">
        <f>B34-B33</f>
        <v/>
      </c>
      <c r="E34" s="32">
        <f>-LN(C34/C33)</f>
        <v/>
      </c>
      <c r="F34" s="49">
        <f>E34/D34</f>
        <v/>
      </c>
      <c r="G34" s="49">
        <f>(F34+F35)/2</f>
        <v/>
      </c>
      <c r="H34" s="49">
        <f>G33</f>
        <v/>
      </c>
      <c r="I34" s="32">
        <f>(G34-G33)/D34-J34*D34</f>
        <v/>
      </c>
      <c r="J34" s="32">
        <f>3*(G34-G33)/D34^2-6*(E34-G33*D34)/D34^3</f>
        <v/>
      </c>
      <c r="K34" s="49">
        <f>H34+I34*D34/2+J34*D34^2/4</f>
        <v/>
      </c>
      <c r="L34" s="50">
        <f>H34*D34+I34*D34^2/2+J34*D34^3/3-E34</f>
        <v/>
      </c>
    </row>
    <row r="35">
      <c r="A35" s="6">
        <f>'Bootstrap'!A34</f>
        <v/>
      </c>
      <c r="B35" s="28">
        <f>'Bootstrap'!C34</f>
        <v/>
      </c>
      <c r="C35" s="33">
        <f>'Bootstrap'!H34</f>
        <v/>
      </c>
      <c r="D35" s="28">
        <f>B35-B34</f>
        <v/>
      </c>
      <c r="E35" s="32">
        <f>-LN(C35/C34)</f>
        <v/>
      </c>
      <c r="F35" s="49">
        <f>E35/D35</f>
        <v/>
      </c>
      <c r="G35" s="49">
        <f>(F35+F36)/2</f>
        <v/>
      </c>
      <c r="H35" s="49">
        <f>G34</f>
        <v/>
      </c>
      <c r="I35" s="32">
        <f>(G35-G34)/D35-J35*D35</f>
        <v/>
      </c>
      <c r="J35" s="32">
        <f>3*(G35-G34)/D35^2-6*(E35-G34*D35)/D35^3</f>
        <v/>
      </c>
      <c r="K35" s="49">
        <f>H35+I35*D35/2+J35*D35^2/4</f>
        <v/>
      </c>
      <c r="L35" s="50">
        <f>H35*D35+I35*D35^2/2+J35*D35^3/3-E35</f>
        <v/>
      </c>
    </row>
    <row r="36">
      <c r="A36" s="6">
        <f>'Bootstrap'!A35</f>
        <v/>
      </c>
      <c r="B36" s="28">
        <f>'Bootstrap'!C35</f>
        <v/>
      </c>
      <c r="C36" s="33">
        <f>'Bootstrap'!H35</f>
        <v/>
      </c>
      <c r="D36" s="28">
        <f>B36-B35</f>
        <v/>
      </c>
      <c r="E36" s="32">
        <f>-LN(C36/C35)</f>
        <v/>
      </c>
      <c r="F36" s="49">
        <f>E36/D36</f>
        <v/>
      </c>
      <c r="G36" s="49">
        <f>(F36+F37)/2</f>
        <v/>
      </c>
      <c r="H36" s="49">
        <f>G35</f>
        <v/>
      </c>
      <c r="I36" s="32">
        <f>(G36-G35)/D36-J36*D36</f>
        <v/>
      </c>
      <c r="J36" s="32">
        <f>3*(G36-G35)/D36^2-6*(E36-G35*D36)/D36^3</f>
        <v/>
      </c>
      <c r="K36" s="49">
        <f>H36+I36*D36/2+J36*D36^2/4</f>
        <v/>
      </c>
      <c r="L36" s="50">
        <f>H36*D36+I36*D36^2/2+J36*D36^3/3-E36</f>
        <v/>
      </c>
    </row>
    <row r="37">
      <c r="A37" s="6">
        <f>'Bootstrap'!A36</f>
        <v/>
      </c>
      <c r="B37" s="28">
        <f>'Bootstrap'!C36</f>
        <v/>
      </c>
      <c r="C37" s="33">
        <f>'Bootstrap'!H36</f>
        <v/>
      </c>
      <c r="D37" s="28">
        <f>B37-B36</f>
        <v/>
      </c>
      <c r="E37" s="32">
        <f>-LN(C37/C36)</f>
        <v/>
      </c>
      <c r="F37" s="49">
        <f>E37/D37</f>
        <v/>
      </c>
      <c r="G37" s="49">
        <f>(F37+F38)/2</f>
        <v/>
      </c>
      <c r="H37" s="49">
        <f>G36</f>
        <v/>
      </c>
      <c r="I37" s="32">
        <f>(G37-G36)/D37-J37*D37</f>
        <v/>
      </c>
      <c r="J37" s="32">
        <f>3*(G37-G36)/D37^2-6*(E37-G36*D37)/D37^3</f>
        <v/>
      </c>
      <c r="K37" s="49">
        <f>H37+I37*D37/2+J37*D37^2/4</f>
        <v/>
      </c>
      <c r="L37" s="50">
        <f>H37*D37+I37*D37^2/2+J37*D37^3/3-E37</f>
        <v/>
      </c>
    </row>
    <row r="38">
      <c r="A38" s="6">
        <f>'Bootstrap'!A37</f>
        <v/>
      </c>
      <c r="B38" s="28">
        <f>'Bootstrap'!C37</f>
        <v/>
      </c>
      <c r="C38" s="33">
        <f>'Bootstrap'!H37</f>
        <v/>
      </c>
      <c r="D38" s="28">
        <f>B38-B37</f>
        <v/>
      </c>
      <c r="E38" s="32">
        <f>-LN(C38/C37)</f>
        <v/>
      </c>
      <c r="F38" s="49">
        <f>E38/D38</f>
        <v/>
      </c>
      <c r="G38" s="49">
        <f>(F38+F39)/2</f>
        <v/>
      </c>
      <c r="H38" s="49">
        <f>G37</f>
        <v/>
      </c>
      <c r="I38" s="32">
        <f>(G38-G37)/D38-J38*D38</f>
        <v/>
      </c>
      <c r="J38" s="32">
        <f>3*(G38-G37)/D38^2-6*(E38-G37*D38)/D38^3</f>
        <v/>
      </c>
      <c r="K38" s="49">
        <f>H38+I38*D38/2+J38*D38^2/4</f>
        <v/>
      </c>
      <c r="L38" s="50">
        <f>H38*D38+I38*D38^2/2+J38*D38^3/3-E38</f>
        <v/>
      </c>
    </row>
    <row r="39">
      <c r="A39" s="6">
        <f>'Bootstrap'!A38</f>
        <v/>
      </c>
      <c r="B39" s="28">
        <f>'Bootstrap'!C38</f>
        <v/>
      </c>
      <c r="C39" s="33">
        <f>'Bootstrap'!H38</f>
        <v/>
      </c>
      <c r="D39" s="28">
        <f>B39-B38</f>
        <v/>
      </c>
      <c r="E39" s="32">
        <f>-LN(C39/C38)</f>
        <v/>
      </c>
      <c r="F39" s="49">
        <f>E39/D39</f>
        <v/>
      </c>
      <c r="G39" s="49">
        <f>(F39+F40)/2</f>
        <v/>
      </c>
      <c r="H39" s="49">
        <f>G38</f>
        <v/>
      </c>
      <c r="I39" s="32">
        <f>(G39-G38)/D39-J39*D39</f>
        <v/>
      </c>
      <c r="J39" s="32">
        <f>3*(G39-G38)/D39^2-6*(E39-G38*D39)/D39^3</f>
        <v/>
      </c>
      <c r="K39" s="49">
        <f>H39+I39*D39/2+J39*D39^2/4</f>
        <v/>
      </c>
      <c r="L39" s="50">
        <f>H39*D39+I39*D39^2/2+J39*D39^3/3-E39</f>
        <v/>
      </c>
    </row>
    <row r="40">
      <c r="A40" s="6">
        <f>'Bootstrap'!A39</f>
        <v/>
      </c>
      <c r="B40" s="28">
        <f>'Bootstrap'!C39</f>
        <v/>
      </c>
      <c r="C40" s="33">
        <f>'Bootstrap'!H39</f>
        <v/>
      </c>
      <c r="D40" s="28">
        <f>B40-B39</f>
        <v/>
      </c>
      <c r="E40" s="32">
        <f>-LN(C40/C39)</f>
        <v/>
      </c>
      <c r="F40" s="49">
        <f>E40/D40</f>
        <v/>
      </c>
      <c r="G40" s="49">
        <f>F40</f>
        <v/>
      </c>
      <c r="H40" s="49">
        <f>G39</f>
        <v/>
      </c>
      <c r="I40" s="32">
        <f>(G40-G39)/D40-J40*D40</f>
        <v/>
      </c>
      <c r="J40" s="32">
        <f>3*(G40-G39)/D40^2-6*(E40-G39*D40)/D40^3</f>
        <v/>
      </c>
      <c r="K40" s="49">
        <f>H40+I40*D40/2+J40*D40^2/4</f>
        <v/>
      </c>
      <c r="L40" s="50">
        <f>H40*D40+I40*D40^2/2+J40*D40^3/3-E40</f>
        <v/>
      </c>
    </row>
  </sheetData>
  <mergeCells count="1">
    <mergeCell ref="A4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CDS_Parameters</t>
        </is>
      </c>
    </row>
    <row r="2">
      <c r="A2" s="2" t="inlineStr">
        <is>
          <t>Credit-default-swap assumptions (recovery is an INPUT, not bootstrapped)</t>
        </is>
      </c>
    </row>
    <row r="4">
      <c r="A4" s="5" t="inlineStr">
        <is>
          <t>Valuation date</t>
        </is>
      </c>
      <c r="B4" s="18">
        <f>VAL_DATE</f>
        <v/>
      </c>
      <c r="C4" s="16" t="inlineStr">
        <is>
          <t>Linked to the Parameters/Instructions tab.</t>
        </is>
      </c>
    </row>
    <row r="5">
      <c r="A5" s="5" t="inlineStr">
        <is>
          <t>1st CDS date (roll)</t>
        </is>
      </c>
      <c r="B5" s="18">
        <f>'Curve_Interface'!$F$7</f>
        <v/>
      </c>
      <c r="C5" s="16" t="inlineStr">
        <is>
          <t>Next 20 Mar/Jun/Sep/Dec.</t>
        </is>
      </c>
    </row>
    <row r="6">
      <c r="A6" s="5" t="inlineStr">
        <is>
          <t>Currency</t>
        </is>
      </c>
      <c r="B6" s="6" t="inlineStr">
        <is>
          <t>USD</t>
        </is>
      </c>
    </row>
    <row r="7">
      <c r="A7" s="5" t="inlineStr">
        <is>
          <t>Reference entity</t>
        </is>
      </c>
      <c r="B7" s="36" t="inlineStr">
        <is>
          <t>EXAMPLE CORP</t>
        </is>
      </c>
      <c r="C7" s="16" t="inlineStr">
        <is>
          <t>Type your reference entity.</t>
        </is>
      </c>
    </row>
    <row r="8">
      <c r="A8" s="5" t="inlineStr">
        <is>
          <t>Recovery rate R</t>
        </is>
      </c>
      <c r="B8" s="51" t="n">
        <v>0.4</v>
      </c>
      <c r="C8" s="16" t="inlineStr">
        <is>
          <t>Assumed. Changing R re-fits every hazard.</t>
        </is>
      </c>
    </row>
    <row r="9">
      <c r="A9" s="5" t="inlineStr">
        <is>
          <t>Notional</t>
        </is>
      </c>
      <c r="B9" s="38" t="n">
        <v>10000000</v>
      </c>
    </row>
    <row r="10">
      <c r="A10" s="5" t="inlineStr">
        <is>
          <t>Standard coupon (bp)</t>
        </is>
      </c>
      <c r="B10" s="40" t="n">
        <v>100</v>
      </c>
      <c r="C10" s="16" t="inlineStr">
        <is>
          <t>Fixed running coupon (IG=100, HY=500).</t>
        </is>
      </c>
    </row>
    <row r="11">
      <c r="A11" s="5" t="inlineStr">
        <is>
          <t>Premium frequency</t>
        </is>
      </c>
      <c r="B11" s="6" t="inlineStr">
        <is>
          <t>Quarterly</t>
        </is>
      </c>
    </row>
    <row r="12">
      <c r="A12" s="5" t="inlineStr">
        <is>
          <t>Premium day count</t>
        </is>
      </c>
      <c r="B12" s="6" t="inlineStr">
        <is>
          <t>ACT/360</t>
        </is>
      </c>
    </row>
    <row r="13">
      <c r="A13" s="5" t="inlineStr">
        <is>
          <t>Hazard interpolation</t>
        </is>
      </c>
      <c r="B13" s="6" t="inlineStr">
        <is>
          <t>Piecewise-constant</t>
        </is>
      </c>
    </row>
    <row r="14">
      <c r="A14" s="5" t="inlineStr">
        <is>
          <t>Discount curve</t>
        </is>
      </c>
      <c r="B14" s="6" t="inlineStr">
        <is>
          <t>SOFR OIS (Curve_Interface)</t>
        </is>
      </c>
    </row>
    <row r="15">
      <c r="A15" s="5" t="inlineStr">
        <is>
          <t>Protection direction</t>
        </is>
      </c>
      <c r="B15" s="36" t="inlineStr">
        <is>
          <t>Buy protection</t>
        </is>
      </c>
      <c r="C15" s="16" t="inlineStr">
        <is>
          <t>"Buy protection" or "Sell protection".</t>
        </is>
      </c>
    </row>
    <row r="16">
      <c r="A16" s="5" t="inlineStr">
        <is>
          <t>Accrual-on-default</t>
        </is>
      </c>
      <c r="B16" s="6" t="inlineStr">
        <is>
          <t>Included (midpoint approx.)</t>
        </is>
      </c>
    </row>
  </sheetData>
  <mergeCells count="6">
    <mergeCell ref="C10:H10"/>
    <mergeCell ref="C5:H5"/>
    <mergeCell ref="C8:H8"/>
    <mergeCell ref="C4:H4"/>
    <mergeCell ref="C7:H7"/>
    <mergeCell ref="C15:H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CDS_Quotes</t>
        </is>
      </c>
    </row>
    <row r="2">
      <c r="A2" s="2" t="inlineStr">
        <is>
          <t>Single-name CDS par spreads — one entity, one seniority/clause. Live BDP overrides the manual demo values.</t>
        </is>
      </c>
    </row>
    <row r="4" ht="30" customHeight="1">
      <c r="A4" s="9" t="inlineStr">
        <is>
          <t>Enter each tenor's Bloomberg CDS ticker in col D (e.g. the entity's par-spread series); Market spread = BDP(ticker,"PX_LAST") when it resolves, else the yellow Manual spread so the module still runs. Do NOT mix seniorities, currencies, or restructuring clauses.</t>
        </is>
      </c>
    </row>
    <row r="5"/>
    <row r="6">
      <c r="A6" s="20" t="inlineStr">
        <is>
          <t>Tenor</t>
        </is>
      </c>
      <c r="B6" s="20" t="inlineStr">
        <is>
          <t>Tenor (yrs)</t>
        </is>
      </c>
      <c r="C6" s="20" t="inlineStr">
        <is>
          <t>Maturity</t>
        </is>
      </c>
      <c r="D6" s="20" t="inlineStr">
        <is>
          <t>CDS ticker</t>
        </is>
      </c>
      <c r="E6" s="20" t="inlineStr">
        <is>
          <t>Manual spread (bp)</t>
        </is>
      </c>
      <c r="F6" s="20" t="inlineStr">
        <is>
          <t>Market spread (bp)</t>
        </is>
      </c>
      <c r="G6" s="20" t="inlineStr">
        <is>
          <t>Approx hazard s/(1-R)</t>
        </is>
      </c>
    </row>
    <row r="7">
      <c r="A7" s="6" t="inlineStr">
        <is>
          <t>1Y</t>
        </is>
      </c>
      <c r="B7" s="35" t="n">
        <v>1</v>
      </c>
      <c r="C7" s="18">
        <f>EDATE('Curve_Interface'!$F$7,3*(4-1))</f>
        <v/>
      </c>
      <c r="D7" s="36" t="inlineStr"/>
      <c r="E7" s="52" t="n">
        <v>40</v>
      </c>
      <c r="F7" s="31">
        <f>IF(D7="",E7,IFERROR(BDP(D7,"PX_LAST"),E7))</f>
        <v/>
      </c>
      <c r="G7" s="49">
        <f>(F7/10000)/(1-CDS_Parameters!$B$8)</f>
        <v/>
      </c>
    </row>
    <row r="8">
      <c r="A8" s="6" t="inlineStr">
        <is>
          <t>2Y</t>
        </is>
      </c>
      <c r="B8" s="35" t="n">
        <v>2</v>
      </c>
      <c r="C8" s="18">
        <f>EDATE('Curve_Interface'!$F$7,3*(8-1))</f>
        <v/>
      </c>
      <c r="D8" s="36" t="inlineStr"/>
      <c r="E8" s="52" t="n">
        <v>55</v>
      </c>
      <c r="F8" s="31">
        <f>IF(D8="",E8,IFERROR(BDP(D8,"PX_LAST"),E8))</f>
        <v/>
      </c>
      <c r="G8" s="49">
        <f>(F8/10000)/(1-CDS_Parameters!$B$8)</f>
        <v/>
      </c>
    </row>
    <row r="9">
      <c r="A9" s="6" t="inlineStr">
        <is>
          <t>3Y</t>
        </is>
      </c>
      <c r="B9" s="35" t="n">
        <v>3</v>
      </c>
      <c r="C9" s="18">
        <f>EDATE('Curve_Interface'!$F$7,3*(12-1))</f>
        <v/>
      </c>
      <c r="D9" s="36" t="inlineStr"/>
      <c r="E9" s="52" t="n">
        <v>70</v>
      </c>
      <c r="F9" s="31">
        <f>IF(D9="",E9,IFERROR(BDP(D9,"PX_LAST"),E9))</f>
        <v/>
      </c>
      <c r="G9" s="49">
        <f>(F9/10000)/(1-CDS_Parameters!$B$8)</f>
        <v/>
      </c>
    </row>
    <row r="10">
      <c r="A10" s="6" t="inlineStr">
        <is>
          <t>5Y</t>
        </is>
      </c>
      <c r="B10" s="35" t="n">
        <v>5</v>
      </c>
      <c r="C10" s="18">
        <f>EDATE('Curve_Interface'!$F$7,3*(20-1))</f>
        <v/>
      </c>
      <c r="D10" s="36" t="inlineStr"/>
      <c r="E10" s="52" t="n">
        <v>95</v>
      </c>
      <c r="F10" s="31">
        <f>IF(D10="",E10,IFERROR(BDP(D10,"PX_LAST"),E10))</f>
        <v/>
      </c>
      <c r="G10" s="49">
        <f>(F10/10000)/(1-CDS_Parameters!$B$8)</f>
        <v/>
      </c>
    </row>
    <row r="11">
      <c r="A11" s="6" t="inlineStr">
        <is>
          <t>7Y</t>
        </is>
      </c>
      <c r="B11" s="35" t="n">
        <v>7</v>
      </c>
      <c r="C11" s="18">
        <f>EDATE('Curve_Interface'!$F$7,3*(28-1))</f>
        <v/>
      </c>
      <c r="D11" s="36" t="inlineStr"/>
      <c r="E11" s="52" t="n">
        <v>115</v>
      </c>
      <c r="F11" s="31">
        <f>IF(D11="",E11,IFERROR(BDP(D11,"PX_LAST"),E11))</f>
        <v/>
      </c>
      <c r="G11" s="49">
        <f>(F11/10000)/(1-CDS_Parameters!$B$8)</f>
        <v/>
      </c>
    </row>
    <row r="12">
      <c r="A12" s="6" t="inlineStr">
        <is>
          <t>10Y</t>
        </is>
      </c>
      <c r="B12" s="35" t="n">
        <v>10</v>
      </c>
      <c r="C12" s="18">
        <f>EDATE('Curve_Interface'!$F$7,3*(40-1))</f>
        <v/>
      </c>
      <c r="D12" s="36" t="inlineStr"/>
      <c r="E12" s="52" t="n">
        <v>135</v>
      </c>
      <c r="F12" s="31">
        <f>IF(D12="",E12,IFERROR(BDP(D12,"PX_LAST"),E12))</f>
        <v/>
      </c>
      <c r="G12" s="49">
        <f>(F12/10000)/(1-CDS_Parameters!$B$8)</f>
        <v/>
      </c>
    </row>
  </sheetData>
  <mergeCells count="1">
    <mergeCell ref="A4:G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8" customWidth="1" min="4" max="4"/>
    <col width="16" customWidth="1" min="5" max="5"/>
    <col width="15" customWidth="1" min="6" max="6"/>
    <col width="18" customWidth="1" min="7" max="7"/>
    <col width="18" customWidth="1" min="8" max="8"/>
    <col width="16" customWidth="1" min="9" max="9"/>
    <col width="18" customWidth="1" min="10" max="10"/>
  </cols>
  <sheetData>
    <row r="1">
      <c r="A1" s="1" t="inlineStr">
        <is>
          <t>Hazard_Bootstrap</t>
        </is>
      </c>
    </row>
    <row r="2">
      <c r="A2" s="2" t="inlineStr">
        <is>
          <t>Piecewise-constant hazard curve. Col D pre-filled with s/(1-R); Goal Seek col J (error)=0 by changing col D for EXACT fit.</t>
        </is>
      </c>
    </row>
    <row r="4" ht="40" customHeight="1">
      <c r="A4" s="9" t="inlineStr">
        <is>
          <t>Bootstrap maturity by maturity: hold earlier hazards fixed, solve the current segment so model spread = market. Col D defaults to the s/(1-R) approximation (module runs immediately). For an exact fit (|error|&lt;0.01bp), Goal Seek EACH row: Data &gt; What-If &gt; Goal Seek, Set cell = col J, To value 0, By changing = col D — top row first, then down. Survival/PVs come from the CDS_Schedule tab, which discounts on the shared SOFR Curve_Interface.</t>
        </is>
      </c>
    </row>
    <row r="5"/>
    <row r="6">
      <c r="A6" s="20" t="inlineStr">
        <is>
          <t>Tenor</t>
        </is>
      </c>
      <c r="B6" s="20" t="inlineStr">
        <is>
          <t>Maturity</t>
        </is>
      </c>
      <c r="C6" s="20" t="inlineStr">
        <is>
          <t>Market spread (bp)</t>
        </is>
      </c>
      <c r="D6" s="20" t="inlineStr">
        <is>
          <t>Hazard lambda (solve)</t>
        </is>
      </c>
      <c r="E6" s="20" t="inlineStr">
        <is>
          <t>Cum. survival Q(T)</t>
        </is>
      </c>
      <c r="F6" s="20" t="inlineStr">
        <is>
          <t>Cum. default 1-Q</t>
        </is>
      </c>
      <c r="G6" s="20" t="inlineStr">
        <is>
          <t>RPV01 (risky annuity)</t>
        </is>
      </c>
      <c r="H6" s="20" t="inlineStr">
        <is>
          <t>Protection PV factor</t>
        </is>
      </c>
      <c r="I6" s="20" t="inlineStr">
        <is>
          <t>Model spread (bp)</t>
        </is>
      </c>
      <c r="J6" s="20" t="inlineStr">
        <is>
          <t>Repricing error (bp)</t>
        </is>
      </c>
    </row>
    <row r="7">
      <c r="A7" s="6" t="inlineStr">
        <is>
          <t>1Y</t>
        </is>
      </c>
      <c r="B7" s="18">
        <f>CDS_Quotes!C7</f>
        <v/>
      </c>
      <c r="C7" s="31">
        <f>CDS_Quotes!F7</f>
        <v/>
      </c>
      <c r="D7" s="53">
        <f>(C7/10000)/(1-CDS_Parameters!$B$8)</f>
        <v/>
      </c>
      <c r="E7" s="32">
        <f>INDEX(CDS_Schedule!$K$7:$K$46,MATCH(B7,CDS_Schedule!$C$7:$C$46,1))</f>
        <v/>
      </c>
      <c r="F7" s="32">
        <f>1-E7</f>
        <v/>
      </c>
      <c r="G7" s="17">
        <f>SUMIF(CDS_Schedule!$C$7:$C$46,"&lt;="&amp;B7,CDS_Schedule!$M$7:$M$46)+SUMIF(CDS_Schedule!$C$7:$C$46,"&lt;="&amp;B7,CDS_Schedule!$N$7:$N$46)</f>
        <v/>
      </c>
      <c r="H7" s="32">
        <f>SUMIF(CDS_Schedule!$C$7:$C$46,"&lt;="&amp;B7,CDS_Schedule!$O$7:$O$46)</f>
        <v/>
      </c>
      <c r="I7" s="28">
        <f>(1-CDS_Parameters!$B$8)*H7/G7*10000</f>
        <v/>
      </c>
      <c r="J7" s="54">
        <f>I7-C7</f>
        <v/>
      </c>
    </row>
    <row r="8">
      <c r="A8" s="6" t="inlineStr">
        <is>
          <t>2Y</t>
        </is>
      </c>
      <c r="B8" s="18">
        <f>CDS_Quotes!C8</f>
        <v/>
      </c>
      <c r="C8" s="31">
        <f>CDS_Quotes!F8</f>
        <v/>
      </c>
      <c r="D8" s="53">
        <f>((C8/10000)*(B8-VAL_DATE)/365-(C7/10000)*(B7-VAL_DATE)/365)/((1-CDS_Parameters!$B$8)*((B8-VAL_DATE)/365-(B7-VAL_DATE)/365))</f>
        <v/>
      </c>
      <c r="E8" s="32">
        <f>INDEX(CDS_Schedule!$K$7:$K$46,MATCH(B8,CDS_Schedule!$C$7:$C$46,1))</f>
        <v/>
      </c>
      <c r="F8" s="32">
        <f>1-E8</f>
        <v/>
      </c>
      <c r="G8" s="17">
        <f>SUMIF(CDS_Schedule!$C$7:$C$46,"&lt;="&amp;B8,CDS_Schedule!$M$7:$M$46)+SUMIF(CDS_Schedule!$C$7:$C$46,"&lt;="&amp;B8,CDS_Schedule!$N$7:$N$46)</f>
        <v/>
      </c>
      <c r="H8" s="32">
        <f>SUMIF(CDS_Schedule!$C$7:$C$46,"&lt;="&amp;B8,CDS_Schedule!$O$7:$O$46)</f>
        <v/>
      </c>
      <c r="I8" s="28">
        <f>(1-CDS_Parameters!$B$8)*H8/G8*10000</f>
        <v/>
      </c>
      <c r="J8" s="54">
        <f>I8-C8</f>
        <v/>
      </c>
    </row>
    <row r="9">
      <c r="A9" s="6" t="inlineStr">
        <is>
          <t>3Y</t>
        </is>
      </c>
      <c r="B9" s="18">
        <f>CDS_Quotes!C9</f>
        <v/>
      </c>
      <c r="C9" s="31">
        <f>CDS_Quotes!F9</f>
        <v/>
      </c>
      <c r="D9" s="53">
        <f>((C9/10000)*(B9-VAL_DATE)/365-(C8/10000)*(B8-VAL_DATE)/365)/((1-CDS_Parameters!$B$8)*((B9-VAL_DATE)/365-(B8-VAL_DATE)/365))</f>
        <v/>
      </c>
      <c r="E9" s="32">
        <f>INDEX(CDS_Schedule!$K$7:$K$46,MATCH(B9,CDS_Schedule!$C$7:$C$46,1))</f>
        <v/>
      </c>
      <c r="F9" s="32">
        <f>1-E9</f>
        <v/>
      </c>
      <c r="G9" s="17">
        <f>SUMIF(CDS_Schedule!$C$7:$C$46,"&lt;="&amp;B9,CDS_Schedule!$M$7:$M$46)+SUMIF(CDS_Schedule!$C$7:$C$46,"&lt;="&amp;B9,CDS_Schedule!$N$7:$N$46)</f>
        <v/>
      </c>
      <c r="H9" s="32">
        <f>SUMIF(CDS_Schedule!$C$7:$C$46,"&lt;="&amp;B9,CDS_Schedule!$O$7:$O$46)</f>
        <v/>
      </c>
      <c r="I9" s="28">
        <f>(1-CDS_Parameters!$B$8)*H9/G9*10000</f>
        <v/>
      </c>
      <c r="J9" s="54">
        <f>I9-C9</f>
        <v/>
      </c>
    </row>
    <row r="10">
      <c r="A10" s="6" t="inlineStr">
        <is>
          <t>5Y</t>
        </is>
      </c>
      <c r="B10" s="18">
        <f>CDS_Quotes!C10</f>
        <v/>
      </c>
      <c r="C10" s="31">
        <f>CDS_Quotes!F10</f>
        <v/>
      </c>
      <c r="D10" s="53">
        <f>((C10/10000)*(B10-VAL_DATE)/365-(C9/10000)*(B9-VAL_DATE)/365)/((1-CDS_Parameters!$B$8)*((B10-VAL_DATE)/365-(B9-VAL_DATE)/365))</f>
        <v/>
      </c>
      <c r="E10" s="32">
        <f>INDEX(CDS_Schedule!$K$7:$K$46,MATCH(B10,CDS_Schedule!$C$7:$C$46,1))</f>
        <v/>
      </c>
      <c r="F10" s="32">
        <f>1-E10</f>
        <v/>
      </c>
      <c r="G10" s="17">
        <f>SUMIF(CDS_Schedule!$C$7:$C$46,"&lt;="&amp;B10,CDS_Schedule!$M$7:$M$46)+SUMIF(CDS_Schedule!$C$7:$C$46,"&lt;="&amp;B10,CDS_Schedule!$N$7:$N$46)</f>
        <v/>
      </c>
      <c r="H10" s="32">
        <f>SUMIF(CDS_Schedule!$C$7:$C$46,"&lt;="&amp;B10,CDS_Schedule!$O$7:$O$46)</f>
        <v/>
      </c>
      <c r="I10" s="28">
        <f>(1-CDS_Parameters!$B$8)*H10/G10*10000</f>
        <v/>
      </c>
      <c r="J10" s="54">
        <f>I10-C10</f>
        <v/>
      </c>
    </row>
    <row r="11">
      <c r="A11" s="6" t="inlineStr">
        <is>
          <t>7Y</t>
        </is>
      </c>
      <c r="B11" s="18">
        <f>CDS_Quotes!C11</f>
        <v/>
      </c>
      <c r="C11" s="31">
        <f>CDS_Quotes!F11</f>
        <v/>
      </c>
      <c r="D11" s="53">
        <f>((C11/10000)*(B11-VAL_DATE)/365-(C10/10000)*(B10-VAL_DATE)/365)/((1-CDS_Parameters!$B$8)*((B11-VAL_DATE)/365-(B10-VAL_DATE)/365))</f>
        <v/>
      </c>
      <c r="E11" s="32">
        <f>INDEX(CDS_Schedule!$K$7:$K$46,MATCH(B11,CDS_Schedule!$C$7:$C$46,1))</f>
        <v/>
      </c>
      <c r="F11" s="32">
        <f>1-E11</f>
        <v/>
      </c>
      <c r="G11" s="17">
        <f>SUMIF(CDS_Schedule!$C$7:$C$46,"&lt;="&amp;B11,CDS_Schedule!$M$7:$M$46)+SUMIF(CDS_Schedule!$C$7:$C$46,"&lt;="&amp;B11,CDS_Schedule!$N$7:$N$46)</f>
        <v/>
      </c>
      <c r="H11" s="32">
        <f>SUMIF(CDS_Schedule!$C$7:$C$46,"&lt;="&amp;B11,CDS_Schedule!$O$7:$O$46)</f>
        <v/>
      </c>
      <c r="I11" s="28">
        <f>(1-CDS_Parameters!$B$8)*H11/G11*10000</f>
        <v/>
      </c>
      <c r="J11" s="54">
        <f>I11-C11</f>
        <v/>
      </c>
    </row>
    <row r="12">
      <c r="A12" s="6" t="inlineStr">
        <is>
          <t>10Y</t>
        </is>
      </c>
      <c r="B12" s="18">
        <f>CDS_Quotes!C12</f>
        <v/>
      </c>
      <c r="C12" s="31">
        <f>CDS_Quotes!F12</f>
        <v/>
      </c>
      <c r="D12" s="53">
        <f>((C12/10000)*(B12-VAL_DATE)/365-(C11/10000)*(B11-VAL_DATE)/365)/((1-CDS_Parameters!$B$8)*((B12-VAL_DATE)/365-(B11-VAL_DATE)/365))</f>
        <v/>
      </c>
      <c r="E12" s="32">
        <f>INDEX(CDS_Schedule!$K$7:$K$46,MATCH(B12,CDS_Schedule!$C$7:$C$46,1))</f>
        <v/>
      </c>
      <c r="F12" s="32">
        <f>1-E12</f>
        <v/>
      </c>
      <c r="G12" s="17">
        <f>SUMIF(CDS_Schedule!$C$7:$C$46,"&lt;="&amp;B12,CDS_Schedule!$M$7:$M$46)+SUMIF(CDS_Schedule!$C$7:$C$46,"&lt;="&amp;B12,CDS_Schedule!$N$7:$N$46)</f>
        <v/>
      </c>
      <c r="H12" s="32">
        <f>SUMIF(CDS_Schedule!$C$7:$C$46,"&lt;="&amp;B12,CDS_Schedule!$O$7:$O$46)</f>
        <v/>
      </c>
      <c r="I12" s="28">
        <f>(1-CDS_Parameters!$B$8)*H12/G12*10000</f>
        <v/>
      </c>
      <c r="J12" s="54">
        <f>I12-C12</f>
        <v/>
      </c>
    </row>
  </sheetData>
  <mergeCells count="1">
    <mergeCell ref="A4:J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2" customWidth="1" min="4" max="4"/>
    <col width="11" customWidth="1" min="5" max="5"/>
    <col width="8" customWidth="1" min="6" max="6"/>
    <col width="13" customWidth="1" min="7" max="7"/>
    <col width="13" customWidth="1" min="8" max="8"/>
    <col width="10" customWidth="1" min="9" max="9"/>
    <col width="11" customWidth="1" min="10" max="10"/>
    <col width="11" customWidth="1" min="11" max="11"/>
    <col width="11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CDS_Schedule</t>
        </is>
      </c>
    </row>
    <row r="2">
      <c r="A2" s="2" t="inlineStr">
        <is>
          <t>Quarterly premium &amp; default schedule to 10Y. DF from the shared SOFR curve; survival from the hazard curve.</t>
        </is>
      </c>
    </row>
    <row r="4" ht="42" customHeight="1">
      <c r="A4" s="9" t="inlineStr">
        <is>
          <t>Each row is one quarterly coupon period. DF(end)/DF(mid) interpolate the SOFR Curve_Interface; hazard is the piecewise-constant Hazard_Bootstrap lambda for the segment (by pay date); Q(end)=Q(prev)*exp(-hazard*dt). Premium factor = alpha*DF*Q ; Accrual factor = (alpha/2)*DF(mid)*deltaPD ; Protection factor = DF(mid)*deltaPD. Front period is a stub from valuation to the first roll.</t>
        </is>
      </c>
    </row>
    <row r="5"/>
    <row r="6">
      <c r="A6" s="20" t="inlineStr">
        <is>
          <t>Period</t>
        </is>
      </c>
      <c r="B6" s="20" t="inlineStr">
        <is>
          <t>Accrual start</t>
        </is>
      </c>
      <c r="C6" s="20" t="inlineStr">
        <is>
          <t>Pay date</t>
        </is>
      </c>
      <c r="D6" s="20" t="inlineStr">
        <is>
          <t>alpha ACT/360</t>
        </is>
      </c>
      <c r="E6" s="20" t="inlineStr">
        <is>
          <t>dt ACT/365</t>
        </is>
      </c>
      <c r="F6" s="20" t="inlineStr">
        <is>
          <t>T (yrs)</t>
        </is>
      </c>
      <c r="G6" s="20" t="inlineStr">
        <is>
          <t>DF(end)</t>
        </is>
      </c>
      <c r="H6" s="20" t="inlineStr">
        <is>
          <t>DF(mid)</t>
        </is>
      </c>
      <c r="I6" s="20" t="inlineStr">
        <is>
          <t>hazard</t>
        </is>
      </c>
      <c r="J6" s="20" t="inlineStr">
        <is>
          <t>Q(prev)</t>
        </is>
      </c>
      <c r="K6" s="20" t="inlineStr">
        <is>
          <t>Q(end)</t>
        </is>
      </c>
      <c r="L6" s="20" t="inlineStr">
        <is>
          <t>delta PD</t>
        </is>
      </c>
      <c r="M6" s="20" t="inlineStr">
        <is>
          <t>Premium factor</t>
        </is>
      </c>
      <c r="N6" s="20" t="inlineStr">
        <is>
          <t>Accrual factor</t>
        </is>
      </c>
      <c r="O6" s="20" t="inlineStr">
        <is>
          <t>Protection factor</t>
        </is>
      </c>
    </row>
    <row r="7">
      <c r="A7" s="35" t="n">
        <v>1</v>
      </c>
      <c r="B7" s="18">
        <f>VAL_DATE</f>
        <v/>
      </c>
      <c r="C7" s="18">
        <f>EDATE('Curve_Interface'!$F$7,3*0)</f>
        <v/>
      </c>
      <c r="D7" s="17">
        <f>(C7-B7)/360</f>
        <v/>
      </c>
      <c r="E7" s="17">
        <f>(C7-B7)/365</f>
        <v/>
      </c>
      <c r="F7" s="28">
        <f>(C7-VAL_DATE)/365</f>
        <v/>
      </c>
      <c r="G7" s="33">
        <f>IFERROR(INDEX('Curve_Interface'!$L$8:$L$40,MATCH(C7,'Curve_Interface'!$K$8:$K$40,1))*(INDEX('Curve_Interface'!$L$8:$L$40,MATCH(C7,'Curve_Interface'!$K$8:$K$40,1)+1)/INDEX('Curve_Interface'!$L$8:$L$40,MATCH(C7,'Curve_Interface'!$K$8:$K$40,1)))^((C7-INDEX('Curve_Interface'!$K$8:$K$40,MATCH(C7,'Curve_Interface'!$K$8:$K$40,1)))/(INDEX('Curve_Interface'!$K$8:$K$40,MATCH(C7,'Curve_Interface'!$K$8:$K$40,1)+1)-INDEX('Curve_Interface'!$K$8:$K$40,MATCH(C7,'Curve_Interface'!$K$8:$K$40,1)))),INDEX('Curve_Interface'!$L$8:$L$40,MATCH(C7,'Curve_Interface'!$K$8:$K$40,1)))</f>
        <v/>
      </c>
      <c r="H7" s="33">
        <f>IFERROR(INDEX('Curve_Interface'!$L$8:$L$40,MATCH((B7+C7)/2,'Curve_Interface'!$K$8:$K$40,1))*(INDEX('Curve_Interface'!$L$8:$L$40,MATCH((B7+C7)/2,'Curve_Interface'!$K$8:$K$40,1)+1)/INDEX('Curve_Interface'!$L$8:$L$40,MATCH((B7+C7)/2,'Curve_Interface'!$K$8:$K$40,1)))^(((B7+C7)/2-INDEX('Curve_Interface'!$K$8:$K$40,MATCH((B7+C7)/2,'Curve_Interface'!$K$8:$K$40,1)))/(INDEX('Curve_Interface'!$K$8:$K$40,MATCH((B7+C7)/2,'Curve_Interface'!$K$8:$K$40,1)+1)-INDEX('Curve_Interface'!$K$8:$K$40,MATCH((B7+C7)/2,'Curve_Interface'!$K$8:$K$40,1)))),INDEX('Curve_Interface'!$L$8:$L$40,MATCH((B7+C7)/2,'Curve_Interface'!$K$8:$K$40,1)))</f>
        <v/>
      </c>
      <c r="I7" s="49">
        <f>INDEX(Hazard_Bootstrap!$D$7:$D$12,MIN(COUNTIF(Hazard_Bootstrap!$B$7:$B$12,"&lt;"&amp;C7)+1,6))</f>
        <v/>
      </c>
      <c r="J7" s="32">
        <f>1</f>
        <v/>
      </c>
      <c r="K7" s="32">
        <f>J7*EXP(-I7*E7)</f>
        <v/>
      </c>
      <c r="L7" s="32">
        <f>J7-K7</f>
        <v/>
      </c>
      <c r="M7" s="32">
        <f>D7*G7*K7</f>
        <v/>
      </c>
      <c r="N7" s="32">
        <f>(D7/2)*H7*L7</f>
        <v/>
      </c>
      <c r="O7" s="32">
        <f>H7*L7</f>
        <v/>
      </c>
    </row>
    <row r="8">
      <c r="A8" s="35" t="n">
        <v>2</v>
      </c>
      <c r="B8" s="18">
        <f>C7</f>
        <v/>
      </c>
      <c r="C8" s="18">
        <f>EDATE('Curve_Interface'!$F$7,3*1)</f>
        <v/>
      </c>
      <c r="D8" s="17">
        <f>(C8-B8)/360</f>
        <v/>
      </c>
      <c r="E8" s="17">
        <f>(C8-B8)/365</f>
        <v/>
      </c>
      <c r="F8" s="28">
        <f>(C8-VAL_DATE)/365</f>
        <v/>
      </c>
      <c r="G8" s="33">
        <f>IFERROR(INDEX('Curve_Interface'!$L$8:$L$40,MATCH(C8,'Curve_Interface'!$K$8:$K$40,1))*(INDEX('Curve_Interface'!$L$8:$L$40,MATCH(C8,'Curve_Interface'!$K$8:$K$40,1)+1)/INDEX('Curve_Interface'!$L$8:$L$40,MATCH(C8,'Curve_Interface'!$K$8:$K$40,1)))^((C8-INDEX('Curve_Interface'!$K$8:$K$40,MATCH(C8,'Curve_Interface'!$K$8:$K$40,1)))/(INDEX('Curve_Interface'!$K$8:$K$40,MATCH(C8,'Curve_Interface'!$K$8:$K$40,1)+1)-INDEX('Curve_Interface'!$K$8:$K$40,MATCH(C8,'Curve_Interface'!$K$8:$K$40,1)))),INDEX('Curve_Interface'!$L$8:$L$40,MATCH(C8,'Curve_Interface'!$K$8:$K$40,1)))</f>
        <v/>
      </c>
      <c r="H8" s="33">
        <f>IFERROR(INDEX('Curve_Interface'!$L$8:$L$40,MATCH((B8+C8)/2,'Curve_Interface'!$K$8:$K$40,1))*(INDEX('Curve_Interface'!$L$8:$L$40,MATCH((B8+C8)/2,'Curve_Interface'!$K$8:$K$40,1)+1)/INDEX('Curve_Interface'!$L$8:$L$40,MATCH((B8+C8)/2,'Curve_Interface'!$K$8:$K$40,1)))^(((B8+C8)/2-INDEX('Curve_Interface'!$K$8:$K$40,MATCH((B8+C8)/2,'Curve_Interface'!$K$8:$K$40,1)))/(INDEX('Curve_Interface'!$K$8:$K$40,MATCH((B8+C8)/2,'Curve_Interface'!$K$8:$K$40,1)+1)-INDEX('Curve_Interface'!$K$8:$K$40,MATCH((B8+C8)/2,'Curve_Interface'!$K$8:$K$40,1)))),INDEX('Curve_Interface'!$L$8:$L$40,MATCH((B8+C8)/2,'Curve_Interface'!$K$8:$K$40,1)))</f>
        <v/>
      </c>
      <c r="I8" s="49">
        <f>INDEX(Hazard_Bootstrap!$D$7:$D$12,MIN(COUNTIF(Hazard_Bootstrap!$B$7:$B$12,"&lt;"&amp;C8)+1,6))</f>
        <v/>
      </c>
      <c r="J8" s="32">
        <f>K7</f>
        <v/>
      </c>
      <c r="K8" s="32">
        <f>J8*EXP(-I8*E8)</f>
        <v/>
      </c>
      <c r="L8" s="32">
        <f>J8-K8</f>
        <v/>
      </c>
      <c r="M8" s="32">
        <f>D8*G8*K8</f>
        <v/>
      </c>
      <c r="N8" s="32">
        <f>(D8/2)*H8*L8</f>
        <v/>
      </c>
      <c r="O8" s="32">
        <f>H8*L8</f>
        <v/>
      </c>
    </row>
    <row r="9">
      <c r="A9" s="35" t="n">
        <v>3</v>
      </c>
      <c r="B9" s="18">
        <f>C8</f>
        <v/>
      </c>
      <c r="C9" s="18">
        <f>EDATE('Curve_Interface'!$F$7,3*2)</f>
        <v/>
      </c>
      <c r="D9" s="17">
        <f>(C9-B9)/360</f>
        <v/>
      </c>
      <c r="E9" s="17">
        <f>(C9-B9)/365</f>
        <v/>
      </c>
      <c r="F9" s="28">
        <f>(C9-VAL_DATE)/365</f>
        <v/>
      </c>
      <c r="G9" s="33">
        <f>IFERROR(INDEX('Curve_Interface'!$L$8:$L$40,MATCH(C9,'Curve_Interface'!$K$8:$K$40,1))*(INDEX('Curve_Interface'!$L$8:$L$40,MATCH(C9,'Curve_Interface'!$K$8:$K$40,1)+1)/INDEX('Curve_Interface'!$L$8:$L$40,MATCH(C9,'Curve_Interface'!$K$8:$K$40,1)))^((C9-INDEX('Curve_Interface'!$K$8:$K$40,MATCH(C9,'Curve_Interface'!$K$8:$K$40,1)))/(INDEX('Curve_Interface'!$K$8:$K$40,MATCH(C9,'Curve_Interface'!$K$8:$K$40,1)+1)-INDEX('Curve_Interface'!$K$8:$K$40,MATCH(C9,'Curve_Interface'!$K$8:$K$40,1)))),INDEX('Curve_Interface'!$L$8:$L$40,MATCH(C9,'Curve_Interface'!$K$8:$K$40,1)))</f>
        <v/>
      </c>
      <c r="H9" s="33">
        <f>IFERROR(INDEX('Curve_Interface'!$L$8:$L$40,MATCH((B9+C9)/2,'Curve_Interface'!$K$8:$K$40,1))*(INDEX('Curve_Interface'!$L$8:$L$40,MATCH((B9+C9)/2,'Curve_Interface'!$K$8:$K$40,1)+1)/INDEX('Curve_Interface'!$L$8:$L$40,MATCH((B9+C9)/2,'Curve_Interface'!$K$8:$K$40,1)))^(((B9+C9)/2-INDEX('Curve_Interface'!$K$8:$K$40,MATCH((B9+C9)/2,'Curve_Interface'!$K$8:$K$40,1)))/(INDEX('Curve_Interface'!$K$8:$K$40,MATCH((B9+C9)/2,'Curve_Interface'!$K$8:$K$40,1)+1)-INDEX('Curve_Interface'!$K$8:$K$40,MATCH((B9+C9)/2,'Curve_Interface'!$K$8:$K$40,1)))),INDEX('Curve_Interface'!$L$8:$L$40,MATCH((B9+C9)/2,'Curve_Interface'!$K$8:$K$40,1)))</f>
        <v/>
      </c>
      <c r="I9" s="49">
        <f>INDEX(Hazard_Bootstrap!$D$7:$D$12,MIN(COUNTIF(Hazard_Bootstrap!$B$7:$B$12,"&lt;"&amp;C9)+1,6))</f>
        <v/>
      </c>
      <c r="J9" s="32">
        <f>K8</f>
        <v/>
      </c>
      <c r="K9" s="32">
        <f>J9*EXP(-I9*E9)</f>
        <v/>
      </c>
      <c r="L9" s="32">
        <f>J9-K9</f>
        <v/>
      </c>
      <c r="M9" s="32">
        <f>D9*G9*K9</f>
        <v/>
      </c>
      <c r="N9" s="32">
        <f>(D9/2)*H9*L9</f>
        <v/>
      </c>
      <c r="O9" s="32">
        <f>H9*L9</f>
        <v/>
      </c>
    </row>
    <row r="10">
      <c r="A10" s="35" t="n">
        <v>4</v>
      </c>
      <c r="B10" s="18">
        <f>C9</f>
        <v/>
      </c>
      <c r="C10" s="18">
        <f>EDATE('Curve_Interface'!$F$7,3*3)</f>
        <v/>
      </c>
      <c r="D10" s="17">
        <f>(C10-B10)/360</f>
        <v/>
      </c>
      <c r="E10" s="17">
        <f>(C10-B10)/365</f>
        <v/>
      </c>
      <c r="F10" s="28">
        <f>(C10-VAL_DATE)/365</f>
        <v/>
      </c>
      <c r="G10" s="33">
        <f>IFERROR(INDEX('Curve_Interface'!$L$8:$L$40,MATCH(C10,'Curve_Interface'!$K$8:$K$40,1))*(INDEX('Curve_Interface'!$L$8:$L$40,MATCH(C10,'Curve_Interface'!$K$8:$K$40,1)+1)/INDEX('Curve_Interface'!$L$8:$L$40,MATCH(C10,'Curve_Interface'!$K$8:$K$40,1)))^((C10-INDEX('Curve_Interface'!$K$8:$K$40,MATCH(C10,'Curve_Interface'!$K$8:$K$40,1)))/(INDEX('Curve_Interface'!$K$8:$K$40,MATCH(C10,'Curve_Interface'!$K$8:$K$40,1)+1)-INDEX('Curve_Interface'!$K$8:$K$40,MATCH(C10,'Curve_Interface'!$K$8:$K$40,1)))),INDEX('Curve_Interface'!$L$8:$L$40,MATCH(C10,'Curve_Interface'!$K$8:$K$40,1)))</f>
        <v/>
      </c>
      <c r="H10" s="33">
        <f>IFERROR(INDEX('Curve_Interface'!$L$8:$L$40,MATCH((B10+C10)/2,'Curve_Interface'!$K$8:$K$40,1))*(INDEX('Curve_Interface'!$L$8:$L$40,MATCH((B10+C10)/2,'Curve_Interface'!$K$8:$K$40,1)+1)/INDEX('Curve_Interface'!$L$8:$L$40,MATCH((B10+C10)/2,'Curve_Interface'!$K$8:$K$40,1)))^(((B10+C10)/2-INDEX('Curve_Interface'!$K$8:$K$40,MATCH((B10+C10)/2,'Curve_Interface'!$K$8:$K$40,1)))/(INDEX('Curve_Interface'!$K$8:$K$40,MATCH((B10+C10)/2,'Curve_Interface'!$K$8:$K$40,1)+1)-INDEX('Curve_Interface'!$K$8:$K$40,MATCH((B10+C10)/2,'Curve_Interface'!$K$8:$K$40,1)))),INDEX('Curve_Interface'!$L$8:$L$40,MATCH((B10+C10)/2,'Curve_Interface'!$K$8:$K$40,1)))</f>
        <v/>
      </c>
      <c r="I10" s="49">
        <f>INDEX(Hazard_Bootstrap!$D$7:$D$12,MIN(COUNTIF(Hazard_Bootstrap!$B$7:$B$12,"&lt;"&amp;C10)+1,6))</f>
        <v/>
      </c>
      <c r="J10" s="32">
        <f>K9</f>
        <v/>
      </c>
      <c r="K10" s="32">
        <f>J10*EXP(-I10*E10)</f>
        <v/>
      </c>
      <c r="L10" s="32">
        <f>J10-K10</f>
        <v/>
      </c>
      <c r="M10" s="32">
        <f>D10*G10*K10</f>
        <v/>
      </c>
      <c r="N10" s="32">
        <f>(D10/2)*H10*L10</f>
        <v/>
      </c>
      <c r="O10" s="32">
        <f>H10*L10</f>
        <v/>
      </c>
    </row>
    <row r="11">
      <c r="A11" s="35" t="n">
        <v>5</v>
      </c>
      <c r="B11" s="18">
        <f>C10</f>
        <v/>
      </c>
      <c r="C11" s="18">
        <f>EDATE('Curve_Interface'!$F$7,3*4)</f>
        <v/>
      </c>
      <c r="D11" s="17">
        <f>(C11-B11)/360</f>
        <v/>
      </c>
      <c r="E11" s="17">
        <f>(C11-B11)/365</f>
        <v/>
      </c>
      <c r="F11" s="28">
        <f>(C11-VAL_DATE)/365</f>
        <v/>
      </c>
      <c r="G11" s="33">
        <f>IFERROR(INDEX('Curve_Interface'!$L$8:$L$40,MATCH(C11,'Curve_Interface'!$K$8:$K$40,1))*(INDEX('Curve_Interface'!$L$8:$L$40,MATCH(C11,'Curve_Interface'!$K$8:$K$40,1)+1)/INDEX('Curve_Interface'!$L$8:$L$40,MATCH(C11,'Curve_Interface'!$K$8:$K$40,1)))^((C11-INDEX('Curve_Interface'!$K$8:$K$40,MATCH(C11,'Curve_Interface'!$K$8:$K$40,1)))/(INDEX('Curve_Interface'!$K$8:$K$40,MATCH(C11,'Curve_Interface'!$K$8:$K$40,1)+1)-INDEX('Curve_Interface'!$K$8:$K$40,MATCH(C11,'Curve_Interface'!$K$8:$K$40,1)))),INDEX('Curve_Interface'!$L$8:$L$40,MATCH(C11,'Curve_Interface'!$K$8:$K$40,1)))</f>
        <v/>
      </c>
      <c r="H11" s="33">
        <f>IFERROR(INDEX('Curve_Interface'!$L$8:$L$40,MATCH((B11+C11)/2,'Curve_Interface'!$K$8:$K$40,1))*(INDEX('Curve_Interface'!$L$8:$L$40,MATCH((B11+C11)/2,'Curve_Interface'!$K$8:$K$40,1)+1)/INDEX('Curve_Interface'!$L$8:$L$40,MATCH((B11+C11)/2,'Curve_Interface'!$K$8:$K$40,1)))^(((B11+C11)/2-INDEX('Curve_Interface'!$K$8:$K$40,MATCH((B11+C11)/2,'Curve_Interface'!$K$8:$K$40,1)))/(INDEX('Curve_Interface'!$K$8:$K$40,MATCH((B11+C11)/2,'Curve_Interface'!$K$8:$K$40,1)+1)-INDEX('Curve_Interface'!$K$8:$K$40,MATCH((B11+C11)/2,'Curve_Interface'!$K$8:$K$40,1)))),INDEX('Curve_Interface'!$L$8:$L$40,MATCH((B11+C11)/2,'Curve_Interface'!$K$8:$K$40,1)))</f>
        <v/>
      </c>
      <c r="I11" s="49">
        <f>INDEX(Hazard_Bootstrap!$D$7:$D$12,MIN(COUNTIF(Hazard_Bootstrap!$B$7:$B$12,"&lt;"&amp;C11)+1,6))</f>
        <v/>
      </c>
      <c r="J11" s="32">
        <f>K10</f>
        <v/>
      </c>
      <c r="K11" s="32">
        <f>J11*EXP(-I11*E11)</f>
        <v/>
      </c>
      <c r="L11" s="32">
        <f>J11-K11</f>
        <v/>
      </c>
      <c r="M11" s="32">
        <f>D11*G11*K11</f>
        <v/>
      </c>
      <c r="N11" s="32">
        <f>(D11/2)*H11*L11</f>
        <v/>
      </c>
      <c r="O11" s="32">
        <f>H11*L11</f>
        <v/>
      </c>
    </row>
    <row r="12">
      <c r="A12" s="35" t="n">
        <v>6</v>
      </c>
      <c r="B12" s="18">
        <f>C11</f>
        <v/>
      </c>
      <c r="C12" s="18">
        <f>EDATE('Curve_Interface'!$F$7,3*5)</f>
        <v/>
      </c>
      <c r="D12" s="17">
        <f>(C12-B12)/360</f>
        <v/>
      </c>
      <c r="E12" s="17">
        <f>(C12-B12)/365</f>
        <v/>
      </c>
      <c r="F12" s="28">
        <f>(C12-VAL_DATE)/365</f>
        <v/>
      </c>
      <c r="G12" s="33">
        <f>IFERROR(INDEX('Curve_Interface'!$L$8:$L$40,MATCH(C12,'Curve_Interface'!$K$8:$K$40,1))*(INDEX('Curve_Interface'!$L$8:$L$40,MATCH(C12,'Curve_Interface'!$K$8:$K$40,1)+1)/INDEX('Curve_Interface'!$L$8:$L$40,MATCH(C12,'Curve_Interface'!$K$8:$K$40,1)))^((C12-INDEX('Curve_Interface'!$K$8:$K$40,MATCH(C12,'Curve_Interface'!$K$8:$K$40,1)))/(INDEX('Curve_Interface'!$K$8:$K$40,MATCH(C12,'Curve_Interface'!$K$8:$K$40,1)+1)-INDEX('Curve_Interface'!$K$8:$K$40,MATCH(C12,'Curve_Interface'!$K$8:$K$40,1)))),INDEX('Curve_Interface'!$L$8:$L$40,MATCH(C12,'Curve_Interface'!$K$8:$K$40,1)))</f>
        <v/>
      </c>
      <c r="H12" s="33">
        <f>IFERROR(INDEX('Curve_Interface'!$L$8:$L$40,MATCH((B12+C12)/2,'Curve_Interface'!$K$8:$K$40,1))*(INDEX('Curve_Interface'!$L$8:$L$40,MATCH((B12+C12)/2,'Curve_Interface'!$K$8:$K$40,1)+1)/INDEX('Curve_Interface'!$L$8:$L$40,MATCH((B12+C12)/2,'Curve_Interface'!$K$8:$K$40,1)))^(((B12+C12)/2-INDEX('Curve_Interface'!$K$8:$K$40,MATCH((B12+C12)/2,'Curve_Interface'!$K$8:$K$40,1)))/(INDEX('Curve_Interface'!$K$8:$K$40,MATCH((B12+C12)/2,'Curve_Interface'!$K$8:$K$40,1)+1)-INDEX('Curve_Interface'!$K$8:$K$40,MATCH((B12+C12)/2,'Curve_Interface'!$K$8:$K$40,1)))),INDEX('Curve_Interface'!$L$8:$L$40,MATCH((B12+C12)/2,'Curve_Interface'!$K$8:$K$40,1)))</f>
        <v/>
      </c>
      <c r="I12" s="49">
        <f>INDEX(Hazard_Bootstrap!$D$7:$D$12,MIN(COUNTIF(Hazard_Bootstrap!$B$7:$B$12,"&lt;"&amp;C12)+1,6))</f>
        <v/>
      </c>
      <c r="J12" s="32">
        <f>K11</f>
        <v/>
      </c>
      <c r="K12" s="32">
        <f>J12*EXP(-I12*E12)</f>
        <v/>
      </c>
      <c r="L12" s="32">
        <f>J12-K12</f>
        <v/>
      </c>
      <c r="M12" s="32">
        <f>D12*G12*K12</f>
        <v/>
      </c>
      <c r="N12" s="32">
        <f>(D12/2)*H12*L12</f>
        <v/>
      </c>
      <c r="O12" s="32">
        <f>H12*L12</f>
        <v/>
      </c>
    </row>
    <row r="13">
      <c r="A13" s="35" t="n">
        <v>7</v>
      </c>
      <c r="B13" s="18">
        <f>C12</f>
        <v/>
      </c>
      <c r="C13" s="18">
        <f>EDATE('Curve_Interface'!$F$7,3*6)</f>
        <v/>
      </c>
      <c r="D13" s="17">
        <f>(C13-B13)/360</f>
        <v/>
      </c>
      <c r="E13" s="17">
        <f>(C13-B13)/365</f>
        <v/>
      </c>
      <c r="F13" s="28">
        <f>(C13-VAL_DATE)/365</f>
        <v/>
      </c>
      <c r="G13" s="33">
        <f>IFERROR(INDEX('Curve_Interface'!$L$8:$L$40,MATCH(C13,'Curve_Interface'!$K$8:$K$40,1))*(INDEX('Curve_Interface'!$L$8:$L$40,MATCH(C13,'Curve_Interface'!$K$8:$K$40,1)+1)/INDEX('Curve_Interface'!$L$8:$L$40,MATCH(C13,'Curve_Interface'!$K$8:$K$40,1)))^((C13-INDEX('Curve_Interface'!$K$8:$K$40,MATCH(C13,'Curve_Interface'!$K$8:$K$40,1)))/(INDEX('Curve_Interface'!$K$8:$K$40,MATCH(C13,'Curve_Interface'!$K$8:$K$40,1)+1)-INDEX('Curve_Interface'!$K$8:$K$40,MATCH(C13,'Curve_Interface'!$K$8:$K$40,1)))),INDEX('Curve_Interface'!$L$8:$L$40,MATCH(C13,'Curve_Interface'!$K$8:$K$40,1)))</f>
        <v/>
      </c>
      <c r="H13" s="33">
        <f>IFERROR(INDEX('Curve_Interface'!$L$8:$L$40,MATCH((B13+C13)/2,'Curve_Interface'!$K$8:$K$40,1))*(INDEX('Curve_Interface'!$L$8:$L$40,MATCH((B13+C13)/2,'Curve_Interface'!$K$8:$K$40,1)+1)/INDEX('Curve_Interface'!$L$8:$L$40,MATCH((B13+C13)/2,'Curve_Interface'!$K$8:$K$40,1)))^(((B13+C13)/2-INDEX('Curve_Interface'!$K$8:$K$40,MATCH((B13+C13)/2,'Curve_Interface'!$K$8:$K$40,1)))/(INDEX('Curve_Interface'!$K$8:$K$40,MATCH((B13+C13)/2,'Curve_Interface'!$K$8:$K$40,1)+1)-INDEX('Curve_Interface'!$K$8:$K$40,MATCH((B13+C13)/2,'Curve_Interface'!$K$8:$K$40,1)))),INDEX('Curve_Interface'!$L$8:$L$40,MATCH((B13+C13)/2,'Curve_Interface'!$K$8:$K$40,1)))</f>
        <v/>
      </c>
      <c r="I13" s="49">
        <f>INDEX(Hazard_Bootstrap!$D$7:$D$12,MIN(COUNTIF(Hazard_Bootstrap!$B$7:$B$12,"&lt;"&amp;C13)+1,6))</f>
        <v/>
      </c>
      <c r="J13" s="32">
        <f>K12</f>
        <v/>
      </c>
      <c r="K13" s="32">
        <f>J13*EXP(-I13*E13)</f>
        <v/>
      </c>
      <c r="L13" s="32">
        <f>J13-K13</f>
        <v/>
      </c>
      <c r="M13" s="32">
        <f>D13*G13*K13</f>
        <v/>
      </c>
      <c r="N13" s="32">
        <f>(D13/2)*H13*L13</f>
        <v/>
      </c>
      <c r="O13" s="32">
        <f>H13*L13</f>
        <v/>
      </c>
    </row>
    <row r="14">
      <c r="A14" s="35" t="n">
        <v>8</v>
      </c>
      <c r="B14" s="18">
        <f>C13</f>
        <v/>
      </c>
      <c r="C14" s="18">
        <f>EDATE('Curve_Interface'!$F$7,3*7)</f>
        <v/>
      </c>
      <c r="D14" s="17">
        <f>(C14-B14)/360</f>
        <v/>
      </c>
      <c r="E14" s="17">
        <f>(C14-B14)/365</f>
        <v/>
      </c>
      <c r="F14" s="28">
        <f>(C14-VAL_DATE)/365</f>
        <v/>
      </c>
      <c r="G14" s="33">
        <f>IFERROR(INDEX('Curve_Interface'!$L$8:$L$40,MATCH(C14,'Curve_Interface'!$K$8:$K$40,1))*(INDEX('Curve_Interface'!$L$8:$L$40,MATCH(C14,'Curve_Interface'!$K$8:$K$40,1)+1)/INDEX('Curve_Interface'!$L$8:$L$40,MATCH(C14,'Curve_Interface'!$K$8:$K$40,1)))^((C14-INDEX('Curve_Interface'!$K$8:$K$40,MATCH(C14,'Curve_Interface'!$K$8:$K$40,1)))/(INDEX('Curve_Interface'!$K$8:$K$40,MATCH(C14,'Curve_Interface'!$K$8:$K$40,1)+1)-INDEX('Curve_Interface'!$K$8:$K$40,MATCH(C14,'Curve_Interface'!$K$8:$K$40,1)))),INDEX('Curve_Interface'!$L$8:$L$40,MATCH(C14,'Curve_Interface'!$K$8:$K$40,1)))</f>
        <v/>
      </c>
      <c r="H14" s="33">
        <f>IFERROR(INDEX('Curve_Interface'!$L$8:$L$40,MATCH((B14+C14)/2,'Curve_Interface'!$K$8:$K$40,1))*(INDEX('Curve_Interface'!$L$8:$L$40,MATCH((B14+C14)/2,'Curve_Interface'!$K$8:$K$40,1)+1)/INDEX('Curve_Interface'!$L$8:$L$40,MATCH((B14+C14)/2,'Curve_Interface'!$K$8:$K$40,1)))^(((B14+C14)/2-INDEX('Curve_Interface'!$K$8:$K$40,MATCH((B14+C14)/2,'Curve_Interface'!$K$8:$K$40,1)))/(INDEX('Curve_Interface'!$K$8:$K$40,MATCH((B14+C14)/2,'Curve_Interface'!$K$8:$K$40,1)+1)-INDEX('Curve_Interface'!$K$8:$K$40,MATCH((B14+C14)/2,'Curve_Interface'!$K$8:$K$40,1)))),INDEX('Curve_Interface'!$L$8:$L$40,MATCH((B14+C14)/2,'Curve_Interface'!$K$8:$K$40,1)))</f>
        <v/>
      </c>
      <c r="I14" s="49">
        <f>INDEX(Hazard_Bootstrap!$D$7:$D$12,MIN(COUNTIF(Hazard_Bootstrap!$B$7:$B$12,"&lt;"&amp;C14)+1,6))</f>
        <v/>
      </c>
      <c r="J14" s="32">
        <f>K13</f>
        <v/>
      </c>
      <c r="K14" s="32">
        <f>J14*EXP(-I14*E14)</f>
        <v/>
      </c>
      <c r="L14" s="32">
        <f>J14-K14</f>
        <v/>
      </c>
      <c r="M14" s="32">
        <f>D14*G14*K14</f>
        <v/>
      </c>
      <c r="N14" s="32">
        <f>(D14/2)*H14*L14</f>
        <v/>
      </c>
      <c r="O14" s="32">
        <f>H14*L14</f>
        <v/>
      </c>
    </row>
    <row r="15">
      <c r="A15" s="35" t="n">
        <v>9</v>
      </c>
      <c r="B15" s="18">
        <f>C14</f>
        <v/>
      </c>
      <c r="C15" s="18">
        <f>EDATE('Curve_Interface'!$F$7,3*8)</f>
        <v/>
      </c>
      <c r="D15" s="17">
        <f>(C15-B15)/360</f>
        <v/>
      </c>
      <c r="E15" s="17">
        <f>(C15-B15)/365</f>
        <v/>
      </c>
      <c r="F15" s="28">
        <f>(C15-VAL_DATE)/365</f>
        <v/>
      </c>
      <c r="G15" s="33">
        <f>IFERROR(INDEX('Curve_Interface'!$L$8:$L$40,MATCH(C15,'Curve_Interface'!$K$8:$K$40,1))*(INDEX('Curve_Interface'!$L$8:$L$40,MATCH(C15,'Curve_Interface'!$K$8:$K$40,1)+1)/INDEX('Curve_Interface'!$L$8:$L$40,MATCH(C15,'Curve_Interface'!$K$8:$K$40,1)))^((C15-INDEX('Curve_Interface'!$K$8:$K$40,MATCH(C15,'Curve_Interface'!$K$8:$K$40,1)))/(INDEX('Curve_Interface'!$K$8:$K$40,MATCH(C15,'Curve_Interface'!$K$8:$K$40,1)+1)-INDEX('Curve_Interface'!$K$8:$K$40,MATCH(C15,'Curve_Interface'!$K$8:$K$40,1)))),INDEX('Curve_Interface'!$L$8:$L$40,MATCH(C15,'Curve_Interface'!$K$8:$K$40,1)))</f>
        <v/>
      </c>
      <c r="H15" s="33">
        <f>IFERROR(INDEX('Curve_Interface'!$L$8:$L$40,MATCH((B15+C15)/2,'Curve_Interface'!$K$8:$K$40,1))*(INDEX('Curve_Interface'!$L$8:$L$40,MATCH((B15+C15)/2,'Curve_Interface'!$K$8:$K$40,1)+1)/INDEX('Curve_Interface'!$L$8:$L$40,MATCH((B15+C15)/2,'Curve_Interface'!$K$8:$K$40,1)))^(((B15+C15)/2-INDEX('Curve_Interface'!$K$8:$K$40,MATCH((B15+C15)/2,'Curve_Interface'!$K$8:$K$40,1)))/(INDEX('Curve_Interface'!$K$8:$K$40,MATCH((B15+C15)/2,'Curve_Interface'!$K$8:$K$40,1)+1)-INDEX('Curve_Interface'!$K$8:$K$40,MATCH((B15+C15)/2,'Curve_Interface'!$K$8:$K$40,1)))),INDEX('Curve_Interface'!$L$8:$L$40,MATCH((B15+C15)/2,'Curve_Interface'!$K$8:$K$40,1)))</f>
        <v/>
      </c>
      <c r="I15" s="49">
        <f>INDEX(Hazard_Bootstrap!$D$7:$D$12,MIN(COUNTIF(Hazard_Bootstrap!$B$7:$B$12,"&lt;"&amp;C15)+1,6))</f>
        <v/>
      </c>
      <c r="J15" s="32">
        <f>K14</f>
        <v/>
      </c>
      <c r="K15" s="32">
        <f>J15*EXP(-I15*E15)</f>
        <v/>
      </c>
      <c r="L15" s="32">
        <f>J15-K15</f>
        <v/>
      </c>
      <c r="M15" s="32">
        <f>D15*G15*K15</f>
        <v/>
      </c>
      <c r="N15" s="32">
        <f>(D15/2)*H15*L15</f>
        <v/>
      </c>
      <c r="O15" s="32">
        <f>H15*L15</f>
        <v/>
      </c>
    </row>
    <row r="16">
      <c r="A16" s="35" t="n">
        <v>10</v>
      </c>
      <c r="B16" s="18">
        <f>C15</f>
        <v/>
      </c>
      <c r="C16" s="18">
        <f>EDATE('Curve_Interface'!$F$7,3*9)</f>
        <v/>
      </c>
      <c r="D16" s="17">
        <f>(C16-B16)/360</f>
        <v/>
      </c>
      <c r="E16" s="17">
        <f>(C16-B16)/365</f>
        <v/>
      </c>
      <c r="F16" s="28">
        <f>(C16-VAL_DATE)/365</f>
        <v/>
      </c>
      <c r="G16" s="33">
        <f>IFERROR(INDEX('Curve_Interface'!$L$8:$L$40,MATCH(C16,'Curve_Interface'!$K$8:$K$40,1))*(INDEX('Curve_Interface'!$L$8:$L$40,MATCH(C16,'Curve_Interface'!$K$8:$K$40,1)+1)/INDEX('Curve_Interface'!$L$8:$L$40,MATCH(C16,'Curve_Interface'!$K$8:$K$40,1)))^((C16-INDEX('Curve_Interface'!$K$8:$K$40,MATCH(C16,'Curve_Interface'!$K$8:$K$40,1)))/(INDEX('Curve_Interface'!$K$8:$K$40,MATCH(C16,'Curve_Interface'!$K$8:$K$40,1)+1)-INDEX('Curve_Interface'!$K$8:$K$40,MATCH(C16,'Curve_Interface'!$K$8:$K$40,1)))),INDEX('Curve_Interface'!$L$8:$L$40,MATCH(C16,'Curve_Interface'!$K$8:$K$40,1)))</f>
        <v/>
      </c>
      <c r="H16" s="33">
        <f>IFERROR(INDEX('Curve_Interface'!$L$8:$L$40,MATCH((B16+C16)/2,'Curve_Interface'!$K$8:$K$40,1))*(INDEX('Curve_Interface'!$L$8:$L$40,MATCH((B16+C16)/2,'Curve_Interface'!$K$8:$K$40,1)+1)/INDEX('Curve_Interface'!$L$8:$L$40,MATCH((B16+C16)/2,'Curve_Interface'!$K$8:$K$40,1)))^(((B16+C16)/2-INDEX('Curve_Interface'!$K$8:$K$40,MATCH((B16+C16)/2,'Curve_Interface'!$K$8:$K$40,1)))/(INDEX('Curve_Interface'!$K$8:$K$40,MATCH((B16+C16)/2,'Curve_Interface'!$K$8:$K$40,1)+1)-INDEX('Curve_Interface'!$K$8:$K$40,MATCH((B16+C16)/2,'Curve_Interface'!$K$8:$K$40,1)))),INDEX('Curve_Interface'!$L$8:$L$40,MATCH((B16+C16)/2,'Curve_Interface'!$K$8:$K$40,1)))</f>
        <v/>
      </c>
      <c r="I16" s="49">
        <f>INDEX(Hazard_Bootstrap!$D$7:$D$12,MIN(COUNTIF(Hazard_Bootstrap!$B$7:$B$12,"&lt;"&amp;C16)+1,6))</f>
        <v/>
      </c>
      <c r="J16" s="32">
        <f>K15</f>
        <v/>
      </c>
      <c r="K16" s="32">
        <f>J16*EXP(-I16*E16)</f>
        <v/>
      </c>
      <c r="L16" s="32">
        <f>J16-K16</f>
        <v/>
      </c>
      <c r="M16" s="32">
        <f>D16*G16*K16</f>
        <v/>
      </c>
      <c r="N16" s="32">
        <f>(D16/2)*H16*L16</f>
        <v/>
      </c>
      <c r="O16" s="32">
        <f>H16*L16</f>
        <v/>
      </c>
    </row>
    <row r="17">
      <c r="A17" s="35" t="n">
        <v>11</v>
      </c>
      <c r="B17" s="18">
        <f>C16</f>
        <v/>
      </c>
      <c r="C17" s="18">
        <f>EDATE('Curve_Interface'!$F$7,3*10)</f>
        <v/>
      </c>
      <c r="D17" s="17">
        <f>(C17-B17)/360</f>
        <v/>
      </c>
      <c r="E17" s="17">
        <f>(C17-B17)/365</f>
        <v/>
      </c>
      <c r="F17" s="28">
        <f>(C17-VAL_DATE)/365</f>
        <v/>
      </c>
      <c r="G17" s="33">
        <f>IFERROR(INDEX('Curve_Interface'!$L$8:$L$40,MATCH(C17,'Curve_Interface'!$K$8:$K$40,1))*(INDEX('Curve_Interface'!$L$8:$L$40,MATCH(C17,'Curve_Interface'!$K$8:$K$40,1)+1)/INDEX('Curve_Interface'!$L$8:$L$40,MATCH(C17,'Curve_Interface'!$K$8:$K$40,1)))^((C17-INDEX('Curve_Interface'!$K$8:$K$40,MATCH(C17,'Curve_Interface'!$K$8:$K$40,1)))/(INDEX('Curve_Interface'!$K$8:$K$40,MATCH(C17,'Curve_Interface'!$K$8:$K$40,1)+1)-INDEX('Curve_Interface'!$K$8:$K$40,MATCH(C17,'Curve_Interface'!$K$8:$K$40,1)))),INDEX('Curve_Interface'!$L$8:$L$40,MATCH(C17,'Curve_Interface'!$K$8:$K$40,1)))</f>
        <v/>
      </c>
      <c r="H17" s="33">
        <f>IFERROR(INDEX('Curve_Interface'!$L$8:$L$40,MATCH((B17+C17)/2,'Curve_Interface'!$K$8:$K$40,1))*(INDEX('Curve_Interface'!$L$8:$L$40,MATCH((B17+C17)/2,'Curve_Interface'!$K$8:$K$40,1)+1)/INDEX('Curve_Interface'!$L$8:$L$40,MATCH((B17+C17)/2,'Curve_Interface'!$K$8:$K$40,1)))^(((B17+C17)/2-INDEX('Curve_Interface'!$K$8:$K$40,MATCH((B17+C17)/2,'Curve_Interface'!$K$8:$K$40,1)))/(INDEX('Curve_Interface'!$K$8:$K$40,MATCH((B17+C17)/2,'Curve_Interface'!$K$8:$K$40,1)+1)-INDEX('Curve_Interface'!$K$8:$K$40,MATCH((B17+C17)/2,'Curve_Interface'!$K$8:$K$40,1)))),INDEX('Curve_Interface'!$L$8:$L$40,MATCH((B17+C17)/2,'Curve_Interface'!$K$8:$K$40,1)))</f>
        <v/>
      </c>
      <c r="I17" s="49">
        <f>INDEX(Hazard_Bootstrap!$D$7:$D$12,MIN(COUNTIF(Hazard_Bootstrap!$B$7:$B$12,"&lt;"&amp;C17)+1,6))</f>
        <v/>
      </c>
      <c r="J17" s="32">
        <f>K16</f>
        <v/>
      </c>
      <c r="K17" s="32">
        <f>J17*EXP(-I17*E17)</f>
        <v/>
      </c>
      <c r="L17" s="32">
        <f>J17-K17</f>
        <v/>
      </c>
      <c r="M17" s="32">
        <f>D17*G17*K17</f>
        <v/>
      </c>
      <c r="N17" s="32">
        <f>(D17/2)*H17*L17</f>
        <v/>
      </c>
      <c r="O17" s="32">
        <f>H17*L17</f>
        <v/>
      </c>
    </row>
    <row r="18">
      <c r="A18" s="35" t="n">
        <v>12</v>
      </c>
      <c r="B18" s="18">
        <f>C17</f>
        <v/>
      </c>
      <c r="C18" s="18">
        <f>EDATE('Curve_Interface'!$F$7,3*11)</f>
        <v/>
      </c>
      <c r="D18" s="17">
        <f>(C18-B18)/360</f>
        <v/>
      </c>
      <c r="E18" s="17">
        <f>(C18-B18)/365</f>
        <v/>
      </c>
      <c r="F18" s="28">
        <f>(C18-VAL_DATE)/365</f>
        <v/>
      </c>
      <c r="G18" s="33">
        <f>IFERROR(INDEX('Curve_Interface'!$L$8:$L$40,MATCH(C18,'Curve_Interface'!$K$8:$K$40,1))*(INDEX('Curve_Interface'!$L$8:$L$40,MATCH(C18,'Curve_Interface'!$K$8:$K$40,1)+1)/INDEX('Curve_Interface'!$L$8:$L$40,MATCH(C18,'Curve_Interface'!$K$8:$K$40,1)))^((C18-INDEX('Curve_Interface'!$K$8:$K$40,MATCH(C18,'Curve_Interface'!$K$8:$K$40,1)))/(INDEX('Curve_Interface'!$K$8:$K$40,MATCH(C18,'Curve_Interface'!$K$8:$K$40,1)+1)-INDEX('Curve_Interface'!$K$8:$K$40,MATCH(C18,'Curve_Interface'!$K$8:$K$40,1)))),INDEX('Curve_Interface'!$L$8:$L$40,MATCH(C18,'Curve_Interface'!$K$8:$K$40,1)))</f>
        <v/>
      </c>
      <c r="H18" s="33">
        <f>IFERROR(INDEX('Curve_Interface'!$L$8:$L$40,MATCH((B18+C18)/2,'Curve_Interface'!$K$8:$K$40,1))*(INDEX('Curve_Interface'!$L$8:$L$40,MATCH((B18+C18)/2,'Curve_Interface'!$K$8:$K$40,1)+1)/INDEX('Curve_Interface'!$L$8:$L$40,MATCH((B18+C18)/2,'Curve_Interface'!$K$8:$K$40,1)))^(((B18+C18)/2-INDEX('Curve_Interface'!$K$8:$K$40,MATCH((B18+C18)/2,'Curve_Interface'!$K$8:$K$40,1)))/(INDEX('Curve_Interface'!$K$8:$K$40,MATCH((B18+C18)/2,'Curve_Interface'!$K$8:$K$40,1)+1)-INDEX('Curve_Interface'!$K$8:$K$40,MATCH((B18+C18)/2,'Curve_Interface'!$K$8:$K$40,1)))),INDEX('Curve_Interface'!$L$8:$L$40,MATCH((B18+C18)/2,'Curve_Interface'!$K$8:$K$40,1)))</f>
        <v/>
      </c>
      <c r="I18" s="49">
        <f>INDEX(Hazard_Bootstrap!$D$7:$D$12,MIN(COUNTIF(Hazard_Bootstrap!$B$7:$B$12,"&lt;"&amp;C18)+1,6))</f>
        <v/>
      </c>
      <c r="J18" s="32">
        <f>K17</f>
        <v/>
      </c>
      <c r="K18" s="32">
        <f>J18*EXP(-I18*E18)</f>
        <v/>
      </c>
      <c r="L18" s="32">
        <f>J18-K18</f>
        <v/>
      </c>
      <c r="M18" s="32">
        <f>D18*G18*K18</f>
        <v/>
      </c>
      <c r="N18" s="32">
        <f>(D18/2)*H18*L18</f>
        <v/>
      </c>
      <c r="O18" s="32">
        <f>H18*L18</f>
        <v/>
      </c>
    </row>
    <row r="19">
      <c r="A19" s="35" t="n">
        <v>13</v>
      </c>
      <c r="B19" s="18">
        <f>C18</f>
        <v/>
      </c>
      <c r="C19" s="18">
        <f>EDATE('Curve_Interface'!$F$7,3*12)</f>
        <v/>
      </c>
      <c r="D19" s="17">
        <f>(C19-B19)/360</f>
        <v/>
      </c>
      <c r="E19" s="17">
        <f>(C19-B19)/365</f>
        <v/>
      </c>
      <c r="F19" s="28">
        <f>(C19-VAL_DATE)/365</f>
        <v/>
      </c>
      <c r="G19" s="33">
        <f>IFERROR(INDEX('Curve_Interface'!$L$8:$L$40,MATCH(C19,'Curve_Interface'!$K$8:$K$40,1))*(INDEX('Curve_Interface'!$L$8:$L$40,MATCH(C19,'Curve_Interface'!$K$8:$K$40,1)+1)/INDEX('Curve_Interface'!$L$8:$L$40,MATCH(C19,'Curve_Interface'!$K$8:$K$40,1)))^((C19-INDEX('Curve_Interface'!$K$8:$K$40,MATCH(C19,'Curve_Interface'!$K$8:$K$40,1)))/(INDEX('Curve_Interface'!$K$8:$K$40,MATCH(C19,'Curve_Interface'!$K$8:$K$40,1)+1)-INDEX('Curve_Interface'!$K$8:$K$40,MATCH(C19,'Curve_Interface'!$K$8:$K$40,1)))),INDEX('Curve_Interface'!$L$8:$L$40,MATCH(C19,'Curve_Interface'!$K$8:$K$40,1)))</f>
        <v/>
      </c>
      <c r="H19" s="33">
        <f>IFERROR(INDEX('Curve_Interface'!$L$8:$L$40,MATCH((B19+C19)/2,'Curve_Interface'!$K$8:$K$40,1))*(INDEX('Curve_Interface'!$L$8:$L$40,MATCH((B19+C19)/2,'Curve_Interface'!$K$8:$K$40,1)+1)/INDEX('Curve_Interface'!$L$8:$L$40,MATCH((B19+C19)/2,'Curve_Interface'!$K$8:$K$40,1)))^(((B19+C19)/2-INDEX('Curve_Interface'!$K$8:$K$40,MATCH((B19+C19)/2,'Curve_Interface'!$K$8:$K$40,1)))/(INDEX('Curve_Interface'!$K$8:$K$40,MATCH((B19+C19)/2,'Curve_Interface'!$K$8:$K$40,1)+1)-INDEX('Curve_Interface'!$K$8:$K$40,MATCH((B19+C19)/2,'Curve_Interface'!$K$8:$K$40,1)))),INDEX('Curve_Interface'!$L$8:$L$40,MATCH((B19+C19)/2,'Curve_Interface'!$K$8:$K$40,1)))</f>
        <v/>
      </c>
      <c r="I19" s="49">
        <f>INDEX(Hazard_Bootstrap!$D$7:$D$12,MIN(COUNTIF(Hazard_Bootstrap!$B$7:$B$12,"&lt;"&amp;C19)+1,6))</f>
        <v/>
      </c>
      <c r="J19" s="32">
        <f>K18</f>
        <v/>
      </c>
      <c r="K19" s="32">
        <f>J19*EXP(-I19*E19)</f>
        <v/>
      </c>
      <c r="L19" s="32">
        <f>J19-K19</f>
        <v/>
      </c>
      <c r="M19" s="32">
        <f>D19*G19*K19</f>
        <v/>
      </c>
      <c r="N19" s="32">
        <f>(D19/2)*H19*L19</f>
        <v/>
      </c>
      <c r="O19" s="32">
        <f>H19*L19</f>
        <v/>
      </c>
    </row>
    <row r="20">
      <c r="A20" s="35" t="n">
        <v>14</v>
      </c>
      <c r="B20" s="18">
        <f>C19</f>
        <v/>
      </c>
      <c r="C20" s="18">
        <f>EDATE('Curve_Interface'!$F$7,3*13)</f>
        <v/>
      </c>
      <c r="D20" s="17">
        <f>(C20-B20)/360</f>
        <v/>
      </c>
      <c r="E20" s="17">
        <f>(C20-B20)/365</f>
        <v/>
      </c>
      <c r="F20" s="28">
        <f>(C20-VAL_DATE)/365</f>
        <v/>
      </c>
      <c r="G20" s="33">
        <f>IFERROR(INDEX('Curve_Interface'!$L$8:$L$40,MATCH(C20,'Curve_Interface'!$K$8:$K$40,1))*(INDEX('Curve_Interface'!$L$8:$L$40,MATCH(C20,'Curve_Interface'!$K$8:$K$40,1)+1)/INDEX('Curve_Interface'!$L$8:$L$40,MATCH(C20,'Curve_Interface'!$K$8:$K$40,1)))^((C20-INDEX('Curve_Interface'!$K$8:$K$40,MATCH(C20,'Curve_Interface'!$K$8:$K$40,1)))/(INDEX('Curve_Interface'!$K$8:$K$40,MATCH(C20,'Curve_Interface'!$K$8:$K$40,1)+1)-INDEX('Curve_Interface'!$K$8:$K$40,MATCH(C20,'Curve_Interface'!$K$8:$K$40,1)))),INDEX('Curve_Interface'!$L$8:$L$40,MATCH(C20,'Curve_Interface'!$K$8:$K$40,1)))</f>
        <v/>
      </c>
      <c r="H20" s="33">
        <f>IFERROR(INDEX('Curve_Interface'!$L$8:$L$40,MATCH((B20+C20)/2,'Curve_Interface'!$K$8:$K$40,1))*(INDEX('Curve_Interface'!$L$8:$L$40,MATCH((B20+C20)/2,'Curve_Interface'!$K$8:$K$40,1)+1)/INDEX('Curve_Interface'!$L$8:$L$40,MATCH((B20+C20)/2,'Curve_Interface'!$K$8:$K$40,1)))^(((B20+C20)/2-INDEX('Curve_Interface'!$K$8:$K$40,MATCH((B20+C20)/2,'Curve_Interface'!$K$8:$K$40,1)))/(INDEX('Curve_Interface'!$K$8:$K$40,MATCH((B20+C20)/2,'Curve_Interface'!$K$8:$K$40,1)+1)-INDEX('Curve_Interface'!$K$8:$K$40,MATCH((B20+C20)/2,'Curve_Interface'!$K$8:$K$40,1)))),INDEX('Curve_Interface'!$L$8:$L$40,MATCH((B20+C20)/2,'Curve_Interface'!$K$8:$K$40,1)))</f>
        <v/>
      </c>
      <c r="I20" s="49">
        <f>INDEX(Hazard_Bootstrap!$D$7:$D$12,MIN(COUNTIF(Hazard_Bootstrap!$B$7:$B$12,"&lt;"&amp;C20)+1,6))</f>
        <v/>
      </c>
      <c r="J20" s="32">
        <f>K19</f>
        <v/>
      </c>
      <c r="K20" s="32">
        <f>J20*EXP(-I20*E20)</f>
        <v/>
      </c>
      <c r="L20" s="32">
        <f>J20-K20</f>
        <v/>
      </c>
      <c r="M20" s="32">
        <f>D20*G20*K20</f>
        <v/>
      </c>
      <c r="N20" s="32">
        <f>(D20/2)*H20*L20</f>
        <v/>
      </c>
      <c r="O20" s="32">
        <f>H20*L20</f>
        <v/>
      </c>
    </row>
    <row r="21">
      <c r="A21" s="35" t="n">
        <v>15</v>
      </c>
      <c r="B21" s="18">
        <f>C20</f>
        <v/>
      </c>
      <c r="C21" s="18">
        <f>EDATE('Curve_Interface'!$F$7,3*14)</f>
        <v/>
      </c>
      <c r="D21" s="17">
        <f>(C21-B21)/360</f>
        <v/>
      </c>
      <c r="E21" s="17">
        <f>(C21-B21)/365</f>
        <v/>
      </c>
      <c r="F21" s="28">
        <f>(C21-VAL_DATE)/365</f>
        <v/>
      </c>
      <c r="G21" s="33">
        <f>IFERROR(INDEX('Curve_Interface'!$L$8:$L$40,MATCH(C21,'Curve_Interface'!$K$8:$K$40,1))*(INDEX('Curve_Interface'!$L$8:$L$40,MATCH(C21,'Curve_Interface'!$K$8:$K$40,1)+1)/INDEX('Curve_Interface'!$L$8:$L$40,MATCH(C21,'Curve_Interface'!$K$8:$K$40,1)))^((C21-INDEX('Curve_Interface'!$K$8:$K$40,MATCH(C21,'Curve_Interface'!$K$8:$K$40,1)))/(INDEX('Curve_Interface'!$K$8:$K$40,MATCH(C21,'Curve_Interface'!$K$8:$K$40,1)+1)-INDEX('Curve_Interface'!$K$8:$K$40,MATCH(C21,'Curve_Interface'!$K$8:$K$40,1)))),INDEX('Curve_Interface'!$L$8:$L$40,MATCH(C21,'Curve_Interface'!$K$8:$K$40,1)))</f>
        <v/>
      </c>
      <c r="H21" s="33">
        <f>IFERROR(INDEX('Curve_Interface'!$L$8:$L$40,MATCH((B21+C21)/2,'Curve_Interface'!$K$8:$K$40,1))*(INDEX('Curve_Interface'!$L$8:$L$40,MATCH((B21+C21)/2,'Curve_Interface'!$K$8:$K$40,1)+1)/INDEX('Curve_Interface'!$L$8:$L$40,MATCH((B21+C21)/2,'Curve_Interface'!$K$8:$K$40,1)))^(((B21+C21)/2-INDEX('Curve_Interface'!$K$8:$K$40,MATCH((B21+C21)/2,'Curve_Interface'!$K$8:$K$40,1)))/(INDEX('Curve_Interface'!$K$8:$K$40,MATCH((B21+C21)/2,'Curve_Interface'!$K$8:$K$40,1)+1)-INDEX('Curve_Interface'!$K$8:$K$40,MATCH((B21+C21)/2,'Curve_Interface'!$K$8:$K$40,1)))),INDEX('Curve_Interface'!$L$8:$L$40,MATCH((B21+C21)/2,'Curve_Interface'!$K$8:$K$40,1)))</f>
        <v/>
      </c>
      <c r="I21" s="49">
        <f>INDEX(Hazard_Bootstrap!$D$7:$D$12,MIN(COUNTIF(Hazard_Bootstrap!$B$7:$B$12,"&lt;"&amp;C21)+1,6))</f>
        <v/>
      </c>
      <c r="J21" s="32">
        <f>K20</f>
        <v/>
      </c>
      <c r="K21" s="32">
        <f>J21*EXP(-I21*E21)</f>
        <v/>
      </c>
      <c r="L21" s="32">
        <f>J21-K21</f>
        <v/>
      </c>
      <c r="M21" s="32">
        <f>D21*G21*K21</f>
        <v/>
      </c>
      <c r="N21" s="32">
        <f>(D21/2)*H21*L21</f>
        <v/>
      </c>
      <c r="O21" s="32">
        <f>H21*L21</f>
        <v/>
      </c>
    </row>
    <row r="22">
      <c r="A22" s="35" t="n">
        <v>16</v>
      </c>
      <c r="B22" s="18">
        <f>C21</f>
        <v/>
      </c>
      <c r="C22" s="18">
        <f>EDATE('Curve_Interface'!$F$7,3*15)</f>
        <v/>
      </c>
      <c r="D22" s="17">
        <f>(C22-B22)/360</f>
        <v/>
      </c>
      <c r="E22" s="17">
        <f>(C22-B22)/365</f>
        <v/>
      </c>
      <c r="F22" s="28">
        <f>(C22-VAL_DATE)/365</f>
        <v/>
      </c>
      <c r="G22" s="33">
        <f>IFERROR(INDEX('Curve_Interface'!$L$8:$L$40,MATCH(C22,'Curve_Interface'!$K$8:$K$40,1))*(INDEX('Curve_Interface'!$L$8:$L$40,MATCH(C22,'Curve_Interface'!$K$8:$K$40,1)+1)/INDEX('Curve_Interface'!$L$8:$L$40,MATCH(C22,'Curve_Interface'!$K$8:$K$40,1)))^((C22-INDEX('Curve_Interface'!$K$8:$K$40,MATCH(C22,'Curve_Interface'!$K$8:$K$40,1)))/(INDEX('Curve_Interface'!$K$8:$K$40,MATCH(C22,'Curve_Interface'!$K$8:$K$40,1)+1)-INDEX('Curve_Interface'!$K$8:$K$40,MATCH(C22,'Curve_Interface'!$K$8:$K$40,1)))),INDEX('Curve_Interface'!$L$8:$L$40,MATCH(C22,'Curve_Interface'!$K$8:$K$40,1)))</f>
        <v/>
      </c>
      <c r="H22" s="33">
        <f>IFERROR(INDEX('Curve_Interface'!$L$8:$L$40,MATCH((B22+C22)/2,'Curve_Interface'!$K$8:$K$40,1))*(INDEX('Curve_Interface'!$L$8:$L$40,MATCH((B22+C22)/2,'Curve_Interface'!$K$8:$K$40,1)+1)/INDEX('Curve_Interface'!$L$8:$L$40,MATCH((B22+C22)/2,'Curve_Interface'!$K$8:$K$40,1)))^(((B22+C22)/2-INDEX('Curve_Interface'!$K$8:$K$40,MATCH((B22+C22)/2,'Curve_Interface'!$K$8:$K$40,1)))/(INDEX('Curve_Interface'!$K$8:$K$40,MATCH((B22+C22)/2,'Curve_Interface'!$K$8:$K$40,1)+1)-INDEX('Curve_Interface'!$K$8:$K$40,MATCH((B22+C22)/2,'Curve_Interface'!$K$8:$K$40,1)))),INDEX('Curve_Interface'!$L$8:$L$40,MATCH((B22+C22)/2,'Curve_Interface'!$K$8:$K$40,1)))</f>
        <v/>
      </c>
      <c r="I22" s="49">
        <f>INDEX(Hazard_Bootstrap!$D$7:$D$12,MIN(COUNTIF(Hazard_Bootstrap!$B$7:$B$12,"&lt;"&amp;C22)+1,6))</f>
        <v/>
      </c>
      <c r="J22" s="32">
        <f>K21</f>
        <v/>
      </c>
      <c r="K22" s="32">
        <f>J22*EXP(-I22*E22)</f>
        <v/>
      </c>
      <c r="L22" s="32">
        <f>J22-K22</f>
        <v/>
      </c>
      <c r="M22" s="32">
        <f>D22*G22*K22</f>
        <v/>
      </c>
      <c r="N22" s="32">
        <f>(D22/2)*H22*L22</f>
        <v/>
      </c>
      <c r="O22" s="32">
        <f>H22*L22</f>
        <v/>
      </c>
    </row>
    <row r="23">
      <c r="A23" s="35" t="n">
        <v>17</v>
      </c>
      <c r="B23" s="18">
        <f>C22</f>
        <v/>
      </c>
      <c r="C23" s="18">
        <f>EDATE('Curve_Interface'!$F$7,3*16)</f>
        <v/>
      </c>
      <c r="D23" s="17">
        <f>(C23-B23)/360</f>
        <v/>
      </c>
      <c r="E23" s="17">
        <f>(C23-B23)/365</f>
        <v/>
      </c>
      <c r="F23" s="28">
        <f>(C23-VAL_DATE)/365</f>
        <v/>
      </c>
      <c r="G23" s="33">
        <f>IFERROR(INDEX('Curve_Interface'!$L$8:$L$40,MATCH(C23,'Curve_Interface'!$K$8:$K$40,1))*(INDEX('Curve_Interface'!$L$8:$L$40,MATCH(C23,'Curve_Interface'!$K$8:$K$40,1)+1)/INDEX('Curve_Interface'!$L$8:$L$40,MATCH(C23,'Curve_Interface'!$K$8:$K$40,1)))^((C23-INDEX('Curve_Interface'!$K$8:$K$40,MATCH(C23,'Curve_Interface'!$K$8:$K$40,1)))/(INDEX('Curve_Interface'!$K$8:$K$40,MATCH(C23,'Curve_Interface'!$K$8:$K$40,1)+1)-INDEX('Curve_Interface'!$K$8:$K$40,MATCH(C23,'Curve_Interface'!$K$8:$K$40,1)))),INDEX('Curve_Interface'!$L$8:$L$40,MATCH(C23,'Curve_Interface'!$K$8:$K$40,1)))</f>
        <v/>
      </c>
      <c r="H23" s="33">
        <f>IFERROR(INDEX('Curve_Interface'!$L$8:$L$40,MATCH((B23+C23)/2,'Curve_Interface'!$K$8:$K$40,1))*(INDEX('Curve_Interface'!$L$8:$L$40,MATCH((B23+C23)/2,'Curve_Interface'!$K$8:$K$40,1)+1)/INDEX('Curve_Interface'!$L$8:$L$40,MATCH((B23+C23)/2,'Curve_Interface'!$K$8:$K$40,1)))^(((B23+C23)/2-INDEX('Curve_Interface'!$K$8:$K$40,MATCH((B23+C23)/2,'Curve_Interface'!$K$8:$K$40,1)))/(INDEX('Curve_Interface'!$K$8:$K$40,MATCH((B23+C23)/2,'Curve_Interface'!$K$8:$K$40,1)+1)-INDEX('Curve_Interface'!$K$8:$K$40,MATCH((B23+C23)/2,'Curve_Interface'!$K$8:$K$40,1)))),INDEX('Curve_Interface'!$L$8:$L$40,MATCH((B23+C23)/2,'Curve_Interface'!$K$8:$K$40,1)))</f>
        <v/>
      </c>
      <c r="I23" s="49">
        <f>INDEX(Hazard_Bootstrap!$D$7:$D$12,MIN(COUNTIF(Hazard_Bootstrap!$B$7:$B$12,"&lt;"&amp;C23)+1,6))</f>
        <v/>
      </c>
      <c r="J23" s="32">
        <f>K22</f>
        <v/>
      </c>
      <c r="K23" s="32">
        <f>J23*EXP(-I23*E23)</f>
        <v/>
      </c>
      <c r="L23" s="32">
        <f>J23-K23</f>
        <v/>
      </c>
      <c r="M23" s="32">
        <f>D23*G23*K23</f>
        <v/>
      </c>
      <c r="N23" s="32">
        <f>(D23/2)*H23*L23</f>
        <v/>
      </c>
      <c r="O23" s="32">
        <f>H23*L23</f>
        <v/>
      </c>
    </row>
    <row r="24">
      <c r="A24" s="35" t="n">
        <v>18</v>
      </c>
      <c r="B24" s="18">
        <f>C23</f>
        <v/>
      </c>
      <c r="C24" s="18">
        <f>EDATE('Curve_Interface'!$F$7,3*17)</f>
        <v/>
      </c>
      <c r="D24" s="17">
        <f>(C24-B24)/360</f>
        <v/>
      </c>
      <c r="E24" s="17">
        <f>(C24-B24)/365</f>
        <v/>
      </c>
      <c r="F24" s="28">
        <f>(C24-VAL_DATE)/365</f>
        <v/>
      </c>
      <c r="G24" s="33">
        <f>IFERROR(INDEX('Curve_Interface'!$L$8:$L$40,MATCH(C24,'Curve_Interface'!$K$8:$K$40,1))*(INDEX('Curve_Interface'!$L$8:$L$40,MATCH(C24,'Curve_Interface'!$K$8:$K$40,1)+1)/INDEX('Curve_Interface'!$L$8:$L$40,MATCH(C24,'Curve_Interface'!$K$8:$K$40,1)))^((C24-INDEX('Curve_Interface'!$K$8:$K$40,MATCH(C24,'Curve_Interface'!$K$8:$K$40,1)))/(INDEX('Curve_Interface'!$K$8:$K$40,MATCH(C24,'Curve_Interface'!$K$8:$K$40,1)+1)-INDEX('Curve_Interface'!$K$8:$K$40,MATCH(C24,'Curve_Interface'!$K$8:$K$40,1)))),INDEX('Curve_Interface'!$L$8:$L$40,MATCH(C24,'Curve_Interface'!$K$8:$K$40,1)))</f>
        <v/>
      </c>
      <c r="H24" s="33">
        <f>IFERROR(INDEX('Curve_Interface'!$L$8:$L$40,MATCH((B24+C24)/2,'Curve_Interface'!$K$8:$K$40,1))*(INDEX('Curve_Interface'!$L$8:$L$40,MATCH((B24+C24)/2,'Curve_Interface'!$K$8:$K$40,1)+1)/INDEX('Curve_Interface'!$L$8:$L$40,MATCH((B24+C24)/2,'Curve_Interface'!$K$8:$K$40,1)))^(((B24+C24)/2-INDEX('Curve_Interface'!$K$8:$K$40,MATCH((B24+C24)/2,'Curve_Interface'!$K$8:$K$40,1)))/(INDEX('Curve_Interface'!$K$8:$K$40,MATCH((B24+C24)/2,'Curve_Interface'!$K$8:$K$40,1)+1)-INDEX('Curve_Interface'!$K$8:$K$40,MATCH((B24+C24)/2,'Curve_Interface'!$K$8:$K$40,1)))),INDEX('Curve_Interface'!$L$8:$L$40,MATCH((B24+C24)/2,'Curve_Interface'!$K$8:$K$40,1)))</f>
        <v/>
      </c>
      <c r="I24" s="49">
        <f>INDEX(Hazard_Bootstrap!$D$7:$D$12,MIN(COUNTIF(Hazard_Bootstrap!$B$7:$B$12,"&lt;"&amp;C24)+1,6))</f>
        <v/>
      </c>
      <c r="J24" s="32">
        <f>K23</f>
        <v/>
      </c>
      <c r="K24" s="32">
        <f>J24*EXP(-I24*E24)</f>
        <v/>
      </c>
      <c r="L24" s="32">
        <f>J24-K24</f>
        <v/>
      </c>
      <c r="M24" s="32">
        <f>D24*G24*K24</f>
        <v/>
      </c>
      <c r="N24" s="32">
        <f>(D24/2)*H24*L24</f>
        <v/>
      </c>
      <c r="O24" s="32">
        <f>H24*L24</f>
        <v/>
      </c>
    </row>
    <row r="25">
      <c r="A25" s="35" t="n">
        <v>19</v>
      </c>
      <c r="B25" s="18">
        <f>C24</f>
        <v/>
      </c>
      <c r="C25" s="18">
        <f>EDATE('Curve_Interface'!$F$7,3*18)</f>
        <v/>
      </c>
      <c r="D25" s="17">
        <f>(C25-B25)/360</f>
        <v/>
      </c>
      <c r="E25" s="17">
        <f>(C25-B25)/365</f>
        <v/>
      </c>
      <c r="F25" s="28">
        <f>(C25-VAL_DATE)/365</f>
        <v/>
      </c>
      <c r="G25" s="33">
        <f>IFERROR(INDEX('Curve_Interface'!$L$8:$L$40,MATCH(C25,'Curve_Interface'!$K$8:$K$40,1))*(INDEX('Curve_Interface'!$L$8:$L$40,MATCH(C25,'Curve_Interface'!$K$8:$K$40,1)+1)/INDEX('Curve_Interface'!$L$8:$L$40,MATCH(C25,'Curve_Interface'!$K$8:$K$40,1)))^((C25-INDEX('Curve_Interface'!$K$8:$K$40,MATCH(C25,'Curve_Interface'!$K$8:$K$40,1)))/(INDEX('Curve_Interface'!$K$8:$K$40,MATCH(C25,'Curve_Interface'!$K$8:$K$40,1)+1)-INDEX('Curve_Interface'!$K$8:$K$40,MATCH(C25,'Curve_Interface'!$K$8:$K$40,1)))),INDEX('Curve_Interface'!$L$8:$L$40,MATCH(C25,'Curve_Interface'!$K$8:$K$40,1)))</f>
        <v/>
      </c>
      <c r="H25" s="33">
        <f>IFERROR(INDEX('Curve_Interface'!$L$8:$L$40,MATCH((B25+C25)/2,'Curve_Interface'!$K$8:$K$40,1))*(INDEX('Curve_Interface'!$L$8:$L$40,MATCH((B25+C25)/2,'Curve_Interface'!$K$8:$K$40,1)+1)/INDEX('Curve_Interface'!$L$8:$L$40,MATCH((B25+C25)/2,'Curve_Interface'!$K$8:$K$40,1)))^(((B25+C25)/2-INDEX('Curve_Interface'!$K$8:$K$40,MATCH((B25+C25)/2,'Curve_Interface'!$K$8:$K$40,1)))/(INDEX('Curve_Interface'!$K$8:$K$40,MATCH((B25+C25)/2,'Curve_Interface'!$K$8:$K$40,1)+1)-INDEX('Curve_Interface'!$K$8:$K$40,MATCH((B25+C25)/2,'Curve_Interface'!$K$8:$K$40,1)))),INDEX('Curve_Interface'!$L$8:$L$40,MATCH((B25+C25)/2,'Curve_Interface'!$K$8:$K$40,1)))</f>
        <v/>
      </c>
      <c r="I25" s="49">
        <f>INDEX(Hazard_Bootstrap!$D$7:$D$12,MIN(COUNTIF(Hazard_Bootstrap!$B$7:$B$12,"&lt;"&amp;C25)+1,6))</f>
        <v/>
      </c>
      <c r="J25" s="32">
        <f>K24</f>
        <v/>
      </c>
      <c r="K25" s="32">
        <f>J25*EXP(-I25*E25)</f>
        <v/>
      </c>
      <c r="L25" s="32">
        <f>J25-K25</f>
        <v/>
      </c>
      <c r="M25" s="32">
        <f>D25*G25*K25</f>
        <v/>
      </c>
      <c r="N25" s="32">
        <f>(D25/2)*H25*L25</f>
        <v/>
      </c>
      <c r="O25" s="32">
        <f>H25*L25</f>
        <v/>
      </c>
    </row>
    <row r="26">
      <c r="A26" s="35" t="n">
        <v>20</v>
      </c>
      <c r="B26" s="18">
        <f>C25</f>
        <v/>
      </c>
      <c r="C26" s="18">
        <f>EDATE('Curve_Interface'!$F$7,3*19)</f>
        <v/>
      </c>
      <c r="D26" s="17">
        <f>(C26-B26)/360</f>
        <v/>
      </c>
      <c r="E26" s="17">
        <f>(C26-B26)/365</f>
        <v/>
      </c>
      <c r="F26" s="28">
        <f>(C26-VAL_DATE)/365</f>
        <v/>
      </c>
      <c r="G26" s="33">
        <f>IFERROR(INDEX('Curve_Interface'!$L$8:$L$40,MATCH(C26,'Curve_Interface'!$K$8:$K$40,1))*(INDEX('Curve_Interface'!$L$8:$L$40,MATCH(C26,'Curve_Interface'!$K$8:$K$40,1)+1)/INDEX('Curve_Interface'!$L$8:$L$40,MATCH(C26,'Curve_Interface'!$K$8:$K$40,1)))^((C26-INDEX('Curve_Interface'!$K$8:$K$40,MATCH(C26,'Curve_Interface'!$K$8:$K$40,1)))/(INDEX('Curve_Interface'!$K$8:$K$40,MATCH(C26,'Curve_Interface'!$K$8:$K$40,1)+1)-INDEX('Curve_Interface'!$K$8:$K$40,MATCH(C26,'Curve_Interface'!$K$8:$K$40,1)))),INDEX('Curve_Interface'!$L$8:$L$40,MATCH(C26,'Curve_Interface'!$K$8:$K$40,1)))</f>
        <v/>
      </c>
      <c r="H26" s="33">
        <f>IFERROR(INDEX('Curve_Interface'!$L$8:$L$40,MATCH((B26+C26)/2,'Curve_Interface'!$K$8:$K$40,1))*(INDEX('Curve_Interface'!$L$8:$L$40,MATCH((B26+C26)/2,'Curve_Interface'!$K$8:$K$40,1)+1)/INDEX('Curve_Interface'!$L$8:$L$40,MATCH((B26+C26)/2,'Curve_Interface'!$K$8:$K$40,1)))^(((B26+C26)/2-INDEX('Curve_Interface'!$K$8:$K$40,MATCH((B26+C26)/2,'Curve_Interface'!$K$8:$K$40,1)))/(INDEX('Curve_Interface'!$K$8:$K$40,MATCH((B26+C26)/2,'Curve_Interface'!$K$8:$K$40,1)+1)-INDEX('Curve_Interface'!$K$8:$K$40,MATCH((B26+C26)/2,'Curve_Interface'!$K$8:$K$40,1)))),INDEX('Curve_Interface'!$L$8:$L$40,MATCH((B26+C26)/2,'Curve_Interface'!$K$8:$K$40,1)))</f>
        <v/>
      </c>
      <c r="I26" s="49">
        <f>INDEX(Hazard_Bootstrap!$D$7:$D$12,MIN(COUNTIF(Hazard_Bootstrap!$B$7:$B$12,"&lt;"&amp;C26)+1,6))</f>
        <v/>
      </c>
      <c r="J26" s="32">
        <f>K25</f>
        <v/>
      </c>
      <c r="K26" s="32">
        <f>J26*EXP(-I26*E26)</f>
        <v/>
      </c>
      <c r="L26" s="32">
        <f>J26-K26</f>
        <v/>
      </c>
      <c r="M26" s="32">
        <f>D26*G26*K26</f>
        <v/>
      </c>
      <c r="N26" s="32">
        <f>(D26/2)*H26*L26</f>
        <v/>
      </c>
      <c r="O26" s="32">
        <f>H26*L26</f>
        <v/>
      </c>
    </row>
    <row r="27">
      <c r="A27" s="35" t="n">
        <v>21</v>
      </c>
      <c r="B27" s="18">
        <f>C26</f>
        <v/>
      </c>
      <c r="C27" s="18">
        <f>EDATE('Curve_Interface'!$F$7,3*20)</f>
        <v/>
      </c>
      <c r="D27" s="17">
        <f>(C27-B27)/360</f>
        <v/>
      </c>
      <c r="E27" s="17">
        <f>(C27-B27)/365</f>
        <v/>
      </c>
      <c r="F27" s="28">
        <f>(C27-VAL_DATE)/365</f>
        <v/>
      </c>
      <c r="G27" s="33">
        <f>IFERROR(INDEX('Curve_Interface'!$L$8:$L$40,MATCH(C27,'Curve_Interface'!$K$8:$K$40,1))*(INDEX('Curve_Interface'!$L$8:$L$40,MATCH(C27,'Curve_Interface'!$K$8:$K$40,1)+1)/INDEX('Curve_Interface'!$L$8:$L$40,MATCH(C27,'Curve_Interface'!$K$8:$K$40,1)))^((C27-INDEX('Curve_Interface'!$K$8:$K$40,MATCH(C27,'Curve_Interface'!$K$8:$K$40,1)))/(INDEX('Curve_Interface'!$K$8:$K$40,MATCH(C27,'Curve_Interface'!$K$8:$K$40,1)+1)-INDEX('Curve_Interface'!$K$8:$K$40,MATCH(C27,'Curve_Interface'!$K$8:$K$40,1)))),INDEX('Curve_Interface'!$L$8:$L$40,MATCH(C27,'Curve_Interface'!$K$8:$K$40,1)))</f>
        <v/>
      </c>
      <c r="H27" s="33">
        <f>IFERROR(INDEX('Curve_Interface'!$L$8:$L$40,MATCH((B27+C27)/2,'Curve_Interface'!$K$8:$K$40,1))*(INDEX('Curve_Interface'!$L$8:$L$40,MATCH((B27+C27)/2,'Curve_Interface'!$K$8:$K$40,1)+1)/INDEX('Curve_Interface'!$L$8:$L$40,MATCH((B27+C27)/2,'Curve_Interface'!$K$8:$K$40,1)))^(((B27+C27)/2-INDEX('Curve_Interface'!$K$8:$K$40,MATCH((B27+C27)/2,'Curve_Interface'!$K$8:$K$40,1)))/(INDEX('Curve_Interface'!$K$8:$K$40,MATCH((B27+C27)/2,'Curve_Interface'!$K$8:$K$40,1)+1)-INDEX('Curve_Interface'!$K$8:$K$40,MATCH((B27+C27)/2,'Curve_Interface'!$K$8:$K$40,1)))),INDEX('Curve_Interface'!$L$8:$L$40,MATCH((B27+C27)/2,'Curve_Interface'!$K$8:$K$40,1)))</f>
        <v/>
      </c>
      <c r="I27" s="49">
        <f>INDEX(Hazard_Bootstrap!$D$7:$D$12,MIN(COUNTIF(Hazard_Bootstrap!$B$7:$B$12,"&lt;"&amp;C27)+1,6))</f>
        <v/>
      </c>
      <c r="J27" s="32">
        <f>K26</f>
        <v/>
      </c>
      <c r="K27" s="32">
        <f>J27*EXP(-I27*E27)</f>
        <v/>
      </c>
      <c r="L27" s="32">
        <f>J27-K27</f>
        <v/>
      </c>
      <c r="M27" s="32">
        <f>D27*G27*K27</f>
        <v/>
      </c>
      <c r="N27" s="32">
        <f>(D27/2)*H27*L27</f>
        <v/>
      </c>
      <c r="O27" s="32">
        <f>H27*L27</f>
        <v/>
      </c>
    </row>
    <row r="28">
      <c r="A28" s="35" t="n">
        <v>22</v>
      </c>
      <c r="B28" s="18">
        <f>C27</f>
        <v/>
      </c>
      <c r="C28" s="18">
        <f>EDATE('Curve_Interface'!$F$7,3*21)</f>
        <v/>
      </c>
      <c r="D28" s="17">
        <f>(C28-B28)/360</f>
        <v/>
      </c>
      <c r="E28" s="17">
        <f>(C28-B28)/365</f>
        <v/>
      </c>
      <c r="F28" s="28">
        <f>(C28-VAL_DATE)/365</f>
        <v/>
      </c>
      <c r="G28" s="33">
        <f>IFERROR(INDEX('Curve_Interface'!$L$8:$L$40,MATCH(C28,'Curve_Interface'!$K$8:$K$40,1))*(INDEX('Curve_Interface'!$L$8:$L$40,MATCH(C28,'Curve_Interface'!$K$8:$K$40,1)+1)/INDEX('Curve_Interface'!$L$8:$L$40,MATCH(C28,'Curve_Interface'!$K$8:$K$40,1)))^((C28-INDEX('Curve_Interface'!$K$8:$K$40,MATCH(C28,'Curve_Interface'!$K$8:$K$40,1)))/(INDEX('Curve_Interface'!$K$8:$K$40,MATCH(C28,'Curve_Interface'!$K$8:$K$40,1)+1)-INDEX('Curve_Interface'!$K$8:$K$40,MATCH(C28,'Curve_Interface'!$K$8:$K$40,1)))),INDEX('Curve_Interface'!$L$8:$L$40,MATCH(C28,'Curve_Interface'!$K$8:$K$40,1)))</f>
        <v/>
      </c>
      <c r="H28" s="33">
        <f>IFERROR(INDEX('Curve_Interface'!$L$8:$L$40,MATCH((B28+C28)/2,'Curve_Interface'!$K$8:$K$40,1))*(INDEX('Curve_Interface'!$L$8:$L$40,MATCH((B28+C28)/2,'Curve_Interface'!$K$8:$K$40,1)+1)/INDEX('Curve_Interface'!$L$8:$L$40,MATCH((B28+C28)/2,'Curve_Interface'!$K$8:$K$40,1)))^(((B28+C28)/2-INDEX('Curve_Interface'!$K$8:$K$40,MATCH((B28+C28)/2,'Curve_Interface'!$K$8:$K$40,1)))/(INDEX('Curve_Interface'!$K$8:$K$40,MATCH((B28+C28)/2,'Curve_Interface'!$K$8:$K$40,1)+1)-INDEX('Curve_Interface'!$K$8:$K$40,MATCH((B28+C28)/2,'Curve_Interface'!$K$8:$K$40,1)))),INDEX('Curve_Interface'!$L$8:$L$40,MATCH((B28+C28)/2,'Curve_Interface'!$K$8:$K$40,1)))</f>
        <v/>
      </c>
      <c r="I28" s="49">
        <f>INDEX(Hazard_Bootstrap!$D$7:$D$12,MIN(COUNTIF(Hazard_Bootstrap!$B$7:$B$12,"&lt;"&amp;C28)+1,6))</f>
        <v/>
      </c>
      <c r="J28" s="32">
        <f>K27</f>
        <v/>
      </c>
      <c r="K28" s="32">
        <f>J28*EXP(-I28*E28)</f>
        <v/>
      </c>
      <c r="L28" s="32">
        <f>J28-K28</f>
        <v/>
      </c>
      <c r="M28" s="32">
        <f>D28*G28*K28</f>
        <v/>
      </c>
      <c r="N28" s="32">
        <f>(D28/2)*H28*L28</f>
        <v/>
      </c>
      <c r="O28" s="32">
        <f>H28*L28</f>
        <v/>
      </c>
    </row>
    <row r="29">
      <c r="A29" s="35" t="n">
        <v>23</v>
      </c>
      <c r="B29" s="18">
        <f>C28</f>
        <v/>
      </c>
      <c r="C29" s="18">
        <f>EDATE('Curve_Interface'!$F$7,3*22)</f>
        <v/>
      </c>
      <c r="D29" s="17">
        <f>(C29-B29)/360</f>
        <v/>
      </c>
      <c r="E29" s="17">
        <f>(C29-B29)/365</f>
        <v/>
      </c>
      <c r="F29" s="28">
        <f>(C29-VAL_DATE)/365</f>
        <v/>
      </c>
      <c r="G29" s="33">
        <f>IFERROR(INDEX('Curve_Interface'!$L$8:$L$40,MATCH(C29,'Curve_Interface'!$K$8:$K$40,1))*(INDEX('Curve_Interface'!$L$8:$L$40,MATCH(C29,'Curve_Interface'!$K$8:$K$40,1)+1)/INDEX('Curve_Interface'!$L$8:$L$40,MATCH(C29,'Curve_Interface'!$K$8:$K$40,1)))^((C29-INDEX('Curve_Interface'!$K$8:$K$40,MATCH(C29,'Curve_Interface'!$K$8:$K$40,1)))/(INDEX('Curve_Interface'!$K$8:$K$40,MATCH(C29,'Curve_Interface'!$K$8:$K$40,1)+1)-INDEX('Curve_Interface'!$K$8:$K$40,MATCH(C29,'Curve_Interface'!$K$8:$K$40,1)))),INDEX('Curve_Interface'!$L$8:$L$40,MATCH(C29,'Curve_Interface'!$K$8:$K$40,1)))</f>
        <v/>
      </c>
      <c r="H29" s="33">
        <f>IFERROR(INDEX('Curve_Interface'!$L$8:$L$40,MATCH((B29+C29)/2,'Curve_Interface'!$K$8:$K$40,1))*(INDEX('Curve_Interface'!$L$8:$L$40,MATCH((B29+C29)/2,'Curve_Interface'!$K$8:$K$40,1)+1)/INDEX('Curve_Interface'!$L$8:$L$40,MATCH((B29+C29)/2,'Curve_Interface'!$K$8:$K$40,1)))^(((B29+C29)/2-INDEX('Curve_Interface'!$K$8:$K$40,MATCH((B29+C29)/2,'Curve_Interface'!$K$8:$K$40,1)))/(INDEX('Curve_Interface'!$K$8:$K$40,MATCH((B29+C29)/2,'Curve_Interface'!$K$8:$K$40,1)+1)-INDEX('Curve_Interface'!$K$8:$K$40,MATCH((B29+C29)/2,'Curve_Interface'!$K$8:$K$40,1)))),INDEX('Curve_Interface'!$L$8:$L$40,MATCH((B29+C29)/2,'Curve_Interface'!$K$8:$K$40,1)))</f>
        <v/>
      </c>
      <c r="I29" s="49">
        <f>INDEX(Hazard_Bootstrap!$D$7:$D$12,MIN(COUNTIF(Hazard_Bootstrap!$B$7:$B$12,"&lt;"&amp;C29)+1,6))</f>
        <v/>
      </c>
      <c r="J29" s="32">
        <f>K28</f>
        <v/>
      </c>
      <c r="K29" s="32">
        <f>J29*EXP(-I29*E29)</f>
        <v/>
      </c>
      <c r="L29" s="32">
        <f>J29-K29</f>
        <v/>
      </c>
      <c r="M29" s="32">
        <f>D29*G29*K29</f>
        <v/>
      </c>
      <c r="N29" s="32">
        <f>(D29/2)*H29*L29</f>
        <v/>
      </c>
      <c r="O29" s="32">
        <f>H29*L29</f>
        <v/>
      </c>
    </row>
    <row r="30">
      <c r="A30" s="35" t="n">
        <v>24</v>
      </c>
      <c r="B30" s="18">
        <f>C29</f>
        <v/>
      </c>
      <c r="C30" s="18">
        <f>EDATE('Curve_Interface'!$F$7,3*23)</f>
        <v/>
      </c>
      <c r="D30" s="17">
        <f>(C30-B30)/360</f>
        <v/>
      </c>
      <c r="E30" s="17">
        <f>(C30-B30)/365</f>
        <v/>
      </c>
      <c r="F30" s="28">
        <f>(C30-VAL_DATE)/365</f>
        <v/>
      </c>
      <c r="G30" s="33">
        <f>IFERROR(INDEX('Curve_Interface'!$L$8:$L$40,MATCH(C30,'Curve_Interface'!$K$8:$K$40,1))*(INDEX('Curve_Interface'!$L$8:$L$40,MATCH(C30,'Curve_Interface'!$K$8:$K$40,1)+1)/INDEX('Curve_Interface'!$L$8:$L$40,MATCH(C30,'Curve_Interface'!$K$8:$K$40,1)))^((C30-INDEX('Curve_Interface'!$K$8:$K$40,MATCH(C30,'Curve_Interface'!$K$8:$K$40,1)))/(INDEX('Curve_Interface'!$K$8:$K$40,MATCH(C30,'Curve_Interface'!$K$8:$K$40,1)+1)-INDEX('Curve_Interface'!$K$8:$K$40,MATCH(C30,'Curve_Interface'!$K$8:$K$40,1)))),INDEX('Curve_Interface'!$L$8:$L$40,MATCH(C30,'Curve_Interface'!$K$8:$K$40,1)))</f>
        <v/>
      </c>
      <c r="H30" s="33">
        <f>IFERROR(INDEX('Curve_Interface'!$L$8:$L$40,MATCH((B30+C30)/2,'Curve_Interface'!$K$8:$K$40,1))*(INDEX('Curve_Interface'!$L$8:$L$40,MATCH((B30+C30)/2,'Curve_Interface'!$K$8:$K$40,1)+1)/INDEX('Curve_Interface'!$L$8:$L$40,MATCH((B30+C30)/2,'Curve_Interface'!$K$8:$K$40,1)))^(((B30+C30)/2-INDEX('Curve_Interface'!$K$8:$K$40,MATCH((B30+C30)/2,'Curve_Interface'!$K$8:$K$40,1)))/(INDEX('Curve_Interface'!$K$8:$K$40,MATCH((B30+C30)/2,'Curve_Interface'!$K$8:$K$40,1)+1)-INDEX('Curve_Interface'!$K$8:$K$40,MATCH((B30+C30)/2,'Curve_Interface'!$K$8:$K$40,1)))),INDEX('Curve_Interface'!$L$8:$L$40,MATCH((B30+C30)/2,'Curve_Interface'!$K$8:$K$40,1)))</f>
        <v/>
      </c>
      <c r="I30" s="49">
        <f>INDEX(Hazard_Bootstrap!$D$7:$D$12,MIN(COUNTIF(Hazard_Bootstrap!$B$7:$B$12,"&lt;"&amp;C30)+1,6))</f>
        <v/>
      </c>
      <c r="J30" s="32">
        <f>K29</f>
        <v/>
      </c>
      <c r="K30" s="32">
        <f>J30*EXP(-I30*E30)</f>
        <v/>
      </c>
      <c r="L30" s="32">
        <f>J30-K30</f>
        <v/>
      </c>
      <c r="M30" s="32">
        <f>D30*G30*K30</f>
        <v/>
      </c>
      <c r="N30" s="32">
        <f>(D30/2)*H30*L30</f>
        <v/>
      </c>
      <c r="O30" s="32">
        <f>H30*L30</f>
        <v/>
      </c>
    </row>
    <row r="31">
      <c r="A31" s="35" t="n">
        <v>25</v>
      </c>
      <c r="B31" s="18">
        <f>C30</f>
        <v/>
      </c>
      <c r="C31" s="18">
        <f>EDATE('Curve_Interface'!$F$7,3*24)</f>
        <v/>
      </c>
      <c r="D31" s="17">
        <f>(C31-B31)/360</f>
        <v/>
      </c>
      <c r="E31" s="17">
        <f>(C31-B31)/365</f>
        <v/>
      </c>
      <c r="F31" s="28">
        <f>(C31-VAL_DATE)/365</f>
        <v/>
      </c>
      <c r="G31" s="33">
        <f>IFERROR(INDEX('Curve_Interface'!$L$8:$L$40,MATCH(C31,'Curve_Interface'!$K$8:$K$40,1))*(INDEX('Curve_Interface'!$L$8:$L$40,MATCH(C31,'Curve_Interface'!$K$8:$K$40,1)+1)/INDEX('Curve_Interface'!$L$8:$L$40,MATCH(C31,'Curve_Interface'!$K$8:$K$40,1)))^((C31-INDEX('Curve_Interface'!$K$8:$K$40,MATCH(C31,'Curve_Interface'!$K$8:$K$40,1)))/(INDEX('Curve_Interface'!$K$8:$K$40,MATCH(C31,'Curve_Interface'!$K$8:$K$40,1)+1)-INDEX('Curve_Interface'!$K$8:$K$40,MATCH(C31,'Curve_Interface'!$K$8:$K$40,1)))),INDEX('Curve_Interface'!$L$8:$L$40,MATCH(C31,'Curve_Interface'!$K$8:$K$40,1)))</f>
        <v/>
      </c>
      <c r="H31" s="33">
        <f>IFERROR(INDEX('Curve_Interface'!$L$8:$L$40,MATCH((B31+C31)/2,'Curve_Interface'!$K$8:$K$40,1))*(INDEX('Curve_Interface'!$L$8:$L$40,MATCH((B31+C31)/2,'Curve_Interface'!$K$8:$K$40,1)+1)/INDEX('Curve_Interface'!$L$8:$L$40,MATCH((B31+C31)/2,'Curve_Interface'!$K$8:$K$40,1)))^(((B31+C31)/2-INDEX('Curve_Interface'!$K$8:$K$40,MATCH((B31+C31)/2,'Curve_Interface'!$K$8:$K$40,1)))/(INDEX('Curve_Interface'!$K$8:$K$40,MATCH((B31+C31)/2,'Curve_Interface'!$K$8:$K$40,1)+1)-INDEX('Curve_Interface'!$K$8:$K$40,MATCH((B31+C31)/2,'Curve_Interface'!$K$8:$K$40,1)))),INDEX('Curve_Interface'!$L$8:$L$40,MATCH((B31+C31)/2,'Curve_Interface'!$K$8:$K$40,1)))</f>
        <v/>
      </c>
      <c r="I31" s="49">
        <f>INDEX(Hazard_Bootstrap!$D$7:$D$12,MIN(COUNTIF(Hazard_Bootstrap!$B$7:$B$12,"&lt;"&amp;C31)+1,6))</f>
        <v/>
      </c>
      <c r="J31" s="32">
        <f>K30</f>
        <v/>
      </c>
      <c r="K31" s="32">
        <f>J31*EXP(-I31*E31)</f>
        <v/>
      </c>
      <c r="L31" s="32">
        <f>J31-K31</f>
        <v/>
      </c>
      <c r="M31" s="32">
        <f>D31*G31*K31</f>
        <v/>
      </c>
      <c r="N31" s="32">
        <f>(D31/2)*H31*L31</f>
        <v/>
      </c>
      <c r="O31" s="32">
        <f>H31*L31</f>
        <v/>
      </c>
    </row>
    <row r="32">
      <c r="A32" s="35" t="n">
        <v>26</v>
      </c>
      <c r="B32" s="18">
        <f>C31</f>
        <v/>
      </c>
      <c r="C32" s="18">
        <f>EDATE('Curve_Interface'!$F$7,3*25)</f>
        <v/>
      </c>
      <c r="D32" s="17">
        <f>(C32-B32)/360</f>
        <v/>
      </c>
      <c r="E32" s="17">
        <f>(C32-B32)/365</f>
        <v/>
      </c>
      <c r="F32" s="28">
        <f>(C32-VAL_DATE)/365</f>
        <v/>
      </c>
      <c r="G32" s="33">
        <f>IFERROR(INDEX('Curve_Interface'!$L$8:$L$40,MATCH(C32,'Curve_Interface'!$K$8:$K$40,1))*(INDEX('Curve_Interface'!$L$8:$L$40,MATCH(C32,'Curve_Interface'!$K$8:$K$40,1)+1)/INDEX('Curve_Interface'!$L$8:$L$40,MATCH(C32,'Curve_Interface'!$K$8:$K$40,1)))^((C32-INDEX('Curve_Interface'!$K$8:$K$40,MATCH(C32,'Curve_Interface'!$K$8:$K$40,1)))/(INDEX('Curve_Interface'!$K$8:$K$40,MATCH(C32,'Curve_Interface'!$K$8:$K$40,1)+1)-INDEX('Curve_Interface'!$K$8:$K$40,MATCH(C32,'Curve_Interface'!$K$8:$K$40,1)))),INDEX('Curve_Interface'!$L$8:$L$40,MATCH(C32,'Curve_Interface'!$K$8:$K$40,1)))</f>
        <v/>
      </c>
      <c r="H32" s="33">
        <f>IFERROR(INDEX('Curve_Interface'!$L$8:$L$40,MATCH((B32+C32)/2,'Curve_Interface'!$K$8:$K$40,1))*(INDEX('Curve_Interface'!$L$8:$L$40,MATCH((B32+C32)/2,'Curve_Interface'!$K$8:$K$40,1)+1)/INDEX('Curve_Interface'!$L$8:$L$40,MATCH((B32+C32)/2,'Curve_Interface'!$K$8:$K$40,1)))^(((B32+C32)/2-INDEX('Curve_Interface'!$K$8:$K$40,MATCH((B32+C32)/2,'Curve_Interface'!$K$8:$K$40,1)))/(INDEX('Curve_Interface'!$K$8:$K$40,MATCH((B32+C32)/2,'Curve_Interface'!$K$8:$K$40,1)+1)-INDEX('Curve_Interface'!$K$8:$K$40,MATCH((B32+C32)/2,'Curve_Interface'!$K$8:$K$40,1)))),INDEX('Curve_Interface'!$L$8:$L$40,MATCH((B32+C32)/2,'Curve_Interface'!$K$8:$K$40,1)))</f>
        <v/>
      </c>
      <c r="I32" s="49">
        <f>INDEX(Hazard_Bootstrap!$D$7:$D$12,MIN(COUNTIF(Hazard_Bootstrap!$B$7:$B$12,"&lt;"&amp;C32)+1,6))</f>
        <v/>
      </c>
      <c r="J32" s="32">
        <f>K31</f>
        <v/>
      </c>
      <c r="K32" s="32">
        <f>J32*EXP(-I32*E32)</f>
        <v/>
      </c>
      <c r="L32" s="32">
        <f>J32-K32</f>
        <v/>
      </c>
      <c r="M32" s="32">
        <f>D32*G32*K32</f>
        <v/>
      </c>
      <c r="N32" s="32">
        <f>(D32/2)*H32*L32</f>
        <v/>
      </c>
      <c r="O32" s="32">
        <f>H32*L32</f>
        <v/>
      </c>
    </row>
    <row r="33">
      <c r="A33" s="35" t="n">
        <v>27</v>
      </c>
      <c r="B33" s="18">
        <f>C32</f>
        <v/>
      </c>
      <c r="C33" s="18">
        <f>EDATE('Curve_Interface'!$F$7,3*26)</f>
        <v/>
      </c>
      <c r="D33" s="17">
        <f>(C33-B33)/360</f>
        <v/>
      </c>
      <c r="E33" s="17">
        <f>(C33-B33)/365</f>
        <v/>
      </c>
      <c r="F33" s="28">
        <f>(C33-VAL_DATE)/365</f>
        <v/>
      </c>
      <c r="G33" s="33">
        <f>IFERROR(INDEX('Curve_Interface'!$L$8:$L$40,MATCH(C33,'Curve_Interface'!$K$8:$K$40,1))*(INDEX('Curve_Interface'!$L$8:$L$40,MATCH(C33,'Curve_Interface'!$K$8:$K$40,1)+1)/INDEX('Curve_Interface'!$L$8:$L$40,MATCH(C33,'Curve_Interface'!$K$8:$K$40,1)))^((C33-INDEX('Curve_Interface'!$K$8:$K$40,MATCH(C33,'Curve_Interface'!$K$8:$K$40,1)))/(INDEX('Curve_Interface'!$K$8:$K$40,MATCH(C33,'Curve_Interface'!$K$8:$K$40,1)+1)-INDEX('Curve_Interface'!$K$8:$K$40,MATCH(C33,'Curve_Interface'!$K$8:$K$40,1)))),INDEX('Curve_Interface'!$L$8:$L$40,MATCH(C33,'Curve_Interface'!$K$8:$K$40,1)))</f>
        <v/>
      </c>
      <c r="H33" s="33">
        <f>IFERROR(INDEX('Curve_Interface'!$L$8:$L$40,MATCH((B33+C33)/2,'Curve_Interface'!$K$8:$K$40,1))*(INDEX('Curve_Interface'!$L$8:$L$40,MATCH((B33+C33)/2,'Curve_Interface'!$K$8:$K$40,1)+1)/INDEX('Curve_Interface'!$L$8:$L$40,MATCH((B33+C33)/2,'Curve_Interface'!$K$8:$K$40,1)))^(((B33+C33)/2-INDEX('Curve_Interface'!$K$8:$K$40,MATCH((B33+C33)/2,'Curve_Interface'!$K$8:$K$40,1)))/(INDEX('Curve_Interface'!$K$8:$K$40,MATCH((B33+C33)/2,'Curve_Interface'!$K$8:$K$40,1)+1)-INDEX('Curve_Interface'!$K$8:$K$40,MATCH((B33+C33)/2,'Curve_Interface'!$K$8:$K$40,1)))),INDEX('Curve_Interface'!$L$8:$L$40,MATCH((B33+C33)/2,'Curve_Interface'!$K$8:$K$40,1)))</f>
        <v/>
      </c>
      <c r="I33" s="49">
        <f>INDEX(Hazard_Bootstrap!$D$7:$D$12,MIN(COUNTIF(Hazard_Bootstrap!$B$7:$B$12,"&lt;"&amp;C33)+1,6))</f>
        <v/>
      </c>
      <c r="J33" s="32">
        <f>K32</f>
        <v/>
      </c>
      <c r="K33" s="32">
        <f>J33*EXP(-I33*E33)</f>
        <v/>
      </c>
      <c r="L33" s="32">
        <f>J33-K33</f>
        <v/>
      </c>
      <c r="M33" s="32">
        <f>D33*G33*K33</f>
        <v/>
      </c>
      <c r="N33" s="32">
        <f>(D33/2)*H33*L33</f>
        <v/>
      </c>
      <c r="O33" s="32">
        <f>H33*L33</f>
        <v/>
      </c>
    </row>
    <row r="34">
      <c r="A34" s="35" t="n">
        <v>28</v>
      </c>
      <c r="B34" s="18">
        <f>C33</f>
        <v/>
      </c>
      <c r="C34" s="18">
        <f>EDATE('Curve_Interface'!$F$7,3*27)</f>
        <v/>
      </c>
      <c r="D34" s="17">
        <f>(C34-B34)/360</f>
        <v/>
      </c>
      <c r="E34" s="17">
        <f>(C34-B34)/365</f>
        <v/>
      </c>
      <c r="F34" s="28">
        <f>(C34-VAL_DATE)/365</f>
        <v/>
      </c>
      <c r="G34" s="33">
        <f>IFERROR(INDEX('Curve_Interface'!$L$8:$L$40,MATCH(C34,'Curve_Interface'!$K$8:$K$40,1))*(INDEX('Curve_Interface'!$L$8:$L$40,MATCH(C34,'Curve_Interface'!$K$8:$K$40,1)+1)/INDEX('Curve_Interface'!$L$8:$L$40,MATCH(C34,'Curve_Interface'!$K$8:$K$40,1)))^((C34-INDEX('Curve_Interface'!$K$8:$K$40,MATCH(C34,'Curve_Interface'!$K$8:$K$40,1)))/(INDEX('Curve_Interface'!$K$8:$K$40,MATCH(C34,'Curve_Interface'!$K$8:$K$40,1)+1)-INDEX('Curve_Interface'!$K$8:$K$40,MATCH(C34,'Curve_Interface'!$K$8:$K$40,1)))),INDEX('Curve_Interface'!$L$8:$L$40,MATCH(C34,'Curve_Interface'!$K$8:$K$40,1)))</f>
        <v/>
      </c>
      <c r="H34" s="33">
        <f>IFERROR(INDEX('Curve_Interface'!$L$8:$L$40,MATCH((B34+C34)/2,'Curve_Interface'!$K$8:$K$40,1))*(INDEX('Curve_Interface'!$L$8:$L$40,MATCH((B34+C34)/2,'Curve_Interface'!$K$8:$K$40,1)+1)/INDEX('Curve_Interface'!$L$8:$L$40,MATCH((B34+C34)/2,'Curve_Interface'!$K$8:$K$40,1)))^(((B34+C34)/2-INDEX('Curve_Interface'!$K$8:$K$40,MATCH((B34+C34)/2,'Curve_Interface'!$K$8:$K$40,1)))/(INDEX('Curve_Interface'!$K$8:$K$40,MATCH((B34+C34)/2,'Curve_Interface'!$K$8:$K$40,1)+1)-INDEX('Curve_Interface'!$K$8:$K$40,MATCH((B34+C34)/2,'Curve_Interface'!$K$8:$K$40,1)))),INDEX('Curve_Interface'!$L$8:$L$40,MATCH((B34+C34)/2,'Curve_Interface'!$K$8:$K$40,1)))</f>
        <v/>
      </c>
      <c r="I34" s="49">
        <f>INDEX(Hazard_Bootstrap!$D$7:$D$12,MIN(COUNTIF(Hazard_Bootstrap!$B$7:$B$12,"&lt;"&amp;C34)+1,6))</f>
        <v/>
      </c>
      <c r="J34" s="32">
        <f>K33</f>
        <v/>
      </c>
      <c r="K34" s="32">
        <f>J34*EXP(-I34*E34)</f>
        <v/>
      </c>
      <c r="L34" s="32">
        <f>J34-K34</f>
        <v/>
      </c>
      <c r="M34" s="32">
        <f>D34*G34*K34</f>
        <v/>
      </c>
      <c r="N34" s="32">
        <f>(D34/2)*H34*L34</f>
        <v/>
      </c>
      <c r="O34" s="32">
        <f>H34*L34</f>
        <v/>
      </c>
    </row>
    <row r="35">
      <c r="A35" s="35" t="n">
        <v>29</v>
      </c>
      <c r="B35" s="18">
        <f>C34</f>
        <v/>
      </c>
      <c r="C35" s="18">
        <f>EDATE('Curve_Interface'!$F$7,3*28)</f>
        <v/>
      </c>
      <c r="D35" s="17">
        <f>(C35-B35)/360</f>
        <v/>
      </c>
      <c r="E35" s="17">
        <f>(C35-B35)/365</f>
        <v/>
      </c>
      <c r="F35" s="28">
        <f>(C35-VAL_DATE)/365</f>
        <v/>
      </c>
      <c r="G35" s="33">
        <f>IFERROR(INDEX('Curve_Interface'!$L$8:$L$40,MATCH(C35,'Curve_Interface'!$K$8:$K$40,1))*(INDEX('Curve_Interface'!$L$8:$L$40,MATCH(C35,'Curve_Interface'!$K$8:$K$40,1)+1)/INDEX('Curve_Interface'!$L$8:$L$40,MATCH(C35,'Curve_Interface'!$K$8:$K$40,1)))^((C35-INDEX('Curve_Interface'!$K$8:$K$40,MATCH(C35,'Curve_Interface'!$K$8:$K$40,1)))/(INDEX('Curve_Interface'!$K$8:$K$40,MATCH(C35,'Curve_Interface'!$K$8:$K$40,1)+1)-INDEX('Curve_Interface'!$K$8:$K$40,MATCH(C35,'Curve_Interface'!$K$8:$K$40,1)))),INDEX('Curve_Interface'!$L$8:$L$40,MATCH(C35,'Curve_Interface'!$K$8:$K$40,1)))</f>
        <v/>
      </c>
      <c r="H35" s="33">
        <f>IFERROR(INDEX('Curve_Interface'!$L$8:$L$40,MATCH((B35+C35)/2,'Curve_Interface'!$K$8:$K$40,1))*(INDEX('Curve_Interface'!$L$8:$L$40,MATCH((B35+C35)/2,'Curve_Interface'!$K$8:$K$40,1)+1)/INDEX('Curve_Interface'!$L$8:$L$40,MATCH((B35+C35)/2,'Curve_Interface'!$K$8:$K$40,1)))^(((B35+C35)/2-INDEX('Curve_Interface'!$K$8:$K$40,MATCH((B35+C35)/2,'Curve_Interface'!$K$8:$K$40,1)))/(INDEX('Curve_Interface'!$K$8:$K$40,MATCH((B35+C35)/2,'Curve_Interface'!$K$8:$K$40,1)+1)-INDEX('Curve_Interface'!$K$8:$K$40,MATCH((B35+C35)/2,'Curve_Interface'!$K$8:$K$40,1)))),INDEX('Curve_Interface'!$L$8:$L$40,MATCH((B35+C35)/2,'Curve_Interface'!$K$8:$K$40,1)))</f>
        <v/>
      </c>
      <c r="I35" s="49">
        <f>INDEX(Hazard_Bootstrap!$D$7:$D$12,MIN(COUNTIF(Hazard_Bootstrap!$B$7:$B$12,"&lt;"&amp;C35)+1,6))</f>
        <v/>
      </c>
      <c r="J35" s="32">
        <f>K34</f>
        <v/>
      </c>
      <c r="K35" s="32">
        <f>J35*EXP(-I35*E35)</f>
        <v/>
      </c>
      <c r="L35" s="32">
        <f>J35-K35</f>
        <v/>
      </c>
      <c r="M35" s="32">
        <f>D35*G35*K35</f>
        <v/>
      </c>
      <c r="N35" s="32">
        <f>(D35/2)*H35*L35</f>
        <v/>
      </c>
      <c r="O35" s="32">
        <f>H35*L35</f>
        <v/>
      </c>
    </row>
    <row r="36">
      <c r="A36" s="35" t="n">
        <v>30</v>
      </c>
      <c r="B36" s="18">
        <f>C35</f>
        <v/>
      </c>
      <c r="C36" s="18">
        <f>EDATE('Curve_Interface'!$F$7,3*29)</f>
        <v/>
      </c>
      <c r="D36" s="17">
        <f>(C36-B36)/360</f>
        <v/>
      </c>
      <c r="E36" s="17">
        <f>(C36-B36)/365</f>
        <v/>
      </c>
      <c r="F36" s="28">
        <f>(C36-VAL_DATE)/365</f>
        <v/>
      </c>
      <c r="G36" s="33">
        <f>IFERROR(INDEX('Curve_Interface'!$L$8:$L$40,MATCH(C36,'Curve_Interface'!$K$8:$K$40,1))*(INDEX('Curve_Interface'!$L$8:$L$40,MATCH(C36,'Curve_Interface'!$K$8:$K$40,1)+1)/INDEX('Curve_Interface'!$L$8:$L$40,MATCH(C36,'Curve_Interface'!$K$8:$K$40,1)))^((C36-INDEX('Curve_Interface'!$K$8:$K$40,MATCH(C36,'Curve_Interface'!$K$8:$K$40,1)))/(INDEX('Curve_Interface'!$K$8:$K$40,MATCH(C36,'Curve_Interface'!$K$8:$K$40,1)+1)-INDEX('Curve_Interface'!$K$8:$K$40,MATCH(C36,'Curve_Interface'!$K$8:$K$40,1)))),INDEX('Curve_Interface'!$L$8:$L$40,MATCH(C36,'Curve_Interface'!$K$8:$K$40,1)))</f>
        <v/>
      </c>
      <c r="H36" s="33">
        <f>IFERROR(INDEX('Curve_Interface'!$L$8:$L$40,MATCH((B36+C36)/2,'Curve_Interface'!$K$8:$K$40,1))*(INDEX('Curve_Interface'!$L$8:$L$40,MATCH((B36+C36)/2,'Curve_Interface'!$K$8:$K$40,1)+1)/INDEX('Curve_Interface'!$L$8:$L$40,MATCH((B36+C36)/2,'Curve_Interface'!$K$8:$K$40,1)))^(((B36+C36)/2-INDEX('Curve_Interface'!$K$8:$K$40,MATCH((B36+C36)/2,'Curve_Interface'!$K$8:$K$40,1)))/(INDEX('Curve_Interface'!$K$8:$K$40,MATCH((B36+C36)/2,'Curve_Interface'!$K$8:$K$40,1)+1)-INDEX('Curve_Interface'!$K$8:$K$40,MATCH((B36+C36)/2,'Curve_Interface'!$K$8:$K$40,1)))),INDEX('Curve_Interface'!$L$8:$L$40,MATCH((B36+C36)/2,'Curve_Interface'!$K$8:$K$40,1)))</f>
        <v/>
      </c>
      <c r="I36" s="49">
        <f>INDEX(Hazard_Bootstrap!$D$7:$D$12,MIN(COUNTIF(Hazard_Bootstrap!$B$7:$B$12,"&lt;"&amp;C36)+1,6))</f>
        <v/>
      </c>
      <c r="J36" s="32">
        <f>K35</f>
        <v/>
      </c>
      <c r="K36" s="32">
        <f>J36*EXP(-I36*E36)</f>
        <v/>
      </c>
      <c r="L36" s="32">
        <f>J36-K36</f>
        <v/>
      </c>
      <c r="M36" s="32">
        <f>D36*G36*K36</f>
        <v/>
      </c>
      <c r="N36" s="32">
        <f>(D36/2)*H36*L36</f>
        <v/>
      </c>
      <c r="O36" s="32">
        <f>H36*L36</f>
        <v/>
      </c>
    </row>
    <row r="37">
      <c r="A37" s="35" t="n">
        <v>31</v>
      </c>
      <c r="B37" s="18">
        <f>C36</f>
        <v/>
      </c>
      <c r="C37" s="18">
        <f>EDATE('Curve_Interface'!$F$7,3*30)</f>
        <v/>
      </c>
      <c r="D37" s="17">
        <f>(C37-B37)/360</f>
        <v/>
      </c>
      <c r="E37" s="17">
        <f>(C37-B37)/365</f>
        <v/>
      </c>
      <c r="F37" s="28">
        <f>(C37-VAL_DATE)/365</f>
        <v/>
      </c>
      <c r="G37" s="33">
        <f>IFERROR(INDEX('Curve_Interface'!$L$8:$L$40,MATCH(C37,'Curve_Interface'!$K$8:$K$40,1))*(INDEX('Curve_Interface'!$L$8:$L$40,MATCH(C37,'Curve_Interface'!$K$8:$K$40,1)+1)/INDEX('Curve_Interface'!$L$8:$L$40,MATCH(C37,'Curve_Interface'!$K$8:$K$40,1)))^((C37-INDEX('Curve_Interface'!$K$8:$K$40,MATCH(C37,'Curve_Interface'!$K$8:$K$40,1)))/(INDEX('Curve_Interface'!$K$8:$K$40,MATCH(C37,'Curve_Interface'!$K$8:$K$40,1)+1)-INDEX('Curve_Interface'!$K$8:$K$40,MATCH(C37,'Curve_Interface'!$K$8:$K$40,1)))),INDEX('Curve_Interface'!$L$8:$L$40,MATCH(C37,'Curve_Interface'!$K$8:$K$40,1)))</f>
        <v/>
      </c>
      <c r="H37" s="33">
        <f>IFERROR(INDEX('Curve_Interface'!$L$8:$L$40,MATCH((B37+C37)/2,'Curve_Interface'!$K$8:$K$40,1))*(INDEX('Curve_Interface'!$L$8:$L$40,MATCH((B37+C37)/2,'Curve_Interface'!$K$8:$K$40,1)+1)/INDEX('Curve_Interface'!$L$8:$L$40,MATCH((B37+C37)/2,'Curve_Interface'!$K$8:$K$40,1)))^(((B37+C37)/2-INDEX('Curve_Interface'!$K$8:$K$40,MATCH((B37+C37)/2,'Curve_Interface'!$K$8:$K$40,1)))/(INDEX('Curve_Interface'!$K$8:$K$40,MATCH((B37+C37)/2,'Curve_Interface'!$K$8:$K$40,1)+1)-INDEX('Curve_Interface'!$K$8:$K$40,MATCH((B37+C37)/2,'Curve_Interface'!$K$8:$K$40,1)))),INDEX('Curve_Interface'!$L$8:$L$40,MATCH((B37+C37)/2,'Curve_Interface'!$K$8:$K$40,1)))</f>
        <v/>
      </c>
      <c r="I37" s="49">
        <f>INDEX(Hazard_Bootstrap!$D$7:$D$12,MIN(COUNTIF(Hazard_Bootstrap!$B$7:$B$12,"&lt;"&amp;C37)+1,6))</f>
        <v/>
      </c>
      <c r="J37" s="32">
        <f>K36</f>
        <v/>
      </c>
      <c r="K37" s="32">
        <f>J37*EXP(-I37*E37)</f>
        <v/>
      </c>
      <c r="L37" s="32">
        <f>J37-K37</f>
        <v/>
      </c>
      <c r="M37" s="32">
        <f>D37*G37*K37</f>
        <v/>
      </c>
      <c r="N37" s="32">
        <f>(D37/2)*H37*L37</f>
        <v/>
      </c>
      <c r="O37" s="32">
        <f>H37*L37</f>
        <v/>
      </c>
    </row>
    <row r="38">
      <c r="A38" s="35" t="n">
        <v>32</v>
      </c>
      <c r="B38" s="18">
        <f>C37</f>
        <v/>
      </c>
      <c r="C38" s="18">
        <f>EDATE('Curve_Interface'!$F$7,3*31)</f>
        <v/>
      </c>
      <c r="D38" s="17">
        <f>(C38-B38)/360</f>
        <v/>
      </c>
      <c r="E38" s="17">
        <f>(C38-B38)/365</f>
        <v/>
      </c>
      <c r="F38" s="28">
        <f>(C38-VAL_DATE)/365</f>
        <v/>
      </c>
      <c r="G38" s="33">
        <f>IFERROR(INDEX('Curve_Interface'!$L$8:$L$40,MATCH(C38,'Curve_Interface'!$K$8:$K$40,1))*(INDEX('Curve_Interface'!$L$8:$L$40,MATCH(C38,'Curve_Interface'!$K$8:$K$40,1)+1)/INDEX('Curve_Interface'!$L$8:$L$40,MATCH(C38,'Curve_Interface'!$K$8:$K$40,1)))^((C38-INDEX('Curve_Interface'!$K$8:$K$40,MATCH(C38,'Curve_Interface'!$K$8:$K$40,1)))/(INDEX('Curve_Interface'!$K$8:$K$40,MATCH(C38,'Curve_Interface'!$K$8:$K$40,1)+1)-INDEX('Curve_Interface'!$K$8:$K$40,MATCH(C38,'Curve_Interface'!$K$8:$K$40,1)))),INDEX('Curve_Interface'!$L$8:$L$40,MATCH(C38,'Curve_Interface'!$K$8:$K$40,1)))</f>
        <v/>
      </c>
      <c r="H38" s="33">
        <f>IFERROR(INDEX('Curve_Interface'!$L$8:$L$40,MATCH((B38+C38)/2,'Curve_Interface'!$K$8:$K$40,1))*(INDEX('Curve_Interface'!$L$8:$L$40,MATCH((B38+C38)/2,'Curve_Interface'!$K$8:$K$40,1)+1)/INDEX('Curve_Interface'!$L$8:$L$40,MATCH((B38+C38)/2,'Curve_Interface'!$K$8:$K$40,1)))^(((B38+C38)/2-INDEX('Curve_Interface'!$K$8:$K$40,MATCH((B38+C38)/2,'Curve_Interface'!$K$8:$K$40,1)))/(INDEX('Curve_Interface'!$K$8:$K$40,MATCH((B38+C38)/2,'Curve_Interface'!$K$8:$K$40,1)+1)-INDEX('Curve_Interface'!$K$8:$K$40,MATCH((B38+C38)/2,'Curve_Interface'!$K$8:$K$40,1)))),INDEX('Curve_Interface'!$L$8:$L$40,MATCH((B38+C38)/2,'Curve_Interface'!$K$8:$K$40,1)))</f>
        <v/>
      </c>
      <c r="I38" s="49">
        <f>INDEX(Hazard_Bootstrap!$D$7:$D$12,MIN(COUNTIF(Hazard_Bootstrap!$B$7:$B$12,"&lt;"&amp;C38)+1,6))</f>
        <v/>
      </c>
      <c r="J38" s="32">
        <f>K37</f>
        <v/>
      </c>
      <c r="K38" s="32">
        <f>J38*EXP(-I38*E38)</f>
        <v/>
      </c>
      <c r="L38" s="32">
        <f>J38-K38</f>
        <v/>
      </c>
      <c r="M38" s="32">
        <f>D38*G38*K38</f>
        <v/>
      </c>
      <c r="N38" s="32">
        <f>(D38/2)*H38*L38</f>
        <v/>
      </c>
      <c r="O38" s="32">
        <f>H38*L38</f>
        <v/>
      </c>
    </row>
    <row r="39">
      <c r="A39" s="35" t="n">
        <v>33</v>
      </c>
      <c r="B39" s="18">
        <f>C38</f>
        <v/>
      </c>
      <c r="C39" s="18">
        <f>EDATE('Curve_Interface'!$F$7,3*32)</f>
        <v/>
      </c>
      <c r="D39" s="17">
        <f>(C39-B39)/360</f>
        <v/>
      </c>
      <c r="E39" s="17">
        <f>(C39-B39)/365</f>
        <v/>
      </c>
      <c r="F39" s="28">
        <f>(C39-VAL_DATE)/365</f>
        <v/>
      </c>
      <c r="G39" s="33">
        <f>IFERROR(INDEX('Curve_Interface'!$L$8:$L$40,MATCH(C39,'Curve_Interface'!$K$8:$K$40,1))*(INDEX('Curve_Interface'!$L$8:$L$40,MATCH(C39,'Curve_Interface'!$K$8:$K$40,1)+1)/INDEX('Curve_Interface'!$L$8:$L$40,MATCH(C39,'Curve_Interface'!$K$8:$K$40,1)))^((C39-INDEX('Curve_Interface'!$K$8:$K$40,MATCH(C39,'Curve_Interface'!$K$8:$K$40,1)))/(INDEX('Curve_Interface'!$K$8:$K$40,MATCH(C39,'Curve_Interface'!$K$8:$K$40,1)+1)-INDEX('Curve_Interface'!$K$8:$K$40,MATCH(C39,'Curve_Interface'!$K$8:$K$40,1)))),INDEX('Curve_Interface'!$L$8:$L$40,MATCH(C39,'Curve_Interface'!$K$8:$K$40,1)))</f>
        <v/>
      </c>
      <c r="H39" s="33">
        <f>IFERROR(INDEX('Curve_Interface'!$L$8:$L$40,MATCH((B39+C39)/2,'Curve_Interface'!$K$8:$K$40,1))*(INDEX('Curve_Interface'!$L$8:$L$40,MATCH((B39+C39)/2,'Curve_Interface'!$K$8:$K$40,1)+1)/INDEX('Curve_Interface'!$L$8:$L$40,MATCH((B39+C39)/2,'Curve_Interface'!$K$8:$K$40,1)))^(((B39+C39)/2-INDEX('Curve_Interface'!$K$8:$K$40,MATCH((B39+C39)/2,'Curve_Interface'!$K$8:$K$40,1)))/(INDEX('Curve_Interface'!$K$8:$K$40,MATCH((B39+C39)/2,'Curve_Interface'!$K$8:$K$40,1)+1)-INDEX('Curve_Interface'!$K$8:$K$40,MATCH((B39+C39)/2,'Curve_Interface'!$K$8:$K$40,1)))),INDEX('Curve_Interface'!$L$8:$L$40,MATCH((B39+C39)/2,'Curve_Interface'!$K$8:$K$40,1)))</f>
        <v/>
      </c>
      <c r="I39" s="49">
        <f>INDEX(Hazard_Bootstrap!$D$7:$D$12,MIN(COUNTIF(Hazard_Bootstrap!$B$7:$B$12,"&lt;"&amp;C39)+1,6))</f>
        <v/>
      </c>
      <c r="J39" s="32">
        <f>K38</f>
        <v/>
      </c>
      <c r="K39" s="32">
        <f>J39*EXP(-I39*E39)</f>
        <v/>
      </c>
      <c r="L39" s="32">
        <f>J39-K39</f>
        <v/>
      </c>
      <c r="M39" s="32">
        <f>D39*G39*K39</f>
        <v/>
      </c>
      <c r="N39" s="32">
        <f>(D39/2)*H39*L39</f>
        <v/>
      </c>
      <c r="O39" s="32">
        <f>H39*L39</f>
        <v/>
      </c>
    </row>
    <row r="40">
      <c r="A40" s="35" t="n">
        <v>34</v>
      </c>
      <c r="B40" s="18">
        <f>C39</f>
        <v/>
      </c>
      <c r="C40" s="18">
        <f>EDATE('Curve_Interface'!$F$7,3*33)</f>
        <v/>
      </c>
      <c r="D40" s="17">
        <f>(C40-B40)/360</f>
        <v/>
      </c>
      <c r="E40" s="17">
        <f>(C40-B40)/365</f>
        <v/>
      </c>
      <c r="F40" s="28">
        <f>(C40-VAL_DATE)/365</f>
        <v/>
      </c>
      <c r="G40" s="33">
        <f>IFERROR(INDEX('Curve_Interface'!$L$8:$L$40,MATCH(C40,'Curve_Interface'!$K$8:$K$40,1))*(INDEX('Curve_Interface'!$L$8:$L$40,MATCH(C40,'Curve_Interface'!$K$8:$K$40,1)+1)/INDEX('Curve_Interface'!$L$8:$L$40,MATCH(C40,'Curve_Interface'!$K$8:$K$40,1)))^((C40-INDEX('Curve_Interface'!$K$8:$K$40,MATCH(C40,'Curve_Interface'!$K$8:$K$40,1)))/(INDEX('Curve_Interface'!$K$8:$K$40,MATCH(C40,'Curve_Interface'!$K$8:$K$40,1)+1)-INDEX('Curve_Interface'!$K$8:$K$40,MATCH(C40,'Curve_Interface'!$K$8:$K$40,1)))),INDEX('Curve_Interface'!$L$8:$L$40,MATCH(C40,'Curve_Interface'!$K$8:$K$40,1)))</f>
        <v/>
      </c>
      <c r="H40" s="33">
        <f>IFERROR(INDEX('Curve_Interface'!$L$8:$L$40,MATCH((B40+C40)/2,'Curve_Interface'!$K$8:$K$40,1))*(INDEX('Curve_Interface'!$L$8:$L$40,MATCH((B40+C40)/2,'Curve_Interface'!$K$8:$K$40,1)+1)/INDEX('Curve_Interface'!$L$8:$L$40,MATCH((B40+C40)/2,'Curve_Interface'!$K$8:$K$40,1)))^(((B40+C40)/2-INDEX('Curve_Interface'!$K$8:$K$40,MATCH((B40+C40)/2,'Curve_Interface'!$K$8:$K$40,1)))/(INDEX('Curve_Interface'!$K$8:$K$40,MATCH((B40+C40)/2,'Curve_Interface'!$K$8:$K$40,1)+1)-INDEX('Curve_Interface'!$K$8:$K$40,MATCH((B40+C40)/2,'Curve_Interface'!$K$8:$K$40,1)))),INDEX('Curve_Interface'!$L$8:$L$40,MATCH((B40+C40)/2,'Curve_Interface'!$K$8:$K$40,1)))</f>
        <v/>
      </c>
      <c r="I40" s="49">
        <f>INDEX(Hazard_Bootstrap!$D$7:$D$12,MIN(COUNTIF(Hazard_Bootstrap!$B$7:$B$12,"&lt;"&amp;C40)+1,6))</f>
        <v/>
      </c>
      <c r="J40" s="32">
        <f>K39</f>
        <v/>
      </c>
      <c r="K40" s="32">
        <f>J40*EXP(-I40*E40)</f>
        <v/>
      </c>
      <c r="L40" s="32">
        <f>J40-K40</f>
        <v/>
      </c>
      <c r="M40" s="32">
        <f>D40*G40*K40</f>
        <v/>
      </c>
      <c r="N40" s="32">
        <f>(D40/2)*H40*L40</f>
        <v/>
      </c>
      <c r="O40" s="32">
        <f>H40*L40</f>
        <v/>
      </c>
    </row>
    <row r="41">
      <c r="A41" s="35" t="n">
        <v>35</v>
      </c>
      <c r="B41" s="18">
        <f>C40</f>
        <v/>
      </c>
      <c r="C41" s="18">
        <f>EDATE('Curve_Interface'!$F$7,3*34)</f>
        <v/>
      </c>
      <c r="D41" s="17">
        <f>(C41-B41)/360</f>
        <v/>
      </c>
      <c r="E41" s="17">
        <f>(C41-B41)/365</f>
        <v/>
      </c>
      <c r="F41" s="28">
        <f>(C41-VAL_DATE)/365</f>
        <v/>
      </c>
      <c r="G41" s="33">
        <f>IFERROR(INDEX('Curve_Interface'!$L$8:$L$40,MATCH(C41,'Curve_Interface'!$K$8:$K$40,1))*(INDEX('Curve_Interface'!$L$8:$L$40,MATCH(C41,'Curve_Interface'!$K$8:$K$40,1)+1)/INDEX('Curve_Interface'!$L$8:$L$40,MATCH(C41,'Curve_Interface'!$K$8:$K$40,1)))^((C41-INDEX('Curve_Interface'!$K$8:$K$40,MATCH(C41,'Curve_Interface'!$K$8:$K$40,1)))/(INDEX('Curve_Interface'!$K$8:$K$40,MATCH(C41,'Curve_Interface'!$K$8:$K$40,1)+1)-INDEX('Curve_Interface'!$K$8:$K$40,MATCH(C41,'Curve_Interface'!$K$8:$K$40,1)))),INDEX('Curve_Interface'!$L$8:$L$40,MATCH(C41,'Curve_Interface'!$K$8:$K$40,1)))</f>
        <v/>
      </c>
      <c r="H41" s="33">
        <f>IFERROR(INDEX('Curve_Interface'!$L$8:$L$40,MATCH((B41+C41)/2,'Curve_Interface'!$K$8:$K$40,1))*(INDEX('Curve_Interface'!$L$8:$L$40,MATCH((B41+C41)/2,'Curve_Interface'!$K$8:$K$40,1)+1)/INDEX('Curve_Interface'!$L$8:$L$40,MATCH((B41+C41)/2,'Curve_Interface'!$K$8:$K$40,1)))^(((B41+C41)/2-INDEX('Curve_Interface'!$K$8:$K$40,MATCH((B41+C41)/2,'Curve_Interface'!$K$8:$K$40,1)))/(INDEX('Curve_Interface'!$K$8:$K$40,MATCH((B41+C41)/2,'Curve_Interface'!$K$8:$K$40,1)+1)-INDEX('Curve_Interface'!$K$8:$K$40,MATCH((B41+C41)/2,'Curve_Interface'!$K$8:$K$40,1)))),INDEX('Curve_Interface'!$L$8:$L$40,MATCH((B41+C41)/2,'Curve_Interface'!$K$8:$K$40,1)))</f>
        <v/>
      </c>
      <c r="I41" s="49">
        <f>INDEX(Hazard_Bootstrap!$D$7:$D$12,MIN(COUNTIF(Hazard_Bootstrap!$B$7:$B$12,"&lt;"&amp;C41)+1,6))</f>
        <v/>
      </c>
      <c r="J41" s="32">
        <f>K40</f>
        <v/>
      </c>
      <c r="K41" s="32">
        <f>J41*EXP(-I41*E41)</f>
        <v/>
      </c>
      <c r="L41" s="32">
        <f>J41-K41</f>
        <v/>
      </c>
      <c r="M41" s="32">
        <f>D41*G41*K41</f>
        <v/>
      </c>
      <c r="N41" s="32">
        <f>(D41/2)*H41*L41</f>
        <v/>
      </c>
      <c r="O41" s="32">
        <f>H41*L41</f>
        <v/>
      </c>
    </row>
    <row r="42">
      <c r="A42" s="35" t="n">
        <v>36</v>
      </c>
      <c r="B42" s="18">
        <f>C41</f>
        <v/>
      </c>
      <c r="C42" s="18">
        <f>EDATE('Curve_Interface'!$F$7,3*35)</f>
        <v/>
      </c>
      <c r="D42" s="17">
        <f>(C42-B42)/360</f>
        <v/>
      </c>
      <c r="E42" s="17">
        <f>(C42-B42)/365</f>
        <v/>
      </c>
      <c r="F42" s="28">
        <f>(C42-VAL_DATE)/365</f>
        <v/>
      </c>
      <c r="G42" s="33">
        <f>IFERROR(INDEX('Curve_Interface'!$L$8:$L$40,MATCH(C42,'Curve_Interface'!$K$8:$K$40,1))*(INDEX('Curve_Interface'!$L$8:$L$40,MATCH(C42,'Curve_Interface'!$K$8:$K$40,1)+1)/INDEX('Curve_Interface'!$L$8:$L$40,MATCH(C42,'Curve_Interface'!$K$8:$K$40,1)))^((C42-INDEX('Curve_Interface'!$K$8:$K$40,MATCH(C42,'Curve_Interface'!$K$8:$K$40,1)))/(INDEX('Curve_Interface'!$K$8:$K$40,MATCH(C42,'Curve_Interface'!$K$8:$K$40,1)+1)-INDEX('Curve_Interface'!$K$8:$K$40,MATCH(C42,'Curve_Interface'!$K$8:$K$40,1)))),INDEX('Curve_Interface'!$L$8:$L$40,MATCH(C42,'Curve_Interface'!$K$8:$K$40,1)))</f>
        <v/>
      </c>
      <c r="H42" s="33">
        <f>IFERROR(INDEX('Curve_Interface'!$L$8:$L$40,MATCH((B42+C42)/2,'Curve_Interface'!$K$8:$K$40,1))*(INDEX('Curve_Interface'!$L$8:$L$40,MATCH((B42+C42)/2,'Curve_Interface'!$K$8:$K$40,1)+1)/INDEX('Curve_Interface'!$L$8:$L$40,MATCH((B42+C42)/2,'Curve_Interface'!$K$8:$K$40,1)))^(((B42+C42)/2-INDEX('Curve_Interface'!$K$8:$K$40,MATCH((B42+C42)/2,'Curve_Interface'!$K$8:$K$40,1)))/(INDEX('Curve_Interface'!$K$8:$K$40,MATCH((B42+C42)/2,'Curve_Interface'!$K$8:$K$40,1)+1)-INDEX('Curve_Interface'!$K$8:$K$40,MATCH((B42+C42)/2,'Curve_Interface'!$K$8:$K$40,1)))),INDEX('Curve_Interface'!$L$8:$L$40,MATCH((B42+C42)/2,'Curve_Interface'!$K$8:$K$40,1)))</f>
        <v/>
      </c>
      <c r="I42" s="49">
        <f>INDEX(Hazard_Bootstrap!$D$7:$D$12,MIN(COUNTIF(Hazard_Bootstrap!$B$7:$B$12,"&lt;"&amp;C42)+1,6))</f>
        <v/>
      </c>
      <c r="J42" s="32">
        <f>K41</f>
        <v/>
      </c>
      <c r="K42" s="32">
        <f>J42*EXP(-I42*E42)</f>
        <v/>
      </c>
      <c r="L42" s="32">
        <f>J42-K42</f>
        <v/>
      </c>
      <c r="M42" s="32">
        <f>D42*G42*K42</f>
        <v/>
      </c>
      <c r="N42" s="32">
        <f>(D42/2)*H42*L42</f>
        <v/>
      </c>
      <c r="O42" s="32">
        <f>H42*L42</f>
        <v/>
      </c>
    </row>
    <row r="43">
      <c r="A43" s="35" t="n">
        <v>37</v>
      </c>
      <c r="B43" s="18">
        <f>C42</f>
        <v/>
      </c>
      <c r="C43" s="18">
        <f>EDATE('Curve_Interface'!$F$7,3*36)</f>
        <v/>
      </c>
      <c r="D43" s="17">
        <f>(C43-B43)/360</f>
        <v/>
      </c>
      <c r="E43" s="17">
        <f>(C43-B43)/365</f>
        <v/>
      </c>
      <c r="F43" s="28">
        <f>(C43-VAL_DATE)/365</f>
        <v/>
      </c>
      <c r="G43" s="33">
        <f>IFERROR(INDEX('Curve_Interface'!$L$8:$L$40,MATCH(C43,'Curve_Interface'!$K$8:$K$40,1))*(INDEX('Curve_Interface'!$L$8:$L$40,MATCH(C43,'Curve_Interface'!$K$8:$K$40,1)+1)/INDEX('Curve_Interface'!$L$8:$L$40,MATCH(C43,'Curve_Interface'!$K$8:$K$40,1)))^((C43-INDEX('Curve_Interface'!$K$8:$K$40,MATCH(C43,'Curve_Interface'!$K$8:$K$40,1)))/(INDEX('Curve_Interface'!$K$8:$K$40,MATCH(C43,'Curve_Interface'!$K$8:$K$40,1)+1)-INDEX('Curve_Interface'!$K$8:$K$40,MATCH(C43,'Curve_Interface'!$K$8:$K$40,1)))),INDEX('Curve_Interface'!$L$8:$L$40,MATCH(C43,'Curve_Interface'!$K$8:$K$40,1)))</f>
        <v/>
      </c>
      <c r="H43" s="33">
        <f>IFERROR(INDEX('Curve_Interface'!$L$8:$L$40,MATCH((B43+C43)/2,'Curve_Interface'!$K$8:$K$40,1))*(INDEX('Curve_Interface'!$L$8:$L$40,MATCH((B43+C43)/2,'Curve_Interface'!$K$8:$K$40,1)+1)/INDEX('Curve_Interface'!$L$8:$L$40,MATCH((B43+C43)/2,'Curve_Interface'!$K$8:$K$40,1)))^(((B43+C43)/2-INDEX('Curve_Interface'!$K$8:$K$40,MATCH((B43+C43)/2,'Curve_Interface'!$K$8:$K$40,1)))/(INDEX('Curve_Interface'!$K$8:$K$40,MATCH((B43+C43)/2,'Curve_Interface'!$K$8:$K$40,1)+1)-INDEX('Curve_Interface'!$K$8:$K$40,MATCH((B43+C43)/2,'Curve_Interface'!$K$8:$K$40,1)))),INDEX('Curve_Interface'!$L$8:$L$40,MATCH((B43+C43)/2,'Curve_Interface'!$K$8:$K$40,1)))</f>
        <v/>
      </c>
      <c r="I43" s="49">
        <f>INDEX(Hazard_Bootstrap!$D$7:$D$12,MIN(COUNTIF(Hazard_Bootstrap!$B$7:$B$12,"&lt;"&amp;C43)+1,6))</f>
        <v/>
      </c>
      <c r="J43" s="32">
        <f>K42</f>
        <v/>
      </c>
      <c r="K43" s="32">
        <f>J43*EXP(-I43*E43)</f>
        <v/>
      </c>
      <c r="L43" s="32">
        <f>J43-K43</f>
        <v/>
      </c>
      <c r="M43" s="32">
        <f>D43*G43*K43</f>
        <v/>
      </c>
      <c r="N43" s="32">
        <f>(D43/2)*H43*L43</f>
        <v/>
      </c>
      <c r="O43" s="32">
        <f>H43*L43</f>
        <v/>
      </c>
    </row>
    <row r="44">
      <c r="A44" s="35" t="n">
        <v>38</v>
      </c>
      <c r="B44" s="18">
        <f>C43</f>
        <v/>
      </c>
      <c r="C44" s="18">
        <f>EDATE('Curve_Interface'!$F$7,3*37)</f>
        <v/>
      </c>
      <c r="D44" s="17">
        <f>(C44-B44)/360</f>
        <v/>
      </c>
      <c r="E44" s="17">
        <f>(C44-B44)/365</f>
        <v/>
      </c>
      <c r="F44" s="28">
        <f>(C44-VAL_DATE)/365</f>
        <v/>
      </c>
      <c r="G44" s="33">
        <f>IFERROR(INDEX('Curve_Interface'!$L$8:$L$40,MATCH(C44,'Curve_Interface'!$K$8:$K$40,1))*(INDEX('Curve_Interface'!$L$8:$L$40,MATCH(C44,'Curve_Interface'!$K$8:$K$40,1)+1)/INDEX('Curve_Interface'!$L$8:$L$40,MATCH(C44,'Curve_Interface'!$K$8:$K$40,1)))^((C44-INDEX('Curve_Interface'!$K$8:$K$40,MATCH(C44,'Curve_Interface'!$K$8:$K$40,1)))/(INDEX('Curve_Interface'!$K$8:$K$40,MATCH(C44,'Curve_Interface'!$K$8:$K$40,1)+1)-INDEX('Curve_Interface'!$K$8:$K$40,MATCH(C44,'Curve_Interface'!$K$8:$K$40,1)))),INDEX('Curve_Interface'!$L$8:$L$40,MATCH(C44,'Curve_Interface'!$K$8:$K$40,1)))</f>
        <v/>
      </c>
      <c r="H44" s="33">
        <f>IFERROR(INDEX('Curve_Interface'!$L$8:$L$40,MATCH((B44+C44)/2,'Curve_Interface'!$K$8:$K$40,1))*(INDEX('Curve_Interface'!$L$8:$L$40,MATCH((B44+C44)/2,'Curve_Interface'!$K$8:$K$40,1)+1)/INDEX('Curve_Interface'!$L$8:$L$40,MATCH((B44+C44)/2,'Curve_Interface'!$K$8:$K$40,1)))^(((B44+C44)/2-INDEX('Curve_Interface'!$K$8:$K$40,MATCH((B44+C44)/2,'Curve_Interface'!$K$8:$K$40,1)))/(INDEX('Curve_Interface'!$K$8:$K$40,MATCH((B44+C44)/2,'Curve_Interface'!$K$8:$K$40,1)+1)-INDEX('Curve_Interface'!$K$8:$K$40,MATCH((B44+C44)/2,'Curve_Interface'!$K$8:$K$40,1)))),INDEX('Curve_Interface'!$L$8:$L$40,MATCH((B44+C44)/2,'Curve_Interface'!$K$8:$K$40,1)))</f>
        <v/>
      </c>
      <c r="I44" s="49">
        <f>INDEX(Hazard_Bootstrap!$D$7:$D$12,MIN(COUNTIF(Hazard_Bootstrap!$B$7:$B$12,"&lt;"&amp;C44)+1,6))</f>
        <v/>
      </c>
      <c r="J44" s="32">
        <f>K43</f>
        <v/>
      </c>
      <c r="K44" s="32">
        <f>J44*EXP(-I44*E44)</f>
        <v/>
      </c>
      <c r="L44" s="32">
        <f>J44-K44</f>
        <v/>
      </c>
      <c r="M44" s="32">
        <f>D44*G44*K44</f>
        <v/>
      </c>
      <c r="N44" s="32">
        <f>(D44/2)*H44*L44</f>
        <v/>
      </c>
      <c r="O44" s="32">
        <f>H44*L44</f>
        <v/>
      </c>
    </row>
    <row r="45">
      <c r="A45" s="35" t="n">
        <v>39</v>
      </c>
      <c r="B45" s="18">
        <f>C44</f>
        <v/>
      </c>
      <c r="C45" s="18">
        <f>EDATE('Curve_Interface'!$F$7,3*38)</f>
        <v/>
      </c>
      <c r="D45" s="17">
        <f>(C45-B45)/360</f>
        <v/>
      </c>
      <c r="E45" s="17">
        <f>(C45-B45)/365</f>
        <v/>
      </c>
      <c r="F45" s="28">
        <f>(C45-VAL_DATE)/365</f>
        <v/>
      </c>
      <c r="G45" s="33">
        <f>IFERROR(INDEX('Curve_Interface'!$L$8:$L$40,MATCH(C45,'Curve_Interface'!$K$8:$K$40,1))*(INDEX('Curve_Interface'!$L$8:$L$40,MATCH(C45,'Curve_Interface'!$K$8:$K$40,1)+1)/INDEX('Curve_Interface'!$L$8:$L$40,MATCH(C45,'Curve_Interface'!$K$8:$K$40,1)))^((C45-INDEX('Curve_Interface'!$K$8:$K$40,MATCH(C45,'Curve_Interface'!$K$8:$K$40,1)))/(INDEX('Curve_Interface'!$K$8:$K$40,MATCH(C45,'Curve_Interface'!$K$8:$K$40,1)+1)-INDEX('Curve_Interface'!$K$8:$K$40,MATCH(C45,'Curve_Interface'!$K$8:$K$40,1)))),INDEX('Curve_Interface'!$L$8:$L$40,MATCH(C45,'Curve_Interface'!$K$8:$K$40,1)))</f>
        <v/>
      </c>
      <c r="H45" s="33">
        <f>IFERROR(INDEX('Curve_Interface'!$L$8:$L$40,MATCH((B45+C45)/2,'Curve_Interface'!$K$8:$K$40,1))*(INDEX('Curve_Interface'!$L$8:$L$40,MATCH((B45+C45)/2,'Curve_Interface'!$K$8:$K$40,1)+1)/INDEX('Curve_Interface'!$L$8:$L$40,MATCH((B45+C45)/2,'Curve_Interface'!$K$8:$K$40,1)))^(((B45+C45)/2-INDEX('Curve_Interface'!$K$8:$K$40,MATCH((B45+C45)/2,'Curve_Interface'!$K$8:$K$40,1)))/(INDEX('Curve_Interface'!$K$8:$K$40,MATCH((B45+C45)/2,'Curve_Interface'!$K$8:$K$40,1)+1)-INDEX('Curve_Interface'!$K$8:$K$40,MATCH((B45+C45)/2,'Curve_Interface'!$K$8:$K$40,1)))),INDEX('Curve_Interface'!$L$8:$L$40,MATCH((B45+C45)/2,'Curve_Interface'!$K$8:$K$40,1)))</f>
        <v/>
      </c>
      <c r="I45" s="49">
        <f>INDEX(Hazard_Bootstrap!$D$7:$D$12,MIN(COUNTIF(Hazard_Bootstrap!$B$7:$B$12,"&lt;"&amp;C45)+1,6))</f>
        <v/>
      </c>
      <c r="J45" s="32">
        <f>K44</f>
        <v/>
      </c>
      <c r="K45" s="32">
        <f>J45*EXP(-I45*E45)</f>
        <v/>
      </c>
      <c r="L45" s="32">
        <f>J45-K45</f>
        <v/>
      </c>
      <c r="M45" s="32">
        <f>D45*G45*K45</f>
        <v/>
      </c>
      <c r="N45" s="32">
        <f>(D45/2)*H45*L45</f>
        <v/>
      </c>
      <c r="O45" s="32">
        <f>H45*L45</f>
        <v/>
      </c>
    </row>
    <row r="46">
      <c r="A46" s="35" t="n">
        <v>40</v>
      </c>
      <c r="B46" s="18">
        <f>C45</f>
        <v/>
      </c>
      <c r="C46" s="18">
        <f>EDATE('Curve_Interface'!$F$7,3*39)</f>
        <v/>
      </c>
      <c r="D46" s="17">
        <f>(C46-B46)/360</f>
        <v/>
      </c>
      <c r="E46" s="17">
        <f>(C46-B46)/365</f>
        <v/>
      </c>
      <c r="F46" s="28">
        <f>(C46-VAL_DATE)/365</f>
        <v/>
      </c>
      <c r="G46" s="33">
        <f>IFERROR(INDEX('Curve_Interface'!$L$8:$L$40,MATCH(C46,'Curve_Interface'!$K$8:$K$40,1))*(INDEX('Curve_Interface'!$L$8:$L$40,MATCH(C46,'Curve_Interface'!$K$8:$K$40,1)+1)/INDEX('Curve_Interface'!$L$8:$L$40,MATCH(C46,'Curve_Interface'!$K$8:$K$40,1)))^((C46-INDEX('Curve_Interface'!$K$8:$K$40,MATCH(C46,'Curve_Interface'!$K$8:$K$40,1)))/(INDEX('Curve_Interface'!$K$8:$K$40,MATCH(C46,'Curve_Interface'!$K$8:$K$40,1)+1)-INDEX('Curve_Interface'!$K$8:$K$40,MATCH(C46,'Curve_Interface'!$K$8:$K$40,1)))),INDEX('Curve_Interface'!$L$8:$L$40,MATCH(C46,'Curve_Interface'!$K$8:$K$40,1)))</f>
        <v/>
      </c>
      <c r="H46" s="33">
        <f>IFERROR(INDEX('Curve_Interface'!$L$8:$L$40,MATCH((B46+C46)/2,'Curve_Interface'!$K$8:$K$40,1))*(INDEX('Curve_Interface'!$L$8:$L$40,MATCH((B46+C46)/2,'Curve_Interface'!$K$8:$K$40,1)+1)/INDEX('Curve_Interface'!$L$8:$L$40,MATCH((B46+C46)/2,'Curve_Interface'!$K$8:$K$40,1)))^(((B46+C46)/2-INDEX('Curve_Interface'!$K$8:$K$40,MATCH((B46+C46)/2,'Curve_Interface'!$K$8:$K$40,1)))/(INDEX('Curve_Interface'!$K$8:$K$40,MATCH((B46+C46)/2,'Curve_Interface'!$K$8:$K$40,1)+1)-INDEX('Curve_Interface'!$K$8:$K$40,MATCH((B46+C46)/2,'Curve_Interface'!$K$8:$K$40,1)))),INDEX('Curve_Interface'!$L$8:$L$40,MATCH((B46+C46)/2,'Curve_Interface'!$K$8:$K$40,1)))</f>
        <v/>
      </c>
      <c r="I46" s="49">
        <f>INDEX(Hazard_Bootstrap!$D$7:$D$12,MIN(COUNTIF(Hazard_Bootstrap!$B$7:$B$12,"&lt;"&amp;C46)+1,6))</f>
        <v/>
      </c>
      <c r="J46" s="32">
        <f>K45</f>
        <v/>
      </c>
      <c r="K46" s="32">
        <f>J46*EXP(-I46*E46)</f>
        <v/>
      </c>
      <c r="L46" s="32">
        <f>J46-K46</f>
        <v/>
      </c>
      <c r="M46" s="32">
        <f>D46*G46*K46</f>
        <v/>
      </c>
      <c r="N46" s="32">
        <f>(D46/2)*H46*L46</f>
        <v/>
      </c>
      <c r="O46" s="32">
        <f>H46*L46</f>
        <v/>
      </c>
    </row>
  </sheetData>
  <mergeCells count="1">
    <mergeCell ref="A4:O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CDS_Pricer</t>
        </is>
      </c>
    </row>
    <row r="2">
      <c r="A2" s="2" t="inlineStr">
        <is>
          <t>Price a CDS off the SOFR + hazard curves (protection − premium legs)</t>
        </is>
      </c>
    </row>
    <row r="4">
      <c r="A4" s="5" t="inlineStr">
        <is>
          <t>Notional</t>
        </is>
      </c>
      <c r="B4" s="21">
        <f>CDS_Parameters!$B$9</f>
        <v/>
      </c>
    </row>
    <row r="5">
      <c r="A5" s="5" t="inlineStr">
        <is>
          <t>Recovery R</t>
        </is>
      </c>
      <c r="B5" s="55">
        <f>CDS_Parameters!$B$8</f>
        <v/>
      </c>
    </row>
    <row r="6">
      <c r="A6" s="5" t="inlineStr">
        <is>
          <t>Contractual coupon (bp)</t>
        </is>
      </c>
      <c r="B6" s="40">
        <f>CDS_Parameters!$B$10</f>
        <v/>
      </c>
      <c r="C6" s="16" t="inlineStr">
        <is>
          <t>Overtype to price an off-market coupon.</t>
        </is>
      </c>
    </row>
    <row r="7">
      <c r="A7" s="5" t="inlineStr">
        <is>
          <t>Maturity (tenor yrs)</t>
        </is>
      </c>
      <c r="B7" s="40" t="n">
        <v>5</v>
      </c>
    </row>
    <row r="8">
      <c r="A8" s="5" t="inlineStr">
        <is>
          <t>Maturity date</t>
        </is>
      </c>
      <c r="B8" s="18">
        <f>EDATE('Curve_Interface'!$F$7,3*(4*B7-1))</f>
        <v/>
      </c>
    </row>
    <row r="9">
      <c r="A9" s="5" t="inlineStr">
        <is>
          <t>Direction</t>
        </is>
      </c>
      <c r="B9" s="6">
        <f>CDS_Parameters!$B$15</f>
        <v/>
      </c>
    </row>
    <row r="10">
      <c r="A10" s="11" t="n"/>
      <c r="B10" s="11" t="n"/>
    </row>
    <row r="11">
      <c r="A11" s="56" t="inlineStr">
        <is>
          <t>RESULTS</t>
        </is>
      </c>
      <c r="B11" s="11" t="n"/>
    </row>
    <row r="12">
      <c r="A12" s="5" t="inlineStr">
        <is>
          <t>RPV01 (risky annuity)</t>
        </is>
      </c>
      <c r="B12" s="17">
        <f>SUMIF(CDS_Schedule!$C$7:$C$46,"&lt;="&amp;B8,CDS_Schedule!$M$7:$M$46)+SUMIF(CDS_Schedule!$C$7:$C$46,"&lt;="&amp;B8,CDS_Schedule!$N$7:$N$46)</f>
        <v/>
      </c>
      <c r="C12" s="16" t="inlineStr">
        <is>
          <t>Scheduled + accrual-on-default.</t>
        </is>
      </c>
    </row>
    <row r="13">
      <c r="A13" s="5" t="inlineStr">
        <is>
          <t>Protection PV</t>
        </is>
      </c>
      <c r="B13" s="42">
        <f>B4*(1-B5)*SUMIF(CDS_Schedule!$C$7:$C$46,"&lt;="&amp;B8,CDS_Schedule!$O$7:$O$46)</f>
        <v/>
      </c>
    </row>
    <row r="14">
      <c r="A14" s="5" t="inlineStr">
        <is>
          <t>Premium PV (@ coupon)</t>
        </is>
      </c>
      <c r="B14" s="42">
        <f>B4*(B6/10000)*B12</f>
        <v/>
      </c>
    </row>
    <row r="15">
      <c r="A15" s="5" t="inlineStr">
        <is>
          <t>Par spread (bp)</t>
        </is>
      </c>
      <c r="B15" s="28">
        <f>(1-B5)*SUMIF(CDS_Schedule!$C$7:$C$46,"&lt;="&amp;B8,CDS_Schedule!$O$7:$O$46)/B12*10000</f>
        <v/>
      </c>
      <c r="C15" s="16" t="inlineStr">
        <is>
          <t>Coupon that makes PV=0.</t>
        </is>
      </c>
    </row>
    <row r="16">
      <c r="A16" s="5" t="inlineStr">
        <is>
          <t>PV — protection buyer</t>
        </is>
      </c>
      <c r="B16" s="42">
        <f>B13-B14</f>
        <v/>
      </c>
      <c r="C16" s="16" t="inlineStr">
        <is>
          <t>Protection − Premium.</t>
        </is>
      </c>
    </row>
    <row r="17">
      <c r="A17" s="5" t="inlineStr">
        <is>
          <t>PV to your direction</t>
        </is>
      </c>
      <c r="B17" s="42">
        <f>IF(B9="Buy protection",B13-B14,B14-B13)</f>
        <v/>
      </c>
    </row>
    <row r="18">
      <c r="A18" s="5" t="inlineStr">
        <is>
          <t>Upfront (% notional)</t>
        </is>
      </c>
      <c r="B18" s="57">
        <f>B17/B4*100</f>
        <v/>
      </c>
    </row>
    <row r="19">
      <c r="A19" s="11" t="n"/>
      <c r="B19" s="11" t="n"/>
    </row>
    <row r="21">
      <c r="A21" s="4" t="inlineStr">
        <is>
          <t>RISK MEASURES (analytic, first-order)</t>
        </is>
      </c>
    </row>
    <row r="22">
      <c r="A22" s="5" t="inlineStr">
        <is>
          <t>CS01  (per +1bp spread)</t>
        </is>
      </c>
      <c r="B22" s="42">
        <f>B4*B12*0.0001</f>
        <v/>
      </c>
      <c r="C22" s="16" t="inlineStr">
        <is>
          <t>Spread DV01 = Notional*RPV01*1bp.</t>
        </is>
      </c>
    </row>
    <row r="23">
      <c r="A23" s="5" t="inlineStr">
        <is>
          <t>IR01 / DV01  (per +1bp SOFR)</t>
        </is>
      </c>
      <c r="B23" s="42">
        <f>-(B4*(1-B5)*SUMPRODUCT((CDS_Schedule!$C$7:$C$46&lt;=B8)*CDS_Schedule!$O$7:$O$46*CDS_Schedule!$F$7:$F$46)-B4*(B6/10000)*SUMPRODUCT((CDS_Schedule!$C$7:$C$46&lt;=B8)*(CDS_Schedule!$M$7:$M$46+CDS_Schedule!$N$7:$N$46)*CDS_Schedule!$F$7:$F$46))*0.0001</f>
        <v/>
      </c>
      <c r="C23" s="16" t="inlineStr">
        <is>
          <t>Net-leg dollar duration x 1bp (small for CDS).</t>
        </is>
      </c>
    </row>
    <row r="24">
      <c r="A24" s="5" t="inlineStr">
        <is>
          <t>Rec01  (per +1% recovery)</t>
        </is>
      </c>
      <c r="B24" s="42">
        <f>-B4*SUMIF(CDS_Schedule!$C$7:$C$46,"&lt;="&amp;B8,CDS_Schedule!$O$7:$O$46)*0.01</f>
        <v/>
      </c>
      <c r="C24" s="16" t="inlineStr">
        <is>
          <t>Sticky-hazard (hazards held; proper Rec01 re-fits spreads).</t>
        </is>
      </c>
    </row>
    <row r="25">
      <c r="A25" s="5" t="inlineStr">
        <is>
          <t>Jump-to-default (immediate)</t>
        </is>
      </c>
      <c r="B25" s="43">
        <f>IF(B9="Buy protection",B4*(1-B5),-B4*(1-B5))-B17</f>
        <v/>
      </c>
      <c r="C25" s="16" t="inlineStr">
        <is>
          <t>Default-now P&amp;L to your direction: LGD payout - current PV.</t>
        </is>
      </c>
    </row>
  </sheetData>
  <mergeCells count="9">
    <mergeCell ref="C25:H25"/>
    <mergeCell ref="C6:H6"/>
    <mergeCell ref="C24:H24"/>
    <mergeCell ref="A21:H21"/>
    <mergeCell ref="C16:H16"/>
    <mergeCell ref="C22:H22"/>
    <mergeCell ref="C23:H23"/>
    <mergeCell ref="C12:H12"/>
    <mergeCell ref="C15:H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CDS_Validation</t>
        </is>
      </c>
    </row>
    <row r="2">
      <c r="A2" s="2" t="inlineStr">
        <is>
          <t>Internal checks + the flat-curve approximation s ≈ (1-R)·lambda</t>
        </is>
      </c>
    </row>
    <row r="4">
      <c r="A4" s="13" t="inlineStr">
        <is>
          <t>Check</t>
        </is>
      </c>
      <c r="B4" s="13" t="inlineStr">
        <is>
          <t>Value</t>
        </is>
      </c>
      <c r="C4" s="13" t="inlineStr">
        <is>
          <t>Target</t>
        </is>
      </c>
    </row>
    <row r="5">
      <c r="A5" s="19" t="inlineStr">
        <is>
          <t>Q(0) = 1</t>
        </is>
      </c>
      <c r="B5" s="58">
        <f>CDS_Schedule!J7</f>
        <v/>
      </c>
      <c r="C5" s="16" t="inlineStr">
        <is>
          <t>1 (exact)</t>
        </is>
      </c>
    </row>
    <row r="6">
      <c r="A6" s="19" t="inlineStr">
        <is>
          <t>Survival monotone (min ΔPD ≥ 0)</t>
        </is>
      </c>
      <c r="B6" s="58">
        <f>MIN(CDS_Schedule!$L$7:$L$46)</f>
        <v/>
      </c>
      <c r="C6" s="16" t="inlineStr">
        <is>
          <t>≥ 0 ✓</t>
        </is>
      </c>
    </row>
    <row r="7">
      <c r="A7" s="19" t="inlineStr">
        <is>
          <t>All hazards ≥ 0</t>
        </is>
      </c>
      <c r="B7" s="58">
        <f>MIN(Hazard_Bootstrap!$D$7:$D$12)</f>
        <v/>
      </c>
      <c r="C7" s="16" t="inlineStr">
        <is>
          <t>≥ 0 ✓</t>
        </is>
      </c>
    </row>
    <row r="8">
      <c r="A8" s="19" t="inlineStr">
        <is>
          <t>Q(T) in (0,1]</t>
        </is>
      </c>
      <c r="B8" s="58">
        <f>AND(MIN(CDS_Schedule!$K$7:$K$46)&gt;0,MAX(CDS_Schedule!$K$7:$K$46)&lt;=1)</f>
        <v/>
      </c>
      <c r="C8" s="16" t="inlineStr">
        <is>
          <t>TRUE ✓</t>
        </is>
      </c>
    </row>
    <row r="9">
      <c r="A9" s="19" t="inlineStr">
        <is>
          <t>Max |repricing error| (bp)</t>
        </is>
      </c>
      <c r="B9" s="58">
        <f>MAX(ABS(Hazard_Bootstrap!$J$7:$J$12))</f>
        <v/>
      </c>
      <c r="C9" s="16" t="inlineStr">
        <is>
          <t>→0 after Goal Seek (&lt;0.01)</t>
        </is>
      </c>
    </row>
    <row r="11">
      <c r="A11" s="4" t="inlineStr">
        <is>
          <t>Approx check:  lambda ≈ s/(1-R)   (exact only for a flat curve)</t>
        </is>
      </c>
    </row>
    <row r="12">
      <c r="A12" s="13" t="inlineStr">
        <is>
          <t>Tenor</t>
        </is>
      </c>
      <c r="B12" s="13" t="inlineStr">
        <is>
          <t>Bootstrapped lambda</t>
        </is>
      </c>
      <c r="C12" s="13" t="inlineStr">
        <is>
          <t>s/(1-R)</t>
        </is>
      </c>
      <c r="D12" s="13" t="inlineStr">
        <is>
          <t>diff</t>
        </is>
      </c>
    </row>
    <row r="13">
      <c r="A13" s="19" t="inlineStr">
        <is>
          <t>1Y</t>
        </is>
      </c>
      <c r="B13" s="48">
        <f>Hazard_Bootstrap!D7</f>
        <v/>
      </c>
      <c r="C13" s="48">
        <f>CDS_Quotes!G7</f>
        <v/>
      </c>
      <c r="D13" s="48">
        <f>B13-C13</f>
        <v/>
      </c>
    </row>
    <row r="14">
      <c r="A14" s="19" t="inlineStr">
        <is>
          <t>2Y</t>
        </is>
      </c>
      <c r="B14" s="48">
        <f>Hazard_Bootstrap!D8</f>
        <v/>
      </c>
      <c r="C14" s="48">
        <f>CDS_Quotes!G8</f>
        <v/>
      </c>
      <c r="D14" s="48">
        <f>B14-C14</f>
        <v/>
      </c>
    </row>
    <row r="15">
      <c r="A15" s="19" t="inlineStr">
        <is>
          <t>3Y</t>
        </is>
      </c>
      <c r="B15" s="48">
        <f>Hazard_Bootstrap!D9</f>
        <v/>
      </c>
      <c r="C15" s="48">
        <f>CDS_Quotes!G9</f>
        <v/>
      </c>
      <c r="D15" s="48">
        <f>B15-C15</f>
        <v/>
      </c>
    </row>
    <row r="16">
      <c r="A16" s="19" t="inlineStr">
        <is>
          <t>5Y</t>
        </is>
      </c>
      <c r="B16" s="48">
        <f>Hazard_Bootstrap!D10</f>
        <v/>
      </c>
      <c r="C16" s="48">
        <f>CDS_Quotes!G10</f>
        <v/>
      </c>
      <c r="D16" s="48">
        <f>B16-C16</f>
        <v/>
      </c>
    </row>
    <row r="17">
      <c r="A17" s="19" t="inlineStr">
        <is>
          <t>7Y</t>
        </is>
      </c>
      <c r="B17" s="48">
        <f>Hazard_Bootstrap!D11</f>
        <v/>
      </c>
      <c r="C17" s="48">
        <f>CDS_Quotes!G11</f>
        <v/>
      </c>
      <c r="D17" s="48">
        <f>B17-C17</f>
        <v/>
      </c>
    </row>
    <row r="18">
      <c r="A18" s="19" t="inlineStr">
        <is>
          <t>10Y</t>
        </is>
      </c>
      <c r="B18" s="48">
        <f>Hazard_Bootstrap!D12</f>
        <v/>
      </c>
      <c r="C18" s="48">
        <f>CDS_Quotes!G12</f>
        <v/>
      </c>
      <c r="D18" s="48">
        <f>B18-C18</f>
        <v/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2026-07-21T00:14:34Z</dcterms:created>
  <dcterms:modified xmlns:dcterms="http://purl.org/dc/terms/" xmlns:xsi="http://www.w3.org/2001/XMLSchema-instance" xsi:type="dcterms:W3CDTF">2026-07-21T00:14:34Z</dcterms:modified>
</cp:coreProperties>
</file>