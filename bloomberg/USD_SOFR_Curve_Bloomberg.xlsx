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FR_Fixings" sheetId="2" state="visible" r:id="rId2"/>
    <sheet xmlns:r="http://schemas.openxmlformats.org/officeDocument/2006/relationships" name="SOFR_Future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Bloomberg_S490_Validation" sheetId="5" state="visible" r:id="rId5"/>
    <sheet xmlns:r="http://schemas.openxmlformats.org/officeDocument/2006/relationships" name="Conventions" sheetId="6" state="visible" r:id="rId6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/yyyy"/>
    <numFmt numFmtId="165" formatCode="0.0000"/>
    <numFmt numFmtId="166" formatCode="0.00000000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000000"/>
      <sz val="10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b val="1"/>
      <color rgb="000000FF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b val="1"/>
      <color rgb="000061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AF0FA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top" wrapText="1"/>
    </xf>
    <xf numFmtId="0" fontId="4" fillId="4" borderId="0" pivotButton="0" quotePrefix="0" xfId="0"/>
    <xf numFmtId="0" fontId="5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0" borderId="1" pivotButton="0" quotePrefix="0" xfId="0"/>
    <xf numFmtId="0" fontId="6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164" fontId="6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0" borderId="1" pivotButton="0" quotePrefix="0" xfId="0"/>
    <xf numFmtId="0" fontId="5" fillId="0" borderId="0" pivotButton="0" quotePrefix="0" xfId="0"/>
    <xf numFmtId="0" fontId="9" fillId="0" borderId="0" pivotButton="0" quotePrefix="0" xfId="0"/>
    <xf numFmtId="165" fontId="3" fillId="7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10" fillId="3" borderId="1" applyAlignment="1" pivotButton="0" quotePrefix="0" xfId="0">
      <alignment horizontal="center" vertical="center" wrapText="1"/>
    </xf>
    <xf numFmtId="165" fontId="3" fillId="0" borderId="1" pivotButton="0" quotePrefix="0" xfId="0"/>
    <xf numFmtId="3" fontId="3" fillId="0" borderId="1" pivotButton="0" quotePrefix="0" xfId="0"/>
    <xf numFmtId="0" fontId="3" fillId="7" borderId="1" pivotButton="0" quotePrefix="0" xfId="0"/>
    <xf numFmtId="164" fontId="3" fillId="7" borderId="1" pivotButton="0" quotePrefix="0" xfId="0"/>
    <xf numFmtId="3" fontId="3" fillId="7" borderId="1" pivotButton="0" quotePrefix="0" xfId="0"/>
    <xf numFmtId="0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11" fillId="7" borderId="1" pivotButton="0" quotePrefix="0" xfId="0"/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4" fontId="3" fillId="0" borderId="0" pivotButton="0" quotePrefix="0" xfId="0"/>
    <xf numFmtId="166" fontId="3" fillId="0" borderId="1" pivotButton="0" quotePrefix="0" xfId="0"/>
    <xf numFmtId="166" fontId="3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template</author>
  </authors>
  <commentList>
    <comment ref="A12" authorId="0" shapeId="0">
      <text>
        <t>Array (spilling) formula. In Excel with Bloomberg it fills Date + PX_LAST down this block. If your Excel is pre-dynamic-array, it may need Ctrl+Shift+Enter across A:B.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7" authorId="0" shapeId="0">
      <text>
        <t>Spilling chain. Fills contract tickers down this column in Excel+Bloomberg.</t>
      </text>
    </comment>
    <comment ref="A32" authorId="0" shapeId="0">
      <text>
        <t>Spilling chain. Fills contract tickers down this column in Excel+Bloomberg.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8" authorId="0" shapeId="0">
      <text>
        <t>Spilling: Tenor in col A, par/market rate in col B (or D depending on Bloomberg's return order — verify and align). Fill zero/DF/forward from the curve screen.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 ht="26" customHeight="1">
      <c r="A1" s="1" t="inlineStr">
        <is>
          <t>USD SOFR Curve — Bloomberg Data Template</t>
        </is>
      </c>
    </row>
    <row r="2" ht="16" customHeight="1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  <c r="E8" s="6" t="n"/>
      <c r="F8" s="7" t="n"/>
    </row>
    <row r="9" ht="26" customHeight="1">
      <c r="A9" s="8" t="inlineStr">
        <is>
          <t>Valuation date</t>
        </is>
      </c>
      <c r="B9" s="9">
        <f>TODAY()</f>
        <v/>
      </c>
      <c r="C9" s="10" t="inlineStr">
        <is>
          <t>VAL_DATE</t>
        </is>
      </c>
      <c r="D9" s="11" t="inlineStr">
        <is>
          <t>Curve reference / spot date. Live pulls (BDP) are as-of now; set this to your snapshot date.</t>
        </is>
      </c>
    </row>
    <row r="10" ht="26" customHeight="1">
      <c r="A10" s="8" t="inlineStr">
        <is>
          <t>Historical start</t>
        </is>
      </c>
      <c r="B10" s="12" t="inlineStr">
        <is>
          <t>01/01/2018</t>
        </is>
      </c>
      <c r="C10" s="10" t="inlineStr">
        <is>
          <t>HIST_START</t>
        </is>
      </c>
      <c r="D10" s="11" t="inlineStr">
        <is>
          <t>Start of BDH history windows.</t>
        </is>
      </c>
    </row>
    <row r="11" ht="26" customHeight="1">
      <c r="A11" s="8" t="inlineStr">
        <is>
          <t>Historical end</t>
        </is>
      </c>
      <c r="B11" s="12" t="inlineStr">
        <is>
          <t>07/20/2026</t>
        </is>
      </c>
      <c r="C11" s="10" t="inlineStr">
        <is>
          <t>HIST_END</t>
        </is>
      </c>
      <c r="D11" s="11" t="inlineStr">
        <is>
          <t>End of BDH history windows.</t>
        </is>
      </c>
    </row>
    <row r="12" ht="26" customHeight="1">
      <c r="A12" s="8" t="inlineStr">
        <is>
          <t>Price source</t>
        </is>
      </c>
      <c r="B12" s="9" t="inlineStr">
        <is>
          <t>BGN</t>
        </is>
      </c>
      <c r="C12" s="10" t="inlineStr">
        <is>
          <t>PX_SRC</t>
        </is>
      </c>
      <c r="D12" s="11" t="inlineStr">
        <is>
          <t>Bloomberg pricing source suffix used across every OIS ticker (BGN = Bloomberg Generic). Keep one source across all maturities.</t>
        </is>
      </c>
    </row>
    <row r="13" ht="26" customHeight="1">
      <c r="A13" s="8" t="inlineStr">
        <is>
          <t>Overnight SOFR ticker</t>
        </is>
      </c>
      <c r="B13" s="9" t="inlineStr">
        <is>
          <t>SOFRRATE Index</t>
        </is>
      </c>
      <c r="C13" s="10" t="inlineStr">
        <is>
          <t>SOFR_TKR</t>
        </is>
      </c>
      <c r="D13" s="11" t="inlineStr">
        <is>
          <t>Published overnight SOFR fixing (NY Fed).</t>
        </is>
      </c>
    </row>
    <row r="14" ht="26" customHeight="1">
      <c r="A14" s="8" t="inlineStr">
        <is>
          <t>Bloomberg SOFR curve</t>
        </is>
      </c>
      <c r="B14" s="9" t="inlineStr">
        <is>
          <t>YCSW0490 Index</t>
        </is>
      </c>
      <c r="C14" s="10" t="inlineStr">
        <is>
          <t>S490_TKR</t>
        </is>
      </c>
      <c r="D14" s="11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3" t="n"/>
      <c r="C17" s="5" t="inlineStr">
        <is>
          <t>Modern equivalent</t>
        </is>
      </c>
      <c r="D17" s="13" t="n"/>
      <c r="E17" s="5" t="inlineStr">
        <is>
          <t>Bloomberg source</t>
        </is>
      </c>
      <c r="F17" s="13" t="n"/>
    </row>
    <row r="18">
      <c r="A18" s="8" t="inlineStr">
        <is>
          <t>LIBOR deposits</t>
        </is>
      </c>
      <c r="C18" s="8" t="inlineStr">
        <is>
          <t>SOFR fixing / short OIS</t>
        </is>
      </c>
      <c r="E18" s="14" t="inlineStr">
        <is>
          <t>SOFRRATE Index; USOSFR1Z..USOSFRF</t>
        </is>
      </c>
    </row>
    <row r="19">
      <c r="A19" s="8" t="inlineStr">
        <is>
          <t>Eurodollar futures</t>
        </is>
      </c>
      <c r="C19" s="8" t="inlineStr">
        <is>
          <t>3M SOFR futures (SR3)</t>
        </is>
      </c>
      <c r="E19" s="14" t="inlineStr">
        <is>
          <t>SFRA Comdty  (CT chain)</t>
        </is>
      </c>
    </row>
    <row r="20">
      <c r="A20" s="8" t="inlineStr">
        <is>
          <t>(1M money market)</t>
        </is>
      </c>
      <c r="C20" s="8" t="inlineStr">
        <is>
          <t>1M SOFR futures (SR1)</t>
        </is>
      </c>
      <c r="E20" s="14" t="inlineStr">
        <is>
          <t>SERA Comdty  (CT chain)</t>
        </is>
      </c>
    </row>
    <row r="21">
      <c r="A21" s="8" t="inlineStr">
        <is>
          <t>LIBOR swaps</t>
        </is>
      </c>
      <c r="C21" s="8" t="inlineStr">
        <is>
          <t>SOFR OIS swaps</t>
        </is>
      </c>
      <c r="E21" s="14" t="inlineStr">
        <is>
          <t>USOSFR2..USOSFR50 BGN Curncy</t>
        </is>
      </c>
    </row>
    <row r="22">
      <c r="A22" s="8" t="inlineStr">
        <is>
          <t>Dealer curve</t>
        </is>
      </c>
      <c r="C22" s="8" t="inlineStr">
        <is>
          <t>Bloomberg S490 (validation)</t>
        </is>
      </c>
      <c r="E22" s="14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5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5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5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5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5" t="inlineStr">
        <is>
          <t>Three differences vs. Lehman 2002 (where 'modern' is not a literal copy):</t>
        </is>
      </c>
    </row>
    <row r="31" ht="28" customHeight="1">
      <c r="A31" s="11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11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11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5" t="inlineStr">
        <is>
          <t>1. SOFR_Fixings</t>
        </is>
      </c>
      <c r="B36" s="3" t="inlineStr">
        <is>
          <t>Overnight SOFR fixing — current (BDP) + daily history (BDH).</t>
        </is>
      </c>
    </row>
    <row r="37">
      <c r="A37" s="15" t="inlineStr">
        <is>
          <t>2. SOFR_Futures</t>
        </is>
      </c>
      <c r="B37" s="3" t="inlineStr">
        <is>
          <t>SR3 (3M) and SR1 (1M) SOFR futures chains + fields + implied rate = 100 − price.</t>
        </is>
      </c>
    </row>
    <row r="38">
      <c r="A38" s="15" t="inlineStr">
        <is>
          <t>3. SOFR_OIS_Quotes</t>
        </is>
      </c>
      <c r="B38" s="3" t="inlineStr">
        <is>
          <t>Full USOSFR OIS strip (1W–50Y): bid / ask / last + mid. Bootstrap-set flagged.</t>
        </is>
      </c>
    </row>
    <row r="39">
      <c r="A39" s="15" t="inlineStr">
        <is>
          <t>4. Bloomberg_S490_Validation</t>
        </is>
      </c>
      <c r="B39" s="3" t="inlineStr">
        <is>
          <t>Bloomberg's own USD SOFR curve (S490) for benchmarking your bootstrap.</t>
        </is>
      </c>
    </row>
    <row r="40">
      <c r="A40" s="15" t="inlineStr">
        <is>
          <t>5. Conventions</t>
        </is>
      </c>
      <c r="B40" s="3" t="inlineStr">
        <is>
          <t>DES/SWPM conventions for representative OIS (spot lag, day counts, compounding, EOM…).</t>
        </is>
      </c>
    </row>
    <row r="42">
      <c r="A42" s="16" t="inlineStr">
        <is>
          <t>DO NOT substitute these (wrong instruments):</t>
        </is>
      </c>
    </row>
    <row r="43">
      <c r="A43" s="11" t="inlineStr">
        <is>
          <t>•  TSFR1M/3M/6M/12M Index  — Term SOFR benchmarks, NOT overnight-SOFR OIS calibration instruments.</t>
        </is>
      </c>
    </row>
    <row r="44">
      <c r="A44" s="11" t="inlineStr">
        <is>
          <t>•  USISSO02/05/10/30 Index — ICE Swap Rate fixings, NOT the live OIS quote strip needed to bootstrap.</t>
        </is>
      </c>
    </row>
    <row r="45">
      <c r="A45" s="11" t="inlineStr">
        <is>
          <t>•  Use PX midpoint (bid+ask)/2 for construction; use PX_LAST only where bid/ask are unavailable.</t>
        </is>
      </c>
    </row>
    <row r="47" ht="28" customHeight="1">
      <c r="A47" s="11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48"/>
  </sheetData>
  <mergeCells count="50">
    <mergeCell ref="A16:F16"/>
    <mergeCell ref="D11:F11"/>
    <mergeCell ref="D13:F13"/>
    <mergeCell ref="B25:F25"/>
    <mergeCell ref="E17:F17"/>
    <mergeCell ref="B27:F27"/>
    <mergeCell ref="A2:F2"/>
    <mergeCell ref="C20:D20"/>
    <mergeCell ref="A33:F33"/>
    <mergeCell ref="E20:F20"/>
    <mergeCell ref="B39:F39"/>
    <mergeCell ref="A42:F42"/>
    <mergeCell ref="E19:F19"/>
    <mergeCell ref="A32:F32"/>
    <mergeCell ref="D12:F12"/>
    <mergeCell ref="D9:F9"/>
    <mergeCell ref="C22:D22"/>
    <mergeCell ref="A35:F35"/>
    <mergeCell ref="A18:B18"/>
    <mergeCell ref="D8:F8"/>
    <mergeCell ref="A43:F43"/>
    <mergeCell ref="A21:B21"/>
    <mergeCell ref="D14:F14"/>
    <mergeCell ref="C21:D21"/>
    <mergeCell ref="B38:F38"/>
    <mergeCell ref="A44:F44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A20:B20"/>
    <mergeCell ref="A19:B19"/>
    <mergeCell ref="A1:F1"/>
    <mergeCell ref="A45:F45"/>
    <mergeCell ref="C19:D19"/>
    <mergeCell ref="E22:F22"/>
    <mergeCell ref="B36:F36"/>
    <mergeCell ref="C18:D18"/>
    <mergeCell ref="A4:F5"/>
    <mergeCell ref="E18:F18"/>
    <mergeCell ref="B26:F26"/>
    <mergeCell ref="A7:F7"/>
    <mergeCell ref="E21:F21"/>
    <mergeCell ref="A47:F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 ht="26" customHeight="1">
      <c r="A1" s="1" t="inlineStr">
        <is>
          <t>SOFR_Fixings</t>
        </is>
      </c>
    </row>
    <row r="2" ht="16" customHeight="1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8">
        <f>SOFR_TKR</f>
        <v/>
      </c>
      <c r="B6" s="8" t="inlineStr">
        <is>
          <t>PX_LAST</t>
        </is>
      </c>
      <c r="C6" s="17">
        <f>IFERROR(BDP(SOFR_TKR,"PX_LAST"),"open in Bloomberg")</f>
        <v/>
      </c>
      <c r="D6" s="18">
        <f>IFERROR(BDP(SOFR_TKR,"LAST_UPDATE_DT"),"—")</f>
        <v/>
      </c>
    </row>
    <row r="9">
      <c r="A9" s="4" t="inlineStr">
        <is>
          <t>DAILY HISTORY</t>
        </is>
      </c>
    </row>
    <row r="10">
      <c r="A10" s="11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IFERROR(BDH(SOFR_TKR,"PX_LAST",TEXT(HIST_START,"mm/dd/yyyy"),TEXT(HIST_END,"mm/dd/yyyy")),"open in Bloomberg")</f>
        <v/>
      </c>
    </row>
  </sheetData>
  <mergeCells count="5">
    <mergeCell ref="A1:D1"/>
    <mergeCell ref="A9:D9"/>
    <mergeCell ref="A10:F10"/>
    <mergeCell ref="A4:D4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 ht="26" customHeight="1">
      <c r="A1" s="1" t="inlineStr">
        <is>
          <t>SOFR_Futures</t>
        </is>
      </c>
    </row>
    <row r="2" ht="16" customHeight="1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11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8">
        <f>BDS("SFRA Comdty","FUT_CHAIN")</f>
        <v/>
      </c>
      <c r="B7" s="8">
        <f>IFERROR(BDP($A7,"SECURITY_DES"),"")</f>
        <v/>
      </c>
      <c r="C7" s="21">
        <f>IFERROR(BDP($A7,"PX_LAST"),"")</f>
        <v/>
      </c>
      <c r="D7" s="21">
        <f>IFERROR(BDP($A7,"PX_BID"),"")</f>
        <v/>
      </c>
      <c r="E7" s="21">
        <f>IFERROR(BDP($A7,"PX_ASK"),"")</f>
        <v/>
      </c>
      <c r="F7" s="21">
        <f>IFERROR(100-C7,"")</f>
        <v/>
      </c>
      <c r="G7" s="8">
        <f>IFERROR(BDP($A7,"FUT_MONTH_YR"),"")</f>
        <v/>
      </c>
      <c r="H7" s="18">
        <f>IFERROR(BDP($A7,"FUT_DLV_DT_FIRST"),"")</f>
        <v/>
      </c>
      <c r="I7" s="18">
        <f>IFERROR(BDP($A7,"LAST_TRADEABLE_DT"),"")</f>
        <v/>
      </c>
      <c r="J7" s="22">
        <f>IFERROR(BDP($A7,"VOLUME"),"")</f>
        <v/>
      </c>
      <c r="K7" s="22">
        <f>IFERROR(BDP($A7,"OPEN_INT"),"")</f>
        <v/>
      </c>
    </row>
    <row r="8">
      <c r="A8" s="23" t="n"/>
      <c r="B8" s="23">
        <f>IFERROR(BDP($A8,"SECURITY_DES"),"")</f>
        <v/>
      </c>
      <c r="C8" s="17">
        <f>IFERROR(BDP($A8,"PX_LAST"),"")</f>
        <v/>
      </c>
      <c r="D8" s="17">
        <f>IFERROR(BDP($A8,"PX_BID"),"")</f>
        <v/>
      </c>
      <c r="E8" s="17">
        <f>IFERROR(BDP($A8,"PX_ASK"),"")</f>
        <v/>
      </c>
      <c r="F8" s="17">
        <f>IFERROR(100-C8,"")</f>
        <v/>
      </c>
      <c r="G8" s="23">
        <f>IFERROR(BDP($A8,"FUT_MONTH_YR"),"")</f>
        <v/>
      </c>
      <c r="H8" s="24">
        <f>IFERROR(BDP($A8,"FUT_DLV_DT_FIRST"),"")</f>
        <v/>
      </c>
      <c r="I8" s="24">
        <f>IFERROR(BDP($A8,"LAST_TRADEABLE_DT"),"")</f>
        <v/>
      </c>
      <c r="J8" s="25">
        <f>IFERROR(BDP($A8,"VOLUME"),"")</f>
        <v/>
      </c>
      <c r="K8" s="25">
        <f>IFERROR(BDP($A8,"OPEN_INT"),"")</f>
        <v/>
      </c>
    </row>
    <row r="9">
      <c r="A9" s="8" t="n"/>
      <c r="B9" s="8">
        <f>IFERROR(BDP($A9,"SECURITY_DES"),"")</f>
        <v/>
      </c>
      <c r="C9" s="21">
        <f>IFERROR(BDP($A9,"PX_LAST"),"")</f>
        <v/>
      </c>
      <c r="D9" s="21">
        <f>IFERROR(BDP($A9,"PX_BID"),"")</f>
        <v/>
      </c>
      <c r="E9" s="21">
        <f>IFERROR(BDP($A9,"PX_ASK"),"")</f>
        <v/>
      </c>
      <c r="F9" s="21">
        <f>IFERROR(100-C9,"")</f>
        <v/>
      </c>
      <c r="G9" s="8">
        <f>IFERROR(BDP($A9,"FUT_MONTH_YR"),"")</f>
        <v/>
      </c>
      <c r="H9" s="18">
        <f>IFERROR(BDP($A9,"FUT_DLV_DT_FIRST"),"")</f>
        <v/>
      </c>
      <c r="I9" s="18">
        <f>IFERROR(BDP($A9,"LAST_TRADEABLE_DT"),"")</f>
        <v/>
      </c>
      <c r="J9" s="22">
        <f>IFERROR(BDP($A9,"VOLUME"),"")</f>
        <v/>
      </c>
      <c r="K9" s="22">
        <f>IFERROR(BDP($A9,"OPEN_INT"),"")</f>
        <v/>
      </c>
    </row>
    <row r="10">
      <c r="A10" s="23" t="n"/>
      <c r="B10" s="23">
        <f>IFERROR(BDP($A10,"SECURITY_DES"),"")</f>
        <v/>
      </c>
      <c r="C10" s="17">
        <f>IFERROR(BDP($A10,"PX_LAST"),"")</f>
        <v/>
      </c>
      <c r="D10" s="17">
        <f>IFERROR(BDP($A10,"PX_BID"),"")</f>
        <v/>
      </c>
      <c r="E10" s="17">
        <f>IFERROR(BDP($A10,"PX_ASK"),"")</f>
        <v/>
      </c>
      <c r="F10" s="17">
        <f>IFERROR(100-C10,"")</f>
        <v/>
      </c>
      <c r="G10" s="23">
        <f>IFERROR(BDP($A10,"FUT_MONTH_YR"),"")</f>
        <v/>
      </c>
      <c r="H10" s="24">
        <f>IFERROR(BDP($A10,"FUT_DLV_DT_FIRST"),"")</f>
        <v/>
      </c>
      <c r="I10" s="24">
        <f>IFERROR(BDP($A10,"LAST_TRADEABLE_DT"),"")</f>
        <v/>
      </c>
      <c r="J10" s="25">
        <f>IFERROR(BDP($A10,"VOLUME"),"")</f>
        <v/>
      </c>
      <c r="K10" s="25">
        <f>IFERROR(BDP($A10,"OPEN_INT"),"")</f>
        <v/>
      </c>
    </row>
    <row r="11">
      <c r="A11" s="8" t="n"/>
      <c r="B11" s="8">
        <f>IFERROR(BDP($A11,"SECURITY_DES"),"")</f>
        <v/>
      </c>
      <c r="C11" s="21">
        <f>IFERROR(BDP($A11,"PX_LAST"),"")</f>
        <v/>
      </c>
      <c r="D11" s="21">
        <f>IFERROR(BDP($A11,"PX_BID"),"")</f>
        <v/>
      </c>
      <c r="E11" s="21">
        <f>IFERROR(BDP($A11,"PX_ASK"),"")</f>
        <v/>
      </c>
      <c r="F11" s="21">
        <f>IFERROR(100-C11,"")</f>
        <v/>
      </c>
      <c r="G11" s="8">
        <f>IFERROR(BDP($A11,"FUT_MONTH_YR"),"")</f>
        <v/>
      </c>
      <c r="H11" s="18">
        <f>IFERROR(BDP($A11,"FUT_DLV_DT_FIRST"),"")</f>
        <v/>
      </c>
      <c r="I11" s="18">
        <f>IFERROR(BDP($A11,"LAST_TRADEABLE_DT"),"")</f>
        <v/>
      </c>
      <c r="J11" s="22">
        <f>IFERROR(BDP($A11,"VOLUME"),"")</f>
        <v/>
      </c>
      <c r="K11" s="22">
        <f>IFERROR(BDP($A11,"OPEN_INT"),"")</f>
        <v/>
      </c>
    </row>
    <row r="12">
      <c r="A12" s="23" t="n"/>
      <c r="B12" s="23">
        <f>IFERROR(BDP($A12,"SECURITY_DES"),"")</f>
        <v/>
      </c>
      <c r="C12" s="17">
        <f>IFERROR(BDP($A12,"PX_LAST"),"")</f>
        <v/>
      </c>
      <c r="D12" s="17">
        <f>IFERROR(BDP($A12,"PX_BID"),"")</f>
        <v/>
      </c>
      <c r="E12" s="17">
        <f>IFERROR(BDP($A12,"PX_ASK"),"")</f>
        <v/>
      </c>
      <c r="F12" s="17">
        <f>IFERROR(100-C12,"")</f>
        <v/>
      </c>
      <c r="G12" s="23">
        <f>IFERROR(BDP($A12,"FUT_MONTH_YR"),"")</f>
        <v/>
      </c>
      <c r="H12" s="24">
        <f>IFERROR(BDP($A12,"FUT_DLV_DT_FIRST"),"")</f>
        <v/>
      </c>
      <c r="I12" s="24">
        <f>IFERROR(BDP($A12,"LAST_TRADEABLE_DT"),"")</f>
        <v/>
      </c>
      <c r="J12" s="25">
        <f>IFERROR(BDP($A12,"VOLUME"),"")</f>
        <v/>
      </c>
      <c r="K12" s="25">
        <f>IFERROR(BDP($A12,"OPEN_INT"),"")</f>
        <v/>
      </c>
    </row>
    <row r="13">
      <c r="A13" s="8" t="n"/>
      <c r="B13" s="8">
        <f>IFERROR(BDP($A13,"SECURITY_DES"),"")</f>
        <v/>
      </c>
      <c r="C13" s="21">
        <f>IFERROR(BDP($A13,"PX_LAST"),"")</f>
        <v/>
      </c>
      <c r="D13" s="21">
        <f>IFERROR(BDP($A13,"PX_BID"),"")</f>
        <v/>
      </c>
      <c r="E13" s="21">
        <f>IFERROR(BDP($A13,"PX_ASK"),"")</f>
        <v/>
      </c>
      <c r="F13" s="21">
        <f>IFERROR(100-C13,"")</f>
        <v/>
      </c>
      <c r="G13" s="8">
        <f>IFERROR(BDP($A13,"FUT_MONTH_YR"),"")</f>
        <v/>
      </c>
      <c r="H13" s="18">
        <f>IFERROR(BDP($A13,"FUT_DLV_DT_FIRST"),"")</f>
        <v/>
      </c>
      <c r="I13" s="18">
        <f>IFERROR(BDP($A13,"LAST_TRADEABLE_DT"),"")</f>
        <v/>
      </c>
      <c r="J13" s="22">
        <f>IFERROR(BDP($A13,"VOLUME"),"")</f>
        <v/>
      </c>
      <c r="K13" s="22">
        <f>IFERROR(BDP($A13,"OPEN_INT"),"")</f>
        <v/>
      </c>
    </row>
    <row r="14">
      <c r="A14" s="23" t="n"/>
      <c r="B14" s="23">
        <f>IFERROR(BDP($A14,"SECURITY_DES"),"")</f>
        <v/>
      </c>
      <c r="C14" s="17">
        <f>IFERROR(BDP($A14,"PX_LAST"),"")</f>
        <v/>
      </c>
      <c r="D14" s="17">
        <f>IFERROR(BDP($A14,"PX_BID"),"")</f>
        <v/>
      </c>
      <c r="E14" s="17">
        <f>IFERROR(BDP($A14,"PX_ASK"),"")</f>
        <v/>
      </c>
      <c r="F14" s="17">
        <f>IFERROR(100-C14,"")</f>
        <v/>
      </c>
      <c r="G14" s="23">
        <f>IFERROR(BDP($A14,"FUT_MONTH_YR"),"")</f>
        <v/>
      </c>
      <c r="H14" s="24">
        <f>IFERROR(BDP($A14,"FUT_DLV_DT_FIRST"),"")</f>
        <v/>
      </c>
      <c r="I14" s="24">
        <f>IFERROR(BDP($A14,"LAST_TRADEABLE_DT"),"")</f>
        <v/>
      </c>
      <c r="J14" s="25">
        <f>IFERROR(BDP($A14,"VOLUME"),"")</f>
        <v/>
      </c>
      <c r="K14" s="25">
        <f>IFERROR(BDP($A14,"OPEN_INT"),"")</f>
        <v/>
      </c>
    </row>
    <row r="15">
      <c r="A15" s="8" t="n"/>
      <c r="B15" s="8">
        <f>IFERROR(BDP($A15,"SECURITY_DES"),"")</f>
        <v/>
      </c>
      <c r="C15" s="21">
        <f>IFERROR(BDP($A15,"PX_LAST"),"")</f>
        <v/>
      </c>
      <c r="D15" s="21">
        <f>IFERROR(BDP($A15,"PX_BID"),"")</f>
        <v/>
      </c>
      <c r="E15" s="21">
        <f>IFERROR(BDP($A15,"PX_ASK"),"")</f>
        <v/>
      </c>
      <c r="F15" s="21">
        <f>IFERROR(100-C15,"")</f>
        <v/>
      </c>
      <c r="G15" s="8">
        <f>IFERROR(BDP($A15,"FUT_MONTH_YR"),"")</f>
        <v/>
      </c>
      <c r="H15" s="18">
        <f>IFERROR(BDP($A15,"FUT_DLV_DT_FIRST"),"")</f>
        <v/>
      </c>
      <c r="I15" s="18">
        <f>IFERROR(BDP($A15,"LAST_TRADEABLE_DT"),"")</f>
        <v/>
      </c>
      <c r="J15" s="22">
        <f>IFERROR(BDP($A15,"VOLUME"),"")</f>
        <v/>
      </c>
      <c r="K15" s="22">
        <f>IFERROR(BDP($A15,"OPEN_INT"),"")</f>
        <v/>
      </c>
    </row>
    <row r="16">
      <c r="A16" s="23" t="n"/>
      <c r="B16" s="23">
        <f>IFERROR(BDP($A16,"SECURITY_DES"),"")</f>
        <v/>
      </c>
      <c r="C16" s="17">
        <f>IFERROR(BDP($A16,"PX_LAST"),"")</f>
        <v/>
      </c>
      <c r="D16" s="17">
        <f>IFERROR(BDP($A16,"PX_BID"),"")</f>
        <v/>
      </c>
      <c r="E16" s="17">
        <f>IFERROR(BDP($A16,"PX_ASK"),"")</f>
        <v/>
      </c>
      <c r="F16" s="17">
        <f>IFERROR(100-C16,"")</f>
        <v/>
      </c>
      <c r="G16" s="23">
        <f>IFERROR(BDP($A16,"FUT_MONTH_YR"),"")</f>
        <v/>
      </c>
      <c r="H16" s="24">
        <f>IFERROR(BDP($A16,"FUT_DLV_DT_FIRST"),"")</f>
        <v/>
      </c>
      <c r="I16" s="24">
        <f>IFERROR(BDP($A16,"LAST_TRADEABLE_DT"),"")</f>
        <v/>
      </c>
      <c r="J16" s="25">
        <f>IFERROR(BDP($A16,"VOLUME"),"")</f>
        <v/>
      </c>
      <c r="K16" s="25">
        <f>IFERROR(BDP($A16,"OPEN_INT"),"")</f>
        <v/>
      </c>
    </row>
    <row r="17">
      <c r="A17" s="8" t="n"/>
      <c r="B17" s="8">
        <f>IFERROR(BDP($A17,"SECURITY_DES"),"")</f>
        <v/>
      </c>
      <c r="C17" s="21">
        <f>IFERROR(BDP($A17,"PX_LAST"),"")</f>
        <v/>
      </c>
      <c r="D17" s="21">
        <f>IFERROR(BDP($A17,"PX_BID"),"")</f>
        <v/>
      </c>
      <c r="E17" s="21">
        <f>IFERROR(BDP($A17,"PX_ASK"),"")</f>
        <v/>
      </c>
      <c r="F17" s="21">
        <f>IFERROR(100-C17,"")</f>
        <v/>
      </c>
      <c r="G17" s="8">
        <f>IFERROR(BDP($A17,"FUT_MONTH_YR"),"")</f>
        <v/>
      </c>
      <c r="H17" s="18">
        <f>IFERROR(BDP($A17,"FUT_DLV_DT_FIRST"),"")</f>
        <v/>
      </c>
      <c r="I17" s="18">
        <f>IFERROR(BDP($A17,"LAST_TRADEABLE_DT"),"")</f>
        <v/>
      </c>
      <c r="J17" s="22">
        <f>IFERROR(BDP($A17,"VOLUME"),"")</f>
        <v/>
      </c>
      <c r="K17" s="22">
        <f>IFERROR(BDP($A17,"OPEN_INT"),"")</f>
        <v/>
      </c>
    </row>
    <row r="18">
      <c r="A18" s="23" t="n"/>
      <c r="B18" s="23">
        <f>IFERROR(BDP($A18,"SECURITY_DES"),"")</f>
        <v/>
      </c>
      <c r="C18" s="17">
        <f>IFERROR(BDP($A18,"PX_LAST"),"")</f>
        <v/>
      </c>
      <c r="D18" s="17">
        <f>IFERROR(BDP($A18,"PX_BID"),"")</f>
        <v/>
      </c>
      <c r="E18" s="17">
        <f>IFERROR(BDP($A18,"PX_ASK"),"")</f>
        <v/>
      </c>
      <c r="F18" s="17">
        <f>IFERROR(100-C18,"")</f>
        <v/>
      </c>
      <c r="G18" s="23">
        <f>IFERROR(BDP($A18,"FUT_MONTH_YR"),"")</f>
        <v/>
      </c>
      <c r="H18" s="24">
        <f>IFERROR(BDP($A18,"FUT_DLV_DT_FIRST"),"")</f>
        <v/>
      </c>
      <c r="I18" s="24">
        <f>IFERROR(BDP($A18,"LAST_TRADEABLE_DT"),"")</f>
        <v/>
      </c>
      <c r="J18" s="25">
        <f>IFERROR(BDP($A18,"VOLUME"),"")</f>
        <v/>
      </c>
      <c r="K18" s="25">
        <f>IFERROR(BDP($A18,"OPEN_INT"),"")</f>
        <v/>
      </c>
    </row>
    <row r="19">
      <c r="A19" s="8" t="n"/>
      <c r="B19" s="8">
        <f>IFERROR(BDP($A19,"SECURITY_DES"),"")</f>
        <v/>
      </c>
      <c r="C19" s="21">
        <f>IFERROR(BDP($A19,"PX_LAST"),"")</f>
        <v/>
      </c>
      <c r="D19" s="21">
        <f>IFERROR(BDP($A19,"PX_BID"),"")</f>
        <v/>
      </c>
      <c r="E19" s="21">
        <f>IFERROR(BDP($A19,"PX_ASK"),"")</f>
        <v/>
      </c>
      <c r="F19" s="21">
        <f>IFERROR(100-C19,"")</f>
        <v/>
      </c>
      <c r="G19" s="8">
        <f>IFERROR(BDP($A19,"FUT_MONTH_YR"),"")</f>
        <v/>
      </c>
      <c r="H19" s="18">
        <f>IFERROR(BDP($A19,"FUT_DLV_DT_FIRST"),"")</f>
        <v/>
      </c>
      <c r="I19" s="18">
        <f>IFERROR(BDP($A19,"LAST_TRADEABLE_DT"),"")</f>
        <v/>
      </c>
      <c r="J19" s="22">
        <f>IFERROR(BDP($A19,"VOLUME"),"")</f>
        <v/>
      </c>
      <c r="K19" s="22">
        <f>IFERROR(BDP($A19,"OPEN_INT"),"")</f>
        <v/>
      </c>
    </row>
    <row r="20">
      <c r="A20" s="23" t="n"/>
      <c r="B20" s="23">
        <f>IFERROR(BDP($A20,"SECURITY_DES"),"")</f>
        <v/>
      </c>
      <c r="C20" s="17">
        <f>IFERROR(BDP($A20,"PX_LAST"),"")</f>
        <v/>
      </c>
      <c r="D20" s="17">
        <f>IFERROR(BDP($A20,"PX_BID"),"")</f>
        <v/>
      </c>
      <c r="E20" s="17">
        <f>IFERROR(BDP($A20,"PX_ASK"),"")</f>
        <v/>
      </c>
      <c r="F20" s="17">
        <f>IFERROR(100-C20,"")</f>
        <v/>
      </c>
      <c r="G20" s="23">
        <f>IFERROR(BDP($A20,"FUT_MONTH_YR"),"")</f>
        <v/>
      </c>
      <c r="H20" s="24">
        <f>IFERROR(BDP($A20,"FUT_DLV_DT_FIRST"),"")</f>
        <v/>
      </c>
      <c r="I20" s="24">
        <f>IFERROR(BDP($A20,"LAST_TRADEABLE_DT"),"")</f>
        <v/>
      </c>
      <c r="J20" s="25">
        <f>IFERROR(BDP($A20,"VOLUME"),"")</f>
        <v/>
      </c>
      <c r="K20" s="25">
        <f>IFERROR(BDP($A20,"OPEN_INT"),"")</f>
        <v/>
      </c>
    </row>
    <row r="21">
      <c r="A21" s="8" t="n"/>
      <c r="B21" s="8">
        <f>IFERROR(BDP($A21,"SECURITY_DES"),"")</f>
        <v/>
      </c>
      <c r="C21" s="21">
        <f>IFERROR(BDP($A21,"PX_LAST"),"")</f>
        <v/>
      </c>
      <c r="D21" s="21">
        <f>IFERROR(BDP($A21,"PX_BID"),"")</f>
        <v/>
      </c>
      <c r="E21" s="21">
        <f>IFERROR(BDP($A21,"PX_ASK"),"")</f>
        <v/>
      </c>
      <c r="F21" s="21">
        <f>IFERROR(100-C21,"")</f>
        <v/>
      </c>
      <c r="G21" s="8">
        <f>IFERROR(BDP($A21,"FUT_MONTH_YR"),"")</f>
        <v/>
      </c>
      <c r="H21" s="18">
        <f>IFERROR(BDP($A21,"FUT_DLV_DT_FIRST"),"")</f>
        <v/>
      </c>
      <c r="I21" s="18">
        <f>IFERROR(BDP($A21,"LAST_TRADEABLE_DT"),"")</f>
        <v/>
      </c>
      <c r="J21" s="22">
        <f>IFERROR(BDP($A21,"VOLUME"),"")</f>
        <v/>
      </c>
      <c r="K21" s="22">
        <f>IFERROR(BDP($A21,"OPEN_INT"),"")</f>
        <v/>
      </c>
    </row>
    <row r="22">
      <c r="A22" s="23" t="n"/>
      <c r="B22" s="23">
        <f>IFERROR(BDP($A22,"SECURITY_DES"),"")</f>
        <v/>
      </c>
      <c r="C22" s="17">
        <f>IFERROR(BDP($A22,"PX_LAST"),"")</f>
        <v/>
      </c>
      <c r="D22" s="17">
        <f>IFERROR(BDP($A22,"PX_BID"),"")</f>
        <v/>
      </c>
      <c r="E22" s="17">
        <f>IFERROR(BDP($A22,"PX_ASK"),"")</f>
        <v/>
      </c>
      <c r="F22" s="17">
        <f>IFERROR(100-C22,"")</f>
        <v/>
      </c>
      <c r="G22" s="23">
        <f>IFERROR(BDP($A22,"FUT_MONTH_YR"),"")</f>
        <v/>
      </c>
      <c r="H22" s="24">
        <f>IFERROR(BDP($A22,"FUT_DLV_DT_FIRST"),"")</f>
        <v/>
      </c>
      <c r="I22" s="24">
        <f>IFERROR(BDP($A22,"LAST_TRADEABLE_DT"),"")</f>
        <v/>
      </c>
      <c r="J22" s="25">
        <f>IFERROR(BDP($A22,"VOLUME"),"")</f>
        <v/>
      </c>
      <c r="K22" s="25">
        <f>IFERROR(BDP($A22,"OPEN_INT"),"")</f>
        <v/>
      </c>
    </row>
    <row r="23">
      <c r="A23" s="8" t="n"/>
      <c r="B23" s="8">
        <f>IFERROR(BDP($A23,"SECURITY_DES"),"")</f>
        <v/>
      </c>
      <c r="C23" s="21">
        <f>IFERROR(BDP($A23,"PX_LAST"),"")</f>
        <v/>
      </c>
      <c r="D23" s="21">
        <f>IFERROR(BDP($A23,"PX_BID"),"")</f>
        <v/>
      </c>
      <c r="E23" s="21">
        <f>IFERROR(BDP($A23,"PX_ASK"),"")</f>
        <v/>
      </c>
      <c r="F23" s="21">
        <f>IFERROR(100-C23,"")</f>
        <v/>
      </c>
      <c r="G23" s="8">
        <f>IFERROR(BDP($A23,"FUT_MONTH_YR"),"")</f>
        <v/>
      </c>
      <c r="H23" s="18">
        <f>IFERROR(BDP($A23,"FUT_DLV_DT_FIRST"),"")</f>
        <v/>
      </c>
      <c r="I23" s="18">
        <f>IFERROR(BDP($A23,"LAST_TRADEABLE_DT"),"")</f>
        <v/>
      </c>
      <c r="J23" s="22">
        <f>IFERROR(BDP($A23,"VOLUME"),"")</f>
        <v/>
      </c>
      <c r="K23" s="22">
        <f>IFERROR(BDP($A23,"OPEN_INT"),"")</f>
        <v/>
      </c>
    </row>
    <row r="24">
      <c r="A24" s="23" t="n"/>
      <c r="B24" s="23">
        <f>IFERROR(BDP($A24,"SECURITY_DES"),"")</f>
        <v/>
      </c>
      <c r="C24" s="17">
        <f>IFERROR(BDP($A24,"PX_LAST"),"")</f>
        <v/>
      </c>
      <c r="D24" s="17">
        <f>IFERROR(BDP($A24,"PX_BID"),"")</f>
        <v/>
      </c>
      <c r="E24" s="17">
        <f>IFERROR(BDP($A24,"PX_ASK"),"")</f>
        <v/>
      </c>
      <c r="F24" s="17">
        <f>IFERROR(100-C24,"")</f>
        <v/>
      </c>
      <c r="G24" s="23">
        <f>IFERROR(BDP($A24,"FUT_MONTH_YR"),"")</f>
        <v/>
      </c>
      <c r="H24" s="24">
        <f>IFERROR(BDP($A24,"FUT_DLV_DT_FIRST"),"")</f>
        <v/>
      </c>
      <c r="I24" s="24">
        <f>IFERROR(BDP($A24,"LAST_TRADEABLE_DT"),"")</f>
        <v/>
      </c>
      <c r="J24" s="25">
        <f>IFERROR(BDP($A24,"VOLUME"),"")</f>
        <v/>
      </c>
      <c r="K24" s="25">
        <f>IFERROR(BDP($A24,"OPEN_INT"),"")</f>
        <v/>
      </c>
    </row>
    <row r="25">
      <c r="A25" s="8" t="n"/>
      <c r="B25" s="8">
        <f>IFERROR(BDP($A25,"SECURITY_DES"),"")</f>
        <v/>
      </c>
      <c r="C25" s="21">
        <f>IFERROR(BDP($A25,"PX_LAST"),"")</f>
        <v/>
      </c>
      <c r="D25" s="21">
        <f>IFERROR(BDP($A25,"PX_BID"),"")</f>
        <v/>
      </c>
      <c r="E25" s="21">
        <f>IFERROR(BDP($A25,"PX_ASK"),"")</f>
        <v/>
      </c>
      <c r="F25" s="21">
        <f>IFERROR(100-C25,"")</f>
        <v/>
      </c>
      <c r="G25" s="8">
        <f>IFERROR(BDP($A25,"FUT_MONTH_YR"),"")</f>
        <v/>
      </c>
      <c r="H25" s="18">
        <f>IFERROR(BDP($A25,"FUT_DLV_DT_FIRST"),"")</f>
        <v/>
      </c>
      <c r="I25" s="18">
        <f>IFERROR(BDP($A25,"LAST_TRADEABLE_DT"),"")</f>
        <v/>
      </c>
      <c r="J25" s="22">
        <f>IFERROR(BDP($A25,"VOLUME"),"")</f>
        <v/>
      </c>
      <c r="K25" s="22">
        <f>IFERROR(BDP($A25,"OPEN_INT"),"")</f>
        <v/>
      </c>
    </row>
    <row r="26">
      <c r="A26" s="23" t="n"/>
      <c r="B26" s="23">
        <f>IFERROR(BDP($A26,"SECURITY_DES"),"")</f>
        <v/>
      </c>
      <c r="C26" s="17">
        <f>IFERROR(BDP($A26,"PX_LAST"),"")</f>
        <v/>
      </c>
      <c r="D26" s="17">
        <f>IFERROR(BDP($A26,"PX_BID"),"")</f>
        <v/>
      </c>
      <c r="E26" s="17">
        <f>IFERROR(BDP($A26,"PX_ASK"),"")</f>
        <v/>
      </c>
      <c r="F26" s="17">
        <f>IFERROR(100-C26,"")</f>
        <v/>
      </c>
      <c r="G26" s="23">
        <f>IFERROR(BDP($A26,"FUT_MONTH_YR"),"")</f>
        <v/>
      </c>
      <c r="H26" s="24">
        <f>IFERROR(BDP($A26,"FUT_DLV_DT_FIRST"),"")</f>
        <v/>
      </c>
      <c r="I26" s="24">
        <f>IFERROR(BDP($A26,"LAST_TRADEABLE_DT"),"")</f>
        <v/>
      </c>
      <c r="J26" s="25">
        <f>IFERROR(BDP($A26,"VOLUME"),"")</f>
        <v/>
      </c>
      <c r="K26" s="25">
        <f>IFERROR(BDP($A26,"OPEN_INT"),"")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11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8">
        <f>BDS("SERA Comdty","FUT_CHAIN")</f>
        <v/>
      </c>
      <c r="B32" s="8">
        <f>IFERROR(BDP($A32,"SECURITY_DES"),"")</f>
        <v/>
      </c>
      <c r="C32" s="21">
        <f>IFERROR(BDP($A32,"PX_LAST"),"")</f>
        <v/>
      </c>
      <c r="D32" s="21">
        <f>IFERROR(BDP($A32,"PX_BID"),"")</f>
        <v/>
      </c>
      <c r="E32" s="21">
        <f>IFERROR(BDP($A32,"PX_ASK"),"")</f>
        <v/>
      </c>
      <c r="F32" s="21">
        <f>IFERROR(100-C32,"")</f>
        <v/>
      </c>
      <c r="G32" s="8">
        <f>IFERROR(BDP($A32,"FUT_MONTH_YR"),"")</f>
        <v/>
      </c>
      <c r="H32" s="18">
        <f>IFERROR(BDP($A32,"FUT_DLV_DT_FIRST"),"")</f>
        <v/>
      </c>
      <c r="I32" s="18">
        <f>IFERROR(BDP($A32,"LAST_TRADEABLE_DT"),"")</f>
        <v/>
      </c>
      <c r="J32" s="22">
        <f>IFERROR(BDP($A32,"VOLUME"),"")</f>
        <v/>
      </c>
      <c r="K32" s="22">
        <f>IFERROR(BDP($A32,"OPEN_INT"),"")</f>
        <v/>
      </c>
    </row>
    <row r="33">
      <c r="A33" s="23" t="n"/>
      <c r="B33" s="23">
        <f>IFERROR(BDP($A33,"SECURITY_DES"),"")</f>
        <v/>
      </c>
      <c r="C33" s="17">
        <f>IFERROR(BDP($A33,"PX_LAST"),"")</f>
        <v/>
      </c>
      <c r="D33" s="17">
        <f>IFERROR(BDP($A33,"PX_BID"),"")</f>
        <v/>
      </c>
      <c r="E33" s="17">
        <f>IFERROR(BDP($A33,"PX_ASK"),"")</f>
        <v/>
      </c>
      <c r="F33" s="17">
        <f>IFERROR(100-C33,"")</f>
        <v/>
      </c>
      <c r="G33" s="23">
        <f>IFERROR(BDP($A33,"FUT_MONTH_YR"),"")</f>
        <v/>
      </c>
      <c r="H33" s="24">
        <f>IFERROR(BDP($A33,"FUT_DLV_DT_FIRST"),"")</f>
        <v/>
      </c>
      <c r="I33" s="24">
        <f>IFERROR(BDP($A33,"LAST_TRADEABLE_DT"),"")</f>
        <v/>
      </c>
      <c r="J33" s="25">
        <f>IFERROR(BDP($A33,"VOLUME"),"")</f>
        <v/>
      </c>
      <c r="K33" s="25">
        <f>IFERROR(BDP($A33,"OPEN_INT"),"")</f>
        <v/>
      </c>
    </row>
    <row r="34">
      <c r="A34" s="8" t="n"/>
      <c r="B34" s="8">
        <f>IFERROR(BDP($A34,"SECURITY_DES"),"")</f>
        <v/>
      </c>
      <c r="C34" s="21">
        <f>IFERROR(BDP($A34,"PX_LAST"),"")</f>
        <v/>
      </c>
      <c r="D34" s="21">
        <f>IFERROR(BDP($A34,"PX_BID"),"")</f>
        <v/>
      </c>
      <c r="E34" s="21">
        <f>IFERROR(BDP($A34,"PX_ASK"),"")</f>
        <v/>
      </c>
      <c r="F34" s="21">
        <f>IFERROR(100-C34,"")</f>
        <v/>
      </c>
      <c r="G34" s="8">
        <f>IFERROR(BDP($A34,"FUT_MONTH_YR"),"")</f>
        <v/>
      </c>
      <c r="H34" s="18">
        <f>IFERROR(BDP($A34,"FUT_DLV_DT_FIRST"),"")</f>
        <v/>
      </c>
      <c r="I34" s="18">
        <f>IFERROR(BDP($A34,"LAST_TRADEABLE_DT"),"")</f>
        <v/>
      </c>
      <c r="J34" s="22">
        <f>IFERROR(BDP($A34,"VOLUME"),"")</f>
        <v/>
      </c>
      <c r="K34" s="22">
        <f>IFERROR(BDP($A34,"OPEN_INT"),"")</f>
        <v/>
      </c>
    </row>
    <row r="35">
      <c r="A35" s="23" t="n"/>
      <c r="B35" s="23">
        <f>IFERROR(BDP($A35,"SECURITY_DES"),"")</f>
        <v/>
      </c>
      <c r="C35" s="17">
        <f>IFERROR(BDP($A35,"PX_LAST"),"")</f>
        <v/>
      </c>
      <c r="D35" s="17">
        <f>IFERROR(BDP($A35,"PX_BID"),"")</f>
        <v/>
      </c>
      <c r="E35" s="17">
        <f>IFERROR(BDP($A35,"PX_ASK"),"")</f>
        <v/>
      </c>
      <c r="F35" s="17">
        <f>IFERROR(100-C35,"")</f>
        <v/>
      </c>
      <c r="G35" s="23">
        <f>IFERROR(BDP($A35,"FUT_MONTH_YR"),"")</f>
        <v/>
      </c>
      <c r="H35" s="24">
        <f>IFERROR(BDP($A35,"FUT_DLV_DT_FIRST"),"")</f>
        <v/>
      </c>
      <c r="I35" s="24">
        <f>IFERROR(BDP($A35,"LAST_TRADEABLE_DT"),"")</f>
        <v/>
      </c>
      <c r="J35" s="25">
        <f>IFERROR(BDP($A35,"VOLUME"),"")</f>
        <v/>
      </c>
      <c r="K35" s="25">
        <f>IFERROR(BDP($A35,"OPEN_INT"),"")</f>
        <v/>
      </c>
    </row>
    <row r="36">
      <c r="A36" s="8" t="n"/>
      <c r="B36" s="8">
        <f>IFERROR(BDP($A36,"SECURITY_DES"),"")</f>
        <v/>
      </c>
      <c r="C36" s="21">
        <f>IFERROR(BDP($A36,"PX_LAST"),"")</f>
        <v/>
      </c>
      <c r="D36" s="21">
        <f>IFERROR(BDP($A36,"PX_BID"),"")</f>
        <v/>
      </c>
      <c r="E36" s="21">
        <f>IFERROR(BDP($A36,"PX_ASK"),"")</f>
        <v/>
      </c>
      <c r="F36" s="21">
        <f>IFERROR(100-C36,"")</f>
        <v/>
      </c>
      <c r="G36" s="8">
        <f>IFERROR(BDP($A36,"FUT_MONTH_YR"),"")</f>
        <v/>
      </c>
      <c r="H36" s="18">
        <f>IFERROR(BDP($A36,"FUT_DLV_DT_FIRST"),"")</f>
        <v/>
      </c>
      <c r="I36" s="18">
        <f>IFERROR(BDP($A36,"LAST_TRADEABLE_DT"),"")</f>
        <v/>
      </c>
      <c r="J36" s="22">
        <f>IFERROR(BDP($A36,"VOLUME"),"")</f>
        <v/>
      </c>
      <c r="K36" s="22">
        <f>IFERROR(BDP($A36,"OPEN_INT"),"")</f>
        <v/>
      </c>
    </row>
    <row r="37">
      <c r="A37" s="23" t="n"/>
      <c r="B37" s="23">
        <f>IFERROR(BDP($A37,"SECURITY_DES"),"")</f>
        <v/>
      </c>
      <c r="C37" s="17">
        <f>IFERROR(BDP($A37,"PX_LAST"),"")</f>
        <v/>
      </c>
      <c r="D37" s="17">
        <f>IFERROR(BDP($A37,"PX_BID"),"")</f>
        <v/>
      </c>
      <c r="E37" s="17">
        <f>IFERROR(BDP($A37,"PX_ASK"),"")</f>
        <v/>
      </c>
      <c r="F37" s="17">
        <f>IFERROR(100-C37,"")</f>
        <v/>
      </c>
      <c r="G37" s="23">
        <f>IFERROR(BDP($A37,"FUT_MONTH_YR"),"")</f>
        <v/>
      </c>
      <c r="H37" s="24">
        <f>IFERROR(BDP($A37,"FUT_DLV_DT_FIRST"),"")</f>
        <v/>
      </c>
      <c r="I37" s="24">
        <f>IFERROR(BDP($A37,"LAST_TRADEABLE_DT"),"")</f>
        <v/>
      </c>
      <c r="J37" s="25">
        <f>IFERROR(BDP($A37,"VOLUME"),"")</f>
        <v/>
      </c>
      <c r="K37" s="25">
        <f>IFERROR(BDP($A37,"OPEN_INT"),"")</f>
        <v/>
      </c>
    </row>
    <row r="38">
      <c r="A38" s="8" t="n"/>
      <c r="B38" s="8">
        <f>IFERROR(BDP($A38,"SECURITY_DES"),"")</f>
        <v/>
      </c>
      <c r="C38" s="21">
        <f>IFERROR(BDP($A38,"PX_LAST"),"")</f>
        <v/>
      </c>
      <c r="D38" s="21">
        <f>IFERROR(BDP($A38,"PX_BID"),"")</f>
        <v/>
      </c>
      <c r="E38" s="21">
        <f>IFERROR(BDP($A38,"PX_ASK"),"")</f>
        <v/>
      </c>
      <c r="F38" s="21">
        <f>IFERROR(100-C38,"")</f>
        <v/>
      </c>
      <c r="G38" s="8">
        <f>IFERROR(BDP($A38,"FUT_MONTH_YR"),"")</f>
        <v/>
      </c>
      <c r="H38" s="18">
        <f>IFERROR(BDP($A38,"FUT_DLV_DT_FIRST"),"")</f>
        <v/>
      </c>
      <c r="I38" s="18">
        <f>IFERROR(BDP($A38,"LAST_TRADEABLE_DT"),"")</f>
        <v/>
      </c>
      <c r="J38" s="22">
        <f>IFERROR(BDP($A38,"VOLUME"),"")</f>
        <v/>
      </c>
      <c r="K38" s="22">
        <f>IFERROR(BDP($A38,"OPEN_INT"),"")</f>
        <v/>
      </c>
    </row>
    <row r="39">
      <c r="A39" s="23" t="n"/>
      <c r="B39" s="23">
        <f>IFERROR(BDP($A39,"SECURITY_DES"),"")</f>
        <v/>
      </c>
      <c r="C39" s="17">
        <f>IFERROR(BDP($A39,"PX_LAST"),"")</f>
        <v/>
      </c>
      <c r="D39" s="17">
        <f>IFERROR(BDP($A39,"PX_BID"),"")</f>
        <v/>
      </c>
      <c r="E39" s="17">
        <f>IFERROR(BDP($A39,"PX_ASK"),"")</f>
        <v/>
      </c>
      <c r="F39" s="17">
        <f>IFERROR(100-C39,"")</f>
        <v/>
      </c>
      <c r="G39" s="23">
        <f>IFERROR(BDP($A39,"FUT_MONTH_YR"),"")</f>
        <v/>
      </c>
      <c r="H39" s="24">
        <f>IFERROR(BDP($A39,"FUT_DLV_DT_FIRST"),"")</f>
        <v/>
      </c>
      <c r="I39" s="24">
        <f>IFERROR(BDP($A39,"LAST_TRADEABLE_DT"),"")</f>
        <v/>
      </c>
      <c r="J39" s="25">
        <f>IFERROR(BDP($A39,"VOLUME"),"")</f>
        <v/>
      </c>
      <c r="K39" s="25">
        <f>IFERROR(BDP($A39,"OPEN_INT"),"")</f>
        <v/>
      </c>
    </row>
    <row r="40">
      <c r="A40" s="8" t="n"/>
      <c r="B40" s="8">
        <f>IFERROR(BDP($A40,"SECURITY_DES"),"")</f>
        <v/>
      </c>
      <c r="C40" s="21">
        <f>IFERROR(BDP($A40,"PX_LAST"),"")</f>
        <v/>
      </c>
      <c r="D40" s="21">
        <f>IFERROR(BDP($A40,"PX_BID"),"")</f>
        <v/>
      </c>
      <c r="E40" s="21">
        <f>IFERROR(BDP($A40,"PX_ASK"),"")</f>
        <v/>
      </c>
      <c r="F40" s="21">
        <f>IFERROR(100-C40,"")</f>
        <v/>
      </c>
      <c r="G40" s="8">
        <f>IFERROR(BDP($A40,"FUT_MONTH_YR"),"")</f>
        <v/>
      </c>
      <c r="H40" s="18">
        <f>IFERROR(BDP($A40,"FUT_DLV_DT_FIRST"),"")</f>
        <v/>
      </c>
      <c r="I40" s="18">
        <f>IFERROR(BDP($A40,"LAST_TRADEABLE_DT"),"")</f>
        <v/>
      </c>
      <c r="J40" s="22">
        <f>IFERROR(BDP($A40,"VOLUME"),"")</f>
        <v/>
      </c>
      <c r="K40" s="22">
        <f>IFERROR(BDP($A40,"OPEN_INT"),"")</f>
        <v/>
      </c>
    </row>
    <row r="41">
      <c r="A41" s="23" t="n"/>
      <c r="B41" s="23">
        <f>IFERROR(BDP($A41,"SECURITY_DES"),"")</f>
        <v/>
      </c>
      <c r="C41" s="17">
        <f>IFERROR(BDP($A41,"PX_LAST"),"")</f>
        <v/>
      </c>
      <c r="D41" s="17">
        <f>IFERROR(BDP($A41,"PX_BID"),"")</f>
        <v/>
      </c>
      <c r="E41" s="17">
        <f>IFERROR(BDP($A41,"PX_ASK"),"")</f>
        <v/>
      </c>
      <c r="F41" s="17">
        <f>IFERROR(100-C41,"")</f>
        <v/>
      </c>
      <c r="G41" s="23">
        <f>IFERROR(BDP($A41,"FUT_MONTH_YR"),"")</f>
        <v/>
      </c>
      <c r="H41" s="24">
        <f>IFERROR(BDP($A41,"FUT_DLV_DT_FIRST"),"")</f>
        <v/>
      </c>
      <c r="I41" s="24">
        <f>IFERROR(BDP($A41,"LAST_TRADEABLE_DT"),"")</f>
        <v/>
      </c>
      <c r="J41" s="25">
        <f>IFERROR(BDP($A41,"VOLUME"),"")</f>
        <v/>
      </c>
      <c r="K41" s="25">
        <f>IFERROR(BDP($A41,"OPEN_INT"),"")</f>
        <v/>
      </c>
    </row>
    <row r="42">
      <c r="A42" s="8" t="n"/>
      <c r="B42" s="8">
        <f>IFERROR(BDP($A42,"SECURITY_DES"),"")</f>
        <v/>
      </c>
      <c r="C42" s="21">
        <f>IFERROR(BDP($A42,"PX_LAST"),"")</f>
        <v/>
      </c>
      <c r="D42" s="21">
        <f>IFERROR(BDP($A42,"PX_BID"),"")</f>
        <v/>
      </c>
      <c r="E42" s="21">
        <f>IFERROR(BDP($A42,"PX_ASK"),"")</f>
        <v/>
      </c>
      <c r="F42" s="21">
        <f>IFERROR(100-C42,"")</f>
        <v/>
      </c>
      <c r="G42" s="8">
        <f>IFERROR(BDP($A42,"FUT_MONTH_YR"),"")</f>
        <v/>
      </c>
      <c r="H42" s="18">
        <f>IFERROR(BDP($A42,"FUT_DLV_DT_FIRST"),"")</f>
        <v/>
      </c>
      <c r="I42" s="18">
        <f>IFERROR(BDP($A42,"LAST_TRADEABLE_DT"),"")</f>
        <v/>
      </c>
      <c r="J42" s="22">
        <f>IFERROR(BDP($A42,"VOLUME"),"")</f>
        <v/>
      </c>
      <c r="K42" s="22">
        <f>IFERROR(BDP($A42,"OPEN_INT"),"")</f>
        <v/>
      </c>
    </row>
    <row r="43">
      <c r="A43" s="23" t="n"/>
      <c r="B43" s="23">
        <f>IFERROR(BDP($A43,"SECURITY_DES"),"")</f>
        <v/>
      </c>
      <c r="C43" s="17">
        <f>IFERROR(BDP($A43,"PX_LAST"),"")</f>
        <v/>
      </c>
      <c r="D43" s="17">
        <f>IFERROR(BDP($A43,"PX_BID"),"")</f>
        <v/>
      </c>
      <c r="E43" s="17">
        <f>IFERROR(BDP($A43,"PX_ASK"),"")</f>
        <v/>
      </c>
      <c r="F43" s="17">
        <f>IFERROR(100-C43,"")</f>
        <v/>
      </c>
      <c r="G43" s="23">
        <f>IFERROR(BDP($A43,"FUT_MONTH_YR"),"")</f>
        <v/>
      </c>
      <c r="H43" s="24">
        <f>IFERROR(BDP($A43,"FUT_DLV_DT_FIRST"),"")</f>
        <v/>
      </c>
      <c r="I43" s="24">
        <f>IFERROR(BDP($A43,"LAST_TRADEABLE_DT"),"")</f>
        <v/>
      </c>
      <c r="J43" s="25">
        <f>IFERROR(BDP($A43,"VOLUME"),"")</f>
        <v/>
      </c>
      <c r="K43" s="25">
        <f>IFERROR(BDP($A43,"OPEN_INT"),"")</f>
        <v/>
      </c>
    </row>
    <row r="44">
      <c r="A44" s="8" t="n"/>
      <c r="B44" s="8">
        <f>IFERROR(BDP($A44,"SECURITY_DES"),"")</f>
        <v/>
      </c>
      <c r="C44" s="21">
        <f>IFERROR(BDP($A44,"PX_LAST"),"")</f>
        <v/>
      </c>
      <c r="D44" s="21">
        <f>IFERROR(BDP($A44,"PX_BID"),"")</f>
        <v/>
      </c>
      <c r="E44" s="21">
        <f>IFERROR(BDP($A44,"PX_ASK"),"")</f>
        <v/>
      </c>
      <c r="F44" s="21">
        <f>IFERROR(100-C44,"")</f>
        <v/>
      </c>
      <c r="G44" s="8">
        <f>IFERROR(BDP($A44,"FUT_MONTH_YR"),"")</f>
        <v/>
      </c>
      <c r="H44" s="18">
        <f>IFERROR(BDP($A44,"FUT_DLV_DT_FIRST"),"")</f>
        <v/>
      </c>
      <c r="I44" s="18">
        <f>IFERROR(BDP($A44,"LAST_TRADEABLE_DT"),"")</f>
        <v/>
      </c>
      <c r="J44" s="22">
        <f>IFERROR(BDP($A44,"VOLUME"),"")</f>
        <v/>
      </c>
      <c r="K44" s="22">
        <f>IFERROR(BDP($A44,"OPEN_INT"),"")</f>
        <v/>
      </c>
    </row>
  </sheetData>
  <mergeCells count="6">
    <mergeCell ref="A4:K4"/>
    <mergeCell ref="A30:K30"/>
    <mergeCell ref="A29:K29"/>
    <mergeCell ref="A2:K2"/>
    <mergeCell ref="A5:K5"/>
    <mergeCell ref="A1:K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8" customWidth="1" min="7" max="7"/>
    <col width="15" customWidth="1" min="8" max="8"/>
  </cols>
  <sheetData>
    <row r="1" ht="26" customHeight="1">
      <c r="A1" s="1" t="inlineStr">
        <is>
          <t>SOFR_OIS_Quotes</t>
        </is>
      </c>
    </row>
    <row r="2" ht="16" customHeight="1">
      <c r="A2" s="2" t="inlineStr">
        <is>
          <t>USD fixed-vs-SOFR OIS strip (USOSFR…, BGN) — 1W to 50Y.  Mid used for construction.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Tenor (yrs)</t>
        </is>
      </c>
      <c r="D4" s="20" t="inlineStr">
        <is>
          <t>PX_BID</t>
        </is>
      </c>
      <c r="E4" s="20" t="inlineStr">
        <is>
          <t>PX_ASK</t>
        </is>
      </c>
      <c r="F4" s="20" t="inlineStr">
        <is>
          <t>PX_LAST</t>
        </is>
      </c>
      <c r="G4" s="20" t="inlineStr">
        <is>
          <t>Mid = (Bid+Ask)/2</t>
        </is>
      </c>
      <c r="H4" s="20" t="inlineStr">
        <is>
          <t>In bootstrap set</t>
        </is>
      </c>
    </row>
    <row r="5">
      <c r="A5" s="8" t="inlineStr">
        <is>
          <t>USOSFR1Z</t>
        </is>
      </c>
      <c r="B5" s="26" t="inlineStr">
        <is>
          <t>1W</t>
        </is>
      </c>
      <c r="C5" s="27" t="n">
        <v>0.0192</v>
      </c>
      <c r="D5" s="21">
        <f>IFERROR(BDP(A5&amp;" "&amp;PX_SRC&amp;" Curncy","PX_BID"),"")</f>
        <v/>
      </c>
      <c r="E5" s="21">
        <f>IFERROR(BDP(A5&amp;" "&amp;PX_SRC&amp;" Curncy","PX_ASK"),"")</f>
        <v/>
      </c>
      <c r="F5" s="21">
        <f>IFERROR(BDP(A5&amp;" "&amp;PX_SRC&amp;" Curncy","PX_LAST"),"")</f>
        <v/>
      </c>
      <c r="G5" s="28">
        <f>IFERROR((D5+E5)/2,IFERROR(F5,""))</f>
        <v/>
      </c>
      <c r="H5" s="29" t="inlineStr">
        <is>
          <t>Y</t>
        </is>
      </c>
    </row>
    <row r="6">
      <c r="A6" s="8" t="inlineStr">
        <is>
          <t>USOSFR2Z</t>
        </is>
      </c>
      <c r="B6" s="26" t="inlineStr">
        <is>
          <t>2W</t>
        </is>
      </c>
      <c r="C6" s="27" t="n">
        <v>0.0385</v>
      </c>
      <c r="D6" s="21">
        <f>IFERROR(BDP(A6&amp;" "&amp;PX_SRC&amp;" Curncy","PX_BID"),"")</f>
        <v/>
      </c>
      <c r="E6" s="21">
        <f>IFERROR(BDP(A6&amp;" "&amp;PX_SRC&amp;" Curncy","PX_ASK"),"")</f>
        <v/>
      </c>
      <c r="F6" s="21">
        <f>IFERROR(BDP(A6&amp;" "&amp;PX_SRC&amp;" Curncy","PX_LAST"),"")</f>
        <v/>
      </c>
      <c r="G6" s="28">
        <f>IFERROR((D6+E6)/2,IFERROR(F6,""))</f>
        <v/>
      </c>
      <c r="H6" s="30" t="inlineStr"/>
    </row>
    <row r="7">
      <c r="A7" s="8" t="inlineStr">
        <is>
          <t>USOSFR3Z</t>
        </is>
      </c>
      <c r="B7" s="26" t="inlineStr">
        <is>
          <t>3W</t>
        </is>
      </c>
      <c r="C7" s="27" t="n">
        <v>0.0577</v>
      </c>
      <c r="D7" s="21">
        <f>IFERROR(BDP(A7&amp;" "&amp;PX_SRC&amp;" Curncy","PX_BID"),"")</f>
        <v/>
      </c>
      <c r="E7" s="21">
        <f>IFERROR(BDP(A7&amp;" "&amp;PX_SRC&amp;" Curncy","PX_ASK"),"")</f>
        <v/>
      </c>
      <c r="F7" s="21">
        <f>IFERROR(BDP(A7&amp;" "&amp;PX_SRC&amp;" Curncy","PX_LAST"),"")</f>
        <v/>
      </c>
      <c r="G7" s="28">
        <f>IFERROR((D7+E7)/2,IFERROR(F7,""))</f>
        <v/>
      </c>
      <c r="H7" s="30" t="inlineStr"/>
    </row>
    <row r="8">
      <c r="A8" s="8" t="inlineStr">
        <is>
          <t>USOSFRA</t>
        </is>
      </c>
      <c r="B8" s="26" t="inlineStr">
        <is>
          <t>1M</t>
        </is>
      </c>
      <c r="C8" s="27" t="n">
        <v>0.0833</v>
      </c>
      <c r="D8" s="21">
        <f>IFERROR(BDP(A8&amp;" "&amp;PX_SRC&amp;" Curncy","PX_BID"),"")</f>
        <v/>
      </c>
      <c r="E8" s="21">
        <f>IFERROR(BDP(A8&amp;" "&amp;PX_SRC&amp;" Curncy","PX_ASK"),"")</f>
        <v/>
      </c>
      <c r="F8" s="21">
        <f>IFERROR(BDP(A8&amp;" "&amp;PX_SRC&amp;" Curncy","PX_LAST"),"")</f>
        <v/>
      </c>
      <c r="G8" s="28">
        <f>IFERROR((D8+E8)/2,IFERROR(F8,""))</f>
        <v/>
      </c>
      <c r="H8" s="29" t="inlineStr">
        <is>
          <t>Y</t>
        </is>
      </c>
    </row>
    <row r="9">
      <c r="A9" s="8" t="inlineStr">
        <is>
          <t>USOSFRB</t>
        </is>
      </c>
      <c r="B9" s="26" t="inlineStr">
        <is>
          <t>2M</t>
        </is>
      </c>
      <c r="C9" s="27" t="n">
        <v>0.1667</v>
      </c>
      <c r="D9" s="21">
        <f>IFERROR(BDP(A9&amp;" "&amp;PX_SRC&amp;" Curncy","PX_BID"),"")</f>
        <v/>
      </c>
      <c r="E9" s="21">
        <f>IFERROR(BDP(A9&amp;" "&amp;PX_SRC&amp;" Curncy","PX_ASK"),"")</f>
        <v/>
      </c>
      <c r="F9" s="21">
        <f>IFERROR(BDP(A9&amp;" "&amp;PX_SRC&amp;" Curncy","PX_LAST"),"")</f>
        <v/>
      </c>
      <c r="G9" s="28">
        <f>IFERROR((D9+E9)/2,IFERROR(F9,""))</f>
        <v/>
      </c>
      <c r="H9" s="30" t="inlineStr"/>
    </row>
    <row r="10">
      <c r="A10" s="8" t="inlineStr">
        <is>
          <t>USOSFRC</t>
        </is>
      </c>
      <c r="B10" s="26" t="inlineStr">
        <is>
          <t>3M</t>
        </is>
      </c>
      <c r="C10" s="27" t="n">
        <v>0.25</v>
      </c>
      <c r="D10" s="21">
        <f>IFERROR(BDP(A10&amp;" "&amp;PX_SRC&amp;" Curncy","PX_BID"),"")</f>
        <v/>
      </c>
      <c r="E10" s="21">
        <f>IFERROR(BDP(A10&amp;" "&amp;PX_SRC&amp;" Curncy","PX_ASK"),"")</f>
        <v/>
      </c>
      <c r="F10" s="21">
        <f>IFERROR(BDP(A10&amp;" "&amp;PX_SRC&amp;" Curncy","PX_LAST"),"")</f>
        <v/>
      </c>
      <c r="G10" s="28">
        <f>IFERROR((D10+E10)/2,IFERROR(F10,""))</f>
        <v/>
      </c>
      <c r="H10" s="29" t="inlineStr">
        <is>
          <t>Y</t>
        </is>
      </c>
    </row>
    <row r="11">
      <c r="A11" s="8" t="inlineStr">
        <is>
          <t>USOSFRD</t>
        </is>
      </c>
      <c r="B11" s="26" t="inlineStr">
        <is>
          <t>4M</t>
        </is>
      </c>
      <c r="C11" s="27" t="n">
        <v>0.3333</v>
      </c>
      <c r="D11" s="21">
        <f>IFERROR(BDP(A11&amp;" "&amp;PX_SRC&amp;" Curncy","PX_BID"),"")</f>
        <v/>
      </c>
      <c r="E11" s="21">
        <f>IFERROR(BDP(A11&amp;" "&amp;PX_SRC&amp;" Curncy","PX_ASK"),"")</f>
        <v/>
      </c>
      <c r="F11" s="21">
        <f>IFERROR(BDP(A11&amp;" "&amp;PX_SRC&amp;" Curncy","PX_LAST"),"")</f>
        <v/>
      </c>
      <c r="G11" s="28">
        <f>IFERROR((D11+E11)/2,IFERROR(F11,""))</f>
        <v/>
      </c>
      <c r="H11" s="30" t="inlineStr"/>
    </row>
    <row r="12">
      <c r="A12" s="8" t="inlineStr">
        <is>
          <t>USOSFRE</t>
        </is>
      </c>
      <c r="B12" s="26" t="inlineStr">
        <is>
          <t>5M</t>
        </is>
      </c>
      <c r="C12" s="27" t="n">
        <v>0.4167</v>
      </c>
      <c r="D12" s="21">
        <f>IFERROR(BDP(A12&amp;" "&amp;PX_SRC&amp;" Curncy","PX_BID"),"")</f>
        <v/>
      </c>
      <c r="E12" s="21">
        <f>IFERROR(BDP(A12&amp;" "&amp;PX_SRC&amp;" Curncy","PX_ASK"),"")</f>
        <v/>
      </c>
      <c r="F12" s="21">
        <f>IFERROR(BDP(A12&amp;" "&amp;PX_SRC&amp;" Curncy","PX_LAST"),"")</f>
        <v/>
      </c>
      <c r="G12" s="28">
        <f>IFERROR((D12+E12)/2,IFERROR(F12,""))</f>
        <v/>
      </c>
      <c r="H12" s="30" t="inlineStr"/>
    </row>
    <row r="13">
      <c r="A13" s="8" t="inlineStr">
        <is>
          <t>USOSFRF</t>
        </is>
      </c>
      <c r="B13" s="26" t="inlineStr">
        <is>
          <t>6M</t>
        </is>
      </c>
      <c r="C13" s="27" t="n">
        <v>0.5</v>
      </c>
      <c r="D13" s="21">
        <f>IFERROR(BDP(A13&amp;" "&amp;PX_SRC&amp;" Curncy","PX_BID"),"")</f>
        <v/>
      </c>
      <c r="E13" s="21">
        <f>IFERROR(BDP(A13&amp;" "&amp;PX_SRC&amp;" Curncy","PX_ASK"),"")</f>
        <v/>
      </c>
      <c r="F13" s="21">
        <f>IFERROR(BDP(A13&amp;" "&amp;PX_SRC&amp;" Curncy","PX_LAST"),"")</f>
        <v/>
      </c>
      <c r="G13" s="28">
        <f>IFERROR((D13+E13)/2,IFERROR(F13,""))</f>
        <v/>
      </c>
      <c r="H13" s="29" t="inlineStr">
        <is>
          <t>Y</t>
        </is>
      </c>
    </row>
    <row r="14">
      <c r="A14" s="8" t="inlineStr">
        <is>
          <t>USOSFRG</t>
        </is>
      </c>
      <c r="B14" s="26" t="inlineStr">
        <is>
          <t>7M</t>
        </is>
      </c>
      <c r="C14" s="27" t="n">
        <v>0.5833</v>
      </c>
      <c r="D14" s="21">
        <f>IFERROR(BDP(A14&amp;" "&amp;PX_SRC&amp;" Curncy","PX_BID"),"")</f>
        <v/>
      </c>
      <c r="E14" s="21">
        <f>IFERROR(BDP(A14&amp;" "&amp;PX_SRC&amp;" Curncy","PX_ASK"),"")</f>
        <v/>
      </c>
      <c r="F14" s="21">
        <f>IFERROR(BDP(A14&amp;" "&amp;PX_SRC&amp;" Curncy","PX_LAST"),"")</f>
        <v/>
      </c>
      <c r="G14" s="28">
        <f>IFERROR((D14+E14)/2,IFERROR(F14,""))</f>
        <v/>
      </c>
      <c r="H14" s="30" t="inlineStr"/>
    </row>
    <row r="15">
      <c r="A15" s="8" t="inlineStr">
        <is>
          <t>USOSFRH</t>
        </is>
      </c>
      <c r="B15" s="26" t="inlineStr">
        <is>
          <t>8M</t>
        </is>
      </c>
      <c r="C15" s="27" t="n">
        <v>0.6667</v>
      </c>
      <c r="D15" s="21">
        <f>IFERROR(BDP(A15&amp;" "&amp;PX_SRC&amp;" Curncy","PX_BID"),"")</f>
        <v/>
      </c>
      <c r="E15" s="21">
        <f>IFERROR(BDP(A15&amp;" "&amp;PX_SRC&amp;" Curncy","PX_ASK"),"")</f>
        <v/>
      </c>
      <c r="F15" s="21">
        <f>IFERROR(BDP(A15&amp;" "&amp;PX_SRC&amp;" Curncy","PX_LAST"),"")</f>
        <v/>
      </c>
      <c r="G15" s="28">
        <f>IFERROR((D15+E15)/2,IFERROR(F15,""))</f>
        <v/>
      </c>
      <c r="H15" s="30" t="inlineStr"/>
    </row>
    <row r="16">
      <c r="A16" s="8" t="inlineStr">
        <is>
          <t>USOSFRI</t>
        </is>
      </c>
      <c r="B16" s="26" t="inlineStr">
        <is>
          <t>9M</t>
        </is>
      </c>
      <c r="C16" s="27" t="n">
        <v>0.75</v>
      </c>
      <c r="D16" s="21">
        <f>IFERROR(BDP(A16&amp;" "&amp;PX_SRC&amp;" Curncy","PX_BID"),"")</f>
        <v/>
      </c>
      <c r="E16" s="21">
        <f>IFERROR(BDP(A16&amp;" "&amp;PX_SRC&amp;" Curncy","PX_ASK"),"")</f>
        <v/>
      </c>
      <c r="F16" s="21">
        <f>IFERROR(BDP(A16&amp;" "&amp;PX_SRC&amp;" Curncy","PX_LAST"),"")</f>
        <v/>
      </c>
      <c r="G16" s="28">
        <f>IFERROR((D16+E16)/2,IFERROR(F16,""))</f>
        <v/>
      </c>
      <c r="H16" s="30" t="inlineStr"/>
    </row>
    <row r="17">
      <c r="A17" s="8" t="inlineStr">
        <is>
          <t>USOSFRJ</t>
        </is>
      </c>
      <c r="B17" s="26" t="inlineStr">
        <is>
          <t>10M</t>
        </is>
      </c>
      <c r="C17" s="27" t="n">
        <v>0.8333</v>
      </c>
      <c r="D17" s="21">
        <f>IFERROR(BDP(A17&amp;" "&amp;PX_SRC&amp;" Curncy","PX_BID"),"")</f>
        <v/>
      </c>
      <c r="E17" s="21">
        <f>IFERROR(BDP(A17&amp;" "&amp;PX_SRC&amp;" Curncy","PX_ASK"),"")</f>
        <v/>
      </c>
      <c r="F17" s="21">
        <f>IFERROR(BDP(A17&amp;" "&amp;PX_SRC&amp;" Curncy","PX_LAST"),"")</f>
        <v/>
      </c>
      <c r="G17" s="28">
        <f>IFERROR((D17+E17)/2,IFERROR(F17,""))</f>
        <v/>
      </c>
      <c r="H17" s="30" t="inlineStr"/>
    </row>
    <row r="18">
      <c r="A18" s="8" t="inlineStr">
        <is>
          <t>USOSFRK</t>
        </is>
      </c>
      <c r="B18" s="26" t="inlineStr">
        <is>
          <t>11M</t>
        </is>
      </c>
      <c r="C18" s="27" t="n">
        <v>0.9167</v>
      </c>
      <c r="D18" s="21">
        <f>IFERROR(BDP(A18&amp;" "&amp;PX_SRC&amp;" Curncy","PX_BID"),"")</f>
        <v/>
      </c>
      <c r="E18" s="21">
        <f>IFERROR(BDP(A18&amp;" "&amp;PX_SRC&amp;" Curncy","PX_ASK"),"")</f>
        <v/>
      </c>
      <c r="F18" s="21">
        <f>IFERROR(BDP(A18&amp;" "&amp;PX_SRC&amp;" Curncy","PX_LAST"),"")</f>
        <v/>
      </c>
      <c r="G18" s="28">
        <f>IFERROR((D18+E18)/2,IFERROR(F18,""))</f>
        <v/>
      </c>
      <c r="H18" s="30" t="inlineStr"/>
    </row>
    <row r="19">
      <c r="A19" s="8" t="inlineStr">
        <is>
          <t>USOSFR1</t>
        </is>
      </c>
      <c r="B19" s="26" t="inlineStr">
        <is>
          <t>1Y</t>
        </is>
      </c>
      <c r="C19" s="27" t="n">
        <v>1</v>
      </c>
      <c r="D19" s="21">
        <f>IFERROR(BDP(A19&amp;" "&amp;PX_SRC&amp;" Curncy","PX_BID"),"")</f>
        <v/>
      </c>
      <c r="E19" s="21">
        <f>IFERROR(BDP(A19&amp;" "&amp;PX_SRC&amp;" Curncy","PX_ASK"),"")</f>
        <v/>
      </c>
      <c r="F19" s="21">
        <f>IFERROR(BDP(A19&amp;" "&amp;PX_SRC&amp;" Curncy","PX_LAST"),"")</f>
        <v/>
      </c>
      <c r="G19" s="28">
        <f>IFERROR((D19+E19)/2,IFERROR(F19,""))</f>
        <v/>
      </c>
      <c r="H19" s="30" t="inlineStr"/>
    </row>
    <row r="20">
      <c r="A20" s="8" t="inlineStr">
        <is>
          <t>USOSFR1F</t>
        </is>
      </c>
      <c r="B20" s="26" t="inlineStr">
        <is>
          <t>18M</t>
        </is>
      </c>
      <c r="C20" s="27" t="n">
        <v>1.5</v>
      </c>
      <c r="D20" s="21">
        <f>IFERROR(BDP(A20&amp;" "&amp;PX_SRC&amp;" Curncy","PX_BID"),"")</f>
        <v/>
      </c>
      <c r="E20" s="21">
        <f>IFERROR(BDP(A20&amp;" "&amp;PX_SRC&amp;" Curncy","PX_ASK"),"")</f>
        <v/>
      </c>
      <c r="F20" s="21">
        <f>IFERROR(BDP(A20&amp;" "&amp;PX_SRC&amp;" Curncy","PX_LAST"),"")</f>
        <v/>
      </c>
      <c r="G20" s="28">
        <f>IFERROR((D20+E20)/2,IFERROR(F20,""))</f>
        <v/>
      </c>
      <c r="H20" s="30" t="inlineStr"/>
    </row>
    <row r="21">
      <c r="A21" s="8" t="inlineStr">
        <is>
          <t>USOSFR2</t>
        </is>
      </c>
      <c r="B21" s="26" t="inlineStr">
        <is>
          <t>2Y</t>
        </is>
      </c>
      <c r="C21" s="27" t="n">
        <v>2</v>
      </c>
      <c r="D21" s="21">
        <f>IFERROR(BDP(A21&amp;" "&amp;PX_SRC&amp;" Curncy","PX_BID"),"")</f>
        <v/>
      </c>
      <c r="E21" s="21">
        <f>IFERROR(BDP(A21&amp;" "&amp;PX_SRC&amp;" Curncy","PX_ASK"),"")</f>
        <v/>
      </c>
      <c r="F21" s="21">
        <f>IFERROR(BDP(A21&amp;" "&amp;PX_SRC&amp;" Curncy","PX_LAST"),"")</f>
        <v/>
      </c>
      <c r="G21" s="28">
        <f>IFERROR((D21+E21)/2,IFERROR(F21,""))</f>
        <v/>
      </c>
      <c r="H21" s="30" t="inlineStr"/>
    </row>
    <row r="22">
      <c r="A22" s="8" t="inlineStr">
        <is>
          <t>USOSFR3</t>
        </is>
      </c>
      <c r="B22" s="26" t="inlineStr">
        <is>
          <t>3Y</t>
        </is>
      </c>
      <c r="C22" s="27" t="n">
        <v>3</v>
      </c>
      <c r="D22" s="21">
        <f>IFERROR(BDP(A22&amp;" "&amp;PX_SRC&amp;" Curncy","PX_BID"),"")</f>
        <v/>
      </c>
      <c r="E22" s="21">
        <f>IFERROR(BDP(A22&amp;" "&amp;PX_SRC&amp;" Curncy","PX_ASK"),"")</f>
        <v/>
      </c>
      <c r="F22" s="21">
        <f>IFERROR(BDP(A22&amp;" "&amp;PX_SRC&amp;" Curncy","PX_LAST"),"")</f>
        <v/>
      </c>
      <c r="G22" s="28">
        <f>IFERROR((D22+E22)/2,IFERROR(F22,""))</f>
        <v/>
      </c>
      <c r="H22" s="30" t="inlineStr"/>
    </row>
    <row r="23">
      <c r="A23" s="8" t="inlineStr">
        <is>
          <t>USOSFR4</t>
        </is>
      </c>
      <c r="B23" s="26" t="inlineStr">
        <is>
          <t>4Y</t>
        </is>
      </c>
      <c r="C23" s="27" t="n">
        <v>4</v>
      </c>
      <c r="D23" s="21">
        <f>IFERROR(BDP(A23&amp;" "&amp;PX_SRC&amp;" Curncy","PX_BID"),"")</f>
        <v/>
      </c>
      <c r="E23" s="21">
        <f>IFERROR(BDP(A23&amp;" "&amp;PX_SRC&amp;" Curncy","PX_ASK"),"")</f>
        <v/>
      </c>
      <c r="F23" s="21">
        <f>IFERROR(BDP(A23&amp;" "&amp;PX_SRC&amp;" Curncy","PX_LAST"),"")</f>
        <v/>
      </c>
      <c r="G23" s="28">
        <f>IFERROR((D23+E23)/2,IFERROR(F23,""))</f>
        <v/>
      </c>
      <c r="H23" s="30" t="inlineStr"/>
    </row>
    <row r="24">
      <c r="A24" s="8" t="inlineStr">
        <is>
          <t>USOSFR5</t>
        </is>
      </c>
      <c r="B24" s="26" t="inlineStr">
        <is>
          <t>5Y</t>
        </is>
      </c>
      <c r="C24" s="27" t="n">
        <v>5</v>
      </c>
      <c r="D24" s="21">
        <f>IFERROR(BDP(A24&amp;" "&amp;PX_SRC&amp;" Curncy","PX_BID"),"")</f>
        <v/>
      </c>
      <c r="E24" s="21">
        <f>IFERROR(BDP(A24&amp;" "&amp;PX_SRC&amp;" Curncy","PX_ASK"),"")</f>
        <v/>
      </c>
      <c r="F24" s="21">
        <f>IFERROR(BDP(A24&amp;" "&amp;PX_SRC&amp;" Curncy","PX_LAST"),"")</f>
        <v/>
      </c>
      <c r="G24" s="28">
        <f>IFERROR((D24+E24)/2,IFERROR(F24,""))</f>
        <v/>
      </c>
      <c r="H24" s="29" t="inlineStr">
        <is>
          <t>Y</t>
        </is>
      </c>
    </row>
    <row r="25">
      <c r="A25" s="8" t="inlineStr">
        <is>
          <t>USOSFR6</t>
        </is>
      </c>
      <c r="B25" s="26" t="inlineStr">
        <is>
          <t>6Y</t>
        </is>
      </c>
      <c r="C25" s="27" t="n">
        <v>6</v>
      </c>
      <c r="D25" s="21">
        <f>IFERROR(BDP(A25&amp;" "&amp;PX_SRC&amp;" Curncy","PX_BID"),"")</f>
        <v/>
      </c>
      <c r="E25" s="21">
        <f>IFERROR(BDP(A25&amp;" "&amp;PX_SRC&amp;" Curncy","PX_ASK"),"")</f>
        <v/>
      </c>
      <c r="F25" s="21">
        <f>IFERROR(BDP(A25&amp;" "&amp;PX_SRC&amp;" Curncy","PX_LAST"),"")</f>
        <v/>
      </c>
      <c r="G25" s="28">
        <f>IFERROR((D25+E25)/2,IFERROR(F25,""))</f>
        <v/>
      </c>
      <c r="H25" s="29" t="inlineStr">
        <is>
          <t>Y</t>
        </is>
      </c>
    </row>
    <row r="26">
      <c r="A26" s="8" t="inlineStr">
        <is>
          <t>USOSFR7</t>
        </is>
      </c>
      <c r="B26" s="26" t="inlineStr">
        <is>
          <t>7Y</t>
        </is>
      </c>
      <c r="C26" s="27" t="n">
        <v>7</v>
      </c>
      <c r="D26" s="21">
        <f>IFERROR(BDP(A26&amp;" "&amp;PX_SRC&amp;" Curncy","PX_BID"),"")</f>
        <v/>
      </c>
      <c r="E26" s="21">
        <f>IFERROR(BDP(A26&amp;" "&amp;PX_SRC&amp;" Curncy","PX_ASK"),"")</f>
        <v/>
      </c>
      <c r="F26" s="21">
        <f>IFERROR(BDP(A26&amp;" "&amp;PX_SRC&amp;" Curncy","PX_LAST"),"")</f>
        <v/>
      </c>
      <c r="G26" s="28">
        <f>IFERROR((D26+E26)/2,IFERROR(F26,""))</f>
        <v/>
      </c>
      <c r="H26" s="29" t="inlineStr">
        <is>
          <t>Y</t>
        </is>
      </c>
    </row>
    <row r="27">
      <c r="A27" s="8" t="inlineStr">
        <is>
          <t>USOSFR8</t>
        </is>
      </c>
      <c r="B27" s="26" t="inlineStr">
        <is>
          <t>8Y</t>
        </is>
      </c>
      <c r="C27" s="27" t="n">
        <v>8</v>
      </c>
      <c r="D27" s="21">
        <f>IFERROR(BDP(A27&amp;" "&amp;PX_SRC&amp;" Curncy","PX_BID"),"")</f>
        <v/>
      </c>
      <c r="E27" s="21">
        <f>IFERROR(BDP(A27&amp;" "&amp;PX_SRC&amp;" Curncy","PX_ASK"),"")</f>
        <v/>
      </c>
      <c r="F27" s="21">
        <f>IFERROR(BDP(A27&amp;" "&amp;PX_SRC&amp;" Curncy","PX_LAST"),"")</f>
        <v/>
      </c>
      <c r="G27" s="28">
        <f>IFERROR((D27+E27)/2,IFERROR(F27,""))</f>
        <v/>
      </c>
      <c r="H27" s="29" t="inlineStr">
        <is>
          <t>Y</t>
        </is>
      </c>
    </row>
    <row r="28">
      <c r="A28" s="8" t="inlineStr">
        <is>
          <t>USOSFR9</t>
        </is>
      </c>
      <c r="B28" s="26" t="inlineStr">
        <is>
          <t>9Y</t>
        </is>
      </c>
      <c r="C28" s="27" t="n">
        <v>9</v>
      </c>
      <c r="D28" s="21">
        <f>IFERROR(BDP(A28&amp;" "&amp;PX_SRC&amp;" Curncy","PX_BID"),"")</f>
        <v/>
      </c>
      <c r="E28" s="21">
        <f>IFERROR(BDP(A28&amp;" "&amp;PX_SRC&amp;" Curncy","PX_ASK"),"")</f>
        <v/>
      </c>
      <c r="F28" s="21">
        <f>IFERROR(BDP(A28&amp;" "&amp;PX_SRC&amp;" Curncy","PX_LAST"),"")</f>
        <v/>
      </c>
      <c r="G28" s="28">
        <f>IFERROR((D28+E28)/2,IFERROR(F28,""))</f>
        <v/>
      </c>
      <c r="H28" s="29" t="inlineStr">
        <is>
          <t>Y</t>
        </is>
      </c>
    </row>
    <row r="29">
      <c r="A29" s="8" t="inlineStr">
        <is>
          <t>USOSFR10</t>
        </is>
      </c>
      <c r="B29" s="26" t="inlineStr">
        <is>
          <t>10Y</t>
        </is>
      </c>
      <c r="C29" s="27" t="n">
        <v>10</v>
      </c>
      <c r="D29" s="21">
        <f>IFERROR(BDP(A29&amp;" "&amp;PX_SRC&amp;" Curncy","PX_BID"),"")</f>
        <v/>
      </c>
      <c r="E29" s="21">
        <f>IFERROR(BDP(A29&amp;" "&amp;PX_SRC&amp;" Curncy","PX_ASK"),"")</f>
        <v/>
      </c>
      <c r="F29" s="21">
        <f>IFERROR(BDP(A29&amp;" "&amp;PX_SRC&amp;" Curncy","PX_LAST"),"")</f>
        <v/>
      </c>
      <c r="G29" s="28">
        <f>IFERROR((D29+E29)/2,IFERROR(F29,""))</f>
        <v/>
      </c>
      <c r="H29" s="29" t="inlineStr">
        <is>
          <t>Y</t>
        </is>
      </c>
    </row>
    <row r="30">
      <c r="A30" s="8" t="inlineStr">
        <is>
          <t>USOSFR12</t>
        </is>
      </c>
      <c r="B30" s="26" t="inlineStr">
        <is>
          <t>12Y</t>
        </is>
      </c>
      <c r="C30" s="27" t="n">
        <v>12</v>
      </c>
      <c r="D30" s="21">
        <f>IFERROR(BDP(A30&amp;" "&amp;PX_SRC&amp;" Curncy","PX_BID"),"")</f>
        <v/>
      </c>
      <c r="E30" s="21">
        <f>IFERROR(BDP(A30&amp;" "&amp;PX_SRC&amp;" Curncy","PX_ASK"),"")</f>
        <v/>
      </c>
      <c r="F30" s="21">
        <f>IFERROR(BDP(A30&amp;" "&amp;PX_SRC&amp;" Curncy","PX_LAST"),"")</f>
        <v/>
      </c>
      <c r="G30" s="28">
        <f>IFERROR((D30+E30)/2,IFERROR(F30,""))</f>
        <v/>
      </c>
      <c r="H30" s="29" t="inlineStr">
        <is>
          <t>Y</t>
        </is>
      </c>
    </row>
    <row r="31">
      <c r="A31" s="8" t="inlineStr">
        <is>
          <t>USOSFR15</t>
        </is>
      </c>
      <c r="B31" s="26" t="inlineStr">
        <is>
          <t>15Y</t>
        </is>
      </c>
      <c r="C31" s="27" t="n">
        <v>15</v>
      </c>
      <c r="D31" s="21">
        <f>IFERROR(BDP(A31&amp;" "&amp;PX_SRC&amp;" Curncy","PX_BID"),"")</f>
        <v/>
      </c>
      <c r="E31" s="21">
        <f>IFERROR(BDP(A31&amp;" "&amp;PX_SRC&amp;" Curncy","PX_ASK"),"")</f>
        <v/>
      </c>
      <c r="F31" s="21">
        <f>IFERROR(BDP(A31&amp;" "&amp;PX_SRC&amp;" Curncy","PX_LAST"),"")</f>
        <v/>
      </c>
      <c r="G31" s="28">
        <f>IFERROR((D31+E31)/2,IFERROR(F31,""))</f>
        <v/>
      </c>
      <c r="H31" s="29" t="inlineStr">
        <is>
          <t>Y</t>
        </is>
      </c>
    </row>
    <row r="32">
      <c r="A32" s="8" t="inlineStr">
        <is>
          <t>USOSFR20</t>
        </is>
      </c>
      <c r="B32" s="26" t="inlineStr">
        <is>
          <t>20Y</t>
        </is>
      </c>
      <c r="C32" s="27" t="n">
        <v>20</v>
      </c>
      <c r="D32" s="21">
        <f>IFERROR(BDP(A32&amp;" "&amp;PX_SRC&amp;" Curncy","PX_BID"),"")</f>
        <v/>
      </c>
      <c r="E32" s="21">
        <f>IFERROR(BDP(A32&amp;" "&amp;PX_SRC&amp;" Curncy","PX_ASK"),"")</f>
        <v/>
      </c>
      <c r="F32" s="21">
        <f>IFERROR(BDP(A32&amp;" "&amp;PX_SRC&amp;" Curncy","PX_LAST"),"")</f>
        <v/>
      </c>
      <c r="G32" s="28">
        <f>IFERROR((D32+E32)/2,IFERROR(F32,""))</f>
        <v/>
      </c>
      <c r="H32" s="29" t="inlineStr">
        <is>
          <t>Y</t>
        </is>
      </c>
    </row>
    <row r="33">
      <c r="A33" s="8" t="inlineStr">
        <is>
          <t>USOSFR25</t>
        </is>
      </c>
      <c r="B33" s="26" t="inlineStr">
        <is>
          <t>25Y</t>
        </is>
      </c>
      <c r="C33" s="27" t="n">
        <v>25</v>
      </c>
      <c r="D33" s="21">
        <f>IFERROR(BDP(A33&amp;" "&amp;PX_SRC&amp;" Curncy","PX_BID"),"")</f>
        <v/>
      </c>
      <c r="E33" s="21">
        <f>IFERROR(BDP(A33&amp;" "&amp;PX_SRC&amp;" Curncy","PX_ASK"),"")</f>
        <v/>
      </c>
      <c r="F33" s="21">
        <f>IFERROR(BDP(A33&amp;" "&amp;PX_SRC&amp;" Curncy","PX_LAST"),"")</f>
        <v/>
      </c>
      <c r="G33" s="28">
        <f>IFERROR((D33+E33)/2,IFERROR(F33,""))</f>
        <v/>
      </c>
      <c r="H33" s="29" t="inlineStr">
        <is>
          <t>Y</t>
        </is>
      </c>
    </row>
    <row r="34">
      <c r="A34" s="8" t="inlineStr">
        <is>
          <t>USOSFR30</t>
        </is>
      </c>
      <c r="B34" s="26" t="inlineStr">
        <is>
          <t>30Y</t>
        </is>
      </c>
      <c r="C34" s="27" t="n">
        <v>30</v>
      </c>
      <c r="D34" s="21">
        <f>IFERROR(BDP(A34&amp;" "&amp;PX_SRC&amp;" Curncy","PX_BID"),"")</f>
        <v/>
      </c>
      <c r="E34" s="21">
        <f>IFERROR(BDP(A34&amp;" "&amp;PX_SRC&amp;" Curncy","PX_ASK"),"")</f>
        <v/>
      </c>
      <c r="F34" s="21">
        <f>IFERROR(BDP(A34&amp;" "&amp;PX_SRC&amp;" Curncy","PX_LAST"),"")</f>
        <v/>
      </c>
      <c r="G34" s="28">
        <f>IFERROR((D34+E34)/2,IFERROR(F34,""))</f>
        <v/>
      </c>
      <c r="H34" s="29" t="inlineStr">
        <is>
          <t>Y</t>
        </is>
      </c>
    </row>
    <row r="35">
      <c r="A35" s="8" t="inlineStr">
        <is>
          <t>USOSFR40</t>
        </is>
      </c>
      <c r="B35" s="26" t="inlineStr">
        <is>
          <t>40Y</t>
        </is>
      </c>
      <c r="C35" s="27" t="n">
        <v>40</v>
      </c>
      <c r="D35" s="21">
        <f>IFERROR(BDP(A35&amp;" "&amp;PX_SRC&amp;" Curncy","PX_BID"),"")</f>
        <v/>
      </c>
      <c r="E35" s="21">
        <f>IFERROR(BDP(A35&amp;" "&amp;PX_SRC&amp;" Curncy","PX_ASK"),"")</f>
        <v/>
      </c>
      <c r="F35" s="21">
        <f>IFERROR(BDP(A35&amp;" "&amp;PX_SRC&amp;" Curncy","PX_LAST"),"")</f>
        <v/>
      </c>
      <c r="G35" s="28">
        <f>IFERROR((D35+E35)/2,IFERROR(F35,""))</f>
        <v/>
      </c>
      <c r="H35" s="29" t="inlineStr">
        <is>
          <t>Y</t>
        </is>
      </c>
    </row>
    <row r="36">
      <c r="A36" s="8" t="inlineStr">
        <is>
          <t>USOSFR50</t>
        </is>
      </c>
      <c r="B36" s="26" t="inlineStr">
        <is>
          <t>50Y</t>
        </is>
      </c>
      <c r="C36" s="27" t="n">
        <v>50</v>
      </c>
      <c r="D36" s="21">
        <f>IFERROR(BDP(A36&amp;" "&amp;PX_SRC&amp;" Curncy","PX_BID"),"")</f>
        <v/>
      </c>
      <c r="E36" s="21">
        <f>IFERROR(BDP(A36&amp;" "&amp;PX_SRC&amp;" Curncy","PX_ASK"),"")</f>
        <v/>
      </c>
      <c r="F36" s="21">
        <f>IFERROR(BDP(A36&amp;" "&amp;PX_SRC&amp;" Curncy","PX_LAST"),"")</f>
        <v/>
      </c>
      <c r="G36" s="28">
        <f>IFERROR((D36+E36)/2,IFERROR(F36,""))</f>
        <v/>
      </c>
      <c r="H36" s="29" t="inlineStr">
        <is>
          <t>Y</t>
        </is>
      </c>
    </row>
    <row r="38" ht="26" customHeight="1">
      <c r="A38" s="11" t="inlineStr">
        <is>
          <t>"In bootstrap set" = Y marks the recommended restricted calibration set (front: 1W,1M,3M,6M ; long end: 5Y–50Y). The 3M–5Y gap is filled by SR3 futures on the SOFR_Futures tab.</t>
        </is>
      </c>
    </row>
  </sheetData>
  <mergeCells count="3">
    <mergeCell ref="A38:H38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 ht="26" customHeight="1">
      <c r="A1" s="1" t="inlineStr">
        <is>
          <t>Bloomberg_S490_Validation</t>
        </is>
      </c>
    </row>
    <row r="2" ht="16" customHeight="1">
      <c r="A2" s="2" t="inlineStr">
        <is>
          <t>Bloomberg's own USD SOFR curve (S490 / YCSW0490 Index) — benchmark for your bootstrap, not an input</t>
        </is>
      </c>
    </row>
    <row r="4">
      <c r="A4" s="15" t="inlineStr">
        <is>
          <t>Curve name</t>
        </is>
      </c>
      <c r="B4" s="19">
        <f>IFERROR(BDP(S490_TKR,"NAME"),"open in Bloomberg")</f>
        <v/>
      </c>
    </row>
    <row r="5">
      <c r="A5" s="15" t="inlineStr">
        <is>
          <t>Curve date</t>
        </is>
      </c>
      <c r="B5" s="31">
        <f>IFERROR(BDP(S490_TKR,"CURVE_DT"),VAL_DATE)</f>
        <v/>
      </c>
    </row>
    <row r="6" ht="46" customHeight="1">
      <c r="A6" s="11" t="inlineStr">
        <is>
          <t>Primary pull: the anchor cell A8 holds =BDS(S490_TKR,"CURVE_TENOR_RATES"), which spills Tenor + par rate. Zero rate, discount factor and forward rate are best exported from the curve screen (type YCSW0490 &lt;GO&gt;, or SWDF), because they are not all returned by a single BDS field under every entitlement — paste them into columns E:G alongside the spilled tenors. Compare your bootstrap's P(0,T), zero and forward against these.</t>
        </is>
      </c>
    </row>
    <row r="7">
      <c r="A7" s="20" t="inlineStr">
        <is>
          <t>Tenor</t>
        </is>
      </c>
      <c r="B7" s="20" t="inlineStr">
        <is>
          <t>Curve date</t>
        </is>
      </c>
      <c r="C7" s="20" t="inlineStr">
        <is>
          <t>Maturity date</t>
        </is>
      </c>
      <c r="D7" s="20" t="inlineStr">
        <is>
          <t>Market/par rate (%)</t>
        </is>
      </c>
      <c r="E7" s="20" t="inlineStr">
        <is>
          <t>Zero rate (%)</t>
        </is>
      </c>
      <c r="F7" s="20" t="inlineStr">
        <is>
          <t>Discount factor</t>
        </is>
      </c>
      <c r="G7" s="20" t="inlineStr">
        <is>
          <t>Forward rate (%)</t>
        </is>
      </c>
    </row>
    <row r="8">
      <c r="A8" s="8">
        <f>BDS(S490_TKR,"CURVE_TENOR_RATES")</f>
        <v/>
      </c>
      <c r="B8" s="18" t="n"/>
      <c r="C8" s="18" t="n"/>
      <c r="D8" s="21" t="n"/>
      <c r="E8" s="21" t="n"/>
      <c r="F8" s="32" t="n"/>
      <c r="G8" s="21" t="n"/>
    </row>
    <row r="9">
      <c r="A9" s="23" t="n"/>
      <c r="B9" s="24" t="n"/>
      <c r="C9" s="24" t="n"/>
      <c r="D9" s="17" t="n"/>
      <c r="E9" s="17" t="n"/>
      <c r="F9" s="33" t="n"/>
      <c r="G9" s="17" t="n"/>
    </row>
    <row r="10">
      <c r="A10" s="8" t="n"/>
      <c r="B10" s="18" t="n"/>
      <c r="C10" s="18" t="n"/>
      <c r="D10" s="21" t="n"/>
      <c r="E10" s="21" t="n"/>
      <c r="F10" s="32" t="n"/>
      <c r="G10" s="21" t="n"/>
    </row>
    <row r="11">
      <c r="A11" s="23" t="n"/>
      <c r="B11" s="24" t="n"/>
      <c r="C11" s="24" t="n"/>
      <c r="D11" s="17" t="n"/>
      <c r="E11" s="17" t="n"/>
      <c r="F11" s="33" t="n"/>
      <c r="G11" s="17" t="n"/>
    </row>
    <row r="12">
      <c r="A12" s="8" t="n"/>
      <c r="B12" s="18" t="n"/>
      <c r="C12" s="18" t="n"/>
      <c r="D12" s="21" t="n"/>
      <c r="E12" s="21" t="n"/>
      <c r="F12" s="32" t="n"/>
      <c r="G12" s="21" t="n"/>
    </row>
    <row r="13">
      <c r="A13" s="23" t="n"/>
      <c r="B13" s="24" t="n"/>
      <c r="C13" s="24" t="n"/>
      <c r="D13" s="17" t="n"/>
      <c r="E13" s="17" t="n"/>
      <c r="F13" s="33" t="n"/>
      <c r="G13" s="17" t="n"/>
    </row>
    <row r="14">
      <c r="A14" s="8" t="n"/>
      <c r="B14" s="18" t="n"/>
      <c r="C14" s="18" t="n"/>
      <c r="D14" s="21" t="n"/>
      <c r="E14" s="21" t="n"/>
      <c r="F14" s="32" t="n"/>
      <c r="G14" s="21" t="n"/>
    </row>
    <row r="15">
      <c r="A15" s="23" t="n"/>
      <c r="B15" s="24" t="n"/>
      <c r="C15" s="24" t="n"/>
      <c r="D15" s="17" t="n"/>
      <c r="E15" s="17" t="n"/>
      <c r="F15" s="33" t="n"/>
      <c r="G15" s="17" t="n"/>
    </row>
    <row r="16">
      <c r="A16" s="8" t="n"/>
      <c r="B16" s="18" t="n"/>
      <c r="C16" s="18" t="n"/>
      <c r="D16" s="21" t="n"/>
      <c r="E16" s="21" t="n"/>
      <c r="F16" s="32" t="n"/>
      <c r="G16" s="21" t="n"/>
    </row>
    <row r="17">
      <c r="A17" s="23" t="n"/>
      <c r="B17" s="24" t="n"/>
      <c r="C17" s="24" t="n"/>
      <c r="D17" s="17" t="n"/>
      <c r="E17" s="17" t="n"/>
      <c r="F17" s="33" t="n"/>
      <c r="G17" s="17" t="n"/>
    </row>
    <row r="18">
      <c r="A18" s="8" t="n"/>
      <c r="B18" s="18" t="n"/>
      <c r="C18" s="18" t="n"/>
      <c r="D18" s="21" t="n"/>
      <c r="E18" s="21" t="n"/>
      <c r="F18" s="32" t="n"/>
      <c r="G18" s="21" t="n"/>
    </row>
    <row r="19">
      <c r="A19" s="23" t="n"/>
      <c r="B19" s="24" t="n"/>
      <c r="C19" s="24" t="n"/>
      <c r="D19" s="17" t="n"/>
      <c r="E19" s="17" t="n"/>
      <c r="F19" s="33" t="n"/>
      <c r="G19" s="17" t="n"/>
    </row>
    <row r="20">
      <c r="A20" s="8" t="n"/>
      <c r="B20" s="18" t="n"/>
      <c r="C20" s="18" t="n"/>
      <c r="D20" s="21" t="n"/>
      <c r="E20" s="21" t="n"/>
      <c r="F20" s="32" t="n"/>
      <c r="G20" s="21" t="n"/>
    </row>
    <row r="21">
      <c r="A21" s="23" t="n"/>
      <c r="B21" s="24" t="n"/>
      <c r="C21" s="24" t="n"/>
      <c r="D21" s="17" t="n"/>
      <c r="E21" s="17" t="n"/>
      <c r="F21" s="33" t="n"/>
      <c r="G21" s="17" t="n"/>
    </row>
    <row r="22">
      <c r="A22" s="8" t="n"/>
      <c r="B22" s="18" t="n"/>
      <c r="C22" s="18" t="n"/>
      <c r="D22" s="21" t="n"/>
      <c r="E22" s="21" t="n"/>
      <c r="F22" s="32" t="n"/>
      <c r="G22" s="21" t="n"/>
    </row>
    <row r="23">
      <c r="A23" s="23" t="n"/>
      <c r="B23" s="24" t="n"/>
      <c r="C23" s="24" t="n"/>
      <c r="D23" s="17" t="n"/>
      <c r="E23" s="17" t="n"/>
      <c r="F23" s="33" t="n"/>
      <c r="G23" s="17" t="n"/>
    </row>
    <row r="24">
      <c r="A24" s="8" t="n"/>
      <c r="B24" s="18" t="n"/>
      <c r="C24" s="18" t="n"/>
      <c r="D24" s="21" t="n"/>
      <c r="E24" s="21" t="n"/>
      <c r="F24" s="32" t="n"/>
      <c r="G24" s="21" t="n"/>
    </row>
    <row r="25">
      <c r="A25" s="23" t="n"/>
      <c r="B25" s="24" t="n"/>
      <c r="C25" s="24" t="n"/>
      <c r="D25" s="17" t="n"/>
      <c r="E25" s="17" t="n"/>
      <c r="F25" s="33" t="n"/>
      <c r="G25" s="17" t="n"/>
    </row>
    <row r="26">
      <c r="A26" s="8" t="n"/>
      <c r="B26" s="18" t="n"/>
      <c r="C26" s="18" t="n"/>
      <c r="D26" s="21" t="n"/>
      <c r="E26" s="21" t="n"/>
      <c r="F26" s="32" t="n"/>
      <c r="G26" s="21" t="n"/>
    </row>
    <row r="27">
      <c r="A27" s="23" t="n"/>
      <c r="B27" s="24" t="n"/>
      <c r="C27" s="24" t="n"/>
      <c r="D27" s="17" t="n"/>
      <c r="E27" s="17" t="n"/>
      <c r="F27" s="33" t="n"/>
      <c r="G27" s="17" t="n"/>
    </row>
    <row r="28">
      <c r="A28" s="8" t="n"/>
      <c r="B28" s="18" t="n"/>
      <c r="C28" s="18" t="n"/>
      <c r="D28" s="21" t="n"/>
      <c r="E28" s="21" t="n"/>
      <c r="F28" s="32" t="n"/>
      <c r="G28" s="21" t="n"/>
    </row>
    <row r="29">
      <c r="A29" s="23" t="n"/>
      <c r="B29" s="24" t="n"/>
      <c r="C29" s="24" t="n"/>
      <c r="D29" s="17" t="n"/>
      <c r="E29" s="17" t="n"/>
      <c r="F29" s="33" t="n"/>
      <c r="G29" s="17" t="n"/>
    </row>
    <row r="30">
      <c r="A30" s="8" t="n"/>
      <c r="B30" s="18" t="n"/>
      <c r="C30" s="18" t="n"/>
      <c r="D30" s="21" t="n"/>
      <c r="E30" s="21" t="n"/>
      <c r="F30" s="32" t="n"/>
      <c r="G30" s="21" t="n"/>
    </row>
    <row r="31">
      <c r="A31" s="23" t="n"/>
      <c r="B31" s="24" t="n"/>
      <c r="C31" s="24" t="n"/>
      <c r="D31" s="17" t="n"/>
      <c r="E31" s="17" t="n"/>
      <c r="F31" s="33" t="n"/>
      <c r="G31" s="17" t="n"/>
    </row>
    <row r="32">
      <c r="A32" s="8" t="n"/>
      <c r="B32" s="18" t="n"/>
      <c r="C32" s="18" t="n"/>
      <c r="D32" s="21" t="n"/>
      <c r="E32" s="21" t="n"/>
      <c r="F32" s="32" t="n"/>
      <c r="G32" s="21" t="n"/>
    </row>
    <row r="33">
      <c r="A33" s="23" t="n"/>
      <c r="B33" s="24" t="n"/>
      <c r="C33" s="24" t="n"/>
      <c r="D33" s="17" t="n"/>
      <c r="E33" s="17" t="n"/>
      <c r="F33" s="33" t="n"/>
      <c r="G33" s="17" t="n"/>
    </row>
    <row r="34">
      <c r="A34" s="8" t="n"/>
      <c r="B34" s="18" t="n"/>
      <c r="C34" s="18" t="n"/>
      <c r="D34" s="21" t="n"/>
      <c r="E34" s="21" t="n"/>
      <c r="F34" s="32" t="n"/>
      <c r="G34" s="21" t="n"/>
    </row>
    <row r="35">
      <c r="A35" s="23" t="n"/>
      <c r="B35" s="24" t="n"/>
      <c r="C35" s="24" t="n"/>
      <c r="D35" s="17" t="n"/>
      <c r="E35" s="17" t="n"/>
      <c r="F35" s="33" t="n"/>
      <c r="G35" s="17" t="n"/>
    </row>
    <row r="36">
      <c r="A36" s="8" t="n"/>
      <c r="B36" s="18" t="n"/>
      <c r="C36" s="18" t="n"/>
      <c r="D36" s="21" t="n"/>
      <c r="E36" s="21" t="n"/>
      <c r="F36" s="32" t="n"/>
      <c r="G36" s="21" t="n"/>
    </row>
    <row r="37">
      <c r="A37" s="23" t="n"/>
      <c r="B37" s="24" t="n"/>
      <c r="C37" s="24" t="n"/>
      <c r="D37" s="17" t="n"/>
      <c r="E37" s="17" t="n"/>
      <c r="F37" s="33" t="n"/>
      <c r="G37" s="17" t="n"/>
    </row>
    <row r="38">
      <c r="A38" s="8" t="n"/>
      <c r="B38" s="18" t="n"/>
      <c r="C38" s="18" t="n"/>
      <c r="D38" s="21" t="n"/>
      <c r="E38" s="21" t="n"/>
      <c r="F38" s="32" t="n"/>
      <c r="G38" s="21" t="n"/>
    </row>
    <row r="39">
      <c r="A39" s="23" t="n"/>
      <c r="B39" s="24" t="n"/>
      <c r="C39" s="24" t="n"/>
      <c r="D39" s="17" t="n"/>
      <c r="E39" s="17" t="n"/>
      <c r="F39" s="33" t="n"/>
      <c r="G39" s="17" t="n"/>
    </row>
    <row r="40">
      <c r="A40" s="8" t="n"/>
      <c r="B40" s="18" t="n"/>
      <c r="C40" s="18" t="n"/>
      <c r="D40" s="21" t="n"/>
      <c r="E40" s="21" t="n"/>
      <c r="F40" s="32" t="n"/>
      <c r="G40" s="21" t="n"/>
    </row>
    <row r="41">
      <c r="A41" s="23" t="n"/>
      <c r="B41" s="24" t="n"/>
      <c r="C41" s="24" t="n"/>
      <c r="D41" s="17" t="n"/>
      <c r="E41" s="17" t="n"/>
      <c r="F41" s="33" t="n"/>
      <c r="G41" s="17" t="n"/>
    </row>
    <row r="42">
      <c r="A42" s="8" t="n"/>
      <c r="B42" s="18" t="n"/>
      <c r="C42" s="18" t="n"/>
      <c r="D42" s="21" t="n"/>
      <c r="E42" s="21" t="n"/>
      <c r="F42" s="32" t="n"/>
      <c r="G42" s="21" t="n"/>
    </row>
    <row r="43">
      <c r="A43" s="23" t="n"/>
      <c r="B43" s="24" t="n"/>
      <c r="C43" s="24" t="n"/>
      <c r="D43" s="17" t="n"/>
      <c r="E43" s="17" t="n"/>
      <c r="F43" s="33" t="n"/>
      <c r="G43" s="17" t="n"/>
    </row>
    <row r="44">
      <c r="A44" s="8" t="n"/>
      <c r="B44" s="18" t="n"/>
      <c r="C44" s="18" t="n"/>
      <c r="D44" s="21" t="n"/>
      <c r="E44" s="21" t="n"/>
      <c r="F44" s="32" t="n"/>
      <c r="G44" s="21" t="n"/>
    </row>
    <row r="45">
      <c r="A45" s="23" t="n"/>
      <c r="B45" s="24" t="n"/>
      <c r="C45" s="24" t="n"/>
      <c r="D45" s="17" t="n"/>
      <c r="E45" s="17" t="n"/>
      <c r="F45" s="33" t="n"/>
      <c r="G45" s="17" t="n"/>
    </row>
    <row r="46">
      <c r="A46" s="8" t="n"/>
      <c r="B46" s="18" t="n"/>
      <c r="C46" s="18" t="n"/>
      <c r="D46" s="21" t="n"/>
      <c r="E46" s="21" t="n"/>
      <c r="F46" s="32" t="n"/>
      <c r="G46" s="21" t="n"/>
    </row>
    <row r="47">
      <c r="A47" s="23" t="n"/>
      <c r="B47" s="24" t="n"/>
      <c r="C47" s="24" t="n"/>
      <c r="D47" s="17" t="n"/>
      <c r="E47" s="17" t="n"/>
      <c r="F47" s="33" t="n"/>
      <c r="G47" s="17" t="n"/>
    </row>
  </sheetData>
  <mergeCells count="4">
    <mergeCell ref="A6:G6"/>
    <mergeCell ref="A2:G2"/>
    <mergeCell ref="A1:G1"/>
    <mergeCell ref="B4:D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1" t="inlineStr">
        <is>
          <t>Conventions</t>
        </is>
      </c>
    </row>
    <row r="2" ht="16" customHeight="1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23" t="inlineStr">
        <is>
          <t>Currency</t>
        </is>
      </c>
      <c r="B5" s="34" t="inlineStr">
        <is>
          <t>CRNCY</t>
        </is>
      </c>
      <c r="C5" s="35">
        <f>IFERROR(BDP("USOSFRC BGN Curncy","CRNCY"),"N/A — use FLDS")</f>
        <v/>
      </c>
      <c r="D5" s="35">
        <f>IFERROR(BDP("USOSFR1 BGN Curncy","CRNCY"),"N/A — use FLDS")</f>
        <v/>
      </c>
      <c r="E5" s="35">
        <f>IFERROR(BDP("USOSFR5 BGN Curncy","CRNCY"),"N/A — use FLDS")</f>
        <v/>
      </c>
      <c r="F5" s="35">
        <f>IFERROR(BDP("USOSFR30 BGN Curncy","CRNCY"),"N/A — use FLDS")</f>
        <v/>
      </c>
    </row>
    <row r="6">
      <c r="A6" s="8" t="inlineStr">
        <is>
          <t>Reference index</t>
        </is>
      </c>
      <c r="B6" s="10" t="inlineStr">
        <is>
          <t>— DES/SWPM manual —</t>
        </is>
      </c>
      <c r="C6" s="26" t="inlineStr">
        <is>
          <t>— DES/SWPM —</t>
        </is>
      </c>
      <c r="D6" s="26" t="inlineStr">
        <is>
          <t>— DES/SWPM —</t>
        </is>
      </c>
      <c r="E6" s="26" t="inlineStr">
        <is>
          <t>— DES/SWPM —</t>
        </is>
      </c>
      <c r="F6" s="26" t="inlineStr">
        <is>
          <t>— DES/SWPM —</t>
        </is>
      </c>
    </row>
    <row r="7">
      <c r="A7" s="23" t="inlineStr">
        <is>
          <t>Spot / settlement lag</t>
        </is>
      </c>
      <c r="B7" s="34" t="inlineStr">
        <is>
          <t>— DES/SWPM manual —</t>
        </is>
      </c>
      <c r="C7" s="35" t="inlineStr">
        <is>
          <t>— DES/SWPM —</t>
        </is>
      </c>
      <c r="D7" s="35" t="inlineStr">
        <is>
          <t>— DES/SWPM —</t>
        </is>
      </c>
      <c r="E7" s="35" t="inlineStr">
        <is>
          <t>— DES/SWPM —</t>
        </is>
      </c>
      <c r="F7" s="35" t="inlineStr">
        <is>
          <t>— DES/SWPM —</t>
        </is>
      </c>
    </row>
    <row r="8">
      <c r="A8" s="8" t="inlineStr">
        <is>
          <t>Effective date rule</t>
        </is>
      </c>
      <c r="B8" s="10" t="inlineStr">
        <is>
          <t>— DES/SWPM manual —</t>
        </is>
      </c>
      <c r="C8" s="26" t="inlineStr">
        <is>
          <t>— DES/SWPM —</t>
        </is>
      </c>
      <c r="D8" s="26" t="inlineStr">
        <is>
          <t>— DES/SWPM —</t>
        </is>
      </c>
      <c r="E8" s="26" t="inlineStr">
        <is>
          <t>— DES/SWPM —</t>
        </is>
      </c>
      <c r="F8" s="26" t="inlineStr">
        <is>
          <t>— DES/SWPM —</t>
        </is>
      </c>
    </row>
    <row r="9">
      <c r="A9" s="23" t="inlineStr">
        <is>
          <t>Maturity date rule</t>
        </is>
      </c>
      <c r="B9" s="34" t="inlineStr">
        <is>
          <t>— DES/SWPM manual —</t>
        </is>
      </c>
      <c r="C9" s="35" t="inlineStr">
        <is>
          <t>— DES/SWPM —</t>
        </is>
      </c>
      <c r="D9" s="35" t="inlineStr">
        <is>
          <t>— DES/SWPM —</t>
        </is>
      </c>
      <c r="E9" s="35" t="inlineStr">
        <is>
          <t>— DES/SWPM —</t>
        </is>
      </c>
      <c r="F9" s="35" t="inlineStr">
        <is>
          <t>— DES/SWPM —</t>
        </is>
      </c>
    </row>
    <row r="10">
      <c r="A10" s="8" t="inlineStr">
        <is>
          <t>Business-day calendar</t>
        </is>
      </c>
      <c r="B10" s="10" t="inlineStr">
        <is>
          <t>CALENDAR_CODE</t>
        </is>
      </c>
      <c r="C10" s="26">
        <f>IFERROR(BDP("USOSFRC BGN Curncy","CALENDAR_CODE"),"N/A — use FLDS")</f>
        <v/>
      </c>
      <c r="D10" s="26">
        <f>IFERROR(BDP("USOSFR1 BGN Curncy","CALENDAR_CODE"),"N/A — use FLDS")</f>
        <v/>
      </c>
      <c r="E10" s="26">
        <f>IFERROR(BDP("USOSFR5 BGN Curncy","CALENDAR_CODE"),"N/A — use FLDS")</f>
        <v/>
      </c>
      <c r="F10" s="26">
        <f>IFERROR(BDP("USOSFR30 BGN Curncy","CALENDAR_CODE"),"N/A — use FLDS")</f>
        <v/>
      </c>
    </row>
    <row r="11">
      <c r="A11" s="23" t="inlineStr">
        <is>
          <t>Business-day convention</t>
        </is>
      </c>
      <c r="B11" s="34" t="inlineStr">
        <is>
          <t>— DES/SWPM manual —</t>
        </is>
      </c>
      <c r="C11" s="35" t="inlineStr">
        <is>
          <t>— DES/SWPM —</t>
        </is>
      </c>
      <c r="D11" s="35" t="inlineStr">
        <is>
          <t>— DES/SWPM —</t>
        </is>
      </c>
      <c r="E11" s="35" t="inlineStr">
        <is>
          <t>— DES/SWPM —</t>
        </is>
      </c>
      <c r="F11" s="35" t="inlineStr">
        <is>
          <t>— DES/SWPM —</t>
        </is>
      </c>
    </row>
    <row r="12">
      <c r="A12" s="8" t="inlineStr">
        <is>
          <t>Fixed-leg day count</t>
        </is>
      </c>
      <c r="B12" s="10" t="inlineStr">
        <is>
          <t>DAY_CNT_DES</t>
        </is>
      </c>
      <c r="C12" s="26">
        <f>IFERROR(BDP("USOSFRC BGN Curncy","DAY_CNT_DES"),"N/A — use FLDS")</f>
        <v/>
      </c>
      <c r="D12" s="26">
        <f>IFERROR(BDP("USOSFR1 BGN Curncy","DAY_CNT_DES"),"N/A — use FLDS")</f>
        <v/>
      </c>
      <c r="E12" s="26">
        <f>IFERROR(BDP("USOSFR5 BGN Curncy","DAY_CNT_DES"),"N/A — use FLDS")</f>
        <v/>
      </c>
      <c r="F12" s="26">
        <f>IFERROR(BDP("USOSFR30 BGN Curncy","DAY_CNT_DES"),"N/A — use FLDS")</f>
        <v/>
      </c>
    </row>
    <row r="13">
      <c r="A13" s="23" t="inlineStr">
        <is>
          <t>Fixed-leg pay frequency</t>
        </is>
      </c>
      <c r="B13" s="34" t="inlineStr">
        <is>
          <t>— DES/SWPM manual —</t>
        </is>
      </c>
      <c r="C13" s="35" t="inlineStr">
        <is>
          <t>— DES/SWPM —</t>
        </is>
      </c>
      <c r="D13" s="35" t="inlineStr">
        <is>
          <t>— DES/SWPM —</t>
        </is>
      </c>
      <c r="E13" s="35" t="inlineStr">
        <is>
          <t>— DES/SWPM —</t>
        </is>
      </c>
      <c r="F13" s="35" t="inlineStr">
        <is>
          <t>— DES/SWPM —</t>
        </is>
      </c>
    </row>
    <row r="14">
      <c r="A14" s="8" t="inlineStr">
        <is>
          <t>Floating-leg day count</t>
        </is>
      </c>
      <c r="B14" s="10" t="inlineStr">
        <is>
          <t>— DES/SWPM manual —</t>
        </is>
      </c>
      <c r="C14" s="26" t="inlineStr">
        <is>
          <t>— DES/SWPM —</t>
        </is>
      </c>
      <c r="D14" s="26" t="inlineStr">
        <is>
          <t>— DES/SWPM —</t>
        </is>
      </c>
      <c r="E14" s="26" t="inlineStr">
        <is>
          <t>— DES/SWPM —</t>
        </is>
      </c>
      <c r="F14" s="26" t="inlineStr">
        <is>
          <t>— DES/SWPM —</t>
        </is>
      </c>
    </row>
    <row r="15">
      <c r="A15" s="23" t="inlineStr">
        <is>
          <t>Floating-leg pay frequency</t>
        </is>
      </c>
      <c r="B15" s="34" t="inlineStr">
        <is>
          <t>— DES/SWPM manual —</t>
        </is>
      </c>
      <c r="C15" s="35" t="inlineStr">
        <is>
          <t>— DES/SWPM —</t>
        </is>
      </c>
      <c r="D15" s="35" t="inlineStr">
        <is>
          <t>— DES/SWPM —</t>
        </is>
      </c>
      <c r="E15" s="35" t="inlineStr">
        <is>
          <t>— DES/SWPM —</t>
        </is>
      </c>
      <c r="F15" s="35" t="inlineStr">
        <is>
          <t>— DES/SWPM —</t>
        </is>
      </c>
    </row>
    <row r="16">
      <c r="A16" s="8" t="inlineStr">
        <is>
          <t>SOFR compounding method</t>
        </is>
      </c>
      <c r="B16" s="10" t="inlineStr">
        <is>
          <t>— DES/SWPM manual —</t>
        </is>
      </c>
      <c r="C16" s="26" t="inlineStr">
        <is>
          <t>— DES/SWPM —</t>
        </is>
      </c>
      <c r="D16" s="26" t="inlineStr">
        <is>
          <t>— DES/SWPM —</t>
        </is>
      </c>
      <c r="E16" s="26" t="inlineStr">
        <is>
          <t>— DES/SWPM —</t>
        </is>
      </c>
      <c r="F16" s="26" t="inlineStr">
        <is>
          <t>— DES/SWPM —</t>
        </is>
      </c>
    </row>
    <row r="17">
      <c r="A17" s="23" t="inlineStr">
        <is>
          <t>Payment lag</t>
        </is>
      </c>
      <c r="B17" s="34" t="inlineStr">
        <is>
          <t>— DES/SWPM manual —</t>
        </is>
      </c>
      <c r="C17" s="35" t="inlineStr">
        <is>
          <t>— DES/SWPM —</t>
        </is>
      </c>
      <c r="D17" s="35" t="inlineStr">
        <is>
          <t>— DES/SWPM —</t>
        </is>
      </c>
      <c r="E17" s="35" t="inlineStr">
        <is>
          <t>— DES/SWPM —</t>
        </is>
      </c>
      <c r="F17" s="35" t="inlineStr">
        <is>
          <t>— DES/SWPM —</t>
        </is>
      </c>
    </row>
    <row r="18">
      <c r="A18" s="8" t="inlineStr">
        <is>
          <t>Observation shift / lookback</t>
        </is>
      </c>
      <c r="B18" s="10" t="inlineStr">
        <is>
          <t>— DES/SWPM manual —</t>
        </is>
      </c>
      <c r="C18" s="26" t="inlineStr">
        <is>
          <t>— DES/SWPM —</t>
        </is>
      </c>
      <c r="D18" s="26" t="inlineStr">
        <is>
          <t>— DES/SWPM —</t>
        </is>
      </c>
      <c r="E18" s="26" t="inlineStr">
        <is>
          <t>— DES/SWPM —</t>
        </is>
      </c>
      <c r="F18" s="26" t="inlineStr">
        <is>
          <t>— DES/SWPM —</t>
        </is>
      </c>
    </row>
    <row r="19">
      <c r="A19" s="23" t="inlineStr">
        <is>
          <t>End-of-month treatment</t>
        </is>
      </c>
      <c r="B19" s="34" t="inlineStr">
        <is>
          <t>— DES/SWPM manual —</t>
        </is>
      </c>
      <c r="C19" s="35" t="inlineStr">
        <is>
          <t>— DES/SWPM —</t>
        </is>
      </c>
      <c r="D19" s="35" t="inlineStr">
        <is>
          <t>— DES/SWPM —</t>
        </is>
      </c>
      <c r="E19" s="35" t="inlineStr">
        <is>
          <t>— DES/SWPM —</t>
        </is>
      </c>
      <c r="F19" s="35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8" t="inlineStr">
        <is>
          <t>Reference index</t>
        </is>
      </c>
      <c r="B22" s="36" t="inlineStr">
        <is>
          <t>USD-SOFR (compounded in arrears)</t>
        </is>
      </c>
      <c r="C22" s="37" t="n"/>
      <c r="D22" s="37" t="n"/>
      <c r="E22" s="37" t="n"/>
      <c r="F22" s="37" t="n"/>
    </row>
    <row r="23">
      <c r="A23" s="8" t="inlineStr">
        <is>
          <t>Spot / settlement lag</t>
        </is>
      </c>
      <c r="B23" s="36" t="inlineStr">
        <is>
          <t>T+2 US business days</t>
        </is>
      </c>
      <c r="C23" s="37" t="n"/>
      <c r="D23" s="37" t="n"/>
      <c r="E23" s="37" t="n"/>
      <c r="F23" s="37" t="n"/>
    </row>
    <row r="24">
      <c r="A24" s="8" t="inlineStr">
        <is>
          <t>Effective date rule</t>
        </is>
      </c>
      <c r="B24" s="36" t="inlineStr">
        <is>
          <t>Spot (T+2), modified following</t>
        </is>
      </c>
      <c r="C24" s="37" t="n"/>
      <c r="D24" s="37" t="n"/>
      <c r="E24" s="37" t="n"/>
      <c r="F24" s="37" t="n"/>
    </row>
    <row r="25">
      <c r="A25" s="8" t="inlineStr">
        <is>
          <t>Maturity date rule</t>
        </is>
      </c>
      <c r="B25" s="36" t="inlineStr">
        <is>
          <t>Effective + tenor, modified following</t>
        </is>
      </c>
      <c r="C25" s="37" t="n"/>
      <c r="D25" s="37" t="n"/>
      <c r="E25" s="37" t="n"/>
      <c r="F25" s="37" t="n"/>
    </row>
    <row r="26">
      <c r="A26" s="8" t="inlineStr">
        <is>
          <t>Business-day convention</t>
        </is>
      </c>
      <c r="B26" s="36" t="inlineStr">
        <is>
          <t>Modified Following</t>
        </is>
      </c>
      <c r="C26" s="37" t="n"/>
      <c r="D26" s="37" t="n"/>
      <c r="E26" s="37" t="n"/>
      <c r="F26" s="37" t="n"/>
    </row>
    <row r="27">
      <c r="A27" s="8" t="inlineStr">
        <is>
          <t>Fixed-leg day count</t>
        </is>
      </c>
      <c r="B27" s="36" t="inlineStr">
        <is>
          <t>ACT/360</t>
        </is>
      </c>
      <c r="C27" s="37" t="n"/>
      <c r="D27" s="37" t="n"/>
      <c r="E27" s="37" t="n"/>
      <c r="F27" s="37" t="n"/>
    </row>
    <row r="28">
      <c r="A28" s="8" t="inlineStr">
        <is>
          <t>Fixed-leg pay frequency</t>
        </is>
      </c>
      <c r="B28" s="36" t="inlineStr">
        <is>
          <t>Annual  (single payment if tenor ≤ 1Y)</t>
        </is>
      </c>
      <c r="C28" s="37" t="n"/>
      <c r="D28" s="37" t="n"/>
      <c r="E28" s="37" t="n"/>
      <c r="F28" s="37" t="n"/>
    </row>
    <row r="29">
      <c r="A29" s="8" t="inlineStr">
        <is>
          <t>Floating-leg day count</t>
        </is>
      </c>
      <c r="B29" s="36" t="inlineStr">
        <is>
          <t>ACT/360</t>
        </is>
      </c>
      <c r="C29" s="37" t="n"/>
      <c r="D29" s="37" t="n"/>
      <c r="E29" s="37" t="n"/>
      <c r="F29" s="37" t="n"/>
    </row>
    <row r="30">
      <c r="A30" s="8" t="inlineStr">
        <is>
          <t>Floating-leg pay frequency</t>
        </is>
      </c>
      <c r="B30" s="36" t="inlineStr">
        <is>
          <t>Annual  (single payment if tenor ≤ 1Y)</t>
        </is>
      </c>
      <c r="C30" s="37" t="n"/>
      <c r="D30" s="37" t="n"/>
      <c r="E30" s="37" t="n"/>
      <c r="F30" s="37" t="n"/>
    </row>
    <row r="31">
      <c r="A31" s="8" t="inlineStr">
        <is>
          <t>SOFR compounding method</t>
        </is>
      </c>
      <c r="B31" s="36" t="inlineStr">
        <is>
          <t>Daily compounded, ACT/360</t>
        </is>
      </c>
      <c r="C31" s="37" t="n"/>
      <c r="D31" s="37" t="n"/>
      <c r="E31" s="37" t="n"/>
      <c r="F31" s="37" t="n"/>
    </row>
    <row r="32">
      <c r="A32" s="8" t="inlineStr">
        <is>
          <t>Payment lag</t>
        </is>
      </c>
      <c r="B32" s="36" t="inlineStr">
        <is>
          <t>2 US business days</t>
        </is>
      </c>
      <c r="C32" s="37" t="n"/>
      <c r="D32" s="37" t="n"/>
      <c r="E32" s="37" t="n"/>
      <c r="F32" s="37" t="n"/>
    </row>
    <row r="33">
      <c r="A33" s="8" t="inlineStr">
        <is>
          <t>Observation shift / lookback</t>
        </is>
      </c>
      <c r="B33" s="36" t="inlineStr">
        <is>
          <t>None (payment-delay convention, 2 bd)</t>
        </is>
      </c>
      <c r="C33" s="37" t="n"/>
      <c r="D33" s="37" t="n"/>
      <c r="E33" s="37" t="n"/>
      <c r="F33" s="37" t="n"/>
    </row>
    <row r="34">
      <c r="A34" s="8" t="inlineStr">
        <is>
          <t>End-of-month treatment</t>
        </is>
      </c>
      <c r="B34" s="36" t="inlineStr">
        <is>
          <t>EOM applies</t>
        </is>
      </c>
      <c r="C34" s="37" t="n"/>
      <c r="D34" s="37" t="n"/>
      <c r="E34" s="37" t="n"/>
      <c r="F34" s="37" t="n"/>
    </row>
    <row r="36" ht="44" customHeight="1">
      <c r="A36" s="11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7">
    <mergeCell ref="B30:F30"/>
    <mergeCell ref="A2:F2"/>
    <mergeCell ref="B29:F29"/>
    <mergeCell ref="B24:F24"/>
    <mergeCell ref="B34:F34"/>
    <mergeCell ref="B33:F33"/>
    <mergeCell ref="A1:F1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2026-07-20T13:25:03Z</dcterms:created>
  <dcterms:modified xmlns:dcterms="http://purl.org/dc/terms/" xmlns:xsi="http://www.w3.org/2001/XMLSchema-instance" xsi:type="dcterms:W3CDTF">2026-07-20T13:25:03Z</dcterms:modified>
</cp:coreProperties>
</file>