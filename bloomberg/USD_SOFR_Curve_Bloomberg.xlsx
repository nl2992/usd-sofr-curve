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nvention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OIS_Quotes" sheetId="4" state="visible" r:id="rId4"/>
    <sheet xmlns:r="http://schemas.openxmlformats.org/officeDocument/2006/relationships" name="SOFR_Futur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Curve_Solver" sheetId="7" state="hidden" r:id="rId7"/>
    <sheet xmlns:r="http://schemas.openxmlformats.org/officeDocument/2006/relationships" name="Fwd_Interp" sheetId="8" state="visible" r:id="rId8"/>
    <sheet xmlns:r="http://schemas.openxmlformats.org/officeDocument/2006/relationships" name="Curve_Interface" sheetId="9" state="visible" r:id="rId9"/>
    <sheet xmlns:r="http://schemas.openxmlformats.org/officeDocument/2006/relationships" name="Swap_Pricer" sheetId="10" state="visible" r:id="rId10"/>
    <sheet xmlns:r="http://schemas.openxmlformats.org/officeDocument/2006/relationships" name="Bloomberg_S490_Validation" sheetId="11" state="visible" r:id="rId11"/>
    <sheet xmlns:r="http://schemas.openxmlformats.org/officeDocument/2006/relationships" name="Charts" sheetId="12" state="visible" r:id="rId12"/>
    <sheet xmlns:r="http://schemas.openxmlformats.org/officeDocument/2006/relationships" name="CDS_Parameters" sheetId="13" state="visible" r:id="rId13"/>
    <sheet xmlns:r="http://schemas.openxmlformats.org/officeDocument/2006/relationships" name="CDS_Quotes" sheetId="14" state="visible" r:id="rId14"/>
    <sheet xmlns:r="http://schemas.openxmlformats.org/officeDocument/2006/relationships" name="Hazard_Bootstrap" sheetId="15" state="visible" r:id="rId15"/>
    <sheet xmlns:r="http://schemas.openxmlformats.org/officeDocument/2006/relationships" name="Hazard_Solver" sheetId="16" state="hidden" r:id="rId16"/>
    <sheet xmlns:r="http://schemas.openxmlformats.org/officeDocument/2006/relationships" name="CDS_Schedule" sheetId="17" state="visible" r:id="rId17"/>
    <sheet xmlns:r="http://schemas.openxmlformats.org/officeDocument/2006/relationships" name="CDS_Pricer" sheetId="18" state="visible" r:id="rId18"/>
    <sheet xmlns:r="http://schemas.openxmlformats.org/officeDocument/2006/relationships" name="CDS_Validation" sheetId="19" state="visible" r:id="rId19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19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OBSERVED overnight rate from the S490 screen 07/21/26 (bid = ask = 3.59000), NOT fitted. Off-terminal fallback only: on a terminal C6 pulls the live SOFRRATE fixing. Every curve input is now something we pull - nothing is derived from the S490 zero/discount columns, which are purely the comparison target.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M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REAL MARKET DATA - S490 USD SOFR, Step Forward (Cont), Settle 07/21/26, Curve Side Mid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The screen's Market Rate column, which is already the mid. Used only when BDP fails; on a terminal BDP bid/ask takes precedence.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MID (%)</t>
        </is>
      </c>
      <c r="K4" s="62" t="inlineStr">
        <is>
          <t>Source</t>
        </is>
      </c>
      <c r="L4" s="62" t="inlineStr"/>
      <c r="M4" s="65" t="inlineStr">
        <is>
          <t>Maturity dates are modified-following business-day adjusted, matching S490 and the Bootstrap sheet. Display only - the curve reads column H (mid) alone.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MONTH(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&lt;&gt;MONTH(IF(RIGHT(B5,1)="W",$B$3+7*VALUE(LEFT(B5,LEN(B5)-1)),IF(RIGHT(B5,1)="M",EDATE($B$3,VALUE(LEFT(B5,LEN(B5)-1))),EDATE($B$3,12*VALUE(LEFT(B5,LEN(B5)-1)))))),(IF(RIGHT(B5,1)="W",$B$3+7*VALUE(LEFT(B5,LEN(B5)-1)),IF(RIGHT(B5,1)="M",EDATE($B$3,VALUE(LEFT(B5,LEN(B5)-1))),EDATE($B$3,12*VALUE(LEFT(B5,LEN(B5)-1)))))-IF(WEEKDAY(IF(RIGHT(B5,1)="W",$B$3+7*VALUE(LEFT(B5,LEN(B5)-1)),IF(RIGHT(B5,1)="M",EDATE($B$3,VALUE(LEFT(B5,LEN(B5)-1))),EDATE($B$3,12*VALUE(LEFT(B5,LEN(B5)-1))))),2)=6,1,IF(WEEKDAY(IF(RIGHT(B5,1)="W",$B$3+7*VALUE(LEFT(B5,LEN(B5)-1)),IF(RIGHT(B5,1)="M",EDATE($B$3,VALUE(LEFT(B5,LEN(B5)-1))),EDATE($B$3,12*VALUE(LEFT(B5,LEN(B5)-1))))),2)=7,2,0))),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84">
        <f>IFERROR((E5+F5)/2,IFERROR(G5+0,J5))</f>
        <v/>
      </c>
      <c r="I5" s="26" t="inlineStr">
        <is>
          <t>Y</t>
        </is>
      </c>
      <c r="J5" s="85" t="n">
        <v>3.6395</v>
      </c>
      <c r="K5" s="100" t="inlineStr">
        <is>
          <t>S490 07/21/26</t>
        </is>
      </c>
      <c r="L5" s="94" t="inlineStr"/>
    </row>
    <row r="6">
      <c r="A6" s="6" t="inlineStr">
        <is>
          <t>USOSFR2Z</t>
        </is>
      </c>
      <c r="B6" s="22" t="inlineStr">
        <is>
          <t>2W</t>
        </is>
      </c>
      <c r="C6" s="23">
        <f>IF(MONTH(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&lt;&gt;MONTH(IF(RIGHT(B6,1)="W",$B$3+7*VALUE(LEFT(B6,LEN(B6)-1)),IF(RIGHT(B6,1)="M",EDATE($B$3,VALUE(LEFT(B6,LEN(B6)-1))),EDATE($B$3,12*VALUE(LEFT(B6,LEN(B6)-1)))))),(IF(RIGHT(B6,1)="W",$B$3+7*VALUE(LEFT(B6,LEN(B6)-1)),IF(RIGHT(B6,1)="M",EDATE($B$3,VALUE(LEFT(B6,LEN(B6)-1))),EDATE($B$3,12*VALUE(LEFT(B6,LEN(B6)-1)))))-IF(WEEKDAY(IF(RIGHT(B6,1)="W",$B$3+7*VALUE(LEFT(B6,LEN(B6)-1)),IF(RIGHT(B6,1)="M",EDATE($B$3,VALUE(LEFT(B6,LEN(B6)-1))),EDATE($B$3,12*VALUE(LEFT(B6,LEN(B6)-1))))),2)=6,1,IF(WEEKDAY(IF(RIGHT(B6,1)="W",$B$3+7*VALUE(LEFT(B6,LEN(B6)-1)),IF(RIGHT(B6,1)="M",EDATE($B$3,VALUE(LEFT(B6,LEN(B6)-1))),EDATE($B$3,12*VALUE(LEFT(B6,LEN(B6)-1))))),2)=7,2,0))),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84">
        <f>IFERROR((E6+F6)/2,IFERROR(G6+0,J6))</f>
        <v/>
      </c>
      <c r="I6" s="26" t="inlineStr"/>
      <c r="J6" s="85" t="n">
        <v>3.67225</v>
      </c>
      <c r="K6" s="100" t="inlineStr">
        <is>
          <t>S490 07/21/26</t>
        </is>
      </c>
      <c r="L6" s="94" t="inlineStr"/>
    </row>
    <row r="7">
      <c r="A7" s="6" t="inlineStr">
        <is>
          <t>USOSFR3Z</t>
        </is>
      </c>
      <c r="B7" s="22" t="inlineStr">
        <is>
          <t>3W</t>
        </is>
      </c>
      <c r="C7" s="23">
        <f>IF(MONTH(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&lt;&gt;MONTH(IF(RIGHT(B7,1)="W",$B$3+7*VALUE(LEFT(B7,LEN(B7)-1)),IF(RIGHT(B7,1)="M",EDATE($B$3,VALUE(LEFT(B7,LEN(B7)-1))),EDATE($B$3,12*VALUE(LEFT(B7,LEN(B7)-1)))))),(IF(RIGHT(B7,1)="W",$B$3+7*VALUE(LEFT(B7,LEN(B7)-1)),IF(RIGHT(B7,1)="M",EDATE($B$3,VALUE(LEFT(B7,LEN(B7)-1))),EDATE($B$3,12*VALUE(LEFT(B7,LEN(B7)-1)))))-IF(WEEKDAY(IF(RIGHT(B7,1)="W",$B$3+7*VALUE(LEFT(B7,LEN(B7)-1)),IF(RIGHT(B7,1)="M",EDATE($B$3,VALUE(LEFT(B7,LEN(B7)-1))),EDATE($B$3,12*VALUE(LEFT(B7,LEN(B7)-1))))),2)=6,1,IF(WEEKDAY(IF(RIGHT(B7,1)="W",$B$3+7*VALUE(LEFT(B7,LEN(B7)-1)),IF(RIGHT(B7,1)="M",EDATE($B$3,VALUE(LEFT(B7,LEN(B7)-1))),EDATE($B$3,12*VALUE(LEFT(B7,LEN(B7)-1))))),2)=7,2,0))),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84">
        <f>IFERROR((E7+F7)/2,IFERROR(G7+0,J7))</f>
        <v/>
      </c>
      <c r="I7" s="26" t="inlineStr"/>
      <c r="J7" s="85" t="n">
        <v>3.67967</v>
      </c>
      <c r="K7" s="100" t="inlineStr">
        <is>
          <t>S490 07/21/26</t>
        </is>
      </c>
      <c r="L7" s="94" t="inlineStr"/>
    </row>
    <row r="8">
      <c r="A8" s="6" t="inlineStr">
        <is>
          <t>USOSFRA</t>
        </is>
      </c>
      <c r="B8" s="22" t="inlineStr">
        <is>
          <t>1M</t>
        </is>
      </c>
      <c r="C8" s="23">
        <f>IF(MONTH(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&lt;&gt;MONTH(IF(RIGHT(B8,1)="W",$B$3+7*VALUE(LEFT(B8,LEN(B8)-1)),IF(RIGHT(B8,1)="M",EDATE($B$3,VALUE(LEFT(B8,LEN(B8)-1))),EDATE($B$3,12*VALUE(LEFT(B8,LEN(B8)-1)))))),(IF(RIGHT(B8,1)="W",$B$3+7*VALUE(LEFT(B8,LEN(B8)-1)),IF(RIGHT(B8,1)="M",EDATE($B$3,VALUE(LEFT(B8,LEN(B8)-1))),EDATE($B$3,12*VALUE(LEFT(B8,LEN(B8)-1)))))-IF(WEEKDAY(IF(RIGHT(B8,1)="W",$B$3+7*VALUE(LEFT(B8,LEN(B8)-1)),IF(RIGHT(B8,1)="M",EDATE($B$3,VALUE(LEFT(B8,LEN(B8)-1))),EDATE($B$3,12*VALUE(LEFT(B8,LEN(B8)-1))))),2)=6,1,IF(WEEKDAY(IF(RIGHT(B8,1)="W",$B$3+7*VALUE(LEFT(B8,LEN(B8)-1)),IF(RIGHT(B8,1)="M",EDATE($B$3,VALUE(LEFT(B8,LEN(B8)-1))),EDATE($B$3,12*VALUE(LEFT(B8,LEN(B8)-1))))),2)=7,2,0))),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84">
        <f>IFERROR((E8+F8)/2,IFERROR(G8+0,J8))</f>
        <v/>
      </c>
      <c r="I8" s="26" t="inlineStr">
        <is>
          <t>Y</t>
        </is>
      </c>
      <c r="J8" s="85" t="n">
        <v>3.6885</v>
      </c>
      <c r="K8" s="100" t="inlineStr">
        <is>
          <t>S490 07/21/26</t>
        </is>
      </c>
      <c r="L8" s="94" t="inlineStr"/>
    </row>
    <row r="9">
      <c r="A9" s="6" t="inlineStr">
        <is>
          <t>USOSFRB</t>
        </is>
      </c>
      <c r="B9" s="22" t="inlineStr">
        <is>
          <t>2M</t>
        </is>
      </c>
      <c r="C9" s="23">
        <f>IF(MONTH(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&lt;&gt;MONTH(IF(RIGHT(B9,1)="W",$B$3+7*VALUE(LEFT(B9,LEN(B9)-1)),IF(RIGHT(B9,1)="M",EDATE($B$3,VALUE(LEFT(B9,LEN(B9)-1))),EDATE($B$3,12*VALUE(LEFT(B9,LEN(B9)-1)))))),(IF(RIGHT(B9,1)="W",$B$3+7*VALUE(LEFT(B9,LEN(B9)-1)),IF(RIGHT(B9,1)="M",EDATE($B$3,VALUE(LEFT(B9,LEN(B9)-1))),EDATE($B$3,12*VALUE(LEFT(B9,LEN(B9)-1)))))-IF(WEEKDAY(IF(RIGHT(B9,1)="W",$B$3+7*VALUE(LEFT(B9,LEN(B9)-1)),IF(RIGHT(B9,1)="M",EDATE($B$3,VALUE(LEFT(B9,LEN(B9)-1))),EDATE($B$3,12*VALUE(LEFT(B9,LEN(B9)-1))))),2)=6,1,IF(WEEKDAY(IF(RIGHT(B9,1)="W",$B$3+7*VALUE(LEFT(B9,LEN(B9)-1)),IF(RIGHT(B9,1)="M",EDATE($B$3,VALUE(LEFT(B9,LEN(B9)-1))),EDATE($B$3,12*VALUE(LEFT(B9,LEN(B9)-1))))),2)=7,2,0))),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84">
        <f>IFERROR((E9+F9)/2,IFERROR(G9+0,J9))</f>
        <v/>
      </c>
      <c r="I9" s="26" t="inlineStr"/>
      <c r="J9" s="85" t="n">
        <v>3.71345</v>
      </c>
      <c r="K9" s="100" t="inlineStr">
        <is>
          <t>S490 07/21/26</t>
        </is>
      </c>
      <c r="L9" s="94" t="inlineStr"/>
    </row>
    <row r="10">
      <c r="A10" s="6" t="inlineStr">
        <is>
          <t>USOSFRC</t>
        </is>
      </c>
      <c r="B10" s="22" t="inlineStr">
        <is>
          <t>3M</t>
        </is>
      </c>
      <c r="C10" s="23">
        <f>IF(MONTH(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&lt;&gt;MONTH(IF(RIGHT(B10,1)="W",$B$3+7*VALUE(LEFT(B10,LEN(B10)-1)),IF(RIGHT(B10,1)="M",EDATE($B$3,VALUE(LEFT(B10,LEN(B10)-1))),EDATE($B$3,12*VALUE(LEFT(B10,LEN(B10)-1)))))),(IF(RIGHT(B10,1)="W",$B$3+7*VALUE(LEFT(B10,LEN(B10)-1)),IF(RIGHT(B10,1)="M",EDATE($B$3,VALUE(LEFT(B10,LEN(B10)-1))),EDATE($B$3,12*VALUE(LEFT(B10,LEN(B10)-1)))))-IF(WEEKDAY(IF(RIGHT(B10,1)="W",$B$3+7*VALUE(LEFT(B10,LEN(B10)-1)),IF(RIGHT(B10,1)="M",EDATE($B$3,VALUE(LEFT(B10,LEN(B10)-1))),EDATE($B$3,12*VALUE(LEFT(B10,LEN(B10)-1))))),2)=6,1,IF(WEEKDAY(IF(RIGHT(B10,1)="W",$B$3+7*VALUE(LEFT(B10,LEN(B10)-1)),IF(RIGHT(B10,1)="M",EDATE($B$3,VALUE(LEFT(B10,LEN(B10)-1))),EDATE($B$3,12*VALUE(LEFT(B10,LEN(B10)-1))))),2)=7,2,0))),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84">
        <f>IFERROR((E10+F10)/2,IFERROR(G10+0,J10))</f>
        <v/>
      </c>
      <c r="I10" s="26" t="inlineStr">
        <is>
          <t>Y</t>
        </is>
      </c>
      <c r="J10" s="85" t="n">
        <v>3.76634</v>
      </c>
      <c r="K10" s="100" t="inlineStr">
        <is>
          <t>S490 07/21/26</t>
        </is>
      </c>
      <c r="L10" s="94" t="inlineStr"/>
    </row>
    <row r="11">
      <c r="A11" s="6" t="inlineStr">
        <is>
          <t>USOSFRD</t>
        </is>
      </c>
      <c r="B11" s="22" t="inlineStr">
        <is>
          <t>4M</t>
        </is>
      </c>
      <c r="C11" s="23">
        <f>IF(MONTH(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&lt;&gt;MONTH(IF(RIGHT(B11,1)="W",$B$3+7*VALUE(LEFT(B11,LEN(B11)-1)),IF(RIGHT(B11,1)="M",EDATE($B$3,VALUE(LEFT(B11,LEN(B11)-1))),EDATE($B$3,12*VALUE(LEFT(B11,LEN(B11)-1)))))),(IF(RIGHT(B11,1)="W",$B$3+7*VALUE(LEFT(B11,LEN(B11)-1)),IF(RIGHT(B11,1)="M",EDATE($B$3,VALUE(LEFT(B11,LEN(B11)-1))),EDATE($B$3,12*VALUE(LEFT(B11,LEN(B11)-1)))))-IF(WEEKDAY(IF(RIGHT(B11,1)="W",$B$3+7*VALUE(LEFT(B11,LEN(B11)-1)),IF(RIGHT(B11,1)="M",EDATE($B$3,VALUE(LEFT(B11,LEN(B11)-1))),EDATE($B$3,12*VALUE(LEFT(B11,LEN(B11)-1))))),2)=6,1,IF(WEEKDAY(IF(RIGHT(B11,1)="W",$B$3+7*VALUE(LEFT(B11,LEN(B11)-1)),IF(RIGHT(B11,1)="M",EDATE($B$3,VALUE(LEFT(B11,LEN(B11)-1))),EDATE($B$3,12*VALUE(LEFT(B11,LEN(B11)-1))))),2)=7,2,0))),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84">
        <f>IFERROR((E11+F11)/2,IFERROR(G11+0,J11))</f>
        <v/>
      </c>
      <c r="I11" s="26" t="inlineStr"/>
      <c r="J11" s="85" t="n">
        <v>3.81204</v>
      </c>
      <c r="K11" s="100" t="inlineStr">
        <is>
          <t>S490 07/21/26</t>
        </is>
      </c>
      <c r="L11" s="94" t="inlineStr"/>
    </row>
    <row r="12">
      <c r="A12" s="6" t="inlineStr">
        <is>
          <t>USOSFRE</t>
        </is>
      </c>
      <c r="B12" s="22" t="inlineStr">
        <is>
          <t>5M</t>
        </is>
      </c>
      <c r="C12" s="23">
        <f>IF(MONTH(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&lt;&gt;MONTH(IF(RIGHT(B12,1)="W",$B$3+7*VALUE(LEFT(B12,LEN(B12)-1)),IF(RIGHT(B12,1)="M",EDATE($B$3,VALUE(LEFT(B12,LEN(B12)-1))),EDATE($B$3,12*VALUE(LEFT(B12,LEN(B12)-1)))))),(IF(RIGHT(B12,1)="W",$B$3+7*VALUE(LEFT(B12,LEN(B12)-1)),IF(RIGHT(B12,1)="M",EDATE($B$3,VALUE(LEFT(B12,LEN(B12)-1))),EDATE($B$3,12*VALUE(LEFT(B12,LEN(B12)-1)))))-IF(WEEKDAY(IF(RIGHT(B12,1)="W",$B$3+7*VALUE(LEFT(B12,LEN(B12)-1)),IF(RIGHT(B12,1)="M",EDATE($B$3,VALUE(LEFT(B12,LEN(B12)-1))),EDATE($B$3,12*VALUE(LEFT(B12,LEN(B12)-1))))),2)=6,1,IF(WEEKDAY(IF(RIGHT(B12,1)="W",$B$3+7*VALUE(LEFT(B12,LEN(B12)-1)),IF(RIGHT(B12,1)="M",EDATE($B$3,VALUE(LEFT(B12,LEN(B12)-1))),EDATE($B$3,12*VALUE(LEFT(B12,LEN(B12)-1))))),2)=7,2,0))),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84">
        <f>IFERROR((E12+F12)/2,IFERROR(G12+0,J12))</f>
        <v/>
      </c>
      <c r="I12" s="26" t="inlineStr"/>
      <c r="J12" s="85" t="n">
        <v>3.8536</v>
      </c>
      <c r="K12" s="100" t="inlineStr">
        <is>
          <t>S490 07/21/26</t>
        </is>
      </c>
      <c r="L12" s="94" t="inlineStr"/>
    </row>
    <row r="13">
      <c r="A13" s="6" t="inlineStr">
        <is>
          <t>USOSFRF</t>
        </is>
      </c>
      <c r="B13" s="22" t="inlineStr">
        <is>
          <t>6M</t>
        </is>
      </c>
      <c r="C13" s="23">
        <f>IF(MONTH(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&lt;&gt;MONTH(IF(RIGHT(B13,1)="W",$B$3+7*VALUE(LEFT(B13,LEN(B13)-1)),IF(RIGHT(B13,1)="M",EDATE($B$3,VALUE(LEFT(B13,LEN(B13)-1))),EDATE($B$3,12*VALUE(LEFT(B13,LEN(B13)-1)))))),(IF(RIGHT(B13,1)="W",$B$3+7*VALUE(LEFT(B13,LEN(B13)-1)),IF(RIGHT(B13,1)="M",EDATE($B$3,VALUE(LEFT(B13,LEN(B13)-1))),EDATE($B$3,12*VALUE(LEFT(B13,LEN(B13)-1)))))-IF(WEEKDAY(IF(RIGHT(B13,1)="W",$B$3+7*VALUE(LEFT(B13,LEN(B13)-1)),IF(RIGHT(B13,1)="M",EDATE($B$3,VALUE(LEFT(B13,LEN(B13)-1))),EDATE($B$3,12*VALUE(LEFT(B13,LEN(B13)-1))))),2)=6,1,IF(WEEKDAY(IF(RIGHT(B13,1)="W",$B$3+7*VALUE(LEFT(B13,LEN(B13)-1)),IF(RIGHT(B13,1)="M",EDATE($B$3,VALUE(LEFT(B13,LEN(B13)-1))),EDATE($B$3,12*VALUE(LEFT(B13,LEN(B13)-1))))),2)=7,2,0))),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84">
        <f>IFERROR((E13+F13)/2,IFERROR(G13+0,J13))</f>
        <v/>
      </c>
      <c r="I13" s="26" t="inlineStr">
        <is>
          <t>Y</t>
        </is>
      </c>
      <c r="J13" s="85" t="n">
        <v>3.8993</v>
      </c>
      <c r="K13" s="100" t="inlineStr">
        <is>
          <t>S490 07/21/26</t>
        </is>
      </c>
      <c r="L13" s="94" t="inlineStr"/>
    </row>
    <row r="14">
      <c r="A14" s="6" t="inlineStr">
        <is>
          <t>USOSFRG</t>
        </is>
      </c>
      <c r="B14" s="22" t="inlineStr">
        <is>
          <t>7M</t>
        </is>
      </c>
      <c r="C14" s="23">
        <f>IF(MONTH(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&lt;&gt;MONTH(IF(RIGHT(B14,1)="W",$B$3+7*VALUE(LEFT(B14,LEN(B14)-1)),IF(RIGHT(B14,1)="M",EDATE($B$3,VALUE(LEFT(B14,LEN(B14)-1))),EDATE($B$3,12*VALUE(LEFT(B14,LEN(B14)-1)))))),(IF(RIGHT(B14,1)="W",$B$3+7*VALUE(LEFT(B14,LEN(B14)-1)),IF(RIGHT(B14,1)="M",EDATE($B$3,VALUE(LEFT(B14,LEN(B14)-1))),EDATE($B$3,12*VALUE(LEFT(B14,LEN(B14)-1)))))-IF(WEEKDAY(IF(RIGHT(B14,1)="W",$B$3+7*VALUE(LEFT(B14,LEN(B14)-1)),IF(RIGHT(B14,1)="M",EDATE($B$3,VALUE(LEFT(B14,LEN(B14)-1))),EDATE($B$3,12*VALUE(LEFT(B14,LEN(B14)-1))))),2)=6,1,IF(WEEKDAY(IF(RIGHT(B14,1)="W",$B$3+7*VALUE(LEFT(B14,LEN(B14)-1)),IF(RIGHT(B14,1)="M",EDATE($B$3,VALUE(LEFT(B14,LEN(B14)-1))),EDATE($B$3,12*VALUE(LEFT(B14,LEN(B14)-1))))),2)=7,2,0))),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84">
        <f>IFERROR((E14+F14)/2,IFERROR(G14+0,J14))</f>
        <v/>
      </c>
      <c r="I14" s="26" t="inlineStr"/>
      <c r="J14" s="85" t="n">
        <v>3.9329</v>
      </c>
      <c r="K14" s="100" t="inlineStr">
        <is>
          <t>S490 07/21/26</t>
        </is>
      </c>
      <c r="L14" s="94" t="inlineStr"/>
    </row>
    <row r="15">
      <c r="A15" s="6" t="inlineStr">
        <is>
          <t>USOSFRH</t>
        </is>
      </c>
      <c r="B15" s="22" t="inlineStr">
        <is>
          <t>8M</t>
        </is>
      </c>
      <c r="C15" s="23">
        <f>IF(MONTH(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&lt;&gt;MONTH(IF(RIGHT(B15,1)="W",$B$3+7*VALUE(LEFT(B15,LEN(B15)-1)),IF(RIGHT(B15,1)="M",EDATE($B$3,VALUE(LEFT(B15,LEN(B15)-1))),EDATE($B$3,12*VALUE(LEFT(B15,LEN(B15)-1)))))),(IF(RIGHT(B15,1)="W",$B$3+7*VALUE(LEFT(B15,LEN(B15)-1)),IF(RIGHT(B15,1)="M",EDATE($B$3,VALUE(LEFT(B15,LEN(B15)-1))),EDATE($B$3,12*VALUE(LEFT(B15,LEN(B15)-1)))))-IF(WEEKDAY(IF(RIGHT(B15,1)="W",$B$3+7*VALUE(LEFT(B15,LEN(B15)-1)),IF(RIGHT(B15,1)="M",EDATE($B$3,VALUE(LEFT(B15,LEN(B15)-1))),EDATE($B$3,12*VALUE(LEFT(B15,LEN(B15)-1))))),2)=6,1,IF(WEEKDAY(IF(RIGHT(B15,1)="W",$B$3+7*VALUE(LEFT(B15,LEN(B15)-1)),IF(RIGHT(B15,1)="M",EDATE($B$3,VALUE(LEFT(B15,LEN(B15)-1))),EDATE($B$3,12*VALUE(LEFT(B15,LEN(B15)-1))))),2)=7,2,0))),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84">
        <f>IFERROR((E15+F15)/2,IFERROR(G15+0,J15))</f>
        <v/>
      </c>
      <c r="I15" s="26" t="inlineStr"/>
      <c r="J15" s="85" t="n">
        <v>3.96135</v>
      </c>
      <c r="K15" s="100" t="inlineStr">
        <is>
          <t>S490 07/21/26</t>
        </is>
      </c>
      <c r="L15" s="94" t="inlineStr"/>
    </row>
    <row r="16">
      <c r="A16" s="6" t="inlineStr">
        <is>
          <t>USOSFRI</t>
        </is>
      </c>
      <c r="B16" s="22" t="inlineStr">
        <is>
          <t>9M</t>
        </is>
      </c>
      <c r="C16" s="23">
        <f>IF(MONTH(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&lt;&gt;MONTH(IF(RIGHT(B16,1)="W",$B$3+7*VALUE(LEFT(B16,LEN(B16)-1)),IF(RIGHT(B16,1)="M",EDATE($B$3,VALUE(LEFT(B16,LEN(B16)-1))),EDATE($B$3,12*VALUE(LEFT(B16,LEN(B16)-1)))))),(IF(RIGHT(B16,1)="W",$B$3+7*VALUE(LEFT(B16,LEN(B16)-1)),IF(RIGHT(B16,1)="M",EDATE($B$3,VALUE(LEFT(B16,LEN(B16)-1))),EDATE($B$3,12*VALUE(LEFT(B16,LEN(B16)-1)))))-IF(WEEKDAY(IF(RIGHT(B16,1)="W",$B$3+7*VALUE(LEFT(B16,LEN(B16)-1)),IF(RIGHT(B16,1)="M",EDATE($B$3,VALUE(LEFT(B16,LEN(B16)-1))),EDATE($B$3,12*VALUE(LEFT(B16,LEN(B16)-1))))),2)=6,1,IF(WEEKDAY(IF(RIGHT(B16,1)="W",$B$3+7*VALUE(LEFT(B16,LEN(B16)-1)),IF(RIGHT(B16,1)="M",EDATE($B$3,VALUE(LEFT(B16,LEN(B16)-1))),EDATE($B$3,12*VALUE(LEFT(B16,LEN(B16)-1))))),2)=7,2,0))),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84">
        <f>IFERROR((E16+F16)/2,IFERROR(G16+0,J16))</f>
        <v/>
      </c>
      <c r="I16" s="26" t="inlineStr"/>
      <c r="J16" s="85" t="n">
        <v>3.99225</v>
      </c>
      <c r="K16" s="100" t="inlineStr">
        <is>
          <t>S490 07/21/26</t>
        </is>
      </c>
      <c r="L16" s="94" t="inlineStr"/>
    </row>
    <row r="17">
      <c r="A17" s="6" t="inlineStr">
        <is>
          <t>USOSFRJ</t>
        </is>
      </c>
      <c r="B17" s="22" t="inlineStr">
        <is>
          <t>10M</t>
        </is>
      </c>
      <c r="C17" s="23">
        <f>IF(MONTH(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&lt;&gt;MONTH(IF(RIGHT(B17,1)="W",$B$3+7*VALUE(LEFT(B17,LEN(B17)-1)),IF(RIGHT(B17,1)="M",EDATE($B$3,VALUE(LEFT(B17,LEN(B17)-1))),EDATE($B$3,12*VALUE(LEFT(B17,LEN(B17)-1)))))),(IF(RIGHT(B17,1)="W",$B$3+7*VALUE(LEFT(B17,LEN(B17)-1)),IF(RIGHT(B17,1)="M",EDATE($B$3,VALUE(LEFT(B17,LEN(B17)-1))),EDATE($B$3,12*VALUE(LEFT(B17,LEN(B17)-1)))))-IF(WEEKDAY(IF(RIGHT(B17,1)="W",$B$3+7*VALUE(LEFT(B17,LEN(B17)-1)),IF(RIGHT(B17,1)="M",EDATE($B$3,VALUE(LEFT(B17,LEN(B17)-1))),EDATE($B$3,12*VALUE(LEFT(B17,LEN(B17)-1))))),2)=6,1,IF(WEEKDAY(IF(RIGHT(B17,1)="W",$B$3+7*VALUE(LEFT(B17,LEN(B17)-1)),IF(RIGHT(B17,1)="M",EDATE($B$3,VALUE(LEFT(B17,LEN(B17)-1))),EDATE($B$3,12*VALUE(LEFT(B17,LEN(B17)-1))))),2)=7,2,0))),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84">
        <f>IFERROR((E17+F17)/2,IFERROR(G17+0,J17))</f>
        <v/>
      </c>
      <c r="I17" s="26" t="inlineStr"/>
      <c r="J17" s="85" t="n">
        <v>4.0196</v>
      </c>
      <c r="K17" s="100" t="inlineStr">
        <is>
          <t>S490 07/21/26</t>
        </is>
      </c>
      <c r="L17" s="94" t="inlineStr"/>
    </row>
    <row r="18">
      <c r="A18" s="6" t="inlineStr">
        <is>
          <t>USOSFRK</t>
        </is>
      </c>
      <c r="B18" s="22" t="inlineStr">
        <is>
          <t>11M</t>
        </is>
      </c>
      <c r="C18" s="23">
        <f>IF(MONTH(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&lt;&gt;MONTH(IF(RIGHT(B18,1)="W",$B$3+7*VALUE(LEFT(B18,LEN(B18)-1)),IF(RIGHT(B18,1)="M",EDATE($B$3,VALUE(LEFT(B18,LEN(B18)-1))),EDATE($B$3,12*VALUE(LEFT(B18,LEN(B18)-1)))))),(IF(RIGHT(B18,1)="W",$B$3+7*VALUE(LEFT(B18,LEN(B18)-1)),IF(RIGHT(B18,1)="M",EDATE($B$3,VALUE(LEFT(B18,LEN(B18)-1))),EDATE($B$3,12*VALUE(LEFT(B18,LEN(B18)-1)))))-IF(WEEKDAY(IF(RIGHT(B18,1)="W",$B$3+7*VALUE(LEFT(B18,LEN(B18)-1)),IF(RIGHT(B18,1)="M",EDATE($B$3,VALUE(LEFT(B18,LEN(B18)-1))),EDATE($B$3,12*VALUE(LEFT(B18,LEN(B18)-1))))),2)=6,1,IF(WEEKDAY(IF(RIGHT(B18,1)="W",$B$3+7*VALUE(LEFT(B18,LEN(B18)-1)),IF(RIGHT(B18,1)="M",EDATE($B$3,VALUE(LEFT(B18,LEN(B18)-1))),EDATE($B$3,12*VALUE(LEFT(B18,LEN(B18)-1))))),2)=7,2,0))),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84">
        <f>IFERROR((E18+F18)/2,IFERROR(G18+0,J18))</f>
        <v/>
      </c>
      <c r="I18" s="26" t="inlineStr"/>
      <c r="J18" s="85" t="n">
        <v>4.04375</v>
      </c>
      <c r="K18" s="100" t="inlineStr">
        <is>
          <t>S490 07/21/26</t>
        </is>
      </c>
      <c r="L18" s="94" t="inlineStr"/>
    </row>
    <row r="19">
      <c r="A19" s="6" t="inlineStr">
        <is>
          <t>USOSFR1</t>
        </is>
      </c>
      <c r="B19" s="22" t="inlineStr">
        <is>
          <t>1Y</t>
        </is>
      </c>
      <c r="C19" s="23">
        <f>IF(MONTH(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&lt;&gt;MONTH(IF(RIGHT(B19,1)="W",$B$3+7*VALUE(LEFT(B19,LEN(B19)-1)),IF(RIGHT(B19,1)="M",EDATE($B$3,VALUE(LEFT(B19,LEN(B19)-1))),EDATE($B$3,12*VALUE(LEFT(B19,LEN(B19)-1)))))),(IF(RIGHT(B19,1)="W",$B$3+7*VALUE(LEFT(B19,LEN(B19)-1)),IF(RIGHT(B19,1)="M",EDATE($B$3,VALUE(LEFT(B19,LEN(B19)-1))),EDATE($B$3,12*VALUE(LEFT(B19,LEN(B19)-1)))))-IF(WEEKDAY(IF(RIGHT(B19,1)="W",$B$3+7*VALUE(LEFT(B19,LEN(B19)-1)),IF(RIGHT(B19,1)="M",EDATE($B$3,VALUE(LEFT(B19,LEN(B19)-1))),EDATE($B$3,12*VALUE(LEFT(B19,LEN(B19)-1))))),2)=6,1,IF(WEEKDAY(IF(RIGHT(B19,1)="W",$B$3+7*VALUE(LEFT(B19,LEN(B19)-1)),IF(RIGHT(B19,1)="M",EDATE($B$3,VALUE(LEFT(B19,LEN(B19)-1))),EDATE($B$3,12*VALUE(LEFT(B19,LEN(B19)-1))))),2)=7,2,0))),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84">
        <f>IFERROR((E19+F19)/2,IFERROR(G19+0,J19))</f>
        <v/>
      </c>
      <c r="I19" s="26" t="inlineStr"/>
      <c r="J19" s="85" t="n">
        <v>4.06475</v>
      </c>
      <c r="K19" s="100" t="inlineStr">
        <is>
          <t>S490 07/21/26</t>
        </is>
      </c>
      <c r="L19" s="94" t="inlineStr"/>
    </row>
    <row r="20">
      <c r="A20" s="6" t="inlineStr">
        <is>
          <t>USOSFR1F</t>
        </is>
      </c>
      <c r="B20" s="22" t="inlineStr">
        <is>
          <t>18M</t>
        </is>
      </c>
      <c r="C20" s="23">
        <f>IF(MONTH(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&lt;&gt;MONTH(IF(RIGHT(B20,1)="W",$B$3+7*VALUE(LEFT(B20,LEN(B20)-1)),IF(RIGHT(B20,1)="M",EDATE($B$3,VALUE(LEFT(B20,LEN(B20)-1))),EDATE($B$3,12*VALUE(LEFT(B20,LEN(B20)-1)))))),(IF(RIGHT(B20,1)="W",$B$3+7*VALUE(LEFT(B20,LEN(B20)-1)),IF(RIGHT(B20,1)="M",EDATE($B$3,VALUE(LEFT(B20,LEN(B20)-1))),EDATE($B$3,12*VALUE(LEFT(B20,LEN(B20)-1)))))-IF(WEEKDAY(IF(RIGHT(B20,1)="W",$B$3+7*VALUE(LEFT(B20,LEN(B20)-1)),IF(RIGHT(B20,1)="M",EDATE($B$3,VALUE(LEFT(B20,LEN(B20)-1))),EDATE($B$3,12*VALUE(LEFT(B20,LEN(B20)-1))))),2)=6,1,IF(WEEKDAY(IF(RIGHT(B20,1)="W",$B$3+7*VALUE(LEFT(B20,LEN(B20)-1)),IF(RIGHT(B20,1)="M",EDATE($B$3,VALUE(LEFT(B20,LEN(B20)-1))),EDATE($B$3,12*VALUE(LEFT(B20,LEN(B20)-1))))),2)=7,2,0))),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84">
        <f>IFERROR((E20+F20)/2,IFERROR(G20+0,J20))</f>
        <v/>
      </c>
      <c r="I20" s="26" t="inlineStr"/>
      <c r="J20" s="85" t="n">
        <v>4.08619</v>
      </c>
      <c r="K20" s="100" t="inlineStr">
        <is>
          <t>S490 07/21/26</t>
        </is>
      </c>
      <c r="L20" s="94" t="inlineStr"/>
    </row>
    <row r="21">
      <c r="A21" s="6" t="inlineStr">
        <is>
          <t>USOSFR2</t>
        </is>
      </c>
      <c r="B21" s="22" t="inlineStr">
        <is>
          <t>2Y</t>
        </is>
      </c>
      <c r="C21" s="23">
        <f>IF(MONTH(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&lt;&gt;MONTH(IF(RIGHT(B21,1)="W",$B$3+7*VALUE(LEFT(B21,LEN(B21)-1)),IF(RIGHT(B21,1)="M",EDATE($B$3,VALUE(LEFT(B21,LEN(B21)-1))),EDATE($B$3,12*VALUE(LEFT(B21,LEN(B21)-1)))))),(IF(RIGHT(B21,1)="W",$B$3+7*VALUE(LEFT(B21,LEN(B21)-1)),IF(RIGHT(B21,1)="M",EDATE($B$3,VALUE(LEFT(B21,LEN(B21)-1))),EDATE($B$3,12*VALUE(LEFT(B21,LEN(B21)-1)))))-IF(WEEKDAY(IF(RIGHT(B21,1)="W",$B$3+7*VALUE(LEFT(B21,LEN(B21)-1)),IF(RIGHT(B21,1)="M",EDATE($B$3,VALUE(LEFT(B21,LEN(B21)-1))),EDATE($B$3,12*VALUE(LEFT(B21,LEN(B21)-1))))),2)=6,1,IF(WEEKDAY(IF(RIGHT(B21,1)="W",$B$3+7*VALUE(LEFT(B21,LEN(B21)-1)),IF(RIGHT(B21,1)="M",EDATE($B$3,VALUE(LEFT(B21,LEN(B21)-1))),EDATE($B$3,12*VALUE(LEFT(B21,LEN(B21)-1))))),2)=7,2,0))),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84">
        <f>IFERROR((E21+F21)/2,IFERROR(G21+0,J21))</f>
        <v/>
      </c>
      <c r="I21" s="26" t="inlineStr"/>
      <c r="J21" s="85" t="n">
        <v>4.0953</v>
      </c>
      <c r="K21" s="100" t="inlineStr">
        <is>
          <t>S490 07/21/26</t>
        </is>
      </c>
      <c r="L21" s="94" t="inlineStr"/>
    </row>
    <row r="22">
      <c r="A22" s="6" t="inlineStr">
        <is>
          <t>USOSFR3</t>
        </is>
      </c>
      <c r="B22" s="22" t="inlineStr">
        <is>
          <t>3Y</t>
        </is>
      </c>
      <c r="C22" s="23">
        <f>IF(MONTH(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&lt;&gt;MONTH(IF(RIGHT(B22,1)="W",$B$3+7*VALUE(LEFT(B22,LEN(B22)-1)),IF(RIGHT(B22,1)="M",EDATE($B$3,VALUE(LEFT(B22,LEN(B22)-1))),EDATE($B$3,12*VALUE(LEFT(B22,LEN(B22)-1)))))),(IF(RIGHT(B22,1)="W",$B$3+7*VALUE(LEFT(B22,LEN(B22)-1)),IF(RIGHT(B22,1)="M",EDATE($B$3,VALUE(LEFT(B22,LEN(B22)-1))),EDATE($B$3,12*VALUE(LEFT(B22,LEN(B22)-1)))))-IF(WEEKDAY(IF(RIGHT(B22,1)="W",$B$3+7*VALUE(LEFT(B22,LEN(B22)-1)),IF(RIGHT(B22,1)="M",EDATE($B$3,VALUE(LEFT(B22,LEN(B22)-1))),EDATE($B$3,12*VALUE(LEFT(B22,LEN(B22)-1))))),2)=6,1,IF(WEEKDAY(IF(RIGHT(B22,1)="W",$B$3+7*VALUE(LEFT(B22,LEN(B22)-1)),IF(RIGHT(B22,1)="M",EDATE($B$3,VALUE(LEFT(B22,LEN(B22)-1))),EDATE($B$3,12*VALUE(LEFT(B22,LEN(B22)-1))))),2)=7,2,0))),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84">
        <f>IFERROR((E22+F22)/2,IFERROR(G22+0,J22))</f>
        <v/>
      </c>
      <c r="I22" s="26" t="inlineStr"/>
      <c r="J22" s="85" t="n">
        <v>4.0795</v>
      </c>
      <c r="K22" s="100" t="inlineStr">
        <is>
          <t>S490 07/21/26</t>
        </is>
      </c>
      <c r="L22" s="94" t="inlineStr"/>
    </row>
    <row r="23">
      <c r="A23" s="6" t="inlineStr">
        <is>
          <t>USOSFR4</t>
        </is>
      </c>
      <c r="B23" s="22" t="inlineStr">
        <is>
          <t>4Y</t>
        </is>
      </c>
      <c r="C23" s="23">
        <f>IF(MONTH(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&lt;&gt;MONTH(IF(RIGHT(B23,1)="W",$B$3+7*VALUE(LEFT(B23,LEN(B23)-1)),IF(RIGHT(B23,1)="M",EDATE($B$3,VALUE(LEFT(B23,LEN(B23)-1))),EDATE($B$3,12*VALUE(LEFT(B23,LEN(B23)-1)))))),(IF(RIGHT(B23,1)="W",$B$3+7*VALUE(LEFT(B23,LEN(B23)-1)),IF(RIGHT(B23,1)="M",EDATE($B$3,VALUE(LEFT(B23,LEN(B23)-1))),EDATE($B$3,12*VALUE(LEFT(B23,LEN(B23)-1)))))-IF(WEEKDAY(IF(RIGHT(B23,1)="W",$B$3+7*VALUE(LEFT(B23,LEN(B23)-1)),IF(RIGHT(B23,1)="M",EDATE($B$3,VALUE(LEFT(B23,LEN(B23)-1))),EDATE($B$3,12*VALUE(LEFT(B23,LEN(B23)-1))))),2)=6,1,IF(WEEKDAY(IF(RIGHT(B23,1)="W",$B$3+7*VALUE(LEFT(B23,LEN(B23)-1)),IF(RIGHT(B23,1)="M",EDATE($B$3,VALUE(LEFT(B23,LEN(B23)-1))),EDATE($B$3,12*VALUE(LEFT(B23,LEN(B23)-1))))),2)=7,2,0))),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84">
        <f>IFERROR((E23+F23)/2,IFERROR(G23+0,J23))</f>
        <v/>
      </c>
      <c r="I23" s="26" t="inlineStr"/>
      <c r="J23" s="85" t="n">
        <v>4.07218</v>
      </c>
      <c r="K23" s="100" t="inlineStr">
        <is>
          <t>S490 07/21/26</t>
        </is>
      </c>
      <c r="L23" s="94" t="inlineStr"/>
    </row>
    <row r="24">
      <c r="A24" s="6" t="inlineStr">
        <is>
          <t>USOSFR5</t>
        </is>
      </c>
      <c r="B24" s="22" t="inlineStr">
        <is>
          <t>5Y</t>
        </is>
      </c>
      <c r="C24" s="23">
        <f>IF(MONTH(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&lt;&gt;MONTH(IF(RIGHT(B24,1)="W",$B$3+7*VALUE(LEFT(B24,LEN(B24)-1)),IF(RIGHT(B24,1)="M",EDATE($B$3,VALUE(LEFT(B24,LEN(B24)-1))),EDATE($B$3,12*VALUE(LEFT(B24,LEN(B24)-1)))))),(IF(RIGHT(B24,1)="W",$B$3+7*VALUE(LEFT(B24,LEN(B24)-1)),IF(RIGHT(B24,1)="M",EDATE($B$3,VALUE(LEFT(B24,LEN(B24)-1))),EDATE($B$3,12*VALUE(LEFT(B24,LEN(B24)-1)))))-IF(WEEKDAY(IF(RIGHT(B24,1)="W",$B$3+7*VALUE(LEFT(B24,LEN(B24)-1)),IF(RIGHT(B24,1)="M",EDATE($B$3,VALUE(LEFT(B24,LEN(B24)-1))),EDATE($B$3,12*VALUE(LEFT(B24,LEN(B24)-1))))),2)=6,1,IF(WEEKDAY(IF(RIGHT(B24,1)="W",$B$3+7*VALUE(LEFT(B24,LEN(B24)-1)),IF(RIGHT(B24,1)="M",EDATE($B$3,VALUE(LEFT(B24,LEN(B24)-1))),EDATE($B$3,12*VALUE(LEFT(B24,LEN(B24)-1))))),2)=7,2,0))),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84">
        <f>IFERROR((E24+F24)/2,IFERROR(G24+0,J24))</f>
        <v/>
      </c>
      <c r="I24" s="26" t="inlineStr">
        <is>
          <t>Y</t>
        </is>
      </c>
      <c r="J24" s="85" t="n">
        <v>4.079</v>
      </c>
      <c r="K24" s="100" t="inlineStr">
        <is>
          <t>S490 07/21/26</t>
        </is>
      </c>
      <c r="L24" s="94" t="inlineStr"/>
    </row>
    <row r="25">
      <c r="A25" s="6" t="inlineStr">
        <is>
          <t>USOSFR6</t>
        </is>
      </c>
      <c r="B25" s="22" t="inlineStr">
        <is>
          <t>6Y</t>
        </is>
      </c>
      <c r="C25" s="23">
        <f>IF(MONTH(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&lt;&gt;MONTH(IF(RIGHT(B25,1)="W",$B$3+7*VALUE(LEFT(B25,LEN(B25)-1)),IF(RIGHT(B25,1)="M",EDATE($B$3,VALUE(LEFT(B25,LEN(B25)-1))),EDATE($B$3,12*VALUE(LEFT(B25,LEN(B25)-1)))))),(IF(RIGHT(B25,1)="W",$B$3+7*VALUE(LEFT(B25,LEN(B25)-1)),IF(RIGHT(B25,1)="M",EDATE($B$3,VALUE(LEFT(B25,LEN(B25)-1))),EDATE($B$3,12*VALUE(LEFT(B25,LEN(B25)-1)))))-IF(WEEKDAY(IF(RIGHT(B25,1)="W",$B$3+7*VALUE(LEFT(B25,LEN(B25)-1)),IF(RIGHT(B25,1)="M",EDATE($B$3,VALUE(LEFT(B25,LEN(B25)-1))),EDATE($B$3,12*VALUE(LEFT(B25,LEN(B25)-1))))),2)=6,1,IF(WEEKDAY(IF(RIGHT(B25,1)="W",$B$3+7*VALUE(LEFT(B25,LEN(B25)-1)),IF(RIGHT(B25,1)="M",EDATE($B$3,VALUE(LEFT(B25,LEN(B25)-1))),EDATE($B$3,12*VALUE(LEFT(B25,LEN(B25)-1))))),2)=7,2,0))),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84">
        <f>IFERROR((E25+F25)/2,IFERROR(G25+0,J25))</f>
        <v/>
      </c>
      <c r="I25" s="26" t="inlineStr">
        <is>
          <t>Y</t>
        </is>
      </c>
      <c r="J25" s="85" t="n">
        <v>4.09731</v>
      </c>
      <c r="K25" s="100" t="inlineStr">
        <is>
          <t>S490 07/21/26</t>
        </is>
      </c>
      <c r="L25" s="94" t="inlineStr"/>
    </row>
    <row r="26">
      <c r="A26" s="6" t="inlineStr">
        <is>
          <t>USOSFR7</t>
        </is>
      </c>
      <c r="B26" s="22" t="inlineStr">
        <is>
          <t>7Y</t>
        </is>
      </c>
      <c r="C26" s="23">
        <f>IF(MONTH(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&lt;&gt;MONTH(IF(RIGHT(B26,1)="W",$B$3+7*VALUE(LEFT(B26,LEN(B26)-1)),IF(RIGHT(B26,1)="M",EDATE($B$3,VALUE(LEFT(B26,LEN(B26)-1))),EDATE($B$3,12*VALUE(LEFT(B26,LEN(B26)-1)))))),(IF(RIGHT(B26,1)="W",$B$3+7*VALUE(LEFT(B26,LEN(B26)-1)),IF(RIGHT(B26,1)="M",EDATE($B$3,VALUE(LEFT(B26,LEN(B26)-1))),EDATE($B$3,12*VALUE(LEFT(B26,LEN(B26)-1)))))-IF(WEEKDAY(IF(RIGHT(B26,1)="W",$B$3+7*VALUE(LEFT(B26,LEN(B26)-1)),IF(RIGHT(B26,1)="M",EDATE($B$3,VALUE(LEFT(B26,LEN(B26)-1))),EDATE($B$3,12*VALUE(LEFT(B26,LEN(B26)-1))))),2)=6,1,IF(WEEKDAY(IF(RIGHT(B26,1)="W",$B$3+7*VALUE(LEFT(B26,LEN(B26)-1)),IF(RIGHT(B26,1)="M",EDATE($B$3,VALUE(LEFT(B26,LEN(B26)-1))),EDATE($B$3,12*VALUE(LEFT(B26,LEN(B26)-1))))),2)=7,2,0))),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84">
        <f>IFERROR((E26+F26)/2,IFERROR(G26+0,J26))</f>
        <v/>
      </c>
      <c r="I26" s="26" t="inlineStr">
        <is>
          <t>Y</t>
        </is>
      </c>
      <c r="J26" s="85" t="n">
        <v>4.121</v>
      </c>
      <c r="K26" s="100" t="inlineStr">
        <is>
          <t>S490 07/21/26</t>
        </is>
      </c>
      <c r="L26" s="94" t="inlineStr"/>
    </row>
    <row r="27">
      <c r="A27" s="6" t="inlineStr">
        <is>
          <t>USOSFR8</t>
        </is>
      </c>
      <c r="B27" s="22" t="inlineStr">
        <is>
          <t>8Y</t>
        </is>
      </c>
      <c r="C27" s="23">
        <f>IF(MONTH(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&lt;&gt;MONTH(IF(RIGHT(B27,1)="W",$B$3+7*VALUE(LEFT(B27,LEN(B27)-1)),IF(RIGHT(B27,1)="M",EDATE($B$3,VALUE(LEFT(B27,LEN(B27)-1))),EDATE($B$3,12*VALUE(LEFT(B27,LEN(B27)-1)))))),(IF(RIGHT(B27,1)="W",$B$3+7*VALUE(LEFT(B27,LEN(B27)-1)),IF(RIGHT(B27,1)="M",EDATE($B$3,VALUE(LEFT(B27,LEN(B27)-1))),EDATE($B$3,12*VALUE(LEFT(B27,LEN(B27)-1)))))-IF(WEEKDAY(IF(RIGHT(B27,1)="W",$B$3+7*VALUE(LEFT(B27,LEN(B27)-1)),IF(RIGHT(B27,1)="M",EDATE($B$3,VALUE(LEFT(B27,LEN(B27)-1))),EDATE($B$3,12*VALUE(LEFT(B27,LEN(B27)-1))))),2)=6,1,IF(WEEKDAY(IF(RIGHT(B27,1)="W",$B$3+7*VALUE(LEFT(B27,LEN(B27)-1)),IF(RIGHT(B27,1)="M",EDATE($B$3,VALUE(LEFT(B27,LEN(B27)-1))),EDATE($B$3,12*VALUE(LEFT(B27,LEN(B27)-1))))),2)=7,2,0))),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84">
        <f>IFERROR((E27+F27)/2,IFERROR(G27+0,J27))</f>
        <v/>
      </c>
      <c r="I27" s="26" t="inlineStr">
        <is>
          <t>Y</t>
        </is>
      </c>
      <c r="J27" s="85" t="n">
        <v>4.14781</v>
      </c>
      <c r="K27" s="100" t="inlineStr">
        <is>
          <t>S490 07/21/26</t>
        </is>
      </c>
      <c r="L27" s="94" t="inlineStr"/>
    </row>
    <row r="28">
      <c r="A28" s="6" t="inlineStr">
        <is>
          <t>USOSFR9</t>
        </is>
      </c>
      <c r="B28" s="22" t="inlineStr">
        <is>
          <t>9Y</t>
        </is>
      </c>
      <c r="C28" s="23">
        <f>IF(MONTH(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&lt;&gt;MONTH(IF(RIGHT(B28,1)="W",$B$3+7*VALUE(LEFT(B28,LEN(B28)-1)),IF(RIGHT(B28,1)="M",EDATE($B$3,VALUE(LEFT(B28,LEN(B28)-1))),EDATE($B$3,12*VALUE(LEFT(B28,LEN(B28)-1)))))),(IF(RIGHT(B28,1)="W",$B$3+7*VALUE(LEFT(B28,LEN(B28)-1)),IF(RIGHT(B28,1)="M",EDATE($B$3,VALUE(LEFT(B28,LEN(B28)-1))),EDATE($B$3,12*VALUE(LEFT(B28,LEN(B28)-1)))))-IF(WEEKDAY(IF(RIGHT(B28,1)="W",$B$3+7*VALUE(LEFT(B28,LEN(B28)-1)),IF(RIGHT(B28,1)="M",EDATE($B$3,VALUE(LEFT(B28,LEN(B28)-1))),EDATE($B$3,12*VALUE(LEFT(B28,LEN(B28)-1))))),2)=6,1,IF(WEEKDAY(IF(RIGHT(B28,1)="W",$B$3+7*VALUE(LEFT(B28,LEN(B28)-1)),IF(RIGHT(B28,1)="M",EDATE($B$3,VALUE(LEFT(B28,LEN(B28)-1))),EDATE($B$3,12*VALUE(LEFT(B28,LEN(B28)-1))))),2)=7,2,0))),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84">
        <f>IFERROR((E28+F28)/2,IFERROR(G28+0,J28))</f>
        <v/>
      </c>
      <c r="I28" s="26" t="inlineStr">
        <is>
          <t>Y</t>
        </is>
      </c>
      <c r="J28" s="85" t="n">
        <v>4.17719</v>
      </c>
      <c r="K28" s="100" t="inlineStr">
        <is>
          <t>S490 07/21/26</t>
        </is>
      </c>
      <c r="L28" s="94" t="inlineStr"/>
    </row>
    <row r="29">
      <c r="A29" s="6" t="inlineStr">
        <is>
          <t>USOSFR10</t>
        </is>
      </c>
      <c r="B29" s="22" t="inlineStr">
        <is>
          <t>10Y</t>
        </is>
      </c>
      <c r="C29" s="23">
        <f>IF(MONTH(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&lt;&gt;MONTH(IF(RIGHT(B29,1)="W",$B$3+7*VALUE(LEFT(B29,LEN(B29)-1)),IF(RIGHT(B29,1)="M",EDATE($B$3,VALUE(LEFT(B29,LEN(B29)-1))),EDATE($B$3,12*VALUE(LEFT(B29,LEN(B29)-1)))))),(IF(RIGHT(B29,1)="W",$B$3+7*VALUE(LEFT(B29,LEN(B29)-1)),IF(RIGHT(B29,1)="M",EDATE($B$3,VALUE(LEFT(B29,LEN(B29)-1))),EDATE($B$3,12*VALUE(LEFT(B29,LEN(B29)-1)))))-IF(WEEKDAY(IF(RIGHT(B29,1)="W",$B$3+7*VALUE(LEFT(B29,LEN(B29)-1)),IF(RIGHT(B29,1)="M",EDATE($B$3,VALUE(LEFT(B29,LEN(B29)-1))),EDATE($B$3,12*VALUE(LEFT(B29,LEN(B29)-1))))),2)=6,1,IF(WEEKDAY(IF(RIGHT(B29,1)="W",$B$3+7*VALUE(LEFT(B29,LEN(B29)-1)),IF(RIGHT(B29,1)="M",EDATE($B$3,VALUE(LEFT(B29,LEN(B29)-1))),EDATE($B$3,12*VALUE(LEFT(B29,LEN(B29)-1))))),2)=7,2,0))),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84">
        <f>IFERROR((E29+F29)/2,IFERROR(G29+0,J29))</f>
        <v/>
      </c>
      <c r="I29" s="26" t="inlineStr">
        <is>
          <t>Y</t>
        </is>
      </c>
      <c r="J29" s="85" t="n">
        <v>4.2085</v>
      </c>
      <c r="K29" s="100" t="inlineStr">
        <is>
          <t>S490 07/21/26</t>
        </is>
      </c>
      <c r="L29" s="94" t="inlineStr"/>
    </row>
    <row r="30">
      <c r="A30" s="6" t="inlineStr">
        <is>
          <t>USOSFR12</t>
        </is>
      </c>
      <c r="B30" s="22" t="inlineStr">
        <is>
          <t>12Y</t>
        </is>
      </c>
      <c r="C30" s="23">
        <f>IF(MONTH(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&lt;&gt;MONTH(IF(RIGHT(B30,1)="W",$B$3+7*VALUE(LEFT(B30,LEN(B30)-1)),IF(RIGHT(B30,1)="M",EDATE($B$3,VALUE(LEFT(B30,LEN(B30)-1))),EDATE($B$3,12*VALUE(LEFT(B30,LEN(B30)-1)))))),(IF(RIGHT(B30,1)="W",$B$3+7*VALUE(LEFT(B30,LEN(B30)-1)),IF(RIGHT(B30,1)="M",EDATE($B$3,VALUE(LEFT(B30,LEN(B30)-1))),EDATE($B$3,12*VALUE(LEFT(B30,LEN(B30)-1)))))-IF(WEEKDAY(IF(RIGHT(B30,1)="W",$B$3+7*VALUE(LEFT(B30,LEN(B30)-1)),IF(RIGHT(B30,1)="M",EDATE($B$3,VALUE(LEFT(B30,LEN(B30)-1))),EDATE($B$3,12*VALUE(LEFT(B30,LEN(B30)-1))))),2)=6,1,IF(WEEKDAY(IF(RIGHT(B30,1)="W",$B$3+7*VALUE(LEFT(B30,LEN(B30)-1)),IF(RIGHT(B30,1)="M",EDATE($B$3,VALUE(LEFT(B30,LEN(B30)-1))),EDATE($B$3,12*VALUE(LEFT(B30,LEN(B30)-1))))),2)=7,2,0))),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84">
        <f>IFERROR((E30+F30)/2,IFERROR(G30+0,J30))</f>
        <v/>
      </c>
      <c r="I30" s="26" t="inlineStr">
        <is>
          <t>Y</t>
        </is>
      </c>
      <c r="J30" s="85" t="n">
        <v>4.27258</v>
      </c>
      <c r="K30" s="100" t="inlineStr">
        <is>
          <t>S490 07/21/26</t>
        </is>
      </c>
      <c r="L30" s="94" t="inlineStr"/>
    </row>
    <row r="31">
      <c r="A31" s="6" t="inlineStr">
        <is>
          <t>USOSFR15</t>
        </is>
      </c>
      <c r="B31" s="22" t="inlineStr">
        <is>
          <t>15Y</t>
        </is>
      </c>
      <c r="C31" s="23">
        <f>IF(MONTH(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&lt;&gt;MONTH(IF(RIGHT(B31,1)="W",$B$3+7*VALUE(LEFT(B31,LEN(B31)-1)),IF(RIGHT(B31,1)="M",EDATE($B$3,VALUE(LEFT(B31,LEN(B31)-1))),EDATE($B$3,12*VALUE(LEFT(B31,LEN(B31)-1)))))),(IF(RIGHT(B31,1)="W",$B$3+7*VALUE(LEFT(B31,LEN(B31)-1)),IF(RIGHT(B31,1)="M",EDATE($B$3,VALUE(LEFT(B31,LEN(B31)-1))),EDATE($B$3,12*VALUE(LEFT(B31,LEN(B31)-1)))))-IF(WEEKDAY(IF(RIGHT(B31,1)="W",$B$3+7*VALUE(LEFT(B31,LEN(B31)-1)),IF(RIGHT(B31,1)="M",EDATE($B$3,VALUE(LEFT(B31,LEN(B31)-1))),EDATE($B$3,12*VALUE(LEFT(B31,LEN(B31)-1))))),2)=6,1,IF(WEEKDAY(IF(RIGHT(B31,1)="W",$B$3+7*VALUE(LEFT(B31,LEN(B31)-1)),IF(RIGHT(B31,1)="M",EDATE($B$3,VALUE(LEFT(B31,LEN(B31)-1))),EDATE($B$3,12*VALUE(LEFT(B31,LEN(B31)-1))))),2)=7,2,0))),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84">
        <f>IFERROR((E31+F31)/2,IFERROR(G31+0,J31))</f>
        <v/>
      </c>
      <c r="I31" s="26" t="inlineStr">
        <is>
          <t>Y</t>
        </is>
      </c>
      <c r="J31" s="85" t="n">
        <v>4.35709</v>
      </c>
      <c r="K31" s="100" t="inlineStr">
        <is>
          <t>S490 07/21/26</t>
        </is>
      </c>
      <c r="L31" s="94" t="inlineStr"/>
    </row>
    <row r="32">
      <c r="A32" s="6" t="inlineStr">
        <is>
          <t>USOSFR20</t>
        </is>
      </c>
      <c r="B32" s="22" t="inlineStr">
        <is>
          <t>20Y</t>
        </is>
      </c>
      <c r="C32" s="23">
        <f>IF(MONTH(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&lt;&gt;MONTH(IF(RIGHT(B32,1)="W",$B$3+7*VALUE(LEFT(B32,LEN(B32)-1)),IF(RIGHT(B32,1)="M",EDATE($B$3,VALUE(LEFT(B32,LEN(B32)-1))),EDATE($B$3,12*VALUE(LEFT(B32,LEN(B32)-1)))))),(IF(RIGHT(B32,1)="W",$B$3+7*VALUE(LEFT(B32,LEN(B32)-1)),IF(RIGHT(B32,1)="M",EDATE($B$3,VALUE(LEFT(B32,LEN(B32)-1))),EDATE($B$3,12*VALUE(LEFT(B32,LEN(B32)-1)))))-IF(WEEKDAY(IF(RIGHT(B32,1)="W",$B$3+7*VALUE(LEFT(B32,LEN(B32)-1)),IF(RIGHT(B32,1)="M",EDATE($B$3,VALUE(LEFT(B32,LEN(B32)-1))),EDATE($B$3,12*VALUE(LEFT(B32,LEN(B32)-1))))),2)=6,1,IF(WEEKDAY(IF(RIGHT(B32,1)="W",$B$3+7*VALUE(LEFT(B32,LEN(B32)-1)),IF(RIGHT(B32,1)="M",EDATE($B$3,VALUE(LEFT(B32,LEN(B32)-1))),EDATE($B$3,12*VALUE(LEFT(B32,LEN(B32)-1))))),2)=7,2,0))),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84">
        <f>IFERROR((E32+F32)/2,IFERROR(G32+0,J32))</f>
        <v/>
      </c>
      <c r="I32" s="26" t="inlineStr">
        <is>
          <t>Y</t>
        </is>
      </c>
      <c r="J32" s="85" t="n">
        <v>4.42825</v>
      </c>
      <c r="K32" s="100" t="inlineStr">
        <is>
          <t>S490 07/21/26</t>
        </is>
      </c>
      <c r="L32" s="94" t="inlineStr"/>
    </row>
    <row r="33">
      <c r="A33" s="6" t="inlineStr">
        <is>
          <t>USOSFR25</t>
        </is>
      </c>
      <c r="B33" s="22" t="inlineStr">
        <is>
          <t>25Y</t>
        </is>
      </c>
      <c r="C33" s="23">
        <f>IF(MONTH(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&lt;&gt;MONTH(IF(RIGHT(B33,1)="W",$B$3+7*VALUE(LEFT(B33,LEN(B33)-1)),IF(RIGHT(B33,1)="M",EDATE($B$3,VALUE(LEFT(B33,LEN(B33)-1))),EDATE($B$3,12*VALUE(LEFT(B33,LEN(B33)-1)))))),(IF(RIGHT(B33,1)="W",$B$3+7*VALUE(LEFT(B33,LEN(B33)-1)),IF(RIGHT(B33,1)="M",EDATE($B$3,VALUE(LEFT(B33,LEN(B33)-1))),EDATE($B$3,12*VALUE(LEFT(B33,LEN(B33)-1)))))-IF(WEEKDAY(IF(RIGHT(B33,1)="W",$B$3+7*VALUE(LEFT(B33,LEN(B33)-1)),IF(RIGHT(B33,1)="M",EDATE($B$3,VALUE(LEFT(B33,LEN(B33)-1))),EDATE($B$3,12*VALUE(LEFT(B33,LEN(B33)-1))))),2)=6,1,IF(WEEKDAY(IF(RIGHT(B33,1)="W",$B$3+7*VALUE(LEFT(B33,LEN(B33)-1)),IF(RIGHT(B33,1)="M",EDATE($B$3,VALUE(LEFT(B33,LEN(B33)-1))),EDATE($B$3,12*VALUE(LEFT(B33,LEN(B33)-1))))),2)=7,2,0))),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84">
        <f>IFERROR((E33+F33)/2,IFERROR(G33+0,J33))</f>
        <v/>
      </c>
      <c r="I33" s="26" t="inlineStr">
        <is>
          <t>Y</t>
        </is>
      </c>
      <c r="J33" s="85" t="n">
        <v>4.4242</v>
      </c>
      <c r="K33" s="100" t="inlineStr">
        <is>
          <t>S490 07/21/26</t>
        </is>
      </c>
      <c r="L33" s="94" t="inlineStr"/>
    </row>
    <row r="34">
      <c r="A34" s="6" t="inlineStr">
        <is>
          <t>USOSFR30</t>
        </is>
      </c>
      <c r="B34" s="22" t="inlineStr">
        <is>
          <t>30Y</t>
        </is>
      </c>
      <c r="C34" s="23">
        <f>IF(MONTH(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&lt;&gt;MONTH(IF(RIGHT(B34,1)="W",$B$3+7*VALUE(LEFT(B34,LEN(B34)-1)),IF(RIGHT(B34,1)="M",EDATE($B$3,VALUE(LEFT(B34,LEN(B34)-1))),EDATE($B$3,12*VALUE(LEFT(B34,LEN(B34)-1)))))),(IF(RIGHT(B34,1)="W",$B$3+7*VALUE(LEFT(B34,LEN(B34)-1)),IF(RIGHT(B34,1)="M",EDATE($B$3,VALUE(LEFT(B34,LEN(B34)-1))),EDATE($B$3,12*VALUE(LEFT(B34,LEN(B34)-1)))))-IF(WEEKDAY(IF(RIGHT(B34,1)="W",$B$3+7*VALUE(LEFT(B34,LEN(B34)-1)),IF(RIGHT(B34,1)="M",EDATE($B$3,VALUE(LEFT(B34,LEN(B34)-1))),EDATE($B$3,12*VALUE(LEFT(B34,LEN(B34)-1))))),2)=6,1,IF(WEEKDAY(IF(RIGHT(B34,1)="W",$B$3+7*VALUE(LEFT(B34,LEN(B34)-1)),IF(RIGHT(B34,1)="M",EDATE($B$3,VALUE(LEFT(B34,LEN(B34)-1))),EDATE($B$3,12*VALUE(LEFT(B34,LEN(B34)-1))))),2)=7,2,0))),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84">
        <f>IFERROR((E34+F34)/2,IFERROR(G34+0,J34))</f>
        <v/>
      </c>
      <c r="I34" s="26" t="inlineStr">
        <is>
          <t>Y</t>
        </is>
      </c>
      <c r="J34" s="85" t="n">
        <v>4.3847</v>
      </c>
      <c r="K34" s="100" t="inlineStr">
        <is>
          <t>S490 07/21/26</t>
        </is>
      </c>
      <c r="L34" s="94" t="inlineStr"/>
    </row>
    <row r="35">
      <c r="A35" s="6" t="inlineStr">
        <is>
          <t>USOSFR40</t>
        </is>
      </c>
      <c r="B35" s="22" t="inlineStr">
        <is>
          <t>40Y</t>
        </is>
      </c>
      <c r="C35" s="23">
        <f>IF(MONTH(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&lt;&gt;MONTH(IF(RIGHT(B35,1)="W",$B$3+7*VALUE(LEFT(B35,LEN(B35)-1)),IF(RIGHT(B35,1)="M",EDATE($B$3,VALUE(LEFT(B35,LEN(B35)-1))),EDATE($B$3,12*VALUE(LEFT(B35,LEN(B35)-1)))))),(IF(RIGHT(B35,1)="W",$B$3+7*VALUE(LEFT(B35,LEN(B35)-1)),IF(RIGHT(B35,1)="M",EDATE($B$3,VALUE(LEFT(B35,LEN(B35)-1))),EDATE($B$3,12*VALUE(LEFT(B35,LEN(B35)-1)))))-IF(WEEKDAY(IF(RIGHT(B35,1)="W",$B$3+7*VALUE(LEFT(B35,LEN(B35)-1)),IF(RIGHT(B35,1)="M",EDATE($B$3,VALUE(LEFT(B35,LEN(B35)-1))),EDATE($B$3,12*VALUE(LEFT(B35,LEN(B35)-1))))),2)=6,1,IF(WEEKDAY(IF(RIGHT(B35,1)="W",$B$3+7*VALUE(LEFT(B35,LEN(B35)-1)),IF(RIGHT(B35,1)="M",EDATE($B$3,VALUE(LEFT(B35,LEN(B35)-1))),EDATE($B$3,12*VALUE(LEFT(B35,LEN(B35)-1))))),2)=7,2,0))),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84">
        <f>IFERROR((E35+F35)/2,IFERROR(G35+0,J35))</f>
        <v/>
      </c>
      <c r="I35" s="26" t="inlineStr">
        <is>
          <t>Y</t>
        </is>
      </c>
      <c r="J35" s="85" t="n">
        <v>4.2655</v>
      </c>
      <c r="K35" s="100" t="inlineStr">
        <is>
          <t>S490 07/21/26</t>
        </is>
      </c>
      <c r="L35" s="94" t="inlineStr"/>
    </row>
    <row r="36">
      <c r="A36" s="6" t="inlineStr">
        <is>
          <t>USOSFR50</t>
        </is>
      </c>
      <c r="B36" s="22" t="inlineStr">
        <is>
          <t>50Y</t>
        </is>
      </c>
      <c r="C36" s="23">
        <f>IF(MONTH(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&lt;&gt;MONTH(IF(RIGHT(B36,1)="W",$B$3+7*VALUE(LEFT(B36,LEN(B36)-1)),IF(RIGHT(B36,1)="M",EDATE($B$3,VALUE(LEFT(B36,LEN(B36)-1))),EDATE($B$3,12*VALUE(LEFT(B36,LEN(B36)-1)))))),(IF(RIGHT(B36,1)="W",$B$3+7*VALUE(LEFT(B36,LEN(B36)-1)),IF(RIGHT(B36,1)="M",EDATE($B$3,VALUE(LEFT(B36,LEN(B36)-1))),EDATE($B$3,12*VALUE(LEFT(B36,LEN(B36)-1)))))-IF(WEEKDAY(IF(RIGHT(B36,1)="W",$B$3+7*VALUE(LEFT(B36,LEN(B36)-1)),IF(RIGHT(B36,1)="M",EDATE($B$3,VALUE(LEFT(B36,LEN(B36)-1))),EDATE($B$3,12*VALUE(LEFT(B36,LEN(B36)-1))))),2)=6,1,IF(WEEKDAY(IF(RIGHT(B36,1)="W",$B$3+7*VALUE(LEFT(B36,LEN(B36)-1)),IF(RIGHT(B36,1)="M",EDATE($B$3,VALUE(LEFT(B36,LEN(B36)-1))),EDATE($B$3,12*VALUE(LEFT(B36,LEN(B36)-1))))),2)=7,2,0))),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84">
        <f>IFERROR((E36+F36)/2,IFERROR(G36+0,J36))</f>
        <v/>
      </c>
      <c r="I36" s="26" t="inlineStr">
        <is>
          <t>Y</t>
        </is>
      </c>
      <c r="J36" s="85" t="n">
        <v>4.1329</v>
      </c>
      <c r="K36" s="100" t="inlineStr">
        <is>
          <t>S490 07/21/26</t>
        </is>
      </c>
      <c r="L36" s="94" t="inlineStr"/>
    </row>
    <row r="37"/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D80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Long-end quoted pillars (12Y+) are solved on Curve_Solver: their interpolated gap rows feed the annuity, which used to make column H circular. Gap rows keep their original interpolation formulas.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71" t="n">
        <v>1</v>
      </c>
      <c r="E4" s="65" t="inlineStr">
        <is>
          <t>DF(settle)=1: the S490 Settle Date is the curve date, so there is no spot-lag stub. SOFR_Fixings o/n is informational only.</t>
        </is>
      </c>
    </row>
    <row r="5" ht="58" customHeight="1">
      <c r="A5" s="70" t="inlineStr">
        <is>
          <t>Purely-OIS USD SOFR curve: short single-payment OIS (&lt;=1Y) + annual OIS swaps (18M-50Y). THE single production curve - used by Swap_Pricer, Curve_Interface and the CDS module. Verified against the Bloomberg S490 screen (see S490_Target): 32/32 pillars, max zero diff 0.26bp, max DF diff 1.2e-05.</t>
        </is>
      </c>
      <c r="R5" s="65" t="inlineStr">
        <is>
          <t>Column R rebuilds each solved pillar from its own annuity column G and differences it against the solver answer. ~0 confirms the par identity still holds with the gap rows included.</t>
        </is>
      </c>
    </row>
    <row r="6">
      <c r="S6" s="4" t="inlineStr">
        <is>
          <t>Working — fixed-leg PV = float-leg PV (par swap)</t>
        </is>
      </c>
      <c r="AA6" s="67" t="inlineStr">
        <is>
          <t>S490 snapshot 07/21/26 (hard-coded target)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62" t="inlineStr">
        <is>
          <t>Par check (~0)</t>
        </is>
      </c>
      <c r="S7" s="20" t="inlineStr">
        <is>
          <t>Annuity  Σα·DF</t>
        </is>
      </c>
      <c r="T7" s="92" t="inlineStr">
        <is>
          <t>Zero (S490)</t>
        </is>
      </c>
      <c r="U7" s="92" t="inlineStr">
        <is>
          <t>DF (S490)</t>
        </is>
      </c>
      <c r="V7" s="92" t="inlineStr">
        <is>
          <t>d zero (bp)</t>
        </is>
      </c>
      <c r="W7" s="92" t="inlineStr">
        <is>
          <t>d DF</t>
        </is>
      </c>
      <c r="AA7" s="62" t="inlineStr">
        <is>
          <t>Date</t>
        </is>
      </c>
      <c r="AB7" s="62" t="inlineStr">
        <is>
          <t>Market rate</t>
        </is>
      </c>
      <c r="AC7" s="62" t="inlineStr">
        <is>
          <t>Zero (screen)</t>
        </is>
      </c>
      <c r="AD7" s="62" t="inlineStr">
        <is>
          <t>DF (screen)</t>
        </is>
      </c>
    </row>
    <row r="8">
      <c r="A8" s="6" t="inlineStr">
        <is>
          <t>1W</t>
        </is>
      </c>
      <c r="B8" s="86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28">
        <f>(B8-VAL_DATE)/365</f>
        <v/>
      </c>
      <c r="D8" s="80">
        <f>(B8-VAL_DATE)/360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84">
        <f>IFERROR(INDEX($AC$8:$AC$39,MATCH(B8,$AA$8:$AA$39,0)),"")</f>
        <v/>
      </c>
      <c r="U8" s="80">
        <f>IFERROR(INDEX($AD$8:$AD$39,MATCH(B8,$AA$8:$AA$39,0)),"")</f>
        <v/>
      </c>
      <c r="V8" s="89">
        <f>IF(T8="","",(J8-T8)*100)</f>
        <v/>
      </c>
      <c r="W8" s="72">
        <f>IF(U8="","",H8-U8)</f>
        <v/>
      </c>
      <c r="AA8" s="88" t="n">
        <v>46233</v>
      </c>
      <c r="AB8" s="85" t="n">
        <v>3.6395</v>
      </c>
      <c r="AC8" s="85" t="n">
        <v>3.68874</v>
      </c>
      <c r="AD8" s="69" t="n">
        <v>0.999091</v>
      </c>
    </row>
    <row r="9">
      <c r="A9" s="6" t="inlineStr">
        <is>
          <t>2W</t>
        </is>
      </c>
      <c r="B9" s="86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28">
        <f>(B9-VAL_DATE)/365</f>
        <v/>
      </c>
      <c r="D9" s="80">
        <f>(B9-VAL_DATE)/360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84">
        <f>IFERROR(INDEX($AC$8:$AC$39,MATCH(B9,$AA$8:$AA$39,0)),"")</f>
        <v/>
      </c>
      <c r="U9" s="80">
        <f>IFERROR(INDEX($AD$8:$AD$39,MATCH(B9,$AA$8:$AA$39,0)),"")</f>
        <v/>
      </c>
      <c r="V9" s="89">
        <f>IF(T9="","",(J9-T9)*100)</f>
        <v/>
      </c>
      <c r="W9" s="72">
        <f>IF(U9="","",H9-U9)</f>
        <v/>
      </c>
      <c r="AA9" s="88" t="n">
        <v>46240</v>
      </c>
      <c r="AB9" s="85" t="n">
        <v>3.67225</v>
      </c>
      <c r="AC9" s="85" t="n">
        <v>3.71661</v>
      </c>
      <c r="AD9" s="69" t="n">
        <v>0.998372</v>
      </c>
    </row>
    <row r="10">
      <c r="A10" s="6" t="inlineStr">
        <is>
          <t>3W</t>
        </is>
      </c>
      <c r="B10" s="86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28">
        <f>(B10-VAL_DATE)/365</f>
        <v/>
      </c>
      <c r="D10" s="80">
        <f>(B10-VAL_DATE)/360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84">
        <f>IFERROR(INDEX($AC$8:$AC$39,MATCH(B10,$AA$8:$AA$39,0)),"")</f>
        <v/>
      </c>
      <c r="U10" s="80">
        <f>IFERROR(INDEX($AD$8:$AD$39,MATCH(B10,$AA$8:$AA$39,0)),"")</f>
        <v/>
      </c>
      <c r="V10" s="89">
        <f>IF(T10="","",(J10-T10)*100)</f>
        <v/>
      </c>
      <c r="W10" s="72">
        <f>IF(U10="","",H10-U10)</f>
        <v/>
      </c>
      <c r="AA10" s="88" t="n">
        <v>46247</v>
      </c>
      <c r="AB10" s="85" t="n">
        <v>3.67967</v>
      </c>
      <c r="AC10" s="85" t="n">
        <v>3.72347</v>
      </c>
      <c r="AD10" s="69" t="n">
        <v>0.997656</v>
      </c>
    </row>
    <row r="11">
      <c r="A11" s="6" t="inlineStr">
        <is>
          <t>1M</t>
        </is>
      </c>
      <c r="B11" s="86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28">
        <f>(B11-VAL_DATE)/365</f>
        <v/>
      </c>
      <c r="D11" s="80">
        <f>(B11-VAL_DATE)/360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84">
        <f>IFERROR(INDEX($AC$8:$AC$39,MATCH(B11,$AA$8:$AA$39,0)),"")</f>
        <v/>
      </c>
      <c r="U11" s="80">
        <f>IFERROR(INDEX($AD$8:$AD$39,MATCH(B11,$AA$8:$AA$39,0)),"")</f>
        <v/>
      </c>
      <c r="V11" s="89">
        <f>IF(T11="","",(J11-T11)*100)</f>
        <v/>
      </c>
      <c r="W11" s="72">
        <f>IF(U11="","",H11-U11)</f>
        <v/>
      </c>
      <c r="AA11" s="88" t="n">
        <v>46258</v>
      </c>
      <c r="AB11" s="85" t="n">
        <v>3.6885</v>
      </c>
      <c r="AC11" s="85" t="n">
        <v>3.73097</v>
      </c>
      <c r="AD11" s="69" t="n">
        <v>0.9965309999999999</v>
      </c>
    </row>
    <row r="12">
      <c r="A12" s="6" t="inlineStr">
        <is>
          <t>2M</t>
        </is>
      </c>
      <c r="B12" s="86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28">
        <f>(B12-VAL_DATE)/365</f>
        <v/>
      </c>
      <c r="D12" s="80">
        <f>(B12-VAL_DATE)/360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84">
        <f>IFERROR(INDEX($AC$8:$AC$39,MATCH(B12,$AA$8:$AA$39,0)),"")</f>
        <v/>
      </c>
      <c r="U12" s="80">
        <f>IFERROR(INDEX($AD$8:$AD$39,MATCH(B12,$AA$8:$AA$39,0)),"")</f>
        <v/>
      </c>
      <c r="V12" s="89">
        <f>IF(T12="","",(J12-T12)*100)</f>
        <v/>
      </c>
      <c r="W12" s="72">
        <f>IF(U12="","",H12-U12)</f>
        <v/>
      </c>
      <c r="AA12" s="88" t="n">
        <v>46288</v>
      </c>
      <c r="AB12" s="85" t="n">
        <v>3.71345</v>
      </c>
      <c r="AC12" s="85" t="n">
        <v>3.75103</v>
      </c>
      <c r="AD12" s="69" t="n">
        <v>0.993444</v>
      </c>
    </row>
    <row r="13">
      <c r="A13" s="6" t="inlineStr">
        <is>
          <t>3M</t>
        </is>
      </c>
      <c r="B13" s="86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28">
        <f>(B13-VAL_DATE)/365</f>
        <v/>
      </c>
      <c r="D13" s="80">
        <f>(B13-VAL_DATE)/360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84">
        <f>IFERROR(INDEX($AC$8:$AC$39,MATCH(B13,$AA$8:$AA$39,0)),"")</f>
        <v/>
      </c>
      <c r="U13" s="80">
        <f>IFERROR(INDEX($AD$8:$AD$39,MATCH(B13,$AA$8:$AA$39,0)),"")</f>
        <v/>
      </c>
      <c r="V13" s="89">
        <f>IF(T13="","",(J13-T13)*100)</f>
        <v/>
      </c>
      <c r="W13" s="72">
        <f>IF(U13="","",H13-U13)</f>
        <v/>
      </c>
      <c r="AA13" s="88" t="n">
        <v>46318</v>
      </c>
      <c r="AB13" s="85" t="n">
        <v>3.76634</v>
      </c>
      <c r="AC13" s="85" t="n">
        <v>3.79801</v>
      </c>
      <c r="AD13" s="69" t="n">
        <v>0.990267</v>
      </c>
    </row>
    <row r="14">
      <c r="A14" s="6" t="inlineStr">
        <is>
          <t>4M</t>
        </is>
      </c>
      <c r="B14" s="86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28">
        <f>(B14-VAL_DATE)/365</f>
        <v/>
      </c>
      <c r="D14" s="80">
        <f>(B14-VAL_DATE)/360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84">
        <f>IFERROR(INDEX($AC$8:$AC$39,MATCH(B14,$AA$8:$AA$39,0)),"")</f>
        <v/>
      </c>
      <c r="U14" s="80">
        <f>IFERROR(INDEX($AD$8:$AD$39,MATCH(B14,$AA$8:$AA$39,0)),"")</f>
        <v/>
      </c>
      <c r="V14" s="89">
        <f>IF(T14="","",(J14-T14)*100)</f>
        <v/>
      </c>
      <c r="W14" s="72">
        <f>IF(U14="","",H14-U14)</f>
        <v/>
      </c>
      <c r="AA14" s="88" t="n">
        <v>46349</v>
      </c>
      <c r="AB14" s="85" t="n">
        <v>3.81204</v>
      </c>
      <c r="AC14" s="85" t="n">
        <v>3.83761</v>
      </c>
      <c r="AD14" s="69" t="n">
        <v>0.986943</v>
      </c>
    </row>
    <row r="15">
      <c r="A15" s="6" t="inlineStr">
        <is>
          <t>5M</t>
        </is>
      </c>
      <c r="B15" s="86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28">
        <f>(B15-VAL_DATE)/365</f>
        <v/>
      </c>
      <c r="D15" s="80">
        <f>(B15-VAL_DATE)/360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84">
        <f>IFERROR(INDEX($AC$8:$AC$39,MATCH(B15,$AA$8:$AA$39,0)),"")</f>
        <v/>
      </c>
      <c r="U15" s="80">
        <f>IFERROR(INDEX($AD$8:$AD$39,MATCH(B15,$AA$8:$AA$39,0)),"")</f>
        <v/>
      </c>
      <c r="V15" s="89">
        <f>IF(T15="","",(J15-T15)*100)</f>
        <v/>
      </c>
      <c r="W15" s="72">
        <f>IF(U15="","",H15-U15)</f>
        <v/>
      </c>
      <c r="AA15" s="88" t="n">
        <v>46379</v>
      </c>
      <c r="AB15" s="85" t="n">
        <v>3.8536</v>
      </c>
      <c r="AC15" s="85" t="n">
        <v>3.87306</v>
      </c>
      <c r="AD15" s="69" t="n">
        <v>0.983687</v>
      </c>
    </row>
    <row r="16">
      <c r="A16" s="6" t="inlineStr">
        <is>
          <t>6M</t>
        </is>
      </c>
      <c r="B16" s="86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28">
        <f>(B16-VAL_DATE)/365</f>
        <v/>
      </c>
      <c r="D16" s="80">
        <f>(B16-VAL_DATE)/360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84">
        <f>IFERROR(INDEX($AC$8:$AC$39,MATCH(B16,$AA$8:$AA$39,0)),"")</f>
        <v/>
      </c>
      <c r="U16" s="80">
        <f>IFERROR(INDEX($AD$8:$AD$39,MATCH(B16,$AA$8:$AA$39,0)),"")</f>
        <v/>
      </c>
      <c r="V16" s="89">
        <f>IF(T16="","",(J16-T16)*100)</f>
        <v/>
      </c>
      <c r="W16" s="72">
        <f>IF(U16="","",H16-U16)</f>
        <v/>
      </c>
      <c r="AA16" s="88" t="n">
        <v>46412</v>
      </c>
      <c r="AB16" s="85" t="n">
        <v>3.8993</v>
      </c>
      <c r="AC16" s="85" t="n">
        <v>3.91176</v>
      </c>
      <c r="AD16" s="69" t="n">
        <v>0.980053</v>
      </c>
    </row>
    <row r="17">
      <c r="A17" s="6" t="inlineStr">
        <is>
          <t>7M</t>
        </is>
      </c>
      <c r="B17" s="86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28">
        <f>(B17-VAL_DATE)/365</f>
        <v/>
      </c>
      <c r="D17" s="80">
        <f>(B17-VAL_DATE)/360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84">
        <f>IFERROR(INDEX($AC$8:$AC$39,MATCH(B17,$AA$8:$AA$39,0)),"")</f>
        <v/>
      </c>
      <c r="U17" s="80">
        <f>IFERROR(INDEX($AD$8:$AD$39,MATCH(B17,$AA$8:$AA$39,0)),"")</f>
        <v/>
      </c>
      <c r="V17" s="89">
        <f>IF(T17="","",(J17-T17)*100)</f>
        <v/>
      </c>
      <c r="W17" s="72">
        <f>IF(U17="","",H17-U17)</f>
        <v/>
      </c>
      <c r="AA17" s="88" t="n">
        <v>46441</v>
      </c>
      <c r="AB17" s="85" t="n">
        <v>3.9329</v>
      </c>
      <c r="AC17" s="85" t="n">
        <v>3.93909</v>
      </c>
      <c r="AD17" s="69" t="n">
        <v>0.976853</v>
      </c>
    </row>
    <row r="18">
      <c r="A18" s="6" t="inlineStr">
        <is>
          <t>8M</t>
        </is>
      </c>
      <c r="B18" s="86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28">
        <f>(B18-VAL_DATE)/365</f>
        <v/>
      </c>
      <c r="D18" s="80">
        <f>(B18-VAL_DATE)/360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84">
        <f>IFERROR(INDEX($AC$8:$AC$39,MATCH(B18,$AA$8:$AA$39,0)),"")</f>
        <v/>
      </c>
      <c r="U18" s="80">
        <f>IFERROR(INDEX($AD$8:$AD$39,MATCH(B18,$AA$8:$AA$39,0)),"")</f>
        <v/>
      </c>
      <c r="V18" s="89">
        <f>IF(T18="","",(J18-T18)*100)</f>
        <v/>
      </c>
      <c r="W18" s="72">
        <f>IF(U18="","",H18-U18)</f>
        <v/>
      </c>
      <c r="AA18" s="88" t="n">
        <v>46469</v>
      </c>
      <c r="AB18" s="85" t="n">
        <v>3.96135</v>
      </c>
      <c r="AC18" s="85" t="n">
        <v>3.96137</v>
      </c>
      <c r="AD18" s="69" t="n">
        <v>0.97376</v>
      </c>
    </row>
    <row r="19">
      <c r="A19" s="6" t="inlineStr">
        <is>
          <t>9M</t>
        </is>
      </c>
      <c r="B19" s="86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28">
        <f>(B19-VAL_DATE)/365</f>
        <v/>
      </c>
      <c r="D19" s="80">
        <f>(B19-VAL_DATE)/360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84">
        <f>IFERROR(INDEX($AC$8:$AC$39,MATCH(B19,$AA$8:$AA$39,0)),"")</f>
        <v/>
      </c>
      <c r="U19" s="80">
        <f>IFERROR(INDEX($AD$8:$AD$39,MATCH(B19,$AA$8:$AA$39,0)),"")</f>
        <v/>
      </c>
      <c r="V19" s="89">
        <f>IF(T19="","",(J19-T19)*100)</f>
        <v/>
      </c>
      <c r="W19" s="72">
        <f>IF(U19="","",H19-U19)</f>
        <v/>
      </c>
      <c r="AA19" s="88" t="n">
        <v>46500</v>
      </c>
      <c r="AB19" s="85" t="n">
        <v>3.99225</v>
      </c>
      <c r="AC19" s="85" t="n">
        <v>3.98526</v>
      </c>
      <c r="AD19" s="69" t="n">
        <v>0.970314</v>
      </c>
    </row>
    <row r="20">
      <c r="A20" s="6" t="inlineStr">
        <is>
          <t>10M</t>
        </is>
      </c>
      <c r="B20" s="86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28">
        <f>(B20-VAL_DATE)/365</f>
        <v/>
      </c>
      <c r="D20" s="80">
        <f>(B20-VAL_DATE)/360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84">
        <f>IFERROR(INDEX($AC$8:$AC$39,MATCH(B20,$AA$8:$AA$39,0)),"")</f>
        <v/>
      </c>
      <c r="U20" s="80">
        <f>IFERROR(INDEX($AD$8:$AD$39,MATCH(B20,$AA$8:$AA$39,0)),"")</f>
        <v/>
      </c>
      <c r="V20" s="89">
        <f>IF(T20="","",(J20-T20)*100)</f>
        <v/>
      </c>
      <c r="W20" s="72">
        <f>IF(U20="","",H20-U20)</f>
        <v/>
      </c>
      <c r="AA20" s="88" t="n">
        <v>46531</v>
      </c>
      <c r="AB20" s="85" t="n">
        <v>4.0196</v>
      </c>
      <c r="AC20" s="85" t="n">
        <v>4.00549</v>
      </c>
      <c r="AD20" s="69" t="n">
        <v>0.966871</v>
      </c>
    </row>
    <row r="21">
      <c r="A21" s="6" t="inlineStr">
        <is>
          <t>11M</t>
        </is>
      </c>
      <c r="B21" s="86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28">
        <f>(B21-VAL_DATE)/365</f>
        <v/>
      </c>
      <c r="D21" s="80">
        <f>(B21-VAL_DATE)/360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84">
        <f>IFERROR(INDEX($AC$8:$AC$39,MATCH(B21,$AA$8:$AA$39,0)),"")</f>
        <v/>
      </c>
      <c r="U21" s="80">
        <f>IFERROR(INDEX($AD$8:$AD$39,MATCH(B21,$AA$8:$AA$39,0)),"")</f>
        <v/>
      </c>
      <c r="V21" s="89">
        <f>IF(T21="","",(J21-T21)*100)</f>
        <v/>
      </c>
      <c r="W21" s="72">
        <f>IF(U21="","",H21-U21)</f>
        <v/>
      </c>
      <c r="AA21" s="88" t="n">
        <v>46561</v>
      </c>
      <c r="AB21" s="85" t="n">
        <v>4.04375</v>
      </c>
      <c r="AC21" s="85" t="n">
        <v>4.02266</v>
      </c>
      <c r="AD21" s="69" t="n">
        <v>0.963541</v>
      </c>
    </row>
    <row r="22">
      <c r="A22" s="6" t="inlineStr">
        <is>
          <t>1Y</t>
        </is>
      </c>
      <c r="B22" s="86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28">
        <f>(B22-VAL_DATE)/365</f>
        <v/>
      </c>
      <c r="D22" s="80">
        <f>(B22-VAL_DATE)/360</f>
        <v/>
      </c>
      <c r="E22" s="17">
        <f>'SOFR_OIS_Quotes'!$H19</f>
        <v/>
      </c>
      <c r="F22" s="17">
        <f>(B22-VAL_DATE)/360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84">
        <f>IFERROR(INDEX($AC$8:$AC$39,MATCH(B22,$AA$8:$AA$39,0)),"")</f>
        <v/>
      </c>
      <c r="U22" s="80">
        <f>IFERROR(INDEX($AD$8:$AD$39,MATCH(B22,$AA$8:$AA$39,0)),"")</f>
        <v/>
      </c>
      <c r="V22" s="89">
        <f>IF(T22="","",(J22-T22)*100)</f>
        <v/>
      </c>
      <c r="W22" s="72">
        <f>IF(U22="","",H22-U22)</f>
        <v/>
      </c>
      <c r="AA22" s="88" t="n">
        <v>46591</v>
      </c>
      <c r="AB22" s="85" t="n">
        <v>4.06475</v>
      </c>
      <c r="AC22" s="85" t="n">
        <v>4.03664</v>
      </c>
      <c r="AD22" s="69" t="n">
        <v>0.960225</v>
      </c>
    </row>
    <row r="23">
      <c r="A23" s="6" t="inlineStr">
        <is>
          <t>18M</t>
        </is>
      </c>
      <c r="B23" s="86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84">
        <f>IFERROR(INDEX($AC$8:$AC$39,MATCH(B23,$AA$8:$AA$39,0)),"")</f>
        <v/>
      </c>
      <c r="U23" s="80">
        <f>IFERROR(INDEX($AD$8:$AD$39,MATCH(B23,$AA$8:$AA$39,0)),"")</f>
        <v/>
      </c>
      <c r="V23" s="89">
        <f>IF(T23="","",(J23-T23)*100)</f>
        <v/>
      </c>
      <c r="W23" s="72">
        <f>IF(U23="","",H23-U23)</f>
        <v/>
      </c>
      <c r="AA23" s="88" t="n">
        <v>46776</v>
      </c>
      <c r="AB23" s="85" t="n">
        <v>4.08619</v>
      </c>
      <c r="AC23" s="85" t="n">
        <v>4.07316</v>
      </c>
      <c r="AD23" s="69" t="n">
        <v>0.940259</v>
      </c>
    </row>
    <row r="24">
      <c r="A24" s="6" t="inlineStr">
        <is>
          <t>2Y</t>
        </is>
      </c>
      <c r="B24" s="86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84">
        <f>IFERROR(INDEX($AC$8:$AC$39,MATCH(B24,$AA$8:$AA$39,0)),"")</f>
        <v/>
      </c>
      <c r="U24" s="80">
        <f>IFERROR(INDEX($AD$8:$AD$39,MATCH(B24,$AA$8:$AA$39,0)),"")</f>
        <v/>
      </c>
      <c r="V24" s="89">
        <f>IF(T24="","",(J24-T24)*100)</f>
        <v/>
      </c>
      <c r="W24" s="72">
        <f>IF(U24="","",H24-U24)</f>
        <v/>
      </c>
      <c r="AA24" s="88" t="n">
        <v>46958</v>
      </c>
      <c r="AB24" s="85" t="n">
        <v>4.0953</v>
      </c>
      <c r="AC24" s="85" t="n">
        <v>4.06764</v>
      </c>
      <c r="AD24" s="69" t="n">
        <v>0.921457</v>
      </c>
    </row>
    <row r="25">
      <c r="A25" s="6" t="inlineStr">
        <is>
          <t>3Y</t>
        </is>
      </c>
      <c r="B25" s="86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84">
        <f>IFERROR(INDEX($AC$8:$AC$39,MATCH(B25,$AA$8:$AA$39,0)),"")</f>
        <v/>
      </c>
      <c r="U25" s="80">
        <f>IFERROR(INDEX($AD$8:$AD$39,MATCH(B25,$AA$8:$AA$39,0)),"")</f>
        <v/>
      </c>
      <c r="V25" s="89">
        <f>IF(T25="","",(J25-T25)*100)</f>
        <v/>
      </c>
      <c r="W25" s="72">
        <f>IF(U25="","",H25-U25)</f>
        <v/>
      </c>
      <c r="AA25" s="88" t="n">
        <v>47322</v>
      </c>
      <c r="AB25" s="85" t="n">
        <v>4.0795</v>
      </c>
      <c r="AC25" s="85" t="n">
        <v>4.05193</v>
      </c>
      <c r="AD25" s="69" t="n">
        <v>0.8852449999999999</v>
      </c>
    </row>
    <row r="26">
      <c r="A26" s="6" t="inlineStr">
        <is>
          <t>4Y</t>
        </is>
      </c>
      <c r="B26" s="86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84">
        <f>IFERROR(INDEX($AC$8:$AC$39,MATCH(B26,$AA$8:$AA$39,0)),"")</f>
        <v/>
      </c>
      <c r="U26" s="80">
        <f>IFERROR(INDEX($AD$8:$AD$39,MATCH(B26,$AA$8:$AA$39,0)),"")</f>
        <v/>
      </c>
      <c r="V26" s="89">
        <f>IF(T26="","",(J26-T26)*100)</f>
        <v/>
      </c>
      <c r="W26" s="72">
        <f>IF(U26="","",H26-U26)</f>
        <v/>
      </c>
      <c r="AA26" s="88" t="n">
        <v>47687</v>
      </c>
      <c r="AB26" s="85" t="n">
        <v>4.07218</v>
      </c>
      <c r="AC26" s="85" t="n">
        <v>4.0446</v>
      </c>
      <c r="AD26" s="69" t="n">
        <v>0.850342</v>
      </c>
    </row>
    <row r="27">
      <c r="A27" s="6" t="inlineStr">
        <is>
          <t>5Y</t>
        </is>
      </c>
      <c r="B27" s="86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84">
        <f>IFERROR(INDEX($AC$8:$AC$39,MATCH(B27,$AA$8:$AA$39,0)),"")</f>
        <v/>
      </c>
      <c r="U27" s="80">
        <f>IFERROR(INDEX($AD$8:$AD$39,MATCH(B27,$AA$8:$AA$39,0)),"")</f>
        <v/>
      </c>
      <c r="V27" s="89">
        <f>IF(T27="","",(J27-T27)*100)</f>
        <v/>
      </c>
      <c r="W27" s="72">
        <f>IF(U27="","",H27-U27)</f>
        <v/>
      </c>
      <c r="AA27" s="88" t="n">
        <v>48052</v>
      </c>
      <c r="AB27" s="85" t="n">
        <v>4.079</v>
      </c>
      <c r="AC27" s="85" t="n">
        <v>4.05204</v>
      </c>
      <c r="AD27" s="69" t="n">
        <v>0.816331</v>
      </c>
    </row>
    <row r="28">
      <c r="A28" s="6" t="inlineStr">
        <is>
          <t>6Y</t>
        </is>
      </c>
      <c r="B28" s="86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84">
        <f>IFERROR(INDEX($AC$8:$AC$39,MATCH(B28,$AA$8:$AA$39,0)),"")</f>
        <v/>
      </c>
      <c r="U28" s="80">
        <f>IFERROR(INDEX($AD$8:$AD$39,MATCH(B28,$AA$8:$AA$39,0)),"")</f>
        <v/>
      </c>
      <c r="V28" s="89">
        <f>IF(T28="","",(J28-T28)*100)</f>
        <v/>
      </c>
      <c r="W28" s="72">
        <f>IF(U28="","",H28-U28)</f>
        <v/>
      </c>
      <c r="AA28" s="88" t="n">
        <v>48418</v>
      </c>
      <c r="AB28" s="85" t="n">
        <v>4.09731</v>
      </c>
      <c r="AC28" s="85" t="n">
        <v>4.07184</v>
      </c>
      <c r="AD28" s="69" t="n">
        <v>0.782895</v>
      </c>
    </row>
    <row r="29">
      <c r="A29" s="6" t="inlineStr">
        <is>
          <t>7Y</t>
        </is>
      </c>
      <c r="B29" s="86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84">
        <f>IFERROR(INDEX($AC$8:$AC$39,MATCH(B29,$AA$8:$AA$39,0)),"")</f>
        <v/>
      </c>
      <c r="U29" s="80">
        <f>IFERROR(INDEX($AD$8:$AD$39,MATCH(B29,$AA$8:$AA$39,0)),"")</f>
        <v/>
      </c>
      <c r="V29" s="89">
        <f>IF(T29="","",(J29-T29)*100)</f>
        <v/>
      </c>
      <c r="W29" s="72">
        <f>IF(U29="","",H29-U29)</f>
        <v/>
      </c>
      <c r="AA29" s="88" t="n">
        <v>48785</v>
      </c>
      <c r="AB29" s="85" t="n">
        <v>4.121</v>
      </c>
      <c r="AC29" s="85" t="n">
        <v>4.0977</v>
      </c>
      <c r="AD29" s="69" t="n">
        <v>0.750127</v>
      </c>
    </row>
    <row r="30">
      <c r="A30" s="6" t="inlineStr">
        <is>
          <t>8Y</t>
        </is>
      </c>
      <c r="B30" s="86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84">
        <f>IFERROR(INDEX($AC$8:$AC$39,MATCH(B30,$AA$8:$AA$39,0)),"")</f>
        <v/>
      </c>
      <c r="U30" s="80">
        <f>IFERROR(INDEX($AD$8:$AD$39,MATCH(B30,$AA$8:$AA$39,0)),"")</f>
        <v/>
      </c>
      <c r="V30" s="89">
        <f>IF(T30="","",(J30-T30)*100)</f>
        <v/>
      </c>
      <c r="W30" s="72">
        <f>IF(U30="","",H30-U30)</f>
        <v/>
      </c>
      <c r="AA30" s="88" t="n">
        <v>49149</v>
      </c>
      <c r="AB30" s="85" t="n">
        <v>4.14781</v>
      </c>
      <c r="AC30" s="85" t="n">
        <v>4.12747</v>
      </c>
      <c r="AD30" s="69" t="n">
        <v>0.718375</v>
      </c>
    </row>
    <row r="31">
      <c r="A31" s="6" t="inlineStr">
        <is>
          <t>9Y</t>
        </is>
      </c>
      <c r="B31" s="86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84">
        <f>IFERROR(INDEX($AC$8:$AC$39,MATCH(B31,$AA$8:$AA$39,0)),"")</f>
        <v/>
      </c>
      <c r="U31" s="80">
        <f>IFERROR(INDEX($AD$8:$AD$39,MATCH(B31,$AA$8:$AA$39,0)),"")</f>
        <v/>
      </c>
      <c r="V31" s="89">
        <f>IF(T31="","",(J31-T31)*100)</f>
        <v/>
      </c>
      <c r="W31" s="72">
        <f>IF(U31="","",H31-U31)</f>
        <v/>
      </c>
      <c r="AA31" s="88" t="n">
        <v>49513</v>
      </c>
      <c r="AB31" s="85" t="n">
        <v>4.17719</v>
      </c>
      <c r="AC31" s="85" t="n">
        <v>4.16061</v>
      </c>
      <c r="AD31" s="69" t="n">
        <v>0.687351</v>
      </c>
    </row>
    <row r="32">
      <c r="A32" s="6" t="inlineStr">
        <is>
          <t>10Y</t>
        </is>
      </c>
      <c r="B32" s="86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84">
        <f>IFERROR(INDEX($AC$8:$AC$39,MATCH(B32,$AA$8:$AA$39,0)),"")</f>
        <v/>
      </c>
      <c r="U32" s="80">
        <f>IFERROR(INDEX($AD$8:$AD$39,MATCH(B32,$AA$8:$AA$39,0)),"")</f>
        <v/>
      </c>
      <c r="V32" s="89">
        <f>IF(T32="","",(J32-T32)*100)</f>
        <v/>
      </c>
      <c r="W32" s="72">
        <f>IF(U32="","",H32-U32)</f>
        <v/>
      </c>
      <c r="AA32" s="88" t="n">
        <v>49879</v>
      </c>
      <c r="AB32" s="85" t="n">
        <v>4.2085</v>
      </c>
      <c r="AC32" s="85" t="n">
        <v>4.19645</v>
      </c>
      <c r="AD32" s="69" t="n">
        <v>0.656903</v>
      </c>
    </row>
    <row r="33">
      <c r="A33" s="6" t="inlineStr">
        <is>
          <t>11Y</t>
        </is>
      </c>
      <c r="B33" s="86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84">
        <f>IFERROR(INDEX($AC$8:$AC$39,MATCH(B33,$AA$8:$AA$39,0)),"")</f>
        <v/>
      </c>
      <c r="U33" s="80">
        <f>IFERROR(INDEX($AD$8:$AD$39,MATCH(B33,$AA$8:$AA$39,0)),"")</f>
        <v/>
      </c>
      <c r="V33" s="89">
        <f>IF(T33="","",(J33-T33)*100)</f>
        <v/>
      </c>
      <c r="W33" s="72">
        <f>IF(U33="","",H33-U33)</f>
        <v/>
      </c>
      <c r="AA33" s="88" t="n">
        <v>50609</v>
      </c>
      <c r="AB33" s="85" t="n">
        <v>4.27258</v>
      </c>
      <c r="AC33" s="85" t="n">
        <v>4.27167</v>
      </c>
      <c r="AD33" s="69" t="n">
        <v>0.598586</v>
      </c>
    </row>
    <row r="34">
      <c r="A34" s="6" t="inlineStr">
        <is>
          <t>12Y</t>
        </is>
      </c>
      <c r="B34" s="86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81">
        <f>Curve_Solver!$B$53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4">
        <f>(G34+F34*H34)</f>
        <v/>
      </c>
      <c r="T34" s="84">
        <f>IFERROR(INDEX($AC$8:$AC$39,MATCH(B34,$AA$8:$AA$39,0)),"")</f>
        <v/>
      </c>
      <c r="U34" s="80">
        <f>IFERROR(INDEX($AD$8:$AD$39,MATCH(B34,$AA$8:$AA$39,0)),"")</f>
        <v/>
      </c>
      <c r="V34" s="89">
        <f>IF(T34="","",(J34-T34)*100)</f>
        <v/>
      </c>
      <c r="W34" s="72">
        <f>IF(U34="","",H34-U34)</f>
        <v/>
      </c>
      <c r="AA34" s="88" t="n">
        <v>51705</v>
      </c>
      <c r="AB34" s="85" t="n">
        <v>4.35709</v>
      </c>
      <c r="AC34" s="85" t="n">
        <v>4.37465</v>
      </c>
      <c r="AD34" s="69" t="n">
        <v>0.518448</v>
      </c>
    </row>
    <row r="35">
      <c r="A35" s="6" t="inlineStr">
        <is>
          <t>13Y</t>
        </is>
      </c>
      <c r="B35" s="86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84">
        <f>IFERROR(INDEX($AC$8:$AC$39,MATCH(B35,$AA$8:$AA$39,0)),"")</f>
        <v/>
      </c>
      <c r="U35" s="80">
        <f>IFERROR(INDEX($AD$8:$AD$39,MATCH(B35,$AA$8:$AA$39,0)),"")</f>
        <v/>
      </c>
      <c r="V35" s="89">
        <f>IF(T35="","",(J35-T35)*100)</f>
        <v/>
      </c>
      <c r="W35" s="72">
        <f>IF(U35="","",H35-U35)</f>
        <v/>
      </c>
      <c r="AA35" s="88" t="n">
        <v>53531</v>
      </c>
      <c r="AB35" s="85" t="n">
        <v>4.42825</v>
      </c>
      <c r="AC35" s="85" t="n">
        <v>4.46214</v>
      </c>
      <c r="AD35" s="69" t="n">
        <v>0.40931</v>
      </c>
    </row>
    <row r="36">
      <c r="A36" s="6" t="inlineStr">
        <is>
          <t>14Y</t>
        </is>
      </c>
      <c r="B36" s="86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84">
        <f>IFERROR(INDEX($AC$8:$AC$39,MATCH(B36,$AA$8:$AA$39,0)),"")</f>
        <v/>
      </c>
      <c r="U36" s="80">
        <f>IFERROR(INDEX($AD$8:$AD$39,MATCH(B36,$AA$8:$AA$39,0)),"")</f>
        <v/>
      </c>
      <c r="V36" s="89">
        <f>IF(T36="","",(J36-T36)*100)</f>
        <v/>
      </c>
      <c r="W36" s="72">
        <f>IF(U36="","",H36-U36)</f>
        <v/>
      </c>
      <c r="AA36" s="88" t="n">
        <v>55358</v>
      </c>
      <c r="AB36" s="85" t="n">
        <v>4.4242</v>
      </c>
      <c r="AC36" s="85" t="n">
        <v>4.44153</v>
      </c>
      <c r="AD36" s="69" t="n">
        <v>0.329072</v>
      </c>
    </row>
    <row r="37">
      <c r="A37" s="6" t="inlineStr">
        <is>
          <t>15Y</t>
        </is>
      </c>
      <c r="B37" s="86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81">
        <f>Curve_Solver!$B$103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4">
        <f>(G37+F37*H37)</f>
        <v/>
      </c>
      <c r="T37" s="84">
        <f>IFERROR(INDEX($AC$8:$AC$39,MATCH(B37,$AA$8:$AA$39,0)),"")</f>
        <v/>
      </c>
      <c r="U37" s="80">
        <f>IFERROR(INDEX($AD$8:$AD$39,MATCH(B37,$AA$8:$AA$39,0)),"")</f>
        <v/>
      </c>
      <c r="V37" s="89">
        <f>IF(T37="","",(J37-T37)*100)</f>
        <v/>
      </c>
      <c r="W37" s="72">
        <f>IF(U37="","",H37-U37)</f>
        <v/>
      </c>
      <c r="AA37" s="88" t="n">
        <v>57185</v>
      </c>
      <c r="AB37" s="85" t="n">
        <v>4.3847</v>
      </c>
      <c r="AC37" s="85" t="n">
        <v>4.36083</v>
      </c>
      <c r="AD37" s="69" t="n">
        <v>0.269938</v>
      </c>
    </row>
    <row r="38">
      <c r="A38" s="6" t="inlineStr">
        <is>
          <t>16Y</t>
        </is>
      </c>
      <c r="B38" s="86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84">
        <f>IFERROR(INDEX($AC$8:$AC$39,MATCH(B38,$AA$8:$AA$39,0)),"")</f>
        <v/>
      </c>
      <c r="U38" s="80">
        <f>IFERROR(INDEX($AD$8:$AD$39,MATCH(B38,$AA$8:$AA$39,0)),"")</f>
        <v/>
      </c>
      <c r="V38" s="89">
        <f>IF(T38="","",(J38-T38)*100)</f>
        <v/>
      </c>
      <c r="W38" s="72">
        <f>IF(U38="","",H38-U38)</f>
        <v/>
      </c>
      <c r="AA38" s="88" t="n">
        <v>60836</v>
      </c>
      <c r="AB38" s="85" t="n">
        <v>4.2655</v>
      </c>
      <c r="AC38" s="85" t="n">
        <v>4.11716</v>
      </c>
      <c r="AD38" s="69" t="n">
        <v>0.192392</v>
      </c>
    </row>
    <row r="39">
      <c r="A39" s="6" t="inlineStr">
        <is>
          <t>17Y</t>
        </is>
      </c>
      <c r="B39" s="86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84">
        <f>IFERROR(INDEX($AC$8:$AC$39,MATCH(B39,$AA$8:$AA$39,0)),"")</f>
        <v/>
      </c>
      <c r="U39" s="80">
        <f>IFERROR(INDEX($AD$8:$AD$39,MATCH(B39,$AA$8:$AA$39,0)),"")</f>
        <v/>
      </c>
      <c r="V39" s="89">
        <f>IF(T39="","",(J39-T39)*100)</f>
        <v/>
      </c>
      <c r="W39" s="72">
        <f>IF(U39="","",H39-U39)</f>
        <v/>
      </c>
      <c r="AA39" s="88" t="n">
        <v>64489</v>
      </c>
      <c r="AB39" s="85" t="n">
        <v>4.1329</v>
      </c>
      <c r="AC39" s="85" t="n">
        <v>3.82391</v>
      </c>
      <c r="AD39" s="69" t="n">
        <v>0.147559</v>
      </c>
    </row>
    <row r="40">
      <c r="A40" s="6" t="inlineStr">
        <is>
          <t>18Y</t>
        </is>
      </c>
      <c r="B40" s="86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84">
        <f>IFERROR(INDEX($AC$8:$AC$39,MATCH(B40,$AA$8:$AA$39,0)),"")</f>
        <v/>
      </c>
      <c r="U40" s="80">
        <f>IFERROR(INDEX($AD$8:$AD$39,MATCH(B40,$AA$8:$AA$39,0)),"")</f>
        <v/>
      </c>
      <c r="V40" s="89">
        <f>IF(T40="","",(J40-T40)*100)</f>
        <v/>
      </c>
      <c r="W40" s="72">
        <f>IF(U40="","",H40-U40)</f>
        <v/>
      </c>
    </row>
    <row r="41">
      <c r="A41" s="6" t="inlineStr">
        <is>
          <t>19Y</t>
        </is>
      </c>
      <c r="B41" s="86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84">
        <f>IFERROR(INDEX($AC$8:$AC$39,MATCH(B41,$AA$8:$AA$39,0)),"")</f>
        <v/>
      </c>
      <c r="U41" s="80">
        <f>IFERROR(INDEX($AD$8:$AD$39,MATCH(B41,$AA$8:$AA$39,0)),"")</f>
        <v/>
      </c>
      <c r="V41" s="89">
        <f>IF(T41="","",(J41-T41)*100)</f>
        <v/>
      </c>
      <c r="W41" s="72">
        <f>IF(U41="","",H41-U41)</f>
        <v/>
      </c>
    </row>
    <row r="42">
      <c r="A42" s="6" t="inlineStr">
        <is>
          <t>20Y</t>
        </is>
      </c>
      <c r="B42" s="86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81">
        <f>Curve_Solver!$B$153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4">
        <f>(G42+F42*H42)</f>
        <v/>
      </c>
      <c r="T42" s="84">
        <f>IFERROR(INDEX($AC$8:$AC$39,MATCH(B42,$AA$8:$AA$39,0)),"")</f>
        <v/>
      </c>
      <c r="U42" s="80">
        <f>IFERROR(INDEX($AD$8:$AD$39,MATCH(B42,$AA$8:$AA$39,0)),"")</f>
        <v/>
      </c>
      <c r="V42" s="89">
        <f>IF(T42="","",(J42-T42)*100)</f>
        <v/>
      </c>
      <c r="W42" s="72">
        <f>IF(U42="","",H42-U42)</f>
        <v/>
      </c>
    </row>
    <row r="43">
      <c r="A43" s="6" t="inlineStr">
        <is>
          <t>21Y</t>
        </is>
      </c>
      <c r="B43" s="86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84">
        <f>IFERROR(INDEX($AC$8:$AC$39,MATCH(B43,$AA$8:$AA$39,0)),"")</f>
        <v/>
      </c>
      <c r="U43" s="80">
        <f>IFERROR(INDEX($AD$8:$AD$39,MATCH(B43,$AA$8:$AA$39,0)),"")</f>
        <v/>
      </c>
      <c r="V43" s="89">
        <f>IF(T43="","",(J43-T43)*100)</f>
        <v/>
      </c>
      <c r="W43" s="72">
        <f>IF(U43="","",H43-U43)</f>
        <v/>
      </c>
    </row>
    <row r="44">
      <c r="A44" s="6" t="inlineStr">
        <is>
          <t>22Y</t>
        </is>
      </c>
      <c r="B44" s="86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84">
        <f>IFERROR(INDEX($AC$8:$AC$39,MATCH(B44,$AA$8:$AA$39,0)),"")</f>
        <v/>
      </c>
      <c r="U44" s="80">
        <f>IFERROR(INDEX($AD$8:$AD$39,MATCH(B44,$AA$8:$AA$39,0)),"")</f>
        <v/>
      </c>
      <c r="V44" s="89">
        <f>IF(T44="","",(J44-T44)*100)</f>
        <v/>
      </c>
      <c r="W44" s="72">
        <f>IF(U44="","",H44-U44)</f>
        <v/>
      </c>
    </row>
    <row r="45">
      <c r="A45" s="6" t="inlineStr">
        <is>
          <t>23Y</t>
        </is>
      </c>
      <c r="B45" s="86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84">
        <f>IFERROR(INDEX($AC$8:$AC$39,MATCH(B45,$AA$8:$AA$39,0)),"")</f>
        <v/>
      </c>
      <c r="U45" s="80">
        <f>IFERROR(INDEX($AD$8:$AD$39,MATCH(B45,$AA$8:$AA$39,0)),"")</f>
        <v/>
      </c>
      <c r="V45" s="89">
        <f>IF(T45="","",(J45-T45)*100)</f>
        <v/>
      </c>
      <c r="W45" s="72">
        <f>IF(U45="","",H45-U45)</f>
        <v/>
      </c>
    </row>
    <row r="46">
      <c r="A46" s="6" t="inlineStr">
        <is>
          <t>24Y</t>
        </is>
      </c>
      <c r="B46" s="86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84">
        <f>IFERROR(INDEX($AC$8:$AC$39,MATCH(B46,$AA$8:$AA$39,0)),"")</f>
        <v/>
      </c>
      <c r="U46" s="80">
        <f>IFERROR(INDEX($AD$8:$AD$39,MATCH(B46,$AA$8:$AA$39,0)),"")</f>
        <v/>
      </c>
      <c r="V46" s="89">
        <f>IF(T46="","",(J46-T46)*100)</f>
        <v/>
      </c>
      <c r="W46" s="72">
        <f>IF(U46="","",H46-U46)</f>
        <v/>
      </c>
    </row>
    <row r="47">
      <c r="A47" s="6" t="inlineStr">
        <is>
          <t>25Y</t>
        </is>
      </c>
      <c r="B47" s="86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81">
        <f>Curve_Solver!$B$203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4">
        <f>(G47+F47*H47)</f>
        <v/>
      </c>
      <c r="T47" s="84">
        <f>IFERROR(INDEX($AC$8:$AC$39,MATCH(B47,$AA$8:$AA$39,0)),"")</f>
        <v/>
      </c>
      <c r="U47" s="80">
        <f>IFERROR(INDEX($AD$8:$AD$39,MATCH(B47,$AA$8:$AA$39,0)),"")</f>
        <v/>
      </c>
      <c r="V47" s="89">
        <f>IF(T47="","",(J47-T47)*100)</f>
        <v/>
      </c>
      <c r="W47" s="72">
        <f>IF(U47="","",H47-U47)</f>
        <v/>
      </c>
    </row>
    <row r="48">
      <c r="A48" s="6" t="inlineStr">
        <is>
          <t>26Y</t>
        </is>
      </c>
      <c r="B48" s="86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84">
        <f>IFERROR(INDEX($AC$8:$AC$39,MATCH(B48,$AA$8:$AA$39,0)),"")</f>
        <v/>
      </c>
      <c r="U48" s="80">
        <f>IFERROR(INDEX($AD$8:$AD$39,MATCH(B48,$AA$8:$AA$39,0)),"")</f>
        <v/>
      </c>
      <c r="V48" s="89">
        <f>IF(T48="","",(J48-T48)*100)</f>
        <v/>
      </c>
      <c r="W48" s="72">
        <f>IF(U48="","",H48-U48)</f>
        <v/>
      </c>
    </row>
    <row r="49">
      <c r="A49" s="6" t="inlineStr">
        <is>
          <t>27Y</t>
        </is>
      </c>
      <c r="B49" s="86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84">
        <f>IFERROR(INDEX($AC$8:$AC$39,MATCH(B49,$AA$8:$AA$39,0)),"")</f>
        <v/>
      </c>
      <c r="U49" s="80">
        <f>IFERROR(INDEX($AD$8:$AD$39,MATCH(B49,$AA$8:$AA$39,0)),"")</f>
        <v/>
      </c>
      <c r="V49" s="89">
        <f>IF(T49="","",(J49-T49)*100)</f>
        <v/>
      </c>
      <c r="W49" s="72">
        <f>IF(U49="","",H49-U49)</f>
        <v/>
      </c>
    </row>
    <row r="50">
      <c r="A50" s="6" t="inlineStr">
        <is>
          <t>28Y</t>
        </is>
      </c>
      <c r="B50" s="86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84">
        <f>IFERROR(INDEX($AC$8:$AC$39,MATCH(B50,$AA$8:$AA$39,0)),"")</f>
        <v/>
      </c>
      <c r="U50" s="80">
        <f>IFERROR(INDEX($AD$8:$AD$39,MATCH(B50,$AA$8:$AA$39,0)),"")</f>
        <v/>
      </c>
      <c r="V50" s="89">
        <f>IF(T50="","",(J50-T50)*100)</f>
        <v/>
      </c>
      <c r="W50" s="72">
        <f>IF(U50="","",H50-U50)</f>
        <v/>
      </c>
    </row>
    <row r="51">
      <c r="A51" s="6" t="inlineStr">
        <is>
          <t>29Y</t>
        </is>
      </c>
      <c r="B51" s="86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84">
        <f>IFERROR(INDEX($AC$8:$AC$39,MATCH(B51,$AA$8:$AA$39,0)),"")</f>
        <v/>
      </c>
      <c r="U51" s="80">
        <f>IFERROR(INDEX($AD$8:$AD$39,MATCH(B51,$AA$8:$AA$39,0)),"")</f>
        <v/>
      </c>
      <c r="V51" s="89">
        <f>IF(T51="","",(J51-T51)*100)</f>
        <v/>
      </c>
      <c r="W51" s="72">
        <f>IF(U51="","",H51-U51)</f>
        <v/>
      </c>
    </row>
    <row r="52">
      <c r="A52" s="6" t="inlineStr">
        <is>
          <t>30Y</t>
        </is>
      </c>
      <c r="B52" s="86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81">
        <f>Curve_Solver!$B$253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4">
        <f>(G52+F52*H52)</f>
        <v/>
      </c>
      <c r="T52" s="84">
        <f>IFERROR(INDEX($AC$8:$AC$39,MATCH(B52,$AA$8:$AA$39,0)),"")</f>
        <v/>
      </c>
      <c r="U52" s="80">
        <f>IFERROR(INDEX($AD$8:$AD$39,MATCH(B52,$AA$8:$AA$39,0)),"")</f>
        <v/>
      </c>
      <c r="V52" s="89">
        <f>IF(T52="","",(J52-T52)*100)</f>
        <v/>
      </c>
      <c r="W52" s="72">
        <f>IF(U52="","",H52-U52)</f>
        <v/>
      </c>
    </row>
    <row r="53">
      <c r="A53" s="6" t="inlineStr">
        <is>
          <t>31Y</t>
        </is>
      </c>
      <c r="B53" s="86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84">
        <f>IFERROR(INDEX($AC$8:$AC$39,MATCH(B53,$AA$8:$AA$39,0)),"")</f>
        <v/>
      </c>
      <c r="U53" s="80">
        <f>IFERROR(INDEX($AD$8:$AD$39,MATCH(B53,$AA$8:$AA$39,0)),"")</f>
        <v/>
      </c>
      <c r="V53" s="89">
        <f>IF(T53="","",(J53-T53)*100)</f>
        <v/>
      </c>
      <c r="W53" s="72">
        <f>IF(U53="","",H53-U53)</f>
        <v/>
      </c>
    </row>
    <row r="54">
      <c r="A54" s="6" t="inlineStr">
        <is>
          <t>32Y</t>
        </is>
      </c>
      <c r="B54" s="86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84">
        <f>IFERROR(INDEX($AC$8:$AC$39,MATCH(B54,$AA$8:$AA$39,0)),"")</f>
        <v/>
      </c>
      <c r="U54" s="80">
        <f>IFERROR(INDEX($AD$8:$AD$39,MATCH(B54,$AA$8:$AA$39,0)),"")</f>
        <v/>
      </c>
      <c r="V54" s="89">
        <f>IF(T54="","",(J54-T54)*100)</f>
        <v/>
      </c>
      <c r="W54" s="72">
        <f>IF(U54="","",H54-U54)</f>
        <v/>
      </c>
    </row>
    <row r="55">
      <c r="A55" s="6" t="inlineStr">
        <is>
          <t>33Y</t>
        </is>
      </c>
      <c r="B55" s="86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84">
        <f>IFERROR(INDEX($AC$8:$AC$39,MATCH(B55,$AA$8:$AA$39,0)),"")</f>
        <v/>
      </c>
      <c r="U55" s="80">
        <f>IFERROR(INDEX($AD$8:$AD$39,MATCH(B55,$AA$8:$AA$39,0)),"")</f>
        <v/>
      </c>
      <c r="V55" s="89">
        <f>IF(T55="","",(J55-T55)*100)</f>
        <v/>
      </c>
      <c r="W55" s="72">
        <f>IF(U55="","",H55-U55)</f>
        <v/>
      </c>
    </row>
    <row r="56">
      <c r="A56" s="6" t="inlineStr">
        <is>
          <t>34Y</t>
        </is>
      </c>
      <c r="B56" s="86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84">
        <f>IFERROR(INDEX($AC$8:$AC$39,MATCH(B56,$AA$8:$AA$39,0)),"")</f>
        <v/>
      </c>
      <c r="U56" s="80">
        <f>IFERROR(INDEX($AD$8:$AD$39,MATCH(B56,$AA$8:$AA$39,0)),"")</f>
        <v/>
      </c>
      <c r="V56" s="89">
        <f>IF(T56="","",(J56-T56)*100)</f>
        <v/>
      </c>
      <c r="W56" s="72">
        <f>IF(U56="","",H56-U56)</f>
        <v/>
      </c>
    </row>
    <row r="57">
      <c r="A57" s="6" t="inlineStr">
        <is>
          <t>35Y</t>
        </is>
      </c>
      <c r="B57" s="86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84">
        <f>IFERROR(INDEX($AC$8:$AC$39,MATCH(B57,$AA$8:$AA$39,0)),"")</f>
        <v/>
      </c>
      <c r="U57" s="80">
        <f>IFERROR(INDEX($AD$8:$AD$39,MATCH(B57,$AA$8:$AA$39,0)),"")</f>
        <v/>
      </c>
      <c r="V57" s="89">
        <f>IF(T57="","",(J57-T57)*100)</f>
        <v/>
      </c>
      <c r="W57" s="72">
        <f>IF(U57="","",H57-U57)</f>
        <v/>
      </c>
    </row>
    <row r="58">
      <c r="A58" s="6" t="inlineStr">
        <is>
          <t>36Y</t>
        </is>
      </c>
      <c r="B58" s="86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84">
        <f>IFERROR(INDEX($AC$8:$AC$39,MATCH(B58,$AA$8:$AA$39,0)),"")</f>
        <v/>
      </c>
      <c r="U58" s="80">
        <f>IFERROR(INDEX($AD$8:$AD$39,MATCH(B58,$AA$8:$AA$39,0)),"")</f>
        <v/>
      </c>
      <c r="V58" s="89">
        <f>IF(T58="","",(J58-T58)*100)</f>
        <v/>
      </c>
      <c r="W58" s="72">
        <f>IF(U58="","",H58-U58)</f>
        <v/>
      </c>
    </row>
    <row r="59">
      <c r="A59" s="6" t="inlineStr">
        <is>
          <t>37Y</t>
        </is>
      </c>
      <c r="B59" s="86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84">
        <f>IFERROR(INDEX($AC$8:$AC$39,MATCH(B59,$AA$8:$AA$39,0)),"")</f>
        <v/>
      </c>
      <c r="U59" s="80">
        <f>IFERROR(INDEX($AD$8:$AD$39,MATCH(B59,$AA$8:$AA$39,0)),"")</f>
        <v/>
      </c>
      <c r="V59" s="89">
        <f>IF(T59="","",(J59-T59)*100)</f>
        <v/>
      </c>
      <c r="W59" s="72">
        <f>IF(U59="","",H59-U59)</f>
        <v/>
      </c>
    </row>
    <row r="60">
      <c r="A60" s="6" t="inlineStr">
        <is>
          <t>38Y</t>
        </is>
      </c>
      <c r="B60" s="86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84">
        <f>IFERROR(INDEX($AC$8:$AC$39,MATCH(B60,$AA$8:$AA$39,0)),"")</f>
        <v/>
      </c>
      <c r="U60" s="80">
        <f>IFERROR(INDEX($AD$8:$AD$39,MATCH(B60,$AA$8:$AA$39,0)),"")</f>
        <v/>
      </c>
      <c r="V60" s="89">
        <f>IF(T60="","",(J60-T60)*100)</f>
        <v/>
      </c>
      <c r="W60" s="72">
        <f>IF(U60="","",H60-U60)</f>
        <v/>
      </c>
    </row>
    <row r="61">
      <c r="A61" s="6" t="inlineStr">
        <is>
          <t>39Y</t>
        </is>
      </c>
      <c r="B61" s="86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84">
        <f>IFERROR(INDEX($AC$8:$AC$39,MATCH(B61,$AA$8:$AA$39,0)),"")</f>
        <v/>
      </c>
      <c r="U61" s="80">
        <f>IFERROR(INDEX($AD$8:$AD$39,MATCH(B61,$AA$8:$AA$39,0)),"")</f>
        <v/>
      </c>
      <c r="V61" s="89">
        <f>IF(T61="","",(J61-T61)*100)</f>
        <v/>
      </c>
      <c r="W61" s="72">
        <f>IF(U61="","",H61-U61)</f>
        <v/>
      </c>
    </row>
    <row r="62">
      <c r="A62" s="6" t="inlineStr">
        <is>
          <t>40Y</t>
        </is>
      </c>
      <c r="B62" s="86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81">
        <f>Curve_Solver!$B$303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4">
        <f>(G62+F62*H62)</f>
        <v/>
      </c>
      <c r="T62" s="84">
        <f>IFERROR(INDEX($AC$8:$AC$39,MATCH(B62,$AA$8:$AA$39,0)),"")</f>
        <v/>
      </c>
      <c r="U62" s="80">
        <f>IFERROR(INDEX($AD$8:$AD$39,MATCH(B62,$AA$8:$AA$39,0)),"")</f>
        <v/>
      </c>
      <c r="V62" s="89">
        <f>IF(T62="","",(J62-T62)*100)</f>
        <v/>
      </c>
      <c r="W62" s="72">
        <f>IF(U62="","",H62-U62)</f>
        <v/>
      </c>
    </row>
    <row r="63">
      <c r="A63" s="6" t="inlineStr">
        <is>
          <t>41Y</t>
        </is>
      </c>
      <c r="B63" s="86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84">
        <f>IFERROR(INDEX($AC$8:$AC$39,MATCH(B63,$AA$8:$AA$39,0)),"")</f>
        <v/>
      </c>
      <c r="U63" s="80">
        <f>IFERROR(INDEX($AD$8:$AD$39,MATCH(B63,$AA$8:$AA$39,0)),"")</f>
        <v/>
      </c>
      <c r="V63" s="89">
        <f>IF(T63="","",(J63-T63)*100)</f>
        <v/>
      </c>
      <c r="W63" s="72">
        <f>IF(U63="","",H63-U63)</f>
        <v/>
      </c>
    </row>
    <row r="64">
      <c r="A64" s="6" t="inlineStr">
        <is>
          <t>42Y</t>
        </is>
      </c>
      <c r="B64" s="86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84">
        <f>IFERROR(INDEX($AC$8:$AC$39,MATCH(B64,$AA$8:$AA$39,0)),"")</f>
        <v/>
      </c>
      <c r="U64" s="80">
        <f>IFERROR(INDEX($AD$8:$AD$39,MATCH(B64,$AA$8:$AA$39,0)),"")</f>
        <v/>
      </c>
      <c r="V64" s="89">
        <f>IF(T64="","",(J64-T64)*100)</f>
        <v/>
      </c>
      <c r="W64" s="72">
        <f>IF(U64="","",H64-U64)</f>
        <v/>
      </c>
    </row>
    <row r="65">
      <c r="A65" s="6" t="inlineStr">
        <is>
          <t>43Y</t>
        </is>
      </c>
      <c r="B65" s="86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84">
        <f>IFERROR(INDEX($AC$8:$AC$39,MATCH(B65,$AA$8:$AA$39,0)),"")</f>
        <v/>
      </c>
      <c r="U65" s="80">
        <f>IFERROR(INDEX($AD$8:$AD$39,MATCH(B65,$AA$8:$AA$39,0)),"")</f>
        <v/>
      </c>
      <c r="V65" s="89">
        <f>IF(T65="","",(J65-T65)*100)</f>
        <v/>
      </c>
      <c r="W65" s="72">
        <f>IF(U65="","",H65-U65)</f>
        <v/>
      </c>
    </row>
    <row r="66">
      <c r="A66" s="6" t="inlineStr">
        <is>
          <t>44Y</t>
        </is>
      </c>
      <c r="B66" s="86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84">
        <f>IFERROR(INDEX($AC$8:$AC$39,MATCH(B66,$AA$8:$AA$39,0)),"")</f>
        <v/>
      </c>
      <c r="U66" s="80">
        <f>IFERROR(INDEX($AD$8:$AD$39,MATCH(B66,$AA$8:$AA$39,0)),"")</f>
        <v/>
      </c>
      <c r="V66" s="89">
        <f>IF(T66="","",(J66-T66)*100)</f>
        <v/>
      </c>
      <c r="W66" s="72">
        <f>IF(U66="","",H66-U66)</f>
        <v/>
      </c>
    </row>
    <row r="67">
      <c r="A67" s="6" t="inlineStr">
        <is>
          <t>45Y</t>
        </is>
      </c>
      <c r="B67" s="86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84">
        <f>IFERROR(INDEX($AC$8:$AC$39,MATCH(B67,$AA$8:$AA$39,0)),"")</f>
        <v/>
      </c>
      <c r="U67" s="80">
        <f>IFERROR(INDEX($AD$8:$AD$39,MATCH(B67,$AA$8:$AA$39,0)),"")</f>
        <v/>
      </c>
      <c r="V67" s="89">
        <f>IF(T67="","",(J67-T67)*100)</f>
        <v/>
      </c>
      <c r="W67" s="72">
        <f>IF(U67="","",H67-U67)</f>
        <v/>
      </c>
    </row>
    <row r="68">
      <c r="A68" s="6" t="inlineStr">
        <is>
          <t>46Y</t>
        </is>
      </c>
      <c r="B68" s="86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84">
        <f>IFERROR(INDEX($AC$8:$AC$39,MATCH(B68,$AA$8:$AA$39,0)),"")</f>
        <v/>
      </c>
      <c r="U68" s="80">
        <f>IFERROR(INDEX($AD$8:$AD$39,MATCH(B68,$AA$8:$AA$39,0)),"")</f>
        <v/>
      </c>
      <c r="V68" s="89">
        <f>IF(T68="","",(J68-T68)*100)</f>
        <v/>
      </c>
      <c r="W68" s="72">
        <f>IF(U68="","",H68-U68)</f>
        <v/>
      </c>
    </row>
    <row r="69">
      <c r="A69" s="6" t="inlineStr">
        <is>
          <t>47Y</t>
        </is>
      </c>
      <c r="B69" s="86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84">
        <f>IFERROR(INDEX($AC$8:$AC$39,MATCH(B69,$AA$8:$AA$39,0)),"")</f>
        <v/>
      </c>
      <c r="U69" s="80">
        <f>IFERROR(INDEX($AD$8:$AD$39,MATCH(B69,$AA$8:$AA$39,0)),"")</f>
        <v/>
      </c>
      <c r="V69" s="89">
        <f>IF(T69="","",(J69-T69)*100)</f>
        <v/>
      </c>
      <c r="W69" s="72">
        <f>IF(U69="","",H69-U69)</f>
        <v/>
      </c>
    </row>
    <row r="70">
      <c r="A70" s="6" t="inlineStr">
        <is>
          <t>48Y</t>
        </is>
      </c>
      <c r="B70" s="86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84">
        <f>IFERROR(INDEX($AC$8:$AC$39,MATCH(B70,$AA$8:$AA$39,0)),"")</f>
        <v/>
      </c>
      <c r="U70" s="80">
        <f>IFERROR(INDEX($AD$8:$AD$39,MATCH(B70,$AA$8:$AA$39,0)),"")</f>
        <v/>
      </c>
      <c r="V70" s="89">
        <f>IF(T70="","",(J70-T70)*100)</f>
        <v/>
      </c>
      <c r="W70" s="72">
        <f>IF(U70="","",H70-U70)</f>
        <v/>
      </c>
    </row>
    <row r="71">
      <c r="A71" s="6" t="inlineStr">
        <is>
          <t>49Y</t>
        </is>
      </c>
      <c r="B71" s="86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84">
        <f>IFERROR(INDEX($AC$8:$AC$39,MATCH(B71,$AA$8:$AA$39,0)),"")</f>
        <v/>
      </c>
      <c r="U71" s="80">
        <f>IFERROR(INDEX($AD$8:$AD$39,MATCH(B71,$AA$8:$AA$39,0)),"")</f>
        <v/>
      </c>
      <c r="V71" s="89">
        <f>IF(T71="","",(J71-T71)*100)</f>
        <v/>
      </c>
      <c r="W71" s="72">
        <f>IF(U71="","",H71-U71)</f>
        <v/>
      </c>
    </row>
    <row r="72">
      <c r="A72" s="6" t="inlineStr">
        <is>
          <t>50Y</t>
        </is>
      </c>
      <c r="B72" s="86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81">
        <f>Curve_Solver!$B$353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4">
        <f>(G72+F72*H72)</f>
        <v/>
      </c>
      <c r="T72" s="84">
        <f>IFERROR(INDEX($AC$8:$AC$39,MATCH(B72,$AA$8:$AA$39,0)),"")</f>
        <v/>
      </c>
      <c r="U72" s="80">
        <f>IFERROR(INDEX($AD$8:$AD$39,MATCH(B72,$AA$8:$AA$39,0)),"")</f>
        <v/>
      </c>
      <c r="V72" s="89">
        <f>IF(T72="","",(J72-T72)*100)</f>
        <v/>
      </c>
      <c r="W72" s="72">
        <f>IF(U72="","",H72-U72)</f>
        <v/>
      </c>
    </row>
    <row r="74" ht="40" customHeight="1">
      <c r="A74" s="70" t="inlineStr">
        <is>
          <t>Long-end quoted pillars (12Y+) are solved on Curve_Solver to break the gap-row annuity circularity. Gap rows keep log-linear DF interpolation (= step-function forward), the method verified against S490.</t>
        </is>
      </c>
    </row>
    <row r="75"/>
    <row r="76">
      <c r="T76" s="67" t="inlineStr">
        <is>
          <t>Pillars matched</t>
        </is>
      </c>
      <c r="U76" s="87">
        <f>COUNT(U8:U72)&amp;" / 32"</f>
        <v/>
      </c>
    </row>
    <row r="77">
      <c r="T77" s="67" t="inlineStr">
        <is>
          <t>Max |d zero| (bp)</t>
        </is>
      </c>
      <c r="U77" s="90">
        <f>MAX(MAX(V8:V72),-MIN(V8:V72))</f>
        <v/>
      </c>
    </row>
    <row r="78">
      <c r="T78" s="67" t="inlineStr">
        <is>
          <t>Max |d DF|</t>
        </is>
      </c>
      <c r="U78" s="91">
        <f>MAX(MAX(W8:W72),-MIN(W8:W72))</f>
        <v/>
      </c>
    </row>
    <row r="80">
      <c r="T80" s="65" t="inlineStr">
        <is>
          <t>Our bootstrap vs the S490 screen. Only the 32 quoted pillars match; the interpolated gap rows have no screen counterpart and stay blank.</t>
        </is>
      </c>
    </row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quoted pillar's discount factor by bisection, with its interpolated gap points inside the annuity. Removes the circular reference that stopped the curve computing past 10Y.</t>
        </is>
      </c>
    </row>
    <row r="3">
      <c r="A3" s="65" t="inlineStr">
        <is>
          <t>DF_B solves:  DF_B = (DFspot - S_B*[A_anchor + SUM_g tau_g*DF_g]) / (1 + S_B*tau_B),   DF_g = DF_A*(DF_B/DF_A)^w_g</t>
        </is>
      </c>
    </row>
    <row r="4">
      <c r="A4" s="65" t="inlineStr">
        <is>
          <t>Bracket [0, 1.5], 40 bisection steps -&gt;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the S490 screen (rms DF err 2.3e-06). Piecewise Linear (Simple) — the guide's method 1, its EUR S201 example — is 48x worse on this curve (1.1e-04, biased to +4.2e-04 by 50Y). Only switch if the S490 Interpolation field actually says so.</t>
        </is>
      </c>
      <c r="K8" s="86">
        <f>VAL_DATE</f>
        <v/>
      </c>
      <c r="L8" s="7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Guide method 1:  DF(t)=1/(1+r_s(t)*t), r_s piecewise linear, t on ACT/360, flat outside the first/last instrument maturity.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Guide method 3:  flat instantaneous forward between pillars, equivalently log-linear in the discount factor.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Both agree AT the pillars; they differ only off-pillar — which is exactly what CDS_Schedule looks up. Max gap difference ~0.07bp of zero rate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D32"/>
    <outlinePr summaryBelow="1" summaryRight="1"/>
    <pageSetUpPr/>
  </sheetPr>
  <dimension ref="A1:N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  <c r="N4" s="98" t="inlineStr">
        <is>
          <t>Log-linear DF interpolation on this grid (dates $K$6:$K$71, DFs $L$6:$L$71). Do NOT write text into K or L - MATCH needs a strictly ascending date column, and a stray label here silently flattened every DF past 17Y.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86">
        <f>VAL_DATE</f>
        <v/>
      </c>
      <c r="L6" s="7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8">
        <f>IF(MONTH((EDATE($B$8,12*$B$9)+IF(WEEKDAY(EDATE($B$8,12*$B$9),2)=6,2,IF(WEEKDAY(EDATE($B$8,12*$B$9),2)=7,1,0))))&lt;&gt;MONTH(EDATE($B$8,12*$B$9)),(EDATE($B$8,12*$B$9)-IF(WEEKDAY(EDATE($B$8,12*$B$9),2)=6,1,IF(WEEKDAY(EDATE($B$8,12*$B$9),2)=7,2,0))),(EDATE($B$8,12*$B$9)+IF(WEEKDAY(EDATE($B$8,12*$B$9),2)=6,2,IF(WEEKDAY(EDATE($B$8,12*$B$9),2)=7,1,0)))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8">
        <f>IF(A36&lt;=$B$9,IF(MONTH((EDATE($B$8,12*A36)+IF(WEEKDAY(EDATE($B$8,12*A36),2)=6,2,IF(WEEKDAY(EDATE($B$8,12*A36),2)=7,1,0))))&lt;&gt;MONTH(EDATE($B$8,12*A36)),(EDATE($B$8,12*A36)-IF(WEEKDAY(EDATE($B$8,12*A36),2)=6,1,IF(WEEKDAY(EDATE($B$8,12*A36),2)=7,2,0))),(EDATE($B$8,12*A36)+IF(WEEKDAY(EDATE($B$8,12*A36),2)=6,2,IF(WEEKDAY(EDATE($B$8,12*A36),2)=7,1,0)))),"")</f>
        <v/>
      </c>
      <c r="C36" s="18">
        <f>IF(A36&lt;=$B$9,$B$8,"")</f>
        <v/>
      </c>
      <c r="D36" s="17">
        <f>IF(A36&lt;=$B$9,(B36-C36)/360,"")</f>
        <v/>
      </c>
      <c r="E36" s="36">
        <f>IF(A36&lt;=$B$9,IFERROR(INDEX($L$6:$L$71,MATCH(B36,$K$6:$K$71,1))*(INDEX($L$6:$L$71,MATCH(B36,$K$6:$K$71,1)+1)/INDEX($L$6:$L$71,MATCH(B36,$K$6:$K$71,1)))^((B36-INDEX($K$6:$K$71,MATCH(B36,$K$6:$K$71,1)))/(INDEX($K$6:$K$71,MATCH(B36,$K$6:$K$71,1)+1)-INDEX($K$6:$K$71,MATCH(B36,$K$6:$K$71,1)))),INDEX($L$6:$L$71,MATCH(B36,$K$6:$K$71,1))),"")</f>
        <v/>
      </c>
      <c r="F36" s="44">
        <f>IF(A36&lt;=$B$9,$B$6*$B$11/100*D36,"")</f>
        <v/>
      </c>
      <c r="G36" s="44">
        <f>IF(A36&lt;=$B$9,F36*E36,"")</f>
        <v/>
      </c>
      <c r="H36" s="34">
        <f>IF(A36&lt;=$B$9,D36*E36,"")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8">
        <f>IF(A37&lt;=$B$9,IF(MONTH((EDATE($B$8,12*A37)+IF(WEEKDAY(EDATE($B$8,12*A37),2)=6,2,IF(WEEKDAY(EDATE($B$8,12*A37),2)=7,1,0))))&lt;&gt;MONTH(EDATE($B$8,12*A37)),(EDATE($B$8,12*A37)-IF(WEEKDAY(EDATE($B$8,12*A37),2)=6,1,IF(WEEKDAY(EDATE($B$8,12*A37),2)=7,2,0))),(EDATE($B$8,12*A37)+IF(WEEKDAY(EDATE($B$8,12*A37),2)=6,2,IF(WEEKDAY(EDATE($B$8,12*A37),2)=7,1,0)))),"")</f>
        <v/>
      </c>
      <c r="C37" s="18">
        <f>IF(A37&lt;=$B$9,B36,"")</f>
        <v/>
      </c>
      <c r="D37" s="17">
        <f>IF(A37&lt;=$B$9,(B37-C37)/360,"")</f>
        <v/>
      </c>
      <c r="E37" s="36">
        <f>IF(A37&lt;=$B$9,IFERROR(INDEX($L$6:$L$71,MATCH(B37,$K$6:$K$71,1))*(INDEX($L$6:$L$71,MATCH(B37,$K$6:$K$71,1)+1)/INDEX($L$6:$L$71,MATCH(B37,$K$6:$K$71,1)))^((B37-INDEX($K$6:$K$71,MATCH(B37,$K$6:$K$71,1)))/(INDEX($K$6:$K$71,MATCH(B37,$K$6:$K$71,1)+1)-INDEX($K$6:$K$71,MATCH(B37,$K$6:$K$71,1)))),INDEX($L$6:$L$71,MATCH(B37,$K$6:$K$71,1))),"")</f>
        <v/>
      </c>
      <c r="F37" s="44">
        <f>IF(A37&lt;=$B$9,$B$6*$B$11/100*D37,"")</f>
        <v/>
      </c>
      <c r="G37" s="44">
        <f>IF(A37&lt;=$B$9,F37*E37,"")</f>
        <v/>
      </c>
      <c r="H37" s="34">
        <f>IF(A37&lt;=$B$9,D37*E37,"")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8">
        <f>IF(A38&lt;=$B$9,IF(MONTH((EDATE($B$8,12*A38)+IF(WEEKDAY(EDATE($B$8,12*A38),2)=6,2,IF(WEEKDAY(EDATE($B$8,12*A38),2)=7,1,0))))&lt;&gt;MONTH(EDATE($B$8,12*A38)),(EDATE($B$8,12*A38)-IF(WEEKDAY(EDATE($B$8,12*A38),2)=6,1,IF(WEEKDAY(EDATE($B$8,12*A38),2)=7,2,0))),(EDATE($B$8,12*A38)+IF(WEEKDAY(EDATE($B$8,12*A38),2)=6,2,IF(WEEKDAY(EDATE($B$8,12*A38),2)=7,1,0)))),"")</f>
        <v/>
      </c>
      <c r="C38" s="18">
        <f>IF(A38&lt;=$B$9,B37,"")</f>
        <v/>
      </c>
      <c r="D38" s="17">
        <f>IF(A38&lt;=$B$9,(B38-C38)/360,"")</f>
        <v/>
      </c>
      <c r="E38" s="36">
        <f>IF(A38&lt;=$B$9,IFERROR(INDEX($L$6:$L$71,MATCH(B38,$K$6:$K$71,1))*(INDEX($L$6:$L$71,MATCH(B38,$K$6:$K$71,1)+1)/INDEX($L$6:$L$71,MATCH(B38,$K$6:$K$71,1)))^((B38-INDEX($K$6:$K$71,MATCH(B38,$K$6:$K$71,1)))/(INDEX($K$6:$K$71,MATCH(B38,$K$6:$K$71,1)+1)-INDEX($K$6:$K$71,MATCH(B38,$K$6:$K$71,1)))),INDEX($L$6:$L$71,MATCH(B38,$K$6:$K$71,1))),"")</f>
        <v/>
      </c>
      <c r="F38" s="44">
        <f>IF(A38&lt;=$B$9,$B$6*$B$11/100*D38,"")</f>
        <v/>
      </c>
      <c r="G38" s="44">
        <f>IF(A38&lt;=$B$9,F38*E38,"")</f>
        <v/>
      </c>
      <c r="H38" s="34">
        <f>IF(A38&lt;=$B$9,D38*E38,"")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8">
        <f>IF(A39&lt;=$B$9,IF(MONTH((EDATE($B$8,12*A39)+IF(WEEKDAY(EDATE($B$8,12*A39),2)=6,2,IF(WEEKDAY(EDATE($B$8,12*A39),2)=7,1,0))))&lt;&gt;MONTH(EDATE($B$8,12*A39)),(EDATE($B$8,12*A39)-IF(WEEKDAY(EDATE($B$8,12*A39),2)=6,1,IF(WEEKDAY(EDATE($B$8,12*A39),2)=7,2,0))),(EDATE($B$8,12*A39)+IF(WEEKDAY(EDATE($B$8,12*A39),2)=6,2,IF(WEEKDAY(EDATE($B$8,12*A39),2)=7,1,0)))),"")</f>
        <v/>
      </c>
      <c r="C39" s="18">
        <f>IF(A39&lt;=$B$9,B38,"")</f>
        <v/>
      </c>
      <c r="D39" s="17">
        <f>IF(A39&lt;=$B$9,(B39-C39)/360,"")</f>
        <v/>
      </c>
      <c r="E39" s="36">
        <f>IF(A39&lt;=$B$9,IFERROR(INDEX($L$6:$L$71,MATCH(B39,$K$6:$K$71,1))*(INDEX($L$6:$L$71,MATCH(B39,$K$6:$K$71,1)+1)/INDEX($L$6:$L$71,MATCH(B39,$K$6:$K$71,1)))^((B39-INDEX($K$6:$K$71,MATCH(B39,$K$6:$K$71,1)))/(INDEX($K$6:$K$71,MATCH(B39,$K$6:$K$71,1)+1)-INDEX($K$6:$K$71,MATCH(B39,$K$6:$K$71,1)))),INDEX($L$6:$L$71,MATCH(B39,$K$6:$K$71,1))),"")</f>
        <v/>
      </c>
      <c r="F39" s="44">
        <f>IF(A39&lt;=$B$9,$B$6*$B$11/100*D39,"")</f>
        <v/>
      </c>
      <c r="G39" s="44">
        <f>IF(A39&lt;=$B$9,F39*E39,"")</f>
        <v/>
      </c>
      <c r="H39" s="34">
        <f>IF(A39&lt;=$B$9,D39*E39,"")</f>
        <v/>
      </c>
      <c r="K39" s="101">
        <f>Bootstrap!B40</f>
        <v/>
      </c>
      <c r="L39" s="27">
        <f>Bootstrap!H40</f>
        <v/>
      </c>
    </row>
    <row r="40">
      <c r="A40" s="43">
        <f>ROW()-35</f>
        <v/>
      </c>
      <c r="B40" s="18">
        <f>IF(A40&lt;=$B$9,IF(MONTH((EDATE($B$8,12*A40)+IF(WEEKDAY(EDATE($B$8,12*A40),2)=6,2,IF(WEEKDAY(EDATE($B$8,12*A40),2)=7,1,0))))&lt;&gt;MONTH(EDATE($B$8,12*A40)),(EDATE($B$8,12*A40)-IF(WEEKDAY(EDATE($B$8,12*A40),2)=6,1,IF(WEEKDAY(EDATE($B$8,12*A40),2)=7,2,0))),(EDATE($B$8,12*A40)+IF(WEEKDAY(EDATE($B$8,12*A40),2)=6,2,IF(WEEKDAY(EDATE($B$8,12*A40),2)=7,1,0)))),"")</f>
        <v/>
      </c>
      <c r="C40" s="18">
        <f>IF(A40&lt;=$B$9,B39,"")</f>
        <v/>
      </c>
      <c r="D40" s="17">
        <f>IF(A40&lt;=$B$9,(B40-C40)/360,"")</f>
        <v/>
      </c>
      <c r="E40" s="36">
        <f>IF(A40&lt;=$B$9,IFERROR(INDEX($L$6:$L$71,MATCH(B40,$K$6:$K$71,1))*(INDEX($L$6:$L$71,MATCH(B40,$K$6:$K$71,1)+1)/INDEX($L$6:$L$71,MATCH(B40,$K$6:$K$71,1)))^((B40-INDEX($K$6:$K$71,MATCH(B40,$K$6:$K$71,1)))/(INDEX($K$6:$K$71,MATCH(B40,$K$6:$K$71,1)+1)-INDEX($K$6:$K$71,MATCH(B40,$K$6:$K$71,1)))),INDEX($L$6:$L$71,MATCH(B40,$K$6:$K$71,1))),"")</f>
        <v/>
      </c>
      <c r="F40" s="44">
        <f>IF(A40&lt;=$B$9,$B$6*$B$11/100*D40,"")</f>
        <v/>
      </c>
      <c r="G40" s="44">
        <f>IF(A40&lt;=$B$9,F40*E40,"")</f>
        <v/>
      </c>
      <c r="H40" s="34">
        <f>IF(A40&lt;=$B$9,D40*E40,"")</f>
        <v/>
      </c>
      <c r="K40" s="102">
        <f>Bootstrap!B41</f>
        <v/>
      </c>
      <c r="L40" s="27">
        <f>Bootstrap!H41</f>
        <v/>
      </c>
    </row>
    <row r="41">
      <c r="A41" s="43">
        <f>ROW()-35</f>
        <v/>
      </c>
      <c r="B41" s="18">
        <f>IF(A41&lt;=$B$9,IF(MONTH((EDATE($B$8,12*A41)+IF(WEEKDAY(EDATE($B$8,12*A41),2)=6,2,IF(WEEKDAY(EDATE($B$8,12*A41),2)=7,1,0))))&lt;&gt;MONTH(EDATE($B$8,12*A41)),(EDATE($B$8,12*A41)-IF(WEEKDAY(EDATE($B$8,12*A41),2)=6,1,IF(WEEKDAY(EDATE($B$8,12*A41),2)=7,2,0))),(EDATE($B$8,12*A41)+IF(WEEKDAY(EDATE($B$8,12*A41),2)=6,2,IF(WEEKDAY(EDATE($B$8,12*A41),2)=7,1,0)))),"")</f>
        <v/>
      </c>
      <c r="C41" s="18">
        <f>IF(A41&lt;=$B$9,B40,"")</f>
        <v/>
      </c>
      <c r="D41" s="17">
        <f>IF(A41&lt;=$B$9,(B41-C41)/360,"")</f>
        <v/>
      </c>
      <c r="E41" s="36">
        <f>IF(A41&lt;=$B$9,IFERROR(INDEX($L$6:$L$71,MATCH(B41,$K$6:$K$71,1))*(INDEX($L$6:$L$71,MATCH(B41,$K$6:$K$71,1)+1)/INDEX($L$6:$L$71,MATCH(B41,$K$6:$K$71,1)))^((B41-INDEX($K$6:$K$71,MATCH(B41,$K$6:$K$71,1)))/(INDEX($K$6:$K$71,MATCH(B41,$K$6:$K$71,1)+1)-INDEX($K$6:$K$71,MATCH(B41,$K$6:$K$71,1)))),INDEX($L$6:$L$71,MATCH(B41,$K$6:$K$71,1))),"")</f>
        <v/>
      </c>
      <c r="F41" s="44">
        <f>IF(A41&lt;=$B$9,$B$6*$B$11/100*D41,"")</f>
        <v/>
      </c>
      <c r="G41" s="44">
        <f>IF(A41&lt;=$B$9,F41*E41,"")</f>
        <v/>
      </c>
      <c r="H41" s="34">
        <f>IF(A41&lt;=$B$9,D41*E41,"")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8">
        <f>IF(A42&lt;=$B$9,IF(MONTH((EDATE($B$8,12*A42)+IF(WEEKDAY(EDATE($B$8,12*A42),2)=6,2,IF(WEEKDAY(EDATE($B$8,12*A42),2)=7,1,0))))&lt;&gt;MONTH(EDATE($B$8,12*A42)),(EDATE($B$8,12*A42)-IF(WEEKDAY(EDATE($B$8,12*A42),2)=6,1,IF(WEEKDAY(EDATE($B$8,12*A42),2)=7,2,0))),(EDATE($B$8,12*A42)+IF(WEEKDAY(EDATE($B$8,12*A42),2)=6,2,IF(WEEKDAY(EDATE($B$8,12*A42),2)=7,1,0)))),"")</f>
        <v/>
      </c>
      <c r="C42" s="18">
        <f>IF(A42&lt;=$B$9,B41,"")</f>
        <v/>
      </c>
      <c r="D42" s="17">
        <f>IF(A42&lt;=$B$9,(B42-C42)/360,"")</f>
        <v/>
      </c>
      <c r="E42" s="36">
        <f>IF(A42&lt;=$B$9,IFERROR(INDEX($L$6:$L$71,MATCH(B42,$K$6:$K$71,1))*(INDEX($L$6:$L$71,MATCH(B42,$K$6:$K$71,1)+1)/INDEX($L$6:$L$71,MATCH(B42,$K$6:$K$71,1)))^((B42-INDEX($K$6:$K$71,MATCH(B42,$K$6:$K$71,1)))/(INDEX($K$6:$K$71,MATCH(B42,$K$6:$K$71,1)+1)-INDEX($K$6:$K$71,MATCH(B42,$K$6:$K$71,1)))),INDEX($L$6:$L$71,MATCH(B42,$K$6:$K$71,1))),"")</f>
        <v/>
      </c>
      <c r="F42" s="44">
        <f>IF(A42&lt;=$B$9,$B$6*$B$11/100*D42,"")</f>
        <v/>
      </c>
      <c r="G42" s="44">
        <f>IF(A42&lt;=$B$9,F42*E42,"")</f>
        <v/>
      </c>
      <c r="H42" s="34">
        <f>IF(A42&lt;=$B$9,D42*E42,"")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8">
        <f>IF(A43&lt;=$B$9,IF(MONTH((EDATE($B$8,12*A43)+IF(WEEKDAY(EDATE($B$8,12*A43),2)=6,2,IF(WEEKDAY(EDATE($B$8,12*A43),2)=7,1,0))))&lt;&gt;MONTH(EDATE($B$8,12*A43)),(EDATE($B$8,12*A43)-IF(WEEKDAY(EDATE($B$8,12*A43),2)=6,1,IF(WEEKDAY(EDATE($B$8,12*A43),2)=7,2,0))),(EDATE($B$8,12*A43)+IF(WEEKDAY(EDATE($B$8,12*A43),2)=6,2,IF(WEEKDAY(EDATE($B$8,12*A43),2)=7,1,0)))),"")</f>
        <v/>
      </c>
      <c r="C43" s="18">
        <f>IF(A43&lt;=$B$9,B42,"")</f>
        <v/>
      </c>
      <c r="D43" s="17">
        <f>IF(A43&lt;=$B$9,(B43-C43)/360,"")</f>
        <v/>
      </c>
      <c r="E43" s="36">
        <f>IF(A43&lt;=$B$9,IFERROR(INDEX($L$6:$L$71,MATCH(B43,$K$6:$K$71,1))*(INDEX($L$6:$L$71,MATCH(B43,$K$6:$K$71,1)+1)/INDEX($L$6:$L$71,MATCH(B43,$K$6:$K$71,1)))^((B43-INDEX($K$6:$K$71,MATCH(B43,$K$6:$K$71,1)))/(INDEX($K$6:$K$71,MATCH(B43,$K$6:$K$71,1)+1)-INDEX($K$6:$K$71,MATCH(B43,$K$6:$K$71,1)))),INDEX($L$6:$L$71,MATCH(B43,$K$6:$K$71,1))),"")</f>
        <v/>
      </c>
      <c r="F43" s="44">
        <f>IF(A43&lt;=$B$9,$B$6*$B$11/100*D43,"")</f>
        <v/>
      </c>
      <c r="G43" s="44">
        <f>IF(A43&lt;=$B$9,F43*E43,"")</f>
        <v/>
      </c>
      <c r="H43" s="34">
        <f>IF(A43&lt;=$B$9,D43*E43,"")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8">
        <f>IF(A44&lt;=$B$9,IF(MONTH((EDATE($B$8,12*A44)+IF(WEEKDAY(EDATE($B$8,12*A44),2)=6,2,IF(WEEKDAY(EDATE($B$8,12*A44),2)=7,1,0))))&lt;&gt;MONTH(EDATE($B$8,12*A44)),(EDATE($B$8,12*A44)-IF(WEEKDAY(EDATE($B$8,12*A44),2)=6,1,IF(WEEKDAY(EDATE($B$8,12*A44),2)=7,2,0))),(EDATE($B$8,12*A44)+IF(WEEKDAY(EDATE($B$8,12*A44),2)=6,2,IF(WEEKDAY(EDATE($B$8,12*A44),2)=7,1,0)))),"")</f>
        <v/>
      </c>
      <c r="C44" s="18">
        <f>IF(A44&lt;=$B$9,B43,"")</f>
        <v/>
      </c>
      <c r="D44" s="17">
        <f>IF(A44&lt;=$B$9,(B44-C44)/360,"")</f>
        <v/>
      </c>
      <c r="E44" s="36">
        <f>IF(A44&lt;=$B$9,IFERROR(INDEX($L$6:$L$71,MATCH(B44,$K$6:$K$71,1))*(INDEX($L$6:$L$71,MATCH(B44,$K$6:$K$71,1)+1)/INDEX($L$6:$L$71,MATCH(B44,$K$6:$K$71,1)))^((B44-INDEX($K$6:$K$71,MATCH(B44,$K$6:$K$71,1)))/(INDEX($K$6:$K$71,MATCH(B44,$K$6:$K$71,1)+1)-INDEX($K$6:$K$71,MATCH(B44,$K$6:$K$71,1)))),INDEX($L$6:$L$71,MATCH(B44,$K$6:$K$71,1))),"")</f>
        <v/>
      </c>
      <c r="F44" s="44">
        <f>IF(A44&lt;=$B$9,$B$6*$B$11/100*D44,"")</f>
        <v/>
      </c>
      <c r="G44" s="44">
        <f>IF(A44&lt;=$B$9,F44*E44,"")</f>
        <v/>
      </c>
      <c r="H44" s="34">
        <f>IF(A44&lt;=$B$9,D44*E44,"")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8">
        <f>IF(A45&lt;=$B$9,IF(MONTH((EDATE($B$8,12*A45)+IF(WEEKDAY(EDATE($B$8,12*A45),2)=6,2,IF(WEEKDAY(EDATE($B$8,12*A45),2)=7,1,0))))&lt;&gt;MONTH(EDATE($B$8,12*A45)),(EDATE($B$8,12*A45)-IF(WEEKDAY(EDATE($B$8,12*A45),2)=6,1,IF(WEEKDAY(EDATE($B$8,12*A45),2)=7,2,0))),(EDATE($B$8,12*A45)+IF(WEEKDAY(EDATE($B$8,12*A45),2)=6,2,IF(WEEKDAY(EDATE($B$8,12*A45),2)=7,1,0)))),"")</f>
        <v/>
      </c>
      <c r="C45" s="18">
        <f>IF(A45&lt;=$B$9,B44,"")</f>
        <v/>
      </c>
      <c r="D45" s="17">
        <f>IF(A45&lt;=$B$9,(B45-C45)/360,"")</f>
        <v/>
      </c>
      <c r="E45" s="36">
        <f>IF(A45&lt;=$B$9,IFERROR(INDEX($L$6:$L$71,MATCH(B45,$K$6:$K$71,1))*(INDEX($L$6:$L$71,MATCH(B45,$K$6:$K$71,1)+1)/INDEX($L$6:$L$71,MATCH(B45,$K$6:$K$71,1)))^((B45-INDEX($K$6:$K$71,MATCH(B45,$K$6:$K$71,1)))/(INDEX($K$6:$K$71,MATCH(B45,$K$6:$K$71,1)+1)-INDEX($K$6:$K$71,MATCH(B45,$K$6:$K$71,1)))),INDEX($L$6:$L$71,MATCH(B45,$K$6:$K$71,1))),"")</f>
        <v/>
      </c>
      <c r="F45" s="44">
        <f>IF(A45&lt;=$B$9,$B$6*$B$11/100*D45,"")</f>
        <v/>
      </c>
      <c r="G45" s="44">
        <f>IF(A45&lt;=$B$9,F45*E45,"")</f>
        <v/>
      </c>
      <c r="H45" s="34">
        <f>IF(A45&lt;=$B$9,D45*E45,"")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8">
        <f>IF(A46&lt;=$B$9,IF(MONTH((EDATE($B$8,12*A46)+IF(WEEKDAY(EDATE($B$8,12*A46),2)=6,2,IF(WEEKDAY(EDATE($B$8,12*A46),2)=7,1,0))))&lt;&gt;MONTH(EDATE($B$8,12*A46)),(EDATE($B$8,12*A46)-IF(WEEKDAY(EDATE($B$8,12*A46),2)=6,1,IF(WEEKDAY(EDATE($B$8,12*A46),2)=7,2,0))),(EDATE($B$8,12*A46)+IF(WEEKDAY(EDATE($B$8,12*A46),2)=6,2,IF(WEEKDAY(EDATE($B$8,12*A46),2)=7,1,0)))),"")</f>
        <v/>
      </c>
      <c r="C46" s="18">
        <f>IF(A46&lt;=$B$9,B45,"")</f>
        <v/>
      </c>
      <c r="D46" s="17">
        <f>IF(A46&lt;=$B$9,(B46-C46)/360,"")</f>
        <v/>
      </c>
      <c r="E46" s="36">
        <f>IF(A46&lt;=$B$9,IFERROR(INDEX($L$6:$L$71,MATCH(B46,$K$6:$K$71,1))*(INDEX($L$6:$L$71,MATCH(B46,$K$6:$K$71,1)+1)/INDEX($L$6:$L$71,MATCH(B46,$K$6:$K$71,1)))^((B46-INDEX($K$6:$K$71,MATCH(B46,$K$6:$K$71,1)))/(INDEX($K$6:$K$71,MATCH(B46,$K$6:$K$71,1)+1)-INDEX($K$6:$K$71,MATCH(B46,$K$6:$K$71,1)))),INDEX($L$6:$L$71,MATCH(B46,$K$6:$K$71,1))),"")</f>
        <v/>
      </c>
      <c r="F46" s="44">
        <f>IF(A46&lt;=$B$9,$B$6*$B$11/100*D46,"")</f>
        <v/>
      </c>
      <c r="G46" s="44">
        <f>IF(A46&lt;=$B$9,F46*E46,"")</f>
        <v/>
      </c>
      <c r="H46" s="34">
        <f>IF(A46&lt;=$B$9,D46*E46,"")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8">
        <f>IF(A47&lt;=$B$9,IF(MONTH((EDATE($B$8,12*A47)+IF(WEEKDAY(EDATE($B$8,12*A47),2)=6,2,IF(WEEKDAY(EDATE($B$8,12*A47),2)=7,1,0))))&lt;&gt;MONTH(EDATE($B$8,12*A47)),(EDATE($B$8,12*A47)-IF(WEEKDAY(EDATE($B$8,12*A47),2)=6,1,IF(WEEKDAY(EDATE($B$8,12*A47),2)=7,2,0))),(EDATE($B$8,12*A47)+IF(WEEKDAY(EDATE($B$8,12*A47),2)=6,2,IF(WEEKDAY(EDATE($B$8,12*A47),2)=7,1,0)))),"")</f>
        <v/>
      </c>
      <c r="C47" s="18">
        <f>IF(A47&lt;=$B$9,B46,"")</f>
        <v/>
      </c>
      <c r="D47" s="17">
        <f>IF(A47&lt;=$B$9,(B47-C47)/360,"")</f>
        <v/>
      </c>
      <c r="E47" s="36">
        <f>IF(A47&lt;=$B$9,IFERROR(INDEX($L$6:$L$71,MATCH(B47,$K$6:$K$71,1))*(INDEX($L$6:$L$71,MATCH(B47,$K$6:$K$71,1)+1)/INDEX($L$6:$L$71,MATCH(B47,$K$6:$K$71,1)))^((B47-INDEX($K$6:$K$71,MATCH(B47,$K$6:$K$71,1)))/(INDEX($K$6:$K$71,MATCH(B47,$K$6:$K$71,1)+1)-INDEX($K$6:$K$71,MATCH(B47,$K$6:$K$71,1)))),INDEX($L$6:$L$71,MATCH(B47,$K$6:$K$71,1))),"")</f>
        <v/>
      </c>
      <c r="F47" s="44">
        <f>IF(A47&lt;=$B$9,$B$6*$B$11/100*D47,"")</f>
        <v/>
      </c>
      <c r="G47" s="44">
        <f>IF(A47&lt;=$B$9,F47*E47,"")</f>
        <v/>
      </c>
      <c r="H47" s="34">
        <f>IF(A47&lt;=$B$9,D47*E47,"")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8">
        <f>IF(A48&lt;=$B$9,IF(MONTH((EDATE($B$8,12*A48)+IF(WEEKDAY(EDATE($B$8,12*A48),2)=6,2,IF(WEEKDAY(EDATE($B$8,12*A48),2)=7,1,0))))&lt;&gt;MONTH(EDATE($B$8,12*A48)),(EDATE($B$8,12*A48)-IF(WEEKDAY(EDATE($B$8,12*A48),2)=6,1,IF(WEEKDAY(EDATE($B$8,12*A48),2)=7,2,0))),(EDATE($B$8,12*A48)+IF(WEEKDAY(EDATE($B$8,12*A48),2)=6,2,IF(WEEKDAY(EDATE($B$8,12*A48),2)=7,1,0)))),"")</f>
        <v/>
      </c>
      <c r="C48" s="18">
        <f>IF(A48&lt;=$B$9,B47,"")</f>
        <v/>
      </c>
      <c r="D48" s="17">
        <f>IF(A48&lt;=$B$9,(B48-C48)/360,"")</f>
        <v/>
      </c>
      <c r="E48" s="36">
        <f>IF(A48&lt;=$B$9,IFERROR(INDEX($L$6:$L$71,MATCH(B48,$K$6:$K$71,1))*(INDEX($L$6:$L$71,MATCH(B48,$K$6:$K$71,1)+1)/INDEX($L$6:$L$71,MATCH(B48,$K$6:$K$71,1)))^((B48-INDEX($K$6:$K$71,MATCH(B48,$K$6:$K$71,1)))/(INDEX($K$6:$K$71,MATCH(B48,$K$6:$K$71,1)+1)-INDEX($K$6:$K$71,MATCH(B48,$K$6:$K$71,1)))),INDEX($L$6:$L$71,MATCH(B48,$K$6:$K$71,1))),"")</f>
        <v/>
      </c>
      <c r="F48" s="44">
        <f>IF(A48&lt;=$B$9,$B$6*$B$11/100*D48,"")</f>
        <v/>
      </c>
      <c r="G48" s="44">
        <f>IF(A48&lt;=$B$9,F48*E48,"")</f>
        <v/>
      </c>
      <c r="H48" s="34">
        <f>IF(A48&lt;=$B$9,D48*E48,"")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8">
        <f>IF(A49&lt;=$B$9,IF(MONTH((EDATE($B$8,12*A49)+IF(WEEKDAY(EDATE($B$8,12*A49),2)=6,2,IF(WEEKDAY(EDATE($B$8,12*A49),2)=7,1,0))))&lt;&gt;MONTH(EDATE($B$8,12*A49)),(EDATE($B$8,12*A49)-IF(WEEKDAY(EDATE($B$8,12*A49),2)=6,1,IF(WEEKDAY(EDATE($B$8,12*A49),2)=7,2,0))),(EDATE($B$8,12*A49)+IF(WEEKDAY(EDATE($B$8,12*A49),2)=6,2,IF(WEEKDAY(EDATE($B$8,12*A49),2)=7,1,0)))),"")</f>
        <v/>
      </c>
      <c r="C49" s="18">
        <f>IF(A49&lt;=$B$9,B48,"")</f>
        <v/>
      </c>
      <c r="D49" s="17">
        <f>IF(A49&lt;=$B$9,(B49-C49)/360,"")</f>
        <v/>
      </c>
      <c r="E49" s="36">
        <f>IF(A49&lt;=$B$9,IFERROR(INDEX($L$6:$L$71,MATCH(B49,$K$6:$K$71,1))*(INDEX($L$6:$L$71,MATCH(B49,$K$6:$K$71,1)+1)/INDEX($L$6:$L$71,MATCH(B49,$K$6:$K$71,1)))^((B49-INDEX($K$6:$K$71,MATCH(B49,$K$6:$K$71,1)))/(INDEX($K$6:$K$71,MATCH(B49,$K$6:$K$71,1)+1)-INDEX($K$6:$K$71,MATCH(B49,$K$6:$K$71,1)))),INDEX($L$6:$L$71,MATCH(B49,$K$6:$K$71,1))),"")</f>
        <v/>
      </c>
      <c r="F49" s="44">
        <f>IF(A49&lt;=$B$9,$B$6*$B$11/100*D49,"")</f>
        <v/>
      </c>
      <c r="G49" s="44">
        <f>IF(A49&lt;=$B$9,F49*E49,"")</f>
        <v/>
      </c>
      <c r="H49" s="34">
        <f>IF(A49&lt;=$B$9,D49*E49,"")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8">
        <f>IF(A50&lt;=$B$9,IF(MONTH((EDATE($B$8,12*A50)+IF(WEEKDAY(EDATE($B$8,12*A50),2)=6,2,IF(WEEKDAY(EDATE($B$8,12*A50),2)=7,1,0))))&lt;&gt;MONTH(EDATE($B$8,12*A50)),(EDATE($B$8,12*A50)-IF(WEEKDAY(EDATE($B$8,12*A50),2)=6,1,IF(WEEKDAY(EDATE($B$8,12*A50),2)=7,2,0))),(EDATE($B$8,12*A50)+IF(WEEKDAY(EDATE($B$8,12*A50),2)=6,2,IF(WEEKDAY(EDATE($B$8,12*A50),2)=7,1,0)))),"")</f>
        <v/>
      </c>
      <c r="C50" s="18">
        <f>IF(A50&lt;=$B$9,B49,"")</f>
        <v/>
      </c>
      <c r="D50" s="17">
        <f>IF(A50&lt;=$B$9,(B50-C50)/360,"")</f>
        <v/>
      </c>
      <c r="E50" s="36">
        <f>IF(A50&lt;=$B$9,IFERROR(INDEX($L$6:$L$71,MATCH(B50,$K$6:$K$71,1))*(INDEX($L$6:$L$71,MATCH(B50,$K$6:$K$71,1)+1)/INDEX($L$6:$L$71,MATCH(B50,$K$6:$K$71,1)))^((B50-INDEX($K$6:$K$71,MATCH(B50,$K$6:$K$71,1)))/(INDEX($K$6:$K$71,MATCH(B50,$K$6:$K$71,1)+1)-INDEX($K$6:$K$71,MATCH(B50,$K$6:$K$71,1)))),INDEX($L$6:$L$71,MATCH(B50,$K$6:$K$71,1))),"")</f>
        <v/>
      </c>
      <c r="F50" s="44">
        <f>IF(A50&lt;=$B$9,$B$6*$B$11/100*D50,"")</f>
        <v/>
      </c>
      <c r="G50" s="44">
        <f>IF(A50&lt;=$B$9,F50*E50,"")</f>
        <v/>
      </c>
      <c r="H50" s="34">
        <f>IF(A50&lt;=$B$9,D50*E50,"")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8">
        <f>IF(A51&lt;=$B$9,IF(MONTH((EDATE($B$8,12*A51)+IF(WEEKDAY(EDATE($B$8,12*A51),2)=6,2,IF(WEEKDAY(EDATE($B$8,12*A51),2)=7,1,0))))&lt;&gt;MONTH(EDATE($B$8,12*A51)),(EDATE($B$8,12*A51)-IF(WEEKDAY(EDATE($B$8,12*A51),2)=6,1,IF(WEEKDAY(EDATE($B$8,12*A51),2)=7,2,0))),(EDATE($B$8,12*A51)+IF(WEEKDAY(EDATE($B$8,12*A51),2)=6,2,IF(WEEKDAY(EDATE($B$8,12*A51),2)=7,1,0)))),"")</f>
        <v/>
      </c>
      <c r="C51" s="18">
        <f>IF(A51&lt;=$B$9,B50,"")</f>
        <v/>
      </c>
      <c r="D51" s="17">
        <f>IF(A51&lt;=$B$9,(B51-C51)/360,"")</f>
        <v/>
      </c>
      <c r="E51" s="36">
        <f>IF(A51&lt;=$B$9,IFERROR(INDEX($L$6:$L$71,MATCH(B51,$K$6:$K$71,1))*(INDEX($L$6:$L$71,MATCH(B51,$K$6:$K$71,1)+1)/INDEX($L$6:$L$71,MATCH(B51,$K$6:$K$71,1)))^((B51-INDEX($K$6:$K$71,MATCH(B51,$K$6:$K$71,1)))/(INDEX($K$6:$K$71,MATCH(B51,$K$6:$K$71,1)+1)-INDEX($K$6:$K$71,MATCH(B51,$K$6:$K$71,1)))),INDEX($L$6:$L$71,MATCH(B51,$K$6:$K$71,1))),"")</f>
        <v/>
      </c>
      <c r="F51" s="44">
        <f>IF(A51&lt;=$B$9,$B$6*$B$11/100*D51,"")</f>
        <v/>
      </c>
      <c r="G51" s="44">
        <f>IF(A51&lt;=$B$9,F51*E51,"")</f>
        <v/>
      </c>
      <c r="H51" s="34">
        <f>IF(A51&lt;=$B$9,D51*E51,"")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8">
        <f>IF(A52&lt;=$B$9,IF(MONTH((EDATE($B$8,12*A52)+IF(WEEKDAY(EDATE($B$8,12*A52),2)=6,2,IF(WEEKDAY(EDATE($B$8,12*A52),2)=7,1,0))))&lt;&gt;MONTH(EDATE($B$8,12*A52)),(EDATE($B$8,12*A52)-IF(WEEKDAY(EDATE($B$8,12*A52),2)=6,1,IF(WEEKDAY(EDATE($B$8,12*A52),2)=7,2,0))),(EDATE($B$8,12*A52)+IF(WEEKDAY(EDATE($B$8,12*A52),2)=6,2,IF(WEEKDAY(EDATE($B$8,12*A52),2)=7,1,0)))),"")</f>
        <v/>
      </c>
      <c r="C52" s="18">
        <f>IF(A52&lt;=$B$9,B51,"")</f>
        <v/>
      </c>
      <c r="D52" s="17">
        <f>IF(A52&lt;=$B$9,(B52-C52)/360,"")</f>
        <v/>
      </c>
      <c r="E52" s="36">
        <f>IF(A52&lt;=$B$9,IFERROR(INDEX($L$6:$L$71,MATCH(B52,$K$6:$K$71,1))*(INDEX($L$6:$L$71,MATCH(B52,$K$6:$K$71,1)+1)/INDEX($L$6:$L$71,MATCH(B52,$K$6:$K$71,1)))^((B52-INDEX($K$6:$K$71,MATCH(B52,$K$6:$K$71,1)))/(INDEX($K$6:$K$71,MATCH(B52,$K$6:$K$71,1)+1)-INDEX($K$6:$K$71,MATCH(B52,$K$6:$K$71,1)))),INDEX($L$6:$L$71,MATCH(B52,$K$6:$K$71,1))),"")</f>
        <v/>
      </c>
      <c r="F52" s="44">
        <f>IF(A52&lt;=$B$9,$B$6*$B$11/100*D52,"")</f>
        <v/>
      </c>
      <c r="G52" s="44">
        <f>IF(A52&lt;=$B$9,F52*E52,"")</f>
        <v/>
      </c>
      <c r="H52" s="34">
        <f>IF(A52&lt;=$B$9,D52*E52,"")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8">
        <f>IF(A53&lt;=$B$9,IF(MONTH((EDATE($B$8,12*A53)+IF(WEEKDAY(EDATE($B$8,12*A53),2)=6,2,IF(WEEKDAY(EDATE($B$8,12*A53),2)=7,1,0))))&lt;&gt;MONTH(EDATE($B$8,12*A53)),(EDATE($B$8,12*A53)-IF(WEEKDAY(EDATE($B$8,12*A53),2)=6,1,IF(WEEKDAY(EDATE($B$8,12*A53),2)=7,2,0))),(EDATE($B$8,12*A53)+IF(WEEKDAY(EDATE($B$8,12*A53),2)=6,2,IF(WEEKDAY(EDATE($B$8,12*A53),2)=7,1,0)))),"")</f>
        <v/>
      </c>
      <c r="C53" s="18">
        <f>IF(A53&lt;=$B$9,B52,"")</f>
        <v/>
      </c>
      <c r="D53" s="17">
        <f>IF(A53&lt;=$B$9,(B53-C53)/360,"")</f>
        <v/>
      </c>
      <c r="E53" s="36">
        <f>IF(A53&lt;=$B$9,IFERROR(INDEX($L$6:$L$71,MATCH(B53,$K$6:$K$71,1))*(INDEX($L$6:$L$71,MATCH(B53,$K$6:$K$71,1)+1)/INDEX($L$6:$L$71,MATCH(B53,$K$6:$K$71,1)))^((B53-INDEX($K$6:$K$71,MATCH(B53,$K$6:$K$71,1)))/(INDEX($K$6:$K$71,MATCH(B53,$K$6:$K$71,1)+1)-INDEX($K$6:$K$71,MATCH(B53,$K$6:$K$71,1)))),INDEX($L$6:$L$71,MATCH(B53,$K$6:$K$71,1))),"")</f>
        <v/>
      </c>
      <c r="F53" s="44">
        <f>IF(A53&lt;=$B$9,$B$6*$B$11/100*D53,"")</f>
        <v/>
      </c>
      <c r="G53" s="44">
        <f>IF(A53&lt;=$B$9,F53*E53,"")</f>
        <v/>
      </c>
      <c r="H53" s="34">
        <f>IF(A53&lt;=$B$9,D53*E53,"")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8">
        <f>IF(A54&lt;=$B$9,IF(MONTH((EDATE($B$8,12*A54)+IF(WEEKDAY(EDATE($B$8,12*A54),2)=6,2,IF(WEEKDAY(EDATE($B$8,12*A54),2)=7,1,0))))&lt;&gt;MONTH(EDATE($B$8,12*A54)),(EDATE($B$8,12*A54)-IF(WEEKDAY(EDATE($B$8,12*A54),2)=6,1,IF(WEEKDAY(EDATE($B$8,12*A54),2)=7,2,0))),(EDATE($B$8,12*A54)+IF(WEEKDAY(EDATE($B$8,12*A54),2)=6,2,IF(WEEKDAY(EDATE($B$8,12*A54),2)=7,1,0)))),"")</f>
        <v/>
      </c>
      <c r="C54" s="18">
        <f>IF(A54&lt;=$B$9,B53,"")</f>
        <v/>
      </c>
      <c r="D54" s="17">
        <f>IF(A54&lt;=$B$9,(B54-C54)/360,"")</f>
        <v/>
      </c>
      <c r="E54" s="36">
        <f>IF(A54&lt;=$B$9,IFERROR(INDEX($L$6:$L$71,MATCH(B54,$K$6:$K$71,1))*(INDEX($L$6:$L$71,MATCH(B54,$K$6:$K$71,1)+1)/INDEX($L$6:$L$71,MATCH(B54,$K$6:$K$71,1)))^((B54-INDEX($K$6:$K$71,MATCH(B54,$K$6:$K$71,1)))/(INDEX($K$6:$K$71,MATCH(B54,$K$6:$K$71,1)+1)-INDEX($K$6:$K$71,MATCH(B54,$K$6:$K$71,1)))),INDEX($L$6:$L$71,MATCH(B54,$K$6:$K$71,1))),"")</f>
        <v/>
      </c>
      <c r="F54" s="44">
        <f>IF(A54&lt;=$B$9,$B$6*$B$11/100*D54,"")</f>
        <v/>
      </c>
      <c r="G54" s="44">
        <f>IF(A54&lt;=$B$9,F54*E54,"")</f>
        <v/>
      </c>
      <c r="H54" s="34">
        <f>IF(A54&lt;=$B$9,D54*E54,"")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8">
        <f>IF(A55&lt;=$B$9,IF(MONTH((EDATE($B$8,12*A55)+IF(WEEKDAY(EDATE($B$8,12*A55),2)=6,2,IF(WEEKDAY(EDATE($B$8,12*A55),2)=7,1,0))))&lt;&gt;MONTH(EDATE($B$8,12*A55)),(EDATE($B$8,12*A55)-IF(WEEKDAY(EDATE($B$8,12*A55),2)=6,1,IF(WEEKDAY(EDATE($B$8,12*A55),2)=7,2,0))),(EDATE($B$8,12*A55)+IF(WEEKDAY(EDATE($B$8,12*A55),2)=6,2,IF(WEEKDAY(EDATE($B$8,12*A55),2)=7,1,0)))),"")</f>
        <v/>
      </c>
      <c r="C55" s="18">
        <f>IF(A55&lt;=$B$9,B54,"")</f>
        <v/>
      </c>
      <c r="D55" s="17">
        <f>IF(A55&lt;=$B$9,(B55-C55)/360,"")</f>
        <v/>
      </c>
      <c r="E55" s="36">
        <f>IF(A55&lt;=$B$9,IFERROR(INDEX($L$6:$L$71,MATCH(B55,$K$6:$K$71,1))*(INDEX($L$6:$L$71,MATCH(B55,$K$6:$K$71,1)+1)/INDEX($L$6:$L$71,MATCH(B55,$K$6:$K$71,1)))^((B55-INDEX($K$6:$K$71,MATCH(B55,$K$6:$K$71,1)))/(INDEX($K$6:$K$71,MATCH(B55,$K$6:$K$71,1)+1)-INDEX($K$6:$K$71,MATCH(B55,$K$6:$K$71,1)))),INDEX($L$6:$L$71,MATCH(B55,$K$6:$K$71,1))),"")</f>
        <v/>
      </c>
      <c r="F55" s="44">
        <f>IF(A55&lt;=$B$9,$B$6*$B$11/100*D55,"")</f>
        <v/>
      </c>
      <c r="G55" s="44">
        <f>IF(A55&lt;=$B$9,F55*E55,"")</f>
        <v/>
      </c>
      <c r="H55" s="34">
        <f>IF(A55&lt;=$B$9,D55*E55,"")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8">
        <f>IF(A56&lt;=$B$9,IF(MONTH((EDATE($B$8,12*A56)+IF(WEEKDAY(EDATE($B$8,12*A56),2)=6,2,IF(WEEKDAY(EDATE($B$8,12*A56),2)=7,1,0))))&lt;&gt;MONTH(EDATE($B$8,12*A56)),(EDATE($B$8,12*A56)-IF(WEEKDAY(EDATE($B$8,12*A56),2)=6,1,IF(WEEKDAY(EDATE($B$8,12*A56),2)=7,2,0))),(EDATE($B$8,12*A56)+IF(WEEKDAY(EDATE($B$8,12*A56),2)=6,2,IF(WEEKDAY(EDATE($B$8,12*A56),2)=7,1,0)))),"")</f>
        <v/>
      </c>
      <c r="C56" s="18">
        <f>IF(A56&lt;=$B$9,B55,"")</f>
        <v/>
      </c>
      <c r="D56" s="17">
        <f>IF(A56&lt;=$B$9,(B56-C56)/360,"")</f>
        <v/>
      </c>
      <c r="E56" s="36">
        <f>IF(A56&lt;=$B$9,IFERROR(INDEX($L$6:$L$71,MATCH(B56,$K$6:$K$71,1))*(INDEX($L$6:$L$71,MATCH(B56,$K$6:$K$71,1)+1)/INDEX($L$6:$L$71,MATCH(B56,$K$6:$K$71,1)))^((B56-INDEX($K$6:$K$71,MATCH(B56,$K$6:$K$71,1)))/(INDEX($K$6:$K$71,MATCH(B56,$K$6:$K$71,1)+1)-INDEX($K$6:$K$71,MATCH(B56,$K$6:$K$71,1)))),INDEX($L$6:$L$71,MATCH(B56,$K$6:$K$71,1))),"")</f>
        <v/>
      </c>
      <c r="F56" s="44">
        <f>IF(A56&lt;=$B$9,$B$6*$B$11/100*D56,"")</f>
        <v/>
      </c>
      <c r="G56" s="44">
        <f>IF(A56&lt;=$B$9,F56*E56,"")</f>
        <v/>
      </c>
      <c r="H56" s="34">
        <f>IF(A56&lt;=$B$9,D56*E56,"")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8">
        <f>IF(A57&lt;=$B$9,IF(MONTH((EDATE($B$8,12*A57)+IF(WEEKDAY(EDATE($B$8,12*A57),2)=6,2,IF(WEEKDAY(EDATE($B$8,12*A57),2)=7,1,0))))&lt;&gt;MONTH(EDATE($B$8,12*A57)),(EDATE($B$8,12*A57)-IF(WEEKDAY(EDATE($B$8,12*A57),2)=6,1,IF(WEEKDAY(EDATE($B$8,12*A57),2)=7,2,0))),(EDATE($B$8,12*A57)+IF(WEEKDAY(EDATE($B$8,12*A57),2)=6,2,IF(WEEKDAY(EDATE($B$8,12*A57),2)=7,1,0)))),"")</f>
        <v/>
      </c>
      <c r="C57" s="18">
        <f>IF(A57&lt;=$B$9,B56,"")</f>
        <v/>
      </c>
      <c r="D57" s="17">
        <f>IF(A57&lt;=$B$9,(B57-C57)/360,"")</f>
        <v/>
      </c>
      <c r="E57" s="36">
        <f>IF(A57&lt;=$B$9,IFERROR(INDEX($L$6:$L$71,MATCH(B57,$K$6:$K$71,1))*(INDEX($L$6:$L$71,MATCH(B57,$K$6:$K$71,1)+1)/INDEX($L$6:$L$71,MATCH(B57,$K$6:$K$71,1)))^((B57-INDEX($K$6:$K$71,MATCH(B57,$K$6:$K$71,1)))/(INDEX($K$6:$K$71,MATCH(B57,$K$6:$K$71,1)+1)-INDEX($K$6:$K$71,MATCH(B57,$K$6:$K$71,1)))),INDEX($L$6:$L$71,MATCH(B57,$K$6:$K$71,1))),"")</f>
        <v/>
      </c>
      <c r="F57" s="44">
        <f>IF(A57&lt;=$B$9,$B$6*$B$11/100*D57,"")</f>
        <v/>
      </c>
      <c r="G57" s="44">
        <f>IF(A57&lt;=$B$9,F57*E57,"")</f>
        <v/>
      </c>
      <c r="H57" s="34">
        <f>IF(A57&lt;=$B$9,D57*E57,"")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8">
        <f>IF(A58&lt;=$B$9,IF(MONTH((EDATE($B$8,12*A58)+IF(WEEKDAY(EDATE($B$8,12*A58),2)=6,2,IF(WEEKDAY(EDATE($B$8,12*A58),2)=7,1,0))))&lt;&gt;MONTH(EDATE($B$8,12*A58)),(EDATE($B$8,12*A58)-IF(WEEKDAY(EDATE($B$8,12*A58),2)=6,1,IF(WEEKDAY(EDATE($B$8,12*A58),2)=7,2,0))),(EDATE($B$8,12*A58)+IF(WEEKDAY(EDATE($B$8,12*A58),2)=6,2,IF(WEEKDAY(EDATE($B$8,12*A58),2)=7,1,0)))),"")</f>
        <v/>
      </c>
      <c r="C58" s="18">
        <f>IF(A58&lt;=$B$9,B57,"")</f>
        <v/>
      </c>
      <c r="D58" s="17">
        <f>IF(A58&lt;=$B$9,(B58-C58)/360,"")</f>
        <v/>
      </c>
      <c r="E58" s="36">
        <f>IF(A58&lt;=$B$9,IFERROR(INDEX($L$6:$L$71,MATCH(B58,$K$6:$K$71,1))*(INDEX($L$6:$L$71,MATCH(B58,$K$6:$K$71,1)+1)/INDEX($L$6:$L$71,MATCH(B58,$K$6:$K$71,1)))^((B58-INDEX($K$6:$K$71,MATCH(B58,$K$6:$K$71,1)))/(INDEX($K$6:$K$71,MATCH(B58,$K$6:$K$71,1)+1)-INDEX($K$6:$K$71,MATCH(B58,$K$6:$K$71,1)))),INDEX($L$6:$L$71,MATCH(B58,$K$6:$K$71,1))),"")</f>
        <v/>
      </c>
      <c r="F58" s="44">
        <f>IF(A58&lt;=$B$9,$B$6*$B$11/100*D58,"")</f>
        <v/>
      </c>
      <c r="G58" s="44">
        <f>IF(A58&lt;=$B$9,F58*E58,"")</f>
        <v/>
      </c>
      <c r="H58" s="34">
        <f>IF(A58&lt;=$B$9,D58*E58,"")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8">
        <f>IF(A59&lt;=$B$9,IF(MONTH((EDATE($B$8,12*A59)+IF(WEEKDAY(EDATE($B$8,12*A59),2)=6,2,IF(WEEKDAY(EDATE($B$8,12*A59),2)=7,1,0))))&lt;&gt;MONTH(EDATE($B$8,12*A59)),(EDATE($B$8,12*A59)-IF(WEEKDAY(EDATE($B$8,12*A59),2)=6,1,IF(WEEKDAY(EDATE($B$8,12*A59),2)=7,2,0))),(EDATE($B$8,12*A59)+IF(WEEKDAY(EDATE($B$8,12*A59),2)=6,2,IF(WEEKDAY(EDATE($B$8,12*A59),2)=7,1,0)))),"")</f>
        <v/>
      </c>
      <c r="C59" s="18">
        <f>IF(A59&lt;=$B$9,B58,"")</f>
        <v/>
      </c>
      <c r="D59" s="17">
        <f>IF(A59&lt;=$B$9,(B59-C59)/360,"")</f>
        <v/>
      </c>
      <c r="E59" s="36">
        <f>IF(A59&lt;=$B$9,IFERROR(INDEX($L$6:$L$71,MATCH(B59,$K$6:$K$71,1))*(INDEX($L$6:$L$71,MATCH(B59,$K$6:$K$71,1)+1)/INDEX($L$6:$L$71,MATCH(B59,$K$6:$K$71,1)))^((B59-INDEX($K$6:$K$71,MATCH(B59,$K$6:$K$71,1)))/(INDEX($K$6:$K$71,MATCH(B59,$K$6:$K$71,1)+1)-INDEX($K$6:$K$71,MATCH(B59,$K$6:$K$71,1)))),INDEX($L$6:$L$71,MATCH(B59,$K$6:$K$71,1))),"")</f>
        <v/>
      </c>
      <c r="F59" s="44">
        <f>IF(A59&lt;=$B$9,$B$6*$B$11/100*D59,"")</f>
        <v/>
      </c>
      <c r="G59" s="44">
        <f>IF(A59&lt;=$B$9,F59*E59,"")</f>
        <v/>
      </c>
      <c r="H59" s="34">
        <f>IF(A59&lt;=$B$9,D59*E59,"")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8">
        <f>IF(A60&lt;=$B$9,IF(MONTH((EDATE($B$8,12*A60)+IF(WEEKDAY(EDATE($B$8,12*A60),2)=6,2,IF(WEEKDAY(EDATE($B$8,12*A60),2)=7,1,0))))&lt;&gt;MONTH(EDATE($B$8,12*A60)),(EDATE($B$8,12*A60)-IF(WEEKDAY(EDATE($B$8,12*A60),2)=6,1,IF(WEEKDAY(EDATE($B$8,12*A60),2)=7,2,0))),(EDATE($B$8,12*A60)+IF(WEEKDAY(EDATE($B$8,12*A60),2)=6,2,IF(WEEKDAY(EDATE($B$8,12*A60),2)=7,1,0)))),"")</f>
        <v/>
      </c>
      <c r="C60" s="18">
        <f>IF(A60&lt;=$B$9,B59,"")</f>
        <v/>
      </c>
      <c r="D60" s="17">
        <f>IF(A60&lt;=$B$9,(B60-C60)/360,"")</f>
        <v/>
      </c>
      <c r="E60" s="36">
        <f>IF(A60&lt;=$B$9,IFERROR(INDEX($L$6:$L$71,MATCH(B60,$K$6:$K$71,1))*(INDEX($L$6:$L$71,MATCH(B60,$K$6:$K$71,1)+1)/INDEX($L$6:$L$71,MATCH(B60,$K$6:$K$71,1)))^((B60-INDEX($K$6:$K$71,MATCH(B60,$K$6:$K$71,1)))/(INDEX($K$6:$K$71,MATCH(B60,$K$6:$K$71,1)+1)-INDEX($K$6:$K$71,MATCH(B60,$K$6:$K$71,1)))),INDEX($L$6:$L$71,MATCH(B60,$K$6:$K$71,1))),"")</f>
        <v/>
      </c>
      <c r="F60" s="44">
        <f>IF(A60&lt;=$B$9,$B$6*$B$11/100*D60,"")</f>
        <v/>
      </c>
      <c r="G60" s="44">
        <f>IF(A60&lt;=$B$9,F60*E60,"")</f>
        <v/>
      </c>
      <c r="H60" s="34">
        <f>IF(A60&lt;=$B$9,D60*E60,"")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8">
        <f>IF(A61&lt;=$B$9,IF(MONTH((EDATE($B$8,12*A61)+IF(WEEKDAY(EDATE($B$8,12*A61),2)=6,2,IF(WEEKDAY(EDATE($B$8,12*A61),2)=7,1,0))))&lt;&gt;MONTH(EDATE($B$8,12*A61)),(EDATE($B$8,12*A61)-IF(WEEKDAY(EDATE($B$8,12*A61),2)=6,1,IF(WEEKDAY(EDATE($B$8,12*A61),2)=7,2,0))),(EDATE($B$8,12*A61)+IF(WEEKDAY(EDATE($B$8,12*A61),2)=6,2,IF(WEEKDAY(EDATE($B$8,12*A61),2)=7,1,0)))),"")</f>
        <v/>
      </c>
      <c r="C61" s="18">
        <f>IF(A61&lt;=$B$9,B60,"")</f>
        <v/>
      </c>
      <c r="D61" s="17">
        <f>IF(A61&lt;=$B$9,(B61-C61)/360,"")</f>
        <v/>
      </c>
      <c r="E61" s="36">
        <f>IF(A61&lt;=$B$9,IFERROR(INDEX($L$6:$L$71,MATCH(B61,$K$6:$K$71,1))*(INDEX($L$6:$L$71,MATCH(B61,$K$6:$K$71,1)+1)/INDEX($L$6:$L$71,MATCH(B61,$K$6:$K$71,1)))^((B61-INDEX($K$6:$K$71,MATCH(B61,$K$6:$K$71,1)))/(INDEX($K$6:$K$71,MATCH(B61,$K$6:$K$71,1)+1)-INDEX($K$6:$K$71,MATCH(B61,$K$6:$K$71,1)))),INDEX($L$6:$L$71,MATCH(B61,$K$6:$K$71,1))),"")</f>
        <v/>
      </c>
      <c r="F61" s="44">
        <f>IF(A61&lt;=$B$9,$B$6*$B$11/100*D61,"")</f>
        <v/>
      </c>
      <c r="G61" s="44">
        <f>IF(A61&lt;=$B$9,F61*E61,"")</f>
        <v/>
      </c>
      <c r="H61" s="34">
        <f>IF(A61&lt;=$B$9,D61*E61,"")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8">
        <f>IF(A62&lt;=$B$9,IF(MONTH((EDATE($B$8,12*A62)+IF(WEEKDAY(EDATE($B$8,12*A62),2)=6,2,IF(WEEKDAY(EDATE($B$8,12*A62),2)=7,1,0))))&lt;&gt;MONTH(EDATE($B$8,12*A62)),(EDATE($B$8,12*A62)-IF(WEEKDAY(EDATE($B$8,12*A62),2)=6,1,IF(WEEKDAY(EDATE($B$8,12*A62),2)=7,2,0))),(EDATE($B$8,12*A62)+IF(WEEKDAY(EDATE($B$8,12*A62),2)=6,2,IF(WEEKDAY(EDATE($B$8,12*A62),2)=7,1,0)))),"")</f>
        <v/>
      </c>
      <c r="C62" s="18">
        <f>IF(A62&lt;=$B$9,B61,"")</f>
        <v/>
      </c>
      <c r="D62" s="17">
        <f>IF(A62&lt;=$B$9,(B62-C62)/360,"")</f>
        <v/>
      </c>
      <c r="E62" s="36">
        <f>IF(A62&lt;=$B$9,IFERROR(INDEX($L$6:$L$71,MATCH(B62,$K$6:$K$71,1))*(INDEX($L$6:$L$71,MATCH(B62,$K$6:$K$71,1)+1)/INDEX($L$6:$L$71,MATCH(B62,$K$6:$K$71,1)))^((B62-INDEX($K$6:$K$71,MATCH(B62,$K$6:$K$71,1)))/(INDEX($K$6:$K$71,MATCH(B62,$K$6:$K$71,1)+1)-INDEX($K$6:$K$71,MATCH(B62,$K$6:$K$71,1)))),INDEX($L$6:$L$71,MATCH(B62,$K$6:$K$71,1))),"")</f>
        <v/>
      </c>
      <c r="F62" s="44">
        <f>IF(A62&lt;=$B$9,$B$6*$B$11/100*D62,"")</f>
        <v/>
      </c>
      <c r="G62" s="44">
        <f>IF(A62&lt;=$B$9,F62*E62,"")</f>
        <v/>
      </c>
      <c r="H62" s="34">
        <f>IF(A62&lt;=$B$9,D62*E62,"")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8">
        <f>IF(A63&lt;=$B$9,IF(MONTH((EDATE($B$8,12*A63)+IF(WEEKDAY(EDATE($B$8,12*A63),2)=6,2,IF(WEEKDAY(EDATE($B$8,12*A63),2)=7,1,0))))&lt;&gt;MONTH(EDATE($B$8,12*A63)),(EDATE($B$8,12*A63)-IF(WEEKDAY(EDATE($B$8,12*A63),2)=6,1,IF(WEEKDAY(EDATE($B$8,12*A63),2)=7,2,0))),(EDATE($B$8,12*A63)+IF(WEEKDAY(EDATE($B$8,12*A63),2)=6,2,IF(WEEKDAY(EDATE($B$8,12*A63),2)=7,1,0)))),"")</f>
        <v/>
      </c>
      <c r="C63" s="18">
        <f>IF(A63&lt;=$B$9,B62,"")</f>
        <v/>
      </c>
      <c r="D63" s="17">
        <f>IF(A63&lt;=$B$9,(B63-C63)/360,"")</f>
        <v/>
      </c>
      <c r="E63" s="36">
        <f>IF(A63&lt;=$B$9,IFERROR(INDEX($L$6:$L$71,MATCH(B63,$K$6:$K$71,1))*(INDEX($L$6:$L$71,MATCH(B63,$K$6:$K$71,1)+1)/INDEX($L$6:$L$71,MATCH(B63,$K$6:$K$71,1)))^((B63-INDEX($K$6:$K$71,MATCH(B63,$K$6:$K$71,1)))/(INDEX($K$6:$K$71,MATCH(B63,$K$6:$K$71,1)+1)-INDEX($K$6:$K$71,MATCH(B63,$K$6:$K$71,1)))),INDEX($L$6:$L$71,MATCH(B63,$K$6:$K$71,1))),"")</f>
        <v/>
      </c>
      <c r="F63" s="44">
        <f>IF(A63&lt;=$B$9,$B$6*$B$11/100*D63,"")</f>
        <v/>
      </c>
      <c r="G63" s="44">
        <f>IF(A63&lt;=$B$9,F63*E63,"")</f>
        <v/>
      </c>
      <c r="H63" s="34">
        <f>IF(A63&lt;=$B$9,D63*E63,"")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8">
        <f>IF(A64&lt;=$B$9,IF(MONTH((EDATE($B$8,12*A64)+IF(WEEKDAY(EDATE($B$8,12*A64),2)=6,2,IF(WEEKDAY(EDATE($B$8,12*A64),2)=7,1,0))))&lt;&gt;MONTH(EDATE($B$8,12*A64)),(EDATE($B$8,12*A64)-IF(WEEKDAY(EDATE($B$8,12*A64),2)=6,1,IF(WEEKDAY(EDATE($B$8,12*A64),2)=7,2,0))),(EDATE($B$8,12*A64)+IF(WEEKDAY(EDATE($B$8,12*A64),2)=6,2,IF(WEEKDAY(EDATE($B$8,12*A64),2)=7,1,0)))),"")</f>
        <v/>
      </c>
      <c r="C64" s="18">
        <f>IF(A64&lt;=$B$9,B63,"")</f>
        <v/>
      </c>
      <c r="D64" s="17">
        <f>IF(A64&lt;=$B$9,(B64-C64)/360,"")</f>
        <v/>
      </c>
      <c r="E64" s="36">
        <f>IF(A64&lt;=$B$9,IFERROR(INDEX($L$6:$L$71,MATCH(B64,$K$6:$K$71,1))*(INDEX($L$6:$L$71,MATCH(B64,$K$6:$K$71,1)+1)/INDEX($L$6:$L$71,MATCH(B64,$K$6:$K$71,1)))^((B64-INDEX($K$6:$K$71,MATCH(B64,$K$6:$K$71,1)))/(INDEX($K$6:$K$71,MATCH(B64,$K$6:$K$71,1)+1)-INDEX($K$6:$K$71,MATCH(B64,$K$6:$K$71,1)))),INDEX($L$6:$L$71,MATCH(B64,$K$6:$K$71,1))),"")</f>
        <v/>
      </c>
      <c r="F64" s="44">
        <f>IF(A64&lt;=$B$9,$B$6*$B$11/100*D64,"")</f>
        <v/>
      </c>
      <c r="G64" s="44">
        <f>IF(A64&lt;=$B$9,F64*E64,"")</f>
        <v/>
      </c>
      <c r="H64" s="34">
        <f>IF(A64&lt;=$B$9,D64*E64,"")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8">
        <f>IF(A65&lt;=$B$9,IF(MONTH((EDATE($B$8,12*A65)+IF(WEEKDAY(EDATE($B$8,12*A65),2)=6,2,IF(WEEKDAY(EDATE($B$8,12*A65),2)=7,1,0))))&lt;&gt;MONTH(EDATE($B$8,12*A65)),(EDATE($B$8,12*A65)-IF(WEEKDAY(EDATE($B$8,12*A65),2)=6,1,IF(WEEKDAY(EDATE($B$8,12*A65),2)=7,2,0))),(EDATE($B$8,12*A65)+IF(WEEKDAY(EDATE($B$8,12*A65),2)=6,2,IF(WEEKDAY(EDATE($B$8,12*A65),2)=7,1,0)))),"")</f>
        <v/>
      </c>
      <c r="C65" s="18">
        <f>IF(A65&lt;=$B$9,B64,"")</f>
        <v/>
      </c>
      <c r="D65" s="17">
        <f>IF(A65&lt;=$B$9,(B65-C65)/360,"")</f>
        <v/>
      </c>
      <c r="E65" s="36">
        <f>IF(A65&lt;=$B$9,IFERROR(INDEX($L$6:$L$71,MATCH(B65,$K$6:$K$71,1))*(INDEX($L$6:$L$71,MATCH(B65,$K$6:$K$71,1)+1)/INDEX($L$6:$L$71,MATCH(B65,$K$6:$K$71,1)))^((B65-INDEX($K$6:$K$71,MATCH(B65,$K$6:$K$71,1)))/(INDEX($K$6:$K$71,MATCH(B65,$K$6:$K$71,1)+1)-INDEX($K$6:$K$71,MATCH(B65,$K$6:$K$71,1)))),INDEX($L$6:$L$71,MATCH(B65,$K$6:$K$71,1))),"")</f>
        <v/>
      </c>
      <c r="F65" s="44">
        <f>IF(A65&lt;=$B$9,$B$6*$B$11/100*D65,"")</f>
        <v/>
      </c>
      <c r="G65" s="44">
        <f>IF(A65&lt;=$B$9,F65*E65,"")</f>
        <v/>
      </c>
      <c r="H65" s="34">
        <f>IF(A65&lt;=$B$9,D65*E65,"")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8">
        <f>IF(A66&lt;=$B$9,IF(MONTH((EDATE($B$8,12*A66)+IF(WEEKDAY(EDATE($B$8,12*A66),2)=6,2,IF(WEEKDAY(EDATE($B$8,12*A66),2)=7,1,0))))&lt;&gt;MONTH(EDATE($B$8,12*A66)),(EDATE($B$8,12*A66)-IF(WEEKDAY(EDATE($B$8,12*A66),2)=6,1,IF(WEEKDAY(EDATE($B$8,12*A66),2)=7,2,0))),(EDATE($B$8,12*A66)+IF(WEEKDAY(EDATE($B$8,12*A66),2)=6,2,IF(WEEKDAY(EDATE($B$8,12*A66),2)=7,1,0)))),"")</f>
        <v/>
      </c>
      <c r="C66" s="18">
        <f>IF(A66&lt;=$B$9,B65,"")</f>
        <v/>
      </c>
      <c r="D66" s="17">
        <f>IF(A66&lt;=$B$9,(B66-C66)/360,"")</f>
        <v/>
      </c>
      <c r="E66" s="36">
        <f>IF(A66&lt;=$B$9,IFERROR(INDEX($L$6:$L$71,MATCH(B66,$K$6:$K$71,1))*(INDEX($L$6:$L$71,MATCH(B66,$K$6:$K$71,1)+1)/INDEX($L$6:$L$71,MATCH(B66,$K$6:$K$71,1)))^((B66-INDEX($K$6:$K$71,MATCH(B66,$K$6:$K$71,1)))/(INDEX($K$6:$K$71,MATCH(B66,$K$6:$K$71,1)+1)-INDEX($K$6:$K$71,MATCH(B66,$K$6:$K$71,1)))),INDEX($L$6:$L$71,MATCH(B66,$K$6:$K$71,1))),"")</f>
        <v/>
      </c>
      <c r="F66" s="44">
        <f>IF(A66&lt;=$B$9,$B$6*$B$11/100*D66,"")</f>
        <v/>
      </c>
      <c r="G66" s="44">
        <f>IF(A66&lt;=$B$9,F66*E66,"")</f>
        <v/>
      </c>
      <c r="H66" s="34">
        <f>IF(A66&lt;=$B$9,D66*E66,"")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8">
        <f>IF(A67&lt;=$B$9,IF(MONTH((EDATE($B$8,12*A67)+IF(WEEKDAY(EDATE($B$8,12*A67),2)=6,2,IF(WEEKDAY(EDATE($B$8,12*A67),2)=7,1,0))))&lt;&gt;MONTH(EDATE($B$8,12*A67)),(EDATE($B$8,12*A67)-IF(WEEKDAY(EDATE($B$8,12*A67),2)=6,1,IF(WEEKDAY(EDATE($B$8,12*A67),2)=7,2,0))),(EDATE($B$8,12*A67)+IF(WEEKDAY(EDATE($B$8,12*A67),2)=6,2,IF(WEEKDAY(EDATE($B$8,12*A67),2)=7,1,0)))),"")</f>
        <v/>
      </c>
      <c r="C67" s="18">
        <f>IF(A67&lt;=$B$9,B66,"")</f>
        <v/>
      </c>
      <c r="D67" s="17">
        <f>IF(A67&lt;=$B$9,(B67-C67)/360,"")</f>
        <v/>
      </c>
      <c r="E67" s="36">
        <f>IF(A67&lt;=$B$9,IFERROR(INDEX($L$6:$L$71,MATCH(B67,$K$6:$K$71,1))*(INDEX($L$6:$L$71,MATCH(B67,$K$6:$K$71,1)+1)/INDEX($L$6:$L$71,MATCH(B67,$K$6:$K$71,1)))^((B67-INDEX($K$6:$K$71,MATCH(B67,$K$6:$K$71,1)))/(INDEX($K$6:$K$71,MATCH(B67,$K$6:$K$71,1)+1)-INDEX($K$6:$K$71,MATCH(B67,$K$6:$K$71,1)))),INDEX($L$6:$L$71,MATCH(B67,$K$6:$K$71,1))),"")</f>
        <v/>
      </c>
      <c r="F67" s="44">
        <f>IF(A67&lt;=$B$9,$B$6*$B$11/100*D67,"")</f>
        <v/>
      </c>
      <c r="G67" s="44">
        <f>IF(A67&lt;=$B$9,F67*E67,"")</f>
        <v/>
      </c>
      <c r="H67" s="34">
        <f>IF(A67&lt;=$B$9,D67*E67,"")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8">
        <f>IF(A68&lt;=$B$9,IF(MONTH((EDATE($B$8,12*A68)+IF(WEEKDAY(EDATE($B$8,12*A68),2)=6,2,IF(WEEKDAY(EDATE($B$8,12*A68),2)=7,1,0))))&lt;&gt;MONTH(EDATE($B$8,12*A68)),(EDATE($B$8,12*A68)-IF(WEEKDAY(EDATE($B$8,12*A68),2)=6,1,IF(WEEKDAY(EDATE($B$8,12*A68),2)=7,2,0))),(EDATE($B$8,12*A68)+IF(WEEKDAY(EDATE($B$8,12*A68),2)=6,2,IF(WEEKDAY(EDATE($B$8,12*A68),2)=7,1,0)))),"")</f>
        <v/>
      </c>
      <c r="C68" s="18">
        <f>IF(A68&lt;=$B$9,B67,"")</f>
        <v/>
      </c>
      <c r="D68" s="17">
        <f>IF(A68&lt;=$B$9,(B68-C68)/360,"")</f>
        <v/>
      </c>
      <c r="E68" s="36">
        <f>IF(A68&lt;=$B$9,IFERROR(INDEX($L$6:$L$71,MATCH(B68,$K$6:$K$71,1))*(INDEX($L$6:$L$71,MATCH(B68,$K$6:$K$71,1)+1)/INDEX($L$6:$L$71,MATCH(B68,$K$6:$K$71,1)))^((B68-INDEX($K$6:$K$71,MATCH(B68,$K$6:$K$71,1)))/(INDEX($K$6:$K$71,MATCH(B68,$K$6:$K$71,1)+1)-INDEX($K$6:$K$71,MATCH(B68,$K$6:$K$71,1)))),INDEX($L$6:$L$71,MATCH(B68,$K$6:$K$71,1))),"")</f>
        <v/>
      </c>
      <c r="F68" s="44">
        <f>IF(A68&lt;=$B$9,$B$6*$B$11/100*D68,"")</f>
        <v/>
      </c>
      <c r="G68" s="44">
        <f>IF(A68&lt;=$B$9,F68*E68,"")</f>
        <v/>
      </c>
      <c r="H68" s="34">
        <f>IF(A68&lt;=$B$9,D68*E68,"")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8">
        <f>IF(A69&lt;=$B$9,IF(MONTH((EDATE($B$8,12*A69)+IF(WEEKDAY(EDATE($B$8,12*A69),2)=6,2,IF(WEEKDAY(EDATE($B$8,12*A69),2)=7,1,0))))&lt;&gt;MONTH(EDATE($B$8,12*A69)),(EDATE($B$8,12*A69)-IF(WEEKDAY(EDATE($B$8,12*A69),2)=6,1,IF(WEEKDAY(EDATE($B$8,12*A69),2)=7,2,0))),(EDATE($B$8,12*A69)+IF(WEEKDAY(EDATE($B$8,12*A69),2)=6,2,IF(WEEKDAY(EDATE($B$8,12*A69),2)=7,1,0)))),"")</f>
        <v/>
      </c>
      <c r="C69" s="18">
        <f>IF(A69&lt;=$B$9,B68,"")</f>
        <v/>
      </c>
      <c r="D69" s="17">
        <f>IF(A69&lt;=$B$9,(B69-C69)/360,"")</f>
        <v/>
      </c>
      <c r="E69" s="36">
        <f>IF(A69&lt;=$B$9,IFERROR(INDEX($L$6:$L$71,MATCH(B69,$K$6:$K$71,1))*(INDEX($L$6:$L$71,MATCH(B69,$K$6:$K$71,1)+1)/INDEX($L$6:$L$71,MATCH(B69,$K$6:$K$71,1)))^((B69-INDEX($K$6:$K$71,MATCH(B69,$K$6:$K$71,1)))/(INDEX($K$6:$K$71,MATCH(B69,$K$6:$K$71,1)+1)-INDEX($K$6:$K$71,MATCH(B69,$K$6:$K$71,1)))),INDEX($L$6:$L$71,MATCH(B69,$K$6:$K$71,1))),"")</f>
        <v/>
      </c>
      <c r="F69" s="44">
        <f>IF(A69&lt;=$B$9,$B$6*$B$11/100*D69,"")</f>
        <v/>
      </c>
      <c r="G69" s="44">
        <f>IF(A69&lt;=$B$9,F69*E69,"")</f>
        <v/>
      </c>
      <c r="H69" s="34">
        <f>IF(A69&lt;=$B$9,D69*E69,"")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8">
        <f>IF(A70&lt;=$B$9,IF(MONTH((EDATE($B$8,12*A70)+IF(WEEKDAY(EDATE($B$8,12*A70),2)=6,2,IF(WEEKDAY(EDATE($B$8,12*A70),2)=7,1,0))))&lt;&gt;MONTH(EDATE($B$8,12*A70)),(EDATE($B$8,12*A70)-IF(WEEKDAY(EDATE($B$8,12*A70),2)=6,1,IF(WEEKDAY(EDATE($B$8,12*A70),2)=7,2,0))),(EDATE($B$8,12*A70)+IF(WEEKDAY(EDATE($B$8,12*A70),2)=6,2,IF(WEEKDAY(EDATE($B$8,12*A70),2)=7,1,0)))),"")</f>
        <v/>
      </c>
      <c r="C70" s="18">
        <f>IF(A70&lt;=$B$9,B69,"")</f>
        <v/>
      </c>
      <c r="D70" s="17">
        <f>IF(A70&lt;=$B$9,(B70-C70)/360,"")</f>
        <v/>
      </c>
      <c r="E70" s="36">
        <f>IF(A70&lt;=$B$9,IFERROR(INDEX($L$6:$L$71,MATCH(B70,$K$6:$K$71,1))*(INDEX($L$6:$L$71,MATCH(B70,$K$6:$K$71,1)+1)/INDEX($L$6:$L$71,MATCH(B70,$K$6:$K$71,1)))^((B70-INDEX($K$6:$K$71,MATCH(B70,$K$6:$K$71,1)))/(INDEX($K$6:$K$71,MATCH(B70,$K$6:$K$71,1)+1)-INDEX($K$6:$K$71,MATCH(B70,$K$6:$K$71,1)))),INDEX($L$6:$L$71,MATCH(B70,$K$6:$K$71,1))),"")</f>
        <v/>
      </c>
      <c r="F70" s="44">
        <f>IF(A70&lt;=$B$9,$B$6*$B$11/100*D70,"")</f>
        <v/>
      </c>
      <c r="G70" s="44">
        <f>IF(A70&lt;=$B$9,F70*E70,"")</f>
        <v/>
      </c>
      <c r="H70" s="34">
        <f>IF(A70&lt;=$B$9,D70*E70,"")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8">
        <f>IF(A71&lt;=$B$9,IF(MONTH((EDATE($B$8,12*A71)+IF(WEEKDAY(EDATE($B$8,12*A71),2)=6,2,IF(WEEKDAY(EDATE($B$8,12*A71),2)=7,1,0))))&lt;&gt;MONTH(EDATE($B$8,12*A71)),(EDATE($B$8,12*A71)-IF(WEEKDAY(EDATE($B$8,12*A71),2)=6,1,IF(WEEKDAY(EDATE($B$8,12*A71),2)=7,2,0))),(EDATE($B$8,12*A71)+IF(WEEKDAY(EDATE($B$8,12*A71),2)=6,2,IF(WEEKDAY(EDATE($B$8,12*A71),2)=7,1,0)))),"")</f>
        <v/>
      </c>
      <c r="C71" s="18">
        <f>IF(A71&lt;=$B$9,B70,"")</f>
        <v/>
      </c>
      <c r="D71" s="17">
        <f>IF(A71&lt;=$B$9,(B71-C71)/360,"")</f>
        <v/>
      </c>
      <c r="E71" s="36">
        <f>IF(A71&lt;=$B$9,IFERROR(INDEX($L$6:$L$71,MATCH(B71,$K$6:$K$71,1))*(INDEX($L$6:$L$71,MATCH(B71,$K$6:$K$71,1)+1)/INDEX($L$6:$L$71,MATCH(B71,$K$6:$K$71,1)))^((B71-INDEX($K$6:$K$71,MATCH(B71,$K$6:$K$71,1)))/(INDEX($K$6:$K$71,MATCH(B71,$K$6:$K$71,1)+1)-INDEX($K$6:$K$71,MATCH(B71,$K$6:$K$71,1)))),INDEX($L$6:$L$71,MATCH(B71,$K$6:$K$71,1))),"")</f>
        <v/>
      </c>
      <c r="F71" s="44">
        <f>IF(A71&lt;=$B$9,$B$6*$B$11/100*D71,"")</f>
        <v/>
      </c>
      <c r="G71" s="44">
        <f>IF(A71&lt;=$B$9,F71*E71,"")</f>
        <v/>
      </c>
      <c r="H71" s="34">
        <f>IF(A71&lt;=$B$9,D71*E71,"")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8">
        <f>IF(A72&lt;=$B$9,IF(MONTH((EDATE($B$8,12*A72)+IF(WEEKDAY(EDATE($B$8,12*A72),2)=6,2,IF(WEEKDAY(EDATE($B$8,12*A72),2)=7,1,0))))&lt;&gt;MONTH(EDATE($B$8,12*A72)),(EDATE($B$8,12*A72)-IF(WEEKDAY(EDATE($B$8,12*A72),2)=6,1,IF(WEEKDAY(EDATE($B$8,12*A72),2)=7,2,0))),(EDATE($B$8,12*A72)+IF(WEEKDAY(EDATE($B$8,12*A72),2)=6,2,IF(WEEKDAY(EDATE($B$8,12*A72),2)=7,1,0)))),"")</f>
        <v/>
      </c>
      <c r="C72" s="18">
        <f>IF(A72&lt;=$B$9,B71,"")</f>
        <v/>
      </c>
      <c r="D72" s="17">
        <f>IF(A72&lt;=$B$9,(B72-C72)/360,"")</f>
        <v/>
      </c>
      <c r="E72" s="36">
        <f>IF(A72&lt;=$B$9,IFERROR(INDEX($L$6:$L$71,MATCH(B72,$K$6:$K$71,1))*(INDEX($L$6:$L$71,MATCH(B72,$K$6:$K$71,1)+1)/INDEX($L$6:$L$71,MATCH(B72,$K$6:$K$71,1)))^((B72-INDEX($K$6:$K$71,MATCH(B72,$K$6:$K$71,1)))/(INDEX($K$6:$K$71,MATCH(B72,$K$6:$K$71,1)+1)-INDEX($K$6:$K$71,MATCH(B72,$K$6:$K$71,1)))),INDEX($L$6:$L$71,MATCH(B72,$K$6:$K$71,1))),"")</f>
        <v/>
      </c>
      <c r="F72" s="44">
        <f>IF(A72&lt;=$B$9,$B$6*$B$11/100*D72,"")</f>
        <v/>
      </c>
      <c r="G72" s="44">
        <f>IF(A72&lt;=$B$9,F72*E72,"")</f>
        <v/>
      </c>
      <c r="H72" s="34">
        <f>IF(A72&lt;=$B$9,D72*E72,"")</f>
        <v/>
      </c>
    </row>
    <row r="73">
      <c r="A73" s="43">
        <f>ROW()-35</f>
        <v/>
      </c>
      <c r="B73" s="18">
        <f>IF(A73&lt;=$B$9,IF(MONTH((EDATE($B$8,12*A73)+IF(WEEKDAY(EDATE($B$8,12*A73),2)=6,2,IF(WEEKDAY(EDATE($B$8,12*A73),2)=7,1,0))))&lt;&gt;MONTH(EDATE($B$8,12*A73)),(EDATE($B$8,12*A73)-IF(WEEKDAY(EDATE($B$8,12*A73),2)=6,1,IF(WEEKDAY(EDATE($B$8,12*A73),2)=7,2,0))),(EDATE($B$8,12*A73)+IF(WEEKDAY(EDATE($B$8,12*A73),2)=6,2,IF(WEEKDAY(EDATE($B$8,12*A73),2)=7,1,0)))),"")</f>
        <v/>
      </c>
      <c r="C73" s="18">
        <f>IF(A73&lt;=$B$9,B72,"")</f>
        <v/>
      </c>
      <c r="D73" s="17">
        <f>IF(A73&lt;=$B$9,(B73-C73)/360,"")</f>
        <v/>
      </c>
      <c r="E73" s="36">
        <f>IF(A73&lt;=$B$9,IFERROR(INDEX($L$6:$L$71,MATCH(B73,$K$6:$K$71,1))*(INDEX($L$6:$L$71,MATCH(B73,$K$6:$K$71,1)+1)/INDEX($L$6:$L$71,MATCH(B73,$K$6:$K$71,1)))^((B73-INDEX($K$6:$K$71,MATCH(B73,$K$6:$K$71,1)))/(INDEX($K$6:$K$71,MATCH(B73,$K$6:$K$71,1)+1)-INDEX($K$6:$K$71,MATCH(B73,$K$6:$K$71,1)))),INDEX($L$6:$L$71,MATCH(B73,$K$6:$K$71,1))),"")</f>
        <v/>
      </c>
      <c r="F73" s="44">
        <f>IF(A73&lt;=$B$9,$B$6*$B$11/100*D73,"")</f>
        <v/>
      </c>
      <c r="G73" s="44">
        <f>IF(A73&lt;=$B$9,F73*E73,"")</f>
        <v/>
      </c>
      <c r="H73" s="34">
        <f>IF(A73&lt;=$B$9,D73*E73,"")</f>
        <v/>
      </c>
    </row>
    <row r="74">
      <c r="A74" s="43">
        <f>ROW()-35</f>
        <v/>
      </c>
      <c r="B74" s="18">
        <f>IF(A74&lt;=$B$9,IF(MONTH((EDATE($B$8,12*A74)+IF(WEEKDAY(EDATE($B$8,12*A74),2)=6,2,IF(WEEKDAY(EDATE($B$8,12*A74),2)=7,1,0))))&lt;&gt;MONTH(EDATE($B$8,12*A74)),(EDATE($B$8,12*A74)-IF(WEEKDAY(EDATE($B$8,12*A74),2)=6,1,IF(WEEKDAY(EDATE($B$8,12*A74),2)=7,2,0))),(EDATE($B$8,12*A74)+IF(WEEKDAY(EDATE($B$8,12*A74),2)=6,2,IF(WEEKDAY(EDATE($B$8,12*A74),2)=7,1,0)))),"")</f>
        <v/>
      </c>
      <c r="C74" s="18">
        <f>IF(A74&lt;=$B$9,B73,"")</f>
        <v/>
      </c>
      <c r="D74" s="17">
        <f>IF(A74&lt;=$B$9,(B74-C74)/360,"")</f>
        <v/>
      </c>
      <c r="E74" s="36">
        <f>IF(A74&lt;=$B$9,IFERROR(INDEX($L$6:$L$71,MATCH(B74,$K$6:$K$71,1))*(INDEX($L$6:$L$71,MATCH(B74,$K$6:$K$71,1)+1)/INDEX($L$6:$L$71,MATCH(B74,$K$6:$K$71,1)))^((B74-INDEX($K$6:$K$71,MATCH(B74,$K$6:$K$71,1)))/(INDEX($K$6:$K$71,MATCH(B74,$K$6:$K$71,1)+1)-INDEX($K$6:$K$71,MATCH(B74,$K$6:$K$71,1)))),INDEX($L$6:$L$71,MATCH(B74,$K$6:$K$71,1))),"")</f>
        <v/>
      </c>
      <c r="F74" s="44">
        <f>IF(A74&lt;=$B$9,$B$6*$B$11/100*D74,"")</f>
        <v/>
      </c>
      <c r="G74" s="44">
        <f>IF(A74&lt;=$B$9,F74*E74,"")</f>
        <v/>
      </c>
      <c r="H74" s="34">
        <f>IF(A74&lt;=$B$9,D74*E74,"")</f>
        <v/>
      </c>
    </row>
    <row r="75">
      <c r="A75" s="43">
        <f>ROW()-35</f>
        <v/>
      </c>
      <c r="B75" s="18">
        <f>IF(A75&lt;=$B$9,IF(MONTH((EDATE($B$8,12*A75)+IF(WEEKDAY(EDATE($B$8,12*A75),2)=6,2,IF(WEEKDAY(EDATE($B$8,12*A75),2)=7,1,0))))&lt;&gt;MONTH(EDATE($B$8,12*A75)),(EDATE($B$8,12*A75)-IF(WEEKDAY(EDATE($B$8,12*A75),2)=6,1,IF(WEEKDAY(EDATE($B$8,12*A75),2)=7,2,0))),(EDATE($B$8,12*A75)+IF(WEEKDAY(EDATE($B$8,12*A75),2)=6,2,IF(WEEKDAY(EDATE($B$8,12*A75),2)=7,1,0)))),"")</f>
        <v/>
      </c>
      <c r="C75" s="18">
        <f>IF(A75&lt;=$B$9,B74,"")</f>
        <v/>
      </c>
      <c r="D75" s="17">
        <f>IF(A75&lt;=$B$9,(B75-C75)/360,"")</f>
        <v/>
      </c>
      <c r="E75" s="36">
        <f>IF(A75&lt;=$B$9,IFERROR(INDEX($L$6:$L$71,MATCH(B75,$K$6:$K$71,1))*(INDEX($L$6:$L$71,MATCH(B75,$K$6:$K$71,1)+1)/INDEX($L$6:$L$71,MATCH(B75,$K$6:$K$71,1)))^((B75-INDEX($K$6:$K$71,MATCH(B75,$K$6:$K$71,1)))/(INDEX($K$6:$K$71,MATCH(B75,$K$6:$K$71,1)+1)-INDEX($K$6:$K$71,MATCH(B75,$K$6:$K$71,1)))),INDEX($L$6:$L$71,MATCH(B75,$K$6:$K$71,1))),"")</f>
        <v/>
      </c>
      <c r="F75" s="44">
        <f>IF(A75&lt;=$B$9,$B$6*$B$11/100*D75,"")</f>
        <v/>
      </c>
      <c r="G75" s="44">
        <f>IF(A75&lt;=$B$9,F75*E75,"")</f>
        <v/>
      </c>
      <c r="H75" s="34">
        <f>IF(A75&lt;=$B$9,D75*E75,"")</f>
        <v/>
      </c>
    </row>
    <row r="76">
      <c r="A76" s="43">
        <f>ROW()-35</f>
        <v/>
      </c>
      <c r="B76" s="18">
        <f>IF(A76&lt;=$B$9,IF(MONTH((EDATE($B$8,12*A76)+IF(WEEKDAY(EDATE($B$8,12*A76),2)=6,2,IF(WEEKDAY(EDATE($B$8,12*A76),2)=7,1,0))))&lt;&gt;MONTH(EDATE($B$8,12*A76)),(EDATE($B$8,12*A76)-IF(WEEKDAY(EDATE($B$8,12*A76),2)=6,1,IF(WEEKDAY(EDATE($B$8,12*A76),2)=7,2,0))),(EDATE($B$8,12*A76)+IF(WEEKDAY(EDATE($B$8,12*A76),2)=6,2,IF(WEEKDAY(EDATE($B$8,12*A76),2)=7,1,0)))),"")</f>
        <v/>
      </c>
      <c r="C76" s="18">
        <f>IF(A76&lt;=$B$9,B75,"")</f>
        <v/>
      </c>
      <c r="D76" s="17">
        <f>IF(A76&lt;=$B$9,(B76-C76)/360,"")</f>
        <v/>
      </c>
      <c r="E76" s="36">
        <f>IF(A76&lt;=$B$9,IFERROR(INDEX($L$6:$L$71,MATCH(B76,$K$6:$K$71,1))*(INDEX($L$6:$L$71,MATCH(B76,$K$6:$K$71,1)+1)/INDEX($L$6:$L$71,MATCH(B76,$K$6:$K$71,1)))^((B76-INDEX($K$6:$K$71,MATCH(B76,$K$6:$K$71,1)))/(INDEX($K$6:$K$71,MATCH(B76,$K$6:$K$71,1)+1)-INDEX($K$6:$K$71,MATCH(B76,$K$6:$K$71,1)))),INDEX($L$6:$L$71,MATCH(B76,$K$6:$K$71,1))),"")</f>
        <v/>
      </c>
      <c r="F76" s="44">
        <f>IF(A76&lt;=$B$9,$B$6*$B$11/100*D76,"")</f>
        <v/>
      </c>
      <c r="G76" s="44">
        <f>IF(A76&lt;=$B$9,F76*E76,"")</f>
        <v/>
      </c>
      <c r="H76" s="34">
        <f>IF(A76&lt;=$B$9,D76*E76,"")</f>
        <v/>
      </c>
    </row>
    <row r="77">
      <c r="A77" s="43">
        <f>ROW()-35</f>
        <v/>
      </c>
      <c r="B77" s="18">
        <f>IF(A77&lt;=$B$9,IF(MONTH((EDATE($B$8,12*A77)+IF(WEEKDAY(EDATE($B$8,12*A77),2)=6,2,IF(WEEKDAY(EDATE($B$8,12*A77),2)=7,1,0))))&lt;&gt;MONTH(EDATE($B$8,12*A77)),(EDATE($B$8,12*A77)-IF(WEEKDAY(EDATE($B$8,12*A77),2)=6,1,IF(WEEKDAY(EDATE($B$8,12*A77),2)=7,2,0))),(EDATE($B$8,12*A77)+IF(WEEKDAY(EDATE($B$8,12*A77),2)=6,2,IF(WEEKDAY(EDATE($B$8,12*A77),2)=7,1,0)))),"")</f>
        <v/>
      </c>
      <c r="C77" s="18">
        <f>IF(A77&lt;=$B$9,B76,"")</f>
        <v/>
      </c>
      <c r="D77" s="17">
        <f>IF(A77&lt;=$B$9,(B77-C77)/360,"")</f>
        <v/>
      </c>
      <c r="E77" s="36">
        <f>IF(A77&lt;=$B$9,IFERROR(INDEX($L$6:$L$71,MATCH(B77,$K$6:$K$71,1))*(INDEX($L$6:$L$71,MATCH(B77,$K$6:$K$71,1)+1)/INDEX($L$6:$L$71,MATCH(B77,$K$6:$K$71,1)))^((B77-INDEX($K$6:$K$71,MATCH(B77,$K$6:$K$71,1)))/(INDEX($K$6:$K$71,MATCH(B77,$K$6:$K$71,1)+1)-INDEX($K$6:$K$71,MATCH(B77,$K$6:$K$71,1)))),INDEX($L$6:$L$71,MATCH(B77,$K$6:$K$71,1))),"")</f>
        <v/>
      </c>
      <c r="F77" s="44">
        <f>IF(A77&lt;=$B$9,$B$6*$B$11/100*D77,"")</f>
        <v/>
      </c>
      <c r="G77" s="44">
        <f>IF(A77&lt;=$B$9,F77*E77,"")</f>
        <v/>
      </c>
      <c r="H77" s="34">
        <f>IF(A77&lt;=$B$9,D77*E77,"")</f>
        <v/>
      </c>
    </row>
    <row r="78">
      <c r="A78" s="43">
        <f>ROW()-35</f>
        <v/>
      </c>
      <c r="B78" s="18">
        <f>IF(A78&lt;=$B$9,IF(MONTH((EDATE($B$8,12*A78)+IF(WEEKDAY(EDATE($B$8,12*A78),2)=6,2,IF(WEEKDAY(EDATE($B$8,12*A78),2)=7,1,0))))&lt;&gt;MONTH(EDATE($B$8,12*A78)),(EDATE($B$8,12*A78)-IF(WEEKDAY(EDATE($B$8,12*A78),2)=6,1,IF(WEEKDAY(EDATE($B$8,12*A78),2)=7,2,0))),(EDATE($B$8,12*A78)+IF(WEEKDAY(EDATE($B$8,12*A78),2)=6,2,IF(WEEKDAY(EDATE($B$8,12*A78),2)=7,1,0)))),"")</f>
        <v/>
      </c>
      <c r="C78" s="18">
        <f>IF(A78&lt;=$B$9,B77,"")</f>
        <v/>
      </c>
      <c r="D78" s="17">
        <f>IF(A78&lt;=$B$9,(B78-C78)/360,"")</f>
        <v/>
      </c>
      <c r="E78" s="36">
        <f>IF(A78&lt;=$B$9,IFERROR(INDEX($L$6:$L$71,MATCH(B78,$K$6:$K$71,1))*(INDEX($L$6:$L$71,MATCH(B78,$K$6:$K$71,1)+1)/INDEX($L$6:$L$71,MATCH(B78,$K$6:$K$71,1)))^((B78-INDEX($K$6:$K$71,MATCH(B78,$K$6:$K$71,1)))/(INDEX($K$6:$K$71,MATCH(B78,$K$6:$K$71,1)+1)-INDEX($K$6:$K$71,MATCH(B78,$K$6:$K$71,1)))),INDEX($L$6:$L$71,MATCH(B78,$K$6:$K$71,1))),"")</f>
        <v/>
      </c>
      <c r="F78" s="44">
        <f>IF(A78&lt;=$B$9,$B$6*$B$11/100*D78,"")</f>
        <v/>
      </c>
      <c r="G78" s="44">
        <f>IF(A78&lt;=$B$9,F78*E78,"")</f>
        <v/>
      </c>
      <c r="H78" s="34">
        <f>IF(A78&lt;=$B$9,D78*E78,"")</f>
        <v/>
      </c>
    </row>
    <row r="79">
      <c r="A79" s="43">
        <f>ROW()-35</f>
        <v/>
      </c>
      <c r="B79" s="18">
        <f>IF(A79&lt;=$B$9,IF(MONTH((EDATE($B$8,12*A79)+IF(WEEKDAY(EDATE($B$8,12*A79),2)=6,2,IF(WEEKDAY(EDATE($B$8,12*A79),2)=7,1,0))))&lt;&gt;MONTH(EDATE($B$8,12*A79)),(EDATE($B$8,12*A79)-IF(WEEKDAY(EDATE($B$8,12*A79),2)=6,1,IF(WEEKDAY(EDATE($B$8,12*A79),2)=7,2,0))),(EDATE($B$8,12*A79)+IF(WEEKDAY(EDATE($B$8,12*A79),2)=6,2,IF(WEEKDAY(EDATE($B$8,12*A79),2)=7,1,0)))),"")</f>
        <v/>
      </c>
      <c r="C79" s="18">
        <f>IF(A79&lt;=$B$9,B78,"")</f>
        <v/>
      </c>
      <c r="D79" s="17">
        <f>IF(A79&lt;=$B$9,(B79-C79)/360,"")</f>
        <v/>
      </c>
      <c r="E79" s="36">
        <f>IF(A79&lt;=$B$9,IFERROR(INDEX($L$6:$L$71,MATCH(B79,$K$6:$K$71,1))*(INDEX($L$6:$L$71,MATCH(B79,$K$6:$K$71,1)+1)/INDEX($L$6:$L$71,MATCH(B79,$K$6:$K$71,1)))^((B79-INDEX($K$6:$K$71,MATCH(B79,$K$6:$K$71,1)))/(INDEX($K$6:$K$71,MATCH(B79,$K$6:$K$71,1)+1)-INDEX($K$6:$K$71,MATCH(B79,$K$6:$K$71,1)))),INDEX($L$6:$L$71,MATCH(B79,$K$6:$K$71,1))),"")</f>
        <v/>
      </c>
      <c r="F79" s="44">
        <f>IF(A79&lt;=$B$9,$B$6*$B$11/100*D79,"")</f>
        <v/>
      </c>
      <c r="G79" s="44">
        <f>IF(A79&lt;=$B$9,F79*E79,"")</f>
        <v/>
      </c>
      <c r="H79" s="34">
        <f>IF(A79&lt;=$B$9,D79*E79,"")</f>
        <v/>
      </c>
    </row>
    <row r="80">
      <c r="A80" s="43">
        <f>ROW()-35</f>
        <v/>
      </c>
      <c r="B80" s="18">
        <f>IF(A80&lt;=$B$9,IF(MONTH((EDATE($B$8,12*A80)+IF(WEEKDAY(EDATE($B$8,12*A80),2)=6,2,IF(WEEKDAY(EDATE($B$8,12*A80),2)=7,1,0))))&lt;&gt;MONTH(EDATE($B$8,12*A80)),(EDATE($B$8,12*A80)-IF(WEEKDAY(EDATE($B$8,12*A80),2)=6,1,IF(WEEKDAY(EDATE($B$8,12*A80),2)=7,2,0))),(EDATE($B$8,12*A80)+IF(WEEKDAY(EDATE($B$8,12*A80),2)=6,2,IF(WEEKDAY(EDATE($B$8,12*A80),2)=7,1,0)))),"")</f>
        <v/>
      </c>
      <c r="C80" s="18">
        <f>IF(A80&lt;=$B$9,B79,"")</f>
        <v/>
      </c>
      <c r="D80" s="17">
        <f>IF(A80&lt;=$B$9,(B80-C80)/360,"")</f>
        <v/>
      </c>
      <c r="E80" s="36">
        <f>IF(A80&lt;=$B$9,IFERROR(INDEX($L$6:$L$71,MATCH(B80,$K$6:$K$71,1))*(INDEX($L$6:$L$71,MATCH(B80,$K$6:$K$71,1)+1)/INDEX($L$6:$L$71,MATCH(B80,$K$6:$K$71,1)))^((B80-INDEX($K$6:$K$71,MATCH(B80,$K$6:$K$71,1)))/(INDEX($K$6:$K$71,MATCH(B80,$K$6:$K$71,1)+1)-INDEX($K$6:$K$71,MATCH(B80,$K$6:$K$71,1)))),INDEX($L$6:$L$71,MATCH(B80,$K$6:$K$71,1))),"")</f>
        <v/>
      </c>
      <c r="F80" s="44">
        <f>IF(A80&lt;=$B$9,$B$6*$B$11/100*D80,"")</f>
        <v/>
      </c>
      <c r="G80" s="44">
        <f>IF(A80&lt;=$B$9,F80*E80,"")</f>
        <v/>
      </c>
      <c r="H80" s="34">
        <f>IF(A80&lt;=$B$9,D80*E80,"")</f>
        <v/>
      </c>
    </row>
    <row r="81">
      <c r="A81" s="43">
        <f>ROW()-35</f>
        <v/>
      </c>
      <c r="B81" s="18">
        <f>IF(A81&lt;=$B$9,IF(MONTH((EDATE($B$8,12*A81)+IF(WEEKDAY(EDATE($B$8,12*A81),2)=6,2,IF(WEEKDAY(EDATE($B$8,12*A81),2)=7,1,0))))&lt;&gt;MONTH(EDATE($B$8,12*A81)),(EDATE($B$8,12*A81)-IF(WEEKDAY(EDATE($B$8,12*A81),2)=6,1,IF(WEEKDAY(EDATE($B$8,12*A81),2)=7,2,0))),(EDATE($B$8,12*A81)+IF(WEEKDAY(EDATE($B$8,12*A81),2)=6,2,IF(WEEKDAY(EDATE($B$8,12*A81),2)=7,1,0)))),"")</f>
        <v/>
      </c>
      <c r="C81" s="18">
        <f>IF(A81&lt;=$B$9,B80,"")</f>
        <v/>
      </c>
      <c r="D81" s="17">
        <f>IF(A81&lt;=$B$9,(B81-C81)/360,"")</f>
        <v/>
      </c>
      <c r="E81" s="36">
        <f>IF(A81&lt;=$B$9,IFERROR(INDEX($L$6:$L$71,MATCH(B81,$K$6:$K$71,1))*(INDEX($L$6:$L$71,MATCH(B81,$K$6:$K$71,1)+1)/INDEX($L$6:$L$71,MATCH(B81,$K$6:$K$71,1)))^((B81-INDEX($K$6:$K$71,MATCH(B81,$K$6:$K$71,1)))/(INDEX($K$6:$K$71,MATCH(B81,$K$6:$K$71,1)+1)-INDEX($K$6:$K$71,MATCH(B81,$K$6:$K$71,1)))),INDEX($L$6:$L$71,MATCH(B81,$K$6:$K$71,1))),"")</f>
        <v/>
      </c>
      <c r="F81" s="44">
        <f>IF(A81&lt;=$B$9,$B$6*$B$11/100*D81,"")</f>
        <v/>
      </c>
      <c r="G81" s="44">
        <f>IF(A81&lt;=$B$9,F81*E81,"")</f>
        <v/>
      </c>
      <c r="H81" s="34">
        <f>IF(A81&lt;=$B$9,D81*E81,"")</f>
        <v/>
      </c>
    </row>
    <row r="82">
      <c r="A82" s="43">
        <f>ROW()-35</f>
        <v/>
      </c>
      <c r="B82" s="18">
        <f>IF(A82&lt;=$B$9,IF(MONTH((EDATE($B$8,12*A82)+IF(WEEKDAY(EDATE($B$8,12*A82),2)=6,2,IF(WEEKDAY(EDATE($B$8,12*A82),2)=7,1,0))))&lt;&gt;MONTH(EDATE($B$8,12*A82)),(EDATE($B$8,12*A82)-IF(WEEKDAY(EDATE($B$8,12*A82),2)=6,1,IF(WEEKDAY(EDATE($B$8,12*A82),2)=7,2,0))),(EDATE($B$8,12*A82)+IF(WEEKDAY(EDATE($B$8,12*A82),2)=6,2,IF(WEEKDAY(EDATE($B$8,12*A82),2)=7,1,0)))),"")</f>
        <v/>
      </c>
      <c r="C82" s="18">
        <f>IF(A82&lt;=$B$9,B81,"")</f>
        <v/>
      </c>
      <c r="D82" s="17">
        <f>IF(A82&lt;=$B$9,(B82-C82)/360,"")</f>
        <v/>
      </c>
      <c r="E82" s="36">
        <f>IF(A82&lt;=$B$9,IFERROR(INDEX($L$6:$L$71,MATCH(B82,$K$6:$K$71,1))*(INDEX($L$6:$L$71,MATCH(B82,$K$6:$K$71,1)+1)/INDEX($L$6:$L$71,MATCH(B82,$K$6:$K$71,1)))^((B82-INDEX($K$6:$K$71,MATCH(B82,$K$6:$K$71,1)))/(INDEX($K$6:$K$71,MATCH(B82,$K$6:$K$71,1)+1)-INDEX($K$6:$K$71,MATCH(B82,$K$6:$K$71,1)))),INDEX($L$6:$L$71,MATCH(B82,$K$6:$K$71,1))),"")</f>
        <v/>
      </c>
      <c r="F82" s="44">
        <f>IF(A82&lt;=$B$9,$B$6*$B$11/100*D82,"")</f>
        <v/>
      </c>
      <c r="G82" s="44">
        <f>IF(A82&lt;=$B$9,F82*E82,"")</f>
        <v/>
      </c>
      <c r="H82" s="34">
        <f>IF(A82&lt;=$B$9,D82*E82,"")</f>
        <v/>
      </c>
    </row>
    <row r="83">
      <c r="A83" s="43">
        <f>ROW()-35</f>
        <v/>
      </c>
      <c r="B83" s="18">
        <f>IF(A83&lt;=$B$9,IF(MONTH((EDATE($B$8,12*A83)+IF(WEEKDAY(EDATE($B$8,12*A83),2)=6,2,IF(WEEKDAY(EDATE($B$8,12*A83),2)=7,1,0))))&lt;&gt;MONTH(EDATE($B$8,12*A83)),(EDATE($B$8,12*A83)-IF(WEEKDAY(EDATE($B$8,12*A83),2)=6,1,IF(WEEKDAY(EDATE($B$8,12*A83),2)=7,2,0))),(EDATE($B$8,12*A83)+IF(WEEKDAY(EDATE($B$8,12*A83),2)=6,2,IF(WEEKDAY(EDATE($B$8,12*A83),2)=7,1,0)))),"")</f>
        <v/>
      </c>
      <c r="C83" s="18">
        <f>IF(A83&lt;=$B$9,B82,"")</f>
        <v/>
      </c>
      <c r="D83" s="17">
        <f>IF(A83&lt;=$B$9,(B83-C83)/360,"")</f>
        <v/>
      </c>
      <c r="E83" s="36">
        <f>IF(A83&lt;=$B$9,IFERROR(INDEX($L$6:$L$71,MATCH(B83,$K$6:$K$71,1))*(INDEX($L$6:$L$71,MATCH(B83,$K$6:$K$71,1)+1)/INDEX($L$6:$L$71,MATCH(B83,$K$6:$K$71,1)))^((B83-INDEX($K$6:$K$71,MATCH(B83,$K$6:$K$71,1)))/(INDEX($K$6:$K$71,MATCH(B83,$K$6:$K$71,1)+1)-INDEX($K$6:$K$71,MATCH(B83,$K$6:$K$71,1)))),INDEX($L$6:$L$71,MATCH(B83,$K$6:$K$71,1))),"")</f>
        <v/>
      </c>
      <c r="F83" s="44">
        <f>IF(A83&lt;=$B$9,$B$6*$B$11/100*D83,"")</f>
        <v/>
      </c>
      <c r="G83" s="44">
        <f>IF(A83&lt;=$B$9,F83*E83,"")</f>
        <v/>
      </c>
      <c r="H83" s="34">
        <f>IF(A83&lt;=$B$9,D83*E83,"")</f>
        <v/>
      </c>
    </row>
    <row r="84">
      <c r="A84" s="43">
        <f>ROW()-35</f>
        <v/>
      </c>
      <c r="B84" s="18">
        <f>IF(A84&lt;=$B$9,IF(MONTH((EDATE($B$8,12*A84)+IF(WEEKDAY(EDATE($B$8,12*A84),2)=6,2,IF(WEEKDAY(EDATE($B$8,12*A84),2)=7,1,0))))&lt;&gt;MONTH(EDATE($B$8,12*A84)),(EDATE($B$8,12*A84)-IF(WEEKDAY(EDATE($B$8,12*A84),2)=6,1,IF(WEEKDAY(EDATE($B$8,12*A84),2)=7,2,0))),(EDATE($B$8,12*A84)+IF(WEEKDAY(EDATE($B$8,12*A84),2)=6,2,IF(WEEKDAY(EDATE($B$8,12*A84),2)=7,1,0)))),"")</f>
        <v/>
      </c>
      <c r="C84" s="18">
        <f>IF(A84&lt;=$B$9,B83,"")</f>
        <v/>
      </c>
      <c r="D84" s="17">
        <f>IF(A84&lt;=$B$9,(B84-C84)/360,"")</f>
        <v/>
      </c>
      <c r="E84" s="36">
        <f>IF(A84&lt;=$B$9,IFERROR(INDEX($L$6:$L$71,MATCH(B84,$K$6:$K$71,1))*(INDEX($L$6:$L$71,MATCH(B84,$K$6:$K$71,1)+1)/INDEX($L$6:$L$71,MATCH(B84,$K$6:$K$71,1)))^((B84-INDEX($K$6:$K$71,MATCH(B84,$K$6:$K$71,1)))/(INDEX($K$6:$K$71,MATCH(B84,$K$6:$K$71,1)+1)-INDEX($K$6:$K$71,MATCH(B84,$K$6:$K$71,1)))),INDEX($L$6:$L$71,MATCH(B84,$K$6:$K$71,1))),"")</f>
        <v/>
      </c>
      <c r="F84" s="44">
        <f>IF(A84&lt;=$B$9,$B$6*$B$11/100*D84,"")</f>
        <v/>
      </c>
      <c r="G84" s="44">
        <f>IF(A84&lt;=$B$9,F84*E84,"")</f>
        <v/>
      </c>
      <c r="H84" s="34">
        <f>IF(A84&lt;=$B$9,D84*E84,"")</f>
        <v/>
      </c>
    </row>
    <row r="85">
      <c r="A85" s="43">
        <f>ROW()-35</f>
        <v/>
      </c>
      <c r="B85" s="18">
        <f>IF(A85&lt;=$B$9,IF(MONTH((EDATE($B$8,12*A85)+IF(WEEKDAY(EDATE($B$8,12*A85),2)=6,2,IF(WEEKDAY(EDATE($B$8,12*A85),2)=7,1,0))))&lt;&gt;MONTH(EDATE($B$8,12*A85)),(EDATE($B$8,12*A85)-IF(WEEKDAY(EDATE($B$8,12*A85),2)=6,1,IF(WEEKDAY(EDATE($B$8,12*A85),2)=7,2,0))),(EDATE($B$8,12*A85)+IF(WEEKDAY(EDATE($B$8,12*A85),2)=6,2,IF(WEEKDAY(EDATE($B$8,12*A85),2)=7,1,0)))),"")</f>
        <v/>
      </c>
      <c r="C85" s="18">
        <f>IF(A85&lt;=$B$9,B84,"")</f>
        <v/>
      </c>
      <c r="D85" s="17">
        <f>IF(A85&lt;=$B$9,(B85-C85)/360,"")</f>
        <v/>
      </c>
      <c r="E85" s="36">
        <f>IF(A85&lt;=$B$9,IFERROR(INDEX($L$6:$L$71,MATCH(B85,$K$6:$K$71,1))*(INDEX($L$6:$L$71,MATCH(B85,$K$6:$K$71,1)+1)/INDEX($L$6:$L$71,MATCH(B85,$K$6:$K$71,1)))^((B85-INDEX($K$6:$K$71,MATCH(B85,$K$6:$K$71,1)))/(INDEX($K$6:$K$71,MATCH(B85,$K$6:$K$71,1)+1)-INDEX($K$6:$K$71,MATCH(B85,$K$6:$K$71,1)))),INDEX($L$6:$L$71,MATCH(B85,$K$6:$K$71,1))),"")</f>
        <v/>
      </c>
      <c r="F85" s="44">
        <f>IF(A85&lt;=$B$9,$B$6*$B$11/100*D85,"")</f>
        <v/>
      </c>
      <c r="G85" s="44">
        <f>IF(A85&lt;=$B$9,F85*E85,"")</f>
        <v/>
      </c>
      <c r="H85" s="34">
        <f>IF(A85&lt;=$B$9,D85*E85,"")</f>
        <v/>
      </c>
    </row>
  </sheetData>
  <mergeCells count="19">
    <mergeCell ref="C23:I23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Y78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 before trusting column E — the defaults are a GUESS at the CURVE_TENOR_RATES schema, not confirmed.</t>
        </is>
      </c>
      <c r="V6" s="67" t="inlineStr">
        <is>
          <t>S490 SCREEN SNAPSHOT (curve date 07/21/2026)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92" t="inlineStr">
        <is>
          <t>S490 zero (%) — live</t>
        </is>
      </c>
      <c r="E7" s="20" t="inlineStr">
        <is>
          <t>Δz (bp)</t>
        </is>
      </c>
      <c r="F7" s="62" t="inlineStr">
        <is>
          <t>Source</t>
        </is>
      </c>
      <c r="G7" s="62" t="inlineStr">
        <is>
          <t>S490 zero (%) — screen snapshot</t>
        </is>
      </c>
      <c r="H7" s="67" t="inlineStr">
        <is>
          <t>Raw CURVE_TENOR_RATES dump (spills right and down from J12)</t>
        </is>
      </c>
      <c r="M7" s="62" t="inlineStr">
        <is>
          <t>DF (screen)</t>
        </is>
      </c>
      <c r="N7" s="62" t="inlineStr">
        <is>
          <t>DF (model)</t>
        </is>
      </c>
      <c r="O7" s="62" t="inlineStr">
        <is>
          <t>DF diff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97">
        <f>IFERROR(INDEX($J$12:$T$82,MATCH(B8,INDEX($J$12:$T$82,0,$I$3),0),$I$4)*$I$5,IF(ISNUMBER(G8),G8,""))</f>
        <v/>
      </c>
      <c r="E8" s="89">
        <f>IF(ISNUMBER(D8),(C8-D8)*100,IF(ISNUMBER(G8),(C8-G8)*100,""))</f>
        <v/>
      </c>
      <c r="F8" s="93">
        <f>IF(ISNUMBER(IFERROR(INDEX($J$12:$T$82,MATCH(B8,INDEX($J$12:$T$82,0,$I$3),0),$I$4)*$I$5,"")),"BDS live",IF(ISNUMBER(G8),"manual paste","-"))</f>
        <v/>
      </c>
      <c r="G8" s="99">
        <f>IFERROR(INDEX($X$9:$X$40,MATCH(B8,$V$9:$V$40,0)),"")</f>
        <v/>
      </c>
      <c r="H8" s="65" t="inlineStr">
        <is>
          <t>(the CURVE_TENOR_RATES dump lives at J12 - a second copy here would spill into it)</t>
        </is>
      </c>
      <c r="M8" s="80">
        <f>IFERROR(INDEX($Y$9:$Y$40,MATCH(B8,$V$9:$V$40,0)),"")</f>
        <v/>
      </c>
      <c r="N8" s="80">
        <f>IF(M8="","",Bootstrap!H8)</f>
        <v/>
      </c>
      <c r="O8" s="72">
        <f>IF(M8="","",N8-M8)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97">
        <f>IFERROR(INDEX($J$12:$T$82,MATCH(B9,INDEX($J$12:$T$82,0,$I$3),0),$I$4)*$I$5,IF(ISNUMBER(G9),G9,""))</f>
        <v/>
      </c>
      <c r="E9" s="89">
        <f>IF(ISNUMBER(D9),(C9-D9)*100,IF(ISNUMBER(G9),(C9-G9)*100,""))</f>
        <v/>
      </c>
      <c r="F9" s="93">
        <f>IF(ISNUMBER(IFERROR(INDEX($J$12:$T$82,MATCH(B9,INDEX($J$12:$T$82,0,$I$3),0),$I$4)*$I$5,"")),"BDS live",IF(ISNUMBER(G9),"manual paste","-"))</f>
        <v/>
      </c>
      <c r="G9" s="99">
        <f>IFERROR(INDEX($X$9:$X$40,MATCH(B9,$V$9:$V$40,0)),"")</f>
        <v/>
      </c>
      <c r="M9" s="80">
        <f>IFERROR(INDEX($Y$9:$Y$40,MATCH(B9,$V$9:$V$40,0)),"")</f>
        <v/>
      </c>
      <c r="N9" s="80">
        <f>IF(M9="","",Bootstrap!H9)</f>
        <v/>
      </c>
      <c r="O9" s="72">
        <f>IF(M9="","",N9-M9)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97">
        <f>IFERROR(INDEX($J$12:$T$82,MATCH(B10,INDEX($J$12:$T$82,0,$I$3),0),$I$4)*$I$5,IF(ISNUMBER(G10),G10,""))</f>
        <v/>
      </c>
      <c r="E10" s="89">
        <f>IF(ISNUMBER(D10),(C10-D10)*100,IF(ISNUMBER(G10),(C10-G10)*100,""))</f>
        <v/>
      </c>
      <c r="F10" s="93">
        <f>IF(ISNUMBER(IFERROR(INDEX($J$12:$T$82,MATCH(B10,INDEX($J$12:$T$82,0,$I$3),0),$I$4)*$I$5,"")),"BDS live",IF(ISNUMBER(G10),"manual paste","-"))</f>
        <v/>
      </c>
      <c r="G10" s="99">
        <f>IFERROR(INDEX($X$9:$X$40,MATCH(B10,$V$9:$V$40,0)),"")</f>
        <v/>
      </c>
      <c r="M10" s="80">
        <f>IFERROR(INDEX($Y$9:$Y$40,MATCH(B10,$V$9:$V$40,0)),"")</f>
        <v/>
      </c>
      <c r="N10" s="80">
        <f>IF(M10="","",Bootstrap!H10)</f>
        <v/>
      </c>
      <c r="O10" s="72">
        <f>IF(M10="","",N10-M10)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97">
        <f>IFERROR(INDEX($J$12:$T$82,MATCH(B11,INDEX($J$12:$T$82,0,$I$3),0),$I$4)*$I$5,IF(ISNUMBER(G11),G11,""))</f>
        <v/>
      </c>
      <c r="E11" s="89">
        <f>IF(ISNUMBER(D11),(C11-D11)*100,IF(ISNUMBER(G11),(C11-G11)*100,""))</f>
        <v/>
      </c>
      <c r="F11" s="93">
        <f>IF(ISNUMBER(IFERROR(INDEX($J$12:$T$82,MATCH(B11,INDEX($J$12:$T$82,0,$I$3),0),$I$4)*$I$5,"")),"BDS live",IF(ISNUMBER(G11),"manual paste","-"))</f>
        <v/>
      </c>
      <c r="G11" s="99">
        <f>IFERROR(INDEX($X$9:$X$40,MATCH(B11,$V$9:$V$40,0)),"")</f>
        <v/>
      </c>
      <c r="M11" s="80">
        <f>IFERROR(INDEX($Y$9:$Y$40,MATCH(B11,$V$9:$V$40,0)),"")</f>
        <v/>
      </c>
      <c r="N11" s="80">
        <f>IF(M11="","",Bootstrap!H11)</f>
        <v/>
      </c>
      <c r="O11" s="72">
        <f>IF(M11="","",N11-M11)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97">
        <f>IFERROR(INDEX($J$12:$T$82,MATCH(B12,INDEX($J$12:$T$82,0,$I$3),0),$I$4)*$I$5,IF(ISNUMBER(G12),G12,""))</f>
        <v/>
      </c>
      <c r="E12" s="89">
        <f>IF(ISNUMBER(D12),(C12-D12)*100,IF(ISNUMBER(G12),(C12-G12)*100,""))</f>
        <v/>
      </c>
      <c r="F12" s="93">
        <f>IF(ISNUMBER(IFERROR(INDEX($J$12:$T$82,MATCH(B12,INDEX($J$12:$T$82,0,$I$3),0),$I$4)*$I$5,"")),"BDS live",IF(ISNUMBER(G12),"manual paste","-"))</f>
        <v/>
      </c>
      <c r="G12" s="99">
        <f>IFERROR(INDEX($X$9:$X$40,MATCH(B12,$V$9:$V$40,0)),"")</f>
        <v/>
      </c>
      <c r="J12" s="93">
        <f>BDS(S490_TKR,"CURVE_TENOR_RATES")</f>
        <v/>
      </c>
      <c r="M12" s="80">
        <f>IFERROR(INDEX($Y$9:$Y$40,MATCH(B12,$V$9:$V$40,0)),"")</f>
        <v/>
      </c>
      <c r="N12" s="80">
        <f>IF(M12="","",Bootstrap!H12)</f>
        <v/>
      </c>
      <c r="O12" s="72">
        <f>IF(M12="","",N12-M12)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97">
        <f>IFERROR(INDEX($J$12:$T$82,MATCH(B13,INDEX($J$12:$T$82,0,$I$3),0),$I$4)*$I$5,IF(ISNUMBER(G13),G13,""))</f>
        <v/>
      </c>
      <c r="E13" s="89">
        <f>IF(ISNUMBER(D13),(C13-D13)*100,IF(ISNUMBER(G13),(C13-G13)*100,""))</f>
        <v/>
      </c>
      <c r="F13" s="93">
        <f>IF(ISNUMBER(IFERROR(INDEX($J$12:$T$82,MATCH(B13,INDEX($J$12:$T$82,0,$I$3),0),$I$4)*$I$5,"")),"BDS live",IF(ISNUMBER(G13),"manual paste","-"))</f>
        <v/>
      </c>
      <c r="G13" s="99">
        <f>IFERROR(INDEX($X$9:$X$40,MATCH(B13,$V$9:$V$40,0)),"")</f>
        <v/>
      </c>
      <c r="M13" s="80">
        <f>IFERROR(INDEX($Y$9:$Y$40,MATCH(B13,$V$9:$V$40,0)),"")</f>
        <v/>
      </c>
      <c r="N13" s="80">
        <f>IF(M13="","",Bootstrap!H13)</f>
        <v/>
      </c>
      <c r="O13" s="72">
        <f>IF(M13="","",N13-M13)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97">
        <f>IFERROR(INDEX($J$12:$T$82,MATCH(B14,INDEX($J$12:$T$82,0,$I$3),0),$I$4)*$I$5,IF(ISNUMBER(G14),G14,""))</f>
        <v/>
      </c>
      <c r="E14" s="89">
        <f>IF(ISNUMBER(D14),(C14-D14)*100,IF(ISNUMBER(G14),(C14-G14)*100,""))</f>
        <v/>
      </c>
      <c r="F14" s="93">
        <f>IF(ISNUMBER(IFERROR(INDEX($J$12:$T$82,MATCH(B14,INDEX($J$12:$T$82,0,$I$3),0),$I$4)*$I$5,"")),"BDS live",IF(ISNUMBER(G14),"manual paste","-"))</f>
        <v/>
      </c>
      <c r="G14" s="99">
        <f>IFERROR(INDEX($X$9:$X$40,MATCH(B14,$V$9:$V$40,0)),"")</f>
        <v/>
      </c>
      <c r="M14" s="80">
        <f>IFERROR(INDEX($Y$9:$Y$40,MATCH(B14,$V$9:$V$40,0)),"")</f>
        <v/>
      </c>
      <c r="N14" s="80">
        <f>IF(M14="","",Bootstrap!H14)</f>
        <v/>
      </c>
      <c r="O14" s="72">
        <f>IF(M14="","",N14-M14)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97">
        <f>IFERROR(INDEX($J$12:$T$82,MATCH(B15,INDEX($J$12:$T$82,0,$I$3),0),$I$4)*$I$5,IF(ISNUMBER(G15),G15,""))</f>
        <v/>
      </c>
      <c r="E15" s="89">
        <f>IF(ISNUMBER(D15),(C15-D15)*100,IF(ISNUMBER(G15),(C15-G15)*100,""))</f>
        <v/>
      </c>
      <c r="F15" s="93">
        <f>IF(ISNUMBER(IFERROR(INDEX($J$12:$T$82,MATCH(B15,INDEX($J$12:$T$82,0,$I$3),0),$I$4)*$I$5,"")),"BDS live",IF(ISNUMBER(G15),"manual paste","-"))</f>
        <v/>
      </c>
      <c r="G15" s="99">
        <f>IFERROR(INDEX($X$9:$X$40,MATCH(B15,$V$9:$V$40,0)),"")</f>
        <v/>
      </c>
      <c r="M15" s="80">
        <f>IFERROR(INDEX($Y$9:$Y$40,MATCH(B15,$V$9:$V$40,0)),"")</f>
        <v/>
      </c>
      <c r="N15" s="80">
        <f>IF(M15="","",Bootstrap!H15)</f>
        <v/>
      </c>
      <c r="O15" s="72">
        <f>IF(M15="","",N15-M15)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97">
        <f>IFERROR(INDEX($J$12:$T$82,MATCH(B16,INDEX($J$12:$T$82,0,$I$3),0),$I$4)*$I$5,IF(ISNUMBER(G16),G16,""))</f>
        <v/>
      </c>
      <c r="E16" s="89">
        <f>IF(ISNUMBER(D16),(C16-D16)*100,IF(ISNUMBER(G16),(C16-G16)*100,""))</f>
        <v/>
      </c>
      <c r="F16" s="93">
        <f>IF(ISNUMBER(IFERROR(INDEX($J$12:$T$82,MATCH(B16,INDEX($J$12:$T$82,0,$I$3),0),$I$4)*$I$5,"")),"BDS live",IF(ISNUMBER(G16),"manual paste","-"))</f>
        <v/>
      </c>
      <c r="G16" s="99">
        <f>IFERROR(INDEX($X$9:$X$40,MATCH(B16,$V$9:$V$40,0)),"")</f>
        <v/>
      </c>
      <c r="M16" s="80">
        <f>IFERROR(INDEX($Y$9:$Y$40,MATCH(B16,$V$9:$V$40,0)),"")</f>
        <v/>
      </c>
      <c r="N16" s="80">
        <f>IF(M16="","",Bootstrap!H16)</f>
        <v/>
      </c>
      <c r="O16" s="72">
        <f>IF(M16="","",N16-M16)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97">
        <f>IFERROR(INDEX($J$12:$T$82,MATCH(B17,INDEX($J$12:$T$82,0,$I$3),0),$I$4)*$I$5,IF(ISNUMBER(G17),G17,""))</f>
        <v/>
      </c>
      <c r="E17" s="89">
        <f>IF(ISNUMBER(D17),(C17-D17)*100,IF(ISNUMBER(G17),(C17-G17)*100,""))</f>
        <v/>
      </c>
      <c r="F17" s="93">
        <f>IF(ISNUMBER(IFERROR(INDEX($J$12:$T$82,MATCH(B17,INDEX($J$12:$T$82,0,$I$3),0),$I$4)*$I$5,"")),"BDS live",IF(ISNUMBER(G17),"manual paste","-"))</f>
        <v/>
      </c>
      <c r="G17" s="99">
        <f>IFERROR(INDEX($X$9:$X$40,MATCH(B17,$V$9:$V$40,0)),"")</f>
        <v/>
      </c>
      <c r="M17" s="80">
        <f>IFERROR(INDEX($Y$9:$Y$40,MATCH(B17,$V$9:$V$40,0)),"")</f>
        <v/>
      </c>
      <c r="N17" s="80">
        <f>IF(M17="","",Bootstrap!H17)</f>
        <v/>
      </c>
      <c r="O17" s="72">
        <f>IF(M17="","",N17-M17)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97">
        <f>IFERROR(INDEX($J$12:$T$82,MATCH(B18,INDEX($J$12:$T$82,0,$I$3),0),$I$4)*$I$5,IF(ISNUMBER(G18),G18,""))</f>
        <v/>
      </c>
      <c r="E18" s="89">
        <f>IF(ISNUMBER(D18),(C18-D18)*100,IF(ISNUMBER(G18),(C18-G18)*100,""))</f>
        <v/>
      </c>
      <c r="F18" s="93">
        <f>IF(ISNUMBER(IFERROR(INDEX($J$12:$T$82,MATCH(B18,INDEX($J$12:$T$82,0,$I$3),0),$I$4)*$I$5,"")),"BDS live",IF(ISNUMBER(G18),"manual paste","-"))</f>
        <v/>
      </c>
      <c r="G18" s="99">
        <f>IFERROR(INDEX($X$9:$X$40,MATCH(B18,$V$9:$V$40,0)),"")</f>
        <v/>
      </c>
      <c r="M18" s="80">
        <f>IFERROR(INDEX($Y$9:$Y$40,MATCH(B18,$V$9:$V$40,0)),"")</f>
        <v/>
      </c>
      <c r="N18" s="80">
        <f>IF(M18="","",Bootstrap!H18)</f>
        <v/>
      </c>
      <c r="O18" s="72">
        <f>IF(M18="","",N18-M18)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97">
        <f>IFERROR(INDEX($J$12:$T$82,MATCH(B19,INDEX($J$12:$T$82,0,$I$3),0),$I$4)*$I$5,IF(ISNUMBER(G19),G19,""))</f>
        <v/>
      </c>
      <c r="E19" s="89">
        <f>IF(ISNUMBER(D19),(C19-D19)*100,IF(ISNUMBER(G19),(C19-G19)*100,""))</f>
        <v/>
      </c>
      <c r="F19" s="93">
        <f>IF(ISNUMBER(IFERROR(INDEX($J$12:$T$82,MATCH(B19,INDEX($J$12:$T$82,0,$I$3),0),$I$4)*$I$5,"")),"BDS live",IF(ISNUMBER(G19),"manual paste","-"))</f>
        <v/>
      </c>
      <c r="G19" s="99">
        <f>IFERROR(INDEX($X$9:$X$40,MATCH(B19,$V$9:$V$40,0)),"")</f>
        <v/>
      </c>
      <c r="M19" s="80">
        <f>IFERROR(INDEX($Y$9:$Y$40,MATCH(B19,$V$9:$V$40,0)),"")</f>
        <v/>
      </c>
      <c r="N19" s="80">
        <f>IF(M19="","",Bootstrap!H19)</f>
        <v/>
      </c>
      <c r="O19" s="72">
        <f>IF(M19="","",N19-M19)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97">
        <f>IFERROR(INDEX($J$12:$T$82,MATCH(B20,INDEX($J$12:$T$82,0,$I$3),0),$I$4)*$I$5,IF(ISNUMBER(G20),G20,""))</f>
        <v/>
      </c>
      <c r="E20" s="89">
        <f>IF(ISNUMBER(D20),(C20-D20)*100,IF(ISNUMBER(G20),(C20-G20)*100,""))</f>
        <v/>
      </c>
      <c r="F20" s="93">
        <f>IF(ISNUMBER(IFERROR(INDEX($J$12:$T$82,MATCH(B20,INDEX($J$12:$T$82,0,$I$3),0),$I$4)*$I$5,"")),"BDS live",IF(ISNUMBER(G20),"manual paste","-"))</f>
        <v/>
      </c>
      <c r="G20" s="99">
        <f>IFERROR(INDEX($X$9:$X$40,MATCH(B20,$V$9:$V$40,0)),"")</f>
        <v/>
      </c>
      <c r="M20" s="80">
        <f>IFERROR(INDEX($Y$9:$Y$40,MATCH(B20,$V$9:$V$40,0)),"")</f>
        <v/>
      </c>
      <c r="N20" s="80">
        <f>IF(M20="","",Bootstrap!H20)</f>
        <v/>
      </c>
      <c r="O20" s="72">
        <f>IF(M20="","",N20-M20)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97">
        <f>IFERROR(INDEX($J$12:$T$82,MATCH(B21,INDEX($J$12:$T$82,0,$I$3),0),$I$4)*$I$5,IF(ISNUMBER(G21),G21,""))</f>
        <v/>
      </c>
      <c r="E21" s="89">
        <f>IF(ISNUMBER(D21),(C21-D21)*100,IF(ISNUMBER(G21),(C21-G21)*100,""))</f>
        <v/>
      </c>
      <c r="F21" s="93">
        <f>IF(ISNUMBER(IFERROR(INDEX($J$12:$T$82,MATCH(B21,INDEX($J$12:$T$82,0,$I$3),0),$I$4)*$I$5,"")),"BDS live",IF(ISNUMBER(G21),"manual paste","-"))</f>
        <v/>
      </c>
      <c r="G21" s="99">
        <f>IFERROR(INDEX($X$9:$X$40,MATCH(B21,$V$9:$V$40,0)),"")</f>
        <v/>
      </c>
      <c r="M21" s="80">
        <f>IFERROR(INDEX($Y$9:$Y$40,MATCH(B21,$V$9:$V$40,0)),"")</f>
        <v/>
      </c>
      <c r="N21" s="80">
        <f>IF(M21="","",Bootstrap!H21)</f>
        <v/>
      </c>
      <c r="O21" s="72">
        <f>IF(M21="","",N21-M21)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97">
        <f>IFERROR(INDEX($J$12:$T$82,MATCH(B22,INDEX($J$12:$T$82,0,$I$3),0),$I$4)*$I$5,IF(ISNUMBER(G22),G22,""))</f>
        <v/>
      </c>
      <c r="E22" s="89">
        <f>IF(ISNUMBER(D22),(C22-D22)*100,IF(ISNUMBER(G22),(C22-G22)*100,""))</f>
        <v/>
      </c>
      <c r="F22" s="93">
        <f>IF(ISNUMBER(IFERROR(INDEX($J$12:$T$82,MATCH(B22,INDEX($J$12:$T$82,0,$I$3),0),$I$4)*$I$5,"")),"BDS live",IF(ISNUMBER(G22),"manual paste","-"))</f>
        <v/>
      </c>
      <c r="G22" s="99">
        <f>IFERROR(INDEX($X$9:$X$40,MATCH(B22,$V$9:$V$40,0)),"")</f>
        <v/>
      </c>
      <c r="M22" s="80">
        <f>IFERROR(INDEX($Y$9:$Y$40,MATCH(B22,$V$9:$V$40,0)),"")</f>
        <v/>
      </c>
      <c r="N22" s="80">
        <f>IF(M22="","",Bootstrap!H22)</f>
        <v/>
      </c>
      <c r="O22" s="72">
        <f>IF(M22="","",N22-M22)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97">
        <f>IFERROR(INDEX($J$12:$T$82,MATCH(B23,INDEX($J$12:$T$82,0,$I$3),0),$I$4)*$I$5,IF(ISNUMBER(G23),G23,""))</f>
        <v/>
      </c>
      <c r="E23" s="89">
        <f>IF(ISNUMBER(D23),(C23-D23)*100,IF(ISNUMBER(G23),(C23-G23)*100,""))</f>
        <v/>
      </c>
      <c r="F23" s="93">
        <f>IF(ISNUMBER(IFERROR(INDEX($J$12:$T$82,MATCH(B23,INDEX($J$12:$T$82,0,$I$3),0),$I$4)*$I$5,"")),"BDS live",IF(ISNUMBER(G23),"manual paste","-"))</f>
        <v/>
      </c>
      <c r="G23" s="99">
        <f>IFERROR(INDEX($X$9:$X$40,MATCH(B23,$V$9:$V$40,0)),"")</f>
        <v/>
      </c>
      <c r="M23" s="80">
        <f>IFERROR(INDEX($Y$9:$Y$40,MATCH(B23,$V$9:$V$40,0)),"")</f>
        <v/>
      </c>
      <c r="N23" s="80">
        <f>IF(M23="","",Bootstrap!H23)</f>
        <v/>
      </c>
      <c r="O23" s="72">
        <f>IF(M23="","",N23-M23)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97">
        <f>IFERROR(INDEX($J$12:$T$82,MATCH(B24,INDEX($J$12:$T$82,0,$I$3),0),$I$4)*$I$5,IF(ISNUMBER(G24),G24,""))</f>
        <v/>
      </c>
      <c r="E24" s="89">
        <f>IF(ISNUMBER(D24),(C24-D24)*100,IF(ISNUMBER(G24),(C24-G24)*100,""))</f>
        <v/>
      </c>
      <c r="F24" s="93">
        <f>IF(ISNUMBER(IFERROR(INDEX($J$12:$T$82,MATCH(B24,INDEX($J$12:$T$82,0,$I$3),0),$I$4)*$I$5,"")),"BDS live",IF(ISNUMBER(G24),"manual paste","-"))</f>
        <v/>
      </c>
      <c r="G24" s="99">
        <f>IFERROR(INDEX($X$9:$X$40,MATCH(B24,$V$9:$V$40,0)),"")</f>
        <v/>
      </c>
      <c r="M24" s="80">
        <f>IFERROR(INDEX($Y$9:$Y$40,MATCH(B24,$V$9:$V$40,0)),"")</f>
        <v/>
      </c>
      <c r="N24" s="80">
        <f>IF(M24="","",Bootstrap!H24)</f>
        <v/>
      </c>
      <c r="O24" s="72">
        <f>IF(M24="","",N24-M24)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97">
        <f>IFERROR(INDEX($J$12:$T$82,MATCH(B25,INDEX($J$12:$T$82,0,$I$3),0),$I$4)*$I$5,IF(ISNUMBER(G25),G25,""))</f>
        <v/>
      </c>
      <c r="E25" s="89">
        <f>IF(ISNUMBER(D25),(C25-D25)*100,IF(ISNUMBER(G25),(C25-G25)*100,""))</f>
        <v/>
      </c>
      <c r="F25" s="93">
        <f>IF(ISNUMBER(IFERROR(INDEX($J$12:$T$82,MATCH(B25,INDEX($J$12:$T$82,0,$I$3),0),$I$4)*$I$5,"")),"BDS live",IF(ISNUMBER(G25),"manual paste","-"))</f>
        <v/>
      </c>
      <c r="G25" s="99">
        <f>IFERROR(INDEX($X$9:$X$40,MATCH(B25,$V$9:$V$40,0)),"")</f>
        <v/>
      </c>
      <c r="M25" s="80">
        <f>IFERROR(INDEX($Y$9:$Y$40,MATCH(B25,$V$9:$V$40,0)),"")</f>
        <v/>
      </c>
      <c r="N25" s="80">
        <f>IF(M25="","",Bootstrap!H25)</f>
        <v/>
      </c>
      <c r="O25" s="72">
        <f>IF(M25="","",N25-M25)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97">
        <f>IFERROR(INDEX($J$12:$T$82,MATCH(B26,INDEX($J$12:$T$82,0,$I$3),0),$I$4)*$I$5,IF(ISNUMBER(G26),G26,""))</f>
        <v/>
      </c>
      <c r="E26" s="89">
        <f>IF(ISNUMBER(D26),(C26-D26)*100,IF(ISNUMBER(G26),(C26-G26)*100,""))</f>
        <v/>
      </c>
      <c r="F26" s="93">
        <f>IF(ISNUMBER(IFERROR(INDEX($J$12:$T$82,MATCH(B26,INDEX($J$12:$T$82,0,$I$3),0),$I$4)*$I$5,"")),"BDS live",IF(ISNUMBER(G26),"manual paste","-"))</f>
        <v/>
      </c>
      <c r="G26" s="99">
        <f>IFERROR(INDEX($X$9:$X$40,MATCH(B26,$V$9:$V$40,0)),"")</f>
        <v/>
      </c>
      <c r="M26" s="80">
        <f>IFERROR(INDEX($Y$9:$Y$40,MATCH(B26,$V$9:$V$40,0)),"")</f>
        <v/>
      </c>
      <c r="N26" s="80">
        <f>IF(M26="","",Bootstrap!H26)</f>
        <v/>
      </c>
      <c r="O26" s="72">
        <f>IF(M26="","",N26-M26)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97">
        <f>IFERROR(INDEX($J$12:$T$82,MATCH(B27,INDEX($J$12:$T$82,0,$I$3),0),$I$4)*$I$5,IF(ISNUMBER(G27),G27,""))</f>
        <v/>
      </c>
      <c r="E27" s="89">
        <f>IF(ISNUMBER(D27),(C27-D27)*100,IF(ISNUMBER(G27),(C27-G27)*100,""))</f>
        <v/>
      </c>
      <c r="F27" s="93">
        <f>IF(ISNUMBER(IFERROR(INDEX($J$12:$T$82,MATCH(B27,INDEX($J$12:$T$82,0,$I$3),0),$I$4)*$I$5,"")),"BDS live",IF(ISNUMBER(G27),"manual paste","-"))</f>
        <v/>
      </c>
      <c r="G27" s="99">
        <f>IFERROR(INDEX($X$9:$X$40,MATCH(B27,$V$9:$V$40,0)),"")</f>
        <v/>
      </c>
      <c r="M27" s="80">
        <f>IFERROR(INDEX($Y$9:$Y$40,MATCH(B27,$V$9:$V$40,0)),"")</f>
        <v/>
      </c>
      <c r="N27" s="80">
        <f>IF(M27="","",Bootstrap!H27)</f>
        <v/>
      </c>
      <c r="O27" s="72">
        <f>IF(M27="","",N27-M27)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97">
        <f>IFERROR(INDEX($J$12:$T$82,MATCH(B28,INDEX($J$12:$T$82,0,$I$3),0),$I$4)*$I$5,IF(ISNUMBER(G28),G28,""))</f>
        <v/>
      </c>
      <c r="E28" s="89">
        <f>IF(ISNUMBER(D28),(C28-D28)*100,IF(ISNUMBER(G28),(C28-G28)*100,""))</f>
        <v/>
      </c>
      <c r="F28" s="93">
        <f>IF(ISNUMBER(IFERROR(INDEX($J$12:$T$82,MATCH(B28,INDEX($J$12:$T$82,0,$I$3),0),$I$4)*$I$5,"")),"BDS live",IF(ISNUMBER(G28),"manual paste","-"))</f>
        <v/>
      </c>
      <c r="G28" s="99">
        <f>IFERROR(INDEX($X$9:$X$40,MATCH(B28,$V$9:$V$40,0)),"")</f>
        <v/>
      </c>
      <c r="M28" s="80">
        <f>IFERROR(INDEX($Y$9:$Y$40,MATCH(B28,$V$9:$V$40,0)),"")</f>
        <v/>
      </c>
      <c r="N28" s="80">
        <f>IF(M28="","",Bootstrap!H28)</f>
        <v/>
      </c>
      <c r="O28" s="72">
        <f>IF(M28="","",N28-M28)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97">
        <f>IFERROR(INDEX($J$12:$T$82,MATCH(B29,INDEX($J$12:$T$82,0,$I$3),0),$I$4)*$I$5,IF(ISNUMBER(G29),G29,""))</f>
        <v/>
      </c>
      <c r="E29" s="89">
        <f>IF(ISNUMBER(D29),(C29-D29)*100,IF(ISNUMBER(G29),(C29-G29)*100,""))</f>
        <v/>
      </c>
      <c r="F29" s="93">
        <f>IF(ISNUMBER(IFERROR(INDEX($J$12:$T$82,MATCH(B29,INDEX($J$12:$T$82,0,$I$3),0),$I$4)*$I$5,"")),"BDS live",IF(ISNUMBER(G29),"manual paste","-"))</f>
        <v/>
      </c>
      <c r="G29" s="99">
        <f>IFERROR(INDEX($X$9:$X$40,MATCH(B29,$V$9:$V$40,0)),"")</f>
        <v/>
      </c>
      <c r="M29" s="80">
        <f>IFERROR(INDEX($Y$9:$Y$40,MATCH(B29,$V$9:$V$40,0)),"")</f>
        <v/>
      </c>
      <c r="N29" s="80">
        <f>IF(M29="","",Bootstrap!H29)</f>
        <v/>
      </c>
      <c r="O29" s="72">
        <f>IF(M29="","",N29-M29)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97">
        <f>IFERROR(INDEX($J$12:$T$82,MATCH(B30,INDEX($J$12:$T$82,0,$I$3),0),$I$4)*$I$5,IF(ISNUMBER(G30),G30,""))</f>
        <v/>
      </c>
      <c r="E30" s="89">
        <f>IF(ISNUMBER(D30),(C30-D30)*100,IF(ISNUMBER(G30),(C30-G30)*100,""))</f>
        <v/>
      </c>
      <c r="F30" s="93">
        <f>IF(ISNUMBER(IFERROR(INDEX($J$12:$T$82,MATCH(B30,INDEX($J$12:$T$82,0,$I$3),0),$I$4)*$I$5,"")),"BDS live",IF(ISNUMBER(G30),"manual paste","-"))</f>
        <v/>
      </c>
      <c r="G30" s="99">
        <f>IFERROR(INDEX($X$9:$X$40,MATCH(B30,$V$9:$V$40,0)),"")</f>
        <v/>
      </c>
      <c r="M30" s="80">
        <f>IFERROR(INDEX($Y$9:$Y$40,MATCH(B30,$V$9:$V$40,0)),"")</f>
        <v/>
      </c>
      <c r="N30" s="80">
        <f>IF(M30="","",Bootstrap!H30)</f>
        <v/>
      </c>
      <c r="O30" s="72">
        <f>IF(M30="","",N30-M30)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97">
        <f>IFERROR(INDEX($J$12:$T$82,MATCH(B31,INDEX($J$12:$T$82,0,$I$3),0),$I$4)*$I$5,IF(ISNUMBER(G31),G31,""))</f>
        <v/>
      </c>
      <c r="E31" s="89">
        <f>IF(ISNUMBER(D31),(C31-D31)*100,IF(ISNUMBER(G31),(C31-G31)*100,""))</f>
        <v/>
      </c>
      <c r="F31" s="93">
        <f>IF(ISNUMBER(IFERROR(INDEX($J$12:$T$82,MATCH(B31,INDEX($J$12:$T$82,0,$I$3),0),$I$4)*$I$5,"")),"BDS live",IF(ISNUMBER(G31),"manual paste","-"))</f>
        <v/>
      </c>
      <c r="G31" s="99">
        <f>IFERROR(INDEX($X$9:$X$40,MATCH(B31,$V$9:$V$40,0)),"")</f>
        <v/>
      </c>
      <c r="M31" s="80">
        <f>IFERROR(INDEX($Y$9:$Y$40,MATCH(B31,$V$9:$V$40,0)),"")</f>
        <v/>
      </c>
      <c r="N31" s="80">
        <f>IF(M31="","",Bootstrap!H31)</f>
        <v/>
      </c>
      <c r="O31" s="72">
        <f>IF(M31="","",N31-M31)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97">
        <f>IFERROR(INDEX($J$12:$T$82,MATCH(B32,INDEX($J$12:$T$82,0,$I$3),0),$I$4)*$I$5,IF(ISNUMBER(G32),G32,""))</f>
        <v/>
      </c>
      <c r="E32" s="89">
        <f>IF(ISNUMBER(D32),(C32-D32)*100,IF(ISNUMBER(G32),(C32-G32)*100,""))</f>
        <v/>
      </c>
      <c r="F32" s="93">
        <f>IF(ISNUMBER(IFERROR(INDEX($J$12:$T$82,MATCH(B32,INDEX($J$12:$T$82,0,$I$3),0),$I$4)*$I$5,"")),"BDS live",IF(ISNUMBER(G32),"manual paste","-"))</f>
        <v/>
      </c>
      <c r="G32" s="99">
        <f>IFERROR(INDEX($X$9:$X$40,MATCH(B32,$V$9:$V$40,0)),"")</f>
        <v/>
      </c>
      <c r="M32" s="80">
        <f>IFERROR(INDEX($Y$9:$Y$40,MATCH(B32,$V$9:$V$40,0)),"")</f>
        <v/>
      </c>
      <c r="N32" s="80">
        <f>IF(M32="","",Bootstrap!H32)</f>
        <v/>
      </c>
      <c r="O32" s="72">
        <f>IF(M32="","",N32-M32)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97">
        <f>IFERROR(INDEX($J$12:$T$82,MATCH(B33,INDEX($J$12:$T$82,0,$I$3),0),$I$4)*$I$5,IF(ISNUMBER(G33),G33,""))</f>
        <v/>
      </c>
      <c r="E33" s="89">
        <f>IF(ISNUMBER(D33),(C33-D33)*100,IF(ISNUMBER(G33),(C33-G33)*100,""))</f>
        <v/>
      </c>
      <c r="F33" s="93">
        <f>IF(ISNUMBER(IFERROR(INDEX($J$12:$T$82,MATCH(B33,INDEX($J$12:$T$82,0,$I$3),0),$I$4)*$I$5,"")),"BDS live",IF(ISNUMBER(G33),"manual paste","-"))</f>
        <v/>
      </c>
      <c r="G33" s="99">
        <f>IFERROR(INDEX($X$9:$X$40,MATCH(B33,$V$9:$V$40,0)),"")</f>
        <v/>
      </c>
      <c r="M33" s="80">
        <f>IFERROR(INDEX($Y$9:$Y$40,MATCH(B33,$V$9:$V$40,0)),"")</f>
        <v/>
      </c>
      <c r="N33" s="80">
        <f>IF(M33="","",Bootstrap!H33)</f>
        <v/>
      </c>
      <c r="O33" s="72">
        <f>IF(M33="","",N33-M33)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97">
        <f>IFERROR(INDEX($J$12:$T$82,MATCH(B34,INDEX($J$12:$T$82,0,$I$3),0),$I$4)*$I$5,IF(ISNUMBER(G34),G34,""))</f>
        <v/>
      </c>
      <c r="E34" s="89">
        <f>IF(ISNUMBER(D34),(C34-D34)*100,IF(ISNUMBER(G34),(C34-G34)*100,""))</f>
        <v/>
      </c>
      <c r="F34" s="93">
        <f>IF(ISNUMBER(IFERROR(INDEX($J$12:$T$82,MATCH(B34,INDEX($J$12:$T$82,0,$I$3),0),$I$4)*$I$5,"")),"BDS live",IF(ISNUMBER(G34),"manual paste","-"))</f>
        <v/>
      </c>
      <c r="G34" s="99">
        <f>IFERROR(INDEX($X$9:$X$40,MATCH(B34,$V$9:$V$40,0)),"")</f>
        <v/>
      </c>
      <c r="M34" s="80">
        <f>IFERROR(INDEX($Y$9:$Y$40,MATCH(B34,$V$9:$V$40,0)),"")</f>
        <v/>
      </c>
      <c r="N34" s="80">
        <f>IF(M34="","",Bootstrap!H34)</f>
        <v/>
      </c>
      <c r="O34" s="72">
        <f>IF(M34="","",N34-M34)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97">
        <f>IFERROR(INDEX($J$12:$T$82,MATCH(B35,INDEX($J$12:$T$82,0,$I$3),0),$I$4)*$I$5,IF(ISNUMBER(G35),G35,""))</f>
        <v/>
      </c>
      <c r="E35" s="89">
        <f>IF(ISNUMBER(D35),(C35-D35)*100,IF(ISNUMBER(G35),(C35-G35)*100,""))</f>
        <v/>
      </c>
      <c r="F35" s="93">
        <f>IF(ISNUMBER(IFERROR(INDEX($J$12:$T$82,MATCH(B35,INDEX($J$12:$T$82,0,$I$3),0),$I$4)*$I$5,"")),"BDS live",IF(ISNUMBER(G35),"manual paste","-"))</f>
        <v/>
      </c>
      <c r="G35" s="99">
        <f>IFERROR(INDEX($X$9:$X$40,MATCH(B35,$V$9:$V$40,0)),"")</f>
        <v/>
      </c>
      <c r="M35" s="80">
        <f>IFERROR(INDEX($Y$9:$Y$40,MATCH(B35,$V$9:$V$40,0)),"")</f>
        <v/>
      </c>
      <c r="N35" s="80">
        <f>IF(M35="","",Bootstrap!H35)</f>
        <v/>
      </c>
      <c r="O35" s="72">
        <f>IF(M35="","",N35-M35)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97">
        <f>IFERROR(INDEX($J$12:$T$82,MATCH(B36,INDEX($J$12:$T$82,0,$I$3),0),$I$4)*$I$5,IF(ISNUMBER(G36),G36,""))</f>
        <v/>
      </c>
      <c r="E36" s="89">
        <f>IF(ISNUMBER(D36),(C36-D36)*100,IF(ISNUMBER(G36),(C36-G36)*100,""))</f>
        <v/>
      </c>
      <c r="F36" s="93">
        <f>IF(ISNUMBER(IFERROR(INDEX($J$12:$T$82,MATCH(B36,INDEX($J$12:$T$82,0,$I$3),0),$I$4)*$I$5,"")),"BDS live",IF(ISNUMBER(G36),"manual paste","-"))</f>
        <v/>
      </c>
      <c r="G36" s="99">
        <f>IFERROR(INDEX($X$9:$X$40,MATCH(B36,$V$9:$V$40,0)),"")</f>
        <v/>
      </c>
      <c r="M36" s="80">
        <f>IFERROR(INDEX($Y$9:$Y$40,MATCH(B36,$V$9:$V$40,0)),"")</f>
        <v/>
      </c>
      <c r="N36" s="80">
        <f>IF(M36="","",Bootstrap!H36)</f>
        <v/>
      </c>
      <c r="O36" s="72">
        <f>IF(M36="","",N36-M36)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97">
        <f>IFERROR(INDEX($J$12:$T$82,MATCH(B37,INDEX($J$12:$T$82,0,$I$3),0),$I$4)*$I$5,IF(ISNUMBER(G37),G37,""))</f>
        <v/>
      </c>
      <c r="E37" s="89">
        <f>IF(ISNUMBER(D37),(C37-D37)*100,IF(ISNUMBER(G37),(C37-G37)*100,""))</f>
        <v/>
      </c>
      <c r="F37" s="93">
        <f>IF(ISNUMBER(IFERROR(INDEX($J$12:$T$82,MATCH(B37,INDEX($J$12:$T$82,0,$I$3),0),$I$4)*$I$5,"")),"BDS live",IF(ISNUMBER(G37),"manual paste","-"))</f>
        <v/>
      </c>
      <c r="G37" s="99">
        <f>IFERROR(INDEX($X$9:$X$40,MATCH(B37,$V$9:$V$40,0)),"")</f>
        <v/>
      </c>
      <c r="M37" s="80">
        <f>IFERROR(INDEX($Y$9:$Y$40,MATCH(B37,$V$9:$V$40,0)),"")</f>
        <v/>
      </c>
      <c r="N37" s="80">
        <f>IF(M37="","",Bootstrap!H37)</f>
        <v/>
      </c>
      <c r="O37" s="72">
        <f>IF(M37="","",N37-M37)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97">
        <f>IFERROR(INDEX($J$12:$T$82,MATCH(B38,INDEX($J$12:$T$82,0,$I$3),0),$I$4)*$I$5,IF(ISNUMBER(G38),G38,""))</f>
        <v/>
      </c>
      <c r="E38" s="89">
        <f>IF(ISNUMBER(D38),(C38-D38)*100,IF(ISNUMBER(G38),(C38-G38)*100,""))</f>
        <v/>
      </c>
      <c r="F38" s="93">
        <f>IF(ISNUMBER(IFERROR(INDEX($J$12:$T$82,MATCH(B38,INDEX($J$12:$T$82,0,$I$3),0),$I$4)*$I$5,"")),"BDS live",IF(ISNUMBER(G38),"manual paste","-"))</f>
        <v/>
      </c>
      <c r="G38" s="99">
        <f>IFERROR(INDEX($X$9:$X$40,MATCH(B38,$V$9:$V$40,0)),"")</f>
        <v/>
      </c>
      <c r="M38" s="80">
        <f>IFERROR(INDEX($Y$9:$Y$40,MATCH(B38,$V$9:$V$40,0)),"")</f>
        <v/>
      </c>
      <c r="N38" s="80">
        <f>IF(M38="","",Bootstrap!H38)</f>
        <v/>
      </c>
      <c r="O38" s="72">
        <f>IF(M38="","",N38-M38)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97">
        <f>IFERROR(INDEX($J$12:$T$82,MATCH(B39,INDEX($J$12:$T$82,0,$I$3),0),$I$4)*$I$5,IF(ISNUMBER(G39),G39,""))</f>
        <v/>
      </c>
      <c r="E39" s="89">
        <f>IF(ISNUMBER(D39),(C39-D39)*100,IF(ISNUMBER(G39),(C39-G39)*100,""))</f>
        <v/>
      </c>
      <c r="F39" s="93">
        <f>IF(ISNUMBER(IFERROR(INDEX($J$12:$T$82,MATCH(B39,INDEX($J$12:$T$82,0,$I$3),0),$I$4)*$I$5,"")),"BDS live",IF(ISNUMBER(G39),"manual paste","-"))</f>
        <v/>
      </c>
      <c r="G39" s="99">
        <f>IFERROR(INDEX($X$9:$X$40,MATCH(B39,$V$9:$V$40,0)),"")</f>
        <v/>
      </c>
      <c r="M39" s="80">
        <f>IFERROR(INDEX($Y$9:$Y$40,MATCH(B39,$V$9:$V$40,0)),"")</f>
        <v/>
      </c>
      <c r="N39" s="80">
        <f>IF(M39="","",Bootstrap!H39)</f>
        <v/>
      </c>
      <c r="O39" s="72">
        <f>IF(M39="","",N39-M39)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97">
        <f>IFERROR(INDEX($J$12:$T$82,MATCH(B40,INDEX($J$12:$T$82,0,$I$3),0),$I$4)*$I$5,IF(ISNUMBER(G40),G40,""))</f>
        <v/>
      </c>
      <c r="E40" s="89">
        <f>IF(ISNUMBER(D40),(C40-D40)*100,IF(ISNUMBER(G40),(C40-G40)*100,""))</f>
        <v/>
      </c>
      <c r="F40" s="93">
        <f>IF(ISNUMBER(IFERROR(INDEX($J$12:$T$82,MATCH(B40,INDEX($J$12:$T$82,0,$I$3),0),$I$4)*$I$5,"")),"BDS live",IF(ISNUMBER(G40),"manual paste","-"))</f>
        <v/>
      </c>
      <c r="G40" s="99">
        <f>IFERROR(INDEX($X$9:$X$40,MATCH(B40,$V$9:$V$40,0)),"")</f>
        <v/>
      </c>
      <c r="M40" s="80">
        <f>IFERROR(INDEX($Y$9:$Y$40,MATCH(B40,$V$9:$V$40,0)),"")</f>
        <v/>
      </c>
      <c r="N40" s="80">
        <f>IF(M40="","",Bootstrap!H40)</f>
        <v/>
      </c>
      <c r="O40" s="72">
        <f>IF(M40="","",N40-M40)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97">
        <f>IFERROR(INDEX($J$12:$T$82,MATCH(B41,INDEX($J$12:$T$82,0,$I$3),0),$I$4)*$I$5,IF(ISNUMBER(G41),G41,""))</f>
        <v/>
      </c>
      <c r="E41" s="89">
        <f>IF(ISNUMBER(D41),(C41-D41)*100,IF(ISNUMBER(G41),(C41-G41)*100,""))</f>
        <v/>
      </c>
      <c r="F41" s="93">
        <f>IF(ISNUMBER(IFERROR(INDEX($J$12:$T$82,MATCH(B41,INDEX($J$12:$T$82,0,$I$3),0),$I$4)*$I$5,"")),"BDS live",IF(ISNUMBER(G41),"manual paste","-"))</f>
        <v/>
      </c>
      <c r="G41" s="99">
        <f>IFERROR(INDEX($X$9:$X$40,MATCH(B41,$V$9:$V$40,0)),"")</f>
        <v/>
      </c>
      <c r="M41" s="80">
        <f>IFERROR(INDEX($Y$9:$Y$40,MATCH(B41,$V$9:$V$40,0)),"")</f>
        <v/>
      </c>
      <c r="N41" s="80">
        <f>IF(M41="","",Bootstrap!H41)</f>
        <v/>
      </c>
      <c r="O41" s="72">
        <f>IF(M41="","",N41-M41)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97">
        <f>IFERROR(INDEX($J$12:$T$82,MATCH(B42,INDEX($J$12:$T$82,0,$I$3),0),$I$4)*$I$5,IF(ISNUMBER(G42),G42,""))</f>
        <v/>
      </c>
      <c r="E42" s="89">
        <f>IF(ISNUMBER(D42),(C42-D42)*100,IF(ISNUMBER(G42),(C42-G42)*100,""))</f>
        <v/>
      </c>
      <c r="F42" s="93">
        <f>IF(ISNUMBER(IFERROR(INDEX($J$12:$T$82,MATCH(B42,INDEX($J$12:$T$82,0,$I$3),0),$I$4)*$I$5,"")),"BDS live",IF(ISNUMBER(G42),"manual paste","-"))</f>
        <v/>
      </c>
      <c r="G42" s="99">
        <f>IFERROR(INDEX($X$9:$X$40,MATCH(B42,$V$9:$V$40,0)),"")</f>
        <v/>
      </c>
      <c r="M42" s="80">
        <f>IFERROR(INDEX($Y$9:$Y$40,MATCH(B42,$V$9:$V$40,0)),"")</f>
        <v/>
      </c>
      <c r="N42" s="80">
        <f>IF(M42="","",Bootstrap!H42)</f>
        <v/>
      </c>
      <c r="O42" s="72">
        <f>IF(M42="","",N42-M42)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97">
        <f>IFERROR(INDEX($J$12:$T$82,MATCH(B43,INDEX($J$12:$T$82,0,$I$3),0),$I$4)*$I$5,IF(ISNUMBER(G43),G43,""))</f>
        <v/>
      </c>
      <c r="E43" s="89">
        <f>IF(ISNUMBER(D43),(C43-D43)*100,IF(ISNUMBER(G43),(C43-G43)*100,""))</f>
        <v/>
      </c>
      <c r="F43" s="93">
        <f>IF(ISNUMBER(IFERROR(INDEX($J$12:$T$82,MATCH(B43,INDEX($J$12:$T$82,0,$I$3),0),$I$4)*$I$5,"")),"BDS live",IF(ISNUMBER(G43),"manual paste","-"))</f>
        <v/>
      </c>
      <c r="G43" s="99">
        <f>IFERROR(INDEX($X$9:$X$40,MATCH(B43,$V$9:$V$40,0)),"")</f>
        <v/>
      </c>
      <c r="M43" s="80">
        <f>IFERROR(INDEX($Y$9:$Y$40,MATCH(B43,$V$9:$V$40,0)),"")</f>
        <v/>
      </c>
      <c r="N43" s="80">
        <f>IF(M43="","",Bootstrap!H43)</f>
        <v/>
      </c>
      <c r="O43" s="72">
        <f>IF(M43="","",N43-M43)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97">
        <f>IFERROR(INDEX($J$12:$T$82,MATCH(B44,INDEX($J$12:$T$82,0,$I$3),0),$I$4)*$I$5,IF(ISNUMBER(G44),G44,""))</f>
        <v/>
      </c>
      <c r="E44" s="89">
        <f>IF(ISNUMBER(D44),(C44-D44)*100,IF(ISNUMBER(G44),(C44-G44)*100,""))</f>
        <v/>
      </c>
      <c r="F44" s="93">
        <f>IF(ISNUMBER(IFERROR(INDEX($J$12:$T$82,MATCH(B44,INDEX($J$12:$T$82,0,$I$3),0),$I$4)*$I$5,"")),"BDS live",IF(ISNUMBER(G44),"manual paste","-"))</f>
        <v/>
      </c>
      <c r="G44" s="99">
        <f>IFERROR(INDEX($X$9:$X$40,MATCH(B44,$V$9:$V$40,0)),"")</f>
        <v/>
      </c>
      <c r="M44" s="80">
        <f>IFERROR(INDEX($Y$9:$Y$40,MATCH(B44,$V$9:$V$40,0)),"")</f>
        <v/>
      </c>
      <c r="N44" s="80">
        <f>IF(M44="","",Bootstrap!H44)</f>
        <v/>
      </c>
      <c r="O44" s="72">
        <f>IF(M44="","",N44-M44)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97">
        <f>IFERROR(INDEX($J$12:$T$82,MATCH(B45,INDEX($J$12:$T$82,0,$I$3),0),$I$4)*$I$5,IF(ISNUMBER(G45),G45,""))</f>
        <v/>
      </c>
      <c r="E45" s="89">
        <f>IF(ISNUMBER(D45),(C45-D45)*100,IF(ISNUMBER(G45),(C45-G45)*100,""))</f>
        <v/>
      </c>
      <c r="F45" s="93">
        <f>IF(ISNUMBER(IFERROR(INDEX($J$12:$T$82,MATCH(B45,INDEX($J$12:$T$82,0,$I$3),0),$I$4)*$I$5,"")),"BDS live",IF(ISNUMBER(G45),"manual paste","-"))</f>
        <v/>
      </c>
      <c r="G45" s="99">
        <f>IFERROR(INDEX($X$9:$X$40,MATCH(B45,$V$9:$V$40,0)),"")</f>
        <v/>
      </c>
      <c r="M45" s="80">
        <f>IFERROR(INDEX($Y$9:$Y$40,MATCH(B45,$V$9:$V$40,0)),"")</f>
        <v/>
      </c>
      <c r="N45" s="80">
        <f>IF(M45="","",Bootstrap!H45)</f>
        <v/>
      </c>
      <c r="O45" s="72">
        <f>IF(M45="","",N45-M45)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97">
        <f>IFERROR(INDEX($J$12:$T$82,MATCH(B46,INDEX($J$12:$T$82,0,$I$3),0),$I$4)*$I$5,IF(ISNUMBER(G46),G46,""))</f>
        <v/>
      </c>
      <c r="E46" s="89">
        <f>IF(ISNUMBER(D46),(C46-D46)*100,IF(ISNUMBER(G46),(C46-G46)*100,""))</f>
        <v/>
      </c>
      <c r="F46" s="93">
        <f>IF(ISNUMBER(IFERROR(INDEX($J$12:$T$82,MATCH(B46,INDEX($J$12:$T$82,0,$I$3),0),$I$4)*$I$5,"")),"BDS live",IF(ISNUMBER(G46),"manual paste","-"))</f>
        <v/>
      </c>
      <c r="G46" s="99">
        <f>IFERROR(INDEX($X$9:$X$40,MATCH(B46,$V$9:$V$40,0)),"")</f>
        <v/>
      </c>
      <c r="M46" s="80">
        <f>IFERROR(INDEX($Y$9:$Y$40,MATCH(B46,$V$9:$V$40,0)),"")</f>
        <v/>
      </c>
      <c r="N46" s="80">
        <f>IF(M46="","",Bootstrap!H46)</f>
        <v/>
      </c>
      <c r="O46" s="72">
        <f>IF(M46="","",N46-M46)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97">
        <f>IFERROR(INDEX($J$12:$T$82,MATCH(B47,INDEX($J$12:$T$82,0,$I$3),0),$I$4)*$I$5,IF(ISNUMBER(G47),G47,""))</f>
        <v/>
      </c>
      <c r="E47" s="89">
        <f>IF(ISNUMBER(D47),(C47-D47)*100,IF(ISNUMBER(G47),(C47-G47)*100,""))</f>
        <v/>
      </c>
      <c r="F47" s="93">
        <f>IF(ISNUMBER(IFERROR(INDEX($J$12:$T$82,MATCH(B47,INDEX($J$12:$T$82,0,$I$3),0),$I$4)*$I$5,"")),"BDS live",IF(ISNUMBER(G47),"manual paste","-"))</f>
        <v/>
      </c>
      <c r="G47" s="99">
        <f>IFERROR(INDEX($X$9:$X$40,MATCH(B47,$V$9:$V$40,0)),"")</f>
        <v/>
      </c>
      <c r="M47" s="80">
        <f>IFERROR(INDEX($Y$9:$Y$40,MATCH(B47,$V$9:$V$40,0)),"")</f>
        <v/>
      </c>
      <c r="N47" s="80">
        <f>IF(M47="","",Bootstrap!H47)</f>
        <v/>
      </c>
      <c r="O47" s="72">
        <f>IF(M47="","",N47-M47)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97">
        <f>IFERROR(INDEX($J$12:$T$82,MATCH(B48,INDEX($J$12:$T$82,0,$I$3),0),$I$4)*$I$5,IF(ISNUMBER(G48),G48,""))</f>
        <v/>
      </c>
      <c r="E48" s="89">
        <f>IF(ISNUMBER(D48),(C48-D48)*100,IF(ISNUMBER(G48),(C48-G48)*100,""))</f>
        <v/>
      </c>
      <c r="F48" s="93">
        <f>IF(ISNUMBER(IFERROR(INDEX($J$12:$T$82,MATCH(B48,INDEX($J$12:$T$82,0,$I$3),0),$I$4)*$I$5,"")),"BDS live",IF(ISNUMBER(G48),"manual paste","-"))</f>
        <v/>
      </c>
      <c r="G48" s="99">
        <f>IFERROR(INDEX($X$9:$X$40,MATCH(B48,$V$9:$V$40,0)),"")</f>
        <v/>
      </c>
      <c r="M48" s="80">
        <f>IFERROR(INDEX($Y$9:$Y$40,MATCH(B48,$V$9:$V$40,0)),"")</f>
        <v/>
      </c>
      <c r="N48" s="80">
        <f>IF(M48="","",Bootstrap!H48)</f>
        <v/>
      </c>
      <c r="O48" s="72">
        <f>IF(M48="","",N48-M48)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97">
        <f>IFERROR(INDEX($J$12:$T$82,MATCH(B49,INDEX($J$12:$T$82,0,$I$3),0),$I$4)*$I$5,IF(ISNUMBER(G49),G49,""))</f>
        <v/>
      </c>
      <c r="E49" s="89">
        <f>IF(ISNUMBER(D49),(C49-D49)*100,IF(ISNUMBER(G49),(C49-G49)*100,""))</f>
        <v/>
      </c>
      <c r="F49" s="93">
        <f>IF(ISNUMBER(IFERROR(INDEX($J$12:$T$82,MATCH(B49,INDEX($J$12:$T$82,0,$I$3),0),$I$4)*$I$5,"")),"BDS live",IF(ISNUMBER(G49),"manual paste","-"))</f>
        <v/>
      </c>
      <c r="G49" s="99">
        <f>IFERROR(INDEX($X$9:$X$40,MATCH(B49,$V$9:$V$40,0)),"")</f>
        <v/>
      </c>
      <c r="M49" s="80">
        <f>IFERROR(INDEX($Y$9:$Y$40,MATCH(B49,$V$9:$V$40,0)),"")</f>
        <v/>
      </c>
      <c r="N49" s="80">
        <f>IF(M49="","",Bootstrap!H49)</f>
        <v/>
      </c>
      <c r="O49" s="72">
        <f>IF(M49="","",N49-M49)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97">
        <f>IFERROR(INDEX($J$12:$T$82,MATCH(B50,INDEX($J$12:$T$82,0,$I$3),0),$I$4)*$I$5,IF(ISNUMBER(G50),G50,""))</f>
        <v/>
      </c>
      <c r="E50" s="89">
        <f>IF(ISNUMBER(D50),(C50-D50)*100,IF(ISNUMBER(G50),(C50-G50)*100,""))</f>
        <v/>
      </c>
      <c r="F50" s="93">
        <f>IF(ISNUMBER(IFERROR(INDEX($J$12:$T$82,MATCH(B50,INDEX($J$12:$T$82,0,$I$3),0),$I$4)*$I$5,"")),"BDS live",IF(ISNUMBER(G50),"manual paste","-"))</f>
        <v/>
      </c>
      <c r="G50" s="99">
        <f>IFERROR(INDEX($X$9:$X$40,MATCH(B50,$V$9:$V$40,0)),"")</f>
        <v/>
      </c>
      <c r="M50" s="80">
        <f>IFERROR(INDEX($Y$9:$Y$40,MATCH(B50,$V$9:$V$40,0)),"")</f>
        <v/>
      </c>
      <c r="N50" s="80">
        <f>IF(M50="","",Bootstrap!H50)</f>
        <v/>
      </c>
      <c r="O50" s="72">
        <f>IF(M50="","",N50-M50)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97">
        <f>IFERROR(INDEX($J$12:$T$82,MATCH(B51,INDEX($J$12:$T$82,0,$I$3),0),$I$4)*$I$5,IF(ISNUMBER(G51),G51,""))</f>
        <v/>
      </c>
      <c r="E51" s="89">
        <f>IF(ISNUMBER(D51),(C51-D51)*100,IF(ISNUMBER(G51),(C51-G51)*100,""))</f>
        <v/>
      </c>
      <c r="F51" s="93">
        <f>IF(ISNUMBER(IFERROR(INDEX($J$12:$T$82,MATCH(B51,INDEX($J$12:$T$82,0,$I$3),0),$I$4)*$I$5,"")),"BDS live",IF(ISNUMBER(G51),"manual paste","-"))</f>
        <v/>
      </c>
      <c r="G51" s="99">
        <f>IFERROR(INDEX($X$9:$X$40,MATCH(B51,$V$9:$V$40,0)),"")</f>
        <v/>
      </c>
      <c r="M51" s="80">
        <f>IFERROR(INDEX($Y$9:$Y$40,MATCH(B51,$V$9:$V$40,0)),"")</f>
        <v/>
      </c>
      <c r="N51" s="80">
        <f>IF(M51="","",Bootstrap!H51)</f>
        <v/>
      </c>
      <c r="O51" s="72">
        <f>IF(M51="","",N51-M51)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97">
        <f>IFERROR(INDEX($J$12:$T$82,MATCH(B52,INDEX($J$12:$T$82,0,$I$3),0),$I$4)*$I$5,IF(ISNUMBER(G52),G52,""))</f>
        <v/>
      </c>
      <c r="E52" s="89">
        <f>IF(ISNUMBER(D52),(C52-D52)*100,IF(ISNUMBER(G52),(C52-G52)*100,""))</f>
        <v/>
      </c>
      <c r="F52" s="93">
        <f>IF(ISNUMBER(IFERROR(INDEX($J$12:$T$82,MATCH(B52,INDEX($J$12:$T$82,0,$I$3),0),$I$4)*$I$5,"")),"BDS live",IF(ISNUMBER(G52),"manual paste","-"))</f>
        <v/>
      </c>
      <c r="G52" s="99">
        <f>IFERROR(INDEX($X$9:$X$40,MATCH(B52,$V$9:$V$40,0)),"")</f>
        <v/>
      </c>
      <c r="M52" s="80">
        <f>IFERROR(INDEX($Y$9:$Y$40,MATCH(B52,$V$9:$V$40,0)),"")</f>
        <v/>
      </c>
      <c r="N52" s="80">
        <f>IF(M52="","",Bootstrap!H52)</f>
        <v/>
      </c>
      <c r="O52" s="72">
        <f>IF(M52="","",N52-M52)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97">
        <f>IFERROR(INDEX($J$12:$T$82,MATCH(B53,INDEX($J$12:$T$82,0,$I$3),0),$I$4)*$I$5,IF(ISNUMBER(G53),G53,""))</f>
        <v/>
      </c>
      <c r="E53" s="89">
        <f>IF(ISNUMBER(D53),(C53-D53)*100,IF(ISNUMBER(G53),(C53-G53)*100,""))</f>
        <v/>
      </c>
      <c r="F53" s="93">
        <f>IF(ISNUMBER(IFERROR(INDEX($J$12:$T$82,MATCH(B53,INDEX($J$12:$T$82,0,$I$3),0),$I$4)*$I$5,"")),"BDS live",IF(ISNUMBER(G53),"manual paste","-"))</f>
        <v/>
      </c>
      <c r="G53" s="99">
        <f>IFERROR(INDEX($X$9:$X$40,MATCH(B53,$V$9:$V$40,0)),"")</f>
        <v/>
      </c>
      <c r="M53" s="80">
        <f>IFERROR(INDEX($Y$9:$Y$40,MATCH(B53,$V$9:$V$40,0)),"")</f>
        <v/>
      </c>
      <c r="N53" s="80">
        <f>IF(M53="","",Bootstrap!H53)</f>
        <v/>
      </c>
      <c r="O53" s="72">
        <f>IF(M53="","",N53-M53)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97">
        <f>IFERROR(INDEX($J$12:$T$82,MATCH(B54,INDEX($J$12:$T$82,0,$I$3),0),$I$4)*$I$5,IF(ISNUMBER(G54),G54,""))</f>
        <v/>
      </c>
      <c r="E54" s="89">
        <f>IF(ISNUMBER(D54),(C54-D54)*100,IF(ISNUMBER(G54),(C54-G54)*100,""))</f>
        <v/>
      </c>
      <c r="F54" s="93">
        <f>IF(ISNUMBER(IFERROR(INDEX($J$12:$T$82,MATCH(B54,INDEX($J$12:$T$82,0,$I$3),0),$I$4)*$I$5,"")),"BDS live",IF(ISNUMBER(G54),"manual paste","-"))</f>
        <v/>
      </c>
      <c r="G54" s="99">
        <f>IFERROR(INDEX($X$9:$X$40,MATCH(B54,$V$9:$V$40,0)),"")</f>
        <v/>
      </c>
      <c r="M54" s="80">
        <f>IFERROR(INDEX($Y$9:$Y$40,MATCH(B54,$V$9:$V$40,0)),"")</f>
        <v/>
      </c>
      <c r="N54" s="80">
        <f>IF(M54="","",Bootstrap!H54)</f>
        <v/>
      </c>
      <c r="O54" s="72">
        <f>IF(M54="","",N54-M54)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97">
        <f>IFERROR(INDEX($J$12:$T$82,MATCH(B55,INDEX($J$12:$T$82,0,$I$3),0),$I$4)*$I$5,IF(ISNUMBER(G55),G55,""))</f>
        <v/>
      </c>
      <c r="E55" s="89">
        <f>IF(ISNUMBER(D55),(C55-D55)*100,IF(ISNUMBER(G55),(C55-G55)*100,""))</f>
        <v/>
      </c>
      <c r="F55" s="93">
        <f>IF(ISNUMBER(IFERROR(INDEX($J$12:$T$82,MATCH(B55,INDEX($J$12:$T$82,0,$I$3),0),$I$4)*$I$5,"")),"BDS live",IF(ISNUMBER(G55),"manual paste","-"))</f>
        <v/>
      </c>
      <c r="G55" s="99">
        <f>IFERROR(INDEX($X$9:$X$40,MATCH(B55,$V$9:$V$40,0)),"")</f>
        <v/>
      </c>
      <c r="M55" s="80">
        <f>IFERROR(INDEX($Y$9:$Y$40,MATCH(B55,$V$9:$V$40,0)),"")</f>
        <v/>
      </c>
      <c r="N55" s="80">
        <f>IF(M55="","",Bootstrap!H55)</f>
        <v/>
      </c>
      <c r="O55" s="72">
        <f>IF(M55="","",N55-M55)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97">
        <f>IFERROR(INDEX($J$12:$T$82,MATCH(B56,INDEX($J$12:$T$82,0,$I$3),0),$I$4)*$I$5,IF(ISNUMBER(G56),G56,""))</f>
        <v/>
      </c>
      <c r="E56" s="89">
        <f>IF(ISNUMBER(D56),(C56-D56)*100,IF(ISNUMBER(G56),(C56-G56)*100,""))</f>
        <v/>
      </c>
      <c r="F56" s="93">
        <f>IF(ISNUMBER(IFERROR(INDEX($J$12:$T$82,MATCH(B56,INDEX($J$12:$T$82,0,$I$3),0),$I$4)*$I$5,"")),"BDS live",IF(ISNUMBER(G56),"manual paste","-"))</f>
        <v/>
      </c>
      <c r="G56" s="99">
        <f>IFERROR(INDEX($X$9:$X$40,MATCH(B56,$V$9:$V$40,0)),"")</f>
        <v/>
      </c>
      <c r="M56" s="80">
        <f>IFERROR(INDEX($Y$9:$Y$40,MATCH(B56,$V$9:$V$40,0)),"")</f>
        <v/>
      </c>
      <c r="N56" s="80">
        <f>IF(M56="","",Bootstrap!H56)</f>
        <v/>
      </c>
      <c r="O56" s="72">
        <f>IF(M56="","",N56-M56)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97">
        <f>IFERROR(INDEX($J$12:$T$82,MATCH(B57,INDEX($J$12:$T$82,0,$I$3),0),$I$4)*$I$5,IF(ISNUMBER(G57),G57,""))</f>
        <v/>
      </c>
      <c r="E57" s="89">
        <f>IF(ISNUMBER(D57),(C57-D57)*100,IF(ISNUMBER(G57),(C57-G57)*100,""))</f>
        <v/>
      </c>
      <c r="F57" s="93">
        <f>IF(ISNUMBER(IFERROR(INDEX($J$12:$T$82,MATCH(B57,INDEX($J$12:$T$82,0,$I$3),0),$I$4)*$I$5,"")),"BDS live",IF(ISNUMBER(G57),"manual paste","-"))</f>
        <v/>
      </c>
      <c r="G57" s="99">
        <f>IFERROR(INDEX($X$9:$X$40,MATCH(B57,$V$9:$V$40,0)),"")</f>
        <v/>
      </c>
      <c r="M57" s="80">
        <f>IFERROR(INDEX($Y$9:$Y$40,MATCH(B57,$V$9:$V$40,0)),"")</f>
        <v/>
      </c>
      <c r="N57" s="80">
        <f>IF(M57="","",Bootstrap!H57)</f>
        <v/>
      </c>
      <c r="O57" s="72">
        <f>IF(M57="","",N57-M57)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97">
        <f>IFERROR(INDEX($J$12:$T$82,MATCH(B58,INDEX($J$12:$T$82,0,$I$3),0),$I$4)*$I$5,IF(ISNUMBER(G58),G58,""))</f>
        <v/>
      </c>
      <c r="E58" s="89">
        <f>IF(ISNUMBER(D58),(C58-D58)*100,IF(ISNUMBER(G58),(C58-G58)*100,""))</f>
        <v/>
      </c>
      <c r="F58" s="93">
        <f>IF(ISNUMBER(IFERROR(INDEX($J$12:$T$82,MATCH(B58,INDEX($J$12:$T$82,0,$I$3),0),$I$4)*$I$5,"")),"BDS live",IF(ISNUMBER(G58),"manual paste","-"))</f>
        <v/>
      </c>
      <c r="G58" s="99">
        <f>IFERROR(INDEX($X$9:$X$40,MATCH(B58,$V$9:$V$40,0)),"")</f>
        <v/>
      </c>
      <c r="M58" s="80">
        <f>IFERROR(INDEX($Y$9:$Y$40,MATCH(B58,$V$9:$V$40,0)),"")</f>
        <v/>
      </c>
      <c r="N58" s="80">
        <f>IF(M58="","",Bootstrap!H58)</f>
        <v/>
      </c>
      <c r="O58" s="72">
        <f>IF(M58="","",N58-M58)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97">
        <f>IFERROR(INDEX($J$12:$T$82,MATCH(B59,INDEX($J$12:$T$82,0,$I$3),0),$I$4)*$I$5,IF(ISNUMBER(G59),G59,""))</f>
        <v/>
      </c>
      <c r="E59" s="89">
        <f>IF(ISNUMBER(D59),(C59-D59)*100,IF(ISNUMBER(G59),(C59-G59)*100,""))</f>
        <v/>
      </c>
      <c r="F59" s="93">
        <f>IF(ISNUMBER(IFERROR(INDEX($J$12:$T$82,MATCH(B59,INDEX($J$12:$T$82,0,$I$3),0),$I$4)*$I$5,"")),"BDS live",IF(ISNUMBER(G59),"manual paste","-"))</f>
        <v/>
      </c>
      <c r="G59" s="99">
        <f>IFERROR(INDEX($X$9:$X$40,MATCH(B59,$V$9:$V$40,0)),"")</f>
        <v/>
      </c>
      <c r="M59" s="80">
        <f>IFERROR(INDEX($Y$9:$Y$40,MATCH(B59,$V$9:$V$40,0)),"")</f>
        <v/>
      </c>
      <c r="N59" s="80">
        <f>IF(M59="","",Bootstrap!H59)</f>
        <v/>
      </c>
      <c r="O59" s="72">
        <f>IF(M59="","",N59-M59)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97">
        <f>IFERROR(INDEX($J$12:$T$82,MATCH(B60,INDEX($J$12:$T$82,0,$I$3),0),$I$4)*$I$5,IF(ISNUMBER(G60),G60,""))</f>
        <v/>
      </c>
      <c r="E60" s="89">
        <f>IF(ISNUMBER(D60),(C60-D60)*100,IF(ISNUMBER(G60),(C60-G60)*100,""))</f>
        <v/>
      </c>
      <c r="F60" s="93">
        <f>IF(ISNUMBER(IFERROR(INDEX($J$12:$T$82,MATCH(B60,INDEX($J$12:$T$82,0,$I$3),0),$I$4)*$I$5,"")),"BDS live",IF(ISNUMBER(G60),"manual paste","-"))</f>
        <v/>
      </c>
      <c r="G60" s="99">
        <f>IFERROR(INDEX($X$9:$X$40,MATCH(B60,$V$9:$V$40,0)),"")</f>
        <v/>
      </c>
      <c r="M60" s="80">
        <f>IFERROR(INDEX($Y$9:$Y$40,MATCH(B60,$V$9:$V$40,0)),"")</f>
        <v/>
      </c>
      <c r="N60" s="80">
        <f>IF(M60="","",Bootstrap!H60)</f>
        <v/>
      </c>
      <c r="O60" s="72">
        <f>IF(M60="","",N60-M60)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97">
        <f>IFERROR(INDEX($J$12:$T$82,MATCH(B61,INDEX($J$12:$T$82,0,$I$3),0),$I$4)*$I$5,IF(ISNUMBER(G61),G61,""))</f>
        <v/>
      </c>
      <c r="E61" s="89">
        <f>IF(ISNUMBER(D61),(C61-D61)*100,IF(ISNUMBER(G61),(C61-G61)*100,""))</f>
        <v/>
      </c>
      <c r="F61" s="93">
        <f>IF(ISNUMBER(IFERROR(INDEX($J$12:$T$82,MATCH(B61,INDEX($J$12:$T$82,0,$I$3),0),$I$4)*$I$5,"")),"BDS live",IF(ISNUMBER(G61),"manual paste","-"))</f>
        <v/>
      </c>
      <c r="G61" s="99">
        <f>IFERROR(INDEX($X$9:$X$40,MATCH(B61,$V$9:$V$40,0)),"")</f>
        <v/>
      </c>
      <c r="M61" s="80">
        <f>IFERROR(INDEX($Y$9:$Y$40,MATCH(B61,$V$9:$V$40,0)),"")</f>
        <v/>
      </c>
      <c r="N61" s="80">
        <f>IF(M61="","",Bootstrap!H61)</f>
        <v/>
      </c>
      <c r="O61" s="72">
        <f>IF(M61="","",N61-M61)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97">
        <f>IFERROR(INDEX($J$12:$T$82,MATCH(B62,INDEX($J$12:$T$82,0,$I$3),0),$I$4)*$I$5,IF(ISNUMBER(G62),G62,""))</f>
        <v/>
      </c>
      <c r="E62" s="89">
        <f>IF(ISNUMBER(D62),(C62-D62)*100,IF(ISNUMBER(G62),(C62-G62)*100,""))</f>
        <v/>
      </c>
      <c r="F62" s="93">
        <f>IF(ISNUMBER(IFERROR(INDEX($J$12:$T$82,MATCH(B62,INDEX($J$12:$T$82,0,$I$3),0),$I$4)*$I$5,"")),"BDS live",IF(ISNUMBER(G62),"manual paste","-"))</f>
        <v/>
      </c>
      <c r="G62" s="99">
        <f>IFERROR(INDEX($X$9:$X$40,MATCH(B62,$V$9:$V$40,0)),"")</f>
        <v/>
      </c>
      <c r="M62" s="80">
        <f>IFERROR(INDEX($Y$9:$Y$40,MATCH(B62,$V$9:$V$40,0)),"")</f>
        <v/>
      </c>
      <c r="N62" s="80">
        <f>IF(M62="","",Bootstrap!H62)</f>
        <v/>
      </c>
      <c r="O62" s="72">
        <f>IF(M62="","",N62-M62)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97">
        <f>IFERROR(INDEX($J$12:$T$82,MATCH(B63,INDEX($J$12:$T$82,0,$I$3),0),$I$4)*$I$5,IF(ISNUMBER(G63),G63,""))</f>
        <v/>
      </c>
      <c r="E63" s="89">
        <f>IF(ISNUMBER(D63),(C63-D63)*100,IF(ISNUMBER(G63),(C63-G63)*100,""))</f>
        <v/>
      </c>
      <c r="F63" s="93">
        <f>IF(ISNUMBER(IFERROR(INDEX($J$12:$T$82,MATCH(B63,INDEX($J$12:$T$82,0,$I$3),0),$I$4)*$I$5,"")),"BDS live",IF(ISNUMBER(G63),"manual paste","-"))</f>
        <v/>
      </c>
      <c r="G63" s="99">
        <f>IFERROR(INDEX($X$9:$X$40,MATCH(B63,$V$9:$V$40,0)),"")</f>
        <v/>
      </c>
      <c r="M63" s="80">
        <f>IFERROR(INDEX($Y$9:$Y$40,MATCH(B63,$V$9:$V$40,0)),"")</f>
        <v/>
      </c>
      <c r="N63" s="80">
        <f>IF(M63="","",Bootstrap!H63)</f>
        <v/>
      </c>
      <c r="O63" s="72">
        <f>IF(M63="","",N63-M63)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97">
        <f>IFERROR(INDEX($J$12:$T$82,MATCH(B64,INDEX($J$12:$T$82,0,$I$3),0),$I$4)*$I$5,IF(ISNUMBER(G64),G64,""))</f>
        <v/>
      </c>
      <c r="E64" s="89">
        <f>IF(ISNUMBER(D64),(C64-D64)*100,IF(ISNUMBER(G64),(C64-G64)*100,""))</f>
        <v/>
      </c>
      <c r="F64" s="93">
        <f>IF(ISNUMBER(IFERROR(INDEX($J$12:$T$82,MATCH(B64,INDEX($J$12:$T$82,0,$I$3),0),$I$4)*$I$5,"")),"BDS live",IF(ISNUMBER(G64),"manual paste","-"))</f>
        <v/>
      </c>
      <c r="G64" s="99">
        <f>IFERROR(INDEX($X$9:$X$40,MATCH(B64,$V$9:$V$40,0)),"")</f>
        <v/>
      </c>
      <c r="M64" s="80">
        <f>IFERROR(INDEX($Y$9:$Y$40,MATCH(B64,$V$9:$V$40,0)),"")</f>
        <v/>
      </c>
      <c r="N64" s="80">
        <f>IF(M64="","",Bootstrap!H64)</f>
        <v/>
      </c>
      <c r="O64" s="72">
        <f>IF(M64="","",N64-M64)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97">
        <f>IFERROR(INDEX($J$12:$T$82,MATCH(B65,INDEX($J$12:$T$82,0,$I$3),0),$I$4)*$I$5,IF(ISNUMBER(G65),G65,""))</f>
        <v/>
      </c>
      <c r="E65" s="89">
        <f>IF(ISNUMBER(D65),(C65-D65)*100,IF(ISNUMBER(G65),(C65-G65)*100,""))</f>
        <v/>
      </c>
      <c r="F65" s="93">
        <f>IF(ISNUMBER(IFERROR(INDEX($J$12:$T$82,MATCH(B65,INDEX($J$12:$T$82,0,$I$3),0),$I$4)*$I$5,"")),"BDS live",IF(ISNUMBER(G65),"manual paste","-"))</f>
        <v/>
      </c>
      <c r="G65" s="99">
        <f>IFERROR(INDEX($X$9:$X$40,MATCH(B65,$V$9:$V$40,0)),"")</f>
        <v/>
      </c>
      <c r="M65" s="80">
        <f>IFERROR(INDEX($Y$9:$Y$40,MATCH(B65,$V$9:$V$40,0)),"")</f>
        <v/>
      </c>
      <c r="N65" s="80">
        <f>IF(M65="","",Bootstrap!H65)</f>
        <v/>
      </c>
      <c r="O65" s="72">
        <f>IF(M65="","",N65-M65)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97">
        <f>IFERROR(INDEX($J$12:$T$82,MATCH(B66,INDEX($J$12:$T$82,0,$I$3),0),$I$4)*$I$5,IF(ISNUMBER(G66),G66,""))</f>
        <v/>
      </c>
      <c r="E66" s="89">
        <f>IF(ISNUMBER(D66),(C66-D66)*100,IF(ISNUMBER(G66),(C66-G66)*100,""))</f>
        <v/>
      </c>
      <c r="F66" s="93">
        <f>IF(ISNUMBER(IFERROR(INDEX($J$12:$T$82,MATCH(B66,INDEX($J$12:$T$82,0,$I$3),0),$I$4)*$I$5,"")),"BDS live",IF(ISNUMBER(G66),"manual paste","-"))</f>
        <v/>
      </c>
      <c r="G66" s="99">
        <f>IFERROR(INDEX($X$9:$X$40,MATCH(B66,$V$9:$V$40,0)),"")</f>
        <v/>
      </c>
      <c r="M66" s="80">
        <f>IFERROR(INDEX($Y$9:$Y$40,MATCH(B66,$V$9:$V$40,0)),"")</f>
        <v/>
      </c>
      <c r="N66" s="80">
        <f>IF(M66="","",Bootstrap!H66)</f>
        <v/>
      </c>
      <c r="O66" s="72">
        <f>IF(M66="","",N66-M66)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97">
        <f>IFERROR(INDEX($J$12:$T$82,MATCH(B67,INDEX($J$12:$T$82,0,$I$3),0),$I$4)*$I$5,IF(ISNUMBER(G67),G67,""))</f>
        <v/>
      </c>
      <c r="E67" s="89">
        <f>IF(ISNUMBER(D67),(C67-D67)*100,IF(ISNUMBER(G67),(C67-G67)*100,""))</f>
        <v/>
      </c>
      <c r="F67" s="93">
        <f>IF(ISNUMBER(IFERROR(INDEX($J$12:$T$82,MATCH(B67,INDEX($J$12:$T$82,0,$I$3),0),$I$4)*$I$5,"")),"BDS live",IF(ISNUMBER(G67),"manual paste","-"))</f>
        <v/>
      </c>
      <c r="G67" s="99">
        <f>IFERROR(INDEX($X$9:$X$40,MATCH(B67,$V$9:$V$40,0)),"")</f>
        <v/>
      </c>
      <c r="M67" s="80">
        <f>IFERROR(INDEX($Y$9:$Y$40,MATCH(B67,$V$9:$V$40,0)),"")</f>
        <v/>
      </c>
      <c r="N67" s="80">
        <f>IF(M67="","",Bootstrap!H67)</f>
        <v/>
      </c>
      <c r="O67" s="72">
        <f>IF(M67="","",N67-M67)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97">
        <f>IFERROR(INDEX($J$12:$T$82,MATCH(B68,INDEX($J$12:$T$82,0,$I$3),0),$I$4)*$I$5,IF(ISNUMBER(G68),G68,""))</f>
        <v/>
      </c>
      <c r="E68" s="89">
        <f>IF(ISNUMBER(D68),(C68-D68)*100,IF(ISNUMBER(G68),(C68-G68)*100,""))</f>
        <v/>
      </c>
      <c r="F68" s="93">
        <f>IF(ISNUMBER(IFERROR(INDEX($J$12:$T$82,MATCH(B68,INDEX($J$12:$T$82,0,$I$3),0),$I$4)*$I$5,"")),"BDS live",IF(ISNUMBER(G68),"manual paste","-"))</f>
        <v/>
      </c>
      <c r="G68" s="99">
        <f>IFERROR(INDEX($X$9:$X$40,MATCH(B68,$V$9:$V$40,0)),"")</f>
        <v/>
      </c>
      <c r="M68" s="80">
        <f>IFERROR(INDEX($Y$9:$Y$40,MATCH(B68,$V$9:$V$40,0)),"")</f>
        <v/>
      </c>
      <c r="N68" s="80">
        <f>IF(M68="","",Bootstrap!H68)</f>
        <v/>
      </c>
      <c r="O68" s="72">
        <f>IF(M68="","",N68-M68)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97">
        <f>IFERROR(INDEX($J$12:$T$82,MATCH(B69,INDEX($J$12:$T$82,0,$I$3),0),$I$4)*$I$5,IF(ISNUMBER(G69),G69,""))</f>
        <v/>
      </c>
      <c r="E69" s="89">
        <f>IF(ISNUMBER(D69),(C69-D69)*100,IF(ISNUMBER(G69),(C69-G69)*100,""))</f>
        <v/>
      </c>
      <c r="F69" s="93">
        <f>IF(ISNUMBER(IFERROR(INDEX($J$12:$T$82,MATCH(B69,INDEX($J$12:$T$82,0,$I$3),0),$I$4)*$I$5,"")),"BDS live",IF(ISNUMBER(G69),"manual paste","-"))</f>
        <v/>
      </c>
      <c r="G69" s="99">
        <f>IFERROR(INDEX($X$9:$X$40,MATCH(B69,$V$9:$V$40,0)),"")</f>
        <v/>
      </c>
      <c r="M69" s="80">
        <f>IFERROR(INDEX($Y$9:$Y$40,MATCH(B69,$V$9:$V$40,0)),"")</f>
        <v/>
      </c>
      <c r="N69" s="80">
        <f>IF(M69="","",Bootstrap!H69)</f>
        <v/>
      </c>
      <c r="O69" s="72">
        <f>IF(M69="","",N69-M69)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97">
        <f>IFERROR(INDEX($J$12:$T$82,MATCH(B70,INDEX($J$12:$T$82,0,$I$3),0),$I$4)*$I$5,IF(ISNUMBER(G70),G70,""))</f>
        <v/>
      </c>
      <c r="E70" s="89">
        <f>IF(ISNUMBER(D70),(C70-D70)*100,IF(ISNUMBER(G70),(C70-G70)*100,""))</f>
        <v/>
      </c>
      <c r="F70" s="93">
        <f>IF(ISNUMBER(IFERROR(INDEX($J$12:$T$82,MATCH(B70,INDEX($J$12:$T$82,0,$I$3),0),$I$4)*$I$5,"")),"BDS live",IF(ISNUMBER(G70),"manual paste","-"))</f>
        <v/>
      </c>
      <c r="G70" s="99">
        <f>IFERROR(INDEX($X$9:$X$40,MATCH(B70,$V$9:$V$40,0)),"")</f>
        <v/>
      </c>
      <c r="M70" s="80">
        <f>IFERROR(INDEX($Y$9:$Y$40,MATCH(B70,$V$9:$V$40,0)),"")</f>
        <v/>
      </c>
      <c r="N70" s="80">
        <f>IF(M70="","",Bootstrap!H70)</f>
        <v/>
      </c>
      <c r="O70" s="72">
        <f>IF(M70="","",N70-M70)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97">
        <f>IFERROR(INDEX($J$12:$T$82,MATCH(B71,INDEX($J$12:$T$82,0,$I$3),0),$I$4)*$I$5,IF(ISNUMBER(G71),G71,""))</f>
        <v/>
      </c>
      <c r="E71" s="89">
        <f>IF(ISNUMBER(D71),(C71-D71)*100,IF(ISNUMBER(G71),(C71-G71)*100,""))</f>
        <v/>
      </c>
      <c r="F71" s="93">
        <f>IF(ISNUMBER(IFERROR(INDEX($J$12:$T$82,MATCH(B71,INDEX($J$12:$T$82,0,$I$3),0),$I$4)*$I$5,"")),"BDS live",IF(ISNUMBER(G71),"manual paste","-"))</f>
        <v/>
      </c>
      <c r="G71" s="99">
        <f>IFERROR(INDEX($X$9:$X$40,MATCH(B71,$V$9:$V$40,0)),"")</f>
        <v/>
      </c>
      <c r="M71" s="80">
        <f>IFERROR(INDEX($Y$9:$Y$40,MATCH(B71,$V$9:$V$40,0)),"")</f>
        <v/>
      </c>
      <c r="N71" s="80">
        <f>IF(M71="","",Bootstrap!H71)</f>
        <v/>
      </c>
      <c r="O71" s="72">
        <f>IF(M71="","",N71-M71)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97">
        <f>IFERROR(INDEX($J$12:$T$82,MATCH(B72,INDEX($J$12:$T$82,0,$I$3),0),$I$4)*$I$5,IF(ISNUMBER(G72),G72,""))</f>
        <v/>
      </c>
      <c r="E72" s="89">
        <f>IF(ISNUMBER(D72),(C72-D72)*100,IF(ISNUMBER(G72),(C72-G72)*100,""))</f>
        <v/>
      </c>
      <c r="F72" s="93">
        <f>IF(ISNUMBER(IFERROR(INDEX($J$12:$T$82,MATCH(B72,INDEX($J$12:$T$82,0,$I$3),0),$I$4)*$I$5,"")),"BDS live",IF(ISNUMBER(G72),"manual paste","-"))</f>
        <v/>
      </c>
      <c r="G72" s="99">
        <f>IFERROR(INDEX($X$9:$X$40,MATCH(B72,$V$9:$V$40,0)),"")</f>
        <v/>
      </c>
      <c r="M72" s="80">
        <f>IFERROR(INDEX($Y$9:$Y$40,MATCH(B72,$V$9:$V$40,0)),"")</f>
        <v/>
      </c>
      <c r="N72" s="80">
        <f>IF(M72="","",Bootstrap!H72)</f>
        <v/>
      </c>
      <c r="O72" s="72">
        <f>IF(M72="","",N72-M72)</f>
        <v/>
      </c>
    </row>
    <row r="74">
      <c r="A74" s="67" t="inlineStr">
        <is>
          <t>Pillars matched to the screen</t>
        </is>
      </c>
      <c r="C74" s="87">
        <f>COUNT(M8:M72)&amp;" / 32"</f>
        <v/>
      </c>
    </row>
    <row r="75">
      <c r="A75" s="67" t="inlineStr">
        <is>
          <t>Max |zero diff| vs screen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Column D = Bloomberg's own curve pulled live via BDS. Column G/M = the 07/21/26 screen snapshot in V:Y. Column E compares your zero to whichever is present.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6A1B9A"/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Dropdown. "Bootstrap from CDS curve" fits the term structure to CDS_Quotes; "Flat hazard rate"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intensity, used at every tenor when B17 = Flat hazard rate.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 Any Bloomberg identifier whose CDS curve you want (equity ticker, or the entity itself).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I1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65" t="inlineStr">
        <is>
          <t>Single-name CDS par spreads. Step 1 (col D) resolves each tenor's CDS ticker from the entity ticker in CDS_Parameters!B19; step 2 (col F) quotes it. Manual spreads in col E are used only when BDP fails.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92" t="inlineStr">
        <is>
          <t>CDS ticker (step 1, live)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  <c r="H6" s="62" t="inlineStr">
        <is>
          <t>Quote source in use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55" t="n">
        <v>40</v>
      </c>
      <c r="F7" s="63">
        <f>IFERROR(BDP(D7&amp;" BEST Curncy","PX_LAST")+0,IFERROR(BDP(D7&amp;" BEST Curncy","PX_MID")+0,E7))</f>
        <v/>
      </c>
      <c r="G7" s="52">
        <f>(F7/10000)/(1-CDS_Parameters!$B$8)</f>
        <v/>
      </c>
      <c r="H7" s="93">
        <f>IF(ISNUMBER(IFERROR(BDP(D7&amp;" BEST Curncy","PX_LAST")+0,"")),"BDP live","MANUAL (demo)")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55" t="n">
        <v>55</v>
      </c>
      <c r="F8" s="63">
        <f>IFERROR(BDP(D8&amp;" BEST Curncy","PX_LAST")+0,IFERROR(BDP(D8&amp;" BEST Curncy","PX_MID")+0,E8))</f>
        <v/>
      </c>
      <c r="G8" s="52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55" t="n">
        <v>70</v>
      </c>
      <c r="F9" s="63">
        <f>IFERROR(BDP(D9&amp;" BEST Curncy","PX_LAST")+0,IFERROR(BDP(D9&amp;" BEST Curncy","PX_MID")+0,E9))</f>
        <v/>
      </c>
      <c r="G9" s="52">
        <f>(F9/10000)/(1-CDS_Parameters!$B$8)</f>
        <v/>
      </c>
      <c r="H9" s="93">
        <f>IF(ISNUMBER(IFERROR(BDP(D9&amp;" BEST Curncy","PX_LAST")+0,"")),"BDP live","MANUAL (demo)")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55" t="n">
        <v>95</v>
      </c>
      <c r="F10" s="63">
        <f>IFERROR(BDP(D10&amp;" BEST Curncy","PX_LAST")+0,IFERROR(BDP(D10&amp;" BEST Curncy","PX_MID")+0,E10))</f>
        <v/>
      </c>
      <c r="G10" s="52">
        <f>(F10/10000)/(1-CDS_Parameters!$B$8)</f>
        <v/>
      </c>
      <c r="H10" s="93">
        <f>IF(ISNUMBER(IFERROR(BDP(D10&amp;" BEST Curncy","PX_LAST")+0,"")),"BDP live","MANUAL (demo)")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55" t="n">
        <v>115</v>
      </c>
      <c r="F11" s="63">
        <f>IFERROR(BDP(D11&amp;" BEST Curncy","PX_LAST")+0,IFERROR(BDP(D11&amp;" BEST Curncy","PX_MID")+0,E11))</f>
        <v/>
      </c>
      <c r="G11" s="52">
        <f>(F11/10000)/(1-CDS_Parameters!$B$8)</f>
        <v/>
      </c>
      <c r="H11" s="93">
        <f>IF(ISNUMBER(IFERROR(BDP(D11&amp;" BEST Curncy","PX_LAST")+0,"")),"BDP live","MANUAL (demo)")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55" t="n">
        <v>135</v>
      </c>
      <c r="F12" s="63">
        <f>IFERROR(BDP(D12&amp;" BEST Curncy","PX_LAST")+0,IFERROR(BDP(D12&amp;" BEST Curncy","PX_MID")+0,E12))</f>
        <v/>
      </c>
      <c r="G12" s="52">
        <f>(F12/10000)/(1-CDS_Parameters!$B$8)</f>
        <v/>
      </c>
      <c r="H12" s="93">
        <f>IF(ISNUMBER(IFERROR(BDP(D12&amp;" BEST Curncy","PX_LAST")+0,"")),"BDP live","MANUAL (demo)")</f>
        <v/>
      </c>
    </row>
    <row r="14">
      <c r="A14" s="66" t="inlineStr">
        <is>
          <t>WARNING: the manual spreads in column E (40/55/70/95/115/135) are DEMO PLACEHOLDERS, not market data — unlike the SOFR OIS quotes, which are the real 07/21/26 S490 levels. Column H tells you which source each tenor is actually using. Replace column E, or connect a terminal, before trusting any CDS output.</t>
        </is>
      </c>
    </row>
    <row r="16">
      <c r="A16" s="65" t="inlineStr">
        <is>
          <t>SOURCE: Bloomberg Help Desk H#1330731572. Step 1 =BDP(&lt;ticker&gt;,"CDS_SPREAD_TICKER_nY") resolves each tenor's CDS ticker; step 2 =BDP(&lt;returned&gt;&amp;" BEST Curncy","PX_LAST") quotes it. Documented tenors: 1Y, 3Y, 5Y, 7Y, 10Y.</t>
        </is>
      </c>
    </row>
    <row r="17">
      <c r="A17" s="66" t="inlineStr">
        <is>
          <t>LIMITATION (Bloomberg's words): they do not provide a zero-coupon CDS spread by maturity as an exportable field, and the bootstrapped hazard rates are not a standard export. So there is NO exportable ground truth for the hazard curve - unlike the SOFR curve, which is matched against S490 to 0.36bp. Validate the credit side indirectly against CDSW screen output.</t>
        </is>
      </c>
    </row>
    <row r="18">
      <c r="A18" s="65" t="inlineStr">
        <is>
          <t>Bloomberg's suggested term structure is the credit triangle, Hazard = S/(1-R). That is only exact for a flat curve; Hazard_Solver bootstraps properly instead. CDS_Validation rows 13-18 compare the two so the difference stays visible. Methodology: CDS Model White Paper {LPHP CDSW 0:1 2989941 &lt;GO&gt;}, {HELP CDSW &lt;GO&gt;}.</t>
        </is>
      </c>
    </row>
  </sheetData>
  <mergeCells count="1">
    <mergeCell ref="A4:G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 curve. Column D is solved live by Hazard_Solver (bisection) — no Goal Seek needed. Set CDS_Parameters!B17 to switch to a flat hazard rate.</t>
        </is>
      </c>
    </row>
    <row r="4" ht="40" customHeight="1">
      <c r="A4" s="70" t="inlineStr">
        <is>
          <t>Bootstrap maturity by maturity: hold earlier hazards fixed, solve the current segment so model spread = market. Column D now reads the in-cell bisection on Hazard_Solver, so column J (repricing error) is ~0 automatically and stays there when inputs change.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1B9A"/>
    <outlinePr summaryBelow="1" summaryRight="1"/>
    <pageSetUpPr/>
  </sheetPr>
  <dimension ref="A1:T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bisection, in cells. Replaces the Goal Seek step: Hazard_Bootstrap fits exactly and updates live when spreads, recovery or the SOFR curve move.</t>
        </is>
      </c>
    </row>
    <row r="3">
      <c r="A3" s="65" t="inlineStr">
        <is>
          <t>Reads only the hazard-INDEPENDENT columns of CDS_Schedule (D alpha, E dt, G DF_end, H DF_mid), so there is no circular reference. Same leg conventions as CDS_Schedule M/N/O.</t>
        </is>
      </c>
    </row>
    <row r="4">
      <c r="A4" s="65" t="inlineStr">
        <is>
          <t>Bracket [0, 3], 30 bisection steps -&gt; resolution ~3e-9.</t>
        </is>
      </c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(1-$F$7)*($D$8+R16)-$D$7*($F$8+S16)</f>
        <v/>
      </c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(1-$F$7)*($D$8+R17)-$D$7*($F$8+S17)</f>
        <v/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(1-$F$7)*($D$8+R18)-$D$7*($F$8+S18)</f>
        <v/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(1-$F$7)*($D$8+R19)-$D$7*($F$8+S19)</f>
        <v/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(1-$F$7)*($D$8+R20)-$D$7*($F$8+S20)</f>
        <v/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(1-$F$7)*($D$8+R21)-$D$7*($F$8+S21)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(1-$F$7)*($D$8+R22)-$D$7*($F$8+S22)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(1-$F$7)*($D$8+R23)-$D$7*($F$8+S23)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(1-$F$7)*($D$8+R24)-$D$7*($F$8+S24)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(1-$F$7)*($D$8+R25)-$D$7*($F$8+S25)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(1-$F$7)*($D$8+R26)-$D$7*($F$8+S26)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(1-$F$7)*($D$8+R27)-$D$7*($F$8+S27)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(1-$F$7)*($D$8+R28)-$D$7*($F$8+S28)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(1-$F$7)*($D$8+R29)-$D$7*($F$8+S29)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(1-$F$7)*($D$8+R30)-$D$7*($F$8+S30)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(1-$F$7)*($D$8+R31)-$D$7*($F$8+S31)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(1-$F$7)*($D$8+R32)-$D$7*($F$8+S32)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(1-$F$7)*($D$8+R33)-$D$7*($F$8+S33)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(1-$F$7)*($D$8+R34)-$D$7*($F$8+S34)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(1-$F$7)*($D$8+R35)-$D$7*($F$8+S35)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(1-$F$7)*($D$8+R36)-$D$7*($F$8+S36)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(1-$F$7)*($D$8+R37)-$D$7*($F$8+S37)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(1-$F$7)*($D$8+R38)-$D$7*($F$8+S38)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(1-$F$7)*($D$8+R39)-$D$7*($F$8+S39)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(1-$F$7)*($D$8+R40)-$D$7*($F$8+S40)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(1-$F$7)*($D$8+R41)-$D$7*($F$8+S41)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(1-$F$7)*($D$8+R42)-$D$7*($F$8+S42)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(1-$F$7)*($D$8+R43)-$D$7*($F$8+S43)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(1-$F$7)*($D$8+R44)-$D$7*($F$8+S44)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(1-$F$7)*($D$8+R45)-$D$7*($F$8+S45)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(1-$F$50)*($D$51+R59)-$D$50*($F$51+S59)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(1-$F$50)*($D$51+R60)-$D$50*($F$51+S60)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(1-$F$50)*($D$51+R61)-$D$50*($F$51+S61)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(1-$F$50)*($D$51+R62)-$D$50*($F$51+S62)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(1-$F$50)*($D$51+R63)-$D$50*($F$51+S63)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(1-$F$50)*($D$51+R64)-$D$50*($F$51+S64)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(1-$F$50)*($D$51+R65)-$D$50*($F$51+S65)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(1-$F$50)*($D$51+R66)-$D$50*($F$51+S66)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(1-$F$50)*($D$51+R67)-$D$50*($F$51+S67)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(1-$F$50)*($D$51+R68)-$D$50*($F$51+S68)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(1-$F$50)*($D$51+R69)-$D$50*($F$51+S69)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(1-$F$50)*($D$51+R70)-$D$50*($F$51+S70)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(1-$F$50)*($D$51+R71)-$D$50*($F$51+S71)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(1-$F$50)*($D$51+R72)-$D$50*($F$51+S72)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(1-$F$50)*($D$51+R73)-$D$50*($F$51+S73)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(1-$F$50)*($D$51+R74)-$D$50*($F$51+S74)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(1-$F$50)*($D$51+R75)-$D$50*($F$51+S75)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(1-$F$50)*($D$51+R76)-$D$50*($F$51+S76)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(1-$F$50)*($D$51+R77)-$D$50*($F$51+S77)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(1-$F$50)*($D$51+R78)-$D$50*($F$51+S78)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(1-$F$50)*($D$51+R79)-$D$50*($F$51+S79)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(1-$F$50)*($D$51+R80)-$D$50*($F$51+S80)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(1-$F$50)*($D$51+R81)-$D$50*($F$51+S81)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(1-$F$50)*($D$51+R82)-$D$50*($F$51+S82)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(1-$F$50)*($D$51+R83)-$D$50*($F$51+S83)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(1-$F$50)*($D$51+R84)-$D$50*($F$51+S84)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(1-$F$50)*($D$51+R85)-$D$50*($F$51+S85)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(1-$F$50)*($D$51+R86)-$D$50*($F$51+S86)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(1-$F$50)*($D$51+R87)-$D$50*($F$51+S87)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(1-$F$50)*($D$51+R88)-$D$50*($F$51+S88)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(1-$F$93)*($D$94+R102)-$D$93*($F$94+S102)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(1-$F$93)*($D$94+R103)-$D$93*($F$94+S103)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(1-$F$93)*($D$94+R104)-$D$93*($F$94+S104)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(1-$F$93)*($D$94+R105)-$D$93*($F$94+S105)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(1-$F$93)*($D$94+R106)-$D$93*($F$94+S106)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(1-$F$93)*($D$94+R107)-$D$93*($F$94+S107)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(1-$F$93)*($D$94+R108)-$D$93*($F$94+S108)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(1-$F$93)*($D$94+R109)-$D$93*($F$94+S109)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(1-$F$93)*($D$94+R110)-$D$93*($F$94+S110)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(1-$F$93)*($D$94+R111)-$D$93*($F$94+S111)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(1-$F$93)*($D$94+R112)-$D$93*($F$94+S112)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(1-$F$93)*($D$94+R113)-$D$93*($F$94+S113)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(1-$F$93)*($D$94+R114)-$D$93*($F$94+S114)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(1-$F$93)*($D$94+R115)-$D$93*($F$94+S115)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(1-$F$93)*($D$94+R116)-$D$93*($F$94+S116)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(1-$F$93)*($D$94+R117)-$D$93*($F$94+S117)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(1-$F$93)*($D$94+R118)-$D$93*($F$94+S118)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(1-$F$93)*($D$94+R119)-$D$93*($F$94+S119)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(1-$F$93)*($D$94+R120)-$D$93*($F$94+S120)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(1-$F$93)*($D$94+R121)-$D$93*($F$94+S121)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(1-$F$93)*($D$94+R122)-$D$93*($F$94+S122)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(1-$F$93)*($D$94+R123)-$D$93*($F$94+S123)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(1-$F$93)*($D$94+R124)-$D$93*($F$94+S124)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(1-$F$93)*($D$94+R125)-$D$93*($F$94+S125)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(1-$F$93)*($D$94+R126)-$D$93*($F$94+S126)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(1-$F$93)*($D$94+R127)-$D$93*($F$94+S127)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(1-$F$93)*($D$94+R128)-$D$93*($F$94+S128)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(1-$F$93)*($D$94+R129)-$D$93*($F$94+S129)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(1-$F$93)*($D$94+R130)-$D$93*($F$94+S130)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(1-$F$93)*($D$94+R131)-$D$93*($F$94+S131)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(1-$F$136)*($D$137+R145)-$D$136*($F$137+S145)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(1-$F$136)*($D$137+R146)-$D$136*($F$137+S146)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(1-$F$136)*($D$137+R147)-$D$136*($F$137+S147)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(1-$F$136)*($D$137+R148)-$D$136*($F$137+S148)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(1-$F$136)*($D$137+R149)-$D$136*($F$137+S149)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(1-$F$136)*($D$137+R150)-$D$136*($F$137+S150)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(1-$F$136)*($D$137+R151)-$D$136*($F$137+S151)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(1-$F$136)*($D$137+R152)-$D$136*($F$137+S152)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(1-$F$136)*($D$137+R153)-$D$136*($F$137+S153)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(1-$F$136)*($D$137+R154)-$D$136*($F$137+S154)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(1-$F$136)*($D$137+R155)-$D$136*($F$137+S155)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(1-$F$136)*($D$137+R156)-$D$136*($F$137+S156)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(1-$F$136)*($D$137+R157)-$D$136*($F$137+S157)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(1-$F$136)*($D$137+R158)-$D$136*($F$137+S158)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(1-$F$136)*($D$137+R159)-$D$136*($F$137+S159)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(1-$F$136)*($D$137+R160)-$D$136*($F$137+S160)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(1-$F$136)*($D$137+R161)-$D$136*($F$137+S161)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(1-$F$136)*($D$137+R162)-$D$136*($F$137+S162)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(1-$F$136)*($D$137+R163)-$D$136*($F$137+S163)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(1-$F$136)*($D$137+R164)-$D$136*($F$137+S164)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(1-$F$136)*($D$137+R165)-$D$136*($F$137+S165)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(1-$F$136)*($D$137+R166)-$D$136*($F$137+S166)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(1-$F$136)*($D$137+R167)-$D$136*($F$137+S167)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(1-$F$136)*($D$137+R168)-$D$136*($F$137+S168)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(1-$F$136)*($D$137+R169)-$D$136*($F$137+S169)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(1-$F$136)*($D$137+R170)-$D$136*($F$137+S170)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(1-$F$136)*($D$137+R171)-$D$136*($F$137+S171)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(1-$F$136)*($D$137+R172)-$D$136*($F$137+S172)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(1-$F$136)*($D$137+R173)-$D$136*($F$137+S173)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(1-$F$136)*($D$137+R174)-$D$136*($F$137+S174)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(1-$F$179)*($D$180+R188)-$D$179*($F$180+S188)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(1-$F$179)*($D$180+R189)-$D$179*($F$180+S189)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(1-$F$179)*($D$180+R190)-$D$179*($F$180+S190)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(1-$F$179)*($D$180+R191)-$D$179*($F$180+S191)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(1-$F$179)*($D$180+R192)-$D$179*($F$180+S192)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(1-$F$179)*($D$180+R193)-$D$179*($F$180+S193)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(1-$F$179)*($D$180+R194)-$D$179*($F$180+S194)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(1-$F$179)*($D$180+R195)-$D$179*($F$180+S195)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(1-$F$179)*($D$180+R196)-$D$179*($F$180+S196)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(1-$F$179)*($D$180+R197)-$D$179*($F$180+S197)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(1-$F$179)*($D$180+R198)-$D$179*($F$180+S198)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(1-$F$179)*($D$180+R199)-$D$179*($F$180+S199)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(1-$F$179)*($D$180+R200)-$D$179*($F$180+S200)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(1-$F$179)*($D$180+R201)-$D$179*($F$180+S201)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(1-$F$179)*($D$180+R202)-$D$179*($F$180+S202)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(1-$F$179)*($D$180+R203)-$D$179*($F$180+S203)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(1-$F$179)*($D$180+R204)-$D$179*($F$180+S204)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(1-$F$179)*($D$180+R205)-$D$179*($F$180+S205)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(1-$F$179)*($D$180+R206)-$D$179*($F$180+S206)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(1-$F$179)*($D$180+R207)-$D$179*($F$180+S207)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(1-$F$179)*($D$180+R208)-$D$179*($F$180+S208)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(1-$F$179)*($D$180+R209)-$D$179*($F$180+S209)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(1-$F$179)*($D$180+R210)-$D$179*($F$180+S210)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(1-$F$179)*($D$180+R211)-$D$179*($F$180+S211)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(1-$F$179)*($D$180+R212)-$D$179*($F$180+S212)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(1-$F$179)*($D$180+R213)-$D$179*($F$180+S213)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(1-$F$179)*($D$180+R214)-$D$179*($F$180+S214)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(1-$F$179)*($D$180+R215)-$D$179*($F$180+S215)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(1-$F$179)*($D$180+R216)-$D$179*($F$180+S216)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(1-$F$179)*($D$180+R217)-$D$179*($F$180+S217)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(1-$F$222)*($D$223+R231)-$D$222*($F$223+S231)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(1-$F$222)*($D$223+R232)-$D$222*($F$223+S232)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(1-$F$222)*($D$223+R233)-$D$222*($F$223+S233)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(1-$F$222)*($D$223+R234)-$D$222*($F$223+S234)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(1-$F$222)*($D$223+R235)-$D$222*($F$223+S235)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(1-$F$222)*($D$223+R236)-$D$222*($F$223+S236)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(1-$F$222)*($D$223+R237)-$D$222*($F$223+S237)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(1-$F$222)*($D$223+R238)-$D$222*($F$223+S238)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(1-$F$222)*($D$223+R239)-$D$222*($F$223+S239)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(1-$F$222)*($D$223+R240)-$D$222*($F$223+S240)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(1-$F$222)*($D$223+R241)-$D$222*($F$223+S241)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(1-$F$222)*($D$223+R242)-$D$222*($F$223+S242)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(1-$F$222)*($D$223+R243)-$D$222*($F$223+S243)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(1-$F$222)*($D$223+R244)-$D$222*($F$223+S244)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(1-$F$222)*($D$223+R245)-$D$222*($F$223+S245)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(1-$F$222)*($D$223+R246)-$D$222*($F$223+S246)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(1-$F$222)*($D$223+R247)-$D$222*($F$223+S247)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(1-$F$222)*($D$223+R248)-$D$222*($F$223+S248)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(1-$F$222)*($D$223+R249)-$D$222*($F$223+S249)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(1-$F$222)*($D$223+R250)-$D$222*($F$223+S250)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(1-$F$222)*($D$223+R251)-$D$222*($F$223+S251)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(1-$F$222)*($D$223+R252)-$D$222*($F$223+S252)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(1-$F$222)*($D$223+R253)-$D$222*($F$223+S253)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(1-$F$222)*($D$223+R254)-$D$222*($F$223+S254)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(1-$F$222)*($D$223+R255)-$D$222*($F$223+S255)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(1-$F$222)*($D$223+R256)-$D$222*($F$223+S256)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(1-$F$222)*($D$223+R257)-$D$222*($F$223+S257)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(1-$F$222)*($D$223+R258)-$D$222*($F$223+S258)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(1-$F$222)*($D$223+R259)-$D$222*($F$223+S259)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(1-$F$222)*($D$223+R260)-$D$222*($F$223+S260)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P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</row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H3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the order the CDSW screen shows them. S = par spread implied by the curve (B15);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9">
      <c r="A39" s="65" t="inlineStr">
        <is>
          <t>Reference CDSW screen (CINDBK 5Y, 07/21/26) for validation: points upfront -1.97596265, price 101.97596265, principal -197,597, accrued -8,333 (30 days), cash -205,930, default exposure 6,197,596. Those are TARGETS for a like-for-like trade, not model output - the demo spreads here are not that entity's curve.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NOTE: there is no Bloomberg export of bootstrapped hazard rates or zero-coupon CDS spreads (Help Desk H#1330731572), so these checks are INTERNAL consistency only - they confirm the curve reprices its own inputs, not that it agrees with Bloomberg. For external validation compare CDSW screen output (points upfront, price, cash amount) for a known trade.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2026-07-21T15:03:16Z</dcterms:modified>
</cp:coreProperties>
</file>