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Brent_vs_Bisection" sheetId="10" state="visible" r:id="rId10"/>
    <sheet xmlns:r="http://schemas.openxmlformats.org/officeDocument/2006/relationships" name="Curve_Solver" sheetId="11" state="hidden" r:id="rId11"/>
    <sheet xmlns:r="http://schemas.openxmlformats.org/officeDocument/2006/relationships" name="Fwd_Interp" sheetId="12" state="visible" r:id="rId12"/>
    <sheet xmlns:r="http://schemas.openxmlformats.org/officeDocument/2006/relationships" name="Curve_Interface" sheetId="13" state="visible" r:id="rId13"/>
    <sheet xmlns:r="http://schemas.openxmlformats.org/officeDocument/2006/relationships" name="Swap_Pricer" sheetId="14" state="visible" r:id="rId14"/>
    <sheet xmlns:r="http://schemas.openxmlformats.org/officeDocument/2006/relationships" name="Bloomberg_S490_Validation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CDS_Entities" sheetId="17" state="visible" r:id="rId17"/>
    <sheet xmlns:r="http://schemas.openxmlformats.org/officeDocument/2006/relationships" name="CDS_Parameters" sheetId="18" state="visible" r:id="rId18"/>
    <sheet xmlns:r="http://schemas.openxmlformats.org/officeDocument/2006/relationships" name="CDS_Quotes" sheetId="19" state="visible" r:id="rId19"/>
    <sheet xmlns:r="http://schemas.openxmlformats.org/officeDocument/2006/relationships" name="Hazard_Bootstrap" sheetId="20" state="visible" r:id="rId20"/>
    <sheet xmlns:r="http://schemas.openxmlformats.org/officeDocument/2006/relationships" name="Hazard_Solver" sheetId="21" state="hidden" r:id="rId21"/>
    <sheet xmlns:r="http://schemas.openxmlformats.org/officeDocument/2006/relationships" name="CDS_Schedule" sheetId="22" state="visible" r:id="rId22"/>
    <sheet xmlns:r="http://schemas.openxmlformats.org/officeDocument/2006/relationships" name="CDS_Pricer" sheetId="23" state="visible" r:id="rId23"/>
    <sheet xmlns:r="http://schemas.openxmlformats.org/officeDocument/2006/relationships" name="CDS_Validation" sheetId="24" state="visible" r:id="rId24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1",INDEX(Testing!$C$7:$C$38,MATCH(B5,Testing!$A$7:$A$38,0)),IF(Bootstrap!$G$4="Test 2",INDEX(Testing!$G$7:$G$38,MATCH(B5,Testing!$A$7:$A$38,0)),IF(Bootstrap!$G$4="Test 3",INDEX(Testing!$K$7:$K$38,MATCH(B5,Testing!$A$7:$A$38,0)),IF(Bootstrap!$G$4="Fixed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1",INDEX(Testing!$C$7:$C$38,MATCH(B6,Testing!$A$7:$A$38,0)),IF(Bootstrap!$G$4="Test 2",INDEX(Testing!$G$7:$G$38,MATCH(B6,Testing!$A$7:$A$38,0)),IF(Bootstrap!$G$4="Test 3",INDEX(Testing!$K$7:$K$38,MATCH(B6,Testing!$A$7:$A$38,0)),IF(Bootstrap!$G$4="Fixed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1",INDEX(Testing!$C$7:$C$38,MATCH(B7,Testing!$A$7:$A$38,0)),IF(Bootstrap!$G$4="Test 2",INDEX(Testing!$G$7:$G$38,MATCH(B7,Testing!$A$7:$A$38,0)),IF(Bootstrap!$G$4="Test 3",INDEX(Testing!$K$7:$K$38,MATCH(B7,Testing!$A$7:$A$38,0)),IF(Bootstrap!$G$4="Fixed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1",INDEX(Testing!$C$7:$C$38,MATCH(B8,Testing!$A$7:$A$38,0)),IF(Bootstrap!$G$4="Test 2",INDEX(Testing!$G$7:$G$38,MATCH(B8,Testing!$A$7:$A$38,0)),IF(Bootstrap!$G$4="Test 3",INDEX(Testing!$K$7:$K$38,MATCH(B8,Testing!$A$7:$A$38,0)),IF(Bootstrap!$G$4="Fixed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1",INDEX(Testing!$C$7:$C$38,MATCH(B9,Testing!$A$7:$A$38,0)),IF(Bootstrap!$G$4="Test 2",INDEX(Testing!$G$7:$G$38,MATCH(B9,Testing!$A$7:$A$38,0)),IF(Bootstrap!$G$4="Test 3",INDEX(Testing!$K$7:$K$38,MATCH(B9,Testing!$A$7:$A$38,0)),IF(Bootstrap!$G$4="Fixed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1",INDEX(Testing!$C$7:$C$38,MATCH(B10,Testing!$A$7:$A$38,0)),IF(Bootstrap!$G$4="Test 2",INDEX(Testing!$G$7:$G$38,MATCH(B10,Testing!$A$7:$A$38,0)),IF(Bootstrap!$G$4="Test 3",INDEX(Testing!$K$7:$K$38,MATCH(B10,Testing!$A$7:$A$38,0)),IF(Bootstrap!$G$4="Fixed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1",INDEX(Testing!$C$7:$C$38,MATCH(B11,Testing!$A$7:$A$38,0)),IF(Bootstrap!$G$4="Test 2",INDEX(Testing!$G$7:$G$38,MATCH(B11,Testing!$A$7:$A$38,0)),IF(Bootstrap!$G$4="Test 3",INDEX(Testing!$K$7:$K$38,MATCH(B11,Testing!$A$7:$A$38,0)),IF(Bootstrap!$G$4="Fixed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1",INDEX(Testing!$C$7:$C$38,MATCH(B12,Testing!$A$7:$A$38,0)),IF(Bootstrap!$G$4="Test 2",INDEX(Testing!$G$7:$G$38,MATCH(B12,Testing!$A$7:$A$38,0)),IF(Bootstrap!$G$4="Test 3",INDEX(Testing!$K$7:$K$38,MATCH(B12,Testing!$A$7:$A$38,0)),IF(Bootstrap!$G$4="Fixed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1",INDEX(Testing!$C$7:$C$38,MATCH(B13,Testing!$A$7:$A$38,0)),IF(Bootstrap!$G$4="Test 2",INDEX(Testing!$G$7:$G$38,MATCH(B13,Testing!$A$7:$A$38,0)),IF(Bootstrap!$G$4="Test 3",INDEX(Testing!$K$7:$K$38,MATCH(B13,Testing!$A$7:$A$38,0)),IF(Bootstrap!$G$4="Fixed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1",INDEX(Testing!$C$7:$C$38,MATCH(B14,Testing!$A$7:$A$38,0)),IF(Bootstrap!$G$4="Test 2",INDEX(Testing!$G$7:$G$38,MATCH(B14,Testing!$A$7:$A$38,0)),IF(Bootstrap!$G$4="Test 3",INDEX(Testing!$K$7:$K$38,MATCH(B14,Testing!$A$7:$A$38,0)),IF(Bootstrap!$G$4="Fixed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1",INDEX(Testing!$C$7:$C$38,MATCH(B15,Testing!$A$7:$A$38,0)),IF(Bootstrap!$G$4="Test 2",INDEX(Testing!$G$7:$G$38,MATCH(B15,Testing!$A$7:$A$38,0)),IF(Bootstrap!$G$4="Test 3",INDEX(Testing!$K$7:$K$38,MATCH(B15,Testing!$A$7:$A$38,0)),IF(Bootstrap!$G$4="Fixed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1",INDEX(Testing!$C$7:$C$38,MATCH(B16,Testing!$A$7:$A$38,0)),IF(Bootstrap!$G$4="Test 2",INDEX(Testing!$G$7:$G$38,MATCH(B16,Testing!$A$7:$A$38,0)),IF(Bootstrap!$G$4="Test 3",INDEX(Testing!$K$7:$K$38,MATCH(B16,Testing!$A$7:$A$38,0)),IF(Bootstrap!$G$4="Fixed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1",INDEX(Testing!$C$7:$C$38,MATCH(B17,Testing!$A$7:$A$38,0)),IF(Bootstrap!$G$4="Test 2",INDEX(Testing!$G$7:$G$38,MATCH(B17,Testing!$A$7:$A$38,0)),IF(Bootstrap!$G$4="Test 3",INDEX(Testing!$K$7:$K$38,MATCH(B17,Testing!$A$7:$A$38,0)),IF(Bootstrap!$G$4="Fixed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1",INDEX(Testing!$C$7:$C$38,MATCH(B18,Testing!$A$7:$A$38,0)),IF(Bootstrap!$G$4="Test 2",INDEX(Testing!$G$7:$G$38,MATCH(B18,Testing!$A$7:$A$38,0)),IF(Bootstrap!$G$4="Test 3",INDEX(Testing!$K$7:$K$38,MATCH(B18,Testing!$A$7:$A$38,0)),IF(Bootstrap!$G$4="Fixed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1",INDEX(Testing!$C$7:$C$38,MATCH(B19,Testing!$A$7:$A$38,0)),IF(Bootstrap!$G$4="Test 2",INDEX(Testing!$G$7:$G$38,MATCH(B19,Testing!$A$7:$A$38,0)),IF(Bootstrap!$G$4="Test 3",INDEX(Testing!$K$7:$K$38,MATCH(B19,Testing!$A$7:$A$38,0)),IF(Bootstrap!$G$4="Fixed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1",INDEX(Testing!$C$7:$C$38,MATCH(B20,Testing!$A$7:$A$38,0)),IF(Bootstrap!$G$4="Test 2",INDEX(Testing!$G$7:$G$38,MATCH(B20,Testing!$A$7:$A$38,0)),IF(Bootstrap!$G$4="Test 3",INDEX(Testing!$K$7:$K$38,MATCH(B20,Testing!$A$7:$A$38,0)),IF(Bootstrap!$G$4="Fixed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1",INDEX(Testing!$C$7:$C$38,MATCH(B21,Testing!$A$7:$A$38,0)),IF(Bootstrap!$G$4="Test 2",INDEX(Testing!$G$7:$G$38,MATCH(B21,Testing!$A$7:$A$38,0)),IF(Bootstrap!$G$4="Test 3",INDEX(Testing!$K$7:$K$38,MATCH(B21,Testing!$A$7:$A$38,0)),IF(Bootstrap!$G$4="Fixed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1",INDEX(Testing!$C$7:$C$38,MATCH(B22,Testing!$A$7:$A$38,0)),IF(Bootstrap!$G$4="Test 2",INDEX(Testing!$G$7:$G$38,MATCH(B22,Testing!$A$7:$A$38,0)),IF(Bootstrap!$G$4="Test 3",INDEX(Testing!$K$7:$K$38,MATCH(B22,Testing!$A$7:$A$38,0)),IF(Bootstrap!$G$4="Fixed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1",INDEX(Testing!$C$7:$C$38,MATCH(B23,Testing!$A$7:$A$38,0)),IF(Bootstrap!$G$4="Test 2",INDEX(Testing!$G$7:$G$38,MATCH(B23,Testing!$A$7:$A$38,0)),IF(Bootstrap!$G$4="Test 3",INDEX(Testing!$K$7:$K$38,MATCH(B23,Testing!$A$7:$A$38,0)),IF(Bootstrap!$G$4="Fixed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1",INDEX(Testing!$C$7:$C$38,MATCH(B24,Testing!$A$7:$A$38,0)),IF(Bootstrap!$G$4="Test 2",INDEX(Testing!$G$7:$G$38,MATCH(B24,Testing!$A$7:$A$38,0)),IF(Bootstrap!$G$4="Test 3",INDEX(Testing!$K$7:$K$38,MATCH(B24,Testing!$A$7:$A$38,0)),IF(Bootstrap!$G$4="Fixed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1",INDEX(Testing!$C$7:$C$38,MATCH(B25,Testing!$A$7:$A$38,0)),IF(Bootstrap!$G$4="Test 2",INDEX(Testing!$G$7:$G$38,MATCH(B25,Testing!$A$7:$A$38,0)),IF(Bootstrap!$G$4="Test 3",INDEX(Testing!$K$7:$K$38,MATCH(B25,Testing!$A$7:$A$38,0)),IF(Bootstrap!$G$4="Fixed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1",INDEX(Testing!$C$7:$C$38,MATCH(B26,Testing!$A$7:$A$38,0)),IF(Bootstrap!$G$4="Test 2",INDEX(Testing!$G$7:$G$38,MATCH(B26,Testing!$A$7:$A$38,0)),IF(Bootstrap!$G$4="Test 3",INDEX(Testing!$K$7:$K$38,MATCH(B26,Testing!$A$7:$A$38,0)),IF(Bootstrap!$G$4="Fixed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1",INDEX(Testing!$C$7:$C$38,MATCH(B27,Testing!$A$7:$A$38,0)),IF(Bootstrap!$G$4="Test 2",INDEX(Testing!$G$7:$G$38,MATCH(B27,Testing!$A$7:$A$38,0)),IF(Bootstrap!$G$4="Test 3",INDEX(Testing!$K$7:$K$38,MATCH(B27,Testing!$A$7:$A$38,0)),IF(Bootstrap!$G$4="Fixed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1",INDEX(Testing!$C$7:$C$38,MATCH(B28,Testing!$A$7:$A$38,0)),IF(Bootstrap!$G$4="Test 2",INDEX(Testing!$G$7:$G$38,MATCH(B28,Testing!$A$7:$A$38,0)),IF(Bootstrap!$G$4="Test 3",INDEX(Testing!$K$7:$K$38,MATCH(B28,Testing!$A$7:$A$38,0)),IF(Bootstrap!$G$4="Fixed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1",INDEX(Testing!$C$7:$C$38,MATCH(B29,Testing!$A$7:$A$38,0)),IF(Bootstrap!$G$4="Test 2",INDEX(Testing!$G$7:$G$38,MATCH(B29,Testing!$A$7:$A$38,0)),IF(Bootstrap!$G$4="Test 3",INDEX(Testing!$K$7:$K$38,MATCH(B29,Testing!$A$7:$A$38,0)),IF(Bootstrap!$G$4="Fixed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1",INDEX(Testing!$C$7:$C$38,MATCH(B30,Testing!$A$7:$A$38,0)),IF(Bootstrap!$G$4="Test 2",INDEX(Testing!$G$7:$G$38,MATCH(B30,Testing!$A$7:$A$38,0)),IF(Bootstrap!$G$4="Test 3",INDEX(Testing!$K$7:$K$38,MATCH(B30,Testing!$A$7:$A$38,0)),IF(Bootstrap!$G$4="Fixed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1",INDEX(Testing!$C$7:$C$38,MATCH(B31,Testing!$A$7:$A$38,0)),IF(Bootstrap!$G$4="Test 2",INDEX(Testing!$G$7:$G$38,MATCH(B31,Testing!$A$7:$A$38,0)),IF(Bootstrap!$G$4="Test 3",INDEX(Testing!$K$7:$K$38,MATCH(B31,Testing!$A$7:$A$38,0)),IF(Bootstrap!$G$4="Fixed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1",INDEX(Testing!$C$7:$C$38,MATCH(B32,Testing!$A$7:$A$38,0)),IF(Bootstrap!$G$4="Test 2",INDEX(Testing!$G$7:$G$38,MATCH(B32,Testing!$A$7:$A$38,0)),IF(Bootstrap!$G$4="Test 3",INDEX(Testing!$K$7:$K$38,MATCH(B32,Testing!$A$7:$A$38,0)),IF(Bootstrap!$G$4="Fixed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1",INDEX(Testing!$C$7:$C$38,MATCH(B33,Testing!$A$7:$A$38,0)),IF(Bootstrap!$G$4="Test 2",INDEX(Testing!$G$7:$G$38,MATCH(B33,Testing!$A$7:$A$38,0)),IF(Bootstrap!$G$4="Test 3",INDEX(Testing!$K$7:$K$38,MATCH(B33,Testing!$A$7:$A$38,0)),IF(Bootstrap!$G$4="Fixed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1",INDEX(Testing!$C$7:$C$38,MATCH(B34,Testing!$A$7:$A$38,0)),IF(Bootstrap!$G$4="Test 2",INDEX(Testing!$G$7:$G$38,MATCH(B34,Testing!$A$7:$A$38,0)),IF(Bootstrap!$G$4="Test 3",INDEX(Testing!$K$7:$K$38,MATCH(B34,Testing!$A$7:$A$38,0)),IF(Bootstrap!$G$4="Fixed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1",INDEX(Testing!$C$7:$C$38,MATCH(B35,Testing!$A$7:$A$38,0)),IF(Bootstrap!$G$4="Test 2",INDEX(Testing!$G$7:$G$38,MATCH(B35,Testing!$A$7:$A$38,0)),IF(Bootstrap!$G$4="Test 3",INDEX(Testing!$K$7:$K$38,MATCH(B35,Testing!$A$7:$A$38,0)),IF(Bootstrap!$G$4="Fixed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1",INDEX(Testing!$C$7:$C$38,MATCH(B36,Testing!$A$7:$A$38,0)),IF(Bootstrap!$G$4="Test 2",INDEX(Testing!$G$7:$G$38,MATCH(B36,Testing!$A$7:$A$38,0)),IF(Bootstrap!$G$4="Test 3",INDEX(Testing!$K$7:$K$38,MATCH(B36,Testing!$A$7:$A$38,0)),IF(Bootstrap!$G$4="Fixed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AC64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12" customWidth="1" min="4" max="4"/>
    <col width="13" customWidth="1" min="5" max="5"/>
    <col width="14" customWidth="1" min="6" max="6"/>
    <col width="12" customWidth="1" min="7" max="7"/>
    <col width="13" customWidth="1" min="8" max="8"/>
    <col width="14" customWidth="1" min="9" max="9"/>
    <col width="12" customWidth="1" min="10" max="10"/>
    <col width="13" customWidth="1" min="11" max="11"/>
    <col width="14" customWidth="1" min="12" max="12"/>
    <col width="14" customWidth="1" min="13" max="13"/>
    <col width="13" customWidth="1" min="15" max="15"/>
    <col width="8" customWidth="1" min="16" max="16"/>
    <col width="10" customWidth="1" min="17" max="17"/>
    <col width="26" customWidth="1" min="18" max="18"/>
    <col width="10" customWidth="1" min="19" max="19"/>
    <col width="12" customWidth="1" min="20" max="20"/>
    <col width="12" customWidth="1" min="21" max="21"/>
    <col width="12" customWidth="1" min="22" max="22"/>
    <col width="13" customWidth="1" min="23" max="23"/>
    <col width="10" customWidth="1" min="24" max="24"/>
    <col width="11" customWidth="1" min="25" max="25"/>
    <col width="11" customWidth="1" min="26" max="26"/>
    <col width="12" customWidth="1" min="27" max="27"/>
    <col width="10" customWidth="1" min="28" max="28"/>
    <col width="11" customWidth="1" min="29" max="29"/>
  </cols>
  <sheetData>
    <row r="1">
      <c r="A1" s="123" t="inlineStr">
        <is>
          <t>Testing — curve and CDS test cases</t>
        </is>
      </c>
    </row>
    <row r="2">
      <c r="A2" s="65" t="inlineStr">
        <is>
          <t>Curve: paste the swap rates Bloomberg used and the zero + discount curve it produced. Select the case at Bootstrap!G4 to route it through the bootstrap.</t>
        </is>
      </c>
    </row>
    <row r="3">
      <c r="A3" s="65" t="inlineStr">
        <is>
          <t>Curve date per case at row 4. Maturities derive from the tenor, so paste three columns per case: rate, BBG zero, BBG discount.</t>
        </is>
      </c>
      <c r="C3" s="67" t="inlineStr">
        <is>
          <t>CURVE TEST CASE 1</t>
        </is>
      </c>
      <c r="F3" s="67" t="inlineStr">
        <is>
          <t>CURVE TEST CASE 2</t>
        </is>
      </c>
      <c r="I3" s="67" t="inlineStr">
        <is>
          <t>CURVE TEST CASE 3</t>
        </is>
      </c>
    </row>
    <row r="4">
      <c r="A4" s="67" t="inlineStr">
        <is>
          <t>Active source</t>
        </is>
      </c>
      <c r="B4" s="87">
        <f>Bootstrap!$G$4</f>
        <v/>
      </c>
      <c r="C4" s="111" t="n"/>
      <c r="D4" s="65" t="inlineStr">
        <is>
          <t>&lt;- curve date</t>
        </is>
      </c>
      <c r="E4" s="94" t="n"/>
      <c r="F4" s="111" t="n"/>
      <c r="G4" s="65" t="inlineStr">
        <is>
          <t>&lt;- curve date</t>
        </is>
      </c>
      <c r="H4" s="94" t="n"/>
      <c r="I4" s="111" t="n"/>
      <c r="J4" s="65" t="inlineStr">
        <is>
          <t>&lt;- curve date</t>
        </is>
      </c>
      <c r="K4" s="94" t="n"/>
      <c r="L4" s="65" t="inlineStr">
        <is>
          <t>curve date -&gt;</t>
        </is>
      </c>
      <c r="M4" s="128">
        <f>IF(Bootstrap!$G$4="Test 1",$C$4,IF(Bootstrap!$G$4="Test 2",$F$4,IF(Bootstrap!$G$4="Test 3",$I$4,"")))</f>
        <v/>
      </c>
      <c r="O4" s="123" t="inlineStr">
        <is>
          <t>WORKING — active case, every intermediate the bootstrap used</t>
        </is>
      </c>
    </row>
    <row r="5">
      <c r="A5" s="94" t="n"/>
      <c r="B5" s="87" t="n"/>
      <c r="C5" s="155" t="n"/>
      <c r="D5" s="94" t="n"/>
      <c r="E5" s="94" t="n"/>
      <c r="F5" s="94" t="n"/>
      <c r="G5" s="155" t="n"/>
      <c r="H5" s="94" t="n"/>
      <c r="I5" s="94" t="n"/>
      <c r="J5" s="94" t="n"/>
      <c r="K5" s="155" t="n"/>
      <c r="L5" s="65" t="inlineStr">
        <is>
          <t>spot (T+2bd) -&gt;</t>
        </is>
      </c>
      <c r="M5" s="128">
        <f>IF($M$4="","",$M$4+2+IF(WEEKDAY($M$4,2)&gt;=4,2,0))</f>
        <v/>
      </c>
      <c r="O5" s="65" t="inlineStr">
        <is>
          <t>Pulled from Bootstrap by date, so this is the actual working, not a re-derivation. Check any row by hand from the Rule column.</t>
        </is>
      </c>
    </row>
    <row r="6" ht="30" customHeight="1">
      <c r="A6" s="141" t="inlineStr">
        <is>
          <t>Tenor</t>
        </is>
      </c>
      <c r="B6" s="141" t="inlineStr">
        <is>
          <t>Date</t>
        </is>
      </c>
      <c r="C6" s="145" t="inlineStr">
        <is>
          <t>Swap rate (mid)</t>
        </is>
      </c>
      <c r="D6" s="145" t="inlineStr">
        <is>
          <t>BBG zero %</t>
        </is>
      </c>
      <c r="E6" s="145" t="inlineStr">
        <is>
          <t>BBG discount</t>
        </is>
      </c>
      <c r="F6" s="151" t="inlineStr">
        <is>
          <t>Swap rate (mid)</t>
        </is>
      </c>
      <c r="G6" s="151" t="inlineStr">
        <is>
          <t>BBG zero %</t>
        </is>
      </c>
      <c r="H6" s="151" t="inlineStr">
        <is>
          <t>BBG discount</t>
        </is>
      </c>
      <c r="I6" s="146" t="inlineStr">
        <is>
          <t>Swap rate (mid)</t>
        </is>
      </c>
      <c r="J6" s="146" t="inlineStr">
        <is>
          <t>BBG zero %</t>
        </is>
      </c>
      <c r="K6" s="146" t="inlineStr">
        <is>
          <t>BBG discount</t>
        </is>
      </c>
      <c r="L6" s="159" t="inlineStr">
        <is>
          <t>raw date</t>
        </is>
      </c>
      <c r="M6" s="156" t="n"/>
      <c r="O6" s="153" t="inlineStr">
        <is>
          <t>Date</t>
        </is>
      </c>
      <c r="P6" s="153" t="inlineStr">
        <is>
          <t>Tenor</t>
        </is>
      </c>
      <c r="Q6" s="153" t="inlineStr">
        <is>
          <t>S used %</t>
        </is>
      </c>
      <c r="R6" s="153" t="inlineStr">
        <is>
          <t>Rule</t>
        </is>
      </c>
      <c r="S6" s="153" t="inlineStr">
        <is>
          <t>tau</t>
        </is>
      </c>
      <c r="T6" s="153" t="inlineStr">
        <is>
          <t>A(prior)</t>
        </is>
      </c>
      <c r="U6" s="153" t="inlineStr">
        <is>
          <t>numerator</t>
        </is>
      </c>
      <c r="V6" s="153" t="inlineStr">
        <is>
          <t>denominator</t>
        </is>
      </c>
      <c r="W6" s="153" t="inlineStr">
        <is>
          <t>our DF</t>
        </is>
      </c>
      <c r="X6" s="153" t="inlineStr">
        <is>
          <t>t ACT/365</t>
        </is>
      </c>
      <c r="Y6" s="153" t="inlineStr">
        <is>
          <t>our zero %</t>
        </is>
      </c>
      <c r="Z6" s="153" t="inlineStr">
        <is>
          <t>BBG zero %</t>
        </is>
      </c>
      <c r="AA6" s="153" t="inlineStr">
        <is>
          <t>BBG DF</t>
        </is>
      </c>
      <c r="AB6" s="153" t="inlineStr">
        <is>
          <t>d zero bp</t>
        </is>
      </c>
      <c r="AC6" s="153" t="inlineStr">
        <is>
          <t>d DF</t>
        </is>
      </c>
    </row>
    <row r="7">
      <c r="A7" s="152" t="inlineStr">
        <is>
          <t>1W</t>
        </is>
      </c>
      <c r="B7" s="157">
        <f>IF(L7="","",IF(MONTH((L7+IF(WEEKDAY(L7,2)=6,2,IF(WEEKDAY(L7,2)=7,1,0))))&lt;&gt;MONTH(L7),(L7-IF(WEEKDAY(L7,2)=6,1,IF(WEEKDAY(L7,2)=7,2,0))),(L7+IF(WEEKDAY(L7,2)=6,2,IF(WEEKDAY(L7,2)=7,1,0)))))</f>
        <v/>
      </c>
      <c r="C7" s="85" t="n"/>
      <c r="D7" s="85" t="n"/>
      <c r="E7" s="69" t="n"/>
      <c r="F7" s="85" t="n"/>
      <c r="G7" s="85" t="n"/>
      <c r="H7" s="69" t="n"/>
      <c r="I7" s="85" t="n"/>
      <c r="J7" s="85" t="n"/>
      <c r="K7" s="69" t="n"/>
      <c r="L7" s="157">
        <f>IF($M$5="","",IF(RIGHT(A7,1)="W",$M$5+7*VALUE(LEFT(A7,LEN(A7)-1)),IF(RIGHT(A7,1)="M",EDATE($M$5,VALUE(LEFT(A7,LEN(A7)-1))),EDATE($M$5,12*VALUE(LEFT(A7,LEN(A7)-1))))))</f>
        <v/>
      </c>
      <c r="M7" s="158" t="n"/>
      <c r="O7" s="112">
        <f>B7</f>
        <v/>
      </c>
      <c r="P7" s="84">
        <f>A7</f>
        <v/>
      </c>
      <c r="Q7" s="84">
        <f>IFERROR(INDEX(Bootstrap!$E$8:$E$72,MATCH(O7,Bootstrap!$B$8:$B$72,0)),"")</f>
        <v/>
      </c>
      <c r="R7" s="154">
        <f>IFERROR(IF(MATCH(O7,Bootstrap!$B$8:$B$72,0)&lt;=15,"short  DFspot/(1+S*tau)","annual (DFspot-S*A)/(1+S*tau)"),"")</f>
        <v/>
      </c>
      <c r="S7" s="80">
        <f>IFERROR(IF(MATCH(O7,Bootstrap!$B$8:$B$72,0)&lt;=15,INDEX(Bootstrap!$D$8:$D$72,MATCH(O7,Bootstrap!$B$8:$B$72,0)),INDEX(Bootstrap!$F$8:$F$72,MATCH(O7,Bootstrap!$B$8:$B$72,0))),"")</f>
        <v/>
      </c>
      <c r="T7" s="76">
        <f>IFERROR(IF(MATCH(O7,Bootstrap!$B$8:$B$72,0)&lt;=15,0,INDEX(Bootstrap!$G$8:$G$72,MATCH(O7,Bootstrap!$B$8:$B$72,0))),"")</f>
        <v/>
      </c>
      <c r="U7" s="76">
        <f>IF(OR(Q7="",S7=""),"",Bootstrap!$D$4-(Q7/100)*T7)</f>
        <v/>
      </c>
      <c r="V7" s="76">
        <f>IF(OR(Q7="",S7=""),"",1+(Q7/100)*S7)</f>
        <v/>
      </c>
      <c r="W7" s="76">
        <f>IFERROR(INDEX(Bootstrap!$H$8:$H$72,MATCH(O7,Bootstrap!$B$8:$B$72,0)),"")</f>
        <v/>
      </c>
      <c r="X7" s="80">
        <f>IFERROR(INDEX(Bootstrap!$C$8:$C$72,MATCH(O7,Bootstrap!$B$8:$B$72,0)),"")</f>
        <v/>
      </c>
      <c r="Y7" s="84">
        <f>IFERROR(INDEX(Bootstrap!$J$8:$J$72,MATCH(O7,Bootstrap!$B$8:$B$72,0)),"")</f>
        <v/>
      </c>
      <c r="Z7" s="84">
        <f>IF(Bootstrap!$G$4="Test 1",D7,IF(Bootstrap!$G$4="Test 2",G7,IF(Bootstrap!$G$4="Test 3",J7,"")))</f>
        <v/>
      </c>
      <c r="AA7" s="80">
        <f>IF(Bootstrap!$G$4="Test 1",E7,IF(Bootstrap!$G$4="Test 2",H7,IF(Bootstrap!$G$4="Test 3",K7,"")))</f>
        <v/>
      </c>
      <c r="AB7" s="89">
        <f>IF(OR(Y7="",NOT(ISNUMBER(Z7))),"",(Y7-Z7)*100)</f>
        <v/>
      </c>
      <c r="AC7" s="72">
        <f>IF(OR(W7="",NOT(ISNUMBER(AA7))),"",W7-AA7)</f>
        <v/>
      </c>
    </row>
    <row r="8">
      <c r="A8" s="152" t="inlineStr">
        <is>
          <t>2W</t>
        </is>
      </c>
      <c r="B8" s="157">
        <f>IF(L8="","",IF(MONTH((L8+IF(WEEKDAY(L8,2)=6,2,IF(WEEKDAY(L8,2)=7,1,0))))&lt;&gt;MONTH(L8),(L8-IF(WEEKDAY(L8,2)=6,1,IF(WEEKDAY(L8,2)=7,2,0))),(L8+IF(WEEKDAY(L8,2)=6,2,IF(WEEKDAY(L8,2)=7,1,0)))))</f>
        <v/>
      </c>
      <c r="C8" s="85" t="n"/>
      <c r="D8" s="85" t="n"/>
      <c r="E8" s="69" t="n"/>
      <c r="F8" s="85" t="n"/>
      <c r="G8" s="85" t="n"/>
      <c r="H8" s="69" t="n"/>
      <c r="I8" s="85" t="n"/>
      <c r="J8" s="85" t="n"/>
      <c r="K8" s="69" t="n"/>
      <c r="L8" s="157">
        <f>IF($M$5="","",IF(RIGHT(A8,1)="W",$M$5+7*VALUE(LEFT(A8,LEN(A8)-1)),IF(RIGHT(A8,1)="M",EDATE($M$5,VALUE(LEFT(A8,LEN(A8)-1))),EDATE($M$5,12*VALUE(LEFT(A8,LEN(A8)-1))))))</f>
        <v/>
      </c>
      <c r="M8" s="158" t="n"/>
      <c r="O8" s="112">
        <f>B8</f>
        <v/>
      </c>
      <c r="P8" s="84">
        <f>A8</f>
        <v/>
      </c>
      <c r="Q8" s="84">
        <f>IFERROR(INDEX(Bootstrap!$E$8:$E$72,MATCH(O8,Bootstrap!$B$8:$B$72,0)),"")</f>
        <v/>
      </c>
      <c r="R8" s="154">
        <f>IFERROR(IF(MATCH(O8,Bootstrap!$B$8:$B$72,0)&lt;=15,"short  DFspot/(1+S*tau)","annual (DFspot-S*A)/(1+S*tau)"),"")</f>
        <v/>
      </c>
      <c r="S8" s="80">
        <f>IFERROR(IF(MATCH(O8,Bootstrap!$B$8:$B$72,0)&lt;=15,INDEX(Bootstrap!$D$8:$D$72,MATCH(O8,Bootstrap!$B$8:$B$72,0)),INDEX(Bootstrap!$F$8:$F$72,MATCH(O8,Bootstrap!$B$8:$B$72,0))),"")</f>
        <v/>
      </c>
      <c r="T8" s="76">
        <f>IFERROR(IF(MATCH(O8,Bootstrap!$B$8:$B$72,0)&lt;=15,0,INDEX(Bootstrap!$G$8:$G$72,MATCH(O8,Bootstrap!$B$8:$B$72,0))),"")</f>
        <v/>
      </c>
      <c r="U8" s="76">
        <f>IF(OR(Q8="",S8=""),"",Bootstrap!$D$4-(Q8/100)*T8)</f>
        <v/>
      </c>
      <c r="V8" s="76">
        <f>IF(OR(Q8="",S8=""),"",1+(Q8/100)*S8)</f>
        <v/>
      </c>
      <c r="W8" s="76">
        <f>IFERROR(INDEX(Bootstrap!$H$8:$H$72,MATCH(O8,Bootstrap!$B$8:$B$72,0)),"")</f>
        <v/>
      </c>
      <c r="X8" s="80">
        <f>IFERROR(INDEX(Bootstrap!$C$8:$C$72,MATCH(O8,Bootstrap!$B$8:$B$72,0)),"")</f>
        <v/>
      </c>
      <c r="Y8" s="84">
        <f>IFERROR(INDEX(Bootstrap!$J$8:$J$72,MATCH(O8,Bootstrap!$B$8:$B$72,0)),"")</f>
        <v/>
      </c>
      <c r="Z8" s="84">
        <f>IF(Bootstrap!$G$4="Test 1",D8,IF(Bootstrap!$G$4="Test 2",G8,IF(Bootstrap!$G$4="Test 3",J8,"")))</f>
        <v/>
      </c>
      <c r="AA8" s="80">
        <f>IF(Bootstrap!$G$4="Test 1",E8,IF(Bootstrap!$G$4="Test 2",H8,IF(Bootstrap!$G$4="Test 3",K8,"")))</f>
        <v/>
      </c>
      <c r="AB8" s="89">
        <f>IF(OR(Y8="",NOT(ISNUMBER(Z8))),"",(Y8-Z8)*100)</f>
        <v/>
      </c>
      <c r="AC8" s="72">
        <f>IF(OR(W8="",NOT(ISNUMBER(AA8))),"",W8-AA8)</f>
        <v/>
      </c>
    </row>
    <row r="9">
      <c r="A9" s="152" t="inlineStr">
        <is>
          <t>3W</t>
        </is>
      </c>
      <c r="B9" s="157">
        <f>IF(L9="","",IF(MONTH((L9+IF(WEEKDAY(L9,2)=6,2,IF(WEEKDAY(L9,2)=7,1,0))))&lt;&gt;MONTH(L9),(L9-IF(WEEKDAY(L9,2)=6,1,IF(WEEKDAY(L9,2)=7,2,0))),(L9+IF(WEEKDAY(L9,2)=6,2,IF(WEEKDAY(L9,2)=7,1,0)))))</f>
        <v/>
      </c>
      <c r="C9" s="85" t="n"/>
      <c r="D9" s="85" t="n"/>
      <c r="E9" s="69" t="n"/>
      <c r="F9" s="85" t="n"/>
      <c r="G9" s="85" t="n"/>
      <c r="H9" s="69" t="n"/>
      <c r="I9" s="85" t="n"/>
      <c r="J9" s="85" t="n"/>
      <c r="K9" s="69" t="n"/>
      <c r="L9" s="157">
        <f>IF($M$5="","",IF(RIGHT(A9,1)="W",$M$5+7*VALUE(LEFT(A9,LEN(A9)-1)),IF(RIGHT(A9,1)="M",EDATE($M$5,VALUE(LEFT(A9,LEN(A9)-1))),EDATE($M$5,12*VALUE(LEFT(A9,LEN(A9)-1))))))</f>
        <v/>
      </c>
      <c r="M9" s="158" t="n"/>
      <c r="O9" s="112">
        <f>B9</f>
        <v/>
      </c>
      <c r="P9" s="84">
        <f>A9</f>
        <v/>
      </c>
      <c r="Q9" s="84">
        <f>IFERROR(INDEX(Bootstrap!$E$8:$E$72,MATCH(O9,Bootstrap!$B$8:$B$72,0)),"")</f>
        <v/>
      </c>
      <c r="R9" s="154">
        <f>IFERROR(IF(MATCH(O9,Bootstrap!$B$8:$B$72,0)&lt;=15,"short  DFspot/(1+S*tau)","annual (DFspot-S*A)/(1+S*tau)"),"")</f>
        <v/>
      </c>
      <c r="S9" s="80">
        <f>IFERROR(IF(MATCH(O9,Bootstrap!$B$8:$B$72,0)&lt;=15,INDEX(Bootstrap!$D$8:$D$72,MATCH(O9,Bootstrap!$B$8:$B$72,0)),INDEX(Bootstrap!$F$8:$F$72,MATCH(O9,Bootstrap!$B$8:$B$72,0))),"")</f>
        <v/>
      </c>
      <c r="T9" s="76">
        <f>IFERROR(IF(MATCH(O9,Bootstrap!$B$8:$B$72,0)&lt;=15,0,INDEX(Bootstrap!$G$8:$G$72,MATCH(O9,Bootstrap!$B$8:$B$72,0))),"")</f>
        <v/>
      </c>
      <c r="U9" s="76">
        <f>IF(OR(Q9="",S9=""),"",Bootstrap!$D$4-(Q9/100)*T9)</f>
        <v/>
      </c>
      <c r="V9" s="76">
        <f>IF(OR(Q9="",S9=""),"",1+(Q9/100)*S9)</f>
        <v/>
      </c>
      <c r="W9" s="76">
        <f>IFERROR(INDEX(Bootstrap!$H$8:$H$72,MATCH(O9,Bootstrap!$B$8:$B$72,0)),"")</f>
        <v/>
      </c>
      <c r="X9" s="80">
        <f>IFERROR(INDEX(Bootstrap!$C$8:$C$72,MATCH(O9,Bootstrap!$B$8:$B$72,0)),"")</f>
        <v/>
      </c>
      <c r="Y9" s="84">
        <f>IFERROR(INDEX(Bootstrap!$J$8:$J$72,MATCH(O9,Bootstrap!$B$8:$B$72,0)),"")</f>
        <v/>
      </c>
      <c r="Z9" s="84">
        <f>IF(Bootstrap!$G$4="Test 1",D9,IF(Bootstrap!$G$4="Test 2",G9,IF(Bootstrap!$G$4="Test 3",J9,"")))</f>
        <v/>
      </c>
      <c r="AA9" s="80">
        <f>IF(Bootstrap!$G$4="Test 1",E9,IF(Bootstrap!$G$4="Test 2",H9,IF(Bootstrap!$G$4="Test 3",K9,"")))</f>
        <v/>
      </c>
      <c r="AB9" s="89">
        <f>IF(OR(Y9="",NOT(ISNUMBER(Z9))),"",(Y9-Z9)*100)</f>
        <v/>
      </c>
      <c r="AC9" s="72">
        <f>IF(OR(W9="",NOT(ISNUMBER(AA9))),"",W9-AA9)</f>
        <v/>
      </c>
    </row>
    <row r="10">
      <c r="A10" s="152" t="inlineStr">
        <is>
          <t>1M</t>
        </is>
      </c>
      <c r="B10" s="157">
        <f>IF(L10="","",IF(MONTH((L10+IF(WEEKDAY(L10,2)=6,2,IF(WEEKDAY(L10,2)=7,1,0))))&lt;&gt;MONTH(L10),(L10-IF(WEEKDAY(L10,2)=6,1,IF(WEEKDAY(L10,2)=7,2,0))),(L10+IF(WEEKDAY(L10,2)=6,2,IF(WEEKDAY(L10,2)=7,1,0)))))</f>
        <v/>
      </c>
      <c r="C10" s="85" t="n"/>
      <c r="D10" s="85" t="n"/>
      <c r="E10" s="69" t="n"/>
      <c r="F10" s="85" t="n"/>
      <c r="G10" s="85" t="n"/>
      <c r="H10" s="69" t="n"/>
      <c r="I10" s="85" t="n"/>
      <c r="J10" s="85" t="n"/>
      <c r="K10" s="69" t="n"/>
      <c r="L10" s="157">
        <f>IF($M$5="","",IF(RIGHT(A10,1)="W",$M$5+7*VALUE(LEFT(A10,LEN(A10)-1)),IF(RIGHT(A10,1)="M",EDATE($M$5,VALUE(LEFT(A10,LEN(A10)-1))),EDATE($M$5,12*VALUE(LEFT(A10,LEN(A10)-1))))))</f>
        <v/>
      </c>
      <c r="M10" s="158" t="n"/>
      <c r="O10" s="112">
        <f>B10</f>
        <v/>
      </c>
      <c r="P10" s="84">
        <f>A10</f>
        <v/>
      </c>
      <c r="Q10" s="84">
        <f>IFERROR(INDEX(Bootstrap!$E$8:$E$72,MATCH(O10,Bootstrap!$B$8:$B$72,0)),"")</f>
        <v/>
      </c>
      <c r="R10" s="154">
        <f>IFERROR(IF(MATCH(O10,Bootstrap!$B$8:$B$72,0)&lt;=15,"short  DFspot/(1+S*tau)","annual (DFspot-S*A)/(1+S*tau)"),"")</f>
        <v/>
      </c>
      <c r="S10" s="80">
        <f>IFERROR(IF(MATCH(O10,Bootstrap!$B$8:$B$72,0)&lt;=15,INDEX(Bootstrap!$D$8:$D$72,MATCH(O10,Bootstrap!$B$8:$B$72,0)),INDEX(Bootstrap!$F$8:$F$72,MATCH(O10,Bootstrap!$B$8:$B$72,0))),"")</f>
        <v/>
      </c>
      <c r="T10" s="76">
        <f>IFERROR(IF(MATCH(O10,Bootstrap!$B$8:$B$72,0)&lt;=15,0,INDEX(Bootstrap!$G$8:$G$72,MATCH(O10,Bootstrap!$B$8:$B$72,0))),"")</f>
        <v/>
      </c>
      <c r="U10" s="76">
        <f>IF(OR(Q10="",S10=""),"",Bootstrap!$D$4-(Q10/100)*T10)</f>
        <v/>
      </c>
      <c r="V10" s="76">
        <f>IF(OR(Q10="",S10=""),"",1+(Q10/100)*S10)</f>
        <v/>
      </c>
      <c r="W10" s="76">
        <f>IFERROR(INDEX(Bootstrap!$H$8:$H$72,MATCH(O10,Bootstrap!$B$8:$B$72,0)),"")</f>
        <v/>
      </c>
      <c r="X10" s="80">
        <f>IFERROR(INDEX(Bootstrap!$C$8:$C$72,MATCH(O10,Bootstrap!$B$8:$B$72,0)),"")</f>
        <v/>
      </c>
      <c r="Y10" s="84">
        <f>IFERROR(INDEX(Bootstrap!$J$8:$J$72,MATCH(O10,Bootstrap!$B$8:$B$72,0)),"")</f>
        <v/>
      </c>
      <c r="Z10" s="84">
        <f>IF(Bootstrap!$G$4="Test 1",D10,IF(Bootstrap!$G$4="Test 2",G10,IF(Bootstrap!$G$4="Test 3",J10,"")))</f>
        <v/>
      </c>
      <c r="AA10" s="80">
        <f>IF(Bootstrap!$G$4="Test 1",E10,IF(Bootstrap!$G$4="Test 2",H10,IF(Bootstrap!$G$4="Test 3",K10,"")))</f>
        <v/>
      </c>
      <c r="AB10" s="89">
        <f>IF(OR(Y10="",NOT(ISNUMBER(Z10))),"",(Y10-Z10)*100)</f>
        <v/>
      </c>
      <c r="AC10" s="72">
        <f>IF(OR(W10="",NOT(ISNUMBER(AA10))),"",W10-AA10)</f>
        <v/>
      </c>
    </row>
    <row r="11">
      <c r="A11" s="152" t="inlineStr">
        <is>
          <t>2M</t>
        </is>
      </c>
      <c r="B11" s="157">
        <f>IF(L11="","",IF(MONTH((L11+IF(WEEKDAY(L11,2)=6,2,IF(WEEKDAY(L11,2)=7,1,0))))&lt;&gt;MONTH(L11),(L11-IF(WEEKDAY(L11,2)=6,1,IF(WEEKDAY(L11,2)=7,2,0))),(L11+IF(WEEKDAY(L11,2)=6,2,IF(WEEKDAY(L11,2)=7,1,0)))))</f>
        <v/>
      </c>
      <c r="C11" s="85" t="n"/>
      <c r="D11" s="85" t="n"/>
      <c r="E11" s="69" t="n"/>
      <c r="F11" s="85" t="n"/>
      <c r="G11" s="85" t="n"/>
      <c r="H11" s="69" t="n"/>
      <c r="I11" s="85" t="n"/>
      <c r="J11" s="85" t="n"/>
      <c r="K11" s="69" t="n"/>
      <c r="L11" s="157">
        <f>IF($M$5="","",IF(RIGHT(A11,1)="W",$M$5+7*VALUE(LEFT(A11,LEN(A11)-1)),IF(RIGHT(A11,1)="M",EDATE($M$5,VALUE(LEFT(A11,LEN(A11)-1))),EDATE($M$5,12*VALUE(LEFT(A11,LEN(A11)-1))))))</f>
        <v/>
      </c>
      <c r="M11" s="158" t="n"/>
      <c r="O11" s="112">
        <f>B11</f>
        <v/>
      </c>
      <c r="P11" s="84">
        <f>A11</f>
        <v/>
      </c>
      <c r="Q11" s="84">
        <f>IFERROR(INDEX(Bootstrap!$E$8:$E$72,MATCH(O11,Bootstrap!$B$8:$B$72,0)),"")</f>
        <v/>
      </c>
      <c r="R11" s="154">
        <f>IFERROR(IF(MATCH(O11,Bootstrap!$B$8:$B$72,0)&lt;=15,"short  DFspot/(1+S*tau)","annual (DFspot-S*A)/(1+S*tau)"),"")</f>
        <v/>
      </c>
      <c r="S11" s="80">
        <f>IFERROR(IF(MATCH(O11,Bootstrap!$B$8:$B$72,0)&lt;=15,INDEX(Bootstrap!$D$8:$D$72,MATCH(O11,Bootstrap!$B$8:$B$72,0)),INDEX(Bootstrap!$F$8:$F$72,MATCH(O11,Bootstrap!$B$8:$B$72,0))),"")</f>
        <v/>
      </c>
      <c r="T11" s="76">
        <f>IFERROR(IF(MATCH(O11,Bootstrap!$B$8:$B$72,0)&lt;=15,0,INDEX(Bootstrap!$G$8:$G$72,MATCH(O11,Bootstrap!$B$8:$B$72,0))),"")</f>
        <v/>
      </c>
      <c r="U11" s="76">
        <f>IF(OR(Q11="",S11=""),"",Bootstrap!$D$4-(Q11/100)*T11)</f>
        <v/>
      </c>
      <c r="V11" s="76">
        <f>IF(OR(Q11="",S11=""),"",1+(Q11/100)*S11)</f>
        <v/>
      </c>
      <c r="W11" s="76">
        <f>IFERROR(INDEX(Bootstrap!$H$8:$H$72,MATCH(O11,Bootstrap!$B$8:$B$72,0)),"")</f>
        <v/>
      </c>
      <c r="X11" s="80">
        <f>IFERROR(INDEX(Bootstrap!$C$8:$C$72,MATCH(O11,Bootstrap!$B$8:$B$72,0)),"")</f>
        <v/>
      </c>
      <c r="Y11" s="84">
        <f>IFERROR(INDEX(Bootstrap!$J$8:$J$72,MATCH(O11,Bootstrap!$B$8:$B$72,0)),"")</f>
        <v/>
      </c>
      <c r="Z11" s="84">
        <f>IF(Bootstrap!$G$4="Test 1",D11,IF(Bootstrap!$G$4="Test 2",G11,IF(Bootstrap!$G$4="Test 3",J11,"")))</f>
        <v/>
      </c>
      <c r="AA11" s="80">
        <f>IF(Bootstrap!$G$4="Test 1",E11,IF(Bootstrap!$G$4="Test 2",H11,IF(Bootstrap!$G$4="Test 3",K11,"")))</f>
        <v/>
      </c>
      <c r="AB11" s="89">
        <f>IF(OR(Y11="",NOT(ISNUMBER(Z11))),"",(Y11-Z11)*100)</f>
        <v/>
      </c>
      <c r="AC11" s="72">
        <f>IF(OR(W11="",NOT(ISNUMBER(AA11))),"",W11-AA11)</f>
        <v/>
      </c>
    </row>
    <row r="12">
      <c r="A12" s="152" t="inlineStr">
        <is>
          <t>3M</t>
        </is>
      </c>
      <c r="B12" s="157">
        <f>IF(L12="","",IF(MONTH((L12+IF(WEEKDAY(L12,2)=6,2,IF(WEEKDAY(L12,2)=7,1,0))))&lt;&gt;MONTH(L12),(L12-IF(WEEKDAY(L12,2)=6,1,IF(WEEKDAY(L12,2)=7,2,0))),(L12+IF(WEEKDAY(L12,2)=6,2,IF(WEEKDAY(L12,2)=7,1,0)))))</f>
        <v/>
      </c>
      <c r="C12" s="85" t="n"/>
      <c r="D12" s="85" t="n"/>
      <c r="E12" s="69" t="n"/>
      <c r="F12" s="85" t="n"/>
      <c r="G12" s="85" t="n"/>
      <c r="H12" s="69" t="n"/>
      <c r="I12" s="85" t="n"/>
      <c r="J12" s="85" t="n"/>
      <c r="K12" s="69" t="n"/>
      <c r="L12" s="157">
        <f>IF($M$5="","",IF(RIGHT(A12,1)="W",$M$5+7*VALUE(LEFT(A12,LEN(A12)-1)),IF(RIGHT(A12,1)="M",EDATE($M$5,VALUE(LEFT(A12,LEN(A12)-1))),EDATE($M$5,12*VALUE(LEFT(A12,LEN(A12)-1))))))</f>
        <v/>
      </c>
      <c r="M12" s="158" t="n"/>
      <c r="O12" s="112">
        <f>B12</f>
        <v/>
      </c>
      <c r="P12" s="84">
        <f>A12</f>
        <v/>
      </c>
      <c r="Q12" s="84">
        <f>IFERROR(INDEX(Bootstrap!$E$8:$E$72,MATCH(O12,Bootstrap!$B$8:$B$72,0)),"")</f>
        <v/>
      </c>
      <c r="R12" s="154">
        <f>IFERROR(IF(MATCH(O12,Bootstrap!$B$8:$B$72,0)&lt;=15,"short  DFspot/(1+S*tau)","annual (DFspot-S*A)/(1+S*tau)"),"")</f>
        <v/>
      </c>
      <c r="S12" s="80">
        <f>IFERROR(IF(MATCH(O12,Bootstrap!$B$8:$B$72,0)&lt;=15,INDEX(Bootstrap!$D$8:$D$72,MATCH(O12,Bootstrap!$B$8:$B$72,0)),INDEX(Bootstrap!$F$8:$F$72,MATCH(O12,Bootstrap!$B$8:$B$72,0))),"")</f>
        <v/>
      </c>
      <c r="T12" s="76">
        <f>IFERROR(IF(MATCH(O12,Bootstrap!$B$8:$B$72,0)&lt;=15,0,INDEX(Bootstrap!$G$8:$G$72,MATCH(O12,Bootstrap!$B$8:$B$72,0))),"")</f>
        <v/>
      </c>
      <c r="U12" s="76">
        <f>IF(OR(Q12="",S12=""),"",Bootstrap!$D$4-(Q12/100)*T12)</f>
        <v/>
      </c>
      <c r="V12" s="76">
        <f>IF(OR(Q12="",S12=""),"",1+(Q12/100)*S12)</f>
        <v/>
      </c>
      <c r="W12" s="76">
        <f>IFERROR(INDEX(Bootstrap!$H$8:$H$72,MATCH(O12,Bootstrap!$B$8:$B$72,0)),"")</f>
        <v/>
      </c>
      <c r="X12" s="80">
        <f>IFERROR(INDEX(Bootstrap!$C$8:$C$72,MATCH(O12,Bootstrap!$B$8:$B$72,0)),"")</f>
        <v/>
      </c>
      <c r="Y12" s="84">
        <f>IFERROR(INDEX(Bootstrap!$J$8:$J$72,MATCH(O12,Bootstrap!$B$8:$B$72,0)),"")</f>
        <v/>
      </c>
      <c r="Z12" s="84">
        <f>IF(Bootstrap!$G$4="Test 1",D12,IF(Bootstrap!$G$4="Test 2",G12,IF(Bootstrap!$G$4="Test 3",J12,"")))</f>
        <v/>
      </c>
      <c r="AA12" s="80">
        <f>IF(Bootstrap!$G$4="Test 1",E12,IF(Bootstrap!$G$4="Test 2",H12,IF(Bootstrap!$G$4="Test 3",K12,"")))</f>
        <v/>
      </c>
      <c r="AB12" s="89">
        <f>IF(OR(Y12="",NOT(ISNUMBER(Z12))),"",(Y12-Z12)*100)</f>
        <v/>
      </c>
      <c r="AC12" s="72">
        <f>IF(OR(W12="",NOT(ISNUMBER(AA12))),"",W12-AA12)</f>
        <v/>
      </c>
    </row>
    <row r="13">
      <c r="A13" s="152" t="inlineStr">
        <is>
          <t>4M</t>
        </is>
      </c>
      <c r="B13" s="157">
        <f>IF(L13="","",IF(MONTH((L13+IF(WEEKDAY(L13,2)=6,2,IF(WEEKDAY(L13,2)=7,1,0))))&lt;&gt;MONTH(L13),(L13-IF(WEEKDAY(L13,2)=6,1,IF(WEEKDAY(L13,2)=7,2,0))),(L13+IF(WEEKDAY(L13,2)=6,2,IF(WEEKDAY(L13,2)=7,1,0)))))</f>
        <v/>
      </c>
      <c r="C13" s="85" t="n"/>
      <c r="D13" s="85" t="n"/>
      <c r="E13" s="69" t="n"/>
      <c r="F13" s="85" t="n"/>
      <c r="G13" s="85" t="n"/>
      <c r="H13" s="69" t="n"/>
      <c r="I13" s="85" t="n"/>
      <c r="J13" s="85" t="n"/>
      <c r="K13" s="69" t="n"/>
      <c r="L13" s="157">
        <f>IF($M$5="","",IF(RIGHT(A13,1)="W",$M$5+7*VALUE(LEFT(A13,LEN(A13)-1)),IF(RIGHT(A13,1)="M",EDATE($M$5,VALUE(LEFT(A13,LEN(A13)-1))),EDATE($M$5,12*VALUE(LEFT(A13,LEN(A13)-1))))))</f>
        <v/>
      </c>
      <c r="M13" s="158" t="n"/>
      <c r="O13" s="112">
        <f>B13</f>
        <v/>
      </c>
      <c r="P13" s="84">
        <f>A13</f>
        <v/>
      </c>
      <c r="Q13" s="84">
        <f>IFERROR(INDEX(Bootstrap!$E$8:$E$72,MATCH(O13,Bootstrap!$B$8:$B$72,0)),"")</f>
        <v/>
      </c>
      <c r="R13" s="154">
        <f>IFERROR(IF(MATCH(O13,Bootstrap!$B$8:$B$72,0)&lt;=15,"short  DFspot/(1+S*tau)","annual (DFspot-S*A)/(1+S*tau)"),"")</f>
        <v/>
      </c>
      <c r="S13" s="80">
        <f>IFERROR(IF(MATCH(O13,Bootstrap!$B$8:$B$72,0)&lt;=15,INDEX(Bootstrap!$D$8:$D$72,MATCH(O13,Bootstrap!$B$8:$B$72,0)),INDEX(Bootstrap!$F$8:$F$72,MATCH(O13,Bootstrap!$B$8:$B$72,0))),"")</f>
        <v/>
      </c>
      <c r="T13" s="76">
        <f>IFERROR(IF(MATCH(O13,Bootstrap!$B$8:$B$72,0)&lt;=15,0,INDEX(Bootstrap!$G$8:$G$72,MATCH(O13,Bootstrap!$B$8:$B$72,0))),"")</f>
        <v/>
      </c>
      <c r="U13" s="76">
        <f>IF(OR(Q13="",S13=""),"",Bootstrap!$D$4-(Q13/100)*T13)</f>
        <v/>
      </c>
      <c r="V13" s="76">
        <f>IF(OR(Q13="",S13=""),"",1+(Q13/100)*S13)</f>
        <v/>
      </c>
      <c r="W13" s="76">
        <f>IFERROR(INDEX(Bootstrap!$H$8:$H$72,MATCH(O13,Bootstrap!$B$8:$B$72,0)),"")</f>
        <v/>
      </c>
      <c r="X13" s="80">
        <f>IFERROR(INDEX(Bootstrap!$C$8:$C$72,MATCH(O13,Bootstrap!$B$8:$B$72,0)),"")</f>
        <v/>
      </c>
      <c r="Y13" s="84">
        <f>IFERROR(INDEX(Bootstrap!$J$8:$J$72,MATCH(O13,Bootstrap!$B$8:$B$72,0)),"")</f>
        <v/>
      </c>
      <c r="Z13" s="84">
        <f>IF(Bootstrap!$G$4="Test 1",D13,IF(Bootstrap!$G$4="Test 2",G13,IF(Bootstrap!$G$4="Test 3",J13,"")))</f>
        <v/>
      </c>
      <c r="AA13" s="80">
        <f>IF(Bootstrap!$G$4="Test 1",E13,IF(Bootstrap!$G$4="Test 2",H13,IF(Bootstrap!$G$4="Test 3",K13,"")))</f>
        <v/>
      </c>
      <c r="AB13" s="89">
        <f>IF(OR(Y13="",NOT(ISNUMBER(Z13))),"",(Y13-Z13)*100)</f>
        <v/>
      </c>
      <c r="AC13" s="72">
        <f>IF(OR(W13="",NOT(ISNUMBER(AA13))),"",W13-AA13)</f>
        <v/>
      </c>
    </row>
    <row r="14">
      <c r="A14" s="152" t="inlineStr">
        <is>
          <t>5M</t>
        </is>
      </c>
      <c r="B14" s="157">
        <f>IF(L14="","",IF(MONTH((L14+IF(WEEKDAY(L14,2)=6,2,IF(WEEKDAY(L14,2)=7,1,0))))&lt;&gt;MONTH(L14),(L14-IF(WEEKDAY(L14,2)=6,1,IF(WEEKDAY(L14,2)=7,2,0))),(L14+IF(WEEKDAY(L14,2)=6,2,IF(WEEKDAY(L14,2)=7,1,0)))))</f>
        <v/>
      </c>
      <c r="C14" s="85" t="n"/>
      <c r="D14" s="85" t="n"/>
      <c r="E14" s="69" t="n"/>
      <c r="F14" s="85" t="n"/>
      <c r="G14" s="85" t="n"/>
      <c r="H14" s="69" t="n"/>
      <c r="I14" s="85" t="n"/>
      <c r="J14" s="85" t="n"/>
      <c r="K14" s="69" t="n"/>
      <c r="L14" s="157">
        <f>IF($M$5="","",IF(RIGHT(A14,1)="W",$M$5+7*VALUE(LEFT(A14,LEN(A14)-1)),IF(RIGHT(A14,1)="M",EDATE($M$5,VALUE(LEFT(A14,LEN(A14)-1))),EDATE($M$5,12*VALUE(LEFT(A14,LEN(A14)-1))))))</f>
        <v/>
      </c>
      <c r="M14" s="158" t="n"/>
      <c r="O14" s="112">
        <f>B14</f>
        <v/>
      </c>
      <c r="P14" s="84">
        <f>A14</f>
        <v/>
      </c>
      <c r="Q14" s="84">
        <f>IFERROR(INDEX(Bootstrap!$E$8:$E$72,MATCH(O14,Bootstrap!$B$8:$B$72,0)),"")</f>
        <v/>
      </c>
      <c r="R14" s="154">
        <f>IFERROR(IF(MATCH(O14,Bootstrap!$B$8:$B$72,0)&lt;=15,"short  DFspot/(1+S*tau)","annual (DFspot-S*A)/(1+S*tau)"),"")</f>
        <v/>
      </c>
      <c r="S14" s="80">
        <f>IFERROR(IF(MATCH(O14,Bootstrap!$B$8:$B$72,0)&lt;=15,INDEX(Bootstrap!$D$8:$D$72,MATCH(O14,Bootstrap!$B$8:$B$72,0)),INDEX(Bootstrap!$F$8:$F$72,MATCH(O14,Bootstrap!$B$8:$B$72,0))),"")</f>
        <v/>
      </c>
      <c r="T14" s="76">
        <f>IFERROR(IF(MATCH(O14,Bootstrap!$B$8:$B$72,0)&lt;=15,0,INDEX(Bootstrap!$G$8:$G$72,MATCH(O14,Bootstrap!$B$8:$B$72,0))),"")</f>
        <v/>
      </c>
      <c r="U14" s="76">
        <f>IF(OR(Q14="",S14=""),"",Bootstrap!$D$4-(Q14/100)*T14)</f>
        <v/>
      </c>
      <c r="V14" s="76">
        <f>IF(OR(Q14="",S14=""),"",1+(Q14/100)*S14)</f>
        <v/>
      </c>
      <c r="W14" s="76">
        <f>IFERROR(INDEX(Bootstrap!$H$8:$H$72,MATCH(O14,Bootstrap!$B$8:$B$72,0)),"")</f>
        <v/>
      </c>
      <c r="X14" s="80">
        <f>IFERROR(INDEX(Bootstrap!$C$8:$C$72,MATCH(O14,Bootstrap!$B$8:$B$72,0)),"")</f>
        <v/>
      </c>
      <c r="Y14" s="84">
        <f>IFERROR(INDEX(Bootstrap!$J$8:$J$72,MATCH(O14,Bootstrap!$B$8:$B$72,0)),"")</f>
        <v/>
      </c>
      <c r="Z14" s="84">
        <f>IF(Bootstrap!$G$4="Test 1",D14,IF(Bootstrap!$G$4="Test 2",G14,IF(Bootstrap!$G$4="Test 3",J14,"")))</f>
        <v/>
      </c>
      <c r="AA14" s="80">
        <f>IF(Bootstrap!$G$4="Test 1",E14,IF(Bootstrap!$G$4="Test 2",H14,IF(Bootstrap!$G$4="Test 3",K14,"")))</f>
        <v/>
      </c>
      <c r="AB14" s="89">
        <f>IF(OR(Y14="",NOT(ISNUMBER(Z14))),"",(Y14-Z14)*100)</f>
        <v/>
      </c>
      <c r="AC14" s="72">
        <f>IF(OR(W14="",NOT(ISNUMBER(AA14))),"",W14-AA14)</f>
        <v/>
      </c>
    </row>
    <row r="15">
      <c r="A15" s="152" t="inlineStr">
        <is>
          <t>6M</t>
        </is>
      </c>
      <c r="B15" s="157">
        <f>IF(L15="","",IF(MONTH((L15+IF(WEEKDAY(L15,2)=6,2,IF(WEEKDAY(L15,2)=7,1,0))))&lt;&gt;MONTH(L15),(L15-IF(WEEKDAY(L15,2)=6,1,IF(WEEKDAY(L15,2)=7,2,0))),(L15+IF(WEEKDAY(L15,2)=6,2,IF(WEEKDAY(L15,2)=7,1,0)))))</f>
        <v/>
      </c>
      <c r="C15" s="85" t="n"/>
      <c r="D15" s="85" t="n"/>
      <c r="E15" s="69" t="n"/>
      <c r="F15" s="85" t="n"/>
      <c r="G15" s="85" t="n"/>
      <c r="H15" s="69" t="n"/>
      <c r="I15" s="85" t="n"/>
      <c r="J15" s="85" t="n"/>
      <c r="K15" s="69" t="n"/>
      <c r="L15" s="157">
        <f>IF($M$5="","",IF(RIGHT(A15,1)="W",$M$5+7*VALUE(LEFT(A15,LEN(A15)-1)),IF(RIGHT(A15,1)="M",EDATE($M$5,VALUE(LEFT(A15,LEN(A15)-1))),EDATE($M$5,12*VALUE(LEFT(A15,LEN(A15)-1))))))</f>
        <v/>
      </c>
      <c r="M15" s="158" t="n"/>
      <c r="O15" s="112">
        <f>B15</f>
        <v/>
      </c>
      <c r="P15" s="84">
        <f>A15</f>
        <v/>
      </c>
      <c r="Q15" s="84">
        <f>IFERROR(INDEX(Bootstrap!$E$8:$E$72,MATCH(O15,Bootstrap!$B$8:$B$72,0)),"")</f>
        <v/>
      </c>
      <c r="R15" s="154">
        <f>IFERROR(IF(MATCH(O15,Bootstrap!$B$8:$B$72,0)&lt;=15,"short  DFspot/(1+S*tau)","annual (DFspot-S*A)/(1+S*tau)"),"")</f>
        <v/>
      </c>
      <c r="S15" s="80">
        <f>IFERROR(IF(MATCH(O15,Bootstrap!$B$8:$B$72,0)&lt;=15,INDEX(Bootstrap!$D$8:$D$72,MATCH(O15,Bootstrap!$B$8:$B$72,0)),INDEX(Bootstrap!$F$8:$F$72,MATCH(O15,Bootstrap!$B$8:$B$72,0))),"")</f>
        <v/>
      </c>
      <c r="T15" s="76">
        <f>IFERROR(IF(MATCH(O15,Bootstrap!$B$8:$B$72,0)&lt;=15,0,INDEX(Bootstrap!$G$8:$G$72,MATCH(O15,Bootstrap!$B$8:$B$72,0))),"")</f>
        <v/>
      </c>
      <c r="U15" s="76">
        <f>IF(OR(Q15="",S15=""),"",Bootstrap!$D$4-(Q15/100)*T15)</f>
        <v/>
      </c>
      <c r="V15" s="76">
        <f>IF(OR(Q15="",S15=""),"",1+(Q15/100)*S15)</f>
        <v/>
      </c>
      <c r="W15" s="76">
        <f>IFERROR(INDEX(Bootstrap!$H$8:$H$72,MATCH(O15,Bootstrap!$B$8:$B$72,0)),"")</f>
        <v/>
      </c>
      <c r="X15" s="80">
        <f>IFERROR(INDEX(Bootstrap!$C$8:$C$72,MATCH(O15,Bootstrap!$B$8:$B$72,0)),"")</f>
        <v/>
      </c>
      <c r="Y15" s="84">
        <f>IFERROR(INDEX(Bootstrap!$J$8:$J$72,MATCH(O15,Bootstrap!$B$8:$B$72,0)),"")</f>
        <v/>
      </c>
      <c r="Z15" s="84">
        <f>IF(Bootstrap!$G$4="Test 1",D15,IF(Bootstrap!$G$4="Test 2",G15,IF(Bootstrap!$G$4="Test 3",J15,"")))</f>
        <v/>
      </c>
      <c r="AA15" s="80">
        <f>IF(Bootstrap!$G$4="Test 1",E15,IF(Bootstrap!$G$4="Test 2",H15,IF(Bootstrap!$G$4="Test 3",K15,"")))</f>
        <v/>
      </c>
      <c r="AB15" s="89">
        <f>IF(OR(Y15="",NOT(ISNUMBER(Z15))),"",(Y15-Z15)*100)</f>
        <v/>
      </c>
      <c r="AC15" s="72">
        <f>IF(OR(W15="",NOT(ISNUMBER(AA15))),"",W15-AA15)</f>
        <v/>
      </c>
    </row>
    <row r="16">
      <c r="A16" s="152" t="inlineStr">
        <is>
          <t>7M</t>
        </is>
      </c>
      <c r="B16" s="157">
        <f>IF(L16="","",IF(MONTH((L16+IF(WEEKDAY(L16,2)=6,2,IF(WEEKDAY(L16,2)=7,1,0))))&lt;&gt;MONTH(L16),(L16-IF(WEEKDAY(L16,2)=6,1,IF(WEEKDAY(L16,2)=7,2,0))),(L16+IF(WEEKDAY(L16,2)=6,2,IF(WEEKDAY(L16,2)=7,1,0)))))</f>
        <v/>
      </c>
      <c r="C16" s="85" t="n"/>
      <c r="D16" s="85" t="n"/>
      <c r="E16" s="69" t="n"/>
      <c r="F16" s="85" t="n"/>
      <c r="G16" s="85" t="n"/>
      <c r="H16" s="69" t="n"/>
      <c r="I16" s="85" t="n"/>
      <c r="J16" s="85" t="n"/>
      <c r="K16" s="69" t="n"/>
      <c r="L16" s="157">
        <f>IF($M$5="","",IF(RIGHT(A16,1)="W",$M$5+7*VALUE(LEFT(A16,LEN(A16)-1)),IF(RIGHT(A16,1)="M",EDATE($M$5,VALUE(LEFT(A16,LEN(A16)-1))),EDATE($M$5,12*VALUE(LEFT(A16,LEN(A16)-1))))))</f>
        <v/>
      </c>
      <c r="M16" s="158" t="n"/>
      <c r="O16" s="112">
        <f>B16</f>
        <v/>
      </c>
      <c r="P16" s="84">
        <f>A16</f>
        <v/>
      </c>
      <c r="Q16" s="84">
        <f>IFERROR(INDEX(Bootstrap!$E$8:$E$72,MATCH(O16,Bootstrap!$B$8:$B$72,0)),"")</f>
        <v/>
      </c>
      <c r="R16" s="154">
        <f>IFERROR(IF(MATCH(O16,Bootstrap!$B$8:$B$72,0)&lt;=15,"short  DFspot/(1+S*tau)","annual (DFspot-S*A)/(1+S*tau)"),"")</f>
        <v/>
      </c>
      <c r="S16" s="80">
        <f>IFERROR(IF(MATCH(O16,Bootstrap!$B$8:$B$72,0)&lt;=15,INDEX(Bootstrap!$D$8:$D$72,MATCH(O16,Bootstrap!$B$8:$B$72,0)),INDEX(Bootstrap!$F$8:$F$72,MATCH(O16,Bootstrap!$B$8:$B$72,0))),"")</f>
        <v/>
      </c>
      <c r="T16" s="76">
        <f>IFERROR(IF(MATCH(O16,Bootstrap!$B$8:$B$72,0)&lt;=15,0,INDEX(Bootstrap!$G$8:$G$72,MATCH(O16,Bootstrap!$B$8:$B$72,0))),"")</f>
        <v/>
      </c>
      <c r="U16" s="76">
        <f>IF(OR(Q16="",S16=""),"",Bootstrap!$D$4-(Q16/100)*T16)</f>
        <v/>
      </c>
      <c r="V16" s="76">
        <f>IF(OR(Q16="",S16=""),"",1+(Q16/100)*S16)</f>
        <v/>
      </c>
      <c r="W16" s="76">
        <f>IFERROR(INDEX(Bootstrap!$H$8:$H$72,MATCH(O16,Bootstrap!$B$8:$B$72,0)),"")</f>
        <v/>
      </c>
      <c r="X16" s="80">
        <f>IFERROR(INDEX(Bootstrap!$C$8:$C$72,MATCH(O16,Bootstrap!$B$8:$B$72,0)),"")</f>
        <v/>
      </c>
      <c r="Y16" s="84">
        <f>IFERROR(INDEX(Bootstrap!$J$8:$J$72,MATCH(O16,Bootstrap!$B$8:$B$72,0)),"")</f>
        <v/>
      </c>
      <c r="Z16" s="84">
        <f>IF(Bootstrap!$G$4="Test 1",D16,IF(Bootstrap!$G$4="Test 2",G16,IF(Bootstrap!$G$4="Test 3",J16,"")))</f>
        <v/>
      </c>
      <c r="AA16" s="80">
        <f>IF(Bootstrap!$G$4="Test 1",E16,IF(Bootstrap!$G$4="Test 2",H16,IF(Bootstrap!$G$4="Test 3",K16,"")))</f>
        <v/>
      </c>
      <c r="AB16" s="89">
        <f>IF(OR(Y16="",NOT(ISNUMBER(Z16))),"",(Y16-Z16)*100)</f>
        <v/>
      </c>
      <c r="AC16" s="72">
        <f>IF(OR(W16="",NOT(ISNUMBER(AA16))),"",W16-AA16)</f>
        <v/>
      </c>
    </row>
    <row r="17">
      <c r="A17" s="152" t="inlineStr">
        <is>
          <t>8M</t>
        </is>
      </c>
      <c r="B17" s="157">
        <f>IF(L17="","",IF(MONTH((L17+IF(WEEKDAY(L17,2)=6,2,IF(WEEKDAY(L17,2)=7,1,0))))&lt;&gt;MONTH(L17),(L17-IF(WEEKDAY(L17,2)=6,1,IF(WEEKDAY(L17,2)=7,2,0))),(L17+IF(WEEKDAY(L17,2)=6,2,IF(WEEKDAY(L17,2)=7,1,0)))))</f>
        <v/>
      </c>
      <c r="C17" s="85" t="n"/>
      <c r="D17" s="85" t="n"/>
      <c r="E17" s="69" t="n"/>
      <c r="F17" s="85" t="n"/>
      <c r="G17" s="85" t="n"/>
      <c r="H17" s="69" t="n"/>
      <c r="I17" s="85" t="n"/>
      <c r="J17" s="85" t="n"/>
      <c r="K17" s="69" t="n"/>
      <c r="L17" s="157">
        <f>IF($M$5="","",IF(RIGHT(A17,1)="W",$M$5+7*VALUE(LEFT(A17,LEN(A17)-1)),IF(RIGHT(A17,1)="M",EDATE($M$5,VALUE(LEFT(A17,LEN(A17)-1))),EDATE($M$5,12*VALUE(LEFT(A17,LEN(A17)-1))))))</f>
        <v/>
      </c>
      <c r="M17" s="158" t="n"/>
      <c r="O17" s="112">
        <f>B17</f>
        <v/>
      </c>
      <c r="P17" s="84">
        <f>A17</f>
        <v/>
      </c>
      <c r="Q17" s="84">
        <f>IFERROR(INDEX(Bootstrap!$E$8:$E$72,MATCH(O17,Bootstrap!$B$8:$B$72,0)),"")</f>
        <v/>
      </c>
      <c r="R17" s="154">
        <f>IFERROR(IF(MATCH(O17,Bootstrap!$B$8:$B$72,0)&lt;=15,"short  DFspot/(1+S*tau)","annual (DFspot-S*A)/(1+S*tau)"),"")</f>
        <v/>
      </c>
      <c r="S17" s="80">
        <f>IFERROR(IF(MATCH(O17,Bootstrap!$B$8:$B$72,0)&lt;=15,INDEX(Bootstrap!$D$8:$D$72,MATCH(O17,Bootstrap!$B$8:$B$72,0)),INDEX(Bootstrap!$F$8:$F$72,MATCH(O17,Bootstrap!$B$8:$B$72,0))),"")</f>
        <v/>
      </c>
      <c r="T17" s="76">
        <f>IFERROR(IF(MATCH(O17,Bootstrap!$B$8:$B$72,0)&lt;=15,0,INDEX(Bootstrap!$G$8:$G$72,MATCH(O17,Bootstrap!$B$8:$B$72,0))),"")</f>
        <v/>
      </c>
      <c r="U17" s="76">
        <f>IF(OR(Q17="",S17=""),"",Bootstrap!$D$4-(Q17/100)*T17)</f>
        <v/>
      </c>
      <c r="V17" s="76">
        <f>IF(OR(Q17="",S17=""),"",1+(Q17/100)*S17)</f>
        <v/>
      </c>
      <c r="W17" s="76">
        <f>IFERROR(INDEX(Bootstrap!$H$8:$H$72,MATCH(O17,Bootstrap!$B$8:$B$72,0)),"")</f>
        <v/>
      </c>
      <c r="X17" s="80">
        <f>IFERROR(INDEX(Bootstrap!$C$8:$C$72,MATCH(O17,Bootstrap!$B$8:$B$72,0)),"")</f>
        <v/>
      </c>
      <c r="Y17" s="84">
        <f>IFERROR(INDEX(Bootstrap!$J$8:$J$72,MATCH(O17,Bootstrap!$B$8:$B$72,0)),"")</f>
        <v/>
      </c>
      <c r="Z17" s="84">
        <f>IF(Bootstrap!$G$4="Test 1",D17,IF(Bootstrap!$G$4="Test 2",G17,IF(Bootstrap!$G$4="Test 3",J17,"")))</f>
        <v/>
      </c>
      <c r="AA17" s="80">
        <f>IF(Bootstrap!$G$4="Test 1",E17,IF(Bootstrap!$G$4="Test 2",H17,IF(Bootstrap!$G$4="Test 3",K17,"")))</f>
        <v/>
      </c>
      <c r="AB17" s="89">
        <f>IF(OR(Y17="",NOT(ISNUMBER(Z17))),"",(Y17-Z17)*100)</f>
        <v/>
      </c>
      <c r="AC17" s="72">
        <f>IF(OR(W17="",NOT(ISNUMBER(AA17))),"",W17-AA17)</f>
        <v/>
      </c>
    </row>
    <row r="18">
      <c r="A18" s="152" t="inlineStr">
        <is>
          <t>9M</t>
        </is>
      </c>
      <c r="B18" s="157">
        <f>IF(L18="","",IF(MONTH((L18+IF(WEEKDAY(L18,2)=6,2,IF(WEEKDAY(L18,2)=7,1,0))))&lt;&gt;MONTH(L18),(L18-IF(WEEKDAY(L18,2)=6,1,IF(WEEKDAY(L18,2)=7,2,0))),(L18+IF(WEEKDAY(L18,2)=6,2,IF(WEEKDAY(L18,2)=7,1,0)))))</f>
        <v/>
      </c>
      <c r="C18" s="85" t="n"/>
      <c r="D18" s="85" t="n"/>
      <c r="E18" s="69" t="n"/>
      <c r="F18" s="85" t="n"/>
      <c r="G18" s="85" t="n"/>
      <c r="H18" s="69" t="n"/>
      <c r="I18" s="85" t="n"/>
      <c r="J18" s="85" t="n"/>
      <c r="K18" s="69" t="n"/>
      <c r="L18" s="157">
        <f>IF($M$5="","",IF(RIGHT(A18,1)="W",$M$5+7*VALUE(LEFT(A18,LEN(A18)-1)),IF(RIGHT(A18,1)="M",EDATE($M$5,VALUE(LEFT(A18,LEN(A18)-1))),EDATE($M$5,12*VALUE(LEFT(A18,LEN(A18)-1))))))</f>
        <v/>
      </c>
      <c r="M18" s="158" t="n"/>
      <c r="O18" s="112">
        <f>B18</f>
        <v/>
      </c>
      <c r="P18" s="84">
        <f>A18</f>
        <v/>
      </c>
      <c r="Q18" s="84">
        <f>IFERROR(INDEX(Bootstrap!$E$8:$E$72,MATCH(O18,Bootstrap!$B$8:$B$72,0)),"")</f>
        <v/>
      </c>
      <c r="R18" s="154">
        <f>IFERROR(IF(MATCH(O18,Bootstrap!$B$8:$B$72,0)&lt;=15,"short  DFspot/(1+S*tau)","annual (DFspot-S*A)/(1+S*tau)"),"")</f>
        <v/>
      </c>
      <c r="S18" s="80">
        <f>IFERROR(IF(MATCH(O18,Bootstrap!$B$8:$B$72,0)&lt;=15,INDEX(Bootstrap!$D$8:$D$72,MATCH(O18,Bootstrap!$B$8:$B$72,0)),INDEX(Bootstrap!$F$8:$F$72,MATCH(O18,Bootstrap!$B$8:$B$72,0))),"")</f>
        <v/>
      </c>
      <c r="T18" s="76">
        <f>IFERROR(IF(MATCH(O18,Bootstrap!$B$8:$B$72,0)&lt;=15,0,INDEX(Bootstrap!$G$8:$G$72,MATCH(O18,Bootstrap!$B$8:$B$72,0))),"")</f>
        <v/>
      </c>
      <c r="U18" s="76">
        <f>IF(OR(Q18="",S18=""),"",Bootstrap!$D$4-(Q18/100)*T18)</f>
        <v/>
      </c>
      <c r="V18" s="76">
        <f>IF(OR(Q18="",S18=""),"",1+(Q18/100)*S18)</f>
        <v/>
      </c>
      <c r="W18" s="76">
        <f>IFERROR(INDEX(Bootstrap!$H$8:$H$72,MATCH(O18,Bootstrap!$B$8:$B$72,0)),"")</f>
        <v/>
      </c>
      <c r="X18" s="80">
        <f>IFERROR(INDEX(Bootstrap!$C$8:$C$72,MATCH(O18,Bootstrap!$B$8:$B$72,0)),"")</f>
        <v/>
      </c>
      <c r="Y18" s="84">
        <f>IFERROR(INDEX(Bootstrap!$J$8:$J$72,MATCH(O18,Bootstrap!$B$8:$B$72,0)),"")</f>
        <v/>
      </c>
      <c r="Z18" s="84">
        <f>IF(Bootstrap!$G$4="Test 1",D18,IF(Bootstrap!$G$4="Test 2",G18,IF(Bootstrap!$G$4="Test 3",J18,"")))</f>
        <v/>
      </c>
      <c r="AA18" s="80">
        <f>IF(Bootstrap!$G$4="Test 1",E18,IF(Bootstrap!$G$4="Test 2",H18,IF(Bootstrap!$G$4="Test 3",K18,"")))</f>
        <v/>
      </c>
      <c r="AB18" s="89">
        <f>IF(OR(Y18="",NOT(ISNUMBER(Z18))),"",(Y18-Z18)*100)</f>
        <v/>
      </c>
      <c r="AC18" s="72">
        <f>IF(OR(W18="",NOT(ISNUMBER(AA18))),"",W18-AA18)</f>
        <v/>
      </c>
    </row>
    <row r="19">
      <c r="A19" s="152" t="inlineStr">
        <is>
          <t>10M</t>
        </is>
      </c>
      <c r="B19" s="157">
        <f>IF(L19="","",IF(MONTH((L19+IF(WEEKDAY(L19,2)=6,2,IF(WEEKDAY(L19,2)=7,1,0))))&lt;&gt;MONTH(L19),(L19-IF(WEEKDAY(L19,2)=6,1,IF(WEEKDAY(L19,2)=7,2,0))),(L19+IF(WEEKDAY(L19,2)=6,2,IF(WEEKDAY(L19,2)=7,1,0)))))</f>
        <v/>
      </c>
      <c r="C19" s="85" t="n"/>
      <c r="D19" s="85" t="n"/>
      <c r="E19" s="69" t="n"/>
      <c r="F19" s="85" t="n"/>
      <c r="G19" s="85" t="n"/>
      <c r="H19" s="69" t="n"/>
      <c r="I19" s="85" t="n"/>
      <c r="J19" s="85" t="n"/>
      <c r="K19" s="69" t="n"/>
      <c r="L19" s="157">
        <f>IF($M$5="","",IF(RIGHT(A19,1)="W",$M$5+7*VALUE(LEFT(A19,LEN(A19)-1)),IF(RIGHT(A19,1)="M",EDATE($M$5,VALUE(LEFT(A19,LEN(A19)-1))),EDATE($M$5,12*VALUE(LEFT(A19,LEN(A19)-1))))))</f>
        <v/>
      </c>
      <c r="M19" s="158" t="n"/>
      <c r="O19" s="112">
        <f>B19</f>
        <v/>
      </c>
      <c r="P19" s="84">
        <f>A19</f>
        <v/>
      </c>
      <c r="Q19" s="84">
        <f>IFERROR(INDEX(Bootstrap!$E$8:$E$72,MATCH(O19,Bootstrap!$B$8:$B$72,0)),"")</f>
        <v/>
      </c>
      <c r="R19" s="154">
        <f>IFERROR(IF(MATCH(O19,Bootstrap!$B$8:$B$72,0)&lt;=15,"short  DFspot/(1+S*tau)","annual (DFspot-S*A)/(1+S*tau)"),"")</f>
        <v/>
      </c>
      <c r="S19" s="80">
        <f>IFERROR(IF(MATCH(O19,Bootstrap!$B$8:$B$72,0)&lt;=15,INDEX(Bootstrap!$D$8:$D$72,MATCH(O19,Bootstrap!$B$8:$B$72,0)),INDEX(Bootstrap!$F$8:$F$72,MATCH(O19,Bootstrap!$B$8:$B$72,0))),"")</f>
        <v/>
      </c>
      <c r="T19" s="76">
        <f>IFERROR(IF(MATCH(O19,Bootstrap!$B$8:$B$72,0)&lt;=15,0,INDEX(Bootstrap!$G$8:$G$72,MATCH(O19,Bootstrap!$B$8:$B$72,0))),"")</f>
        <v/>
      </c>
      <c r="U19" s="76">
        <f>IF(OR(Q19="",S19=""),"",Bootstrap!$D$4-(Q19/100)*T19)</f>
        <v/>
      </c>
      <c r="V19" s="76">
        <f>IF(OR(Q19="",S19=""),"",1+(Q19/100)*S19)</f>
        <v/>
      </c>
      <c r="W19" s="76">
        <f>IFERROR(INDEX(Bootstrap!$H$8:$H$72,MATCH(O19,Bootstrap!$B$8:$B$72,0)),"")</f>
        <v/>
      </c>
      <c r="X19" s="80">
        <f>IFERROR(INDEX(Bootstrap!$C$8:$C$72,MATCH(O19,Bootstrap!$B$8:$B$72,0)),"")</f>
        <v/>
      </c>
      <c r="Y19" s="84">
        <f>IFERROR(INDEX(Bootstrap!$J$8:$J$72,MATCH(O19,Bootstrap!$B$8:$B$72,0)),"")</f>
        <v/>
      </c>
      <c r="Z19" s="84">
        <f>IF(Bootstrap!$G$4="Test 1",D19,IF(Bootstrap!$G$4="Test 2",G19,IF(Bootstrap!$G$4="Test 3",J19,"")))</f>
        <v/>
      </c>
      <c r="AA19" s="80">
        <f>IF(Bootstrap!$G$4="Test 1",E19,IF(Bootstrap!$G$4="Test 2",H19,IF(Bootstrap!$G$4="Test 3",K19,"")))</f>
        <v/>
      </c>
      <c r="AB19" s="89">
        <f>IF(OR(Y19="",NOT(ISNUMBER(Z19))),"",(Y19-Z19)*100)</f>
        <v/>
      </c>
      <c r="AC19" s="72">
        <f>IF(OR(W19="",NOT(ISNUMBER(AA19))),"",W19-AA19)</f>
        <v/>
      </c>
    </row>
    <row r="20">
      <c r="A20" s="152" t="inlineStr">
        <is>
          <t>11M</t>
        </is>
      </c>
      <c r="B20" s="157">
        <f>IF(L20="","",IF(MONTH((L20+IF(WEEKDAY(L20,2)=6,2,IF(WEEKDAY(L20,2)=7,1,0))))&lt;&gt;MONTH(L20),(L20-IF(WEEKDAY(L20,2)=6,1,IF(WEEKDAY(L20,2)=7,2,0))),(L20+IF(WEEKDAY(L20,2)=6,2,IF(WEEKDAY(L20,2)=7,1,0)))))</f>
        <v/>
      </c>
      <c r="C20" s="85" t="n"/>
      <c r="D20" s="85" t="n"/>
      <c r="E20" s="69" t="n"/>
      <c r="F20" s="85" t="n"/>
      <c r="G20" s="85" t="n"/>
      <c r="H20" s="69" t="n"/>
      <c r="I20" s="85" t="n"/>
      <c r="J20" s="85" t="n"/>
      <c r="K20" s="69" t="n"/>
      <c r="L20" s="157">
        <f>IF($M$5="","",IF(RIGHT(A20,1)="W",$M$5+7*VALUE(LEFT(A20,LEN(A20)-1)),IF(RIGHT(A20,1)="M",EDATE($M$5,VALUE(LEFT(A20,LEN(A20)-1))),EDATE($M$5,12*VALUE(LEFT(A20,LEN(A20)-1))))))</f>
        <v/>
      </c>
      <c r="M20" s="158" t="n"/>
      <c r="O20" s="112">
        <f>B20</f>
        <v/>
      </c>
      <c r="P20" s="84">
        <f>A20</f>
        <v/>
      </c>
      <c r="Q20" s="84">
        <f>IFERROR(INDEX(Bootstrap!$E$8:$E$72,MATCH(O20,Bootstrap!$B$8:$B$72,0)),"")</f>
        <v/>
      </c>
      <c r="R20" s="154">
        <f>IFERROR(IF(MATCH(O20,Bootstrap!$B$8:$B$72,0)&lt;=15,"short  DFspot/(1+S*tau)","annual (DFspot-S*A)/(1+S*tau)"),"")</f>
        <v/>
      </c>
      <c r="S20" s="80">
        <f>IFERROR(IF(MATCH(O20,Bootstrap!$B$8:$B$72,0)&lt;=15,INDEX(Bootstrap!$D$8:$D$72,MATCH(O20,Bootstrap!$B$8:$B$72,0)),INDEX(Bootstrap!$F$8:$F$72,MATCH(O20,Bootstrap!$B$8:$B$72,0))),"")</f>
        <v/>
      </c>
      <c r="T20" s="76">
        <f>IFERROR(IF(MATCH(O20,Bootstrap!$B$8:$B$72,0)&lt;=15,0,INDEX(Bootstrap!$G$8:$G$72,MATCH(O20,Bootstrap!$B$8:$B$72,0))),"")</f>
        <v/>
      </c>
      <c r="U20" s="76">
        <f>IF(OR(Q20="",S20=""),"",Bootstrap!$D$4-(Q20/100)*T20)</f>
        <v/>
      </c>
      <c r="V20" s="76">
        <f>IF(OR(Q20="",S20=""),"",1+(Q20/100)*S20)</f>
        <v/>
      </c>
      <c r="W20" s="76">
        <f>IFERROR(INDEX(Bootstrap!$H$8:$H$72,MATCH(O20,Bootstrap!$B$8:$B$72,0)),"")</f>
        <v/>
      </c>
      <c r="X20" s="80">
        <f>IFERROR(INDEX(Bootstrap!$C$8:$C$72,MATCH(O20,Bootstrap!$B$8:$B$72,0)),"")</f>
        <v/>
      </c>
      <c r="Y20" s="84">
        <f>IFERROR(INDEX(Bootstrap!$J$8:$J$72,MATCH(O20,Bootstrap!$B$8:$B$72,0)),"")</f>
        <v/>
      </c>
      <c r="Z20" s="84">
        <f>IF(Bootstrap!$G$4="Test 1",D20,IF(Bootstrap!$G$4="Test 2",G20,IF(Bootstrap!$G$4="Test 3",J20,"")))</f>
        <v/>
      </c>
      <c r="AA20" s="80">
        <f>IF(Bootstrap!$G$4="Test 1",E20,IF(Bootstrap!$G$4="Test 2",H20,IF(Bootstrap!$G$4="Test 3",K20,"")))</f>
        <v/>
      </c>
      <c r="AB20" s="89">
        <f>IF(OR(Y20="",NOT(ISNUMBER(Z20))),"",(Y20-Z20)*100)</f>
        <v/>
      </c>
      <c r="AC20" s="72">
        <f>IF(OR(W20="",NOT(ISNUMBER(AA20))),"",W20-AA20)</f>
        <v/>
      </c>
    </row>
    <row r="21">
      <c r="A21" s="152" t="inlineStr">
        <is>
          <t>1Y</t>
        </is>
      </c>
      <c r="B21" s="157">
        <f>IF(L21="","",IF(MONTH((L21+IF(WEEKDAY(L21,2)=6,2,IF(WEEKDAY(L21,2)=7,1,0))))&lt;&gt;MONTH(L21),(L21-IF(WEEKDAY(L21,2)=6,1,IF(WEEKDAY(L21,2)=7,2,0))),(L21+IF(WEEKDAY(L21,2)=6,2,IF(WEEKDAY(L21,2)=7,1,0)))))</f>
        <v/>
      </c>
      <c r="C21" s="85" t="n"/>
      <c r="D21" s="85" t="n"/>
      <c r="E21" s="69" t="n"/>
      <c r="F21" s="85" t="n"/>
      <c r="G21" s="85" t="n"/>
      <c r="H21" s="69" t="n"/>
      <c r="I21" s="85" t="n"/>
      <c r="J21" s="85" t="n"/>
      <c r="K21" s="69" t="n"/>
      <c r="L21" s="157">
        <f>IF($M$5="","",IF(RIGHT(A21,1)="W",$M$5+7*VALUE(LEFT(A21,LEN(A21)-1)),IF(RIGHT(A21,1)="M",EDATE($M$5,VALUE(LEFT(A21,LEN(A21)-1))),EDATE($M$5,12*VALUE(LEFT(A21,LEN(A21)-1))))))</f>
        <v/>
      </c>
      <c r="M21" s="158" t="n"/>
      <c r="O21" s="112">
        <f>B21</f>
        <v/>
      </c>
      <c r="P21" s="84">
        <f>A21</f>
        <v/>
      </c>
      <c r="Q21" s="84">
        <f>IFERROR(INDEX(Bootstrap!$E$8:$E$72,MATCH(O21,Bootstrap!$B$8:$B$72,0)),"")</f>
        <v/>
      </c>
      <c r="R21" s="154">
        <f>IFERROR(IF(MATCH(O21,Bootstrap!$B$8:$B$72,0)&lt;=15,"short  DFspot/(1+S*tau)","annual (DFspot-S*A)/(1+S*tau)"),"")</f>
        <v/>
      </c>
      <c r="S21" s="80">
        <f>IFERROR(IF(MATCH(O21,Bootstrap!$B$8:$B$72,0)&lt;=15,INDEX(Bootstrap!$D$8:$D$72,MATCH(O21,Bootstrap!$B$8:$B$72,0)),INDEX(Bootstrap!$F$8:$F$72,MATCH(O21,Bootstrap!$B$8:$B$72,0))),"")</f>
        <v/>
      </c>
      <c r="T21" s="76">
        <f>IFERROR(IF(MATCH(O21,Bootstrap!$B$8:$B$72,0)&lt;=15,0,INDEX(Bootstrap!$G$8:$G$72,MATCH(O21,Bootstrap!$B$8:$B$72,0))),"")</f>
        <v/>
      </c>
      <c r="U21" s="76">
        <f>IF(OR(Q21="",S21=""),"",Bootstrap!$D$4-(Q21/100)*T21)</f>
        <v/>
      </c>
      <c r="V21" s="76">
        <f>IF(OR(Q21="",S21=""),"",1+(Q21/100)*S21)</f>
        <v/>
      </c>
      <c r="W21" s="76">
        <f>IFERROR(INDEX(Bootstrap!$H$8:$H$72,MATCH(O21,Bootstrap!$B$8:$B$72,0)),"")</f>
        <v/>
      </c>
      <c r="X21" s="80">
        <f>IFERROR(INDEX(Bootstrap!$C$8:$C$72,MATCH(O21,Bootstrap!$B$8:$B$72,0)),"")</f>
        <v/>
      </c>
      <c r="Y21" s="84">
        <f>IFERROR(INDEX(Bootstrap!$J$8:$J$72,MATCH(O21,Bootstrap!$B$8:$B$72,0)),"")</f>
        <v/>
      </c>
      <c r="Z21" s="84">
        <f>IF(Bootstrap!$G$4="Test 1",D21,IF(Bootstrap!$G$4="Test 2",G21,IF(Bootstrap!$G$4="Test 3",J21,"")))</f>
        <v/>
      </c>
      <c r="AA21" s="80">
        <f>IF(Bootstrap!$G$4="Test 1",E21,IF(Bootstrap!$G$4="Test 2",H21,IF(Bootstrap!$G$4="Test 3",K21,"")))</f>
        <v/>
      </c>
      <c r="AB21" s="89">
        <f>IF(OR(Y21="",NOT(ISNUMBER(Z21))),"",(Y21-Z21)*100)</f>
        <v/>
      </c>
      <c r="AC21" s="72">
        <f>IF(OR(W21="",NOT(ISNUMBER(AA21))),"",W21-AA21)</f>
        <v/>
      </c>
    </row>
    <row r="22">
      <c r="A22" s="152" t="inlineStr">
        <is>
          <t>18M</t>
        </is>
      </c>
      <c r="B22" s="157">
        <f>IF(L22="","",IF(MONTH((L22+IF(WEEKDAY(L22,2)=6,2,IF(WEEKDAY(L22,2)=7,1,0))))&lt;&gt;MONTH(L22),(L22-IF(WEEKDAY(L22,2)=6,1,IF(WEEKDAY(L22,2)=7,2,0))),(L22+IF(WEEKDAY(L22,2)=6,2,IF(WEEKDAY(L22,2)=7,1,0)))))</f>
        <v/>
      </c>
      <c r="C22" s="85" t="n"/>
      <c r="D22" s="85" t="n"/>
      <c r="E22" s="69" t="n"/>
      <c r="F22" s="85" t="n"/>
      <c r="G22" s="85" t="n"/>
      <c r="H22" s="69" t="n"/>
      <c r="I22" s="85" t="n"/>
      <c r="J22" s="85" t="n"/>
      <c r="K22" s="69" t="n"/>
      <c r="L22" s="157">
        <f>IF($M$5="","",IF(RIGHT(A22,1)="W",$M$5+7*VALUE(LEFT(A22,LEN(A22)-1)),IF(RIGHT(A22,1)="M",EDATE($M$5,VALUE(LEFT(A22,LEN(A22)-1))),EDATE($M$5,12*VALUE(LEFT(A22,LEN(A22)-1))))))</f>
        <v/>
      </c>
      <c r="M22" s="158" t="n"/>
      <c r="O22" s="112">
        <f>B22</f>
        <v/>
      </c>
      <c r="P22" s="84">
        <f>A22</f>
        <v/>
      </c>
      <c r="Q22" s="84">
        <f>IFERROR(INDEX(Bootstrap!$E$8:$E$72,MATCH(O22,Bootstrap!$B$8:$B$72,0)),"")</f>
        <v/>
      </c>
      <c r="R22" s="154">
        <f>IFERROR(IF(MATCH(O22,Bootstrap!$B$8:$B$72,0)&lt;=15,"short  DFspot/(1+S*tau)","annual (DFspot-S*A)/(1+S*tau)"),"")</f>
        <v/>
      </c>
      <c r="S22" s="80">
        <f>IFERROR(IF(MATCH(O22,Bootstrap!$B$8:$B$72,0)&lt;=15,INDEX(Bootstrap!$D$8:$D$72,MATCH(O22,Bootstrap!$B$8:$B$72,0)),INDEX(Bootstrap!$F$8:$F$72,MATCH(O22,Bootstrap!$B$8:$B$72,0))),"")</f>
        <v/>
      </c>
      <c r="T22" s="76">
        <f>IFERROR(IF(MATCH(O22,Bootstrap!$B$8:$B$72,0)&lt;=15,0,INDEX(Bootstrap!$G$8:$G$72,MATCH(O22,Bootstrap!$B$8:$B$72,0))),"")</f>
        <v/>
      </c>
      <c r="U22" s="76">
        <f>IF(OR(Q22="",S22=""),"",Bootstrap!$D$4-(Q22/100)*T22)</f>
        <v/>
      </c>
      <c r="V22" s="76">
        <f>IF(OR(Q22="",S22=""),"",1+(Q22/100)*S22)</f>
        <v/>
      </c>
      <c r="W22" s="76">
        <f>IFERROR(INDEX(Bootstrap!$H$8:$H$72,MATCH(O22,Bootstrap!$B$8:$B$72,0)),"")</f>
        <v/>
      </c>
      <c r="X22" s="80">
        <f>IFERROR(INDEX(Bootstrap!$C$8:$C$72,MATCH(O22,Bootstrap!$B$8:$B$72,0)),"")</f>
        <v/>
      </c>
      <c r="Y22" s="84">
        <f>IFERROR(INDEX(Bootstrap!$J$8:$J$72,MATCH(O22,Bootstrap!$B$8:$B$72,0)),"")</f>
        <v/>
      </c>
      <c r="Z22" s="84">
        <f>IF(Bootstrap!$G$4="Test 1",D22,IF(Bootstrap!$G$4="Test 2",G22,IF(Bootstrap!$G$4="Test 3",J22,"")))</f>
        <v/>
      </c>
      <c r="AA22" s="80">
        <f>IF(Bootstrap!$G$4="Test 1",E22,IF(Bootstrap!$G$4="Test 2",H22,IF(Bootstrap!$G$4="Test 3",K22,"")))</f>
        <v/>
      </c>
      <c r="AB22" s="89">
        <f>IF(OR(Y22="",NOT(ISNUMBER(Z22))),"",(Y22-Z22)*100)</f>
        <v/>
      </c>
      <c r="AC22" s="72">
        <f>IF(OR(W22="",NOT(ISNUMBER(AA22))),"",W22-AA22)</f>
        <v/>
      </c>
    </row>
    <row r="23">
      <c r="A23" s="152" t="inlineStr">
        <is>
          <t>2Y</t>
        </is>
      </c>
      <c r="B23" s="157">
        <f>IF(L23="","",IF(MONTH((L23+IF(WEEKDAY(L23,2)=6,2,IF(WEEKDAY(L23,2)=7,1,0))))&lt;&gt;MONTH(L23),(L23-IF(WEEKDAY(L23,2)=6,1,IF(WEEKDAY(L23,2)=7,2,0))),(L23+IF(WEEKDAY(L23,2)=6,2,IF(WEEKDAY(L23,2)=7,1,0)))))</f>
        <v/>
      </c>
      <c r="C23" s="85" t="n"/>
      <c r="D23" s="85" t="n"/>
      <c r="E23" s="69" t="n"/>
      <c r="F23" s="85" t="n"/>
      <c r="G23" s="85" t="n"/>
      <c r="H23" s="69" t="n"/>
      <c r="I23" s="85" t="n"/>
      <c r="J23" s="85" t="n"/>
      <c r="K23" s="69" t="n"/>
      <c r="L23" s="157">
        <f>IF($M$5="","",IF(RIGHT(A23,1)="W",$M$5+7*VALUE(LEFT(A23,LEN(A23)-1)),IF(RIGHT(A23,1)="M",EDATE($M$5,VALUE(LEFT(A23,LEN(A23)-1))),EDATE($M$5,12*VALUE(LEFT(A23,LEN(A23)-1))))))</f>
        <v/>
      </c>
      <c r="M23" s="158" t="n"/>
      <c r="O23" s="112">
        <f>B23</f>
        <v/>
      </c>
      <c r="P23" s="84">
        <f>A23</f>
        <v/>
      </c>
      <c r="Q23" s="84">
        <f>IFERROR(INDEX(Bootstrap!$E$8:$E$72,MATCH(O23,Bootstrap!$B$8:$B$72,0)),"")</f>
        <v/>
      </c>
      <c r="R23" s="154">
        <f>IFERROR(IF(MATCH(O23,Bootstrap!$B$8:$B$72,0)&lt;=15,"short  DFspot/(1+S*tau)","annual (DFspot-S*A)/(1+S*tau)"),"")</f>
        <v/>
      </c>
      <c r="S23" s="80">
        <f>IFERROR(IF(MATCH(O23,Bootstrap!$B$8:$B$72,0)&lt;=15,INDEX(Bootstrap!$D$8:$D$72,MATCH(O23,Bootstrap!$B$8:$B$72,0)),INDEX(Bootstrap!$F$8:$F$72,MATCH(O23,Bootstrap!$B$8:$B$72,0))),"")</f>
        <v/>
      </c>
      <c r="T23" s="76">
        <f>IFERROR(IF(MATCH(O23,Bootstrap!$B$8:$B$72,0)&lt;=15,0,INDEX(Bootstrap!$G$8:$G$72,MATCH(O23,Bootstrap!$B$8:$B$72,0))),"")</f>
        <v/>
      </c>
      <c r="U23" s="76">
        <f>IF(OR(Q23="",S23=""),"",Bootstrap!$D$4-(Q23/100)*T23)</f>
        <v/>
      </c>
      <c r="V23" s="76">
        <f>IF(OR(Q23="",S23=""),"",1+(Q23/100)*S23)</f>
        <v/>
      </c>
      <c r="W23" s="76">
        <f>IFERROR(INDEX(Bootstrap!$H$8:$H$72,MATCH(O23,Bootstrap!$B$8:$B$72,0)),"")</f>
        <v/>
      </c>
      <c r="X23" s="80">
        <f>IFERROR(INDEX(Bootstrap!$C$8:$C$72,MATCH(O23,Bootstrap!$B$8:$B$72,0)),"")</f>
        <v/>
      </c>
      <c r="Y23" s="84">
        <f>IFERROR(INDEX(Bootstrap!$J$8:$J$72,MATCH(O23,Bootstrap!$B$8:$B$72,0)),"")</f>
        <v/>
      </c>
      <c r="Z23" s="84">
        <f>IF(Bootstrap!$G$4="Test 1",D23,IF(Bootstrap!$G$4="Test 2",G23,IF(Bootstrap!$G$4="Test 3",J23,"")))</f>
        <v/>
      </c>
      <c r="AA23" s="80">
        <f>IF(Bootstrap!$G$4="Test 1",E23,IF(Bootstrap!$G$4="Test 2",H23,IF(Bootstrap!$G$4="Test 3",K23,"")))</f>
        <v/>
      </c>
      <c r="AB23" s="89">
        <f>IF(OR(Y23="",NOT(ISNUMBER(Z23))),"",(Y23-Z23)*100)</f>
        <v/>
      </c>
      <c r="AC23" s="72">
        <f>IF(OR(W23="",NOT(ISNUMBER(AA23))),"",W23-AA23)</f>
        <v/>
      </c>
    </row>
    <row r="24">
      <c r="A24" s="152" t="inlineStr">
        <is>
          <t>3Y</t>
        </is>
      </c>
      <c r="B24" s="157">
        <f>IF(L24="","",IF(MONTH((L24+IF(WEEKDAY(L24,2)=6,2,IF(WEEKDAY(L24,2)=7,1,0))))&lt;&gt;MONTH(L24),(L24-IF(WEEKDAY(L24,2)=6,1,IF(WEEKDAY(L24,2)=7,2,0))),(L24+IF(WEEKDAY(L24,2)=6,2,IF(WEEKDAY(L24,2)=7,1,0)))))</f>
        <v/>
      </c>
      <c r="C24" s="85" t="n"/>
      <c r="D24" s="85" t="n"/>
      <c r="E24" s="69" t="n"/>
      <c r="F24" s="85" t="n"/>
      <c r="G24" s="85" t="n"/>
      <c r="H24" s="69" t="n"/>
      <c r="I24" s="85" t="n"/>
      <c r="J24" s="85" t="n"/>
      <c r="K24" s="69" t="n"/>
      <c r="L24" s="157">
        <f>IF($M$5="","",IF(RIGHT(A24,1)="W",$M$5+7*VALUE(LEFT(A24,LEN(A24)-1)),IF(RIGHT(A24,1)="M",EDATE($M$5,VALUE(LEFT(A24,LEN(A24)-1))),EDATE($M$5,12*VALUE(LEFT(A24,LEN(A24)-1))))))</f>
        <v/>
      </c>
      <c r="M24" s="158" t="n"/>
      <c r="O24" s="112">
        <f>B24</f>
        <v/>
      </c>
      <c r="P24" s="84">
        <f>A24</f>
        <v/>
      </c>
      <c r="Q24" s="84">
        <f>IFERROR(INDEX(Bootstrap!$E$8:$E$72,MATCH(O24,Bootstrap!$B$8:$B$72,0)),"")</f>
        <v/>
      </c>
      <c r="R24" s="154">
        <f>IFERROR(IF(MATCH(O24,Bootstrap!$B$8:$B$72,0)&lt;=15,"short  DFspot/(1+S*tau)","annual (DFspot-S*A)/(1+S*tau)"),"")</f>
        <v/>
      </c>
      <c r="S24" s="80">
        <f>IFERROR(IF(MATCH(O24,Bootstrap!$B$8:$B$72,0)&lt;=15,INDEX(Bootstrap!$D$8:$D$72,MATCH(O24,Bootstrap!$B$8:$B$72,0)),INDEX(Bootstrap!$F$8:$F$72,MATCH(O24,Bootstrap!$B$8:$B$72,0))),"")</f>
        <v/>
      </c>
      <c r="T24" s="76">
        <f>IFERROR(IF(MATCH(O24,Bootstrap!$B$8:$B$72,0)&lt;=15,0,INDEX(Bootstrap!$G$8:$G$72,MATCH(O24,Bootstrap!$B$8:$B$72,0))),"")</f>
        <v/>
      </c>
      <c r="U24" s="76">
        <f>IF(OR(Q24="",S24=""),"",Bootstrap!$D$4-(Q24/100)*T24)</f>
        <v/>
      </c>
      <c r="V24" s="76">
        <f>IF(OR(Q24="",S24=""),"",1+(Q24/100)*S24)</f>
        <v/>
      </c>
      <c r="W24" s="76">
        <f>IFERROR(INDEX(Bootstrap!$H$8:$H$72,MATCH(O24,Bootstrap!$B$8:$B$72,0)),"")</f>
        <v/>
      </c>
      <c r="X24" s="80">
        <f>IFERROR(INDEX(Bootstrap!$C$8:$C$72,MATCH(O24,Bootstrap!$B$8:$B$72,0)),"")</f>
        <v/>
      </c>
      <c r="Y24" s="84">
        <f>IFERROR(INDEX(Bootstrap!$J$8:$J$72,MATCH(O24,Bootstrap!$B$8:$B$72,0)),"")</f>
        <v/>
      </c>
      <c r="Z24" s="84">
        <f>IF(Bootstrap!$G$4="Test 1",D24,IF(Bootstrap!$G$4="Test 2",G24,IF(Bootstrap!$G$4="Test 3",J24,"")))</f>
        <v/>
      </c>
      <c r="AA24" s="80">
        <f>IF(Bootstrap!$G$4="Test 1",E24,IF(Bootstrap!$G$4="Test 2",H24,IF(Bootstrap!$G$4="Test 3",K24,"")))</f>
        <v/>
      </c>
      <c r="AB24" s="89">
        <f>IF(OR(Y24="",NOT(ISNUMBER(Z24))),"",(Y24-Z24)*100)</f>
        <v/>
      </c>
      <c r="AC24" s="72">
        <f>IF(OR(W24="",NOT(ISNUMBER(AA24))),"",W24-AA24)</f>
        <v/>
      </c>
    </row>
    <row r="25">
      <c r="A25" s="152" t="inlineStr">
        <is>
          <t>4Y</t>
        </is>
      </c>
      <c r="B25" s="157">
        <f>IF(L25="","",IF(MONTH((L25+IF(WEEKDAY(L25,2)=6,2,IF(WEEKDAY(L25,2)=7,1,0))))&lt;&gt;MONTH(L25),(L25-IF(WEEKDAY(L25,2)=6,1,IF(WEEKDAY(L25,2)=7,2,0))),(L25+IF(WEEKDAY(L25,2)=6,2,IF(WEEKDAY(L25,2)=7,1,0)))))</f>
        <v/>
      </c>
      <c r="C25" s="85" t="n"/>
      <c r="D25" s="85" t="n"/>
      <c r="E25" s="69" t="n"/>
      <c r="F25" s="85" t="n"/>
      <c r="G25" s="85" t="n"/>
      <c r="H25" s="69" t="n"/>
      <c r="I25" s="85" t="n"/>
      <c r="J25" s="85" t="n"/>
      <c r="K25" s="69" t="n"/>
      <c r="L25" s="157">
        <f>IF($M$5="","",IF(RIGHT(A25,1)="W",$M$5+7*VALUE(LEFT(A25,LEN(A25)-1)),IF(RIGHT(A25,1)="M",EDATE($M$5,VALUE(LEFT(A25,LEN(A25)-1))),EDATE($M$5,12*VALUE(LEFT(A25,LEN(A25)-1))))))</f>
        <v/>
      </c>
      <c r="M25" s="158" t="n"/>
      <c r="O25" s="112">
        <f>B25</f>
        <v/>
      </c>
      <c r="P25" s="84">
        <f>A25</f>
        <v/>
      </c>
      <c r="Q25" s="84">
        <f>IFERROR(INDEX(Bootstrap!$E$8:$E$72,MATCH(O25,Bootstrap!$B$8:$B$72,0)),"")</f>
        <v/>
      </c>
      <c r="R25" s="154">
        <f>IFERROR(IF(MATCH(O25,Bootstrap!$B$8:$B$72,0)&lt;=15,"short  DFspot/(1+S*tau)","annual (DFspot-S*A)/(1+S*tau)"),"")</f>
        <v/>
      </c>
      <c r="S25" s="80">
        <f>IFERROR(IF(MATCH(O25,Bootstrap!$B$8:$B$72,0)&lt;=15,INDEX(Bootstrap!$D$8:$D$72,MATCH(O25,Bootstrap!$B$8:$B$72,0)),INDEX(Bootstrap!$F$8:$F$72,MATCH(O25,Bootstrap!$B$8:$B$72,0))),"")</f>
        <v/>
      </c>
      <c r="T25" s="76">
        <f>IFERROR(IF(MATCH(O25,Bootstrap!$B$8:$B$72,0)&lt;=15,0,INDEX(Bootstrap!$G$8:$G$72,MATCH(O25,Bootstrap!$B$8:$B$72,0))),"")</f>
        <v/>
      </c>
      <c r="U25" s="76">
        <f>IF(OR(Q25="",S25=""),"",Bootstrap!$D$4-(Q25/100)*T25)</f>
        <v/>
      </c>
      <c r="V25" s="76">
        <f>IF(OR(Q25="",S25=""),"",1+(Q25/100)*S25)</f>
        <v/>
      </c>
      <c r="W25" s="76">
        <f>IFERROR(INDEX(Bootstrap!$H$8:$H$72,MATCH(O25,Bootstrap!$B$8:$B$72,0)),"")</f>
        <v/>
      </c>
      <c r="X25" s="80">
        <f>IFERROR(INDEX(Bootstrap!$C$8:$C$72,MATCH(O25,Bootstrap!$B$8:$B$72,0)),"")</f>
        <v/>
      </c>
      <c r="Y25" s="84">
        <f>IFERROR(INDEX(Bootstrap!$J$8:$J$72,MATCH(O25,Bootstrap!$B$8:$B$72,0)),"")</f>
        <v/>
      </c>
      <c r="Z25" s="84">
        <f>IF(Bootstrap!$G$4="Test 1",D25,IF(Bootstrap!$G$4="Test 2",G25,IF(Bootstrap!$G$4="Test 3",J25,"")))</f>
        <v/>
      </c>
      <c r="AA25" s="80">
        <f>IF(Bootstrap!$G$4="Test 1",E25,IF(Bootstrap!$G$4="Test 2",H25,IF(Bootstrap!$G$4="Test 3",K25,"")))</f>
        <v/>
      </c>
      <c r="AB25" s="89">
        <f>IF(OR(Y25="",NOT(ISNUMBER(Z25))),"",(Y25-Z25)*100)</f>
        <v/>
      </c>
      <c r="AC25" s="72">
        <f>IF(OR(W25="",NOT(ISNUMBER(AA25))),"",W25-AA25)</f>
        <v/>
      </c>
    </row>
    <row r="26">
      <c r="A26" s="152" t="inlineStr">
        <is>
          <t>5Y</t>
        </is>
      </c>
      <c r="B26" s="157">
        <f>IF(L26="","",IF(MONTH((L26+IF(WEEKDAY(L26,2)=6,2,IF(WEEKDAY(L26,2)=7,1,0))))&lt;&gt;MONTH(L26),(L26-IF(WEEKDAY(L26,2)=6,1,IF(WEEKDAY(L26,2)=7,2,0))),(L26+IF(WEEKDAY(L26,2)=6,2,IF(WEEKDAY(L26,2)=7,1,0)))))</f>
        <v/>
      </c>
      <c r="C26" s="85" t="n"/>
      <c r="D26" s="85" t="n"/>
      <c r="E26" s="69" t="n"/>
      <c r="F26" s="85" t="n"/>
      <c r="G26" s="85" t="n"/>
      <c r="H26" s="69" t="n"/>
      <c r="I26" s="85" t="n"/>
      <c r="J26" s="85" t="n"/>
      <c r="K26" s="69" t="n"/>
      <c r="L26" s="157">
        <f>IF($M$5="","",IF(RIGHT(A26,1)="W",$M$5+7*VALUE(LEFT(A26,LEN(A26)-1)),IF(RIGHT(A26,1)="M",EDATE($M$5,VALUE(LEFT(A26,LEN(A26)-1))),EDATE($M$5,12*VALUE(LEFT(A26,LEN(A26)-1))))))</f>
        <v/>
      </c>
      <c r="M26" s="158" t="n"/>
      <c r="O26" s="112">
        <f>B26</f>
        <v/>
      </c>
      <c r="P26" s="84">
        <f>A26</f>
        <v/>
      </c>
      <c r="Q26" s="84">
        <f>IFERROR(INDEX(Bootstrap!$E$8:$E$72,MATCH(O26,Bootstrap!$B$8:$B$72,0)),"")</f>
        <v/>
      </c>
      <c r="R26" s="154">
        <f>IFERROR(IF(MATCH(O26,Bootstrap!$B$8:$B$72,0)&lt;=15,"short  DFspot/(1+S*tau)","annual (DFspot-S*A)/(1+S*tau)"),"")</f>
        <v/>
      </c>
      <c r="S26" s="80">
        <f>IFERROR(IF(MATCH(O26,Bootstrap!$B$8:$B$72,0)&lt;=15,INDEX(Bootstrap!$D$8:$D$72,MATCH(O26,Bootstrap!$B$8:$B$72,0)),INDEX(Bootstrap!$F$8:$F$72,MATCH(O26,Bootstrap!$B$8:$B$72,0))),"")</f>
        <v/>
      </c>
      <c r="T26" s="76">
        <f>IFERROR(IF(MATCH(O26,Bootstrap!$B$8:$B$72,0)&lt;=15,0,INDEX(Bootstrap!$G$8:$G$72,MATCH(O26,Bootstrap!$B$8:$B$72,0))),"")</f>
        <v/>
      </c>
      <c r="U26" s="76">
        <f>IF(OR(Q26="",S26=""),"",Bootstrap!$D$4-(Q26/100)*T26)</f>
        <v/>
      </c>
      <c r="V26" s="76">
        <f>IF(OR(Q26="",S26=""),"",1+(Q26/100)*S26)</f>
        <v/>
      </c>
      <c r="W26" s="76">
        <f>IFERROR(INDEX(Bootstrap!$H$8:$H$72,MATCH(O26,Bootstrap!$B$8:$B$72,0)),"")</f>
        <v/>
      </c>
      <c r="X26" s="80">
        <f>IFERROR(INDEX(Bootstrap!$C$8:$C$72,MATCH(O26,Bootstrap!$B$8:$B$72,0)),"")</f>
        <v/>
      </c>
      <c r="Y26" s="84">
        <f>IFERROR(INDEX(Bootstrap!$J$8:$J$72,MATCH(O26,Bootstrap!$B$8:$B$72,0)),"")</f>
        <v/>
      </c>
      <c r="Z26" s="84">
        <f>IF(Bootstrap!$G$4="Test 1",D26,IF(Bootstrap!$G$4="Test 2",G26,IF(Bootstrap!$G$4="Test 3",J26,"")))</f>
        <v/>
      </c>
      <c r="AA26" s="80">
        <f>IF(Bootstrap!$G$4="Test 1",E26,IF(Bootstrap!$G$4="Test 2",H26,IF(Bootstrap!$G$4="Test 3",K26,"")))</f>
        <v/>
      </c>
      <c r="AB26" s="89">
        <f>IF(OR(Y26="",NOT(ISNUMBER(Z26))),"",(Y26-Z26)*100)</f>
        <v/>
      </c>
      <c r="AC26" s="72">
        <f>IF(OR(W26="",NOT(ISNUMBER(AA26))),"",W26-AA26)</f>
        <v/>
      </c>
    </row>
    <row r="27">
      <c r="A27" s="152" t="inlineStr">
        <is>
          <t>6Y</t>
        </is>
      </c>
      <c r="B27" s="157">
        <f>IF(L27="","",IF(MONTH((L27+IF(WEEKDAY(L27,2)=6,2,IF(WEEKDAY(L27,2)=7,1,0))))&lt;&gt;MONTH(L27),(L27-IF(WEEKDAY(L27,2)=6,1,IF(WEEKDAY(L27,2)=7,2,0))),(L27+IF(WEEKDAY(L27,2)=6,2,IF(WEEKDAY(L27,2)=7,1,0)))))</f>
        <v/>
      </c>
      <c r="C27" s="85" t="n"/>
      <c r="D27" s="85" t="n"/>
      <c r="E27" s="69" t="n"/>
      <c r="F27" s="85" t="n"/>
      <c r="G27" s="85" t="n"/>
      <c r="H27" s="69" t="n"/>
      <c r="I27" s="85" t="n"/>
      <c r="J27" s="85" t="n"/>
      <c r="K27" s="69" t="n"/>
      <c r="L27" s="157">
        <f>IF($M$5="","",IF(RIGHT(A27,1)="W",$M$5+7*VALUE(LEFT(A27,LEN(A27)-1)),IF(RIGHT(A27,1)="M",EDATE($M$5,VALUE(LEFT(A27,LEN(A27)-1))),EDATE($M$5,12*VALUE(LEFT(A27,LEN(A27)-1))))))</f>
        <v/>
      </c>
      <c r="M27" s="158" t="n"/>
      <c r="O27" s="112">
        <f>B27</f>
        <v/>
      </c>
      <c r="P27" s="84">
        <f>A27</f>
        <v/>
      </c>
      <c r="Q27" s="84">
        <f>IFERROR(INDEX(Bootstrap!$E$8:$E$72,MATCH(O27,Bootstrap!$B$8:$B$72,0)),"")</f>
        <v/>
      </c>
      <c r="R27" s="154">
        <f>IFERROR(IF(MATCH(O27,Bootstrap!$B$8:$B$72,0)&lt;=15,"short  DFspot/(1+S*tau)","annual (DFspot-S*A)/(1+S*tau)"),"")</f>
        <v/>
      </c>
      <c r="S27" s="80">
        <f>IFERROR(IF(MATCH(O27,Bootstrap!$B$8:$B$72,0)&lt;=15,INDEX(Bootstrap!$D$8:$D$72,MATCH(O27,Bootstrap!$B$8:$B$72,0)),INDEX(Bootstrap!$F$8:$F$72,MATCH(O27,Bootstrap!$B$8:$B$72,0))),"")</f>
        <v/>
      </c>
      <c r="T27" s="76">
        <f>IFERROR(IF(MATCH(O27,Bootstrap!$B$8:$B$72,0)&lt;=15,0,INDEX(Bootstrap!$G$8:$G$72,MATCH(O27,Bootstrap!$B$8:$B$72,0))),"")</f>
        <v/>
      </c>
      <c r="U27" s="76">
        <f>IF(OR(Q27="",S27=""),"",Bootstrap!$D$4-(Q27/100)*T27)</f>
        <v/>
      </c>
      <c r="V27" s="76">
        <f>IF(OR(Q27="",S27=""),"",1+(Q27/100)*S27)</f>
        <v/>
      </c>
      <c r="W27" s="76">
        <f>IFERROR(INDEX(Bootstrap!$H$8:$H$72,MATCH(O27,Bootstrap!$B$8:$B$72,0)),"")</f>
        <v/>
      </c>
      <c r="X27" s="80">
        <f>IFERROR(INDEX(Bootstrap!$C$8:$C$72,MATCH(O27,Bootstrap!$B$8:$B$72,0)),"")</f>
        <v/>
      </c>
      <c r="Y27" s="84">
        <f>IFERROR(INDEX(Bootstrap!$J$8:$J$72,MATCH(O27,Bootstrap!$B$8:$B$72,0)),"")</f>
        <v/>
      </c>
      <c r="Z27" s="84">
        <f>IF(Bootstrap!$G$4="Test 1",D27,IF(Bootstrap!$G$4="Test 2",G27,IF(Bootstrap!$G$4="Test 3",J27,"")))</f>
        <v/>
      </c>
      <c r="AA27" s="80">
        <f>IF(Bootstrap!$G$4="Test 1",E27,IF(Bootstrap!$G$4="Test 2",H27,IF(Bootstrap!$G$4="Test 3",K27,"")))</f>
        <v/>
      </c>
      <c r="AB27" s="89">
        <f>IF(OR(Y27="",NOT(ISNUMBER(Z27))),"",(Y27-Z27)*100)</f>
        <v/>
      </c>
      <c r="AC27" s="72">
        <f>IF(OR(W27="",NOT(ISNUMBER(AA27))),"",W27-AA27)</f>
        <v/>
      </c>
    </row>
    <row r="28">
      <c r="A28" s="152" t="inlineStr">
        <is>
          <t>7Y</t>
        </is>
      </c>
      <c r="B28" s="157">
        <f>IF(L28="","",IF(MONTH((L28+IF(WEEKDAY(L28,2)=6,2,IF(WEEKDAY(L28,2)=7,1,0))))&lt;&gt;MONTH(L28),(L28-IF(WEEKDAY(L28,2)=6,1,IF(WEEKDAY(L28,2)=7,2,0))),(L28+IF(WEEKDAY(L28,2)=6,2,IF(WEEKDAY(L28,2)=7,1,0)))))</f>
        <v/>
      </c>
      <c r="C28" s="85" t="n"/>
      <c r="D28" s="85" t="n"/>
      <c r="E28" s="69" t="n"/>
      <c r="F28" s="85" t="n"/>
      <c r="G28" s="85" t="n"/>
      <c r="H28" s="69" t="n"/>
      <c r="I28" s="85" t="n"/>
      <c r="J28" s="85" t="n"/>
      <c r="K28" s="69" t="n"/>
      <c r="L28" s="157">
        <f>IF($M$5="","",IF(RIGHT(A28,1)="W",$M$5+7*VALUE(LEFT(A28,LEN(A28)-1)),IF(RIGHT(A28,1)="M",EDATE($M$5,VALUE(LEFT(A28,LEN(A28)-1))),EDATE($M$5,12*VALUE(LEFT(A28,LEN(A28)-1))))))</f>
        <v/>
      </c>
      <c r="M28" s="158" t="n"/>
      <c r="O28" s="112">
        <f>B28</f>
        <v/>
      </c>
      <c r="P28" s="84">
        <f>A28</f>
        <v/>
      </c>
      <c r="Q28" s="84">
        <f>IFERROR(INDEX(Bootstrap!$E$8:$E$72,MATCH(O28,Bootstrap!$B$8:$B$72,0)),"")</f>
        <v/>
      </c>
      <c r="R28" s="154">
        <f>IFERROR(IF(MATCH(O28,Bootstrap!$B$8:$B$72,0)&lt;=15,"short  DFspot/(1+S*tau)","annual (DFspot-S*A)/(1+S*tau)"),"")</f>
        <v/>
      </c>
      <c r="S28" s="80">
        <f>IFERROR(IF(MATCH(O28,Bootstrap!$B$8:$B$72,0)&lt;=15,INDEX(Bootstrap!$D$8:$D$72,MATCH(O28,Bootstrap!$B$8:$B$72,0)),INDEX(Bootstrap!$F$8:$F$72,MATCH(O28,Bootstrap!$B$8:$B$72,0))),"")</f>
        <v/>
      </c>
      <c r="T28" s="76">
        <f>IFERROR(IF(MATCH(O28,Bootstrap!$B$8:$B$72,0)&lt;=15,0,INDEX(Bootstrap!$G$8:$G$72,MATCH(O28,Bootstrap!$B$8:$B$72,0))),"")</f>
        <v/>
      </c>
      <c r="U28" s="76">
        <f>IF(OR(Q28="",S28=""),"",Bootstrap!$D$4-(Q28/100)*T28)</f>
        <v/>
      </c>
      <c r="V28" s="76">
        <f>IF(OR(Q28="",S28=""),"",1+(Q28/100)*S28)</f>
        <v/>
      </c>
      <c r="W28" s="76">
        <f>IFERROR(INDEX(Bootstrap!$H$8:$H$72,MATCH(O28,Bootstrap!$B$8:$B$72,0)),"")</f>
        <v/>
      </c>
      <c r="X28" s="80">
        <f>IFERROR(INDEX(Bootstrap!$C$8:$C$72,MATCH(O28,Bootstrap!$B$8:$B$72,0)),"")</f>
        <v/>
      </c>
      <c r="Y28" s="84">
        <f>IFERROR(INDEX(Bootstrap!$J$8:$J$72,MATCH(O28,Bootstrap!$B$8:$B$72,0)),"")</f>
        <v/>
      </c>
      <c r="Z28" s="84">
        <f>IF(Bootstrap!$G$4="Test 1",D28,IF(Bootstrap!$G$4="Test 2",G28,IF(Bootstrap!$G$4="Test 3",J28,"")))</f>
        <v/>
      </c>
      <c r="AA28" s="80">
        <f>IF(Bootstrap!$G$4="Test 1",E28,IF(Bootstrap!$G$4="Test 2",H28,IF(Bootstrap!$G$4="Test 3",K28,"")))</f>
        <v/>
      </c>
      <c r="AB28" s="89">
        <f>IF(OR(Y28="",NOT(ISNUMBER(Z28))),"",(Y28-Z28)*100)</f>
        <v/>
      </c>
      <c r="AC28" s="72">
        <f>IF(OR(W28="",NOT(ISNUMBER(AA28))),"",W28-AA28)</f>
        <v/>
      </c>
    </row>
    <row r="29">
      <c r="A29" s="152" t="inlineStr">
        <is>
          <t>8Y</t>
        </is>
      </c>
      <c r="B29" s="157">
        <f>IF(L29="","",IF(MONTH((L29+IF(WEEKDAY(L29,2)=6,2,IF(WEEKDAY(L29,2)=7,1,0))))&lt;&gt;MONTH(L29),(L29-IF(WEEKDAY(L29,2)=6,1,IF(WEEKDAY(L29,2)=7,2,0))),(L29+IF(WEEKDAY(L29,2)=6,2,IF(WEEKDAY(L29,2)=7,1,0)))))</f>
        <v/>
      </c>
      <c r="C29" s="85" t="n"/>
      <c r="D29" s="85" t="n"/>
      <c r="E29" s="69" t="n"/>
      <c r="F29" s="85" t="n"/>
      <c r="G29" s="85" t="n"/>
      <c r="H29" s="69" t="n"/>
      <c r="I29" s="85" t="n"/>
      <c r="J29" s="85" t="n"/>
      <c r="K29" s="69" t="n"/>
      <c r="L29" s="157">
        <f>IF($M$5="","",IF(RIGHT(A29,1)="W",$M$5+7*VALUE(LEFT(A29,LEN(A29)-1)),IF(RIGHT(A29,1)="M",EDATE($M$5,VALUE(LEFT(A29,LEN(A29)-1))),EDATE($M$5,12*VALUE(LEFT(A29,LEN(A29)-1))))))</f>
        <v/>
      </c>
      <c r="M29" s="158" t="n"/>
      <c r="O29" s="112">
        <f>B29</f>
        <v/>
      </c>
      <c r="P29" s="84">
        <f>A29</f>
        <v/>
      </c>
      <c r="Q29" s="84">
        <f>IFERROR(INDEX(Bootstrap!$E$8:$E$72,MATCH(O29,Bootstrap!$B$8:$B$72,0)),"")</f>
        <v/>
      </c>
      <c r="R29" s="154">
        <f>IFERROR(IF(MATCH(O29,Bootstrap!$B$8:$B$72,0)&lt;=15,"short  DFspot/(1+S*tau)","annual (DFspot-S*A)/(1+S*tau)"),"")</f>
        <v/>
      </c>
      <c r="S29" s="80">
        <f>IFERROR(IF(MATCH(O29,Bootstrap!$B$8:$B$72,0)&lt;=15,INDEX(Bootstrap!$D$8:$D$72,MATCH(O29,Bootstrap!$B$8:$B$72,0)),INDEX(Bootstrap!$F$8:$F$72,MATCH(O29,Bootstrap!$B$8:$B$72,0))),"")</f>
        <v/>
      </c>
      <c r="T29" s="76">
        <f>IFERROR(IF(MATCH(O29,Bootstrap!$B$8:$B$72,0)&lt;=15,0,INDEX(Bootstrap!$G$8:$G$72,MATCH(O29,Bootstrap!$B$8:$B$72,0))),"")</f>
        <v/>
      </c>
      <c r="U29" s="76">
        <f>IF(OR(Q29="",S29=""),"",Bootstrap!$D$4-(Q29/100)*T29)</f>
        <v/>
      </c>
      <c r="V29" s="76">
        <f>IF(OR(Q29="",S29=""),"",1+(Q29/100)*S29)</f>
        <v/>
      </c>
      <c r="W29" s="76">
        <f>IFERROR(INDEX(Bootstrap!$H$8:$H$72,MATCH(O29,Bootstrap!$B$8:$B$72,0)),"")</f>
        <v/>
      </c>
      <c r="X29" s="80">
        <f>IFERROR(INDEX(Bootstrap!$C$8:$C$72,MATCH(O29,Bootstrap!$B$8:$B$72,0)),"")</f>
        <v/>
      </c>
      <c r="Y29" s="84">
        <f>IFERROR(INDEX(Bootstrap!$J$8:$J$72,MATCH(O29,Bootstrap!$B$8:$B$72,0)),"")</f>
        <v/>
      </c>
      <c r="Z29" s="84">
        <f>IF(Bootstrap!$G$4="Test 1",D29,IF(Bootstrap!$G$4="Test 2",G29,IF(Bootstrap!$G$4="Test 3",J29,"")))</f>
        <v/>
      </c>
      <c r="AA29" s="80">
        <f>IF(Bootstrap!$G$4="Test 1",E29,IF(Bootstrap!$G$4="Test 2",H29,IF(Bootstrap!$G$4="Test 3",K29,"")))</f>
        <v/>
      </c>
      <c r="AB29" s="89">
        <f>IF(OR(Y29="",NOT(ISNUMBER(Z29))),"",(Y29-Z29)*100)</f>
        <v/>
      </c>
      <c r="AC29" s="72">
        <f>IF(OR(W29="",NOT(ISNUMBER(AA29))),"",W29-AA29)</f>
        <v/>
      </c>
    </row>
    <row r="30">
      <c r="A30" s="152" t="inlineStr">
        <is>
          <t>9Y</t>
        </is>
      </c>
      <c r="B30" s="157">
        <f>IF(L30="","",IF(MONTH((L30+IF(WEEKDAY(L30,2)=6,2,IF(WEEKDAY(L30,2)=7,1,0))))&lt;&gt;MONTH(L30),(L30-IF(WEEKDAY(L30,2)=6,1,IF(WEEKDAY(L30,2)=7,2,0))),(L30+IF(WEEKDAY(L30,2)=6,2,IF(WEEKDAY(L30,2)=7,1,0)))))</f>
        <v/>
      </c>
      <c r="C30" s="85" t="n"/>
      <c r="D30" s="85" t="n"/>
      <c r="E30" s="69" t="n"/>
      <c r="F30" s="85" t="n"/>
      <c r="G30" s="85" t="n"/>
      <c r="H30" s="69" t="n"/>
      <c r="I30" s="85" t="n"/>
      <c r="J30" s="85" t="n"/>
      <c r="K30" s="69" t="n"/>
      <c r="L30" s="157">
        <f>IF($M$5="","",IF(RIGHT(A30,1)="W",$M$5+7*VALUE(LEFT(A30,LEN(A30)-1)),IF(RIGHT(A30,1)="M",EDATE($M$5,VALUE(LEFT(A30,LEN(A30)-1))),EDATE($M$5,12*VALUE(LEFT(A30,LEN(A30)-1))))))</f>
        <v/>
      </c>
      <c r="M30" s="158" t="n"/>
      <c r="O30" s="112">
        <f>B30</f>
        <v/>
      </c>
      <c r="P30" s="84">
        <f>A30</f>
        <v/>
      </c>
      <c r="Q30" s="84">
        <f>IFERROR(INDEX(Bootstrap!$E$8:$E$72,MATCH(O30,Bootstrap!$B$8:$B$72,0)),"")</f>
        <v/>
      </c>
      <c r="R30" s="154">
        <f>IFERROR(IF(MATCH(O30,Bootstrap!$B$8:$B$72,0)&lt;=15,"short  DFspot/(1+S*tau)","annual (DFspot-S*A)/(1+S*tau)"),"")</f>
        <v/>
      </c>
      <c r="S30" s="80">
        <f>IFERROR(IF(MATCH(O30,Bootstrap!$B$8:$B$72,0)&lt;=15,INDEX(Bootstrap!$D$8:$D$72,MATCH(O30,Bootstrap!$B$8:$B$72,0)),INDEX(Bootstrap!$F$8:$F$72,MATCH(O30,Bootstrap!$B$8:$B$72,0))),"")</f>
        <v/>
      </c>
      <c r="T30" s="76">
        <f>IFERROR(IF(MATCH(O30,Bootstrap!$B$8:$B$72,0)&lt;=15,0,INDEX(Bootstrap!$G$8:$G$72,MATCH(O30,Bootstrap!$B$8:$B$72,0))),"")</f>
        <v/>
      </c>
      <c r="U30" s="76">
        <f>IF(OR(Q30="",S30=""),"",Bootstrap!$D$4-(Q30/100)*T30)</f>
        <v/>
      </c>
      <c r="V30" s="76">
        <f>IF(OR(Q30="",S30=""),"",1+(Q30/100)*S30)</f>
        <v/>
      </c>
      <c r="W30" s="76">
        <f>IFERROR(INDEX(Bootstrap!$H$8:$H$72,MATCH(O30,Bootstrap!$B$8:$B$72,0)),"")</f>
        <v/>
      </c>
      <c r="X30" s="80">
        <f>IFERROR(INDEX(Bootstrap!$C$8:$C$72,MATCH(O30,Bootstrap!$B$8:$B$72,0)),"")</f>
        <v/>
      </c>
      <c r="Y30" s="84">
        <f>IFERROR(INDEX(Bootstrap!$J$8:$J$72,MATCH(O30,Bootstrap!$B$8:$B$72,0)),"")</f>
        <v/>
      </c>
      <c r="Z30" s="84">
        <f>IF(Bootstrap!$G$4="Test 1",D30,IF(Bootstrap!$G$4="Test 2",G30,IF(Bootstrap!$G$4="Test 3",J30,"")))</f>
        <v/>
      </c>
      <c r="AA30" s="80">
        <f>IF(Bootstrap!$G$4="Test 1",E30,IF(Bootstrap!$G$4="Test 2",H30,IF(Bootstrap!$G$4="Test 3",K30,"")))</f>
        <v/>
      </c>
      <c r="AB30" s="89">
        <f>IF(OR(Y30="",NOT(ISNUMBER(Z30))),"",(Y30-Z30)*100)</f>
        <v/>
      </c>
      <c r="AC30" s="72">
        <f>IF(OR(W30="",NOT(ISNUMBER(AA30))),"",W30-AA30)</f>
        <v/>
      </c>
    </row>
    <row r="31">
      <c r="A31" s="152" t="inlineStr">
        <is>
          <t>10Y</t>
        </is>
      </c>
      <c r="B31" s="157">
        <f>IF(L31="","",IF(MONTH((L31+IF(WEEKDAY(L31,2)=6,2,IF(WEEKDAY(L31,2)=7,1,0))))&lt;&gt;MONTH(L31),(L31-IF(WEEKDAY(L31,2)=6,1,IF(WEEKDAY(L31,2)=7,2,0))),(L31+IF(WEEKDAY(L31,2)=6,2,IF(WEEKDAY(L31,2)=7,1,0)))))</f>
        <v/>
      </c>
      <c r="C31" s="85" t="n"/>
      <c r="D31" s="85" t="n"/>
      <c r="E31" s="69" t="n"/>
      <c r="F31" s="85" t="n"/>
      <c r="G31" s="85" t="n"/>
      <c r="H31" s="69" t="n"/>
      <c r="I31" s="85" t="n"/>
      <c r="J31" s="85" t="n"/>
      <c r="K31" s="69" t="n"/>
      <c r="L31" s="157">
        <f>IF($M$5="","",IF(RIGHT(A31,1)="W",$M$5+7*VALUE(LEFT(A31,LEN(A31)-1)),IF(RIGHT(A31,1)="M",EDATE($M$5,VALUE(LEFT(A31,LEN(A31)-1))),EDATE($M$5,12*VALUE(LEFT(A31,LEN(A31)-1))))))</f>
        <v/>
      </c>
      <c r="M31" s="158" t="n"/>
      <c r="O31" s="112">
        <f>B31</f>
        <v/>
      </c>
      <c r="P31" s="84">
        <f>A31</f>
        <v/>
      </c>
      <c r="Q31" s="84">
        <f>IFERROR(INDEX(Bootstrap!$E$8:$E$72,MATCH(O31,Bootstrap!$B$8:$B$72,0)),"")</f>
        <v/>
      </c>
      <c r="R31" s="154">
        <f>IFERROR(IF(MATCH(O31,Bootstrap!$B$8:$B$72,0)&lt;=15,"short  DFspot/(1+S*tau)","annual (DFspot-S*A)/(1+S*tau)"),"")</f>
        <v/>
      </c>
      <c r="S31" s="80">
        <f>IFERROR(IF(MATCH(O31,Bootstrap!$B$8:$B$72,0)&lt;=15,INDEX(Bootstrap!$D$8:$D$72,MATCH(O31,Bootstrap!$B$8:$B$72,0)),INDEX(Bootstrap!$F$8:$F$72,MATCH(O31,Bootstrap!$B$8:$B$72,0))),"")</f>
        <v/>
      </c>
      <c r="T31" s="76">
        <f>IFERROR(IF(MATCH(O31,Bootstrap!$B$8:$B$72,0)&lt;=15,0,INDEX(Bootstrap!$G$8:$G$72,MATCH(O31,Bootstrap!$B$8:$B$72,0))),"")</f>
        <v/>
      </c>
      <c r="U31" s="76">
        <f>IF(OR(Q31="",S31=""),"",Bootstrap!$D$4-(Q31/100)*T31)</f>
        <v/>
      </c>
      <c r="V31" s="76">
        <f>IF(OR(Q31="",S31=""),"",1+(Q31/100)*S31)</f>
        <v/>
      </c>
      <c r="W31" s="76">
        <f>IFERROR(INDEX(Bootstrap!$H$8:$H$72,MATCH(O31,Bootstrap!$B$8:$B$72,0)),"")</f>
        <v/>
      </c>
      <c r="X31" s="80">
        <f>IFERROR(INDEX(Bootstrap!$C$8:$C$72,MATCH(O31,Bootstrap!$B$8:$B$72,0)),"")</f>
        <v/>
      </c>
      <c r="Y31" s="84">
        <f>IFERROR(INDEX(Bootstrap!$J$8:$J$72,MATCH(O31,Bootstrap!$B$8:$B$72,0)),"")</f>
        <v/>
      </c>
      <c r="Z31" s="84">
        <f>IF(Bootstrap!$G$4="Test 1",D31,IF(Bootstrap!$G$4="Test 2",G31,IF(Bootstrap!$G$4="Test 3",J31,"")))</f>
        <v/>
      </c>
      <c r="AA31" s="80">
        <f>IF(Bootstrap!$G$4="Test 1",E31,IF(Bootstrap!$G$4="Test 2",H31,IF(Bootstrap!$G$4="Test 3",K31,"")))</f>
        <v/>
      </c>
      <c r="AB31" s="89">
        <f>IF(OR(Y31="",NOT(ISNUMBER(Z31))),"",(Y31-Z31)*100)</f>
        <v/>
      </c>
      <c r="AC31" s="72">
        <f>IF(OR(W31="",NOT(ISNUMBER(AA31))),"",W31-AA31)</f>
        <v/>
      </c>
    </row>
    <row r="32">
      <c r="A32" s="152" t="inlineStr">
        <is>
          <t>12Y</t>
        </is>
      </c>
      <c r="B32" s="157">
        <f>IF(L32="","",IF(MONTH((L32+IF(WEEKDAY(L32,2)=6,2,IF(WEEKDAY(L32,2)=7,1,0))))&lt;&gt;MONTH(L32),(L32-IF(WEEKDAY(L32,2)=6,1,IF(WEEKDAY(L32,2)=7,2,0))),(L32+IF(WEEKDAY(L32,2)=6,2,IF(WEEKDAY(L32,2)=7,1,0)))))</f>
        <v/>
      </c>
      <c r="C32" s="85" t="n"/>
      <c r="D32" s="85" t="n"/>
      <c r="E32" s="69" t="n"/>
      <c r="F32" s="85" t="n"/>
      <c r="G32" s="85" t="n"/>
      <c r="H32" s="69" t="n"/>
      <c r="I32" s="85" t="n"/>
      <c r="J32" s="85" t="n"/>
      <c r="K32" s="69" t="n"/>
      <c r="L32" s="157">
        <f>IF($M$5="","",IF(RIGHT(A32,1)="W",$M$5+7*VALUE(LEFT(A32,LEN(A32)-1)),IF(RIGHT(A32,1)="M",EDATE($M$5,VALUE(LEFT(A32,LEN(A32)-1))),EDATE($M$5,12*VALUE(LEFT(A32,LEN(A32)-1))))))</f>
        <v/>
      </c>
      <c r="M32" s="158" t="n"/>
      <c r="O32" s="112">
        <f>B32</f>
        <v/>
      </c>
      <c r="P32" s="84">
        <f>A32</f>
        <v/>
      </c>
      <c r="Q32" s="84">
        <f>IFERROR(INDEX(Bootstrap!$E$8:$E$72,MATCH(O32,Bootstrap!$B$8:$B$72,0)),"")</f>
        <v/>
      </c>
      <c r="R32" s="154">
        <f>IFERROR(IF(MATCH(O32,Bootstrap!$B$8:$B$72,0)&lt;=15,"short  DFspot/(1+S*tau)","annual (DFspot-S*A)/(1+S*tau)"),"")</f>
        <v/>
      </c>
      <c r="S32" s="80">
        <f>IFERROR(IF(MATCH(O32,Bootstrap!$B$8:$B$72,0)&lt;=15,INDEX(Bootstrap!$D$8:$D$72,MATCH(O32,Bootstrap!$B$8:$B$72,0)),INDEX(Bootstrap!$F$8:$F$72,MATCH(O32,Bootstrap!$B$8:$B$72,0))),"")</f>
        <v/>
      </c>
      <c r="T32" s="76">
        <f>IFERROR(IF(MATCH(O32,Bootstrap!$B$8:$B$72,0)&lt;=15,0,INDEX(Bootstrap!$G$8:$G$72,MATCH(O32,Bootstrap!$B$8:$B$72,0))),"")</f>
        <v/>
      </c>
      <c r="U32" s="76">
        <f>IF(OR(Q32="",S32=""),"",Bootstrap!$D$4-(Q32/100)*T32)</f>
        <v/>
      </c>
      <c r="V32" s="76">
        <f>IF(OR(Q32="",S32=""),"",1+(Q32/100)*S32)</f>
        <v/>
      </c>
      <c r="W32" s="76">
        <f>IFERROR(INDEX(Bootstrap!$H$8:$H$72,MATCH(O32,Bootstrap!$B$8:$B$72,0)),"")</f>
        <v/>
      </c>
      <c r="X32" s="80">
        <f>IFERROR(INDEX(Bootstrap!$C$8:$C$72,MATCH(O32,Bootstrap!$B$8:$B$72,0)),"")</f>
        <v/>
      </c>
      <c r="Y32" s="84">
        <f>IFERROR(INDEX(Bootstrap!$J$8:$J$72,MATCH(O32,Bootstrap!$B$8:$B$72,0)),"")</f>
        <v/>
      </c>
      <c r="Z32" s="84">
        <f>IF(Bootstrap!$G$4="Test 1",D32,IF(Bootstrap!$G$4="Test 2",G32,IF(Bootstrap!$G$4="Test 3",J32,"")))</f>
        <v/>
      </c>
      <c r="AA32" s="80">
        <f>IF(Bootstrap!$G$4="Test 1",E32,IF(Bootstrap!$G$4="Test 2",H32,IF(Bootstrap!$G$4="Test 3",K32,"")))</f>
        <v/>
      </c>
      <c r="AB32" s="89">
        <f>IF(OR(Y32="",NOT(ISNUMBER(Z32))),"",(Y32-Z32)*100)</f>
        <v/>
      </c>
      <c r="AC32" s="72">
        <f>IF(OR(W32="",NOT(ISNUMBER(AA32))),"",W32-AA32)</f>
        <v/>
      </c>
    </row>
    <row r="33">
      <c r="A33" s="152" t="inlineStr">
        <is>
          <t>15Y</t>
        </is>
      </c>
      <c r="B33" s="157">
        <f>IF(L33="","",IF(MONTH((L33+IF(WEEKDAY(L33,2)=6,2,IF(WEEKDAY(L33,2)=7,1,0))))&lt;&gt;MONTH(L33),(L33-IF(WEEKDAY(L33,2)=6,1,IF(WEEKDAY(L33,2)=7,2,0))),(L33+IF(WEEKDAY(L33,2)=6,2,IF(WEEKDAY(L33,2)=7,1,0)))))</f>
        <v/>
      </c>
      <c r="C33" s="85" t="n"/>
      <c r="D33" s="85" t="n"/>
      <c r="E33" s="69" t="n"/>
      <c r="F33" s="85" t="n"/>
      <c r="G33" s="85" t="n"/>
      <c r="H33" s="69" t="n"/>
      <c r="I33" s="85" t="n"/>
      <c r="J33" s="85" t="n"/>
      <c r="K33" s="69" t="n"/>
      <c r="L33" s="157">
        <f>IF($M$5="","",IF(RIGHT(A33,1)="W",$M$5+7*VALUE(LEFT(A33,LEN(A33)-1)),IF(RIGHT(A33,1)="M",EDATE($M$5,VALUE(LEFT(A33,LEN(A33)-1))),EDATE($M$5,12*VALUE(LEFT(A33,LEN(A33)-1))))))</f>
        <v/>
      </c>
      <c r="M33" s="158" t="n"/>
      <c r="O33" s="112">
        <f>B33</f>
        <v/>
      </c>
      <c r="P33" s="84">
        <f>A33</f>
        <v/>
      </c>
      <c r="Q33" s="84">
        <f>IFERROR(INDEX(Bootstrap!$E$8:$E$72,MATCH(O33,Bootstrap!$B$8:$B$72,0)),"")</f>
        <v/>
      </c>
      <c r="R33" s="154">
        <f>IFERROR(IF(MATCH(O33,Bootstrap!$B$8:$B$72,0)&lt;=15,"short  DFspot/(1+S*tau)","annual (DFspot-S*A)/(1+S*tau)"),"")</f>
        <v/>
      </c>
      <c r="S33" s="80">
        <f>IFERROR(IF(MATCH(O33,Bootstrap!$B$8:$B$72,0)&lt;=15,INDEX(Bootstrap!$D$8:$D$72,MATCH(O33,Bootstrap!$B$8:$B$72,0)),INDEX(Bootstrap!$F$8:$F$72,MATCH(O33,Bootstrap!$B$8:$B$72,0))),"")</f>
        <v/>
      </c>
      <c r="T33" s="76">
        <f>IFERROR(IF(MATCH(O33,Bootstrap!$B$8:$B$72,0)&lt;=15,0,INDEX(Bootstrap!$G$8:$G$72,MATCH(O33,Bootstrap!$B$8:$B$72,0))),"")</f>
        <v/>
      </c>
      <c r="U33" s="76">
        <f>IF(OR(Q33="",S33=""),"",Bootstrap!$D$4-(Q33/100)*T33)</f>
        <v/>
      </c>
      <c r="V33" s="76">
        <f>IF(OR(Q33="",S33=""),"",1+(Q33/100)*S33)</f>
        <v/>
      </c>
      <c r="W33" s="76">
        <f>IFERROR(INDEX(Bootstrap!$H$8:$H$72,MATCH(O33,Bootstrap!$B$8:$B$72,0)),"")</f>
        <v/>
      </c>
      <c r="X33" s="80">
        <f>IFERROR(INDEX(Bootstrap!$C$8:$C$72,MATCH(O33,Bootstrap!$B$8:$B$72,0)),"")</f>
        <v/>
      </c>
      <c r="Y33" s="84">
        <f>IFERROR(INDEX(Bootstrap!$J$8:$J$72,MATCH(O33,Bootstrap!$B$8:$B$72,0)),"")</f>
        <v/>
      </c>
      <c r="Z33" s="84">
        <f>IF(Bootstrap!$G$4="Test 1",D33,IF(Bootstrap!$G$4="Test 2",G33,IF(Bootstrap!$G$4="Test 3",J33,"")))</f>
        <v/>
      </c>
      <c r="AA33" s="80">
        <f>IF(Bootstrap!$G$4="Test 1",E33,IF(Bootstrap!$G$4="Test 2",H33,IF(Bootstrap!$G$4="Test 3",K33,"")))</f>
        <v/>
      </c>
      <c r="AB33" s="89">
        <f>IF(OR(Y33="",NOT(ISNUMBER(Z33))),"",(Y33-Z33)*100)</f>
        <v/>
      </c>
      <c r="AC33" s="72">
        <f>IF(OR(W33="",NOT(ISNUMBER(AA33))),"",W33-AA33)</f>
        <v/>
      </c>
    </row>
    <row r="34">
      <c r="A34" s="152" t="inlineStr">
        <is>
          <t>20Y</t>
        </is>
      </c>
      <c r="B34" s="157">
        <f>IF(L34="","",IF(MONTH((L34+IF(WEEKDAY(L34,2)=6,2,IF(WEEKDAY(L34,2)=7,1,0))))&lt;&gt;MONTH(L34),(L34-IF(WEEKDAY(L34,2)=6,1,IF(WEEKDAY(L34,2)=7,2,0))),(L34+IF(WEEKDAY(L34,2)=6,2,IF(WEEKDAY(L34,2)=7,1,0)))))</f>
        <v/>
      </c>
      <c r="C34" s="85" t="n"/>
      <c r="D34" s="85" t="n"/>
      <c r="E34" s="69" t="n"/>
      <c r="F34" s="85" t="n"/>
      <c r="G34" s="85" t="n"/>
      <c r="H34" s="69" t="n"/>
      <c r="I34" s="85" t="n"/>
      <c r="J34" s="85" t="n"/>
      <c r="K34" s="69" t="n"/>
      <c r="L34" s="157">
        <f>IF($M$5="","",IF(RIGHT(A34,1)="W",$M$5+7*VALUE(LEFT(A34,LEN(A34)-1)),IF(RIGHT(A34,1)="M",EDATE($M$5,VALUE(LEFT(A34,LEN(A34)-1))),EDATE($M$5,12*VALUE(LEFT(A34,LEN(A34)-1))))))</f>
        <v/>
      </c>
      <c r="M34" s="158" t="n"/>
      <c r="O34" s="112">
        <f>B34</f>
        <v/>
      </c>
      <c r="P34" s="84">
        <f>A34</f>
        <v/>
      </c>
      <c r="Q34" s="84">
        <f>IFERROR(INDEX(Bootstrap!$E$8:$E$72,MATCH(O34,Bootstrap!$B$8:$B$72,0)),"")</f>
        <v/>
      </c>
      <c r="R34" s="154">
        <f>IFERROR(IF(MATCH(O34,Bootstrap!$B$8:$B$72,0)&lt;=15,"short  DFspot/(1+S*tau)","annual (DFspot-S*A)/(1+S*tau)"),"")</f>
        <v/>
      </c>
      <c r="S34" s="80">
        <f>IFERROR(IF(MATCH(O34,Bootstrap!$B$8:$B$72,0)&lt;=15,INDEX(Bootstrap!$D$8:$D$72,MATCH(O34,Bootstrap!$B$8:$B$72,0)),INDEX(Bootstrap!$F$8:$F$72,MATCH(O34,Bootstrap!$B$8:$B$72,0))),"")</f>
        <v/>
      </c>
      <c r="T34" s="76">
        <f>IFERROR(IF(MATCH(O34,Bootstrap!$B$8:$B$72,0)&lt;=15,0,INDEX(Bootstrap!$G$8:$G$72,MATCH(O34,Bootstrap!$B$8:$B$72,0))),"")</f>
        <v/>
      </c>
      <c r="U34" s="76">
        <f>IF(OR(Q34="",S34=""),"",Bootstrap!$D$4-(Q34/100)*T34)</f>
        <v/>
      </c>
      <c r="V34" s="76">
        <f>IF(OR(Q34="",S34=""),"",1+(Q34/100)*S34)</f>
        <v/>
      </c>
      <c r="W34" s="76">
        <f>IFERROR(INDEX(Bootstrap!$H$8:$H$72,MATCH(O34,Bootstrap!$B$8:$B$72,0)),"")</f>
        <v/>
      </c>
      <c r="X34" s="80">
        <f>IFERROR(INDEX(Bootstrap!$C$8:$C$72,MATCH(O34,Bootstrap!$B$8:$B$72,0)),"")</f>
        <v/>
      </c>
      <c r="Y34" s="84">
        <f>IFERROR(INDEX(Bootstrap!$J$8:$J$72,MATCH(O34,Bootstrap!$B$8:$B$72,0)),"")</f>
        <v/>
      </c>
      <c r="Z34" s="84">
        <f>IF(Bootstrap!$G$4="Test 1",D34,IF(Bootstrap!$G$4="Test 2",G34,IF(Bootstrap!$G$4="Test 3",J34,"")))</f>
        <v/>
      </c>
      <c r="AA34" s="80">
        <f>IF(Bootstrap!$G$4="Test 1",E34,IF(Bootstrap!$G$4="Test 2",H34,IF(Bootstrap!$G$4="Test 3",K34,"")))</f>
        <v/>
      </c>
      <c r="AB34" s="89">
        <f>IF(OR(Y34="",NOT(ISNUMBER(Z34))),"",(Y34-Z34)*100)</f>
        <v/>
      </c>
      <c r="AC34" s="72">
        <f>IF(OR(W34="",NOT(ISNUMBER(AA34))),"",W34-AA34)</f>
        <v/>
      </c>
    </row>
    <row r="35">
      <c r="A35" s="152" t="inlineStr">
        <is>
          <t>25Y</t>
        </is>
      </c>
      <c r="B35" s="157">
        <f>IF(L35="","",IF(MONTH((L35+IF(WEEKDAY(L35,2)=6,2,IF(WEEKDAY(L35,2)=7,1,0))))&lt;&gt;MONTH(L35),(L35-IF(WEEKDAY(L35,2)=6,1,IF(WEEKDAY(L35,2)=7,2,0))),(L35+IF(WEEKDAY(L35,2)=6,2,IF(WEEKDAY(L35,2)=7,1,0)))))</f>
        <v/>
      </c>
      <c r="C35" s="85" t="n"/>
      <c r="D35" s="85" t="n"/>
      <c r="E35" s="69" t="n"/>
      <c r="F35" s="85" t="n"/>
      <c r="G35" s="85" t="n"/>
      <c r="H35" s="69" t="n"/>
      <c r="I35" s="85" t="n"/>
      <c r="J35" s="85" t="n"/>
      <c r="K35" s="69" t="n"/>
      <c r="L35" s="157">
        <f>IF($M$5="","",IF(RIGHT(A35,1)="W",$M$5+7*VALUE(LEFT(A35,LEN(A35)-1)),IF(RIGHT(A35,1)="M",EDATE($M$5,VALUE(LEFT(A35,LEN(A35)-1))),EDATE($M$5,12*VALUE(LEFT(A35,LEN(A35)-1))))))</f>
        <v/>
      </c>
      <c r="M35" s="158" t="n"/>
      <c r="O35" s="112">
        <f>B35</f>
        <v/>
      </c>
      <c r="P35" s="84">
        <f>A35</f>
        <v/>
      </c>
      <c r="Q35" s="84">
        <f>IFERROR(INDEX(Bootstrap!$E$8:$E$72,MATCH(O35,Bootstrap!$B$8:$B$72,0)),"")</f>
        <v/>
      </c>
      <c r="R35" s="154">
        <f>IFERROR(IF(MATCH(O35,Bootstrap!$B$8:$B$72,0)&lt;=15,"short  DFspot/(1+S*tau)","annual (DFspot-S*A)/(1+S*tau)"),"")</f>
        <v/>
      </c>
      <c r="S35" s="80">
        <f>IFERROR(IF(MATCH(O35,Bootstrap!$B$8:$B$72,0)&lt;=15,INDEX(Bootstrap!$D$8:$D$72,MATCH(O35,Bootstrap!$B$8:$B$72,0)),INDEX(Bootstrap!$F$8:$F$72,MATCH(O35,Bootstrap!$B$8:$B$72,0))),"")</f>
        <v/>
      </c>
      <c r="T35" s="76">
        <f>IFERROR(IF(MATCH(O35,Bootstrap!$B$8:$B$72,0)&lt;=15,0,INDEX(Bootstrap!$G$8:$G$72,MATCH(O35,Bootstrap!$B$8:$B$72,0))),"")</f>
        <v/>
      </c>
      <c r="U35" s="76">
        <f>IF(OR(Q35="",S35=""),"",Bootstrap!$D$4-(Q35/100)*T35)</f>
        <v/>
      </c>
      <c r="V35" s="76">
        <f>IF(OR(Q35="",S35=""),"",1+(Q35/100)*S35)</f>
        <v/>
      </c>
      <c r="W35" s="76">
        <f>IFERROR(INDEX(Bootstrap!$H$8:$H$72,MATCH(O35,Bootstrap!$B$8:$B$72,0)),"")</f>
        <v/>
      </c>
      <c r="X35" s="80">
        <f>IFERROR(INDEX(Bootstrap!$C$8:$C$72,MATCH(O35,Bootstrap!$B$8:$B$72,0)),"")</f>
        <v/>
      </c>
      <c r="Y35" s="84">
        <f>IFERROR(INDEX(Bootstrap!$J$8:$J$72,MATCH(O35,Bootstrap!$B$8:$B$72,0)),"")</f>
        <v/>
      </c>
      <c r="Z35" s="84">
        <f>IF(Bootstrap!$G$4="Test 1",D35,IF(Bootstrap!$G$4="Test 2",G35,IF(Bootstrap!$G$4="Test 3",J35,"")))</f>
        <v/>
      </c>
      <c r="AA35" s="80">
        <f>IF(Bootstrap!$G$4="Test 1",E35,IF(Bootstrap!$G$4="Test 2",H35,IF(Bootstrap!$G$4="Test 3",K35,"")))</f>
        <v/>
      </c>
      <c r="AB35" s="89">
        <f>IF(OR(Y35="",NOT(ISNUMBER(Z35))),"",(Y35-Z35)*100)</f>
        <v/>
      </c>
      <c r="AC35" s="72">
        <f>IF(OR(W35="",NOT(ISNUMBER(AA35))),"",W35-AA35)</f>
        <v/>
      </c>
    </row>
    <row r="36">
      <c r="A36" s="152" t="inlineStr">
        <is>
          <t>30Y</t>
        </is>
      </c>
      <c r="B36" s="157">
        <f>IF(L36="","",IF(MONTH((L36+IF(WEEKDAY(L36,2)=6,2,IF(WEEKDAY(L36,2)=7,1,0))))&lt;&gt;MONTH(L36),(L36-IF(WEEKDAY(L36,2)=6,1,IF(WEEKDAY(L36,2)=7,2,0))),(L36+IF(WEEKDAY(L36,2)=6,2,IF(WEEKDAY(L36,2)=7,1,0)))))</f>
        <v/>
      </c>
      <c r="C36" s="85" t="n"/>
      <c r="D36" s="85" t="n"/>
      <c r="E36" s="69" t="n"/>
      <c r="F36" s="85" t="n"/>
      <c r="G36" s="85" t="n"/>
      <c r="H36" s="69" t="n"/>
      <c r="I36" s="85" t="n"/>
      <c r="J36" s="85" t="n"/>
      <c r="K36" s="69" t="n"/>
      <c r="L36" s="157">
        <f>IF($M$5="","",IF(RIGHT(A36,1)="W",$M$5+7*VALUE(LEFT(A36,LEN(A36)-1)),IF(RIGHT(A36,1)="M",EDATE($M$5,VALUE(LEFT(A36,LEN(A36)-1))),EDATE($M$5,12*VALUE(LEFT(A36,LEN(A36)-1))))))</f>
        <v/>
      </c>
      <c r="M36" s="158" t="n"/>
      <c r="O36" s="112">
        <f>B36</f>
        <v/>
      </c>
      <c r="P36" s="84">
        <f>A36</f>
        <v/>
      </c>
      <c r="Q36" s="84">
        <f>IFERROR(INDEX(Bootstrap!$E$8:$E$72,MATCH(O36,Bootstrap!$B$8:$B$72,0)),"")</f>
        <v/>
      </c>
      <c r="R36" s="154">
        <f>IFERROR(IF(MATCH(O36,Bootstrap!$B$8:$B$72,0)&lt;=15,"short  DFspot/(1+S*tau)","annual (DFspot-S*A)/(1+S*tau)"),"")</f>
        <v/>
      </c>
      <c r="S36" s="80">
        <f>IFERROR(IF(MATCH(O36,Bootstrap!$B$8:$B$72,0)&lt;=15,INDEX(Bootstrap!$D$8:$D$72,MATCH(O36,Bootstrap!$B$8:$B$72,0)),INDEX(Bootstrap!$F$8:$F$72,MATCH(O36,Bootstrap!$B$8:$B$72,0))),"")</f>
        <v/>
      </c>
      <c r="T36" s="76">
        <f>IFERROR(IF(MATCH(O36,Bootstrap!$B$8:$B$72,0)&lt;=15,0,INDEX(Bootstrap!$G$8:$G$72,MATCH(O36,Bootstrap!$B$8:$B$72,0))),"")</f>
        <v/>
      </c>
      <c r="U36" s="76">
        <f>IF(OR(Q36="",S36=""),"",Bootstrap!$D$4-(Q36/100)*T36)</f>
        <v/>
      </c>
      <c r="V36" s="76">
        <f>IF(OR(Q36="",S36=""),"",1+(Q36/100)*S36)</f>
        <v/>
      </c>
      <c r="W36" s="76">
        <f>IFERROR(INDEX(Bootstrap!$H$8:$H$72,MATCH(O36,Bootstrap!$B$8:$B$72,0)),"")</f>
        <v/>
      </c>
      <c r="X36" s="80">
        <f>IFERROR(INDEX(Bootstrap!$C$8:$C$72,MATCH(O36,Bootstrap!$B$8:$B$72,0)),"")</f>
        <v/>
      </c>
      <c r="Y36" s="84">
        <f>IFERROR(INDEX(Bootstrap!$J$8:$J$72,MATCH(O36,Bootstrap!$B$8:$B$72,0)),"")</f>
        <v/>
      </c>
      <c r="Z36" s="84">
        <f>IF(Bootstrap!$G$4="Test 1",D36,IF(Bootstrap!$G$4="Test 2",G36,IF(Bootstrap!$G$4="Test 3",J36,"")))</f>
        <v/>
      </c>
      <c r="AA36" s="80">
        <f>IF(Bootstrap!$G$4="Test 1",E36,IF(Bootstrap!$G$4="Test 2",H36,IF(Bootstrap!$G$4="Test 3",K36,"")))</f>
        <v/>
      </c>
      <c r="AB36" s="89">
        <f>IF(OR(Y36="",NOT(ISNUMBER(Z36))),"",(Y36-Z36)*100)</f>
        <v/>
      </c>
      <c r="AC36" s="72">
        <f>IF(OR(W36="",NOT(ISNUMBER(AA36))),"",W36-AA36)</f>
        <v/>
      </c>
    </row>
    <row r="37">
      <c r="A37" s="152" t="inlineStr">
        <is>
          <t>40Y</t>
        </is>
      </c>
      <c r="B37" s="157">
        <f>IF(L37="","",IF(MONTH((L37+IF(WEEKDAY(L37,2)=6,2,IF(WEEKDAY(L37,2)=7,1,0))))&lt;&gt;MONTH(L37),(L37-IF(WEEKDAY(L37,2)=6,1,IF(WEEKDAY(L37,2)=7,2,0))),(L37+IF(WEEKDAY(L37,2)=6,2,IF(WEEKDAY(L37,2)=7,1,0)))))</f>
        <v/>
      </c>
      <c r="C37" s="85" t="n"/>
      <c r="D37" s="85" t="n"/>
      <c r="E37" s="69" t="n"/>
      <c r="F37" s="85" t="n"/>
      <c r="G37" s="85" t="n"/>
      <c r="H37" s="69" t="n"/>
      <c r="I37" s="85" t="n"/>
      <c r="J37" s="85" t="n"/>
      <c r="K37" s="69" t="n"/>
      <c r="L37" s="157">
        <f>IF($M$5="","",IF(RIGHT(A37,1)="W",$M$5+7*VALUE(LEFT(A37,LEN(A37)-1)),IF(RIGHT(A37,1)="M",EDATE($M$5,VALUE(LEFT(A37,LEN(A37)-1))),EDATE($M$5,12*VALUE(LEFT(A37,LEN(A37)-1))))))</f>
        <v/>
      </c>
      <c r="M37" s="158" t="n"/>
      <c r="O37" s="112">
        <f>B37</f>
        <v/>
      </c>
      <c r="P37" s="84">
        <f>A37</f>
        <v/>
      </c>
      <c r="Q37" s="84">
        <f>IFERROR(INDEX(Bootstrap!$E$8:$E$72,MATCH(O37,Bootstrap!$B$8:$B$72,0)),"")</f>
        <v/>
      </c>
      <c r="R37" s="154">
        <f>IFERROR(IF(MATCH(O37,Bootstrap!$B$8:$B$72,0)&lt;=15,"short  DFspot/(1+S*tau)","annual (DFspot-S*A)/(1+S*tau)"),"")</f>
        <v/>
      </c>
      <c r="S37" s="80">
        <f>IFERROR(IF(MATCH(O37,Bootstrap!$B$8:$B$72,0)&lt;=15,INDEX(Bootstrap!$D$8:$D$72,MATCH(O37,Bootstrap!$B$8:$B$72,0)),INDEX(Bootstrap!$F$8:$F$72,MATCH(O37,Bootstrap!$B$8:$B$72,0))),"")</f>
        <v/>
      </c>
      <c r="T37" s="76">
        <f>IFERROR(IF(MATCH(O37,Bootstrap!$B$8:$B$72,0)&lt;=15,0,INDEX(Bootstrap!$G$8:$G$72,MATCH(O37,Bootstrap!$B$8:$B$72,0))),"")</f>
        <v/>
      </c>
      <c r="U37" s="76">
        <f>IF(OR(Q37="",S37=""),"",Bootstrap!$D$4-(Q37/100)*T37)</f>
        <v/>
      </c>
      <c r="V37" s="76">
        <f>IF(OR(Q37="",S37=""),"",1+(Q37/100)*S37)</f>
        <v/>
      </c>
      <c r="W37" s="76">
        <f>IFERROR(INDEX(Bootstrap!$H$8:$H$72,MATCH(O37,Bootstrap!$B$8:$B$72,0)),"")</f>
        <v/>
      </c>
      <c r="X37" s="80">
        <f>IFERROR(INDEX(Bootstrap!$C$8:$C$72,MATCH(O37,Bootstrap!$B$8:$B$72,0)),"")</f>
        <v/>
      </c>
      <c r="Y37" s="84">
        <f>IFERROR(INDEX(Bootstrap!$J$8:$J$72,MATCH(O37,Bootstrap!$B$8:$B$72,0)),"")</f>
        <v/>
      </c>
      <c r="Z37" s="84">
        <f>IF(Bootstrap!$G$4="Test 1",D37,IF(Bootstrap!$G$4="Test 2",G37,IF(Bootstrap!$G$4="Test 3",J37,"")))</f>
        <v/>
      </c>
      <c r="AA37" s="80">
        <f>IF(Bootstrap!$G$4="Test 1",E37,IF(Bootstrap!$G$4="Test 2",H37,IF(Bootstrap!$G$4="Test 3",K37,"")))</f>
        <v/>
      </c>
      <c r="AB37" s="89">
        <f>IF(OR(Y37="",NOT(ISNUMBER(Z37))),"",(Y37-Z37)*100)</f>
        <v/>
      </c>
      <c r="AC37" s="72">
        <f>IF(OR(W37="",NOT(ISNUMBER(AA37))),"",W37-AA37)</f>
        <v/>
      </c>
    </row>
    <row r="38">
      <c r="A38" s="152" t="inlineStr">
        <is>
          <t>50Y</t>
        </is>
      </c>
      <c r="B38" s="157">
        <f>IF(L38="","",IF(MONTH((L38+IF(WEEKDAY(L38,2)=6,2,IF(WEEKDAY(L38,2)=7,1,0))))&lt;&gt;MONTH(L38),(L38-IF(WEEKDAY(L38,2)=6,1,IF(WEEKDAY(L38,2)=7,2,0))),(L38+IF(WEEKDAY(L38,2)=6,2,IF(WEEKDAY(L38,2)=7,1,0)))))</f>
        <v/>
      </c>
      <c r="C38" s="85" t="n"/>
      <c r="D38" s="85" t="n"/>
      <c r="E38" s="69" t="n"/>
      <c r="F38" s="85" t="n"/>
      <c r="G38" s="85" t="n"/>
      <c r="H38" s="69" t="n"/>
      <c r="I38" s="85" t="n"/>
      <c r="J38" s="85" t="n"/>
      <c r="K38" s="69" t="n"/>
      <c r="L38" s="157">
        <f>IF($M$5="","",IF(RIGHT(A38,1)="W",$M$5+7*VALUE(LEFT(A38,LEN(A38)-1)),IF(RIGHT(A38,1)="M",EDATE($M$5,VALUE(LEFT(A38,LEN(A38)-1))),EDATE($M$5,12*VALUE(LEFT(A38,LEN(A38)-1))))))</f>
        <v/>
      </c>
      <c r="M38" s="158" t="n"/>
      <c r="O38" s="112">
        <f>B38</f>
        <v/>
      </c>
      <c r="P38" s="84">
        <f>A38</f>
        <v/>
      </c>
      <c r="Q38" s="84">
        <f>IFERROR(INDEX(Bootstrap!$E$8:$E$72,MATCH(O38,Bootstrap!$B$8:$B$72,0)),"")</f>
        <v/>
      </c>
      <c r="R38" s="154">
        <f>IFERROR(IF(MATCH(O38,Bootstrap!$B$8:$B$72,0)&lt;=15,"short  DFspot/(1+S*tau)","annual (DFspot-S*A)/(1+S*tau)"),"")</f>
        <v/>
      </c>
      <c r="S38" s="80">
        <f>IFERROR(IF(MATCH(O38,Bootstrap!$B$8:$B$72,0)&lt;=15,INDEX(Bootstrap!$D$8:$D$72,MATCH(O38,Bootstrap!$B$8:$B$72,0)),INDEX(Bootstrap!$F$8:$F$72,MATCH(O38,Bootstrap!$B$8:$B$72,0))),"")</f>
        <v/>
      </c>
      <c r="T38" s="76">
        <f>IFERROR(IF(MATCH(O38,Bootstrap!$B$8:$B$72,0)&lt;=15,0,INDEX(Bootstrap!$G$8:$G$72,MATCH(O38,Bootstrap!$B$8:$B$72,0))),"")</f>
        <v/>
      </c>
      <c r="U38" s="76">
        <f>IF(OR(Q38="",S38=""),"",Bootstrap!$D$4-(Q38/100)*T38)</f>
        <v/>
      </c>
      <c r="V38" s="76">
        <f>IF(OR(Q38="",S38=""),"",1+(Q38/100)*S38)</f>
        <v/>
      </c>
      <c r="W38" s="76">
        <f>IFERROR(INDEX(Bootstrap!$H$8:$H$72,MATCH(O38,Bootstrap!$B$8:$B$72,0)),"")</f>
        <v/>
      </c>
      <c r="X38" s="80">
        <f>IFERROR(INDEX(Bootstrap!$C$8:$C$72,MATCH(O38,Bootstrap!$B$8:$B$72,0)),"")</f>
        <v/>
      </c>
      <c r="Y38" s="84">
        <f>IFERROR(INDEX(Bootstrap!$J$8:$J$72,MATCH(O38,Bootstrap!$B$8:$B$72,0)),"")</f>
        <v/>
      </c>
      <c r="Z38" s="84">
        <f>IF(Bootstrap!$G$4="Test 1",D38,IF(Bootstrap!$G$4="Test 2",G38,IF(Bootstrap!$G$4="Test 3",J38,"")))</f>
        <v/>
      </c>
      <c r="AA38" s="80">
        <f>IF(Bootstrap!$G$4="Test 1",E38,IF(Bootstrap!$G$4="Test 2",H38,IF(Bootstrap!$G$4="Test 3",K38,"")))</f>
        <v/>
      </c>
      <c r="AB38" s="89">
        <f>IF(OR(Y38="",NOT(ISNUMBER(Z38))),"",(Y38-Z38)*100)</f>
        <v/>
      </c>
      <c r="AC38" s="72">
        <f>IF(OR(W38="",NOT(ISNUMBER(AA38))),"",W38-AA38)</f>
        <v/>
      </c>
    </row>
    <row r="40">
      <c r="O40" s="67" t="inlineStr">
        <is>
          <t>Pillars matched</t>
        </is>
      </c>
      <c r="Q40" s="87">
        <f>COUNT(Y7:Y38)&amp;" / 32"</f>
        <v/>
      </c>
    </row>
    <row r="41">
      <c r="O41" s="67" t="inlineStr">
        <is>
          <t>Max |d zero| (bp)</t>
        </is>
      </c>
      <c r="Q41" s="90">
        <f>IF(COUNT(AB7:AB38)=0,"select a test case",MAX(MAX(AB7:AB38),-MIN(AB7:AB38)))</f>
        <v/>
      </c>
    </row>
    <row r="42">
      <c r="O42" s="67" t="inlineStr">
        <is>
          <t>Max |d DF|</t>
        </is>
      </c>
      <c r="Q42" s="91">
        <f>IF(COUNT(AC7:AC38)=0,"",MAX(MAX(AC7:AC38),-MIN(AC7:AC38)))</f>
        <v/>
      </c>
    </row>
    <row r="44">
      <c r="O44" s="65" t="inlineStr">
        <is>
          <t>Benchmark through this same path: 0.397bp and 1.88e-05 on the 07/21/26 capture. A test case should land in that region.</t>
        </is>
      </c>
    </row>
    <row r="47">
      <c r="A47" s="123" t="inlineStr">
        <is>
          <t>CDS TEST CASES</t>
        </is>
      </c>
    </row>
    <row r="48">
      <c r="A48" s="65" t="inlineStr">
        <is>
          <t>Rows 5, 6 and 7 of CDS_Entities. Type a ticker in col B and the term structure pulls live; overwrite H:M to hard-code. Paste the CDSW screen into O:AC. Select which one prices at CDS_Parameters!B27.</t>
        </is>
      </c>
    </row>
    <row r="49">
      <c r="A49" s="65" t="inlineStr">
        <is>
          <t>The model-vs-capture comparison is on CDS_Pricer!A41 for whichever name is active.</t>
        </is>
      </c>
    </row>
    <row r="51">
      <c r="A51" s="67" t="inlineStr">
        <is>
          <t>Case 1</t>
        </is>
      </c>
      <c r="B51" s="93">
        <f>IF(CDS_Entities!$A$5="","(empty)",CDS_Entities!$A$5)</f>
        <v/>
      </c>
      <c r="D51" s="65">
        <f>IF(CDS_Entities!$B$5="","no ticker","ticker: "&amp;CDS_Entities!$B$5)</f>
        <v/>
      </c>
      <c r="H51" s="67">
        <f>IF(CDS_Parameters!$B$27=CDS_Entities!$A$5,"&lt;&lt; ACTIVE","")</f>
        <v/>
      </c>
    </row>
    <row r="52">
      <c r="A52" s="123" t="inlineStr">
        <is>
          <t>CDS WORKING — active entity, per tenor</t>
        </is>
      </c>
      <c r="B52" s="93">
        <f>IF(CDS_Entities!$A$6="","(empty)",CDS_Entities!$A$6)</f>
        <v/>
      </c>
      <c r="D52" s="65">
        <f>IF(CDS_Entities!$B$6="","no ticker","ticker: "&amp;CDS_Entities!$B$6)</f>
        <v/>
      </c>
      <c r="H52" s="67">
        <f>IF(CDS_Parameters!$B$27=CDS_Entities!$A$6,"&lt;&lt; ACTIVE","")</f>
        <v/>
      </c>
    </row>
    <row r="53">
      <c r="A53" s="65" t="inlineStr">
        <is>
          <t>The strip for whichever name is selected at CDS_Parameters!B27. Objective is (3.3): protection = S x (RPV01 net of accrued interest).</t>
        </is>
      </c>
      <c r="B53" s="93">
        <f>IF(CDS_Entities!$A$7="","(empty)",CDS_Entities!$A$7)</f>
        <v/>
      </c>
      <c r="D53" s="65">
        <f>IF(CDS_Entities!$B$7="","no ticker","ticker: "&amp;CDS_Entities!$B$7)</f>
        <v/>
      </c>
      <c r="H53" s="67">
        <f>IF(CDS_Parameters!$B$27=CDS_Entities!$A$7,"&lt;&lt; ACTIVE","")</f>
        <v/>
      </c>
    </row>
    <row r="54">
      <c r="A54" s="153" t="inlineStr">
        <is>
          <t>Tenor</t>
        </is>
      </c>
      <c r="B54" s="153" t="inlineStr">
        <is>
          <t>Maturity</t>
        </is>
      </c>
      <c r="C54" s="153" t="inlineStr">
        <is>
          <t>Market bp</t>
        </is>
      </c>
      <c r="D54" s="153" t="inlineStr">
        <is>
          <t>lambda</t>
        </is>
      </c>
      <c r="E54" s="153" t="inlineStr">
        <is>
          <t>Q(T)</t>
        </is>
      </c>
      <c r="F54" s="153" t="inlineStr">
        <is>
          <t>1-Q</t>
        </is>
      </c>
      <c r="G54" s="153" t="inlineStr">
        <is>
          <t>RPV01</t>
        </is>
      </c>
      <c r="H54" s="153" t="inlineStr">
        <is>
          <t>Protection</t>
        </is>
      </c>
      <c r="I54" s="153" t="inlineStr">
        <is>
          <t>Model bp</t>
        </is>
      </c>
      <c r="J54" s="153" t="inlineStr">
        <is>
          <t>Err bp</t>
        </is>
      </c>
      <c r="K54" s="153" t="inlineStr">
        <is>
          <t>s/(1-R)</t>
        </is>
      </c>
      <c r="L54" s="153" t="inlineStr">
        <is>
          <t>lambda - s/(1-R)</t>
        </is>
      </c>
    </row>
    <row r="55">
      <c r="A55" s="93">
        <f>Hazard_Bootstrap!A7</f>
        <v/>
      </c>
      <c r="B55" s="112">
        <f>Hazard_Bootstrap!B7</f>
        <v/>
      </c>
      <c r="C55" s="63">
        <f>Hazard_Bootstrap!C7</f>
        <v/>
      </c>
      <c r="D55" s="76">
        <f>Hazard_Bootstrap!D7</f>
        <v/>
      </c>
      <c r="E55" s="80">
        <f>Hazard_Bootstrap!E7</f>
        <v/>
      </c>
      <c r="F55" s="80">
        <f>Hazard_Bootstrap!F7</f>
        <v/>
      </c>
      <c r="G55" s="80">
        <f>Hazard_Bootstrap!G7</f>
        <v/>
      </c>
      <c r="H55" s="76">
        <f>Hazard_Bootstrap!H7</f>
        <v/>
      </c>
      <c r="I55" s="63">
        <f>Hazard_Bootstrap!I7</f>
        <v/>
      </c>
      <c r="J55" s="72">
        <f>Hazard_Bootstrap!J7</f>
        <v/>
      </c>
      <c r="K55" s="76">
        <f>CDS_Quotes!G7</f>
        <v/>
      </c>
      <c r="L55" s="76">
        <f>IF(OR(NOT(ISNUMBER(D55)),NOT(ISNUMBER(K55))),"",D55-K55)</f>
        <v/>
      </c>
    </row>
    <row r="56">
      <c r="A56" s="93">
        <f>Hazard_Bootstrap!A8</f>
        <v/>
      </c>
      <c r="B56" s="112">
        <f>Hazard_Bootstrap!B8</f>
        <v/>
      </c>
      <c r="C56" s="63">
        <f>Hazard_Bootstrap!C8</f>
        <v/>
      </c>
      <c r="D56" s="76">
        <f>Hazard_Bootstrap!D8</f>
        <v/>
      </c>
      <c r="E56" s="80">
        <f>Hazard_Bootstrap!E8</f>
        <v/>
      </c>
      <c r="F56" s="80">
        <f>Hazard_Bootstrap!F8</f>
        <v/>
      </c>
      <c r="G56" s="80">
        <f>Hazard_Bootstrap!G8</f>
        <v/>
      </c>
      <c r="H56" s="76">
        <f>Hazard_Bootstrap!H8</f>
        <v/>
      </c>
      <c r="I56" s="63">
        <f>Hazard_Bootstrap!I8</f>
        <v/>
      </c>
      <c r="J56" s="72">
        <f>Hazard_Bootstrap!J8</f>
        <v/>
      </c>
      <c r="K56" s="76">
        <f>CDS_Quotes!G8</f>
        <v/>
      </c>
      <c r="L56" s="76">
        <f>IF(OR(NOT(ISNUMBER(D56)),NOT(ISNUMBER(K56))),"",D56-K56)</f>
        <v/>
      </c>
    </row>
    <row r="57">
      <c r="A57" s="93">
        <f>Hazard_Bootstrap!A9</f>
        <v/>
      </c>
      <c r="B57" s="112">
        <f>Hazard_Bootstrap!B9</f>
        <v/>
      </c>
      <c r="C57" s="63">
        <f>Hazard_Bootstrap!C9</f>
        <v/>
      </c>
      <c r="D57" s="76">
        <f>Hazard_Bootstrap!D9</f>
        <v/>
      </c>
      <c r="E57" s="80">
        <f>Hazard_Bootstrap!E9</f>
        <v/>
      </c>
      <c r="F57" s="80">
        <f>Hazard_Bootstrap!F9</f>
        <v/>
      </c>
      <c r="G57" s="80">
        <f>Hazard_Bootstrap!G9</f>
        <v/>
      </c>
      <c r="H57" s="76">
        <f>Hazard_Bootstrap!H9</f>
        <v/>
      </c>
      <c r="I57" s="63">
        <f>Hazard_Bootstrap!I9</f>
        <v/>
      </c>
      <c r="J57" s="72">
        <f>Hazard_Bootstrap!J9</f>
        <v/>
      </c>
      <c r="K57" s="76">
        <f>CDS_Quotes!G9</f>
        <v/>
      </c>
      <c r="L57" s="76">
        <f>IF(OR(NOT(ISNUMBER(D57)),NOT(ISNUMBER(K57))),"",D57-K57)</f>
        <v/>
      </c>
    </row>
    <row r="58">
      <c r="A58" s="93">
        <f>Hazard_Bootstrap!A10</f>
        <v/>
      </c>
      <c r="B58" s="112">
        <f>Hazard_Bootstrap!B10</f>
        <v/>
      </c>
      <c r="C58" s="63">
        <f>Hazard_Bootstrap!C10</f>
        <v/>
      </c>
      <c r="D58" s="76">
        <f>Hazard_Bootstrap!D10</f>
        <v/>
      </c>
      <c r="E58" s="80">
        <f>Hazard_Bootstrap!E10</f>
        <v/>
      </c>
      <c r="F58" s="80">
        <f>Hazard_Bootstrap!F10</f>
        <v/>
      </c>
      <c r="G58" s="80">
        <f>Hazard_Bootstrap!G10</f>
        <v/>
      </c>
      <c r="H58" s="76">
        <f>Hazard_Bootstrap!H10</f>
        <v/>
      </c>
      <c r="I58" s="63">
        <f>Hazard_Bootstrap!I10</f>
        <v/>
      </c>
      <c r="J58" s="72">
        <f>Hazard_Bootstrap!J10</f>
        <v/>
      </c>
      <c r="K58" s="76">
        <f>CDS_Quotes!G10</f>
        <v/>
      </c>
      <c r="L58" s="76">
        <f>IF(OR(NOT(ISNUMBER(D58)),NOT(ISNUMBER(K58))),"",D58-K58)</f>
        <v/>
      </c>
    </row>
    <row r="59">
      <c r="A59" s="93">
        <f>Hazard_Bootstrap!A11</f>
        <v/>
      </c>
      <c r="B59" s="112">
        <f>Hazard_Bootstrap!B11</f>
        <v/>
      </c>
      <c r="C59" s="63">
        <f>Hazard_Bootstrap!C11</f>
        <v/>
      </c>
      <c r="D59" s="76">
        <f>Hazard_Bootstrap!D11</f>
        <v/>
      </c>
      <c r="E59" s="80">
        <f>Hazard_Bootstrap!E11</f>
        <v/>
      </c>
      <c r="F59" s="80">
        <f>Hazard_Bootstrap!F11</f>
        <v/>
      </c>
      <c r="G59" s="80">
        <f>Hazard_Bootstrap!G11</f>
        <v/>
      </c>
      <c r="H59" s="76">
        <f>Hazard_Bootstrap!H11</f>
        <v/>
      </c>
      <c r="I59" s="63">
        <f>Hazard_Bootstrap!I11</f>
        <v/>
      </c>
      <c r="J59" s="72">
        <f>Hazard_Bootstrap!J11</f>
        <v/>
      </c>
      <c r="K59" s="76">
        <f>CDS_Quotes!G11</f>
        <v/>
      </c>
      <c r="L59" s="76">
        <f>IF(OR(NOT(ISNUMBER(D59)),NOT(ISNUMBER(K59))),"",D59-K59)</f>
        <v/>
      </c>
    </row>
    <row r="60">
      <c r="A60" s="93">
        <f>Hazard_Bootstrap!A12</f>
        <v/>
      </c>
      <c r="B60" s="112">
        <f>Hazard_Bootstrap!B12</f>
        <v/>
      </c>
      <c r="C60" s="63">
        <f>Hazard_Bootstrap!C12</f>
        <v/>
      </c>
      <c r="D60" s="76">
        <f>Hazard_Bootstrap!D12</f>
        <v/>
      </c>
      <c r="E60" s="80">
        <f>Hazard_Bootstrap!E12</f>
        <v/>
      </c>
      <c r="F60" s="80">
        <f>Hazard_Bootstrap!F12</f>
        <v/>
      </c>
      <c r="G60" s="80">
        <f>Hazard_Bootstrap!G12</f>
        <v/>
      </c>
      <c r="H60" s="76">
        <f>Hazard_Bootstrap!H12</f>
        <v/>
      </c>
      <c r="I60" s="63">
        <f>Hazard_Bootstrap!I12</f>
        <v/>
      </c>
      <c r="J60" s="72">
        <f>Hazard_Bootstrap!J12</f>
        <v/>
      </c>
      <c r="K60" s="76">
        <f>CDS_Quotes!G12</f>
        <v/>
      </c>
      <c r="L60" s="76">
        <f>IF(OR(NOT(ISNUMBER(D60)),NOT(ISNUMBER(K60))),"",D60-K60)</f>
        <v/>
      </c>
    </row>
    <row r="62">
      <c r="A62" s="65" t="inlineStr">
        <is>
          <t>K/L compare the strip against the credit triangle s/(1-R). They are not meant to agree: lambda is the FORWARD hazard over each segment, s/(1-R) the flat-equivalent to that tenor. The gap widens with curve slope.</t>
        </is>
      </c>
    </row>
    <row r="64">
      <c r="A64" s="65" t="inlineStr">
        <is>
          <t>Full bisection for every tenor is on Hazard_Solver (hidden): 30 halvings of [0,3] per segment, with the carried-forward legs at the top of each block. That sheet is the complete working.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2026-07-22T08:01:07Z</dcterms:modified>
</cp:coreProperties>
</file>