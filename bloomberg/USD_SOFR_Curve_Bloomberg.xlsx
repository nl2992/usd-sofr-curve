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Solver" sheetId="7" state="hidden" r:id="rId7"/>
    <sheet xmlns:r="http://schemas.openxmlformats.org/officeDocument/2006/relationships" name="Fwd_Interp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Hazard_Solver" sheetId="16" state="hidden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</t>
        </is>
      </c>
      <c r="K4" s="62" t="inlineStr">
        <is>
          <t>Source</t>
        </is>
      </c>
      <c r="L4" s="62" t="inlineStr"/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85" t="n">
        <v>3.6395</v>
      </c>
      <c r="K5" s="100" t="inlineStr">
        <is>
          <t>S490 07/21/26</t>
        </is>
      </c>
      <c r="L5" s="94" t="inlineStr"/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85" t="n">
        <v>3.67225</v>
      </c>
      <c r="K6" s="100" t="inlineStr">
        <is>
          <t>S490 07/21/26</t>
        </is>
      </c>
      <c r="L6" s="94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85" t="n">
        <v>3.67967</v>
      </c>
      <c r="K7" s="100" t="inlineStr">
        <is>
          <t>S490 07/21/26</t>
        </is>
      </c>
      <c r="L7" s="94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85" t="n">
        <v>3.6885</v>
      </c>
      <c r="K8" s="100" t="inlineStr">
        <is>
          <t>S490 07/21/26</t>
        </is>
      </c>
      <c r="L8" s="94" t="inlineStr"/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85" t="n">
        <v>3.71345</v>
      </c>
      <c r="K9" s="100" t="inlineStr">
        <is>
          <t>S490 07/21/26</t>
        </is>
      </c>
      <c r="L9" s="94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85" t="n">
        <v>3.76634</v>
      </c>
      <c r="K10" s="100" t="inlineStr">
        <is>
          <t>S490 07/21/26</t>
        </is>
      </c>
      <c r="L10" s="94" t="inlineStr"/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85" t="n">
        <v>3.81204</v>
      </c>
      <c r="K11" s="100" t="inlineStr">
        <is>
          <t>S490 07/21/26</t>
        </is>
      </c>
      <c r="L11" s="94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85" t="n">
        <v>3.8536</v>
      </c>
      <c r="K12" s="100" t="inlineStr">
        <is>
          <t>S490 07/21/26</t>
        </is>
      </c>
      <c r="L12" s="94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85" t="n">
        <v>3.8993</v>
      </c>
      <c r="K13" s="100" t="inlineStr">
        <is>
          <t>S490 07/21/26</t>
        </is>
      </c>
      <c r="L13" s="94" t="inlineStr"/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85" t="n">
        <v>3.9329</v>
      </c>
      <c r="K14" s="100" t="inlineStr">
        <is>
          <t>S490 07/21/26</t>
        </is>
      </c>
      <c r="L14" s="94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85" t="n">
        <v>3.96135</v>
      </c>
      <c r="K15" s="100" t="inlineStr">
        <is>
          <t>S490 07/21/26</t>
        </is>
      </c>
      <c r="L15" s="94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85" t="n">
        <v>3.99225</v>
      </c>
      <c r="K16" s="100" t="inlineStr">
        <is>
          <t>S490 07/21/26</t>
        </is>
      </c>
      <c r="L16" s="94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85" t="n">
        <v>4.0196</v>
      </c>
      <c r="K17" s="100" t="inlineStr">
        <is>
          <t>S490 07/21/26</t>
        </is>
      </c>
      <c r="L17" s="94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85" t="n">
        <v>4.04375</v>
      </c>
      <c r="K18" s="100" t="inlineStr">
        <is>
          <t>S490 07/21/26</t>
        </is>
      </c>
      <c r="L18" s="94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85" t="n">
        <v>4.06475</v>
      </c>
      <c r="K19" s="100" t="inlineStr">
        <is>
          <t>S490 07/21/26</t>
        </is>
      </c>
      <c r="L19" s="94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85" t="n">
        <v>4.08619</v>
      </c>
      <c r="K20" s="100" t="inlineStr">
        <is>
          <t>S490 07/21/26</t>
        </is>
      </c>
      <c r="L20" s="94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85" t="n">
        <v>4.0953</v>
      </c>
      <c r="K21" s="100" t="inlineStr">
        <is>
          <t>S490 07/21/26</t>
        </is>
      </c>
      <c r="L21" s="94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85" t="n">
        <v>4.0795</v>
      </c>
      <c r="K22" s="100" t="inlineStr">
        <is>
          <t>S490 07/21/26</t>
        </is>
      </c>
      <c r="L22" s="94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85" t="n">
        <v>4.07218</v>
      </c>
      <c r="K23" s="100" t="inlineStr">
        <is>
          <t>S490 07/21/26</t>
        </is>
      </c>
      <c r="L23" s="94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85" t="n">
        <v>4.079</v>
      </c>
      <c r="K24" s="100" t="inlineStr">
        <is>
          <t>S490 07/21/26</t>
        </is>
      </c>
      <c r="L24" s="94" t="inlineStr"/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85" t="n">
        <v>4.09731</v>
      </c>
      <c r="K25" s="100" t="inlineStr">
        <is>
          <t>S490 07/21/26</t>
        </is>
      </c>
      <c r="L25" s="94" t="inlineStr"/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85" t="n">
        <v>4.121</v>
      </c>
      <c r="K26" s="100" t="inlineStr">
        <is>
          <t>S490 07/21/26</t>
        </is>
      </c>
      <c r="L26" s="94" t="inlineStr"/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85" t="n">
        <v>4.14781</v>
      </c>
      <c r="K27" s="100" t="inlineStr">
        <is>
          <t>S490 07/21/26</t>
        </is>
      </c>
      <c r="L27" s="94" t="inlineStr"/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85" t="n">
        <v>4.17719</v>
      </c>
      <c r="K28" s="100" t="inlineStr">
        <is>
          <t>S490 07/21/26</t>
        </is>
      </c>
      <c r="L28" s="94" t="inlineStr"/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85" t="n">
        <v>4.2085</v>
      </c>
      <c r="K29" s="100" t="inlineStr">
        <is>
          <t>S490 07/21/26</t>
        </is>
      </c>
      <c r="L29" s="94" t="inlineStr"/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85" t="n">
        <v>4.27258</v>
      </c>
      <c r="K30" s="100" t="inlineStr">
        <is>
          <t>S490 07/21/26</t>
        </is>
      </c>
      <c r="L30" s="94" t="inlineStr"/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85" t="n">
        <v>4.35709</v>
      </c>
      <c r="K31" s="100" t="inlineStr">
        <is>
          <t>S490 07/21/26</t>
        </is>
      </c>
      <c r="L31" s="94" t="inlineStr"/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85" t="n">
        <v>4.42825</v>
      </c>
      <c r="K32" s="100" t="inlineStr">
        <is>
          <t>S490 07/21/26</t>
        </is>
      </c>
      <c r="L32" s="94" t="inlineStr"/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85" t="n">
        <v>4.4242</v>
      </c>
      <c r="K33" s="100" t="inlineStr">
        <is>
          <t>S490 07/21/26</t>
        </is>
      </c>
      <c r="L33" s="94" t="inlineStr"/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85" t="n">
        <v>4.3847</v>
      </c>
      <c r="K34" s="100" t="inlineStr">
        <is>
          <t>S490 07/21/26</t>
        </is>
      </c>
      <c r="L34" s="94" t="inlineStr"/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85" t="n">
        <v>4.2655</v>
      </c>
      <c r="K35" s="100" t="inlineStr">
        <is>
          <t>S490 07/21/26</t>
        </is>
      </c>
      <c r="L35" s="94" t="inlineStr"/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85" t="n">
        <v>4.1329</v>
      </c>
      <c r="K36" s="100" t="inlineStr">
        <is>
          <t>S490 07/21/26</t>
        </is>
      </c>
      <c r="L36" s="94" t="inlineStr"/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7" t="inlineStr">
        <is>
          <t>S490 snapshot 07/21/26 (hard-coded target)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inlineStr">
        <is>
          <t>Date</t>
        </is>
      </c>
      <c r="AB7" s="62" t="inlineStr">
        <is>
          <t>Market rate</t>
        </is>
      </c>
      <c r="AC7" s="62" t="inlineStr">
        <is>
          <t>Zero (screen)</t>
        </is>
      </c>
      <c r="AD7" s="62" t="inlineStr">
        <is>
          <t>DF (screen)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IFERROR(INDEX($AC$8:$AC$39,MATCH(B8,$AA$8:$AA$39,0)),"")</f>
        <v/>
      </c>
      <c r="U8" s="80">
        <f>IFERROR(INDEX($AD$8:$AD$39,MATCH(B8,$AA$8:$AA$39,0)),"")</f>
        <v/>
      </c>
      <c r="V8" s="89">
        <f>IF(T8="","",(J8-T8)*100)</f>
        <v/>
      </c>
      <c r="W8" s="72">
        <f>IF(U8="","",H8-U8)</f>
        <v/>
      </c>
      <c r="AA8" s="88" t="n">
        <v>46233</v>
      </c>
      <c r="AB8" s="85" t="n">
        <v>3.6395</v>
      </c>
      <c r="AC8" s="85" t="n">
        <v>3.68874</v>
      </c>
      <c r="AD8" s="69" t="n">
        <v>0.999091</v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IFERROR(INDEX($AC$8:$AC$39,MATCH(B9,$AA$8:$AA$39,0)),"")</f>
        <v/>
      </c>
      <c r="U9" s="80">
        <f>IFERROR(INDEX($AD$8:$AD$39,MATCH(B9,$AA$8:$AA$39,0)),"")</f>
        <v/>
      </c>
      <c r="V9" s="89">
        <f>IF(T9="","",(J9-T9)*100)</f>
        <v/>
      </c>
      <c r="W9" s="72">
        <f>IF(U9="","",H9-U9)</f>
        <v/>
      </c>
      <c r="AA9" s="88" t="n">
        <v>46240</v>
      </c>
      <c r="AB9" s="85" t="n">
        <v>3.67225</v>
      </c>
      <c r="AC9" s="85" t="n">
        <v>3.71661</v>
      </c>
      <c r="AD9" s="69" t="n">
        <v>0.998372</v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IFERROR(INDEX($AC$8:$AC$39,MATCH(B10,$AA$8:$AA$39,0)),"")</f>
        <v/>
      </c>
      <c r="U10" s="80">
        <f>IFERROR(INDEX($AD$8:$AD$39,MATCH(B10,$AA$8:$AA$39,0)),"")</f>
        <v/>
      </c>
      <c r="V10" s="89">
        <f>IF(T10="","",(J10-T10)*100)</f>
        <v/>
      </c>
      <c r="W10" s="72">
        <f>IF(U10="","",H10-U10)</f>
        <v/>
      </c>
      <c r="AA10" s="88" t="n">
        <v>46247</v>
      </c>
      <c r="AB10" s="85" t="n">
        <v>3.67967</v>
      </c>
      <c r="AC10" s="85" t="n">
        <v>3.72347</v>
      </c>
      <c r="AD10" s="69" t="n">
        <v>0.997656</v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IFERROR(INDEX($AC$8:$AC$39,MATCH(B11,$AA$8:$AA$39,0)),"")</f>
        <v/>
      </c>
      <c r="U11" s="80">
        <f>IFERROR(INDEX($AD$8:$AD$39,MATCH(B11,$AA$8:$AA$39,0)),"")</f>
        <v/>
      </c>
      <c r="V11" s="89">
        <f>IF(T11="","",(J11-T11)*100)</f>
        <v/>
      </c>
      <c r="W11" s="72">
        <f>IF(U11="","",H11-U11)</f>
        <v/>
      </c>
      <c r="AA11" s="88" t="n">
        <v>46258</v>
      </c>
      <c r="AB11" s="85" t="n">
        <v>3.6885</v>
      </c>
      <c r="AC11" s="85" t="n">
        <v>3.73097</v>
      </c>
      <c r="AD11" s="69" t="n">
        <v>0.9965309999999999</v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IFERROR(INDEX($AC$8:$AC$39,MATCH(B12,$AA$8:$AA$39,0)),"")</f>
        <v/>
      </c>
      <c r="U12" s="80">
        <f>IFERROR(INDEX($AD$8:$AD$39,MATCH(B12,$AA$8:$AA$39,0)),"")</f>
        <v/>
      </c>
      <c r="V12" s="89">
        <f>IF(T12="","",(J12-T12)*100)</f>
        <v/>
      </c>
      <c r="W12" s="72">
        <f>IF(U12="","",H12-U12)</f>
        <v/>
      </c>
      <c r="AA12" s="88" t="n">
        <v>46288</v>
      </c>
      <c r="AB12" s="85" t="n">
        <v>3.71345</v>
      </c>
      <c r="AC12" s="85" t="n">
        <v>3.75103</v>
      </c>
      <c r="AD12" s="69" t="n">
        <v>0.993444</v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IFERROR(INDEX($AC$8:$AC$39,MATCH(B13,$AA$8:$AA$39,0)),"")</f>
        <v/>
      </c>
      <c r="U13" s="80">
        <f>IFERROR(INDEX($AD$8:$AD$39,MATCH(B13,$AA$8:$AA$39,0)),"")</f>
        <v/>
      </c>
      <c r="V13" s="89">
        <f>IF(T13="","",(J13-T13)*100)</f>
        <v/>
      </c>
      <c r="W13" s="72">
        <f>IF(U13="","",H13-U13)</f>
        <v/>
      </c>
      <c r="AA13" s="88" t="n">
        <v>46318</v>
      </c>
      <c r="AB13" s="85" t="n">
        <v>3.76634</v>
      </c>
      <c r="AC13" s="85" t="n">
        <v>3.79801</v>
      </c>
      <c r="AD13" s="69" t="n">
        <v>0.990267</v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IFERROR(INDEX($AC$8:$AC$39,MATCH(B14,$AA$8:$AA$39,0)),"")</f>
        <v/>
      </c>
      <c r="U14" s="80">
        <f>IFERROR(INDEX($AD$8:$AD$39,MATCH(B14,$AA$8:$AA$39,0)),"")</f>
        <v/>
      </c>
      <c r="V14" s="89">
        <f>IF(T14="","",(J14-T14)*100)</f>
        <v/>
      </c>
      <c r="W14" s="72">
        <f>IF(U14="","",H14-U14)</f>
        <v/>
      </c>
      <c r="AA14" s="88" t="n">
        <v>46349</v>
      </c>
      <c r="AB14" s="85" t="n">
        <v>3.81204</v>
      </c>
      <c r="AC14" s="85" t="n">
        <v>3.83761</v>
      </c>
      <c r="AD14" s="69" t="n">
        <v>0.986943</v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IFERROR(INDEX($AC$8:$AC$39,MATCH(B15,$AA$8:$AA$39,0)),"")</f>
        <v/>
      </c>
      <c r="U15" s="80">
        <f>IFERROR(INDEX($AD$8:$AD$39,MATCH(B15,$AA$8:$AA$39,0)),"")</f>
        <v/>
      </c>
      <c r="V15" s="89">
        <f>IF(T15="","",(J15-T15)*100)</f>
        <v/>
      </c>
      <c r="W15" s="72">
        <f>IF(U15="","",H15-U15)</f>
        <v/>
      </c>
      <c r="AA15" s="88" t="n">
        <v>46379</v>
      </c>
      <c r="AB15" s="85" t="n">
        <v>3.8536</v>
      </c>
      <c r="AC15" s="85" t="n">
        <v>3.87306</v>
      </c>
      <c r="AD15" s="69" t="n">
        <v>0.983687</v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IFERROR(INDEX($AC$8:$AC$39,MATCH(B16,$AA$8:$AA$39,0)),"")</f>
        <v/>
      </c>
      <c r="U16" s="80">
        <f>IFERROR(INDEX($AD$8:$AD$39,MATCH(B16,$AA$8:$AA$39,0)),"")</f>
        <v/>
      </c>
      <c r="V16" s="89">
        <f>IF(T16="","",(J16-T16)*100)</f>
        <v/>
      </c>
      <c r="W16" s="72">
        <f>IF(U16="","",H16-U16)</f>
        <v/>
      </c>
      <c r="AA16" s="88" t="n">
        <v>46412</v>
      </c>
      <c r="AB16" s="85" t="n">
        <v>3.8993</v>
      </c>
      <c r="AC16" s="85" t="n">
        <v>3.91176</v>
      </c>
      <c r="AD16" s="69" t="n">
        <v>0.980053</v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IFERROR(INDEX($AC$8:$AC$39,MATCH(B17,$AA$8:$AA$39,0)),"")</f>
        <v/>
      </c>
      <c r="U17" s="80">
        <f>IFERROR(INDEX($AD$8:$AD$39,MATCH(B17,$AA$8:$AA$39,0)),"")</f>
        <v/>
      </c>
      <c r="V17" s="89">
        <f>IF(T17="","",(J17-T17)*100)</f>
        <v/>
      </c>
      <c r="W17" s="72">
        <f>IF(U17="","",H17-U17)</f>
        <v/>
      </c>
      <c r="AA17" s="88" t="n">
        <v>46441</v>
      </c>
      <c r="AB17" s="85" t="n">
        <v>3.9329</v>
      </c>
      <c r="AC17" s="85" t="n">
        <v>3.93909</v>
      </c>
      <c r="AD17" s="69" t="n">
        <v>0.976853</v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IFERROR(INDEX($AC$8:$AC$39,MATCH(B18,$AA$8:$AA$39,0)),"")</f>
        <v/>
      </c>
      <c r="U18" s="80">
        <f>IFERROR(INDEX($AD$8:$AD$39,MATCH(B18,$AA$8:$AA$39,0)),"")</f>
        <v/>
      </c>
      <c r="V18" s="89">
        <f>IF(T18="","",(J18-T18)*100)</f>
        <v/>
      </c>
      <c r="W18" s="72">
        <f>IF(U18="","",H18-U18)</f>
        <v/>
      </c>
      <c r="AA18" s="88" t="n">
        <v>46469</v>
      </c>
      <c r="AB18" s="85" t="n">
        <v>3.96135</v>
      </c>
      <c r="AC18" s="85" t="n">
        <v>3.96137</v>
      </c>
      <c r="AD18" s="69" t="n">
        <v>0.97376</v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IFERROR(INDEX($AC$8:$AC$39,MATCH(B19,$AA$8:$AA$39,0)),"")</f>
        <v/>
      </c>
      <c r="U19" s="80">
        <f>IFERROR(INDEX($AD$8:$AD$39,MATCH(B19,$AA$8:$AA$39,0)),"")</f>
        <v/>
      </c>
      <c r="V19" s="89">
        <f>IF(T19="","",(J19-T19)*100)</f>
        <v/>
      </c>
      <c r="W19" s="72">
        <f>IF(U19="","",H19-U19)</f>
        <v/>
      </c>
      <c r="AA19" s="88" t="n">
        <v>46500</v>
      </c>
      <c r="AB19" s="85" t="n">
        <v>3.99225</v>
      </c>
      <c r="AC19" s="85" t="n">
        <v>3.98526</v>
      </c>
      <c r="AD19" s="69" t="n">
        <v>0.970314</v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IFERROR(INDEX($AC$8:$AC$39,MATCH(B20,$AA$8:$AA$39,0)),"")</f>
        <v/>
      </c>
      <c r="U20" s="80">
        <f>IFERROR(INDEX($AD$8:$AD$39,MATCH(B20,$AA$8:$AA$39,0)),"")</f>
        <v/>
      </c>
      <c r="V20" s="89">
        <f>IF(T20="","",(J20-T20)*100)</f>
        <v/>
      </c>
      <c r="W20" s="72">
        <f>IF(U20="","",H20-U20)</f>
        <v/>
      </c>
      <c r="AA20" s="88" t="n">
        <v>46531</v>
      </c>
      <c r="AB20" s="85" t="n">
        <v>4.0196</v>
      </c>
      <c r="AC20" s="85" t="n">
        <v>4.00549</v>
      </c>
      <c r="AD20" s="69" t="n">
        <v>0.966871</v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IFERROR(INDEX($AC$8:$AC$39,MATCH(B21,$AA$8:$AA$39,0)),"")</f>
        <v/>
      </c>
      <c r="U21" s="80">
        <f>IFERROR(INDEX($AD$8:$AD$39,MATCH(B21,$AA$8:$AA$39,0)),"")</f>
        <v/>
      </c>
      <c r="V21" s="89">
        <f>IF(T21="","",(J21-T21)*100)</f>
        <v/>
      </c>
      <c r="W21" s="72">
        <f>IF(U21="","",H21-U21)</f>
        <v/>
      </c>
      <c r="AA21" s="88" t="n">
        <v>46561</v>
      </c>
      <c r="AB21" s="85" t="n">
        <v>4.04375</v>
      </c>
      <c r="AC21" s="85" t="n">
        <v>4.02266</v>
      </c>
      <c r="AD21" s="69" t="n">
        <v>0.963541</v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IFERROR(INDEX($AC$8:$AC$39,MATCH(B22,$AA$8:$AA$39,0)),"")</f>
        <v/>
      </c>
      <c r="U22" s="80">
        <f>IFERROR(INDEX($AD$8:$AD$39,MATCH(B22,$AA$8:$AA$39,0)),"")</f>
        <v/>
      </c>
      <c r="V22" s="89">
        <f>IF(T22="","",(J22-T22)*100)</f>
        <v/>
      </c>
      <c r="W22" s="72">
        <f>IF(U22="","",H22-U22)</f>
        <v/>
      </c>
      <c r="AA22" s="88" t="n">
        <v>46591</v>
      </c>
      <c r="AB22" s="85" t="n">
        <v>4.06475</v>
      </c>
      <c r="AC22" s="85" t="n">
        <v>4.03664</v>
      </c>
      <c r="AD22" s="69" t="n">
        <v>0.960225</v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IFERROR(INDEX($AC$8:$AC$39,MATCH(B23,$AA$8:$AA$39,0)),"")</f>
        <v/>
      </c>
      <c r="U23" s="80">
        <f>IFERROR(INDEX($AD$8:$AD$39,MATCH(B23,$AA$8:$AA$39,0)),"")</f>
        <v/>
      </c>
      <c r="V23" s="89">
        <f>IF(T23="","",(J23-T23)*100)</f>
        <v/>
      </c>
      <c r="W23" s="72">
        <f>IF(U23="","",H23-U23)</f>
        <v/>
      </c>
      <c r="AA23" s="88" t="n">
        <v>46776</v>
      </c>
      <c r="AB23" s="85" t="n">
        <v>4.08619</v>
      </c>
      <c r="AC23" s="85" t="n">
        <v>4.07316</v>
      </c>
      <c r="AD23" s="69" t="n">
        <v>0.940259</v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IFERROR(INDEX($AC$8:$AC$39,MATCH(B24,$AA$8:$AA$39,0)),"")</f>
        <v/>
      </c>
      <c r="U24" s="80">
        <f>IFERROR(INDEX($AD$8:$AD$39,MATCH(B24,$AA$8:$AA$39,0)),"")</f>
        <v/>
      </c>
      <c r="V24" s="89">
        <f>IF(T24="","",(J24-T24)*100)</f>
        <v/>
      </c>
      <c r="W24" s="72">
        <f>IF(U24="","",H24-U24)</f>
        <v/>
      </c>
      <c r="AA24" s="88" t="n">
        <v>46958</v>
      </c>
      <c r="AB24" s="85" t="n">
        <v>4.0953</v>
      </c>
      <c r="AC24" s="85" t="n">
        <v>4.06764</v>
      </c>
      <c r="AD24" s="69" t="n">
        <v>0.921457</v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IFERROR(INDEX($AC$8:$AC$39,MATCH(B25,$AA$8:$AA$39,0)),"")</f>
        <v/>
      </c>
      <c r="U25" s="80">
        <f>IFERROR(INDEX($AD$8:$AD$39,MATCH(B25,$AA$8:$AA$39,0)),"")</f>
        <v/>
      </c>
      <c r="V25" s="89">
        <f>IF(T25="","",(J25-T25)*100)</f>
        <v/>
      </c>
      <c r="W25" s="72">
        <f>IF(U25="","",H25-U25)</f>
        <v/>
      </c>
      <c r="AA25" s="88" t="n">
        <v>47322</v>
      </c>
      <c r="AB25" s="85" t="n">
        <v>4.0795</v>
      </c>
      <c r="AC25" s="85" t="n">
        <v>4.05193</v>
      </c>
      <c r="AD25" s="69" t="n">
        <v>0.8852449999999999</v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IFERROR(INDEX($AC$8:$AC$39,MATCH(B26,$AA$8:$AA$39,0)),"")</f>
        <v/>
      </c>
      <c r="U26" s="80">
        <f>IFERROR(INDEX($AD$8:$AD$39,MATCH(B26,$AA$8:$AA$39,0)),"")</f>
        <v/>
      </c>
      <c r="V26" s="89">
        <f>IF(T26="","",(J26-T26)*100)</f>
        <v/>
      </c>
      <c r="W26" s="72">
        <f>IF(U26="","",H26-U26)</f>
        <v/>
      </c>
      <c r="AA26" s="88" t="n">
        <v>47687</v>
      </c>
      <c r="AB26" s="85" t="n">
        <v>4.07218</v>
      </c>
      <c r="AC26" s="85" t="n">
        <v>4.0446</v>
      </c>
      <c r="AD26" s="69" t="n">
        <v>0.850342</v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IFERROR(INDEX($AC$8:$AC$39,MATCH(B27,$AA$8:$AA$39,0)),"")</f>
        <v/>
      </c>
      <c r="U27" s="80">
        <f>IFERROR(INDEX($AD$8:$AD$39,MATCH(B27,$AA$8:$AA$39,0)),"")</f>
        <v/>
      </c>
      <c r="V27" s="89">
        <f>IF(T27="","",(J27-T27)*100)</f>
        <v/>
      </c>
      <c r="W27" s="72">
        <f>IF(U27="","",H27-U27)</f>
        <v/>
      </c>
      <c r="AA27" s="88" t="n">
        <v>48052</v>
      </c>
      <c r="AB27" s="85" t="n">
        <v>4.079</v>
      </c>
      <c r="AC27" s="85" t="n">
        <v>4.05204</v>
      </c>
      <c r="AD27" s="69" t="n">
        <v>0.816331</v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IFERROR(INDEX($AC$8:$AC$39,MATCH(B28,$AA$8:$AA$39,0)),"")</f>
        <v/>
      </c>
      <c r="U28" s="80">
        <f>IFERROR(INDEX($AD$8:$AD$39,MATCH(B28,$AA$8:$AA$39,0)),"")</f>
        <v/>
      </c>
      <c r="V28" s="89">
        <f>IF(T28="","",(J28-T28)*100)</f>
        <v/>
      </c>
      <c r="W28" s="72">
        <f>IF(U28="","",H28-U28)</f>
        <v/>
      </c>
      <c r="AA28" s="88" t="n">
        <v>48418</v>
      </c>
      <c r="AB28" s="85" t="n">
        <v>4.09731</v>
      </c>
      <c r="AC28" s="85" t="n">
        <v>4.07184</v>
      </c>
      <c r="AD28" s="69" t="n">
        <v>0.782895</v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IFERROR(INDEX($AC$8:$AC$39,MATCH(B29,$AA$8:$AA$39,0)),"")</f>
        <v/>
      </c>
      <c r="U29" s="80">
        <f>IFERROR(INDEX($AD$8:$AD$39,MATCH(B29,$AA$8:$AA$39,0)),"")</f>
        <v/>
      </c>
      <c r="V29" s="89">
        <f>IF(T29="","",(J29-T29)*100)</f>
        <v/>
      </c>
      <c r="W29" s="72">
        <f>IF(U29="","",H29-U29)</f>
        <v/>
      </c>
      <c r="AA29" s="88" t="n">
        <v>48785</v>
      </c>
      <c r="AB29" s="85" t="n">
        <v>4.121</v>
      </c>
      <c r="AC29" s="85" t="n">
        <v>4.0977</v>
      </c>
      <c r="AD29" s="69" t="n">
        <v>0.750127</v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IFERROR(INDEX($AC$8:$AC$39,MATCH(B30,$AA$8:$AA$39,0)),"")</f>
        <v/>
      </c>
      <c r="U30" s="80">
        <f>IFERROR(INDEX($AD$8:$AD$39,MATCH(B30,$AA$8:$AA$39,0)),"")</f>
        <v/>
      </c>
      <c r="V30" s="89">
        <f>IF(T30="","",(J30-T30)*100)</f>
        <v/>
      </c>
      <c r="W30" s="72">
        <f>IF(U30="","",H30-U30)</f>
        <v/>
      </c>
      <c r="AA30" s="88" t="n">
        <v>49149</v>
      </c>
      <c r="AB30" s="85" t="n">
        <v>4.14781</v>
      </c>
      <c r="AC30" s="85" t="n">
        <v>4.12747</v>
      </c>
      <c r="AD30" s="69" t="n">
        <v>0.718375</v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IFERROR(INDEX($AC$8:$AC$39,MATCH(B31,$AA$8:$AA$39,0)),"")</f>
        <v/>
      </c>
      <c r="U31" s="80">
        <f>IFERROR(INDEX($AD$8:$AD$39,MATCH(B31,$AA$8:$AA$39,0)),"")</f>
        <v/>
      </c>
      <c r="V31" s="89">
        <f>IF(T31="","",(J31-T31)*100)</f>
        <v/>
      </c>
      <c r="W31" s="72">
        <f>IF(U31="","",H31-U31)</f>
        <v/>
      </c>
      <c r="AA31" s="88" t="n">
        <v>49513</v>
      </c>
      <c r="AB31" s="85" t="n">
        <v>4.17719</v>
      </c>
      <c r="AC31" s="85" t="n">
        <v>4.16061</v>
      </c>
      <c r="AD31" s="69" t="n">
        <v>0.687351</v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IFERROR(INDEX($AC$8:$AC$39,MATCH(B32,$AA$8:$AA$39,0)),"")</f>
        <v/>
      </c>
      <c r="U32" s="80">
        <f>IFERROR(INDEX($AD$8:$AD$39,MATCH(B32,$AA$8:$AA$39,0)),"")</f>
        <v/>
      </c>
      <c r="V32" s="89">
        <f>IF(T32="","",(J32-T32)*100)</f>
        <v/>
      </c>
      <c r="W32" s="72">
        <f>IF(U32="","",H32-U32)</f>
        <v/>
      </c>
      <c r="AA32" s="88" t="n">
        <v>49879</v>
      </c>
      <c r="AB32" s="85" t="n">
        <v>4.2085</v>
      </c>
      <c r="AC32" s="85" t="n">
        <v>4.19645</v>
      </c>
      <c r="AD32" s="69" t="n">
        <v>0.656903</v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IFERROR(INDEX($AC$8:$AC$39,MATCH(B33,$AA$8:$AA$39,0)),"")</f>
        <v/>
      </c>
      <c r="U33" s="80">
        <f>IFERROR(INDEX($AD$8:$AD$39,MATCH(B33,$AA$8:$AA$39,0)),"")</f>
        <v/>
      </c>
      <c r="V33" s="89">
        <f>IF(T33="","",(J33-T33)*100)</f>
        <v/>
      </c>
      <c r="W33" s="72">
        <f>IF(U33="","",H33-U33)</f>
        <v/>
      </c>
      <c r="AA33" s="88" t="n">
        <v>50609</v>
      </c>
      <c r="AB33" s="85" t="n">
        <v>4.27258</v>
      </c>
      <c r="AC33" s="85" t="n">
        <v>4.27167</v>
      </c>
      <c r="AD33" s="69" t="n">
        <v>0.598586</v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IFERROR(INDEX($AC$8:$AC$39,MATCH(B34,$AA$8:$AA$39,0)),"")</f>
        <v/>
      </c>
      <c r="U34" s="80">
        <f>IFERROR(INDEX($AD$8:$AD$39,MATCH(B34,$AA$8:$AA$39,0)),"")</f>
        <v/>
      </c>
      <c r="V34" s="89">
        <f>IF(T34="","",(J34-T34)*100)</f>
        <v/>
      </c>
      <c r="W34" s="72">
        <f>IF(U34="","",H34-U34)</f>
        <v/>
      </c>
      <c r="AA34" s="88" t="n">
        <v>51705</v>
      </c>
      <c r="AB34" s="85" t="n">
        <v>4.35709</v>
      </c>
      <c r="AC34" s="85" t="n">
        <v>4.37465</v>
      </c>
      <c r="AD34" s="69" t="n">
        <v>0.518448</v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IFERROR(INDEX($AC$8:$AC$39,MATCH(B35,$AA$8:$AA$39,0)),"")</f>
        <v/>
      </c>
      <c r="U35" s="80">
        <f>IFERROR(INDEX($AD$8:$AD$39,MATCH(B35,$AA$8:$AA$39,0)),"")</f>
        <v/>
      </c>
      <c r="V35" s="89">
        <f>IF(T35="","",(J35-T35)*100)</f>
        <v/>
      </c>
      <c r="W35" s="72">
        <f>IF(U35="","",H35-U35)</f>
        <v/>
      </c>
      <c r="AA35" s="88" t="n">
        <v>53531</v>
      </c>
      <c r="AB35" s="85" t="n">
        <v>4.42825</v>
      </c>
      <c r="AC35" s="85" t="n">
        <v>4.46214</v>
      </c>
      <c r="AD35" s="69" t="n">
        <v>0.40931</v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IFERROR(INDEX($AC$8:$AC$39,MATCH(B36,$AA$8:$AA$39,0)),"")</f>
        <v/>
      </c>
      <c r="U36" s="80">
        <f>IFERROR(INDEX($AD$8:$AD$39,MATCH(B36,$AA$8:$AA$39,0)),"")</f>
        <v/>
      </c>
      <c r="V36" s="89">
        <f>IF(T36="","",(J36-T36)*100)</f>
        <v/>
      </c>
      <c r="W36" s="72">
        <f>IF(U36="","",H36-U36)</f>
        <v/>
      </c>
      <c r="AA36" s="88" t="n">
        <v>55358</v>
      </c>
      <c r="AB36" s="85" t="n">
        <v>4.4242</v>
      </c>
      <c r="AC36" s="85" t="n">
        <v>4.44153</v>
      </c>
      <c r="AD36" s="69" t="n">
        <v>0.329072</v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IFERROR(INDEX($AC$8:$AC$39,MATCH(B37,$AA$8:$AA$39,0)),"")</f>
        <v/>
      </c>
      <c r="U37" s="80">
        <f>IFERROR(INDEX($AD$8:$AD$39,MATCH(B37,$AA$8:$AA$39,0)),"")</f>
        <v/>
      </c>
      <c r="V37" s="89">
        <f>IF(T37="","",(J37-T37)*100)</f>
        <v/>
      </c>
      <c r="W37" s="72">
        <f>IF(U37="","",H37-U37)</f>
        <v/>
      </c>
      <c r="AA37" s="88" t="n">
        <v>57185</v>
      </c>
      <c r="AB37" s="85" t="n">
        <v>4.3847</v>
      </c>
      <c r="AC37" s="85" t="n">
        <v>4.36083</v>
      </c>
      <c r="AD37" s="69" t="n">
        <v>0.269938</v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IFERROR(INDEX($AC$8:$AC$39,MATCH(B38,$AA$8:$AA$39,0)),"")</f>
        <v/>
      </c>
      <c r="U38" s="80">
        <f>IFERROR(INDEX($AD$8:$AD$39,MATCH(B38,$AA$8:$AA$39,0)),"")</f>
        <v/>
      </c>
      <c r="V38" s="89">
        <f>IF(T38="","",(J38-T38)*100)</f>
        <v/>
      </c>
      <c r="W38" s="72">
        <f>IF(U38="","",H38-U38)</f>
        <v/>
      </c>
      <c r="AA38" s="88" t="n">
        <v>60836</v>
      </c>
      <c r="AB38" s="85" t="n">
        <v>4.2655</v>
      </c>
      <c r="AC38" s="85" t="n">
        <v>4.11716</v>
      </c>
      <c r="AD38" s="69" t="n">
        <v>0.192392</v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IFERROR(INDEX($AC$8:$AC$39,MATCH(B39,$AA$8:$AA$39,0)),"")</f>
        <v/>
      </c>
      <c r="U39" s="80">
        <f>IFERROR(INDEX($AD$8:$AD$39,MATCH(B39,$AA$8:$AA$39,0)),"")</f>
        <v/>
      </c>
      <c r="V39" s="89">
        <f>IF(T39="","",(J39-T39)*100)</f>
        <v/>
      </c>
      <c r="W39" s="72">
        <f>IF(U39="","",H39-U39)</f>
        <v/>
      </c>
      <c r="AA39" s="88" t="n">
        <v>64489</v>
      </c>
      <c r="AB39" s="85" t="n">
        <v>4.1329</v>
      </c>
      <c r="AC39" s="85" t="n">
        <v>3.82391</v>
      </c>
      <c r="AD39" s="69" t="n">
        <v>0.147559</v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IFERROR(INDEX($AC$8:$AC$39,MATCH(B40,$AA$8:$AA$39,0)),"")</f>
        <v/>
      </c>
      <c r="U40" s="80">
        <f>IFERROR(INDEX($AD$8:$AD$39,MATCH(B40,$AA$8:$AA$39,0)),"")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IFERROR(INDEX($AC$8:$AC$39,MATCH(B41,$AA$8:$AA$39,0)),"")</f>
        <v/>
      </c>
      <c r="U41" s="80">
        <f>IFERROR(INDEX($AD$8:$AD$39,MATCH(B41,$AA$8:$AA$39,0)),"")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IFERROR(INDEX($AC$8:$AC$39,MATCH(B42,$AA$8:$AA$39,0)),"")</f>
        <v/>
      </c>
      <c r="U42" s="80">
        <f>IFERROR(INDEX($AD$8:$AD$39,MATCH(B42,$AA$8:$AA$39,0)),"")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IFERROR(INDEX($AC$8:$AC$39,MATCH(B43,$AA$8:$AA$39,0)),"")</f>
        <v/>
      </c>
      <c r="U43" s="80">
        <f>IFERROR(INDEX($AD$8:$AD$39,MATCH(B43,$AA$8:$AA$39,0)),"")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IFERROR(INDEX($AC$8:$AC$39,MATCH(B44,$AA$8:$AA$39,0)),"")</f>
        <v/>
      </c>
      <c r="U44" s="80">
        <f>IFERROR(INDEX($AD$8:$AD$39,MATCH(B44,$AA$8:$AA$39,0)),"")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IFERROR(INDEX($AC$8:$AC$39,MATCH(B45,$AA$8:$AA$39,0)),"")</f>
        <v/>
      </c>
      <c r="U45" s="80">
        <f>IFERROR(INDEX($AD$8:$AD$39,MATCH(B45,$AA$8:$AA$39,0)),"")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IFERROR(INDEX($AC$8:$AC$39,MATCH(B46,$AA$8:$AA$39,0)),"")</f>
        <v/>
      </c>
      <c r="U46" s="80">
        <f>IFERROR(INDEX($AD$8:$AD$39,MATCH(B46,$AA$8:$AA$39,0)),"")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IFERROR(INDEX($AC$8:$AC$39,MATCH(B47,$AA$8:$AA$39,0)),"")</f>
        <v/>
      </c>
      <c r="U47" s="80">
        <f>IFERROR(INDEX($AD$8:$AD$39,MATCH(B47,$AA$8:$AA$39,0)),"")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IFERROR(INDEX($AC$8:$AC$39,MATCH(B48,$AA$8:$AA$39,0)),"")</f>
        <v/>
      </c>
      <c r="U48" s="80">
        <f>IFERROR(INDEX($AD$8:$AD$39,MATCH(B48,$AA$8:$AA$39,0)),"")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IFERROR(INDEX($AC$8:$AC$39,MATCH(B49,$AA$8:$AA$39,0)),"")</f>
        <v/>
      </c>
      <c r="U49" s="80">
        <f>IFERROR(INDEX($AD$8:$AD$39,MATCH(B49,$AA$8:$AA$39,0)),"")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IFERROR(INDEX($AC$8:$AC$39,MATCH(B50,$AA$8:$AA$39,0)),"")</f>
        <v/>
      </c>
      <c r="U50" s="80">
        <f>IFERROR(INDEX($AD$8:$AD$39,MATCH(B50,$AA$8:$AA$39,0)),"")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IFERROR(INDEX($AC$8:$AC$39,MATCH(B51,$AA$8:$AA$39,0)),"")</f>
        <v/>
      </c>
      <c r="U51" s="80">
        <f>IFERROR(INDEX($AD$8:$AD$39,MATCH(B51,$AA$8:$AA$39,0)),"")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IFERROR(INDEX($AC$8:$AC$39,MATCH(B52,$AA$8:$AA$39,0)),"")</f>
        <v/>
      </c>
      <c r="U52" s="80">
        <f>IFERROR(INDEX($AD$8:$AD$39,MATCH(B52,$AA$8:$AA$39,0)),"")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IFERROR(INDEX($AC$8:$AC$39,MATCH(B53,$AA$8:$AA$39,0)),"")</f>
        <v/>
      </c>
      <c r="U53" s="80">
        <f>IFERROR(INDEX($AD$8:$AD$39,MATCH(B53,$AA$8:$AA$39,0)),"")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IFERROR(INDEX($AC$8:$AC$39,MATCH(B54,$AA$8:$AA$39,0)),"")</f>
        <v/>
      </c>
      <c r="U54" s="80">
        <f>IFERROR(INDEX($AD$8:$AD$39,MATCH(B54,$AA$8:$AA$39,0)),"")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IFERROR(INDEX($AC$8:$AC$39,MATCH(B55,$AA$8:$AA$39,0)),"")</f>
        <v/>
      </c>
      <c r="U55" s="80">
        <f>IFERROR(INDEX($AD$8:$AD$39,MATCH(B55,$AA$8:$AA$39,0)),"")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IFERROR(INDEX($AC$8:$AC$39,MATCH(B56,$AA$8:$AA$39,0)),"")</f>
        <v/>
      </c>
      <c r="U56" s="80">
        <f>IFERROR(INDEX($AD$8:$AD$39,MATCH(B56,$AA$8:$AA$39,0)),"")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IFERROR(INDEX($AC$8:$AC$39,MATCH(B57,$AA$8:$AA$39,0)),"")</f>
        <v/>
      </c>
      <c r="U57" s="80">
        <f>IFERROR(INDEX($AD$8:$AD$39,MATCH(B57,$AA$8:$AA$39,0)),"")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IFERROR(INDEX($AC$8:$AC$39,MATCH(B58,$AA$8:$AA$39,0)),"")</f>
        <v/>
      </c>
      <c r="U58" s="80">
        <f>IFERROR(INDEX($AD$8:$AD$39,MATCH(B58,$AA$8:$AA$39,0)),"")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IFERROR(INDEX($AC$8:$AC$39,MATCH(B59,$AA$8:$AA$39,0)),"")</f>
        <v/>
      </c>
      <c r="U59" s="80">
        <f>IFERROR(INDEX($AD$8:$AD$39,MATCH(B59,$AA$8:$AA$39,0)),"")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IFERROR(INDEX($AC$8:$AC$39,MATCH(B60,$AA$8:$AA$39,0)),"")</f>
        <v/>
      </c>
      <c r="U60" s="80">
        <f>IFERROR(INDEX($AD$8:$AD$39,MATCH(B60,$AA$8:$AA$39,0)),"")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IFERROR(INDEX($AC$8:$AC$39,MATCH(B61,$AA$8:$AA$39,0)),"")</f>
        <v/>
      </c>
      <c r="U61" s="80">
        <f>IFERROR(INDEX($AD$8:$AD$39,MATCH(B61,$AA$8:$AA$39,0)),"")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IFERROR(INDEX($AC$8:$AC$39,MATCH(B62,$AA$8:$AA$39,0)),"")</f>
        <v/>
      </c>
      <c r="U62" s="80">
        <f>IFERROR(INDEX($AD$8:$AD$39,MATCH(B62,$AA$8:$AA$39,0)),"")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IFERROR(INDEX($AC$8:$AC$39,MATCH(B63,$AA$8:$AA$39,0)),"")</f>
        <v/>
      </c>
      <c r="U63" s="80">
        <f>IFERROR(INDEX($AD$8:$AD$39,MATCH(B63,$AA$8:$AA$39,0)),"")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IFERROR(INDEX($AC$8:$AC$39,MATCH(B64,$AA$8:$AA$39,0)),"")</f>
        <v/>
      </c>
      <c r="U64" s="80">
        <f>IFERROR(INDEX($AD$8:$AD$39,MATCH(B64,$AA$8:$AA$39,0)),"")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IFERROR(INDEX($AC$8:$AC$39,MATCH(B65,$AA$8:$AA$39,0)),"")</f>
        <v/>
      </c>
      <c r="U65" s="80">
        <f>IFERROR(INDEX($AD$8:$AD$39,MATCH(B65,$AA$8:$AA$39,0)),"")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IFERROR(INDEX($AC$8:$AC$39,MATCH(B66,$AA$8:$AA$39,0)),"")</f>
        <v/>
      </c>
      <c r="U66" s="80">
        <f>IFERROR(INDEX($AD$8:$AD$39,MATCH(B66,$AA$8:$AA$39,0)),"")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IFERROR(INDEX($AC$8:$AC$39,MATCH(B67,$AA$8:$AA$39,0)),"")</f>
        <v/>
      </c>
      <c r="U67" s="80">
        <f>IFERROR(INDEX($AD$8:$AD$39,MATCH(B67,$AA$8:$AA$39,0)),"")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IFERROR(INDEX($AC$8:$AC$39,MATCH(B68,$AA$8:$AA$39,0)),"")</f>
        <v/>
      </c>
      <c r="U68" s="80">
        <f>IFERROR(INDEX($AD$8:$AD$39,MATCH(B68,$AA$8:$AA$39,0)),"")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IFERROR(INDEX($AC$8:$AC$39,MATCH(B69,$AA$8:$AA$39,0)),"")</f>
        <v/>
      </c>
      <c r="U69" s="80">
        <f>IFERROR(INDEX($AD$8:$AD$39,MATCH(B69,$AA$8:$AA$39,0)),"")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IFERROR(INDEX($AC$8:$AC$39,MATCH(B70,$AA$8:$AA$39,0)),"")</f>
        <v/>
      </c>
      <c r="U70" s="80">
        <f>IFERROR(INDEX($AD$8:$AD$39,MATCH(B70,$AA$8:$AA$39,0)),"")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IFERROR(INDEX($AC$8:$AC$39,MATCH(B71,$AA$8:$AA$39,0)),"")</f>
        <v/>
      </c>
      <c r="U71" s="80">
        <f>IFERROR(INDEX($AD$8:$AD$39,MATCH(B71,$AA$8:$AA$39,0)),"")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IFERROR(INDEX($AC$8:$AC$39,MATCH(B72,$AA$8:$AA$39,0)),"")</f>
        <v/>
      </c>
      <c r="U72" s="80">
        <f>IFERROR(INDEX($AD$8:$AD$39,MATCH(B72,$AA$8:$AA$39,0)),"")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IF(MONTH((EDATE($B$8,12*A36)+IF(WEEKDAY(EDATE($B$8,12*A36),2)=6,2,IF(WEEKDAY(EDATE($B$8,12*A36),2)=7,1,0))))&lt;&gt;MONTH(EDATE($B$8,12*A36)),(EDATE($B$8,12*A36)-IF(WEEKDAY(EDATE($B$8,12*A36),2)=6,1,IF(WEEKDAY(EDATE($B$8,12*A36),2)=7,2,0))),(EDATE($B$8,12*A36)+IF(WEEKDAY(EDATE($B$8,12*A36),2)=6,2,IF(WEEKDAY(EDATE($B$8,12*A36),2)=7,1,0)))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IF(MONTH((EDATE($B$8,12*A37)+IF(WEEKDAY(EDATE($B$8,12*A37),2)=6,2,IF(WEEKDAY(EDATE($B$8,12*A37),2)=7,1,0))))&lt;&gt;MONTH(EDATE($B$8,12*A37)),(EDATE($B$8,12*A37)-IF(WEEKDAY(EDATE($B$8,12*A37),2)=6,1,IF(WEEKDAY(EDATE($B$8,12*A37),2)=7,2,0))),(EDATE($B$8,12*A37)+IF(WEEKDAY(EDATE($B$8,12*A37),2)=6,2,IF(WEEKDAY(EDATE($B$8,12*A37),2)=7,1,0)))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IF(MONTH((EDATE($B$8,12*A38)+IF(WEEKDAY(EDATE($B$8,12*A38),2)=6,2,IF(WEEKDAY(EDATE($B$8,12*A38),2)=7,1,0))))&lt;&gt;MONTH(EDATE($B$8,12*A38)),(EDATE($B$8,12*A38)-IF(WEEKDAY(EDATE($B$8,12*A38),2)=6,1,IF(WEEKDAY(EDATE($B$8,12*A38),2)=7,2,0))),(EDATE($B$8,12*A38)+IF(WEEKDAY(EDATE($B$8,12*A38),2)=6,2,IF(WEEKDAY(EDATE($B$8,12*A38),2)=7,1,0)))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IF(MONTH((EDATE($B$8,12*A39)+IF(WEEKDAY(EDATE($B$8,12*A39),2)=6,2,IF(WEEKDAY(EDATE($B$8,12*A39),2)=7,1,0))))&lt;&gt;MONTH(EDATE($B$8,12*A39)),(EDATE($B$8,12*A39)-IF(WEEKDAY(EDATE($B$8,12*A39),2)=6,1,IF(WEEKDAY(EDATE($B$8,12*A39),2)=7,2,0))),(EDATE($B$8,12*A39)+IF(WEEKDAY(EDATE($B$8,12*A39),2)=6,2,IF(WEEKDAY(EDATE($B$8,12*A39),2)=7,1,0)))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IF(MONTH((EDATE($B$8,12*A40)+IF(WEEKDAY(EDATE($B$8,12*A40),2)=6,2,IF(WEEKDAY(EDATE($B$8,12*A40),2)=7,1,0))))&lt;&gt;MONTH(EDATE($B$8,12*A40)),(EDATE($B$8,12*A40)-IF(WEEKDAY(EDATE($B$8,12*A40),2)=6,1,IF(WEEKDAY(EDATE($B$8,12*A40),2)=7,2,0))),(EDATE($B$8,12*A40)+IF(WEEKDAY(EDATE($B$8,12*A40),2)=6,2,IF(WEEKDAY(EDATE($B$8,12*A40),2)=7,1,0)))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IF(MONTH((EDATE($B$8,12*A41)+IF(WEEKDAY(EDATE($B$8,12*A41),2)=6,2,IF(WEEKDAY(EDATE($B$8,12*A41),2)=7,1,0))))&lt;&gt;MONTH(EDATE($B$8,12*A41)),(EDATE($B$8,12*A41)-IF(WEEKDAY(EDATE($B$8,12*A41),2)=6,1,IF(WEEKDAY(EDATE($B$8,12*A41),2)=7,2,0))),(EDATE($B$8,12*A41)+IF(WEEKDAY(EDATE($B$8,12*A41),2)=6,2,IF(WEEKDAY(EDATE($B$8,12*A41),2)=7,1,0)))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IF(MONTH((EDATE($B$8,12*A42)+IF(WEEKDAY(EDATE($B$8,12*A42),2)=6,2,IF(WEEKDAY(EDATE($B$8,12*A42),2)=7,1,0))))&lt;&gt;MONTH(EDATE($B$8,12*A42)),(EDATE($B$8,12*A42)-IF(WEEKDAY(EDATE($B$8,12*A42),2)=6,1,IF(WEEKDAY(EDATE($B$8,12*A42),2)=7,2,0))),(EDATE($B$8,12*A42)+IF(WEEKDAY(EDATE($B$8,12*A42),2)=6,2,IF(WEEKDAY(EDATE($B$8,12*A42),2)=7,1,0)))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IF(MONTH((EDATE($B$8,12*A43)+IF(WEEKDAY(EDATE($B$8,12*A43),2)=6,2,IF(WEEKDAY(EDATE($B$8,12*A43),2)=7,1,0))))&lt;&gt;MONTH(EDATE($B$8,12*A43)),(EDATE($B$8,12*A43)-IF(WEEKDAY(EDATE($B$8,12*A43),2)=6,1,IF(WEEKDAY(EDATE($B$8,12*A43),2)=7,2,0))),(EDATE($B$8,12*A43)+IF(WEEKDAY(EDATE($B$8,12*A43),2)=6,2,IF(WEEKDAY(EDATE($B$8,12*A43),2)=7,1,0)))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IF(MONTH((EDATE($B$8,12*A44)+IF(WEEKDAY(EDATE($B$8,12*A44),2)=6,2,IF(WEEKDAY(EDATE($B$8,12*A44),2)=7,1,0))))&lt;&gt;MONTH(EDATE($B$8,12*A44)),(EDATE($B$8,12*A44)-IF(WEEKDAY(EDATE($B$8,12*A44),2)=6,1,IF(WEEKDAY(EDATE($B$8,12*A44),2)=7,2,0))),(EDATE($B$8,12*A44)+IF(WEEKDAY(EDATE($B$8,12*A44),2)=6,2,IF(WEEKDAY(EDATE($B$8,12*A44),2)=7,1,0)))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IF(MONTH((EDATE($B$8,12*A45)+IF(WEEKDAY(EDATE($B$8,12*A45),2)=6,2,IF(WEEKDAY(EDATE($B$8,12*A45),2)=7,1,0))))&lt;&gt;MONTH(EDATE($B$8,12*A45)),(EDATE($B$8,12*A45)-IF(WEEKDAY(EDATE($B$8,12*A45),2)=6,1,IF(WEEKDAY(EDATE($B$8,12*A45),2)=7,2,0))),(EDATE($B$8,12*A45)+IF(WEEKDAY(EDATE($B$8,12*A45),2)=6,2,IF(WEEKDAY(EDATE($B$8,12*A45),2)=7,1,0)))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IF(MONTH((EDATE($B$8,12*A46)+IF(WEEKDAY(EDATE($B$8,12*A46),2)=6,2,IF(WEEKDAY(EDATE($B$8,12*A46),2)=7,1,0))))&lt;&gt;MONTH(EDATE($B$8,12*A46)),(EDATE($B$8,12*A46)-IF(WEEKDAY(EDATE($B$8,12*A46),2)=6,1,IF(WEEKDAY(EDATE($B$8,12*A46),2)=7,2,0))),(EDATE($B$8,12*A46)+IF(WEEKDAY(EDATE($B$8,12*A46),2)=6,2,IF(WEEKDAY(EDATE($B$8,12*A46),2)=7,1,0)))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IF(MONTH((EDATE($B$8,12*A47)+IF(WEEKDAY(EDATE($B$8,12*A47),2)=6,2,IF(WEEKDAY(EDATE($B$8,12*A47),2)=7,1,0))))&lt;&gt;MONTH(EDATE($B$8,12*A47)),(EDATE($B$8,12*A47)-IF(WEEKDAY(EDATE($B$8,12*A47),2)=6,1,IF(WEEKDAY(EDATE($B$8,12*A47),2)=7,2,0))),(EDATE($B$8,12*A47)+IF(WEEKDAY(EDATE($B$8,12*A47),2)=6,2,IF(WEEKDAY(EDATE($B$8,12*A47),2)=7,1,0)))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IF(MONTH((EDATE($B$8,12*A48)+IF(WEEKDAY(EDATE($B$8,12*A48),2)=6,2,IF(WEEKDAY(EDATE($B$8,12*A48),2)=7,1,0))))&lt;&gt;MONTH(EDATE($B$8,12*A48)),(EDATE($B$8,12*A48)-IF(WEEKDAY(EDATE($B$8,12*A48),2)=6,1,IF(WEEKDAY(EDATE($B$8,12*A48),2)=7,2,0))),(EDATE($B$8,12*A48)+IF(WEEKDAY(EDATE($B$8,12*A48),2)=6,2,IF(WEEKDAY(EDATE($B$8,12*A48),2)=7,1,0)))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IF(MONTH((EDATE($B$8,12*A49)+IF(WEEKDAY(EDATE($B$8,12*A49),2)=6,2,IF(WEEKDAY(EDATE($B$8,12*A49),2)=7,1,0))))&lt;&gt;MONTH(EDATE($B$8,12*A49)),(EDATE($B$8,12*A49)-IF(WEEKDAY(EDATE($B$8,12*A49),2)=6,1,IF(WEEKDAY(EDATE($B$8,12*A49),2)=7,2,0))),(EDATE($B$8,12*A49)+IF(WEEKDAY(EDATE($B$8,12*A49),2)=6,2,IF(WEEKDAY(EDATE($B$8,12*A49),2)=7,1,0)))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IF(MONTH((EDATE($B$8,12*A50)+IF(WEEKDAY(EDATE($B$8,12*A50),2)=6,2,IF(WEEKDAY(EDATE($B$8,12*A50),2)=7,1,0))))&lt;&gt;MONTH(EDATE($B$8,12*A50)),(EDATE($B$8,12*A50)-IF(WEEKDAY(EDATE($B$8,12*A50),2)=6,1,IF(WEEKDAY(EDATE($B$8,12*A50),2)=7,2,0))),(EDATE($B$8,12*A50)+IF(WEEKDAY(EDATE($B$8,12*A50),2)=6,2,IF(WEEKDAY(EDATE($B$8,12*A50),2)=7,1,0)))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IF(MONTH((EDATE($B$8,12*A51)+IF(WEEKDAY(EDATE($B$8,12*A51),2)=6,2,IF(WEEKDAY(EDATE($B$8,12*A51),2)=7,1,0))))&lt;&gt;MONTH(EDATE($B$8,12*A51)),(EDATE($B$8,12*A51)-IF(WEEKDAY(EDATE($B$8,12*A51),2)=6,1,IF(WEEKDAY(EDATE($B$8,12*A51),2)=7,2,0))),(EDATE($B$8,12*A51)+IF(WEEKDAY(EDATE($B$8,12*A51),2)=6,2,IF(WEEKDAY(EDATE($B$8,12*A51),2)=7,1,0)))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IF(MONTH((EDATE($B$8,12*A52)+IF(WEEKDAY(EDATE($B$8,12*A52),2)=6,2,IF(WEEKDAY(EDATE($B$8,12*A52),2)=7,1,0))))&lt;&gt;MONTH(EDATE($B$8,12*A52)),(EDATE($B$8,12*A52)-IF(WEEKDAY(EDATE($B$8,12*A52),2)=6,1,IF(WEEKDAY(EDATE($B$8,12*A52),2)=7,2,0))),(EDATE($B$8,12*A52)+IF(WEEKDAY(EDATE($B$8,12*A52),2)=6,2,IF(WEEKDAY(EDATE($B$8,12*A52),2)=7,1,0)))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IF(MONTH((EDATE($B$8,12*A53)+IF(WEEKDAY(EDATE($B$8,12*A53),2)=6,2,IF(WEEKDAY(EDATE($B$8,12*A53),2)=7,1,0))))&lt;&gt;MONTH(EDATE($B$8,12*A53)),(EDATE($B$8,12*A53)-IF(WEEKDAY(EDATE($B$8,12*A53),2)=6,1,IF(WEEKDAY(EDATE($B$8,12*A53),2)=7,2,0))),(EDATE($B$8,12*A53)+IF(WEEKDAY(EDATE($B$8,12*A53),2)=6,2,IF(WEEKDAY(EDATE($B$8,12*A53),2)=7,1,0)))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IF(MONTH((EDATE($B$8,12*A54)+IF(WEEKDAY(EDATE($B$8,12*A54),2)=6,2,IF(WEEKDAY(EDATE($B$8,12*A54),2)=7,1,0))))&lt;&gt;MONTH(EDATE($B$8,12*A54)),(EDATE($B$8,12*A54)-IF(WEEKDAY(EDATE($B$8,12*A54),2)=6,1,IF(WEEKDAY(EDATE($B$8,12*A54),2)=7,2,0))),(EDATE($B$8,12*A54)+IF(WEEKDAY(EDATE($B$8,12*A54),2)=6,2,IF(WEEKDAY(EDATE($B$8,12*A54),2)=7,1,0)))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IF(MONTH((EDATE($B$8,12*A55)+IF(WEEKDAY(EDATE($B$8,12*A55),2)=6,2,IF(WEEKDAY(EDATE($B$8,12*A55),2)=7,1,0))))&lt;&gt;MONTH(EDATE($B$8,12*A55)),(EDATE($B$8,12*A55)-IF(WEEKDAY(EDATE($B$8,12*A55),2)=6,1,IF(WEEKDAY(EDATE($B$8,12*A55),2)=7,2,0))),(EDATE($B$8,12*A55)+IF(WEEKDAY(EDATE($B$8,12*A55),2)=6,2,IF(WEEKDAY(EDATE($B$8,12*A55),2)=7,1,0)))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IF(MONTH((EDATE($B$8,12*A56)+IF(WEEKDAY(EDATE($B$8,12*A56),2)=6,2,IF(WEEKDAY(EDATE($B$8,12*A56),2)=7,1,0))))&lt;&gt;MONTH(EDATE($B$8,12*A56)),(EDATE($B$8,12*A56)-IF(WEEKDAY(EDATE($B$8,12*A56),2)=6,1,IF(WEEKDAY(EDATE($B$8,12*A56),2)=7,2,0))),(EDATE($B$8,12*A56)+IF(WEEKDAY(EDATE($B$8,12*A56),2)=6,2,IF(WEEKDAY(EDATE($B$8,12*A56),2)=7,1,0)))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IF(MONTH((EDATE($B$8,12*A57)+IF(WEEKDAY(EDATE($B$8,12*A57),2)=6,2,IF(WEEKDAY(EDATE($B$8,12*A57),2)=7,1,0))))&lt;&gt;MONTH(EDATE($B$8,12*A57)),(EDATE($B$8,12*A57)-IF(WEEKDAY(EDATE($B$8,12*A57),2)=6,1,IF(WEEKDAY(EDATE($B$8,12*A57),2)=7,2,0))),(EDATE($B$8,12*A57)+IF(WEEKDAY(EDATE($B$8,12*A57),2)=6,2,IF(WEEKDAY(EDATE($B$8,12*A57),2)=7,1,0)))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IF(MONTH((EDATE($B$8,12*A58)+IF(WEEKDAY(EDATE($B$8,12*A58),2)=6,2,IF(WEEKDAY(EDATE($B$8,12*A58),2)=7,1,0))))&lt;&gt;MONTH(EDATE($B$8,12*A58)),(EDATE($B$8,12*A58)-IF(WEEKDAY(EDATE($B$8,12*A58),2)=6,1,IF(WEEKDAY(EDATE($B$8,12*A58),2)=7,2,0))),(EDATE($B$8,12*A58)+IF(WEEKDAY(EDATE($B$8,12*A58),2)=6,2,IF(WEEKDAY(EDATE($B$8,12*A58),2)=7,1,0)))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IF(MONTH((EDATE($B$8,12*A59)+IF(WEEKDAY(EDATE($B$8,12*A59),2)=6,2,IF(WEEKDAY(EDATE($B$8,12*A59),2)=7,1,0))))&lt;&gt;MONTH(EDATE($B$8,12*A59)),(EDATE($B$8,12*A59)-IF(WEEKDAY(EDATE($B$8,12*A59),2)=6,1,IF(WEEKDAY(EDATE($B$8,12*A59),2)=7,2,0))),(EDATE($B$8,12*A59)+IF(WEEKDAY(EDATE($B$8,12*A59),2)=6,2,IF(WEEKDAY(EDATE($B$8,12*A59),2)=7,1,0)))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IF(MONTH((EDATE($B$8,12*A60)+IF(WEEKDAY(EDATE($B$8,12*A60),2)=6,2,IF(WEEKDAY(EDATE($B$8,12*A60),2)=7,1,0))))&lt;&gt;MONTH(EDATE($B$8,12*A60)),(EDATE($B$8,12*A60)-IF(WEEKDAY(EDATE($B$8,12*A60),2)=6,1,IF(WEEKDAY(EDATE($B$8,12*A60),2)=7,2,0))),(EDATE($B$8,12*A60)+IF(WEEKDAY(EDATE($B$8,12*A60),2)=6,2,IF(WEEKDAY(EDATE($B$8,12*A60),2)=7,1,0)))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IF(MONTH((EDATE($B$8,12*A61)+IF(WEEKDAY(EDATE($B$8,12*A61),2)=6,2,IF(WEEKDAY(EDATE($B$8,12*A61),2)=7,1,0))))&lt;&gt;MONTH(EDATE($B$8,12*A61)),(EDATE($B$8,12*A61)-IF(WEEKDAY(EDATE($B$8,12*A61),2)=6,1,IF(WEEKDAY(EDATE($B$8,12*A61),2)=7,2,0))),(EDATE($B$8,12*A61)+IF(WEEKDAY(EDATE($B$8,12*A61),2)=6,2,IF(WEEKDAY(EDATE($B$8,12*A61),2)=7,1,0)))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IF(MONTH((EDATE($B$8,12*A62)+IF(WEEKDAY(EDATE($B$8,12*A62),2)=6,2,IF(WEEKDAY(EDATE($B$8,12*A62),2)=7,1,0))))&lt;&gt;MONTH(EDATE($B$8,12*A62)),(EDATE($B$8,12*A62)-IF(WEEKDAY(EDATE($B$8,12*A62),2)=6,1,IF(WEEKDAY(EDATE($B$8,12*A62),2)=7,2,0))),(EDATE($B$8,12*A62)+IF(WEEKDAY(EDATE($B$8,12*A62),2)=6,2,IF(WEEKDAY(EDATE($B$8,12*A62),2)=7,1,0)))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IF(MONTH((EDATE($B$8,12*A63)+IF(WEEKDAY(EDATE($B$8,12*A63),2)=6,2,IF(WEEKDAY(EDATE($B$8,12*A63),2)=7,1,0))))&lt;&gt;MONTH(EDATE($B$8,12*A63)),(EDATE($B$8,12*A63)-IF(WEEKDAY(EDATE($B$8,12*A63),2)=6,1,IF(WEEKDAY(EDATE($B$8,12*A63),2)=7,2,0))),(EDATE($B$8,12*A63)+IF(WEEKDAY(EDATE($B$8,12*A63),2)=6,2,IF(WEEKDAY(EDATE($B$8,12*A63),2)=7,1,0)))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IF(MONTH((EDATE($B$8,12*A64)+IF(WEEKDAY(EDATE($B$8,12*A64),2)=6,2,IF(WEEKDAY(EDATE($B$8,12*A64),2)=7,1,0))))&lt;&gt;MONTH(EDATE($B$8,12*A64)),(EDATE($B$8,12*A64)-IF(WEEKDAY(EDATE($B$8,12*A64),2)=6,1,IF(WEEKDAY(EDATE($B$8,12*A64),2)=7,2,0))),(EDATE($B$8,12*A64)+IF(WEEKDAY(EDATE($B$8,12*A64),2)=6,2,IF(WEEKDAY(EDATE($B$8,12*A64),2)=7,1,0)))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IF(MONTH((EDATE($B$8,12*A65)+IF(WEEKDAY(EDATE($B$8,12*A65),2)=6,2,IF(WEEKDAY(EDATE($B$8,12*A65),2)=7,1,0))))&lt;&gt;MONTH(EDATE($B$8,12*A65)),(EDATE($B$8,12*A65)-IF(WEEKDAY(EDATE($B$8,12*A65),2)=6,1,IF(WEEKDAY(EDATE($B$8,12*A65),2)=7,2,0))),(EDATE($B$8,12*A65)+IF(WEEKDAY(EDATE($B$8,12*A65),2)=6,2,IF(WEEKDAY(EDATE($B$8,12*A65),2)=7,1,0)))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IF(MONTH((EDATE($B$8,12*A66)+IF(WEEKDAY(EDATE($B$8,12*A66),2)=6,2,IF(WEEKDAY(EDATE($B$8,12*A66),2)=7,1,0))))&lt;&gt;MONTH(EDATE($B$8,12*A66)),(EDATE($B$8,12*A66)-IF(WEEKDAY(EDATE($B$8,12*A66),2)=6,1,IF(WEEKDAY(EDATE($B$8,12*A66),2)=7,2,0))),(EDATE($B$8,12*A66)+IF(WEEKDAY(EDATE($B$8,12*A66),2)=6,2,IF(WEEKDAY(EDATE($B$8,12*A66),2)=7,1,0)))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IF(MONTH((EDATE($B$8,12*A67)+IF(WEEKDAY(EDATE($B$8,12*A67),2)=6,2,IF(WEEKDAY(EDATE($B$8,12*A67),2)=7,1,0))))&lt;&gt;MONTH(EDATE($B$8,12*A67)),(EDATE($B$8,12*A67)-IF(WEEKDAY(EDATE($B$8,12*A67),2)=6,1,IF(WEEKDAY(EDATE($B$8,12*A67),2)=7,2,0))),(EDATE($B$8,12*A67)+IF(WEEKDAY(EDATE($B$8,12*A67),2)=6,2,IF(WEEKDAY(EDATE($B$8,12*A67),2)=7,1,0)))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IF(MONTH((EDATE($B$8,12*A68)+IF(WEEKDAY(EDATE($B$8,12*A68),2)=6,2,IF(WEEKDAY(EDATE($B$8,12*A68),2)=7,1,0))))&lt;&gt;MONTH(EDATE($B$8,12*A68)),(EDATE($B$8,12*A68)-IF(WEEKDAY(EDATE($B$8,12*A68),2)=6,1,IF(WEEKDAY(EDATE($B$8,12*A68),2)=7,2,0))),(EDATE($B$8,12*A68)+IF(WEEKDAY(EDATE($B$8,12*A68),2)=6,2,IF(WEEKDAY(EDATE($B$8,12*A68),2)=7,1,0)))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IF(MONTH((EDATE($B$8,12*A69)+IF(WEEKDAY(EDATE($B$8,12*A69),2)=6,2,IF(WEEKDAY(EDATE($B$8,12*A69),2)=7,1,0))))&lt;&gt;MONTH(EDATE($B$8,12*A69)),(EDATE($B$8,12*A69)-IF(WEEKDAY(EDATE($B$8,12*A69),2)=6,1,IF(WEEKDAY(EDATE($B$8,12*A69),2)=7,2,0))),(EDATE($B$8,12*A69)+IF(WEEKDAY(EDATE($B$8,12*A69),2)=6,2,IF(WEEKDAY(EDATE($B$8,12*A69),2)=7,1,0)))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IF(MONTH((EDATE($B$8,12*A70)+IF(WEEKDAY(EDATE($B$8,12*A70),2)=6,2,IF(WEEKDAY(EDATE($B$8,12*A70),2)=7,1,0))))&lt;&gt;MONTH(EDATE($B$8,12*A70)),(EDATE($B$8,12*A70)-IF(WEEKDAY(EDATE($B$8,12*A70),2)=6,1,IF(WEEKDAY(EDATE($B$8,12*A70),2)=7,2,0))),(EDATE($B$8,12*A70)+IF(WEEKDAY(EDATE($B$8,12*A70),2)=6,2,IF(WEEKDAY(EDATE($B$8,12*A70),2)=7,1,0)))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IF(MONTH((EDATE($B$8,12*A71)+IF(WEEKDAY(EDATE($B$8,12*A71),2)=6,2,IF(WEEKDAY(EDATE($B$8,12*A71),2)=7,1,0))))&lt;&gt;MONTH(EDATE($B$8,12*A71)),(EDATE($B$8,12*A71)-IF(WEEKDAY(EDATE($B$8,12*A71),2)=6,1,IF(WEEKDAY(EDATE($B$8,12*A71),2)=7,2,0))),(EDATE($B$8,12*A71)+IF(WEEKDAY(EDATE($B$8,12*A71),2)=6,2,IF(WEEKDAY(EDATE($B$8,12*A71),2)=7,1,0)))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IF(MONTH((EDATE($B$8,12*A72)+IF(WEEKDAY(EDATE($B$8,12*A72),2)=6,2,IF(WEEKDAY(EDATE($B$8,12*A72),2)=7,1,0))))&lt;&gt;MONTH(EDATE($B$8,12*A72)),(EDATE($B$8,12*A72)-IF(WEEKDAY(EDATE($B$8,12*A72),2)=6,1,IF(WEEKDAY(EDATE($B$8,12*A72),2)=7,2,0))),(EDATE($B$8,12*A72)+IF(WEEKDAY(EDATE($B$8,12*A72),2)=6,2,IF(WEEKDAY(EDATE($B$8,12*A72),2)=7,1,0)))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IF(MONTH((EDATE($B$8,12*A73)+IF(WEEKDAY(EDATE($B$8,12*A73),2)=6,2,IF(WEEKDAY(EDATE($B$8,12*A73),2)=7,1,0))))&lt;&gt;MONTH(EDATE($B$8,12*A73)),(EDATE($B$8,12*A73)-IF(WEEKDAY(EDATE($B$8,12*A73),2)=6,1,IF(WEEKDAY(EDATE($B$8,12*A73),2)=7,2,0))),(EDATE($B$8,12*A73)+IF(WEEKDAY(EDATE($B$8,12*A73),2)=6,2,IF(WEEKDAY(EDATE($B$8,12*A73),2)=7,1,0)))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IF(MONTH((EDATE($B$8,12*A74)+IF(WEEKDAY(EDATE($B$8,12*A74),2)=6,2,IF(WEEKDAY(EDATE($B$8,12*A74),2)=7,1,0))))&lt;&gt;MONTH(EDATE($B$8,12*A74)),(EDATE($B$8,12*A74)-IF(WEEKDAY(EDATE($B$8,12*A74),2)=6,1,IF(WEEKDAY(EDATE($B$8,12*A74),2)=7,2,0))),(EDATE($B$8,12*A74)+IF(WEEKDAY(EDATE($B$8,12*A74),2)=6,2,IF(WEEKDAY(EDATE($B$8,12*A74),2)=7,1,0)))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IF(MONTH((EDATE($B$8,12*A75)+IF(WEEKDAY(EDATE($B$8,12*A75),2)=6,2,IF(WEEKDAY(EDATE($B$8,12*A75),2)=7,1,0))))&lt;&gt;MONTH(EDATE($B$8,12*A75)),(EDATE($B$8,12*A75)-IF(WEEKDAY(EDATE($B$8,12*A75),2)=6,1,IF(WEEKDAY(EDATE($B$8,12*A75),2)=7,2,0))),(EDATE($B$8,12*A75)+IF(WEEKDAY(EDATE($B$8,12*A75),2)=6,2,IF(WEEKDAY(EDATE($B$8,12*A75),2)=7,1,0)))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IF(MONTH((EDATE($B$8,12*A76)+IF(WEEKDAY(EDATE($B$8,12*A76),2)=6,2,IF(WEEKDAY(EDATE($B$8,12*A76),2)=7,1,0))))&lt;&gt;MONTH(EDATE($B$8,12*A76)),(EDATE($B$8,12*A76)-IF(WEEKDAY(EDATE($B$8,12*A76),2)=6,1,IF(WEEKDAY(EDATE($B$8,12*A76),2)=7,2,0))),(EDATE($B$8,12*A76)+IF(WEEKDAY(EDATE($B$8,12*A76),2)=6,2,IF(WEEKDAY(EDATE($B$8,12*A76),2)=7,1,0)))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IF(MONTH((EDATE($B$8,12*A77)+IF(WEEKDAY(EDATE($B$8,12*A77),2)=6,2,IF(WEEKDAY(EDATE($B$8,12*A77),2)=7,1,0))))&lt;&gt;MONTH(EDATE($B$8,12*A77)),(EDATE($B$8,12*A77)-IF(WEEKDAY(EDATE($B$8,12*A77),2)=6,1,IF(WEEKDAY(EDATE($B$8,12*A77),2)=7,2,0))),(EDATE($B$8,12*A77)+IF(WEEKDAY(EDATE($B$8,12*A77),2)=6,2,IF(WEEKDAY(EDATE($B$8,12*A77),2)=7,1,0)))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IF(MONTH((EDATE($B$8,12*A78)+IF(WEEKDAY(EDATE($B$8,12*A78),2)=6,2,IF(WEEKDAY(EDATE($B$8,12*A78),2)=7,1,0))))&lt;&gt;MONTH(EDATE($B$8,12*A78)),(EDATE($B$8,12*A78)-IF(WEEKDAY(EDATE($B$8,12*A78),2)=6,1,IF(WEEKDAY(EDATE($B$8,12*A78),2)=7,2,0))),(EDATE($B$8,12*A78)+IF(WEEKDAY(EDATE($B$8,12*A78),2)=6,2,IF(WEEKDAY(EDATE($B$8,12*A78),2)=7,1,0)))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IF(MONTH((EDATE($B$8,12*A79)+IF(WEEKDAY(EDATE($B$8,12*A79),2)=6,2,IF(WEEKDAY(EDATE($B$8,12*A79),2)=7,1,0))))&lt;&gt;MONTH(EDATE($B$8,12*A79)),(EDATE($B$8,12*A79)-IF(WEEKDAY(EDATE($B$8,12*A79),2)=6,1,IF(WEEKDAY(EDATE($B$8,12*A79),2)=7,2,0))),(EDATE($B$8,12*A79)+IF(WEEKDAY(EDATE($B$8,12*A79),2)=6,2,IF(WEEKDAY(EDATE($B$8,12*A79),2)=7,1,0)))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IF(MONTH((EDATE($B$8,12*A80)+IF(WEEKDAY(EDATE($B$8,12*A80),2)=6,2,IF(WEEKDAY(EDATE($B$8,12*A80),2)=7,1,0))))&lt;&gt;MONTH(EDATE($B$8,12*A80)),(EDATE($B$8,12*A80)-IF(WEEKDAY(EDATE($B$8,12*A80),2)=6,1,IF(WEEKDAY(EDATE($B$8,12*A80),2)=7,2,0))),(EDATE($B$8,12*A80)+IF(WEEKDAY(EDATE($B$8,12*A80),2)=6,2,IF(WEEKDAY(EDATE($B$8,12*A80),2)=7,1,0)))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IF(MONTH((EDATE($B$8,12*A81)+IF(WEEKDAY(EDATE($B$8,12*A81),2)=6,2,IF(WEEKDAY(EDATE($B$8,12*A81),2)=7,1,0))))&lt;&gt;MONTH(EDATE($B$8,12*A81)),(EDATE($B$8,12*A81)-IF(WEEKDAY(EDATE($B$8,12*A81),2)=6,1,IF(WEEKDAY(EDATE($B$8,12*A81),2)=7,2,0))),(EDATE($B$8,12*A81)+IF(WEEKDAY(EDATE($B$8,12*A81),2)=6,2,IF(WEEKDAY(EDATE($B$8,12*A81),2)=7,1,0)))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IF(MONTH((EDATE($B$8,12*A82)+IF(WEEKDAY(EDATE($B$8,12*A82),2)=6,2,IF(WEEKDAY(EDATE($B$8,12*A82),2)=7,1,0))))&lt;&gt;MONTH(EDATE($B$8,12*A82)),(EDATE($B$8,12*A82)-IF(WEEKDAY(EDATE($B$8,12*A82),2)=6,1,IF(WEEKDAY(EDATE($B$8,12*A82),2)=7,2,0))),(EDATE($B$8,12*A82)+IF(WEEKDAY(EDATE($B$8,12*A82),2)=6,2,IF(WEEKDAY(EDATE($B$8,12*A82),2)=7,1,0)))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IF(MONTH((EDATE($B$8,12*A83)+IF(WEEKDAY(EDATE($B$8,12*A83),2)=6,2,IF(WEEKDAY(EDATE($B$8,12*A83),2)=7,1,0))))&lt;&gt;MONTH(EDATE($B$8,12*A83)),(EDATE($B$8,12*A83)-IF(WEEKDAY(EDATE($B$8,12*A83),2)=6,1,IF(WEEKDAY(EDATE($B$8,12*A83),2)=7,2,0))),(EDATE($B$8,12*A83)+IF(WEEKDAY(EDATE($B$8,12*A83),2)=6,2,IF(WEEKDAY(EDATE($B$8,12*A83),2)=7,1,0)))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IF(MONTH((EDATE($B$8,12*A84)+IF(WEEKDAY(EDATE($B$8,12*A84),2)=6,2,IF(WEEKDAY(EDATE($B$8,12*A84),2)=7,1,0))))&lt;&gt;MONTH(EDATE($B$8,12*A84)),(EDATE($B$8,12*A84)-IF(WEEKDAY(EDATE($B$8,12*A84),2)=6,1,IF(WEEKDAY(EDATE($B$8,12*A84),2)=7,2,0))),(EDATE($B$8,12*A84)+IF(WEEKDAY(EDATE($B$8,12*A84),2)=6,2,IF(WEEKDAY(EDATE($B$8,12*A84),2)=7,1,0)))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IF(MONTH((EDATE($B$8,12*A85)+IF(WEEKDAY(EDATE($B$8,12*A85),2)=6,2,IF(WEEKDAY(EDATE($B$8,12*A85),2)=7,1,0))))&lt;&gt;MONTH(EDATE($B$8,12*A85)),(EDATE($B$8,12*A85)-IF(WEEKDAY(EDATE($B$8,12*A85),2)=6,1,IF(WEEKDAY(EDATE($B$8,12*A85),2)=7,2,0))),(EDATE($B$8,12*A85)+IF(WEEKDAY(EDATE($B$8,12*A85),2)=6,2,IF(WEEKDAY(EDATE($B$8,12*A85),2)=7,1,0)))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— screen 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9">
        <f>IFERROR(INDEX($X$9:$X$40,MATCH(B8,$V$9:$V$40,0)),"")</f>
        <v/>
      </c>
      <c r="H8" s="65" t="inlineStr">
        <is>
          <t>(the CURVE_TENOR_RATES dump lives at J12 - a second copy here would spill into it)</t>
        </is>
      </c>
      <c r="M8" s="80">
        <f>IFERROR(INDEX($Y$9:$Y$40,MATCH(B8,$V$9:$V$40,0)),"")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9">
        <f>IFERROR(INDEX($X$9:$X$40,MATCH(B9,$V$9:$V$40,0)),"")</f>
        <v/>
      </c>
      <c r="M9" s="80">
        <f>IFERROR(INDEX($Y$9:$Y$40,MATCH(B9,$V$9:$V$40,0)),"")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9">
        <f>IFERROR(INDEX($X$9:$X$40,MATCH(B10,$V$9:$V$40,0)),"")</f>
        <v/>
      </c>
      <c r="M10" s="80">
        <f>IFERROR(INDEX($Y$9:$Y$40,MATCH(B10,$V$9:$V$40,0)),"")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9">
        <f>IFERROR(INDEX($X$9:$X$40,MATCH(B11,$V$9:$V$40,0)),"")</f>
        <v/>
      </c>
      <c r="M11" s="80">
        <f>IFERROR(INDEX($Y$9:$Y$40,MATCH(B11,$V$9:$V$40,0)),"")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9">
        <f>IFERROR(INDEX($X$9:$X$40,MATCH(B12,$V$9:$V$40,0)),"")</f>
        <v/>
      </c>
      <c r="J12" s="93">
        <f>BDS(S490_TKR,"CURVE_TENOR_RATES")</f>
        <v/>
      </c>
      <c r="M12" s="80">
        <f>IFERROR(INDEX($Y$9:$Y$40,MATCH(B12,$V$9:$V$40,0)),"")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9">
        <f>IFERROR(INDEX($X$9:$X$40,MATCH(B13,$V$9:$V$40,0)),"")</f>
        <v/>
      </c>
      <c r="M13" s="80">
        <f>IFERROR(INDEX($Y$9:$Y$40,MATCH(B13,$V$9:$V$40,0)),"")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9">
        <f>IFERROR(INDEX($X$9:$X$40,MATCH(B14,$V$9:$V$40,0)),"")</f>
        <v/>
      </c>
      <c r="M14" s="80">
        <f>IFERROR(INDEX($Y$9:$Y$40,MATCH(B14,$V$9:$V$40,0)),"")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9">
        <f>IFERROR(INDEX($X$9:$X$40,MATCH(B15,$V$9:$V$40,0)),"")</f>
        <v/>
      </c>
      <c r="M15" s="80">
        <f>IFERROR(INDEX($Y$9:$Y$40,MATCH(B15,$V$9:$V$40,0)),"")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9">
        <f>IFERROR(INDEX($X$9:$X$40,MATCH(B16,$V$9:$V$40,0)),"")</f>
        <v/>
      </c>
      <c r="M16" s="80">
        <f>IFERROR(INDEX($Y$9:$Y$40,MATCH(B16,$V$9:$V$40,0)),"")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9">
        <f>IFERROR(INDEX($X$9:$X$40,MATCH(B17,$V$9:$V$40,0)),"")</f>
        <v/>
      </c>
      <c r="M17" s="80">
        <f>IFERROR(INDEX($Y$9:$Y$40,MATCH(B17,$V$9:$V$40,0)),"")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9">
        <f>IFERROR(INDEX($X$9:$X$40,MATCH(B18,$V$9:$V$40,0)),"")</f>
        <v/>
      </c>
      <c r="M18" s="80">
        <f>IFERROR(INDEX($Y$9:$Y$40,MATCH(B18,$V$9:$V$40,0)),"")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9">
        <f>IFERROR(INDEX($X$9:$X$40,MATCH(B19,$V$9:$V$40,0)),"")</f>
        <v/>
      </c>
      <c r="M19" s="80">
        <f>IFERROR(INDEX($Y$9:$Y$40,MATCH(B19,$V$9:$V$40,0)),"")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9">
        <f>IFERROR(INDEX($X$9:$X$40,MATCH(B20,$V$9:$V$40,0)),"")</f>
        <v/>
      </c>
      <c r="M20" s="80">
        <f>IFERROR(INDEX($Y$9:$Y$40,MATCH(B20,$V$9:$V$40,0)),"")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9">
        <f>IFERROR(INDEX($X$9:$X$40,MATCH(B21,$V$9:$V$40,0)),"")</f>
        <v/>
      </c>
      <c r="M21" s="80">
        <f>IFERROR(INDEX($Y$9:$Y$40,MATCH(B21,$V$9:$V$40,0)),"")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9">
        <f>IFERROR(INDEX($X$9:$X$40,MATCH(B22,$V$9:$V$40,0)),"")</f>
        <v/>
      </c>
      <c r="M22" s="80">
        <f>IFERROR(INDEX($Y$9:$Y$40,MATCH(B22,$V$9:$V$40,0)),"")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9">
        <f>IFERROR(INDEX($X$9:$X$40,MATCH(B23,$V$9:$V$40,0)),"")</f>
        <v/>
      </c>
      <c r="M23" s="80">
        <f>IFERROR(INDEX($Y$9:$Y$40,MATCH(B23,$V$9:$V$40,0)),"")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9">
        <f>IFERROR(INDEX($X$9:$X$40,MATCH(B24,$V$9:$V$40,0)),"")</f>
        <v/>
      </c>
      <c r="M24" s="80">
        <f>IFERROR(INDEX($Y$9:$Y$40,MATCH(B24,$V$9:$V$40,0)),"")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9">
        <f>IFERROR(INDEX($X$9:$X$40,MATCH(B25,$V$9:$V$40,0)),"")</f>
        <v/>
      </c>
      <c r="M25" s="80">
        <f>IFERROR(INDEX($Y$9:$Y$40,MATCH(B25,$V$9:$V$40,0)),"")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9">
        <f>IFERROR(INDEX($X$9:$X$40,MATCH(B26,$V$9:$V$40,0)),"")</f>
        <v/>
      </c>
      <c r="M26" s="80">
        <f>IFERROR(INDEX($Y$9:$Y$40,MATCH(B26,$V$9:$V$40,0)),"")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9">
        <f>IFERROR(INDEX($X$9:$X$40,MATCH(B27,$V$9:$V$40,0)),"")</f>
        <v/>
      </c>
      <c r="M27" s="80">
        <f>IFERROR(INDEX($Y$9:$Y$40,MATCH(B27,$V$9:$V$40,0)),"")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9">
        <f>IFERROR(INDEX($X$9:$X$40,MATCH(B28,$V$9:$V$40,0)),"")</f>
        <v/>
      </c>
      <c r="M28" s="80">
        <f>IFERROR(INDEX($Y$9:$Y$40,MATCH(B28,$V$9:$V$40,0)),"")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9">
        <f>IFERROR(INDEX($X$9:$X$40,MATCH(B29,$V$9:$V$40,0)),"")</f>
        <v/>
      </c>
      <c r="M29" s="80">
        <f>IFERROR(INDEX($Y$9:$Y$40,MATCH(B29,$V$9:$V$40,0)),"")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9">
        <f>IFERROR(INDEX($X$9:$X$40,MATCH(B30,$V$9:$V$40,0)),"")</f>
        <v/>
      </c>
      <c r="M30" s="80">
        <f>IFERROR(INDEX($Y$9:$Y$40,MATCH(B30,$V$9:$V$40,0)),"")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9">
        <f>IFERROR(INDEX($X$9:$X$40,MATCH(B31,$V$9:$V$40,0)),"")</f>
        <v/>
      </c>
      <c r="M31" s="80">
        <f>IFERROR(INDEX($Y$9:$Y$40,MATCH(B31,$V$9:$V$40,0)),"")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9">
        <f>IFERROR(INDEX($X$9:$X$40,MATCH(B32,$V$9:$V$40,0)),"")</f>
        <v/>
      </c>
      <c r="M32" s="80">
        <f>IFERROR(INDEX($Y$9:$Y$40,MATCH(B32,$V$9:$V$40,0)),"")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9">
        <f>IFERROR(INDEX($X$9:$X$40,MATCH(B33,$V$9:$V$40,0)),"")</f>
        <v/>
      </c>
      <c r="M33" s="80">
        <f>IFERROR(INDEX($Y$9:$Y$40,MATCH(B33,$V$9:$V$40,0)),"")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9">
        <f>IFERROR(INDEX($X$9:$X$40,MATCH(B34,$V$9:$V$40,0)),"")</f>
        <v/>
      </c>
      <c r="M34" s="80">
        <f>IFERROR(INDEX($Y$9:$Y$40,MATCH(B34,$V$9:$V$40,0)),"")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9">
        <f>IFERROR(INDEX($X$9:$X$40,MATCH(B35,$V$9:$V$40,0)),"")</f>
        <v/>
      </c>
      <c r="M35" s="80">
        <f>IFERROR(INDEX($Y$9:$Y$40,MATCH(B35,$V$9:$V$40,0)),"")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9">
        <f>IFERROR(INDEX($X$9:$X$40,MATCH(B36,$V$9:$V$40,0)),"")</f>
        <v/>
      </c>
      <c r="M36" s="80">
        <f>IFERROR(INDEX($Y$9:$Y$40,MATCH(B36,$V$9:$V$40,0)),"")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9">
        <f>IFERROR(INDEX($X$9:$X$40,MATCH(B37,$V$9:$V$40,0)),"")</f>
        <v/>
      </c>
      <c r="M37" s="80">
        <f>IFERROR(INDEX($Y$9:$Y$40,MATCH(B37,$V$9:$V$40,0)),"")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9">
        <f>IFERROR(INDEX($X$9:$X$40,MATCH(B38,$V$9:$V$40,0)),"")</f>
        <v/>
      </c>
      <c r="M38" s="80">
        <f>IFERROR(INDEX($Y$9:$Y$40,MATCH(B38,$V$9:$V$40,0)),"")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9">
        <f>IFERROR(INDEX($X$9:$X$40,MATCH(B39,$V$9:$V$40,0)),"")</f>
        <v/>
      </c>
      <c r="M39" s="80">
        <f>IFERROR(INDEX($Y$9:$Y$40,MATCH(B39,$V$9:$V$40,0)),"")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9">
        <f>IFERROR(INDEX($X$9:$X$40,MATCH(B40,$V$9:$V$40,0)),"")</f>
        <v/>
      </c>
      <c r="M40" s="80">
        <f>IFERROR(INDEX($Y$9:$Y$40,MATCH(B40,$V$9:$V$40,0)),"")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9">
        <f>IFERROR(INDEX($X$9:$X$40,MATCH(B41,$V$9:$V$40,0)),"")</f>
        <v/>
      </c>
      <c r="M41" s="80">
        <f>IFERROR(INDEX($Y$9:$Y$40,MATCH(B41,$V$9:$V$40,0)),"")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9">
        <f>IFERROR(INDEX($X$9:$X$40,MATCH(B42,$V$9:$V$40,0)),"")</f>
        <v/>
      </c>
      <c r="M42" s="80">
        <f>IFERROR(INDEX($Y$9:$Y$40,MATCH(B42,$V$9:$V$40,0)),"")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9">
        <f>IFERROR(INDEX($X$9:$X$40,MATCH(B43,$V$9:$V$40,0)),"")</f>
        <v/>
      </c>
      <c r="M43" s="80">
        <f>IFERROR(INDEX($Y$9:$Y$40,MATCH(B43,$V$9:$V$40,0)),"")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9">
        <f>IFERROR(INDEX($X$9:$X$40,MATCH(B44,$V$9:$V$40,0)),"")</f>
        <v/>
      </c>
      <c r="M44" s="80">
        <f>IFERROR(INDEX($Y$9:$Y$40,MATCH(B44,$V$9:$V$40,0)),"")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9">
        <f>IFERROR(INDEX($X$9:$X$40,MATCH(B45,$V$9:$V$40,0)),"")</f>
        <v/>
      </c>
      <c r="M45" s="80">
        <f>IFERROR(INDEX($Y$9:$Y$40,MATCH(B45,$V$9:$V$40,0)),"")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9">
        <f>IFERROR(INDEX($X$9:$X$40,MATCH(B46,$V$9:$V$40,0)),"")</f>
        <v/>
      </c>
      <c r="M46" s="80">
        <f>IFERROR(INDEX($Y$9:$Y$40,MATCH(B46,$V$9:$V$40,0)),"")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9">
        <f>IFERROR(INDEX($X$9:$X$40,MATCH(B47,$V$9:$V$40,0)),"")</f>
        <v/>
      </c>
      <c r="M47" s="80">
        <f>IFERROR(INDEX($Y$9:$Y$40,MATCH(B47,$V$9:$V$40,0)),"")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9">
        <f>IFERROR(INDEX($X$9:$X$40,MATCH(B48,$V$9:$V$40,0)),"")</f>
        <v/>
      </c>
      <c r="M48" s="80">
        <f>IFERROR(INDEX($Y$9:$Y$40,MATCH(B48,$V$9:$V$40,0)),"")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9">
        <f>IFERROR(INDEX($X$9:$X$40,MATCH(B49,$V$9:$V$40,0)),"")</f>
        <v/>
      </c>
      <c r="M49" s="80">
        <f>IFERROR(INDEX($Y$9:$Y$40,MATCH(B49,$V$9:$V$40,0)),"")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9">
        <f>IFERROR(INDEX($X$9:$X$40,MATCH(B50,$V$9:$V$40,0)),"")</f>
        <v/>
      </c>
      <c r="M50" s="80">
        <f>IFERROR(INDEX($Y$9:$Y$40,MATCH(B50,$V$9:$V$40,0)),"")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9">
        <f>IFERROR(INDEX($X$9:$X$40,MATCH(B51,$V$9:$V$40,0)),"")</f>
        <v/>
      </c>
      <c r="M51" s="80">
        <f>IFERROR(INDEX($Y$9:$Y$40,MATCH(B51,$V$9:$V$40,0)),"")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9">
        <f>IFERROR(INDEX($X$9:$X$40,MATCH(B52,$V$9:$V$40,0)),"")</f>
        <v/>
      </c>
      <c r="M52" s="80">
        <f>IFERROR(INDEX($Y$9:$Y$40,MATCH(B52,$V$9:$V$40,0)),"")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9">
        <f>IFERROR(INDEX($X$9:$X$40,MATCH(B53,$V$9:$V$40,0)),"")</f>
        <v/>
      </c>
      <c r="M53" s="80">
        <f>IFERROR(INDEX($Y$9:$Y$40,MATCH(B53,$V$9:$V$40,0)),"")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9">
        <f>IFERROR(INDEX($X$9:$X$40,MATCH(B54,$V$9:$V$40,0)),"")</f>
        <v/>
      </c>
      <c r="M54" s="80">
        <f>IFERROR(INDEX($Y$9:$Y$40,MATCH(B54,$V$9:$V$40,0)),"")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9">
        <f>IFERROR(INDEX($X$9:$X$40,MATCH(B55,$V$9:$V$40,0)),"")</f>
        <v/>
      </c>
      <c r="M55" s="80">
        <f>IFERROR(INDEX($Y$9:$Y$40,MATCH(B55,$V$9:$V$40,0)),"")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9">
        <f>IFERROR(INDEX($X$9:$X$40,MATCH(B56,$V$9:$V$40,0)),"")</f>
        <v/>
      </c>
      <c r="M56" s="80">
        <f>IFERROR(INDEX($Y$9:$Y$40,MATCH(B56,$V$9:$V$40,0)),"")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9">
        <f>IFERROR(INDEX($X$9:$X$40,MATCH(B57,$V$9:$V$40,0)),"")</f>
        <v/>
      </c>
      <c r="M57" s="80">
        <f>IFERROR(INDEX($Y$9:$Y$40,MATCH(B57,$V$9:$V$40,0)),"")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9">
        <f>IFERROR(INDEX($X$9:$X$40,MATCH(B58,$V$9:$V$40,0)),"")</f>
        <v/>
      </c>
      <c r="M58" s="80">
        <f>IFERROR(INDEX($Y$9:$Y$40,MATCH(B58,$V$9:$V$40,0)),"")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9">
        <f>IFERROR(INDEX($X$9:$X$40,MATCH(B59,$V$9:$V$40,0)),"")</f>
        <v/>
      </c>
      <c r="M59" s="80">
        <f>IFERROR(INDEX($Y$9:$Y$40,MATCH(B59,$V$9:$V$40,0)),"")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9">
        <f>IFERROR(INDEX($X$9:$X$40,MATCH(B60,$V$9:$V$40,0)),"")</f>
        <v/>
      </c>
      <c r="M60" s="80">
        <f>IFERROR(INDEX($Y$9:$Y$40,MATCH(B60,$V$9:$V$40,0)),"")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9">
        <f>IFERROR(INDEX($X$9:$X$40,MATCH(B61,$V$9:$V$40,0)),"")</f>
        <v/>
      </c>
      <c r="M61" s="80">
        <f>IFERROR(INDEX($Y$9:$Y$40,MATCH(B61,$V$9:$V$40,0)),"")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9">
        <f>IFERROR(INDEX($X$9:$X$40,MATCH(B62,$V$9:$V$40,0)),"")</f>
        <v/>
      </c>
      <c r="M62" s="80">
        <f>IFERROR(INDEX($Y$9:$Y$40,MATCH(B62,$V$9:$V$40,0)),"")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9">
        <f>IFERROR(INDEX($X$9:$X$40,MATCH(B63,$V$9:$V$40,0)),"")</f>
        <v/>
      </c>
      <c r="M63" s="80">
        <f>IFERROR(INDEX($Y$9:$Y$40,MATCH(B63,$V$9:$V$40,0)),"")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9">
        <f>IFERROR(INDEX($X$9:$X$40,MATCH(B64,$V$9:$V$40,0)),"")</f>
        <v/>
      </c>
      <c r="M64" s="80">
        <f>IFERROR(INDEX($Y$9:$Y$40,MATCH(B64,$V$9:$V$40,0)),"")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9">
        <f>IFERROR(INDEX($X$9:$X$40,MATCH(B65,$V$9:$V$40,0)),"")</f>
        <v/>
      </c>
      <c r="M65" s="80">
        <f>IFERROR(INDEX($Y$9:$Y$40,MATCH(B65,$V$9:$V$40,0)),"")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9">
        <f>IFERROR(INDEX($X$9:$X$40,MATCH(B66,$V$9:$V$40,0)),"")</f>
        <v/>
      </c>
      <c r="M66" s="80">
        <f>IFERROR(INDEX($Y$9:$Y$40,MATCH(B66,$V$9:$V$40,0)),"")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9">
        <f>IFERROR(INDEX($X$9:$X$40,MATCH(B67,$V$9:$V$40,0)),"")</f>
        <v/>
      </c>
      <c r="M67" s="80">
        <f>IFERROR(INDEX($Y$9:$Y$40,MATCH(B67,$V$9:$V$40,0)),"")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9">
        <f>IFERROR(INDEX($X$9:$X$40,MATCH(B68,$V$9:$V$40,0)),"")</f>
        <v/>
      </c>
      <c r="M68" s="80">
        <f>IFERROR(INDEX($Y$9:$Y$40,MATCH(B68,$V$9:$V$40,0)),"")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9">
        <f>IFERROR(INDEX($X$9:$X$40,MATCH(B69,$V$9:$V$40,0)),"")</f>
        <v/>
      </c>
      <c r="M69" s="80">
        <f>IFERROR(INDEX($Y$9:$Y$40,MATCH(B69,$V$9:$V$40,0)),"")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9">
        <f>IFERROR(INDEX($X$9:$X$40,MATCH(B70,$V$9:$V$40,0)),"")</f>
        <v/>
      </c>
      <c r="M70" s="80">
        <f>IFERROR(INDEX($Y$9:$Y$40,MATCH(B70,$V$9:$V$40,0)),"")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9">
        <f>IFERROR(INDEX($X$9:$X$40,MATCH(B71,$V$9:$V$40,0)),"")</f>
        <v/>
      </c>
      <c r="M71" s="80">
        <f>IFERROR(INDEX($Y$9:$Y$40,MATCH(B71,$V$9:$V$40,0)),"")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9">
        <f>IFERROR(INDEX($X$9:$X$40,MATCH(B72,$V$9:$V$40,0)),"")</f>
        <v/>
      </c>
      <c r="M72" s="80">
        <f>IFERROR(INDEX($Y$9:$Y$40,MATCH(B72,$V$9:$V$40,0)),"")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2026-07-21T14:22:56Z</dcterms:modified>
</cp:coreProperties>
</file>