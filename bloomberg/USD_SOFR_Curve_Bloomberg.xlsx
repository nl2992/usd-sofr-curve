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S490_Target" sheetId="7" state="visible" r:id="rId7"/>
    <sheet xmlns:r="http://schemas.openxmlformats.org/officeDocument/2006/relationships" name="Curve_Solver" sheetId="8" state="visible" r:id="rId8"/>
    <sheet xmlns:r="http://schemas.openxmlformats.org/officeDocument/2006/relationships" name="Bootstrap_Lehman" sheetId="9" state="visible" r:id="rId9"/>
    <sheet xmlns:r="http://schemas.openxmlformats.org/officeDocument/2006/relationships" name="Swap_Pricer" sheetId="10" state="visible" r:id="rId10"/>
    <sheet xmlns:r="http://schemas.openxmlformats.org/officeDocument/2006/relationships" name="Curve_Interface" sheetId="11" state="visible" r:id="rId11"/>
    <sheet xmlns:r="http://schemas.openxmlformats.org/officeDocument/2006/relationships" name="Bloomberg_S490_Validation" sheetId="12" state="visible" r:id="rId12"/>
    <sheet xmlns:r="http://schemas.openxmlformats.org/officeDocument/2006/relationships" name="Conventions" sheetId="13" state="visible" r:id="rId13"/>
    <sheet xmlns:r="http://schemas.openxmlformats.org/officeDocument/2006/relationships" name="Fwd_Interp" sheetId="14" state="visible" r:id="rId14"/>
    <sheet xmlns:r="http://schemas.openxmlformats.org/officeDocument/2006/relationships" name="CDS_Parameters" sheetId="15" state="visible" r:id="rId15"/>
    <sheet xmlns:r="http://schemas.openxmlformats.org/officeDocument/2006/relationships" name="CDS_Quotes" sheetId="16" state="visible" r:id="rId16"/>
    <sheet xmlns:r="http://schemas.openxmlformats.org/officeDocument/2006/relationships" name="Hazard_Bootstrap" sheetId="17" state="visible" r:id="rId17"/>
    <sheet xmlns:r="http://schemas.openxmlformats.org/officeDocument/2006/relationships" name="CDS_Schedule" sheetId="18" state="visible" r:id="rId18"/>
    <sheet xmlns:r="http://schemas.openxmlformats.org/officeDocument/2006/relationships" name="CDS_Pricer" sheetId="19" state="visible" r:id="rId19"/>
    <sheet xmlns:r="http://schemas.openxmlformats.org/officeDocument/2006/relationships" name="CDS_Validation" sheetId="20" state="visible" r:id="rId20"/>
    <sheet xmlns:r="http://schemas.openxmlformats.org/officeDocument/2006/relationships" name="Hazard_Solver" sheetId="21" state="visible" r:id="rId21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1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yyyy-mm-dd"/>
  </numFmts>
  <fonts count="18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13" t="inlineStr">
        <is>
          <t>Bootstrap_Lehman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3.64055</v>
      </c>
      <c r="F6" s="65" t="inlineStr">
        <is>
          <t>FITTED, not an observed fixing: 3.64055% is the overnight rate that makes DFspot reproduce the screen's discount column (spot lag T+2, ACT/360). Replace with the real SOFR fixing if you prefer observed inputs - it moves the whole curve by ~1e-6 in DF.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— Bloomberg YCSW0490 USD SOFR, curve date 07/21/2026, PCS BGN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Source: S490 Curve Construction screen (user-supplied photo, 07/21/26). Mid = (bid+ask)/2 reproduces Bloomberg's Market Rate column for all 32 pillars. Used only when BDP fails; on a terminal BDP takes precedence.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BID (%)</t>
        </is>
      </c>
      <c r="K4" s="62" t="inlineStr">
        <is>
          <t>Manual ASK (%)</t>
        </is>
      </c>
      <c r="L4" s="62" t="inlineStr">
        <is>
          <t>Source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IFERROR((E5+F5)/2,IFERROR(G5+0,(J5+K5)/2))</f>
        <v/>
      </c>
      <c r="I5" s="26" t="inlineStr">
        <is>
          <t>Y</t>
        </is>
      </c>
      <c r="J5" s="85" t="n">
        <v>3.62682</v>
      </c>
      <c r="K5" s="85" t="n">
        <v>3.63318</v>
      </c>
      <c r="L5" s="65" t="inlineStr">
        <is>
          <t>S490 07/21/26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IFERROR((E6+F6)/2,IFERROR(G6+0,(J6+K6)/2))</f>
        <v/>
      </c>
      <c r="I6" s="26" t="inlineStr"/>
      <c r="J6" s="85" t="n">
        <v>3.66879</v>
      </c>
      <c r="K6" s="85" t="n">
        <v>3.67521</v>
      </c>
      <c r="L6" s="65" t="inlineStr">
        <is>
          <t>S490 07/21/26</t>
        </is>
      </c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IFERROR((E7+F7)/2,IFERROR(G7+0,(J7+K7)/2))</f>
        <v/>
      </c>
      <c r="I7" s="26" t="inlineStr"/>
      <c r="J7" s="85" t="n">
        <v>3.66701</v>
      </c>
      <c r="K7" s="85" t="n">
        <v>3.67279</v>
      </c>
      <c r="L7" s="65" t="inlineStr">
        <is>
          <t>S490 07/21/26</t>
        </is>
      </c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IFERROR((E8+F8)/2,IFERROR(G8+0,(J8+K8)/2))</f>
        <v/>
      </c>
      <c r="I8" s="26" t="inlineStr">
        <is>
          <t>Y</t>
        </is>
      </c>
      <c r="J8" s="85" t="n">
        <v>3.67722</v>
      </c>
      <c r="K8" s="85" t="n">
        <v>3.68058</v>
      </c>
      <c r="L8" s="65" t="inlineStr">
        <is>
          <t>S490 07/21/26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IFERROR((E9+F9)/2,IFERROR(G9+0,(J9+K9)/2))</f>
        <v/>
      </c>
      <c r="I9" s="26" t="inlineStr"/>
      <c r="J9" s="85" t="n">
        <v>3.70154</v>
      </c>
      <c r="K9" s="85" t="n">
        <v>3.70535</v>
      </c>
      <c r="L9" s="65" t="inlineStr">
        <is>
          <t>S490 07/21/26</t>
        </is>
      </c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IFERROR((E10+F10)/2,IFERROR(G10+0,(J10+K10)/2))</f>
        <v/>
      </c>
      <c r="I10" s="26" t="inlineStr">
        <is>
          <t>Y</t>
        </is>
      </c>
      <c r="J10" s="85" t="n">
        <v>3.7508</v>
      </c>
      <c r="K10" s="85" t="n">
        <v>3.7549</v>
      </c>
      <c r="L10" s="65" t="inlineStr">
        <is>
          <t>S490 07/21/26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IFERROR((E11+F11)/2,IFERROR(G11+0,(J11+K11)/2))</f>
        <v/>
      </c>
      <c r="I11" s="26" t="inlineStr"/>
      <c r="J11" s="85" t="n">
        <v>3.79361</v>
      </c>
      <c r="K11" s="85" t="n">
        <v>3.79789</v>
      </c>
      <c r="L11" s="65" t="inlineStr">
        <is>
          <t>S490 07/21/26</t>
        </is>
      </c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IFERROR((E12+F12)/2,IFERROR(G12+0,(J12+K12)/2))</f>
        <v/>
      </c>
      <c r="I12" s="26" t="inlineStr"/>
      <c r="J12" s="85" t="n">
        <v>3.83196</v>
      </c>
      <c r="K12" s="85" t="n">
        <v>3.83674</v>
      </c>
      <c r="L12" s="65" t="inlineStr">
        <is>
          <t>S490 07/21/26</t>
        </is>
      </c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IFERROR((E13+F13)/2,IFERROR(G13+0,(J13+K13)/2))</f>
        <v/>
      </c>
      <c r="I13" s="26" t="inlineStr">
        <is>
          <t>Y</t>
        </is>
      </c>
      <c r="J13" s="85" t="n">
        <v>3.87501</v>
      </c>
      <c r="K13" s="85" t="n">
        <v>3.87949</v>
      </c>
      <c r="L13" s="65" t="inlineStr">
        <is>
          <t>S490 07/21/26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IFERROR((E14+F14)/2,IFERROR(G14+0,(J14+K14)/2))</f>
        <v/>
      </c>
      <c r="I14" s="26" t="inlineStr"/>
      <c r="J14" s="85" t="n">
        <v>3.90612</v>
      </c>
      <c r="K14" s="85" t="n">
        <v>3.91028</v>
      </c>
      <c r="L14" s="65" t="inlineStr">
        <is>
          <t>S490 07/21/26</t>
        </is>
      </c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IFERROR((E15+F15)/2,IFERROR(G15+0,(J15+K15)/2))</f>
        <v/>
      </c>
      <c r="I15" s="26" t="inlineStr"/>
      <c r="J15" s="85" t="n">
        <v>3.93252</v>
      </c>
      <c r="K15" s="85" t="n">
        <v>3.93648</v>
      </c>
      <c r="L15" s="65" t="inlineStr">
        <is>
          <t>S490 07/21/26</t>
        </is>
      </c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IFERROR((E16+F16)/2,IFERROR(G16+0,(J16+K16)/2))</f>
        <v/>
      </c>
      <c r="I16" s="26" t="inlineStr"/>
      <c r="J16" s="85" t="n">
        <v>3.96102</v>
      </c>
      <c r="K16" s="85" t="n">
        <v>3.96488</v>
      </c>
      <c r="L16" s="65" t="inlineStr">
        <is>
          <t>S490 07/21/26</t>
        </is>
      </c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IFERROR((E17+F17)/2,IFERROR(G17+0,(J17+K17)/2))</f>
        <v/>
      </c>
      <c r="I17" s="26" t="inlineStr"/>
      <c r="J17" s="85" t="n">
        <v>3.98669</v>
      </c>
      <c r="K17" s="85" t="n">
        <v>3.99051</v>
      </c>
      <c r="L17" s="65" t="inlineStr">
        <is>
          <t>S490 07/21/26</t>
        </is>
      </c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IFERROR((E18+F18)/2,IFERROR(G18+0,(J18+K18)/2))</f>
        <v/>
      </c>
      <c r="I18" s="26" t="inlineStr"/>
      <c r="J18" s="85" t="n">
        <v>4.00898</v>
      </c>
      <c r="K18" s="85" t="n">
        <v>4.01272</v>
      </c>
      <c r="L18" s="65" t="inlineStr">
        <is>
          <t>S490 07/21/26</t>
        </is>
      </c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IFERROR((E19+F19)/2,IFERROR(G19+0,(J19+K19)/2))</f>
        <v/>
      </c>
      <c r="I19" s="26" t="inlineStr"/>
      <c r="J19" s="85" t="n">
        <v>4.02869</v>
      </c>
      <c r="K19" s="85" t="n">
        <v>4.03192</v>
      </c>
      <c r="L19" s="65" t="inlineStr">
        <is>
          <t>S490 07/21/26</t>
        </is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IFERROR((E20+F20)/2,IFERROR(G20+0,(J20+K20)/2))</f>
        <v/>
      </c>
      <c r="I20" s="26" t="inlineStr"/>
      <c r="J20" s="85" t="n">
        <v>4.04401</v>
      </c>
      <c r="K20" s="85" t="n">
        <v>4.04717</v>
      </c>
      <c r="L20" s="65" t="inlineStr">
        <is>
          <t>S490 07/21/26</t>
        </is>
      </c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IFERROR((E21+F21)/2,IFERROR(G21+0,(J21+K21)/2))</f>
        <v/>
      </c>
      <c r="I21" s="26" t="inlineStr"/>
      <c r="J21" s="85" t="n">
        <v>4.0498</v>
      </c>
      <c r="K21" s="85" t="n">
        <v>4.0524</v>
      </c>
      <c r="L21" s="65" t="inlineStr">
        <is>
          <t>S490 07/21/26</t>
        </is>
      </c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IFERROR((E22+F22)/2,IFERROR(G22+0,(J22+K22)/2))</f>
        <v/>
      </c>
      <c r="I22" s="26" t="inlineStr"/>
      <c r="J22" s="85" t="n">
        <v>4.0302</v>
      </c>
      <c r="K22" s="85" t="n">
        <v>4.0327</v>
      </c>
      <c r="L22" s="65" t="inlineStr">
        <is>
          <t>S490 07/21/26</t>
        </is>
      </c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IFERROR((E23+F23)/2,IFERROR(G23+0,(J23+K23)/2))</f>
        <v/>
      </c>
      <c r="I23" s="26" t="inlineStr"/>
      <c r="J23" s="85" t="n">
        <v>4.02235</v>
      </c>
      <c r="K23" s="85" t="n">
        <v>4.02486</v>
      </c>
      <c r="L23" s="65" t="inlineStr">
        <is>
          <t>S490 07/21/26</t>
        </is>
      </c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IFERROR((E24+F24)/2,IFERROR(G24+0,(J24+K24)/2))</f>
        <v/>
      </c>
      <c r="I24" s="26" t="inlineStr">
        <is>
          <t>Y</t>
        </is>
      </c>
      <c r="J24" s="85" t="n">
        <v>4.03007</v>
      </c>
      <c r="K24" s="85" t="n">
        <v>4.03273</v>
      </c>
      <c r="L24" s="65" t="inlineStr">
        <is>
          <t>S490 07/21/26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IFERROR((E25+F25)/2,IFERROR(G25+0,(J25+K25)/2))</f>
        <v/>
      </c>
      <c r="I25" s="26" t="inlineStr">
        <is>
          <t>Y</t>
        </is>
      </c>
      <c r="J25" s="85" t="n">
        <v>4.0507</v>
      </c>
      <c r="K25" s="85" t="n">
        <v>4.05283</v>
      </c>
      <c r="L25" s="65" t="inlineStr">
        <is>
          <t>S490 07/21/26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IFERROR((E26+F26)/2,IFERROR(G26+0,(J26+K26)/2))</f>
        <v/>
      </c>
      <c r="I26" s="26" t="inlineStr">
        <is>
          <t>Y</t>
        </is>
      </c>
      <c r="J26" s="85" t="n">
        <v>4.07677</v>
      </c>
      <c r="K26" s="85" t="n">
        <v>4.07909</v>
      </c>
      <c r="L26" s="65" t="inlineStr">
        <is>
          <t>S490 07/21/26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IFERROR((E27+F27)/2,IFERROR(G27+0,(J27+K27)/2))</f>
        <v/>
      </c>
      <c r="I27" s="26" t="inlineStr">
        <is>
          <t>Y</t>
        </is>
      </c>
      <c r="J27" s="85" t="n">
        <v>4.10574</v>
      </c>
      <c r="K27" s="85" t="n">
        <v>4.10816</v>
      </c>
      <c r="L27" s="65" t="inlineStr">
        <is>
          <t>S490 07/21/26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IFERROR((E28+F28)/2,IFERROR(G28+0,(J28+K28)/2))</f>
        <v/>
      </c>
      <c r="I28" s="26" t="inlineStr">
        <is>
          <t>Y</t>
        </is>
      </c>
      <c r="J28" s="85" t="n">
        <v>4.13691</v>
      </c>
      <c r="K28" s="85" t="n">
        <v>4.13959</v>
      </c>
      <c r="L28" s="65" t="inlineStr">
        <is>
          <t>S490 07/21/26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IFERROR((E29+F29)/2,IFERROR(G29+0,(J29+K29)/2))</f>
        <v/>
      </c>
      <c r="I29" s="26" t="inlineStr">
        <is>
          <t>Y</t>
        </is>
      </c>
      <c r="J29" s="85" t="n">
        <v>4.17029</v>
      </c>
      <c r="K29" s="85" t="n">
        <v>4.17301</v>
      </c>
      <c r="L29" s="65" t="inlineStr">
        <is>
          <t>S490 07/21/26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IFERROR((E30+F30)/2,IFERROR(G30+0,(J30+K30)/2))</f>
        <v/>
      </c>
      <c r="I30" s="26" t="inlineStr">
        <is>
          <t>Y</t>
        </is>
      </c>
      <c r="J30" s="85" t="n">
        <v>4.23713</v>
      </c>
      <c r="K30" s="85" t="n">
        <v>4.23995</v>
      </c>
      <c r="L30" s="65" t="inlineStr">
        <is>
          <t>S490 07/21/26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IFERROR((E31+F31)/2,IFERROR(G31+0,(J31+K31)/2))</f>
        <v/>
      </c>
      <c r="I31" s="26" t="inlineStr">
        <is>
          <t>Y</t>
        </is>
      </c>
      <c r="J31" s="85" t="n">
        <v>4.32475</v>
      </c>
      <c r="K31" s="85" t="n">
        <v>4.32801</v>
      </c>
      <c r="L31" s="65" t="inlineStr">
        <is>
          <t>S490 07/21/26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IFERROR((E32+F32)/2,IFERROR(G32+0,(J32+K32)/2))</f>
        <v/>
      </c>
      <c r="I32" s="26" t="inlineStr">
        <is>
          <t>Y</t>
        </is>
      </c>
      <c r="J32" s="85" t="n">
        <v>4.39966</v>
      </c>
      <c r="K32" s="85" t="n">
        <v>4.40294</v>
      </c>
      <c r="L32" s="65" t="inlineStr">
        <is>
          <t>S490 07/21/26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IFERROR((E33+F33)/2,IFERROR(G33+0,(J33+K33)/2))</f>
        <v/>
      </c>
      <c r="I33" s="26" t="inlineStr">
        <is>
          <t>Y</t>
        </is>
      </c>
      <c r="J33" s="85" t="n">
        <v>4.39842</v>
      </c>
      <c r="K33" s="85" t="n">
        <v>4.40168</v>
      </c>
      <c r="L33" s="65" t="inlineStr">
        <is>
          <t>S490 07/21/26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IFERROR((E34+F34)/2,IFERROR(G34+0,(J34+K34)/2))</f>
        <v/>
      </c>
      <c r="I34" s="26" t="inlineStr">
        <is>
          <t>Y</t>
        </is>
      </c>
      <c r="J34" s="85" t="n">
        <v>4.36132</v>
      </c>
      <c r="K34" s="85" t="n">
        <v>4.36422</v>
      </c>
      <c r="L34" s="65" t="inlineStr">
        <is>
          <t>S490 07/21/26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IFERROR((E35+F35)/2,IFERROR(G35+0,(J35+K35)/2))</f>
        <v/>
      </c>
      <c r="I35" s="26" t="inlineStr">
        <is>
          <t>Y</t>
        </is>
      </c>
      <c r="J35" s="85" t="n">
        <v>4.23695</v>
      </c>
      <c r="K35" s="85" t="n">
        <v>4.25025</v>
      </c>
      <c r="L35" s="65" t="inlineStr">
        <is>
          <t>S490 07/21/26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IFERROR((E36+F36)/2,IFERROR(G36+0,(J36+K36)/2))</f>
        <v/>
      </c>
      <c r="I36" s="26" t="inlineStr">
        <is>
          <t>Y</t>
        </is>
      </c>
      <c r="J36" s="85" t="n">
        <v>4.09924</v>
      </c>
      <c r="K36" s="85" t="n">
        <v>4.1213</v>
      </c>
      <c r="L36" s="65" t="inlineStr">
        <is>
          <t>S490 07/21/26</t>
        </is>
      </c>
    </row>
    <row r="37"/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75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27">
        <f>1/(1+('SOFR_Fixings'!$C$6/100)*($B$4-VAL_DATE)/360)</f>
        <v/>
      </c>
    </row>
    <row r="5" ht="58" customHeight="1">
      <c r="A5" s="9" t="inlineStr">
        <is>
          <t>Purely from the SOFR OIS quotes — no futures. SHORT (o/n–1Y): each OIS pays a single coupon, so DF = 1/(1+S·tau0). 18M–50Y: annual coupons, DF = (1−S·A_prior)/(1+S·taucoupon), where A_prior (col G) sums tau·DF over prior annual coupon dates (col I books this only at annual pillars; sub-annual and 18M add 0). Every input reprices to par. Col E par rates pull live from SOFR_OIS_Quotes. Paste Bloomberg S490 zeros into column L for the Δz check. For the Lehman-style build that puts SR3 futures in the 1Y–5Y middle, see the Bootstrap_Lehman tab.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20" t="inlineStr">
        <is>
          <t>Fixed leg  K·Σα·DF</t>
        </is>
      </c>
      <c r="U7" s="20" t="inlineStr">
        <is>
          <t>Float leg  DF0−DF(T)</t>
        </is>
      </c>
      <c r="V7" s="20" t="inlineStr">
        <is>
          <t>Model par (%)</t>
        </is>
      </c>
      <c r="W7" s="20" t="inlineStr">
        <is>
          <t>Reprice (bp)</t>
        </is>
      </c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34">
        <f>(E8/100)*S8</f>
        <v/>
      </c>
      <c r="U8" s="34">
        <f>$D$4-H8</f>
        <v/>
      </c>
      <c r="V8" s="17">
        <f>U8/S8*100</f>
        <v/>
      </c>
      <c r="W8" s="31">
        <f>(V8-E8)*100</f>
        <v/>
      </c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34">
        <f>(E9/100)*S9</f>
        <v/>
      </c>
      <c r="U9" s="34">
        <f>$D$4-H9</f>
        <v/>
      </c>
      <c r="V9" s="17">
        <f>U9/S9*100</f>
        <v/>
      </c>
      <c r="W9" s="31">
        <f>(V9-E9)*100</f>
        <v/>
      </c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34">
        <f>(E10/100)*S10</f>
        <v/>
      </c>
      <c r="U10" s="34">
        <f>$D$4-H10</f>
        <v/>
      </c>
      <c r="V10" s="17">
        <f>U10/S10*100</f>
        <v/>
      </c>
      <c r="W10" s="31">
        <f>(V10-E10)*100</f>
        <v/>
      </c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34">
        <f>(E11/100)*S11</f>
        <v/>
      </c>
      <c r="U11" s="34">
        <f>$D$4-H11</f>
        <v/>
      </c>
      <c r="V11" s="17">
        <f>U11/S11*100</f>
        <v/>
      </c>
      <c r="W11" s="31">
        <f>(V11-E11)*100</f>
        <v/>
      </c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34">
        <f>(E12/100)*S12</f>
        <v/>
      </c>
      <c r="U12" s="34">
        <f>$D$4-H12</f>
        <v/>
      </c>
      <c r="V12" s="17">
        <f>U12/S12*100</f>
        <v/>
      </c>
      <c r="W12" s="31">
        <f>(V12-E12)*100</f>
        <v/>
      </c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34">
        <f>(E13/100)*S13</f>
        <v/>
      </c>
      <c r="U13" s="34">
        <f>$D$4-H13</f>
        <v/>
      </c>
      <c r="V13" s="17">
        <f>U13/S13*100</f>
        <v/>
      </c>
      <c r="W13" s="31">
        <f>(V13-E13)*100</f>
        <v/>
      </c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34">
        <f>(E14/100)*S14</f>
        <v/>
      </c>
      <c r="U14" s="34">
        <f>$D$4-H14</f>
        <v/>
      </c>
      <c r="V14" s="17">
        <f>U14/S14*100</f>
        <v/>
      </c>
      <c r="W14" s="31">
        <f>(V14-E14)*100</f>
        <v/>
      </c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34">
        <f>(E15/100)*S15</f>
        <v/>
      </c>
      <c r="U15" s="34">
        <f>$D$4-H15</f>
        <v/>
      </c>
      <c r="V15" s="17">
        <f>U15/S15*100</f>
        <v/>
      </c>
      <c r="W15" s="31">
        <f>(V15-E15)*100</f>
        <v/>
      </c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34">
        <f>(E16/100)*S16</f>
        <v/>
      </c>
      <c r="U16" s="34">
        <f>$D$4-H16</f>
        <v/>
      </c>
      <c r="V16" s="17">
        <f>U16/S16*100</f>
        <v/>
      </c>
      <c r="W16" s="31">
        <f>(V16-E16)*100</f>
        <v/>
      </c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34">
        <f>(E17/100)*S17</f>
        <v/>
      </c>
      <c r="U17" s="34">
        <f>$D$4-H17</f>
        <v/>
      </c>
      <c r="V17" s="17">
        <f>U17/S17*100</f>
        <v/>
      </c>
      <c r="W17" s="31">
        <f>(V17-E17)*100</f>
        <v/>
      </c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34">
        <f>(E18/100)*S18</f>
        <v/>
      </c>
      <c r="U18" s="34">
        <f>$D$4-H18</f>
        <v/>
      </c>
      <c r="V18" s="17">
        <f>U18/S18*100</f>
        <v/>
      </c>
      <c r="W18" s="31">
        <f>(V18-E18)*100</f>
        <v/>
      </c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34">
        <f>(E19/100)*S19</f>
        <v/>
      </c>
      <c r="U19" s="34">
        <f>$D$4-H19</f>
        <v/>
      </c>
      <c r="V19" s="17">
        <f>U19/S19*100</f>
        <v/>
      </c>
      <c r="W19" s="31">
        <f>(V19-E19)*100</f>
        <v/>
      </c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34">
        <f>(E20/100)*S20</f>
        <v/>
      </c>
      <c r="U20" s="34">
        <f>$D$4-H20</f>
        <v/>
      </c>
      <c r="V20" s="17">
        <f>U20/S20*100</f>
        <v/>
      </c>
      <c r="W20" s="31">
        <f>(V20-E20)*100</f>
        <v/>
      </c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34">
        <f>(E21/100)*S21</f>
        <v/>
      </c>
      <c r="U21" s="34">
        <f>$D$4-H21</f>
        <v/>
      </c>
      <c r="V21" s="17">
        <f>U21/S21*100</f>
        <v/>
      </c>
      <c r="W21" s="31">
        <f>(V21-E21)*100</f>
        <v/>
      </c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34">
        <f>(E22/100)*S22</f>
        <v/>
      </c>
      <c r="U22" s="34">
        <f>$D$4-H22</f>
        <v/>
      </c>
      <c r="V22" s="17">
        <f>U22/S22*100</f>
        <v/>
      </c>
      <c r="W22" s="31">
        <f>(V22-E22)*100</f>
        <v/>
      </c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34">
        <f>(E23/100)*S23</f>
        <v/>
      </c>
      <c r="U23" s="34">
        <f>$D$4-H23</f>
        <v/>
      </c>
      <c r="V23" s="17">
        <f>U23/S23*100</f>
        <v/>
      </c>
      <c r="W23" s="31">
        <f>(V23-E23)*100</f>
        <v/>
      </c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34">
        <f>(E24/100)*S24</f>
        <v/>
      </c>
      <c r="U24" s="34">
        <f>$D$4-H24</f>
        <v/>
      </c>
      <c r="V24" s="17">
        <f>U24/S24*100</f>
        <v/>
      </c>
      <c r="W24" s="31">
        <f>(V24-E24)*100</f>
        <v/>
      </c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34">
        <f>(E25/100)*S25</f>
        <v/>
      </c>
      <c r="U25" s="34">
        <f>$D$4-H25</f>
        <v/>
      </c>
      <c r="V25" s="17">
        <f>U25/S25*100</f>
        <v/>
      </c>
      <c r="W25" s="31">
        <f>(V25-E25)*100</f>
        <v/>
      </c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34">
        <f>(E26/100)*S26</f>
        <v/>
      </c>
      <c r="U26" s="34">
        <f>$D$4-H26</f>
        <v/>
      </c>
      <c r="V26" s="17">
        <f>U26/S26*100</f>
        <v/>
      </c>
      <c r="W26" s="31">
        <f>(V26-E26)*100</f>
        <v/>
      </c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34">
        <f>(E27/100)*S27</f>
        <v/>
      </c>
      <c r="U27" s="34">
        <f>$D$4-H27</f>
        <v/>
      </c>
      <c r="V27" s="17">
        <f>U27/S27*100</f>
        <v/>
      </c>
      <c r="W27" s="31">
        <f>(V27-E27)*100</f>
        <v/>
      </c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34">
        <f>(E28/100)*S28</f>
        <v/>
      </c>
      <c r="U28" s="34">
        <f>$D$4-H28</f>
        <v/>
      </c>
      <c r="V28" s="17">
        <f>U28/S28*100</f>
        <v/>
      </c>
      <c r="W28" s="31">
        <f>(V28-E28)*100</f>
        <v/>
      </c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34">
        <f>(E29/100)*S29</f>
        <v/>
      </c>
      <c r="U29" s="34">
        <f>$D$4-H29</f>
        <v/>
      </c>
      <c r="V29" s="17">
        <f>U29/S29*100</f>
        <v/>
      </c>
      <c r="W29" s="31">
        <f>(V29-E29)*100</f>
        <v/>
      </c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34">
        <f>(E30/100)*S30</f>
        <v/>
      </c>
      <c r="U30" s="34">
        <f>$D$4-H30</f>
        <v/>
      </c>
      <c r="V30" s="17">
        <f>U30/S30*100</f>
        <v/>
      </c>
      <c r="W30" s="31">
        <f>(V30-E30)*100</f>
        <v/>
      </c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34">
        <f>(E31/100)*S31</f>
        <v/>
      </c>
      <c r="U31" s="34">
        <f>$D$4-H31</f>
        <v/>
      </c>
      <c r="V31" s="17">
        <f>U31/S31*100</f>
        <v/>
      </c>
      <c r="W31" s="31">
        <f>(V31-E31)*100</f>
        <v/>
      </c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34">
        <f>(E32/100)*S32</f>
        <v/>
      </c>
      <c r="U32" s="34">
        <f>$D$4-H32</f>
        <v/>
      </c>
      <c r="V32" s="17">
        <f>U32/S32*100</f>
        <v/>
      </c>
      <c r="W32" s="31">
        <f>(V32-E32)*100</f>
        <v/>
      </c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34">
        <f>(E33/100)*S33</f>
        <v/>
      </c>
      <c r="U33" s="34">
        <f>$D$4-H33</f>
        <v/>
      </c>
      <c r="V33" s="17">
        <f>U33/S33*100</f>
        <v/>
      </c>
      <c r="W33" s="31">
        <f>(V33-E33)*100</f>
        <v/>
      </c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34">
        <f>(E34/100)*S34</f>
        <v/>
      </c>
      <c r="U34" s="34">
        <f>$D$4-H34</f>
        <v/>
      </c>
      <c r="V34" s="17">
        <f>U34/S34*100</f>
        <v/>
      </c>
      <c r="W34" s="31">
        <f>(V34-E34)*100</f>
        <v/>
      </c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34">
        <f>(E35/100)*S35</f>
        <v/>
      </c>
      <c r="U35" s="34">
        <f>$D$4-H35</f>
        <v/>
      </c>
      <c r="V35" s="17">
        <f>U35/S35*100</f>
        <v/>
      </c>
      <c r="W35" s="31">
        <f>(V35-E35)*100</f>
        <v/>
      </c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34">
        <f>(E36/100)*S36</f>
        <v/>
      </c>
      <c r="U36" s="34">
        <f>$D$4-H36</f>
        <v/>
      </c>
      <c r="V36" s="17">
        <f>U36/S36*100</f>
        <v/>
      </c>
      <c r="W36" s="31">
        <f>(V36-E36)*100</f>
        <v/>
      </c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34">
        <f>(E37/100)*S37</f>
        <v/>
      </c>
      <c r="U37" s="34">
        <f>$D$4-H37</f>
        <v/>
      </c>
      <c r="V37" s="17">
        <f>U37/S37*100</f>
        <v/>
      </c>
      <c r="W37" s="31">
        <f>(V37-E37)*100</f>
        <v/>
      </c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34">
        <f>(E38/100)*S38</f>
        <v/>
      </c>
      <c r="U38" s="34">
        <f>$D$4-H38</f>
        <v/>
      </c>
      <c r="V38" s="17">
        <f>U38/S38*100</f>
        <v/>
      </c>
      <c r="W38" s="31">
        <f>(V38-E38)*100</f>
        <v/>
      </c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34">
        <f>(E39/100)*S39</f>
        <v/>
      </c>
      <c r="U39" s="34">
        <f>$D$4-H39</f>
        <v/>
      </c>
      <c r="V39" s="17">
        <f>U39/S39*100</f>
        <v/>
      </c>
      <c r="W39" s="31">
        <f>(V39-E39)*100</f>
        <v/>
      </c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34">
        <f>(E40/100)*S40</f>
        <v/>
      </c>
      <c r="U40" s="34">
        <f>$D$4-H40</f>
        <v/>
      </c>
      <c r="V40" s="17">
        <f>U40/S40*100</f>
        <v/>
      </c>
      <c r="W40" s="31">
        <f>(V40-E40)*100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34">
        <f>(E41/100)*S41</f>
        <v/>
      </c>
      <c r="U41" s="34">
        <f>$D$4-H41</f>
        <v/>
      </c>
      <c r="V41" s="17">
        <f>U41/S41*100</f>
        <v/>
      </c>
      <c r="W41" s="31">
        <f>(V41-E41)*100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34">
        <f>(E42/100)*S42</f>
        <v/>
      </c>
      <c r="U42" s="34">
        <f>$D$4-H42</f>
        <v/>
      </c>
      <c r="V42" s="17">
        <f>U42/S42*100</f>
        <v/>
      </c>
      <c r="W42" s="31">
        <f>(V42-E42)*100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34">
        <f>(E43/100)*S43</f>
        <v/>
      </c>
      <c r="U43" s="34">
        <f>$D$4-H43</f>
        <v/>
      </c>
      <c r="V43" s="17">
        <f>U43/S43*100</f>
        <v/>
      </c>
      <c r="W43" s="31">
        <f>(V43-E43)*100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34">
        <f>(E44/100)*S44</f>
        <v/>
      </c>
      <c r="U44" s="34">
        <f>$D$4-H44</f>
        <v/>
      </c>
      <c r="V44" s="17">
        <f>U44/S44*100</f>
        <v/>
      </c>
      <c r="W44" s="31">
        <f>(V44-E44)*100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34">
        <f>(E45/100)*S45</f>
        <v/>
      </c>
      <c r="U45" s="34">
        <f>$D$4-H45</f>
        <v/>
      </c>
      <c r="V45" s="17">
        <f>U45/S45*100</f>
        <v/>
      </c>
      <c r="W45" s="31">
        <f>(V45-E45)*100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34">
        <f>(E46/100)*S46</f>
        <v/>
      </c>
      <c r="U46" s="34">
        <f>$D$4-H46</f>
        <v/>
      </c>
      <c r="V46" s="17">
        <f>U46/S46*100</f>
        <v/>
      </c>
      <c r="W46" s="31">
        <f>(V46-E46)*100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34">
        <f>(E47/100)*S47</f>
        <v/>
      </c>
      <c r="U47" s="34">
        <f>$D$4-H47</f>
        <v/>
      </c>
      <c r="V47" s="17">
        <f>U47/S47*100</f>
        <v/>
      </c>
      <c r="W47" s="31">
        <f>(V47-E47)*100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34">
        <f>(E48/100)*S48</f>
        <v/>
      </c>
      <c r="U48" s="34">
        <f>$D$4-H48</f>
        <v/>
      </c>
      <c r="V48" s="17">
        <f>U48/S48*100</f>
        <v/>
      </c>
      <c r="W48" s="31">
        <f>(V48-E48)*100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34">
        <f>(E49/100)*S49</f>
        <v/>
      </c>
      <c r="U49" s="34">
        <f>$D$4-H49</f>
        <v/>
      </c>
      <c r="V49" s="17">
        <f>U49/S49*100</f>
        <v/>
      </c>
      <c r="W49" s="31">
        <f>(V49-E49)*100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34">
        <f>(E50/100)*S50</f>
        <v/>
      </c>
      <c r="U50" s="34">
        <f>$D$4-H50</f>
        <v/>
      </c>
      <c r="V50" s="17">
        <f>U50/S50*100</f>
        <v/>
      </c>
      <c r="W50" s="31">
        <f>(V50-E50)*100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34">
        <f>(E51/100)*S51</f>
        <v/>
      </c>
      <c r="U51" s="34">
        <f>$D$4-H51</f>
        <v/>
      </c>
      <c r="V51" s="17">
        <f>U51/S51*100</f>
        <v/>
      </c>
      <c r="W51" s="31">
        <f>(V51-E51)*100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34">
        <f>(E52/100)*S52</f>
        <v/>
      </c>
      <c r="U52" s="34">
        <f>$D$4-H52</f>
        <v/>
      </c>
      <c r="V52" s="17">
        <f>U52/S52*100</f>
        <v/>
      </c>
      <c r="W52" s="31">
        <f>(V52-E52)*100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34">
        <f>(E53/100)*S53</f>
        <v/>
      </c>
      <c r="U53" s="34">
        <f>$D$4-H53</f>
        <v/>
      </c>
      <c r="V53" s="17">
        <f>U53/S53*100</f>
        <v/>
      </c>
      <c r="W53" s="31">
        <f>(V53-E53)*100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34">
        <f>(E54/100)*S54</f>
        <v/>
      </c>
      <c r="U54" s="34">
        <f>$D$4-H54</f>
        <v/>
      </c>
      <c r="V54" s="17">
        <f>U54/S54*100</f>
        <v/>
      </c>
      <c r="W54" s="31">
        <f>(V54-E54)*100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34">
        <f>(E55/100)*S55</f>
        <v/>
      </c>
      <c r="U55" s="34">
        <f>$D$4-H55</f>
        <v/>
      </c>
      <c r="V55" s="17">
        <f>U55/S55*100</f>
        <v/>
      </c>
      <c r="W55" s="31">
        <f>(V55-E55)*100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34">
        <f>(E56/100)*S56</f>
        <v/>
      </c>
      <c r="U56" s="34">
        <f>$D$4-H56</f>
        <v/>
      </c>
      <c r="V56" s="17">
        <f>U56/S56*100</f>
        <v/>
      </c>
      <c r="W56" s="31">
        <f>(V56-E56)*100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34">
        <f>(E57/100)*S57</f>
        <v/>
      </c>
      <c r="U57" s="34">
        <f>$D$4-H57</f>
        <v/>
      </c>
      <c r="V57" s="17">
        <f>U57/S57*100</f>
        <v/>
      </c>
      <c r="W57" s="31">
        <f>(V57-E57)*100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34">
        <f>(E58/100)*S58</f>
        <v/>
      </c>
      <c r="U58" s="34">
        <f>$D$4-H58</f>
        <v/>
      </c>
      <c r="V58" s="17">
        <f>U58/S58*100</f>
        <v/>
      </c>
      <c r="W58" s="31">
        <f>(V58-E58)*100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34">
        <f>(E59/100)*S59</f>
        <v/>
      </c>
      <c r="U59" s="34">
        <f>$D$4-H59</f>
        <v/>
      </c>
      <c r="V59" s="17">
        <f>U59/S59*100</f>
        <v/>
      </c>
      <c r="W59" s="31">
        <f>(V59-E59)*100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34">
        <f>(E60/100)*S60</f>
        <v/>
      </c>
      <c r="U60" s="34">
        <f>$D$4-H60</f>
        <v/>
      </c>
      <c r="V60" s="17">
        <f>U60/S60*100</f>
        <v/>
      </c>
      <c r="W60" s="31">
        <f>(V60-E60)*100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34">
        <f>(E61/100)*S61</f>
        <v/>
      </c>
      <c r="U61" s="34">
        <f>$D$4-H61</f>
        <v/>
      </c>
      <c r="V61" s="17">
        <f>U61/S61*100</f>
        <v/>
      </c>
      <c r="W61" s="31">
        <f>(V61-E61)*100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34">
        <f>(E62/100)*S62</f>
        <v/>
      </c>
      <c r="U62" s="34">
        <f>$D$4-H62</f>
        <v/>
      </c>
      <c r="V62" s="17">
        <f>U62/S62*100</f>
        <v/>
      </c>
      <c r="W62" s="31">
        <f>(V62-E62)*100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34">
        <f>(E63/100)*S63</f>
        <v/>
      </c>
      <c r="U63" s="34">
        <f>$D$4-H63</f>
        <v/>
      </c>
      <c r="V63" s="17">
        <f>U63/S63*100</f>
        <v/>
      </c>
      <c r="W63" s="31">
        <f>(V63-E63)*100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34">
        <f>(E64/100)*S64</f>
        <v/>
      </c>
      <c r="U64" s="34">
        <f>$D$4-H64</f>
        <v/>
      </c>
      <c r="V64" s="17">
        <f>U64/S64*100</f>
        <v/>
      </c>
      <c r="W64" s="31">
        <f>(V64-E64)*100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34">
        <f>(E65/100)*S65</f>
        <v/>
      </c>
      <c r="U65" s="34">
        <f>$D$4-H65</f>
        <v/>
      </c>
      <c r="V65" s="17">
        <f>U65/S65*100</f>
        <v/>
      </c>
      <c r="W65" s="31">
        <f>(V65-E65)*100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34">
        <f>(E66/100)*S66</f>
        <v/>
      </c>
      <c r="U66" s="34">
        <f>$D$4-H66</f>
        <v/>
      </c>
      <c r="V66" s="17">
        <f>U66/S66*100</f>
        <v/>
      </c>
      <c r="W66" s="31">
        <f>(V66-E66)*100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34">
        <f>(E67/100)*S67</f>
        <v/>
      </c>
      <c r="U67" s="34">
        <f>$D$4-H67</f>
        <v/>
      </c>
      <c r="V67" s="17">
        <f>U67/S67*100</f>
        <v/>
      </c>
      <c r="W67" s="31">
        <f>(V67-E67)*100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34">
        <f>(E68/100)*S68</f>
        <v/>
      </c>
      <c r="U68" s="34">
        <f>$D$4-H68</f>
        <v/>
      </c>
      <c r="V68" s="17">
        <f>U68/S68*100</f>
        <v/>
      </c>
      <c r="W68" s="31">
        <f>(V68-E68)*100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34">
        <f>(E69/100)*S69</f>
        <v/>
      </c>
      <c r="U69" s="34">
        <f>$D$4-H69</f>
        <v/>
      </c>
      <c r="V69" s="17">
        <f>U69/S69*100</f>
        <v/>
      </c>
      <c r="W69" s="31">
        <f>(V69-E69)*100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34">
        <f>(E70/100)*S70</f>
        <v/>
      </c>
      <c r="U70" s="34">
        <f>$D$4-H70</f>
        <v/>
      </c>
      <c r="V70" s="17">
        <f>U70/S70*100</f>
        <v/>
      </c>
      <c r="W70" s="31">
        <f>(V70-E70)*100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34">
        <f>(E71/100)*S71</f>
        <v/>
      </c>
      <c r="U71" s="34">
        <f>$D$4-H71</f>
        <v/>
      </c>
      <c r="V71" s="17">
        <f>U71/S71*100</f>
        <v/>
      </c>
      <c r="W71" s="31">
        <f>(V71-E71)*100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34">
        <f>(E72/100)*S72</f>
        <v/>
      </c>
      <c r="U72" s="34">
        <f>$D$4-H72</f>
        <v/>
      </c>
      <c r="V72" s="17">
        <f>U72/S72*100</f>
        <v/>
      </c>
      <c r="W72" s="31">
        <f>(V72-E72)*100</f>
        <v/>
      </c>
    </row>
    <row r="74" ht="40" customHeight="1">
      <c r="A74" s="9" t="inlineStr">
        <is>
          <t>PURELY OIS bootstrap:  SHORT o/n–1Y = single-payment SOFR OIS (DF = 1/(1+S·tau0));  18M–50Y = annual SOFR OIS swaps (DF = (1−S·A_prior)/(1+S·tau_coupon)), with the annuity (col I) booked only at annual coupon dates. Every input reprices to par. Column H is the curve P(0,T); zero z = −ln(DF)/T; DF source in col N. Paste S490 zeros into column L for the Δz check. This is the curve the Swap_Pricer, Curve_Interface, and the whole CDS module use. Bootstrap_Lehman is the alternative 3-segment build (short OIS + SR3 futures + OIS swaps).</t>
        </is>
      </c>
    </row>
    <row r="75"/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67" t="inlineStr">
        <is>
          <t>S490_Target — replication check vs the Bloomberg Curve Analysis screen</t>
        </is>
      </c>
    </row>
    <row r="2">
      <c r="A2" s="65" t="inlineStr">
        <is>
          <t>Screen: YCSW0490 USD SOFR (vs FIXED), Cont, curve date 07/21/2026, shift +0.00bp. Source: user-supplied photo.</t>
        </is>
      </c>
    </row>
    <row r="3">
      <c r="A3" s="65" t="inlineStr">
        <is>
          <t>Model columns look the date up in Bootstrap!B and read that row's zero rate (J) and discount factor (H). Diffs are model - screen.</t>
        </is>
      </c>
    </row>
    <row r="4">
      <c r="A4" s="65" t="inlineStr">
        <is>
          <t>Valid only when VAL_DATE = 07/21/2026. Cell B5 warns if it is not.</t>
        </is>
      </c>
    </row>
    <row r="5">
      <c r="A5" s="67" t="inlineStr">
        <is>
          <t>VAL_DATE check</t>
        </is>
      </c>
      <c r="B5" s="87">
        <f>IF(VAL_DATE=DATE(2026,7,21),"OK - dates align","VAL_DATE is not 07/21/2026: comparison not meaningful")</f>
        <v/>
      </c>
    </row>
    <row r="7">
      <c r="A7" s="73" t="inlineStr">
        <is>
          <t>SCREEN TARGET vs MODEL</t>
        </is>
      </c>
      <c r="B7" s="74" t="n"/>
      <c r="C7" s="74" t="n"/>
      <c r="D7" s="74" t="n"/>
      <c r="E7" s="74" t="n"/>
      <c r="F7" s="74" t="n"/>
      <c r="G7" s="74" t="n"/>
      <c r="H7" s="74" t="n"/>
      <c r="I7" s="74" t="n"/>
    </row>
    <row r="8">
      <c r="A8" s="62" t="inlineStr">
        <is>
          <t>Date</t>
        </is>
      </c>
      <c r="B8" s="62" t="inlineStr">
        <is>
          <t>Market rate</t>
        </is>
      </c>
      <c r="C8" s="62" t="inlineStr">
        <is>
          <t>Zero (screen)</t>
        </is>
      </c>
      <c r="D8" s="62" t="inlineStr">
        <is>
          <t>DF (screen)</t>
        </is>
      </c>
      <c r="E8" s="62" t="inlineStr">
        <is>
          <t>Zero (model)</t>
        </is>
      </c>
      <c r="F8" s="62" t="inlineStr">
        <is>
          <t>DF (model)</t>
        </is>
      </c>
      <c r="G8" s="62" t="inlineStr">
        <is>
          <t>Zero diff (bp)</t>
        </is>
      </c>
      <c r="H8" s="62" t="inlineStr">
        <is>
          <t>DF diff</t>
        </is>
      </c>
      <c r="I8" s="62" t="inlineStr">
        <is>
          <t>Bootstrap row</t>
        </is>
      </c>
    </row>
    <row r="9">
      <c r="A9" s="88" t="n">
        <v>46233</v>
      </c>
      <c r="B9" s="85" t="n">
        <v>3.63</v>
      </c>
      <c r="C9" s="85" t="n">
        <v>3.67912</v>
      </c>
      <c r="D9" s="69" t="n">
        <v>0.999093</v>
      </c>
      <c r="E9" s="84">
        <f>IFERROR(INDEX(Bootstrap!$J$8:$J$72,MATCH(A9,Bootstrap!$B$8:$B$72,0)),"")</f>
        <v/>
      </c>
      <c r="F9" s="80">
        <f>IFERROR(INDEX(Bootstrap!$H$8:$H$72,MATCH(A9,Bootstrap!$B$8:$B$72,0)),"")</f>
        <v/>
      </c>
      <c r="G9" s="89">
        <f>IF(E9="","",(E9-C9)*100)</f>
        <v/>
      </c>
      <c r="H9" s="72">
        <f>IF(F9="","",F9-D9)</f>
        <v/>
      </c>
      <c r="I9" s="78">
        <f>IFERROR(MATCH(A9,Bootstrap!$B$8:$B$72,0)+7,"not found")</f>
        <v/>
      </c>
    </row>
    <row r="10">
      <c r="A10" s="88" t="n">
        <v>46240</v>
      </c>
      <c r="B10" s="85" t="n">
        <v>3.672</v>
      </c>
      <c r="C10" s="85" t="n">
        <v>3.71519</v>
      </c>
      <c r="D10" s="69" t="n">
        <v>0.998373</v>
      </c>
      <c r="E10" s="84">
        <f>IFERROR(INDEX(Bootstrap!$J$8:$J$72,MATCH(A10,Bootstrap!$B$8:$B$72,0)),"")</f>
        <v/>
      </c>
      <c r="F10" s="80">
        <f>IFERROR(INDEX(Bootstrap!$H$8:$H$72,MATCH(A10,Bootstrap!$B$8:$B$72,0)),"")</f>
        <v/>
      </c>
      <c r="G10" s="89">
        <f>IF(E10="","",(E10-C10)*100)</f>
        <v/>
      </c>
      <c r="H10" s="72">
        <f>IF(F10="","",F10-D10)</f>
        <v/>
      </c>
      <c r="I10" s="78">
        <f>IFERROR(MATCH(A10,Bootstrap!$B$8:$B$72,0)+7,"not found")</f>
        <v/>
      </c>
    </row>
    <row r="11">
      <c r="A11" s="88" t="n">
        <v>46247</v>
      </c>
      <c r="B11" s="85" t="n">
        <v>3.6699</v>
      </c>
      <c r="C11" s="85" t="n">
        <v>3.71361</v>
      </c>
      <c r="D11" s="69" t="n">
        <v>0.997663</v>
      </c>
      <c r="E11" s="84">
        <f>IFERROR(INDEX(Bootstrap!$J$8:$J$72,MATCH(A11,Bootstrap!$B$8:$B$72,0)),"")</f>
        <v/>
      </c>
      <c r="F11" s="80">
        <f>IFERROR(INDEX(Bootstrap!$H$8:$H$72,MATCH(A11,Bootstrap!$B$8:$B$72,0)),"")</f>
        <v/>
      </c>
      <c r="G11" s="89">
        <f>IF(E11="","",(E11-C11)*100)</f>
        <v/>
      </c>
      <c r="H11" s="72">
        <f>IF(F11="","",F11-D11)</f>
        <v/>
      </c>
      <c r="I11" s="78">
        <f>IFERROR(MATCH(A11,Bootstrap!$B$8:$B$72,0)+7,"not found")</f>
        <v/>
      </c>
    </row>
    <row r="12">
      <c r="A12" s="88" t="n">
        <v>46258</v>
      </c>
      <c r="B12" s="85" t="n">
        <v>3.6789</v>
      </c>
      <c r="C12" s="85" t="n">
        <v>3.72127</v>
      </c>
      <c r="D12" s="69" t="n">
        <v>0.99654</v>
      </c>
      <c r="E12" s="84">
        <f>IFERROR(INDEX(Bootstrap!$J$8:$J$72,MATCH(A12,Bootstrap!$B$8:$B$72,0)),"")</f>
        <v/>
      </c>
      <c r="F12" s="80">
        <f>IFERROR(INDEX(Bootstrap!$H$8:$H$72,MATCH(A12,Bootstrap!$B$8:$B$72,0)),"")</f>
        <v/>
      </c>
      <c r="G12" s="89">
        <f>IF(E12="","",(E12-C12)*100)</f>
        <v/>
      </c>
      <c r="H12" s="72">
        <f>IF(F12="","",F12-D12)</f>
        <v/>
      </c>
      <c r="I12" s="78">
        <f>IFERROR(MATCH(A12,Bootstrap!$B$8:$B$72,0)+7,"not found")</f>
        <v/>
      </c>
    </row>
    <row r="13">
      <c r="A13" s="88" t="n">
        <v>46288</v>
      </c>
      <c r="B13" s="85" t="n">
        <v>3.70344</v>
      </c>
      <c r="C13" s="85" t="n">
        <v>3.74096</v>
      </c>
      <c r="D13" s="69" t="n">
        <v>0.993462</v>
      </c>
      <c r="E13" s="84">
        <f>IFERROR(INDEX(Bootstrap!$J$8:$J$72,MATCH(A13,Bootstrap!$B$8:$B$72,0)),"")</f>
        <v/>
      </c>
      <c r="F13" s="80">
        <f>IFERROR(INDEX(Bootstrap!$H$8:$H$72,MATCH(A13,Bootstrap!$B$8:$B$72,0)),"")</f>
        <v/>
      </c>
      <c r="G13" s="89">
        <f>IF(E13="","",(E13-C13)*100)</f>
        <v/>
      </c>
      <c r="H13" s="72">
        <f>IF(F13="","",F13-D13)</f>
        <v/>
      </c>
      <c r="I13" s="78">
        <f>IFERROR(MATCH(A13,Bootstrap!$B$8:$B$72,0)+7,"not found")</f>
        <v/>
      </c>
    </row>
    <row r="14">
      <c r="A14" s="88" t="n">
        <v>46318</v>
      </c>
      <c r="B14" s="85" t="n">
        <v>3.75285</v>
      </c>
      <c r="C14" s="85" t="n">
        <v>3.78455</v>
      </c>
      <c r="D14" s="69" t="n">
        <v>0.990301</v>
      </c>
      <c r="E14" s="84">
        <f>IFERROR(INDEX(Bootstrap!$J$8:$J$72,MATCH(A14,Bootstrap!$B$8:$B$72,0)),"")</f>
        <v/>
      </c>
      <c r="F14" s="80">
        <f>IFERROR(INDEX(Bootstrap!$H$8:$H$72,MATCH(A14,Bootstrap!$B$8:$B$72,0)),"")</f>
        <v/>
      </c>
      <c r="G14" s="89">
        <f>IF(E14="","",(E14-C14)*100)</f>
        <v/>
      </c>
      <c r="H14" s="72">
        <f>IF(F14="","",F14-D14)</f>
        <v/>
      </c>
      <c r="I14" s="78">
        <f>IFERROR(MATCH(A14,Bootstrap!$B$8:$B$72,0)+7,"not found")</f>
        <v/>
      </c>
    </row>
    <row r="15">
      <c r="A15" s="88" t="n">
        <v>46349</v>
      </c>
      <c r="B15" s="85" t="n">
        <v>3.79575</v>
      </c>
      <c r="C15" s="85" t="n">
        <v>3.82141</v>
      </c>
      <c r="D15" s="69" t="n">
        <v>0.986998</v>
      </c>
      <c r="E15" s="84">
        <f>IFERROR(INDEX(Bootstrap!$J$8:$J$72,MATCH(A15,Bootstrap!$B$8:$B$72,0)),"")</f>
        <v/>
      </c>
      <c r="F15" s="80">
        <f>IFERROR(INDEX(Bootstrap!$H$8:$H$72,MATCH(A15,Bootstrap!$B$8:$B$72,0)),"")</f>
        <v/>
      </c>
      <c r="G15" s="89">
        <f>IF(E15="","",(E15-C15)*100)</f>
        <v/>
      </c>
      <c r="H15" s="72">
        <f>IF(F15="","",F15-D15)</f>
        <v/>
      </c>
      <c r="I15" s="78">
        <f>IFERROR(MATCH(A15,Bootstrap!$B$8:$B$72,0)+7,"not found")</f>
        <v/>
      </c>
    </row>
    <row r="16">
      <c r="A16" s="88" t="n">
        <v>46379</v>
      </c>
      <c r="B16" s="85" t="n">
        <v>3.83435</v>
      </c>
      <c r="C16" s="85" t="n">
        <v>3.85398</v>
      </c>
      <c r="D16" s="69" t="n">
        <v>0.9837669999999999</v>
      </c>
      <c r="E16" s="84">
        <f>IFERROR(INDEX(Bootstrap!$J$8:$J$72,MATCH(A16,Bootstrap!$B$8:$B$72,0)),"")</f>
        <v/>
      </c>
      <c r="F16" s="80">
        <f>IFERROR(INDEX(Bootstrap!$H$8:$H$72,MATCH(A16,Bootstrap!$B$8:$B$72,0)),"")</f>
        <v/>
      </c>
      <c r="G16" s="89">
        <f>IF(E16="","",(E16-C16)*100)</f>
        <v/>
      </c>
      <c r="H16" s="72">
        <f>IF(F16="","",F16-D16)</f>
        <v/>
      </c>
      <c r="I16" s="78">
        <f>IFERROR(MATCH(A16,Bootstrap!$B$8:$B$72,0)+7,"not found")</f>
        <v/>
      </c>
    </row>
    <row r="17">
      <c r="A17" s="88" t="n">
        <v>46412</v>
      </c>
      <c r="B17" s="85" t="n">
        <v>3.87725</v>
      </c>
      <c r="C17" s="85" t="n">
        <v>3.88998</v>
      </c>
      <c r="D17" s="69" t="n">
        <v>0.980163</v>
      </c>
      <c r="E17" s="84">
        <f>IFERROR(INDEX(Bootstrap!$J$8:$J$72,MATCH(A17,Bootstrap!$B$8:$B$72,0)),"")</f>
        <v/>
      </c>
      <c r="F17" s="80">
        <f>IFERROR(INDEX(Bootstrap!$H$8:$H$72,MATCH(A17,Bootstrap!$B$8:$B$72,0)),"")</f>
        <v/>
      </c>
      <c r="G17" s="89">
        <f>IF(E17="","",(E17-C17)*100)</f>
        <v/>
      </c>
      <c r="H17" s="72">
        <f>IF(F17="","",F17-D17)</f>
        <v/>
      </c>
      <c r="I17" s="78">
        <f>IFERROR(MATCH(A17,Bootstrap!$B$8:$B$72,0)+7,"not found")</f>
        <v/>
      </c>
    </row>
    <row r="18">
      <c r="A18" s="88" t="n">
        <v>46441</v>
      </c>
      <c r="B18" s="85" t="n">
        <v>3.9082</v>
      </c>
      <c r="C18" s="85" t="n">
        <v>3.91475</v>
      </c>
      <c r="D18" s="69" t="n">
        <v>0.9769949999999999</v>
      </c>
      <c r="E18" s="84">
        <f>IFERROR(INDEX(Bootstrap!$J$8:$J$72,MATCH(A18,Bootstrap!$B$8:$B$72,0)),"")</f>
        <v/>
      </c>
      <c r="F18" s="80">
        <f>IFERROR(INDEX(Bootstrap!$H$8:$H$72,MATCH(A18,Bootstrap!$B$8:$B$72,0)),"")</f>
        <v/>
      </c>
      <c r="G18" s="89">
        <f>IF(E18="","",(E18-C18)*100)</f>
        <v/>
      </c>
      <c r="H18" s="72">
        <f>IF(F18="","",F18-D18)</f>
        <v/>
      </c>
      <c r="I18" s="78">
        <f>IFERROR(MATCH(A18,Bootstrap!$B$8:$B$72,0)+7,"not found")</f>
        <v/>
      </c>
    </row>
    <row r="19">
      <c r="A19" s="88" t="n">
        <v>46469</v>
      </c>
      <c r="B19" s="85" t="n">
        <v>3.9345</v>
      </c>
      <c r="C19" s="85" t="n">
        <v>3.93499</v>
      </c>
      <c r="D19" s="69" t="n">
        <v>0.973933</v>
      </c>
      <c r="E19" s="84">
        <f>IFERROR(INDEX(Bootstrap!$J$8:$J$72,MATCH(A19,Bootstrap!$B$8:$B$72,0)),"")</f>
        <v/>
      </c>
      <c r="F19" s="80">
        <f>IFERROR(INDEX(Bootstrap!$H$8:$H$72,MATCH(A19,Bootstrap!$B$8:$B$72,0)),"")</f>
        <v/>
      </c>
      <c r="G19" s="89">
        <f>IF(E19="","",(E19-C19)*100)</f>
        <v/>
      </c>
      <c r="H19" s="72">
        <f>IF(F19="","",F19-D19)</f>
        <v/>
      </c>
      <c r="I19" s="78">
        <f>IFERROR(MATCH(A19,Bootstrap!$B$8:$B$72,0)+7,"not found")</f>
        <v/>
      </c>
    </row>
    <row r="20">
      <c r="A20" s="88" t="n">
        <v>46500</v>
      </c>
      <c r="B20" s="85" t="n">
        <v>3.96295</v>
      </c>
      <c r="C20" s="85" t="n">
        <v>3.95656</v>
      </c>
      <c r="D20" s="69" t="n">
        <v>0.970525</v>
      </c>
      <c r="E20" s="84">
        <f>IFERROR(INDEX(Bootstrap!$J$8:$J$72,MATCH(A20,Bootstrap!$B$8:$B$72,0)),"")</f>
        <v/>
      </c>
      <c r="F20" s="80">
        <f>IFERROR(INDEX(Bootstrap!$H$8:$H$72,MATCH(A20,Bootstrap!$B$8:$B$72,0)),"")</f>
        <v/>
      </c>
      <c r="G20" s="89">
        <f>IF(E20="","",(E20-C20)*100)</f>
        <v/>
      </c>
      <c r="H20" s="72">
        <f>IF(F20="","",F20-D20)</f>
        <v/>
      </c>
      <c r="I20" s="78">
        <f>IFERROR(MATCH(A20,Bootstrap!$B$8:$B$72,0)+7,"not found")</f>
        <v/>
      </c>
    </row>
    <row r="21">
      <c r="A21" s="88" t="n">
        <v>46531</v>
      </c>
      <c r="B21" s="85" t="n">
        <v>3.9886</v>
      </c>
      <c r="C21" s="85" t="n">
        <v>3.97523</v>
      </c>
      <c r="D21" s="69" t="n">
        <v>0.967117</v>
      </c>
      <c r="E21" s="84">
        <f>IFERROR(INDEX(Bootstrap!$J$8:$J$72,MATCH(A21,Bootstrap!$B$8:$B$72,0)),"")</f>
        <v/>
      </c>
      <c r="F21" s="80">
        <f>IFERROR(INDEX(Bootstrap!$H$8:$H$72,MATCH(A21,Bootstrap!$B$8:$B$72,0)),"")</f>
        <v/>
      </c>
      <c r="G21" s="89">
        <f>IF(E21="","",(E21-C21)*100)</f>
        <v/>
      </c>
      <c r="H21" s="72">
        <f>IF(F21="","",F21-D21)</f>
        <v/>
      </c>
      <c r="I21" s="78">
        <f>IFERROR(MATCH(A21,Bootstrap!$B$8:$B$72,0)+7,"not found")</f>
        <v/>
      </c>
    </row>
    <row r="22">
      <c r="A22" s="88" t="n">
        <v>46561</v>
      </c>
      <c r="B22" s="85" t="n">
        <v>4.01085</v>
      </c>
      <c r="C22" s="85" t="n">
        <v>3.99064</v>
      </c>
      <c r="D22" s="69" t="n">
        <v>0.963825</v>
      </c>
      <c r="E22" s="84">
        <f>IFERROR(INDEX(Bootstrap!$J$8:$J$72,MATCH(A22,Bootstrap!$B$8:$B$72,0)),"")</f>
        <v/>
      </c>
      <c r="F22" s="80">
        <f>IFERROR(INDEX(Bootstrap!$H$8:$H$72,MATCH(A22,Bootstrap!$B$8:$B$72,0)),"")</f>
        <v/>
      </c>
      <c r="G22" s="89">
        <f>IF(E22="","",(E22-C22)*100)</f>
        <v/>
      </c>
      <c r="H22" s="72">
        <f>IF(F22="","",F22-D22)</f>
        <v/>
      </c>
      <c r="I22" s="78">
        <f>IFERROR(MATCH(A22,Bootstrap!$B$8:$B$72,0)+7,"not found")</f>
        <v/>
      </c>
    </row>
    <row r="23">
      <c r="A23" s="88" t="n">
        <v>46591</v>
      </c>
      <c r="B23" s="85" t="n">
        <v>4.0303</v>
      </c>
      <c r="C23" s="85" t="n">
        <v>4.00322</v>
      </c>
      <c r="D23" s="69" t="n">
        <v>0.960548</v>
      </c>
      <c r="E23" s="84">
        <f>IFERROR(INDEX(Bootstrap!$J$8:$J$72,MATCH(A23,Bootstrap!$B$8:$B$72,0)),"")</f>
        <v/>
      </c>
      <c r="F23" s="80">
        <f>IFERROR(INDEX(Bootstrap!$H$8:$H$72,MATCH(A23,Bootstrap!$B$8:$B$72,0)),"")</f>
        <v/>
      </c>
      <c r="G23" s="89">
        <f>IF(E23="","",(E23-C23)*100)</f>
        <v/>
      </c>
      <c r="H23" s="72">
        <f>IF(F23="","",F23-D23)</f>
        <v/>
      </c>
      <c r="I23" s="78">
        <f>IFERROR(MATCH(A23,Bootstrap!$B$8:$B$72,0)+7,"not found")</f>
        <v/>
      </c>
    </row>
    <row r="24">
      <c r="A24" s="88" t="n">
        <v>46776</v>
      </c>
      <c r="B24" s="85" t="n">
        <v>4.04559</v>
      </c>
      <c r="C24" s="85" t="n">
        <v>4.03332</v>
      </c>
      <c r="D24" s="69" t="n">
        <v>0.9408260000000001</v>
      </c>
      <c r="E24" s="84">
        <f>IFERROR(INDEX(Bootstrap!$J$8:$J$72,MATCH(A24,Bootstrap!$B$8:$B$72,0)),"")</f>
        <v/>
      </c>
      <c r="F24" s="80">
        <f>IFERROR(INDEX(Bootstrap!$H$8:$H$72,MATCH(A24,Bootstrap!$B$8:$B$72,0)),"")</f>
        <v/>
      </c>
      <c r="G24" s="89">
        <f>IF(E24="","",(E24-C24)*100)</f>
        <v/>
      </c>
      <c r="H24" s="72">
        <f>IF(F24="","",F24-D24)</f>
        <v/>
      </c>
      <c r="I24" s="78">
        <f>IFERROR(MATCH(A24,Bootstrap!$B$8:$B$72,0)+7,"not found")</f>
        <v/>
      </c>
    </row>
    <row r="25">
      <c r="A25" s="88" t="n">
        <v>46958</v>
      </c>
      <c r="B25" s="85" t="n">
        <v>4.0511</v>
      </c>
      <c r="C25" s="85" t="n">
        <v>4.0245</v>
      </c>
      <c r="D25" s="69" t="n">
        <v>0.922257</v>
      </c>
      <c r="E25" s="84">
        <f>IFERROR(INDEX(Bootstrap!$J$8:$J$72,MATCH(A25,Bootstrap!$B$8:$B$72,0)),"")</f>
        <v/>
      </c>
      <c r="F25" s="80">
        <f>IFERROR(INDEX(Bootstrap!$H$8:$H$72,MATCH(A25,Bootstrap!$B$8:$B$72,0)),"")</f>
        <v/>
      </c>
      <c r="G25" s="89">
        <f>IF(E25="","",(E25-C25)*100)</f>
        <v/>
      </c>
      <c r="H25" s="72">
        <f>IF(F25="","",F25-D25)</f>
        <v/>
      </c>
      <c r="I25" s="78">
        <f>IFERROR(MATCH(A25,Bootstrap!$B$8:$B$72,0)+7,"not found")</f>
        <v/>
      </c>
    </row>
    <row r="26">
      <c r="A26" s="88" t="n">
        <v>47322</v>
      </c>
      <c r="B26" s="85" t="n">
        <v>4.03145</v>
      </c>
      <c r="C26" s="85" t="n">
        <v>4.00493</v>
      </c>
      <c r="D26" s="69" t="n">
        <v>0.886497</v>
      </c>
      <c r="E26" s="84">
        <f>IFERROR(INDEX(Bootstrap!$J$8:$J$72,MATCH(A26,Bootstrap!$B$8:$B$72,0)),"")</f>
        <v/>
      </c>
      <c r="F26" s="80">
        <f>IFERROR(INDEX(Bootstrap!$H$8:$H$72,MATCH(A26,Bootstrap!$B$8:$B$72,0)),"")</f>
        <v/>
      </c>
      <c r="G26" s="89">
        <f>IF(E26="","",(E26-C26)*100)</f>
        <v/>
      </c>
      <c r="H26" s="72">
        <f>IF(F26="","",F26-D26)</f>
        <v/>
      </c>
      <c r="I26" s="78">
        <f>IFERROR(MATCH(A26,Bootstrap!$B$8:$B$72,0)+7,"not found")</f>
        <v/>
      </c>
    </row>
    <row r="27">
      <c r="A27" s="88" t="n">
        <v>47687</v>
      </c>
      <c r="B27" s="85" t="n">
        <v>4.0236</v>
      </c>
      <c r="C27" s="85" t="n">
        <v>3.99711</v>
      </c>
      <c r="D27" s="69" t="n">
        <v>0.851962</v>
      </c>
      <c r="E27" s="84">
        <f>IFERROR(INDEX(Bootstrap!$J$8:$J$72,MATCH(A27,Bootstrap!$B$8:$B$72,0)),"")</f>
        <v/>
      </c>
      <c r="F27" s="80">
        <f>IFERROR(INDEX(Bootstrap!$H$8:$H$72,MATCH(A27,Bootstrap!$B$8:$B$72,0)),"")</f>
        <v/>
      </c>
      <c r="G27" s="89">
        <f>IF(E27="","",(E27-C27)*100)</f>
        <v/>
      </c>
      <c r="H27" s="72">
        <f>IF(F27="","",F27-D27)</f>
        <v/>
      </c>
      <c r="I27" s="78">
        <f>IFERROR(MATCH(A27,Bootstrap!$B$8:$B$72,0)+7,"not found")</f>
        <v/>
      </c>
    </row>
    <row r="28">
      <c r="A28" s="88" t="n">
        <v>48052</v>
      </c>
      <c r="B28" s="85" t="n">
        <v>4.0314</v>
      </c>
      <c r="C28" s="85" t="n">
        <v>4.00561</v>
      </c>
      <c r="D28" s="69" t="n">
        <v>0.818232</v>
      </c>
      <c r="E28" s="84">
        <f>IFERROR(INDEX(Bootstrap!$J$8:$J$72,MATCH(A28,Bootstrap!$B$8:$B$72,0)),"")</f>
        <v/>
      </c>
      <c r="F28" s="80">
        <f>IFERROR(INDEX(Bootstrap!$H$8:$H$72,MATCH(A28,Bootstrap!$B$8:$B$72,0)),"")</f>
        <v/>
      </c>
      <c r="G28" s="89">
        <f>IF(E28="","",(E28-C28)*100)</f>
        <v/>
      </c>
      <c r="H28" s="72">
        <f>IF(F28="","",F28-D28)</f>
        <v/>
      </c>
      <c r="I28" s="78">
        <f>IFERROR(MATCH(A28,Bootstrap!$B$8:$B$72,0)+7,"not found")</f>
        <v/>
      </c>
    </row>
    <row r="29">
      <c r="A29" s="88" t="n">
        <v>48418</v>
      </c>
      <c r="B29" s="85" t="n">
        <v>4.05176</v>
      </c>
      <c r="C29" s="85" t="n">
        <v>4.02762</v>
      </c>
      <c r="D29" s="69" t="n">
        <v>0.784979</v>
      </c>
      <c r="E29" s="84">
        <f>IFERROR(INDEX(Bootstrap!$J$8:$J$72,MATCH(A29,Bootstrap!$B$8:$B$72,0)),"")</f>
        <v/>
      </c>
      <c r="F29" s="80">
        <f>IFERROR(INDEX(Bootstrap!$H$8:$H$72,MATCH(A29,Bootstrap!$B$8:$B$72,0)),"")</f>
        <v/>
      </c>
      <c r="G29" s="89">
        <f>IF(E29="","",(E29-C29)*100)</f>
        <v/>
      </c>
      <c r="H29" s="72">
        <f>IF(F29="","",F29-D29)</f>
        <v/>
      </c>
      <c r="I29" s="78">
        <f>IFERROR(MATCH(A29,Bootstrap!$B$8:$B$72,0)+7,"not found")</f>
        <v/>
      </c>
    </row>
    <row r="30">
      <c r="A30" s="88" t="n">
        <v>48785</v>
      </c>
      <c r="B30" s="85" t="n">
        <v>4.07793</v>
      </c>
      <c r="C30" s="85" t="n">
        <v>4.05617</v>
      </c>
      <c r="D30" s="69" t="n">
        <v>0.752316</v>
      </c>
      <c r="E30" s="84">
        <f>IFERROR(INDEX(Bootstrap!$J$8:$J$72,MATCH(A30,Bootstrap!$B$8:$B$72,0)),"")</f>
        <v/>
      </c>
      <c r="F30" s="80">
        <f>IFERROR(INDEX(Bootstrap!$H$8:$H$72,MATCH(A30,Bootstrap!$B$8:$B$72,0)),"")</f>
        <v/>
      </c>
      <c r="G30" s="89">
        <f>IF(E30="","",(E30-C30)*100)</f>
        <v/>
      </c>
      <c r="H30" s="72">
        <f>IF(F30="","",F30-D30)</f>
        <v/>
      </c>
      <c r="I30" s="78">
        <f>IFERROR(MATCH(A30,Bootstrap!$B$8:$B$72,0)+7,"not found")</f>
        <v/>
      </c>
    </row>
    <row r="31">
      <c r="A31" s="88" t="n">
        <v>49149</v>
      </c>
      <c r="B31" s="85" t="n">
        <v>4.10695</v>
      </c>
      <c r="C31" s="85" t="n">
        <v>4.08837</v>
      </c>
      <c r="D31" s="69" t="n">
        <v>0.72063</v>
      </c>
      <c r="E31" s="84">
        <f>IFERROR(INDEX(Bootstrap!$J$8:$J$72,MATCH(A31,Bootstrap!$B$8:$B$72,0)),"")</f>
        <v/>
      </c>
      <c r="F31" s="80">
        <f>IFERROR(INDEX(Bootstrap!$H$8:$H$72,MATCH(A31,Bootstrap!$B$8:$B$72,0)),"")</f>
        <v/>
      </c>
      <c r="G31" s="89">
        <f>IF(E31="","",(E31-C31)*100)</f>
        <v/>
      </c>
      <c r="H31" s="72">
        <f>IF(F31="","",F31-D31)</f>
        <v/>
      </c>
      <c r="I31" s="78">
        <f>IFERROR(MATCH(A31,Bootstrap!$B$8:$B$72,0)+7,"not found")</f>
        <v/>
      </c>
    </row>
    <row r="32">
      <c r="A32" s="88" t="n">
        <v>49513</v>
      </c>
      <c r="B32" s="85" t="n">
        <v>4.13825</v>
      </c>
      <c r="C32" s="85" t="n">
        <v>4.12361</v>
      </c>
      <c r="D32" s="69" t="n">
        <v>0.689646</v>
      </c>
      <c r="E32" s="84">
        <f>IFERROR(INDEX(Bootstrap!$J$8:$J$72,MATCH(A32,Bootstrap!$B$8:$B$72,0)),"")</f>
        <v/>
      </c>
      <c r="F32" s="80">
        <f>IFERROR(INDEX(Bootstrap!$H$8:$H$72,MATCH(A32,Bootstrap!$B$8:$B$72,0)),"")</f>
        <v/>
      </c>
      <c r="G32" s="89">
        <f>IF(E32="","",(E32-C32)*100)</f>
        <v/>
      </c>
      <c r="H32" s="72">
        <f>IF(F32="","",F32-D32)</f>
        <v/>
      </c>
      <c r="I32" s="78">
        <f>IFERROR(MATCH(A32,Bootstrap!$B$8:$B$72,0)+7,"not found")</f>
        <v/>
      </c>
    </row>
    <row r="33">
      <c r="A33" s="88" t="n">
        <v>49879</v>
      </c>
      <c r="B33" s="85" t="n">
        <v>4.17165</v>
      </c>
      <c r="C33" s="85" t="n">
        <v>4.1618</v>
      </c>
      <c r="D33" s="69" t="n">
        <v>0.659186</v>
      </c>
      <c r="E33" s="84">
        <f>IFERROR(INDEX(Bootstrap!$J$8:$J$72,MATCH(A33,Bootstrap!$B$8:$B$72,0)),"")</f>
        <v/>
      </c>
      <c r="F33" s="80">
        <f>IFERROR(INDEX(Bootstrap!$H$8:$H$72,MATCH(A33,Bootstrap!$B$8:$B$72,0)),"")</f>
        <v/>
      </c>
      <c r="G33" s="89">
        <f>IF(E33="","",(E33-C33)*100)</f>
        <v/>
      </c>
      <c r="H33" s="72">
        <f>IF(F33="","",F33-D33)</f>
        <v/>
      </c>
      <c r="I33" s="78">
        <f>IFERROR(MATCH(A33,Bootstrap!$B$8:$B$72,0)+7,"not found")</f>
        <v/>
      </c>
    </row>
    <row r="34">
      <c r="A34" s="88" t="n">
        <v>50609</v>
      </c>
      <c r="B34" s="85" t="n">
        <v>4.23854</v>
      </c>
      <c r="C34" s="85" t="n">
        <v>4.24016</v>
      </c>
      <c r="D34" s="69" t="n">
        <v>0.6008559999999999</v>
      </c>
      <c r="E34" s="84">
        <f>IFERROR(INDEX(Bootstrap!$J$8:$J$72,MATCH(A34,Bootstrap!$B$8:$B$72,0)),"")</f>
        <v/>
      </c>
      <c r="F34" s="80">
        <f>IFERROR(INDEX(Bootstrap!$H$8:$H$72,MATCH(A34,Bootstrap!$B$8:$B$72,0)),"")</f>
        <v/>
      </c>
      <c r="G34" s="89">
        <f>IF(E34="","",(E34-C34)*100)</f>
        <v/>
      </c>
      <c r="H34" s="72">
        <f>IF(F34="","",F34-D34)</f>
        <v/>
      </c>
      <c r="I34" s="78">
        <f>IFERROR(MATCH(A34,Bootstrap!$B$8:$B$72,0)+7,"not found")</f>
        <v/>
      </c>
    </row>
    <row r="35">
      <c r="A35" s="88" t="n">
        <v>51705</v>
      </c>
      <c r="B35" s="85" t="n">
        <v>4.32638</v>
      </c>
      <c r="C35" s="85" t="n">
        <v>4.34698</v>
      </c>
      <c r="D35" s="69" t="n">
        <v>0.520606</v>
      </c>
      <c r="E35" s="84">
        <f>IFERROR(INDEX(Bootstrap!$J$8:$J$72,MATCH(A35,Bootstrap!$B$8:$B$72,0)),"")</f>
        <v/>
      </c>
      <c r="F35" s="80">
        <f>IFERROR(INDEX(Bootstrap!$H$8:$H$72,MATCH(A35,Bootstrap!$B$8:$B$72,0)),"")</f>
        <v/>
      </c>
      <c r="G35" s="89">
        <f>IF(E35="","",(E35-C35)*100)</f>
        <v/>
      </c>
      <c r="H35" s="72">
        <f>IF(F35="","",F35-D35)</f>
        <v/>
      </c>
      <c r="I35" s="78">
        <f>IFERROR(MATCH(A35,Bootstrap!$B$8:$B$72,0)+7,"not found")</f>
        <v/>
      </c>
    </row>
    <row r="36">
      <c r="A36" s="88" t="n">
        <v>53531</v>
      </c>
      <c r="B36" s="85" t="n">
        <v>4.4013</v>
      </c>
      <c r="C36" s="85" t="n">
        <v>4.43911</v>
      </c>
      <c r="D36" s="69" t="n">
        <v>0.411201</v>
      </c>
      <c r="E36" s="84">
        <f>IFERROR(INDEX(Bootstrap!$J$8:$J$72,MATCH(A36,Bootstrap!$B$8:$B$72,0)),"")</f>
        <v/>
      </c>
      <c r="F36" s="80">
        <f>IFERROR(INDEX(Bootstrap!$H$8:$H$72,MATCH(A36,Bootstrap!$B$8:$B$72,0)),"")</f>
        <v/>
      </c>
      <c r="G36" s="89">
        <f>IF(E36="","",(E36-C36)*100)</f>
        <v/>
      </c>
      <c r="H36" s="72">
        <f>IF(F36="","",F36-D36)</f>
        <v/>
      </c>
      <c r="I36" s="78">
        <f>IFERROR(MATCH(A36,Bootstrap!$B$8:$B$72,0)+7,"not found")</f>
        <v/>
      </c>
    </row>
    <row r="37">
      <c r="A37" s="88" t="n">
        <v>55358</v>
      </c>
      <c r="B37" s="85" t="n">
        <v>4.40005</v>
      </c>
      <c r="C37" s="85" t="n">
        <v>4.42239</v>
      </c>
      <c r="D37" s="69" t="n">
        <v>0.330652</v>
      </c>
      <c r="E37" s="84">
        <f>IFERROR(INDEX(Bootstrap!$J$8:$J$72,MATCH(A37,Bootstrap!$B$8:$B$72,0)),"")</f>
        <v/>
      </c>
      <c r="F37" s="80">
        <f>IFERROR(INDEX(Bootstrap!$H$8:$H$72,MATCH(A37,Bootstrap!$B$8:$B$72,0)),"")</f>
        <v/>
      </c>
      <c r="G37" s="89">
        <f>IF(E37="","",(E37-C37)*100)</f>
        <v/>
      </c>
      <c r="H37" s="72">
        <f>IF(F37="","",F37-D37)</f>
        <v/>
      </c>
      <c r="I37" s="78">
        <f>IFERROR(MATCH(A37,Bootstrap!$B$8:$B$72,0)+7,"not found")</f>
        <v/>
      </c>
    </row>
    <row r="38">
      <c r="A38" s="88" t="n">
        <v>57185</v>
      </c>
      <c r="B38" s="85" t="n">
        <v>4.36277</v>
      </c>
      <c r="C38" s="85" t="n">
        <v>4.34509</v>
      </c>
      <c r="D38" s="69" t="n">
        <v>0.271217</v>
      </c>
      <c r="E38" s="84">
        <f>IFERROR(INDEX(Bootstrap!$J$8:$J$72,MATCH(A38,Bootstrap!$B$8:$B$72,0)),"")</f>
        <v/>
      </c>
      <c r="F38" s="80">
        <f>IFERROR(INDEX(Bootstrap!$H$8:$H$72,MATCH(A38,Bootstrap!$B$8:$B$72,0)),"")</f>
        <v/>
      </c>
      <c r="G38" s="89">
        <f>IF(E38="","",(E38-C38)*100)</f>
        <v/>
      </c>
      <c r="H38" s="72">
        <f>IF(F38="","",F38-D38)</f>
        <v/>
      </c>
      <c r="I38" s="78">
        <f>IFERROR(MATCH(A38,Bootstrap!$B$8:$B$72,0)+7,"not found")</f>
        <v/>
      </c>
    </row>
    <row r="39">
      <c r="A39" s="88" t="n">
        <v>60836</v>
      </c>
      <c r="B39" s="85" t="n">
        <v>4.2436</v>
      </c>
      <c r="C39" s="85" t="n">
        <v>4.10058</v>
      </c>
      <c r="D39" s="69" t="n">
        <v>0.193674</v>
      </c>
      <c r="E39" s="84">
        <f>IFERROR(INDEX(Bootstrap!$J$8:$J$72,MATCH(A39,Bootstrap!$B$8:$B$72,0)),"")</f>
        <v/>
      </c>
      <c r="F39" s="80">
        <f>IFERROR(INDEX(Bootstrap!$H$8:$H$72,MATCH(A39,Bootstrap!$B$8:$B$72,0)),"")</f>
        <v/>
      </c>
      <c r="G39" s="89">
        <f>IF(E39="","",(E39-C39)*100)</f>
        <v/>
      </c>
      <c r="H39" s="72">
        <f>IF(F39="","",F39-D39)</f>
        <v/>
      </c>
      <c r="I39" s="78">
        <f>IFERROR(MATCH(A39,Bootstrap!$B$8:$B$72,0)+7,"not found")</f>
        <v/>
      </c>
    </row>
    <row r="40">
      <c r="A40" s="88" t="n">
        <v>64489</v>
      </c>
      <c r="B40" s="85" t="n">
        <v>4.11027</v>
      </c>
      <c r="C40" s="85" t="n">
        <v>3.80584</v>
      </c>
      <c r="D40" s="69" t="n">
        <v>0.148899</v>
      </c>
      <c r="E40" s="84">
        <f>IFERROR(INDEX(Bootstrap!$J$8:$J$72,MATCH(A40,Bootstrap!$B$8:$B$72,0)),"")</f>
        <v/>
      </c>
      <c r="F40" s="80">
        <f>IFERROR(INDEX(Bootstrap!$H$8:$H$72,MATCH(A40,Bootstrap!$B$8:$B$72,0)),"")</f>
        <v/>
      </c>
      <c r="G40" s="89">
        <f>IF(E40="","",(E40-C40)*100)</f>
        <v/>
      </c>
      <c r="H40" s="72">
        <f>IF(F40="","",F40-D40)</f>
        <v/>
      </c>
      <c r="I40" s="78">
        <f>IFERROR(MATCH(A40,Bootstrap!$B$8:$B$72,0)+7,"not found")</f>
        <v/>
      </c>
    </row>
    <row r="42">
      <c r="A42" s="67" t="inlineStr">
        <is>
          <t>Max |zero diff| (bp)</t>
        </is>
      </c>
      <c r="B42" s="90">
        <f>MAX(ABS(G9:G40))</f>
        <v/>
      </c>
      <c r="D42" s="65" t="inlineStr">
        <is>
          <t>Array formula — confirm with Ctrl+Shift+Enter in older Excel.</t>
        </is>
      </c>
    </row>
    <row r="43">
      <c r="A43" s="67" t="inlineStr">
        <is>
          <t>Max |DF diff|</t>
        </is>
      </c>
      <c r="B43" s="91">
        <f>MAX(ABS(H9:H40))</f>
        <v/>
      </c>
    </row>
    <row r="44">
      <c r="A44" s="67" t="inlineStr">
        <is>
          <t>Pillars matched</t>
        </is>
      </c>
      <c r="B44" s="87">
        <f>COUNT(E9:E40)&amp;" / 32"</f>
        <v/>
      </c>
    </row>
    <row r="46">
      <c r="A46" s="65" t="inlineStr">
        <is>
          <t>Independent Python replication of this construction achieved max |DF err| 1.2e-05 and max |zero err| 0.26bp (0.00bp from 6M out); residuals sit at the screen's 6-decimal display precision.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9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0" customWidth="1" min="4" max="4"/>
    <col width="11" customWidth="1" min="5" max="5"/>
    <col width="10" customWidth="1" min="6" max="6"/>
    <col width="15" customWidth="1" min="7" max="7"/>
    <col width="15" customWidth="1" min="8" max="8"/>
    <col width="13" customWidth="1" min="9" max="9"/>
    <col width="12" customWidth="1" min="10" max="10"/>
    <col width="12" customWidth="1" min="11" max="11"/>
    <col width="18" customWidth="1" min="12" max="12"/>
    <col width="16" customWidth="1" min="15" max="15"/>
    <col width="12" customWidth="1" min="16" max="16"/>
    <col width="12" customWidth="1" min="17" max="17"/>
    <col width="12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Bootstrap_Lehman</t>
        </is>
      </c>
    </row>
    <row r="2">
      <c r="A2" s="2" t="inlineStr">
        <is>
          <t>Lehman-2002 methodology on modern SOFR: short OIS (≤1Y) + SR3 FUTURES (1Y–5Y) + OIS swaps (5Y–50Y). The middle uses the futures; the purely-OIS Bootstrap tab is the alternative.</t>
        </is>
      </c>
    </row>
    <row r="4" ht="62" customHeight="1">
      <c r="A4" s="9" t="inlineStr">
        <is>
          <t>Zhou-2002 three-segment build. SHORT (≤1Y) &amp; LONG (5Y–50Y) are the same OIS bootstrap as the Bootstrap tab; the MIDDLE (18M/2Y/3Y/4Y/5Y) is driven by the SR3 futures chain (own helper block cols O–W), which chains the QUARTERLY contracts (ref start Mar/Jun/Sep/Dec) forward from the OIS 1Y DF and interpolates onto the pillar dates. Falls back to OIS only on a hard error, so the futures drive the middle whenever the SR3 data is good (col L = 'SR3 futures'). Convexity in the chain uses the yellow sigma (bp/yr). Compare col H against the Bootstrap tab to see the futures-vs-OIS difference. Downstream tabs use the purely-OIS Bootstrap.</t>
        </is>
      </c>
    </row>
    <row r="5">
      <c r="O5" s="13" t="inlineStr">
        <is>
          <t>sigma (bp/yr):</t>
        </is>
      </c>
      <c r="P5" s="35" t="n">
        <v>100</v>
      </c>
    </row>
    <row r="6">
      <c r="O6" s="4" t="inlineStr">
        <is>
          <t>MIDDLE — SR3 futures chain (quarterly only)</t>
        </is>
      </c>
      <c r="Y6" s="4" t="inlineStr">
        <is>
          <t>Mid grid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T (yrs)</t>
        </is>
      </c>
      <c r="D7" s="20" t="inlineStr">
        <is>
          <t>tau0</t>
        </is>
      </c>
      <c r="E7" s="20" t="inlineStr">
        <is>
          <t>Par S (%)</t>
        </is>
      </c>
      <c r="F7" s="20" t="inlineStr">
        <is>
          <t>tau cpn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(%)</t>
        </is>
      </c>
      <c r="K7" s="20" t="inlineStr">
        <is>
          <t>Fwd (%)</t>
        </is>
      </c>
      <c r="L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17">
        <f>'Bootstrap'!A8</f>
        <v/>
      </c>
      <c r="B8" s="18">
        <f>'Bootstrap'!B8</f>
        <v/>
      </c>
      <c r="C8" s="28">
        <f>'Bootstrap'!C8</f>
        <v/>
      </c>
      <c r="D8" s="17">
        <f>'Bootstrap'!D8</f>
        <v/>
      </c>
      <c r="E8" s="17">
        <f>'Bootstrap'!E8</f>
        <v/>
      </c>
      <c r="F8" s="17">
        <f>'Bootstrap'!F8</f>
        <v/>
      </c>
      <c r="G8" s="17" t="n">
        <v>0</v>
      </c>
      <c r="H8" s="29">
        <f>('Bootstrap'!$D$4)/(1+(E8/100)*D8)</f>
        <v/>
      </c>
      <c r="I8" s="17" t="n">
        <v>0</v>
      </c>
      <c r="J8" s="17">
        <f>-LN(H8)/C8*100</f>
        <v/>
      </c>
      <c r="K8" s="17">
        <f>(1/H8-1)/D8*100</f>
        <v/>
      </c>
      <c r="L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EDATE(P8,3)</f>
        <v/>
      </c>
      <c r="R8" s="17">
        <f>IF(OR(MONTH(P8)=3,MONTH(P8)=6,MONTH(P8)=9,MONTH(P8)=12),MAX(0,(Q8-MAX(P8,$B$22))/360),0)</f>
        <v/>
      </c>
      <c r="S8" s="17">
        <f>'SOFR_Futures'!F7</f>
        <v/>
      </c>
      <c r="T8" s="28">
        <f>0.5*$P$5^2*((P8-'Bootstrap'!$B$4)/365)*((Q8-'Bootstrap'!$B$4)/365)/10000</f>
        <v/>
      </c>
      <c r="U8" s="34">
        <f>(S8-T8/100)/100</f>
        <v/>
      </c>
      <c r="V8" s="36">
        <f>$H$22</f>
        <v/>
      </c>
      <c r="W8" s="36">
        <f>V8/(1+U8*R8)</f>
        <v/>
      </c>
      <c r="Y8" s="18">
        <f>$B$22</f>
        <v/>
      </c>
      <c r="Z8" s="36">
        <f>$H$22</f>
        <v/>
      </c>
    </row>
    <row r="9">
      <c r="A9" s="17">
        <f>'Bootstrap'!A9</f>
        <v/>
      </c>
      <c r="B9" s="18">
        <f>'Bootstrap'!B9</f>
        <v/>
      </c>
      <c r="C9" s="28">
        <f>'Bootstrap'!C9</f>
        <v/>
      </c>
      <c r="D9" s="17">
        <f>'Bootstrap'!D9</f>
        <v/>
      </c>
      <c r="E9" s="17">
        <f>'Bootstrap'!E9</f>
        <v/>
      </c>
      <c r="F9" s="17">
        <f>'Bootstrap'!F9</f>
        <v/>
      </c>
      <c r="G9" s="17">
        <f>SUM($I$8:I8)</f>
        <v/>
      </c>
      <c r="H9" s="29">
        <f>('Bootstrap'!$D$4)/(1+(E9/100)*D9)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EDATE(P9,3)</f>
        <v/>
      </c>
      <c r="R9" s="17">
        <f>IF(OR(MONTH(P9)=3,MONTH(P9)=6,MONTH(P9)=9,MONTH(P9)=12),MAX(0,(Q9-MAX(P9,$B$22))/360),0)</f>
        <v/>
      </c>
      <c r="S9" s="17">
        <f>'SOFR_Futures'!F8</f>
        <v/>
      </c>
      <c r="T9" s="28">
        <f>0.5*$P$5^2*((P9-'Bootstrap'!$B$4)/365)*((Q9-'Bootstrap'!$B$4)/365)/10000</f>
        <v/>
      </c>
      <c r="U9" s="34">
        <f>(S9-T9/100)/100</f>
        <v/>
      </c>
      <c r="V9" s="36">
        <f>W8</f>
        <v/>
      </c>
      <c r="W9" s="36">
        <f>V9/(1+U9*R9)</f>
        <v/>
      </c>
      <c r="Y9" s="18">
        <f>MAX(Q8,$B$22)</f>
        <v/>
      </c>
      <c r="Z9" s="36">
        <f>W8</f>
        <v/>
      </c>
    </row>
    <row r="10">
      <c r="A10" s="17">
        <f>'Bootstrap'!A10</f>
        <v/>
      </c>
      <c r="B10" s="18">
        <f>'Bootstrap'!B10</f>
        <v/>
      </c>
      <c r="C10" s="28">
        <f>'Bootstrap'!C10</f>
        <v/>
      </c>
      <c r="D10" s="17">
        <f>'Bootstrap'!D10</f>
        <v/>
      </c>
      <c r="E10" s="17">
        <f>'Bootstrap'!E10</f>
        <v/>
      </c>
      <c r="F10" s="17">
        <f>'Bootstrap'!F10</f>
        <v/>
      </c>
      <c r="G10" s="17">
        <f>SUM($I$8:I9)</f>
        <v/>
      </c>
      <c r="H10" s="29">
        <f>('Bootstrap'!$D$4)/(1+(E10/100)*D10)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EDATE(P10,3)</f>
        <v/>
      </c>
      <c r="R10" s="17">
        <f>IF(OR(MONTH(P10)=3,MONTH(P10)=6,MONTH(P10)=9,MONTH(P10)=12),MAX(0,(Q10-MAX(P10,$B$22))/360),0)</f>
        <v/>
      </c>
      <c r="S10" s="17">
        <f>'SOFR_Futures'!F9</f>
        <v/>
      </c>
      <c r="T10" s="28">
        <f>0.5*$P$5^2*((P10-'Bootstrap'!$B$4)/365)*((Q10-'Bootstrap'!$B$4)/365)/10000</f>
        <v/>
      </c>
      <c r="U10" s="34">
        <f>(S10-T10/100)/100</f>
        <v/>
      </c>
      <c r="V10" s="36">
        <f>W9</f>
        <v/>
      </c>
      <c r="W10" s="36">
        <f>V10/(1+U10*R10)</f>
        <v/>
      </c>
      <c r="Y10" s="18">
        <f>MAX(Q9,$B$22)</f>
        <v/>
      </c>
      <c r="Z10" s="36">
        <f>W9</f>
        <v/>
      </c>
    </row>
    <row r="11">
      <c r="A11" s="17">
        <f>'Bootstrap'!A11</f>
        <v/>
      </c>
      <c r="B11" s="18">
        <f>'Bootstrap'!B11</f>
        <v/>
      </c>
      <c r="C11" s="28">
        <f>'Bootstrap'!C11</f>
        <v/>
      </c>
      <c r="D11" s="17">
        <f>'Bootstrap'!D11</f>
        <v/>
      </c>
      <c r="E11" s="17">
        <f>'Bootstrap'!E11</f>
        <v/>
      </c>
      <c r="F11" s="17">
        <f>'Bootstrap'!F11</f>
        <v/>
      </c>
      <c r="G11" s="17">
        <f>SUM($I$8:I10)</f>
        <v/>
      </c>
      <c r="H11" s="29">
        <f>('Bootstrap'!$D$4)/(1+(E11/100)*D11)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EDATE(P11,3)</f>
        <v/>
      </c>
      <c r="R11" s="17">
        <f>IF(OR(MONTH(P11)=3,MONTH(P11)=6,MONTH(P11)=9,MONTH(P11)=12),MAX(0,(Q11-MAX(P11,$B$22))/360),0)</f>
        <v/>
      </c>
      <c r="S11" s="17">
        <f>'SOFR_Futures'!F10</f>
        <v/>
      </c>
      <c r="T11" s="28">
        <f>0.5*$P$5^2*((P11-'Bootstrap'!$B$4)/365)*((Q11-'Bootstrap'!$B$4)/365)/10000</f>
        <v/>
      </c>
      <c r="U11" s="34">
        <f>(S11-T11/100)/100</f>
        <v/>
      </c>
      <c r="V11" s="36">
        <f>W10</f>
        <v/>
      </c>
      <c r="W11" s="36">
        <f>V11/(1+U11*R11)</f>
        <v/>
      </c>
      <c r="Y11" s="18">
        <f>MAX(Q10,$B$22)</f>
        <v/>
      </c>
      <c r="Z11" s="36">
        <f>W10</f>
        <v/>
      </c>
    </row>
    <row r="12">
      <c r="A12" s="17">
        <f>'Bootstrap'!A12</f>
        <v/>
      </c>
      <c r="B12" s="18">
        <f>'Bootstrap'!B12</f>
        <v/>
      </c>
      <c r="C12" s="28">
        <f>'Bootstrap'!C12</f>
        <v/>
      </c>
      <c r="D12" s="17">
        <f>'Bootstrap'!D12</f>
        <v/>
      </c>
      <c r="E12" s="17">
        <f>'Bootstrap'!E12</f>
        <v/>
      </c>
      <c r="F12" s="17">
        <f>'Bootstrap'!F12</f>
        <v/>
      </c>
      <c r="G12" s="17">
        <f>SUM($I$8:I11)</f>
        <v/>
      </c>
      <c r="H12" s="29">
        <f>('Bootstrap'!$D$4)/(1+(E12/100)*D12)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EDATE(P12,3)</f>
        <v/>
      </c>
      <c r="R12" s="17">
        <f>IF(OR(MONTH(P12)=3,MONTH(P12)=6,MONTH(P12)=9,MONTH(P12)=12),MAX(0,(Q12-MAX(P12,$B$22))/360),0)</f>
        <v/>
      </c>
      <c r="S12" s="17">
        <f>'SOFR_Futures'!F11</f>
        <v/>
      </c>
      <c r="T12" s="28">
        <f>0.5*$P$5^2*((P12-'Bootstrap'!$B$4)/365)*((Q12-'Bootstrap'!$B$4)/365)/10000</f>
        <v/>
      </c>
      <c r="U12" s="34">
        <f>(S12-T12/100)/100</f>
        <v/>
      </c>
      <c r="V12" s="36">
        <f>W11</f>
        <v/>
      </c>
      <c r="W12" s="36">
        <f>V12/(1+U12*R12)</f>
        <v/>
      </c>
      <c r="Y12" s="18">
        <f>MAX(Q11,$B$22)</f>
        <v/>
      </c>
      <c r="Z12" s="36">
        <f>W11</f>
        <v/>
      </c>
    </row>
    <row r="13">
      <c r="A13" s="17">
        <f>'Bootstrap'!A13</f>
        <v/>
      </c>
      <c r="B13" s="18">
        <f>'Bootstrap'!B13</f>
        <v/>
      </c>
      <c r="C13" s="28">
        <f>'Bootstrap'!C13</f>
        <v/>
      </c>
      <c r="D13" s="17">
        <f>'Bootstrap'!D13</f>
        <v/>
      </c>
      <c r="E13" s="17">
        <f>'Bootstrap'!E13</f>
        <v/>
      </c>
      <c r="F13" s="17">
        <f>'Bootstrap'!F13</f>
        <v/>
      </c>
      <c r="G13" s="17">
        <f>SUM($I$8:I12)</f>
        <v/>
      </c>
      <c r="H13" s="29">
        <f>('Bootstrap'!$D$4)/(1+(E13/100)*D13)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EDATE(P13,3)</f>
        <v/>
      </c>
      <c r="R13" s="17">
        <f>IF(OR(MONTH(P13)=3,MONTH(P13)=6,MONTH(P13)=9,MONTH(P13)=12),MAX(0,(Q13-MAX(P13,$B$22))/360),0)</f>
        <v/>
      </c>
      <c r="S13" s="17">
        <f>'SOFR_Futures'!F12</f>
        <v/>
      </c>
      <c r="T13" s="28">
        <f>0.5*$P$5^2*((P13-'Bootstrap'!$B$4)/365)*((Q13-'Bootstrap'!$B$4)/365)/10000</f>
        <v/>
      </c>
      <c r="U13" s="34">
        <f>(S13-T13/100)/100</f>
        <v/>
      </c>
      <c r="V13" s="36">
        <f>W12</f>
        <v/>
      </c>
      <c r="W13" s="36">
        <f>V13/(1+U13*R13)</f>
        <v/>
      </c>
      <c r="Y13" s="18">
        <f>MAX(Q12,$B$22)</f>
        <v/>
      </c>
      <c r="Z13" s="36">
        <f>W12</f>
        <v/>
      </c>
    </row>
    <row r="14">
      <c r="A14" s="17">
        <f>'Bootstrap'!A14</f>
        <v/>
      </c>
      <c r="B14" s="18">
        <f>'Bootstrap'!B14</f>
        <v/>
      </c>
      <c r="C14" s="28">
        <f>'Bootstrap'!C14</f>
        <v/>
      </c>
      <c r="D14" s="17">
        <f>'Bootstrap'!D14</f>
        <v/>
      </c>
      <c r="E14" s="17">
        <f>'Bootstrap'!E14</f>
        <v/>
      </c>
      <c r="F14" s="17">
        <f>'Bootstrap'!F14</f>
        <v/>
      </c>
      <c r="G14" s="17">
        <f>SUM($I$8:I13)</f>
        <v/>
      </c>
      <c r="H14" s="29">
        <f>('Bootstrap'!$D$4)/(1+(E14/100)*D14)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EDATE(P14,3)</f>
        <v/>
      </c>
      <c r="R14" s="17">
        <f>IF(OR(MONTH(P14)=3,MONTH(P14)=6,MONTH(P14)=9,MONTH(P14)=12),MAX(0,(Q14-MAX(P14,$B$22))/360),0)</f>
        <v/>
      </c>
      <c r="S14" s="17">
        <f>'SOFR_Futures'!F13</f>
        <v/>
      </c>
      <c r="T14" s="28">
        <f>0.5*$P$5^2*((P14-'Bootstrap'!$B$4)/365)*((Q14-'Bootstrap'!$B$4)/365)/10000</f>
        <v/>
      </c>
      <c r="U14" s="34">
        <f>(S14-T14/100)/100</f>
        <v/>
      </c>
      <c r="V14" s="36">
        <f>W13</f>
        <v/>
      </c>
      <c r="W14" s="36">
        <f>V14/(1+U14*R14)</f>
        <v/>
      </c>
      <c r="Y14" s="18">
        <f>MAX(Q13,$B$22)</f>
        <v/>
      </c>
      <c r="Z14" s="36">
        <f>W13</f>
        <v/>
      </c>
    </row>
    <row r="15">
      <c r="A15" s="17">
        <f>'Bootstrap'!A15</f>
        <v/>
      </c>
      <c r="B15" s="18">
        <f>'Bootstrap'!B15</f>
        <v/>
      </c>
      <c r="C15" s="28">
        <f>'Bootstrap'!C15</f>
        <v/>
      </c>
      <c r="D15" s="17">
        <f>'Bootstrap'!D15</f>
        <v/>
      </c>
      <c r="E15" s="17">
        <f>'Bootstrap'!E15</f>
        <v/>
      </c>
      <c r="F15" s="17">
        <f>'Bootstrap'!F15</f>
        <v/>
      </c>
      <c r="G15" s="17">
        <f>SUM($I$8:I14)</f>
        <v/>
      </c>
      <c r="H15" s="29">
        <f>('Bootstrap'!$D$4)/(1+(E15/100)*D15)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EDATE(P15,3)</f>
        <v/>
      </c>
      <c r="R15" s="17">
        <f>IF(OR(MONTH(P15)=3,MONTH(P15)=6,MONTH(P15)=9,MONTH(P15)=12),MAX(0,(Q15-MAX(P15,$B$22))/360),0)</f>
        <v/>
      </c>
      <c r="S15" s="17">
        <f>'SOFR_Futures'!F14</f>
        <v/>
      </c>
      <c r="T15" s="28">
        <f>0.5*$P$5^2*((P15-'Bootstrap'!$B$4)/365)*((Q15-'Bootstrap'!$B$4)/365)/10000</f>
        <v/>
      </c>
      <c r="U15" s="34">
        <f>(S15-T15/100)/100</f>
        <v/>
      </c>
      <c r="V15" s="36">
        <f>W14</f>
        <v/>
      </c>
      <c r="W15" s="36">
        <f>V15/(1+U15*R15)</f>
        <v/>
      </c>
      <c r="Y15" s="18">
        <f>MAX(Q14,$B$22)</f>
        <v/>
      </c>
      <c r="Z15" s="36">
        <f>W14</f>
        <v/>
      </c>
    </row>
    <row r="16">
      <c r="A16" s="17">
        <f>'Bootstrap'!A16</f>
        <v/>
      </c>
      <c r="B16" s="18">
        <f>'Bootstrap'!B16</f>
        <v/>
      </c>
      <c r="C16" s="28">
        <f>'Bootstrap'!C16</f>
        <v/>
      </c>
      <c r="D16" s="17">
        <f>'Bootstrap'!D16</f>
        <v/>
      </c>
      <c r="E16" s="17">
        <f>'Bootstrap'!E16</f>
        <v/>
      </c>
      <c r="F16" s="17">
        <f>'Bootstrap'!F16</f>
        <v/>
      </c>
      <c r="G16" s="17">
        <f>SUM($I$8:I15)</f>
        <v/>
      </c>
      <c r="H16" s="29">
        <f>('Bootstrap'!$D$4)/(1+(E16/100)*D16)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EDATE(P16,3)</f>
        <v/>
      </c>
      <c r="R16" s="17">
        <f>IF(OR(MONTH(P16)=3,MONTH(P16)=6,MONTH(P16)=9,MONTH(P16)=12),MAX(0,(Q16-MAX(P16,$B$22))/360),0)</f>
        <v/>
      </c>
      <c r="S16" s="17">
        <f>'SOFR_Futures'!F15</f>
        <v/>
      </c>
      <c r="T16" s="28">
        <f>0.5*$P$5^2*((P16-'Bootstrap'!$B$4)/365)*((Q16-'Bootstrap'!$B$4)/365)/10000</f>
        <v/>
      </c>
      <c r="U16" s="34">
        <f>(S16-T16/100)/100</f>
        <v/>
      </c>
      <c r="V16" s="36">
        <f>W15</f>
        <v/>
      </c>
      <c r="W16" s="36">
        <f>V16/(1+U16*R16)</f>
        <v/>
      </c>
      <c r="Y16" s="18">
        <f>MAX(Q15,$B$22)</f>
        <v/>
      </c>
      <c r="Z16" s="36">
        <f>W15</f>
        <v/>
      </c>
    </row>
    <row r="17">
      <c r="A17" s="17">
        <f>'Bootstrap'!A17</f>
        <v/>
      </c>
      <c r="B17" s="18">
        <f>'Bootstrap'!B17</f>
        <v/>
      </c>
      <c r="C17" s="28">
        <f>'Bootstrap'!C17</f>
        <v/>
      </c>
      <c r="D17" s="17">
        <f>'Bootstrap'!D17</f>
        <v/>
      </c>
      <c r="E17" s="17">
        <f>'Bootstrap'!E17</f>
        <v/>
      </c>
      <c r="F17" s="17">
        <f>'Bootstrap'!F17</f>
        <v/>
      </c>
      <c r="G17" s="17">
        <f>SUM($I$8:I16)</f>
        <v/>
      </c>
      <c r="H17" s="29">
        <f>('Bootstrap'!$D$4)/(1+(E17/100)*D17)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EDATE(P17,3)</f>
        <v/>
      </c>
      <c r="R17" s="17">
        <f>IF(OR(MONTH(P17)=3,MONTH(P17)=6,MONTH(P17)=9,MONTH(P17)=12),MAX(0,(Q17-MAX(P17,$B$22))/360),0)</f>
        <v/>
      </c>
      <c r="S17" s="17">
        <f>'SOFR_Futures'!F16</f>
        <v/>
      </c>
      <c r="T17" s="28">
        <f>0.5*$P$5^2*((P17-'Bootstrap'!$B$4)/365)*((Q17-'Bootstrap'!$B$4)/365)/10000</f>
        <v/>
      </c>
      <c r="U17" s="34">
        <f>(S17-T17/100)/100</f>
        <v/>
      </c>
      <c r="V17" s="36">
        <f>W16</f>
        <v/>
      </c>
      <c r="W17" s="36">
        <f>V17/(1+U17*R17)</f>
        <v/>
      </c>
      <c r="Y17" s="18">
        <f>MAX(Q16,$B$22)</f>
        <v/>
      </c>
      <c r="Z17" s="36">
        <f>W16</f>
        <v/>
      </c>
    </row>
    <row r="18">
      <c r="A18" s="17">
        <f>'Bootstrap'!A18</f>
        <v/>
      </c>
      <c r="B18" s="18">
        <f>'Bootstrap'!B18</f>
        <v/>
      </c>
      <c r="C18" s="28">
        <f>'Bootstrap'!C18</f>
        <v/>
      </c>
      <c r="D18" s="17">
        <f>'Bootstrap'!D18</f>
        <v/>
      </c>
      <c r="E18" s="17">
        <f>'Bootstrap'!E18</f>
        <v/>
      </c>
      <c r="F18" s="17">
        <f>'Bootstrap'!F18</f>
        <v/>
      </c>
      <c r="G18" s="17">
        <f>SUM($I$8:I17)</f>
        <v/>
      </c>
      <c r="H18" s="29">
        <f>('Bootstrap'!$D$4)/(1+(E18/100)*D18)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EDATE(P18,3)</f>
        <v/>
      </c>
      <c r="R18" s="17">
        <f>IF(OR(MONTH(P18)=3,MONTH(P18)=6,MONTH(P18)=9,MONTH(P18)=12),MAX(0,(Q18-MAX(P18,$B$22))/360),0)</f>
        <v/>
      </c>
      <c r="S18" s="17">
        <f>'SOFR_Futures'!F17</f>
        <v/>
      </c>
      <c r="T18" s="28">
        <f>0.5*$P$5^2*((P18-'Bootstrap'!$B$4)/365)*((Q18-'Bootstrap'!$B$4)/365)/10000</f>
        <v/>
      </c>
      <c r="U18" s="34">
        <f>(S18-T18/100)/100</f>
        <v/>
      </c>
      <c r="V18" s="36">
        <f>W17</f>
        <v/>
      </c>
      <c r="W18" s="36">
        <f>V18/(1+U18*R18)</f>
        <v/>
      </c>
      <c r="Y18" s="18">
        <f>MAX(Q17,$B$22)</f>
        <v/>
      </c>
      <c r="Z18" s="36">
        <f>W17</f>
        <v/>
      </c>
    </row>
    <row r="19">
      <c r="A19" s="17">
        <f>'Bootstrap'!A19</f>
        <v/>
      </c>
      <c r="B19" s="18">
        <f>'Bootstrap'!B19</f>
        <v/>
      </c>
      <c r="C19" s="28">
        <f>'Bootstrap'!C19</f>
        <v/>
      </c>
      <c r="D19" s="17">
        <f>'Bootstrap'!D19</f>
        <v/>
      </c>
      <c r="E19" s="17">
        <f>'Bootstrap'!E19</f>
        <v/>
      </c>
      <c r="F19" s="17">
        <f>'Bootstrap'!F19</f>
        <v/>
      </c>
      <c r="G19" s="17">
        <f>SUM($I$8:I18)</f>
        <v/>
      </c>
      <c r="H19" s="29">
        <f>('Bootstrap'!$D$4)/(1+(E19/100)*D19)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EDATE(P19,3)</f>
        <v/>
      </c>
      <c r="R19" s="17">
        <f>IF(OR(MONTH(P19)=3,MONTH(P19)=6,MONTH(P19)=9,MONTH(P19)=12),MAX(0,(Q19-MAX(P19,$B$22))/360),0)</f>
        <v/>
      </c>
      <c r="S19" s="17">
        <f>'SOFR_Futures'!F18</f>
        <v/>
      </c>
      <c r="T19" s="28">
        <f>0.5*$P$5^2*((P19-'Bootstrap'!$B$4)/365)*((Q19-'Bootstrap'!$B$4)/365)/10000</f>
        <v/>
      </c>
      <c r="U19" s="34">
        <f>(S19-T19/100)/100</f>
        <v/>
      </c>
      <c r="V19" s="36">
        <f>W18</f>
        <v/>
      </c>
      <c r="W19" s="36">
        <f>V19/(1+U19*R19)</f>
        <v/>
      </c>
      <c r="Y19" s="18">
        <f>MAX(Q18,$B$22)</f>
        <v/>
      </c>
      <c r="Z19" s="36">
        <f>W18</f>
        <v/>
      </c>
    </row>
    <row r="20">
      <c r="A20" s="17">
        <f>'Bootstrap'!A20</f>
        <v/>
      </c>
      <c r="B20" s="18">
        <f>'Bootstrap'!B20</f>
        <v/>
      </c>
      <c r="C20" s="28">
        <f>'Bootstrap'!C20</f>
        <v/>
      </c>
      <c r="D20" s="17">
        <f>'Bootstrap'!D20</f>
        <v/>
      </c>
      <c r="E20" s="17">
        <f>'Bootstrap'!E20</f>
        <v/>
      </c>
      <c r="F20" s="17">
        <f>'Bootstrap'!F20</f>
        <v/>
      </c>
      <c r="G20" s="17">
        <f>SUM($I$8:I19)</f>
        <v/>
      </c>
      <c r="H20" s="29">
        <f>('Bootstrap'!$D$4)/(1+(E20/100)*D20)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EDATE(P20,3)</f>
        <v/>
      </c>
      <c r="R20" s="17">
        <f>IF(OR(MONTH(P20)=3,MONTH(P20)=6,MONTH(P20)=9,MONTH(P20)=12),MAX(0,(Q20-MAX(P20,$B$22))/360),0)</f>
        <v/>
      </c>
      <c r="S20" s="17">
        <f>'SOFR_Futures'!F19</f>
        <v/>
      </c>
      <c r="T20" s="28">
        <f>0.5*$P$5^2*((P20-'Bootstrap'!$B$4)/365)*((Q20-'Bootstrap'!$B$4)/365)/10000</f>
        <v/>
      </c>
      <c r="U20" s="34">
        <f>(S20-T20/100)/100</f>
        <v/>
      </c>
      <c r="V20" s="36">
        <f>W19</f>
        <v/>
      </c>
      <c r="W20" s="36">
        <f>V20/(1+U20*R20)</f>
        <v/>
      </c>
      <c r="Y20" s="18">
        <f>MAX(Q19,$B$22)</f>
        <v/>
      </c>
      <c r="Z20" s="36">
        <f>W19</f>
        <v/>
      </c>
    </row>
    <row r="21">
      <c r="A21" s="17">
        <f>'Bootstrap'!A21</f>
        <v/>
      </c>
      <c r="B21" s="18">
        <f>'Bootstrap'!B21</f>
        <v/>
      </c>
      <c r="C21" s="28">
        <f>'Bootstrap'!C21</f>
        <v/>
      </c>
      <c r="D21" s="17">
        <f>'Bootstrap'!D21</f>
        <v/>
      </c>
      <c r="E21" s="17">
        <f>'Bootstrap'!E21</f>
        <v/>
      </c>
      <c r="F21" s="17">
        <f>'Bootstrap'!F21</f>
        <v/>
      </c>
      <c r="G21" s="17">
        <f>SUM($I$8:I20)</f>
        <v/>
      </c>
      <c r="H21" s="29">
        <f>('Bootstrap'!$D$4)/(1+(E21/100)*D21)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EDATE(P21,3)</f>
        <v/>
      </c>
      <c r="R21" s="17">
        <f>IF(OR(MONTH(P21)=3,MONTH(P21)=6,MONTH(P21)=9,MONTH(P21)=12),MAX(0,(Q21-MAX(P21,$B$22))/360),0)</f>
        <v/>
      </c>
      <c r="S21" s="17">
        <f>'SOFR_Futures'!F20</f>
        <v/>
      </c>
      <c r="T21" s="28">
        <f>0.5*$P$5^2*((P21-'Bootstrap'!$B$4)/365)*((Q21-'Bootstrap'!$B$4)/365)/10000</f>
        <v/>
      </c>
      <c r="U21" s="34">
        <f>(S21-T21/100)/100</f>
        <v/>
      </c>
      <c r="V21" s="36">
        <f>W20</f>
        <v/>
      </c>
      <c r="W21" s="36">
        <f>V21/(1+U21*R21)</f>
        <v/>
      </c>
      <c r="Y21" s="18">
        <f>MAX(Q20,$B$22)</f>
        <v/>
      </c>
      <c r="Z21" s="36">
        <f>W20</f>
        <v/>
      </c>
    </row>
    <row r="22">
      <c r="A22" s="17">
        <f>'Bootstrap'!A22</f>
        <v/>
      </c>
      <c r="B22" s="18">
        <f>'Bootstrap'!B22</f>
        <v/>
      </c>
      <c r="C22" s="28">
        <f>'Bootstrap'!C22</f>
        <v/>
      </c>
      <c r="D22" s="17">
        <f>'Bootstrap'!D22</f>
        <v/>
      </c>
      <c r="E22" s="17">
        <f>'Bootstrap'!E22</f>
        <v/>
      </c>
      <c r="F22" s="17">
        <f>'Bootstrap'!F22</f>
        <v/>
      </c>
      <c r="G22" s="17">
        <f>SUM($I$8:I21)</f>
        <v/>
      </c>
      <c r="H22" s="29">
        <f>('Bootstrap'!$D$4)/(1+(E22/100)*D22)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EDATE(P22,3)</f>
        <v/>
      </c>
      <c r="R22" s="17">
        <f>IF(OR(MONTH(P22)=3,MONTH(P22)=6,MONTH(P22)=9,MONTH(P22)=12),MAX(0,(Q22-MAX(P22,$B$22))/360),0)</f>
        <v/>
      </c>
      <c r="S22" s="17">
        <f>'SOFR_Futures'!F21</f>
        <v/>
      </c>
      <c r="T22" s="28">
        <f>0.5*$P$5^2*((P22-'Bootstrap'!$B$4)/365)*((Q22-'Bootstrap'!$B$4)/365)/10000</f>
        <v/>
      </c>
      <c r="U22" s="34">
        <f>(S22-T22/100)/100</f>
        <v/>
      </c>
      <c r="V22" s="36">
        <f>W21</f>
        <v/>
      </c>
      <c r="W22" s="36">
        <f>V22/(1+U22*R22)</f>
        <v/>
      </c>
      <c r="Y22" s="18">
        <f>MAX(Q21,$B$22)</f>
        <v/>
      </c>
      <c r="Z22" s="36">
        <f>W21</f>
        <v/>
      </c>
    </row>
    <row r="23">
      <c r="A23" s="17">
        <f>'Bootstrap'!A23</f>
        <v/>
      </c>
      <c r="B23" s="18">
        <f>'Bootstrap'!B23</f>
        <v/>
      </c>
      <c r="C23" s="28">
        <f>'Bootstrap'!C23</f>
        <v/>
      </c>
      <c r="D23" s="17">
        <f>'Bootstrap'!D23</f>
        <v/>
      </c>
      <c r="E23" s="17">
        <f>'Bootstrap'!E23</f>
        <v/>
      </c>
      <c r="F23" s="17">
        <f>'Bootstrap'!F23</f>
        <v/>
      </c>
      <c r="G23" s="17">
        <f>SUM($I$8:I22)</f>
        <v/>
      </c>
      <c r="H23" s="29">
        <f>IFERRO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,('Bootstrap'!$D$4-(E23/100)*G23)/(1+(E23/100)*F23)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6" t="inlineStr">
        <is>
          <t>SR3 futures</t>
        </is>
      </c>
      <c r="O23" s="6">
        <f>'SOFR_Futures'!A22</f>
        <v/>
      </c>
      <c r="P23" s="18">
        <f>'SOFR_Futures'!H22</f>
        <v/>
      </c>
      <c r="Q23" s="18">
        <f>EDATE(P23,3)</f>
        <v/>
      </c>
      <c r="R23" s="17">
        <f>IF(OR(MONTH(P23)=3,MONTH(P23)=6,MONTH(P23)=9,MONTH(P23)=12),MAX(0,(Q23-MAX(P23,$B$22))/360),0)</f>
        <v/>
      </c>
      <c r="S23" s="17">
        <f>'SOFR_Futures'!F22</f>
        <v/>
      </c>
      <c r="T23" s="28">
        <f>0.5*$P$5^2*((P23-'Bootstrap'!$B$4)/365)*((Q23-'Bootstrap'!$B$4)/365)/10000</f>
        <v/>
      </c>
      <c r="U23" s="34">
        <f>(S23-T23/100)/100</f>
        <v/>
      </c>
      <c r="V23" s="36">
        <f>W22</f>
        <v/>
      </c>
      <c r="W23" s="36">
        <f>V23/(1+U23*R23)</f>
        <v/>
      </c>
      <c r="Y23" s="18">
        <f>MAX(Q22,$B$22)</f>
        <v/>
      </c>
      <c r="Z23" s="36">
        <f>W22</f>
        <v/>
      </c>
    </row>
    <row r="24">
      <c r="A24" s="17">
        <f>'Bootstrap'!A24</f>
        <v/>
      </c>
      <c r="B24" s="18">
        <f>'Bootstrap'!B24</f>
        <v/>
      </c>
      <c r="C24" s="28">
        <f>'Bootstrap'!C24</f>
        <v/>
      </c>
      <c r="D24" s="17">
        <f>'Bootstrap'!D24</f>
        <v/>
      </c>
      <c r="E24" s="17">
        <f>'Bootstrap'!E24</f>
        <v/>
      </c>
      <c r="F24" s="17">
        <f>'Bootstrap'!F24</f>
        <v/>
      </c>
      <c r="G24" s="17">
        <f>SUM($I$8:I23)</f>
        <v/>
      </c>
      <c r="H24" s="29">
        <f>IFERRO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,('Bootstrap'!$D$4-(E24/100)*G24)/(1+(E24/100)*F24)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6" t="inlineStr">
        <is>
          <t>SR3 futures</t>
        </is>
      </c>
      <c r="O24" s="6">
        <f>'SOFR_Futures'!A23</f>
        <v/>
      </c>
      <c r="P24" s="18">
        <f>'SOFR_Futures'!H23</f>
        <v/>
      </c>
      <c r="Q24" s="18">
        <f>EDATE(P24,3)</f>
        <v/>
      </c>
      <c r="R24" s="17">
        <f>IF(OR(MONTH(P24)=3,MONTH(P24)=6,MONTH(P24)=9,MONTH(P24)=12),MAX(0,(Q24-MAX(P24,$B$22))/360),0)</f>
        <v/>
      </c>
      <c r="S24" s="17">
        <f>'SOFR_Futures'!F23</f>
        <v/>
      </c>
      <c r="T24" s="28">
        <f>0.5*$P$5^2*((P24-'Bootstrap'!$B$4)/365)*((Q24-'Bootstrap'!$B$4)/365)/10000</f>
        <v/>
      </c>
      <c r="U24" s="34">
        <f>(S24-T24/100)/100</f>
        <v/>
      </c>
      <c r="V24" s="36">
        <f>W23</f>
        <v/>
      </c>
      <c r="W24" s="36">
        <f>V24/(1+U24*R24)</f>
        <v/>
      </c>
      <c r="Y24" s="18">
        <f>MAX(Q23,$B$22)</f>
        <v/>
      </c>
      <c r="Z24" s="36">
        <f>W23</f>
        <v/>
      </c>
    </row>
    <row r="25">
      <c r="A25" s="17">
        <f>'Bootstrap'!A25</f>
        <v/>
      </c>
      <c r="B25" s="18">
        <f>'Bootstrap'!B25</f>
        <v/>
      </c>
      <c r="C25" s="28">
        <f>'Bootstrap'!C25</f>
        <v/>
      </c>
      <c r="D25" s="17">
        <f>'Bootstrap'!D25</f>
        <v/>
      </c>
      <c r="E25" s="17">
        <f>'Bootstrap'!E25</f>
        <v/>
      </c>
      <c r="F25" s="17">
        <f>'Bootstrap'!F25</f>
        <v/>
      </c>
      <c r="G25" s="17">
        <f>SUM($I$8:I24)</f>
        <v/>
      </c>
      <c r="H25" s="29">
        <f>IFERRO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,('Bootstrap'!$D$4-(E25/100)*G25)/(1+(E25/100)*F25)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6" t="inlineStr">
        <is>
          <t>SR3 futures</t>
        </is>
      </c>
      <c r="O25" s="6">
        <f>'SOFR_Futures'!A24</f>
        <v/>
      </c>
      <c r="P25" s="18">
        <f>'SOFR_Futures'!H24</f>
        <v/>
      </c>
      <c r="Q25" s="18">
        <f>EDATE(P25,3)</f>
        <v/>
      </c>
      <c r="R25" s="17">
        <f>IF(OR(MONTH(P25)=3,MONTH(P25)=6,MONTH(P25)=9,MONTH(P25)=12),MAX(0,(Q25-MAX(P25,$B$22))/360),0)</f>
        <v/>
      </c>
      <c r="S25" s="17">
        <f>'SOFR_Futures'!F24</f>
        <v/>
      </c>
      <c r="T25" s="28">
        <f>0.5*$P$5^2*((P25-'Bootstrap'!$B$4)/365)*((Q25-'Bootstrap'!$B$4)/365)/10000</f>
        <v/>
      </c>
      <c r="U25" s="34">
        <f>(S25-T25/100)/100</f>
        <v/>
      </c>
      <c r="V25" s="36">
        <f>W24</f>
        <v/>
      </c>
      <c r="W25" s="36">
        <f>V25/(1+U25*R25)</f>
        <v/>
      </c>
      <c r="Y25" s="18">
        <f>MAX(Q24,$B$22)</f>
        <v/>
      </c>
      <c r="Z25" s="36">
        <f>W24</f>
        <v/>
      </c>
    </row>
    <row r="26">
      <c r="A26" s="17">
        <f>'Bootstrap'!A26</f>
        <v/>
      </c>
      <c r="B26" s="18">
        <f>'Bootstrap'!B26</f>
        <v/>
      </c>
      <c r="C26" s="28">
        <f>'Bootstrap'!C26</f>
        <v/>
      </c>
      <c r="D26" s="17">
        <f>'Bootstrap'!D26</f>
        <v/>
      </c>
      <c r="E26" s="17">
        <f>'Bootstrap'!E26</f>
        <v/>
      </c>
      <c r="F26" s="17">
        <f>'Bootstrap'!F26</f>
        <v/>
      </c>
      <c r="G26" s="17">
        <f>SUM($I$8:I25)</f>
        <v/>
      </c>
      <c r="H26" s="29">
        <f>IFERRO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,('Bootstrap'!$D$4-(E26/100)*G26)/(1+(E26/100)*F26)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6" t="inlineStr">
        <is>
          <t>SR3 futures</t>
        </is>
      </c>
      <c r="O26" s="6">
        <f>'SOFR_Futures'!A25</f>
        <v/>
      </c>
      <c r="P26" s="18">
        <f>'SOFR_Futures'!H25</f>
        <v/>
      </c>
      <c r="Q26" s="18">
        <f>EDATE(P26,3)</f>
        <v/>
      </c>
      <c r="R26" s="17">
        <f>IF(OR(MONTH(P26)=3,MONTH(P26)=6,MONTH(P26)=9,MONTH(P26)=12),MAX(0,(Q26-MAX(P26,$B$22))/360),0)</f>
        <v/>
      </c>
      <c r="S26" s="17">
        <f>'SOFR_Futures'!F25</f>
        <v/>
      </c>
      <c r="T26" s="28">
        <f>0.5*$P$5^2*((P26-'Bootstrap'!$B$4)/365)*((Q26-'Bootstrap'!$B$4)/365)/10000</f>
        <v/>
      </c>
      <c r="U26" s="34">
        <f>(S26-T26/100)/100</f>
        <v/>
      </c>
      <c r="V26" s="36">
        <f>W25</f>
        <v/>
      </c>
      <c r="W26" s="36">
        <f>V26/(1+U26*R26)</f>
        <v/>
      </c>
      <c r="Y26" s="18">
        <f>MAX(Q25,$B$22)</f>
        <v/>
      </c>
      <c r="Z26" s="36">
        <f>W25</f>
        <v/>
      </c>
    </row>
    <row r="27">
      <c r="A27" s="17">
        <f>'Bootstrap'!A27</f>
        <v/>
      </c>
      <c r="B27" s="18">
        <f>'Bootstrap'!B27</f>
        <v/>
      </c>
      <c r="C27" s="28">
        <f>'Bootstrap'!C27</f>
        <v/>
      </c>
      <c r="D27" s="17">
        <f>'Bootstrap'!D27</f>
        <v/>
      </c>
      <c r="E27" s="17">
        <f>'Bootstrap'!E27</f>
        <v/>
      </c>
      <c r="F27" s="17">
        <f>'Bootstrap'!F27</f>
        <v/>
      </c>
      <c r="G27" s="17">
        <f>SUM($I$8:I26)</f>
        <v/>
      </c>
      <c r="H27" s="29">
        <f>IFERRO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,('Bootstrap'!$D$4-(E27/100)*G27)/(1+(E27/100)*F27)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6" t="inlineStr">
        <is>
          <t>SR3 futures</t>
        </is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IF(OR(MONTH(P27)=3,MONTH(P27)=6,MONTH(P27)=9,MONTH(P27)=12),MAX(0,(Q27-MAX(P27,$B$22))/360),0)</f>
        <v/>
      </c>
      <c r="S27" s="17">
        <f>'SOFR_Futures'!F26</f>
        <v/>
      </c>
      <c r="T27" s="28">
        <f>0.5*$P$5^2*((P27-'Bootstrap'!$B$4)/365)*((Q27-'Bootstrap'!$B$4)/365)/10000</f>
        <v/>
      </c>
      <c r="U27" s="34">
        <f>(S27-T27/100)/100</f>
        <v/>
      </c>
      <c r="V27" s="36">
        <f>W26</f>
        <v/>
      </c>
      <c r="W27" s="36">
        <f>V27/(1+U27*R27)</f>
        <v/>
      </c>
      <c r="Y27" s="18">
        <f>MAX(Q26,$B$22)</f>
        <v/>
      </c>
      <c r="Z27" s="36">
        <f>W26</f>
        <v/>
      </c>
    </row>
    <row r="28">
      <c r="A28" s="17">
        <f>'Bootstrap'!A28</f>
        <v/>
      </c>
      <c r="B28" s="18">
        <f>'Bootstrap'!B28</f>
        <v/>
      </c>
      <c r="C28" s="28">
        <f>'Bootstrap'!C28</f>
        <v/>
      </c>
      <c r="D28" s="17">
        <f>'Bootstrap'!D28</f>
        <v/>
      </c>
      <c r="E28" s="17">
        <f>'Bootstrap'!E28</f>
        <v/>
      </c>
      <c r="F28" s="17">
        <f>'Bootstrap'!F28</f>
        <v/>
      </c>
      <c r="G28" s="17">
        <f>SUM($I$8:I27)</f>
        <v/>
      </c>
      <c r="H28" s="29">
        <f>('Bootstrap'!$D$4-(E28/100)*G28)/(1+(E28/100)*F28)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6" t="inlineStr">
        <is>
          <t>OIS swap</t>
        </is>
      </c>
      <c r="Y28" s="18">
        <f>MAX(Q27,$B$22)</f>
        <v/>
      </c>
      <c r="Z28" s="36">
        <f>W27</f>
        <v/>
      </c>
    </row>
    <row r="29">
      <c r="A29" s="17">
        <f>'Bootstrap'!A29</f>
        <v/>
      </c>
      <c r="B29" s="18">
        <f>'Bootstrap'!B29</f>
        <v/>
      </c>
      <c r="C29" s="28">
        <f>'Bootstrap'!C29</f>
        <v/>
      </c>
      <c r="D29" s="17">
        <f>'Bootstrap'!D29</f>
        <v/>
      </c>
      <c r="E29" s="17">
        <f>'Bootstrap'!E29</f>
        <v/>
      </c>
      <c r="F29" s="17">
        <f>'Bootstrap'!F29</f>
        <v/>
      </c>
      <c r="G29" s="17">
        <f>SUM($I$8:I28)</f>
        <v/>
      </c>
      <c r="H29" s="29">
        <f>('Bootstrap'!$D$4-(E29/100)*G29)/(1+(E29/100)*F29)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6" t="inlineStr">
        <is>
          <t>OIS swap</t>
        </is>
      </c>
    </row>
    <row r="30">
      <c r="A30" s="17">
        <f>'Bootstrap'!A30</f>
        <v/>
      </c>
      <c r="B30" s="18">
        <f>'Bootstrap'!B30</f>
        <v/>
      </c>
      <c r="C30" s="28">
        <f>'Bootstrap'!C30</f>
        <v/>
      </c>
      <c r="D30" s="17">
        <f>'Bootstrap'!D30</f>
        <v/>
      </c>
      <c r="E30" s="17">
        <f>'Bootstrap'!E30</f>
        <v/>
      </c>
      <c r="F30" s="17">
        <f>'Bootstrap'!F30</f>
        <v/>
      </c>
      <c r="G30" s="17">
        <f>SUM($I$8:I29)</f>
        <v/>
      </c>
      <c r="H30" s="29">
        <f>('Bootstrap'!$D$4-(E30/100)*G30)/(1+(E30/100)*F30)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6" t="inlineStr">
        <is>
          <t>OIS swap</t>
        </is>
      </c>
    </row>
    <row r="31">
      <c r="A31" s="17">
        <f>'Bootstrap'!A31</f>
        <v/>
      </c>
      <c r="B31" s="18">
        <f>'Bootstrap'!B31</f>
        <v/>
      </c>
      <c r="C31" s="28">
        <f>'Bootstrap'!C31</f>
        <v/>
      </c>
      <c r="D31" s="17">
        <f>'Bootstrap'!D31</f>
        <v/>
      </c>
      <c r="E31" s="17">
        <f>'Bootstrap'!E31</f>
        <v/>
      </c>
      <c r="F31" s="17">
        <f>'Bootstrap'!F31</f>
        <v/>
      </c>
      <c r="G31" s="17">
        <f>SUM($I$8:I30)</f>
        <v/>
      </c>
      <c r="H31" s="29">
        <f>('Bootstrap'!$D$4-(E31/100)*G31)/(1+(E31/100)*F31)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6" t="inlineStr">
        <is>
          <t>OIS swap</t>
        </is>
      </c>
    </row>
    <row r="32">
      <c r="A32" s="17">
        <f>'Bootstrap'!A32</f>
        <v/>
      </c>
      <c r="B32" s="18">
        <f>'Bootstrap'!B32</f>
        <v/>
      </c>
      <c r="C32" s="28">
        <f>'Bootstrap'!C32</f>
        <v/>
      </c>
      <c r="D32" s="17">
        <f>'Bootstrap'!D32</f>
        <v/>
      </c>
      <c r="E32" s="17">
        <f>'Bootstrap'!E32</f>
        <v/>
      </c>
      <c r="F32" s="17">
        <f>'Bootstrap'!F32</f>
        <v/>
      </c>
      <c r="G32" s="17">
        <f>SUM($I$8:I31)</f>
        <v/>
      </c>
      <c r="H32" s="29">
        <f>('Bootstrap'!$D$4-(E32/100)*G32)/(1+(E32/100)*F32)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6" t="inlineStr">
        <is>
          <t>OIS swap</t>
        </is>
      </c>
    </row>
    <row r="33">
      <c r="A33" s="17">
        <f>'Bootstrap'!A33</f>
        <v/>
      </c>
      <c r="B33" s="18">
        <f>'Bootstrap'!B33</f>
        <v/>
      </c>
      <c r="C33" s="28">
        <f>'Bootstrap'!C33</f>
        <v/>
      </c>
      <c r="D33" s="17">
        <f>'Bootstrap'!D33</f>
        <v/>
      </c>
      <c r="E33" s="17">
        <f>'Bootstrap'!E33</f>
        <v/>
      </c>
      <c r="F33" s="17">
        <f>'Bootstrap'!F33</f>
        <v/>
      </c>
      <c r="G33" s="17">
        <f>SUM($I$8:I32)</f>
        <v/>
      </c>
      <c r="H33" s="29">
        <f>('Bootstrap'!$D$4-(E33/100)*G33)/(1+(E33/100)*F33)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6" t="inlineStr">
        <is>
          <t>OIS swap</t>
        </is>
      </c>
    </row>
    <row r="34">
      <c r="A34" s="17">
        <f>'Bootstrap'!A34</f>
        <v/>
      </c>
      <c r="B34" s="18">
        <f>'Bootstrap'!B34</f>
        <v/>
      </c>
      <c r="C34" s="28">
        <f>'Bootstrap'!C34</f>
        <v/>
      </c>
      <c r="D34" s="17">
        <f>'Bootstrap'!D34</f>
        <v/>
      </c>
      <c r="E34" s="17">
        <f>'Bootstrap'!E34</f>
        <v/>
      </c>
      <c r="F34" s="17">
        <f>'Bootstrap'!F34</f>
        <v/>
      </c>
      <c r="G34" s="17">
        <f>SUM($I$8:I33)</f>
        <v/>
      </c>
      <c r="H34" s="29">
        <f>('Bootstrap'!$D$4-(E34/100)*G34)/(1+(E34/100)*F34)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6" t="inlineStr">
        <is>
          <t>OIS swap</t>
        </is>
      </c>
    </row>
    <row r="35">
      <c r="A35" s="17">
        <f>'Bootstrap'!A35</f>
        <v/>
      </c>
      <c r="B35" s="18">
        <f>'Bootstrap'!B35</f>
        <v/>
      </c>
      <c r="C35" s="28">
        <f>'Bootstrap'!C35</f>
        <v/>
      </c>
      <c r="D35" s="17">
        <f>'Bootstrap'!D35</f>
        <v/>
      </c>
      <c r="E35" s="17">
        <f>'Bootstrap'!E35</f>
        <v/>
      </c>
      <c r="F35" s="17">
        <f>'Bootstrap'!F35</f>
        <v/>
      </c>
      <c r="G35" s="17">
        <f>SUM($I$8:I34)</f>
        <v/>
      </c>
      <c r="H35" s="29">
        <f>('Bootstrap'!$D$4-(E35/100)*G35)/(1+(E35/100)*F35)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6" t="inlineStr">
        <is>
          <t>OIS swap</t>
        </is>
      </c>
    </row>
    <row r="36">
      <c r="A36" s="17">
        <f>'Bootstrap'!A36</f>
        <v/>
      </c>
      <c r="B36" s="18">
        <f>'Bootstrap'!B36</f>
        <v/>
      </c>
      <c r="C36" s="28">
        <f>'Bootstrap'!C36</f>
        <v/>
      </c>
      <c r="D36" s="17">
        <f>'Bootstrap'!D36</f>
        <v/>
      </c>
      <c r="E36" s="17">
        <f>'Bootstrap'!E36</f>
        <v/>
      </c>
      <c r="F36" s="17">
        <f>'Bootstrap'!F36</f>
        <v/>
      </c>
      <c r="G36" s="17">
        <f>SUM($I$8:I35)</f>
        <v/>
      </c>
      <c r="H36" s="29">
        <f>('Bootstrap'!$D$4-(E36/100)*G36)/(1+(E36/100)*F36)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6" t="inlineStr">
        <is>
          <t>OIS swap</t>
        </is>
      </c>
    </row>
    <row r="37">
      <c r="A37" s="17">
        <f>'Bootstrap'!A37</f>
        <v/>
      </c>
      <c r="B37" s="18">
        <f>'Bootstrap'!B37</f>
        <v/>
      </c>
      <c r="C37" s="28">
        <f>'Bootstrap'!C37</f>
        <v/>
      </c>
      <c r="D37" s="17">
        <f>'Bootstrap'!D37</f>
        <v/>
      </c>
      <c r="E37" s="17">
        <f>'Bootstrap'!E37</f>
        <v/>
      </c>
      <c r="F37" s="17">
        <f>'Bootstrap'!F37</f>
        <v/>
      </c>
      <c r="G37" s="17">
        <f>SUM($I$8:I36)</f>
        <v/>
      </c>
      <c r="H37" s="29">
        <f>('Bootstrap'!$D$4-(E37/100)*G37)/(1+(E37/100)*F37)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6" t="inlineStr">
        <is>
          <t>OIS swap</t>
        </is>
      </c>
    </row>
    <row r="38">
      <c r="A38" s="17">
        <f>'Bootstrap'!A38</f>
        <v/>
      </c>
      <c r="B38" s="18">
        <f>'Bootstrap'!B38</f>
        <v/>
      </c>
      <c r="C38" s="28">
        <f>'Bootstrap'!C38</f>
        <v/>
      </c>
      <c r="D38" s="17">
        <f>'Bootstrap'!D38</f>
        <v/>
      </c>
      <c r="E38" s="17">
        <f>'Bootstrap'!E38</f>
        <v/>
      </c>
      <c r="F38" s="17">
        <f>'Bootstrap'!F38</f>
        <v/>
      </c>
      <c r="G38" s="17">
        <f>SUM($I$8:I37)</f>
        <v/>
      </c>
      <c r="H38" s="29">
        <f>('Bootstrap'!$D$4-(E38/100)*G38)/(1+(E38/100)*F38)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6" t="inlineStr">
        <is>
          <t>OIS swap</t>
        </is>
      </c>
    </row>
    <row r="39">
      <c r="A39" s="17">
        <f>'Bootstrap'!A39</f>
        <v/>
      </c>
      <c r="B39" s="18">
        <f>'Bootstrap'!B39</f>
        <v/>
      </c>
      <c r="C39" s="28">
        <f>'Bootstrap'!C39</f>
        <v/>
      </c>
      <c r="D39" s="17">
        <f>'Bootstrap'!D39</f>
        <v/>
      </c>
      <c r="E39" s="17">
        <f>'Bootstrap'!E39</f>
        <v/>
      </c>
      <c r="F39" s="17">
        <f>'Bootstrap'!F39</f>
        <v/>
      </c>
      <c r="G39" s="17">
        <f>SUM($I$8:I38)</f>
        <v/>
      </c>
      <c r="H39" s="29">
        <f>('Bootstrap'!$D$4-(E39/100)*G39)/(1+(E39/100)*F39)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6" t="inlineStr">
        <is>
          <t>OIS swap</t>
        </is>
      </c>
    </row>
  </sheetData>
  <mergeCells count="3">
    <mergeCell ref="O6:W6"/>
    <mergeCell ref="Y6:Z6"/>
    <mergeCell ref="A4:M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18">
        <f>Bootstrap!$B$4</f>
        <v/>
      </c>
      <c r="L6" s="3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NDEX($L$6:$L$71,MATCH($B$8,$K$6:$K$71,1))*(INDEX($L$6:$L$71,MATCH($B$8,$K$6:$K$71,1)+1)/INDEX($L$6:$L$71,MATCH($B$8,$K$6:$K$71,1)))^(($B$8-INDEX($K$6:$K$71,MATCH($B$8,$K$6:$K$71,1)))/(INDEX($K$6:$K$71,MATCH($B$8,$K$6:$K$71,1)+1)-INDEX($K$6:$K$71,MATCH($B$8,$K$6:$K$71,1)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46" t="inlineStr">
        <is>
          <t>Log-linear DF interpolation on this grid (dates $K$6:$K$71, DFs $L$6:$L$71).</t>
        </is>
      </c>
    </row>
    <row r="40">
      <c r="A40" s="43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</row>
    <row r="41">
      <c r="A41" s="43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K7" s="20" t="inlineStr">
        <is>
          <t>Date</t>
        </is>
      </c>
      <c r="L7" s="20" t="inlineStr">
        <is>
          <t>DF</t>
        </is>
      </c>
    </row>
    <row r="8">
      <c r="K8" s="18">
        <f>Bootstrap!$B$4</f>
        <v/>
      </c>
      <c r="L8" s="3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36">
        <f>INDEX($L$8:$L$73,MATCH(B10,$K$8:$K$73,1))*EXP(-(F10/100)*(B10-D10)/365)</f>
        <v/>
      </c>
      <c r="H10" s="17">
        <f>-LN(G10)/C10*100</f>
        <v/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36">
        <f>INDEX($L$8:$L$73,MATCH(B11,$K$8:$K$73,1))*EXP(-(F11/100)*(B11-D11)/365)</f>
        <v/>
      </c>
      <c r="H11" s="17">
        <f>-LN(G11)/C11*100</f>
        <v/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36">
        <f>INDEX($L$8:$L$73,MATCH(B12,$K$8:$K$73,1))*EXP(-(F12/100)*(B12-D12)/365)</f>
        <v/>
      </c>
      <c r="H12" s="17">
        <f>-LN(G12)/C12*100</f>
        <v/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36">
        <f>INDEX($L$8:$L$73,MATCH(B13,$K$8:$K$73,1))*EXP(-(F13/100)*(B13-D13)/365)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36">
        <f>INDEX($L$8:$L$73,MATCH(B14,$K$8:$K$73,1))*EXP(-(F14/100)*(B14-D14)/365)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36">
        <f>INDEX($L$8:$L$73,MATCH(B15,$K$8:$K$73,1))*EXP(-(F15/100)*(B15-D15)/365)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36">
        <f>INDEX($L$8:$L$73,MATCH(B16,$K$8:$K$73,1))*EXP(-(F16/100)*(B16-D16)/365)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36">
        <f>INDEX($L$8:$L$73,MATCH(B17,$K$8:$K$73,1))*EXP(-(F17/100)*(B17-D17)/365)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36">
        <f>INDEX($L$8:$L$73,MATCH(B18,$K$8:$K$73,1))*EXP(-(F18/100)*(B18-D18)/365)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36">
        <f>INDEX($L$8:$L$73,MATCH(B19,$K$8:$K$73,1))*EXP(-(F19/100)*(B19-D19)/365)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36">
        <f>INDEX($L$8:$L$73,MATCH(B20,$K$8:$K$73,1))*EXP(-(F20/100)*(B20-D20)/365)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36">
        <f>INDEX($L$8:$L$73,MATCH(B21,$K$8:$K$73,1))*EXP(-(F21/100)*(B21-D21)/365)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36">
        <f>INDEX($L$8:$L$73,MATCH(B22,$K$8:$K$73,1))*EXP(-(F22/100)*(B22-D22)/365)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36">
        <f>INDEX($L$8:$L$73,MATCH(B23,$K$8:$K$73,1))*EXP(-(F23/100)*(B23-D23)/365)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36">
        <f>INDEX($L$8:$L$73,MATCH(B24,$K$8:$K$73,1))*EXP(-(F24/100)*(B24-D24)/365)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36">
        <f>INDEX($L$8:$L$73,MATCH(B25,$K$8:$K$73,1))*EXP(-(F25/100)*(B25-D25)/365)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36">
        <f>INDEX($L$8:$L$73,MATCH(B26,$K$8:$K$73,1))*EXP(-(F26/100)*(B26-D26)/365)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36">
        <f>INDEX($L$8:$L$73,MATCH(B27,$K$8:$K$73,1))*EXP(-(F27/100)*(B27-D27)/365)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36">
        <f>INDEX($L$8:$L$73,MATCH(B28,$K$8:$K$73,1))*EXP(-(F28/100)*(B28-D28)/365)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36">
        <f>INDEX($L$8:$L$73,MATCH(B29,$K$8:$K$73,1))*EXP(-(F29/100)*(B29-D29)/365)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36">
        <f>INDEX($L$8:$L$73,MATCH(B30,$K$8:$K$73,1))*EXP(-(F30/100)*(B30-D30)/365)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36">
        <f>INDEX($L$8:$L$73,MATCH(B31,$K$8:$K$73,1))*EXP(-(F31/100)*(B31-D31)/365)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36">
        <f>INDEX($L$8:$L$73,MATCH(B32,$K$8:$K$73,1))*EXP(-(F32/100)*(B32-D32)/365)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36">
        <f>INDEX($L$8:$L$73,MATCH(B33,$K$8:$K$73,1))*EXP(-(F33/100)*(B33-D33)/365)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36">
        <f>INDEX($L$8:$L$73,MATCH(B34,$K$8:$K$73,1))*EXP(-(F34/100)*(B34-D34)/365)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36">
        <f>INDEX($L$8:$L$73,MATCH(B35,$K$8:$K$73,1))*EXP(-(F35/100)*(B35-D35)/365)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36">
        <f>INDEX($L$8:$L$73,MATCH(B36,$K$8:$K$73,1))*EXP(-(F36/100)*(B36-D36)/365)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36">
        <f>INDEX($L$8:$L$73,MATCH(B37,$K$8:$K$73,1))*EXP(-(F37/100)*(B37-D37)/365)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36">
        <f>INDEX($L$8:$L$73,MATCH(B38,$K$8:$K$73,1))*EXP(-(F38/100)*(B38-D38)/365)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36">
        <f>INDEX($L$8:$L$73,MATCH(B39,$K$8:$K$73,1))*EXP(-(F39/100)*(B39-D39)/365)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36">
        <f>INDEX($L$8:$L$73,MATCH(B40,$K$8:$K$73,1))*EXP(-(F40/100)*(B40-D40)/365)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36">
        <f>INDEX($L$8:$L$73,MATCH(B41,$K$8:$K$73,1))*EXP(-(F41/100)*(B41-D41)/365)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36">
        <f>INDEX($L$8:$L$73,MATCH(B42,$K$8:$K$73,1))*EXP(-(F42/100)*(B42-D42)/365)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36">
        <f>INDEX($L$8:$L$73,MATCH(B43,$K$8:$K$73,1))*EXP(-(F43/100)*(B43-D43)/365)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36">
        <f>INDEX($L$8:$L$73,MATCH(B44,$K$8:$K$73,1))*EXP(-(F44/100)*(B44-D44)/365)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36">
        <f>INDEX($L$8:$L$73,MATCH(B45,$K$8:$K$73,1))*EXP(-(F45/100)*(B45-D45)/365)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36">
        <f>INDEX($L$8:$L$73,MATCH(B46,$K$8:$K$73,1))*EXP(-(F46/100)*(B46-D46)/365)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36">
        <f>INDEX($L$8:$L$73,MATCH(B47,$K$8:$K$73,1))*EXP(-(F47/100)*(B47-D47)/365)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36">
        <f>INDEX($L$8:$L$73,MATCH(B48,$K$8:$K$73,1))*EXP(-(F48/100)*(B48-D48)/365)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36">
        <f>INDEX($L$8:$L$73,MATCH(B49,$K$8:$K$73,1))*EXP(-(F49/100)*(B49-D49)/365)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72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name:</t>
        </is>
      </c>
      <c r="B4" s="19">
        <f>IFERROR(BDP(S490_TKR,"NAME"),"ERROR PLZ FIX")</f>
        <v/>
      </c>
    </row>
    <row r="5">
      <c r="A5" s="13" t="inlineStr">
        <is>
          <t>Curve date:</t>
        </is>
      </c>
      <c r="B5" s="48">
        <f>VAL_DATE</f>
        <v/>
      </c>
    </row>
    <row r="6" ht="40" customHeight="1">
      <c r="A6" s="9" t="inlineStr">
        <is>
          <t>Paste Bloomberg's S490 zero rates (from YCSW0490 &lt;GO&gt; or SWDF) into the yellow column D, tenor for tenor; column E then shows Δz = your bootstrap − Bloomberg in bp (single digits = agreement). The raw BDS(CURVE_TENOR_RATES) dump is off to the right (cols H:I) as an optional live pull — its column order is Bloomberg-defined, so verify before relying on it.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20" t="inlineStr">
        <is>
          <t>S490 zero (%) [paste]</t>
        </is>
      </c>
      <c r="E7" s="20" t="inlineStr">
        <is>
          <t>Δz (bp)</t>
        </is>
      </c>
      <c r="H7" s="16" t="inlineStr">
        <is>
          <t>Raw CURVE_TENOR_RATES (verify order)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30" t="n"/>
      <c r="E8" s="31">
        <f>IF(D8="","",(C8-D8)*100)</f>
        <v/>
      </c>
      <c r="H8">
        <f>BDS(S490_TKR,"CURVE_TENOR_RATES")</f>
        <v/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30" t="n"/>
      <c r="E9" s="31">
        <f>IF(D9="","",(C9-D9)*100)</f>
        <v/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30" t="n"/>
      <c r="E10" s="31">
        <f>IF(D10="","",(C10-D10)*100)</f>
        <v/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30" t="n"/>
      <c r="E11" s="31">
        <f>IF(D11="","",(C11-D11)*100)</f>
        <v/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30" t="n"/>
      <c r="E12" s="31">
        <f>IF(D12="","",(C12-D12)*100)</f>
        <v/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30" t="n"/>
      <c r="E13" s="31">
        <f>IF(D13="","",(C13-D13)*100)</f>
        <v/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30" t="n"/>
      <c r="E14" s="31">
        <f>IF(D14="","",(C14-D14)*100)</f>
        <v/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30" t="n"/>
      <c r="E15" s="31">
        <f>IF(D15="","",(C15-D15)*100)</f>
        <v/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30" t="n"/>
      <c r="E16" s="31">
        <f>IF(D16="","",(C16-D16)*100)</f>
        <v/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30" t="n"/>
      <c r="E17" s="31">
        <f>IF(D17="","",(C17-D17)*100)</f>
        <v/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30" t="n"/>
      <c r="E18" s="31">
        <f>IF(D18="","",(C18-D18)*100)</f>
        <v/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30" t="n"/>
      <c r="E19" s="31">
        <f>IF(D19="","",(C19-D19)*100)</f>
        <v/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30" t="n"/>
      <c r="E20" s="31">
        <f>IF(D20="","",(C20-D20)*100)</f>
        <v/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30" t="n"/>
      <c r="E21" s="31">
        <f>IF(D21="","",(C21-D21)*100)</f>
        <v/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30" t="n"/>
      <c r="E22" s="31">
        <f>IF(D22="","",(C22-D22)*100)</f>
        <v/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30" t="n"/>
      <c r="E23" s="31">
        <f>IF(D23="","",(C23-D23)*100)</f>
        <v/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30" t="n"/>
      <c r="E24" s="31">
        <f>IF(D24="","",(C24-D24)*100)</f>
        <v/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30" t="n"/>
      <c r="E25" s="31">
        <f>IF(D25="","",(C25-D25)*100)</f>
        <v/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30" t="n"/>
      <c r="E26" s="31">
        <f>IF(D26="","",(C26-D26)*100)</f>
        <v/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30" t="n"/>
      <c r="E27" s="31">
        <f>IF(D27="","",(C27-D27)*100)</f>
        <v/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30" t="n"/>
      <c r="E28" s="31">
        <f>IF(D28="","",(C28-D28)*100)</f>
        <v/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30" t="n"/>
      <c r="E29" s="31">
        <f>IF(D29="","",(C29-D29)*100)</f>
        <v/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30" t="n"/>
      <c r="E30" s="31">
        <f>IF(D30="","",(C30-D30)*100)</f>
        <v/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30" t="n"/>
      <c r="E31" s="31">
        <f>IF(D31="","",(C31-D31)*100)</f>
        <v/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30" t="n"/>
      <c r="E32" s="31">
        <f>IF(D32="","",(C32-D32)*100)</f>
        <v/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30" t="n"/>
      <c r="E33" s="31">
        <f>IF(D33="","",(C33-D33)*100)</f>
        <v/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30" t="n"/>
      <c r="E34" s="31">
        <f>IF(D34="","",(C34-D34)*100)</f>
        <v/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30" t="n"/>
      <c r="E35" s="31">
        <f>IF(D35="","",(C35-D35)*100)</f>
        <v/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30" t="n"/>
      <c r="E36" s="31">
        <f>IF(D36="","",(C36-D36)*100)</f>
        <v/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30" t="n"/>
      <c r="E37" s="31">
        <f>IF(D37="","",(C37-D37)*100)</f>
        <v/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30" t="n"/>
      <c r="E38" s="31">
        <f>IF(D38="","",(C38-D38)*100)</f>
        <v/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30" t="n"/>
      <c r="E39" s="31">
        <f>IF(D39="","",(C39-D39)*100)</f>
        <v/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30" t="n"/>
      <c r="E40" s="31">
        <f>IF(D40="","",(C40-D40)*100)</f>
        <v/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30" t="n"/>
      <c r="E41" s="31">
        <f>IF(D41="","",(C41-D41)*100)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30" t="n"/>
      <c r="E42" s="31">
        <f>IF(D42="","",(C42-D42)*100)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30" t="n"/>
      <c r="E43" s="31">
        <f>IF(D43="","",(C43-D43)*100)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30" t="n"/>
      <c r="E44" s="31">
        <f>IF(D44="","",(C44-D44)*100)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30" t="n"/>
      <c r="E45" s="31">
        <f>IF(D45="","",(C45-D45)*100)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30" t="n"/>
      <c r="E46" s="31">
        <f>IF(D46="","",(C46-D46)*100)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30" t="n"/>
      <c r="E47" s="31">
        <f>IF(D47="","",(C47-D47)*100)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30" t="n"/>
      <c r="E48" s="31">
        <f>IF(D48="","",(C48-D48)*100)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30" t="n"/>
      <c r="E49" s="31">
        <f>IF(D49="","",(C49-D49)*100)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30" t="n"/>
      <c r="E50" s="31">
        <f>IF(D50="","",(C50-D50)*100)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30" t="n"/>
      <c r="E51" s="31">
        <f>IF(D51="","",(C51-D51)*100)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30" t="n"/>
      <c r="E52" s="31">
        <f>IF(D52="","",(C52-D52)*100)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30" t="n"/>
      <c r="E53" s="31">
        <f>IF(D53="","",(C53-D53)*100)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30" t="n"/>
      <c r="E54" s="31">
        <f>IF(D54="","",(C54-D54)*100)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30" t="n"/>
      <c r="E55" s="31">
        <f>IF(D55="","",(C55-D55)*100)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30" t="n"/>
      <c r="E56" s="31">
        <f>IF(D56="","",(C56-D56)*100)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30" t="n"/>
      <c r="E57" s="31">
        <f>IF(D57="","",(C57-D57)*100)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30" t="n"/>
      <c r="E58" s="31">
        <f>IF(D58="","",(C58-D58)*100)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30" t="n"/>
      <c r="E59" s="31">
        <f>IF(D59="","",(C59-D59)*100)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30" t="n"/>
      <c r="E60" s="31">
        <f>IF(D60="","",(C60-D60)*100)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30" t="n"/>
      <c r="E61" s="31">
        <f>IF(D61="","",(C61-D61)*100)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30" t="n"/>
      <c r="E62" s="31">
        <f>IF(D62="","",(C62-D62)*100)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30" t="n"/>
      <c r="E63" s="31">
        <f>IF(D63="","",(C63-D63)*100)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30" t="n"/>
      <c r="E64" s="31">
        <f>IF(D64="","",(C64-D64)*100)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30" t="n"/>
      <c r="E65" s="31">
        <f>IF(D65="","",(C65-D65)*100)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30" t="n"/>
      <c r="E66" s="31">
        <f>IF(D66="","",(C66-D66)*100)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30" t="n"/>
      <c r="E67" s="31">
        <f>IF(D67="","",(C67-D67)*100)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30" t="n"/>
      <c r="E68" s="31">
        <f>IF(D68="","",(C68-D68)*100)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30" t="n"/>
      <c r="E69" s="31">
        <f>IF(D69="","",(C69-D69)*100)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30" t="n"/>
      <c r="E70" s="31">
        <f>IF(D70="","",(C70-D70)*100)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30" t="n"/>
      <c r="E71" s="31">
        <f>IF(D71="","",(C71-D71)*100)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30" t="n"/>
      <c r="E72" s="31">
        <f>IF(D72="","",(C72-D72)*100)</f>
        <v/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2" t="inlineStr">
        <is>
          <t>Single-name CDS par spreads — one entity, one seniority/clause. Live BDP overrides the manual demo values.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20" t="inlineStr">
        <is>
          <t>CDS ticker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37" t="inlineStr"/>
      <c r="E7" s="55" t="n">
        <v>40</v>
      </c>
      <c r="F7" s="31">
        <f>IF(D7="",E7,IFERROR(BDP(D7,"PX_LAST"),E7))</f>
        <v/>
      </c>
      <c r="G7" s="52">
        <f>(F7/10000)/(1-CDS_Parameters!$B$8)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37" t="inlineStr"/>
      <c r="E8" s="55" t="n">
        <v>55</v>
      </c>
      <c r="F8" s="31">
        <f>IF(D8="",E8,IFERROR(BDP(D8,"PX_LAST"),E8))</f>
        <v/>
      </c>
      <c r="G8" s="52">
        <f>(F8/10000)/(1-CDS_Parameters!$B$8)</f>
        <v/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37" t="inlineStr"/>
      <c r="E9" s="55" t="n">
        <v>70</v>
      </c>
      <c r="F9" s="31">
        <f>IF(D9="",E9,IFERROR(BDP(D9,"PX_LAST"),E9))</f>
        <v/>
      </c>
      <c r="G9" s="52">
        <f>(F9/10000)/(1-CDS_Parameters!$B$8)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37" t="inlineStr"/>
      <c r="E10" s="55" t="n">
        <v>95</v>
      </c>
      <c r="F10" s="31">
        <f>IF(D10="",E10,IFERROR(BDP(D10,"PX_LAST"),E10))</f>
        <v/>
      </c>
      <c r="G10" s="52">
        <f>(F10/10000)/(1-CDS_Parameters!$B$8)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37" t="inlineStr"/>
      <c r="E11" s="55" t="n">
        <v>115</v>
      </c>
      <c r="F11" s="31">
        <f>IF(D11="",E11,IFERROR(BDP(D11,"PX_LAST"),E11))</f>
        <v/>
      </c>
      <c r="G11" s="52">
        <f>(F11/10000)/(1-CDS_Parameters!$B$8)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37" t="inlineStr"/>
      <c r="E12" s="55" t="n">
        <v>135</v>
      </c>
      <c r="F12" s="31">
        <f>IF(D12="",E12,IFERROR(BDP(D12,"PX_LAST"),E12))</f>
        <v/>
      </c>
      <c r="G12" s="52">
        <f>(F12/10000)/(1-CDS_Parameters!$B$8)</f>
        <v/>
      </c>
    </row>
  </sheetData>
  <mergeCells count="1">
    <mergeCell ref="A4:G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/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,INDEX('Curve_Interface'!$L$8:$L$73,MATCH(C7,'Curve_Interface'!$K$8:$K$73,1)))</f>
        <v/>
      </c>
      <c r="H7" s="36">
        <f>IFERROR(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,INDEX('Curve_Interface'!$L$8:$L$73,MATCH(C8,'Curve_Interface'!$K$8:$K$73,1)))</f>
        <v/>
      </c>
      <c r="H8" s="36">
        <f>IFERROR(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,INDEX('Curve_Interface'!$L$8:$L$73,MATCH(C9,'Curve_Interface'!$K$8:$K$73,1)))</f>
        <v/>
      </c>
      <c r="H9" s="36">
        <f>IFERROR(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,INDEX('Curve_Interface'!$L$8:$L$73,MATCH(C10,'Curve_Interface'!$K$8:$K$73,1)))</f>
        <v/>
      </c>
      <c r="H10" s="36">
        <f>IFERROR(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,INDEX('Curve_Interface'!$L$8:$L$73,MATCH(C11,'Curve_Interface'!$K$8:$K$73,1)))</f>
        <v/>
      </c>
      <c r="H11" s="36">
        <f>IFERROR(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,INDEX('Curve_Interface'!$L$8:$L$73,MATCH(C12,'Curve_Interface'!$K$8:$K$73,1)))</f>
        <v/>
      </c>
      <c r="H12" s="36">
        <f>IFERROR(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,INDEX('Curve_Interface'!$L$8:$L$73,MATCH(C13,'Curve_Interface'!$K$8:$K$73,1)))</f>
        <v/>
      </c>
      <c r="H13" s="36">
        <f>IFERROR(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,INDEX('Curve_Interface'!$L$8:$L$73,MATCH(C14,'Curve_Interface'!$K$8:$K$73,1)))</f>
        <v/>
      </c>
      <c r="H14" s="36">
        <f>IFERROR(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,INDEX('Curve_Interface'!$L$8:$L$73,MATCH(C15,'Curve_Interface'!$K$8:$K$73,1)))</f>
        <v/>
      </c>
      <c r="H15" s="36">
        <f>IFERROR(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,INDEX('Curve_Interface'!$L$8:$L$73,MATCH(C16,'Curve_Interface'!$K$8:$K$73,1)))</f>
        <v/>
      </c>
      <c r="H16" s="36">
        <f>IFERROR(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,INDEX('Curve_Interface'!$L$8:$L$73,MATCH(C17,'Curve_Interface'!$K$8:$K$73,1)))</f>
        <v/>
      </c>
      <c r="H17" s="36">
        <f>IFERROR(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,INDEX('Curve_Interface'!$L$8:$L$73,MATCH(C18,'Curve_Interface'!$K$8:$K$73,1)))</f>
        <v/>
      </c>
      <c r="H18" s="36">
        <f>IFERROR(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,INDEX('Curve_Interface'!$L$8:$L$73,MATCH(C19,'Curve_Interface'!$K$8:$K$73,1)))</f>
        <v/>
      </c>
      <c r="H19" s="36">
        <f>IFERROR(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,INDEX('Curve_Interface'!$L$8:$L$73,MATCH(C20,'Curve_Interface'!$K$8:$K$73,1)))</f>
        <v/>
      </c>
      <c r="H20" s="36">
        <f>IFERROR(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,INDEX('Curve_Interface'!$L$8:$L$73,MATCH(C21,'Curve_Interface'!$K$8:$K$73,1)))</f>
        <v/>
      </c>
      <c r="H21" s="36">
        <f>IFERROR(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,INDEX('Curve_Interface'!$L$8:$L$73,MATCH(C22,'Curve_Interface'!$K$8:$K$73,1)))</f>
        <v/>
      </c>
      <c r="H22" s="36">
        <f>IFERROR(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,INDEX('Curve_Interface'!$L$8:$L$73,MATCH(C23,'Curve_Interface'!$K$8:$K$73,1)))</f>
        <v/>
      </c>
      <c r="H23" s="36">
        <f>IFERROR(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,INDEX('Curve_Interface'!$L$8:$L$73,MATCH(C24,'Curve_Interface'!$K$8:$K$73,1)))</f>
        <v/>
      </c>
      <c r="H24" s="36">
        <f>IFERROR(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,INDEX('Curve_Interface'!$L$8:$L$73,MATCH(C25,'Curve_Interface'!$K$8:$K$73,1)))</f>
        <v/>
      </c>
      <c r="H25" s="36">
        <f>IFERROR(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,INDEX('Curve_Interface'!$L$8:$L$73,MATCH(C26,'Curve_Interface'!$K$8:$K$73,1)))</f>
        <v/>
      </c>
      <c r="H26" s="36">
        <f>IFERROR(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,INDEX('Curve_Interface'!$L$8:$L$73,MATCH(C27,'Curve_Interface'!$K$8:$K$73,1)))</f>
        <v/>
      </c>
      <c r="H27" s="36">
        <f>IFERROR(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,INDEX('Curve_Interface'!$L$8:$L$73,MATCH(C28,'Curve_Interface'!$K$8:$K$73,1)))</f>
        <v/>
      </c>
      <c r="H28" s="36">
        <f>IFERROR(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,INDEX('Curve_Interface'!$L$8:$L$73,MATCH(C29,'Curve_Interface'!$K$8:$K$73,1)))</f>
        <v/>
      </c>
      <c r="H29" s="36">
        <f>IFERROR(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,INDEX('Curve_Interface'!$L$8:$L$73,MATCH(C30,'Curve_Interface'!$K$8:$K$73,1)))</f>
        <v/>
      </c>
      <c r="H30" s="36">
        <f>IFERROR(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,INDEX('Curve_Interface'!$L$8:$L$73,MATCH(C31,'Curve_Interface'!$K$8:$K$73,1)))</f>
        <v/>
      </c>
      <c r="H31" s="36">
        <f>IFERROR(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,INDEX('Curve_Interface'!$L$8:$L$73,MATCH(C32,'Curve_Interface'!$K$8:$K$73,1)))</f>
        <v/>
      </c>
      <c r="H32" s="36">
        <f>IFERROR(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,INDEX('Curve_Interface'!$L$8:$L$73,MATCH(C33,'Curve_Interface'!$K$8:$K$73,1)))</f>
        <v/>
      </c>
      <c r="H33" s="36">
        <f>IFERROR(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,INDEX('Curve_Interface'!$L$8:$L$73,MATCH(C34,'Curve_Interface'!$K$8:$K$73,1)))</f>
        <v/>
      </c>
      <c r="H34" s="36">
        <f>IFERROR(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,INDEX('Curve_Interface'!$L$8:$L$73,MATCH(C35,'Curve_Interface'!$K$8:$K$73,1)))</f>
        <v/>
      </c>
      <c r="H35" s="36">
        <f>IFERROR(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,INDEX('Curve_Interface'!$L$8:$L$73,MATCH(C36,'Curve_Interface'!$K$8:$K$73,1)))</f>
        <v/>
      </c>
      <c r="H36" s="36">
        <f>IFERROR(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,INDEX('Curve_Interface'!$L$8:$L$73,MATCH(C37,'Curve_Interface'!$K$8:$K$73,1)))</f>
        <v/>
      </c>
      <c r="H37" s="36">
        <f>IFERROR(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,INDEX('Curve_Interface'!$L$8:$L$73,MATCH(C38,'Curve_Interface'!$K$8:$K$73,1)))</f>
        <v/>
      </c>
      <c r="H38" s="36">
        <f>IFERROR(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,INDEX('Curve_Interface'!$L$8:$L$73,MATCH(C39,'Curve_Interface'!$K$8:$K$73,1)))</f>
        <v/>
      </c>
      <c r="H39" s="36">
        <f>IFERROR(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,INDEX('Curve_Interface'!$L$8:$L$73,MATCH(C40,'Curve_Interface'!$K$8:$K$73,1)))</f>
        <v/>
      </c>
      <c r="H40" s="36">
        <f>IFERROR(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,INDEX('Curve_Interface'!$L$8:$L$73,MATCH(C41,'Curve_Interface'!$K$8:$K$73,1)))</f>
        <v/>
      </c>
      <c r="H41" s="36">
        <f>IFERROR(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,INDEX('Curve_Interface'!$L$8:$L$73,MATCH(C42,'Curve_Interface'!$K$8:$K$73,1)))</f>
        <v/>
      </c>
      <c r="H42" s="36">
        <f>IFERROR(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,INDEX('Curve_Interface'!$L$8:$L$73,MATCH(C43,'Curve_Interface'!$K$8:$K$73,1)))</f>
        <v/>
      </c>
      <c r="H43" s="36">
        <f>IFERROR(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,INDEX('Curve_Interface'!$L$8:$L$73,MATCH(C44,'Curve_Interface'!$K$8:$K$73,1)))</f>
        <v/>
      </c>
      <c r="H44" s="36">
        <f>IFERROR(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,INDEX('Curve_Interface'!$L$8:$L$73,MATCH(C45,'Curve_Interface'!$K$8:$K$73,1)))</f>
        <v/>
      </c>
      <c r="H45" s="36">
        <f>IFERROR(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,INDEX('Curve_Interface'!$L$8:$L$73,MATCH(C46,'Curve_Interface'!$K$8:$K$73,1)))</f>
        <v/>
      </c>
      <c r="H46" s="36">
        <f>IFERROR(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</sheetData>
  <mergeCells count="1">
    <mergeCell ref="A11:F1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565C0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2026-07-21T13:52:42Z</dcterms:modified>
</cp:coreProperties>
</file>