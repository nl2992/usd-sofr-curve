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S490_Target" sheetId="7" state="visible" r:id="rId7"/>
    <sheet xmlns:r="http://schemas.openxmlformats.org/officeDocument/2006/relationships" name="Curve_Solver" sheetId="8" state="visible" r:id="rId8"/>
    <sheet xmlns:r="http://schemas.openxmlformats.org/officeDocument/2006/relationships" name="Swap_Pricer" sheetId="9" state="visible" r:id="rId9"/>
    <sheet xmlns:r="http://schemas.openxmlformats.org/officeDocument/2006/relationships" name="Curve_Interface" sheetId="10" state="visible" r:id="rId10"/>
    <sheet xmlns:r="http://schemas.openxmlformats.org/officeDocument/2006/relationships" name="Bloomberg_S490_Validation" sheetId="11" state="visible" r:id="rId11"/>
    <sheet xmlns:r="http://schemas.openxmlformats.org/officeDocument/2006/relationships" name="Conventions" sheetId="12" state="visible" r:id="rId12"/>
    <sheet xmlns:r="http://schemas.openxmlformats.org/officeDocument/2006/relationships" name="Fwd_Interp" sheetId="13" state="visible" r:id="rId13"/>
    <sheet xmlns:r="http://schemas.openxmlformats.org/officeDocument/2006/relationships" name="CDS_Parameters" sheetId="14" state="visible" r:id="rId14"/>
    <sheet xmlns:r="http://schemas.openxmlformats.org/officeDocument/2006/relationships" name="CDS_Quotes" sheetId="15" state="visible" r:id="rId15"/>
    <sheet xmlns:r="http://schemas.openxmlformats.org/officeDocument/2006/relationships" name="Hazard_Bootstrap" sheetId="16" state="visible" r:id="rId16"/>
    <sheet xmlns:r="http://schemas.openxmlformats.org/officeDocument/2006/relationships" name="CDS_Schedule" sheetId="17" state="visible" r:id="rId17"/>
    <sheet xmlns:r="http://schemas.openxmlformats.org/officeDocument/2006/relationships" name="CDS_Pricer" sheetId="18" state="visible" r:id="rId18"/>
    <sheet xmlns:r="http://schemas.openxmlformats.org/officeDocument/2006/relationships" name="CDS_Validation" sheetId="19" state="visible" r:id="rId19"/>
    <sheet xmlns:r="http://schemas.openxmlformats.org/officeDocument/2006/relationships" name="Hazard_Solver" sheetId="20" state="visible" r:id="rId20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1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</numFmts>
  <fonts count="19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3.64055</v>
      </c>
      <c r="F6" s="98" t="inlineStr">
        <is>
          <t>LIVE on a terminal: C6 pulls the real SOFRRATE fixing and OVERRIDES this cell. This 3.64055% is only the off-terminal fallback (fitted so DFspot reproduces the 07/21/26 S490 screen). Expect the front end to shift when live: ~1.1bp at 1W and ~0.3bp at 1M if the fixing is 3.59%, but under 0.03bp from 1Y out. The long end is unaffected.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  <c r="J1" s="66" t="inlineStr">
        <is>
          <t>REAL MARKET DATA — Bloomberg YCSW0490 USD SOFR, curve date 07/21/2026, PCS BGN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Source: S490 Curve Construction screen (user-supplied photo, 07/21/26). Mid = (bid+ask)/2 reproduces Bloomberg's Market Rate column for all 32 pillars. Used only when BDP fails; on a terminal BDP takes precedence.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  <c r="J4" s="62" t="inlineStr">
        <is>
          <t>Manual BID (%)</t>
        </is>
      </c>
      <c r="K4" s="62" t="inlineStr">
        <is>
          <t>Manual ASK (%)</t>
        </is>
      </c>
      <c r="L4" s="62" t="inlineStr">
        <is>
          <t>Source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84">
        <f>IFERROR((E5+F5)/2,IFERROR(G5+0,(J5+K5)/2))</f>
        <v/>
      </c>
      <c r="I5" s="26" t="inlineStr">
        <is>
          <t>Y</t>
        </is>
      </c>
      <c r="J5" s="85" t="n">
        <v>3.62682</v>
      </c>
      <c r="K5" s="85" t="n">
        <v>3.63318</v>
      </c>
      <c r="L5" s="65" t="inlineStr">
        <is>
          <t>S490 07/21/26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84">
        <f>IFERROR((E6+F6)/2,IFERROR(G6+0,(J6+K6)/2))</f>
        <v/>
      </c>
      <c r="I6" s="26" t="inlineStr"/>
      <c r="J6" s="85" t="n">
        <v>3.66879</v>
      </c>
      <c r="K6" s="85" t="n">
        <v>3.67521</v>
      </c>
      <c r="L6" s="65" t="inlineStr">
        <is>
          <t>S490 07/21/26</t>
        </is>
      </c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84">
        <f>IFERROR((E7+F7)/2,IFERROR(G7+0,(J7+K7)/2))</f>
        <v/>
      </c>
      <c r="I7" s="26" t="inlineStr"/>
      <c r="J7" s="85" t="n">
        <v>3.66701</v>
      </c>
      <c r="K7" s="85" t="n">
        <v>3.67279</v>
      </c>
      <c r="L7" s="65" t="inlineStr">
        <is>
          <t>S490 07/21/26</t>
        </is>
      </c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84">
        <f>IFERROR((E8+F8)/2,IFERROR(G8+0,(J8+K8)/2))</f>
        <v/>
      </c>
      <c r="I8" s="26" t="inlineStr">
        <is>
          <t>Y</t>
        </is>
      </c>
      <c r="J8" s="85" t="n">
        <v>3.67722</v>
      </c>
      <c r="K8" s="85" t="n">
        <v>3.68058</v>
      </c>
      <c r="L8" s="65" t="inlineStr">
        <is>
          <t>S490 07/21/26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84">
        <f>IFERROR((E9+F9)/2,IFERROR(G9+0,(J9+K9)/2))</f>
        <v/>
      </c>
      <c r="I9" s="26" t="inlineStr"/>
      <c r="J9" s="85" t="n">
        <v>3.70154</v>
      </c>
      <c r="K9" s="85" t="n">
        <v>3.70535</v>
      </c>
      <c r="L9" s="65" t="inlineStr">
        <is>
          <t>S490 07/21/26</t>
        </is>
      </c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84">
        <f>IFERROR((E10+F10)/2,IFERROR(G10+0,(J10+K10)/2))</f>
        <v/>
      </c>
      <c r="I10" s="26" t="inlineStr">
        <is>
          <t>Y</t>
        </is>
      </c>
      <c r="J10" s="85" t="n">
        <v>3.7508</v>
      </c>
      <c r="K10" s="85" t="n">
        <v>3.7549</v>
      </c>
      <c r="L10" s="65" t="inlineStr">
        <is>
          <t>S490 07/21/26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84">
        <f>IFERROR((E11+F11)/2,IFERROR(G11+0,(J11+K11)/2))</f>
        <v/>
      </c>
      <c r="I11" s="26" t="inlineStr"/>
      <c r="J11" s="85" t="n">
        <v>3.79361</v>
      </c>
      <c r="K11" s="85" t="n">
        <v>3.79789</v>
      </c>
      <c r="L11" s="65" t="inlineStr">
        <is>
          <t>S490 07/21/26</t>
        </is>
      </c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84">
        <f>IFERROR((E12+F12)/2,IFERROR(G12+0,(J12+K12)/2))</f>
        <v/>
      </c>
      <c r="I12" s="26" t="inlineStr"/>
      <c r="J12" s="85" t="n">
        <v>3.83196</v>
      </c>
      <c r="K12" s="85" t="n">
        <v>3.83674</v>
      </c>
      <c r="L12" s="65" t="inlineStr">
        <is>
          <t>S490 07/21/26</t>
        </is>
      </c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84">
        <f>IFERROR((E13+F13)/2,IFERROR(G13+0,(J13+K13)/2))</f>
        <v/>
      </c>
      <c r="I13" s="26" t="inlineStr">
        <is>
          <t>Y</t>
        </is>
      </c>
      <c r="J13" s="85" t="n">
        <v>3.87501</v>
      </c>
      <c r="K13" s="85" t="n">
        <v>3.87949</v>
      </c>
      <c r="L13" s="65" t="inlineStr">
        <is>
          <t>S490 07/21/26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84">
        <f>IFERROR((E14+F14)/2,IFERROR(G14+0,(J14+K14)/2))</f>
        <v/>
      </c>
      <c r="I14" s="26" t="inlineStr"/>
      <c r="J14" s="85" t="n">
        <v>3.90612</v>
      </c>
      <c r="K14" s="85" t="n">
        <v>3.91028</v>
      </c>
      <c r="L14" s="65" t="inlineStr">
        <is>
          <t>S490 07/21/26</t>
        </is>
      </c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84">
        <f>IFERROR((E15+F15)/2,IFERROR(G15+0,(J15+K15)/2))</f>
        <v/>
      </c>
      <c r="I15" s="26" t="inlineStr"/>
      <c r="J15" s="85" t="n">
        <v>3.93252</v>
      </c>
      <c r="K15" s="85" t="n">
        <v>3.93648</v>
      </c>
      <c r="L15" s="65" t="inlineStr">
        <is>
          <t>S490 07/21/26</t>
        </is>
      </c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84">
        <f>IFERROR((E16+F16)/2,IFERROR(G16+0,(J16+K16)/2))</f>
        <v/>
      </c>
      <c r="I16" s="26" t="inlineStr"/>
      <c r="J16" s="85" t="n">
        <v>3.96102</v>
      </c>
      <c r="K16" s="85" t="n">
        <v>3.96488</v>
      </c>
      <c r="L16" s="65" t="inlineStr">
        <is>
          <t>S490 07/21/26</t>
        </is>
      </c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84">
        <f>IFERROR((E17+F17)/2,IFERROR(G17+0,(J17+K17)/2))</f>
        <v/>
      </c>
      <c r="I17" s="26" t="inlineStr"/>
      <c r="J17" s="85" t="n">
        <v>3.98669</v>
      </c>
      <c r="K17" s="85" t="n">
        <v>3.99051</v>
      </c>
      <c r="L17" s="65" t="inlineStr">
        <is>
          <t>S490 07/21/26</t>
        </is>
      </c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84">
        <f>IFERROR((E18+F18)/2,IFERROR(G18+0,(J18+K18)/2))</f>
        <v/>
      </c>
      <c r="I18" s="26" t="inlineStr"/>
      <c r="J18" s="85" t="n">
        <v>4.00898</v>
      </c>
      <c r="K18" s="85" t="n">
        <v>4.01272</v>
      </c>
      <c r="L18" s="65" t="inlineStr">
        <is>
          <t>S490 07/21/26</t>
        </is>
      </c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84">
        <f>IFERROR((E19+F19)/2,IFERROR(G19+0,(J19+K19)/2))</f>
        <v/>
      </c>
      <c r="I19" s="26" t="inlineStr"/>
      <c r="J19" s="85" t="n">
        <v>4.02869</v>
      </c>
      <c r="K19" s="85" t="n">
        <v>4.03192</v>
      </c>
      <c r="L19" s="65" t="inlineStr">
        <is>
          <t>S490 07/21/26</t>
        </is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84">
        <f>IFERROR((E20+F20)/2,IFERROR(G20+0,(J20+K20)/2))</f>
        <v/>
      </c>
      <c r="I20" s="26" t="inlineStr"/>
      <c r="J20" s="85" t="n">
        <v>4.04401</v>
      </c>
      <c r="K20" s="85" t="n">
        <v>4.04717</v>
      </c>
      <c r="L20" s="65" t="inlineStr">
        <is>
          <t>S490 07/21/26</t>
        </is>
      </c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84">
        <f>IFERROR((E21+F21)/2,IFERROR(G21+0,(J21+K21)/2))</f>
        <v/>
      </c>
      <c r="I21" s="26" t="inlineStr"/>
      <c r="J21" s="85" t="n">
        <v>4.0498</v>
      </c>
      <c r="K21" s="85" t="n">
        <v>4.0524</v>
      </c>
      <c r="L21" s="65" t="inlineStr">
        <is>
          <t>S490 07/21/26</t>
        </is>
      </c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84">
        <f>IFERROR((E22+F22)/2,IFERROR(G22+0,(J22+K22)/2))</f>
        <v/>
      </c>
      <c r="I22" s="26" t="inlineStr"/>
      <c r="J22" s="85" t="n">
        <v>4.0302</v>
      </c>
      <c r="K22" s="85" t="n">
        <v>4.0327</v>
      </c>
      <c r="L22" s="65" t="inlineStr">
        <is>
          <t>S490 07/21/26</t>
        </is>
      </c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84">
        <f>IFERROR((E23+F23)/2,IFERROR(G23+0,(J23+K23)/2))</f>
        <v/>
      </c>
      <c r="I23" s="26" t="inlineStr"/>
      <c r="J23" s="85" t="n">
        <v>4.02235</v>
      </c>
      <c r="K23" s="85" t="n">
        <v>4.02486</v>
      </c>
      <c r="L23" s="65" t="inlineStr">
        <is>
          <t>S490 07/21/26</t>
        </is>
      </c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84">
        <f>IFERROR((E24+F24)/2,IFERROR(G24+0,(J24+K24)/2))</f>
        <v/>
      </c>
      <c r="I24" s="26" t="inlineStr">
        <is>
          <t>Y</t>
        </is>
      </c>
      <c r="J24" s="85" t="n">
        <v>4.03007</v>
      </c>
      <c r="K24" s="85" t="n">
        <v>4.03273</v>
      </c>
      <c r="L24" s="65" t="inlineStr">
        <is>
          <t>S490 07/21/26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84">
        <f>IFERROR((E25+F25)/2,IFERROR(G25+0,(J25+K25)/2))</f>
        <v/>
      </c>
      <c r="I25" s="26" t="inlineStr">
        <is>
          <t>Y</t>
        </is>
      </c>
      <c r="J25" s="85" t="n">
        <v>4.0507</v>
      </c>
      <c r="K25" s="85" t="n">
        <v>4.05283</v>
      </c>
      <c r="L25" s="65" t="inlineStr">
        <is>
          <t>S490 07/21/26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84">
        <f>IFERROR((E26+F26)/2,IFERROR(G26+0,(J26+K26)/2))</f>
        <v/>
      </c>
      <c r="I26" s="26" t="inlineStr">
        <is>
          <t>Y</t>
        </is>
      </c>
      <c r="J26" s="85" t="n">
        <v>4.07677</v>
      </c>
      <c r="K26" s="85" t="n">
        <v>4.07909</v>
      </c>
      <c r="L26" s="65" t="inlineStr">
        <is>
          <t>S490 07/21/26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84">
        <f>IFERROR((E27+F27)/2,IFERROR(G27+0,(J27+K27)/2))</f>
        <v/>
      </c>
      <c r="I27" s="26" t="inlineStr">
        <is>
          <t>Y</t>
        </is>
      </c>
      <c r="J27" s="85" t="n">
        <v>4.10574</v>
      </c>
      <c r="K27" s="85" t="n">
        <v>4.10816</v>
      </c>
      <c r="L27" s="65" t="inlineStr">
        <is>
          <t>S490 07/21/26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84">
        <f>IFERROR((E28+F28)/2,IFERROR(G28+0,(J28+K28)/2))</f>
        <v/>
      </c>
      <c r="I28" s="26" t="inlineStr">
        <is>
          <t>Y</t>
        </is>
      </c>
      <c r="J28" s="85" t="n">
        <v>4.13691</v>
      </c>
      <c r="K28" s="85" t="n">
        <v>4.13959</v>
      </c>
      <c r="L28" s="65" t="inlineStr">
        <is>
          <t>S490 07/21/26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84">
        <f>IFERROR((E29+F29)/2,IFERROR(G29+0,(J29+K29)/2))</f>
        <v/>
      </c>
      <c r="I29" s="26" t="inlineStr">
        <is>
          <t>Y</t>
        </is>
      </c>
      <c r="J29" s="85" t="n">
        <v>4.17029</v>
      </c>
      <c r="K29" s="85" t="n">
        <v>4.17301</v>
      </c>
      <c r="L29" s="65" t="inlineStr">
        <is>
          <t>S490 07/21/26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84">
        <f>IFERROR((E30+F30)/2,IFERROR(G30+0,(J30+K30)/2))</f>
        <v/>
      </c>
      <c r="I30" s="26" t="inlineStr">
        <is>
          <t>Y</t>
        </is>
      </c>
      <c r="J30" s="85" t="n">
        <v>4.23713</v>
      </c>
      <c r="K30" s="85" t="n">
        <v>4.23995</v>
      </c>
      <c r="L30" s="65" t="inlineStr">
        <is>
          <t>S490 07/21/26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84">
        <f>IFERROR((E31+F31)/2,IFERROR(G31+0,(J31+K31)/2))</f>
        <v/>
      </c>
      <c r="I31" s="26" t="inlineStr">
        <is>
          <t>Y</t>
        </is>
      </c>
      <c r="J31" s="85" t="n">
        <v>4.32475</v>
      </c>
      <c r="K31" s="85" t="n">
        <v>4.32801</v>
      </c>
      <c r="L31" s="65" t="inlineStr">
        <is>
          <t>S490 07/21/26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84">
        <f>IFERROR((E32+F32)/2,IFERROR(G32+0,(J32+K32)/2))</f>
        <v/>
      </c>
      <c r="I32" s="26" t="inlineStr">
        <is>
          <t>Y</t>
        </is>
      </c>
      <c r="J32" s="85" t="n">
        <v>4.39966</v>
      </c>
      <c r="K32" s="85" t="n">
        <v>4.40294</v>
      </c>
      <c r="L32" s="65" t="inlineStr">
        <is>
          <t>S490 07/21/26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84">
        <f>IFERROR((E33+F33)/2,IFERROR(G33+0,(J33+K33)/2))</f>
        <v/>
      </c>
      <c r="I33" s="26" t="inlineStr">
        <is>
          <t>Y</t>
        </is>
      </c>
      <c r="J33" s="85" t="n">
        <v>4.39842</v>
      </c>
      <c r="K33" s="85" t="n">
        <v>4.40168</v>
      </c>
      <c r="L33" s="65" t="inlineStr">
        <is>
          <t>S490 07/21/26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84">
        <f>IFERROR((E34+F34)/2,IFERROR(G34+0,(J34+K34)/2))</f>
        <v/>
      </c>
      <c r="I34" s="26" t="inlineStr">
        <is>
          <t>Y</t>
        </is>
      </c>
      <c r="J34" s="85" t="n">
        <v>4.36132</v>
      </c>
      <c r="K34" s="85" t="n">
        <v>4.36422</v>
      </c>
      <c r="L34" s="65" t="inlineStr">
        <is>
          <t>S490 07/21/26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84">
        <f>IFERROR((E35+F35)/2,IFERROR(G35+0,(J35+K35)/2))</f>
        <v/>
      </c>
      <c r="I35" s="26" t="inlineStr">
        <is>
          <t>Y</t>
        </is>
      </c>
      <c r="J35" s="85" t="n">
        <v>4.23695</v>
      </c>
      <c r="K35" s="85" t="n">
        <v>4.25025</v>
      </c>
      <c r="L35" s="65" t="inlineStr">
        <is>
          <t>S490 07/21/26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84">
        <f>IFERROR((E36+F36)/2,IFERROR(G36+0,(J36+K36)/2))</f>
        <v/>
      </c>
      <c r="I36" s="26" t="inlineStr">
        <is>
          <t>Y</t>
        </is>
      </c>
      <c r="J36" s="85" t="n">
        <v>4.09924</v>
      </c>
      <c r="K36" s="85" t="n">
        <v>4.1213</v>
      </c>
      <c r="L36" s="65" t="inlineStr">
        <is>
          <t>S490 07/21/26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75"/>
  <sheetViews>
    <sheetView showGridLines="1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Long-end quoted pillars (12Y+) are solved on Curve_Solver: their interpolated gap rows feed the annuity, which used to make column H circular. Gap rows keep their original interpolation formulas.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70" t="inlineStr">
        <is>
          <t>Purely-OIS USD SOFR curve: short single-payment OIS (&lt;=1Y) + annual OIS swaps (18M-50Y). THE single production curve - used by Swap_Pricer, Curve_Interface and the CDS module. Verified against the Bloomberg S490 screen (see S490_Target): 32/32 pillars, max zero diff 0.26bp, max DF diff 1.2e-05.</t>
        </is>
      </c>
      <c r="R5" s="65" t="inlineStr">
        <is>
          <t>Column R rebuilds each solved pillar from its own annuity column G and differences it against the solver answer. ~0 confirms the par identity still holds with the gap rows included.</t>
        </is>
      </c>
    </row>
    <row r="6">
      <c r="S6" s="4" t="inlineStr">
        <is>
          <t>Working — fixed-leg PV = float-leg PV (par swap)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62" t="inlineStr">
        <is>
          <t>Par check (~0)</t>
        </is>
      </c>
      <c r="S7" s="20" t="inlineStr">
        <is>
          <t>Annuity  Σα·DF</t>
        </is>
      </c>
      <c r="T7" s="20" t="inlineStr">
        <is>
          <t>Fixed leg  K·Σα·DF</t>
        </is>
      </c>
      <c r="U7" s="20" t="inlineStr">
        <is>
          <t>Float leg  DF0−DF(T)</t>
        </is>
      </c>
      <c r="V7" s="20" t="inlineStr">
        <is>
          <t>Model par (%)</t>
        </is>
      </c>
      <c r="W7" s="20" t="inlineStr">
        <is>
          <t>Reprice (bp)</t>
        </is>
      </c>
    </row>
    <row r="8">
      <c r="A8" s="6" t="inlineStr">
        <is>
          <t>1W</t>
        </is>
      </c>
      <c r="B8" s="86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34">
        <f>(E8/100)*S8</f>
        <v/>
      </c>
      <c r="U8" s="34">
        <f>$D$4-H8</f>
        <v/>
      </c>
      <c r="V8" s="17">
        <f>U8/S8*100</f>
        <v/>
      </c>
      <c r="W8" s="31">
        <f>(V8-E8)*100</f>
        <v/>
      </c>
    </row>
    <row r="9">
      <c r="A9" s="6" t="inlineStr">
        <is>
          <t>2W</t>
        </is>
      </c>
      <c r="B9" s="86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34">
        <f>(E9/100)*S9</f>
        <v/>
      </c>
      <c r="U9" s="34">
        <f>$D$4-H9</f>
        <v/>
      </c>
      <c r="V9" s="17">
        <f>U9/S9*100</f>
        <v/>
      </c>
      <c r="W9" s="31">
        <f>(V9-E9)*100</f>
        <v/>
      </c>
    </row>
    <row r="10">
      <c r="A10" s="6" t="inlineStr">
        <is>
          <t>3W</t>
        </is>
      </c>
      <c r="B10" s="86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34">
        <f>(E10/100)*S10</f>
        <v/>
      </c>
      <c r="U10" s="34">
        <f>$D$4-H10</f>
        <v/>
      </c>
      <c r="V10" s="17">
        <f>U10/S10*100</f>
        <v/>
      </c>
      <c r="W10" s="31">
        <f>(V10-E10)*100</f>
        <v/>
      </c>
    </row>
    <row r="11">
      <c r="A11" s="6" t="inlineStr">
        <is>
          <t>1M</t>
        </is>
      </c>
      <c r="B11" s="86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34">
        <f>(E11/100)*S11</f>
        <v/>
      </c>
      <c r="U11" s="34">
        <f>$D$4-H11</f>
        <v/>
      </c>
      <c r="V11" s="17">
        <f>U11/S11*100</f>
        <v/>
      </c>
      <c r="W11" s="31">
        <f>(V11-E11)*100</f>
        <v/>
      </c>
    </row>
    <row r="12">
      <c r="A12" s="6" t="inlineStr">
        <is>
          <t>2M</t>
        </is>
      </c>
      <c r="B12" s="86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34">
        <f>(E12/100)*S12</f>
        <v/>
      </c>
      <c r="U12" s="34">
        <f>$D$4-H12</f>
        <v/>
      </c>
      <c r="V12" s="17">
        <f>U12/S12*100</f>
        <v/>
      </c>
      <c r="W12" s="31">
        <f>(V12-E12)*100</f>
        <v/>
      </c>
    </row>
    <row r="13">
      <c r="A13" s="6" t="inlineStr">
        <is>
          <t>3M</t>
        </is>
      </c>
      <c r="B13" s="86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34">
        <f>(E13/100)*S13</f>
        <v/>
      </c>
      <c r="U13" s="34">
        <f>$D$4-H13</f>
        <v/>
      </c>
      <c r="V13" s="17">
        <f>U13/S13*100</f>
        <v/>
      </c>
      <c r="W13" s="31">
        <f>(V13-E13)*100</f>
        <v/>
      </c>
    </row>
    <row r="14">
      <c r="A14" s="6" t="inlineStr">
        <is>
          <t>4M</t>
        </is>
      </c>
      <c r="B14" s="86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34">
        <f>(E14/100)*S14</f>
        <v/>
      </c>
      <c r="U14" s="34">
        <f>$D$4-H14</f>
        <v/>
      </c>
      <c r="V14" s="17">
        <f>U14/S14*100</f>
        <v/>
      </c>
      <c r="W14" s="31">
        <f>(V14-E14)*100</f>
        <v/>
      </c>
    </row>
    <row r="15">
      <c r="A15" s="6" t="inlineStr">
        <is>
          <t>5M</t>
        </is>
      </c>
      <c r="B15" s="86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34">
        <f>(E15/100)*S15</f>
        <v/>
      </c>
      <c r="U15" s="34">
        <f>$D$4-H15</f>
        <v/>
      </c>
      <c r="V15" s="17">
        <f>U15/S15*100</f>
        <v/>
      </c>
      <c r="W15" s="31">
        <f>(V15-E15)*100</f>
        <v/>
      </c>
    </row>
    <row r="16">
      <c r="A16" s="6" t="inlineStr">
        <is>
          <t>6M</t>
        </is>
      </c>
      <c r="B16" s="86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34">
        <f>(E16/100)*S16</f>
        <v/>
      </c>
      <c r="U16" s="34">
        <f>$D$4-H16</f>
        <v/>
      </c>
      <c r="V16" s="17">
        <f>U16/S16*100</f>
        <v/>
      </c>
      <c r="W16" s="31">
        <f>(V16-E16)*100</f>
        <v/>
      </c>
    </row>
    <row r="17">
      <c r="A17" s="6" t="inlineStr">
        <is>
          <t>7M</t>
        </is>
      </c>
      <c r="B17" s="86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34">
        <f>(E17/100)*S17</f>
        <v/>
      </c>
      <c r="U17" s="34">
        <f>$D$4-H17</f>
        <v/>
      </c>
      <c r="V17" s="17">
        <f>U17/S17*100</f>
        <v/>
      </c>
      <c r="W17" s="31">
        <f>(V17-E17)*100</f>
        <v/>
      </c>
    </row>
    <row r="18">
      <c r="A18" s="6" t="inlineStr">
        <is>
          <t>8M</t>
        </is>
      </c>
      <c r="B18" s="86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34">
        <f>(E18/100)*S18</f>
        <v/>
      </c>
      <c r="U18" s="34">
        <f>$D$4-H18</f>
        <v/>
      </c>
      <c r="V18" s="17">
        <f>U18/S18*100</f>
        <v/>
      </c>
      <c r="W18" s="31">
        <f>(V18-E18)*100</f>
        <v/>
      </c>
    </row>
    <row r="19">
      <c r="A19" s="6" t="inlineStr">
        <is>
          <t>9M</t>
        </is>
      </c>
      <c r="B19" s="86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34">
        <f>(E19/100)*S19</f>
        <v/>
      </c>
      <c r="U19" s="34">
        <f>$D$4-H19</f>
        <v/>
      </c>
      <c r="V19" s="17">
        <f>U19/S19*100</f>
        <v/>
      </c>
      <c r="W19" s="31">
        <f>(V19-E19)*100</f>
        <v/>
      </c>
    </row>
    <row r="20">
      <c r="A20" s="6" t="inlineStr">
        <is>
          <t>10M</t>
        </is>
      </c>
      <c r="B20" s="86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34">
        <f>(E20/100)*S20</f>
        <v/>
      </c>
      <c r="U20" s="34">
        <f>$D$4-H20</f>
        <v/>
      </c>
      <c r="V20" s="17">
        <f>U20/S20*100</f>
        <v/>
      </c>
      <c r="W20" s="31">
        <f>(V20-E20)*100</f>
        <v/>
      </c>
    </row>
    <row r="21">
      <c r="A21" s="6" t="inlineStr">
        <is>
          <t>11M</t>
        </is>
      </c>
      <c r="B21" s="86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34">
        <f>(E21/100)*S21</f>
        <v/>
      </c>
      <c r="U21" s="34">
        <f>$D$4-H21</f>
        <v/>
      </c>
      <c r="V21" s="17">
        <f>U21/S21*100</f>
        <v/>
      </c>
      <c r="W21" s="31">
        <f>(V21-E21)*100</f>
        <v/>
      </c>
    </row>
    <row r="22">
      <c r="A22" s="6" t="inlineStr">
        <is>
          <t>1Y</t>
        </is>
      </c>
      <c r="B22" s="86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34">
        <f>(E22/100)*S22</f>
        <v/>
      </c>
      <c r="U22" s="34">
        <f>$D$4-H22</f>
        <v/>
      </c>
      <c r="V22" s="17">
        <f>U22/S22*100</f>
        <v/>
      </c>
      <c r="W22" s="31">
        <f>(V22-E22)*100</f>
        <v/>
      </c>
    </row>
    <row r="23">
      <c r="A23" s="6" t="inlineStr">
        <is>
          <t>18M</t>
        </is>
      </c>
      <c r="B23" s="86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34">
        <f>(E23/100)*S23</f>
        <v/>
      </c>
      <c r="U23" s="34">
        <f>$D$4-H23</f>
        <v/>
      </c>
      <c r="V23" s="17">
        <f>U23/S23*100</f>
        <v/>
      </c>
      <c r="W23" s="31">
        <f>(V23-E23)*100</f>
        <v/>
      </c>
    </row>
    <row r="24">
      <c r="A24" s="6" t="inlineStr">
        <is>
          <t>2Y</t>
        </is>
      </c>
      <c r="B24" s="86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34">
        <f>(E24/100)*S24</f>
        <v/>
      </c>
      <c r="U24" s="34">
        <f>$D$4-H24</f>
        <v/>
      </c>
      <c r="V24" s="17">
        <f>U24/S24*100</f>
        <v/>
      </c>
      <c r="W24" s="31">
        <f>(V24-E24)*100</f>
        <v/>
      </c>
    </row>
    <row r="25">
      <c r="A25" s="6" t="inlineStr">
        <is>
          <t>3Y</t>
        </is>
      </c>
      <c r="B25" s="86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34">
        <f>(E25/100)*S25</f>
        <v/>
      </c>
      <c r="U25" s="34">
        <f>$D$4-H25</f>
        <v/>
      </c>
      <c r="V25" s="17">
        <f>U25/S25*100</f>
        <v/>
      </c>
      <c r="W25" s="31">
        <f>(V25-E25)*100</f>
        <v/>
      </c>
    </row>
    <row r="26">
      <c r="A26" s="6" t="inlineStr">
        <is>
          <t>4Y</t>
        </is>
      </c>
      <c r="B26" s="86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34">
        <f>(E26/100)*S26</f>
        <v/>
      </c>
      <c r="U26" s="34">
        <f>$D$4-H26</f>
        <v/>
      </c>
      <c r="V26" s="17">
        <f>U26/S26*100</f>
        <v/>
      </c>
      <c r="W26" s="31">
        <f>(V26-E26)*100</f>
        <v/>
      </c>
    </row>
    <row r="27">
      <c r="A27" s="6" t="inlineStr">
        <is>
          <t>5Y</t>
        </is>
      </c>
      <c r="B27" s="86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34">
        <f>(E27/100)*S27</f>
        <v/>
      </c>
      <c r="U27" s="34">
        <f>$D$4-H27</f>
        <v/>
      </c>
      <c r="V27" s="17">
        <f>U27/S27*100</f>
        <v/>
      </c>
      <c r="W27" s="31">
        <f>(V27-E27)*100</f>
        <v/>
      </c>
    </row>
    <row r="28">
      <c r="A28" s="6" t="inlineStr">
        <is>
          <t>6Y</t>
        </is>
      </c>
      <c r="B28" s="86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34">
        <f>(E28/100)*S28</f>
        <v/>
      </c>
      <c r="U28" s="34">
        <f>$D$4-H28</f>
        <v/>
      </c>
      <c r="V28" s="17">
        <f>U28/S28*100</f>
        <v/>
      </c>
      <c r="W28" s="31">
        <f>(V28-E28)*100</f>
        <v/>
      </c>
    </row>
    <row r="29">
      <c r="A29" s="6" t="inlineStr">
        <is>
          <t>7Y</t>
        </is>
      </c>
      <c r="B29" s="86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34">
        <f>(E29/100)*S29</f>
        <v/>
      </c>
      <c r="U29" s="34">
        <f>$D$4-H29</f>
        <v/>
      </c>
      <c r="V29" s="17">
        <f>U29/S29*100</f>
        <v/>
      </c>
      <c r="W29" s="31">
        <f>(V29-E29)*100</f>
        <v/>
      </c>
    </row>
    <row r="30">
      <c r="A30" s="6" t="inlineStr">
        <is>
          <t>8Y</t>
        </is>
      </c>
      <c r="B30" s="86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34">
        <f>(E30/100)*S30</f>
        <v/>
      </c>
      <c r="U30" s="34">
        <f>$D$4-H30</f>
        <v/>
      </c>
      <c r="V30" s="17">
        <f>U30/S30*100</f>
        <v/>
      </c>
      <c r="W30" s="31">
        <f>(V30-E30)*100</f>
        <v/>
      </c>
    </row>
    <row r="31">
      <c r="A31" s="6" t="inlineStr">
        <is>
          <t>9Y</t>
        </is>
      </c>
      <c r="B31" s="86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34">
        <f>(E31/100)*S31</f>
        <v/>
      </c>
      <c r="U31" s="34">
        <f>$D$4-H31</f>
        <v/>
      </c>
      <c r="V31" s="17">
        <f>U31/S31*100</f>
        <v/>
      </c>
      <c r="W31" s="31">
        <f>(V31-E31)*100</f>
        <v/>
      </c>
    </row>
    <row r="32">
      <c r="A32" s="6" t="inlineStr">
        <is>
          <t>10Y</t>
        </is>
      </c>
      <c r="B32" s="86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34">
        <f>(E32/100)*S32</f>
        <v/>
      </c>
      <c r="U32" s="34">
        <f>$D$4-H32</f>
        <v/>
      </c>
      <c r="V32" s="17">
        <f>U32/S32*100</f>
        <v/>
      </c>
      <c r="W32" s="31">
        <f>(V32-E32)*100</f>
        <v/>
      </c>
    </row>
    <row r="33">
      <c r="A33" s="6" t="inlineStr">
        <is>
          <t>11Y</t>
        </is>
      </c>
      <c r="B33" s="86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34">
        <f>(E33/100)*S33</f>
        <v/>
      </c>
      <c r="U33" s="34">
        <f>$D$4-H33</f>
        <v/>
      </c>
      <c r="V33" s="17">
        <f>U33/S33*100</f>
        <v/>
      </c>
      <c r="W33" s="31">
        <f>(V33-E33)*100</f>
        <v/>
      </c>
    </row>
    <row r="34">
      <c r="A34" s="6" t="inlineStr">
        <is>
          <t>12Y</t>
        </is>
      </c>
      <c r="B34" s="86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81">
        <f>Curve_Solver!$B$53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4">
        <f>(G34+F34*H34)</f>
        <v/>
      </c>
      <c r="T34" s="34">
        <f>(E34/100)*S34</f>
        <v/>
      </c>
      <c r="U34" s="34">
        <f>$D$4-H34</f>
        <v/>
      </c>
      <c r="V34" s="17">
        <f>U34/S34*100</f>
        <v/>
      </c>
      <c r="W34" s="31">
        <f>(V34-E34)*100</f>
        <v/>
      </c>
    </row>
    <row r="35">
      <c r="A35" s="6" t="inlineStr">
        <is>
          <t>13Y</t>
        </is>
      </c>
      <c r="B35" s="86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34">
        <f>(E35/100)*S35</f>
        <v/>
      </c>
      <c r="U35" s="34">
        <f>$D$4-H35</f>
        <v/>
      </c>
      <c r="V35" s="17">
        <f>U35/S35*100</f>
        <v/>
      </c>
      <c r="W35" s="31">
        <f>(V35-E35)*100</f>
        <v/>
      </c>
    </row>
    <row r="36">
      <c r="A36" s="6" t="inlineStr">
        <is>
          <t>14Y</t>
        </is>
      </c>
      <c r="B36" s="86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34">
        <f>(E36/100)*S36</f>
        <v/>
      </c>
      <c r="U36" s="34">
        <f>$D$4-H36</f>
        <v/>
      </c>
      <c r="V36" s="17">
        <f>U36/S36*100</f>
        <v/>
      </c>
      <c r="W36" s="31">
        <f>(V36-E36)*100</f>
        <v/>
      </c>
    </row>
    <row r="37">
      <c r="A37" s="6" t="inlineStr">
        <is>
          <t>15Y</t>
        </is>
      </c>
      <c r="B37" s="86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81">
        <f>Curve_Solver!$B$103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4">
        <f>(G37+F37*H37)</f>
        <v/>
      </c>
      <c r="T37" s="34">
        <f>(E37/100)*S37</f>
        <v/>
      </c>
      <c r="U37" s="34">
        <f>$D$4-H37</f>
        <v/>
      </c>
      <c r="V37" s="17">
        <f>U37/S37*100</f>
        <v/>
      </c>
      <c r="W37" s="31">
        <f>(V37-E37)*100</f>
        <v/>
      </c>
    </row>
    <row r="38">
      <c r="A38" s="6" t="inlineStr">
        <is>
          <t>16Y</t>
        </is>
      </c>
      <c r="B38" s="86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34">
        <f>(E38/100)*S38</f>
        <v/>
      </c>
      <c r="U38" s="34">
        <f>$D$4-H38</f>
        <v/>
      </c>
      <c r="V38" s="17">
        <f>U38/S38*100</f>
        <v/>
      </c>
      <c r="W38" s="31">
        <f>(V38-E38)*100</f>
        <v/>
      </c>
    </row>
    <row r="39">
      <c r="A39" s="6" t="inlineStr">
        <is>
          <t>17Y</t>
        </is>
      </c>
      <c r="B39" s="86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34">
        <f>(E39/100)*S39</f>
        <v/>
      </c>
      <c r="U39" s="34">
        <f>$D$4-H39</f>
        <v/>
      </c>
      <c r="V39" s="17">
        <f>U39/S39*100</f>
        <v/>
      </c>
      <c r="W39" s="31">
        <f>(V39-E39)*100</f>
        <v/>
      </c>
    </row>
    <row r="40">
      <c r="A40" s="6" t="inlineStr">
        <is>
          <t>18Y</t>
        </is>
      </c>
      <c r="B40" s="86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34">
        <f>(E40/100)*S40</f>
        <v/>
      </c>
      <c r="U40" s="34">
        <f>$D$4-H40</f>
        <v/>
      </c>
      <c r="V40" s="17">
        <f>U40/S40*100</f>
        <v/>
      </c>
      <c r="W40" s="31">
        <f>(V40-E40)*100</f>
        <v/>
      </c>
    </row>
    <row r="41">
      <c r="A41" s="6" t="inlineStr">
        <is>
          <t>19Y</t>
        </is>
      </c>
      <c r="B41" s="86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34">
        <f>(E41/100)*S41</f>
        <v/>
      </c>
      <c r="U41" s="34">
        <f>$D$4-H41</f>
        <v/>
      </c>
      <c r="V41" s="17">
        <f>U41/S41*100</f>
        <v/>
      </c>
      <c r="W41" s="31">
        <f>(V41-E41)*100</f>
        <v/>
      </c>
    </row>
    <row r="42">
      <c r="A42" s="6" t="inlineStr">
        <is>
          <t>20Y</t>
        </is>
      </c>
      <c r="B42" s="86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81">
        <f>Curve_Solver!$B$153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4">
        <f>(G42+F42*H42)</f>
        <v/>
      </c>
      <c r="T42" s="34">
        <f>(E42/100)*S42</f>
        <v/>
      </c>
      <c r="U42" s="34">
        <f>$D$4-H42</f>
        <v/>
      </c>
      <c r="V42" s="17">
        <f>U42/S42*100</f>
        <v/>
      </c>
      <c r="W42" s="31">
        <f>(V42-E42)*100</f>
        <v/>
      </c>
    </row>
    <row r="43">
      <c r="A43" s="6" t="inlineStr">
        <is>
          <t>21Y</t>
        </is>
      </c>
      <c r="B43" s="86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34">
        <f>(E43/100)*S43</f>
        <v/>
      </c>
      <c r="U43" s="34">
        <f>$D$4-H43</f>
        <v/>
      </c>
      <c r="V43" s="17">
        <f>U43/S43*100</f>
        <v/>
      </c>
      <c r="W43" s="31">
        <f>(V43-E43)*100</f>
        <v/>
      </c>
    </row>
    <row r="44">
      <c r="A44" s="6" t="inlineStr">
        <is>
          <t>22Y</t>
        </is>
      </c>
      <c r="B44" s="86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34">
        <f>(E44/100)*S44</f>
        <v/>
      </c>
      <c r="U44" s="34">
        <f>$D$4-H44</f>
        <v/>
      </c>
      <c r="V44" s="17">
        <f>U44/S44*100</f>
        <v/>
      </c>
      <c r="W44" s="31">
        <f>(V44-E44)*100</f>
        <v/>
      </c>
    </row>
    <row r="45">
      <c r="A45" s="6" t="inlineStr">
        <is>
          <t>23Y</t>
        </is>
      </c>
      <c r="B45" s="86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34">
        <f>(E45/100)*S45</f>
        <v/>
      </c>
      <c r="U45" s="34">
        <f>$D$4-H45</f>
        <v/>
      </c>
      <c r="V45" s="17">
        <f>U45/S45*100</f>
        <v/>
      </c>
      <c r="W45" s="31">
        <f>(V45-E45)*100</f>
        <v/>
      </c>
    </row>
    <row r="46">
      <c r="A46" s="6" t="inlineStr">
        <is>
          <t>24Y</t>
        </is>
      </c>
      <c r="B46" s="86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34">
        <f>(E46/100)*S46</f>
        <v/>
      </c>
      <c r="U46" s="34">
        <f>$D$4-H46</f>
        <v/>
      </c>
      <c r="V46" s="17">
        <f>U46/S46*100</f>
        <v/>
      </c>
      <c r="W46" s="31">
        <f>(V46-E46)*100</f>
        <v/>
      </c>
    </row>
    <row r="47">
      <c r="A47" s="6" t="inlineStr">
        <is>
          <t>25Y</t>
        </is>
      </c>
      <c r="B47" s="86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81">
        <f>Curve_Solver!$B$203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4">
        <f>(G47+F47*H47)</f>
        <v/>
      </c>
      <c r="T47" s="34">
        <f>(E47/100)*S47</f>
        <v/>
      </c>
      <c r="U47" s="34">
        <f>$D$4-H47</f>
        <v/>
      </c>
      <c r="V47" s="17">
        <f>U47/S47*100</f>
        <v/>
      </c>
      <c r="W47" s="31">
        <f>(V47-E47)*100</f>
        <v/>
      </c>
    </row>
    <row r="48">
      <c r="A48" s="6" t="inlineStr">
        <is>
          <t>26Y</t>
        </is>
      </c>
      <c r="B48" s="86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34">
        <f>(E48/100)*S48</f>
        <v/>
      </c>
      <c r="U48" s="34">
        <f>$D$4-H48</f>
        <v/>
      </c>
      <c r="V48" s="17">
        <f>U48/S48*100</f>
        <v/>
      </c>
      <c r="W48" s="31">
        <f>(V48-E48)*100</f>
        <v/>
      </c>
    </row>
    <row r="49">
      <c r="A49" s="6" t="inlineStr">
        <is>
          <t>27Y</t>
        </is>
      </c>
      <c r="B49" s="86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34">
        <f>(E49/100)*S49</f>
        <v/>
      </c>
      <c r="U49" s="34">
        <f>$D$4-H49</f>
        <v/>
      </c>
      <c r="V49" s="17">
        <f>U49/S49*100</f>
        <v/>
      </c>
      <c r="W49" s="31">
        <f>(V49-E49)*100</f>
        <v/>
      </c>
    </row>
    <row r="50">
      <c r="A50" s="6" t="inlineStr">
        <is>
          <t>28Y</t>
        </is>
      </c>
      <c r="B50" s="86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34">
        <f>(E50/100)*S50</f>
        <v/>
      </c>
      <c r="U50" s="34">
        <f>$D$4-H50</f>
        <v/>
      </c>
      <c r="V50" s="17">
        <f>U50/S50*100</f>
        <v/>
      </c>
      <c r="W50" s="31">
        <f>(V50-E50)*100</f>
        <v/>
      </c>
    </row>
    <row r="51">
      <c r="A51" s="6" t="inlineStr">
        <is>
          <t>29Y</t>
        </is>
      </c>
      <c r="B51" s="86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34">
        <f>(E51/100)*S51</f>
        <v/>
      </c>
      <c r="U51" s="34">
        <f>$D$4-H51</f>
        <v/>
      </c>
      <c r="V51" s="17">
        <f>U51/S51*100</f>
        <v/>
      </c>
      <c r="W51" s="31">
        <f>(V51-E51)*100</f>
        <v/>
      </c>
    </row>
    <row r="52">
      <c r="A52" s="6" t="inlineStr">
        <is>
          <t>30Y</t>
        </is>
      </c>
      <c r="B52" s="86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81">
        <f>Curve_Solver!$B$253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4">
        <f>(G52+F52*H52)</f>
        <v/>
      </c>
      <c r="T52" s="34">
        <f>(E52/100)*S52</f>
        <v/>
      </c>
      <c r="U52" s="34">
        <f>$D$4-H52</f>
        <v/>
      </c>
      <c r="V52" s="17">
        <f>U52/S52*100</f>
        <v/>
      </c>
      <c r="W52" s="31">
        <f>(V52-E52)*100</f>
        <v/>
      </c>
    </row>
    <row r="53">
      <c r="A53" s="6" t="inlineStr">
        <is>
          <t>31Y</t>
        </is>
      </c>
      <c r="B53" s="86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34">
        <f>(E53/100)*S53</f>
        <v/>
      </c>
      <c r="U53" s="34">
        <f>$D$4-H53</f>
        <v/>
      </c>
      <c r="V53" s="17">
        <f>U53/S53*100</f>
        <v/>
      </c>
      <c r="W53" s="31">
        <f>(V53-E53)*100</f>
        <v/>
      </c>
    </row>
    <row r="54">
      <c r="A54" s="6" t="inlineStr">
        <is>
          <t>32Y</t>
        </is>
      </c>
      <c r="B54" s="86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34">
        <f>(E54/100)*S54</f>
        <v/>
      </c>
      <c r="U54" s="34">
        <f>$D$4-H54</f>
        <v/>
      </c>
      <c r="V54" s="17">
        <f>U54/S54*100</f>
        <v/>
      </c>
      <c r="W54" s="31">
        <f>(V54-E54)*100</f>
        <v/>
      </c>
    </row>
    <row r="55">
      <c r="A55" s="6" t="inlineStr">
        <is>
          <t>33Y</t>
        </is>
      </c>
      <c r="B55" s="86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34">
        <f>(E55/100)*S55</f>
        <v/>
      </c>
      <c r="U55" s="34">
        <f>$D$4-H55</f>
        <v/>
      </c>
      <c r="V55" s="17">
        <f>U55/S55*100</f>
        <v/>
      </c>
      <c r="W55" s="31">
        <f>(V55-E55)*100</f>
        <v/>
      </c>
    </row>
    <row r="56">
      <c r="A56" s="6" t="inlineStr">
        <is>
          <t>34Y</t>
        </is>
      </c>
      <c r="B56" s="86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34">
        <f>(E56/100)*S56</f>
        <v/>
      </c>
      <c r="U56" s="34">
        <f>$D$4-H56</f>
        <v/>
      </c>
      <c r="V56" s="17">
        <f>U56/S56*100</f>
        <v/>
      </c>
      <c r="W56" s="31">
        <f>(V56-E56)*100</f>
        <v/>
      </c>
    </row>
    <row r="57">
      <c r="A57" s="6" t="inlineStr">
        <is>
          <t>35Y</t>
        </is>
      </c>
      <c r="B57" s="86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34">
        <f>(E57/100)*S57</f>
        <v/>
      </c>
      <c r="U57" s="34">
        <f>$D$4-H57</f>
        <v/>
      </c>
      <c r="V57" s="17">
        <f>U57/S57*100</f>
        <v/>
      </c>
      <c r="W57" s="31">
        <f>(V57-E57)*100</f>
        <v/>
      </c>
    </row>
    <row r="58">
      <c r="A58" s="6" t="inlineStr">
        <is>
          <t>36Y</t>
        </is>
      </c>
      <c r="B58" s="86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34">
        <f>(E58/100)*S58</f>
        <v/>
      </c>
      <c r="U58" s="34">
        <f>$D$4-H58</f>
        <v/>
      </c>
      <c r="V58" s="17">
        <f>U58/S58*100</f>
        <v/>
      </c>
      <c r="W58" s="31">
        <f>(V58-E58)*100</f>
        <v/>
      </c>
    </row>
    <row r="59">
      <c r="A59" s="6" t="inlineStr">
        <is>
          <t>37Y</t>
        </is>
      </c>
      <c r="B59" s="86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34">
        <f>(E59/100)*S59</f>
        <v/>
      </c>
      <c r="U59" s="34">
        <f>$D$4-H59</f>
        <v/>
      </c>
      <c r="V59" s="17">
        <f>U59/S59*100</f>
        <v/>
      </c>
      <c r="W59" s="31">
        <f>(V59-E59)*100</f>
        <v/>
      </c>
    </row>
    <row r="60">
      <c r="A60" s="6" t="inlineStr">
        <is>
          <t>38Y</t>
        </is>
      </c>
      <c r="B60" s="86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34">
        <f>(E60/100)*S60</f>
        <v/>
      </c>
      <c r="U60" s="34">
        <f>$D$4-H60</f>
        <v/>
      </c>
      <c r="V60" s="17">
        <f>U60/S60*100</f>
        <v/>
      </c>
      <c r="W60" s="31">
        <f>(V60-E60)*100</f>
        <v/>
      </c>
    </row>
    <row r="61">
      <c r="A61" s="6" t="inlineStr">
        <is>
          <t>39Y</t>
        </is>
      </c>
      <c r="B61" s="86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34">
        <f>(E61/100)*S61</f>
        <v/>
      </c>
      <c r="U61" s="34">
        <f>$D$4-H61</f>
        <v/>
      </c>
      <c r="V61" s="17">
        <f>U61/S61*100</f>
        <v/>
      </c>
      <c r="W61" s="31">
        <f>(V61-E61)*100</f>
        <v/>
      </c>
    </row>
    <row r="62">
      <c r="A62" s="6" t="inlineStr">
        <is>
          <t>40Y</t>
        </is>
      </c>
      <c r="B62" s="86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81">
        <f>Curve_Solver!$B$303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4">
        <f>(G62+F62*H62)</f>
        <v/>
      </c>
      <c r="T62" s="34">
        <f>(E62/100)*S62</f>
        <v/>
      </c>
      <c r="U62" s="34">
        <f>$D$4-H62</f>
        <v/>
      </c>
      <c r="V62" s="17">
        <f>U62/S62*100</f>
        <v/>
      </c>
      <c r="W62" s="31">
        <f>(V62-E62)*100</f>
        <v/>
      </c>
    </row>
    <row r="63">
      <c r="A63" s="6" t="inlineStr">
        <is>
          <t>41Y</t>
        </is>
      </c>
      <c r="B63" s="86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34">
        <f>(E63/100)*S63</f>
        <v/>
      </c>
      <c r="U63" s="34">
        <f>$D$4-H63</f>
        <v/>
      </c>
      <c r="V63" s="17">
        <f>U63/S63*100</f>
        <v/>
      </c>
      <c r="W63" s="31">
        <f>(V63-E63)*100</f>
        <v/>
      </c>
    </row>
    <row r="64">
      <c r="A64" s="6" t="inlineStr">
        <is>
          <t>42Y</t>
        </is>
      </c>
      <c r="B64" s="86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34">
        <f>(E64/100)*S64</f>
        <v/>
      </c>
      <c r="U64" s="34">
        <f>$D$4-H64</f>
        <v/>
      </c>
      <c r="V64" s="17">
        <f>U64/S64*100</f>
        <v/>
      </c>
      <c r="W64" s="31">
        <f>(V64-E64)*100</f>
        <v/>
      </c>
    </row>
    <row r="65">
      <c r="A65" s="6" t="inlineStr">
        <is>
          <t>43Y</t>
        </is>
      </c>
      <c r="B65" s="86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34">
        <f>(E65/100)*S65</f>
        <v/>
      </c>
      <c r="U65" s="34">
        <f>$D$4-H65</f>
        <v/>
      </c>
      <c r="V65" s="17">
        <f>U65/S65*100</f>
        <v/>
      </c>
      <c r="W65" s="31">
        <f>(V65-E65)*100</f>
        <v/>
      </c>
    </row>
    <row r="66">
      <c r="A66" s="6" t="inlineStr">
        <is>
          <t>44Y</t>
        </is>
      </c>
      <c r="B66" s="86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34">
        <f>(E66/100)*S66</f>
        <v/>
      </c>
      <c r="U66" s="34">
        <f>$D$4-H66</f>
        <v/>
      </c>
      <c r="V66" s="17">
        <f>U66/S66*100</f>
        <v/>
      </c>
      <c r="W66" s="31">
        <f>(V66-E66)*100</f>
        <v/>
      </c>
    </row>
    <row r="67">
      <c r="A67" s="6" t="inlineStr">
        <is>
          <t>45Y</t>
        </is>
      </c>
      <c r="B67" s="86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34">
        <f>(E67/100)*S67</f>
        <v/>
      </c>
      <c r="U67" s="34">
        <f>$D$4-H67</f>
        <v/>
      </c>
      <c r="V67" s="17">
        <f>U67/S67*100</f>
        <v/>
      </c>
      <c r="W67" s="31">
        <f>(V67-E67)*100</f>
        <v/>
      </c>
    </row>
    <row r="68">
      <c r="A68" s="6" t="inlineStr">
        <is>
          <t>46Y</t>
        </is>
      </c>
      <c r="B68" s="86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34">
        <f>(E68/100)*S68</f>
        <v/>
      </c>
      <c r="U68" s="34">
        <f>$D$4-H68</f>
        <v/>
      </c>
      <c r="V68" s="17">
        <f>U68/S68*100</f>
        <v/>
      </c>
      <c r="W68" s="31">
        <f>(V68-E68)*100</f>
        <v/>
      </c>
    </row>
    <row r="69">
      <c r="A69" s="6" t="inlineStr">
        <is>
          <t>47Y</t>
        </is>
      </c>
      <c r="B69" s="86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34">
        <f>(E69/100)*S69</f>
        <v/>
      </c>
      <c r="U69" s="34">
        <f>$D$4-H69</f>
        <v/>
      </c>
      <c r="V69" s="17">
        <f>U69/S69*100</f>
        <v/>
      </c>
      <c r="W69" s="31">
        <f>(V69-E69)*100</f>
        <v/>
      </c>
    </row>
    <row r="70">
      <c r="A70" s="6" t="inlineStr">
        <is>
          <t>48Y</t>
        </is>
      </c>
      <c r="B70" s="86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34">
        <f>(E70/100)*S70</f>
        <v/>
      </c>
      <c r="U70" s="34">
        <f>$D$4-H70</f>
        <v/>
      </c>
      <c r="V70" s="17">
        <f>U70/S70*100</f>
        <v/>
      </c>
      <c r="W70" s="31">
        <f>(V70-E70)*100</f>
        <v/>
      </c>
    </row>
    <row r="71">
      <c r="A71" s="6" t="inlineStr">
        <is>
          <t>49Y</t>
        </is>
      </c>
      <c r="B71" s="86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34">
        <f>(E71/100)*S71</f>
        <v/>
      </c>
      <c r="U71" s="34">
        <f>$D$4-H71</f>
        <v/>
      </c>
      <c r="V71" s="17">
        <f>U71/S71*100</f>
        <v/>
      </c>
      <c r="W71" s="31">
        <f>(V71-E71)*100</f>
        <v/>
      </c>
    </row>
    <row r="72">
      <c r="A72" s="6" t="inlineStr">
        <is>
          <t>50Y</t>
        </is>
      </c>
      <c r="B72" s="86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81">
        <f>Curve_Solver!$B$353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4">
        <f>(G72+F72*H72)</f>
        <v/>
      </c>
      <c r="T72" s="34">
        <f>(E72/100)*S72</f>
        <v/>
      </c>
      <c r="U72" s="34">
        <f>$D$4-H72</f>
        <v/>
      </c>
      <c r="V72" s="17">
        <f>U72/S72*100</f>
        <v/>
      </c>
      <c r="W72" s="31">
        <f>(V72-E72)*100</f>
        <v/>
      </c>
    </row>
    <row r="74" ht="40" customHeight="1">
      <c r="A74" s="70" t="inlineStr">
        <is>
          <t>Long-end quoted pillars (12Y+) are solved on Curve_Solver to break the gap-row annuity circularity. Gap rows keep log-linear DF interpolation (= step-function forward), the method verified against S490.</t>
        </is>
      </c>
    </row>
    <row r="75"/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67" t="inlineStr">
        <is>
          <t>S490_Target — replication check vs the Bloomberg Curve Analysis screen</t>
        </is>
      </c>
    </row>
    <row r="2">
      <c r="A2" s="65" t="inlineStr">
        <is>
          <t>Screen: YCSW0490 USD SOFR (vs FIXED), Cont, curve date 07/21/2026, shift +0.00bp. Source: user-supplied photo.</t>
        </is>
      </c>
    </row>
    <row r="3">
      <c r="A3" s="65" t="inlineStr">
        <is>
          <t>Model columns look the date up in Bootstrap!B and read that row's zero rate (J) and discount factor (H). Diffs are model - screen.</t>
        </is>
      </c>
    </row>
    <row r="4">
      <c r="A4" s="65" t="inlineStr">
        <is>
          <t>Valid only when VAL_DATE = 07/21/2026. Cell B5 warns if it is not.</t>
        </is>
      </c>
    </row>
    <row r="5">
      <c r="A5" s="67" t="inlineStr">
        <is>
          <t>VAL_DATE check</t>
        </is>
      </c>
      <c r="B5" s="87">
        <f>IF(VAL_DATE=DATE(2026,7,21),"OK - dates align","VAL_DATE is not 07/21/2026: comparison not meaningful")</f>
        <v/>
      </c>
    </row>
    <row r="7">
      <c r="A7" s="73" t="inlineStr">
        <is>
          <t>SCREEN TARGET vs MODEL</t>
        </is>
      </c>
      <c r="B7" s="74" t="n"/>
      <c r="C7" s="74" t="n"/>
      <c r="D7" s="74" t="n"/>
      <c r="E7" s="74" t="n"/>
      <c r="F7" s="74" t="n"/>
      <c r="G7" s="74" t="n"/>
      <c r="H7" s="74" t="n"/>
      <c r="I7" s="74" t="n"/>
    </row>
    <row r="8">
      <c r="A8" s="62" t="inlineStr">
        <is>
          <t>Date</t>
        </is>
      </c>
      <c r="B8" s="62" t="inlineStr">
        <is>
          <t>Market rate</t>
        </is>
      </c>
      <c r="C8" s="62" t="inlineStr">
        <is>
          <t>Zero (screen)</t>
        </is>
      </c>
      <c r="D8" s="62" t="inlineStr">
        <is>
          <t>DF (screen)</t>
        </is>
      </c>
      <c r="E8" s="62" t="inlineStr">
        <is>
          <t>Zero (model)</t>
        </is>
      </c>
      <c r="F8" s="62" t="inlineStr">
        <is>
          <t>DF (model)</t>
        </is>
      </c>
      <c r="G8" s="62" t="inlineStr">
        <is>
          <t>Zero diff (bp)</t>
        </is>
      </c>
      <c r="H8" s="62" t="inlineStr">
        <is>
          <t>DF diff</t>
        </is>
      </c>
      <c r="I8" s="62" t="inlineStr">
        <is>
          <t>Bootstrap row</t>
        </is>
      </c>
    </row>
    <row r="9">
      <c r="A9" s="88" t="n">
        <v>46233</v>
      </c>
      <c r="B9" s="85" t="n">
        <v>3.63</v>
      </c>
      <c r="C9" s="85" t="n">
        <v>3.67912</v>
      </c>
      <c r="D9" s="69" t="n">
        <v>0.999093</v>
      </c>
      <c r="E9" s="84">
        <f>IFERROR(INDEX(Bootstrap!$J$8:$J$72,MATCH(A9,Bootstrap!$B$8:$B$72,0)),"")</f>
        <v/>
      </c>
      <c r="F9" s="80">
        <f>IFERROR(INDEX(Bootstrap!$H$8:$H$72,MATCH(A9,Bootstrap!$B$8:$B$72,0)),"")</f>
        <v/>
      </c>
      <c r="G9" s="89">
        <f>IF(E9="","",(E9-C9)*100)</f>
        <v/>
      </c>
      <c r="H9" s="72">
        <f>IF(F9="","",F9-D9)</f>
        <v/>
      </c>
      <c r="I9" s="78">
        <f>IFERROR(MATCH(A9,Bootstrap!$B$8:$B$72,0)+7,"not found")</f>
        <v/>
      </c>
    </row>
    <row r="10">
      <c r="A10" s="88" t="n">
        <v>46240</v>
      </c>
      <c r="B10" s="85" t="n">
        <v>3.672</v>
      </c>
      <c r="C10" s="85" t="n">
        <v>3.71519</v>
      </c>
      <c r="D10" s="69" t="n">
        <v>0.998373</v>
      </c>
      <c r="E10" s="84">
        <f>IFERROR(INDEX(Bootstrap!$J$8:$J$72,MATCH(A10,Bootstrap!$B$8:$B$72,0)),"")</f>
        <v/>
      </c>
      <c r="F10" s="80">
        <f>IFERROR(INDEX(Bootstrap!$H$8:$H$72,MATCH(A10,Bootstrap!$B$8:$B$72,0)),"")</f>
        <v/>
      </c>
      <c r="G10" s="89">
        <f>IF(E10="","",(E10-C10)*100)</f>
        <v/>
      </c>
      <c r="H10" s="72">
        <f>IF(F10="","",F10-D10)</f>
        <v/>
      </c>
      <c r="I10" s="78">
        <f>IFERROR(MATCH(A10,Bootstrap!$B$8:$B$72,0)+7,"not found")</f>
        <v/>
      </c>
    </row>
    <row r="11">
      <c r="A11" s="88" t="n">
        <v>46247</v>
      </c>
      <c r="B11" s="85" t="n">
        <v>3.6699</v>
      </c>
      <c r="C11" s="85" t="n">
        <v>3.71361</v>
      </c>
      <c r="D11" s="69" t="n">
        <v>0.997663</v>
      </c>
      <c r="E11" s="84">
        <f>IFERROR(INDEX(Bootstrap!$J$8:$J$72,MATCH(A11,Bootstrap!$B$8:$B$72,0)),"")</f>
        <v/>
      </c>
      <c r="F11" s="80">
        <f>IFERROR(INDEX(Bootstrap!$H$8:$H$72,MATCH(A11,Bootstrap!$B$8:$B$72,0)),"")</f>
        <v/>
      </c>
      <c r="G11" s="89">
        <f>IF(E11="","",(E11-C11)*100)</f>
        <v/>
      </c>
      <c r="H11" s="72">
        <f>IF(F11="","",F11-D11)</f>
        <v/>
      </c>
      <c r="I11" s="78">
        <f>IFERROR(MATCH(A11,Bootstrap!$B$8:$B$72,0)+7,"not found")</f>
        <v/>
      </c>
    </row>
    <row r="12">
      <c r="A12" s="88" t="n">
        <v>46258</v>
      </c>
      <c r="B12" s="85" t="n">
        <v>3.6789</v>
      </c>
      <c r="C12" s="85" t="n">
        <v>3.72127</v>
      </c>
      <c r="D12" s="69" t="n">
        <v>0.99654</v>
      </c>
      <c r="E12" s="84">
        <f>IFERROR(INDEX(Bootstrap!$J$8:$J$72,MATCH(A12,Bootstrap!$B$8:$B$72,0)),"")</f>
        <v/>
      </c>
      <c r="F12" s="80">
        <f>IFERROR(INDEX(Bootstrap!$H$8:$H$72,MATCH(A12,Bootstrap!$B$8:$B$72,0)),"")</f>
        <v/>
      </c>
      <c r="G12" s="89">
        <f>IF(E12="","",(E12-C12)*100)</f>
        <v/>
      </c>
      <c r="H12" s="72">
        <f>IF(F12="","",F12-D12)</f>
        <v/>
      </c>
      <c r="I12" s="78">
        <f>IFERROR(MATCH(A12,Bootstrap!$B$8:$B$72,0)+7,"not found")</f>
        <v/>
      </c>
    </row>
    <row r="13">
      <c r="A13" s="88" t="n">
        <v>46288</v>
      </c>
      <c r="B13" s="85" t="n">
        <v>3.70344</v>
      </c>
      <c r="C13" s="85" t="n">
        <v>3.74096</v>
      </c>
      <c r="D13" s="69" t="n">
        <v>0.993462</v>
      </c>
      <c r="E13" s="84">
        <f>IFERROR(INDEX(Bootstrap!$J$8:$J$72,MATCH(A13,Bootstrap!$B$8:$B$72,0)),"")</f>
        <v/>
      </c>
      <c r="F13" s="80">
        <f>IFERROR(INDEX(Bootstrap!$H$8:$H$72,MATCH(A13,Bootstrap!$B$8:$B$72,0)),"")</f>
        <v/>
      </c>
      <c r="G13" s="89">
        <f>IF(E13="","",(E13-C13)*100)</f>
        <v/>
      </c>
      <c r="H13" s="72">
        <f>IF(F13="","",F13-D13)</f>
        <v/>
      </c>
      <c r="I13" s="78">
        <f>IFERROR(MATCH(A13,Bootstrap!$B$8:$B$72,0)+7,"not found")</f>
        <v/>
      </c>
    </row>
    <row r="14">
      <c r="A14" s="88" t="n">
        <v>46318</v>
      </c>
      <c r="B14" s="85" t="n">
        <v>3.75285</v>
      </c>
      <c r="C14" s="85" t="n">
        <v>3.78455</v>
      </c>
      <c r="D14" s="69" t="n">
        <v>0.990301</v>
      </c>
      <c r="E14" s="84">
        <f>IFERROR(INDEX(Bootstrap!$J$8:$J$72,MATCH(A14,Bootstrap!$B$8:$B$72,0)),"")</f>
        <v/>
      </c>
      <c r="F14" s="80">
        <f>IFERROR(INDEX(Bootstrap!$H$8:$H$72,MATCH(A14,Bootstrap!$B$8:$B$72,0)),"")</f>
        <v/>
      </c>
      <c r="G14" s="89">
        <f>IF(E14="","",(E14-C14)*100)</f>
        <v/>
      </c>
      <c r="H14" s="72">
        <f>IF(F14="","",F14-D14)</f>
        <v/>
      </c>
      <c r="I14" s="78">
        <f>IFERROR(MATCH(A14,Bootstrap!$B$8:$B$72,0)+7,"not found")</f>
        <v/>
      </c>
    </row>
    <row r="15">
      <c r="A15" s="88" t="n">
        <v>46349</v>
      </c>
      <c r="B15" s="85" t="n">
        <v>3.79575</v>
      </c>
      <c r="C15" s="85" t="n">
        <v>3.82141</v>
      </c>
      <c r="D15" s="69" t="n">
        <v>0.986998</v>
      </c>
      <c r="E15" s="84">
        <f>IFERROR(INDEX(Bootstrap!$J$8:$J$72,MATCH(A15,Bootstrap!$B$8:$B$72,0)),"")</f>
        <v/>
      </c>
      <c r="F15" s="80">
        <f>IFERROR(INDEX(Bootstrap!$H$8:$H$72,MATCH(A15,Bootstrap!$B$8:$B$72,0)),"")</f>
        <v/>
      </c>
      <c r="G15" s="89">
        <f>IF(E15="","",(E15-C15)*100)</f>
        <v/>
      </c>
      <c r="H15" s="72">
        <f>IF(F15="","",F15-D15)</f>
        <v/>
      </c>
      <c r="I15" s="78">
        <f>IFERROR(MATCH(A15,Bootstrap!$B$8:$B$72,0)+7,"not found")</f>
        <v/>
      </c>
    </row>
    <row r="16">
      <c r="A16" s="88" t="n">
        <v>46379</v>
      </c>
      <c r="B16" s="85" t="n">
        <v>3.83435</v>
      </c>
      <c r="C16" s="85" t="n">
        <v>3.85398</v>
      </c>
      <c r="D16" s="69" t="n">
        <v>0.9837669999999999</v>
      </c>
      <c r="E16" s="84">
        <f>IFERROR(INDEX(Bootstrap!$J$8:$J$72,MATCH(A16,Bootstrap!$B$8:$B$72,0)),"")</f>
        <v/>
      </c>
      <c r="F16" s="80">
        <f>IFERROR(INDEX(Bootstrap!$H$8:$H$72,MATCH(A16,Bootstrap!$B$8:$B$72,0)),"")</f>
        <v/>
      </c>
      <c r="G16" s="89">
        <f>IF(E16="","",(E16-C16)*100)</f>
        <v/>
      </c>
      <c r="H16" s="72">
        <f>IF(F16="","",F16-D16)</f>
        <v/>
      </c>
      <c r="I16" s="78">
        <f>IFERROR(MATCH(A16,Bootstrap!$B$8:$B$72,0)+7,"not found")</f>
        <v/>
      </c>
    </row>
    <row r="17">
      <c r="A17" s="88" t="n">
        <v>46412</v>
      </c>
      <c r="B17" s="85" t="n">
        <v>3.87725</v>
      </c>
      <c r="C17" s="85" t="n">
        <v>3.88998</v>
      </c>
      <c r="D17" s="69" t="n">
        <v>0.980163</v>
      </c>
      <c r="E17" s="84">
        <f>IFERROR(INDEX(Bootstrap!$J$8:$J$72,MATCH(A17,Bootstrap!$B$8:$B$72,0)),"")</f>
        <v/>
      </c>
      <c r="F17" s="80">
        <f>IFERROR(INDEX(Bootstrap!$H$8:$H$72,MATCH(A17,Bootstrap!$B$8:$B$72,0)),"")</f>
        <v/>
      </c>
      <c r="G17" s="89">
        <f>IF(E17="","",(E17-C17)*100)</f>
        <v/>
      </c>
      <c r="H17" s="72">
        <f>IF(F17="","",F17-D17)</f>
        <v/>
      </c>
      <c r="I17" s="78">
        <f>IFERROR(MATCH(A17,Bootstrap!$B$8:$B$72,0)+7,"not found")</f>
        <v/>
      </c>
    </row>
    <row r="18">
      <c r="A18" s="88" t="n">
        <v>46441</v>
      </c>
      <c r="B18" s="85" t="n">
        <v>3.9082</v>
      </c>
      <c r="C18" s="85" t="n">
        <v>3.91475</v>
      </c>
      <c r="D18" s="69" t="n">
        <v>0.9769949999999999</v>
      </c>
      <c r="E18" s="84">
        <f>IFERROR(INDEX(Bootstrap!$J$8:$J$72,MATCH(A18,Bootstrap!$B$8:$B$72,0)),"")</f>
        <v/>
      </c>
      <c r="F18" s="80">
        <f>IFERROR(INDEX(Bootstrap!$H$8:$H$72,MATCH(A18,Bootstrap!$B$8:$B$72,0)),"")</f>
        <v/>
      </c>
      <c r="G18" s="89">
        <f>IF(E18="","",(E18-C18)*100)</f>
        <v/>
      </c>
      <c r="H18" s="72">
        <f>IF(F18="","",F18-D18)</f>
        <v/>
      </c>
      <c r="I18" s="78">
        <f>IFERROR(MATCH(A18,Bootstrap!$B$8:$B$72,0)+7,"not found")</f>
        <v/>
      </c>
    </row>
    <row r="19">
      <c r="A19" s="88" t="n">
        <v>46469</v>
      </c>
      <c r="B19" s="85" t="n">
        <v>3.9345</v>
      </c>
      <c r="C19" s="85" t="n">
        <v>3.93499</v>
      </c>
      <c r="D19" s="69" t="n">
        <v>0.973933</v>
      </c>
      <c r="E19" s="84">
        <f>IFERROR(INDEX(Bootstrap!$J$8:$J$72,MATCH(A19,Bootstrap!$B$8:$B$72,0)),"")</f>
        <v/>
      </c>
      <c r="F19" s="80">
        <f>IFERROR(INDEX(Bootstrap!$H$8:$H$72,MATCH(A19,Bootstrap!$B$8:$B$72,0)),"")</f>
        <v/>
      </c>
      <c r="G19" s="89">
        <f>IF(E19="","",(E19-C19)*100)</f>
        <v/>
      </c>
      <c r="H19" s="72">
        <f>IF(F19="","",F19-D19)</f>
        <v/>
      </c>
      <c r="I19" s="78">
        <f>IFERROR(MATCH(A19,Bootstrap!$B$8:$B$72,0)+7,"not found")</f>
        <v/>
      </c>
    </row>
    <row r="20">
      <c r="A20" s="88" t="n">
        <v>46500</v>
      </c>
      <c r="B20" s="85" t="n">
        <v>3.96295</v>
      </c>
      <c r="C20" s="85" t="n">
        <v>3.95656</v>
      </c>
      <c r="D20" s="69" t="n">
        <v>0.970525</v>
      </c>
      <c r="E20" s="84">
        <f>IFERROR(INDEX(Bootstrap!$J$8:$J$72,MATCH(A20,Bootstrap!$B$8:$B$72,0)),"")</f>
        <v/>
      </c>
      <c r="F20" s="80">
        <f>IFERROR(INDEX(Bootstrap!$H$8:$H$72,MATCH(A20,Bootstrap!$B$8:$B$72,0)),"")</f>
        <v/>
      </c>
      <c r="G20" s="89">
        <f>IF(E20="","",(E20-C20)*100)</f>
        <v/>
      </c>
      <c r="H20" s="72">
        <f>IF(F20="","",F20-D20)</f>
        <v/>
      </c>
      <c r="I20" s="78">
        <f>IFERROR(MATCH(A20,Bootstrap!$B$8:$B$72,0)+7,"not found")</f>
        <v/>
      </c>
    </row>
    <row r="21">
      <c r="A21" s="88" t="n">
        <v>46531</v>
      </c>
      <c r="B21" s="85" t="n">
        <v>3.9886</v>
      </c>
      <c r="C21" s="85" t="n">
        <v>3.97523</v>
      </c>
      <c r="D21" s="69" t="n">
        <v>0.967117</v>
      </c>
      <c r="E21" s="84">
        <f>IFERROR(INDEX(Bootstrap!$J$8:$J$72,MATCH(A21,Bootstrap!$B$8:$B$72,0)),"")</f>
        <v/>
      </c>
      <c r="F21" s="80">
        <f>IFERROR(INDEX(Bootstrap!$H$8:$H$72,MATCH(A21,Bootstrap!$B$8:$B$72,0)),"")</f>
        <v/>
      </c>
      <c r="G21" s="89">
        <f>IF(E21="","",(E21-C21)*100)</f>
        <v/>
      </c>
      <c r="H21" s="72">
        <f>IF(F21="","",F21-D21)</f>
        <v/>
      </c>
      <c r="I21" s="78">
        <f>IFERROR(MATCH(A21,Bootstrap!$B$8:$B$72,0)+7,"not found")</f>
        <v/>
      </c>
    </row>
    <row r="22">
      <c r="A22" s="88" t="n">
        <v>46561</v>
      </c>
      <c r="B22" s="85" t="n">
        <v>4.01085</v>
      </c>
      <c r="C22" s="85" t="n">
        <v>3.99064</v>
      </c>
      <c r="D22" s="69" t="n">
        <v>0.963825</v>
      </c>
      <c r="E22" s="84">
        <f>IFERROR(INDEX(Bootstrap!$J$8:$J$72,MATCH(A22,Bootstrap!$B$8:$B$72,0)),"")</f>
        <v/>
      </c>
      <c r="F22" s="80">
        <f>IFERROR(INDEX(Bootstrap!$H$8:$H$72,MATCH(A22,Bootstrap!$B$8:$B$72,0)),"")</f>
        <v/>
      </c>
      <c r="G22" s="89">
        <f>IF(E22="","",(E22-C22)*100)</f>
        <v/>
      </c>
      <c r="H22" s="72">
        <f>IF(F22="","",F22-D22)</f>
        <v/>
      </c>
      <c r="I22" s="78">
        <f>IFERROR(MATCH(A22,Bootstrap!$B$8:$B$72,0)+7,"not found")</f>
        <v/>
      </c>
    </row>
    <row r="23">
      <c r="A23" s="88" t="n">
        <v>46591</v>
      </c>
      <c r="B23" s="85" t="n">
        <v>4.0303</v>
      </c>
      <c r="C23" s="85" t="n">
        <v>4.00322</v>
      </c>
      <c r="D23" s="69" t="n">
        <v>0.960548</v>
      </c>
      <c r="E23" s="84">
        <f>IFERROR(INDEX(Bootstrap!$J$8:$J$72,MATCH(A23,Bootstrap!$B$8:$B$72,0)),"")</f>
        <v/>
      </c>
      <c r="F23" s="80">
        <f>IFERROR(INDEX(Bootstrap!$H$8:$H$72,MATCH(A23,Bootstrap!$B$8:$B$72,0)),"")</f>
        <v/>
      </c>
      <c r="G23" s="89">
        <f>IF(E23="","",(E23-C23)*100)</f>
        <v/>
      </c>
      <c r="H23" s="72">
        <f>IF(F23="","",F23-D23)</f>
        <v/>
      </c>
      <c r="I23" s="78">
        <f>IFERROR(MATCH(A23,Bootstrap!$B$8:$B$72,0)+7,"not found")</f>
        <v/>
      </c>
    </row>
    <row r="24">
      <c r="A24" s="88" t="n">
        <v>46776</v>
      </c>
      <c r="B24" s="85" t="n">
        <v>4.04559</v>
      </c>
      <c r="C24" s="85" t="n">
        <v>4.03332</v>
      </c>
      <c r="D24" s="69" t="n">
        <v>0.9408260000000001</v>
      </c>
      <c r="E24" s="84">
        <f>IFERROR(INDEX(Bootstrap!$J$8:$J$72,MATCH(A24,Bootstrap!$B$8:$B$72,0)),"")</f>
        <v/>
      </c>
      <c r="F24" s="80">
        <f>IFERROR(INDEX(Bootstrap!$H$8:$H$72,MATCH(A24,Bootstrap!$B$8:$B$72,0)),"")</f>
        <v/>
      </c>
      <c r="G24" s="89">
        <f>IF(E24="","",(E24-C24)*100)</f>
        <v/>
      </c>
      <c r="H24" s="72">
        <f>IF(F24="","",F24-D24)</f>
        <v/>
      </c>
      <c r="I24" s="78">
        <f>IFERROR(MATCH(A24,Bootstrap!$B$8:$B$72,0)+7,"not found")</f>
        <v/>
      </c>
    </row>
    <row r="25">
      <c r="A25" s="88" t="n">
        <v>46958</v>
      </c>
      <c r="B25" s="85" t="n">
        <v>4.0511</v>
      </c>
      <c r="C25" s="85" t="n">
        <v>4.0245</v>
      </c>
      <c r="D25" s="69" t="n">
        <v>0.922257</v>
      </c>
      <c r="E25" s="84">
        <f>IFERROR(INDEX(Bootstrap!$J$8:$J$72,MATCH(A25,Bootstrap!$B$8:$B$72,0)),"")</f>
        <v/>
      </c>
      <c r="F25" s="80">
        <f>IFERROR(INDEX(Bootstrap!$H$8:$H$72,MATCH(A25,Bootstrap!$B$8:$B$72,0)),"")</f>
        <v/>
      </c>
      <c r="G25" s="89">
        <f>IF(E25="","",(E25-C25)*100)</f>
        <v/>
      </c>
      <c r="H25" s="72">
        <f>IF(F25="","",F25-D25)</f>
        <v/>
      </c>
      <c r="I25" s="78">
        <f>IFERROR(MATCH(A25,Bootstrap!$B$8:$B$72,0)+7,"not found")</f>
        <v/>
      </c>
    </row>
    <row r="26">
      <c r="A26" s="88" t="n">
        <v>47322</v>
      </c>
      <c r="B26" s="85" t="n">
        <v>4.03145</v>
      </c>
      <c r="C26" s="85" t="n">
        <v>4.00493</v>
      </c>
      <c r="D26" s="69" t="n">
        <v>0.886497</v>
      </c>
      <c r="E26" s="84">
        <f>IFERROR(INDEX(Bootstrap!$J$8:$J$72,MATCH(A26,Bootstrap!$B$8:$B$72,0)),"")</f>
        <v/>
      </c>
      <c r="F26" s="80">
        <f>IFERROR(INDEX(Bootstrap!$H$8:$H$72,MATCH(A26,Bootstrap!$B$8:$B$72,0)),"")</f>
        <v/>
      </c>
      <c r="G26" s="89">
        <f>IF(E26="","",(E26-C26)*100)</f>
        <v/>
      </c>
      <c r="H26" s="72">
        <f>IF(F26="","",F26-D26)</f>
        <v/>
      </c>
      <c r="I26" s="78">
        <f>IFERROR(MATCH(A26,Bootstrap!$B$8:$B$72,0)+7,"not found")</f>
        <v/>
      </c>
    </row>
    <row r="27">
      <c r="A27" s="88" t="n">
        <v>47687</v>
      </c>
      <c r="B27" s="85" t="n">
        <v>4.0236</v>
      </c>
      <c r="C27" s="85" t="n">
        <v>3.99711</v>
      </c>
      <c r="D27" s="69" t="n">
        <v>0.851962</v>
      </c>
      <c r="E27" s="84">
        <f>IFERROR(INDEX(Bootstrap!$J$8:$J$72,MATCH(A27,Bootstrap!$B$8:$B$72,0)),"")</f>
        <v/>
      </c>
      <c r="F27" s="80">
        <f>IFERROR(INDEX(Bootstrap!$H$8:$H$72,MATCH(A27,Bootstrap!$B$8:$B$72,0)),"")</f>
        <v/>
      </c>
      <c r="G27" s="89">
        <f>IF(E27="","",(E27-C27)*100)</f>
        <v/>
      </c>
      <c r="H27" s="72">
        <f>IF(F27="","",F27-D27)</f>
        <v/>
      </c>
      <c r="I27" s="78">
        <f>IFERROR(MATCH(A27,Bootstrap!$B$8:$B$72,0)+7,"not found")</f>
        <v/>
      </c>
    </row>
    <row r="28">
      <c r="A28" s="88" t="n">
        <v>48052</v>
      </c>
      <c r="B28" s="85" t="n">
        <v>4.0314</v>
      </c>
      <c r="C28" s="85" t="n">
        <v>4.00561</v>
      </c>
      <c r="D28" s="69" t="n">
        <v>0.818232</v>
      </c>
      <c r="E28" s="84">
        <f>IFERROR(INDEX(Bootstrap!$J$8:$J$72,MATCH(A28,Bootstrap!$B$8:$B$72,0)),"")</f>
        <v/>
      </c>
      <c r="F28" s="80">
        <f>IFERROR(INDEX(Bootstrap!$H$8:$H$72,MATCH(A28,Bootstrap!$B$8:$B$72,0)),"")</f>
        <v/>
      </c>
      <c r="G28" s="89">
        <f>IF(E28="","",(E28-C28)*100)</f>
        <v/>
      </c>
      <c r="H28" s="72">
        <f>IF(F28="","",F28-D28)</f>
        <v/>
      </c>
      <c r="I28" s="78">
        <f>IFERROR(MATCH(A28,Bootstrap!$B$8:$B$72,0)+7,"not found")</f>
        <v/>
      </c>
    </row>
    <row r="29">
      <c r="A29" s="88" t="n">
        <v>48418</v>
      </c>
      <c r="B29" s="85" t="n">
        <v>4.05176</v>
      </c>
      <c r="C29" s="85" t="n">
        <v>4.02762</v>
      </c>
      <c r="D29" s="69" t="n">
        <v>0.784979</v>
      </c>
      <c r="E29" s="84">
        <f>IFERROR(INDEX(Bootstrap!$J$8:$J$72,MATCH(A29,Bootstrap!$B$8:$B$72,0)),"")</f>
        <v/>
      </c>
      <c r="F29" s="80">
        <f>IFERROR(INDEX(Bootstrap!$H$8:$H$72,MATCH(A29,Bootstrap!$B$8:$B$72,0)),"")</f>
        <v/>
      </c>
      <c r="G29" s="89">
        <f>IF(E29="","",(E29-C29)*100)</f>
        <v/>
      </c>
      <c r="H29" s="72">
        <f>IF(F29="","",F29-D29)</f>
        <v/>
      </c>
      <c r="I29" s="78">
        <f>IFERROR(MATCH(A29,Bootstrap!$B$8:$B$72,0)+7,"not found")</f>
        <v/>
      </c>
    </row>
    <row r="30">
      <c r="A30" s="88" t="n">
        <v>48785</v>
      </c>
      <c r="B30" s="85" t="n">
        <v>4.07793</v>
      </c>
      <c r="C30" s="85" t="n">
        <v>4.05617</v>
      </c>
      <c r="D30" s="69" t="n">
        <v>0.752316</v>
      </c>
      <c r="E30" s="84">
        <f>IFERROR(INDEX(Bootstrap!$J$8:$J$72,MATCH(A30,Bootstrap!$B$8:$B$72,0)),"")</f>
        <v/>
      </c>
      <c r="F30" s="80">
        <f>IFERROR(INDEX(Bootstrap!$H$8:$H$72,MATCH(A30,Bootstrap!$B$8:$B$72,0)),"")</f>
        <v/>
      </c>
      <c r="G30" s="89">
        <f>IF(E30="","",(E30-C30)*100)</f>
        <v/>
      </c>
      <c r="H30" s="72">
        <f>IF(F30="","",F30-D30)</f>
        <v/>
      </c>
      <c r="I30" s="78">
        <f>IFERROR(MATCH(A30,Bootstrap!$B$8:$B$72,0)+7,"not found")</f>
        <v/>
      </c>
    </row>
    <row r="31">
      <c r="A31" s="88" t="n">
        <v>49149</v>
      </c>
      <c r="B31" s="85" t="n">
        <v>4.10695</v>
      </c>
      <c r="C31" s="85" t="n">
        <v>4.08837</v>
      </c>
      <c r="D31" s="69" t="n">
        <v>0.72063</v>
      </c>
      <c r="E31" s="84">
        <f>IFERROR(INDEX(Bootstrap!$J$8:$J$72,MATCH(A31,Bootstrap!$B$8:$B$72,0)),"")</f>
        <v/>
      </c>
      <c r="F31" s="80">
        <f>IFERROR(INDEX(Bootstrap!$H$8:$H$72,MATCH(A31,Bootstrap!$B$8:$B$72,0)),"")</f>
        <v/>
      </c>
      <c r="G31" s="89">
        <f>IF(E31="","",(E31-C31)*100)</f>
        <v/>
      </c>
      <c r="H31" s="72">
        <f>IF(F31="","",F31-D31)</f>
        <v/>
      </c>
      <c r="I31" s="78">
        <f>IFERROR(MATCH(A31,Bootstrap!$B$8:$B$72,0)+7,"not found")</f>
        <v/>
      </c>
    </row>
    <row r="32">
      <c r="A32" s="88" t="n">
        <v>49513</v>
      </c>
      <c r="B32" s="85" t="n">
        <v>4.13825</v>
      </c>
      <c r="C32" s="85" t="n">
        <v>4.12361</v>
      </c>
      <c r="D32" s="69" t="n">
        <v>0.689646</v>
      </c>
      <c r="E32" s="84">
        <f>IFERROR(INDEX(Bootstrap!$J$8:$J$72,MATCH(A32,Bootstrap!$B$8:$B$72,0)),"")</f>
        <v/>
      </c>
      <c r="F32" s="80">
        <f>IFERROR(INDEX(Bootstrap!$H$8:$H$72,MATCH(A32,Bootstrap!$B$8:$B$72,0)),"")</f>
        <v/>
      </c>
      <c r="G32" s="89">
        <f>IF(E32="","",(E32-C32)*100)</f>
        <v/>
      </c>
      <c r="H32" s="72">
        <f>IF(F32="","",F32-D32)</f>
        <v/>
      </c>
      <c r="I32" s="78">
        <f>IFERROR(MATCH(A32,Bootstrap!$B$8:$B$72,0)+7,"not found")</f>
        <v/>
      </c>
    </row>
    <row r="33">
      <c r="A33" s="88" t="n">
        <v>49879</v>
      </c>
      <c r="B33" s="85" t="n">
        <v>4.17165</v>
      </c>
      <c r="C33" s="85" t="n">
        <v>4.1618</v>
      </c>
      <c r="D33" s="69" t="n">
        <v>0.659186</v>
      </c>
      <c r="E33" s="84">
        <f>IFERROR(INDEX(Bootstrap!$J$8:$J$72,MATCH(A33,Bootstrap!$B$8:$B$72,0)),"")</f>
        <v/>
      </c>
      <c r="F33" s="80">
        <f>IFERROR(INDEX(Bootstrap!$H$8:$H$72,MATCH(A33,Bootstrap!$B$8:$B$72,0)),"")</f>
        <v/>
      </c>
      <c r="G33" s="89">
        <f>IF(E33="","",(E33-C33)*100)</f>
        <v/>
      </c>
      <c r="H33" s="72">
        <f>IF(F33="","",F33-D33)</f>
        <v/>
      </c>
      <c r="I33" s="78">
        <f>IFERROR(MATCH(A33,Bootstrap!$B$8:$B$72,0)+7,"not found")</f>
        <v/>
      </c>
    </row>
    <row r="34">
      <c r="A34" s="88" t="n">
        <v>50609</v>
      </c>
      <c r="B34" s="85" t="n">
        <v>4.23854</v>
      </c>
      <c r="C34" s="85" t="n">
        <v>4.24016</v>
      </c>
      <c r="D34" s="69" t="n">
        <v>0.6008559999999999</v>
      </c>
      <c r="E34" s="84">
        <f>IFERROR(INDEX(Bootstrap!$J$8:$J$72,MATCH(A34,Bootstrap!$B$8:$B$72,0)),"")</f>
        <v/>
      </c>
      <c r="F34" s="80">
        <f>IFERROR(INDEX(Bootstrap!$H$8:$H$72,MATCH(A34,Bootstrap!$B$8:$B$72,0)),"")</f>
        <v/>
      </c>
      <c r="G34" s="89">
        <f>IF(E34="","",(E34-C34)*100)</f>
        <v/>
      </c>
      <c r="H34" s="72">
        <f>IF(F34="","",F34-D34)</f>
        <v/>
      </c>
      <c r="I34" s="78">
        <f>IFERROR(MATCH(A34,Bootstrap!$B$8:$B$72,0)+7,"not found")</f>
        <v/>
      </c>
    </row>
    <row r="35">
      <c r="A35" s="88" t="n">
        <v>51705</v>
      </c>
      <c r="B35" s="85" t="n">
        <v>4.32638</v>
      </c>
      <c r="C35" s="85" t="n">
        <v>4.34698</v>
      </c>
      <c r="D35" s="69" t="n">
        <v>0.520606</v>
      </c>
      <c r="E35" s="84">
        <f>IFERROR(INDEX(Bootstrap!$J$8:$J$72,MATCH(A35,Bootstrap!$B$8:$B$72,0)),"")</f>
        <v/>
      </c>
      <c r="F35" s="80">
        <f>IFERROR(INDEX(Bootstrap!$H$8:$H$72,MATCH(A35,Bootstrap!$B$8:$B$72,0)),"")</f>
        <v/>
      </c>
      <c r="G35" s="89">
        <f>IF(E35="","",(E35-C35)*100)</f>
        <v/>
      </c>
      <c r="H35" s="72">
        <f>IF(F35="","",F35-D35)</f>
        <v/>
      </c>
      <c r="I35" s="78">
        <f>IFERROR(MATCH(A35,Bootstrap!$B$8:$B$72,0)+7,"not found")</f>
        <v/>
      </c>
    </row>
    <row r="36">
      <c r="A36" s="88" t="n">
        <v>53531</v>
      </c>
      <c r="B36" s="85" t="n">
        <v>4.4013</v>
      </c>
      <c r="C36" s="85" t="n">
        <v>4.43911</v>
      </c>
      <c r="D36" s="69" t="n">
        <v>0.411201</v>
      </c>
      <c r="E36" s="84">
        <f>IFERROR(INDEX(Bootstrap!$J$8:$J$72,MATCH(A36,Bootstrap!$B$8:$B$72,0)),"")</f>
        <v/>
      </c>
      <c r="F36" s="80">
        <f>IFERROR(INDEX(Bootstrap!$H$8:$H$72,MATCH(A36,Bootstrap!$B$8:$B$72,0)),"")</f>
        <v/>
      </c>
      <c r="G36" s="89">
        <f>IF(E36="","",(E36-C36)*100)</f>
        <v/>
      </c>
      <c r="H36" s="72">
        <f>IF(F36="","",F36-D36)</f>
        <v/>
      </c>
      <c r="I36" s="78">
        <f>IFERROR(MATCH(A36,Bootstrap!$B$8:$B$72,0)+7,"not found")</f>
        <v/>
      </c>
    </row>
    <row r="37">
      <c r="A37" s="88" t="n">
        <v>55358</v>
      </c>
      <c r="B37" s="85" t="n">
        <v>4.40005</v>
      </c>
      <c r="C37" s="85" t="n">
        <v>4.42239</v>
      </c>
      <c r="D37" s="69" t="n">
        <v>0.330652</v>
      </c>
      <c r="E37" s="84">
        <f>IFERROR(INDEX(Bootstrap!$J$8:$J$72,MATCH(A37,Bootstrap!$B$8:$B$72,0)),"")</f>
        <v/>
      </c>
      <c r="F37" s="80">
        <f>IFERROR(INDEX(Bootstrap!$H$8:$H$72,MATCH(A37,Bootstrap!$B$8:$B$72,0)),"")</f>
        <v/>
      </c>
      <c r="G37" s="89">
        <f>IF(E37="","",(E37-C37)*100)</f>
        <v/>
      </c>
      <c r="H37" s="72">
        <f>IF(F37="","",F37-D37)</f>
        <v/>
      </c>
      <c r="I37" s="78">
        <f>IFERROR(MATCH(A37,Bootstrap!$B$8:$B$72,0)+7,"not found")</f>
        <v/>
      </c>
    </row>
    <row r="38">
      <c r="A38" s="88" t="n">
        <v>57185</v>
      </c>
      <c r="B38" s="85" t="n">
        <v>4.36277</v>
      </c>
      <c r="C38" s="85" t="n">
        <v>4.34509</v>
      </c>
      <c r="D38" s="69" t="n">
        <v>0.271217</v>
      </c>
      <c r="E38" s="84">
        <f>IFERROR(INDEX(Bootstrap!$J$8:$J$72,MATCH(A38,Bootstrap!$B$8:$B$72,0)),"")</f>
        <v/>
      </c>
      <c r="F38" s="80">
        <f>IFERROR(INDEX(Bootstrap!$H$8:$H$72,MATCH(A38,Bootstrap!$B$8:$B$72,0)),"")</f>
        <v/>
      </c>
      <c r="G38" s="89">
        <f>IF(E38="","",(E38-C38)*100)</f>
        <v/>
      </c>
      <c r="H38" s="72">
        <f>IF(F38="","",F38-D38)</f>
        <v/>
      </c>
      <c r="I38" s="78">
        <f>IFERROR(MATCH(A38,Bootstrap!$B$8:$B$72,0)+7,"not found")</f>
        <v/>
      </c>
    </row>
    <row r="39">
      <c r="A39" s="88" t="n">
        <v>60836</v>
      </c>
      <c r="B39" s="85" t="n">
        <v>4.2436</v>
      </c>
      <c r="C39" s="85" t="n">
        <v>4.10058</v>
      </c>
      <c r="D39" s="69" t="n">
        <v>0.193674</v>
      </c>
      <c r="E39" s="84">
        <f>IFERROR(INDEX(Bootstrap!$J$8:$J$72,MATCH(A39,Bootstrap!$B$8:$B$72,0)),"")</f>
        <v/>
      </c>
      <c r="F39" s="80">
        <f>IFERROR(INDEX(Bootstrap!$H$8:$H$72,MATCH(A39,Bootstrap!$B$8:$B$72,0)),"")</f>
        <v/>
      </c>
      <c r="G39" s="89">
        <f>IF(E39="","",(E39-C39)*100)</f>
        <v/>
      </c>
      <c r="H39" s="72">
        <f>IF(F39="","",F39-D39)</f>
        <v/>
      </c>
      <c r="I39" s="78">
        <f>IFERROR(MATCH(A39,Bootstrap!$B$8:$B$72,0)+7,"not found")</f>
        <v/>
      </c>
    </row>
    <row r="40">
      <c r="A40" s="88" t="n">
        <v>64489</v>
      </c>
      <c r="B40" s="85" t="n">
        <v>4.11027</v>
      </c>
      <c r="C40" s="85" t="n">
        <v>3.80584</v>
      </c>
      <c r="D40" s="69" t="n">
        <v>0.148899</v>
      </c>
      <c r="E40" s="84">
        <f>IFERROR(INDEX(Bootstrap!$J$8:$J$72,MATCH(A40,Bootstrap!$B$8:$B$72,0)),"")</f>
        <v/>
      </c>
      <c r="F40" s="80">
        <f>IFERROR(INDEX(Bootstrap!$H$8:$H$72,MATCH(A40,Bootstrap!$B$8:$B$72,0)),"")</f>
        <v/>
      </c>
      <c r="G40" s="89">
        <f>IF(E40="","",(E40-C40)*100)</f>
        <v/>
      </c>
      <c r="H40" s="72">
        <f>IF(F40="","",F40-D40)</f>
        <v/>
      </c>
      <c r="I40" s="78">
        <f>IFERROR(MATCH(A40,Bootstrap!$B$8:$B$72,0)+7,"not found")</f>
        <v/>
      </c>
    </row>
    <row r="42">
      <c r="A42" s="67" t="inlineStr">
        <is>
          <t>Max |zero diff| (bp)</t>
        </is>
      </c>
      <c r="B42" s="90">
        <f>MAX(ABS(G9:G40))</f>
        <v/>
      </c>
      <c r="D42" s="65" t="inlineStr">
        <is>
          <t>Array formula — confirm with Ctrl+Shift+Enter in older Excel.</t>
        </is>
      </c>
    </row>
    <row r="43">
      <c r="A43" s="67" t="inlineStr">
        <is>
          <t>Max |DF diff|</t>
        </is>
      </c>
      <c r="B43" s="91">
        <f>MAX(ABS(H9:H40))</f>
        <v/>
      </c>
    </row>
    <row r="44">
      <c r="A44" s="67" t="inlineStr">
        <is>
          <t>Pillars matched</t>
        </is>
      </c>
      <c r="B44" s="87">
        <f>COUNT(E9:E40)&amp;" / 32"</f>
        <v/>
      </c>
    </row>
    <row r="46">
      <c r="A46" s="65" t="inlineStr">
        <is>
          <t>Independent Python replication of this construction achieved max |DF err| 1.2e-05 and max |zero err| 0.26bp (0.00bp from 6M out); residuals sit at the screen's 6-decimal display precision.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D32"/>
    <outlinePr summaryBelow="1" summaryRight="1"/>
    <pageSetUpPr/>
  </sheetPr>
  <dimension ref="A1:O353"/>
  <sheetViews>
    <sheetView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quoted pillar's discount factor by bisection, with its interpolated gap points inside the annuity. Removes the circular reference that stopped the curve computing past 10Y.</t>
        </is>
      </c>
    </row>
    <row r="3">
      <c r="A3" s="65" t="inlineStr">
        <is>
          <t>DF_B solves:  DF_B = (DFspot - S_B*[A_anchor + SUM_g tau_g*DF_g]) / (1 + S_B*tau_B),   DF_g = DF_A*(DF_B/DF_A)^w_g</t>
        </is>
      </c>
    </row>
    <row r="4">
      <c r="A4" s="65" t="inlineStr">
        <is>
          <t>Bracket [0, 1.5], 40 bisection steps -&gt;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18">
        <f>Bootstrap!$B$4</f>
        <v/>
      </c>
      <c r="L6" s="3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</row>
    <row r="41">
      <c r="A41" s="43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the S490 screen (rms DF err 2.3e-06). Piecewise Linear (Simple) — the guide's method 1, its EUR S201 example — is 48x worse on this curve (1.1e-04, biased to +4.2e-04 by 50Y). Only switch if the S490 Interpolation field actually says so.</t>
        </is>
      </c>
      <c r="K8" s="18">
        <f>Bootstrap!$B$4</f>
        <v/>
      </c>
      <c r="L8" s="3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Guide method 1:  DF(t)=1/(1+r_s(t)*t), r_s piecewise linear, t on ACT/360, flat outside the first/last instrument maturity.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Guide method 3:  flat instantaneous forward between pillars, equivalently log-linear in the discount factor.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Both agree AT the pillars; they differ only off-pillar — which is exactly what CDS_Schedule looks up. Max gap difference ~0.07bp of zero rate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 before trusting column E — the defaults are a GUESS at the CURVE_TENOR_RATES schema, not confirmed.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92" t="inlineStr">
        <is>
          <t>S490 zero (%) — live</t>
        </is>
      </c>
      <c r="E7" s="20" t="inlineStr">
        <is>
          <t>Δz (bp)</t>
        </is>
      </c>
      <c r="F7" s="62" t="inlineStr">
        <is>
          <t>Source</t>
        </is>
      </c>
      <c r="G7" s="62" t="inlineStr">
        <is>
          <t>S490 zero (%) [manual paste]</t>
        </is>
      </c>
      <c r="H7" s="67" t="inlineStr">
        <is>
          <t>Raw CURVE_TENOR_RATES dump (spills right and down from J12)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97">
        <f>IFERROR(INDEX($J$12:$T$82,MATCH(B8,INDEX($J$12:$T$82,0,$I$3),0),$I$4)*$I$5,IF(ISNUMBER(G8),G8,""))</f>
        <v/>
      </c>
      <c r="E8" s="89">
        <f>IF(OR(D8="",NOT(ISNUMBER(D8))),"",(C8-D8)*100)</f>
        <v/>
      </c>
      <c r="F8" s="93">
        <f>IF(ISNUMBER(IFERROR(INDEX($J$12:$T$82,MATCH(B8,INDEX($J$12:$T$82,0,$I$3),0),$I$4)*$I$5,"")),"BDS live",IF(ISNUMBER(G8),"manual paste","-"))</f>
        <v/>
      </c>
      <c r="G8" s="85" t="n"/>
      <c r="H8" s="65" t="inlineStr">
        <is>
          <t>(the CURVE_TENOR_RATES dump lives at J12 - a second copy here would spill into it)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97">
        <f>IFERROR(INDEX($J$12:$T$82,MATCH(B9,INDEX($J$12:$T$82,0,$I$3),0),$I$4)*$I$5,IF(ISNUMBER(G9),G9,""))</f>
        <v/>
      </c>
      <c r="E9" s="89">
        <f>IF(OR(D9="",NOT(ISNUMBER(D9))),"",(C9-D9)*100)</f>
        <v/>
      </c>
      <c r="F9" s="93">
        <f>IF(ISNUMBER(IFERROR(INDEX($J$12:$T$82,MATCH(B9,INDEX($J$12:$T$82,0,$I$3),0),$I$4)*$I$5,"")),"BDS live",IF(ISNUMBER(G9),"manual paste","-"))</f>
        <v/>
      </c>
      <c r="G9" s="85" t="n"/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97">
        <f>IFERROR(INDEX($J$12:$T$82,MATCH(B10,INDEX($J$12:$T$82,0,$I$3),0),$I$4)*$I$5,IF(ISNUMBER(G10),G10,""))</f>
        <v/>
      </c>
      <c r="E10" s="89">
        <f>IF(OR(D10="",NOT(ISNUMBER(D10))),"",(C10-D10)*100)</f>
        <v/>
      </c>
      <c r="F10" s="93">
        <f>IF(ISNUMBER(IFERROR(INDEX($J$12:$T$82,MATCH(B10,INDEX($J$12:$T$82,0,$I$3),0),$I$4)*$I$5,"")),"BDS live",IF(ISNUMBER(G10),"manual paste","-"))</f>
        <v/>
      </c>
      <c r="G10" s="85" t="n"/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97">
        <f>IFERROR(INDEX($J$12:$T$82,MATCH(B11,INDEX($J$12:$T$82,0,$I$3),0),$I$4)*$I$5,IF(ISNUMBER(G11),G11,""))</f>
        <v/>
      </c>
      <c r="E11" s="89">
        <f>IF(OR(D11="",NOT(ISNUMBER(D11))),"",(C11-D11)*100)</f>
        <v/>
      </c>
      <c r="F11" s="93">
        <f>IF(ISNUMBER(IFERROR(INDEX($J$12:$T$82,MATCH(B11,INDEX($J$12:$T$82,0,$I$3),0),$I$4)*$I$5,"")),"BDS live",IF(ISNUMBER(G11),"manual paste","-"))</f>
        <v/>
      </c>
      <c r="G11" s="85" t="n"/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97">
        <f>IFERROR(INDEX($J$12:$T$82,MATCH(B12,INDEX($J$12:$T$82,0,$I$3),0),$I$4)*$I$5,IF(ISNUMBER(G12),G12,""))</f>
        <v/>
      </c>
      <c r="E12" s="89">
        <f>IF(OR(D12="",NOT(ISNUMBER(D12))),"",(C12-D12)*100)</f>
        <v/>
      </c>
      <c r="F12" s="93">
        <f>IF(ISNUMBER(IFERROR(INDEX($J$12:$T$82,MATCH(B12,INDEX($J$12:$T$82,0,$I$3),0),$I$4)*$I$5,"")),"BDS live",IF(ISNUMBER(G12),"manual paste","-"))</f>
        <v/>
      </c>
      <c r="G12" s="85" t="n"/>
      <c r="J12" s="93">
        <f>BDS(S490_TKR,"CURVE_TENOR_RATES")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97">
        <f>IFERROR(INDEX($J$12:$T$82,MATCH(B13,INDEX($J$12:$T$82,0,$I$3),0),$I$4)*$I$5,IF(ISNUMBER(G13),G13,""))</f>
        <v/>
      </c>
      <c r="E13" s="89">
        <f>IF(OR(D13="",NOT(ISNUMBER(D13))),"",(C13-D13)*100)</f>
        <v/>
      </c>
      <c r="F13" s="93">
        <f>IF(ISNUMBER(IFERROR(INDEX($J$12:$T$82,MATCH(B13,INDEX($J$12:$T$82,0,$I$3),0),$I$4)*$I$5,"")),"BDS live",IF(ISNUMBER(G13),"manual paste","-"))</f>
        <v/>
      </c>
      <c r="G13" s="85" t="n"/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97">
        <f>IFERROR(INDEX($J$12:$T$82,MATCH(B14,INDEX($J$12:$T$82,0,$I$3),0),$I$4)*$I$5,IF(ISNUMBER(G14),G14,""))</f>
        <v/>
      </c>
      <c r="E14" s="89">
        <f>IF(OR(D14="",NOT(ISNUMBER(D14))),"",(C14-D14)*100)</f>
        <v/>
      </c>
      <c r="F14" s="93">
        <f>IF(ISNUMBER(IFERROR(INDEX($J$12:$T$82,MATCH(B14,INDEX($J$12:$T$82,0,$I$3),0),$I$4)*$I$5,"")),"BDS live",IF(ISNUMBER(G14),"manual paste","-"))</f>
        <v/>
      </c>
      <c r="G14" s="85" t="n"/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97">
        <f>IFERROR(INDEX($J$12:$T$82,MATCH(B15,INDEX($J$12:$T$82,0,$I$3),0),$I$4)*$I$5,IF(ISNUMBER(G15),G15,""))</f>
        <v/>
      </c>
      <c r="E15" s="89">
        <f>IF(OR(D15="",NOT(ISNUMBER(D15))),"",(C15-D15)*100)</f>
        <v/>
      </c>
      <c r="F15" s="93">
        <f>IF(ISNUMBER(IFERROR(INDEX($J$12:$T$82,MATCH(B15,INDEX($J$12:$T$82,0,$I$3),0),$I$4)*$I$5,"")),"BDS live",IF(ISNUMBER(G15),"manual paste","-"))</f>
        <v/>
      </c>
      <c r="G15" s="85" t="n"/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97">
        <f>IFERROR(INDEX($J$12:$T$82,MATCH(B16,INDEX($J$12:$T$82,0,$I$3),0),$I$4)*$I$5,IF(ISNUMBER(G16),G16,""))</f>
        <v/>
      </c>
      <c r="E16" s="89">
        <f>IF(OR(D16="",NOT(ISNUMBER(D16))),"",(C16-D16)*100)</f>
        <v/>
      </c>
      <c r="F16" s="93">
        <f>IF(ISNUMBER(IFERROR(INDEX($J$12:$T$82,MATCH(B16,INDEX($J$12:$T$82,0,$I$3),0),$I$4)*$I$5,"")),"BDS live",IF(ISNUMBER(G16),"manual paste","-"))</f>
        <v/>
      </c>
      <c r="G16" s="85" t="n"/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97">
        <f>IFERROR(INDEX($J$12:$T$82,MATCH(B17,INDEX($J$12:$T$82,0,$I$3),0),$I$4)*$I$5,IF(ISNUMBER(G17),G17,""))</f>
        <v/>
      </c>
      <c r="E17" s="89">
        <f>IF(OR(D17="",NOT(ISNUMBER(D17))),"",(C17-D17)*100)</f>
        <v/>
      </c>
      <c r="F17" s="93">
        <f>IF(ISNUMBER(IFERROR(INDEX($J$12:$T$82,MATCH(B17,INDEX($J$12:$T$82,0,$I$3),0),$I$4)*$I$5,"")),"BDS live",IF(ISNUMBER(G17),"manual paste","-"))</f>
        <v/>
      </c>
      <c r="G17" s="85" t="n"/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97">
        <f>IFERROR(INDEX($J$12:$T$82,MATCH(B18,INDEX($J$12:$T$82,0,$I$3),0),$I$4)*$I$5,IF(ISNUMBER(G18),G18,""))</f>
        <v/>
      </c>
      <c r="E18" s="89">
        <f>IF(OR(D18="",NOT(ISNUMBER(D18))),"",(C18-D18)*100)</f>
        <v/>
      </c>
      <c r="F18" s="93">
        <f>IF(ISNUMBER(IFERROR(INDEX($J$12:$T$82,MATCH(B18,INDEX($J$12:$T$82,0,$I$3),0),$I$4)*$I$5,"")),"BDS live",IF(ISNUMBER(G18),"manual paste","-"))</f>
        <v/>
      </c>
      <c r="G18" s="85" t="n"/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97">
        <f>IFERROR(INDEX($J$12:$T$82,MATCH(B19,INDEX($J$12:$T$82,0,$I$3),0),$I$4)*$I$5,IF(ISNUMBER(G19),G19,""))</f>
        <v/>
      </c>
      <c r="E19" s="89">
        <f>IF(OR(D19="",NOT(ISNUMBER(D19))),"",(C19-D19)*100)</f>
        <v/>
      </c>
      <c r="F19" s="93">
        <f>IF(ISNUMBER(IFERROR(INDEX($J$12:$T$82,MATCH(B19,INDEX($J$12:$T$82,0,$I$3),0),$I$4)*$I$5,"")),"BDS live",IF(ISNUMBER(G19),"manual paste","-"))</f>
        <v/>
      </c>
      <c r="G19" s="85" t="n"/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97">
        <f>IFERROR(INDEX($J$12:$T$82,MATCH(B20,INDEX($J$12:$T$82,0,$I$3),0),$I$4)*$I$5,IF(ISNUMBER(G20),G20,""))</f>
        <v/>
      </c>
      <c r="E20" s="89">
        <f>IF(OR(D20="",NOT(ISNUMBER(D20))),"",(C20-D20)*100)</f>
        <v/>
      </c>
      <c r="F20" s="93">
        <f>IF(ISNUMBER(IFERROR(INDEX($J$12:$T$82,MATCH(B20,INDEX($J$12:$T$82,0,$I$3),0),$I$4)*$I$5,"")),"BDS live",IF(ISNUMBER(G20),"manual paste","-"))</f>
        <v/>
      </c>
      <c r="G20" s="85" t="n"/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97">
        <f>IFERROR(INDEX($J$12:$T$82,MATCH(B21,INDEX($J$12:$T$82,0,$I$3),0),$I$4)*$I$5,IF(ISNUMBER(G21),G21,""))</f>
        <v/>
      </c>
      <c r="E21" s="89">
        <f>IF(OR(D21="",NOT(ISNUMBER(D21))),"",(C21-D21)*100)</f>
        <v/>
      </c>
      <c r="F21" s="93">
        <f>IF(ISNUMBER(IFERROR(INDEX($J$12:$T$82,MATCH(B21,INDEX($J$12:$T$82,0,$I$3),0),$I$4)*$I$5,"")),"BDS live",IF(ISNUMBER(G21),"manual paste","-"))</f>
        <v/>
      </c>
      <c r="G21" s="85" t="n"/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97">
        <f>IFERROR(INDEX($J$12:$T$82,MATCH(B22,INDEX($J$12:$T$82,0,$I$3),0),$I$4)*$I$5,IF(ISNUMBER(G22),G22,""))</f>
        <v/>
      </c>
      <c r="E22" s="89">
        <f>IF(OR(D22="",NOT(ISNUMBER(D22))),"",(C22-D22)*100)</f>
        <v/>
      </c>
      <c r="F22" s="93">
        <f>IF(ISNUMBER(IFERROR(INDEX($J$12:$T$82,MATCH(B22,INDEX($J$12:$T$82,0,$I$3),0),$I$4)*$I$5,"")),"BDS live",IF(ISNUMBER(G22),"manual paste","-"))</f>
        <v/>
      </c>
      <c r="G22" s="85" t="n"/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97">
        <f>IFERROR(INDEX($J$12:$T$82,MATCH(B23,INDEX($J$12:$T$82,0,$I$3),0),$I$4)*$I$5,IF(ISNUMBER(G23),G23,""))</f>
        <v/>
      </c>
      <c r="E23" s="89">
        <f>IF(OR(D23="",NOT(ISNUMBER(D23))),"",(C23-D23)*100)</f>
        <v/>
      </c>
      <c r="F23" s="93">
        <f>IF(ISNUMBER(IFERROR(INDEX($J$12:$T$82,MATCH(B23,INDEX($J$12:$T$82,0,$I$3),0),$I$4)*$I$5,"")),"BDS live",IF(ISNUMBER(G23),"manual paste","-"))</f>
        <v/>
      </c>
      <c r="G23" s="85" t="n"/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97">
        <f>IFERROR(INDEX($J$12:$T$82,MATCH(B24,INDEX($J$12:$T$82,0,$I$3),0),$I$4)*$I$5,IF(ISNUMBER(G24),G24,""))</f>
        <v/>
      </c>
      <c r="E24" s="89">
        <f>IF(OR(D24="",NOT(ISNUMBER(D24))),"",(C24-D24)*100)</f>
        <v/>
      </c>
      <c r="F24" s="93">
        <f>IF(ISNUMBER(IFERROR(INDEX($J$12:$T$82,MATCH(B24,INDEX($J$12:$T$82,0,$I$3),0),$I$4)*$I$5,"")),"BDS live",IF(ISNUMBER(G24),"manual paste","-"))</f>
        <v/>
      </c>
      <c r="G24" s="85" t="n"/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97">
        <f>IFERROR(INDEX($J$12:$T$82,MATCH(B25,INDEX($J$12:$T$82,0,$I$3),0),$I$4)*$I$5,IF(ISNUMBER(G25),G25,""))</f>
        <v/>
      </c>
      <c r="E25" s="89">
        <f>IF(OR(D25="",NOT(ISNUMBER(D25))),"",(C25-D25)*100)</f>
        <v/>
      </c>
      <c r="F25" s="93">
        <f>IF(ISNUMBER(IFERROR(INDEX($J$12:$T$82,MATCH(B25,INDEX($J$12:$T$82,0,$I$3),0),$I$4)*$I$5,"")),"BDS live",IF(ISNUMBER(G25),"manual paste","-"))</f>
        <v/>
      </c>
      <c r="G25" s="85" t="n"/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97">
        <f>IFERROR(INDEX($J$12:$T$82,MATCH(B26,INDEX($J$12:$T$82,0,$I$3),0),$I$4)*$I$5,IF(ISNUMBER(G26),G26,""))</f>
        <v/>
      </c>
      <c r="E26" s="89">
        <f>IF(OR(D26="",NOT(ISNUMBER(D26))),"",(C26-D26)*100)</f>
        <v/>
      </c>
      <c r="F26" s="93">
        <f>IF(ISNUMBER(IFERROR(INDEX($J$12:$T$82,MATCH(B26,INDEX($J$12:$T$82,0,$I$3),0),$I$4)*$I$5,"")),"BDS live",IF(ISNUMBER(G26),"manual paste","-"))</f>
        <v/>
      </c>
      <c r="G26" s="85" t="n"/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97">
        <f>IFERROR(INDEX($J$12:$T$82,MATCH(B27,INDEX($J$12:$T$82,0,$I$3),0),$I$4)*$I$5,IF(ISNUMBER(G27),G27,""))</f>
        <v/>
      </c>
      <c r="E27" s="89">
        <f>IF(OR(D27="",NOT(ISNUMBER(D27))),"",(C27-D27)*100)</f>
        <v/>
      </c>
      <c r="F27" s="93">
        <f>IF(ISNUMBER(IFERROR(INDEX($J$12:$T$82,MATCH(B27,INDEX($J$12:$T$82,0,$I$3),0),$I$4)*$I$5,"")),"BDS live",IF(ISNUMBER(G27),"manual paste","-"))</f>
        <v/>
      </c>
      <c r="G27" s="85" t="n"/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97">
        <f>IFERROR(INDEX($J$12:$T$82,MATCH(B28,INDEX($J$12:$T$82,0,$I$3),0),$I$4)*$I$5,IF(ISNUMBER(G28),G28,""))</f>
        <v/>
      </c>
      <c r="E28" s="89">
        <f>IF(OR(D28="",NOT(ISNUMBER(D28))),"",(C28-D28)*100)</f>
        <v/>
      </c>
      <c r="F28" s="93">
        <f>IF(ISNUMBER(IFERROR(INDEX($J$12:$T$82,MATCH(B28,INDEX($J$12:$T$82,0,$I$3),0),$I$4)*$I$5,"")),"BDS live",IF(ISNUMBER(G28),"manual paste","-"))</f>
        <v/>
      </c>
      <c r="G28" s="85" t="n"/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97">
        <f>IFERROR(INDEX($J$12:$T$82,MATCH(B29,INDEX($J$12:$T$82,0,$I$3),0),$I$4)*$I$5,IF(ISNUMBER(G29),G29,""))</f>
        <v/>
      </c>
      <c r="E29" s="89">
        <f>IF(OR(D29="",NOT(ISNUMBER(D29))),"",(C29-D29)*100)</f>
        <v/>
      </c>
      <c r="F29" s="93">
        <f>IF(ISNUMBER(IFERROR(INDEX($J$12:$T$82,MATCH(B29,INDEX($J$12:$T$82,0,$I$3),0),$I$4)*$I$5,"")),"BDS live",IF(ISNUMBER(G29),"manual paste","-"))</f>
        <v/>
      </c>
      <c r="G29" s="85" t="n"/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97">
        <f>IFERROR(INDEX($J$12:$T$82,MATCH(B30,INDEX($J$12:$T$82,0,$I$3),0),$I$4)*$I$5,IF(ISNUMBER(G30),G30,""))</f>
        <v/>
      </c>
      <c r="E30" s="89">
        <f>IF(OR(D30="",NOT(ISNUMBER(D30))),"",(C30-D30)*100)</f>
        <v/>
      </c>
      <c r="F30" s="93">
        <f>IF(ISNUMBER(IFERROR(INDEX($J$12:$T$82,MATCH(B30,INDEX($J$12:$T$82,0,$I$3),0),$I$4)*$I$5,"")),"BDS live",IF(ISNUMBER(G30),"manual paste","-"))</f>
        <v/>
      </c>
      <c r="G30" s="85" t="n"/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97">
        <f>IFERROR(INDEX($J$12:$T$82,MATCH(B31,INDEX($J$12:$T$82,0,$I$3),0),$I$4)*$I$5,IF(ISNUMBER(G31),G31,""))</f>
        <v/>
      </c>
      <c r="E31" s="89">
        <f>IF(OR(D31="",NOT(ISNUMBER(D31))),"",(C31-D31)*100)</f>
        <v/>
      </c>
      <c r="F31" s="93">
        <f>IF(ISNUMBER(IFERROR(INDEX($J$12:$T$82,MATCH(B31,INDEX($J$12:$T$82,0,$I$3),0),$I$4)*$I$5,"")),"BDS live",IF(ISNUMBER(G31),"manual paste","-"))</f>
        <v/>
      </c>
      <c r="G31" s="85" t="n"/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97">
        <f>IFERROR(INDEX($J$12:$T$82,MATCH(B32,INDEX($J$12:$T$82,0,$I$3),0),$I$4)*$I$5,IF(ISNUMBER(G32),G32,""))</f>
        <v/>
      </c>
      <c r="E32" s="89">
        <f>IF(OR(D32="",NOT(ISNUMBER(D32))),"",(C32-D32)*100)</f>
        <v/>
      </c>
      <c r="F32" s="93">
        <f>IF(ISNUMBER(IFERROR(INDEX($J$12:$T$82,MATCH(B32,INDEX($J$12:$T$82,0,$I$3),0),$I$4)*$I$5,"")),"BDS live",IF(ISNUMBER(G32),"manual paste","-"))</f>
        <v/>
      </c>
      <c r="G32" s="85" t="n"/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97">
        <f>IFERROR(INDEX($J$12:$T$82,MATCH(B33,INDEX($J$12:$T$82,0,$I$3),0),$I$4)*$I$5,IF(ISNUMBER(G33),G33,""))</f>
        <v/>
      </c>
      <c r="E33" s="89">
        <f>IF(OR(D33="",NOT(ISNUMBER(D33))),"",(C33-D33)*100)</f>
        <v/>
      </c>
      <c r="F33" s="93">
        <f>IF(ISNUMBER(IFERROR(INDEX($J$12:$T$82,MATCH(B33,INDEX($J$12:$T$82,0,$I$3),0),$I$4)*$I$5,"")),"BDS live",IF(ISNUMBER(G33),"manual paste","-"))</f>
        <v/>
      </c>
      <c r="G33" s="85" t="n"/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97">
        <f>IFERROR(INDEX($J$12:$T$82,MATCH(B34,INDEX($J$12:$T$82,0,$I$3),0),$I$4)*$I$5,IF(ISNUMBER(G34),G34,""))</f>
        <v/>
      </c>
      <c r="E34" s="89">
        <f>IF(OR(D34="",NOT(ISNUMBER(D34))),"",(C34-D34)*100)</f>
        <v/>
      </c>
      <c r="F34" s="93">
        <f>IF(ISNUMBER(IFERROR(INDEX($J$12:$T$82,MATCH(B34,INDEX($J$12:$T$82,0,$I$3),0),$I$4)*$I$5,"")),"BDS live",IF(ISNUMBER(G34),"manual paste","-"))</f>
        <v/>
      </c>
      <c r="G34" s="85" t="n"/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97">
        <f>IFERROR(INDEX($J$12:$T$82,MATCH(B35,INDEX($J$12:$T$82,0,$I$3),0),$I$4)*$I$5,IF(ISNUMBER(G35),G35,""))</f>
        <v/>
      </c>
      <c r="E35" s="89">
        <f>IF(OR(D35="",NOT(ISNUMBER(D35))),"",(C35-D35)*100)</f>
        <v/>
      </c>
      <c r="F35" s="93">
        <f>IF(ISNUMBER(IFERROR(INDEX($J$12:$T$82,MATCH(B35,INDEX($J$12:$T$82,0,$I$3),0),$I$4)*$I$5,"")),"BDS live",IF(ISNUMBER(G35),"manual paste","-"))</f>
        <v/>
      </c>
      <c r="G35" s="85" t="n"/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97">
        <f>IFERROR(INDEX($J$12:$T$82,MATCH(B36,INDEX($J$12:$T$82,0,$I$3),0),$I$4)*$I$5,IF(ISNUMBER(G36),G36,""))</f>
        <v/>
      </c>
      <c r="E36" s="89">
        <f>IF(OR(D36="",NOT(ISNUMBER(D36))),"",(C36-D36)*100)</f>
        <v/>
      </c>
      <c r="F36" s="93">
        <f>IF(ISNUMBER(IFERROR(INDEX($J$12:$T$82,MATCH(B36,INDEX($J$12:$T$82,0,$I$3),0),$I$4)*$I$5,"")),"BDS live",IF(ISNUMBER(G36),"manual paste","-"))</f>
        <v/>
      </c>
      <c r="G36" s="85" t="n"/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97">
        <f>IFERROR(INDEX($J$12:$T$82,MATCH(B37,INDEX($J$12:$T$82,0,$I$3),0),$I$4)*$I$5,IF(ISNUMBER(G37),G37,""))</f>
        <v/>
      </c>
      <c r="E37" s="89">
        <f>IF(OR(D37="",NOT(ISNUMBER(D37))),"",(C37-D37)*100)</f>
        <v/>
      </c>
      <c r="F37" s="93">
        <f>IF(ISNUMBER(IFERROR(INDEX($J$12:$T$82,MATCH(B37,INDEX($J$12:$T$82,0,$I$3),0),$I$4)*$I$5,"")),"BDS live",IF(ISNUMBER(G37),"manual paste","-"))</f>
        <v/>
      </c>
      <c r="G37" s="85" t="n"/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97">
        <f>IFERROR(INDEX($J$12:$T$82,MATCH(B38,INDEX($J$12:$T$82,0,$I$3),0),$I$4)*$I$5,IF(ISNUMBER(G38),G38,""))</f>
        <v/>
      </c>
      <c r="E38" s="89">
        <f>IF(OR(D38="",NOT(ISNUMBER(D38))),"",(C38-D38)*100)</f>
        <v/>
      </c>
      <c r="F38" s="93">
        <f>IF(ISNUMBER(IFERROR(INDEX($J$12:$T$82,MATCH(B38,INDEX($J$12:$T$82,0,$I$3),0),$I$4)*$I$5,"")),"BDS live",IF(ISNUMBER(G38),"manual paste","-"))</f>
        <v/>
      </c>
      <c r="G38" s="85" t="n"/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97">
        <f>IFERROR(INDEX($J$12:$T$82,MATCH(B39,INDEX($J$12:$T$82,0,$I$3),0),$I$4)*$I$5,IF(ISNUMBER(G39),G39,""))</f>
        <v/>
      </c>
      <c r="E39" s="89">
        <f>IF(OR(D39="",NOT(ISNUMBER(D39))),"",(C39-D39)*100)</f>
        <v/>
      </c>
      <c r="F39" s="93">
        <f>IF(ISNUMBER(IFERROR(INDEX($J$12:$T$82,MATCH(B39,INDEX($J$12:$T$82,0,$I$3),0),$I$4)*$I$5,"")),"BDS live",IF(ISNUMBER(G39),"manual paste","-"))</f>
        <v/>
      </c>
      <c r="G39" s="85" t="n"/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97">
        <f>IFERROR(INDEX($J$12:$T$82,MATCH(B40,INDEX($J$12:$T$82,0,$I$3),0),$I$4)*$I$5,IF(ISNUMBER(G40),G40,""))</f>
        <v/>
      </c>
      <c r="E40" s="89">
        <f>IF(OR(D40="",NOT(ISNUMBER(D40))),"",(C40-D40)*100)</f>
        <v/>
      </c>
      <c r="F40" s="93">
        <f>IF(ISNUMBER(IFERROR(INDEX($J$12:$T$82,MATCH(B40,INDEX($J$12:$T$82,0,$I$3),0),$I$4)*$I$5,"")),"BDS live",IF(ISNUMBER(G40),"manual paste","-"))</f>
        <v/>
      </c>
      <c r="G40" s="85" t="n"/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97">
        <f>IFERROR(INDEX($J$12:$T$82,MATCH(B41,INDEX($J$12:$T$82,0,$I$3),0),$I$4)*$I$5,IF(ISNUMBER(G41),G41,""))</f>
        <v/>
      </c>
      <c r="E41" s="89">
        <f>IF(OR(D41="",NOT(ISNUMBER(D41))),"",(C41-D41)*100)</f>
        <v/>
      </c>
      <c r="F41" s="93">
        <f>IF(ISNUMBER(IFERROR(INDEX($J$12:$T$82,MATCH(B41,INDEX($J$12:$T$82,0,$I$3),0),$I$4)*$I$5,"")),"BDS live",IF(ISNUMBER(G41),"manual paste","-"))</f>
        <v/>
      </c>
      <c r="G41" s="85" t="n"/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97">
        <f>IFERROR(INDEX($J$12:$T$82,MATCH(B42,INDEX($J$12:$T$82,0,$I$3),0),$I$4)*$I$5,IF(ISNUMBER(G42),G42,""))</f>
        <v/>
      </c>
      <c r="E42" s="89">
        <f>IF(OR(D42="",NOT(ISNUMBER(D42))),"",(C42-D42)*100)</f>
        <v/>
      </c>
      <c r="F42" s="93">
        <f>IF(ISNUMBER(IFERROR(INDEX($J$12:$T$82,MATCH(B42,INDEX($J$12:$T$82,0,$I$3),0),$I$4)*$I$5,"")),"BDS live",IF(ISNUMBER(G42),"manual paste","-"))</f>
        <v/>
      </c>
      <c r="G42" s="85" t="n"/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97">
        <f>IFERROR(INDEX($J$12:$T$82,MATCH(B43,INDEX($J$12:$T$82,0,$I$3),0),$I$4)*$I$5,IF(ISNUMBER(G43),G43,""))</f>
        <v/>
      </c>
      <c r="E43" s="89">
        <f>IF(OR(D43="",NOT(ISNUMBER(D43))),"",(C43-D43)*100)</f>
        <v/>
      </c>
      <c r="F43" s="93">
        <f>IF(ISNUMBER(IFERROR(INDEX($J$12:$T$82,MATCH(B43,INDEX($J$12:$T$82,0,$I$3),0),$I$4)*$I$5,"")),"BDS live",IF(ISNUMBER(G43),"manual paste","-"))</f>
        <v/>
      </c>
      <c r="G43" s="85" t="n"/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97">
        <f>IFERROR(INDEX($J$12:$T$82,MATCH(B44,INDEX($J$12:$T$82,0,$I$3),0),$I$4)*$I$5,IF(ISNUMBER(G44),G44,""))</f>
        <v/>
      </c>
      <c r="E44" s="89">
        <f>IF(OR(D44="",NOT(ISNUMBER(D44))),"",(C44-D44)*100)</f>
        <v/>
      </c>
      <c r="F44" s="93">
        <f>IF(ISNUMBER(IFERROR(INDEX($J$12:$T$82,MATCH(B44,INDEX($J$12:$T$82,0,$I$3),0),$I$4)*$I$5,"")),"BDS live",IF(ISNUMBER(G44),"manual paste","-"))</f>
        <v/>
      </c>
      <c r="G44" s="85" t="n"/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97">
        <f>IFERROR(INDEX($J$12:$T$82,MATCH(B45,INDEX($J$12:$T$82,0,$I$3),0),$I$4)*$I$5,IF(ISNUMBER(G45),G45,""))</f>
        <v/>
      </c>
      <c r="E45" s="89">
        <f>IF(OR(D45="",NOT(ISNUMBER(D45))),"",(C45-D45)*100)</f>
        <v/>
      </c>
      <c r="F45" s="93">
        <f>IF(ISNUMBER(IFERROR(INDEX($J$12:$T$82,MATCH(B45,INDEX($J$12:$T$82,0,$I$3),0),$I$4)*$I$5,"")),"BDS live",IF(ISNUMBER(G45),"manual paste","-"))</f>
        <v/>
      </c>
      <c r="G45" s="85" t="n"/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97">
        <f>IFERROR(INDEX($J$12:$T$82,MATCH(B46,INDEX($J$12:$T$82,0,$I$3),0),$I$4)*$I$5,IF(ISNUMBER(G46),G46,""))</f>
        <v/>
      </c>
      <c r="E46" s="89">
        <f>IF(OR(D46="",NOT(ISNUMBER(D46))),"",(C46-D46)*100)</f>
        <v/>
      </c>
      <c r="F46" s="93">
        <f>IF(ISNUMBER(IFERROR(INDEX($J$12:$T$82,MATCH(B46,INDEX($J$12:$T$82,0,$I$3),0),$I$4)*$I$5,"")),"BDS live",IF(ISNUMBER(G46),"manual paste","-"))</f>
        <v/>
      </c>
      <c r="G46" s="85" t="n"/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97">
        <f>IFERROR(INDEX($J$12:$T$82,MATCH(B47,INDEX($J$12:$T$82,0,$I$3),0),$I$4)*$I$5,IF(ISNUMBER(G47),G47,""))</f>
        <v/>
      </c>
      <c r="E47" s="89">
        <f>IF(OR(D47="",NOT(ISNUMBER(D47))),"",(C47-D47)*100)</f>
        <v/>
      </c>
      <c r="F47" s="93">
        <f>IF(ISNUMBER(IFERROR(INDEX($J$12:$T$82,MATCH(B47,INDEX($J$12:$T$82,0,$I$3),0),$I$4)*$I$5,"")),"BDS live",IF(ISNUMBER(G47),"manual paste","-"))</f>
        <v/>
      </c>
      <c r="G47" s="85" t="n"/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97">
        <f>IFERROR(INDEX($J$12:$T$82,MATCH(B48,INDEX($J$12:$T$82,0,$I$3),0),$I$4)*$I$5,IF(ISNUMBER(G48),G48,""))</f>
        <v/>
      </c>
      <c r="E48" s="89">
        <f>IF(OR(D48="",NOT(ISNUMBER(D48))),"",(C48-D48)*100)</f>
        <v/>
      </c>
      <c r="F48" s="93">
        <f>IF(ISNUMBER(IFERROR(INDEX($J$12:$T$82,MATCH(B48,INDEX($J$12:$T$82,0,$I$3),0),$I$4)*$I$5,"")),"BDS live",IF(ISNUMBER(G48),"manual paste","-"))</f>
        <v/>
      </c>
      <c r="G48" s="85" t="n"/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97">
        <f>IFERROR(INDEX($J$12:$T$82,MATCH(B49,INDEX($J$12:$T$82,0,$I$3),0),$I$4)*$I$5,IF(ISNUMBER(G49),G49,""))</f>
        <v/>
      </c>
      <c r="E49" s="89">
        <f>IF(OR(D49="",NOT(ISNUMBER(D49))),"",(C49-D49)*100)</f>
        <v/>
      </c>
      <c r="F49" s="93">
        <f>IF(ISNUMBER(IFERROR(INDEX($J$12:$T$82,MATCH(B49,INDEX($J$12:$T$82,0,$I$3),0),$I$4)*$I$5,"")),"BDS live",IF(ISNUMBER(G49),"manual paste","-"))</f>
        <v/>
      </c>
      <c r="G49" s="85" t="n"/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97">
        <f>IFERROR(INDEX($J$12:$T$82,MATCH(B50,INDEX($J$12:$T$82,0,$I$3),0),$I$4)*$I$5,IF(ISNUMBER(G50),G50,""))</f>
        <v/>
      </c>
      <c r="E50" s="89">
        <f>IF(OR(D50="",NOT(ISNUMBER(D50))),"",(C50-D50)*100)</f>
        <v/>
      </c>
      <c r="F50" s="93">
        <f>IF(ISNUMBER(IFERROR(INDEX($J$12:$T$82,MATCH(B50,INDEX($J$12:$T$82,0,$I$3),0),$I$4)*$I$5,"")),"BDS live",IF(ISNUMBER(G50),"manual paste","-"))</f>
        <v/>
      </c>
      <c r="G50" s="85" t="n"/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97">
        <f>IFERROR(INDEX($J$12:$T$82,MATCH(B51,INDEX($J$12:$T$82,0,$I$3),0),$I$4)*$I$5,IF(ISNUMBER(G51),G51,""))</f>
        <v/>
      </c>
      <c r="E51" s="89">
        <f>IF(OR(D51="",NOT(ISNUMBER(D51))),"",(C51-D51)*100)</f>
        <v/>
      </c>
      <c r="F51" s="93">
        <f>IF(ISNUMBER(IFERROR(INDEX($J$12:$T$82,MATCH(B51,INDEX($J$12:$T$82,0,$I$3),0),$I$4)*$I$5,"")),"BDS live",IF(ISNUMBER(G51),"manual paste","-"))</f>
        <v/>
      </c>
      <c r="G51" s="85" t="n"/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97">
        <f>IFERROR(INDEX($J$12:$T$82,MATCH(B52,INDEX($J$12:$T$82,0,$I$3),0),$I$4)*$I$5,IF(ISNUMBER(G52),G52,""))</f>
        <v/>
      </c>
      <c r="E52" s="89">
        <f>IF(OR(D52="",NOT(ISNUMBER(D52))),"",(C52-D52)*100)</f>
        <v/>
      </c>
      <c r="F52" s="93">
        <f>IF(ISNUMBER(IFERROR(INDEX($J$12:$T$82,MATCH(B52,INDEX($J$12:$T$82,0,$I$3),0),$I$4)*$I$5,"")),"BDS live",IF(ISNUMBER(G52),"manual paste","-"))</f>
        <v/>
      </c>
      <c r="G52" s="85" t="n"/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97">
        <f>IFERROR(INDEX($J$12:$T$82,MATCH(B53,INDEX($J$12:$T$82,0,$I$3),0),$I$4)*$I$5,IF(ISNUMBER(G53),G53,""))</f>
        <v/>
      </c>
      <c r="E53" s="89">
        <f>IF(OR(D53="",NOT(ISNUMBER(D53))),"",(C53-D53)*100)</f>
        <v/>
      </c>
      <c r="F53" s="93">
        <f>IF(ISNUMBER(IFERROR(INDEX($J$12:$T$82,MATCH(B53,INDEX($J$12:$T$82,0,$I$3),0),$I$4)*$I$5,"")),"BDS live",IF(ISNUMBER(G53),"manual paste","-"))</f>
        <v/>
      </c>
      <c r="G53" s="85" t="n"/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97">
        <f>IFERROR(INDEX($J$12:$T$82,MATCH(B54,INDEX($J$12:$T$82,0,$I$3),0),$I$4)*$I$5,IF(ISNUMBER(G54),G54,""))</f>
        <v/>
      </c>
      <c r="E54" s="89">
        <f>IF(OR(D54="",NOT(ISNUMBER(D54))),"",(C54-D54)*100)</f>
        <v/>
      </c>
      <c r="F54" s="93">
        <f>IF(ISNUMBER(IFERROR(INDEX($J$12:$T$82,MATCH(B54,INDEX($J$12:$T$82,0,$I$3),0),$I$4)*$I$5,"")),"BDS live",IF(ISNUMBER(G54),"manual paste","-"))</f>
        <v/>
      </c>
      <c r="G54" s="85" t="n"/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97">
        <f>IFERROR(INDEX($J$12:$T$82,MATCH(B55,INDEX($J$12:$T$82,0,$I$3),0),$I$4)*$I$5,IF(ISNUMBER(G55),G55,""))</f>
        <v/>
      </c>
      <c r="E55" s="89">
        <f>IF(OR(D55="",NOT(ISNUMBER(D55))),"",(C55-D55)*100)</f>
        <v/>
      </c>
      <c r="F55" s="93">
        <f>IF(ISNUMBER(IFERROR(INDEX($J$12:$T$82,MATCH(B55,INDEX($J$12:$T$82,0,$I$3),0),$I$4)*$I$5,"")),"BDS live",IF(ISNUMBER(G55),"manual paste","-"))</f>
        <v/>
      </c>
      <c r="G55" s="85" t="n"/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97">
        <f>IFERROR(INDEX($J$12:$T$82,MATCH(B56,INDEX($J$12:$T$82,0,$I$3),0),$I$4)*$I$5,IF(ISNUMBER(G56),G56,""))</f>
        <v/>
      </c>
      <c r="E56" s="89">
        <f>IF(OR(D56="",NOT(ISNUMBER(D56))),"",(C56-D56)*100)</f>
        <v/>
      </c>
      <c r="F56" s="93">
        <f>IF(ISNUMBER(IFERROR(INDEX($J$12:$T$82,MATCH(B56,INDEX($J$12:$T$82,0,$I$3),0),$I$4)*$I$5,"")),"BDS live",IF(ISNUMBER(G56),"manual paste","-"))</f>
        <v/>
      </c>
      <c r="G56" s="85" t="n"/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97">
        <f>IFERROR(INDEX($J$12:$T$82,MATCH(B57,INDEX($J$12:$T$82,0,$I$3),0),$I$4)*$I$5,IF(ISNUMBER(G57),G57,""))</f>
        <v/>
      </c>
      <c r="E57" s="89">
        <f>IF(OR(D57="",NOT(ISNUMBER(D57))),"",(C57-D57)*100)</f>
        <v/>
      </c>
      <c r="F57" s="93">
        <f>IF(ISNUMBER(IFERROR(INDEX($J$12:$T$82,MATCH(B57,INDEX($J$12:$T$82,0,$I$3),0),$I$4)*$I$5,"")),"BDS live",IF(ISNUMBER(G57),"manual paste","-"))</f>
        <v/>
      </c>
      <c r="G57" s="85" t="n"/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97">
        <f>IFERROR(INDEX($J$12:$T$82,MATCH(B58,INDEX($J$12:$T$82,0,$I$3),0),$I$4)*$I$5,IF(ISNUMBER(G58),G58,""))</f>
        <v/>
      </c>
      <c r="E58" s="89">
        <f>IF(OR(D58="",NOT(ISNUMBER(D58))),"",(C58-D58)*100)</f>
        <v/>
      </c>
      <c r="F58" s="93">
        <f>IF(ISNUMBER(IFERROR(INDEX($J$12:$T$82,MATCH(B58,INDEX($J$12:$T$82,0,$I$3),0),$I$4)*$I$5,"")),"BDS live",IF(ISNUMBER(G58),"manual paste","-"))</f>
        <v/>
      </c>
      <c r="G58" s="85" t="n"/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97">
        <f>IFERROR(INDEX($J$12:$T$82,MATCH(B59,INDEX($J$12:$T$82,0,$I$3),0),$I$4)*$I$5,IF(ISNUMBER(G59),G59,""))</f>
        <v/>
      </c>
      <c r="E59" s="89">
        <f>IF(OR(D59="",NOT(ISNUMBER(D59))),"",(C59-D59)*100)</f>
        <v/>
      </c>
      <c r="F59" s="93">
        <f>IF(ISNUMBER(IFERROR(INDEX($J$12:$T$82,MATCH(B59,INDEX($J$12:$T$82,0,$I$3),0),$I$4)*$I$5,"")),"BDS live",IF(ISNUMBER(G59),"manual paste","-"))</f>
        <v/>
      </c>
      <c r="G59" s="85" t="n"/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97">
        <f>IFERROR(INDEX($J$12:$T$82,MATCH(B60,INDEX($J$12:$T$82,0,$I$3),0),$I$4)*$I$5,IF(ISNUMBER(G60),G60,""))</f>
        <v/>
      </c>
      <c r="E60" s="89">
        <f>IF(OR(D60="",NOT(ISNUMBER(D60))),"",(C60-D60)*100)</f>
        <v/>
      </c>
      <c r="F60" s="93">
        <f>IF(ISNUMBER(IFERROR(INDEX($J$12:$T$82,MATCH(B60,INDEX($J$12:$T$82,0,$I$3),0),$I$4)*$I$5,"")),"BDS live",IF(ISNUMBER(G60),"manual paste","-"))</f>
        <v/>
      </c>
      <c r="G60" s="85" t="n"/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97">
        <f>IFERROR(INDEX($J$12:$T$82,MATCH(B61,INDEX($J$12:$T$82,0,$I$3),0),$I$4)*$I$5,IF(ISNUMBER(G61),G61,""))</f>
        <v/>
      </c>
      <c r="E61" s="89">
        <f>IF(OR(D61="",NOT(ISNUMBER(D61))),"",(C61-D61)*100)</f>
        <v/>
      </c>
      <c r="F61" s="93">
        <f>IF(ISNUMBER(IFERROR(INDEX($J$12:$T$82,MATCH(B61,INDEX($J$12:$T$82,0,$I$3),0),$I$4)*$I$5,"")),"BDS live",IF(ISNUMBER(G61),"manual paste","-"))</f>
        <v/>
      </c>
      <c r="G61" s="85" t="n"/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97">
        <f>IFERROR(INDEX($J$12:$T$82,MATCH(B62,INDEX($J$12:$T$82,0,$I$3),0),$I$4)*$I$5,IF(ISNUMBER(G62),G62,""))</f>
        <v/>
      </c>
      <c r="E62" s="89">
        <f>IF(OR(D62="",NOT(ISNUMBER(D62))),"",(C62-D62)*100)</f>
        <v/>
      </c>
      <c r="F62" s="93">
        <f>IF(ISNUMBER(IFERROR(INDEX($J$12:$T$82,MATCH(B62,INDEX($J$12:$T$82,0,$I$3),0),$I$4)*$I$5,"")),"BDS live",IF(ISNUMBER(G62),"manual paste","-"))</f>
        <v/>
      </c>
      <c r="G62" s="85" t="n"/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97">
        <f>IFERROR(INDEX($J$12:$T$82,MATCH(B63,INDEX($J$12:$T$82,0,$I$3),0),$I$4)*$I$5,IF(ISNUMBER(G63),G63,""))</f>
        <v/>
      </c>
      <c r="E63" s="89">
        <f>IF(OR(D63="",NOT(ISNUMBER(D63))),"",(C63-D63)*100)</f>
        <v/>
      </c>
      <c r="F63" s="93">
        <f>IF(ISNUMBER(IFERROR(INDEX($J$12:$T$82,MATCH(B63,INDEX($J$12:$T$82,0,$I$3),0),$I$4)*$I$5,"")),"BDS live",IF(ISNUMBER(G63),"manual paste","-"))</f>
        <v/>
      </c>
      <c r="G63" s="85" t="n"/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97">
        <f>IFERROR(INDEX($J$12:$T$82,MATCH(B64,INDEX($J$12:$T$82,0,$I$3),0),$I$4)*$I$5,IF(ISNUMBER(G64),G64,""))</f>
        <v/>
      </c>
      <c r="E64" s="89">
        <f>IF(OR(D64="",NOT(ISNUMBER(D64))),"",(C64-D64)*100)</f>
        <v/>
      </c>
      <c r="F64" s="93">
        <f>IF(ISNUMBER(IFERROR(INDEX($J$12:$T$82,MATCH(B64,INDEX($J$12:$T$82,0,$I$3),0),$I$4)*$I$5,"")),"BDS live",IF(ISNUMBER(G64),"manual paste","-"))</f>
        <v/>
      </c>
      <c r="G64" s="85" t="n"/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97">
        <f>IFERROR(INDEX($J$12:$T$82,MATCH(B65,INDEX($J$12:$T$82,0,$I$3),0),$I$4)*$I$5,IF(ISNUMBER(G65),G65,""))</f>
        <v/>
      </c>
      <c r="E65" s="89">
        <f>IF(OR(D65="",NOT(ISNUMBER(D65))),"",(C65-D65)*100)</f>
        <v/>
      </c>
      <c r="F65" s="93">
        <f>IF(ISNUMBER(IFERROR(INDEX($J$12:$T$82,MATCH(B65,INDEX($J$12:$T$82,0,$I$3),0),$I$4)*$I$5,"")),"BDS live",IF(ISNUMBER(G65),"manual paste","-"))</f>
        <v/>
      </c>
      <c r="G65" s="85" t="n"/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97">
        <f>IFERROR(INDEX($J$12:$T$82,MATCH(B66,INDEX($J$12:$T$82,0,$I$3),0),$I$4)*$I$5,IF(ISNUMBER(G66),G66,""))</f>
        <v/>
      </c>
      <c r="E66" s="89">
        <f>IF(OR(D66="",NOT(ISNUMBER(D66))),"",(C66-D66)*100)</f>
        <v/>
      </c>
      <c r="F66" s="93">
        <f>IF(ISNUMBER(IFERROR(INDEX($J$12:$T$82,MATCH(B66,INDEX($J$12:$T$82,0,$I$3),0),$I$4)*$I$5,"")),"BDS live",IF(ISNUMBER(G66),"manual paste","-"))</f>
        <v/>
      </c>
      <c r="G66" s="85" t="n"/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97">
        <f>IFERROR(INDEX($J$12:$T$82,MATCH(B67,INDEX($J$12:$T$82,0,$I$3),0),$I$4)*$I$5,IF(ISNUMBER(G67),G67,""))</f>
        <v/>
      </c>
      <c r="E67" s="89">
        <f>IF(OR(D67="",NOT(ISNUMBER(D67))),"",(C67-D67)*100)</f>
        <v/>
      </c>
      <c r="F67" s="93">
        <f>IF(ISNUMBER(IFERROR(INDEX($J$12:$T$82,MATCH(B67,INDEX($J$12:$T$82,0,$I$3),0),$I$4)*$I$5,"")),"BDS live",IF(ISNUMBER(G67),"manual paste","-"))</f>
        <v/>
      </c>
      <c r="G67" s="85" t="n"/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97">
        <f>IFERROR(INDEX($J$12:$T$82,MATCH(B68,INDEX($J$12:$T$82,0,$I$3),0),$I$4)*$I$5,IF(ISNUMBER(G68),G68,""))</f>
        <v/>
      </c>
      <c r="E68" s="89">
        <f>IF(OR(D68="",NOT(ISNUMBER(D68))),"",(C68-D68)*100)</f>
        <v/>
      </c>
      <c r="F68" s="93">
        <f>IF(ISNUMBER(IFERROR(INDEX($J$12:$T$82,MATCH(B68,INDEX($J$12:$T$82,0,$I$3),0),$I$4)*$I$5,"")),"BDS live",IF(ISNUMBER(G68),"manual paste","-"))</f>
        <v/>
      </c>
      <c r="G68" s="85" t="n"/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97">
        <f>IFERROR(INDEX($J$12:$T$82,MATCH(B69,INDEX($J$12:$T$82,0,$I$3),0),$I$4)*$I$5,IF(ISNUMBER(G69),G69,""))</f>
        <v/>
      </c>
      <c r="E69" s="89">
        <f>IF(OR(D69="",NOT(ISNUMBER(D69))),"",(C69-D69)*100)</f>
        <v/>
      </c>
      <c r="F69" s="93">
        <f>IF(ISNUMBER(IFERROR(INDEX($J$12:$T$82,MATCH(B69,INDEX($J$12:$T$82,0,$I$3),0),$I$4)*$I$5,"")),"BDS live",IF(ISNUMBER(G69),"manual paste","-"))</f>
        <v/>
      </c>
      <c r="G69" s="85" t="n"/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97">
        <f>IFERROR(INDEX($J$12:$T$82,MATCH(B70,INDEX($J$12:$T$82,0,$I$3),0),$I$4)*$I$5,IF(ISNUMBER(G70),G70,""))</f>
        <v/>
      </c>
      <c r="E70" s="89">
        <f>IF(OR(D70="",NOT(ISNUMBER(D70))),"",(C70-D70)*100)</f>
        <v/>
      </c>
      <c r="F70" s="93">
        <f>IF(ISNUMBER(IFERROR(INDEX($J$12:$T$82,MATCH(B70,INDEX($J$12:$T$82,0,$I$3),0),$I$4)*$I$5,"")),"BDS live",IF(ISNUMBER(G70),"manual paste","-"))</f>
        <v/>
      </c>
      <c r="G70" s="85" t="n"/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97">
        <f>IFERROR(INDEX($J$12:$T$82,MATCH(B71,INDEX($J$12:$T$82,0,$I$3),0),$I$4)*$I$5,IF(ISNUMBER(G71),G71,""))</f>
        <v/>
      </c>
      <c r="E71" s="89">
        <f>IF(OR(D71="",NOT(ISNUMBER(D71))),"",(C71-D71)*100)</f>
        <v/>
      </c>
      <c r="F71" s="93">
        <f>IF(ISNUMBER(IFERROR(INDEX($J$12:$T$82,MATCH(B71,INDEX($J$12:$T$82,0,$I$3),0),$I$4)*$I$5,"")),"BDS live",IF(ISNUMBER(G71),"manual paste","-"))</f>
        <v/>
      </c>
      <c r="G71" s="85" t="n"/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97">
        <f>IFERROR(INDEX($J$12:$T$82,MATCH(B72,INDEX($J$12:$T$82,0,$I$3),0),$I$4)*$I$5,IF(ISNUMBER(G72),G72,""))</f>
        <v/>
      </c>
      <c r="E72" s="89">
        <f>IF(OR(D72="",NOT(ISNUMBER(D72))),"",(C72-D72)*100)</f>
        <v/>
      </c>
      <c r="F72" s="93">
        <f>IF(ISNUMBER(IFERROR(INDEX($J$12:$T$82,MATCH(B72,INDEX($J$12:$T$82,0,$I$3),0),$I$4)*$I$5,"")),"BDS live",IF(ISNUMBER(G72),"manual paste","-"))</f>
        <v/>
      </c>
      <c r="G72" s="85" t="n"/>
    </row>
    <row r="74">
      <c r="A74" s="67" t="inlineStr">
        <is>
          <t>Pillars matched to the dump</t>
        </is>
      </c>
      <c r="C74" s="87">
        <f>COUNTIF(F8:F72,"BDS live")&amp;" / "&amp;COUNTA(B8:B72)&amp;"  (only ~32 of the 65 rows are quoted Bloomberg pillars; interpolated gap rows will not match)"</f>
        <v/>
      </c>
    </row>
    <row r="75">
      <c r="A75" s="67" t="inlineStr">
        <is>
          <t>Max |Δz| over matched pillars (bp)</t>
        </is>
      </c>
      <c r="C75" s="90">
        <f>IFERROR(MAX(ABS(IF(ISNUMBER(E8:E72),E8:E72))),"")</f>
        <v/>
      </c>
      <c r="D75" s="65" t="inlineStr">
        <is>
          <t>Array formula — Ctrl+Shift+Enter in older Excel.</t>
        </is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Dropdown. "Bootstrap from CDS curve" fits the term structure to CDS_Quotes; "Flat hazard rate"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intensity, used at every tenor when B17 = Flat hazard rate.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 Any Bloomberg identifier whose CDS curve you want (equity ticker, or the entity itself).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1">
    <dataValidation sqref="B17" showDropDown="0" showInputMessage="0" showErrorMessage="0" allowBlank="0" type="list">
      <formula1>"Bootstrap from CDS curve,Flat hazard rate"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65" t="inlineStr">
        <is>
          <t>Single-name CDS par spreads. Step 1 (col D) resolves each tenor's CDS ticker from the entity ticker in CDS_Parameters!B19; step 2 (col F) quotes it. Manual spreads in col E are used only when BDP fails.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92" t="inlineStr">
        <is>
          <t>CDS ticker (step 1, live)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  <c r="H6" s="62" t="inlineStr">
        <is>
          <t>Quote source in use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55" t="n">
        <v>40</v>
      </c>
      <c r="F7" s="63">
        <f>IFERROR(BDP(D7&amp;" BEST Curncy","PX_MID")+0,IFERROR(BDP(D7,"PX_LAST")+0,E7))</f>
        <v/>
      </c>
      <c r="G7" s="52">
        <f>(F7/10000)/(1-CDS_Parameters!$B$8)</f>
        <v/>
      </c>
      <c r="H7" s="93">
        <f>IF(ISNUMBER(IFERROR(BDP(D7&amp;" BEST Curncy","PX_MID")+0,"")),"BDP live","MANUAL (demo)")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55" t="n">
        <v>55</v>
      </c>
      <c r="F8" s="63">
        <f>IFERROR(BDP(D8&amp;" BEST Curncy","PX_MID")+0,IFERROR(BDP(D8,"PX_LAST")+0,E8))</f>
        <v/>
      </c>
      <c r="G8" s="52">
        <f>(F8/10000)/(1-CDS_Parameters!$B$8)</f>
        <v/>
      </c>
      <c r="H8" s="93">
        <f>IF(ISNUMBER(IFERROR(BDP(D8&amp;" BEST Curncy","PX_MID")+0,"")),"BDP live","MANUAL (demo)")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55" t="n">
        <v>70</v>
      </c>
      <c r="F9" s="63">
        <f>IFERROR(BDP(D9&amp;" BEST Curncy","PX_MID")+0,IFERROR(BDP(D9,"PX_LAST")+0,E9))</f>
        <v/>
      </c>
      <c r="G9" s="52">
        <f>(F9/10000)/(1-CDS_Parameters!$B$8)</f>
        <v/>
      </c>
      <c r="H9" s="93">
        <f>IF(ISNUMBER(IFERROR(BDP(D9&amp;" BEST Curncy","PX_MID")+0,"")),"BDP live","MANUAL (demo)")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55" t="n">
        <v>95</v>
      </c>
      <c r="F10" s="63">
        <f>IFERROR(BDP(D10&amp;" BEST Curncy","PX_MID")+0,IFERROR(BDP(D10,"PX_LAST")+0,E10))</f>
        <v/>
      </c>
      <c r="G10" s="52">
        <f>(F10/10000)/(1-CDS_Parameters!$B$8)</f>
        <v/>
      </c>
      <c r="H10" s="93">
        <f>IF(ISNUMBER(IFERROR(BDP(D10&amp;" BEST Curncy","PX_MID")+0,"")),"BDP live","MANUAL (demo)")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55" t="n">
        <v>115</v>
      </c>
      <c r="F11" s="63">
        <f>IFERROR(BDP(D11&amp;" BEST Curncy","PX_MID")+0,IFERROR(BDP(D11,"PX_LAST")+0,E11))</f>
        <v/>
      </c>
      <c r="G11" s="52">
        <f>(F11/10000)/(1-CDS_Parameters!$B$8)</f>
        <v/>
      </c>
      <c r="H11" s="93">
        <f>IF(ISNUMBER(IFERROR(BDP(D11&amp;" BEST Curncy","PX_MID")+0,"")),"BDP live","MANUAL (demo)")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55" t="n">
        <v>135</v>
      </c>
      <c r="F12" s="63">
        <f>IFERROR(BDP(D12&amp;" BEST Curncy","PX_MID")+0,IFERROR(BDP(D12,"PX_LAST")+0,E12))</f>
        <v/>
      </c>
      <c r="G12" s="52">
        <f>(F12/10000)/(1-CDS_Parameters!$B$8)</f>
        <v/>
      </c>
      <c r="H12" s="93">
        <f>IF(ISNUMBER(IFERROR(BDP(D12&amp;" BEST Curncy","PX_MID")+0,"")),"BDP live","MANUAL (demo)")</f>
        <v/>
      </c>
    </row>
    <row r="14">
      <c r="A14" s="66" t="inlineStr">
        <is>
          <t>WARNING: the manual spreads in column E (40/55/70/95/115/135) are DEMO PLACEHOLDERS, not market data — unlike the SOFR OIS quotes, which are the real 07/21/26 S490 levels. Column H tells you which source each tenor is actually using. Replace column E, or connect a terminal, before trusting any CDS output.</t>
        </is>
      </c>
    </row>
  </sheetData>
  <mergeCells count="1">
    <mergeCell ref="A4:G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65" t="inlineStr">
        <is>
          <t>Piecewise-constant hazard curve. Column D is solved live by Hazard_Solver (bisection) — no Goal Seek needed. Set CDS_Parameters!B17 to switch to a flat hazard rate.</t>
        </is>
      </c>
    </row>
    <row r="4" ht="40" customHeight="1">
      <c r="A4" s="70" t="inlineStr">
        <is>
          <t>Bootstrap maturity by maturity: hold earlier hazards fixed, solve the current segment so model spread = market. Column D now reads the in-cell bisection on Hazard_Solver, so column J (repricing error) is ~0 automatically and stays there when inputs change.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  <c r="L6" s="67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</row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565C0"/>
    <outlinePr summaryBelow="1" summaryRight="1"/>
    <pageSetUpPr/>
  </sheetPr>
  <dimension ref="A1:T261"/>
  <sheetViews>
    <sheetView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bisection, in cells. Replaces the Goal Seek step: Hazard_Bootstrap fits exactly and updates live when spreads, recovery or the SOFR curve move.</t>
        </is>
      </c>
    </row>
    <row r="3">
      <c r="A3" s="65" t="inlineStr">
        <is>
          <t>Reads only the hazard-INDEPENDENT columns of CDS_Schedule (D alpha, E dt, G DF_end, H DF_mid), so there is no circular reference. Same leg conventions as CDS_Schedule M/N/O.</t>
        </is>
      </c>
    </row>
    <row r="4">
      <c r="A4" s="65" t="inlineStr">
        <is>
          <t>Bracket [0, 3], 30 bisection steps -&gt; resolution ~3e-9.</t>
        </is>
      </c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(1-$F$7)*($D$8+R16)-$D$7*($F$8+S16)</f>
        <v/>
      </c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(1-$F$7)*($D$8+R17)-$D$7*($F$8+S17)</f>
        <v/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(1-$F$7)*($D$8+R18)-$D$7*($F$8+S18)</f>
        <v/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(1-$F$7)*($D$8+R19)-$D$7*($F$8+S19)</f>
        <v/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(1-$F$7)*($D$8+R20)-$D$7*($F$8+S20)</f>
        <v/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(1-$F$7)*($D$8+R21)-$D$7*($F$8+S21)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(1-$F$7)*($D$8+R22)-$D$7*($F$8+S22)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(1-$F$7)*($D$8+R23)-$D$7*($F$8+S23)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(1-$F$7)*($D$8+R24)-$D$7*($F$8+S24)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(1-$F$7)*($D$8+R25)-$D$7*($F$8+S25)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(1-$F$7)*($D$8+R26)-$D$7*($F$8+S26)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(1-$F$7)*($D$8+R27)-$D$7*($F$8+S27)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(1-$F$7)*($D$8+R28)-$D$7*($F$8+S28)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(1-$F$7)*($D$8+R29)-$D$7*($F$8+S29)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(1-$F$7)*($D$8+R30)-$D$7*($F$8+S30)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(1-$F$7)*($D$8+R31)-$D$7*($F$8+S31)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(1-$F$7)*($D$8+R32)-$D$7*($F$8+S32)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(1-$F$7)*($D$8+R33)-$D$7*($F$8+S33)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(1-$F$7)*($D$8+R34)-$D$7*($F$8+S34)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(1-$F$7)*($D$8+R35)-$D$7*($F$8+S35)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(1-$F$7)*($D$8+R36)-$D$7*($F$8+S36)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(1-$F$7)*($D$8+R37)-$D$7*($F$8+S37)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(1-$F$7)*($D$8+R38)-$D$7*($F$8+S38)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(1-$F$7)*($D$8+R39)-$D$7*($F$8+S39)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(1-$F$7)*($D$8+R40)-$D$7*($F$8+S40)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(1-$F$7)*($D$8+R41)-$D$7*($F$8+S41)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(1-$F$7)*($D$8+R42)-$D$7*($F$8+S42)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(1-$F$7)*($D$8+R43)-$D$7*($F$8+S43)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(1-$F$7)*($D$8+R44)-$D$7*($F$8+S44)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(1-$F$7)*($D$8+R45)-$D$7*($F$8+S45)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(1-$F$50)*($D$51+R59)-$D$50*($F$51+S59)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(1-$F$50)*($D$51+R60)-$D$50*($F$51+S60)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(1-$F$50)*($D$51+R61)-$D$50*($F$51+S61)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(1-$F$50)*($D$51+R62)-$D$50*($F$51+S62)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(1-$F$50)*($D$51+R63)-$D$50*($F$51+S63)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(1-$F$50)*($D$51+R64)-$D$50*($F$51+S64)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(1-$F$50)*($D$51+R65)-$D$50*($F$51+S65)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(1-$F$50)*($D$51+R66)-$D$50*($F$51+S66)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(1-$F$50)*($D$51+R67)-$D$50*($F$51+S67)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(1-$F$50)*($D$51+R68)-$D$50*($F$51+S68)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(1-$F$50)*($D$51+R69)-$D$50*($F$51+S69)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(1-$F$50)*($D$51+R70)-$D$50*($F$51+S70)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(1-$F$50)*($D$51+R71)-$D$50*($F$51+S71)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(1-$F$50)*($D$51+R72)-$D$50*($F$51+S72)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(1-$F$50)*($D$51+R73)-$D$50*($F$51+S73)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(1-$F$50)*($D$51+R74)-$D$50*($F$51+S74)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(1-$F$50)*($D$51+R75)-$D$50*($F$51+S75)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(1-$F$50)*($D$51+R76)-$D$50*($F$51+S76)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(1-$F$50)*($D$51+R77)-$D$50*($F$51+S77)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(1-$F$50)*($D$51+R78)-$D$50*($F$51+S78)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(1-$F$50)*($D$51+R79)-$D$50*($F$51+S79)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(1-$F$50)*($D$51+R80)-$D$50*($F$51+S80)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(1-$F$50)*($D$51+R81)-$D$50*($F$51+S81)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(1-$F$50)*($D$51+R82)-$D$50*($F$51+S82)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(1-$F$50)*($D$51+R83)-$D$50*($F$51+S83)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(1-$F$50)*($D$51+R84)-$D$50*($F$51+S84)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(1-$F$50)*($D$51+R85)-$D$50*($F$51+S85)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(1-$F$50)*($D$51+R86)-$D$50*($F$51+S86)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(1-$F$50)*($D$51+R87)-$D$50*($F$51+S87)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(1-$F$50)*($D$51+R88)-$D$50*($F$51+S88)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(1-$F$93)*($D$94+R102)-$D$93*($F$94+S102)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(1-$F$93)*($D$94+R103)-$D$93*($F$94+S103)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(1-$F$93)*($D$94+R104)-$D$93*($F$94+S104)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(1-$F$93)*($D$94+R105)-$D$93*($F$94+S105)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(1-$F$93)*($D$94+R106)-$D$93*($F$94+S106)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(1-$F$93)*($D$94+R107)-$D$93*($F$94+S107)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(1-$F$93)*($D$94+R108)-$D$93*($F$94+S108)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(1-$F$93)*($D$94+R109)-$D$93*($F$94+S109)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(1-$F$93)*($D$94+R110)-$D$93*($F$94+S110)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(1-$F$93)*($D$94+R111)-$D$93*($F$94+S111)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(1-$F$93)*($D$94+R112)-$D$93*($F$94+S112)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(1-$F$93)*($D$94+R113)-$D$93*($F$94+S113)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(1-$F$93)*($D$94+R114)-$D$93*($F$94+S114)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(1-$F$93)*($D$94+R115)-$D$93*($F$94+S115)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(1-$F$93)*($D$94+R116)-$D$93*($F$94+S116)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(1-$F$93)*($D$94+R117)-$D$93*($F$94+S117)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(1-$F$93)*($D$94+R118)-$D$93*($F$94+S118)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(1-$F$93)*($D$94+R119)-$D$93*($F$94+S119)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(1-$F$93)*($D$94+R120)-$D$93*($F$94+S120)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(1-$F$93)*($D$94+R121)-$D$93*($F$94+S121)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(1-$F$93)*($D$94+R122)-$D$93*($F$94+S122)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(1-$F$93)*($D$94+R123)-$D$93*($F$94+S123)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(1-$F$93)*($D$94+R124)-$D$93*($F$94+S124)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(1-$F$93)*($D$94+R125)-$D$93*($F$94+S125)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(1-$F$93)*($D$94+R126)-$D$93*($F$94+S126)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(1-$F$93)*($D$94+R127)-$D$93*($F$94+S127)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(1-$F$93)*($D$94+R128)-$D$93*($F$94+S128)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(1-$F$93)*($D$94+R129)-$D$93*($F$94+S129)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(1-$F$93)*($D$94+R130)-$D$93*($F$94+S130)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(1-$F$93)*($D$94+R131)-$D$93*($F$94+S131)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(1-$F$136)*($D$137+R145)-$D$136*($F$137+S145)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(1-$F$136)*($D$137+R146)-$D$136*($F$137+S146)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(1-$F$136)*($D$137+R147)-$D$136*($F$137+S147)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(1-$F$136)*($D$137+R148)-$D$136*($F$137+S148)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(1-$F$136)*($D$137+R149)-$D$136*($F$137+S149)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(1-$F$136)*($D$137+R150)-$D$136*($F$137+S150)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(1-$F$136)*($D$137+R151)-$D$136*($F$137+S151)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(1-$F$136)*($D$137+R152)-$D$136*($F$137+S152)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(1-$F$136)*($D$137+R153)-$D$136*($F$137+S153)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(1-$F$136)*($D$137+R154)-$D$136*($F$137+S154)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(1-$F$136)*($D$137+R155)-$D$136*($F$137+S155)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(1-$F$136)*($D$137+R156)-$D$136*($F$137+S156)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(1-$F$136)*($D$137+R157)-$D$136*($F$137+S157)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(1-$F$136)*($D$137+R158)-$D$136*($F$137+S158)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(1-$F$136)*($D$137+R159)-$D$136*($F$137+S159)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(1-$F$136)*($D$137+R160)-$D$136*($F$137+S160)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(1-$F$136)*($D$137+R161)-$D$136*($F$137+S161)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(1-$F$136)*($D$137+R162)-$D$136*($F$137+S162)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(1-$F$136)*($D$137+R163)-$D$136*($F$137+S163)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(1-$F$136)*($D$137+R164)-$D$136*($F$137+S164)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(1-$F$136)*($D$137+R165)-$D$136*($F$137+S165)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(1-$F$136)*($D$137+R166)-$D$136*($F$137+S166)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(1-$F$136)*($D$137+R167)-$D$136*($F$137+S167)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(1-$F$136)*($D$137+R168)-$D$136*($F$137+S168)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(1-$F$136)*($D$137+R169)-$D$136*($F$137+S169)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(1-$F$136)*($D$137+R170)-$D$136*($F$137+S170)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(1-$F$136)*($D$137+R171)-$D$136*($F$137+S171)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(1-$F$136)*($D$137+R172)-$D$136*($F$137+S172)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(1-$F$136)*($D$137+R173)-$D$136*($F$137+S173)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(1-$F$136)*($D$137+R174)-$D$136*($F$137+S174)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(1-$F$179)*($D$180+R188)-$D$179*($F$180+S188)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(1-$F$179)*($D$180+R189)-$D$179*($F$180+S189)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(1-$F$179)*($D$180+R190)-$D$179*($F$180+S190)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(1-$F$179)*($D$180+R191)-$D$179*($F$180+S191)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(1-$F$179)*($D$180+R192)-$D$179*($F$180+S192)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(1-$F$179)*($D$180+R193)-$D$179*($F$180+S193)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(1-$F$179)*($D$180+R194)-$D$179*($F$180+S194)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(1-$F$179)*($D$180+R195)-$D$179*($F$180+S195)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(1-$F$179)*($D$180+R196)-$D$179*($F$180+S196)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(1-$F$179)*($D$180+R197)-$D$179*($F$180+S197)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(1-$F$179)*($D$180+R198)-$D$179*($F$180+S198)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(1-$F$179)*($D$180+R199)-$D$179*($F$180+S199)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(1-$F$179)*($D$180+R200)-$D$179*($F$180+S200)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(1-$F$179)*($D$180+R201)-$D$179*($F$180+S201)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(1-$F$179)*($D$180+R202)-$D$179*($F$180+S202)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(1-$F$179)*($D$180+R203)-$D$179*($F$180+S203)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(1-$F$179)*($D$180+R204)-$D$179*($F$180+S204)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(1-$F$179)*($D$180+R205)-$D$179*($F$180+S205)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(1-$F$179)*($D$180+R206)-$D$179*($F$180+S206)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(1-$F$179)*($D$180+R207)-$D$179*($F$180+S207)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(1-$F$179)*($D$180+R208)-$D$179*($F$180+S208)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(1-$F$179)*($D$180+R209)-$D$179*($F$180+S209)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(1-$F$179)*($D$180+R210)-$D$179*($F$180+S210)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(1-$F$179)*($D$180+R211)-$D$179*($F$180+S211)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(1-$F$179)*($D$180+R212)-$D$179*($F$180+S212)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(1-$F$179)*($D$180+R213)-$D$179*($F$180+S213)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(1-$F$179)*($D$180+R214)-$D$179*($F$180+S214)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(1-$F$179)*($D$180+R215)-$D$179*($F$180+S215)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(1-$F$179)*($D$180+R216)-$D$179*($F$180+S216)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(1-$F$179)*($D$180+R217)-$D$179*($F$180+S217)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(1-$F$222)*($D$223+R231)-$D$222*($F$223+S231)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(1-$F$222)*($D$223+R232)-$D$222*($F$223+S232)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(1-$F$222)*($D$223+R233)-$D$222*($F$223+S233)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(1-$F$222)*($D$223+R234)-$D$222*($F$223+S234)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(1-$F$222)*($D$223+R235)-$D$222*($F$223+S235)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(1-$F$222)*($D$223+R236)-$D$222*($F$223+S236)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(1-$F$222)*($D$223+R237)-$D$222*($F$223+S237)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(1-$F$222)*($D$223+R238)-$D$222*($F$223+S238)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(1-$F$222)*($D$223+R239)-$D$222*($F$223+S239)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(1-$F$222)*($D$223+R240)-$D$222*($F$223+S240)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(1-$F$222)*($D$223+R241)-$D$222*($F$223+S241)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(1-$F$222)*($D$223+R242)-$D$222*($F$223+S242)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(1-$F$222)*($D$223+R243)-$D$222*($F$223+S243)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(1-$F$222)*($D$223+R244)-$D$222*($F$223+S244)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(1-$F$222)*($D$223+R245)-$D$222*($F$223+S245)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(1-$F$222)*($D$223+R246)-$D$222*($F$223+S246)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(1-$F$222)*($D$223+R247)-$D$222*($F$223+S247)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(1-$F$222)*($D$223+R248)-$D$222*($F$223+S248)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(1-$F$222)*($D$223+R249)-$D$222*($F$223+S249)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(1-$F$222)*($D$223+R250)-$D$222*($F$223+S250)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(1-$F$222)*($D$223+R251)-$D$222*($F$223+S251)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(1-$F$222)*($D$223+R252)-$D$222*($F$223+S252)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(1-$F$222)*($D$223+R253)-$D$222*($F$223+S253)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(1-$F$222)*($D$223+R254)-$D$222*($F$223+S254)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(1-$F$222)*($D$223+R255)-$D$222*($F$223+S255)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(1-$F$222)*($D$223+R256)-$D$222*($F$223+S256)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(1-$F$222)*($D$223+R257)-$D$222*($F$223+S257)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(1-$F$222)*($D$223+R258)-$D$222*($F$223+S258)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(1-$F$222)*($D$223+R259)-$D$222*($F$223+S259)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(1-$F$222)*($D$223+R260)-$D$222*($F$223+S260)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2026-07-21T13:53:05Z</dcterms:modified>
</cp:coreProperties>
</file>