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Bootstrap_Lehman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Bloomberg_S490_Validation" sheetId="10" state="visible" r:id="rId10"/>
    <sheet xmlns:r="http://schemas.openxmlformats.org/officeDocument/2006/relationships" name="Conventions" sheetId="11" state="visible" r:id="rId11"/>
    <sheet xmlns:r="http://schemas.openxmlformats.org/officeDocument/2006/relationships" name="Fwd_Interp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CDS_Schedule" sheetId="16" state="visible" r:id="rId16"/>
    <sheet xmlns:r="http://schemas.openxmlformats.org/officeDocument/2006/relationships" name="CDS_Pricer" sheetId="17" state="visible" r:id="rId17"/>
    <sheet xmlns:r="http://schemas.openxmlformats.org/officeDocument/2006/relationships" name="CDS_Validation" sheetId="18" state="visible" r:id="rId1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" fontId="0" fillId="2" borderId="0" pivotButton="0" quotePrefix="0" xfId="0"/>
    <xf numFmtId="168" fontId="3" fillId="0" borderId="1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B50:F50"/>
    <mergeCell ref="A53:F53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IFERROR(BDP(SOFR_TKR,"PX_LAST"),"ERROR PLZ FIX")</f>
        <v/>
      </c>
      <c r="D6" s="18">
        <f>IFERROR(BDP(SOFR_TKR,"LAST_UPDATE_DT"),"ERROR PLZ FIX")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25">
        <f>IFERROR((E5+F5)/2,IFERROR(G5,"ERROR PLZ FIX"))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25">
        <f>IFERROR((E6+F6)/2,IFERROR(G6,"ERROR PLZ FIX"))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25">
        <f>IFERROR((E7+F7)/2,IFERROR(G7,"ERROR PLZ FIX"))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25">
        <f>IFERROR((E8+F8)/2,IFERROR(G8,"ERROR PLZ FIX"))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25">
        <f>IFERROR((E9+F9)/2,IFERROR(G9,"ERROR PLZ FIX"))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25">
        <f>IFERROR((E10+F10)/2,IFERROR(G10,"ERROR PLZ FIX"))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25">
        <f>IFERROR((E11+F11)/2,IFERROR(G11,"ERROR PLZ FIX"))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25">
        <f>IFERROR((E12+F12)/2,IFERROR(G12,"ERROR PLZ FIX"))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25">
        <f>IFERROR((E13+F13)/2,IFERROR(G13,"ERROR PLZ FIX"))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25">
        <f>IFERROR((E14+F14)/2,IFERROR(G14,"ERROR PLZ FIX"))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25">
        <f>IFERROR((E15+F15)/2,IFERROR(G15,"ERROR PLZ FIX"))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25">
        <f>IFERROR((E16+F16)/2,IFERROR(G16,"ERROR PLZ FIX"))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25">
        <f>IFERROR((E17+F17)/2,IFERROR(G17,"ERROR PLZ FIX"))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25">
        <f>IFERROR((E18+F18)/2,IFERROR(G18,"ERROR PLZ FIX"))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25">
        <f>IFERROR((E19+F19)/2,IFERROR(G19,"ERROR PLZ FIX"))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25">
        <f>IFERROR((E20+F20)/2,IFERROR(G20,"ERROR PLZ FIX"))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25">
        <f>IFERROR((E21+F21)/2,IFERROR(G21,"ERROR PLZ FIX"))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25">
        <f>IFERROR((E22+F22)/2,IFERROR(G22,"ERROR PLZ FIX"))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25">
        <f>IFERROR((E23+F23)/2,IFERROR(G23,"ERROR PLZ FIX"))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25">
        <f>IFERROR((E24+F24)/2,IFERROR(G24,"ERROR PLZ FIX"))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25">
        <f>IFERROR((E25+F25)/2,IFERROR(G25,"ERROR PLZ FIX"))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25">
        <f>IFERROR((E26+F26)/2,IFERROR(G26,"ERROR PLZ FIX"))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25">
        <f>IFERROR((E27+F27)/2,IFERROR(G27,"ERROR PLZ FIX"))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25">
        <f>IFERROR((E28+F28)/2,IFERROR(G28,"ERROR PLZ FIX"))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25">
        <f>IFERROR((E29+F29)/2,IFERROR(G29,"ERROR PLZ FIX"))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25">
        <f>IFERROR((E30+F30)/2,IFERROR(G30,"ERROR PLZ FIX"))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25">
        <f>IFERROR((E31+F31)/2,IFERROR(G31,"ERROR PLZ FIX"))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25">
        <f>IFERROR((E32+F32)/2,IFERROR(G32,"ERROR PLZ FIX"))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25">
        <f>IFERROR((E33+F33)/2,IFERROR(G33,"ERROR PLZ FIX"))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25">
        <f>IFERROR((E34+F34)/2,IFERROR(G34,"ERROR PLZ FIX"))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25">
        <f>IFERROR((E35+F35)/2,IFERROR(G35,"ERROR PLZ FIX"))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25">
        <f>IFERROR((E36+F36)/2,IFERROR(G36,"ERROR PLZ FIX"))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</row>
    <row r="6"/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</row>
    <row r="8">
      <c r="A8" s="6" t="inlineStr">
        <is>
          <t>1W</t>
        </is>
      </c>
      <c r="B8" s="18">
        <f>$B$4+7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</row>
    <row r="9">
      <c r="A9" s="6" t="inlineStr">
        <is>
          <t>2W</t>
        </is>
      </c>
      <c r="B9" s="18">
        <f>$B$4+14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</row>
    <row r="10">
      <c r="A10" s="6" t="inlineStr">
        <is>
          <t>3W</t>
        </is>
      </c>
      <c r="B10" s="18">
        <f>$B$4+21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</row>
    <row r="11">
      <c r="A11" s="6" t="inlineStr">
        <is>
          <t>1M</t>
        </is>
      </c>
      <c r="B11" s="18">
        <f>EDATE($B$4,1)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</row>
    <row r="12">
      <c r="A12" s="6" t="inlineStr">
        <is>
          <t>2M</t>
        </is>
      </c>
      <c r="B12" s="18">
        <f>EDATE($B$4,2)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</row>
    <row r="13">
      <c r="A13" s="6" t="inlineStr">
        <is>
          <t>3M</t>
        </is>
      </c>
      <c r="B13" s="18">
        <f>EDATE($B$4,3)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</row>
    <row r="14">
      <c r="A14" s="6" t="inlineStr">
        <is>
          <t>4M</t>
        </is>
      </c>
      <c r="B14" s="18">
        <f>EDATE($B$4,4)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</row>
    <row r="15">
      <c r="A15" s="6" t="inlineStr">
        <is>
          <t>5M</t>
        </is>
      </c>
      <c r="B15" s="18">
        <f>EDATE($B$4,5)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</row>
    <row r="16">
      <c r="A16" s="6" t="inlineStr">
        <is>
          <t>6M</t>
        </is>
      </c>
      <c r="B16" s="18">
        <f>EDATE($B$4,6)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</row>
    <row r="17">
      <c r="A17" s="6" t="inlineStr">
        <is>
          <t>7M</t>
        </is>
      </c>
      <c r="B17" s="18">
        <f>EDATE($B$4,7)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</row>
    <row r="18">
      <c r="A18" s="6" t="inlineStr">
        <is>
          <t>8M</t>
        </is>
      </c>
      <c r="B18" s="18">
        <f>EDATE($B$4,8)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</row>
    <row r="19">
      <c r="A19" s="6" t="inlineStr">
        <is>
          <t>9M</t>
        </is>
      </c>
      <c r="B19" s="18">
        <f>EDATE($B$4,9)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</row>
    <row r="20">
      <c r="A20" s="6" t="inlineStr">
        <is>
          <t>10M</t>
        </is>
      </c>
      <c r="B20" s="18">
        <f>EDATE($B$4,10)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</row>
    <row r="21">
      <c r="A21" s="6" t="inlineStr">
        <is>
          <t>11M</t>
        </is>
      </c>
      <c r="B21" s="18">
        <f>EDATE($B$4,11)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</row>
    <row r="22">
      <c r="A22" s="6" t="inlineStr">
        <is>
          <t>1Y</t>
        </is>
      </c>
      <c r="B22" s="18">
        <f>EDATE($B$4,12)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</row>
    <row r="23">
      <c r="A23" s="6" t="inlineStr">
        <is>
          <t>18M</t>
        </is>
      </c>
      <c r="B23" s="18">
        <f>EDATE($B$4,18)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</row>
    <row r="24">
      <c r="A24" s="6" t="inlineStr">
        <is>
          <t>2Y</t>
        </is>
      </c>
      <c r="B24" s="18">
        <f>EDATE($B$4,24)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</row>
    <row r="25">
      <c r="A25" s="6" t="inlineStr">
        <is>
          <t>3Y</t>
        </is>
      </c>
      <c r="B25" s="18">
        <f>EDATE($B$4,36)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</row>
    <row r="26">
      <c r="A26" s="6" t="inlineStr">
        <is>
          <t>4Y</t>
        </is>
      </c>
      <c r="B26" s="18">
        <f>EDATE($B$4,48)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</row>
    <row r="27">
      <c r="A27" s="6" t="inlineStr">
        <is>
          <t>5Y</t>
        </is>
      </c>
      <c r="B27" s="18">
        <f>EDATE($B$4,60)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</row>
    <row r="28">
      <c r="A28" s="6" t="inlineStr">
        <is>
          <t>6Y</t>
        </is>
      </c>
      <c r="B28" s="18">
        <f>EDATE($B$4,72)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</row>
    <row r="29">
      <c r="A29" s="6" t="inlineStr">
        <is>
          <t>7Y</t>
        </is>
      </c>
      <c r="B29" s="18">
        <f>EDATE($B$4,84)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</row>
    <row r="30">
      <c r="A30" s="6" t="inlineStr">
        <is>
          <t>8Y</t>
        </is>
      </c>
      <c r="B30" s="18">
        <f>EDATE($B$4,96)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</row>
    <row r="31">
      <c r="A31" s="6" t="inlineStr">
        <is>
          <t>9Y</t>
        </is>
      </c>
      <c r="B31" s="18">
        <f>EDATE($B$4,108)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</row>
    <row r="32">
      <c r="A32" s="6" t="inlineStr">
        <is>
          <t>10Y</t>
        </is>
      </c>
      <c r="B32" s="18">
        <f>EDATE($B$4,120)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</row>
    <row r="33">
      <c r="A33" s="6" t="inlineStr">
        <is>
          <t>11Y</t>
        </is>
      </c>
      <c r="B33" s="18">
        <f>EDATE($B$4,132)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($D$4-(E33/100)*G33)/(1+(E33/100)*F33)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</row>
    <row r="34">
      <c r="A34" s="6" t="inlineStr">
        <is>
          <t>12Y</t>
        </is>
      </c>
      <c r="B34" s="18">
        <f>EDATE($B$4,144)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29">
        <f>($D$4-(E34/100)*G34)/(1+(E34/100)*F34)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</row>
    <row r="35">
      <c r="A35" s="6" t="inlineStr">
        <is>
          <t>13Y</t>
        </is>
      </c>
      <c r="B35" s="18">
        <f>EDATE($B$4,156)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($D$4-(E35/100)*G35)/(1+(E35/100)*F35)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</row>
    <row r="36">
      <c r="A36" s="6" t="inlineStr">
        <is>
          <t>14Y</t>
        </is>
      </c>
      <c r="B36" s="18">
        <f>EDATE($B$4,168)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($D$4-(E36/100)*G36)/(1+(E36/100)*F36)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</row>
    <row r="37">
      <c r="A37" s="6" t="inlineStr">
        <is>
          <t>15Y</t>
        </is>
      </c>
      <c r="B37" s="18">
        <f>EDATE($B$4,180)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29">
        <f>($D$4-(E37/100)*G37)/(1+(E37/100)*F37)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</row>
    <row r="38">
      <c r="A38" s="6" t="inlineStr">
        <is>
          <t>16Y</t>
        </is>
      </c>
      <c r="B38" s="18">
        <f>EDATE($B$4,192)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($D$4-(E38/100)*G38)/(1+(E38/100)*F38)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</row>
    <row r="39">
      <c r="A39" s="6" t="inlineStr">
        <is>
          <t>17Y</t>
        </is>
      </c>
      <c r="B39" s="18">
        <f>EDATE($B$4,204)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($D$4-(E39/100)*G39)/(1+(E39/100)*F39)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</row>
    <row r="40">
      <c r="A40" s="6" t="inlineStr">
        <is>
          <t>18Y</t>
        </is>
      </c>
      <c r="B40" s="18">
        <f>EDATE($B$4,216)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($D$4-(E40/100)*G40)/(1+(E40/100)*F40)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</row>
    <row r="41">
      <c r="A41" s="6" t="inlineStr">
        <is>
          <t>19Y</t>
        </is>
      </c>
      <c r="B41" s="18">
        <f>EDATE($B$4,228)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($D$4-(E41/100)*G41)/(1+(E41/100)*F41)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</row>
    <row r="42">
      <c r="A42" s="6" t="inlineStr">
        <is>
          <t>20Y</t>
        </is>
      </c>
      <c r="B42" s="18">
        <f>EDATE($B$4,240)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29">
        <f>($D$4-(E42/100)*G42)/(1+(E42/100)*F42)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</row>
    <row r="43">
      <c r="A43" s="6" t="inlineStr">
        <is>
          <t>21Y</t>
        </is>
      </c>
      <c r="B43" s="18">
        <f>EDATE($B$4,252)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($D$4-(E43/100)*G43)/(1+(E43/100)*F43)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</row>
    <row r="44">
      <c r="A44" s="6" t="inlineStr">
        <is>
          <t>22Y</t>
        </is>
      </c>
      <c r="B44" s="18">
        <f>EDATE($B$4,264)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($D$4-(E44/100)*G44)/(1+(E44/100)*F44)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</row>
    <row r="45">
      <c r="A45" s="6" t="inlineStr">
        <is>
          <t>23Y</t>
        </is>
      </c>
      <c r="B45" s="18">
        <f>EDATE($B$4,276)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($D$4-(E45/100)*G45)/(1+(E45/100)*F45)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</row>
    <row r="46">
      <c r="A46" s="6" t="inlineStr">
        <is>
          <t>24Y</t>
        </is>
      </c>
      <c r="B46" s="18">
        <f>EDATE($B$4,288)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($D$4-(E46/100)*G46)/(1+(E46/100)*F46)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</row>
    <row r="47">
      <c r="A47" s="6" t="inlineStr">
        <is>
          <t>25Y</t>
        </is>
      </c>
      <c r="B47" s="18">
        <f>EDATE($B$4,300)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29">
        <f>($D$4-(E47/100)*G47)/(1+(E47/100)*F47)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</row>
    <row r="48">
      <c r="A48" s="6" t="inlineStr">
        <is>
          <t>26Y</t>
        </is>
      </c>
      <c r="B48" s="18">
        <f>EDATE($B$4,312)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($D$4-(E48/100)*G48)/(1+(E48/100)*F48)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</row>
    <row r="49">
      <c r="A49" s="6" t="inlineStr">
        <is>
          <t>27Y</t>
        </is>
      </c>
      <c r="B49" s="18">
        <f>EDATE($B$4,324)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($D$4-(E49/100)*G49)/(1+(E49/100)*F49)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</row>
    <row r="50">
      <c r="A50" s="6" t="inlineStr">
        <is>
          <t>28Y</t>
        </is>
      </c>
      <c r="B50" s="18">
        <f>EDATE($B$4,336)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($D$4-(E50/100)*G50)/(1+(E50/100)*F50)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</row>
    <row r="51">
      <c r="A51" s="6" t="inlineStr">
        <is>
          <t>29Y</t>
        </is>
      </c>
      <c r="B51" s="18">
        <f>EDATE($B$4,348)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($D$4-(E51/100)*G51)/(1+(E51/100)*F51)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</row>
    <row r="52">
      <c r="A52" s="6" t="inlineStr">
        <is>
          <t>30Y</t>
        </is>
      </c>
      <c r="B52" s="18">
        <f>EDATE($B$4,360)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29">
        <f>($D$4-(E52/100)*G52)/(1+(E52/100)*F52)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</row>
    <row r="53">
      <c r="A53" s="6" t="inlineStr">
        <is>
          <t>31Y</t>
        </is>
      </c>
      <c r="B53" s="18">
        <f>EDATE($B$4,372)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($D$4-(E53/100)*G53)/(1+(E53/100)*F53)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</row>
    <row r="54">
      <c r="A54" s="6" t="inlineStr">
        <is>
          <t>32Y</t>
        </is>
      </c>
      <c r="B54" s="18">
        <f>EDATE($B$4,384)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($D$4-(E54/100)*G54)/(1+(E54/100)*F54)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</row>
    <row r="55">
      <c r="A55" s="6" t="inlineStr">
        <is>
          <t>33Y</t>
        </is>
      </c>
      <c r="B55" s="18">
        <f>EDATE($B$4,396)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($D$4-(E55/100)*G55)/(1+(E55/100)*F55)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</row>
    <row r="56">
      <c r="A56" s="6" t="inlineStr">
        <is>
          <t>34Y</t>
        </is>
      </c>
      <c r="B56" s="18">
        <f>EDATE($B$4,408)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($D$4-(E56/100)*G56)/(1+(E56/100)*F56)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</row>
    <row r="57">
      <c r="A57" s="6" t="inlineStr">
        <is>
          <t>35Y</t>
        </is>
      </c>
      <c r="B57" s="18">
        <f>EDATE($B$4,420)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($D$4-(E57/100)*G57)/(1+(E57/100)*F57)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</row>
    <row r="58">
      <c r="A58" s="6" t="inlineStr">
        <is>
          <t>36Y</t>
        </is>
      </c>
      <c r="B58" s="18">
        <f>EDATE($B$4,432)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($D$4-(E58/100)*G58)/(1+(E58/100)*F58)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</row>
    <row r="59">
      <c r="A59" s="6" t="inlineStr">
        <is>
          <t>37Y</t>
        </is>
      </c>
      <c r="B59" s="18">
        <f>EDATE($B$4,444)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($D$4-(E59/100)*G59)/(1+(E59/100)*F59)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</row>
    <row r="60">
      <c r="A60" s="6" t="inlineStr">
        <is>
          <t>38Y</t>
        </is>
      </c>
      <c r="B60" s="18">
        <f>EDATE($B$4,456)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($D$4-(E60/100)*G60)/(1+(E60/100)*F60)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</row>
    <row r="61">
      <c r="A61" s="6" t="inlineStr">
        <is>
          <t>39Y</t>
        </is>
      </c>
      <c r="B61" s="18">
        <f>EDATE($B$4,468)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($D$4-(E61/100)*G61)/(1+(E61/100)*F61)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</row>
    <row r="62">
      <c r="A62" s="6" t="inlineStr">
        <is>
          <t>40Y</t>
        </is>
      </c>
      <c r="B62" s="18">
        <f>EDATE($B$4,480)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29">
        <f>($D$4-(E62/100)*G62)/(1+(E62/100)*F62)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</row>
    <row r="63">
      <c r="A63" s="6" t="inlineStr">
        <is>
          <t>41Y</t>
        </is>
      </c>
      <c r="B63" s="18">
        <f>EDATE($B$4,492)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($D$4-(E63/100)*G63)/(1+(E63/100)*F63)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</row>
    <row r="64">
      <c r="A64" s="6" t="inlineStr">
        <is>
          <t>42Y</t>
        </is>
      </c>
      <c r="B64" s="18">
        <f>EDATE($B$4,504)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($D$4-(E64/100)*G64)/(1+(E64/100)*F64)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</row>
    <row r="65">
      <c r="A65" s="6" t="inlineStr">
        <is>
          <t>43Y</t>
        </is>
      </c>
      <c r="B65" s="18">
        <f>EDATE($B$4,516)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($D$4-(E65/100)*G65)/(1+(E65/100)*F65)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</row>
    <row r="66">
      <c r="A66" s="6" t="inlineStr">
        <is>
          <t>44Y</t>
        </is>
      </c>
      <c r="B66" s="18">
        <f>EDATE($B$4,528)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($D$4-(E66/100)*G66)/(1+(E66/100)*F66)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</row>
    <row r="67">
      <c r="A67" s="6" t="inlineStr">
        <is>
          <t>45Y</t>
        </is>
      </c>
      <c r="B67" s="18">
        <f>EDATE($B$4,540)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($D$4-(E67/100)*G67)/(1+(E67/100)*F67)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</row>
    <row r="68">
      <c r="A68" s="6" t="inlineStr">
        <is>
          <t>46Y</t>
        </is>
      </c>
      <c r="B68" s="18">
        <f>EDATE($B$4,552)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($D$4-(E68/100)*G68)/(1+(E68/100)*F68)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</row>
    <row r="69">
      <c r="A69" s="6" t="inlineStr">
        <is>
          <t>47Y</t>
        </is>
      </c>
      <c r="B69" s="18">
        <f>EDATE($B$4,564)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($D$4-(E69/100)*G69)/(1+(E69/100)*F69)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</row>
    <row r="70">
      <c r="A70" s="6" t="inlineStr">
        <is>
          <t>48Y</t>
        </is>
      </c>
      <c r="B70" s="18">
        <f>EDATE($B$4,576)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($D$4-(E70/100)*G70)/(1+(E70/100)*F70)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</row>
    <row r="71">
      <c r="A71" s="6" t="inlineStr">
        <is>
          <t>49Y</t>
        </is>
      </c>
      <c r="B71" s="18">
        <f>EDATE($B$4,588)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($D$4-(E71/100)*G71)/(1+(E71/100)*F71)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</row>
    <row r="72">
      <c r="A72" s="6" t="inlineStr">
        <is>
          <t>50Y</t>
        </is>
      </c>
      <c r="B72" s="18">
        <f>EDATE($B$4,600)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29">
        <f>($D$4-(E72/100)*G72)/(1+(E72/100)*F72)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</row>
    <row r="74" ht="40" customHeight="1">
      <c r="A74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75"/>
  </sheetData>
  <mergeCells count="2">
    <mergeCell ref="A74:N75"/>
    <mergeCell ref="A5:N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4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5">
        <f>(S8-T8/100)/100</f>
        <v/>
      </c>
      <c r="V8" s="36">
        <f>$H$22</f>
        <v/>
      </c>
      <c r="W8" s="36">
        <f>V8/(1+U8*R8)</f>
        <v/>
      </c>
      <c r="Y8" s="18">
        <f>$B$22</f>
        <v/>
      </c>
      <c r="Z8" s="36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5">
        <f>(S9-T9/100)/100</f>
        <v/>
      </c>
      <c r="V9" s="36">
        <f>W8</f>
        <v/>
      </c>
      <c r="W9" s="36">
        <f>V9/(1+U9*R9)</f>
        <v/>
      </c>
      <c r="Y9" s="18">
        <f>MAX(Q8,$B$22)</f>
        <v/>
      </c>
      <c r="Z9" s="36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5">
        <f>(S10-T10/100)/100</f>
        <v/>
      </c>
      <c r="V10" s="36">
        <f>W9</f>
        <v/>
      </c>
      <c r="W10" s="36">
        <f>V10/(1+U10*R10)</f>
        <v/>
      </c>
      <c r="Y10" s="18">
        <f>MAX(Q9,$B$22)</f>
        <v/>
      </c>
      <c r="Z10" s="36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5">
        <f>(S11-T11/100)/100</f>
        <v/>
      </c>
      <c r="V11" s="36">
        <f>W10</f>
        <v/>
      </c>
      <c r="W11" s="36">
        <f>V11/(1+U11*R11)</f>
        <v/>
      </c>
      <c r="Y11" s="18">
        <f>MAX(Q10,$B$22)</f>
        <v/>
      </c>
      <c r="Z11" s="36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5">
        <f>(S12-T12/100)/100</f>
        <v/>
      </c>
      <c r="V12" s="36">
        <f>W11</f>
        <v/>
      </c>
      <c r="W12" s="36">
        <f>V12/(1+U12*R12)</f>
        <v/>
      </c>
      <c r="Y12" s="18">
        <f>MAX(Q11,$B$22)</f>
        <v/>
      </c>
      <c r="Z12" s="36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5">
        <f>(S13-T13/100)/100</f>
        <v/>
      </c>
      <c r="V13" s="36">
        <f>W12</f>
        <v/>
      </c>
      <c r="W13" s="36">
        <f>V13/(1+U13*R13)</f>
        <v/>
      </c>
      <c r="Y13" s="18">
        <f>MAX(Q12,$B$22)</f>
        <v/>
      </c>
      <c r="Z13" s="36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5">
        <f>(S14-T14/100)/100</f>
        <v/>
      </c>
      <c r="V14" s="36">
        <f>W13</f>
        <v/>
      </c>
      <c r="W14" s="36">
        <f>V14/(1+U14*R14)</f>
        <v/>
      </c>
      <c r="Y14" s="18">
        <f>MAX(Q13,$B$22)</f>
        <v/>
      </c>
      <c r="Z14" s="36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5">
        <f>(S15-T15/100)/100</f>
        <v/>
      </c>
      <c r="V15" s="36">
        <f>W14</f>
        <v/>
      </c>
      <c r="W15" s="36">
        <f>V15/(1+U15*R15)</f>
        <v/>
      </c>
      <c r="Y15" s="18">
        <f>MAX(Q14,$B$22)</f>
        <v/>
      </c>
      <c r="Z15" s="36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5">
        <f>(S16-T16/100)/100</f>
        <v/>
      </c>
      <c r="V16" s="36">
        <f>W15</f>
        <v/>
      </c>
      <c r="W16" s="36">
        <f>V16/(1+U16*R16)</f>
        <v/>
      </c>
      <c r="Y16" s="18">
        <f>MAX(Q15,$B$22)</f>
        <v/>
      </c>
      <c r="Z16" s="36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5">
        <f>(S17-T17/100)/100</f>
        <v/>
      </c>
      <c r="V17" s="36">
        <f>W16</f>
        <v/>
      </c>
      <c r="W17" s="36">
        <f>V17/(1+U17*R17)</f>
        <v/>
      </c>
      <c r="Y17" s="18">
        <f>MAX(Q16,$B$22)</f>
        <v/>
      </c>
      <c r="Z17" s="36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5">
        <f>(S18-T18/100)/100</f>
        <v/>
      </c>
      <c r="V18" s="36">
        <f>W17</f>
        <v/>
      </c>
      <c r="W18" s="36">
        <f>V18/(1+U18*R18)</f>
        <v/>
      </c>
      <c r="Y18" s="18">
        <f>MAX(Q17,$B$22)</f>
        <v/>
      </c>
      <c r="Z18" s="36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5">
        <f>(S19-T19/100)/100</f>
        <v/>
      </c>
      <c r="V19" s="36">
        <f>W18</f>
        <v/>
      </c>
      <c r="W19" s="36">
        <f>V19/(1+U19*R19)</f>
        <v/>
      </c>
      <c r="Y19" s="18">
        <f>MAX(Q18,$B$22)</f>
        <v/>
      </c>
      <c r="Z19" s="36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5">
        <f>(S20-T20/100)/100</f>
        <v/>
      </c>
      <c r="V20" s="36">
        <f>W19</f>
        <v/>
      </c>
      <c r="W20" s="36">
        <f>V20/(1+U20*R20)</f>
        <v/>
      </c>
      <c r="Y20" s="18">
        <f>MAX(Q19,$B$22)</f>
        <v/>
      </c>
      <c r="Z20" s="36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5">
        <f>(S21-T21/100)/100</f>
        <v/>
      </c>
      <c r="V21" s="36">
        <f>W20</f>
        <v/>
      </c>
      <c r="W21" s="36">
        <f>V21/(1+U21*R21)</f>
        <v/>
      </c>
      <c r="Y21" s="18">
        <f>MAX(Q20,$B$22)</f>
        <v/>
      </c>
      <c r="Z21" s="36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5">
        <f>(S22-T22/100)/100</f>
        <v/>
      </c>
      <c r="V22" s="36">
        <f>W21</f>
        <v/>
      </c>
      <c r="W22" s="36">
        <f>V22/(1+U22*R22)</f>
        <v/>
      </c>
      <c r="Y22" s="18">
        <f>MAX(Q21,$B$22)</f>
        <v/>
      </c>
      <c r="Z22" s="36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5">
        <f>(S23-T23/100)/100</f>
        <v/>
      </c>
      <c r="V23" s="36">
        <f>W22</f>
        <v/>
      </c>
      <c r="W23" s="36">
        <f>V23/(1+U23*R23)</f>
        <v/>
      </c>
      <c r="Y23" s="18">
        <f>MAX(Q22,$B$22)</f>
        <v/>
      </c>
      <c r="Z23" s="36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5">
        <f>(S24-T24/100)/100</f>
        <v/>
      </c>
      <c r="V24" s="36">
        <f>W23</f>
        <v/>
      </c>
      <c r="W24" s="36">
        <f>V24/(1+U24*R24)</f>
        <v/>
      </c>
      <c r="Y24" s="18">
        <f>MAX(Q23,$B$22)</f>
        <v/>
      </c>
      <c r="Z24" s="36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5">
        <f>(S25-T25/100)/100</f>
        <v/>
      </c>
      <c r="V25" s="36">
        <f>W24</f>
        <v/>
      </c>
      <c r="W25" s="36">
        <f>V25/(1+U25*R25)</f>
        <v/>
      </c>
      <c r="Y25" s="18">
        <f>MAX(Q24,$B$22)</f>
        <v/>
      </c>
      <c r="Z25" s="36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5">
        <f>(S26-T26/100)/100</f>
        <v/>
      </c>
      <c r="V26" s="36">
        <f>W25</f>
        <v/>
      </c>
      <c r="W26" s="36">
        <f>V26/(1+U26*R26)</f>
        <v/>
      </c>
      <c r="Y26" s="18">
        <f>MAX(Q25,$B$22)</f>
        <v/>
      </c>
      <c r="Z26" s="36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5">
        <f>(S27-T27/100)/100</f>
        <v/>
      </c>
      <c r="V27" s="36">
        <f>W26</f>
        <v/>
      </c>
      <c r="W27" s="36">
        <f>V27/(1+U27*R27)</f>
        <v/>
      </c>
      <c r="Y27" s="18">
        <f>MAX(Q26,$B$22)</f>
        <v/>
      </c>
      <c r="Z27" s="36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6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NDEX($L$6:$L$71,MATCH($B$8,$K$6:$K$71,1))*(INDEX($L$6:$L$71,MATCH($B$8,$K$6:$K$71,1)+1)/INDEX($L$6:$L$71,MATCH($B$8,$K$6:$K$71,1)))^(($B$8-INDEX($K$6:$K$71,MATCH($B$8,$K$6:$K$71,1)))/(INDEX($K$6:$K$71,MATCH($B$8,$K$6:$K$71,1)+1)-INDEX($K$6:$K$71,MATCH($B$8,$K$6:$K$71,1)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5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5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5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5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5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5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5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5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5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5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5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5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5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5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5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5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5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5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5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5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5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5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5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5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5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5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5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5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5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5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5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5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5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5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5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5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5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5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5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5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5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5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5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5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5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5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5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5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5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5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5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5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36">
        <f>INDEX($L$8:$L$73,MATCH(B10,$K$8:$K$73,1))*EXP(-(F10/100)*(B10-D10)/365)</f>
        <v/>
      </c>
      <c r="H10" s="17">
        <f>-LN(G10)/C10*100</f>
        <v/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36">
        <f>INDEX($L$8:$L$73,MATCH(B11,$K$8:$K$73,1))*EXP(-(F11/100)*(B11-D11)/365)</f>
        <v/>
      </c>
      <c r="H11" s="17">
        <f>-LN(G11)/C11*100</f>
        <v/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36">
        <f>INDEX($L$8:$L$73,MATCH(B12,$K$8:$K$73,1))*EXP(-(F12/100)*(B12-D12)/365)</f>
        <v/>
      </c>
      <c r="H12" s="17">
        <f>-LN(G12)/C12*100</f>
        <v/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36">
        <f>INDEX($L$8:$L$73,MATCH(B13,$K$8:$K$73,1))*EXP(-(F13/100)*(B13-D13)/365)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36">
        <f>INDEX($L$8:$L$73,MATCH(B14,$K$8:$K$73,1))*EXP(-(F14/100)*(B14-D14)/365)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36">
        <f>INDEX($L$8:$L$73,MATCH(B15,$K$8:$K$73,1))*EXP(-(F15/100)*(B15-D15)/365)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36">
        <f>INDEX($L$8:$L$73,MATCH(B16,$K$8:$K$73,1))*EXP(-(F16/100)*(B16-D16)/365)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36">
        <f>INDEX($L$8:$L$73,MATCH(B17,$K$8:$K$73,1))*EXP(-(F17/100)*(B17-D17)/365)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36">
        <f>INDEX($L$8:$L$73,MATCH(B18,$K$8:$K$73,1))*EXP(-(F18/100)*(B18-D18)/365)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36">
        <f>INDEX($L$8:$L$73,MATCH(B19,$K$8:$K$73,1))*EXP(-(F19/100)*(B19-D19)/365)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36">
        <f>INDEX($L$8:$L$73,MATCH(B20,$K$8:$K$73,1))*EXP(-(F20/100)*(B20-D20)/365)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36">
        <f>INDEX($L$8:$L$73,MATCH(B21,$K$8:$K$73,1))*EXP(-(F21/100)*(B21-D21)/365)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36">
        <f>INDEX($L$8:$L$73,MATCH(B22,$K$8:$K$73,1))*EXP(-(F22/100)*(B22-D22)/365)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36">
        <f>INDEX($L$8:$L$73,MATCH(B23,$K$8:$K$73,1))*EXP(-(F23/100)*(B23-D23)/365)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36">
        <f>INDEX($L$8:$L$73,MATCH(B24,$K$8:$K$73,1))*EXP(-(F24/100)*(B24-D24)/365)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36">
        <f>INDEX($L$8:$L$73,MATCH(B25,$K$8:$K$73,1))*EXP(-(F25/100)*(B25-D25)/365)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36">
        <f>INDEX($L$8:$L$73,MATCH(B26,$K$8:$K$73,1))*EXP(-(F26/100)*(B26-D26)/365)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36">
        <f>INDEX($L$8:$L$73,MATCH(B27,$K$8:$K$73,1))*EXP(-(F27/100)*(B27-D27)/365)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36">
        <f>INDEX($L$8:$L$73,MATCH(B28,$K$8:$K$73,1))*EXP(-(F28/100)*(B28-D28)/365)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36">
        <f>INDEX($L$8:$L$73,MATCH(B29,$K$8:$K$73,1))*EXP(-(F29/100)*(B29-D29)/365)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36">
        <f>INDEX($L$8:$L$73,MATCH(B30,$K$8:$K$73,1))*EXP(-(F30/100)*(B30-D30)/365)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36">
        <f>INDEX($L$8:$L$73,MATCH(B31,$K$8:$K$73,1))*EXP(-(F31/100)*(B31-D31)/365)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36">
        <f>INDEX($L$8:$L$73,MATCH(B32,$K$8:$K$73,1))*EXP(-(F32/100)*(B32-D32)/365)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36">
        <f>INDEX($L$8:$L$73,MATCH(B33,$K$8:$K$73,1))*EXP(-(F33/100)*(B33-D33)/365)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36">
        <f>INDEX($L$8:$L$73,MATCH(B34,$K$8:$K$73,1))*EXP(-(F34/100)*(B34-D34)/365)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36">
        <f>INDEX($L$8:$L$73,MATCH(B35,$K$8:$K$73,1))*EXP(-(F35/100)*(B35-D35)/365)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36">
        <f>INDEX($L$8:$L$73,MATCH(B36,$K$8:$K$73,1))*EXP(-(F36/100)*(B36-D36)/365)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36">
        <f>INDEX($L$8:$L$73,MATCH(B37,$K$8:$K$73,1))*EXP(-(F37/100)*(B37-D37)/365)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36">
        <f>INDEX($L$8:$L$73,MATCH(B38,$K$8:$K$73,1))*EXP(-(F38/100)*(B38-D38)/365)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36">
        <f>INDEX($L$8:$L$73,MATCH(B39,$K$8:$K$73,1))*EXP(-(F39/100)*(B39-D39)/365)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36">
        <f>INDEX($L$8:$L$73,MATCH(B40,$K$8:$K$73,1))*EXP(-(F40/100)*(B40-D40)/365)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36">
        <f>INDEX($L$8:$L$73,MATCH(B41,$K$8:$K$73,1))*EXP(-(F41/100)*(B41-D41)/365)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36">
        <f>INDEX($L$8:$L$73,MATCH(B42,$K$8:$K$73,1))*EXP(-(F42/100)*(B42-D42)/365)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36">
        <f>INDEX($L$8:$L$73,MATCH(B43,$K$8:$K$73,1))*EXP(-(F43/100)*(B43-D43)/365)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36">
        <f>INDEX($L$8:$L$73,MATCH(B44,$K$8:$K$73,1))*EXP(-(F44/100)*(B44-D44)/365)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36">
        <f>INDEX($L$8:$L$73,MATCH(B45,$K$8:$K$73,1))*EXP(-(F45/100)*(B45-D45)/365)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36">
        <f>INDEX($L$8:$L$73,MATCH(B46,$K$8:$K$73,1))*EXP(-(F46/100)*(B46-D46)/365)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36">
        <f>INDEX($L$8:$L$73,MATCH(B47,$K$8:$K$73,1))*EXP(-(F47/100)*(B47-D47)/365)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36">
        <f>INDEX($L$8:$L$73,MATCH(B48,$K$8:$K$73,1))*EXP(-(F48/100)*(B48-D48)/365)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36">
        <f>INDEX($L$8:$L$73,MATCH(B49,$K$8:$K$73,1))*EXP(-(F49/100)*(B49-D49)/365)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name:</t>
        </is>
      </c>
      <c r="B4" s="19">
        <f>IFERROR(BDP(S490_TKR,"NAME"),"ERROR PLZ FIX")</f>
        <v/>
      </c>
    </row>
    <row r="5">
      <c r="A5" s="13" t="inlineStr">
        <is>
          <t>Curve date:</t>
        </is>
      </c>
      <c r="B5" s="48">
        <f>VAL_DATE</f>
        <v/>
      </c>
    </row>
    <row r="6" ht="40" customHeight="1">
      <c r="A6" s="9" t="inlineStr">
        <is>
          <t>Paste Bloomberg's S490 zero rates (from YCSW0490 &lt;GO&gt; or SWDF) into the yellow column D, tenor for tenor; column E then shows Δz = your bootstrap − Bloomberg in bp (single digits = agreement). The raw BDS(CURVE_TENOR_RATES) dump is off to the right (cols H:I) as an optional live pull — its column order is Bloomberg-defined, so verify before relying on it.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20" t="inlineStr">
        <is>
          <t>S490 zero (%) [paste]</t>
        </is>
      </c>
      <c r="E7" s="20" t="inlineStr">
        <is>
          <t>Δz (bp)</t>
        </is>
      </c>
      <c r="H7" s="16" t="inlineStr">
        <is>
          <t>Raw CURVE_TENOR_RATES (verify order)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30" t="n"/>
      <c r="E8" s="31">
        <f>IF(D8="","",(C8-D8)*100)</f>
        <v/>
      </c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30" t="n"/>
      <c r="E9" s="31">
        <f>IF(D9="","",(C9-D9)*100)</f>
        <v/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30" t="n"/>
      <c r="E10" s="31">
        <f>IF(D10="","",(C10-D10)*100)</f>
        <v/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30" t="n"/>
      <c r="E11" s="31">
        <f>IF(D11="","",(C11-D11)*100)</f>
        <v/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30" t="n"/>
      <c r="E12" s="31">
        <f>IF(D12="","",(C12-D12)*100)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30" t="n"/>
      <c r="E13" s="31">
        <f>IF(D13="","",(C13-D13)*100)</f>
        <v/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30" t="n"/>
      <c r="E14" s="31">
        <f>IF(D14="","",(C14-D14)*100)</f>
        <v/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30" t="n"/>
      <c r="E15" s="31">
        <f>IF(D15="","",(C15-D15)*100)</f>
        <v/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30" t="n"/>
      <c r="E16" s="31">
        <f>IF(D16="","",(C16-D16)*100)</f>
        <v/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30" t="n"/>
      <c r="E17" s="31">
        <f>IF(D17="","",(C17-D17)*100)</f>
        <v/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30" t="n"/>
      <c r="E18" s="31">
        <f>IF(D18="","",(C18-D18)*100)</f>
        <v/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30" t="n"/>
      <c r="E19" s="31">
        <f>IF(D19="","",(C19-D19)*100)</f>
        <v/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30" t="n"/>
      <c r="E20" s="31">
        <f>IF(D20="","",(C20-D20)*100)</f>
        <v/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30" t="n"/>
      <c r="E21" s="31">
        <f>IF(D21="","",(C21-D21)*100)</f>
        <v/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30" t="n"/>
      <c r="E22" s="31">
        <f>IF(D22="","",(C22-D22)*100)</f>
        <v/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30" t="n"/>
      <c r="E23" s="31">
        <f>IF(D23="","",(C23-D23)*100)</f>
        <v/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30" t="n"/>
      <c r="E24" s="31">
        <f>IF(D24="","",(C24-D24)*100)</f>
        <v/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30" t="n"/>
      <c r="E25" s="31">
        <f>IF(D25="","",(C25-D25)*100)</f>
        <v/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30" t="n"/>
      <c r="E26" s="31">
        <f>IF(D26="","",(C26-D26)*100)</f>
        <v/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30" t="n"/>
      <c r="E27" s="31">
        <f>IF(D27="","",(C27-D27)*100)</f>
        <v/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30" t="n"/>
      <c r="E28" s="31">
        <f>IF(D28="","",(C28-D28)*100)</f>
        <v/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30" t="n"/>
      <c r="E29" s="31">
        <f>IF(D29="","",(C29-D29)*100)</f>
        <v/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30" t="n"/>
      <c r="E30" s="31">
        <f>IF(D30="","",(C30-D30)*100)</f>
        <v/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30" t="n"/>
      <c r="E31" s="31">
        <f>IF(D31="","",(C31-D31)*100)</f>
        <v/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30" t="n"/>
      <c r="E32" s="31">
        <f>IF(D32="","",(C32-D32)*100)</f>
        <v/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30" t="n"/>
      <c r="E33" s="31">
        <f>IF(D33="","",(C33-D33)*100)</f>
        <v/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30" t="n"/>
      <c r="E34" s="31">
        <f>IF(D34="","",(C34-D34)*100)</f>
        <v/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30" t="n"/>
      <c r="E35" s="31">
        <f>IF(D35="","",(C35-D35)*100)</f>
        <v/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30" t="n"/>
      <c r="E36" s="31">
        <f>IF(D36="","",(C36-D36)*100)</f>
        <v/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30" t="n"/>
      <c r="E37" s="31">
        <f>IF(D37="","",(C37-D37)*100)</f>
        <v/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30" t="n"/>
      <c r="E38" s="31">
        <f>IF(D38="","",(C38-D38)*100)</f>
        <v/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30" t="n"/>
      <c r="E39" s="31">
        <f>IF(D39="","",(C39-D39)*100)</f>
        <v/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30" t="n"/>
      <c r="E40" s="31">
        <f>IF(D40="","",(C40-D40)*100)</f>
        <v/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30" t="n"/>
      <c r="E41" s="31">
        <f>IF(D41="","",(C41-D41)*100)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30" t="n"/>
      <c r="E42" s="31">
        <f>IF(D42="","",(C42-D42)*100)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30" t="n"/>
      <c r="E43" s="31">
        <f>IF(D43="","",(C43-D43)*100)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30" t="n"/>
      <c r="E44" s="31">
        <f>IF(D44="","",(C44-D44)*100)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30" t="n"/>
      <c r="E45" s="31">
        <f>IF(D45="","",(C45-D45)*100)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30" t="n"/>
      <c r="E46" s="31">
        <f>IF(D46="","",(C46-D46)*100)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30" t="n"/>
      <c r="E47" s="31">
        <f>IF(D47="","",(C47-D47)*100)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30" t="n"/>
      <c r="E48" s="31">
        <f>IF(D48="","",(C48-D48)*100)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30" t="n"/>
      <c r="E49" s="31">
        <f>IF(D49="","",(C49-D49)*100)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30" t="n"/>
      <c r="E50" s="31">
        <f>IF(D50="","",(C50-D50)*100)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30" t="n"/>
      <c r="E51" s="31">
        <f>IF(D51="","",(C51-D51)*100)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30" t="n"/>
      <c r="E52" s="31">
        <f>IF(D52="","",(C52-D52)*100)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30" t="n"/>
      <c r="E53" s="31">
        <f>IF(D53="","",(C53-D53)*100)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30" t="n"/>
      <c r="E54" s="31">
        <f>IF(D54="","",(C54-D54)*100)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30" t="n"/>
      <c r="E55" s="31">
        <f>IF(D55="","",(C55-D55)*100)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30" t="n"/>
      <c r="E56" s="31">
        <f>IF(D56="","",(C56-D56)*100)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30" t="n"/>
      <c r="E57" s="31">
        <f>IF(D57="","",(C57-D57)*100)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30" t="n"/>
      <c r="E58" s="31">
        <f>IF(D58="","",(C58-D58)*100)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30" t="n"/>
      <c r="E59" s="31">
        <f>IF(D59="","",(C59-D59)*100)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30" t="n"/>
      <c r="E60" s="31">
        <f>IF(D60="","",(C60-D60)*100)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30" t="n"/>
      <c r="E61" s="31">
        <f>IF(D61="","",(C61-D61)*100)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30" t="n"/>
      <c r="E62" s="31">
        <f>IF(D62="","",(C62-D62)*100)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30" t="n"/>
      <c r="E63" s="31">
        <f>IF(D63="","",(C63-D63)*100)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30" t="n"/>
      <c r="E64" s="31">
        <f>IF(D64="","",(C64-D64)*100)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30" t="n"/>
      <c r="E65" s="31">
        <f>IF(D65="","",(C65-D65)*100)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30" t="n"/>
      <c r="E66" s="31">
        <f>IF(D66="","",(C66-D66)*100)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30" t="n"/>
      <c r="E67" s="31">
        <f>IF(D67="","",(C67-D67)*100)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30" t="n"/>
      <c r="E68" s="31">
        <f>IF(D68="","",(C68-D68)*100)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30" t="n"/>
      <c r="E69" s="31">
        <f>IF(D69="","",(C69-D69)*100)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30" t="n"/>
      <c r="E70" s="31">
        <f>IF(D70="","",(C70-D70)*100)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30" t="n"/>
      <c r="E71" s="31">
        <f>IF(D71="","",(C71-D71)*100)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30" t="n"/>
      <c r="E72" s="31">
        <f>IF(D72="","",(C72-D72)*100)</f>
        <v/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9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9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9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9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9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9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9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9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9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5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5">
        <f>(G9-G8)/D9-J9*D9</f>
        <v/>
      </c>
      <c r="J9" s="35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5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5">
        <f>(G10-G9)/D10-J10*D10</f>
        <v/>
      </c>
      <c r="J10" s="35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5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5">
        <f>(G11-G10)/D11-J11*D11</f>
        <v/>
      </c>
      <c r="J11" s="35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5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5">
        <f>(G12-G11)/D12-J12*D12</f>
        <v/>
      </c>
      <c r="J12" s="35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5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5">
        <f>(G13-G12)/D13-J13*D13</f>
        <v/>
      </c>
      <c r="J13" s="35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5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5">
        <f>(G14-G13)/D14-J14*D14</f>
        <v/>
      </c>
      <c r="J14" s="35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5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5">
        <f>(G15-G14)/D15-J15*D15</f>
        <v/>
      </c>
      <c r="J15" s="35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5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5">
        <f>(G16-G15)/D16-J16*D16</f>
        <v/>
      </c>
      <c r="J16" s="35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5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5">
        <f>(G17-G16)/D17-J17*D17</f>
        <v/>
      </c>
      <c r="J17" s="35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5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5">
        <f>(G18-G17)/D18-J18*D18</f>
        <v/>
      </c>
      <c r="J18" s="35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5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5">
        <f>(G19-G18)/D19-J19*D19</f>
        <v/>
      </c>
      <c r="J19" s="35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5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5">
        <f>(G20-G19)/D20-J20*D20</f>
        <v/>
      </c>
      <c r="J20" s="35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5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5">
        <f>(G21-G20)/D21-J21*D21</f>
        <v/>
      </c>
      <c r="J21" s="35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5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5">
        <f>(G22-G21)/D22-J22*D22</f>
        <v/>
      </c>
      <c r="J22" s="35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5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5">
        <f>(G23-G22)/D23-J23*D23</f>
        <v/>
      </c>
      <c r="J23" s="35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5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5">
        <f>(G24-G23)/D24-J24*D24</f>
        <v/>
      </c>
      <c r="J24" s="35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5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5">
        <f>(G25-G24)/D25-J25*D25</f>
        <v/>
      </c>
      <c r="J25" s="35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5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5">
        <f>(G26-G25)/D26-J26*D26</f>
        <v/>
      </c>
      <c r="J26" s="35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5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5">
        <f>(G27-G26)/D27-J27*D27</f>
        <v/>
      </c>
      <c r="J27" s="35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5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5">
        <f>(G28-G27)/D28-J28*D28</f>
        <v/>
      </c>
      <c r="J28" s="35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5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5">
        <f>(G29-G28)/D29-J29*D29</f>
        <v/>
      </c>
      <c r="J29" s="35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5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5">
        <f>(G30-G29)/D30-J30*D30</f>
        <v/>
      </c>
      <c r="J30" s="35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5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5">
        <f>(G31-G30)/D31-J31*D31</f>
        <v/>
      </c>
      <c r="J31" s="35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5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5">
        <f>(G32-G31)/D32-J32*D32</f>
        <v/>
      </c>
      <c r="J32" s="35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5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5">
        <f>(G33-G32)/D33-J33*D33</f>
        <v/>
      </c>
      <c r="J33" s="35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5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5">
        <f>(G34-G33)/D34-J34*D34</f>
        <v/>
      </c>
      <c r="J34" s="35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5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5">
        <f>(G35-G34)/D35-J35*D35</f>
        <v/>
      </c>
      <c r="J35" s="35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5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5">
        <f>(G36-G35)/D36-J36*D36</f>
        <v/>
      </c>
      <c r="J36" s="35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5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5">
        <f>(G37-G36)/D37-J37*D37</f>
        <v/>
      </c>
      <c r="J37" s="35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5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5">
        <f>(G38-G37)/D38-J38*D38</f>
        <v/>
      </c>
      <c r="J38" s="35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5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5">
        <f>(G39-G38)/D39-J39*D39</f>
        <v/>
      </c>
      <c r="J39" s="35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5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5">
        <f>(G40-G39)/D40-J40*D40</f>
        <v/>
      </c>
      <c r="J40" s="35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5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5">
        <f>(G41-G40)/D41-J41*D41</f>
        <v/>
      </c>
      <c r="J41" s="35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5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5">
        <f>(G42-G41)/D42-J42*D42</f>
        <v/>
      </c>
      <c r="J42" s="35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5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5">
        <f>(G43-G42)/D43-J43*D43</f>
        <v/>
      </c>
      <c r="J43" s="35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5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5">
        <f>(G44-G43)/D44-J44*D44</f>
        <v/>
      </c>
      <c r="J44" s="35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5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5">
        <f>(G45-G44)/D45-J45*D45</f>
        <v/>
      </c>
      <c r="J45" s="35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5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5">
        <f>(G46-G45)/D46-J46*D46</f>
        <v/>
      </c>
      <c r="J46" s="35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5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5">
        <f>(G47-G46)/D47-J47*D47</f>
        <v/>
      </c>
      <c r="J47" s="35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5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5">
        <f>(G48-G47)/D48-J48*D48</f>
        <v/>
      </c>
      <c r="J48" s="35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5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5">
        <f>(G49-G48)/D49-J49*D49</f>
        <v/>
      </c>
      <c r="J49" s="35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5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5">
        <f>(G50-G49)/D50-J50*D50</f>
        <v/>
      </c>
      <c r="J50" s="35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5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5">
        <f>(G51-G50)/D51-J51*D51</f>
        <v/>
      </c>
      <c r="J51" s="35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5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5">
        <f>(G52-G51)/D52-J52*D52</f>
        <v/>
      </c>
      <c r="J52" s="35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5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5">
        <f>(G53-G52)/D53-J53*D53</f>
        <v/>
      </c>
      <c r="J53" s="35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5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5">
        <f>(G54-G53)/D54-J54*D54</f>
        <v/>
      </c>
      <c r="J54" s="35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5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5">
        <f>(G55-G54)/D55-J55*D55</f>
        <v/>
      </c>
      <c r="J55" s="35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5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5">
        <f>(G56-G55)/D56-J56*D56</f>
        <v/>
      </c>
      <c r="J56" s="35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5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5">
        <f>(G57-G56)/D57-J57*D57</f>
        <v/>
      </c>
      <c r="J57" s="35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5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5">
        <f>(G58-G57)/D58-J58*D58</f>
        <v/>
      </c>
      <c r="J58" s="35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5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5">
        <f>(G59-G58)/D59-J59*D59</f>
        <v/>
      </c>
      <c r="J59" s="35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5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5">
        <f>(G60-G59)/D60-J60*D60</f>
        <v/>
      </c>
      <c r="J60" s="35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5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5">
        <f>(G61-G60)/D61-J61*D61</f>
        <v/>
      </c>
      <c r="J61" s="35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5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5">
        <f>(G62-G61)/D62-J62*D62</f>
        <v/>
      </c>
      <c r="J62" s="35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5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5">
        <f>(G63-G62)/D63-J63*D63</f>
        <v/>
      </c>
      <c r="J63" s="35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5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5">
        <f>(G64-G63)/D64-J64*D64</f>
        <v/>
      </c>
      <c r="J64" s="35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5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5">
        <f>(G65-G64)/D65-J65*D65</f>
        <v/>
      </c>
      <c r="J65" s="35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5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5">
        <f>(G66-G65)/D66-J66*D66</f>
        <v/>
      </c>
      <c r="J66" s="35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5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5">
        <f>(G67-G66)/D67-J67*D67</f>
        <v/>
      </c>
      <c r="J67" s="35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5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5">
        <f>(G68-G67)/D68-J68*D68</f>
        <v/>
      </c>
      <c r="J68" s="35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5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5">
        <f>(G69-G68)/D69-J69*D69</f>
        <v/>
      </c>
      <c r="J69" s="35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5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5">
        <f>(G70-G69)/D70-J70*D70</f>
        <v/>
      </c>
      <c r="J70" s="35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5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5">
        <f>(G71-G70)/D71-J71*D71</f>
        <v/>
      </c>
      <c r="J71" s="35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5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5">
        <f>(G72-G71)/D72-J72*D72</f>
        <v/>
      </c>
      <c r="J72" s="35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5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5">
        <f>(G73-G72)/D73-J73*D73</f>
        <v/>
      </c>
      <c r="J73" s="35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</sheetData>
  <mergeCells count="6">
    <mergeCell ref="C10:H10"/>
    <mergeCell ref="C5:H5"/>
    <mergeCell ref="C8:H8"/>
    <mergeCell ref="C4:H4"/>
    <mergeCell ref="C7:H7"/>
    <mergeCell ref="C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37" t="inlineStr"/>
      <c r="E7" s="55" t="n">
        <v>40</v>
      </c>
      <c r="F7" s="31">
        <f>IF(D7="",E7,IFERROR(BDP(D7,"PX_LAST"),E7))</f>
        <v/>
      </c>
      <c r="G7" s="52">
        <f>(F7/10000)/(1-CDS_Parameters!$B$8)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37" t="inlineStr"/>
      <c r="E8" s="55" t="n">
        <v>55</v>
      </c>
      <c r="F8" s="31">
        <f>IF(D8="",E8,IFERROR(BDP(D8,"PX_LAST"),E8))</f>
        <v/>
      </c>
      <c r="G8" s="52">
        <f>(F8/10000)/(1-CDS_Parameters!$B$8)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37" t="inlineStr"/>
      <c r="E9" s="55" t="n">
        <v>70</v>
      </c>
      <c r="F9" s="31">
        <f>IF(D9="",E9,IFERROR(BDP(D9,"PX_LAST"),E9))</f>
        <v/>
      </c>
      <c r="G9" s="52">
        <f>(F9/10000)/(1-CDS_Parameters!$B$8)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37" t="inlineStr"/>
      <c r="E10" s="55" t="n">
        <v>95</v>
      </c>
      <c r="F10" s="31">
        <f>IF(D10="",E10,IFERROR(BDP(D10,"PX_LAST"),E10))</f>
        <v/>
      </c>
      <c r="G10" s="52">
        <f>(F10/10000)/(1-CDS_Parameters!$B$8)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37" t="inlineStr"/>
      <c r="E11" s="55" t="n">
        <v>115</v>
      </c>
      <c r="F11" s="31">
        <f>IF(D11="",E11,IFERROR(BDP(D11,"PX_LAST"),E11))</f>
        <v/>
      </c>
      <c r="G11" s="52">
        <f>(F11/10000)/(1-CDS_Parameters!$B$8)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37" t="inlineStr"/>
      <c r="E12" s="55" t="n">
        <v>135</v>
      </c>
      <c r="F12" s="31">
        <f>IF(D12="",E12,IFERROR(BDP(D12,"PX_LAST"),E12))</f>
        <v/>
      </c>
      <c r="G12" s="52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2" t="inlineStr">
        <is>
          <t>Piecewise-constant hazard curve. Col D pre-filled with s/(1-R); Goal Seek col J (error)=0 by changing col D for EXACT fit.</t>
        </is>
      </c>
    </row>
    <row r="4" ht="40" customHeight="1">
      <c r="A4" s="9" t="inlineStr">
        <is>
          <t>Bootstrap maturity by maturity: hold earlier hazards fixed, solve the current segment so model spread = market. Col D defaults to the s/(1-R) approximation (module runs immediately). For an exact fit (|error|&lt;0.01bp), Goal Seek EACH row: Data &gt; What-If &gt; Goal Seek, Set cell = col J, To value 0, By changing = col D — top row first, then down. Survival/PVs come from the CDS_Schedule tab, which discounts on the shared SOFR Curve_Interface.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56">
        <f>(C7/10000)/(1-CDS_Parameters!$B$8)</f>
        <v/>
      </c>
      <c r="E7" s="35">
        <f>INDEX(CDS_Schedule!$K$7:$K$46,MATCH(B7,CDS_Schedule!$C$7:$C$46,1))</f>
        <v/>
      </c>
      <c r="F7" s="35">
        <f>1-E7</f>
        <v/>
      </c>
      <c r="G7" s="17">
        <f>SUMIF(CDS_Schedule!$C$7:$C$46,"&lt;="&amp;B7,CDS_Schedule!$M$7:$M$46)+SUMIF(CDS_Schedule!$C$7:$C$46,"&lt;="&amp;B7,CDS_Schedule!$N$7:$N$46)</f>
        <v/>
      </c>
      <c r="H7" s="35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56">
        <f>((C8/10000)*(B8-VAL_DATE)/365-(C7/10000)*(B7-VAL_DATE)/365)/((1-CDS_Parameters!$B$8)*((B8-VAL_DATE)/365-(B7-VAL_DATE)/365))</f>
        <v/>
      </c>
      <c r="E8" s="35">
        <f>INDEX(CDS_Schedule!$K$7:$K$46,MATCH(B8,CDS_Schedule!$C$7:$C$46,1))</f>
        <v/>
      </c>
      <c r="F8" s="35">
        <f>1-E8</f>
        <v/>
      </c>
      <c r="G8" s="17">
        <f>SUMIF(CDS_Schedule!$C$7:$C$46,"&lt;="&amp;B8,CDS_Schedule!$M$7:$M$46)+SUMIF(CDS_Schedule!$C$7:$C$46,"&lt;="&amp;B8,CDS_Schedule!$N$7:$N$46)</f>
        <v/>
      </c>
      <c r="H8" s="35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56">
        <f>((C9/10000)*(B9-VAL_DATE)/365-(C8/10000)*(B8-VAL_DATE)/365)/((1-CDS_Parameters!$B$8)*((B9-VAL_DATE)/365-(B8-VAL_DATE)/365))</f>
        <v/>
      </c>
      <c r="E9" s="35">
        <f>INDEX(CDS_Schedule!$K$7:$K$46,MATCH(B9,CDS_Schedule!$C$7:$C$46,1))</f>
        <v/>
      </c>
      <c r="F9" s="35">
        <f>1-E9</f>
        <v/>
      </c>
      <c r="G9" s="17">
        <f>SUMIF(CDS_Schedule!$C$7:$C$46,"&lt;="&amp;B9,CDS_Schedule!$M$7:$M$46)+SUMIF(CDS_Schedule!$C$7:$C$46,"&lt;="&amp;B9,CDS_Schedule!$N$7:$N$46)</f>
        <v/>
      </c>
      <c r="H9" s="35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56">
        <f>((C10/10000)*(B10-VAL_DATE)/365-(C9/10000)*(B9-VAL_DATE)/365)/((1-CDS_Parameters!$B$8)*((B10-VAL_DATE)/365-(B9-VAL_DATE)/365))</f>
        <v/>
      </c>
      <c r="E10" s="35">
        <f>INDEX(CDS_Schedule!$K$7:$K$46,MATCH(B10,CDS_Schedule!$C$7:$C$46,1))</f>
        <v/>
      </c>
      <c r="F10" s="35">
        <f>1-E10</f>
        <v/>
      </c>
      <c r="G10" s="17">
        <f>SUMIF(CDS_Schedule!$C$7:$C$46,"&lt;="&amp;B10,CDS_Schedule!$M$7:$M$46)+SUMIF(CDS_Schedule!$C$7:$C$46,"&lt;="&amp;B10,CDS_Schedule!$N$7:$N$46)</f>
        <v/>
      </c>
      <c r="H10" s="35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56">
        <f>((C11/10000)*(B11-VAL_DATE)/365-(C10/10000)*(B10-VAL_DATE)/365)/((1-CDS_Parameters!$B$8)*((B11-VAL_DATE)/365-(B10-VAL_DATE)/365))</f>
        <v/>
      </c>
      <c r="E11" s="35">
        <f>INDEX(CDS_Schedule!$K$7:$K$46,MATCH(B11,CDS_Schedule!$C$7:$C$46,1))</f>
        <v/>
      </c>
      <c r="F11" s="35">
        <f>1-E11</f>
        <v/>
      </c>
      <c r="G11" s="17">
        <f>SUMIF(CDS_Schedule!$C$7:$C$46,"&lt;="&amp;B11,CDS_Schedule!$M$7:$M$46)+SUMIF(CDS_Schedule!$C$7:$C$46,"&lt;="&amp;B11,CDS_Schedule!$N$7:$N$46)</f>
        <v/>
      </c>
      <c r="H11" s="35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56">
        <f>((C12/10000)*(B12-VAL_DATE)/365-(C11/10000)*(B11-VAL_DATE)/365)/((1-CDS_Parameters!$B$8)*((B12-VAL_DATE)/365-(B11-VAL_DATE)/365))</f>
        <v/>
      </c>
      <c r="E12" s="35">
        <f>INDEX(CDS_Schedule!$K$7:$K$46,MATCH(B12,CDS_Schedule!$C$7:$C$46,1))</f>
        <v/>
      </c>
      <c r="F12" s="35">
        <f>1-E12</f>
        <v/>
      </c>
      <c r="G12" s="17">
        <f>SUMIF(CDS_Schedule!$C$7:$C$46,"&lt;="&amp;B12,CDS_Schedule!$M$7:$M$46)+SUMIF(CDS_Schedule!$C$7:$C$46,"&lt;="&amp;B12,CDS_Schedule!$N$7:$N$46)</f>
        <v/>
      </c>
      <c r="H12" s="35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,INDEX('Curve_Interface'!$L$8:$L$73,MATCH(C7,'Curve_Interface'!$K$8:$K$73,1)))</f>
        <v/>
      </c>
      <c r="H7" s="36">
        <f>IFERROR(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5">
        <f>1</f>
        <v/>
      </c>
      <c r="K7" s="35">
        <f>J7*EXP(-I7*E7)</f>
        <v/>
      </c>
      <c r="L7" s="35">
        <f>J7-K7</f>
        <v/>
      </c>
      <c r="M7" s="35">
        <f>D7*G7*K7</f>
        <v/>
      </c>
      <c r="N7" s="35">
        <f>(D7/2)*H7*L7</f>
        <v/>
      </c>
      <c r="O7" s="35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,INDEX('Curve_Interface'!$L$8:$L$73,MATCH(C8,'Curve_Interface'!$K$8:$K$73,1)))</f>
        <v/>
      </c>
      <c r="H8" s="36">
        <f>IFERROR(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5">
        <f>K7</f>
        <v/>
      </c>
      <c r="K8" s="35">
        <f>J8*EXP(-I8*E8)</f>
        <v/>
      </c>
      <c r="L8" s="35">
        <f>J8-K8</f>
        <v/>
      </c>
      <c r="M8" s="35">
        <f>D8*G8*K8</f>
        <v/>
      </c>
      <c r="N8" s="35">
        <f>(D8/2)*H8*L8</f>
        <v/>
      </c>
      <c r="O8" s="35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,INDEX('Curve_Interface'!$L$8:$L$73,MATCH(C9,'Curve_Interface'!$K$8:$K$73,1)))</f>
        <v/>
      </c>
      <c r="H9" s="36">
        <f>IFERROR(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5">
        <f>K8</f>
        <v/>
      </c>
      <c r="K9" s="35">
        <f>J9*EXP(-I9*E9)</f>
        <v/>
      </c>
      <c r="L9" s="35">
        <f>J9-K9</f>
        <v/>
      </c>
      <c r="M9" s="35">
        <f>D9*G9*K9</f>
        <v/>
      </c>
      <c r="N9" s="35">
        <f>(D9/2)*H9*L9</f>
        <v/>
      </c>
      <c r="O9" s="35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,INDEX('Curve_Interface'!$L$8:$L$73,MATCH(C10,'Curve_Interface'!$K$8:$K$73,1)))</f>
        <v/>
      </c>
      <c r="H10" s="36">
        <f>IFERROR(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5">
        <f>K9</f>
        <v/>
      </c>
      <c r="K10" s="35">
        <f>J10*EXP(-I10*E10)</f>
        <v/>
      </c>
      <c r="L10" s="35">
        <f>J10-K10</f>
        <v/>
      </c>
      <c r="M10" s="35">
        <f>D10*G10*K10</f>
        <v/>
      </c>
      <c r="N10" s="35">
        <f>(D10/2)*H10*L10</f>
        <v/>
      </c>
      <c r="O10" s="35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,INDEX('Curve_Interface'!$L$8:$L$73,MATCH(C11,'Curve_Interface'!$K$8:$K$73,1)))</f>
        <v/>
      </c>
      <c r="H11" s="36">
        <f>IFERROR(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5">
        <f>K10</f>
        <v/>
      </c>
      <c r="K11" s="35">
        <f>J11*EXP(-I11*E11)</f>
        <v/>
      </c>
      <c r="L11" s="35">
        <f>J11-K11</f>
        <v/>
      </c>
      <c r="M11" s="35">
        <f>D11*G11*K11</f>
        <v/>
      </c>
      <c r="N11" s="35">
        <f>(D11/2)*H11*L11</f>
        <v/>
      </c>
      <c r="O11" s="35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,INDEX('Curve_Interface'!$L$8:$L$73,MATCH(C12,'Curve_Interface'!$K$8:$K$73,1)))</f>
        <v/>
      </c>
      <c r="H12" s="36">
        <f>IFERROR(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5">
        <f>K11</f>
        <v/>
      </c>
      <c r="K12" s="35">
        <f>J12*EXP(-I12*E12)</f>
        <v/>
      </c>
      <c r="L12" s="35">
        <f>J12-K12</f>
        <v/>
      </c>
      <c r="M12" s="35">
        <f>D12*G12*K12</f>
        <v/>
      </c>
      <c r="N12" s="35">
        <f>(D12/2)*H12*L12</f>
        <v/>
      </c>
      <c r="O12" s="35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,INDEX('Curve_Interface'!$L$8:$L$73,MATCH(C13,'Curve_Interface'!$K$8:$K$73,1)))</f>
        <v/>
      </c>
      <c r="H13" s="36">
        <f>IFERROR(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5">
        <f>K12</f>
        <v/>
      </c>
      <c r="K13" s="35">
        <f>J13*EXP(-I13*E13)</f>
        <v/>
      </c>
      <c r="L13" s="35">
        <f>J13-K13</f>
        <v/>
      </c>
      <c r="M13" s="35">
        <f>D13*G13*K13</f>
        <v/>
      </c>
      <c r="N13" s="35">
        <f>(D13/2)*H13*L13</f>
        <v/>
      </c>
      <c r="O13" s="35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,INDEX('Curve_Interface'!$L$8:$L$73,MATCH(C14,'Curve_Interface'!$K$8:$K$73,1)))</f>
        <v/>
      </c>
      <c r="H14" s="36">
        <f>IFERROR(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5">
        <f>K13</f>
        <v/>
      </c>
      <c r="K14" s="35">
        <f>J14*EXP(-I14*E14)</f>
        <v/>
      </c>
      <c r="L14" s="35">
        <f>J14-K14</f>
        <v/>
      </c>
      <c r="M14" s="35">
        <f>D14*G14*K14</f>
        <v/>
      </c>
      <c r="N14" s="35">
        <f>(D14/2)*H14*L14</f>
        <v/>
      </c>
      <c r="O14" s="35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,INDEX('Curve_Interface'!$L$8:$L$73,MATCH(C15,'Curve_Interface'!$K$8:$K$73,1)))</f>
        <v/>
      </c>
      <c r="H15" s="36">
        <f>IFERROR(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5">
        <f>K14</f>
        <v/>
      </c>
      <c r="K15" s="35">
        <f>J15*EXP(-I15*E15)</f>
        <v/>
      </c>
      <c r="L15" s="35">
        <f>J15-K15</f>
        <v/>
      </c>
      <c r="M15" s="35">
        <f>D15*G15*K15</f>
        <v/>
      </c>
      <c r="N15" s="35">
        <f>(D15/2)*H15*L15</f>
        <v/>
      </c>
      <c r="O15" s="35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,INDEX('Curve_Interface'!$L$8:$L$73,MATCH(C16,'Curve_Interface'!$K$8:$K$73,1)))</f>
        <v/>
      </c>
      <c r="H16" s="36">
        <f>IFERROR(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5">
        <f>K15</f>
        <v/>
      </c>
      <c r="K16" s="35">
        <f>J16*EXP(-I16*E16)</f>
        <v/>
      </c>
      <c r="L16" s="35">
        <f>J16-K16</f>
        <v/>
      </c>
      <c r="M16" s="35">
        <f>D16*G16*K16</f>
        <v/>
      </c>
      <c r="N16" s="35">
        <f>(D16/2)*H16*L16</f>
        <v/>
      </c>
      <c r="O16" s="35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,INDEX('Curve_Interface'!$L$8:$L$73,MATCH(C17,'Curve_Interface'!$K$8:$K$73,1)))</f>
        <v/>
      </c>
      <c r="H17" s="36">
        <f>IFERROR(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5">
        <f>K16</f>
        <v/>
      </c>
      <c r="K17" s="35">
        <f>J17*EXP(-I17*E17)</f>
        <v/>
      </c>
      <c r="L17" s="35">
        <f>J17-K17</f>
        <v/>
      </c>
      <c r="M17" s="35">
        <f>D17*G17*K17</f>
        <v/>
      </c>
      <c r="N17" s="35">
        <f>(D17/2)*H17*L17</f>
        <v/>
      </c>
      <c r="O17" s="35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,INDEX('Curve_Interface'!$L$8:$L$73,MATCH(C18,'Curve_Interface'!$K$8:$K$73,1)))</f>
        <v/>
      </c>
      <c r="H18" s="36">
        <f>IFERROR(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5">
        <f>K17</f>
        <v/>
      </c>
      <c r="K18" s="35">
        <f>J18*EXP(-I18*E18)</f>
        <v/>
      </c>
      <c r="L18" s="35">
        <f>J18-K18</f>
        <v/>
      </c>
      <c r="M18" s="35">
        <f>D18*G18*K18</f>
        <v/>
      </c>
      <c r="N18" s="35">
        <f>(D18/2)*H18*L18</f>
        <v/>
      </c>
      <c r="O18" s="35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,INDEX('Curve_Interface'!$L$8:$L$73,MATCH(C19,'Curve_Interface'!$K$8:$K$73,1)))</f>
        <v/>
      </c>
      <c r="H19" s="36">
        <f>IFERROR(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5">
        <f>K18</f>
        <v/>
      </c>
      <c r="K19" s="35">
        <f>J19*EXP(-I19*E19)</f>
        <v/>
      </c>
      <c r="L19" s="35">
        <f>J19-K19</f>
        <v/>
      </c>
      <c r="M19" s="35">
        <f>D19*G19*K19</f>
        <v/>
      </c>
      <c r="N19" s="35">
        <f>(D19/2)*H19*L19</f>
        <v/>
      </c>
      <c r="O19" s="35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,INDEX('Curve_Interface'!$L$8:$L$73,MATCH(C20,'Curve_Interface'!$K$8:$K$73,1)))</f>
        <v/>
      </c>
      <c r="H20" s="36">
        <f>IFERROR(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5">
        <f>K19</f>
        <v/>
      </c>
      <c r="K20" s="35">
        <f>J20*EXP(-I20*E20)</f>
        <v/>
      </c>
      <c r="L20" s="35">
        <f>J20-K20</f>
        <v/>
      </c>
      <c r="M20" s="35">
        <f>D20*G20*K20</f>
        <v/>
      </c>
      <c r="N20" s="35">
        <f>(D20/2)*H20*L20</f>
        <v/>
      </c>
      <c r="O20" s="35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,INDEX('Curve_Interface'!$L$8:$L$73,MATCH(C21,'Curve_Interface'!$K$8:$K$73,1)))</f>
        <v/>
      </c>
      <c r="H21" s="36">
        <f>IFERROR(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5">
        <f>K20</f>
        <v/>
      </c>
      <c r="K21" s="35">
        <f>J21*EXP(-I21*E21)</f>
        <v/>
      </c>
      <c r="L21" s="35">
        <f>J21-K21</f>
        <v/>
      </c>
      <c r="M21" s="35">
        <f>D21*G21*K21</f>
        <v/>
      </c>
      <c r="N21" s="35">
        <f>(D21/2)*H21*L21</f>
        <v/>
      </c>
      <c r="O21" s="35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,INDEX('Curve_Interface'!$L$8:$L$73,MATCH(C22,'Curve_Interface'!$K$8:$K$73,1)))</f>
        <v/>
      </c>
      <c r="H22" s="36">
        <f>IFERROR(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5">
        <f>K21</f>
        <v/>
      </c>
      <c r="K22" s="35">
        <f>J22*EXP(-I22*E22)</f>
        <v/>
      </c>
      <c r="L22" s="35">
        <f>J22-K22</f>
        <v/>
      </c>
      <c r="M22" s="35">
        <f>D22*G22*K22</f>
        <v/>
      </c>
      <c r="N22" s="35">
        <f>(D22/2)*H22*L22</f>
        <v/>
      </c>
      <c r="O22" s="35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,INDEX('Curve_Interface'!$L$8:$L$73,MATCH(C23,'Curve_Interface'!$K$8:$K$73,1)))</f>
        <v/>
      </c>
      <c r="H23" s="36">
        <f>IFERROR(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5">
        <f>K22</f>
        <v/>
      </c>
      <c r="K23" s="35">
        <f>J23*EXP(-I23*E23)</f>
        <v/>
      </c>
      <c r="L23" s="35">
        <f>J23-K23</f>
        <v/>
      </c>
      <c r="M23" s="35">
        <f>D23*G23*K23</f>
        <v/>
      </c>
      <c r="N23" s="35">
        <f>(D23/2)*H23*L23</f>
        <v/>
      </c>
      <c r="O23" s="35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,INDEX('Curve_Interface'!$L$8:$L$73,MATCH(C24,'Curve_Interface'!$K$8:$K$73,1)))</f>
        <v/>
      </c>
      <c r="H24" s="36">
        <f>IFERROR(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5">
        <f>K23</f>
        <v/>
      </c>
      <c r="K24" s="35">
        <f>J24*EXP(-I24*E24)</f>
        <v/>
      </c>
      <c r="L24" s="35">
        <f>J24-K24</f>
        <v/>
      </c>
      <c r="M24" s="35">
        <f>D24*G24*K24</f>
        <v/>
      </c>
      <c r="N24" s="35">
        <f>(D24/2)*H24*L24</f>
        <v/>
      </c>
      <c r="O24" s="35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,INDEX('Curve_Interface'!$L$8:$L$73,MATCH(C25,'Curve_Interface'!$K$8:$K$73,1)))</f>
        <v/>
      </c>
      <c r="H25" s="36">
        <f>IFERROR(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5">
        <f>K24</f>
        <v/>
      </c>
      <c r="K25" s="35">
        <f>J25*EXP(-I25*E25)</f>
        <v/>
      </c>
      <c r="L25" s="35">
        <f>J25-K25</f>
        <v/>
      </c>
      <c r="M25" s="35">
        <f>D25*G25*K25</f>
        <v/>
      </c>
      <c r="N25" s="35">
        <f>(D25/2)*H25*L25</f>
        <v/>
      </c>
      <c r="O25" s="35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,INDEX('Curve_Interface'!$L$8:$L$73,MATCH(C26,'Curve_Interface'!$K$8:$K$73,1)))</f>
        <v/>
      </c>
      <c r="H26" s="36">
        <f>IFERROR(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5">
        <f>K25</f>
        <v/>
      </c>
      <c r="K26" s="35">
        <f>J26*EXP(-I26*E26)</f>
        <v/>
      </c>
      <c r="L26" s="35">
        <f>J26-K26</f>
        <v/>
      </c>
      <c r="M26" s="35">
        <f>D26*G26*K26</f>
        <v/>
      </c>
      <c r="N26" s="35">
        <f>(D26/2)*H26*L26</f>
        <v/>
      </c>
      <c r="O26" s="35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,INDEX('Curve_Interface'!$L$8:$L$73,MATCH(C27,'Curve_Interface'!$K$8:$K$73,1)))</f>
        <v/>
      </c>
      <c r="H27" s="36">
        <f>IFERROR(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5">
        <f>K26</f>
        <v/>
      </c>
      <c r="K27" s="35">
        <f>J27*EXP(-I27*E27)</f>
        <v/>
      </c>
      <c r="L27" s="35">
        <f>J27-K27</f>
        <v/>
      </c>
      <c r="M27" s="35">
        <f>D27*G27*K27</f>
        <v/>
      </c>
      <c r="N27" s="35">
        <f>(D27/2)*H27*L27</f>
        <v/>
      </c>
      <c r="O27" s="35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,INDEX('Curve_Interface'!$L$8:$L$73,MATCH(C28,'Curve_Interface'!$K$8:$K$73,1)))</f>
        <v/>
      </c>
      <c r="H28" s="36">
        <f>IFERROR(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5">
        <f>K27</f>
        <v/>
      </c>
      <c r="K28" s="35">
        <f>J28*EXP(-I28*E28)</f>
        <v/>
      </c>
      <c r="L28" s="35">
        <f>J28-K28</f>
        <v/>
      </c>
      <c r="M28" s="35">
        <f>D28*G28*K28</f>
        <v/>
      </c>
      <c r="N28" s="35">
        <f>(D28/2)*H28*L28</f>
        <v/>
      </c>
      <c r="O28" s="35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,INDEX('Curve_Interface'!$L$8:$L$73,MATCH(C29,'Curve_Interface'!$K$8:$K$73,1)))</f>
        <v/>
      </c>
      <c r="H29" s="36">
        <f>IFERROR(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5">
        <f>K28</f>
        <v/>
      </c>
      <c r="K29" s="35">
        <f>J29*EXP(-I29*E29)</f>
        <v/>
      </c>
      <c r="L29" s="35">
        <f>J29-K29</f>
        <v/>
      </c>
      <c r="M29" s="35">
        <f>D29*G29*K29</f>
        <v/>
      </c>
      <c r="N29" s="35">
        <f>(D29/2)*H29*L29</f>
        <v/>
      </c>
      <c r="O29" s="35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,INDEX('Curve_Interface'!$L$8:$L$73,MATCH(C30,'Curve_Interface'!$K$8:$K$73,1)))</f>
        <v/>
      </c>
      <c r="H30" s="36">
        <f>IFERROR(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5">
        <f>K29</f>
        <v/>
      </c>
      <c r="K30" s="35">
        <f>J30*EXP(-I30*E30)</f>
        <v/>
      </c>
      <c r="L30" s="35">
        <f>J30-K30</f>
        <v/>
      </c>
      <c r="M30" s="35">
        <f>D30*G30*K30</f>
        <v/>
      </c>
      <c r="N30" s="35">
        <f>(D30/2)*H30*L30</f>
        <v/>
      </c>
      <c r="O30" s="35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,INDEX('Curve_Interface'!$L$8:$L$73,MATCH(C31,'Curve_Interface'!$K$8:$K$73,1)))</f>
        <v/>
      </c>
      <c r="H31" s="36">
        <f>IFERROR(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5">
        <f>K30</f>
        <v/>
      </c>
      <c r="K31" s="35">
        <f>J31*EXP(-I31*E31)</f>
        <v/>
      </c>
      <c r="L31" s="35">
        <f>J31-K31</f>
        <v/>
      </c>
      <c r="M31" s="35">
        <f>D31*G31*K31</f>
        <v/>
      </c>
      <c r="N31" s="35">
        <f>(D31/2)*H31*L31</f>
        <v/>
      </c>
      <c r="O31" s="35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,INDEX('Curve_Interface'!$L$8:$L$73,MATCH(C32,'Curve_Interface'!$K$8:$K$73,1)))</f>
        <v/>
      </c>
      <c r="H32" s="36">
        <f>IFERROR(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5">
        <f>K31</f>
        <v/>
      </c>
      <c r="K32" s="35">
        <f>J32*EXP(-I32*E32)</f>
        <v/>
      </c>
      <c r="L32" s="35">
        <f>J32-K32</f>
        <v/>
      </c>
      <c r="M32" s="35">
        <f>D32*G32*K32</f>
        <v/>
      </c>
      <c r="N32" s="35">
        <f>(D32/2)*H32*L32</f>
        <v/>
      </c>
      <c r="O32" s="35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,INDEX('Curve_Interface'!$L$8:$L$73,MATCH(C33,'Curve_Interface'!$K$8:$K$73,1)))</f>
        <v/>
      </c>
      <c r="H33" s="36">
        <f>IFERROR(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5">
        <f>K32</f>
        <v/>
      </c>
      <c r="K33" s="35">
        <f>J33*EXP(-I33*E33)</f>
        <v/>
      </c>
      <c r="L33" s="35">
        <f>J33-K33</f>
        <v/>
      </c>
      <c r="M33" s="35">
        <f>D33*G33*K33</f>
        <v/>
      </c>
      <c r="N33" s="35">
        <f>(D33/2)*H33*L33</f>
        <v/>
      </c>
      <c r="O33" s="35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,INDEX('Curve_Interface'!$L$8:$L$73,MATCH(C34,'Curve_Interface'!$K$8:$K$73,1)))</f>
        <v/>
      </c>
      <c r="H34" s="36">
        <f>IFERROR(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5">
        <f>K33</f>
        <v/>
      </c>
      <c r="K34" s="35">
        <f>J34*EXP(-I34*E34)</f>
        <v/>
      </c>
      <c r="L34" s="35">
        <f>J34-K34</f>
        <v/>
      </c>
      <c r="M34" s="35">
        <f>D34*G34*K34</f>
        <v/>
      </c>
      <c r="N34" s="35">
        <f>(D34/2)*H34*L34</f>
        <v/>
      </c>
      <c r="O34" s="35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,INDEX('Curve_Interface'!$L$8:$L$73,MATCH(C35,'Curve_Interface'!$K$8:$K$73,1)))</f>
        <v/>
      </c>
      <c r="H35" s="36">
        <f>IFERROR(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5">
        <f>K34</f>
        <v/>
      </c>
      <c r="K35" s="35">
        <f>J35*EXP(-I35*E35)</f>
        <v/>
      </c>
      <c r="L35" s="35">
        <f>J35-K35</f>
        <v/>
      </c>
      <c r="M35" s="35">
        <f>D35*G35*K35</f>
        <v/>
      </c>
      <c r="N35" s="35">
        <f>(D35/2)*H35*L35</f>
        <v/>
      </c>
      <c r="O35" s="35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,INDEX('Curve_Interface'!$L$8:$L$73,MATCH(C36,'Curve_Interface'!$K$8:$K$73,1)))</f>
        <v/>
      </c>
      <c r="H36" s="36">
        <f>IFERROR(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5">
        <f>K35</f>
        <v/>
      </c>
      <c r="K36" s="35">
        <f>J36*EXP(-I36*E36)</f>
        <v/>
      </c>
      <c r="L36" s="35">
        <f>J36-K36</f>
        <v/>
      </c>
      <c r="M36" s="35">
        <f>D36*G36*K36</f>
        <v/>
      </c>
      <c r="N36" s="35">
        <f>(D36/2)*H36*L36</f>
        <v/>
      </c>
      <c r="O36" s="35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,INDEX('Curve_Interface'!$L$8:$L$73,MATCH(C37,'Curve_Interface'!$K$8:$K$73,1)))</f>
        <v/>
      </c>
      <c r="H37" s="36">
        <f>IFERROR(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5">
        <f>K36</f>
        <v/>
      </c>
      <c r="K37" s="35">
        <f>J37*EXP(-I37*E37)</f>
        <v/>
      </c>
      <c r="L37" s="35">
        <f>J37-K37</f>
        <v/>
      </c>
      <c r="M37" s="35">
        <f>D37*G37*K37</f>
        <v/>
      </c>
      <c r="N37" s="35">
        <f>(D37/2)*H37*L37</f>
        <v/>
      </c>
      <c r="O37" s="35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,INDEX('Curve_Interface'!$L$8:$L$73,MATCH(C38,'Curve_Interface'!$K$8:$K$73,1)))</f>
        <v/>
      </c>
      <c r="H38" s="36">
        <f>IFERROR(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5">
        <f>K37</f>
        <v/>
      </c>
      <c r="K38" s="35">
        <f>J38*EXP(-I38*E38)</f>
        <v/>
      </c>
      <c r="L38" s="35">
        <f>J38-K38</f>
        <v/>
      </c>
      <c r="M38" s="35">
        <f>D38*G38*K38</f>
        <v/>
      </c>
      <c r="N38" s="35">
        <f>(D38/2)*H38*L38</f>
        <v/>
      </c>
      <c r="O38" s="35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,INDEX('Curve_Interface'!$L$8:$L$73,MATCH(C39,'Curve_Interface'!$K$8:$K$73,1)))</f>
        <v/>
      </c>
      <c r="H39" s="36">
        <f>IFERROR(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5">
        <f>K38</f>
        <v/>
      </c>
      <c r="K39" s="35">
        <f>J39*EXP(-I39*E39)</f>
        <v/>
      </c>
      <c r="L39" s="35">
        <f>J39-K39</f>
        <v/>
      </c>
      <c r="M39" s="35">
        <f>D39*G39*K39</f>
        <v/>
      </c>
      <c r="N39" s="35">
        <f>(D39/2)*H39*L39</f>
        <v/>
      </c>
      <c r="O39" s="35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,INDEX('Curve_Interface'!$L$8:$L$73,MATCH(C40,'Curve_Interface'!$K$8:$K$73,1)))</f>
        <v/>
      </c>
      <c r="H40" s="36">
        <f>IFERROR(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5">
        <f>K39</f>
        <v/>
      </c>
      <c r="K40" s="35">
        <f>J40*EXP(-I40*E40)</f>
        <v/>
      </c>
      <c r="L40" s="35">
        <f>J40-K40</f>
        <v/>
      </c>
      <c r="M40" s="35">
        <f>D40*G40*K40</f>
        <v/>
      </c>
      <c r="N40" s="35">
        <f>(D40/2)*H40*L40</f>
        <v/>
      </c>
      <c r="O40" s="35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,INDEX('Curve_Interface'!$L$8:$L$73,MATCH(C41,'Curve_Interface'!$K$8:$K$73,1)))</f>
        <v/>
      </c>
      <c r="H41" s="36">
        <f>IFERROR(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5">
        <f>K40</f>
        <v/>
      </c>
      <c r="K41" s="35">
        <f>J41*EXP(-I41*E41)</f>
        <v/>
      </c>
      <c r="L41" s="35">
        <f>J41-K41</f>
        <v/>
      </c>
      <c r="M41" s="35">
        <f>D41*G41*K41</f>
        <v/>
      </c>
      <c r="N41" s="35">
        <f>(D41/2)*H41*L41</f>
        <v/>
      </c>
      <c r="O41" s="35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,INDEX('Curve_Interface'!$L$8:$L$73,MATCH(C42,'Curve_Interface'!$K$8:$K$73,1)))</f>
        <v/>
      </c>
      <c r="H42" s="36">
        <f>IFERROR(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5">
        <f>K41</f>
        <v/>
      </c>
      <c r="K42" s="35">
        <f>J42*EXP(-I42*E42)</f>
        <v/>
      </c>
      <c r="L42" s="35">
        <f>J42-K42</f>
        <v/>
      </c>
      <c r="M42" s="35">
        <f>D42*G42*K42</f>
        <v/>
      </c>
      <c r="N42" s="35">
        <f>(D42/2)*H42*L42</f>
        <v/>
      </c>
      <c r="O42" s="35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,INDEX('Curve_Interface'!$L$8:$L$73,MATCH(C43,'Curve_Interface'!$K$8:$K$73,1)))</f>
        <v/>
      </c>
      <c r="H43" s="36">
        <f>IFERROR(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5">
        <f>K42</f>
        <v/>
      </c>
      <c r="K43" s="35">
        <f>J43*EXP(-I43*E43)</f>
        <v/>
      </c>
      <c r="L43" s="35">
        <f>J43-K43</f>
        <v/>
      </c>
      <c r="M43" s="35">
        <f>D43*G43*K43</f>
        <v/>
      </c>
      <c r="N43" s="35">
        <f>(D43/2)*H43*L43</f>
        <v/>
      </c>
      <c r="O43" s="35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,INDEX('Curve_Interface'!$L$8:$L$73,MATCH(C44,'Curve_Interface'!$K$8:$K$73,1)))</f>
        <v/>
      </c>
      <c r="H44" s="36">
        <f>IFERROR(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5">
        <f>K43</f>
        <v/>
      </c>
      <c r="K44" s="35">
        <f>J44*EXP(-I44*E44)</f>
        <v/>
      </c>
      <c r="L44" s="35">
        <f>J44-K44</f>
        <v/>
      </c>
      <c r="M44" s="35">
        <f>D44*G44*K44</f>
        <v/>
      </c>
      <c r="N44" s="35">
        <f>(D44/2)*H44*L44</f>
        <v/>
      </c>
      <c r="O44" s="35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,INDEX('Curve_Interface'!$L$8:$L$73,MATCH(C45,'Curve_Interface'!$K$8:$K$73,1)))</f>
        <v/>
      </c>
      <c r="H45" s="36">
        <f>IFERROR(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5">
        <f>K44</f>
        <v/>
      </c>
      <c r="K45" s="35">
        <f>J45*EXP(-I45*E45)</f>
        <v/>
      </c>
      <c r="L45" s="35">
        <f>J45-K45</f>
        <v/>
      </c>
      <c r="M45" s="35">
        <f>D45*G45*K45</f>
        <v/>
      </c>
      <c r="N45" s="35">
        <f>(D45/2)*H45*L45</f>
        <v/>
      </c>
      <c r="O45" s="35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,INDEX('Curve_Interface'!$L$8:$L$73,MATCH(C46,'Curve_Interface'!$K$8:$K$73,1)))</f>
        <v/>
      </c>
      <c r="H46" s="36">
        <f>IFERROR(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5">
        <f>K45</f>
        <v/>
      </c>
      <c r="K46" s="35">
        <f>J46*EXP(-I46*E46)</f>
        <v/>
      </c>
      <c r="L46" s="35">
        <f>J46-K46</f>
        <v/>
      </c>
      <c r="M46" s="35">
        <f>D46*G46*K46</f>
        <v/>
      </c>
      <c r="N46" s="35">
        <f>(D46/2)*H46*L46</f>
        <v/>
      </c>
      <c r="O46" s="35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A21:H21"/>
    <mergeCell ref="C16:H16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2026-07-21T11:46:38Z</dcterms:created>
  <dcterms:modified xmlns:dcterms="http://purl.org/dc/terms/" xmlns:xsi="http://www.w3.org/2001/XMLSchema-instance" xsi:type="dcterms:W3CDTF">2026-07-21T11:46:38Z</dcterms:modified>
</cp:coreProperties>
</file>