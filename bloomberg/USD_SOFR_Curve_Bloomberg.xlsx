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Curve_Solver" sheetId="9" state="hidden" r:id="rId9"/>
    <sheet xmlns:r="http://schemas.openxmlformats.org/officeDocument/2006/relationships" name="Fwd_Interp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Swap_Pricer" sheetId="12" state="visible" r:id="rId12"/>
    <sheet xmlns:r="http://schemas.openxmlformats.org/officeDocument/2006/relationships" name="Bloomberg_S490_Validation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Hazard_Solver" sheetId="18" state="hidden" r:id="rId18"/>
    <sheet xmlns:r="http://schemas.openxmlformats.org/officeDocument/2006/relationships" name="CDS_Schedule" sheetId="19" state="visible" r:id="rId19"/>
    <sheet xmlns:r="http://schemas.openxmlformats.org/officeDocument/2006/relationships" name="CDS_Pricer" sheetId="20" state="visible" r:id="rId20"/>
    <sheet xmlns:r="http://schemas.openxmlformats.org/officeDocument/2006/relationships" name="CDS_Validation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34" t="n">
        <v>46224</v>
      </c>
      <c r="C9" s="8" t="inlineStr">
        <is>
          <t>VAL_DATE</t>
        </is>
      </c>
      <c r="D9" s="135" t="inlineStr">
        <is>
          <t>Pinned to the S490 capture date, not =TODAY(). The frozen targets, the settlement date and the accrued count are all anchored to it. Change it only when re-capturing market data.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S4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 &lt;- S490_Snapshot</t>
        </is>
      </c>
      <c r="K4" s="62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06" t="inlineStr">
        <is>
          <t>Export Bid (paste)</t>
        </is>
      </c>
      <c r="O4" s="106" t="inlineStr">
        <is>
          <t>Export Ask (paste)</t>
        </is>
      </c>
      <c r="P4" s="106" t="inlineStr">
        <is>
          <t>Export Mid</t>
        </is>
      </c>
      <c r="Q4" s="106" t="inlineStr">
        <is>
          <t>d Bid (bp)</t>
        </is>
      </c>
      <c r="R4" s="106" t="inlineStr">
        <is>
          <t>d Ask (bp)</t>
        </is>
      </c>
      <c r="S4" s="106" t="inlineStr">
        <is>
          <t>d Mid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97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107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97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107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97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107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97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107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97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107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97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107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97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107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97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107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97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107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97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107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97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107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97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107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97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107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97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107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97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107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97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107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97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107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97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107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97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107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97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107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97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107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97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107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97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107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97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107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97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107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97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107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97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107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97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107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97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107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97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107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97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107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97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107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>
      <c r="A6" s="62" t="inlineStr">
        <is>
          <t>Date</t>
        </is>
      </c>
      <c r="B6" s="62" t="inlineStr">
        <is>
          <t>Tenor</t>
        </is>
      </c>
      <c r="C6" s="62" t="inlineStr">
        <is>
          <t>Market rate (%)</t>
        </is>
      </c>
      <c r="D6" s="62" t="inlineStr">
        <is>
          <t>Zero rate (%)</t>
        </is>
      </c>
      <c r="E6" s="62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85" t="n">
        <v>3.6376</v>
      </c>
      <c r="D7" s="85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85" t="n">
        <v>3.6733</v>
      </c>
      <c r="D8" s="85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85" t="n">
        <v>3.68739</v>
      </c>
      <c r="D9" s="85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85" t="n">
        <v>3.69655</v>
      </c>
      <c r="D10" s="85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85" t="n">
        <v>3.72255</v>
      </c>
      <c r="D11" s="85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85" t="n">
        <v>3.77525</v>
      </c>
      <c r="D12" s="85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85" t="n">
        <v>3.82085</v>
      </c>
      <c r="D13" s="85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85" t="n">
        <v>3.8622</v>
      </c>
      <c r="D14" s="85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85" t="n">
        <v>3.908</v>
      </c>
      <c r="D15" s="85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85" t="n">
        <v>3.9415</v>
      </c>
      <c r="D16" s="85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85" t="n">
        <v>3.96975</v>
      </c>
      <c r="D17" s="85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85" t="n">
        <v>4.0007</v>
      </c>
      <c r="D18" s="85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85" t="n">
        <v>4.02865</v>
      </c>
      <c r="D19" s="85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85" t="n">
        <v>4.0523</v>
      </c>
      <c r="D20" s="85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85" t="n">
        <v>4.07315</v>
      </c>
      <c r="D21" s="85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85" t="n">
        <v>4.0909</v>
      </c>
      <c r="D22" s="85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85" t="n">
        <v>4.09656</v>
      </c>
      <c r="D23" s="85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85" t="n">
        <v>4.07655</v>
      </c>
      <c r="D24" s="85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85" t="n">
        <v>4.06655</v>
      </c>
      <c r="D25" s="85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85" t="n">
        <v>4.0715</v>
      </c>
      <c r="D26" s="85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85" t="n">
        <v>4.0891</v>
      </c>
      <c r="D27" s="85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85" t="n">
        <v>4.1126</v>
      </c>
      <c r="D28" s="85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85" t="n">
        <v>4.13925</v>
      </c>
      <c r="D29" s="85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85" t="n">
        <v>4.1687</v>
      </c>
      <c r="D30" s="85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85" t="n">
        <v>4.19995</v>
      </c>
      <c r="D31" s="85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85" t="n">
        <v>4.264</v>
      </c>
      <c r="D32" s="85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85" t="n">
        <v>4.34865</v>
      </c>
      <c r="D33" s="85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85" t="n">
        <v>4.41995</v>
      </c>
      <c r="D34" s="85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85" t="n">
        <v>4.41615</v>
      </c>
      <c r="D35" s="85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85" t="n">
        <v>4.37685</v>
      </c>
      <c r="D36" s="85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85" t="n">
        <v>4.25755</v>
      </c>
      <c r="D37" s="85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85" t="n">
        <v>4.12427</v>
      </c>
      <c r="D38" s="85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92" t="inlineStr">
        <is>
          <t>Par rate S (%) dynamic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X7" s="62" t="inlineStr">
        <is>
          <t>Par rate S hard-coded (%)</t>
        </is>
      </c>
      <c r="Y7" s="62" t="inlineStr">
        <is>
          <t>d dynamic - hard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84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84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84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84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84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84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84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84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84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84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84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84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84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84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84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84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84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84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84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84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84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84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84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84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84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84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84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84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84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84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84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84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84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84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84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84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84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84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84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84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84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84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84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84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84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84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84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84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84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84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84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84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84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84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84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84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84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84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84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84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84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84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84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84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84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E is the live BDP mid via SOFR_OIS_Quotes!H, falling back to the frozen mids. X reads S490_Snapshot directly. Off-terminal both resolve to the same numbers so Y is 0.00; on a terminal Y is how far the pull has moved.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&lt;- S490_Snapshot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P7" s="62" t="inlineStr">
        <is>
          <t>Par S dynamic (%)</t>
        </is>
      </c>
      <c r="Q7" s="62" t="inlineStr">
        <is>
          <t>Par S hard-coded (%)</t>
        </is>
      </c>
      <c r="R7" s="62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97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85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84">
        <f>IF(ISNUMBER(Bootstrap!E8),Bootstrap!E8,"")</f>
        <v/>
      </c>
      <c r="Q8" s="84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97">
        <f>IFERROR(INDEX(S490_Snapshot!$D$7:$D$38,MATCH(B9,S490_Snapshot!$A$7:$A$38,0)),"")</f>
        <v/>
      </c>
      <c r="L9" s="85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84">
        <f>IF(ISNUMBER(Bootstrap!E9),Bootstrap!E9,"")</f>
        <v/>
      </c>
      <c r="Q9" s="84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97">
        <f>IFERROR(INDEX(S490_Snapshot!$D$7:$D$38,MATCH(B10,S490_Snapshot!$A$7:$A$38,0)),"")</f>
        <v/>
      </c>
      <c r="L10" s="85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84">
        <f>IF(ISNUMBER(Bootstrap!E10),Bootstrap!E10,"")</f>
        <v/>
      </c>
      <c r="Q10" s="84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97">
        <f>IFERROR(INDEX(S490_Snapshot!$D$7:$D$38,MATCH(B11,S490_Snapshot!$A$7:$A$38,0)),"")</f>
        <v/>
      </c>
      <c r="L11" s="85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84">
        <f>IF(ISNUMBER(Bootstrap!E11),Bootstrap!E11,"")</f>
        <v/>
      </c>
      <c r="Q11" s="84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97">
        <f>IFERROR(INDEX(S490_Snapshot!$D$7:$D$38,MATCH(B12,S490_Snapshot!$A$7:$A$38,0)),"")</f>
        <v/>
      </c>
      <c r="J12" s="93">
        <f>BDS(S490_TKR,"CURVE_TENOR_RATES")</f>
        <v/>
      </c>
      <c r="L12" s="85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84">
        <f>IF(ISNUMBER(Bootstrap!E12),Bootstrap!E12,"")</f>
        <v/>
      </c>
      <c r="Q12" s="84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97">
        <f>IFERROR(INDEX(S490_Snapshot!$D$7:$D$38,MATCH(B13,S490_Snapshot!$A$7:$A$38,0)),"")</f>
        <v/>
      </c>
      <c r="L13" s="85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84">
        <f>IF(ISNUMBER(Bootstrap!E13),Bootstrap!E13,"")</f>
        <v/>
      </c>
      <c r="Q13" s="84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97">
        <f>IFERROR(INDEX(S490_Snapshot!$D$7:$D$38,MATCH(B14,S490_Snapshot!$A$7:$A$38,0)),"")</f>
        <v/>
      </c>
      <c r="L14" s="85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84">
        <f>IF(ISNUMBER(Bootstrap!E14),Bootstrap!E14,"")</f>
        <v/>
      </c>
      <c r="Q14" s="84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97">
        <f>IFERROR(INDEX(S490_Snapshot!$D$7:$D$38,MATCH(B15,S490_Snapshot!$A$7:$A$38,0)),"")</f>
        <v/>
      </c>
      <c r="L15" s="85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84">
        <f>IF(ISNUMBER(Bootstrap!E15),Bootstrap!E15,"")</f>
        <v/>
      </c>
      <c r="Q15" s="84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97">
        <f>IFERROR(INDEX(S490_Snapshot!$D$7:$D$38,MATCH(B16,S490_Snapshot!$A$7:$A$38,0)),"")</f>
        <v/>
      </c>
      <c r="L16" s="85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84">
        <f>IF(ISNUMBER(Bootstrap!E16),Bootstrap!E16,"")</f>
        <v/>
      </c>
      <c r="Q16" s="84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97">
        <f>IFERROR(INDEX(S490_Snapshot!$D$7:$D$38,MATCH(B17,S490_Snapshot!$A$7:$A$38,0)),"")</f>
        <v/>
      </c>
      <c r="L17" s="85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84">
        <f>IF(ISNUMBER(Bootstrap!E17),Bootstrap!E17,"")</f>
        <v/>
      </c>
      <c r="Q17" s="84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97">
        <f>IFERROR(INDEX(S490_Snapshot!$D$7:$D$38,MATCH(B18,S490_Snapshot!$A$7:$A$38,0)),"")</f>
        <v/>
      </c>
      <c r="L18" s="85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84">
        <f>IF(ISNUMBER(Bootstrap!E18),Bootstrap!E18,"")</f>
        <v/>
      </c>
      <c r="Q18" s="84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97">
        <f>IFERROR(INDEX(S490_Snapshot!$D$7:$D$38,MATCH(B19,S490_Snapshot!$A$7:$A$38,0)),"")</f>
        <v/>
      </c>
      <c r="L19" s="85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84">
        <f>IF(ISNUMBER(Bootstrap!E19),Bootstrap!E19,"")</f>
        <v/>
      </c>
      <c r="Q19" s="84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97">
        <f>IFERROR(INDEX(S490_Snapshot!$D$7:$D$38,MATCH(B20,S490_Snapshot!$A$7:$A$38,0)),"")</f>
        <v/>
      </c>
      <c r="L20" s="85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84">
        <f>IF(ISNUMBER(Bootstrap!E20),Bootstrap!E20,"")</f>
        <v/>
      </c>
      <c r="Q20" s="84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97">
        <f>IFERROR(INDEX(S490_Snapshot!$D$7:$D$38,MATCH(B21,S490_Snapshot!$A$7:$A$38,0)),"")</f>
        <v/>
      </c>
      <c r="L21" s="85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84">
        <f>IF(ISNUMBER(Bootstrap!E21),Bootstrap!E21,"")</f>
        <v/>
      </c>
      <c r="Q21" s="84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97">
        <f>IFERROR(INDEX(S490_Snapshot!$D$7:$D$38,MATCH(B22,S490_Snapshot!$A$7:$A$38,0)),"")</f>
        <v/>
      </c>
      <c r="L22" s="85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84">
        <f>IF(ISNUMBER(Bootstrap!E22),Bootstrap!E22,"")</f>
        <v/>
      </c>
      <c r="Q22" s="84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97">
        <f>IFERROR(INDEX(S490_Snapshot!$D$7:$D$38,MATCH(B23,S490_Snapshot!$A$7:$A$38,0)),"")</f>
        <v/>
      </c>
      <c r="L23" s="85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84">
        <f>IF(ISNUMBER(Bootstrap!E23),Bootstrap!E23,"")</f>
        <v/>
      </c>
      <c r="Q23" s="84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97">
        <f>IFERROR(INDEX(S490_Snapshot!$D$7:$D$38,MATCH(B24,S490_Snapshot!$A$7:$A$38,0)),"")</f>
        <v/>
      </c>
      <c r="L24" s="85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84">
        <f>IF(ISNUMBER(Bootstrap!E24),Bootstrap!E24,"")</f>
        <v/>
      </c>
      <c r="Q24" s="84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97">
        <f>IFERROR(INDEX(S490_Snapshot!$D$7:$D$38,MATCH(B25,S490_Snapshot!$A$7:$A$38,0)),"")</f>
        <v/>
      </c>
      <c r="L25" s="85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84">
        <f>IF(ISNUMBER(Bootstrap!E25),Bootstrap!E25,"")</f>
        <v/>
      </c>
      <c r="Q25" s="84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97">
        <f>IFERROR(INDEX(S490_Snapshot!$D$7:$D$38,MATCH(B26,S490_Snapshot!$A$7:$A$38,0)),"")</f>
        <v/>
      </c>
      <c r="L26" s="85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84">
        <f>IF(ISNUMBER(Bootstrap!E26),Bootstrap!E26,"")</f>
        <v/>
      </c>
      <c r="Q26" s="84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97">
        <f>IFERROR(INDEX(S490_Snapshot!$D$7:$D$38,MATCH(B27,S490_Snapshot!$A$7:$A$38,0)),"")</f>
        <v/>
      </c>
      <c r="L27" s="85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84">
        <f>IF(ISNUMBER(Bootstrap!E27),Bootstrap!E27,"")</f>
        <v/>
      </c>
      <c r="Q27" s="84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97">
        <f>IFERROR(INDEX(S490_Snapshot!$D$7:$D$38,MATCH(B28,S490_Snapshot!$A$7:$A$38,0)),"")</f>
        <v/>
      </c>
      <c r="L28" s="85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84">
        <f>IF(ISNUMBER(Bootstrap!E28),Bootstrap!E28,"")</f>
        <v/>
      </c>
      <c r="Q28" s="84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97">
        <f>IFERROR(INDEX(S490_Snapshot!$D$7:$D$38,MATCH(B29,S490_Snapshot!$A$7:$A$38,0)),"")</f>
        <v/>
      </c>
      <c r="L29" s="85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84">
        <f>IF(ISNUMBER(Bootstrap!E29),Bootstrap!E29,"")</f>
        <v/>
      </c>
      <c r="Q29" s="84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97">
        <f>IFERROR(INDEX(S490_Snapshot!$D$7:$D$38,MATCH(B30,S490_Snapshot!$A$7:$A$38,0)),"")</f>
        <v/>
      </c>
      <c r="L30" s="85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84">
        <f>IF(ISNUMBER(Bootstrap!E30),Bootstrap!E30,"")</f>
        <v/>
      </c>
      <c r="Q30" s="84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97">
        <f>IFERROR(INDEX(S490_Snapshot!$D$7:$D$38,MATCH(B31,S490_Snapshot!$A$7:$A$38,0)),"")</f>
        <v/>
      </c>
      <c r="L31" s="85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84">
        <f>IF(ISNUMBER(Bootstrap!E31),Bootstrap!E31,"")</f>
        <v/>
      </c>
      <c r="Q31" s="84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97">
        <f>IFERROR(INDEX(S490_Snapshot!$D$7:$D$38,MATCH(B32,S490_Snapshot!$A$7:$A$38,0)),"")</f>
        <v/>
      </c>
      <c r="L32" s="85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84">
        <f>IF(ISNUMBER(Bootstrap!E32),Bootstrap!E32,"")</f>
        <v/>
      </c>
      <c r="Q32" s="84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97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84">
        <f>IF(ISNUMBER(Bootstrap!E33),Bootstrap!E33,"")</f>
        <v/>
      </c>
      <c r="Q33" s="84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97">
        <f>IFERROR(INDEX(S490_Snapshot!$D$7:$D$38,MATCH(B34,S490_Snapshot!$A$7:$A$38,0)),"")</f>
        <v/>
      </c>
      <c r="L34" s="85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84">
        <f>IF(ISNUMBER(Bootstrap!E34),Bootstrap!E34,"")</f>
        <v/>
      </c>
      <c r="Q34" s="84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97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84">
        <f>IF(ISNUMBER(Bootstrap!E35),Bootstrap!E35,"")</f>
        <v/>
      </c>
      <c r="Q35" s="84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97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84">
        <f>IF(ISNUMBER(Bootstrap!E36),Bootstrap!E36,"")</f>
        <v/>
      </c>
      <c r="Q36" s="84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97">
        <f>IFERROR(INDEX(S490_Snapshot!$D$7:$D$38,MATCH(B37,S490_Snapshot!$A$7:$A$38,0)),"")</f>
        <v/>
      </c>
      <c r="L37" s="85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84">
        <f>IF(ISNUMBER(Bootstrap!E37),Bootstrap!E37,"")</f>
        <v/>
      </c>
      <c r="Q37" s="84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97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84">
        <f>IF(ISNUMBER(Bootstrap!E38),Bootstrap!E38,"")</f>
        <v/>
      </c>
      <c r="Q38" s="84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97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84">
        <f>IF(ISNUMBER(Bootstrap!E39),Bootstrap!E39,"")</f>
        <v/>
      </c>
      <c r="Q39" s="84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97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84">
        <f>IF(ISNUMBER(Bootstrap!E40),Bootstrap!E40,"")</f>
        <v/>
      </c>
      <c r="Q40" s="84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97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84">
        <f>IF(ISNUMBER(Bootstrap!E41),Bootstrap!E41,"")</f>
        <v/>
      </c>
      <c r="Q41" s="84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97">
        <f>IFERROR(INDEX(S490_Snapshot!$D$7:$D$38,MATCH(B42,S490_Snapshot!$A$7:$A$38,0)),"")</f>
        <v/>
      </c>
      <c r="L42" s="85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84">
        <f>IF(ISNUMBER(Bootstrap!E42),Bootstrap!E42,"")</f>
        <v/>
      </c>
      <c r="Q42" s="84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97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84">
        <f>IF(ISNUMBER(Bootstrap!E43),Bootstrap!E43,"")</f>
        <v/>
      </c>
      <c r="Q43" s="84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97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84">
        <f>IF(ISNUMBER(Bootstrap!E44),Bootstrap!E44,"")</f>
        <v/>
      </c>
      <c r="Q44" s="84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97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84">
        <f>IF(ISNUMBER(Bootstrap!E45),Bootstrap!E45,"")</f>
        <v/>
      </c>
      <c r="Q45" s="84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97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84">
        <f>IF(ISNUMBER(Bootstrap!E46),Bootstrap!E46,"")</f>
        <v/>
      </c>
      <c r="Q46" s="84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97">
        <f>IFERROR(INDEX(S490_Snapshot!$D$7:$D$38,MATCH(B47,S490_Snapshot!$A$7:$A$38,0)),"")</f>
        <v/>
      </c>
      <c r="L47" s="85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84">
        <f>IF(ISNUMBER(Bootstrap!E47),Bootstrap!E47,"")</f>
        <v/>
      </c>
      <c r="Q47" s="84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97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84">
        <f>IF(ISNUMBER(Bootstrap!E48),Bootstrap!E48,"")</f>
        <v/>
      </c>
      <c r="Q48" s="84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97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84">
        <f>IF(ISNUMBER(Bootstrap!E49),Bootstrap!E49,"")</f>
        <v/>
      </c>
      <c r="Q49" s="84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97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84">
        <f>IF(ISNUMBER(Bootstrap!E50),Bootstrap!E50,"")</f>
        <v/>
      </c>
      <c r="Q50" s="84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97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84">
        <f>IF(ISNUMBER(Bootstrap!E51),Bootstrap!E51,"")</f>
        <v/>
      </c>
      <c r="Q51" s="84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97">
        <f>IFERROR(INDEX(S490_Snapshot!$D$7:$D$38,MATCH(B52,S490_Snapshot!$A$7:$A$38,0)),"")</f>
        <v/>
      </c>
      <c r="L52" s="85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84">
        <f>IF(ISNUMBER(Bootstrap!E52),Bootstrap!E52,"")</f>
        <v/>
      </c>
      <c r="Q52" s="84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97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84">
        <f>IF(ISNUMBER(Bootstrap!E53),Bootstrap!E53,"")</f>
        <v/>
      </c>
      <c r="Q53" s="84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97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84">
        <f>IF(ISNUMBER(Bootstrap!E54),Bootstrap!E54,"")</f>
        <v/>
      </c>
      <c r="Q54" s="84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97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84">
        <f>IF(ISNUMBER(Bootstrap!E55),Bootstrap!E55,"")</f>
        <v/>
      </c>
      <c r="Q55" s="84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97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84">
        <f>IF(ISNUMBER(Bootstrap!E56),Bootstrap!E56,"")</f>
        <v/>
      </c>
      <c r="Q56" s="84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97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84">
        <f>IF(ISNUMBER(Bootstrap!E57),Bootstrap!E57,"")</f>
        <v/>
      </c>
      <c r="Q57" s="84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97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84">
        <f>IF(ISNUMBER(Bootstrap!E58),Bootstrap!E58,"")</f>
        <v/>
      </c>
      <c r="Q58" s="84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97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84">
        <f>IF(ISNUMBER(Bootstrap!E59),Bootstrap!E59,"")</f>
        <v/>
      </c>
      <c r="Q59" s="84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97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84">
        <f>IF(ISNUMBER(Bootstrap!E60),Bootstrap!E60,"")</f>
        <v/>
      </c>
      <c r="Q60" s="84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97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84">
        <f>IF(ISNUMBER(Bootstrap!E61),Bootstrap!E61,"")</f>
        <v/>
      </c>
      <c r="Q61" s="84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97">
        <f>IFERROR(INDEX(S490_Snapshot!$D$7:$D$38,MATCH(B62,S490_Snapshot!$A$7:$A$38,0)),"")</f>
        <v/>
      </c>
      <c r="L62" s="85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84">
        <f>IF(ISNUMBER(Bootstrap!E62),Bootstrap!E62,"")</f>
        <v/>
      </c>
      <c r="Q62" s="84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97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84">
        <f>IF(ISNUMBER(Bootstrap!E63),Bootstrap!E63,"")</f>
        <v/>
      </c>
      <c r="Q63" s="84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97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84">
        <f>IF(ISNUMBER(Bootstrap!E64),Bootstrap!E64,"")</f>
        <v/>
      </c>
      <c r="Q64" s="84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97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84">
        <f>IF(ISNUMBER(Bootstrap!E65),Bootstrap!E65,"")</f>
        <v/>
      </c>
      <c r="Q65" s="84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97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84">
        <f>IF(ISNUMBER(Bootstrap!E66),Bootstrap!E66,"")</f>
        <v/>
      </c>
      <c r="Q66" s="84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97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84">
        <f>IF(ISNUMBER(Bootstrap!E67),Bootstrap!E67,"")</f>
        <v/>
      </c>
      <c r="Q67" s="84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97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84">
        <f>IF(ISNUMBER(Bootstrap!E68),Bootstrap!E68,"")</f>
        <v/>
      </c>
      <c r="Q68" s="84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97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84">
        <f>IF(ISNUMBER(Bootstrap!E69),Bootstrap!E69,"")</f>
        <v/>
      </c>
      <c r="Q69" s="84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97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84">
        <f>IF(ISNUMBER(Bootstrap!E70),Bootstrap!E70,"")</f>
        <v/>
      </c>
      <c r="Q70" s="84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97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84">
        <f>IF(ISNUMBER(Bootstrap!E71),Bootstrap!E71,"")</f>
        <v/>
      </c>
      <c r="Q71" s="84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97">
        <f>IFERROR(INDEX(S490_Snapshot!$D$7:$D$38,MATCH(B72,S490_Snapshot!$A$7:$A$38,0)),"")</f>
        <v/>
      </c>
      <c r="L72" s="85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84">
        <f>IF(ISNUMBER(Bootstrap!E72),Bootstrap!E72,"")</f>
        <v/>
      </c>
      <c r="Q72" s="84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K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131">
        <f>(1-CDS_Parameters!$B$8)*H7/(G7-CDS_Parameters!$B$26)*10000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131">
        <f>(1-CDS_Parameters!$B$8)*H8/(G8-CDS_Parameters!$B$26)*10000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131">
        <f>(1-CDS_Parameters!$B$8)*H9/(G9-CDS_Parameters!$B$26)*10000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131">
        <f>(1-CDS_Parameters!$B$8)*H10/(G10-CDS_Parameters!$B$26)*10000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131">
        <f>(1-CDS_Parameters!$B$8)*H11/(G11-CDS_Parameters!$B$26)*10000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131">
        <f>(1-CDS_Parameters!$B$8)*H12/(G12-CDS_Parameters!$B$26)*10000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J3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2026-07-22T03:37:43Z</dcterms:modified>
</cp:coreProperties>
</file>