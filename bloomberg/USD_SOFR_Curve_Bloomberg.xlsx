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Curve_Solver" sheetId="9" state="hidden" r:id="rId9"/>
    <sheet xmlns:r="http://schemas.openxmlformats.org/officeDocument/2006/relationships" name="Fwd_Interp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Swap_Pricer" sheetId="12" state="visible" r:id="rId12"/>
    <sheet xmlns:r="http://schemas.openxmlformats.org/officeDocument/2006/relationships" name="Bloomberg_S490_Validation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Hazard_Solver" sheetId="18" state="hidden" r:id="rId18"/>
    <sheet xmlns:r="http://schemas.openxmlformats.org/officeDocument/2006/relationships" name="CDS_Schedule" sheetId="19" state="visible" r:id="rId19"/>
    <sheet xmlns:r="http://schemas.openxmlformats.org/officeDocument/2006/relationships" name="CDS_Pricer" sheetId="20" state="visible" r:id="rId20"/>
    <sheet xmlns:r="http://schemas.openxmlformats.org/officeDocument/2006/relationships" name="CDS_Validation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63">
        <f>IFERROR((E5+F5)/2,IFERROR(G5+0,J5))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63">
        <f>IFERROR((E6+F6)/2,IFERROR(G6+0,J6))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63">
        <f>IFERROR((E7+F7)/2,IFERROR(G7+0,J7))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63">
        <f>IFERROR((E8+F8)/2,IFERROR(G8+0,J8))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63">
        <f>IFERROR((E9+F9)/2,IFERROR(G9+0,J9))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63">
        <f>IFERROR((E10+F10)/2,IFERROR(G10+0,J10))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63">
        <f>IFERROR((E11+F11)/2,IFERROR(G11+0,J11))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63">
        <f>IFERROR((E12+F12)/2,IFERROR(G12+0,J12))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63">
        <f>IFERROR((E13+F13)/2,IFERROR(G13+0,J13))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63">
        <f>IFERROR((E14+F14)/2,IFERROR(G14+0,J14))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63">
        <f>IFERROR((E15+F15)/2,IFERROR(G15+0,J15))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63">
        <f>IFERROR((E16+F16)/2,IFERROR(G16+0,J16))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63">
        <f>IFERROR((E17+F17)/2,IFERROR(G17+0,J17))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63">
        <f>IFERROR((E18+F18)/2,IFERROR(G18+0,J18))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63">
        <f>IFERROR((E19+F19)/2,IFERROR(G19+0,J19))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63">
        <f>IFERROR((E20+F20)/2,IFERROR(G20+0,J20))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63">
        <f>IFERROR((E21+F21)/2,IFERROR(G21+0,J21))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63">
        <f>IFERROR((E22+F22)/2,IFERROR(G22+0,J22))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63">
        <f>IFERROR((E23+F23)/2,IFERROR(G23+0,J23))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63">
        <f>IFERROR((E24+F24)/2,IFERROR(G24+0,J24))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63">
        <f>IFERROR((E25+F25)/2,IFERROR(G25+0,J25))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63">
        <f>IFERROR((E26+F26)/2,IFERROR(G26+0,J26))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63">
        <f>IFERROR((E27+F27)/2,IFERROR(G27+0,J27))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63">
        <f>IFERROR((E28+F28)/2,IFERROR(G28+0,J28))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63">
        <f>IFERROR((E29+F29)/2,IFERROR(G29+0,J29))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63">
        <f>IFERROR((E30+F30)/2,IFERROR(G30+0,J30))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63">
        <f>IFERROR((E31+F31)/2,IFERROR(G31+0,J31))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63">
        <f>IFERROR((E32+F32)/2,IFERROR(G32+0,J32))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63">
        <f>IFERROR((E33+F33)/2,IFERROR(G33+0,J33))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63">
        <f>IFERROR((E34+F34)/2,IFERROR(G34+0,J34))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63">
        <f>IFERROR((E35+F35)/2,IFERROR(G35+0,J35))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63">
        <f>IFERROR((E36+F36)/2,IFERROR(G36+0,J36))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dynamic - hard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E is the live BDP mid via SOFR_OIS_Quotes!H, falling back to the frozen mids. X reads S490_Snapshot directly. Off-terminal both resolve to the same numbers so Y is 0.00; on a terminal Y is how far the pull has moved.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K1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30" t="n">
        <v>40</v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30" t="n">
        <v>55</v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30" t="n">
        <v>70</v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30" t="n">
        <v>95</v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30" t="n">
        <v>115</v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30" t="n">
        <v>135</v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J39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2026-07-22T03:42:03Z</dcterms:modified>
</cp:coreProperties>
</file>