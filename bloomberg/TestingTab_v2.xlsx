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_Me_Setup" sheetId="1" state="visible" r:id="rId1"/>
    <sheet xmlns:r="http://schemas.openxmlformats.org/officeDocument/2006/relationships" name="Testing_NEW" sheetId="2" state="visible" r:id="rId2"/>
  </sheets>
  <definedNames>
    <definedName name="VAL_DATE">Instructions!$B$9</definedName>
    <definedName name="HIST_START">Instructions!$B$10</definedName>
    <definedName name="HIST_END">Instructions!$B$11</definedName>
    <definedName name="PX_SRC">Instructions!$B$12</definedName>
    <definedName name="SOFR_TKR">Instructions!$B$13</definedName>
    <definedName name="S490_TKR">Instructions!$B$14</definedName>
    <definedName name="BOOT_MODE">Bootstrap!$G$4</definedName>
    <definedName name="BOOT_DFSPOT">Bootstrap!$D$4</definedName>
    <definedName name="BOOT_DATES">Bootstrap!$B$8:$B$72</definedName>
    <definedName name="BOOT_S">Bootstrap!$E$8:$E$72</definedName>
    <definedName name="BOOT_TAU0">Bootstrap!$D$8:$D$72</definedName>
    <definedName name="BOOT_TAUC">Bootstrap!$F$8:$F$72</definedName>
    <definedName name="BOOT_ANN">Bootstrap!$G$8:$G$72</definedName>
    <definedName name="BOOT_DF">Bootstrap!$H$8:$H$72</definedName>
    <definedName name="BOOT_T">Bootstrap!$C$8:$C$72</definedName>
    <definedName name="BOOT_ZERO">Bootstrap!$J$8:$J$72</definedName>
  </definedNames>
  <calcPr calcId="124519" fullCalcOnLoad="1" iterate="1" iterateCount="100" iterateDelta="1e-10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  <numFmt numFmtId="171" formatCode="0.0000000000"/>
    <numFmt numFmtId="172" formatCode="0.00000"/>
    <numFmt numFmtId="173" formatCode="mm/dd/yy"/>
    <numFmt numFmtId="174" formatCode="0.###"/>
    <numFmt numFmtId="175" formatCode="$#,##0;($#,##0);-"/>
  </numFmts>
  <fonts count="30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i val="1"/>
      <color rgb="00C00000"/>
      <sz val="9"/>
    </font>
    <font>
      <name val="Calibri"/>
      <b val="1"/>
      <sz val="12"/>
    </font>
    <font>
      <name val="Calibri"/>
      <b val="1"/>
      <color rgb="001F3864"/>
      <sz val="11"/>
    </font>
    <font>
      <name val="Calibri"/>
      <sz val="10"/>
    </font>
    <font>
      <name val="Consolas"/>
      <sz val="10"/>
    </font>
    <font>
      <name val="Calibri"/>
      <b val="1"/>
      <color rgb="00FFFFFF"/>
      <sz val="10"/>
    </font>
    <font>
      <name val="Consolas"/>
      <sz val="9"/>
    </font>
    <font>
      <name val="Calibri"/>
      <b val="1"/>
      <color rgb="00C00000"/>
      <sz val="11"/>
    </font>
    <font>
      <name val="Calibri"/>
      <i val="1"/>
      <color rgb="00808080"/>
      <sz val="9"/>
    </font>
    <font>
      <name val="Calibri"/>
      <b val="1"/>
      <sz val="14"/>
    </font>
    <font>
      <name val="Calibri"/>
      <i val="1"/>
      <color rgb="00808080"/>
      <sz val="10"/>
    </font>
    <font>
      <name val="Calibri"/>
      <i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C00000"/>
      </patternFill>
    </fill>
    <fill>
      <patternFill patternType="solid">
        <fgColor rgb="007B1FA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" fontId="0" fillId="0" borderId="0" pivotButton="0" quotePrefix="0" xfId="0"/>
    <xf numFmtId="165" fontId="0" fillId="0" borderId="0" pivotButton="0" quotePrefix="0" xfId="0"/>
    <xf numFmtId="168" fontId="3" fillId="0" borderId="1" pivotButton="0" quotePrefix="0" xfId="0"/>
    <xf numFmtId="1" fontId="0" fillId="2" borderId="0" pivotButton="0" quotePrefix="0" xfId="0"/>
    <xf numFmtId="166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7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  <xf numFmtId="0" fontId="11" fillId="3" borderId="2" pivotButton="0" quotePrefix="0" xfId="0"/>
    <xf numFmtId="165" fontId="14" fillId="0" borderId="2" pivotButton="0" quotePrefix="0" xfId="0"/>
    <xf numFmtId="165" fontId="12" fillId="4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4" borderId="2" pivotButton="0" quotePrefix="0" xfId="0"/>
    <xf numFmtId="168" fontId="12" fillId="4" borderId="2" pivotButton="0" quotePrefix="0" xfId="0"/>
    <xf numFmtId="0" fontId="13" fillId="0" borderId="0" applyAlignment="1" pivotButton="0" quotePrefix="0" xfId="0">
      <alignment vertical="top" wrapText="1"/>
    </xf>
    <xf numFmtId="166" fontId="14" fillId="2" borderId="2" pivotButton="0" quotePrefix="0" xfId="0"/>
    <xf numFmtId="11" fontId="14" fillId="0" borderId="2" pivotButton="0" quotePrefix="0" xfId="0"/>
    <xf numFmtId="0" fontId="16" fillId="5" borderId="0" pivotButton="0" quotePrefix="0" xfId="0"/>
    <xf numFmtId="0" fontId="0" fillId="5" borderId="0" pivotButton="0" quotePrefix="0" xfId="0"/>
    <xf numFmtId="165" fontId="17" fillId="0" borderId="2" pivotButton="0" quotePrefix="0" xfId="0"/>
    <xf numFmtId="166" fontId="14" fillId="0" borderId="2" pivotButton="0" quotePrefix="0" xfId="0"/>
    <xf numFmtId="10" fontId="17" fillId="0" borderId="2" pivotButton="0" quotePrefix="0" xfId="0"/>
    <xf numFmtId="0" fontId="14" fillId="0" borderId="2" applyAlignment="1" pivotButton="0" quotePrefix="0" xfId="0">
      <alignment horizontal="center"/>
    </xf>
    <xf numFmtId="168" fontId="17" fillId="0" borderId="2" pivotButton="0" quotePrefix="0" xfId="0"/>
    <xf numFmtId="168" fontId="14" fillId="0" borderId="2" pivotButton="0" quotePrefix="0" xfId="0"/>
    <xf numFmtId="171" fontId="14" fillId="2" borderId="2" pivotButton="0" quotePrefix="0" xfId="0"/>
    <xf numFmtId="171" fontId="17" fillId="0" borderId="2" pivotButton="0" quotePrefix="0" xfId="0"/>
    <xf numFmtId="171" fontId="14" fillId="0" borderId="2" pivotButton="0" quotePrefix="0" xfId="0"/>
    <xf numFmtId="172" fontId="14" fillId="0" borderId="2" pivotButton="0" quotePrefix="0" xfId="0"/>
    <xf numFmtId="172" fontId="12" fillId="4" borderId="2" pivotButton="0" quotePrefix="0" xfId="0"/>
    <xf numFmtId="173" fontId="14" fillId="0" borderId="2" pivotButton="0" quotePrefix="0" xfId="0"/>
    <xf numFmtId="0" fontId="14" fillId="2" borderId="2" pivotButton="0" quotePrefix="0" xfId="0"/>
    <xf numFmtId="173" fontId="12" fillId="4" borderId="2" pivotButton="0" quotePrefix="0" xfId="0"/>
    <xf numFmtId="2" fontId="14" fillId="0" borderId="2" pivotButton="0" quotePrefix="0" xfId="0"/>
    <xf numFmtId="170" fontId="14" fillId="2" borderId="2" pivotButton="0" quotePrefix="0" xfId="0"/>
    <xf numFmtId="11" fontId="14" fillId="2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14" fillId="0" borderId="0" pivotButton="0" quotePrefix="0" xfId="0"/>
    <xf numFmtId="1" fontId="12" fillId="4" borderId="2" pivotButton="0" quotePrefix="0" xfId="0"/>
    <xf numFmtId="174" fontId="12" fillId="4" borderId="2" pivotButton="0" quotePrefix="0" xfId="0"/>
    <xf numFmtId="172" fontId="14" fillId="2" borderId="2" pivotButton="0" quotePrefix="0" xfId="0"/>
    <xf numFmtId="0" fontId="18" fillId="0" borderId="0" pivotButton="0" quotePrefix="0" xfId="0"/>
    <xf numFmtId="172" fontId="14" fillId="4" borderId="2" pivotButton="0" quotePrefix="0" xfId="0"/>
    <xf numFmtId="172" fontId="13" fillId="4" borderId="2" pivotButton="0" quotePrefix="0" xfId="0"/>
    <xf numFmtId="173" fontId="7" fillId="0" borderId="0" applyAlignment="1" pivotButton="0" quotePrefix="0" xfId="0">
      <alignment vertical="top" wrapText="1"/>
    </xf>
    <xf numFmtId="173" fontId="0" fillId="0" borderId="0" pivotButton="0" quotePrefix="0" xfId="0"/>
    <xf numFmtId="175" fontId="14" fillId="0" borderId="2" pivotButton="0" quotePrefix="0" xfId="0"/>
    <xf numFmtId="1" fontId="14" fillId="0" borderId="2" pivotButton="0" quotePrefix="0" xfId="0"/>
    <xf numFmtId="175" fontId="14" fillId="2" borderId="2" pivotButton="0" quotePrefix="0" xfId="0"/>
    <xf numFmtId="0" fontId="11" fillId="0" borderId="2" pivotButton="0" quotePrefix="0" xfId="0"/>
    <xf numFmtId="172" fontId="0" fillId="0" borderId="0" pivotButton="0" quotePrefix="0" xfId="0"/>
    <xf numFmtId="2" fontId="0" fillId="0" borderId="2" pivotButton="0" quotePrefix="0" xfId="0"/>
    <xf numFmtId="0" fontId="0" fillId="2" borderId="2" pivotButton="0" quotePrefix="0" xfId="0"/>
    <xf numFmtId="170" fontId="0" fillId="2" borderId="2" pivotButton="0" quotePrefix="0" xfId="0"/>
    <xf numFmtId="164" fontId="12" fillId="4" borderId="2" pivotButton="0" quotePrefix="0" xfId="0"/>
    <xf numFmtId="164" fontId="14" fillId="0" borderId="2" pivotButton="0" quotePrefix="0" xfId="0"/>
    <xf numFmtId="164" fontId="14" fillId="0" borderId="1" pivotButton="0" quotePrefix="0" xfId="0"/>
    <xf numFmtId="168" fontId="14" fillId="0" borderId="1" pivotButton="0" quotePrefix="0" xfId="0"/>
    <xf numFmtId="166" fontId="14" fillId="0" borderId="1" pivotButton="0" quotePrefix="0" xfId="0"/>
    <xf numFmtId="4" fontId="14" fillId="0" borderId="1" pivotButton="0" quotePrefix="0" xfId="0"/>
    <xf numFmtId="168" fontId="14" fillId="2" borderId="2" pivotButton="0" quotePrefix="0" xfId="0"/>
    <xf numFmtId="4" fontId="12" fillId="4" borderId="2" pivotButton="0" quotePrefix="0" xfId="0"/>
    <xf numFmtId="4" fontId="14" fillId="2" borderId="2" pivotButton="0" quotePrefix="0" xfId="0"/>
    <xf numFmtId="4" fontId="14" fillId="0" borderId="2" pivotButton="0" quotePrefix="0" xfId="0"/>
    <xf numFmtId="2" fontId="12" fillId="4" borderId="2" pivotButton="0" quotePrefix="0" xfId="0"/>
    <xf numFmtId="2" fontId="14" fillId="2" borderId="2" pivotButton="0" quotePrefix="0" xfId="0"/>
    <xf numFmtId="0" fontId="19" fillId="0" borderId="0" pivotButton="0" quotePrefix="0" xfId="0"/>
    <xf numFmtId="0" fontId="20" fillId="3" borderId="0" pivotButton="0" quotePrefix="0" xfId="0"/>
    <xf numFmtId="0" fontId="13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164" fontId="14" fillId="2" borderId="2" pivotButton="0" quotePrefix="0" xfId="0"/>
    <xf numFmtId="166" fontId="17" fillId="2" borderId="2" pivotButton="0" quotePrefix="0" xfId="0"/>
    <xf numFmtId="1" fontId="14" fillId="2" borderId="2" pivotButton="0" quotePrefix="0" xfId="0"/>
    <xf numFmtId="165" fontId="14" fillId="0" borderId="1" pivotButton="0" quotePrefix="0" xfId="0"/>
    <xf numFmtId="0" fontId="14" fillId="0" borderId="1" pivotButton="0" quotePrefix="0" xfId="0"/>
    <xf numFmtId="165" fontId="14" fillId="2" borderId="2" pivotButton="0" quotePrefix="0" xfId="0"/>
    <xf numFmtId="164" fontId="12" fillId="4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20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3" fillId="5" borderId="0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10" fontId="12" fillId="4" borderId="2" pivotButton="0" quotePrefix="0" xfId="0"/>
    <xf numFmtId="166" fontId="12" fillId="4" borderId="2" pivotButton="0" quotePrefix="0" xfId="0"/>
    <xf numFmtId="10" fontId="14" fillId="2" borderId="2" pivotButton="0" quotePrefix="0" xfId="0"/>
    <xf numFmtId="0" fontId="13" fillId="2" borderId="2" pivotButton="0" quotePrefix="0" xfId="0"/>
    <xf numFmtId="0" fontId="23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2" fontId="22" fillId="0" borderId="2" pivotButton="0" quotePrefix="0" xfId="0"/>
    <xf numFmtId="0" fontId="14" fillId="4" borderId="2" pivotButton="0" quotePrefix="0" xfId="0"/>
    <xf numFmtId="0" fontId="14" fillId="7" borderId="2" applyAlignment="1" pivotButton="0" quotePrefix="0" xfId="0">
      <alignment horizontal="center" vertical="center" wrapText="1"/>
    </xf>
    <xf numFmtId="164" fontId="14" fillId="4" borderId="2" pivotButton="0" quotePrefix="0" xfId="0"/>
    <xf numFmtId="168" fontId="14" fillId="4" borderId="2" pivotButton="0" quotePrefix="0" xfId="0"/>
    <xf numFmtId="0" fontId="11" fillId="7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13" fillId="0" borderId="1" pivotButton="0" quotePrefix="0" xfId="0"/>
    <xf numFmtId="164" fontId="14" fillId="2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16" fillId="10" borderId="2" applyAlignment="1" pivotButton="0" quotePrefix="0" xfId="0">
      <alignment horizontal="center" wrapText="1"/>
    </xf>
    <xf numFmtId="172" fontId="17" fillId="11" borderId="2" pivotButton="0" quotePrefix="0" xfId="0"/>
    <xf numFmtId="164" fontId="17" fillId="11" borderId="2" pivotButton="0" quotePrefix="0" xfId="0"/>
    <xf numFmtId="166" fontId="17" fillId="11" borderId="2" pivotButton="0" quotePrefix="0" xfId="0"/>
    <xf numFmtId="165" fontId="17" fillId="11" borderId="2" pivotButton="0" quotePrefix="0" xfId="0"/>
    <xf numFmtId="168" fontId="14" fillId="11" borderId="2" pivotButton="0" quotePrefix="0" xfId="0"/>
    <xf numFmtId="170" fontId="14" fillId="0" borderId="2" pivotButton="0" quotePrefix="0" xfId="0"/>
    <xf numFmtId="0" fontId="27" fillId="0" borderId="0" pivotButton="0" quotePrefix="0" xfId="0"/>
    <xf numFmtId="0" fontId="16" fillId="10" borderId="2" pivotButton="0" quotePrefix="0" xfId="0"/>
    <xf numFmtId="0" fontId="24" fillId="2" borderId="2" pivotButton="0" quotePrefix="0" xfId="0"/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18" customWidth="1" min="1" max="1"/>
    <col width="34" customWidth="1" min="2" max="2"/>
  </cols>
  <sheetData>
    <row r="1">
      <c r="A1" s="173" t="inlineStr">
        <is>
          <t>Moving this tab into your master</t>
        </is>
      </c>
    </row>
    <row r="2">
      <c r="A2" s="176" t="inlineStr">
        <is>
          <t>The tab is called Testing_NEW on purpose — your master already has a 'Testing', and Excel will not move a tab onto a name that is already taken.</t>
        </is>
      </c>
    </row>
    <row r="3">
      <c r="A3" s="67" t="inlineStr">
        <is>
          <t>1. In the master: Name Manager, add the ten BOOT_* names below.   2. Move Testing_NEW across.   3. Delete the old Testing.   4. Rename Testing_NEW to exactly 'Testing'.</t>
        </is>
      </c>
    </row>
    <row r="4">
      <c r="A4" s="177" t="inlineStr">
        <is>
          <t>Step 4 is not cosmetic — SOFR_OIS_Quotes!H looks for a sheet called exactly 'Testing'.</t>
        </is>
      </c>
    </row>
    <row r="5">
      <c r="A5" s="176" t="inlineStr">
        <is>
          <t>Opened on its own this shows #REF in the green columns — expected, Bootstrap is not in this file.</t>
        </is>
      </c>
    </row>
    <row r="6">
      <c r="A6" s="173" t="inlineStr">
        <is>
          <t>Moving the Testing sheet into your Pricer</t>
        </is>
      </c>
    </row>
    <row r="7"/>
    <row r="8">
      <c r="A8" s="164" t="inlineStr">
        <is>
          <t>Do steps 1-4 in the PRICER first, then move the sheet. Doing it the other way round makes Excel</t>
        </is>
      </c>
    </row>
    <row r="9">
      <c r="A9" s="164" t="inlineStr">
        <is>
          <t>rewrite the references as links back to this file, which is what broke it last time.</t>
        </is>
      </c>
    </row>
    <row r="10">
      <c r="A10" s="164" t="inlineStr">
        <is>
          <t>Everything below is copyable from the cells - no typing.</t>
        </is>
      </c>
    </row>
    <row r="11">
      <c r="A11" s="164" t="inlineStr">
        <is>
          <t>Save a copy of the Pricer before you start.</t>
        </is>
      </c>
    </row>
    <row r="12"/>
    <row r="13">
      <c r="A13" s="67" t="inlineStr">
        <is>
          <t>STEP 1  —  Formulas &gt; Name Manager &gt; New...  (ten times)</t>
        </is>
      </c>
    </row>
    <row r="14">
      <c r="A14" s="164" t="inlineStr">
        <is>
          <t>These are the whole trick: a name binds to the DESTINATION workbook, a direct reference does not.</t>
        </is>
      </c>
    </row>
    <row r="15">
      <c r="A15" s="174" t="inlineStr">
        <is>
          <t>Name</t>
        </is>
      </c>
      <c r="B15" s="174" t="inlineStr">
        <is>
          <t>Refers to</t>
        </is>
      </c>
    </row>
    <row r="16">
      <c r="A16" s="160" t="inlineStr">
        <is>
          <t>BOOT_MODE</t>
        </is>
      </c>
      <c r="B16" s="175" t="inlineStr">
        <is>
          <t>'=Bootstrap!$G$4</t>
        </is>
      </c>
    </row>
    <row r="17">
      <c r="A17" s="160" t="inlineStr">
        <is>
          <t>BOOT_DFSPOT</t>
        </is>
      </c>
      <c r="B17" s="175" t="inlineStr">
        <is>
          <t>'=Bootstrap!$D$4</t>
        </is>
      </c>
    </row>
    <row r="18">
      <c r="A18" s="160" t="inlineStr">
        <is>
          <t>BOOT_DATES</t>
        </is>
      </c>
      <c r="B18" s="175" t="inlineStr">
        <is>
          <t>'=Bootstrap!$B$8:$B$72</t>
        </is>
      </c>
    </row>
    <row r="19">
      <c r="A19" s="160" t="inlineStr">
        <is>
          <t>BOOT_S</t>
        </is>
      </c>
      <c r="B19" s="175" t="inlineStr">
        <is>
          <t>'=Bootstrap!$E$8:$E$72</t>
        </is>
      </c>
    </row>
    <row r="20">
      <c r="A20" s="160" t="inlineStr">
        <is>
          <t>BOOT_TAU0</t>
        </is>
      </c>
      <c r="B20" s="175" t="inlineStr">
        <is>
          <t>'=Bootstrap!$D$8:$D$72</t>
        </is>
      </c>
    </row>
    <row r="21">
      <c r="A21" s="160" t="inlineStr">
        <is>
          <t>BOOT_TAUC</t>
        </is>
      </c>
      <c r="B21" s="175" t="inlineStr">
        <is>
          <t>'=Bootstrap!$F$8:$F$72</t>
        </is>
      </c>
    </row>
    <row r="22">
      <c r="A22" s="160" t="inlineStr">
        <is>
          <t>BOOT_ANN</t>
        </is>
      </c>
      <c r="B22" s="175" t="inlineStr">
        <is>
          <t>'=Bootstrap!$G$8:$G$72</t>
        </is>
      </c>
    </row>
    <row r="23">
      <c r="A23" s="160" t="inlineStr">
        <is>
          <t>BOOT_DF</t>
        </is>
      </c>
      <c r="B23" s="175" t="inlineStr">
        <is>
          <t>'=Bootstrap!$H$8:$H$72</t>
        </is>
      </c>
    </row>
    <row r="24">
      <c r="A24" s="160" t="inlineStr">
        <is>
          <t>BOOT_T</t>
        </is>
      </c>
      <c r="B24" s="175" t="inlineStr">
        <is>
          <t>'=Bootstrap!$C$8:$C$72</t>
        </is>
      </c>
    </row>
    <row r="25">
      <c r="A25" s="160" t="inlineStr">
        <is>
          <t>BOOT_ZERO</t>
        </is>
      </c>
      <c r="B25" s="175" t="inlineStr">
        <is>
          <t>'=Bootstrap!$J$8:$J$72</t>
        </is>
      </c>
    </row>
    <row r="26"/>
    <row r="27">
      <c r="A27" s="67" t="inlineStr">
        <is>
          <t>STEP 2  —  SOFR_OIS_Quotes: paste into H5, then fill down to H36</t>
        </is>
      </c>
    </row>
    <row r="28">
      <c r="A28" s="164" t="inlineStr">
        <is>
          <t>This is what feeds a pasted test case into the bootstrap. Without it the curve ignores your paste.</t>
        </is>
      </c>
    </row>
    <row r="29">
      <c r="A29" s="164" t="inlineStr">
        <is>
          <t>It is fill-safe — the row references are relative, the block ranges are absolute.</t>
        </is>
      </c>
    </row>
    <row r="30">
      <c r="A30" s="175" t="inlineStr">
        <is>
          <t>'=IFERROR(IF(Bootstrap!$G$4="Test 1",INDEX(Testing!$B$8:$B$47,MATCH(C5,Testing!$F$8:$F$47,0)),IF(Bootstrap!$G$4="Test 2",INDEX(Testing!$B$58:$B$97,MATCH(C5,Testing!$F$58:$F$97,0)),IF(Bootstrap!$G$4="Test 3",INDEX(Testing!$B$108:$B$147,MATCH(C5,Testing!$F$108:$F$147,0)),IF(Bootstrap!$G$4="Fixed (S490 07/21/26)",J5,IF(ISNUMBER(T5),T5,J5))))),J5)</t>
        </is>
      </c>
    </row>
    <row r="31"/>
    <row r="32">
      <c r="A32" s="67" t="inlineStr">
        <is>
          <t>STEP 3  —  Instructions: paste into B9   (makes VAL_DATE follow the active case)</t>
        </is>
      </c>
    </row>
    <row r="33">
      <c r="A33" s="175" t="inlineStr">
        <is>
          <t>'=IF(Bootstrap!$G$4="Test 1",Testing!$D$5,IF(Bootstrap!$G$4="Test 2",Testing!$D$55,IF(Bootstrap!$G$4="Test 3",Testing!$D$105,DATE(2026,7,21))))</t>
        </is>
      </c>
    </row>
    <row r="34"/>
    <row r="35">
      <c r="A35" s="67" t="inlineStr">
        <is>
          <t>STEP 4  —  Bootstrap!G4 &gt; Data &gt; Data Validation &gt; List &gt; Source:</t>
        </is>
      </c>
    </row>
    <row r="36">
      <c r="A36" s="175" t="inlineStr">
        <is>
          <t>'Live (BDP),Fixed (S490 07/21/26),Test 1,Test 2,Test 3</t>
        </is>
      </c>
    </row>
    <row r="37"/>
    <row r="38">
      <c r="A38" s="67" t="inlineStr">
        <is>
          <t>STEP 5  —  right-click the Testing tab &gt; Move or Copy &gt; To book: your Pricer</t>
        </is>
      </c>
    </row>
    <row r="39">
      <c r="A39" s="164" t="inlineStr">
        <is>
          <t>Then delete the old Testing and rename the new one to exactly 'Testing'.</t>
        </is>
      </c>
    </row>
    <row r="40"/>
    <row r="41">
      <c r="A41" s="67" t="inlineStr">
        <is>
          <t>HOW TO USE IT</t>
        </is>
      </c>
    </row>
    <row r="42">
      <c r="A42" s="126" t="inlineStr">
        <is>
          <t>Paste four columns per block: tenor, swap rate (mid), BBG zero %, BBG discount. Set the curve date</t>
        </is>
      </c>
    </row>
    <row r="43">
      <c r="A43" s="126" t="inlineStr">
        <is>
          <t>in the block header (D5 / D55 / D105). Then pick that block at Bootstrap!G4.</t>
        </is>
      </c>
    </row>
    <row r="44">
      <c r="A44" s="126" t="inlineStr"/>
    </row>
    <row r="45">
      <c r="A45" s="126" t="inlineStr">
        <is>
          <t>There is ONE bootstrap, so only the selected block computes. The other two keep showing their pasted</t>
        </is>
      </c>
    </row>
    <row r="46">
      <c r="A46" s="126" t="inlineStr">
        <is>
          <t>data and dates and read 'not active' — deliberately, so you never read a stale number as a live one.</t>
        </is>
      </c>
    </row>
    <row r="47">
      <c r="A47" s="126" t="inlineStr">
        <is>
          <t>That 'not active' in your screenshot was the sheet working, not failing.</t>
        </is>
      </c>
    </row>
    <row r="48">
      <c r="A48" s="126" t="inlineStr"/>
    </row>
    <row r="49">
      <c r="A49" s="126" t="inlineStr">
        <is>
          <t>Read the summary row of the active block: matched should equal pillars pasted, then max |d zero| bp</t>
        </is>
      </c>
    </row>
    <row r="50">
      <c r="A50" s="126" t="inlineStr">
        <is>
          <t>and max |d DF|. If matched is lower, the dates are not lining up — check the curve date first.</t>
        </is>
      </c>
    </row>
    <row r="51"/>
    <row r="52">
      <c r="A52" s="165" t="inlineStr">
        <is>
          <t>IF YOU SEE #NAME? EVERYWHERE  —  step 1 was missed, or a name is misspelt.</t>
        </is>
      </c>
    </row>
    <row r="53">
      <c r="A53" s="165" t="inlineStr">
        <is>
          <t>IF THE COLUMNS ARE BLANK  —  Bootstrap!G4 is not on that block's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950B"/>
    <outlinePr summaryBelow="1" summaryRight="1"/>
    <pageSetUpPr/>
  </sheetPr>
  <dimension ref="A1:Q1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2" customWidth="1" min="5" max="5"/>
    <col width="13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10" customWidth="1" min="16" max="16"/>
    <col width="11" customWidth="1" min="17" max="17"/>
  </cols>
  <sheetData>
    <row r="1">
      <c r="A1" s="123" t="inlineStr">
        <is>
          <t>Testing — three curve test cases</t>
        </is>
      </c>
    </row>
    <row r="2">
      <c r="A2" s="65" t="inlineStr">
        <is>
          <t>Per case paste four columns off the capture: tenor, swap rate (mid), BBG zero, BBG discount. Curve date once in the block header.</t>
        </is>
      </c>
    </row>
    <row r="3">
      <c r="A3" s="65" t="inlineStr">
        <is>
          <t>The tenor is pasted with each case and dates derive from tenor + that case's curve date, so cases may differ in pillar set or length without shifting.</t>
        </is>
      </c>
    </row>
    <row r="4">
      <c r="A4" s="66" t="inlineStr">
        <is>
          <t>Model columns G:Q are live only for the case selected at Bootstrap!G4 — there is one bootstrap. The other two blocks show dates and pasted data and read 'not active' rather than stale numbers.</t>
        </is>
      </c>
    </row>
    <row r="5">
      <c r="A5" s="123" t="inlineStr">
        <is>
          <t>CURVE TEST CASE 1</t>
        </is>
      </c>
      <c r="B5" s="87">
        <f>BOOT_MODE</f>
        <v/>
      </c>
      <c r="C5" s="65" t="inlineStr">
        <is>
          <t>curve date -&gt;</t>
        </is>
      </c>
      <c r="D5" s="111" t="n"/>
      <c r="E5" s="65" t="inlineStr">
        <is>
          <t>name / time -&gt;</t>
        </is>
      </c>
      <c r="F5" s="68" t="n"/>
      <c r="N5" s="66">
        <f>IF(NOT(BOOT_MODE="Test 1"),"",IF($D$5="","set the curve date",IF($D$5&lt;&gt;VAL_DATE,"curve date not driving VAL_DATE","VAL_DATE follows this case")))</f>
        <v/>
      </c>
    </row>
    <row r="6">
      <c r="C6" s="65" t="inlineStr">
        <is>
          <t>spot (T+2bd) -&gt;</t>
        </is>
      </c>
      <c r="D6" s="128">
        <f>IF($D$5="","",$D$5+2+IF(WEEKDAY($D$5,2)&gt;=4,2,0))</f>
        <v/>
      </c>
      <c r="F6" s="67">
        <f>IF(BOOT_MODE="Test 1","ACTIVE — model columns live","not active")</f>
        <v/>
      </c>
    </row>
    <row r="7" ht="30" customHeight="1">
      <c r="A7" s="145" t="inlineStr">
        <is>
          <t>Tenor</t>
        </is>
      </c>
      <c r="B7" s="145" t="inlineStr">
        <is>
          <t>Swap rate (mid)</t>
        </is>
      </c>
      <c r="C7" s="145" t="inlineStr">
        <is>
          <t>BBG zero %</t>
        </is>
      </c>
      <c r="D7" s="145" t="inlineStr">
        <is>
          <t>BBG discount</t>
        </is>
      </c>
      <c r="E7" s="145" t="inlineStr">
        <is>
          <t>raw date</t>
        </is>
      </c>
      <c r="F7" s="145" t="inlineStr">
        <is>
          <t>Date</t>
        </is>
      </c>
      <c r="G7" s="145" t="inlineStr">
        <is>
          <t>S used %</t>
        </is>
      </c>
      <c r="H7" s="145" t="inlineStr">
        <is>
          <t>Rule</t>
        </is>
      </c>
      <c r="I7" s="145" t="inlineStr">
        <is>
          <t>tau</t>
        </is>
      </c>
      <c r="J7" s="145" t="inlineStr">
        <is>
          <t>A(prior)</t>
        </is>
      </c>
      <c r="K7" s="145" t="inlineStr">
        <is>
          <t>numerator</t>
        </is>
      </c>
      <c r="L7" s="145" t="inlineStr">
        <is>
          <t>denominator</t>
        </is>
      </c>
      <c r="M7" s="145" t="inlineStr">
        <is>
          <t>our DF</t>
        </is>
      </c>
      <c r="N7" s="145" t="inlineStr">
        <is>
          <t>t ACT/365</t>
        </is>
      </c>
      <c r="O7" s="145" t="inlineStr">
        <is>
          <t>our zero %</t>
        </is>
      </c>
      <c r="P7" s="145" t="inlineStr">
        <is>
          <t>d zero bp</t>
        </is>
      </c>
      <c r="Q7" s="145" t="inlineStr">
        <is>
          <t>d DF</t>
        </is>
      </c>
    </row>
    <row r="8">
      <c r="A8" s="68" t="n"/>
      <c r="B8" s="85" t="n"/>
      <c r="C8" s="85" t="n"/>
      <c r="D8" s="69" t="n"/>
      <c r="E8" s="112">
        <f>IF(OR(A8="",$D$6=""),"",IF(RIGHT(A8,1)="W",$D$6+7*VALUE(LEFT(A8,LEN(A8)-1)),IF(RIGHT(A8,1)="M",EDATE($D$6,VALUE(LEFT(A8,LEN(A8)-1))),EDATE($D$6,12*VALUE(LEFT(A8,LEN(A8)-1))))))</f>
        <v/>
      </c>
      <c r="F8" s="112">
        <f>IF(E8="","",IF(MONTH((E8+IF(WEEKDAY(E8,2)=6,2,IF(WEEKDAY(E8,2)=7,1,0))))&lt;&gt;MONTH(E8),(E8-IF(WEEKDAY(E8,2)=6,1,IF(WEEKDAY(E8,2)=7,2,0))),(E8+IF(WEEKDAY(E8,2)=6,2,IF(WEEKDAY(E8,2)=7,1,0)))))</f>
        <v/>
      </c>
      <c r="G8" s="84">
        <f>IF(NOT(BOOT_MODE="Test 1"),"",IFERROR(INDEX(BOOT_S,MATCH(F8,BOOT_DATES,0)),""))</f>
        <v/>
      </c>
      <c r="H8" s="160">
        <f>IF(NOT(BOOT_MODE="Test 1"),"",IFERROR(IF(MATCH(F8,BOOT_DATES,0)&lt;=15,"short  DFspot/(1+S*tau)","annual (DFspot-S*A)/(1+S*tau)"),""))</f>
        <v/>
      </c>
      <c r="I8" s="80">
        <f>IF(NOT(BOOT_MODE="Test 1"),"",IFERROR(IF(MATCH(F8,BOOT_DATES,0)&lt;=15,INDEX(BOOT_TAU0,MATCH(F8,BOOT_DATES,0)),INDEX(BOOT_TAUC,MATCH(F8,BOOT_DATES,0))),""))</f>
        <v/>
      </c>
      <c r="J8" s="76">
        <f>IF(NOT(BOOT_MODE="Test 1"),"",IFERROR(IF(MATCH(F8,BOOT_DATES,0)&lt;=15,0,INDEX(BOOT_ANN,MATCH(F8,BOOT_DATES,0))),""))</f>
        <v/>
      </c>
      <c r="K8" s="76">
        <f>IF(OR(G8="",I8=""),"",BOOT_DFSPOT-(G8/100)*J8)</f>
        <v/>
      </c>
      <c r="L8" s="76">
        <f>IF(OR(G8="",I8=""),"",1+(G8/100)*I8)</f>
        <v/>
      </c>
      <c r="M8" s="76">
        <f>IF(NOT(BOOT_MODE="Test 1"),"",IFERROR(INDEX(BOOT_DF,MATCH(F8,BOOT_DATES,0)),""))</f>
        <v/>
      </c>
      <c r="N8" s="80">
        <f>IF(NOT(BOOT_MODE="Test 1"),"",IFERROR(INDEX(BOOT_T,MATCH(F8,BOOT_DATES,0)),""))</f>
        <v/>
      </c>
      <c r="O8" s="84">
        <f>IF(NOT(BOOT_MODE="Test 1"),"",IFERROR(INDEX(BOOT_ZERO,MATCH(F8,BOOT_DATES,0)),""))</f>
        <v/>
      </c>
      <c r="P8" s="89">
        <f>IF(OR(O8="",NOT(ISNUMBER(C8))),"",(O8-C8)*100)</f>
        <v/>
      </c>
      <c r="Q8" s="72">
        <f>IF(OR(M8="",NOT(ISNUMBER(D8))),"",M8-D8)</f>
        <v/>
      </c>
    </row>
    <row r="9">
      <c r="A9" s="68" t="n"/>
      <c r="B9" s="85" t="n"/>
      <c r="C9" s="85" t="n"/>
      <c r="D9" s="69" t="n"/>
      <c r="E9" s="112">
        <f>IF(OR(A9="",$D$6=""),"",IF(RIGHT(A9,1)="W",$D$6+7*VALUE(LEFT(A9,LEN(A9)-1)),IF(RIGHT(A9,1)="M",EDATE($D$6,VALUE(LEFT(A9,LEN(A9)-1))),EDATE($D$6,12*VALUE(LEFT(A9,LEN(A9)-1))))))</f>
        <v/>
      </c>
      <c r="F9" s="112">
        <f>IF(E9="","",IF(MONTH((E9+IF(WEEKDAY(E9,2)=6,2,IF(WEEKDAY(E9,2)=7,1,0))))&lt;&gt;MONTH(E9),(E9-IF(WEEKDAY(E9,2)=6,1,IF(WEEKDAY(E9,2)=7,2,0))),(E9+IF(WEEKDAY(E9,2)=6,2,IF(WEEKDAY(E9,2)=7,1,0)))))</f>
        <v/>
      </c>
      <c r="G9" s="84">
        <f>IF(NOT(BOOT_MODE="Test 1"),"",IFERROR(INDEX(BOOT_S,MATCH(F9,BOOT_DATES,0)),""))</f>
        <v/>
      </c>
      <c r="H9" s="160">
        <f>IF(NOT(BOOT_MODE="Test 1"),"",IFERROR(IF(MATCH(F9,BOOT_DATES,0)&lt;=15,"short  DFspot/(1+S*tau)","annual (DFspot-S*A)/(1+S*tau)"),""))</f>
        <v/>
      </c>
      <c r="I9" s="80">
        <f>IF(NOT(BOOT_MODE="Test 1"),"",IFERROR(IF(MATCH(F9,BOOT_DATES,0)&lt;=15,INDEX(BOOT_TAU0,MATCH(F9,BOOT_DATES,0)),INDEX(BOOT_TAUC,MATCH(F9,BOOT_DATES,0))),""))</f>
        <v/>
      </c>
      <c r="J9" s="76">
        <f>IF(NOT(BOOT_MODE="Test 1"),"",IFERROR(IF(MATCH(F9,BOOT_DATES,0)&lt;=15,0,INDEX(BOOT_ANN,MATCH(F9,BOOT_DATES,0))),""))</f>
        <v/>
      </c>
      <c r="K9" s="76">
        <f>IF(OR(G9="",I9=""),"",BOOT_DFSPOT-(G9/100)*J9)</f>
        <v/>
      </c>
      <c r="L9" s="76">
        <f>IF(OR(G9="",I9=""),"",1+(G9/100)*I9)</f>
        <v/>
      </c>
      <c r="M9" s="76">
        <f>IF(NOT(BOOT_MODE="Test 1"),"",IFERROR(INDEX(BOOT_DF,MATCH(F9,BOOT_DATES,0)),""))</f>
        <v/>
      </c>
      <c r="N9" s="80">
        <f>IF(NOT(BOOT_MODE="Test 1"),"",IFERROR(INDEX(BOOT_T,MATCH(F9,BOOT_DATES,0)),""))</f>
        <v/>
      </c>
      <c r="O9" s="84">
        <f>IF(NOT(BOOT_MODE="Test 1"),"",IFERROR(INDEX(BOOT_ZERO,MATCH(F9,BOOT_DATES,0)),""))</f>
        <v/>
      </c>
      <c r="P9" s="89">
        <f>IF(OR(O9="",NOT(ISNUMBER(C9))),"",(O9-C9)*100)</f>
        <v/>
      </c>
      <c r="Q9" s="72">
        <f>IF(OR(M9="",NOT(ISNUMBER(D9))),"",M9-D9)</f>
        <v/>
      </c>
    </row>
    <row r="10">
      <c r="A10" s="68" t="n"/>
      <c r="B10" s="85" t="n"/>
      <c r="C10" s="85" t="n"/>
      <c r="D10" s="69" t="n"/>
      <c r="E10" s="112">
        <f>IF(OR(A10="",$D$6=""),"",IF(RIGHT(A10,1)="W",$D$6+7*VALUE(LEFT(A10,LEN(A10)-1)),IF(RIGHT(A10,1)="M",EDATE($D$6,VALUE(LEFT(A10,LEN(A10)-1))),EDATE($D$6,12*VALUE(LEFT(A10,LEN(A10)-1))))))</f>
        <v/>
      </c>
      <c r="F10" s="112">
        <f>IF(E10="","",IF(MONTH((E10+IF(WEEKDAY(E10,2)=6,2,IF(WEEKDAY(E10,2)=7,1,0))))&lt;&gt;MONTH(E10),(E10-IF(WEEKDAY(E10,2)=6,1,IF(WEEKDAY(E10,2)=7,2,0))),(E10+IF(WEEKDAY(E10,2)=6,2,IF(WEEKDAY(E10,2)=7,1,0)))))</f>
        <v/>
      </c>
      <c r="G10" s="84">
        <f>IF(NOT(BOOT_MODE="Test 1"),"",IFERROR(INDEX(BOOT_S,MATCH(F10,BOOT_DATES,0)),""))</f>
        <v/>
      </c>
      <c r="H10" s="160">
        <f>IF(NOT(BOOT_MODE="Test 1"),"",IFERROR(IF(MATCH(F10,BOOT_DATES,0)&lt;=15,"short  DFspot/(1+S*tau)","annual (DFspot-S*A)/(1+S*tau)"),""))</f>
        <v/>
      </c>
      <c r="I10" s="80">
        <f>IF(NOT(BOOT_MODE="Test 1"),"",IFERROR(IF(MATCH(F10,BOOT_DATES,0)&lt;=15,INDEX(BOOT_TAU0,MATCH(F10,BOOT_DATES,0)),INDEX(BOOT_TAUC,MATCH(F10,BOOT_DATES,0))),""))</f>
        <v/>
      </c>
      <c r="J10" s="76">
        <f>IF(NOT(BOOT_MODE="Test 1"),"",IFERROR(IF(MATCH(F10,BOOT_DATES,0)&lt;=15,0,INDEX(BOOT_ANN,MATCH(F10,BOOT_DATES,0))),""))</f>
        <v/>
      </c>
      <c r="K10" s="76">
        <f>IF(OR(G10="",I10=""),"",BOOT_DFSPOT-(G10/100)*J10)</f>
        <v/>
      </c>
      <c r="L10" s="76">
        <f>IF(OR(G10="",I10=""),"",1+(G10/100)*I10)</f>
        <v/>
      </c>
      <c r="M10" s="76">
        <f>IF(NOT(BOOT_MODE="Test 1"),"",IFERROR(INDEX(BOOT_DF,MATCH(F10,BOOT_DATES,0)),""))</f>
        <v/>
      </c>
      <c r="N10" s="80">
        <f>IF(NOT(BOOT_MODE="Test 1"),"",IFERROR(INDEX(BOOT_T,MATCH(F10,BOOT_DATES,0)),""))</f>
        <v/>
      </c>
      <c r="O10" s="84">
        <f>IF(NOT(BOOT_MODE="Test 1"),"",IFERROR(INDEX(BOOT_ZERO,MATCH(F10,BOOT_DATES,0)),""))</f>
        <v/>
      </c>
      <c r="P10" s="89">
        <f>IF(OR(O10="",NOT(ISNUMBER(C10))),"",(O10-C10)*100)</f>
        <v/>
      </c>
      <c r="Q10" s="72">
        <f>IF(OR(M10="",NOT(ISNUMBER(D10))),"",M10-D10)</f>
        <v/>
      </c>
    </row>
    <row r="11">
      <c r="A11" s="68" t="n"/>
      <c r="B11" s="85" t="n"/>
      <c r="C11" s="85" t="n"/>
      <c r="D11" s="69" t="n"/>
      <c r="E11" s="112">
        <f>IF(OR(A11="",$D$6=""),"",IF(RIGHT(A11,1)="W",$D$6+7*VALUE(LEFT(A11,LEN(A11)-1)),IF(RIGHT(A11,1)="M",EDATE($D$6,VALUE(LEFT(A11,LEN(A11)-1))),EDATE($D$6,12*VALUE(LEFT(A11,LEN(A11)-1))))))</f>
        <v/>
      </c>
      <c r="F11" s="112">
        <f>IF(E11="","",IF(MONTH((E11+IF(WEEKDAY(E11,2)=6,2,IF(WEEKDAY(E11,2)=7,1,0))))&lt;&gt;MONTH(E11),(E11-IF(WEEKDAY(E11,2)=6,1,IF(WEEKDAY(E11,2)=7,2,0))),(E11+IF(WEEKDAY(E11,2)=6,2,IF(WEEKDAY(E11,2)=7,1,0)))))</f>
        <v/>
      </c>
      <c r="G11" s="84">
        <f>IF(NOT(BOOT_MODE="Test 1"),"",IFERROR(INDEX(BOOT_S,MATCH(F11,BOOT_DATES,0)),""))</f>
        <v/>
      </c>
      <c r="H11" s="160">
        <f>IF(NOT(BOOT_MODE="Test 1"),"",IFERROR(IF(MATCH(F11,BOOT_DATES,0)&lt;=15,"short  DFspot/(1+S*tau)","annual (DFspot-S*A)/(1+S*tau)"),""))</f>
        <v/>
      </c>
      <c r="I11" s="80">
        <f>IF(NOT(BOOT_MODE="Test 1"),"",IFERROR(IF(MATCH(F11,BOOT_DATES,0)&lt;=15,INDEX(BOOT_TAU0,MATCH(F11,BOOT_DATES,0)),INDEX(BOOT_TAUC,MATCH(F11,BOOT_DATES,0))),""))</f>
        <v/>
      </c>
      <c r="J11" s="76">
        <f>IF(NOT(BOOT_MODE="Test 1"),"",IFERROR(IF(MATCH(F11,BOOT_DATES,0)&lt;=15,0,INDEX(BOOT_ANN,MATCH(F11,BOOT_DATES,0))),""))</f>
        <v/>
      </c>
      <c r="K11" s="76">
        <f>IF(OR(G11="",I11=""),"",BOOT_DFSPOT-(G11/100)*J11)</f>
        <v/>
      </c>
      <c r="L11" s="76">
        <f>IF(OR(G11="",I11=""),"",1+(G11/100)*I11)</f>
        <v/>
      </c>
      <c r="M11" s="76">
        <f>IF(NOT(BOOT_MODE="Test 1"),"",IFERROR(INDEX(BOOT_DF,MATCH(F11,BOOT_DATES,0)),""))</f>
        <v/>
      </c>
      <c r="N11" s="80">
        <f>IF(NOT(BOOT_MODE="Test 1"),"",IFERROR(INDEX(BOOT_T,MATCH(F11,BOOT_DATES,0)),""))</f>
        <v/>
      </c>
      <c r="O11" s="84">
        <f>IF(NOT(BOOT_MODE="Test 1"),"",IFERROR(INDEX(BOOT_ZERO,MATCH(F11,BOOT_DATES,0)),""))</f>
        <v/>
      </c>
      <c r="P11" s="89">
        <f>IF(OR(O11="",NOT(ISNUMBER(C11))),"",(O11-C11)*100)</f>
        <v/>
      </c>
      <c r="Q11" s="72">
        <f>IF(OR(M11="",NOT(ISNUMBER(D11))),"",M11-D11)</f>
        <v/>
      </c>
    </row>
    <row r="12">
      <c r="A12" s="68" t="n"/>
      <c r="B12" s="85" t="n"/>
      <c r="C12" s="85" t="n"/>
      <c r="D12" s="69" t="n"/>
      <c r="E12" s="112">
        <f>IF(OR(A12="",$D$6=""),"",IF(RIGHT(A12,1)="W",$D$6+7*VALUE(LEFT(A12,LEN(A12)-1)),IF(RIGHT(A12,1)="M",EDATE($D$6,VALUE(LEFT(A12,LEN(A12)-1))),EDATE($D$6,12*VALUE(LEFT(A12,LEN(A12)-1))))))</f>
        <v/>
      </c>
      <c r="F12" s="112">
        <f>IF(E12="","",IF(MONTH((E12+IF(WEEKDAY(E12,2)=6,2,IF(WEEKDAY(E12,2)=7,1,0))))&lt;&gt;MONTH(E12),(E12-IF(WEEKDAY(E12,2)=6,1,IF(WEEKDAY(E12,2)=7,2,0))),(E12+IF(WEEKDAY(E12,2)=6,2,IF(WEEKDAY(E12,2)=7,1,0)))))</f>
        <v/>
      </c>
      <c r="G12" s="84">
        <f>IF(NOT(BOOT_MODE="Test 1"),"",IFERROR(INDEX(BOOT_S,MATCH(F12,BOOT_DATES,0)),""))</f>
        <v/>
      </c>
      <c r="H12" s="160">
        <f>IF(NOT(BOOT_MODE="Test 1"),"",IFERROR(IF(MATCH(F12,BOOT_DATES,0)&lt;=15,"short  DFspot/(1+S*tau)","annual (DFspot-S*A)/(1+S*tau)"),""))</f>
        <v/>
      </c>
      <c r="I12" s="80">
        <f>IF(NOT(BOOT_MODE="Test 1"),"",IFERROR(IF(MATCH(F12,BOOT_DATES,0)&lt;=15,INDEX(BOOT_TAU0,MATCH(F12,BOOT_DATES,0)),INDEX(BOOT_TAUC,MATCH(F12,BOOT_DATES,0))),""))</f>
        <v/>
      </c>
      <c r="J12" s="76">
        <f>IF(NOT(BOOT_MODE="Test 1"),"",IFERROR(IF(MATCH(F12,BOOT_DATES,0)&lt;=15,0,INDEX(BOOT_ANN,MATCH(F12,BOOT_DATES,0))),""))</f>
        <v/>
      </c>
      <c r="K12" s="76">
        <f>IF(OR(G12="",I12=""),"",BOOT_DFSPOT-(G12/100)*J12)</f>
        <v/>
      </c>
      <c r="L12" s="76">
        <f>IF(OR(G12="",I12=""),"",1+(G12/100)*I12)</f>
        <v/>
      </c>
      <c r="M12" s="76">
        <f>IF(NOT(BOOT_MODE="Test 1"),"",IFERROR(INDEX(BOOT_DF,MATCH(F12,BOOT_DATES,0)),""))</f>
        <v/>
      </c>
      <c r="N12" s="80">
        <f>IF(NOT(BOOT_MODE="Test 1"),"",IFERROR(INDEX(BOOT_T,MATCH(F12,BOOT_DATES,0)),""))</f>
        <v/>
      </c>
      <c r="O12" s="84">
        <f>IF(NOT(BOOT_MODE="Test 1"),"",IFERROR(INDEX(BOOT_ZERO,MATCH(F12,BOOT_DATES,0)),""))</f>
        <v/>
      </c>
      <c r="P12" s="89">
        <f>IF(OR(O12="",NOT(ISNUMBER(C12))),"",(O12-C12)*100)</f>
        <v/>
      </c>
      <c r="Q12" s="72">
        <f>IF(OR(M12="",NOT(ISNUMBER(D12))),"",M12-D12)</f>
        <v/>
      </c>
    </row>
    <row r="13">
      <c r="A13" s="68" t="n"/>
      <c r="B13" s="85" t="n"/>
      <c r="C13" s="85" t="n"/>
      <c r="D13" s="69" t="n"/>
      <c r="E13" s="112">
        <f>IF(OR(A13="",$D$6=""),"",IF(RIGHT(A13,1)="W",$D$6+7*VALUE(LEFT(A13,LEN(A13)-1)),IF(RIGHT(A13,1)="M",EDATE($D$6,VALUE(LEFT(A13,LEN(A13)-1))),EDATE($D$6,12*VALUE(LEFT(A13,LEN(A13)-1))))))</f>
        <v/>
      </c>
      <c r="F13" s="112">
        <f>IF(E13="","",IF(MONTH((E13+IF(WEEKDAY(E13,2)=6,2,IF(WEEKDAY(E13,2)=7,1,0))))&lt;&gt;MONTH(E13),(E13-IF(WEEKDAY(E13,2)=6,1,IF(WEEKDAY(E13,2)=7,2,0))),(E13+IF(WEEKDAY(E13,2)=6,2,IF(WEEKDAY(E13,2)=7,1,0)))))</f>
        <v/>
      </c>
      <c r="G13" s="84">
        <f>IF(NOT(BOOT_MODE="Test 1"),"",IFERROR(INDEX(BOOT_S,MATCH(F13,BOOT_DATES,0)),""))</f>
        <v/>
      </c>
      <c r="H13" s="160">
        <f>IF(NOT(BOOT_MODE="Test 1"),"",IFERROR(IF(MATCH(F13,BOOT_DATES,0)&lt;=15,"short  DFspot/(1+S*tau)","annual (DFspot-S*A)/(1+S*tau)"),""))</f>
        <v/>
      </c>
      <c r="I13" s="80">
        <f>IF(NOT(BOOT_MODE="Test 1"),"",IFERROR(IF(MATCH(F13,BOOT_DATES,0)&lt;=15,INDEX(BOOT_TAU0,MATCH(F13,BOOT_DATES,0)),INDEX(BOOT_TAUC,MATCH(F13,BOOT_DATES,0))),""))</f>
        <v/>
      </c>
      <c r="J13" s="76">
        <f>IF(NOT(BOOT_MODE="Test 1"),"",IFERROR(IF(MATCH(F13,BOOT_DATES,0)&lt;=15,0,INDEX(BOOT_ANN,MATCH(F13,BOOT_DATES,0))),""))</f>
        <v/>
      </c>
      <c r="K13" s="76">
        <f>IF(OR(G13="",I13=""),"",BOOT_DFSPOT-(G13/100)*J13)</f>
        <v/>
      </c>
      <c r="L13" s="76">
        <f>IF(OR(G13="",I13=""),"",1+(G13/100)*I13)</f>
        <v/>
      </c>
      <c r="M13" s="76">
        <f>IF(NOT(BOOT_MODE="Test 1"),"",IFERROR(INDEX(BOOT_DF,MATCH(F13,BOOT_DATES,0)),""))</f>
        <v/>
      </c>
      <c r="N13" s="80">
        <f>IF(NOT(BOOT_MODE="Test 1"),"",IFERROR(INDEX(BOOT_T,MATCH(F13,BOOT_DATES,0)),""))</f>
        <v/>
      </c>
      <c r="O13" s="84">
        <f>IF(NOT(BOOT_MODE="Test 1"),"",IFERROR(INDEX(BOOT_ZERO,MATCH(F13,BOOT_DATES,0)),""))</f>
        <v/>
      </c>
      <c r="P13" s="89">
        <f>IF(OR(O13="",NOT(ISNUMBER(C13))),"",(O13-C13)*100)</f>
        <v/>
      </c>
      <c r="Q13" s="72">
        <f>IF(OR(M13="",NOT(ISNUMBER(D13))),"",M13-D13)</f>
        <v/>
      </c>
    </row>
    <row r="14">
      <c r="A14" s="68" t="n"/>
      <c r="B14" s="85" t="n"/>
      <c r="C14" s="85" t="n"/>
      <c r="D14" s="69" t="n"/>
      <c r="E14" s="112">
        <f>IF(OR(A14="",$D$6=""),"",IF(RIGHT(A14,1)="W",$D$6+7*VALUE(LEFT(A14,LEN(A14)-1)),IF(RIGHT(A14,1)="M",EDATE($D$6,VALUE(LEFT(A14,LEN(A14)-1))),EDATE($D$6,12*VALUE(LEFT(A14,LEN(A14)-1))))))</f>
        <v/>
      </c>
      <c r="F14" s="112">
        <f>IF(E14="","",IF(MONTH((E14+IF(WEEKDAY(E14,2)=6,2,IF(WEEKDAY(E14,2)=7,1,0))))&lt;&gt;MONTH(E14),(E14-IF(WEEKDAY(E14,2)=6,1,IF(WEEKDAY(E14,2)=7,2,0))),(E14+IF(WEEKDAY(E14,2)=6,2,IF(WEEKDAY(E14,2)=7,1,0)))))</f>
        <v/>
      </c>
      <c r="G14" s="84">
        <f>IF(NOT(BOOT_MODE="Test 1"),"",IFERROR(INDEX(BOOT_S,MATCH(F14,BOOT_DATES,0)),""))</f>
        <v/>
      </c>
      <c r="H14" s="160">
        <f>IF(NOT(BOOT_MODE="Test 1"),"",IFERROR(IF(MATCH(F14,BOOT_DATES,0)&lt;=15,"short  DFspot/(1+S*tau)","annual (DFspot-S*A)/(1+S*tau)"),""))</f>
        <v/>
      </c>
      <c r="I14" s="80">
        <f>IF(NOT(BOOT_MODE="Test 1"),"",IFERROR(IF(MATCH(F14,BOOT_DATES,0)&lt;=15,INDEX(BOOT_TAU0,MATCH(F14,BOOT_DATES,0)),INDEX(BOOT_TAUC,MATCH(F14,BOOT_DATES,0))),""))</f>
        <v/>
      </c>
      <c r="J14" s="76">
        <f>IF(NOT(BOOT_MODE="Test 1"),"",IFERROR(IF(MATCH(F14,BOOT_DATES,0)&lt;=15,0,INDEX(BOOT_ANN,MATCH(F14,BOOT_DATES,0))),""))</f>
        <v/>
      </c>
      <c r="K14" s="76">
        <f>IF(OR(G14="",I14=""),"",BOOT_DFSPOT-(G14/100)*J14)</f>
        <v/>
      </c>
      <c r="L14" s="76">
        <f>IF(OR(G14="",I14=""),"",1+(G14/100)*I14)</f>
        <v/>
      </c>
      <c r="M14" s="76">
        <f>IF(NOT(BOOT_MODE="Test 1"),"",IFERROR(INDEX(BOOT_DF,MATCH(F14,BOOT_DATES,0)),""))</f>
        <v/>
      </c>
      <c r="N14" s="80">
        <f>IF(NOT(BOOT_MODE="Test 1"),"",IFERROR(INDEX(BOOT_T,MATCH(F14,BOOT_DATES,0)),""))</f>
        <v/>
      </c>
      <c r="O14" s="84">
        <f>IF(NOT(BOOT_MODE="Test 1"),"",IFERROR(INDEX(BOOT_ZERO,MATCH(F14,BOOT_DATES,0)),""))</f>
        <v/>
      </c>
      <c r="P14" s="89">
        <f>IF(OR(O14="",NOT(ISNUMBER(C14))),"",(O14-C14)*100)</f>
        <v/>
      </c>
      <c r="Q14" s="72">
        <f>IF(OR(M14="",NOT(ISNUMBER(D14))),"",M14-D14)</f>
        <v/>
      </c>
    </row>
    <row r="15">
      <c r="A15" s="68" t="n"/>
      <c r="B15" s="85" t="n"/>
      <c r="C15" s="85" t="n"/>
      <c r="D15" s="69" t="n"/>
      <c r="E15" s="112">
        <f>IF(OR(A15="",$D$6=""),"",IF(RIGHT(A15,1)="W",$D$6+7*VALUE(LEFT(A15,LEN(A15)-1)),IF(RIGHT(A15,1)="M",EDATE($D$6,VALUE(LEFT(A15,LEN(A15)-1))),EDATE($D$6,12*VALUE(LEFT(A15,LEN(A15)-1))))))</f>
        <v/>
      </c>
      <c r="F15" s="112">
        <f>IF(E15="","",IF(MONTH((E15+IF(WEEKDAY(E15,2)=6,2,IF(WEEKDAY(E15,2)=7,1,0))))&lt;&gt;MONTH(E15),(E15-IF(WEEKDAY(E15,2)=6,1,IF(WEEKDAY(E15,2)=7,2,0))),(E15+IF(WEEKDAY(E15,2)=6,2,IF(WEEKDAY(E15,2)=7,1,0)))))</f>
        <v/>
      </c>
      <c r="G15" s="84">
        <f>IF(NOT(BOOT_MODE="Test 1"),"",IFERROR(INDEX(BOOT_S,MATCH(F15,BOOT_DATES,0)),""))</f>
        <v/>
      </c>
      <c r="H15" s="160">
        <f>IF(NOT(BOOT_MODE="Test 1"),"",IFERROR(IF(MATCH(F15,BOOT_DATES,0)&lt;=15,"short  DFspot/(1+S*tau)","annual (DFspot-S*A)/(1+S*tau)"),""))</f>
        <v/>
      </c>
      <c r="I15" s="80">
        <f>IF(NOT(BOOT_MODE="Test 1"),"",IFERROR(IF(MATCH(F15,BOOT_DATES,0)&lt;=15,INDEX(BOOT_TAU0,MATCH(F15,BOOT_DATES,0)),INDEX(BOOT_TAUC,MATCH(F15,BOOT_DATES,0))),""))</f>
        <v/>
      </c>
      <c r="J15" s="76">
        <f>IF(NOT(BOOT_MODE="Test 1"),"",IFERROR(IF(MATCH(F15,BOOT_DATES,0)&lt;=15,0,INDEX(BOOT_ANN,MATCH(F15,BOOT_DATES,0))),""))</f>
        <v/>
      </c>
      <c r="K15" s="76">
        <f>IF(OR(G15="",I15=""),"",BOOT_DFSPOT-(G15/100)*J15)</f>
        <v/>
      </c>
      <c r="L15" s="76">
        <f>IF(OR(G15="",I15=""),"",1+(G15/100)*I15)</f>
        <v/>
      </c>
      <c r="M15" s="76">
        <f>IF(NOT(BOOT_MODE="Test 1"),"",IFERROR(INDEX(BOOT_DF,MATCH(F15,BOOT_DATES,0)),""))</f>
        <v/>
      </c>
      <c r="N15" s="80">
        <f>IF(NOT(BOOT_MODE="Test 1"),"",IFERROR(INDEX(BOOT_T,MATCH(F15,BOOT_DATES,0)),""))</f>
        <v/>
      </c>
      <c r="O15" s="84">
        <f>IF(NOT(BOOT_MODE="Test 1"),"",IFERROR(INDEX(BOOT_ZERO,MATCH(F15,BOOT_DATES,0)),""))</f>
        <v/>
      </c>
      <c r="P15" s="89">
        <f>IF(OR(O15="",NOT(ISNUMBER(C15))),"",(O15-C15)*100)</f>
        <v/>
      </c>
      <c r="Q15" s="72">
        <f>IF(OR(M15="",NOT(ISNUMBER(D15))),"",M15-D15)</f>
        <v/>
      </c>
    </row>
    <row r="16">
      <c r="A16" s="68" t="n"/>
      <c r="B16" s="85" t="n"/>
      <c r="C16" s="85" t="n"/>
      <c r="D16" s="69" t="n"/>
      <c r="E16" s="112">
        <f>IF(OR(A16="",$D$6=""),"",IF(RIGHT(A16,1)="W",$D$6+7*VALUE(LEFT(A16,LEN(A16)-1)),IF(RIGHT(A16,1)="M",EDATE($D$6,VALUE(LEFT(A16,LEN(A16)-1))),EDATE($D$6,12*VALUE(LEFT(A16,LEN(A16)-1))))))</f>
        <v/>
      </c>
      <c r="F16" s="112">
        <f>IF(E16="","",IF(MONTH((E16+IF(WEEKDAY(E16,2)=6,2,IF(WEEKDAY(E16,2)=7,1,0))))&lt;&gt;MONTH(E16),(E16-IF(WEEKDAY(E16,2)=6,1,IF(WEEKDAY(E16,2)=7,2,0))),(E16+IF(WEEKDAY(E16,2)=6,2,IF(WEEKDAY(E16,2)=7,1,0)))))</f>
        <v/>
      </c>
      <c r="G16" s="84">
        <f>IF(NOT(BOOT_MODE="Test 1"),"",IFERROR(INDEX(BOOT_S,MATCH(F16,BOOT_DATES,0)),""))</f>
        <v/>
      </c>
      <c r="H16" s="160">
        <f>IF(NOT(BOOT_MODE="Test 1"),"",IFERROR(IF(MATCH(F16,BOOT_DATES,0)&lt;=15,"short  DFspot/(1+S*tau)","annual (DFspot-S*A)/(1+S*tau)"),""))</f>
        <v/>
      </c>
      <c r="I16" s="80">
        <f>IF(NOT(BOOT_MODE="Test 1"),"",IFERROR(IF(MATCH(F16,BOOT_DATES,0)&lt;=15,INDEX(BOOT_TAU0,MATCH(F16,BOOT_DATES,0)),INDEX(BOOT_TAUC,MATCH(F16,BOOT_DATES,0))),""))</f>
        <v/>
      </c>
      <c r="J16" s="76">
        <f>IF(NOT(BOOT_MODE="Test 1"),"",IFERROR(IF(MATCH(F16,BOOT_DATES,0)&lt;=15,0,INDEX(BOOT_ANN,MATCH(F16,BOOT_DATES,0))),""))</f>
        <v/>
      </c>
      <c r="K16" s="76">
        <f>IF(OR(G16="",I16=""),"",BOOT_DFSPOT-(G16/100)*J16)</f>
        <v/>
      </c>
      <c r="L16" s="76">
        <f>IF(OR(G16="",I16=""),"",1+(G16/100)*I16)</f>
        <v/>
      </c>
      <c r="M16" s="76">
        <f>IF(NOT(BOOT_MODE="Test 1"),"",IFERROR(INDEX(BOOT_DF,MATCH(F16,BOOT_DATES,0)),""))</f>
        <v/>
      </c>
      <c r="N16" s="80">
        <f>IF(NOT(BOOT_MODE="Test 1"),"",IFERROR(INDEX(BOOT_T,MATCH(F16,BOOT_DATES,0)),""))</f>
        <v/>
      </c>
      <c r="O16" s="84">
        <f>IF(NOT(BOOT_MODE="Test 1"),"",IFERROR(INDEX(BOOT_ZERO,MATCH(F16,BOOT_DATES,0)),""))</f>
        <v/>
      </c>
      <c r="P16" s="89">
        <f>IF(OR(O16="",NOT(ISNUMBER(C16))),"",(O16-C16)*100)</f>
        <v/>
      </c>
      <c r="Q16" s="72">
        <f>IF(OR(M16="",NOT(ISNUMBER(D16))),"",M16-D16)</f>
        <v/>
      </c>
    </row>
    <row r="17">
      <c r="A17" s="68" t="n"/>
      <c r="B17" s="85" t="n"/>
      <c r="C17" s="85" t="n"/>
      <c r="D17" s="69" t="n"/>
      <c r="E17" s="112">
        <f>IF(OR(A17="",$D$6=""),"",IF(RIGHT(A17,1)="W",$D$6+7*VALUE(LEFT(A17,LEN(A17)-1)),IF(RIGHT(A17,1)="M",EDATE($D$6,VALUE(LEFT(A17,LEN(A17)-1))),EDATE($D$6,12*VALUE(LEFT(A17,LEN(A17)-1))))))</f>
        <v/>
      </c>
      <c r="F17" s="112">
        <f>IF(E17="","",IF(MONTH((E17+IF(WEEKDAY(E17,2)=6,2,IF(WEEKDAY(E17,2)=7,1,0))))&lt;&gt;MONTH(E17),(E17-IF(WEEKDAY(E17,2)=6,1,IF(WEEKDAY(E17,2)=7,2,0))),(E17+IF(WEEKDAY(E17,2)=6,2,IF(WEEKDAY(E17,2)=7,1,0)))))</f>
        <v/>
      </c>
      <c r="G17" s="84">
        <f>IF(NOT(BOOT_MODE="Test 1"),"",IFERROR(INDEX(BOOT_S,MATCH(F17,BOOT_DATES,0)),""))</f>
        <v/>
      </c>
      <c r="H17" s="160">
        <f>IF(NOT(BOOT_MODE="Test 1"),"",IFERROR(IF(MATCH(F17,BOOT_DATES,0)&lt;=15,"short  DFspot/(1+S*tau)","annual (DFspot-S*A)/(1+S*tau)"),""))</f>
        <v/>
      </c>
      <c r="I17" s="80">
        <f>IF(NOT(BOOT_MODE="Test 1"),"",IFERROR(IF(MATCH(F17,BOOT_DATES,0)&lt;=15,INDEX(BOOT_TAU0,MATCH(F17,BOOT_DATES,0)),INDEX(BOOT_TAUC,MATCH(F17,BOOT_DATES,0))),""))</f>
        <v/>
      </c>
      <c r="J17" s="76">
        <f>IF(NOT(BOOT_MODE="Test 1"),"",IFERROR(IF(MATCH(F17,BOOT_DATES,0)&lt;=15,0,INDEX(BOOT_ANN,MATCH(F17,BOOT_DATES,0))),""))</f>
        <v/>
      </c>
      <c r="K17" s="76">
        <f>IF(OR(G17="",I17=""),"",BOOT_DFSPOT-(G17/100)*J17)</f>
        <v/>
      </c>
      <c r="L17" s="76">
        <f>IF(OR(G17="",I17=""),"",1+(G17/100)*I17)</f>
        <v/>
      </c>
      <c r="M17" s="76">
        <f>IF(NOT(BOOT_MODE="Test 1"),"",IFERROR(INDEX(BOOT_DF,MATCH(F17,BOOT_DATES,0)),""))</f>
        <v/>
      </c>
      <c r="N17" s="80">
        <f>IF(NOT(BOOT_MODE="Test 1"),"",IFERROR(INDEX(BOOT_T,MATCH(F17,BOOT_DATES,0)),""))</f>
        <v/>
      </c>
      <c r="O17" s="84">
        <f>IF(NOT(BOOT_MODE="Test 1"),"",IFERROR(INDEX(BOOT_ZERO,MATCH(F17,BOOT_DATES,0)),""))</f>
        <v/>
      </c>
      <c r="P17" s="89">
        <f>IF(OR(O17="",NOT(ISNUMBER(C17))),"",(O17-C17)*100)</f>
        <v/>
      </c>
      <c r="Q17" s="72">
        <f>IF(OR(M17="",NOT(ISNUMBER(D17))),"",M17-D17)</f>
        <v/>
      </c>
    </row>
    <row r="18">
      <c r="A18" s="68" t="n"/>
      <c r="B18" s="85" t="n"/>
      <c r="C18" s="85" t="n"/>
      <c r="D18" s="69" t="n"/>
      <c r="E18" s="112">
        <f>IF(OR(A18="",$D$6=""),"",IF(RIGHT(A18,1)="W",$D$6+7*VALUE(LEFT(A18,LEN(A18)-1)),IF(RIGHT(A18,1)="M",EDATE($D$6,VALUE(LEFT(A18,LEN(A18)-1))),EDATE($D$6,12*VALUE(LEFT(A18,LEN(A18)-1))))))</f>
        <v/>
      </c>
      <c r="F18" s="112">
        <f>IF(E18="","",IF(MONTH((E18+IF(WEEKDAY(E18,2)=6,2,IF(WEEKDAY(E18,2)=7,1,0))))&lt;&gt;MONTH(E18),(E18-IF(WEEKDAY(E18,2)=6,1,IF(WEEKDAY(E18,2)=7,2,0))),(E18+IF(WEEKDAY(E18,2)=6,2,IF(WEEKDAY(E18,2)=7,1,0)))))</f>
        <v/>
      </c>
      <c r="G18" s="84">
        <f>IF(NOT(BOOT_MODE="Test 1"),"",IFERROR(INDEX(BOOT_S,MATCH(F18,BOOT_DATES,0)),""))</f>
        <v/>
      </c>
      <c r="H18" s="160">
        <f>IF(NOT(BOOT_MODE="Test 1"),"",IFERROR(IF(MATCH(F18,BOOT_DATES,0)&lt;=15,"short  DFspot/(1+S*tau)","annual (DFspot-S*A)/(1+S*tau)"),""))</f>
        <v/>
      </c>
      <c r="I18" s="80">
        <f>IF(NOT(BOOT_MODE="Test 1"),"",IFERROR(IF(MATCH(F18,BOOT_DATES,0)&lt;=15,INDEX(BOOT_TAU0,MATCH(F18,BOOT_DATES,0)),INDEX(BOOT_TAUC,MATCH(F18,BOOT_DATES,0))),""))</f>
        <v/>
      </c>
      <c r="J18" s="76">
        <f>IF(NOT(BOOT_MODE="Test 1"),"",IFERROR(IF(MATCH(F18,BOOT_DATES,0)&lt;=15,0,INDEX(BOOT_ANN,MATCH(F18,BOOT_DATES,0))),""))</f>
        <v/>
      </c>
      <c r="K18" s="76">
        <f>IF(OR(G18="",I18=""),"",BOOT_DFSPOT-(G18/100)*J18)</f>
        <v/>
      </c>
      <c r="L18" s="76">
        <f>IF(OR(G18="",I18=""),"",1+(G18/100)*I18)</f>
        <v/>
      </c>
      <c r="M18" s="76">
        <f>IF(NOT(BOOT_MODE="Test 1"),"",IFERROR(INDEX(BOOT_DF,MATCH(F18,BOOT_DATES,0)),""))</f>
        <v/>
      </c>
      <c r="N18" s="80">
        <f>IF(NOT(BOOT_MODE="Test 1"),"",IFERROR(INDEX(BOOT_T,MATCH(F18,BOOT_DATES,0)),""))</f>
        <v/>
      </c>
      <c r="O18" s="84">
        <f>IF(NOT(BOOT_MODE="Test 1"),"",IFERROR(INDEX(BOOT_ZERO,MATCH(F18,BOOT_DATES,0)),""))</f>
        <v/>
      </c>
      <c r="P18" s="89">
        <f>IF(OR(O18="",NOT(ISNUMBER(C18))),"",(O18-C18)*100)</f>
        <v/>
      </c>
      <c r="Q18" s="72">
        <f>IF(OR(M18="",NOT(ISNUMBER(D18))),"",M18-D18)</f>
        <v/>
      </c>
    </row>
    <row r="19">
      <c r="A19" s="68" t="n"/>
      <c r="B19" s="85" t="n"/>
      <c r="C19" s="85" t="n"/>
      <c r="D19" s="69" t="n"/>
      <c r="E19" s="112">
        <f>IF(OR(A19="",$D$6=""),"",IF(RIGHT(A19,1)="W",$D$6+7*VALUE(LEFT(A19,LEN(A19)-1)),IF(RIGHT(A19,1)="M",EDATE($D$6,VALUE(LEFT(A19,LEN(A19)-1))),EDATE($D$6,12*VALUE(LEFT(A19,LEN(A19)-1))))))</f>
        <v/>
      </c>
      <c r="F19" s="112">
        <f>IF(E19="","",IF(MONTH((E19+IF(WEEKDAY(E19,2)=6,2,IF(WEEKDAY(E19,2)=7,1,0))))&lt;&gt;MONTH(E19),(E19-IF(WEEKDAY(E19,2)=6,1,IF(WEEKDAY(E19,2)=7,2,0))),(E19+IF(WEEKDAY(E19,2)=6,2,IF(WEEKDAY(E19,2)=7,1,0)))))</f>
        <v/>
      </c>
      <c r="G19" s="84">
        <f>IF(NOT(BOOT_MODE="Test 1"),"",IFERROR(INDEX(BOOT_S,MATCH(F19,BOOT_DATES,0)),""))</f>
        <v/>
      </c>
      <c r="H19" s="160">
        <f>IF(NOT(BOOT_MODE="Test 1"),"",IFERROR(IF(MATCH(F19,BOOT_DATES,0)&lt;=15,"short  DFspot/(1+S*tau)","annual (DFspot-S*A)/(1+S*tau)"),""))</f>
        <v/>
      </c>
      <c r="I19" s="80">
        <f>IF(NOT(BOOT_MODE="Test 1"),"",IFERROR(IF(MATCH(F19,BOOT_DATES,0)&lt;=15,INDEX(BOOT_TAU0,MATCH(F19,BOOT_DATES,0)),INDEX(BOOT_TAUC,MATCH(F19,BOOT_DATES,0))),""))</f>
        <v/>
      </c>
      <c r="J19" s="76">
        <f>IF(NOT(BOOT_MODE="Test 1"),"",IFERROR(IF(MATCH(F19,BOOT_DATES,0)&lt;=15,0,INDEX(BOOT_ANN,MATCH(F19,BOOT_DATES,0))),""))</f>
        <v/>
      </c>
      <c r="K19" s="76">
        <f>IF(OR(G19="",I19=""),"",BOOT_DFSPOT-(G19/100)*J19)</f>
        <v/>
      </c>
      <c r="L19" s="76">
        <f>IF(OR(G19="",I19=""),"",1+(G19/100)*I19)</f>
        <v/>
      </c>
      <c r="M19" s="76">
        <f>IF(NOT(BOOT_MODE="Test 1"),"",IFERROR(INDEX(BOOT_DF,MATCH(F19,BOOT_DATES,0)),""))</f>
        <v/>
      </c>
      <c r="N19" s="80">
        <f>IF(NOT(BOOT_MODE="Test 1"),"",IFERROR(INDEX(BOOT_T,MATCH(F19,BOOT_DATES,0)),""))</f>
        <v/>
      </c>
      <c r="O19" s="84">
        <f>IF(NOT(BOOT_MODE="Test 1"),"",IFERROR(INDEX(BOOT_ZERO,MATCH(F19,BOOT_DATES,0)),""))</f>
        <v/>
      </c>
      <c r="P19" s="89">
        <f>IF(OR(O19="",NOT(ISNUMBER(C19))),"",(O19-C19)*100)</f>
        <v/>
      </c>
      <c r="Q19" s="72">
        <f>IF(OR(M19="",NOT(ISNUMBER(D19))),"",M19-D19)</f>
        <v/>
      </c>
    </row>
    <row r="20">
      <c r="A20" s="68" t="n"/>
      <c r="B20" s="85" t="n"/>
      <c r="C20" s="85" t="n"/>
      <c r="D20" s="69" t="n"/>
      <c r="E20" s="112">
        <f>IF(OR(A20="",$D$6=""),"",IF(RIGHT(A20,1)="W",$D$6+7*VALUE(LEFT(A20,LEN(A20)-1)),IF(RIGHT(A20,1)="M",EDATE($D$6,VALUE(LEFT(A20,LEN(A20)-1))),EDATE($D$6,12*VALUE(LEFT(A20,LEN(A20)-1))))))</f>
        <v/>
      </c>
      <c r="F20" s="112">
        <f>IF(E20="","",IF(MONTH((E20+IF(WEEKDAY(E20,2)=6,2,IF(WEEKDAY(E20,2)=7,1,0))))&lt;&gt;MONTH(E20),(E20-IF(WEEKDAY(E20,2)=6,1,IF(WEEKDAY(E20,2)=7,2,0))),(E20+IF(WEEKDAY(E20,2)=6,2,IF(WEEKDAY(E20,2)=7,1,0)))))</f>
        <v/>
      </c>
      <c r="G20" s="84">
        <f>IF(NOT(BOOT_MODE="Test 1"),"",IFERROR(INDEX(BOOT_S,MATCH(F20,BOOT_DATES,0)),""))</f>
        <v/>
      </c>
      <c r="H20" s="160">
        <f>IF(NOT(BOOT_MODE="Test 1"),"",IFERROR(IF(MATCH(F20,BOOT_DATES,0)&lt;=15,"short  DFspot/(1+S*tau)","annual (DFspot-S*A)/(1+S*tau)"),""))</f>
        <v/>
      </c>
      <c r="I20" s="80">
        <f>IF(NOT(BOOT_MODE="Test 1"),"",IFERROR(IF(MATCH(F20,BOOT_DATES,0)&lt;=15,INDEX(BOOT_TAU0,MATCH(F20,BOOT_DATES,0)),INDEX(BOOT_TAUC,MATCH(F20,BOOT_DATES,0))),""))</f>
        <v/>
      </c>
      <c r="J20" s="76">
        <f>IF(NOT(BOOT_MODE="Test 1"),"",IFERROR(IF(MATCH(F20,BOOT_DATES,0)&lt;=15,0,INDEX(BOOT_ANN,MATCH(F20,BOOT_DATES,0))),""))</f>
        <v/>
      </c>
      <c r="K20" s="76">
        <f>IF(OR(G20="",I20=""),"",BOOT_DFSPOT-(G20/100)*J20)</f>
        <v/>
      </c>
      <c r="L20" s="76">
        <f>IF(OR(G20="",I20=""),"",1+(G20/100)*I20)</f>
        <v/>
      </c>
      <c r="M20" s="76">
        <f>IF(NOT(BOOT_MODE="Test 1"),"",IFERROR(INDEX(BOOT_DF,MATCH(F20,BOOT_DATES,0)),""))</f>
        <v/>
      </c>
      <c r="N20" s="80">
        <f>IF(NOT(BOOT_MODE="Test 1"),"",IFERROR(INDEX(BOOT_T,MATCH(F20,BOOT_DATES,0)),""))</f>
        <v/>
      </c>
      <c r="O20" s="84">
        <f>IF(NOT(BOOT_MODE="Test 1"),"",IFERROR(INDEX(BOOT_ZERO,MATCH(F20,BOOT_DATES,0)),""))</f>
        <v/>
      </c>
      <c r="P20" s="89">
        <f>IF(OR(O20="",NOT(ISNUMBER(C20))),"",(O20-C20)*100)</f>
        <v/>
      </c>
      <c r="Q20" s="72">
        <f>IF(OR(M20="",NOT(ISNUMBER(D20))),"",M20-D20)</f>
        <v/>
      </c>
    </row>
    <row r="21">
      <c r="A21" s="68" t="n"/>
      <c r="B21" s="85" t="n"/>
      <c r="C21" s="85" t="n"/>
      <c r="D21" s="69" t="n"/>
      <c r="E21" s="112">
        <f>IF(OR(A21="",$D$6=""),"",IF(RIGHT(A21,1)="W",$D$6+7*VALUE(LEFT(A21,LEN(A21)-1)),IF(RIGHT(A21,1)="M",EDATE($D$6,VALUE(LEFT(A21,LEN(A21)-1))),EDATE($D$6,12*VALUE(LEFT(A21,LEN(A21)-1))))))</f>
        <v/>
      </c>
      <c r="F21" s="112">
        <f>IF(E21="","",IF(MONTH((E21+IF(WEEKDAY(E21,2)=6,2,IF(WEEKDAY(E21,2)=7,1,0))))&lt;&gt;MONTH(E21),(E21-IF(WEEKDAY(E21,2)=6,1,IF(WEEKDAY(E21,2)=7,2,0))),(E21+IF(WEEKDAY(E21,2)=6,2,IF(WEEKDAY(E21,2)=7,1,0)))))</f>
        <v/>
      </c>
      <c r="G21" s="84">
        <f>IF(NOT(BOOT_MODE="Test 1"),"",IFERROR(INDEX(BOOT_S,MATCH(F21,BOOT_DATES,0)),""))</f>
        <v/>
      </c>
      <c r="H21" s="160">
        <f>IF(NOT(BOOT_MODE="Test 1"),"",IFERROR(IF(MATCH(F21,BOOT_DATES,0)&lt;=15,"short  DFspot/(1+S*tau)","annual (DFspot-S*A)/(1+S*tau)"),""))</f>
        <v/>
      </c>
      <c r="I21" s="80">
        <f>IF(NOT(BOOT_MODE="Test 1"),"",IFERROR(IF(MATCH(F21,BOOT_DATES,0)&lt;=15,INDEX(BOOT_TAU0,MATCH(F21,BOOT_DATES,0)),INDEX(BOOT_TAUC,MATCH(F21,BOOT_DATES,0))),""))</f>
        <v/>
      </c>
      <c r="J21" s="76">
        <f>IF(NOT(BOOT_MODE="Test 1"),"",IFERROR(IF(MATCH(F21,BOOT_DATES,0)&lt;=15,0,INDEX(BOOT_ANN,MATCH(F21,BOOT_DATES,0))),""))</f>
        <v/>
      </c>
      <c r="K21" s="76">
        <f>IF(OR(G21="",I21=""),"",BOOT_DFSPOT-(G21/100)*J21)</f>
        <v/>
      </c>
      <c r="L21" s="76">
        <f>IF(OR(G21="",I21=""),"",1+(G21/100)*I21)</f>
        <v/>
      </c>
      <c r="M21" s="76">
        <f>IF(NOT(BOOT_MODE="Test 1"),"",IFERROR(INDEX(BOOT_DF,MATCH(F21,BOOT_DATES,0)),""))</f>
        <v/>
      </c>
      <c r="N21" s="80">
        <f>IF(NOT(BOOT_MODE="Test 1"),"",IFERROR(INDEX(BOOT_T,MATCH(F21,BOOT_DATES,0)),""))</f>
        <v/>
      </c>
      <c r="O21" s="84">
        <f>IF(NOT(BOOT_MODE="Test 1"),"",IFERROR(INDEX(BOOT_ZERO,MATCH(F21,BOOT_DATES,0)),""))</f>
        <v/>
      </c>
      <c r="P21" s="89">
        <f>IF(OR(O21="",NOT(ISNUMBER(C21))),"",(O21-C21)*100)</f>
        <v/>
      </c>
      <c r="Q21" s="72">
        <f>IF(OR(M21="",NOT(ISNUMBER(D21))),"",M21-D21)</f>
        <v/>
      </c>
    </row>
    <row r="22">
      <c r="A22" s="68" t="n"/>
      <c r="B22" s="85" t="n"/>
      <c r="C22" s="85" t="n"/>
      <c r="D22" s="69" t="n"/>
      <c r="E22" s="112">
        <f>IF(OR(A22="",$D$6=""),"",IF(RIGHT(A22,1)="W",$D$6+7*VALUE(LEFT(A22,LEN(A22)-1)),IF(RIGHT(A22,1)="M",EDATE($D$6,VALUE(LEFT(A22,LEN(A22)-1))),EDATE($D$6,12*VALUE(LEFT(A22,LEN(A22)-1))))))</f>
        <v/>
      </c>
      <c r="F22" s="112">
        <f>IF(E22="","",IF(MONTH((E22+IF(WEEKDAY(E22,2)=6,2,IF(WEEKDAY(E22,2)=7,1,0))))&lt;&gt;MONTH(E22),(E22-IF(WEEKDAY(E22,2)=6,1,IF(WEEKDAY(E22,2)=7,2,0))),(E22+IF(WEEKDAY(E22,2)=6,2,IF(WEEKDAY(E22,2)=7,1,0)))))</f>
        <v/>
      </c>
      <c r="G22" s="84">
        <f>IF(NOT(BOOT_MODE="Test 1"),"",IFERROR(INDEX(BOOT_S,MATCH(F22,BOOT_DATES,0)),""))</f>
        <v/>
      </c>
      <c r="H22" s="160">
        <f>IF(NOT(BOOT_MODE="Test 1"),"",IFERROR(IF(MATCH(F22,BOOT_DATES,0)&lt;=15,"short  DFspot/(1+S*tau)","annual (DFspot-S*A)/(1+S*tau)"),""))</f>
        <v/>
      </c>
      <c r="I22" s="80">
        <f>IF(NOT(BOOT_MODE="Test 1"),"",IFERROR(IF(MATCH(F22,BOOT_DATES,0)&lt;=15,INDEX(BOOT_TAU0,MATCH(F22,BOOT_DATES,0)),INDEX(BOOT_TAUC,MATCH(F22,BOOT_DATES,0))),""))</f>
        <v/>
      </c>
      <c r="J22" s="76">
        <f>IF(NOT(BOOT_MODE="Test 1"),"",IFERROR(IF(MATCH(F22,BOOT_DATES,0)&lt;=15,0,INDEX(BOOT_ANN,MATCH(F22,BOOT_DATES,0))),""))</f>
        <v/>
      </c>
      <c r="K22" s="76">
        <f>IF(OR(G22="",I22=""),"",BOOT_DFSPOT-(G22/100)*J22)</f>
        <v/>
      </c>
      <c r="L22" s="76">
        <f>IF(OR(G22="",I22=""),"",1+(G22/100)*I22)</f>
        <v/>
      </c>
      <c r="M22" s="76">
        <f>IF(NOT(BOOT_MODE="Test 1"),"",IFERROR(INDEX(BOOT_DF,MATCH(F22,BOOT_DATES,0)),""))</f>
        <v/>
      </c>
      <c r="N22" s="80">
        <f>IF(NOT(BOOT_MODE="Test 1"),"",IFERROR(INDEX(BOOT_T,MATCH(F22,BOOT_DATES,0)),""))</f>
        <v/>
      </c>
      <c r="O22" s="84">
        <f>IF(NOT(BOOT_MODE="Test 1"),"",IFERROR(INDEX(BOOT_ZERO,MATCH(F22,BOOT_DATES,0)),""))</f>
        <v/>
      </c>
      <c r="P22" s="89">
        <f>IF(OR(O22="",NOT(ISNUMBER(C22))),"",(O22-C22)*100)</f>
        <v/>
      </c>
      <c r="Q22" s="72">
        <f>IF(OR(M22="",NOT(ISNUMBER(D22))),"",M22-D22)</f>
        <v/>
      </c>
    </row>
    <row r="23">
      <c r="A23" s="68" t="n"/>
      <c r="B23" s="85" t="n"/>
      <c r="C23" s="85" t="n"/>
      <c r="D23" s="69" t="n"/>
      <c r="E23" s="112">
        <f>IF(OR(A23="",$D$6=""),"",IF(RIGHT(A23,1)="W",$D$6+7*VALUE(LEFT(A23,LEN(A23)-1)),IF(RIGHT(A23,1)="M",EDATE($D$6,VALUE(LEFT(A23,LEN(A23)-1))),EDATE($D$6,12*VALUE(LEFT(A23,LEN(A23)-1))))))</f>
        <v/>
      </c>
      <c r="F23" s="112">
        <f>IF(E23="","",IF(MONTH((E23+IF(WEEKDAY(E23,2)=6,2,IF(WEEKDAY(E23,2)=7,1,0))))&lt;&gt;MONTH(E23),(E23-IF(WEEKDAY(E23,2)=6,1,IF(WEEKDAY(E23,2)=7,2,0))),(E23+IF(WEEKDAY(E23,2)=6,2,IF(WEEKDAY(E23,2)=7,1,0)))))</f>
        <v/>
      </c>
      <c r="G23" s="84">
        <f>IF(NOT(BOOT_MODE="Test 1"),"",IFERROR(INDEX(BOOT_S,MATCH(F23,BOOT_DATES,0)),""))</f>
        <v/>
      </c>
      <c r="H23" s="160">
        <f>IF(NOT(BOOT_MODE="Test 1"),"",IFERROR(IF(MATCH(F23,BOOT_DATES,0)&lt;=15,"short  DFspot/(1+S*tau)","annual (DFspot-S*A)/(1+S*tau)"),""))</f>
        <v/>
      </c>
      <c r="I23" s="80">
        <f>IF(NOT(BOOT_MODE="Test 1"),"",IFERROR(IF(MATCH(F23,BOOT_DATES,0)&lt;=15,INDEX(BOOT_TAU0,MATCH(F23,BOOT_DATES,0)),INDEX(BOOT_TAUC,MATCH(F23,BOOT_DATES,0))),""))</f>
        <v/>
      </c>
      <c r="J23" s="76">
        <f>IF(NOT(BOOT_MODE="Test 1"),"",IFERROR(IF(MATCH(F23,BOOT_DATES,0)&lt;=15,0,INDEX(BOOT_ANN,MATCH(F23,BOOT_DATES,0))),""))</f>
        <v/>
      </c>
      <c r="K23" s="76">
        <f>IF(OR(G23="",I23=""),"",BOOT_DFSPOT-(G23/100)*J23)</f>
        <v/>
      </c>
      <c r="L23" s="76">
        <f>IF(OR(G23="",I23=""),"",1+(G23/100)*I23)</f>
        <v/>
      </c>
      <c r="M23" s="76">
        <f>IF(NOT(BOOT_MODE="Test 1"),"",IFERROR(INDEX(BOOT_DF,MATCH(F23,BOOT_DATES,0)),""))</f>
        <v/>
      </c>
      <c r="N23" s="80">
        <f>IF(NOT(BOOT_MODE="Test 1"),"",IFERROR(INDEX(BOOT_T,MATCH(F23,BOOT_DATES,0)),""))</f>
        <v/>
      </c>
      <c r="O23" s="84">
        <f>IF(NOT(BOOT_MODE="Test 1"),"",IFERROR(INDEX(BOOT_ZERO,MATCH(F23,BOOT_DATES,0)),""))</f>
        <v/>
      </c>
      <c r="P23" s="89">
        <f>IF(OR(O23="",NOT(ISNUMBER(C23))),"",(O23-C23)*100)</f>
        <v/>
      </c>
      <c r="Q23" s="72">
        <f>IF(OR(M23="",NOT(ISNUMBER(D23))),"",M23-D23)</f>
        <v/>
      </c>
    </row>
    <row r="24">
      <c r="A24" s="68" t="n"/>
      <c r="B24" s="85" t="n"/>
      <c r="C24" s="85" t="n"/>
      <c r="D24" s="69" t="n"/>
      <c r="E24" s="112">
        <f>IF(OR(A24="",$D$6=""),"",IF(RIGHT(A24,1)="W",$D$6+7*VALUE(LEFT(A24,LEN(A24)-1)),IF(RIGHT(A24,1)="M",EDATE($D$6,VALUE(LEFT(A24,LEN(A24)-1))),EDATE($D$6,12*VALUE(LEFT(A24,LEN(A24)-1))))))</f>
        <v/>
      </c>
      <c r="F24" s="112">
        <f>IF(E24="","",IF(MONTH((E24+IF(WEEKDAY(E24,2)=6,2,IF(WEEKDAY(E24,2)=7,1,0))))&lt;&gt;MONTH(E24),(E24-IF(WEEKDAY(E24,2)=6,1,IF(WEEKDAY(E24,2)=7,2,0))),(E24+IF(WEEKDAY(E24,2)=6,2,IF(WEEKDAY(E24,2)=7,1,0)))))</f>
        <v/>
      </c>
      <c r="G24" s="84">
        <f>IF(NOT(BOOT_MODE="Test 1"),"",IFERROR(INDEX(BOOT_S,MATCH(F24,BOOT_DATES,0)),""))</f>
        <v/>
      </c>
      <c r="H24" s="160">
        <f>IF(NOT(BOOT_MODE="Test 1"),"",IFERROR(IF(MATCH(F24,BOOT_DATES,0)&lt;=15,"short  DFspot/(1+S*tau)","annual (DFspot-S*A)/(1+S*tau)"),""))</f>
        <v/>
      </c>
      <c r="I24" s="80">
        <f>IF(NOT(BOOT_MODE="Test 1"),"",IFERROR(IF(MATCH(F24,BOOT_DATES,0)&lt;=15,INDEX(BOOT_TAU0,MATCH(F24,BOOT_DATES,0)),INDEX(BOOT_TAUC,MATCH(F24,BOOT_DATES,0))),""))</f>
        <v/>
      </c>
      <c r="J24" s="76">
        <f>IF(NOT(BOOT_MODE="Test 1"),"",IFERROR(IF(MATCH(F24,BOOT_DATES,0)&lt;=15,0,INDEX(BOOT_ANN,MATCH(F24,BOOT_DATES,0))),""))</f>
        <v/>
      </c>
      <c r="K24" s="76">
        <f>IF(OR(G24="",I24=""),"",BOOT_DFSPOT-(G24/100)*J24)</f>
        <v/>
      </c>
      <c r="L24" s="76">
        <f>IF(OR(G24="",I24=""),"",1+(G24/100)*I24)</f>
        <v/>
      </c>
      <c r="M24" s="76">
        <f>IF(NOT(BOOT_MODE="Test 1"),"",IFERROR(INDEX(BOOT_DF,MATCH(F24,BOOT_DATES,0)),""))</f>
        <v/>
      </c>
      <c r="N24" s="80">
        <f>IF(NOT(BOOT_MODE="Test 1"),"",IFERROR(INDEX(BOOT_T,MATCH(F24,BOOT_DATES,0)),""))</f>
        <v/>
      </c>
      <c r="O24" s="84">
        <f>IF(NOT(BOOT_MODE="Test 1"),"",IFERROR(INDEX(BOOT_ZERO,MATCH(F24,BOOT_DATES,0)),""))</f>
        <v/>
      </c>
      <c r="P24" s="89">
        <f>IF(OR(O24="",NOT(ISNUMBER(C24))),"",(O24-C24)*100)</f>
        <v/>
      </c>
      <c r="Q24" s="72">
        <f>IF(OR(M24="",NOT(ISNUMBER(D24))),"",M24-D24)</f>
        <v/>
      </c>
    </row>
    <row r="25">
      <c r="A25" s="68" t="n"/>
      <c r="B25" s="85" t="n"/>
      <c r="C25" s="85" t="n"/>
      <c r="D25" s="69" t="n"/>
      <c r="E25" s="112">
        <f>IF(OR(A25="",$D$6=""),"",IF(RIGHT(A25,1)="W",$D$6+7*VALUE(LEFT(A25,LEN(A25)-1)),IF(RIGHT(A25,1)="M",EDATE($D$6,VALUE(LEFT(A25,LEN(A25)-1))),EDATE($D$6,12*VALUE(LEFT(A25,LEN(A25)-1))))))</f>
        <v/>
      </c>
      <c r="F25" s="112">
        <f>IF(E25="","",IF(MONTH((E25+IF(WEEKDAY(E25,2)=6,2,IF(WEEKDAY(E25,2)=7,1,0))))&lt;&gt;MONTH(E25),(E25-IF(WEEKDAY(E25,2)=6,1,IF(WEEKDAY(E25,2)=7,2,0))),(E25+IF(WEEKDAY(E25,2)=6,2,IF(WEEKDAY(E25,2)=7,1,0)))))</f>
        <v/>
      </c>
      <c r="G25" s="84">
        <f>IF(NOT(BOOT_MODE="Test 1"),"",IFERROR(INDEX(BOOT_S,MATCH(F25,BOOT_DATES,0)),""))</f>
        <v/>
      </c>
      <c r="H25" s="160">
        <f>IF(NOT(BOOT_MODE="Test 1"),"",IFERROR(IF(MATCH(F25,BOOT_DATES,0)&lt;=15,"short  DFspot/(1+S*tau)","annual (DFspot-S*A)/(1+S*tau)"),""))</f>
        <v/>
      </c>
      <c r="I25" s="80">
        <f>IF(NOT(BOOT_MODE="Test 1"),"",IFERROR(IF(MATCH(F25,BOOT_DATES,0)&lt;=15,INDEX(BOOT_TAU0,MATCH(F25,BOOT_DATES,0)),INDEX(BOOT_TAUC,MATCH(F25,BOOT_DATES,0))),""))</f>
        <v/>
      </c>
      <c r="J25" s="76">
        <f>IF(NOT(BOOT_MODE="Test 1"),"",IFERROR(IF(MATCH(F25,BOOT_DATES,0)&lt;=15,0,INDEX(BOOT_ANN,MATCH(F25,BOOT_DATES,0))),""))</f>
        <v/>
      </c>
      <c r="K25" s="76">
        <f>IF(OR(G25="",I25=""),"",BOOT_DFSPOT-(G25/100)*J25)</f>
        <v/>
      </c>
      <c r="L25" s="76">
        <f>IF(OR(G25="",I25=""),"",1+(G25/100)*I25)</f>
        <v/>
      </c>
      <c r="M25" s="76">
        <f>IF(NOT(BOOT_MODE="Test 1"),"",IFERROR(INDEX(BOOT_DF,MATCH(F25,BOOT_DATES,0)),""))</f>
        <v/>
      </c>
      <c r="N25" s="80">
        <f>IF(NOT(BOOT_MODE="Test 1"),"",IFERROR(INDEX(BOOT_T,MATCH(F25,BOOT_DATES,0)),""))</f>
        <v/>
      </c>
      <c r="O25" s="84">
        <f>IF(NOT(BOOT_MODE="Test 1"),"",IFERROR(INDEX(BOOT_ZERO,MATCH(F25,BOOT_DATES,0)),""))</f>
        <v/>
      </c>
      <c r="P25" s="89">
        <f>IF(OR(O25="",NOT(ISNUMBER(C25))),"",(O25-C25)*100)</f>
        <v/>
      </c>
      <c r="Q25" s="72">
        <f>IF(OR(M25="",NOT(ISNUMBER(D25))),"",M25-D25)</f>
        <v/>
      </c>
    </row>
    <row r="26">
      <c r="A26" s="68" t="n"/>
      <c r="B26" s="85" t="n"/>
      <c r="C26" s="85" t="n"/>
      <c r="D26" s="69" t="n"/>
      <c r="E26" s="112">
        <f>IF(OR(A26="",$D$6=""),"",IF(RIGHT(A26,1)="W",$D$6+7*VALUE(LEFT(A26,LEN(A26)-1)),IF(RIGHT(A26,1)="M",EDATE($D$6,VALUE(LEFT(A26,LEN(A26)-1))),EDATE($D$6,12*VALUE(LEFT(A26,LEN(A26)-1))))))</f>
        <v/>
      </c>
      <c r="F26" s="112">
        <f>IF(E26="","",IF(MONTH((E26+IF(WEEKDAY(E26,2)=6,2,IF(WEEKDAY(E26,2)=7,1,0))))&lt;&gt;MONTH(E26),(E26-IF(WEEKDAY(E26,2)=6,1,IF(WEEKDAY(E26,2)=7,2,0))),(E26+IF(WEEKDAY(E26,2)=6,2,IF(WEEKDAY(E26,2)=7,1,0)))))</f>
        <v/>
      </c>
      <c r="G26" s="84">
        <f>IF(NOT(BOOT_MODE="Test 1"),"",IFERROR(INDEX(BOOT_S,MATCH(F26,BOOT_DATES,0)),""))</f>
        <v/>
      </c>
      <c r="H26" s="160">
        <f>IF(NOT(BOOT_MODE="Test 1"),"",IFERROR(IF(MATCH(F26,BOOT_DATES,0)&lt;=15,"short  DFspot/(1+S*tau)","annual (DFspot-S*A)/(1+S*tau)"),""))</f>
        <v/>
      </c>
      <c r="I26" s="80">
        <f>IF(NOT(BOOT_MODE="Test 1"),"",IFERROR(IF(MATCH(F26,BOOT_DATES,0)&lt;=15,INDEX(BOOT_TAU0,MATCH(F26,BOOT_DATES,0)),INDEX(BOOT_TAUC,MATCH(F26,BOOT_DATES,0))),""))</f>
        <v/>
      </c>
      <c r="J26" s="76">
        <f>IF(NOT(BOOT_MODE="Test 1"),"",IFERROR(IF(MATCH(F26,BOOT_DATES,0)&lt;=15,0,INDEX(BOOT_ANN,MATCH(F26,BOOT_DATES,0))),""))</f>
        <v/>
      </c>
      <c r="K26" s="76">
        <f>IF(OR(G26="",I26=""),"",BOOT_DFSPOT-(G26/100)*J26)</f>
        <v/>
      </c>
      <c r="L26" s="76">
        <f>IF(OR(G26="",I26=""),"",1+(G26/100)*I26)</f>
        <v/>
      </c>
      <c r="M26" s="76">
        <f>IF(NOT(BOOT_MODE="Test 1"),"",IFERROR(INDEX(BOOT_DF,MATCH(F26,BOOT_DATES,0)),""))</f>
        <v/>
      </c>
      <c r="N26" s="80">
        <f>IF(NOT(BOOT_MODE="Test 1"),"",IFERROR(INDEX(BOOT_T,MATCH(F26,BOOT_DATES,0)),""))</f>
        <v/>
      </c>
      <c r="O26" s="84">
        <f>IF(NOT(BOOT_MODE="Test 1"),"",IFERROR(INDEX(BOOT_ZERO,MATCH(F26,BOOT_DATES,0)),""))</f>
        <v/>
      </c>
      <c r="P26" s="89">
        <f>IF(OR(O26="",NOT(ISNUMBER(C26))),"",(O26-C26)*100)</f>
        <v/>
      </c>
      <c r="Q26" s="72">
        <f>IF(OR(M26="",NOT(ISNUMBER(D26))),"",M26-D26)</f>
        <v/>
      </c>
    </row>
    <row r="27">
      <c r="A27" s="68" t="n"/>
      <c r="B27" s="85" t="n"/>
      <c r="C27" s="85" t="n"/>
      <c r="D27" s="69" t="n"/>
      <c r="E27" s="112">
        <f>IF(OR(A27="",$D$6=""),"",IF(RIGHT(A27,1)="W",$D$6+7*VALUE(LEFT(A27,LEN(A27)-1)),IF(RIGHT(A27,1)="M",EDATE($D$6,VALUE(LEFT(A27,LEN(A27)-1))),EDATE($D$6,12*VALUE(LEFT(A27,LEN(A27)-1))))))</f>
        <v/>
      </c>
      <c r="F27" s="112">
        <f>IF(E27="","",IF(MONTH((E27+IF(WEEKDAY(E27,2)=6,2,IF(WEEKDAY(E27,2)=7,1,0))))&lt;&gt;MONTH(E27),(E27-IF(WEEKDAY(E27,2)=6,1,IF(WEEKDAY(E27,2)=7,2,0))),(E27+IF(WEEKDAY(E27,2)=6,2,IF(WEEKDAY(E27,2)=7,1,0)))))</f>
        <v/>
      </c>
      <c r="G27" s="84">
        <f>IF(NOT(BOOT_MODE="Test 1"),"",IFERROR(INDEX(BOOT_S,MATCH(F27,BOOT_DATES,0)),""))</f>
        <v/>
      </c>
      <c r="H27" s="160">
        <f>IF(NOT(BOOT_MODE="Test 1"),"",IFERROR(IF(MATCH(F27,BOOT_DATES,0)&lt;=15,"short  DFspot/(1+S*tau)","annual (DFspot-S*A)/(1+S*tau)"),""))</f>
        <v/>
      </c>
      <c r="I27" s="80">
        <f>IF(NOT(BOOT_MODE="Test 1"),"",IFERROR(IF(MATCH(F27,BOOT_DATES,0)&lt;=15,INDEX(BOOT_TAU0,MATCH(F27,BOOT_DATES,0)),INDEX(BOOT_TAUC,MATCH(F27,BOOT_DATES,0))),""))</f>
        <v/>
      </c>
      <c r="J27" s="76">
        <f>IF(NOT(BOOT_MODE="Test 1"),"",IFERROR(IF(MATCH(F27,BOOT_DATES,0)&lt;=15,0,INDEX(BOOT_ANN,MATCH(F27,BOOT_DATES,0))),""))</f>
        <v/>
      </c>
      <c r="K27" s="76">
        <f>IF(OR(G27="",I27=""),"",BOOT_DFSPOT-(G27/100)*J27)</f>
        <v/>
      </c>
      <c r="L27" s="76">
        <f>IF(OR(G27="",I27=""),"",1+(G27/100)*I27)</f>
        <v/>
      </c>
      <c r="M27" s="76">
        <f>IF(NOT(BOOT_MODE="Test 1"),"",IFERROR(INDEX(BOOT_DF,MATCH(F27,BOOT_DATES,0)),""))</f>
        <v/>
      </c>
      <c r="N27" s="80">
        <f>IF(NOT(BOOT_MODE="Test 1"),"",IFERROR(INDEX(BOOT_T,MATCH(F27,BOOT_DATES,0)),""))</f>
        <v/>
      </c>
      <c r="O27" s="84">
        <f>IF(NOT(BOOT_MODE="Test 1"),"",IFERROR(INDEX(BOOT_ZERO,MATCH(F27,BOOT_DATES,0)),""))</f>
        <v/>
      </c>
      <c r="P27" s="89">
        <f>IF(OR(O27="",NOT(ISNUMBER(C27))),"",(O27-C27)*100)</f>
        <v/>
      </c>
      <c r="Q27" s="72">
        <f>IF(OR(M27="",NOT(ISNUMBER(D27))),"",M27-D27)</f>
        <v/>
      </c>
    </row>
    <row r="28">
      <c r="A28" s="68" t="n"/>
      <c r="B28" s="85" t="n"/>
      <c r="C28" s="85" t="n"/>
      <c r="D28" s="69" t="n"/>
      <c r="E28" s="112">
        <f>IF(OR(A28="",$D$6=""),"",IF(RIGHT(A28,1)="W",$D$6+7*VALUE(LEFT(A28,LEN(A28)-1)),IF(RIGHT(A28,1)="M",EDATE($D$6,VALUE(LEFT(A28,LEN(A28)-1))),EDATE($D$6,12*VALUE(LEFT(A28,LEN(A28)-1))))))</f>
        <v/>
      </c>
      <c r="F28" s="112">
        <f>IF(E28="","",IF(MONTH((E28+IF(WEEKDAY(E28,2)=6,2,IF(WEEKDAY(E28,2)=7,1,0))))&lt;&gt;MONTH(E28),(E28-IF(WEEKDAY(E28,2)=6,1,IF(WEEKDAY(E28,2)=7,2,0))),(E28+IF(WEEKDAY(E28,2)=6,2,IF(WEEKDAY(E28,2)=7,1,0)))))</f>
        <v/>
      </c>
      <c r="G28" s="84">
        <f>IF(NOT(BOOT_MODE="Test 1"),"",IFERROR(INDEX(BOOT_S,MATCH(F28,BOOT_DATES,0)),""))</f>
        <v/>
      </c>
      <c r="H28" s="160">
        <f>IF(NOT(BOOT_MODE="Test 1"),"",IFERROR(IF(MATCH(F28,BOOT_DATES,0)&lt;=15,"short  DFspot/(1+S*tau)","annual (DFspot-S*A)/(1+S*tau)"),""))</f>
        <v/>
      </c>
      <c r="I28" s="80">
        <f>IF(NOT(BOOT_MODE="Test 1"),"",IFERROR(IF(MATCH(F28,BOOT_DATES,0)&lt;=15,INDEX(BOOT_TAU0,MATCH(F28,BOOT_DATES,0)),INDEX(BOOT_TAUC,MATCH(F28,BOOT_DATES,0))),""))</f>
        <v/>
      </c>
      <c r="J28" s="76">
        <f>IF(NOT(BOOT_MODE="Test 1"),"",IFERROR(IF(MATCH(F28,BOOT_DATES,0)&lt;=15,0,INDEX(BOOT_ANN,MATCH(F28,BOOT_DATES,0))),""))</f>
        <v/>
      </c>
      <c r="K28" s="76">
        <f>IF(OR(G28="",I28=""),"",BOOT_DFSPOT-(G28/100)*J28)</f>
        <v/>
      </c>
      <c r="L28" s="76">
        <f>IF(OR(G28="",I28=""),"",1+(G28/100)*I28)</f>
        <v/>
      </c>
      <c r="M28" s="76">
        <f>IF(NOT(BOOT_MODE="Test 1"),"",IFERROR(INDEX(BOOT_DF,MATCH(F28,BOOT_DATES,0)),""))</f>
        <v/>
      </c>
      <c r="N28" s="80">
        <f>IF(NOT(BOOT_MODE="Test 1"),"",IFERROR(INDEX(BOOT_T,MATCH(F28,BOOT_DATES,0)),""))</f>
        <v/>
      </c>
      <c r="O28" s="84">
        <f>IF(NOT(BOOT_MODE="Test 1"),"",IFERROR(INDEX(BOOT_ZERO,MATCH(F28,BOOT_DATES,0)),""))</f>
        <v/>
      </c>
      <c r="P28" s="89">
        <f>IF(OR(O28="",NOT(ISNUMBER(C28))),"",(O28-C28)*100)</f>
        <v/>
      </c>
      <c r="Q28" s="72">
        <f>IF(OR(M28="",NOT(ISNUMBER(D28))),"",M28-D28)</f>
        <v/>
      </c>
    </row>
    <row r="29">
      <c r="A29" s="68" t="n"/>
      <c r="B29" s="85" t="n"/>
      <c r="C29" s="85" t="n"/>
      <c r="D29" s="69" t="n"/>
      <c r="E29" s="112">
        <f>IF(OR(A29="",$D$6=""),"",IF(RIGHT(A29,1)="W",$D$6+7*VALUE(LEFT(A29,LEN(A29)-1)),IF(RIGHT(A29,1)="M",EDATE($D$6,VALUE(LEFT(A29,LEN(A29)-1))),EDATE($D$6,12*VALUE(LEFT(A29,LEN(A29)-1))))))</f>
        <v/>
      </c>
      <c r="F29" s="112">
        <f>IF(E29="","",IF(MONTH((E29+IF(WEEKDAY(E29,2)=6,2,IF(WEEKDAY(E29,2)=7,1,0))))&lt;&gt;MONTH(E29),(E29-IF(WEEKDAY(E29,2)=6,1,IF(WEEKDAY(E29,2)=7,2,0))),(E29+IF(WEEKDAY(E29,2)=6,2,IF(WEEKDAY(E29,2)=7,1,0)))))</f>
        <v/>
      </c>
      <c r="G29" s="84">
        <f>IF(NOT(BOOT_MODE="Test 1"),"",IFERROR(INDEX(BOOT_S,MATCH(F29,BOOT_DATES,0)),""))</f>
        <v/>
      </c>
      <c r="H29" s="160">
        <f>IF(NOT(BOOT_MODE="Test 1"),"",IFERROR(IF(MATCH(F29,BOOT_DATES,0)&lt;=15,"short  DFspot/(1+S*tau)","annual (DFspot-S*A)/(1+S*tau)"),""))</f>
        <v/>
      </c>
      <c r="I29" s="80">
        <f>IF(NOT(BOOT_MODE="Test 1"),"",IFERROR(IF(MATCH(F29,BOOT_DATES,0)&lt;=15,INDEX(BOOT_TAU0,MATCH(F29,BOOT_DATES,0)),INDEX(BOOT_TAUC,MATCH(F29,BOOT_DATES,0))),""))</f>
        <v/>
      </c>
      <c r="J29" s="76">
        <f>IF(NOT(BOOT_MODE="Test 1"),"",IFERROR(IF(MATCH(F29,BOOT_DATES,0)&lt;=15,0,INDEX(BOOT_ANN,MATCH(F29,BOOT_DATES,0))),""))</f>
        <v/>
      </c>
      <c r="K29" s="76">
        <f>IF(OR(G29="",I29=""),"",BOOT_DFSPOT-(G29/100)*J29)</f>
        <v/>
      </c>
      <c r="L29" s="76">
        <f>IF(OR(G29="",I29=""),"",1+(G29/100)*I29)</f>
        <v/>
      </c>
      <c r="M29" s="76">
        <f>IF(NOT(BOOT_MODE="Test 1"),"",IFERROR(INDEX(BOOT_DF,MATCH(F29,BOOT_DATES,0)),""))</f>
        <v/>
      </c>
      <c r="N29" s="80">
        <f>IF(NOT(BOOT_MODE="Test 1"),"",IFERROR(INDEX(BOOT_T,MATCH(F29,BOOT_DATES,0)),""))</f>
        <v/>
      </c>
      <c r="O29" s="84">
        <f>IF(NOT(BOOT_MODE="Test 1"),"",IFERROR(INDEX(BOOT_ZERO,MATCH(F29,BOOT_DATES,0)),""))</f>
        <v/>
      </c>
      <c r="P29" s="89">
        <f>IF(OR(O29="",NOT(ISNUMBER(C29))),"",(O29-C29)*100)</f>
        <v/>
      </c>
      <c r="Q29" s="72">
        <f>IF(OR(M29="",NOT(ISNUMBER(D29))),"",M29-D29)</f>
        <v/>
      </c>
    </row>
    <row r="30">
      <c r="A30" s="68" t="n"/>
      <c r="B30" s="85" t="n"/>
      <c r="C30" s="85" t="n"/>
      <c r="D30" s="69" t="n"/>
      <c r="E30" s="112">
        <f>IF(OR(A30="",$D$6=""),"",IF(RIGHT(A30,1)="W",$D$6+7*VALUE(LEFT(A30,LEN(A30)-1)),IF(RIGHT(A30,1)="M",EDATE($D$6,VALUE(LEFT(A30,LEN(A30)-1))),EDATE($D$6,12*VALUE(LEFT(A30,LEN(A30)-1))))))</f>
        <v/>
      </c>
      <c r="F30" s="112">
        <f>IF(E30="","",IF(MONTH((E30+IF(WEEKDAY(E30,2)=6,2,IF(WEEKDAY(E30,2)=7,1,0))))&lt;&gt;MONTH(E30),(E30-IF(WEEKDAY(E30,2)=6,1,IF(WEEKDAY(E30,2)=7,2,0))),(E30+IF(WEEKDAY(E30,2)=6,2,IF(WEEKDAY(E30,2)=7,1,0)))))</f>
        <v/>
      </c>
      <c r="G30" s="84">
        <f>IF(NOT(BOOT_MODE="Test 1"),"",IFERROR(INDEX(BOOT_S,MATCH(F30,BOOT_DATES,0)),""))</f>
        <v/>
      </c>
      <c r="H30" s="160">
        <f>IF(NOT(BOOT_MODE="Test 1"),"",IFERROR(IF(MATCH(F30,BOOT_DATES,0)&lt;=15,"short  DFspot/(1+S*tau)","annual (DFspot-S*A)/(1+S*tau)"),""))</f>
        <v/>
      </c>
      <c r="I30" s="80">
        <f>IF(NOT(BOOT_MODE="Test 1"),"",IFERROR(IF(MATCH(F30,BOOT_DATES,0)&lt;=15,INDEX(BOOT_TAU0,MATCH(F30,BOOT_DATES,0)),INDEX(BOOT_TAUC,MATCH(F30,BOOT_DATES,0))),""))</f>
        <v/>
      </c>
      <c r="J30" s="76">
        <f>IF(NOT(BOOT_MODE="Test 1"),"",IFERROR(IF(MATCH(F30,BOOT_DATES,0)&lt;=15,0,INDEX(BOOT_ANN,MATCH(F30,BOOT_DATES,0))),""))</f>
        <v/>
      </c>
      <c r="K30" s="76">
        <f>IF(OR(G30="",I30=""),"",BOOT_DFSPOT-(G30/100)*J30)</f>
        <v/>
      </c>
      <c r="L30" s="76">
        <f>IF(OR(G30="",I30=""),"",1+(G30/100)*I30)</f>
        <v/>
      </c>
      <c r="M30" s="76">
        <f>IF(NOT(BOOT_MODE="Test 1"),"",IFERROR(INDEX(BOOT_DF,MATCH(F30,BOOT_DATES,0)),""))</f>
        <v/>
      </c>
      <c r="N30" s="80">
        <f>IF(NOT(BOOT_MODE="Test 1"),"",IFERROR(INDEX(BOOT_T,MATCH(F30,BOOT_DATES,0)),""))</f>
        <v/>
      </c>
      <c r="O30" s="84">
        <f>IF(NOT(BOOT_MODE="Test 1"),"",IFERROR(INDEX(BOOT_ZERO,MATCH(F30,BOOT_DATES,0)),""))</f>
        <v/>
      </c>
      <c r="P30" s="89">
        <f>IF(OR(O30="",NOT(ISNUMBER(C30))),"",(O30-C30)*100)</f>
        <v/>
      </c>
      <c r="Q30" s="72">
        <f>IF(OR(M30="",NOT(ISNUMBER(D30))),"",M30-D30)</f>
        <v/>
      </c>
    </row>
    <row r="31">
      <c r="A31" s="68" t="n"/>
      <c r="B31" s="85" t="n"/>
      <c r="C31" s="85" t="n"/>
      <c r="D31" s="69" t="n"/>
      <c r="E31" s="112">
        <f>IF(OR(A31="",$D$6=""),"",IF(RIGHT(A31,1)="W",$D$6+7*VALUE(LEFT(A31,LEN(A31)-1)),IF(RIGHT(A31,1)="M",EDATE($D$6,VALUE(LEFT(A31,LEN(A31)-1))),EDATE($D$6,12*VALUE(LEFT(A31,LEN(A31)-1))))))</f>
        <v/>
      </c>
      <c r="F31" s="112">
        <f>IF(E31="","",IF(MONTH((E31+IF(WEEKDAY(E31,2)=6,2,IF(WEEKDAY(E31,2)=7,1,0))))&lt;&gt;MONTH(E31),(E31-IF(WEEKDAY(E31,2)=6,1,IF(WEEKDAY(E31,2)=7,2,0))),(E31+IF(WEEKDAY(E31,2)=6,2,IF(WEEKDAY(E31,2)=7,1,0)))))</f>
        <v/>
      </c>
      <c r="G31" s="84">
        <f>IF(NOT(BOOT_MODE="Test 1"),"",IFERROR(INDEX(BOOT_S,MATCH(F31,BOOT_DATES,0)),""))</f>
        <v/>
      </c>
      <c r="H31" s="160">
        <f>IF(NOT(BOOT_MODE="Test 1"),"",IFERROR(IF(MATCH(F31,BOOT_DATES,0)&lt;=15,"short  DFspot/(1+S*tau)","annual (DFspot-S*A)/(1+S*tau)"),""))</f>
        <v/>
      </c>
      <c r="I31" s="80">
        <f>IF(NOT(BOOT_MODE="Test 1"),"",IFERROR(IF(MATCH(F31,BOOT_DATES,0)&lt;=15,INDEX(BOOT_TAU0,MATCH(F31,BOOT_DATES,0)),INDEX(BOOT_TAUC,MATCH(F31,BOOT_DATES,0))),""))</f>
        <v/>
      </c>
      <c r="J31" s="76">
        <f>IF(NOT(BOOT_MODE="Test 1"),"",IFERROR(IF(MATCH(F31,BOOT_DATES,0)&lt;=15,0,INDEX(BOOT_ANN,MATCH(F31,BOOT_DATES,0))),""))</f>
        <v/>
      </c>
      <c r="K31" s="76">
        <f>IF(OR(G31="",I31=""),"",BOOT_DFSPOT-(G31/100)*J31)</f>
        <v/>
      </c>
      <c r="L31" s="76">
        <f>IF(OR(G31="",I31=""),"",1+(G31/100)*I31)</f>
        <v/>
      </c>
      <c r="M31" s="76">
        <f>IF(NOT(BOOT_MODE="Test 1"),"",IFERROR(INDEX(BOOT_DF,MATCH(F31,BOOT_DATES,0)),""))</f>
        <v/>
      </c>
      <c r="N31" s="80">
        <f>IF(NOT(BOOT_MODE="Test 1"),"",IFERROR(INDEX(BOOT_T,MATCH(F31,BOOT_DATES,0)),""))</f>
        <v/>
      </c>
      <c r="O31" s="84">
        <f>IF(NOT(BOOT_MODE="Test 1"),"",IFERROR(INDEX(BOOT_ZERO,MATCH(F31,BOOT_DATES,0)),""))</f>
        <v/>
      </c>
      <c r="P31" s="89">
        <f>IF(OR(O31="",NOT(ISNUMBER(C31))),"",(O31-C31)*100)</f>
        <v/>
      </c>
      <c r="Q31" s="72">
        <f>IF(OR(M31="",NOT(ISNUMBER(D31))),"",M31-D31)</f>
        <v/>
      </c>
    </row>
    <row r="32">
      <c r="A32" s="68" t="n"/>
      <c r="B32" s="85" t="n"/>
      <c r="C32" s="85" t="n"/>
      <c r="D32" s="69" t="n"/>
      <c r="E32" s="112">
        <f>IF(OR(A32="",$D$6=""),"",IF(RIGHT(A32,1)="W",$D$6+7*VALUE(LEFT(A32,LEN(A32)-1)),IF(RIGHT(A32,1)="M",EDATE($D$6,VALUE(LEFT(A32,LEN(A32)-1))),EDATE($D$6,12*VALUE(LEFT(A32,LEN(A32)-1))))))</f>
        <v/>
      </c>
      <c r="F32" s="112">
        <f>IF(E32="","",IF(MONTH((E32+IF(WEEKDAY(E32,2)=6,2,IF(WEEKDAY(E32,2)=7,1,0))))&lt;&gt;MONTH(E32),(E32-IF(WEEKDAY(E32,2)=6,1,IF(WEEKDAY(E32,2)=7,2,0))),(E32+IF(WEEKDAY(E32,2)=6,2,IF(WEEKDAY(E32,2)=7,1,0)))))</f>
        <v/>
      </c>
      <c r="G32" s="84">
        <f>IF(NOT(BOOT_MODE="Test 1"),"",IFERROR(INDEX(BOOT_S,MATCH(F32,BOOT_DATES,0)),""))</f>
        <v/>
      </c>
      <c r="H32" s="160">
        <f>IF(NOT(BOOT_MODE="Test 1"),"",IFERROR(IF(MATCH(F32,BOOT_DATES,0)&lt;=15,"short  DFspot/(1+S*tau)","annual (DFspot-S*A)/(1+S*tau)"),""))</f>
        <v/>
      </c>
      <c r="I32" s="80">
        <f>IF(NOT(BOOT_MODE="Test 1"),"",IFERROR(IF(MATCH(F32,BOOT_DATES,0)&lt;=15,INDEX(BOOT_TAU0,MATCH(F32,BOOT_DATES,0)),INDEX(BOOT_TAUC,MATCH(F32,BOOT_DATES,0))),""))</f>
        <v/>
      </c>
      <c r="J32" s="76">
        <f>IF(NOT(BOOT_MODE="Test 1"),"",IFERROR(IF(MATCH(F32,BOOT_DATES,0)&lt;=15,0,INDEX(BOOT_ANN,MATCH(F32,BOOT_DATES,0))),""))</f>
        <v/>
      </c>
      <c r="K32" s="76">
        <f>IF(OR(G32="",I32=""),"",BOOT_DFSPOT-(G32/100)*J32)</f>
        <v/>
      </c>
      <c r="L32" s="76">
        <f>IF(OR(G32="",I32=""),"",1+(G32/100)*I32)</f>
        <v/>
      </c>
      <c r="M32" s="76">
        <f>IF(NOT(BOOT_MODE="Test 1"),"",IFERROR(INDEX(BOOT_DF,MATCH(F32,BOOT_DATES,0)),""))</f>
        <v/>
      </c>
      <c r="N32" s="80">
        <f>IF(NOT(BOOT_MODE="Test 1"),"",IFERROR(INDEX(BOOT_T,MATCH(F32,BOOT_DATES,0)),""))</f>
        <v/>
      </c>
      <c r="O32" s="84">
        <f>IF(NOT(BOOT_MODE="Test 1"),"",IFERROR(INDEX(BOOT_ZERO,MATCH(F32,BOOT_DATES,0)),""))</f>
        <v/>
      </c>
      <c r="P32" s="89">
        <f>IF(OR(O32="",NOT(ISNUMBER(C32))),"",(O32-C32)*100)</f>
        <v/>
      </c>
      <c r="Q32" s="72">
        <f>IF(OR(M32="",NOT(ISNUMBER(D32))),"",M32-D32)</f>
        <v/>
      </c>
    </row>
    <row r="33">
      <c r="A33" s="68" t="n"/>
      <c r="B33" s="85" t="n"/>
      <c r="C33" s="85" t="n"/>
      <c r="D33" s="69" t="n"/>
      <c r="E33" s="112">
        <f>IF(OR(A33="",$D$6=""),"",IF(RIGHT(A33,1)="W",$D$6+7*VALUE(LEFT(A33,LEN(A33)-1)),IF(RIGHT(A33,1)="M",EDATE($D$6,VALUE(LEFT(A33,LEN(A33)-1))),EDATE($D$6,12*VALUE(LEFT(A33,LEN(A33)-1))))))</f>
        <v/>
      </c>
      <c r="F33" s="112">
        <f>IF(E33="","",IF(MONTH((E33+IF(WEEKDAY(E33,2)=6,2,IF(WEEKDAY(E33,2)=7,1,0))))&lt;&gt;MONTH(E33),(E33-IF(WEEKDAY(E33,2)=6,1,IF(WEEKDAY(E33,2)=7,2,0))),(E33+IF(WEEKDAY(E33,2)=6,2,IF(WEEKDAY(E33,2)=7,1,0)))))</f>
        <v/>
      </c>
      <c r="G33" s="84">
        <f>IF(NOT(BOOT_MODE="Test 1"),"",IFERROR(INDEX(BOOT_S,MATCH(F33,BOOT_DATES,0)),""))</f>
        <v/>
      </c>
      <c r="H33" s="160">
        <f>IF(NOT(BOOT_MODE="Test 1"),"",IFERROR(IF(MATCH(F33,BOOT_DATES,0)&lt;=15,"short  DFspot/(1+S*tau)","annual (DFspot-S*A)/(1+S*tau)"),""))</f>
        <v/>
      </c>
      <c r="I33" s="80">
        <f>IF(NOT(BOOT_MODE="Test 1"),"",IFERROR(IF(MATCH(F33,BOOT_DATES,0)&lt;=15,INDEX(BOOT_TAU0,MATCH(F33,BOOT_DATES,0)),INDEX(BOOT_TAUC,MATCH(F33,BOOT_DATES,0))),""))</f>
        <v/>
      </c>
      <c r="J33" s="76">
        <f>IF(NOT(BOOT_MODE="Test 1"),"",IFERROR(IF(MATCH(F33,BOOT_DATES,0)&lt;=15,0,INDEX(BOOT_ANN,MATCH(F33,BOOT_DATES,0))),""))</f>
        <v/>
      </c>
      <c r="K33" s="76">
        <f>IF(OR(G33="",I33=""),"",BOOT_DFSPOT-(G33/100)*J33)</f>
        <v/>
      </c>
      <c r="L33" s="76">
        <f>IF(OR(G33="",I33=""),"",1+(G33/100)*I33)</f>
        <v/>
      </c>
      <c r="M33" s="76">
        <f>IF(NOT(BOOT_MODE="Test 1"),"",IFERROR(INDEX(BOOT_DF,MATCH(F33,BOOT_DATES,0)),""))</f>
        <v/>
      </c>
      <c r="N33" s="80">
        <f>IF(NOT(BOOT_MODE="Test 1"),"",IFERROR(INDEX(BOOT_T,MATCH(F33,BOOT_DATES,0)),""))</f>
        <v/>
      </c>
      <c r="O33" s="84">
        <f>IF(NOT(BOOT_MODE="Test 1"),"",IFERROR(INDEX(BOOT_ZERO,MATCH(F33,BOOT_DATES,0)),""))</f>
        <v/>
      </c>
      <c r="P33" s="89">
        <f>IF(OR(O33="",NOT(ISNUMBER(C33))),"",(O33-C33)*100)</f>
        <v/>
      </c>
      <c r="Q33" s="72">
        <f>IF(OR(M33="",NOT(ISNUMBER(D33))),"",M33-D33)</f>
        <v/>
      </c>
    </row>
    <row r="34">
      <c r="A34" s="68" t="n"/>
      <c r="B34" s="85" t="n"/>
      <c r="C34" s="85" t="n"/>
      <c r="D34" s="69" t="n"/>
      <c r="E34" s="112">
        <f>IF(OR(A34="",$D$6=""),"",IF(RIGHT(A34,1)="W",$D$6+7*VALUE(LEFT(A34,LEN(A34)-1)),IF(RIGHT(A34,1)="M",EDATE($D$6,VALUE(LEFT(A34,LEN(A34)-1))),EDATE($D$6,12*VALUE(LEFT(A34,LEN(A34)-1))))))</f>
        <v/>
      </c>
      <c r="F34" s="112">
        <f>IF(E34="","",IF(MONTH((E34+IF(WEEKDAY(E34,2)=6,2,IF(WEEKDAY(E34,2)=7,1,0))))&lt;&gt;MONTH(E34),(E34-IF(WEEKDAY(E34,2)=6,1,IF(WEEKDAY(E34,2)=7,2,0))),(E34+IF(WEEKDAY(E34,2)=6,2,IF(WEEKDAY(E34,2)=7,1,0)))))</f>
        <v/>
      </c>
      <c r="G34" s="84">
        <f>IF(NOT(BOOT_MODE="Test 1"),"",IFERROR(INDEX(BOOT_S,MATCH(F34,BOOT_DATES,0)),""))</f>
        <v/>
      </c>
      <c r="H34" s="160">
        <f>IF(NOT(BOOT_MODE="Test 1"),"",IFERROR(IF(MATCH(F34,BOOT_DATES,0)&lt;=15,"short  DFspot/(1+S*tau)","annual (DFspot-S*A)/(1+S*tau)"),""))</f>
        <v/>
      </c>
      <c r="I34" s="80">
        <f>IF(NOT(BOOT_MODE="Test 1"),"",IFERROR(IF(MATCH(F34,BOOT_DATES,0)&lt;=15,INDEX(BOOT_TAU0,MATCH(F34,BOOT_DATES,0)),INDEX(BOOT_TAUC,MATCH(F34,BOOT_DATES,0))),""))</f>
        <v/>
      </c>
      <c r="J34" s="76">
        <f>IF(NOT(BOOT_MODE="Test 1"),"",IFERROR(IF(MATCH(F34,BOOT_DATES,0)&lt;=15,0,INDEX(BOOT_ANN,MATCH(F34,BOOT_DATES,0))),""))</f>
        <v/>
      </c>
      <c r="K34" s="76">
        <f>IF(OR(G34="",I34=""),"",BOOT_DFSPOT-(G34/100)*J34)</f>
        <v/>
      </c>
      <c r="L34" s="76">
        <f>IF(OR(G34="",I34=""),"",1+(G34/100)*I34)</f>
        <v/>
      </c>
      <c r="M34" s="76">
        <f>IF(NOT(BOOT_MODE="Test 1"),"",IFERROR(INDEX(BOOT_DF,MATCH(F34,BOOT_DATES,0)),""))</f>
        <v/>
      </c>
      <c r="N34" s="80">
        <f>IF(NOT(BOOT_MODE="Test 1"),"",IFERROR(INDEX(BOOT_T,MATCH(F34,BOOT_DATES,0)),""))</f>
        <v/>
      </c>
      <c r="O34" s="84">
        <f>IF(NOT(BOOT_MODE="Test 1"),"",IFERROR(INDEX(BOOT_ZERO,MATCH(F34,BOOT_DATES,0)),""))</f>
        <v/>
      </c>
      <c r="P34" s="89">
        <f>IF(OR(O34="",NOT(ISNUMBER(C34))),"",(O34-C34)*100)</f>
        <v/>
      </c>
      <c r="Q34" s="72">
        <f>IF(OR(M34="",NOT(ISNUMBER(D34))),"",M34-D34)</f>
        <v/>
      </c>
    </row>
    <row r="35">
      <c r="A35" s="68" t="n"/>
      <c r="B35" s="85" t="n"/>
      <c r="C35" s="85" t="n"/>
      <c r="D35" s="69" t="n"/>
      <c r="E35" s="112">
        <f>IF(OR(A35="",$D$6=""),"",IF(RIGHT(A35,1)="W",$D$6+7*VALUE(LEFT(A35,LEN(A35)-1)),IF(RIGHT(A35,1)="M",EDATE($D$6,VALUE(LEFT(A35,LEN(A35)-1))),EDATE($D$6,12*VALUE(LEFT(A35,LEN(A35)-1))))))</f>
        <v/>
      </c>
      <c r="F35" s="112">
        <f>IF(E35="","",IF(MONTH((E35+IF(WEEKDAY(E35,2)=6,2,IF(WEEKDAY(E35,2)=7,1,0))))&lt;&gt;MONTH(E35),(E35-IF(WEEKDAY(E35,2)=6,1,IF(WEEKDAY(E35,2)=7,2,0))),(E35+IF(WEEKDAY(E35,2)=6,2,IF(WEEKDAY(E35,2)=7,1,0)))))</f>
        <v/>
      </c>
      <c r="G35" s="84">
        <f>IF(NOT(BOOT_MODE="Test 1"),"",IFERROR(INDEX(BOOT_S,MATCH(F35,BOOT_DATES,0)),""))</f>
        <v/>
      </c>
      <c r="H35" s="160">
        <f>IF(NOT(BOOT_MODE="Test 1"),"",IFERROR(IF(MATCH(F35,BOOT_DATES,0)&lt;=15,"short  DFspot/(1+S*tau)","annual (DFspot-S*A)/(1+S*tau)"),""))</f>
        <v/>
      </c>
      <c r="I35" s="80">
        <f>IF(NOT(BOOT_MODE="Test 1"),"",IFERROR(IF(MATCH(F35,BOOT_DATES,0)&lt;=15,INDEX(BOOT_TAU0,MATCH(F35,BOOT_DATES,0)),INDEX(BOOT_TAUC,MATCH(F35,BOOT_DATES,0))),""))</f>
        <v/>
      </c>
      <c r="J35" s="76">
        <f>IF(NOT(BOOT_MODE="Test 1"),"",IFERROR(IF(MATCH(F35,BOOT_DATES,0)&lt;=15,0,INDEX(BOOT_ANN,MATCH(F35,BOOT_DATES,0))),""))</f>
        <v/>
      </c>
      <c r="K35" s="76">
        <f>IF(OR(G35="",I35=""),"",BOOT_DFSPOT-(G35/100)*J35)</f>
        <v/>
      </c>
      <c r="L35" s="76">
        <f>IF(OR(G35="",I35=""),"",1+(G35/100)*I35)</f>
        <v/>
      </c>
      <c r="M35" s="76">
        <f>IF(NOT(BOOT_MODE="Test 1"),"",IFERROR(INDEX(BOOT_DF,MATCH(F35,BOOT_DATES,0)),""))</f>
        <v/>
      </c>
      <c r="N35" s="80">
        <f>IF(NOT(BOOT_MODE="Test 1"),"",IFERROR(INDEX(BOOT_T,MATCH(F35,BOOT_DATES,0)),""))</f>
        <v/>
      </c>
      <c r="O35" s="84">
        <f>IF(NOT(BOOT_MODE="Test 1"),"",IFERROR(INDEX(BOOT_ZERO,MATCH(F35,BOOT_DATES,0)),""))</f>
        <v/>
      </c>
      <c r="P35" s="89">
        <f>IF(OR(O35="",NOT(ISNUMBER(C35))),"",(O35-C35)*100)</f>
        <v/>
      </c>
      <c r="Q35" s="72">
        <f>IF(OR(M35="",NOT(ISNUMBER(D35))),"",M35-D35)</f>
        <v/>
      </c>
    </row>
    <row r="36">
      <c r="A36" s="68" t="n"/>
      <c r="B36" s="85" t="n"/>
      <c r="C36" s="85" t="n"/>
      <c r="D36" s="69" t="n"/>
      <c r="E36" s="112">
        <f>IF(OR(A36="",$D$6=""),"",IF(RIGHT(A36,1)="W",$D$6+7*VALUE(LEFT(A36,LEN(A36)-1)),IF(RIGHT(A36,1)="M",EDATE($D$6,VALUE(LEFT(A36,LEN(A36)-1))),EDATE($D$6,12*VALUE(LEFT(A36,LEN(A36)-1))))))</f>
        <v/>
      </c>
      <c r="F36" s="112">
        <f>IF(E36="","",IF(MONTH((E36+IF(WEEKDAY(E36,2)=6,2,IF(WEEKDAY(E36,2)=7,1,0))))&lt;&gt;MONTH(E36),(E36-IF(WEEKDAY(E36,2)=6,1,IF(WEEKDAY(E36,2)=7,2,0))),(E36+IF(WEEKDAY(E36,2)=6,2,IF(WEEKDAY(E36,2)=7,1,0)))))</f>
        <v/>
      </c>
      <c r="G36" s="84">
        <f>IF(NOT(BOOT_MODE="Test 1"),"",IFERROR(INDEX(BOOT_S,MATCH(F36,BOOT_DATES,0)),""))</f>
        <v/>
      </c>
      <c r="H36" s="160">
        <f>IF(NOT(BOOT_MODE="Test 1"),"",IFERROR(IF(MATCH(F36,BOOT_DATES,0)&lt;=15,"short  DFspot/(1+S*tau)","annual (DFspot-S*A)/(1+S*tau)"),""))</f>
        <v/>
      </c>
      <c r="I36" s="80">
        <f>IF(NOT(BOOT_MODE="Test 1"),"",IFERROR(IF(MATCH(F36,BOOT_DATES,0)&lt;=15,INDEX(BOOT_TAU0,MATCH(F36,BOOT_DATES,0)),INDEX(BOOT_TAUC,MATCH(F36,BOOT_DATES,0))),""))</f>
        <v/>
      </c>
      <c r="J36" s="76">
        <f>IF(NOT(BOOT_MODE="Test 1"),"",IFERROR(IF(MATCH(F36,BOOT_DATES,0)&lt;=15,0,INDEX(BOOT_ANN,MATCH(F36,BOOT_DATES,0))),""))</f>
        <v/>
      </c>
      <c r="K36" s="76">
        <f>IF(OR(G36="",I36=""),"",BOOT_DFSPOT-(G36/100)*J36)</f>
        <v/>
      </c>
      <c r="L36" s="76">
        <f>IF(OR(G36="",I36=""),"",1+(G36/100)*I36)</f>
        <v/>
      </c>
      <c r="M36" s="76">
        <f>IF(NOT(BOOT_MODE="Test 1"),"",IFERROR(INDEX(BOOT_DF,MATCH(F36,BOOT_DATES,0)),""))</f>
        <v/>
      </c>
      <c r="N36" s="80">
        <f>IF(NOT(BOOT_MODE="Test 1"),"",IFERROR(INDEX(BOOT_T,MATCH(F36,BOOT_DATES,0)),""))</f>
        <v/>
      </c>
      <c r="O36" s="84">
        <f>IF(NOT(BOOT_MODE="Test 1"),"",IFERROR(INDEX(BOOT_ZERO,MATCH(F36,BOOT_DATES,0)),""))</f>
        <v/>
      </c>
      <c r="P36" s="89">
        <f>IF(OR(O36="",NOT(ISNUMBER(C36))),"",(O36-C36)*100)</f>
        <v/>
      </c>
      <c r="Q36" s="72">
        <f>IF(OR(M36="",NOT(ISNUMBER(D36))),"",M36-D36)</f>
        <v/>
      </c>
    </row>
    <row r="37">
      <c r="A37" s="68" t="n"/>
      <c r="B37" s="85" t="n"/>
      <c r="C37" s="85" t="n"/>
      <c r="D37" s="69" t="n"/>
      <c r="E37" s="112">
        <f>IF(OR(A37="",$D$6=""),"",IF(RIGHT(A37,1)="W",$D$6+7*VALUE(LEFT(A37,LEN(A37)-1)),IF(RIGHT(A37,1)="M",EDATE($D$6,VALUE(LEFT(A37,LEN(A37)-1))),EDATE($D$6,12*VALUE(LEFT(A37,LEN(A37)-1))))))</f>
        <v/>
      </c>
      <c r="F37" s="112">
        <f>IF(E37="","",IF(MONTH((E37+IF(WEEKDAY(E37,2)=6,2,IF(WEEKDAY(E37,2)=7,1,0))))&lt;&gt;MONTH(E37),(E37-IF(WEEKDAY(E37,2)=6,1,IF(WEEKDAY(E37,2)=7,2,0))),(E37+IF(WEEKDAY(E37,2)=6,2,IF(WEEKDAY(E37,2)=7,1,0)))))</f>
        <v/>
      </c>
      <c r="G37" s="84">
        <f>IF(NOT(BOOT_MODE="Test 1"),"",IFERROR(INDEX(BOOT_S,MATCH(F37,BOOT_DATES,0)),""))</f>
        <v/>
      </c>
      <c r="H37" s="160">
        <f>IF(NOT(BOOT_MODE="Test 1"),"",IFERROR(IF(MATCH(F37,BOOT_DATES,0)&lt;=15,"short  DFspot/(1+S*tau)","annual (DFspot-S*A)/(1+S*tau)"),""))</f>
        <v/>
      </c>
      <c r="I37" s="80">
        <f>IF(NOT(BOOT_MODE="Test 1"),"",IFERROR(IF(MATCH(F37,BOOT_DATES,0)&lt;=15,INDEX(BOOT_TAU0,MATCH(F37,BOOT_DATES,0)),INDEX(BOOT_TAUC,MATCH(F37,BOOT_DATES,0))),""))</f>
        <v/>
      </c>
      <c r="J37" s="76">
        <f>IF(NOT(BOOT_MODE="Test 1"),"",IFERROR(IF(MATCH(F37,BOOT_DATES,0)&lt;=15,0,INDEX(BOOT_ANN,MATCH(F37,BOOT_DATES,0))),""))</f>
        <v/>
      </c>
      <c r="K37" s="76">
        <f>IF(OR(G37="",I37=""),"",BOOT_DFSPOT-(G37/100)*J37)</f>
        <v/>
      </c>
      <c r="L37" s="76">
        <f>IF(OR(G37="",I37=""),"",1+(G37/100)*I37)</f>
        <v/>
      </c>
      <c r="M37" s="76">
        <f>IF(NOT(BOOT_MODE="Test 1"),"",IFERROR(INDEX(BOOT_DF,MATCH(F37,BOOT_DATES,0)),""))</f>
        <v/>
      </c>
      <c r="N37" s="80">
        <f>IF(NOT(BOOT_MODE="Test 1"),"",IFERROR(INDEX(BOOT_T,MATCH(F37,BOOT_DATES,0)),""))</f>
        <v/>
      </c>
      <c r="O37" s="84">
        <f>IF(NOT(BOOT_MODE="Test 1"),"",IFERROR(INDEX(BOOT_ZERO,MATCH(F37,BOOT_DATES,0)),""))</f>
        <v/>
      </c>
      <c r="P37" s="89">
        <f>IF(OR(O37="",NOT(ISNUMBER(C37))),"",(O37-C37)*100)</f>
        <v/>
      </c>
      <c r="Q37" s="72">
        <f>IF(OR(M37="",NOT(ISNUMBER(D37))),"",M37-D37)</f>
        <v/>
      </c>
    </row>
    <row r="38">
      <c r="A38" s="68" t="n"/>
      <c r="B38" s="85" t="n"/>
      <c r="C38" s="85" t="n"/>
      <c r="D38" s="69" t="n"/>
      <c r="E38" s="112">
        <f>IF(OR(A38="",$D$6=""),"",IF(RIGHT(A38,1)="W",$D$6+7*VALUE(LEFT(A38,LEN(A38)-1)),IF(RIGHT(A38,1)="M",EDATE($D$6,VALUE(LEFT(A38,LEN(A38)-1))),EDATE($D$6,12*VALUE(LEFT(A38,LEN(A38)-1))))))</f>
        <v/>
      </c>
      <c r="F38" s="112">
        <f>IF(E38="","",IF(MONTH((E38+IF(WEEKDAY(E38,2)=6,2,IF(WEEKDAY(E38,2)=7,1,0))))&lt;&gt;MONTH(E38),(E38-IF(WEEKDAY(E38,2)=6,1,IF(WEEKDAY(E38,2)=7,2,0))),(E38+IF(WEEKDAY(E38,2)=6,2,IF(WEEKDAY(E38,2)=7,1,0)))))</f>
        <v/>
      </c>
      <c r="G38" s="84">
        <f>IF(NOT(BOOT_MODE="Test 1"),"",IFERROR(INDEX(BOOT_S,MATCH(F38,BOOT_DATES,0)),""))</f>
        <v/>
      </c>
      <c r="H38" s="160">
        <f>IF(NOT(BOOT_MODE="Test 1"),"",IFERROR(IF(MATCH(F38,BOOT_DATES,0)&lt;=15,"short  DFspot/(1+S*tau)","annual (DFspot-S*A)/(1+S*tau)"),""))</f>
        <v/>
      </c>
      <c r="I38" s="80">
        <f>IF(NOT(BOOT_MODE="Test 1"),"",IFERROR(IF(MATCH(F38,BOOT_DATES,0)&lt;=15,INDEX(BOOT_TAU0,MATCH(F38,BOOT_DATES,0)),INDEX(BOOT_TAUC,MATCH(F38,BOOT_DATES,0))),""))</f>
        <v/>
      </c>
      <c r="J38" s="76">
        <f>IF(NOT(BOOT_MODE="Test 1"),"",IFERROR(IF(MATCH(F38,BOOT_DATES,0)&lt;=15,0,INDEX(BOOT_ANN,MATCH(F38,BOOT_DATES,0))),""))</f>
        <v/>
      </c>
      <c r="K38" s="76">
        <f>IF(OR(G38="",I38=""),"",BOOT_DFSPOT-(G38/100)*J38)</f>
        <v/>
      </c>
      <c r="L38" s="76">
        <f>IF(OR(G38="",I38=""),"",1+(G38/100)*I38)</f>
        <v/>
      </c>
      <c r="M38" s="76">
        <f>IF(NOT(BOOT_MODE="Test 1"),"",IFERROR(INDEX(BOOT_DF,MATCH(F38,BOOT_DATES,0)),""))</f>
        <v/>
      </c>
      <c r="N38" s="80">
        <f>IF(NOT(BOOT_MODE="Test 1"),"",IFERROR(INDEX(BOOT_T,MATCH(F38,BOOT_DATES,0)),""))</f>
        <v/>
      </c>
      <c r="O38" s="84">
        <f>IF(NOT(BOOT_MODE="Test 1"),"",IFERROR(INDEX(BOOT_ZERO,MATCH(F38,BOOT_DATES,0)),""))</f>
        <v/>
      </c>
      <c r="P38" s="89">
        <f>IF(OR(O38="",NOT(ISNUMBER(C38))),"",(O38-C38)*100)</f>
        <v/>
      </c>
      <c r="Q38" s="72">
        <f>IF(OR(M38="",NOT(ISNUMBER(D38))),"",M38-D38)</f>
        <v/>
      </c>
    </row>
    <row r="39">
      <c r="A39" s="68" t="n"/>
      <c r="B39" s="85" t="n"/>
      <c r="C39" s="85" t="n"/>
      <c r="D39" s="69" t="n"/>
      <c r="E39" s="112">
        <f>IF(OR(A39="",$D$6=""),"",IF(RIGHT(A39,1)="W",$D$6+7*VALUE(LEFT(A39,LEN(A39)-1)),IF(RIGHT(A39,1)="M",EDATE($D$6,VALUE(LEFT(A39,LEN(A39)-1))),EDATE($D$6,12*VALUE(LEFT(A39,LEN(A39)-1))))))</f>
        <v/>
      </c>
      <c r="F39" s="112">
        <f>IF(E39="","",IF(MONTH((E39+IF(WEEKDAY(E39,2)=6,2,IF(WEEKDAY(E39,2)=7,1,0))))&lt;&gt;MONTH(E39),(E39-IF(WEEKDAY(E39,2)=6,1,IF(WEEKDAY(E39,2)=7,2,0))),(E39+IF(WEEKDAY(E39,2)=6,2,IF(WEEKDAY(E39,2)=7,1,0)))))</f>
        <v/>
      </c>
      <c r="G39" s="84">
        <f>IF(NOT(BOOT_MODE="Test 1"),"",IFERROR(INDEX(BOOT_S,MATCH(F39,BOOT_DATES,0)),""))</f>
        <v/>
      </c>
      <c r="H39" s="160">
        <f>IF(NOT(BOOT_MODE="Test 1"),"",IFERROR(IF(MATCH(F39,BOOT_DATES,0)&lt;=15,"short  DFspot/(1+S*tau)","annual (DFspot-S*A)/(1+S*tau)"),""))</f>
        <v/>
      </c>
      <c r="I39" s="80">
        <f>IF(NOT(BOOT_MODE="Test 1"),"",IFERROR(IF(MATCH(F39,BOOT_DATES,0)&lt;=15,INDEX(BOOT_TAU0,MATCH(F39,BOOT_DATES,0)),INDEX(BOOT_TAUC,MATCH(F39,BOOT_DATES,0))),""))</f>
        <v/>
      </c>
      <c r="J39" s="76">
        <f>IF(NOT(BOOT_MODE="Test 1"),"",IFERROR(IF(MATCH(F39,BOOT_DATES,0)&lt;=15,0,INDEX(BOOT_ANN,MATCH(F39,BOOT_DATES,0))),""))</f>
        <v/>
      </c>
      <c r="K39" s="76">
        <f>IF(OR(G39="",I39=""),"",BOOT_DFSPOT-(G39/100)*J39)</f>
        <v/>
      </c>
      <c r="L39" s="76">
        <f>IF(OR(G39="",I39=""),"",1+(G39/100)*I39)</f>
        <v/>
      </c>
      <c r="M39" s="76">
        <f>IF(NOT(BOOT_MODE="Test 1"),"",IFERROR(INDEX(BOOT_DF,MATCH(F39,BOOT_DATES,0)),""))</f>
        <v/>
      </c>
      <c r="N39" s="80">
        <f>IF(NOT(BOOT_MODE="Test 1"),"",IFERROR(INDEX(BOOT_T,MATCH(F39,BOOT_DATES,0)),""))</f>
        <v/>
      </c>
      <c r="O39" s="84">
        <f>IF(NOT(BOOT_MODE="Test 1"),"",IFERROR(INDEX(BOOT_ZERO,MATCH(F39,BOOT_DATES,0)),""))</f>
        <v/>
      </c>
      <c r="P39" s="89">
        <f>IF(OR(O39="",NOT(ISNUMBER(C39))),"",(O39-C39)*100)</f>
        <v/>
      </c>
      <c r="Q39" s="72">
        <f>IF(OR(M39="",NOT(ISNUMBER(D39))),"",M39-D39)</f>
        <v/>
      </c>
    </row>
    <row r="40">
      <c r="A40" s="68" t="n"/>
      <c r="B40" s="85" t="n"/>
      <c r="C40" s="85" t="n"/>
      <c r="D40" s="69" t="n"/>
      <c r="E40" s="112">
        <f>IF(OR(A40="",$D$6=""),"",IF(RIGHT(A40,1)="W",$D$6+7*VALUE(LEFT(A40,LEN(A40)-1)),IF(RIGHT(A40,1)="M",EDATE($D$6,VALUE(LEFT(A40,LEN(A40)-1))),EDATE($D$6,12*VALUE(LEFT(A40,LEN(A40)-1))))))</f>
        <v/>
      </c>
      <c r="F40" s="112">
        <f>IF(E40="","",IF(MONTH((E40+IF(WEEKDAY(E40,2)=6,2,IF(WEEKDAY(E40,2)=7,1,0))))&lt;&gt;MONTH(E40),(E40-IF(WEEKDAY(E40,2)=6,1,IF(WEEKDAY(E40,2)=7,2,0))),(E40+IF(WEEKDAY(E40,2)=6,2,IF(WEEKDAY(E40,2)=7,1,0)))))</f>
        <v/>
      </c>
      <c r="G40" s="84">
        <f>IF(NOT(BOOT_MODE="Test 1"),"",IFERROR(INDEX(BOOT_S,MATCH(F40,BOOT_DATES,0)),""))</f>
        <v/>
      </c>
      <c r="H40" s="160">
        <f>IF(NOT(BOOT_MODE="Test 1"),"",IFERROR(IF(MATCH(F40,BOOT_DATES,0)&lt;=15,"short  DFspot/(1+S*tau)","annual (DFspot-S*A)/(1+S*tau)"),""))</f>
        <v/>
      </c>
      <c r="I40" s="80">
        <f>IF(NOT(BOOT_MODE="Test 1"),"",IFERROR(IF(MATCH(F40,BOOT_DATES,0)&lt;=15,INDEX(BOOT_TAU0,MATCH(F40,BOOT_DATES,0)),INDEX(BOOT_TAUC,MATCH(F40,BOOT_DATES,0))),""))</f>
        <v/>
      </c>
      <c r="J40" s="76">
        <f>IF(NOT(BOOT_MODE="Test 1"),"",IFERROR(IF(MATCH(F40,BOOT_DATES,0)&lt;=15,0,INDEX(BOOT_ANN,MATCH(F40,BOOT_DATES,0))),""))</f>
        <v/>
      </c>
      <c r="K40" s="76">
        <f>IF(OR(G40="",I40=""),"",BOOT_DFSPOT-(G40/100)*J40)</f>
        <v/>
      </c>
      <c r="L40" s="76">
        <f>IF(OR(G40="",I40=""),"",1+(G40/100)*I40)</f>
        <v/>
      </c>
      <c r="M40" s="76">
        <f>IF(NOT(BOOT_MODE="Test 1"),"",IFERROR(INDEX(BOOT_DF,MATCH(F40,BOOT_DATES,0)),""))</f>
        <v/>
      </c>
      <c r="N40" s="80">
        <f>IF(NOT(BOOT_MODE="Test 1"),"",IFERROR(INDEX(BOOT_T,MATCH(F40,BOOT_DATES,0)),""))</f>
        <v/>
      </c>
      <c r="O40" s="84">
        <f>IF(NOT(BOOT_MODE="Test 1"),"",IFERROR(INDEX(BOOT_ZERO,MATCH(F40,BOOT_DATES,0)),""))</f>
        <v/>
      </c>
      <c r="P40" s="89">
        <f>IF(OR(O40="",NOT(ISNUMBER(C40))),"",(O40-C40)*100)</f>
        <v/>
      </c>
      <c r="Q40" s="72">
        <f>IF(OR(M40="",NOT(ISNUMBER(D40))),"",M40-D40)</f>
        <v/>
      </c>
    </row>
    <row r="41">
      <c r="A41" s="68" t="n"/>
      <c r="B41" s="85" t="n"/>
      <c r="C41" s="85" t="n"/>
      <c r="D41" s="69" t="n"/>
      <c r="E41" s="112">
        <f>IF(OR(A41="",$D$6=""),"",IF(RIGHT(A41,1)="W",$D$6+7*VALUE(LEFT(A41,LEN(A41)-1)),IF(RIGHT(A41,1)="M",EDATE($D$6,VALUE(LEFT(A41,LEN(A41)-1))),EDATE($D$6,12*VALUE(LEFT(A41,LEN(A41)-1))))))</f>
        <v/>
      </c>
      <c r="F41" s="112">
        <f>IF(E41="","",IF(MONTH((E41+IF(WEEKDAY(E41,2)=6,2,IF(WEEKDAY(E41,2)=7,1,0))))&lt;&gt;MONTH(E41),(E41-IF(WEEKDAY(E41,2)=6,1,IF(WEEKDAY(E41,2)=7,2,0))),(E41+IF(WEEKDAY(E41,2)=6,2,IF(WEEKDAY(E41,2)=7,1,0)))))</f>
        <v/>
      </c>
      <c r="G41" s="84">
        <f>IF(NOT(BOOT_MODE="Test 1"),"",IFERROR(INDEX(BOOT_S,MATCH(F41,BOOT_DATES,0)),""))</f>
        <v/>
      </c>
      <c r="H41" s="160">
        <f>IF(NOT(BOOT_MODE="Test 1"),"",IFERROR(IF(MATCH(F41,BOOT_DATES,0)&lt;=15,"short  DFspot/(1+S*tau)","annual (DFspot-S*A)/(1+S*tau)"),""))</f>
        <v/>
      </c>
      <c r="I41" s="80">
        <f>IF(NOT(BOOT_MODE="Test 1"),"",IFERROR(IF(MATCH(F41,BOOT_DATES,0)&lt;=15,INDEX(BOOT_TAU0,MATCH(F41,BOOT_DATES,0)),INDEX(BOOT_TAUC,MATCH(F41,BOOT_DATES,0))),""))</f>
        <v/>
      </c>
      <c r="J41" s="76">
        <f>IF(NOT(BOOT_MODE="Test 1"),"",IFERROR(IF(MATCH(F41,BOOT_DATES,0)&lt;=15,0,INDEX(BOOT_ANN,MATCH(F41,BOOT_DATES,0))),""))</f>
        <v/>
      </c>
      <c r="K41" s="76">
        <f>IF(OR(G41="",I41=""),"",BOOT_DFSPOT-(G41/100)*J41)</f>
        <v/>
      </c>
      <c r="L41" s="76">
        <f>IF(OR(G41="",I41=""),"",1+(G41/100)*I41)</f>
        <v/>
      </c>
      <c r="M41" s="76">
        <f>IF(NOT(BOOT_MODE="Test 1"),"",IFERROR(INDEX(BOOT_DF,MATCH(F41,BOOT_DATES,0)),""))</f>
        <v/>
      </c>
      <c r="N41" s="80">
        <f>IF(NOT(BOOT_MODE="Test 1"),"",IFERROR(INDEX(BOOT_T,MATCH(F41,BOOT_DATES,0)),""))</f>
        <v/>
      </c>
      <c r="O41" s="84">
        <f>IF(NOT(BOOT_MODE="Test 1"),"",IFERROR(INDEX(BOOT_ZERO,MATCH(F41,BOOT_DATES,0)),""))</f>
        <v/>
      </c>
      <c r="P41" s="89">
        <f>IF(OR(O41="",NOT(ISNUMBER(C41))),"",(O41-C41)*100)</f>
        <v/>
      </c>
      <c r="Q41" s="72">
        <f>IF(OR(M41="",NOT(ISNUMBER(D41))),"",M41-D41)</f>
        <v/>
      </c>
    </row>
    <row r="42">
      <c r="A42" s="68" t="n"/>
      <c r="B42" s="85" t="n"/>
      <c r="C42" s="85" t="n"/>
      <c r="D42" s="69" t="n"/>
      <c r="E42" s="112">
        <f>IF(OR(A42="",$D$6=""),"",IF(RIGHT(A42,1)="W",$D$6+7*VALUE(LEFT(A42,LEN(A42)-1)),IF(RIGHT(A42,1)="M",EDATE($D$6,VALUE(LEFT(A42,LEN(A42)-1))),EDATE($D$6,12*VALUE(LEFT(A42,LEN(A42)-1))))))</f>
        <v/>
      </c>
      <c r="F42" s="112">
        <f>IF(E42="","",IF(MONTH((E42+IF(WEEKDAY(E42,2)=6,2,IF(WEEKDAY(E42,2)=7,1,0))))&lt;&gt;MONTH(E42),(E42-IF(WEEKDAY(E42,2)=6,1,IF(WEEKDAY(E42,2)=7,2,0))),(E42+IF(WEEKDAY(E42,2)=6,2,IF(WEEKDAY(E42,2)=7,1,0)))))</f>
        <v/>
      </c>
      <c r="G42" s="84">
        <f>IF(NOT(BOOT_MODE="Test 1"),"",IFERROR(INDEX(BOOT_S,MATCH(F42,BOOT_DATES,0)),""))</f>
        <v/>
      </c>
      <c r="H42" s="160">
        <f>IF(NOT(BOOT_MODE="Test 1"),"",IFERROR(IF(MATCH(F42,BOOT_DATES,0)&lt;=15,"short  DFspot/(1+S*tau)","annual (DFspot-S*A)/(1+S*tau)"),""))</f>
        <v/>
      </c>
      <c r="I42" s="80">
        <f>IF(NOT(BOOT_MODE="Test 1"),"",IFERROR(IF(MATCH(F42,BOOT_DATES,0)&lt;=15,INDEX(BOOT_TAU0,MATCH(F42,BOOT_DATES,0)),INDEX(BOOT_TAUC,MATCH(F42,BOOT_DATES,0))),""))</f>
        <v/>
      </c>
      <c r="J42" s="76">
        <f>IF(NOT(BOOT_MODE="Test 1"),"",IFERROR(IF(MATCH(F42,BOOT_DATES,0)&lt;=15,0,INDEX(BOOT_ANN,MATCH(F42,BOOT_DATES,0))),""))</f>
        <v/>
      </c>
      <c r="K42" s="76">
        <f>IF(OR(G42="",I42=""),"",BOOT_DFSPOT-(G42/100)*J42)</f>
        <v/>
      </c>
      <c r="L42" s="76">
        <f>IF(OR(G42="",I42=""),"",1+(G42/100)*I42)</f>
        <v/>
      </c>
      <c r="M42" s="76">
        <f>IF(NOT(BOOT_MODE="Test 1"),"",IFERROR(INDEX(BOOT_DF,MATCH(F42,BOOT_DATES,0)),""))</f>
        <v/>
      </c>
      <c r="N42" s="80">
        <f>IF(NOT(BOOT_MODE="Test 1"),"",IFERROR(INDEX(BOOT_T,MATCH(F42,BOOT_DATES,0)),""))</f>
        <v/>
      </c>
      <c r="O42" s="84">
        <f>IF(NOT(BOOT_MODE="Test 1"),"",IFERROR(INDEX(BOOT_ZERO,MATCH(F42,BOOT_DATES,0)),""))</f>
        <v/>
      </c>
      <c r="P42" s="89">
        <f>IF(OR(O42="",NOT(ISNUMBER(C42))),"",(O42-C42)*100)</f>
        <v/>
      </c>
      <c r="Q42" s="72">
        <f>IF(OR(M42="",NOT(ISNUMBER(D42))),"",M42-D42)</f>
        <v/>
      </c>
    </row>
    <row r="43">
      <c r="A43" s="68" t="n"/>
      <c r="B43" s="85" t="n"/>
      <c r="C43" s="85" t="n"/>
      <c r="D43" s="69" t="n"/>
      <c r="E43" s="112">
        <f>IF(OR(A43="",$D$6=""),"",IF(RIGHT(A43,1)="W",$D$6+7*VALUE(LEFT(A43,LEN(A43)-1)),IF(RIGHT(A43,1)="M",EDATE($D$6,VALUE(LEFT(A43,LEN(A43)-1))),EDATE($D$6,12*VALUE(LEFT(A43,LEN(A43)-1))))))</f>
        <v/>
      </c>
      <c r="F43" s="112">
        <f>IF(E43="","",IF(MONTH((E43+IF(WEEKDAY(E43,2)=6,2,IF(WEEKDAY(E43,2)=7,1,0))))&lt;&gt;MONTH(E43),(E43-IF(WEEKDAY(E43,2)=6,1,IF(WEEKDAY(E43,2)=7,2,0))),(E43+IF(WEEKDAY(E43,2)=6,2,IF(WEEKDAY(E43,2)=7,1,0)))))</f>
        <v/>
      </c>
      <c r="G43" s="84">
        <f>IF(NOT(BOOT_MODE="Test 1"),"",IFERROR(INDEX(BOOT_S,MATCH(F43,BOOT_DATES,0)),""))</f>
        <v/>
      </c>
      <c r="H43" s="160">
        <f>IF(NOT(BOOT_MODE="Test 1"),"",IFERROR(IF(MATCH(F43,BOOT_DATES,0)&lt;=15,"short  DFspot/(1+S*tau)","annual (DFspot-S*A)/(1+S*tau)"),""))</f>
        <v/>
      </c>
      <c r="I43" s="80">
        <f>IF(NOT(BOOT_MODE="Test 1"),"",IFERROR(IF(MATCH(F43,BOOT_DATES,0)&lt;=15,INDEX(BOOT_TAU0,MATCH(F43,BOOT_DATES,0)),INDEX(BOOT_TAUC,MATCH(F43,BOOT_DATES,0))),""))</f>
        <v/>
      </c>
      <c r="J43" s="76">
        <f>IF(NOT(BOOT_MODE="Test 1"),"",IFERROR(IF(MATCH(F43,BOOT_DATES,0)&lt;=15,0,INDEX(BOOT_ANN,MATCH(F43,BOOT_DATES,0))),""))</f>
        <v/>
      </c>
      <c r="K43" s="76">
        <f>IF(OR(G43="",I43=""),"",BOOT_DFSPOT-(G43/100)*J43)</f>
        <v/>
      </c>
      <c r="L43" s="76">
        <f>IF(OR(G43="",I43=""),"",1+(G43/100)*I43)</f>
        <v/>
      </c>
      <c r="M43" s="76">
        <f>IF(NOT(BOOT_MODE="Test 1"),"",IFERROR(INDEX(BOOT_DF,MATCH(F43,BOOT_DATES,0)),""))</f>
        <v/>
      </c>
      <c r="N43" s="80">
        <f>IF(NOT(BOOT_MODE="Test 1"),"",IFERROR(INDEX(BOOT_T,MATCH(F43,BOOT_DATES,0)),""))</f>
        <v/>
      </c>
      <c r="O43" s="84">
        <f>IF(NOT(BOOT_MODE="Test 1"),"",IFERROR(INDEX(BOOT_ZERO,MATCH(F43,BOOT_DATES,0)),""))</f>
        <v/>
      </c>
      <c r="P43" s="89">
        <f>IF(OR(O43="",NOT(ISNUMBER(C43))),"",(O43-C43)*100)</f>
        <v/>
      </c>
      <c r="Q43" s="72">
        <f>IF(OR(M43="",NOT(ISNUMBER(D43))),"",M43-D43)</f>
        <v/>
      </c>
    </row>
    <row r="44">
      <c r="A44" s="68" t="n"/>
      <c r="B44" s="85" t="n"/>
      <c r="C44" s="85" t="n"/>
      <c r="D44" s="69" t="n"/>
      <c r="E44" s="112">
        <f>IF(OR(A44="",$D$6=""),"",IF(RIGHT(A44,1)="W",$D$6+7*VALUE(LEFT(A44,LEN(A44)-1)),IF(RIGHT(A44,1)="M",EDATE($D$6,VALUE(LEFT(A44,LEN(A44)-1))),EDATE($D$6,12*VALUE(LEFT(A44,LEN(A44)-1))))))</f>
        <v/>
      </c>
      <c r="F44" s="112">
        <f>IF(E44="","",IF(MONTH((E44+IF(WEEKDAY(E44,2)=6,2,IF(WEEKDAY(E44,2)=7,1,0))))&lt;&gt;MONTH(E44),(E44-IF(WEEKDAY(E44,2)=6,1,IF(WEEKDAY(E44,2)=7,2,0))),(E44+IF(WEEKDAY(E44,2)=6,2,IF(WEEKDAY(E44,2)=7,1,0)))))</f>
        <v/>
      </c>
      <c r="G44" s="84">
        <f>IF(NOT(BOOT_MODE="Test 1"),"",IFERROR(INDEX(BOOT_S,MATCH(F44,BOOT_DATES,0)),""))</f>
        <v/>
      </c>
      <c r="H44" s="160">
        <f>IF(NOT(BOOT_MODE="Test 1"),"",IFERROR(IF(MATCH(F44,BOOT_DATES,0)&lt;=15,"short  DFspot/(1+S*tau)","annual (DFspot-S*A)/(1+S*tau)"),""))</f>
        <v/>
      </c>
      <c r="I44" s="80">
        <f>IF(NOT(BOOT_MODE="Test 1"),"",IFERROR(IF(MATCH(F44,BOOT_DATES,0)&lt;=15,INDEX(BOOT_TAU0,MATCH(F44,BOOT_DATES,0)),INDEX(BOOT_TAUC,MATCH(F44,BOOT_DATES,0))),""))</f>
        <v/>
      </c>
      <c r="J44" s="76">
        <f>IF(NOT(BOOT_MODE="Test 1"),"",IFERROR(IF(MATCH(F44,BOOT_DATES,0)&lt;=15,0,INDEX(BOOT_ANN,MATCH(F44,BOOT_DATES,0))),""))</f>
        <v/>
      </c>
      <c r="K44" s="76">
        <f>IF(OR(G44="",I44=""),"",BOOT_DFSPOT-(G44/100)*J44)</f>
        <v/>
      </c>
      <c r="L44" s="76">
        <f>IF(OR(G44="",I44=""),"",1+(G44/100)*I44)</f>
        <v/>
      </c>
      <c r="M44" s="76">
        <f>IF(NOT(BOOT_MODE="Test 1"),"",IFERROR(INDEX(BOOT_DF,MATCH(F44,BOOT_DATES,0)),""))</f>
        <v/>
      </c>
      <c r="N44" s="80">
        <f>IF(NOT(BOOT_MODE="Test 1"),"",IFERROR(INDEX(BOOT_T,MATCH(F44,BOOT_DATES,0)),""))</f>
        <v/>
      </c>
      <c r="O44" s="84">
        <f>IF(NOT(BOOT_MODE="Test 1"),"",IFERROR(INDEX(BOOT_ZERO,MATCH(F44,BOOT_DATES,0)),""))</f>
        <v/>
      </c>
      <c r="P44" s="89">
        <f>IF(OR(O44="",NOT(ISNUMBER(C44))),"",(O44-C44)*100)</f>
        <v/>
      </c>
      <c r="Q44" s="72">
        <f>IF(OR(M44="",NOT(ISNUMBER(D44))),"",M44-D44)</f>
        <v/>
      </c>
    </row>
    <row r="45">
      <c r="A45" s="68" t="n"/>
      <c r="B45" s="85" t="n"/>
      <c r="C45" s="85" t="n"/>
      <c r="D45" s="69" t="n"/>
      <c r="E45" s="112">
        <f>IF(OR(A45="",$D$6=""),"",IF(RIGHT(A45,1)="W",$D$6+7*VALUE(LEFT(A45,LEN(A45)-1)),IF(RIGHT(A45,1)="M",EDATE($D$6,VALUE(LEFT(A45,LEN(A45)-1))),EDATE($D$6,12*VALUE(LEFT(A45,LEN(A45)-1))))))</f>
        <v/>
      </c>
      <c r="F45" s="112">
        <f>IF(E45="","",IF(MONTH((E45+IF(WEEKDAY(E45,2)=6,2,IF(WEEKDAY(E45,2)=7,1,0))))&lt;&gt;MONTH(E45),(E45-IF(WEEKDAY(E45,2)=6,1,IF(WEEKDAY(E45,2)=7,2,0))),(E45+IF(WEEKDAY(E45,2)=6,2,IF(WEEKDAY(E45,2)=7,1,0)))))</f>
        <v/>
      </c>
      <c r="G45" s="84">
        <f>IF(NOT(BOOT_MODE="Test 1"),"",IFERROR(INDEX(BOOT_S,MATCH(F45,BOOT_DATES,0)),""))</f>
        <v/>
      </c>
      <c r="H45" s="160">
        <f>IF(NOT(BOOT_MODE="Test 1"),"",IFERROR(IF(MATCH(F45,BOOT_DATES,0)&lt;=15,"short  DFspot/(1+S*tau)","annual (DFspot-S*A)/(1+S*tau)"),""))</f>
        <v/>
      </c>
      <c r="I45" s="80">
        <f>IF(NOT(BOOT_MODE="Test 1"),"",IFERROR(IF(MATCH(F45,BOOT_DATES,0)&lt;=15,INDEX(BOOT_TAU0,MATCH(F45,BOOT_DATES,0)),INDEX(BOOT_TAUC,MATCH(F45,BOOT_DATES,0))),""))</f>
        <v/>
      </c>
      <c r="J45" s="76">
        <f>IF(NOT(BOOT_MODE="Test 1"),"",IFERROR(IF(MATCH(F45,BOOT_DATES,0)&lt;=15,0,INDEX(BOOT_ANN,MATCH(F45,BOOT_DATES,0))),""))</f>
        <v/>
      </c>
      <c r="K45" s="76">
        <f>IF(OR(G45="",I45=""),"",BOOT_DFSPOT-(G45/100)*J45)</f>
        <v/>
      </c>
      <c r="L45" s="76">
        <f>IF(OR(G45="",I45=""),"",1+(G45/100)*I45)</f>
        <v/>
      </c>
      <c r="M45" s="76">
        <f>IF(NOT(BOOT_MODE="Test 1"),"",IFERROR(INDEX(BOOT_DF,MATCH(F45,BOOT_DATES,0)),""))</f>
        <v/>
      </c>
      <c r="N45" s="80">
        <f>IF(NOT(BOOT_MODE="Test 1"),"",IFERROR(INDEX(BOOT_T,MATCH(F45,BOOT_DATES,0)),""))</f>
        <v/>
      </c>
      <c r="O45" s="84">
        <f>IF(NOT(BOOT_MODE="Test 1"),"",IFERROR(INDEX(BOOT_ZERO,MATCH(F45,BOOT_DATES,0)),""))</f>
        <v/>
      </c>
      <c r="P45" s="89">
        <f>IF(OR(O45="",NOT(ISNUMBER(C45))),"",(O45-C45)*100)</f>
        <v/>
      </c>
      <c r="Q45" s="72">
        <f>IF(OR(M45="",NOT(ISNUMBER(D45))),"",M45-D45)</f>
        <v/>
      </c>
    </row>
    <row r="46">
      <c r="A46" s="68" t="n"/>
      <c r="B46" s="85" t="n"/>
      <c r="C46" s="85" t="n"/>
      <c r="D46" s="69" t="n"/>
      <c r="E46" s="112">
        <f>IF(OR(A46="",$D$6=""),"",IF(RIGHT(A46,1)="W",$D$6+7*VALUE(LEFT(A46,LEN(A46)-1)),IF(RIGHT(A46,1)="M",EDATE($D$6,VALUE(LEFT(A46,LEN(A46)-1))),EDATE($D$6,12*VALUE(LEFT(A46,LEN(A46)-1))))))</f>
        <v/>
      </c>
      <c r="F46" s="112">
        <f>IF(E46="","",IF(MONTH((E46+IF(WEEKDAY(E46,2)=6,2,IF(WEEKDAY(E46,2)=7,1,0))))&lt;&gt;MONTH(E46),(E46-IF(WEEKDAY(E46,2)=6,1,IF(WEEKDAY(E46,2)=7,2,0))),(E46+IF(WEEKDAY(E46,2)=6,2,IF(WEEKDAY(E46,2)=7,1,0)))))</f>
        <v/>
      </c>
      <c r="G46" s="84">
        <f>IF(NOT(BOOT_MODE="Test 1"),"",IFERROR(INDEX(BOOT_S,MATCH(F46,BOOT_DATES,0)),""))</f>
        <v/>
      </c>
      <c r="H46" s="160">
        <f>IF(NOT(BOOT_MODE="Test 1"),"",IFERROR(IF(MATCH(F46,BOOT_DATES,0)&lt;=15,"short  DFspot/(1+S*tau)","annual (DFspot-S*A)/(1+S*tau)"),""))</f>
        <v/>
      </c>
      <c r="I46" s="80">
        <f>IF(NOT(BOOT_MODE="Test 1"),"",IFERROR(IF(MATCH(F46,BOOT_DATES,0)&lt;=15,INDEX(BOOT_TAU0,MATCH(F46,BOOT_DATES,0)),INDEX(BOOT_TAUC,MATCH(F46,BOOT_DATES,0))),""))</f>
        <v/>
      </c>
      <c r="J46" s="76">
        <f>IF(NOT(BOOT_MODE="Test 1"),"",IFERROR(IF(MATCH(F46,BOOT_DATES,0)&lt;=15,0,INDEX(BOOT_ANN,MATCH(F46,BOOT_DATES,0))),""))</f>
        <v/>
      </c>
      <c r="K46" s="76">
        <f>IF(OR(G46="",I46=""),"",BOOT_DFSPOT-(G46/100)*J46)</f>
        <v/>
      </c>
      <c r="L46" s="76">
        <f>IF(OR(G46="",I46=""),"",1+(G46/100)*I46)</f>
        <v/>
      </c>
      <c r="M46" s="76">
        <f>IF(NOT(BOOT_MODE="Test 1"),"",IFERROR(INDEX(BOOT_DF,MATCH(F46,BOOT_DATES,0)),""))</f>
        <v/>
      </c>
      <c r="N46" s="80">
        <f>IF(NOT(BOOT_MODE="Test 1"),"",IFERROR(INDEX(BOOT_T,MATCH(F46,BOOT_DATES,0)),""))</f>
        <v/>
      </c>
      <c r="O46" s="84">
        <f>IF(NOT(BOOT_MODE="Test 1"),"",IFERROR(INDEX(BOOT_ZERO,MATCH(F46,BOOT_DATES,0)),""))</f>
        <v/>
      </c>
      <c r="P46" s="89">
        <f>IF(OR(O46="",NOT(ISNUMBER(C46))),"",(O46-C46)*100)</f>
        <v/>
      </c>
      <c r="Q46" s="72">
        <f>IF(OR(M46="",NOT(ISNUMBER(D46))),"",M46-D46)</f>
        <v/>
      </c>
    </row>
    <row r="47">
      <c r="A47" s="68" t="n"/>
      <c r="B47" s="85" t="n"/>
      <c r="C47" s="85" t="n"/>
      <c r="D47" s="69" t="n"/>
      <c r="E47" s="112">
        <f>IF(OR(A47="",$D$6=""),"",IF(RIGHT(A47,1)="W",$D$6+7*VALUE(LEFT(A47,LEN(A47)-1)),IF(RIGHT(A47,1)="M",EDATE($D$6,VALUE(LEFT(A47,LEN(A47)-1))),EDATE($D$6,12*VALUE(LEFT(A47,LEN(A47)-1))))))</f>
        <v/>
      </c>
      <c r="F47" s="112">
        <f>IF(E47="","",IF(MONTH((E47+IF(WEEKDAY(E47,2)=6,2,IF(WEEKDAY(E47,2)=7,1,0))))&lt;&gt;MONTH(E47),(E47-IF(WEEKDAY(E47,2)=6,1,IF(WEEKDAY(E47,2)=7,2,0))),(E47+IF(WEEKDAY(E47,2)=6,2,IF(WEEKDAY(E47,2)=7,1,0)))))</f>
        <v/>
      </c>
      <c r="G47" s="84">
        <f>IF(NOT(BOOT_MODE="Test 1"),"",IFERROR(INDEX(BOOT_S,MATCH(F47,BOOT_DATES,0)),""))</f>
        <v/>
      </c>
      <c r="H47" s="160">
        <f>IF(NOT(BOOT_MODE="Test 1"),"",IFERROR(IF(MATCH(F47,BOOT_DATES,0)&lt;=15,"short  DFspot/(1+S*tau)","annual (DFspot-S*A)/(1+S*tau)"),""))</f>
        <v/>
      </c>
      <c r="I47" s="80">
        <f>IF(NOT(BOOT_MODE="Test 1"),"",IFERROR(IF(MATCH(F47,BOOT_DATES,0)&lt;=15,INDEX(BOOT_TAU0,MATCH(F47,BOOT_DATES,0)),INDEX(BOOT_TAUC,MATCH(F47,BOOT_DATES,0))),""))</f>
        <v/>
      </c>
      <c r="J47" s="76">
        <f>IF(NOT(BOOT_MODE="Test 1"),"",IFERROR(IF(MATCH(F47,BOOT_DATES,0)&lt;=15,0,INDEX(BOOT_ANN,MATCH(F47,BOOT_DATES,0))),""))</f>
        <v/>
      </c>
      <c r="K47" s="76">
        <f>IF(OR(G47="",I47=""),"",BOOT_DFSPOT-(G47/100)*J47)</f>
        <v/>
      </c>
      <c r="L47" s="76">
        <f>IF(OR(G47="",I47=""),"",1+(G47/100)*I47)</f>
        <v/>
      </c>
      <c r="M47" s="76">
        <f>IF(NOT(BOOT_MODE="Test 1"),"",IFERROR(INDEX(BOOT_DF,MATCH(F47,BOOT_DATES,0)),""))</f>
        <v/>
      </c>
      <c r="N47" s="80">
        <f>IF(NOT(BOOT_MODE="Test 1"),"",IFERROR(INDEX(BOOT_T,MATCH(F47,BOOT_DATES,0)),""))</f>
        <v/>
      </c>
      <c r="O47" s="84">
        <f>IF(NOT(BOOT_MODE="Test 1"),"",IFERROR(INDEX(BOOT_ZERO,MATCH(F47,BOOT_DATES,0)),""))</f>
        <v/>
      </c>
      <c r="P47" s="89">
        <f>IF(OR(O47="",NOT(ISNUMBER(C47))),"",(O47-C47)*100)</f>
        <v/>
      </c>
      <c r="Q47" s="72">
        <f>IF(OR(M47="",NOT(ISNUMBER(D47))),"",M47-D47)</f>
        <v/>
      </c>
    </row>
    <row r="48">
      <c r="A48" s="67" t="inlineStr">
        <is>
          <t>pillars pasted</t>
        </is>
      </c>
      <c r="C48" s="130">
        <f>COUNTA(A8:A47)</f>
        <v/>
      </c>
      <c r="D48" s="67" t="inlineStr">
        <is>
          <t>matched</t>
        </is>
      </c>
      <c r="F48" s="87">
        <f>IF(NOT(BOOT_MODE="Test 1"),"not active",COUNT(O8:O47))</f>
        <v/>
      </c>
      <c r="G48" s="67" t="inlineStr">
        <is>
          <t>max |d zero| bp</t>
        </is>
      </c>
      <c r="I48" s="90">
        <f>IF(NOT(BOOT_MODE="Test 1"),"",IF(COUNT(P8:P47)=0,"",MAX(MAX(P8:P47),-MIN(P8:P47))))</f>
        <v/>
      </c>
      <c r="J48" s="67" t="inlineStr">
        <is>
          <t>max |d DF|</t>
        </is>
      </c>
      <c r="L48" s="91">
        <f>IF(NOT(BOOT_MODE="Test 1"),"",IF(COUNT(Q8:Q47)=0,"",MAX(MAX(Q8:Q47),-MIN(Q8:Q47))))</f>
        <v/>
      </c>
      <c r="M48" s="66">
        <f>IF(AND(BOOT_MODE="Test 1",C48&gt;0,F48&lt;C48),"CHECK: matched &lt; pasted, dates are not hitting Bootstrap!B — check the curve date","")</f>
        <v/>
      </c>
    </row>
    <row r="55">
      <c r="A55" s="123" t="inlineStr">
        <is>
          <t>CURVE TEST CASE 2</t>
        </is>
      </c>
      <c r="C55" s="65" t="inlineStr">
        <is>
          <t>curve date -&gt;</t>
        </is>
      </c>
      <c r="D55" s="111" t="n"/>
      <c r="E55" s="65" t="inlineStr">
        <is>
          <t>name / time -&gt;</t>
        </is>
      </c>
      <c r="F55" s="68" t="n"/>
      <c r="N55" s="66">
        <f>IF(NOT(BOOT_MODE="Test 2"),"",IF($D$55="","set the curve date",IF($D$55&lt;&gt;VAL_DATE,"curve date not driving VAL_DATE","VAL_DATE follows this case")))</f>
        <v/>
      </c>
    </row>
    <row r="56">
      <c r="A56" s="164" t="inlineStr">
        <is>
          <t>Test 2 — paste a capture here, then select 'Test 2' at Bootstrap!G4 to make it the live case. There is one bootstrap, so only the selected block computes.</t>
        </is>
      </c>
      <c r="C56" s="65" t="inlineStr">
        <is>
          <t>spot (T+2bd) -&gt;</t>
        </is>
      </c>
      <c r="D56" s="128">
        <f>IF($D$55="","",$D$55+2+IF(WEEKDAY($D$55,2)&gt;=4,2,0))</f>
        <v/>
      </c>
      <c r="F56" s="67">
        <f>IF(BOOT_MODE="Test 2","ACTIVE — model columns live","not active")</f>
        <v/>
      </c>
      <c r="H56" s="165" t="n"/>
    </row>
    <row r="57" ht="30" customHeight="1">
      <c r="A57" s="151" t="inlineStr">
        <is>
          <t>Tenor</t>
        </is>
      </c>
      <c r="B57" s="151" t="inlineStr">
        <is>
          <t>Swap rate (mid)</t>
        </is>
      </c>
      <c r="C57" s="151" t="inlineStr">
        <is>
          <t>BBG zero %</t>
        </is>
      </c>
      <c r="D57" s="151" t="inlineStr">
        <is>
          <t>BBG discount</t>
        </is>
      </c>
      <c r="E57" s="151" t="inlineStr">
        <is>
          <t>raw date</t>
        </is>
      </c>
      <c r="F57" s="151" t="inlineStr">
        <is>
          <t>Date</t>
        </is>
      </c>
      <c r="G57" s="166" t="inlineStr">
        <is>
          <t>S used %</t>
        </is>
      </c>
      <c r="H57" s="166" t="inlineStr">
        <is>
          <t>Rule</t>
        </is>
      </c>
      <c r="I57" s="166" t="inlineStr">
        <is>
          <t>tau</t>
        </is>
      </c>
      <c r="J57" s="166" t="inlineStr">
        <is>
          <t>A(prior)</t>
        </is>
      </c>
      <c r="K57" s="166" t="inlineStr">
        <is>
          <t>numerator</t>
        </is>
      </c>
      <c r="L57" s="166" t="inlineStr">
        <is>
          <t>denominator</t>
        </is>
      </c>
      <c r="M57" s="166" t="inlineStr">
        <is>
          <t>our DF</t>
        </is>
      </c>
      <c r="N57" s="166" t="inlineStr">
        <is>
          <t>t ACT/365</t>
        </is>
      </c>
      <c r="O57" s="166" t="inlineStr">
        <is>
          <t>our zero %</t>
        </is>
      </c>
      <c r="P57" s="166" t="inlineStr">
        <is>
          <t>d zero bp</t>
        </is>
      </c>
      <c r="Q57" s="166" t="inlineStr">
        <is>
          <t>d DF</t>
        </is>
      </c>
    </row>
    <row r="58">
      <c r="A58" s="68" t="n"/>
      <c r="B58" s="85" t="n"/>
      <c r="C58" s="85" t="n"/>
      <c r="D58" s="69" t="n"/>
      <c r="E58" s="112">
        <f>IF(OR(A58="",$D$56=""),"",IF(RIGHT(A58,1)="W",$D$56+7*VALUE(LEFT(A58,LEN(A58)-1)),IF(RIGHT(A58,1)="M",EDATE($D$56,VALUE(LEFT(A58,LEN(A58)-1))),EDATE($D$56,12*VALUE(LEFT(A58,LEN(A58)-1))))))</f>
        <v/>
      </c>
      <c r="F58" s="112">
        <f>IF(E58="","",IF(MONTH((E58+IF(WEEKDAY(E58,2)=6,2,IF(WEEKDAY(E58,2)=7,1,0))))&lt;&gt;MONTH(E58),(E58-IF(WEEKDAY(E58,2)=6,1,IF(WEEKDAY(E58,2)=7,2,0))),(E58+IF(WEEKDAY(E58,2)=6,2,IF(WEEKDAY(E58,2)=7,1,0)))))</f>
        <v/>
      </c>
      <c r="G58" s="167">
        <f>IF(NOT(BOOT_MODE="Test 2"),"",IFERROR(INDEX(BOOT_S,MATCH(F58,BOOT_DATES,0)),""))</f>
        <v/>
      </c>
      <c r="H58" s="93">
        <f>IF(NOT(BOOT_MODE="Test 2"),"",IFERROR(IF(MATCH(F58,BOOT_DATES,0)&lt;=15,"short  DFspot/(1+S*tau)","annual (DFspot-S*A)/(1+S*tau)"),""))</f>
        <v/>
      </c>
      <c r="I58" s="171">
        <f>IF(NOT(BOOT_MODE="Test 2"),"",IFERROR(IF(MATCH(F58,BOOT_DATES,0)&lt;=15,INDEX(BOOT_TAU0,MATCH(F58,BOOT_DATES,0)),INDEX(BOOT_TAUC,MATCH(F58,BOOT_DATES,0))),""))</f>
        <v/>
      </c>
      <c r="J58" s="76">
        <f>IF(NOT(BOOT_MODE="Test 2"),"",IFERROR(IF(MATCH(F58,BOOT_DATES,0)&lt;=15,0,INDEX(BOOT_ANN,MATCH(F58,BOOT_DATES,0))),""))</f>
        <v/>
      </c>
      <c r="K58" s="76">
        <f>IF(OR(G58="",I58=""),"",BOOT_DFSPOT-(G58/100)*J58)</f>
        <v/>
      </c>
      <c r="L58" s="76">
        <f>IF(OR(G58="",I58=""),"",1+(G58/100)*I58)</f>
        <v/>
      </c>
      <c r="M58" s="169">
        <f>IF(NOT(BOOT_MODE="Test 2"),"",IFERROR(INDEX(BOOT_DF,MATCH(F58,BOOT_DATES,0)),""))</f>
        <v/>
      </c>
      <c r="N58" s="170">
        <f>IF(NOT(BOOT_MODE="Test 2"),"",IFERROR(INDEX(BOOT_T,MATCH(F58,BOOT_DATES,0)),""))</f>
        <v/>
      </c>
      <c r="O58" s="167">
        <f>IF(NOT(BOOT_MODE="Test 2"),"",IFERROR(INDEX(BOOT_ZERO,MATCH(F58,BOOT_DATES,0)),""))</f>
        <v/>
      </c>
      <c r="P58" s="172">
        <f>IF(OR(O58="",NOT(ISNUMBER(C58))),"",(O58-C58)*100)</f>
        <v/>
      </c>
      <c r="Q58" s="72">
        <f>IF(OR(M58="",NOT(ISNUMBER(D58))),"",M58-D58)</f>
        <v/>
      </c>
    </row>
    <row r="59">
      <c r="A59" s="68" t="n"/>
      <c r="B59" s="85" t="n"/>
      <c r="C59" s="85" t="n"/>
      <c r="D59" s="69" t="n"/>
      <c r="E59" s="112">
        <f>IF(OR(A59="",$D$56=""),"",IF(RIGHT(A59,1)="W",$D$56+7*VALUE(LEFT(A59,LEN(A59)-1)),IF(RIGHT(A59,1)="M",EDATE($D$56,VALUE(LEFT(A59,LEN(A59)-1))),EDATE($D$56,12*VALUE(LEFT(A59,LEN(A59)-1))))))</f>
        <v/>
      </c>
      <c r="F59" s="112">
        <f>IF(E59="","",IF(MONTH((E59+IF(WEEKDAY(E59,2)=6,2,IF(WEEKDAY(E59,2)=7,1,0))))&lt;&gt;MONTH(E59),(E59-IF(WEEKDAY(E59,2)=6,1,IF(WEEKDAY(E59,2)=7,2,0))),(E59+IF(WEEKDAY(E59,2)=6,2,IF(WEEKDAY(E59,2)=7,1,0)))))</f>
        <v/>
      </c>
      <c r="G59" s="167">
        <f>IF(NOT(BOOT_MODE="Test 2"),"",IFERROR(INDEX(BOOT_S,MATCH(F59,BOOT_DATES,0)),""))</f>
        <v/>
      </c>
      <c r="H59" s="93">
        <f>IF(NOT(BOOT_MODE="Test 2"),"",IFERROR(IF(MATCH(F59,BOOT_DATES,0)&lt;=15,"short  DFspot/(1+S*tau)","annual (DFspot-S*A)/(1+S*tau)"),""))</f>
        <v/>
      </c>
      <c r="I59" s="171">
        <f>IF(NOT(BOOT_MODE="Test 2"),"",IFERROR(IF(MATCH(F59,BOOT_DATES,0)&lt;=15,INDEX(BOOT_TAU0,MATCH(F59,BOOT_DATES,0)),INDEX(BOOT_TAUC,MATCH(F59,BOOT_DATES,0))),""))</f>
        <v/>
      </c>
      <c r="J59" s="76">
        <f>IF(NOT(BOOT_MODE="Test 2"),"",IFERROR(IF(MATCH(F59,BOOT_DATES,0)&lt;=15,0,INDEX(BOOT_ANN,MATCH(F59,BOOT_DATES,0))),""))</f>
        <v/>
      </c>
      <c r="K59" s="76">
        <f>IF(OR(G59="",I59=""),"",BOOT_DFSPOT-(G59/100)*J59)</f>
        <v/>
      </c>
      <c r="L59" s="76">
        <f>IF(OR(G59="",I59=""),"",1+(G59/100)*I59)</f>
        <v/>
      </c>
      <c r="M59" s="169">
        <f>IF(NOT(BOOT_MODE="Test 2"),"",IFERROR(INDEX(BOOT_DF,MATCH(F59,BOOT_DATES,0)),""))</f>
        <v/>
      </c>
      <c r="N59" s="170">
        <f>IF(NOT(BOOT_MODE="Test 2"),"",IFERROR(INDEX(BOOT_T,MATCH(F59,BOOT_DATES,0)),""))</f>
        <v/>
      </c>
      <c r="O59" s="167">
        <f>IF(NOT(BOOT_MODE="Test 2"),"",IFERROR(INDEX(BOOT_ZERO,MATCH(F59,BOOT_DATES,0)),""))</f>
        <v/>
      </c>
      <c r="P59" s="172">
        <f>IF(OR(O59="",NOT(ISNUMBER(C59))),"",(O59-C59)*100)</f>
        <v/>
      </c>
      <c r="Q59" s="72">
        <f>IF(OR(M59="",NOT(ISNUMBER(D59))),"",M59-D59)</f>
        <v/>
      </c>
    </row>
    <row r="60">
      <c r="A60" s="68" t="n"/>
      <c r="B60" s="85" t="n"/>
      <c r="C60" s="85" t="n"/>
      <c r="D60" s="69" t="n"/>
      <c r="E60" s="112">
        <f>IF(OR(A60="",$D$56=""),"",IF(RIGHT(A60,1)="W",$D$56+7*VALUE(LEFT(A60,LEN(A60)-1)),IF(RIGHT(A60,1)="M",EDATE($D$56,VALUE(LEFT(A60,LEN(A60)-1))),EDATE($D$56,12*VALUE(LEFT(A60,LEN(A60)-1))))))</f>
        <v/>
      </c>
      <c r="F60" s="112">
        <f>IF(E60="","",IF(MONTH((E60+IF(WEEKDAY(E60,2)=6,2,IF(WEEKDAY(E60,2)=7,1,0))))&lt;&gt;MONTH(E60),(E60-IF(WEEKDAY(E60,2)=6,1,IF(WEEKDAY(E60,2)=7,2,0))),(E60+IF(WEEKDAY(E60,2)=6,2,IF(WEEKDAY(E60,2)=7,1,0)))))</f>
        <v/>
      </c>
      <c r="G60" s="167">
        <f>IF(NOT(BOOT_MODE="Test 2"),"",IFERROR(INDEX(BOOT_S,MATCH(F60,BOOT_DATES,0)),""))</f>
        <v/>
      </c>
      <c r="H60" s="93">
        <f>IF(NOT(BOOT_MODE="Test 2"),"",IFERROR(IF(MATCH(F60,BOOT_DATES,0)&lt;=15,"short  DFspot/(1+S*tau)","annual (DFspot-S*A)/(1+S*tau)"),""))</f>
        <v/>
      </c>
      <c r="I60" s="171">
        <f>IF(NOT(BOOT_MODE="Test 2"),"",IFERROR(IF(MATCH(F60,BOOT_DATES,0)&lt;=15,INDEX(BOOT_TAU0,MATCH(F60,BOOT_DATES,0)),INDEX(BOOT_TAUC,MATCH(F60,BOOT_DATES,0))),""))</f>
        <v/>
      </c>
      <c r="J60" s="76">
        <f>IF(NOT(BOOT_MODE="Test 2"),"",IFERROR(IF(MATCH(F60,BOOT_DATES,0)&lt;=15,0,INDEX(BOOT_ANN,MATCH(F60,BOOT_DATES,0))),""))</f>
        <v/>
      </c>
      <c r="K60" s="76">
        <f>IF(OR(G60="",I60=""),"",BOOT_DFSPOT-(G60/100)*J60)</f>
        <v/>
      </c>
      <c r="L60" s="76">
        <f>IF(OR(G60="",I60=""),"",1+(G60/100)*I60)</f>
        <v/>
      </c>
      <c r="M60" s="169">
        <f>IF(NOT(BOOT_MODE="Test 2"),"",IFERROR(INDEX(BOOT_DF,MATCH(F60,BOOT_DATES,0)),""))</f>
        <v/>
      </c>
      <c r="N60" s="170">
        <f>IF(NOT(BOOT_MODE="Test 2"),"",IFERROR(INDEX(BOOT_T,MATCH(F60,BOOT_DATES,0)),""))</f>
        <v/>
      </c>
      <c r="O60" s="167">
        <f>IF(NOT(BOOT_MODE="Test 2"),"",IFERROR(INDEX(BOOT_ZERO,MATCH(F60,BOOT_DATES,0)),""))</f>
        <v/>
      </c>
      <c r="P60" s="172">
        <f>IF(OR(O60="",NOT(ISNUMBER(C60))),"",(O60-C60)*100)</f>
        <v/>
      </c>
      <c r="Q60" s="72">
        <f>IF(OR(M60="",NOT(ISNUMBER(D60))),"",M60-D60)</f>
        <v/>
      </c>
    </row>
    <row r="61">
      <c r="A61" s="68" t="n"/>
      <c r="B61" s="85" t="n"/>
      <c r="C61" s="85" t="n"/>
      <c r="D61" s="69" t="n"/>
      <c r="E61" s="112">
        <f>IF(OR(A61="",$D$56=""),"",IF(RIGHT(A61,1)="W",$D$56+7*VALUE(LEFT(A61,LEN(A61)-1)),IF(RIGHT(A61,1)="M",EDATE($D$56,VALUE(LEFT(A61,LEN(A61)-1))),EDATE($D$56,12*VALUE(LEFT(A61,LEN(A61)-1))))))</f>
        <v/>
      </c>
      <c r="F61" s="112">
        <f>IF(E61="","",IF(MONTH((E61+IF(WEEKDAY(E61,2)=6,2,IF(WEEKDAY(E61,2)=7,1,0))))&lt;&gt;MONTH(E61),(E61-IF(WEEKDAY(E61,2)=6,1,IF(WEEKDAY(E61,2)=7,2,0))),(E61+IF(WEEKDAY(E61,2)=6,2,IF(WEEKDAY(E61,2)=7,1,0)))))</f>
        <v/>
      </c>
      <c r="G61" s="167">
        <f>IF(NOT(BOOT_MODE="Test 2"),"",IFERROR(INDEX(BOOT_S,MATCH(F61,BOOT_DATES,0)),""))</f>
        <v/>
      </c>
      <c r="H61" s="93">
        <f>IF(NOT(BOOT_MODE="Test 2"),"",IFERROR(IF(MATCH(F61,BOOT_DATES,0)&lt;=15,"short  DFspot/(1+S*tau)","annual (DFspot-S*A)/(1+S*tau)"),""))</f>
        <v/>
      </c>
      <c r="I61" s="171">
        <f>IF(NOT(BOOT_MODE="Test 2"),"",IFERROR(IF(MATCH(F61,BOOT_DATES,0)&lt;=15,INDEX(BOOT_TAU0,MATCH(F61,BOOT_DATES,0)),INDEX(BOOT_TAUC,MATCH(F61,BOOT_DATES,0))),""))</f>
        <v/>
      </c>
      <c r="J61" s="76">
        <f>IF(NOT(BOOT_MODE="Test 2"),"",IFERROR(IF(MATCH(F61,BOOT_DATES,0)&lt;=15,0,INDEX(BOOT_ANN,MATCH(F61,BOOT_DATES,0))),""))</f>
        <v/>
      </c>
      <c r="K61" s="76">
        <f>IF(OR(G61="",I61=""),"",BOOT_DFSPOT-(G61/100)*J61)</f>
        <v/>
      </c>
      <c r="L61" s="76">
        <f>IF(OR(G61="",I61=""),"",1+(G61/100)*I61)</f>
        <v/>
      </c>
      <c r="M61" s="169">
        <f>IF(NOT(BOOT_MODE="Test 2"),"",IFERROR(INDEX(BOOT_DF,MATCH(F61,BOOT_DATES,0)),""))</f>
        <v/>
      </c>
      <c r="N61" s="170">
        <f>IF(NOT(BOOT_MODE="Test 2"),"",IFERROR(INDEX(BOOT_T,MATCH(F61,BOOT_DATES,0)),""))</f>
        <v/>
      </c>
      <c r="O61" s="167">
        <f>IF(NOT(BOOT_MODE="Test 2"),"",IFERROR(INDEX(BOOT_ZERO,MATCH(F61,BOOT_DATES,0)),""))</f>
        <v/>
      </c>
      <c r="P61" s="172">
        <f>IF(OR(O61="",NOT(ISNUMBER(C61))),"",(O61-C61)*100)</f>
        <v/>
      </c>
      <c r="Q61" s="72">
        <f>IF(OR(M61="",NOT(ISNUMBER(D61))),"",M61-D61)</f>
        <v/>
      </c>
    </row>
    <row r="62">
      <c r="A62" s="68" t="n"/>
      <c r="B62" s="85" t="n"/>
      <c r="C62" s="85" t="n"/>
      <c r="D62" s="69" t="n"/>
      <c r="E62" s="112">
        <f>IF(OR(A62="",$D$56=""),"",IF(RIGHT(A62,1)="W",$D$56+7*VALUE(LEFT(A62,LEN(A62)-1)),IF(RIGHT(A62,1)="M",EDATE($D$56,VALUE(LEFT(A62,LEN(A62)-1))),EDATE($D$56,12*VALUE(LEFT(A62,LEN(A62)-1))))))</f>
        <v/>
      </c>
      <c r="F62" s="112">
        <f>IF(E62="","",IF(MONTH((E62+IF(WEEKDAY(E62,2)=6,2,IF(WEEKDAY(E62,2)=7,1,0))))&lt;&gt;MONTH(E62),(E62-IF(WEEKDAY(E62,2)=6,1,IF(WEEKDAY(E62,2)=7,2,0))),(E62+IF(WEEKDAY(E62,2)=6,2,IF(WEEKDAY(E62,2)=7,1,0)))))</f>
        <v/>
      </c>
      <c r="G62" s="167">
        <f>IF(NOT(BOOT_MODE="Test 2"),"",IFERROR(INDEX(BOOT_S,MATCH(F62,BOOT_DATES,0)),""))</f>
        <v/>
      </c>
      <c r="H62" s="93">
        <f>IF(NOT(BOOT_MODE="Test 2"),"",IFERROR(IF(MATCH(F62,BOOT_DATES,0)&lt;=15,"short  DFspot/(1+S*tau)","annual (DFspot-S*A)/(1+S*tau)"),""))</f>
        <v/>
      </c>
      <c r="I62" s="171">
        <f>IF(NOT(BOOT_MODE="Test 2"),"",IFERROR(IF(MATCH(F62,BOOT_DATES,0)&lt;=15,INDEX(BOOT_TAU0,MATCH(F62,BOOT_DATES,0)),INDEX(BOOT_TAUC,MATCH(F62,BOOT_DATES,0))),""))</f>
        <v/>
      </c>
      <c r="J62" s="76">
        <f>IF(NOT(BOOT_MODE="Test 2"),"",IFERROR(IF(MATCH(F62,BOOT_DATES,0)&lt;=15,0,INDEX(BOOT_ANN,MATCH(F62,BOOT_DATES,0))),""))</f>
        <v/>
      </c>
      <c r="K62" s="76">
        <f>IF(OR(G62="",I62=""),"",BOOT_DFSPOT-(G62/100)*J62)</f>
        <v/>
      </c>
      <c r="L62" s="76">
        <f>IF(OR(G62="",I62=""),"",1+(G62/100)*I62)</f>
        <v/>
      </c>
      <c r="M62" s="169">
        <f>IF(NOT(BOOT_MODE="Test 2"),"",IFERROR(INDEX(BOOT_DF,MATCH(F62,BOOT_DATES,0)),""))</f>
        <v/>
      </c>
      <c r="N62" s="170">
        <f>IF(NOT(BOOT_MODE="Test 2"),"",IFERROR(INDEX(BOOT_T,MATCH(F62,BOOT_DATES,0)),""))</f>
        <v/>
      </c>
      <c r="O62" s="167">
        <f>IF(NOT(BOOT_MODE="Test 2"),"",IFERROR(INDEX(BOOT_ZERO,MATCH(F62,BOOT_DATES,0)),""))</f>
        <v/>
      </c>
      <c r="P62" s="172">
        <f>IF(OR(O62="",NOT(ISNUMBER(C62))),"",(O62-C62)*100)</f>
        <v/>
      </c>
      <c r="Q62" s="72">
        <f>IF(OR(M62="",NOT(ISNUMBER(D62))),"",M62-D62)</f>
        <v/>
      </c>
    </row>
    <row r="63">
      <c r="A63" s="68" t="n"/>
      <c r="B63" s="85" t="n"/>
      <c r="C63" s="85" t="n"/>
      <c r="D63" s="69" t="n"/>
      <c r="E63" s="112">
        <f>IF(OR(A63="",$D$56=""),"",IF(RIGHT(A63,1)="W",$D$56+7*VALUE(LEFT(A63,LEN(A63)-1)),IF(RIGHT(A63,1)="M",EDATE($D$56,VALUE(LEFT(A63,LEN(A63)-1))),EDATE($D$56,12*VALUE(LEFT(A63,LEN(A63)-1))))))</f>
        <v/>
      </c>
      <c r="F63" s="112">
        <f>IF(E63="","",IF(MONTH((E63+IF(WEEKDAY(E63,2)=6,2,IF(WEEKDAY(E63,2)=7,1,0))))&lt;&gt;MONTH(E63),(E63-IF(WEEKDAY(E63,2)=6,1,IF(WEEKDAY(E63,2)=7,2,0))),(E63+IF(WEEKDAY(E63,2)=6,2,IF(WEEKDAY(E63,2)=7,1,0)))))</f>
        <v/>
      </c>
      <c r="G63" s="167">
        <f>IF(NOT(BOOT_MODE="Test 2"),"",IFERROR(INDEX(BOOT_S,MATCH(F63,BOOT_DATES,0)),""))</f>
        <v/>
      </c>
      <c r="H63" s="93">
        <f>IF(NOT(BOOT_MODE="Test 2"),"",IFERROR(IF(MATCH(F63,BOOT_DATES,0)&lt;=15,"short  DFspot/(1+S*tau)","annual (DFspot-S*A)/(1+S*tau)"),""))</f>
        <v/>
      </c>
      <c r="I63" s="171">
        <f>IF(NOT(BOOT_MODE="Test 2"),"",IFERROR(IF(MATCH(F63,BOOT_DATES,0)&lt;=15,INDEX(BOOT_TAU0,MATCH(F63,BOOT_DATES,0)),INDEX(BOOT_TAUC,MATCH(F63,BOOT_DATES,0))),""))</f>
        <v/>
      </c>
      <c r="J63" s="76">
        <f>IF(NOT(BOOT_MODE="Test 2"),"",IFERROR(IF(MATCH(F63,BOOT_DATES,0)&lt;=15,0,INDEX(BOOT_ANN,MATCH(F63,BOOT_DATES,0))),""))</f>
        <v/>
      </c>
      <c r="K63" s="76">
        <f>IF(OR(G63="",I63=""),"",BOOT_DFSPOT-(G63/100)*J63)</f>
        <v/>
      </c>
      <c r="L63" s="76">
        <f>IF(OR(G63="",I63=""),"",1+(G63/100)*I63)</f>
        <v/>
      </c>
      <c r="M63" s="169">
        <f>IF(NOT(BOOT_MODE="Test 2"),"",IFERROR(INDEX(BOOT_DF,MATCH(F63,BOOT_DATES,0)),""))</f>
        <v/>
      </c>
      <c r="N63" s="170">
        <f>IF(NOT(BOOT_MODE="Test 2"),"",IFERROR(INDEX(BOOT_T,MATCH(F63,BOOT_DATES,0)),""))</f>
        <v/>
      </c>
      <c r="O63" s="167">
        <f>IF(NOT(BOOT_MODE="Test 2"),"",IFERROR(INDEX(BOOT_ZERO,MATCH(F63,BOOT_DATES,0)),""))</f>
        <v/>
      </c>
      <c r="P63" s="172">
        <f>IF(OR(O63="",NOT(ISNUMBER(C63))),"",(O63-C63)*100)</f>
        <v/>
      </c>
      <c r="Q63" s="72">
        <f>IF(OR(M63="",NOT(ISNUMBER(D63))),"",M63-D63)</f>
        <v/>
      </c>
    </row>
    <row r="64">
      <c r="A64" s="68" t="n"/>
      <c r="B64" s="85" t="n"/>
      <c r="C64" s="85" t="n"/>
      <c r="D64" s="69" t="n"/>
      <c r="E64" s="112">
        <f>IF(OR(A64="",$D$56=""),"",IF(RIGHT(A64,1)="W",$D$56+7*VALUE(LEFT(A64,LEN(A64)-1)),IF(RIGHT(A64,1)="M",EDATE($D$56,VALUE(LEFT(A64,LEN(A64)-1))),EDATE($D$56,12*VALUE(LEFT(A64,LEN(A64)-1))))))</f>
        <v/>
      </c>
      <c r="F64" s="112">
        <f>IF(E64="","",IF(MONTH((E64+IF(WEEKDAY(E64,2)=6,2,IF(WEEKDAY(E64,2)=7,1,0))))&lt;&gt;MONTH(E64),(E64-IF(WEEKDAY(E64,2)=6,1,IF(WEEKDAY(E64,2)=7,2,0))),(E64+IF(WEEKDAY(E64,2)=6,2,IF(WEEKDAY(E64,2)=7,1,0)))))</f>
        <v/>
      </c>
      <c r="G64" s="167">
        <f>IF(NOT(BOOT_MODE="Test 2"),"",IFERROR(INDEX(BOOT_S,MATCH(F64,BOOT_DATES,0)),""))</f>
        <v/>
      </c>
      <c r="H64" s="93">
        <f>IF(NOT(BOOT_MODE="Test 2"),"",IFERROR(IF(MATCH(F64,BOOT_DATES,0)&lt;=15,"short  DFspot/(1+S*tau)","annual (DFspot-S*A)/(1+S*tau)"),""))</f>
        <v/>
      </c>
      <c r="I64" s="171">
        <f>IF(NOT(BOOT_MODE="Test 2"),"",IFERROR(IF(MATCH(F64,BOOT_DATES,0)&lt;=15,INDEX(BOOT_TAU0,MATCH(F64,BOOT_DATES,0)),INDEX(BOOT_TAUC,MATCH(F64,BOOT_DATES,0))),""))</f>
        <v/>
      </c>
      <c r="J64" s="76">
        <f>IF(NOT(BOOT_MODE="Test 2"),"",IFERROR(IF(MATCH(F64,BOOT_DATES,0)&lt;=15,0,INDEX(BOOT_ANN,MATCH(F64,BOOT_DATES,0))),""))</f>
        <v/>
      </c>
      <c r="K64" s="76">
        <f>IF(OR(G64="",I64=""),"",BOOT_DFSPOT-(G64/100)*J64)</f>
        <v/>
      </c>
      <c r="L64" s="76">
        <f>IF(OR(G64="",I64=""),"",1+(G64/100)*I64)</f>
        <v/>
      </c>
      <c r="M64" s="169">
        <f>IF(NOT(BOOT_MODE="Test 2"),"",IFERROR(INDEX(BOOT_DF,MATCH(F64,BOOT_DATES,0)),""))</f>
        <v/>
      </c>
      <c r="N64" s="170">
        <f>IF(NOT(BOOT_MODE="Test 2"),"",IFERROR(INDEX(BOOT_T,MATCH(F64,BOOT_DATES,0)),""))</f>
        <v/>
      </c>
      <c r="O64" s="167">
        <f>IF(NOT(BOOT_MODE="Test 2"),"",IFERROR(INDEX(BOOT_ZERO,MATCH(F64,BOOT_DATES,0)),""))</f>
        <v/>
      </c>
      <c r="P64" s="172">
        <f>IF(OR(O64="",NOT(ISNUMBER(C64))),"",(O64-C64)*100)</f>
        <v/>
      </c>
      <c r="Q64" s="72">
        <f>IF(OR(M64="",NOT(ISNUMBER(D64))),"",M64-D64)</f>
        <v/>
      </c>
    </row>
    <row r="65">
      <c r="A65" s="68" t="n"/>
      <c r="B65" s="85" t="n"/>
      <c r="C65" s="85" t="n"/>
      <c r="D65" s="69" t="n"/>
      <c r="E65" s="112">
        <f>IF(OR(A65="",$D$56=""),"",IF(RIGHT(A65,1)="W",$D$56+7*VALUE(LEFT(A65,LEN(A65)-1)),IF(RIGHT(A65,1)="M",EDATE($D$56,VALUE(LEFT(A65,LEN(A65)-1))),EDATE($D$56,12*VALUE(LEFT(A65,LEN(A65)-1))))))</f>
        <v/>
      </c>
      <c r="F65" s="112">
        <f>IF(E65="","",IF(MONTH((E65+IF(WEEKDAY(E65,2)=6,2,IF(WEEKDAY(E65,2)=7,1,0))))&lt;&gt;MONTH(E65),(E65-IF(WEEKDAY(E65,2)=6,1,IF(WEEKDAY(E65,2)=7,2,0))),(E65+IF(WEEKDAY(E65,2)=6,2,IF(WEEKDAY(E65,2)=7,1,0)))))</f>
        <v/>
      </c>
      <c r="G65" s="167">
        <f>IF(NOT(BOOT_MODE="Test 2"),"",IFERROR(INDEX(BOOT_S,MATCH(F65,BOOT_DATES,0)),""))</f>
        <v/>
      </c>
      <c r="H65" s="93">
        <f>IF(NOT(BOOT_MODE="Test 2"),"",IFERROR(IF(MATCH(F65,BOOT_DATES,0)&lt;=15,"short  DFspot/(1+S*tau)","annual (DFspot-S*A)/(1+S*tau)"),""))</f>
        <v/>
      </c>
      <c r="I65" s="171">
        <f>IF(NOT(BOOT_MODE="Test 2"),"",IFERROR(IF(MATCH(F65,BOOT_DATES,0)&lt;=15,INDEX(BOOT_TAU0,MATCH(F65,BOOT_DATES,0)),INDEX(BOOT_TAUC,MATCH(F65,BOOT_DATES,0))),""))</f>
        <v/>
      </c>
      <c r="J65" s="76">
        <f>IF(NOT(BOOT_MODE="Test 2"),"",IFERROR(IF(MATCH(F65,BOOT_DATES,0)&lt;=15,0,INDEX(BOOT_ANN,MATCH(F65,BOOT_DATES,0))),""))</f>
        <v/>
      </c>
      <c r="K65" s="76">
        <f>IF(OR(G65="",I65=""),"",BOOT_DFSPOT-(G65/100)*J65)</f>
        <v/>
      </c>
      <c r="L65" s="76">
        <f>IF(OR(G65="",I65=""),"",1+(G65/100)*I65)</f>
        <v/>
      </c>
      <c r="M65" s="169">
        <f>IF(NOT(BOOT_MODE="Test 2"),"",IFERROR(INDEX(BOOT_DF,MATCH(F65,BOOT_DATES,0)),""))</f>
        <v/>
      </c>
      <c r="N65" s="170">
        <f>IF(NOT(BOOT_MODE="Test 2"),"",IFERROR(INDEX(BOOT_T,MATCH(F65,BOOT_DATES,0)),""))</f>
        <v/>
      </c>
      <c r="O65" s="167">
        <f>IF(NOT(BOOT_MODE="Test 2"),"",IFERROR(INDEX(BOOT_ZERO,MATCH(F65,BOOT_DATES,0)),""))</f>
        <v/>
      </c>
      <c r="P65" s="172">
        <f>IF(OR(O65="",NOT(ISNUMBER(C65))),"",(O65-C65)*100)</f>
        <v/>
      </c>
      <c r="Q65" s="72">
        <f>IF(OR(M65="",NOT(ISNUMBER(D65))),"",M65-D65)</f>
        <v/>
      </c>
    </row>
    <row r="66">
      <c r="A66" s="68" t="n"/>
      <c r="B66" s="85" t="n"/>
      <c r="C66" s="85" t="n"/>
      <c r="D66" s="69" t="n"/>
      <c r="E66" s="112">
        <f>IF(OR(A66="",$D$56=""),"",IF(RIGHT(A66,1)="W",$D$56+7*VALUE(LEFT(A66,LEN(A66)-1)),IF(RIGHT(A66,1)="M",EDATE($D$56,VALUE(LEFT(A66,LEN(A66)-1))),EDATE($D$56,12*VALUE(LEFT(A66,LEN(A66)-1))))))</f>
        <v/>
      </c>
      <c r="F66" s="112">
        <f>IF(E66="","",IF(MONTH((E66+IF(WEEKDAY(E66,2)=6,2,IF(WEEKDAY(E66,2)=7,1,0))))&lt;&gt;MONTH(E66),(E66-IF(WEEKDAY(E66,2)=6,1,IF(WEEKDAY(E66,2)=7,2,0))),(E66+IF(WEEKDAY(E66,2)=6,2,IF(WEEKDAY(E66,2)=7,1,0)))))</f>
        <v/>
      </c>
      <c r="G66" s="167">
        <f>IF(NOT(BOOT_MODE="Test 2"),"",IFERROR(INDEX(BOOT_S,MATCH(F66,BOOT_DATES,0)),""))</f>
        <v/>
      </c>
      <c r="H66" s="93">
        <f>IF(NOT(BOOT_MODE="Test 2"),"",IFERROR(IF(MATCH(F66,BOOT_DATES,0)&lt;=15,"short  DFspot/(1+S*tau)","annual (DFspot-S*A)/(1+S*tau)"),""))</f>
        <v/>
      </c>
      <c r="I66" s="171">
        <f>IF(NOT(BOOT_MODE="Test 2"),"",IFERROR(IF(MATCH(F66,BOOT_DATES,0)&lt;=15,INDEX(BOOT_TAU0,MATCH(F66,BOOT_DATES,0)),INDEX(BOOT_TAUC,MATCH(F66,BOOT_DATES,0))),""))</f>
        <v/>
      </c>
      <c r="J66" s="76">
        <f>IF(NOT(BOOT_MODE="Test 2"),"",IFERROR(IF(MATCH(F66,BOOT_DATES,0)&lt;=15,0,INDEX(BOOT_ANN,MATCH(F66,BOOT_DATES,0))),""))</f>
        <v/>
      </c>
      <c r="K66" s="76">
        <f>IF(OR(G66="",I66=""),"",BOOT_DFSPOT-(G66/100)*J66)</f>
        <v/>
      </c>
      <c r="L66" s="76">
        <f>IF(OR(G66="",I66=""),"",1+(G66/100)*I66)</f>
        <v/>
      </c>
      <c r="M66" s="169">
        <f>IF(NOT(BOOT_MODE="Test 2"),"",IFERROR(INDEX(BOOT_DF,MATCH(F66,BOOT_DATES,0)),""))</f>
        <v/>
      </c>
      <c r="N66" s="170">
        <f>IF(NOT(BOOT_MODE="Test 2"),"",IFERROR(INDEX(BOOT_T,MATCH(F66,BOOT_DATES,0)),""))</f>
        <v/>
      </c>
      <c r="O66" s="167">
        <f>IF(NOT(BOOT_MODE="Test 2"),"",IFERROR(INDEX(BOOT_ZERO,MATCH(F66,BOOT_DATES,0)),""))</f>
        <v/>
      </c>
      <c r="P66" s="172">
        <f>IF(OR(O66="",NOT(ISNUMBER(C66))),"",(O66-C66)*100)</f>
        <v/>
      </c>
      <c r="Q66" s="72">
        <f>IF(OR(M66="",NOT(ISNUMBER(D66))),"",M66-D66)</f>
        <v/>
      </c>
    </row>
    <row r="67">
      <c r="A67" s="68" t="n"/>
      <c r="B67" s="85" t="n"/>
      <c r="C67" s="85" t="n"/>
      <c r="D67" s="69" t="n"/>
      <c r="E67" s="112">
        <f>IF(OR(A67="",$D$56=""),"",IF(RIGHT(A67,1)="W",$D$56+7*VALUE(LEFT(A67,LEN(A67)-1)),IF(RIGHT(A67,1)="M",EDATE($D$56,VALUE(LEFT(A67,LEN(A67)-1))),EDATE($D$56,12*VALUE(LEFT(A67,LEN(A67)-1))))))</f>
        <v/>
      </c>
      <c r="F67" s="112">
        <f>IF(E67="","",IF(MONTH((E67+IF(WEEKDAY(E67,2)=6,2,IF(WEEKDAY(E67,2)=7,1,0))))&lt;&gt;MONTH(E67),(E67-IF(WEEKDAY(E67,2)=6,1,IF(WEEKDAY(E67,2)=7,2,0))),(E67+IF(WEEKDAY(E67,2)=6,2,IF(WEEKDAY(E67,2)=7,1,0)))))</f>
        <v/>
      </c>
      <c r="G67" s="167">
        <f>IF(NOT(BOOT_MODE="Test 2"),"",IFERROR(INDEX(BOOT_S,MATCH(F67,BOOT_DATES,0)),""))</f>
        <v/>
      </c>
      <c r="H67" s="93">
        <f>IF(NOT(BOOT_MODE="Test 2"),"",IFERROR(IF(MATCH(F67,BOOT_DATES,0)&lt;=15,"short  DFspot/(1+S*tau)","annual (DFspot-S*A)/(1+S*tau)"),""))</f>
        <v/>
      </c>
      <c r="I67" s="171">
        <f>IF(NOT(BOOT_MODE="Test 2"),"",IFERROR(IF(MATCH(F67,BOOT_DATES,0)&lt;=15,INDEX(BOOT_TAU0,MATCH(F67,BOOT_DATES,0)),INDEX(BOOT_TAUC,MATCH(F67,BOOT_DATES,0))),""))</f>
        <v/>
      </c>
      <c r="J67" s="76">
        <f>IF(NOT(BOOT_MODE="Test 2"),"",IFERROR(IF(MATCH(F67,BOOT_DATES,0)&lt;=15,0,INDEX(BOOT_ANN,MATCH(F67,BOOT_DATES,0))),""))</f>
        <v/>
      </c>
      <c r="K67" s="76">
        <f>IF(OR(G67="",I67=""),"",BOOT_DFSPOT-(G67/100)*J67)</f>
        <v/>
      </c>
      <c r="L67" s="76">
        <f>IF(OR(G67="",I67=""),"",1+(G67/100)*I67)</f>
        <v/>
      </c>
      <c r="M67" s="169">
        <f>IF(NOT(BOOT_MODE="Test 2"),"",IFERROR(INDEX(BOOT_DF,MATCH(F67,BOOT_DATES,0)),""))</f>
        <v/>
      </c>
      <c r="N67" s="170">
        <f>IF(NOT(BOOT_MODE="Test 2"),"",IFERROR(INDEX(BOOT_T,MATCH(F67,BOOT_DATES,0)),""))</f>
        <v/>
      </c>
      <c r="O67" s="167">
        <f>IF(NOT(BOOT_MODE="Test 2"),"",IFERROR(INDEX(BOOT_ZERO,MATCH(F67,BOOT_DATES,0)),""))</f>
        <v/>
      </c>
      <c r="P67" s="172">
        <f>IF(OR(O67="",NOT(ISNUMBER(C67))),"",(O67-C67)*100)</f>
        <v/>
      </c>
      <c r="Q67" s="72">
        <f>IF(OR(M67="",NOT(ISNUMBER(D67))),"",M67-D67)</f>
        <v/>
      </c>
    </row>
    <row r="68">
      <c r="A68" s="68" t="n"/>
      <c r="B68" s="85" t="n"/>
      <c r="C68" s="85" t="n"/>
      <c r="D68" s="69" t="n"/>
      <c r="E68" s="112">
        <f>IF(OR(A68="",$D$56=""),"",IF(RIGHT(A68,1)="W",$D$56+7*VALUE(LEFT(A68,LEN(A68)-1)),IF(RIGHT(A68,1)="M",EDATE($D$56,VALUE(LEFT(A68,LEN(A68)-1))),EDATE($D$56,12*VALUE(LEFT(A68,LEN(A68)-1))))))</f>
        <v/>
      </c>
      <c r="F68" s="112">
        <f>IF(E68="","",IF(MONTH((E68+IF(WEEKDAY(E68,2)=6,2,IF(WEEKDAY(E68,2)=7,1,0))))&lt;&gt;MONTH(E68),(E68-IF(WEEKDAY(E68,2)=6,1,IF(WEEKDAY(E68,2)=7,2,0))),(E68+IF(WEEKDAY(E68,2)=6,2,IF(WEEKDAY(E68,2)=7,1,0)))))</f>
        <v/>
      </c>
      <c r="G68" s="167">
        <f>IF(NOT(BOOT_MODE="Test 2"),"",IFERROR(INDEX(BOOT_S,MATCH(F68,BOOT_DATES,0)),""))</f>
        <v/>
      </c>
      <c r="H68" s="93">
        <f>IF(NOT(BOOT_MODE="Test 2"),"",IFERROR(IF(MATCH(F68,BOOT_DATES,0)&lt;=15,"short  DFspot/(1+S*tau)","annual (DFspot-S*A)/(1+S*tau)"),""))</f>
        <v/>
      </c>
      <c r="I68" s="171">
        <f>IF(NOT(BOOT_MODE="Test 2"),"",IFERROR(IF(MATCH(F68,BOOT_DATES,0)&lt;=15,INDEX(BOOT_TAU0,MATCH(F68,BOOT_DATES,0)),INDEX(BOOT_TAUC,MATCH(F68,BOOT_DATES,0))),""))</f>
        <v/>
      </c>
      <c r="J68" s="76">
        <f>IF(NOT(BOOT_MODE="Test 2"),"",IFERROR(IF(MATCH(F68,BOOT_DATES,0)&lt;=15,0,INDEX(BOOT_ANN,MATCH(F68,BOOT_DATES,0))),""))</f>
        <v/>
      </c>
      <c r="K68" s="76">
        <f>IF(OR(G68="",I68=""),"",BOOT_DFSPOT-(G68/100)*J68)</f>
        <v/>
      </c>
      <c r="L68" s="76">
        <f>IF(OR(G68="",I68=""),"",1+(G68/100)*I68)</f>
        <v/>
      </c>
      <c r="M68" s="169">
        <f>IF(NOT(BOOT_MODE="Test 2"),"",IFERROR(INDEX(BOOT_DF,MATCH(F68,BOOT_DATES,0)),""))</f>
        <v/>
      </c>
      <c r="N68" s="170">
        <f>IF(NOT(BOOT_MODE="Test 2"),"",IFERROR(INDEX(BOOT_T,MATCH(F68,BOOT_DATES,0)),""))</f>
        <v/>
      </c>
      <c r="O68" s="167">
        <f>IF(NOT(BOOT_MODE="Test 2"),"",IFERROR(INDEX(BOOT_ZERO,MATCH(F68,BOOT_DATES,0)),""))</f>
        <v/>
      </c>
      <c r="P68" s="172">
        <f>IF(OR(O68="",NOT(ISNUMBER(C68))),"",(O68-C68)*100)</f>
        <v/>
      </c>
      <c r="Q68" s="72">
        <f>IF(OR(M68="",NOT(ISNUMBER(D68))),"",M68-D68)</f>
        <v/>
      </c>
    </row>
    <row r="69">
      <c r="A69" s="68" t="n"/>
      <c r="B69" s="85" t="n"/>
      <c r="C69" s="85" t="n"/>
      <c r="D69" s="69" t="n"/>
      <c r="E69" s="112">
        <f>IF(OR(A69="",$D$56=""),"",IF(RIGHT(A69,1)="W",$D$56+7*VALUE(LEFT(A69,LEN(A69)-1)),IF(RIGHT(A69,1)="M",EDATE($D$56,VALUE(LEFT(A69,LEN(A69)-1))),EDATE($D$56,12*VALUE(LEFT(A69,LEN(A69)-1))))))</f>
        <v/>
      </c>
      <c r="F69" s="112">
        <f>IF(E69="","",IF(MONTH((E69+IF(WEEKDAY(E69,2)=6,2,IF(WEEKDAY(E69,2)=7,1,0))))&lt;&gt;MONTH(E69),(E69-IF(WEEKDAY(E69,2)=6,1,IF(WEEKDAY(E69,2)=7,2,0))),(E69+IF(WEEKDAY(E69,2)=6,2,IF(WEEKDAY(E69,2)=7,1,0)))))</f>
        <v/>
      </c>
      <c r="G69" s="167">
        <f>IF(NOT(BOOT_MODE="Test 2"),"",IFERROR(INDEX(BOOT_S,MATCH(F69,BOOT_DATES,0)),""))</f>
        <v/>
      </c>
      <c r="H69" s="93">
        <f>IF(NOT(BOOT_MODE="Test 2"),"",IFERROR(IF(MATCH(F69,BOOT_DATES,0)&lt;=15,"short  DFspot/(1+S*tau)","annual (DFspot-S*A)/(1+S*tau)"),""))</f>
        <v/>
      </c>
      <c r="I69" s="171">
        <f>IF(NOT(BOOT_MODE="Test 2"),"",IFERROR(IF(MATCH(F69,BOOT_DATES,0)&lt;=15,INDEX(BOOT_TAU0,MATCH(F69,BOOT_DATES,0)),INDEX(BOOT_TAUC,MATCH(F69,BOOT_DATES,0))),""))</f>
        <v/>
      </c>
      <c r="J69" s="76">
        <f>IF(NOT(BOOT_MODE="Test 2"),"",IFERROR(IF(MATCH(F69,BOOT_DATES,0)&lt;=15,0,INDEX(BOOT_ANN,MATCH(F69,BOOT_DATES,0))),""))</f>
        <v/>
      </c>
      <c r="K69" s="76">
        <f>IF(OR(G69="",I69=""),"",BOOT_DFSPOT-(G69/100)*J69)</f>
        <v/>
      </c>
      <c r="L69" s="76">
        <f>IF(OR(G69="",I69=""),"",1+(G69/100)*I69)</f>
        <v/>
      </c>
      <c r="M69" s="169">
        <f>IF(NOT(BOOT_MODE="Test 2"),"",IFERROR(INDEX(BOOT_DF,MATCH(F69,BOOT_DATES,0)),""))</f>
        <v/>
      </c>
      <c r="N69" s="170">
        <f>IF(NOT(BOOT_MODE="Test 2"),"",IFERROR(INDEX(BOOT_T,MATCH(F69,BOOT_DATES,0)),""))</f>
        <v/>
      </c>
      <c r="O69" s="167">
        <f>IF(NOT(BOOT_MODE="Test 2"),"",IFERROR(INDEX(BOOT_ZERO,MATCH(F69,BOOT_DATES,0)),""))</f>
        <v/>
      </c>
      <c r="P69" s="172">
        <f>IF(OR(O69="",NOT(ISNUMBER(C69))),"",(O69-C69)*100)</f>
        <v/>
      </c>
      <c r="Q69" s="72">
        <f>IF(OR(M69="",NOT(ISNUMBER(D69))),"",M69-D69)</f>
        <v/>
      </c>
    </row>
    <row r="70">
      <c r="A70" s="68" t="n"/>
      <c r="B70" s="85" t="n"/>
      <c r="C70" s="85" t="n"/>
      <c r="D70" s="69" t="n"/>
      <c r="E70" s="112">
        <f>IF(OR(A70="",$D$56=""),"",IF(RIGHT(A70,1)="W",$D$56+7*VALUE(LEFT(A70,LEN(A70)-1)),IF(RIGHT(A70,1)="M",EDATE($D$56,VALUE(LEFT(A70,LEN(A70)-1))),EDATE($D$56,12*VALUE(LEFT(A70,LEN(A70)-1))))))</f>
        <v/>
      </c>
      <c r="F70" s="112">
        <f>IF(E70="","",IF(MONTH((E70+IF(WEEKDAY(E70,2)=6,2,IF(WEEKDAY(E70,2)=7,1,0))))&lt;&gt;MONTH(E70),(E70-IF(WEEKDAY(E70,2)=6,1,IF(WEEKDAY(E70,2)=7,2,0))),(E70+IF(WEEKDAY(E70,2)=6,2,IF(WEEKDAY(E70,2)=7,1,0)))))</f>
        <v/>
      </c>
      <c r="G70" s="167">
        <f>IF(NOT(BOOT_MODE="Test 2"),"",IFERROR(INDEX(BOOT_S,MATCH(F70,BOOT_DATES,0)),""))</f>
        <v/>
      </c>
      <c r="H70" s="93">
        <f>IF(NOT(BOOT_MODE="Test 2"),"",IFERROR(IF(MATCH(F70,BOOT_DATES,0)&lt;=15,"short  DFspot/(1+S*tau)","annual (DFspot-S*A)/(1+S*tau)"),""))</f>
        <v/>
      </c>
      <c r="I70" s="171">
        <f>IF(NOT(BOOT_MODE="Test 2"),"",IFERROR(IF(MATCH(F70,BOOT_DATES,0)&lt;=15,INDEX(BOOT_TAU0,MATCH(F70,BOOT_DATES,0)),INDEX(BOOT_TAUC,MATCH(F70,BOOT_DATES,0))),""))</f>
        <v/>
      </c>
      <c r="J70" s="76">
        <f>IF(NOT(BOOT_MODE="Test 2"),"",IFERROR(IF(MATCH(F70,BOOT_DATES,0)&lt;=15,0,INDEX(BOOT_ANN,MATCH(F70,BOOT_DATES,0))),""))</f>
        <v/>
      </c>
      <c r="K70" s="76">
        <f>IF(OR(G70="",I70=""),"",BOOT_DFSPOT-(G70/100)*J70)</f>
        <v/>
      </c>
      <c r="L70" s="76">
        <f>IF(OR(G70="",I70=""),"",1+(G70/100)*I70)</f>
        <v/>
      </c>
      <c r="M70" s="169">
        <f>IF(NOT(BOOT_MODE="Test 2"),"",IFERROR(INDEX(BOOT_DF,MATCH(F70,BOOT_DATES,0)),""))</f>
        <v/>
      </c>
      <c r="N70" s="170">
        <f>IF(NOT(BOOT_MODE="Test 2"),"",IFERROR(INDEX(BOOT_T,MATCH(F70,BOOT_DATES,0)),""))</f>
        <v/>
      </c>
      <c r="O70" s="167">
        <f>IF(NOT(BOOT_MODE="Test 2"),"",IFERROR(INDEX(BOOT_ZERO,MATCH(F70,BOOT_DATES,0)),""))</f>
        <v/>
      </c>
      <c r="P70" s="172">
        <f>IF(OR(O70="",NOT(ISNUMBER(C70))),"",(O70-C70)*100)</f>
        <v/>
      </c>
      <c r="Q70" s="72">
        <f>IF(OR(M70="",NOT(ISNUMBER(D70))),"",M70-D70)</f>
        <v/>
      </c>
    </row>
    <row r="71">
      <c r="A71" s="68" t="n"/>
      <c r="B71" s="85" t="n"/>
      <c r="C71" s="85" t="n"/>
      <c r="D71" s="69" t="n"/>
      <c r="E71" s="112">
        <f>IF(OR(A71="",$D$56=""),"",IF(RIGHT(A71,1)="W",$D$56+7*VALUE(LEFT(A71,LEN(A71)-1)),IF(RIGHT(A71,1)="M",EDATE($D$56,VALUE(LEFT(A71,LEN(A71)-1))),EDATE($D$56,12*VALUE(LEFT(A71,LEN(A71)-1))))))</f>
        <v/>
      </c>
      <c r="F71" s="112">
        <f>IF(E71="","",IF(MONTH((E71+IF(WEEKDAY(E71,2)=6,2,IF(WEEKDAY(E71,2)=7,1,0))))&lt;&gt;MONTH(E71),(E71-IF(WEEKDAY(E71,2)=6,1,IF(WEEKDAY(E71,2)=7,2,0))),(E71+IF(WEEKDAY(E71,2)=6,2,IF(WEEKDAY(E71,2)=7,1,0)))))</f>
        <v/>
      </c>
      <c r="G71" s="167">
        <f>IF(NOT(BOOT_MODE="Test 2"),"",IFERROR(INDEX(BOOT_S,MATCH(F71,BOOT_DATES,0)),""))</f>
        <v/>
      </c>
      <c r="H71" s="93">
        <f>IF(NOT(BOOT_MODE="Test 2"),"",IFERROR(IF(MATCH(F71,BOOT_DATES,0)&lt;=15,"short  DFspot/(1+S*tau)","annual (DFspot-S*A)/(1+S*tau)"),""))</f>
        <v/>
      </c>
      <c r="I71" s="171">
        <f>IF(NOT(BOOT_MODE="Test 2"),"",IFERROR(IF(MATCH(F71,BOOT_DATES,0)&lt;=15,INDEX(BOOT_TAU0,MATCH(F71,BOOT_DATES,0)),INDEX(BOOT_TAUC,MATCH(F71,BOOT_DATES,0))),""))</f>
        <v/>
      </c>
      <c r="J71" s="76">
        <f>IF(NOT(BOOT_MODE="Test 2"),"",IFERROR(IF(MATCH(F71,BOOT_DATES,0)&lt;=15,0,INDEX(BOOT_ANN,MATCH(F71,BOOT_DATES,0))),""))</f>
        <v/>
      </c>
      <c r="K71" s="76">
        <f>IF(OR(G71="",I71=""),"",BOOT_DFSPOT-(G71/100)*J71)</f>
        <v/>
      </c>
      <c r="L71" s="76">
        <f>IF(OR(G71="",I71=""),"",1+(G71/100)*I71)</f>
        <v/>
      </c>
      <c r="M71" s="169">
        <f>IF(NOT(BOOT_MODE="Test 2"),"",IFERROR(INDEX(BOOT_DF,MATCH(F71,BOOT_DATES,0)),""))</f>
        <v/>
      </c>
      <c r="N71" s="170">
        <f>IF(NOT(BOOT_MODE="Test 2"),"",IFERROR(INDEX(BOOT_T,MATCH(F71,BOOT_DATES,0)),""))</f>
        <v/>
      </c>
      <c r="O71" s="167">
        <f>IF(NOT(BOOT_MODE="Test 2"),"",IFERROR(INDEX(BOOT_ZERO,MATCH(F71,BOOT_DATES,0)),""))</f>
        <v/>
      </c>
      <c r="P71" s="172">
        <f>IF(OR(O71="",NOT(ISNUMBER(C71))),"",(O71-C71)*100)</f>
        <v/>
      </c>
      <c r="Q71" s="72">
        <f>IF(OR(M71="",NOT(ISNUMBER(D71))),"",M71-D71)</f>
        <v/>
      </c>
    </row>
    <row r="72">
      <c r="A72" s="68" t="n"/>
      <c r="B72" s="85" t="n"/>
      <c r="C72" s="85" t="n"/>
      <c r="D72" s="69" t="n"/>
      <c r="E72" s="112">
        <f>IF(OR(A72="",$D$56=""),"",IF(RIGHT(A72,1)="W",$D$56+7*VALUE(LEFT(A72,LEN(A72)-1)),IF(RIGHT(A72,1)="M",EDATE($D$56,VALUE(LEFT(A72,LEN(A72)-1))),EDATE($D$56,12*VALUE(LEFT(A72,LEN(A72)-1))))))</f>
        <v/>
      </c>
      <c r="F72" s="112">
        <f>IF(E72="","",IF(MONTH((E72+IF(WEEKDAY(E72,2)=6,2,IF(WEEKDAY(E72,2)=7,1,0))))&lt;&gt;MONTH(E72),(E72-IF(WEEKDAY(E72,2)=6,1,IF(WEEKDAY(E72,2)=7,2,0))),(E72+IF(WEEKDAY(E72,2)=6,2,IF(WEEKDAY(E72,2)=7,1,0)))))</f>
        <v/>
      </c>
      <c r="G72" s="167">
        <f>IF(NOT(BOOT_MODE="Test 2"),"",IFERROR(INDEX(BOOT_S,MATCH(F72,BOOT_DATES,0)),""))</f>
        <v/>
      </c>
      <c r="H72" s="93">
        <f>IF(NOT(BOOT_MODE="Test 2"),"",IFERROR(IF(MATCH(F72,BOOT_DATES,0)&lt;=15,"short  DFspot/(1+S*tau)","annual (DFspot-S*A)/(1+S*tau)"),""))</f>
        <v/>
      </c>
      <c r="I72" s="171">
        <f>IF(NOT(BOOT_MODE="Test 2"),"",IFERROR(IF(MATCH(F72,BOOT_DATES,0)&lt;=15,INDEX(BOOT_TAU0,MATCH(F72,BOOT_DATES,0)),INDEX(BOOT_TAUC,MATCH(F72,BOOT_DATES,0))),""))</f>
        <v/>
      </c>
      <c r="J72" s="76">
        <f>IF(NOT(BOOT_MODE="Test 2"),"",IFERROR(IF(MATCH(F72,BOOT_DATES,0)&lt;=15,0,INDEX(BOOT_ANN,MATCH(F72,BOOT_DATES,0))),""))</f>
        <v/>
      </c>
      <c r="K72" s="76">
        <f>IF(OR(G72="",I72=""),"",BOOT_DFSPOT-(G72/100)*J72)</f>
        <v/>
      </c>
      <c r="L72" s="76">
        <f>IF(OR(G72="",I72=""),"",1+(G72/100)*I72)</f>
        <v/>
      </c>
      <c r="M72" s="169">
        <f>IF(NOT(BOOT_MODE="Test 2"),"",IFERROR(INDEX(BOOT_DF,MATCH(F72,BOOT_DATES,0)),""))</f>
        <v/>
      </c>
      <c r="N72" s="170">
        <f>IF(NOT(BOOT_MODE="Test 2"),"",IFERROR(INDEX(BOOT_T,MATCH(F72,BOOT_DATES,0)),""))</f>
        <v/>
      </c>
      <c r="O72" s="167">
        <f>IF(NOT(BOOT_MODE="Test 2"),"",IFERROR(INDEX(BOOT_ZERO,MATCH(F72,BOOT_DATES,0)),""))</f>
        <v/>
      </c>
      <c r="P72" s="172">
        <f>IF(OR(O72="",NOT(ISNUMBER(C72))),"",(O72-C72)*100)</f>
        <v/>
      </c>
      <c r="Q72" s="72">
        <f>IF(OR(M72="",NOT(ISNUMBER(D72))),"",M72-D72)</f>
        <v/>
      </c>
    </row>
    <row r="73">
      <c r="A73" s="68" t="n"/>
      <c r="B73" s="85" t="n"/>
      <c r="C73" s="85" t="n"/>
      <c r="D73" s="69" t="n"/>
      <c r="E73" s="112">
        <f>IF(OR(A73="",$D$56=""),"",IF(RIGHT(A73,1)="W",$D$56+7*VALUE(LEFT(A73,LEN(A73)-1)),IF(RIGHT(A73,1)="M",EDATE($D$56,VALUE(LEFT(A73,LEN(A73)-1))),EDATE($D$56,12*VALUE(LEFT(A73,LEN(A73)-1))))))</f>
        <v/>
      </c>
      <c r="F73" s="112">
        <f>IF(E73="","",IF(MONTH((E73+IF(WEEKDAY(E73,2)=6,2,IF(WEEKDAY(E73,2)=7,1,0))))&lt;&gt;MONTH(E73),(E73-IF(WEEKDAY(E73,2)=6,1,IF(WEEKDAY(E73,2)=7,2,0))),(E73+IF(WEEKDAY(E73,2)=6,2,IF(WEEKDAY(E73,2)=7,1,0)))))</f>
        <v/>
      </c>
      <c r="G73" s="167">
        <f>IF(NOT(BOOT_MODE="Test 2"),"",IFERROR(INDEX(BOOT_S,MATCH(F73,BOOT_DATES,0)),""))</f>
        <v/>
      </c>
      <c r="H73" s="93">
        <f>IF(NOT(BOOT_MODE="Test 2"),"",IFERROR(IF(MATCH(F73,BOOT_DATES,0)&lt;=15,"short  DFspot/(1+S*tau)","annual (DFspot-S*A)/(1+S*tau)"),""))</f>
        <v/>
      </c>
      <c r="I73" s="171">
        <f>IF(NOT(BOOT_MODE="Test 2"),"",IFERROR(IF(MATCH(F73,BOOT_DATES,0)&lt;=15,INDEX(BOOT_TAU0,MATCH(F73,BOOT_DATES,0)),INDEX(BOOT_TAUC,MATCH(F73,BOOT_DATES,0))),""))</f>
        <v/>
      </c>
      <c r="J73" s="76">
        <f>IF(NOT(BOOT_MODE="Test 2"),"",IFERROR(IF(MATCH(F73,BOOT_DATES,0)&lt;=15,0,INDEX(BOOT_ANN,MATCH(F73,BOOT_DATES,0))),""))</f>
        <v/>
      </c>
      <c r="K73" s="76">
        <f>IF(OR(G73="",I73=""),"",BOOT_DFSPOT-(G73/100)*J73)</f>
        <v/>
      </c>
      <c r="L73" s="76">
        <f>IF(OR(G73="",I73=""),"",1+(G73/100)*I73)</f>
        <v/>
      </c>
      <c r="M73" s="169">
        <f>IF(NOT(BOOT_MODE="Test 2"),"",IFERROR(INDEX(BOOT_DF,MATCH(F73,BOOT_DATES,0)),""))</f>
        <v/>
      </c>
      <c r="N73" s="170">
        <f>IF(NOT(BOOT_MODE="Test 2"),"",IFERROR(INDEX(BOOT_T,MATCH(F73,BOOT_DATES,0)),""))</f>
        <v/>
      </c>
      <c r="O73" s="167">
        <f>IF(NOT(BOOT_MODE="Test 2"),"",IFERROR(INDEX(BOOT_ZERO,MATCH(F73,BOOT_DATES,0)),""))</f>
        <v/>
      </c>
      <c r="P73" s="172">
        <f>IF(OR(O73="",NOT(ISNUMBER(C73))),"",(O73-C73)*100)</f>
        <v/>
      </c>
      <c r="Q73" s="72">
        <f>IF(OR(M73="",NOT(ISNUMBER(D73))),"",M73-D73)</f>
        <v/>
      </c>
    </row>
    <row r="74">
      <c r="A74" s="68" t="n"/>
      <c r="B74" s="85" t="n"/>
      <c r="C74" s="85" t="n"/>
      <c r="D74" s="69" t="n"/>
      <c r="E74" s="112">
        <f>IF(OR(A74="",$D$56=""),"",IF(RIGHT(A74,1)="W",$D$56+7*VALUE(LEFT(A74,LEN(A74)-1)),IF(RIGHT(A74,1)="M",EDATE($D$56,VALUE(LEFT(A74,LEN(A74)-1))),EDATE($D$56,12*VALUE(LEFT(A74,LEN(A74)-1))))))</f>
        <v/>
      </c>
      <c r="F74" s="112">
        <f>IF(E74="","",IF(MONTH((E74+IF(WEEKDAY(E74,2)=6,2,IF(WEEKDAY(E74,2)=7,1,0))))&lt;&gt;MONTH(E74),(E74-IF(WEEKDAY(E74,2)=6,1,IF(WEEKDAY(E74,2)=7,2,0))),(E74+IF(WEEKDAY(E74,2)=6,2,IF(WEEKDAY(E74,2)=7,1,0)))))</f>
        <v/>
      </c>
      <c r="G74" s="167">
        <f>IF(NOT(BOOT_MODE="Test 2"),"",IFERROR(INDEX(BOOT_S,MATCH(F74,BOOT_DATES,0)),""))</f>
        <v/>
      </c>
      <c r="H74" s="93">
        <f>IF(NOT(BOOT_MODE="Test 2"),"",IFERROR(IF(MATCH(F74,BOOT_DATES,0)&lt;=15,"short  DFspot/(1+S*tau)","annual (DFspot-S*A)/(1+S*tau)"),""))</f>
        <v/>
      </c>
      <c r="I74" s="171">
        <f>IF(NOT(BOOT_MODE="Test 2"),"",IFERROR(IF(MATCH(F74,BOOT_DATES,0)&lt;=15,INDEX(BOOT_TAU0,MATCH(F74,BOOT_DATES,0)),INDEX(BOOT_TAUC,MATCH(F74,BOOT_DATES,0))),""))</f>
        <v/>
      </c>
      <c r="J74" s="76">
        <f>IF(NOT(BOOT_MODE="Test 2"),"",IFERROR(IF(MATCH(F74,BOOT_DATES,0)&lt;=15,0,INDEX(BOOT_ANN,MATCH(F74,BOOT_DATES,0))),""))</f>
        <v/>
      </c>
      <c r="K74" s="76">
        <f>IF(OR(G74="",I74=""),"",BOOT_DFSPOT-(G74/100)*J74)</f>
        <v/>
      </c>
      <c r="L74" s="76">
        <f>IF(OR(G74="",I74=""),"",1+(G74/100)*I74)</f>
        <v/>
      </c>
      <c r="M74" s="169">
        <f>IF(NOT(BOOT_MODE="Test 2"),"",IFERROR(INDEX(BOOT_DF,MATCH(F74,BOOT_DATES,0)),""))</f>
        <v/>
      </c>
      <c r="N74" s="170">
        <f>IF(NOT(BOOT_MODE="Test 2"),"",IFERROR(INDEX(BOOT_T,MATCH(F74,BOOT_DATES,0)),""))</f>
        <v/>
      </c>
      <c r="O74" s="167">
        <f>IF(NOT(BOOT_MODE="Test 2"),"",IFERROR(INDEX(BOOT_ZERO,MATCH(F74,BOOT_DATES,0)),""))</f>
        <v/>
      </c>
      <c r="P74" s="172">
        <f>IF(OR(O74="",NOT(ISNUMBER(C74))),"",(O74-C74)*100)</f>
        <v/>
      </c>
      <c r="Q74" s="72">
        <f>IF(OR(M74="",NOT(ISNUMBER(D74))),"",M74-D74)</f>
        <v/>
      </c>
    </row>
    <row r="75">
      <c r="A75" s="68" t="n"/>
      <c r="B75" s="85" t="n"/>
      <c r="C75" s="85" t="n"/>
      <c r="D75" s="69" t="n"/>
      <c r="E75" s="112">
        <f>IF(OR(A75="",$D$56=""),"",IF(RIGHT(A75,1)="W",$D$56+7*VALUE(LEFT(A75,LEN(A75)-1)),IF(RIGHT(A75,1)="M",EDATE($D$56,VALUE(LEFT(A75,LEN(A75)-1))),EDATE($D$56,12*VALUE(LEFT(A75,LEN(A75)-1))))))</f>
        <v/>
      </c>
      <c r="F75" s="112">
        <f>IF(E75="","",IF(MONTH((E75+IF(WEEKDAY(E75,2)=6,2,IF(WEEKDAY(E75,2)=7,1,0))))&lt;&gt;MONTH(E75),(E75-IF(WEEKDAY(E75,2)=6,1,IF(WEEKDAY(E75,2)=7,2,0))),(E75+IF(WEEKDAY(E75,2)=6,2,IF(WEEKDAY(E75,2)=7,1,0)))))</f>
        <v/>
      </c>
      <c r="G75" s="167">
        <f>IF(NOT(BOOT_MODE="Test 2"),"",IFERROR(INDEX(BOOT_S,MATCH(F75,BOOT_DATES,0)),""))</f>
        <v/>
      </c>
      <c r="H75" s="93">
        <f>IF(NOT(BOOT_MODE="Test 2"),"",IFERROR(IF(MATCH(F75,BOOT_DATES,0)&lt;=15,"short  DFspot/(1+S*tau)","annual (DFspot-S*A)/(1+S*tau)"),""))</f>
        <v/>
      </c>
      <c r="I75" s="171">
        <f>IF(NOT(BOOT_MODE="Test 2"),"",IFERROR(IF(MATCH(F75,BOOT_DATES,0)&lt;=15,INDEX(BOOT_TAU0,MATCH(F75,BOOT_DATES,0)),INDEX(BOOT_TAUC,MATCH(F75,BOOT_DATES,0))),""))</f>
        <v/>
      </c>
      <c r="J75" s="76">
        <f>IF(NOT(BOOT_MODE="Test 2"),"",IFERROR(IF(MATCH(F75,BOOT_DATES,0)&lt;=15,0,INDEX(BOOT_ANN,MATCH(F75,BOOT_DATES,0))),""))</f>
        <v/>
      </c>
      <c r="K75" s="76">
        <f>IF(OR(G75="",I75=""),"",BOOT_DFSPOT-(G75/100)*J75)</f>
        <v/>
      </c>
      <c r="L75" s="76">
        <f>IF(OR(G75="",I75=""),"",1+(G75/100)*I75)</f>
        <v/>
      </c>
      <c r="M75" s="169">
        <f>IF(NOT(BOOT_MODE="Test 2"),"",IFERROR(INDEX(BOOT_DF,MATCH(F75,BOOT_DATES,0)),""))</f>
        <v/>
      </c>
      <c r="N75" s="170">
        <f>IF(NOT(BOOT_MODE="Test 2"),"",IFERROR(INDEX(BOOT_T,MATCH(F75,BOOT_DATES,0)),""))</f>
        <v/>
      </c>
      <c r="O75" s="167">
        <f>IF(NOT(BOOT_MODE="Test 2"),"",IFERROR(INDEX(BOOT_ZERO,MATCH(F75,BOOT_DATES,0)),""))</f>
        <v/>
      </c>
      <c r="P75" s="172">
        <f>IF(OR(O75="",NOT(ISNUMBER(C75))),"",(O75-C75)*100)</f>
        <v/>
      </c>
      <c r="Q75" s="72">
        <f>IF(OR(M75="",NOT(ISNUMBER(D75))),"",M75-D75)</f>
        <v/>
      </c>
    </row>
    <row r="76">
      <c r="A76" s="68" t="n"/>
      <c r="B76" s="85" t="n"/>
      <c r="C76" s="85" t="n"/>
      <c r="D76" s="69" t="n"/>
      <c r="E76" s="112">
        <f>IF(OR(A76="",$D$56=""),"",IF(RIGHT(A76,1)="W",$D$56+7*VALUE(LEFT(A76,LEN(A76)-1)),IF(RIGHT(A76,1)="M",EDATE($D$56,VALUE(LEFT(A76,LEN(A76)-1))),EDATE($D$56,12*VALUE(LEFT(A76,LEN(A76)-1))))))</f>
        <v/>
      </c>
      <c r="F76" s="112">
        <f>IF(E76="","",IF(MONTH((E76+IF(WEEKDAY(E76,2)=6,2,IF(WEEKDAY(E76,2)=7,1,0))))&lt;&gt;MONTH(E76),(E76-IF(WEEKDAY(E76,2)=6,1,IF(WEEKDAY(E76,2)=7,2,0))),(E76+IF(WEEKDAY(E76,2)=6,2,IF(WEEKDAY(E76,2)=7,1,0)))))</f>
        <v/>
      </c>
      <c r="G76" s="167">
        <f>IF(NOT(BOOT_MODE="Test 2"),"",IFERROR(INDEX(BOOT_S,MATCH(F76,BOOT_DATES,0)),""))</f>
        <v/>
      </c>
      <c r="H76" s="93">
        <f>IF(NOT(BOOT_MODE="Test 2"),"",IFERROR(IF(MATCH(F76,BOOT_DATES,0)&lt;=15,"short  DFspot/(1+S*tau)","annual (DFspot-S*A)/(1+S*tau)"),""))</f>
        <v/>
      </c>
      <c r="I76" s="171">
        <f>IF(NOT(BOOT_MODE="Test 2"),"",IFERROR(IF(MATCH(F76,BOOT_DATES,0)&lt;=15,INDEX(BOOT_TAU0,MATCH(F76,BOOT_DATES,0)),INDEX(BOOT_TAUC,MATCH(F76,BOOT_DATES,0))),""))</f>
        <v/>
      </c>
      <c r="J76" s="76">
        <f>IF(NOT(BOOT_MODE="Test 2"),"",IFERROR(IF(MATCH(F76,BOOT_DATES,0)&lt;=15,0,INDEX(BOOT_ANN,MATCH(F76,BOOT_DATES,0))),""))</f>
        <v/>
      </c>
      <c r="K76" s="76">
        <f>IF(OR(G76="",I76=""),"",BOOT_DFSPOT-(G76/100)*J76)</f>
        <v/>
      </c>
      <c r="L76" s="76">
        <f>IF(OR(G76="",I76=""),"",1+(G76/100)*I76)</f>
        <v/>
      </c>
      <c r="M76" s="169">
        <f>IF(NOT(BOOT_MODE="Test 2"),"",IFERROR(INDEX(BOOT_DF,MATCH(F76,BOOT_DATES,0)),""))</f>
        <v/>
      </c>
      <c r="N76" s="170">
        <f>IF(NOT(BOOT_MODE="Test 2"),"",IFERROR(INDEX(BOOT_T,MATCH(F76,BOOT_DATES,0)),""))</f>
        <v/>
      </c>
      <c r="O76" s="167">
        <f>IF(NOT(BOOT_MODE="Test 2"),"",IFERROR(INDEX(BOOT_ZERO,MATCH(F76,BOOT_DATES,0)),""))</f>
        <v/>
      </c>
      <c r="P76" s="172">
        <f>IF(OR(O76="",NOT(ISNUMBER(C76))),"",(O76-C76)*100)</f>
        <v/>
      </c>
      <c r="Q76" s="72">
        <f>IF(OR(M76="",NOT(ISNUMBER(D76))),"",M76-D76)</f>
        <v/>
      </c>
    </row>
    <row r="77">
      <c r="A77" s="68" t="n"/>
      <c r="B77" s="85" t="n"/>
      <c r="C77" s="85" t="n"/>
      <c r="D77" s="69" t="n"/>
      <c r="E77" s="112">
        <f>IF(OR(A77="",$D$56=""),"",IF(RIGHT(A77,1)="W",$D$56+7*VALUE(LEFT(A77,LEN(A77)-1)),IF(RIGHT(A77,1)="M",EDATE($D$56,VALUE(LEFT(A77,LEN(A77)-1))),EDATE($D$56,12*VALUE(LEFT(A77,LEN(A77)-1))))))</f>
        <v/>
      </c>
      <c r="F77" s="112">
        <f>IF(E77="","",IF(MONTH((E77+IF(WEEKDAY(E77,2)=6,2,IF(WEEKDAY(E77,2)=7,1,0))))&lt;&gt;MONTH(E77),(E77-IF(WEEKDAY(E77,2)=6,1,IF(WEEKDAY(E77,2)=7,2,0))),(E77+IF(WEEKDAY(E77,2)=6,2,IF(WEEKDAY(E77,2)=7,1,0)))))</f>
        <v/>
      </c>
      <c r="G77" s="167">
        <f>IF(NOT(BOOT_MODE="Test 2"),"",IFERROR(INDEX(BOOT_S,MATCH(F77,BOOT_DATES,0)),""))</f>
        <v/>
      </c>
      <c r="H77" s="93">
        <f>IF(NOT(BOOT_MODE="Test 2"),"",IFERROR(IF(MATCH(F77,BOOT_DATES,0)&lt;=15,"short  DFspot/(1+S*tau)","annual (DFspot-S*A)/(1+S*tau)"),""))</f>
        <v/>
      </c>
      <c r="I77" s="171">
        <f>IF(NOT(BOOT_MODE="Test 2"),"",IFERROR(IF(MATCH(F77,BOOT_DATES,0)&lt;=15,INDEX(BOOT_TAU0,MATCH(F77,BOOT_DATES,0)),INDEX(BOOT_TAUC,MATCH(F77,BOOT_DATES,0))),""))</f>
        <v/>
      </c>
      <c r="J77" s="76">
        <f>IF(NOT(BOOT_MODE="Test 2"),"",IFERROR(IF(MATCH(F77,BOOT_DATES,0)&lt;=15,0,INDEX(BOOT_ANN,MATCH(F77,BOOT_DATES,0))),""))</f>
        <v/>
      </c>
      <c r="K77" s="76">
        <f>IF(OR(G77="",I77=""),"",BOOT_DFSPOT-(G77/100)*J77)</f>
        <v/>
      </c>
      <c r="L77" s="76">
        <f>IF(OR(G77="",I77=""),"",1+(G77/100)*I77)</f>
        <v/>
      </c>
      <c r="M77" s="169">
        <f>IF(NOT(BOOT_MODE="Test 2"),"",IFERROR(INDEX(BOOT_DF,MATCH(F77,BOOT_DATES,0)),""))</f>
        <v/>
      </c>
      <c r="N77" s="170">
        <f>IF(NOT(BOOT_MODE="Test 2"),"",IFERROR(INDEX(BOOT_T,MATCH(F77,BOOT_DATES,0)),""))</f>
        <v/>
      </c>
      <c r="O77" s="167">
        <f>IF(NOT(BOOT_MODE="Test 2"),"",IFERROR(INDEX(BOOT_ZERO,MATCH(F77,BOOT_DATES,0)),""))</f>
        <v/>
      </c>
      <c r="P77" s="172">
        <f>IF(OR(O77="",NOT(ISNUMBER(C77))),"",(O77-C77)*100)</f>
        <v/>
      </c>
      <c r="Q77" s="72">
        <f>IF(OR(M77="",NOT(ISNUMBER(D77))),"",M77-D77)</f>
        <v/>
      </c>
    </row>
    <row r="78">
      <c r="A78" s="68" t="n"/>
      <c r="B78" s="85" t="n"/>
      <c r="C78" s="85" t="n"/>
      <c r="D78" s="69" t="n"/>
      <c r="E78" s="112">
        <f>IF(OR(A78="",$D$56=""),"",IF(RIGHT(A78,1)="W",$D$56+7*VALUE(LEFT(A78,LEN(A78)-1)),IF(RIGHT(A78,1)="M",EDATE($D$56,VALUE(LEFT(A78,LEN(A78)-1))),EDATE($D$56,12*VALUE(LEFT(A78,LEN(A78)-1))))))</f>
        <v/>
      </c>
      <c r="F78" s="112">
        <f>IF(E78="","",IF(MONTH((E78+IF(WEEKDAY(E78,2)=6,2,IF(WEEKDAY(E78,2)=7,1,0))))&lt;&gt;MONTH(E78),(E78-IF(WEEKDAY(E78,2)=6,1,IF(WEEKDAY(E78,2)=7,2,0))),(E78+IF(WEEKDAY(E78,2)=6,2,IF(WEEKDAY(E78,2)=7,1,0)))))</f>
        <v/>
      </c>
      <c r="G78" s="167">
        <f>IF(NOT(BOOT_MODE="Test 2"),"",IFERROR(INDEX(BOOT_S,MATCH(F78,BOOT_DATES,0)),""))</f>
        <v/>
      </c>
      <c r="H78" s="93">
        <f>IF(NOT(BOOT_MODE="Test 2"),"",IFERROR(IF(MATCH(F78,BOOT_DATES,0)&lt;=15,"short  DFspot/(1+S*tau)","annual (DFspot-S*A)/(1+S*tau)"),""))</f>
        <v/>
      </c>
      <c r="I78" s="171">
        <f>IF(NOT(BOOT_MODE="Test 2"),"",IFERROR(IF(MATCH(F78,BOOT_DATES,0)&lt;=15,INDEX(BOOT_TAU0,MATCH(F78,BOOT_DATES,0)),INDEX(BOOT_TAUC,MATCH(F78,BOOT_DATES,0))),""))</f>
        <v/>
      </c>
      <c r="J78" s="76">
        <f>IF(NOT(BOOT_MODE="Test 2"),"",IFERROR(IF(MATCH(F78,BOOT_DATES,0)&lt;=15,0,INDEX(BOOT_ANN,MATCH(F78,BOOT_DATES,0))),""))</f>
        <v/>
      </c>
      <c r="K78" s="76">
        <f>IF(OR(G78="",I78=""),"",BOOT_DFSPOT-(G78/100)*J78)</f>
        <v/>
      </c>
      <c r="L78" s="76">
        <f>IF(OR(G78="",I78=""),"",1+(G78/100)*I78)</f>
        <v/>
      </c>
      <c r="M78" s="169">
        <f>IF(NOT(BOOT_MODE="Test 2"),"",IFERROR(INDEX(BOOT_DF,MATCH(F78,BOOT_DATES,0)),""))</f>
        <v/>
      </c>
      <c r="N78" s="170">
        <f>IF(NOT(BOOT_MODE="Test 2"),"",IFERROR(INDEX(BOOT_T,MATCH(F78,BOOT_DATES,0)),""))</f>
        <v/>
      </c>
      <c r="O78" s="167">
        <f>IF(NOT(BOOT_MODE="Test 2"),"",IFERROR(INDEX(BOOT_ZERO,MATCH(F78,BOOT_DATES,0)),""))</f>
        <v/>
      </c>
      <c r="P78" s="172">
        <f>IF(OR(O78="",NOT(ISNUMBER(C78))),"",(O78-C78)*100)</f>
        <v/>
      </c>
      <c r="Q78" s="72">
        <f>IF(OR(M78="",NOT(ISNUMBER(D78))),"",M78-D78)</f>
        <v/>
      </c>
    </row>
    <row r="79">
      <c r="A79" s="68" t="n"/>
      <c r="B79" s="85" t="n"/>
      <c r="C79" s="85" t="n"/>
      <c r="D79" s="69" t="n"/>
      <c r="E79" s="112">
        <f>IF(OR(A79="",$D$56=""),"",IF(RIGHT(A79,1)="W",$D$56+7*VALUE(LEFT(A79,LEN(A79)-1)),IF(RIGHT(A79,1)="M",EDATE($D$56,VALUE(LEFT(A79,LEN(A79)-1))),EDATE($D$56,12*VALUE(LEFT(A79,LEN(A79)-1))))))</f>
        <v/>
      </c>
      <c r="F79" s="112">
        <f>IF(E79="","",IF(MONTH((E79+IF(WEEKDAY(E79,2)=6,2,IF(WEEKDAY(E79,2)=7,1,0))))&lt;&gt;MONTH(E79),(E79-IF(WEEKDAY(E79,2)=6,1,IF(WEEKDAY(E79,2)=7,2,0))),(E79+IF(WEEKDAY(E79,2)=6,2,IF(WEEKDAY(E79,2)=7,1,0)))))</f>
        <v/>
      </c>
      <c r="G79" s="167">
        <f>IF(NOT(BOOT_MODE="Test 2"),"",IFERROR(INDEX(BOOT_S,MATCH(F79,BOOT_DATES,0)),""))</f>
        <v/>
      </c>
      <c r="H79" s="93">
        <f>IF(NOT(BOOT_MODE="Test 2"),"",IFERROR(IF(MATCH(F79,BOOT_DATES,0)&lt;=15,"short  DFspot/(1+S*tau)","annual (DFspot-S*A)/(1+S*tau)"),""))</f>
        <v/>
      </c>
      <c r="I79" s="171">
        <f>IF(NOT(BOOT_MODE="Test 2"),"",IFERROR(IF(MATCH(F79,BOOT_DATES,0)&lt;=15,INDEX(BOOT_TAU0,MATCH(F79,BOOT_DATES,0)),INDEX(BOOT_TAUC,MATCH(F79,BOOT_DATES,0))),""))</f>
        <v/>
      </c>
      <c r="J79" s="76">
        <f>IF(NOT(BOOT_MODE="Test 2"),"",IFERROR(IF(MATCH(F79,BOOT_DATES,0)&lt;=15,0,INDEX(BOOT_ANN,MATCH(F79,BOOT_DATES,0))),""))</f>
        <v/>
      </c>
      <c r="K79" s="76">
        <f>IF(OR(G79="",I79=""),"",BOOT_DFSPOT-(G79/100)*J79)</f>
        <v/>
      </c>
      <c r="L79" s="76">
        <f>IF(OR(G79="",I79=""),"",1+(G79/100)*I79)</f>
        <v/>
      </c>
      <c r="M79" s="169">
        <f>IF(NOT(BOOT_MODE="Test 2"),"",IFERROR(INDEX(BOOT_DF,MATCH(F79,BOOT_DATES,0)),""))</f>
        <v/>
      </c>
      <c r="N79" s="170">
        <f>IF(NOT(BOOT_MODE="Test 2"),"",IFERROR(INDEX(BOOT_T,MATCH(F79,BOOT_DATES,0)),""))</f>
        <v/>
      </c>
      <c r="O79" s="167">
        <f>IF(NOT(BOOT_MODE="Test 2"),"",IFERROR(INDEX(BOOT_ZERO,MATCH(F79,BOOT_DATES,0)),""))</f>
        <v/>
      </c>
      <c r="P79" s="172">
        <f>IF(OR(O79="",NOT(ISNUMBER(C79))),"",(O79-C79)*100)</f>
        <v/>
      </c>
      <c r="Q79" s="72">
        <f>IF(OR(M79="",NOT(ISNUMBER(D79))),"",M79-D79)</f>
        <v/>
      </c>
    </row>
    <row r="80">
      <c r="A80" s="68" t="n"/>
      <c r="B80" s="85" t="n"/>
      <c r="C80" s="85" t="n"/>
      <c r="D80" s="69" t="n"/>
      <c r="E80" s="112">
        <f>IF(OR(A80="",$D$56=""),"",IF(RIGHT(A80,1)="W",$D$56+7*VALUE(LEFT(A80,LEN(A80)-1)),IF(RIGHT(A80,1)="M",EDATE($D$56,VALUE(LEFT(A80,LEN(A80)-1))),EDATE($D$56,12*VALUE(LEFT(A80,LEN(A80)-1))))))</f>
        <v/>
      </c>
      <c r="F80" s="112">
        <f>IF(E80="","",IF(MONTH((E80+IF(WEEKDAY(E80,2)=6,2,IF(WEEKDAY(E80,2)=7,1,0))))&lt;&gt;MONTH(E80),(E80-IF(WEEKDAY(E80,2)=6,1,IF(WEEKDAY(E80,2)=7,2,0))),(E80+IF(WEEKDAY(E80,2)=6,2,IF(WEEKDAY(E80,2)=7,1,0)))))</f>
        <v/>
      </c>
      <c r="G80" s="167">
        <f>IF(NOT(BOOT_MODE="Test 2"),"",IFERROR(INDEX(BOOT_S,MATCH(F80,BOOT_DATES,0)),""))</f>
        <v/>
      </c>
      <c r="H80" s="93">
        <f>IF(NOT(BOOT_MODE="Test 2"),"",IFERROR(IF(MATCH(F80,BOOT_DATES,0)&lt;=15,"short  DFspot/(1+S*tau)","annual (DFspot-S*A)/(1+S*tau)"),""))</f>
        <v/>
      </c>
      <c r="I80" s="171">
        <f>IF(NOT(BOOT_MODE="Test 2"),"",IFERROR(IF(MATCH(F80,BOOT_DATES,0)&lt;=15,INDEX(BOOT_TAU0,MATCH(F80,BOOT_DATES,0)),INDEX(BOOT_TAUC,MATCH(F80,BOOT_DATES,0))),""))</f>
        <v/>
      </c>
      <c r="J80" s="76">
        <f>IF(NOT(BOOT_MODE="Test 2"),"",IFERROR(IF(MATCH(F80,BOOT_DATES,0)&lt;=15,0,INDEX(BOOT_ANN,MATCH(F80,BOOT_DATES,0))),""))</f>
        <v/>
      </c>
      <c r="K80" s="76">
        <f>IF(OR(G80="",I80=""),"",BOOT_DFSPOT-(G80/100)*J80)</f>
        <v/>
      </c>
      <c r="L80" s="76">
        <f>IF(OR(G80="",I80=""),"",1+(G80/100)*I80)</f>
        <v/>
      </c>
      <c r="M80" s="169">
        <f>IF(NOT(BOOT_MODE="Test 2"),"",IFERROR(INDEX(BOOT_DF,MATCH(F80,BOOT_DATES,0)),""))</f>
        <v/>
      </c>
      <c r="N80" s="170">
        <f>IF(NOT(BOOT_MODE="Test 2"),"",IFERROR(INDEX(BOOT_T,MATCH(F80,BOOT_DATES,0)),""))</f>
        <v/>
      </c>
      <c r="O80" s="167">
        <f>IF(NOT(BOOT_MODE="Test 2"),"",IFERROR(INDEX(BOOT_ZERO,MATCH(F80,BOOT_DATES,0)),""))</f>
        <v/>
      </c>
      <c r="P80" s="172">
        <f>IF(OR(O80="",NOT(ISNUMBER(C80))),"",(O80-C80)*100)</f>
        <v/>
      </c>
      <c r="Q80" s="72">
        <f>IF(OR(M80="",NOT(ISNUMBER(D80))),"",M80-D80)</f>
        <v/>
      </c>
    </row>
    <row r="81">
      <c r="A81" s="68" t="n"/>
      <c r="B81" s="85" t="n"/>
      <c r="C81" s="85" t="n"/>
      <c r="D81" s="69" t="n"/>
      <c r="E81" s="112">
        <f>IF(OR(A81="",$D$56=""),"",IF(RIGHT(A81,1)="W",$D$56+7*VALUE(LEFT(A81,LEN(A81)-1)),IF(RIGHT(A81,1)="M",EDATE($D$56,VALUE(LEFT(A81,LEN(A81)-1))),EDATE($D$56,12*VALUE(LEFT(A81,LEN(A81)-1))))))</f>
        <v/>
      </c>
      <c r="F81" s="112">
        <f>IF(E81="","",IF(MONTH((E81+IF(WEEKDAY(E81,2)=6,2,IF(WEEKDAY(E81,2)=7,1,0))))&lt;&gt;MONTH(E81),(E81-IF(WEEKDAY(E81,2)=6,1,IF(WEEKDAY(E81,2)=7,2,0))),(E81+IF(WEEKDAY(E81,2)=6,2,IF(WEEKDAY(E81,2)=7,1,0)))))</f>
        <v/>
      </c>
      <c r="G81" s="167">
        <f>IF(NOT(BOOT_MODE="Test 2"),"",IFERROR(INDEX(BOOT_S,MATCH(F81,BOOT_DATES,0)),""))</f>
        <v/>
      </c>
      <c r="H81" s="93">
        <f>IF(NOT(BOOT_MODE="Test 2"),"",IFERROR(IF(MATCH(F81,BOOT_DATES,0)&lt;=15,"short  DFspot/(1+S*tau)","annual (DFspot-S*A)/(1+S*tau)"),""))</f>
        <v/>
      </c>
      <c r="I81" s="171">
        <f>IF(NOT(BOOT_MODE="Test 2"),"",IFERROR(IF(MATCH(F81,BOOT_DATES,0)&lt;=15,INDEX(BOOT_TAU0,MATCH(F81,BOOT_DATES,0)),INDEX(BOOT_TAUC,MATCH(F81,BOOT_DATES,0))),""))</f>
        <v/>
      </c>
      <c r="J81" s="76">
        <f>IF(NOT(BOOT_MODE="Test 2"),"",IFERROR(IF(MATCH(F81,BOOT_DATES,0)&lt;=15,0,INDEX(BOOT_ANN,MATCH(F81,BOOT_DATES,0))),""))</f>
        <v/>
      </c>
      <c r="K81" s="76">
        <f>IF(OR(G81="",I81=""),"",BOOT_DFSPOT-(G81/100)*J81)</f>
        <v/>
      </c>
      <c r="L81" s="76">
        <f>IF(OR(G81="",I81=""),"",1+(G81/100)*I81)</f>
        <v/>
      </c>
      <c r="M81" s="169">
        <f>IF(NOT(BOOT_MODE="Test 2"),"",IFERROR(INDEX(BOOT_DF,MATCH(F81,BOOT_DATES,0)),""))</f>
        <v/>
      </c>
      <c r="N81" s="170">
        <f>IF(NOT(BOOT_MODE="Test 2"),"",IFERROR(INDEX(BOOT_T,MATCH(F81,BOOT_DATES,0)),""))</f>
        <v/>
      </c>
      <c r="O81" s="167">
        <f>IF(NOT(BOOT_MODE="Test 2"),"",IFERROR(INDEX(BOOT_ZERO,MATCH(F81,BOOT_DATES,0)),""))</f>
        <v/>
      </c>
      <c r="P81" s="172">
        <f>IF(OR(O81="",NOT(ISNUMBER(C81))),"",(O81-C81)*100)</f>
        <v/>
      </c>
      <c r="Q81" s="72">
        <f>IF(OR(M81="",NOT(ISNUMBER(D81))),"",M81-D81)</f>
        <v/>
      </c>
    </row>
    <row r="82">
      <c r="A82" s="68" t="n"/>
      <c r="B82" s="85" t="n"/>
      <c r="C82" s="85" t="n"/>
      <c r="D82" s="69" t="n"/>
      <c r="E82" s="112">
        <f>IF(OR(A82="",$D$56=""),"",IF(RIGHT(A82,1)="W",$D$56+7*VALUE(LEFT(A82,LEN(A82)-1)),IF(RIGHT(A82,1)="M",EDATE($D$56,VALUE(LEFT(A82,LEN(A82)-1))),EDATE($D$56,12*VALUE(LEFT(A82,LEN(A82)-1))))))</f>
        <v/>
      </c>
      <c r="F82" s="112">
        <f>IF(E82="","",IF(MONTH((E82+IF(WEEKDAY(E82,2)=6,2,IF(WEEKDAY(E82,2)=7,1,0))))&lt;&gt;MONTH(E82),(E82-IF(WEEKDAY(E82,2)=6,1,IF(WEEKDAY(E82,2)=7,2,0))),(E82+IF(WEEKDAY(E82,2)=6,2,IF(WEEKDAY(E82,2)=7,1,0)))))</f>
        <v/>
      </c>
      <c r="G82" s="167">
        <f>IF(NOT(BOOT_MODE="Test 2"),"",IFERROR(INDEX(BOOT_S,MATCH(F82,BOOT_DATES,0)),""))</f>
        <v/>
      </c>
      <c r="H82" s="93">
        <f>IF(NOT(BOOT_MODE="Test 2"),"",IFERROR(IF(MATCH(F82,BOOT_DATES,0)&lt;=15,"short  DFspot/(1+S*tau)","annual (DFspot-S*A)/(1+S*tau)"),""))</f>
        <v/>
      </c>
      <c r="I82" s="171">
        <f>IF(NOT(BOOT_MODE="Test 2"),"",IFERROR(IF(MATCH(F82,BOOT_DATES,0)&lt;=15,INDEX(BOOT_TAU0,MATCH(F82,BOOT_DATES,0)),INDEX(BOOT_TAUC,MATCH(F82,BOOT_DATES,0))),""))</f>
        <v/>
      </c>
      <c r="J82" s="76">
        <f>IF(NOT(BOOT_MODE="Test 2"),"",IFERROR(IF(MATCH(F82,BOOT_DATES,0)&lt;=15,0,INDEX(BOOT_ANN,MATCH(F82,BOOT_DATES,0))),""))</f>
        <v/>
      </c>
      <c r="K82" s="76">
        <f>IF(OR(G82="",I82=""),"",BOOT_DFSPOT-(G82/100)*J82)</f>
        <v/>
      </c>
      <c r="L82" s="76">
        <f>IF(OR(G82="",I82=""),"",1+(G82/100)*I82)</f>
        <v/>
      </c>
      <c r="M82" s="169">
        <f>IF(NOT(BOOT_MODE="Test 2"),"",IFERROR(INDEX(BOOT_DF,MATCH(F82,BOOT_DATES,0)),""))</f>
        <v/>
      </c>
      <c r="N82" s="170">
        <f>IF(NOT(BOOT_MODE="Test 2"),"",IFERROR(INDEX(BOOT_T,MATCH(F82,BOOT_DATES,0)),""))</f>
        <v/>
      </c>
      <c r="O82" s="167">
        <f>IF(NOT(BOOT_MODE="Test 2"),"",IFERROR(INDEX(BOOT_ZERO,MATCH(F82,BOOT_DATES,0)),""))</f>
        <v/>
      </c>
      <c r="P82" s="172">
        <f>IF(OR(O82="",NOT(ISNUMBER(C82))),"",(O82-C82)*100)</f>
        <v/>
      </c>
      <c r="Q82" s="72">
        <f>IF(OR(M82="",NOT(ISNUMBER(D82))),"",M82-D82)</f>
        <v/>
      </c>
    </row>
    <row r="83">
      <c r="A83" s="68" t="n"/>
      <c r="B83" s="85" t="n"/>
      <c r="C83" s="85" t="n"/>
      <c r="D83" s="69" t="n"/>
      <c r="E83" s="112">
        <f>IF(OR(A83="",$D$56=""),"",IF(RIGHT(A83,1)="W",$D$56+7*VALUE(LEFT(A83,LEN(A83)-1)),IF(RIGHT(A83,1)="M",EDATE($D$56,VALUE(LEFT(A83,LEN(A83)-1))),EDATE($D$56,12*VALUE(LEFT(A83,LEN(A83)-1))))))</f>
        <v/>
      </c>
      <c r="F83" s="112">
        <f>IF(E83="","",IF(MONTH((E83+IF(WEEKDAY(E83,2)=6,2,IF(WEEKDAY(E83,2)=7,1,0))))&lt;&gt;MONTH(E83),(E83-IF(WEEKDAY(E83,2)=6,1,IF(WEEKDAY(E83,2)=7,2,0))),(E83+IF(WEEKDAY(E83,2)=6,2,IF(WEEKDAY(E83,2)=7,1,0)))))</f>
        <v/>
      </c>
      <c r="G83" s="167">
        <f>IF(NOT(BOOT_MODE="Test 2"),"",IFERROR(INDEX(BOOT_S,MATCH(F83,BOOT_DATES,0)),""))</f>
        <v/>
      </c>
      <c r="H83" s="93">
        <f>IF(NOT(BOOT_MODE="Test 2"),"",IFERROR(IF(MATCH(F83,BOOT_DATES,0)&lt;=15,"short  DFspot/(1+S*tau)","annual (DFspot-S*A)/(1+S*tau)"),""))</f>
        <v/>
      </c>
      <c r="I83" s="171">
        <f>IF(NOT(BOOT_MODE="Test 2"),"",IFERROR(IF(MATCH(F83,BOOT_DATES,0)&lt;=15,INDEX(BOOT_TAU0,MATCH(F83,BOOT_DATES,0)),INDEX(BOOT_TAUC,MATCH(F83,BOOT_DATES,0))),""))</f>
        <v/>
      </c>
      <c r="J83" s="76">
        <f>IF(NOT(BOOT_MODE="Test 2"),"",IFERROR(IF(MATCH(F83,BOOT_DATES,0)&lt;=15,0,INDEX(BOOT_ANN,MATCH(F83,BOOT_DATES,0))),""))</f>
        <v/>
      </c>
      <c r="K83" s="76">
        <f>IF(OR(G83="",I83=""),"",BOOT_DFSPOT-(G83/100)*J83)</f>
        <v/>
      </c>
      <c r="L83" s="76">
        <f>IF(OR(G83="",I83=""),"",1+(G83/100)*I83)</f>
        <v/>
      </c>
      <c r="M83" s="169">
        <f>IF(NOT(BOOT_MODE="Test 2"),"",IFERROR(INDEX(BOOT_DF,MATCH(F83,BOOT_DATES,0)),""))</f>
        <v/>
      </c>
      <c r="N83" s="170">
        <f>IF(NOT(BOOT_MODE="Test 2"),"",IFERROR(INDEX(BOOT_T,MATCH(F83,BOOT_DATES,0)),""))</f>
        <v/>
      </c>
      <c r="O83" s="167">
        <f>IF(NOT(BOOT_MODE="Test 2"),"",IFERROR(INDEX(BOOT_ZERO,MATCH(F83,BOOT_DATES,0)),""))</f>
        <v/>
      </c>
      <c r="P83" s="172">
        <f>IF(OR(O83="",NOT(ISNUMBER(C83))),"",(O83-C83)*100)</f>
        <v/>
      </c>
      <c r="Q83" s="72">
        <f>IF(OR(M83="",NOT(ISNUMBER(D83))),"",M83-D83)</f>
        <v/>
      </c>
    </row>
    <row r="84">
      <c r="A84" s="68" t="n"/>
      <c r="B84" s="85" t="n"/>
      <c r="C84" s="85" t="n"/>
      <c r="D84" s="69" t="n"/>
      <c r="E84" s="112">
        <f>IF(OR(A84="",$D$56=""),"",IF(RIGHT(A84,1)="W",$D$56+7*VALUE(LEFT(A84,LEN(A84)-1)),IF(RIGHT(A84,1)="M",EDATE($D$56,VALUE(LEFT(A84,LEN(A84)-1))),EDATE($D$56,12*VALUE(LEFT(A84,LEN(A84)-1))))))</f>
        <v/>
      </c>
      <c r="F84" s="112">
        <f>IF(E84="","",IF(MONTH((E84+IF(WEEKDAY(E84,2)=6,2,IF(WEEKDAY(E84,2)=7,1,0))))&lt;&gt;MONTH(E84),(E84-IF(WEEKDAY(E84,2)=6,1,IF(WEEKDAY(E84,2)=7,2,0))),(E84+IF(WEEKDAY(E84,2)=6,2,IF(WEEKDAY(E84,2)=7,1,0)))))</f>
        <v/>
      </c>
      <c r="G84" s="167">
        <f>IF(NOT(BOOT_MODE="Test 2"),"",IFERROR(INDEX(BOOT_S,MATCH(F84,BOOT_DATES,0)),""))</f>
        <v/>
      </c>
      <c r="H84" s="93">
        <f>IF(NOT(BOOT_MODE="Test 2"),"",IFERROR(IF(MATCH(F84,BOOT_DATES,0)&lt;=15,"short  DFspot/(1+S*tau)","annual (DFspot-S*A)/(1+S*tau)"),""))</f>
        <v/>
      </c>
      <c r="I84" s="171">
        <f>IF(NOT(BOOT_MODE="Test 2"),"",IFERROR(IF(MATCH(F84,BOOT_DATES,0)&lt;=15,INDEX(BOOT_TAU0,MATCH(F84,BOOT_DATES,0)),INDEX(BOOT_TAUC,MATCH(F84,BOOT_DATES,0))),""))</f>
        <v/>
      </c>
      <c r="J84" s="76">
        <f>IF(NOT(BOOT_MODE="Test 2"),"",IFERROR(IF(MATCH(F84,BOOT_DATES,0)&lt;=15,0,INDEX(BOOT_ANN,MATCH(F84,BOOT_DATES,0))),""))</f>
        <v/>
      </c>
      <c r="K84" s="76">
        <f>IF(OR(G84="",I84=""),"",BOOT_DFSPOT-(G84/100)*J84)</f>
        <v/>
      </c>
      <c r="L84" s="76">
        <f>IF(OR(G84="",I84=""),"",1+(G84/100)*I84)</f>
        <v/>
      </c>
      <c r="M84" s="169">
        <f>IF(NOT(BOOT_MODE="Test 2"),"",IFERROR(INDEX(BOOT_DF,MATCH(F84,BOOT_DATES,0)),""))</f>
        <v/>
      </c>
      <c r="N84" s="170">
        <f>IF(NOT(BOOT_MODE="Test 2"),"",IFERROR(INDEX(BOOT_T,MATCH(F84,BOOT_DATES,0)),""))</f>
        <v/>
      </c>
      <c r="O84" s="167">
        <f>IF(NOT(BOOT_MODE="Test 2"),"",IFERROR(INDEX(BOOT_ZERO,MATCH(F84,BOOT_DATES,0)),""))</f>
        <v/>
      </c>
      <c r="P84" s="172">
        <f>IF(OR(O84="",NOT(ISNUMBER(C84))),"",(O84-C84)*100)</f>
        <v/>
      </c>
      <c r="Q84" s="72">
        <f>IF(OR(M84="",NOT(ISNUMBER(D84))),"",M84-D84)</f>
        <v/>
      </c>
    </row>
    <row r="85">
      <c r="A85" s="68" t="n"/>
      <c r="B85" s="85" t="n"/>
      <c r="C85" s="85" t="n"/>
      <c r="D85" s="69" t="n"/>
      <c r="E85" s="112">
        <f>IF(OR(A85="",$D$56=""),"",IF(RIGHT(A85,1)="W",$D$56+7*VALUE(LEFT(A85,LEN(A85)-1)),IF(RIGHT(A85,1)="M",EDATE($D$56,VALUE(LEFT(A85,LEN(A85)-1))),EDATE($D$56,12*VALUE(LEFT(A85,LEN(A85)-1))))))</f>
        <v/>
      </c>
      <c r="F85" s="112">
        <f>IF(E85="","",IF(MONTH((E85+IF(WEEKDAY(E85,2)=6,2,IF(WEEKDAY(E85,2)=7,1,0))))&lt;&gt;MONTH(E85),(E85-IF(WEEKDAY(E85,2)=6,1,IF(WEEKDAY(E85,2)=7,2,0))),(E85+IF(WEEKDAY(E85,2)=6,2,IF(WEEKDAY(E85,2)=7,1,0)))))</f>
        <v/>
      </c>
      <c r="G85" s="167">
        <f>IF(NOT(BOOT_MODE="Test 2"),"",IFERROR(INDEX(BOOT_S,MATCH(F85,BOOT_DATES,0)),""))</f>
        <v/>
      </c>
      <c r="H85" s="93">
        <f>IF(NOT(BOOT_MODE="Test 2"),"",IFERROR(IF(MATCH(F85,BOOT_DATES,0)&lt;=15,"short  DFspot/(1+S*tau)","annual (DFspot-S*A)/(1+S*tau)"),""))</f>
        <v/>
      </c>
      <c r="I85" s="171">
        <f>IF(NOT(BOOT_MODE="Test 2"),"",IFERROR(IF(MATCH(F85,BOOT_DATES,0)&lt;=15,INDEX(BOOT_TAU0,MATCH(F85,BOOT_DATES,0)),INDEX(BOOT_TAUC,MATCH(F85,BOOT_DATES,0))),""))</f>
        <v/>
      </c>
      <c r="J85" s="76">
        <f>IF(NOT(BOOT_MODE="Test 2"),"",IFERROR(IF(MATCH(F85,BOOT_DATES,0)&lt;=15,0,INDEX(BOOT_ANN,MATCH(F85,BOOT_DATES,0))),""))</f>
        <v/>
      </c>
      <c r="K85" s="76">
        <f>IF(OR(G85="",I85=""),"",BOOT_DFSPOT-(G85/100)*J85)</f>
        <v/>
      </c>
      <c r="L85" s="76">
        <f>IF(OR(G85="",I85=""),"",1+(G85/100)*I85)</f>
        <v/>
      </c>
      <c r="M85" s="169">
        <f>IF(NOT(BOOT_MODE="Test 2"),"",IFERROR(INDEX(BOOT_DF,MATCH(F85,BOOT_DATES,0)),""))</f>
        <v/>
      </c>
      <c r="N85" s="170">
        <f>IF(NOT(BOOT_MODE="Test 2"),"",IFERROR(INDEX(BOOT_T,MATCH(F85,BOOT_DATES,0)),""))</f>
        <v/>
      </c>
      <c r="O85" s="167">
        <f>IF(NOT(BOOT_MODE="Test 2"),"",IFERROR(INDEX(BOOT_ZERO,MATCH(F85,BOOT_DATES,0)),""))</f>
        <v/>
      </c>
      <c r="P85" s="172">
        <f>IF(OR(O85="",NOT(ISNUMBER(C85))),"",(O85-C85)*100)</f>
        <v/>
      </c>
      <c r="Q85" s="72">
        <f>IF(OR(M85="",NOT(ISNUMBER(D85))),"",M85-D85)</f>
        <v/>
      </c>
    </row>
    <row r="86">
      <c r="A86" s="68" t="n"/>
      <c r="B86" s="85" t="n"/>
      <c r="C86" s="85" t="n"/>
      <c r="D86" s="69" t="n"/>
      <c r="E86" s="112">
        <f>IF(OR(A86="",$D$56=""),"",IF(RIGHT(A86,1)="W",$D$56+7*VALUE(LEFT(A86,LEN(A86)-1)),IF(RIGHT(A86,1)="M",EDATE($D$56,VALUE(LEFT(A86,LEN(A86)-1))),EDATE($D$56,12*VALUE(LEFT(A86,LEN(A86)-1))))))</f>
        <v/>
      </c>
      <c r="F86" s="112">
        <f>IF(E86="","",IF(MONTH((E86+IF(WEEKDAY(E86,2)=6,2,IF(WEEKDAY(E86,2)=7,1,0))))&lt;&gt;MONTH(E86),(E86-IF(WEEKDAY(E86,2)=6,1,IF(WEEKDAY(E86,2)=7,2,0))),(E86+IF(WEEKDAY(E86,2)=6,2,IF(WEEKDAY(E86,2)=7,1,0)))))</f>
        <v/>
      </c>
      <c r="G86" s="167">
        <f>IF(NOT(BOOT_MODE="Test 2"),"",IFERROR(INDEX(BOOT_S,MATCH(F86,BOOT_DATES,0)),""))</f>
        <v/>
      </c>
      <c r="H86" s="93">
        <f>IF(NOT(BOOT_MODE="Test 2"),"",IFERROR(IF(MATCH(F86,BOOT_DATES,0)&lt;=15,"short  DFspot/(1+S*tau)","annual (DFspot-S*A)/(1+S*tau)"),""))</f>
        <v/>
      </c>
      <c r="I86" s="171">
        <f>IF(NOT(BOOT_MODE="Test 2"),"",IFERROR(IF(MATCH(F86,BOOT_DATES,0)&lt;=15,INDEX(BOOT_TAU0,MATCH(F86,BOOT_DATES,0)),INDEX(BOOT_TAUC,MATCH(F86,BOOT_DATES,0))),""))</f>
        <v/>
      </c>
      <c r="J86" s="76">
        <f>IF(NOT(BOOT_MODE="Test 2"),"",IFERROR(IF(MATCH(F86,BOOT_DATES,0)&lt;=15,0,INDEX(BOOT_ANN,MATCH(F86,BOOT_DATES,0))),""))</f>
        <v/>
      </c>
      <c r="K86" s="76">
        <f>IF(OR(G86="",I86=""),"",BOOT_DFSPOT-(G86/100)*J86)</f>
        <v/>
      </c>
      <c r="L86" s="76">
        <f>IF(OR(G86="",I86=""),"",1+(G86/100)*I86)</f>
        <v/>
      </c>
      <c r="M86" s="169">
        <f>IF(NOT(BOOT_MODE="Test 2"),"",IFERROR(INDEX(BOOT_DF,MATCH(F86,BOOT_DATES,0)),""))</f>
        <v/>
      </c>
      <c r="N86" s="170">
        <f>IF(NOT(BOOT_MODE="Test 2"),"",IFERROR(INDEX(BOOT_T,MATCH(F86,BOOT_DATES,0)),""))</f>
        <v/>
      </c>
      <c r="O86" s="167">
        <f>IF(NOT(BOOT_MODE="Test 2"),"",IFERROR(INDEX(BOOT_ZERO,MATCH(F86,BOOT_DATES,0)),""))</f>
        <v/>
      </c>
      <c r="P86" s="172">
        <f>IF(OR(O86="",NOT(ISNUMBER(C86))),"",(O86-C86)*100)</f>
        <v/>
      </c>
      <c r="Q86" s="72">
        <f>IF(OR(M86="",NOT(ISNUMBER(D86))),"",M86-D86)</f>
        <v/>
      </c>
    </row>
    <row r="87">
      <c r="A87" s="68" t="n"/>
      <c r="B87" s="85" t="n"/>
      <c r="C87" s="85" t="n"/>
      <c r="D87" s="69" t="n"/>
      <c r="E87" s="112">
        <f>IF(OR(A87="",$D$56=""),"",IF(RIGHT(A87,1)="W",$D$56+7*VALUE(LEFT(A87,LEN(A87)-1)),IF(RIGHT(A87,1)="M",EDATE($D$56,VALUE(LEFT(A87,LEN(A87)-1))),EDATE($D$56,12*VALUE(LEFT(A87,LEN(A87)-1))))))</f>
        <v/>
      </c>
      <c r="F87" s="112">
        <f>IF(E87="","",IF(MONTH((E87+IF(WEEKDAY(E87,2)=6,2,IF(WEEKDAY(E87,2)=7,1,0))))&lt;&gt;MONTH(E87),(E87-IF(WEEKDAY(E87,2)=6,1,IF(WEEKDAY(E87,2)=7,2,0))),(E87+IF(WEEKDAY(E87,2)=6,2,IF(WEEKDAY(E87,2)=7,1,0)))))</f>
        <v/>
      </c>
      <c r="G87" s="167">
        <f>IF(NOT(BOOT_MODE="Test 2"),"",IFERROR(INDEX(BOOT_S,MATCH(F87,BOOT_DATES,0)),""))</f>
        <v/>
      </c>
      <c r="H87" s="93">
        <f>IF(NOT(BOOT_MODE="Test 2"),"",IFERROR(IF(MATCH(F87,BOOT_DATES,0)&lt;=15,"short  DFspot/(1+S*tau)","annual (DFspot-S*A)/(1+S*tau)"),""))</f>
        <v/>
      </c>
      <c r="I87" s="171">
        <f>IF(NOT(BOOT_MODE="Test 2"),"",IFERROR(IF(MATCH(F87,BOOT_DATES,0)&lt;=15,INDEX(BOOT_TAU0,MATCH(F87,BOOT_DATES,0)),INDEX(BOOT_TAUC,MATCH(F87,BOOT_DATES,0))),""))</f>
        <v/>
      </c>
      <c r="J87" s="76">
        <f>IF(NOT(BOOT_MODE="Test 2"),"",IFERROR(IF(MATCH(F87,BOOT_DATES,0)&lt;=15,0,INDEX(BOOT_ANN,MATCH(F87,BOOT_DATES,0))),""))</f>
        <v/>
      </c>
      <c r="K87" s="76">
        <f>IF(OR(G87="",I87=""),"",BOOT_DFSPOT-(G87/100)*J87)</f>
        <v/>
      </c>
      <c r="L87" s="76">
        <f>IF(OR(G87="",I87=""),"",1+(G87/100)*I87)</f>
        <v/>
      </c>
      <c r="M87" s="169">
        <f>IF(NOT(BOOT_MODE="Test 2"),"",IFERROR(INDEX(BOOT_DF,MATCH(F87,BOOT_DATES,0)),""))</f>
        <v/>
      </c>
      <c r="N87" s="170">
        <f>IF(NOT(BOOT_MODE="Test 2"),"",IFERROR(INDEX(BOOT_T,MATCH(F87,BOOT_DATES,0)),""))</f>
        <v/>
      </c>
      <c r="O87" s="167">
        <f>IF(NOT(BOOT_MODE="Test 2"),"",IFERROR(INDEX(BOOT_ZERO,MATCH(F87,BOOT_DATES,0)),""))</f>
        <v/>
      </c>
      <c r="P87" s="172">
        <f>IF(OR(O87="",NOT(ISNUMBER(C87))),"",(O87-C87)*100)</f>
        <v/>
      </c>
      <c r="Q87" s="72">
        <f>IF(OR(M87="",NOT(ISNUMBER(D87))),"",M87-D87)</f>
        <v/>
      </c>
    </row>
    <row r="88">
      <c r="A88" s="68" t="n"/>
      <c r="B88" s="85" t="n"/>
      <c r="C88" s="85" t="n"/>
      <c r="D88" s="69" t="n"/>
      <c r="E88" s="112">
        <f>IF(OR(A88="",$D$56=""),"",IF(RIGHT(A88,1)="W",$D$56+7*VALUE(LEFT(A88,LEN(A88)-1)),IF(RIGHT(A88,1)="M",EDATE($D$56,VALUE(LEFT(A88,LEN(A88)-1))),EDATE($D$56,12*VALUE(LEFT(A88,LEN(A88)-1))))))</f>
        <v/>
      </c>
      <c r="F88" s="112">
        <f>IF(E88="","",IF(MONTH((E88+IF(WEEKDAY(E88,2)=6,2,IF(WEEKDAY(E88,2)=7,1,0))))&lt;&gt;MONTH(E88),(E88-IF(WEEKDAY(E88,2)=6,1,IF(WEEKDAY(E88,2)=7,2,0))),(E88+IF(WEEKDAY(E88,2)=6,2,IF(WEEKDAY(E88,2)=7,1,0)))))</f>
        <v/>
      </c>
      <c r="G88" s="167">
        <f>IF(NOT(BOOT_MODE="Test 2"),"",IFERROR(INDEX(BOOT_S,MATCH(F88,BOOT_DATES,0)),""))</f>
        <v/>
      </c>
      <c r="H88" s="93">
        <f>IF(NOT(BOOT_MODE="Test 2"),"",IFERROR(IF(MATCH(F88,BOOT_DATES,0)&lt;=15,"short  DFspot/(1+S*tau)","annual (DFspot-S*A)/(1+S*tau)"),""))</f>
        <v/>
      </c>
      <c r="I88" s="171">
        <f>IF(NOT(BOOT_MODE="Test 2"),"",IFERROR(IF(MATCH(F88,BOOT_DATES,0)&lt;=15,INDEX(BOOT_TAU0,MATCH(F88,BOOT_DATES,0)),INDEX(BOOT_TAUC,MATCH(F88,BOOT_DATES,0))),""))</f>
        <v/>
      </c>
      <c r="J88" s="76">
        <f>IF(NOT(BOOT_MODE="Test 2"),"",IFERROR(IF(MATCH(F88,BOOT_DATES,0)&lt;=15,0,INDEX(BOOT_ANN,MATCH(F88,BOOT_DATES,0))),""))</f>
        <v/>
      </c>
      <c r="K88" s="76">
        <f>IF(OR(G88="",I88=""),"",BOOT_DFSPOT-(G88/100)*J88)</f>
        <v/>
      </c>
      <c r="L88" s="76">
        <f>IF(OR(G88="",I88=""),"",1+(G88/100)*I88)</f>
        <v/>
      </c>
      <c r="M88" s="169">
        <f>IF(NOT(BOOT_MODE="Test 2"),"",IFERROR(INDEX(BOOT_DF,MATCH(F88,BOOT_DATES,0)),""))</f>
        <v/>
      </c>
      <c r="N88" s="170">
        <f>IF(NOT(BOOT_MODE="Test 2"),"",IFERROR(INDEX(BOOT_T,MATCH(F88,BOOT_DATES,0)),""))</f>
        <v/>
      </c>
      <c r="O88" s="167">
        <f>IF(NOT(BOOT_MODE="Test 2"),"",IFERROR(INDEX(BOOT_ZERO,MATCH(F88,BOOT_DATES,0)),""))</f>
        <v/>
      </c>
      <c r="P88" s="172">
        <f>IF(OR(O88="",NOT(ISNUMBER(C88))),"",(O88-C88)*100)</f>
        <v/>
      </c>
      <c r="Q88" s="72">
        <f>IF(OR(M88="",NOT(ISNUMBER(D88))),"",M88-D88)</f>
        <v/>
      </c>
    </row>
    <row r="89">
      <c r="A89" s="68" t="n"/>
      <c r="B89" s="85" t="n"/>
      <c r="C89" s="85" t="n"/>
      <c r="D89" s="69" t="n"/>
      <c r="E89" s="112">
        <f>IF(OR(A89="",$D$56=""),"",IF(RIGHT(A89,1)="W",$D$56+7*VALUE(LEFT(A89,LEN(A89)-1)),IF(RIGHT(A89,1)="M",EDATE($D$56,VALUE(LEFT(A89,LEN(A89)-1))),EDATE($D$56,12*VALUE(LEFT(A89,LEN(A89)-1))))))</f>
        <v/>
      </c>
      <c r="F89" s="112">
        <f>IF(E89="","",IF(MONTH((E89+IF(WEEKDAY(E89,2)=6,2,IF(WEEKDAY(E89,2)=7,1,0))))&lt;&gt;MONTH(E89),(E89-IF(WEEKDAY(E89,2)=6,1,IF(WEEKDAY(E89,2)=7,2,0))),(E89+IF(WEEKDAY(E89,2)=6,2,IF(WEEKDAY(E89,2)=7,1,0)))))</f>
        <v/>
      </c>
      <c r="G89" s="167">
        <f>IF(NOT(BOOT_MODE="Test 2"),"",IFERROR(INDEX(BOOT_S,MATCH(F89,BOOT_DATES,0)),""))</f>
        <v/>
      </c>
      <c r="H89" s="93">
        <f>IF(NOT(BOOT_MODE="Test 2"),"",IFERROR(IF(MATCH(F89,BOOT_DATES,0)&lt;=15,"short  DFspot/(1+S*tau)","annual (DFspot-S*A)/(1+S*tau)"),""))</f>
        <v/>
      </c>
      <c r="I89" s="171">
        <f>IF(NOT(BOOT_MODE="Test 2"),"",IFERROR(IF(MATCH(F89,BOOT_DATES,0)&lt;=15,INDEX(BOOT_TAU0,MATCH(F89,BOOT_DATES,0)),INDEX(BOOT_TAUC,MATCH(F89,BOOT_DATES,0))),""))</f>
        <v/>
      </c>
      <c r="J89" s="76">
        <f>IF(NOT(BOOT_MODE="Test 2"),"",IFERROR(IF(MATCH(F89,BOOT_DATES,0)&lt;=15,0,INDEX(BOOT_ANN,MATCH(F89,BOOT_DATES,0))),""))</f>
        <v/>
      </c>
      <c r="K89" s="76">
        <f>IF(OR(G89="",I89=""),"",BOOT_DFSPOT-(G89/100)*J89)</f>
        <v/>
      </c>
      <c r="L89" s="76">
        <f>IF(OR(G89="",I89=""),"",1+(G89/100)*I89)</f>
        <v/>
      </c>
      <c r="M89" s="169">
        <f>IF(NOT(BOOT_MODE="Test 2"),"",IFERROR(INDEX(BOOT_DF,MATCH(F89,BOOT_DATES,0)),""))</f>
        <v/>
      </c>
      <c r="N89" s="170">
        <f>IF(NOT(BOOT_MODE="Test 2"),"",IFERROR(INDEX(BOOT_T,MATCH(F89,BOOT_DATES,0)),""))</f>
        <v/>
      </c>
      <c r="O89" s="167">
        <f>IF(NOT(BOOT_MODE="Test 2"),"",IFERROR(INDEX(BOOT_ZERO,MATCH(F89,BOOT_DATES,0)),""))</f>
        <v/>
      </c>
      <c r="P89" s="172">
        <f>IF(OR(O89="",NOT(ISNUMBER(C89))),"",(O89-C89)*100)</f>
        <v/>
      </c>
      <c r="Q89" s="72">
        <f>IF(OR(M89="",NOT(ISNUMBER(D89))),"",M89-D89)</f>
        <v/>
      </c>
    </row>
    <row r="90">
      <c r="A90" s="68" t="n"/>
      <c r="B90" s="85" t="n"/>
      <c r="C90" s="85" t="n"/>
      <c r="D90" s="69" t="n"/>
      <c r="E90" s="112">
        <f>IF(OR(A90="",$D$56=""),"",IF(RIGHT(A90,1)="W",$D$56+7*VALUE(LEFT(A90,LEN(A90)-1)),IF(RIGHT(A90,1)="M",EDATE($D$56,VALUE(LEFT(A90,LEN(A90)-1))),EDATE($D$56,12*VALUE(LEFT(A90,LEN(A90)-1))))))</f>
        <v/>
      </c>
      <c r="F90" s="112">
        <f>IF(E90="","",IF(MONTH((E90+IF(WEEKDAY(E90,2)=6,2,IF(WEEKDAY(E90,2)=7,1,0))))&lt;&gt;MONTH(E90),(E90-IF(WEEKDAY(E90,2)=6,1,IF(WEEKDAY(E90,2)=7,2,0))),(E90+IF(WEEKDAY(E90,2)=6,2,IF(WEEKDAY(E90,2)=7,1,0)))))</f>
        <v/>
      </c>
      <c r="G90" s="167">
        <f>IF(NOT(BOOT_MODE="Test 2"),"",IFERROR(INDEX(BOOT_S,MATCH(F90,BOOT_DATES,0)),""))</f>
        <v/>
      </c>
      <c r="H90" s="93">
        <f>IF(NOT(BOOT_MODE="Test 2"),"",IFERROR(IF(MATCH(F90,BOOT_DATES,0)&lt;=15,"short  DFspot/(1+S*tau)","annual (DFspot-S*A)/(1+S*tau)"),""))</f>
        <v/>
      </c>
      <c r="I90" s="171">
        <f>IF(NOT(BOOT_MODE="Test 2"),"",IFERROR(IF(MATCH(F90,BOOT_DATES,0)&lt;=15,INDEX(BOOT_TAU0,MATCH(F90,BOOT_DATES,0)),INDEX(BOOT_TAUC,MATCH(F90,BOOT_DATES,0))),""))</f>
        <v/>
      </c>
      <c r="J90" s="76">
        <f>IF(NOT(BOOT_MODE="Test 2"),"",IFERROR(IF(MATCH(F90,BOOT_DATES,0)&lt;=15,0,INDEX(BOOT_ANN,MATCH(F90,BOOT_DATES,0))),""))</f>
        <v/>
      </c>
      <c r="K90" s="76">
        <f>IF(OR(G90="",I90=""),"",BOOT_DFSPOT-(G90/100)*J90)</f>
        <v/>
      </c>
      <c r="L90" s="76">
        <f>IF(OR(G90="",I90=""),"",1+(G90/100)*I90)</f>
        <v/>
      </c>
      <c r="M90" s="169">
        <f>IF(NOT(BOOT_MODE="Test 2"),"",IFERROR(INDEX(BOOT_DF,MATCH(F90,BOOT_DATES,0)),""))</f>
        <v/>
      </c>
      <c r="N90" s="170">
        <f>IF(NOT(BOOT_MODE="Test 2"),"",IFERROR(INDEX(BOOT_T,MATCH(F90,BOOT_DATES,0)),""))</f>
        <v/>
      </c>
      <c r="O90" s="167">
        <f>IF(NOT(BOOT_MODE="Test 2"),"",IFERROR(INDEX(BOOT_ZERO,MATCH(F90,BOOT_DATES,0)),""))</f>
        <v/>
      </c>
      <c r="P90" s="172">
        <f>IF(OR(O90="",NOT(ISNUMBER(C90))),"",(O90-C90)*100)</f>
        <v/>
      </c>
      <c r="Q90" s="72">
        <f>IF(OR(M90="",NOT(ISNUMBER(D90))),"",M90-D90)</f>
        <v/>
      </c>
    </row>
    <row r="91">
      <c r="A91" s="68" t="n"/>
      <c r="B91" s="85" t="n"/>
      <c r="C91" s="85" t="n"/>
      <c r="D91" s="69" t="n"/>
      <c r="E91" s="112">
        <f>IF(OR(A91="",$D$56=""),"",IF(RIGHT(A91,1)="W",$D$56+7*VALUE(LEFT(A91,LEN(A91)-1)),IF(RIGHT(A91,1)="M",EDATE($D$56,VALUE(LEFT(A91,LEN(A91)-1))),EDATE($D$56,12*VALUE(LEFT(A91,LEN(A91)-1))))))</f>
        <v/>
      </c>
      <c r="F91" s="112">
        <f>IF(E91="","",IF(MONTH((E91+IF(WEEKDAY(E91,2)=6,2,IF(WEEKDAY(E91,2)=7,1,0))))&lt;&gt;MONTH(E91),(E91-IF(WEEKDAY(E91,2)=6,1,IF(WEEKDAY(E91,2)=7,2,0))),(E91+IF(WEEKDAY(E91,2)=6,2,IF(WEEKDAY(E91,2)=7,1,0)))))</f>
        <v/>
      </c>
      <c r="G91" s="167">
        <f>IF(NOT(BOOT_MODE="Test 2"),"",IFERROR(INDEX(BOOT_S,MATCH(F91,BOOT_DATES,0)),""))</f>
        <v/>
      </c>
      <c r="H91" s="93">
        <f>IF(NOT(BOOT_MODE="Test 2"),"",IFERROR(IF(MATCH(F91,BOOT_DATES,0)&lt;=15,"short  DFspot/(1+S*tau)","annual (DFspot-S*A)/(1+S*tau)"),""))</f>
        <v/>
      </c>
      <c r="I91" s="171">
        <f>IF(NOT(BOOT_MODE="Test 2"),"",IFERROR(IF(MATCH(F91,BOOT_DATES,0)&lt;=15,INDEX(BOOT_TAU0,MATCH(F91,BOOT_DATES,0)),INDEX(BOOT_TAUC,MATCH(F91,BOOT_DATES,0))),""))</f>
        <v/>
      </c>
      <c r="J91" s="76">
        <f>IF(NOT(BOOT_MODE="Test 2"),"",IFERROR(IF(MATCH(F91,BOOT_DATES,0)&lt;=15,0,INDEX(BOOT_ANN,MATCH(F91,BOOT_DATES,0))),""))</f>
        <v/>
      </c>
      <c r="K91" s="76">
        <f>IF(OR(G91="",I91=""),"",BOOT_DFSPOT-(G91/100)*J91)</f>
        <v/>
      </c>
      <c r="L91" s="76">
        <f>IF(OR(G91="",I91=""),"",1+(G91/100)*I91)</f>
        <v/>
      </c>
      <c r="M91" s="169">
        <f>IF(NOT(BOOT_MODE="Test 2"),"",IFERROR(INDEX(BOOT_DF,MATCH(F91,BOOT_DATES,0)),""))</f>
        <v/>
      </c>
      <c r="N91" s="170">
        <f>IF(NOT(BOOT_MODE="Test 2"),"",IFERROR(INDEX(BOOT_T,MATCH(F91,BOOT_DATES,0)),""))</f>
        <v/>
      </c>
      <c r="O91" s="167">
        <f>IF(NOT(BOOT_MODE="Test 2"),"",IFERROR(INDEX(BOOT_ZERO,MATCH(F91,BOOT_DATES,0)),""))</f>
        <v/>
      </c>
      <c r="P91" s="172">
        <f>IF(OR(O91="",NOT(ISNUMBER(C91))),"",(O91-C91)*100)</f>
        <v/>
      </c>
      <c r="Q91" s="72">
        <f>IF(OR(M91="",NOT(ISNUMBER(D91))),"",M91-D91)</f>
        <v/>
      </c>
    </row>
    <row r="92">
      <c r="A92" s="68" t="n"/>
      <c r="B92" s="85" t="n"/>
      <c r="C92" s="85" t="n"/>
      <c r="D92" s="69" t="n"/>
      <c r="E92" s="112">
        <f>IF(OR(A92="",$D$56=""),"",IF(RIGHT(A92,1)="W",$D$56+7*VALUE(LEFT(A92,LEN(A92)-1)),IF(RIGHT(A92,1)="M",EDATE($D$56,VALUE(LEFT(A92,LEN(A92)-1))),EDATE($D$56,12*VALUE(LEFT(A92,LEN(A92)-1))))))</f>
        <v/>
      </c>
      <c r="F92" s="112">
        <f>IF(E92="","",IF(MONTH((E92+IF(WEEKDAY(E92,2)=6,2,IF(WEEKDAY(E92,2)=7,1,0))))&lt;&gt;MONTH(E92),(E92-IF(WEEKDAY(E92,2)=6,1,IF(WEEKDAY(E92,2)=7,2,0))),(E92+IF(WEEKDAY(E92,2)=6,2,IF(WEEKDAY(E92,2)=7,1,0)))))</f>
        <v/>
      </c>
      <c r="G92" s="167">
        <f>IF(NOT(BOOT_MODE="Test 2"),"",IFERROR(INDEX(BOOT_S,MATCH(F92,BOOT_DATES,0)),""))</f>
        <v/>
      </c>
      <c r="H92" s="93">
        <f>IF(NOT(BOOT_MODE="Test 2"),"",IFERROR(IF(MATCH(F92,BOOT_DATES,0)&lt;=15,"short  DFspot/(1+S*tau)","annual (DFspot-S*A)/(1+S*tau)"),""))</f>
        <v/>
      </c>
      <c r="I92" s="171">
        <f>IF(NOT(BOOT_MODE="Test 2"),"",IFERROR(IF(MATCH(F92,BOOT_DATES,0)&lt;=15,INDEX(BOOT_TAU0,MATCH(F92,BOOT_DATES,0)),INDEX(BOOT_TAUC,MATCH(F92,BOOT_DATES,0))),""))</f>
        <v/>
      </c>
      <c r="J92" s="76">
        <f>IF(NOT(BOOT_MODE="Test 2"),"",IFERROR(IF(MATCH(F92,BOOT_DATES,0)&lt;=15,0,INDEX(BOOT_ANN,MATCH(F92,BOOT_DATES,0))),""))</f>
        <v/>
      </c>
      <c r="K92" s="76">
        <f>IF(OR(G92="",I92=""),"",BOOT_DFSPOT-(G92/100)*J92)</f>
        <v/>
      </c>
      <c r="L92" s="76">
        <f>IF(OR(G92="",I92=""),"",1+(G92/100)*I92)</f>
        <v/>
      </c>
      <c r="M92" s="169">
        <f>IF(NOT(BOOT_MODE="Test 2"),"",IFERROR(INDEX(BOOT_DF,MATCH(F92,BOOT_DATES,0)),""))</f>
        <v/>
      </c>
      <c r="N92" s="170">
        <f>IF(NOT(BOOT_MODE="Test 2"),"",IFERROR(INDEX(BOOT_T,MATCH(F92,BOOT_DATES,0)),""))</f>
        <v/>
      </c>
      <c r="O92" s="167">
        <f>IF(NOT(BOOT_MODE="Test 2"),"",IFERROR(INDEX(BOOT_ZERO,MATCH(F92,BOOT_DATES,0)),""))</f>
        <v/>
      </c>
      <c r="P92" s="172">
        <f>IF(OR(O92="",NOT(ISNUMBER(C92))),"",(O92-C92)*100)</f>
        <v/>
      </c>
      <c r="Q92" s="72">
        <f>IF(OR(M92="",NOT(ISNUMBER(D92))),"",M92-D92)</f>
        <v/>
      </c>
    </row>
    <row r="93">
      <c r="A93" s="68" t="n"/>
      <c r="B93" s="85" t="n"/>
      <c r="C93" s="85" t="n"/>
      <c r="D93" s="69" t="n"/>
      <c r="E93" s="112">
        <f>IF(OR(A93="",$D$56=""),"",IF(RIGHT(A93,1)="W",$D$56+7*VALUE(LEFT(A93,LEN(A93)-1)),IF(RIGHT(A93,1)="M",EDATE($D$56,VALUE(LEFT(A93,LEN(A93)-1))),EDATE($D$56,12*VALUE(LEFT(A93,LEN(A93)-1))))))</f>
        <v/>
      </c>
      <c r="F93" s="112">
        <f>IF(E93="","",IF(MONTH((E93+IF(WEEKDAY(E93,2)=6,2,IF(WEEKDAY(E93,2)=7,1,0))))&lt;&gt;MONTH(E93),(E93-IF(WEEKDAY(E93,2)=6,1,IF(WEEKDAY(E93,2)=7,2,0))),(E93+IF(WEEKDAY(E93,2)=6,2,IF(WEEKDAY(E93,2)=7,1,0)))))</f>
        <v/>
      </c>
      <c r="G93" s="167">
        <f>IF(NOT(BOOT_MODE="Test 2"),"",IFERROR(INDEX(BOOT_S,MATCH(F93,BOOT_DATES,0)),""))</f>
        <v/>
      </c>
      <c r="H93" s="93">
        <f>IF(NOT(BOOT_MODE="Test 2"),"",IFERROR(IF(MATCH(F93,BOOT_DATES,0)&lt;=15,"short  DFspot/(1+S*tau)","annual (DFspot-S*A)/(1+S*tau)"),""))</f>
        <v/>
      </c>
      <c r="I93" s="171">
        <f>IF(NOT(BOOT_MODE="Test 2"),"",IFERROR(IF(MATCH(F93,BOOT_DATES,0)&lt;=15,INDEX(BOOT_TAU0,MATCH(F93,BOOT_DATES,0)),INDEX(BOOT_TAUC,MATCH(F93,BOOT_DATES,0))),""))</f>
        <v/>
      </c>
      <c r="J93" s="76">
        <f>IF(NOT(BOOT_MODE="Test 2"),"",IFERROR(IF(MATCH(F93,BOOT_DATES,0)&lt;=15,0,INDEX(BOOT_ANN,MATCH(F93,BOOT_DATES,0))),""))</f>
        <v/>
      </c>
      <c r="K93" s="76">
        <f>IF(OR(G93="",I93=""),"",BOOT_DFSPOT-(G93/100)*J93)</f>
        <v/>
      </c>
      <c r="L93" s="76">
        <f>IF(OR(G93="",I93=""),"",1+(G93/100)*I93)</f>
        <v/>
      </c>
      <c r="M93" s="169">
        <f>IF(NOT(BOOT_MODE="Test 2"),"",IFERROR(INDEX(BOOT_DF,MATCH(F93,BOOT_DATES,0)),""))</f>
        <v/>
      </c>
      <c r="N93" s="170">
        <f>IF(NOT(BOOT_MODE="Test 2"),"",IFERROR(INDEX(BOOT_T,MATCH(F93,BOOT_DATES,0)),""))</f>
        <v/>
      </c>
      <c r="O93" s="167">
        <f>IF(NOT(BOOT_MODE="Test 2"),"",IFERROR(INDEX(BOOT_ZERO,MATCH(F93,BOOT_DATES,0)),""))</f>
        <v/>
      </c>
      <c r="P93" s="172">
        <f>IF(OR(O93="",NOT(ISNUMBER(C93))),"",(O93-C93)*100)</f>
        <v/>
      </c>
      <c r="Q93" s="72">
        <f>IF(OR(M93="",NOT(ISNUMBER(D93))),"",M93-D93)</f>
        <v/>
      </c>
    </row>
    <row r="94">
      <c r="A94" s="68" t="n"/>
      <c r="B94" s="85" t="n"/>
      <c r="C94" s="85" t="n"/>
      <c r="D94" s="69" t="n"/>
      <c r="E94" s="112">
        <f>IF(OR(A94="",$D$56=""),"",IF(RIGHT(A94,1)="W",$D$56+7*VALUE(LEFT(A94,LEN(A94)-1)),IF(RIGHT(A94,1)="M",EDATE($D$56,VALUE(LEFT(A94,LEN(A94)-1))),EDATE($D$56,12*VALUE(LEFT(A94,LEN(A94)-1))))))</f>
        <v/>
      </c>
      <c r="F94" s="112">
        <f>IF(E94="","",IF(MONTH((E94+IF(WEEKDAY(E94,2)=6,2,IF(WEEKDAY(E94,2)=7,1,0))))&lt;&gt;MONTH(E94),(E94-IF(WEEKDAY(E94,2)=6,1,IF(WEEKDAY(E94,2)=7,2,0))),(E94+IF(WEEKDAY(E94,2)=6,2,IF(WEEKDAY(E94,2)=7,1,0)))))</f>
        <v/>
      </c>
      <c r="G94" s="167">
        <f>IF(NOT(BOOT_MODE="Test 2"),"",IFERROR(INDEX(BOOT_S,MATCH(F94,BOOT_DATES,0)),""))</f>
        <v/>
      </c>
      <c r="H94" s="93">
        <f>IF(NOT(BOOT_MODE="Test 2"),"",IFERROR(IF(MATCH(F94,BOOT_DATES,0)&lt;=15,"short  DFspot/(1+S*tau)","annual (DFspot-S*A)/(1+S*tau)"),""))</f>
        <v/>
      </c>
      <c r="I94" s="171">
        <f>IF(NOT(BOOT_MODE="Test 2"),"",IFERROR(IF(MATCH(F94,BOOT_DATES,0)&lt;=15,INDEX(BOOT_TAU0,MATCH(F94,BOOT_DATES,0)),INDEX(BOOT_TAUC,MATCH(F94,BOOT_DATES,0))),""))</f>
        <v/>
      </c>
      <c r="J94" s="76">
        <f>IF(NOT(BOOT_MODE="Test 2"),"",IFERROR(IF(MATCH(F94,BOOT_DATES,0)&lt;=15,0,INDEX(BOOT_ANN,MATCH(F94,BOOT_DATES,0))),""))</f>
        <v/>
      </c>
      <c r="K94" s="76">
        <f>IF(OR(G94="",I94=""),"",BOOT_DFSPOT-(G94/100)*J94)</f>
        <v/>
      </c>
      <c r="L94" s="76">
        <f>IF(OR(G94="",I94=""),"",1+(G94/100)*I94)</f>
        <v/>
      </c>
      <c r="M94" s="169">
        <f>IF(NOT(BOOT_MODE="Test 2"),"",IFERROR(INDEX(BOOT_DF,MATCH(F94,BOOT_DATES,0)),""))</f>
        <v/>
      </c>
      <c r="N94" s="170">
        <f>IF(NOT(BOOT_MODE="Test 2"),"",IFERROR(INDEX(BOOT_T,MATCH(F94,BOOT_DATES,0)),""))</f>
        <v/>
      </c>
      <c r="O94" s="167">
        <f>IF(NOT(BOOT_MODE="Test 2"),"",IFERROR(INDEX(BOOT_ZERO,MATCH(F94,BOOT_DATES,0)),""))</f>
        <v/>
      </c>
      <c r="P94" s="172">
        <f>IF(OR(O94="",NOT(ISNUMBER(C94))),"",(O94-C94)*100)</f>
        <v/>
      </c>
      <c r="Q94" s="72">
        <f>IF(OR(M94="",NOT(ISNUMBER(D94))),"",M94-D94)</f>
        <v/>
      </c>
    </row>
    <row r="95">
      <c r="A95" s="68" t="n"/>
      <c r="B95" s="85" t="n"/>
      <c r="C95" s="85" t="n"/>
      <c r="D95" s="69" t="n"/>
      <c r="E95" s="112">
        <f>IF(OR(A95="",$D$56=""),"",IF(RIGHT(A95,1)="W",$D$56+7*VALUE(LEFT(A95,LEN(A95)-1)),IF(RIGHT(A95,1)="M",EDATE($D$56,VALUE(LEFT(A95,LEN(A95)-1))),EDATE($D$56,12*VALUE(LEFT(A95,LEN(A95)-1))))))</f>
        <v/>
      </c>
      <c r="F95" s="112">
        <f>IF(E95="","",IF(MONTH((E95+IF(WEEKDAY(E95,2)=6,2,IF(WEEKDAY(E95,2)=7,1,0))))&lt;&gt;MONTH(E95),(E95-IF(WEEKDAY(E95,2)=6,1,IF(WEEKDAY(E95,2)=7,2,0))),(E95+IF(WEEKDAY(E95,2)=6,2,IF(WEEKDAY(E95,2)=7,1,0)))))</f>
        <v/>
      </c>
      <c r="G95" s="167">
        <f>IF(NOT(BOOT_MODE="Test 2"),"",IFERROR(INDEX(BOOT_S,MATCH(F95,BOOT_DATES,0)),""))</f>
        <v/>
      </c>
      <c r="H95" s="93">
        <f>IF(NOT(BOOT_MODE="Test 2"),"",IFERROR(IF(MATCH(F95,BOOT_DATES,0)&lt;=15,"short  DFspot/(1+S*tau)","annual (DFspot-S*A)/(1+S*tau)"),""))</f>
        <v/>
      </c>
      <c r="I95" s="171">
        <f>IF(NOT(BOOT_MODE="Test 2"),"",IFERROR(IF(MATCH(F95,BOOT_DATES,0)&lt;=15,INDEX(BOOT_TAU0,MATCH(F95,BOOT_DATES,0)),INDEX(BOOT_TAUC,MATCH(F95,BOOT_DATES,0))),""))</f>
        <v/>
      </c>
      <c r="J95" s="76">
        <f>IF(NOT(BOOT_MODE="Test 2"),"",IFERROR(IF(MATCH(F95,BOOT_DATES,0)&lt;=15,0,INDEX(BOOT_ANN,MATCH(F95,BOOT_DATES,0))),""))</f>
        <v/>
      </c>
      <c r="K95" s="76">
        <f>IF(OR(G95="",I95=""),"",BOOT_DFSPOT-(G95/100)*J95)</f>
        <v/>
      </c>
      <c r="L95" s="76">
        <f>IF(OR(G95="",I95=""),"",1+(G95/100)*I95)</f>
        <v/>
      </c>
      <c r="M95" s="169">
        <f>IF(NOT(BOOT_MODE="Test 2"),"",IFERROR(INDEX(BOOT_DF,MATCH(F95,BOOT_DATES,0)),""))</f>
        <v/>
      </c>
      <c r="N95" s="170">
        <f>IF(NOT(BOOT_MODE="Test 2"),"",IFERROR(INDEX(BOOT_T,MATCH(F95,BOOT_DATES,0)),""))</f>
        <v/>
      </c>
      <c r="O95" s="167">
        <f>IF(NOT(BOOT_MODE="Test 2"),"",IFERROR(INDEX(BOOT_ZERO,MATCH(F95,BOOT_DATES,0)),""))</f>
        <v/>
      </c>
      <c r="P95" s="172">
        <f>IF(OR(O95="",NOT(ISNUMBER(C95))),"",(O95-C95)*100)</f>
        <v/>
      </c>
      <c r="Q95" s="72">
        <f>IF(OR(M95="",NOT(ISNUMBER(D95))),"",M95-D95)</f>
        <v/>
      </c>
    </row>
    <row r="96">
      <c r="A96" s="68" t="n"/>
      <c r="B96" s="85" t="n"/>
      <c r="C96" s="85" t="n"/>
      <c r="D96" s="69" t="n"/>
      <c r="E96" s="112">
        <f>IF(OR(A96="",$D$56=""),"",IF(RIGHT(A96,1)="W",$D$56+7*VALUE(LEFT(A96,LEN(A96)-1)),IF(RIGHT(A96,1)="M",EDATE($D$56,VALUE(LEFT(A96,LEN(A96)-1))),EDATE($D$56,12*VALUE(LEFT(A96,LEN(A96)-1))))))</f>
        <v/>
      </c>
      <c r="F96" s="112">
        <f>IF(E96="","",IF(MONTH((E96+IF(WEEKDAY(E96,2)=6,2,IF(WEEKDAY(E96,2)=7,1,0))))&lt;&gt;MONTH(E96),(E96-IF(WEEKDAY(E96,2)=6,1,IF(WEEKDAY(E96,2)=7,2,0))),(E96+IF(WEEKDAY(E96,2)=6,2,IF(WEEKDAY(E96,2)=7,1,0)))))</f>
        <v/>
      </c>
      <c r="G96" s="167">
        <f>IF(NOT(BOOT_MODE="Test 2"),"",IFERROR(INDEX(BOOT_S,MATCH(F96,BOOT_DATES,0)),""))</f>
        <v/>
      </c>
      <c r="H96" s="93">
        <f>IF(NOT(BOOT_MODE="Test 2"),"",IFERROR(IF(MATCH(F96,BOOT_DATES,0)&lt;=15,"short  DFspot/(1+S*tau)","annual (DFspot-S*A)/(1+S*tau)"),""))</f>
        <v/>
      </c>
      <c r="I96" s="171">
        <f>IF(NOT(BOOT_MODE="Test 2"),"",IFERROR(IF(MATCH(F96,BOOT_DATES,0)&lt;=15,INDEX(BOOT_TAU0,MATCH(F96,BOOT_DATES,0)),INDEX(BOOT_TAUC,MATCH(F96,BOOT_DATES,0))),""))</f>
        <v/>
      </c>
      <c r="J96" s="76">
        <f>IF(NOT(BOOT_MODE="Test 2"),"",IFERROR(IF(MATCH(F96,BOOT_DATES,0)&lt;=15,0,INDEX(BOOT_ANN,MATCH(F96,BOOT_DATES,0))),""))</f>
        <v/>
      </c>
      <c r="K96" s="76">
        <f>IF(OR(G96="",I96=""),"",BOOT_DFSPOT-(G96/100)*J96)</f>
        <v/>
      </c>
      <c r="L96" s="76">
        <f>IF(OR(G96="",I96=""),"",1+(G96/100)*I96)</f>
        <v/>
      </c>
      <c r="M96" s="169">
        <f>IF(NOT(BOOT_MODE="Test 2"),"",IFERROR(INDEX(BOOT_DF,MATCH(F96,BOOT_DATES,0)),""))</f>
        <v/>
      </c>
      <c r="N96" s="170">
        <f>IF(NOT(BOOT_MODE="Test 2"),"",IFERROR(INDEX(BOOT_T,MATCH(F96,BOOT_DATES,0)),""))</f>
        <v/>
      </c>
      <c r="O96" s="167">
        <f>IF(NOT(BOOT_MODE="Test 2"),"",IFERROR(INDEX(BOOT_ZERO,MATCH(F96,BOOT_DATES,0)),""))</f>
        <v/>
      </c>
      <c r="P96" s="172">
        <f>IF(OR(O96="",NOT(ISNUMBER(C96))),"",(O96-C96)*100)</f>
        <v/>
      </c>
      <c r="Q96" s="72">
        <f>IF(OR(M96="",NOT(ISNUMBER(D96))),"",M96-D96)</f>
        <v/>
      </c>
    </row>
    <row r="97">
      <c r="A97" s="68" t="n"/>
      <c r="B97" s="85" t="n"/>
      <c r="C97" s="85" t="n"/>
      <c r="D97" s="69" t="n"/>
      <c r="E97" s="112">
        <f>IF(OR(A97="",$D$56=""),"",IF(RIGHT(A97,1)="W",$D$56+7*VALUE(LEFT(A97,LEN(A97)-1)),IF(RIGHT(A97,1)="M",EDATE($D$56,VALUE(LEFT(A97,LEN(A97)-1))),EDATE($D$56,12*VALUE(LEFT(A97,LEN(A97)-1))))))</f>
        <v/>
      </c>
      <c r="F97" s="112">
        <f>IF(E97="","",IF(MONTH((E97+IF(WEEKDAY(E97,2)=6,2,IF(WEEKDAY(E97,2)=7,1,0))))&lt;&gt;MONTH(E97),(E97-IF(WEEKDAY(E97,2)=6,1,IF(WEEKDAY(E97,2)=7,2,0))),(E97+IF(WEEKDAY(E97,2)=6,2,IF(WEEKDAY(E97,2)=7,1,0)))))</f>
        <v/>
      </c>
      <c r="G97" s="167">
        <f>IF(NOT(BOOT_MODE="Test 2"),"",IFERROR(INDEX(BOOT_S,MATCH(F97,BOOT_DATES,0)),""))</f>
        <v/>
      </c>
      <c r="H97" s="93">
        <f>IF(NOT(BOOT_MODE="Test 2"),"",IFERROR(IF(MATCH(F97,BOOT_DATES,0)&lt;=15,"short  DFspot/(1+S*tau)","annual (DFspot-S*A)/(1+S*tau)"),""))</f>
        <v/>
      </c>
      <c r="I97" s="171">
        <f>IF(NOT(BOOT_MODE="Test 2"),"",IFERROR(IF(MATCH(F97,BOOT_DATES,0)&lt;=15,INDEX(BOOT_TAU0,MATCH(F97,BOOT_DATES,0)),INDEX(BOOT_TAUC,MATCH(F97,BOOT_DATES,0))),""))</f>
        <v/>
      </c>
      <c r="J97" s="76">
        <f>IF(NOT(BOOT_MODE="Test 2"),"",IFERROR(IF(MATCH(F97,BOOT_DATES,0)&lt;=15,0,INDEX(BOOT_ANN,MATCH(F97,BOOT_DATES,0))),""))</f>
        <v/>
      </c>
      <c r="K97" s="76">
        <f>IF(OR(G97="",I97=""),"",BOOT_DFSPOT-(G97/100)*J97)</f>
        <v/>
      </c>
      <c r="L97" s="76">
        <f>IF(OR(G97="",I97=""),"",1+(G97/100)*I97)</f>
        <v/>
      </c>
      <c r="M97" s="169">
        <f>IF(NOT(BOOT_MODE="Test 2"),"",IFERROR(INDEX(BOOT_DF,MATCH(F97,BOOT_DATES,0)),""))</f>
        <v/>
      </c>
      <c r="N97" s="170">
        <f>IF(NOT(BOOT_MODE="Test 2"),"",IFERROR(INDEX(BOOT_T,MATCH(F97,BOOT_DATES,0)),""))</f>
        <v/>
      </c>
      <c r="O97" s="167">
        <f>IF(NOT(BOOT_MODE="Test 2"),"",IFERROR(INDEX(BOOT_ZERO,MATCH(F97,BOOT_DATES,0)),""))</f>
        <v/>
      </c>
      <c r="P97" s="172">
        <f>IF(OR(O97="",NOT(ISNUMBER(C97))),"",(O97-C97)*100)</f>
        <v/>
      </c>
      <c r="Q97" s="72">
        <f>IF(OR(M97="",NOT(ISNUMBER(D97))),"",M97-D97)</f>
        <v/>
      </c>
    </row>
    <row r="98">
      <c r="A98" s="67" t="inlineStr">
        <is>
          <t>pillars pasted</t>
        </is>
      </c>
      <c r="C98" s="130">
        <f>COUNTA(A58:A97)</f>
        <v/>
      </c>
      <c r="D98" s="67" t="inlineStr">
        <is>
          <t>matched</t>
        </is>
      </c>
      <c r="F98" s="87">
        <f>IF(NOT(BOOT_MODE="Test 2"),"not active",COUNT(O58:O97))</f>
        <v/>
      </c>
      <c r="G98" s="67" t="inlineStr">
        <is>
          <t>max |d zero| bp</t>
        </is>
      </c>
      <c r="I98" s="90">
        <f>IF(NOT(BOOT_MODE="Test 2"),"",IF(COUNT(P58:P97)=0,"",MAX(MAX(P58:P97),-MIN(P58:P97))))</f>
        <v/>
      </c>
      <c r="J98" s="67" t="inlineStr">
        <is>
          <t>max |d DF|</t>
        </is>
      </c>
      <c r="L98" s="91">
        <f>IF(NOT(BOOT_MODE="Test 2"),"",IF(COUNT(Q58:Q97)=0,"",MAX(MAX(Q58:Q97),-MIN(Q58:Q97))))</f>
        <v/>
      </c>
      <c r="M98" s="66">
        <f>IF(AND(BOOT_MODE="Test 2",C98&gt;0,F98&lt;C98),"CHECK: matched &lt; pasted, dates are not hitting Bootstrap!B — check the curve date","")</f>
        <v/>
      </c>
      <c r="N98" s="67" t="n"/>
      <c r="O98" s="93" t="n"/>
    </row>
    <row r="105">
      <c r="A105" s="123" t="inlineStr">
        <is>
          <t>CURVE TEST CASE 3</t>
        </is>
      </c>
      <c r="C105" s="65" t="inlineStr">
        <is>
          <t>curve date -&gt;</t>
        </is>
      </c>
      <c r="D105" s="111" t="n"/>
      <c r="E105" s="65" t="inlineStr">
        <is>
          <t>name / time -&gt;</t>
        </is>
      </c>
      <c r="F105" s="68" t="n"/>
      <c r="N105" s="66">
        <f>IF(NOT(BOOT_MODE="Test 3"),"",IF($D$105="","set the curve date",IF($D$105&lt;&gt;VAL_DATE,"curve date not driving VAL_DATE","VAL_DATE follows this case")))</f>
        <v/>
      </c>
    </row>
    <row r="106">
      <c r="C106" s="65" t="inlineStr">
        <is>
          <t>spot (T+2bd) -&gt;</t>
        </is>
      </c>
      <c r="D106" s="128">
        <f>IF($D$105="","",$D$105+2+IF(WEEKDAY($D$105,2)&gt;=4,2,0))</f>
        <v/>
      </c>
      <c r="F106" s="67">
        <f>IF(BOOT_MODE="Test 3","ACTIVE — model columns live","not active")</f>
        <v/>
      </c>
    </row>
    <row r="107" ht="30" customHeight="1">
      <c r="A107" s="146" t="inlineStr">
        <is>
          <t>Tenor</t>
        </is>
      </c>
      <c r="B107" s="146" t="inlineStr">
        <is>
          <t>Swap rate (mid)</t>
        </is>
      </c>
      <c r="C107" s="146" t="inlineStr">
        <is>
          <t>BBG zero %</t>
        </is>
      </c>
      <c r="D107" s="146" t="inlineStr">
        <is>
          <t>BBG discount</t>
        </is>
      </c>
      <c r="E107" s="146" t="inlineStr">
        <is>
          <t>raw date</t>
        </is>
      </c>
      <c r="F107" s="146" t="inlineStr">
        <is>
          <t>Date</t>
        </is>
      </c>
      <c r="G107" s="146" t="inlineStr">
        <is>
          <t>S used %</t>
        </is>
      </c>
      <c r="H107" s="146" t="inlineStr">
        <is>
          <t>Rule</t>
        </is>
      </c>
      <c r="I107" s="146" t="inlineStr">
        <is>
          <t>tau</t>
        </is>
      </c>
      <c r="J107" s="146" t="inlineStr">
        <is>
          <t>A(prior)</t>
        </is>
      </c>
      <c r="K107" s="146" t="inlineStr">
        <is>
          <t>numerator</t>
        </is>
      </c>
      <c r="L107" s="146" t="inlineStr">
        <is>
          <t>denominator</t>
        </is>
      </c>
      <c r="M107" s="146" t="inlineStr">
        <is>
          <t>our DF</t>
        </is>
      </c>
      <c r="N107" s="146" t="inlineStr">
        <is>
          <t>t ACT/365</t>
        </is>
      </c>
      <c r="O107" s="146" t="inlineStr">
        <is>
          <t>our zero %</t>
        </is>
      </c>
      <c r="P107" s="146" t="inlineStr">
        <is>
          <t>d zero bp</t>
        </is>
      </c>
      <c r="Q107" s="146" t="inlineStr">
        <is>
          <t>d DF</t>
        </is>
      </c>
    </row>
    <row r="108">
      <c r="A108" s="68" t="n"/>
      <c r="B108" s="85" t="n"/>
      <c r="C108" s="85" t="n"/>
      <c r="D108" s="69" t="n"/>
      <c r="E108" s="112">
        <f>IF(OR(A108="",$D$106=""),"",IF(RIGHT(A108,1)="W",$D$106+7*VALUE(LEFT(A108,LEN(A108)-1)),IF(RIGHT(A108,1)="M",EDATE($D$106,VALUE(LEFT(A108,LEN(A108)-1))),EDATE($D$106,12*VALUE(LEFT(A108,LEN(A108)-1))))))</f>
        <v/>
      </c>
      <c r="F108" s="112">
        <f>IF(E108="","",IF(MONTH((E108+IF(WEEKDAY(E108,2)=6,2,IF(WEEKDAY(E108,2)=7,1,0))))&lt;&gt;MONTH(E108),(E108-IF(WEEKDAY(E108,2)=6,1,IF(WEEKDAY(E108,2)=7,2,0))),(E108+IF(WEEKDAY(E108,2)=6,2,IF(WEEKDAY(E108,2)=7,1,0)))))</f>
        <v/>
      </c>
      <c r="G108" s="84">
        <f>IF(NOT(BOOT_MODE="Test 3"),"",IFERROR(INDEX(BOOT_S,MATCH(F108,BOOT_DATES,0)),""))</f>
        <v/>
      </c>
      <c r="H108" s="160">
        <f>IF(NOT(BOOT_MODE="Test 3"),"",IFERROR(IF(MATCH(F108,BOOT_DATES,0)&lt;=15,"short  DFspot/(1+S*tau)","annual (DFspot-S*A)/(1+S*tau)"),""))</f>
        <v/>
      </c>
      <c r="I108" s="80">
        <f>IF(NOT(BOOT_MODE="Test 3"),"",IFERROR(IF(MATCH(F108,BOOT_DATES,0)&lt;=15,INDEX(BOOT_TAU0,MATCH(F108,BOOT_DATES,0)),INDEX(BOOT_TAUC,MATCH(F108,BOOT_DATES,0))),""))</f>
        <v/>
      </c>
      <c r="J108" s="76">
        <f>IF(NOT(BOOT_MODE="Test 3"),"",IFERROR(IF(MATCH(F108,BOOT_DATES,0)&lt;=15,0,INDEX(BOOT_ANN,MATCH(F108,BOOT_DATES,0))),""))</f>
        <v/>
      </c>
      <c r="K108" s="76">
        <f>IF(OR(G108="",I108=""),"",BOOT_DFSPOT-(G108/100)*J108)</f>
        <v/>
      </c>
      <c r="L108" s="76">
        <f>IF(OR(G108="",I108=""),"",1+(G108/100)*I108)</f>
        <v/>
      </c>
      <c r="M108" s="76">
        <f>IF(NOT(BOOT_MODE="Test 3"),"",IFERROR(INDEX(BOOT_DF,MATCH(F108,BOOT_DATES,0)),""))</f>
        <v/>
      </c>
      <c r="N108" s="80">
        <f>IF(NOT(BOOT_MODE="Test 3"),"",IFERROR(INDEX(BOOT_T,MATCH(F108,BOOT_DATES,0)),""))</f>
        <v/>
      </c>
      <c r="O108" s="84">
        <f>IF(NOT(BOOT_MODE="Test 3"),"",IFERROR(INDEX(BOOT_ZERO,MATCH(F108,BOOT_DATES,0)),""))</f>
        <v/>
      </c>
      <c r="P108" s="89">
        <f>IF(OR(O108="",NOT(ISNUMBER(C108))),"",(O108-C108)*100)</f>
        <v/>
      </c>
      <c r="Q108" s="72">
        <f>IF(OR(M108="",NOT(ISNUMBER(D108))),"",M108-D108)</f>
        <v/>
      </c>
    </row>
    <row r="109">
      <c r="A109" s="68" t="n"/>
      <c r="B109" s="85" t="n"/>
      <c r="C109" s="85" t="n"/>
      <c r="D109" s="69" t="n"/>
      <c r="E109" s="112">
        <f>IF(OR(A109="",$D$106=""),"",IF(RIGHT(A109,1)="W",$D$106+7*VALUE(LEFT(A109,LEN(A109)-1)),IF(RIGHT(A109,1)="M",EDATE($D$106,VALUE(LEFT(A109,LEN(A109)-1))),EDATE($D$106,12*VALUE(LEFT(A109,LEN(A109)-1))))))</f>
        <v/>
      </c>
      <c r="F109" s="112">
        <f>IF(E109="","",IF(MONTH((E109+IF(WEEKDAY(E109,2)=6,2,IF(WEEKDAY(E109,2)=7,1,0))))&lt;&gt;MONTH(E109),(E109-IF(WEEKDAY(E109,2)=6,1,IF(WEEKDAY(E109,2)=7,2,0))),(E109+IF(WEEKDAY(E109,2)=6,2,IF(WEEKDAY(E109,2)=7,1,0)))))</f>
        <v/>
      </c>
      <c r="G109" s="84">
        <f>IF(NOT(BOOT_MODE="Test 3"),"",IFERROR(INDEX(BOOT_S,MATCH(F109,BOOT_DATES,0)),""))</f>
        <v/>
      </c>
      <c r="H109" s="160">
        <f>IF(NOT(BOOT_MODE="Test 3"),"",IFERROR(IF(MATCH(F109,BOOT_DATES,0)&lt;=15,"short  DFspot/(1+S*tau)","annual (DFspot-S*A)/(1+S*tau)"),""))</f>
        <v/>
      </c>
      <c r="I109" s="80">
        <f>IF(NOT(BOOT_MODE="Test 3"),"",IFERROR(IF(MATCH(F109,BOOT_DATES,0)&lt;=15,INDEX(BOOT_TAU0,MATCH(F109,BOOT_DATES,0)),INDEX(BOOT_TAUC,MATCH(F109,BOOT_DATES,0))),""))</f>
        <v/>
      </c>
      <c r="J109" s="76">
        <f>IF(NOT(BOOT_MODE="Test 3"),"",IFERROR(IF(MATCH(F109,BOOT_DATES,0)&lt;=15,0,INDEX(BOOT_ANN,MATCH(F109,BOOT_DATES,0))),""))</f>
        <v/>
      </c>
      <c r="K109" s="76">
        <f>IF(OR(G109="",I109=""),"",BOOT_DFSPOT-(G109/100)*J109)</f>
        <v/>
      </c>
      <c r="L109" s="76">
        <f>IF(OR(G109="",I109=""),"",1+(G109/100)*I109)</f>
        <v/>
      </c>
      <c r="M109" s="76">
        <f>IF(NOT(BOOT_MODE="Test 3"),"",IFERROR(INDEX(BOOT_DF,MATCH(F109,BOOT_DATES,0)),""))</f>
        <v/>
      </c>
      <c r="N109" s="80">
        <f>IF(NOT(BOOT_MODE="Test 3"),"",IFERROR(INDEX(BOOT_T,MATCH(F109,BOOT_DATES,0)),""))</f>
        <v/>
      </c>
      <c r="O109" s="84">
        <f>IF(NOT(BOOT_MODE="Test 3"),"",IFERROR(INDEX(BOOT_ZERO,MATCH(F109,BOOT_DATES,0)),""))</f>
        <v/>
      </c>
      <c r="P109" s="89">
        <f>IF(OR(O109="",NOT(ISNUMBER(C109))),"",(O109-C109)*100)</f>
        <v/>
      </c>
      <c r="Q109" s="72">
        <f>IF(OR(M109="",NOT(ISNUMBER(D109))),"",M109-D109)</f>
        <v/>
      </c>
    </row>
    <row r="110">
      <c r="A110" s="68" t="n"/>
      <c r="B110" s="85" t="n"/>
      <c r="C110" s="85" t="n"/>
      <c r="D110" s="69" t="n"/>
      <c r="E110" s="112">
        <f>IF(OR(A110="",$D$106=""),"",IF(RIGHT(A110,1)="W",$D$106+7*VALUE(LEFT(A110,LEN(A110)-1)),IF(RIGHT(A110,1)="M",EDATE($D$106,VALUE(LEFT(A110,LEN(A110)-1))),EDATE($D$106,12*VALUE(LEFT(A110,LEN(A110)-1))))))</f>
        <v/>
      </c>
      <c r="F110" s="112">
        <f>IF(E110="","",IF(MONTH((E110+IF(WEEKDAY(E110,2)=6,2,IF(WEEKDAY(E110,2)=7,1,0))))&lt;&gt;MONTH(E110),(E110-IF(WEEKDAY(E110,2)=6,1,IF(WEEKDAY(E110,2)=7,2,0))),(E110+IF(WEEKDAY(E110,2)=6,2,IF(WEEKDAY(E110,2)=7,1,0)))))</f>
        <v/>
      </c>
      <c r="G110" s="84">
        <f>IF(NOT(BOOT_MODE="Test 3"),"",IFERROR(INDEX(BOOT_S,MATCH(F110,BOOT_DATES,0)),""))</f>
        <v/>
      </c>
      <c r="H110" s="160">
        <f>IF(NOT(BOOT_MODE="Test 3"),"",IFERROR(IF(MATCH(F110,BOOT_DATES,0)&lt;=15,"short  DFspot/(1+S*tau)","annual (DFspot-S*A)/(1+S*tau)"),""))</f>
        <v/>
      </c>
      <c r="I110" s="80">
        <f>IF(NOT(BOOT_MODE="Test 3"),"",IFERROR(IF(MATCH(F110,BOOT_DATES,0)&lt;=15,INDEX(BOOT_TAU0,MATCH(F110,BOOT_DATES,0)),INDEX(BOOT_TAUC,MATCH(F110,BOOT_DATES,0))),""))</f>
        <v/>
      </c>
      <c r="J110" s="76">
        <f>IF(NOT(BOOT_MODE="Test 3"),"",IFERROR(IF(MATCH(F110,BOOT_DATES,0)&lt;=15,0,INDEX(BOOT_ANN,MATCH(F110,BOOT_DATES,0))),""))</f>
        <v/>
      </c>
      <c r="K110" s="76">
        <f>IF(OR(G110="",I110=""),"",BOOT_DFSPOT-(G110/100)*J110)</f>
        <v/>
      </c>
      <c r="L110" s="76">
        <f>IF(OR(G110="",I110=""),"",1+(G110/100)*I110)</f>
        <v/>
      </c>
      <c r="M110" s="76">
        <f>IF(NOT(BOOT_MODE="Test 3"),"",IFERROR(INDEX(BOOT_DF,MATCH(F110,BOOT_DATES,0)),""))</f>
        <v/>
      </c>
      <c r="N110" s="80">
        <f>IF(NOT(BOOT_MODE="Test 3"),"",IFERROR(INDEX(BOOT_T,MATCH(F110,BOOT_DATES,0)),""))</f>
        <v/>
      </c>
      <c r="O110" s="84">
        <f>IF(NOT(BOOT_MODE="Test 3"),"",IFERROR(INDEX(BOOT_ZERO,MATCH(F110,BOOT_DATES,0)),""))</f>
        <v/>
      </c>
      <c r="P110" s="89">
        <f>IF(OR(O110="",NOT(ISNUMBER(C110))),"",(O110-C110)*100)</f>
        <v/>
      </c>
      <c r="Q110" s="72">
        <f>IF(OR(M110="",NOT(ISNUMBER(D110))),"",M110-D110)</f>
        <v/>
      </c>
    </row>
    <row r="111">
      <c r="A111" s="68" t="n"/>
      <c r="B111" s="85" t="n"/>
      <c r="C111" s="85" t="n"/>
      <c r="D111" s="69" t="n"/>
      <c r="E111" s="112">
        <f>IF(OR(A111="",$D$106=""),"",IF(RIGHT(A111,1)="W",$D$106+7*VALUE(LEFT(A111,LEN(A111)-1)),IF(RIGHT(A111,1)="M",EDATE($D$106,VALUE(LEFT(A111,LEN(A111)-1))),EDATE($D$106,12*VALUE(LEFT(A111,LEN(A111)-1))))))</f>
        <v/>
      </c>
      <c r="F111" s="112">
        <f>IF(E111="","",IF(MONTH((E111+IF(WEEKDAY(E111,2)=6,2,IF(WEEKDAY(E111,2)=7,1,0))))&lt;&gt;MONTH(E111),(E111-IF(WEEKDAY(E111,2)=6,1,IF(WEEKDAY(E111,2)=7,2,0))),(E111+IF(WEEKDAY(E111,2)=6,2,IF(WEEKDAY(E111,2)=7,1,0)))))</f>
        <v/>
      </c>
      <c r="G111" s="84">
        <f>IF(NOT(BOOT_MODE="Test 3"),"",IFERROR(INDEX(BOOT_S,MATCH(F111,BOOT_DATES,0)),""))</f>
        <v/>
      </c>
      <c r="H111" s="160">
        <f>IF(NOT(BOOT_MODE="Test 3"),"",IFERROR(IF(MATCH(F111,BOOT_DATES,0)&lt;=15,"short  DFspot/(1+S*tau)","annual (DFspot-S*A)/(1+S*tau)"),""))</f>
        <v/>
      </c>
      <c r="I111" s="80">
        <f>IF(NOT(BOOT_MODE="Test 3"),"",IFERROR(IF(MATCH(F111,BOOT_DATES,0)&lt;=15,INDEX(BOOT_TAU0,MATCH(F111,BOOT_DATES,0)),INDEX(BOOT_TAUC,MATCH(F111,BOOT_DATES,0))),""))</f>
        <v/>
      </c>
      <c r="J111" s="76">
        <f>IF(NOT(BOOT_MODE="Test 3"),"",IFERROR(IF(MATCH(F111,BOOT_DATES,0)&lt;=15,0,INDEX(BOOT_ANN,MATCH(F111,BOOT_DATES,0))),""))</f>
        <v/>
      </c>
      <c r="K111" s="76">
        <f>IF(OR(G111="",I111=""),"",BOOT_DFSPOT-(G111/100)*J111)</f>
        <v/>
      </c>
      <c r="L111" s="76">
        <f>IF(OR(G111="",I111=""),"",1+(G111/100)*I111)</f>
        <v/>
      </c>
      <c r="M111" s="76">
        <f>IF(NOT(BOOT_MODE="Test 3"),"",IFERROR(INDEX(BOOT_DF,MATCH(F111,BOOT_DATES,0)),""))</f>
        <v/>
      </c>
      <c r="N111" s="80">
        <f>IF(NOT(BOOT_MODE="Test 3"),"",IFERROR(INDEX(BOOT_T,MATCH(F111,BOOT_DATES,0)),""))</f>
        <v/>
      </c>
      <c r="O111" s="84">
        <f>IF(NOT(BOOT_MODE="Test 3"),"",IFERROR(INDEX(BOOT_ZERO,MATCH(F111,BOOT_DATES,0)),""))</f>
        <v/>
      </c>
      <c r="P111" s="89">
        <f>IF(OR(O111="",NOT(ISNUMBER(C111))),"",(O111-C111)*100)</f>
        <v/>
      </c>
      <c r="Q111" s="72">
        <f>IF(OR(M111="",NOT(ISNUMBER(D111))),"",M111-D111)</f>
        <v/>
      </c>
    </row>
    <row r="112">
      <c r="A112" s="68" t="n"/>
      <c r="B112" s="85" t="n"/>
      <c r="C112" s="85" t="n"/>
      <c r="D112" s="69" t="n"/>
      <c r="E112" s="112">
        <f>IF(OR(A112="",$D$106=""),"",IF(RIGHT(A112,1)="W",$D$106+7*VALUE(LEFT(A112,LEN(A112)-1)),IF(RIGHT(A112,1)="M",EDATE($D$106,VALUE(LEFT(A112,LEN(A112)-1))),EDATE($D$106,12*VALUE(LEFT(A112,LEN(A112)-1))))))</f>
        <v/>
      </c>
      <c r="F112" s="112">
        <f>IF(E112="","",IF(MONTH((E112+IF(WEEKDAY(E112,2)=6,2,IF(WEEKDAY(E112,2)=7,1,0))))&lt;&gt;MONTH(E112),(E112-IF(WEEKDAY(E112,2)=6,1,IF(WEEKDAY(E112,2)=7,2,0))),(E112+IF(WEEKDAY(E112,2)=6,2,IF(WEEKDAY(E112,2)=7,1,0)))))</f>
        <v/>
      </c>
      <c r="G112" s="84">
        <f>IF(NOT(BOOT_MODE="Test 3"),"",IFERROR(INDEX(BOOT_S,MATCH(F112,BOOT_DATES,0)),""))</f>
        <v/>
      </c>
      <c r="H112" s="160">
        <f>IF(NOT(BOOT_MODE="Test 3"),"",IFERROR(IF(MATCH(F112,BOOT_DATES,0)&lt;=15,"short  DFspot/(1+S*tau)","annual (DFspot-S*A)/(1+S*tau)"),""))</f>
        <v/>
      </c>
      <c r="I112" s="80">
        <f>IF(NOT(BOOT_MODE="Test 3"),"",IFERROR(IF(MATCH(F112,BOOT_DATES,0)&lt;=15,INDEX(BOOT_TAU0,MATCH(F112,BOOT_DATES,0)),INDEX(BOOT_TAUC,MATCH(F112,BOOT_DATES,0))),""))</f>
        <v/>
      </c>
      <c r="J112" s="76">
        <f>IF(NOT(BOOT_MODE="Test 3"),"",IFERROR(IF(MATCH(F112,BOOT_DATES,0)&lt;=15,0,INDEX(BOOT_ANN,MATCH(F112,BOOT_DATES,0))),""))</f>
        <v/>
      </c>
      <c r="K112" s="76">
        <f>IF(OR(G112="",I112=""),"",BOOT_DFSPOT-(G112/100)*J112)</f>
        <v/>
      </c>
      <c r="L112" s="76">
        <f>IF(OR(G112="",I112=""),"",1+(G112/100)*I112)</f>
        <v/>
      </c>
      <c r="M112" s="76">
        <f>IF(NOT(BOOT_MODE="Test 3"),"",IFERROR(INDEX(BOOT_DF,MATCH(F112,BOOT_DATES,0)),""))</f>
        <v/>
      </c>
      <c r="N112" s="80">
        <f>IF(NOT(BOOT_MODE="Test 3"),"",IFERROR(INDEX(BOOT_T,MATCH(F112,BOOT_DATES,0)),""))</f>
        <v/>
      </c>
      <c r="O112" s="84">
        <f>IF(NOT(BOOT_MODE="Test 3"),"",IFERROR(INDEX(BOOT_ZERO,MATCH(F112,BOOT_DATES,0)),""))</f>
        <v/>
      </c>
      <c r="P112" s="89">
        <f>IF(OR(O112="",NOT(ISNUMBER(C112))),"",(O112-C112)*100)</f>
        <v/>
      </c>
      <c r="Q112" s="72">
        <f>IF(OR(M112="",NOT(ISNUMBER(D112))),"",M112-D112)</f>
        <v/>
      </c>
    </row>
    <row r="113">
      <c r="A113" s="68" t="n"/>
      <c r="B113" s="85" t="n"/>
      <c r="C113" s="85" t="n"/>
      <c r="D113" s="69" t="n"/>
      <c r="E113" s="112">
        <f>IF(OR(A113="",$D$106=""),"",IF(RIGHT(A113,1)="W",$D$106+7*VALUE(LEFT(A113,LEN(A113)-1)),IF(RIGHT(A113,1)="M",EDATE($D$106,VALUE(LEFT(A113,LEN(A113)-1))),EDATE($D$106,12*VALUE(LEFT(A113,LEN(A113)-1))))))</f>
        <v/>
      </c>
      <c r="F113" s="112">
        <f>IF(E113="","",IF(MONTH((E113+IF(WEEKDAY(E113,2)=6,2,IF(WEEKDAY(E113,2)=7,1,0))))&lt;&gt;MONTH(E113),(E113-IF(WEEKDAY(E113,2)=6,1,IF(WEEKDAY(E113,2)=7,2,0))),(E113+IF(WEEKDAY(E113,2)=6,2,IF(WEEKDAY(E113,2)=7,1,0)))))</f>
        <v/>
      </c>
      <c r="G113" s="84">
        <f>IF(NOT(BOOT_MODE="Test 3"),"",IFERROR(INDEX(BOOT_S,MATCH(F113,BOOT_DATES,0)),""))</f>
        <v/>
      </c>
      <c r="H113" s="160">
        <f>IF(NOT(BOOT_MODE="Test 3"),"",IFERROR(IF(MATCH(F113,BOOT_DATES,0)&lt;=15,"short  DFspot/(1+S*tau)","annual (DFspot-S*A)/(1+S*tau)"),""))</f>
        <v/>
      </c>
      <c r="I113" s="80">
        <f>IF(NOT(BOOT_MODE="Test 3"),"",IFERROR(IF(MATCH(F113,BOOT_DATES,0)&lt;=15,INDEX(BOOT_TAU0,MATCH(F113,BOOT_DATES,0)),INDEX(BOOT_TAUC,MATCH(F113,BOOT_DATES,0))),""))</f>
        <v/>
      </c>
      <c r="J113" s="76">
        <f>IF(NOT(BOOT_MODE="Test 3"),"",IFERROR(IF(MATCH(F113,BOOT_DATES,0)&lt;=15,0,INDEX(BOOT_ANN,MATCH(F113,BOOT_DATES,0))),""))</f>
        <v/>
      </c>
      <c r="K113" s="76">
        <f>IF(OR(G113="",I113=""),"",BOOT_DFSPOT-(G113/100)*J113)</f>
        <v/>
      </c>
      <c r="L113" s="76">
        <f>IF(OR(G113="",I113=""),"",1+(G113/100)*I113)</f>
        <v/>
      </c>
      <c r="M113" s="76">
        <f>IF(NOT(BOOT_MODE="Test 3"),"",IFERROR(INDEX(BOOT_DF,MATCH(F113,BOOT_DATES,0)),""))</f>
        <v/>
      </c>
      <c r="N113" s="80">
        <f>IF(NOT(BOOT_MODE="Test 3"),"",IFERROR(INDEX(BOOT_T,MATCH(F113,BOOT_DATES,0)),""))</f>
        <v/>
      </c>
      <c r="O113" s="84">
        <f>IF(NOT(BOOT_MODE="Test 3"),"",IFERROR(INDEX(BOOT_ZERO,MATCH(F113,BOOT_DATES,0)),""))</f>
        <v/>
      </c>
      <c r="P113" s="89">
        <f>IF(OR(O113="",NOT(ISNUMBER(C113))),"",(O113-C113)*100)</f>
        <v/>
      </c>
      <c r="Q113" s="72">
        <f>IF(OR(M113="",NOT(ISNUMBER(D113))),"",M113-D113)</f>
        <v/>
      </c>
    </row>
    <row r="114">
      <c r="A114" s="68" t="n"/>
      <c r="B114" s="85" t="n"/>
      <c r="C114" s="85" t="n"/>
      <c r="D114" s="69" t="n"/>
      <c r="E114" s="112">
        <f>IF(OR(A114="",$D$106=""),"",IF(RIGHT(A114,1)="W",$D$106+7*VALUE(LEFT(A114,LEN(A114)-1)),IF(RIGHT(A114,1)="M",EDATE($D$106,VALUE(LEFT(A114,LEN(A114)-1))),EDATE($D$106,12*VALUE(LEFT(A114,LEN(A114)-1))))))</f>
        <v/>
      </c>
      <c r="F114" s="112">
        <f>IF(E114="","",IF(MONTH((E114+IF(WEEKDAY(E114,2)=6,2,IF(WEEKDAY(E114,2)=7,1,0))))&lt;&gt;MONTH(E114),(E114-IF(WEEKDAY(E114,2)=6,1,IF(WEEKDAY(E114,2)=7,2,0))),(E114+IF(WEEKDAY(E114,2)=6,2,IF(WEEKDAY(E114,2)=7,1,0)))))</f>
        <v/>
      </c>
      <c r="G114" s="84">
        <f>IF(NOT(BOOT_MODE="Test 3"),"",IFERROR(INDEX(BOOT_S,MATCH(F114,BOOT_DATES,0)),""))</f>
        <v/>
      </c>
      <c r="H114" s="160">
        <f>IF(NOT(BOOT_MODE="Test 3"),"",IFERROR(IF(MATCH(F114,BOOT_DATES,0)&lt;=15,"short  DFspot/(1+S*tau)","annual (DFspot-S*A)/(1+S*tau)"),""))</f>
        <v/>
      </c>
      <c r="I114" s="80">
        <f>IF(NOT(BOOT_MODE="Test 3"),"",IFERROR(IF(MATCH(F114,BOOT_DATES,0)&lt;=15,INDEX(BOOT_TAU0,MATCH(F114,BOOT_DATES,0)),INDEX(BOOT_TAUC,MATCH(F114,BOOT_DATES,0))),""))</f>
        <v/>
      </c>
      <c r="J114" s="76">
        <f>IF(NOT(BOOT_MODE="Test 3"),"",IFERROR(IF(MATCH(F114,BOOT_DATES,0)&lt;=15,0,INDEX(BOOT_ANN,MATCH(F114,BOOT_DATES,0))),""))</f>
        <v/>
      </c>
      <c r="K114" s="76">
        <f>IF(OR(G114="",I114=""),"",BOOT_DFSPOT-(G114/100)*J114)</f>
        <v/>
      </c>
      <c r="L114" s="76">
        <f>IF(OR(G114="",I114=""),"",1+(G114/100)*I114)</f>
        <v/>
      </c>
      <c r="M114" s="76">
        <f>IF(NOT(BOOT_MODE="Test 3"),"",IFERROR(INDEX(BOOT_DF,MATCH(F114,BOOT_DATES,0)),""))</f>
        <v/>
      </c>
      <c r="N114" s="80">
        <f>IF(NOT(BOOT_MODE="Test 3"),"",IFERROR(INDEX(BOOT_T,MATCH(F114,BOOT_DATES,0)),""))</f>
        <v/>
      </c>
      <c r="O114" s="84">
        <f>IF(NOT(BOOT_MODE="Test 3"),"",IFERROR(INDEX(BOOT_ZERO,MATCH(F114,BOOT_DATES,0)),""))</f>
        <v/>
      </c>
      <c r="P114" s="89">
        <f>IF(OR(O114="",NOT(ISNUMBER(C114))),"",(O114-C114)*100)</f>
        <v/>
      </c>
      <c r="Q114" s="72">
        <f>IF(OR(M114="",NOT(ISNUMBER(D114))),"",M114-D114)</f>
        <v/>
      </c>
    </row>
    <row r="115">
      <c r="A115" s="68" t="n"/>
      <c r="B115" s="85" t="n"/>
      <c r="C115" s="85" t="n"/>
      <c r="D115" s="69" t="n"/>
      <c r="E115" s="112">
        <f>IF(OR(A115="",$D$106=""),"",IF(RIGHT(A115,1)="W",$D$106+7*VALUE(LEFT(A115,LEN(A115)-1)),IF(RIGHT(A115,1)="M",EDATE($D$106,VALUE(LEFT(A115,LEN(A115)-1))),EDATE($D$106,12*VALUE(LEFT(A115,LEN(A115)-1))))))</f>
        <v/>
      </c>
      <c r="F115" s="112">
        <f>IF(E115="","",IF(MONTH((E115+IF(WEEKDAY(E115,2)=6,2,IF(WEEKDAY(E115,2)=7,1,0))))&lt;&gt;MONTH(E115),(E115-IF(WEEKDAY(E115,2)=6,1,IF(WEEKDAY(E115,2)=7,2,0))),(E115+IF(WEEKDAY(E115,2)=6,2,IF(WEEKDAY(E115,2)=7,1,0)))))</f>
        <v/>
      </c>
      <c r="G115" s="84">
        <f>IF(NOT(BOOT_MODE="Test 3"),"",IFERROR(INDEX(BOOT_S,MATCH(F115,BOOT_DATES,0)),""))</f>
        <v/>
      </c>
      <c r="H115" s="160">
        <f>IF(NOT(BOOT_MODE="Test 3"),"",IFERROR(IF(MATCH(F115,BOOT_DATES,0)&lt;=15,"short  DFspot/(1+S*tau)","annual (DFspot-S*A)/(1+S*tau)"),""))</f>
        <v/>
      </c>
      <c r="I115" s="80">
        <f>IF(NOT(BOOT_MODE="Test 3"),"",IFERROR(IF(MATCH(F115,BOOT_DATES,0)&lt;=15,INDEX(BOOT_TAU0,MATCH(F115,BOOT_DATES,0)),INDEX(BOOT_TAUC,MATCH(F115,BOOT_DATES,0))),""))</f>
        <v/>
      </c>
      <c r="J115" s="76">
        <f>IF(NOT(BOOT_MODE="Test 3"),"",IFERROR(IF(MATCH(F115,BOOT_DATES,0)&lt;=15,0,INDEX(BOOT_ANN,MATCH(F115,BOOT_DATES,0))),""))</f>
        <v/>
      </c>
      <c r="K115" s="76">
        <f>IF(OR(G115="",I115=""),"",BOOT_DFSPOT-(G115/100)*J115)</f>
        <v/>
      </c>
      <c r="L115" s="76">
        <f>IF(OR(G115="",I115=""),"",1+(G115/100)*I115)</f>
        <v/>
      </c>
      <c r="M115" s="76">
        <f>IF(NOT(BOOT_MODE="Test 3"),"",IFERROR(INDEX(BOOT_DF,MATCH(F115,BOOT_DATES,0)),""))</f>
        <v/>
      </c>
      <c r="N115" s="80">
        <f>IF(NOT(BOOT_MODE="Test 3"),"",IFERROR(INDEX(BOOT_T,MATCH(F115,BOOT_DATES,0)),""))</f>
        <v/>
      </c>
      <c r="O115" s="84">
        <f>IF(NOT(BOOT_MODE="Test 3"),"",IFERROR(INDEX(BOOT_ZERO,MATCH(F115,BOOT_DATES,0)),""))</f>
        <v/>
      </c>
      <c r="P115" s="89">
        <f>IF(OR(O115="",NOT(ISNUMBER(C115))),"",(O115-C115)*100)</f>
        <v/>
      </c>
      <c r="Q115" s="72">
        <f>IF(OR(M115="",NOT(ISNUMBER(D115))),"",M115-D115)</f>
        <v/>
      </c>
    </row>
    <row r="116">
      <c r="A116" s="68" t="n"/>
      <c r="B116" s="85" t="n"/>
      <c r="C116" s="85" t="n"/>
      <c r="D116" s="69" t="n"/>
      <c r="E116" s="112">
        <f>IF(OR(A116="",$D$106=""),"",IF(RIGHT(A116,1)="W",$D$106+7*VALUE(LEFT(A116,LEN(A116)-1)),IF(RIGHT(A116,1)="M",EDATE($D$106,VALUE(LEFT(A116,LEN(A116)-1))),EDATE($D$106,12*VALUE(LEFT(A116,LEN(A116)-1))))))</f>
        <v/>
      </c>
      <c r="F116" s="112">
        <f>IF(E116="","",IF(MONTH((E116+IF(WEEKDAY(E116,2)=6,2,IF(WEEKDAY(E116,2)=7,1,0))))&lt;&gt;MONTH(E116),(E116-IF(WEEKDAY(E116,2)=6,1,IF(WEEKDAY(E116,2)=7,2,0))),(E116+IF(WEEKDAY(E116,2)=6,2,IF(WEEKDAY(E116,2)=7,1,0)))))</f>
        <v/>
      </c>
      <c r="G116" s="84">
        <f>IF(NOT(BOOT_MODE="Test 3"),"",IFERROR(INDEX(BOOT_S,MATCH(F116,BOOT_DATES,0)),""))</f>
        <v/>
      </c>
      <c r="H116" s="160">
        <f>IF(NOT(BOOT_MODE="Test 3"),"",IFERROR(IF(MATCH(F116,BOOT_DATES,0)&lt;=15,"short  DFspot/(1+S*tau)","annual (DFspot-S*A)/(1+S*tau)"),""))</f>
        <v/>
      </c>
      <c r="I116" s="80">
        <f>IF(NOT(BOOT_MODE="Test 3"),"",IFERROR(IF(MATCH(F116,BOOT_DATES,0)&lt;=15,INDEX(BOOT_TAU0,MATCH(F116,BOOT_DATES,0)),INDEX(BOOT_TAUC,MATCH(F116,BOOT_DATES,0))),""))</f>
        <v/>
      </c>
      <c r="J116" s="76">
        <f>IF(NOT(BOOT_MODE="Test 3"),"",IFERROR(IF(MATCH(F116,BOOT_DATES,0)&lt;=15,0,INDEX(BOOT_ANN,MATCH(F116,BOOT_DATES,0))),""))</f>
        <v/>
      </c>
      <c r="K116" s="76">
        <f>IF(OR(G116="",I116=""),"",BOOT_DFSPOT-(G116/100)*J116)</f>
        <v/>
      </c>
      <c r="L116" s="76">
        <f>IF(OR(G116="",I116=""),"",1+(G116/100)*I116)</f>
        <v/>
      </c>
      <c r="M116" s="76">
        <f>IF(NOT(BOOT_MODE="Test 3"),"",IFERROR(INDEX(BOOT_DF,MATCH(F116,BOOT_DATES,0)),""))</f>
        <v/>
      </c>
      <c r="N116" s="80">
        <f>IF(NOT(BOOT_MODE="Test 3"),"",IFERROR(INDEX(BOOT_T,MATCH(F116,BOOT_DATES,0)),""))</f>
        <v/>
      </c>
      <c r="O116" s="84">
        <f>IF(NOT(BOOT_MODE="Test 3"),"",IFERROR(INDEX(BOOT_ZERO,MATCH(F116,BOOT_DATES,0)),""))</f>
        <v/>
      </c>
      <c r="P116" s="89">
        <f>IF(OR(O116="",NOT(ISNUMBER(C116))),"",(O116-C116)*100)</f>
        <v/>
      </c>
      <c r="Q116" s="72">
        <f>IF(OR(M116="",NOT(ISNUMBER(D116))),"",M116-D116)</f>
        <v/>
      </c>
    </row>
    <row r="117">
      <c r="A117" s="68" t="n"/>
      <c r="B117" s="85" t="n"/>
      <c r="C117" s="85" t="n"/>
      <c r="D117" s="69" t="n"/>
      <c r="E117" s="112">
        <f>IF(OR(A117="",$D$106=""),"",IF(RIGHT(A117,1)="W",$D$106+7*VALUE(LEFT(A117,LEN(A117)-1)),IF(RIGHT(A117,1)="M",EDATE($D$106,VALUE(LEFT(A117,LEN(A117)-1))),EDATE($D$106,12*VALUE(LEFT(A117,LEN(A117)-1))))))</f>
        <v/>
      </c>
      <c r="F117" s="112">
        <f>IF(E117="","",IF(MONTH((E117+IF(WEEKDAY(E117,2)=6,2,IF(WEEKDAY(E117,2)=7,1,0))))&lt;&gt;MONTH(E117),(E117-IF(WEEKDAY(E117,2)=6,1,IF(WEEKDAY(E117,2)=7,2,0))),(E117+IF(WEEKDAY(E117,2)=6,2,IF(WEEKDAY(E117,2)=7,1,0)))))</f>
        <v/>
      </c>
      <c r="G117" s="84">
        <f>IF(NOT(BOOT_MODE="Test 3"),"",IFERROR(INDEX(BOOT_S,MATCH(F117,BOOT_DATES,0)),""))</f>
        <v/>
      </c>
      <c r="H117" s="160">
        <f>IF(NOT(BOOT_MODE="Test 3"),"",IFERROR(IF(MATCH(F117,BOOT_DATES,0)&lt;=15,"short  DFspot/(1+S*tau)","annual (DFspot-S*A)/(1+S*tau)"),""))</f>
        <v/>
      </c>
      <c r="I117" s="80">
        <f>IF(NOT(BOOT_MODE="Test 3"),"",IFERROR(IF(MATCH(F117,BOOT_DATES,0)&lt;=15,INDEX(BOOT_TAU0,MATCH(F117,BOOT_DATES,0)),INDEX(BOOT_TAUC,MATCH(F117,BOOT_DATES,0))),""))</f>
        <v/>
      </c>
      <c r="J117" s="76">
        <f>IF(NOT(BOOT_MODE="Test 3"),"",IFERROR(IF(MATCH(F117,BOOT_DATES,0)&lt;=15,0,INDEX(BOOT_ANN,MATCH(F117,BOOT_DATES,0))),""))</f>
        <v/>
      </c>
      <c r="K117" s="76">
        <f>IF(OR(G117="",I117=""),"",BOOT_DFSPOT-(G117/100)*J117)</f>
        <v/>
      </c>
      <c r="L117" s="76">
        <f>IF(OR(G117="",I117=""),"",1+(G117/100)*I117)</f>
        <v/>
      </c>
      <c r="M117" s="76">
        <f>IF(NOT(BOOT_MODE="Test 3"),"",IFERROR(INDEX(BOOT_DF,MATCH(F117,BOOT_DATES,0)),""))</f>
        <v/>
      </c>
      <c r="N117" s="80">
        <f>IF(NOT(BOOT_MODE="Test 3"),"",IFERROR(INDEX(BOOT_T,MATCH(F117,BOOT_DATES,0)),""))</f>
        <v/>
      </c>
      <c r="O117" s="84">
        <f>IF(NOT(BOOT_MODE="Test 3"),"",IFERROR(INDEX(BOOT_ZERO,MATCH(F117,BOOT_DATES,0)),""))</f>
        <v/>
      </c>
      <c r="P117" s="89">
        <f>IF(OR(O117="",NOT(ISNUMBER(C117))),"",(O117-C117)*100)</f>
        <v/>
      </c>
      <c r="Q117" s="72">
        <f>IF(OR(M117="",NOT(ISNUMBER(D117))),"",M117-D117)</f>
        <v/>
      </c>
    </row>
    <row r="118">
      <c r="A118" s="68" t="n"/>
      <c r="B118" s="85" t="n"/>
      <c r="C118" s="85" t="n"/>
      <c r="D118" s="69" t="n"/>
      <c r="E118" s="112">
        <f>IF(OR(A118="",$D$106=""),"",IF(RIGHT(A118,1)="W",$D$106+7*VALUE(LEFT(A118,LEN(A118)-1)),IF(RIGHT(A118,1)="M",EDATE($D$106,VALUE(LEFT(A118,LEN(A118)-1))),EDATE($D$106,12*VALUE(LEFT(A118,LEN(A118)-1))))))</f>
        <v/>
      </c>
      <c r="F118" s="112">
        <f>IF(E118="","",IF(MONTH((E118+IF(WEEKDAY(E118,2)=6,2,IF(WEEKDAY(E118,2)=7,1,0))))&lt;&gt;MONTH(E118),(E118-IF(WEEKDAY(E118,2)=6,1,IF(WEEKDAY(E118,2)=7,2,0))),(E118+IF(WEEKDAY(E118,2)=6,2,IF(WEEKDAY(E118,2)=7,1,0)))))</f>
        <v/>
      </c>
      <c r="G118" s="84">
        <f>IF(NOT(BOOT_MODE="Test 3"),"",IFERROR(INDEX(BOOT_S,MATCH(F118,BOOT_DATES,0)),""))</f>
        <v/>
      </c>
      <c r="H118" s="160">
        <f>IF(NOT(BOOT_MODE="Test 3"),"",IFERROR(IF(MATCH(F118,BOOT_DATES,0)&lt;=15,"short  DFspot/(1+S*tau)","annual (DFspot-S*A)/(1+S*tau)"),""))</f>
        <v/>
      </c>
      <c r="I118" s="80">
        <f>IF(NOT(BOOT_MODE="Test 3"),"",IFERROR(IF(MATCH(F118,BOOT_DATES,0)&lt;=15,INDEX(BOOT_TAU0,MATCH(F118,BOOT_DATES,0)),INDEX(BOOT_TAUC,MATCH(F118,BOOT_DATES,0))),""))</f>
        <v/>
      </c>
      <c r="J118" s="76">
        <f>IF(NOT(BOOT_MODE="Test 3"),"",IFERROR(IF(MATCH(F118,BOOT_DATES,0)&lt;=15,0,INDEX(BOOT_ANN,MATCH(F118,BOOT_DATES,0))),""))</f>
        <v/>
      </c>
      <c r="K118" s="76">
        <f>IF(OR(G118="",I118=""),"",BOOT_DFSPOT-(G118/100)*J118)</f>
        <v/>
      </c>
      <c r="L118" s="76">
        <f>IF(OR(G118="",I118=""),"",1+(G118/100)*I118)</f>
        <v/>
      </c>
      <c r="M118" s="76">
        <f>IF(NOT(BOOT_MODE="Test 3"),"",IFERROR(INDEX(BOOT_DF,MATCH(F118,BOOT_DATES,0)),""))</f>
        <v/>
      </c>
      <c r="N118" s="80">
        <f>IF(NOT(BOOT_MODE="Test 3"),"",IFERROR(INDEX(BOOT_T,MATCH(F118,BOOT_DATES,0)),""))</f>
        <v/>
      </c>
      <c r="O118" s="84">
        <f>IF(NOT(BOOT_MODE="Test 3"),"",IFERROR(INDEX(BOOT_ZERO,MATCH(F118,BOOT_DATES,0)),""))</f>
        <v/>
      </c>
      <c r="P118" s="89">
        <f>IF(OR(O118="",NOT(ISNUMBER(C118))),"",(O118-C118)*100)</f>
        <v/>
      </c>
      <c r="Q118" s="72">
        <f>IF(OR(M118="",NOT(ISNUMBER(D118))),"",M118-D118)</f>
        <v/>
      </c>
    </row>
    <row r="119">
      <c r="A119" s="68" t="n"/>
      <c r="B119" s="85" t="n"/>
      <c r="C119" s="85" t="n"/>
      <c r="D119" s="69" t="n"/>
      <c r="E119" s="112">
        <f>IF(OR(A119="",$D$106=""),"",IF(RIGHT(A119,1)="W",$D$106+7*VALUE(LEFT(A119,LEN(A119)-1)),IF(RIGHT(A119,1)="M",EDATE($D$106,VALUE(LEFT(A119,LEN(A119)-1))),EDATE($D$106,12*VALUE(LEFT(A119,LEN(A119)-1))))))</f>
        <v/>
      </c>
      <c r="F119" s="112">
        <f>IF(E119="","",IF(MONTH((E119+IF(WEEKDAY(E119,2)=6,2,IF(WEEKDAY(E119,2)=7,1,0))))&lt;&gt;MONTH(E119),(E119-IF(WEEKDAY(E119,2)=6,1,IF(WEEKDAY(E119,2)=7,2,0))),(E119+IF(WEEKDAY(E119,2)=6,2,IF(WEEKDAY(E119,2)=7,1,0)))))</f>
        <v/>
      </c>
      <c r="G119" s="84">
        <f>IF(NOT(BOOT_MODE="Test 3"),"",IFERROR(INDEX(BOOT_S,MATCH(F119,BOOT_DATES,0)),""))</f>
        <v/>
      </c>
      <c r="H119" s="160">
        <f>IF(NOT(BOOT_MODE="Test 3"),"",IFERROR(IF(MATCH(F119,BOOT_DATES,0)&lt;=15,"short  DFspot/(1+S*tau)","annual (DFspot-S*A)/(1+S*tau)"),""))</f>
        <v/>
      </c>
      <c r="I119" s="80">
        <f>IF(NOT(BOOT_MODE="Test 3"),"",IFERROR(IF(MATCH(F119,BOOT_DATES,0)&lt;=15,INDEX(BOOT_TAU0,MATCH(F119,BOOT_DATES,0)),INDEX(BOOT_TAUC,MATCH(F119,BOOT_DATES,0))),""))</f>
        <v/>
      </c>
      <c r="J119" s="76">
        <f>IF(NOT(BOOT_MODE="Test 3"),"",IFERROR(IF(MATCH(F119,BOOT_DATES,0)&lt;=15,0,INDEX(BOOT_ANN,MATCH(F119,BOOT_DATES,0))),""))</f>
        <v/>
      </c>
      <c r="K119" s="76">
        <f>IF(OR(G119="",I119=""),"",BOOT_DFSPOT-(G119/100)*J119)</f>
        <v/>
      </c>
      <c r="L119" s="76">
        <f>IF(OR(G119="",I119=""),"",1+(G119/100)*I119)</f>
        <v/>
      </c>
      <c r="M119" s="76">
        <f>IF(NOT(BOOT_MODE="Test 3"),"",IFERROR(INDEX(BOOT_DF,MATCH(F119,BOOT_DATES,0)),""))</f>
        <v/>
      </c>
      <c r="N119" s="80">
        <f>IF(NOT(BOOT_MODE="Test 3"),"",IFERROR(INDEX(BOOT_T,MATCH(F119,BOOT_DATES,0)),""))</f>
        <v/>
      </c>
      <c r="O119" s="84">
        <f>IF(NOT(BOOT_MODE="Test 3"),"",IFERROR(INDEX(BOOT_ZERO,MATCH(F119,BOOT_DATES,0)),""))</f>
        <v/>
      </c>
      <c r="P119" s="89">
        <f>IF(OR(O119="",NOT(ISNUMBER(C119))),"",(O119-C119)*100)</f>
        <v/>
      </c>
      <c r="Q119" s="72">
        <f>IF(OR(M119="",NOT(ISNUMBER(D119))),"",M119-D119)</f>
        <v/>
      </c>
    </row>
    <row r="120">
      <c r="A120" s="68" t="n"/>
      <c r="B120" s="85" t="n"/>
      <c r="C120" s="85" t="n"/>
      <c r="D120" s="69" t="n"/>
      <c r="E120" s="112">
        <f>IF(OR(A120="",$D$106=""),"",IF(RIGHT(A120,1)="W",$D$106+7*VALUE(LEFT(A120,LEN(A120)-1)),IF(RIGHT(A120,1)="M",EDATE($D$106,VALUE(LEFT(A120,LEN(A120)-1))),EDATE($D$106,12*VALUE(LEFT(A120,LEN(A120)-1))))))</f>
        <v/>
      </c>
      <c r="F120" s="112">
        <f>IF(E120="","",IF(MONTH((E120+IF(WEEKDAY(E120,2)=6,2,IF(WEEKDAY(E120,2)=7,1,0))))&lt;&gt;MONTH(E120),(E120-IF(WEEKDAY(E120,2)=6,1,IF(WEEKDAY(E120,2)=7,2,0))),(E120+IF(WEEKDAY(E120,2)=6,2,IF(WEEKDAY(E120,2)=7,1,0)))))</f>
        <v/>
      </c>
      <c r="G120" s="84">
        <f>IF(NOT(BOOT_MODE="Test 3"),"",IFERROR(INDEX(BOOT_S,MATCH(F120,BOOT_DATES,0)),""))</f>
        <v/>
      </c>
      <c r="H120" s="160">
        <f>IF(NOT(BOOT_MODE="Test 3"),"",IFERROR(IF(MATCH(F120,BOOT_DATES,0)&lt;=15,"short  DFspot/(1+S*tau)","annual (DFspot-S*A)/(1+S*tau)"),""))</f>
        <v/>
      </c>
      <c r="I120" s="80">
        <f>IF(NOT(BOOT_MODE="Test 3"),"",IFERROR(IF(MATCH(F120,BOOT_DATES,0)&lt;=15,INDEX(BOOT_TAU0,MATCH(F120,BOOT_DATES,0)),INDEX(BOOT_TAUC,MATCH(F120,BOOT_DATES,0))),""))</f>
        <v/>
      </c>
      <c r="J120" s="76">
        <f>IF(NOT(BOOT_MODE="Test 3"),"",IFERROR(IF(MATCH(F120,BOOT_DATES,0)&lt;=15,0,INDEX(BOOT_ANN,MATCH(F120,BOOT_DATES,0))),""))</f>
        <v/>
      </c>
      <c r="K120" s="76">
        <f>IF(OR(G120="",I120=""),"",BOOT_DFSPOT-(G120/100)*J120)</f>
        <v/>
      </c>
      <c r="L120" s="76">
        <f>IF(OR(G120="",I120=""),"",1+(G120/100)*I120)</f>
        <v/>
      </c>
      <c r="M120" s="76">
        <f>IF(NOT(BOOT_MODE="Test 3"),"",IFERROR(INDEX(BOOT_DF,MATCH(F120,BOOT_DATES,0)),""))</f>
        <v/>
      </c>
      <c r="N120" s="80">
        <f>IF(NOT(BOOT_MODE="Test 3"),"",IFERROR(INDEX(BOOT_T,MATCH(F120,BOOT_DATES,0)),""))</f>
        <v/>
      </c>
      <c r="O120" s="84">
        <f>IF(NOT(BOOT_MODE="Test 3"),"",IFERROR(INDEX(BOOT_ZERO,MATCH(F120,BOOT_DATES,0)),""))</f>
        <v/>
      </c>
      <c r="P120" s="89">
        <f>IF(OR(O120="",NOT(ISNUMBER(C120))),"",(O120-C120)*100)</f>
        <v/>
      </c>
      <c r="Q120" s="72">
        <f>IF(OR(M120="",NOT(ISNUMBER(D120))),"",M120-D120)</f>
        <v/>
      </c>
    </row>
    <row r="121">
      <c r="A121" s="68" t="n"/>
      <c r="B121" s="85" t="n"/>
      <c r="C121" s="85" t="n"/>
      <c r="D121" s="69" t="n"/>
      <c r="E121" s="112">
        <f>IF(OR(A121="",$D$106=""),"",IF(RIGHT(A121,1)="W",$D$106+7*VALUE(LEFT(A121,LEN(A121)-1)),IF(RIGHT(A121,1)="M",EDATE($D$106,VALUE(LEFT(A121,LEN(A121)-1))),EDATE($D$106,12*VALUE(LEFT(A121,LEN(A121)-1))))))</f>
        <v/>
      </c>
      <c r="F121" s="112">
        <f>IF(E121="","",IF(MONTH((E121+IF(WEEKDAY(E121,2)=6,2,IF(WEEKDAY(E121,2)=7,1,0))))&lt;&gt;MONTH(E121),(E121-IF(WEEKDAY(E121,2)=6,1,IF(WEEKDAY(E121,2)=7,2,0))),(E121+IF(WEEKDAY(E121,2)=6,2,IF(WEEKDAY(E121,2)=7,1,0)))))</f>
        <v/>
      </c>
      <c r="G121" s="84">
        <f>IF(NOT(BOOT_MODE="Test 3"),"",IFERROR(INDEX(BOOT_S,MATCH(F121,BOOT_DATES,0)),""))</f>
        <v/>
      </c>
      <c r="H121" s="160">
        <f>IF(NOT(BOOT_MODE="Test 3"),"",IFERROR(IF(MATCH(F121,BOOT_DATES,0)&lt;=15,"short  DFspot/(1+S*tau)","annual (DFspot-S*A)/(1+S*tau)"),""))</f>
        <v/>
      </c>
      <c r="I121" s="80">
        <f>IF(NOT(BOOT_MODE="Test 3"),"",IFERROR(IF(MATCH(F121,BOOT_DATES,0)&lt;=15,INDEX(BOOT_TAU0,MATCH(F121,BOOT_DATES,0)),INDEX(BOOT_TAUC,MATCH(F121,BOOT_DATES,0))),""))</f>
        <v/>
      </c>
      <c r="J121" s="76">
        <f>IF(NOT(BOOT_MODE="Test 3"),"",IFERROR(IF(MATCH(F121,BOOT_DATES,0)&lt;=15,0,INDEX(BOOT_ANN,MATCH(F121,BOOT_DATES,0))),""))</f>
        <v/>
      </c>
      <c r="K121" s="76">
        <f>IF(OR(G121="",I121=""),"",BOOT_DFSPOT-(G121/100)*J121)</f>
        <v/>
      </c>
      <c r="L121" s="76">
        <f>IF(OR(G121="",I121=""),"",1+(G121/100)*I121)</f>
        <v/>
      </c>
      <c r="M121" s="76">
        <f>IF(NOT(BOOT_MODE="Test 3"),"",IFERROR(INDEX(BOOT_DF,MATCH(F121,BOOT_DATES,0)),""))</f>
        <v/>
      </c>
      <c r="N121" s="80">
        <f>IF(NOT(BOOT_MODE="Test 3"),"",IFERROR(INDEX(BOOT_T,MATCH(F121,BOOT_DATES,0)),""))</f>
        <v/>
      </c>
      <c r="O121" s="84">
        <f>IF(NOT(BOOT_MODE="Test 3"),"",IFERROR(INDEX(BOOT_ZERO,MATCH(F121,BOOT_DATES,0)),""))</f>
        <v/>
      </c>
      <c r="P121" s="89">
        <f>IF(OR(O121="",NOT(ISNUMBER(C121))),"",(O121-C121)*100)</f>
        <v/>
      </c>
      <c r="Q121" s="72">
        <f>IF(OR(M121="",NOT(ISNUMBER(D121))),"",M121-D121)</f>
        <v/>
      </c>
    </row>
    <row r="122">
      <c r="A122" s="68" t="n"/>
      <c r="B122" s="85" t="n"/>
      <c r="C122" s="85" t="n"/>
      <c r="D122" s="69" t="n"/>
      <c r="E122" s="112">
        <f>IF(OR(A122="",$D$106=""),"",IF(RIGHT(A122,1)="W",$D$106+7*VALUE(LEFT(A122,LEN(A122)-1)),IF(RIGHT(A122,1)="M",EDATE($D$106,VALUE(LEFT(A122,LEN(A122)-1))),EDATE($D$106,12*VALUE(LEFT(A122,LEN(A122)-1))))))</f>
        <v/>
      </c>
      <c r="F122" s="112">
        <f>IF(E122="","",IF(MONTH((E122+IF(WEEKDAY(E122,2)=6,2,IF(WEEKDAY(E122,2)=7,1,0))))&lt;&gt;MONTH(E122),(E122-IF(WEEKDAY(E122,2)=6,1,IF(WEEKDAY(E122,2)=7,2,0))),(E122+IF(WEEKDAY(E122,2)=6,2,IF(WEEKDAY(E122,2)=7,1,0)))))</f>
        <v/>
      </c>
      <c r="G122" s="84">
        <f>IF(NOT(BOOT_MODE="Test 3"),"",IFERROR(INDEX(BOOT_S,MATCH(F122,BOOT_DATES,0)),""))</f>
        <v/>
      </c>
      <c r="H122" s="160">
        <f>IF(NOT(BOOT_MODE="Test 3"),"",IFERROR(IF(MATCH(F122,BOOT_DATES,0)&lt;=15,"short  DFspot/(1+S*tau)","annual (DFspot-S*A)/(1+S*tau)"),""))</f>
        <v/>
      </c>
      <c r="I122" s="80">
        <f>IF(NOT(BOOT_MODE="Test 3"),"",IFERROR(IF(MATCH(F122,BOOT_DATES,0)&lt;=15,INDEX(BOOT_TAU0,MATCH(F122,BOOT_DATES,0)),INDEX(BOOT_TAUC,MATCH(F122,BOOT_DATES,0))),""))</f>
        <v/>
      </c>
      <c r="J122" s="76">
        <f>IF(NOT(BOOT_MODE="Test 3"),"",IFERROR(IF(MATCH(F122,BOOT_DATES,0)&lt;=15,0,INDEX(BOOT_ANN,MATCH(F122,BOOT_DATES,0))),""))</f>
        <v/>
      </c>
      <c r="K122" s="76">
        <f>IF(OR(G122="",I122=""),"",BOOT_DFSPOT-(G122/100)*J122)</f>
        <v/>
      </c>
      <c r="L122" s="76">
        <f>IF(OR(G122="",I122=""),"",1+(G122/100)*I122)</f>
        <v/>
      </c>
      <c r="M122" s="76">
        <f>IF(NOT(BOOT_MODE="Test 3"),"",IFERROR(INDEX(BOOT_DF,MATCH(F122,BOOT_DATES,0)),""))</f>
        <v/>
      </c>
      <c r="N122" s="80">
        <f>IF(NOT(BOOT_MODE="Test 3"),"",IFERROR(INDEX(BOOT_T,MATCH(F122,BOOT_DATES,0)),""))</f>
        <v/>
      </c>
      <c r="O122" s="84">
        <f>IF(NOT(BOOT_MODE="Test 3"),"",IFERROR(INDEX(BOOT_ZERO,MATCH(F122,BOOT_DATES,0)),""))</f>
        <v/>
      </c>
      <c r="P122" s="89">
        <f>IF(OR(O122="",NOT(ISNUMBER(C122))),"",(O122-C122)*100)</f>
        <v/>
      </c>
      <c r="Q122" s="72">
        <f>IF(OR(M122="",NOT(ISNUMBER(D122))),"",M122-D122)</f>
        <v/>
      </c>
    </row>
    <row r="123">
      <c r="A123" s="68" t="n"/>
      <c r="B123" s="85" t="n"/>
      <c r="C123" s="85" t="n"/>
      <c r="D123" s="69" t="n"/>
      <c r="E123" s="112">
        <f>IF(OR(A123="",$D$106=""),"",IF(RIGHT(A123,1)="W",$D$106+7*VALUE(LEFT(A123,LEN(A123)-1)),IF(RIGHT(A123,1)="M",EDATE($D$106,VALUE(LEFT(A123,LEN(A123)-1))),EDATE($D$106,12*VALUE(LEFT(A123,LEN(A123)-1))))))</f>
        <v/>
      </c>
      <c r="F123" s="112">
        <f>IF(E123="","",IF(MONTH((E123+IF(WEEKDAY(E123,2)=6,2,IF(WEEKDAY(E123,2)=7,1,0))))&lt;&gt;MONTH(E123),(E123-IF(WEEKDAY(E123,2)=6,1,IF(WEEKDAY(E123,2)=7,2,0))),(E123+IF(WEEKDAY(E123,2)=6,2,IF(WEEKDAY(E123,2)=7,1,0)))))</f>
        <v/>
      </c>
      <c r="G123" s="84">
        <f>IF(NOT(BOOT_MODE="Test 3"),"",IFERROR(INDEX(BOOT_S,MATCH(F123,BOOT_DATES,0)),""))</f>
        <v/>
      </c>
      <c r="H123" s="160">
        <f>IF(NOT(BOOT_MODE="Test 3"),"",IFERROR(IF(MATCH(F123,BOOT_DATES,0)&lt;=15,"short  DFspot/(1+S*tau)","annual (DFspot-S*A)/(1+S*tau)"),""))</f>
        <v/>
      </c>
      <c r="I123" s="80">
        <f>IF(NOT(BOOT_MODE="Test 3"),"",IFERROR(IF(MATCH(F123,BOOT_DATES,0)&lt;=15,INDEX(BOOT_TAU0,MATCH(F123,BOOT_DATES,0)),INDEX(BOOT_TAUC,MATCH(F123,BOOT_DATES,0))),""))</f>
        <v/>
      </c>
      <c r="J123" s="76">
        <f>IF(NOT(BOOT_MODE="Test 3"),"",IFERROR(IF(MATCH(F123,BOOT_DATES,0)&lt;=15,0,INDEX(BOOT_ANN,MATCH(F123,BOOT_DATES,0))),""))</f>
        <v/>
      </c>
      <c r="K123" s="76">
        <f>IF(OR(G123="",I123=""),"",BOOT_DFSPOT-(G123/100)*J123)</f>
        <v/>
      </c>
      <c r="L123" s="76">
        <f>IF(OR(G123="",I123=""),"",1+(G123/100)*I123)</f>
        <v/>
      </c>
      <c r="M123" s="76">
        <f>IF(NOT(BOOT_MODE="Test 3"),"",IFERROR(INDEX(BOOT_DF,MATCH(F123,BOOT_DATES,0)),""))</f>
        <v/>
      </c>
      <c r="N123" s="80">
        <f>IF(NOT(BOOT_MODE="Test 3"),"",IFERROR(INDEX(BOOT_T,MATCH(F123,BOOT_DATES,0)),""))</f>
        <v/>
      </c>
      <c r="O123" s="84">
        <f>IF(NOT(BOOT_MODE="Test 3"),"",IFERROR(INDEX(BOOT_ZERO,MATCH(F123,BOOT_DATES,0)),""))</f>
        <v/>
      </c>
      <c r="P123" s="89">
        <f>IF(OR(O123="",NOT(ISNUMBER(C123))),"",(O123-C123)*100)</f>
        <v/>
      </c>
      <c r="Q123" s="72">
        <f>IF(OR(M123="",NOT(ISNUMBER(D123))),"",M123-D123)</f>
        <v/>
      </c>
    </row>
    <row r="124">
      <c r="A124" s="68" t="n"/>
      <c r="B124" s="85" t="n"/>
      <c r="C124" s="85" t="n"/>
      <c r="D124" s="69" t="n"/>
      <c r="E124" s="112">
        <f>IF(OR(A124="",$D$106=""),"",IF(RIGHT(A124,1)="W",$D$106+7*VALUE(LEFT(A124,LEN(A124)-1)),IF(RIGHT(A124,1)="M",EDATE($D$106,VALUE(LEFT(A124,LEN(A124)-1))),EDATE($D$106,12*VALUE(LEFT(A124,LEN(A124)-1))))))</f>
        <v/>
      </c>
      <c r="F124" s="112">
        <f>IF(E124="","",IF(MONTH((E124+IF(WEEKDAY(E124,2)=6,2,IF(WEEKDAY(E124,2)=7,1,0))))&lt;&gt;MONTH(E124),(E124-IF(WEEKDAY(E124,2)=6,1,IF(WEEKDAY(E124,2)=7,2,0))),(E124+IF(WEEKDAY(E124,2)=6,2,IF(WEEKDAY(E124,2)=7,1,0)))))</f>
        <v/>
      </c>
      <c r="G124" s="84">
        <f>IF(NOT(BOOT_MODE="Test 3"),"",IFERROR(INDEX(BOOT_S,MATCH(F124,BOOT_DATES,0)),""))</f>
        <v/>
      </c>
      <c r="H124" s="160">
        <f>IF(NOT(BOOT_MODE="Test 3"),"",IFERROR(IF(MATCH(F124,BOOT_DATES,0)&lt;=15,"short  DFspot/(1+S*tau)","annual (DFspot-S*A)/(1+S*tau)"),""))</f>
        <v/>
      </c>
      <c r="I124" s="80">
        <f>IF(NOT(BOOT_MODE="Test 3"),"",IFERROR(IF(MATCH(F124,BOOT_DATES,0)&lt;=15,INDEX(BOOT_TAU0,MATCH(F124,BOOT_DATES,0)),INDEX(BOOT_TAUC,MATCH(F124,BOOT_DATES,0))),""))</f>
        <v/>
      </c>
      <c r="J124" s="76">
        <f>IF(NOT(BOOT_MODE="Test 3"),"",IFERROR(IF(MATCH(F124,BOOT_DATES,0)&lt;=15,0,INDEX(BOOT_ANN,MATCH(F124,BOOT_DATES,0))),""))</f>
        <v/>
      </c>
      <c r="K124" s="76">
        <f>IF(OR(G124="",I124=""),"",BOOT_DFSPOT-(G124/100)*J124)</f>
        <v/>
      </c>
      <c r="L124" s="76">
        <f>IF(OR(G124="",I124=""),"",1+(G124/100)*I124)</f>
        <v/>
      </c>
      <c r="M124" s="76">
        <f>IF(NOT(BOOT_MODE="Test 3"),"",IFERROR(INDEX(BOOT_DF,MATCH(F124,BOOT_DATES,0)),""))</f>
        <v/>
      </c>
      <c r="N124" s="80">
        <f>IF(NOT(BOOT_MODE="Test 3"),"",IFERROR(INDEX(BOOT_T,MATCH(F124,BOOT_DATES,0)),""))</f>
        <v/>
      </c>
      <c r="O124" s="84">
        <f>IF(NOT(BOOT_MODE="Test 3"),"",IFERROR(INDEX(BOOT_ZERO,MATCH(F124,BOOT_DATES,0)),""))</f>
        <v/>
      </c>
      <c r="P124" s="89">
        <f>IF(OR(O124="",NOT(ISNUMBER(C124))),"",(O124-C124)*100)</f>
        <v/>
      </c>
      <c r="Q124" s="72">
        <f>IF(OR(M124="",NOT(ISNUMBER(D124))),"",M124-D124)</f>
        <v/>
      </c>
    </row>
    <row r="125">
      <c r="A125" s="68" t="n"/>
      <c r="B125" s="85" t="n"/>
      <c r="C125" s="85" t="n"/>
      <c r="D125" s="69" t="n"/>
      <c r="E125" s="112">
        <f>IF(OR(A125="",$D$106=""),"",IF(RIGHT(A125,1)="W",$D$106+7*VALUE(LEFT(A125,LEN(A125)-1)),IF(RIGHT(A125,1)="M",EDATE($D$106,VALUE(LEFT(A125,LEN(A125)-1))),EDATE($D$106,12*VALUE(LEFT(A125,LEN(A125)-1))))))</f>
        <v/>
      </c>
      <c r="F125" s="112">
        <f>IF(E125="","",IF(MONTH((E125+IF(WEEKDAY(E125,2)=6,2,IF(WEEKDAY(E125,2)=7,1,0))))&lt;&gt;MONTH(E125),(E125-IF(WEEKDAY(E125,2)=6,1,IF(WEEKDAY(E125,2)=7,2,0))),(E125+IF(WEEKDAY(E125,2)=6,2,IF(WEEKDAY(E125,2)=7,1,0)))))</f>
        <v/>
      </c>
      <c r="G125" s="84">
        <f>IF(NOT(BOOT_MODE="Test 3"),"",IFERROR(INDEX(BOOT_S,MATCH(F125,BOOT_DATES,0)),""))</f>
        <v/>
      </c>
      <c r="H125" s="160">
        <f>IF(NOT(BOOT_MODE="Test 3"),"",IFERROR(IF(MATCH(F125,BOOT_DATES,0)&lt;=15,"short  DFspot/(1+S*tau)","annual (DFspot-S*A)/(1+S*tau)"),""))</f>
        <v/>
      </c>
      <c r="I125" s="80">
        <f>IF(NOT(BOOT_MODE="Test 3"),"",IFERROR(IF(MATCH(F125,BOOT_DATES,0)&lt;=15,INDEX(BOOT_TAU0,MATCH(F125,BOOT_DATES,0)),INDEX(BOOT_TAUC,MATCH(F125,BOOT_DATES,0))),""))</f>
        <v/>
      </c>
      <c r="J125" s="76">
        <f>IF(NOT(BOOT_MODE="Test 3"),"",IFERROR(IF(MATCH(F125,BOOT_DATES,0)&lt;=15,0,INDEX(BOOT_ANN,MATCH(F125,BOOT_DATES,0))),""))</f>
        <v/>
      </c>
      <c r="K125" s="76">
        <f>IF(OR(G125="",I125=""),"",BOOT_DFSPOT-(G125/100)*J125)</f>
        <v/>
      </c>
      <c r="L125" s="76">
        <f>IF(OR(G125="",I125=""),"",1+(G125/100)*I125)</f>
        <v/>
      </c>
      <c r="M125" s="76">
        <f>IF(NOT(BOOT_MODE="Test 3"),"",IFERROR(INDEX(BOOT_DF,MATCH(F125,BOOT_DATES,0)),""))</f>
        <v/>
      </c>
      <c r="N125" s="80">
        <f>IF(NOT(BOOT_MODE="Test 3"),"",IFERROR(INDEX(BOOT_T,MATCH(F125,BOOT_DATES,0)),""))</f>
        <v/>
      </c>
      <c r="O125" s="84">
        <f>IF(NOT(BOOT_MODE="Test 3"),"",IFERROR(INDEX(BOOT_ZERO,MATCH(F125,BOOT_DATES,0)),""))</f>
        <v/>
      </c>
      <c r="P125" s="89">
        <f>IF(OR(O125="",NOT(ISNUMBER(C125))),"",(O125-C125)*100)</f>
        <v/>
      </c>
      <c r="Q125" s="72">
        <f>IF(OR(M125="",NOT(ISNUMBER(D125))),"",M125-D125)</f>
        <v/>
      </c>
    </row>
    <row r="126">
      <c r="A126" s="68" t="n"/>
      <c r="B126" s="85" t="n"/>
      <c r="C126" s="85" t="n"/>
      <c r="D126" s="69" t="n"/>
      <c r="E126" s="112">
        <f>IF(OR(A126="",$D$106=""),"",IF(RIGHT(A126,1)="W",$D$106+7*VALUE(LEFT(A126,LEN(A126)-1)),IF(RIGHT(A126,1)="M",EDATE($D$106,VALUE(LEFT(A126,LEN(A126)-1))),EDATE($D$106,12*VALUE(LEFT(A126,LEN(A126)-1))))))</f>
        <v/>
      </c>
      <c r="F126" s="112">
        <f>IF(E126="","",IF(MONTH((E126+IF(WEEKDAY(E126,2)=6,2,IF(WEEKDAY(E126,2)=7,1,0))))&lt;&gt;MONTH(E126),(E126-IF(WEEKDAY(E126,2)=6,1,IF(WEEKDAY(E126,2)=7,2,0))),(E126+IF(WEEKDAY(E126,2)=6,2,IF(WEEKDAY(E126,2)=7,1,0)))))</f>
        <v/>
      </c>
      <c r="G126" s="84">
        <f>IF(NOT(BOOT_MODE="Test 3"),"",IFERROR(INDEX(BOOT_S,MATCH(F126,BOOT_DATES,0)),""))</f>
        <v/>
      </c>
      <c r="H126" s="160">
        <f>IF(NOT(BOOT_MODE="Test 3"),"",IFERROR(IF(MATCH(F126,BOOT_DATES,0)&lt;=15,"short  DFspot/(1+S*tau)","annual (DFspot-S*A)/(1+S*tau)"),""))</f>
        <v/>
      </c>
      <c r="I126" s="80">
        <f>IF(NOT(BOOT_MODE="Test 3"),"",IFERROR(IF(MATCH(F126,BOOT_DATES,0)&lt;=15,INDEX(BOOT_TAU0,MATCH(F126,BOOT_DATES,0)),INDEX(BOOT_TAUC,MATCH(F126,BOOT_DATES,0))),""))</f>
        <v/>
      </c>
      <c r="J126" s="76">
        <f>IF(NOT(BOOT_MODE="Test 3"),"",IFERROR(IF(MATCH(F126,BOOT_DATES,0)&lt;=15,0,INDEX(BOOT_ANN,MATCH(F126,BOOT_DATES,0))),""))</f>
        <v/>
      </c>
      <c r="K126" s="76">
        <f>IF(OR(G126="",I126=""),"",BOOT_DFSPOT-(G126/100)*J126)</f>
        <v/>
      </c>
      <c r="L126" s="76">
        <f>IF(OR(G126="",I126=""),"",1+(G126/100)*I126)</f>
        <v/>
      </c>
      <c r="M126" s="76">
        <f>IF(NOT(BOOT_MODE="Test 3"),"",IFERROR(INDEX(BOOT_DF,MATCH(F126,BOOT_DATES,0)),""))</f>
        <v/>
      </c>
      <c r="N126" s="80">
        <f>IF(NOT(BOOT_MODE="Test 3"),"",IFERROR(INDEX(BOOT_T,MATCH(F126,BOOT_DATES,0)),""))</f>
        <v/>
      </c>
      <c r="O126" s="84">
        <f>IF(NOT(BOOT_MODE="Test 3"),"",IFERROR(INDEX(BOOT_ZERO,MATCH(F126,BOOT_DATES,0)),""))</f>
        <v/>
      </c>
      <c r="P126" s="89">
        <f>IF(OR(O126="",NOT(ISNUMBER(C126))),"",(O126-C126)*100)</f>
        <v/>
      </c>
      <c r="Q126" s="72">
        <f>IF(OR(M126="",NOT(ISNUMBER(D126))),"",M126-D126)</f>
        <v/>
      </c>
    </row>
    <row r="127">
      <c r="A127" s="68" t="n"/>
      <c r="B127" s="85" t="n"/>
      <c r="C127" s="85" t="n"/>
      <c r="D127" s="69" t="n"/>
      <c r="E127" s="112">
        <f>IF(OR(A127="",$D$106=""),"",IF(RIGHT(A127,1)="W",$D$106+7*VALUE(LEFT(A127,LEN(A127)-1)),IF(RIGHT(A127,1)="M",EDATE($D$106,VALUE(LEFT(A127,LEN(A127)-1))),EDATE($D$106,12*VALUE(LEFT(A127,LEN(A127)-1))))))</f>
        <v/>
      </c>
      <c r="F127" s="112">
        <f>IF(E127="","",IF(MONTH((E127+IF(WEEKDAY(E127,2)=6,2,IF(WEEKDAY(E127,2)=7,1,0))))&lt;&gt;MONTH(E127),(E127-IF(WEEKDAY(E127,2)=6,1,IF(WEEKDAY(E127,2)=7,2,0))),(E127+IF(WEEKDAY(E127,2)=6,2,IF(WEEKDAY(E127,2)=7,1,0)))))</f>
        <v/>
      </c>
      <c r="G127" s="84">
        <f>IF(NOT(BOOT_MODE="Test 3"),"",IFERROR(INDEX(BOOT_S,MATCH(F127,BOOT_DATES,0)),""))</f>
        <v/>
      </c>
      <c r="H127" s="160">
        <f>IF(NOT(BOOT_MODE="Test 3"),"",IFERROR(IF(MATCH(F127,BOOT_DATES,0)&lt;=15,"short  DFspot/(1+S*tau)","annual (DFspot-S*A)/(1+S*tau)"),""))</f>
        <v/>
      </c>
      <c r="I127" s="80">
        <f>IF(NOT(BOOT_MODE="Test 3"),"",IFERROR(IF(MATCH(F127,BOOT_DATES,0)&lt;=15,INDEX(BOOT_TAU0,MATCH(F127,BOOT_DATES,0)),INDEX(BOOT_TAUC,MATCH(F127,BOOT_DATES,0))),""))</f>
        <v/>
      </c>
      <c r="J127" s="76">
        <f>IF(NOT(BOOT_MODE="Test 3"),"",IFERROR(IF(MATCH(F127,BOOT_DATES,0)&lt;=15,0,INDEX(BOOT_ANN,MATCH(F127,BOOT_DATES,0))),""))</f>
        <v/>
      </c>
      <c r="K127" s="76">
        <f>IF(OR(G127="",I127=""),"",BOOT_DFSPOT-(G127/100)*J127)</f>
        <v/>
      </c>
      <c r="L127" s="76">
        <f>IF(OR(G127="",I127=""),"",1+(G127/100)*I127)</f>
        <v/>
      </c>
      <c r="M127" s="76">
        <f>IF(NOT(BOOT_MODE="Test 3"),"",IFERROR(INDEX(BOOT_DF,MATCH(F127,BOOT_DATES,0)),""))</f>
        <v/>
      </c>
      <c r="N127" s="80">
        <f>IF(NOT(BOOT_MODE="Test 3"),"",IFERROR(INDEX(BOOT_T,MATCH(F127,BOOT_DATES,0)),""))</f>
        <v/>
      </c>
      <c r="O127" s="84">
        <f>IF(NOT(BOOT_MODE="Test 3"),"",IFERROR(INDEX(BOOT_ZERO,MATCH(F127,BOOT_DATES,0)),""))</f>
        <v/>
      </c>
      <c r="P127" s="89">
        <f>IF(OR(O127="",NOT(ISNUMBER(C127))),"",(O127-C127)*100)</f>
        <v/>
      </c>
      <c r="Q127" s="72">
        <f>IF(OR(M127="",NOT(ISNUMBER(D127))),"",M127-D127)</f>
        <v/>
      </c>
    </row>
    <row r="128">
      <c r="A128" s="68" t="n"/>
      <c r="B128" s="85" t="n"/>
      <c r="C128" s="85" t="n"/>
      <c r="D128" s="69" t="n"/>
      <c r="E128" s="112">
        <f>IF(OR(A128="",$D$106=""),"",IF(RIGHT(A128,1)="W",$D$106+7*VALUE(LEFT(A128,LEN(A128)-1)),IF(RIGHT(A128,1)="M",EDATE($D$106,VALUE(LEFT(A128,LEN(A128)-1))),EDATE($D$106,12*VALUE(LEFT(A128,LEN(A128)-1))))))</f>
        <v/>
      </c>
      <c r="F128" s="112">
        <f>IF(E128="","",IF(MONTH((E128+IF(WEEKDAY(E128,2)=6,2,IF(WEEKDAY(E128,2)=7,1,0))))&lt;&gt;MONTH(E128),(E128-IF(WEEKDAY(E128,2)=6,1,IF(WEEKDAY(E128,2)=7,2,0))),(E128+IF(WEEKDAY(E128,2)=6,2,IF(WEEKDAY(E128,2)=7,1,0)))))</f>
        <v/>
      </c>
      <c r="G128" s="84">
        <f>IF(NOT(BOOT_MODE="Test 3"),"",IFERROR(INDEX(BOOT_S,MATCH(F128,BOOT_DATES,0)),""))</f>
        <v/>
      </c>
      <c r="H128" s="160">
        <f>IF(NOT(BOOT_MODE="Test 3"),"",IFERROR(IF(MATCH(F128,BOOT_DATES,0)&lt;=15,"short  DFspot/(1+S*tau)","annual (DFspot-S*A)/(1+S*tau)"),""))</f>
        <v/>
      </c>
      <c r="I128" s="80">
        <f>IF(NOT(BOOT_MODE="Test 3"),"",IFERROR(IF(MATCH(F128,BOOT_DATES,0)&lt;=15,INDEX(BOOT_TAU0,MATCH(F128,BOOT_DATES,0)),INDEX(BOOT_TAUC,MATCH(F128,BOOT_DATES,0))),""))</f>
        <v/>
      </c>
      <c r="J128" s="76">
        <f>IF(NOT(BOOT_MODE="Test 3"),"",IFERROR(IF(MATCH(F128,BOOT_DATES,0)&lt;=15,0,INDEX(BOOT_ANN,MATCH(F128,BOOT_DATES,0))),""))</f>
        <v/>
      </c>
      <c r="K128" s="76">
        <f>IF(OR(G128="",I128=""),"",BOOT_DFSPOT-(G128/100)*J128)</f>
        <v/>
      </c>
      <c r="L128" s="76">
        <f>IF(OR(G128="",I128=""),"",1+(G128/100)*I128)</f>
        <v/>
      </c>
      <c r="M128" s="76">
        <f>IF(NOT(BOOT_MODE="Test 3"),"",IFERROR(INDEX(BOOT_DF,MATCH(F128,BOOT_DATES,0)),""))</f>
        <v/>
      </c>
      <c r="N128" s="80">
        <f>IF(NOT(BOOT_MODE="Test 3"),"",IFERROR(INDEX(BOOT_T,MATCH(F128,BOOT_DATES,0)),""))</f>
        <v/>
      </c>
      <c r="O128" s="84">
        <f>IF(NOT(BOOT_MODE="Test 3"),"",IFERROR(INDEX(BOOT_ZERO,MATCH(F128,BOOT_DATES,0)),""))</f>
        <v/>
      </c>
      <c r="P128" s="89">
        <f>IF(OR(O128="",NOT(ISNUMBER(C128))),"",(O128-C128)*100)</f>
        <v/>
      </c>
      <c r="Q128" s="72">
        <f>IF(OR(M128="",NOT(ISNUMBER(D128))),"",M128-D128)</f>
        <v/>
      </c>
    </row>
    <row r="129">
      <c r="A129" s="68" t="n"/>
      <c r="B129" s="85" t="n"/>
      <c r="C129" s="85" t="n"/>
      <c r="D129" s="69" t="n"/>
      <c r="E129" s="112">
        <f>IF(OR(A129="",$D$106=""),"",IF(RIGHT(A129,1)="W",$D$106+7*VALUE(LEFT(A129,LEN(A129)-1)),IF(RIGHT(A129,1)="M",EDATE($D$106,VALUE(LEFT(A129,LEN(A129)-1))),EDATE($D$106,12*VALUE(LEFT(A129,LEN(A129)-1))))))</f>
        <v/>
      </c>
      <c r="F129" s="112">
        <f>IF(E129="","",IF(MONTH((E129+IF(WEEKDAY(E129,2)=6,2,IF(WEEKDAY(E129,2)=7,1,0))))&lt;&gt;MONTH(E129),(E129-IF(WEEKDAY(E129,2)=6,1,IF(WEEKDAY(E129,2)=7,2,0))),(E129+IF(WEEKDAY(E129,2)=6,2,IF(WEEKDAY(E129,2)=7,1,0)))))</f>
        <v/>
      </c>
      <c r="G129" s="84">
        <f>IF(NOT(BOOT_MODE="Test 3"),"",IFERROR(INDEX(BOOT_S,MATCH(F129,BOOT_DATES,0)),""))</f>
        <v/>
      </c>
      <c r="H129" s="160">
        <f>IF(NOT(BOOT_MODE="Test 3"),"",IFERROR(IF(MATCH(F129,BOOT_DATES,0)&lt;=15,"short  DFspot/(1+S*tau)","annual (DFspot-S*A)/(1+S*tau)"),""))</f>
        <v/>
      </c>
      <c r="I129" s="80">
        <f>IF(NOT(BOOT_MODE="Test 3"),"",IFERROR(IF(MATCH(F129,BOOT_DATES,0)&lt;=15,INDEX(BOOT_TAU0,MATCH(F129,BOOT_DATES,0)),INDEX(BOOT_TAUC,MATCH(F129,BOOT_DATES,0))),""))</f>
        <v/>
      </c>
      <c r="J129" s="76">
        <f>IF(NOT(BOOT_MODE="Test 3"),"",IFERROR(IF(MATCH(F129,BOOT_DATES,0)&lt;=15,0,INDEX(BOOT_ANN,MATCH(F129,BOOT_DATES,0))),""))</f>
        <v/>
      </c>
      <c r="K129" s="76">
        <f>IF(OR(G129="",I129=""),"",BOOT_DFSPOT-(G129/100)*J129)</f>
        <v/>
      </c>
      <c r="L129" s="76">
        <f>IF(OR(G129="",I129=""),"",1+(G129/100)*I129)</f>
        <v/>
      </c>
      <c r="M129" s="76">
        <f>IF(NOT(BOOT_MODE="Test 3"),"",IFERROR(INDEX(BOOT_DF,MATCH(F129,BOOT_DATES,0)),""))</f>
        <v/>
      </c>
      <c r="N129" s="80">
        <f>IF(NOT(BOOT_MODE="Test 3"),"",IFERROR(INDEX(BOOT_T,MATCH(F129,BOOT_DATES,0)),""))</f>
        <v/>
      </c>
      <c r="O129" s="84">
        <f>IF(NOT(BOOT_MODE="Test 3"),"",IFERROR(INDEX(BOOT_ZERO,MATCH(F129,BOOT_DATES,0)),""))</f>
        <v/>
      </c>
      <c r="P129" s="89">
        <f>IF(OR(O129="",NOT(ISNUMBER(C129))),"",(O129-C129)*100)</f>
        <v/>
      </c>
      <c r="Q129" s="72">
        <f>IF(OR(M129="",NOT(ISNUMBER(D129))),"",M129-D129)</f>
        <v/>
      </c>
    </row>
    <row r="130">
      <c r="A130" s="68" t="n"/>
      <c r="B130" s="85" t="n"/>
      <c r="C130" s="85" t="n"/>
      <c r="D130" s="69" t="n"/>
      <c r="E130" s="112">
        <f>IF(OR(A130="",$D$106=""),"",IF(RIGHT(A130,1)="W",$D$106+7*VALUE(LEFT(A130,LEN(A130)-1)),IF(RIGHT(A130,1)="M",EDATE($D$106,VALUE(LEFT(A130,LEN(A130)-1))),EDATE($D$106,12*VALUE(LEFT(A130,LEN(A130)-1))))))</f>
        <v/>
      </c>
      <c r="F130" s="112">
        <f>IF(E130="","",IF(MONTH((E130+IF(WEEKDAY(E130,2)=6,2,IF(WEEKDAY(E130,2)=7,1,0))))&lt;&gt;MONTH(E130),(E130-IF(WEEKDAY(E130,2)=6,1,IF(WEEKDAY(E130,2)=7,2,0))),(E130+IF(WEEKDAY(E130,2)=6,2,IF(WEEKDAY(E130,2)=7,1,0)))))</f>
        <v/>
      </c>
      <c r="G130" s="84">
        <f>IF(NOT(BOOT_MODE="Test 3"),"",IFERROR(INDEX(BOOT_S,MATCH(F130,BOOT_DATES,0)),""))</f>
        <v/>
      </c>
      <c r="H130" s="160">
        <f>IF(NOT(BOOT_MODE="Test 3"),"",IFERROR(IF(MATCH(F130,BOOT_DATES,0)&lt;=15,"short  DFspot/(1+S*tau)","annual (DFspot-S*A)/(1+S*tau)"),""))</f>
        <v/>
      </c>
      <c r="I130" s="80">
        <f>IF(NOT(BOOT_MODE="Test 3"),"",IFERROR(IF(MATCH(F130,BOOT_DATES,0)&lt;=15,INDEX(BOOT_TAU0,MATCH(F130,BOOT_DATES,0)),INDEX(BOOT_TAUC,MATCH(F130,BOOT_DATES,0))),""))</f>
        <v/>
      </c>
      <c r="J130" s="76">
        <f>IF(NOT(BOOT_MODE="Test 3"),"",IFERROR(IF(MATCH(F130,BOOT_DATES,0)&lt;=15,0,INDEX(BOOT_ANN,MATCH(F130,BOOT_DATES,0))),""))</f>
        <v/>
      </c>
      <c r="K130" s="76">
        <f>IF(OR(G130="",I130=""),"",BOOT_DFSPOT-(G130/100)*J130)</f>
        <v/>
      </c>
      <c r="L130" s="76">
        <f>IF(OR(G130="",I130=""),"",1+(G130/100)*I130)</f>
        <v/>
      </c>
      <c r="M130" s="76">
        <f>IF(NOT(BOOT_MODE="Test 3"),"",IFERROR(INDEX(BOOT_DF,MATCH(F130,BOOT_DATES,0)),""))</f>
        <v/>
      </c>
      <c r="N130" s="80">
        <f>IF(NOT(BOOT_MODE="Test 3"),"",IFERROR(INDEX(BOOT_T,MATCH(F130,BOOT_DATES,0)),""))</f>
        <v/>
      </c>
      <c r="O130" s="84">
        <f>IF(NOT(BOOT_MODE="Test 3"),"",IFERROR(INDEX(BOOT_ZERO,MATCH(F130,BOOT_DATES,0)),""))</f>
        <v/>
      </c>
      <c r="P130" s="89">
        <f>IF(OR(O130="",NOT(ISNUMBER(C130))),"",(O130-C130)*100)</f>
        <v/>
      </c>
      <c r="Q130" s="72">
        <f>IF(OR(M130="",NOT(ISNUMBER(D130))),"",M130-D130)</f>
        <v/>
      </c>
    </row>
    <row r="131">
      <c r="A131" s="68" t="n"/>
      <c r="B131" s="85" t="n"/>
      <c r="C131" s="85" t="n"/>
      <c r="D131" s="69" t="n"/>
      <c r="E131" s="112">
        <f>IF(OR(A131="",$D$106=""),"",IF(RIGHT(A131,1)="W",$D$106+7*VALUE(LEFT(A131,LEN(A131)-1)),IF(RIGHT(A131,1)="M",EDATE($D$106,VALUE(LEFT(A131,LEN(A131)-1))),EDATE($D$106,12*VALUE(LEFT(A131,LEN(A131)-1))))))</f>
        <v/>
      </c>
      <c r="F131" s="112">
        <f>IF(E131="","",IF(MONTH((E131+IF(WEEKDAY(E131,2)=6,2,IF(WEEKDAY(E131,2)=7,1,0))))&lt;&gt;MONTH(E131),(E131-IF(WEEKDAY(E131,2)=6,1,IF(WEEKDAY(E131,2)=7,2,0))),(E131+IF(WEEKDAY(E131,2)=6,2,IF(WEEKDAY(E131,2)=7,1,0)))))</f>
        <v/>
      </c>
      <c r="G131" s="84">
        <f>IF(NOT(BOOT_MODE="Test 3"),"",IFERROR(INDEX(BOOT_S,MATCH(F131,BOOT_DATES,0)),""))</f>
        <v/>
      </c>
      <c r="H131" s="160">
        <f>IF(NOT(BOOT_MODE="Test 3"),"",IFERROR(IF(MATCH(F131,BOOT_DATES,0)&lt;=15,"short  DFspot/(1+S*tau)","annual (DFspot-S*A)/(1+S*tau)"),""))</f>
        <v/>
      </c>
      <c r="I131" s="80">
        <f>IF(NOT(BOOT_MODE="Test 3"),"",IFERROR(IF(MATCH(F131,BOOT_DATES,0)&lt;=15,INDEX(BOOT_TAU0,MATCH(F131,BOOT_DATES,0)),INDEX(BOOT_TAUC,MATCH(F131,BOOT_DATES,0))),""))</f>
        <v/>
      </c>
      <c r="J131" s="76">
        <f>IF(NOT(BOOT_MODE="Test 3"),"",IFERROR(IF(MATCH(F131,BOOT_DATES,0)&lt;=15,0,INDEX(BOOT_ANN,MATCH(F131,BOOT_DATES,0))),""))</f>
        <v/>
      </c>
      <c r="K131" s="76">
        <f>IF(OR(G131="",I131=""),"",BOOT_DFSPOT-(G131/100)*J131)</f>
        <v/>
      </c>
      <c r="L131" s="76">
        <f>IF(OR(G131="",I131=""),"",1+(G131/100)*I131)</f>
        <v/>
      </c>
      <c r="M131" s="76">
        <f>IF(NOT(BOOT_MODE="Test 3"),"",IFERROR(INDEX(BOOT_DF,MATCH(F131,BOOT_DATES,0)),""))</f>
        <v/>
      </c>
      <c r="N131" s="80">
        <f>IF(NOT(BOOT_MODE="Test 3"),"",IFERROR(INDEX(BOOT_T,MATCH(F131,BOOT_DATES,0)),""))</f>
        <v/>
      </c>
      <c r="O131" s="84">
        <f>IF(NOT(BOOT_MODE="Test 3"),"",IFERROR(INDEX(BOOT_ZERO,MATCH(F131,BOOT_DATES,0)),""))</f>
        <v/>
      </c>
      <c r="P131" s="89">
        <f>IF(OR(O131="",NOT(ISNUMBER(C131))),"",(O131-C131)*100)</f>
        <v/>
      </c>
      <c r="Q131" s="72">
        <f>IF(OR(M131="",NOT(ISNUMBER(D131))),"",M131-D131)</f>
        <v/>
      </c>
    </row>
    <row r="132">
      <c r="A132" s="68" t="n"/>
      <c r="B132" s="85" t="n"/>
      <c r="C132" s="85" t="n"/>
      <c r="D132" s="69" t="n"/>
      <c r="E132" s="112">
        <f>IF(OR(A132="",$D$106=""),"",IF(RIGHT(A132,1)="W",$D$106+7*VALUE(LEFT(A132,LEN(A132)-1)),IF(RIGHT(A132,1)="M",EDATE($D$106,VALUE(LEFT(A132,LEN(A132)-1))),EDATE($D$106,12*VALUE(LEFT(A132,LEN(A132)-1))))))</f>
        <v/>
      </c>
      <c r="F132" s="112">
        <f>IF(E132="","",IF(MONTH((E132+IF(WEEKDAY(E132,2)=6,2,IF(WEEKDAY(E132,2)=7,1,0))))&lt;&gt;MONTH(E132),(E132-IF(WEEKDAY(E132,2)=6,1,IF(WEEKDAY(E132,2)=7,2,0))),(E132+IF(WEEKDAY(E132,2)=6,2,IF(WEEKDAY(E132,2)=7,1,0)))))</f>
        <v/>
      </c>
      <c r="G132" s="84">
        <f>IF(NOT(BOOT_MODE="Test 3"),"",IFERROR(INDEX(BOOT_S,MATCH(F132,BOOT_DATES,0)),""))</f>
        <v/>
      </c>
      <c r="H132" s="160">
        <f>IF(NOT(BOOT_MODE="Test 3"),"",IFERROR(IF(MATCH(F132,BOOT_DATES,0)&lt;=15,"short  DFspot/(1+S*tau)","annual (DFspot-S*A)/(1+S*tau)"),""))</f>
        <v/>
      </c>
      <c r="I132" s="80">
        <f>IF(NOT(BOOT_MODE="Test 3"),"",IFERROR(IF(MATCH(F132,BOOT_DATES,0)&lt;=15,INDEX(BOOT_TAU0,MATCH(F132,BOOT_DATES,0)),INDEX(BOOT_TAUC,MATCH(F132,BOOT_DATES,0))),""))</f>
        <v/>
      </c>
      <c r="J132" s="76">
        <f>IF(NOT(BOOT_MODE="Test 3"),"",IFERROR(IF(MATCH(F132,BOOT_DATES,0)&lt;=15,0,INDEX(BOOT_ANN,MATCH(F132,BOOT_DATES,0))),""))</f>
        <v/>
      </c>
      <c r="K132" s="76">
        <f>IF(OR(G132="",I132=""),"",BOOT_DFSPOT-(G132/100)*J132)</f>
        <v/>
      </c>
      <c r="L132" s="76">
        <f>IF(OR(G132="",I132=""),"",1+(G132/100)*I132)</f>
        <v/>
      </c>
      <c r="M132" s="76">
        <f>IF(NOT(BOOT_MODE="Test 3"),"",IFERROR(INDEX(BOOT_DF,MATCH(F132,BOOT_DATES,0)),""))</f>
        <v/>
      </c>
      <c r="N132" s="80">
        <f>IF(NOT(BOOT_MODE="Test 3"),"",IFERROR(INDEX(BOOT_T,MATCH(F132,BOOT_DATES,0)),""))</f>
        <v/>
      </c>
      <c r="O132" s="84">
        <f>IF(NOT(BOOT_MODE="Test 3"),"",IFERROR(INDEX(BOOT_ZERO,MATCH(F132,BOOT_DATES,0)),""))</f>
        <v/>
      </c>
      <c r="P132" s="89">
        <f>IF(OR(O132="",NOT(ISNUMBER(C132))),"",(O132-C132)*100)</f>
        <v/>
      </c>
      <c r="Q132" s="72">
        <f>IF(OR(M132="",NOT(ISNUMBER(D132))),"",M132-D132)</f>
        <v/>
      </c>
    </row>
    <row r="133">
      <c r="A133" s="68" t="n"/>
      <c r="B133" s="85" t="n"/>
      <c r="C133" s="85" t="n"/>
      <c r="D133" s="69" t="n"/>
      <c r="E133" s="112">
        <f>IF(OR(A133="",$D$106=""),"",IF(RIGHT(A133,1)="W",$D$106+7*VALUE(LEFT(A133,LEN(A133)-1)),IF(RIGHT(A133,1)="M",EDATE($D$106,VALUE(LEFT(A133,LEN(A133)-1))),EDATE($D$106,12*VALUE(LEFT(A133,LEN(A133)-1))))))</f>
        <v/>
      </c>
      <c r="F133" s="112">
        <f>IF(E133="","",IF(MONTH((E133+IF(WEEKDAY(E133,2)=6,2,IF(WEEKDAY(E133,2)=7,1,0))))&lt;&gt;MONTH(E133),(E133-IF(WEEKDAY(E133,2)=6,1,IF(WEEKDAY(E133,2)=7,2,0))),(E133+IF(WEEKDAY(E133,2)=6,2,IF(WEEKDAY(E133,2)=7,1,0)))))</f>
        <v/>
      </c>
      <c r="G133" s="84">
        <f>IF(NOT(BOOT_MODE="Test 3"),"",IFERROR(INDEX(BOOT_S,MATCH(F133,BOOT_DATES,0)),""))</f>
        <v/>
      </c>
      <c r="H133" s="160">
        <f>IF(NOT(BOOT_MODE="Test 3"),"",IFERROR(IF(MATCH(F133,BOOT_DATES,0)&lt;=15,"short  DFspot/(1+S*tau)","annual (DFspot-S*A)/(1+S*tau)"),""))</f>
        <v/>
      </c>
      <c r="I133" s="80">
        <f>IF(NOT(BOOT_MODE="Test 3"),"",IFERROR(IF(MATCH(F133,BOOT_DATES,0)&lt;=15,INDEX(BOOT_TAU0,MATCH(F133,BOOT_DATES,0)),INDEX(BOOT_TAUC,MATCH(F133,BOOT_DATES,0))),""))</f>
        <v/>
      </c>
      <c r="J133" s="76">
        <f>IF(NOT(BOOT_MODE="Test 3"),"",IFERROR(IF(MATCH(F133,BOOT_DATES,0)&lt;=15,0,INDEX(BOOT_ANN,MATCH(F133,BOOT_DATES,0))),""))</f>
        <v/>
      </c>
      <c r="K133" s="76">
        <f>IF(OR(G133="",I133=""),"",BOOT_DFSPOT-(G133/100)*J133)</f>
        <v/>
      </c>
      <c r="L133" s="76">
        <f>IF(OR(G133="",I133=""),"",1+(G133/100)*I133)</f>
        <v/>
      </c>
      <c r="M133" s="76">
        <f>IF(NOT(BOOT_MODE="Test 3"),"",IFERROR(INDEX(BOOT_DF,MATCH(F133,BOOT_DATES,0)),""))</f>
        <v/>
      </c>
      <c r="N133" s="80">
        <f>IF(NOT(BOOT_MODE="Test 3"),"",IFERROR(INDEX(BOOT_T,MATCH(F133,BOOT_DATES,0)),""))</f>
        <v/>
      </c>
      <c r="O133" s="84">
        <f>IF(NOT(BOOT_MODE="Test 3"),"",IFERROR(INDEX(BOOT_ZERO,MATCH(F133,BOOT_DATES,0)),""))</f>
        <v/>
      </c>
      <c r="P133" s="89">
        <f>IF(OR(O133="",NOT(ISNUMBER(C133))),"",(O133-C133)*100)</f>
        <v/>
      </c>
      <c r="Q133" s="72">
        <f>IF(OR(M133="",NOT(ISNUMBER(D133))),"",M133-D133)</f>
        <v/>
      </c>
    </row>
    <row r="134">
      <c r="A134" s="68" t="n"/>
      <c r="B134" s="85" t="n"/>
      <c r="C134" s="85" t="n"/>
      <c r="D134" s="69" t="n"/>
      <c r="E134" s="112">
        <f>IF(OR(A134="",$D$106=""),"",IF(RIGHT(A134,1)="W",$D$106+7*VALUE(LEFT(A134,LEN(A134)-1)),IF(RIGHT(A134,1)="M",EDATE($D$106,VALUE(LEFT(A134,LEN(A134)-1))),EDATE($D$106,12*VALUE(LEFT(A134,LEN(A134)-1))))))</f>
        <v/>
      </c>
      <c r="F134" s="112">
        <f>IF(E134="","",IF(MONTH((E134+IF(WEEKDAY(E134,2)=6,2,IF(WEEKDAY(E134,2)=7,1,0))))&lt;&gt;MONTH(E134),(E134-IF(WEEKDAY(E134,2)=6,1,IF(WEEKDAY(E134,2)=7,2,0))),(E134+IF(WEEKDAY(E134,2)=6,2,IF(WEEKDAY(E134,2)=7,1,0)))))</f>
        <v/>
      </c>
      <c r="G134" s="84">
        <f>IF(NOT(BOOT_MODE="Test 3"),"",IFERROR(INDEX(BOOT_S,MATCH(F134,BOOT_DATES,0)),""))</f>
        <v/>
      </c>
      <c r="H134" s="160">
        <f>IF(NOT(BOOT_MODE="Test 3"),"",IFERROR(IF(MATCH(F134,BOOT_DATES,0)&lt;=15,"short  DFspot/(1+S*tau)","annual (DFspot-S*A)/(1+S*tau)"),""))</f>
        <v/>
      </c>
      <c r="I134" s="80">
        <f>IF(NOT(BOOT_MODE="Test 3"),"",IFERROR(IF(MATCH(F134,BOOT_DATES,0)&lt;=15,INDEX(BOOT_TAU0,MATCH(F134,BOOT_DATES,0)),INDEX(BOOT_TAUC,MATCH(F134,BOOT_DATES,0))),""))</f>
        <v/>
      </c>
      <c r="J134" s="76">
        <f>IF(NOT(BOOT_MODE="Test 3"),"",IFERROR(IF(MATCH(F134,BOOT_DATES,0)&lt;=15,0,INDEX(BOOT_ANN,MATCH(F134,BOOT_DATES,0))),""))</f>
        <v/>
      </c>
      <c r="K134" s="76">
        <f>IF(OR(G134="",I134=""),"",BOOT_DFSPOT-(G134/100)*J134)</f>
        <v/>
      </c>
      <c r="L134" s="76">
        <f>IF(OR(G134="",I134=""),"",1+(G134/100)*I134)</f>
        <v/>
      </c>
      <c r="M134" s="76">
        <f>IF(NOT(BOOT_MODE="Test 3"),"",IFERROR(INDEX(BOOT_DF,MATCH(F134,BOOT_DATES,0)),""))</f>
        <v/>
      </c>
      <c r="N134" s="80">
        <f>IF(NOT(BOOT_MODE="Test 3"),"",IFERROR(INDEX(BOOT_T,MATCH(F134,BOOT_DATES,0)),""))</f>
        <v/>
      </c>
      <c r="O134" s="84">
        <f>IF(NOT(BOOT_MODE="Test 3"),"",IFERROR(INDEX(BOOT_ZERO,MATCH(F134,BOOT_DATES,0)),""))</f>
        <v/>
      </c>
      <c r="P134" s="89">
        <f>IF(OR(O134="",NOT(ISNUMBER(C134))),"",(O134-C134)*100)</f>
        <v/>
      </c>
      <c r="Q134" s="72">
        <f>IF(OR(M134="",NOT(ISNUMBER(D134))),"",M134-D134)</f>
        <v/>
      </c>
    </row>
    <row r="135">
      <c r="A135" s="68" t="n"/>
      <c r="B135" s="85" t="n"/>
      <c r="C135" s="85" t="n"/>
      <c r="D135" s="69" t="n"/>
      <c r="E135" s="112">
        <f>IF(OR(A135="",$D$106=""),"",IF(RIGHT(A135,1)="W",$D$106+7*VALUE(LEFT(A135,LEN(A135)-1)),IF(RIGHT(A135,1)="M",EDATE($D$106,VALUE(LEFT(A135,LEN(A135)-1))),EDATE($D$106,12*VALUE(LEFT(A135,LEN(A135)-1))))))</f>
        <v/>
      </c>
      <c r="F135" s="112">
        <f>IF(E135="","",IF(MONTH((E135+IF(WEEKDAY(E135,2)=6,2,IF(WEEKDAY(E135,2)=7,1,0))))&lt;&gt;MONTH(E135),(E135-IF(WEEKDAY(E135,2)=6,1,IF(WEEKDAY(E135,2)=7,2,0))),(E135+IF(WEEKDAY(E135,2)=6,2,IF(WEEKDAY(E135,2)=7,1,0)))))</f>
        <v/>
      </c>
      <c r="G135" s="84">
        <f>IF(NOT(BOOT_MODE="Test 3"),"",IFERROR(INDEX(BOOT_S,MATCH(F135,BOOT_DATES,0)),""))</f>
        <v/>
      </c>
      <c r="H135" s="160">
        <f>IF(NOT(BOOT_MODE="Test 3"),"",IFERROR(IF(MATCH(F135,BOOT_DATES,0)&lt;=15,"short  DFspot/(1+S*tau)","annual (DFspot-S*A)/(1+S*tau)"),""))</f>
        <v/>
      </c>
      <c r="I135" s="80">
        <f>IF(NOT(BOOT_MODE="Test 3"),"",IFERROR(IF(MATCH(F135,BOOT_DATES,0)&lt;=15,INDEX(BOOT_TAU0,MATCH(F135,BOOT_DATES,0)),INDEX(BOOT_TAUC,MATCH(F135,BOOT_DATES,0))),""))</f>
        <v/>
      </c>
      <c r="J135" s="76">
        <f>IF(NOT(BOOT_MODE="Test 3"),"",IFERROR(IF(MATCH(F135,BOOT_DATES,0)&lt;=15,0,INDEX(BOOT_ANN,MATCH(F135,BOOT_DATES,0))),""))</f>
        <v/>
      </c>
      <c r="K135" s="76">
        <f>IF(OR(G135="",I135=""),"",BOOT_DFSPOT-(G135/100)*J135)</f>
        <v/>
      </c>
      <c r="L135" s="76">
        <f>IF(OR(G135="",I135=""),"",1+(G135/100)*I135)</f>
        <v/>
      </c>
      <c r="M135" s="76">
        <f>IF(NOT(BOOT_MODE="Test 3"),"",IFERROR(INDEX(BOOT_DF,MATCH(F135,BOOT_DATES,0)),""))</f>
        <v/>
      </c>
      <c r="N135" s="80">
        <f>IF(NOT(BOOT_MODE="Test 3"),"",IFERROR(INDEX(BOOT_T,MATCH(F135,BOOT_DATES,0)),""))</f>
        <v/>
      </c>
      <c r="O135" s="84">
        <f>IF(NOT(BOOT_MODE="Test 3"),"",IFERROR(INDEX(BOOT_ZERO,MATCH(F135,BOOT_DATES,0)),""))</f>
        <v/>
      </c>
      <c r="P135" s="89">
        <f>IF(OR(O135="",NOT(ISNUMBER(C135))),"",(O135-C135)*100)</f>
        <v/>
      </c>
      <c r="Q135" s="72">
        <f>IF(OR(M135="",NOT(ISNUMBER(D135))),"",M135-D135)</f>
        <v/>
      </c>
    </row>
    <row r="136">
      <c r="A136" s="68" t="n"/>
      <c r="B136" s="85" t="n"/>
      <c r="C136" s="85" t="n"/>
      <c r="D136" s="69" t="n"/>
      <c r="E136" s="112">
        <f>IF(OR(A136="",$D$106=""),"",IF(RIGHT(A136,1)="W",$D$106+7*VALUE(LEFT(A136,LEN(A136)-1)),IF(RIGHT(A136,1)="M",EDATE($D$106,VALUE(LEFT(A136,LEN(A136)-1))),EDATE($D$106,12*VALUE(LEFT(A136,LEN(A136)-1))))))</f>
        <v/>
      </c>
      <c r="F136" s="112">
        <f>IF(E136="","",IF(MONTH((E136+IF(WEEKDAY(E136,2)=6,2,IF(WEEKDAY(E136,2)=7,1,0))))&lt;&gt;MONTH(E136),(E136-IF(WEEKDAY(E136,2)=6,1,IF(WEEKDAY(E136,2)=7,2,0))),(E136+IF(WEEKDAY(E136,2)=6,2,IF(WEEKDAY(E136,2)=7,1,0)))))</f>
        <v/>
      </c>
      <c r="G136" s="84">
        <f>IF(NOT(BOOT_MODE="Test 3"),"",IFERROR(INDEX(BOOT_S,MATCH(F136,BOOT_DATES,0)),""))</f>
        <v/>
      </c>
      <c r="H136" s="160">
        <f>IF(NOT(BOOT_MODE="Test 3"),"",IFERROR(IF(MATCH(F136,BOOT_DATES,0)&lt;=15,"short  DFspot/(1+S*tau)","annual (DFspot-S*A)/(1+S*tau)"),""))</f>
        <v/>
      </c>
      <c r="I136" s="80">
        <f>IF(NOT(BOOT_MODE="Test 3"),"",IFERROR(IF(MATCH(F136,BOOT_DATES,0)&lt;=15,INDEX(BOOT_TAU0,MATCH(F136,BOOT_DATES,0)),INDEX(BOOT_TAUC,MATCH(F136,BOOT_DATES,0))),""))</f>
        <v/>
      </c>
      <c r="J136" s="76">
        <f>IF(NOT(BOOT_MODE="Test 3"),"",IFERROR(IF(MATCH(F136,BOOT_DATES,0)&lt;=15,0,INDEX(BOOT_ANN,MATCH(F136,BOOT_DATES,0))),""))</f>
        <v/>
      </c>
      <c r="K136" s="76">
        <f>IF(OR(G136="",I136=""),"",BOOT_DFSPOT-(G136/100)*J136)</f>
        <v/>
      </c>
      <c r="L136" s="76">
        <f>IF(OR(G136="",I136=""),"",1+(G136/100)*I136)</f>
        <v/>
      </c>
      <c r="M136" s="76">
        <f>IF(NOT(BOOT_MODE="Test 3"),"",IFERROR(INDEX(BOOT_DF,MATCH(F136,BOOT_DATES,0)),""))</f>
        <v/>
      </c>
      <c r="N136" s="80">
        <f>IF(NOT(BOOT_MODE="Test 3"),"",IFERROR(INDEX(BOOT_T,MATCH(F136,BOOT_DATES,0)),""))</f>
        <v/>
      </c>
      <c r="O136" s="84">
        <f>IF(NOT(BOOT_MODE="Test 3"),"",IFERROR(INDEX(BOOT_ZERO,MATCH(F136,BOOT_DATES,0)),""))</f>
        <v/>
      </c>
      <c r="P136" s="89">
        <f>IF(OR(O136="",NOT(ISNUMBER(C136))),"",(O136-C136)*100)</f>
        <v/>
      </c>
      <c r="Q136" s="72">
        <f>IF(OR(M136="",NOT(ISNUMBER(D136))),"",M136-D136)</f>
        <v/>
      </c>
    </row>
    <row r="137">
      <c r="A137" s="68" t="n"/>
      <c r="B137" s="85" t="n"/>
      <c r="C137" s="85" t="n"/>
      <c r="D137" s="69" t="n"/>
      <c r="E137" s="112">
        <f>IF(OR(A137="",$D$106=""),"",IF(RIGHT(A137,1)="W",$D$106+7*VALUE(LEFT(A137,LEN(A137)-1)),IF(RIGHT(A137,1)="M",EDATE($D$106,VALUE(LEFT(A137,LEN(A137)-1))),EDATE($D$106,12*VALUE(LEFT(A137,LEN(A137)-1))))))</f>
        <v/>
      </c>
      <c r="F137" s="112">
        <f>IF(E137="","",IF(MONTH((E137+IF(WEEKDAY(E137,2)=6,2,IF(WEEKDAY(E137,2)=7,1,0))))&lt;&gt;MONTH(E137),(E137-IF(WEEKDAY(E137,2)=6,1,IF(WEEKDAY(E137,2)=7,2,0))),(E137+IF(WEEKDAY(E137,2)=6,2,IF(WEEKDAY(E137,2)=7,1,0)))))</f>
        <v/>
      </c>
      <c r="G137" s="84">
        <f>IF(NOT(BOOT_MODE="Test 3"),"",IFERROR(INDEX(BOOT_S,MATCH(F137,BOOT_DATES,0)),""))</f>
        <v/>
      </c>
      <c r="H137" s="160">
        <f>IF(NOT(BOOT_MODE="Test 3"),"",IFERROR(IF(MATCH(F137,BOOT_DATES,0)&lt;=15,"short  DFspot/(1+S*tau)","annual (DFspot-S*A)/(1+S*tau)"),""))</f>
        <v/>
      </c>
      <c r="I137" s="80">
        <f>IF(NOT(BOOT_MODE="Test 3"),"",IFERROR(IF(MATCH(F137,BOOT_DATES,0)&lt;=15,INDEX(BOOT_TAU0,MATCH(F137,BOOT_DATES,0)),INDEX(BOOT_TAUC,MATCH(F137,BOOT_DATES,0))),""))</f>
        <v/>
      </c>
      <c r="J137" s="76">
        <f>IF(NOT(BOOT_MODE="Test 3"),"",IFERROR(IF(MATCH(F137,BOOT_DATES,0)&lt;=15,0,INDEX(BOOT_ANN,MATCH(F137,BOOT_DATES,0))),""))</f>
        <v/>
      </c>
      <c r="K137" s="76">
        <f>IF(OR(G137="",I137=""),"",BOOT_DFSPOT-(G137/100)*J137)</f>
        <v/>
      </c>
      <c r="L137" s="76">
        <f>IF(OR(G137="",I137=""),"",1+(G137/100)*I137)</f>
        <v/>
      </c>
      <c r="M137" s="76">
        <f>IF(NOT(BOOT_MODE="Test 3"),"",IFERROR(INDEX(BOOT_DF,MATCH(F137,BOOT_DATES,0)),""))</f>
        <v/>
      </c>
      <c r="N137" s="80">
        <f>IF(NOT(BOOT_MODE="Test 3"),"",IFERROR(INDEX(BOOT_T,MATCH(F137,BOOT_DATES,0)),""))</f>
        <v/>
      </c>
      <c r="O137" s="84">
        <f>IF(NOT(BOOT_MODE="Test 3"),"",IFERROR(INDEX(BOOT_ZERO,MATCH(F137,BOOT_DATES,0)),""))</f>
        <v/>
      </c>
      <c r="P137" s="89">
        <f>IF(OR(O137="",NOT(ISNUMBER(C137))),"",(O137-C137)*100)</f>
        <v/>
      </c>
      <c r="Q137" s="72">
        <f>IF(OR(M137="",NOT(ISNUMBER(D137))),"",M137-D137)</f>
        <v/>
      </c>
    </row>
    <row r="138">
      <c r="A138" s="68" t="n"/>
      <c r="B138" s="85" t="n"/>
      <c r="C138" s="85" t="n"/>
      <c r="D138" s="69" t="n"/>
      <c r="E138" s="112">
        <f>IF(OR(A138="",$D$106=""),"",IF(RIGHT(A138,1)="W",$D$106+7*VALUE(LEFT(A138,LEN(A138)-1)),IF(RIGHT(A138,1)="M",EDATE($D$106,VALUE(LEFT(A138,LEN(A138)-1))),EDATE($D$106,12*VALUE(LEFT(A138,LEN(A138)-1))))))</f>
        <v/>
      </c>
      <c r="F138" s="112">
        <f>IF(E138="","",IF(MONTH((E138+IF(WEEKDAY(E138,2)=6,2,IF(WEEKDAY(E138,2)=7,1,0))))&lt;&gt;MONTH(E138),(E138-IF(WEEKDAY(E138,2)=6,1,IF(WEEKDAY(E138,2)=7,2,0))),(E138+IF(WEEKDAY(E138,2)=6,2,IF(WEEKDAY(E138,2)=7,1,0)))))</f>
        <v/>
      </c>
      <c r="G138" s="84">
        <f>IF(NOT(BOOT_MODE="Test 3"),"",IFERROR(INDEX(BOOT_S,MATCH(F138,BOOT_DATES,0)),""))</f>
        <v/>
      </c>
      <c r="H138" s="160">
        <f>IF(NOT(BOOT_MODE="Test 3"),"",IFERROR(IF(MATCH(F138,BOOT_DATES,0)&lt;=15,"short  DFspot/(1+S*tau)","annual (DFspot-S*A)/(1+S*tau)"),""))</f>
        <v/>
      </c>
      <c r="I138" s="80">
        <f>IF(NOT(BOOT_MODE="Test 3"),"",IFERROR(IF(MATCH(F138,BOOT_DATES,0)&lt;=15,INDEX(BOOT_TAU0,MATCH(F138,BOOT_DATES,0)),INDEX(BOOT_TAUC,MATCH(F138,BOOT_DATES,0))),""))</f>
        <v/>
      </c>
      <c r="J138" s="76">
        <f>IF(NOT(BOOT_MODE="Test 3"),"",IFERROR(IF(MATCH(F138,BOOT_DATES,0)&lt;=15,0,INDEX(BOOT_ANN,MATCH(F138,BOOT_DATES,0))),""))</f>
        <v/>
      </c>
      <c r="K138" s="76">
        <f>IF(OR(G138="",I138=""),"",BOOT_DFSPOT-(G138/100)*J138)</f>
        <v/>
      </c>
      <c r="L138" s="76">
        <f>IF(OR(G138="",I138=""),"",1+(G138/100)*I138)</f>
        <v/>
      </c>
      <c r="M138" s="76">
        <f>IF(NOT(BOOT_MODE="Test 3"),"",IFERROR(INDEX(BOOT_DF,MATCH(F138,BOOT_DATES,0)),""))</f>
        <v/>
      </c>
      <c r="N138" s="80">
        <f>IF(NOT(BOOT_MODE="Test 3"),"",IFERROR(INDEX(BOOT_T,MATCH(F138,BOOT_DATES,0)),""))</f>
        <v/>
      </c>
      <c r="O138" s="84">
        <f>IF(NOT(BOOT_MODE="Test 3"),"",IFERROR(INDEX(BOOT_ZERO,MATCH(F138,BOOT_DATES,0)),""))</f>
        <v/>
      </c>
      <c r="P138" s="89">
        <f>IF(OR(O138="",NOT(ISNUMBER(C138))),"",(O138-C138)*100)</f>
        <v/>
      </c>
      <c r="Q138" s="72">
        <f>IF(OR(M138="",NOT(ISNUMBER(D138))),"",M138-D138)</f>
        <v/>
      </c>
    </row>
    <row r="139">
      <c r="A139" s="68" t="n"/>
      <c r="B139" s="85" t="n"/>
      <c r="C139" s="85" t="n"/>
      <c r="D139" s="69" t="n"/>
      <c r="E139" s="112">
        <f>IF(OR(A139="",$D$106=""),"",IF(RIGHT(A139,1)="W",$D$106+7*VALUE(LEFT(A139,LEN(A139)-1)),IF(RIGHT(A139,1)="M",EDATE($D$106,VALUE(LEFT(A139,LEN(A139)-1))),EDATE($D$106,12*VALUE(LEFT(A139,LEN(A139)-1))))))</f>
        <v/>
      </c>
      <c r="F139" s="112">
        <f>IF(E139="","",IF(MONTH((E139+IF(WEEKDAY(E139,2)=6,2,IF(WEEKDAY(E139,2)=7,1,0))))&lt;&gt;MONTH(E139),(E139-IF(WEEKDAY(E139,2)=6,1,IF(WEEKDAY(E139,2)=7,2,0))),(E139+IF(WEEKDAY(E139,2)=6,2,IF(WEEKDAY(E139,2)=7,1,0)))))</f>
        <v/>
      </c>
      <c r="G139" s="84">
        <f>IF(NOT(BOOT_MODE="Test 3"),"",IFERROR(INDEX(BOOT_S,MATCH(F139,BOOT_DATES,0)),""))</f>
        <v/>
      </c>
      <c r="H139" s="160">
        <f>IF(NOT(BOOT_MODE="Test 3"),"",IFERROR(IF(MATCH(F139,BOOT_DATES,0)&lt;=15,"short  DFspot/(1+S*tau)","annual (DFspot-S*A)/(1+S*tau)"),""))</f>
        <v/>
      </c>
      <c r="I139" s="80">
        <f>IF(NOT(BOOT_MODE="Test 3"),"",IFERROR(IF(MATCH(F139,BOOT_DATES,0)&lt;=15,INDEX(BOOT_TAU0,MATCH(F139,BOOT_DATES,0)),INDEX(BOOT_TAUC,MATCH(F139,BOOT_DATES,0))),""))</f>
        <v/>
      </c>
      <c r="J139" s="76">
        <f>IF(NOT(BOOT_MODE="Test 3"),"",IFERROR(IF(MATCH(F139,BOOT_DATES,0)&lt;=15,0,INDEX(BOOT_ANN,MATCH(F139,BOOT_DATES,0))),""))</f>
        <v/>
      </c>
      <c r="K139" s="76">
        <f>IF(OR(G139="",I139=""),"",BOOT_DFSPOT-(G139/100)*J139)</f>
        <v/>
      </c>
      <c r="L139" s="76">
        <f>IF(OR(G139="",I139=""),"",1+(G139/100)*I139)</f>
        <v/>
      </c>
      <c r="M139" s="76">
        <f>IF(NOT(BOOT_MODE="Test 3"),"",IFERROR(INDEX(BOOT_DF,MATCH(F139,BOOT_DATES,0)),""))</f>
        <v/>
      </c>
      <c r="N139" s="80">
        <f>IF(NOT(BOOT_MODE="Test 3"),"",IFERROR(INDEX(BOOT_T,MATCH(F139,BOOT_DATES,0)),""))</f>
        <v/>
      </c>
      <c r="O139" s="84">
        <f>IF(NOT(BOOT_MODE="Test 3"),"",IFERROR(INDEX(BOOT_ZERO,MATCH(F139,BOOT_DATES,0)),""))</f>
        <v/>
      </c>
      <c r="P139" s="89">
        <f>IF(OR(O139="",NOT(ISNUMBER(C139))),"",(O139-C139)*100)</f>
        <v/>
      </c>
      <c r="Q139" s="72">
        <f>IF(OR(M139="",NOT(ISNUMBER(D139))),"",M139-D139)</f>
        <v/>
      </c>
    </row>
    <row r="140">
      <c r="A140" s="68" t="n"/>
      <c r="B140" s="85" t="n"/>
      <c r="C140" s="85" t="n"/>
      <c r="D140" s="69" t="n"/>
      <c r="E140" s="112">
        <f>IF(OR(A140="",$D$106=""),"",IF(RIGHT(A140,1)="W",$D$106+7*VALUE(LEFT(A140,LEN(A140)-1)),IF(RIGHT(A140,1)="M",EDATE($D$106,VALUE(LEFT(A140,LEN(A140)-1))),EDATE($D$106,12*VALUE(LEFT(A140,LEN(A140)-1))))))</f>
        <v/>
      </c>
      <c r="F140" s="112">
        <f>IF(E140="","",IF(MONTH((E140+IF(WEEKDAY(E140,2)=6,2,IF(WEEKDAY(E140,2)=7,1,0))))&lt;&gt;MONTH(E140),(E140-IF(WEEKDAY(E140,2)=6,1,IF(WEEKDAY(E140,2)=7,2,0))),(E140+IF(WEEKDAY(E140,2)=6,2,IF(WEEKDAY(E140,2)=7,1,0)))))</f>
        <v/>
      </c>
      <c r="G140" s="84">
        <f>IF(NOT(BOOT_MODE="Test 3"),"",IFERROR(INDEX(BOOT_S,MATCH(F140,BOOT_DATES,0)),""))</f>
        <v/>
      </c>
      <c r="H140" s="160">
        <f>IF(NOT(BOOT_MODE="Test 3"),"",IFERROR(IF(MATCH(F140,BOOT_DATES,0)&lt;=15,"short  DFspot/(1+S*tau)","annual (DFspot-S*A)/(1+S*tau)"),""))</f>
        <v/>
      </c>
      <c r="I140" s="80">
        <f>IF(NOT(BOOT_MODE="Test 3"),"",IFERROR(IF(MATCH(F140,BOOT_DATES,0)&lt;=15,INDEX(BOOT_TAU0,MATCH(F140,BOOT_DATES,0)),INDEX(BOOT_TAUC,MATCH(F140,BOOT_DATES,0))),""))</f>
        <v/>
      </c>
      <c r="J140" s="76">
        <f>IF(NOT(BOOT_MODE="Test 3"),"",IFERROR(IF(MATCH(F140,BOOT_DATES,0)&lt;=15,0,INDEX(BOOT_ANN,MATCH(F140,BOOT_DATES,0))),""))</f>
        <v/>
      </c>
      <c r="K140" s="76">
        <f>IF(OR(G140="",I140=""),"",BOOT_DFSPOT-(G140/100)*J140)</f>
        <v/>
      </c>
      <c r="L140" s="76">
        <f>IF(OR(G140="",I140=""),"",1+(G140/100)*I140)</f>
        <v/>
      </c>
      <c r="M140" s="76">
        <f>IF(NOT(BOOT_MODE="Test 3"),"",IFERROR(INDEX(BOOT_DF,MATCH(F140,BOOT_DATES,0)),""))</f>
        <v/>
      </c>
      <c r="N140" s="80">
        <f>IF(NOT(BOOT_MODE="Test 3"),"",IFERROR(INDEX(BOOT_T,MATCH(F140,BOOT_DATES,0)),""))</f>
        <v/>
      </c>
      <c r="O140" s="84">
        <f>IF(NOT(BOOT_MODE="Test 3"),"",IFERROR(INDEX(BOOT_ZERO,MATCH(F140,BOOT_DATES,0)),""))</f>
        <v/>
      </c>
      <c r="P140" s="89">
        <f>IF(OR(O140="",NOT(ISNUMBER(C140))),"",(O140-C140)*100)</f>
        <v/>
      </c>
      <c r="Q140" s="72">
        <f>IF(OR(M140="",NOT(ISNUMBER(D140))),"",M140-D140)</f>
        <v/>
      </c>
    </row>
    <row r="141">
      <c r="A141" s="68" t="n"/>
      <c r="B141" s="85" t="n"/>
      <c r="C141" s="85" t="n"/>
      <c r="D141" s="69" t="n"/>
      <c r="E141" s="112">
        <f>IF(OR(A141="",$D$106=""),"",IF(RIGHT(A141,1)="W",$D$106+7*VALUE(LEFT(A141,LEN(A141)-1)),IF(RIGHT(A141,1)="M",EDATE($D$106,VALUE(LEFT(A141,LEN(A141)-1))),EDATE($D$106,12*VALUE(LEFT(A141,LEN(A141)-1))))))</f>
        <v/>
      </c>
      <c r="F141" s="112">
        <f>IF(E141="","",IF(MONTH((E141+IF(WEEKDAY(E141,2)=6,2,IF(WEEKDAY(E141,2)=7,1,0))))&lt;&gt;MONTH(E141),(E141-IF(WEEKDAY(E141,2)=6,1,IF(WEEKDAY(E141,2)=7,2,0))),(E141+IF(WEEKDAY(E141,2)=6,2,IF(WEEKDAY(E141,2)=7,1,0)))))</f>
        <v/>
      </c>
      <c r="G141" s="84">
        <f>IF(NOT(BOOT_MODE="Test 3"),"",IFERROR(INDEX(BOOT_S,MATCH(F141,BOOT_DATES,0)),""))</f>
        <v/>
      </c>
      <c r="H141" s="160">
        <f>IF(NOT(BOOT_MODE="Test 3"),"",IFERROR(IF(MATCH(F141,BOOT_DATES,0)&lt;=15,"short  DFspot/(1+S*tau)","annual (DFspot-S*A)/(1+S*tau)"),""))</f>
        <v/>
      </c>
      <c r="I141" s="80">
        <f>IF(NOT(BOOT_MODE="Test 3"),"",IFERROR(IF(MATCH(F141,BOOT_DATES,0)&lt;=15,INDEX(BOOT_TAU0,MATCH(F141,BOOT_DATES,0)),INDEX(BOOT_TAUC,MATCH(F141,BOOT_DATES,0))),""))</f>
        <v/>
      </c>
      <c r="J141" s="76">
        <f>IF(NOT(BOOT_MODE="Test 3"),"",IFERROR(IF(MATCH(F141,BOOT_DATES,0)&lt;=15,0,INDEX(BOOT_ANN,MATCH(F141,BOOT_DATES,0))),""))</f>
        <v/>
      </c>
      <c r="K141" s="76">
        <f>IF(OR(G141="",I141=""),"",BOOT_DFSPOT-(G141/100)*J141)</f>
        <v/>
      </c>
      <c r="L141" s="76">
        <f>IF(OR(G141="",I141=""),"",1+(G141/100)*I141)</f>
        <v/>
      </c>
      <c r="M141" s="76">
        <f>IF(NOT(BOOT_MODE="Test 3"),"",IFERROR(INDEX(BOOT_DF,MATCH(F141,BOOT_DATES,0)),""))</f>
        <v/>
      </c>
      <c r="N141" s="80">
        <f>IF(NOT(BOOT_MODE="Test 3"),"",IFERROR(INDEX(BOOT_T,MATCH(F141,BOOT_DATES,0)),""))</f>
        <v/>
      </c>
      <c r="O141" s="84">
        <f>IF(NOT(BOOT_MODE="Test 3"),"",IFERROR(INDEX(BOOT_ZERO,MATCH(F141,BOOT_DATES,0)),""))</f>
        <v/>
      </c>
      <c r="P141" s="89">
        <f>IF(OR(O141="",NOT(ISNUMBER(C141))),"",(O141-C141)*100)</f>
        <v/>
      </c>
      <c r="Q141" s="72">
        <f>IF(OR(M141="",NOT(ISNUMBER(D141))),"",M141-D141)</f>
        <v/>
      </c>
    </row>
    <row r="142">
      <c r="A142" s="68" t="n"/>
      <c r="B142" s="85" t="n"/>
      <c r="C142" s="85" t="n"/>
      <c r="D142" s="69" t="n"/>
      <c r="E142" s="112">
        <f>IF(OR(A142="",$D$106=""),"",IF(RIGHT(A142,1)="W",$D$106+7*VALUE(LEFT(A142,LEN(A142)-1)),IF(RIGHT(A142,1)="M",EDATE($D$106,VALUE(LEFT(A142,LEN(A142)-1))),EDATE($D$106,12*VALUE(LEFT(A142,LEN(A142)-1))))))</f>
        <v/>
      </c>
      <c r="F142" s="112">
        <f>IF(E142="","",IF(MONTH((E142+IF(WEEKDAY(E142,2)=6,2,IF(WEEKDAY(E142,2)=7,1,0))))&lt;&gt;MONTH(E142),(E142-IF(WEEKDAY(E142,2)=6,1,IF(WEEKDAY(E142,2)=7,2,0))),(E142+IF(WEEKDAY(E142,2)=6,2,IF(WEEKDAY(E142,2)=7,1,0)))))</f>
        <v/>
      </c>
      <c r="G142" s="84">
        <f>IF(NOT(BOOT_MODE="Test 3"),"",IFERROR(INDEX(BOOT_S,MATCH(F142,BOOT_DATES,0)),""))</f>
        <v/>
      </c>
      <c r="H142" s="160">
        <f>IF(NOT(BOOT_MODE="Test 3"),"",IFERROR(IF(MATCH(F142,BOOT_DATES,0)&lt;=15,"short  DFspot/(1+S*tau)","annual (DFspot-S*A)/(1+S*tau)"),""))</f>
        <v/>
      </c>
      <c r="I142" s="80">
        <f>IF(NOT(BOOT_MODE="Test 3"),"",IFERROR(IF(MATCH(F142,BOOT_DATES,0)&lt;=15,INDEX(BOOT_TAU0,MATCH(F142,BOOT_DATES,0)),INDEX(BOOT_TAUC,MATCH(F142,BOOT_DATES,0))),""))</f>
        <v/>
      </c>
      <c r="J142" s="76">
        <f>IF(NOT(BOOT_MODE="Test 3"),"",IFERROR(IF(MATCH(F142,BOOT_DATES,0)&lt;=15,0,INDEX(BOOT_ANN,MATCH(F142,BOOT_DATES,0))),""))</f>
        <v/>
      </c>
      <c r="K142" s="76">
        <f>IF(OR(G142="",I142=""),"",BOOT_DFSPOT-(G142/100)*J142)</f>
        <v/>
      </c>
      <c r="L142" s="76">
        <f>IF(OR(G142="",I142=""),"",1+(G142/100)*I142)</f>
        <v/>
      </c>
      <c r="M142" s="76">
        <f>IF(NOT(BOOT_MODE="Test 3"),"",IFERROR(INDEX(BOOT_DF,MATCH(F142,BOOT_DATES,0)),""))</f>
        <v/>
      </c>
      <c r="N142" s="80">
        <f>IF(NOT(BOOT_MODE="Test 3"),"",IFERROR(INDEX(BOOT_T,MATCH(F142,BOOT_DATES,0)),""))</f>
        <v/>
      </c>
      <c r="O142" s="84">
        <f>IF(NOT(BOOT_MODE="Test 3"),"",IFERROR(INDEX(BOOT_ZERO,MATCH(F142,BOOT_DATES,0)),""))</f>
        <v/>
      </c>
      <c r="P142" s="89">
        <f>IF(OR(O142="",NOT(ISNUMBER(C142))),"",(O142-C142)*100)</f>
        <v/>
      </c>
      <c r="Q142" s="72">
        <f>IF(OR(M142="",NOT(ISNUMBER(D142))),"",M142-D142)</f>
        <v/>
      </c>
    </row>
    <row r="143">
      <c r="A143" s="68" t="n"/>
      <c r="B143" s="85" t="n"/>
      <c r="C143" s="85" t="n"/>
      <c r="D143" s="69" t="n"/>
      <c r="E143" s="112">
        <f>IF(OR(A143="",$D$106=""),"",IF(RIGHT(A143,1)="W",$D$106+7*VALUE(LEFT(A143,LEN(A143)-1)),IF(RIGHT(A143,1)="M",EDATE($D$106,VALUE(LEFT(A143,LEN(A143)-1))),EDATE($D$106,12*VALUE(LEFT(A143,LEN(A143)-1))))))</f>
        <v/>
      </c>
      <c r="F143" s="112">
        <f>IF(E143="","",IF(MONTH((E143+IF(WEEKDAY(E143,2)=6,2,IF(WEEKDAY(E143,2)=7,1,0))))&lt;&gt;MONTH(E143),(E143-IF(WEEKDAY(E143,2)=6,1,IF(WEEKDAY(E143,2)=7,2,0))),(E143+IF(WEEKDAY(E143,2)=6,2,IF(WEEKDAY(E143,2)=7,1,0)))))</f>
        <v/>
      </c>
      <c r="G143" s="84">
        <f>IF(NOT(BOOT_MODE="Test 3"),"",IFERROR(INDEX(BOOT_S,MATCH(F143,BOOT_DATES,0)),""))</f>
        <v/>
      </c>
      <c r="H143" s="160">
        <f>IF(NOT(BOOT_MODE="Test 3"),"",IFERROR(IF(MATCH(F143,BOOT_DATES,0)&lt;=15,"short  DFspot/(1+S*tau)","annual (DFspot-S*A)/(1+S*tau)"),""))</f>
        <v/>
      </c>
      <c r="I143" s="80">
        <f>IF(NOT(BOOT_MODE="Test 3"),"",IFERROR(IF(MATCH(F143,BOOT_DATES,0)&lt;=15,INDEX(BOOT_TAU0,MATCH(F143,BOOT_DATES,0)),INDEX(BOOT_TAUC,MATCH(F143,BOOT_DATES,0))),""))</f>
        <v/>
      </c>
      <c r="J143" s="76">
        <f>IF(NOT(BOOT_MODE="Test 3"),"",IFERROR(IF(MATCH(F143,BOOT_DATES,0)&lt;=15,0,INDEX(BOOT_ANN,MATCH(F143,BOOT_DATES,0))),""))</f>
        <v/>
      </c>
      <c r="K143" s="76">
        <f>IF(OR(G143="",I143=""),"",BOOT_DFSPOT-(G143/100)*J143)</f>
        <v/>
      </c>
      <c r="L143" s="76">
        <f>IF(OR(G143="",I143=""),"",1+(G143/100)*I143)</f>
        <v/>
      </c>
      <c r="M143" s="76">
        <f>IF(NOT(BOOT_MODE="Test 3"),"",IFERROR(INDEX(BOOT_DF,MATCH(F143,BOOT_DATES,0)),""))</f>
        <v/>
      </c>
      <c r="N143" s="80">
        <f>IF(NOT(BOOT_MODE="Test 3"),"",IFERROR(INDEX(BOOT_T,MATCH(F143,BOOT_DATES,0)),""))</f>
        <v/>
      </c>
      <c r="O143" s="84">
        <f>IF(NOT(BOOT_MODE="Test 3"),"",IFERROR(INDEX(BOOT_ZERO,MATCH(F143,BOOT_DATES,0)),""))</f>
        <v/>
      </c>
      <c r="P143" s="89">
        <f>IF(OR(O143="",NOT(ISNUMBER(C143))),"",(O143-C143)*100)</f>
        <v/>
      </c>
      <c r="Q143" s="72">
        <f>IF(OR(M143="",NOT(ISNUMBER(D143))),"",M143-D143)</f>
        <v/>
      </c>
    </row>
    <row r="144">
      <c r="A144" s="68" t="n"/>
      <c r="B144" s="85" t="n"/>
      <c r="C144" s="85" t="n"/>
      <c r="D144" s="69" t="n"/>
      <c r="E144" s="112">
        <f>IF(OR(A144="",$D$106=""),"",IF(RIGHT(A144,1)="W",$D$106+7*VALUE(LEFT(A144,LEN(A144)-1)),IF(RIGHT(A144,1)="M",EDATE($D$106,VALUE(LEFT(A144,LEN(A144)-1))),EDATE($D$106,12*VALUE(LEFT(A144,LEN(A144)-1))))))</f>
        <v/>
      </c>
      <c r="F144" s="112">
        <f>IF(E144="","",IF(MONTH((E144+IF(WEEKDAY(E144,2)=6,2,IF(WEEKDAY(E144,2)=7,1,0))))&lt;&gt;MONTH(E144),(E144-IF(WEEKDAY(E144,2)=6,1,IF(WEEKDAY(E144,2)=7,2,0))),(E144+IF(WEEKDAY(E144,2)=6,2,IF(WEEKDAY(E144,2)=7,1,0)))))</f>
        <v/>
      </c>
      <c r="G144" s="84">
        <f>IF(NOT(BOOT_MODE="Test 3"),"",IFERROR(INDEX(BOOT_S,MATCH(F144,BOOT_DATES,0)),""))</f>
        <v/>
      </c>
      <c r="H144" s="160">
        <f>IF(NOT(BOOT_MODE="Test 3"),"",IFERROR(IF(MATCH(F144,BOOT_DATES,0)&lt;=15,"short  DFspot/(1+S*tau)","annual (DFspot-S*A)/(1+S*tau)"),""))</f>
        <v/>
      </c>
      <c r="I144" s="80">
        <f>IF(NOT(BOOT_MODE="Test 3"),"",IFERROR(IF(MATCH(F144,BOOT_DATES,0)&lt;=15,INDEX(BOOT_TAU0,MATCH(F144,BOOT_DATES,0)),INDEX(BOOT_TAUC,MATCH(F144,BOOT_DATES,0))),""))</f>
        <v/>
      </c>
      <c r="J144" s="76">
        <f>IF(NOT(BOOT_MODE="Test 3"),"",IFERROR(IF(MATCH(F144,BOOT_DATES,0)&lt;=15,0,INDEX(BOOT_ANN,MATCH(F144,BOOT_DATES,0))),""))</f>
        <v/>
      </c>
      <c r="K144" s="76">
        <f>IF(OR(G144="",I144=""),"",BOOT_DFSPOT-(G144/100)*J144)</f>
        <v/>
      </c>
      <c r="L144" s="76">
        <f>IF(OR(G144="",I144=""),"",1+(G144/100)*I144)</f>
        <v/>
      </c>
      <c r="M144" s="76">
        <f>IF(NOT(BOOT_MODE="Test 3"),"",IFERROR(INDEX(BOOT_DF,MATCH(F144,BOOT_DATES,0)),""))</f>
        <v/>
      </c>
      <c r="N144" s="80">
        <f>IF(NOT(BOOT_MODE="Test 3"),"",IFERROR(INDEX(BOOT_T,MATCH(F144,BOOT_DATES,0)),""))</f>
        <v/>
      </c>
      <c r="O144" s="84">
        <f>IF(NOT(BOOT_MODE="Test 3"),"",IFERROR(INDEX(BOOT_ZERO,MATCH(F144,BOOT_DATES,0)),""))</f>
        <v/>
      </c>
      <c r="P144" s="89">
        <f>IF(OR(O144="",NOT(ISNUMBER(C144))),"",(O144-C144)*100)</f>
        <v/>
      </c>
      <c r="Q144" s="72">
        <f>IF(OR(M144="",NOT(ISNUMBER(D144))),"",M144-D144)</f>
        <v/>
      </c>
    </row>
    <row r="145">
      <c r="A145" s="68" t="n"/>
      <c r="B145" s="85" t="n"/>
      <c r="C145" s="85" t="n"/>
      <c r="D145" s="69" t="n"/>
      <c r="E145" s="112">
        <f>IF(OR(A145="",$D$106=""),"",IF(RIGHT(A145,1)="W",$D$106+7*VALUE(LEFT(A145,LEN(A145)-1)),IF(RIGHT(A145,1)="M",EDATE($D$106,VALUE(LEFT(A145,LEN(A145)-1))),EDATE($D$106,12*VALUE(LEFT(A145,LEN(A145)-1))))))</f>
        <v/>
      </c>
      <c r="F145" s="112">
        <f>IF(E145="","",IF(MONTH((E145+IF(WEEKDAY(E145,2)=6,2,IF(WEEKDAY(E145,2)=7,1,0))))&lt;&gt;MONTH(E145),(E145-IF(WEEKDAY(E145,2)=6,1,IF(WEEKDAY(E145,2)=7,2,0))),(E145+IF(WEEKDAY(E145,2)=6,2,IF(WEEKDAY(E145,2)=7,1,0)))))</f>
        <v/>
      </c>
      <c r="G145" s="84">
        <f>IF(NOT(BOOT_MODE="Test 3"),"",IFERROR(INDEX(BOOT_S,MATCH(F145,BOOT_DATES,0)),""))</f>
        <v/>
      </c>
      <c r="H145" s="160">
        <f>IF(NOT(BOOT_MODE="Test 3"),"",IFERROR(IF(MATCH(F145,BOOT_DATES,0)&lt;=15,"short  DFspot/(1+S*tau)","annual (DFspot-S*A)/(1+S*tau)"),""))</f>
        <v/>
      </c>
      <c r="I145" s="80">
        <f>IF(NOT(BOOT_MODE="Test 3"),"",IFERROR(IF(MATCH(F145,BOOT_DATES,0)&lt;=15,INDEX(BOOT_TAU0,MATCH(F145,BOOT_DATES,0)),INDEX(BOOT_TAUC,MATCH(F145,BOOT_DATES,0))),""))</f>
        <v/>
      </c>
      <c r="J145" s="76">
        <f>IF(NOT(BOOT_MODE="Test 3"),"",IFERROR(IF(MATCH(F145,BOOT_DATES,0)&lt;=15,0,INDEX(BOOT_ANN,MATCH(F145,BOOT_DATES,0))),""))</f>
        <v/>
      </c>
      <c r="K145" s="76">
        <f>IF(OR(G145="",I145=""),"",BOOT_DFSPOT-(G145/100)*J145)</f>
        <v/>
      </c>
      <c r="L145" s="76">
        <f>IF(OR(G145="",I145=""),"",1+(G145/100)*I145)</f>
        <v/>
      </c>
      <c r="M145" s="76">
        <f>IF(NOT(BOOT_MODE="Test 3"),"",IFERROR(INDEX(BOOT_DF,MATCH(F145,BOOT_DATES,0)),""))</f>
        <v/>
      </c>
      <c r="N145" s="80">
        <f>IF(NOT(BOOT_MODE="Test 3"),"",IFERROR(INDEX(BOOT_T,MATCH(F145,BOOT_DATES,0)),""))</f>
        <v/>
      </c>
      <c r="O145" s="84">
        <f>IF(NOT(BOOT_MODE="Test 3"),"",IFERROR(INDEX(BOOT_ZERO,MATCH(F145,BOOT_DATES,0)),""))</f>
        <v/>
      </c>
      <c r="P145" s="89">
        <f>IF(OR(O145="",NOT(ISNUMBER(C145))),"",(O145-C145)*100)</f>
        <v/>
      </c>
      <c r="Q145" s="72">
        <f>IF(OR(M145="",NOT(ISNUMBER(D145))),"",M145-D145)</f>
        <v/>
      </c>
    </row>
    <row r="146">
      <c r="A146" s="68" t="n"/>
      <c r="B146" s="85" t="n"/>
      <c r="C146" s="85" t="n"/>
      <c r="D146" s="69" t="n"/>
      <c r="E146" s="112">
        <f>IF(OR(A146="",$D$106=""),"",IF(RIGHT(A146,1)="W",$D$106+7*VALUE(LEFT(A146,LEN(A146)-1)),IF(RIGHT(A146,1)="M",EDATE($D$106,VALUE(LEFT(A146,LEN(A146)-1))),EDATE($D$106,12*VALUE(LEFT(A146,LEN(A146)-1))))))</f>
        <v/>
      </c>
      <c r="F146" s="112">
        <f>IF(E146="","",IF(MONTH((E146+IF(WEEKDAY(E146,2)=6,2,IF(WEEKDAY(E146,2)=7,1,0))))&lt;&gt;MONTH(E146),(E146-IF(WEEKDAY(E146,2)=6,1,IF(WEEKDAY(E146,2)=7,2,0))),(E146+IF(WEEKDAY(E146,2)=6,2,IF(WEEKDAY(E146,2)=7,1,0)))))</f>
        <v/>
      </c>
      <c r="G146" s="84">
        <f>IF(NOT(BOOT_MODE="Test 3"),"",IFERROR(INDEX(BOOT_S,MATCH(F146,BOOT_DATES,0)),""))</f>
        <v/>
      </c>
      <c r="H146" s="160">
        <f>IF(NOT(BOOT_MODE="Test 3"),"",IFERROR(IF(MATCH(F146,BOOT_DATES,0)&lt;=15,"short  DFspot/(1+S*tau)","annual (DFspot-S*A)/(1+S*tau)"),""))</f>
        <v/>
      </c>
      <c r="I146" s="80">
        <f>IF(NOT(BOOT_MODE="Test 3"),"",IFERROR(IF(MATCH(F146,BOOT_DATES,0)&lt;=15,INDEX(BOOT_TAU0,MATCH(F146,BOOT_DATES,0)),INDEX(BOOT_TAUC,MATCH(F146,BOOT_DATES,0))),""))</f>
        <v/>
      </c>
      <c r="J146" s="76">
        <f>IF(NOT(BOOT_MODE="Test 3"),"",IFERROR(IF(MATCH(F146,BOOT_DATES,0)&lt;=15,0,INDEX(BOOT_ANN,MATCH(F146,BOOT_DATES,0))),""))</f>
        <v/>
      </c>
      <c r="K146" s="76">
        <f>IF(OR(G146="",I146=""),"",BOOT_DFSPOT-(G146/100)*J146)</f>
        <v/>
      </c>
      <c r="L146" s="76">
        <f>IF(OR(G146="",I146=""),"",1+(G146/100)*I146)</f>
        <v/>
      </c>
      <c r="M146" s="76">
        <f>IF(NOT(BOOT_MODE="Test 3"),"",IFERROR(INDEX(BOOT_DF,MATCH(F146,BOOT_DATES,0)),""))</f>
        <v/>
      </c>
      <c r="N146" s="80">
        <f>IF(NOT(BOOT_MODE="Test 3"),"",IFERROR(INDEX(BOOT_T,MATCH(F146,BOOT_DATES,0)),""))</f>
        <v/>
      </c>
      <c r="O146" s="84">
        <f>IF(NOT(BOOT_MODE="Test 3"),"",IFERROR(INDEX(BOOT_ZERO,MATCH(F146,BOOT_DATES,0)),""))</f>
        <v/>
      </c>
      <c r="P146" s="89">
        <f>IF(OR(O146="",NOT(ISNUMBER(C146))),"",(O146-C146)*100)</f>
        <v/>
      </c>
      <c r="Q146" s="72">
        <f>IF(OR(M146="",NOT(ISNUMBER(D146))),"",M146-D146)</f>
        <v/>
      </c>
    </row>
    <row r="147">
      <c r="A147" s="68" t="n"/>
      <c r="B147" s="85" t="n"/>
      <c r="C147" s="85" t="n"/>
      <c r="D147" s="69" t="n"/>
      <c r="E147" s="112">
        <f>IF(OR(A147="",$D$106=""),"",IF(RIGHT(A147,1)="W",$D$106+7*VALUE(LEFT(A147,LEN(A147)-1)),IF(RIGHT(A147,1)="M",EDATE($D$106,VALUE(LEFT(A147,LEN(A147)-1))),EDATE($D$106,12*VALUE(LEFT(A147,LEN(A147)-1))))))</f>
        <v/>
      </c>
      <c r="F147" s="112">
        <f>IF(E147="","",IF(MONTH((E147+IF(WEEKDAY(E147,2)=6,2,IF(WEEKDAY(E147,2)=7,1,0))))&lt;&gt;MONTH(E147),(E147-IF(WEEKDAY(E147,2)=6,1,IF(WEEKDAY(E147,2)=7,2,0))),(E147+IF(WEEKDAY(E147,2)=6,2,IF(WEEKDAY(E147,2)=7,1,0)))))</f>
        <v/>
      </c>
      <c r="G147" s="84">
        <f>IF(NOT(BOOT_MODE="Test 3"),"",IFERROR(INDEX(BOOT_S,MATCH(F147,BOOT_DATES,0)),""))</f>
        <v/>
      </c>
      <c r="H147" s="160">
        <f>IF(NOT(BOOT_MODE="Test 3"),"",IFERROR(IF(MATCH(F147,BOOT_DATES,0)&lt;=15,"short  DFspot/(1+S*tau)","annual (DFspot-S*A)/(1+S*tau)"),""))</f>
        <v/>
      </c>
      <c r="I147" s="80">
        <f>IF(NOT(BOOT_MODE="Test 3"),"",IFERROR(IF(MATCH(F147,BOOT_DATES,0)&lt;=15,INDEX(BOOT_TAU0,MATCH(F147,BOOT_DATES,0)),INDEX(BOOT_TAUC,MATCH(F147,BOOT_DATES,0))),""))</f>
        <v/>
      </c>
      <c r="J147" s="76">
        <f>IF(NOT(BOOT_MODE="Test 3"),"",IFERROR(IF(MATCH(F147,BOOT_DATES,0)&lt;=15,0,INDEX(BOOT_ANN,MATCH(F147,BOOT_DATES,0))),""))</f>
        <v/>
      </c>
      <c r="K147" s="76">
        <f>IF(OR(G147="",I147=""),"",BOOT_DFSPOT-(G147/100)*J147)</f>
        <v/>
      </c>
      <c r="L147" s="76">
        <f>IF(OR(G147="",I147=""),"",1+(G147/100)*I147)</f>
        <v/>
      </c>
      <c r="M147" s="76">
        <f>IF(NOT(BOOT_MODE="Test 3"),"",IFERROR(INDEX(BOOT_DF,MATCH(F147,BOOT_DATES,0)),""))</f>
        <v/>
      </c>
      <c r="N147" s="80">
        <f>IF(NOT(BOOT_MODE="Test 3"),"",IFERROR(INDEX(BOOT_T,MATCH(F147,BOOT_DATES,0)),""))</f>
        <v/>
      </c>
      <c r="O147" s="84">
        <f>IF(NOT(BOOT_MODE="Test 3"),"",IFERROR(INDEX(BOOT_ZERO,MATCH(F147,BOOT_DATES,0)),""))</f>
        <v/>
      </c>
      <c r="P147" s="89">
        <f>IF(OR(O147="",NOT(ISNUMBER(C147))),"",(O147-C147)*100)</f>
        <v/>
      </c>
      <c r="Q147" s="72">
        <f>IF(OR(M147="",NOT(ISNUMBER(D147))),"",M147-D147)</f>
        <v/>
      </c>
    </row>
    <row r="148">
      <c r="A148" s="67" t="inlineStr">
        <is>
          <t>pillars pasted</t>
        </is>
      </c>
      <c r="C148" s="130">
        <f>COUNTA(A108:A147)</f>
        <v/>
      </c>
      <c r="D148" s="67" t="inlineStr">
        <is>
          <t>matched</t>
        </is>
      </c>
      <c r="F148" s="87">
        <f>IF(NOT(BOOT_MODE="Test 3"),"not active",COUNT(O108:O147))</f>
        <v/>
      </c>
      <c r="G148" s="67" t="inlineStr">
        <is>
          <t>max |d zero| bp</t>
        </is>
      </c>
      <c r="I148" s="90">
        <f>IF(NOT(BOOT_MODE="Test 3"),"",IF(COUNT(P108:P147)=0,"",MAX(MAX(P108:P147),-MIN(P108:P147))))</f>
        <v/>
      </c>
      <c r="J148" s="67" t="inlineStr">
        <is>
          <t>max |d DF|</t>
        </is>
      </c>
      <c r="L148" s="91">
        <f>IF(NOT(BOOT_MODE="Test 3"),"",IF(COUNT(Q108:Q147)=0,"",MAX(MAX(Q108:Q147),-MIN(Q108:Q147))))</f>
        <v/>
      </c>
      <c r="M148" s="66">
        <f>IF(AND(BOOT_MODE="Test 3",C148&gt;0,F148&lt;C148),"CHECK: matched &lt; pasted, dates are not hitting Bootstrap!B — check the curve date","")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2026-07-21T11:56:58Z</dcterms:created>
  <dcterms:modified xmlns:dcterms="http://purl.org/dc/terms/" xmlns:xsi="http://www.w3.org/2001/XMLSchema-instance" xsi:type="dcterms:W3CDTF">2026-07-22T09:40:11Z</dcterms:modified>
</cp:coreProperties>
</file>