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MOVE" sheetId="1" state="visible" r:id="rId1"/>
    <sheet xmlns:r="http://schemas.openxmlformats.org/officeDocument/2006/relationships" name="CDS_Pricer_NEW" sheetId="2" state="visible" r:id="rId2"/>
  </sheets>
  <definedNames>
    <definedName name="VAL_DATE">Curve_Interface!$O$5</definedName>
  </definedNames>
  <calcPr calcId="124519" fullCalcOnLoad="1" iterate="1" iterateCount="100" iterateDelta="1e-10"/>
</workbook>
</file>

<file path=xl/styles.xml><?xml version="1.0" encoding="utf-8"?>
<styleSheet xmlns="http://schemas.openxmlformats.org/spreadsheetml/2006/main">
  <numFmts count="13">
    <numFmt numFmtId="164" formatCode="mm/dd/yyyy"/>
    <numFmt numFmtId="165" formatCode="0.0000"/>
    <numFmt numFmtId="166" formatCode="0.00000000"/>
    <numFmt numFmtId="167" formatCode="0.0"/>
    <numFmt numFmtId="168" formatCode="0.000000"/>
    <numFmt numFmtId="169" formatCode="0.0000%"/>
    <numFmt numFmtId="170" formatCode="0.000"/>
    <numFmt numFmtId="171" formatCode="0.0000000000"/>
    <numFmt numFmtId="172" formatCode="0.00000"/>
    <numFmt numFmtId="173" formatCode="mm/dd/yy"/>
    <numFmt numFmtId="174" formatCode="0.###"/>
    <numFmt numFmtId="175" formatCode="$#,##0;($#,##0);-"/>
    <numFmt numFmtId="176" formatCode="0.000000000"/>
  </numFmts>
  <fonts count="37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595959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444444"/>
      <sz val="9"/>
    </font>
    <font>
      <name val="Arial"/>
      <i val="1"/>
      <color rgb="00666666"/>
      <sz val="9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color rgb="001F3864"/>
      <sz val="11"/>
    </font>
    <font>
      <name val="Calibri"/>
      <b val="1"/>
      <sz val="11"/>
    </font>
    <font>
      <name val="Calibri"/>
      <color rgb="000000FF"/>
      <sz val="11"/>
    </font>
    <font>
      <name val="Calibri"/>
      <i val="1"/>
      <color rgb="00666666"/>
      <sz val="9"/>
    </font>
    <font>
      <name val="Calibri"/>
      <sz val="11"/>
    </font>
    <font>
      <name val="Calibri"/>
      <b val="1"/>
      <color rgb="00C00000"/>
      <sz val="10"/>
    </font>
    <font>
      <name val="Calibri"/>
      <b val="1"/>
      <color rgb="00FFFFFF"/>
      <sz val="11"/>
    </font>
    <font>
      <name val="Calibri"/>
      <color rgb="00008000"/>
      <sz val="11"/>
    </font>
    <font>
      <name val="Calibri"/>
      <i val="1"/>
      <color rgb="00C00000"/>
      <sz val="9"/>
    </font>
    <font>
      <name val="Calibri"/>
      <b val="1"/>
      <sz val="12"/>
    </font>
    <font>
      <name val="Calibri"/>
      <b val="1"/>
      <color rgb="001F3864"/>
      <sz val="11"/>
    </font>
    <font>
      <name val="Calibri"/>
      <sz val="10"/>
    </font>
    <font>
      <name val="Consolas"/>
      <sz val="10"/>
    </font>
    <font>
      <name val="Calibri"/>
      <b val="1"/>
      <color rgb="00FFFFFF"/>
      <sz val="10"/>
    </font>
    <font>
      <name val="Consolas"/>
      <sz val="9"/>
    </font>
    <font>
      <name val="Calibri"/>
      <b val="1"/>
      <color rgb="00C00000"/>
      <sz val="11"/>
    </font>
    <font>
      <name val="Calibri"/>
      <i val="1"/>
      <color rgb="00808080"/>
      <sz val="9"/>
    </font>
    <font>
      <name val="Calibri"/>
      <b val="1"/>
      <sz val="14"/>
    </font>
    <font>
      <name val="Calibri"/>
      <color rgb="00808080"/>
      <sz val="9"/>
    </font>
    <font>
      <name val="Calibri"/>
      <b val="1"/>
      <sz val="13"/>
    </font>
    <font>
      <name val="Calibri"/>
      <color rgb="00FF0000"/>
      <sz val="11"/>
    </font>
    <font>
      <name val="Calibri"/>
      <color rgb="00008000"/>
      <sz val="10"/>
    </font>
    <font>
      <name val="Calibri"/>
      <b val="1"/>
      <sz val="15"/>
    </font>
    <font>
      <name val="Calibri"/>
      <b val="1"/>
      <color rgb="00000000"/>
      <sz val="14"/>
    </font>
    <font>
      <name val="Calibri"/>
      <color rgb="00808080"/>
      <sz val="10"/>
    </font>
    <font>
      <name val="Calibri"/>
      <b val="1"/>
      <color rgb="00000000"/>
      <sz val="11"/>
    </font>
    <font>
      <name val="Calibri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C00000"/>
      </patternFill>
    </fill>
    <fill>
      <patternFill patternType="solid">
        <fgColor rgb="007B1FA2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164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5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3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166" fontId="0" fillId="0" borderId="0" pivotButton="0" quotePrefix="0" xfId="0"/>
    <xf numFmtId="2" fontId="3" fillId="0" borderId="1" pivotButton="0" quotePrefix="0" xfId="0"/>
    <xf numFmtId="166" fontId="5" fillId="0" borderId="1" pivotButton="0" quotePrefix="0" xfId="0"/>
    <xf numFmtId="165" fontId="3" fillId="2" borderId="1" pivotButton="0" quotePrefix="0" xfId="0"/>
    <xf numFmtId="167" fontId="3" fillId="0" borderId="1" pivotButton="0" quotePrefix="0" xfId="0"/>
    <xf numFmtId="1" fontId="0" fillId="0" borderId="0" pivotButton="0" quotePrefix="0" xfId="0"/>
    <xf numFmtId="165" fontId="0" fillId="0" borderId="0" pivotButton="0" quotePrefix="0" xfId="0"/>
    <xf numFmtId="168" fontId="3" fillId="0" borderId="1" pivotButton="0" quotePrefix="0" xfId="0"/>
    <xf numFmtId="1" fontId="0" fillId="2" borderId="0" pivotButton="0" quotePrefix="0" xfId="0"/>
    <xf numFmtId="166" fontId="3" fillId="0" borderId="1" pivotButton="0" quotePrefix="0" xfId="0"/>
    <xf numFmtId="0" fontId="3" fillId="2" borderId="1" pivotButton="0" quotePrefix="0" xfId="0"/>
    <xf numFmtId="0" fontId="7" fillId="0" borderId="0" applyAlignment="1" pivotButton="0" quotePrefix="0" xfId="0">
      <alignment horizontal="left" vertical="center"/>
    </xf>
    <xf numFmtId="3" fontId="3" fillId="2" borderId="1" pivotButton="0" quotePrefix="0" xfId="0"/>
    <xf numFmtId="164" fontId="3" fillId="2" borderId="1" pivotButton="0" quotePrefix="0" xfId="0"/>
    <xf numFmtId="1" fontId="3" fillId="2" borderId="1" pivotButton="0" quotePrefix="0" xfId="0"/>
    <xf numFmtId="168" fontId="3" fillId="2" borderId="1" pivotButton="0" quotePrefix="0" xfId="0"/>
    <xf numFmtId="1" fontId="3" fillId="0" borderId="1" pivotButton="0" quotePrefix="0" xfId="0"/>
    <xf numFmtId="4" fontId="3" fillId="0" borderId="1" pivotButton="0" quotePrefix="0" xfId="0"/>
    <xf numFmtId="4" fontId="10" fillId="0" borderId="1" pivotButton="0" quotePrefix="0" xfId="0"/>
    <xf numFmtId="164" fontId="7" fillId="0" borderId="0" applyAlignment="1" pivotButton="0" quotePrefix="0" xfId="0">
      <alignment vertical="top" wrapText="1"/>
    </xf>
    <xf numFmtId="164" fontId="0" fillId="0" borderId="0" pivotButton="0" quotePrefix="0" xfId="0"/>
    <xf numFmtId="164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2" fontId="0" fillId="0" borderId="0" pivotButton="0" quotePrefix="0" xfId="0"/>
    <xf numFmtId="169" fontId="0" fillId="0" borderId="0" pivotButton="0" quotePrefix="0" xfId="0"/>
    <xf numFmtId="169" fontId="3" fillId="0" borderId="1" pivotButton="0" quotePrefix="0" xfId="0"/>
    <xf numFmtId="11" fontId="3" fillId="0" borderId="1" pivotButton="0" quotePrefix="0" xfId="0"/>
    <xf numFmtId="9" fontId="3" fillId="2" borderId="1" pivotButton="0" quotePrefix="0" xfId="0"/>
    <xf numFmtId="167" fontId="3" fillId="2" borderId="1" pivotButton="0" quotePrefix="0" xfId="0"/>
    <xf numFmtId="169" fontId="3" fillId="2" borderId="1" pivotButton="0" quotePrefix="0" xfId="0"/>
    <xf numFmtId="170" fontId="3" fillId="0" borderId="1" pivotButton="0" quotePrefix="0" xfId="0"/>
    <xf numFmtId="9" fontId="3" fillId="0" borderId="1" pivotButton="0" quotePrefix="0" xfId="0"/>
    <xf numFmtId="0" fontId="4" fillId="0" borderId="1" pivotButton="0" quotePrefix="0" xfId="0"/>
    <xf numFmtId="170" fontId="10" fillId="0" borderId="1" pivotButton="0" quotePrefix="0" xfId="0"/>
    <xf numFmtId="168" fontId="0" fillId="0" borderId="0" pivotButton="0" quotePrefix="0" xfId="0"/>
    <xf numFmtId="0" fontId="11" fillId="3" borderId="2" pivotButton="0" quotePrefix="0" xfId="0"/>
    <xf numFmtId="165" fontId="14" fillId="0" borderId="2" pivotButton="0" quotePrefix="0" xfId="0"/>
    <xf numFmtId="165" fontId="12" fillId="4" borderId="2" pivotButton="0" quotePrefix="0" xfId="0"/>
    <xf numFmtId="0" fontId="13" fillId="0" borderId="0" pivotButton="0" quotePrefix="0" xfId="0"/>
    <xf numFmtId="0" fontId="15" fillId="0" borderId="0" pivotButton="0" quotePrefix="0" xfId="0"/>
    <xf numFmtId="0" fontId="11" fillId="0" borderId="0" pivotButton="0" quotePrefix="0" xfId="0"/>
    <xf numFmtId="0" fontId="12" fillId="4" borderId="2" pivotButton="0" quotePrefix="0" xfId="0"/>
    <xf numFmtId="168" fontId="12" fillId="4" borderId="2" pivotButton="0" quotePrefix="0" xfId="0"/>
    <xf numFmtId="0" fontId="13" fillId="0" borderId="0" applyAlignment="1" pivotButton="0" quotePrefix="0" xfId="0">
      <alignment vertical="top" wrapText="1"/>
    </xf>
    <xf numFmtId="166" fontId="14" fillId="2" borderId="2" pivotButton="0" quotePrefix="0" xfId="0"/>
    <xf numFmtId="11" fontId="14" fillId="0" borderId="2" pivotButton="0" quotePrefix="0" xfId="0"/>
    <xf numFmtId="0" fontId="16" fillId="5" borderId="0" pivotButton="0" quotePrefix="0" xfId="0"/>
    <xf numFmtId="0" fontId="0" fillId="5" borderId="0" pivotButton="0" quotePrefix="0" xfId="0"/>
    <xf numFmtId="165" fontId="17" fillId="0" borderId="2" pivotButton="0" quotePrefix="0" xfId="0"/>
    <xf numFmtId="166" fontId="14" fillId="0" borderId="2" pivotButton="0" quotePrefix="0" xfId="0"/>
    <xf numFmtId="10" fontId="17" fillId="0" borderId="2" pivotButton="0" quotePrefix="0" xfId="0"/>
    <xf numFmtId="0" fontId="14" fillId="0" borderId="2" applyAlignment="1" pivotButton="0" quotePrefix="0" xfId="0">
      <alignment horizontal="center"/>
    </xf>
    <xf numFmtId="168" fontId="17" fillId="0" borderId="2" pivotButton="0" quotePrefix="0" xfId="0"/>
    <xf numFmtId="168" fontId="14" fillId="0" borderId="2" pivotButton="0" quotePrefix="0" xfId="0"/>
    <xf numFmtId="171" fontId="14" fillId="2" borderId="2" pivotButton="0" quotePrefix="0" xfId="0"/>
    <xf numFmtId="171" fontId="17" fillId="0" borderId="2" pivotButton="0" quotePrefix="0" xfId="0"/>
    <xf numFmtId="171" fontId="14" fillId="0" borderId="2" pivotButton="0" quotePrefix="0" xfId="0"/>
    <xf numFmtId="172" fontId="14" fillId="0" borderId="2" pivotButton="0" quotePrefix="0" xfId="0"/>
    <xf numFmtId="172" fontId="12" fillId="4" borderId="2" pivotButton="0" quotePrefix="0" xfId="0"/>
    <xf numFmtId="173" fontId="14" fillId="0" borderId="2" pivotButton="0" quotePrefix="0" xfId="0"/>
    <xf numFmtId="0" fontId="14" fillId="2" borderId="2" pivotButton="0" quotePrefix="0" xfId="0"/>
    <xf numFmtId="173" fontId="12" fillId="4" borderId="2" pivotButton="0" quotePrefix="0" xfId="0"/>
    <xf numFmtId="2" fontId="14" fillId="0" borderId="2" pivotButton="0" quotePrefix="0" xfId="0"/>
    <xf numFmtId="170" fontId="14" fillId="2" borderId="2" pivotButton="0" quotePrefix="0" xfId="0"/>
    <xf numFmtId="11" fontId="14" fillId="2" borderId="2" pivotButton="0" quotePrefix="0" xfId="0"/>
    <xf numFmtId="0" fontId="11" fillId="3" borderId="2" applyAlignment="1" pivotButton="0" quotePrefix="0" xfId="0">
      <alignment horizontal="center" vertical="center" wrapText="1"/>
    </xf>
    <xf numFmtId="0" fontId="14" fillId="0" borderId="2" pivotButton="0" quotePrefix="0" xfId="0"/>
    <xf numFmtId="0" fontId="14" fillId="0" borderId="0" pivotButton="0" quotePrefix="0" xfId="0"/>
    <xf numFmtId="1" fontId="12" fillId="4" borderId="2" pivotButton="0" quotePrefix="0" xfId="0"/>
    <xf numFmtId="174" fontId="12" fillId="4" borderId="2" pivotButton="0" quotePrefix="0" xfId="0"/>
    <xf numFmtId="172" fontId="14" fillId="2" borderId="2" pivotButton="0" quotePrefix="0" xfId="0"/>
    <xf numFmtId="0" fontId="18" fillId="0" borderId="0" pivotButton="0" quotePrefix="0" xfId="0"/>
    <xf numFmtId="172" fontId="14" fillId="4" borderId="2" pivotButton="0" quotePrefix="0" xfId="0"/>
    <xf numFmtId="172" fontId="13" fillId="4" borderId="2" pivotButton="0" quotePrefix="0" xfId="0"/>
    <xf numFmtId="173" fontId="7" fillId="0" borderId="0" applyAlignment="1" pivotButton="0" quotePrefix="0" xfId="0">
      <alignment vertical="top" wrapText="1"/>
    </xf>
    <xf numFmtId="173" fontId="0" fillId="0" borderId="0" pivotButton="0" quotePrefix="0" xfId="0"/>
    <xf numFmtId="175" fontId="14" fillId="0" borderId="2" pivotButton="0" quotePrefix="0" xfId="0"/>
    <xf numFmtId="1" fontId="14" fillId="0" borderId="2" pivotButton="0" quotePrefix="0" xfId="0"/>
    <xf numFmtId="175" fontId="14" fillId="2" borderId="2" pivotButton="0" quotePrefix="0" xfId="0"/>
    <xf numFmtId="0" fontId="11" fillId="0" borderId="2" pivotButton="0" quotePrefix="0" xfId="0"/>
    <xf numFmtId="172" fontId="0" fillId="0" borderId="0" pivotButton="0" quotePrefix="0" xfId="0"/>
    <xf numFmtId="2" fontId="0" fillId="0" borderId="2" pivotButton="0" quotePrefix="0" xfId="0"/>
    <xf numFmtId="0" fontId="0" fillId="2" borderId="2" pivotButton="0" quotePrefix="0" xfId="0"/>
    <xf numFmtId="170" fontId="0" fillId="2" borderId="2" pivotButton="0" quotePrefix="0" xfId="0"/>
    <xf numFmtId="164" fontId="12" fillId="4" borderId="2" pivotButton="0" quotePrefix="0" xfId="0"/>
    <xf numFmtId="164" fontId="14" fillId="0" borderId="2" pivotButton="0" quotePrefix="0" xfId="0"/>
    <xf numFmtId="164" fontId="14" fillId="0" borderId="1" pivotButton="0" quotePrefix="0" xfId="0"/>
    <xf numFmtId="168" fontId="14" fillId="0" borderId="1" pivotButton="0" quotePrefix="0" xfId="0"/>
    <xf numFmtId="166" fontId="14" fillId="0" borderId="1" pivotButton="0" quotePrefix="0" xfId="0"/>
    <xf numFmtId="4" fontId="14" fillId="0" borderId="1" pivotButton="0" quotePrefix="0" xfId="0"/>
    <xf numFmtId="168" fontId="14" fillId="2" borderId="2" pivotButton="0" quotePrefix="0" xfId="0"/>
    <xf numFmtId="4" fontId="12" fillId="4" borderId="2" pivotButton="0" quotePrefix="0" xfId="0"/>
    <xf numFmtId="4" fontId="14" fillId="2" borderId="2" pivotButton="0" quotePrefix="0" xfId="0"/>
    <xf numFmtId="4" fontId="14" fillId="0" borderId="2" pivotButton="0" quotePrefix="0" xfId="0"/>
    <xf numFmtId="2" fontId="12" fillId="4" borderId="2" pivotButton="0" quotePrefix="0" xfId="0"/>
    <xf numFmtId="2" fontId="14" fillId="2" borderId="2" pivotButton="0" quotePrefix="0" xfId="0"/>
    <xf numFmtId="0" fontId="19" fillId="0" borderId="0" pivotButton="0" quotePrefix="0" xfId="0"/>
    <xf numFmtId="0" fontId="20" fillId="3" borderId="0" pivotButton="0" quotePrefix="0" xfId="0"/>
    <xf numFmtId="0" fontId="13" fillId="3" borderId="0" pivotButton="0" quotePrefix="0" xfId="0"/>
    <xf numFmtId="0" fontId="21" fillId="0" borderId="0" pivotButton="0" quotePrefix="0" xfId="0"/>
    <xf numFmtId="0" fontId="22" fillId="0" borderId="0" pivotButton="0" quotePrefix="0" xfId="0"/>
    <xf numFmtId="164" fontId="14" fillId="2" borderId="2" pivotButton="0" quotePrefix="0" xfId="0"/>
    <xf numFmtId="166" fontId="17" fillId="2" borderId="2" pivotButton="0" quotePrefix="0" xfId="0"/>
    <xf numFmtId="1" fontId="14" fillId="2" borderId="2" pivotButton="0" quotePrefix="0" xfId="0"/>
    <xf numFmtId="165" fontId="14" fillId="0" borderId="1" pivotButton="0" quotePrefix="0" xfId="0"/>
    <xf numFmtId="0" fontId="14" fillId="0" borderId="1" pivotButton="0" quotePrefix="0" xfId="0"/>
    <xf numFmtId="165" fontId="14" fillId="2" borderId="2" pivotButton="0" quotePrefix="0" xfId="0"/>
    <xf numFmtId="164" fontId="12" fillId="4" borderId="2" applyAlignment="1" pivotButton="0" quotePrefix="0" xfId="0">
      <alignment horizontal="center" vertical="center"/>
    </xf>
    <xf numFmtId="0" fontId="18" fillId="0" borderId="0" applyAlignment="1" pivotButton="0" quotePrefix="0" xfId="0">
      <alignment vertical="top" wrapText="1"/>
    </xf>
    <xf numFmtId="0" fontId="20" fillId="3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23" fillId="5" borderId="0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/>
    </xf>
    <xf numFmtId="164" fontId="23" fillId="5" borderId="1" applyAlignment="1" pivotButton="0" quotePrefix="0" xfId="0">
      <alignment horizontal="center" vertical="center" wrapText="1"/>
    </xf>
    <xf numFmtId="166" fontId="23" fillId="5" borderId="1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 wrapText="1"/>
    </xf>
    <xf numFmtId="10" fontId="12" fillId="4" borderId="2" pivotButton="0" quotePrefix="0" xfId="0"/>
    <xf numFmtId="166" fontId="12" fillId="4" borderId="2" pivotButton="0" quotePrefix="0" xfId="0"/>
    <xf numFmtId="10" fontId="14" fillId="2" borderId="2" pivotButton="0" quotePrefix="0" xfId="0"/>
    <xf numFmtId="0" fontId="13" fillId="2" borderId="2" pivotButton="0" quotePrefix="0" xfId="0"/>
    <xf numFmtId="0" fontId="23" fillId="8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23" fillId="9" borderId="2" applyAlignment="1" pivotButton="0" quotePrefix="0" xfId="0">
      <alignment horizontal="center" vertical="center" wrapText="1"/>
    </xf>
    <xf numFmtId="2" fontId="22" fillId="0" borderId="2" pivotButton="0" quotePrefix="0" xfId="0"/>
    <xf numFmtId="0" fontId="14" fillId="4" borderId="2" pivotButton="0" quotePrefix="0" xfId="0"/>
    <xf numFmtId="0" fontId="14" fillId="7" borderId="2" applyAlignment="1" pivotButton="0" quotePrefix="0" xfId="0">
      <alignment horizontal="center" vertical="center" wrapText="1"/>
    </xf>
    <xf numFmtId="164" fontId="14" fillId="4" borderId="2" pivotButton="0" quotePrefix="0" xfId="0"/>
    <xf numFmtId="168" fontId="14" fillId="4" borderId="2" pivotButton="0" quotePrefix="0" xfId="0"/>
    <xf numFmtId="0" fontId="11" fillId="7" borderId="2" applyAlignment="1" pivotButton="0" quotePrefix="0" xfId="0">
      <alignment horizontal="center" vertical="center" wrapText="1"/>
    </xf>
    <xf numFmtId="0" fontId="24" fillId="0" borderId="2" pivotButton="0" quotePrefix="0" xfId="0"/>
    <xf numFmtId="0" fontId="13" fillId="0" borderId="1" pivotButton="0" quotePrefix="0" xfId="0"/>
    <xf numFmtId="164" fontId="14" fillId="2" borderId="2" applyAlignment="1" pivotButton="0" quotePrefix="0" xfId="0">
      <alignment horizontal="center" vertical="center"/>
    </xf>
    <xf numFmtId="0" fontId="15" fillId="0" borderId="0" applyAlignment="1" pivotButton="0" quotePrefix="0" xfId="0">
      <alignment vertical="top" wrapText="1"/>
    </xf>
    <xf numFmtId="0" fontId="26" fillId="0" borderId="0" pivotButton="0" quotePrefix="0" xfId="0"/>
    <xf numFmtId="0" fontId="25" fillId="0" borderId="0" pivotButton="0" quotePrefix="0" xfId="0"/>
    <xf numFmtId="0" fontId="16" fillId="10" borderId="2" applyAlignment="1" pivotButton="0" quotePrefix="0" xfId="0">
      <alignment horizontal="center" wrapText="1"/>
    </xf>
    <xf numFmtId="172" fontId="17" fillId="11" borderId="2" pivotButton="0" quotePrefix="0" xfId="0"/>
    <xf numFmtId="164" fontId="17" fillId="11" borderId="2" pivotButton="0" quotePrefix="0" xfId="0"/>
    <xf numFmtId="166" fontId="17" fillId="11" borderId="2" pivotButton="0" quotePrefix="0" xfId="0"/>
    <xf numFmtId="165" fontId="17" fillId="11" borderId="2" pivotButton="0" quotePrefix="0" xfId="0"/>
    <xf numFmtId="168" fontId="14" fillId="11" borderId="2" pivotButton="0" quotePrefix="0" xfId="0"/>
    <xf numFmtId="170" fontId="14" fillId="0" borderId="2" pivotButton="0" quotePrefix="0" xfId="0"/>
    <xf numFmtId="0" fontId="27" fillId="0" borderId="0" pivotButton="0" quotePrefix="0" xfId="0"/>
    <xf numFmtId="0" fontId="16" fillId="10" borderId="2" pivotButton="0" quotePrefix="0" xfId="0"/>
    <xf numFmtId="0" fontId="24" fillId="2" borderId="2" pivotButton="0" quotePrefix="0" xfId="0"/>
    <xf numFmtId="0" fontId="29" fillId="0" borderId="0" pivotButton="0" quotePrefix="0" xfId="0"/>
    <xf numFmtId="0" fontId="28" fillId="0" borderId="0" pivotButton="0" quotePrefix="0" xfId="0"/>
    <xf numFmtId="0" fontId="12" fillId="2" borderId="2" pivotButton="0" quotePrefix="0" xfId="0"/>
    <xf numFmtId="0" fontId="23" fillId="10" borderId="2" applyAlignment="1" pivotButton="0" quotePrefix="0" xfId="0">
      <alignment horizontal="center"/>
    </xf>
    <xf numFmtId="0" fontId="0" fillId="0" borderId="2" pivotButton="0" quotePrefix="0" xfId="0"/>
    <xf numFmtId="2" fontId="12" fillId="2" borderId="2" pivotButton="0" quotePrefix="0" xfId="0"/>
    <xf numFmtId="167" fontId="12" fillId="2" borderId="2" pivotButton="0" quotePrefix="0" xfId="0"/>
    <xf numFmtId="0" fontId="23" fillId="10" borderId="2" pivotButton="0" quotePrefix="0" xfId="0"/>
    <xf numFmtId="0" fontId="17" fillId="0" borderId="2" pivotButton="0" quotePrefix="0" xfId="0"/>
    <xf numFmtId="167" fontId="17" fillId="0" borderId="2" pivotButton="0" quotePrefix="0" xfId="0"/>
    <xf numFmtId="164" fontId="12" fillId="2" borderId="2" pivotButton="0" quotePrefix="0" xfId="0"/>
    <xf numFmtId="0" fontId="28" fillId="0" borderId="2" pivotButton="0" quotePrefix="0" xfId="0"/>
    <xf numFmtId="0" fontId="23" fillId="10" borderId="2" applyAlignment="1" pivotButton="0" quotePrefix="0" xfId="0">
      <alignment horizontal="center" wrapText="1"/>
    </xf>
    <xf numFmtId="0" fontId="21" fillId="2" borderId="2" pivotButton="0" quotePrefix="0" xfId="0"/>
    <xf numFmtId="0" fontId="21" fillId="0" borderId="2" pivotButton="0" quotePrefix="0" xfId="0"/>
    <xf numFmtId="166" fontId="0" fillId="0" borderId="2" pivotButton="0" quotePrefix="0" xfId="0"/>
    <xf numFmtId="11" fontId="0" fillId="0" borderId="2" pivotButton="0" quotePrefix="0" xfId="0"/>
    <xf numFmtId="11" fontId="0" fillId="0" borderId="0" pivotButton="0" quotePrefix="0" xfId="0"/>
    <xf numFmtId="164" fontId="30" fillId="0" borderId="0" pivotButton="0" quotePrefix="0" xfId="0"/>
    <xf numFmtId="164" fontId="30" fillId="0" borderId="2" pivotButton="0" quotePrefix="0" xfId="0"/>
    <xf numFmtId="166" fontId="30" fillId="0" borderId="2" pivotButton="0" quotePrefix="0" xfId="0"/>
    <xf numFmtId="164" fontId="30" fillId="5" borderId="1" applyAlignment="1" pivotButton="0" quotePrefix="0" xfId="0">
      <alignment horizontal="center" vertical="center" wrapText="1"/>
    </xf>
    <xf numFmtId="166" fontId="30" fillId="5" borderId="1" applyAlignment="1" pivotButton="0" quotePrefix="0" xfId="0">
      <alignment horizontal="center" vertical="center" wrapText="1"/>
    </xf>
    <xf numFmtId="164" fontId="30" fillId="0" borderId="1" pivotButton="0" quotePrefix="0" xfId="0"/>
    <xf numFmtId="166" fontId="30" fillId="0" borderId="1" pivotButton="0" quotePrefix="0" xfId="0"/>
    <xf numFmtId="164" fontId="17" fillId="0" borderId="2" pivotButton="0" quotePrefix="0" xfId="0"/>
    <xf numFmtId="166" fontId="17" fillId="0" borderId="2" pivotButton="0" quotePrefix="0" xfId="0"/>
    <xf numFmtId="166" fontId="30" fillId="0" borderId="0" pivotButton="0" quotePrefix="0" xfId="0"/>
    <xf numFmtId="0" fontId="31" fillId="0" borderId="2" pivotButton="0" quotePrefix="0" xfId="0"/>
    <xf numFmtId="167" fontId="31" fillId="0" borderId="2" pivotButton="0" quotePrefix="0" xfId="0"/>
    <xf numFmtId="0" fontId="23" fillId="10" borderId="2" applyAlignment="1" pivotButton="0" quotePrefix="0" xfId="0">
      <alignment horizontal="left"/>
    </xf>
    <xf numFmtId="0" fontId="11" fillId="11" borderId="2" pivotButton="0" quotePrefix="0" xfId="0"/>
    <xf numFmtId="0" fontId="32" fillId="0" borderId="1" pivotButton="0" quotePrefix="0" xfId="0"/>
    <xf numFmtId="0" fontId="28" fillId="0" borderId="1" pivotButton="0" quotePrefix="0" xfId="0"/>
    <xf numFmtId="0" fontId="11" fillId="0" borderId="1" applyAlignment="1" pivotButton="0" quotePrefix="0" xfId="0">
      <alignment horizontal="left"/>
    </xf>
    <xf numFmtId="0" fontId="23" fillId="0" borderId="1" applyAlignment="1" pivotButton="0" quotePrefix="0" xfId="0">
      <alignment horizontal="left"/>
    </xf>
    <xf numFmtId="0" fontId="21" fillId="0" borderId="1" pivotButton="0" quotePrefix="0" xfId="0"/>
    <xf numFmtId="49" fontId="12" fillId="4" borderId="2" pivotButton="0" quotePrefix="0" xfId="0"/>
    <xf numFmtId="3" fontId="12" fillId="4" borderId="2" pivotButton="0" quotePrefix="0" xfId="0"/>
    <xf numFmtId="0" fontId="11" fillId="0" borderId="1" pivotButton="0" quotePrefix="0" xfId="0"/>
    <xf numFmtId="3" fontId="17" fillId="11" borderId="2" pivotButton="0" quotePrefix="0" xfId="0"/>
    <xf numFmtId="1" fontId="17" fillId="11" borderId="2" pivotButton="0" quotePrefix="0" xfId="0"/>
    <xf numFmtId="0" fontId="15" fillId="0" borderId="1" pivotButton="0" quotePrefix="0" xfId="0"/>
    <xf numFmtId="9" fontId="17" fillId="2" borderId="1" pivotButton="0" quotePrefix="0" xfId="0"/>
    <xf numFmtId="3" fontId="17" fillId="2" borderId="1" pivotButton="0" quotePrefix="0" xfId="0"/>
    <xf numFmtId="1" fontId="17" fillId="2" borderId="1" pivotButton="0" quotePrefix="0" xfId="0"/>
    <xf numFmtId="0" fontId="17" fillId="2" borderId="1" pivotButton="0" quotePrefix="0" xfId="0"/>
    <xf numFmtId="0" fontId="17" fillId="4" borderId="2" pivotButton="0" quotePrefix="0" xfId="0"/>
    <xf numFmtId="164" fontId="17" fillId="2" borderId="2" pivotButton="0" quotePrefix="0" xfId="0"/>
    <xf numFmtId="0" fontId="23" fillId="10" borderId="2" applyAlignment="1" pivotButton="0" quotePrefix="0" xfId="0">
      <alignment horizontal="center" vertical="center" wrapText="1"/>
    </xf>
    <xf numFmtId="176" fontId="14" fillId="2" borderId="2" pivotButton="0" quotePrefix="0" xfId="0"/>
    <xf numFmtId="176" fontId="21" fillId="0" borderId="2" pivotButton="0" quotePrefix="0" xfId="0"/>
    <xf numFmtId="0" fontId="25" fillId="0" borderId="2" pivotButton="0" quotePrefix="0" xfId="0"/>
    <xf numFmtId="4" fontId="17" fillId="12" borderId="2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B-Model white paper</author>
  </authors>
  <commentList>
    <comment ref="B5" authorId="0" shapeId="0">
      <text>
        <t>p.6 — the recovery rate is a model parameter, conventionally 40%, not an
observable. It sets the payout (1-R)A and feeds the credit triangle.</t>
      </text>
    </comment>
    <comment ref="B6" authorId="0" shapeId="0">
      <text>
        <t>p.6 — coupons are standardised to 100bp / 500bp for most names, ACT/360.
Overtype to price an off-market coupon.</t>
      </text>
    </comment>
    <comment ref="B8" authorId="0" shapeId="0">
      <text>
        <t>p.6 — accrual dates are IMM: 3/20, 6/20, 9/20, 12/20. Payment dates roll to the
next business day; the last accrual end date T_M does not roll.</t>
      </text>
    </comment>
    <comment ref="B12" authorId="0" shapeId="0">
      <text>
        <t>(3.4) coupons-in-survival + (3.5) accrued-on-default.
RPV01 is the premium leg per 1bp of coupon.</t>
      </text>
    </comment>
    <comment ref="B13" authorId="0" shapeId="0">
      <text>
        <t>(3.6)  Protection Leg = A(1-R) * INT_T^TM (-dp_s/dt) D(t) dt
p.8: the timeline is cut into segments short enough to treat the forward
discount rate and the hazard as constant, and no longer than a premium
accrual period. The integral is then analytic on each segment.</t>
      </text>
    </comment>
    <comment ref="B14" authorId="0" shapeId="0">
      <text>
        <t>(3.4)  Coupons-in-Survival = A * C * SUM delta(T_i-1,T_i) p_s(T_i) D(T_i)</t>
      </text>
    </comment>
    <comment ref="B15" authorId="0" shapeId="0">
      <text>
        <t>(3.3)  S = Protection Leg / (Premium Leg - Accrued Interest * D(T_s)) at C=1bp.
p.7: the par spread is the replacement spread, quoted in bp, expressed as the
protection leg over the premium leg net of accrued interest.</t>
      </text>
    </comment>
    <comment ref="B18" authorId="0" shapeId="0">
      <text>
        <t>(3.2)  Upfront = Market Value / D(T_s) + Accrued Interest.
p.7: quoted at the settlement date T_s, typically 3 business days after pricing,
so the market value is compounded from T to T_s. Identically 0 when C = S.</t>
      </text>
    </comment>
    <comment ref="B20" authorId="0" shapeId="0">
      <text>
        <t>(3.1)  Market Value = Protection Leg - Premium Leg, both discounted to the
pricing date 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30" t="inlineStr">
        <is>
          <t>Moving the reformed CDS_Pricer in</t>
        </is>
      </c>
    </row>
    <row r="2">
      <c r="A2" s="231" t="inlineStr"/>
    </row>
    <row r="3">
      <c r="A3" s="232" t="inlineStr">
        <is>
          <t>Move the CDS_Pricer_NEW tab only. Leave this sheet behind.</t>
        </is>
      </c>
    </row>
    <row r="4">
      <c r="A4" s="231" t="inlineStr"/>
    </row>
    <row r="5">
      <c r="A5" s="233" t="inlineStr">
        <is>
          <t>1.  Open both workbooks and keep both open.</t>
        </is>
      </c>
    </row>
    <row r="6">
      <c r="A6" s="233" t="inlineStr">
        <is>
          <t>2.  Right-click the CDS_Pricer_NEW tab &gt; Move or Copy &gt; To book: your CDS_Pricer workbook.</t>
        </is>
      </c>
    </row>
    <row r="7">
      <c r="A7" s="233" t="inlineStr">
        <is>
          <t>3.  On the moved tab: Ctrl+H, Options, Look in Formulas, Within Sheet.</t>
        </is>
      </c>
    </row>
    <row r="8">
      <c r="A8" s="165" t="inlineStr">
        <is>
          <t xml:space="preserve">         Find what:     [CDS_PricerSheet_v7.xlsx]</t>
        </is>
      </c>
    </row>
    <row r="9">
      <c r="A9" s="165" t="inlineStr">
        <is>
          <t xml:space="preserve">         Replace with:  (leave empty)</t>
        </is>
      </c>
    </row>
    <row r="10">
      <c r="A10" s="233" t="inlineStr">
        <is>
          <t>4.  Delete the old CDS_Pricer tab, then rename this one to exactly  CDS_Pricer</t>
        </is>
      </c>
    </row>
    <row r="11">
      <c r="A11" s="231" t="inlineStr"/>
    </row>
    <row r="12">
      <c r="A12" s="232" t="inlineStr">
        <is>
          <t>Modules needed: CDSStrip.bas and CDSRisk.bas. Save as .xlsm.</t>
        </is>
      </c>
    </row>
    <row r="13">
      <c r="A13" s="231" t="inlineStr">
        <is>
          <t>Sheets it reads: CDS_Parameters, CDS_Schedule, Curve_Interface, Hazard_Bootstrap,</t>
        </is>
      </c>
    </row>
    <row r="14">
      <c r="A14" s="231" t="inlineStr">
        <is>
          <t>CDS_Quotes, CDS_Entities, Steps. All are in your workbook already.</t>
        </is>
      </c>
    </row>
    <row r="15">
      <c r="A15" s="231" t="inlineStr"/>
    </row>
    <row r="16">
      <c r="A16" s="231" t="inlineStr">
        <is>
          <t>Opened on its own the tab shows #REF - expected, those sheets are not in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A1B9A"/>
    <outlinePr summaryBelow="1" summaryRight="1"/>
    <pageSetUpPr/>
  </sheetPr>
  <dimension ref="A1:O54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78" customWidth="1" min="10" max="10"/>
  </cols>
  <sheetData>
    <row r="1">
      <c r="A1" s="1" t="inlineStr">
        <is>
          <t>CDS_Pricer</t>
        </is>
      </c>
    </row>
    <row r="2">
      <c r="A2" s="2" t="inlineStr">
        <is>
          <t>Prices a CDS off the SOFR discount curve and the stripped hazard curve. Equations on Model_Notes.</t>
        </is>
      </c>
    </row>
    <row r="3">
      <c r="J3" s="136" t="inlineStr">
        <is>
          <t>PRICING EQUATIONS</t>
        </is>
      </c>
    </row>
    <row r="4">
      <c r="A4" s="5" t="inlineStr">
        <is>
          <t>Notional</t>
        </is>
      </c>
      <c r="B4" s="21">
        <f>CDS_Parameters!$B$9</f>
        <v/>
      </c>
      <c r="J4" s="138" t="inlineStr">
        <is>
          <t>(3.1)  Market Value = Protection Leg - Premium Leg</t>
        </is>
      </c>
    </row>
    <row r="5">
      <c r="A5" s="5" t="inlineStr">
        <is>
          <t>Recovery R</t>
        </is>
      </c>
      <c r="B5" s="58">
        <f>CDS_Parameters!$B$8</f>
        <v/>
      </c>
      <c r="J5" s="139" t="inlineStr">
        <is>
          <t xml:space="preserve">       both discounted to the pricing date T</t>
        </is>
      </c>
    </row>
    <row r="6">
      <c r="A6" s="5" t="inlineStr">
        <is>
          <t>Contractual coupon (bp)</t>
        </is>
      </c>
      <c r="B6" s="41">
        <f>CDS_Parameters!$B$10</f>
        <v/>
      </c>
      <c r="C6" s="16" t="inlineStr">
        <is>
          <t>Overtype to price an off-market coupon.</t>
        </is>
      </c>
      <c r="J6" s="138" t="inlineStr">
        <is>
          <t>(3.2)  Upfront      = Market Value / D(T_s) + Accrued Interest</t>
        </is>
      </c>
    </row>
    <row r="7">
      <c r="A7" s="5" t="inlineStr">
        <is>
          <t>Maturity (tenor yrs)</t>
        </is>
      </c>
      <c r="B7" s="41">
        <f>IF(Steps!$B$9="",5,Steps!$B$9)</f>
        <v/>
      </c>
      <c r="J7" s="138" t="inlineStr">
        <is>
          <t>(3.3)  Par spread S = Protection / (Premium - AI*D(T_s))   at C=1bp</t>
        </is>
      </c>
    </row>
    <row r="8">
      <c r="A8" s="5" t="inlineStr">
        <is>
          <t>Maturity date</t>
        </is>
      </c>
      <c r="B8" s="18">
        <f>EDATE('Curve_Interface'!$F$7,3*(4*B7-1))</f>
        <v/>
      </c>
      <c r="J8" s="137" t="n"/>
    </row>
    <row r="9">
      <c r="A9" s="5" t="inlineStr">
        <is>
          <t>Direction</t>
        </is>
      </c>
      <c r="B9" s="6">
        <f>CDS_Parameters!$B$15</f>
        <v/>
      </c>
      <c r="J9" s="138" t="inlineStr">
        <is>
          <t>O-T (1b)  MTM = +/- [ S(t_V,t_N) - S(t_0,t_N) ] * RPV01</t>
        </is>
      </c>
    </row>
    <row r="10">
      <c r="A10" s="11" t="n"/>
      <c r="B10" s="11" t="n"/>
      <c r="J10" s="139" t="inlineStr">
        <is>
          <t xml:space="preserve">          equivalent form, + for long protection</t>
        </is>
      </c>
    </row>
    <row r="11">
      <c r="A11" s="59" t="inlineStr">
        <is>
          <t>RESULTS</t>
        </is>
      </c>
      <c r="B11" s="11" t="n"/>
      <c r="J11" s="137" t="n"/>
    </row>
    <row r="12">
      <c r="A12" s="5" t="inlineStr">
        <is>
          <t>RPV01 (risky annuity)</t>
        </is>
      </c>
      <c r="B12" s="17">
        <f>SUMIF(CDS_Schedule!$C$7:$C$46,"&lt;="&amp;B8,CDS_Schedule!$M$7:$M$46)+SUMIF(CDS_Schedule!$C$7:$C$46,"&lt;="&amp;B8,CDS_Schedule!$N$7:$N$46)</f>
        <v/>
      </c>
      <c r="C12" s="16" t="inlineStr">
        <is>
          <t>Scheduled + accrual-on-default.</t>
        </is>
      </c>
      <c r="J12" s="138" t="inlineStr">
        <is>
          <t>Accrued Interest = A * C * D0,   D0 = accrued days / 360</t>
        </is>
      </c>
    </row>
    <row r="13">
      <c r="A13" s="5" t="inlineStr">
        <is>
          <t>Protection PV</t>
        </is>
      </c>
      <c r="B13" s="44">
        <f>B4*(1-B5)*SUMIF(CDS_Schedule!$C$7:$C$46,"&lt;="&amp;B8,CDS_Schedule!$O$7:$O$46)</f>
        <v/>
      </c>
      <c r="J13" s="139" t="inlineStr">
        <is>
          <t>accrued days include the pricing date (p.7)</t>
        </is>
      </c>
    </row>
    <row r="14">
      <c r="A14" s="5" t="inlineStr">
        <is>
          <t>Premium PV (@ coupon)</t>
        </is>
      </c>
      <c r="B14" s="44">
        <f>B4*(B6/10000)*B12</f>
        <v/>
      </c>
      <c r="J14" s="139" t="inlineStr">
        <is>
          <t>T_s = T + 3 business days (p.6)</t>
        </is>
      </c>
    </row>
    <row r="15">
      <c r="A15" s="132" t="inlineStr">
        <is>
          <t>Par spread (bp)  (3.3)</t>
        </is>
      </c>
      <c r="B15" s="133">
        <f>(1-B5)*SUMIF(CDS_Schedule!$C$7:$C$46,"&lt;="&amp;B8,CDS_Schedule!$O$7:$O$46)/(B12-CDS_Parameters!$B$26)*10000</f>
        <v/>
      </c>
      <c r="C15" s="65" t="inlineStr">
        <is>
          <t>Protection / (RPV01 net of accrued interest x D(T_s)).</t>
        </is>
      </c>
      <c r="J15" s="137" t="n"/>
    </row>
    <row r="16">
      <c r="A16" s="5" t="inlineStr">
        <is>
          <t>PV: protection buyer</t>
        </is>
      </c>
      <c r="B16" s="44">
        <f>B13-B14</f>
        <v/>
      </c>
      <c r="C16" s="16" t="inlineStr">
        <is>
          <t>Protection − Premium.</t>
        </is>
      </c>
      <c r="J16" s="139" t="inlineStr">
        <is>
          <t>Upfront is identically 0 when C = S. That is the check that accrued</t>
        </is>
      </c>
    </row>
    <row r="17">
      <c r="A17" s="5" t="inlineStr">
        <is>
          <t>PV to your direction</t>
        </is>
      </c>
      <c r="B17" s="44">
        <f>IF(B9="Buy protection",B13-B14,B14-B13)</f>
        <v/>
      </c>
      <c r="J17" s="139" t="inlineStr">
        <is>
          <t>interest enters with a + sign, which the wording alone does not settle.</t>
        </is>
      </c>
    </row>
    <row r="18">
      <c r="A18" s="5" t="inlineStr">
        <is>
          <t>Upfront (% notional)</t>
        </is>
      </c>
      <c r="B18" s="60">
        <f>B17/B4*100</f>
        <v/>
      </c>
    </row>
    <row r="19">
      <c r="A19" s="132" t="inlineStr">
        <is>
          <t>PV01  (premium leg net of AI, per 1bp)</t>
        </is>
      </c>
      <c r="B19" s="120">
        <f>B4*(B12-CDS_Parameters!$B$26)*0.0001</f>
        <v/>
      </c>
    </row>
    <row r="20">
      <c r="A20" s="94" t="inlineStr">
        <is>
          <t>Market Value  (3.1)</t>
        </is>
      </c>
      <c r="B20" s="119">
        <f>B13-B14</f>
        <v/>
      </c>
      <c r="C20" s="65" t="inlineStr">
        <is>
          <t>Protection leg minus premium leg, both to the pricing date.</t>
        </is>
      </c>
    </row>
    <row r="21">
      <c r="A21" s="67" t="inlineStr">
        <is>
          <t>RISK MEASURES (full revalue, curve re-stripped on each bump)</t>
        </is>
      </c>
      <c r="N21" s="67" t="inlineStr">
        <is>
          <t>full-revalue working</t>
        </is>
      </c>
    </row>
    <row r="22">
      <c r="A22" s="5" t="inlineStr">
        <is>
          <t>CS01 / Spread DV01  (+1bp)</t>
        </is>
      </c>
      <c r="B22" s="44">
        <f>IF(OR($O$22="",$O$23=""),"",$O$23-$O$22)</f>
        <v/>
      </c>
      <c r="C22" s="177" t="inlineStr">
        <is>
          <t>Spread DV01: revalue at +1bp on every quote, curve re-stripped (p.9).</t>
        </is>
      </c>
      <c r="N22" s="126" t="inlineStr">
        <is>
          <t>MV base</t>
        </is>
      </c>
      <c r="O22" s="229">
        <f>IFERROR(CDS_MarketValue(0,0,0,Hazard_Bootstrap!$B$7:$B$12,Hazard_Bootstrap!$C$7:$C$12,CDS_Parameters!$B$8,CDS_Parameters!$B$26,CDS_Schedule!$C$7:$C$46,CDS_Schedule!$D$7:$D$46,CDS_Schedule!$E$7:$E$46,CDS_Schedule!$F$7:$F$46,CDS_Schedule!$G$7:$G$46,CDS_Schedule!$H$7:$H$46,$B$4,$B$6,$B$8),"")</f>
        <v/>
      </c>
    </row>
    <row r="23">
      <c r="A23" s="5" t="inlineStr">
        <is>
          <t>IR DV01  (+1bp rates)</t>
        </is>
      </c>
      <c r="B23" s="44">
        <f>IF(OR($O$22="",$O$24=""),"",$O$24-$O$22)</f>
        <v/>
      </c>
      <c r="C23" s="177" t="inlineStr">
        <is>
          <t>IR DV01: parallel +1bp on the discount curve, curve re-stripped.</t>
        </is>
      </c>
      <c r="N23" s="126" t="inlineStr">
        <is>
          <t>MV  spreads +1bp</t>
        </is>
      </c>
      <c r="O23" s="229">
        <f>IFERROR(CDS_MarketValue(1,0,0,Hazard_Bootstrap!$B$7:$B$12,Hazard_Bootstrap!$C$7:$C$12,CDS_Parameters!$B$8,CDS_Parameters!$B$26,CDS_Schedule!$C$7:$C$46,CDS_Schedule!$D$7:$D$46,CDS_Schedule!$E$7:$E$46,CDS_Schedule!$F$7:$F$46,CDS_Schedule!$G$7:$G$46,CDS_Schedule!$H$7:$H$46,$B$4,$B$6,$B$8),"")</f>
        <v/>
      </c>
    </row>
    <row r="24">
      <c r="A24" s="5" t="inlineStr">
        <is>
          <t>Rec01  (+1% recovery)</t>
        </is>
      </c>
      <c r="B24" s="44">
        <f>IF(OR($O$22="",$O$25=""),"",$O$25-$O$22)</f>
        <v/>
      </c>
      <c r="C24" s="177" t="inlineStr">
        <is>
          <t>Rec01: recovery +1%, hazards re-fitted so the quotes still reprice.</t>
        </is>
      </c>
      <c r="N24" s="126" t="inlineStr">
        <is>
          <t>MV  rates +1bp</t>
        </is>
      </c>
      <c r="O24" s="229">
        <f>IFERROR(CDS_MarketValue(0,1,0,Hazard_Bootstrap!$B$7:$B$12,Hazard_Bootstrap!$C$7:$C$12,CDS_Parameters!$B$8,CDS_Parameters!$B$26,CDS_Schedule!$C$7:$C$46,CDS_Schedule!$D$7:$D$46,CDS_Schedule!$E$7:$E$46,CDS_Schedule!$F$7:$F$46,CDS_Schedule!$G$7:$G$46,CDS_Schedule!$H$7:$H$46,$B$4,$B$6,$B$8),"")</f>
        <v/>
      </c>
    </row>
    <row r="25">
      <c r="A25" s="5" t="inlineStr">
        <is>
          <t>Jump-to-default (immediate)</t>
        </is>
      </c>
      <c r="B25" s="45">
        <f>IF(B9="Buy protection",B4*(1-B5),-B4*(1-B5))-B17</f>
        <v/>
      </c>
      <c r="C25" s="16" t="inlineStr">
        <is>
          <t>Default-now P&amp;L to your direction: LGD payout - current PV.</t>
        </is>
      </c>
      <c r="N25" s="126" t="inlineStr">
        <is>
          <t>MV  recovery +1%</t>
        </is>
      </c>
      <c r="O25" s="229">
        <f>IFERROR(CDS_MarketValue(0,0,0.01,Hazard_Bootstrap!$B$7:$B$12,Hazard_Bootstrap!$C$7:$C$12,CDS_Parameters!$B$8,CDS_Parameters!$B$26,CDS_Schedule!$C$7:$C$46,CDS_Schedule!$D$7:$D$46,CDS_Schedule!$E$7:$E$46,CDS_Schedule!$F$7:$F$46,CDS_Schedule!$G$7:$G$46,CDS_Schedule!$H$7:$H$46,$B$4,$B$6,$B$8),"")</f>
        <v/>
      </c>
    </row>
    <row r="26">
      <c r="A26" s="94" t="inlineStr">
        <is>
          <t>Accrued Interest  A*C*D0</t>
        </is>
      </c>
      <c r="B26" s="120">
        <f>B4*(B6/10000)*CDS_Parameters!$B$25</f>
        <v/>
      </c>
      <c r="N26" s="177" t="inlineStr">
        <is>
          <t>Each measure is a difference of two full valuations. Holding hazards fixed and multiplying RPV01 by a bump answers a different question - that is what made Rec01 come out with the wrong sign.</t>
        </is>
      </c>
    </row>
    <row r="27">
      <c r="A27" s="67" t="inlineStr">
        <is>
          <t>Upfront  (3.2)</t>
        </is>
      </c>
      <c r="B27" s="119">
        <f>B20/CDS_Parameters!$B$22+B26</f>
        <v/>
      </c>
      <c r="C27" s="65" t="inlineStr">
        <is>
          <t>Market Value / D(T_s) + Accrued Interest. Identically zero when C = S.</t>
        </is>
      </c>
    </row>
    <row r="28">
      <c r="A28" s="67" t="inlineStr">
        <is>
          <t>CDSW SCREEN OUTPUT</t>
        </is>
      </c>
    </row>
    <row r="29">
      <c r="A29" s="65" t="inlineStr">
        <is>
          <t>Settlement figures in CDSW order. S = par spread from the curve (B15), C = contractual coupon (B6).</t>
        </is>
      </c>
    </row>
    <row r="30">
      <c r="A30" s="94" t="inlineStr">
        <is>
          <t>1st accrual start</t>
        </is>
      </c>
      <c r="B30" s="86">
        <f>IF(MONTH((EDATE(CDS_Parameters!$B$5,-3)+IF(WEEKDAY(EDATE(CDS_Parameters!$B$5,-3),2)=6,2,IF(WEEKDAY(EDATE(CDS_Parameters!$B$5,-3),2)=7,1,0))))&lt;&gt;MONTH(EDATE(CDS_Parameters!$B$5,-3)),(EDATE(CDS_Parameters!$B$5,-3)-IF(WEEKDAY(EDATE(CDS_Parameters!$B$5,-3),2)=6,1,IF(WEEKDAY(EDATE(CDS_Parameters!$B$5,-3),2)=7,2,0))),(EDATE(CDS_Parameters!$B$5,-3)+IF(WEEKDAY(EDATE(CDS_Parameters!$B$5,-3),2)=6,2,IF(WEEKDAY(EDATE(CDS_Parameters!$B$5,-3),2)=7,1,0))))</f>
        <v/>
      </c>
      <c r="C30" s="65" t="inlineStr">
        <is>
          <t>Previous IMM roll, business-day adjusted. 20 Jun 2026 is a Saturday, so the screen shows 06/22/26.</t>
        </is>
      </c>
    </row>
    <row r="31">
      <c r="A31" s="67" t="inlineStr">
        <is>
          <t>Points upfront</t>
        </is>
      </c>
      <c r="B31" s="71">
        <f>(($B$15/10000)-CDS_Parameters!$B$10/10000)*$B$12*100</f>
        <v/>
      </c>
      <c r="C31" s="65" t="inlineStr">
        <is>
          <t>(S - C) * RPV01 * 100, protection buyer.</t>
        </is>
      </c>
    </row>
    <row r="32">
      <c r="A32" s="67" t="inlineStr">
        <is>
          <t>Price</t>
        </is>
      </c>
      <c r="B32" s="71">
        <f>100-B31</f>
        <v/>
      </c>
      <c r="C32" s="65" t="inlineStr">
        <is>
          <t>100 - points upfront.</t>
        </is>
      </c>
    </row>
    <row r="33">
      <c r="A33" s="94" t="inlineStr">
        <is>
          <t>Principal</t>
        </is>
      </c>
      <c r="B33" s="103">
        <f>IF(CDS_Parameters!$B$15="Buy protection",1,-1)*(($B$15/10000)-CDS_Parameters!$B$10/10000)*$B$12*CDS_Parameters!$B$9</f>
        <v/>
      </c>
      <c r="C33" s="65" t="inlineStr">
        <is>
          <t>Clean upfront in cash.</t>
        </is>
      </c>
    </row>
    <row r="34">
      <c r="A34" s="94" t="inlineStr">
        <is>
          <t>Accrued days</t>
        </is>
      </c>
      <c r="B34" s="104">
        <f>MAX(0,CDS_Parameters!$B$4-B30+1)</f>
        <v/>
      </c>
      <c r="C34" s="65" t="inlineStr">
        <is>
          <t>ISDA counts both endpoints.</t>
        </is>
      </c>
    </row>
    <row r="35">
      <c r="A35" s="94" t="inlineStr">
        <is>
          <t>Accrued</t>
        </is>
      </c>
      <c r="B35" s="103">
        <f>-IF(CDS_Parameters!$B$15="Buy protection",1,-1)*CDS_Parameters!$B$10/10000*CDS_Parameters!$B$9*B34/360</f>
        <v/>
      </c>
      <c r="C35" s="65" t="inlineStr">
        <is>
          <t>Coupon * notional * days/360.</t>
        </is>
      </c>
    </row>
    <row r="36">
      <c r="A36" s="67" t="inlineStr">
        <is>
          <t>Cash Amount</t>
        </is>
      </c>
      <c r="B36" s="105">
        <f>B33+B35</f>
        <v/>
      </c>
      <c r="C36" s="65" t="inlineStr">
        <is>
          <t>Principal + accrued.</t>
        </is>
      </c>
    </row>
    <row r="37">
      <c r="A37" s="94" t="inlineStr">
        <is>
          <t>Default Exposure</t>
        </is>
      </c>
      <c r="B37" s="103">
        <f>(1-CDS_Parameters!$B$8)*CDS_Parameters!$B$9-B33</f>
        <v/>
      </c>
      <c r="C37" s="65" t="inlineStr">
        <is>
          <t>(1-R) * notional less the principal already paid.</t>
        </is>
      </c>
    </row>
    <row r="38">
      <c r="A38" s="66" t="inlineStr">
        <is>
          <t>Upfront (3.2) above is the paper's total. How it splits into CDSW's Principal / Accrued / Cash is INFERRED, not confirmed by the paper. A capture with non-zero accrued would settle it.</t>
        </is>
      </c>
    </row>
    <row r="39">
      <c r="A39" s="65" t="n"/>
    </row>
    <row r="41">
      <c r="A41" s="67" t="inlineStr">
        <is>
          <t>MODEL vs CAPTURED CDSW  (active entity)</t>
        </is>
      </c>
    </row>
    <row r="42">
      <c r="A42" s="177" t="inlineStr">
        <is>
          <t>Blank until a CDSW capture is typed into CDS_Entities O:AC for the live name. A zero there reads as no capture, not as a captured zero.</t>
        </is>
      </c>
    </row>
    <row r="43">
      <c r="A43" s="141" t="inlineStr">
        <is>
          <t>Measure</t>
        </is>
      </c>
      <c r="B43" s="141" t="inlineStr">
        <is>
          <t>CDSW captured</t>
        </is>
      </c>
      <c r="C43" s="141" t="inlineStr">
        <is>
          <t>Model</t>
        </is>
      </c>
      <c r="D43" s="141" t="inlineStr">
        <is>
          <t>Diff</t>
        </is>
      </c>
    </row>
    <row r="44">
      <c r="A44" s="94" t="inlineStr">
        <is>
          <t>Points upfront</t>
        </is>
      </c>
      <c r="B44" s="87">
        <f>IFERROR(IF(N(INDEX(CDS_Entities!$S$5:$S$14,CDS_Parameters!$B$28))=0,"",INDEX(CDS_Entities!$S$5:$S$14,CDS_Parameters!$B$28)),"")</f>
        <v/>
      </c>
      <c r="C44" s="93">
        <f>B31</f>
        <v/>
      </c>
      <c r="D44" s="93">
        <f>IF(OR(B44="",NOT(ISNUMBER(B44)),NOT(ISNUMBER(C44))),"",C44-B44)</f>
        <v/>
      </c>
    </row>
    <row r="45">
      <c r="A45" s="94" t="inlineStr">
        <is>
          <t>Price</t>
        </is>
      </c>
      <c r="B45" s="87">
        <f>IFERROR(IF(N(INDEX(CDS_Entities!$T$5:$T$14,CDS_Parameters!$B$28))=0,"",INDEX(CDS_Entities!$T$5:$T$14,CDS_Parameters!$B$28)),"")</f>
        <v/>
      </c>
      <c r="C45" s="93">
        <f>B32</f>
        <v/>
      </c>
      <c r="D45" s="93">
        <f>IF(OR(B45="",NOT(ISNUMBER(B45)),NOT(ISNUMBER(C45))),"",C45-B45)</f>
        <v/>
      </c>
    </row>
    <row r="46">
      <c r="A46" s="94" t="inlineStr">
        <is>
          <t>Principal</t>
        </is>
      </c>
      <c r="B46" s="87">
        <f>IFERROR(IF(N(INDEX(CDS_Entities!$U$5:$U$14,CDS_Parameters!$B$28))=0,"",INDEX(CDS_Entities!$U$5:$U$14,CDS_Parameters!$B$28)),"")</f>
        <v/>
      </c>
      <c r="C46" s="93">
        <f>B33</f>
        <v/>
      </c>
      <c r="D46" s="93">
        <f>IF(OR(B46="",NOT(ISNUMBER(B46)),NOT(ISNUMBER(C46))),"",C46-B46)</f>
        <v/>
      </c>
    </row>
    <row r="47">
      <c r="A47" s="94" t="inlineStr">
        <is>
          <t>Accrued days</t>
        </is>
      </c>
      <c r="B47" s="87">
        <f>IFERROR(IF(N(INDEX(CDS_Entities!$V$5:$V$14,CDS_Parameters!$B$28))=0,"",INDEX(CDS_Entities!$V$5:$V$14,CDS_Parameters!$B$28)),"")</f>
        <v/>
      </c>
      <c r="C47" s="93">
        <f>B34</f>
        <v/>
      </c>
      <c r="D47" s="93">
        <f>IF(OR(B47="",NOT(ISNUMBER(B47)),NOT(ISNUMBER(C47))),"",C47-B47)</f>
        <v/>
      </c>
    </row>
    <row r="48">
      <c r="A48" s="94" t="inlineStr">
        <is>
          <t>Accrued</t>
        </is>
      </c>
      <c r="B48" s="87">
        <f>IFERROR(IF(N(INDEX(CDS_Entities!$W$5:$W$14,CDS_Parameters!$B$28))=0,"",INDEX(CDS_Entities!$W$5:$W$14,CDS_Parameters!$B$28)),"")</f>
        <v/>
      </c>
      <c r="C48" s="93">
        <f>B35</f>
        <v/>
      </c>
      <c r="D48" s="93">
        <f>IF(OR(B48="",NOT(ISNUMBER(B48)),NOT(ISNUMBER(C48))),"",C48-B48)</f>
        <v/>
      </c>
    </row>
    <row r="49">
      <c r="A49" s="94" t="inlineStr">
        <is>
          <t>Cash amount</t>
        </is>
      </c>
      <c r="B49" s="87">
        <f>IFERROR(IF(N(INDEX(CDS_Entities!$X$5:$X$14,CDS_Parameters!$B$28))=0,"",INDEX(CDS_Entities!$X$5:$X$14,CDS_Parameters!$B$28)),"")</f>
        <v/>
      </c>
      <c r="C49" s="93">
        <f>B36</f>
        <v/>
      </c>
      <c r="D49" s="93">
        <f>IF(OR(B49="",NOT(ISNUMBER(B49)),NOT(ISNUMBER(C49))),"",C49-B49)</f>
        <v/>
      </c>
    </row>
    <row r="50">
      <c r="A50" s="94" t="inlineStr">
        <is>
          <t>Def exposure</t>
        </is>
      </c>
      <c r="B50" s="87">
        <f>IFERROR(IF(N(INDEX(CDS_Entities!$AB$5:$AB$14,CDS_Parameters!$B$28))=0,"",INDEX(CDS_Entities!$AB$5:$AB$14,CDS_Parameters!$B$28)),"")</f>
        <v/>
      </c>
      <c r="C50" s="93">
        <f>B37</f>
        <v/>
      </c>
      <c r="D50" s="93">
        <f>IF(OR(B50="",NOT(ISNUMBER(B50)),NOT(ISNUMBER(C50))),"",C50-B50)</f>
        <v/>
      </c>
    </row>
    <row r="51">
      <c r="A51" s="190" t="inlineStr">
        <is>
          <t>Spread DV01</t>
        </is>
      </c>
      <c r="B51" s="180">
        <f>IFERROR(IF(N(INDEX(CDS_Entities!$Y$5:$Y$14,CDS_Parameters!$B$28))=0,"",INDEX(CDS_Entities!$Y$5:$Y$14,CDS_Parameters!$B$28)),"")</f>
        <v/>
      </c>
      <c r="C51" s="180">
        <f>B22</f>
        <v/>
      </c>
      <c r="D51" s="180">
        <f>IF(OR(B51="",NOT(ISNUMBER(B51)),NOT(ISNUMBER(C51))),"",C51-B51)</f>
        <v/>
      </c>
    </row>
    <row r="52">
      <c r="A52" s="190" t="inlineStr">
        <is>
          <t>IR DV01</t>
        </is>
      </c>
      <c r="B52" s="180">
        <f>IFERROR(IF(N(INDEX(CDS_Entities!$Z$5:$Z$14,CDS_Parameters!$B$28))=0,"",INDEX(CDS_Entities!$Z$5:$Z$14,CDS_Parameters!$B$28)),"")</f>
        <v/>
      </c>
      <c r="C52" s="180">
        <f>B23</f>
        <v/>
      </c>
      <c r="D52" s="180">
        <f>IF(OR(B52="",NOT(ISNUMBER(B52)),NOT(ISNUMBER(C52))),"",C52-B52)</f>
        <v/>
      </c>
    </row>
    <row r="53">
      <c r="A53" s="190" t="inlineStr">
        <is>
          <t>Rec risk 1%</t>
        </is>
      </c>
      <c r="B53" s="180">
        <f>IFERROR(IF(N(INDEX(CDS_Entities!$AA$5:$AA$14,CDS_Parameters!$B$28))=0,"",INDEX(CDS_Entities!$AA$5:$AA$14,CDS_Parameters!$B$28)),"")</f>
        <v/>
      </c>
      <c r="C53" s="180">
        <f>B24</f>
        <v/>
      </c>
      <c r="D53" s="180">
        <f>IF(OR(B53="",NOT(ISNUMBER(B53)),NOT(ISNUMBER(C53))),"",C53-B53)</f>
        <v/>
      </c>
    </row>
    <row r="54">
      <c r="A54" s="190" t="inlineStr">
        <is>
          <t>Prob 5Y (1-Q)</t>
        </is>
      </c>
      <c r="B54" s="180">
        <f>IFERROR(IF(N(INDEX(CDS_Entities!$AC$5:$AC$14,CDS_Parameters!$B$28))=0,"",INDEX(CDS_Entities!$AC$5:$AC$14,CDS_Parameters!$B$28)),"")</f>
        <v/>
      </c>
      <c r="C54" s="180">
        <f>IFERROR(INDEX(Hazard_Bootstrap!$F$7:$F$12,MATCH(5,CDS_Quotes!$B$7:$B$12,0)),"")</f>
        <v/>
      </c>
      <c r="D54" s="180">
        <f>IF(OR(B54="",NOT(ISNUMBER(B54)),NOT(ISNUMBER(C54))),"",C54-B54)</f>
        <v/>
      </c>
    </row>
  </sheetData>
  <mergeCells count="9">
    <mergeCell ref="C25:H25"/>
    <mergeCell ref="C6:H6"/>
    <mergeCell ref="C24:H24"/>
    <mergeCell ref="C16:H16"/>
    <mergeCell ref="A21:H21"/>
    <mergeCell ref="C22:H22"/>
    <mergeCell ref="C23:H23"/>
    <mergeCell ref="C12:H12"/>
    <mergeCell ref="C15:H1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2026-07-21T11:56:58Z</dcterms:created>
  <dcterms:modified xmlns:dcterms="http://purl.org/dc/terms/" xmlns:xsi="http://www.w3.org/2001/XMLSchema-instance" xsi:type="dcterms:W3CDTF">2026-07-22T15:34:38Z</dcterms:modified>
</cp:coreProperties>
</file>