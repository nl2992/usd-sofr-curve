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DS_Pricer_NEW" sheetId="1" state="visible" r:id="rId1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6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  <font>
      <name val="Calibri"/>
      <b val="1"/>
      <color rgb="00000000"/>
      <sz val="13"/>
    </font>
    <font>
      <name val="Calibri"/>
      <color rgb="00808080"/>
      <sz val="10"/>
    </font>
    <font>
      <name val="Calibri"/>
      <b val="1"/>
      <color rgb="00000000"/>
      <sz val="11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B-Model white paper</author>
  </authors>
  <commentList>
    <comment ref="B11" authorId="0" shapeId="0">
      <text>
        <t>p.6 — the recovery rate is a model parameter, conventionally 40%, not an
observable. It sets the payout (1-R)A and feeds the credit triangle.</t>
      </text>
    </comment>
    <comment ref="B12" authorId="0" shapeId="0">
      <text>
        <t>p.6 — coupons are standardised to 100bp / 500bp for most names, ACT/360.
Overtype to price an off-market coupon.</t>
      </text>
    </comment>
    <comment ref="B14" authorId="0" shapeId="0">
      <text>
        <t>p.6 — accrual dates are IMM: 3/20, 6/20, 9/20, 12/20. Payment dates roll to the
next business day; the last accrual end date T_M does not roll.</t>
      </text>
    </comment>
    <comment ref="B18" authorId="0" shapeId="0">
      <text>
        <t>(3.4) coupons-in-survival + (3.5) accrued-on-default.
RPV01 is the premium leg per 1bp of coupon.</t>
      </text>
    </comment>
    <comment ref="B19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20" authorId="0" shapeId="0">
      <text>
        <t>(3.4)  Coupons-in-Survival = A * C * SUM delta(T_i-1,T_i) p_s(T_i) D(T_i)</t>
      </text>
    </comment>
    <comment ref="B21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24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6" authorId="0" shapeId="0">
      <text>
        <t>(3.1)  Market Value = Protection Leg - Premium Leg, both discounted to the
pricing date 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6A1B9A"/>
    <outlinePr summaryBelow="1" summaryRight="1"/>
    <pageSetUpPr/>
  </sheetPr>
  <dimension ref="A1:O6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230" t="inlineStr">
        <is>
          <t>Reformed CDS_Pricer - move this tab into your workbook</t>
        </is>
      </c>
    </row>
    <row r="2">
      <c r="A2" s="231" t="inlineStr">
        <is>
          <t>Tab is CDS_Pricer_NEW so it cannot collide. Rename it to exactly CDS_Pricer after the move.</t>
        </is>
      </c>
    </row>
    <row r="3">
      <c r="A3" s="232" t="inlineStr">
        <is>
          <t>1. Open both workbooks, keep both open.   2. Right-click this tab &gt; Move or Copy &gt; To book: your CDS_Pricer workbook.</t>
        </is>
      </c>
    </row>
    <row r="4">
      <c r="A4" s="165" t="inlineStr">
        <is>
          <t>3. On the moved tab: Ctrl+H, Options, Look in Formulas, Within Sheet.  Find  [CDS_PricerSheet_v7.xlsx]  Replace with nothing.</t>
        </is>
      </c>
    </row>
    <row r="5">
      <c r="A5" s="232" t="inlineStr">
        <is>
          <t>4. Delete the old CDS_Pricer, rename this one CDS_Pricer.  Import CDSStrip.bas and CDSRisk.bas, save as .xlsm.</t>
        </is>
      </c>
    </row>
    <row r="6">
      <c r="A6" s="231" t="inlineStr">
        <is>
          <t>Opened on its own this shows #REF throughout - expected, the sheets it reads are not in this file.</t>
        </is>
      </c>
    </row>
    <row r="7">
      <c r="A7" s="1" t="inlineStr">
        <is>
          <t>CDS_Pricer</t>
        </is>
      </c>
    </row>
    <row r="8">
      <c r="A8" s="2" t="inlineStr">
        <is>
          <t>Prices a CDS off the SOFR discount curve and the stripped hazard curve. Equations on Model_Notes.</t>
        </is>
      </c>
    </row>
    <row r="9">
      <c r="J9" s="136" t="inlineStr">
        <is>
          <t>PRICING EQUATIONS</t>
        </is>
      </c>
    </row>
    <row r="10">
      <c r="A10" s="5" t="inlineStr">
        <is>
          <t>Notional</t>
        </is>
      </c>
      <c r="B10" s="21">
        <f>CDS_Parameters!$B$9</f>
        <v/>
      </c>
      <c r="J10" s="138" t="inlineStr">
        <is>
          <t>(3.1)  Market Value = Protection Leg - Premium Leg</t>
        </is>
      </c>
    </row>
    <row r="11">
      <c r="A11" s="5" t="inlineStr">
        <is>
          <t>Recovery R</t>
        </is>
      </c>
      <c r="B11" s="58">
        <f>CDS_Parameters!$B$8</f>
        <v/>
      </c>
      <c r="J11" s="139" t="inlineStr">
        <is>
          <t xml:space="preserve">       both discounted to the pricing date T</t>
        </is>
      </c>
    </row>
    <row r="12">
      <c r="A12" s="5" t="inlineStr">
        <is>
          <t>Contractual coupon (bp)</t>
        </is>
      </c>
      <c r="B12" s="41">
        <f>CDS_Parameters!$B$10</f>
        <v/>
      </c>
      <c r="C12" s="16" t="inlineStr">
        <is>
          <t>Overtype to price an off-market coupon.</t>
        </is>
      </c>
      <c r="J12" s="138" t="inlineStr">
        <is>
          <t>(3.2)  Upfront      = Market Value / D(T_s) + Accrued Interest</t>
        </is>
      </c>
    </row>
    <row r="13">
      <c r="A13" s="5" t="inlineStr">
        <is>
          <t>Maturity (tenor yrs)</t>
        </is>
      </c>
      <c r="B13" s="41">
        <f>IF(Steps!$B$9="",5,Steps!$B$9)</f>
        <v/>
      </c>
      <c r="J13" s="138" t="inlineStr">
        <is>
          <t>(3.3)  Par spread S = Protection / (Premium - AI*D(T_s))   at C=1bp</t>
        </is>
      </c>
    </row>
    <row r="14">
      <c r="A14" s="5" t="inlineStr">
        <is>
          <t>Maturity date</t>
        </is>
      </c>
      <c r="B14" s="18">
        <f>EDATE('Curve_Interface'!$F$7,3*(4*B7-1))</f>
        <v/>
      </c>
      <c r="J14" s="137" t="n"/>
    </row>
    <row r="15">
      <c r="A15" s="5" t="inlineStr">
        <is>
          <t>Direction</t>
        </is>
      </c>
      <c r="B15" s="6">
        <f>CDS_Parameters!$B$15</f>
        <v/>
      </c>
      <c r="J15" s="138" t="inlineStr">
        <is>
          <t>O-T (1b)  MTM = +/- [ S(t_V,t_N) - S(t_0,t_N) ] * RPV01</t>
        </is>
      </c>
    </row>
    <row r="16">
      <c r="A16" s="11" t="n"/>
      <c r="B16" s="11" t="n"/>
      <c r="J16" s="139" t="inlineStr">
        <is>
          <t xml:space="preserve">          equivalent form, + for long protection</t>
        </is>
      </c>
    </row>
    <row r="17">
      <c r="A17" s="59" t="inlineStr">
        <is>
          <t>RESULTS</t>
        </is>
      </c>
      <c r="B17" s="11" t="n"/>
      <c r="J17" s="137" t="n"/>
    </row>
    <row r="18">
      <c r="A18" s="5" t="inlineStr">
        <is>
          <t>RPV01 (risky annuity)</t>
        </is>
      </c>
      <c r="B18" s="17">
        <f>SUMIF(CDS_Schedule!$C$7:$C$46,"&lt;="&amp;B8,CDS_Schedule!$M$7:$M$46)+SUMIF(CDS_Schedule!$C$7:$C$46,"&lt;="&amp;B8,CDS_Schedule!$N$7:$N$46)</f>
        <v/>
      </c>
      <c r="C18" s="16" t="inlineStr">
        <is>
          <t>Scheduled + accrual-on-default.</t>
        </is>
      </c>
      <c r="J18" s="138" t="inlineStr">
        <is>
          <t>Accrued Interest = A * C * D0,   D0 = accrued days / 360</t>
        </is>
      </c>
    </row>
    <row r="19">
      <c r="A19" s="5" t="inlineStr">
        <is>
          <t>Protection PV</t>
        </is>
      </c>
      <c r="B19" s="44">
        <f>B4*(1-B5)*SUMIF(CDS_Schedule!$C$7:$C$46,"&lt;="&amp;B8,CDS_Schedule!$O$7:$O$46)</f>
        <v/>
      </c>
      <c r="J19" s="139" t="inlineStr">
        <is>
          <t>accrued days include the pricing date (p.7)</t>
        </is>
      </c>
    </row>
    <row r="20">
      <c r="A20" s="5" t="inlineStr">
        <is>
          <t>Premium PV (@ coupon)</t>
        </is>
      </c>
      <c r="B20" s="44">
        <f>B4*(B6/10000)*B12</f>
        <v/>
      </c>
      <c r="J20" s="139" t="inlineStr">
        <is>
          <t>T_s = T + 3 business days (p.6)</t>
        </is>
      </c>
    </row>
    <row r="21">
      <c r="A21" s="132" t="inlineStr">
        <is>
          <t>Par spread (bp)  (3.3)</t>
        </is>
      </c>
      <c r="B21" s="133">
        <f>(1-B5)*SUMIF(CDS_Schedule!$C$7:$C$46,"&lt;="&amp;B8,CDS_Schedule!$O$7:$O$46)/(B12-CDS_Parameters!$B$26)*10000</f>
        <v/>
      </c>
      <c r="C21" s="65" t="inlineStr">
        <is>
          <t>Protection / (RPV01 net of accrued interest x D(T_s)).</t>
        </is>
      </c>
      <c r="J21" s="137" t="n"/>
    </row>
    <row r="22">
      <c r="A22" s="5" t="inlineStr">
        <is>
          <t>PV: protection buyer</t>
        </is>
      </c>
      <c r="B22" s="44">
        <f>B13-B14</f>
        <v/>
      </c>
      <c r="C22" s="16" t="inlineStr">
        <is>
          <t>Protection − Premium.</t>
        </is>
      </c>
      <c r="J22" s="139" t="inlineStr">
        <is>
          <t>Upfront is identically 0 when C = S. That is the check that accrued</t>
        </is>
      </c>
    </row>
    <row r="23">
      <c r="A23" s="5" t="inlineStr">
        <is>
          <t>PV to your direction</t>
        </is>
      </c>
      <c r="B23" s="44">
        <f>IF(B9="Buy protection",B13-B14,B14-B13)</f>
        <v/>
      </c>
      <c r="J23" s="139" t="inlineStr">
        <is>
          <t>interest enters with a + sign, which the wording alone does not settle.</t>
        </is>
      </c>
    </row>
    <row r="24">
      <c r="A24" s="5" t="inlineStr">
        <is>
          <t>Upfront (% notional)</t>
        </is>
      </c>
      <c r="B24" s="60">
        <f>B17/B4*100</f>
        <v/>
      </c>
    </row>
    <row r="25">
      <c r="A25" s="132" t="inlineStr">
        <is>
          <t>PV01  (premium leg net of AI, per 1bp)</t>
        </is>
      </c>
      <c r="B25" s="120">
        <f>B4*(B12-CDS_Parameters!$B$26)*0.0001</f>
        <v/>
      </c>
    </row>
    <row r="26">
      <c r="A26" s="94" t="inlineStr">
        <is>
          <t>Market Value  (3.1)</t>
        </is>
      </c>
      <c r="B26" s="119">
        <f>B13-B14</f>
        <v/>
      </c>
      <c r="C26" s="65" t="inlineStr">
        <is>
          <t>Protection leg minus premium leg, both to the pricing date.</t>
        </is>
      </c>
    </row>
    <row r="27">
      <c r="A27" s="67" t="inlineStr">
        <is>
          <t>RISK MEASURES (full revalue, curve re-stripped on each bump)</t>
        </is>
      </c>
      <c r="N27" s="67" t="inlineStr">
        <is>
          <t>full-revalue working</t>
        </is>
      </c>
    </row>
    <row r="28">
      <c r="A28" s="5" t="inlineStr">
        <is>
          <t>CS01 / Spread DV01  (+1bp)</t>
        </is>
      </c>
      <c r="B28" s="44">
        <f>IF(OR($O$22="",$O$23=""),"",$O$23-$O$22)</f>
        <v/>
      </c>
      <c r="C28" s="177" t="inlineStr">
        <is>
          <t>Spread DV01: revalue at +1bp on every quote, curve re-stripped (p.9).</t>
        </is>
      </c>
      <c r="N28" s="126" t="inlineStr">
        <is>
          <t>MV base</t>
        </is>
      </c>
      <c r="O28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9">
      <c r="A29" s="5" t="inlineStr">
        <is>
          <t>IR DV01  (+1bp rates)</t>
        </is>
      </c>
      <c r="B29" s="44">
        <f>IF(OR($O$22="",$O$24=""),"",$O$24-$O$22)</f>
        <v/>
      </c>
      <c r="C29" s="177" t="inlineStr">
        <is>
          <t>IR DV01: parallel +1bp on the discount curve, curve re-stripped.</t>
        </is>
      </c>
      <c r="N29" s="126" t="inlineStr">
        <is>
          <t>MV  spreads +1bp</t>
        </is>
      </c>
      <c r="O29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30">
      <c r="A30" s="5" t="inlineStr">
        <is>
          <t>Rec01  (+1% recovery)</t>
        </is>
      </c>
      <c r="B30" s="44">
        <f>IF(OR($O$22="",$O$25=""),"",$O$25-$O$22)</f>
        <v/>
      </c>
      <c r="C30" s="177" t="inlineStr">
        <is>
          <t>Rec01: recovery +1%, hazards re-fitted so the quotes still reprice.</t>
        </is>
      </c>
      <c r="N30" s="126" t="inlineStr">
        <is>
          <t>MV  rates +1bp</t>
        </is>
      </c>
      <c r="O30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31">
      <c r="A31" s="5" t="inlineStr">
        <is>
          <t>Jump-to-default (immediate)</t>
        </is>
      </c>
      <c r="B31" s="45">
        <f>IF(B9="Buy protection",B4*(1-B5),-B4*(1-B5))-B17</f>
        <v/>
      </c>
      <c r="C31" s="16" t="inlineStr">
        <is>
          <t>Default-now P&amp;L to your direction: LGD payout - current PV.</t>
        </is>
      </c>
      <c r="N31" s="126" t="inlineStr">
        <is>
          <t>MV  recovery +1%</t>
        </is>
      </c>
      <c r="O31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32">
      <c r="A32" s="94" t="inlineStr">
        <is>
          <t>Accrued Interest  A*C*D0</t>
        </is>
      </c>
      <c r="B32" s="120">
        <f>B4*(B6/10000)*CDS_Parameters!$B$25</f>
        <v/>
      </c>
      <c r="N32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33">
      <c r="A33" s="67" t="inlineStr">
        <is>
          <t>Upfront  (3.2)</t>
        </is>
      </c>
      <c r="B33" s="119">
        <f>B20/CDS_Parameters!$B$22+B26</f>
        <v/>
      </c>
      <c r="C33" s="65" t="inlineStr">
        <is>
          <t>Market Value / D(T_s) + Accrued Interest. Identically zero when C = S.</t>
        </is>
      </c>
    </row>
    <row r="34">
      <c r="A34" s="67" t="inlineStr">
        <is>
          <t>CDSW SCREEN OUTPUT</t>
        </is>
      </c>
    </row>
    <row r="35">
      <c r="A35" s="65" t="inlineStr">
        <is>
          <t>Settlement figures in CDSW order. S = par spread from the curve (B15), C = contractual coupon (B6).</t>
        </is>
      </c>
    </row>
    <row r="36">
      <c r="A36" s="94" t="inlineStr">
        <is>
          <t>1st accrual start</t>
        </is>
      </c>
      <c r="B36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6" s="65" t="inlineStr">
        <is>
          <t>Previous IMM roll, business-day adjusted. 20 Jun 2026 is a Saturday, so the screen shows 06/22/26.</t>
        </is>
      </c>
    </row>
    <row r="37">
      <c r="A37" s="67" t="inlineStr">
        <is>
          <t>Points upfront</t>
        </is>
      </c>
      <c r="B37" s="71">
        <f>(($B$15/10000)-CDS_Parameters!$B$10/10000)*$B$12*100</f>
        <v/>
      </c>
      <c r="C37" s="65" t="inlineStr">
        <is>
          <t>(S - C) * RPV01 * 100, protection buyer.</t>
        </is>
      </c>
    </row>
    <row r="38">
      <c r="A38" s="67" t="inlineStr">
        <is>
          <t>Price</t>
        </is>
      </c>
      <c r="B38" s="71">
        <f>100-B31</f>
        <v/>
      </c>
      <c r="C38" s="65" t="inlineStr">
        <is>
          <t>100 - points upfront.</t>
        </is>
      </c>
    </row>
    <row r="39">
      <c r="A39" s="94" t="inlineStr">
        <is>
          <t>Principal</t>
        </is>
      </c>
      <c r="B39" s="103">
        <f>IF(CDS_Parameters!$B$15="Buy protection",1,-1)*(($B$15/10000)-CDS_Parameters!$B$10/10000)*$B$12*CDS_Parameters!$B$9</f>
        <v/>
      </c>
      <c r="C39" s="65" t="inlineStr">
        <is>
          <t>Clean upfront in cash.</t>
        </is>
      </c>
    </row>
    <row r="40">
      <c r="A40" s="94" t="inlineStr">
        <is>
          <t>Accrued days</t>
        </is>
      </c>
      <c r="B40" s="104">
        <f>MAX(0,CDS_Parameters!$B$4-B30+1)</f>
        <v/>
      </c>
      <c r="C40" s="65" t="inlineStr">
        <is>
          <t>ISDA counts both endpoints.</t>
        </is>
      </c>
    </row>
    <row r="41">
      <c r="A41" s="94" t="inlineStr">
        <is>
          <t>Accrued</t>
        </is>
      </c>
      <c r="B41" s="103">
        <f>-IF(CDS_Parameters!$B$15="Buy protection",1,-1)*CDS_Parameters!$B$10/10000*CDS_Parameters!$B$9*B34/360</f>
        <v/>
      </c>
      <c r="C41" s="65" t="inlineStr">
        <is>
          <t>Coupon * notional * days/360.</t>
        </is>
      </c>
    </row>
    <row r="42">
      <c r="A42" s="67" t="inlineStr">
        <is>
          <t>Cash Amount</t>
        </is>
      </c>
      <c r="B42" s="105">
        <f>B33+B35</f>
        <v/>
      </c>
      <c r="C42" s="65" t="inlineStr">
        <is>
          <t>Principal + accrued.</t>
        </is>
      </c>
    </row>
    <row r="43">
      <c r="A43" s="94" t="inlineStr">
        <is>
          <t>Default Exposure</t>
        </is>
      </c>
      <c r="B43" s="103">
        <f>(1-CDS_Parameters!$B$8)*CDS_Parameters!$B$9-B33</f>
        <v/>
      </c>
      <c r="C43" s="65" t="inlineStr">
        <is>
          <t>(1-R) * notional less the principal already paid.</t>
        </is>
      </c>
    </row>
    <row r="44">
      <c r="A44" s="66" t="inlineStr">
        <is>
          <t>Upfront (3.2) above is the paper's total. How it splits into CDSW's Principal / Accrued / Cash is INFERRED, not confirmed by the paper. A capture with non-zero accrued would settle it.</t>
        </is>
      </c>
    </row>
    <row r="45">
      <c r="A45" s="65" t="n"/>
    </row>
    <row r="46"/>
    <row r="47">
      <c r="A47" s="67" t="inlineStr">
        <is>
          <t>MODEL vs CAPTURED CDSW  (active entity)</t>
        </is>
      </c>
    </row>
    <row r="48">
      <c r="A48" s="177" t="inlineStr">
        <is>
          <t>Blank until a CDSW capture is typed into CDS_Entities O:AC for the live name. A zero there reads as no capture, not as a captured zero.</t>
        </is>
      </c>
    </row>
    <row r="49">
      <c r="A49" s="141" t="inlineStr">
        <is>
          <t>Measure</t>
        </is>
      </c>
      <c r="B49" s="141" t="inlineStr">
        <is>
          <t>CDSW captured</t>
        </is>
      </c>
      <c r="C49" s="141" t="inlineStr">
        <is>
          <t>Model</t>
        </is>
      </c>
      <c r="D49" s="141" t="inlineStr">
        <is>
          <t>Diff</t>
        </is>
      </c>
    </row>
    <row r="50">
      <c r="A50" s="94" t="inlineStr">
        <is>
          <t>Points upfront</t>
        </is>
      </c>
      <c r="B50" s="87">
        <f>IFERROR(IF(N(INDEX(CDS_Entities!$S$5:$S$14,CDS_Parameters!$B$28))=0,"",INDEX(CDS_Entities!$S$5:$S$14,CDS_Parameters!$B$28)),"")</f>
        <v/>
      </c>
      <c r="C50" s="93">
        <f>B31</f>
        <v/>
      </c>
      <c r="D50" s="93">
        <f>IF(OR(B44="",NOT(ISNUMBER(B44)),NOT(ISNUMBER(C44))),"",C44-B44)</f>
        <v/>
      </c>
    </row>
    <row r="51">
      <c r="A51" s="94" t="inlineStr">
        <is>
          <t>Price</t>
        </is>
      </c>
      <c r="B51" s="87">
        <f>IFERROR(IF(N(INDEX(CDS_Entities!$T$5:$T$14,CDS_Parameters!$B$28))=0,"",INDEX(CDS_Entities!$T$5:$T$14,CDS_Parameters!$B$28)),"")</f>
        <v/>
      </c>
      <c r="C51" s="93">
        <f>B32</f>
        <v/>
      </c>
      <c r="D51" s="93">
        <f>IF(OR(B45="",NOT(ISNUMBER(B45)),NOT(ISNUMBER(C45))),"",C45-B45)</f>
        <v/>
      </c>
    </row>
    <row r="52">
      <c r="A52" s="94" t="inlineStr">
        <is>
          <t>Principal</t>
        </is>
      </c>
      <c r="B52" s="87">
        <f>IFERROR(IF(N(INDEX(CDS_Entities!$U$5:$U$14,CDS_Parameters!$B$28))=0,"",INDEX(CDS_Entities!$U$5:$U$14,CDS_Parameters!$B$28)),"")</f>
        <v/>
      </c>
      <c r="C52" s="93">
        <f>B33</f>
        <v/>
      </c>
      <c r="D52" s="93">
        <f>IF(OR(B46="",NOT(ISNUMBER(B46)),NOT(ISNUMBER(C46))),"",C46-B46)</f>
        <v/>
      </c>
    </row>
    <row r="53">
      <c r="A53" s="94" t="inlineStr">
        <is>
          <t>Accrued days</t>
        </is>
      </c>
      <c r="B53" s="87">
        <f>IFERROR(IF(N(INDEX(CDS_Entities!$V$5:$V$14,CDS_Parameters!$B$28))=0,"",INDEX(CDS_Entities!$V$5:$V$14,CDS_Parameters!$B$28)),"")</f>
        <v/>
      </c>
      <c r="C53" s="93">
        <f>B34</f>
        <v/>
      </c>
      <c r="D53" s="93">
        <f>IF(OR(B47="",NOT(ISNUMBER(B47)),NOT(ISNUMBER(C47))),"",C47-B47)</f>
        <v/>
      </c>
    </row>
    <row r="54">
      <c r="A54" s="94" t="inlineStr">
        <is>
          <t>Accrued</t>
        </is>
      </c>
      <c r="B54" s="87">
        <f>IFERROR(IF(N(INDEX(CDS_Entities!$W$5:$W$14,CDS_Parameters!$B$28))=0,"",INDEX(CDS_Entities!$W$5:$W$14,CDS_Parameters!$B$28)),"")</f>
        <v/>
      </c>
      <c r="C54" s="93">
        <f>B35</f>
        <v/>
      </c>
      <c r="D54" s="93">
        <f>IF(OR(B48="",NOT(ISNUMBER(B48)),NOT(ISNUMBER(C48))),"",C48-B48)</f>
        <v/>
      </c>
    </row>
    <row r="55">
      <c r="A55" s="94" t="inlineStr">
        <is>
          <t>Cash amount</t>
        </is>
      </c>
      <c r="B55" s="87">
        <f>IFERROR(IF(N(INDEX(CDS_Entities!$X$5:$X$14,CDS_Parameters!$B$28))=0,"",INDEX(CDS_Entities!$X$5:$X$14,CDS_Parameters!$B$28)),"")</f>
        <v/>
      </c>
      <c r="C55" s="93">
        <f>B36</f>
        <v/>
      </c>
      <c r="D55" s="93">
        <f>IF(OR(B49="",NOT(ISNUMBER(B49)),NOT(ISNUMBER(C49))),"",C49-B49)</f>
        <v/>
      </c>
    </row>
    <row r="56">
      <c r="A56" s="94" t="inlineStr">
        <is>
          <t>Def exposure</t>
        </is>
      </c>
      <c r="B56" s="87">
        <f>IFERROR(IF(N(INDEX(CDS_Entities!$AB$5:$AB$14,CDS_Parameters!$B$28))=0,"",INDEX(CDS_Entities!$AB$5:$AB$14,CDS_Parameters!$B$28)),"")</f>
        <v/>
      </c>
      <c r="C56" s="93">
        <f>B37</f>
        <v/>
      </c>
      <c r="D56" s="93">
        <f>IF(OR(B50="",NOT(ISNUMBER(B50)),NOT(ISNUMBER(C50))),"",C50-B50)</f>
        <v/>
      </c>
    </row>
    <row r="57">
      <c r="A57" s="190" t="inlineStr">
        <is>
          <t>Spread DV01</t>
        </is>
      </c>
      <c r="B57" s="180">
        <f>IFERROR(IF(N(INDEX(CDS_Entities!$Y$5:$Y$14,CDS_Parameters!$B$28))=0,"",INDEX(CDS_Entities!$Y$5:$Y$14,CDS_Parameters!$B$28)),"")</f>
        <v/>
      </c>
      <c r="C57" s="180">
        <f>B22</f>
        <v/>
      </c>
      <c r="D57" s="180">
        <f>IF(OR(B51="",NOT(ISNUMBER(B51)),NOT(ISNUMBER(C51))),"",C51-B51)</f>
        <v/>
      </c>
    </row>
    <row r="58">
      <c r="A58" s="190" t="inlineStr">
        <is>
          <t>IR DV01</t>
        </is>
      </c>
      <c r="B58" s="180">
        <f>IFERROR(IF(N(INDEX(CDS_Entities!$Z$5:$Z$14,CDS_Parameters!$B$28))=0,"",INDEX(CDS_Entities!$Z$5:$Z$14,CDS_Parameters!$B$28)),"")</f>
        <v/>
      </c>
      <c r="C58" s="180">
        <f>B23</f>
        <v/>
      </c>
      <c r="D58" s="180">
        <f>IF(OR(B52="",NOT(ISNUMBER(B52)),NOT(ISNUMBER(C52))),"",C52-B52)</f>
        <v/>
      </c>
    </row>
    <row r="59">
      <c r="A59" s="190" t="inlineStr">
        <is>
          <t>Rec risk 1%</t>
        </is>
      </c>
      <c r="B59" s="180">
        <f>IFERROR(IF(N(INDEX(CDS_Entities!$AA$5:$AA$14,CDS_Parameters!$B$28))=0,"",INDEX(CDS_Entities!$AA$5:$AA$14,CDS_Parameters!$B$28)),"")</f>
        <v/>
      </c>
      <c r="C59" s="180">
        <f>B24</f>
        <v/>
      </c>
      <c r="D59" s="180">
        <f>IF(OR(B53="",NOT(ISNUMBER(B53)),NOT(ISNUMBER(C53))),"",C53-B53)</f>
        <v/>
      </c>
    </row>
    <row r="60">
      <c r="A60" s="190" t="inlineStr">
        <is>
          <t>Prob 5Y (1-Q)</t>
        </is>
      </c>
      <c r="B60" s="180">
        <f>IFERROR(IF(N(INDEX(CDS_Entities!$AC$5:$AC$14,CDS_Parameters!$B$28))=0,"",INDEX(CDS_Entities!$AC$5:$AC$14,CDS_Parameters!$B$28)),"")</f>
        <v/>
      </c>
      <c r="C60" s="180">
        <f>IFERROR(INDEX(Hazard_Bootstrap!$F$7:$F$12,MATCH(5,CDS_Quotes!$B$7:$B$12,0)),"")</f>
        <v/>
      </c>
      <c r="D60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2026-07-22T15:17:13Z</dcterms:modified>
</cp:coreProperties>
</file>