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_TO_MOVE" sheetId="1" state="visible" r:id="rId1"/>
    <sheet xmlns:r="http://schemas.openxmlformats.org/officeDocument/2006/relationships" name="CDS_Pricer_NEW" sheetId="2" state="visible" r:id="rId2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3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  <numFmt numFmtId="176" formatCode="0.000000000"/>
  </numFmts>
  <fonts count="38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  <font>
      <name val="Calibri"/>
      <color rgb="00008000"/>
      <sz val="10"/>
    </font>
    <font>
      <name val="Calibri"/>
      <b val="1"/>
      <sz val="15"/>
    </font>
    <font>
      <name val="Calibri"/>
      <b val="1"/>
      <color rgb="00000000"/>
      <sz val="14"/>
    </font>
    <font>
      <name val="Calibri"/>
      <color rgb="00808080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C00000"/>
      <sz val="12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  <xf numFmtId="0" fontId="31" fillId="0" borderId="2" pivotButton="0" quotePrefix="0" xfId="0"/>
    <xf numFmtId="167" fontId="31" fillId="0" borderId="2" pivotButton="0" quotePrefix="0" xfId="0"/>
    <xf numFmtId="0" fontId="23" fillId="10" borderId="2" applyAlignment="1" pivotButton="0" quotePrefix="0" xfId="0">
      <alignment horizontal="left"/>
    </xf>
    <xf numFmtId="0" fontId="11" fillId="11" borderId="2" pivotButton="0" quotePrefix="0" xfId="0"/>
    <xf numFmtId="0" fontId="32" fillId="0" borderId="1" pivotButton="0" quotePrefix="0" xfId="0"/>
    <xf numFmtId="0" fontId="28" fillId="0" borderId="1" pivotButton="0" quotePrefix="0" xfId="0"/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21" fillId="0" borderId="1" pivotButton="0" quotePrefix="0" xfId="0"/>
    <xf numFmtId="49" fontId="12" fillId="4" borderId="2" pivotButton="0" quotePrefix="0" xfId="0"/>
    <xf numFmtId="3" fontId="12" fillId="4" borderId="2" pivotButton="0" quotePrefix="0" xfId="0"/>
    <xf numFmtId="0" fontId="11" fillId="0" borderId="1" pivotButton="0" quotePrefix="0" xfId="0"/>
    <xf numFmtId="3" fontId="17" fillId="11" borderId="2" pivotButton="0" quotePrefix="0" xfId="0"/>
    <xf numFmtId="1" fontId="17" fillId="11" borderId="2" pivotButton="0" quotePrefix="0" xfId="0"/>
    <xf numFmtId="0" fontId="15" fillId="0" borderId="1" pivotButton="0" quotePrefix="0" xfId="0"/>
    <xf numFmtId="9" fontId="17" fillId="2" borderId="1" pivotButton="0" quotePrefix="0" xfId="0"/>
    <xf numFmtId="3" fontId="17" fillId="2" borderId="1" pivotButton="0" quotePrefix="0" xfId="0"/>
    <xf numFmtId="1" fontId="17" fillId="2" borderId="1" pivotButton="0" quotePrefix="0" xfId="0"/>
    <xf numFmtId="0" fontId="17" fillId="2" borderId="1" pivotButton="0" quotePrefix="0" xfId="0"/>
    <xf numFmtId="0" fontId="17" fillId="4" borderId="2" pivotButton="0" quotePrefix="0" xfId="0"/>
    <xf numFmtId="164" fontId="17" fillId="2" borderId="2" pivotButton="0" quotePrefix="0" xfId="0"/>
    <xf numFmtId="0" fontId="23" fillId="10" borderId="2" applyAlignment="1" pivotButton="0" quotePrefix="0" xfId="0">
      <alignment horizontal="center" vertical="center" wrapText="1"/>
    </xf>
    <xf numFmtId="176" fontId="14" fillId="2" borderId="2" pivotButton="0" quotePrefix="0" xfId="0"/>
    <xf numFmtId="176" fontId="21" fillId="0" borderId="2" pivotButton="0" quotePrefix="0" xfId="0"/>
    <xf numFmtId="0" fontId="25" fillId="0" borderId="2" pivotButton="0" quotePrefix="0" xfId="0"/>
    <xf numFmtId="4" fontId="17" fillId="12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30" t="inlineStr">
        <is>
          <t>Moving the reformed CDS_Pricer in</t>
        </is>
      </c>
    </row>
    <row r="2">
      <c r="A2" s="231" t="inlineStr"/>
    </row>
    <row r="3">
      <c r="A3" s="232" t="inlineStr">
        <is>
          <t>Move the CDS_Pricer_NEW tab only. Leave this sheet behind.</t>
        </is>
      </c>
    </row>
    <row r="4">
      <c r="A4" s="231" t="inlineStr"/>
    </row>
    <row r="5">
      <c r="A5" s="233" t="inlineStr">
        <is>
          <t>1.  Open both workbooks, keep both open.</t>
        </is>
      </c>
    </row>
    <row r="6">
      <c r="A6" s="233" t="inlineStr">
        <is>
          <t>2.  Right-click CDS_Pricer_NEW &gt; Move or Copy &gt; To book: your CDS_Pricer workbook.</t>
        </is>
      </c>
    </row>
    <row r="7">
      <c r="A7" s="233" t="inlineStr">
        <is>
          <t>3.  On the moved tab: Ctrl+H, Options, Look in Formulas, Within Sheet.</t>
        </is>
      </c>
    </row>
    <row r="8">
      <c r="A8" s="165" t="inlineStr">
        <is>
          <t xml:space="preserve">         Find what:     [CDS_PricerSheet_v7.xlsx]</t>
        </is>
      </c>
    </row>
    <row r="9">
      <c r="A9" s="165" t="inlineStr">
        <is>
          <t xml:space="preserve">         Replace with:  (leave empty)</t>
        </is>
      </c>
    </row>
    <row r="10">
      <c r="A10" s="233" t="inlineStr">
        <is>
          <t>4.  Delete the old CDS_Pricer, rename this one to exactly  CDS_Pricer</t>
        </is>
      </c>
    </row>
    <row r="11">
      <c r="A11" s="231" t="inlineStr"/>
    </row>
    <row r="12">
      <c r="A12" s="234" t="inlineStr">
        <is>
          <t>ALSO CHANGE, on CDS_Schedule:   B7  =CDS_Parameters!$B$23</t>
        </is>
      </c>
    </row>
    <row r="13">
      <c r="A13" s="231" t="inlineStr">
        <is>
          <t>It currently reads =VAL_DATE. Period 1 must accrue from the 1st accrual start,</t>
        </is>
      </c>
    </row>
    <row r="14">
      <c r="A14" s="231" t="inlineStr">
        <is>
          <t>not the valuation date, or the premium leg is short and principal is ~4,100 out on 10mm.</t>
        </is>
      </c>
    </row>
    <row r="15">
      <c r="A15" s="231" t="inlineStr"/>
    </row>
    <row r="16">
      <c r="A16" s="232" t="inlineStr">
        <is>
          <t>Modules: CDSStrip.bas and CDSRisk.bas. Save as .xlsm.</t>
        </is>
      </c>
    </row>
    <row r="17">
      <c r="A17" s="165" t="inlineStr">
        <is>
          <t>To match a CDSW screen, put the traded spread at ALL SIX tenors on Entities.</t>
        </is>
      </c>
    </row>
    <row r="18">
      <c r="A18" s="231" t="inlineStr">
        <is>
          <t>A CDSW Term table with one row means it is pricing flat at that spread.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6A1B9A"/>
    <outlinePr summaryBelow="1" summaryRight="1"/>
    <pageSetUpPr/>
  </sheetPr>
  <dimension ref="A1:O54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>
        <f>IF(Steps!$B$9="",5,Steps!$B$9)</f>
        <v/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67" t="inlineStr">
        <is>
          <t>RISK MEASURES (full revalue, curve re-stripped on each bump)</t>
        </is>
      </c>
      <c r="N21" s="67" t="inlineStr">
        <is>
          <t>full-revalue working</t>
        </is>
      </c>
    </row>
    <row r="22">
      <c r="A22" s="5" t="inlineStr">
        <is>
          <t>CS01 / Spread DV01  (+1bp)</t>
        </is>
      </c>
      <c r="B22" s="44">
        <f>IF(OR($O$22="",$O$23=""),"",$O$23-$O$22)</f>
        <v/>
      </c>
      <c r="C22" s="177" t="inlineStr">
        <is>
          <t>Spread DV01: revalue at +1bp on every quote, curve re-stripped (p.9).</t>
        </is>
      </c>
      <c r="N22" s="126" t="inlineStr">
        <is>
          <t>MV base</t>
        </is>
      </c>
      <c r="O22" s="229">
        <f>IFERROR(CDS_MarketValue(0,0,0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3">
      <c r="A23" s="5" t="inlineStr">
        <is>
          <t>IR DV01  (+1bp rates)</t>
        </is>
      </c>
      <c r="B23" s="44">
        <f>IF(OR($O$22="",$O$24=""),"",$O$24-$O$22)</f>
        <v/>
      </c>
      <c r="C23" s="177" t="inlineStr">
        <is>
          <t>IR DV01: parallel +1bp on the discount curve, curve re-stripped.</t>
        </is>
      </c>
      <c r="N23" s="126" t="inlineStr">
        <is>
          <t>MV  spreads +1bp</t>
        </is>
      </c>
      <c r="O23" s="229">
        <f>IFERROR(CDS_MarketValue(1,0,0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4">
      <c r="A24" s="5" t="inlineStr">
        <is>
          <t>Rec01  (+1% recovery)</t>
        </is>
      </c>
      <c r="B24" s="44">
        <f>IF(OR($O$22="",$O$25=""),"",$O$25-$O$22)</f>
        <v/>
      </c>
      <c r="C24" s="177" t="inlineStr">
        <is>
          <t>Rec01: recovery +1%, hazards re-fitted so the quotes still reprice.</t>
        </is>
      </c>
      <c r="N24" s="126" t="inlineStr">
        <is>
          <t>MV  rates +1bp</t>
        </is>
      </c>
      <c r="O24" s="229">
        <f>IFERROR(CDS_MarketValue(0,1,0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  <c r="N25" s="126" t="inlineStr">
        <is>
          <t>MV  recovery +1%</t>
        </is>
      </c>
      <c r="O25" s="229">
        <f>IFERROR(CDS_MarketValue(0,0,0.01,Hazard_Bootstrap!$B$7:$B$12,Hazard_Bootstrap!$C$7:$C$12,CDS_Parameters!$B$8,CDS_Parameters!$B$26,CDS_Schedule!$C$7:$C$46,CDS_Schedule!$D$7:$D$46,CDS_Schedule!$E$7:$E$46,CDS_Schedule!$F$7:$F$46,CDS_Schedule!$G$7:$G$46,CDS_Schedule!$H$7:$H$46,$B$4,$B$6,$B$8),"")</f>
        <v/>
      </c>
    </row>
    <row r="26">
      <c r="A26" s="94" t="inlineStr">
        <is>
          <t>Accrued Interest  A*C*D0</t>
        </is>
      </c>
      <c r="B26" s="120">
        <f>B4*(B6/10000)*CDS_Parameters!$B$25</f>
        <v/>
      </c>
      <c r="N26" s="177" t="inlineStr">
        <is>
          <t>Each measure is a difference of two full valuations. Holding hazards fixed and multiplying RPV01 by a bump answers a different question - that is what made Rec01 come out with the wrong sign.</t>
        </is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IF($B$27="","",IF($B$9="Buy protection",1,-1)*$B$27/$B$4*100)</f>
        <v/>
      </c>
      <c r="C31" s="177" t="inlineStr">
        <is>
          <t>Principal / notional. From (3.2), not (S-C)*RPV01.</t>
        </is>
      </c>
    </row>
    <row r="32">
      <c r="A32" s="67" t="inlineStr">
        <is>
          <t>Price</t>
        </is>
      </c>
      <c r="B32" s="71">
        <f>IF($B$31="","",100-$B$31)</f>
        <v/>
      </c>
      <c r="C32" s="177" t="inlineStr">
        <is>
          <t>100 - points upfront.</t>
        </is>
      </c>
    </row>
    <row r="33">
      <c r="A33" s="94" t="inlineStr">
        <is>
          <t>Principal</t>
        </is>
      </c>
      <c r="B33" s="103">
        <f>IF($B$27="","",IF($B$9="Buy protection",1,-1)*$B$27)</f>
        <v/>
      </c>
      <c r="C33" s="177" t="inlineStr">
        <is>
          <t>Upfront (3.2) = Market Value / D(T_s) + Accrued Interest.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IF(OR($B$33="",$B$35=""),"",$B$33+$B$35)</f>
        <v/>
      </c>
      <c r="C36" s="177" t="inlineStr">
        <is>
          <t>Principal + accrued.</t>
        </is>
      </c>
    </row>
    <row r="37">
      <c r="A37" s="94" t="inlineStr">
        <is>
          <t>Default Exposure</t>
        </is>
      </c>
      <c r="B37" s="103">
        <f>IF($B$33="","",(1-$B$5)*$B$4-$B$33)</f>
        <v/>
      </c>
      <c r="C37" s="177" t="inlineStr">
        <is>
          <t>(1-R) * notional less the principal already paid.</t>
        </is>
      </c>
    </row>
    <row r="38">
      <c r="A38" s="177" t="inlineStr">
        <is>
          <t>CDSW order. Principal is (3.2) end to end: Market Value / D(T_s) + Accrued Interest, compounded to settlement three business days on. The (S-C)*RPV01 shortcut drops the -S*AI term and the compounding.</t>
        </is>
      </c>
    </row>
    <row r="39">
      <c r="A39" s="65" t="n"/>
    </row>
    <row r="41">
      <c r="A41" s="67" t="inlineStr">
        <is>
          <t>MODEL vs CAPTURED CDSW  (active entity)</t>
        </is>
      </c>
    </row>
    <row r="42">
      <c r="A42" s="177" t="inlineStr">
        <is>
          <t>Blank until a CDSW capture is typed into CDS_Entities O:AC for the live name. A zero there reads as no capture, not as a captured zero.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IFERROR(IF(N(INDEX(CDS_Entities!$S$5:$S$14,CDS_Parameters!$B$28))=0,"",INDEX(CDS_Entities!$S$5:$S$14,CDS_Parameters!$B$28)),"")</f>
        <v/>
      </c>
      <c r="C44" s="93">
        <f>B31</f>
        <v/>
      </c>
      <c r="D44" s="93">
        <f>IF(OR(B44="",NOT(ISNUMBER(B44)),NOT(ISNUMBER(C44))),"",C44-B44)</f>
        <v/>
      </c>
    </row>
    <row r="45">
      <c r="A45" s="94" t="inlineStr">
        <is>
          <t>Price</t>
        </is>
      </c>
      <c r="B45" s="87">
        <f>IFERROR(IF(N(INDEX(CDS_Entities!$T$5:$T$14,CDS_Parameters!$B$28))=0,"",INDEX(CDS_Entities!$T$5:$T$14,CDS_Parameters!$B$28)),"")</f>
        <v/>
      </c>
      <c r="C45" s="93">
        <f>B32</f>
        <v/>
      </c>
      <c r="D45" s="93">
        <f>IF(OR(B45="",NOT(ISNUMBER(B45)),NOT(ISNUMBER(C45))),"",C45-B45)</f>
        <v/>
      </c>
    </row>
    <row r="46">
      <c r="A46" s="94" t="inlineStr">
        <is>
          <t>Principal</t>
        </is>
      </c>
      <c r="B46" s="87">
        <f>IFERROR(IF(N(INDEX(CDS_Entities!$U$5:$U$14,CDS_Parameters!$B$28))=0,"",INDEX(CDS_Entities!$U$5:$U$14,CDS_Parameters!$B$28)),"")</f>
        <v/>
      </c>
      <c r="C46" s="93">
        <f>B33</f>
        <v/>
      </c>
      <c r="D46" s="93">
        <f>IF(OR(B46="",NOT(ISNUMBER(B46)),NOT(ISNUMBER(C46))),"",C46-B46)</f>
        <v/>
      </c>
    </row>
    <row r="47">
      <c r="A47" s="94" t="inlineStr">
        <is>
          <t>Accrued days</t>
        </is>
      </c>
      <c r="B47" s="87">
        <f>IFERROR(IF(N(INDEX(CDS_Entities!$V$5:$V$14,CDS_Parameters!$B$28))=0,"",INDEX(CDS_Entities!$V$5:$V$14,CDS_Parameters!$B$28)),"")</f>
        <v/>
      </c>
      <c r="C47" s="93">
        <f>B34</f>
        <v/>
      </c>
      <c r="D47" s="93">
        <f>IF(OR(B47="",NOT(ISNUMBER(B47)),NOT(ISNUMBER(C47))),"",C47-B47)</f>
        <v/>
      </c>
    </row>
    <row r="48">
      <c r="A48" s="94" t="inlineStr">
        <is>
          <t>Accrued</t>
        </is>
      </c>
      <c r="B48" s="87">
        <f>IFERROR(IF(N(INDEX(CDS_Entities!$W$5:$W$14,CDS_Parameters!$B$28))=0,"",INDEX(CDS_Entities!$W$5:$W$14,CDS_Parameters!$B$28)),"")</f>
        <v/>
      </c>
      <c r="C48" s="93">
        <f>B35</f>
        <v/>
      </c>
      <c r="D48" s="93">
        <f>IF(OR(B48="",NOT(ISNUMBER(B48)),NOT(ISNUMBER(C48))),"",C48-B48)</f>
        <v/>
      </c>
    </row>
    <row r="49">
      <c r="A49" s="94" t="inlineStr">
        <is>
          <t>Cash amount</t>
        </is>
      </c>
      <c r="B49" s="87">
        <f>IFERROR(IF(N(INDEX(CDS_Entities!$X$5:$X$14,CDS_Parameters!$B$28))=0,"",INDEX(CDS_Entities!$X$5:$X$14,CDS_Parameters!$B$28)),"")</f>
        <v/>
      </c>
      <c r="C49" s="93">
        <f>B36</f>
        <v/>
      </c>
      <c r="D49" s="93">
        <f>IF(OR(B49="",NOT(ISNUMBER(B49)),NOT(ISNUMBER(C49))),"",C49-B49)</f>
        <v/>
      </c>
    </row>
    <row r="50">
      <c r="A50" s="94" t="inlineStr">
        <is>
          <t>Def exposure</t>
        </is>
      </c>
      <c r="B50" s="87">
        <f>IFERROR(IF(N(INDEX(CDS_Entities!$AB$5:$AB$14,CDS_Parameters!$B$28))=0,"",INDEX(CDS_Entities!$AB$5:$AB$14,CDS_Parameters!$B$28)),"")</f>
        <v/>
      </c>
      <c r="C50" s="93">
        <f>B37</f>
        <v/>
      </c>
      <c r="D50" s="93">
        <f>IF(OR(B50="",NOT(ISNUMBER(B50)),NOT(ISNUMBER(C50))),"",C50-B50)</f>
        <v/>
      </c>
    </row>
    <row r="51">
      <c r="A51" s="190" t="inlineStr">
        <is>
          <t>Spread DV01</t>
        </is>
      </c>
      <c r="B51" s="180">
        <f>IFERROR(IF(N(INDEX(CDS_Entities!$Y$5:$Y$14,CDS_Parameters!$B$28))=0,"",INDEX(CDS_Entities!$Y$5:$Y$14,CDS_Parameters!$B$28)),"")</f>
        <v/>
      </c>
      <c r="C51" s="180">
        <f>B22</f>
        <v/>
      </c>
      <c r="D51" s="180">
        <f>IF(OR(B51="",NOT(ISNUMBER(B51)),NOT(ISNUMBER(C51))),"",C51-B51)</f>
        <v/>
      </c>
    </row>
    <row r="52">
      <c r="A52" s="190" t="inlineStr">
        <is>
          <t>IR DV01</t>
        </is>
      </c>
      <c r="B52" s="180">
        <f>IFERROR(IF(N(INDEX(CDS_Entities!$Z$5:$Z$14,CDS_Parameters!$B$28))=0,"",INDEX(CDS_Entities!$Z$5:$Z$14,CDS_Parameters!$B$28)),"")</f>
        <v/>
      </c>
      <c r="C52" s="180">
        <f>B23</f>
        <v/>
      </c>
      <c r="D52" s="180">
        <f>IF(OR(B52="",NOT(ISNUMBER(B52)),NOT(ISNUMBER(C52))),"",C52-B52)</f>
        <v/>
      </c>
    </row>
    <row r="53">
      <c r="A53" s="190" t="inlineStr">
        <is>
          <t>Rec risk 1%</t>
        </is>
      </c>
      <c r="B53" s="180">
        <f>IFERROR(IF(N(INDEX(CDS_Entities!$AA$5:$AA$14,CDS_Parameters!$B$28))=0,"",INDEX(CDS_Entities!$AA$5:$AA$14,CDS_Parameters!$B$28)),"")</f>
        <v/>
      </c>
      <c r="C53" s="180">
        <f>B24</f>
        <v/>
      </c>
      <c r="D53" s="180">
        <f>IF(OR(B53="",NOT(ISNUMBER(B53)),NOT(ISNUMBER(C53))),"",C53-B53)</f>
        <v/>
      </c>
    </row>
    <row r="54">
      <c r="A54" s="190" t="inlineStr">
        <is>
          <t>Prob 5Y (1-Q)</t>
        </is>
      </c>
      <c r="B54" s="180">
        <f>IFERROR(IF(N(INDEX(CDS_Entities!$AC$5:$AC$14,CDS_Parameters!$B$28))=0,"",INDEX(CDS_Entities!$AC$5:$AC$14,CDS_Parameters!$B$28)),"")</f>
        <v/>
      </c>
      <c r="C54" s="180">
        <f>IFERROR(INDEX(Hazard_Bootstrap!$F$7:$F$12,MATCH(5,CDS_Quotes!$B$7:$B$12,0)),"")</f>
        <v/>
      </c>
      <c r="D54" s="180">
        <f>IF(OR(B54="",NOT(ISNUMBER(B54)),NOT(ISNUMBER(C54))),"",C54-B54)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2026-07-22T15:43:26Z</dcterms:modified>
</cp:coreProperties>
</file>