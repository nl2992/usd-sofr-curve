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s" sheetId="1" state="visible" r:id="rId1"/>
    <sheet xmlns:r="http://schemas.openxmlformats.org/officeDocument/2006/relationships" name="Interpolation" sheetId="2" state="visible" r:id="rId2"/>
    <sheet xmlns:r="http://schemas.openxmlformats.org/officeDocument/2006/relationships" name="Bootstrap" sheetId="3" state="visible" r:id="rId3"/>
    <sheet xmlns:r="http://schemas.openxmlformats.org/officeDocument/2006/relationships" name="Amort-Set-up" sheetId="4" state="visible" r:id="rId4"/>
    <sheet xmlns:r="http://schemas.openxmlformats.org/officeDocument/2006/relationships" name="KRD" sheetId="5" state="visible" r:id="rId5"/>
    <sheet xmlns:r="http://schemas.openxmlformats.org/officeDocument/2006/relationships" name="KRD reform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%"/>
    <numFmt numFmtId="165" formatCode="0.00000000"/>
    <numFmt numFmtId="166" formatCode="mm/dd/yyyy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color rgb="000000FF"/>
      <sz val="11"/>
    </font>
    <font>
      <name val="Calibri"/>
      <b val="1"/>
      <sz val="11"/>
    </font>
    <font>
      <name val="Calibri"/>
      <b val="1"/>
      <color rgb="00FFFFFF"/>
      <sz val="10"/>
    </font>
    <font>
      <name val="Calibri"/>
      <i val="1"/>
      <color rgb="00C00000"/>
      <sz val="9"/>
    </font>
    <font>
      <name val="Calibri"/>
      <color rgb="00808080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4" fillId="4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3" fillId="0" borderId="1" pivotButton="0" quotePrefix="0" xfId="0"/>
    <xf numFmtId="3" fontId="3" fillId="3" borderId="1" pivotButton="0" quotePrefix="0" xfId="0"/>
    <xf numFmtId="0" fontId="2" fillId="2" borderId="0" pivotButton="0" quotePrefix="0" xfId="0"/>
    <xf numFmtId="0" fontId="3" fillId="0" borderId="0" pivotButton="0" quotePrefix="0" xfId="0"/>
    <xf numFmtId="164" fontId="2" fillId="2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3" fillId="3" borderId="0" pivotButton="0" quotePrefix="0" xfId="0"/>
    <xf numFmtId="3" fontId="0" fillId="0" borderId="0" pivotButton="0" quotePrefix="0" xfId="0"/>
    <xf numFmtId="3" fontId="3" fillId="3" borderId="0" pivotButton="0" quotePrefix="0" xfId="0"/>
    <xf numFmtId="0" fontId="4" fillId="4" borderId="0" pivotButton="0" quotePrefix="0" xfId="0"/>
    <xf numFmtId="3" fontId="2" fillId="2" borderId="0" pivotButton="0" quotePrefix="0" xfId="0"/>
    <xf numFmtId="0" fontId="5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KRW IRS  (Kevin grid, 8Y/9Y dropped)</t>
        </is>
      </c>
    </row>
    <row r="2">
      <c r="A2" t="inlineStr">
        <is>
          <t>tau</t>
        </is>
      </c>
      <c r="B2" s="8" t="n">
        <v>0.25</v>
      </c>
    </row>
    <row r="4">
      <c r="A4" s="9" t="inlineStr">
        <is>
          <t>Tenor</t>
        </is>
      </c>
      <c r="B4" s="9" t="inlineStr">
        <is>
          <t>Coupon</t>
        </is>
      </c>
      <c r="C4" s="9" t="inlineStr">
        <is>
          <t>Year</t>
        </is>
      </c>
    </row>
    <row r="5">
      <c r="A5" t="inlineStr">
        <is>
          <t>3Mo</t>
        </is>
      </c>
      <c r="B5" s="10" t="n">
        <v>0.0291</v>
      </c>
      <c r="C5" s="11" t="n">
        <v>0.25</v>
      </c>
    </row>
    <row r="6">
      <c r="A6" t="inlineStr">
        <is>
          <t>6Mo</t>
        </is>
      </c>
      <c r="B6" s="10" t="n">
        <v>0.03125</v>
      </c>
      <c r="C6" s="11" t="n">
        <v>0.5</v>
      </c>
    </row>
    <row r="7">
      <c r="A7" t="inlineStr">
        <is>
          <t>9Mo</t>
        </is>
      </c>
      <c r="B7" s="10" t="n">
        <v>0.03315</v>
      </c>
      <c r="C7" s="11" t="n">
        <v>0.75</v>
      </c>
    </row>
    <row r="8">
      <c r="A8" t="inlineStr">
        <is>
          <t>1Yr</t>
        </is>
      </c>
      <c r="B8" s="10" t="n">
        <v>0.034675</v>
      </c>
      <c r="C8" s="11" t="n">
        <v>1</v>
      </c>
    </row>
    <row r="9">
      <c r="A9" t="inlineStr">
        <is>
          <t>2Yr</t>
        </is>
      </c>
      <c r="B9" s="10" t="n">
        <v>0.03825</v>
      </c>
      <c r="C9" s="11" t="n">
        <v>2</v>
      </c>
    </row>
    <row r="10">
      <c r="A10" t="inlineStr">
        <is>
          <t>3Yr</t>
        </is>
      </c>
      <c r="B10" s="10" t="n">
        <v>0.03965</v>
      </c>
      <c r="C10" s="11" t="n">
        <v>3</v>
      </c>
    </row>
    <row r="11">
      <c r="A11" t="inlineStr">
        <is>
          <t>4Yr</t>
        </is>
      </c>
      <c r="B11" s="10" t="n">
        <v>0.04029</v>
      </c>
      <c r="C11" s="11" t="n">
        <v>4</v>
      </c>
    </row>
    <row r="12">
      <c r="A12" t="inlineStr">
        <is>
          <t>5Yr</t>
        </is>
      </c>
      <c r="B12" s="10" t="n">
        <v>0.040775</v>
      </c>
      <c r="C12" s="11" t="n">
        <v>5</v>
      </c>
    </row>
    <row r="13">
      <c r="A13" t="inlineStr">
        <is>
          <t>7Yr</t>
        </is>
      </c>
      <c r="B13" s="10" t="n">
        <v>0.041425</v>
      </c>
      <c r="C13" s="11" t="n">
        <v>7</v>
      </c>
    </row>
    <row r="14">
      <c r="A14" t="inlineStr">
        <is>
          <t>10Yr</t>
        </is>
      </c>
      <c r="B14" s="10" t="n">
        <v>0.042</v>
      </c>
      <c r="C14" s="11" t="n">
        <v>10</v>
      </c>
    </row>
    <row r="15">
      <c r="A15" t="inlineStr">
        <is>
          <t>15Yr</t>
        </is>
      </c>
      <c r="B15" s="10" t="n">
        <v>0.041775</v>
      </c>
      <c r="C15" s="11" t="n">
        <v>15</v>
      </c>
    </row>
    <row r="16">
      <c r="A16" t="inlineStr">
        <is>
          <t>20Yr</t>
        </is>
      </c>
      <c r="B16" s="10" t="n">
        <v>0.04075</v>
      </c>
      <c r="C16" s="11" t="n">
        <v>20</v>
      </c>
    </row>
    <row r="17">
      <c r="A17" t="inlineStr">
        <is>
          <t>30Yr</t>
        </is>
      </c>
      <c r="B17" s="10" t="n">
        <v>0.03845000000000001</v>
      </c>
      <c r="C17" s="11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Year</t>
        </is>
      </c>
      <c r="B1" s="9" t="inlineStr">
        <is>
          <t>Swap %</t>
        </is>
      </c>
      <c r="C1" s="9" t="inlineStr">
        <is>
          <t>Helper</t>
        </is>
      </c>
    </row>
    <row r="2">
      <c r="A2" s="11" t="n">
        <v>0.25</v>
      </c>
      <c r="B2" s="12">
        <f>INDEX(Quotes!$B$5:$B$17,C2)+(A2-INDEX(Quotes!$C$5:$C$17,C2))/(INDEX(Quotes!$C$5:$C$17,C2+1)-INDEX(Quotes!$C$5:$C$17,C2))*(INDEX(Quotes!$B$5:$B$17,C2+1)-INDEX(Quotes!$B$5:$B$17,C2))</f>
        <v/>
      </c>
      <c r="C2">
        <f>MIN(MATCH(A2,Quotes!$C$5:$C$17,1),12)</f>
        <v/>
      </c>
    </row>
    <row r="3">
      <c r="A3" s="11" t="n">
        <v>0.5</v>
      </c>
      <c r="B3" s="12">
        <f>INDEX(Quotes!$B$5:$B$17,C3)+(A3-INDEX(Quotes!$C$5:$C$17,C3))/(INDEX(Quotes!$C$5:$C$17,C3+1)-INDEX(Quotes!$C$5:$C$17,C3))*(INDEX(Quotes!$B$5:$B$17,C3+1)-INDEX(Quotes!$B$5:$B$17,C3))</f>
        <v/>
      </c>
      <c r="C3">
        <f>MIN(MATCH(A3,Quotes!$C$5:$C$17,1),12)</f>
        <v/>
      </c>
    </row>
    <row r="4">
      <c r="A4" s="11" t="n">
        <v>0.75</v>
      </c>
      <c r="B4" s="12">
        <f>INDEX(Quotes!$B$5:$B$17,C4)+(A4-INDEX(Quotes!$C$5:$C$17,C4))/(INDEX(Quotes!$C$5:$C$17,C4+1)-INDEX(Quotes!$C$5:$C$17,C4))*(INDEX(Quotes!$B$5:$B$17,C4+1)-INDEX(Quotes!$B$5:$B$17,C4))</f>
        <v/>
      </c>
      <c r="C4">
        <f>MIN(MATCH(A4,Quotes!$C$5:$C$17,1),12)</f>
        <v/>
      </c>
    </row>
    <row r="5">
      <c r="A5" s="11" t="n">
        <v>1</v>
      </c>
      <c r="B5" s="12">
        <f>INDEX(Quotes!$B$5:$B$17,C5)+(A5-INDEX(Quotes!$C$5:$C$17,C5))/(INDEX(Quotes!$C$5:$C$17,C5+1)-INDEX(Quotes!$C$5:$C$17,C5))*(INDEX(Quotes!$B$5:$B$17,C5+1)-INDEX(Quotes!$B$5:$B$17,C5))</f>
        <v/>
      </c>
      <c r="C5">
        <f>MIN(MATCH(A5,Quotes!$C$5:$C$17,1),12)</f>
        <v/>
      </c>
    </row>
    <row r="6">
      <c r="A6" s="11" t="n">
        <v>1.25</v>
      </c>
      <c r="B6" s="12">
        <f>INDEX(Quotes!$B$5:$B$17,C6)+(A6-INDEX(Quotes!$C$5:$C$17,C6))/(INDEX(Quotes!$C$5:$C$17,C6+1)-INDEX(Quotes!$C$5:$C$17,C6))*(INDEX(Quotes!$B$5:$B$17,C6+1)-INDEX(Quotes!$B$5:$B$17,C6))</f>
        <v/>
      </c>
      <c r="C6">
        <f>MIN(MATCH(A6,Quotes!$C$5:$C$17,1),12)</f>
        <v/>
      </c>
    </row>
    <row r="7">
      <c r="A7" s="11" t="n">
        <v>1.5</v>
      </c>
      <c r="B7" s="12">
        <f>INDEX(Quotes!$B$5:$B$17,C7)+(A7-INDEX(Quotes!$C$5:$C$17,C7))/(INDEX(Quotes!$C$5:$C$17,C7+1)-INDEX(Quotes!$C$5:$C$17,C7))*(INDEX(Quotes!$B$5:$B$17,C7+1)-INDEX(Quotes!$B$5:$B$17,C7))</f>
        <v/>
      </c>
      <c r="C7">
        <f>MIN(MATCH(A7,Quotes!$C$5:$C$17,1),12)</f>
        <v/>
      </c>
    </row>
    <row r="8">
      <c r="A8" s="11" t="n">
        <v>1.75</v>
      </c>
      <c r="B8" s="12">
        <f>INDEX(Quotes!$B$5:$B$17,C8)+(A8-INDEX(Quotes!$C$5:$C$17,C8))/(INDEX(Quotes!$C$5:$C$17,C8+1)-INDEX(Quotes!$C$5:$C$17,C8))*(INDEX(Quotes!$B$5:$B$17,C8+1)-INDEX(Quotes!$B$5:$B$17,C8))</f>
        <v/>
      </c>
      <c r="C8">
        <f>MIN(MATCH(A8,Quotes!$C$5:$C$17,1),12)</f>
        <v/>
      </c>
    </row>
    <row r="9">
      <c r="A9" s="11" t="n">
        <v>2</v>
      </c>
      <c r="B9" s="12">
        <f>INDEX(Quotes!$B$5:$B$17,C9)+(A9-INDEX(Quotes!$C$5:$C$17,C9))/(INDEX(Quotes!$C$5:$C$17,C9+1)-INDEX(Quotes!$C$5:$C$17,C9))*(INDEX(Quotes!$B$5:$B$17,C9+1)-INDEX(Quotes!$B$5:$B$17,C9))</f>
        <v/>
      </c>
      <c r="C9">
        <f>MIN(MATCH(A9,Quotes!$C$5:$C$17,1),12)</f>
        <v/>
      </c>
    </row>
    <row r="10">
      <c r="A10" s="11" t="n">
        <v>2.25</v>
      </c>
      <c r="B10" s="12">
        <f>INDEX(Quotes!$B$5:$B$17,C10)+(A10-INDEX(Quotes!$C$5:$C$17,C10))/(INDEX(Quotes!$C$5:$C$17,C10+1)-INDEX(Quotes!$C$5:$C$17,C10))*(INDEX(Quotes!$B$5:$B$17,C10+1)-INDEX(Quotes!$B$5:$B$17,C10))</f>
        <v/>
      </c>
      <c r="C10">
        <f>MIN(MATCH(A10,Quotes!$C$5:$C$17,1),12)</f>
        <v/>
      </c>
    </row>
    <row r="11">
      <c r="A11" s="11" t="n">
        <v>2.5</v>
      </c>
      <c r="B11" s="12">
        <f>INDEX(Quotes!$B$5:$B$17,C11)+(A11-INDEX(Quotes!$C$5:$C$17,C11))/(INDEX(Quotes!$C$5:$C$17,C11+1)-INDEX(Quotes!$C$5:$C$17,C11))*(INDEX(Quotes!$B$5:$B$17,C11+1)-INDEX(Quotes!$B$5:$B$17,C11))</f>
        <v/>
      </c>
      <c r="C11">
        <f>MIN(MATCH(A11,Quotes!$C$5:$C$17,1),12)</f>
        <v/>
      </c>
    </row>
    <row r="12">
      <c r="A12" s="11" t="n">
        <v>2.75</v>
      </c>
      <c r="B12" s="12">
        <f>INDEX(Quotes!$B$5:$B$17,C12)+(A12-INDEX(Quotes!$C$5:$C$17,C12))/(INDEX(Quotes!$C$5:$C$17,C12+1)-INDEX(Quotes!$C$5:$C$17,C12))*(INDEX(Quotes!$B$5:$B$17,C12+1)-INDEX(Quotes!$B$5:$B$17,C12))</f>
        <v/>
      </c>
      <c r="C12">
        <f>MIN(MATCH(A12,Quotes!$C$5:$C$17,1),12)</f>
        <v/>
      </c>
    </row>
    <row r="13">
      <c r="A13" s="11" t="n">
        <v>3</v>
      </c>
      <c r="B13" s="12">
        <f>INDEX(Quotes!$B$5:$B$17,C13)+(A13-INDEX(Quotes!$C$5:$C$17,C13))/(INDEX(Quotes!$C$5:$C$17,C13+1)-INDEX(Quotes!$C$5:$C$17,C13))*(INDEX(Quotes!$B$5:$B$17,C13+1)-INDEX(Quotes!$B$5:$B$17,C13))</f>
        <v/>
      </c>
      <c r="C13">
        <f>MIN(MATCH(A13,Quotes!$C$5:$C$17,1),12)</f>
        <v/>
      </c>
    </row>
    <row r="14">
      <c r="A14" s="11" t="n">
        <v>3.25</v>
      </c>
      <c r="B14" s="12">
        <f>INDEX(Quotes!$B$5:$B$17,C14)+(A14-INDEX(Quotes!$C$5:$C$17,C14))/(INDEX(Quotes!$C$5:$C$17,C14+1)-INDEX(Quotes!$C$5:$C$17,C14))*(INDEX(Quotes!$B$5:$B$17,C14+1)-INDEX(Quotes!$B$5:$B$17,C14))</f>
        <v/>
      </c>
      <c r="C14">
        <f>MIN(MATCH(A14,Quotes!$C$5:$C$17,1),12)</f>
        <v/>
      </c>
    </row>
    <row r="15">
      <c r="A15" s="11" t="n">
        <v>3.5</v>
      </c>
      <c r="B15" s="12">
        <f>INDEX(Quotes!$B$5:$B$17,C15)+(A15-INDEX(Quotes!$C$5:$C$17,C15))/(INDEX(Quotes!$C$5:$C$17,C15+1)-INDEX(Quotes!$C$5:$C$17,C15))*(INDEX(Quotes!$B$5:$B$17,C15+1)-INDEX(Quotes!$B$5:$B$17,C15))</f>
        <v/>
      </c>
      <c r="C15">
        <f>MIN(MATCH(A15,Quotes!$C$5:$C$17,1),12)</f>
        <v/>
      </c>
    </row>
    <row r="16">
      <c r="A16" s="11" t="n">
        <v>3.75</v>
      </c>
      <c r="B16" s="12">
        <f>INDEX(Quotes!$B$5:$B$17,C16)+(A16-INDEX(Quotes!$C$5:$C$17,C16))/(INDEX(Quotes!$C$5:$C$17,C16+1)-INDEX(Quotes!$C$5:$C$17,C16))*(INDEX(Quotes!$B$5:$B$17,C16+1)-INDEX(Quotes!$B$5:$B$17,C16))</f>
        <v/>
      </c>
      <c r="C16">
        <f>MIN(MATCH(A16,Quotes!$C$5:$C$17,1),12)</f>
        <v/>
      </c>
    </row>
    <row r="17">
      <c r="A17" s="11" t="n">
        <v>4</v>
      </c>
      <c r="B17" s="12">
        <f>INDEX(Quotes!$B$5:$B$17,C17)+(A17-INDEX(Quotes!$C$5:$C$17,C17))/(INDEX(Quotes!$C$5:$C$17,C17+1)-INDEX(Quotes!$C$5:$C$17,C17))*(INDEX(Quotes!$B$5:$B$17,C17+1)-INDEX(Quotes!$B$5:$B$17,C17))</f>
        <v/>
      </c>
      <c r="C17">
        <f>MIN(MATCH(A17,Quotes!$C$5:$C$17,1),12)</f>
        <v/>
      </c>
    </row>
    <row r="18">
      <c r="A18" s="11" t="n">
        <v>4.25</v>
      </c>
      <c r="B18" s="12">
        <f>INDEX(Quotes!$B$5:$B$17,C18)+(A18-INDEX(Quotes!$C$5:$C$17,C18))/(INDEX(Quotes!$C$5:$C$17,C18+1)-INDEX(Quotes!$C$5:$C$17,C18))*(INDEX(Quotes!$B$5:$B$17,C18+1)-INDEX(Quotes!$B$5:$B$17,C18))</f>
        <v/>
      </c>
      <c r="C18">
        <f>MIN(MATCH(A18,Quotes!$C$5:$C$17,1),12)</f>
        <v/>
      </c>
    </row>
    <row r="19">
      <c r="A19" s="11" t="n">
        <v>4.5</v>
      </c>
      <c r="B19" s="12">
        <f>INDEX(Quotes!$B$5:$B$17,C19)+(A19-INDEX(Quotes!$C$5:$C$17,C19))/(INDEX(Quotes!$C$5:$C$17,C19+1)-INDEX(Quotes!$C$5:$C$17,C19))*(INDEX(Quotes!$B$5:$B$17,C19+1)-INDEX(Quotes!$B$5:$B$17,C19))</f>
        <v/>
      </c>
      <c r="C19">
        <f>MIN(MATCH(A19,Quotes!$C$5:$C$17,1),12)</f>
        <v/>
      </c>
    </row>
    <row r="20">
      <c r="A20" s="11" t="n">
        <v>4.75</v>
      </c>
      <c r="B20" s="12">
        <f>INDEX(Quotes!$B$5:$B$17,C20)+(A20-INDEX(Quotes!$C$5:$C$17,C20))/(INDEX(Quotes!$C$5:$C$17,C20+1)-INDEX(Quotes!$C$5:$C$17,C20))*(INDEX(Quotes!$B$5:$B$17,C20+1)-INDEX(Quotes!$B$5:$B$17,C20))</f>
        <v/>
      </c>
      <c r="C20">
        <f>MIN(MATCH(A20,Quotes!$C$5:$C$17,1),12)</f>
        <v/>
      </c>
    </row>
    <row r="21">
      <c r="A21" s="11" t="n">
        <v>5</v>
      </c>
      <c r="B21" s="12">
        <f>INDEX(Quotes!$B$5:$B$17,C21)+(A21-INDEX(Quotes!$C$5:$C$17,C21))/(INDEX(Quotes!$C$5:$C$17,C21+1)-INDEX(Quotes!$C$5:$C$17,C21))*(INDEX(Quotes!$B$5:$B$17,C21+1)-INDEX(Quotes!$B$5:$B$17,C21))</f>
        <v/>
      </c>
      <c r="C21">
        <f>MIN(MATCH(A21,Quotes!$C$5:$C$17,1),12)</f>
        <v/>
      </c>
    </row>
    <row r="22">
      <c r="A22" s="11" t="n">
        <v>5.25</v>
      </c>
      <c r="B22" s="12">
        <f>INDEX(Quotes!$B$5:$B$17,C22)+(A22-INDEX(Quotes!$C$5:$C$17,C22))/(INDEX(Quotes!$C$5:$C$17,C22+1)-INDEX(Quotes!$C$5:$C$17,C22))*(INDEX(Quotes!$B$5:$B$17,C22+1)-INDEX(Quotes!$B$5:$B$17,C22))</f>
        <v/>
      </c>
      <c r="C22">
        <f>MIN(MATCH(A22,Quotes!$C$5:$C$17,1),12)</f>
        <v/>
      </c>
    </row>
    <row r="23">
      <c r="A23" s="11" t="n">
        <v>5.5</v>
      </c>
      <c r="B23" s="12">
        <f>INDEX(Quotes!$B$5:$B$17,C23)+(A23-INDEX(Quotes!$C$5:$C$17,C23))/(INDEX(Quotes!$C$5:$C$17,C23+1)-INDEX(Quotes!$C$5:$C$17,C23))*(INDEX(Quotes!$B$5:$B$17,C23+1)-INDEX(Quotes!$B$5:$B$17,C23))</f>
        <v/>
      </c>
      <c r="C23">
        <f>MIN(MATCH(A23,Quotes!$C$5:$C$17,1),12)</f>
        <v/>
      </c>
    </row>
    <row r="24">
      <c r="A24" s="11" t="n">
        <v>5.75</v>
      </c>
      <c r="B24" s="12">
        <f>INDEX(Quotes!$B$5:$B$17,C24)+(A24-INDEX(Quotes!$C$5:$C$17,C24))/(INDEX(Quotes!$C$5:$C$17,C24+1)-INDEX(Quotes!$C$5:$C$17,C24))*(INDEX(Quotes!$B$5:$B$17,C24+1)-INDEX(Quotes!$B$5:$B$17,C24))</f>
        <v/>
      </c>
      <c r="C24">
        <f>MIN(MATCH(A24,Quotes!$C$5:$C$17,1),12)</f>
        <v/>
      </c>
    </row>
    <row r="25">
      <c r="A25" s="11" t="n">
        <v>6</v>
      </c>
      <c r="B25" s="12">
        <f>INDEX(Quotes!$B$5:$B$17,C25)+(A25-INDEX(Quotes!$C$5:$C$17,C25))/(INDEX(Quotes!$C$5:$C$17,C25+1)-INDEX(Quotes!$C$5:$C$17,C25))*(INDEX(Quotes!$B$5:$B$17,C25+1)-INDEX(Quotes!$B$5:$B$17,C25))</f>
        <v/>
      </c>
      <c r="C25">
        <f>MIN(MATCH(A25,Quotes!$C$5:$C$17,1),12)</f>
        <v/>
      </c>
    </row>
    <row r="26">
      <c r="A26" s="11" t="n">
        <v>6.25</v>
      </c>
      <c r="B26" s="12">
        <f>INDEX(Quotes!$B$5:$B$17,C26)+(A26-INDEX(Quotes!$C$5:$C$17,C26))/(INDEX(Quotes!$C$5:$C$17,C26+1)-INDEX(Quotes!$C$5:$C$17,C26))*(INDEX(Quotes!$B$5:$B$17,C26+1)-INDEX(Quotes!$B$5:$B$17,C26))</f>
        <v/>
      </c>
      <c r="C26">
        <f>MIN(MATCH(A26,Quotes!$C$5:$C$17,1),12)</f>
        <v/>
      </c>
    </row>
    <row r="27">
      <c r="A27" s="11" t="n">
        <v>6.5</v>
      </c>
      <c r="B27" s="12">
        <f>INDEX(Quotes!$B$5:$B$17,C27)+(A27-INDEX(Quotes!$C$5:$C$17,C27))/(INDEX(Quotes!$C$5:$C$17,C27+1)-INDEX(Quotes!$C$5:$C$17,C27))*(INDEX(Quotes!$B$5:$B$17,C27+1)-INDEX(Quotes!$B$5:$B$17,C27))</f>
        <v/>
      </c>
      <c r="C27">
        <f>MIN(MATCH(A27,Quotes!$C$5:$C$17,1),12)</f>
        <v/>
      </c>
    </row>
    <row r="28">
      <c r="A28" s="11" t="n">
        <v>6.75</v>
      </c>
      <c r="B28" s="12">
        <f>INDEX(Quotes!$B$5:$B$17,C28)+(A28-INDEX(Quotes!$C$5:$C$17,C28))/(INDEX(Quotes!$C$5:$C$17,C28+1)-INDEX(Quotes!$C$5:$C$17,C28))*(INDEX(Quotes!$B$5:$B$17,C28+1)-INDEX(Quotes!$B$5:$B$17,C28))</f>
        <v/>
      </c>
      <c r="C28">
        <f>MIN(MATCH(A28,Quotes!$C$5:$C$17,1),12)</f>
        <v/>
      </c>
    </row>
    <row r="29">
      <c r="A29" s="11" t="n">
        <v>7</v>
      </c>
      <c r="B29" s="12">
        <f>INDEX(Quotes!$B$5:$B$17,C29)+(A29-INDEX(Quotes!$C$5:$C$17,C29))/(INDEX(Quotes!$C$5:$C$17,C29+1)-INDEX(Quotes!$C$5:$C$17,C29))*(INDEX(Quotes!$B$5:$B$17,C29+1)-INDEX(Quotes!$B$5:$B$17,C29))</f>
        <v/>
      </c>
      <c r="C29">
        <f>MIN(MATCH(A29,Quotes!$C$5:$C$17,1),12)</f>
        <v/>
      </c>
    </row>
    <row r="30">
      <c r="A30" s="11" t="n">
        <v>7.25</v>
      </c>
      <c r="B30" s="12">
        <f>INDEX(Quotes!$B$5:$B$17,C30)+(A30-INDEX(Quotes!$C$5:$C$17,C30))/(INDEX(Quotes!$C$5:$C$17,C30+1)-INDEX(Quotes!$C$5:$C$17,C30))*(INDEX(Quotes!$B$5:$B$17,C30+1)-INDEX(Quotes!$B$5:$B$17,C30))</f>
        <v/>
      </c>
      <c r="C30">
        <f>MIN(MATCH(A30,Quotes!$C$5:$C$17,1),12)</f>
        <v/>
      </c>
    </row>
    <row r="31">
      <c r="A31" s="11" t="n">
        <v>7.5</v>
      </c>
      <c r="B31" s="12">
        <f>INDEX(Quotes!$B$5:$B$17,C31)+(A31-INDEX(Quotes!$C$5:$C$17,C31))/(INDEX(Quotes!$C$5:$C$17,C31+1)-INDEX(Quotes!$C$5:$C$17,C31))*(INDEX(Quotes!$B$5:$B$17,C31+1)-INDEX(Quotes!$B$5:$B$17,C31))</f>
        <v/>
      </c>
      <c r="C31">
        <f>MIN(MATCH(A31,Quotes!$C$5:$C$17,1),12)</f>
        <v/>
      </c>
    </row>
    <row r="32">
      <c r="A32" s="11" t="n">
        <v>7.75</v>
      </c>
      <c r="B32" s="12">
        <f>INDEX(Quotes!$B$5:$B$17,C32)+(A32-INDEX(Quotes!$C$5:$C$17,C32))/(INDEX(Quotes!$C$5:$C$17,C32+1)-INDEX(Quotes!$C$5:$C$17,C32))*(INDEX(Quotes!$B$5:$B$17,C32+1)-INDEX(Quotes!$B$5:$B$17,C32))</f>
        <v/>
      </c>
      <c r="C32">
        <f>MIN(MATCH(A32,Quotes!$C$5:$C$17,1),12)</f>
        <v/>
      </c>
    </row>
    <row r="33">
      <c r="A33" s="11" t="n">
        <v>8</v>
      </c>
      <c r="B33" s="12">
        <f>INDEX(Quotes!$B$5:$B$17,C33)+(A33-INDEX(Quotes!$C$5:$C$17,C33))/(INDEX(Quotes!$C$5:$C$17,C33+1)-INDEX(Quotes!$C$5:$C$17,C33))*(INDEX(Quotes!$B$5:$B$17,C33+1)-INDEX(Quotes!$B$5:$B$17,C33))</f>
        <v/>
      </c>
      <c r="C33">
        <f>MIN(MATCH(A33,Quotes!$C$5:$C$17,1),12)</f>
        <v/>
      </c>
    </row>
    <row r="34">
      <c r="A34" s="11" t="n">
        <v>8.25</v>
      </c>
      <c r="B34" s="12">
        <f>INDEX(Quotes!$B$5:$B$17,C34)+(A34-INDEX(Quotes!$C$5:$C$17,C34))/(INDEX(Quotes!$C$5:$C$17,C34+1)-INDEX(Quotes!$C$5:$C$17,C34))*(INDEX(Quotes!$B$5:$B$17,C34+1)-INDEX(Quotes!$B$5:$B$17,C34))</f>
        <v/>
      </c>
      <c r="C34">
        <f>MIN(MATCH(A34,Quotes!$C$5:$C$17,1),12)</f>
        <v/>
      </c>
    </row>
    <row r="35">
      <c r="A35" s="11" t="n">
        <v>8.5</v>
      </c>
      <c r="B35" s="12">
        <f>INDEX(Quotes!$B$5:$B$17,C35)+(A35-INDEX(Quotes!$C$5:$C$17,C35))/(INDEX(Quotes!$C$5:$C$17,C35+1)-INDEX(Quotes!$C$5:$C$17,C35))*(INDEX(Quotes!$B$5:$B$17,C35+1)-INDEX(Quotes!$B$5:$B$17,C35))</f>
        <v/>
      </c>
      <c r="C35">
        <f>MIN(MATCH(A35,Quotes!$C$5:$C$17,1),12)</f>
        <v/>
      </c>
    </row>
    <row r="36">
      <c r="A36" s="11" t="n">
        <v>8.75</v>
      </c>
      <c r="B36" s="12">
        <f>INDEX(Quotes!$B$5:$B$17,C36)+(A36-INDEX(Quotes!$C$5:$C$17,C36))/(INDEX(Quotes!$C$5:$C$17,C36+1)-INDEX(Quotes!$C$5:$C$17,C36))*(INDEX(Quotes!$B$5:$B$17,C36+1)-INDEX(Quotes!$B$5:$B$17,C36))</f>
        <v/>
      </c>
      <c r="C36">
        <f>MIN(MATCH(A36,Quotes!$C$5:$C$17,1),12)</f>
        <v/>
      </c>
    </row>
    <row r="37">
      <c r="A37" s="11" t="n">
        <v>9</v>
      </c>
      <c r="B37" s="12">
        <f>INDEX(Quotes!$B$5:$B$17,C37)+(A37-INDEX(Quotes!$C$5:$C$17,C37))/(INDEX(Quotes!$C$5:$C$17,C37+1)-INDEX(Quotes!$C$5:$C$17,C37))*(INDEX(Quotes!$B$5:$B$17,C37+1)-INDEX(Quotes!$B$5:$B$17,C37))</f>
        <v/>
      </c>
      <c r="C37">
        <f>MIN(MATCH(A37,Quotes!$C$5:$C$17,1),12)</f>
        <v/>
      </c>
    </row>
    <row r="38">
      <c r="A38" s="11" t="n">
        <v>9.25</v>
      </c>
      <c r="B38" s="12">
        <f>INDEX(Quotes!$B$5:$B$17,C38)+(A38-INDEX(Quotes!$C$5:$C$17,C38))/(INDEX(Quotes!$C$5:$C$17,C38+1)-INDEX(Quotes!$C$5:$C$17,C38))*(INDEX(Quotes!$B$5:$B$17,C38+1)-INDEX(Quotes!$B$5:$B$17,C38))</f>
        <v/>
      </c>
      <c r="C38">
        <f>MIN(MATCH(A38,Quotes!$C$5:$C$17,1),12)</f>
        <v/>
      </c>
    </row>
    <row r="39">
      <c r="A39" s="11" t="n">
        <v>9.5</v>
      </c>
      <c r="B39" s="12">
        <f>INDEX(Quotes!$B$5:$B$17,C39)+(A39-INDEX(Quotes!$C$5:$C$17,C39))/(INDEX(Quotes!$C$5:$C$17,C39+1)-INDEX(Quotes!$C$5:$C$17,C39))*(INDEX(Quotes!$B$5:$B$17,C39+1)-INDEX(Quotes!$B$5:$B$17,C39))</f>
        <v/>
      </c>
      <c r="C39">
        <f>MIN(MATCH(A39,Quotes!$C$5:$C$17,1),12)</f>
        <v/>
      </c>
    </row>
    <row r="40">
      <c r="A40" s="11" t="n">
        <v>9.75</v>
      </c>
      <c r="B40" s="12">
        <f>INDEX(Quotes!$B$5:$B$17,C40)+(A40-INDEX(Quotes!$C$5:$C$17,C40))/(INDEX(Quotes!$C$5:$C$17,C40+1)-INDEX(Quotes!$C$5:$C$17,C40))*(INDEX(Quotes!$B$5:$B$17,C40+1)-INDEX(Quotes!$B$5:$B$17,C40))</f>
        <v/>
      </c>
      <c r="C40">
        <f>MIN(MATCH(A40,Quotes!$C$5:$C$17,1),12)</f>
        <v/>
      </c>
    </row>
    <row r="41">
      <c r="A41" s="11" t="n">
        <v>10</v>
      </c>
      <c r="B41" s="12">
        <f>INDEX(Quotes!$B$5:$B$17,C41)+(A41-INDEX(Quotes!$C$5:$C$17,C41))/(INDEX(Quotes!$C$5:$C$17,C41+1)-INDEX(Quotes!$C$5:$C$17,C41))*(INDEX(Quotes!$B$5:$B$17,C41+1)-INDEX(Quotes!$B$5:$B$17,C41))</f>
        <v/>
      </c>
      <c r="C41">
        <f>MIN(MATCH(A41,Quotes!$C$5:$C$17,1),12)</f>
        <v/>
      </c>
    </row>
    <row r="42">
      <c r="A42" s="11" t="n">
        <v>10.25</v>
      </c>
      <c r="B42" s="12">
        <f>INDEX(Quotes!$B$5:$B$17,C42)+(A42-INDEX(Quotes!$C$5:$C$17,C42))/(INDEX(Quotes!$C$5:$C$17,C42+1)-INDEX(Quotes!$C$5:$C$17,C42))*(INDEX(Quotes!$B$5:$B$17,C42+1)-INDEX(Quotes!$B$5:$B$17,C42))</f>
        <v/>
      </c>
      <c r="C42">
        <f>MIN(MATCH(A42,Quotes!$C$5:$C$17,1),12)</f>
        <v/>
      </c>
    </row>
    <row r="43">
      <c r="A43" s="11" t="n">
        <v>10.5</v>
      </c>
      <c r="B43" s="12">
        <f>INDEX(Quotes!$B$5:$B$17,C43)+(A43-INDEX(Quotes!$C$5:$C$17,C43))/(INDEX(Quotes!$C$5:$C$17,C43+1)-INDEX(Quotes!$C$5:$C$17,C43))*(INDEX(Quotes!$B$5:$B$17,C43+1)-INDEX(Quotes!$B$5:$B$17,C43))</f>
        <v/>
      </c>
      <c r="C43">
        <f>MIN(MATCH(A43,Quotes!$C$5:$C$17,1),12)</f>
        <v/>
      </c>
    </row>
    <row r="44">
      <c r="A44" s="11" t="n">
        <v>10.75</v>
      </c>
      <c r="B44" s="12">
        <f>INDEX(Quotes!$B$5:$B$17,C44)+(A44-INDEX(Quotes!$C$5:$C$17,C44))/(INDEX(Quotes!$C$5:$C$17,C44+1)-INDEX(Quotes!$C$5:$C$17,C44))*(INDEX(Quotes!$B$5:$B$17,C44+1)-INDEX(Quotes!$B$5:$B$17,C44))</f>
        <v/>
      </c>
      <c r="C44">
        <f>MIN(MATCH(A44,Quotes!$C$5:$C$17,1),12)</f>
        <v/>
      </c>
    </row>
    <row r="45">
      <c r="A45" s="11" t="n">
        <v>11</v>
      </c>
      <c r="B45" s="12">
        <f>INDEX(Quotes!$B$5:$B$17,C45)+(A45-INDEX(Quotes!$C$5:$C$17,C45))/(INDEX(Quotes!$C$5:$C$17,C45+1)-INDEX(Quotes!$C$5:$C$17,C45))*(INDEX(Quotes!$B$5:$B$17,C45+1)-INDEX(Quotes!$B$5:$B$17,C45))</f>
        <v/>
      </c>
      <c r="C45">
        <f>MIN(MATCH(A45,Quotes!$C$5:$C$17,1),12)</f>
        <v/>
      </c>
    </row>
    <row r="46">
      <c r="A46" s="11" t="n">
        <v>11.25</v>
      </c>
      <c r="B46" s="12">
        <f>INDEX(Quotes!$B$5:$B$17,C46)+(A46-INDEX(Quotes!$C$5:$C$17,C46))/(INDEX(Quotes!$C$5:$C$17,C46+1)-INDEX(Quotes!$C$5:$C$17,C46))*(INDEX(Quotes!$B$5:$B$17,C46+1)-INDEX(Quotes!$B$5:$B$17,C46))</f>
        <v/>
      </c>
      <c r="C46">
        <f>MIN(MATCH(A46,Quotes!$C$5:$C$17,1),12)</f>
        <v/>
      </c>
    </row>
    <row r="47">
      <c r="A47" s="11" t="n">
        <v>11.5</v>
      </c>
      <c r="B47" s="12">
        <f>INDEX(Quotes!$B$5:$B$17,C47)+(A47-INDEX(Quotes!$C$5:$C$17,C47))/(INDEX(Quotes!$C$5:$C$17,C47+1)-INDEX(Quotes!$C$5:$C$17,C47))*(INDEX(Quotes!$B$5:$B$17,C47+1)-INDEX(Quotes!$B$5:$B$17,C47))</f>
        <v/>
      </c>
      <c r="C47">
        <f>MIN(MATCH(A47,Quotes!$C$5:$C$17,1),12)</f>
        <v/>
      </c>
    </row>
    <row r="48">
      <c r="A48" s="11" t="n">
        <v>11.75</v>
      </c>
      <c r="B48" s="12">
        <f>INDEX(Quotes!$B$5:$B$17,C48)+(A48-INDEX(Quotes!$C$5:$C$17,C48))/(INDEX(Quotes!$C$5:$C$17,C48+1)-INDEX(Quotes!$C$5:$C$17,C48))*(INDEX(Quotes!$B$5:$B$17,C48+1)-INDEX(Quotes!$B$5:$B$17,C48))</f>
        <v/>
      </c>
      <c r="C48">
        <f>MIN(MATCH(A48,Quotes!$C$5:$C$17,1),12)</f>
        <v/>
      </c>
    </row>
    <row r="49">
      <c r="A49" s="11" t="n">
        <v>12</v>
      </c>
      <c r="B49" s="12">
        <f>INDEX(Quotes!$B$5:$B$17,C49)+(A49-INDEX(Quotes!$C$5:$C$17,C49))/(INDEX(Quotes!$C$5:$C$17,C49+1)-INDEX(Quotes!$C$5:$C$17,C49))*(INDEX(Quotes!$B$5:$B$17,C49+1)-INDEX(Quotes!$B$5:$B$17,C49))</f>
        <v/>
      </c>
      <c r="C49">
        <f>MIN(MATCH(A49,Quotes!$C$5:$C$17,1),12)</f>
        <v/>
      </c>
    </row>
    <row r="50">
      <c r="A50" s="11" t="n">
        <v>12.25</v>
      </c>
      <c r="B50" s="12">
        <f>INDEX(Quotes!$B$5:$B$17,C50)+(A50-INDEX(Quotes!$C$5:$C$17,C50))/(INDEX(Quotes!$C$5:$C$17,C50+1)-INDEX(Quotes!$C$5:$C$17,C50))*(INDEX(Quotes!$B$5:$B$17,C50+1)-INDEX(Quotes!$B$5:$B$17,C50))</f>
        <v/>
      </c>
      <c r="C50">
        <f>MIN(MATCH(A50,Quotes!$C$5:$C$17,1),12)</f>
        <v/>
      </c>
    </row>
    <row r="51">
      <c r="A51" s="11" t="n">
        <v>12.5</v>
      </c>
      <c r="B51" s="12">
        <f>INDEX(Quotes!$B$5:$B$17,C51)+(A51-INDEX(Quotes!$C$5:$C$17,C51))/(INDEX(Quotes!$C$5:$C$17,C51+1)-INDEX(Quotes!$C$5:$C$17,C51))*(INDEX(Quotes!$B$5:$B$17,C51+1)-INDEX(Quotes!$B$5:$B$17,C51))</f>
        <v/>
      </c>
      <c r="C51">
        <f>MIN(MATCH(A51,Quotes!$C$5:$C$17,1),12)</f>
        <v/>
      </c>
    </row>
    <row r="52">
      <c r="A52" s="11" t="n">
        <v>12.75</v>
      </c>
      <c r="B52" s="12">
        <f>INDEX(Quotes!$B$5:$B$17,C52)+(A52-INDEX(Quotes!$C$5:$C$17,C52))/(INDEX(Quotes!$C$5:$C$17,C52+1)-INDEX(Quotes!$C$5:$C$17,C52))*(INDEX(Quotes!$B$5:$B$17,C52+1)-INDEX(Quotes!$B$5:$B$17,C52))</f>
        <v/>
      </c>
      <c r="C52">
        <f>MIN(MATCH(A52,Quotes!$C$5:$C$17,1),12)</f>
        <v/>
      </c>
    </row>
    <row r="53">
      <c r="A53" s="11" t="n">
        <v>13</v>
      </c>
      <c r="B53" s="12">
        <f>INDEX(Quotes!$B$5:$B$17,C53)+(A53-INDEX(Quotes!$C$5:$C$17,C53))/(INDEX(Quotes!$C$5:$C$17,C53+1)-INDEX(Quotes!$C$5:$C$17,C53))*(INDEX(Quotes!$B$5:$B$17,C53+1)-INDEX(Quotes!$B$5:$B$17,C53))</f>
        <v/>
      </c>
      <c r="C53">
        <f>MIN(MATCH(A53,Quotes!$C$5:$C$17,1),12)</f>
        <v/>
      </c>
    </row>
    <row r="54">
      <c r="A54" s="11" t="n">
        <v>13.25</v>
      </c>
      <c r="B54" s="12">
        <f>INDEX(Quotes!$B$5:$B$17,C54)+(A54-INDEX(Quotes!$C$5:$C$17,C54))/(INDEX(Quotes!$C$5:$C$17,C54+1)-INDEX(Quotes!$C$5:$C$17,C54))*(INDEX(Quotes!$B$5:$B$17,C54+1)-INDEX(Quotes!$B$5:$B$17,C54))</f>
        <v/>
      </c>
      <c r="C54">
        <f>MIN(MATCH(A54,Quotes!$C$5:$C$17,1),12)</f>
        <v/>
      </c>
    </row>
    <row r="55">
      <c r="A55" s="11" t="n">
        <v>13.5</v>
      </c>
      <c r="B55" s="12">
        <f>INDEX(Quotes!$B$5:$B$17,C55)+(A55-INDEX(Quotes!$C$5:$C$17,C55))/(INDEX(Quotes!$C$5:$C$17,C55+1)-INDEX(Quotes!$C$5:$C$17,C55))*(INDEX(Quotes!$B$5:$B$17,C55+1)-INDEX(Quotes!$B$5:$B$17,C55))</f>
        <v/>
      </c>
      <c r="C55">
        <f>MIN(MATCH(A55,Quotes!$C$5:$C$17,1),12)</f>
        <v/>
      </c>
    </row>
    <row r="56">
      <c r="A56" s="11" t="n">
        <v>13.75</v>
      </c>
      <c r="B56" s="12">
        <f>INDEX(Quotes!$B$5:$B$17,C56)+(A56-INDEX(Quotes!$C$5:$C$17,C56))/(INDEX(Quotes!$C$5:$C$17,C56+1)-INDEX(Quotes!$C$5:$C$17,C56))*(INDEX(Quotes!$B$5:$B$17,C56+1)-INDEX(Quotes!$B$5:$B$17,C56))</f>
        <v/>
      </c>
      <c r="C56">
        <f>MIN(MATCH(A56,Quotes!$C$5:$C$17,1),12)</f>
        <v/>
      </c>
    </row>
    <row r="57">
      <c r="A57" s="11" t="n">
        <v>14</v>
      </c>
      <c r="B57" s="12">
        <f>INDEX(Quotes!$B$5:$B$17,C57)+(A57-INDEX(Quotes!$C$5:$C$17,C57))/(INDEX(Quotes!$C$5:$C$17,C57+1)-INDEX(Quotes!$C$5:$C$17,C57))*(INDEX(Quotes!$B$5:$B$17,C57+1)-INDEX(Quotes!$B$5:$B$17,C57))</f>
        <v/>
      </c>
      <c r="C57">
        <f>MIN(MATCH(A57,Quotes!$C$5:$C$17,1),12)</f>
        <v/>
      </c>
    </row>
    <row r="58">
      <c r="A58" s="11" t="n">
        <v>14.25</v>
      </c>
      <c r="B58" s="12">
        <f>INDEX(Quotes!$B$5:$B$17,C58)+(A58-INDEX(Quotes!$C$5:$C$17,C58))/(INDEX(Quotes!$C$5:$C$17,C58+1)-INDEX(Quotes!$C$5:$C$17,C58))*(INDEX(Quotes!$B$5:$B$17,C58+1)-INDEX(Quotes!$B$5:$B$17,C58))</f>
        <v/>
      </c>
      <c r="C58">
        <f>MIN(MATCH(A58,Quotes!$C$5:$C$17,1),12)</f>
        <v/>
      </c>
    </row>
    <row r="59">
      <c r="A59" s="11" t="n">
        <v>14.5</v>
      </c>
      <c r="B59" s="12">
        <f>INDEX(Quotes!$B$5:$B$17,C59)+(A59-INDEX(Quotes!$C$5:$C$17,C59))/(INDEX(Quotes!$C$5:$C$17,C59+1)-INDEX(Quotes!$C$5:$C$17,C59))*(INDEX(Quotes!$B$5:$B$17,C59+1)-INDEX(Quotes!$B$5:$B$17,C59))</f>
        <v/>
      </c>
      <c r="C59">
        <f>MIN(MATCH(A59,Quotes!$C$5:$C$17,1),12)</f>
        <v/>
      </c>
    </row>
    <row r="60">
      <c r="A60" s="11" t="n">
        <v>14.75</v>
      </c>
      <c r="B60" s="12">
        <f>INDEX(Quotes!$B$5:$B$17,C60)+(A60-INDEX(Quotes!$C$5:$C$17,C60))/(INDEX(Quotes!$C$5:$C$17,C60+1)-INDEX(Quotes!$C$5:$C$17,C60))*(INDEX(Quotes!$B$5:$B$17,C60+1)-INDEX(Quotes!$B$5:$B$17,C60))</f>
        <v/>
      </c>
      <c r="C60">
        <f>MIN(MATCH(A60,Quotes!$C$5:$C$17,1),12)</f>
        <v/>
      </c>
    </row>
    <row r="61">
      <c r="A61" s="11" t="n">
        <v>15</v>
      </c>
      <c r="B61" s="12">
        <f>INDEX(Quotes!$B$5:$B$17,C61)+(A61-INDEX(Quotes!$C$5:$C$17,C61))/(INDEX(Quotes!$C$5:$C$17,C61+1)-INDEX(Quotes!$C$5:$C$17,C61))*(INDEX(Quotes!$B$5:$B$17,C61+1)-INDEX(Quotes!$B$5:$B$17,C61))</f>
        <v/>
      </c>
      <c r="C61">
        <f>MIN(MATCH(A61,Quotes!$C$5:$C$17,1),12)</f>
        <v/>
      </c>
    </row>
    <row r="62">
      <c r="A62" s="11" t="n">
        <v>15.25</v>
      </c>
      <c r="B62" s="12">
        <f>INDEX(Quotes!$B$5:$B$17,C62)+(A62-INDEX(Quotes!$C$5:$C$17,C62))/(INDEX(Quotes!$C$5:$C$17,C62+1)-INDEX(Quotes!$C$5:$C$17,C62))*(INDEX(Quotes!$B$5:$B$17,C62+1)-INDEX(Quotes!$B$5:$B$17,C62))</f>
        <v/>
      </c>
      <c r="C62">
        <f>MIN(MATCH(A62,Quotes!$C$5:$C$17,1),12)</f>
        <v/>
      </c>
    </row>
    <row r="63">
      <c r="A63" s="11" t="n">
        <v>15.5</v>
      </c>
      <c r="B63" s="12">
        <f>INDEX(Quotes!$B$5:$B$17,C63)+(A63-INDEX(Quotes!$C$5:$C$17,C63))/(INDEX(Quotes!$C$5:$C$17,C63+1)-INDEX(Quotes!$C$5:$C$17,C63))*(INDEX(Quotes!$B$5:$B$17,C63+1)-INDEX(Quotes!$B$5:$B$17,C63))</f>
        <v/>
      </c>
      <c r="C63">
        <f>MIN(MATCH(A63,Quotes!$C$5:$C$17,1),12)</f>
        <v/>
      </c>
    </row>
    <row r="64">
      <c r="A64" s="11" t="n">
        <v>15.75</v>
      </c>
      <c r="B64" s="12">
        <f>INDEX(Quotes!$B$5:$B$17,C64)+(A64-INDEX(Quotes!$C$5:$C$17,C64))/(INDEX(Quotes!$C$5:$C$17,C64+1)-INDEX(Quotes!$C$5:$C$17,C64))*(INDEX(Quotes!$B$5:$B$17,C64+1)-INDEX(Quotes!$B$5:$B$17,C64))</f>
        <v/>
      </c>
      <c r="C64">
        <f>MIN(MATCH(A64,Quotes!$C$5:$C$17,1),12)</f>
        <v/>
      </c>
    </row>
    <row r="65">
      <c r="A65" s="11" t="n">
        <v>16</v>
      </c>
      <c r="B65" s="12">
        <f>INDEX(Quotes!$B$5:$B$17,C65)+(A65-INDEX(Quotes!$C$5:$C$17,C65))/(INDEX(Quotes!$C$5:$C$17,C65+1)-INDEX(Quotes!$C$5:$C$17,C65))*(INDEX(Quotes!$B$5:$B$17,C65+1)-INDEX(Quotes!$B$5:$B$17,C65))</f>
        <v/>
      </c>
      <c r="C65">
        <f>MIN(MATCH(A65,Quotes!$C$5:$C$17,1),12)</f>
        <v/>
      </c>
    </row>
    <row r="66">
      <c r="A66" s="11" t="n">
        <v>16.25</v>
      </c>
      <c r="B66" s="12">
        <f>INDEX(Quotes!$B$5:$B$17,C66)+(A66-INDEX(Quotes!$C$5:$C$17,C66))/(INDEX(Quotes!$C$5:$C$17,C66+1)-INDEX(Quotes!$C$5:$C$17,C66))*(INDEX(Quotes!$B$5:$B$17,C66+1)-INDEX(Quotes!$B$5:$B$17,C66))</f>
        <v/>
      </c>
      <c r="C66">
        <f>MIN(MATCH(A66,Quotes!$C$5:$C$17,1),12)</f>
        <v/>
      </c>
    </row>
    <row r="67">
      <c r="A67" s="11" t="n">
        <v>16.5</v>
      </c>
      <c r="B67" s="12">
        <f>INDEX(Quotes!$B$5:$B$17,C67)+(A67-INDEX(Quotes!$C$5:$C$17,C67))/(INDEX(Quotes!$C$5:$C$17,C67+1)-INDEX(Quotes!$C$5:$C$17,C67))*(INDEX(Quotes!$B$5:$B$17,C67+1)-INDEX(Quotes!$B$5:$B$17,C67))</f>
        <v/>
      </c>
      <c r="C67">
        <f>MIN(MATCH(A67,Quotes!$C$5:$C$17,1),12)</f>
        <v/>
      </c>
    </row>
    <row r="68">
      <c r="A68" s="11" t="n">
        <v>16.75</v>
      </c>
      <c r="B68" s="12">
        <f>INDEX(Quotes!$B$5:$B$17,C68)+(A68-INDEX(Quotes!$C$5:$C$17,C68))/(INDEX(Quotes!$C$5:$C$17,C68+1)-INDEX(Quotes!$C$5:$C$17,C68))*(INDEX(Quotes!$B$5:$B$17,C68+1)-INDEX(Quotes!$B$5:$B$17,C68))</f>
        <v/>
      </c>
      <c r="C68">
        <f>MIN(MATCH(A68,Quotes!$C$5:$C$17,1),12)</f>
        <v/>
      </c>
    </row>
    <row r="69">
      <c r="A69" s="11" t="n">
        <v>17</v>
      </c>
      <c r="B69" s="12">
        <f>INDEX(Quotes!$B$5:$B$17,C69)+(A69-INDEX(Quotes!$C$5:$C$17,C69))/(INDEX(Quotes!$C$5:$C$17,C69+1)-INDEX(Quotes!$C$5:$C$17,C69))*(INDEX(Quotes!$B$5:$B$17,C69+1)-INDEX(Quotes!$B$5:$B$17,C69))</f>
        <v/>
      </c>
      <c r="C69">
        <f>MIN(MATCH(A69,Quotes!$C$5:$C$17,1),12)</f>
        <v/>
      </c>
    </row>
    <row r="70">
      <c r="A70" s="11" t="n">
        <v>17.25</v>
      </c>
      <c r="B70" s="12">
        <f>INDEX(Quotes!$B$5:$B$17,C70)+(A70-INDEX(Quotes!$C$5:$C$17,C70))/(INDEX(Quotes!$C$5:$C$17,C70+1)-INDEX(Quotes!$C$5:$C$17,C70))*(INDEX(Quotes!$B$5:$B$17,C70+1)-INDEX(Quotes!$B$5:$B$17,C70))</f>
        <v/>
      </c>
      <c r="C70">
        <f>MIN(MATCH(A70,Quotes!$C$5:$C$17,1),12)</f>
        <v/>
      </c>
    </row>
    <row r="71">
      <c r="A71" s="11" t="n">
        <v>17.5</v>
      </c>
      <c r="B71" s="12">
        <f>INDEX(Quotes!$B$5:$B$17,C71)+(A71-INDEX(Quotes!$C$5:$C$17,C71))/(INDEX(Quotes!$C$5:$C$17,C71+1)-INDEX(Quotes!$C$5:$C$17,C71))*(INDEX(Quotes!$B$5:$B$17,C71+1)-INDEX(Quotes!$B$5:$B$17,C71))</f>
        <v/>
      </c>
      <c r="C71">
        <f>MIN(MATCH(A71,Quotes!$C$5:$C$17,1),12)</f>
        <v/>
      </c>
    </row>
    <row r="72">
      <c r="A72" s="11" t="n">
        <v>17.75</v>
      </c>
      <c r="B72" s="12">
        <f>INDEX(Quotes!$B$5:$B$17,C72)+(A72-INDEX(Quotes!$C$5:$C$17,C72))/(INDEX(Quotes!$C$5:$C$17,C72+1)-INDEX(Quotes!$C$5:$C$17,C72))*(INDEX(Quotes!$B$5:$B$17,C72+1)-INDEX(Quotes!$B$5:$B$17,C72))</f>
        <v/>
      </c>
      <c r="C72">
        <f>MIN(MATCH(A72,Quotes!$C$5:$C$17,1),12)</f>
        <v/>
      </c>
    </row>
    <row r="73">
      <c r="A73" s="11" t="n">
        <v>18</v>
      </c>
      <c r="B73" s="12">
        <f>INDEX(Quotes!$B$5:$B$17,C73)+(A73-INDEX(Quotes!$C$5:$C$17,C73))/(INDEX(Quotes!$C$5:$C$17,C73+1)-INDEX(Quotes!$C$5:$C$17,C73))*(INDEX(Quotes!$B$5:$B$17,C73+1)-INDEX(Quotes!$B$5:$B$17,C73))</f>
        <v/>
      </c>
      <c r="C73">
        <f>MIN(MATCH(A73,Quotes!$C$5:$C$17,1),12)</f>
        <v/>
      </c>
    </row>
    <row r="74">
      <c r="A74" s="11" t="n">
        <v>18.25</v>
      </c>
      <c r="B74" s="12">
        <f>INDEX(Quotes!$B$5:$B$17,C74)+(A74-INDEX(Quotes!$C$5:$C$17,C74))/(INDEX(Quotes!$C$5:$C$17,C74+1)-INDEX(Quotes!$C$5:$C$17,C74))*(INDEX(Quotes!$B$5:$B$17,C74+1)-INDEX(Quotes!$B$5:$B$17,C74))</f>
        <v/>
      </c>
      <c r="C74">
        <f>MIN(MATCH(A74,Quotes!$C$5:$C$17,1),12)</f>
        <v/>
      </c>
    </row>
    <row r="75">
      <c r="A75" s="11" t="n">
        <v>18.5</v>
      </c>
      <c r="B75" s="12">
        <f>INDEX(Quotes!$B$5:$B$17,C75)+(A75-INDEX(Quotes!$C$5:$C$17,C75))/(INDEX(Quotes!$C$5:$C$17,C75+1)-INDEX(Quotes!$C$5:$C$17,C75))*(INDEX(Quotes!$B$5:$B$17,C75+1)-INDEX(Quotes!$B$5:$B$17,C75))</f>
        <v/>
      </c>
      <c r="C75">
        <f>MIN(MATCH(A75,Quotes!$C$5:$C$17,1),12)</f>
        <v/>
      </c>
    </row>
    <row r="76">
      <c r="A76" s="11" t="n">
        <v>18.75</v>
      </c>
      <c r="B76" s="12">
        <f>INDEX(Quotes!$B$5:$B$17,C76)+(A76-INDEX(Quotes!$C$5:$C$17,C76))/(INDEX(Quotes!$C$5:$C$17,C76+1)-INDEX(Quotes!$C$5:$C$17,C76))*(INDEX(Quotes!$B$5:$B$17,C76+1)-INDEX(Quotes!$B$5:$B$17,C76))</f>
        <v/>
      </c>
      <c r="C76">
        <f>MIN(MATCH(A76,Quotes!$C$5:$C$17,1),12)</f>
        <v/>
      </c>
    </row>
    <row r="77">
      <c r="A77" s="11" t="n">
        <v>19</v>
      </c>
      <c r="B77" s="12">
        <f>INDEX(Quotes!$B$5:$B$17,C77)+(A77-INDEX(Quotes!$C$5:$C$17,C77))/(INDEX(Quotes!$C$5:$C$17,C77+1)-INDEX(Quotes!$C$5:$C$17,C77))*(INDEX(Quotes!$B$5:$B$17,C77+1)-INDEX(Quotes!$B$5:$B$17,C77))</f>
        <v/>
      </c>
      <c r="C77">
        <f>MIN(MATCH(A77,Quotes!$C$5:$C$17,1),12)</f>
        <v/>
      </c>
    </row>
    <row r="78">
      <c r="A78" s="11" t="n">
        <v>19.25</v>
      </c>
      <c r="B78" s="12">
        <f>INDEX(Quotes!$B$5:$B$17,C78)+(A78-INDEX(Quotes!$C$5:$C$17,C78))/(INDEX(Quotes!$C$5:$C$17,C78+1)-INDEX(Quotes!$C$5:$C$17,C78))*(INDEX(Quotes!$B$5:$B$17,C78+1)-INDEX(Quotes!$B$5:$B$17,C78))</f>
        <v/>
      </c>
      <c r="C78">
        <f>MIN(MATCH(A78,Quotes!$C$5:$C$17,1),12)</f>
        <v/>
      </c>
    </row>
    <row r="79">
      <c r="A79" s="11" t="n">
        <v>19.5</v>
      </c>
      <c r="B79" s="12">
        <f>INDEX(Quotes!$B$5:$B$17,C79)+(A79-INDEX(Quotes!$C$5:$C$17,C79))/(INDEX(Quotes!$C$5:$C$17,C79+1)-INDEX(Quotes!$C$5:$C$17,C79))*(INDEX(Quotes!$B$5:$B$17,C79+1)-INDEX(Quotes!$B$5:$B$17,C79))</f>
        <v/>
      </c>
      <c r="C79">
        <f>MIN(MATCH(A79,Quotes!$C$5:$C$17,1),12)</f>
        <v/>
      </c>
    </row>
    <row r="80">
      <c r="A80" s="11" t="n">
        <v>19.75</v>
      </c>
      <c r="B80" s="12">
        <f>INDEX(Quotes!$B$5:$B$17,C80)+(A80-INDEX(Quotes!$C$5:$C$17,C80))/(INDEX(Quotes!$C$5:$C$17,C80+1)-INDEX(Quotes!$C$5:$C$17,C80))*(INDEX(Quotes!$B$5:$B$17,C80+1)-INDEX(Quotes!$B$5:$B$17,C80))</f>
        <v/>
      </c>
      <c r="C80">
        <f>MIN(MATCH(A80,Quotes!$C$5:$C$17,1),12)</f>
        <v/>
      </c>
    </row>
    <row r="81">
      <c r="A81" s="11" t="n">
        <v>20</v>
      </c>
      <c r="B81" s="12">
        <f>INDEX(Quotes!$B$5:$B$17,C81)+(A81-INDEX(Quotes!$C$5:$C$17,C81))/(INDEX(Quotes!$C$5:$C$17,C81+1)-INDEX(Quotes!$C$5:$C$17,C81))*(INDEX(Quotes!$B$5:$B$17,C81+1)-INDEX(Quotes!$B$5:$B$17,C81))</f>
        <v/>
      </c>
      <c r="C81">
        <f>MIN(MATCH(A81,Quotes!$C$5:$C$17,1),12)</f>
        <v/>
      </c>
    </row>
    <row r="82">
      <c r="A82" s="11" t="n">
        <v>20.25</v>
      </c>
      <c r="B82" s="12">
        <f>INDEX(Quotes!$B$5:$B$17,C82)+(A82-INDEX(Quotes!$C$5:$C$17,C82))/(INDEX(Quotes!$C$5:$C$17,C82+1)-INDEX(Quotes!$C$5:$C$17,C82))*(INDEX(Quotes!$B$5:$B$17,C82+1)-INDEX(Quotes!$B$5:$B$17,C82))</f>
        <v/>
      </c>
      <c r="C82">
        <f>MIN(MATCH(A82,Quotes!$C$5:$C$17,1),12)</f>
        <v/>
      </c>
    </row>
    <row r="83">
      <c r="A83" s="11" t="n">
        <v>20.5</v>
      </c>
      <c r="B83" s="12">
        <f>INDEX(Quotes!$B$5:$B$17,C83)+(A83-INDEX(Quotes!$C$5:$C$17,C83))/(INDEX(Quotes!$C$5:$C$17,C83+1)-INDEX(Quotes!$C$5:$C$17,C83))*(INDEX(Quotes!$B$5:$B$17,C83+1)-INDEX(Quotes!$B$5:$B$17,C83))</f>
        <v/>
      </c>
      <c r="C83">
        <f>MIN(MATCH(A83,Quotes!$C$5:$C$17,1),12)</f>
        <v/>
      </c>
    </row>
    <row r="84">
      <c r="A84" s="11" t="n">
        <v>20.75</v>
      </c>
      <c r="B84" s="12">
        <f>INDEX(Quotes!$B$5:$B$17,C84)+(A84-INDEX(Quotes!$C$5:$C$17,C84))/(INDEX(Quotes!$C$5:$C$17,C84+1)-INDEX(Quotes!$C$5:$C$17,C84))*(INDEX(Quotes!$B$5:$B$17,C84+1)-INDEX(Quotes!$B$5:$B$17,C84))</f>
        <v/>
      </c>
      <c r="C84">
        <f>MIN(MATCH(A84,Quotes!$C$5:$C$17,1),12)</f>
        <v/>
      </c>
    </row>
    <row r="85">
      <c r="A85" s="11" t="n">
        <v>21</v>
      </c>
      <c r="B85" s="12">
        <f>INDEX(Quotes!$B$5:$B$17,C85)+(A85-INDEX(Quotes!$C$5:$C$17,C85))/(INDEX(Quotes!$C$5:$C$17,C85+1)-INDEX(Quotes!$C$5:$C$17,C85))*(INDEX(Quotes!$B$5:$B$17,C85+1)-INDEX(Quotes!$B$5:$B$17,C85))</f>
        <v/>
      </c>
      <c r="C85">
        <f>MIN(MATCH(A85,Quotes!$C$5:$C$17,1),12)</f>
        <v/>
      </c>
    </row>
    <row r="86">
      <c r="A86" s="11" t="n">
        <v>21.25</v>
      </c>
      <c r="B86" s="12">
        <f>INDEX(Quotes!$B$5:$B$17,C86)+(A86-INDEX(Quotes!$C$5:$C$17,C86))/(INDEX(Quotes!$C$5:$C$17,C86+1)-INDEX(Quotes!$C$5:$C$17,C86))*(INDEX(Quotes!$B$5:$B$17,C86+1)-INDEX(Quotes!$B$5:$B$17,C86))</f>
        <v/>
      </c>
      <c r="C86">
        <f>MIN(MATCH(A86,Quotes!$C$5:$C$17,1),12)</f>
        <v/>
      </c>
    </row>
    <row r="87">
      <c r="A87" s="11" t="n">
        <v>21.5</v>
      </c>
      <c r="B87" s="12">
        <f>INDEX(Quotes!$B$5:$B$17,C87)+(A87-INDEX(Quotes!$C$5:$C$17,C87))/(INDEX(Quotes!$C$5:$C$17,C87+1)-INDEX(Quotes!$C$5:$C$17,C87))*(INDEX(Quotes!$B$5:$B$17,C87+1)-INDEX(Quotes!$B$5:$B$17,C87))</f>
        <v/>
      </c>
      <c r="C87">
        <f>MIN(MATCH(A87,Quotes!$C$5:$C$17,1),12)</f>
        <v/>
      </c>
    </row>
    <row r="88">
      <c r="A88" s="11" t="n">
        <v>21.75</v>
      </c>
      <c r="B88" s="12">
        <f>INDEX(Quotes!$B$5:$B$17,C88)+(A88-INDEX(Quotes!$C$5:$C$17,C88))/(INDEX(Quotes!$C$5:$C$17,C88+1)-INDEX(Quotes!$C$5:$C$17,C88))*(INDEX(Quotes!$B$5:$B$17,C88+1)-INDEX(Quotes!$B$5:$B$17,C88))</f>
        <v/>
      </c>
      <c r="C88">
        <f>MIN(MATCH(A88,Quotes!$C$5:$C$17,1),12)</f>
        <v/>
      </c>
    </row>
    <row r="89">
      <c r="A89" s="11" t="n">
        <v>22</v>
      </c>
      <c r="B89" s="12">
        <f>INDEX(Quotes!$B$5:$B$17,C89)+(A89-INDEX(Quotes!$C$5:$C$17,C89))/(INDEX(Quotes!$C$5:$C$17,C89+1)-INDEX(Quotes!$C$5:$C$17,C89))*(INDEX(Quotes!$B$5:$B$17,C89+1)-INDEX(Quotes!$B$5:$B$17,C89))</f>
        <v/>
      </c>
      <c r="C89">
        <f>MIN(MATCH(A89,Quotes!$C$5:$C$17,1),12)</f>
        <v/>
      </c>
    </row>
    <row r="90">
      <c r="A90" s="11" t="n">
        <v>22.25</v>
      </c>
      <c r="B90" s="12">
        <f>INDEX(Quotes!$B$5:$B$17,C90)+(A90-INDEX(Quotes!$C$5:$C$17,C90))/(INDEX(Quotes!$C$5:$C$17,C90+1)-INDEX(Quotes!$C$5:$C$17,C90))*(INDEX(Quotes!$B$5:$B$17,C90+1)-INDEX(Quotes!$B$5:$B$17,C90))</f>
        <v/>
      </c>
      <c r="C90">
        <f>MIN(MATCH(A90,Quotes!$C$5:$C$17,1),12)</f>
        <v/>
      </c>
    </row>
    <row r="91">
      <c r="A91" s="11" t="n">
        <v>22.5</v>
      </c>
      <c r="B91" s="12">
        <f>INDEX(Quotes!$B$5:$B$17,C91)+(A91-INDEX(Quotes!$C$5:$C$17,C91))/(INDEX(Quotes!$C$5:$C$17,C91+1)-INDEX(Quotes!$C$5:$C$17,C91))*(INDEX(Quotes!$B$5:$B$17,C91+1)-INDEX(Quotes!$B$5:$B$17,C91))</f>
        <v/>
      </c>
      <c r="C91">
        <f>MIN(MATCH(A91,Quotes!$C$5:$C$17,1),12)</f>
        <v/>
      </c>
    </row>
    <row r="92">
      <c r="A92" s="11" t="n">
        <v>22.75</v>
      </c>
      <c r="B92" s="12">
        <f>INDEX(Quotes!$B$5:$B$17,C92)+(A92-INDEX(Quotes!$C$5:$C$17,C92))/(INDEX(Quotes!$C$5:$C$17,C92+1)-INDEX(Quotes!$C$5:$C$17,C92))*(INDEX(Quotes!$B$5:$B$17,C92+1)-INDEX(Quotes!$B$5:$B$17,C92))</f>
        <v/>
      </c>
      <c r="C92">
        <f>MIN(MATCH(A92,Quotes!$C$5:$C$17,1),12)</f>
        <v/>
      </c>
    </row>
    <row r="93">
      <c r="A93" s="11" t="n">
        <v>23</v>
      </c>
      <c r="B93" s="12">
        <f>INDEX(Quotes!$B$5:$B$17,C93)+(A93-INDEX(Quotes!$C$5:$C$17,C93))/(INDEX(Quotes!$C$5:$C$17,C93+1)-INDEX(Quotes!$C$5:$C$17,C93))*(INDEX(Quotes!$B$5:$B$17,C93+1)-INDEX(Quotes!$B$5:$B$17,C93))</f>
        <v/>
      </c>
      <c r="C93">
        <f>MIN(MATCH(A93,Quotes!$C$5:$C$17,1),12)</f>
        <v/>
      </c>
    </row>
    <row r="94">
      <c r="A94" s="11" t="n">
        <v>23.25</v>
      </c>
      <c r="B94" s="12">
        <f>INDEX(Quotes!$B$5:$B$17,C94)+(A94-INDEX(Quotes!$C$5:$C$17,C94))/(INDEX(Quotes!$C$5:$C$17,C94+1)-INDEX(Quotes!$C$5:$C$17,C94))*(INDEX(Quotes!$B$5:$B$17,C94+1)-INDEX(Quotes!$B$5:$B$17,C94))</f>
        <v/>
      </c>
      <c r="C94">
        <f>MIN(MATCH(A94,Quotes!$C$5:$C$17,1),12)</f>
        <v/>
      </c>
    </row>
    <row r="95">
      <c r="A95" s="11" t="n">
        <v>23.5</v>
      </c>
      <c r="B95" s="12">
        <f>INDEX(Quotes!$B$5:$B$17,C95)+(A95-INDEX(Quotes!$C$5:$C$17,C95))/(INDEX(Quotes!$C$5:$C$17,C95+1)-INDEX(Quotes!$C$5:$C$17,C95))*(INDEX(Quotes!$B$5:$B$17,C95+1)-INDEX(Quotes!$B$5:$B$17,C95))</f>
        <v/>
      </c>
      <c r="C95">
        <f>MIN(MATCH(A95,Quotes!$C$5:$C$17,1),12)</f>
        <v/>
      </c>
    </row>
    <row r="96">
      <c r="A96" s="11" t="n">
        <v>23.75</v>
      </c>
      <c r="B96" s="12">
        <f>INDEX(Quotes!$B$5:$B$17,C96)+(A96-INDEX(Quotes!$C$5:$C$17,C96))/(INDEX(Quotes!$C$5:$C$17,C96+1)-INDEX(Quotes!$C$5:$C$17,C96))*(INDEX(Quotes!$B$5:$B$17,C96+1)-INDEX(Quotes!$B$5:$B$17,C96))</f>
        <v/>
      </c>
      <c r="C96">
        <f>MIN(MATCH(A96,Quotes!$C$5:$C$17,1),12)</f>
        <v/>
      </c>
    </row>
    <row r="97">
      <c r="A97" s="11" t="n">
        <v>24</v>
      </c>
      <c r="B97" s="12">
        <f>INDEX(Quotes!$B$5:$B$17,C97)+(A97-INDEX(Quotes!$C$5:$C$17,C97))/(INDEX(Quotes!$C$5:$C$17,C97+1)-INDEX(Quotes!$C$5:$C$17,C97))*(INDEX(Quotes!$B$5:$B$17,C97+1)-INDEX(Quotes!$B$5:$B$17,C97))</f>
        <v/>
      </c>
      <c r="C97">
        <f>MIN(MATCH(A97,Quotes!$C$5:$C$17,1),12)</f>
        <v/>
      </c>
    </row>
    <row r="98">
      <c r="A98" s="11" t="n">
        <v>24.25</v>
      </c>
      <c r="B98" s="12">
        <f>INDEX(Quotes!$B$5:$B$17,C98)+(A98-INDEX(Quotes!$C$5:$C$17,C98))/(INDEX(Quotes!$C$5:$C$17,C98+1)-INDEX(Quotes!$C$5:$C$17,C98))*(INDEX(Quotes!$B$5:$B$17,C98+1)-INDEX(Quotes!$B$5:$B$17,C98))</f>
        <v/>
      </c>
      <c r="C98">
        <f>MIN(MATCH(A98,Quotes!$C$5:$C$17,1),12)</f>
        <v/>
      </c>
    </row>
    <row r="99">
      <c r="A99" s="11" t="n">
        <v>24.5</v>
      </c>
      <c r="B99" s="12">
        <f>INDEX(Quotes!$B$5:$B$17,C99)+(A99-INDEX(Quotes!$C$5:$C$17,C99))/(INDEX(Quotes!$C$5:$C$17,C99+1)-INDEX(Quotes!$C$5:$C$17,C99))*(INDEX(Quotes!$B$5:$B$17,C99+1)-INDEX(Quotes!$B$5:$B$17,C99))</f>
        <v/>
      </c>
      <c r="C99">
        <f>MIN(MATCH(A99,Quotes!$C$5:$C$17,1),12)</f>
        <v/>
      </c>
    </row>
    <row r="100">
      <c r="A100" s="11" t="n">
        <v>24.75</v>
      </c>
      <c r="B100" s="12">
        <f>INDEX(Quotes!$B$5:$B$17,C100)+(A100-INDEX(Quotes!$C$5:$C$17,C100))/(INDEX(Quotes!$C$5:$C$17,C100+1)-INDEX(Quotes!$C$5:$C$17,C100))*(INDEX(Quotes!$B$5:$B$17,C100+1)-INDEX(Quotes!$B$5:$B$17,C100))</f>
        <v/>
      </c>
      <c r="C100">
        <f>MIN(MATCH(A100,Quotes!$C$5:$C$17,1),12)</f>
        <v/>
      </c>
    </row>
    <row r="101">
      <c r="A101" s="11" t="n">
        <v>25</v>
      </c>
      <c r="B101" s="12">
        <f>INDEX(Quotes!$B$5:$B$17,C101)+(A101-INDEX(Quotes!$C$5:$C$17,C101))/(INDEX(Quotes!$C$5:$C$17,C101+1)-INDEX(Quotes!$C$5:$C$17,C101))*(INDEX(Quotes!$B$5:$B$17,C101+1)-INDEX(Quotes!$B$5:$B$17,C101))</f>
        <v/>
      </c>
      <c r="C101">
        <f>MIN(MATCH(A101,Quotes!$C$5:$C$17,1),12)</f>
        <v/>
      </c>
    </row>
    <row r="102">
      <c r="A102" s="11" t="n">
        <v>25.25</v>
      </c>
      <c r="B102" s="12">
        <f>INDEX(Quotes!$B$5:$B$17,C102)+(A102-INDEX(Quotes!$C$5:$C$17,C102))/(INDEX(Quotes!$C$5:$C$17,C102+1)-INDEX(Quotes!$C$5:$C$17,C102))*(INDEX(Quotes!$B$5:$B$17,C102+1)-INDEX(Quotes!$B$5:$B$17,C102))</f>
        <v/>
      </c>
      <c r="C102">
        <f>MIN(MATCH(A102,Quotes!$C$5:$C$17,1),12)</f>
        <v/>
      </c>
    </row>
    <row r="103">
      <c r="A103" s="11" t="n">
        <v>25.5</v>
      </c>
      <c r="B103" s="12">
        <f>INDEX(Quotes!$B$5:$B$17,C103)+(A103-INDEX(Quotes!$C$5:$C$17,C103))/(INDEX(Quotes!$C$5:$C$17,C103+1)-INDEX(Quotes!$C$5:$C$17,C103))*(INDEX(Quotes!$B$5:$B$17,C103+1)-INDEX(Quotes!$B$5:$B$17,C103))</f>
        <v/>
      </c>
      <c r="C103">
        <f>MIN(MATCH(A103,Quotes!$C$5:$C$17,1),12)</f>
        <v/>
      </c>
    </row>
    <row r="104">
      <c r="A104" s="11" t="n">
        <v>25.75</v>
      </c>
      <c r="B104" s="12">
        <f>INDEX(Quotes!$B$5:$B$17,C104)+(A104-INDEX(Quotes!$C$5:$C$17,C104))/(INDEX(Quotes!$C$5:$C$17,C104+1)-INDEX(Quotes!$C$5:$C$17,C104))*(INDEX(Quotes!$B$5:$B$17,C104+1)-INDEX(Quotes!$B$5:$B$17,C104))</f>
        <v/>
      </c>
      <c r="C104">
        <f>MIN(MATCH(A104,Quotes!$C$5:$C$17,1),12)</f>
        <v/>
      </c>
    </row>
    <row r="105">
      <c r="A105" s="11" t="n">
        <v>26</v>
      </c>
      <c r="B105" s="12">
        <f>INDEX(Quotes!$B$5:$B$17,C105)+(A105-INDEX(Quotes!$C$5:$C$17,C105))/(INDEX(Quotes!$C$5:$C$17,C105+1)-INDEX(Quotes!$C$5:$C$17,C105))*(INDEX(Quotes!$B$5:$B$17,C105+1)-INDEX(Quotes!$B$5:$B$17,C105))</f>
        <v/>
      </c>
      <c r="C105">
        <f>MIN(MATCH(A105,Quotes!$C$5:$C$17,1),12)</f>
        <v/>
      </c>
    </row>
    <row r="106">
      <c r="A106" s="11" t="n">
        <v>26.25</v>
      </c>
      <c r="B106" s="12">
        <f>INDEX(Quotes!$B$5:$B$17,C106)+(A106-INDEX(Quotes!$C$5:$C$17,C106))/(INDEX(Quotes!$C$5:$C$17,C106+1)-INDEX(Quotes!$C$5:$C$17,C106))*(INDEX(Quotes!$B$5:$B$17,C106+1)-INDEX(Quotes!$B$5:$B$17,C106))</f>
        <v/>
      </c>
      <c r="C106">
        <f>MIN(MATCH(A106,Quotes!$C$5:$C$17,1),12)</f>
        <v/>
      </c>
    </row>
    <row r="107">
      <c r="A107" s="11" t="n">
        <v>26.5</v>
      </c>
      <c r="B107" s="12">
        <f>INDEX(Quotes!$B$5:$B$17,C107)+(A107-INDEX(Quotes!$C$5:$C$17,C107))/(INDEX(Quotes!$C$5:$C$17,C107+1)-INDEX(Quotes!$C$5:$C$17,C107))*(INDEX(Quotes!$B$5:$B$17,C107+1)-INDEX(Quotes!$B$5:$B$17,C107))</f>
        <v/>
      </c>
      <c r="C107">
        <f>MIN(MATCH(A107,Quotes!$C$5:$C$17,1),12)</f>
        <v/>
      </c>
    </row>
    <row r="108">
      <c r="A108" s="11" t="n">
        <v>26.75</v>
      </c>
      <c r="B108" s="12">
        <f>INDEX(Quotes!$B$5:$B$17,C108)+(A108-INDEX(Quotes!$C$5:$C$17,C108))/(INDEX(Quotes!$C$5:$C$17,C108+1)-INDEX(Quotes!$C$5:$C$17,C108))*(INDEX(Quotes!$B$5:$B$17,C108+1)-INDEX(Quotes!$B$5:$B$17,C108))</f>
        <v/>
      </c>
      <c r="C108">
        <f>MIN(MATCH(A108,Quotes!$C$5:$C$17,1),12)</f>
        <v/>
      </c>
    </row>
    <row r="109">
      <c r="A109" s="11" t="n">
        <v>27</v>
      </c>
      <c r="B109" s="12">
        <f>INDEX(Quotes!$B$5:$B$17,C109)+(A109-INDEX(Quotes!$C$5:$C$17,C109))/(INDEX(Quotes!$C$5:$C$17,C109+1)-INDEX(Quotes!$C$5:$C$17,C109))*(INDEX(Quotes!$B$5:$B$17,C109+1)-INDEX(Quotes!$B$5:$B$17,C109))</f>
        <v/>
      </c>
      <c r="C109">
        <f>MIN(MATCH(A109,Quotes!$C$5:$C$17,1),12)</f>
        <v/>
      </c>
    </row>
    <row r="110">
      <c r="A110" s="11" t="n">
        <v>27.25</v>
      </c>
      <c r="B110" s="12">
        <f>INDEX(Quotes!$B$5:$B$17,C110)+(A110-INDEX(Quotes!$C$5:$C$17,C110))/(INDEX(Quotes!$C$5:$C$17,C110+1)-INDEX(Quotes!$C$5:$C$17,C110))*(INDEX(Quotes!$B$5:$B$17,C110+1)-INDEX(Quotes!$B$5:$B$17,C110))</f>
        <v/>
      </c>
      <c r="C110">
        <f>MIN(MATCH(A110,Quotes!$C$5:$C$17,1),12)</f>
        <v/>
      </c>
    </row>
    <row r="111">
      <c r="A111" s="11" t="n">
        <v>27.5</v>
      </c>
      <c r="B111" s="12">
        <f>INDEX(Quotes!$B$5:$B$17,C111)+(A111-INDEX(Quotes!$C$5:$C$17,C111))/(INDEX(Quotes!$C$5:$C$17,C111+1)-INDEX(Quotes!$C$5:$C$17,C111))*(INDEX(Quotes!$B$5:$B$17,C111+1)-INDEX(Quotes!$B$5:$B$17,C111))</f>
        <v/>
      </c>
      <c r="C111">
        <f>MIN(MATCH(A111,Quotes!$C$5:$C$17,1),12)</f>
        <v/>
      </c>
    </row>
    <row r="112">
      <c r="A112" s="11" t="n">
        <v>27.75</v>
      </c>
      <c r="B112" s="12">
        <f>INDEX(Quotes!$B$5:$B$17,C112)+(A112-INDEX(Quotes!$C$5:$C$17,C112))/(INDEX(Quotes!$C$5:$C$17,C112+1)-INDEX(Quotes!$C$5:$C$17,C112))*(INDEX(Quotes!$B$5:$B$17,C112+1)-INDEX(Quotes!$B$5:$B$17,C112))</f>
        <v/>
      </c>
      <c r="C112">
        <f>MIN(MATCH(A112,Quotes!$C$5:$C$17,1),12)</f>
        <v/>
      </c>
    </row>
    <row r="113">
      <c r="A113" s="11" t="n">
        <v>28</v>
      </c>
      <c r="B113" s="12">
        <f>INDEX(Quotes!$B$5:$B$17,C113)+(A113-INDEX(Quotes!$C$5:$C$17,C113))/(INDEX(Quotes!$C$5:$C$17,C113+1)-INDEX(Quotes!$C$5:$C$17,C113))*(INDEX(Quotes!$B$5:$B$17,C113+1)-INDEX(Quotes!$B$5:$B$17,C113))</f>
        <v/>
      </c>
      <c r="C113">
        <f>MIN(MATCH(A113,Quotes!$C$5:$C$17,1),12)</f>
        <v/>
      </c>
    </row>
    <row r="114">
      <c r="A114" s="11" t="n">
        <v>28.25</v>
      </c>
      <c r="B114" s="12">
        <f>INDEX(Quotes!$B$5:$B$17,C114)+(A114-INDEX(Quotes!$C$5:$C$17,C114))/(INDEX(Quotes!$C$5:$C$17,C114+1)-INDEX(Quotes!$C$5:$C$17,C114))*(INDEX(Quotes!$B$5:$B$17,C114+1)-INDEX(Quotes!$B$5:$B$17,C114))</f>
        <v/>
      </c>
      <c r="C114">
        <f>MIN(MATCH(A114,Quotes!$C$5:$C$17,1),12)</f>
        <v/>
      </c>
    </row>
    <row r="115">
      <c r="A115" s="11" t="n">
        <v>28.5</v>
      </c>
      <c r="B115" s="12">
        <f>INDEX(Quotes!$B$5:$B$17,C115)+(A115-INDEX(Quotes!$C$5:$C$17,C115))/(INDEX(Quotes!$C$5:$C$17,C115+1)-INDEX(Quotes!$C$5:$C$17,C115))*(INDEX(Quotes!$B$5:$B$17,C115+1)-INDEX(Quotes!$B$5:$B$17,C115))</f>
        <v/>
      </c>
      <c r="C115">
        <f>MIN(MATCH(A115,Quotes!$C$5:$C$17,1),12)</f>
        <v/>
      </c>
    </row>
    <row r="116">
      <c r="A116" s="11" t="n">
        <v>28.75</v>
      </c>
      <c r="B116" s="12">
        <f>INDEX(Quotes!$B$5:$B$17,C116)+(A116-INDEX(Quotes!$C$5:$C$17,C116))/(INDEX(Quotes!$C$5:$C$17,C116+1)-INDEX(Quotes!$C$5:$C$17,C116))*(INDEX(Quotes!$B$5:$B$17,C116+1)-INDEX(Quotes!$B$5:$B$17,C116))</f>
        <v/>
      </c>
      <c r="C116">
        <f>MIN(MATCH(A116,Quotes!$C$5:$C$17,1),12)</f>
        <v/>
      </c>
    </row>
    <row r="117">
      <c r="A117" s="11" t="n">
        <v>29</v>
      </c>
      <c r="B117" s="12">
        <f>INDEX(Quotes!$B$5:$B$17,C117)+(A117-INDEX(Quotes!$C$5:$C$17,C117))/(INDEX(Quotes!$C$5:$C$17,C117+1)-INDEX(Quotes!$C$5:$C$17,C117))*(INDEX(Quotes!$B$5:$B$17,C117+1)-INDEX(Quotes!$B$5:$B$17,C117))</f>
        <v/>
      </c>
      <c r="C117">
        <f>MIN(MATCH(A117,Quotes!$C$5:$C$17,1),12)</f>
        <v/>
      </c>
    </row>
    <row r="118">
      <c r="A118" s="11" t="n">
        <v>29.25</v>
      </c>
      <c r="B118" s="12">
        <f>INDEX(Quotes!$B$5:$B$17,C118)+(A118-INDEX(Quotes!$C$5:$C$17,C118))/(INDEX(Quotes!$C$5:$C$17,C118+1)-INDEX(Quotes!$C$5:$C$17,C118))*(INDEX(Quotes!$B$5:$B$17,C118+1)-INDEX(Quotes!$B$5:$B$17,C118))</f>
        <v/>
      </c>
      <c r="C118">
        <f>MIN(MATCH(A118,Quotes!$C$5:$C$17,1),12)</f>
        <v/>
      </c>
    </row>
    <row r="119">
      <c r="A119" s="11" t="n">
        <v>29.5</v>
      </c>
      <c r="B119" s="12">
        <f>INDEX(Quotes!$B$5:$B$17,C119)+(A119-INDEX(Quotes!$C$5:$C$17,C119))/(INDEX(Quotes!$C$5:$C$17,C119+1)-INDEX(Quotes!$C$5:$C$17,C119))*(INDEX(Quotes!$B$5:$B$17,C119+1)-INDEX(Quotes!$B$5:$B$17,C119))</f>
        <v/>
      </c>
      <c r="C119">
        <f>MIN(MATCH(A119,Quotes!$C$5:$C$17,1),12)</f>
        <v/>
      </c>
    </row>
    <row r="120">
      <c r="A120" s="11" t="n">
        <v>29.75</v>
      </c>
      <c r="B120" s="12">
        <f>INDEX(Quotes!$B$5:$B$17,C120)+(A120-INDEX(Quotes!$C$5:$C$17,C120))/(INDEX(Quotes!$C$5:$C$17,C120+1)-INDEX(Quotes!$C$5:$C$17,C120))*(INDEX(Quotes!$B$5:$B$17,C120+1)-INDEX(Quotes!$B$5:$B$17,C120))</f>
        <v/>
      </c>
      <c r="C120">
        <f>MIN(MATCH(A120,Quotes!$C$5:$C$17,1),12)</f>
        <v/>
      </c>
    </row>
    <row r="121">
      <c r="A121" s="11" t="n">
        <v>30</v>
      </c>
      <c r="B121" s="12">
        <f>INDEX(Quotes!$B$5:$B$17,C121)+(A121-INDEX(Quotes!$C$5:$C$17,C121))/(INDEX(Quotes!$C$5:$C$17,C121+1)-INDEX(Quotes!$C$5:$C$17,C121))*(INDEX(Quotes!$B$5:$B$17,C121+1)-INDEX(Quotes!$B$5:$B$17,C121))</f>
        <v/>
      </c>
      <c r="C121">
        <f>MIN(MATCH(A121,Quotes!$C$5:$C$17,1),12)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E122"/>
  <sheetViews>
    <sheetView workbookViewId="0">
      <selection activeCell="A1" sqref="A1"/>
    </sheetView>
  </sheetViews>
  <sheetFormatPr baseColWidth="8" defaultRowHeight="15"/>
  <sheetData>
    <row r="2">
      <c r="A2" s="9" t="inlineStr">
        <is>
          <t>Year</t>
        </is>
      </c>
      <c r="B2" s="9" t="inlineStr">
        <is>
          <t>Swap %</t>
        </is>
      </c>
      <c r="C2" s="9" t="inlineStr">
        <is>
          <t>DF</t>
        </is>
      </c>
      <c r="D2" s="9" t="inlineStr">
        <is>
          <t>Zero %</t>
        </is>
      </c>
      <c r="E2" s="9" t="inlineStr">
        <is>
          <t>Future %</t>
        </is>
      </c>
    </row>
    <row r="3">
      <c r="A3" s="11">
        <f>Interpolation!A2</f>
        <v/>
      </c>
      <c r="B3" s="12">
        <f>Interpolation!B2</f>
        <v/>
      </c>
      <c r="C3" s="13">
        <f>1/(1+B3*Quotes!$B$2)</f>
        <v/>
      </c>
      <c r="D3" s="12">
        <f>(1/C3-1)/A3</f>
        <v/>
      </c>
      <c r="E3" s="12">
        <f>(1/C3-1)/Quotes!$B$2</f>
        <v/>
      </c>
    </row>
    <row r="4">
      <c r="A4" s="11">
        <f>Interpolation!A3</f>
        <v/>
      </c>
      <c r="B4" s="12">
        <f>Interpolation!B3</f>
        <v/>
      </c>
      <c r="C4" s="13">
        <f>(1-B4*Quotes!$B$2*SUM($C$3:C3))/(1+B4*Quotes!$B$2)</f>
        <v/>
      </c>
      <c r="D4" s="12">
        <f>(1/C4-1)/A4</f>
        <v/>
      </c>
      <c r="E4" s="12">
        <f>(C3/C4-1)/Quotes!$B$2</f>
        <v/>
      </c>
    </row>
    <row r="5">
      <c r="A5" s="11">
        <f>Interpolation!A4</f>
        <v/>
      </c>
      <c r="B5" s="12">
        <f>Interpolation!B4</f>
        <v/>
      </c>
      <c r="C5" s="13">
        <f>(1-B5*Quotes!$B$2*SUM($C$3:C4))/(1+B5*Quotes!$B$2)</f>
        <v/>
      </c>
      <c r="D5" s="12">
        <f>(1/C5-1)/A5</f>
        <v/>
      </c>
      <c r="E5" s="12">
        <f>(C4/C5-1)/Quotes!$B$2</f>
        <v/>
      </c>
    </row>
    <row r="6">
      <c r="A6" s="11">
        <f>Interpolation!A5</f>
        <v/>
      </c>
      <c r="B6" s="12">
        <f>Interpolation!B5</f>
        <v/>
      </c>
      <c r="C6" s="13">
        <f>(1-B6*Quotes!$B$2*SUM($C$3:C5))/(1+B6*Quotes!$B$2)</f>
        <v/>
      </c>
      <c r="D6" s="12">
        <f>(1/C6-1)/A6</f>
        <v/>
      </c>
      <c r="E6" s="12">
        <f>(C5/C6-1)/Quotes!$B$2</f>
        <v/>
      </c>
    </row>
    <row r="7">
      <c r="A7" s="11">
        <f>Interpolation!A6</f>
        <v/>
      </c>
      <c r="B7" s="12">
        <f>Interpolation!B6</f>
        <v/>
      </c>
      <c r="C7" s="13">
        <f>(1-B7*Quotes!$B$2*SUM($C$3:C6))/(1+B7*Quotes!$B$2)</f>
        <v/>
      </c>
      <c r="D7" s="12">
        <f>(1/C7-1)/A7</f>
        <v/>
      </c>
      <c r="E7" s="12">
        <f>(C6/C7-1)/Quotes!$B$2</f>
        <v/>
      </c>
    </row>
    <row r="8">
      <c r="A8" s="11">
        <f>Interpolation!A7</f>
        <v/>
      </c>
      <c r="B8" s="12">
        <f>Interpolation!B7</f>
        <v/>
      </c>
      <c r="C8" s="13">
        <f>(1-B8*Quotes!$B$2*SUM($C$3:C7))/(1+B8*Quotes!$B$2)</f>
        <v/>
      </c>
      <c r="D8" s="12">
        <f>(1/C8-1)/A8</f>
        <v/>
      </c>
      <c r="E8" s="12">
        <f>(C7/C8-1)/Quotes!$B$2</f>
        <v/>
      </c>
    </row>
    <row r="9">
      <c r="A9" s="11">
        <f>Interpolation!A8</f>
        <v/>
      </c>
      <c r="B9" s="12">
        <f>Interpolation!B8</f>
        <v/>
      </c>
      <c r="C9" s="13">
        <f>(1-B9*Quotes!$B$2*SUM($C$3:C8))/(1+B9*Quotes!$B$2)</f>
        <v/>
      </c>
      <c r="D9" s="12">
        <f>(1/C9-1)/A9</f>
        <v/>
      </c>
      <c r="E9" s="12">
        <f>(C8/C9-1)/Quotes!$B$2</f>
        <v/>
      </c>
    </row>
    <row r="10">
      <c r="A10" s="11">
        <f>Interpolation!A9</f>
        <v/>
      </c>
      <c r="B10" s="12">
        <f>Interpolation!B9</f>
        <v/>
      </c>
      <c r="C10" s="13">
        <f>(1-B10*Quotes!$B$2*SUM($C$3:C9))/(1+B10*Quotes!$B$2)</f>
        <v/>
      </c>
      <c r="D10" s="12">
        <f>(1/C10-1)/A10</f>
        <v/>
      </c>
      <c r="E10" s="12">
        <f>(C9/C10-1)/Quotes!$B$2</f>
        <v/>
      </c>
    </row>
    <row r="11">
      <c r="A11" s="11">
        <f>Interpolation!A10</f>
        <v/>
      </c>
      <c r="B11" s="12">
        <f>Interpolation!B10</f>
        <v/>
      </c>
      <c r="C11" s="13">
        <f>(1-B11*Quotes!$B$2*SUM($C$3:C10))/(1+B11*Quotes!$B$2)</f>
        <v/>
      </c>
      <c r="D11" s="12">
        <f>(1/C11-1)/A11</f>
        <v/>
      </c>
      <c r="E11" s="12">
        <f>(C10/C11-1)/Quotes!$B$2</f>
        <v/>
      </c>
    </row>
    <row r="12">
      <c r="A12" s="11">
        <f>Interpolation!A11</f>
        <v/>
      </c>
      <c r="B12" s="12">
        <f>Interpolation!B11</f>
        <v/>
      </c>
      <c r="C12" s="13">
        <f>(1-B12*Quotes!$B$2*SUM($C$3:C11))/(1+B12*Quotes!$B$2)</f>
        <v/>
      </c>
      <c r="D12" s="12">
        <f>(1/C12-1)/A12</f>
        <v/>
      </c>
      <c r="E12" s="12">
        <f>(C11/C12-1)/Quotes!$B$2</f>
        <v/>
      </c>
    </row>
    <row r="13">
      <c r="A13" s="11">
        <f>Interpolation!A12</f>
        <v/>
      </c>
      <c r="B13" s="12">
        <f>Interpolation!B12</f>
        <v/>
      </c>
      <c r="C13" s="13">
        <f>(1-B13*Quotes!$B$2*SUM($C$3:C12))/(1+B13*Quotes!$B$2)</f>
        <v/>
      </c>
      <c r="D13" s="12">
        <f>(1/C13-1)/A13</f>
        <v/>
      </c>
      <c r="E13" s="12">
        <f>(C12/C13-1)/Quotes!$B$2</f>
        <v/>
      </c>
    </row>
    <row r="14">
      <c r="A14" s="11">
        <f>Interpolation!A13</f>
        <v/>
      </c>
      <c r="B14" s="12">
        <f>Interpolation!B13</f>
        <v/>
      </c>
      <c r="C14" s="13">
        <f>(1-B14*Quotes!$B$2*SUM($C$3:C13))/(1+B14*Quotes!$B$2)</f>
        <v/>
      </c>
      <c r="D14" s="12">
        <f>(1/C14-1)/A14</f>
        <v/>
      </c>
      <c r="E14" s="12">
        <f>(C13/C14-1)/Quotes!$B$2</f>
        <v/>
      </c>
    </row>
    <row r="15">
      <c r="A15" s="11">
        <f>Interpolation!A14</f>
        <v/>
      </c>
      <c r="B15" s="12">
        <f>Interpolation!B14</f>
        <v/>
      </c>
      <c r="C15" s="13">
        <f>(1-B15*Quotes!$B$2*SUM($C$3:C14))/(1+B15*Quotes!$B$2)</f>
        <v/>
      </c>
      <c r="D15" s="12">
        <f>(1/C15-1)/A15</f>
        <v/>
      </c>
      <c r="E15" s="12">
        <f>(C14/C15-1)/Quotes!$B$2</f>
        <v/>
      </c>
    </row>
    <row r="16">
      <c r="A16" s="11">
        <f>Interpolation!A15</f>
        <v/>
      </c>
      <c r="B16" s="12">
        <f>Interpolation!B15</f>
        <v/>
      </c>
      <c r="C16" s="13">
        <f>(1-B16*Quotes!$B$2*SUM($C$3:C15))/(1+B16*Quotes!$B$2)</f>
        <v/>
      </c>
      <c r="D16" s="12">
        <f>(1/C16-1)/A16</f>
        <v/>
      </c>
      <c r="E16" s="12">
        <f>(C15/C16-1)/Quotes!$B$2</f>
        <v/>
      </c>
    </row>
    <row r="17">
      <c r="A17" s="11">
        <f>Interpolation!A16</f>
        <v/>
      </c>
      <c r="B17" s="12">
        <f>Interpolation!B16</f>
        <v/>
      </c>
      <c r="C17" s="13">
        <f>(1-B17*Quotes!$B$2*SUM($C$3:C16))/(1+B17*Quotes!$B$2)</f>
        <v/>
      </c>
      <c r="D17" s="12">
        <f>(1/C17-1)/A17</f>
        <v/>
      </c>
      <c r="E17" s="12">
        <f>(C16/C17-1)/Quotes!$B$2</f>
        <v/>
      </c>
    </row>
    <row r="18">
      <c r="A18" s="11">
        <f>Interpolation!A17</f>
        <v/>
      </c>
      <c r="B18" s="12">
        <f>Interpolation!B17</f>
        <v/>
      </c>
      <c r="C18" s="13">
        <f>(1-B18*Quotes!$B$2*SUM($C$3:C17))/(1+B18*Quotes!$B$2)</f>
        <v/>
      </c>
      <c r="D18" s="12">
        <f>(1/C18-1)/A18</f>
        <v/>
      </c>
      <c r="E18" s="12">
        <f>(C17/C18-1)/Quotes!$B$2</f>
        <v/>
      </c>
    </row>
    <row r="19">
      <c r="A19" s="11">
        <f>Interpolation!A18</f>
        <v/>
      </c>
      <c r="B19" s="12">
        <f>Interpolation!B18</f>
        <v/>
      </c>
      <c r="C19" s="13">
        <f>(1-B19*Quotes!$B$2*SUM($C$3:C18))/(1+B19*Quotes!$B$2)</f>
        <v/>
      </c>
      <c r="D19" s="12">
        <f>(1/C19-1)/A19</f>
        <v/>
      </c>
      <c r="E19" s="12">
        <f>(C18/C19-1)/Quotes!$B$2</f>
        <v/>
      </c>
    </row>
    <row r="20">
      <c r="A20" s="11">
        <f>Interpolation!A19</f>
        <v/>
      </c>
      <c r="B20" s="12">
        <f>Interpolation!B19</f>
        <v/>
      </c>
      <c r="C20" s="13">
        <f>(1-B20*Quotes!$B$2*SUM($C$3:C19))/(1+B20*Quotes!$B$2)</f>
        <v/>
      </c>
      <c r="D20" s="12">
        <f>(1/C20-1)/A20</f>
        <v/>
      </c>
      <c r="E20" s="12">
        <f>(C19/C20-1)/Quotes!$B$2</f>
        <v/>
      </c>
    </row>
    <row r="21">
      <c r="A21" s="11">
        <f>Interpolation!A20</f>
        <v/>
      </c>
      <c r="B21" s="12">
        <f>Interpolation!B20</f>
        <v/>
      </c>
      <c r="C21" s="13">
        <f>(1-B21*Quotes!$B$2*SUM($C$3:C20))/(1+B21*Quotes!$B$2)</f>
        <v/>
      </c>
      <c r="D21" s="12">
        <f>(1/C21-1)/A21</f>
        <v/>
      </c>
      <c r="E21" s="12">
        <f>(C20/C21-1)/Quotes!$B$2</f>
        <v/>
      </c>
    </row>
    <row r="22">
      <c r="A22" s="11">
        <f>Interpolation!A21</f>
        <v/>
      </c>
      <c r="B22" s="12">
        <f>Interpolation!B21</f>
        <v/>
      </c>
      <c r="C22" s="13">
        <f>(1-B22*Quotes!$B$2*SUM($C$3:C21))/(1+B22*Quotes!$B$2)</f>
        <v/>
      </c>
      <c r="D22" s="12">
        <f>(1/C22-1)/A22</f>
        <v/>
      </c>
      <c r="E22" s="12">
        <f>(C21/C22-1)/Quotes!$B$2</f>
        <v/>
      </c>
    </row>
    <row r="23">
      <c r="A23" s="11">
        <f>Interpolation!A22</f>
        <v/>
      </c>
      <c r="B23" s="12">
        <f>Interpolation!B22</f>
        <v/>
      </c>
      <c r="C23" s="13">
        <f>(1-B23*Quotes!$B$2*SUM($C$3:C22))/(1+B23*Quotes!$B$2)</f>
        <v/>
      </c>
      <c r="D23" s="12">
        <f>(1/C23-1)/A23</f>
        <v/>
      </c>
      <c r="E23" s="12">
        <f>(C22/C23-1)/Quotes!$B$2</f>
        <v/>
      </c>
    </row>
    <row r="24">
      <c r="A24" s="11">
        <f>Interpolation!A23</f>
        <v/>
      </c>
      <c r="B24" s="12">
        <f>Interpolation!B23</f>
        <v/>
      </c>
      <c r="C24" s="13">
        <f>(1-B24*Quotes!$B$2*SUM($C$3:C23))/(1+B24*Quotes!$B$2)</f>
        <v/>
      </c>
      <c r="D24" s="12">
        <f>(1/C24-1)/A24</f>
        <v/>
      </c>
      <c r="E24" s="12">
        <f>(C23/C24-1)/Quotes!$B$2</f>
        <v/>
      </c>
    </row>
    <row r="25">
      <c r="A25" s="11">
        <f>Interpolation!A24</f>
        <v/>
      </c>
      <c r="B25" s="12">
        <f>Interpolation!B24</f>
        <v/>
      </c>
      <c r="C25" s="13">
        <f>(1-B25*Quotes!$B$2*SUM($C$3:C24))/(1+B25*Quotes!$B$2)</f>
        <v/>
      </c>
      <c r="D25" s="12">
        <f>(1/C25-1)/A25</f>
        <v/>
      </c>
      <c r="E25" s="12">
        <f>(C24/C25-1)/Quotes!$B$2</f>
        <v/>
      </c>
    </row>
    <row r="26">
      <c r="A26" s="11">
        <f>Interpolation!A25</f>
        <v/>
      </c>
      <c r="B26" s="12">
        <f>Interpolation!B25</f>
        <v/>
      </c>
      <c r="C26" s="13">
        <f>(1-B26*Quotes!$B$2*SUM($C$3:C25))/(1+B26*Quotes!$B$2)</f>
        <v/>
      </c>
      <c r="D26" s="12">
        <f>(1/C26-1)/A26</f>
        <v/>
      </c>
      <c r="E26" s="12">
        <f>(C25/C26-1)/Quotes!$B$2</f>
        <v/>
      </c>
    </row>
    <row r="27">
      <c r="A27" s="11">
        <f>Interpolation!A26</f>
        <v/>
      </c>
      <c r="B27" s="12">
        <f>Interpolation!B26</f>
        <v/>
      </c>
      <c r="C27" s="13">
        <f>(1-B27*Quotes!$B$2*SUM($C$3:C26))/(1+B27*Quotes!$B$2)</f>
        <v/>
      </c>
      <c r="D27" s="12">
        <f>(1/C27-1)/A27</f>
        <v/>
      </c>
      <c r="E27" s="12">
        <f>(C26/C27-1)/Quotes!$B$2</f>
        <v/>
      </c>
    </row>
    <row r="28">
      <c r="A28" s="11">
        <f>Interpolation!A27</f>
        <v/>
      </c>
      <c r="B28" s="12">
        <f>Interpolation!B27</f>
        <v/>
      </c>
      <c r="C28" s="13">
        <f>(1-B28*Quotes!$B$2*SUM($C$3:C27))/(1+B28*Quotes!$B$2)</f>
        <v/>
      </c>
      <c r="D28" s="12">
        <f>(1/C28-1)/A28</f>
        <v/>
      </c>
      <c r="E28" s="12">
        <f>(C27/C28-1)/Quotes!$B$2</f>
        <v/>
      </c>
    </row>
    <row r="29">
      <c r="A29" s="11">
        <f>Interpolation!A28</f>
        <v/>
      </c>
      <c r="B29" s="12">
        <f>Interpolation!B28</f>
        <v/>
      </c>
      <c r="C29" s="13">
        <f>(1-B29*Quotes!$B$2*SUM($C$3:C28))/(1+B29*Quotes!$B$2)</f>
        <v/>
      </c>
      <c r="D29" s="12">
        <f>(1/C29-1)/A29</f>
        <v/>
      </c>
      <c r="E29" s="12">
        <f>(C28/C29-1)/Quotes!$B$2</f>
        <v/>
      </c>
    </row>
    <row r="30">
      <c r="A30" s="11">
        <f>Interpolation!A29</f>
        <v/>
      </c>
      <c r="B30" s="12">
        <f>Interpolation!B29</f>
        <v/>
      </c>
      <c r="C30" s="13">
        <f>(1-B30*Quotes!$B$2*SUM($C$3:C29))/(1+B30*Quotes!$B$2)</f>
        <v/>
      </c>
      <c r="D30" s="12">
        <f>(1/C30-1)/A30</f>
        <v/>
      </c>
      <c r="E30" s="12">
        <f>(C29/C30-1)/Quotes!$B$2</f>
        <v/>
      </c>
    </row>
    <row r="31">
      <c r="A31" s="11">
        <f>Interpolation!A30</f>
        <v/>
      </c>
      <c r="B31" s="12">
        <f>Interpolation!B30</f>
        <v/>
      </c>
      <c r="C31" s="13">
        <f>(1-B31*Quotes!$B$2*SUM($C$3:C30))/(1+B31*Quotes!$B$2)</f>
        <v/>
      </c>
      <c r="D31" s="12">
        <f>(1/C31-1)/A31</f>
        <v/>
      </c>
      <c r="E31" s="12">
        <f>(C30/C31-1)/Quotes!$B$2</f>
        <v/>
      </c>
    </row>
    <row r="32">
      <c r="A32" s="11">
        <f>Interpolation!A31</f>
        <v/>
      </c>
      <c r="B32" s="12">
        <f>Interpolation!B31</f>
        <v/>
      </c>
      <c r="C32" s="13">
        <f>(1-B32*Quotes!$B$2*SUM($C$3:C31))/(1+B32*Quotes!$B$2)</f>
        <v/>
      </c>
      <c r="D32" s="12">
        <f>(1/C32-1)/A32</f>
        <v/>
      </c>
      <c r="E32" s="12">
        <f>(C31/C32-1)/Quotes!$B$2</f>
        <v/>
      </c>
    </row>
    <row r="33">
      <c r="A33" s="11">
        <f>Interpolation!A32</f>
        <v/>
      </c>
      <c r="B33" s="12">
        <f>Interpolation!B32</f>
        <v/>
      </c>
      <c r="C33" s="13">
        <f>(1-B33*Quotes!$B$2*SUM($C$3:C32))/(1+B33*Quotes!$B$2)</f>
        <v/>
      </c>
      <c r="D33" s="12">
        <f>(1/C33-1)/A33</f>
        <v/>
      </c>
      <c r="E33" s="12">
        <f>(C32/C33-1)/Quotes!$B$2</f>
        <v/>
      </c>
    </row>
    <row r="34">
      <c r="A34" s="11">
        <f>Interpolation!A33</f>
        <v/>
      </c>
      <c r="B34" s="12">
        <f>Interpolation!B33</f>
        <v/>
      </c>
      <c r="C34" s="13">
        <f>(1-B34*Quotes!$B$2*SUM($C$3:C33))/(1+B34*Quotes!$B$2)</f>
        <v/>
      </c>
      <c r="D34" s="12">
        <f>(1/C34-1)/A34</f>
        <v/>
      </c>
      <c r="E34" s="12">
        <f>(C33/C34-1)/Quotes!$B$2</f>
        <v/>
      </c>
    </row>
    <row r="35">
      <c r="A35" s="11">
        <f>Interpolation!A34</f>
        <v/>
      </c>
      <c r="B35" s="12">
        <f>Interpolation!B34</f>
        <v/>
      </c>
      <c r="C35" s="13">
        <f>(1-B35*Quotes!$B$2*SUM($C$3:C34))/(1+B35*Quotes!$B$2)</f>
        <v/>
      </c>
      <c r="D35" s="12">
        <f>(1/C35-1)/A35</f>
        <v/>
      </c>
      <c r="E35" s="12">
        <f>(C34/C35-1)/Quotes!$B$2</f>
        <v/>
      </c>
    </row>
    <row r="36">
      <c r="A36" s="11">
        <f>Interpolation!A35</f>
        <v/>
      </c>
      <c r="B36" s="12">
        <f>Interpolation!B35</f>
        <v/>
      </c>
      <c r="C36" s="13">
        <f>(1-B36*Quotes!$B$2*SUM($C$3:C35))/(1+B36*Quotes!$B$2)</f>
        <v/>
      </c>
      <c r="D36" s="12">
        <f>(1/C36-1)/A36</f>
        <v/>
      </c>
      <c r="E36" s="12">
        <f>(C35/C36-1)/Quotes!$B$2</f>
        <v/>
      </c>
    </row>
    <row r="37">
      <c r="A37" s="11">
        <f>Interpolation!A36</f>
        <v/>
      </c>
      <c r="B37" s="12">
        <f>Interpolation!B36</f>
        <v/>
      </c>
      <c r="C37" s="13">
        <f>(1-B37*Quotes!$B$2*SUM($C$3:C36))/(1+B37*Quotes!$B$2)</f>
        <v/>
      </c>
      <c r="D37" s="12">
        <f>(1/C37-1)/A37</f>
        <v/>
      </c>
      <c r="E37" s="12">
        <f>(C36/C37-1)/Quotes!$B$2</f>
        <v/>
      </c>
    </row>
    <row r="38">
      <c r="A38" s="11">
        <f>Interpolation!A37</f>
        <v/>
      </c>
      <c r="B38" s="12">
        <f>Interpolation!B37</f>
        <v/>
      </c>
      <c r="C38" s="13">
        <f>(1-B38*Quotes!$B$2*SUM($C$3:C37))/(1+B38*Quotes!$B$2)</f>
        <v/>
      </c>
      <c r="D38" s="12">
        <f>(1/C38-1)/A38</f>
        <v/>
      </c>
      <c r="E38" s="12">
        <f>(C37/C38-1)/Quotes!$B$2</f>
        <v/>
      </c>
    </row>
    <row r="39">
      <c r="A39" s="11">
        <f>Interpolation!A38</f>
        <v/>
      </c>
      <c r="B39" s="12">
        <f>Interpolation!B38</f>
        <v/>
      </c>
      <c r="C39" s="13">
        <f>(1-B39*Quotes!$B$2*SUM($C$3:C38))/(1+B39*Quotes!$B$2)</f>
        <v/>
      </c>
      <c r="D39" s="12">
        <f>(1/C39-1)/A39</f>
        <v/>
      </c>
      <c r="E39" s="12">
        <f>(C38/C39-1)/Quotes!$B$2</f>
        <v/>
      </c>
    </row>
    <row r="40">
      <c r="A40" s="11">
        <f>Interpolation!A39</f>
        <v/>
      </c>
      <c r="B40" s="12">
        <f>Interpolation!B39</f>
        <v/>
      </c>
      <c r="C40" s="13">
        <f>(1-B40*Quotes!$B$2*SUM($C$3:C39))/(1+B40*Quotes!$B$2)</f>
        <v/>
      </c>
      <c r="D40" s="12">
        <f>(1/C40-1)/A40</f>
        <v/>
      </c>
      <c r="E40" s="12">
        <f>(C39/C40-1)/Quotes!$B$2</f>
        <v/>
      </c>
    </row>
    <row r="41">
      <c r="A41" s="11">
        <f>Interpolation!A40</f>
        <v/>
      </c>
      <c r="B41" s="12">
        <f>Interpolation!B40</f>
        <v/>
      </c>
      <c r="C41" s="13">
        <f>(1-B41*Quotes!$B$2*SUM($C$3:C40))/(1+B41*Quotes!$B$2)</f>
        <v/>
      </c>
      <c r="D41" s="12">
        <f>(1/C41-1)/A41</f>
        <v/>
      </c>
      <c r="E41" s="12">
        <f>(C40/C41-1)/Quotes!$B$2</f>
        <v/>
      </c>
    </row>
    <row r="42">
      <c r="A42" s="11">
        <f>Interpolation!A41</f>
        <v/>
      </c>
      <c r="B42" s="12">
        <f>Interpolation!B41</f>
        <v/>
      </c>
      <c r="C42" s="13">
        <f>(1-B42*Quotes!$B$2*SUM($C$3:C41))/(1+B42*Quotes!$B$2)</f>
        <v/>
      </c>
      <c r="D42" s="12">
        <f>(1/C42-1)/A42</f>
        <v/>
      </c>
      <c r="E42" s="12">
        <f>(C41/C42-1)/Quotes!$B$2</f>
        <v/>
      </c>
    </row>
    <row r="43">
      <c r="A43" s="11">
        <f>Interpolation!A42</f>
        <v/>
      </c>
      <c r="B43" s="12">
        <f>Interpolation!B42</f>
        <v/>
      </c>
      <c r="C43" s="13">
        <f>(1-B43*Quotes!$B$2*SUM($C$3:C42))/(1+B43*Quotes!$B$2)</f>
        <v/>
      </c>
      <c r="D43" s="12">
        <f>(1/C43-1)/A43</f>
        <v/>
      </c>
      <c r="E43" s="12">
        <f>(C42/C43-1)/Quotes!$B$2</f>
        <v/>
      </c>
    </row>
    <row r="44">
      <c r="A44" s="11">
        <f>Interpolation!A43</f>
        <v/>
      </c>
      <c r="B44" s="12">
        <f>Interpolation!B43</f>
        <v/>
      </c>
      <c r="C44" s="13">
        <f>(1-B44*Quotes!$B$2*SUM($C$3:C43))/(1+B44*Quotes!$B$2)</f>
        <v/>
      </c>
      <c r="D44" s="12">
        <f>(1/C44-1)/A44</f>
        <v/>
      </c>
      <c r="E44" s="12">
        <f>(C43/C44-1)/Quotes!$B$2</f>
        <v/>
      </c>
    </row>
    <row r="45">
      <c r="A45" s="11">
        <f>Interpolation!A44</f>
        <v/>
      </c>
      <c r="B45" s="12">
        <f>Interpolation!B44</f>
        <v/>
      </c>
      <c r="C45" s="13">
        <f>(1-B45*Quotes!$B$2*SUM($C$3:C44))/(1+B45*Quotes!$B$2)</f>
        <v/>
      </c>
      <c r="D45" s="12">
        <f>(1/C45-1)/A45</f>
        <v/>
      </c>
      <c r="E45" s="12">
        <f>(C44/C45-1)/Quotes!$B$2</f>
        <v/>
      </c>
    </row>
    <row r="46">
      <c r="A46" s="11">
        <f>Interpolation!A45</f>
        <v/>
      </c>
      <c r="B46" s="12">
        <f>Interpolation!B45</f>
        <v/>
      </c>
      <c r="C46" s="13">
        <f>(1-B46*Quotes!$B$2*SUM($C$3:C45))/(1+B46*Quotes!$B$2)</f>
        <v/>
      </c>
      <c r="D46" s="12">
        <f>(1/C46-1)/A46</f>
        <v/>
      </c>
      <c r="E46" s="12">
        <f>(C45/C46-1)/Quotes!$B$2</f>
        <v/>
      </c>
    </row>
    <row r="47">
      <c r="A47" s="11">
        <f>Interpolation!A46</f>
        <v/>
      </c>
      <c r="B47" s="12">
        <f>Interpolation!B46</f>
        <v/>
      </c>
      <c r="C47" s="13">
        <f>(1-B47*Quotes!$B$2*SUM($C$3:C46))/(1+B47*Quotes!$B$2)</f>
        <v/>
      </c>
      <c r="D47" s="12">
        <f>(1/C47-1)/A47</f>
        <v/>
      </c>
      <c r="E47" s="12">
        <f>(C46/C47-1)/Quotes!$B$2</f>
        <v/>
      </c>
    </row>
    <row r="48">
      <c r="A48" s="11">
        <f>Interpolation!A47</f>
        <v/>
      </c>
      <c r="B48" s="12">
        <f>Interpolation!B47</f>
        <v/>
      </c>
      <c r="C48" s="13">
        <f>(1-B48*Quotes!$B$2*SUM($C$3:C47))/(1+B48*Quotes!$B$2)</f>
        <v/>
      </c>
      <c r="D48" s="12">
        <f>(1/C48-1)/A48</f>
        <v/>
      </c>
      <c r="E48" s="12">
        <f>(C47/C48-1)/Quotes!$B$2</f>
        <v/>
      </c>
    </row>
    <row r="49">
      <c r="A49" s="11">
        <f>Interpolation!A48</f>
        <v/>
      </c>
      <c r="B49" s="12">
        <f>Interpolation!B48</f>
        <v/>
      </c>
      <c r="C49" s="13">
        <f>(1-B49*Quotes!$B$2*SUM($C$3:C48))/(1+B49*Quotes!$B$2)</f>
        <v/>
      </c>
      <c r="D49" s="12">
        <f>(1/C49-1)/A49</f>
        <v/>
      </c>
      <c r="E49" s="12">
        <f>(C48/C49-1)/Quotes!$B$2</f>
        <v/>
      </c>
    </row>
    <row r="50">
      <c r="A50" s="11">
        <f>Interpolation!A49</f>
        <v/>
      </c>
      <c r="B50" s="12">
        <f>Interpolation!B49</f>
        <v/>
      </c>
      <c r="C50" s="13">
        <f>(1-B50*Quotes!$B$2*SUM($C$3:C49))/(1+B50*Quotes!$B$2)</f>
        <v/>
      </c>
      <c r="D50" s="12">
        <f>(1/C50-1)/A50</f>
        <v/>
      </c>
      <c r="E50" s="12">
        <f>(C49/C50-1)/Quotes!$B$2</f>
        <v/>
      </c>
    </row>
    <row r="51">
      <c r="A51" s="11">
        <f>Interpolation!A50</f>
        <v/>
      </c>
      <c r="B51" s="12">
        <f>Interpolation!B50</f>
        <v/>
      </c>
      <c r="C51" s="13">
        <f>(1-B51*Quotes!$B$2*SUM($C$3:C50))/(1+B51*Quotes!$B$2)</f>
        <v/>
      </c>
      <c r="D51" s="12">
        <f>(1/C51-1)/A51</f>
        <v/>
      </c>
      <c r="E51" s="12">
        <f>(C50/C51-1)/Quotes!$B$2</f>
        <v/>
      </c>
    </row>
    <row r="52">
      <c r="A52" s="11">
        <f>Interpolation!A51</f>
        <v/>
      </c>
      <c r="B52" s="12">
        <f>Interpolation!B51</f>
        <v/>
      </c>
      <c r="C52" s="13">
        <f>(1-B52*Quotes!$B$2*SUM($C$3:C51))/(1+B52*Quotes!$B$2)</f>
        <v/>
      </c>
      <c r="D52" s="12">
        <f>(1/C52-1)/A52</f>
        <v/>
      </c>
      <c r="E52" s="12">
        <f>(C51/C52-1)/Quotes!$B$2</f>
        <v/>
      </c>
    </row>
    <row r="53">
      <c r="A53" s="11">
        <f>Interpolation!A52</f>
        <v/>
      </c>
      <c r="B53" s="12">
        <f>Interpolation!B52</f>
        <v/>
      </c>
      <c r="C53" s="13">
        <f>(1-B53*Quotes!$B$2*SUM($C$3:C52))/(1+B53*Quotes!$B$2)</f>
        <v/>
      </c>
      <c r="D53" s="12">
        <f>(1/C53-1)/A53</f>
        <v/>
      </c>
      <c r="E53" s="12">
        <f>(C52/C53-1)/Quotes!$B$2</f>
        <v/>
      </c>
    </row>
    <row r="54">
      <c r="A54" s="11">
        <f>Interpolation!A53</f>
        <v/>
      </c>
      <c r="B54" s="12">
        <f>Interpolation!B53</f>
        <v/>
      </c>
      <c r="C54" s="13">
        <f>(1-B54*Quotes!$B$2*SUM($C$3:C53))/(1+B54*Quotes!$B$2)</f>
        <v/>
      </c>
      <c r="D54" s="12">
        <f>(1/C54-1)/A54</f>
        <v/>
      </c>
      <c r="E54" s="12">
        <f>(C53/C54-1)/Quotes!$B$2</f>
        <v/>
      </c>
    </row>
    <row r="55">
      <c r="A55" s="11">
        <f>Interpolation!A54</f>
        <v/>
      </c>
      <c r="B55" s="12">
        <f>Interpolation!B54</f>
        <v/>
      </c>
      <c r="C55" s="13">
        <f>(1-B55*Quotes!$B$2*SUM($C$3:C54))/(1+B55*Quotes!$B$2)</f>
        <v/>
      </c>
      <c r="D55" s="12">
        <f>(1/C55-1)/A55</f>
        <v/>
      </c>
      <c r="E55" s="12">
        <f>(C54/C55-1)/Quotes!$B$2</f>
        <v/>
      </c>
    </row>
    <row r="56">
      <c r="A56" s="11">
        <f>Interpolation!A55</f>
        <v/>
      </c>
      <c r="B56" s="12">
        <f>Interpolation!B55</f>
        <v/>
      </c>
      <c r="C56" s="13">
        <f>(1-B56*Quotes!$B$2*SUM($C$3:C55))/(1+B56*Quotes!$B$2)</f>
        <v/>
      </c>
      <c r="D56" s="12">
        <f>(1/C56-1)/A56</f>
        <v/>
      </c>
      <c r="E56" s="12">
        <f>(C55/C56-1)/Quotes!$B$2</f>
        <v/>
      </c>
    </row>
    <row r="57">
      <c r="A57" s="11">
        <f>Interpolation!A56</f>
        <v/>
      </c>
      <c r="B57" s="12">
        <f>Interpolation!B56</f>
        <v/>
      </c>
      <c r="C57" s="13">
        <f>(1-B57*Quotes!$B$2*SUM($C$3:C56))/(1+B57*Quotes!$B$2)</f>
        <v/>
      </c>
      <c r="D57" s="12">
        <f>(1/C57-1)/A57</f>
        <v/>
      </c>
      <c r="E57" s="12">
        <f>(C56/C57-1)/Quotes!$B$2</f>
        <v/>
      </c>
    </row>
    <row r="58">
      <c r="A58" s="11">
        <f>Interpolation!A57</f>
        <v/>
      </c>
      <c r="B58" s="12">
        <f>Interpolation!B57</f>
        <v/>
      </c>
      <c r="C58" s="13">
        <f>(1-B58*Quotes!$B$2*SUM($C$3:C57))/(1+B58*Quotes!$B$2)</f>
        <v/>
      </c>
      <c r="D58" s="12">
        <f>(1/C58-1)/A58</f>
        <v/>
      </c>
      <c r="E58" s="12">
        <f>(C57/C58-1)/Quotes!$B$2</f>
        <v/>
      </c>
    </row>
    <row r="59">
      <c r="A59" s="11">
        <f>Interpolation!A58</f>
        <v/>
      </c>
      <c r="B59" s="12">
        <f>Interpolation!B58</f>
        <v/>
      </c>
      <c r="C59" s="13">
        <f>(1-B59*Quotes!$B$2*SUM($C$3:C58))/(1+B59*Quotes!$B$2)</f>
        <v/>
      </c>
      <c r="D59" s="12">
        <f>(1/C59-1)/A59</f>
        <v/>
      </c>
      <c r="E59" s="12">
        <f>(C58/C59-1)/Quotes!$B$2</f>
        <v/>
      </c>
    </row>
    <row r="60">
      <c r="A60" s="11">
        <f>Interpolation!A59</f>
        <v/>
      </c>
      <c r="B60" s="12">
        <f>Interpolation!B59</f>
        <v/>
      </c>
      <c r="C60" s="13">
        <f>(1-B60*Quotes!$B$2*SUM($C$3:C59))/(1+B60*Quotes!$B$2)</f>
        <v/>
      </c>
      <c r="D60" s="12">
        <f>(1/C60-1)/A60</f>
        <v/>
      </c>
      <c r="E60" s="12">
        <f>(C59/C60-1)/Quotes!$B$2</f>
        <v/>
      </c>
    </row>
    <row r="61">
      <c r="A61" s="11">
        <f>Interpolation!A60</f>
        <v/>
      </c>
      <c r="B61" s="12">
        <f>Interpolation!B60</f>
        <v/>
      </c>
      <c r="C61" s="13">
        <f>(1-B61*Quotes!$B$2*SUM($C$3:C60))/(1+B61*Quotes!$B$2)</f>
        <v/>
      </c>
      <c r="D61" s="12">
        <f>(1/C61-1)/A61</f>
        <v/>
      </c>
      <c r="E61" s="12">
        <f>(C60/C61-1)/Quotes!$B$2</f>
        <v/>
      </c>
    </row>
    <row r="62">
      <c r="A62" s="11">
        <f>Interpolation!A61</f>
        <v/>
      </c>
      <c r="B62" s="12">
        <f>Interpolation!B61</f>
        <v/>
      </c>
      <c r="C62" s="13">
        <f>(1-B62*Quotes!$B$2*SUM($C$3:C61))/(1+B62*Quotes!$B$2)</f>
        <v/>
      </c>
      <c r="D62" s="12">
        <f>(1/C62-1)/A62</f>
        <v/>
      </c>
      <c r="E62" s="12">
        <f>(C61/C62-1)/Quotes!$B$2</f>
        <v/>
      </c>
    </row>
    <row r="63">
      <c r="A63" s="11">
        <f>Interpolation!A62</f>
        <v/>
      </c>
      <c r="B63" s="12">
        <f>Interpolation!B62</f>
        <v/>
      </c>
      <c r="C63" s="13">
        <f>(1-B63*Quotes!$B$2*SUM($C$3:C62))/(1+B63*Quotes!$B$2)</f>
        <v/>
      </c>
      <c r="D63" s="12">
        <f>(1/C63-1)/A63</f>
        <v/>
      </c>
      <c r="E63" s="12">
        <f>(C62/C63-1)/Quotes!$B$2</f>
        <v/>
      </c>
    </row>
    <row r="64">
      <c r="A64" s="11">
        <f>Interpolation!A63</f>
        <v/>
      </c>
      <c r="B64" s="12">
        <f>Interpolation!B63</f>
        <v/>
      </c>
      <c r="C64" s="13">
        <f>(1-B64*Quotes!$B$2*SUM($C$3:C63))/(1+B64*Quotes!$B$2)</f>
        <v/>
      </c>
      <c r="D64" s="12">
        <f>(1/C64-1)/A64</f>
        <v/>
      </c>
      <c r="E64" s="12">
        <f>(C63/C64-1)/Quotes!$B$2</f>
        <v/>
      </c>
    </row>
    <row r="65">
      <c r="A65" s="11">
        <f>Interpolation!A64</f>
        <v/>
      </c>
      <c r="B65" s="12">
        <f>Interpolation!B64</f>
        <v/>
      </c>
      <c r="C65" s="13">
        <f>(1-B65*Quotes!$B$2*SUM($C$3:C64))/(1+B65*Quotes!$B$2)</f>
        <v/>
      </c>
      <c r="D65" s="12">
        <f>(1/C65-1)/A65</f>
        <v/>
      </c>
      <c r="E65" s="12">
        <f>(C64/C65-1)/Quotes!$B$2</f>
        <v/>
      </c>
    </row>
    <row r="66">
      <c r="A66" s="11">
        <f>Interpolation!A65</f>
        <v/>
      </c>
      <c r="B66" s="12">
        <f>Interpolation!B65</f>
        <v/>
      </c>
      <c r="C66" s="13">
        <f>(1-B66*Quotes!$B$2*SUM($C$3:C65))/(1+B66*Quotes!$B$2)</f>
        <v/>
      </c>
      <c r="D66" s="12">
        <f>(1/C66-1)/A66</f>
        <v/>
      </c>
      <c r="E66" s="12">
        <f>(C65/C66-1)/Quotes!$B$2</f>
        <v/>
      </c>
    </row>
    <row r="67">
      <c r="A67" s="11">
        <f>Interpolation!A66</f>
        <v/>
      </c>
      <c r="B67" s="12">
        <f>Interpolation!B66</f>
        <v/>
      </c>
      <c r="C67" s="13">
        <f>(1-B67*Quotes!$B$2*SUM($C$3:C66))/(1+B67*Quotes!$B$2)</f>
        <v/>
      </c>
      <c r="D67" s="12">
        <f>(1/C67-1)/A67</f>
        <v/>
      </c>
      <c r="E67" s="12">
        <f>(C66/C67-1)/Quotes!$B$2</f>
        <v/>
      </c>
    </row>
    <row r="68">
      <c r="A68" s="11">
        <f>Interpolation!A67</f>
        <v/>
      </c>
      <c r="B68" s="12">
        <f>Interpolation!B67</f>
        <v/>
      </c>
      <c r="C68" s="13">
        <f>(1-B68*Quotes!$B$2*SUM($C$3:C67))/(1+B68*Quotes!$B$2)</f>
        <v/>
      </c>
      <c r="D68" s="12">
        <f>(1/C68-1)/A68</f>
        <v/>
      </c>
      <c r="E68" s="12">
        <f>(C67/C68-1)/Quotes!$B$2</f>
        <v/>
      </c>
    </row>
    <row r="69">
      <c r="A69" s="11">
        <f>Interpolation!A68</f>
        <v/>
      </c>
      <c r="B69" s="12">
        <f>Interpolation!B68</f>
        <v/>
      </c>
      <c r="C69" s="13">
        <f>(1-B69*Quotes!$B$2*SUM($C$3:C68))/(1+B69*Quotes!$B$2)</f>
        <v/>
      </c>
      <c r="D69" s="12">
        <f>(1/C69-1)/A69</f>
        <v/>
      </c>
      <c r="E69" s="12">
        <f>(C68/C69-1)/Quotes!$B$2</f>
        <v/>
      </c>
    </row>
    <row r="70">
      <c r="A70" s="11">
        <f>Interpolation!A69</f>
        <v/>
      </c>
      <c r="B70" s="12">
        <f>Interpolation!B69</f>
        <v/>
      </c>
      <c r="C70" s="13">
        <f>(1-B70*Quotes!$B$2*SUM($C$3:C69))/(1+B70*Quotes!$B$2)</f>
        <v/>
      </c>
      <c r="D70" s="12">
        <f>(1/C70-1)/A70</f>
        <v/>
      </c>
      <c r="E70" s="12">
        <f>(C69/C70-1)/Quotes!$B$2</f>
        <v/>
      </c>
    </row>
    <row r="71">
      <c r="A71" s="11">
        <f>Interpolation!A70</f>
        <v/>
      </c>
      <c r="B71" s="12">
        <f>Interpolation!B70</f>
        <v/>
      </c>
      <c r="C71" s="13">
        <f>(1-B71*Quotes!$B$2*SUM($C$3:C70))/(1+B71*Quotes!$B$2)</f>
        <v/>
      </c>
      <c r="D71" s="12">
        <f>(1/C71-1)/A71</f>
        <v/>
      </c>
      <c r="E71" s="12">
        <f>(C70/C71-1)/Quotes!$B$2</f>
        <v/>
      </c>
    </row>
    <row r="72">
      <c r="A72" s="11">
        <f>Interpolation!A71</f>
        <v/>
      </c>
      <c r="B72" s="12">
        <f>Interpolation!B71</f>
        <v/>
      </c>
      <c r="C72" s="13">
        <f>(1-B72*Quotes!$B$2*SUM($C$3:C71))/(1+B72*Quotes!$B$2)</f>
        <v/>
      </c>
      <c r="D72" s="12">
        <f>(1/C72-1)/A72</f>
        <v/>
      </c>
      <c r="E72" s="12">
        <f>(C71/C72-1)/Quotes!$B$2</f>
        <v/>
      </c>
    </row>
    <row r="73">
      <c r="A73" s="11">
        <f>Interpolation!A72</f>
        <v/>
      </c>
      <c r="B73" s="12">
        <f>Interpolation!B72</f>
        <v/>
      </c>
      <c r="C73" s="13">
        <f>(1-B73*Quotes!$B$2*SUM($C$3:C72))/(1+B73*Quotes!$B$2)</f>
        <v/>
      </c>
      <c r="D73" s="12">
        <f>(1/C73-1)/A73</f>
        <v/>
      </c>
      <c r="E73" s="12">
        <f>(C72/C73-1)/Quotes!$B$2</f>
        <v/>
      </c>
    </row>
    <row r="74">
      <c r="A74" s="11">
        <f>Interpolation!A73</f>
        <v/>
      </c>
      <c r="B74" s="12">
        <f>Interpolation!B73</f>
        <v/>
      </c>
      <c r="C74" s="13">
        <f>(1-B74*Quotes!$B$2*SUM($C$3:C73))/(1+B74*Quotes!$B$2)</f>
        <v/>
      </c>
      <c r="D74" s="12">
        <f>(1/C74-1)/A74</f>
        <v/>
      </c>
      <c r="E74" s="12">
        <f>(C73/C74-1)/Quotes!$B$2</f>
        <v/>
      </c>
    </row>
    <row r="75">
      <c r="A75" s="11">
        <f>Interpolation!A74</f>
        <v/>
      </c>
      <c r="B75" s="12">
        <f>Interpolation!B74</f>
        <v/>
      </c>
      <c r="C75" s="13">
        <f>(1-B75*Quotes!$B$2*SUM($C$3:C74))/(1+B75*Quotes!$B$2)</f>
        <v/>
      </c>
      <c r="D75" s="12">
        <f>(1/C75-1)/A75</f>
        <v/>
      </c>
      <c r="E75" s="12">
        <f>(C74/C75-1)/Quotes!$B$2</f>
        <v/>
      </c>
    </row>
    <row r="76">
      <c r="A76" s="11">
        <f>Interpolation!A75</f>
        <v/>
      </c>
      <c r="B76" s="12">
        <f>Interpolation!B75</f>
        <v/>
      </c>
      <c r="C76" s="13">
        <f>(1-B76*Quotes!$B$2*SUM($C$3:C75))/(1+B76*Quotes!$B$2)</f>
        <v/>
      </c>
      <c r="D76" s="12">
        <f>(1/C76-1)/A76</f>
        <v/>
      </c>
      <c r="E76" s="12">
        <f>(C75/C76-1)/Quotes!$B$2</f>
        <v/>
      </c>
    </row>
    <row r="77">
      <c r="A77" s="11">
        <f>Interpolation!A76</f>
        <v/>
      </c>
      <c r="B77" s="12">
        <f>Interpolation!B76</f>
        <v/>
      </c>
      <c r="C77" s="13">
        <f>(1-B77*Quotes!$B$2*SUM($C$3:C76))/(1+B77*Quotes!$B$2)</f>
        <v/>
      </c>
      <c r="D77" s="12">
        <f>(1/C77-1)/A77</f>
        <v/>
      </c>
      <c r="E77" s="12">
        <f>(C76/C77-1)/Quotes!$B$2</f>
        <v/>
      </c>
    </row>
    <row r="78">
      <c r="A78" s="11">
        <f>Interpolation!A77</f>
        <v/>
      </c>
      <c r="B78" s="12">
        <f>Interpolation!B77</f>
        <v/>
      </c>
      <c r="C78" s="13">
        <f>(1-B78*Quotes!$B$2*SUM($C$3:C77))/(1+B78*Quotes!$B$2)</f>
        <v/>
      </c>
      <c r="D78" s="12">
        <f>(1/C78-1)/A78</f>
        <v/>
      </c>
      <c r="E78" s="12">
        <f>(C77/C78-1)/Quotes!$B$2</f>
        <v/>
      </c>
    </row>
    <row r="79">
      <c r="A79" s="11">
        <f>Interpolation!A78</f>
        <v/>
      </c>
      <c r="B79" s="12">
        <f>Interpolation!B78</f>
        <v/>
      </c>
      <c r="C79" s="13">
        <f>(1-B79*Quotes!$B$2*SUM($C$3:C78))/(1+B79*Quotes!$B$2)</f>
        <v/>
      </c>
      <c r="D79" s="12">
        <f>(1/C79-1)/A79</f>
        <v/>
      </c>
      <c r="E79" s="12">
        <f>(C78/C79-1)/Quotes!$B$2</f>
        <v/>
      </c>
    </row>
    <row r="80">
      <c r="A80" s="11">
        <f>Interpolation!A79</f>
        <v/>
      </c>
      <c r="B80" s="12">
        <f>Interpolation!B79</f>
        <v/>
      </c>
      <c r="C80" s="13">
        <f>(1-B80*Quotes!$B$2*SUM($C$3:C79))/(1+B80*Quotes!$B$2)</f>
        <v/>
      </c>
      <c r="D80" s="12">
        <f>(1/C80-1)/A80</f>
        <v/>
      </c>
      <c r="E80" s="12">
        <f>(C79/C80-1)/Quotes!$B$2</f>
        <v/>
      </c>
    </row>
    <row r="81">
      <c r="A81" s="11">
        <f>Interpolation!A80</f>
        <v/>
      </c>
      <c r="B81" s="12">
        <f>Interpolation!B80</f>
        <v/>
      </c>
      <c r="C81" s="13">
        <f>(1-B81*Quotes!$B$2*SUM($C$3:C80))/(1+B81*Quotes!$B$2)</f>
        <v/>
      </c>
      <c r="D81" s="12">
        <f>(1/C81-1)/A81</f>
        <v/>
      </c>
      <c r="E81" s="12">
        <f>(C80/C81-1)/Quotes!$B$2</f>
        <v/>
      </c>
    </row>
    <row r="82">
      <c r="A82" s="11">
        <f>Interpolation!A81</f>
        <v/>
      </c>
      <c r="B82" s="12">
        <f>Interpolation!B81</f>
        <v/>
      </c>
      <c r="C82" s="13">
        <f>(1-B82*Quotes!$B$2*SUM($C$3:C81))/(1+B82*Quotes!$B$2)</f>
        <v/>
      </c>
      <c r="D82" s="12">
        <f>(1/C82-1)/A82</f>
        <v/>
      </c>
      <c r="E82" s="12">
        <f>(C81/C82-1)/Quotes!$B$2</f>
        <v/>
      </c>
    </row>
    <row r="83">
      <c r="A83" s="11">
        <f>Interpolation!A82</f>
        <v/>
      </c>
      <c r="B83" s="12">
        <f>Interpolation!B82</f>
        <v/>
      </c>
      <c r="C83" s="13">
        <f>(1-B83*Quotes!$B$2*SUM($C$3:C82))/(1+B83*Quotes!$B$2)</f>
        <v/>
      </c>
      <c r="D83" s="12">
        <f>(1/C83-1)/A83</f>
        <v/>
      </c>
      <c r="E83" s="12">
        <f>(C82/C83-1)/Quotes!$B$2</f>
        <v/>
      </c>
    </row>
    <row r="84">
      <c r="A84" s="11">
        <f>Interpolation!A83</f>
        <v/>
      </c>
      <c r="B84" s="12">
        <f>Interpolation!B83</f>
        <v/>
      </c>
      <c r="C84" s="13">
        <f>(1-B84*Quotes!$B$2*SUM($C$3:C83))/(1+B84*Quotes!$B$2)</f>
        <v/>
      </c>
      <c r="D84" s="12">
        <f>(1/C84-1)/A84</f>
        <v/>
      </c>
      <c r="E84" s="12">
        <f>(C83/C84-1)/Quotes!$B$2</f>
        <v/>
      </c>
    </row>
    <row r="85">
      <c r="A85" s="11">
        <f>Interpolation!A84</f>
        <v/>
      </c>
      <c r="B85" s="12">
        <f>Interpolation!B84</f>
        <v/>
      </c>
      <c r="C85" s="13">
        <f>(1-B85*Quotes!$B$2*SUM($C$3:C84))/(1+B85*Quotes!$B$2)</f>
        <v/>
      </c>
      <c r="D85" s="12">
        <f>(1/C85-1)/A85</f>
        <v/>
      </c>
      <c r="E85" s="12">
        <f>(C84/C85-1)/Quotes!$B$2</f>
        <v/>
      </c>
    </row>
    <row r="86">
      <c r="A86" s="11">
        <f>Interpolation!A85</f>
        <v/>
      </c>
      <c r="B86" s="12">
        <f>Interpolation!B85</f>
        <v/>
      </c>
      <c r="C86" s="13">
        <f>(1-B86*Quotes!$B$2*SUM($C$3:C85))/(1+B86*Quotes!$B$2)</f>
        <v/>
      </c>
      <c r="D86" s="12">
        <f>(1/C86-1)/A86</f>
        <v/>
      </c>
      <c r="E86" s="12">
        <f>(C85/C86-1)/Quotes!$B$2</f>
        <v/>
      </c>
    </row>
    <row r="87">
      <c r="A87" s="11">
        <f>Interpolation!A86</f>
        <v/>
      </c>
      <c r="B87" s="12">
        <f>Interpolation!B86</f>
        <v/>
      </c>
      <c r="C87" s="13">
        <f>(1-B87*Quotes!$B$2*SUM($C$3:C86))/(1+B87*Quotes!$B$2)</f>
        <v/>
      </c>
      <c r="D87" s="12">
        <f>(1/C87-1)/A87</f>
        <v/>
      </c>
      <c r="E87" s="12">
        <f>(C86/C87-1)/Quotes!$B$2</f>
        <v/>
      </c>
    </row>
    <row r="88">
      <c r="A88" s="11">
        <f>Interpolation!A87</f>
        <v/>
      </c>
      <c r="B88" s="12">
        <f>Interpolation!B87</f>
        <v/>
      </c>
      <c r="C88" s="13">
        <f>(1-B88*Quotes!$B$2*SUM($C$3:C87))/(1+B88*Quotes!$B$2)</f>
        <v/>
      </c>
      <c r="D88" s="12">
        <f>(1/C88-1)/A88</f>
        <v/>
      </c>
      <c r="E88" s="12">
        <f>(C87/C88-1)/Quotes!$B$2</f>
        <v/>
      </c>
    </row>
    <row r="89">
      <c r="A89" s="11">
        <f>Interpolation!A88</f>
        <v/>
      </c>
      <c r="B89" s="12">
        <f>Interpolation!B88</f>
        <v/>
      </c>
      <c r="C89" s="13">
        <f>(1-B89*Quotes!$B$2*SUM($C$3:C88))/(1+B89*Quotes!$B$2)</f>
        <v/>
      </c>
      <c r="D89" s="12">
        <f>(1/C89-1)/A89</f>
        <v/>
      </c>
      <c r="E89" s="12">
        <f>(C88/C89-1)/Quotes!$B$2</f>
        <v/>
      </c>
    </row>
    <row r="90">
      <c r="A90" s="11">
        <f>Interpolation!A89</f>
        <v/>
      </c>
      <c r="B90" s="12">
        <f>Interpolation!B89</f>
        <v/>
      </c>
      <c r="C90" s="13">
        <f>(1-B90*Quotes!$B$2*SUM($C$3:C89))/(1+B90*Quotes!$B$2)</f>
        <v/>
      </c>
      <c r="D90" s="12">
        <f>(1/C90-1)/A90</f>
        <v/>
      </c>
      <c r="E90" s="12">
        <f>(C89/C90-1)/Quotes!$B$2</f>
        <v/>
      </c>
    </row>
    <row r="91">
      <c r="A91" s="11">
        <f>Interpolation!A90</f>
        <v/>
      </c>
      <c r="B91" s="12">
        <f>Interpolation!B90</f>
        <v/>
      </c>
      <c r="C91" s="13">
        <f>(1-B91*Quotes!$B$2*SUM($C$3:C90))/(1+B91*Quotes!$B$2)</f>
        <v/>
      </c>
      <c r="D91" s="12">
        <f>(1/C91-1)/A91</f>
        <v/>
      </c>
      <c r="E91" s="12">
        <f>(C90/C91-1)/Quotes!$B$2</f>
        <v/>
      </c>
    </row>
    <row r="92">
      <c r="A92" s="11">
        <f>Interpolation!A91</f>
        <v/>
      </c>
      <c r="B92" s="12">
        <f>Interpolation!B91</f>
        <v/>
      </c>
      <c r="C92" s="13">
        <f>(1-B92*Quotes!$B$2*SUM($C$3:C91))/(1+B92*Quotes!$B$2)</f>
        <v/>
      </c>
      <c r="D92" s="12">
        <f>(1/C92-1)/A92</f>
        <v/>
      </c>
      <c r="E92" s="12">
        <f>(C91/C92-1)/Quotes!$B$2</f>
        <v/>
      </c>
    </row>
    <row r="93">
      <c r="A93" s="11">
        <f>Interpolation!A92</f>
        <v/>
      </c>
      <c r="B93" s="12">
        <f>Interpolation!B92</f>
        <v/>
      </c>
      <c r="C93" s="13">
        <f>(1-B93*Quotes!$B$2*SUM($C$3:C92))/(1+B93*Quotes!$B$2)</f>
        <v/>
      </c>
      <c r="D93" s="12">
        <f>(1/C93-1)/A93</f>
        <v/>
      </c>
      <c r="E93" s="12">
        <f>(C92/C93-1)/Quotes!$B$2</f>
        <v/>
      </c>
    </row>
    <row r="94">
      <c r="A94" s="11">
        <f>Interpolation!A93</f>
        <v/>
      </c>
      <c r="B94" s="12">
        <f>Interpolation!B93</f>
        <v/>
      </c>
      <c r="C94" s="13">
        <f>(1-B94*Quotes!$B$2*SUM($C$3:C93))/(1+B94*Quotes!$B$2)</f>
        <v/>
      </c>
      <c r="D94" s="12">
        <f>(1/C94-1)/A94</f>
        <v/>
      </c>
      <c r="E94" s="12">
        <f>(C93/C94-1)/Quotes!$B$2</f>
        <v/>
      </c>
    </row>
    <row r="95">
      <c r="A95" s="11">
        <f>Interpolation!A94</f>
        <v/>
      </c>
      <c r="B95" s="12">
        <f>Interpolation!B94</f>
        <v/>
      </c>
      <c r="C95" s="13">
        <f>(1-B95*Quotes!$B$2*SUM($C$3:C94))/(1+B95*Quotes!$B$2)</f>
        <v/>
      </c>
      <c r="D95" s="12">
        <f>(1/C95-1)/A95</f>
        <v/>
      </c>
      <c r="E95" s="12">
        <f>(C94/C95-1)/Quotes!$B$2</f>
        <v/>
      </c>
    </row>
    <row r="96">
      <c r="A96" s="11">
        <f>Interpolation!A95</f>
        <v/>
      </c>
      <c r="B96" s="12">
        <f>Interpolation!B95</f>
        <v/>
      </c>
      <c r="C96" s="13">
        <f>(1-B96*Quotes!$B$2*SUM($C$3:C95))/(1+B96*Quotes!$B$2)</f>
        <v/>
      </c>
      <c r="D96" s="12">
        <f>(1/C96-1)/A96</f>
        <v/>
      </c>
      <c r="E96" s="12">
        <f>(C95/C96-1)/Quotes!$B$2</f>
        <v/>
      </c>
    </row>
    <row r="97">
      <c r="A97" s="11">
        <f>Interpolation!A96</f>
        <v/>
      </c>
      <c r="B97" s="12">
        <f>Interpolation!B96</f>
        <v/>
      </c>
      <c r="C97" s="13">
        <f>(1-B97*Quotes!$B$2*SUM($C$3:C96))/(1+B97*Quotes!$B$2)</f>
        <v/>
      </c>
      <c r="D97" s="12">
        <f>(1/C97-1)/A97</f>
        <v/>
      </c>
      <c r="E97" s="12">
        <f>(C96/C97-1)/Quotes!$B$2</f>
        <v/>
      </c>
    </row>
    <row r="98">
      <c r="A98" s="11">
        <f>Interpolation!A97</f>
        <v/>
      </c>
      <c r="B98" s="12">
        <f>Interpolation!B97</f>
        <v/>
      </c>
      <c r="C98" s="13">
        <f>(1-B98*Quotes!$B$2*SUM($C$3:C97))/(1+B98*Quotes!$B$2)</f>
        <v/>
      </c>
      <c r="D98" s="12">
        <f>(1/C98-1)/A98</f>
        <v/>
      </c>
      <c r="E98" s="12">
        <f>(C97/C98-1)/Quotes!$B$2</f>
        <v/>
      </c>
    </row>
    <row r="99">
      <c r="A99" s="11">
        <f>Interpolation!A98</f>
        <v/>
      </c>
      <c r="B99" s="12">
        <f>Interpolation!B98</f>
        <v/>
      </c>
      <c r="C99" s="13">
        <f>(1-B99*Quotes!$B$2*SUM($C$3:C98))/(1+B99*Quotes!$B$2)</f>
        <v/>
      </c>
      <c r="D99" s="12">
        <f>(1/C99-1)/A99</f>
        <v/>
      </c>
      <c r="E99" s="12">
        <f>(C98/C99-1)/Quotes!$B$2</f>
        <v/>
      </c>
    </row>
    <row r="100">
      <c r="A100" s="11">
        <f>Interpolation!A99</f>
        <v/>
      </c>
      <c r="B100" s="12">
        <f>Interpolation!B99</f>
        <v/>
      </c>
      <c r="C100" s="13">
        <f>(1-B100*Quotes!$B$2*SUM($C$3:C99))/(1+B100*Quotes!$B$2)</f>
        <v/>
      </c>
      <c r="D100" s="12">
        <f>(1/C100-1)/A100</f>
        <v/>
      </c>
      <c r="E100" s="12">
        <f>(C99/C100-1)/Quotes!$B$2</f>
        <v/>
      </c>
    </row>
    <row r="101">
      <c r="A101" s="11">
        <f>Interpolation!A100</f>
        <v/>
      </c>
      <c r="B101" s="12">
        <f>Interpolation!B100</f>
        <v/>
      </c>
      <c r="C101" s="13">
        <f>(1-B101*Quotes!$B$2*SUM($C$3:C100))/(1+B101*Quotes!$B$2)</f>
        <v/>
      </c>
      <c r="D101" s="12">
        <f>(1/C101-1)/A101</f>
        <v/>
      </c>
      <c r="E101" s="12">
        <f>(C100/C101-1)/Quotes!$B$2</f>
        <v/>
      </c>
    </row>
    <row r="102">
      <c r="A102" s="11">
        <f>Interpolation!A101</f>
        <v/>
      </c>
      <c r="B102" s="12">
        <f>Interpolation!B101</f>
        <v/>
      </c>
      <c r="C102" s="13">
        <f>(1-B102*Quotes!$B$2*SUM($C$3:C101))/(1+B102*Quotes!$B$2)</f>
        <v/>
      </c>
      <c r="D102" s="12">
        <f>(1/C102-1)/A102</f>
        <v/>
      </c>
      <c r="E102" s="12">
        <f>(C101/C102-1)/Quotes!$B$2</f>
        <v/>
      </c>
    </row>
    <row r="103">
      <c r="A103" s="11">
        <f>Interpolation!A102</f>
        <v/>
      </c>
      <c r="B103" s="12">
        <f>Interpolation!B102</f>
        <v/>
      </c>
      <c r="C103" s="13">
        <f>(1-B103*Quotes!$B$2*SUM($C$3:C102))/(1+B103*Quotes!$B$2)</f>
        <v/>
      </c>
      <c r="D103" s="12">
        <f>(1/C103-1)/A103</f>
        <v/>
      </c>
      <c r="E103" s="12">
        <f>(C102/C103-1)/Quotes!$B$2</f>
        <v/>
      </c>
    </row>
    <row r="104">
      <c r="A104" s="11">
        <f>Interpolation!A103</f>
        <v/>
      </c>
      <c r="B104" s="12">
        <f>Interpolation!B103</f>
        <v/>
      </c>
      <c r="C104" s="13">
        <f>(1-B104*Quotes!$B$2*SUM($C$3:C103))/(1+B104*Quotes!$B$2)</f>
        <v/>
      </c>
      <c r="D104" s="12">
        <f>(1/C104-1)/A104</f>
        <v/>
      </c>
      <c r="E104" s="12">
        <f>(C103/C104-1)/Quotes!$B$2</f>
        <v/>
      </c>
    </row>
    <row r="105">
      <c r="A105" s="11">
        <f>Interpolation!A104</f>
        <v/>
      </c>
      <c r="B105" s="12">
        <f>Interpolation!B104</f>
        <v/>
      </c>
      <c r="C105" s="13">
        <f>(1-B105*Quotes!$B$2*SUM($C$3:C104))/(1+B105*Quotes!$B$2)</f>
        <v/>
      </c>
      <c r="D105" s="12">
        <f>(1/C105-1)/A105</f>
        <v/>
      </c>
      <c r="E105" s="12">
        <f>(C104/C105-1)/Quotes!$B$2</f>
        <v/>
      </c>
    </row>
    <row r="106">
      <c r="A106" s="11">
        <f>Interpolation!A105</f>
        <v/>
      </c>
      <c r="B106" s="12">
        <f>Interpolation!B105</f>
        <v/>
      </c>
      <c r="C106" s="13">
        <f>(1-B106*Quotes!$B$2*SUM($C$3:C105))/(1+B106*Quotes!$B$2)</f>
        <v/>
      </c>
      <c r="D106" s="12">
        <f>(1/C106-1)/A106</f>
        <v/>
      </c>
      <c r="E106" s="12">
        <f>(C105/C106-1)/Quotes!$B$2</f>
        <v/>
      </c>
    </row>
    <row r="107">
      <c r="A107" s="11">
        <f>Interpolation!A106</f>
        <v/>
      </c>
      <c r="B107" s="12">
        <f>Interpolation!B106</f>
        <v/>
      </c>
      <c r="C107" s="13">
        <f>(1-B107*Quotes!$B$2*SUM($C$3:C106))/(1+B107*Quotes!$B$2)</f>
        <v/>
      </c>
      <c r="D107" s="12">
        <f>(1/C107-1)/A107</f>
        <v/>
      </c>
      <c r="E107" s="12">
        <f>(C106/C107-1)/Quotes!$B$2</f>
        <v/>
      </c>
    </row>
    <row r="108">
      <c r="A108" s="11">
        <f>Interpolation!A107</f>
        <v/>
      </c>
      <c r="B108" s="12">
        <f>Interpolation!B107</f>
        <v/>
      </c>
      <c r="C108" s="13">
        <f>(1-B108*Quotes!$B$2*SUM($C$3:C107))/(1+B108*Quotes!$B$2)</f>
        <v/>
      </c>
      <c r="D108" s="12">
        <f>(1/C108-1)/A108</f>
        <v/>
      </c>
      <c r="E108" s="12">
        <f>(C107/C108-1)/Quotes!$B$2</f>
        <v/>
      </c>
    </row>
    <row r="109">
      <c r="A109" s="11">
        <f>Interpolation!A108</f>
        <v/>
      </c>
      <c r="B109" s="12">
        <f>Interpolation!B108</f>
        <v/>
      </c>
      <c r="C109" s="13">
        <f>(1-B109*Quotes!$B$2*SUM($C$3:C108))/(1+B109*Quotes!$B$2)</f>
        <v/>
      </c>
      <c r="D109" s="12">
        <f>(1/C109-1)/A109</f>
        <v/>
      </c>
      <c r="E109" s="12">
        <f>(C108/C109-1)/Quotes!$B$2</f>
        <v/>
      </c>
    </row>
    <row r="110">
      <c r="A110" s="11">
        <f>Interpolation!A109</f>
        <v/>
      </c>
      <c r="B110" s="12">
        <f>Interpolation!B109</f>
        <v/>
      </c>
      <c r="C110" s="13">
        <f>(1-B110*Quotes!$B$2*SUM($C$3:C109))/(1+B110*Quotes!$B$2)</f>
        <v/>
      </c>
      <c r="D110" s="12">
        <f>(1/C110-1)/A110</f>
        <v/>
      </c>
      <c r="E110" s="12">
        <f>(C109/C110-1)/Quotes!$B$2</f>
        <v/>
      </c>
    </row>
    <row r="111">
      <c r="A111" s="11">
        <f>Interpolation!A110</f>
        <v/>
      </c>
      <c r="B111" s="12">
        <f>Interpolation!B110</f>
        <v/>
      </c>
      <c r="C111" s="13">
        <f>(1-B111*Quotes!$B$2*SUM($C$3:C110))/(1+B111*Quotes!$B$2)</f>
        <v/>
      </c>
      <c r="D111" s="12">
        <f>(1/C111-1)/A111</f>
        <v/>
      </c>
      <c r="E111" s="12">
        <f>(C110/C111-1)/Quotes!$B$2</f>
        <v/>
      </c>
    </row>
    <row r="112">
      <c r="A112" s="11">
        <f>Interpolation!A111</f>
        <v/>
      </c>
      <c r="B112" s="12">
        <f>Interpolation!B111</f>
        <v/>
      </c>
      <c r="C112" s="13">
        <f>(1-B112*Quotes!$B$2*SUM($C$3:C111))/(1+B112*Quotes!$B$2)</f>
        <v/>
      </c>
      <c r="D112" s="12">
        <f>(1/C112-1)/A112</f>
        <v/>
      </c>
      <c r="E112" s="12">
        <f>(C111/C112-1)/Quotes!$B$2</f>
        <v/>
      </c>
    </row>
    <row r="113">
      <c r="A113" s="11">
        <f>Interpolation!A112</f>
        <v/>
      </c>
      <c r="B113" s="12">
        <f>Interpolation!B112</f>
        <v/>
      </c>
      <c r="C113" s="13">
        <f>(1-B113*Quotes!$B$2*SUM($C$3:C112))/(1+B113*Quotes!$B$2)</f>
        <v/>
      </c>
      <c r="D113" s="12">
        <f>(1/C113-1)/A113</f>
        <v/>
      </c>
      <c r="E113" s="12">
        <f>(C112/C113-1)/Quotes!$B$2</f>
        <v/>
      </c>
    </row>
    <row r="114">
      <c r="A114" s="11">
        <f>Interpolation!A113</f>
        <v/>
      </c>
      <c r="B114" s="12">
        <f>Interpolation!B113</f>
        <v/>
      </c>
      <c r="C114" s="13">
        <f>(1-B114*Quotes!$B$2*SUM($C$3:C113))/(1+B114*Quotes!$B$2)</f>
        <v/>
      </c>
      <c r="D114" s="12">
        <f>(1/C114-1)/A114</f>
        <v/>
      </c>
      <c r="E114" s="12">
        <f>(C113/C114-1)/Quotes!$B$2</f>
        <v/>
      </c>
    </row>
    <row r="115">
      <c r="A115" s="11">
        <f>Interpolation!A114</f>
        <v/>
      </c>
      <c r="B115" s="12">
        <f>Interpolation!B114</f>
        <v/>
      </c>
      <c r="C115" s="13">
        <f>(1-B115*Quotes!$B$2*SUM($C$3:C114))/(1+B115*Quotes!$B$2)</f>
        <v/>
      </c>
      <c r="D115" s="12">
        <f>(1/C115-1)/A115</f>
        <v/>
      </c>
      <c r="E115" s="12">
        <f>(C114/C115-1)/Quotes!$B$2</f>
        <v/>
      </c>
    </row>
    <row r="116">
      <c r="A116" s="11">
        <f>Interpolation!A115</f>
        <v/>
      </c>
      <c r="B116" s="12">
        <f>Interpolation!B115</f>
        <v/>
      </c>
      <c r="C116" s="13">
        <f>(1-B116*Quotes!$B$2*SUM($C$3:C115))/(1+B116*Quotes!$B$2)</f>
        <v/>
      </c>
      <c r="D116" s="12">
        <f>(1/C116-1)/A116</f>
        <v/>
      </c>
      <c r="E116" s="12">
        <f>(C115/C116-1)/Quotes!$B$2</f>
        <v/>
      </c>
    </row>
    <row r="117">
      <c r="A117" s="11">
        <f>Interpolation!A116</f>
        <v/>
      </c>
      <c r="B117" s="12">
        <f>Interpolation!B116</f>
        <v/>
      </c>
      <c r="C117" s="13">
        <f>(1-B117*Quotes!$B$2*SUM($C$3:C116))/(1+B117*Quotes!$B$2)</f>
        <v/>
      </c>
      <c r="D117" s="12">
        <f>(1/C117-1)/A117</f>
        <v/>
      </c>
      <c r="E117" s="12">
        <f>(C116/C117-1)/Quotes!$B$2</f>
        <v/>
      </c>
    </row>
    <row r="118">
      <c r="A118" s="11">
        <f>Interpolation!A117</f>
        <v/>
      </c>
      <c r="B118" s="12">
        <f>Interpolation!B117</f>
        <v/>
      </c>
      <c r="C118" s="13">
        <f>(1-B118*Quotes!$B$2*SUM($C$3:C117))/(1+B118*Quotes!$B$2)</f>
        <v/>
      </c>
      <c r="D118" s="12">
        <f>(1/C118-1)/A118</f>
        <v/>
      </c>
      <c r="E118" s="12">
        <f>(C117/C118-1)/Quotes!$B$2</f>
        <v/>
      </c>
    </row>
    <row r="119">
      <c r="A119" s="11">
        <f>Interpolation!A118</f>
        <v/>
      </c>
      <c r="B119" s="12">
        <f>Interpolation!B118</f>
        <v/>
      </c>
      <c r="C119" s="13">
        <f>(1-B119*Quotes!$B$2*SUM($C$3:C118))/(1+B119*Quotes!$B$2)</f>
        <v/>
      </c>
      <c r="D119" s="12">
        <f>(1/C119-1)/A119</f>
        <v/>
      </c>
      <c r="E119" s="12">
        <f>(C118/C119-1)/Quotes!$B$2</f>
        <v/>
      </c>
    </row>
    <row r="120">
      <c r="A120" s="11">
        <f>Interpolation!A119</f>
        <v/>
      </c>
      <c r="B120" s="12">
        <f>Interpolation!B119</f>
        <v/>
      </c>
      <c r="C120" s="13">
        <f>(1-B120*Quotes!$B$2*SUM($C$3:C119))/(1+B120*Quotes!$B$2)</f>
        <v/>
      </c>
      <c r="D120" s="12">
        <f>(1/C120-1)/A120</f>
        <v/>
      </c>
      <c r="E120" s="12">
        <f>(C119/C120-1)/Quotes!$B$2</f>
        <v/>
      </c>
    </row>
    <row r="121">
      <c r="A121" s="11">
        <f>Interpolation!A120</f>
        <v/>
      </c>
      <c r="B121" s="12">
        <f>Interpolation!B120</f>
        <v/>
      </c>
      <c r="C121" s="13">
        <f>(1-B121*Quotes!$B$2*SUM($C$3:C120))/(1+B121*Quotes!$B$2)</f>
        <v/>
      </c>
      <c r="D121" s="12">
        <f>(1/C121-1)/A121</f>
        <v/>
      </c>
      <c r="E121" s="12">
        <f>(C120/C121-1)/Quotes!$B$2</f>
        <v/>
      </c>
    </row>
    <row r="122">
      <c r="A122" s="11">
        <f>Interpolation!A121</f>
        <v/>
      </c>
      <c r="B122" s="12">
        <f>Interpolation!B121</f>
        <v/>
      </c>
      <c r="C122" s="13">
        <f>(1-B122*Quotes!$B$2*SUM($C$3:C121))/(1+B122*Quotes!$B$2)</f>
        <v/>
      </c>
      <c r="D122" s="12">
        <f>(1/C122-1)/A122</f>
        <v/>
      </c>
      <c r="E122" s="12">
        <f>(C121/C122-1)/Quotes!$B$2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Amortising IRS</t>
        </is>
      </c>
    </row>
    <row r="5">
      <c r="A5" t="inlineStr">
        <is>
          <t>Start</t>
        </is>
      </c>
      <c r="B5" s="14">
        <f>DATE(2026,7,27)</f>
        <v/>
      </c>
    </row>
    <row r="11">
      <c r="A11" t="inlineStr">
        <is>
          <t>Solved par</t>
        </is>
      </c>
      <c r="B11" s="15">
        <f>SUMPRODUCT($E$20:$E$59,$F$20:$F$59,$D$20:$D$59)/SUMPRODUCT($E$20:$E$59,$D$20:$D$59)</f>
        <v/>
      </c>
    </row>
    <row r="12">
      <c r="A12" t="inlineStr">
        <is>
          <t>Trade fixed rate</t>
        </is>
      </c>
      <c r="B12" s="10">
        <f>B11</f>
        <v/>
      </c>
    </row>
    <row r="15">
      <c r="A15" t="inlineStr">
        <is>
          <t>Fixed leg PV</t>
        </is>
      </c>
      <c r="B15" s="16">
        <f>SUM($J$20:$J$59)</f>
        <v/>
      </c>
    </row>
    <row r="16">
      <c r="A16" t="inlineStr">
        <is>
          <t>Float leg PV</t>
        </is>
      </c>
      <c r="B16" s="16">
        <f>SUM($K$20:$K$59)</f>
        <v/>
      </c>
    </row>
    <row r="17">
      <c r="A17" t="inlineStr">
        <is>
          <t>NPV</t>
        </is>
      </c>
      <c r="B17" s="17">
        <f>B15-B16</f>
        <v/>
      </c>
    </row>
    <row r="19">
      <c r="A19" s="18" t="inlineStr">
        <is>
          <t>Period</t>
        </is>
      </c>
      <c r="B19" s="18" t="inlineStr">
        <is>
          <t>Start</t>
        </is>
      </c>
      <c r="C19" s="18" t="inlineStr">
        <is>
          <t>End</t>
        </is>
      </c>
      <c r="D19" s="18" t="inlineStr">
        <is>
          <t>DF</t>
        </is>
      </c>
      <c r="E19" s="18" t="inlineStr">
        <is>
          <t>Notional</t>
        </is>
      </c>
      <c r="F19" s="18" t="inlineStr">
        <is>
          <t>Forward %</t>
        </is>
      </c>
      <c r="G19" s="18" t="inlineStr">
        <is>
          <t>Fixed CF</t>
        </is>
      </c>
      <c r="H19" s="18" t="inlineStr">
        <is>
          <t>Float CF</t>
        </is>
      </c>
      <c r="J19" s="18" t="inlineStr">
        <is>
          <t>PV fixed</t>
        </is>
      </c>
      <c r="K19" s="18" t="inlineStr">
        <is>
          <t>PV float</t>
        </is>
      </c>
    </row>
    <row r="20">
      <c r="A20" t="n">
        <v>1</v>
      </c>
      <c r="B20" s="14">
        <f>EDATE($B$5,3*0)</f>
        <v/>
      </c>
      <c r="C20" s="14">
        <f>EDATE($B$5,3*1)</f>
        <v/>
      </c>
      <c r="D20" s="13">
        <f>Bootstrap!C3</f>
        <v/>
      </c>
      <c r="E20" s="19" t="n">
        <v>10000000000</v>
      </c>
      <c r="F20" s="12">
        <f>Bootstrap!E3</f>
        <v/>
      </c>
      <c r="G20" s="16">
        <f>E20*$B$12*Quotes!$B$2</f>
        <v/>
      </c>
      <c r="H20" s="16">
        <f>E20*F20*Quotes!$B$2</f>
        <v/>
      </c>
      <c r="J20" s="16">
        <f>G20*D20</f>
        <v/>
      </c>
      <c r="K20" s="16">
        <f>H20*D20</f>
        <v/>
      </c>
    </row>
    <row r="21">
      <c r="A21" t="n">
        <v>2</v>
      </c>
      <c r="B21" s="14">
        <f>EDATE($B$5,3*1)</f>
        <v/>
      </c>
      <c r="C21" s="14">
        <f>EDATE($B$5,3*2)</f>
        <v/>
      </c>
      <c r="D21" s="13">
        <f>Bootstrap!C4</f>
        <v/>
      </c>
      <c r="E21" s="19" t="n">
        <v>10000000000</v>
      </c>
      <c r="F21" s="12">
        <f>Bootstrap!E4</f>
        <v/>
      </c>
      <c r="G21" s="16">
        <f>E21*$B$12*Quotes!$B$2</f>
        <v/>
      </c>
      <c r="H21" s="16">
        <f>E21*F21*Quotes!$B$2</f>
        <v/>
      </c>
      <c r="J21" s="16">
        <f>G21*D21</f>
        <v/>
      </c>
      <c r="K21" s="16">
        <f>H21*D21</f>
        <v/>
      </c>
    </row>
    <row r="22">
      <c r="A22" t="n">
        <v>3</v>
      </c>
      <c r="B22" s="14">
        <f>EDATE($B$5,3*2)</f>
        <v/>
      </c>
      <c r="C22" s="14">
        <f>EDATE($B$5,3*3)</f>
        <v/>
      </c>
      <c r="D22" s="13">
        <f>Bootstrap!C5</f>
        <v/>
      </c>
      <c r="E22" s="19" t="n">
        <v>10000000000</v>
      </c>
      <c r="F22" s="12">
        <f>Bootstrap!E5</f>
        <v/>
      </c>
      <c r="G22" s="16">
        <f>E22*$B$12*Quotes!$B$2</f>
        <v/>
      </c>
      <c r="H22" s="16">
        <f>E22*F22*Quotes!$B$2</f>
        <v/>
      </c>
      <c r="J22" s="16">
        <f>G22*D22</f>
        <v/>
      </c>
      <c r="K22" s="16">
        <f>H22*D22</f>
        <v/>
      </c>
    </row>
    <row r="23">
      <c r="A23" t="n">
        <v>4</v>
      </c>
      <c r="B23" s="14">
        <f>EDATE($B$5,3*3)</f>
        <v/>
      </c>
      <c r="C23" s="14">
        <f>EDATE($B$5,3*4)</f>
        <v/>
      </c>
      <c r="D23" s="13">
        <f>Bootstrap!C6</f>
        <v/>
      </c>
      <c r="E23" s="19" t="n">
        <v>10000000000</v>
      </c>
      <c r="F23" s="12">
        <f>Bootstrap!E6</f>
        <v/>
      </c>
      <c r="G23" s="16">
        <f>E23*$B$12*Quotes!$B$2</f>
        <v/>
      </c>
      <c r="H23" s="16">
        <f>E23*F23*Quotes!$B$2</f>
        <v/>
      </c>
      <c r="J23" s="16">
        <f>G23*D23</f>
        <v/>
      </c>
      <c r="K23" s="16">
        <f>H23*D23</f>
        <v/>
      </c>
    </row>
    <row r="24">
      <c r="A24" t="n">
        <v>5</v>
      </c>
      <c r="B24" s="14">
        <f>EDATE($B$5,3*4)</f>
        <v/>
      </c>
      <c r="C24" s="14">
        <f>EDATE($B$5,3*5)</f>
        <v/>
      </c>
      <c r="D24" s="13">
        <f>Bootstrap!C7</f>
        <v/>
      </c>
      <c r="E24" s="19" t="n">
        <v>30000000000</v>
      </c>
      <c r="F24" s="12">
        <f>Bootstrap!E7</f>
        <v/>
      </c>
      <c r="G24" s="16">
        <f>E24*$B$12*Quotes!$B$2</f>
        <v/>
      </c>
      <c r="H24" s="16">
        <f>E24*F24*Quotes!$B$2</f>
        <v/>
      </c>
      <c r="J24" s="16">
        <f>G24*D24</f>
        <v/>
      </c>
      <c r="K24" s="16">
        <f>H24*D24</f>
        <v/>
      </c>
    </row>
    <row r="25">
      <c r="A25" t="n">
        <v>6</v>
      </c>
      <c r="B25" s="14">
        <f>EDATE($B$5,3*5)</f>
        <v/>
      </c>
      <c r="C25" s="14">
        <f>EDATE($B$5,3*6)</f>
        <v/>
      </c>
      <c r="D25" s="13">
        <f>Bootstrap!C8</f>
        <v/>
      </c>
      <c r="E25" s="19" t="n">
        <v>30000000000</v>
      </c>
      <c r="F25" s="12">
        <f>Bootstrap!E8</f>
        <v/>
      </c>
      <c r="G25" s="16">
        <f>E25*$B$12*Quotes!$B$2</f>
        <v/>
      </c>
      <c r="H25" s="16">
        <f>E25*F25*Quotes!$B$2</f>
        <v/>
      </c>
      <c r="J25" s="16">
        <f>G25*D25</f>
        <v/>
      </c>
      <c r="K25" s="16">
        <f>H25*D25</f>
        <v/>
      </c>
    </row>
    <row r="26">
      <c r="A26" t="n">
        <v>7</v>
      </c>
      <c r="B26" s="14">
        <f>EDATE($B$5,3*6)</f>
        <v/>
      </c>
      <c r="C26" s="14">
        <f>EDATE($B$5,3*7)</f>
        <v/>
      </c>
      <c r="D26" s="13">
        <f>Bootstrap!C9</f>
        <v/>
      </c>
      <c r="E26" s="19" t="n">
        <v>30000000000</v>
      </c>
      <c r="F26" s="12">
        <f>Bootstrap!E9</f>
        <v/>
      </c>
      <c r="G26" s="16">
        <f>E26*$B$12*Quotes!$B$2</f>
        <v/>
      </c>
      <c r="H26" s="16">
        <f>E26*F26*Quotes!$B$2</f>
        <v/>
      </c>
      <c r="J26" s="16">
        <f>G26*D26</f>
        <v/>
      </c>
      <c r="K26" s="16">
        <f>H26*D26</f>
        <v/>
      </c>
    </row>
    <row r="27">
      <c r="A27" t="n">
        <v>8</v>
      </c>
      <c r="B27" s="14">
        <f>EDATE($B$5,3*7)</f>
        <v/>
      </c>
      <c r="C27" s="14">
        <f>EDATE($B$5,3*8)</f>
        <v/>
      </c>
      <c r="D27" s="13">
        <f>Bootstrap!C10</f>
        <v/>
      </c>
      <c r="E27" s="19" t="n">
        <v>30000000000</v>
      </c>
      <c r="F27" s="12">
        <f>Bootstrap!E10</f>
        <v/>
      </c>
      <c r="G27" s="16">
        <f>E27*$B$12*Quotes!$B$2</f>
        <v/>
      </c>
      <c r="H27" s="16">
        <f>E27*F27*Quotes!$B$2</f>
        <v/>
      </c>
      <c r="J27" s="16">
        <f>G27*D27</f>
        <v/>
      </c>
      <c r="K27" s="16">
        <f>H27*D27</f>
        <v/>
      </c>
    </row>
    <row r="28">
      <c r="A28" t="n">
        <v>9</v>
      </c>
      <c r="B28" s="14">
        <f>EDATE($B$5,3*8)</f>
        <v/>
      </c>
      <c r="C28" s="14">
        <f>EDATE($B$5,3*9)</f>
        <v/>
      </c>
      <c r="D28" s="13">
        <f>Bootstrap!C11</f>
        <v/>
      </c>
      <c r="E28" s="19" t="n">
        <v>60000000000</v>
      </c>
      <c r="F28" s="12">
        <f>Bootstrap!E11</f>
        <v/>
      </c>
      <c r="G28" s="16">
        <f>E28*$B$12*Quotes!$B$2</f>
        <v/>
      </c>
      <c r="H28" s="16">
        <f>E28*F28*Quotes!$B$2</f>
        <v/>
      </c>
      <c r="J28" s="16">
        <f>G28*D28</f>
        <v/>
      </c>
      <c r="K28" s="16">
        <f>H28*D28</f>
        <v/>
      </c>
    </row>
    <row r="29">
      <c r="A29" t="n">
        <v>10</v>
      </c>
      <c r="B29" s="14">
        <f>EDATE($B$5,3*9)</f>
        <v/>
      </c>
      <c r="C29" s="14">
        <f>EDATE($B$5,3*10)</f>
        <v/>
      </c>
      <c r="D29" s="13">
        <f>Bootstrap!C12</f>
        <v/>
      </c>
      <c r="E29" s="19" t="n">
        <v>60000000000</v>
      </c>
      <c r="F29" s="12">
        <f>Bootstrap!E12</f>
        <v/>
      </c>
      <c r="G29" s="16">
        <f>E29*$B$12*Quotes!$B$2</f>
        <v/>
      </c>
      <c r="H29" s="16">
        <f>E29*F29*Quotes!$B$2</f>
        <v/>
      </c>
      <c r="J29" s="16">
        <f>G29*D29</f>
        <v/>
      </c>
      <c r="K29" s="16">
        <f>H29*D29</f>
        <v/>
      </c>
    </row>
    <row r="30">
      <c r="A30" t="n">
        <v>11</v>
      </c>
      <c r="B30" s="14">
        <f>EDATE($B$5,3*10)</f>
        <v/>
      </c>
      <c r="C30" s="14">
        <f>EDATE($B$5,3*11)</f>
        <v/>
      </c>
      <c r="D30" s="13">
        <f>Bootstrap!C13</f>
        <v/>
      </c>
      <c r="E30" s="19" t="n">
        <v>60000000000</v>
      </c>
      <c r="F30" s="12">
        <f>Bootstrap!E13</f>
        <v/>
      </c>
      <c r="G30" s="16">
        <f>E30*$B$12*Quotes!$B$2</f>
        <v/>
      </c>
      <c r="H30" s="16">
        <f>E30*F30*Quotes!$B$2</f>
        <v/>
      </c>
      <c r="J30" s="16">
        <f>G30*D30</f>
        <v/>
      </c>
      <c r="K30" s="16">
        <f>H30*D30</f>
        <v/>
      </c>
    </row>
    <row r="31">
      <c r="A31" t="n">
        <v>12</v>
      </c>
      <c r="B31" s="14">
        <f>EDATE($B$5,3*11)</f>
        <v/>
      </c>
      <c r="C31" s="14">
        <f>EDATE($B$5,3*12)</f>
        <v/>
      </c>
      <c r="D31" s="13">
        <f>Bootstrap!C14</f>
        <v/>
      </c>
      <c r="E31" s="19" t="n">
        <v>60000000000</v>
      </c>
      <c r="F31" s="12">
        <f>Bootstrap!E14</f>
        <v/>
      </c>
      <c r="G31" s="16">
        <f>E31*$B$12*Quotes!$B$2</f>
        <v/>
      </c>
      <c r="H31" s="16">
        <f>E31*F31*Quotes!$B$2</f>
        <v/>
      </c>
      <c r="J31" s="16">
        <f>G31*D31</f>
        <v/>
      </c>
      <c r="K31" s="16">
        <f>H31*D31</f>
        <v/>
      </c>
    </row>
    <row r="32">
      <c r="A32" t="n">
        <v>13</v>
      </c>
      <c r="B32" s="14">
        <f>EDATE($B$5,3*12)</f>
        <v/>
      </c>
      <c r="C32" s="14">
        <f>EDATE($B$5,3*13)</f>
        <v/>
      </c>
      <c r="D32" s="13">
        <f>Bootstrap!C15</f>
        <v/>
      </c>
      <c r="E32" s="19" t="n">
        <v>100000000000</v>
      </c>
      <c r="F32" s="12">
        <f>Bootstrap!E15</f>
        <v/>
      </c>
      <c r="G32" s="16">
        <f>E32*$B$12*Quotes!$B$2</f>
        <v/>
      </c>
      <c r="H32" s="16">
        <f>E32*F32*Quotes!$B$2</f>
        <v/>
      </c>
      <c r="J32" s="16">
        <f>G32*D32</f>
        <v/>
      </c>
      <c r="K32" s="16">
        <f>H32*D32</f>
        <v/>
      </c>
    </row>
    <row r="33">
      <c r="A33" t="n">
        <v>14</v>
      </c>
      <c r="B33" s="14">
        <f>EDATE($B$5,3*13)</f>
        <v/>
      </c>
      <c r="C33" s="14">
        <f>EDATE($B$5,3*14)</f>
        <v/>
      </c>
      <c r="D33" s="13">
        <f>Bootstrap!C16</f>
        <v/>
      </c>
      <c r="E33" s="19" t="n">
        <v>100000000000</v>
      </c>
      <c r="F33" s="12">
        <f>Bootstrap!E16</f>
        <v/>
      </c>
      <c r="G33" s="16">
        <f>E33*$B$12*Quotes!$B$2</f>
        <v/>
      </c>
      <c r="H33" s="16">
        <f>E33*F33*Quotes!$B$2</f>
        <v/>
      </c>
      <c r="J33" s="16">
        <f>G33*D33</f>
        <v/>
      </c>
      <c r="K33" s="16">
        <f>H33*D33</f>
        <v/>
      </c>
    </row>
    <row r="34">
      <c r="A34" t="n">
        <v>15</v>
      </c>
      <c r="B34" s="14">
        <f>EDATE($B$5,3*14)</f>
        <v/>
      </c>
      <c r="C34" s="14">
        <f>EDATE($B$5,3*15)</f>
        <v/>
      </c>
      <c r="D34" s="13">
        <f>Bootstrap!C17</f>
        <v/>
      </c>
      <c r="E34" s="19" t="n">
        <v>100000000000</v>
      </c>
      <c r="F34" s="12">
        <f>Bootstrap!E17</f>
        <v/>
      </c>
      <c r="G34" s="16">
        <f>E34*$B$12*Quotes!$B$2</f>
        <v/>
      </c>
      <c r="H34" s="16">
        <f>E34*F34*Quotes!$B$2</f>
        <v/>
      </c>
      <c r="J34" s="16">
        <f>G34*D34</f>
        <v/>
      </c>
      <c r="K34" s="16">
        <f>H34*D34</f>
        <v/>
      </c>
    </row>
    <row r="35">
      <c r="A35" t="n">
        <v>16</v>
      </c>
      <c r="B35" s="14">
        <f>EDATE($B$5,3*15)</f>
        <v/>
      </c>
      <c r="C35" s="14">
        <f>EDATE($B$5,3*16)</f>
        <v/>
      </c>
      <c r="D35" s="13">
        <f>Bootstrap!C18</f>
        <v/>
      </c>
      <c r="E35" s="19" t="n">
        <v>100000000000</v>
      </c>
      <c r="F35" s="12">
        <f>Bootstrap!E18</f>
        <v/>
      </c>
      <c r="G35" s="16">
        <f>E35*$B$12*Quotes!$B$2</f>
        <v/>
      </c>
      <c r="H35" s="16">
        <f>E35*F35*Quotes!$B$2</f>
        <v/>
      </c>
      <c r="J35" s="16">
        <f>G35*D35</f>
        <v/>
      </c>
      <c r="K35" s="16">
        <f>H35*D35</f>
        <v/>
      </c>
    </row>
    <row r="36">
      <c r="A36" t="n">
        <v>17</v>
      </c>
      <c r="B36" s="14">
        <f>EDATE($B$5,3*16)</f>
        <v/>
      </c>
      <c r="C36" s="14">
        <f>EDATE($B$5,3*17)</f>
        <v/>
      </c>
      <c r="D36" s="13">
        <f>Bootstrap!C19</f>
        <v/>
      </c>
      <c r="E36" s="19" t="n">
        <v>80000000000</v>
      </c>
      <c r="F36" s="12">
        <f>Bootstrap!E19</f>
        <v/>
      </c>
      <c r="G36" s="16">
        <f>E36*$B$12*Quotes!$B$2</f>
        <v/>
      </c>
      <c r="H36" s="16">
        <f>E36*F36*Quotes!$B$2</f>
        <v/>
      </c>
      <c r="J36" s="16">
        <f>G36*D36</f>
        <v/>
      </c>
      <c r="K36" s="16">
        <f>H36*D36</f>
        <v/>
      </c>
    </row>
    <row r="37">
      <c r="A37" t="n">
        <v>18</v>
      </c>
      <c r="B37" s="14">
        <f>EDATE($B$5,3*17)</f>
        <v/>
      </c>
      <c r="C37" s="14">
        <f>EDATE($B$5,3*18)</f>
        <v/>
      </c>
      <c r="D37" s="13">
        <f>Bootstrap!C20</f>
        <v/>
      </c>
      <c r="E37" s="19" t="n">
        <v>80000000000</v>
      </c>
      <c r="F37" s="12">
        <f>Bootstrap!E20</f>
        <v/>
      </c>
      <c r="G37" s="16">
        <f>E37*$B$12*Quotes!$B$2</f>
        <v/>
      </c>
      <c r="H37" s="16">
        <f>E37*F37*Quotes!$B$2</f>
        <v/>
      </c>
      <c r="J37" s="16">
        <f>G37*D37</f>
        <v/>
      </c>
      <c r="K37" s="16">
        <f>H37*D37</f>
        <v/>
      </c>
    </row>
    <row r="38">
      <c r="A38" t="n">
        <v>19</v>
      </c>
      <c r="B38" s="14">
        <f>EDATE($B$5,3*18)</f>
        <v/>
      </c>
      <c r="C38" s="14">
        <f>EDATE($B$5,3*19)</f>
        <v/>
      </c>
      <c r="D38" s="13">
        <f>Bootstrap!C21</f>
        <v/>
      </c>
      <c r="E38" s="19" t="n">
        <v>80000000000</v>
      </c>
      <c r="F38" s="12">
        <f>Bootstrap!E21</f>
        <v/>
      </c>
      <c r="G38" s="16">
        <f>E38*$B$12*Quotes!$B$2</f>
        <v/>
      </c>
      <c r="H38" s="16">
        <f>E38*F38*Quotes!$B$2</f>
        <v/>
      </c>
      <c r="J38" s="16">
        <f>G38*D38</f>
        <v/>
      </c>
      <c r="K38" s="16">
        <f>H38*D38</f>
        <v/>
      </c>
    </row>
    <row r="39">
      <c r="A39" t="n">
        <v>20</v>
      </c>
      <c r="B39" s="14">
        <f>EDATE($B$5,3*19)</f>
        <v/>
      </c>
      <c r="C39" s="14">
        <f>EDATE($B$5,3*20)</f>
        <v/>
      </c>
      <c r="D39" s="13">
        <f>Bootstrap!C22</f>
        <v/>
      </c>
      <c r="E39" s="19" t="n">
        <v>80000000000</v>
      </c>
      <c r="F39" s="12">
        <f>Bootstrap!E22</f>
        <v/>
      </c>
      <c r="G39" s="16">
        <f>E39*$B$12*Quotes!$B$2</f>
        <v/>
      </c>
      <c r="H39" s="16">
        <f>E39*F39*Quotes!$B$2</f>
        <v/>
      </c>
      <c r="J39" s="16">
        <f>G39*D39</f>
        <v/>
      </c>
      <c r="K39" s="16">
        <f>H39*D39</f>
        <v/>
      </c>
    </row>
    <row r="40">
      <c r="A40" t="n">
        <v>21</v>
      </c>
      <c r="B40" s="14">
        <f>EDATE($B$5,3*20)</f>
        <v/>
      </c>
      <c r="C40" s="14">
        <f>EDATE($B$5,3*21)</f>
        <v/>
      </c>
      <c r="D40" s="13">
        <f>Bootstrap!C23</f>
        <v/>
      </c>
      <c r="E40" s="19" t="n">
        <v>60000000000</v>
      </c>
      <c r="F40" s="12">
        <f>Bootstrap!E23</f>
        <v/>
      </c>
      <c r="G40" s="16">
        <f>E40*$B$12*Quotes!$B$2</f>
        <v/>
      </c>
      <c r="H40" s="16">
        <f>E40*F40*Quotes!$B$2</f>
        <v/>
      </c>
      <c r="J40" s="16">
        <f>G40*D40</f>
        <v/>
      </c>
      <c r="K40" s="16">
        <f>H40*D40</f>
        <v/>
      </c>
    </row>
    <row r="41">
      <c r="A41" t="n">
        <v>22</v>
      </c>
      <c r="B41" s="14">
        <f>EDATE($B$5,3*21)</f>
        <v/>
      </c>
      <c r="C41" s="14">
        <f>EDATE($B$5,3*22)</f>
        <v/>
      </c>
      <c r="D41" s="13">
        <f>Bootstrap!C24</f>
        <v/>
      </c>
      <c r="E41" s="19" t="n">
        <v>60000000000</v>
      </c>
      <c r="F41" s="12">
        <f>Bootstrap!E24</f>
        <v/>
      </c>
      <c r="G41" s="16">
        <f>E41*$B$12*Quotes!$B$2</f>
        <v/>
      </c>
      <c r="H41" s="16">
        <f>E41*F41*Quotes!$B$2</f>
        <v/>
      </c>
      <c r="J41" s="16">
        <f>G41*D41</f>
        <v/>
      </c>
      <c r="K41" s="16">
        <f>H41*D41</f>
        <v/>
      </c>
    </row>
    <row r="42">
      <c r="A42" t="n">
        <v>23</v>
      </c>
      <c r="B42" s="14">
        <f>EDATE($B$5,3*22)</f>
        <v/>
      </c>
      <c r="C42" s="14">
        <f>EDATE($B$5,3*23)</f>
        <v/>
      </c>
      <c r="D42" s="13">
        <f>Bootstrap!C25</f>
        <v/>
      </c>
      <c r="E42" s="19" t="n">
        <v>60000000000</v>
      </c>
      <c r="F42" s="12">
        <f>Bootstrap!E25</f>
        <v/>
      </c>
      <c r="G42" s="16">
        <f>E42*$B$12*Quotes!$B$2</f>
        <v/>
      </c>
      <c r="H42" s="16">
        <f>E42*F42*Quotes!$B$2</f>
        <v/>
      </c>
      <c r="J42" s="16">
        <f>G42*D42</f>
        <v/>
      </c>
      <c r="K42" s="16">
        <f>H42*D42</f>
        <v/>
      </c>
    </row>
    <row r="43">
      <c r="A43" t="n">
        <v>24</v>
      </c>
      <c r="B43" s="14">
        <f>EDATE($B$5,3*23)</f>
        <v/>
      </c>
      <c r="C43" s="14">
        <f>EDATE($B$5,3*24)</f>
        <v/>
      </c>
      <c r="D43" s="13">
        <f>Bootstrap!C26</f>
        <v/>
      </c>
      <c r="E43" s="19" t="n">
        <v>60000000000</v>
      </c>
      <c r="F43" s="12">
        <f>Bootstrap!E26</f>
        <v/>
      </c>
      <c r="G43" s="16">
        <f>E43*$B$12*Quotes!$B$2</f>
        <v/>
      </c>
      <c r="H43" s="16">
        <f>E43*F43*Quotes!$B$2</f>
        <v/>
      </c>
      <c r="J43" s="16">
        <f>G43*D43</f>
        <v/>
      </c>
      <c r="K43" s="16">
        <f>H43*D43</f>
        <v/>
      </c>
    </row>
    <row r="44">
      <c r="A44" t="n">
        <v>25</v>
      </c>
      <c r="B44" s="14">
        <f>EDATE($B$5,3*24)</f>
        <v/>
      </c>
      <c r="C44" s="14">
        <f>EDATE($B$5,3*25)</f>
        <v/>
      </c>
      <c r="D44" s="13">
        <f>Bootstrap!C27</f>
        <v/>
      </c>
      <c r="E44" s="19" t="n">
        <v>50000000000</v>
      </c>
      <c r="F44" s="12">
        <f>Bootstrap!E27</f>
        <v/>
      </c>
      <c r="G44" s="16">
        <f>E44*$B$12*Quotes!$B$2</f>
        <v/>
      </c>
      <c r="H44" s="16">
        <f>E44*F44*Quotes!$B$2</f>
        <v/>
      </c>
      <c r="J44" s="16">
        <f>G44*D44</f>
        <v/>
      </c>
      <c r="K44" s="16">
        <f>H44*D44</f>
        <v/>
      </c>
    </row>
    <row r="45">
      <c r="A45" t="n">
        <v>26</v>
      </c>
      <c r="B45" s="14">
        <f>EDATE($B$5,3*25)</f>
        <v/>
      </c>
      <c r="C45" s="14">
        <f>EDATE($B$5,3*26)</f>
        <v/>
      </c>
      <c r="D45" s="13">
        <f>Bootstrap!C28</f>
        <v/>
      </c>
      <c r="E45" s="19" t="n">
        <v>50000000000</v>
      </c>
      <c r="F45" s="12">
        <f>Bootstrap!E28</f>
        <v/>
      </c>
      <c r="G45" s="16">
        <f>E45*$B$12*Quotes!$B$2</f>
        <v/>
      </c>
      <c r="H45" s="16">
        <f>E45*F45*Quotes!$B$2</f>
        <v/>
      </c>
      <c r="J45" s="16">
        <f>G45*D45</f>
        <v/>
      </c>
      <c r="K45" s="16">
        <f>H45*D45</f>
        <v/>
      </c>
    </row>
    <row r="46">
      <c r="A46" t="n">
        <v>27</v>
      </c>
      <c r="B46" s="14">
        <f>EDATE($B$5,3*26)</f>
        <v/>
      </c>
      <c r="C46" s="14">
        <f>EDATE($B$5,3*27)</f>
        <v/>
      </c>
      <c r="D46" s="13">
        <f>Bootstrap!C29</f>
        <v/>
      </c>
      <c r="E46" s="19" t="n">
        <v>50000000000</v>
      </c>
      <c r="F46" s="12">
        <f>Bootstrap!E29</f>
        <v/>
      </c>
      <c r="G46" s="16">
        <f>E46*$B$12*Quotes!$B$2</f>
        <v/>
      </c>
      <c r="H46" s="16">
        <f>E46*F46*Quotes!$B$2</f>
        <v/>
      </c>
      <c r="J46" s="16">
        <f>G46*D46</f>
        <v/>
      </c>
      <c r="K46" s="16">
        <f>H46*D46</f>
        <v/>
      </c>
    </row>
    <row r="47">
      <c r="A47" t="n">
        <v>28</v>
      </c>
      <c r="B47" s="14">
        <f>EDATE($B$5,3*27)</f>
        <v/>
      </c>
      <c r="C47" s="14">
        <f>EDATE($B$5,3*28)</f>
        <v/>
      </c>
      <c r="D47" s="13">
        <f>Bootstrap!C30</f>
        <v/>
      </c>
      <c r="E47" s="19" t="n">
        <v>50000000000</v>
      </c>
      <c r="F47" s="12">
        <f>Bootstrap!E30</f>
        <v/>
      </c>
      <c r="G47" s="16">
        <f>E47*$B$12*Quotes!$B$2</f>
        <v/>
      </c>
      <c r="H47" s="16">
        <f>E47*F47*Quotes!$B$2</f>
        <v/>
      </c>
      <c r="J47" s="16">
        <f>G47*D47</f>
        <v/>
      </c>
      <c r="K47" s="16">
        <f>H47*D47</f>
        <v/>
      </c>
    </row>
    <row r="48">
      <c r="A48" t="n">
        <v>29</v>
      </c>
      <c r="B48" s="14">
        <f>EDATE($B$5,3*28)</f>
        <v/>
      </c>
      <c r="C48" s="14">
        <f>EDATE($B$5,3*29)</f>
        <v/>
      </c>
      <c r="D48" s="13">
        <f>Bootstrap!C31</f>
        <v/>
      </c>
      <c r="E48" s="19" t="n">
        <v>50000000000</v>
      </c>
      <c r="F48" s="12">
        <f>Bootstrap!E31</f>
        <v/>
      </c>
      <c r="G48" s="16">
        <f>E48*$B$12*Quotes!$B$2</f>
        <v/>
      </c>
      <c r="H48" s="16">
        <f>E48*F48*Quotes!$B$2</f>
        <v/>
      </c>
      <c r="J48" s="16">
        <f>G48*D48</f>
        <v/>
      </c>
      <c r="K48" s="16">
        <f>H48*D48</f>
        <v/>
      </c>
    </row>
    <row r="49">
      <c r="A49" t="n">
        <v>30</v>
      </c>
      <c r="B49" s="14">
        <f>EDATE($B$5,3*29)</f>
        <v/>
      </c>
      <c r="C49" s="14">
        <f>EDATE($B$5,3*30)</f>
        <v/>
      </c>
      <c r="D49" s="13">
        <f>Bootstrap!C32</f>
        <v/>
      </c>
      <c r="E49" s="19" t="n">
        <v>50000000000</v>
      </c>
      <c r="F49" s="12">
        <f>Bootstrap!E32</f>
        <v/>
      </c>
      <c r="G49" s="16">
        <f>E49*$B$12*Quotes!$B$2</f>
        <v/>
      </c>
      <c r="H49" s="16">
        <f>E49*F49*Quotes!$B$2</f>
        <v/>
      </c>
      <c r="J49" s="16">
        <f>G49*D49</f>
        <v/>
      </c>
      <c r="K49" s="16">
        <f>H49*D49</f>
        <v/>
      </c>
    </row>
    <row r="50">
      <c r="A50" t="n">
        <v>31</v>
      </c>
      <c r="B50" s="14">
        <f>EDATE($B$5,3*30)</f>
        <v/>
      </c>
      <c r="C50" s="14">
        <f>EDATE($B$5,3*31)</f>
        <v/>
      </c>
      <c r="D50" s="13">
        <f>Bootstrap!C33</f>
        <v/>
      </c>
      <c r="E50" s="19" t="n">
        <v>50000000000</v>
      </c>
      <c r="F50" s="12">
        <f>Bootstrap!E33</f>
        <v/>
      </c>
      <c r="G50" s="16">
        <f>E50*$B$12*Quotes!$B$2</f>
        <v/>
      </c>
      <c r="H50" s="16">
        <f>E50*F50*Quotes!$B$2</f>
        <v/>
      </c>
      <c r="J50" s="16">
        <f>G50*D50</f>
        <v/>
      </c>
      <c r="K50" s="16">
        <f>H50*D50</f>
        <v/>
      </c>
    </row>
    <row r="51">
      <c r="A51" t="n">
        <v>32</v>
      </c>
      <c r="B51" s="14">
        <f>EDATE($B$5,3*31)</f>
        <v/>
      </c>
      <c r="C51" s="14">
        <f>EDATE($B$5,3*32)</f>
        <v/>
      </c>
      <c r="D51" s="13">
        <f>Bootstrap!C34</f>
        <v/>
      </c>
      <c r="E51" s="19" t="n">
        <v>50000000000</v>
      </c>
      <c r="F51" s="12">
        <f>Bootstrap!E34</f>
        <v/>
      </c>
      <c r="G51" s="16">
        <f>E51*$B$12*Quotes!$B$2</f>
        <v/>
      </c>
      <c r="H51" s="16">
        <f>E51*F51*Quotes!$B$2</f>
        <v/>
      </c>
      <c r="J51" s="16">
        <f>G51*D51</f>
        <v/>
      </c>
      <c r="K51" s="16">
        <f>H51*D51</f>
        <v/>
      </c>
    </row>
    <row r="52">
      <c r="A52" t="n">
        <v>33</v>
      </c>
      <c r="B52" s="14">
        <f>EDATE($B$5,3*32)</f>
        <v/>
      </c>
      <c r="C52" s="14">
        <f>EDATE($B$5,3*33)</f>
        <v/>
      </c>
      <c r="D52" s="13">
        <f>Bootstrap!C35</f>
        <v/>
      </c>
      <c r="E52" s="19" t="n">
        <v>40000000000</v>
      </c>
      <c r="F52" s="12">
        <f>Bootstrap!E35</f>
        <v/>
      </c>
      <c r="G52" s="16">
        <f>E52*$B$12*Quotes!$B$2</f>
        <v/>
      </c>
      <c r="H52" s="16">
        <f>E52*F52*Quotes!$B$2</f>
        <v/>
      </c>
      <c r="J52" s="16">
        <f>G52*D52</f>
        <v/>
      </c>
      <c r="K52" s="16">
        <f>H52*D52</f>
        <v/>
      </c>
    </row>
    <row r="53">
      <c r="A53" t="n">
        <v>34</v>
      </c>
      <c r="B53" s="14">
        <f>EDATE($B$5,3*33)</f>
        <v/>
      </c>
      <c r="C53" s="14">
        <f>EDATE($B$5,3*34)</f>
        <v/>
      </c>
      <c r="D53" s="13">
        <f>Bootstrap!C36</f>
        <v/>
      </c>
      <c r="E53" s="19" t="n">
        <v>40000000000</v>
      </c>
      <c r="F53" s="12">
        <f>Bootstrap!E36</f>
        <v/>
      </c>
      <c r="G53" s="16">
        <f>E53*$B$12*Quotes!$B$2</f>
        <v/>
      </c>
      <c r="H53" s="16">
        <f>E53*F53*Quotes!$B$2</f>
        <v/>
      </c>
      <c r="J53" s="16">
        <f>G53*D53</f>
        <v/>
      </c>
      <c r="K53" s="16">
        <f>H53*D53</f>
        <v/>
      </c>
    </row>
    <row r="54">
      <c r="A54" t="n">
        <v>35</v>
      </c>
      <c r="B54" s="14">
        <f>EDATE($B$5,3*34)</f>
        <v/>
      </c>
      <c r="C54" s="14">
        <f>EDATE($B$5,3*35)</f>
        <v/>
      </c>
      <c r="D54" s="13">
        <f>Bootstrap!C37</f>
        <v/>
      </c>
      <c r="E54" s="19" t="n">
        <v>40000000000</v>
      </c>
      <c r="F54" s="12">
        <f>Bootstrap!E37</f>
        <v/>
      </c>
      <c r="G54" s="16">
        <f>E54*$B$12*Quotes!$B$2</f>
        <v/>
      </c>
      <c r="H54" s="16">
        <f>E54*F54*Quotes!$B$2</f>
        <v/>
      </c>
      <c r="J54" s="16">
        <f>G54*D54</f>
        <v/>
      </c>
      <c r="K54" s="16">
        <f>H54*D54</f>
        <v/>
      </c>
    </row>
    <row r="55">
      <c r="A55" t="n">
        <v>36</v>
      </c>
      <c r="B55" s="14">
        <f>EDATE($B$5,3*35)</f>
        <v/>
      </c>
      <c r="C55" s="14">
        <f>EDATE($B$5,3*36)</f>
        <v/>
      </c>
      <c r="D55" s="13">
        <f>Bootstrap!C38</f>
        <v/>
      </c>
      <c r="E55" s="19" t="n">
        <v>40000000000</v>
      </c>
      <c r="F55" s="12">
        <f>Bootstrap!E38</f>
        <v/>
      </c>
      <c r="G55" s="16">
        <f>E55*$B$12*Quotes!$B$2</f>
        <v/>
      </c>
      <c r="H55" s="16">
        <f>E55*F55*Quotes!$B$2</f>
        <v/>
      </c>
      <c r="J55" s="16">
        <f>G55*D55</f>
        <v/>
      </c>
      <c r="K55" s="16">
        <f>H55*D55</f>
        <v/>
      </c>
    </row>
    <row r="56">
      <c r="A56" t="n">
        <v>37</v>
      </c>
      <c r="B56" s="14">
        <f>EDATE($B$5,3*36)</f>
        <v/>
      </c>
      <c r="C56" s="14">
        <f>EDATE($B$5,3*37)</f>
        <v/>
      </c>
      <c r="D56" s="13">
        <f>Bootstrap!C39</f>
        <v/>
      </c>
      <c r="E56" s="19" t="n">
        <v>40000000000</v>
      </c>
      <c r="F56" s="12">
        <f>Bootstrap!E39</f>
        <v/>
      </c>
      <c r="G56" s="16">
        <f>E56*$B$12*Quotes!$B$2</f>
        <v/>
      </c>
      <c r="H56" s="16">
        <f>E56*F56*Quotes!$B$2</f>
        <v/>
      </c>
      <c r="J56" s="16">
        <f>G56*D56</f>
        <v/>
      </c>
      <c r="K56" s="16">
        <f>H56*D56</f>
        <v/>
      </c>
    </row>
    <row r="57">
      <c r="A57" t="n">
        <v>38</v>
      </c>
      <c r="B57" s="14">
        <f>EDATE($B$5,3*37)</f>
        <v/>
      </c>
      <c r="C57" s="14">
        <f>EDATE($B$5,3*38)</f>
        <v/>
      </c>
      <c r="D57" s="13">
        <f>Bootstrap!C40</f>
        <v/>
      </c>
      <c r="E57" s="19" t="n">
        <v>40000000000</v>
      </c>
      <c r="F57" s="12">
        <f>Bootstrap!E40</f>
        <v/>
      </c>
      <c r="G57" s="16">
        <f>E57*$B$12*Quotes!$B$2</f>
        <v/>
      </c>
      <c r="H57" s="16">
        <f>E57*F57*Quotes!$B$2</f>
        <v/>
      </c>
      <c r="J57" s="16">
        <f>G57*D57</f>
        <v/>
      </c>
      <c r="K57" s="16">
        <f>H57*D57</f>
        <v/>
      </c>
    </row>
    <row r="58">
      <c r="A58" t="n">
        <v>39</v>
      </c>
      <c r="B58" s="14">
        <f>EDATE($B$5,3*38)</f>
        <v/>
      </c>
      <c r="C58" s="14">
        <f>EDATE($B$5,3*39)</f>
        <v/>
      </c>
      <c r="D58" s="13">
        <f>Bootstrap!C41</f>
        <v/>
      </c>
      <c r="E58" s="19" t="n">
        <v>40000000000</v>
      </c>
      <c r="F58" s="12">
        <f>Bootstrap!E41</f>
        <v/>
      </c>
      <c r="G58" s="16">
        <f>E58*$B$12*Quotes!$B$2</f>
        <v/>
      </c>
      <c r="H58" s="16">
        <f>E58*F58*Quotes!$B$2</f>
        <v/>
      </c>
      <c r="J58" s="16">
        <f>G58*D58</f>
        <v/>
      </c>
      <c r="K58" s="16">
        <f>H58*D58</f>
        <v/>
      </c>
    </row>
    <row r="59">
      <c r="A59" t="n">
        <v>40</v>
      </c>
      <c r="B59" s="14">
        <f>EDATE($B$5,3*39)</f>
        <v/>
      </c>
      <c r="C59" s="14">
        <f>EDATE($B$5,3*40)</f>
        <v/>
      </c>
      <c r="D59" s="13">
        <f>Bootstrap!C42</f>
        <v/>
      </c>
      <c r="E59" s="19" t="n">
        <v>40000000000</v>
      </c>
      <c r="F59" s="12">
        <f>Bootstrap!E42</f>
        <v/>
      </c>
      <c r="G59" s="16">
        <f>E59*$B$12*Quotes!$B$2</f>
        <v/>
      </c>
      <c r="H59" s="16">
        <f>E59*F59*Quotes!$B$2</f>
        <v/>
      </c>
      <c r="J59" s="16">
        <f>G59*D59</f>
        <v/>
      </c>
      <c r="K59" s="16">
        <f>H59*D59</f>
        <v/>
      </c>
    </row>
    <row r="61">
      <c r="E61" s="20" t="inlineStr">
        <is>
          <t>PLACEHOLDER notionals - paste Kevin's schedule into E20:E59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Bucketed key-rate delta (Kevin grid)</t>
        </is>
      </c>
    </row>
    <row r="3">
      <c r="D3" s="12">
        <f>'Amort-Set-up'!$B$12</f>
        <v/>
      </c>
    </row>
    <row r="4">
      <c r="E4">
        <f>Quotes!$B$2</f>
        <v/>
      </c>
    </row>
    <row r="6">
      <c r="A6" s="18" t="inlineStr">
        <is>
          <t>Tenor</t>
        </is>
      </c>
      <c r="B6" s="18" t="inlineStr">
        <is>
          <t>Year</t>
        </is>
      </c>
      <c r="C6" s="18" t="inlineStr">
        <is>
          <t>Base</t>
        </is>
      </c>
    </row>
    <row r="7">
      <c r="A7">
        <f>Quotes!A5</f>
        <v/>
      </c>
      <c r="B7" s="11">
        <f>Quotes!C5</f>
        <v/>
      </c>
      <c r="C7" s="12">
        <f>Quotes!B5</f>
        <v/>
      </c>
      <c r="D7" s="12">
        <f>$C7</f>
        <v/>
      </c>
      <c r="E7" s="12">
        <f>$C7+0.0001</f>
        <v/>
      </c>
      <c r="F7" s="12">
        <f>$C7</f>
        <v/>
      </c>
      <c r="G7" s="12">
        <f>$C7</f>
        <v/>
      </c>
      <c r="H7" s="12">
        <f>$C7</f>
        <v/>
      </c>
      <c r="I7" s="12">
        <f>$C7</f>
        <v/>
      </c>
      <c r="J7" s="12">
        <f>$C7</f>
        <v/>
      </c>
      <c r="K7" s="12">
        <f>$C7</f>
        <v/>
      </c>
      <c r="L7" s="12">
        <f>$C7</f>
        <v/>
      </c>
      <c r="M7" s="12">
        <f>$C7</f>
        <v/>
      </c>
      <c r="N7" s="12">
        <f>$C7</f>
        <v/>
      </c>
    </row>
    <row r="8">
      <c r="A8">
        <f>Quotes!A6</f>
        <v/>
      </c>
      <c r="B8" s="11">
        <f>Quotes!C6</f>
        <v/>
      </c>
      <c r="C8" s="12">
        <f>Quotes!B6</f>
        <v/>
      </c>
      <c r="D8" s="12">
        <f>$C8</f>
        <v/>
      </c>
      <c r="E8" s="12">
        <f>$C8</f>
        <v/>
      </c>
      <c r="F8" s="12">
        <f>$C8+0.0001</f>
        <v/>
      </c>
      <c r="G8" s="12">
        <f>$C8</f>
        <v/>
      </c>
      <c r="H8" s="12">
        <f>$C8</f>
        <v/>
      </c>
      <c r="I8" s="12">
        <f>$C8</f>
        <v/>
      </c>
      <c r="J8" s="12">
        <f>$C8</f>
        <v/>
      </c>
      <c r="K8" s="12">
        <f>$C8</f>
        <v/>
      </c>
      <c r="L8" s="12">
        <f>$C8</f>
        <v/>
      </c>
      <c r="M8" s="12">
        <f>$C8</f>
        <v/>
      </c>
      <c r="N8" s="12">
        <f>$C8</f>
        <v/>
      </c>
    </row>
    <row r="9">
      <c r="A9">
        <f>Quotes!A7</f>
        <v/>
      </c>
      <c r="B9" s="11">
        <f>Quotes!C7</f>
        <v/>
      </c>
      <c r="C9" s="12">
        <f>Quotes!B7</f>
        <v/>
      </c>
      <c r="D9" s="12">
        <f>$C9</f>
        <v/>
      </c>
      <c r="E9" s="12">
        <f>$C9</f>
        <v/>
      </c>
      <c r="F9" s="12">
        <f>$C9</f>
        <v/>
      </c>
      <c r="G9" s="12">
        <f>$C9+0.0001</f>
        <v/>
      </c>
      <c r="H9" s="12">
        <f>$C9</f>
        <v/>
      </c>
      <c r="I9" s="12">
        <f>$C9</f>
        <v/>
      </c>
      <c r="J9" s="12">
        <f>$C9</f>
        <v/>
      </c>
      <c r="K9" s="12">
        <f>$C9</f>
        <v/>
      </c>
      <c r="L9" s="12">
        <f>$C9</f>
        <v/>
      </c>
      <c r="M9" s="12">
        <f>$C9</f>
        <v/>
      </c>
      <c r="N9" s="12">
        <f>$C9</f>
        <v/>
      </c>
    </row>
    <row r="10">
      <c r="A10">
        <f>Quotes!A8</f>
        <v/>
      </c>
      <c r="B10" s="11">
        <f>Quotes!C8</f>
        <v/>
      </c>
      <c r="C10" s="12">
        <f>Quotes!B8</f>
        <v/>
      </c>
      <c r="D10" s="12">
        <f>$C10</f>
        <v/>
      </c>
      <c r="E10" s="12">
        <f>$C10</f>
        <v/>
      </c>
      <c r="F10" s="12">
        <f>$C10</f>
        <v/>
      </c>
      <c r="G10" s="12">
        <f>$C10</f>
        <v/>
      </c>
      <c r="H10" s="12">
        <f>$C10+0.0001</f>
        <v/>
      </c>
      <c r="I10" s="12">
        <f>$C10</f>
        <v/>
      </c>
      <c r="J10" s="12">
        <f>$C10</f>
        <v/>
      </c>
      <c r="K10" s="12">
        <f>$C10</f>
        <v/>
      </c>
      <c r="L10" s="12">
        <f>$C10</f>
        <v/>
      </c>
      <c r="M10" s="12">
        <f>$C10</f>
        <v/>
      </c>
      <c r="N10" s="12">
        <f>$C10</f>
        <v/>
      </c>
    </row>
    <row r="11">
      <c r="A11">
        <f>Quotes!A9</f>
        <v/>
      </c>
      <c r="B11" s="11">
        <f>Quotes!C9</f>
        <v/>
      </c>
      <c r="C11" s="12">
        <f>Quotes!B9</f>
        <v/>
      </c>
      <c r="D11" s="12">
        <f>$C11</f>
        <v/>
      </c>
      <c r="E11" s="12">
        <f>$C11</f>
        <v/>
      </c>
      <c r="F11" s="12">
        <f>$C11</f>
        <v/>
      </c>
      <c r="G11" s="12">
        <f>$C11</f>
        <v/>
      </c>
      <c r="H11" s="12">
        <f>$C11</f>
        <v/>
      </c>
      <c r="I11" s="12">
        <f>$C11+0.0001</f>
        <v/>
      </c>
      <c r="J11" s="12">
        <f>$C11</f>
        <v/>
      </c>
      <c r="K11" s="12">
        <f>$C11</f>
        <v/>
      </c>
      <c r="L11" s="12">
        <f>$C11</f>
        <v/>
      </c>
      <c r="M11" s="12">
        <f>$C11</f>
        <v/>
      </c>
      <c r="N11" s="12">
        <f>$C11</f>
        <v/>
      </c>
    </row>
    <row r="12">
      <c r="A12">
        <f>Quotes!A10</f>
        <v/>
      </c>
      <c r="B12" s="11">
        <f>Quotes!C10</f>
        <v/>
      </c>
      <c r="C12" s="12">
        <f>Quotes!B10</f>
        <v/>
      </c>
      <c r="D12" s="12">
        <f>$C12</f>
        <v/>
      </c>
      <c r="E12" s="12">
        <f>$C12</f>
        <v/>
      </c>
      <c r="F12" s="12">
        <f>$C12</f>
        <v/>
      </c>
      <c r="G12" s="12">
        <f>$C12</f>
        <v/>
      </c>
      <c r="H12" s="12">
        <f>$C12</f>
        <v/>
      </c>
      <c r="I12" s="12">
        <f>$C12</f>
        <v/>
      </c>
      <c r="J12" s="12">
        <f>$C12+0.0001</f>
        <v/>
      </c>
      <c r="K12" s="12">
        <f>$C12</f>
        <v/>
      </c>
      <c r="L12" s="12">
        <f>$C12</f>
        <v/>
      </c>
      <c r="M12" s="12">
        <f>$C12</f>
        <v/>
      </c>
      <c r="N12" s="12">
        <f>$C12</f>
        <v/>
      </c>
    </row>
    <row r="13">
      <c r="A13">
        <f>Quotes!A11</f>
        <v/>
      </c>
      <c r="B13" s="11">
        <f>Quotes!C11</f>
        <v/>
      </c>
      <c r="C13" s="12">
        <f>Quotes!B11</f>
        <v/>
      </c>
      <c r="D13" s="12">
        <f>$C13</f>
        <v/>
      </c>
      <c r="E13" s="12">
        <f>$C13</f>
        <v/>
      </c>
      <c r="F13" s="12">
        <f>$C13</f>
        <v/>
      </c>
      <c r="G13" s="12">
        <f>$C13</f>
        <v/>
      </c>
      <c r="H13" s="12">
        <f>$C13</f>
        <v/>
      </c>
      <c r="I13" s="12">
        <f>$C13</f>
        <v/>
      </c>
      <c r="J13" s="12">
        <f>$C13</f>
        <v/>
      </c>
      <c r="K13" s="12">
        <f>$C13+0.0001</f>
        <v/>
      </c>
      <c r="L13" s="12">
        <f>$C13</f>
        <v/>
      </c>
      <c r="M13" s="12">
        <f>$C13</f>
        <v/>
      </c>
      <c r="N13" s="12">
        <f>$C13</f>
        <v/>
      </c>
    </row>
    <row r="14">
      <c r="A14">
        <f>Quotes!A12</f>
        <v/>
      </c>
      <c r="B14" s="11">
        <f>Quotes!C12</f>
        <v/>
      </c>
      <c r="C14" s="12">
        <f>Quotes!B12</f>
        <v/>
      </c>
      <c r="D14" s="12">
        <f>$C14</f>
        <v/>
      </c>
      <c r="E14" s="12">
        <f>$C14</f>
        <v/>
      </c>
      <c r="F14" s="12">
        <f>$C14</f>
        <v/>
      </c>
      <c r="G14" s="12">
        <f>$C14</f>
        <v/>
      </c>
      <c r="H14" s="12">
        <f>$C14</f>
        <v/>
      </c>
      <c r="I14" s="12">
        <f>$C14</f>
        <v/>
      </c>
      <c r="J14" s="12">
        <f>$C14</f>
        <v/>
      </c>
      <c r="K14" s="12">
        <f>$C14</f>
        <v/>
      </c>
      <c r="L14" s="12">
        <f>$C14+0.0001</f>
        <v/>
      </c>
      <c r="M14" s="12">
        <f>$C14</f>
        <v/>
      </c>
      <c r="N14" s="12">
        <f>$C14</f>
        <v/>
      </c>
    </row>
    <row r="15">
      <c r="A15">
        <f>Quotes!A13</f>
        <v/>
      </c>
      <c r="B15" s="11">
        <f>Quotes!C13</f>
        <v/>
      </c>
      <c r="C15" s="12">
        <f>Quotes!B13</f>
        <v/>
      </c>
      <c r="D15" s="12">
        <f>$C15</f>
        <v/>
      </c>
      <c r="E15" s="12">
        <f>$C15</f>
        <v/>
      </c>
      <c r="F15" s="12">
        <f>$C15</f>
        <v/>
      </c>
      <c r="G15" s="12">
        <f>$C15</f>
        <v/>
      </c>
      <c r="H15" s="12">
        <f>$C15</f>
        <v/>
      </c>
      <c r="I15" s="12">
        <f>$C15</f>
        <v/>
      </c>
      <c r="J15" s="12">
        <f>$C15</f>
        <v/>
      </c>
      <c r="K15" s="12">
        <f>$C15</f>
        <v/>
      </c>
      <c r="L15" s="12">
        <f>$C15</f>
        <v/>
      </c>
      <c r="M15" s="12">
        <f>$C15+0.0001</f>
        <v/>
      </c>
      <c r="N15" s="12">
        <f>$C15</f>
        <v/>
      </c>
    </row>
    <row r="16">
      <c r="A16">
        <f>Quotes!A14</f>
        <v/>
      </c>
      <c r="B16" s="11">
        <f>Quotes!C14</f>
        <v/>
      </c>
      <c r="C16" s="12">
        <f>Quotes!B14</f>
        <v/>
      </c>
      <c r="D16" s="12">
        <f>$C16</f>
        <v/>
      </c>
      <c r="E16" s="12">
        <f>$C16</f>
        <v/>
      </c>
      <c r="F16" s="12">
        <f>$C16</f>
        <v/>
      </c>
      <c r="G16" s="12">
        <f>$C16</f>
        <v/>
      </c>
      <c r="H16" s="12">
        <f>$C16</f>
        <v/>
      </c>
      <c r="I16" s="12">
        <f>$C16</f>
        <v/>
      </c>
      <c r="J16" s="12">
        <f>$C16</f>
        <v/>
      </c>
      <c r="K16" s="12">
        <f>$C16</f>
        <v/>
      </c>
      <c r="L16" s="12">
        <f>$C16</f>
        <v/>
      </c>
      <c r="M16" s="12">
        <f>$C16</f>
        <v/>
      </c>
      <c r="N16" s="12">
        <f>$C16+0.0001</f>
        <v/>
      </c>
    </row>
    <row r="17">
      <c r="A17">
        <f>Quotes!A15</f>
        <v/>
      </c>
      <c r="B17" s="11">
        <f>Quotes!C15</f>
        <v/>
      </c>
      <c r="C17" s="12">
        <f>Quotes!B15</f>
        <v/>
      </c>
      <c r="D17" s="12">
        <f>$C17</f>
        <v/>
      </c>
      <c r="E17" s="12">
        <f>$C17</f>
        <v/>
      </c>
      <c r="F17" s="12">
        <f>$C17</f>
        <v/>
      </c>
      <c r="G17" s="12">
        <f>$C17</f>
        <v/>
      </c>
      <c r="H17" s="12">
        <f>$C17</f>
        <v/>
      </c>
      <c r="I17" s="12">
        <f>$C17</f>
        <v/>
      </c>
      <c r="J17" s="12">
        <f>$C17</f>
        <v/>
      </c>
      <c r="K17" s="12">
        <f>$C17</f>
        <v/>
      </c>
      <c r="L17" s="12">
        <f>$C17</f>
        <v/>
      </c>
      <c r="M17" s="12">
        <f>$C17</f>
        <v/>
      </c>
      <c r="N17" s="12">
        <f>$C17</f>
        <v/>
      </c>
    </row>
    <row r="18">
      <c r="A18">
        <f>Quotes!A16</f>
        <v/>
      </c>
      <c r="B18" s="11">
        <f>Quotes!C16</f>
        <v/>
      </c>
      <c r="C18" s="12">
        <f>Quotes!B16</f>
        <v/>
      </c>
      <c r="D18" s="12">
        <f>$C18</f>
        <v/>
      </c>
      <c r="E18" s="12">
        <f>$C18</f>
        <v/>
      </c>
      <c r="F18" s="12">
        <f>$C18</f>
        <v/>
      </c>
      <c r="G18" s="12">
        <f>$C18</f>
        <v/>
      </c>
      <c r="H18" s="12">
        <f>$C18</f>
        <v/>
      </c>
      <c r="I18" s="12">
        <f>$C18</f>
        <v/>
      </c>
      <c r="J18" s="12">
        <f>$C18</f>
        <v/>
      </c>
      <c r="K18" s="12">
        <f>$C18</f>
        <v/>
      </c>
      <c r="L18" s="12">
        <f>$C18</f>
        <v/>
      </c>
      <c r="M18" s="12">
        <f>$C18</f>
        <v/>
      </c>
      <c r="N18" s="12">
        <f>$C18</f>
        <v/>
      </c>
    </row>
    <row r="19">
      <c r="A19">
        <f>Quotes!A17</f>
        <v/>
      </c>
      <c r="B19" s="11">
        <f>Quotes!C17</f>
        <v/>
      </c>
      <c r="C19" s="12">
        <f>Quotes!B17</f>
        <v/>
      </c>
      <c r="D19" s="12">
        <f>$C19</f>
        <v/>
      </c>
      <c r="E19" s="12">
        <f>$C19</f>
        <v/>
      </c>
      <c r="F19" s="12">
        <f>$C19</f>
        <v/>
      </c>
      <c r="G19" s="12">
        <f>$C19</f>
        <v/>
      </c>
      <c r="H19" s="12">
        <f>$C19</f>
        <v/>
      </c>
      <c r="I19" s="12">
        <f>$C19</f>
        <v/>
      </c>
      <c r="J19" s="12">
        <f>$C19</f>
        <v/>
      </c>
      <c r="K19" s="12">
        <f>$C19</f>
        <v/>
      </c>
      <c r="L19" s="12">
        <f>$C19</f>
        <v/>
      </c>
      <c r="M19" s="12">
        <f>$C19</f>
        <v/>
      </c>
      <c r="N19" s="12">
        <f>$C19</f>
        <v/>
      </c>
    </row>
    <row r="24">
      <c r="A24" s="18" t="inlineStr">
        <is>
          <t>Qtr</t>
        </is>
      </c>
      <c r="B24" s="18" t="inlineStr">
        <is>
          <t>Year</t>
        </is>
      </c>
      <c r="C24" s="18" t="inlineStr">
        <is>
          <t>m</t>
        </is>
      </c>
      <c r="D24" s="18" t="inlineStr">
        <is>
          <t>w</t>
        </is>
      </c>
      <c r="E24" s="18" t="inlineStr">
        <is>
          <t>Notional</t>
        </is>
      </c>
      <c r="F24" t="n">
        <v>1</v>
      </c>
      <c r="G24" t="n">
        <v>2</v>
      </c>
      <c r="H24" t="n">
        <v>3</v>
      </c>
      <c r="I24" t="n">
        <v>4</v>
      </c>
      <c r="J24" t="n">
        <v>5</v>
      </c>
      <c r="K24" t="n">
        <v>6</v>
      </c>
      <c r="L24" t="n">
        <v>7</v>
      </c>
      <c r="M24" t="n">
        <v>8</v>
      </c>
      <c r="N24" t="n">
        <v>9</v>
      </c>
      <c r="O24" t="n">
        <v>10</v>
      </c>
      <c r="P24" t="n">
        <v>11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s="11">
        <f>A25*0.25</f>
        <v/>
      </c>
      <c r="C25">
        <f>MIN(MATCH(B25,$B$7:$B$19,1),12)</f>
        <v/>
      </c>
      <c r="D25">
        <f>(B25-INDEX($B$7:$B$19,C25))/(INDEX($B$7:$B$19,C25+1)-INDEX($B$7:$B$19,C25))</f>
        <v/>
      </c>
      <c r="E25" s="16">
        <f>'Amort-Set-up'!E20</f>
        <v/>
      </c>
      <c r="F25" s="12">
        <f>INDEX($D$7:$N$19,$C25,F$24)+$D25*(INDEX($D$7:$N$19,$C25+1,F$24)-INDEX($D$7:$N$19,$C25,F$24))</f>
        <v/>
      </c>
      <c r="G25" s="12">
        <f>INDEX($D$7:$N$19,$C25,G$24)+$D25*(INDEX($D$7:$N$19,$C25+1,G$24)-INDEX($D$7:$N$19,$C25,G$24))</f>
        <v/>
      </c>
      <c r="H25" s="12">
        <f>INDEX($D$7:$N$19,$C25,H$24)+$D25*(INDEX($D$7:$N$19,$C25+1,H$24)-INDEX($D$7:$N$19,$C25,H$24))</f>
        <v/>
      </c>
      <c r="I25" s="12">
        <f>INDEX($D$7:$N$19,$C25,I$24)+$D25*(INDEX($D$7:$N$19,$C25+1,I$24)-INDEX($D$7:$N$19,$C25,I$24))</f>
        <v/>
      </c>
      <c r="J25" s="12">
        <f>INDEX($D$7:$N$19,$C25,J$24)+$D25*(INDEX($D$7:$N$19,$C25+1,J$24)-INDEX($D$7:$N$19,$C25,J$24))</f>
        <v/>
      </c>
      <c r="K25" s="12">
        <f>INDEX($D$7:$N$19,$C25,K$24)+$D25*(INDEX($D$7:$N$19,$C25+1,K$24)-INDEX($D$7:$N$19,$C25,K$24))</f>
        <v/>
      </c>
      <c r="L25" s="12">
        <f>INDEX($D$7:$N$19,$C25,L$24)+$D25*(INDEX($D$7:$N$19,$C25+1,L$24)-INDEX($D$7:$N$19,$C25,L$24))</f>
        <v/>
      </c>
      <c r="M25" s="12">
        <f>INDEX($D$7:$N$19,$C25,M$24)+$D25*(INDEX($D$7:$N$19,$C25+1,M$24)-INDEX($D$7:$N$19,$C25,M$24))</f>
        <v/>
      </c>
      <c r="N25" s="12">
        <f>INDEX($D$7:$N$19,$C25,N$24)+$D25*(INDEX($D$7:$N$19,$C25+1,N$24)-INDEX($D$7:$N$19,$C25,N$24))</f>
        <v/>
      </c>
      <c r="O25" s="12">
        <f>INDEX($D$7:$N$19,$C25,O$24)+$D25*(INDEX($D$7:$N$19,$C25+1,O$24)-INDEX($D$7:$N$19,$C25,O$24))</f>
        <v/>
      </c>
      <c r="P25" s="12">
        <f>INDEX($D$7:$N$19,$C25,P$24)+$D25*(INDEX($D$7:$N$19,$C25+1,P$24)-INDEX($D$7:$N$19,$C25,P$24))</f>
        <v/>
      </c>
      <c r="R25" s="13">
        <f>1/(1+F25*$E$4)</f>
        <v/>
      </c>
      <c r="S25" s="13">
        <f>1/(1+G25*$E$4)</f>
        <v/>
      </c>
      <c r="T25" s="13">
        <f>1/(1+H25*$E$4)</f>
        <v/>
      </c>
      <c r="U25" s="13">
        <f>1/(1+I25*$E$4)</f>
        <v/>
      </c>
      <c r="V25" s="13">
        <f>1/(1+J25*$E$4)</f>
        <v/>
      </c>
      <c r="W25" s="13">
        <f>1/(1+K25*$E$4)</f>
        <v/>
      </c>
      <c r="X25" s="13">
        <f>1/(1+L25*$E$4)</f>
        <v/>
      </c>
      <c r="Y25" s="13">
        <f>1/(1+M25*$E$4)</f>
        <v/>
      </c>
      <c r="Z25" s="13">
        <f>1/(1+N25*$E$4)</f>
        <v/>
      </c>
      <c r="AA25" s="13">
        <f>1/(1+O25*$E$4)</f>
        <v/>
      </c>
      <c r="AB25" s="13">
        <f>1/(1+P25*$E$4)</f>
        <v/>
      </c>
    </row>
    <row r="26">
      <c r="A26" t="n">
        <v>2</v>
      </c>
      <c r="B26" s="11">
        <f>A26*0.25</f>
        <v/>
      </c>
      <c r="C26">
        <f>MIN(MATCH(B26,$B$7:$B$19,1),12)</f>
        <v/>
      </c>
      <c r="D26">
        <f>(B26-INDEX($B$7:$B$19,C26))/(INDEX($B$7:$B$19,C26+1)-INDEX($B$7:$B$19,C26))</f>
        <v/>
      </c>
      <c r="E26" s="16">
        <f>'Amort-Set-up'!E21</f>
        <v/>
      </c>
      <c r="F26" s="12">
        <f>INDEX($D$7:$N$19,$C26,F$24)+$D26*(INDEX($D$7:$N$19,$C26+1,F$24)-INDEX($D$7:$N$19,$C26,F$24))</f>
        <v/>
      </c>
      <c r="G26" s="12">
        <f>INDEX($D$7:$N$19,$C26,G$24)+$D26*(INDEX($D$7:$N$19,$C26+1,G$24)-INDEX($D$7:$N$19,$C26,G$24))</f>
        <v/>
      </c>
      <c r="H26" s="12">
        <f>INDEX($D$7:$N$19,$C26,H$24)+$D26*(INDEX($D$7:$N$19,$C26+1,H$24)-INDEX($D$7:$N$19,$C26,H$24))</f>
        <v/>
      </c>
      <c r="I26" s="12">
        <f>INDEX($D$7:$N$19,$C26,I$24)+$D26*(INDEX($D$7:$N$19,$C26+1,I$24)-INDEX($D$7:$N$19,$C26,I$24))</f>
        <v/>
      </c>
      <c r="J26" s="12">
        <f>INDEX($D$7:$N$19,$C26,J$24)+$D26*(INDEX($D$7:$N$19,$C26+1,J$24)-INDEX($D$7:$N$19,$C26,J$24))</f>
        <v/>
      </c>
      <c r="K26" s="12">
        <f>INDEX($D$7:$N$19,$C26,K$24)+$D26*(INDEX($D$7:$N$19,$C26+1,K$24)-INDEX($D$7:$N$19,$C26,K$24))</f>
        <v/>
      </c>
      <c r="L26" s="12">
        <f>INDEX($D$7:$N$19,$C26,L$24)+$D26*(INDEX($D$7:$N$19,$C26+1,L$24)-INDEX($D$7:$N$19,$C26,L$24))</f>
        <v/>
      </c>
      <c r="M26" s="12">
        <f>INDEX($D$7:$N$19,$C26,M$24)+$D26*(INDEX($D$7:$N$19,$C26+1,M$24)-INDEX($D$7:$N$19,$C26,M$24))</f>
        <v/>
      </c>
      <c r="N26" s="12">
        <f>INDEX($D$7:$N$19,$C26,N$24)+$D26*(INDEX($D$7:$N$19,$C26+1,N$24)-INDEX($D$7:$N$19,$C26,N$24))</f>
        <v/>
      </c>
      <c r="O26" s="12">
        <f>INDEX($D$7:$N$19,$C26,O$24)+$D26*(INDEX($D$7:$N$19,$C26+1,O$24)-INDEX($D$7:$N$19,$C26,O$24))</f>
        <v/>
      </c>
      <c r="P26" s="12">
        <f>INDEX($D$7:$N$19,$C26,P$24)+$D26*(INDEX($D$7:$N$19,$C26+1,P$24)-INDEX($D$7:$N$19,$C26,P$24))</f>
        <v/>
      </c>
      <c r="R26" s="13">
        <f>(1-F26*$E$4*SUM(R$25:R25))/(1+F26*$E$4)</f>
        <v/>
      </c>
      <c r="S26" s="13">
        <f>(1-G26*$E$4*SUM(S$25:S25))/(1+G26*$E$4)</f>
        <v/>
      </c>
      <c r="T26" s="13">
        <f>(1-H26*$E$4*SUM(T$25:T25))/(1+H26*$E$4)</f>
        <v/>
      </c>
      <c r="U26" s="13">
        <f>(1-I26*$E$4*SUM(U$25:U25))/(1+I26*$E$4)</f>
        <v/>
      </c>
      <c r="V26" s="13">
        <f>(1-J26*$E$4*SUM(V$25:V25))/(1+J26*$E$4)</f>
        <v/>
      </c>
      <c r="W26" s="13">
        <f>(1-K26*$E$4*SUM(W$25:W25))/(1+K26*$E$4)</f>
        <v/>
      </c>
      <c r="X26" s="13">
        <f>(1-L26*$E$4*SUM(X$25:X25))/(1+L26*$E$4)</f>
        <v/>
      </c>
      <c r="Y26" s="13">
        <f>(1-M26*$E$4*SUM(Y$25:Y25))/(1+M26*$E$4)</f>
        <v/>
      </c>
      <c r="Z26" s="13">
        <f>(1-N26*$E$4*SUM(Z$25:Z25))/(1+N26*$E$4)</f>
        <v/>
      </c>
      <c r="AA26" s="13">
        <f>(1-O26*$E$4*SUM(AA$25:AA25))/(1+O26*$E$4)</f>
        <v/>
      </c>
      <c r="AB26" s="13">
        <f>(1-P26*$E$4*SUM(AB$25:AB25))/(1+P26*$E$4)</f>
        <v/>
      </c>
    </row>
    <row r="27">
      <c r="A27" t="n">
        <v>3</v>
      </c>
      <c r="B27" s="11">
        <f>A27*0.25</f>
        <v/>
      </c>
      <c r="C27">
        <f>MIN(MATCH(B27,$B$7:$B$19,1),12)</f>
        <v/>
      </c>
      <c r="D27">
        <f>(B27-INDEX($B$7:$B$19,C27))/(INDEX($B$7:$B$19,C27+1)-INDEX($B$7:$B$19,C27))</f>
        <v/>
      </c>
      <c r="E27" s="16">
        <f>'Amort-Set-up'!E22</f>
        <v/>
      </c>
      <c r="F27" s="12">
        <f>INDEX($D$7:$N$19,$C27,F$24)+$D27*(INDEX($D$7:$N$19,$C27+1,F$24)-INDEX($D$7:$N$19,$C27,F$24))</f>
        <v/>
      </c>
      <c r="G27" s="12">
        <f>INDEX($D$7:$N$19,$C27,G$24)+$D27*(INDEX($D$7:$N$19,$C27+1,G$24)-INDEX($D$7:$N$19,$C27,G$24))</f>
        <v/>
      </c>
      <c r="H27" s="12">
        <f>INDEX($D$7:$N$19,$C27,H$24)+$D27*(INDEX($D$7:$N$19,$C27+1,H$24)-INDEX($D$7:$N$19,$C27,H$24))</f>
        <v/>
      </c>
      <c r="I27" s="12">
        <f>INDEX($D$7:$N$19,$C27,I$24)+$D27*(INDEX($D$7:$N$19,$C27+1,I$24)-INDEX($D$7:$N$19,$C27,I$24))</f>
        <v/>
      </c>
      <c r="J27" s="12">
        <f>INDEX($D$7:$N$19,$C27,J$24)+$D27*(INDEX($D$7:$N$19,$C27+1,J$24)-INDEX($D$7:$N$19,$C27,J$24))</f>
        <v/>
      </c>
      <c r="K27" s="12">
        <f>INDEX($D$7:$N$19,$C27,K$24)+$D27*(INDEX($D$7:$N$19,$C27+1,K$24)-INDEX($D$7:$N$19,$C27,K$24))</f>
        <v/>
      </c>
      <c r="L27" s="12">
        <f>INDEX($D$7:$N$19,$C27,L$24)+$D27*(INDEX($D$7:$N$19,$C27+1,L$24)-INDEX($D$7:$N$19,$C27,L$24))</f>
        <v/>
      </c>
      <c r="M27" s="12">
        <f>INDEX($D$7:$N$19,$C27,M$24)+$D27*(INDEX($D$7:$N$19,$C27+1,M$24)-INDEX($D$7:$N$19,$C27,M$24))</f>
        <v/>
      </c>
      <c r="N27" s="12">
        <f>INDEX($D$7:$N$19,$C27,N$24)+$D27*(INDEX($D$7:$N$19,$C27+1,N$24)-INDEX($D$7:$N$19,$C27,N$24))</f>
        <v/>
      </c>
      <c r="O27" s="12">
        <f>INDEX($D$7:$N$19,$C27,O$24)+$D27*(INDEX($D$7:$N$19,$C27+1,O$24)-INDEX($D$7:$N$19,$C27,O$24))</f>
        <v/>
      </c>
      <c r="P27" s="12">
        <f>INDEX($D$7:$N$19,$C27,P$24)+$D27*(INDEX($D$7:$N$19,$C27+1,P$24)-INDEX($D$7:$N$19,$C27,P$24))</f>
        <v/>
      </c>
      <c r="R27" s="13">
        <f>(1-F27*$E$4*SUM(R$25:R26))/(1+F27*$E$4)</f>
        <v/>
      </c>
      <c r="S27" s="13">
        <f>(1-G27*$E$4*SUM(S$25:S26))/(1+G27*$E$4)</f>
        <v/>
      </c>
      <c r="T27" s="13">
        <f>(1-H27*$E$4*SUM(T$25:T26))/(1+H27*$E$4)</f>
        <v/>
      </c>
      <c r="U27" s="13">
        <f>(1-I27*$E$4*SUM(U$25:U26))/(1+I27*$E$4)</f>
        <v/>
      </c>
      <c r="V27" s="13">
        <f>(1-J27*$E$4*SUM(V$25:V26))/(1+J27*$E$4)</f>
        <v/>
      </c>
      <c r="W27" s="13">
        <f>(1-K27*$E$4*SUM(W$25:W26))/(1+K27*$E$4)</f>
        <v/>
      </c>
      <c r="X27" s="13">
        <f>(1-L27*$E$4*SUM(X$25:X26))/(1+L27*$E$4)</f>
        <v/>
      </c>
      <c r="Y27" s="13">
        <f>(1-M27*$E$4*SUM(Y$25:Y26))/(1+M27*$E$4)</f>
        <v/>
      </c>
      <c r="Z27" s="13">
        <f>(1-N27*$E$4*SUM(Z$25:Z26))/(1+N27*$E$4)</f>
        <v/>
      </c>
      <c r="AA27" s="13">
        <f>(1-O27*$E$4*SUM(AA$25:AA26))/(1+O27*$E$4)</f>
        <v/>
      </c>
      <c r="AB27" s="13">
        <f>(1-P27*$E$4*SUM(AB$25:AB26))/(1+P27*$E$4)</f>
        <v/>
      </c>
    </row>
    <row r="28">
      <c r="A28" t="n">
        <v>4</v>
      </c>
      <c r="B28" s="11">
        <f>A28*0.25</f>
        <v/>
      </c>
      <c r="C28">
        <f>MIN(MATCH(B28,$B$7:$B$19,1),12)</f>
        <v/>
      </c>
      <c r="D28">
        <f>(B28-INDEX($B$7:$B$19,C28))/(INDEX($B$7:$B$19,C28+1)-INDEX($B$7:$B$19,C28))</f>
        <v/>
      </c>
      <c r="E28" s="16">
        <f>'Amort-Set-up'!E23</f>
        <v/>
      </c>
      <c r="F28" s="12">
        <f>INDEX($D$7:$N$19,$C28,F$24)+$D28*(INDEX($D$7:$N$19,$C28+1,F$24)-INDEX($D$7:$N$19,$C28,F$24))</f>
        <v/>
      </c>
      <c r="G28" s="12">
        <f>INDEX($D$7:$N$19,$C28,G$24)+$D28*(INDEX($D$7:$N$19,$C28+1,G$24)-INDEX($D$7:$N$19,$C28,G$24))</f>
        <v/>
      </c>
      <c r="H28" s="12">
        <f>INDEX($D$7:$N$19,$C28,H$24)+$D28*(INDEX($D$7:$N$19,$C28+1,H$24)-INDEX($D$7:$N$19,$C28,H$24))</f>
        <v/>
      </c>
      <c r="I28" s="12">
        <f>INDEX($D$7:$N$19,$C28,I$24)+$D28*(INDEX($D$7:$N$19,$C28+1,I$24)-INDEX($D$7:$N$19,$C28,I$24))</f>
        <v/>
      </c>
      <c r="J28" s="12">
        <f>INDEX($D$7:$N$19,$C28,J$24)+$D28*(INDEX($D$7:$N$19,$C28+1,J$24)-INDEX($D$7:$N$19,$C28,J$24))</f>
        <v/>
      </c>
      <c r="K28" s="12">
        <f>INDEX($D$7:$N$19,$C28,K$24)+$D28*(INDEX($D$7:$N$19,$C28+1,K$24)-INDEX($D$7:$N$19,$C28,K$24))</f>
        <v/>
      </c>
      <c r="L28" s="12">
        <f>INDEX($D$7:$N$19,$C28,L$24)+$D28*(INDEX($D$7:$N$19,$C28+1,L$24)-INDEX($D$7:$N$19,$C28,L$24))</f>
        <v/>
      </c>
      <c r="M28" s="12">
        <f>INDEX($D$7:$N$19,$C28,M$24)+$D28*(INDEX($D$7:$N$19,$C28+1,M$24)-INDEX($D$7:$N$19,$C28,M$24))</f>
        <v/>
      </c>
      <c r="N28" s="12">
        <f>INDEX($D$7:$N$19,$C28,N$24)+$D28*(INDEX($D$7:$N$19,$C28+1,N$24)-INDEX($D$7:$N$19,$C28,N$24))</f>
        <v/>
      </c>
      <c r="O28" s="12">
        <f>INDEX($D$7:$N$19,$C28,O$24)+$D28*(INDEX($D$7:$N$19,$C28+1,O$24)-INDEX($D$7:$N$19,$C28,O$24))</f>
        <v/>
      </c>
      <c r="P28" s="12">
        <f>INDEX($D$7:$N$19,$C28,P$24)+$D28*(INDEX($D$7:$N$19,$C28+1,P$24)-INDEX($D$7:$N$19,$C28,P$24))</f>
        <v/>
      </c>
      <c r="R28" s="13">
        <f>(1-F28*$E$4*SUM(R$25:R27))/(1+F28*$E$4)</f>
        <v/>
      </c>
      <c r="S28" s="13">
        <f>(1-G28*$E$4*SUM(S$25:S27))/(1+G28*$E$4)</f>
        <v/>
      </c>
      <c r="T28" s="13">
        <f>(1-H28*$E$4*SUM(T$25:T27))/(1+H28*$E$4)</f>
        <v/>
      </c>
      <c r="U28" s="13">
        <f>(1-I28*$E$4*SUM(U$25:U27))/(1+I28*$E$4)</f>
        <v/>
      </c>
      <c r="V28" s="13">
        <f>(1-J28*$E$4*SUM(V$25:V27))/(1+J28*$E$4)</f>
        <v/>
      </c>
      <c r="W28" s="13">
        <f>(1-K28*$E$4*SUM(W$25:W27))/(1+K28*$E$4)</f>
        <v/>
      </c>
      <c r="X28" s="13">
        <f>(1-L28*$E$4*SUM(X$25:X27))/(1+L28*$E$4)</f>
        <v/>
      </c>
      <c r="Y28" s="13">
        <f>(1-M28*$E$4*SUM(Y$25:Y27))/(1+M28*$E$4)</f>
        <v/>
      </c>
      <c r="Z28" s="13">
        <f>(1-N28*$E$4*SUM(Z$25:Z27))/(1+N28*$E$4)</f>
        <v/>
      </c>
      <c r="AA28" s="13">
        <f>(1-O28*$E$4*SUM(AA$25:AA27))/(1+O28*$E$4)</f>
        <v/>
      </c>
      <c r="AB28" s="13">
        <f>(1-P28*$E$4*SUM(AB$25:AB27))/(1+P28*$E$4)</f>
        <v/>
      </c>
    </row>
    <row r="29">
      <c r="A29" t="n">
        <v>5</v>
      </c>
      <c r="B29" s="11">
        <f>A29*0.25</f>
        <v/>
      </c>
      <c r="C29">
        <f>MIN(MATCH(B29,$B$7:$B$19,1),12)</f>
        <v/>
      </c>
      <c r="D29">
        <f>(B29-INDEX($B$7:$B$19,C29))/(INDEX($B$7:$B$19,C29+1)-INDEX($B$7:$B$19,C29))</f>
        <v/>
      </c>
      <c r="E29" s="16">
        <f>'Amort-Set-up'!E24</f>
        <v/>
      </c>
      <c r="F29" s="12">
        <f>INDEX($D$7:$N$19,$C29,F$24)+$D29*(INDEX($D$7:$N$19,$C29+1,F$24)-INDEX($D$7:$N$19,$C29,F$24))</f>
        <v/>
      </c>
      <c r="G29" s="12">
        <f>INDEX($D$7:$N$19,$C29,G$24)+$D29*(INDEX($D$7:$N$19,$C29+1,G$24)-INDEX($D$7:$N$19,$C29,G$24))</f>
        <v/>
      </c>
      <c r="H29" s="12">
        <f>INDEX($D$7:$N$19,$C29,H$24)+$D29*(INDEX($D$7:$N$19,$C29+1,H$24)-INDEX($D$7:$N$19,$C29,H$24))</f>
        <v/>
      </c>
      <c r="I29" s="12">
        <f>INDEX($D$7:$N$19,$C29,I$24)+$D29*(INDEX($D$7:$N$19,$C29+1,I$24)-INDEX($D$7:$N$19,$C29,I$24))</f>
        <v/>
      </c>
      <c r="J29" s="12">
        <f>INDEX($D$7:$N$19,$C29,J$24)+$D29*(INDEX($D$7:$N$19,$C29+1,J$24)-INDEX($D$7:$N$19,$C29,J$24))</f>
        <v/>
      </c>
      <c r="K29" s="12">
        <f>INDEX($D$7:$N$19,$C29,K$24)+$D29*(INDEX($D$7:$N$19,$C29+1,K$24)-INDEX($D$7:$N$19,$C29,K$24))</f>
        <v/>
      </c>
      <c r="L29" s="12">
        <f>INDEX($D$7:$N$19,$C29,L$24)+$D29*(INDEX($D$7:$N$19,$C29+1,L$24)-INDEX($D$7:$N$19,$C29,L$24))</f>
        <v/>
      </c>
      <c r="M29" s="12">
        <f>INDEX($D$7:$N$19,$C29,M$24)+$D29*(INDEX($D$7:$N$19,$C29+1,M$24)-INDEX($D$7:$N$19,$C29,M$24))</f>
        <v/>
      </c>
      <c r="N29" s="12">
        <f>INDEX($D$7:$N$19,$C29,N$24)+$D29*(INDEX($D$7:$N$19,$C29+1,N$24)-INDEX($D$7:$N$19,$C29,N$24))</f>
        <v/>
      </c>
      <c r="O29" s="12">
        <f>INDEX($D$7:$N$19,$C29,O$24)+$D29*(INDEX($D$7:$N$19,$C29+1,O$24)-INDEX($D$7:$N$19,$C29,O$24))</f>
        <v/>
      </c>
      <c r="P29" s="12">
        <f>INDEX($D$7:$N$19,$C29,P$24)+$D29*(INDEX($D$7:$N$19,$C29+1,P$24)-INDEX($D$7:$N$19,$C29,P$24))</f>
        <v/>
      </c>
      <c r="R29" s="13">
        <f>(1-F29*$E$4*SUM(R$25:R28))/(1+F29*$E$4)</f>
        <v/>
      </c>
      <c r="S29" s="13">
        <f>(1-G29*$E$4*SUM(S$25:S28))/(1+G29*$E$4)</f>
        <v/>
      </c>
      <c r="T29" s="13">
        <f>(1-H29*$E$4*SUM(T$25:T28))/(1+H29*$E$4)</f>
        <v/>
      </c>
      <c r="U29" s="13">
        <f>(1-I29*$E$4*SUM(U$25:U28))/(1+I29*$E$4)</f>
        <v/>
      </c>
      <c r="V29" s="13">
        <f>(1-J29*$E$4*SUM(V$25:V28))/(1+J29*$E$4)</f>
        <v/>
      </c>
      <c r="W29" s="13">
        <f>(1-K29*$E$4*SUM(W$25:W28))/(1+K29*$E$4)</f>
        <v/>
      </c>
      <c r="X29" s="13">
        <f>(1-L29*$E$4*SUM(X$25:X28))/(1+L29*$E$4)</f>
        <v/>
      </c>
      <c r="Y29" s="13">
        <f>(1-M29*$E$4*SUM(Y$25:Y28))/(1+M29*$E$4)</f>
        <v/>
      </c>
      <c r="Z29" s="13">
        <f>(1-N29*$E$4*SUM(Z$25:Z28))/(1+N29*$E$4)</f>
        <v/>
      </c>
      <c r="AA29" s="13">
        <f>(1-O29*$E$4*SUM(AA$25:AA28))/(1+O29*$E$4)</f>
        <v/>
      </c>
      <c r="AB29" s="13">
        <f>(1-P29*$E$4*SUM(AB$25:AB28))/(1+P29*$E$4)</f>
        <v/>
      </c>
    </row>
    <row r="30">
      <c r="A30" t="n">
        <v>6</v>
      </c>
      <c r="B30" s="11">
        <f>A30*0.25</f>
        <v/>
      </c>
      <c r="C30">
        <f>MIN(MATCH(B30,$B$7:$B$19,1),12)</f>
        <v/>
      </c>
      <c r="D30">
        <f>(B30-INDEX($B$7:$B$19,C30))/(INDEX($B$7:$B$19,C30+1)-INDEX($B$7:$B$19,C30))</f>
        <v/>
      </c>
      <c r="E30" s="16">
        <f>'Amort-Set-up'!E25</f>
        <v/>
      </c>
      <c r="F30" s="12">
        <f>INDEX($D$7:$N$19,$C30,F$24)+$D30*(INDEX($D$7:$N$19,$C30+1,F$24)-INDEX($D$7:$N$19,$C30,F$24))</f>
        <v/>
      </c>
      <c r="G30" s="12">
        <f>INDEX($D$7:$N$19,$C30,G$24)+$D30*(INDEX($D$7:$N$19,$C30+1,G$24)-INDEX($D$7:$N$19,$C30,G$24))</f>
        <v/>
      </c>
      <c r="H30" s="12">
        <f>INDEX($D$7:$N$19,$C30,H$24)+$D30*(INDEX($D$7:$N$19,$C30+1,H$24)-INDEX($D$7:$N$19,$C30,H$24))</f>
        <v/>
      </c>
      <c r="I30" s="12">
        <f>INDEX($D$7:$N$19,$C30,I$24)+$D30*(INDEX($D$7:$N$19,$C30+1,I$24)-INDEX($D$7:$N$19,$C30,I$24))</f>
        <v/>
      </c>
      <c r="J30" s="12">
        <f>INDEX($D$7:$N$19,$C30,J$24)+$D30*(INDEX($D$7:$N$19,$C30+1,J$24)-INDEX($D$7:$N$19,$C30,J$24))</f>
        <v/>
      </c>
      <c r="K30" s="12">
        <f>INDEX($D$7:$N$19,$C30,K$24)+$D30*(INDEX($D$7:$N$19,$C30+1,K$24)-INDEX($D$7:$N$19,$C30,K$24))</f>
        <v/>
      </c>
      <c r="L30" s="12">
        <f>INDEX($D$7:$N$19,$C30,L$24)+$D30*(INDEX($D$7:$N$19,$C30+1,L$24)-INDEX($D$7:$N$19,$C30,L$24))</f>
        <v/>
      </c>
      <c r="M30" s="12">
        <f>INDEX($D$7:$N$19,$C30,M$24)+$D30*(INDEX($D$7:$N$19,$C30+1,M$24)-INDEX($D$7:$N$19,$C30,M$24))</f>
        <v/>
      </c>
      <c r="N30" s="12">
        <f>INDEX($D$7:$N$19,$C30,N$24)+$D30*(INDEX($D$7:$N$19,$C30+1,N$24)-INDEX($D$7:$N$19,$C30,N$24))</f>
        <v/>
      </c>
      <c r="O30" s="12">
        <f>INDEX($D$7:$N$19,$C30,O$24)+$D30*(INDEX($D$7:$N$19,$C30+1,O$24)-INDEX($D$7:$N$19,$C30,O$24))</f>
        <v/>
      </c>
      <c r="P30" s="12">
        <f>INDEX($D$7:$N$19,$C30,P$24)+$D30*(INDEX($D$7:$N$19,$C30+1,P$24)-INDEX($D$7:$N$19,$C30,P$24))</f>
        <v/>
      </c>
      <c r="R30" s="13">
        <f>(1-F30*$E$4*SUM(R$25:R29))/(1+F30*$E$4)</f>
        <v/>
      </c>
      <c r="S30" s="13">
        <f>(1-G30*$E$4*SUM(S$25:S29))/(1+G30*$E$4)</f>
        <v/>
      </c>
      <c r="T30" s="13">
        <f>(1-H30*$E$4*SUM(T$25:T29))/(1+H30*$E$4)</f>
        <v/>
      </c>
      <c r="U30" s="13">
        <f>(1-I30*$E$4*SUM(U$25:U29))/(1+I30*$E$4)</f>
        <v/>
      </c>
      <c r="V30" s="13">
        <f>(1-J30*$E$4*SUM(V$25:V29))/(1+J30*$E$4)</f>
        <v/>
      </c>
      <c r="W30" s="13">
        <f>(1-K30*$E$4*SUM(W$25:W29))/(1+K30*$E$4)</f>
        <v/>
      </c>
      <c r="X30" s="13">
        <f>(1-L30*$E$4*SUM(X$25:X29))/(1+L30*$E$4)</f>
        <v/>
      </c>
      <c r="Y30" s="13">
        <f>(1-M30*$E$4*SUM(Y$25:Y29))/(1+M30*$E$4)</f>
        <v/>
      </c>
      <c r="Z30" s="13">
        <f>(1-N30*$E$4*SUM(Z$25:Z29))/(1+N30*$E$4)</f>
        <v/>
      </c>
      <c r="AA30" s="13">
        <f>(1-O30*$E$4*SUM(AA$25:AA29))/(1+O30*$E$4)</f>
        <v/>
      </c>
      <c r="AB30" s="13">
        <f>(1-P30*$E$4*SUM(AB$25:AB29))/(1+P30*$E$4)</f>
        <v/>
      </c>
    </row>
    <row r="31">
      <c r="A31" t="n">
        <v>7</v>
      </c>
      <c r="B31" s="11">
        <f>A31*0.25</f>
        <v/>
      </c>
      <c r="C31">
        <f>MIN(MATCH(B31,$B$7:$B$19,1),12)</f>
        <v/>
      </c>
      <c r="D31">
        <f>(B31-INDEX($B$7:$B$19,C31))/(INDEX($B$7:$B$19,C31+1)-INDEX($B$7:$B$19,C31))</f>
        <v/>
      </c>
      <c r="E31" s="16">
        <f>'Amort-Set-up'!E26</f>
        <v/>
      </c>
      <c r="F31" s="12">
        <f>INDEX($D$7:$N$19,$C31,F$24)+$D31*(INDEX($D$7:$N$19,$C31+1,F$24)-INDEX($D$7:$N$19,$C31,F$24))</f>
        <v/>
      </c>
      <c r="G31" s="12">
        <f>INDEX($D$7:$N$19,$C31,G$24)+$D31*(INDEX($D$7:$N$19,$C31+1,G$24)-INDEX($D$7:$N$19,$C31,G$24))</f>
        <v/>
      </c>
      <c r="H31" s="12">
        <f>INDEX($D$7:$N$19,$C31,H$24)+$D31*(INDEX($D$7:$N$19,$C31+1,H$24)-INDEX($D$7:$N$19,$C31,H$24))</f>
        <v/>
      </c>
      <c r="I31" s="12">
        <f>INDEX($D$7:$N$19,$C31,I$24)+$D31*(INDEX($D$7:$N$19,$C31+1,I$24)-INDEX($D$7:$N$19,$C31,I$24))</f>
        <v/>
      </c>
      <c r="J31" s="12">
        <f>INDEX($D$7:$N$19,$C31,J$24)+$D31*(INDEX($D$7:$N$19,$C31+1,J$24)-INDEX($D$7:$N$19,$C31,J$24))</f>
        <v/>
      </c>
      <c r="K31" s="12">
        <f>INDEX($D$7:$N$19,$C31,K$24)+$D31*(INDEX($D$7:$N$19,$C31+1,K$24)-INDEX($D$7:$N$19,$C31,K$24))</f>
        <v/>
      </c>
      <c r="L31" s="12">
        <f>INDEX($D$7:$N$19,$C31,L$24)+$D31*(INDEX($D$7:$N$19,$C31+1,L$24)-INDEX($D$7:$N$19,$C31,L$24))</f>
        <v/>
      </c>
      <c r="M31" s="12">
        <f>INDEX($D$7:$N$19,$C31,M$24)+$D31*(INDEX($D$7:$N$19,$C31+1,M$24)-INDEX($D$7:$N$19,$C31,M$24))</f>
        <v/>
      </c>
      <c r="N31" s="12">
        <f>INDEX($D$7:$N$19,$C31,N$24)+$D31*(INDEX($D$7:$N$19,$C31+1,N$24)-INDEX($D$7:$N$19,$C31,N$24))</f>
        <v/>
      </c>
      <c r="O31" s="12">
        <f>INDEX($D$7:$N$19,$C31,O$24)+$D31*(INDEX($D$7:$N$19,$C31+1,O$24)-INDEX($D$7:$N$19,$C31,O$24))</f>
        <v/>
      </c>
      <c r="P31" s="12">
        <f>INDEX($D$7:$N$19,$C31,P$24)+$D31*(INDEX($D$7:$N$19,$C31+1,P$24)-INDEX($D$7:$N$19,$C31,P$24))</f>
        <v/>
      </c>
      <c r="R31" s="13">
        <f>(1-F31*$E$4*SUM(R$25:R30))/(1+F31*$E$4)</f>
        <v/>
      </c>
      <c r="S31" s="13">
        <f>(1-G31*$E$4*SUM(S$25:S30))/(1+G31*$E$4)</f>
        <v/>
      </c>
      <c r="T31" s="13">
        <f>(1-H31*$E$4*SUM(T$25:T30))/(1+H31*$E$4)</f>
        <v/>
      </c>
      <c r="U31" s="13">
        <f>(1-I31*$E$4*SUM(U$25:U30))/(1+I31*$E$4)</f>
        <v/>
      </c>
      <c r="V31" s="13">
        <f>(1-J31*$E$4*SUM(V$25:V30))/(1+J31*$E$4)</f>
        <v/>
      </c>
      <c r="W31" s="13">
        <f>(1-K31*$E$4*SUM(W$25:W30))/(1+K31*$E$4)</f>
        <v/>
      </c>
      <c r="X31" s="13">
        <f>(1-L31*$E$4*SUM(X$25:X30))/(1+L31*$E$4)</f>
        <v/>
      </c>
      <c r="Y31" s="13">
        <f>(1-M31*$E$4*SUM(Y$25:Y30))/(1+M31*$E$4)</f>
        <v/>
      </c>
      <c r="Z31" s="13">
        <f>(1-N31*$E$4*SUM(Z$25:Z30))/(1+N31*$E$4)</f>
        <v/>
      </c>
      <c r="AA31" s="13">
        <f>(1-O31*$E$4*SUM(AA$25:AA30))/(1+O31*$E$4)</f>
        <v/>
      </c>
      <c r="AB31" s="13">
        <f>(1-P31*$E$4*SUM(AB$25:AB30))/(1+P31*$E$4)</f>
        <v/>
      </c>
    </row>
    <row r="32">
      <c r="A32" t="n">
        <v>8</v>
      </c>
      <c r="B32" s="11">
        <f>A32*0.25</f>
        <v/>
      </c>
      <c r="C32">
        <f>MIN(MATCH(B32,$B$7:$B$19,1),12)</f>
        <v/>
      </c>
      <c r="D32">
        <f>(B32-INDEX($B$7:$B$19,C32))/(INDEX($B$7:$B$19,C32+1)-INDEX($B$7:$B$19,C32))</f>
        <v/>
      </c>
      <c r="E32" s="16">
        <f>'Amort-Set-up'!E27</f>
        <v/>
      </c>
      <c r="F32" s="12">
        <f>INDEX($D$7:$N$19,$C32,F$24)+$D32*(INDEX($D$7:$N$19,$C32+1,F$24)-INDEX($D$7:$N$19,$C32,F$24))</f>
        <v/>
      </c>
      <c r="G32" s="12">
        <f>INDEX($D$7:$N$19,$C32,G$24)+$D32*(INDEX($D$7:$N$19,$C32+1,G$24)-INDEX($D$7:$N$19,$C32,G$24))</f>
        <v/>
      </c>
      <c r="H32" s="12">
        <f>INDEX($D$7:$N$19,$C32,H$24)+$D32*(INDEX($D$7:$N$19,$C32+1,H$24)-INDEX($D$7:$N$19,$C32,H$24))</f>
        <v/>
      </c>
      <c r="I32" s="12">
        <f>INDEX($D$7:$N$19,$C32,I$24)+$D32*(INDEX($D$7:$N$19,$C32+1,I$24)-INDEX($D$7:$N$19,$C32,I$24))</f>
        <v/>
      </c>
      <c r="J32" s="12">
        <f>INDEX($D$7:$N$19,$C32,J$24)+$D32*(INDEX($D$7:$N$19,$C32+1,J$24)-INDEX($D$7:$N$19,$C32,J$24))</f>
        <v/>
      </c>
      <c r="K32" s="12">
        <f>INDEX($D$7:$N$19,$C32,K$24)+$D32*(INDEX($D$7:$N$19,$C32+1,K$24)-INDEX($D$7:$N$19,$C32,K$24))</f>
        <v/>
      </c>
      <c r="L32" s="12">
        <f>INDEX($D$7:$N$19,$C32,L$24)+$D32*(INDEX($D$7:$N$19,$C32+1,L$24)-INDEX($D$7:$N$19,$C32,L$24))</f>
        <v/>
      </c>
      <c r="M32" s="12">
        <f>INDEX($D$7:$N$19,$C32,M$24)+$D32*(INDEX($D$7:$N$19,$C32+1,M$24)-INDEX($D$7:$N$19,$C32,M$24))</f>
        <v/>
      </c>
      <c r="N32" s="12">
        <f>INDEX($D$7:$N$19,$C32,N$24)+$D32*(INDEX($D$7:$N$19,$C32+1,N$24)-INDEX($D$7:$N$19,$C32,N$24))</f>
        <v/>
      </c>
      <c r="O32" s="12">
        <f>INDEX($D$7:$N$19,$C32,O$24)+$D32*(INDEX($D$7:$N$19,$C32+1,O$24)-INDEX($D$7:$N$19,$C32,O$24))</f>
        <v/>
      </c>
      <c r="P32" s="12">
        <f>INDEX($D$7:$N$19,$C32,P$24)+$D32*(INDEX($D$7:$N$19,$C32+1,P$24)-INDEX($D$7:$N$19,$C32,P$24))</f>
        <v/>
      </c>
      <c r="R32" s="13">
        <f>(1-F32*$E$4*SUM(R$25:R31))/(1+F32*$E$4)</f>
        <v/>
      </c>
      <c r="S32" s="13">
        <f>(1-G32*$E$4*SUM(S$25:S31))/(1+G32*$E$4)</f>
        <v/>
      </c>
      <c r="T32" s="13">
        <f>(1-H32*$E$4*SUM(T$25:T31))/(1+H32*$E$4)</f>
        <v/>
      </c>
      <c r="U32" s="13">
        <f>(1-I32*$E$4*SUM(U$25:U31))/(1+I32*$E$4)</f>
        <v/>
      </c>
      <c r="V32" s="13">
        <f>(1-J32*$E$4*SUM(V$25:V31))/(1+J32*$E$4)</f>
        <v/>
      </c>
      <c r="W32" s="13">
        <f>(1-K32*$E$4*SUM(W$25:W31))/(1+K32*$E$4)</f>
        <v/>
      </c>
      <c r="X32" s="13">
        <f>(1-L32*$E$4*SUM(X$25:X31))/(1+L32*$E$4)</f>
        <v/>
      </c>
      <c r="Y32" s="13">
        <f>(1-M32*$E$4*SUM(Y$25:Y31))/(1+M32*$E$4)</f>
        <v/>
      </c>
      <c r="Z32" s="13">
        <f>(1-N32*$E$4*SUM(Z$25:Z31))/(1+N32*$E$4)</f>
        <v/>
      </c>
      <c r="AA32" s="13">
        <f>(1-O32*$E$4*SUM(AA$25:AA31))/(1+O32*$E$4)</f>
        <v/>
      </c>
      <c r="AB32" s="13">
        <f>(1-P32*$E$4*SUM(AB$25:AB31))/(1+P32*$E$4)</f>
        <v/>
      </c>
    </row>
    <row r="33">
      <c r="A33" t="n">
        <v>9</v>
      </c>
      <c r="B33" s="11">
        <f>A33*0.25</f>
        <v/>
      </c>
      <c r="C33">
        <f>MIN(MATCH(B33,$B$7:$B$19,1),12)</f>
        <v/>
      </c>
      <c r="D33">
        <f>(B33-INDEX($B$7:$B$19,C33))/(INDEX($B$7:$B$19,C33+1)-INDEX($B$7:$B$19,C33))</f>
        <v/>
      </c>
      <c r="E33" s="16">
        <f>'Amort-Set-up'!E28</f>
        <v/>
      </c>
      <c r="F33" s="12">
        <f>INDEX($D$7:$N$19,$C33,F$24)+$D33*(INDEX($D$7:$N$19,$C33+1,F$24)-INDEX($D$7:$N$19,$C33,F$24))</f>
        <v/>
      </c>
      <c r="G33" s="12">
        <f>INDEX($D$7:$N$19,$C33,G$24)+$D33*(INDEX($D$7:$N$19,$C33+1,G$24)-INDEX($D$7:$N$19,$C33,G$24))</f>
        <v/>
      </c>
      <c r="H33" s="12">
        <f>INDEX($D$7:$N$19,$C33,H$24)+$D33*(INDEX($D$7:$N$19,$C33+1,H$24)-INDEX($D$7:$N$19,$C33,H$24))</f>
        <v/>
      </c>
      <c r="I33" s="12">
        <f>INDEX($D$7:$N$19,$C33,I$24)+$D33*(INDEX($D$7:$N$19,$C33+1,I$24)-INDEX($D$7:$N$19,$C33,I$24))</f>
        <v/>
      </c>
      <c r="J33" s="12">
        <f>INDEX($D$7:$N$19,$C33,J$24)+$D33*(INDEX($D$7:$N$19,$C33+1,J$24)-INDEX($D$7:$N$19,$C33,J$24))</f>
        <v/>
      </c>
      <c r="K33" s="12">
        <f>INDEX($D$7:$N$19,$C33,K$24)+$D33*(INDEX($D$7:$N$19,$C33+1,K$24)-INDEX($D$7:$N$19,$C33,K$24))</f>
        <v/>
      </c>
      <c r="L33" s="12">
        <f>INDEX($D$7:$N$19,$C33,L$24)+$D33*(INDEX($D$7:$N$19,$C33+1,L$24)-INDEX($D$7:$N$19,$C33,L$24))</f>
        <v/>
      </c>
      <c r="M33" s="12">
        <f>INDEX($D$7:$N$19,$C33,M$24)+$D33*(INDEX($D$7:$N$19,$C33+1,M$24)-INDEX($D$7:$N$19,$C33,M$24))</f>
        <v/>
      </c>
      <c r="N33" s="12">
        <f>INDEX($D$7:$N$19,$C33,N$24)+$D33*(INDEX($D$7:$N$19,$C33+1,N$24)-INDEX($D$7:$N$19,$C33,N$24))</f>
        <v/>
      </c>
      <c r="O33" s="12">
        <f>INDEX($D$7:$N$19,$C33,O$24)+$D33*(INDEX($D$7:$N$19,$C33+1,O$24)-INDEX($D$7:$N$19,$C33,O$24))</f>
        <v/>
      </c>
      <c r="P33" s="12">
        <f>INDEX($D$7:$N$19,$C33,P$24)+$D33*(INDEX($D$7:$N$19,$C33+1,P$24)-INDEX($D$7:$N$19,$C33,P$24))</f>
        <v/>
      </c>
      <c r="R33" s="13">
        <f>(1-F33*$E$4*SUM(R$25:R32))/(1+F33*$E$4)</f>
        <v/>
      </c>
      <c r="S33" s="13">
        <f>(1-G33*$E$4*SUM(S$25:S32))/(1+G33*$E$4)</f>
        <v/>
      </c>
      <c r="T33" s="13">
        <f>(1-H33*$E$4*SUM(T$25:T32))/(1+H33*$E$4)</f>
        <v/>
      </c>
      <c r="U33" s="13">
        <f>(1-I33*$E$4*SUM(U$25:U32))/(1+I33*$E$4)</f>
        <v/>
      </c>
      <c r="V33" s="13">
        <f>(1-J33*$E$4*SUM(V$25:V32))/(1+J33*$E$4)</f>
        <v/>
      </c>
      <c r="W33" s="13">
        <f>(1-K33*$E$4*SUM(W$25:W32))/(1+K33*$E$4)</f>
        <v/>
      </c>
      <c r="X33" s="13">
        <f>(1-L33*$E$4*SUM(X$25:X32))/(1+L33*$E$4)</f>
        <v/>
      </c>
      <c r="Y33" s="13">
        <f>(1-M33*$E$4*SUM(Y$25:Y32))/(1+M33*$E$4)</f>
        <v/>
      </c>
      <c r="Z33" s="13">
        <f>(1-N33*$E$4*SUM(Z$25:Z32))/(1+N33*$E$4)</f>
        <v/>
      </c>
      <c r="AA33" s="13">
        <f>(1-O33*$E$4*SUM(AA$25:AA32))/(1+O33*$E$4)</f>
        <v/>
      </c>
      <c r="AB33" s="13">
        <f>(1-P33*$E$4*SUM(AB$25:AB32))/(1+P33*$E$4)</f>
        <v/>
      </c>
    </row>
    <row r="34">
      <c r="A34" t="n">
        <v>10</v>
      </c>
      <c r="B34" s="11">
        <f>A34*0.25</f>
        <v/>
      </c>
      <c r="C34">
        <f>MIN(MATCH(B34,$B$7:$B$19,1),12)</f>
        <v/>
      </c>
      <c r="D34">
        <f>(B34-INDEX($B$7:$B$19,C34))/(INDEX($B$7:$B$19,C34+1)-INDEX($B$7:$B$19,C34))</f>
        <v/>
      </c>
      <c r="E34" s="16">
        <f>'Amort-Set-up'!E29</f>
        <v/>
      </c>
      <c r="F34" s="12">
        <f>INDEX($D$7:$N$19,$C34,F$24)+$D34*(INDEX($D$7:$N$19,$C34+1,F$24)-INDEX($D$7:$N$19,$C34,F$24))</f>
        <v/>
      </c>
      <c r="G34" s="12">
        <f>INDEX($D$7:$N$19,$C34,G$24)+$D34*(INDEX($D$7:$N$19,$C34+1,G$24)-INDEX($D$7:$N$19,$C34,G$24))</f>
        <v/>
      </c>
      <c r="H34" s="12">
        <f>INDEX($D$7:$N$19,$C34,H$24)+$D34*(INDEX($D$7:$N$19,$C34+1,H$24)-INDEX($D$7:$N$19,$C34,H$24))</f>
        <v/>
      </c>
      <c r="I34" s="12">
        <f>INDEX($D$7:$N$19,$C34,I$24)+$D34*(INDEX($D$7:$N$19,$C34+1,I$24)-INDEX($D$7:$N$19,$C34,I$24))</f>
        <v/>
      </c>
      <c r="J34" s="12">
        <f>INDEX($D$7:$N$19,$C34,J$24)+$D34*(INDEX($D$7:$N$19,$C34+1,J$24)-INDEX($D$7:$N$19,$C34,J$24))</f>
        <v/>
      </c>
      <c r="K34" s="12">
        <f>INDEX($D$7:$N$19,$C34,K$24)+$D34*(INDEX($D$7:$N$19,$C34+1,K$24)-INDEX($D$7:$N$19,$C34,K$24))</f>
        <v/>
      </c>
      <c r="L34" s="12">
        <f>INDEX($D$7:$N$19,$C34,L$24)+$D34*(INDEX($D$7:$N$19,$C34+1,L$24)-INDEX($D$7:$N$19,$C34,L$24))</f>
        <v/>
      </c>
      <c r="M34" s="12">
        <f>INDEX($D$7:$N$19,$C34,M$24)+$D34*(INDEX($D$7:$N$19,$C34+1,M$24)-INDEX($D$7:$N$19,$C34,M$24))</f>
        <v/>
      </c>
      <c r="N34" s="12">
        <f>INDEX($D$7:$N$19,$C34,N$24)+$D34*(INDEX($D$7:$N$19,$C34+1,N$24)-INDEX($D$7:$N$19,$C34,N$24))</f>
        <v/>
      </c>
      <c r="O34" s="12">
        <f>INDEX($D$7:$N$19,$C34,O$24)+$D34*(INDEX($D$7:$N$19,$C34+1,O$24)-INDEX($D$7:$N$19,$C34,O$24))</f>
        <v/>
      </c>
      <c r="P34" s="12">
        <f>INDEX($D$7:$N$19,$C34,P$24)+$D34*(INDEX($D$7:$N$19,$C34+1,P$24)-INDEX($D$7:$N$19,$C34,P$24))</f>
        <v/>
      </c>
      <c r="R34" s="13">
        <f>(1-F34*$E$4*SUM(R$25:R33))/(1+F34*$E$4)</f>
        <v/>
      </c>
      <c r="S34" s="13">
        <f>(1-G34*$E$4*SUM(S$25:S33))/(1+G34*$E$4)</f>
        <v/>
      </c>
      <c r="T34" s="13">
        <f>(1-H34*$E$4*SUM(T$25:T33))/(1+H34*$E$4)</f>
        <v/>
      </c>
      <c r="U34" s="13">
        <f>(1-I34*$E$4*SUM(U$25:U33))/(1+I34*$E$4)</f>
        <v/>
      </c>
      <c r="V34" s="13">
        <f>(1-J34*$E$4*SUM(V$25:V33))/(1+J34*$E$4)</f>
        <v/>
      </c>
      <c r="W34" s="13">
        <f>(1-K34*$E$4*SUM(W$25:W33))/(1+K34*$E$4)</f>
        <v/>
      </c>
      <c r="X34" s="13">
        <f>(1-L34*$E$4*SUM(X$25:X33))/(1+L34*$E$4)</f>
        <v/>
      </c>
      <c r="Y34" s="13">
        <f>(1-M34*$E$4*SUM(Y$25:Y33))/(1+M34*$E$4)</f>
        <v/>
      </c>
      <c r="Z34" s="13">
        <f>(1-N34*$E$4*SUM(Z$25:Z33))/(1+N34*$E$4)</f>
        <v/>
      </c>
      <c r="AA34" s="13">
        <f>(1-O34*$E$4*SUM(AA$25:AA33))/(1+O34*$E$4)</f>
        <v/>
      </c>
      <c r="AB34" s="13">
        <f>(1-P34*$E$4*SUM(AB$25:AB33))/(1+P34*$E$4)</f>
        <v/>
      </c>
    </row>
    <row r="35">
      <c r="A35" t="n">
        <v>11</v>
      </c>
      <c r="B35" s="11">
        <f>A35*0.25</f>
        <v/>
      </c>
      <c r="C35">
        <f>MIN(MATCH(B35,$B$7:$B$19,1),12)</f>
        <v/>
      </c>
      <c r="D35">
        <f>(B35-INDEX($B$7:$B$19,C35))/(INDEX($B$7:$B$19,C35+1)-INDEX($B$7:$B$19,C35))</f>
        <v/>
      </c>
      <c r="E35" s="16">
        <f>'Amort-Set-up'!E30</f>
        <v/>
      </c>
      <c r="F35" s="12">
        <f>INDEX($D$7:$N$19,$C35,F$24)+$D35*(INDEX($D$7:$N$19,$C35+1,F$24)-INDEX($D$7:$N$19,$C35,F$24))</f>
        <v/>
      </c>
      <c r="G35" s="12">
        <f>INDEX($D$7:$N$19,$C35,G$24)+$D35*(INDEX($D$7:$N$19,$C35+1,G$24)-INDEX($D$7:$N$19,$C35,G$24))</f>
        <v/>
      </c>
      <c r="H35" s="12">
        <f>INDEX($D$7:$N$19,$C35,H$24)+$D35*(INDEX($D$7:$N$19,$C35+1,H$24)-INDEX($D$7:$N$19,$C35,H$24))</f>
        <v/>
      </c>
      <c r="I35" s="12">
        <f>INDEX($D$7:$N$19,$C35,I$24)+$D35*(INDEX($D$7:$N$19,$C35+1,I$24)-INDEX($D$7:$N$19,$C35,I$24))</f>
        <v/>
      </c>
      <c r="J35" s="12">
        <f>INDEX($D$7:$N$19,$C35,J$24)+$D35*(INDEX($D$7:$N$19,$C35+1,J$24)-INDEX($D$7:$N$19,$C35,J$24))</f>
        <v/>
      </c>
      <c r="K35" s="12">
        <f>INDEX($D$7:$N$19,$C35,K$24)+$D35*(INDEX($D$7:$N$19,$C35+1,K$24)-INDEX($D$7:$N$19,$C35,K$24))</f>
        <v/>
      </c>
      <c r="L35" s="12">
        <f>INDEX($D$7:$N$19,$C35,L$24)+$D35*(INDEX($D$7:$N$19,$C35+1,L$24)-INDEX($D$7:$N$19,$C35,L$24))</f>
        <v/>
      </c>
      <c r="M35" s="12">
        <f>INDEX($D$7:$N$19,$C35,M$24)+$D35*(INDEX($D$7:$N$19,$C35+1,M$24)-INDEX($D$7:$N$19,$C35,M$24))</f>
        <v/>
      </c>
      <c r="N35" s="12">
        <f>INDEX($D$7:$N$19,$C35,N$24)+$D35*(INDEX($D$7:$N$19,$C35+1,N$24)-INDEX($D$7:$N$19,$C35,N$24))</f>
        <v/>
      </c>
      <c r="O35" s="12">
        <f>INDEX($D$7:$N$19,$C35,O$24)+$D35*(INDEX($D$7:$N$19,$C35+1,O$24)-INDEX($D$7:$N$19,$C35,O$24))</f>
        <v/>
      </c>
      <c r="P35" s="12">
        <f>INDEX($D$7:$N$19,$C35,P$24)+$D35*(INDEX($D$7:$N$19,$C35+1,P$24)-INDEX($D$7:$N$19,$C35,P$24))</f>
        <v/>
      </c>
      <c r="R35" s="13">
        <f>(1-F35*$E$4*SUM(R$25:R34))/(1+F35*$E$4)</f>
        <v/>
      </c>
      <c r="S35" s="13">
        <f>(1-G35*$E$4*SUM(S$25:S34))/(1+G35*$E$4)</f>
        <v/>
      </c>
      <c r="T35" s="13">
        <f>(1-H35*$E$4*SUM(T$25:T34))/(1+H35*$E$4)</f>
        <v/>
      </c>
      <c r="U35" s="13">
        <f>(1-I35*$E$4*SUM(U$25:U34))/(1+I35*$E$4)</f>
        <v/>
      </c>
      <c r="V35" s="13">
        <f>(1-J35*$E$4*SUM(V$25:V34))/(1+J35*$E$4)</f>
        <v/>
      </c>
      <c r="W35" s="13">
        <f>(1-K35*$E$4*SUM(W$25:W34))/(1+K35*$E$4)</f>
        <v/>
      </c>
      <c r="X35" s="13">
        <f>(1-L35*$E$4*SUM(X$25:X34))/(1+L35*$E$4)</f>
        <v/>
      </c>
      <c r="Y35" s="13">
        <f>(1-M35*$E$4*SUM(Y$25:Y34))/(1+M35*$E$4)</f>
        <v/>
      </c>
      <c r="Z35" s="13">
        <f>(1-N35*$E$4*SUM(Z$25:Z34))/(1+N35*$E$4)</f>
        <v/>
      </c>
      <c r="AA35" s="13">
        <f>(1-O35*$E$4*SUM(AA$25:AA34))/(1+O35*$E$4)</f>
        <v/>
      </c>
      <c r="AB35" s="13">
        <f>(1-P35*$E$4*SUM(AB$25:AB34))/(1+P35*$E$4)</f>
        <v/>
      </c>
    </row>
    <row r="36">
      <c r="A36" t="n">
        <v>12</v>
      </c>
      <c r="B36" s="11">
        <f>A36*0.25</f>
        <v/>
      </c>
      <c r="C36">
        <f>MIN(MATCH(B36,$B$7:$B$19,1),12)</f>
        <v/>
      </c>
      <c r="D36">
        <f>(B36-INDEX($B$7:$B$19,C36))/(INDEX($B$7:$B$19,C36+1)-INDEX($B$7:$B$19,C36))</f>
        <v/>
      </c>
      <c r="E36" s="16">
        <f>'Amort-Set-up'!E31</f>
        <v/>
      </c>
      <c r="F36" s="12">
        <f>INDEX($D$7:$N$19,$C36,F$24)+$D36*(INDEX($D$7:$N$19,$C36+1,F$24)-INDEX($D$7:$N$19,$C36,F$24))</f>
        <v/>
      </c>
      <c r="G36" s="12">
        <f>INDEX($D$7:$N$19,$C36,G$24)+$D36*(INDEX($D$7:$N$19,$C36+1,G$24)-INDEX($D$7:$N$19,$C36,G$24))</f>
        <v/>
      </c>
      <c r="H36" s="12">
        <f>INDEX($D$7:$N$19,$C36,H$24)+$D36*(INDEX($D$7:$N$19,$C36+1,H$24)-INDEX($D$7:$N$19,$C36,H$24))</f>
        <v/>
      </c>
      <c r="I36" s="12">
        <f>INDEX($D$7:$N$19,$C36,I$24)+$D36*(INDEX($D$7:$N$19,$C36+1,I$24)-INDEX($D$7:$N$19,$C36,I$24))</f>
        <v/>
      </c>
      <c r="J36" s="12">
        <f>INDEX($D$7:$N$19,$C36,J$24)+$D36*(INDEX($D$7:$N$19,$C36+1,J$24)-INDEX($D$7:$N$19,$C36,J$24))</f>
        <v/>
      </c>
      <c r="K36" s="12">
        <f>INDEX($D$7:$N$19,$C36,K$24)+$D36*(INDEX($D$7:$N$19,$C36+1,K$24)-INDEX($D$7:$N$19,$C36,K$24))</f>
        <v/>
      </c>
      <c r="L36" s="12">
        <f>INDEX($D$7:$N$19,$C36,L$24)+$D36*(INDEX($D$7:$N$19,$C36+1,L$24)-INDEX($D$7:$N$19,$C36,L$24))</f>
        <v/>
      </c>
      <c r="M36" s="12">
        <f>INDEX($D$7:$N$19,$C36,M$24)+$D36*(INDEX($D$7:$N$19,$C36+1,M$24)-INDEX($D$7:$N$19,$C36,M$24))</f>
        <v/>
      </c>
      <c r="N36" s="12">
        <f>INDEX($D$7:$N$19,$C36,N$24)+$D36*(INDEX($D$7:$N$19,$C36+1,N$24)-INDEX($D$7:$N$19,$C36,N$24))</f>
        <v/>
      </c>
      <c r="O36" s="12">
        <f>INDEX($D$7:$N$19,$C36,O$24)+$D36*(INDEX($D$7:$N$19,$C36+1,O$24)-INDEX($D$7:$N$19,$C36,O$24))</f>
        <v/>
      </c>
      <c r="P36" s="12">
        <f>INDEX($D$7:$N$19,$C36,P$24)+$D36*(INDEX($D$7:$N$19,$C36+1,P$24)-INDEX($D$7:$N$19,$C36,P$24))</f>
        <v/>
      </c>
      <c r="R36" s="13">
        <f>(1-F36*$E$4*SUM(R$25:R35))/(1+F36*$E$4)</f>
        <v/>
      </c>
      <c r="S36" s="13">
        <f>(1-G36*$E$4*SUM(S$25:S35))/(1+G36*$E$4)</f>
        <v/>
      </c>
      <c r="T36" s="13">
        <f>(1-H36*$E$4*SUM(T$25:T35))/(1+H36*$E$4)</f>
        <v/>
      </c>
      <c r="U36" s="13">
        <f>(1-I36*$E$4*SUM(U$25:U35))/(1+I36*$E$4)</f>
        <v/>
      </c>
      <c r="V36" s="13">
        <f>(1-J36*$E$4*SUM(V$25:V35))/(1+J36*$E$4)</f>
        <v/>
      </c>
      <c r="W36" s="13">
        <f>(1-K36*$E$4*SUM(W$25:W35))/(1+K36*$E$4)</f>
        <v/>
      </c>
      <c r="X36" s="13">
        <f>(1-L36*$E$4*SUM(X$25:X35))/(1+L36*$E$4)</f>
        <v/>
      </c>
      <c r="Y36" s="13">
        <f>(1-M36*$E$4*SUM(Y$25:Y35))/(1+M36*$E$4)</f>
        <v/>
      </c>
      <c r="Z36" s="13">
        <f>(1-N36*$E$4*SUM(Z$25:Z35))/(1+N36*$E$4)</f>
        <v/>
      </c>
      <c r="AA36" s="13">
        <f>(1-O36*$E$4*SUM(AA$25:AA35))/(1+O36*$E$4)</f>
        <v/>
      </c>
      <c r="AB36" s="13">
        <f>(1-P36*$E$4*SUM(AB$25:AB35))/(1+P36*$E$4)</f>
        <v/>
      </c>
    </row>
    <row r="37">
      <c r="A37" t="n">
        <v>13</v>
      </c>
      <c r="B37" s="11">
        <f>A37*0.25</f>
        <v/>
      </c>
      <c r="C37">
        <f>MIN(MATCH(B37,$B$7:$B$19,1),12)</f>
        <v/>
      </c>
      <c r="D37">
        <f>(B37-INDEX($B$7:$B$19,C37))/(INDEX($B$7:$B$19,C37+1)-INDEX($B$7:$B$19,C37))</f>
        <v/>
      </c>
      <c r="E37" s="16">
        <f>'Amort-Set-up'!E32</f>
        <v/>
      </c>
      <c r="F37" s="12">
        <f>INDEX($D$7:$N$19,$C37,F$24)+$D37*(INDEX($D$7:$N$19,$C37+1,F$24)-INDEX($D$7:$N$19,$C37,F$24))</f>
        <v/>
      </c>
      <c r="G37" s="12">
        <f>INDEX($D$7:$N$19,$C37,G$24)+$D37*(INDEX($D$7:$N$19,$C37+1,G$24)-INDEX($D$7:$N$19,$C37,G$24))</f>
        <v/>
      </c>
      <c r="H37" s="12">
        <f>INDEX($D$7:$N$19,$C37,H$24)+$D37*(INDEX($D$7:$N$19,$C37+1,H$24)-INDEX($D$7:$N$19,$C37,H$24))</f>
        <v/>
      </c>
      <c r="I37" s="12">
        <f>INDEX($D$7:$N$19,$C37,I$24)+$D37*(INDEX($D$7:$N$19,$C37+1,I$24)-INDEX($D$7:$N$19,$C37,I$24))</f>
        <v/>
      </c>
      <c r="J37" s="12">
        <f>INDEX($D$7:$N$19,$C37,J$24)+$D37*(INDEX($D$7:$N$19,$C37+1,J$24)-INDEX($D$7:$N$19,$C37,J$24))</f>
        <v/>
      </c>
      <c r="K37" s="12">
        <f>INDEX($D$7:$N$19,$C37,K$24)+$D37*(INDEX($D$7:$N$19,$C37+1,K$24)-INDEX($D$7:$N$19,$C37,K$24))</f>
        <v/>
      </c>
      <c r="L37" s="12">
        <f>INDEX($D$7:$N$19,$C37,L$24)+$D37*(INDEX($D$7:$N$19,$C37+1,L$24)-INDEX($D$7:$N$19,$C37,L$24))</f>
        <v/>
      </c>
      <c r="M37" s="12">
        <f>INDEX($D$7:$N$19,$C37,M$24)+$D37*(INDEX($D$7:$N$19,$C37+1,M$24)-INDEX($D$7:$N$19,$C37,M$24))</f>
        <v/>
      </c>
      <c r="N37" s="12">
        <f>INDEX($D$7:$N$19,$C37,N$24)+$D37*(INDEX($D$7:$N$19,$C37+1,N$24)-INDEX($D$7:$N$19,$C37,N$24))</f>
        <v/>
      </c>
      <c r="O37" s="12">
        <f>INDEX($D$7:$N$19,$C37,O$24)+$D37*(INDEX($D$7:$N$19,$C37+1,O$24)-INDEX($D$7:$N$19,$C37,O$24))</f>
        <v/>
      </c>
      <c r="P37" s="12">
        <f>INDEX($D$7:$N$19,$C37,P$24)+$D37*(INDEX($D$7:$N$19,$C37+1,P$24)-INDEX($D$7:$N$19,$C37,P$24))</f>
        <v/>
      </c>
      <c r="R37" s="13">
        <f>(1-F37*$E$4*SUM(R$25:R36))/(1+F37*$E$4)</f>
        <v/>
      </c>
      <c r="S37" s="13">
        <f>(1-G37*$E$4*SUM(S$25:S36))/(1+G37*$E$4)</f>
        <v/>
      </c>
      <c r="T37" s="13">
        <f>(1-H37*$E$4*SUM(T$25:T36))/(1+H37*$E$4)</f>
        <v/>
      </c>
      <c r="U37" s="13">
        <f>(1-I37*$E$4*SUM(U$25:U36))/(1+I37*$E$4)</f>
        <v/>
      </c>
      <c r="V37" s="13">
        <f>(1-J37*$E$4*SUM(V$25:V36))/(1+J37*$E$4)</f>
        <v/>
      </c>
      <c r="W37" s="13">
        <f>(1-K37*$E$4*SUM(W$25:W36))/(1+K37*$E$4)</f>
        <v/>
      </c>
      <c r="X37" s="13">
        <f>(1-L37*$E$4*SUM(X$25:X36))/(1+L37*$E$4)</f>
        <v/>
      </c>
      <c r="Y37" s="13">
        <f>(1-M37*$E$4*SUM(Y$25:Y36))/(1+M37*$E$4)</f>
        <v/>
      </c>
      <c r="Z37" s="13">
        <f>(1-N37*$E$4*SUM(Z$25:Z36))/(1+N37*$E$4)</f>
        <v/>
      </c>
      <c r="AA37" s="13">
        <f>(1-O37*$E$4*SUM(AA$25:AA36))/(1+O37*$E$4)</f>
        <v/>
      </c>
      <c r="AB37" s="13">
        <f>(1-P37*$E$4*SUM(AB$25:AB36))/(1+P37*$E$4)</f>
        <v/>
      </c>
    </row>
    <row r="38">
      <c r="A38" t="n">
        <v>14</v>
      </c>
      <c r="B38" s="11">
        <f>A38*0.25</f>
        <v/>
      </c>
      <c r="C38">
        <f>MIN(MATCH(B38,$B$7:$B$19,1),12)</f>
        <v/>
      </c>
      <c r="D38">
        <f>(B38-INDEX($B$7:$B$19,C38))/(INDEX($B$7:$B$19,C38+1)-INDEX($B$7:$B$19,C38))</f>
        <v/>
      </c>
      <c r="E38" s="16">
        <f>'Amort-Set-up'!E33</f>
        <v/>
      </c>
      <c r="F38" s="12">
        <f>INDEX($D$7:$N$19,$C38,F$24)+$D38*(INDEX($D$7:$N$19,$C38+1,F$24)-INDEX($D$7:$N$19,$C38,F$24))</f>
        <v/>
      </c>
      <c r="G38" s="12">
        <f>INDEX($D$7:$N$19,$C38,G$24)+$D38*(INDEX($D$7:$N$19,$C38+1,G$24)-INDEX($D$7:$N$19,$C38,G$24))</f>
        <v/>
      </c>
      <c r="H38" s="12">
        <f>INDEX($D$7:$N$19,$C38,H$24)+$D38*(INDEX($D$7:$N$19,$C38+1,H$24)-INDEX($D$7:$N$19,$C38,H$24))</f>
        <v/>
      </c>
      <c r="I38" s="12">
        <f>INDEX($D$7:$N$19,$C38,I$24)+$D38*(INDEX($D$7:$N$19,$C38+1,I$24)-INDEX($D$7:$N$19,$C38,I$24))</f>
        <v/>
      </c>
      <c r="J38" s="12">
        <f>INDEX($D$7:$N$19,$C38,J$24)+$D38*(INDEX($D$7:$N$19,$C38+1,J$24)-INDEX($D$7:$N$19,$C38,J$24))</f>
        <v/>
      </c>
      <c r="K38" s="12">
        <f>INDEX($D$7:$N$19,$C38,K$24)+$D38*(INDEX($D$7:$N$19,$C38+1,K$24)-INDEX($D$7:$N$19,$C38,K$24))</f>
        <v/>
      </c>
      <c r="L38" s="12">
        <f>INDEX($D$7:$N$19,$C38,L$24)+$D38*(INDEX($D$7:$N$19,$C38+1,L$24)-INDEX($D$7:$N$19,$C38,L$24))</f>
        <v/>
      </c>
      <c r="M38" s="12">
        <f>INDEX($D$7:$N$19,$C38,M$24)+$D38*(INDEX($D$7:$N$19,$C38+1,M$24)-INDEX($D$7:$N$19,$C38,M$24))</f>
        <v/>
      </c>
      <c r="N38" s="12">
        <f>INDEX($D$7:$N$19,$C38,N$24)+$D38*(INDEX($D$7:$N$19,$C38+1,N$24)-INDEX($D$7:$N$19,$C38,N$24))</f>
        <v/>
      </c>
      <c r="O38" s="12">
        <f>INDEX($D$7:$N$19,$C38,O$24)+$D38*(INDEX($D$7:$N$19,$C38+1,O$24)-INDEX($D$7:$N$19,$C38,O$24))</f>
        <v/>
      </c>
      <c r="P38" s="12">
        <f>INDEX($D$7:$N$19,$C38,P$24)+$D38*(INDEX($D$7:$N$19,$C38+1,P$24)-INDEX($D$7:$N$19,$C38,P$24))</f>
        <v/>
      </c>
      <c r="R38" s="13">
        <f>(1-F38*$E$4*SUM(R$25:R37))/(1+F38*$E$4)</f>
        <v/>
      </c>
      <c r="S38" s="13">
        <f>(1-G38*$E$4*SUM(S$25:S37))/(1+G38*$E$4)</f>
        <v/>
      </c>
      <c r="T38" s="13">
        <f>(1-H38*$E$4*SUM(T$25:T37))/(1+H38*$E$4)</f>
        <v/>
      </c>
      <c r="U38" s="13">
        <f>(1-I38*$E$4*SUM(U$25:U37))/(1+I38*$E$4)</f>
        <v/>
      </c>
      <c r="V38" s="13">
        <f>(1-J38*$E$4*SUM(V$25:V37))/(1+J38*$E$4)</f>
        <v/>
      </c>
      <c r="W38" s="13">
        <f>(1-K38*$E$4*SUM(W$25:W37))/(1+K38*$E$4)</f>
        <v/>
      </c>
      <c r="X38" s="13">
        <f>(1-L38*$E$4*SUM(X$25:X37))/(1+L38*$E$4)</f>
        <v/>
      </c>
      <c r="Y38" s="13">
        <f>(1-M38*$E$4*SUM(Y$25:Y37))/(1+M38*$E$4)</f>
        <v/>
      </c>
      <c r="Z38" s="13">
        <f>(1-N38*$E$4*SUM(Z$25:Z37))/(1+N38*$E$4)</f>
        <v/>
      </c>
      <c r="AA38" s="13">
        <f>(1-O38*$E$4*SUM(AA$25:AA37))/(1+O38*$E$4)</f>
        <v/>
      </c>
      <c r="AB38" s="13">
        <f>(1-P38*$E$4*SUM(AB$25:AB37))/(1+P38*$E$4)</f>
        <v/>
      </c>
    </row>
    <row r="39">
      <c r="A39" t="n">
        <v>15</v>
      </c>
      <c r="B39" s="11">
        <f>A39*0.25</f>
        <v/>
      </c>
      <c r="C39">
        <f>MIN(MATCH(B39,$B$7:$B$19,1),12)</f>
        <v/>
      </c>
      <c r="D39">
        <f>(B39-INDEX($B$7:$B$19,C39))/(INDEX($B$7:$B$19,C39+1)-INDEX($B$7:$B$19,C39))</f>
        <v/>
      </c>
      <c r="E39" s="16">
        <f>'Amort-Set-up'!E34</f>
        <v/>
      </c>
      <c r="F39" s="12">
        <f>INDEX($D$7:$N$19,$C39,F$24)+$D39*(INDEX($D$7:$N$19,$C39+1,F$24)-INDEX($D$7:$N$19,$C39,F$24))</f>
        <v/>
      </c>
      <c r="G39" s="12">
        <f>INDEX($D$7:$N$19,$C39,G$24)+$D39*(INDEX($D$7:$N$19,$C39+1,G$24)-INDEX($D$7:$N$19,$C39,G$24))</f>
        <v/>
      </c>
      <c r="H39" s="12">
        <f>INDEX($D$7:$N$19,$C39,H$24)+$D39*(INDEX($D$7:$N$19,$C39+1,H$24)-INDEX($D$7:$N$19,$C39,H$24))</f>
        <v/>
      </c>
      <c r="I39" s="12">
        <f>INDEX($D$7:$N$19,$C39,I$24)+$D39*(INDEX($D$7:$N$19,$C39+1,I$24)-INDEX($D$7:$N$19,$C39,I$24))</f>
        <v/>
      </c>
      <c r="J39" s="12">
        <f>INDEX($D$7:$N$19,$C39,J$24)+$D39*(INDEX($D$7:$N$19,$C39+1,J$24)-INDEX($D$7:$N$19,$C39,J$24))</f>
        <v/>
      </c>
      <c r="K39" s="12">
        <f>INDEX($D$7:$N$19,$C39,K$24)+$D39*(INDEX($D$7:$N$19,$C39+1,K$24)-INDEX($D$7:$N$19,$C39,K$24))</f>
        <v/>
      </c>
      <c r="L39" s="12">
        <f>INDEX($D$7:$N$19,$C39,L$24)+$D39*(INDEX($D$7:$N$19,$C39+1,L$24)-INDEX($D$7:$N$19,$C39,L$24))</f>
        <v/>
      </c>
      <c r="M39" s="12">
        <f>INDEX($D$7:$N$19,$C39,M$24)+$D39*(INDEX($D$7:$N$19,$C39+1,M$24)-INDEX($D$7:$N$19,$C39,M$24))</f>
        <v/>
      </c>
      <c r="N39" s="12">
        <f>INDEX($D$7:$N$19,$C39,N$24)+$D39*(INDEX($D$7:$N$19,$C39+1,N$24)-INDEX($D$7:$N$19,$C39,N$24))</f>
        <v/>
      </c>
      <c r="O39" s="12">
        <f>INDEX($D$7:$N$19,$C39,O$24)+$D39*(INDEX($D$7:$N$19,$C39+1,O$24)-INDEX($D$7:$N$19,$C39,O$24))</f>
        <v/>
      </c>
      <c r="P39" s="12">
        <f>INDEX($D$7:$N$19,$C39,P$24)+$D39*(INDEX($D$7:$N$19,$C39+1,P$24)-INDEX($D$7:$N$19,$C39,P$24))</f>
        <v/>
      </c>
      <c r="R39" s="13">
        <f>(1-F39*$E$4*SUM(R$25:R38))/(1+F39*$E$4)</f>
        <v/>
      </c>
      <c r="S39" s="13">
        <f>(1-G39*$E$4*SUM(S$25:S38))/(1+G39*$E$4)</f>
        <v/>
      </c>
      <c r="T39" s="13">
        <f>(1-H39*$E$4*SUM(T$25:T38))/(1+H39*$E$4)</f>
        <v/>
      </c>
      <c r="U39" s="13">
        <f>(1-I39*$E$4*SUM(U$25:U38))/(1+I39*$E$4)</f>
        <v/>
      </c>
      <c r="V39" s="13">
        <f>(1-J39*$E$4*SUM(V$25:V38))/(1+J39*$E$4)</f>
        <v/>
      </c>
      <c r="W39" s="13">
        <f>(1-K39*$E$4*SUM(W$25:W38))/(1+K39*$E$4)</f>
        <v/>
      </c>
      <c r="X39" s="13">
        <f>(1-L39*$E$4*SUM(X$25:X38))/(1+L39*$E$4)</f>
        <v/>
      </c>
      <c r="Y39" s="13">
        <f>(1-M39*$E$4*SUM(Y$25:Y38))/(1+M39*$E$4)</f>
        <v/>
      </c>
      <c r="Z39" s="13">
        <f>(1-N39*$E$4*SUM(Z$25:Z38))/(1+N39*$E$4)</f>
        <v/>
      </c>
      <c r="AA39" s="13">
        <f>(1-O39*$E$4*SUM(AA$25:AA38))/(1+O39*$E$4)</f>
        <v/>
      </c>
      <c r="AB39" s="13">
        <f>(1-P39*$E$4*SUM(AB$25:AB38))/(1+P39*$E$4)</f>
        <v/>
      </c>
    </row>
    <row r="40">
      <c r="A40" t="n">
        <v>16</v>
      </c>
      <c r="B40" s="11">
        <f>A40*0.25</f>
        <v/>
      </c>
      <c r="C40">
        <f>MIN(MATCH(B40,$B$7:$B$19,1),12)</f>
        <v/>
      </c>
      <c r="D40">
        <f>(B40-INDEX($B$7:$B$19,C40))/(INDEX($B$7:$B$19,C40+1)-INDEX($B$7:$B$19,C40))</f>
        <v/>
      </c>
      <c r="E40" s="16">
        <f>'Amort-Set-up'!E35</f>
        <v/>
      </c>
      <c r="F40" s="12">
        <f>INDEX($D$7:$N$19,$C40,F$24)+$D40*(INDEX($D$7:$N$19,$C40+1,F$24)-INDEX($D$7:$N$19,$C40,F$24))</f>
        <v/>
      </c>
      <c r="G40" s="12">
        <f>INDEX($D$7:$N$19,$C40,G$24)+$D40*(INDEX($D$7:$N$19,$C40+1,G$24)-INDEX($D$7:$N$19,$C40,G$24))</f>
        <v/>
      </c>
      <c r="H40" s="12">
        <f>INDEX($D$7:$N$19,$C40,H$24)+$D40*(INDEX($D$7:$N$19,$C40+1,H$24)-INDEX($D$7:$N$19,$C40,H$24))</f>
        <v/>
      </c>
      <c r="I40" s="12">
        <f>INDEX($D$7:$N$19,$C40,I$24)+$D40*(INDEX($D$7:$N$19,$C40+1,I$24)-INDEX($D$7:$N$19,$C40,I$24))</f>
        <v/>
      </c>
      <c r="J40" s="12">
        <f>INDEX($D$7:$N$19,$C40,J$24)+$D40*(INDEX($D$7:$N$19,$C40+1,J$24)-INDEX($D$7:$N$19,$C40,J$24))</f>
        <v/>
      </c>
      <c r="K40" s="12">
        <f>INDEX($D$7:$N$19,$C40,K$24)+$D40*(INDEX($D$7:$N$19,$C40+1,K$24)-INDEX($D$7:$N$19,$C40,K$24))</f>
        <v/>
      </c>
      <c r="L40" s="12">
        <f>INDEX($D$7:$N$19,$C40,L$24)+$D40*(INDEX($D$7:$N$19,$C40+1,L$24)-INDEX($D$7:$N$19,$C40,L$24))</f>
        <v/>
      </c>
      <c r="M40" s="12">
        <f>INDEX($D$7:$N$19,$C40,M$24)+$D40*(INDEX($D$7:$N$19,$C40+1,M$24)-INDEX($D$7:$N$19,$C40,M$24))</f>
        <v/>
      </c>
      <c r="N40" s="12">
        <f>INDEX($D$7:$N$19,$C40,N$24)+$D40*(INDEX($D$7:$N$19,$C40+1,N$24)-INDEX($D$7:$N$19,$C40,N$24))</f>
        <v/>
      </c>
      <c r="O40" s="12">
        <f>INDEX($D$7:$N$19,$C40,O$24)+$D40*(INDEX($D$7:$N$19,$C40+1,O$24)-INDEX($D$7:$N$19,$C40,O$24))</f>
        <v/>
      </c>
      <c r="P40" s="12">
        <f>INDEX($D$7:$N$19,$C40,P$24)+$D40*(INDEX($D$7:$N$19,$C40+1,P$24)-INDEX($D$7:$N$19,$C40,P$24))</f>
        <v/>
      </c>
      <c r="R40" s="13">
        <f>(1-F40*$E$4*SUM(R$25:R39))/(1+F40*$E$4)</f>
        <v/>
      </c>
      <c r="S40" s="13">
        <f>(1-G40*$E$4*SUM(S$25:S39))/(1+G40*$E$4)</f>
        <v/>
      </c>
      <c r="T40" s="13">
        <f>(1-H40*$E$4*SUM(T$25:T39))/(1+H40*$E$4)</f>
        <v/>
      </c>
      <c r="U40" s="13">
        <f>(1-I40*$E$4*SUM(U$25:U39))/(1+I40*$E$4)</f>
        <v/>
      </c>
      <c r="V40" s="13">
        <f>(1-J40*$E$4*SUM(V$25:V39))/(1+J40*$E$4)</f>
        <v/>
      </c>
      <c r="W40" s="13">
        <f>(1-K40*$E$4*SUM(W$25:W39))/(1+K40*$E$4)</f>
        <v/>
      </c>
      <c r="X40" s="13">
        <f>(1-L40*$E$4*SUM(X$25:X39))/(1+L40*$E$4)</f>
        <v/>
      </c>
      <c r="Y40" s="13">
        <f>(1-M40*$E$4*SUM(Y$25:Y39))/(1+M40*$E$4)</f>
        <v/>
      </c>
      <c r="Z40" s="13">
        <f>(1-N40*$E$4*SUM(Z$25:Z39))/(1+N40*$E$4)</f>
        <v/>
      </c>
      <c r="AA40" s="13">
        <f>(1-O40*$E$4*SUM(AA$25:AA39))/(1+O40*$E$4)</f>
        <v/>
      </c>
      <c r="AB40" s="13">
        <f>(1-P40*$E$4*SUM(AB$25:AB39))/(1+P40*$E$4)</f>
        <v/>
      </c>
    </row>
    <row r="41">
      <c r="A41" t="n">
        <v>17</v>
      </c>
      <c r="B41" s="11">
        <f>A41*0.25</f>
        <v/>
      </c>
      <c r="C41">
        <f>MIN(MATCH(B41,$B$7:$B$19,1),12)</f>
        <v/>
      </c>
      <c r="D41">
        <f>(B41-INDEX($B$7:$B$19,C41))/(INDEX($B$7:$B$19,C41+1)-INDEX($B$7:$B$19,C41))</f>
        <v/>
      </c>
      <c r="E41" s="16">
        <f>'Amort-Set-up'!E36</f>
        <v/>
      </c>
      <c r="F41" s="12">
        <f>INDEX($D$7:$N$19,$C41,F$24)+$D41*(INDEX($D$7:$N$19,$C41+1,F$24)-INDEX($D$7:$N$19,$C41,F$24))</f>
        <v/>
      </c>
      <c r="G41" s="12">
        <f>INDEX($D$7:$N$19,$C41,G$24)+$D41*(INDEX($D$7:$N$19,$C41+1,G$24)-INDEX($D$7:$N$19,$C41,G$24))</f>
        <v/>
      </c>
      <c r="H41" s="12">
        <f>INDEX($D$7:$N$19,$C41,H$24)+$D41*(INDEX($D$7:$N$19,$C41+1,H$24)-INDEX($D$7:$N$19,$C41,H$24))</f>
        <v/>
      </c>
      <c r="I41" s="12">
        <f>INDEX($D$7:$N$19,$C41,I$24)+$D41*(INDEX($D$7:$N$19,$C41+1,I$24)-INDEX($D$7:$N$19,$C41,I$24))</f>
        <v/>
      </c>
      <c r="J41" s="12">
        <f>INDEX($D$7:$N$19,$C41,J$24)+$D41*(INDEX($D$7:$N$19,$C41+1,J$24)-INDEX($D$7:$N$19,$C41,J$24))</f>
        <v/>
      </c>
      <c r="K41" s="12">
        <f>INDEX($D$7:$N$19,$C41,K$24)+$D41*(INDEX($D$7:$N$19,$C41+1,K$24)-INDEX($D$7:$N$19,$C41,K$24))</f>
        <v/>
      </c>
      <c r="L41" s="12">
        <f>INDEX($D$7:$N$19,$C41,L$24)+$D41*(INDEX($D$7:$N$19,$C41+1,L$24)-INDEX($D$7:$N$19,$C41,L$24))</f>
        <v/>
      </c>
      <c r="M41" s="12">
        <f>INDEX($D$7:$N$19,$C41,M$24)+$D41*(INDEX($D$7:$N$19,$C41+1,M$24)-INDEX($D$7:$N$19,$C41,M$24))</f>
        <v/>
      </c>
      <c r="N41" s="12">
        <f>INDEX($D$7:$N$19,$C41,N$24)+$D41*(INDEX($D$7:$N$19,$C41+1,N$24)-INDEX($D$7:$N$19,$C41,N$24))</f>
        <v/>
      </c>
      <c r="O41" s="12">
        <f>INDEX($D$7:$N$19,$C41,O$24)+$D41*(INDEX($D$7:$N$19,$C41+1,O$24)-INDEX($D$7:$N$19,$C41,O$24))</f>
        <v/>
      </c>
      <c r="P41" s="12">
        <f>INDEX($D$7:$N$19,$C41,P$24)+$D41*(INDEX($D$7:$N$19,$C41+1,P$24)-INDEX($D$7:$N$19,$C41,P$24))</f>
        <v/>
      </c>
      <c r="R41" s="13">
        <f>(1-F41*$E$4*SUM(R$25:R40))/(1+F41*$E$4)</f>
        <v/>
      </c>
      <c r="S41" s="13">
        <f>(1-G41*$E$4*SUM(S$25:S40))/(1+G41*$E$4)</f>
        <v/>
      </c>
      <c r="T41" s="13">
        <f>(1-H41*$E$4*SUM(T$25:T40))/(1+H41*$E$4)</f>
        <v/>
      </c>
      <c r="U41" s="13">
        <f>(1-I41*$E$4*SUM(U$25:U40))/(1+I41*$E$4)</f>
        <v/>
      </c>
      <c r="V41" s="13">
        <f>(1-J41*$E$4*SUM(V$25:V40))/(1+J41*$E$4)</f>
        <v/>
      </c>
      <c r="W41" s="13">
        <f>(1-K41*$E$4*SUM(W$25:W40))/(1+K41*$E$4)</f>
        <v/>
      </c>
      <c r="X41" s="13">
        <f>(1-L41*$E$4*SUM(X$25:X40))/(1+L41*$E$4)</f>
        <v/>
      </c>
      <c r="Y41" s="13">
        <f>(1-M41*$E$4*SUM(Y$25:Y40))/(1+M41*$E$4)</f>
        <v/>
      </c>
      <c r="Z41" s="13">
        <f>(1-N41*$E$4*SUM(Z$25:Z40))/(1+N41*$E$4)</f>
        <v/>
      </c>
      <c r="AA41" s="13">
        <f>(1-O41*$E$4*SUM(AA$25:AA40))/(1+O41*$E$4)</f>
        <v/>
      </c>
      <c r="AB41" s="13">
        <f>(1-P41*$E$4*SUM(AB$25:AB40))/(1+P41*$E$4)</f>
        <v/>
      </c>
    </row>
    <row r="42">
      <c r="A42" t="n">
        <v>18</v>
      </c>
      <c r="B42" s="11">
        <f>A42*0.25</f>
        <v/>
      </c>
      <c r="C42">
        <f>MIN(MATCH(B42,$B$7:$B$19,1),12)</f>
        <v/>
      </c>
      <c r="D42">
        <f>(B42-INDEX($B$7:$B$19,C42))/(INDEX($B$7:$B$19,C42+1)-INDEX($B$7:$B$19,C42))</f>
        <v/>
      </c>
      <c r="E42" s="16">
        <f>'Amort-Set-up'!E37</f>
        <v/>
      </c>
      <c r="F42" s="12">
        <f>INDEX($D$7:$N$19,$C42,F$24)+$D42*(INDEX($D$7:$N$19,$C42+1,F$24)-INDEX($D$7:$N$19,$C42,F$24))</f>
        <v/>
      </c>
      <c r="G42" s="12">
        <f>INDEX($D$7:$N$19,$C42,G$24)+$D42*(INDEX($D$7:$N$19,$C42+1,G$24)-INDEX($D$7:$N$19,$C42,G$24))</f>
        <v/>
      </c>
      <c r="H42" s="12">
        <f>INDEX($D$7:$N$19,$C42,H$24)+$D42*(INDEX($D$7:$N$19,$C42+1,H$24)-INDEX($D$7:$N$19,$C42,H$24))</f>
        <v/>
      </c>
      <c r="I42" s="12">
        <f>INDEX($D$7:$N$19,$C42,I$24)+$D42*(INDEX($D$7:$N$19,$C42+1,I$24)-INDEX($D$7:$N$19,$C42,I$24))</f>
        <v/>
      </c>
      <c r="J42" s="12">
        <f>INDEX($D$7:$N$19,$C42,J$24)+$D42*(INDEX($D$7:$N$19,$C42+1,J$24)-INDEX($D$7:$N$19,$C42,J$24))</f>
        <v/>
      </c>
      <c r="K42" s="12">
        <f>INDEX($D$7:$N$19,$C42,K$24)+$D42*(INDEX($D$7:$N$19,$C42+1,K$24)-INDEX($D$7:$N$19,$C42,K$24))</f>
        <v/>
      </c>
      <c r="L42" s="12">
        <f>INDEX($D$7:$N$19,$C42,L$24)+$D42*(INDEX($D$7:$N$19,$C42+1,L$24)-INDEX($D$7:$N$19,$C42,L$24))</f>
        <v/>
      </c>
      <c r="M42" s="12">
        <f>INDEX($D$7:$N$19,$C42,M$24)+$D42*(INDEX($D$7:$N$19,$C42+1,M$24)-INDEX($D$7:$N$19,$C42,M$24))</f>
        <v/>
      </c>
      <c r="N42" s="12">
        <f>INDEX($D$7:$N$19,$C42,N$24)+$D42*(INDEX($D$7:$N$19,$C42+1,N$24)-INDEX($D$7:$N$19,$C42,N$24))</f>
        <v/>
      </c>
      <c r="O42" s="12">
        <f>INDEX($D$7:$N$19,$C42,O$24)+$D42*(INDEX($D$7:$N$19,$C42+1,O$24)-INDEX($D$7:$N$19,$C42,O$24))</f>
        <v/>
      </c>
      <c r="P42" s="12">
        <f>INDEX($D$7:$N$19,$C42,P$24)+$D42*(INDEX($D$7:$N$19,$C42+1,P$24)-INDEX($D$7:$N$19,$C42,P$24))</f>
        <v/>
      </c>
      <c r="R42" s="13">
        <f>(1-F42*$E$4*SUM(R$25:R41))/(1+F42*$E$4)</f>
        <v/>
      </c>
      <c r="S42" s="13">
        <f>(1-G42*$E$4*SUM(S$25:S41))/(1+G42*$E$4)</f>
        <v/>
      </c>
      <c r="T42" s="13">
        <f>(1-H42*$E$4*SUM(T$25:T41))/(1+H42*$E$4)</f>
        <v/>
      </c>
      <c r="U42" s="13">
        <f>(1-I42*$E$4*SUM(U$25:U41))/(1+I42*$E$4)</f>
        <v/>
      </c>
      <c r="V42" s="13">
        <f>(1-J42*$E$4*SUM(V$25:V41))/(1+J42*$E$4)</f>
        <v/>
      </c>
      <c r="W42" s="13">
        <f>(1-K42*$E$4*SUM(W$25:W41))/(1+K42*$E$4)</f>
        <v/>
      </c>
      <c r="X42" s="13">
        <f>(1-L42*$E$4*SUM(X$25:X41))/(1+L42*$E$4)</f>
        <v/>
      </c>
      <c r="Y42" s="13">
        <f>(1-M42*$E$4*SUM(Y$25:Y41))/(1+M42*$E$4)</f>
        <v/>
      </c>
      <c r="Z42" s="13">
        <f>(1-N42*$E$4*SUM(Z$25:Z41))/(1+N42*$E$4)</f>
        <v/>
      </c>
      <c r="AA42" s="13">
        <f>(1-O42*$E$4*SUM(AA$25:AA41))/(1+O42*$E$4)</f>
        <v/>
      </c>
      <c r="AB42" s="13">
        <f>(1-P42*$E$4*SUM(AB$25:AB41))/(1+P42*$E$4)</f>
        <v/>
      </c>
    </row>
    <row r="43">
      <c r="A43" t="n">
        <v>19</v>
      </c>
      <c r="B43" s="11">
        <f>A43*0.25</f>
        <v/>
      </c>
      <c r="C43">
        <f>MIN(MATCH(B43,$B$7:$B$19,1),12)</f>
        <v/>
      </c>
      <c r="D43">
        <f>(B43-INDEX($B$7:$B$19,C43))/(INDEX($B$7:$B$19,C43+1)-INDEX($B$7:$B$19,C43))</f>
        <v/>
      </c>
      <c r="E43" s="16">
        <f>'Amort-Set-up'!E38</f>
        <v/>
      </c>
      <c r="F43" s="12">
        <f>INDEX($D$7:$N$19,$C43,F$24)+$D43*(INDEX($D$7:$N$19,$C43+1,F$24)-INDEX($D$7:$N$19,$C43,F$24))</f>
        <v/>
      </c>
      <c r="G43" s="12">
        <f>INDEX($D$7:$N$19,$C43,G$24)+$D43*(INDEX($D$7:$N$19,$C43+1,G$24)-INDEX($D$7:$N$19,$C43,G$24))</f>
        <v/>
      </c>
      <c r="H43" s="12">
        <f>INDEX($D$7:$N$19,$C43,H$24)+$D43*(INDEX($D$7:$N$19,$C43+1,H$24)-INDEX($D$7:$N$19,$C43,H$24))</f>
        <v/>
      </c>
      <c r="I43" s="12">
        <f>INDEX($D$7:$N$19,$C43,I$24)+$D43*(INDEX($D$7:$N$19,$C43+1,I$24)-INDEX($D$7:$N$19,$C43,I$24))</f>
        <v/>
      </c>
      <c r="J43" s="12">
        <f>INDEX($D$7:$N$19,$C43,J$24)+$D43*(INDEX($D$7:$N$19,$C43+1,J$24)-INDEX($D$7:$N$19,$C43,J$24))</f>
        <v/>
      </c>
      <c r="K43" s="12">
        <f>INDEX($D$7:$N$19,$C43,K$24)+$D43*(INDEX($D$7:$N$19,$C43+1,K$24)-INDEX($D$7:$N$19,$C43,K$24))</f>
        <v/>
      </c>
      <c r="L43" s="12">
        <f>INDEX($D$7:$N$19,$C43,L$24)+$D43*(INDEX($D$7:$N$19,$C43+1,L$24)-INDEX($D$7:$N$19,$C43,L$24))</f>
        <v/>
      </c>
      <c r="M43" s="12">
        <f>INDEX($D$7:$N$19,$C43,M$24)+$D43*(INDEX($D$7:$N$19,$C43+1,M$24)-INDEX($D$7:$N$19,$C43,M$24))</f>
        <v/>
      </c>
      <c r="N43" s="12">
        <f>INDEX($D$7:$N$19,$C43,N$24)+$D43*(INDEX($D$7:$N$19,$C43+1,N$24)-INDEX($D$7:$N$19,$C43,N$24))</f>
        <v/>
      </c>
      <c r="O43" s="12">
        <f>INDEX($D$7:$N$19,$C43,O$24)+$D43*(INDEX($D$7:$N$19,$C43+1,O$24)-INDEX($D$7:$N$19,$C43,O$24))</f>
        <v/>
      </c>
      <c r="P43" s="12">
        <f>INDEX($D$7:$N$19,$C43,P$24)+$D43*(INDEX($D$7:$N$19,$C43+1,P$24)-INDEX($D$7:$N$19,$C43,P$24))</f>
        <v/>
      </c>
      <c r="R43" s="13">
        <f>(1-F43*$E$4*SUM(R$25:R42))/(1+F43*$E$4)</f>
        <v/>
      </c>
      <c r="S43" s="13">
        <f>(1-G43*$E$4*SUM(S$25:S42))/(1+G43*$E$4)</f>
        <v/>
      </c>
      <c r="T43" s="13">
        <f>(1-H43*$E$4*SUM(T$25:T42))/(1+H43*$E$4)</f>
        <v/>
      </c>
      <c r="U43" s="13">
        <f>(1-I43*$E$4*SUM(U$25:U42))/(1+I43*$E$4)</f>
        <v/>
      </c>
      <c r="V43" s="13">
        <f>(1-J43*$E$4*SUM(V$25:V42))/(1+J43*$E$4)</f>
        <v/>
      </c>
      <c r="W43" s="13">
        <f>(1-K43*$E$4*SUM(W$25:W42))/(1+K43*$E$4)</f>
        <v/>
      </c>
      <c r="X43" s="13">
        <f>(1-L43*$E$4*SUM(X$25:X42))/(1+L43*$E$4)</f>
        <v/>
      </c>
      <c r="Y43" s="13">
        <f>(1-M43*$E$4*SUM(Y$25:Y42))/(1+M43*$E$4)</f>
        <v/>
      </c>
      <c r="Z43" s="13">
        <f>(1-N43*$E$4*SUM(Z$25:Z42))/(1+N43*$E$4)</f>
        <v/>
      </c>
      <c r="AA43" s="13">
        <f>(1-O43*$E$4*SUM(AA$25:AA42))/(1+O43*$E$4)</f>
        <v/>
      </c>
      <c r="AB43" s="13">
        <f>(1-P43*$E$4*SUM(AB$25:AB42))/(1+P43*$E$4)</f>
        <v/>
      </c>
    </row>
    <row r="44">
      <c r="A44" t="n">
        <v>20</v>
      </c>
      <c r="B44" s="11">
        <f>A44*0.25</f>
        <v/>
      </c>
      <c r="C44">
        <f>MIN(MATCH(B44,$B$7:$B$19,1),12)</f>
        <v/>
      </c>
      <c r="D44">
        <f>(B44-INDEX($B$7:$B$19,C44))/(INDEX($B$7:$B$19,C44+1)-INDEX($B$7:$B$19,C44))</f>
        <v/>
      </c>
      <c r="E44" s="16">
        <f>'Amort-Set-up'!E39</f>
        <v/>
      </c>
      <c r="F44" s="12">
        <f>INDEX($D$7:$N$19,$C44,F$24)+$D44*(INDEX($D$7:$N$19,$C44+1,F$24)-INDEX($D$7:$N$19,$C44,F$24))</f>
        <v/>
      </c>
      <c r="G44" s="12">
        <f>INDEX($D$7:$N$19,$C44,G$24)+$D44*(INDEX($D$7:$N$19,$C44+1,G$24)-INDEX($D$7:$N$19,$C44,G$24))</f>
        <v/>
      </c>
      <c r="H44" s="12">
        <f>INDEX($D$7:$N$19,$C44,H$24)+$D44*(INDEX($D$7:$N$19,$C44+1,H$24)-INDEX($D$7:$N$19,$C44,H$24))</f>
        <v/>
      </c>
      <c r="I44" s="12">
        <f>INDEX($D$7:$N$19,$C44,I$24)+$D44*(INDEX($D$7:$N$19,$C44+1,I$24)-INDEX($D$7:$N$19,$C44,I$24))</f>
        <v/>
      </c>
      <c r="J44" s="12">
        <f>INDEX($D$7:$N$19,$C44,J$24)+$D44*(INDEX($D$7:$N$19,$C44+1,J$24)-INDEX($D$7:$N$19,$C44,J$24))</f>
        <v/>
      </c>
      <c r="K44" s="12">
        <f>INDEX($D$7:$N$19,$C44,K$24)+$D44*(INDEX($D$7:$N$19,$C44+1,K$24)-INDEX($D$7:$N$19,$C44,K$24))</f>
        <v/>
      </c>
      <c r="L44" s="12">
        <f>INDEX($D$7:$N$19,$C44,L$24)+$D44*(INDEX($D$7:$N$19,$C44+1,L$24)-INDEX($D$7:$N$19,$C44,L$24))</f>
        <v/>
      </c>
      <c r="M44" s="12">
        <f>INDEX($D$7:$N$19,$C44,M$24)+$D44*(INDEX($D$7:$N$19,$C44+1,M$24)-INDEX($D$7:$N$19,$C44,M$24))</f>
        <v/>
      </c>
      <c r="N44" s="12">
        <f>INDEX($D$7:$N$19,$C44,N$24)+$D44*(INDEX($D$7:$N$19,$C44+1,N$24)-INDEX($D$7:$N$19,$C44,N$24))</f>
        <v/>
      </c>
      <c r="O44" s="12">
        <f>INDEX($D$7:$N$19,$C44,O$24)+$D44*(INDEX($D$7:$N$19,$C44+1,O$24)-INDEX($D$7:$N$19,$C44,O$24))</f>
        <v/>
      </c>
      <c r="P44" s="12">
        <f>INDEX($D$7:$N$19,$C44,P$24)+$D44*(INDEX($D$7:$N$19,$C44+1,P$24)-INDEX($D$7:$N$19,$C44,P$24))</f>
        <v/>
      </c>
      <c r="R44" s="13">
        <f>(1-F44*$E$4*SUM(R$25:R43))/(1+F44*$E$4)</f>
        <v/>
      </c>
      <c r="S44" s="13">
        <f>(1-G44*$E$4*SUM(S$25:S43))/(1+G44*$E$4)</f>
        <v/>
      </c>
      <c r="T44" s="13">
        <f>(1-H44*$E$4*SUM(T$25:T43))/(1+H44*$E$4)</f>
        <v/>
      </c>
      <c r="U44" s="13">
        <f>(1-I44*$E$4*SUM(U$25:U43))/(1+I44*$E$4)</f>
        <v/>
      </c>
      <c r="V44" s="13">
        <f>(1-J44*$E$4*SUM(V$25:V43))/(1+J44*$E$4)</f>
        <v/>
      </c>
      <c r="W44" s="13">
        <f>(1-K44*$E$4*SUM(W$25:W43))/(1+K44*$E$4)</f>
        <v/>
      </c>
      <c r="X44" s="13">
        <f>(1-L44*$E$4*SUM(X$25:X43))/(1+L44*$E$4)</f>
        <v/>
      </c>
      <c r="Y44" s="13">
        <f>(1-M44*$E$4*SUM(Y$25:Y43))/(1+M44*$E$4)</f>
        <v/>
      </c>
      <c r="Z44" s="13">
        <f>(1-N44*$E$4*SUM(Z$25:Z43))/(1+N44*$E$4)</f>
        <v/>
      </c>
      <c r="AA44" s="13">
        <f>(1-O44*$E$4*SUM(AA$25:AA43))/(1+O44*$E$4)</f>
        <v/>
      </c>
      <c r="AB44" s="13">
        <f>(1-P44*$E$4*SUM(AB$25:AB43))/(1+P44*$E$4)</f>
        <v/>
      </c>
    </row>
    <row r="45">
      <c r="A45" t="n">
        <v>21</v>
      </c>
      <c r="B45" s="11">
        <f>A45*0.25</f>
        <v/>
      </c>
      <c r="C45">
        <f>MIN(MATCH(B45,$B$7:$B$19,1),12)</f>
        <v/>
      </c>
      <c r="D45">
        <f>(B45-INDEX($B$7:$B$19,C45))/(INDEX($B$7:$B$19,C45+1)-INDEX($B$7:$B$19,C45))</f>
        <v/>
      </c>
      <c r="E45" s="16">
        <f>'Amort-Set-up'!E40</f>
        <v/>
      </c>
      <c r="F45" s="12">
        <f>INDEX($D$7:$N$19,$C45,F$24)+$D45*(INDEX($D$7:$N$19,$C45+1,F$24)-INDEX($D$7:$N$19,$C45,F$24))</f>
        <v/>
      </c>
      <c r="G45" s="12">
        <f>INDEX($D$7:$N$19,$C45,G$24)+$D45*(INDEX($D$7:$N$19,$C45+1,G$24)-INDEX($D$7:$N$19,$C45,G$24))</f>
        <v/>
      </c>
      <c r="H45" s="12">
        <f>INDEX($D$7:$N$19,$C45,H$24)+$D45*(INDEX($D$7:$N$19,$C45+1,H$24)-INDEX($D$7:$N$19,$C45,H$24))</f>
        <v/>
      </c>
      <c r="I45" s="12">
        <f>INDEX($D$7:$N$19,$C45,I$24)+$D45*(INDEX($D$7:$N$19,$C45+1,I$24)-INDEX($D$7:$N$19,$C45,I$24))</f>
        <v/>
      </c>
      <c r="J45" s="12">
        <f>INDEX($D$7:$N$19,$C45,J$24)+$D45*(INDEX($D$7:$N$19,$C45+1,J$24)-INDEX($D$7:$N$19,$C45,J$24))</f>
        <v/>
      </c>
      <c r="K45" s="12">
        <f>INDEX($D$7:$N$19,$C45,K$24)+$D45*(INDEX($D$7:$N$19,$C45+1,K$24)-INDEX($D$7:$N$19,$C45,K$24))</f>
        <v/>
      </c>
      <c r="L45" s="12">
        <f>INDEX($D$7:$N$19,$C45,L$24)+$D45*(INDEX($D$7:$N$19,$C45+1,L$24)-INDEX($D$7:$N$19,$C45,L$24))</f>
        <v/>
      </c>
      <c r="M45" s="12">
        <f>INDEX($D$7:$N$19,$C45,M$24)+$D45*(INDEX($D$7:$N$19,$C45+1,M$24)-INDEX($D$7:$N$19,$C45,M$24))</f>
        <v/>
      </c>
      <c r="N45" s="12">
        <f>INDEX($D$7:$N$19,$C45,N$24)+$D45*(INDEX($D$7:$N$19,$C45+1,N$24)-INDEX($D$7:$N$19,$C45,N$24))</f>
        <v/>
      </c>
      <c r="O45" s="12">
        <f>INDEX($D$7:$N$19,$C45,O$24)+$D45*(INDEX($D$7:$N$19,$C45+1,O$24)-INDEX($D$7:$N$19,$C45,O$24))</f>
        <v/>
      </c>
      <c r="P45" s="12">
        <f>INDEX($D$7:$N$19,$C45,P$24)+$D45*(INDEX($D$7:$N$19,$C45+1,P$24)-INDEX($D$7:$N$19,$C45,P$24))</f>
        <v/>
      </c>
      <c r="R45" s="13">
        <f>(1-F45*$E$4*SUM(R$25:R44))/(1+F45*$E$4)</f>
        <v/>
      </c>
      <c r="S45" s="13">
        <f>(1-G45*$E$4*SUM(S$25:S44))/(1+G45*$E$4)</f>
        <v/>
      </c>
      <c r="T45" s="13">
        <f>(1-H45*$E$4*SUM(T$25:T44))/(1+H45*$E$4)</f>
        <v/>
      </c>
      <c r="U45" s="13">
        <f>(1-I45*$E$4*SUM(U$25:U44))/(1+I45*$E$4)</f>
        <v/>
      </c>
      <c r="V45" s="13">
        <f>(1-J45*$E$4*SUM(V$25:V44))/(1+J45*$E$4)</f>
        <v/>
      </c>
      <c r="W45" s="13">
        <f>(1-K45*$E$4*SUM(W$25:W44))/(1+K45*$E$4)</f>
        <v/>
      </c>
      <c r="X45" s="13">
        <f>(1-L45*$E$4*SUM(X$25:X44))/(1+L45*$E$4)</f>
        <v/>
      </c>
      <c r="Y45" s="13">
        <f>(1-M45*$E$4*SUM(Y$25:Y44))/(1+M45*$E$4)</f>
        <v/>
      </c>
      <c r="Z45" s="13">
        <f>(1-N45*$E$4*SUM(Z$25:Z44))/(1+N45*$E$4)</f>
        <v/>
      </c>
      <c r="AA45" s="13">
        <f>(1-O45*$E$4*SUM(AA$25:AA44))/(1+O45*$E$4)</f>
        <v/>
      </c>
      <c r="AB45" s="13">
        <f>(1-P45*$E$4*SUM(AB$25:AB44))/(1+P45*$E$4)</f>
        <v/>
      </c>
    </row>
    <row r="46">
      <c r="A46" t="n">
        <v>22</v>
      </c>
      <c r="B46" s="11">
        <f>A46*0.25</f>
        <v/>
      </c>
      <c r="C46">
        <f>MIN(MATCH(B46,$B$7:$B$19,1),12)</f>
        <v/>
      </c>
      <c r="D46">
        <f>(B46-INDEX($B$7:$B$19,C46))/(INDEX($B$7:$B$19,C46+1)-INDEX($B$7:$B$19,C46))</f>
        <v/>
      </c>
      <c r="E46" s="16">
        <f>'Amort-Set-up'!E41</f>
        <v/>
      </c>
      <c r="F46" s="12">
        <f>INDEX($D$7:$N$19,$C46,F$24)+$D46*(INDEX($D$7:$N$19,$C46+1,F$24)-INDEX($D$7:$N$19,$C46,F$24))</f>
        <v/>
      </c>
      <c r="G46" s="12">
        <f>INDEX($D$7:$N$19,$C46,G$24)+$D46*(INDEX($D$7:$N$19,$C46+1,G$24)-INDEX($D$7:$N$19,$C46,G$24))</f>
        <v/>
      </c>
      <c r="H46" s="12">
        <f>INDEX($D$7:$N$19,$C46,H$24)+$D46*(INDEX($D$7:$N$19,$C46+1,H$24)-INDEX($D$7:$N$19,$C46,H$24))</f>
        <v/>
      </c>
      <c r="I46" s="12">
        <f>INDEX($D$7:$N$19,$C46,I$24)+$D46*(INDEX($D$7:$N$19,$C46+1,I$24)-INDEX($D$7:$N$19,$C46,I$24))</f>
        <v/>
      </c>
      <c r="J46" s="12">
        <f>INDEX($D$7:$N$19,$C46,J$24)+$D46*(INDEX($D$7:$N$19,$C46+1,J$24)-INDEX($D$7:$N$19,$C46,J$24))</f>
        <v/>
      </c>
      <c r="K46" s="12">
        <f>INDEX($D$7:$N$19,$C46,K$24)+$D46*(INDEX($D$7:$N$19,$C46+1,K$24)-INDEX($D$7:$N$19,$C46,K$24))</f>
        <v/>
      </c>
      <c r="L46" s="12">
        <f>INDEX($D$7:$N$19,$C46,L$24)+$D46*(INDEX($D$7:$N$19,$C46+1,L$24)-INDEX($D$7:$N$19,$C46,L$24))</f>
        <v/>
      </c>
      <c r="M46" s="12">
        <f>INDEX($D$7:$N$19,$C46,M$24)+$D46*(INDEX($D$7:$N$19,$C46+1,M$24)-INDEX($D$7:$N$19,$C46,M$24))</f>
        <v/>
      </c>
      <c r="N46" s="12">
        <f>INDEX($D$7:$N$19,$C46,N$24)+$D46*(INDEX($D$7:$N$19,$C46+1,N$24)-INDEX($D$7:$N$19,$C46,N$24))</f>
        <v/>
      </c>
      <c r="O46" s="12">
        <f>INDEX($D$7:$N$19,$C46,O$24)+$D46*(INDEX($D$7:$N$19,$C46+1,O$24)-INDEX($D$7:$N$19,$C46,O$24))</f>
        <v/>
      </c>
      <c r="P46" s="12">
        <f>INDEX($D$7:$N$19,$C46,P$24)+$D46*(INDEX($D$7:$N$19,$C46+1,P$24)-INDEX($D$7:$N$19,$C46,P$24))</f>
        <v/>
      </c>
      <c r="R46" s="13">
        <f>(1-F46*$E$4*SUM(R$25:R45))/(1+F46*$E$4)</f>
        <v/>
      </c>
      <c r="S46" s="13">
        <f>(1-G46*$E$4*SUM(S$25:S45))/(1+G46*$E$4)</f>
        <v/>
      </c>
      <c r="T46" s="13">
        <f>(1-H46*$E$4*SUM(T$25:T45))/(1+H46*$E$4)</f>
        <v/>
      </c>
      <c r="U46" s="13">
        <f>(1-I46*$E$4*SUM(U$25:U45))/(1+I46*$E$4)</f>
        <v/>
      </c>
      <c r="V46" s="13">
        <f>(1-J46*$E$4*SUM(V$25:V45))/(1+J46*$E$4)</f>
        <v/>
      </c>
      <c r="W46" s="13">
        <f>(1-K46*$E$4*SUM(W$25:W45))/(1+K46*$E$4)</f>
        <v/>
      </c>
      <c r="X46" s="13">
        <f>(1-L46*$E$4*SUM(X$25:X45))/(1+L46*$E$4)</f>
        <v/>
      </c>
      <c r="Y46" s="13">
        <f>(1-M46*$E$4*SUM(Y$25:Y45))/(1+M46*$E$4)</f>
        <v/>
      </c>
      <c r="Z46" s="13">
        <f>(1-N46*$E$4*SUM(Z$25:Z45))/(1+N46*$E$4)</f>
        <v/>
      </c>
      <c r="AA46" s="13">
        <f>(1-O46*$E$4*SUM(AA$25:AA45))/(1+O46*$E$4)</f>
        <v/>
      </c>
      <c r="AB46" s="13">
        <f>(1-P46*$E$4*SUM(AB$25:AB45))/(1+P46*$E$4)</f>
        <v/>
      </c>
    </row>
    <row r="47">
      <c r="A47" t="n">
        <v>23</v>
      </c>
      <c r="B47" s="11">
        <f>A47*0.25</f>
        <v/>
      </c>
      <c r="C47">
        <f>MIN(MATCH(B47,$B$7:$B$19,1),12)</f>
        <v/>
      </c>
      <c r="D47">
        <f>(B47-INDEX($B$7:$B$19,C47))/(INDEX($B$7:$B$19,C47+1)-INDEX($B$7:$B$19,C47))</f>
        <v/>
      </c>
      <c r="E47" s="16">
        <f>'Amort-Set-up'!E42</f>
        <v/>
      </c>
      <c r="F47" s="12">
        <f>INDEX($D$7:$N$19,$C47,F$24)+$D47*(INDEX($D$7:$N$19,$C47+1,F$24)-INDEX($D$7:$N$19,$C47,F$24))</f>
        <v/>
      </c>
      <c r="G47" s="12">
        <f>INDEX($D$7:$N$19,$C47,G$24)+$D47*(INDEX($D$7:$N$19,$C47+1,G$24)-INDEX($D$7:$N$19,$C47,G$24))</f>
        <v/>
      </c>
      <c r="H47" s="12">
        <f>INDEX($D$7:$N$19,$C47,H$24)+$D47*(INDEX($D$7:$N$19,$C47+1,H$24)-INDEX($D$7:$N$19,$C47,H$24))</f>
        <v/>
      </c>
      <c r="I47" s="12">
        <f>INDEX($D$7:$N$19,$C47,I$24)+$D47*(INDEX($D$7:$N$19,$C47+1,I$24)-INDEX($D$7:$N$19,$C47,I$24))</f>
        <v/>
      </c>
      <c r="J47" s="12">
        <f>INDEX($D$7:$N$19,$C47,J$24)+$D47*(INDEX($D$7:$N$19,$C47+1,J$24)-INDEX($D$7:$N$19,$C47,J$24))</f>
        <v/>
      </c>
      <c r="K47" s="12">
        <f>INDEX($D$7:$N$19,$C47,K$24)+$D47*(INDEX($D$7:$N$19,$C47+1,K$24)-INDEX($D$7:$N$19,$C47,K$24))</f>
        <v/>
      </c>
      <c r="L47" s="12">
        <f>INDEX($D$7:$N$19,$C47,L$24)+$D47*(INDEX($D$7:$N$19,$C47+1,L$24)-INDEX($D$7:$N$19,$C47,L$24))</f>
        <v/>
      </c>
      <c r="M47" s="12">
        <f>INDEX($D$7:$N$19,$C47,M$24)+$D47*(INDEX($D$7:$N$19,$C47+1,M$24)-INDEX($D$7:$N$19,$C47,M$24))</f>
        <v/>
      </c>
      <c r="N47" s="12">
        <f>INDEX($D$7:$N$19,$C47,N$24)+$D47*(INDEX($D$7:$N$19,$C47+1,N$24)-INDEX($D$7:$N$19,$C47,N$24))</f>
        <v/>
      </c>
      <c r="O47" s="12">
        <f>INDEX($D$7:$N$19,$C47,O$24)+$D47*(INDEX($D$7:$N$19,$C47+1,O$24)-INDEX($D$7:$N$19,$C47,O$24))</f>
        <v/>
      </c>
      <c r="P47" s="12">
        <f>INDEX($D$7:$N$19,$C47,P$24)+$D47*(INDEX($D$7:$N$19,$C47+1,P$24)-INDEX($D$7:$N$19,$C47,P$24))</f>
        <v/>
      </c>
      <c r="R47" s="13">
        <f>(1-F47*$E$4*SUM(R$25:R46))/(1+F47*$E$4)</f>
        <v/>
      </c>
      <c r="S47" s="13">
        <f>(1-G47*$E$4*SUM(S$25:S46))/(1+G47*$E$4)</f>
        <v/>
      </c>
      <c r="T47" s="13">
        <f>(1-H47*$E$4*SUM(T$25:T46))/(1+H47*$E$4)</f>
        <v/>
      </c>
      <c r="U47" s="13">
        <f>(1-I47*$E$4*SUM(U$25:U46))/(1+I47*$E$4)</f>
        <v/>
      </c>
      <c r="V47" s="13">
        <f>(1-J47*$E$4*SUM(V$25:V46))/(1+J47*$E$4)</f>
        <v/>
      </c>
      <c r="W47" s="13">
        <f>(1-K47*$E$4*SUM(W$25:W46))/(1+K47*$E$4)</f>
        <v/>
      </c>
      <c r="X47" s="13">
        <f>(1-L47*$E$4*SUM(X$25:X46))/(1+L47*$E$4)</f>
        <v/>
      </c>
      <c r="Y47" s="13">
        <f>(1-M47*$E$4*SUM(Y$25:Y46))/(1+M47*$E$4)</f>
        <v/>
      </c>
      <c r="Z47" s="13">
        <f>(1-N47*$E$4*SUM(Z$25:Z46))/(1+N47*$E$4)</f>
        <v/>
      </c>
      <c r="AA47" s="13">
        <f>(1-O47*$E$4*SUM(AA$25:AA46))/(1+O47*$E$4)</f>
        <v/>
      </c>
      <c r="AB47" s="13">
        <f>(1-P47*$E$4*SUM(AB$25:AB46))/(1+P47*$E$4)</f>
        <v/>
      </c>
    </row>
    <row r="48">
      <c r="A48" t="n">
        <v>24</v>
      </c>
      <c r="B48" s="11">
        <f>A48*0.25</f>
        <v/>
      </c>
      <c r="C48">
        <f>MIN(MATCH(B48,$B$7:$B$19,1),12)</f>
        <v/>
      </c>
      <c r="D48">
        <f>(B48-INDEX($B$7:$B$19,C48))/(INDEX($B$7:$B$19,C48+1)-INDEX($B$7:$B$19,C48))</f>
        <v/>
      </c>
      <c r="E48" s="16">
        <f>'Amort-Set-up'!E43</f>
        <v/>
      </c>
      <c r="F48" s="12">
        <f>INDEX($D$7:$N$19,$C48,F$24)+$D48*(INDEX($D$7:$N$19,$C48+1,F$24)-INDEX($D$7:$N$19,$C48,F$24))</f>
        <v/>
      </c>
      <c r="G48" s="12">
        <f>INDEX($D$7:$N$19,$C48,G$24)+$D48*(INDEX($D$7:$N$19,$C48+1,G$24)-INDEX($D$7:$N$19,$C48,G$24))</f>
        <v/>
      </c>
      <c r="H48" s="12">
        <f>INDEX($D$7:$N$19,$C48,H$24)+$D48*(INDEX($D$7:$N$19,$C48+1,H$24)-INDEX($D$7:$N$19,$C48,H$24))</f>
        <v/>
      </c>
      <c r="I48" s="12">
        <f>INDEX($D$7:$N$19,$C48,I$24)+$D48*(INDEX($D$7:$N$19,$C48+1,I$24)-INDEX($D$7:$N$19,$C48,I$24))</f>
        <v/>
      </c>
      <c r="J48" s="12">
        <f>INDEX($D$7:$N$19,$C48,J$24)+$D48*(INDEX($D$7:$N$19,$C48+1,J$24)-INDEX($D$7:$N$19,$C48,J$24))</f>
        <v/>
      </c>
      <c r="K48" s="12">
        <f>INDEX($D$7:$N$19,$C48,K$24)+$D48*(INDEX($D$7:$N$19,$C48+1,K$24)-INDEX($D$7:$N$19,$C48,K$24))</f>
        <v/>
      </c>
      <c r="L48" s="12">
        <f>INDEX($D$7:$N$19,$C48,L$24)+$D48*(INDEX($D$7:$N$19,$C48+1,L$24)-INDEX($D$7:$N$19,$C48,L$24))</f>
        <v/>
      </c>
      <c r="M48" s="12">
        <f>INDEX($D$7:$N$19,$C48,M$24)+$D48*(INDEX($D$7:$N$19,$C48+1,M$24)-INDEX($D$7:$N$19,$C48,M$24))</f>
        <v/>
      </c>
      <c r="N48" s="12">
        <f>INDEX($D$7:$N$19,$C48,N$24)+$D48*(INDEX($D$7:$N$19,$C48+1,N$24)-INDEX($D$7:$N$19,$C48,N$24))</f>
        <v/>
      </c>
      <c r="O48" s="12">
        <f>INDEX($D$7:$N$19,$C48,O$24)+$D48*(INDEX($D$7:$N$19,$C48+1,O$24)-INDEX($D$7:$N$19,$C48,O$24))</f>
        <v/>
      </c>
      <c r="P48" s="12">
        <f>INDEX($D$7:$N$19,$C48,P$24)+$D48*(INDEX($D$7:$N$19,$C48+1,P$24)-INDEX($D$7:$N$19,$C48,P$24))</f>
        <v/>
      </c>
      <c r="R48" s="13">
        <f>(1-F48*$E$4*SUM(R$25:R47))/(1+F48*$E$4)</f>
        <v/>
      </c>
      <c r="S48" s="13">
        <f>(1-G48*$E$4*SUM(S$25:S47))/(1+G48*$E$4)</f>
        <v/>
      </c>
      <c r="T48" s="13">
        <f>(1-H48*$E$4*SUM(T$25:T47))/(1+H48*$E$4)</f>
        <v/>
      </c>
      <c r="U48" s="13">
        <f>(1-I48*$E$4*SUM(U$25:U47))/(1+I48*$E$4)</f>
        <v/>
      </c>
      <c r="V48" s="13">
        <f>(1-J48*$E$4*SUM(V$25:V47))/(1+J48*$E$4)</f>
        <v/>
      </c>
      <c r="W48" s="13">
        <f>(1-K48*$E$4*SUM(W$25:W47))/(1+K48*$E$4)</f>
        <v/>
      </c>
      <c r="X48" s="13">
        <f>(1-L48*$E$4*SUM(X$25:X47))/(1+L48*$E$4)</f>
        <v/>
      </c>
      <c r="Y48" s="13">
        <f>(1-M48*$E$4*SUM(Y$25:Y47))/(1+M48*$E$4)</f>
        <v/>
      </c>
      <c r="Z48" s="13">
        <f>(1-N48*$E$4*SUM(Z$25:Z47))/(1+N48*$E$4)</f>
        <v/>
      </c>
      <c r="AA48" s="13">
        <f>(1-O48*$E$4*SUM(AA$25:AA47))/(1+O48*$E$4)</f>
        <v/>
      </c>
      <c r="AB48" s="13">
        <f>(1-P48*$E$4*SUM(AB$25:AB47))/(1+P48*$E$4)</f>
        <v/>
      </c>
    </row>
    <row r="49">
      <c r="A49" t="n">
        <v>25</v>
      </c>
      <c r="B49" s="11">
        <f>A49*0.25</f>
        <v/>
      </c>
      <c r="C49">
        <f>MIN(MATCH(B49,$B$7:$B$19,1),12)</f>
        <v/>
      </c>
      <c r="D49">
        <f>(B49-INDEX($B$7:$B$19,C49))/(INDEX($B$7:$B$19,C49+1)-INDEX($B$7:$B$19,C49))</f>
        <v/>
      </c>
      <c r="E49" s="16">
        <f>'Amort-Set-up'!E44</f>
        <v/>
      </c>
      <c r="F49" s="12">
        <f>INDEX($D$7:$N$19,$C49,F$24)+$D49*(INDEX($D$7:$N$19,$C49+1,F$24)-INDEX($D$7:$N$19,$C49,F$24))</f>
        <v/>
      </c>
      <c r="G49" s="12">
        <f>INDEX($D$7:$N$19,$C49,G$24)+$D49*(INDEX($D$7:$N$19,$C49+1,G$24)-INDEX($D$7:$N$19,$C49,G$24))</f>
        <v/>
      </c>
      <c r="H49" s="12">
        <f>INDEX($D$7:$N$19,$C49,H$24)+$D49*(INDEX($D$7:$N$19,$C49+1,H$24)-INDEX($D$7:$N$19,$C49,H$24))</f>
        <v/>
      </c>
      <c r="I49" s="12">
        <f>INDEX($D$7:$N$19,$C49,I$24)+$D49*(INDEX($D$7:$N$19,$C49+1,I$24)-INDEX($D$7:$N$19,$C49,I$24))</f>
        <v/>
      </c>
      <c r="J49" s="12">
        <f>INDEX($D$7:$N$19,$C49,J$24)+$D49*(INDEX($D$7:$N$19,$C49+1,J$24)-INDEX($D$7:$N$19,$C49,J$24))</f>
        <v/>
      </c>
      <c r="K49" s="12">
        <f>INDEX($D$7:$N$19,$C49,K$24)+$D49*(INDEX($D$7:$N$19,$C49+1,K$24)-INDEX($D$7:$N$19,$C49,K$24))</f>
        <v/>
      </c>
      <c r="L49" s="12">
        <f>INDEX($D$7:$N$19,$C49,L$24)+$D49*(INDEX($D$7:$N$19,$C49+1,L$24)-INDEX($D$7:$N$19,$C49,L$24))</f>
        <v/>
      </c>
      <c r="M49" s="12">
        <f>INDEX($D$7:$N$19,$C49,M$24)+$D49*(INDEX($D$7:$N$19,$C49+1,M$24)-INDEX($D$7:$N$19,$C49,M$24))</f>
        <v/>
      </c>
      <c r="N49" s="12">
        <f>INDEX($D$7:$N$19,$C49,N$24)+$D49*(INDEX($D$7:$N$19,$C49+1,N$24)-INDEX($D$7:$N$19,$C49,N$24))</f>
        <v/>
      </c>
      <c r="O49" s="12">
        <f>INDEX($D$7:$N$19,$C49,O$24)+$D49*(INDEX($D$7:$N$19,$C49+1,O$24)-INDEX($D$7:$N$19,$C49,O$24))</f>
        <v/>
      </c>
      <c r="P49" s="12">
        <f>INDEX($D$7:$N$19,$C49,P$24)+$D49*(INDEX($D$7:$N$19,$C49+1,P$24)-INDEX($D$7:$N$19,$C49,P$24))</f>
        <v/>
      </c>
      <c r="R49" s="13">
        <f>(1-F49*$E$4*SUM(R$25:R48))/(1+F49*$E$4)</f>
        <v/>
      </c>
      <c r="S49" s="13">
        <f>(1-G49*$E$4*SUM(S$25:S48))/(1+G49*$E$4)</f>
        <v/>
      </c>
      <c r="T49" s="13">
        <f>(1-H49*$E$4*SUM(T$25:T48))/(1+H49*$E$4)</f>
        <v/>
      </c>
      <c r="U49" s="13">
        <f>(1-I49*$E$4*SUM(U$25:U48))/(1+I49*$E$4)</f>
        <v/>
      </c>
      <c r="V49" s="13">
        <f>(1-J49*$E$4*SUM(V$25:V48))/(1+J49*$E$4)</f>
        <v/>
      </c>
      <c r="W49" s="13">
        <f>(1-K49*$E$4*SUM(W$25:W48))/(1+K49*$E$4)</f>
        <v/>
      </c>
      <c r="X49" s="13">
        <f>(1-L49*$E$4*SUM(X$25:X48))/(1+L49*$E$4)</f>
        <v/>
      </c>
      <c r="Y49" s="13">
        <f>(1-M49*$E$4*SUM(Y$25:Y48))/(1+M49*$E$4)</f>
        <v/>
      </c>
      <c r="Z49" s="13">
        <f>(1-N49*$E$4*SUM(Z$25:Z48))/(1+N49*$E$4)</f>
        <v/>
      </c>
      <c r="AA49" s="13">
        <f>(1-O49*$E$4*SUM(AA$25:AA48))/(1+O49*$E$4)</f>
        <v/>
      </c>
      <c r="AB49" s="13">
        <f>(1-P49*$E$4*SUM(AB$25:AB48))/(1+P49*$E$4)</f>
        <v/>
      </c>
    </row>
    <row r="50">
      <c r="A50" t="n">
        <v>26</v>
      </c>
      <c r="B50" s="11">
        <f>A50*0.25</f>
        <v/>
      </c>
      <c r="C50">
        <f>MIN(MATCH(B50,$B$7:$B$19,1),12)</f>
        <v/>
      </c>
      <c r="D50">
        <f>(B50-INDEX($B$7:$B$19,C50))/(INDEX($B$7:$B$19,C50+1)-INDEX($B$7:$B$19,C50))</f>
        <v/>
      </c>
      <c r="E50" s="16">
        <f>'Amort-Set-up'!E45</f>
        <v/>
      </c>
      <c r="F50" s="12">
        <f>INDEX($D$7:$N$19,$C50,F$24)+$D50*(INDEX($D$7:$N$19,$C50+1,F$24)-INDEX($D$7:$N$19,$C50,F$24))</f>
        <v/>
      </c>
      <c r="G50" s="12">
        <f>INDEX($D$7:$N$19,$C50,G$24)+$D50*(INDEX($D$7:$N$19,$C50+1,G$24)-INDEX($D$7:$N$19,$C50,G$24))</f>
        <v/>
      </c>
      <c r="H50" s="12">
        <f>INDEX($D$7:$N$19,$C50,H$24)+$D50*(INDEX($D$7:$N$19,$C50+1,H$24)-INDEX($D$7:$N$19,$C50,H$24))</f>
        <v/>
      </c>
      <c r="I50" s="12">
        <f>INDEX($D$7:$N$19,$C50,I$24)+$D50*(INDEX($D$7:$N$19,$C50+1,I$24)-INDEX($D$7:$N$19,$C50,I$24))</f>
        <v/>
      </c>
      <c r="J50" s="12">
        <f>INDEX($D$7:$N$19,$C50,J$24)+$D50*(INDEX($D$7:$N$19,$C50+1,J$24)-INDEX($D$7:$N$19,$C50,J$24))</f>
        <v/>
      </c>
      <c r="K50" s="12">
        <f>INDEX($D$7:$N$19,$C50,K$24)+$D50*(INDEX($D$7:$N$19,$C50+1,K$24)-INDEX($D$7:$N$19,$C50,K$24))</f>
        <v/>
      </c>
      <c r="L50" s="12">
        <f>INDEX($D$7:$N$19,$C50,L$24)+$D50*(INDEX($D$7:$N$19,$C50+1,L$24)-INDEX($D$7:$N$19,$C50,L$24))</f>
        <v/>
      </c>
      <c r="M50" s="12">
        <f>INDEX($D$7:$N$19,$C50,M$24)+$D50*(INDEX($D$7:$N$19,$C50+1,M$24)-INDEX($D$7:$N$19,$C50,M$24))</f>
        <v/>
      </c>
      <c r="N50" s="12">
        <f>INDEX($D$7:$N$19,$C50,N$24)+$D50*(INDEX($D$7:$N$19,$C50+1,N$24)-INDEX($D$7:$N$19,$C50,N$24))</f>
        <v/>
      </c>
      <c r="O50" s="12">
        <f>INDEX($D$7:$N$19,$C50,O$24)+$D50*(INDEX($D$7:$N$19,$C50+1,O$24)-INDEX($D$7:$N$19,$C50,O$24))</f>
        <v/>
      </c>
      <c r="P50" s="12">
        <f>INDEX($D$7:$N$19,$C50,P$24)+$D50*(INDEX($D$7:$N$19,$C50+1,P$24)-INDEX($D$7:$N$19,$C50,P$24))</f>
        <v/>
      </c>
      <c r="R50" s="13">
        <f>(1-F50*$E$4*SUM(R$25:R49))/(1+F50*$E$4)</f>
        <v/>
      </c>
      <c r="S50" s="13">
        <f>(1-G50*$E$4*SUM(S$25:S49))/(1+G50*$E$4)</f>
        <v/>
      </c>
      <c r="T50" s="13">
        <f>(1-H50*$E$4*SUM(T$25:T49))/(1+H50*$E$4)</f>
        <v/>
      </c>
      <c r="U50" s="13">
        <f>(1-I50*$E$4*SUM(U$25:U49))/(1+I50*$E$4)</f>
        <v/>
      </c>
      <c r="V50" s="13">
        <f>(1-J50*$E$4*SUM(V$25:V49))/(1+J50*$E$4)</f>
        <v/>
      </c>
      <c r="W50" s="13">
        <f>(1-K50*$E$4*SUM(W$25:W49))/(1+K50*$E$4)</f>
        <v/>
      </c>
      <c r="X50" s="13">
        <f>(1-L50*$E$4*SUM(X$25:X49))/(1+L50*$E$4)</f>
        <v/>
      </c>
      <c r="Y50" s="13">
        <f>(1-M50*$E$4*SUM(Y$25:Y49))/(1+M50*$E$4)</f>
        <v/>
      </c>
      <c r="Z50" s="13">
        <f>(1-N50*$E$4*SUM(Z$25:Z49))/(1+N50*$E$4)</f>
        <v/>
      </c>
      <c r="AA50" s="13">
        <f>(1-O50*$E$4*SUM(AA$25:AA49))/(1+O50*$E$4)</f>
        <v/>
      </c>
      <c r="AB50" s="13">
        <f>(1-P50*$E$4*SUM(AB$25:AB49))/(1+P50*$E$4)</f>
        <v/>
      </c>
    </row>
    <row r="51">
      <c r="A51" t="n">
        <v>27</v>
      </c>
      <c r="B51" s="11">
        <f>A51*0.25</f>
        <v/>
      </c>
      <c r="C51">
        <f>MIN(MATCH(B51,$B$7:$B$19,1),12)</f>
        <v/>
      </c>
      <c r="D51">
        <f>(B51-INDEX($B$7:$B$19,C51))/(INDEX($B$7:$B$19,C51+1)-INDEX($B$7:$B$19,C51))</f>
        <v/>
      </c>
      <c r="E51" s="16">
        <f>'Amort-Set-up'!E46</f>
        <v/>
      </c>
      <c r="F51" s="12">
        <f>INDEX($D$7:$N$19,$C51,F$24)+$D51*(INDEX($D$7:$N$19,$C51+1,F$24)-INDEX($D$7:$N$19,$C51,F$24))</f>
        <v/>
      </c>
      <c r="G51" s="12">
        <f>INDEX($D$7:$N$19,$C51,G$24)+$D51*(INDEX($D$7:$N$19,$C51+1,G$24)-INDEX($D$7:$N$19,$C51,G$24))</f>
        <v/>
      </c>
      <c r="H51" s="12">
        <f>INDEX($D$7:$N$19,$C51,H$24)+$D51*(INDEX($D$7:$N$19,$C51+1,H$24)-INDEX($D$7:$N$19,$C51,H$24))</f>
        <v/>
      </c>
      <c r="I51" s="12">
        <f>INDEX($D$7:$N$19,$C51,I$24)+$D51*(INDEX($D$7:$N$19,$C51+1,I$24)-INDEX($D$7:$N$19,$C51,I$24))</f>
        <v/>
      </c>
      <c r="J51" s="12">
        <f>INDEX($D$7:$N$19,$C51,J$24)+$D51*(INDEX($D$7:$N$19,$C51+1,J$24)-INDEX($D$7:$N$19,$C51,J$24))</f>
        <v/>
      </c>
      <c r="K51" s="12">
        <f>INDEX($D$7:$N$19,$C51,K$24)+$D51*(INDEX($D$7:$N$19,$C51+1,K$24)-INDEX($D$7:$N$19,$C51,K$24))</f>
        <v/>
      </c>
      <c r="L51" s="12">
        <f>INDEX($D$7:$N$19,$C51,L$24)+$D51*(INDEX($D$7:$N$19,$C51+1,L$24)-INDEX($D$7:$N$19,$C51,L$24))</f>
        <v/>
      </c>
      <c r="M51" s="12">
        <f>INDEX($D$7:$N$19,$C51,M$24)+$D51*(INDEX($D$7:$N$19,$C51+1,M$24)-INDEX($D$7:$N$19,$C51,M$24))</f>
        <v/>
      </c>
      <c r="N51" s="12">
        <f>INDEX($D$7:$N$19,$C51,N$24)+$D51*(INDEX($D$7:$N$19,$C51+1,N$24)-INDEX($D$7:$N$19,$C51,N$24))</f>
        <v/>
      </c>
      <c r="O51" s="12">
        <f>INDEX($D$7:$N$19,$C51,O$24)+$D51*(INDEX($D$7:$N$19,$C51+1,O$24)-INDEX($D$7:$N$19,$C51,O$24))</f>
        <v/>
      </c>
      <c r="P51" s="12">
        <f>INDEX($D$7:$N$19,$C51,P$24)+$D51*(INDEX($D$7:$N$19,$C51+1,P$24)-INDEX($D$7:$N$19,$C51,P$24))</f>
        <v/>
      </c>
      <c r="R51" s="13">
        <f>(1-F51*$E$4*SUM(R$25:R50))/(1+F51*$E$4)</f>
        <v/>
      </c>
      <c r="S51" s="13">
        <f>(1-G51*$E$4*SUM(S$25:S50))/(1+G51*$E$4)</f>
        <v/>
      </c>
      <c r="T51" s="13">
        <f>(1-H51*$E$4*SUM(T$25:T50))/(1+H51*$E$4)</f>
        <v/>
      </c>
      <c r="U51" s="13">
        <f>(1-I51*$E$4*SUM(U$25:U50))/(1+I51*$E$4)</f>
        <v/>
      </c>
      <c r="V51" s="13">
        <f>(1-J51*$E$4*SUM(V$25:V50))/(1+J51*$E$4)</f>
        <v/>
      </c>
      <c r="W51" s="13">
        <f>(1-K51*$E$4*SUM(W$25:W50))/(1+K51*$E$4)</f>
        <v/>
      </c>
      <c r="X51" s="13">
        <f>(1-L51*$E$4*SUM(X$25:X50))/(1+L51*$E$4)</f>
        <v/>
      </c>
      <c r="Y51" s="13">
        <f>(1-M51*$E$4*SUM(Y$25:Y50))/(1+M51*$E$4)</f>
        <v/>
      </c>
      <c r="Z51" s="13">
        <f>(1-N51*$E$4*SUM(Z$25:Z50))/(1+N51*$E$4)</f>
        <v/>
      </c>
      <c r="AA51" s="13">
        <f>(1-O51*$E$4*SUM(AA$25:AA50))/(1+O51*$E$4)</f>
        <v/>
      </c>
      <c r="AB51" s="13">
        <f>(1-P51*$E$4*SUM(AB$25:AB50))/(1+P51*$E$4)</f>
        <v/>
      </c>
    </row>
    <row r="52">
      <c r="A52" t="n">
        <v>28</v>
      </c>
      <c r="B52" s="11">
        <f>A52*0.25</f>
        <v/>
      </c>
      <c r="C52">
        <f>MIN(MATCH(B52,$B$7:$B$19,1),12)</f>
        <v/>
      </c>
      <c r="D52">
        <f>(B52-INDEX($B$7:$B$19,C52))/(INDEX($B$7:$B$19,C52+1)-INDEX($B$7:$B$19,C52))</f>
        <v/>
      </c>
      <c r="E52" s="16">
        <f>'Amort-Set-up'!E47</f>
        <v/>
      </c>
      <c r="F52" s="12">
        <f>INDEX($D$7:$N$19,$C52,F$24)+$D52*(INDEX($D$7:$N$19,$C52+1,F$24)-INDEX($D$7:$N$19,$C52,F$24))</f>
        <v/>
      </c>
      <c r="G52" s="12">
        <f>INDEX($D$7:$N$19,$C52,G$24)+$D52*(INDEX($D$7:$N$19,$C52+1,G$24)-INDEX($D$7:$N$19,$C52,G$24))</f>
        <v/>
      </c>
      <c r="H52" s="12">
        <f>INDEX($D$7:$N$19,$C52,H$24)+$D52*(INDEX($D$7:$N$19,$C52+1,H$24)-INDEX($D$7:$N$19,$C52,H$24))</f>
        <v/>
      </c>
      <c r="I52" s="12">
        <f>INDEX($D$7:$N$19,$C52,I$24)+$D52*(INDEX($D$7:$N$19,$C52+1,I$24)-INDEX($D$7:$N$19,$C52,I$24))</f>
        <v/>
      </c>
      <c r="J52" s="12">
        <f>INDEX($D$7:$N$19,$C52,J$24)+$D52*(INDEX($D$7:$N$19,$C52+1,J$24)-INDEX($D$7:$N$19,$C52,J$24))</f>
        <v/>
      </c>
      <c r="K52" s="12">
        <f>INDEX($D$7:$N$19,$C52,K$24)+$D52*(INDEX($D$7:$N$19,$C52+1,K$24)-INDEX($D$7:$N$19,$C52,K$24))</f>
        <v/>
      </c>
      <c r="L52" s="12">
        <f>INDEX($D$7:$N$19,$C52,L$24)+$D52*(INDEX($D$7:$N$19,$C52+1,L$24)-INDEX($D$7:$N$19,$C52,L$24))</f>
        <v/>
      </c>
      <c r="M52" s="12">
        <f>INDEX($D$7:$N$19,$C52,M$24)+$D52*(INDEX($D$7:$N$19,$C52+1,M$24)-INDEX($D$7:$N$19,$C52,M$24))</f>
        <v/>
      </c>
      <c r="N52" s="12">
        <f>INDEX($D$7:$N$19,$C52,N$24)+$D52*(INDEX($D$7:$N$19,$C52+1,N$24)-INDEX($D$7:$N$19,$C52,N$24))</f>
        <v/>
      </c>
      <c r="O52" s="12">
        <f>INDEX($D$7:$N$19,$C52,O$24)+$D52*(INDEX($D$7:$N$19,$C52+1,O$24)-INDEX($D$7:$N$19,$C52,O$24))</f>
        <v/>
      </c>
      <c r="P52" s="12">
        <f>INDEX($D$7:$N$19,$C52,P$24)+$D52*(INDEX($D$7:$N$19,$C52+1,P$24)-INDEX($D$7:$N$19,$C52,P$24))</f>
        <v/>
      </c>
      <c r="R52" s="13">
        <f>(1-F52*$E$4*SUM(R$25:R51))/(1+F52*$E$4)</f>
        <v/>
      </c>
      <c r="S52" s="13">
        <f>(1-G52*$E$4*SUM(S$25:S51))/(1+G52*$E$4)</f>
        <v/>
      </c>
      <c r="T52" s="13">
        <f>(1-H52*$E$4*SUM(T$25:T51))/(1+H52*$E$4)</f>
        <v/>
      </c>
      <c r="U52" s="13">
        <f>(1-I52*$E$4*SUM(U$25:U51))/(1+I52*$E$4)</f>
        <v/>
      </c>
      <c r="V52" s="13">
        <f>(1-J52*$E$4*SUM(V$25:V51))/(1+J52*$E$4)</f>
        <v/>
      </c>
      <c r="W52" s="13">
        <f>(1-K52*$E$4*SUM(W$25:W51))/(1+K52*$E$4)</f>
        <v/>
      </c>
      <c r="X52" s="13">
        <f>(1-L52*$E$4*SUM(X$25:X51))/(1+L52*$E$4)</f>
        <v/>
      </c>
      <c r="Y52" s="13">
        <f>(1-M52*$E$4*SUM(Y$25:Y51))/(1+M52*$E$4)</f>
        <v/>
      </c>
      <c r="Z52" s="13">
        <f>(1-N52*$E$4*SUM(Z$25:Z51))/(1+N52*$E$4)</f>
        <v/>
      </c>
      <c r="AA52" s="13">
        <f>(1-O52*$E$4*SUM(AA$25:AA51))/(1+O52*$E$4)</f>
        <v/>
      </c>
      <c r="AB52" s="13">
        <f>(1-P52*$E$4*SUM(AB$25:AB51))/(1+P52*$E$4)</f>
        <v/>
      </c>
    </row>
    <row r="53">
      <c r="A53" t="n">
        <v>29</v>
      </c>
      <c r="B53" s="11">
        <f>A53*0.25</f>
        <v/>
      </c>
      <c r="C53">
        <f>MIN(MATCH(B53,$B$7:$B$19,1),12)</f>
        <v/>
      </c>
      <c r="D53">
        <f>(B53-INDEX($B$7:$B$19,C53))/(INDEX($B$7:$B$19,C53+1)-INDEX($B$7:$B$19,C53))</f>
        <v/>
      </c>
      <c r="E53" s="16">
        <f>'Amort-Set-up'!E48</f>
        <v/>
      </c>
      <c r="F53" s="12">
        <f>INDEX($D$7:$N$19,$C53,F$24)+$D53*(INDEX($D$7:$N$19,$C53+1,F$24)-INDEX($D$7:$N$19,$C53,F$24))</f>
        <v/>
      </c>
      <c r="G53" s="12">
        <f>INDEX($D$7:$N$19,$C53,G$24)+$D53*(INDEX($D$7:$N$19,$C53+1,G$24)-INDEX($D$7:$N$19,$C53,G$24))</f>
        <v/>
      </c>
      <c r="H53" s="12">
        <f>INDEX($D$7:$N$19,$C53,H$24)+$D53*(INDEX($D$7:$N$19,$C53+1,H$24)-INDEX($D$7:$N$19,$C53,H$24))</f>
        <v/>
      </c>
      <c r="I53" s="12">
        <f>INDEX($D$7:$N$19,$C53,I$24)+$D53*(INDEX($D$7:$N$19,$C53+1,I$24)-INDEX($D$7:$N$19,$C53,I$24))</f>
        <v/>
      </c>
      <c r="J53" s="12">
        <f>INDEX($D$7:$N$19,$C53,J$24)+$D53*(INDEX($D$7:$N$19,$C53+1,J$24)-INDEX($D$7:$N$19,$C53,J$24))</f>
        <v/>
      </c>
      <c r="K53" s="12">
        <f>INDEX($D$7:$N$19,$C53,K$24)+$D53*(INDEX($D$7:$N$19,$C53+1,K$24)-INDEX($D$7:$N$19,$C53,K$24))</f>
        <v/>
      </c>
      <c r="L53" s="12">
        <f>INDEX($D$7:$N$19,$C53,L$24)+$D53*(INDEX($D$7:$N$19,$C53+1,L$24)-INDEX($D$7:$N$19,$C53,L$24))</f>
        <v/>
      </c>
      <c r="M53" s="12">
        <f>INDEX($D$7:$N$19,$C53,M$24)+$D53*(INDEX($D$7:$N$19,$C53+1,M$24)-INDEX($D$7:$N$19,$C53,M$24))</f>
        <v/>
      </c>
      <c r="N53" s="12">
        <f>INDEX($D$7:$N$19,$C53,N$24)+$D53*(INDEX($D$7:$N$19,$C53+1,N$24)-INDEX($D$7:$N$19,$C53,N$24))</f>
        <v/>
      </c>
      <c r="O53" s="12">
        <f>INDEX($D$7:$N$19,$C53,O$24)+$D53*(INDEX($D$7:$N$19,$C53+1,O$24)-INDEX($D$7:$N$19,$C53,O$24))</f>
        <v/>
      </c>
      <c r="P53" s="12">
        <f>INDEX($D$7:$N$19,$C53,P$24)+$D53*(INDEX($D$7:$N$19,$C53+1,P$24)-INDEX($D$7:$N$19,$C53,P$24))</f>
        <v/>
      </c>
      <c r="R53" s="13">
        <f>(1-F53*$E$4*SUM(R$25:R52))/(1+F53*$E$4)</f>
        <v/>
      </c>
      <c r="S53" s="13">
        <f>(1-G53*$E$4*SUM(S$25:S52))/(1+G53*$E$4)</f>
        <v/>
      </c>
      <c r="T53" s="13">
        <f>(1-H53*$E$4*SUM(T$25:T52))/(1+H53*$E$4)</f>
        <v/>
      </c>
      <c r="U53" s="13">
        <f>(1-I53*$E$4*SUM(U$25:U52))/(1+I53*$E$4)</f>
        <v/>
      </c>
      <c r="V53" s="13">
        <f>(1-J53*$E$4*SUM(V$25:V52))/(1+J53*$E$4)</f>
        <v/>
      </c>
      <c r="W53" s="13">
        <f>(1-K53*$E$4*SUM(W$25:W52))/(1+K53*$E$4)</f>
        <v/>
      </c>
      <c r="X53" s="13">
        <f>(1-L53*$E$4*SUM(X$25:X52))/(1+L53*$E$4)</f>
        <v/>
      </c>
      <c r="Y53" s="13">
        <f>(1-M53*$E$4*SUM(Y$25:Y52))/(1+M53*$E$4)</f>
        <v/>
      </c>
      <c r="Z53" s="13">
        <f>(1-N53*$E$4*SUM(Z$25:Z52))/(1+N53*$E$4)</f>
        <v/>
      </c>
      <c r="AA53" s="13">
        <f>(1-O53*$E$4*SUM(AA$25:AA52))/(1+O53*$E$4)</f>
        <v/>
      </c>
      <c r="AB53" s="13">
        <f>(1-P53*$E$4*SUM(AB$25:AB52))/(1+P53*$E$4)</f>
        <v/>
      </c>
    </row>
    <row r="54">
      <c r="A54" t="n">
        <v>30</v>
      </c>
      <c r="B54" s="11">
        <f>A54*0.25</f>
        <v/>
      </c>
      <c r="C54">
        <f>MIN(MATCH(B54,$B$7:$B$19,1),12)</f>
        <v/>
      </c>
      <c r="D54">
        <f>(B54-INDEX($B$7:$B$19,C54))/(INDEX($B$7:$B$19,C54+1)-INDEX($B$7:$B$19,C54))</f>
        <v/>
      </c>
      <c r="E54" s="16">
        <f>'Amort-Set-up'!E49</f>
        <v/>
      </c>
      <c r="F54" s="12">
        <f>INDEX($D$7:$N$19,$C54,F$24)+$D54*(INDEX($D$7:$N$19,$C54+1,F$24)-INDEX($D$7:$N$19,$C54,F$24))</f>
        <v/>
      </c>
      <c r="G54" s="12">
        <f>INDEX($D$7:$N$19,$C54,G$24)+$D54*(INDEX($D$7:$N$19,$C54+1,G$24)-INDEX($D$7:$N$19,$C54,G$24))</f>
        <v/>
      </c>
      <c r="H54" s="12">
        <f>INDEX($D$7:$N$19,$C54,H$24)+$D54*(INDEX($D$7:$N$19,$C54+1,H$24)-INDEX($D$7:$N$19,$C54,H$24))</f>
        <v/>
      </c>
      <c r="I54" s="12">
        <f>INDEX($D$7:$N$19,$C54,I$24)+$D54*(INDEX($D$7:$N$19,$C54+1,I$24)-INDEX($D$7:$N$19,$C54,I$24))</f>
        <v/>
      </c>
      <c r="J54" s="12">
        <f>INDEX($D$7:$N$19,$C54,J$24)+$D54*(INDEX($D$7:$N$19,$C54+1,J$24)-INDEX($D$7:$N$19,$C54,J$24))</f>
        <v/>
      </c>
      <c r="K54" s="12">
        <f>INDEX($D$7:$N$19,$C54,K$24)+$D54*(INDEX($D$7:$N$19,$C54+1,K$24)-INDEX($D$7:$N$19,$C54,K$24))</f>
        <v/>
      </c>
      <c r="L54" s="12">
        <f>INDEX($D$7:$N$19,$C54,L$24)+$D54*(INDEX($D$7:$N$19,$C54+1,L$24)-INDEX($D$7:$N$19,$C54,L$24))</f>
        <v/>
      </c>
      <c r="M54" s="12">
        <f>INDEX($D$7:$N$19,$C54,M$24)+$D54*(INDEX($D$7:$N$19,$C54+1,M$24)-INDEX($D$7:$N$19,$C54,M$24))</f>
        <v/>
      </c>
      <c r="N54" s="12">
        <f>INDEX($D$7:$N$19,$C54,N$24)+$D54*(INDEX($D$7:$N$19,$C54+1,N$24)-INDEX($D$7:$N$19,$C54,N$24))</f>
        <v/>
      </c>
      <c r="O54" s="12">
        <f>INDEX($D$7:$N$19,$C54,O$24)+$D54*(INDEX($D$7:$N$19,$C54+1,O$24)-INDEX($D$7:$N$19,$C54,O$24))</f>
        <v/>
      </c>
      <c r="P54" s="12">
        <f>INDEX($D$7:$N$19,$C54,P$24)+$D54*(INDEX($D$7:$N$19,$C54+1,P$24)-INDEX($D$7:$N$19,$C54,P$24))</f>
        <v/>
      </c>
      <c r="R54" s="13">
        <f>(1-F54*$E$4*SUM(R$25:R53))/(1+F54*$E$4)</f>
        <v/>
      </c>
      <c r="S54" s="13">
        <f>(1-G54*$E$4*SUM(S$25:S53))/(1+G54*$E$4)</f>
        <v/>
      </c>
      <c r="T54" s="13">
        <f>(1-H54*$E$4*SUM(T$25:T53))/(1+H54*$E$4)</f>
        <v/>
      </c>
      <c r="U54" s="13">
        <f>(1-I54*$E$4*SUM(U$25:U53))/(1+I54*$E$4)</f>
        <v/>
      </c>
      <c r="V54" s="13">
        <f>(1-J54*$E$4*SUM(V$25:V53))/(1+J54*$E$4)</f>
        <v/>
      </c>
      <c r="W54" s="13">
        <f>(1-K54*$E$4*SUM(W$25:W53))/(1+K54*$E$4)</f>
        <v/>
      </c>
      <c r="X54" s="13">
        <f>(1-L54*$E$4*SUM(X$25:X53))/(1+L54*$E$4)</f>
        <v/>
      </c>
      <c r="Y54" s="13">
        <f>(1-M54*$E$4*SUM(Y$25:Y53))/(1+M54*$E$4)</f>
        <v/>
      </c>
      <c r="Z54" s="13">
        <f>(1-N54*$E$4*SUM(Z$25:Z53))/(1+N54*$E$4)</f>
        <v/>
      </c>
      <c r="AA54" s="13">
        <f>(1-O54*$E$4*SUM(AA$25:AA53))/(1+O54*$E$4)</f>
        <v/>
      </c>
      <c r="AB54" s="13">
        <f>(1-P54*$E$4*SUM(AB$25:AB53))/(1+P54*$E$4)</f>
        <v/>
      </c>
    </row>
    <row r="55">
      <c r="A55" t="n">
        <v>31</v>
      </c>
      <c r="B55" s="11">
        <f>A55*0.25</f>
        <v/>
      </c>
      <c r="C55">
        <f>MIN(MATCH(B55,$B$7:$B$19,1),12)</f>
        <v/>
      </c>
      <c r="D55">
        <f>(B55-INDEX($B$7:$B$19,C55))/(INDEX($B$7:$B$19,C55+1)-INDEX($B$7:$B$19,C55))</f>
        <v/>
      </c>
      <c r="E55" s="16">
        <f>'Amort-Set-up'!E50</f>
        <v/>
      </c>
      <c r="F55" s="12">
        <f>INDEX($D$7:$N$19,$C55,F$24)+$D55*(INDEX($D$7:$N$19,$C55+1,F$24)-INDEX($D$7:$N$19,$C55,F$24))</f>
        <v/>
      </c>
      <c r="G55" s="12">
        <f>INDEX($D$7:$N$19,$C55,G$24)+$D55*(INDEX($D$7:$N$19,$C55+1,G$24)-INDEX($D$7:$N$19,$C55,G$24))</f>
        <v/>
      </c>
      <c r="H55" s="12">
        <f>INDEX($D$7:$N$19,$C55,H$24)+$D55*(INDEX($D$7:$N$19,$C55+1,H$24)-INDEX($D$7:$N$19,$C55,H$24))</f>
        <v/>
      </c>
      <c r="I55" s="12">
        <f>INDEX($D$7:$N$19,$C55,I$24)+$D55*(INDEX($D$7:$N$19,$C55+1,I$24)-INDEX($D$7:$N$19,$C55,I$24))</f>
        <v/>
      </c>
      <c r="J55" s="12">
        <f>INDEX($D$7:$N$19,$C55,J$24)+$D55*(INDEX($D$7:$N$19,$C55+1,J$24)-INDEX($D$7:$N$19,$C55,J$24))</f>
        <v/>
      </c>
      <c r="K55" s="12">
        <f>INDEX($D$7:$N$19,$C55,K$24)+$D55*(INDEX($D$7:$N$19,$C55+1,K$24)-INDEX($D$7:$N$19,$C55,K$24))</f>
        <v/>
      </c>
      <c r="L55" s="12">
        <f>INDEX($D$7:$N$19,$C55,L$24)+$D55*(INDEX($D$7:$N$19,$C55+1,L$24)-INDEX($D$7:$N$19,$C55,L$24))</f>
        <v/>
      </c>
      <c r="M55" s="12">
        <f>INDEX($D$7:$N$19,$C55,M$24)+$D55*(INDEX($D$7:$N$19,$C55+1,M$24)-INDEX($D$7:$N$19,$C55,M$24))</f>
        <v/>
      </c>
      <c r="N55" s="12">
        <f>INDEX($D$7:$N$19,$C55,N$24)+$D55*(INDEX($D$7:$N$19,$C55+1,N$24)-INDEX($D$7:$N$19,$C55,N$24))</f>
        <v/>
      </c>
      <c r="O55" s="12">
        <f>INDEX($D$7:$N$19,$C55,O$24)+$D55*(INDEX($D$7:$N$19,$C55+1,O$24)-INDEX($D$7:$N$19,$C55,O$24))</f>
        <v/>
      </c>
      <c r="P55" s="12">
        <f>INDEX($D$7:$N$19,$C55,P$24)+$D55*(INDEX($D$7:$N$19,$C55+1,P$24)-INDEX($D$7:$N$19,$C55,P$24))</f>
        <v/>
      </c>
      <c r="R55" s="13">
        <f>(1-F55*$E$4*SUM(R$25:R54))/(1+F55*$E$4)</f>
        <v/>
      </c>
      <c r="S55" s="13">
        <f>(1-G55*$E$4*SUM(S$25:S54))/(1+G55*$E$4)</f>
        <v/>
      </c>
      <c r="T55" s="13">
        <f>(1-H55*$E$4*SUM(T$25:T54))/(1+H55*$E$4)</f>
        <v/>
      </c>
      <c r="U55" s="13">
        <f>(1-I55*$E$4*SUM(U$25:U54))/(1+I55*$E$4)</f>
        <v/>
      </c>
      <c r="V55" s="13">
        <f>(1-J55*$E$4*SUM(V$25:V54))/(1+J55*$E$4)</f>
        <v/>
      </c>
      <c r="W55" s="13">
        <f>(1-K55*$E$4*SUM(W$25:W54))/(1+K55*$E$4)</f>
        <v/>
      </c>
      <c r="X55" s="13">
        <f>(1-L55*$E$4*SUM(X$25:X54))/(1+L55*$E$4)</f>
        <v/>
      </c>
      <c r="Y55" s="13">
        <f>(1-M55*$E$4*SUM(Y$25:Y54))/(1+M55*$E$4)</f>
        <v/>
      </c>
      <c r="Z55" s="13">
        <f>(1-N55*$E$4*SUM(Z$25:Z54))/(1+N55*$E$4)</f>
        <v/>
      </c>
      <c r="AA55" s="13">
        <f>(1-O55*$E$4*SUM(AA$25:AA54))/(1+O55*$E$4)</f>
        <v/>
      </c>
      <c r="AB55" s="13">
        <f>(1-P55*$E$4*SUM(AB$25:AB54))/(1+P55*$E$4)</f>
        <v/>
      </c>
    </row>
    <row r="56">
      <c r="A56" t="n">
        <v>32</v>
      </c>
      <c r="B56" s="11">
        <f>A56*0.25</f>
        <v/>
      </c>
      <c r="C56">
        <f>MIN(MATCH(B56,$B$7:$B$19,1),12)</f>
        <v/>
      </c>
      <c r="D56">
        <f>(B56-INDEX($B$7:$B$19,C56))/(INDEX($B$7:$B$19,C56+1)-INDEX($B$7:$B$19,C56))</f>
        <v/>
      </c>
      <c r="E56" s="16">
        <f>'Amort-Set-up'!E51</f>
        <v/>
      </c>
      <c r="F56" s="12">
        <f>INDEX($D$7:$N$19,$C56,F$24)+$D56*(INDEX($D$7:$N$19,$C56+1,F$24)-INDEX($D$7:$N$19,$C56,F$24))</f>
        <v/>
      </c>
      <c r="G56" s="12">
        <f>INDEX($D$7:$N$19,$C56,G$24)+$D56*(INDEX($D$7:$N$19,$C56+1,G$24)-INDEX($D$7:$N$19,$C56,G$24))</f>
        <v/>
      </c>
      <c r="H56" s="12">
        <f>INDEX($D$7:$N$19,$C56,H$24)+$D56*(INDEX($D$7:$N$19,$C56+1,H$24)-INDEX($D$7:$N$19,$C56,H$24))</f>
        <v/>
      </c>
      <c r="I56" s="12">
        <f>INDEX($D$7:$N$19,$C56,I$24)+$D56*(INDEX($D$7:$N$19,$C56+1,I$24)-INDEX($D$7:$N$19,$C56,I$24))</f>
        <v/>
      </c>
      <c r="J56" s="12">
        <f>INDEX($D$7:$N$19,$C56,J$24)+$D56*(INDEX($D$7:$N$19,$C56+1,J$24)-INDEX($D$7:$N$19,$C56,J$24))</f>
        <v/>
      </c>
      <c r="K56" s="12">
        <f>INDEX($D$7:$N$19,$C56,K$24)+$D56*(INDEX($D$7:$N$19,$C56+1,K$24)-INDEX($D$7:$N$19,$C56,K$24))</f>
        <v/>
      </c>
      <c r="L56" s="12">
        <f>INDEX($D$7:$N$19,$C56,L$24)+$D56*(INDEX($D$7:$N$19,$C56+1,L$24)-INDEX($D$7:$N$19,$C56,L$24))</f>
        <v/>
      </c>
      <c r="M56" s="12">
        <f>INDEX($D$7:$N$19,$C56,M$24)+$D56*(INDEX($D$7:$N$19,$C56+1,M$24)-INDEX($D$7:$N$19,$C56,M$24))</f>
        <v/>
      </c>
      <c r="N56" s="12">
        <f>INDEX($D$7:$N$19,$C56,N$24)+$D56*(INDEX($D$7:$N$19,$C56+1,N$24)-INDEX($D$7:$N$19,$C56,N$24))</f>
        <v/>
      </c>
      <c r="O56" s="12">
        <f>INDEX($D$7:$N$19,$C56,O$24)+$D56*(INDEX($D$7:$N$19,$C56+1,O$24)-INDEX($D$7:$N$19,$C56,O$24))</f>
        <v/>
      </c>
      <c r="P56" s="12">
        <f>INDEX($D$7:$N$19,$C56,P$24)+$D56*(INDEX($D$7:$N$19,$C56+1,P$24)-INDEX($D$7:$N$19,$C56,P$24))</f>
        <v/>
      </c>
      <c r="R56" s="13">
        <f>(1-F56*$E$4*SUM(R$25:R55))/(1+F56*$E$4)</f>
        <v/>
      </c>
      <c r="S56" s="13">
        <f>(1-G56*$E$4*SUM(S$25:S55))/(1+G56*$E$4)</f>
        <v/>
      </c>
      <c r="T56" s="13">
        <f>(1-H56*$E$4*SUM(T$25:T55))/(1+H56*$E$4)</f>
        <v/>
      </c>
      <c r="U56" s="13">
        <f>(1-I56*$E$4*SUM(U$25:U55))/(1+I56*$E$4)</f>
        <v/>
      </c>
      <c r="V56" s="13">
        <f>(1-J56*$E$4*SUM(V$25:V55))/(1+J56*$E$4)</f>
        <v/>
      </c>
      <c r="W56" s="13">
        <f>(1-K56*$E$4*SUM(W$25:W55))/(1+K56*$E$4)</f>
        <v/>
      </c>
      <c r="X56" s="13">
        <f>(1-L56*$E$4*SUM(X$25:X55))/(1+L56*$E$4)</f>
        <v/>
      </c>
      <c r="Y56" s="13">
        <f>(1-M56*$E$4*SUM(Y$25:Y55))/(1+M56*$E$4)</f>
        <v/>
      </c>
      <c r="Z56" s="13">
        <f>(1-N56*$E$4*SUM(Z$25:Z55))/(1+N56*$E$4)</f>
        <v/>
      </c>
      <c r="AA56" s="13">
        <f>(1-O56*$E$4*SUM(AA$25:AA55))/(1+O56*$E$4)</f>
        <v/>
      </c>
      <c r="AB56" s="13">
        <f>(1-P56*$E$4*SUM(AB$25:AB55))/(1+P56*$E$4)</f>
        <v/>
      </c>
    </row>
    <row r="57">
      <c r="A57" t="n">
        <v>33</v>
      </c>
      <c r="B57" s="11">
        <f>A57*0.25</f>
        <v/>
      </c>
      <c r="C57">
        <f>MIN(MATCH(B57,$B$7:$B$19,1),12)</f>
        <v/>
      </c>
      <c r="D57">
        <f>(B57-INDEX($B$7:$B$19,C57))/(INDEX($B$7:$B$19,C57+1)-INDEX($B$7:$B$19,C57))</f>
        <v/>
      </c>
      <c r="E57" s="16">
        <f>'Amort-Set-up'!E52</f>
        <v/>
      </c>
      <c r="F57" s="12">
        <f>INDEX($D$7:$N$19,$C57,F$24)+$D57*(INDEX($D$7:$N$19,$C57+1,F$24)-INDEX($D$7:$N$19,$C57,F$24))</f>
        <v/>
      </c>
      <c r="G57" s="12">
        <f>INDEX($D$7:$N$19,$C57,G$24)+$D57*(INDEX($D$7:$N$19,$C57+1,G$24)-INDEX($D$7:$N$19,$C57,G$24))</f>
        <v/>
      </c>
      <c r="H57" s="12">
        <f>INDEX($D$7:$N$19,$C57,H$24)+$D57*(INDEX($D$7:$N$19,$C57+1,H$24)-INDEX($D$7:$N$19,$C57,H$24))</f>
        <v/>
      </c>
      <c r="I57" s="12">
        <f>INDEX($D$7:$N$19,$C57,I$24)+$D57*(INDEX($D$7:$N$19,$C57+1,I$24)-INDEX($D$7:$N$19,$C57,I$24))</f>
        <v/>
      </c>
      <c r="J57" s="12">
        <f>INDEX($D$7:$N$19,$C57,J$24)+$D57*(INDEX($D$7:$N$19,$C57+1,J$24)-INDEX($D$7:$N$19,$C57,J$24))</f>
        <v/>
      </c>
      <c r="K57" s="12">
        <f>INDEX($D$7:$N$19,$C57,K$24)+$D57*(INDEX($D$7:$N$19,$C57+1,K$24)-INDEX($D$7:$N$19,$C57,K$24))</f>
        <v/>
      </c>
      <c r="L57" s="12">
        <f>INDEX($D$7:$N$19,$C57,L$24)+$D57*(INDEX($D$7:$N$19,$C57+1,L$24)-INDEX($D$7:$N$19,$C57,L$24))</f>
        <v/>
      </c>
      <c r="M57" s="12">
        <f>INDEX($D$7:$N$19,$C57,M$24)+$D57*(INDEX($D$7:$N$19,$C57+1,M$24)-INDEX($D$7:$N$19,$C57,M$24))</f>
        <v/>
      </c>
      <c r="N57" s="12">
        <f>INDEX($D$7:$N$19,$C57,N$24)+$D57*(INDEX($D$7:$N$19,$C57+1,N$24)-INDEX($D$7:$N$19,$C57,N$24))</f>
        <v/>
      </c>
      <c r="O57" s="12">
        <f>INDEX($D$7:$N$19,$C57,O$24)+$D57*(INDEX($D$7:$N$19,$C57+1,O$24)-INDEX($D$7:$N$19,$C57,O$24))</f>
        <v/>
      </c>
      <c r="P57" s="12">
        <f>INDEX($D$7:$N$19,$C57,P$24)+$D57*(INDEX($D$7:$N$19,$C57+1,P$24)-INDEX($D$7:$N$19,$C57,P$24))</f>
        <v/>
      </c>
      <c r="R57" s="13">
        <f>(1-F57*$E$4*SUM(R$25:R56))/(1+F57*$E$4)</f>
        <v/>
      </c>
      <c r="S57" s="13">
        <f>(1-G57*$E$4*SUM(S$25:S56))/(1+G57*$E$4)</f>
        <v/>
      </c>
      <c r="T57" s="13">
        <f>(1-H57*$E$4*SUM(T$25:T56))/(1+H57*$E$4)</f>
        <v/>
      </c>
      <c r="U57" s="13">
        <f>(1-I57*$E$4*SUM(U$25:U56))/(1+I57*$E$4)</f>
        <v/>
      </c>
      <c r="V57" s="13">
        <f>(1-J57*$E$4*SUM(V$25:V56))/(1+J57*$E$4)</f>
        <v/>
      </c>
      <c r="W57" s="13">
        <f>(1-K57*$E$4*SUM(W$25:W56))/(1+K57*$E$4)</f>
        <v/>
      </c>
      <c r="X57" s="13">
        <f>(1-L57*$E$4*SUM(X$25:X56))/(1+L57*$E$4)</f>
        <v/>
      </c>
      <c r="Y57" s="13">
        <f>(1-M57*$E$4*SUM(Y$25:Y56))/(1+M57*$E$4)</f>
        <v/>
      </c>
      <c r="Z57" s="13">
        <f>(1-N57*$E$4*SUM(Z$25:Z56))/(1+N57*$E$4)</f>
        <v/>
      </c>
      <c r="AA57" s="13">
        <f>(1-O57*$E$4*SUM(AA$25:AA56))/(1+O57*$E$4)</f>
        <v/>
      </c>
      <c r="AB57" s="13">
        <f>(1-P57*$E$4*SUM(AB$25:AB56))/(1+P57*$E$4)</f>
        <v/>
      </c>
    </row>
    <row r="58">
      <c r="A58" t="n">
        <v>34</v>
      </c>
      <c r="B58" s="11">
        <f>A58*0.25</f>
        <v/>
      </c>
      <c r="C58">
        <f>MIN(MATCH(B58,$B$7:$B$19,1),12)</f>
        <v/>
      </c>
      <c r="D58">
        <f>(B58-INDEX($B$7:$B$19,C58))/(INDEX($B$7:$B$19,C58+1)-INDEX($B$7:$B$19,C58))</f>
        <v/>
      </c>
      <c r="E58" s="16">
        <f>'Amort-Set-up'!E53</f>
        <v/>
      </c>
      <c r="F58" s="12">
        <f>INDEX($D$7:$N$19,$C58,F$24)+$D58*(INDEX($D$7:$N$19,$C58+1,F$24)-INDEX($D$7:$N$19,$C58,F$24))</f>
        <v/>
      </c>
      <c r="G58" s="12">
        <f>INDEX($D$7:$N$19,$C58,G$24)+$D58*(INDEX($D$7:$N$19,$C58+1,G$24)-INDEX($D$7:$N$19,$C58,G$24))</f>
        <v/>
      </c>
      <c r="H58" s="12">
        <f>INDEX($D$7:$N$19,$C58,H$24)+$D58*(INDEX($D$7:$N$19,$C58+1,H$24)-INDEX($D$7:$N$19,$C58,H$24))</f>
        <v/>
      </c>
      <c r="I58" s="12">
        <f>INDEX($D$7:$N$19,$C58,I$24)+$D58*(INDEX($D$7:$N$19,$C58+1,I$24)-INDEX($D$7:$N$19,$C58,I$24))</f>
        <v/>
      </c>
      <c r="J58" s="12">
        <f>INDEX($D$7:$N$19,$C58,J$24)+$D58*(INDEX($D$7:$N$19,$C58+1,J$24)-INDEX($D$7:$N$19,$C58,J$24))</f>
        <v/>
      </c>
      <c r="K58" s="12">
        <f>INDEX($D$7:$N$19,$C58,K$24)+$D58*(INDEX($D$7:$N$19,$C58+1,K$24)-INDEX($D$7:$N$19,$C58,K$24))</f>
        <v/>
      </c>
      <c r="L58" s="12">
        <f>INDEX($D$7:$N$19,$C58,L$24)+$D58*(INDEX($D$7:$N$19,$C58+1,L$24)-INDEX($D$7:$N$19,$C58,L$24))</f>
        <v/>
      </c>
      <c r="M58" s="12">
        <f>INDEX($D$7:$N$19,$C58,M$24)+$D58*(INDEX($D$7:$N$19,$C58+1,M$24)-INDEX($D$7:$N$19,$C58,M$24))</f>
        <v/>
      </c>
      <c r="N58" s="12">
        <f>INDEX($D$7:$N$19,$C58,N$24)+$D58*(INDEX($D$7:$N$19,$C58+1,N$24)-INDEX($D$7:$N$19,$C58,N$24))</f>
        <v/>
      </c>
      <c r="O58" s="12">
        <f>INDEX($D$7:$N$19,$C58,O$24)+$D58*(INDEX($D$7:$N$19,$C58+1,O$24)-INDEX($D$7:$N$19,$C58,O$24))</f>
        <v/>
      </c>
      <c r="P58" s="12">
        <f>INDEX($D$7:$N$19,$C58,P$24)+$D58*(INDEX($D$7:$N$19,$C58+1,P$24)-INDEX($D$7:$N$19,$C58,P$24))</f>
        <v/>
      </c>
      <c r="R58" s="13">
        <f>(1-F58*$E$4*SUM(R$25:R57))/(1+F58*$E$4)</f>
        <v/>
      </c>
      <c r="S58" s="13">
        <f>(1-G58*$E$4*SUM(S$25:S57))/(1+G58*$E$4)</f>
        <v/>
      </c>
      <c r="T58" s="13">
        <f>(1-H58*$E$4*SUM(T$25:T57))/(1+H58*$E$4)</f>
        <v/>
      </c>
      <c r="U58" s="13">
        <f>(1-I58*$E$4*SUM(U$25:U57))/(1+I58*$E$4)</f>
        <v/>
      </c>
      <c r="V58" s="13">
        <f>(1-J58*$E$4*SUM(V$25:V57))/(1+J58*$E$4)</f>
        <v/>
      </c>
      <c r="W58" s="13">
        <f>(1-K58*$E$4*SUM(W$25:W57))/(1+K58*$E$4)</f>
        <v/>
      </c>
      <c r="X58" s="13">
        <f>(1-L58*$E$4*SUM(X$25:X57))/(1+L58*$E$4)</f>
        <v/>
      </c>
      <c r="Y58" s="13">
        <f>(1-M58*$E$4*SUM(Y$25:Y57))/(1+M58*$E$4)</f>
        <v/>
      </c>
      <c r="Z58" s="13">
        <f>(1-N58*$E$4*SUM(Z$25:Z57))/(1+N58*$E$4)</f>
        <v/>
      </c>
      <c r="AA58" s="13">
        <f>(1-O58*$E$4*SUM(AA$25:AA57))/(1+O58*$E$4)</f>
        <v/>
      </c>
      <c r="AB58" s="13">
        <f>(1-P58*$E$4*SUM(AB$25:AB57))/(1+P58*$E$4)</f>
        <v/>
      </c>
    </row>
    <row r="59">
      <c r="A59" t="n">
        <v>35</v>
      </c>
      <c r="B59" s="11">
        <f>A59*0.25</f>
        <v/>
      </c>
      <c r="C59">
        <f>MIN(MATCH(B59,$B$7:$B$19,1),12)</f>
        <v/>
      </c>
      <c r="D59">
        <f>(B59-INDEX($B$7:$B$19,C59))/(INDEX($B$7:$B$19,C59+1)-INDEX($B$7:$B$19,C59))</f>
        <v/>
      </c>
      <c r="E59" s="16">
        <f>'Amort-Set-up'!E54</f>
        <v/>
      </c>
      <c r="F59" s="12">
        <f>INDEX($D$7:$N$19,$C59,F$24)+$D59*(INDEX($D$7:$N$19,$C59+1,F$24)-INDEX($D$7:$N$19,$C59,F$24))</f>
        <v/>
      </c>
      <c r="G59" s="12">
        <f>INDEX($D$7:$N$19,$C59,G$24)+$D59*(INDEX($D$7:$N$19,$C59+1,G$24)-INDEX($D$7:$N$19,$C59,G$24))</f>
        <v/>
      </c>
      <c r="H59" s="12">
        <f>INDEX($D$7:$N$19,$C59,H$24)+$D59*(INDEX($D$7:$N$19,$C59+1,H$24)-INDEX($D$7:$N$19,$C59,H$24))</f>
        <v/>
      </c>
      <c r="I59" s="12">
        <f>INDEX($D$7:$N$19,$C59,I$24)+$D59*(INDEX($D$7:$N$19,$C59+1,I$24)-INDEX($D$7:$N$19,$C59,I$24))</f>
        <v/>
      </c>
      <c r="J59" s="12">
        <f>INDEX($D$7:$N$19,$C59,J$24)+$D59*(INDEX($D$7:$N$19,$C59+1,J$24)-INDEX($D$7:$N$19,$C59,J$24))</f>
        <v/>
      </c>
      <c r="K59" s="12">
        <f>INDEX($D$7:$N$19,$C59,K$24)+$D59*(INDEX($D$7:$N$19,$C59+1,K$24)-INDEX($D$7:$N$19,$C59,K$24))</f>
        <v/>
      </c>
      <c r="L59" s="12">
        <f>INDEX($D$7:$N$19,$C59,L$24)+$D59*(INDEX($D$7:$N$19,$C59+1,L$24)-INDEX($D$7:$N$19,$C59,L$24))</f>
        <v/>
      </c>
      <c r="M59" s="12">
        <f>INDEX($D$7:$N$19,$C59,M$24)+$D59*(INDEX($D$7:$N$19,$C59+1,M$24)-INDEX($D$7:$N$19,$C59,M$24))</f>
        <v/>
      </c>
      <c r="N59" s="12">
        <f>INDEX($D$7:$N$19,$C59,N$24)+$D59*(INDEX($D$7:$N$19,$C59+1,N$24)-INDEX($D$7:$N$19,$C59,N$24))</f>
        <v/>
      </c>
      <c r="O59" s="12">
        <f>INDEX($D$7:$N$19,$C59,O$24)+$D59*(INDEX($D$7:$N$19,$C59+1,O$24)-INDEX($D$7:$N$19,$C59,O$24))</f>
        <v/>
      </c>
      <c r="P59" s="12">
        <f>INDEX($D$7:$N$19,$C59,P$24)+$D59*(INDEX($D$7:$N$19,$C59+1,P$24)-INDEX($D$7:$N$19,$C59,P$24))</f>
        <v/>
      </c>
      <c r="R59" s="13">
        <f>(1-F59*$E$4*SUM(R$25:R58))/(1+F59*$E$4)</f>
        <v/>
      </c>
      <c r="S59" s="13">
        <f>(1-G59*$E$4*SUM(S$25:S58))/(1+G59*$E$4)</f>
        <v/>
      </c>
      <c r="T59" s="13">
        <f>(1-H59*$E$4*SUM(T$25:T58))/(1+H59*$E$4)</f>
        <v/>
      </c>
      <c r="U59" s="13">
        <f>(1-I59*$E$4*SUM(U$25:U58))/(1+I59*$E$4)</f>
        <v/>
      </c>
      <c r="V59" s="13">
        <f>(1-J59*$E$4*SUM(V$25:V58))/(1+J59*$E$4)</f>
        <v/>
      </c>
      <c r="W59" s="13">
        <f>(1-K59*$E$4*SUM(W$25:W58))/(1+K59*$E$4)</f>
        <v/>
      </c>
      <c r="X59" s="13">
        <f>(1-L59*$E$4*SUM(X$25:X58))/(1+L59*$E$4)</f>
        <v/>
      </c>
      <c r="Y59" s="13">
        <f>(1-M59*$E$4*SUM(Y$25:Y58))/(1+M59*$E$4)</f>
        <v/>
      </c>
      <c r="Z59" s="13">
        <f>(1-N59*$E$4*SUM(Z$25:Z58))/(1+N59*$E$4)</f>
        <v/>
      </c>
      <c r="AA59" s="13">
        <f>(1-O59*$E$4*SUM(AA$25:AA58))/(1+O59*$E$4)</f>
        <v/>
      </c>
      <c r="AB59" s="13">
        <f>(1-P59*$E$4*SUM(AB$25:AB58))/(1+P59*$E$4)</f>
        <v/>
      </c>
    </row>
    <row r="60">
      <c r="A60" t="n">
        <v>36</v>
      </c>
      <c r="B60" s="11">
        <f>A60*0.25</f>
        <v/>
      </c>
      <c r="C60">
        <f>MIN(MATCH(B60,$B$7:$B$19,1),12)</f>
        <v/>
      </c>
      <c r="D60">
        <f>(B60-INDEX($B$7:$B$19,C60))/(INDEX($B$7:$B$19,C60+1)-INDEX($B$7:$B$19,C60))</f>
        <v/>
      </c>
      <c r="E60" s="16">
        <f>'Amort-Set-up'!E55</f>
        <v/>
      </c>
      <c r="F60" s="12">
        <f>INDEX($D$7:$N$19,$C60,F$24)+$D60*(INDEX($D$7:$N$19,$C60+1,F$24)-INDEX($D$7:$N$19,$C60,F$24))</f>
        <v/>
      </c>
      <c r="G60" s="12">
        <f>INDEX($D$7:$N$19,$C60,G$24)+$D60*(INDEX($D$7:$N$19,$C60+1,G$24)-INDEX($D$7:$N$19,$C60,G$24))</f>
        <v/>
      </c>
      <c r="H60" s="12">
        <f>INDEX($D$7:$N$19,$C60,H$24)+$D60*(INDEX($D$7:$N$19,$C60+1,H$24)-INDEX($D$7:$N$19,$C60,H$24))</f>
        <v/>
      </c>
      <c r="I60" s="12">
        <f>INDEX($D$7:$N$19,$C60,I$24)+$D60*(INDEX($D$7:$N$19,$C60+1,I$24)-INDEX($D$7:$N$19,$C60,I$24))</f>
        <v/>
      </c>
      <c r="J60" s="12">
        <f>INDEX($D$7:$N$19,$C60,J$24)+$D60*(INDEX($D$7:$N$19,$C60+1,J$24)-INDEX($D$7:$N$19,$C60,J$24))</f>
        <v/>
      </c>
      <c r="K60" s="12">
        <f>INDEX($D$7:$N$19,$C60,K$24)+$D60*(INDEX($D$7:$N$19,$C60+1,K$24)-INDEX($D$7:$N$19,$C60,K$24))</f>
        <v/>
      </c>
      <c r="L60" s="12">
        <f>INDEX($D$7:$N$19,$C60,L$24)+$D60*(INDEX($D$7:$N$19,$C60+1,L$24)-INDEX($D$7:$N$19,$C60,L$24))</f>
        <v/>
      </c>
      <c r="M60" s="12">
        <f>INDEX($D$7:$N$19,$C60,M$24)+$D60*(INDEX($D$7:$N$19,$C60+1,M$24)-INDEX($D$7:$N$19,$C60,M$24))</f>
        <v/>
      </c>
      <c r="N60" s="12">
        <f>INDEX($D$7:$N$19,$C60,N$24)+$D60*(INDEX($D$7:$N$19,$C60+1,N$24)-INDEX($D$7:$N$19,$C60,N$24))</f>
        <v/>
      </c>
      <c r="O60" s="12">
        <f>INDEX($D$7:$N$19,$C60,O$24)+$D60*(INDEX($D$7:$N$19,$C60+1,O$24)-INDEX($D$7:$N$19,$C60,O$24))</f>
        <v/>
      </c>
      <c r="P60" s="12">
        <f>INDEX($D$7:$N$19,$C60,P$24)+$D60*(INDEX($D$7:$N$19,$C60+1,P$24)-INDEX($D$7:$N$19,$C60,P$24))</f>
        <v/>
      </c>
      <c r="R60" s="13">
        <f>(1-F60*$E$4*SUM(R$25:R59))/(1+F60*$E$4)</f>
        <v/>
      </c>
      <c r="S60" s="13">
        <f>(1-G60*$E$4*SUM(S$25:S59))/(1+G60*$E$4)</f>
        <v/>
      </c>
      <c r="T60" s="13">
        <f>(1-H60*$E$4*SUM(T$25:T59))/(1+H60*$E$4)</f>
        <v/>
      </c>
      <c r="U60" s="13">
        <f>(1-I60*$E$4*SUM(U$25:U59))/(1+I60*$E$4)</f>
        <v/>
      </c>
      <c r="V60" s="13">
        <f>(1-J60*$E$4*SUM(V$25:V59))/(1+J60*$E$4)</f>
        <v/>
      </c>
      <c r="W60" s="13">
        <f>(1-K60*$E$4*SUM(W$25:W59))/(1+K60*$E$4)</f>
        <v/>
      </c>
      <c r="X60" s="13">
        <f>(1-L60*$E$4*SUM(X$25:X59))/(1+L60*$E$4)</f>
        <v/>
      </c>
      <c r="Y60" s="13">
        <f>(1-M60*$E$4*SUM(Y$25:Y59))/(1+M60*$E$4)</f>
        <v/>
      </c>
      <c r="Z60" s="13">
        <f>(1-N60*$E$4*SUM(Z$25:Z59))/(1+N60*$E$4)</f>
        <v/>
      </c>
      <c r="AA60" s="13">
        <f>(1-O60*$E$4*SUM(AA$25:AA59))/(1+O60*$E$4)</f>
        <v/>
      </c>
      <c r="AB60" s="13">
        <f>(1-P60*$E$4*SUM(AB$25:AB59))/(1+P60*$E$4)</f>
        <v/>
      </c>
    </row>
    <row r="61">
      <c r="A61" t="n">
        <v>37</v>
      </c>
      <c r="B61" s="11">
        <f>A61*0.25</f>
        <v/>
      </c>
      <c r="C61">
        <f>MIN(MATCH(B61,$B$7:$B$19,1),12)</f>
        <v/>
      </c>
      <c r="D61">
        <f>(B61-INDEX($B$7:$B$19,C61))/(INDEX($B$7:$B$19,C61+1)-INDEX($B$7:$B$19,C61))</f>
        <v/>
      </c>
      <c r="E61" s="16">
        <f>'Amort-Set-up'!E56</f>
        <v/>
      </c>
      <c r="F61" s="12">
        <f>INDEX($D$7:$N$19,$C61,F$24)+$D61*(INDEX($D$7:$N$19,$C61+1,F$24)-INDEX($D$7:$N$19,$C61,F$24))</f>
        <v/>
      </c>
      <c r="G61" s="12">
        <f>INDEX($D$7:$N$19,$C61,G$24)+$D61*(INDEX($D$7:$N$19,$C61+1,G$24)-INDEX($D$7:$N$19,$C61,G$24))</f>
        <v/>
      </c>
      <c r="H61" s="12">
        <f>INDEX($D$7:$N$19,$C61,H$24)+$D61*(INDEX($D$7:$N$19,$C61+1,H$24)-INDEX($D$7:$N$19,$C61,H$24))</f>
        <v/>
      </c>
      <c r="I61" s="12">
        <f>INDEX($D$7:$N$19,$C61,I$24)+$D61*(INDEX($D$7:$N$19,$C61+1,I$24)-INDEX($D$7:$N$19,$C61,I$24))</f>
        <v/>
      </c>
      <c r="J61" s="12">
        <f>INDEX($D$7:$N$19,$C61,J$24)+$D61*(INDEX($D$7:$N$19,$C61+1,J$24)-INDEX($D$7:$N$19,$C61,J$24))</f>
        <v/>
      </c>
      <c r="K61" s="12">
        <f>INDEX($D$7:$N$19,$C61,K$24)+$D61*(INDEX($D$7:$N$19,$C61+1,K$24)-INDEX($D$7:$N$19,$C61,K$24))</f>
        <v/>
      </c>
      <c r="L61" s="12">
        <f>INDEX($D$7:$N$19,$C61,L$24)+$D61*(INDEX($D$7:$N$19,$C61+1,L$24)-INDEX($D$7:$N$19,$C61,L$24))</f>
        <v/>
      </c>
      <c r="M61" s="12">
        <f>INDEX($D$7:$N$19,$C61,M$24)+$D61*(INDEX($D$7:$N$19,$C61+1,M$24)-INDEX($D$7:$N$19,$C61,M$24))</f>
        <v/>
      </c>
      <c r="N61" s="12">
        <f>INDEX($D$7:$N$19,$C61,N$24)+$D61*(INDEX($D$7:$N$19,$C61+1,N$24)-INDEX($D$7:$N$19,$C61,N$24))</f>
        <v/>
      </c>
      <c r="O61" s="12">
        <f>INDEX($D$7:$N$19,$C61,O$24)+$D61*(INDEX($D$7:$N$19,$C61+1,O$24)-INDEX($D$7:$N$19,$C61,O$24))</f>
        <v/>
      </c>
      <c r="P61" s="12">
        <f>INDEX($D$7:$N$19,$C61,P$24)+$D61*(INDEX($D$7:$N$19,$C61+1,P$24)-INDEX($D$7:$N$19,$C61,P$24))</f>
        <v/>
      </c>
      <c r="R61" s="13">
        <f>(1-F61*$E$4*SUM(R$25:R60))/(1+F61*$E$4)</f>
        <v/>
      </c>
      <c r="S61" s="13">
        <f>(1-G61*$E$4*SUM(S$25:S60))/(1+G61*$E$4)</f>
        <v/>
      </c>
      <c r="T61" s="13">
        <f>(1-H61*$E$4*SUM(T$25:T60))/(1+H61*$E$4)</f>
        <v/>
      </c>
      <c r="U61" s="13">
        <f>(1-I61*$E$4*SUM(U$25:U60))/(1+I61*$E$4)</f>
        <v/>
      </c>
      <c r="V61" s="13">
        <f>(1-J61*$E$4*SUM(V$25:V60))/(1+J61*$E$4)</f>
        <v/>
      </c>
      <c r="W61" s="13">
        <f>(1-K61*$E$4*SUM(W$25:W60))/(1+K61*$E$4)</f>
        <v/>
      </c>
      <c r="X61" s="13">
        <f>(1-L61*$E$4*SUM(X$25:X60))/(1+L61*$E$4)</f>
        <v/>
      </c>
      <c r="Y61" s="13">
        <f>(1-M61*$E$4*SUM(Y$25:Y60))/(1+M61*$E$4)</f>
        <v/>
      </c>
      <c r="Z61" s="13">
        <f>(1-N61*$E$4*SUM(Z$25:Z60))/(1+N61*$E$4)</f>
        <v/>
      </c>
      <c r="AA61" s="13">
        <f>(1-O61*$E$4*SUM(AA$25:AA60))/(1+O61*$E$4)</f>
        <v/>
      </c>
      <c r="AB61" s="13">
        <f>(1-P61*$E$4*SUM(AB$25:AB60))/(1+P61*$E$4)</f>
        <v/>
      </c>
    </row>
    <row r="62">
      <c r="A62" t="n">
        <v>38</v>
      </c>
      <c r="B62" s="11">
        <f>A62*0.25</f>
        <v/>
      </c>
      <c r="C62">
        <f>MIN(MATCH(B62,$B$7:$B$19,1),12)</f>
        <v/>
      </c>
      <c r="D62">
        <f>(B62-INDEX($B$7:$B$19,C62))/(INDEX($B$7:$B$19,C62+1)-INDEX($B$7:$B$19,C62))</f>
        <v/>
      </c>
      <c r="E62" s="16">
        <f>'Amort-Set-up'!E57</f>
        <v/>
      </c>
      <c r="F62" s="12">
        <f>INDEX($D$7:$N$19,$C62,F$24)+$D62*(INDEX($D$7:$N$19,$C62+1,F$24)-INDEX($D$7:$N$19,$C62,F$24))</f>
        <v/>
      </c>
      <c r="G62" s="12">
        <f>INDEX($D$7:$N$19,$C62,G$24)+$D62*(INDEX($D$7:$N$19,$C62+1,G$24)-INDEX($D$7:$N$19,$C62,G$24))</f>
        <v/>
      </c>
      <c r="H62" s="12">
        <f>INDEX($D$7:$N$19,$C62,H$24)+$D62*(INDEX($D$7:$N$19,$C62+1,H$24)-INDEX($D$7:$N$19,$C62,H$24))</f>
        <v/>
      </c>
      <c r="I62" s="12">
        <f>INDEX($D$7:$N$19,$C62,I$24)+$D62*(INDEX($D$7:$N$19,$C62+1,I$24)-INDEX($D$7:$N$19,$C62,I$24))</f>
        <v/>
      </c>
      <c r="J62" s="12">
        <f>INDEX($D$7:$N$19,$C62,J$24)+$D62*(INDEX($D$7:$N$19,$C62+1,J$24)-INDEX($D$7:$N$19,$C62,J$24))</f>
        <v/>
      </c>
      <c r="K62" s="12">
        <f>INDEX($D$7:$N$19,$C62,K$24)+$D62*(INDEX($D$7:$N$19,$C62+1,K$24)-INDEX($D$7:$N$19,$C62,K$24))</f>
        <v/>
      </c>
      <c r="L62" s="12">
        <f>INDEX($D$7:$N$19,$C62,L$24)+$D62*(INDEX($D$7:$N$19,$C62+1,L$24)-INDEX($D$7:$N$19,$C62,L$24))</f>
        <v/>
      </c>
      <c r="M62" s="12">
        <f>INDEX($D$7:$N$19,$C62,M$24)+$D62*(INDEX($D$7:$N$19,$C62+1,M$24)-INDEX($D$7:$N$19,$C62,M$24))</f>
        <v/>
      </c>
      <c r="N62" s="12">
        <f>INDEX($D$7:$N$19,$C62,N$24)+$D62*(INDEX($D$7:$N$19,$C62+1,N$24)-INDEX($D$7:$N$19,$C62,N$24))</f>
        <v/>
      </c>
      <c r="O62" s="12">
        <f>INDEX($D$7:$N$19,$C62,O$24)+$D62*(INDEX($D$7:$N$19,$C62+1,O$24)-INDEX($D$7:$N$19,$C62,O$24))</f>
        <v/>
      </c>
      <c r="P62" s="12">
        <f>INDEX($D$7:$N$19,$C62,P$24)+$D62*(INDEX($D$7:$N$19,$C62+1,P$24)-INDEX($D$7:$N$19,$C62,P$24))</f>
        <v/>
      </c>
      <c r="R62" s="13">
        <f>(1-F62*$E$4*SUM(R$25:R61))/(1+F62*$E$4)</f>
        <v/>
      </c>
      <c r="S62" s="13">
        <f>(1-G62*$E$4*SUM(S$25:S61))/(1+G62*$E$4)</f>
        <v/>
      </c>
      <c r="T62" s="13">
        <f>(1-H62*$E$4*SUM(T$25:T61))/(1+H62*$E$4)</f>
        <v/>
      </c>
      <c r="U62" s="13">
        <f>(1-I62*$E$4*SUM(U$25:U61))/(1+I62*$E$4)</f>
        <v/>
      </c>
      <c r="V62" s="13">
        <f>(1-J62*$E$4*SUM(V$25:V61))/(1+J62*$E$4)</f>
        <v/>
      </c>
      <c r="W62" s="13">
        <f>(1-K62*$E$4*SUM(W$25:W61))/(1+K62*$E$4)</f>
        <v/>
      </c>
      <c r="X62" s="13">
        <f>(1-L62*$E$4*SUM(X$25:X61))/(1+L62*$E$4)</f>
        <v/>
      </c>
      <c r="Y62" s="13">
        <f>(1-M62*$E$4*SUM(Y$25:Y61))/(1+M62*$E$4)</f>
        <v/>
      </c>
      <c r="Z62" s="13">
        <f>(1-N62*$E$4*SUM(Z$25:Z61))/(1+N62*$E$4)</f>
        <v/>
      </c>
      <c r="AA62" s="13">
        <f>(1-O62*$E$4*SUM(AA$25:AA61))/(1+O62*$E$4)</f>
        <v/>
      </c>
      <c r="AB62" s="13">
        <f>(1-P62*$E$4*SUM(AB$25:AB61))/(1+P62*$E$4)</f>
        <v/>
      </c>
    </row>
    <row r="63">
      <c r="A63" t="n">
        <v>39</v>
      </c>
      <c r="B63" s="11">
        <f>A63*0.25</f>
        <v/>
      </c>
      <c r="C63">
        <f>MIN(MATCH(B63,$B$7:$B$19,1),12)</f>
        <v/>
      </c>
      <c r="D63">
        <f>(B63-INDEX($B$7:$B$19,C63))/(INDEX($B$7:$B$19,C63+1)-INDEX($B$7:$B$19,C63))</f>
        <v/>
      </c>
      <c r="E63" s="16">
        <f>'Amort-Set-up'!E58</f>
        <v/>
      </c>
      <c r="F63" s="12">
        <f>INDEX($D$7:$N$19,$C63,F$24)+$D63*(INDEX($D$7:$N$19,$C63+1,F$24)-INDEX($D$7:$N$19,$C63,F$24))</f>
        <v/>
      </c>
      <c r="G63" s="12">
        <f>INDEX($D$7:$N$19,$C63,G$24)+$D63*(INDEX($D$7:$N$19,$C63+1,G$24)-INDEX($D$7:$N$19,$C63,G$24))</f>
        <v/>
      </c>
      <c r="H63" s="12">
        <f>INDEX($D$7:$N$19,$C63,H$24)+$D63*(INDEX($D$7:$N$19,$C63+1,H$24)-INDEX($D$7:$N$19,$C63,H$24))</f>
        <v/>
      </c>
      <c r="I63" s="12">
        <f>INDEX($D$7:$N$19,$C63,I$24)+$D63*(INDEX($D$7:$N$19,$C63+1,I$24)-INDEX($D$7:$N$19,$C63,I$24))</f>
        <v/>
      </c>
      <c r="J63" s="12">
        <f>INDEX($D$7:$N$19,$C63,J$24)+$D63*(INDEX($D$7:$N$19,$C63+1,J$24)-INDEX($D$7:$N$19,$C63,J$24))</f>
        <v/>
      </c>
      <c r="K63" s="12">
        <f>INDEX($D$7:$N$19,$C63,K$24)+$D63*(INDEX($D$7:$N$19,$C63+1,K$24)-INDEX($D$7:$N$19,$C63,K$24))</f>
        <v/>
      </c>
      <c r="L63" s="12">
        <f>INDEX($D$7:$N$19,$C63,L$24)+$D63*(INDEX($D$7:$N$19,$C63+1,L$24)-INDEX($D$7:$N$19,$C63,L$24))</f>
        <v/>
      </c>
      <c r="M63" s="12">
        <f>INDEX($D$7:$N$19,$C63,M$24)+$D63*(INDEX($D$7:$N$19,$C63+1,M$24)-INDEX($D$7:$N$19,$C63,M$24))</f>
        <v/>
      </c>
      <c r="N63" s="12">
        <f>INDEX($D$7:$N$19,$C63,N$24)+$D63*(INDEX($D$7:$N$19,$C63+1,N$24)-INDEX($D$7:$N$19,$C63,N$24))</f>
        <v/>
      </c>
      <c r="O63" s="12">
        <f>INDEX($D$7:$N$19,$C63,O$24)+$D63*(INDEX($D$7:$N$19,$C63+1,O$24)-INDEX($D$7:$N$19,$C63,O$24))</f>
        <v/>
      </c>
      <c r="P63" s="12">
        <f>INDEX($D$7:$N$19,$C63,P$24)+$D63*(INDEX($D$7:$N$19,$C63+1,P$24)-INDEX($D$7:$N$19,$C63,P$24))</f>
        <v/>
      </c>
      <c r="R63" s="13">
        <f>(1-F63*$E$4*SUM(R$25:R62))/(1+F63*$E$4)</f>
        <v/>
      </c>
      <c r="S63" s="13">
        <f>(1-G63*$E$4*SUM(S$25:S62))/(1+G63*$E$4)</f>
        <v/>
      </c>
      <c r="T63" s="13">
        <f>(1-H63*$E$4*SUM(T$25:T62))/(1+H63*$E$4)</f>
        <v/>
      </c>
      <c r="U63" s="13">
        <f>(1-I63*$E$4*SUM(U$25:U62))/(1+I63*$E$4)</f>
        <v/>
      </c>
      <c r="V63" s="13">
        <f>(1-J63*$E$4*SUM(V$25:V62))/(1+J63*$E$4)</f>
        <v/>
      </c>
      <c r="W63" s="13">
        <f>(1-K63*$E$4*SUM(W$25:W62))/(1+K63*$E$4)</f>
        <v/>
      </c>
      <c r="X63" s="13">
        <f>(1-L63*$E$4*SUM(X$25:X62))/(1+L63*$E$4)</f>
        <v/>
      </c>
      <c r="Y63" s="13">
        <f>(1-M63*$E$4*SUM(Y$25:Y62))/(1+M63*$E$4)</f>
        <v/>
      </c>
      <c r="Z63" s="13">
        <f>(1-N63*$E$4*SUM(Z$25:Z62))/(1+N63*$E$4)</f>
        <v/>
      </c>
      <c r="AA63" s="13">
        <f>(1-O63*$E$4*SUM(AA$25:AA62))/(1+O63*$E$4)</f>
        <v/>
      </c>
      <c r="AB63" s="13">
        <f>(1-P63*$E$4*SUM(AB$25:AB62))/(1+P63*$E$4)</f>
        <v/>
      </c>
    </row>
    <row r="64">
      <c r="A64" t="n">
        <v>40</v>
      </c>
      <c r="B64" s="11">
        <f>A64*0.25</f>
        <v/>
      </c>
      <c r="C64">
        <f>MIN(MATCH(B64,$B$7:$B$19,1),12)</f>
        <v/>
      </c>
      <c r="D64">
        <f>(B64-INDEX($B$7:$B$19,C64))/(INDEX($B$7:$B$19,C64+1)-INDEX($B$7:$B$19,C64))</f>
        <v/>
      </c>
      <c r="E64" s="16">
        <f>'Amort-Set-up'!E59</f>
        <v/>
      </c>
      <c r="F64" s="12">
        <f>INDEX($D$7:$N$19,$C64,F$24)+$D64*(INDEX($D$7:$N$19,$C64+1,F$24)-INDEX($D$7:$N$19,$C64,F$24))</f>
        <v/>
      </c>
      <c r="G64" s="12">
        <f>INDEX($D$7:$N$19,$C64,G$24)+$D64*(INDEX($D$7:$N$19,$C64+1,G$24)-INDEX($D$7:$N$19,$C64,G$24))</f>
        <v/>
      </c>
      <c r="H64" s="12">
        <f>INDEX($D$7:$N$19,$C64,H$24)+$D64*(INDEX($D$7:$N$19,$C64+1,H$24)-INDEX($D$7:$N$19,$C64,H$24))</f>
        <v/>
      </c>
      <c r="I64" s="12">
        <f>INDEX($D$7:$N$19,$C64,I$24)+$D64*(INDEX($D$7:$N$19,$C64+1,I$24)-INDEX($D$7:$N$19,$C64,I$24))</f>
        <v/>
      </c>
      <c r="J64" s="12">
        <f>INDEX($D$7:$N$19,$C64,J$24)+$D64*(INDEX($D$7:$N$19,$C64+1,J$24)-INDEX($D$7:$N$19,$C64,J$24))</f>
        <v/>
      </c>
      <c r="K64" s="12">
        <f>INDEX($D$7:$N$19,$C64,K$24)+$D64*(INDEX($D$7:$N$19,$C64+1,K$24)-INDEX($D$7:$N$19,$C64,K$24))</f>
        <v/>
      </c>
      <c r="L64" s="12">
        <f>INDEX($D$7:$N$19,$C64,L$24)+$D64*(INDEX($D$7:$N$19,$C64+1,L$24)-INDEX($D$7:$N$19,$C64,L$24))</f>
        <v/>
      </c>
      <c r="M64" s="12">
        <f>INDEX($D$7:$N$19,$C64,M$24)+$D64*(INDEX($D$7:$N$19,$C64+1,M$24)-INDEX($D$7:$N$19,$C64,M$24))</f>
        <v/>
      </c>
      <c r="N64" s="12">
        <f>INDEX($D$7:$N$19,$C64,N$24)+$D64*(INDEX($D$7:$N$19,$C64+1,N$24)-INDEX($D$7:$N$19,$C64,N$24))</f>
        <v/>
      </c>
      <c r="O64" s="12">
        <f>INDEX($D$7:$N$19,$C64,O$24)+$D64*(INDEX($D$7:$N$19,$C64+1,O$24)-INDEX($D$7:$N$19,$C64,O$24))</f>
        <v/>
      </c>
      <c r="P64" s="12">
        <f>INDEX($D$7:$N$19,$C64,P$24)+$D64*(INDEX($D$7:$N$19,$C64+1,P$24)-INDEX($D$7:$N$19,$C64,P$24))</f>
        <v/>
      </c>
      <c r="R64" s="13">
        <f>(1-F64*$E$4*SUM(R$25:R63))/(1+F64*$E$4)</f>
        <v/>
      </c>
      <c r="S64" s="13">
        <f>(1-G64*$E$4*SUM(S$25:S63))/(1+G64*$E$4)</f>
        <v/>
      </c>
      <c r="T64" s="13">
        <f>(1-H64*$E$4*SUM(T$25:T63))/(1+H64*$E$4)</f>
        <v/>
      </c>
      <c r="U64" s="13">
        <f>(1-I64*$E$4*SUM(U$25:U63))/(1+I64*$E$4)</f>
        <v/>
      </c>
      <c r="V64" s="13">
        <f>(1-J64*$E$4*SUM(V$25:V63))/(1+J64*$E$4)</f>
        <v/>
      </c>
      <c r="W64" s="13">
        <f>(1-K64*$E$4*SUM(W$25:W63))/(1+K64*$E$4)</f>
        <v/>
      </c>
      <c r="X64" s="13">
        <f>(1-L64*$E$4*SUM(X$25:X63))/(1+L64*$E$4)</f>
        <v/>
      </c>
      <c r="Y64" s="13">
        <f>(1-M64*$E$4*SUM(Y$25:Y63))/(1+M64*$E$4)</f>
        <v/>
      </c>
      <c r="Z64" s="13">
        <f>(1-N64*$E$4*SUM(Z$25:Z63))/(1+N64*$E$4)</f>
        <v/>
      </c>
      <c r="AA64" s="13">
        <f>(1-O64*$E$4*SUM(AA$25:AA63))/(1+O64*$E$4)</f>
        <v/>
      </c>
      <c r="AB64" s="13">
        <f>(1-P64*$E$4*SUM(AB$25:AB63))/(1+P64*$E$4)</f>
        <v/>
      </c>
    </row>
    <row r="66">
      <c r="A66" s="9" t="inlineStr">
        <is>
          <t>Fixed PV</t>
        </is>
      </c>
      <c r="R66" s="16">
        <f>$D$3*$E$4*SUMPRODUCT($E$25:$E$64,R$25:R$64)</f>
        <v/>
      </c>
      <c r="S66" s="16">
        <f>$D$3*$E$4*SUMPRODUCT($E$25:$E$64,S$25:S$64)</f>
        <v/>
      </c>
      <c r="T66" s="16">
        <f>$D$3*$E$4*SUMPRODUCT($E$25:$E$64,T$25:T$64)</f>
        <v/>
      </c>
      <c r="U66" s="16">
        <f>$D$3*$E$4*SUMPRODUCT($E$25:$E$64,U$25:U$64)</f>
        <v/>
      </c>
      <c r="V66" s="16">
        <f>$D$3*$E$4*SUMPRODUCT($E$25:$E$64,V$25:V$64)</f>
        <v/>
      </c>
      <c r="W66" s="16">
        <f>$D$3*$E$4*SUMPRODUCT($E$25:$E$64,W$25:W$64)</f>
        <v/>
      </c>
      <c r="X66" s="16">
        <f>$D$3*$E$4*SUMPRODUCT($E$25:$E$64,X$25:X$64)</f>
        <v/>
      </c>
      <c r="Y66" s="16">
        <f>$D$3*$E$4*SUMPRODUCT($E$25:$E$64,Y$25:Y$64)</f>
        <v/>
      </c>
      <c r="Z66" s="16">
        <f>$D$3*$E$4*SUMPRODUCT($E$25:$E$64,Z$25:Z$64)</f>
        <v/>
      </c>
      <c r="AA66" s="16">
        <f>$D$3*$E$4*SUMPRODUCT($E$25:$E$64,AA$25:AA$64)</f>
        <v/>
      </c>
      <c r="AB66" s="16">
        <f>$D$3*$E$4*SUMPRODUCT($E$25:$E$64,AB$25:AB$64)</f>
        <v/>
      </c>
    </row>
    <row r="67">
      <c r="A67" s="9" t="inlineStr">
        <is>
          <t>Float PV</t>
        </is>
      </c>
      <c r="R67" s="16">
        <f>SUMPRODUCT($E$25:$E$64,R$24:R$63-R$25:R$64)</f>
        <v/>
      </c>
      <c r="S67" s="16">
        <f>SUMPRODUCT($E$25:$E$64,S$24:S$63-S$25:S$64)</f>
        <v/>
      </c>
      <c r="T67" s="16">
        <f>SUMPRODUCT($E$25:$E$64,T$24:T$63-T$25:T$64)</f>
        <v/>
      </c>
      <c r="U67" s="16">
        <f>SUMPRODUCT($E$25:$E$64,U$24:U$63-U$25:U$64)</f>
        <v/>
      </c>
      <c r="V67" s="16">
        <f>SUMPRODUCT($E$25:$E$64,V$24:V$63-V$25:V$64)</f>
        <v/>
      </c>
      <c r="W67" s="16">
        <f>SUMPRODUCT($E$25:$E$64,W$24:W$63-W$25:W$64)</f>
        <v/>
      </c>
      <c r="X67" s="16">
        <f>SUMPRODUCT($E$25:$E$64,X$24:X$63-X$25:X$64)</f>
        <v/>
      </c>
      <c r="Y67" s="16">
        <f>SUMPRODUCT($E$25:$E$64,Y$24:Y$63-Y$25:Y$64)</f>
        <v/>
      </c>
      <c r="Z67" s="16">
        <f>SUMPRODUCT($E$25:$E$64,Z$24:Z$63-Z$25:Z$64)</f>
        <v/>
      </c>
      <c r="AA67" s="16">
        <f>SUMPRODUCT($E$25:$E$64,AA$24:AA$63-AA$25:AA$64)</f>
        <v/>
      </c>
      <c r="AB67" s="16">
        <f>SUMPRODUCT($E$25:$E$64,AB$24:AB$63-AB$25:AB$64)</f>
        <v/>
      </c>
    </row>
    <row r="68">
      <c r="A68" s="9" t="inlineStr">
        <is>
          <t>NPV</t>
        </is>
      </c>
      <c r="R68" s="16">
        <f>R66-R67</f>
        <v/>
      </c>
      <c r="S68" s="16">
        <f>S66-S67</f>
        <v/>
      </c>
      <c r="T68" s="16">
        <f>T66-T67</f>
        <v/>
      </c>
      <c r="U68" s="16">
        <f>U66-U67</f>
        <v/>
      </c>
      <c r="V68" s="16">
        <f>V66-V67</f>
        <v/>
      </c>
      <c r="W68" s="16">
        <f>W66-W67</f>
        <v/>
      </c>
      <c r="X68" s="16">
        <f>X66-X67</f>
        <v/>
      </c>
      <c r="Y68" s="16">
        <f>Y66-Y67</f>
        <v/>
      </c>
      <c r="Z68" s="16">
        <f>Z66-Z67</f>
        <v/>
      </c>
      <c r="AA68" s="16">
        <f>AA66-AA67</f>
        <v/>
      </c>
      <c r="AB68" s="16">
        <f>AB66-AB67</f>
        <v/>
      </c>
    </row>
    <row r="69">
      <c r="A69" s="9" t="inlineStr">
        <is>
          <t>DELTA</t>
        </is>
      </c>
      <c r="R69" s="16">
        <f>R68-$R68</f>
        <v/>
      </c>
      <c r="S69" s="16">
        <f>S68-$R68</f>
        <v/>
      </c>
      <c r="T69" s="16">
        <f>T68-$R68</f>
        <v/>
      </c>
      <c r="U69" s="16">
        <f>U68-$R68</f>
        <v/>
      </c>
      <c r="V69" s="16">
        <f>V68-$R68</f>
        <v/>
      </c>
      <c r="W69" s="16">
        <f>W68-$R68</f>
        <v/>
      </c>
      <c r="X69" s="16">
        <f>X68-$R68</f>
        <v/>
      </c>
      <c r="Y69" s="16">
        <f>Y68-$R68</f>
        <v/>
      </c>
      <c r="Z69" s="16">
        <f>Z68-$R68</f>
        <v/>
      </c>
      <c r="AA69" s="16">
        <f>AA68-$R68</f>
        <v/>
      </c>
      <c r="AB69" s="16">
        <f>AB68-$R68</f>
        <v/>
      </c>
    </row>
    <row r="70">
      <c r="S70" s="2">
        <f>$A7</f>
        <v/>
      </c>
      <c r="T70" s="2">
        <f>$A8</f>
        <v/>
      </c>
      <c r="U70" s="2">
        <f>$A9</f>
        <v/>
      </c>
      <c r="V70" s="2">
        <f>$A10</f>
        <v/>
      </c>
      <c r="W70" s="2">
        <f>$A11</f>
        <v/>
      </c>
      <c r="X70" s="2">
        <f>$A12</f>
        <v/>
      </c>
      <c r="Y70" s="2">
        <f>$A13</f>
        <v/>
      </c>
      <c r="Z70" s="2">
        <f>$A14</f>
        <v/>
      </c>
      <c r="AA70" s="2">
        <f>$A15</f>
        <v/>
      </c>
      <c r="AB70" s="2">
        <f>$A16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</cols>
  <sheetData>
    <row r="1">
      <c r="A1" s="1" t="inlineStr">
        <is>
          <t>Delta — 1bp per tenor</t>
        </is>
      </c>
    </row>
    <row r="2">
      <c r="A2" s="2" t="inlineStr">
        <is>
          <t>KRW IRS loan hedge, 10Y. Each row = change in NPV for +1bp on that tenor. Live off the KRD delta row — reprices when the notionals or curve change.</t>
        </is>
      </c>
    </row>
    <row r="4">
      <c r="A4" s="3" t="inlineStr">
        <is>
          <t>Tenor</t>
        </is>
      </c>
      <c r="B4" s="3" t="inlineStr">
        <is>
          <t>dv01</t>
        </is>
      </c>
    </row>
    <row r="5">
      <c r="A5" s="4" t="inlineStr">
        <is>
          <t>2D</t>
        </is>
      </c>
      <c r="B5" s="5" t="n">
        <v>0</v>
      </c>
      <c r="D5" s="21" t="inlineStr">
        <is>
          <t>2D–2M: no curve node below 3M / no swap sensitivity → 0</t>
        </is>
      </c>
    </row>
    <row r="6">
      <c r="A6" s="4" t="inlineStr">
        <is>
          <t>1W</t>
        </is>
      </c>
      <c r="B6" s="5" t="n">
        <v>0</v>
      </c>
      <c r="D6" s="21" t="inlineStr">
        <is>
          <t>12Y–30Y: past the 10Y maturity → 0</t>
        </is>
      </c>
    </row>
    <row r="7">
      <c r="A7" s="4" t="inlineStr">
        <is>
          <t>1M</t>
        </is>
      </c>
      <c r="B7" s="5" t="n">
        <v>0</v>
      </c>
      <c r="D7" s="21" t="inlineStr">
        <is>
          <t>8Y/9Y risk sits in the 7Y and 10Y buckets (dropped as nodes)</t>
        </is>
      </c>
    </row>
    <row r="8">
      <c r="A8" s="4" t="inlineStr">
        <is>
          <t>2M</t>
        </is>
      </c>
      <c r="B8" s="5" t="n">
        <v>0</v>
      </c>
    </row>
    <row r="9">
      <c r="A9" s="4" t="inlineStr">
        <is>
          <t>3M</t>
        </is>
      </c>
      <c r="B9" s="5">
        <f>KRD!S$69</f>
        <v/>
      </c>
    </row>
    <row r="10">
      <c r="A10" s="4" t="inlineStr">
        <is>
          <t>6M</t>
        </is>
      </c>
      <c r="B10" s="5">
        <f>KRD!T$69</f>
        <v/>
      </c>
    </row>
    <row r="11">
      <c r="A11" s="4" t="inlineStr">
        <is>
          <t>9M</t>
        </is>
      </c>
      <c r="B11" s="5">
        <f>KRD!U$69</f>
        <v/>
      </c>
    </row>
    <row r="12">
      <c r="A12" s="4" t="inlineStr">
        <is>
          <t>1Y</t>
        </is>
      </c>
      <c r="B12" s="5">
        <f>KRD!V$69</f>
        <v/>
      </c>
    </row>
    <row r="13">
      <c r="A13" s="4" t="inlineStr">
        <is>
          <t>2Y</t>
        </is>
      </c>
      <c r="B13" s="5">
        <f>KRD!W$69</f>
        <v/>
      </c>
    </row>
    <row r="14">
      <c r="A14" s="4" t="inlineStr">
        <is>
          <t>3Y</t>
        </is>
      </c>
      <c r="B14" s="5">
        <f>KRD!X$69</f>
        <v/>
      </c>
    </row>
    <row r="15">
      <c r="A15" s="4" t="inlineStr">
        <is>
          <t>4Y</t>
        </is>
      </c>
      <c r="B15" s="5">
        <f>KRD!Y$69</f>
        <v/>
      </c>
    </row>
    <row r="16">
      <c r="A16" s="4" t="inlineStr">
        <is>
          <t>5Y</t>
        </is>
      </c>
      <c r="B16" s="5">
        <f>KRD!Z$69</f>
        <v/>
      </c>
    </row>
    <row r="17">
      <c r="A17" s="4" t="inlineStr">
        <is>
          <t>7Y</t>
        </is>
      </c>
      <c r="B17" s="5">
        <f>KRD!AA$69</f>
        <v/>
      </c>
    </row>
    <row r="18">
      <c r="A18" s="4" t="inlineStr">
        <is>
          <t>10Y</t>
        </is>
      </c>
      <c r="B18" s="5">
        <f>KRD!AB$69</f>
        <v/>
      </c>
    </row>
    <row r="19">
      <c r="A19" s="4" t="inlineStr">
        <is>
          <t>12Y</t>
        </is>
      </c>
      <c r="B19" s="5" t="n">
        <v>0</v>
      </c>
    </row>
    <row r="20">
      <c r="A20" s="4" t="inlineStr">
        <is>
          <t>15Y</t>
        </is>
      </c>
      <c r="B20" s="5" t="n">
        <v>0</v>
      </c>
    </row>
    <row r="21">
      <c r="A21" s="4" t="inlineStr">
        <is>
          <t>20Y</t>
        </is>
      </c>
      <c r="B21" s="5" t="n">
        <v>0</v>
      </c>
    </row>
    <row r="22">
      <c r="A22" s="4" t="inlineStr">
        <is>
          <t>25Y</t>
        </is>
      </c>
      <c r="B22" s="5" t="n">
        <v>0</v>
      </c>
    </row>
    <row r="23">
      <c r="A23" s="4" t="inlineStr">
        <is>
          <t>30Y</t>
        </is>
      </c>
      <c r="B23" s="5" t="n">
        <v>0</v>
      </c>
    </row>
    <row r="24">
      <c r="A24" s="6" t="inlineStr">
        <is>
          <t>TOTAL</t>
        </is>
      </c>
      <c r="B24" s="7">
        <f>SUM(B5:B23)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2026-07-24T01:10:47Z</dcterms:created>
  <dcterms:modified xmlns:dcterms="http://purl.org/dc/terms/" xmlns:xsi="http://www.w3.org/2001/XMLSchema-instance" xsi:type="dcterms:W3CDTF">2026-07-24T01:21:17Z</dcterms:modified>
</cp:coreProperties>
</file>