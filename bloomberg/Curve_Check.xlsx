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rve_Check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6">
    <numFmt numFmtId="164" formatCode="mm/dd/yyyy"/>
    <numFmt numFmtId="165" formatCode="0.00000"/>
    <numFmt numFmtId="166" formatCode="0.000000"/>
    <numFmt numFmtId="167" formatCode="0.00000000"/>
    <numFmt numFmtId="168" formatCode="0.0000"/>
    <numFmt numFmtId="169" formatCode="0.000"/>
  </numFmts>
  <fonts count="9">
    <font>
      <name val="Calibri"/>
      <family val="2"/>
      <color theme="1"/>
      <sz val="11"/>
      <scheme val="minor"/>
    </font>
    <font>
      <name val="Calibri"/>
      <b val="1"/>
      <sz val="14"/>
    </font>
    <font>
      <name val="Calibri"/>
      <i val="1"/>
      <color rgb="00808080"/>
      <sz val="9"/>
    </font>
    <font>
      <name val="Calibri"/>
      <b val="1"/>
      <sz val="11"/>
    </font>
    <font>
      <name val="Calibri"/>
      <color rgb="000000FF"/>
      <sz val="11"/>
    </font>
    <font>
      <name val="Calibri"/>
      <color rgb="00008000"/>
      <sz val="11"/>
    </font>
    <font>
      <name val="Calibri"/>
      <b val="1"/>
      <color rgb="00C00000"/>
      <sz val="11"/>
    </font>
    <font>
      <name val="Calibri"/>
      <b val="1"/>
      <color rgb="00FFFFFF"/>
      <sz val="11"/>
    </font>
    <font>
      <name val="Calibri"/>
      <sz val="11"/>
    </font>
  </fonts>
  <fills count="6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4472C4"/>
      </patternFill>
    </fill>
    <fill>
      <patternFill patternType="solid">
        <fgColor rgb="00FFFF00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164" fontId="4" fillId="2" borderId="1" pivotButton="0" quotePrefix="0" xfId="0"/>
    <xf numFmtId="164" fontId="5" fillId="0" borderId="1" pivotButton="0" quotePrefix="0" xfId="0"/>
    <xf numFmtId="0" fontId="6" fillId="0" borderId="0" pivotButton="0" quotePrefix="0" xfId="0"/>
    <xf numFmtId="0" fontId="7" fillId="3" borderId="1" applyAlignment="1" pivotButton="0" quotePrefix="0" xfId="0">
      <alignment horizontal="center" wrapText="1"/>
    </xf>
    <xf numFmtId="0" fontId="8" fillId="4" borderId="1" pivotButton="0" quotePrefix="0" xfId="0"/>
    <xf numFmtId="165" fontId="8" fillId="4" borderId="1" pivotButton="0" quotePrefix="0" xfId="0"/>
    <xf numFmtId="166" fontId="8" fillId="4" borderId="1" pivotButton="0" quotePrefix="0" xfId="0"/>
    <xf numFmtId="164" fontId="5" fillId="5" borderId="1" pivotButton="0" quotePrefix="0" xfId="0"/>
    <xf numFmtId="167" fontId="5" fillId="5" borderId="1" pivotButton="0" quotePrefix="0" xfId="0"/>
    <xf numFmtId="165" fontId="5" fillId="5" borderId="1" pivotButton="0" quotePrefix="0" xfId="0"/>
    <xf numFmtId="168" fontId="5" fillId="5" borderId="1" pivotButton="0" quotePrefix="0" xfId="0"/>
    <xf numFmtId="169" fontId="8" fillId="0" borderId="1" pivotButton="0" quotePrefix="0" xfId="0"/>
    <xf numFmtId="11" fontId="8" fillId="0" borderId="1" pivotButton="0" quotePrefix="0" xfId="0"/>
    <xf numFmtId="0" fontId="8" fillId="5" borderId="1" pivotButton="0" quotePrefix="0" xfId="0"/>
    <xf numFmtId="169" fontId="8" fillId="5" borderId="1" pivotButton="0" quotePrefix="0" xfId="0"/>
    <xf numFmtId="11" fontId="8" fillId="5" borderId="1" pivotButton="0" quotePrefix="0" xfId="0"/>
  </cellXfs>
  <cellStyles count="1">
    <cellStyle name="Normal" xfId="0" builtinId="0" hidden="0"/>
  </cellStyles>
  <dxfs count="1">
    <dxf>
      <font>
        <name val="Calibri"/>
        <b val="1"/>
        <color rgb="00C00000"/>
        <sz val="11"/>
      </font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4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0" customWidth="1" min="1" max="1"/>
    <col width="17" customWidth="1" min="2" max="2"/>
    <col width="12" customWidth="1" min="3" max="3"/>
    <col width="13" customWidth="1" min="4" max="4"/>
    <col width="12" customWidth="1" min="5" max="5"/>
    <col width="14" customWidth="1" min="6" max="6"/>
    <col width="12" customWidth="1" min="7" max="7"/>
    <col width="11" customWidth="1" min="8" max="8"/>
    <col width="11" customWidth="1" min="9" max="9"/>
    <col width="12" customWidth="1" min="10" max="10"/>
    <col width="12" customWidth="1" min="11" max="11"/>
  </cols>
  <sheetData>
    <row r="1">
      <c r="A1" s="1" t="inlineStr">
        <is>
          <t>Curve_Check — paste a capture, read the diffs</t>
        </is>
      </c>
    </row>
    <row r="2">
      <c r="A2" s="2" t="inlineStr">
        <is>
          <t>Self-contained. Nothing on this sheet points at another sheet, so it survives Move or Copy into any workbook.</t>
        </is>
      </c>
    </row>
    <row r="3">
      <c r="A3" s="2" t="inlineStr">
        <is>
          <t>Paste the YELLOW columns off the S490 capture: tenor, swap rate (mid), BBG zero %, BBG discount. Set the curve date. Everything green is computed.</t>
        </is>
      </c>
    </row>
    <row r="4">
      <c r="B4" s="3" t="inlineStr">
        <is>
          <t>Curve date →</t>
        </is>
      </c>
      <c r="C4" s="4">
        <f>TODAY()</f>
        <v/>
      </c>
      <c r="D4" s="2" t="inlineStr">
        <is>
          <t>← type the capture date here</t>
        </is>
      </c>
    </row>
    <row r="5">
      <c r="B5" s="3" t="inlineStr">
        <is>
          <t>Spot (T+2bd) →</t>
        </is>
      </c>
      <c r="C5" s="5">
        <f>IF($C$4="","",($C$4+IF(WEEKDAY($C$4,2)=6,2,IF(WEEKDAY($C$4,2)=7,1,0)))+IF(WEEKDAY(($C$4+IF(WEEKDAY($C$4,2)=6,2,IF(WEEKDAY($C$4,2)=7,1,0))),2)&gt;=4,4,2))</f>
        <v/>
      </c>
    </row>
    <row r="6">
      <c r="B6" s="3" t="inlineStr">
        <is>
          <t>VBA →</t>
        </is>
      </c>
      <c r="C6" s="6">
        <f>IF(ISERROR(SOFR_Curve($C$4,$A$9:$A$60,$B$9:$B$60,"5Y","DF")),"NOT AVAILABLE — import CurveVBA.bas (Alt+F11 &gt; File &gt; Import File), save as .xlsm","OK — CurveVBA.SOFR_Curve() is answering")</f>
        <v/>
      </c>
    </row>
    <row r="8">
      <c r="A8" s="7" t="inlineStr">
        <is>
          <t>Tenor</t>
        </is>
      </c>
      <c r="B8" s="7" t="inlineStr">
        <is>
          <t>Swap rate (mid) %</t>
        </is>
      </c>
      <c r="C8" s="7" t="inlineStr">
        <is>
          <t>BBG zero %</t>
        </is>
      </c>
      <c r="D8" s="7" t="inlineStr">
        <is>
          <t>BBG discount</t>
        </is>
      </c>
      <c r="E8" s="7" t="inlineStr">
        <is>
          <t>Date</t>
        </is>
      </c>
      <c r="F8" s="7" t="inlineStr">
        <is>
          <t>our DF</t>
        </is>
      </c>
      <c r="G8" s="7" t="inlineStr">
        <is>
          <t>our zero %</t>
        </is>
      </c>
      <c r="H8" s="7" t="inlineStr">
        <is>
          <t>t ACT/365</t>
        </is>
      </c>
      <c r="I8" s="7" t="inlineStr">
        <is>
          <t>d zero bp</t>
        </is>
      </c>
      <c r="J8" s="7" t="inlineStr">
        <is>
          <t>d DF</t>
        </is>
      </c>
      <c r="K8" s="7" t="inlineStr">
        <is>
          <t>rate used %</t>
        </is>
      </c>
    </row>
    <row r="9">
      <c r="A9" s="8" t="n"/>
      <c r="B9" s="9" t="n"/>
      <c r="C9" s="9" t="n"/>
      <c r="D9" s="10" t="n"/>
      <c r="E9" s="11">
        <f>IF($A9="","",IFERROR(SOFR_Curve($C$4,$A$9:$A$60,$B$9:$B$60,$A9,"DATE"),""))</f>
        <v/>
      </c>
      <c r="F9" s="12">
        <f>IF($A9="","",IFERROR(SOFR_Curve($C$4,$A$9:$A$60,$B$9:$B$60,$A9,"DF"),""))</f>
        <v/>
      </c>
      <c r="G9" s="13">
        <f>IF($A9="","",IFERROR(SOFR_Curve($C$4,$A$9:$A$60,$B$9:$B$60,$A9,"ZERO"),""))</f>
        <v/>
      </c>
      <c r="H9" s="14">
        <f>IF($A9="","",IFERROR(SOFR_Curve($C$4,$A$9:$A$60,$B$9:$B$60,$A9,"T"),""))</f>
        <v/>
      </c>
      <c r="I9" s="15">
        <f>IF(OR(G9="",NOT(ISNUMBER(C9))),"",(G9-C9)*100)</f>
        <v/>
      </c>
      <c r="J9" s="16">
        <f>IF(OR(F9="",NOT(ISNUMBER(D9))),"",F9-D9)</f>
        <v/>
      </c>
      <c r="K9" s="13">
        <f>IF($A9="","",IFERROR(SOFR_Curve($C$4,$A$9:$A$60,$B$9:$B$60,$A9,"PAR"),""))</f>
        <v/>
      </c>
    </row>
    <row r="10">
      <c r="A10" s="8" t="n"/>
      <c r="B10" s="9" t="n"/>
      <c r="C10" s="9" t="n"/>
      <c r="D10" s="10" t="n"/>
      <c r="E10" s="11">
        <f>IF($A10="","",IFERROR(SOFR_Curve($C$4,$A$9:$A$60,$B$9:$B$60,$A10,"DATE"),""))</f>
        <v/>
      </c>
      <c r="F10" s="12">
        <f>IF($A10="","",IFERROR(SOFR_Curve($C$4,$A$9:$A$60,$B$9:$B$60,$A10,"DF"),""))</f>
        <v/>
      </c>
      <c r="G10" s="13">
        <f>IF($A10="","",IFERROR(SOFR_Curve($C$4,$A$9:$A$60,$B$9:$B$60,$A10,"ZERO"),""))</f>
        <v/>
      </c>
      <c r="H10" s="14">
        <f>IF($A10="","",IFERROR(SOFR_Curve($C$4,$A$9:$A$60,$B$9:$B$60,$A10,"T"),""))</f>
        <v/>
      </c>
      <c r="I10" s="15">
        <f>IF(OR(G10="",NOT(ISNUMBER(C10))),"",(G10-C10)*100)</f>
        <v/>
      </c>
      <c r="J10" s="16">
        <f>IF(OR(F10="",NOT(ISNUMBER(D10))),"",F10-D10)</f>
        <v/>
      </c>
      <c r="K10" s="13">
        <f>IF($A10="","",IFERROR(SOFR_Curve($C$4,$A$9:$A$60,$B$9:$B$60,$A10,"PAR"),""))</f>
        <v/>
      </c>
    </row>
    <row r="11">
      <c r="A11" s="8" t="n"/>
      <c r="B11" s="9" t="n"/>
      <c r="C11" s="9" t="n"/>
      <c r="D11" s="10" t="n"/>
      <c r="E11" s="11">
        <f>IF($A11="","",IFERROR(SOFR_Curve($C$4,$A$9:$A$60,$B$9:$B$60,$A11,"DATE"),""))</f>
        <v/>
      </c>
      <c r="F11" s="12">
        <f>IF($A11="","",IFERROR(SOFR_Curve($C$4,$A$9:$A$60,$B$9:$B$60,$A11,"DF"),""))</f>
        <v/>
      </c>
      <c r="G11" s="13">
        <f>IF($A11="","",IFERROR(SOFR_Curve($C$4,$A$9:$A$60,$B$9:$B$60,$A11,"ZERO"),""))</f>
        <v/>
      </c>
      <c r="H11" s="14">
        <f>IF($A11="","",IFERROR(SOFR_Curve($C$4,$A$9:$A$60,$B$9:$B$60,$A11,"T"),""))</f>
        <v/>
      </c>
      <c r="I11" s="15">
        <f>IF(OR(G11="",NOT(ISNUMBER(C11))),"",(G11-C11)*100)</f>
        <v/>
      </c>
      <c r="J11" s="16">
        <f>IF(OR(F11="",NOT(ISNUMBER(D11))),"",F11-D11)</f>
        <v/>
      </c>
      <c r="K11" s="13">
        <f>IF($A11="","",IFERROR(SOFR_Curve($C$4,$A$9:$A$60,$B$9:$B$60,$A11,"PAR"),""))</f>
        <v/>
      </c>
    </row>
    <row r="12">
      <c r="A12" s="8" t="n"/>
      <c r="B12" s="9" t="n"/>
      <c r="C12" s="9" t="n"/>
      <c r="D12" s="10" t="n"/>
      <c r="E12" s="11">
        <f>IF($A12="","",IFERROR(SOFR_Curve($C$4,$A$9:$A$60,$B$9:$B$60,$A12,"DATE"),""))</f>
        <v/>
      </c>
      <c r="F12" s="12">
        <f>IF($A12="","",IFERROR(SOFR_Curve($C$4,$A$9:$A$60,$B$9:$B$60,$A12,"DF"),""))</f>
        <v/>
      </c>
      <c r="G12" s="13">
        <f>IF($A12="","",IFERROR(SOFR_Curve($C$4,$A$9:$A$60,$B$9:$B$60,$A12,"ZERO"),""))</f>
        <v/>
      </c>
      <c r="H12" s="14">
        <f>IF($A12="","",IFERROR(SOFR_Curve($C$4,$A$9:$A$60,$B$9:$B$60,$A12,"T"),""))</f>
        <v/>
      </c>
      <c r="I12" s="15">
        <f>IF(OR(G12="",NOT(ISNUMBER(C12))),"",(G12-C12)*100)</f>
        <v/>
      </c>
      <c r="J12" s="16">
        <f>IF(OR(F12="",NOT(ISNUMBER(D12))),"",F12-D12)</f>
        <v/>
      </c>
      <c r="K12" s="13">
        <f>IF($A12="","",IFERROR(SOFR_Curve($C$4,$A$9:$A$60,$B$9:$B$60,$A12,"PAR"),""))</f>
        <v/>
      </c>
    </row>
    <row r="13">
      <c r="A13" s="8" t="n"/>
      <c r="B13" s="9" t="n"/>
      <c r="C13" s="9" t="n"/>
      <c r="D13" s="10" t="n"/>
      <c r="E13" s="11">
        <f>IF($A13="","",IFERROR(SOFR_Curve($C$4,$A$9:$A$60,$B$9:$B$60,$A13,"DATE"),""))</f>
        <v/>
      </c>
      <c r="F13" s="12">
        <f>IF($A13="","",IFERROR(SOFR_Curve($C$4,$A$9:$A$60,$B$9:$B$60,$A13,"DF"),""))</f>
        <v/>
      </c>
      <c r="G13" s="13">
        <f>IF($A13="","",IFERROR(SOFR_Curve($C$4,$A$9:$A$60,$B$9:$B$60,$A13,"ZERO"),""))</f>
        <v/>
      </c>
      <c r="H13" s="14">
        <f>IF($A13="","",IFERROR(SOFR_Curve($C$4,$A$9:$A$60,$B$9:$B$60,$A13,"T"),""))</f>
        <v/>
      </c>
      <c r="I13" s="15">
        <f>IF(OR(G13="",NOT(ISNUMBER(C13))),"",(G13-C13)*100)</f>
        <v/>
      </c>
      <c r="J13" s="16">
        <f>IF(OR(F13="",NOT(ISNUMBER(D13))),"",F13-D13)</f>
        <v/>
      </c>
      <c r="K13" s="13">
        <f>IF($A13="","",IFERROR(SOFR_Curve($C$4,$A$9:$A$60,$B$9:$B$60,$A13,"PAR"),""))</f>
        <v/>
      </c>
    </row>
    <row r="14">
      <c r="A14" s="8" t="n"/>
      <c r="B14" s="9" t="n"/>
      <c r="C14" s="9" t="n"/>
      <c r="D14" s="10" t="n"/>
      <c r="E14" s="11">
        <f>IF($A14="","",IFERROR(SOFR_Curve($C$4,$A$9:$A$60,$B$9:$B$60,$A14,"DATE"),""))</f>
        <v/>
      </c>
      <c r="F14" s="12">
        <f>IF($A14="","",IFERROR(SOFR_Curve($C$4,$A$9:$A$60,$B$9:$B$60,$A14,"DF"),""))</f>
        <v/>
      </c>
      <c r="G14" s="13">
        <f>IF($A14="","",IFERROR(SOFR_Curve($C$4,$A$9:$A$60,$B$9:$B$60,$A14,"ZERO"),""))</f>
        <v/>
      </c>
      <c r="H14" s="14">
        <f>IF($A14="","",IFERROR(SOFR_Curve($C$4,$A$9:$A$60,$B$9:$B$60,$A14,"T"),""))</f>
        <v/>
      </c>
      <c r="I14" s="15">
        <f>IF(OR(G14="",NOT(ISNUMBER(C14))),"",(G14-C14)*100)</f>
        <v/>
      </c>
      <c r="J14" s="16">
        <f>IF(OR(F14="",NOT(ISNUMBER(D14))),"",F14-D14)</f>
        <v/>
      </c>
      <c r="K14" s="13">
        <f>IF($A14="","",IFERROR(SOFR_Curve($C$4,$A$9:$A$60,$B$9:$B$60,$A14,"PAR"),""))</f>
        <v/>
      </c>
    </row>
    <row r="15">
      <c r="A15" s="8" t="n"/>
      <c r="B15" s="9" t="n"/>
      <c r="C15" s="9" t="n"/>
      <c r="D15" s="10" t="n"/>
      <c r="E15" s="11">
        <f>IF($A15="","",IFERROR(SOFR_Curve($C$4,$A$9:$A$60,$B$9:$B$60,$A15,"DATE"),""))</f>
        <v/>
      </c>
      <c r="F15" s="12">
        <f>IF($A15="","",IFERROR(SOFR_Curve($C$4,$A$9:$A$60,$B$9:$B$60,$A15,"DF"),""))</f>
        <v/>
      </c>
      <c r="G15" s="13">
        <f>IF($A15="","",IFERROR(SOFR_Curve($C$4,$A$9:$A$60,$B$9:$B$60,$A15,"ZERO"),""))</f>
        <v/>
      </c>
      <c r="H15" s="14">
        <f>IF($A15="","",IFERROR(SOFR_Curve($C$4,$A$9:$A$60,$B$9:$B$60,$A15,"T"),""))</f>
        <v/>
      </c>
      <c r="I15" s="15">
        <f>IF(OR(G15="",NOT(ISNUMBER(C15))),"",(G15-C15)*100)</f>
        <v/>
      </c>
      <c r="J15" s="16">
        <f>IF(OR(F15="",NOT(ISNUMBER(D15))),"",F15-D15)</f>
        <v/>
      </c>
      <c r="K15" s="13">
        <f>IF($A15="","",IFERROR(SOFR_Curve($C$4,$A$9:$A$60,$B$9:$B$60,$A15,"PAR"),""))</f>
        <v/>
      </c>
    </row>
    <row r="16">
      <c r="A16" s="8" t="n"/>
      <c r="B16" s="9" t="n"/>
      <c r="C16" s="9" t="n"/>
      <c r="D16" s="10" t="n"/>
      <c r="E16" s="11">
        <f>IF($A16="","",IFERROR(SOFR_Curve($C$4,$A$9:$A$60,$B$9:$B$60,$A16,"DATE"),""))</f>
        <v/>
      </c>
      <c r="F16" s="12">
        <f>IF($A16="","",IFERROR(SOFR_Curve($C$4,$A$9:$A$60,$B$9:$B$60,$A16,"DF"),""))</f>
        <v/>
      </c>
      <c r="G16" s="13">
        <f>IF($A16="","",IFERROR(SOFR_Curve($C$4,$A$9:$A$60,$B$9:$B$60,$A16,"ZERO"),""))</f>
        <v/>
      </c>
      <c r="H16" s="14">
        <f>IF($A16="","",IFERROR(SOFR_Curve($C$4,$A$9:$A$60,$B$9:$B$60,$A16,"T"),""))</f>
        <v/>
      </c>
      <c r="I16" s="15">
        <f>IF(OR(G16="",NOT(ISNUMBER(C16))),"",(G16-C16)*100)</f>
        <v/>
      </c>
      <c r="J16" s="16">
        <f>IF(OR(F16="",NOT(ISNUMBER(D16))),"",F16-D16)</f>
        <v/>
      </c>
      <c r="K16" s="13">
        <f>IF($A16="","",IFERROR(SOFR_Curve($C$4,$A$9:$A$60,$B$9:$B$60,$A16,"PAR"),""))</f>
        <v/>
      </c>
    </row>
    <row r="17">
      <c r="A17" s="8" t="n"/>
      <c r="B17" s="9" t="n"/>
      <c r="C17" s="9" t="n"/>
      <c r="D17" s="10" t="n"/>
      <c r="E17" s="11">
        <f>IF($A17="","",IFERROR(SOFR_Curve($C$4,$A$9:$A$60,$B$9:$B$60,$A17,"DATE"),""))</f>
        <v/>
      </c>
      <c r="F17" s="12">
        <f>IF($A17="","",IFERROR(SOFR_Curve($C$4,$A$9:$A$60,$B$9:$B$60,$A17,"DF"),""))</f>
        <v/>
      </c>
      <c r="G17" s="13">
        <f>IF($A17="","",IFERROR(SOFR_Curve($C$4,$A$9:$A$60,$B$9:$B$60,$A17,"ZERO"),""))</f>
        <v/>
      </c>
      <c r="H17" s="14">
        <f>IF($A17="","",IFERROR(SOFR_Curve($C$4,$A$9:$A$60,$B$9:$B$60,$A17,"T"),""))</f>
        <v/>
      </c>
      <c r="I17" s="15">
        <f>IF(OR(G17="",NOT(ISNUMBER(C17))),"",(G17-C17)*100)</f>
        <v/>
      </c>
      <c r="J17" s="16">
        <f>IF(OR(F17="",NOT(ISNUMBER(D17))),"",F17-D17)</f>
        <v/>
      </c>
      <c r="K17" s="13">
        <f>IF($A17="","",IFERROR(SOFR_Curve($C$4,$A$9:$A$60,$B$9:$B$60,$A17,"PAR"),""))</f>
        <v/>
      </c>
    </row>
    <row r="18">
      <c r="A18" s="8" t="n"/>
      <c r="B18" s="9" t="n"/>
      <c r="C18" s="9" t="n"/>
      <c r="D18" s="10" t="n"/>
      <c r="E18" s="11">
        <f>IF($A18="","",IFERROR(SOFR_Curve($C$4,$A$9:$A$60,$B$9:$B$60,$A18,"DATE"),""))</f>
        <v/>
      </c>
      <c r="F18" s="12">
        <f>IF($A18="","",IFERROR(SOFR_Curve($C$4,$A$9:$A$60,$B$9:$B$60,$A18,"DF"),""))</f>
        <v/>
      </c>
      <c r="G18" s="13">
        <f>IF($A18="","",IFERROR(SOFR_Curve($C$4,$A$9:$A$60,$B$9:$B$60,$A18,"ZERO"),""))</f>
        <v/>
      </c>
      <c r="H18" s="14">
        <f>IF($A18="","",IFERROR(SOFR_Curve($C$4,$A$9:$A$60,$B$9:$B$60,$A18,"T"),""))</f>
        <v/>
      </c>
      <c r="I18" s="15">
        <f>IF(OR(G18="",NOT(ISNUMBER(C18))),"",(G18-C18)*100)</f>
        <v/>
      </c>
      <c r="J18" s="16">
        <f>IF(OR(F18="",NOT(ISNUMBER(D18))),"",F18-D18)</f>
        <v/>
      </c>
      <c r="K18" s="13">
        <f>IF($A18="","",IFERROR(SOFR_Curve($C$4,$A$9:$A$60,$B$9:$B$60,$A18,"PAR"),""))</f>
        <v/>
      </c>
    </row>
    <row r="19">
      <c r="A19" s="8" t="n"/>
      <c r="B19" s="9" t="n"/>
      <c r="C19" s="9" t="n"/>
      <c r="D19" s="10" t="n"/>
      <c r="E19" s="11">
        <f>IF($A19="","",IFERROR(SOFR_Curve($C$4,$A$9:$A$60,$B$9:$B$60,$A19,"DATE"),""))</f>
        <v/>
      </c>
      <c r="F19" s="12">
        <f>IF($A19="","",IFERROR(SOFR_Curve($C$4,$A$9:$A$60,$B$9:$B$60,$A19,"DF"),""))</f>
        <v/>
      </c>
      <c r="G19" s="13">
        <f>IF($A19="","",IFERROR(SOFR_Curve($C$4,$A$9:$A$60,$B$9:$B$60,$A19,"ZERO"),""))</f>
        <v/>
      </c>
      <c r="H19" s="14">
        <f>IF($A19="","",IFERROR(SOFR_Curve($C$4,$A$9:$A$60,$B$9:$B$60,$A19,"T"),""))</f>
        <v/>
      </c>
      <c r="I19" s="15">
        <f>IF(OR(G19="",NOT(ISNUMBER(C19))),"",(G19-C19)*100)</f>
        <v/>
      </c>
      <c r="J19" s="16">
        <f>IF(OR(F19="",NOT(ISNUMBER(D19))),"",F19-D19)</f>
        <v/>
      </c>
      <c r="K19" s="13">
        <f>IF($A19="","",IFERROR(SOFR_Curve($C$4,$A$9:$A$60,$B$9:$B$60,$A19,"PAR"),""))</f>
        <v/>
      </c>
    </row>
    <row r="20">
      <c r="A20" s="8" t="n"/>
      <c r="B20" s="9" t="n"/>
      <c r="C20" s="9" t="n"/>
      <c r="D20" s="10" t="n"/>
      <c r="E20" s="11">
        <f>IF($A20="","",IFERROR(SOFR_Curve($C$4,$A$9:$A$60,$B$9:$B$60,$A20,"DATE"),""))</f>
        <v/>
      </c>
      <c r="F20" s="12">
        <f>IF($A20="","",IFERROR(SOFR_Curve($C$4,$A$9:$A$60,$B$9:$B$60,$A20,"DF"),""))</f>
        <v/>
      </c>
      <c r="G20" s="13">
        <f>IF($A20="","",IFERROR(SOFR_Curve($C$4,$A$9:$A$60,$B$9:$B$60,$A20,"ZERO"),""))</f>
        <v/>
      </c>
      <c r="H20" s="14">
        <f>IF($A20="","",IFERROR(SOFR_Curve($C$4,$A$9:$A$60,$B$9:$B$60,$A20,"T"),""))</f>
        <v/>
      </c>
      <c r="I20" s="15">
        <f>IF(OR(G20="",NOT(ISNUMBER(C20))),"",(G20-C20)*100)</f>
        <v/>
      </c>
      <c r="J20" s="16">
        <f>IF(OR(F20="",NOT(ISNUMBER(D20))),"",F20-D20)</f>
        <v/>
      </c>
      <c r="K20" s="13">
        <f>IF($A20="","",IFERROR(SOFR_Curve($C$4,$A$9:$A$60,$B$9:$B$60,$A20,"PAR"),""))</f>
        <v/>
      </c>
    </row>
    <row r="21">
      <c r="A21" s="8" t="n"/>
      <c r="B21" s="9" t="n"/>
      <c r="C21" s="9" t="n"/>
      <c r="D21" s="10" t="n"/>
      <c r="E21" s="11">
        <f>IF($A21="","",IFERROR(SOFR_Curve($C$4,$A$9:$A$60,$B$9:$B$60,$A21,"DATE"),""))</f>
        <v/>
      </c>
      <c r="F21" s="12">
        <f>IF($A21="","",IFERROR(SOFR_Curve($C$4,$A$9:$A$60,$B$9:$B$60,$A21,"DF"),""))</f>
        <v/>
      </c>
      <c r="G21" s="13">
        <f>IF($A21="","",IFERROR(SOFR_Curve($C$4,$A$9:$A$60,$B$9:$B$60,$A21,"ZERO"),""))</f>
        <v/>
      </c>
      <c r="H21" s="14">
        <f>IF($A21="","",IFERROR(SOFR_Curve($C$4,$A$9:$A$60,$B$9:$B$60,$A21,"T"),""))</f>
        <v/>
      </c>
      <c r="I21" s="15">
        <f>IF(OR(G21="",NOT(ISNUMBER(C21))),"",(G21-C21)*100)</f>
        <v/>
      </c>
      <c r="J21" s="16">
        <f>IF(OR(F21="",NOT(ISNUMBER(D21))),"",F21-D21)</f>
        <v/>
      </c>
      <c r="K21" s="13">
        <f>IF($A21="","",IFERROR(SOFR_Curve($C$4,$A$9:$A$60,$B$9:$B$60,$A21,"PAR"),""))</f>
        <v/>
      </c>
    </row>
    <row r="22">
      <c r="A22" s="8" t="n"/>
      <c r="B22" s="9" t="n"/>
      <c r="C22" s="9" t="n"/>
      <c r="D22" s="10" t="n"/>
      <c r="E22" s="11">
        <f>IF($A22="","",IFERROR(SOFR_Curve($C$4,$A$9:$A$60,$B$9:$B$60,$A22,"DATE"),""))</f>
        <v/>
      </c>
      <c r="F22" s="12">
        <f>IF($A22="","",IFERROR(SOFR_Curve($C$4,$A$9:$A$60,$B$9:$B$60,$A22,"DF"),""))</f>
        <v/>
      </c>
      <c r="G22" s="13">
        <f>IF($A22="","",IFERROR(SOFR_Curve($C$4,$A$9:$A$60,$B$9:$B$60,$A22,"ZERO"),""))</f>
        <v/>
      </c>
      <c r="H22" s="14">
        <f>IF($A22="","",IFERROR(SOFR_Curve($C$4,$A$9:$A$60,$B$9:$B$60,$A22,"T"),""))</f>
        <v/>
      </c>
      <c r="I22" s="15">
        <f>IF(OR(G22="",NOT(ISNUMBER(C22))),"",(G22-C22)*100)</f>
        <v/>
      </c>
      <c r="J22" s="16">
        <f>IF(OR(F22="",NOT(ISNUMBER(D22))),"",F22-D22)</f>
        <v/>
      </c>
      <c r="K22" s="13">
        <f>IF($A22="","",IFERROR(SOFR_Curve($C$4,$A$9:$A$60,$B$9:$B$60,$A22,"PAR"),""))</f>
        <v/>
      </c>
    </row>
    <row r="23">
      <c r="A23" s="8" t="n"/>
      <c r="B23" s="9" t="n"/>
      <c r="C23" s="9" t="n"/>
      <c r="D23" s="10" t="n"/>
      <c r="E23" s="11">
        <f>IF($A23="","",IFERROR(SOFR_Curve($C$4,$A$9:$A$60,$B$9:$B$60,$A23,"DATE"),""))</f>
        <v/>
      </c>
      <c r="F23" s="12">
        <f>IF($A23="","",IFERROR(SOFR_Curve($C$4,$A$9:$A$60,$B$9:$B$60,$A23,"DF"),""))</f>
        <v/>
      </c>
      <c r="G23" s="13">
        <f>IF($A23="","",IFERROR(SOFR_Curve($C$4,$A$9:$A$60,$B$9:$B$60,$A23,"ZERO"),""))</f>
        <v/>
      </c>
      <c r="H23" s="14">
        <f>IF($A23="","",IFERROR(SOFR_Curve($C$4,$A$9:$A$60,$B$9:$B$60,$A23,"T"),""))</f>
        <v/>
      </c>
      <c r="I23" s="15">
        <f>IF(OR(G23="",NOT(ISNUMBER(C23))),"",(G23-C23)*100)</f>
        <v/>
      </c>
      <c r="J23" s="16">
        <f>IF(OR(F23="",NOT(ISNUMBER(D23))),"",F23-D23)</f>
        <v/>
      </c>
      <c r="K23" s="13">
        <f>IF($A23="","",IFERROR(SOFR_Curve($C$4,$A$9:$A$60,$B$9:$B$60,$A23,"PAR"),""))</f>
        <v/>
      </c>
    </row>
    <row r="24">
      <c r="A24" s="8" t="n"/>
      <c r="B24" s="9" t="n"/>
      <c r="C24" s="9" t="n"/>
      <c r="D24" s="10" t="n"/>
      <c r="E24" s="11">
        <f>IF($A24="","",IFERROR(SOFR_Curve($C$4,$A$9:$A$60,$B$9:$B$60,$A24,"DATE"),""))</f>
        <v/>
      </c>
      <c r="F24" s="12">
        <f>IF($A24="","",IFERROR(SOFR_Curve($C$4,$A$9:$A$60,$B$9:$B$60,$A24,"DF"),""))</f>
        <v/>
      </c>
      <c r="G24" s="13">
        <f>IF($A24="","",IFERROR(SOFR_Curve($C$4,$A$9:$A$60,$B$9:$B$60,$A24,"ZERO"),""))</f>
        <v/>
      </c>
      <c r="H24" s="14">
        <f>IF($A24="","",IFERROR(SOFR_Curve($C$4,$A$9:$A$60,$B$9:$B$60,$A24,"T"),""))</f>
        <v/>
      </c>
      <c r="I24" s="15">
        <f>IF(OR(G24="",NOT(ISNUMBER(C24))),"",(G24-C24)*100)</f>
        <v/>
      </c>
      <c r="J24" s="16">
        <f>IF(OR(F24="",NOT(ISNUMBER(D24))),"",F24-D24)</f>
        <v/>
      </c>
      <c r="K24" s="13">
        <f>IF($A24="","",IFERROR(SOFR_Curve($C$4,$A$9:$A$60,$B$9:$B$60,$A24,"PAR"),""))</f>
        <v/>
      </c>
    </row>
    <row r="25">
      <c r="A25" s="8" t="n"/>
      <c r="B25" s="9" t="n"/>
      <c r="C25" s="9" t="n"/>
      <c r="D25" s="10" t="n"/>
      <c r="E25" s="11">
        <f>IF($A25="","",IFERROR(SOFR_Curve($C$4,$A$9:$A$60,$B$9:$B$60,$A25,"DATE"),""))</f>
        <v/>
      </c>
      <c r="F25" s="12">
        <f>IF($A25="","",IFERROR(SOFR_Curve($C$4,$A$9:$A$60,$B$9:$B$60,$A25,"DF"),""))</f>
        <v/>
      </c>
      <c r="G25" s="13">
        <f>IF($A25="","",IFERROR(SOFR_Curve($C$4,$A$9:$A$60,$B$9:$B$60,$A25,"ZERO"),""))</f>
        <v/>
      </c>
      <c r="H25" s="14">
        <f>IF($A25="","",IFERROR(SOFR_Curve($C$4,$A$9:$A$60,$B$9:$B$60,$A25,"T"),""))</f>
        <v/>
      </c>
      <c r="I25" s="15">
        <f>IF(OR(G25="",NOT(ISNUMBER(C25))),"",(G25-C25)*100)</f>
        <v/>
      </c>
      <c r="J25" s="16">
        <f>IF(OR(F25="",NOT(ISNUMBER(D25))),"",F25-D25)</f>
        <v/>
      </c>
      <c r="K25" s="13">
        <f>IF($A25="","",IFERROR(SOFR_Curve($C$4,$A$9:$A$60,$B$9:$B$60,$A25,"PAR"),""))</f>
        <v/>
      </c>
    </row>
    <row r="26">
      <c r="A26" s="8" t="n"/>
      <c r="B26" s="9" t="n"/>
      <c r="C26" s="9" t="n"/>
      <c r="D26" s="10" t="n"/>
      <c r="E26" s="11">
        <f>IF($A26="","",IFERROR(SOFR_Curve($C$4,$A$9:$A$60,$B$9:$B$60,$A26,"DATE"),""))</f>
        <v/>
      </c>
      <c r="F26" s="12">
        <f>IF($A26="","",IFERROR(SOFR_Curve($C$4,$A$9:$A$60,$B$9:$B$60,$A26,"DF"),""))</f>
        <v/>
      </c>
      <c r="G26" s="13">
        <f>IF($A26="","",IFERROR(SOFR_Curve($C$4,$A$9:$A$60,$B$9:$B$60,$A26,"ZERO"),""))</f>
        <v/>
      </c>
      <c r="H26" s="14">
        <f>IF($A26="","",IFERROR(SOFR_Curve($C$4,$A$9:$A$60,$B$9:$B$60,$A26,"T"),""))</f>
        <v/>
      </c>
      <c r="I26" s="15">
        <f>IF(OR(G26="",NOT(ISNUMBER(C26))),"",(G26-C26)*100)</f>
        <v/>
      </c>
      <c r="J26" s="16">
        <f>IF(OR(F26="",NOT(ISNUMBER(D26))),"",F26-D26)</f>
        <v/>
      </c>
      <c r="K26" s="13">
        <f>IF($A26="","",IFERROR(SOFR_Curve($C$4,$A$9:$A$60,$B$9:$B$60,$A26,"PAR"),""))</f>
        <v/>
      </c>
    </row>
    <row r="27">
      <c r="A27" s="8" t="n"/>
      <c r="B27" s="9" t="n"/>
      <c r="C27" s="9" t="n"/>
      <c r="D27" s="10" t="n"/>
      <c r="E27" s="11">
        <f>IF($A27="","",IFERROR(SOFR_Curve($C$4,$A$9:$A$60,$B$9:$B$60,$A27,"DATE"),""))</f>
        <v/>
      </c>
      <c r="F27" s="12">
        <f>IF($A27="","",IFERROR(SOFR_Curve($C$4,$A$9:$A$60,$B$9:$B$60,$A27,"DF"),""))</f>
        <v/>
      </c>
      <c r="G27" s="13">
        <f>IF($A27="","",IFERROR(SOFR_Curve($C$4,$A$9:$A$60,$B$9:$B$60,$A27,"ZERO"),""))</f>
        <v/>
      </c>
      <c r="H27" s="14">
        <f>IF($A27="","",IFERROR(SOFR_Curve($C$4,$A$9:$A$60,$B$9:$B$60,$A27,"T"),""))</f>
        <v/>
      </c>
      <c r="I27" s="15">
        <f>IF(OR(G27="",NOT(ISNUMBER(C27))),"",(G27-C27)*100)</f>
        <v/>
      </c>
      <c r="J27" s="16">
        <f>IF(OR(F27="",NOT(ISNUMBER(D27))),"",F27-D27)</f>
        <v/>
      </c>
      <c r="K27" s="13">
        <f>IF($A27="","",IFERROR(SOFR_Curve($C$4,$A$9:$A$60,$B$9:$B$60,$A27,"PAR"),""))</f>
        <v/>
      </c>
    </row>
    <row r="28">
      <c r="A28" s="8" t="n"/>
      <c r="B28" s="9" t="n"/>
      <c r="C28" s="9" t="n"/>
      <c r="D28" s="10" t="n"/>
      <c r="E28" s="11">
        <f>IF($A28="","",IFERROR(SOFR_Curve($C$4,$A$9:$A$60,$B$9:$B$60,$A28,"DATE"),""))</f>
        <v/>
      </c>
      <c r="F28" s="12">
        <f>IF($A28="","",IFERROR(SOFR_Curve($C$4,$A$9:$A$60,$B$9:$B$60,$A28,"DF"),""))</f>
        <v/>
      </c>
      <c r="G28" s="13">
        <f>IF($A28="","",IFERROR(SOFR_Curve($C$4,$A$9:$A$60,$B$9:$B$60,$A28,"ZERO"),""))</f>
        <v/>
      </c>
      <c r="H28" s="14">
        <f>IF($A28="","",IFERROR(SOFR_Curve($C$4,$A$9:$A$60,$B$9:$B$60,$A28,"T"),""))</f>
        <v/>
      </c>
      <c r="I28" s="15">
        <f>IF(OR(G28="",NOT(ISNUMBER(C28))),"",(G28-C28)*100)</f>
        <v/>
      </c>
      <c r="J28" s="16">
        <f>IF(OR(F28="",NOT(ISNUMBER(D28))),"",F28-D28)</f>
        <v/>
      </c>
      <c r="K28" s="13">
        <f>IF($A28="","",IFERROR(SOFR_Curve($C$4,$A$9:$A$60,$B$9:$B$60,$A28,"PAR"),""))</f>
        <v/>
      </c>
    </row>
    <row r="29">
      <c r="A29" s="8" t="n"/>
      <c r="B29" s="9" t="n"/>
      <c r="C29" s="9" t="n"/>
      <c r="D29" s="10" t="n"/>
      <c r="E29" s="11">
        <f>IF($A29="","",IFERROR(SOFR_Curve($C$4,$A$9:$A$60,$B$9:$B$60,$A29,"DATE"),""))</f>
        <v/>
      </c>
      <c r="F29" s="12">
        <f>IF($A29="","",IFERROR(SOFR_Curve($C$4,$A$9:$A$60,$B$9:$B$60,$A29,"DF"),""))</f>
        <v/>
      </c>
      <c r="G29" s="13">
        <f>IF($A29="","",IFERROR(SOFR_Curve($C$4,$A$9:$A$60,$B$9:$B$60,$A29,"ZERO"),""))</f>
        <v/>
      </c>
      <c r="H29" s="14">
        <f>IF($A29="","",IFERROR(SOFR_Curve($C$4,$A$9:$A$60,$B$9:$B$60,$A29,"T"),""))</f>
        <v/>
      </c>
      <c r="I29" s="15">
        <f>IF(OR(G29="",NOT(ISNUMBER(C29))),"",(G29-C29)*100)</f>
        <v/>
      </c>
      <c r="J29" s="16">
        <f>IF(OR(F29="",NOT(ISNUMBER(D29))),"",F29-D29)</f>
        <v/>
      </c>
      <c r="K29" s="13">
        <f>IF($A29="","",IFERROR(SOFR_Curve($C$4,$A$9:$A$60,$B$9:$B$60,$A29,"PAR"),""))</f>
        <v/>
      </c>
    </row>
    <row r="30">
      <c r="A30" s="8" t="n"/>
      <c r="B30" s="9" t="n"/>
      <c r="C30" s="9" t="n"/>
      <c r="D30" s="10" t="n"/>
      <c r="E30" s="11">
        <f>IF($A30="","",IFERROR(SOFR_Curve($C$4,$A$9:$A$60,$B$9:$B$60,$A30,"DATE"),""))</f>
        <v/>
      </c>
      <c r="F30" s="12">
        <f>IF($A30="","",IFERROR(SOFR_Curve($C$4,$A$9:$A$60,$B$9:$B$60,$A30,"DF"),""))</f>
        <v/>
      </c>
      <c r="G30" s="13">
        <f>IF($A30="","",IFERROR(SOFR_Curve($C$4,$A$9:$A$60,$B$9:$B$60,$A30,"ZERO"),""))</f>
        <v/>
      </c>
      <c r="H30" s="14">
        <f>IF($A30="","",IFERROR(SOFR_Curve($C$4,$A$9:$A$60,$B$9:$B$60,$A30,"T"),""))</f>
        <v/>
      </c>
      <c r="I30" s="15">
        <f>IF(OR(G30="",NOT(ISNUMBER(C30))),"",(G30-C30)*100)</f>
        <v/>
      </c>
      <c r="J30" s="16">
        <f>IF(OR(F30="",NOT(ISNUMBER(D30))),"",F30-D30)</f>
        <v/>
      </c>
      <c r="K30" s="13">
        <f>IF($A30="","",IFERROR(SOFR_Curve($C$4,$A$9:$A$60,$B$9:$B$60,$A30,"PAR"),""))</f>
        <v/>
      </c>
    </row>
    <row r="31">
      <c r="A31" s="8" t="n"/>
      <c r="B31" s="9" t="n"/>
      <c r="C31" s="9" t="n"/>
      <c r="D31" s="10" t="n"/>
      <c r="E31" s="11">
        <f>IF($A31="","",IFERROR(SOFR_Curve($C$4,$A$9:$A$60,$B$9:$B$60,$A31,"DATE"),""))</f>
        <v/>
      </c>
      <c r="F31" s="12">
        <f>IF($A31="","",IFERROR(SOFR_Curve($C$4,$A$9:$A$60,$B$9:$B$60,$A31,"DF"),""))</f>
        <v/>
      </c>
      <c r="G31" s="13">
        <f>IF($A31="","",IFERROR(SOFR_Curve($C$4,$A$9:$A$60,$B$9:$B$60,$A31,"ZERO"),""))</f>
        <v/>
      </c>
      <c r="H31" s="14">
        <f>IF($A31="","",IFERROR(SOFR_Curve($C$4,$A$9:$A$60,$B$9:$B$60,$A31,"T"),""))</f>
        <v/>
      </c>
      <c r="I31" s="15">
        <f>IF(OR(G31="",NOT(ISNUMBER(C31))),"",(G31-C31)*100)</f>
        <v/>
      </c>
      <c r="J31" s="16">
        <f>IF(OR(F31="",NOT(ISNUMBER(D31))),"",F31-D31)</f>
        <v/>
      </c>
      <c r="K31" s="13">
        <f>IF($A31="","",IFERROR(SOFR_Curve($C$4,$A$9:$A$60,$B$9:$B$60,$A31,"PAR"),""))</f>
        <v/>
      </c>
    </row>
    <row r="32">
      <c r="A32" s="8" t="n"/>
      <c r="B32" s="9" t="n"/>
      <c r="C32" s="9" t="n"/>
      <c r="D32" s="10" t="n"/>
      <c r="E32" s="11">
        <f>IF($A32="","",IFERROR(SOFR_Curve($C$4,$A$9:$A$60,$B$9:$B$60,$A32,"DATE"),""))</f>
        <v/>
      </c>
      <c r="F32" s="12">
        <f>IF($A32="","",IFERROR(SOFR_Curve($C$4,$A$9:$A$60,$B$9:$B$60,$A32,"DF"),""))</f>
        <v/>
      </c>
      <c r="G32" s="13">
        <f>IF($A32="","",IFERROR(SOFR_Curve($C$4,$A$9:$A$60,$B$9:$B$60,$A32,"ZERO"),""))</f>
        <v/>
      </c>
      <c r="H32" s="14">
        <f>IF($A32="","",IFERROR(SOFR_Curve($C$4,$A$9:$A$60,$B$9:$B$60,$A32,"T"),""))</f>
        <v/>
      </c>
      <c r="I32" s="15">
        <f>IF(OR(G32="",NOT(ISNUMBER(C32))),"",(G32-C32)*100)</f>
        <v/>
      </c>
      <c r="J32" s="16">
        <f>IF(OR(F32="",NOT(ISNUMBER(D32))),"",F32-D32)</f>
        <v/>
      </c>
      <c r="K32" s="13">
        <f>IF($A32="","",IFERROR(SOFR_Curve($C$4,$A$9:$A$60,$B$9:$B$60,$A32,"PAR"),""))</f>
        <v/>
      </c>
    </row>
    <row r="33">
      <c r="A33" s="8" t="n"/>
      <c r="B33" s="9" t="n"/>
      <c r="C33" s="9" t="n"/>
      <c r="D33" s="10" t="n"/>
      <c r="E33" s="11">
        <f>IF($A33="","",IFERROR(SOFR_Curve($C$4,$A$9:$A$60,$B$9:$B$60,$A33,"DATE"),""))</f>
        <v/>
      </c>
      <c r="F33" s="12">
        <f>IF($A33="","",IFERROR(SOFR_Curve($C$4,$A$9:$A$60,$B$9:$B$60,$A33,"DF"),""))</f>
        <v/>
      </c>
      <c r="G33" s="13">
        <f>IF($A33="","",IFERROR(SOFR_Curve($C$4,$A$9:$A$60,$B$9:$B$60,$A33,"ZERO"),""))</f>
        <v/>
      </c>
      <c r="H33" s="14">
        <f>IF($A33="","",IFERROR(SOFR_Curve($C$4,$A$9:$A$60,$B$9:$B$60,$A33,"T"),""))</f>
        <v/>
      </c>
      <c r="I33" s="15">
        <f>IF(OR(G33="",NOT(ISNUMBER(C33))),"",(G33-C33)*100)</f>
        <v/>
      </c>
      <c r="J33" s="16">
        <f>IF(OR(F33="",NOT(ISNUMBER(D33))),"",F33-D33)</f>
        <v/>
      </c>
      <c r="K33" s="13">
        <f>IF($A33="","",IFERROR(SOFR_Curve($C$4,$A$9:$A$60,$B$9:$B$60,$A33,"PAR"),""))</f>
        <v/>
      </c>
    </row>
    <row r="34">
      <c r="A34" s="8" t="n"/>
      <c r="B34" s="9" t="n"/>
      <c r="C34" s="9" t="n"/>
      <c r="D34" s="10" t="n"/>
      <c r="E34" s="11">
        <f>IF($A34="","",IFERROR(SOFR_Curve($C$4,$A$9:$A$60,$B$9:$B$60,$A34,"DATE"),""))</f>
        <v/>
      </c>
      <c r="F34" s="12">
        <f>IF($A34="","",IFERROR(SOFR_Curve($C$4,$A$9:$A$60,$B$9:$B$60,$A34,"DF"),""))</f>
        <v/>
      </c>
      <c r="G34" s="13">
        <f>IF($A34="","",IFERROR(SOFR_Curve($C$4,$A$9:$A$60,$B$9:$B$60,$A34,"ZERO"),""))</f>
        <v/>
      </c>
      <c r="H34" s="14">
        <f>IF($A34="","",IFERROR(SOFR_Curve($C$4,$A$9:$A$60,$B$9:$B$60,$A34,"T"),""))</f>
        <v/>
      </c>
      <c r="I34" s="15">
        <f>IF(OR(G34="",NOT(ISNUMBER(C34))),"",(G34-C34)*100)</f>
        <v/>
      </c>
      <c r="J34" s="16">
        <f>IF(OR(F34="",NOT(ISNUMBER(D34))),"",F34-D34)</f>
        <v/>
      </c>
      <c r="K34" s="13">
        <f>IF($A34="","",IFERROR(SOFR_Curve($C$4,$A$9:$A$60,$B$9:$B$60,$A34,"PAR"),""))</f>
        <v/>
      </c>
    </row>
    <row r="35">
      <c r="A35" s="8" t="n"/>
      <c r="B35" s="9" t="n"/>
      <c r="C35" s="9" t="n"/>
      <c r="D35" s="10" t="n"/>
      <c r="E35" s="11">
        <f>IF($A35="","",IFERROR(SOFR_Curve($C$4,$A$9:$A$60,$B$9:$B$60,$A35,"DATE"),""))</f>
        <v/>
      </c>
      <c r="F35" s="12">
        <f>IF($A35="","",IFERROR(SOFR_Curve($C$4,$A$9:$A$60,$B$9:$B$60,$A35,"DF"),""))</f>
        <v/>
      </c>
      <c r="G35" s="13">
        <f>IF($A35="","",IFERROR(SOFR_Curve($C$4,$A$9:$A$60,$B$9:$B$60,$A35,"ZERO"),""))</f>
        <v/>
      </c>
      <c r="H35" s="14">
        <f>IF($A35="","",IFERROR(SOFR_Curve($C$4,$A$9:$A$60,$B$9:$B$60,$A35,"T"),""))</f>
        <v/>
      </c>
      <c r="I35" s="15">
        <f>IF(OR(G35="",NOT(ISNUMBER(C35))),"",(G35-C35)*100)</f>
        <v/>
      </c>
      <c r="J35" s="16">
        <f>IF(OR(F35="",NOT(ISNUMBER(D35))),"",F35-D35)</f>
        <v/>
      </c>
      <c r="K35" s="13">
        <f>IF($A35="","",IFERROR(SOFR_Curve($C$4,$A$9:$A$60,$B$9:$B$60,$A35,"PAR"),""))</f>
        <v/>
      </c>
    </row>
    <row r="36">
      <c r="A36" s="8" t="n"/>
      <c r="B36" s="9" t="n"/>
      <c r="C36" s="9" t="n"/>
      <c r="D36" s="10" t="n"/>
      <c r="E36" s="11">
        <f>IF($A36="","",IFERROR(SOFR_Curve($C$4,$A$9:$A$60,$B$9:$B$60,$A36,"DATE"),""))</f>
        <v/>
      </c>
      <c r="F36" s="12">
        <f>IF($A36="","",IFERROR(SOFR_Curve($C$4,$A$9:$A$60,$B$9:$B$60,$A36,"DF"),""))</f>
        <v/>
      </c>
      <c r="G36" s="13">
        <f>IF($A36="","",IFERROR(SOFR_Curve($C$4,$A$9:$A$60,$B$9:$B$60,$A36,"ZERO"),""))</f>
        <v/>
      </c>
      <c r="H36" s="14">
        <f>IF($A36="","",IFERROR(SOFR_Curve($C$4,$A$9:$A$60,$B$9:$B$60,$A36,"T"),""))</f>
        <v/>
      </c>
      <c r="I36" s="15">
        <f>IF(OR(G36="",NOT(ISNUMBER(C36))),"",(G36-C36)*100)</f>
        <v/>
      </c>
      <c r="J36" s="16">
        <f>IF(OR(F36="",NOT(ISNUMBER(D36))),"",F36-D36)</f>
        <v/>
      </c>
      <c r="K36" s="13">
        <f>IF($A36="","",IFERROR(SOFR_Curve($C$4,$A$9:$A$60,$B$9:$B$60,$A36,"PAR"),""))</f>
        <v/>
      </c>
    </row>
    <row r="37">
      <c r="A37" s="8" t="n"/>
      <c r="B37" s="9" t="n"/>
      <c r="C37" s="9" t="n"/>
      <c r="D37" s="10" t="n"/>
      <c r="E37" s="11">
        <f>IF($A37="","",IFERROR(SOFR_Curve($C$4,$A$9:$A$60,$B$9:$B$60,$A37,"DATE"),""))</f>
        <v/>
      </c>
      <c r="F37" s="12">
        <f>IF($A37="","",IFERROR(SOFR_Curve($C$4,$A$9:$A$60,$B$9:$B$60,$A37,"DF"),""))</f>
        <v/>
      </c>
      <c r="G37" s="13">
        <f>IF($A37="","",IFERROR(SOFR_Curve($C$4,$A$9:$A$60,$B$9:$B$60,$A37,"ZERO"),""))</f>
        <v/>
      </c>
      <c r="H37" s="14">
        <f>IF($A37="","",IFERROR(SOFR_Curve($C$4,$A$9:$A$60,$B$9:$B$60,$A37,"T"),""))</f>
        <v/>
      </c>
      <c r="I37" s="15">
        <f>IF(OR(G37="",NOT(ISNUMBER(C37))),"",(G37-C37)*100)</f>
        <v/>
      </c>
      <c r="J37" s="16">
        <f>IF(OR(F37="",NOT(ISNUMBER(D37))),"",F37-D37)</f>
        <v/>
      </c>
      <c r="K37" s="13">
        <f>IF($A37="","",IFERROR(SOFR_Curve($C$4,$A$9:$A$60,$B$9:$B$60,$A37,"PAR"),""))</f>
        <v/>
      </c>
    </row>
    <row r="38">
      <c r="A38" s="8" t="n"/>
      <c r="B38" s="9" t="n"/>
      <c r="C38" s="9" t="n"/>
      <c r="D38" s="10" t="n"/>
      <c r="E38" s="11">
        <f>IF($A38="","",IFERROR(SOFR_Curve($C$4,$A$9:$A$60,$B$9:$B$60,$A38,"DATE"),""))</f>
        <v/>
      </c>
      <c r="F38" s="12">
        <f>IF($A38="","",IFERROR(SOFR_Curve($C$4,$A$9:$A$60,$B$9:$B$60,$A38,"DF"),""))</f>
        <v/>
      </c>
      <c r="G38" s="13">
        <f>IF($A38="","",IFERROR(SOFR_Curve($C$4,$A$9:$A$60,$B$9:$B$60,$A38,"ZERO"),""))</f>
        <v/>
      </c>
      <c r="H38" s="14">
        <f>IF($A38="","",IFERROR(SOFR_Curve($C$4,$A$9:$A$60,$B$9:$B$60,$A38,"T"),""))</f>
        <v/>
      </c>
      <c r="I38" s="15">
        <f>IF(OR(G38="",NOT(ISNUMBER(C38))),"",(G38-C38)*100)</f>
        <v/>
      </c>
      <c r="J38" s="16">
        <f>IF(OR(F38="",NOT(ISNUMBER(D38))),"",F38-D38)</f>
        <v/>
      </c>
      <c r="K38" s="13">
        <f>IF($A38="","",IFERROR(SOFR_Curve($C$4,$A$9:$A$60,$B$9:$B$60,$A38,"PAR"),""))</f>
        <v/>
      </c>
    </row>
    <row r="39">
      <c r="A39" s="8" t="n"/>
      <c r="B39" s="9" t="n"/>
      <c r="C39" s="9" t="n"/>
      <c r="D39" s="10" t="n"/>
      <c r="E39" s="11">
        <f>IF($A39="","",IFERROR(SOFR_Curve($C$4,$A$9:$A$60,$B$9:$B$60,$A39,"DATE"),""))</f>
        <v/>
      </c>
      <c r="F39" s="12">
        <f>IF($A39="","",IFERROR(SOFR_Curve($C$4,$A$9:$A$60,$B$9:$B$60,$A39,"DF"),""))</f>
        <v/>
      </c>
      <c r="G39" s="13">
        <f>IF($A39="","",IFERROR(SOFR_Curve($C$4,$A$9:$A$60,$B$9:$B$60,$A39,"ZERO"),""))</f>
        <v/>
      </c>
      <c r="H39" s="14">
        <f>IF($A39="","",IFERROR(SOFR_Curve($C$4,$A$9:$A$60,$B$9:$B$60,$A39,"T"),""))</f>
        <v/>
      </c>
      <c r="I39" s="15">
        <f>IF(OR(G39="",NOT(ISNUMBER(C39))),"",(G39-C39)*100)</f>
        <v/>
      </c>
      <c r="J39" s="16">
        <f>IF(OR(F39="",NOT(ISNUMBER(D39))),"",F39-D39)</f>
        <v/>
      </c>
      <c r="K39" s="13">
        <f>IF($A39="","",IFERROR(SOFR_Curve($C$4,$A$9:$A$60,$B$9:$B$60,$A39,"PAR"),""))</f>
        <v/>
      </c>
    </row>
    <row r="40">
      <c r="A40" s="8" t="n"/>
      <c r="B40" s="9" t="n"/>
      <c r="C40" s="9" t="n"/>
      <c r="D40" s="10" t="n"/>
      <c r="E40" s="11">
        <f>IF($A40="","",IFERROR(SOFR_Curve($C$4,$A$9:$A$60,$B$9:$B$60,$A40,"DATE"),""))</f>
        <v/>
      </c>
      <c r="F40" s="12">
        <f>IF($A40="","",IFERROR(SOFR_Curve($C$4,$A$9:$A$60,$B$9:$B$60,$A40,"DF"),""))</f>
        <v/>
      </c>
      <c r="G40" s="13">
        <f>IF($A40="","",IFERROR(SOFR_Curve($C$4,$A$9:$A$60,$B$9:$B$60,$A40,"ZERO"),""))</f>
        <v/>
      </c>
      <c r="H40" s="14">
        <f>IF($A40="","",IFERROR(SOFR_Curve($C$4,$A$9:$A$60,$B$9:$B$60,$A40,"T"),""))</f>
        <v/>
      </c>
      <c r="I40" s="15">
        <f>IF(OR(G40="",NOT(ISNUMBER(C40))),"",(G40-C40)*100)</f>
        <v/>
      </c>
      <c r="J40" s="16">
        <f>IF(OR(F40="",NOT(ISNUMBER(D40))),"",F40-D40)</f>
        <v/>
      </c>
      <c r="K40" s="13">
        <f>IF($A40="","",IFERROR(SOFR_Curve($C$4,$A$9:$A$60,$B$9:$B$60,$A40,"PAR"),""))</f>
        <v/>
      </c>
    </row>
    <row r="41">
      <c r="A41" s="8" t="n"/>
      <c r="B41" s="9" t="n"/>
      <c r="C41" s="9" t="n"/>
      <c r="D41" s="10" t="n"/>
      <c r="E41" s="11">
        <f>IF($A41="","",IFERROR(SOFR_Curve($C$4,$A$9:$A$60,$B$9:$B$60,$A41,"DATE"),""))</f>
        <v/>
      </c>
      <c r="F41" s="12">
        <f>IF($A41="","",IFERROR(SOFR_Curve($C$4,$A$9:$A$60,$B$9:$B$60,$A41,"DF"),""))</f>
        <v/>
      </c>
      <c r="G41" s="13">
        <f>IF($A41="","",IFERROR(SOFR_Curve($C$4,$A$9:$A$60,$B$9:$B$60,$A41,"ZERO"),""))</f>
        <v/>
      </c>
      <c r="H41" s="14">
        <f>IF($A41="","",IFERROR(SOFR_Curve($C$4,$A$9:$A$60,$B$9:$B$60,$A41,"T"),""))</f>
        <v/>
      </c>
      <c r="I41" s="15">
        <f>IF(OR(G41="",NOT(ISNUMBER(C41))),"",(G41-C41)*100)</f>
        <v/>
      </c>
      <c r="J41" s="16">
        <f>IF(OR(F41="",NOT(ISNUMBER(D41))),"",F41-D41)</f>
        <v/>
      </c>
      <c r="K41" s="13">
        <f>IF($A41="","",IFERROR(SOFR_Curve($C$4,$A$9:$A$60,$B$9:$B$60,$A41,"PAR"),""))</f>
        <v/>
      </c>
    </row>
    <row r="42">
      <c r="A42" s="8" t="n"/>
      <c r="B42" s="9" t="n"/>
      <c r="C42" s="9" t="n"/>
      <c r="D42" s="10" t="n"/>
      <c r="E42" s="11">
        <f>IF($A42="","",IFERROR(SOFR_Curve($C$4,$A$9:$A$60,$B$9:$B$60,$A42,"DATE"),""))</f>
        <v/>
      </c>
      <c r="F42" s="12">
        <f>IF($A42="","",IFERROR(SOFR_Curve($C$4,$A$9:$A$60,$B$9:$B$60,$A42,"DF"),""))</f>
        <v/>
      </c>
      <c r="G42" s="13">
        <f>IF($A42="","",IFERROR(SOFR_Curve($C$4,$A$9:$A$60,$B$9:$B$60,$A42,"ZERO"),""))</f>
        <v/>
      </c>
      <c r="H42" s="14">
        <f>IF($A42="","",IFERROR(SOFR_Curve($C$4,$A$9:$A$60,$B$9:$B$60,$A42,"T"),""))</f>
        <v/>
      </c>
      <c r="I42" s="15">
        <f>IF(OR(G42="",NOT(ISNUMBER(C42))),"",(G42-C42)*100)</f>
        <v/>
      </c>
      <c r="J42" s="16">
        <f>IF(OR(F42="",NOT(ISNUMBER(D42))),"",F42-D42)</f>
        <v/>
      </c>
      <c r="K42" s="13">
        <f>IF($A42="","",IFERROR(SOFR_Curve($C$4,$A$9:$A$60,$B$9:$B$60,$A42,"PAR"),""))</f>
        <v/>
      </c>
    </row>
    <row r="43">
      <c r="A43" s="8" t="n"/>
      <c r="B43" s="9" t="n"/>
      <c r="C43" s="9" t="n"/>
      <c r="D43" s="10" t="n"/>
      <c r="E43" s="11">
        <f>IF($A43="","",IFERROR(SOFR_Curve($C$4,$A$9:$A$60,$B$9:$B$60,$A43,"DATE"),""))</f>
        <v/>
      </c>
      <c r="F43" s="12">
        <f>IF($A43="","",IFERROR(SOFR_Curve($C$4,$A$9:$A$60,$B$9:$B$60,$A43,"DF"),""))</f>
        <v/>
      </c>
      <c r="G43" s="13">
        <f>IF($A43="","",IFERROR(SOFR_Curve($C$4,$A$9:$A$60,$B$9:$B$60,$A43,"ZERO"),""))</f>
        <v/>
      </c>
      <c r="H43" s="14">
        <f>IF($A43="","",IFERROR(SOFR_Curve($C$4,$A$9:$A$60,$B$9:$B$60,$A43,"T"),""))</f>
        <v/>
      </c>
      <c r="I43" s="15">
        <f>IF(OR(G43="",NOT(ISNUMBER(C43))),"",(G43-C43)*100)</f>
        <v/>
      </c>
      <c r="J43" s="16">
        <f>IF(OR(F43="",NOT(ISNUMBER(D43))),"",F43-D43)</f>
        <v/>
      </c>
      <c r="K43" s="13">
        <f>IF($A43="","",IFERROR(SOFR_Curve($C$4,$A$9:$A$60,$B$9:$B$60,$A43,"PAR"),""))</f>
        <v/>
      </c>
    </row>
    <row r="44">
      <c r="A44" s="8" t="n"/>
      <c r="B44" s="9" t="n"/>
      <c r="C44" s="9" t="n"/>
      <c r="D44" s="10" t="n"/>
      <c r="E44" s="11">
        <f>IF($A44="","",IFERROR(SOFR_Curve($C$4,$A$9:$A$60,$B$9:$B$60,$A44,"DATE"),""))</f>
        <v/>
      </c>
      <c r="F44" s="12">
        <f>IF($A44="","",IFERROR(SOFR_Curve($C$4,$A$9:$A$60,$B$9:$B$60,$A44,"DF"),""))</f>
        <v/>
      </c>
      <c r="G44" s="13">
        <f>IF($A44="","",IFERROR(SOFR_Curve($C$4,$A$9:$A$60,$B$9:$B$60,$A44,"ZERO"),""))</f>
        <v/>
      </c>
      <c r="H44" s="14">
        <f>IF($A44="","",IFERROR(SOFR_Curve($C$4,$A$9:$A$60,$B$9:$B$60,$A44,"T"),""))</f>
        <v/>
      </c>
      <c r="I44" s="15">
        <f>IF(OR(G44="",NOT(ISNUMBER(C44))),"",(G44-C44)*100)</f>
        <v/>
      </c>
      <c r="J44" s="16">
        <f>IF(OR(F44="",NOT(ISNUMBER(D44))),"",F44-D44)</f>
        <v/>
      </c>
      <c r="K44" s="13">
        <f>IF($A44="","",IFERROR(SOFR_Curve($C$4,$A$9:$A$60,$B$9:$B$60,$A44,"PAR"),""))</f>
        <v/>
      </c>
    </row>
    <row r="45">
      <c r="A45" s="8" t="n"/>
      <c r="B45" s="9" t="n"/>
      <c r="C45" s="9" t="n"/>
      <c r="D45" s="10" t="n"/>
      <c r="E45" s="11">
        <f>IF($A45="","",IFERROR(SOFR_Curve($C$4,$A$9:$A$60,$B$9:$B$60,$A45,"DATE"),""))</f>
        <v/>
      </c>
      <c r="F45" s="12">
        <f>IF($A45="","",IFERROR(SOFR_Curve($C$4,$A$9:$A$60,$B$9:$B$60,$A45,"DF"),""))</f>
        <v/>
      </c>
      <c r="G45" s="13">
        <f>IF($A45="","",IFERROR(SOFR_Curve($C$4,$A$9:$A$60,$B$9:$B$60,$A45,"ZERO"),""))</f>
        <v/>
      </c>
      <c r="H45" s="14">
        <f>IF($A45="","",IFERROR(SOFR_Curve($C$4,$A$9:$A$60,$B$9:$B$60,$A45,"T"),""))</f>
        <v/>
      </c>
      <c r="I45" s="15">
        <f>IF(OR(G45="",NOT(ISNUMBER(C45))),"",(G45-C45)*100)</f>
        <v/>
      </c>
      <c r="J45" s="16">
        <f>IF(OR(F45="",NOT(ISNUMBER(D45))),"",F45-D45)</f>
        <v/>
      </c>
      <c r="K45" s="13">
        <f>IF($A45="","",IFERROR(SOFR_Curve($C$4,$A$9:$A$60,$B$9:$B$60,$A45,"PAR"),""))</f>
        <v/>
      </c>
    </row>
    <row r="46">
      <c r="A46" s="8" t="n"/>
      <c r="B46" s="9" t="n"/>
      <c r="C46" s="9" t="n"/>
      <c r="D46" s="10" t="n"/>
      <c r="E46" s="11">
        <f>IF($A46="","",IFERROR(SOFR_Curve($C$4,$A$9:$A$60,$B$9:$B$60,$A46,"DATE"),""))</f>
        <v/>
      </c>
      <c r="F46" s="12">
        <f>IF($A46="","",IFERROR(SOFR_Curve($C$4,$A$9:$A$60,$B$9:$B$60,$A46,"DF"),""))</f>
        <v/>
      </c>
      <c r="G46" s="13">
        <f>IF($A46="","",IFERROR(SOFR_Curve($C$4,$A$9:$A$60,$B$9:$B$60,$A46,"ZERO"),""))</f>
        <v/>
      </c>
      <c r="H46" s="14">
        <f>IF($A46="","",IFERROR(SOFR_Curve($C$4,$A$9:$A$60,$B$9:$B$60,$A46,"T"),""))</f>
        <v/>
      </c>
      <c r="I46" s="15">
        <f>IF(OR(G46="",NOT(ISNUMBER(C46))),"",(G46-C46)*100)</f>
        <v/>
      </c>
      <c r="J46" s="16">
        <f>IF(OR(F46="",NOT(ISNUMBER(D46))),"",F46-D46)</f>
        <v/>
      </c>
      <c r="K46" s="13">
        <f>IF($A46="","",IFERROR(SOFR_Curve($C$4,$A$9:$A$60,$B$9:$B$60,$A46,"PAR"),""))</f>
        <v/>
      </c>
    </row>
    <row r="47">
      <c r="A47" s="8" t="n"/>
      <c r="B47" s="9" t="n"/>
      <c r="C47" s="9" t="n"/>
      <c r="D47" s="10" t="n"/>
      <c r="E47" s="11">
        <f>IF($A47="","",IFERROR(SOFR_Curve($C$4,$A$9:$A$60,$B$9:$B$60,$A47,"DATE"),""))</f>
        <v/>
      </c>
      <c r="F47" s="12">
        <f>IF($A47="","",IFERROR(SOFR_Curve($C$4,$A$9:$A$60,$B$9:$B$60,$A47,"DF"),""))</f>
        <v/>
      </c>
      <c r="G47" s="13">
        <f>IF($A47="","",IFERROR(SOFR_Curve($C$4,$A$9:$A$60,$B$9:$B$60,$A47,"ZERO"),""))</f>
        <v/>
      </c>
      <c r="H47" s="14">
        <f>IF($A47="","",IFERROR(SOFR_Curve($C$4,$A$9:$A$60,$B$9:$B$60,$A47,"T"),""))</f>
        <v/>
      </c>
      <c r="I47" s="15">
        <f>IF(OR(G47="",NOT(ISNUMBER(C47))),"",(G47-C47)*100)</f>
        <v/>
      </c>
      <c r="J47" s="16">
        <f>IF(OR(F47="",NOT(ISNUMBER(D47))),"",F47-D47)</f>
        <v/>
      </c>
      <c r="K47" s="13">
        <f>IF($A47="","",IFERROR(SOFR_Curve($C$4,$A$9:$A$60,$B$9:$B$60,$A47,"PAR"),""))</f>
        <v/>
      </c>
    </row>
    <row r="48">
      <c r="A48" s="8" t="n"/>
      <c r="B48" s="9" t="n"/>
      <c r="C48" s="9" t="n"/>
      <c r="D48" s="10" t="n"/>
      <c r="E48" s="11">
        <f>IF($A48="","",IFERROR(SOFR_Curve($C$4,$A$9:$A$60,$B$9:$B$60,$A48,"DATE"),""))</f>
        <v/>
      </c>
      <c r="F48" s="12">
        <f>IF($A48="","",IFERROR(SOFR_Curve($C$4,$A$9:$A$60,$B$9:$B$60,$A48,"DF"),""))</f>
        <v/>
      </c>
      <c r="G48" s="13">
        <f>IF($A48="","",IFERROR(SOFR_Curve($C$4,$A$9:$A$60,$B$9:$B$60,$A48,"ZERO"),""))</f>
        <v/>
      </c>
      <c r="H48" s="14">
        <f>IF($A48="","",IFERROR(SOFR_Curve($C$4,$A$9:$A$60,$B$9:$B$60,$A48,"T"),""))</f>
        <v/>
      </c>
      <c r="I48" s="15">
        <f>IF(OR(G48="",NOT(ISNUMBER(C48))),"",(G48-C48)*100)</f>
        <v/>
      </c>
      <c r="J48" s="16">
        <f>IF(OR(F48="",NOT(ISNUMBER(D48))),"",F48-D48)</f>
        <v/>
      </c>
      <c r="K48" s="13">
        <f>IF($A48="","",IFERROR(SOFR_Curve($C$4,$A$9:$A$60,$B$9:$B$60,$A48,"PAR"),""))</f>
        <v/>
      </c>
    </row>
    <row r="49">
      <c r="A49" s="8" t="n"/>
      <c r="B49" s="9" t="n"/>
      <c r="C49" s="9" t="n"/>
      <c r="D49" s="10" t="n"/>
      <c r="E49" s="11">
        <f>IF($A49="","",IFERROR(SOFR_Curve($C$4,$A$9:$A$60,$B$9:$B$60,$A49,"DATE"),""))</f>
        <v/>
      </c>
      <c r="F49" s="12">
        <f>IF($A49="","",IFERROR(SOFR_Curve($C$4,$A$9:$A$60,$B$9:$B$60,$A49,"DF"),""))</f>
        <v/>
      </c>
      <c r="G49" s="13">
        <f>IF($A49="","",IFERROR(SOFR_Curve($C$4,$A$9:$A$60,$B$9:$B$60,$A49,"ZERO"),""))</f>
        <v/>
      </c>
      <c r="H49" s="14">
        <f>IF($A49="","",IFERROR(SOFR_Curve($C$4,$A$9:$A$60,$B$9:$B$60,$A49,"T"),""))</f>
        <v/>
      </c>
      <c r="I49" s="15">
        <f>IF(OR(G49="",NOT(ISNUMBER(C49))),"",(G49-C49)*100)</f>
        <v/>
      </c>
      <c r="J49" s="16">
        <f>IF(OR(F49="",NOT(ISNUMBER(D49))),"",F49-D49)</f>
        <v/>
      </c>
      <c r="K49" s="13">
        <f>IF($A49="","",IFERROR(SOFR_Curve($C$4,$A$9:$A$60,$B$9:$B$60,$A49,"PAR"),""))</f>
        <v/>
      </c>
    </row>
    <row r="50">
      <c r="A50" s="8" t="n"/>
      <c r="B50" s="9" t="n"/>
      <c r="C50" s="9" t="n"/>
      <c r="D50" s="10" t="n"/>
      <c r="E50" s="11">
        <f>IF($A50="","",IFERROR(SOFR_Curve($C$4,$A$9:$A$60,$B$9:$B$60,$A50,"DATE"),""))</f>
        <v/>
      </c>
      <c r="F50" s="12">
        <f>IF($A50="","",IFERROR(SOFR_Curve($C$4,$A$9:$A$60,$B$9:$B$60,$A50,"DF"),""))</f>
        <v/>
      </c>
      <c r="G50" s="13">
        <f>IF($A50="","",IFERROR(SOFR_Curve($C$4,$A$9:$A$60,$B$9:$B$60,$A50,"ZERO"),""))</f>
        <v/>
      </c>
      <c r="H50" s="14">
        <f>IF($A50="","",IFERROR(SOFR_Curve($C$4,$A$9:$A$60,$B$9:$B$60,$A50,"T"),""))</f>
        <v/>
      </c>
      <c r="I50" s="15">
        <f>IF(OR(G50="",NOT(ISNUMBER(C50))),"",(G50-C50)*100)</f>
        <v/>
      </c>
      <c r="J50" s="16">
        <f>IF(OR(F50="",NOT(ISNUMBER(D50))),"",F50-D50)</f>
        <v/>
      </c>
      <c r="K50" s="13">
        <f>IF($A50="","",IFERROR(SOFR_Curve($C$4,$A$9:$A$60,$B$9:$B$60,$A50,"PAR"),""))</f>
        <v/>
      </c>
    </row>
    <row r="51">
      <c r="A51" s="8" t="n"/>
      <c r="B51" s="9" t="n"/>
      <c r="C51" s="9" t="n"/>
      <c r="D51" s="10" t="n"/>
      <c r="E51" s="11">
        <f>IF($A51="","",IFERROR(SOFR_Curve($C$4,$A$9:$A$60,$B$9:$B$60,$A51,"DATE"),""))</f>
        <v/>
      </c>
      <c r="F51" s="12">
        <f>IF($A51="","",IFERROR(SOFR_Curve($C$4,$A$9:$A$60,$B$9:$B$60,$A51,"DF"),""))</f>
        <v/>
      </c>
      <c r="G51" s="13">
        <f>IF($A51="","",IFERROR(SOFR_Curve($C$4,$A$9:$A$60,$B$9:$B$60,$A51,"ZERO"),""))</f>
        <v/>
      </c>
      <c r="H51" s="14">
        <f>IF($A51="","",IFERROR(SOFR_Curve($C$4,$A$9:$A$60,$B$9:$B$60,$A51,"T"),""))</f>
        <v/>
      </c>
      <c r="I51" s="15">
        <f>IF(OR(G51="",NOT(ISNUMBER(C51))),"",(G51-C51)*100)</f>
        <v/>
      </c>
      <c r="J51" s="16">
        <f>IF(OR(F51="",NOT(ISNUMBER(D51))),"",F51-D51)</f>
        <v/>
      </c>
      <c r="K51" s="13">
        <f>IF($A51="","",IFERROR(SOFR_Curve($C$4,$A$9:$A$60,$B$9:$B$60,$A51,"PAR"),""))</f>
        <v/>
      </c>
    </row>
    <row r="52">
      <c r="A52" s="8" t="n"/>
      <c r="B52" s="9" t="n"/>
      <c r="C52" s="9" t="n"/>
      <c r="D52" s="10" t="n"/>
      <c r="E52" s="11">
        <f>IF($A52="","",IFERROR(SOFR_Curve($C$4,$A$9:$A$60,$B$9:$B$60,$A52,"DATE"),""))</f>
        <v/>
      </c>
      <c r="F52" s="12">
        <f>IF($A52="","",IFERROR(SOFR_Curve($C$4,$A$9:$A$60,$B$9:$B$60,$A52,"DF"),""))</f>
        <v/>
      </c>
      <c r="G52" s="13">
        <f>IF($A52="","",IFERROR(SOFR_Curve($C$4,$A$9:$A$60,$B$9:$B$60,$A52,"ZERO"),""))</f>
        <v/>
      </c>
      <c r="H52" s="14">
        <f>IF($A52="","",IFERROR(SOFR_Curve($C$4,$A$9:$A$60,$B$9:$B$60,$A52,"T"),""))</f>
        <v/>
      </c>
      <c r="I52" s="15">
        <f>IF(OR(G52="",NOT(ISNUMBER(C52))),"",(G52-C52)*100)</f>
        <v/>
      </c>
      <c r="J52" s="16">
        <f>IF(OR(F52="",NOT(ISNUMBER(D52))),"",F52-D52)</f>
        <v/>
      </c>
      <c r="K52" s="13">
        <f>IF($A52="","",IFERROR(SOFR_Curve($C$4,$A$9:$A$60,$B$9:$B$60,$A52,"PAR"),""))</f>
        <v/>
      </c>
    </row>
    <row r="53">
      <c r="A53" s="8" t="n"/>
      <c r="B53" s="9" t="n"/>
      <c r="C53" s="9" t="n"/>
      <c r="D53" s="10" t="n"/>
      <c r="E53" s="11">
        <f>IF($A53="","",IFERROR(SOFR_Curve($C$4,$A$9:$A$60,$B$9:$B$60,$A53,"DATE"),""))</f>
        <v/>
      </c>
      <c r="F53" s="12">
        <f>IF($A53="","",IFERROR(SOFR_Curve($C$4,$A$9:$A$60,$B$9:$B$60,$A53,"DF"),""))</f>
        <v/>
      </c>
      <c r="G53" s="13">
        <f>IF($A53="","",IFERROR(SOFR_Curve($C$4,$A$9:$A$60,$B$9:$B$60,$A53,"ZERO"),""))</f>
        <v/>
      </c>
      <c r="H53" s="14">
        <f>IF($A53="","",IFERROR(SOFR_Curve($C$4,$A$9:$A$60,$B$9:$B$60,$A53,"T"),""))</f>
        <v/>
      </c>
      <c r="I53" s="15">
        <f>IF(OR(G53="",NOT(ISNUMBER(C53))),"",(G53-C53)*100)</f>
        <v/>
      </c>
      <c r="J53" s="16">
        <f>IF(OR(F53="",NOT(ISNUMBER(D53))),"",F53-D53)</f>
        <v/>
      </c>
      <c r="K53" s="13">
        <f>IF($A53="","",IFERROR(SOFR_Curve($C$4,$A$9:$A$60,$B$9:$B$60,$A53,"PAR"),""))</f>
        <v/>
      </c>
    </row>
    <row r="54">
      <c r="A54" s="8" t="n"/>
      <c r="B54" s="9" t="n"/>
      <c r="C54" s="9" t="n"/>
      <c r="D54" s="10" t="n"/>
      <c r="E54" s="11">
        <f>IF($A54="","",IFERROR(SOFR_Curve($C$4,$A$9:$A$60,$B$9:$B$60,$A54,"DATE"),""))</f>
        <v/>
      </c>
      <c r="F54" s="12">
        <f>IF($A54="","",IFERROR(SOFR_Curve($C$4,$A$9:$A$60,$B$9:$B$60,$A54,"DF"),""))</f>
        <v/>
      </c>
      <c r="G54" s="13">
        <f>IF($A54="","",IFERROR(SOFR_Curve($C$4,$A$9:$A$60,$B$9:$B$60,$A54,"ZERO"),""))</f>
        <v/>
      </c>
      <c r="H54" s="14">
        <f>IF($A54="","",IFERROR(SOFR_Curve($C$4,$A$9:$A$60,$B$9:$B$60,$A54,"T"),""))</f>
        <v/>
      </c>
      <c r="I54" s="15">
        <f>IF(OR(G54="",NOT(ISNUMBER(C54))),"",(G54-C54)*100)</f>
        <v/>
      </c>
      <c r="J54" s="16">
        <f>IF(OR(F54="",NOT(ISNUMBER(D54))),"",F54-D54)</f>
        <v/>
      </c>
      <c r="K54" s="13">
        <f>IF($A54="","",IFERROR(SOFR_Curve($C$4,$A$9:$A$60,$B$9:$B$60,$A54,"PAR"),""))</f>
        <v/>
      </c>
    </row>
    <row r="55">
      <c r="A55" s="8" t="n"/>
      <c r="B55" s="9" t="n"/>
      <c r="C55" s="9" t="n"/>
      <c r="D55" s="10" t="n"/>
      <c r="E55" s="11">
        <f>IF($A55="","",IFERROR(SOFR_Curve($C$4,$A$9:$A$60,$B$9:$B$60,$A55,"DATE"),""))</f>
        <v/>
      </c>
      <c r="F55" s="12">
        <f>IF($A55="","",IFERROR(SOFR_Curve($C$4,$A$9:$A$60,$B$9:$B$60,$A55,"DF"),""))</f>
        <v/>
      </c>
      <c r="G55" s="13">
        <f>IF($A55="","",IFERROR(SOFR_Curve($C$4,$A$9:$A$60,$B$9:$B$60,$A55,"ZERO"),""))</f>
        <v/>
      </c>
      <c r="H55" s="14">
        <f>IF($A55="","",IFERROR(SOFR_Curve($C$4,$A$9:$A$60,$B$9:$B$60,$A55,"T"),""))</f>
        <v/>
      </c>
      <c r="I55" s="15">
        <f>IF(OR(G55="",NOT(ISNUMBER(C55))),"",(G55-C55)*100)</f>
        <v/>
      </c>
      <c r="J55" s="16">
        <f>IF(OR(F55="",NOT(ISNUMBER(D55))),"",F55-D55)</f>
        <v/>
      </c>
      <c r="K55" s="13">
        <f>IF($A55="","",IFERROR(SOFR_Curve($C$4,$A$9:$A$60,$B$9:$B$60,$A55,"PAR"),""))</f>
        <v/>
      </c>
    </row>
    <row r="56">
      <c r="A56" s="8" t="n"/>
      <c r="B56" s="9" t="n"/>
      <c r="C56" s="9" t="n"/>
      <c r="D56" s="10" t="n"/>
      <c r="E56" s="11">
        <f>IF($A56="","",IFERROR(SOFR_Curve($C$4,$A$9:$A$60,$B$9:$B$60,$A56,"DATE"),""))</f>
        <v/>
      </c>
      <c r="F56" s="12">
        <f>IF($A56="","",IFERROR(SOFR_Curve($C$4,$A$9:$A$60,$B$9:$B$60,$A56,"DF"),""))</f>
        <v/>
      </c>
      <c r="G56" s="13">
        <f>IF($A56="","",IFERROR(SOFR_Curve($C$4,$A$9:$A$60,$B$9:$B$60,$A56,"ZERO"),""))</f>
        <v/>
      </c>
      <c r="H56" s="14">
        <f>IF($A56="","",IFERROR(SOFR_Curve($C$4,$A$9:$A$60,$B$9:$B$60,$A56,"T"),""))</f>
        <v/>
      </c>
      <c r="I56" s="15">
        <f>IF(OR(G56="",NOT(ISNUMBER(C56))),"",(G56-C56)*100)</f>
        <v/>
      </c>
      <c r="J56" s="16">
        <f>IF(OR(F56="",NOT(ISNUMBER(D56))),"",F56-D56)</f>
        <v/>
      </c>
      <c r="K56" s="13">
        <f>IF($A56="","",IFERROR(SOFR_Curve($C$4,$A$9:$A$60,$B$9:$B$60,$A56,"PAR"),""))</f>
        <v/>
      </c>
    </row>
    <row r="57">
      <c r="A57" s="8" t="n"/>
      <c r="B57" s="9" t="n"/>
      <c r="C57" s="9" t="n"/>
      <c r="D57" s="10" t="n"/>
      <c r="E57" s="11">
        <f>IF($A57="","",IFERROR(SOFR_Curve($C$4,$A$9:$A$60,$B$9:$B$60,$A57,"DATE"),""))</f>
        <v/>
      </c>
      <c r="F57" s="12">
        <f>IF($A57="","",IFERROR(SOFR_Curve($C$4,$A$9:$A$60,$B$9:$B$60,$A57,"DF"),""))</f>
        <v/>
      </c>
      <c r="G57" s="13">
        <f>IF($A57="","",IFERROR(SOFR_Curve($C$4,$A$9:$A$60,$B$9:$B$60,$A57,"ZERO"),""))</f>
        <v/>
      </c>
      <c r="H57" s="14">
        <f>IF($A57="","",IFERROR(SOFR_Curve($C$4,$A$9:$A$60,$B$9:$B$60,$A57,"T"),""))</f>
        <v/>
      </c>
      <c r="I57" s="15">
        <f>IF(OR(G57="",NOT(ISNUMBER(C57))),"",(G57-C57)*100)</f>
        <v/>
      </c>
      <c r="J57" s="16">
        <f>IF(OR(F57="",NOT(ISNUMBER(D57))),"",F57-D57)</f>
        <v/>
      </c>
      <c r="K57" s="13">
        <f>IF($A57="","",IFERROR(SOFR_Curve($C$4,$A$9:$A$60,$B$9:$B$60,$A57,"PAR"),""))</f>
        <v/>
      </c>
    </row>
    <row r="58">
      <c r="A58" s="8" t="n"/>
      <c r="B58" s="9" t="n"/>
      <c r="C58" s="9" t="n"/>
      <c r="D58" s="10" t="n"/>
      <c r="E58" s="11">
        <f>IF($A58="","",IFERROR(SOFR_Curve($C$4,$A$9:$A$60,$B$9:$B$60,$A58,"DATE"),""))</f>
        <v/>
      </c>
      <c r="F58" s="12">
        <f>IF($A58="","",IFERROR(SOFR_Curve($C$4,$A$9:$A$60,$B$9:$B$60,$A58,"DF"),""))</f>
        <v/>
      </c>
      <c r="G58" s="13">
        <f>IF($A58="","",IFERROR(SOFR_Curve($C$4,$A$9:$A$60,$B$9:$B$60,$A58,"ZERO"),""))</f>
        <v/>
      </c>
      <c r="H58" s="14">
        <f>IF($A58="","",IFERROR(SOFR_Curve($C$4,$A$9:$A$60,$B$9:$B$60,$A58,"T"),""))</f>
        <v/>
      </c>
      <c r="I58" s="15">
        <f>IF(OR(G58="",NOT(ISNUMBER(C58))),"",(G58-C58)*100)</f>
        <v/>
      </c>
      <c r="J58" s="16">
        <f>IF(OR(F58="",NOT(ISNUMBER(D58))),"",F58-D58)</f>
        <v/>
      </c>
      <c r="K58" s="13">
        <f>IF($A58="","",IFERROR(SOFR_Curve($C$4,$A$9:$A$60,$B$9:$B$60,$A58,"PAR"),""))</f>
        <v/>
      </c>
    </row>
    <row r="59">
      <c r="A59" s="8" t="n"/>
      <c r="B59" s="9" t="n"/>
      <c r="C59" s="9" t="n"/>
      <c r="D59" s="10" t="n"/>
      <c r="E59" s="11">
        <f>IF($A59="","",IFERROR(SOFR_Curve($C$4,$A$9:$A$60,$B$9:$B$60,$A59,"DATE"),""))</f>
        <v/>
      </c>
      <c r="F59" s="12">
        <f>IF($A59="","",IFERROR(SOFR_Curve($C$4,$A$9:$A$60,$B$9:$B$60,$A59,"DF"),""))</f>
        <v/>
      </c>
      <c r="G59" s="13">
        <f>IF($A59="","",IFERROR(SOFR_Curve($C$4,$A$9:$A$60,$B$9:$B$60,$A59,"ZERO"),""))</f>
        <v/>
      </c>
      <c r="H59" s="14">
        <f>IF($A59="","",IFERROR(SOFR_Curve($C$4,$A$9:$A$60,$B$9:$B$60,$A59,"T"),""))</f>
        <v/>
      </c>
      <c r="I59" s="15">
        <f>IF(OR(G59="",NOT(ISNUMBER(C59))),"",(G59-C59)*100)</f>
        <v/>
      </c>
      <c r="J59" s="16">
        <f>IF(OR(F59="",NOT(ISNUMBER(D59))),"",F59-D59)</f>
        <v/>
      </c>
      <c r="K59" s="13">
        <f>IF($A59="","",IFERROR(SOFR_Curve($C$4,$A$9:$A$60,$B$9:$B$60,$A59,"PAR"),""))</f>
        <v/>
      </c>
    </row>
    <row r="60">
      <c r="A60" s="8" t="n"/>
      <c r="B60" s="9" t="n"/>
      <c r="C60" s="9" t="n"/>
      <c r="D60" s="10" t="n"/>
      <c r="E60" s="11">
        <f>IF($A60="","",IFERROR(SOFR_Curve($C$4,$A$9:$A$60,$B$9:$B$60,$A60,"DATE"),""))</f>
        <v/>
      </c>
      <c r="F60" s="12">
        <f>IF($A60="","",IFERROR(SOFR_Curve($C$4,$A$9:$A$60,$B$9:$B$60,$A60,"DF"),""))</f>
        <v/>
      </c>
      <c r="G60" s="13">
        <f>IF($A60="","",IFERROR(SOFR_Curve($C$4,$A$9:$A$60,$B$9:$B$60,$A60,"ZERO"),""))</f>
        <v/>
      </c>
      <c r="H60" s="14">
        <f>IF($A60="","",IFERROR(SOFR_Curve($C$4,$A$9:$A$60,$B$9:$B$60,$A60,"T"),""))</f>
        <v/>
      </c>
      <c r="I60" s="15">
        <f>IF(OR(G60="",NOT(ISNUMBER(C60))),"",(G60-C60)*100)</f>
        <v/>
      </c>
      <c r="J60" s="16">
        <f>IF(OR(F60="",NOT(ISNUMBER(D60))),"",F60-D60)</f>
        <v/>
      </c>
      <c r="K60" s="13">
        <f>IF($A60="","",IFERROR(SOFR_Curve($C$4,$A$9:$A$60,$B$9:$B$60,$A60,"PAR"),""))</f>
        <v/>
      </c>
    </row>
    <row r="62">
      <c r="A62" s="3" t="inlineStr">
        <is>
          <t>pillars pasted</t>
        </is>
      </c>
      <c r="C62" s="17">
        <f>COUNTA(A9:A60)</f>
        <v/>
      </c>
      <c r="D62" s="3" t="inlineStr">
        <is>
          <t>computed</t>
        </is>
      </c>
      <c r="F62" s="17">
        <f>COUNT(G9:G60)</f>
        <v/>
      </c>
      <c r="G62" s="3" t="inlineStr">
        <is>
          <t>max |d zero| bp</t>
        </is>
      </c>
      <c r="I62" s="18">
        <f>IF(COUNT(I9:I60)=0,"",MAX(MAX(I9:I60),-MIN(I9:I60)))</f>
        <v/>
      </c>
      <c r="J62" s="3" t="inlineStr">
        <is>
          <t>max |d DF|</t>
        </is>
      </c>
      <c r="K62" s="19">
        <f>IF(COUNT(J9:J60)=0,"",MAX(MAX(J9:J60),-MIN(J9:J60)))</f>
        <v/>
      </c>
    </row>
    <row r="64">
      <c r="A64" s="2" t="inlineStr">
        <is>
          <t>If 'computed' is less than 'pillars pasted', a tenor label was not understood — use 1W/3M/18M/5Y form. 12M and 1Y both work.</t>
        </is>
      </c>
    </row>
  </sheetData>
  <conditionalFormatting sqref="I9:I60">
    <cfRule type="cellIs" priority="1" operator="greaterThan" dxfId="0">
      <formula>1</formula>
    </cfRule>
    <cfRule type="cellIs" priority="2" operator="lessThan" dxfId="0">
      <formula>-1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2026-07-22T09:25:26Z</dcterms:created>
  <dcterms:modified xmlns:dcterms="http://purl.org/dc/terms/" xmlns:xsi="http://www.w3.org/2001/XMLSchema-instance" xsi:type="dcterms:W3CDTF">2026-07-22T09:25:26Z</dcterms:modified>
</cp:coreProperties>
</file>