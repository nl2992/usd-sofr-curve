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Hazard_Solver" sheetId="14" state="hidden" r:id="rId14"/>
    <sheet xmlns:r="http://schemas.openxmlformats.org/officeDocument/2006/relationships" name="CDS_Entities" sheetId="15" state="visible" r:id="rId15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inlineStr">
        <is>
          <t>HSBA LN Equity</t>
        </is>
      </c>
      <c r="C5" s="209" t="inlineStr">
        <is>
          <t>BDP resolves the CDS tickers from this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09" t="inlineStr">
        <is>
          <t>Brent, one call per tenor. Change at CDS_Parameters!B30.</t>
        </is>
      </c>
      <c r="D12" s="212" t="n"/>
      <c r="E12" s="11" t="n"/>
      <c r="F12" s="11" t="n"/>
    </row>
    <row r="13">
      <c r="A13" s="215" t="n"/>
      <c r="B13" s="215" t="n"/>
      <c r="C13" s="212" t="n"/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11" t="n"/>
      <c r="D14" s="11" t="n"/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IF(COUNTIF(CDS_Quotes!$H$7:$H$12,"BDP live")&gt;0,COUNTIF(CDS_Quotes!$H$7:$H$12,"BDP live")&amp;" of 6 live","manual / demo")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IF(MAX(ABS(Hazard_Bootstrap!$J$7:$J$12))&lt;0.01,"reprices, max err "&amp;TEXT(MAX(ABS(Hazard_Bootstrap!$J$7:$J$12)),"0.00E+00")&amp;" bp","STRIP FAILED - check the quotes, see Model_Notes p.9")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CDS_Pricer!$B$15</f>
        <v/>
      </c>
      <c r="C20" s="212" t="n"/>
      <c r="D20" s="11" t="n"/>
      <c r="E20" s="11" t="n"/>
      <c r="F20" s="11" t="n"/>
    </row>
    <row r="21">
      <c r="A21" s="212" t="inlineStr">
        <is>
          <t>Points upfront</t>
        </is>
      </c>
      <c r="B21" s="170">
        <f>CDS_Pricer!$B$31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CDS_Pricer!$B$32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CDS_Pricer!$B$33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CDS_Pricer!$B$34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CDS_Pricer!$B$35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CDS_Pricer!$B$36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CDS_Pricer!$B$37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CDS_Pricer!$B$22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CDS_Pricer!$B$23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CDS_Pricer!$B$24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CDS_Pricer!$B$25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Hazard_Solver</t>
        </is>
      </c>
      <c r="C50" s="212" t="inlineStr">
        <is>
          <t>In-cell bisection ladder, the fallback solver.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Spreads are demo values. The SOFR curve is real market data; the credit curve is 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F5" s="177" t="n"/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Hazard solver</t>
        </is>
      </c>
      <c r="B30" s="178" t="inlineStr">
        <is>
          <t>Brent (VBA, falls back to bisection)</t>
        </is>
      </c>
      <c r="C30" s="177" t="inlineStr">
        <is>
          <t>Brent = one call per tenor. Bisection = the 3,712-cell ladder on Hazard_Solver.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3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  <dataValidation sqref="B30" showDropDown="0" showInputMessage="0" showErrorMessage="0" allowBlank="0" type="list">
      <formula1>"Brent (VBA, falls back to bisection),Bisection (in-cell ladder)"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Hazard: Brent when the VBA is loaded, else the in-cell ladder. Switch at CDS_Parameters!B30.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(LEFT(CDS_Parameters!$B$30,5)="Brent",IFERROR(CDS_Hazard(Hazard_Solver!$D$7,Hazard_Solver!$F$7,Hazard_Solver!$B$8,Hazard_Solver!$D$8,Hazard_Solver!$F$8,CDS_Parameters!$B$26,Hazard_Solver!$F$10:$U$10,Hazard_Solver!$F$14:$U$14,Hazard_Solver!$F$12:$U$12,Hazard_Solver!$F$13:$U$13),Hazard_Solver!$B$46),Hazard_Solver!$B$46)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(LEFT(CDS_Parameters!$B$30,5)="Brent",IFERROR(CDS_Hazard(Hazard_Solver!$D$50,Hazard_Solver!$F$50,Hazard_Solver!$B$51,Hazard_Solver!$D$51,Hazard_Solver!$F$51,CDS_Parameters!$B$26,Hazard_Solver!$F$53:$U$53,Hazard_Solver!$F$57:$U$57,Hazard_Solver!$F$55:$U$55,Hazard_Solver!$F$56:$U$56),Hazard_Solver!$B$89),Hazard_Solver!$B$89)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(LEFT(CDS_Parameters!$B$30,5)="Brent",IFERROR(CDS_Hazard(Hazard_Solver!$D$93,Hazard_Solver!$F$93,Hazard_Solver!$B$94,Hazard_Solver!$D$94,Hazard_Solver!$F$94,CDS_Parameters!$B$26,Hazard_Solver!$F$96:$U$96,Hazard_Solver!$F$100:$U$100,Hazard_Solver!$F$98:$U$98,Hazard_Solver!$F$99:$U$99),Hazard_Solver!$B$132),Hazard_Solver!$B$132)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(LEFT(CDS_Parameters!$B$30,5)="Brent",IFERROR(CDS_Hazard(Hazard_Solver!$D$136,Hazard_Solver!$F$136,Hazard_Solver!$B$137,Hazard_Solver!$D$137,Hazard_Solver!$F$137,CDS_Parameters!$B$26,Hazard_Solver!$F$139:$U$139,Hazard_Solver!$F$143:$U$143,Hazard_Solver!$F$141:$U$141,Hazard_Solver!$F$142:$U$142),Hazard_Solver!$B$175),Hazard_Solver!$B$175)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(LEFT(CDS_Parameters!$B$30,5)="Brent",IFERROR(CDS_Hazard(Hazard_Solver!$D$179,Hazard_Solver!$F$179,Hazard_Solver!$B$180,Hazard_Solver!$D$180,Hazard_Solver!$F$180,CDS_Parameters!$B$26,Hazard_Solver!$F$182:$U$182,Hazard_Solver!$F$186:$U$186,Hazard_Solver!$F$184:$U$184,Hazard_Solver!$F$185:$U$185),Hazard_Solver!$B$218),Hazard_Solver!$B$218)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(LEFT(CDS_Parameters!$B$30,5)="Brent",IFERROR(CDS_Hazard(Hazard_Solver!$D$222,Hazard_Solver!$F$222,Hazard_Solver!$B$223,Hazard_Solver!$D$223,Hazard_Solver!$F$223,CDS_Parameters!$B$26,Hazard_Solver!$F$225:$U$225,Hazard_Solver!$F$229:$U$229,Hazard_Solver!$F$227:$U$227,Hazard_Solver!$F$228:$U$228),Hazard_Solver!$B$261),Hazard_Solver!$B$261)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 t="n"/>
      <c r="E7" s="68" t="n"/>
      <c r="F7" s="147" t="n">
        <v>0.4</v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 t="n"/>
      <c r="E8" s="68" t="n"/>
      <c r="F8" s="147" t="n">
        <v>0.4</v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 t="n"/>
      <c r="E9" s="68" t="n"/>
      <c r="F9" s="147" t="n">
        <v>0.4</v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 t="n"/>
      <c r="E10" s="68" t="n"/>
      <c r="F10" s="147" t="n">
        <v>0.4</v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 t="n"/>
      <c r="E11" s="68" t="n"/>
      <c r="F11" s="147" t="n">
        <v>0.4</v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 t="n"/>
      <c r="E12" s="68" t="n"/>
      <c r="F12" s="147" t="n">
        <v>0.4</v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 t="n"/>
      <c r="E13" s="68" t="n"/>
      <c r="F13" s="147" t="n">
        <v>0.4</v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 t="n"/>
      <c r="E14" s="68" t="n"/>
      <c r="F14" s="147" t="n">
        <v>0.4</v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2026-07-22T13:43:27Z</dcterms:modified>
</cp:coreProperties>
</file>