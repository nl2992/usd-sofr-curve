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inlineStr">
        <is>
          <t>VBA</t>
        </is>
      </c>
      <c r="B13" s="228">
        <f>IF(ISERROR(CDS_StripIterations()),"NOT LOADED - import bloomberg/vba/CDSStrip.bas (Alt+F11 &gt; File &gt; Import File) and save as .xlsm","loaded")</f>
        <v/>
      </c>
      <c r="C13" s="209" t="inlineStr">
        <is>
          <t>hazards read #N/A whenever this says NOT LOADED</t>
        </is>
      </c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No external validation of the credit curve: Bloomberg exports no hazard curve (Help Desk H#1330731572). The SOFR curve can be checked against S490; the strip cannot.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177" t="inlineStr">
        <is>
          <t>T + 3 business days (p.7).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177" t="inlineStr">
        <is>
          <t>Col D resolves each tenor's CDS ticker from CDS_Parameters!B19; col F quotes it. An override from Entities (col E) BEATS the live pull - col H says which is in use.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IF(AND(ISNUMBER(E7),E7&gt;0),E7,IFERROR(BDP(D7&amp;" BEST Curncy","PX_LAST")+0,IFERROR(BDP(D7&amp;" BEST Curncy","PX_MID")+0,0)))</f>
        <v/>
      </c>
      <c r="G7" s="36">
        <f>(F7/10000)/(1-CDS_Parameters!$B$8)</f>
        <v/>
      </c>
      <c r="H7" s="93">
        <f>IF(AND(ISNUMBER(E7),E7&gt;0),"OVERRIDE",IF(ISNUMBER(IFERROR(BDP(D7&amp;" BEST Curncy","PX_LAST")+0,"")),"BDP live","none"))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IF(AND(ISNUMBER(E8),E8&gt;0),E8,IFERROR(BDP(D8&amp;" BEST Curncy","PX_LAST")+0,IFERROR(BDP(D8&amp;" BEST Curncy","PX_MID")+0,0)))</f>
        <v/>
      </c>
      <c r="G8" s="36">
        <f>(F8/10000)/(1-CDS_Parameters!$B$8)</f>
        <v/>
      </c>
      <c r="H8" s="93">
        <f>IF(AND(ISNUMBER(E8),E8&gt;0),"OVERRIDE",IF(ISNUMBER(IFERROR(BDP(D8&amp;" BEST Curncy","PX_LAST")+0,"")),"BDP live","none"))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IF(AND(ISNUMBER(E9),E9&gt;0),E9,IFERROR(BDP(D9&amp;" BEST Curncy","PX_LAST")+0,IFERROR(BDP(D9&amp;" BEST Curncy","PX_MID")+0,0)))</f>
        <v/>
      </c>
      <c r="G9" s="36">
        <f>(F9/10000)/(1-CDS_Parameters!$B$8)</f>
        <v/>
      </c>
      <c r="H9" s="93">
        <f>IF(AND(ISNUMBER(E9),E9&gt;0),"OVERRIDE",IF(ISNUMBER(IFERROR(BDP(D9&amp;" BEST Curncy","PX_LAST")+0,"")),"BDP live","none"))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IF(AND(ISNUMBER(E10),E10&gt;0),E10,IFERROR(BDP(D10&amp;" BEST Curncy","PX_LAST")+0,IFERROR(BDP(D10&amp;" BEST Curncy","PX_MID")+0,0)))</f>
        <v/>
      </c>
      <c r="G10" s="36">
        <f>(F10/10000)/(1-CDS_Parameters!$B$8)</f>
        <v/>
      </c>
      <c r="H10" s="93">
        <f>IF(AND(ISNUMBER(E10),E10&gt;0),"OVERRIDE",IF(ISNUMBER(IFERROR(BDP(D10&amp;" BEST Curncy","PX_LAST")+0,"")),"BDP live","none"))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IF(AND(ISNUMBER(E11),E11&gt;0),E11,IFERROR(BDP(D11&amp;" BEST Curncy","PX_LAST")+0,IFERROR(BDP(D11&amp;" BEST Curncy","PX_MID")+0,0)))</f>
        <v/>
      </c>
      <c r="G11" s="36">
        <f>(F11/10000)/(1-CDS_Parameters!$B$8)</f>
        <v/>
      </c>
      <c r="H11" s="93">
        <f>IF(AND(ISNUMBER(E11),E11&gt;0),"OVERRIDE",IF(ISNUMBER(IFERROR(BDP(D11&amp;" BEST Curncy","PX_LAST")+0,"")),"BDP live","none"))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IF(AND(ISNUMBER(E12),E12&gt;0),E12,IFERROR(BDP(D12&amp;" BEST Curncy","PX_LAST")+0,IFERROR(BDP(D12&amp;" BEST Curncy","PX_MID")+0,0)))</f>
        <v/>
      </c>
      <c r="G12" s="36">
        <f>(F12/10000)/(1-CDS_Parameters!$B$8)</f>
        <v/>
      </c>
      <c r="H12" s="93">
        <f>IF(AND(ISNUMBER(E12),E12&gt;0),"OVERRIDE",IF(ISNUMBER(IFERROR(BDP(D12&amp;" BEST Curncy","PX_LAST")+0,"")),"BDP live","none"))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177" t="inlineStr">
        <is>
          <t>Col E takes a manual spread when the pull is unavailable. Col H reports which source each tenor is using, live or manual.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  <c r="N6" s="165">
        <f>IF(ISERROR(CDS_StripIterations()),"Hazards read #N/A because CDSStrip.bas is not imported, or the file is still .xlsx","VBA loaded. #N/A below would mean a quote that will not strip, see Model_Notes p.9")</f>
        <v/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P4" s="177" t="inlineStr">
        <is>
          <t>Period 1 accrues from the 1st accrual start (previous IMM, adjusted), not from the valuation date. CDSW does the same and rebates the accrued via (3.2).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CDS_Parameters!$B$23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  <c r="N20" s="66">
        <f>IFERROR(CDS_RiskLoaded(),"CDSRisk.bas NOT imported")</f>
        <v/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  <c r="N27" s="177" t="inlineStr">
        <is>
          <t>If N20 says loaded but O22:O25 are blank, the call itself is failing - not the module. Delete the IFERROR wrapper on O22 to see the real error.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IF($B$27="","",IF($B$9="Buy protection",1,-1)*$B$27/$B$4*100)</f>
        <v/>
      </c>
      <c r="C31" s="177" t="inlineStr">
        <is>
          <t>Principal / notional. From (3.2), not (S-C)*RPV01.</t>
        </is>
      </c>
    </row>
    <row r="32">
      <c r="A32" s="67" t="inlineStr">
        <is>
          <t>Price</t>
        </is>
      </c>
      <c r="B32" s="71">
        <f>IF($B$31="","",100-$B$31)</f>
        <v/>
      </c>
      <c r="C32" s="177" t="inlineStr">
        <is>
          <t>100 - points upfront.</t>
        </is>
      </c>
    </row>
    <row r="33">
      <c r="A33" s="94" t="inlineStr">
        <is>
          <t>Principal</t>
        </is>
      </c>
      <c r="B33" s="103">
        <f>IF($B$27="","",IF($B$9="Buy protection",1,-1)*$B$27)</f>
        <v/>
      </c>
      <c r="C33" s="177" t="inlineStr">
        <is>
          <t>Upfront (3.2) = Market Value / D(T_s) + Accrued Interest.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IF(OR($B$33="",$B$35=""),"",$B$33+$B$35)</f>
        <v/>
      </c>
      <c r="C36" s="177" t="inlineStr">
        <is>
          <t>Principal + accrued.</t>
        </is>
      </c>
    </row>
    <row r="37">
      <c r="A37" s="94" t="inlineStr">
        <is>
          <t>Default Exposure</t>
        </is>
      </c>
      <c r="B37" s="103">
        <f>IF($B$33="","",(1-$B$5)*$B$4-$B$33)</f>
        <v/>
      </c>
      <c r="C37" s="177" t="inlineStr">
        <is>
          <t>(1-R) * notional less the principal already paid.</t>
        </is>
      </c>
    </row>
    <row r="38">
      <c r="A38" s="177" t="inlineStr">
        <is>
          <t>CDSW order. Principal is (3.2) end to end: Market Value / D(T_s) + Accrued Interest, compounded to settlement three business days on. The (S-C)*RPV01 shortcut drops the -S*AI term and the compounding.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The SOFR curve can be validated against S490. The credit curve cannot - Bloomberg exports no hazard curve, so only the priced outputs can be compared.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n"/>
    </row>
    <row r="17">
      <c r="A17" s="177" t="inlineStr">
        <is>
          <t>One row per name. Identity columns read from Entities. H:M take manual spreads, AF:AQ the two-step BDP pull, AR:AW what the strip actually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2026-07-22T15:52:42Z</dcterms:modified>
</cp:coreProperties>
</file>