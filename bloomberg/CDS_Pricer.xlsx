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209" t="inlineStr">
        <is>
          <t>Blank template. Enter a ticker, or add names and spreads on Entities. Notional, coupon, recovery, tenor and direction below are conventions, not data - overtype as needed.</t>
        </is>
      </c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n"/>
      <c r="C5" s="209" t="inlineStr">
        <is>
          <t>type a Bloomberg ticker here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n"/>
      <c r="B13" s="215" t="n"/>
      <c r="C13" s="212" t="n"/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209" t="inlineStr">
        <is>
          <t>has spreads</t>
        </is>
      </c>
      <c r="D14" s="11">
        <f>SUM(CDS_Quotes!$F$7:$F$12)&gt;0</f>
        <v/>
      </c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IF(NOT(SUM(CDS_Quotes!$F$7:$F$12)&gt;0),"none",IF(COUNTIF(CDS_Quotes!$H$7:$H$12,"BDP live")&gt;0,COUNTIF(CDS_Quotes!$H$7:$H$12,"BDP live")&amp;" of 6 live","manual"))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IF(NOT(SUM(CDS_Quotes!$F$7:$F$12)&gt;0),"nothing to strip yet",IF(MAX(ABS(Hazard_Bootstrap!$J$7:$J$12))&lt;0.01,"reprices, max err "&amp;TEXT(MAX(ABS(Hazard_Bootstrap!$J$7:$J$12)),"0.00E+00")&amp;" bp","STRIP FAILED - check the quotes, see Model_Notes p.9"))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IF(NOT(SUM(CDS_Quotes!$F$7:$F$12)&gt;0),"",CDS_Pricer!$B$15)</f>
        <v/>
      </c>
      <c r="C20" s="209" t="inlineStr">
        <is>
          <t>blank until spreads are entered</t>
        </is>
      </c>
      <c r="D20" s="11" t="n"/>
      <c r="E20" s="11" t="n"/>
      <c r="F20" s="11" t="n"/>
    </row>
    <row r="21">
      <c r="A21" s="212" t="inlineStr">
        <is>
          <t>Points upfront</t>
        </is>
      </c>
      <c r="B21" s="170">
        <f>IF(NOT(SUM(CDS_Quotes!$F$7:$F$12)&gt;0),"",CDS_Pricer!$B$31)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IF(NOT(SUM(CDS_Quotes!$F$7:$F$12)&gt;0),"",CDS_Pricer!$B$32)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IF(NOT(SUM(CDS_Quotes!$F$7:$F$12)&gt;0),"",CDS_Pricer!$B$33)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IF(NOT(SUM(CDS_Quotes!$F$7:$F$12)&gt;0),"",CDS_Pricer!$B$34)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IF(NOT(SUM(CDS_Quotes!$F$7:$F$12)&gt;0),"",CDS_Pricer!$B$35)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IF(NOT(SUM(CDS_Quotes!$F$7:$F$12)&gt;0),"",CDS_Pricer!$B$36)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IF(NOT(SUM(CDS_Quotes!$F$7:$F$12)&gt;0),"",CDS_Pricer!$B$37)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IF(NOT(SUM(CDS_Quotes!$F$7:$F$12)&gt;0),"",CDS_Pricer!$B$22)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IF(NOT(SUM(CDS_Quotes!$F$7:$F$12)&gt;0),"",CDS_Pricer!$B$23)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IF(NOT(SUM(CDS_Quotes!$F$7:$F$12)&gt;0),"",CDS_Pricer!$B$24)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IF(NOT(SUM(CDS_Quotes!$F$7:$F$12)&gt;0),"",CDS_Pricer!$B$25)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No external validation of the credit curve: Bloomberg exports no hazard curve (Help Desk H#1330731572). The SOFR curve can be checked against S490; the strip cannot.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n"/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/>
      <c r="B7" s="178" t="n"/>
      <c r="C7" s="178" t="n"/>
      <c r="D7" s="178" t="n"/>
      <c r="E7" s="181" t="n"/>
      <c r="F7" s="182" t="n"/>
      <c r="G7" s="182" t="n"/>
      <c r="H7" s="182" t="n"/>
      <c r="I7" s="182" t="n"/>
      <c r="J7" s="182" t="n"/>
      <c r="K7" s="182" t="n"/>
      <c r="L7" s="178" t="n"/>
      <c r="M7" s="178" t="n"/>
      <c r="N7" s="181" t="n"/>
    </row>
    <row r="8">
      <c r="A8" s="178" t="n"/>
      <c r="B8" s="178" t="n"/>
      <c r="C8" s="178" t="n"/>
      <c r="D8" s="178" t="n"/>
      <c r="E8" s="181" t="n"/>
      <c r="F8" s="182" t="n"/>
      <c r="G8" s="182" t="n"/>
      <c r="H8" s="182" t="n"/>
      <c r="I8" s="182" t="n"/>
      <c r="J8" s="182" t="n"/>
      <c r="K8" s="182" t="n"/>
      <c r="L8" s="178" t="n"/>
      <c r="M8" s="178" t="n"/>
      <c r="N8" s="181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177" t="inlineStr">
        <is>
          <t>T + 3 business days (p.7).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177" t="inlineStr">
        <is>
          <t>Col E takes a manual spread when the pull is unavailable. Col H reports which source each tenor is using, live or manual.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CDSStrip.CDS_StripHazard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J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INFERRED, not confirmed by the paper. A capture with non-zero accrued would settle it.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Notional, coupon, maturity and traded spread there are context, not compared.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  <row r="51">
      <c r="A51" s="190" t="inlineStr">
        <is>
          <t>Spread DV01</t>
        </is>
      </c>
      <c r="B51" s="180">
        <f>IFERROR(INDEX(CDS_Entities!$Y$5:$Y$14,CDS_Parameters!$B$28),"")</f>
        <v/>
      </c>
      <c r="C51" s="180">
        <f>B22</f>
        <v/>
      </c>
      <c r="D51" s="180">
        <f>IF(OR(B51="",NOT(ISNUMBER(B51))),"",C51-B51)</f>
        <v/>
      </c>
    </row>
    <row r="52">
      <c r="A52" s="190" t="inlineStr">
        <is>
          <t>IR DV01</t>
        </is>
      </c>
      <c r="B52" s="180">
        <f>IFERROR(INDEX(CDS_Entities!$Z$5:$Z$14,CDS_Parameters!$B$28),"")</f>
        <v/>
      </c>
      <c r="C52" s="180">
        <f>B23</f>
        <v/>
      </c>
      <c r="D52" s="180">
        <f>IF(OR(B52="",NOT(ISNUMBER(B52))),"",C52-B52)</f>
        <v/>
      </c>
    </row>
    <row r="53">
      <c r="A53" s="190" t="inlineStr">
        <is>
          <t>Rec risk 1%</t>
        </is>
      </c>
      <c r="B53" s="180">
        <f>IFERROR(INDEX(CDS_Entities!$AA$5:$AA$14,CDS_Parameters!$B$28),"")</f>
        <v/>
      </c>
      <c r="C53" s="180">
        <f>B24</f>
        <v/>
      </c>
      <c r="D53" s="180">
        <f>IF(OR(B53="",NOT(ISNUMBER(B53))),"",C53-B53)</f>
        <v/>
      </c>
    </row>
    <row r="54">
      <c r="A54" s="190" t="inlineStr">
        <is>
          <t>Prob 5Y (1-Q)</t>
        </is>
      </c>
      <c r="B54" s="180">
        <f>IFERROR(INDEX(CDS_Entities!$AC$5:$AC$14,CDS_Parameters!$B$28),"")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The SOFR curve can be validated against S490. The credit curve cannot - Bloomberg exports no hazard curve, so only the priced outputs can be compared.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/>
      <c r="H5" s="64" t="n"/>
      <c r="I5" s="64" t="n"/>
      <c r="J5" s="64" t="n"/>
      <c r="K5" s="64" t="n"/>
      <c r="L5" s="64" t="n"/>
      <c r="M5" s="64" t="n"/>
      <c r="O5" s="118" t="n"/>
      <c r="P5" s="64" t="n"/>
      <c r="Q5" s="111" t="n"/>
      <c r="R5" s="64" t="n"/>
      <c r="S5" s="148" t="n"/>
      <c r="T5" s="148" t="n"/>
      <c r="U5" s="118" t="n"/>
      <c r="V5" s="95" t="n"/>
      <c r="W5" s="118" t="n"/>
      <c r="X5" s="118" t="n"/>
      <c r="Y5" s="118" t="n"/>
      <c r="Z5" s="118" t="n"/>
      <c r="AA5" s="118" t="n"/>
      <c r="AB5" s="118" t="n"/>
      <c r="AC5" s="64" t="n"/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n"/>
    </row>
    <row r="17">
      <c r="A17" s="177" t="inlineStr">
        <is>
          <t>One row per name. Identity columns read from Entities. H:M take manual spreads, AF:AQ the two-step BDP pull, AR:AW what the strip actually uses.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2026-07-22T14:29:17Z</dcterms:modified>
</cp:coreProperties>
</file>