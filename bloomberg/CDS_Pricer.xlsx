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Curves" sheetId="2" state="visible" r:id="rId2"/>
    <sheet xmlns:r="http://schemas.openxmlformats.org/officeDocument/2006/relationships" name="Model_Notes" sheetId="3" state="visible" r:id="rId3"/>
    <sheet xmlns:r="http://schemas.openxmlformats.org/officeDocument/2006/relationships" name="Root_Methods" sheetId="4" state="visible" r:id="rId4"/>
    <sheet xmlns:r="http://schemas.openxmlformats.org/officeDocument/2006/relationships" name="Brent_vs_Bisection" sheetId="5" state="visible" r:id="rId5"/>
    <sheet xmlns:r="http://schemas.openxmlformats.org/officeDocument/2006/relationships" name="Curve_Interface" sheetId="6" state="visible" r:id="rId6"/>
    <sheet xmlns:r="http://schemas.openxmlformats.org/officeDocument/2006/relationships" name="CDS_Entities" sheetId="7" state="visible" r:id="rId7"/>
    <sheet xmlns:r="http://schemas.openxmlformats.org/officeDocument/2006/relationships" name="CDS_Parameters" sheetId="8" state="visible" r:id="rId8"/>
    <sheet xmlns:r="http://schemas.openxmlformats.org/officeDocument/2006/relationships" name="CDS_Quotes" sheetId="9" state="visible" r:id="rId9"/>
    <sheet xmlns:r="http://schemas.openxmlformats.org/officeDocument/2006/relationships" name="Hazard_Bootstrap" sheetId="10" state="visible" r:id="rId10"/>
    <sheet xmlns:r="http://schemas.openxmlformats.org/officeDocument/2006/relationships" name="Hazard_Solver" sheetId="11" state="hidden" r:id="rId11"/>
    <sheet xmlns:r="http://schemas.openxmlformats.org/officeDocument/2006/relationships" name="CDS_Schedule" sheetId="12" state="visible" r:id="rId12"/>
    <sheet xmlns:r="http://schemas.openxmlformats.org/officeDocument/2006/relationships" name="CDS_Pricer" sheetId="13" state="visible" r:id="rId13"/>
    <sheet xmlns:r="http://schemas.openxmlformats.org/officeDocument/2006/relationships" name="CDS_Validation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2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7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inlineStr">
        <is>
          <t>DEMO curve (not market)</t>
        </is>
      </c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F5" s="177" t="n"/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</row>
    <row r="7">
      <c r="A7" s="178" t="n">
        <v>1</v>
      </c>
      <c r="B7" s="178" t="inlineStr">
        <is>
          <t>China CITIC Bank Intl</t>
        </is>
      </c>
      <c r="C7" s="178" t="n"/>
      <c r="D7" s="178" t="inlineStr">
        <is>
          <t>USD</t>
        </is>
      </c>
      <c r="E7" s="181" t="n"/>
      <c r="F7" s="182" t="n"/>
      <c r="G7" s="182" t="n"/>
      <c r="H7" s="182" t="n"/>
      <c r="I7" s="182" t="n"/>
      <c r="J7" s="182" t="n"/>
      <c r="K7" s="182" t="n"/>
    </row>
    <row r="8">
      <c r="A8" s="178" t="n">
        <v>1</v>
      </c>
      <c r="B8" s="178" t="inlineStr">
        <is>
          <t>DEMO curve (not market)</t>
        </is>
      </c>
      <c r="C8" s="178" t="n"/>
      <c r="D8" s="178" t="inlineStr">
        <is>
          <t>USD</t>
        </is>
      </c>
      <c r="E8" s="181" t="n"/>
      <c r="F8" s="182" t="n"/>
      <c r="G8" s="182" t="n"/>
      <c r="H8" s="182" t="n"/>
      <c r="I8" s="182" t="n"/>
      <c r="J8" s="182" t="n"/>
      <c r="K8" s="182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 Hazard_Solver here is bisection.</t>
        </is>
      </c>
    </row>
    <row r="4">
      <c r="A4" s="177" t="inlineStr">
        <is>
          <t>Needs CDSBrent.bas and CDSRootFinders.bas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Needs</t>
        </is>
      </c>
      <c r="E6" s="188" t="inlineStr">
        <is>
          <t>Bracketed</t>
        </is>
      </c>
      <c r="F6" s="188" t="inlineStr">
        <is>
          <t>5Y hazard</t>
        </is>
      </c>
      <c r="G6" s="188" t="inlineStr">
        <is>
          <t>its</t>
        </is>
      </c>
      <c r="H6" s="188" t="inlineStr">
        <is>
          <t>|f(root)|</t>
        </is>
      </c>
      <c r="I6" s="188" t="inlineStr">
        <is>
          <t>vs baseline</t>
        </is>
      </c>
      <c r="J6" s="188" t="inlineStr">
        <is>
          <t>Note</t>
        </is>
      </c>
    </row>
    <row r="7">
      <c r="A7" s="189" t="inlineStr">
        <is>
          <t>BISECTION</t>
        </is>
      </c>
      <c r="B7" s="189" t="inlineStr">
        <is>
          <t>bracketing</t>
        </is>
      </c>
      <c r="C7" s="190" t="inlineStr">
        <is>
          <t>linear (halves)</t>
        </is>
      </c>
      <c r="D7" s="190" t="inlineStr">
        <is>
          <t>no</t>
        </is>
      </c>
      <c r="E7" s="190" t="inlineStr">
        <is>
          <t>yes, always</t>
        </is>
      </c>
      <c r="F7" s="191">
        <f>IFERROR(CDS_Root("BISECTION",Hazard_Solver!$D$136,Hazard_Solver!$F$136,Hazard_Solver!$B$137,Hazard_Solver!$D$137,Hazard_Solver!$F$137,CDS_Parameters!$B$26,Hazard_Solver!$F$139:$U$139,Hazard_Solver!$F$143:$U$143,Hazard_Solver!$F$141:$U$141,Hazard_Solver!$F$142:$U$142),"module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7" s="180">
        <f>IFERROR(CDS_RootIterations(),"")</f>
        <v/>
      </c>
      <c r="H7" s="192">
        <f>IFERROR(ABS(CDS_Objective(F7,Hazard_Solver!$D$136,Hazard_Solver!$F$136,Hazard_Solver!$B$137,Hazard_Solver!$D$137,Hazard_Solver!$F$137,CDS_Parameters!$B$26,Hazard_Solver!$F$139:$U$139,Hazard_Solver!$F$143:$U$143,Hazard_Solver!$F$141:$U$141,Hazard_Solver!$F$142:$U$142)),"")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7" s="192">
        <f>IF(ISNUMBER(F7),F7-Hazard_Solver!$B$175,"")</f>
        <v/>
      </c>
      <c r="J7" s="190" t="inlineStr">
        <is>
          <t>The safe floor. Cannot fail once bracketed, but pays for it - ~52 steps to machine precision.</t>
        </is>
      </c>
    </row>
    <row r="8">
      <c r="A8" s="190" t="inlineStr">
        <is>
          <t>FALSE POSITION</t>
        </is>
      </c>
      <c r="B8" s="190" t="inlineStr">
        <is>
          <t>bracketing</t>
        </is>
      </c>
      <c r="C8" s="190" t="inlineStr">
        <is>
          <t>super-linear</t>
        </is>
      </c>
      <c r="D8" s="190" t="inlineStr">
        <is>
          <t>no</t>
        </is>
      </c>
      <c r="E8" s="190" t="inlineStr">
        <is>
          <t>yes, always</t>
        </is>
      </c>
      <c r="F8" s="191">
        <f>IFERROR(CDS_Root("FALSE POSITION",Hazard_Solver!$D$136,Hazard_Solver!$F$136,Hazard_Solver!$B$137,Hazard_Solver!$D$137,Hazard_Solver!$F$137,CDS_Parameters!$B$26,Hazard_Solver!$F$139:$U$139,Hazard_Solver!$F$143:$U$143,Hazard_Solver!$F$141:$U$141,Hazard_Solver!$F$142:$U$142),"module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8" s="180">
        <f>IFERROR(CDS_RootIterations(),"")</f>
        <v/>
      </c>
      <c r="H8" s="192">
        <f>IFERROR(ABS(CDS_Objective(F8,Hazard_Solver!$D$136,Hazard_Solver!$F$136,Hazard_Solver!$B$137,Hazard_Solver!$D$137,Hazard_Solver!$F$137,CDS_Parameters!$B$26,Hazard_Solver!$F$139:$U$139,Hazard_Solver!$F$143:$U$143,Hazard_Solver!$F$141:$U$141,Hazard_Solver!$F$142:$U$142)),"")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8" s="192">
        <f>IF(ISNUMBER(F8),F8-Hazard_Solver!$B$175,"")</f>
        <v/>
      </c>
      <c r="J8" s="190" t="inlineStr">
        <is>
          <t>Keeps a bracket like bisection but interpolates. Can stall when one end stays fixed.</t>
        </is>
      </c>
    </row>
    <row r="9">
      <c r="A9" s="190" t="inlineStr">
        <is>
          <t>SECANT</t>
        </is>
      </c>
      <c r="B9" s="190" t="inlineStr">
        <is>
          <t>open</t>
        </is>
      </c>
      <c r="C9" s="190" t="inlineStr">
        <is>
          <t>~1.618</t>
        </is>
      </c>
      <c r="D9" s="190" t="inlineStr">
        <is>
          <t>no</t>
        </is>
      </c>
      <c r="E9" s="190" t="inlineStr">
        <is>
          <t>no</t>
        </is>
      </c>
      <c r="F9" s="191">
        <f>IFERROR(CDS_Root("SECANT",Hazard_Solver!$D$136,Hazard_Solver!$F$136,Hazard_Solver!$B$137,Hazard_Solver!$D$137,Hazard_Solver!$F$137,CDS_Parameters!$B$26,Hazard_Solver!$F$139:$U$139,Hazard_Solver!$F$143:$U$143,Hazard_Solver!$F$141:$U$141,Hazard_Solver!$F$142:$U$142),"module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9" s="180">
        <f>IFERROR(CDS_RootIterations(),"")</f>
        <v/>
      </c>
      <c r="H9" s="192">
        <f>IFERROR(ABS(CDS_Objective(F9,Hazard_Solver!$D$136,Hazard_Solver!$F$136,Hazard_Solver!$B$137,Hazard_Solver!$D$137,Hazard_Solver!$F$137,CDS_Parameters!$B$26,Hazard_Solver!$F$139:$U$139,Hazard_Solver!$F$143:$U$143,Hazard_Solver!$F$141:$U$141,Hazard_Solver!$F$142:$U$142)),"")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9" s="192">
        <f>IF(ISNUMBER(F9),F9-Hazard_Solver!$B$175,"")</f>
        <v/>
      </c>
      <c r="J9" s="190" t="inlineStr">
        <is>
          <t>Newton without a derivative, using the secant of the last two points. No bracket, so it can leave the domain.</t>
        </is>
      </c>
    </row>
    <row r="10">
      <c r="A10" s="190" t="inlineStr">
        <is>
          <t>NEWTON</t>
        </is>
      </c>
      <c r="B10" s="190" t="inlineStr">
        <is>
          <t>open</t>
        </is>
      </c>
      <c r="C10" s="190" t="inlineStr">
        <is>
          <t>2 (quadratic)</t>
        </is>
      </c>
      <c r="D10" s="190" t="inlineStr">
        <is>
          <t>f'</t>
        </is>
      </c>
      <c r="E10" s="190" t="inlineStr">
        <is>
          <t>no</t>
        </is>
      </c>
      <c r="F10" s="191">
        <f>IFERROR(CDS_Root("NEWTON",Hazard_Solver!$D$136,Hazard_Solver!$F$136,Hazard_Solver!$B$137,Hazard_Solver!$D$137,Hazard_Solver!$F$137,CDS_Parameters!$B$26,Hazard_Solver!$F$139:$U$139,Hazard_Solver!$F$143:$U$143,Hazard_Solver!$F$141:$U$141,Hazard_Solver!$F$142:$U$142),"module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0" s="180">
        <f>IFERROR(CDS_RootIterations(),"")</f>
        <v/>
      </c>
      <c r="H10" s="192">
        <f>IFERROR(ABS(CDS_Objective(F10,Hazard_Solver!$D$136,Hazard_Solver!$F$136,Hazard_Solver!$B$137,Hazard_Solver!$D$137,Hazard_Solver!$F$137,CDS_Parameters!$B$26,Hazard_Solver!$F$139:$U$139,Hazard_Solver!$F$143:$U$143,Hazard_Solver!$F$141:$U$141,Hazard_Solver!$F$142:$U$142)),"")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0" s="192">
        <f>IF(ISNUMBER(F10),F10-Hazard_Solver!$B$175,"")</f>
        <v/>
      </c>
      <c r="J10" s="190" t="inlineStr">
        <is>
          <t>Householder d=1. Derivative is analytic here - dQ/dh = -cum*Q - so no bumping.</t>
        </is>
      </c>
    </row>
    <row r="11">
      <c r="A11" s="190" t="inlineStr">
        <is>
          <t>HALLEY</t>
        </is>
      </c>
      <c r="B11" s="190" t="inlineStr">
        <is>
          <t>open</t>
        </is>
      </c>
      <c r="C11" s="190" t="inlineStr">
        <is>
          <t>3 (cubic)</t>
        </is>
      </c>
      <c r="D11" s="190" t="inlineStr">
        <is>
          <t>f', f''</t>
        </is>
      </c>
      <c r="E11" s="190" t="inlineStr">
        <is>
          <t>no</t>
        </is>
      </c>
      <c r="F11" s="191">
        <f>IFERROR(CDS_Root("HALLEY",Hazard_Solver!$D$136,Hazard_Solver!$F$136,Hazard_Solver!$B$137,Hazard_Solver!$D$137,Hazard_Solver!$F$137,CDS_Parameters!$B$26,Hazard_Solver!$F$139:$U$139,Hazard_Solver!$F$143:$U$143,Hazard_Solver!$F$141:$U$141,Hazard_Solver!$F$142:$U$142),"module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1" s="180">
        <f>IFERROR(CDS_RootIterations(),"")</f>
        <v/>
      </c>
      <c r="H11" s="192">
        <f>IFERROR(ABS(CDS_Objective(F11,Hazard_Solver!$D$136,Hazard_Solver!$F$136,Hazard_Solver!$B$137,Hazard_Solver!$D$137,Hazard_Solver!$F$137,CDS_Parameters!$B$26,Hazard_Solver!$F$139:$U$139,Hazard_Solver!$F$143:$U$143,Hazard_Solver!$F$141:$U$141,Hazard_Solver!$F$142:$U$142)),"")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1" s="192">
        <f>IF(ISNUMBER(F11),F11-Hazard_Solver!$B$175,"")</f>
        <v/>
      </c>
      <c r="J11" s="190" t="inlineStr">
        <is>
          <t>Householder d=2. Second derivative also analytic: d2Q/dh2 = cum^2*Q.</t>
        </is>
      </c>
    </row>
    <row r="12">
      <c r="A12" s="190" t="inlineStr">
        <is>
          <t>HOUSEHOLDER</t>
        </is>
      </c>
      <c r="B12" s="190" t="inlineStr">
        <is>
          <t>open</t>
        </is>
      </c>
      <c r="C12" s="190" t="inlineStr">
        <is>
          <t>d+1</t>
        </is>
      </c>
      <c r="D12" s="190" t="inlineStr">
        <is>
          <t>f' ... f^(d)</t>
        </is>
      </c>
      <c r="E12" s="190" t="inlineStr">
        <is>
          <t>no</t>
        </is>
      </c>
      <c r="F12" s="191">
        <f>IFERROR(CDS_Root("HOUSEHOLDER",Hazard_Solver!$D$136,Hazard_Solver!$F$136,Hazard_Solver!$B$137,Hazard_Solver!$D$137,Hazard_Solver!$F$137,CDS_Parameters!$B$26,Hazard_Solver!$F$139:$U$139,Hazard_Solver!$F$143:$U$143,Hazard_Solver!$F$141:$U$141,Hazard_Solver!$F$142:$U$142),"module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2" s="180">
        <f>IFERROR(CDS_RootIterations(),"")</f>
        <v/>
      </c>
      <c r="H12" s="192">
        <f>IFERROR(ABS(CDS_Objective(F12,Hazard_Solver!$D$136,Hazard_Solver!$F$136,Hazard_Solver!$B$137,Hazard_Solver!$D$137,Hazard_Solver!$F$137,CDS_Parameters!$B$26,Hazard_Solver!$F$139:$U$139,Hazard_Solver!$F$143:$U$143,Hazard_Solver!$F$141:$U$141,Hazard_Solver!$F$142:$U$142)),"")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2" s="192">
        <f>IF(ISNUMBER(F12),F12-Hazard_Solver!$B$175,"")</f>
        <v/>
      </c>
      <c r="J12" s="190" t="inlineStr">
        <is>
          <t>General order d. d=1 reduces to Newton and d=2 to Halley, the M2 identity.</t>
        </is>
      </c>
    </row>
    <row r="13">
      <c r="A13" s="190" t="inlineStr">
        <is>
          <t>RIDDERS</t>
        </is>
      </c>
      <c r="B13" s="190" t="inlineStr">
        <is>
          <t>bracketing hybrid</t>
        </is>
      </c>
      <c r="C13" s="190" t="inlineStr">
        <is>
          <t>hybrid</t>
        </is>
      </c>
      <c r="D13" s="190" t="inlineStr">
        <is>
          <t>no</t>
        </is>
      </c>
      <c r="E13" s="190" t="inlineStr">
        <is>
          <t>yes, always</t>
        </is>
      </c>
      <c r="F13" s="191">
        <f>IFERROR(CDS_Root("RIDDERS",Hazard_Solver!$D$136,Hazard_Solver!$F$136,Hazard_Solver!$B$137,Hazard_Solver!$D$137,Hazard_Solver!$F$137,CDS_Parameters!$B$26,Hazard_Solver!$F$139:$U$139,Hazard_Solver!$F$143:$U$143,Hazard_Solver!$F$141:$U$141,Hazard_Solver!$F$142:$U$142),"module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3" s="180">
        <f>IFERROR(CDS_RootIterations(),"")</f>
        <v/>
      </c>
      <c r="H13" s="192">
        <f>IFERROR(ABS(CDS_Objective(F13,Hazard_Solver!$D$136,Hazard_Solver!$F$136,Hazard_Solver!$B$137,Hazard_Solver!$D$137,Hazard_Solver!$F$137,CDS_Parameters!$B$26,Hazard_Solver!$F$139:$U$139,Hazard_Solver!$F$143:$U$143,Hazard_Solver!$F$141:$U$141,Hazard_Solver!$F$142:$U$142)),"")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3" s="192">
        <f>IF(ISNUMBER(F13),F13-Hazard_Solver!$B$175,"")</f>
        <v/>
      </c>
      <c r="J13" s="190" t="inlineStr">
        <is>
          <t>Bisection plus exponential interpolation. Keeps the bracket and converges fast.</t>
        </is>
      </c>
    </row>
    <row r="14">
      <c r="A14" s="190" t="inlineStr">
        <is>
          <t>BRENT</t>
        </is>
      </c>
      <c r="B14" s="190" t="inlineStr">
        <is>
          <t>bracketing hybrid</t>
        </is>
      </c>
      <c r="C14" s="190" t="inlineStr">
        <is>
          <t>hybrid</t>
        </is>
      </c>
      <c r="D14" s="190" t="inlineStr">
        <is>
          <t>no</t>
        </is>
      </c>
      <c r="E14" s="190" t="inlineStr">
        <is>
          <t>yes, always</t>
        </is>
      </c>
      <c r="F14" s="191">
        <f>IFERROR(CDS_Root("BRENT",Hazard_Solver!$D$136,Hazard_Solver!$F$136,Hazard_Solver!$B$137,Hazard_Solver!$D$137,Hazard_Solver!$F$137,CDS_Parameters!$B$26,Hazard_Solver!$F$139:$U$139,Hazard_Solver!$F$143:$U$143,Hazard_Solver!$F$141:$U$141,Hazard_Solver!$F$142:$U$142),"module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4" s="180">
        <f>IFERROR(CDS_RootIterations(),"")</f>
        <v/>
      </c>
      <c r="H14" s="192">
        <f>IFERROR(ABS(CDS_Objective(F14,Hazard_Solver!$D$136,Hazard_Solver!$F$136,Hazard_Solver!$B$137,Hazard_Solver!$D$137,Hazard_Solver!$F$137,CDS_Parameters!$B$26,Hazard_Solver!$F$139:$U$139,Hazard_Solver!$F$143:$U$143,Hazard_Solver!$F$141:$U$141,Hazard_Solver!$F$142:$U$142)),"")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4" s="192">
        <f>IF(ISNUMBER(F14),F14-Hazard_Solver!$B$175,"")</f>
        <v/>
      </c>
      <c r="J14" s="190" t="inlineStr">
        <is>
          <t>IQI, falling back to secant, falling back to bisection. Bisection's guarantee at near-secant speed.</t>
        </is>
      </c>
    </row>
    <row r="16">
      <c r="A16" s="67" t="inlineStr">
        <is>
          <t>Spread of the eight roots (max - min)</t>
        </is>
      </c>
      <c r="F16" s="193">
        <f>IF(COUNT(F7:F14)=0,"module not loaded",MAX(F7:F14)-MIN(F7:F14))</f>
        <v/>
      </c>
      <c r="G16" s="177" t="inlineStr">
        <is>
          <t>they solve the same equation, so this is the real check</t>
        </is>
      </c>
    </row>
    <row r="18">
      <c r="A18" s="67" t="inlineStr">
        <is>
          <t>Measured on the 5Y objective (quarterly, R=40%, S=95bp), tolerance 1e-15</t>
        </is>
      </c>
    </row>
    <row r="19">
      <c r="A19" s="183" t="inlineStr">
        <is>
          <t>Method</t>
        </is>
      </c>
      <c r="B19" s="183" t="inlineStr">
        <is>
          <t>iters</t>
        </is>
      </c>
      <c r="C19" s="183" t="inlineStr">
        <is>
          <t>|root - scipy.brentq|</t>
        </is>
      </c>
      <c r="D19" s="183" t="inlineStr">
        <is>
          <t>|f(root)|</t>
        </is>
      </c>
    </row>
    <row r="20">
      <c r="A20" s="190" t="inlineStr">
        <is>
          <t>bisection</t>
        </is>
      </c>
      <c r="B20" s="190" t="n">
        <v>52</v>
      </c>
      <c r="C20" s="190" t="inlineStr">
        <is>
          <t>5.0e-16</t>
        </is>
      </c>
      <c r="D20" s="190" t="inlineStr">
        <is>
          <t>1.3e-15</t>
        </is>
      </c>
    </row>
    <row r="21">
      <c r="A21" s="190" t="inlineStr">
        <is>
          <t>false position</t>
        </is>
      </c>
      <c r="B21" s="190" t="n">
        <v>12</v>
      </c>
      <c r="C21" s="190" t="inlineStr">
        <is>
          <t>2.4e-17</t>
        </is>
      </c>
      <c r="D21" s="190" t="inlineStr">
        <is>
          <t>6.9e-17</t>
        </is>
      </c>
    </row>
    <row r="22">
      <c r="A22" s="190" t="inlineStr">
        <is>
          <t>secant</t>
        </is>
      </c>
      <c r="B22" s="190" t="n">
        <v>13</v>
      </c>
      <c r="C22" s="190" t="inlineStr">
        <is>
          <t>3.5e-18</t>
        </is>
      </c>
      <c r="D22" s="190" t="inlineStr">
        <is>
          <t>1.4e-17</t>
        </is>
      </c>
    </row>
    <row r="23">
      <c r="A23" s="190" t="inlineStr">
        <is>
          <t>Newton (d=1)</t>
        </is>
      </c>
      <c r="B23" s="190" t="n">
        <v>6</v>
      </c>
      <c r="C23" s="190" t="inlineStr">
        <is>
          <t>6.9e-18</t>
        </is>
      </c>
      <c r="D23" s="190" t="inlineStr">
        <is>
          <t>1.4e-17</t>
        </is>
      </c>
    </row>
    <row r="24">
      <c r="A24" s="190" t="inlineStr">
        <is>
          <t>Halley (d=2)</t>
        </is>
      </c>
      <c r="B24" s="190" t="n">
        <v>6</v>
      </c>
      <c r="C24" s="190" t="inlineStr">
        <is>
          <t>3.5e-18</t>
        </is>
      </c>
      <c r="D24" s="190" t="inlineStr">
        <is>
          <t>1.4e-17</t>
        </is>
      </c>
    </row>
    <row r="25">
      <c r="A25" s="190" t="inlineStr">
        <is>
          <t>Householder d=3</t>
        </is>
      </c>
      <c r="B25" s="190" t="n">
        <v>6</v>
      </c>
      <c r="C25" s="190" t="inlineStr">
        <is>
          <t>3.5e-18</t>
        </is>
      </c>
      <c r="D25" s="190" t="inlineStr">
        <is>
          <t>1.4e-17</t>
        </is>
      </c>
    </row>
    <row r="26">
      <c r="A26" s="190" t="inlineStr">
        <is>
          <t>Ridders</t>
        </is>
      </c>
      <c r="B26" s="190" t="n">
        <v>5</v>
      </c>
      <c r="C26" s="190" t="inlineStr">
        <is>
          <t>2.1e-17</t>
        </is>
      </c>
      <c r="D26" s="190" t="inlineStr">
        <is>
          <t>3.5e-17</t>
        </is>
      </c>
    </row>
    <row r="27">
      <c r="A27" s="190" t="inlineStr">
        <is>
          <t>Brent</t>
        </is>
      </c>
      <c r="B27" s="190" t="n">
        <v>9</v>
      </c>
      <c r="C27" s="190" t="inlineStr">
        <is>
          <t>1.4e-17</t>
        </is>
      </c>
      <c r="D27" s="190" t="inlineStr">
        <is>
          <t>1.4e-17</t>
        </is>
      </c>
    </row>
    <row r="29">
      <c r="A29" s="67" t="inlineStr">
        <is>
          <t>Results</t>
        </is>
      </c>
    </row>
    <row r="30">
      <c r="A30" s="126" t="inlineStr">
        <is>
          <t>All eight agree to ~1e-16. Method is a cost choice here, not an accuracy one.</t>
        </is>
      </c>
    </row>
    <row r="31">
      <c r="A31" s="126" t="inlineStr">
        <is>
          <t>Bisection: 52 steps. Newton: 6. That is the cost of ignoring the shape of f.</t>
        </is>
      </c>
    </row>
    <row r="32">
      <c r="A32" s="126" t="inlineStr">
        <is>
          <t>Halley and Householder d=3 do not beat Newton here: 6 iterations each. f is near-linear in h at the root,</t>
        </is>
      </c>
    </row>
    <row r="33">
      <c r="A33" s="177" t="inlineStr">
        <is>
          <t xml:space="preserve">    so the extra order is spent before tolerance is reached.</t>
        </is>
      </c>
    </row>
    <row r="34">
      <c r="A34" s="126" t="inlineStr">
        <is>
          <t>Ridders is fastest at 5. But secant, Newton and Halley can all leave the domain on a bad start;</t>
        </is>
      </c>
    </row>
    <row r="35">
      <c r="A35" s="177" t="inlineStr">
        <is>
          <t xml:space="preserve">    bracketing methods cannot. The strip must never return h &lt; 0 (p.8), so the guarantee outranks the speed.</t>
        </is>
      </c>
    </row>
    <row r="36">
      <c r="A36" s="126" t="inlineStr">
        <is>
          <t>If nothing converges, suspect the quote. See the p.9 strippability check on Model_Notes.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</t>
        </is>
      </c>
    </row>
    <row r="2">
      <c r="A2" s="65" t="inlineStr">
        <is>
          <t>Same objective (3.3), same inputs. Only the root-finder differs. Eight methods on Root_Methods.</t>
        </is>
      </c>
    </row>
    <row r="3">
      <c r="A3" s="66" t="inlineStr">
        <is>
          <t>Import CDSBrent.bas (Alt+F11 &gt; File &gt; Import File), save as .xlsm. Until then col D reads 'module not loaded'.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wins on the numbers: 8-13 iterations to machine precision vs 30 fixed halvings, residual ~1e-17 vs ~1e-9.</t>
        </is>
      </c>
    </row>
    <row r="31">
      <c r="A31" s="65" t="inlineStr">
        <is>
          <t>It would return ~3,600 cells and a faster recalc. It costs the visible working and forces .xlsm.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Functional gain worth taking: Brent returns #NUM! on an unbracketed quote. Bisection returns a bracket end that looks like an answer. See Model_Notes, p.9.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186" t="n">
        <v>46224</v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drives every date on the CDS sheets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 t="n"/>
      <c r="E7" s="68" t="n"/>
      <c r="F7" s="147" t="n">
        <v>0.4</v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 t="n"/>
      <c r="E8" s="68" t="n"/>
      <c r="F8" s="147" t="n">
        <v>0.4</v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 t="n"/>
      <c r="E9" s="68" t="n"/>
      <c r="F9" s="147" t="n">
        <v>0.4</v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 t="n"/>
      <c r="E10" s="68" t="n"/>
      <c r="F10" s="147" t="n">
        <v>0.4</v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 t="n"/>
      <c r="E11" s="68" t="n"/>
      <c r="F11" s="147" t="n">
        <v>0.4</v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 t="n"/>
      <c r="E12" s="68" t="n"/>
      <c r="F12" s="147" t="n">
        <v>0.4</v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 t="n"/>
      <c r="E13" s="68" t="n"/>
      <c r="F13" s="147" t="n">
        <v>0.4</v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 t="n"/>
      <c r="E14" s="68" t="n"/>
      <c r="F14" s="147" t="n">
        <v>0.4</v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>
        <f>IF(Entities!$F$4="","",Entities!$F$4)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1Y: periods 1-4   -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2Y: periods 5-8   -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3Y: periods 9-12   -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5Y: periods 13-20   -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7Y: periods 21-28   -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10Y: periods 29-40   -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2026-07-22T13:04:38Z</dcterms:modified>
</cp:coreProperties>
</file>