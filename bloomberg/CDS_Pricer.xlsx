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comments/comment6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eps" sheetId="1" state="visible" r:id="rId1"/>
    <sheet xmlns:r="http://schemas.openxmlformats.org/officeDocument/2006/relationships" name="Entities" sheetId="2" state="visible" r:id="rId2"/>
    <sheet xmlns:r="http://schemas.openxmlformats.org/officeDocument/2006/relationships" name="CDS_Parameters" sheetId="3" state="visible" r:id="rId3"/>
    <sheet xmlns:r="http://schemas.openxmlformats.org/officeDocument/2006/relationships" name="Curve_Interface" sheetId="4" state="visible" r:id="rId4"/>
    <sheet xmlns:r="http://schemas.openxmlformats.org/officeDocument/2006/relationships" name="CDS_Quotes" sheetId="5" state="visible" r:id="rId5"/>
    <sheet xmlns:r="http://schemas.openxmlformats.org/officeDocument/2006/relationships" name="Hazard_Bootstrap" sheetId="6" state="visible" r:id="rId6"/>
    <sheet xmlns:r="http://schemas.openxmlformats.org/officeDocument/2006/relationships" name="CDS_Schedule" sheetId="7" state="visible" r:id="rId7"/>
    <sheet xmlns:r="http://schemas.openxmlformats.org/officeDocument/2006/relationships" name="CDS_Pricer" sheetId="8" state="visible" r:id="rId8"/>
    <sheet xmlns:r="http://schemas.openxmlformats.org/officeDocument/2006/relationships" name="Curves" sheetId="9" state="visible" r:id="rId9"/>
    <sheet xmlns:r="http://schemas.openxmlformats.org/officeDocument/2006/relationships" name="CDS_Validation" sheetId="10" state="visible" r:id="rId10"/>
    <sheet xmlns:r="http://schemas.openxmlformats.org/officeDocument/2006/relationships" name="Model_Notes" sheetId="11" state="visible" r:id="rId11"/>
    <sheet xmlns:r="http://schemas.openxmlformats.org/officeDocument/2006/relationships" name="Brent_vs_Bisection" sheetId="12" state="visible" r:id="rId12"/>
    <sheet xmlns:r="http://schemas.openxmlformats.org/officeDocument/2006/relationships" name="Root_Methods" sheetId="13" state="visible" r:id="rId13"/>
    <sheet xmlns:r="http://schemas.openxmlformats.org/officeDocument/2006/relationships" name="CDS_Entities" sheetId="14" state="visible" r:id="rId14"/>
  </sheets>
  <definedNames>
    <definedName name="VAL_DATE">Curve_Interface!$O$5</definedName>
  </definedNames>
  <calcPr calcId="124519" fullCalcOnLoad="1" iterate="1" iterateCount="100" iterateDelta="1e-10"/>
</workbook>
</file>

<file path=xl/styles.xml><?xml version="1.0" encoding="utf-8"?>
<styleSheet xmlns="http://schemas.openxmlformats.org/spreadsheetml/2006/main">
  <numFmts count="13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  <numFmt numFmtId="170" formatCode="0.000"/>
    <numFmt numFmtId="171" formatCode="0.0000000000"/>
    <numFmt numFmtId="172" formatCode="0.00000"/>
    <numFmt numFmtId="173" formatCode="mm/dd/yy"/>
    <numFmt numFmtId="174" formatCode="0.###"/>
    <numFmt numFmtId="175" formatCode="$#,##0;($#,##0);-"/>
    <numFmt numFmtId="176" formatCode="0.000000000"/>
  </numFmts>
  <fonts count="33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  <font>
      <name val="Calibri"/>
      <b val="1"/>
      <sz val="11"/>
    </font>
    <font>
      <name val="Calibri"/>
      <color rgb="000000FF"/>
      <sz val="11"/>
    </font>
    <font>
      <name val="Calibri"/>
      <i val="1"/>
      <color rgb="00666666"/>
      <sz val="9"/>
    </font>
    <font>
      <name val="Calibri"/>
      <sz val="11"/>
    </font>
    <font>
      <name val="Calibri"/>
      <b val="1"/>
      <color rgb="00C00000"/>
      <sz val="10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i val="1"/>
      <color rgb="00C00000"/>
      <sz val="9"/>
    </font>
    <font>
      <name val="Calibri"/>
      <b val="1"/>
      <sz val="12"/>
    </font>
    <font>
      <name val="Calibri"/>
      <b val="1"/>
      <color rgb="001F3864"/>
      <sz val="11"/>
    </font>
    <font>
      <name val="Calibri"/>
      <sz val="10"/>
    </font>
    <font>
      <name val="Consolas"/>
      <sz val="10"/>
    </font>
    <font>
      <name val="Calibri"/>
      <b val="1"/>
      <color rgb="00FFFFFF"/>
      <sz val="10"/>
    </font>
    <font>
      <name val="Consolas"/>
      <sz val="9"/>
    </font>
    <font>
      <name val="Calibri"/>
      <b val="1"/>
      <color rgb="00C00000"/>
      <sz val="11"/>
    </font>
    <font>
      <name val="Calibri"/>
      <i val="1"/>
      <color rgb="00808080"/>
      <sz val="9"/>
    </font>
    <font>
      <name val="Calibri"/>
      <b val="1"/>
      <sz val="14"/>
    </font>
    <font>
      <name val="Calibri"/>
      <color rgb="00808080"/>
      <sz val="9"/>
    </font>
    <font>
      <name val="Calibri"/>
      <b val="1"/>
      <sz val="13"/>
    </font>
    <font>
      <name val="Calibri"/>
      <color rgb="00FF0000"/>
      <sz val="11"/>
    </font>
    <font>
      <name val="Calibri"/>
      <color rgb="00008000"/>
      <sz val="10"/>
    </font>
    <font>
      <name val="Calibri"/>
      <b val="1"/>
      <sz val="15"/>
    </font>
  </fonts>
  <fills count="13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2E7D32"/>
      </patternFill>
    </fill>
    <fill>
      <patternFill patternType="solid">
        <fgColor rgb="006A1B9A"/>
      </patternFill>
    </fill>
    <fill>
      <patternFill patternType="solid">
        <fgColor rgb="00C00000"/>
      </patternFill>
    </fill>
    <fill>
      <patternFill patternType="solid">
        <fgColor rgb="007B1FA2"/>
      </patternFill>
    </fill>
    <fill>
      <patternFill patternType="solid">
        <fgColor rgb="004472C4"/>
      </patternFill>
    </fill>
    <fill>
      <patternFill patternType="solid">
        <fgColor rgb="00E2EFDA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66" fontId="0" fillId="0" borderId="0" pivotButton="0" quotePrefix="0" xfId="0"/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" fontId="0" fillId="0" borderId="0" pivotButton="0" quotePrefix="0" xfId="0"/>
    <xf numFmtId="165" fontId="0" fillId="0" borderId="0" pivotButton="0" quotePrefix="0" xfId="0"/>
    <xf numFmtId="168" fontId="3" fillId="0" borderId="1" pivotButton="0" quotePrefix="0" xfId="0"/>
    <xf numFmtId="1" fontId="0" fillId="2" borderId="0" pivotButton="0" quotePrefix="0" xfId="0"/>
    <xf numFmtId="166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1" fontId="3" fillId="0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7" fillId="0" borderId="0" applyAlignment="1" pivotButton="0" quotePrefix="0" xfId="0">
      <alignment vertical="top" wrapText="1"/>
    </xf>
    <xf numFmtId="164" fontId="0" fillId="0" borderId="0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  <xf numFmtId="9" fontId="3" fillId="2" borderId="1" pivotButton="0" quotePrefix="0" xfId="0"/>
    <xf numFmtId="167" fontId="3" fillId="2" borderId="1" pivotButton="0" quotePrefix="0" xfId="0"/>
    <xf numFmtId="169" fontId="3" fillId="2" borderId="1" pivotButton="0" quotePrefix="0" xfId="0"/>
    <xf numFmtId="17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170" fontId="10" fillId="0" borderId="1" pivotButton="0" quotePrefix="0" xfId="0"/>
    <xf numFmtId="168" fontId="0" fillId="0" borderId="0" pivotButton="0" quotePrefix="0" xfId="0"/>
    <xf numFmtId="0" fontId="11" fillId="3" borderId="2" pivotButton="0" quotePrefix="0" xfId="0"/>
    <xf numFmtId="165" fontId="14" fillId="0" borderId="2" pivotButton="0" quotePrefix="0" xfId="0"/>
    <xf numFmtId="165" fontId="12" fillId="4" borderId="2" pivotButton="0" quotePrefix="0" xfId="0"/>
    <xf numFmtId="0" fontId="13" fillId="0" borderId="0" pivotButton="0" quotePrefix="0" xfId="0"/>
    <xf numFmtId="0" fontId="15" fillId="0" borderId="0" pivotButton="0" quotePrefix="0" xfId="0"/>
    <xf numFmtId="0" fontId="11" fillId="0" borderId="0" pivotButton="0" quotePrefix="0" xfId="0"/>
    <xf numFmtId="0" fontId="12" fillId="4" borderId="2" pivotButton="0" quotePrefix="0" xfId="0"/>
    <xf numFmtId="168" fontId="12" fillId="4" borderId="2" pivotButton="0" quotePrefix="0" xfId="0"/>
    <xf numFmtId="0" fontId="13" fillId="0" borderId="0" applyAlignment="1" pivotButton="0" quotePrefix="0" xfId="0">
      <alignment vertical="top" wrapText="1"/>
    </xf>
    <xf numFmtId="166" fontId="14" fillId="2" borderId="2" pivotButton="0" quotePrefix="0" xfId="0"/>
    <xf numFmtId="11" fontId="14" fillId="0" borderId="2" pivotButton="0" quotePrefix="0" xfId="0"/>
    <xf numFmtId="0" fontId="16" fillId="5" borderId="0" pivotButton="0" quotePrefix="0" xfId="0"/>
    <xf numFmtId="0" fontId="0" fillId="5" borderId="0" pivotButton="0" quotePrefix="0" xfId="0"/>
    <xf numFmtId="165" fontId="17" fillId="0" borderId="2" pivotButton="0" quotePrefix="0" xfId="0"/>
    <xf numFmtId="166" fontId="14" fillId="0" borderId="2" pivotButton="0" quotePrefix="0" xfId="0"/>
    <xf numFmtId="10" fontId="17" fillId="0" borderId="2" pivotButton="0" quotePrefix="0" xfId="0"/>
    <xf numFmtId="0" fontId="14" fillId="0" borderId="2" applyAlignment="1" pivotButton="0" quotePrefix="0" xfId="0">
      <alignment horizontal="center"/>
    </xf>
    <xf numFmtId="168" fontId="17" fillId="0" borderId="2" pivotButton="0" quotePrefix="0" xfId="0"/>
    <xf numFmtId="168" fontId="14" fillId="0" borderId="2" pivotButton="0" quotePrefix="0" xfId="0"/>
    <xf numFmtId="171" fontId="14" fillId="2" borderId="2" pivotButton="0" quotePrefix="0" xfId="0"/>
    <xf numFmtId="171" fontId="17" fillId="0" borderId="2" pivotButton="0" quotePrefix="0" xfId="0"/>
    <xf numFmtId="171" fontId="14" fillId="0" borderId="2" pivotButton="0" quotePrefix="0" xfId="0"/>
    <xf numFmtId="172" fontId="14" fillId="0" borderId="2" pivotButton="0" quotePrefix="0" xfId="0"/>
    <xf numFmtId="172" fontId="12" fillId="4" borderId="2" pivotButton="0" quotePrefix="0" xfId="0"/>
    <xf numFmtId="173" fontId="14" fillId="0" borderId="2" pivotButton="0" quotePrefix="0" xfId="0"/>
    <xf numFmtId="0" fontId="14" fillId="2" borderId="2" pivotButton="0" quotePrefix="0" xfId="0"/>
    <xf numFmtId="173" fontId="12" fillId="4" borderId="2" pivotButton="0" quotePrefix="0" xfId="0"/>
    <xf numFmtId="2" fontId="14" fillId="0" borderId="2" pivotButton="0" quotePrefix="0" xfId="0"/>
    <xf numFmtId="170" fontId="14" fillId="2" borderId="2" pivotButton="0" quotePrefix="0" xfId="0"/>
    <xf numFmtId="11" fontId="14" fillId="2" borderId="2" pivotButton="0" quotePrefix="0" xfId="0"/>
    <xf numFmtId="0" fontId="11" fillId="3" borderId="2" applyAlignment="1" pivotButton="0" quotePrefix="0" xfId="0">
      <alignment horizontal="center" vertical="center" wrapText="1"/>
    </xf>
    <xf numFmtId="0" fontId="14" fillId="0" borderId="2" pivotButton="0" quotePrefix="0" xfId="0"/>
    <xf numFmtId="0" fontId="14" fillId="0" borderId="0" pivotButton="0" quotePrefix="0" xfId="0"/>
    <xf numFmtId="1" fontId="12" fillId="4" borderId="2" pivotButton="0" quotePrefix="0" xfId="0"/>
    <xf numFmtId="174" fontId="12" fillId="4" borderId="2" pivotButton="0" quotePrefix="0" xfId="0"/>
    <xf numFmtId="172" fontId="14" fillId="2" borderId="2" pivotButton="0" quotePrefix="0" xfId="0"/>
    <xf numFmtId="0" fontId="18" fillId="0" borderId="0" pivotButton="0" quotePrefix="0" xfId="0"/>
    <xf numFmtId="172" fontId="14" fillId="4" borderId="2" pivotButton="0" quotePrefix="0" xfId="0"/>
    <xf numFmtId="172" fontId="13" fillId="4" borderId="2" pivotButton="0" quotePrefix="0" xfId="0"/>
    <xf numFmtId="173" fontId="7" fillId="0" borderId="0" applyAlignment="1" pivotButton="0" quotePrefix="0" xfId="0">
      <alignment vertical="top" wrapText="1"/>
    </xf>
    <xf numFmtId="173" fontId="0" fillId="0" borderId="0" pivotButton="0" quotePrefix="0" xfId="0"/>
    <xf numFmtId="175" fontId="14" fillId="0" borderId="2" pivotButton="0" quotePrefix="0" xfId="0"/>
    <xf numFmtId="1" fontId="14" fillId="0" borderId="2" pivotButton="0" quotePrefix="0" xfId="0"/>
    <xf numFmtId="175" fontId="14" fillId="2" borderId="2" pivotButton="0" quotePrefix="0" xfId="0"/>
    <xf numFmtId="0" fontId="11" fillId="0" borderId="2" pivotButton="0" quotePrefix="0" xfId="0"/>
    <xf numFmtId="172" fontId="0" fillId="0" borderId="0" pivotButton="0" quotePrefix="0" xfId="0"/>
    <xf numFmtId="2" fontId="0" fillId="0" borderId="2" pivotButton="0" quotePrefix="0" xfId="0"/>
    <xf numFmtId="0" fontId="0" fillId="2" borderId="2" pivotButton="0" quotePrefix="0" xfId="0"/>
    <xf numFmtId="170" fontId="0" fillId="2" borderId="2" pivotButton="0" quotePrefix="0" xfId="0"/>
    <xf numFmtId="164" fontId="12" fillId="4" borderId="2" pivotButton="0" quotePrefix="0" xfId="0"/>
    <xf numFmtId="164" fontId="14" fillId="0" borderId="2" pivotButton="0" quotePrefix="0" xfId="0"/>
    <xf numFmtId="164" fontId="14" fillId="0" borderId="1" pivotButton="0" quotePrefix="0" xfId="0"/>
    <xf numFmtId="168" fontId="14" fillId="0" borderId="1" pivotButton="0" quotePrefix="0" xfId="0"/>
    <xf numFmtId="166" fontId="14" fillId="0" borderId="1" pivotButton="0" quotePrefix="0" xfId="0"/>
    <xf numFmtId="4" fontId="14" fillId="0" borderId="1" pivotButton="0" quotePrefix="0" xfId="0"/>
    <xf numFmtId="168" fontId="14" fillId="2" borderId="2" pivotButton="0" quotePrefix="0" xfId="0"/>
    <xf numFmtId="4" fontId="12" fillId="4" borderId="2" pivotButton="0" quotePrefix="0" xfId="0"/>
    <xf numFmtId="4" fontId="14" fillId="2" borderId="2" pivotButton="0" quotePrefix="0" xfId="0"/>
    <xf numFmtId="4" fontId="14" fillId="0" borderId="2" pivotButton="0" quotePrefix="0" xfId="0"/>
    <xf numFmtId="2" fontId="12" fillId="4" borderId="2" pivotButton="0" quotePrefix="0" xfId="0"/>
    <xf numFmtId="2" fontId="14" fillId="2" borderId="2" pivotButton="0" quotePrefix="0" xfId="0"/>
    <xf numFmtId="0" fontId="19" fillId="0" borderId="0" pivotButton="0" quotePrefix="0" xfId="0"/>
    <xf numFmtId="0" fontId="20" fillId="3" borderId="0" pivotButton="0" quotePrefix="0" xfId="0"/>
    <xf numFmtId="0" fontId="13" fillId="3" borderId="0" pivotButton="0" quotePrefix="0" xfId="0"/>
    <xf numFmtId="0" fontId="21" fillId="0" borderId="0" pivotButton="0" quotePrefix="0" xfId="0"/>
    <xf numFmtId="0" fontId="22" fillId="0" borderId="0" pivotButton="0" quotePrefix="0" xfId="0"/>
    <xf numFmtId="164" fontId="14" fillId="2" borderId="2" pivotButton="0" quotePrefix="0" xfId="0"/>
    <xf numFmtId="166" fontId="17" fillId="2" borderId="2" pivotButton="0" quotePrefix="0" xfId="0"/>
    <xf numFmtId="1" fontId="14" fillId="2" borderId="2" pivotButton="0" quotePrefix="0" xfId="0"/>
    <xf numFmtId="165" fontId="14" fillId="0" borderId="1" pivotButton="0" quotePrefix="0" xfId="0"/>
    <xf numFmtId="0" fontId="14" fillId="0" borderId="1" pivotButton="0" quotePrefix="0" xfId="0"/>
    <xf numFmtId="165" fontId="14" fillId="2" borderId="2" pivotButton="0" quotePrefix="0" xfId="0"/>
    <xf numFmtId="164" fontId="12" fillId="4" borderId="2" applyAlignment="1" pivotButton="0" quotePrefix="0" xfId="0">
      <alignment horizontal="center" vertical="center"/>
    </xf>
    <xf numFmtId="0" fontId="18" fillId="0" borderId="0" applyAlignment="1" pivotButton="0" quotePrefix="0" xfId="0">
      <alignment vertical="top" wrapText="1"/>
    </xf>
    <xf numFmtId="0" fontId="20" fillId="3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23" fillId="5" borderId="0" applyAlignment="1" pivotButton="0" quotePrefix="0" xfId="0">
      <alignment horizontal="center" vertical="center" wrapText="1"/>
    </xf>
    <xf numFmtId="0" fontId="23" fillId="5" borderId="2" applyAlignment="1" pivotButton="0" quotePrefix="0" xfId="0">
      <alignment horizontal="center" vertical="center" wrapText="1"/>
    </xf>
    <xf numFmtId="168" fontId="3" fillId="0" borderId="1" applyAlignment="1" pivotButton="0" quotePrefix="0" xfId="0">
      <alignment horizontal="center" vertical="center"/>
    </xf>
    <xf numFmtId="164" fontId="23" fillId="5" borderId="1" applyAlignment="1" pivotButton="0" quotePrefix="0" xfId="0">
      <alignment horizontal="center" vertical="center" wrapText="1"/>
    </xf>
    <xf numFmtId="166" fontId="23" fillId="5" borderId="1" applyAlignment="1" pivotButton="0" quotePrefix="0" xfId="0">
      <alignment horizontal="center" vertical="center" wrapText="1"/>
    </xf>
    <xf numFmtId="0" fontId="23" fillId="6" borderId="2" applyAlignment="1" pivotButton="0" quotePrefix="0" xfId="0">
      <alignment horizontal="center" vertical="center" wrapText="1"/>
    </xf>
    <xf numFmtId="0" fontId="23" fillId="7" borderId="2" applyAlignment="1" pivotButton="0" quotePrefix="0" xfId="0">
      <alignment horizontal="center" vertical="center" wrapText="1"/>
    </xf>
    <xf numFmtId="10" fontId="12" fillId="4" borderId="2" pivotButton="0" quotePrefix="0" xfId="0"/>
    <xf numFmtId="166" fontId="12" fillId="4" borderId="2" pivotButton="0" quotePrefix="0" xfId="0"/>
    <xf numFmtId="10" fontId="14" fillId="2" borderId="2" pivotButton="0" quotePrefix="0" xfId="0"/>
    <xf numFmtId="0" fontId="13" fillId="2" borderId="2" pivotButton="0" quotePrefix="0" xfId="0"/>
    <xf numFmtId="0" fontId="23" fillId="8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23" fillId="9" borderId="2" applyAlignment="1" pivotButton="0" quotePrefix="0" xfId="0">
      <alignment horizontal="center" vertical="center" wrapText="1"/>
    </xf>
    <xf numFmtId="2" fontId="22" fillId="0" borderId="2" pivotButton="0" quotePrefix="0" xfId="0"/>
    <xf numFmtId="0" fontId="14" fillId="4" borderId="2" pivotButton="0" quotePrefix="0" xfId="0"/>
    <xf numFmtId="0" fontId="14" fillId="7" borderId="2" applyAlignment="1" pivotButton="0" quotePrefix="0" xfId="0">
      <alignment horizontal="center" vertical="center" wrapText="1"/>
    </xf>
    <xf numFmtId="164" fontId="14" fillId="4" borderId="2" pivotButton="0" quotePrefix="0" xfId="0"/>
    <xf numFmtId="168" fontId="14" fillId="4" borderId="2" pivotButton="0" quotePrefix="0" xfId="0"/>
    <xf numFmtId="0" fontId="11" fillId="7" borderId="2" applyAlignment="1" pivotButton="0" quotePrefix="0" xfId="0">
      <alignment horizontal="center" vertical="center" wrapText="1"/>
    </xf>
    <xf numFmtId="0" fontId="24" fillId="0" borderId="2" pivotButton="0" quotePrefix="0" xfId="0"/>
    <xf numFmtId="0" fontId="13" fillId="0" borderId="1" pivotButton="0" quotePrefix="0" xfId="0"/>
    <xf numFmtId="164" fontId="14" fillId="2" borderId="2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26" fillId="0" borderId="0" pivotButton="0" quotePrefix="0" xfId="0"/>
    <xf numFmtId="0" fontId="25" fillId="0" borderId="0" pivotButton="0" quotePrefix="0" xfId="0"/>
    <xf numFmtId="0" fontId="16" fillId="10" borderId="2" applyAlignment="1" pivotButton="0" quotePrefix="0" xfId="0">
      <alignment horizontal="center" wrapText="1"/>
    </xf>
    <xf numFmtId="172" fontId="17" fillId="11" borderId="2" pivotButton="0" quotePrefix="0" xfId="0"/>
    <xf numFmtId="164" fontId="17" fillId="11" borderId="2" pivotButton="0" quotePrefix="0" xfId="0"/>
    <xf numFmtId="166" fontId="17" fillId="11" borderId="2" pivotButton="0" quotePrefix="0" xfId="0"/>
    <xf numFmtId="165" fontId="17" fillId="11" borderId="2" pivotButton="0" quotePrefix="0" xfId="0"/>
    <xf numFmtId="168" fontId="14" fillId="11" borderId="2" pivotButton="0" quotePrefix="0" xfId="0"/>
    <xf numFmtId="170" fontId="14" fillId="0" borderId="2" pivotButton="0" quotePrefix="0" xfId="0"/>
    <xf numFmtId="0" fontId="27" fillId="0" borderId="0" pivotButton="0" quotePrefix="0" xfId="0"/>
    <xf numFmtId="0" fontId="16" fillId="10" borderId="2" pivotButton="0" quotePrefix="0" xfId="0"/>
    <xf numFmtId="0" fontId="24" fillId="2" borderId="2" pivotButton="0" quotePrefix="0" xfId="0"/>
    <xf numFmtId="0" fontId="29" fillId="0" borderId="0" pivotButton="0" quotePrefix="0" xfId="0"/>
    <xf numFmtId="0" fontId="28" fillId="0" borderId="0" pivotButton="0" quotePrefix="0" xfId="0"/>
    <xf numFmtId="0" fontId="12" fillId="2" borderId="2" pivotButton="0" quotePrefix="0" xfId="0"/>
    <xf numFmtId="0" fontId="23" fillId="10" borderId="2" applyAlignment="1" pivotButton="0" quotePrefix="0" xfId="0">
      <alignment horizontal="center"/>
    </xf>
    <xf numFmtId="0" fontId="0" fillId="0" borderId="2" pivotButton="0" quotePrefix="0" xfId="0"/>
    <xf numFmtId="2" fontId="12" fillId="2" borderId="2" pivotButton="0" quotePrefix="0" xfId="0"/>
    <xf numFmtId="167" fontId="12" fillId="2" borderId="2" pivotButton="0" quotePrefix="0" xfId="0"/>
    <xf numFmtId="0" fontId="23" fillId="10" borderId="2" pivotButton="0" quotePrefix="0" xfId="0"/>
    <xf numFmtId="0" fontId="17" fillId="0" borderId="2" pivotButton="0" quotePrefix="0" xfId="0"/>
    <xf numFmtId="167" fontId="17" fillId="0" borderId="2" pivotButton="0" quotePrefix="0" xfId="0"/>
    <xf numFmtId="164" fontId="12" fillId="2" borderId="2" pivotButton="0" quotePrefix="0" xfId="0"/>
    <xf numFmtId="0" fontId="28" fillId="0" borderId="2" pivotButton="0" quotePrefix="0" xfId="0"/>
    <xf numFmtId="0" fontId="23" fillId="10" borderId="2" applyAlignment="1" pivotButton="0" quotePrefix="0" xfId="0">
      <alignment horizontal="center" wrapText="1"/>
    </xf>
    <xf numFmtId="0" fontId="21" fillId="2" borderId="2" pivotButton="0" quotePrefix="0" xfId="0"/>
    <xf numFmtId="0" fontId="21" fillId="0" borderId="2" pivotButton="0" quotePrefix="0" xfId="0"/>
    <xf numFmtId="166" fontId="0" fillId="0" borderId="2" pivotButton="0" quotePrefix="0" xfId="0"/>
    <xf numFmtId="11" fontId="0" fillId="0" borderId="2" pivotButton="0" quotePrefix="0" xfId="0"/>
    <xf numFmtId="11" fontId="0" fillId="0" borderId="0" pivotButton="0" quotePrefix="0" xfId="0"/>
    <xf numFmtId="164" fontId="30" fillId="0" borderId="0" pivotButton="0" quotePrefix="0" xfId="0"/>
    <xf numFmtId="164" fontId="30" fillId="0" borderId="2" pivotButton="0" quotePrefix="0" xfId="0"/>
    <xf numFmtId="166" fontId="30" fillId="0" borderId="2" pivotButton="0" quotePrefix="0" xfId="0"/>
    <xf numFmtId="164" fontId="30" fillId="5" borderId="1" applyAlignment="1" pivotButton="0" quotePrefix="0" xfId="0">
      <alignment horizontal="center" vertical="center" wrapText="1"/>
    </xf>
    <xf numFmtId="166" fontId="30" fillId="5" borderId="1" applyAlignment="1" pivotButton="0" quotePrefix="0" xfId="0">
      <alignment horizontal="center" vertical="center" wrapText="1"/>
    </xf>
    <xf numFmtId="164" fontId="30" fillId="0" borderId="1" pivotButton="0" quotePrefix="0" xfId="0"/>
    <xf numFmtId="166" fontId="30" fillId="0" borderId="1" pivotButton="0" quotePrefix="0" xfId="0"/>
    <xf numFmtId="164" fontId="17" fillId="0" borderId="2" pivotButton="0" quotePrefix="0" xfId="0"/>
    <xf numFmtId="166" fontId="17" fillId="0" borderId="2" pivotButton="0" quotePrefix="0" xfId="0"/>
    <xf numFmtId="166" fontId="30" fillId="0" borderId="0" pivotButton="0" quotePrefix="0" xfId="0"/>
    <xf numFmtId="0" fontId="31" fillId="0" borderId="2" pivotButton="0" quotePrefix="0" xfId="0"/>
    <xf numFmtId="167" fontId="31" fillId="0" borderId="2" pivotButton="0" quotePrefix="0" xfId="0"/>
    <xf numFmtId="0" fontId="23" fillId="10" borderId="2" applyAlignment="1" pivotButton="0" quotePrefix="0" xfId="0">
      <alignment horizontal="left"/>
    </xf>
    <xf numFmtId="0" fontId="11" fillId="11" borderId="2" pivotButton="0" quotePrefix="0" xfId="0"/>
    <xf numFmtId="0" fontId="32" fillId="0" borderId="1" pivotButton="0" quotePrefix="0" xfId="0"/>
    <xf numFmtId="0" fontId="28" fillId="0" borderId="1" pivotButton="0" quotePrefix="0" xfId="0"/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21" fillId="0" borderId="1" pivotButton="0" quotePrefix="0" xfId="0"/>
    <xf numFmtId="49" fontId="12" fillId="4" borderId="2" pivotButton="0" quotePrefix="0" xfId="0"/>
    <xf numFmtId="3" fontId="12" fillId="4" borderId="2" pivotButton="0" quotePrefix="0" xfId="0"/>
    <xf numFmtId="0" fontId="11" fillId="0" borderId="1" pivotButton="0" quotePrefix="0" xfId="0"/>
    <xf numFmtId="3" fontId="17" fillId="11" borderId="2" pivotButton="0" quotePrefix="0" xfId="0"/>
    <xf numFmtId="1" fontId="17" fillId="11" borderId="2" pivotButton="0" quotePrefix="0" xfId="0"/>
    <xf numFmtId="0" fontId="15" fillId="0" borderId="1" pivotButton="0" quotePrefix="0" xfId="0"/>
    <xf numFmtId="9" fontId="17" fillId="2" borderId="1" pivotButton="0" quotePrefix="0" xfId="0"/>
    <xf numFmtId="3" fontId="17" fillId="2" borderId="1" pivotButton="0" quotePrefix="0" xfId="0"/>
    <xf numFmtId="1" fontId="17" fillId="2" borderId="1" pivotButton="0" quotePrefix="0" xfId="0"/>
    <xf numFmtId="0" fontId="17" fillId="2" borderId="1" pivotButton="0" quotePrefix="0" xfId="0"/>
    <xf numFmtId="0" fontId="17" fillId="4" borderId="2" pivotButton="0" quotePrefix="0" xfId="0"/>
    <xf numFmtId="164" fontId="17" fillId="2" borderId="2" pivotButton="0" quotePrefix="0" xfId="0"/>
    <xf numFmtId="0" fontId="23" fillId="10" borderId="2" applyAlignment="1" pivotButton="0" quotePrefix="0" xfId="0">
      <alignment horizontal="center" vertical="center" wrapText="1"/>
    </xf>
    <xf numFmtId="176" fontId="14" fillId="2" borderId="2" pivotButton="0" quotePrefix="0" xfId="0"/>
    <xf numFmtId="176" fontId="21" fillId="0" borderId="2" pivotButton="0" quotePrefix="0" xfId="0"/>
    <xf numFmtId="0" fontId="25" fillId="0" borderId="2" pivotButton="0" quotePrefix="0" xfId="0"/>
    <xf numFmtId="4" fontId="17" fillId="12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SOFR zero curve</a:t>
            </a:r>
          </a:p>
        </rich>
      </tx>
    </title>
    <plotArea>
      <scatterChart>
        <ser>
          <idx val="0"/>
          <order val="0"/>
          <tx>
            <strRef>
              <f>'Curves'!D5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'Curves'!$B$6:$B$70</f>
            </numRef>
          </xVal>
          <yVal>
            <numRef>
              <f>'Curves'!$D$6:$D$70</f>
            </numRef>
          </yVal>
          <smooth val="0"/>
        </ser>
        <axId val="10"/>
        <axId val="20"/>
      </scatterChart>
      <valAx>
        <axId val="1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5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numFmt formatCode="0.0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SOFR discount factors</a:t>
            </a:r>
          </a:p>
        </rich>
      </tx>
    </title>
    <plotArea>
      <scatterChart>
        <ser>
          <idx val="0"/>
          <order val="0"/>
          <tx>
            <strRef>
              <f>'Curves'!C5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'Curves'!$B$6:$B$70</f>
            </numRef>
          </xVal>
          <yVal>
            <numRef>
              <f>'Curves'!$C$6:$C$70</f>
            </numRef>
          </yVal>
          <smooth val="0"/>
        </ser>
        <axId val="10"/>
        <axId val="20"/>
      </scatterChart>
      <valAx>
        <axId val="1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5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D(0,t)</a:t>
                </a:r>
              </a:p>
            </rich>
          </tx>
        </title>
        <numFmt formatCode="0.0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SOFR zero curve - first 10 years</a:t>
            </a:r>
          </a:p>
        </rich>
      </tx>
    </title>
    <plotArea>
      <scatterChart>
        <ser>
          <idx val="0"/>
          <order val="0"/>
          <tx>
            <strRef>
              <f>'Curves'!D5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'Curves'!$B$6:$B$70</f>
            </numRef>
          </xVal>
          <yVal>
            <numRef>
              <f>'Curves'!$D$6:$D$70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numFmt formatCode="0.0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CDS term structure - market vs model</a:t>
            </a:r>
          </a:p>
        </rich>
      </tx>
    </title>
    <plotArea>
      <scatterChart>
        <ser>
          <idx val="0"/>
          <order val="0"/>
          <tx>
            <strRef>
              <f>'Curves'!B84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'Curves'!$B$85:$B$90</f>
            </numRef>
          </yVal>
          <smooth val="0"/>
        </ser>
        <ser>
          <idx val="1"/>
          <order val="1"/>
          <tx>
            <strRef>
              <f>'Curves'!C84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'Curves'!$C$85:$C$90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tenor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spread (bp)</a:t>
                </a:r>
              </a:p>
            </rich>
          </tx>
        </title>
        <numFmt formatCode="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CDSW view - credit curve vs traded spread</a:t>
            </a:r>
          </a:p>
        </rich>
      </tx>
    </title>
    <plotArea>
      <scatterChart>
        <ser>
          <idx val="0"/>
          <order val="0"/>
          <tx>
            <strRef>
              <f>'Curves'!B84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'Curves'!$B$85:$B$90</f>
            </numRef>
          </yVal>
          <smooth val="0"/>
        </ser>
        <ser>
          <idx val="1"/>
          <order val="1"/>
          <tx>
            <strRef>
              <f>'Curves'!C84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'Curves'!$C$85:$C$90</f>
            </numRef>
          </yVal>
          <smooth val="0"/>
        </ser>
        <ser>
          <idx val="2"/>
          <order val="2"/>
          <tx>
            <strRef>
              <f>'Curves'!E84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'Curves'!$E$85:$E$90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tenor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spread (bp)</a:t>
                </a:r>
              </a:p>
            </rich>
          </tx>
        </title>
        <numFmt formatCode="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Hazard rate (piecewise constant)</a:t>
            </a:r>
          </a:p>
        </rich>
      </tx>
    </title>
    <plotArea>
      <scatterChart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'Curves'!$A$100:$A$111</f>
            </numRef>
          </xVal>
          <yVal>
            <numRef>
              <f>'Curves'!$B$100:$B$111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hazard (%)</a:t>
                </a:r>
              </a:p>
            </rich>
          </tx>
        </title>
        <numFmt formatCode="0.00" sourceLinked="0"/>
        <majorTickMark val="out"/>
        <minorTickMark val="none"/>
        <tickLblPos val="nextTo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Survival Q(t)</a:t>
            </a:r>
          </a:p>
        </rich>
      </tx>
    </title>
    <plotArea>
      <scatterChart>
        <ser>
          <idx val="0"/>
          <order val="0"/>
          <tx>
            <strRef>
              <f>'Curves'!C74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'Curves'!$E$75:$E$80</f>
            </numRef>
          </xVal>
          <yVal>
            <numRef>
              <f>'Curves'!$C$75:$C$80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tenor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Q(t)</a:t>
                </a:r>
              </a:p>
            </rich>
          </tx>
        </title>
        <numFmt formatCode="0.0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Default probability 1 - Q(t)</a:t>
            </a:r>
          </a:p>
        </rich>
      </tx>
    </title>
    <plotArea>
      <scatterChart>
        <ser>
          <idx val="0"/>
          <order val="0"/>
          <tx>
            <strRef>
              <f>'Curves'!D74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'Curves'!$E$75:$E$80</f>
            </numRef>
          </xVal>
          <yVal>
            <numRef>
              <f>'Curves'!$D$75:$D$80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tenor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1 - Q(t)</a:t>
                </a:r>
              </a:p>
            </rich>
          </tx>
        </title>
        <numFmt formatCode="0.0%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B-Model white paper</author>
  </authors>
  <commentList>
    <comment ref="J7" authorId="0" shapeId="0">
      <text>
        <t>p.6 — since the IBOR to RFR transition the standard ISDA model, and the
B-Model in CDSW, discount USD off the SOFR RFR curve. That is what this grid is.</t>
      </text>
    </comment>
  </commentList>
</comments>
</file>

<file path=xl/comments/comment2.xml><?xml version="1.0" encoding="utf-8"?>
<comments xmlns="http://schemas.openxmlformats.org/spreadsheetml/2006/main">
  <authors>
    <author>B-Model white paper</author>
  </authors>
  <commentList>
    <comment ref="G7" authorId="0" shapeId="0">
      <text>
        <t>p.9 credit triangle — (1-R) p_d(T) ~= S*T for small p_d, giving h ~= S/(1-R).
Exact only for a flat curve; used here as a starting guess and a sanity check,
not as the answer.</t>
      </text>
    </comment>
  </commentList>
</comments>
</file>

<file path=xl/comments/comment3.xml><?xml version="1.0" encoding="utf-8"?>
<comments xmlns="http://schemas.openxmlformats.org/spreadsheetml/2006/main">
  <authors>
    <author>B-Model white paper</author>
  </authors>
  <commentList>
    <comment ref="D7" authorId="0" shapeId="0">
      <text>
        <t>Section 4, p.8 — sequential 1-D root-finding. h_1 is solved on [0, T_M1] to
match the first quote; each later h_i+1 is solved on (T_Mi, T_Mi+1] holding all
earlier hazards fixed. That is why this column is solved top-down, not jointly.</t>
      </text>
    </comment>
    <comment ref="E7" authorId="0" shapeId="0">
      <text>
        <t>p.8 — the hazard is the intensity of decline of survival. Default is a
terminating event, so p_s cannot increase and h &gt;= 0 is a hard constraint the
model cannot violate.</t>
      </text>
    </comment>
    <comment ref="J7" authorId="0" shapeId="0">
      <text>
        <t>Repricing error: model spread (3.3) minus the market quote. This is the
closure check on the strip - it must go to zero at every quoted maturity.</t>
      </text>
    </comment>
  </commentList>
</comments>
</file>

<file path=xl/comments/comment4.xml><?xml version="1.0" encoding="utf-8"?>
<comments xmlns="http://schemas.openxmlformats.org/spreadsheetml/2006/main">
  <authors>
    <author>B-Model white paper</author>
  </authors>
  <commentList>
    <comment ref="A6" authorId="0" shapeId="0">
      <text>
        <t>p.8 — one row per segment. Segments are short enough to justify constant
forward discounting and constant hazard, and never longer than a premium
accrual period, so (3.5) and (3.6) are analytic on each.</t>
      </text>
    </comment>
  </commentList>
</comments>
</file>

<file path=xl/comments/comment5.xml><?xml version="1.0" encoding="utf-8"?>
<comments xmlns="http://schemas.openxmlformats.org/spreadsheetml/2006/main">
  <authors>
    <author>B-Model white paper</author>
  </authors>
  <commentList>
    <comment ref="B5" authorId="0" shapeId="0">
      <text>
        <t>p.6 — the recovery rate is a model parameter, conventionally 40%, not an
observable. It sets the payout (1-R)A and feeds the credit triangle.</t>
      </text>
    </comment>
    <comment ref="B6" authorId="0" shapeId="0">
      <text>
        <t>p.6 — coupons are standardised to 100bp / 500bp for most names, ACT/360.
Overtype to price an off-market coupon.</t>
      </text>
    </comment>
    <comment ref="B8" authorId="0" shapeId="0">
      <text>
        <t>p.6 — accrual dates are IMM: 3/20, 6/20, 9/20, 12/20. Payment dates roll to the
next business day; the last accrual end date T_M does not roll.</t>
      </text>
    </comment>
    <comment ref="B12" authorId="0" shapeId="0">
      <text>
        <t>(3.4) coupons-in-survival + (3.5) accrued-on-default.
RPV01 is the premium leg per 1bp of coupon.</t>
      </text>
    </comment>
    <comment ref="B13" authorId="0" shapeId="0">
      <text>
        <t>(3.6)  Protection Leg = A(1-R) * INT_T^TM (-dp_s/dt) D(t) dt
p.8: the timeline is cut into segments short enough to treat the forward
discount rate and the hazard as constant, and no longer than a premium
accrual period. The integral is then analytic on each segment.</t>
      </text>
    </comment>
    <comment ref="B14" authorId="0" shapeId="0">
      <text>
        <t>(3.4)  Coupons-in-Survival = A * C * SUM delta(T_i-1,T_i) p_s(T_i) D(T_i)</t>
      </text>
    </comment>
    <comment ref="B15" authorId="0" shapeId="0">
      <text>
        <t>(3.3)  S = Protection Leg / (Premium Leg - Accrued Interest * D(T_s)) at C=1bp.
p.7: the par spread is the replacement spread, quoted in bp, expressed as the
protection leg over the premium leg net of accrued interest.</t>
      </text>
    </comment>
    <comment ref="B18" authorId="0" shapeId="0">
      <text>
        <t>(3.2)  Upfront = Market Value / D(T_s) + Accrued Interest.
p.7: quoted at the settlement date T_s, typically 3 business days after pricing,
so the market value is compounded from T to T_s. Identically 0 when C = S.</t>
      </text>
    </comment>
    <comment ref="B20" authorId="0" shapeId="0">
      <text>
        <t>(3.1)  Market Value = Protection Leg - Premium Leg, both discounted to the
pricing date T.</t>
      </text>
    </comment>
  </commentList>
</comments>
</file>

<file path=xl/comments/comment6.xml><?xml version="1.0" encoding="utf-8"?>
<comments xmlns="http://schemas.openxmlformats.org/spreadsheetml/2006/main">
  <authors>
    <author>B-Model white paper</author>
  </authors>
  <commentList>
    <comment ref="B7" authorId="0" shapeId="0">
      <text>
        <t>p.8 — h(t) &gt;= 0 is a hard model constraint, not a fitted outcome. A negative
hazard means the strip has failed, not that the name is unusual.</t>
      </text>
    </comment>
  </commentList>
</comments>
</file>

<file path=xl/comments/comment7.xml><?xml version="1.0" encoding="utf-8"?>
<comments xmlns="http://schemas.openxmlformats.org/spreadsheetml/2006/main">
  <authors>
    <author>B-Model</author>
  </authors>
  <commentList>
    <comment ref="A7" authorId="0" shapeId="0">
      <text>
        <t>This is what Hazard_Solver does in cells - 30 halvings per tenor. The baseline for the comparison.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21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7</col>
      <colOff>0</colOff>
      <row>39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7</col>
      <colOff>0</colOff>
      <row>57</row>
      <rowOff>0</rowOff>
    </from>
    <ext cx="6120000" cy="30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7</col>
      <colOff>0</colOff>
      <row>75</row>
      <rowOff>0</rowOff>
    </from>
    <ext cx="6120000" cy="30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7</col>
      <colOff>0</colOff>
      <row>93</row>
      <rowOff>0</rowOff>
    </from>
    <ext cx="6120000" cy="30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7</col>
      <colOff>0</colOff>
      <row>111</row>
      <rowOff>0</rowOff>
    </from>
    <ext cx="6120000" cy="306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7</col>
      <colOff>0</colOff>
      <row>129</row>
      <rowOff>0</rowOff>
    </from>
    <ext cx="6120000" cy="306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62" customWidth="1" min="3" max="3"/>
    <col width="50" customWidth="1" min="4" max="4"/>
  </cols>
  <sheetData>
    <row r="1">
      <c r="A1" s="208" t="inlineStr">
        <is>
          <t>CDS Pricer</t>
        </is>
      </c>
      <c r="B1" s="11" t="n"/>
      <c r="C1" s="11" t="n"/>
      <c r="D1" s="11" t="n"/>
      <c r="E1" s="11" t="n"/>
      <c r="F1" s="11" t="n"/>
    </row>
    <row r="2">
      <c r="A2" s="209" t="inlineStr">
        <is>
          <t>Put a ticker in the yellow box. Everything below follows: spreads pull, hazard strips, CDSW figures come out.</t>
        </is>
      </c>
      <c r="B2" s="11" t="n"/>
      <c r="C2" s="11" t="n"/>
      <c r="D2" s="11" t="n"/>
      <c r="E2" s="11" t="n"/>
      <c r="F2" s="11" t="n"/>
    </row>
    <row r="3">
      <c r="A3" s="209" t="inlineStr">
        <is>
          <t>Blank template. Enter a ticker, or add names and spreads on Entities. Notional, coupon, recovery, tenor and direction below are conventions, not data - overtype as needed.</t>
        </is>
      </c>
      <c r="B3" s="11" t="n"/>
      <c r="C3" s="11" t="n"/>
      <c r="D3" s="11" t="n"/>
      <c r="E3" s="11" t="n"/>
      <c r="F3" s="11" t="n"/>
    </row>
    <row r="4">
      <c r="A4" s="210" t="inlineStr">
        <is>
          <t>INPUTS</t>
        </is>
      </c>
      <c r="B4" s="211" t="n"/>
      <c r="C4" s="211" t="n"/>
      <c r="D4" s="211" t="n"/>
      <c r="E4" s="11" t="n"/>
      <c r="F4" s="11" t="n"/>
    </row>
    <row r="5">
      <c r="A5" s="212" t="inlineStr">
        <is>
          <t>Reference entity ticker</t>
        </is>
      </c>
      <c r="B5" s="213" t="n"/>
      <c r="C5" s="209" t="inlineStr">
        <is>
          <t>type a Bloomberg ticker here</t>
        </is>
      </c>
      <c r="D5" s="212" t="n"/>
      <c r="E5" s="11" t="n"/>
      <c r="F5" s="11" t="n"/>
    </row>
    <row r="6">
      <c r="A6" s="212" t="inlineStr">
        <is>
          <t>Notional</t>
        </is>
      </c>
      <c r="B6" s="214" t="n">
        <v>10000000</v>
      </c>
      <c r="C6" s="209" t="inlineStr"/>
      <c r="D6" s="212" t="n"/>
      <c r="E6" s="11" t="n"/>
      <c r="F6" s="11" t="n"/>
    </row>
    <row r="7">
      <c r="A7" s="212" t="inlineStr">
        <is>
          <t>Standard coupon (bp)</t>
        </is>
      </c>
      <c r="B7" s="95" t="n">
        <v>100</v>
      </c>
      <c r="C7" s="209" t="inlineStr">
        <is>
          <t>100 or 500</t>
        </is>
      </c>
      <c r="D7" s="212" t="n"/>
      <c r="E7" s="11" t="n"/>
      <c r="F7" s="11" t="n"/>
    </row>
    <row r="8">
      <c r="A8" s="212" t="inlineStr">
        <is>
          <t>Recovery R</t>
        </is>
      </c>
      <c r="B8" s="121" t="n">
        <v>0.4</v>
      </c>
      <c r="C8" s="209" t="inlineStr">
        <is>
          <t>model parameter, conventionally 0.40</t>
        </is>
      </c>
      <c r="D8" s="212" t="n"/>
      <c r="E8" s="11" t="n"/>
      <c r="F8" s="11" t="n"/>
    </row>
    <row r="9">
      <c r="A9" s="212" t="inlineStr">
        <is>
          <t>Maturity (tenor yrs)</t>
        </is>
      </c>
      <c r="B9" s="95" t="n">
        <v>5</v>
      </c>
      <c r="C9" s="209" t="inlineStr"/>
      <c r="D9" s="212" t="n"/>
      <c r="E9" s="11" t="n"/>
      <c r="F9" s="11" t="n"/>
    </row>
    <row r="10">
      <c r="A10" s="212" t="inlineStr">
        <is>
          <t>Direction</t>
        </is>
      </c>
      <c r="B10" s="213" t="inlineStr">
        <is>
          <t>Buy protection</t>
        </is>
      </c>
      <c r="C10" s="209" t="inlineStr"/>
      <c r="D10" s="212" t="n"/>
      <c r="E10" s="11" t="n"/>
      <c r="F10" s="11" t="n"/>
    </row>
    <row r="11">
      <c r="A11" s="212" t="inlineStr">
        <is>
          <t>Valuation date</t>
        </is>
      </c>
      <c r="B11" s="111" t="n"/>
      <c r="C11" s="209" t="inlineStr">
        <is>
          <t>leave blank to keep the curve's date</t>
        </is>
      </c>
      <c r="D11" s="212" t="n"/>
      <c r="E11" s="11" t="n"/>
      <c r="F11" s="11" t="n"/>
    </row>
    <row r="12">
      <c r="A12" s="212" t="inlineStr">
        <is>
          <t>Hazard solver</t>
        </is>
      </c>
      <c r="B12" s="184">
        <f>CDS_Parameters!$B$30</f>
        <v/>
      </c>
      <c r="C12" s="218" t="inlineStr">
        <is>
          <t>Brent by default. No in-cell fallback: without the VBA the hazards read #N/A.</t>
        </is>
      </c>
      <c r="D12" s="212" t="n"/>
      <c r="E12" s="11" t="n"/>
      <c r="F12" s="11" t="n"/>
    </row>
    <row r="13">
      <c r="A13" s="215" t="inlineStr">
        <is>
          <t>VBA</t>
        </is>
      </c>
      <c r="B13" s="228">
        <f>IF(ISERROR(CDS_StripIterations()),"NOT LOADED - import bloomberg/vba/CDSStrip.bas (Alt+F11 &gt; File &gt; Import File) and save as .xlsm","loaded")</f>
        <v/>
      </c>
      <c r="C13" s="209" t="inlineStr">
        <is>
          <t>hazards read #N/A whenever this says NOT LOADED</t>
        </is>
      </c>
      <c r="D13" s="212" t="n"/>
      <c r="E13" s="11" t="n"/>
      <c r="F13" s="11" t="n"/>
    </row>
    <row r="14">
      <c r="A14" s="215" t="inlineStr">
        <is>
          <t>STATUS</t>
        </is>
      </c>
      <c r="B14" s="11" t="n"/>
      <c r="C14" s="209" t="inlineStr">
        <is>
          <t>has spreads</t>
        </is>
      </c>
      <c r="D14" s="11">
        <f>SUM(CDS_Quotes!$F$7:$F$12)&gt;0</f>
        <v/>
      </c>
      <c r="E14" s="11" t="n"/>
      <c r="F14" s="11" t="n"/>
    </row>
    <row r="15">
      <c r="A15" s="212" t="inlineStr">
        <is>
          <t>Curve link</t>
        </is>
      </c>
      <c r="B15" s="184">
        <f>IF(COUNT(Curve_Interface!$L$8:$L$73)=0,"curve workbook not open",COUNT(Curve_Interface!$L$8:$L$73)&amp;" pillars")</f>
        <v/>
      </c>
      <c r="C15" s="11" t="n"/>
      <c r="D15" s="11" t="n"/>
      <c r="E15" s="11" t="n"/>
      <c r="F15" s="11" t="n"/>
    </row>
    <row r="16">
      <c r="A16" s="212" t="inlineStr">
        <is>
          <t>Spreads</t>
        </is>
      </c>
      <c r="B16" s="184">
        <f>IF(NOT(SUM(CDS_Quotes!$F$7:$F$12)&gt;0),"none",IF(COUNTIF(CDS_Quotes!$H$7:$H$12,"BDP live")&gt;0,COUNTIF(CDS_Quotes!$H$7:$H$12,"BDP live")&amp;" of 6 live","manual"))</f>
        <v/>
      </c>
      <c r="C16" s="212" t="n"/>
      <c r="D16" s="11" t="n"/>
      <c r="E16" s="11" t="n"/>
      <c r="F16" s="11" t="n"/>
    </row>
    <row r="17">
      <c r="A17" s="212" t="inlineStr">
        <is>
          <t>Strip</t>
        </is>
      </c>
      <c r="B17" s="184">
        <f>IF(NOT(SUM(CDS_Quotes!$F$7:$F$12)&gt;0),"nothing to strip yet",IF(MAX(ABS(Hazard_Bootstrap!$J$7:$J$12))&lt;0.01,"reprices, max err "&amp;TEXT(MAX(ABS(Hazard_Bootstrap!$J$7:$J$12)),"0.00E+00")&amp;" bp","STRIP FAILED - check the quotes, see Model_Notes p.9"))</f>
        <v/>
      </c>
      <c r="C17" s="212" t="n"/>
      <c r="D17" s="11" t="n"/>
      <c r="E17" s="11" t="n"/>
      <c r="F17" s="11" t="n"/>
    </row>
    <row r="18">
      <c r="A18" s="11" t="n"/>
      <c r="B18" s="215" t="n"/>
      <c r="C18" s="212" t="n"/>
      <c r="D18" s="11" t="n"/>
      <c r="E18" s="11" t="n"/>
      <c r="F18" s="11" t="n"/>
    </row>
    <row r="19">
      <c r="A19" s="215" t="inlineStr">
        <is>
          <t>CDSW SCREEN</t>
        </is>
      </c>
      <c r="B19" s="215" t="n"/>
      <c r="C19" s="209" t="inlineStr">
        <is>
          <t>mirrors CDS_Pricer rows 15-37</t>
        </is>
      </c>
      <c r="D19" s="11" t="n"/>
      <c r="E19" s="11" t="n"/>
      <c r="F19" s="11" t="n"/>
    </row>
    <row r="20">
      <c r="A20" s="212" t="inlineStr">
        <is>
          <t>Par spread (bp)</t>
        </is>
      </c>
      <c r="B20" s="170">
        <f>IF(NOT(SUM(CDS_Quotes!$F$7:$F$12)&gt;0),"",CDS_Pricer!$B$15)</f>
        <v/>
      </c>
      <c r="C20" s="209" t="inlineStr">
        <is>
          <t>blank until spreads are entered</t>
        </is>
      </c>
      <c r="D20" s="11" t="n"/>
      <c r="E20" s="11" t="n"/>
      <c r="F20" s="11" t="n"/>
    </row>
    <row r="21">
      <c r="A21" s="212" t="inlineStr">
        <is>
          <t>Points upfront</t>
        </is>
      </c>
      <c r="B21" s="170">
        <f>IF(NOT(SUM(CDS_Quotes!$F$7:$F$12)&gt;0),"",CDS_Pricer!$B$31)</f>
        <v/>
      </c>
      <c r="C21" s="11" t="n"/>
      <c r="D21" s="11" t="n"/>
      <c r="E21" s="11" t="n"/>
      <c r="F21" s="11" t="n"/>
    </row>
    <row r="22">
      <c r="A22" s="212" t="inlineStr">
        <is>
          <t>Price</t>
        </is>
      </c>
      <c r="B22" s="170">
        <f>IF(NOT(SUM(CDS_Quotes!$F$7:$F$12)&gt;0),"",CDS_Pricer!$B$32)</f>
        <v/>
      </c>
      <c r="C22" s="11" t="n"/>
      <c r="D22" s="11" t="n"/>
      <c r="E22" s="11" t="n"/>
      <c r="F22" s="11" t="n"/>
    </row>
    <row r="23">
      <c r="A23" s="212" t="inlineStr">
        <is>
          <t>Principal</t>
        </is>
      </c>
      <c r="B23" s="216">
        <f>IF(NOT(SUM(CDS_Quotes!$F$7:$F$12)&gt;0),"",CDS_Pricer!$B$33)</f>
        <v/>
      </c>
      <c r="C23" s="11" t="n"/>
      <c r="D23" s="11" t="n"/>
      <c r="E23" s="11" t="n"/>
      <c r="F23" s="11" t="n"/>
    </row>
    <row r="24">
      <c r="A24" s="212" t="inlineStr">
        <is>
          <t>Accrued days</t>
        </is>
      </c>
      <c r="B24" s="217">
        <f>IF(NOT(SUM(CDS_Quotes!$F$7:$F$12)&gt;0),"",CDS_Pricer!$B$34)</f>
        <v/>
      </c>
      <c r="C24" s="11" t="n"/>
      <c r="D24" s="11" t="n"/>
      <c r="E24" s="11" t="n"/>
      <c r="F24" s="11" t="n"/>
    </row>
    <row r="25">
      <c r="A25" s="212" t="inlineStr">
        <is>
          <t>Accrued</t>
        </is>
      </c>
      <c r="B25" s="216">
        <f>IF(NOT(SUM(CDS_Quotes!$F$7:$F$12)&gt;0),"",CDS_Pricer!$B$35)</f>
        <v/>
      </c>
      <c r="C25" s="11" t="n"/>
      <c r="D25" s="11" t="n"/>
      <c r="E25" s="11" t="n"/>
      <c r="F25" s="11" t="n"/>
    </row>
    <row r="26">
      <c r="A26" s="212" t="inlineStr">
        <is>
          <t>Cash amount</t>
        </is>
      </c>
      <c r="B26" s="216">
        <f>IF(NOT(SUM(CDS_Quotes!$F$7:$F$12)&gt;0),"",CDS_Pricer!$B$36)</f>
        <v/>
      </c>
      <c r="C26" s="11" t="n"/>
      <c r="D26" s="11" t="n"/>
      <c r="E26" s="11" t="n"/>
      <c r="F26" s="11" t="n"/>
    </row>
    <row r="27">
      <c r="A27" s="212" t="inlineStr">
        <is>
          <t>Default exposure</t>
        </is>
      </c>
      <c r="B27" s="216">
        <f>IF(NOT(SUM(CDS_Quotes!$F$7:$F$12)&gt;0),"",CDS_Pricer!$B$37)</f>
        <v/>
      </c>
      <c r="C27" s="11" t="n"/>
      <c r="D27" s="11" t="n"/>
      <c r="E27" s="11" t="n"/>
      <c r="F27" s="11" t="n"/>
    </row>
    <row r="28">
      <c r="A28" s="11" t="n"/>
      <c r="B28" s="11" t="n"/>
      <c r="C28" s="11" t="n"/>
      <c r="D28" s="11" t="n"/>
      <c r="E28" s="11" t="n"/>
      <c r="F28" s="11" t="n"/>
    </row>
    <row r="29">
      <c r="A29" s="212" t="inlineStr">
        <is>
          <t>Spread DV01 / CS01</t>
        </is>
      </c>
      <c r="B29" s="216">
        <f>IF(NOT(SUM(CDS_Quotes!$F$7:$F$12)&gt;0),"",CDS_Pricer!$B$22)</f>
        <v/>
      </c>
      <c r="C29" s="11" t="n"/>
      <c r="D29" s="11" t="n"/>
      <c r="E29" s="11" t="n"/>
      <c r="F29" s="11" t="n"/>
    </row>
    <row r="30">
      <c r="A30" s="212" t="inlineStr">
        <is>
          <t>IR DV01</t>
        </is>
      </c>
      <c r="B30" s="216">
        <f>IF(NOT(SUM(CDS_Quotes!$F$7:$F$12)&gt;0),"",CDS_Pricer!$B$23)</f>
        <v/>
      </c>
      <c r="C30" s="11" t="n"/>
      <c r="D30" s="11" t="n"/>
      <c r="E30" s="11" t="n"/>
      <c r="F30" s="11" t="n"/>
    </row>
    <row r="31">
      <c r="A31" s="212" t="inlineStr">
        <is>
          <t>Rec risk 1%</t>
        </is>
      </c>
      <c r="B31" s="216">
        <f>IF(NOT(SUM(CDS_Quotes!$F$7:$F$12)&gt;0),"",CDS_Pricer!$B$24)</f>
        <v/>
      </c>
      <c r="C31" s="11" t="n"/>
      <c r="D31" s="11" t="n"/>
      <c r="E31" s="11" t="n"/>
      <c r="F31" s="11" t="n"/>
    </row>
    <row r="32">
      <c r="A32" s="212" t="inlineStr">
        <is>
          <t>Jump to default</t>
        </is>
      </c>
      <c r="B32" s="216">
        <f>IF(NOT(SUM(CDS_Quotes!$F$7:$F$12)&gt;0),"",CDS_Pricer!$B$25)</f>
        <v/>
      </c>
      <c r="C32" s="11" t="n"/>
      <c r="D32" s="11" t="n"/>
      <c r="E32" s="11" t="n"/>
      <c r="F32" s="11" t="n"/>
    </row>
    <row r="33">
      <c r="A33" s="11" t="n"/>
      <c r="B33" s="11" t="n"/>
      <c r="C33" s="11" t="n"/>
      <c r="D33" s="11" t="n"/>
      <c r="E33" s="11" t="n"/>
      <c r="F33" s="11" t="n"/>
    </row>
    <row r="34">
      <c r="A34" s="215" t="inlineStr">
        <is>
          <t>PIPELINE</t>
        </is>
      </c>
      <c r="B34" s="11" t="n"/>
      <c r="C34" s="11" t="n"/>
      <c r="D34" s="11" t="n"/>
      <c r="E34" s="11" t="n"/>
      <c r="F34" s="11" t="n"/>
    </row>
    <row r="35">
      <c r="A35" s="206" t="inlineStr">
        <is>
          <t>Step</t>
        </is>
      </c>
      <c r="B35" s="206" t="inlineStr">
        <is>
          <t>Sheet</t>
        </is>
      </c>
      <c r="C35" s="206" t="inlineStr">
        <is>
          <t>What happens</t>
        </is>
      </c>
      <c r="D35" s="206" t="inlineStr">
        <is>
          <t>What to check</t>
        </is>
      </c>
      <c r="E35" s="11" t="n"/>
      <c r="F35" s="11" t="n"/>
    </row>
    <row r="36">
      <c r="A36" s="106" t="inlineStr">
        <is>
          <t>1</t>
        </is>
      </c>
      <c r="B36" s="106" t="inlineStr">
        <is>
          <t>Entities</t>
        </is>
      </c>
      <c r="C36" s="190" t="inlineStr">
        <is>
          <t>Type the names and Bloomberg tickers. Pick the live one at B4.</t>
        </is>
      </c>
      <c r="D36" s="190" t="inlineStr">
        <is>
          <t>F4 shows the ticker the pull will use.</t>
        </is>
      </c>
      <c r="E36" s="11" t="n"/>
      <c r="F36" s="11" t="n"/>
    </row>
    <row r="37">
      <c r="A37" s="106" t="inlineStr">
        <is>
          <t>2</t>
        </is>
      </c>
      <c r="B37" s="106" t="inlineStr">
        <is>
          <t>CDS_Parameters</t>
        </is>
      </c>
      <c r="C37" s="190" t="inlineStr">
        <is>
          <t>Contract terms: recovery, notional, coupon, direction, maturity.</t>
        </is>
      </c>
      <c r="D37" s="190" t="inlineStr">
        <is>
          <t>B30 picks the hazard solver.</t>
        </is>
      </c>
      <c r="E37" s="11" t="n"/>
      <c r="F37" s="11" t="n"/>
    </row>
    <row r="38">
      <c r="A38" s="106" t="inlineStr">
        <is>
          <t>3</t>
        </is>
      </c>
      <c r="B38" s="106" t="inlineStr">
        <is>
          <t>Curve_Interface</t>
        </is>
      </c>
      <c r="C38" s="190" t="inlineStr">
        <is>
          <t>SOFR discount curve, linked from the curve workbook.</t>
        </is>
      </c>
      <c r="D38" s="190" t="inlineStr">
        <is>
          <t>LINK CHECK at N8. Open the curve workbook first.</t>
        </is>
      </c>
      <c r="E38" s="11" t="n"/>
      <c r="F38" s="11" t="n"/>
    </row>
    <row r="39">
      <c r="A39" s="106" t="inlineStr">
        <is>
          <t>4</t>
        </is>
      </c>
      <c r="B39" s="106" t="inlineStr">
        <is>
          <t>CDS_Quotes</t>
        </is>
      </c>
      <c r="C39" s="190" t="inlineStr">
        <is>
          <t>Two-step Bloomberg pull: entity -&gt; CDS ticker -&gt; spread.</t>
        </is>
      </c>
      <c r="D39" s="190" t="inlineStr">
        <is>
          <t>Col H says whether each tenor came live or manual.</t>
        </is>
      </c>
      <c r="E39" s="11" t="n"/>
      <c r="F39" s="11" t="n"/>
    </row>
    <row r="40">
      <c r="A40" s="106" t="inlineStr">
        <is>
          <t>5</t>
        </is>
      </c>
      <c r="B40" s="106" t="inlineStr">
        <is>
          <t>Hazard_Bootstrap</t>
        </is>
      </c>
      <c r="C40" s="190" t="inlineStr">
        <is>
          <t>Strips the hazard curve, one tenor at a time, earlier hazards held.</t>
        </is>
      </c>
      <c r="D40" s="190" t="inlineStr">
        <is>
          <t>Col J is the repricing error. It must go to zero.</t>
        </is>
      </c>
      <c r="E40" s="11" t="n"/>
      <c r="F40" s="11" t="n"/>
    </row>
    <row r="41">
      <c r="A41" s="106" t="inlineStr">
        <is>
          <t>6</t>
        </is>
      </c>
      <c r="B41" s="106" t="inlineStr">
        <is>
          <t>CDS_Schedule</t>
        </is>
      </c>
      <c r="C41" s="190" t="inlineStr">
        <is>
          <t>Builds the quarterly legs: DF, survival, accrual per period.</t>
        </is>
      </c>
      <c r="D41" s="190" t="inlineStr">
        <is>
          <t>One row per coupon period.</t>
        </is>
      </c>
      <c r="E41" s="11" t="n"/>
      <c r="F41" s="11" t="n"/>
    </row>
    <row r="42">
      <c r="A42" s="106" t="inlineStr">
        <is>
          <t>7</t>
        </is>
      </c>
      <c r="B42" s="106" t="inlineStr">
        <is>
          <t>CDS_Pricer</t>
        </is>
      </c>
      <c r="C42" s="190" t="inlineStr">
        <is>
          <t>Prices the trade and produces the CDSW settlement figures.</t>
        </is>
      </c>
      <c r="D42" s="190" t="inlineStr">
        <is>
          <t>Row 28 down is the CDSW screen block.</t>
        </is>
      </c>
      <c r="E42" s="11" t="n"/>
      <c r="F42" s="11" t="n"/>
    </row>
    <row r="43">
      <c r="A43" s="106" t="inlineStr">
        <is>
          <t>8</t>
        </is>
      </c>
      <c r="B43" s="106" t="inlineStr">
        <is>
          <t>Curves</t>
        </is>
      </c>
      <c r="C43" s="190" t="inlineStr">
        <is>
          <t>Charts: discount curve, hazard, survival, term structures.</t>
        </is>
      </c>
      <c r="D43" s="190" t="inlineStr">
        <is>
          <t>Hazard is drawn as a step because it is piecewise constant.</t>
        </is>
      </c>
      <c r="E43" s="11" t="n"/>
      <c r="F43" s="11" t="n"/>
    </row>
    <row r="44">
      <c r="A44" s="106" t="inlineStr">
        <is>
          <t>9</t>
        </is>
      </c>
      <c r="B44" s="106" t="inlineStr">
        <is>
          <t>CDS_Validation</t>
        </is>
      </c>
      <c r="C44" s="190" t="inlineStr">
        <is>
          <t>Internal checks on the strip.</t>
        </is>
      </c>
      <c r="D44" s="190" t="inlineStr">
        <is>
          <t>All should pass before the numbers are used.</t>
        </is>
      </c>
      <c r="E44" s="11" t="n"/>
      <c r="F44" s="11" t="n"/>
    </row>
    <row r="45">
      <c r="A45" s="11" t="n"/>
      <c r="B45" s="11" t="n"/>
      <c r="C45" s="11" t="n"/>
      <c r="D45" s="11" t="n"/>
      <c r="E45" s="11" t="n"/>
      <c r="F45" s="11" t="n"/>
    </row>
    <row r="46">
      <c r="A46" s="215" t="inlineStr">
        <is>
          <t>Reference tabs</t>
        </is>
      </c>
      <c r="B46" s="11" t="n"/>
      <c r="C46" s="11" t="n"/>
      <c r="D46" s="11" t="n"/>
      <c r="E46" s="11" t="n"/>
      <c r="F46" s="11" t="n"/>
    </row>
    <row r="47">
      <c r="A47" s="11" t="n"/>
      <c r="B47" s="215" t="inlineStr">
        <is>
          <t>Model_Notes</t>
        </is>
      </c>
      <c r="C47" s="212" t="inlineStr">
        <is>
          <t>B-Model equations (3.1)-(3.6), conventions, strippability check.</t>
        </is>
      </c>
      <c r="D47" s="11" t="n"/>
      <c r="E47" s="11" t="n"/>
      <c r="F47" s="11" t="n"/>
    </row>
    <row r="48">
      <c r="A48" s="11" t="n"/>
      <c r="B48" s="215" t="inlineStr">
        <is>
          <t>Brent_vs_Bisection</t>
        </is>
      </c>
      <c r="C48" s="212" t="inlineStr">
        <is>
          <t>The two solvers side by side on the same objective.</t>
        </is>
      </c>
      <c r="D48" s="11" t="n"/>
      <c r="E48" s="11" t="n"/>
      <c r="F48" s="11" t="n"/>
    </row>
    <row r="49">
      <c r="A49" s="11" t="n"/>
      <c r="B49" s="215" t="inlineStr">
        <is>
          <t>Root_Methods</t>
        </is>
      </c>
      <c r="C49" s="212" t="inlineStr">
        <is>
          <t>Eight root-finders from MATH5030 M2.</t>
        </is>
      </c>
      <c r="D49" s="11" t="n"/>
      <c r="E49" s="11" t="n"/>
      <c r="F49" s="11" t="n"/>
    </row>
    <row r="50">
      <c r="A50" s="11" t="n"/>
      <c r="B50" s="215" t="inlineStr">
        <is>
          <t>CDSStrip</t>
        </is>
      </c>
      <c r="C50" s="212" t="inlineStr">
        <is>
          <t>The strip itself: CDS_StripHazard, all eight root-finders, no helper sheet.</t>
        </is>
      </c>
      <c r="D50" s="11" t="n"/>
      <c r="E50" s="11" t="n"/>
      <c r="F50" s="11" t="n"/>
    </row>
    <row r="51">
      <c r="A51" s="11" t="n"/>
      <c r="B51" s="215" t="inlineStr">
        <is>
          <t>CDS_Entities</t>
        </is>
      </c>
      <c r="C51" s="212" t="inlineStr">
        <is>
          <t>Data store behind Entities, plus the CDSW capture block.</t>
        </is>
      </c>
      <c r="D51" s="11" t="n"/>
      <c r="E51" s="11" t="n"/>
      <c r="F51" s="11" t="n"/>
    </row>
    <row r="52">
      <c r="A52" s="11" t="n"/>
      <c r="B52" s="11" t="n"/>
      <c r="C52" s="11" t="n"/>
      <c r="D52" s="11" t="n"/>
      <c r="E52" s="11" t="n"/>
      <c r="F52" s="11" t="n"/>
    </row>
    <row r="53">
      <c r="A53" s="11" t="n"/>
      <c r="B53" s="209" t="inlineStr">
        <is>
          <t>Needs CDSBrent.bas and CDSRootFinders.bas imported, saved as .xlsm. Without them the strip falls back to the ladder and still prices.</t>
        </is>
      </c>
      <c r="C53" s="11" t="n"/>
      <c r="D53" s="11" t="n"/>
      <c r="E53" s="11" t="n"/>
      <c r="F53" s="11" t="n"/>
    </row>
    <row r="54">
      <c r="A54" s="11" t="n"/>
      <c r="B54" s="218" t="inlineStr">
        <is>
          <t>No external validation of the credit curve: Bloomberg exports no hazard curve (Help Desk H#1330731572). The SOFR curve can be checked against S490; the strip cannot.</t>
        </is>
      </c>
      <c r="C54" s="11" t="n"/>
      <c r="D54" s="11" t="n"/>
      <c r="E54" s="11" t="n"/>
      <c r="F54" s="11" t="n"/>
    </row>
    <row r="55">
      <c r="A55" s="11" t="n"/>
      <c r="B55" s="11" t="n"/>
      <c r="C55" s="11" t="n"/>
      <c r="D55" s="11" t="n"/>
      <c r="E55" s="11" t="n"/>
      <c r="F55" s="11" t="n"/>
    </row>
    <row r="56">
      <c r="A56" s="11" t="n"/>
      <c r="B56" s="11" t="n"/>
      <c r="C56" s="11" t="n"/>
      <c r="D56" s="11" t="n"/>
      <c r="E56" s="11" t="n"/>
      <c r="F56" s="11" t="n"/>
    </row>
    <row r="57">
      <c r="A57" s="11" t="n"/>
      <c r="B57" s="11" t="n"/>
      <c r="C57" s="11" t="n"/>
      <c r="D57" s="11" t="n"/>
      <c r="E57" s="11" t="n"/>
      <c r="F57" s="11" t="n"/>
    </row>
    <row r="58">
      <c r="A58" s="11" t="n"/>
      <c r="B58" s="11" t="n"/>
      <c r="C58" s="11" t="n"/>
      <c r="D58" s="11" t="n"/>
      <c r="E58" s="11" t="n"/>
      <c r="F58" s="11" t="n"/>
    </row>
    <row r="59">
      <c r="A59" s="11" t="n"/>
      <c r="B59" s="11" t="n"/>
      <c r="C59" s="11" t="n"/>
      <c r="D59" s="11" t="n"/>
      <c r="E59" s="11" t="n"/>
      <c r="F59" s="11" t="n"/>
    </row>
    <row r="60">
      <c r="A60" s="11" t="n"/>
      <c r="B60" s="11" t="n"/>
      <c r="C60" s="11" t="n"/>
      <c r="D60" s="11" t="n"/>
      <c r="E60" s="11" t="n"/>
      <c r="F60" s="11" t="n"/>
    </row>
  </sheetData>
  <dataValidations count="1">
    <dataValidation sqref="B10" showDropDown="0" showInputMessage="0" showErrorMessage="0" allowBlank="0" type="list">
      <formula1>"Buy protection,Sell protection"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18" customWidth="1" min="3" max="3"/>
    <col width="7" customWidth="1" min="4" max="4"/>
    <col width="10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</cols>
  <sheetData>
    <row r="1">
      <c r="A1" s="176" t="inlineStr">
        <is>
          <t>Entities</t>
        </is>
      </c>
    </row>
    <row r="2">
      <c r="A2" s="177" t="inlineStr">
        <is>
          <t>Type a name and its Bloomberg ticker on any free row. On = 0 removes a name. Overrides beat the BDP pull; blank uses the pull.</t>
        </is>
      </c>
    </row>
    <row r="4">
      <c r="A4" s="67" t="inlineStr">
        <is>
          <t>Live name</t>
        </is>
      </c>
      <c r="B4" s="178" t="n"/>
      <c r="C4" s="177" t="inlineStr">
        <is>
          <t>only this name is stripped and priced</t>
        </is>
      </c>
      <c r="E4" s="67" t="inlineStr">
        <is>
          <t>ticker in use</t>
        </is>
      </c>
      <c r="F4" s="204">
        <f>IFERROR(IF(ISTEXT(INDEX($C$7:$C$16,MATCH($B$4,$B$7:$B$16,0))),INDEX($C$7:$C$16,MATCH($B$4,$B$7:$B$16,0)),""),"")</f>
        <v/>
      </c>
    </row>
    <row r="5">
      <c r="E5" s="177" t="inlineStr">
        <is>
          <t>override</t>
        </is>
      </c>
      <c r="F5" s="177" t="n"/>
      <c r="L5" s="177" t="inlineStr">
        <is>
          <t>identity - picks the ticker</t>
        </is>
      </c>
    </row>
    <row r="6">
      <c r="A6" s="179" t="inlineStr">
        <is>
          <t>On</t>
        </is>
      </c>
      <c r="B6" s="179" t="inlineStr">
        <is>
          <t>Entity name</t>
        </is>
      </c>
      <c r="C6" s="179" t="inlineStr">
        <is>
          <t>Bloomberg ticker</t>
        </is>
      </c>
      <c r="D6" s="179" t="inlineStr">
        <is>
          <t>Ccy</t>
        </is>
      </c>
      <c r="E6" s="179" t="inlineStr">
        <is>
          <t>Recovery</t>
        </is>
      </c>
      <c r="F6" s="179" t="inlineStr">
        <is>
          <t>1Y</t>
        </is>
      </c>
      <c r="G6" s="179" t="inlineStr">
        <is>
          <t>2Y</t>
        </is>
      </c>
      <c r="H6" s="179" t="inlineStr">
        <is>
          <t>3Y</t>
        </is>
      </c>
      <c r="I6" s="179" t="inlineStr">
        <is>
          <t>5Y</t>
        </is>
      </c>
      <c r="J6" s="179" t="inlineStr">
        <is>
          <t>7Y</t>
        </is>
      </c>
      <c r="K6" s="179" t="inlineStr">
        <is>
          <t>10Y</t>
        </is>
      </c>
      <c r="L6" s="179" t="inlineStr">
        <is>
          <t>Seniority</t>
        </is>
      </c>
      <c r="M6" s="179" t="inlineStr">
        <is>
          <t>Clause</t>
        </is>
      </c>
      <c r="N6" s="179" t="inlineStr">
        <is>
          <t>Recovery</t>
        </is>
      </c>
    </row>
    <row r="7">
      <c r="A7" s="178" t="n"/>
      <c r="B7" s="178" t="n"/>
      <c r="C7" s="178" t="n"/>
      <c r="D7" s="178" t="n"/>
      <c r="E7" s="181" t="n"/>
      <c r="F7" s="182" t="n"/>
      <c r="G7" s="182" t="n"/>
      <c r="H7" s="182" t="n"/>
      <c r="I7" s="182" t="n"/>
      <c r="J7" s="182" t="n"/>
      <c r="K7" s="182" t="n"/>
      <c r="L7" s="178" t="n"/>
      <c r="M7" s="178" t="n"/>
      <c r="N7" s="181" t="n"/>
    </row>
    <row r="8">
      <c r="A8" s="178" t="n"/>
      <c r="B8" s="178" t="n"/>
      <c r="C8" s="178" t="n"/>
      <c r="D8" s="178" t="n"/>
      <c r="E8" s="181" t="n"/>
      <c r="F8" s="182" t="n"/>
      <c r="G8" s="182" t="n"/>
      <c r="H8" s="182" t="n"/>
      <c r="I8" s="182" t="n"/>
      <c r="J8" s="182" t="n"/>
      <c r="K8" s="182" t="n"/>
      <c r="L8" s="178" t="n"/>
      <c r="M8" s="178" t="n"/>
      <c r="N8" s="181" t="n"/>
    </row>
    <row r="9">
      <c r="A9" s="178" t="n"/>
      <c r="B9" s="178" t="n"/>
      <c r="C9" s="178" t="n"/>
      <c r="D9" s="178" t="n"/>
      <c r="E9" s="181" t="n"/>
      <c r="F9" s="182" t="n"/>
      <c r="G9" s="182" t="n"/>
      <c r="H9" s="182" t="n"/>
      <c r="I9" s="182" t="n"/>
      <c r="J9" s="182" t="n"/>
      <c r="K9" s="182" t="n"/>
      <c r="L9" s="178" t="n"/>
      <c r="M9" s="178" t="n"/>
      <c r="N9" s="181" t="n"/>
    </row>
    <row r="10">
      <c r="A10" s="178" t="n"/>
      <c r="B10" s="178" t="n"/>
      <c r="C10" s="178" t="n"/>
      <c r="D10" s="178" t="n"/>
      <c r="E10" s="181" t="n"/>
      <c r="F10" s="182" t="n"/>
      <c r="G10" s="182" t="n"/>
      <c r="H10" s="182" t="n"/>
      <c r="I10" s="182" t="n"/>
      <c r="J10" s="182" t="n"/>
      <c r="K10" s="182" t="n"/>
      <c r="L10" s="178" t="n"/>
      <c r="M10" s="178" t="n"/>
      <c r="N10" s="181" t="n"/>
    </row>
    <row r="11">
      <c r="A11" s="178" t="n"/>
      <c r="B11" s="178" t="n"/>
      <c r="C11" s="178" t="n"/>
      <c r="D11" s="178" t="n"/>
      <c r="E11" s="181" t="n"/>
      <c r="F11" s="182" t="n"/>
      <c r="G11" s="182" t="n"/>
      <c r="H11" s="182" t="n"/>
      <c r="I11" s="182" t="n"/>
      <c r="J11" s="182" t="n"/>
      <c r="K11" s="182" t="n"/>
      <c r="L11" s="178" t="n"/>
      <c r="M11" s="178" t="n"/>
      <c r="N11" s="181" t="n"/>
    </row>
    <row r="12">
      <c r="A12" s="178" t="n"/>
      <c r="B12" s="178" t="n"/>
      <c r="C12" s="178" t="n"/>
      <c r="D12" s="178" t="n"/>
      <c r="E12" s="181" t="n"/>
      <c r="F12" s="182" t="n"/>
      <c r="G12" s="182" t="n"/>
      <c r="H12" s="182" t="n"/>
      <c r="I12" s="182" t="n"/>
      <c r="J12" s="182" t="n"/>
      <c r="K12" s="182" t="n"/>
      <c r="L12" s="178" t="n"/>
      <c r="M12" s="178" t="n"/>
      <c r="N12" s="181" t="n"/>
    </row>
    <row r="13">
      <c r="A13" s="178" t="n"/>
      <c r="B13" s="178" t="n"/>
      <c r="C13" s="178" t="n"/>
      <c r="D13" s="178" t="n"/>
      <c r="E13" s="181" t="n"/>
      <c r="F13" s="182" t="n"/>
      <c r="G13" s="182" t="n"/>
      <c r="H13" s="182" t="n"/>
      <c r="I13" s="182" t="n"/>
      <c r="J13" s="182" t="n"/>
      <c r="K13" s="182" t="n"/>
      <c r="L13" s="178" t="n"/>
      <c r="M13" s="178" t="n"/>
      <c r="N13" s="181" t="n"/>
    </row>
    <row r="14">
      <c r="A14" s="178" t="n"/>
      <c r="B14" s="178" t="n"/>
      <c r="C14" s="178" t="n"/>
      <c r="D14" s="178" t="n"/>
      <c r="E14" s="181" t="n"/>
      <c r="F14" s="182" t="n"/>
      <c r="G14" s="182" t="n"/>
      <c r="H14" s="182" t="n"/>
      <c r="I14" s="182" t="n"/>
      <c r="J14" s="182" t="n"/>
      <c r="K14" s="182" t="n"/>
      <c r="L14" s="178" t="n"/>
      <c r="M14" s="178" t="n"/>
      <c r="N14" s="181" t="n"/>
    </row>
    <row r="15">
      <c r="A15" s="178" t="n"/>
      <c r="B15" s="178" t="n"/>
      <c r="C15" s="178" t="n"/>
      <c r="D15" s="178" t="n"/>
      <c r="E15" s="181" t="n"/>
      <c r="F15" s="182" t="n"/>
      <c r="G15" s="182" t="n"/>
      <c r="H15" s="182" t="n"/>
      <c r="I15" s="182" t="n"/>
      <c r="J15" s="182" t="n"/>
      <c r="K15" s="182" t="n"/>
      <c r="L15" s="178" t="n"/>
      <c r="M15" s="178" t="n"/>
      <c r="N15" s="181" t="n"/>
    </row>
    <row r="16">
      <c r="A16" s="178" t="n"/>
      <c r="B16" s="178" t="n"/>
      <c r="C16" s="178" t="n"/>
      <c r="D16" s="178" t="n"/>
      <c r="E16" s="181" t="n"/>
      <c r="F16" s="182" t="n"/>
      <c r="G16" s="182" t="n"/>
      <c r="H16" s="182" t="n"/>
      <c r="I16" s="182" t="n"/>
      <c r="J16" s="182" t="n"/>
      <c r="K16" s="182" t="n"/>
      <c r="L16" s="178" t="n"/>
      <c r="M16" s="178" t="n"/>
      <c r="N16" s="181" t="n"/>
    </row>
    <row r="19">
      <c r="A19" s="67" t="inlineStr">
        <is>
          <t>Effective (what the strip uses)</t>
        </is>
      </c>
      <c r="F19" s="177" t="inlineStr">
        <is>
          <t>override &gt; BDP pull &gt; manual &gt; 0. This block is what the strip uses.</t>
        </is>
      </c>
    </row>
    <row r="20">
      <c r="B20" s="183" t="inlineStr">
        <is>
          <t>Entity</t>
        </is>
      </c>
      <c r="E20" s="183" t="inlineStr">
        <is>
          <t>Recovery</t>
        </is>
      </c>
      <c r="F20" s="183" t="inlineStr">
        <is>
          <t>1Y</t>
        </is>
      </c>
      <c r="G20" s="183" t="inlineStr">
        <is>
          <t>2Y</t>
        </is>
      </c>
      <c r="H20" s="183" t="inlineStr">
        <is>
          <t>3Y</t>
        </is>
      </c>
      <c r="I20" s="183" t="inlineStr">
        <is>
          <t>5Y</t>
        </is>
      </c>
      <c r="J20" s="183" t="inlineStr">
        <is>
          <t>7Y</t>
        </is>
      </c>
      <c r="K20" s="183" t="inlineStr">
        <is>
          <t>10Y</t>
        </is>
      </c>
    </row>
    <row r="21">
      <c r="A21" s="204" t="n"/>
      <c r="B21" s="204">
        <f>IF($B7="","",$B7)</f>
        <v/>
      </c>
      <c r="C21" s="204" t="n"/>
      <c r="D21" s="204" t="n"/>
      <c r="E21" s="204">
        <f>IF($B7="","",IF($A7=0,"off",IF(ISNUMBER($E7),$E7,CDS_Entities!$F$5)))</f>
        <v/>
      </c>
      <c r="F21" s="205">
        <f>IF($B7="","",IF($A7=0,0,IF(ISNUMBER($F7),$F7,IF(ISNUMBER(CDS_Entities!$AG$5),CDS_Entities!$AG$5,IF(ISNUMBER(CDS_Entities!$H$5),CDS_Entities!$H$5,0)))))</f>
        <v/>
      </c>
      <c r="G21" s="205">
        <f>IF($B7="","",IF($A7=0,0,IF(ISNUMBER($G7),$G7,IF(ISNUMBER(CDS_Entities!$AI$5),CDS_Entities!$AI$5,IF(ISNUMBER(CDS_Entities!$I$5),CDS_Entities!$I$5,0)))))</f>
        <v/>
      </c>
      <c r="H21" s="205">
        <f>IF($B7="","",IF($A7=0,0,IF(ISNUMBER($H7),$H7,IF(ISNUMBER(CDS_Entities!$AK$5),CDS_Entities!$AK$5,IF(ISNUMBER(CDS_Entities!$J$5),CDS_Entities!$J$5,0)))))</f>
        <v/>
      </c>
      <c r="I21" s="205">
        <f>IF($B7="","",IF($A7=0,0,IF(ISNUMBER($I7),$I7,IF(ISNUMBER(CDS_Entities!$AM$5),CDS_Entities!$AM$5,IF(ISNUMBER(CDS_Entities!$K$5),CDS_Entities!$K$5,0)))))</f>
        <v/>
      </c>
      <c r="J21" s="205">
        <f>IF($B7="","",IF($A7=0,0,IF(ISNUMBER($J7),$J7,IF(ISNUMBER(CDS_Entities!$AO$5),CDS_Entities!$AO$5,IF(ISNUMBER(CDS_Entities!$L$5),CDS_Entities!$L$5,0)))))</f>
        <v/>
      </c>
      <c r="K21" s="205">
        <f>IF($B7="","",IF($A7=0,0,IF(ISNUMBER($K7),$K7,IF(ISNUMBER(CDS_Entities!$AQ$5),CDS_Entities!$AQ$5,IF(ISNUMBER(CDS_Entities!$M$5),CDS_Entities!$M$5,0)))))</f>
        <v/>
      </c>
    </row>
    <row r="22">
      <c r="A22" s="204" t="n"/>
      <c r="B22" s="204">
        <f>IF($B8="","",$B8)</f>
        <v/>
      </c>
      <c r="C22" s="204" t="n"/>
      <c r="D22" s="204" t="n"/>
      <c r="E22" s="204">
        <f>IF($B8="","",IF($A8=0,"off",IF(ISNUMBER($E8),$E8,CDS_Entities!$F$6)))</f>
        <v/>
      </c>
      <c r="F22" s="205">
        <f>IF($B8="","",IF($A8=0,0,IF(ISNUMBER($F8),$F8,IF(ISNUMBER(CDS_Entities!$AG$6),CDS_Entities!$AG$6,IF(ISNUMBER(CDS_Entities!$H$6),CDS_Entities!$H$6,0)))))</f>
        <v/>
      </c>
      <c r="G22" s="205">
        <f>IF($B8="","",IF($A8=0,0,IF(ISNUMBER($G8),$G8,IF(ISNUMBER(CDS_Entities!$AI$6),CDS_Entities!$AI$6,IF(ISNUMBER(CDS_Entities!$I$6),CDS_Entities!$I$6,0)))))</f>
        <v/>
      </c>
      <c r="H22" s="205">
        <f>IF($B8="","",IF($A8=0,0,IF(ISNUMBER($H8),$H8,IF(ISNUMBER(CDS_Entities!$AK$6),CDS_Entities!$AK$6,IF(ISNUMBER(CDS_Entities!$J$6),CDS_Entities!$J$6,0)))))</f>
        <v/>
      </c>
      <c r="I22" s="205">
        <f>IF($B8="","",IF($A8=0,0,IF(ISNUMBER($I8),$I8,IF(ISNUMBER(CDS_Entities!$AM$6),CDS_Entities!$AM$6,IF(ISNUMBER(CDS_Entities!$K$6),CDS_Entities!$K$6,0)))))</f>
        <v/>
      </c>
      <c r="J22" s="205">
        <f>IF($B8="","",IF($A8=0,0,IF(ISNUMBER($J8),$J8,IF(ISNUMBER(CDS_Entities!$AO$6),CDS_Entities!$AO$6,IF(ISNUMBER(CDS_Entities!$L$6),CDS_Entities!$L$6,0)))))</f>
        <v/>
      </c>
      <c r="K22" s="205">
        <f>IF($B8="","",IF($A8=0,0,IF(ISNUMBER($K8),$K8,IF(ISNUMBER(CDS_Entities!$AQ$6),CDS_Entities!$AQ$6,IF(ISNUMBER(CDS_Entities!$M$6),CDS_Entities!$M$6,0)))))</f>
        <v/>
      </c>
    </row>
    <row r="23">
      <c r="A23" s="204" t="n"/>
      <c r="B23" s="204">
        <f>IF($B9="","",$B9)</f>
        <v/>
      </c>
      <c r="C23" s="204" t="n"/>
      <c r="D23" s="204" t="n"/>
      <c r="E23" s="204">
        <f>IF($B9="","",IF($A9=0,"off",IF(ISNUMBER($E9),$E9,CDS_Entities!$F$7)))</f>
        <v/>
      </c>
      <c r="F23" s="205">
        <f>IF($B9="","",IF($A9=0,0,IF(ISNUMBER($F9),$F9,IF(ISNUMBER(CDS_Entities!$AG$7),CDS_Entities!$AG$7,IF(ISNUMBER(CDS_Entities!$H$7),CDS_Entities!$H$7,0)))))</f>
        <v/>
      </c>
      <c r="G23" s="205">
        <f>IF($B9="","",IF($A9=0,0,IF(ISNUMBER($G9),$G9,IF(ISNUMBER(CDS_Entities!$AI$7),CDS_Entities!$AI$7,IF(ISNUMBER(CDS_Entities!$I$7),CDS_Entities!$I$7,0)))))</f>
        <v/>
      </c>
      <c r="H23" s="205">
        <f>IF($B9="","",IF($A9=0,0,IF(ISNUMBER($H9),$H9,IF(ISNUMBER(CDS_Entities!$AK$7),CDS_Entities!$AK$7,IF(ISNUMBER(CDS_Entities!$J$7),CDS_Entities!$J$7,0)))))</f>
        <v/>
      </c>
      <c r="I23" s="205">
        <f>IF($B9="","",IF($A9=0,0,IF(ISNUMBER($I9),$I9,IF(ISNUMBER(CDS_Entities!$AM$7),CDS_Entities!$AM$7,IF(ISNUMBER(CDS_Entities!$K$7),CDS_Entities!$K$7,0)))))</f>
        <v/>
      </c>
      <c r="J23" s="205">
        <f>IF($B9="","",IF($A9=0,0,IF(ISNUMBER($J9),$J9,IF(ISNUMBER(CDS_Entities!$AO$7),CDS_Entities!$AO$7,IF(ISNUMBER(CDS_Entities!$L$7),CDS_Entities!$L$7,0)))))</f>
        <v/>
      </c>
      <c r="K23" s="205">
        <f>IF($B9="","",IF($A9=0,0,IF(ISNUMBER($K9),$K9,IF(ISNUMBER(CDS_Entities!$AQ$7),CDS_Entities!$AQ$7,IF(ISNUMBER(CDS_Entities!$M$7),CDS_Entities!$M$7,0)))))</f>
        <v/>
      </c>
    </row>
    <row r="24">
      <c r="A24" s="204" t="n"/>
      <c r="B24" s="204">
        <f>IF($B10="","",$B10)</f>
        <v/>
      </c>
      <c r="C24" s="204" t="n"/>
      <c r="D24" s="204" t="n"/>
      <c r="E24" s="204">
        <f>IF($B10="","",IF($A10=0,"off",IF(ISNUMBER($E10),$E10,CDS_Entities!$F$8)))</f>
        <v/>
      </c>
      <c r="F24" s="205">
        <f>IF($B10="","",IF($A10=0,0,IF(ISNUMBER($F10),$F10,IF(ISNUMBER(CDS_Entities!$AG$8),CDS_Entities!$AG$8,IF(ISNUMBER(CDS_Entities!$H$8),CDS_Entities!$H$8,0)))))</f>
        <v/>
      </c>
      <c r="G24" s="205">
        <f>IF($B10="","",IF($A10=0,0,IF(ISNUMBER($G10),$G10,IF(ISNUMBER(CDS_Entities!$AI$8),CDS_Entities!$AI$8,IF(ISNUMBER(CDS_Entities!$I$8),CDS_Entities!$I$8,0)))))</f>
        <v/>
      </c>
      <c r="H24" s="205">
        <f>IF($B10="","",IF($A10=0,0,IF(ISNUMBER($H10),$H10,IF(ISNUMBER(CDS_Entities!$AK$8),CDS_Entities!$AK$8,IF(ISNUMBER(CDS_Entities!$J$8),CDS_Entities!$J$8,0)))))</f>
        <v/>
      </c>
      <c r="I24" s="205">
        <f>IF($B10="","",IF($A10=0,0,IF(ISNUMBER($I10),$I10,IF(ISNUMBER(CDS_Entities!$AM$8),CDS_Entities!$AM$8,IF(ISNUMBER(CDS_Entities!$K$8),CDS_Entities!$K$8,0)))))</f>
        <v/>
      </c>
      <c r="J24" s="205">
        <f>IF($B10="","",IF($A10=0,0,IF(ISNUMBER($J10),$J10,IF(ISNUMBER(CDS_Entities!$AO$8),CDS_Entities!$AO$8,IF(ISNUMBER(CDS_Entities!$L$8),CDS_Entities!$L$8,0)))))</f>
        <v/>
      </c>
      <c r="K24" s="205">
        <f>IF($B10="","",IF($A10=0,0,IF(ISNUMBER($K10),$K10,IF(ISNUMBER(CDS_Entities!$AQ$8),CDS_Entities!$AQ$8,IF(ISNUMBER(CDS_Entities!$M$8),CDS_Entities!$M$8,0)))))</f>
        <v/>
      </c>
    </row>
    <row r="25">
      <c r="A25" s="204" t="n"/>
      <c r="B25" s="204">
        <f>IF($B11="","",$B11)</f>
        <v/>
      </c>
      <c r="C25" s="204" t="n"/>
      <c r="D25" s="204" t="n"/>
      <c r="E25" s="204">
        <f>IF($B11="","",IF($A11=0,"off",IF(ISNUMBER($E11),$E11,CDS_Entities!$F$9)))</f>
        <v/>
      </c>
      <c r="F25" s="205">
        <f>IF($B11="","",IF($A11=0,0,IF(ISNUMBER($F11),$F11,IF(ISNUMBER(CDS_Entities!$AG$9),CDS_Entities!$AG$9,IF(ISNUMBER(CDS_Entities!$H$9),CDS_Entities!$H$9,0)))))</f>
        <v/>
      </c>
      <c r="G25" s="205">
        <f>IF($B11="","",IF($A11=0,0,IF(ISNUMBER($G11),$G11,IF(ISNUMBER(CDS_Entities!$AI$9),CDS_Entities!$AI$9,IF(ISNUMBER(CDS_Entities!$I$9),CDS_Entities!$I$9,0)))))</f>
        <v/>
      </c>
      <c r="H25" s="205">
        <f>IF($B11="","",IF($A11=0,0,IF(ISNUMBER($H11),$H11,IF(ISNUMBER(CDS_Entities!$AK$9),CDS_Entities!$AK$9,IF(ISNUMBER(CDS_Entities!$J$9),CDS_Entities!$J$9,0)))))</f>
        <v/>
      </c>
      <c r="I25" s="205">
        <f>IF($B11="","",IF($A11=0,0,IF(ISNUMBER($I11),$I11,IF(ISNUMBER(CDS_Entities!$AM$9),CDS_Entities!$AM$9,IF(ISNUMBER(CDS_Entities!$K$9),CDS_Entities!$K$9,0)))))</f>
        <v/>
      </c>
      <c r="J25" s="205">
        <f>IF($B11="","",IF($A11=0,0,IF(ISNUMBER($J11),$J11,IF(ISNUMBER(CDS_Entities!$AO$9),CDS_Entities!$AO$9,IF(ISNUMBER(CDS_Entities!$L$9),CDS_Entities!$L$9,0)))))</f>
        <v/>
      </c>
      <c r="K25" s="205">
        <f>IF($B11="","",IF($A11=0,0,IF(ISNUMBER($K11),$K11,IF(ISNUMBER(CDS_Entities!$AQ$9),CDS_Entities!$AQ$9,IF(ISNUMBER(CDS_Entities!$M$9),CDS_Entities!$M$9,0)))))</f>
        <v/>
      </c>
    </row>
    <row r="26">
      <c r="A26" s="204" t="n"/>
      <c r="B26" s="204">
        <f>IF($B12="","",$B12)</f>
        <v/>
      </c>
      <c r="C26" s="204" t="n"/>
      <c r="D26" s="204" t="n"/>
      <c r="E26" s="204">
        <f>IF($B12="","",IF($A12=0,"off",IF(ISNUMBER($E12),$E12,CDS_Entities!$F$10)))</f>
        <v/>
      </c>
      <c r="F26" s="205">
        <f>IF($B12="","",IF($A12=0,0,IF(ISNUMBER($F12),$F12,IF(ISNUMBER(CDS_Entities!$AG$10),CDS_Entities!$AG$10,IF(ISNUMBER(CDS_Entities!$H$10),CDS_Entities!$H$10,0)))))</f>
        <v/>
      </c>
      <c r="G26" s="205">
        <f>IF($B12="","",IF($A12=0,0,IF(ISNUMBER($G12),$G12,IF(ISNUMBER(CDS_Entities!$AI$10),CDS_Entities!$AI$10,IF(ISNUMBER(CDS_Entities!$I$10),CDS_Entities!$I$10,0)))))</f>
        <v/>
      </c>
      <c r="H26" s="205">
        <f>IF($B12="","",IF($A12=0,0,IF(ISNUMBER($H12),$H12,IF(ISNUMBER(CDS_Entities!$AK$10),CDS_Entities!$AK$10,IF(ISNUMBER(CDS_Entities!$J$10),CDS_Entities!$J$10,0)))))</f>
        <v/>
      </c>
      <c r="I26" s="205">
        <f>IF($B12="","",IF($A12=0,0,IF(ISNUMBER($I12),$I12,IF(ISNUMBER(CDS_Entities!$AM$10),CDS_Entities!$AM$10,IF(ISNUMBER(CDS_Entities!$K$10),CDS_Entities!$K$10,0)))))</f>
        <v/>
      </c>
      <c r="J26" s="205">
        <f>IF($B12="","",IF($A12=0,0,IF(ISNUMBER($J12),$J12,IF(ISNUMBER(CDS_Entities!$AO$10),CDS_Entities!$AO$10,IF(ISNUMBER(CDS_Entities!$L$10),CDS_Entities!$L$10,0)))))</f>
        <v/>
      </c>
      <c r="K26" s="205">
        <f>IF($B12="","",IF($A12=0,0,IF(ISNUMBER($K12),$K12,IF(ISNUMBER(CDS_Entities!$AQ$10),CDS_Entities!$AQ$10,IF(ISNUMBER(CDS_Entities!$M$10),CDS_Entities!$M$10,0)))))</f>
        <v/>
      </c>
    </row>
    <row r="27">
      <c r="A27" s="204" t="n"/>
      <c r="B27" s="204">
        <f>IF($B13="","",$B13)</f>
        <v/>
      </c>
      <c r="C27" s="204" t="n"/>
      <c r="D27" s="204" t="n"/>
      <c r="E27" s="204">
        <f>IF($B13="","",IF($A13=0,"off",IF(ISNUMBER($E13),$E13,CDS_Entities!$F$11)))</f>
        <v/>
      </c>
      <c r="F27" s="205">
        <f>IF($B13="","",IF($A13=0,0,IF(ISNUMBER($F13),$F13,IF(ISNUMBER(CDS_Entities!$AG$11),CDS_Entities!$AG$11,IF(ISNUMBER(CDS_Entities!$H$11),CDS_Entities!$H$11,0)))))</f>
        <v/>
      </c>
      <c r="G27" s="205">
        <f>IF($B13="","",IF($A13=0,0,IF(ISNUMBER($G13),$G13,IF(ISNUMBER(CDS_Entities!$AI$11),CDS_Entities!$AI$11,IF(ISNUMBER(CDS_Entities!$I$11),CDS_Entities!$I$11,0)))))</f>
        <v/>
      </c>
      <c r="H27" s="205">
        <f>IF($B13="","",IF($A13=0,0,IF(ISNUMBER($H13),$H13,IF(ISNUMBER(CDS_Entities!$AK$11),CDS_Entities!$AK$11,IF(ISNUMBER(CDS_Entities!$J$11),CDS_Entities!$J$11,0)))))</f>
        <v/>
      </c>
      <c r="I27" s="205">
        <f>IF($B13="","",IF($A13=0,0,IF(ISNUMBER($I13),$I13,IF(ISNUMBER(CDS_Entities!$AM$11),CDS_Entities!$AM$11,IF(ISNUMBER(CDS_Entities!$K$11),CDS_Entities!$K$11,0)))))</f>
        <v/>
      </c>
      <c r="J27" s="205">
        <f>IF($B13="","",IF($A13=0,0,IF(ISNUMBER($J13),$J13,IF(ISNUMBER(CDS_Entities!$AO$11),CDS_Entities!$AO$11,IF(ISNUMBER(CDS_Entities!$L$11),CDS_Entities!$L$11,0)))))</f>
        <v/>
      </c>
      <c r="K27" s="205">
        <f>IF($B13="","",IF($A13=0,0,IF(ISNUMBER($K13),$K13,IF(ISNUMBER(CDS_Entities!$AQ$11),CDS_Entities!$AQ$11,IF(ISNUMBER(CDS_Entities!$M$11),CDS_Entities!$M$11,0)))))</f>
        <v/>
      </c>
    </row>
    <row r="28">
      <c r="A28" s="204" t="n"/>
      <c r="B28" s="204">
        <f>IF($B14="","",$B14)</f>
        <v/>
      </c>
      <c r="C28" s="204" t="n"/>
      <c r="D28" s="204" t="n"/>
      <c r="E28" s="204">
        <f>IF($B14="","",IF($A14=0,"off",IF(ISNUMBER($E14),$E14,CDS_Entities!$F$12)))</f>
        <v/>
      </c>
      <c r="F28" s="205">
        <f>IF($B14="","",IF($A14=0,0,IF(ISNUMBER($F14),$F14,IF(ISNUMBER(CDS_Entities!$AG$12),CDS_Entities!$AG$12,IF(ISNUMBER(CDS_Entities!$H$12),CDS_Entities!$H$12,0)))))</f>
        <v/>
      </c>
      <c r="G28" s="205">
        <f>IF($B14="","",IF($A14=0,0,IF(ISNUMBER($G14),$G14,IF(ISNUMBER(CDS_Entities!$AI$12),CDS_Entities!$AI$12,IF(ISNUMBER(CDS_Entities!$I$12),CDS_Entities!$I$12,0)))))</f>
        <v/>
      </c>
      <c r="H28" s="205">
        <f>IF($B14="","",IF($A14=0,0,IF(ISNUMBER($H14),$H14,IF(ISNUMBER(CDS_Entities!$AK$12),CDS_Entities!$AK$12,IF(ISNUMBER(CDS_Entities!$J$12),CDS_Entities!$J$12,0)))))</f>
        <v/>
      </c>
      <c r="I28" s="205">
        <f>IF($B14="","",IF($A14=0,0,IF(ISNUMBER($I14),$I14,IF(ISNUMBER(CDS_Entities!$AM$12),CDS_Entities!$AM$12,IF(ISNUMBER(CDS_Entities!$K$12),CDS_Entities!$K$12,0)))))</f>
        <v/>
      </c>
      <c r="J28" s="205">
        <f>IF($B14="","",IF($A14=0,0,IF(ISNUMBER($J14),$J14,IF(ISNUMBER(CDS_Entities!$AO$12),CDS_Entities!$AO$12,IF(ISNUMBER(CDS_Entities!$L$12),CDS_Entities!$L$12,0)))))</f>
        <v/>
      </c>
      <c r="K28" s="205">
        <f>IF($B14="","",IF($A14=0,0,IF(ISNUMBER($K14),$K14,IF(ISNUMBER(CDS_Entities!$AQ$12),CDS_Entities!$AQ$12,IF(ISNUMBER(CDS_Entities!$M$12),CDS_Entities!$M$12,0)))))</f>
        <v/>
      </c>
    </row>
    <row r="29">
      <c r="A29" s="204" t="n"/>
      <c r="B29" s="204">
        <f>IF($B15="","",$B15)</f>
        <v/>
      </c>
      <c r="C29" s="204" t="n"/>
      <c r="D29" s="204" t="n"/>
      <c r="E29" s="204">
        <f>IF($B15="","",IF($A15=0,"off",IF(ISNUMBER($E15),$E15,CDS_Entities!$F$13)))</f>
        <v/>
      </c>
      <c r="F29" s="205">
        <f>IF($B15="","",IF($A15=0,0,IF(ISNUMBER($F15),$F15,IF(ISNUMBER(CDS_Entities!$AG$13),CDS_Entities!$AG$13,IF(ISNUMBER(CDS_Entities!$H$13),CDS_Entities!$H$13,0)))))</f>
        <v/>
      </c>
      <c r="G29" s="205">
        <f>IF($B15="","",IF($A15=0,0,IF(ISNUMBER($G15),$G15,IF(ISNUMBER(CDS_Entities!$AI$13),CDS_Entities!$AI$13,IF(ISNUMBER(CDS_Entities!$I$13),CDS_Entities!$I$13,0)))))</f>
        <v/>
      </c>
      <c r="H29" s="205">
        <f>IF($B15="","",IF($A15=0,0,IF(ISNUMBER($H15),$H15,IF(ISNUMBER(CDS_Entities!$AK$13),CDS_Entities!$AK$13,IF(ISNUMBER(CDS_Entities!$J$13),CDS_Entities!$J$13,0)))))</f>
        <v/>
      </c>
      <c r="I29" s="205">
        <f>IF($B15="","",IF($A15=0,0,IF(ISNUMBER($I15),$I15,IF(ISNUMBER(CDS_Entities!$AM$13),CDS_Entities!$AM$13,IF(ISNUMBER(CDS_Entities!$K$13),CDS_Entities!$K$13,0)))))</f>
        <v/>
      </c>
      <c r="J29" s="205">
        <f>IF($B15="","",IF($A15=0,0,IF(ISNUMBER($J15),$J15,IF(ISNUMBER(CDS_Entities!$AO$13),CDS_Entities!$AO$13,IF(ISNUMBER(CDS_Entities!$L$13),CDS_Entities!$L$13,0)))))</f>
        <v/>
      </c>
      <c r="K29" s="205">
        <f>IF($B15="","",IF($A15=0,0,IF(ISNUMBER($K15),$K15,IF(ISNUMBER(CDS_Entities!$AQ$13),CDS_Entities!$AQ$13,IF(ISNUMBER(CDS_Entities!$M$13),CDS_Entities!$M$13,0)))))</f>
        <v/>
      </c>
    </row>
    <row r="30">
      <c r="A30" s="204" t="n"/>
      <c r="B30" s="204">
        <f>IF($B16="","",$B16)</f>
        <v/>
      </c>
      <c r="C30" s="204" t="n"/>
      <c r="D30" s="204" t="n"/>
      <c r="E30" s="204">
        <f>IF($B16="","",IF($A16=0,"off",IF(ISNUMBER($E16),$E16,CDS_Entities!$F$14)))</f>
        <v/>
      </c>
      <c r="F30" s="205">
        <f>IF($B16="","",IF($A16=0,0,IF(ISNUMBER($F16),$F16,IF(ISNUMBER(CDS_Entities!$AG$14),CDS_Entities!$AG$14,IF(ISNUMBER(CDS_Entities!$H$14),CDS_Entities!$H$14,0)))))</f>
        <v/>
      </c>
      <c r="G30" s="205">
        <f>IF($B16="","",IF($A16=0,0,IF(ISNUMBER($G16),$G16,IF(ISNUMBER(CDS_Entities!$AI$14),CDS_Entities!$AI$14,IF(ISNUMBER(CDS_Entities!$I$14),CDS_Entities!$I$14,0)))))</f>
        <v/>
      </c>
      <c r="H30" s="205">
        <f>IF($B16="","",IF($A16=0,0,IF(ISNUMBER($H16),$H16,IF(ISNUMBER(CDS_Entities!$AK$14),CDS_Entities!$AK$14,IF(ISNUMBER(CDS_Entities!$J$14),CDS_Entities!$J$14,0)))))</f>
        <v/>
      </c>
      <c r="I30" s="205">
        <f>IF($B16="","",IF($A16=0,0,IF(ISNUMBER($I16),$I16,IF(ISNUMBER(CDS_Entities!$AM$14),CDS_Entities!$AM$14,IF(ISNUMBER(CDS_Entities!$K$14),CDS_Entities!$K$14,0)))))</f>
        <v/>
      </c>
      <c r="J30" s="205">
        <f>IF($B16="","",IF($A16=0,0,IF(ISNUMBER($J16),$J16,IF(ISNUMBER(CDS_Entities!$AO$14),CDS_Entities!$AO$14,IF(ISNUMBER(CDS_Entities!$L$14),CDS_Entities!$L$14,0)))))</f>
        <v/>
      </c>
      <c r="K30" s="205">
        <f>IF($B16="","",IF($A16=0,0,IF(ISNUMBER($K16),$K16,IF(ISNUMBER(CDS_Entities!$AQ$14),CDS_Entities!$AQ$14,IF(ISNUMBER(CDS_Entities!$M$14),CDS_Entities!$M$14,0)))))</f>
        <v/>
      </c>
    </row>
  </sheetData>
  <dataValidations count="1">
    <dataValidation sqref="B4" showDropDown="0" showInputMessage="0" showErrorMessage="0" allowBlank="0" type="list">
      <formula1>=$B$7:$B$16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6A1B9A"/>
    <outlinePr summaryBelow="1" summaryRight="1"/>
    <pageSetUpPr/>
  </sheetPr>
  <dimension ref="A1:H3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</cols>
  <sheetData>
    <row r="1">
      <c r="A1" s="1" t="inlineStr">
        <is>
          <t>CDS_Parameters</t>
        </is>
      </c>
    </row>
    <row r="2">
      <c r="A2" s="2" t="inlineStr">
        <is>
          <t>Credit-default-swap assumptions (recovery is an INPUT, not bootstrapped)</t>
        </is>
      </c>
    </row>
    <row r="4">
      <c r="A4" s="5" t="inlineStr">
        <is>
          <t>Valuation date</t>
        </is>
      </c>
      <c r="B4" s="18">
        <f>VAL_DATE</f>
        <v/>
      </c>
      <c r="C4" s="16" t="inlineStr">
        <is>
          <t>Linked to the Parameters/Instructions tab.</t>
        </is>
      </c>
    </row>
    <row r="5">
      <c r="A5" s="5" t="inlineStr">
        <is>
          <t>1st CDS date (roll)</t>
        </is>
      </c>
      <c r="B5" s="18">
        <f>'Curve_Interface'!$F$7</f>
        <v/>
      </c>
      <c r="C5" s="16" t="inlineStr">
        <is>
          <t>Next 20 Mar/Jun/Sep/Dec.</t>
        </is>
      </c>
    </row>
    <row r="6">
      <c r="A6" s="5" t="inlineStr">
        <is>
          <t>Currency</t>
        </is>
      </c>
      <c r="B6" s="6" t="inlineStr">
        <is>
          <t>USD</t>
        </is>
      </c>
    </row>
    <row r="7">
      <c r="A7" s="5" t="inlineStr">
        <is>
          <t>Reference entity</t>
        </is>
      </c>
      <c r="B7" s="37" t="inlineStr">
        <is>
          <t>EXAMPLE CORP</t>
        </is>
      </c>
      <c r="C7" s="16" t="inlineStr">
        <is>
          <t>Type your reference entity.</t>
        </is>
      </c>
    </row>
    <row r="8">
      <c r="A8" s="5" t="inlineStr">
        <is>
          <t>Recovery rate R</t>
        </is>
      </c>
      <c r="B8" s="219">
        <f>IF(Steps!$B$8="",0.4,Steps!$B$8)</f>
        <v/>
      </c>
      <c r="C8" s="16" t="inlineStr">
        <is>
          <t>Assumed. Changing R re-fits every hazard.</t>
        </is>
      </c>
    </row>
    <row r="9">
      <c r="A9" s="5" t="inlineStr">
        <is>
          <t>Notional</t>
        </is>
      </c>
      <c r="B9" s="220">
        <f>IF(Steps!$B$6="",10000000,Steps!$B$6)</f>
        <v/>
      </c>
    </row>
    <row r="10">
      <c r="A10" s="5" t="inlineStr">
        <is>
          <t>Standard coupon (bp)</t>
        </is>
      </c>
      <c r="B10" s="221">
        <f>IF(Steps!$B$7="",100,Steps!$B$7)</f>
        <v/>
      </c>
      <c r="C10" s="16" t="inlineStr">
        <is>
          <t>Fixed running coupon (IG=100, HY=500).</t>
        </is>
      </c>
    </row>
    <row r="11">
      <c r="A11" s="5" t="inlineStr">
        <is>
          <t>Premium frequency</t>
        </is>
      </c>
      <c r="B11" s="6" t="inlineStr">
        <is>
          <t>Quarterly</t>
        </is>
      </c>
    </row>
    <row r="12">
      <c r="A12" s="5" t="inlineStr">
        <is>
          <t>Premium day count</t>
        </is>
      </c>
      <c r="B12" s="6" t="inlineStr">
        <is>
          <t>ACT/360</t>
        </is>
      </c>
    </row>
    <row r="13">
      <c r="A13" s="5" t="inlineStr">
        <is>
          <t>Hazard interpolation</t>
        </is>
      </c>
      <c r="B13" s="6" t="inlineStr">
        <is>
          <t>Piecewise-constant</t>
        </is>
      </c>
    </row>
    <row r="14">
      <c r="A14" s="5" t="inlineStr">
        <is>
          <t>Discount curve</t>
        </is>
      </c>
      <c r="B14" s="6" t="inlineStr">
        <is>
          <t>SOFR OIS (Curve_Interface)</t>
        </is>
      </c>
    </row>
    <row r="15">
      <c r="A15" s="5" t="inlineStr">
        <is>
          <t>Protection direction</t>
        </is>
      </c>
      <c r="B15" s="222">
        <f>IF(Steps!$B$10="","Buy protection",Steps!$B$10)</f>
        <v/>
      </c>
      <c r="C15" s="16" t="inlineStr">
        <is>
          <t>"Buy protection" or "Sell protection".</t>
        </is>
      </c>
    </row>
    <row r="16">
      <c r="A16" s="5" t="inlineStr">
        <is>
          <t>Accrual-on-default</t>
        </is>
      </c>
      <c r="B16" s="6" t="inlineStr">
        <is>
          <t>Included (midpoint approx.)</t>
        </is>
      </c>
    </row>
    <row r="17">
      <c r="A17" s="67" t="inlineStr">
        <is>
          <t>Hazard mode</t>
        </is>
      </c>
      <c r="B17" s="68" t="inlineStr">
        <is>
          <t>Bootstrap from CDS curve</t>
        </is>
      </c>
      <c r="C17" s="65" t="inlineStr">
        <is>
          <t>Bootstrap fits the term structure to CDS_Quotes; Flat overrides every tenor with B18.</t>
        </is>
      </c>
    </row>
    <row r="18">
      <c r="A18" s="67" t="inlineStr">
        <is>
          <t>Flat hazard rate</t>
        </is>
      </c>
      <c r="B18" s="69" t="n">
        <v>0.015</v>
      </c>
      <c r="C18" s="65" t="inlineStr">
        <is>
          <t>Continuously-compounded intensity. Credit-triangle guide: S/(1-R).</t>
        </is>
      </c>
    </row>
    <row r="19">
      <c r="A19" s="67" t="inlineStr">
        <is>
          <t>Reference entity ticker</t>
        </is>
      </c>
      <c r="B19" s="223">
        <f>IF(Steps!$B$5="",IF(Entities!$F$4="","",Entities!$F$4),Steps!$B$5)</f>
        <v/>
      </c>
      <c r="C19" s="177" t="inlineStr">
        <is>
          <t>from Entities!F4 - the selected name's ticker</t>
        </is>
      </c>
    </row>
    <row r="20">
      <c r="A20" s="67" t="inlineStr">
        <is>
          <t>SETTLEMENT / ACCRUAL  (white paper p.6-7)</t>
        </is>
      </c>
    </row>
    <row r="21">
      <c r="A21" s="94" t="inlineStr">
        <is>
          <t>Settlement date T_s</t>
        </is>
      </c>
      <c r="B21" s="128">
        <f>CDS_Parameters!$B$4+3+IF(WEEKDAY(CDS_Parameters!$B$4,2)&gt;=3,2,0)</f>
        <v/>
      </c>
      <c r="C21" s="177" t="inlineStr">
        <is>
          <t>T + 3 business days (p.7).</t>
        </is>
      </c>
    </row>
    <row r="22">
      <c r="A22" s="94" t="inlineStr">
        <is>
          <t>D(T_s)</t>
        </is>
      </c>
      <c r="B22" s="129">
        <f>IFERROR(INDEX('Curve_Interface'!$L$8:$L$73,MATCH($B$21,'Curve_Interface'!$K$8:$K$73,1))*(INDEX('Curve_Interface'!$L$8:$L$73,MATCH($B$21,'Curve_Interface'!$K$8:$K$73,1)+1)/INDEX('Curve_Interface'!$L$8:$L$73,MATCH($B$21,'Curve_Interface'!$K$8:$K$73,1)))^(($B$21-INDEX('Curve_Interface'!$K$8:$K$73,MATCH($B$21,'Curve_Interface'!$K$8:$K$73,1)))/(INDEX('Curve_Interface'!$K$8:$K$73,MATCH($B$21,'Curve_Interface'!$K$8:$K$73,1)+1)-INDEX('Curve_Interface'!$K$8:$K$73,MATCH($B$21,'Curve_Interface'!$K$8:$K$73,1)))),INDEX('Curve_Interface'!$L$8:$L$73,MATCH($B$21,'Curve_Interface'!$K$8:$K$73,1)))</f>
        <v/>
      </c>
      <c r="C22" s="65" t="inlineStr">
        <is>
          <t>Discount factor at settlement, off Curve_Interface. The DF component.</t>
        </is>
      </c>
    </row>
    <row r="23">
      <c r="A23" s="94" t="inlineStr">
        <is>
          <t>Accrual start T_0</t>
        </is>
      </c>
      <c r="B23" s="128">
        <f>IF(MONTH((EDATE($B$5,-3)+IF(WEEKDAY(EDATE($B$5,-3),2)=6,2,IF(WEEKDAY(EDATE($B$5,-3),2)=7,1,0))))&lt;&gt;MONTH(EDATE($B$5,-3)),(EDATE($B$5,-3)-IF(WEEKDAY(EDATE($B$5,-3),2)=6,1,IF(WEEKDAY(EDATE($B$5,-3),2)=7,2,0))),(EDATE($B$5,-3)+IF(WEEKDAY(EDATE($B$5,-3),2)=6,2,IF(WEEKDAY(EDATE($B$5,-3),2)=7,1,0))))</f>
        <v/>
      </c>
      <c r="C23" s="65" t="inlineStr">
        <is>
          <t>Previous IMM roll, business-day adjusted.</t>
        </is>
      </c>
    </row>
    <row r="24">
      <c r="A24" s="94" t="inlineStr">
        <is>
          <t>Accrued days</t>
        </is>
      </c>
      <c r="B24" s="130">
        <f>MAX(0,CDS_Parameters!$B$4-$B$23+1)</f>
        <v/>
      </c>
      <c r="C24" s="65" t="inlineStr">
        <is>
          <t>Includes the pricing date (p.7): one more than the daycount difference.</t>
        </is>
      </c>
    </row>
    <row r="25">
      <c r="A25" s="94" t="inlineStr">
        <is>
          <t>Accrual fraction D0 (ACT/360)</t>
        </is>
      </c>
      <c r="B25" s="71">
        <f>$B$24/360</f>
        <v/>
      </c>
    </row>
    <row r="26">
      <c r="A26" s="94" t="inlineStr">
        <is>
          <t>PV01 netting term  D0 * D(T_s)</t>
        </is>
      </c>
      <c r="B26" s="71">
        <f>$B$25*$B$22</f>
        <v/>
      </c>
      <c r="C26" s="65" t="inlineStr">
        <is>
          <t>Subtracted from the premium leg in (3.3). ~0.083 against RPV01 ~4.4, so it moves the stripped hazards by roughly 2%.</t>
        </is>
      </c>
    </row>
    <row r="27">
      <c r="A27" s="67" t="inlineStr">
        <is>
          <t>Active entity</t>
        </is>
      </c>
      <c r="B27" s="68">
        <f>Entities!$B$4</f>
        <v/>
      </c>
      <c r="C27" s="65" t="inlineStr">
        <is>
          <t>Picks a row on CDS_Entities. Spreads, recovery and the CDSW targets all follow.</t>
        </is>
      </c>
    </row>
    <row r="28">
      <c r="A28" s="94" t="inlineStr">
        <is>
          <t>row on CDS_Entities</t>
        </is>
      </c>
      <c r="B28" s="130">
        <f>IFERROR(MATCH($B$27,CDS_Entities!$A$5:$A$14,0),0)</f>
        <v/>
      </c>
    </row>
    <row r="29">
      <c r="A29" s="94" t="inlineStr">
        <is>
          <t>Recovery from that row</t>
        </is>
      </c>
      <c r="B29" s="149">
        <f>IFERROR(INDEX(CDS_Entities!$F$5:$F$14,$B$28),"")</f>
        <v/>
      </c>
      <c r="C29" s="65" t="inlineStr">
        <is>
          <t>Type it into B8 to use it; left manual so a mis-selection cannot silently reprice the book.</t>
        </is>
      </c>
    </row>
    <row r="30">
      <c r="A30" s="67" t="inlineStr">
        <is>
          <t>Root-finding method</t>
        </is>
      </c>
      <c r="B30" s="178" t="inlineStr">
        <is>
          <t>BRENT</t>
        </is>
      </c>
      <c r="C30" s="177" t="inlineStr">
        <is>
          <t>All eight solve the same segment objective. Brent unless you are testing.</t>
        </is>
      </c>
    </row>
  </sheetData>
  <mergeCells count="6">
    <mergeCell ref="C10:H10"/>
    <mergeCell ref="C5:H5"/>
    <mergeCell ref="C8:H8"/>
    <mergeCell ref="C4:H4"/>
    <mergeCell ref="C7:H7"/>
    <mergeCell ref="C15:H15"/>
  </mergeCells>
  <dataValidations count="1">
    <dataValidation sqref="B30" showDropDown="0" showInputMessage="0" showErrorMessage="0" allowBlank="0" type="list">
      <formula1>"BRENT,BISECTION,FALSE POSITION,SECANT,NEWTON,HALLEY,HOUSEHOLDER,RIDDERS"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D32"/>
    <outlinePr summaryBelow="1" summaryRight="1"/>
    <pageSetUpPr/>
  </sheetPr>
  <dimension ref="A1:O73"/>
  <sheetViews>
    <sheetView showGridLines="0" workbookViewId="0">
      <pane xSplit="1" ySplit="9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3" customWidth="1" min="2" max="2"/>
    <col width="11" customWidth="1" min="3" max="3"/>
    <col width="13" customWidth="1" min="4" max="4"/>
    <col width="13" customWidth="1" min="5" max="5"/>
    <col width="11" customWidth="1" min="6" max="6"/>
    <col width="14" customWidth="1" min="7" max="7"/>
    <col width="12" customWidth="1" min="8" max="8"/>
    <col width="13" customWidth="1" min="11" max="11"/>
    <col width="14" customWidth="1" min="12" max="12"/>
  </cols>
  <sheetData>
    <row r="1">
      <c r="A1" s="1" t="inlineStr">
        <is>
          <t>Curve_Interface</t>
        </is>
      </c>
    </row>
    <row r="2">
      <c r="A2" s="2" t="inlineStr">
        <is>
          <t>Shared discounting D(0,t). Curve grid in K:L is a dated snapshot from the SOFR bootstrap, pasted as values.</t>
        </is>
      </c>
    </row>
    <row r="4" ht="66" customHeight="1">
      <c r="A4" s="9" t="inlineStr">
        <is>
          <t>Piecewise-flat instantaneous forward between pillars. Confirmed against S490 as Step Forward (Cont).</t>
        </is>
      </c>
    </row>
    <row r="5">
      <c r="N5" s="67" t="inlineStr">
        <is>
          <t>Valuation date</t>
        </is>
      </c>
      <c r="O5" s="224">
        <f>IF(Steps!$B$11&lt;&gt;"",Steps!$B$11,$K$8)</f>
        <v/>
      </c>
    </row>
    <row r="6">
      <c r="K6" s="13" t="inlineStr">
        <is>
          <t>Curve grid - LIVE LINK to the curve workbook</t>
        </is>
      </c>
      <c r="M6" s="177" t="inlineStr">
        <is>
          <t>source: [USD_SOFR_Curve_Bloomberg_Pricer.xlsx]Curve_Interface!K8 (anchor) + K10:L74 (65 pillars)</t>
        </is>
      </c>
      <c r="N6" s="177" t="inlineStr">
        <is>
          <t>blank on Steps = follow the curve workbook</t>
        </is>
      </c>
    </row>
    <row r="7">
      <c r="A7" s="13" t="inlineStr">
        <is>
          <t>Valuation:</t>
        </is>
      </c>
      <c r="B7" s="47">
        <f>VAL_DATE</f>
        <v/>
      </c>
      <c r="C7" s="13" t="inlineStr">
        <is>
          <t>Spot:</t>
        </is>
      </c>
      <c r="D7" s="194">
        <f>'[USD_SOFR_Curve_Bloomberg_Pricer.xlsx]Curve_Interface'!$D$7</f>
        <v/>
      </c>
      <c r="E7" s="13" t="inlineStr">
        <is>
          <t>1st CDS date:</t>
        </is>
      </c>
      <c r="F7" s="47">
        <f>IF(DATE(YEAR(VAL_DATE),CEILING(MONTH(VAL_DATE)/3,1)*3,20)&gt;=VAL_DATE,DATE(YEAR(VAL_DATE),CEILING(MONTH(VAL_DATE)/3,1)*3,20),EDATE(DATE(YEAR(VAL_DATE),CEILING(MONTH(VAL_DATE)/3,1)*3,20),3))</f>
        <v/>
      </c>
      <c r="I7" s="67" t="inlineStr">
        <is>
          <t>Interpolation</t>
        </is>
      </c>
      <c r="J7" s="68" t="inlineStr">
        <is>
          <t>Step-function forward (flat fwd)</t>
        </is>
      </c>
      <c r="K7" s="20" t="inlineStr">
        <is>
          <t>Date</t>
        </is>
      </c>
      <c r="L7" s="20" t="inlineStr">
        <is>
          <t>DF</t>
        </is>
      </c>
    </row>
    <row r="8">
      <c r="I8" s="67" t="inlineStr">
        <is>
          <t>VERIFIED default</t>
        </is>
      </c>
      <c r="J8" s="66" t="inlineStr">
        <is>
          <t>Step-function forward reproduces S490 (confirmed on screen: Step Forward (Cont)). Piecewise Linear (Simple) is 48x worse here. Only switch if the screen says so.</t>
        </is>
      </c>
      <c r="K8" s="195">
        <f>'[USD_SOFR_Curve_Bloomberg_Pricer.xlsx]Curve_Interface'!$K$8</f>
        <v/>
      </c>
      <c r="L8" s="196">
        <f>'[USD_SOFR_Curve_Bloomberg_Pricer.xlsx]Curve_Interface'!$L$8</f>
        <v/>
      </c>
      <c r="N8" s="67" t="inlineStr">
        <is>
          <t>LINK CHECK</t>
        </is>
      </c>
    </row>
    <row r="9" ht="30" customHeight="1">
      <c r="A9" s="140" t="inlineStr">
        <is>
          <t>Coupon #</t>
        </is>
      </c>
      <c r="B9" s="140" t="inlineStr">
        <is>
          <t>Date</t>
        </is>
      </c>
      <c r="C9" s="140" t="inlineStr">
        <is>
          <t>Time from val (yrs)</t>
        </is>
      </c>
      <c r="D9" s="140" t="inlineStr">
        <is>
          <t>Prev SOFR pillar</t>
        </is>
      </c>
      <c r="E9" s="140" t="inlineStr">
        <is>
          <t>Next SOFR pillar</t>
        </is>
      </c>
      <c r="F9" s="140" t="inlineStr">
        <is>
          <t>Segment fwd (%)</t>
        </is>
      </c>
      <c r="G9" s="140" t="inlineStr">
        <is>
          <t>Interp DF  D(0,t)</t>
        </is>
      </c>
      <c r="H9" s="140" t="inlineStr">
        <is>
          <t>Interp zero (%)</t>
        </is>
      </c>
      <c r="K9" s="197">
        <f>'[USD_SOFR_Curve_Bloomberg_Pricer.xlsx]Curve_Interface'!$K$10</f>
        <v/>
      </c>
      <c r="L9" s="198">
        <f>'[USD_SOFR_Curve_Bloomberg_Pricer.xlsx]Curve_Interface'!$L$10</f>
        <v/>
      </c>
      <c r="N9" s="126" t="inlineStr">
        <is>
          <t>pillars linked</t>
        </is>
      </c>
      <c r="O9" s="184">
        <f>COUNT($L$8:$L$73)</f>
        <v/>
      </c>
    </row>
    <row r="10">
      <c r="A10" s="43" t="n">
        <v>1</v>
      </c>
      <c r="B10" s="18">
        <f>EDATE($F$7,3*0)</f>
        <v/>
      </c>
      <c r="C10" s="34">
        <f>(B10-VAL_DATE)/365</f>
        <v/>
      </c>
      <c r="D10" s="18">
        <f>INDEX($K$8:$K$73,MATCH(B10,$K$8:$K$73,1))</f>
        <v/>
      </c>
      <c r="E10" s="18">
        <f>INDEX($K$8:$K$73,MATCH(B10,$K$8:$K$73,1)+1)</f>
        <v/>
      </c>
      <c r="F10" s="17">
        <f>-LN(INDEX($L$8:$L$73,MATCH(B10,$K$8:$K$73,1)+1)/INDEX($L$8:$L$73,MATCH(B10,$K$8:$K$73,1)))/((E10-D10)/365)*100</f>
        <v/>
      </c>
      <c r="G10" s="76">
        <f>IFERROR(IF($J$7="Piecewise Linear (Simple)",IF(((B10-VAL_DATE)/360)&lt;=0,1,1/(1+(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+(IF(((E10-VAL_DATE)/360)&lt;=0,0,(1/INDEX($L$8:$L$73,MATCH(B10,$K$8:$K$73,1)+1)-1)/((E10-VAL_DATE)/360))-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)*IF(((E10-VAL_DATE)/360)-MAX((10&gt;0)*(D10-VAL_DATE)/360,0)=0,0,(((B10-VAL_DATE)/360)-MAX((10&gt;0)*(D10-VAL_DATE)/360,0))/(((E10-VAL_DATE)/360)-MAX((10&gt;0)*(D10-VAL_DATE)/360,0))))*((B10-VAL_DATE)/360))),INDEX($L$8:$L$73,MATCH(B10,$K$8:$K$73,1))*EXP(-(F10/100)*(B10-D10)/365)),"")</f>
        <v/>
      </c>
      <c r="H10" s="17">
        <f>-LN(G10)/C10*100</f>
        <v/>
      </c>
      <c r="I10" s="65" t="inlineStr">
        <is>
          <t>Method 1: DF=1/(1+r_s*t), r_s linear, ACT/360, flat outside the pillars.</t>
        </is>
      </c>
      <c r="K10" s="199">
        <f>'[USD_SOFR_Curve_Bloomberg_Pricer.xlsx]Curve_Interface'!$K$11</f>
        <v/>
      </c>
      <c r="L10" s="200">
        <f>'[USD_SOFR_Curve_Bloomberg_Pricer.xlsx]Curve_Interface'!$L$11</f>
        <v/>
      </c>
      <c r="N10" s="126" t="inlineStr">
        <is>
          <t>first date</t>
        </is>
      </c>
      <c r="O10" s="201">
        <f>IF(COUNT($K$8:$K$73)=0,"",MIN($K$8:$K$73))</f>
        <v/>
      </c>
    </row>
    <row r="11">
      <c r="A11" s="43" t="n">
        <v>2</v>
      </c>
      <c r="B11" s="18">
        <f>EDATE($F$7,3*1)</f>
        <v/>
      </c>
      <c r="C11" s="34">
        <f>(B11-VAL_DATE)/365</f>
        <v/>
      </c>
      <c r="D11" s="18">
        <f>INDEX($K$8:$K$73,MATCH(B11,$K$8:$K$73,1))</f>
        <v/>
      </c>
      <c r="E11" s="18">
        <f>INDEX($K$8:$K$73,MATCH(B11,$K$8:$K$73,1)+1)</f>
        <v/>
      </c>
      <c r="F11" s="17">
        <f>-LN(INDEX($L$8:$L$73,MATCH(B11,$K$8:$K$73,1)+1)/INDEX($L$8:$L$73,MATCH(B11,$K$8:$K$73,1)))/((E11-D11)/365)*100</f>
        <v/>
      </c>
      <c r="G11" s="76">
        <f>IFERROR(IF($J$7="Piecewise Linear (Simple)",IF(((B11-VAL_DATE)/360)&lt;=0,1,1/(1+(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+(IF(((E11-VAL_DATE)/360)&lt;=0,0,(1/INDEX($L$8:$L$73,MATCH(B11,$K$8:$K$73,1)+1)-1)/((E11-VAL_DATE)/360))-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)*IF(((E11-VAL_DATE)/360)-MAX((11&gt;0)*(D11-VAL_DATE)/360,0)=0,0,(((B11-VAL_DATE)/360)-MAX((11&gt;0)*(D11-VAL_DATE)/360,0))/(((E11-VAL_DATE)/360)-MAX((11&gt;0)*(D11-VAL_DATE)/360,0))))*((B11-VAL_DATE)/360))),INDEX($L$8:$L$73,MATCH(B11,$K$8:$K$73,1))*EXP(-(F11/100)*(B11-D11)/365)),"")</f>
        <v/>
      </c>
      <c r="H11" s="17">
        <f>-LN(G11)/C11*100</f>
        <v/>
      </c>
      <c r="I11" s="65" t="inlineStr">
        <is>
          <t>Method 3: flat forward between pillars = log-linear in DF.</t>
        </is>
      </c>
      <c r="K11" s="199">
        <f>'[USD_SOFR_Curve_Bloomberg_Pricer.xlsx]Curve_Interface'!$K$12</f>
        <v/>
      </c>
      <c r="L11" s="200">
        <f>'[USD_SOFR_Curve_Bloomberg_Pricer.xlsx]Curve_Interface'!$L$12</f>
        <v/>
      </c>
      <c r="N11" s="126" t="inlineStr">
        <is>
          <t>last date</t>
        </is>
      </c>
      <c r="O11" s="201">
        <f>IF(COUNT($K$8:$K$73)=0,"",MAX($K$8:$K$73))</f>
        <v/>
      </c>
    </row>
    <row r="12">
      <c r="A12" s="43" t="n">
        <v>3</v>
      </c>
      <c r="B12" s="18">
        <f>EDATE($F$7,3*2)</f>
        <v/>
      </c>
      <c r="C12" s="34">
        <f>(B12-VAL_DATE)/365</f>
        <v/>
      </c>
      <c r="D12" s="18">
        <f>INDEX($K$8:$K$73,MATCH(B12,$K$8:$K$73,1))</f>
        <v/>
      </c>
      <c r="E12" s="18">
        <f>INDEX($K$8:$K$73,MATCH(B12,$K$8:$K$73,1)+1)</f>
        <v/>
      </c>
      <c r="F12" s="17">
        <f>-LN(INDEX($L$8:$L$73,MATCH(B12,$K$8:$K$73,1)+1)/INDEX($L$8:$L$73,MATCH(B12,$K$8:$K$73,1)))/((E12-D12)/365)*100</f>
        <v/>
      </c>
      <c r="G12" s="76">
        <f>IFERROR(IF($J$7="Piecewise Linear (Simple)",IF(((B12-VAL_DATE)/360)&lt;=0,1,1/(1+(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+(IF(((E12-VAL_DATE)/360)&lt;=0,0,(1/INDEX($L$8:$L$73,MATCH(B12,$K$8:$K$73,1)+1)-1)/((E12-VAL_DATE)/360))-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)*IF(((E12-VAL_DATE)/360)-MAX((12&gt;0)*(D12-VAL_DATE)/360,0)=0,0,(((B12-VAL_DATE)/360)-MAX((12&gt;0)*(D12-VAL_DATE)/360,0))/(((E12-VAL_DATE)/360)-MAX((12&gt;0)*(D12-VAL_DATE)/360,0))))*((B12-VAL_DATE)/360))),INDEX($L$8:$L$73,MATCH(B12,$K$8:$K$73,1))*EXP(-(F12/100)*(B12-D12)/365)),"")</f>
        <v/>
      </c>
      <c r="H12" s="17">
        <f>-LN(G12)/C12*100</f>
        <v/>
      </c>
      <c r="I12" s="65" t="inlineStr">
        <is>
          <t>Identical at the pillars. They differ off-pillar, which is what CDS_Schedule looks up. ~0.07bp in a 2Y gap.</t>
        </is>
      </c>
      <c r="K12" s="199">
        <f>'[USD_SOFR_Curve_Bloomberg_Pricer.xlsx]Curve_Interface'!$K$13</f>
        <v/>
      </c>
      <c r="L12" s="200">
        <f>'[USD_SOFR_Curve_Bloomberg_Pricer.xlsx]Curve_Interface'!$L$13</f>
        <v/>
      </c>
      <c r="N12" s="126" t="inlineStr">
        <is>
          <t>anchor DF (want 1)</t>
        </is>
      </c>
      <c r="O12" s="202">
        <f>IF($L$8="","",$L$8)</f>
        <v/>
      </c>
    </row>
    <row r="13">
      <c r="A13" s="43" t="n">
        <v>4</v>
      </c>
      <c r="B13" s="18">
        <f>EDATE($F$7,3*3)</f>
        <v/>
      </c>
      <c r="C13" s="34">
        <f>(B13-VAL_DATE)/365</f>
        <v/>
      </c>
      <c r="D13" s="18">
        <f>INDEX($K$8:$K$73,MATCH(B13,$K$8:$K$73,1))</f>
        <v/>
      </c>
      <c r="E13" s="18">
        <f>INDEX($K$8:$K$73,MATCH(B13,$K$8:$K$73,1)+1)</f>
        <v/>
      </c>
      <c r="F13" s="17">
        <f>-LN(INDEX($L$8:$L$73,MATCH(B13,$K$8:$K$73,1)+1)/INDEX($L$8:$L$73,MATCH(B13,$K$8:$K$73,1)))/((E13-D13)/365)*100</f>
        <v/>
      </c>
      <c r="G13" s="76">
        <f>IFERROR(IF($J$7="Piecewise Linear (Simple)",IF(((B13-VAL_DATE)/360)&lt;=0,1,1/(1+(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+(IF(((E13-VAL_DATE)/360)&lt;=0,0,(1/INDEX($L$8:$L$73,MATCH(B13,$K$8:$K$73,1)+1)-1)/((E13-VAL_DATE)/360))-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)*IF(((E13-VAL_DATE)/360)-MAX((13&gt;0)*(D13-VAL_DATE)/360,0)=0,0,(((B13-VAL_DATE)/360)-MAX((13&gt;0)*(D13-VAL_DATE)/360,0))/(((E13-VAL_DATE)/360)-MAX((13&gt;0)*(D13-VAL_DATE)/360,0))))*((B13-VAL_DATE)/360))),INDEX($L$8:$L$73,MATCH(B13,$K$8:$K$73,1))*EXP(-(F13/100)*(B13-D13)/365)),"")</f>
        <v/>
      </c>
      <c r="H13" s="17">
        <f>-LN(G13)/C13*100</f>
        <v/>
      </c>
      <c r="K13" s="199">
        <f>'[USD_SOFR_Curve_Bloomberg_Pricer.xlsx]Curve_Interface'!$K$14</f>
        <v/>
      </c>
      <c r="L13" s="200">
        <f>'[USD_SOFR_Curve_Bloomberg_Pricer.xlsx]Curve_Interface'!$L$14</f>
        <v/>
      </c>
      <c r="N13" s="126" t="inlineStr">
        <is>
          <t>first tenor date</t>
        </is>
      </c>
      <c r="O13" s="201">
        <f>IF($K$9="","",$K$9)</f>
        <v/>
      </c>
    </row>
    <row r="14">
      <c r="A14" s="43" t="n">
        <v>5</v>
      </c>
      <c r="B14" s="18">
        <f>EDATE($F$7,3*4)</f>
        <v/>
      </c>
      <c r="C14" s="34">
        <f>(B14-VAL_DATE)/365</f>
        <v/>
      </c>
      <c r="D14" s="18">
        <f>INDEX($K$8:$K$73,MATCH(B14,$K$8:$K$73,1))</f>
        <v/>
      </c>
      <c r="E14" s="18">
        <f>INDEX($K$8:$K$73,MATCH(B14,$K$8:$K$73,1)+1)</f>
        <v/>
      </c>
      <c r="F14" s="17">
        <f>-LN(INDEX($L$8:$L$73,MATCH(B14,$K$8:$K$73,1)+1)/INDEX($L$8:$L$73,MATCH(B14,$K$8:$K$73,1)))/((E14-D14)/365)*100</f>
        <v/>
      </c>
      <c r="G14" s="76">
        <f>IFERROR(IF($J$7="Piecewise Linear (Simple)",IF(((B14-VAL_DATE)/360)&lt;=0,1,1/(1+(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+(IF(((E14-VAL_DATE)/360)&lt;=0,0,(1/INDEX($L$8:$L$73,MATCH(B14,$K$8:$K$73,1)+1)-1)/((E14-VAL_DATE)/360))-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)*IF(((E14-VAL_DATE)/360)-MAX((14&gt;0)*(D14-VAL_DATE)/360,0)=0,0,(((B14-VAL_DATE)/360)-MAX((14&gt;0)*(D14-VAL_DATE)/360,0))/(((E14-VAL_DATE)/360)-MAX((14&gt;0)*(D14-VAL_DATE)/360,0))))*((B14-VAL_DATE)/360))),INDEX($L$8:$L$73,MATCH(B14,$K$8:$K$73,1))*EXP(-(F14/100)*(B14-D14)/365)),"")</f>
        <v/>
      </c>
      <c r="H14" s="17">
        <f>-LN(G14)/C14*100</f>
        <v/>
      </c>
      <c r="K14" s="199">
        <f>'[USD_SOFR_Curve_Bloomberg_Pricer.xlsx]Curve_Interface'!$K$15</f>
        <v/>
      </c>
      <c r="L14" s="200">
        <f>'[USD_SOFR_Curve_Bloomberg_Pricer.xlsx]Curve_Interface'!$L$15</f>
        <v/>
      </c>
      <c r="N14" s="126" t="inlineStr">
        <is>
          <t>DF monotone?</t>
        </is>
      </c>
      <c r="O14" s="184">
        <f>IF(COUNT($L$8:$L$73)&lt;2,"",IF(SUMPRODUCT(--($L$9:$L$73&gt;$L$8:$L$72))=0,"ok","NOT DECREASING"))</f>
        <v/>
      </c>
    </row>
    <row r="15">
      <c r="A15" s="43" t="n">
        <v>6</v>
      </c>
      <c r="B15" s="18">
        <f>EDATE($F$7,3*5)</f>
        <v/>
      </c>
      <c r="C15" s="34">
        <f>(B15-VAL_DATE)/365</f>
        <v/>
      </c>
      <c r="D15" s="18">
        <f>INDEX($K$8:$K$73,MATCH(B15,$K$8:$K$73,1))</f>
        <v/>
      </c>
      <c r="E15" s="18">
        <f>INDEX($K$8:$K$73,MATCH(B15,$K$8:$K$73,1)+1)</f>
        <v/>
      </c>
      <c r="F15" s="17">
        <f>-LN(INDEX($L$8:$L$73,MATCH(B15,$K$8:$K$73,1)+1)/INDEX($L$8:$L$73,MATCH(B15,$K$8:$K$73,1)))/((E15-D15)/365)*100</f>
        <v/>
      </c>
      <c r="G15" s="76">
        <f>IFERROR(IF($J$7="Piecewise Linear (Simple)",IF(((B15-VAL_DATE)/360)&lt;=0,1,1/(1+(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+(IF(((E15-VAL_DATE)/360)&lt;=0,0,(1/INDEX($L$8:$L$73,MATCH(B15,$K$8:$K$73,1)+1)-1)/((E15-VAL_DATE)/360))-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)*IF(((E15-VAL_DATE)/360)-MAX((15&gt;0)*(D15-VAL_DATE)/360,0)=0,0,(((B15-VAL_DATE)/360)-MAX((15&gt;0)*(D15-VAL_DATE)/360,0))/(((E15-VAL_DATE)/360)-MAX((15&gt;0)*(D15-VAL_DATE)/360,0))))*((B15-VAL_DATE)/360))),INDEX($L$8:$L$73,MATCH(B15,$K$8:$K$73,1))*EXP(-(F15/100)*(B15-D15)/365)),"")</f>
        <v/>
      </c>
      <c r="H15" s="17">
        <f>-LN(G15)/C15*100</f>
        <v/>
      </c>
      <c r="K15" s="199">
        <f>'[USD_SOFR_Curve_Bloomberg_Pricer.xlsx]Curve_Interface'!$K$16</f>
        <v/>
      </c>
      <c r="L15" s="200">
        <f>'[USD_SOFR_Curve_Bloomberg_Pricer.xlsx]Curve_Interface'!$L$16</f>
        <v/>
      </c>
      <c r="N15" s="66">
        <f>IF(O9=0,"LINK NOT RESOLVING - open USD_SOFR_Curve_Bloomberg_Pricer.xlsx",IF(ABS(O12-1)&gt;0.000001,"ROW 8 IS NOT THE ANCHOR - check the offset",IF(O13-VAL_DATE&gt;14,"FIRST TENOR LOOKS WRONG - expected about a week after the curve date",IF(O9&lt;60,"FEWER PILLARS THAN EXPECTED - check the source range","link ok"))))</f>
        <v/>
      </c>
    </row>
    <row r="16">
      <c r="A16" s="43" t="n">
        <v>7</v>
      </c>
      <c r="B16" s="18">
        <f>EDATE($F$7,3*6)</f>
        <v/>
      </c>
      <c r="C16" s="34">
        <f>(B16-VAL_DATE)/365</f>
        <v/>
      </c>
      <c r="D16" s="18">
        <f>INDEX($K$8:$K$73,MATCH(B16,$K$8:$K$73,1))</f>
        <v/>
      </c>
      <c r="E16" s="18">
        <f>INDEX($K$8:$K$73,MATCH(B16,$K$8:$K$73,1)+1)</f>
        <v/>
      </c>
      <c r="F16" s="17">
        <f>-LN(INDEX($L$8:$L$73,MATCH(B16,$K$8:$K$73,1)+1)/INDEX($L$8:$L$73,MATCH(B16,$K$8:$K$73,1)))/((E16-D16)/365)*100</f>
        <v/>
      </c>
      <c r="G16" s="76">
        <f>IFERROR(IF($J$7="Piecewise Linear (Simple)",IF(((B16-VAL_DATE)/360)&lt;=0,1,1/(1+(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+(IF(((E16-VAL_DATE)/360)&lt;=0,0,(1/INDEX($L$8:$L$73,MATCH(B16,$K$8:$K$73,1)+1)-1)/((E16-VAL_DATE)/360))-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)*IF(((E16-VAL_DATE)/360)-MAX((16&gt;0)*(D16-VAL_DATE)/360,0)=0,0,(((B16-VAL_DATE)/360)-MAX((16&gt;0)*(D16-VAL_DATE)/360,0))/(((E16-VAL_DATE)/360)-MAX((16&gt;0)*(D16-VAL_DATE)/360,0))))*((B16-VAL_DATE)/360))),INDEX($L$8:$L$73,MATCH(B16,$K$8:$K$73,1))*EXP(-(F16/100)*(B16-D16)/365)),"")</f>
        <v/>
      </c>
      <c r="H16" s="17">
        <f>-LN(G16)/C16*100</f>
        <v/>
      </c>
      <c r="K16" s="199">
        <f>'[USD_SOFR_Curve_Bloomberg_Pricer.xlsx]Curve_Interface'!$K$17</f>
        <v/>
      </c>
      <c r="L16" s="200">
        <f>'[USD_SOFR_Curve_Bloomberg_Pricer.xlsx]Curve_Interface'!$L$17</f>
        <v/>
      </c>
      <c r="N16" s="177" t="inlineStr">
        <is>
          <t>Live only while the curve workbook is OPEN. Closed, Excel serves the last cached values and the BDP pulls in the source do not refresh.</t>
        </is>
      </c>
    </row>
    <row r="17">
      <c r="A17" s="43" t="n">
        <v>8</v>
      </c>
      <c r="B17" s="18">
        <f>EDATE($F$7,3*7)</f>
        <v/>
      </c>
      <c r="C17" s="34">
        <f>(B17-VAL_DATE)/365</f>
        <v/>
      </c>
      <c r="D17" s="18">
        <f>INDEX($K$8:$K$73,MATCH(B17,$K$8:$K$73,1))</f>
        <v/>
      </c>
      <c r="E17" s="18">
        <f>INDEX($K$8:$K$73,MATCH(B17,$K$8:$K$73,1)+1)</f>
        <v/>
      </c>
      <c r="F17" s="17">
        <f>-LN(INDEX($L$8:$L$73,MATCH(B17,$K$8:$K$73,1)+1)/INDEX($L$8:$L$73,MATCH(B17,$K$8:$K$73,1)))/((E17-D17)/365)*100</f>
        <v/>
      </c>
      <c r="G17" s="76">
        <f>IFERROR(IF($J$7="Piecewise Linear (Simple)",IF(((B17-VAL_DATE)/360)&lt;=0,1,1/(1+(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+(IF(((E17-VAL_DATE)/360)&lt;=0,0,(1/INDEX($L$8:$L$73,MATCH(B17,$K$8:$K$73,1)+1)-1)/((E17-VAL_DATE)/360))-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)*IF(((E17-VAL_DATE)/360)-MAX((17&gt;0)*(D17-VAL_DATE)/360,0)=0,0,(((B17-VAL_DATE)/360)-MAX((17&gt;0)*(D17-VAL_DATE)/360,0))/(((E17-VAL_DATE)/360)-MAX((17&gt;0)*(D17-VAL_DATE)/360,0))))*((B17-VAL_DATE)/360))),INDEX($L$8:$L$73,MATCH(B17,$K$8:$K$73,1))*EXP(-(F17/100)*(B17-D17)/365)),"")</f>
        <v/>
      </c>
      <c r="H17" s="17">
        <f>-LN(G17)/C17*100</f>
        <v/>
      </c>
      <c r="K17" s="199">
        <f>'[USD_SOFR_Curve_Bloomberg_Pricer.xlsx]Curve_Interface'!$K$18</f>
        <v/>
      </c>
      <c r="L17" s="200">
        <f>'[USD_SOFR_Curve_Bloomberg_Pricer.xlsx]Curve_Interface'!$L$18</f>
        <v/>
      </c>
      <c r="N17" s="177" t="inlineStr">
        <is>
          <t>Live only while the curve workbook is OPEN. Closed, Excel serves the last cached values and the BDP pulls in the source do not refresh.</t>
        </is>
      </c>
    </row>
    <row r="18">
      <c r="A18" s="43" t="n">
        <v>9</v>
      </c>
      <c r="B18" s="18">
        <f>EDATE($F$7,3*8)</f>
        <v/>
      </c>
      <c r="C18" s="34">
        <f>(B18-VAL_DATE)/365</f>
        <v/>
      </c>
      <c r="D18" s="18">
        <f>INDEX($K$8:$K$73,MATCH(B18,$K$8:$K$73,1))</f>
        <v/>
      </c>
      <c r="E18" s="18">
        <f>INDEX($K$8:$K$73,MATCH(B18,$K$8:$K$73,1)+1)</f>
        <v/>
      </c>
      <c r="F18" s="17">
        <f>-LN(INDEX($L$8:$L$73,MATCH(B18,$K$8:$K$73,1)+1)/INDEX($L$8:$L$73,MATCH(B18,$K$8:$K$73,1)))/((E18-D18)/365)*100</f>
        <v/>
      </c>
      <c r="G18" s="76">
        <f>IFERROR(IF($J$7="Piecewise Linear (Simple)",IF(((B18-VAL_DATE)/360)&lt;=0,1,1/(1+(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+(IF(((E18-VAL_DATE)/360)&lt;=0,0,(1/INDEX($L$8:$L$73,MATCH(B18,$K$8:$K$73,1)+1)-1)/((E18-VAL_DATE)/360))-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)*IF(((E18-VAL_DATE)/360)-MAX((18&gt;0)*(D18-VAL_DATE)/360,0)=0,0,(((B18-VAL_DATE)/360)-MAX((18&gt;0)*(D18-VAL_DATE)/360,0))/(((E18-VAL_DATE)/360)-MAX((18&gt;0)*(D18-VAL_DATE)/360,0))))*((B18-VAL_DATE)/360))),INDEX($L$8:$L$73,MATCH(B18,$K$8:$K$73,1))*EXP(-(F18/100)*(B18-D18)/365)),"")</f>
        <v/>
      </c>
      <c r="H18" s="17">
        <f>-LN(G18)/C18*100</f>
        <v/>
      </c>
      <c r="K18" s="199">
        <f>'[USD_SOFR_Curve_Bloomberg_Pricer.xlsx]Curve_Interface'!$K$19</f>
        <v/>
      </c>
      <c r="L18" s="200">
        <f>'[USD_SOFR_Curve_Bloomberg_Pricer.xlsx]Curve_Interface'!$L$19</f>
        <v/>
      </c>
      <c r="N18" t="inlineStr">
        <is>
          <t>Data &gt; Edit Links &gt; Change Source if the file moves.</t>
        </is>
      </c>
    </row>
    <row r="19">
      <c r="A19" s="43" t="n">
        <v>10</v>
      </c>
      <c r="B19" s="18">
        <f>EDATE($F$7,3*9)</f>
        <v/>
      </c>
      <c r="C19" s="34">
        <f>(B19-VAL_DATE)/365</f>
        <v/>
      </c>
      <c r="D19" s="18">
        <f>INDEX($K$8:$K$73,MATCH(B19,$K$8:$K$73,1))</f>
        <v/>
      </c>
      <c r="E19" s="18">
        <f>INDEX($K$8:$K$73,MATCH(B19,$K$8:$K$73,1)+1)</f>
        <v/>
      </c>
      <c r="F19" s="17">
        <f>-LN(INDEX($L$8:$L$73,MATCH(B19,$K$8:$K$73,1)+1)/INDEX($L$8:$L$73,MATCH(B19,$K$8:$K$73,1)))/((E19-D19)/365)*100</f>
        <v/>
      </c>
      <c r="G19" s="76">
        <f>IFERROR(IF($J$7="Piecewise Linear (Simple)",IF(((B19-VAL_DATE)/360)&lt;=0,1,1/(1+(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+(IF(((E19-VAL_DATE)/360)&lt;=0,0,(1/INDEX($L$8:$L$73,MATCH(B19,$K$8:$K$73,1)+1)-1)/((E19-VAL_DATE)/360))-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)*IF(((E19-VAL_DATE)/360)-MAX((19&gt;0)*(D19-VAL_DATE)/360,0)=0,0,(((B19-VAL_DATE)/360)-MAX((19&gt;0)*(D19-VAL_DATE)/360,0))/(((E19-VAL_DATE)/360)-MAX((19&gt;0)*(D19-VAL_DATE)/360,0))))*((B19-VAL_DATE)/360))),INDEX($L$8:$L$73,MATCH(B19,$K$8:$K$73,1))*EXP(-(F19/100)*(B19-D19)/365)),"")</f>
        <v/>
      </c>
      <c r="H19" s="17">
        <f>-LN(G19)/C19*100</f>
        <v/>
      </c>
      <c r="K19" s="199">
        <f>'[USD_SOFR_Curve_Bloomberg_Pricer.xlsx]Curve_Interface'!$K$20</f>
        <v/>
      </c>
      <c r="L19" s="200">
        <f>'[USD_SOFR_Curve_Bloomberg_Pricer.xlsx]Curve_Interface'!$L$20</f>
        <v/>
      </c>
    </row>
    <row r="20">
      <c r="A20" s="43" t="n">
        <v>11</v>
      </c>
      <c r="B20" s="18">
        <f>EDATE($F$7,3*10)</f>
        <v/>
      </c>
      <c r="C20" s="34">
        <f>(B20-VAL_DATE)/365</f>
        <v/>
      </c>
      <c r="D20" s="18">
        <f>INDEX($K$8:$K$73,MATCH(B20,$K$8:$K$73,1))</f>
        <v/>
      </c>
      <c r="E20" s="18">
        <f>INDEX($K$8:$K$73,MATCH(B20,$K$8:$K$73,1)+1)</f>
        <v/>
      </c>
      <c r="F20" s="17">
        <f>-LN(INDEX($L$8:$L$73,MATCH(B20,$K$8:$K$73,1)+1)/INDEX($L$8:$L$73,MATCH(B20,$K$8:$K$73,1)))/((E20-D20)/365)*100</f>
        <v/>
      </c>
      <c r="G20" s="76">
        <f>IFERROR(IF($J$7="Piecewise Linear (Simple)",IF(((B20-VAL_DATE)/360)&lt;=0,1,1/(1+(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+(IF(((E20-VAL_DATE)/360)&lt;=0,0,(1/INDEX($L$8:$L$73,MATCH(B20,$K$8:$K$73,1)+1)-1)/((E20-VAL_DATE)/360))-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)*IF(((E20-VAL_DATE)/360)-MAX((20&gt;0)*(D20-VAL_DATE)/360,0)=0,0,(((B20-VAL_DATE)/360)-MAX((20&gt;0)*(D20-VAL_DATE)/360,0))/(((E20-VAL_DATE)/360)-MAX((20&gt;0)*(D20-VAL_DATE)/360,0))))*((B20-VAL_DATE)/360))),INDEX($L$8:$L$73,MATCH(B20,$K$8:$K$73,1))*EXP(-(F20/100)*(B20-D20)/365)),"")</f>
        <v/>
      </c>
      <c r="H20" s="17">
        <f>-LN(G20)/C20*100</f>
        <v/>
      </c>
      <c r="K20" s="199">
        <f>'[USD_SOFR_Curve_Bloomberg_Pricer.xlsx]Curve_Interface'!$K$21</f>
        <v/>
      </c>
      <c r="L20" s="200">
        <f>'[USD_SOFR_Curve_Bloomberg_Pricer.xlsx]Curve_Interface'!$L$21</f>
        <v/>
      </c>
    </row>
    <row r="21">
      <c r="A21" s="43" t="n">
        <v>12</v>
      </c>
      <c r="B21" s="18">
        <f>EDATE($F$7,3*11)</f>
        <v/>
      </c>
      <c r="C21" s="34">
        <f>(B21-VAL_DATE)/365</f>
        <v/>
      </c>
      <c r="D21" s="18">
        <f>INDEX($K$8:$K$73,MATCH(B21,$K$8:$K$73,1))</f>
        <v/>
      </c>
      <c r="E21" s="18">
        <f>INDEX($K$8:$K$73,MATCH(B21,$K$8:$K$73,1)+1)</f>
        <v/>
      </c>
      <c r="F21" s="17">
        <f>-LN(INDEX($L$8:$L$73,MATCH(B21,$K$8:$K$73,1)+1)/INDEX($L$8:$L$73,MATCH(B21,$K$8:$K$73,1)))/((E21-D21)/365)*100</f>
        <v/>
      </c>
      <c r="G21" s="76">
        <f>IFERROR(IF($J$7="Piecewise Linear (Simple)",IF(((B21-VAL_DATE)/360)&lt;=0,1,1/(1+(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+(IF(((E21-VAL_DATE)/360)&lt;=0,0,(1/INDEX($L$8:$L$73,MATCH(B21,$K$8:$K$73,1)+1)-1)/((E21-VAL_DATE)/360))-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)*IF(((E21-VAL_DATE)/360)-MAX((21&gt;0)*(D21-VAL_DATE)/360,0)=0,0,(((B21-VAL_DATE)/360)-MAX((21&gt;0)*(D21-VAL_DATE)/360,0))/(((E21-VAL_DATE)/360)-MAX((21&gt;0)*(D21-VAL_DATE)/360,0))))*((B21-VAL_DATE)/360))),INDEX($L$8:$L$73,MATCH(B21,$K$8:$K$73,1))*EXP(-(F21/100)*(B21-D21)/365)),"")</f>
        <v/>
      </c>
      <c r="H21" s="17">
        <f>-LN(G21)/C21*100</f>
        <v/>
      </c>
      <c r="K21" s="199">
        <f>'[USD_SOFR_Curve_Bloomberg_Pricer.xlsx]Curve_Interface'!$K$22</f>
        <v/>
      </c>
      <c r="L21" s="200">
        <f>'[USD_SOFR_Curve_Bloomberg_Pricer.xlsx]Curve_Interface'!$L$22</f>
        <v/>
      </c>
    </row>
    <row r="22">
      <c r="A22" s="43" t="n">
        <v>13</v>
      </c>
      <c r="B22" s="18">
        <f>EDATE($F$7,3*12)</f>
        <v/>
      </c>
      <c r="C22" s="34">
        <f>(B22-VAL_DATE)/365</f>
        <v/>
      </c>
      <c r="D22" s="18">
        <f>INDEX($K$8:$K$73,MATCH(B22,$K$8:$K$73,1))</f>
        <v/>
      </c>
      <c r="E22" s="18">
        <f>INDEX($K$8:$K$73,MATCH(B22,$K$8:$K$73,1)+1)</f>
        <v/>
      </c>
      <c r="F22" s="17">
        <f>-LN(INDEX($L$8:$L$73,MATCH(B22,$K$8:$K$73,1)+1)/INDEX($L$8:$L$73,MATCH(B22,$K$8:$K$73,1)))/((E22-D22)/365)*100</f>
        <v/>
      </c>
      <c r="G22" s="76">
        <f>IFERROR(IF($J$7="Piecewise Linear (Simple)",IF(((B22-VAL_DATE)/360)&lt;=0,1,1/(1+(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+(IF(((E22-VAL_DATE)/360)&lt;=0,0,(1/INDEX($L$8:$L$73,MATCH(B22,$K$8:$K$73,1)+1)-1)/((E22-VAL_DATE)/360))-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)*IF(((E22-VAL_DATE)/360)-MAX((22&gt;0)*(D22-VAL_DATE)/360,0)=0,0,(((B22-VAL_DATE)/360)-MAX((22&gt;0)*(D22-VAL_DATE)/360,0))/(((E22-VAL_DATE)/360)-MAX((22&gt;0)*(D22-VAL_DATE)/360,0))))*((B22-VAL_DATE)/360))),INDEX($L$8:$L$73,MATCH(B22,$K$8:$K$73,1))*EXP(-(F22/100)*(B22-D22)/365)),"")</f>
        <v/>
      </c>
      <c r="H22" s="17">
        <f>-LN(G22)/C22*100</f>
        <v/>
      </c>
      <c r="K22" s="199">
        <f>'[USD_SOFR_Curve_Bloomberg_Pricer.xlsx]Curve_Interface'!$K$23</f>
        <v/>
      </c>
      <c r="L22" s="200">
        <f>'[USD_SOFR_Curve_Bloomberg_Pricer.xlsx]Curve_Interface'!$L$23</f>
        <v/>
      </c>
    </row>
    <row r="23">
      <c r="A23" s="43" t="n">
        <v>14</v>
      </c>
      <c r="B23" s="18">
        <f>EDATE($F$7,3*13)</f>
        <v/>
      </c>
      <c r="C23" s="34">
        <f>(B23-VAL_DATE)/365</f>
        <v/>
      </c>
      <c r="D23" s="18">
        <f>INDEX($K$8:$K$73,MATCH(B23,$K$8:$K$73,1))</f>
        <v/>
      </c>
      <c r="E23" s="18">
        <f>INDEX($K$8:$K$73,MATCH(B23,$K$8:$K$73,1)+1)</f>
        <v/>
      </c>
      <c r="F23" s="17">
        <f>-LN(INDEX($L$8:$L$73,MATCH(B23,$K$8:$K$73,1)+1)/INDEX($L$8:$L$73,MATCH(B23,$K$8:$K$73,1)))/((E23-D23)/365)*100</f>
        <v/>
      </c>
      <c r="G23" s="76">
        <f>IFERROR(IF($J$7="Piecewise Linear (Simple)",IF(((B23-VAL_DATE)/360)&lt;=0,1,1/(1+(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+(IF(((E23-VAL_DATE)/360)&lt;=0,0,(1/INDEX($L$8:$L$73,MATCH(B23,$K$8:$K$73,1)+1)-1)/((E23-VAL_DATE)/360))-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)*IF(((E23-VAL_DATE)/360)-MAX((23&gt;0)*(D23-VAL_DATE)/360,0)=0,0,(((B23-VAL_DATE)/360)-MAX((23&gt;0)*(D23-VAL_DATE)/360,0))/(((E23-VAL_DATE)/360)-MAX((23&gt;0)*(D23-VAL_DATE)/360,0))))*((B23-VAL_DATE)/360))),INDEX($L$8:$L$73,MATCH(B23,$K$8:$K$73,1))*EXP(-(F23/100)*(B23-D23)/365)),"")</f>
        <v/>
      </c>
      <c r="H23" s="17">
        <f>-LN(G23)/C23*100</f>
        <v/>
      </c>
      <c r="K23" s="199">
        <f>'[USD_SOFR_Curve_Bloomberg_Pricer.xlsx]Curve_Interface'!$K$24</f>
        <v/>
      </c>
      <c r="L23" s="200">
        <f>'[USD_SOFR_Curve_Bloomberg_Pricer.xlsx]Curve_Interface'!$L$24</f>
        <v/>
      </c>
    </row>
    <row r="24">
      <c r="A24" s="43" t="n">
        <v>15</v>
      </c>
      <c r="B24" s="18">
        <f>EDATE($F$7,3*14)</f>
        <v/>
      </c>
      <c r="C24" s="34">
        <f>(B24-VAL_DATE)/365</f>
        <v/>
      </c>
      <c r="D24" s="18">
        <f>INDEX($K$8:$K$73,MATCH(B24,$K$8:$K$73,1))</f>
        <v/>
      </c>
      <c r="E24" s="18">
        <f>INDEX($K$8:$K$73,MATCH(B24,$K$8:$K$73,1)+1)</f>
        <v/>
      </c>
      <c r="F24" s="17">
        <f>-LN(INDEX($L$8:$L$73,MATCH(B24,$K$8:$K$73,1)+1)/INDEX($L$8:$L$73,MATCH(B24,$K$8:$K$73,1)))/((E24-D24)/365)*100</f>
        <v/>
      </c>
      <c r="G24" s="76">
        <f>IFERROR(IF($J$7="Piecewise Linear (Simple)",IF(((B24-VAL_DATE)/360)&lt;=0,1,1/(1+(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+(IF(((E24-VAL_DATE)/360)&lt;=0,0,(1/INDEX($L$8:$L$73,MATCH(B24,$K$8:$K$73,1)+1)-1)/((E24-VAL_DATE)/360))-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)*IF(((E24-VAL_DATE)/360)-MAX((24&gt;0)*(D24-VAL_DATE)/360,0)=0,0,(((B24-VAL_DATE)/360)-MAX((24&gt;0)*(D24-VAL_DATE)/360,0))/(((E24-VAL_DATE)/360)-MAX((24&gt;0)*(D24-VAL_DATE)/360,0))))*((B24-VAL_DATE)/360))),INDEX($L$8:$L$73,MATCH(B24,$K$8:$K$73,1))*EXP(-(F24/100)*(B24-D24)/365)),"")</f>
        <v/>
      </c>
      <c r="H24" s="17">
        <f>-LN(G24)/C24*100</f>
        <v/>
      </c>
      <c r="K24" s="199">
        <f>'[USD_SOFR_Curve_Bloomberg_Pricer.xlsx]Curve_Interface'!$K$25</f>
        <v/>
      </c>
      <c r="L24" s="200">
        <f>'[USD_SOFR_Curve_Bloomberg_Pricer.xlsx]Curve_Interface'!$L$25</f>
        <v/>
      </c>
    </row>
    <row r="25">
      <c r="A25" s="43" t="n">
        <v>16</v>
      </c>
      <c r="B25" s="18">
        <f>EDATE($F$7,3*15)</f>
        <v/>
      </c>
      <c r="C25" s="34">
        <f>(B25-VAL_DATE)/365</f>
        <v/>
      </c>
      <c r="D25" s="18">
        <f>INDEX($K$8:$K$73,MATCH(B25,$K$8:$K$73,1))</f>
        <v/>
      </c>
      <c r="E25" s="18">
        <f>INDEX($K$8:$K$73,MATCH(B25,$K$8:$K$73,1)+1)</f>
        <v/>
      </c>
      <c r="F25" s="17">
        <f>-LN(INDEX($L$8:$L$73,MATCH(B25,$K$8:$K$73,1)+1)/INDEX($L$8:$L$73,MATCH(B25,$K$8:$K$73,1)))/((E25-D25)/365)*100</f>
        <v/>
      </c>
      <c r="G25" s="76">
        <f>IFERROR(IF($J$7="Piecewise Linear (Simple)",IF(((B25-VAL_DATE)/360)&lt;=0,1,1/(1+(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+(IF(((E25-VAL_DATE)/360)&lt;=0,0,(1/INDEX($L$8:$L$73,MATCH(B25,$K$8:$K$73,1)+1)-1)/((E25-VAL_DATE)/360))-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)*IF(((E25-VAL_DATE)/360)-MAX((25&gt;0)*(D25-VAL_DATE)/360,0)=0,0,(((B25-VAL_DATE)/360)-MAX((25&gt;0)*(D25-VAL_DATE)/360,0))/(((E25-VAL_DATE)/360)-MAX((25&gt;0)*(D25-VAL_DATE)/360,0))))*((B25-VAL_DATE)/360))),INDEX($L$8:$L$73,MATCH(B25,$K$8:$K$73,1))*EXP(-(F25/100)*(B25-D25)/365)),"")</f>
        <v/>
      </c>
      <c r="H25" s="17">
        <f>-LN(G25)/C25*100</f>
        <v/>
      </c>
      <c r="K25" s="199">
        <f>'[USD_SOFR_Curve_Bloomberg_Pricer.xlsx]Curve_Interface'!$K$26</f>
        <v/>
      </c>
      <c r="L25" s="200">
        <f>'[USD_SOFR_Curve_Bloomberg_Pricer.xlsx]Curve_Interface'!$L$26</f>
        <v/>
      </c>
    </row>
    <row r="26">
      <c r="A26" s="43" t="n">
        <v>17</v>
      </c>
      <c r="B26" s="18">
        <f>EDATE($F$7,3*16)</f>
        <v/>
      </c>
      <c r="C26" s="34">
        <f>(B26-VAL_DATE)/365</f>
        <v/>
      </c>
      <c r="D26" s="18">
        <f>INDEX($K$8:$K$73,MATCH(B26,$K$8:$K$73,1))</f>
        <v/>
      </c>
      <c r="E26" s="18">
        <f>INDEX($K$8:$K$73,MATCH(B26,$K$8:$K$73,1)+1)</f>
        <v/>
      </c>
      <c r="F26" s="17">
        <f>-LN(INDEX($L$8:$L$73,MATCH(B26,$K$8:$K$73,1)+1)/INDEX($L$8:$L$73,MATCH(B26,$K$8:$K$73,1)))/((E26-D26)/365)*100</f>
        <v/>
      </c>
      <c r="G26" s="76">
        <f>IFERROR(IF($J$7="Piecewise Linear (Simple)",IF(((B26-VAL_DATE)/360)&lt;=0,1,1/(1+(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+(IF(((E26-VAL_DATE)/360)&lt;=0,0,(1/INDEX($L$8:$L$73,MATCH(B26,$K$8:$K$73,1)+1)-1)/((E26-VAL_DATE)/360))-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)*IF(((E26-VAL_DATE)/360)-MAX((26&gt;0)*(D26-VAL_DATE)/360,0)=0,0,(((B26-VAL_DATE)/360)-MAX((26&gt;0)*(D26-VAL_DATE)/360,0))/(((E26-VAL_DATE)/360)-MAX((26&gt;0)*(D26-VAL_DATE)/360,0))))*((B26-VAL_DATE)/360))),INDEX($L$8:$L$73,MATCH(B26,$K$8:$K$73,1))*EXP(-(F26/100)*(B26-D26)/365)),"")</f>
        <v/>
      </c>
      <c r="H26" s="17">
        <f>-LN(G26)/C26*100</f>
        <v/>
      </c>
      <c r="K26" s="199">
        <f>'[USD_SOFR_Curve_Bloomberg_Pricer.xlsx]Curve_Interface'!$K$27</f>
        <v/>
      </c>
      <c r="L26" s="200">
        <f>'[USD_SOFR_Curve_Bloomberg_Pricer.xlsx]Curve_Interface'!$L$27</f>
        <v/>
      </c>
    </row>
    <row r="27">
      <c r="A27" s="43" t="n">
        <v>18</v>
      </c>
      <c r="B27" s="18">
        <f>EDATE($F$7,3*17)</f>
        <v/>
      </c>
      <c r="C27" s="34">
        <f>(B27-VAL_DATE)/365</f>
        <v/>
      </c>
      <c r="D27" s="18">
        <f>INDEX($K$8:$K$73,MATCH(B27,$K$8:$K$73,1))</f>
        <v/>
      </c>
      <c r="E27" s="18">
        <f>INDEX($K$8:$K$73,MATCH(B27,$K$8:$K$73,1)+1)</f>
        <v/>
      </c>
      <c r="F27" s="17">
        <f>-LN(INDEX($L$8:$L$73,MATCH(B27,$K$8:$K$73,1)+1)/INDEX($L$8:$L$73,MATCH(B27,$K$8:$K$73,1)))/((E27-D27)/365)*100</f>
        <v/>
      </c>
      <c r="G27" s="76">
        <f>IFERROR(IF($J$7="Piecewise Linear (Simple)",IF(((B27-VAL_DATE)/360)&lt;=0,1,1/(1+(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+(IF(((E27-VAL_DATE)/360)&lt;=0,0,(1/INDEX($L$8:$L$73,MATCH(B27,$K$8:$K$73,1)+1)-1)/((E27-VAL_DATE)/360))-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)*IF(((E27-VAL_DATE)/360)-MAX((27&gt;0)*(D27-VAL_DATE)/360,0)=0,0,(((B27-VAL_DATE)/360)-MAX((27&gt;0)*(D27-VAL_DATE)/360,0))/(((E27-VAL_DATE)/360)-MAX((27&gt;0)*(D27-VAL_DATE)/360,0))))*((B27-VAL_DATE)/360))),INDEX($L$8:$L$73,MATCH(B27,$K$8:$K$73,1))*EXP(-(F27/100)*(B27-D27)/365)),"")</f>
        <v/>
      </c>
      <c r="H27" s="17">
        <f>-LN(G27)/C27*100</f>
        <v/>
      </c>
      <c r="K27" s="199">
        <f>'[USD_SOFR_Curve_Bloomberg_Pricer.xlsx]Curve_Interface'!$K$28</f>
        <v/>
      </c>
      <c r="L27" s="200">
        <f>'[USD_SOFR_Curve_Bloomberg_Pricer.xlsx]Curve_Interface'!$L$28</f>
        <v/>
      </c>
    </row>
    <row r="28">
      <c r="A28" s="43" t="n">
        <v>19</v>
      </c>
      <c r="B28" s="18">
        <f>EDATE($F$7,3*18)</f>
        <v/>
      </c>
      <c r="C28" s="34">
        <f>(B28-VAL_DATE)/365</f>
        <v/>
      </c>
      <c r="D28" s="18">
        <f>INDEX($K$8:$K$73,MATCH(B28,$K$8:$K$73,1))</f>
        <v/>
      </c>
      <c r="E28" s="18">
        <f>INDEX($K$8:$K$73,MATCH(B28,$K$8:$K$73,1)+1)</f>
        <v/>
      </c>
      <c r="F28" s="17">
        <f>-LN(INDEX($L$8:$L$73,MATCH(B28,$K$8:$K$73,1)+1)/INDEX($L$8:$L$73,MATCH(B28,$K$8:$K$73,1)))/((E28-D28)/365)*100</f>
        <v/>
      </c>
      <c r="G28" s="76">
        <f>IFERROR(IF($J$7="Piecewise Linear (Simple)",IF(((B28-VAL_DATE)/360)&lt;=0,1,1/(1+(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+(IF(((E28-VAL_DATE)/360)&lt;=0,0,(1/INDEX($L$8:$L$73,MATCH(B28,$K$8:$K$73,1)+1)-1)/((E28-VAL_DATE)/360))-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)*IF(((E28-VAL_DATE)/360)-MAX((28&gt;0)*(D28-VAL_DATE)/360,0)=0,0,(((B28-VAL_DATE)/360)-MAX((28&gt;0)*(D28-VAL_DATE)/360,0))/(((E28-VAL_DATE)/360)-MAX((28&gt;0)*(D28-VAL_DATE)/360,0))))*((B28-VAL_DATE)/360))),INDEX($L$8:$L$73,MATCH(B28,$K$8:$K$73,1))*EXP(-(F28/100)*(B28-D28)/365)),"")</f>
        <v/>
      </c>
      <c r="H28" s="17">
        <f>-LN(G28)/C28*100</f>
        <v/>
      </c>
      <c r="K28" s="199">
        <f>'[USD_SOFR_Curve_Bloomberg_Pricer.xlsx]Curve_Interface'!$K$29</f>
        <v/>
      </c>
      <c r="L28" s="200">
        <f>'[USD_SOFR_Curve_Bloomberg_Pricer.xlsx]Curve_Interface'!$L$29</f>
        <v/>
      </c>
    </row>
    <row r="29">
      <c r="A29" s="43" t="n">
        <v>20</v>
      </c>
      <c r="B29" s="18">
        <f>EDATE($F$7,3*19)</f>
        <v/>
      </c>
      <c r="C29" s="34">
        <f>(B29-VAL_DATE)/365</f>
        <v/>
      </c>
      <c r="D29" s="18">
        <f>INDEX($K$8:$K$73,MATCH(B29,$K$8:$K$73,1))</f>
        <v/>
      </c>
      <c r="E29" s="18">
        <f>INDEX($K$8:$K$73,MATCH(B29,$K$8:$K$73,1)+1)</f>
        <v/>
      </c>
      <c r="F29" s="17">
        <f>-LN(INDEX($L$8:$L$73,MATCH(B29,$K$8:$K$73,1)+1)/INDEX($L$8:$L$73,MATCH(B29,$K$8:$K$73,1)))/((E29-D29)/365)*100</f>
        <v/>
      </c>
      <c r="G29" s="76">
        <f>IFERROR(IF($J$7="Piecewise Linear (Simple)",IF(((B29-VAL_DATE)/360)&lt;=0,1,1/(1+(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+(IF(((E29-VAL_DATE)/360)&lt;=0,0,(1/INDEX($L$8:$L$73,MATCH(B29,$K$8:$K$73,1)+1)-1)/((E29-VAL_DATE)/360))-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)*IF(((E29-VAL_DATE)/360)-MAX((29&gt;0)*(D29-VAL_DATE)/360,0)=0,0,(((B29-VAL_DATE)/360)-MAX((29&gt;0)*(D29-VAL_DATE)/360,0))/(((E29-VAL_DATE)/360)-MAX((29&gt;0)*(D29-VAL_DATE)/360,0))))*((B29-VAL_DATE)/360))),INDEX($L$8:$L$73,MATCH(B29,$K$8:$K$73,1))*EXP(-(F29/100)*(B29-D29)/365)),"")</f>
        <v/>
      </c>
      <c r="H29" s="17">
        <f>-LN(G29)/C29*100</f>
        <v/>
      </c>
      <c r="K29" s="199">
        <f>'[USD_SOFR_Curve_Bloomberg_Pricer.xlsx]Curve_Interface'!$K$30</f>
        <v/>
      </c>
      <c r="L29" s="200">
        <f>'[USD_SOFR_Curve_Bloomberg_Pricer.xlsx]Curve_Interface'!$L$30</f>
        <v/>
      </c>
    </row>
    <row r="30">
      <c r="A30" s="43" t="n">
        <v>21</v>
      </c>
      <c r="B30" s="18">
        <f>EDATE($F$7,3*20)</f>
        <v/>
      </c>
      <c r="C30" s="34">
        <f>(B30-VAL_DATE)/365</f>
        <v/>
      </c>
      <c r="D30" s="18">
        <f>INDEX($K$8:$K$73,MATCH(B30,$K$8:$K$73,1))</f>
        <v/>
      </c>
      <c r="E30" s="18">
        <f>INDEX($K$8:$K$73,MATCH(B30,$K$8:$K$73,1)+1)</f>
        <v/>
      </c>
      <c r="F30" s="17">
        <f>-LN(INDEX($L$8:$L$73,MATCH(B30,$K$8:$K$73,1)+1)/INDEX($L$8:$L$73,MATCH(B30,$K$8:$K$73,1)))/((E30-D30)/365)*100</f>
        <v/>
      </c>
      <c r="G30" s="76">
        <f>IFERROR(IF($J$7="Piecewise Linear (Simple)",IF(((B30-VAL_DATE)/360)&lt;=0,1,1/(1+(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+(IF(((E30-VAL_DATE)/360)&lt;=0,0,(1/INDEX($L$8:$L$73,MATCH(B30,$K$8:$K$73,1)+1)-1)/((E30-VAL_DATE)/360))-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)*IF(((E30-VAL_DATE)/360)-MAX((30&gt;0)*(D30-VAL_DATE)/360,0)=0,0,(((B30-VAL_DATE)/360)-MAX((30&gt;0)*(D30-VAL_DATE)/360,0))/(((E30-VAL_DATE)/360)-MAX((30&gt;0)*(D30-VAL_DATE)/360,0))))*((B30-VAL_DATE)/360))),INDEX($L$8:$L$73,MATCH(B30,$K$8:$K$73,1))*EXP(-(F30/100)*(B30-D30)/365)),"")</f>
        <v/>
      </c>
      <c r="H30" s="17">
        <f>-LN(G30)/C30*100</f>
        <v/>
      </c>
      <c r="K30" s="199">
        <f>'[USD_SOFR_Curve_Bloomberg_Pricer.xlsx]Curve_Interface'!$K$31</f>
        <v/>
      </c>
      <c r="L30" s="200">
        <f>'[USD_SOFR_Curve_Bloomberg_Pricer.xlsx]Curve_Interface'!$L$31</f>
        <v/>
      </c>
    </row>
    <row r="31">
      <c r="A31" s="43" t="n">
        <v>22</v>
      </c>
      <c r="B31" s="18">
        <f>EDATE($F$7,3*21)</f>
        <v/>
      </c>
      <c r="C31" s="34">
        <f>(B31-VAL_DATE)/365</f>
        <v/>
      </c>
      <c r="D31" s="18">
        <f>INDEX($K$8:$K$73,MATCH(B31,$K$8:$K$73,1))</f>
        <v/>
      </c>
      <c r="E31" s="18">
        <f>INDEX($K$8:$K$73,MATCH(B31,$K$8:$K$73,1)+1)</f>
        <v/>
      </c>
      <c r="F31" s="17">
        <f>-LN(INDEX($L$8:$L$73,MATCH(B31,$K$8:$K$73,1)+1)/INDEX($L$8:$L$73,MATCH(B31,$K$8:$K$73,1)))/((E31-D31)/365)*100</f>
        <v/>
      </c>
      <c r="G31" s="76">
        <f>IFERROR(IF($J$7="Piecewise Linear (Simple)",IF(((B31-VAL_DATE)/360)&lt;=0,1,1/(1+(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+(IF(((E31-VAL_DATE)/360)&lt;=0,0,(1/INDEX($L$8:$L$73,MATCH(B31,$K$8:$K$73,1)+1)-1)/((E31-VAL_DATE)/360))-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)*IF(((E31-VAL_DATE)/360)-MAX((31&gt;0)*(D31-VAL_DATE)/360,0)=0,0,(((B31-VAL_DATE)/360)-MAX((31&gt;0)*(D31-VAL_DATE)/360,0))/(((E31-VAL_DATE)/360)-MAX((31&gt;0)*(D31-VAL_DATE)/360,0))))*((B31-VAL_DATE)/360))),INDEX($L$8:$L$73,MATCH(B31,$K$8:$K$73,1))*EXP(-(F31/100)*(B31-D31)/365)),"")</f>
        <v/>
      </c>
      <c r="H31" s="17">
        <f>-LN(G31)/C31*100</f>
        <v/>
      </c>
      <c r="K31" s="199">
        <f>'[USD_SOFR_Curve_Bloomberg_Pricer.xlsx]Curve_Interface'!$K$32</f>
        <v/>
      </c>
      <c r="L31" s="200">
        <f>'[USD_SOFR_Curve_Bloomberg_Pricer.xlsx]Curve_Interface'!$L$32</f>
        <v/>
      </c>
    </row>
    <row r="32">
      <c r="A32" s="43" t="n">
        <v>23</v>
      </c>
      <c r="B32" s="18">
        <f>EDATE($F$7,3*22)</f>
        <v/>
      </c>
      <c r="C32" s="34">
        <f>(B32-VAL_DATE)/365</f>
        <v/>
      </c>
      <c r="D32" s="18">
        <f>INDEX($K$8:$K$73,MATCH(B32,$K$8:$K$73,1))</f>
        <v/>
      </c>
      <c r="E32" s="18">
        <f>INDEX($K$8:$K$73,MATCH(B32,$K$8:$K$73,1)+1)</f>
        <v/>
      </c>
      <c r="F32" s="17">
        <f>-LN(INDEX($L$8:$L$73,MATCH(B32,$K$8:$K$73,1)+1)/INDEX($L$8:$L$73,MATCH(B32,$K$8:$K$73,1)))/((E32-D32)/365)*100</f>
        <v/>
      </c>
      <c r="G32" s="76">
        <f>IFERROR(IF($J$7="Piecewise Linear (Simple)",IF(((B32-VAL_DATE)/360)&lt;=0,1,1/(1+(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+(IF(((E32-VAL_DATE)/360)&lt;=0,0,(1/INDEX($L$8:$L$73,MATCH(B32,$K$8:$K$73,1)+1)-1)/((E32-VAL_DATE)/360))-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)*IF(((E32-VAL_DATE)/360)-MAX((32&gt;0)*(D32-VAL_DATE)/360,0)=0,0,(((B32-VAL_DATE)/360)-MAX((32&gt;0)*(D32-VAL_DATE)/360,0))/(((E32-VAL_DATE)/360)-MAX((32&gt;0)*(D32-VAL_DATE)/360,0))))*((B32-VAL_DATE)/360))),INDEX($L$8:$L$73,MATCH(B32,$K$8:$K$73,1))*EXP(-(F32/100)*(B32-D32)/365)),"")</f>
        <v/>
      </c>
      <c r="H32" s="17">
        <f>-LN(G32)/C32*100</f>
        <v/>
      </c>
      <c r="K32" s="199">
        <f>'[USD_SOFR_Curve_Bloomberg_Pricer.xlsx]Curve_Interface'!$K$33</f>
        <v/>
      </c>
      <c r="L32" s="200">
        <f>'[USD_SOFR_Curve_Bloomberg_Pricer.xlsx]Curve_Interface'!$L$33</f>
        <v/>
      </c>
    </row>
    <row r="33">
      <c r="A33" s="43" t="n">
        <v>24</v>
      </c>
      <c r="B33" s="18">
        <f>EDATE($F$7,3*23)</f>
        <v/>
      </c>
      <c r="C33" s="34">
        <f>(B33-VAL_DATE)/365</f>
        <v/>
      </c>
      <c r="D33" s="18">
        <f>INDEX($K$8:$K$73,MATCH(B33,$K$8:$K$73,1))</f>
        <v/>
      </c>
      <c r="E33" s="18">
        <f>INDEX($K$8:$K$73,MATCH(B33,$K$8:$K$73,1)+1)</f>
        <v/>
      </c>
      <c r="F33" s="17">
        <f>-LN(INDEX($L$8:$L$73,MATCH(B33,$K$8:$K$73,1)+1)/INDEX($L$8:$L$73,MATCH(B33,$K$8:$K$73,1)))/((E33-D33)/365)*100</f>
        <v/>
      </c>
      <c r="G33" s="76">
        <f>IFERROR(IF($J$7="Piecewise Linear (Simple)",IF(((B33-VAL_DATE)/360)&lt;=0,1,1/(1+(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+(IF(((E33-VAL_DATE)/360)&lt;=0,0,(1/INDEX($L$8:$L$73,MATCH(B33,$K$8:$K$73,1)+1)-1)/((E33-VAL_DATE)/360))-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)*IF(((E33-VAL_DATE)/360)-MAX((33&gt;0)*(D33-VAL_DATE)/360,0)=0,0,(((B33-VAL_DATE)/360)-MAX((33&gt;0)*(D33-VAL_DATE)/360,0))/(((E33-VAL_DATE)/360)-MAX((33&gt;0)*(D33-VAL_DATE)/360,0))))*((B33-VAL_DATE)/360))),INDEX($L$8:$L$73,MATCH(B33,$K$8:$K$73,1))*EXP(-(F33/100)*(B33-D33)/365)),"")</f>
        <v/>
      </c>
      <c r="H33" s="17">
        <f>-LN(G33)/C33*100</f>
        <v/>
      </c>
      <c r="K33" s="199">
        <f>'[USD_SOFR_Curve_Bloomberg_Pricer.xlsx]Curve_Interface'!$K$34</f>
        <v/>
      </c>
      <c r="L33" s="200">
        <f>'[USD_SOFR_Curve_Bloomberg_Pricer.xlsx]Curve_Interface'!$L$34</f>
        <v/>
      </c>
    </row>
    <row r="34">
      <c r="A34" s="43" t="n">
        <v>25</v>
      </c>
      <c r="B34" s="18">
        <f>EDATE($F$7,3*24)</f>
        <v/>
      </c>
      <c r="C34" s="34">
        <f>(B34-VAL_DATE)/365</f>
        <v/>
      </c>
      <c r="D34" s="18">
        <f>INDEX($K$8:$K$73,MATCH(B34,$K$8:$K$73,1))</f>
        <v/>
      </c>
      <c r="E34" s="18">
        <f>INDEX($K$8:$K$73,MATCH(B34,$K$8:$K$73,1)+1)</f>
        <v/>
      </c>
      <c r="F34" s="17">
        <f>-LN(INDEX($L$8:$L$73,MATCH(B34,$K$8:$K$73,1)+1)/INDEX($L$8:$L$73,MATCH(B34,$K$8:$K$73,1)))/((E34-D34)/365)*100</f>
        <v/>
      </c>
      <c r="G34" s="76">
        <f>IFERROR(IF($J$7="Piecewise Linear (Simple)",IF(((B34-VAL_DATE)/360)&lt;=0,1,1/(1+(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+(IF(((E34-VAL_DATE)/360)&lt;=0,0,(1/INDEX($L$8:$L$73,MATCH(B34,$K$8:$K$73,1)+1)-1)/((E34-VAL_DATE)/360))-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)*IF(((E34-VAL_DATE)/360)-MAX((34&gt;0)*(D34-VAL_DATE)/360,0)=0,0,(((B34-VAL_DATE)/360)-MAX((34&gt;0)*(D34-VAL_DATE)/360,0))/(((E34-VAL_DATE)/360)-MAX((34&gt;0)*(D34-VAL_DATE)/360,0))))*((B34-VAL_DATE)/360))),INDEX($L$8:$L$73,MATCH(B34,$K$8:$K$73,1))*EXP(-(F34/100)*(B34-D34)/365)),"")</f>
        <v/>
      </c>
      <c r="H34" s="17">
        <f>-LN(G34)/C34*100</f>
        <v/>
      </c>
      <c r="K34" s="199">
        <f>'[USD_SOFR_Curve_Bloomberg_Pricer.xlsx]Curve_Interface'!$K$35</f>
        <v/>
      </c>
      <c r="L34" s="200">
        <f>'[USD_SOFR_Curve_Bloomberg_Pricer.xlsx]Curve_Interface'!$L$35</f>
        <v/>
      </c>
    </row>
    <row r="35">
      <c r="A35" s="43" t="n">
        <v>26</v>
      </c>
      <c r="B35" s="18">
        <f>EDATE($F$7,3*25)</f>
        <v/>
      </c>
      <c r="C35" s="34">
        <f>(B35-VAL_DATE)/365</f>
        <v/>
      </c>
      <c r="D35" s="18">
        <f>INDEX($K$8:$K$73,MATCH(B35,$K$8:$K$73,1))</f>
        <v/>
      </c>
      <c r="E35" s="18">
        <f>INDEX($K$8:$K$73,MATCH(B35,$K$8:$K$73,1)+1)</f>
        <v/>
      </c>
      <c r="F35" s="17">
        <f>-LN(INDEX($L$8:$L$73,MATCH(B35,$K$8:$K$73,1)+1)/INDEX($L$8:$L$73,MATCH(B35,$K$8:$K$73,1)))/((E35-D35)/365)*100</f>
        <v/>
      </c>
      <c r="G35" s="76">
        <f>IFERROR(IF($J$7="Piecewise Linear (Simple)",IF(((B35-VAL_DATE)/360)&lt;=0,1,1/(1+(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+(IF(((E35-VAL_DATE)/360)&lt;=0,0,(1/INDEX($L$8:$L$73,MATCH(B35,$K$8:$K$73,1)+1)-1)/((E35-VAL_DATE)/360))-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)*IF(((E35-VAL_DATE)/360)-MAX((35&gt;0)*(D35-VAL_DATE)/360,0)=0,0,(((B35-VAL_DATE)/360)-MAX((35&gt;0)*(D35-VAL_DATE)/360,0))/(((E35-VAL_DATE)/360)-MAX((35&gt;0)*(D35-VAL_DATE)/360,0))))*((B35-VAL_DATE)/360))),INDEX($L$8:$L$73,MATCH(B35,$K$8:$K$73,1))*EXP(-(F35/100)*(B35-D35)/365)),"")</f>
        <v/>
      </c>
      <c r="H35" s="17">
        <f>-LN(G35)/C35*100</f>
        <v/>
      </c>
      <c r="K35" s="199">
        <f>'[USD_SOFR_Curve_Bloomberg_Pricer.xlsx]Curve_Interface'!$K$36</f>
        <v/>
      </c>
      <c r="L35" s="200">
        <f>'[USD_SOFR_Curve_Bloomberg_Pricer.xlsx]Curve_Interface'!$L$36</f>
        <v/>
      </c>
    </row>
    <row r="36">
      <c r="A36" s="43" t="n">
        <v>27</v>
      </c>
      <c r="B36" s="18">
        <f>EDATE($F$7,3*26)</f>
        <v/>
      </c>
      <c r="C36" s="34">
        <f>(B36-VAL_DATE)/365</f>
        <v/>
      </c>
      <c r="D36" s="18">
        <f>INDEX($K$8:$K$73,MATCH(B36,$K$8:$K$73,1))</f>
        <v/>
      </c>
      <c r="E36" s="18">
        <f>INDEX($K$8:$K$73,MATCH(B36,$K$8:$K$73,1)+1)</f>
        <v/>
      </c>
      <c r="F36" s="17">
        <f>-LN(INDEX($L$8:$L$73,MATCH(B36,$K$8:$K$73,1)+1)/INDEX($L$8:$L$73,MATCH(B36,$K$8:$K$73,1)))/((E36-D36)/365)*100</f>
        <v/>
      </c>
      <c r="G36" s="76">
        <f>IFERROR(IF($J$7="Piecewise Linear (Simple)",IF(((B36-VAL_DATE)/360)&lt;=0,1,1/(1+(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+(IF(((E36-VAL_DATE)/360)&lt;=0,0,(1/INDEX($L$8:$L$73,MATCH(B36,$K$8:$K$73,1)+1)-1)/((E36-VAL_DATE)/360))-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)*IF(((E36-VAL_DATE)/360)-MAX((36&gt;0)*(D36-VAL_DATE)/360,0)=0,0,(((B36-VAL_DATE)/360)-MAX((36&gt;0)*(D36-VAL_DATE)/360,0))/(((E36-VAL_DATE)/360)-MAX((36&gt;0)*(D36-VAL_DATE)/360,0))))*((B36-VAL_DATE)/360))),INDEX($L$8:$L$73,MATCH(B36,$K$8:$K$73,1))*EXP(-(F36/100)*(B36-D36)/365)),"")</f>
        <v/>
      </c>
      <c r="H36" s="17">
        <f>-LN(G36)/C36*100</f>
        <v/>
      </c>
      <c r="K36" s="199">
        <f>'[USD_SOFR_Curve_Bloomberg_Pricer.xlsx]Curve_Interface'!$K$37</f>
        <v/>
      </c>
      <c r="L36" s="200">
        <f>'[USD_SOFR_Curve_Bloomberg_Pricer.xlsx]Curve_Interface'!$L$37</f>
        <v/>
      </c>
    </row>
    <row r="37">
      <c r="A37" s="43" t="n">
        <v>28</v>
      </c>
      <c r="B37" s="18">
        <f>EDATE($F$7,3*27)</f>
        <v/>
      </c>
      <c r="C37" s="34">
        <f>(B37-VAL_DATE)/365</f>
        <v/>
      </c>
      <c r="D37" s="18">
        <f>INDEX($K$8:$K$73,MATCH(B37,$K$8:$K$73,1))</f>
        <v/>
      </c>
      <c r="E37" s="18">
        <f>INDEX($K$8:$K$73,MATCH(B37,$K$8:$K$73,1)+1)</f>
        <v/>
      </c>
      <c r="F37" s="17">
        <f>-LN(INDEX($L$8:$L$73,MATCH(B37,$K$8:$K$73,1)+1)/INDEX($L$8:$L$73,MATCH(B37,$K$8:$K$73,1)))/((E37-D37)/365)*100</f>
        <v/>
      </c>
      <c r="G37" s="76">
        <f>IFERROR(IF($J$7="Piecewise Linear (Simple)",IF(((B37-VAL_DATE)/360)&lt;=0,1,1/(1+(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+(IF(((E37-VAL_DATE)/360)&lt;=0,0,(1/INDEX($L$8:$L$73,MATCH(B37,$K$8:$K$73,1)+1)-1)/((E37-VAL_DATE)/360))-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)*IF(((E37-VAL_DATE)/360)-MAX((37&gt;0)*(D37-VAL_DATE)/360,0)=0,0,(((B37-VAL_DATE)/360)-MAX((37&gt;0)*(D37-VAL_DATE)/360,0))/(((E37-VAL_DATE)/360)-MAX((37&gt;0)*(D37-VAL_DATE)/360,0))))*((B37-VAL_DATE)/360))),INDEX($L$8:$L$73,MATCH(B37,$K$8:$K$73,1))*EXP(-(F37/100)*(B37-D37)/365)),"")</f>
        <v/>
      </c>
      <c r="H37" s="17">
        <f>-LN(G37)/C37*100</f>
        <v/>
      </c>
      <c r="K37" s="199">
        <f>'[USD_SOFR_Curve_Bloomberg_Pricer.xlsx]Curve_Interface'!$K$38</f>
        <v/>
      </c>
      <c r="L37" s="200">
        <f>'[USD_SOFR_Curve_Bloomberg_Pricer.xlsx]Curve_Interface'!$L$38</f>
        <v/>
      </c>
    </row>
    <row r="38">
      <c r="A38" s="43" t="n">
        <v>29</v>
      </c>
      <c r="B38" s="18">
        <f>EDATE($F$7,3*28)</f>
        <v/>
      </c>
      <c r="C38" s="34">
        <f>(B38-VAL_DATE)/365</f>
        <v/>
      </c>
      <c r="D38" s="18">
        <f>INDEX($K$8:$K$73,MATCH(B38,$K$8:$K$73,1))</f>
        <v/>
      </c>
      <c r="E38" s="18">
        <f>INDEX($K$8:$K$73,MATCH(B38,$K$8:$K$73,1)+1)</f>
        <v/>
      </c>
      <c r="F38" s="17">
        <f>-LN(INDEX($L$8:$L$73,MATCH(B38,$K$8:$K$73,1)+1)/INDEX($L$8:$L$73,MATCH(B38,$K$8:$K$73,1)))/((E38-D38)/365)*100</f>
        <v/>
      </c>
      <c r="G38" s="76">
        <f>IFERROR(IF($J$7="Piecewise Linear (Simple)",IF(((B38-VAL_DATE)/360)&lt;=0,1,1/(1+(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+(IF(((E38-VAL_DATE)/360)&lt;=0,0,(1/INDEX($L$8:$L$73,MATCH(B38,$K$8:$K$73,1)+1)-1)/((E38-VAL_DATE)/360))-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)*IF(((E38-VAL_DATE)/360)-MAX((38&gt;0)*(D38-VAL_DATE)/360,0)=0,0,(((B38-VAL_DATE)/360)-MAX((38&gt;0)*(D38-VAL_DATE)/360,0))/(((E38-VAL_DATE)/360)-MAX((38&gt;0)*(D38-VAL_DATE)/360,0))))*((B38-VAL_DATE)/360))),INDEX($L$8:$L$73,MATCH(B38,$K$8:$K$73,1))*EXP(-(F38/100)*(B38-D38)/365)),"")</f>
        <v/>
      </c>
      <c r="H38" s="17">
        <f>-LN(G38)/C38*100</f>
        <v/>
      </c>
      <c r="K38" s="199">
        <f>'[USD_SOFR_Curve_Bloomberg_Pricer.xlsx]Curve_Interface'!$K$39</f>
        <v/>
      </c>
      <c r="L38" s="200">
        <f>'[USD_SOFR_Curve_Bloomberg_Pricer.xlsx]Curve_Interface'!$L$39</f>
        <v/>
      </c>
    </row>
    <row r="39">
      <c r="A39" s="43" t="n">
        <v>30</v>
      </c>
      <c r="B39" s="18">
        <f>EDATE($F$7,3*29)</f>
        <v/>
      </c>
      <c r="C39" s="34">
        <f>(B39-VAL_DATE)/365</f>
        <v/>
      </c>
      <c r="D39" s="18">
        <f>INDEX($K$8:$K$73,MATCH(B39,$K$8:$K$73,1))</f>
        <v/>
      </c>
      <c r="E39" s="18">
        <f>INDEX($K$8:$K$73,MATCH(B39,$K$8:$K$73,1)+1)</f>
        <v/>
      </c>
      <c r="F39" s="17">
        <f>-LN(INDEX($L$8:$L$73,MATCH(B39,$K$8:$K$73,1)+1)/INDEX($L$8:$L$73,MATCH(B39,$K$8:$K$73,1)))/((E39-D39)/365)*100</f>
        <v/>
      </c>
      <c r="G39" s="76">
        <f>IFERROR(IF($J$7="Piecewise Linear (Simple)",IF(((B39-VAL_DATE)/360)&lt;=0,1,1/(1+(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+(IF(((E39-VAL_DATE)/360)&lt;=0,0,(1/INDEX($L$8:$L$73,MATCH(B39,$K$8:$K$73,1)+1)-1)/((E39-VAL_DATE)/360))-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)*IF(((E39-VAL_DATE)/360)-MAX((39&gt;0)*(D39-VAL_DATE)/360,0)=0,0,(((B39-VAL_DATE)/360)-MAX((39&gt;0)*(D39-VAL_DATE)/360,0))/(((E39-VAL_DATE)/360)-MAX((39&gt;0)*(D39-VAL_DATE)/360,0))))*((B39-VAL_DATE)/360))),INDEX($L$8:$L$73,MATCH(B39,$K$8:$K$73,1))*EXP(-(F39/100)*(B39-D39)/365)),"")</f>
        <v/>
      </c>
      <c r="H39" s="17">
        <f>-LN(G39)/C39*100</f>
        <v/>
      </c>
      <c r="K39" s="199">
        <f>'[USD_SOFR_Curve_Bloomberg_Pricer.xlsx]Curve_Interface'!$K$40</f>
        <v/>
      </c>
      <c r="L39" s="200">
        <f>'[USD_SOFR_Curve_Bloomberg_Pricer.xlsx]Curve_Interface'!$L$40</f>
        <v/>
      </c>
    </row>
    <row r="40">
      <c r="A40" s="43" t="n">
        <v>31</v>
      </c>
      <c r="B40" s="18">
        <f>EDATE($F$7,3*30)</f>
        <v/>
      </c>
      <c r="C40" s="34">
        <f>(B40-VAL_DATE)/365</f>
        <v/>
      </c>
      <c r="D40" s="18">
        <f>INDEX($K$8:$K$73,MATCH(B40,$K$8:$K$73,1))</f>
        <v/>
      </c>
      <c r="E40" s="18">
        <f>INDEX($K$8:$K$73,MATCH(B40,$K$8:$K$73,1)+1)</f>
        <v/>
      </c>
      <c r="F40" s="17">
        <f>-LN(INDEX($L$8:$L$73,MATCH(B40,$K$8:$K$73,1)+1)/INDEX($L$8:$L$73,MATCH(B40,$K$8:$K$73,1)))/((E40-D40)/365)*100</f>
        <v/>
      </c>
      <c r="G40" s="76">
        <f>IFERROR(IF($J$7="Piecewise Linear (Simple)",IF(((B40-VAL_DATE)/360)&lt;=0,1,1/(1+(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+(IF(((E40-VAL_DATE)/360)&lt;=0,0,(1/INDEX($L$8:$L$73,MATCH(B40,$K$8:$K$73,1)+1)-1)/((E40-VAL_DATE)/360))-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)*IF(((E40-VAL_DATE)/360)-MAX((40&gt;0)*(D40-VAL_DATE)/360,0)=0,0,(((B40-VAL_DATE)/360)-MAX((40&gt;0)*(D40-VAL_DATE)/360,0))/(((E40-VAL_DATE)/360)-MAX((40&gt;0)*(D40-VAL_DATE)/360,0))))*((B40-VAL_DATE)/360))),INDEX($L$8:$L$73,MATCH(B40,$K$8:$K$73,1))*EXP(-(F40/100)*(B40-D40)/365)),"")</f>
        <v/>
      </c>
      <c r="H40" s="17">
        <f>-LN(G40)/C40*100</f>
        <v/>
      </c>
      <c r="K40" s="199">
        <f>'[USD_SOFR_Curve_Bloomberg_Pricer.xlsx]Curve_Interface'!$K$41</f>
        <v/>
      </c>
      <c r="L40" s="200">
        <f>'[USD_SOFR_Curve_Bloomberg_Pricer.xlsx]Curve_Interface'!$L$41</f>
        <v/>
      </c>
    </row>
    <row r="41">
      <c r="A41" s="43" t="n">
        <v>32</v>
      </c>
      <c r="B41" s="18">
        <f>EDATE($F$7,3*31)</f>
        <v/>
      </c>
      <c r="C41" s="34">
        <f>(B41-VAL_DATE)/365</f>
        <v/>
      </c>
      <c r="D41" s="18">
        <f>INDEX($K$8:$K$73,MATCH(B41,$K$8:$K$73,1))</f>
        <v/>
      </c>
      <c r="E41" s="18">
        <f>INDEX($K$8:$K$73,MATCH(B41,$K$8:$K$73,1)+1)</f>
        <v/>
      </c>
      <c r="F41" s="17">
        <f>-LN(INDEX($L$8:$L$73,MATCH(B41,$K$8:$K$73,1)+1)/INDEX($L$8:$L$73,MATCH(B41,$K$8:$K$73,1)))/((E41-D41)/365)*100</f>
        <v/>
      </c>
      <c r="G41" s="76">
        <f>IFERROR(IF($J$7="Piecewise Linear (Simple)",IF(((B41-VAL_DATE)/360)&lt;=0,1,1/(1+(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+(IF(((E41-VAL_DATE)/360)&lt;=0,0,(1/INDEX($L$8:$L$73,MATCH(B41,$K$8:$K$73,1)+1)-1)/((E41-VAL_DATE)/360))-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)*IF(((E41-VAL_DATE)/360)-MAX((41&gt;0)*(D41-VAL_DATE)/360,0)=0,0,(((B41-VAL_DATE)/360)-MAX((41&gt;0)*(D41-VAL_DATE)/360,0))/(((E41-VAL_DATE)/360)-MAX((41&gt;0)*(D41-VAL_DATE)/360,0))))*((B41-VAL_DATE)/360))),INDEX($L$8:$L$73,MATCH(B41,$K$8:$K$73,1))*EXP(-(F41/100)*(B41-D41)/365)),"")</f>
        <v/>
      </c>
      <c r="H41" s="17">
        <f>-LN(G41)/C41*100</f>
        <v/>
      </c>
      <c r="K41" s="194">
        <f>'[USD_SOFR_Curve_Bloomberg_Pricer.xlsx]Curve_Interface'!$K$42</f>
        <v/>
      </c>
      <c r="L41" s="203">
        <f>'[USD_SOFR_Curve_Bloomberg_Pricer.xlsx]Curve_Interface'!$L$42</f>
        <v/>
      </c>
    </row>
    <row r="42">
      <c r="A42" s="43" t="n">
        <v>33</v>
      </c>
      <c r="B42" s="18">
        <f>EDATE($F$7,3*32)</f>
        <v/>
      </c>
      <c r="C42" s="34">
        <f>(B42-VAL_DATE)/365</f>
        <v/>
      </c>
      <c r="D42" s="18">
        <f>INDEX($K$8:$K$73,MATCH(B42,$K$8:$K$73,1))</f>
        <v/>
      </c>
      <c r="E42" s="18">
        <f>INDEX($K$8:$K$73,MATCH(B42,$K$8:$K$73,1)+1)</f>
        <v/>
      </c>
      <c r="F42" s="17">
        <f>-LN(INDEX($L$8:$L$73,MATCH(B42,$K$8:$K$73,1)+1)/INDEX($L$8:$L$73,MATCH(B42,$K$8:$K$73,1)))/((E42-D42)/365)*100</f>
        <v/>
      </c>
      <c r="G42" s="76">
        <f>IFERROR(IF($J$7="Piecewise Linear (Simple)",IF(((B42-VAL_DATE)/360)&lt;=0,1,1/(1+(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+(IF(((E42-VAL_DATE)/360)&lt;=0,0,(1/INDEX($L$8:$L$73,MATCH(B42,$K$8:$K$73,1)+1)-1)/((E42-VAL_DATE)/360))-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)*IF(((E42-VAL_DATE)/360)-MAX((42&gt;0)*(D42-VAL_DATE)/360,0)=0,0,(((B42-VAL_DATE)/360)-MAX((42&gt;0)*(D42-VAL_DATE)/360,0))/(((E42-VAL_DATE)/360)-MAX((42&gt;0)*(D42-VAL_DATE)/360,0))))*((B42-VAL_DATE)/360))),INDEX($L$8:$L$73,MATCH(B42,$K$8:$K$73,1))*EXP(-(F42/100)*(B42-D42)/365)),"")</f>
        <v/>
      </c>
      <c r="H42" s="17">
        <f>-LN(G42)/C42*100</f>
        <v/>
      </c>
      <c r="K42" s="194">
        <f>'[USD_SOFR_Curve_Bloomberg_Pricer.xlsx]Curve_Interface'!$K$43</f>
        <v/>
      </c>
      <c r="L42" s="203">
        <f>'[USD_SOFR_Curve_Bloomberg_Pricer.xlsx]Curve_Interface'!$L$43</f>
        <v/>
      </c>
    </row>
    <row r="43">
      <c r="A43" s="43" t="n">
        <v>34</v>
      </c>
      <c r="B43" s="18">
        <f>EDATE($F$7,3*33)</f>
        <v/>
      </c>
      <c r="C43" s="34">
        <f>(B43-VAL_DATE)/365</f>
        <v/>
      </c>
      <c r="D43" s="18">
        <f>INDEX($K$8:$K$73,MATCH(B43,$K$8:$K$73,1))</f>
        <v/>
      </c>
      <c r="E43" s="18">
        <f>INDEX($K$8:$K$73,MATCH(B43,$K$8:$K$73,1)+1)</f>
        <v/>
      </c>
      <c r="F43" s="17">
        <f>-LN(INDEX($L$8:$L$73,MATCH(B43,$K$8:$K$73,1)+1)/INDEX($L$8:$L$73,MATCH(B43,$K$8:$K$73,1)))/((E43-D43)/365)*100</f>
        <v/>
      </c>
      <c r="G43" s="76">
        <f>IFERROR(IF($J$7="Piecewise Linear (Simple)",IF(((B43-VAL_DATE)/360)&lt;=0,1,1/(1+(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+(IF(((E43-VAL_DATE)/360)&lt;=0,0,(1/INDEX($L$8:$L$73,MATCH(B43,$K$8:$K$73,1)+1)-1)/((E43-VAL_DATE)/360))-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)*IF(((E43-VAL_DATE)/360)-MAX((43&gt;0)*(D43-VAL_DATE)/360,0)=0,0,(((B43-VAL_DATE)/360)-MAX((43&gt;0)*(D43-VAL_DATE)/360,0))/(((E43-VAL_DATE)/360)-MAX((43&gt;0)*(D43-VAL_DATE)/360,0))))*((B43-VAL_DATE)/360))),INDEX($L$8:$L$73,MATCH(B43,$K$8:$K$73,1))*EXP(-(F43/100)*(B43-D43)/365)),"")</f>
        <v/>
      </c>
      <c r="H43" s="17">
        <f>-LN(G43)/C43*100</f>
        <v/>
      </c>
      <c r="K43" s="194">
        <f>'[USD_SOFR_Curve_Bloomberg_Pricer.xlsx]Curve_Interface'!$K$44</f>
        <v/>
      </c>
      <c r="L43" s="203">
        <f>'[USD_SOFR_Curve_Bloomberg_Pricer.xlsx]Curve_Interface'!$L$44</f>
        <v/>
      </c>
    </row>
    <row r="44">
      <c r="A44" s="43" t="n">
        <v>35</v>
      </c>
      <c r="B44" s="18">
        <f>EDATE($F$7,3*34)</f>
        <v/>
      </c>
      <c r="C44" s="34">
        <f>(B44-VAL_DATE)/365</f>
        <v/>
      </c>
      <c r="D44" s="18">
        <f>INDEX($K$8:$K$73,MATCH(B44,$K$8:$K$73,1))</f>
        <v/>
      </c>
      <c r="E44" s="18">
        <f>INDEX($K$8:$K$73,MATCH(B44,$K$8:$K$73,1)+1)</f>
        <v/>
      </c>
      <c r="F44" s="17">
        <f>-LN(INDEX($L$8:$L$73,MATCH(B44,$K$8:$K$73,1)+1)/INDEX($L$8:$L$73,MATCH(B44,$K$8:$K$73,1)))/((E44-D44)/365)*100</f>
        <v/>
      </c>
      <c r="G44" s="76">
        <f>IFERROR(IF($J$7="Piecewise Linear (Simple)",IF(((B44-VAL_DATE)/360)&lt;=0,1,1/(1+(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+(IF(((E44-VAL_DATE)/360)&lt;=0,0,(1/INDEX($L$8:$L$73,MATCH(B44,$K$8:$K$73,1)+1)-1)/((E44-VAL_DATE)/360))-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)*IF(((E44-VAL_DATE)/360)-MAX((44&gt;0)*(D44-VAL_DATE)/360,0)=0,0,(((B44-VAL_DATE)/360)-MAX((44&gt;0)*(D44-VAL_DATE)/360,0))/(((E44-VAL_DATE)/360)-MAX((44&gt;0)*(D44-VAL_DATE)/360,0))))*((B44-VAL_DATE)/360))),INDEX($L$8:$L$73,MATCH(B44,$K$8:$K$73,1))*EXP(-(F44/100)*(B44-D44)/365)),"")</f>
        <v/>
      </c>
      <c r="H44" s="17">
        <f>-LN(G44)/C44*100</f>
        <v/>
      </c>
      <c r="K44" s="194">
        <f>'[USD_SOFR_Curve_Bloomberg_Pricer.xlsx]Curve_Interface'!$K$45</f>
        <v/>
      </c>
      <c r="L44" s="203">
        <f>'[USD_SOFR_Curve_Bloomberg_Pricer.xlsx]Curve_Interface'!$L$45</f>
        <v/>
      </c>
    </row>
    <row r="45">
      <c r="A45" s="43" t="n">
        <v>36</v>
      </c>
      <c r="B45" s="18">
        <f>EDATE($F$7,3*35)</f>
        <v/>
      </c>
      <c r="C45" s="34">
        <f>(B45-VAL_DATE)/365</f>
        <v/>
      </c>
      <c r="D45" s="18">
        <f>INDEX($K$8:$K$73,MATCH(B45,$K$8:$K$73,1))</f>
        <v/>
      </c>
      <c r="E45" s="18">
        <f>INDEX($K$8:$K$73,MATCH(B45,$K$8:$K$73,1)+1)</f>
        <v/>
      </c>
      <c r="F45" s="17">
        <f>-LN(INDEX($L$8:$L$73,MATCH(B45,$K$8:$K$73,1)+1)/INDEX($L$8:$L$73,MATCH(B45,$K$8:$K$73,1)))/((E45-D45)/365)*100</f>
        <v/>
      </c>
      <c r="G45" s="76">
        <f>IFERROR(IF($J$7="Piecewise Linear (Simple)",IF(((B45-VAL_DATE)/360)&lt;=0,1,1/(1+(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+(IF(((E45-VAL_DATE)/360)&lt;=0,0,(1/INDEX($L$8:$L$73,MATCH(B45,$K$8:$K$73,1)+1)-1)/((E45-VAL_DATE)/360))-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)*IF(((E45-VAL_DATE)/360)-MAX((45&gt;0)*(D45-VAL_DATE)/360,0)=0,0,(((B45-VAL_DATE)/360)-MAX((45&gt;0)*(D45-VAL_DATE)/360,0))/(((E45-VAL_DATE)/360)-MAX((45&gt;0)*(D45-VAL_DATE)/360,0))))*((B45-VAL_DATE)/360))),INDEX($L$8:$L$73,MATCH(B45,$K$8:$K$73,1))*EXP(-(F45/100)*(B45-D45)/365)),"")</f>
        <v/>
      </c>
      <c r="H45" s="17">
        <f>-LN(G45)/C45*100</f>
        <v/>
      </c>
      <c r="K45" s="194">
        <f>'[USD_SOFR_Curve_Bloomberg_Pricer.xlsx]Curve_Interface'!$K$46</f>
        <v/>
      </c>
      <c r="L45" s="203">
        <f>'[USD_SOFR_Curve_Bloomberg_Pricer.xlsx]Curve_Interface'!$L$46</f>
        <v/>
      </c>
    </row>
    <row r="46">
      <c r="A46" s="43" t="n">
        <v>37</v>
      </c>
      <c r="B46" s="18">
        <f>EDATE($F$7,3*36)</f>
        <v/>
      </c>
      <c r="C46" s="34">
        <f>(B46-VAL_DATE)/365</f>
        <v/>
      </c>
      <c r="D46" s="18">
        <f>INDEX($K$8:$K$73,MATCH(B46,$K$8:$K$73,1))</f>
        <v/>
      </c>
      <c r="E46" s="18">
        <f>INDEX($K$8:$K$73,MATCH(B46,$K$8:$K$73,1)+1)</f>
        <v/>
      </c>
      <c r="F46" s="17">
        <f>-LN(INDEX($L$8:$L$73,MATCH(B46,$K$8:$K$73,1)+1)/INDEX($L$8:$L$73,MATCH(B46,$K$8:$K$73,1)))/((E46-D46)/365)*100</f>
        <v/>
      </c>
      <c r="G46" s="76">
        <f>IFERROR(IF($J$7="Piecewise Linear (Simple)",IF(((B46-VAL_DATE)/360)&lt;=0,1,1/(1+(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+(IF(((E46-VAL_DATE)/360)&lt;=0,0,(1/INDEX($L$8:$L$73,MATCH(B46,$K$8:$K$73,1)+1)-1)/((E46-VAL_DATE)/360))-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)*IF(((E46-VAL_DATE)/360)-MAX((46&gt;0)*(D46-VAL_DATE)/360,0)=0,0,(((B46-VAL_DATE)/360)-MAX((46&gt;0)*(D46-VAL_DATE)/360,0))/(((E46-VAL_DATE)/360)-MAX((46&gt;0)*(D46-VAL_DATE)/360,0))))*((B46-VAL_DATE)/360))),INDEX($L$8:$L$73,MATCH(B46,$K$8:$K$73,1))*EXP(-(F46/100)*(B46-D46)/365)),"")</f>
        <v/>
      </c>
      <c r="H46" s="17">
        <f>-LN(G46)/C46*100</f>
        <v/>
      </c>
      <c r="K46" s="194">
        <f>'[USD_SOFR_Curve_Bloomberg_Pricer.xlsx]Curve_Interface'!$K$47</f>
        <v/>
      </c>
      <c r="L46" s="203">
        <f>'[USD_SOFR_Curve_Bloomberg_Pricer.xlsx]Curve_Interface'!$L$47</f>
        <v/>
      </c>
    </row>
    <row r="47">
      <c r="A47" s="43" t="n">
        <v>38</v>
      </c>
      <c r="B47" s="18">
        <f>EDATE($F$7,3*37)</f>
        <v/>
      </c>
      <c r="C47" s="34">
        <f>(B47-VAL_DATE)/365</f>
        <v/>
      </c>
      <c r="D47" s="18">
        <f>INDEX($K$8:$K$73,MATCH(B47,$K$8:$K$73,1))</f>
        <v/>
      </c>
      <c r="E47" s="18">
        <f>INDEX($K$8:$K$73,MATCH(B47,$K$8:$K$73,1)+1)</f>
        <v/>
      </c>
      <c r="F47" s="17">
        <f>-LN(INDEX($L$8:$L$73,MATCH(B47,$K$8:$K$73,1)+1)/INDEX($L$8:$L$73,MATCH(B47,$K$8:$K$73,1)))/((E47-D47)/365)*100</f>
        <v/>
      </c>
      <c r="G47" s="76">
        <f>IFERROR(IF($J$7="Piecewise Linear (Simple)",IF(((B47-VAL_DATE)/360)&lt;=0,1,1/(1+(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+(IF(((E47-VAL_DATE)/360)&lt;=0,0,(1/INDEX($L$8:$L$73,MATCH(B47,$K$8:$K$73,1)+1)-1)/((E47-VAL_DATE)/360))-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)*IF(((E47-VAL_DATE)/360)-MAX((47&gt;0)*(D47-VAL_DATE)/360,0)=0,0,(((B47-VAL_DATE)/360)-MAX((47&gt;0)*(D47-VAL_DATE)/360,0))/(((E47-VAL_DATE)/360)-MAX((47&gt;0)*(D47-VAL_DATE)/360,0))))*((B47-VAL_DATE)/360))),INDEX($L$8:$L$73,MATCH(B47,$K$8:$K$73,1))*EXP(-(F47/100)*(B47-D47)/365)),"")</f>
        <v/>
      </c>
      <c r="H47" s="17">
        <f>-LN(G47)/C47*100</f>
        <v/>
      </c>
      <c r="K47" s="194">
        <f>'[USD_SOFR_Curve_Bloomberg_Pricer.xlsx]Curve_Interface'!$K$48</f>
        <v/>
      </c>
      <c r="L47" s="203">
        <f>'[USD_SOFR_Curve_Bloomberg_Pricer.xlsx]Curve_Interface'!$L$48</f>
        <v/>
      </c>
    </row>
    <row r="48">
      <c r="A48" s="43" t="n">
        <v>39</v>
      </c>
      <c r="B48" s="18">
        <f>EDATE($F$7,3*38)</f>
        <v/>
      </c>
      <c r="C48" s="34">
        <f>(B48-VAL_DATE)/365</f>
        <v/>
      </c>
      <c r="D48" s="18">
        <f>INDEX($K$8:$K$73,MATCH(B48,$K$8:$K$73,1))</f>
        <v/>
      </c>
      <c r="E48" s="18">
        <f>INDEX($K$8:$K$73,MATCH(B48,$K$8:$K$73,1)+1)</f>
        <v/>
      </c>
      <c r="F48" s="17">
        <f>-LN(INDEX($L$8:$L$73,MATCH(B48,$K$8:$K$73,1)+1)/INDEX($L$8:$L$73,MATCH(B48,$K$8:$K$73,1)))/((E48-D48)/365)*100</f>
        <v/>
      </c>
      <c r="G48" s="76">
        <f>IFERROR(IF($J$7="Piecewise Linear (Simple)",IF(((B48-VAL_DATE)/360)&lt;=0,1,1/(1+(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+(IF(((E48-VAL_DATE)/360)&lt;=0,0,(1/INDEX($L$8:$L$73,MATCH(B48,$K$8:$K$73,1)+1)-1)/((E48-VAL_DATE)/360))-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)*IF(((E48-VAL_DATE)/360)-MAX((48&gt;0)*(D48-VAL_DATE)/360,0)=0,0,(((B48-VAL_DATE)/360)-MAX((48&gt;0)*(D48-VAL_DATE)/360,0))/(((E48-VAL_DATE)/360)-MAX((48&gt;0)*(D48-VAL_DATE)/360,0))))*((B48-VAL_DATE)/360))),INDEX($L$8:$L$73,MATCH(B48,$K$8:$K$73,1))*EXP(-(F48/100)*(B48-D48)/365)),"")</f>
        <v/>
      </c>
      <c r="H48" s="17">
        <f>-LN(G48)/C48*100</f>
        <v/>
      </c>
      <c r="K48" s="194">
        <f>'[USD_SOFR_Curve_Bloomberg_Pricer.xlsx]Curve_Interface'!$K$49</f>
        <v/>
      </c>
      <c r="L48" s="203">
        <f>'[USD_SOFR_Curve_Bloomberg_Pricer.xlsx]Curve_Interface'!$L$49</f>
        <v/>
      </c>
    </row>
    <row r="49">
      <c r="A49" s="43" t="n">
        <v>40</v>
      </c>
      <c r="B49" s="18">
        <f>EDATE($F$7,3*39)</f>
        <v/>
      </c>
      <c r="C49" s="34">
        <f>(B49-VAL_DATE)/365</f>
        <v/>
      </c>
      <c r="D49" s="18">
        <f>INDEX($K$8:$K$73,MATCH(B49,$K$8:$K$73,1))</f>
        <v/>
      </c>
      <c r="E49" s="18">
        <f>INDEX($K$8:$K$73,MATCH(B49,$K$8:$K$73,1)+1)</f>
        <v/>
      </c>
      <c r="F49" s="17">
        <f>-LN(INDEX($L$8:$L$73,MATCH(B49,$K$8:$K$73,1)+1)/INDEX($L$8:$L$73,MATCH(B49,$K$8:$K$73,1)))/((E49-D49)/365)*100</f>
        <v/>
      </c>
      <c r="G49" s="76">
        <f>IFERROR(IF($J$7="Piecewise Linear (Simple)",IF(((B49-VAL_DATE)/360)&lt;=0,1,1/(1+(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+(IF(((E49-VAL_DATE)/360)&lt;=0,0,(1/INDEX($L$8:$L$73,MATCH(B49,$K$8:$K$73,1)+1)-1)/((E49-VAL_DATE)/360))-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)*IF(((E49-VAL_DATE)/360)-MAX((49&gt;0)*(D49-VAL_DATE)/360,0)=0,0,(((B49-VAL_DATE)/360)-MAX((49&gt;0)*(D49-VAL_DATE)/360,0))/(((E49-VAL_DATE)/360)-MAX((49&gt;0)*(D49-VAL_DATE)/360,0))))*((B49-VAL_DATE)/360))),INDEX($L$8:$L$73,MATCH(B49,$K$8:$K$73,1))*EXP(-(F49/100)*(B49-D49)/365)),"")</f>
        <v/>
      </c>
      <c r="H49" s="17">
        <f>-LN(G49)/C49*100</f>
        <v/>
      </c>
      <c r="K49" s="194">
        <f>'[USD_SOFR_Curve_Bloomberg_Pricer.xlsx]Curve_Interface'!$K$50</f>
        <v/>
      </c>
      <c r="L49" s="203">
        <f>'[USD_SOFR_Curve_Bloomberg_Pricer.xlsx]Curve_Interface'!$L$50</f>
        <v/>
      </c>
    </row>
    <row r="50">
      <c r="K50" s="194">
        <f>'[USD_SOFR_Curve_Bloomberg_Pricer.xlsx]Curve_Interface'!$K$51</f>
        <v/>
      </c>
      <c r="L50" s="203">
        <f>'[USD_SOFR_Curve_Bloomberg_Pricer.xlsx]Curve_Interface'!$L$51</f>
        <v/>
      </c>
    </row>
    <row r="51">
      <c r="K51" s="194">
        <f>'[USD_SOFR_Curve_Bloomberg_Pricer.xlsx]Curve_Interface'!$K$52</f>
        <v/>
      </c>
      <c r="L51" s="203">
        <f>'[USD_SOFR_Curve_Bloomberg_Pricer.xlsx]Curve_Interface'!$L$52</f>
        <v/>
      </c>
    </row>
    <row r="52">
      <c r="K52" s="194">
        <f>'[USD_SOFR_Curve_Bloomberg_Pricer.xlsx]Curve_Interface'!$K$53</f>
        <v/>
      </c>
      <c r="L52" s="203">
        <f>'[USD_SOFR_Curve_Bloomberg_Pricer.xlsx]Curve_Interface'!$L$53</f>
        <v/>
      </c>
    </row>
    <row r="53">
      <c r="K53" s="194">
        <f>'[USD_SOFR_Curve_Bloomberg_Pricer.xlsx]Curve_Interface'!$K$54</f>
        <v/>
      </c>
      <c r="L53" s="203">
        <f>'[USD_SOFR_Curve_Bloomberg_Pricer.xlsx]Curve_Interface'!$L$54</f>
        <v/>
      </c>
    </row>
    <row r="54">
      <c r="K54" s="194">
        <f>'[USD_SOFR_Curve_Bloomberg_Pricer.xlsx]Curve_Interface'!$K$55</f>
        <v/>
      </c>
      <c r="L54" s="203">
        <f>'[USD_SOFR_Curve_Bloomberg_Pricer.xlsx]Curve_Interface'!$L$55</f>
        <v/>
      </c>
    </row>
    <row r="55">
      <c r="K55" s="194">
        <f>'[USD_SOFR_Curve_Bloomberg_Pricer.xlsx]Curve_Interface'!$K$56</f>
        <v/>
      </c>
      <c r="L55" s="203">
        <f>'[USD_SOFR_Curve_Bloomberg_Pricer.xlsx]Curve_Interface'!$L$56</f>
        <v/>
      </c>
    </row>
    <row r="56">
      <c r="K56" s="194">
        <f>'[USD_SOFR_Curve_Bloomberg_Pricer.xlsx]Curve_Interface'!$K$57</f>
        <v/>
      </c>
      <c r="L56" s="203">
        <f>'[USD_SOFR_Curve_Bloomberg_Pricer.xlsx]Curve_Interface'!$L$57</f>
        <v/>
      </c>
    </row>
    <row r="57">
      <c r="K57" s="194">
        <f>'[USD_SOFR_Curve_Bloomberg_Pricer.xlsx]Curve_Interface'!$K$58</f>
        <v/>
      </c>
      <c r="L57" s="203">
        <f>'[USD_SOFR_Curve_Bloomberg_Pricer.xlsx]Curve_Interface'!$L$58</f>
        <v/>
      </c>
    </row>
    <row r="58">
      <c r="K58" s="194">
        <f>'[USD_SOFR_Curve_Bloomberg_Pricer.xlsx]Curve_Interface'!$K$59</f>
        <v/>
      </c>
      <c r="L58" s="203">
        <f>'[USD_SOFR_Curve_Bloomberg_Pricer.xlsx]Curve_Interface'!$L$59</f>
        <v/>
      </c>
    </row>
    <row r="59">
      <c r="K59" s="194">
        <f>'[USD_SOFR_Curve_Bloomberg_Pricer.xlsx]Curve_Interface'!$K$60</f>
        <v/>
      </c>
      <c r="L59" s="203">
        <f>'[USD_SOFR_Curve_Bloomberg_Pricer.xlsx]Curve_Interface'!$L$60</f>
        <v/>
      </c>
    </row>
    <row r="60">
      <c r="K60" s="194">
        <f>'[USD_SOFR_Curve_Bloomberg_Pricer.xlsx]Curve_Interface'!$K$61</f>
        <v/>
      </c>
      <c r="L60" s="203">
        <f>'[USD_SOFR_Curve_Bloomberg_Pricer.xlsx]Curve_Interface'!$L$61</f>
        <v/>
      </c>
    </row>
    <row r="61">
      <c r="K61" s="194">
        <f>'[USD_SOFR_Curve_Bloomberg_Pricer.xlsx]Curve_Interface'!$K$62</f>
        <v/>
      </c>
      <c r="L61" s="203">
        <f>'[USD_SOFR_Curve_Bloomberg_Pricer.xlsx]Curve_Interface'!$L$62</f>
        <v/>
      </c>
    </row>
    <row r="62">
      <c r="K62" s="194">
        <f>'[USD_SOFR_Curve_Bloomberg_Pricer.xlsx]Curve_Interface'!$K$63</f>
        <v/>
      </c>
      <c r="L62" s="203">
        <f>'[USD_SOFR_Curve_Bloomberg_Pricer.xlsx]Curve_Interface'!$L$63</f>
        <v/>
      </c>
    </row>
    <row r="63">
      <c r="K63" s="194">
        <f>'[USD_SOFR_Curve_Bloomberg_Pricer.xlsx]Curve_Interface'!$K$64</f>
        <v/>
      </c>
      <c r="L63" s="203">
        <f>'[USD_SOFR_Curve_Bloomberg_Pricer.xlsx]Curve_Interface'!$L$64</f>
        <v/>
      </c>
    </row>
    <row r="64">
      <c r="K64" s="194">
        <f>'[USD_SOFR_Curve_Bloomberg_Pricer.xlsx]Curve_Interface'!$K$65</f>
        <v/>
      </c>
      <c r="L64" s="203">
        <f>'[USD_SOFR_Curve_Bloomberg_Pricer.xlsx]Curve_Interface'!$L$65</f>
        <v/>
      </c>
    </row>
    <row r="65">
      <c r="K65" s="194">
        <f>'[USD_SOFR_Curve_Bloomberg_Pricer.xlsx]Curve_Interface'!$K$66</f>
        <v/>
      </c>
      <c r="L65" s="203">
        <f>'[USD_SOFR_Curve_Bloomberg_Pricer.xlsx]Curve_Interface'!$L$66</f>
        <v/>
      </c>
    </row>
    <row r="66">
      <c r="K66" s="194">
        <f>'[USD_SOFR_Curve_Bloomberg_Pricer.xlsx]Curve_Interface'!$K$67</f>
        <v/>
      </c>
      <c r="L66" s="203">
        <f>'[USD_SOFR_Curve_Bloomberg_Pricer.xlsx]Curve_Interface'!$L$67</f>
        <v/>
      </c>
    </row>
    <row r="67">
      <c r="K67" s="194">
        <f>'[USD_SOFR_Curve_Bloomberg_Pricer.xlsx]Curve_Interface'!$K$68</f>
        <v/>
      </c>
      <c r="L67" s="203">
        <f>'[USD_SOFR_Curve_Bloomberg_Pricer.xlsx]Curve_Interface'!$L$68</f>
        <v/>
      </c>
    </row>
    <row r="68">
      <c r="K68" s="194">
        <f>'[USD_SOFR_Curve_Bloomberg_Pricer.xlsx]Curve_Interface'!$K$69</f>
        <v/>
      </c>
      <c r="L68" s="203">
        <f>'[USD_SOFR_Curve_Bloomberg_Pricer.xlsx]Curve_Interface'!$L$69</f>
        <v/>
      </c>
    </row>
    <row r="69">
      <c r="K69" s="194">
        <f>'[USD_SOFR_Curve_Bloomberg_Pricer.xlsx]Curve_Interface'!$K$70</f>
        <v/>
      </c>
      <c r="L69" s="203">
        <f>'[USD_SOFR_Curve_Bloomberg_Pricer.xlsx]Curve_Interface'!$L$70</f>
        <v/>
      </c>
    </row>
    <row r="70">
      <c r="K70" s="194">
        <f>'[USD_SOFR_Curve_Bloomberg_Pricer.xlsx]Curve_Interface'!$K$71</f>
        <v/>
      </c>
      <c r="L70" s="203">
        <f>'[USD_SOFR_Curve_Bloomberg_Pricer.xlsx]Curve_Interface'!$L$71</f>
        <v/>
      </c>
    </row>
    <row r="71">
      <c r="K71" s="194">
        <f>'[USD_SOFR_Curve_Bloomberg_Pricer.xlsx]Curve_Interface'!$K$72</f>
        <v/>
      </c>
      <c r="L71" s="203">
        <f>'[USD_SOFR_Curve_Bloomberg_Pricer.xlsx]Curve_Interface'!$L$72</f>
        <v/>
      </c>
    </row>
    <row r="72">
      <c r="K72" s="194">
        <f>'[USD_SOFR_Curve_Bloomberg_Pricer.xlsx]Curve_Interface'!$K$73</f>
        <v/>
      </c>
      <c r="L72" s="203">
        <f>'[USD_SOFR_Curve_Bloomberg_Pricer.xlsx]Curve_Interface'!$L$73</f>
        <v/>
      </c>
    </row>
    <row r="73">
      <c r="K73" s="194">
        <f>'[USD_SOFR_Curve_Bloomberg_Pricer.xlsx]Curve_Interface'!$K$74</f>
        <v/>
      </c>
      <c r="L73" s="203">
        <f>'[USD_SOFR_Curve_Bloomberg_Pricer.xlsx]Curve_Interface'!$L$74</f>
        <v/>
      </c>
    </row>
  </sheetData>
  <mergeCells count="2">
    <mergeCell ref="K6:L6"/>
    <mergeCell ref="A4:H6"/>
  </mergeCells>
  <dataValidations count="1">
    <dataValidation sqref="J7" showDropDown="0" showInputMessage="0" showErrorMessage="0" allowBlank="0" type="list">
      <formula1>"Step-function forward (flat fwd),Piecewise Linear (Simple)"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6A1B9A"/>
    <outlinePr summaryBelow="1" summaryRight="1"/>
    <pageSetUpPr/>
  </sheetPr>
  <dimension ref="A1:K19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13" customWidth="1" min="3" max="3"/>
    <col width="24" customWidth="1" min="4" max="4"/>
    <col width="15" customWidth="1" min="5" max="5"/>
    <col width="15" customWidth="1" min="6" max="6"/>
    <col width="15" customWidth="1" min="7" max="7"/>
    <col width="17" customWidth="1" min="8" max="8"/>
    <col width="40" customWidth="1" min="9" max="9"/>
    <col width="82" customWidth="1" min="11" max="11"/>
  </cols>
  <sheetData>
    <row r="1">
      <c r="A1" s="1" t="inlineStr">
        <is>
          <t>CDS_Quotes</t>
        </is>
      </c>
    </row>
    <row r="2">
      <c r="A2" s="177" t="inlineStr">
        <is>
          <t>Col D resolves each tenor's CDS ticker from CDS_Parameters!B19; col F quotes it. An override from Entities (col E) BEATS the live pull - col H says which is in use.</t>
        </is>
      </c>
    </row>
    <row r="3">
      <c r="K3" s="136" t="inlineStr">
        <is>
          <t>BLOOMBERG HELP DESK H#1330731572</t>
        </is>
      </c>
    </row>
    <row r="4" ht="30" customHeight="1">
      <c r="A4" s="9" t="inlineStr">
        <is>
          <t>Enter each tenor's CDS ticker, or let col D resolve it. Two-step pull per Help Desk H#1330731572, documented in K.</t>
        </is>
      </c>
      <c r="K4" s="137" t="inlineStr">
        <is>
          <t>The documented two-step pull, implemented verbatim:</t>
        </is>
      </c>
    </row>
    <row r="5">
      <c r="K5" s="138" t="inlineStr">
        <is>
          <t xml:space="preserve">  step 1  col D = BDP( &lt;entity&gt;, "CDS_SPREAD_TICKER_nY" )   -&gt; ticker</t>
        </is>
      </c>
    </row>
    <row r="6" ht="30" customHeight="1">
      <c r="A6" s="140" t="inlineStr">
        <is>
          <t>Tenor</t>
        </is>
      </c>
      <c r="B6" s="140" t="inlineStr">
        <is>
          <t>Tenor (yrs)</t>
        </is>
      </c>
      <c r="C6" s="140" t="inlineStr">
        <is>
          <t>Maturity</t>
        </is>
      </c>
      <c r="D6" s="141" t="inlineStr">
        <is>
          <t>CDS ticker (step 1, live)</t>
        </is>
      </c>
      <c r="E6" s="140" t="inlineStr">
        <is>
          <t>Manual spread (bp)</t>
        </is>
      </c>
      <c r="F6" s="140" t="inlineStr">
        <is>
          <t>Market spread (bp)</t>
        </is>
      </c>
      <c r="G6" s="140" t="inlineStr">
        <is>
          <t>Approx hazard s/(1-R)</t>
        </is>
      </c>
      <c r="H6" s="141" t="inlineStr">
        <is>
          <t>Quote source in use</t>
        </is>
      </c>
      <c r="K6" s="138" t="inlineStr">
        <is>
          <t xml:space="preserve">  step 2  col F = BDP( &lt;ticker&gt; &amp; " BEST Curncy", "PX_LAST" )</t>
        </is>
      </c>
    </row>
    <row r="7">
      <c r="A7" s="6" t="inlineStr">
        <is>
          <t>1Y</t>
        </is>
      </c>
      <c r="B7" s="43" t="n">
        <v>1</v>
      </c>
      <c r="C7" s="18">
        <f>EDATE('Curve_Interface'!$F$7,3*(4-1))</f>
        <v/>
      </c>
      <c r="D7" s="87">
        <f>IFERROR(BDP(CDS_Parameters!$B$19,"CDS_SPREAD_TICKER_1Y"),"")</f>
        <v/>
      </c>
      <c r="E7" s="133">
        <f>IFERROR(INDEX(CDS_Entities!$AR$5:$AR$14,CDS_Parameters!$B$28),0)</f>
        <v/>
      </c>
      <c r="F7" s="63">
        <f>IF(AND(ISNUMBER(E7),E7&gt;0),E7,IFERROR(BDP(D7&amp;" BEST Curncy","PX_LAST")+0,IFERROR(BDP(D7&amp;" BEST Curncy","PX_MID")+0,0)))</f>
        <v/>
      </c>
      <c r="G7" s="36">
        <f>(F7/10000)/(1-CDS_Parameters!$B$8)</f>
        <v/>
      </c>
      <c r="H7" s="93">
        <f>IF(AND(ISNUMBER(E7),E7&gt;0),"OVERRIDE",IF(ISNUMBER(IFERROR(BDP(D7&amp;" BEST Curncy","PX_LAST")+0,"")),"BDP live","none"))</f>
        <v/>
      </c>
      <c r="K7" s="137" t="n"/>
    </row>
    <row r="8">
      <c r="A8" s="6" t="inlineStr">
        <is>
          <t>2Y</t>
        </is>
      </c>
      <c r="B8" s="43" t="n">
        <v>2</v>
      </c>
      <c r="C8" s="18">
        <f>EDATE('Curve_Interface'!$F$7,3*(8-1))</f>
        <v/>
      </c>
      <c r="D8" s="87">
        <f>IFERROR(BDP(CDS_Parameters!$B$19,"CDS_SPREAD_TICKER_2Y"),"")</f>
        <v/>
      </c>
      <c r="E8" s="133">
        <f>IFERROR(INDEX(CDS_Entities!$AS$5:$AS$14,CDS_Parameters!$B$28),0)</f>
        <v/>
      </c>
      <c r="F8" s="63">
        <f>IF(AND(ISNUMBER(E8),E8&gt;0),E8,IFERROR(BDP(D8&amp;" BEST Curncy","PX_LAST")+0,IFERROR(BDP(D8&amp;" BEST Curncy","PX_MID")+0,0)))</f>
        <v/>
      </c>
      <c r="G8" s="36">
        <f>(F8/10000)/(1-CDS_Parameters!$B$8)</f>
        <v/>
      </c>
      <c r="H8" s="93">
        <f>IF(AND(ISNUMBER(E8),E8&gt;0),"OVERRIDE",IF(ISNUMBER(IFERROR(BDP(D8&amp;" BEST Curncy","PX_LAST")+0,"")),"BDP live","none"))</f>
        <v/>
      </c>
      <c r="I8" s="66" t="inlineStr">
        <is>
          <t>tenor not in the Help Desk list (1Y/3Y/5Y/7Y/10Y) - CDS_SPREAD_TICKER_2Y may not be a valid field</t>
        </is>
      </c>
      <c r="K8" s="139" t="inlineStr">
        <is>
          <t>Their tenors are 1Y 3Y 5Y 7Y 10Y. The 2Y row is ours -</t>
        </is>
      </c>
    </row>
    <row r="9">
      <c r="A9" s="6" t="inlineStr">
        <is>
          <t>3Y</t>
        </is>
      </c>
      <c r="B9" s="43" t="n">
        <v>3</v>
      </c>
      <c r="C9" s="18">
        <f>EDATE('Curve_Interface'!$F$7,3*(12-1))</f>
        <v/>
      </c>
      <c r="D9" s="87">
        <f>IFERROR(BDP(CDS_Parameters!$B$19,"CDS_SPREAD_TICKER_3Y"),"")</f>
        <v/>
      </c>
      <c r="E9" s="133">
        <f>IFERROR(INDEX(CDS_Entities!$AT$5:$AT$14,CDS_Parameters!$B$28),0)</f>
        <v/>
      </c>
      <c r="F9" s="63">
        <f>IF(AND(ISNUMBER(E9),E9&gt;0),E9,IFERROR(BDP(D9&amp;" BEST Curncy","PX_LAST")+0,IFERROR(BDP(D9&amp;" BEST Curncy","PX_MID")+0,0)))</f>
        <v/>
      </c>
      <c r="G9" s="36">
        <f>(F9/10000)/(1-CDS_Parameters!$B$8)</f>
        <v/>
      </c>
      <c r="H9" s="93">
        <f>IF(AND(ISNUMBER(E9),E9&gt;0),"OVERRIDE",IF(ISNUMBER(IFERROR(BDP(D9&amp;" BEST Curncy","PX_LAST")+0,"")),"BDP live","none"))</f>
        <v/>
      </c>
      <c r="K9" s="139" t="inlineStr">
        <is>
          <t>CDS_SPREAD_TICKER_2Y may not be a valid field; that row is flagged.</t>
        </is>
      </c>
    </row>
    <row r="10">
      <c r="A10" s="6" t="inlineStr">
        <is>
          <t>5Y</t>
        </is>
      </c>
      <c r="B10" s="43" t="n">
        <v>5</v>
      </c>
      <c r="C10" s="18">
        <f>EDATE('Curve_Interface'!$F$7,3*(20-1))</f>
        <v/>
      </c>
      <c r="D10" s="87">
        <f>IFERROR(BDP(CDS_Parameters!$B$19,"CDS_SPREAD_TICKER_5Y"),"")</f>
        <v/>
      </c>
      <c r="E10" s="133">
        <f>IFERROR(INDEX(CDS_Entities!$AU$5:$AU$14,CDS_Parameters!$B$28),0)</f>
        <v/>
      </c>
      <c r="F10" s="63">
        <f>IF(AND(ISNUMBER(E10),E10&gt;0),E10,IFERROR(BDP(D10&amp;" BEST Curncy","PX_LAST")+0,IFERROR(BDP(D10&amp;" BEST Curncy","PX_MID")+0,0)))</f>
        <v/>
      </c>
      <c r="G10" s="36">
        <f>(F10/10000)/(1-CDS_Parameters!$B$8)</f>
        <v/>
      </c>
      <c r="H10" s="93">
        <f>IF(AND(ISNUMBER(E10),E10&gt;0),"OVERRIDE",IF(ISNUMBER(IFERROR(BDP(D10&amp;" BEST Curncy","PX_LAST")+0,"")),"BDP live","none"))</f>
        <v/>
      </c>
      <c r="K10" s="137" t="n"/>
    </row>
    <row r="11">
      <c r="A11" s="6" t="inlineStr">
        <is>
          <t>7Y</t>
        </is>
      </c>
      <c r="B11" s="43" t="n">
        <v>7</v>
      </c>
      <c r="C11" s="18">
        <f>EDATE('Curve_Interface'!$F$7,3*(28-1))</f>
        <v/>
      </c>
      <c r="D11" s="87">
        <f>IFERROR(BDP(CDS_Parameters!$B$19,"CDS_SPREAD_TICKER_7Y"),"")</f>
        <v/>
      </c>
      <c r="E11" s="133">
        <f>IFERROR(INDEX(CDS_Entities!$AV$5:$AV$14,CDS_Parameters!$B$28),0)</f>
        <v/>
      </c>
      <c r="F11" s="63">
        <f>IF(AND(ISNUMBER(E11),E11&gt;0),E11,IFERROR(BDP(D11&amp;" BEST Curncy","PX_LAST")+0,IFERROR(BDP(D11&amp;" BEST Curncy","PX_MID")+0,0)))</f>
        <v/>
      </c>
      <c r="G11" s="36">
        <f>(F11/10000)/(1-CDS_Parameters!$B$8)</f>
        <v/>
      </c>
      <c r="H11" s="93">
        <f>IF(AND(ISNUMBER(E11),E11&gt;0),"OVERRIDE",IF(ISNUMBER(IFERROR(BDP(D11&amp;" BEST Curncy","PX_LAST")+0,"")),"BDP live","none"))</f>
        <v/>
      </c>
      <c r="K11" s="137" t="inlineStr">
        <is>
          <t>step 3  they suggest Hazard = S/(1-R), shown in col G.</t>
        </is>
      </c>
    </row>
    <row r="12">
      <c r="A12" s="6" t="inlineStr">
        <is>
          <t>10Y</t>
        </is>
      </c>
      <c r="B12" s="43" t="n">
        <v>10</v>
      </c>
      <c r="C12" s="18">
        <f>EDATE('Curve_Interface'!$F$7,3*(40-1))</f>
        <v/>
      </c>
      <c r="D12" s="87">
        <f>IFERROR(BDP(CDS_Parameters!$B$19,"CDS_SPREAD_TICKER_10Y"),"")</f>
        <v/>
      </c>
      <c r="E12" s="133">
        <f>IFERROR(INDEX(CDS_Entities!$AW$5:$AW$14,CDS_Parameters!$B$28),0)</f>
        <v/>
      </c>
      <c r="F12" s="63">
        <f>IF(AND(ISNUMBER(E12),E12&gt;0),E12,IFERROR(BDP(D12&amp;" BEST Curncy","PX_LAST")+0,IFERROR(BDP(D12&amp;" BEST Curncy","PX_MID")+0,0)))</f>
        <v/>
      </c>
      <c r="G12" s="36">
        <f>(F12/10000)/(1-CDS_Parameters!$B$8)</f>
        <v/>
      </c>
      <c r="H12" s="93">
        <f>IF(AND(ISNUMBER(E12),E12&gt;0),"OVERRIDE",IF(ISNUMBER(IFERROR(BDP(D12&amp;" BEST Curncy","PX_LAST")+0,"")),"BDP live","none"))</f>
        <v/>
      </c>
      <c r="K12" s="139" t="inlineStr">
        <is>
          <t xml:space="preserve">        Exact only for a flat curve. We bootstrap instead, which their</t>
        </is>
      </c>
    </row>
    <row r="13">
      <c r="K13" s="139" t="inlineStr">
        <is>
          <t xml:space="preserve">        own note says to do:</t>
        </is>
      </c>
    </row>
    <row r="14">
      <c r="A14" s="177" t="inlineStr">
        <is>
          <t>Col E takes a manual spread when the pull is unavailable. Col H reports which source each tenor is using, live or manual.</t>
        </is>
      </c>
      <c r="K14" s="139" t="inlineStr">
        <is>
          <t xml:space="preserve">        "Bloomberg does not provide a direct zero-coupon CDS spread</t>
        </is>
      </c>
    </row>
    <row r="15">
      <c r="K15" s="139" t="inlineStr">
        <is>
          <t xml:space="preserve">         output by maturity as an exportable field... you would</t>
        </is>
      </c>
    </row>
    <row r="16">
      <c r="A16" s="67" t="inlineStr">
        <is>
          <t>Quote source</t>
        </is>
      </c>
      <c r="B16" s="184" t="inlineStr">
        <is>
          <t>BEST, PX_LAST (falls back to PX_MID)</t>
        </is>
      </c>
      <c r="K16" s="139" t="inlineStr">
        <is>
          <t xml:space="preserve">         bootstrap the hazard-rate curve using the par spreads and an</t>
        </is>
      </c>
    </row>
    <row r="17">
      <c r="A17" s="177" t="inlineStr">
        <is>
          <t>Col D resolves the ticker, col F quotes it as &lt;ticker&gt; &amp; " BEST Curncy". That is the BEST composite. CDSW's CDS Curve dropdown must be set to BEST to compare like with like - CMAN, CMAI, CMAL and the rest are single-contributor curves and will not match.</t>
        </is>
      </c>
      <c r="K17" s="139" t="inlineStr">
        <is>
          <t xml:space="preserve">         assumed recovery rate."</t>
        </is>
      </c>
    </row>
    <row r="18">
      <c r="A18" s="177" t="inlineStr">
        <is>
          <t>If BEST on CDSW still disagrees, the difference is the instrument, not the source: check the doc clause behind the resolved ticker against the XR14 on the CDSW deal.</t>
        </is>
      </c>
    </row>
    <row r="19">
      <c r="A19" s="65" t="inlineStr">
        <is>
          <t>Col E reads CDS_Entities in-use (AR:AW) for the active row: live pull when it resolves, else the manual spread, else 0. Always numeric.</t>
        </is>
      </c>
    </row>
  </sheetData>
  <mergeCells count="1">
    <mergeCell ref="A4:G5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6A1B9A"/>
    <outlinePr summaryBelow="1" summaryRight="1"/>
    <pageSetUpPr/>
  </sheetPr>
  <dimension ref="A1:N12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4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3" customWidth="1" min="12" max="12"/>
  </cols>
  <sheetData>
    <row r="1">
      <c r="A1" s="1" t="inlineStr">
        <is>
          <t>Hazard_Bootstrap</t>
        </is>
      </c>
    </row>
    <row r="2">
      <c r="A2" s="65" t="inlineStr">
        <is>
          <t>Piecewise-constant hazard. Col D is stripped by CDSStrip.CDS_StripHazard, one segment at a time, earlier hazards held fixed (section 4, p.8).</t>
        </is>
      </c>
    </row>
    <row r="4" ht="40" customHeight="1">
      <c r="A4" s="70" t="inlineStr">
        <is>
          <t>Maturity by maturity: hold earlier hazards fixed, solve the current segment so model spread = market. Col J (repricing error) stays ~0 as inputs move.</t>
        </is>
      </c>
    </row>
    <row r="5">
      <c r="N5" s="177" t="inlineStr">
        <is>
          <t>Stripped by CDSStrip.CDS_StripHazard straight off CDS_Schedule. Method at CDS_Parameters!B30. #N/A here means the VBA is not loaded.</t>
        </is>
      </c>
    </row>
    <row r="6" ht="30" customHeight="1">
      <c r="A6" s="140" t="inlineStr">
        <is>
          <t>Tenor</t>
        </is>
      </c>
      <c r="B6" s="140" t="inlineStr">
        <is>
          <t>Maturity</t>
        </is>
      </c>
      <c r="C6" s="140" t="inlineStr">
        <is>
          <t>Market spread (bp)</t>
        </is>
      </c>
      <c r="D6" s="140" t="inlineStr">
        <is>
          <t>Hazard lambda (solve)</t>
        </is>
      </c>
      <c r="E6" s="140" t="inlineStr">
        <is>
          <t>Cum. survival Q(T)</t>
        </is>
      </c>
      <c r="F6" s="140" t="inlineStr">
        <is>
          <t>Cum. default 1-Q</t>
        </is>
      </c>
      <c r="G6" s="140" t="inlineStr">
        <is>
          <t>RPV01 (risky annuity)</t>
        </is>
      </c>
      <c r="H6" s="140" t="inlineStr">
        <is>
          <t>Protection PV factor</t>
        </is>
      </c>
      <c r="I6" s="140" t="inlineStr">
        <is>
          <t>Model spread (bp)</t>
        </is>
      </c>
      <c r="J6" s="140" t="inlineStr">
        <is>
          <t>Repricing error (bp)</t>
        </is>
      </c>
      <c r="L6" s="140" t="n"/>
      <c r="N6" s="165">
        <f>IF(ISERROR(CDS_StripIterations()),"Hazards read #N/A because CDSStrip.bas is not imported, or the file is still .xlsx","VBA loaded. #N/A below would mean a quote that will not strip, see Model_Notes p.9")</f>
        <v/>
      </c>
    </row>
    <row r="7">
      <c r="A7" s="6" t="inlineStr">
        <is>
          <t>1Y</t>
        </is>
      </c>
      <c r="B7" s="18">
        <f>CDS_Quotes!C7</f>
        <v/>
      </c>
      <c r="C7" s="17">
        <f>CDS_Quotes!F7</f>
        <v/>
      </c>
      <c r="D7" s="71">
        <f>IF(CDS_Parameters!$B$17="Flat hazard rate",CDS_Parameters!$B$18,IFERROR(CDS_StripHazard(1,CDS_Parameters!$B$30,Hazard_Bootstrap!$B$7:$B$12,Hazard_Bootstrap!$C$7:$C$12,CDS_Parameters!$B$8,CDS_Parameters!$B$26,CDS_Schedule!$C$7:$C$46,CDS_Schedule!$D$7:$D$46,CDS_Schedule!$E$7:$E$46,CDS_Schedule!$G$7:$G$46,CDS_Schedule!$H$7:$H$46),NA()))</f>
        <v/>
      </c>
      <c r="E7" s="34">
        <f>INDEX(CDS_Schedule!$K$7:$K$46,MATCH(B7,CDS_Schedule!$C$7:$C$46,1))</f>
        <v/>
      </c>
      <c r="F7" s="34">
        <f>1-E7</f>
        <v/>
      </c>
      <c r="G7" s="34">
        <f>SUMIF(CDS_Schedule!$C$7:$C$46,"&lt;="&amp;B7,CDS_Schedule!$M$7:$M$46)+SUMIF(CDS_Schedule!$C$7:$C$46,"&lt;="&amp;B7,CDS_Schedule!$N$7:$N$46)</f>
        <v/>
      </c>
      <c r="H7" s="36">
        <f>SUMIF(CDS_Schedule!$C$7:$C$46,"&lt;="&amp;B7,CDS_Schedule!$O$7:$O$46)</f>
        <v/>
      </c>
      <c r="I7" s="131">
        <f>(1-CDS_Parameters!$B$8)*H7/(G7-CDS_Parameters!$B$26)*10000</f>
        <v/>
      </c>
      <c r="J7" s="53">
        <f>I7-C7</f>
        <v/>
      </c>
      <c r="L7" s="72" t="n"/>
    </row>
    <row r="8">
      <c r="A8" s="6" t="inlineStr">
        <is>
          <t>2Y</t>
        </is>
      </c>
      <c r="B8" s="18">
        <f>CDS_Quotes!C8</f>
        <v/>
      </c>
      <c r="C8" s="17">
        <f>CDS_Quotes!F8</f>
        <v/>
      </c>
      <c r="D8" s="71">
        <f>IF(CDS_Parameters!$B$17="Flat hazard rate",CDS_Parameters!$B$18,IFERROR(CDS_StripHazard(2,CDS_Parameters!$B$30,Hazard_Bootstrap!$B$7:$B$12,Hazard_Bootstrap!$C$7:$C$12,CDS_Parameters!$B$8,CDS_Parameters!$B$26,CDS_Schedule!$C$7:$C$46,CDS_Schedule!$D$7:$D$46,CDS_Schedule!$E$7:$E$46,CDS_Schedule!$G$7:$G$46,CDS_Schedule!$H$7:$H$46),NA()))</f>
        <v/>
      </c>
      <c r="E8" s="34">
        <f>INDEX(CDS_Schedule!$K$7:$K$46,MATCH(B8,CDS_Schedule!$C$7:$C$46,1))</f>
        <v/>
      </c>
      <c r="F8" s="34">
        <f>1-E8</f>
        <v/>
      </c>
      <c r="G8" s="34">
        <f>SUMIF(CDS_Schedule!$C$7:$C$46,"&lt;="&amp;B8,CDS_Schedule!$M$7:$M$46)+SUMIF(CDS_Schedule!$C$7:$C$46,"&lt;="&amp;B8,CDS_Schedule!$N$7:$N$46)</f>
        <v/>
      </c>
      <c r="H8" s="36">
        <f>SUMIF(CDS_Schedule!$C$7:$C$46,"&lt;="&amp;B8,CDS_Schedule!$O$7:$O$46)</f>
        <v/>
      </c>
      <c r="I8" s="131">
        <f>(1-CDS_Parameters!$B$8)*H8/(G8-CDS_Parameters!$B$26)*10000</f>
        <v/>
      </c>
      <c r="J8" s="53">
        <f>I8-C8</f>
        <v/>
      </c>
      <c r="L8" s="72" t="n"/>
    </row>
    <row r="9">
      <c r="A9" s="6" t="inlineStr">
        <is>
          <t>3Y</t>
        </is>
      </c>
      <c r="B9" s="18">
        <f>CDS_Quotes!C9</f>
        <v/>
      </c>
      <c r="C9" s="17">
        <f>CDS_Quotes!F9</f>
        <v/>
      </c>
      <c r="D9" s="71">
        <f>IF(CDS_Parameters!$B$17="Flat hazard rate",CDS_Parameters!$B$18,IFERROR(CDS_StripHazard(3,CDS_Parameters!$B$30,Hazard_Bootstrap!$B$7:$B$12,Hazard_Bootstrap!$C$7:$C$12,CDS_Parameters!$B$8,CDS_Parameters!$B$26,CDS_Schedule!$C$7:$C$46,CDS_Schedule!$D$7:$D$46,CDS_Schedule!$E$7:$E$46,CDS_Schedule!$G$7:$G$46,CDS_Schedule!$H$7:$H$46),NA()))</f>
        <v/>
      </c>
      <c r="E9" s="34">
        <f>INDEX(CDS_Schedule!$K$7:$K$46,MATCH(B9,CDS_Schedule!$C$7:$C$46,1))</f>
        <v/>
      </c>
      <c r="F9" s="34">
        <f>1-E9</f>
        <v/>
      </c>
      <c r="G9" s="34">
        <f>SUMIF(CDS_Schedule!$C$7:$C$46,"&lt;="&amp;B9,CDS_Schedule!$M$7:$M$46)+SUMIF(CDS_Schedule!$C$7:$C$46,"&lt;="&amp;B9,CDS_Schedule!$N$7:$N$46)</f>
        <v/>
      </c>
      <c r="H9" s="36">
        <f>SUMIF(CDS_Schedule!$C$7:$C$46,"&lt;="&amp;B9,CDS_Schedule!$O$7:$O$46)</f>
        <v/>
      </c>
      <c r="I9" s="131">
        <f>(1-CDS_Parameters!$B$8)*H9/(G9-CDS_Parameters!$B$26)*10000</f>
        <v/>
      </c>
      <c r="J9" s="53">
        <f>I9-C9</f>
        <v/>
      </c>
      <c r="L9" s="72" t="n"/>
    </row>
    <row r="10">
      <c r="A10" s="6" t="inlineStr">
        <is>
          <t>5Y</t>
        </is>
      </c>
      <c r="B10" s="18">
        <f>CDS_Quotes!C10</f>
        <v/>
      </c>
      <c r="C10" s="17">
        <f>CDS_Quotes!F10</f>
        <v/>
      </c>
      <c r="D10" s="71">
        <f>IF(CDS_Parameters!$B$17="Flat hazard rate",CDS_Parameters!$B$18,IFERROR(CDS_StripHazard(4,CDS_Parameters!$B$30,Hazard_Bootstrap!$B$7:$B$12,Hazard_Bootstrap!$C$7:$C$12,CDS_Parameters!$B$8,CDS_Parameters!$B$26,CDS_Schedule!$C$7:$C$46,CDS_Schedule!$D$7:$D$46,CDS_Schedule!$E$7:$E$46,CDS_Schedule!$G$7:$G$46,CDS_Schedule!$H$7:$H$46),NA()))</f>
        <v/>
      </c>
      <c r="E10" s="34">
        <f>INDEX(CDS_Schedule!$K$7:$K$46,MATCH(B10,CDS_Schedule!$C$7:$C$46,1))</f>
        <v/>
      </c>
      <c r="F10" s="34">
        <f>1-E10</f>
        <v/>
      </c>
      <c r="G10" s="34">
        <f>SUMIF(CDS_Schedule!$C$7:$C$46,"&lt;="&amp;B10,CDS_Schedule!$M$7:$M$46)+SUMIF(CDS_Schedule!$C$7:$C$46,"&lt;="&amp;B10,CDS_Schedule!$N$7:$N$46)</f>
        <v/>
      </c>
      <c r="H10" s="36">
        <f>SUMIF(CDS_Schedule!$C$7:$C$46,"&lt;="&amp;B10,CDS_Schedule!$O$7:$O$46)</f>
        <v/>
      </c>
      <c r="I10" s="131">
        <f>(1-CDS_Parameters!$B$8)*H10/(G10-CDS_Parameters!$B$26)*10000</f>
        <v/>
      </c>
      <c r="J10" s="53">
        <f>I10-C10</f>
        <v/>
      </c>
      <c r="L10" s="72" t="n"/>
    </row>
    <row r="11">
      <c r="A11" s="6" t="inlineStr">
        <is>
          <t>7Y</t>
        </is>
      </c>
      <c r="B11" s="18">
        <f>CDS_Quotes!C11</f>
        <v/>
      </c>
      <c r="C11" s="17">
        <f>CDS_Quotes!F11</f>
        <v/>
      </c>
      <c r="D11" s="71">
        <f>IF(CDS_Parameters!$B$17="Flat hazard rate",CDS_Parameters!$B$18,IFERROR(CDS_StripHazard(5,CDS_Parameters!$B$30,Hazard_Bootstrap!$B$7:$B$12,Hazard_Bootstrap!$C$7:$C$12,CDS_Parameters!$B$8,CDS_Parameters!$B$26,CDS_Schedule!$C$7:$C$46,CDS_Schedule!$D$7:$D$46,CDS_Schedule!$E$7:$E$46,CDS_Schedule!$G$7:$G$46,CDS_Schedule!$H$7:$H$46),NA()))</f>
        <v/>
      </c>
      <c r="E11" s="34">
        <f>INDEX(CDS_Schedule!$K$7:$K$46,MATCH(B11,CDS_Schedule!$C$7:$C$46,1))</f>
        <v/>
      </c>
      <c r="F11" s="34">
        <f>1-E11</f>
        <v/>
      </c>
      <c r="G11" s="34">
        <f>SUMIF(CDS_Schedule!$C$7:$C$46,"&lt;="&amp;B11,CDS_Schedule!$M$7:$M$46)+SUMIF(CDS_Schedule!$C$7:$C$46,"&lt;="&amp;B11,CDS_Schedule!$N$7:$N$46)</f>
        <v/>
      </c>
      <c r="H11" s="36">
        <f>SUMIF(CDS_Schedule!$C$7:$C$46,"&lt;="&amp;B11,CDS_Schedule!$O$7:$O$46)</f>
        <v/>
      </c>
      <c r="I11" s="131">
        <f>(1-CDS_Parameters!$B$8)*H11/(G11-CDS_Parameters!$B$26)*10000</f>
        <v/>
      </c>
      <c r="J11" s="53">
        <f>I11-C11</f>
        <v/>
      </c>
      <c r="L11" s="72" t="n"/>
    </row>
    <row r="12">
      <c r="A12" s="6" t="inlineStr">
        <is>
          <t>10Y</t>
        </is>
      </c>
      <c r="B12" s="18">
        <f>CDS_Quotes!C12</f>
        <v/>
      </c>
      <c r="C12" s="17">
        <f>CDS_Quotes!F12</f>
        <v/>
      </c>
      <c r="D12" s="71">
        <f>IF(CDS_Parameters!$B$17="Flat hazard rate",CDS_Parameters!$B$18,IFERROR(CDS_StripHazard(6,CDS_Parameters!$B$30,Hazard_Bootstrap!$B$7:$B$12,Hazard_Bootstrap!$C$7:$C$12,CDS_Parameters!$B$8,CDS_Parameters!$B$26,CDS_Schedule!$C$7:$C$46,CDS_Schedule!$D$7:$D$46,CDS_Schedule!$E$7:$E$46,CDS_Schedule!$G$7:$G$46,CDS_Schedule!$H$7:$H$46),NA()))</f>
        <v/>
      </c>
      <c r="E12" s="34">
        <f>INDEX(CDS_Schedule!$K$7:$K$46,MATCH(B12,CDS_Schedule!$C$7:$C$46,1))</f>
        <v/>
      </c>
      <c r="F12" s="34">
        <f>1-E12</f>
        <v/>
      </c>
      <c r="G12" s="34">
        <f>SUMIF(CDS_Schedule!$C$7:$C$46,"&lt;="&amp;B12,CDS_Schedule!$M$7:$M$46)+SUMIF(CDS_Schedule!$C$7:$C$46,"&lt;="&amp;B12,CDS_Schedule!$N$7:$N$46)</f>
        <v/>
      </c>
      <c r="H12" s="36">
        <f>SUMIF(CDS_Schedule!$C$7:$C$46,"&lt;="&amp;B12,CDS_Schedule!$O$7:$O$46)</f>
        <v/>
      </c>
      <c r="I12" s="131">
        <f>(1-CDS_Parameters!$B$8)*H12/(G12-CDS_Parameters!$B$26)*10000</f>
        <v/>
      </c>
      <c r="J12" s="53">
        <f>I12-C12</f>
        <v/>
      </c>
      <c r="L12" s="72" t="n"/>
    </row>
  </sheetData>
  <mergeCells count="1">
    <mergeCell ref="A4:J5"/>
  </mergeCell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6A1B9A"/>
    <outlinePr summaryBelow="1" summaryRight="1"/>
    <pageSetUpPr/>
  </sheetPr>
  <dimension ref="A1:Q46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1" customWidth="1" min="4" max="4"/>
    <col width="11" customWidth="1" min="5" max="5"/>
    <col width="10" customWidth="1" min="6" max="6"/>
    <col width="12" customWidth="1" min="7" max="7"/>
    <col width="12" customWidth="1" min="8" max="8"/>
    <col width="11" customWidth="1" min="9" max="9"/>
    <col width="12" customWidth="1" min="10" max="10"/>
    <col width="12" customWidth="1" min="11" max="11"/>
    <col width="11" customWidth="1" min="12" max="12"/>
    <col width="13" customWidth="1" min="13" max="13"/>
    <col width="13" customWidth="1" min="14" max="14"/>
    <col width="13" customWidth="1" min="15" max="15"/>
    <col width="78" customWidth="1" min="17" max="17"/>
  </cols>
  <sheetData>
    <row r="1">
      <c r="A1" s="1" t="inlineStr">
        <is>
          <t>CDS_Schedule</t>
        </is>
      </c>
    </row>
    <row r="2">
      <c r="A2" s="2" t="inlineStr">
        <is>
          <t>Quarterly premium &amp; default schedule to 10Y. DF from the shared SOFR curve; survival from the hazard curve.</t>
        </is>
      </c>
    </row>
    <row r="3">
      <c r="Q3" s="136" t="inlineStr">
        <is>
          <t>WHAT EACH COLUMN COMPUTES</t>
        </is>
      </c>
    </row>
    <row r="4" ht="42" customHeight="1">
      <c r="A4" s="9" t="inlineStr">
        <is>
          <t>One row per quarterly coupon period. DF(end) and DF(mid) interpolate the SOFR curve; hazard is the piecewise-constant lambda for the segment, by pay date. Q(end) = Q(prev)*exp(-hazard*dt). See Model_Notes.</t>
        </is>
      </c>
      <c r="P4" s="177" t="inlineStr">
        <is>
          <t>Period 1 accrues from the 1st accrual start (previous IMM, adjusted), not from the valuation date. CDSW does the same and rebates the accrued via (3.2).</t>
        </is>
      </c>
      <c r="Q4" s="139" t="inlineStr">
        <is>
          <t>Z(.) is the bootstrapped SOFR curve via Curve_Interface (B-Model p.6).</t>
        </is>
      </c>
    </row>
    <row r="5">
      <c r="P5" s="65" t="inlineStr">
        <is>
          <t>DF(end)/DF(mid) honour the interpolation selector at Curve_Interface!J7. Default is step-function forward, which is the method verified against the S490 screen.</t>
        </is>
      </c>
      <c r="Q5" s="137" t="n"/>
    </row>
    <row r="6" ht="30" customHeight="1">
      <c r="A6" s="140" t="inlineStr">
        <is>
          <t>Period</t>
        </is>
      </c>
      <c r="B6" s="140" t="inlineStr">
        <is>
          <t>Accrual start</t>
        </is>
      </c>
      <c r="C6" s="140" t="inlineStr">
        <is>
          <t>Pay date</t>
        </is>
      </c>
      <c r="D6" s="140" t="inlineStr">
        <is>
          <t>alpha ACT/360</t>
        </is>
      </c>
      <c r="E6" s="140" t="inlineStr">
        <is>
          <t>dt ACT/365</t>
        </is>
      </c>
      <c r="F6" s="140" t="inlineStr">
        <is>
          <t>T (yrs)</t>
        </is>
      </c>
      <c r="G6" s="140" t="inlineStr">
        <is>
          <t>DF(end)</t>
        </is>
      </c>
      <c r="H6" s="140" t="inlineStr">
        <is>
          <t>DF(mid)</t>
        </is>
      </c>
      <c r="I6" s="140" t="inlineStr">
        <is>
          <t>hazard</t>
        </is>
      </c>
      <c r="J6" s="140" t="inlineStr">
        <is>
          <t>Q(prev)</t>
        </is>
      </c>
      <c r="K6" s="140" t="inlineStr">
        <is>
          <t>Q(end)</t>
        </is>
      </c>
      <c r="L6" s="140" t="inlineStr">
        <is>
          <t>delta PD</t>
        </is>
      </c>
      <c r="M6" s="140" t="inlineStr">
        <is>
          <t>Premium factor</t>
        </is>
      </c>
      <c r="N6" s="140" t="inlineStr">
        <is>
          <t>Accrual factor</t>
        </is>
      </c>
      <c r="O6" s="140" t="inlineStr">
        <is>
          <t>Protection factor</t>
        </is>
      </c>
      <c r="Q6" s="137" t="inlineStr">
        <is>
          <t>col I   hazard h_i, piecewise-constant, picked by pay date</t>
        </is>
      </c>
    </row>
    <row r="7">
      <c r="A7" s="43" t="n">
        <v>1</v>
      </c>
      <c r="B7" s="18">
        <f>CDS_Parameters!$B$23</f>
        <v/>
      </c>
      <c r="C7" s="18">
        <f>EDATE('Curve_Interface'!$F$7,3*0)</f>
        <v/>
      </c>
      <c r="D7" s="34">
        <f>(C7-B7)/360</f>
        <v/>
      </c>
      <c r="E7" s="34">
        <f>(C7-B7)/365</f>
        <v/>
      </c>
      <c r="F7" s="34">
        <f>(C7-VAL_DATE)/365</f>
        <v/>
      </c>
      <c r="G7" s="36">
        <f>IFERROR(IF(Curve_Interface!$J$7="Piecewise Linear (Simple)",IF(((C7-VAL_DATE)/360)&lt;=0,1,1/(1+(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+(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-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)*IF(((INDEX('Curve_Interface'!$K$8:$K$73,MATCH(C7,'Curve_Interface'!$K$8:$K$73,1)+1)-VAL_DATE)/360)-((INDEX('Curve_Interface'!$K$8:$K$73,MATCH(C7,'Curve_Interface'!$K$8:$K$73,1))-VAL_DATE)/360)=0,0,(((C7-VAL_DATE)/360)-((INDEX('Curve_Interface'!$K$8:$K$73,MATCH(C7,'Curve_Interface'!$K$8:$K$73,1))-VAL_DATE)/360))/(((INDEX('Curve_Interface'!$K$8:$K$73,MATCH(C7,'Curve_Interface'!$K$8:$K$73,1)+1)-VAL_DATE)/360)-((INDEX('Curve_Interface'!$K$8:$K$73,MATCH(C7,'Curve_Interface'!$K$8:$K$73,1))-VAL_DATE)/360))))*((C7-VAL_DATE)/360))),INDEX('Curve_Interface'!$L$8:$L$73,MATCH(C7,'Curve_Interface'!$K$8:$K$73,1))*(INDEX('Curve_Interface'!$L$8:$L$73,MATCH(C7,'Curve_Interface'!$K$8:$K$73,1)+1)/INDEX('Curve_Interface'!$L$8:$L$73,MATCH(C7,'Curve_Interface'!$K$8:$K$73,1)))^((C7-INDEX('Curve_Interface'!$K$8:$K$73,MATCH(C7,'Curve_Interface'!$K$8:$K$73,1)))/(INDEX('Curve_Interface'!$K$8:$K$73,MATCH(C7,'Curve_Interface'!$K$8:$K$73,1)+1)-INDEX('Curve_Interface'!$K$8:$K$73,MATCH(C7,'Curve_Interface'!$K$8:$K$73,1))))),INDEX('Curve_Interface'!$L$8:$L$73,MATCH(C7,'Curve_Interface'!$K$8:$K$73,1)))</f>
        <v/>
      </c>
      <c r="H7" s="36">
        <f>IFERROR(IF(Curve_Interface!$J$7="Piecewise Linear (Simple)",IF((((B7+C7)/2-VAL_DATE)/360)&lt;=0,1,1/(1+(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+(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-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)*IF(((INDEX('Curve_Interface'!$K$8:$K$73,MATCH((B7+C7)/2,'Curve_Interface'!$K$8:$K$73,1)+1)-VAL_DATE)/360)-((INDEX('Curve_Interface'!$K$8:$K$73,MATCH((B7+C7)/2,'Curve_Interface'!$K$8:$K$73,1))-VAL_DATE)/360)=0,0,((((B7+C7)/2-VAL_DATE)/360)-((INDEX('Curve_Interface'!$K$8:$K$73,MATCH((B7+C7)/2,'Curve_Interface'!$K$8:$K$73,1))-VAL_DATE)/360))/(((INDEX('Curve_Interface'!$K$8:$K$73,MATCH((B7+C7)/2,'Curve_Interface'!$K$8:$K$73,1)+1)-VAL_DATE)/360)-((INDEX('Curve_Interface'!$K$8:$K$73,MATCH((B7+C7)/2,'Curve_Interface'!$K$8:$K$73,1))-VAL_DATE)/360))))*(((B7+C7)/2-VAL_DATE)/360))),INDEX('Curve_Interface'!$L$8:$L$73,MATCH((B7+C7)/2,'Curve_Interface'!$K$8:$K$73,1))*(INDEX('Curve_Interface'!$L$8:$L$73,MATCH((B7+C7)/2,'Curve_Interface'!$K$8:$K$73,1)+1)/INDEX('Curve_Interface'!$L$8:$L$73,MATCH((B7+C7)/2,'Curve_Interface'!$K$8:$K$73,1)))^(((B7+C7)/2-INDEX('Curve_Interface'!$K$8:$K$73,MATCH((B7+C7)/2,'Curve_Interface'!$K$8:$K$73,1)))/(INDEX('Curve_Interface'!$K$8:$K$73,MATCH((B7+C7)/2,'Curve_Interface'!$K$8:$K$73,1)+1)-INDEX('Curve_Interface'!$K$8:$K$73,MATCH((B7+C7)/2,'Curve_Interface'!$K$8:$K$73,1))))),INDEX('Curve_Interface'!$L$8:$L$73,MATCH((B7+C7)/2,'Curve_Interface'!$K$8:$K$73,1)))</f>
        <v/>
      </c>
      <c r="I7" s="36">
        <f>INDEX(Hazard_Bootstrap!$D$7:$D$12,MIN(COUNTIF(Hazard_Bootstrap!$B$7:$B$12,"&lt;"&amp;C7)+1,6))</f>
        <v/>
      </c>
      <c r="J7" s="36">
        <f>1</f>
        <v/>
      </c>
      <c r="K7" s="36">
        <f>J7*EXP(-I7*E7)</f>
        <v/>
      </c>
      <c r="L7" s="36">
        <f>J7-K7</f>
        <v/>
      </c>
      <c r="M7" s="36">
        <f>D7*G7*K7</f>
        <v/>
      </c>
      <c r="N7" s="36">
        <f>(D7/2)*H7*L7</f>
        <v/>
      </c>
      <c r="O7" s="36">
        <f>H7*L7</f>
        <v/>
      </c>
      <c r="Q7" s="138" t="inlineStr">
        <is>
          <t>col K   Q(t_i) = Q(t_i-1) * exp(-h_i * dt_i)                B-Model p.5</t>
        </is>
      </c>
    </row>
    <row r="8">
      <c r="A8" s="43" t="n">
        <v>2</v>
      </c>
      <c r="B8" s="18">
        <f>C7</f>
        <v/>
      </c>
      <c r="C8" s="18">
        <f>EDATE('Curve_Interface'!$F$7,3*1)</f>
        <v/>
      </c>
      <c r="D8" s="34">
        <f>(C8-B8)/360</f>
        <v/>
      </c>
      <c r="E8" s="34">
        <f>(C8-B8)/365</f>
        <v/>
      </c>
      <c r="F8" s="34">
        <f>(C8-VAL_DATE)/365</f>
        <v/>
      </c>
      <c r="G8" s="36">
        <f>IFERROR(IF(Curve_Interface!$J$7="Piecewise Linear (Simple)",IF(((C8-VAL_DATE)/360)&lt;=0,1,1/(1+(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+(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-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)*IF(((INDEX('Curve_Interface'!$K$8:$K$73,MATCH(C8,'Curve_Interface'!$K$8:$K$73,1)+1)-VAL_DATE)/360)-((INDEX('Curve_Interface'!$K$8:$K$73,MATCH(C8,'Curve_Interface'!$K$8:$K$73,1))-VAL_DATE)/360)=0,0,(((C8-VAL_DATE)/360)-((INDEX('Curve_Interface'!$K$8:$K$73,MATCH(C8,'Curve_Interface'!$K$8:$K$73,1))-VAL_DATE)/360))/(((INDEX('Curve_Interface'!$K$8:$K$73,MATCH(C8,'Curve_Interface'!$K$8:$K$73,1)+1)-VAL_DATE)/360)-((INDEX('Curve_Interface'!$K$8:$K$73,MATCH(C8,'Curve_Interface'!$K$8:$K$73,1))-VAL_DATE)/360))))*((C8-VAL_DATE)/360))),INDEX('Curve_Interface'!$L$8:$L$73,MATCH(C8,'Curve_Interface'!$K$8:$K$73,1))*(INDEX('Curve_Interface'!$L$8:$L$73,MATCH(C8,'Curve_Interface'!$K$8:$K$73,1)+1)/INDEX('Curve_Interface'!$L$8:$L$73,MATCH(C8,'Curve_Interface'!$K$8:$K$73,1)))^((C8-INDEX('Curve_Interface'!$K$8:$K$73,MATCH(C8,'Curve_Interface'!$K$8:$K$73,1)))/(INDEX('Curve_Interface'!$K$8:$K$73,MATCH(C8,'Curve_Interface'!$K$8:$K$73,1)+1)-INDEX('Curve_Interface'!$K$8:$K$73,MATCH(C8,'Curve_Interface'!$K$8:$K$73,1))))),INDEX('Curve_Interface'!$L$8:$L$73,MATCH(C8,'Curve_Interface'!$K$8:$K$73,1)))</f>
        <v/>
      </c>
      <c r="H8" s="36">
        <f>IFERROR(IF(Curve_Interface!$J$7="Piecewise Linear (Simple)",IF((((B8+C8)/2-VAL_DATE)/360)&lt;=0,1,1/(1+(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+(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-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)*IF(((INDEX('Curve_Interface'!$K$8:$K$73,MATCH((B8+C8)/2,'Curve_Interface'!$K$8:$K$73,1)+1)-VAL_DATE)/360)-((INDEX('Curve_Interface'!$K$8:$K$73,MATCH((B8+C8)/2,'Curve_Interface'!$K$8:$K$73,1))-VAL_DATE)/360)=0,0,((((B8+C8)/2-VAL_DATE)/360)-((INDEX('Curve_Interface'!$K$8:$K$73,MATCH((B8+C8)/2,'Curve_Interface'!$K$8:$K$73,1))-VAL_DATE)/360))/(((INDEX('Curve_Interface'!$K$8:$K$73,MATCH((B8+C8)/2,'Curve_Interface'!$K$8:$K$73,1)+1)-VAL_DATE)/360)-((INDEX('Curve_Interface'!$K$8:$K$73,MATCH((B8+C8)/2,'Curve_Interface'!$K$8:$K$73,1))-VAL_DATE)/360))))*(((B8+C8)/2-VAL_DATE)/360))),INDEX('Curve_Interface'!$L$8:$L$73,MATCH((B8+C8)/2,'Curve_Interface'!$K$8:$K$73,1))*(INDEX('Curve_Interface'!$L$8:$L$73,MATCH((B8+C8)/2,'Curve_Interface'!$K$8:$K$73,1)+1)/INDEX('Curve_Interface'!$L$8:$L$73,MATCH((B8+C8)/2,'Curve_Interface'!$K$8:$K$73,1)))^(((B8+C8)/2-INDEX('Curve_Interface'!$K$8:$K$73,MATCH((B8+C8)/2,'Curve_Interface'!$K$8:$K$73,1)))/(INDEX('Curve_Interface'!$K$8:$K$73,MATCH((B8+C8)/2,'Curve_Interface'!$K$8:$K$73,1)+1)-INDEX('Curve_Interface'!$K$8:$K$73,MATCH((B8+C8)/2,'Curve_Interface'!$K$8:$K$73,1))))),INDEX('Curve_Interface'!$L$8:$L$73,MATCH((B8+C8)/2,'Curve_Interface'!$K$8:$K$73,1)))</f>
        <v/>
      </c>
      <c r="I8" s="36">
        <f>INDEX(Hazard_Bootstrap!$D$7:$D$12,MIN(COUNTIF(Hazard_Bootstrap!$B$7:$B$12,"&lt;"&amp;C8)+1,6))</f>
        <v/>
      </c>
      <c r="J8" s="36">
        <f>K7</f>
        <v/>
      </c>
      <c r="K8" s="36">
        <f>J8*EXP(-I8*E8)</f>
        <v/>
      </c>
      <c r="L8" s="36">
        <f>J8-K8</f>
        <v/>
      </c>
      <c r="M8" s="36">
        <f>D8*G8*K8</f>
        <v/>
      </c>
      <c r="N8" s="36">
        <f>(D8/2)*H8*L8</f>
        <v/>
      </c>
      <c r="O8" s="36">
        <f>H8*L8</f>
        <v/>
      </c>
      <c r="Q8" s="138" t="inlineStr">
        <is>
          <t>col L   dPD    = Q(t_i-1) - Q(t_i)</t>
        </is>
      </c>
    </row>
    <row r="9">
      <c r="A9" s="43" t="n">
        <v>3</v>
      </c>
      <c r="B9" s="18">
        <f>C8</f>
        <v/>
      </c>
      <c r="C9" s="18">
        <f>EDATE('Curve_Interface'!$F$7,3*2)</f>
        <v/>
      </c>
      <c r="D9" s="34">
        <f>(C9-B9)/360</f>
        <v/>
      </c>
      <c r="E9" s="34">
        <f>(C9-B9)/365</f>
        <v/>
      </c>
      <c r="F9" s="34">
        <f>(C9-VAL_DATE)/365</f>
        <v/>
      </c>
      <c r="G9" s="36">
        <f>IFERROR(IF(Curve_Interface!$J$7="Piecewise Linear (Simple)",IF(((C9-VAL_DATE)/360)&lt;=0,1,1/(1+(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+(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-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)*IF(((INDEX('Curve_Interface'!$K$8:$K$73,MATCH(C9,'Curve_Interface'!$K$8:$K$73,1)+1)-VAL_DATE)/360)-((INDEX('Curve_Interface'!$K$8:$K$73,MATCH(C9,'Curve_Interface'!$K$8:$K$73,1))-VAL_DATE)/360)=0,0,(((C9-VAL_DATE)/360)-((INDEX('Curve_Interface'!$K$8:$K$73,MATCH(C9,'Curve_Interface'!$K$8:$K$73,1))-VAL_DATE)/360))/(((INDEX('Curve_Interface'!$K$8:$K$73,MATCH(C9,'Curve_Interface'!$K$8:$K$73,1)+1)-VAL_DATE)/360)-((INDEX('Curve_Interface'!$K$8:$K$73,MATCH(C9,'Curve_Interface'!$K$8:$K$73,1))-VAL_DATE)/360))))*((C9-VAL_DATE)/360))),INDEX('Curve_Interface'!$L$8:$L$73,MATCH(C9,'Curve_Interface'!$K$8:$K$73,1))*(INDEX('Curve_Interface'!$L$8:$L$73,MATCH(C9,'Curve_Interface'!$K$8:$K$73,1)+1)/INDEX('Curve_Interface'!$L$8:$L$73,MATCH(C9,'Curve_Interface'!$K$8:$K$73,1)))^((C9-INDEX('Curve_Interface'!$K$8:$K$73,MATCH(C9,'Curve_Interface'!$K$8:$K$73,1)))/(INDEX('Curve_Interface'!$K$8:$K$73,MATCH(C9,'Curve_Interface'!$K$8:$K$73,1)+1)-INDEX('Curve_Interface'!$K$8:$K$73,MATCH(C9,'Curve_Interface'!$K$8:$K$73,1))))),INDEX('Curve_Interface'!$L$8:$L$73,MATCH(C9,'Curve_Interface'!$K$8:$K$73,1)))</f>
        <v/>
      </c>
      <c r="H9" s="36">
        <f>IFERROR(IF(Curve_Interface!$J$7="Piecewise Linear (Simple)",IF((((B9+C9)/2-VAL_DATE)/360)&lt;=0,1,1/(1+(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+(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-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)*IF(((INDEX('Curve_Interface'!$K$8:$K$73,MATCH((B9+C9)/2,'Curve_Interface'!$K$8:$K$73,1)+1)-VAL_DATE)/360)-((INDEX('Curve_Interface'!$K$8:$K$73,MATCH((B9+C9)/2,'Curve_Interface'!$K$8:$K$73,1))-VAL_DATE)/360)=0,0,((((B9+C9)/2-VAL_DATE)/360)-((INDEX('Curve_Interface'!$K$8:$K$73,MATCH((B9+C9)/2,'Curve_Interface'!$K$8:$K$73,1))-VAL_DATE)/360))/(((INDEX('Curve_Interface'!$K$8:$K$73,MATCH((B9+C9)/2,'Curve_Interface'!$K$8:$K$73,1)+1)-VAL_DATE)/360)-((INDEX('Curve_Interface'!$K$8:$K$73,MATCH((B9+C9)/2,'Curve_Interface'!$K$8:$K$73,1))-VAL_DATE)/360))))*(((B9+C9)/2-VAL_DATE)/360))),INDEX('Curve_Interface'!$L$8:$L$73,MATCH((B9+C9)/2,'Curve_Interface'!$K$8:$K$73,1))*(INDEX('Curve_Interface'!$L$8:$L$73,MATCH((B9+C9)/2,'Curve_Interface'!$K$8:$K$73,1)+1)/INDEX('Curve_Interface'!$L$8:$L$73,MATCH((B9+C9)/2,'Curve_Interface'!$K$8:$K$73,1)))^(((B9+C9)/2-INDEX('Curve_Interface'!$K$8:$K$73,MATCH((B9+C9)/2,'Curve_Interface'!$K$8:$K$73,1)))/(INDEX('Curve_Interface'!$K$8:$K$73,MATCH((B9+C9)/2,'Curve_Interface'!$K$8:$K$73,1)+1)-INDEX('Curve_Interface'!$K$8:$K$73,MATCH((B9+C9)/2,'Curve_Interface'!$K$8:$K$73,1))))),INDEX('Curve_Interface'!$L$8:$L$73,MATCH((B9+C9)/2,'Curve_Interface'!$K$8:$K$73,1)))</f>
        <v/>
      </c>
      <c r="I9" s="36">
        <f>INDEX(Hazard_Bootstrap!$D$7:$D$12,MIN(COUNTIF(Hazard_Bootstrap!$B$7:$B$12,"&lt;"&amp;C9)+1,6))</f>
        <v/>
      </c>
      <c r="J9" s="36">
        <f>K8</f>
        <v/>
      </c>
      <c r="K9" s="36">
        <f>J9*EXP(-I9*E9)</f>
        <v/>
      </c>
      <c r="L9" s="36">
        <f>J9-K9</f>
        <v/>
      </c>
      <c r="M9" s="36">
        <f>D9*G9*K9</f>
        <v/>
      </c>
      <c r="N9" s="36">
        <f>(D9/2)*H9*L9</f>
        <v/>
      </c>
      <c r="O9" s="36">
        <f>H9*L9</f>
        <v/>
      </c>
      <c r="Q9" s="137" t="n"/>
    </row>
    <row r="10">
      <c r="A10" s="43" t="n">
        <v>4</v>
      </c>
      <c r="B10" s="18">
        <f>C9</f>
        <v/>
      </c>
      <c r="C10" s="18">
        <f>EDATE('Curve_Interface'!$F$7,3*3)</f>
        <v/>
      </c>
      <c r="D10" s="34">
        <f>(C10-B10)/360</f>
        <v/>
      </c>
      <c r="E10" s="34">
        <f>(C10-B10)/365</f>
        <v/>
      </c>
      <c r="F10" s="34">
        <f>(C10-VAL_DATE)/365</f>
        <v/>
      </c>
      <c r="G10" s="36">
        <f>IFERROR(IF(Curve_Interface!$J$7="Piecewise Linear (Simple)",IF(((C10-VAL_DATE)/360)&lt;=0,1,1/(1+(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+(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-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)*IF(((INDEX('Curve_Interface'!$K$8:$K$73,MATCH(C10,'Curve_Interface'!$K$8:$K$73,1)+1)-VAL_DATE)/360)-((INDEX('Curve_Interface'!$K$8:$K$73,MATCH(C10,'Curve_Interface'!$K$8:$K$73,1))-VAL_DATE)/360)=0,0,(((C10-VAL_DATE)/360)-((INDEX('Curve_Interface'!$K$8:$K$73,MATCH(C10,'Curve_Interface'!$K$8:$K$73,1))-VAL_DATE)/360))/(((INDEX('Curve_Interface'!$K$8:$K$73,MATCH(C10,'Curve_Interface'!$K$8:$K$73,1)+1)-VAL_DATE)/360)-((INDEX('Curve_Interface'!$K$8:$K$73,MATCH(C10,'Curve_Interface'!$K$8:$K$73,1))-VAL_DATE)/360))))*((C10-VAL_DATE)/360))),INDEX('Curve_Interface'!$L$8:$L$73,MATCH(C10,'Curve_Interface'!$K$8:$K$73,1))*(INDEX('Curve_Interface'!$L$8:$L$73,MATCH(C10,'Curve_Interface'!$K$8:$K$73,1)+1)/INDEX('Curve_Interface'!$L$8:$L$73,MATCH(C10,'Curve_Interface'!$K$8:$K$73,1)))^((C10-INDEX('Curve_Interface'!$K$8:$K$73,MATCH(C10,'Curve_Interface'!$K$8:$K$73,1)))/(INDEX('Curve_Interface'!$K$8:$K$73,MATCH(C10,'Curve_Interface'!$K$8:$K$73,1)+1)-INDEX('Curve_Interface'!$K$8:$K$73,MATCH(C10,'Curve_Interface'!$K$8:$K$73,1))))),INDEX('Curve_Interface'!$L$8:$L$73,MATCH(C10,'Curve_Interface'!$K$8:$K$73,1)))</f>
        <v/>
      </c>
      <c r="H10" s="36">
        <f>IFERROR(IF(Curve_Interface!$J$7="Piecewise Linear (Simple)",IF((((B10+C10)/2-VAL_DATE)/360)&lt;=0,1,1/(1+(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+(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-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)*IF(((INDEX('Curve_Interface'!$K$8:$K$73,MATCH((B10+C10)/2,'Curve_Interface'!$K$8:$K$73,1)+1)-VAL_DATE)/360)-((INDEX('Curve_Interface'!$K$8:$K$73,MATCH((B10+C10)/2,'Curve_Interface'!$K$8:$K$73,1))-VAL_DATE)/360)=0,0,((((B10+C10)/2-VAL_DATE)/360)-((INDEX('Curve_Interface'!$K$8:$K$73,MATCH((B10+C10)/2,'Curve_Interface'!$K$8:$K$73,1))-VAL_DATE)/360))/(((INDEX('Curve_Interface'!$K$8:$K$73,MATCH((B10+C10)/2,'Curve_Interface'!$K$8:$K$73,1)+1)-VAL_DATE)/360)-((INDEX('Curve_Interface'!$K$8:$K$73,MATCH((B10+C10)/2,'Curve_Interface'!$K$8:$K$73,1))-VAL_DATE)/360))))*(((B10+C10)/2-VAL_DATE)/360))),INDEX('Curve_Interface'!$L$8:$L$73,MATCH((B10+C10)/2,'Curve_Interface'!$K$8:$K$73,1))*(INDEX('Curve_Interface'!$L$8:$L$73,MATCH((B10+C10)/2,'Curve_Interface'!$K$8:$K$73,1)+1)/INDEX('Curve_Interface'!$L$8:$L$73,MATCH((B10+C10)/2,'Curve_Interface'!$K$8:$K$73,1)))^(((B10+C10)/2-INDEX('Curve_Interface'!$K$8:$K$73,MATCH((B10+C10)/2,'Curve_Interface'!$K$8:$K$73,1)))/(INDEX('Curve_Interface'!$K$8:$K$73,MATCH((B10+C10)/2,'Curve_Interface'!$K$8:$K$73,1)+1)-INDEX('Curve_Interface'!$K$8:$K$73,MATCH((B10+C10)/2,'Curve_Interface'!$K$8:$K$73,1))))),INDEX('Curve_Interface'!$L$8:$L$73,MATCH((B10+C10)/2,'Curve_Interface'!$K$8:$K$73,1)))</f>
        <v/>
      </c>
      <c r="I10" s="36">
        <f>INDEX(Hazard_Bootstrap!$D$7:$D$12,MIN(COUNTIF(Hazard_Bootstrap!$B$7:$B$12,"&lt;"&amp;C10)+1,6))</f>
        <v/>
      </c>
      <c r="J10" s="36">
        <f>K9</f>
        <v/>
      </c>
      <c r="K10" s="36">
        <f>J10*EXP(-I10*E10)</f>
        <v/>
      </c>
      <c r="L10" s="36">
        <f>J10-K10</f>
        <v/>
      </c>
      <c r="M10" s="36">
        <f>D10*G10*K10</f>
        <v/>
      </c>
      <c r="N10" s="36">
        <f>(D10/2)*H10*L10</f>
        <v/>
      </c>
      <c r="O10" s="36">
        <f>H10*L10</f>
        <v/>
      </c>
      <c r="Q10" s="137" t="inlineStr">
        <is>
          <t>col M   premium factor                          (3.4) / O-T (5) 1st term</t>
        </is>
      </c>
    </row>
    <row r="11">
      <c r="A11" s="43" t="n">
        <v>5</v>
      </c>
      <c r="B11" s="18">
        <f>C10</f>
        <v/>
      </c>
      <c r="C11" s="18">
        <f>EDATE('Curve_Interface'!$F$7,3*4)</f>
        <v/>
      </c>
      <c r="D11" s="34">
        <f>(C11-B11)/360</f>
        <v/>
      </c>
      <c r="E11" s="34">
        <f>(C11-B11)/365</f>
        <v/>
      </c>
      <c r="F11" s="34">
        <f>(C11-VAL_DATE)/365</f>
        <v/>
      </c>
      <c r="G11" s="36">
        <f>IFERROR(IF(Curve_Interface!$J$7="Piecewise Linear (Simple)",IF(((C11-VAL_DATE)/360)&lt;=0,1,1/(1+(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+(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-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)*IF(((INDEX('Curve_Interface'!$K$8:$K$73,MATCH(C11,'Curve_Interface'!$K$8:$K$73,1)+1)-VAL_DATE)/360)-((INDEX('Curve_Interface'!$K$8:$K$73,MATCH(C11,'Curve_Interface'!$K$8:$K$73,1))-VAL_DATE)/360)=0,0,(((C11-VAL_DATE)/360)-((INDEX('Curve_Interface'!$K$8:$K$73,MATCH(C11,'Curve_Interface'!$K$8:$K$73,1))-VAL_DATE)/360))/(((INDEX('Curve_Interface'!$K$8:$K$73,MATCH(C11,'Curve_Interface'!$K$8:$K$73,1)+1)-VAL_DATE)/360)-((INDEX('Curve_Interface'!$K$8:$K$73,MATCH(C11,'Curve_Interface'!$K$8:$K$73,1))-VAL_DATE)/360))))*((C11-VAL_DATE)/360))),INDEX('Curve_Interface'!$L$8:$L$73,MATCH(C11,'Curve_Interface'!$K$8:$K$73,1))*(INDEX('Curve_Interface'!$L$8:$L$73,MATCH(C11,'Curve_Interface'!$K$8:$K$73,1)+1)/INDEX('Curve_Interface'!$L$8:$L$73,MATCH(C11,'Curve_Interface'!$K$8:$K$73,1)))^((C11-INDEX('Curve_Interface'!$K$8:$K$73,MATCH(C11,'Curve_Interface'!$K$8:$K$73,1)))/(INDEX('Curve_Interface'!$K$8:$K$73,MATCH(C11,'Curve_Interface'!$K$8:$K$73,1)+1)-INDEX('Curve_Interface'!$K$8:$K$73,MATCH(C11,'Curve_Interface'!$K$8:$K$73,1))))),INDEX('Curve_Interface'!$L$8:$L$73,MATCH(C11,'Curve_Interface'!$K$8:$K$73,1)))</f>
        <v/>
      </c>
      <c r="H11" s="36">
        <f>IFERROR(IF(Curve_Interface!$J$7="Piecewise Linear (Simple)",IF((((B11+C11)/2-VAL_DATE)/360)&lt;=0,1,1/(1+(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+(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-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)*IF(((INDEX('Curve_Interface'!$K$8:$K$73,MATCH((B11+C11)/2,'Curve_Interface'!$K$8:$K$73,1)+1)-VAL_DATE)/360)-((INDEX('Curve_Interface'!$K$8:$K$73,MATCH((B11+C11)/2,'Curve_Interface'!$K$8:$K$73,1))-VAL_DATE)/360)=0,0,((((B11+C11)/2-VAL_DATE)/360)-((INDEX('Curve_Interface'!$K$8:$K$73,MATCH((B11+C11)/2,'Curve_Interface'!$K$8:$K$73,1))-VAL_DATE)/360))/(((INDEX('Curve_Interface'!$K$8:$K$73,MATCH((B11+C11)/2,'Curve_Interface'!$K$8:$K$73,1)+1)-VAL_DATE)/360)-((INDEX('Curve_Interface'!$K$8:$K$73,MATCH((B11+C11)/2,'Curve_Interface'!$K$8:$K$73,1))-VAL_DATE)/360))))*(((B11+C11)/2-VAL_DATE)/360))),INDEX('Curve_Interface'!$L$8:$L$73,MATCH((B11+C11)/2,'Curve_Interface'!$K$8:$K$73,1))*(INDEX('Curve_Interface'!$L$8:$L$73,MATCH((B11+C11)/2,'Curve_Interface'!$K$8:$K$73,1)+1)/INDEX('Curve_Interface'!$L$8:$L$73,MATCH((B11+C11)/2,'Curve_Interface'!$K$8:$K$73,1)))^(((B11+C11)/2-INDEX('Curve_Interface'!$K$8:$K$73,MATCH((B11+C11)/2,'Curve_Interface'!$K$8:$K$73,1)))/(INDEX('Curve_Interface'!$K$8:$K$73,MATCH((B11+C11)/2,'Curve_Interface'!$K$8:$K$73,1)+1)-INDEX('Curve_Interface'!$K$8:$K$73,MATCH((B11+C11)/2,'Curve_Interface'!$K$8:$K$73,1))))),INDEX('Curve_Interface'!$L$8:$L$73,MATCH((B11+C11)/2,'Curve_Interface'!$K$8:$K$73,1)))</f>
        <v/>
      </c>
      <c r="I11" s="36">
        <f>INDEX(Hazard_Bootstrap!$D$7:$D$12,MIN(COUNTIF(Hazard_Bootstrap!$B$7:$B$12,"&lt;"&amp;C11)+1,6))</f>
        <v/>
      </c>
      <c r="J11" s="36">
        <f>K10</f>
        <v/>
      </c>
      <c r="K11" s="36">
        <f>J11*EXP(-I11*E11)</f>
        <v/>
      </c>
      <c r="L11" s="36">
        <f>J11-K11</f>
        <v/>
      </c>
      <c r="M11" s="36">
        <f>D11*G11*K11</f>
        <v/>
      </c>
      <c r="N11" s="36">
        <f>(D11/2)*H11*L11</f>
        <v/>
      </c>
      <c r="O11" s="36">
        <f>H11*L11</f>
        <v/>
      </c>
      <c r="Q11" s="138" t="inlineStr">
        <is>
          <t xml:space="preserve">        alpha_i * Z(t_i) * Q(t_i)</t>
        </is>
      </c>
    </row>
    <row r="12">
      <c r="A12" s="43" t="n">
        <v>6</v>
      </c>
      <c r="B12" s="18">
        <f>C11</f>
        <v/>
      </c>
      <c r="C12" s="18">
        <f>EDATE('Curve_Interface'!$F$7,3*5)</f>
        <v/>
      </c>
      <c r="D12" s="34">
        <f>(C12-B12)/360</f>
        <v/>
      </c>
      <c r="E12" s="34">
        <f>(C12-B12)/365</f>
        <v/>
      </c>
      <c r="F12" s="34">
        <f>(C12-VAL_DATE)/365</f>
        <v/>
      </c>
      <c r="G12" s="36">
        <f>IFERROR(IF(Curve_Interface!$J$7="Piecewise Linear (Simple)",IF(((C12-VAL_DATE)/360)&lt;=0,1,1/(1+(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+(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-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)*IF(((INDEX('Curve_Interface'!$K$8:$K$73,MATCH(C12,'Curve_Interface'!$K$8:$K$73,1)+1)-VAL_DATE)/360)-((INDEX('Curve_Interface'!$K$8:$K$73,MATCH(C12,'Curve_Interface'!$K$8:$K$73,1))-VAL_DATE)/360)=0,0,(((C12-VAL_DATE)/360)-((INDEX('Curve_Interface'!$K$8:$K$73,MATCH(C12,'Curve_Interface'!$K$8:$K$73,1))-VAL_DATE)/360))/(((INDEX('Curve_Interface'!$K$8:$K$73,MATCH(C12,'Curve_Interface'!$K$8:$K$73,1)+1)-VAL_DATE)/360)-((INDEX('Curve_Interface'!$K$8:$K$73,MATCH(C12,'Curve_Interface'!$K$8:$K$73,1))-VAL_DATE)/360))))*((C12-VAL_DATE)/360))),INDEX('Curve_Interface'!$L$8:$L$73,MATCH(C12,'Curve_Interface'!$K$8:$K$73,1))*(INDEX('Curve_Interface'!$L$8:$L$73,MATCH(C12,'Curve_Interface'!$K$8:$K$73,1)+1)/INDEX('Curve_Interface'!$L$8:$L$73,MATCH(C12,'Curve_Interface'!$K$8:$K$73,1)))^((C12-INDEX('Curve_Interface'!$K$8:$K$73,MATCH(C12,'Curve_Interface'!$K$8:$K$73,1)))/(INDEX('Curve_Interface'!$K$8:$K$73,MATCH(C12,'Curve_Interface'!$K$8:$K$73,1)+1)-INDEX('Curve_Interface'!$K$8:$K$73,MATCH(C12,'Curve_Interface'!$K$8:$K$73,1))))),INDEX('Curve_Interface'!$L$8:$L$73,MATCH(C12,'Curve_Interface'!$K$8:$K$73,1)))</f>
        <v/>
      </c>
      <c r="H12" s="36">
        <f>IFERROR(IF(Curve_Interface!$J$7="Piecewise Linear (Simple)",IF((((B12+C12)/2-VAL_DATE)/360)&lt;=0,1,1/(1+(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+(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-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)*IF(((INDEX('Curve_Interface'!$K$8:$K$73,MATCH((B12+C12)/2,'Curve_Interface'!$K$8:$K$73,1)+1)-VAL_DATE)/360)-((INDEX('Curve_Interface'!$K$8:$K$73,MATCH((B12+C12)/2,'Curve_Interface'!$K$8:$K$73,1))-VAL_DATE)/360)=0,0,((((B12+C12)/2-VAL_DATE)/360)-((INDEX('Curve_Interface'!$K$8:$K$73,MATCH((B12+C12)/2,'Curve_Interface'!$K$8:$K$73,1))-VAL_DATE)/360))/(((INDEX('Curve_Interface'!$K$8:$K$73,MATCH((B12+C12)/2,'Curve_Interface'!$K$8:$K$73,1)+1)-VAL_DATE)/360)-((INDEX('Curve_Interface'!$K$8:$K$73,MATCH((B12+C12)/2,'Curve_Interface'!$K$8:$K$73,1))-VAL_DATE)/360))))*(((B12+C12)/2-VAL_DATE)/360))),INDEX('Curve_Interface'!$L$8:$L$73,MATCH((B12+C12)/2,'Curve_Interface'!$K$8:$K$73,1))*(INDEX('Curve_Interface'!$L$8:$L$73,MATCH((B12+C12)/2,'Curve_Interface'!$K$8:$K$73,1)+1)/INDEX('Curve_Interface'!$L$8:$L$73,MATCH((B12+C12)/2,'Curve_Interface'!$K$8:$K$73,1)))^(((B12+C12)/2-INDEX('Curve_Interface'!$K$8:$K$73,MATCH((B12+C12)/2,'Curve_Interface'!$K$8:$K$73,1)))/(INDEX('Curve_Interface'!$K$8:$K$73,MATCH((B12+C12)/2,'Curve_Interface'!$K$8:$K$73,1)+1)-INDEX('Curve_Interface'!$K$8:$K$73,MATCH((B12+C12)/2,'Curve_Interface'!$K$8:$K$73,1))))),INDEX('Curve_Interface'!$L$8:$L$73,MATCH((B12+C12)/2,'Curve_Interface'!$K$8:$K$73,1)))</f>
        <v/>
      </c>
      <c r="I12" s="36">
        <f>INDEX(Hazard_Bootstrap!$D$7:$D$12,MIN(COUNTIF(Hazard_Bootstrap!$B$7:$B$12,"&lt;"&amp;C12)+1,6))</f>
        <v/>
      </c>
      <c r="J12" s="36">
        <f>K11</f>
        <v/>
      </c>
      <c r="K12" s="36">
        <f>J12*EXP(-I12*E12)</f>
        <v/>
      </c>
      <c r="L12" s="36">
        <f>J12-K12</f>
        <v/>
      </c>
      <c r="M12" s="36">
        <f>D12*G12*K12</f>
        <v/>
      </c>
      <c r="N12" s="36">
        <f>(D12/2)*H12*L12</f>
        <v/>
      </c>
      <c r="O12" s="36">
        <f>H12*L12</f>
        <v/>
      </c>
      <c r="Q12" s="138" t="inlineStr">
        <is>
          <t xml:space="preserve">        Coupons-in-Survival = A*C*SUM alpha_i Z(t_i) Q(t_i)</t>
        </is>
      </c>
    </row>
    <row r="13">
      <c r="A13" s="43" t="n">
        <v>7</v>
      </c>
      <c r="B13" s="18">
        <f>C12</f>
        <v/>
      </c>
      <c r="C13" s="18">
        <f>EDATE('Curve_Interface'!$F$7,3*6)</f>
        <v/>
      </c>
      <c r="D13" s="34">
        <f>(C13-B13)/360</f>
        <v/>
      </c>
      <c r="E13" s="34">
        <f>(C13-B13)/365</f>
        <v/>
      </c>
      <c r="F13" s="34">
        <f>(C13-VAL_DATE)/365</f>
        <v/>
      </c>
      <c r="G13" s="36">
        <f>IFERROR(IF(Curve_Interface!$J$7="Piecewise Linear (Simple)",IF(((C13-VAL_DATE)/360)&lt;=0,1,1/(1+(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+(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-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)*IF(((INDEX('Curve_Interface'!$K$8:$K$73,MATCH(C13,'Curve_Interface'!$K$8:$K$73,1)+1)-VAL_DATE)/360)-((INDEX('Curve_Interface'!$K$8:$K$73,MATCH(C13,'Curve_Interface'!$K$8:$K$73,1))-VAL_DATE)/360)=0,0,(((C13-VAL_DATE)/360)-((INDEX('Curve_Interface'!$K$8:$K$73,MATCH(C13,'Curve_Interface'!$K$8:$K$73,1))-VAL_DATE)/360))/(((INDEX('Curve_Interface'!$K$8:$K$73,MATCH(C13,'Curve_Interface'!$K$8:$K$73,1)+1)-VAL_DATE)/360)-((INDEX('Curve_Interface'!$K$8:$K$73,MATCH(C13,'Curve_Interface'!$K$8:$K$73,1))-VAL_DATE)/360))))*((C13-VAL_DATE)/360))),INDEX('Curve_Interface'!$L$8:$L$73,MATCH(C13,'Curve_Interface'!$K$8:$K$73,1))*(INDEX('Curve_Interface'!$L$8:$L$73,MATCH(C13,'Curve_Interface'!$K$8:$K$73,1)+1)/INDEX('Curve_Interface'!$L$8:$L$73,MATCH(C13,'Curve_Interface'!$K$8:$K$73,1)))^((C13-INDEX('Curve_Interface'!$K$8:$K$73,MATCH(C13,'Curve_Interface'!$K$8:$K$73,1)))/(INDEX('Curve_Interface'!$K$8:$K$73,MATCH(C13,'Curve_Interface'!$K$8:$K$73,1)+1)-INDEX('Curve_Interface'!$K$8:$K$73,MATCH(C13,'Curve_Interface'!$K$8:$K$73,1))))),INDEX('Curve_Interface'!$L$8:$L$73,MATCH(C13,'Curve_Interface'!$K$8:$K$73,1)))</f>
        <v/>
      </c>
      <c r="H13" s="36">
        <f>IFERROR(IF(Curve_Interface!$J$7="Piecewise Linear (Simple)",IF((((B13+C13)/2-VAL_DATE)/360)&lt;=0,1,1/(1+(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+(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-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)*IF(((INDEX('Curve_Interface'!$K$8:$K$73,MATCH((B13+C13)/2,'Curve_Interface'!$K$8:$K$73,1)+1)-VAL_DATE)/360)-((INDEX('Curve_Interface'!$K$8:$K$73,MATCH((B13+C13)/2,'Curve_Interface'!$K$8:$K$73,1))-VAL_DATE)/360)=0,0,((((B13+C13)/2-VAL_DATE)/360)-((INDEX('Curve_Interface'!$K$8:$K$73,MATCH((B13+C13)/2,'Curve_Interface'!$K$8:$K$73,1))-VAL_DATE)/360))/(((INDEX('Curve_Interface'!$K$8:$K$73,MATCH((B13+C13)/2,'Curve_Interface'!$K$8:$K$73,1)+1)-VAL_DATE)/360)-((INDEX('Curve_Interface'!$K$8:$K$73,MATCH((B13+C13)/2,'Curve_Interface'!$K$8:$K$73,1))-VAL_DATE)/360))))*(((B13+C13)/2-VAL_DATE)/360))),INDEX('Curve_Interface'!$L$8:$L$73,MATCH((B13+C13)/2,'Curve_Interface'!$K$8:$K$73,1))*(INDEX('Curve_Interface'!$L$8:$L$73,MATCH((B13+C13)/2,'Curve_Interface'!$K$8:$K$73,1)+1)/INDEX('Curve_Interface'!$L$8:$L$73,MATCH((B13+C13)/2,'Curve_Interface'!$K$8:$K$73,1)))^(((B13+C13)/2-INDEX('Curve_Interface'!$K$8:$K$73,MATCH((B13+C13)/2,'Curve_Interface'!$K$8:$K$73,1)))/(INDEX('Curve_Interface'!$K$8:$K$73,MATCH((B13+C13)/2,'Curve_Interface'!$K$8:$K$73,1)+1)-INDEX('Curve_Interface'!$K$8:$K$73,MATCH((B13+C13)/2,'Curve_Interface'!$K$8:$K$73,1))))),INDEX('Curve_Interface'!$L$8:$L$73,MATCH((B13+C13)/2,'Curve_Interface'!$K$8:$K$73,1)))</f>
        <v/>
      </c>
      <c r="I13" s="36">
        <f>INDEX(Hazard_Bootstrap!$D$7:$D$12,MIN(COUNTIF(Hazard_Bootstrap!$B$7:$B$12,"&lt;"&amp;C13)+1,6))</f>
        <v/>
      </c>
      <c r="J13" s="36">
        <f>K12</f>
        <v/>
      </c>
      <c r="K13" s="36">
        <f>J13*EXP(-I13*E13)</f>
        <v/>
      </c>
      <c r="L13" s="36">
        <f>J13-K13</f>
        <v/>
      </c>
      <c r="M13" s="36">
        <f>D13*G13*K13</f>
        <v/>
      </c>
      <c r="N13" s="36">
        <f>(D13/2)*H13*L13</f>
        <v/>
      </c>
      <c r="O13" s="36">
        <f>H13*L13</f>
        <v/>
      </c>
      <c r="Q13" s="137" t="n"/>
    </row>
    <row r="14">
      <c r="A14" s="43" t="n">
        <v>8</v>
      </c>
      <c r="B14" s="18">
        <f>C13</f>
        <v/>
      </c>
      <c r="C14" s="18">
        <f>EDATE('Curve_Interface'!$F$7,3*7)</f>
        <v/>
      </c>
      <c r="D14" s="34">
        <f>(C14-B14)/360</f>
        <v/>
      </c>
      <c r="E14" s="34">
        <f>(C14-B14)/365</f>
        <v/>
      </c>
      <c r="F14" s="34">
        <f>(C14-VAL_DATE)/365</f>
        <v/>
      </c>
      <c r="G14" s="36">
        <f>IFERROR(IF(Curve_Interface!$J$7="Piecewise Linear (Simple)",IF(((C14-VAL_DATE)/360)&lt;=0,1,1/(1+(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+(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-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)*IF(((INDEX('Curve_Interface'!$K$8:$K$73,MATCH(C14,'Curve_Interface'!$K$8:$K$73,1)+1)-VAL_DATE)/360)-((INDEX('Curve_Interface'!$K$8:$K$73,MATCH(C14,'Curve_Interface'!$K$8:$K$73,1))-VAL_DATE)/360)=0,0,(((C14-VAL_DATE)/360)-((INDEX('Curve_Interface'!$K$8:$K$73,MATCH(C14,'Curve_Interface'!$K$8:$K$73,1))-VAL_DATE)/360))/(((INDEX('Curve_Interface'!$K$8:$K$73,MATCH(C14,'Curve_Interface'!$K$8:$K$73,1)+1)-VAL_DATE)/360)-((INDEX('Curve_Interface'!$K$8:$K$73,MATCH(C14,'Curve_Interface'!$K$8:$K$73,1))-VAL_DATE)/360))))*((C14-VAL_DATE)/360))),INDEX('Curve_Interface'!$L$8:$L$73,MATCH(C14,'Curve_Interface'!$K$8:$K$73,1))*(INDEX('Curve_Interface'!$L$8:$L$73,MATCH(C14,'Curve_Interface'!$K$8:$K$73,1)+1)/INDEX('Curve_Interface'!$L$8:$L$73,MATCH(C14,'Curve_Interface'!$K$8:$K$73,1)))^((C14-INDEX('Curve_Interface'!$K$8:$K$73,MATCH(C14,'Curve_Interface'!$K$8:$K$73,1)))/(INDEX('Curve_Interface'!$K$8:$K$73,MATCH(C14,'Curve_Interface'!$K$8:$K$73,1)+1)-INDEX('Curve_Interface'!$K$8:$K$73,MATCH(C14,'Curve_Interface'!$K$8:$K$73,1))))),INDEX('Curve_Interface'!$L$8:$L$73,MATCH(C14,'Curve_Interface'!$K$8:$K$73,1)))</f>
        <v/>
      </c>
      <c r="H14" s="36">
        <f>IFERROR(IF(Curve_Interface!$J$7="Piecewise Linear (Simple)",IF((((B14+C14)/2-VAL_DATE)/360)&lt;=0,1,1/(1+(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+(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-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)*IF(((INDEX('Curve_Interface'!$K$8:$K$73,MATCH((B14+C14)/2,'Curve_Interface'!$K$8:$K$73,1)+1)-VAL_DATE)/360)-((INDEX('Curve_Interface'!$K$8:$K$73,MATCH((B14+C14)/2,'Curve_Interface'!$K$8:$K$73,1))-VAL_DATE)/360)=0,0,((((B14+C14)/2-VAL_DATE)/360)-((INDEX('Curve_Interface'!$K$8:$K$73,MATCH((B14+C14)/2,'Curve_Interface'!$K$8:$K$73,1))-VAL_DATE)/360))/(((INDEX('Curve_Interface'!$K$8:$K$73,MATCH((B14+C14)/2,'Curve_Interface'!$K$8:$K$73,1)+1)-VAL_DATE)/360)-((INDEX('Curve_Interface'!$K$8:$K$73,MATCH((B14+C14)/2,'Curve_Interface'!$K$8:$K$73,1))-VAL_DATE)/360))))*(((B14+C14)/2-VAL_DATE)/360))),INDEX('Curve_Interface'!$L$8:$L$73,MATCH((B14+C14)/2,'Curve_Interface'!$K$8:$K$73,1))*(INDEX('Curve_Interface'!$L$8:$L$73,MATCH((B14+C14)/2,'Curve_Interface'!$K$8:$K$73,1)+1)/INDEX('Curve_Interface'!$L$8:$L$73,MATCH((B14+C14)/2,'Curve_Interface'!$K$8:$K$73,1)))^(((B14+C14)/2-INDEX('Curve_Interface'!$K$8:$K$73,MATCH((B14+C14)/2,'Curve_Interface'!$K$8:$K$73,1)))/(INDEX('Curve_Interface'!$K$8:$K$73,MATCH((B14+C14)/2,'Curve_Interface'!$K$8:$K$73,1)+1)-INDEX('Curve_Interface'!$K$8:$K$73,MATCH((B14+C14)/2,'Curve_Interface'!$K$8:$K$73,1))))),INDEX('Curve_Interface'!$L$8:$L$73,MATCH((B14+C14)/2,'Curve_Interface'!$K$8:$K$73,1)))</f>
        <v/>
      </c>
      <c r="I14" s="36">
        <f>INDEX(Hazard_Bootstrap!$D$7:$D$12,MIN(COUNTIF(Hazard_Bootstrap!$B$7:$B$12,"&lt;"&amp;C14)+1,6))</f>
        <v/>
      </c>
      <c r="J14" s="36">
        <f>K13</f>
        <v/>
      </c>
      <c r="K14" s="36">
        <f>J14*EXP(-I14*E14)</f>
        <v/>
      </c>
      <c r="L14" s="36">
        <f>J14-K14</f>
        <v/>
      </c>
      <c r="M14" s="36">
        <f>D14*G14*K14</f>
        <v/>
      </c>
      <c r="N14" s="36">
        <f>(D14/2)*H14*L14</f>
        <v/>
      </c>
      <c r="O14" s="36">
        <f>H14*L14</f>
        <v/>
      </c>
      <c r="Q14" s="137" t="inlineStr">
        <is>
          <t>col N   accrual-on-default factor               (3.5) / O-T (5) 2nd term</t>
        </is>
      </c>
    </row>
    <row r="15">
      <c r="A15" s="43" t="n">
        <v>9</v>
      </c>
      <c r="B15" s="18">
        <f>C14</f>
        <v/>
      </c>
      <c r="C15" s="18">
        <f>EDATE('Curve_Interface'!$F$7,3*8)</f>
        <v/>
      </c>
      <c r="D15" s="34">
        <f>(C15-B15)/360</f>
        <v/>
      </c>
      <c r="E15" s="34">
        <f>(C15-B15)/365</f>
        <v/>
      </c>
      <c r="F15" s="34">
        <f>(C15-VAL_DATE)/365</f>
        <v/>
      </c>
      <c r="G15" s="36">
        <f>IFERROR(IF(Curve_Interface!$J$7="Piecewise Linear (Simple)",IF(((C15-VAL_DATE)/360)&lt;=0,1,1/(1+(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+(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-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)*IF(((INDEX('Curve_Interface'!$K$8:$K$73,MATCH(C15,'Curve_Interface'!$K$8:$K$73,1)+1)-VAL_DATE)/360)-((INDEX('Curve_Interface'!$K$8:$K$73,MATCH(C15,'Curve_Interface'!$K$8:$K$73,1))-VAL_DATE)/360)=0,0,(((C15-VAL_DATE)/360)-((INDEX('Curve_Interface'!$K$8:$K$73,MATCH(C15,'Curve_Interface'!$K$8:$K$73,1))-VAL_DATE)/360))/(((INDEX('Curve_Interface'!$K$8:$K$73,MATCH(C15,'Curve_Interface'!$K$8:$K$73,1)+1)-VAL_DATE)/360)-((INDEX('Curve_Interface'!$K$8:$K$73,MATCH(C15,'Curve_Interface'!$K$8:$K$73,1))-VAL_DATE)/360))))*((C15-VAL_DATE)/360))),INDEX('Curve_Interface'!$L$8:$L$73,MATCH(C15,'Curve_Interface'!$K$8:$K$73,1))*(INDEX('Curve_Interface'!$L$8:$L$73,MATCH(C15,'Curve_Interface'!$K$8:$K$73,1)+1)/INDEX('Curve_Interface'!$L$8:$L$73,MATCH(C15,'Curve_Interface'!$K$8:$K$73,1)))^((C15-INDEX('Curve_Interface'!$K$8:$K$73,MATCH(C15,'Curve_Interface'!$K$8:$K$73,1)))/(INDEX('Curve_Interface'!$K$8:$K$73,MATCH(C15,'Curve_Interface'!$K$8:$K$73,1)+1)-INDEX('Curve_Interface'!$K$8:$K$73,MATCH(C15,'Curve_Interface'!$K$8:$K$73,1))))),INDEX('Curve_Interface'!$L$8:$L$73,MATCH(C15,'Curve_Interface'!$K$8:$K$73,1)))</f>
        <v/>
      </c>
      <c r="H15" s="36">
        <f>IFERROR(IF(Curve_Interface!$J$7="Piecewise Linear (Simple)",IF((((B15+C15)/2-VAL_DATE)/360)&lt;=0,1,1/(1+(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+(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-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)*IF(((INDEX('Curve_Interface'!$K$8:$K$73,MATCH((B15+C15)/2,'Curve_Interface'!$K$8:$K$73,1)+1)-VAL_DATE)/360)-((INDEX('Curve_Interface'!$K$8:$K$73,MATCH((B15+C15)/2,'Curve_Interface'!$K$8:$K$73,1))-VAL_DATE)/360)=0,0,((((B15+C15)/2-VAL_DATE)/360)-((INDEX('Curve_Interface'!$K$8:$K$73,MATCH((B15+C15)/2,'Curve_Interface'!$K$8:$K$73,1))-VAL_DATE)/360))/(((INDEX('Curve_Interface'!$K$8:$K$73,MATCH((B15+C15)/2,'Curve_Interface'!$K$8:$K$73,1)+1)-VAL_DATE)/360)-((INDEX('Curve_Interface'!$K$8:$K$73,MATCH((B15+C15)/2,'Curve_Interface'!$K$8:$K$73,1))-VAL_DATE)/360))))*(((B15+C15)/2-VAL_DATE)/360))),INDEX('Curve_Interface'!$L$8:$L$73,MATCH((B15+C15)/2,'Curve_Interface'!$K$8:$K$73,1))*(INDEX('Curve_Interface'!$L$8:$L$73,MATCH((B15+C15)/2,'Curve_Interface'!$K$8:$K$73,1)+1)/INDEX('Curve_Interface'!$L$8:$L$73,MATCH((B15+C15)/2,'Curve_Interface'!$K$8:$K$73,1)))^(((B15+C15)/2-INDEX('Curve_Interface'!$K$8:$K$73,MATCH((B15+C15)/2,'Curve_Interface'!$K$8:$K$73,1)))/(INDEX('Curve_Interface'!$K$8:$K$73,MATCH((B15+C15)/2,'Curve_Interface'!$K$8:$K$73,1)+1)-INDEX('Curve_Interface'!$K$8:$K$73,MATCH((B15+C15)/2,'Curve_Interface'!$K$8:$K$73,1))))),INDEX('Curve_Interface'!$L$8:$L$73,MATCH((B15+C15)/2,'Curve_Interface'!$K$8:$K$73,1)))</f>
        <v/>
      </c>
      <c r="I15" s="36">
        <f>INDEX(Hazard_Bootstrap!$D$7:$D$12,MIN(COUNTIF(Hazard_Bootstrap!$B$7:$B$12,"&lt;"&amp;C15)+1,6))</f>
        <v/>
      </c>
      <c r="J15" s="36">
        <f>K14</f>
        <v/>
      </c>
      <c r="K15" s="36">
        <f>J15*EXP(-I15*E15)</f>
        <v/>
      </c>
      <c r="L15" s="36">
        <f>J15-K15</f>
        <v/>
      </c>
      <c r="M15" s="36">
        <f>D15*G15*K15</f>
        <v/>
      </c>
      <c r="N15" s="36">
        <f>(D15/2)*H15*L15</f>
        <v/>
      </c>
      <c r="O15" s="36">
        <f>H15*L15</f>
        <v/>
      </c>
      <c r="Q15" s="138" t="inlineStr">
        <is>
          <t xml:space="preserve">        (alpha_i/2) * Z(mid_i) * dPD_i</t>
        </is>
      </c>
    </row>
    <row r="16">
      <c r="A16" s="43" t="n">
        <v>10</v>
      </c>
      <c r="B16" s="18">
        <f>C15</f>
        <v/>
      </c>
      <c r="C16" s="18">
        <f>EDATE('Curve_Interface'!$F$7,3*9)</f>
        <v/>
      </c>
      <c r="D16" s="34">
        <f>(C16-B16)/360</f>
        <v/>
      </c>
      <c r="E16" s="34">
        <f>(C16-B16)/365</f>
        <v/>
      </c>
      <c r="F16" s="34">
        <f>(C16-VAL_DATE)/365</f>
        <v/>
      </c>
      <c r="G16" s="36">
        <f>IFERROR(IF(Curve_Interface!$J$7="Piecewise Linear (Simple)",IF(((C16-VAL_DATE)/360)&lt;=0,1,1/(1+(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+(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-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)*IF(((INDEX('Curve_Interface'!$K$8:$K$73,MATCH(C16,'Curve_Interface'!$K$8:$K$73,1)+1)-VAL_DATE)/360)-((INDEX('Curve_Interface'!$K$8:$K$73,MATCH(C16,'Curve_Interface'!$K$8:$K$73,1))-VAL_DATE)/360)=0,0,(((C16-VAL_DATE)/360)-((INDEX('Curve_Interface'!$K$8:$K$73,MATCH(C16,'Curve_Interface'!$K$8:$K$73,1))-VAL_DATE)/360))/(((INDEX('Curve_Interface'!$K$8:$K$73,MATCH(C16,'Curve_Interface'!$K$8:$K$73,1)+1)-VAL_DATE)/360)-((INDEX('Curve_Interface'!$K$8:$K$73,MATCH(C16,'Curve_Interface'!$K$8:$K$73,1))-VAL_DATE)/360))))*((C16-VAL_DATE)/360))),INDEX('Curve_Interface'!$L$8:$L$73,MATCH(C16,'Curve_Interface'!$K$8:$K$73,1))*(INDEX('Curve_Interface'!$L$8:$L$73,MATCH(C16,'Curve_Interface'!$K$8:$K$73,1)+1)/INDEX('Curve_Interface'!$L$8:$L$73,MATCH(C16,'Curve_Interface'!$K$8:$K$73,1)))^((C16-INDEX('Curve_Interface'!$K$8:$K$73,MATCH(C16,'Curve_Interface'!$K$8:$K$73,1)))/(INDEX('Curve_Interface'!$K$8:$K$73,MATCH(C16,'Curve_Interface'!$K$8:$K$73,1)+1)-INDEX('Curve_Interface'!$K$8:$K$73,MATCH(C16,'Curve_Interface'!$K$8:$K$73,1))))),INDEX('Curve_Interface'!$L$8:$L$73,MATCH(C16,'Curve_Interface'!$K$8:$K$73,1)))</f>
        <v/>
      </c>
      <c r="H16" s="36">
        <f>IFERROR(IF(Curve_Interface!$J$7="Piecewise Linear (Simple)",IF((((B16+C16)/2-VAL_DATE)/360)&lt;=0,1,1/(1+(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+(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-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)*IF(((INDEX('Curve_Interface'!$K$8:$K$73,MATCH((B16+C16)/2,'Curve_Interface'!$K$8:$K$73,1)+1)-VAL_DATE)/360)-((INDEX('Curve_Interface'!$K$8:$K$73,MATCH((B16+C16)/2,'Curve_Interface'!$K$8:$K$73,1))-VAL_DATE)/360)=0,0,((((B16+C16)/2-VAL_DATE)/360)-((INDEX('Curve_Interface'!$K$8:$K$73,MATCH((B16+C16)/2,'Curve_Interface'!$K$8:$K$73,1))-VAL_DATE)/360))/(((INDEX('Curve_Interface'!$K$8:$K$73,MATCH((B16+C16)/2,'Curve_Interface'!$K$8:$K$73,1)+1)-VAL_DATE)/360)-((INDEX('Curve_Interface'!$K$8:$K$73,MATCH((B16+C16)/2,'Curve_Interface'!$K$8:$K$73,1))-VAL_DATE)/360))))*(((B16+C16)/2-VAL_DATE)/360))),INDEX('Curve_Interface'!$L$8:$L$73,MATCH((B16+C16)/2,'Curve_Interface'!$K$8:$K$73,1))*(INDEX('Curve_Interface'!$L$8:$L$73,MATCH((B16+C16)/2,'Curve_Interface'!$K$8:$K$73,1)+1)/INDEX('Curve_Interface'!$L$8:$L$73,MATCH((B16+C16)/2,'Curve_Interface'!$K$8:$K$73,1)))^(((B16+C16)/2-INDEX('Curve_Interface'!$K$8:$K$73,MATCH((B16+C16)/2,'Curve_Interface'!$K$8:$K$73,1)))/(INDEX('Curve_Interface'!$K$8:$K$73,MATCH((B16+C16)/2,'Curve_Interface'!$K$8:$K$73,1)+1)-INDEX('Curve_Interface'!$K$8:$K$73,MATCH((B16+C16)/2,'Curve_Interface'!$K$8:$K$73,1))))),INDEX('Curve_Interface'!$L$8:$L$73,MATCH((B16+C16)/2,'Curve_Interface'!$K$8:$K$73,1)))</f>
        <v/>
      </c>
      <c r="I16" s="36">
        <f>INDEX(Hazard_Bootstrap!$D$7:$D$12,MIN(COUNTIF(Hazard_Bootstrap!$B$7:$B$12,"&lt;"&amp;C16)+1,6))</f>
        <v/>
      </c>
      <c r="J16" s="36">
        <f>K15</f>
        <v/>
      </c>
      <c r="K16" s="36">
        <f>J16*EXP(-I16*E16)</f>
        <v/>
      </c>
      <c r="L16" s="36">
        <f>J16-K16</f>
        <v/>
      </c>
      <c r="M16" s="36">
        <f>D16*G16*K16</f>
        <v/>
      </c>
      <c r="N16" s="36">
        <f>(D16/2)*H16*L16</f>
        <v/>
      </c>
      <c r="O16" s="36">
        <f>H16*L16</f>
        <v/>
      </c>
      <c r="Q16" s="138" t="inlineStr">
        <is>
          <t xml:space="preserve">        = A*C*INT Delta(T_n(t),t) (-dp_s/dt) D(t) dt</t>
        </is>
      </c>
    </row>
    <row r="17">
      <c r="A17" s="43" t="n">
        <v>11</v>
      </c>
      <c r="B17" s="18">
        <f>C16</f>
        <v/>
      </c>
      <c r="C17" s="18">
        <f>EDATE('Curve_Interface'!$F$7,3*10)</f>
        <v/>
      </c>
      <c r="D17" s="34">
        <f>(C17-B17)/360</f>
        <v/>
      </c>
      <c r="E17" s="34">
        <f>(C17-B17)/365</f>
        <v/>
      </c>
      <c r="F17" s="34">
        <f>(C17-VAL_DATE)/365</f>
        <v/>
      </c>
      <c r="G17" s="36">
        <f>IFERROR(IF(Curve_Interface!$J$7="Piecewise Linear (Simple)",IF(((C17-VAL_DATE)/360)&lt;=0,1,1/(1+(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+(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-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)*IF(((INDEX('Curve_Interface'!$K$8:$K$73,MATCH(C17,'Curve_Interface'!$K$8:$K$73,1)+1)-VAL_DATE)/360)-((INDEX('Curve_Interface'!$K$8:$K$73,MATCH(C17,'Curve_Interface'!$K$8:$K$73,1))-VAL_DATE)/360)=0,0,(((C17-VAL_DATE)/360)-((INDEX('Curve_Interface'!$K$8:$K$73,MATCH(C17,'Curve_Interface'!$K$8:$K$73,1))-VAL_DATE)/360))/(((INDEX('Curve_Interface'!$K$8:$K$73,MATCH(C17,'Curve_Interface'!$K$8:$K$73,1)+1)-VAL_DATE)/360)-((INDEX('Curve_Interface'!$K$8:$K$73,MATCH(C17,'Curve_Interface'!$K$8:$K$73,1))-VAL_DATE)/360))))*((C17-VAL_DATE)/360))),INDEX('Curve_Interface'!$L$8:$L$73,MATCH(C17,'Curve_Interface'!$K$8:$K$73,1))*(INDEX('Curve_Interface'!$L$8:$L$73,MATCH(C17,'Curve_Interface'!$K$8:$K$73,1)+1)/INDEX('Curve_Interface'!$L$8:$L$73,MATCH(C17,'Curve_Interface'!$K$8:$K$73,1)))^((C17-INDEX('Curve_Interface'!$K$8:$K$73,MATCH(C17,'Curve_Interface'!$K$8:$K$73,1)))/(INDEX('Curve_Interface'!$K$8:$K$73,MATCH(C17,'Curve_Interface'!$K$8:$K$73,1)+1)-INDEX('Curve_Interface'!$K$8:$K$73,MATCH(C17,'Curve_Interface'!$K$8:$K$73,1))))),INDEX('Curve_Interface'!$L$8:$L$73,MATCH(C17,'Curve_Interface'!$K$8:$K$73,1)))</f>
        <v/>
      </c>
      <c r="H17" s="36">
        <f>IFERROR(IF(Curve_Interface!$J$7="Piecewise Linear (Simple)",IF((((B17+C17)/2-VAL_DATE)/360)&lt;=0,1,1/(1+(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+(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-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)*IF(((INDEX('Curve_Interface'!$K$8:$K$73,MATCH((B17+C17)/2,'Curve_Interface'!$K$8:$K$73,1)+1)-VAL_DATE)/360)-((INDEX('Curve_Interface'!$K$8:$K$73,MATCH((B17+C17)/2,'Curve_Interface'!$K$8:$K$73,1))-VAL_DATE)/360)=0,0,((((B17+C17)/2-VAL_DATE)/360)-((INDEX('Curve_Interface'!$K$8:$K$73,MATCH((B17+C17)/2,'Curve_Interface'!$K$8:$K$73,1))-VAL_DATE)/360))/(((INDEX('Curve_Interface'!$K$8:$K$73,MATCH((B17+C17)/2,'Curve_Interface'!$K$8:$K$73,1)+1)-VAL_DATE)/360)-((INDEX('Curve_Interface'!$K$8:$K$73,MATCH((B17+C17)/2,'Curve_Interface'!$K$8:$K$73,1))-VAL_DATE)/360))))*(((B17+C17)/2-VAL_DATE)/360))),INDEX('Curve_Interface'!$L$8:$L$73,MATCH((B17+C17)/2,'Curve_Interface'!$K$8:$K$73,1))*(INDEX('Curve_Interface'!$L$8:$L$73,MATCH((B17+C17)/2,'Curve_Interface'!$K$8:$K$73,1)+1)/INDEX('Curve_Interface'!$L$8:$L$73,MATCH((B17+C17)/2,'Curve_Interface'!$K$8:$K$73,1)))^(((B17+C17)/2-INDEX('Curve_Interface'!$K$8:$K$73,MATCH((B17+C17)/2,'Curve_Interface'!$K$8:$K$73,1)))/(INDEX('Curve_Interface'!$K$8:$K$73,MATCH((B17+C17)/2,'Curve_Interface'!$K$8:$K$73,1)+1)-INDEX('Curve_Interface'!$K$8:$K$73,MATCH((B17+C17)/2,'Curve_Interface'!$K$8:$K$73,1))))),INDEX('Curve_Interface'!$L$8:$L$73,MATCH((B17+C17)/2,'Curve_Interface'!$K$8:$K$73,1)))</f>
        <v/>
      </c>
      <c r="I17" s="36">
        <f>INDEX(Hazard_Bootstrap!$D$7:$D$12,MIN(COUNTIF(Hazard_Bootstrap!$B$7:$B$12,"&lt;"&amp;C17)+1,6))</f>
        <v/>
      </c>
      <c r="J17" s="36">
        <f>K16</f>
        <v/>
      </c>
      <c r="K17" s="36">
        <f>J17*EXP(-I17*E17)</f>
        <v/>
      </c>
      <c r="L17" s="36">
        <f>J17-K17</f>
        <v/>
      </c>
      <c r="M17" s="36">
        <f>D17*G17*K17</f>
        <v/>
      </c>
      <c r="N17" s="36">
        <f>(D17/2)*H17*L17</f>
        <v/>
      </c>
      <c r="O17" s="36">
        <f>H17*L17</f>
        <v/>
      </c>
      <c r="Q17" s="139" t="inlineStr">
        <is>
          <t xml:space="preserve">        Z at the MIDPOINT, not the pay date: (3.5) integrates D(t) at</t>
        </is>
      </c>
    </row>
    <row r="18">
      <c r="A18" s="43" t="n">
        <v>12</v>
      </c>
      <c r="B18" s="18">
        <f>C17</f>
        <v/>
      </c>
      <c r="C18" s="18">
        <f>EDATE('Curve_Interface'!$F$7,3*11)</f>
        <v/>
      </c>
      <c r="D18" s="34">
        <f>(C18-B18)/360</f>
        <v/>
      </c>
      <c r="E18" s="34">
        <f>(C18-B18)/365</f>
        <v/>
      </c>
      <c r="F18" s="34">
        <f>(C18-VAL_DATE)/365</f>
        <v/>
      </c>
      <c r="G18" s="36">
        <f>IFERROR(IF(Curve_Interface!$J$7="Piecewise Linear (Simple)",IF(((C18-VAL_DATE)/360)&lt;=0,1,1/(1+(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+(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-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)*IF(((INDEX('Curve_Interface'!$K$8:$K$73,MATCH(C18,'Curve_Interface'!$K$8:$K$73,1)+1)-VAL_DATE)/360)-((INDEX('Curve_Interface'!$K$8:$K$73,MATCH(C18,'Curve_Interface'!$K$8:$K$73,1))-VAL_DATE)/360)=0,0,(((C18-VAL_DATE)/360)-((INDEX('Curve_Interface'!$K$8:$K$73,MATCH(C18,'Curve_Interface'!$K$8:$K$73,1))-VAL_DATE)/360))/(((INDEX('Curve_Interface'!$K$8:$K$73,MATCH(C18,'Curve_Interface'!$K$8:$K$73,1)+1)-VAL_DATE)/360)-((INDEX('Curve_Interface'!$K$8:$K$73,MATCH(C18,'Curve_Interface'!$K$8:$K$73,1))-VAL_DATE)/360))))*((C18-VAL_DATE)/360))),INDEX('Curve_Interface'!$L$8:$L$73,MATCH(C18,'Curve_Interface'!$K$8:$K$73,1))*(INDEX('Curve_Interface'!$L$8:$L$73,MATCH(C18,'Curve_Interface'!$K$8:$K$73,1)+1)/INDEX('Curve_Interface'!$L$8:$L$73,MATCH(C18,'Curve_Interface'!$K$8:$K$73,1)))^((C18-INDEX('Curve_Interface'!$K$8:$K$73,MATCH(C18,'Curve_Interface'!$K$8:$K$73,1)))/(INDEX('Curve_Interface'!$K$8:$K$73,MATCH(C18,'Curve_Interface'!$K$8:$K$73,1)+1)-INDEX('Curve_Interface'!$K$8:$K$73,MATCH(C18,'Curve_Interface'!$K$8:$K$73,1))))),INDEX('Curve_Interface'!$L$8:$L$73,MATCH(C18,'Curve_Interface'!$K$8:$K$73,1)))</f>
        <v/>
      </c>
      <c r="H18" s="36">
        <f>IFERROR(IF(Curve_Interface!$J$7="Piecewise Linear (Simple)",IF((((B18+C18)/2-VAL_DATE)/360)&lt;=0,1,1/(1+(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+(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-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)*IF(((INDEX('Curve_Interface'!$K$8:$K$73,MATCH((B18+C18)/2,'Curve_Interface'!$K$8:$K$73,1)+1)-VAL_DATE)/360)-((INDEX('Curve_Interface'!$K$8:$K$73,MATCH((B18+C18)/2,'Curve_Interface'!$K$8:$K$73,1))-VAL_DATE)/360)=0,0,((((B18+C18)/2-VAL_DATE)/360)-((INDEX('Curve_Interface'!$K$8:$K$73,MATCH((B18+C18)/2,'Curve_Interface'!$K$8:$K$73,1))-VAL_DATE)/360))/(((INDEX('Curve_Interface'!$K$8:$K$73,MATCH((B18+C18)/2,'Curve_Interface'!$K$8:$K$73,1)+1)-VAL_DATE)/360)-((INDEX('Curve_Interface'!$K$8:$K$73,MATCH((B18+C18)/2,'Curve_Interface'!$K$8:$K$73,1))-VAL_DATE)/360))))*(((B18+C18)/2-VAL_DATE)/360))),INDEX('Curve_Interface'!$L$8:$L$73,MATCH((B18+C18)/2,'Curve_Interface'!$K$8:$K$73,1))*(INDEX('Curve_Interface'!$L$8:$L$73,MATCH((B18+C18)/2,'Curve_Interface'!$K$8:$K$73,1)+1)/INDEX('Curve_Interface'!$L$8:$L$73,MATCH((B18+C18)/2,'Curve_Interface'!$K$8:$K$73,1)))^(((B18+C18)/2-INDEX('Curve_Interface'!$K$8:$K$73,MATCH((B18+C18)/2,'Curve_Interface'!$K$8:$K$73,1)))/(INDEX('Curve_Interface'!$K$8:$K$73,MATCH((B18+C18)/2,'Curve_Interface'!$K$8:$K$73,1)+1)-INDEX('Curve_Interface'!$K$8:$K$73,MATCH((B18+C18)/2,'Curve_Interface'!$K$8:$K$73,1))))),INDEX('Curve_Interface'!$L$8:$L$73,MATCH((B18+C18)/2,'Curve_Interface'!$K$8:$K$73,1)))</f>
        <v/>
      </c>
      <c r="I18" s="36">
        <f>INDEX(Hazard_Bootstrap!$D$7:$D$12,MIN(COUNTIF(Hazard_Bootstrap!$B$7:$B$12,"&lt;"&amp;C18)+1,6))</f>
        <v/>
      </c>
      <c r="J18" s="36">
        <f>K17</f>
        <v/>
      </c>
      <c r="K18" s="36">
        <f>J18*EXP(-I18*E18)</f>
        <v/>
      </c>
      <c r="L18" s="36">
        <f>J18-K18</f>
        <v/>
      </c>
      <c r="M18" s="36">
        <f>D18*G18*K18</f>
        <v/>
      </c>
      <c r="N18" s="36">
        <f>(D18/2)*H18*L18</f>
        <v/>
      </c>
      <c r="O18" s="36">
        <f>H18*L18</f>
        <v/>
      </c>
      <c r="Q18" s="139" t="inlineStr">
        <is>
          <t xml:space="preserve">        the default time. Z(mid) is 140x closer to it than O-T's Z(t_n).</t>
        </is>
      </c>
    </row>
    <row r="19">
      <c r="A19" s="43" t="n">
        <v>13</v>
      </c>
      <c r="B19" s="18">
        <f>C18</f>
        <v/>
      </c>
      <c r="C19" s="18">
        <f>EDATE('Curve_Interface'!$F$7,3*12)</f>
        <v/>
      </c>
      <c r="D19" s="34">
        <f>(C19-B19)/360</f>
        <v/>
      </c>
      <c r="E19" s="34">
        <f>(C19-B19)/365</f>
        <v/>
      </c>
      <c r="F19" s="34">
        <f>(C19-VAL_DATE)/365</f>
        <v/>
      </c>
      <c r="G19" s="36">
        <f>IFERROR(IF(Curve_Interface!$J$7="Piecewise Linear (Simple)",IF(((C19-VAL_DATE)/360)&lt;=0,1,1/(1+(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+(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-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)*IF(((INDEX('Curve_Interface'!$K$8:$K$73,MATCH(C19,'Curve_Interface'!$K$8:$K$73,1)+1)-VAL_DATE)/360)-((INDEX('Curve_Interface'!$K$8:$K$73,MATCH(C19,'Curve_Interface'!$K$8:$K$73,1))-VAL_DATE)/360)=0,0,(((C19-VAL_DATE)/360)-((INDEX('Curve_Interface'!$K$8:$K$73,MATCH(C19,'Curve_Interface'!$K$8:$K$73,1))-VAL_DATE)/360))/(((INDEX('Curve_Interface'!$K$8:$K$73,MATCH(C19,'Curve_Interface'!$K$8:$K$73,1)+1)-VAL_DATE)/360)-((INDEX('Curve_Interface'!$K$8:$K$73,MATCH(C19,'Curve_Interface'!$K$8:$K$73,1))-VAL_DATE)/360))))*((C19-VAL_DATE)/360))),INDEX('Curve_Interface'!$L$8:$L$73,MATCH(C19,'Curve_Interface'!$K$8:$K$73,1))*(INDEX('Curve_Interface'!$L$8:$L$73,MATCH(C19,'Curve_Interface'!$K$8:$K$73,1)+1)/INDEX('Curve_Interface'!$L$8:$L$73,MATCH(C19,'Curve_Interface'!$K$8:$K$73,1)))^((C19-INDEX('Curve_Interface'!$K$8:$K$73,MATCH(C19,'Curve_Interface'!$K$8:$K$73,1)))/(INDEX('Curve_Interface'!$K$8:$K$73,MATCH(C19,'Curve_Interface'!$K$8:$K$73,1)+1)-INDEX('Curve_Interface'!$K$8:$K$73,MATCH(C19,'Curve_Interface'!$K$8:$K$73,1))))),INDEX('Curve_Interface'!$L$8:$L$73,MATCH(C19,'Curve_Interface'!$K$8:$K$73,1)))</f>
        <v/>
      </c>
      <c r="H19" s="36">
        <f>IFERROR(IF(Curve_Interface!$J$7="Piecewise Linear (Simple)",IF((((B19+C19)/2-VAL_DATE)/360)&lt;=0,1,1/(1+(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+(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-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)*IF(((INDEX('Curve_Interface'!$K$8:$K$73,MATCH((B19+C19)/2,'Curve_Interface'!$K$8:$K$73,1)+1)-VAL_DATE)/360)-((INDEX('Curve_Interface'!$K$8:$K$73,MATCH((B19+C19)/2,'Curve_Interface'!$K$8:$K$73,1))-VAL_DATE)/360)=0,0,((((B19+C19)/2-VAL_DATE)/360)-((INDEX('Curve_Interface'!$K$8:$K$73,MATCH((B19+C19)/2,'Curve_Interface'!$K$8:$K$73,1))-VAL_DATE)/360))/(((INDEX('Curve_Interface'!$K$8:$K$73,MATCH((B19+C19)/2,'Curve_Interface'!$K$8:$K$73,1)+1)-VAL_DATE)/360)-((INDEX('Curve_Interface'!$K$8:$K$73,MATCH((B19+C19)/2,'Curve_Interface'!$K$8:$K$73,1))-VAL_DATE)/360))))*(((B19+C19)/2-VAL_DATE)/360))),INDEX('Curve_Interface'!$L$8:$L$73,MATCH((B19+C19)/2,'Curve_Interface'!$K$8:$K$73,1))*(INDEX('Curve_Interface'!$L$8:$L$73,MATCH((B19+C19)/2,'Curve_Interface'!$K$8:$K$73,1)+1)/INDEX('Curve_Interface'!$L$8:$L$73,MATCH((B19+C19)/2,'Curve_Interface'!$K$8:$K$73,1)))^(((B19+C19)/2-INDEX('Curve_Interface'!$K$8:$K$73,MATCH((B19+C19)/2,'Curve_Interface'!$K$8:$K$73,1)))/(INDEX('Curve_Interface'!$K$8:$K$73,MATCH((B19+C19)/2,'Curve_Interface'!$K$8:$K$73,1)+1)-INDEX('Curve_Interface'!$K$8:$K$73,MATCH((B19+C19)/2,'Curve_Interface'!$K$8:$K$73,1))))),INDEX('Curve_Interface'!$L$8:$L$73,MATCH((B19+C19)/2,'Curve_Interface'!$K$8:$K$73,1)))</f>
        <v/>
      </c>
      <c r="I19" s="36">
        <f>INDEX(Hazard_Bootstrap!$D$7:$D$12,MIN(COUNTIF(Hazard_Bootstrap!$B$7:$B$12,"&lt;"&amp;C19)+1,6))</f>
        <v/>
      </c>
      <c r="J19" s="36">
        <f>K18</f>
        <v/>
      </c>
      <c r="K19" s="36">
        <f>J19*EXP(-I19*E19)</f>
        <v/>
      </c>
      <c r="L19" s="36">
        <f>J19-K19</f>
        <v/>
      </c>
      <c r="M19" s="36">
        <f>D19*G19*K19</f>
        <v/>
      </c>
      <c r="N19" s="36">
        <f>(D19/2)*H19*L19</f>
        <v/>
      </c>
      <c r="O19" s="36">
        <f>H19*L19</f>
        <v/>
      </c>
      <c r="Q19" s="139" t="inlineStr">
        <is>
          <t xml:space="preserve">        See CLAUDE.md D5.</t>
        </is>
      </c>
    </row>
    <row r="20">
      <c r="A20" s="43" t="n">
        <v>14</v>
      </c>
      <c r="B20" s="18">
        <f>C19</f>
        <v/>
      </c>
      <c r="C20" s="18">
        <f>EDATE('Curve_Interface'!$F$7,3*13)</f>
        <v/>
      </c>
      <c r="D20" s="34">
        <f>(C20-B20)/360</f>
        <v/>
      </c>
      <c r="E20" s="34">
        <f>(C20-B20)/365</f>
        <v/>
      </c>
      <c r="F20" s="34">
        <f>(C20-VAL_DATE)/365</f>
        <v/>
      </c>
      <c r="G20" s="36">
        <f>IFERROR(IF(Curve_Interface!$J$7="Piecewise Linear (Simple)",IF(((C20-VAL_DATE)/360)&lt;=0,1,1/(1+(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+(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-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)*IF(((INDEX('Curve_Interface'!$K$8:$K$73,MATCH(C20,'Curve_Interface'!$K$8:$K$73,1)+1)-VAL_DATE)/360)-((INDEX('Curve_Interface'!$K$8:$K$73,MATCH(C20,'Curve_Interface'!$K$8:$K$73,1))-VAL_DATE)/360)=0,0,(((C20-VAL_DATE)/360)-((INDEX('Curve_Interface'!$K$8:$K$73,MATCH(C20,'Curve_Interface'!$K$8:$K$73,1))-VAL_DATE)/360))/(((INDEX('Curve_Interface'!$K$8:$K$73,MATCH(C20,'Curve_Interface'!$K$8:$K$73,1)+1)-VAL_DATE)/360)-((INDEX('Curve_Interface'!$K$8:$K$73,MATCH(C20,'Curve_Interface'!$K$8:$K$73,1))-VAL_DATE)/360))))*((C20-VAL_DATE)/360))),INDEX('Curve_Interface'!$L$8:$L$73,MATCH(C20,'Curve_Interface'!$K$8:$K$73,1))*(INDEX('Curve_Interface'!$L$8:$L$73,MATCH(C20,'Curve_Interface'!$K$8:$K$73,1)+1)/INDEX('Curve_Interface'!$L$8:$L$73,MATCH(C20,'Curve_Interface'!$K$8:$K$73,1)))^((C20-INDEX('Curve_Interface'!$K$8:$K$73,MATCH(C20,'Curve_Interface'!$K$8:$K$73,1)))/(INDEX('Curve_Interface'!$K$8:$K$73,MATCH(C20,'Curve_Interface'!$K$8:$K$73,1)+1)-INDEX('Curve_Interface'!$K$8:$K$73,MATCH(C20,'Curve_Interface'!$K$8:$K$73,1))))),INDEX('Curve_Interface'!$L$8:$L$73,MATCH(C20,'Curve_Interface'!$K$8:$K$73,1)))</f>
        <v/>
      </c>
      <c r="H20" s="36">
        <f>IFERROR(IF(Curve_Interface!$J$7="Piecewise Linear (Simple)",IF((((B20+C20)/2-VAL_DATE)/360)&lt;=0,1,1/(1+(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+(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-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)*IF(((INDEX('Curve_Interface'!$K$8:$K$73,MATCH((B20+C20)/2,'Curve_Interface'!$K$8:$K$73,1)+1)-VAL_DATE)/360)-((INDEX('Curve_Interface'!$K$8:$K$73,MATCH((B20+C20)/2,'Curve_Interface'!$K$8:$K$73,1))-VAL_DATE)/360)=0,0,((((B20+C20)/2-VAL_DATE)/360)-((INDEX('Curve_Interface'!$K$8:$K$73,MATCH((B20+C20)/2,'Curve_Interface'!$K$8:$K$73,1))-VAL_DATE)/360))/(((INDEX('Curve_Interface'!$K$8:$K$73,MATCH((B20+C20)/2,'Curve_Interface'!$K$8:$K$73,1)+1)-VAL_DATE)/360)-((INDEX('Curve_Interface'!$K$8:$K$73,MATCH((B20+C20)/2,'Curve_Interface'!$K$8:$K$73,1))-VAL_DATE)/360))))*(((B20+C20)/2-VAL_DATE)/360))),INDEX('Curve_Interface'!$L$8:$L$73,MATCH((B20+C20)/2,'Curve_Interface'!$K$8:$K$73,1))*(INDEX('Curve_Interface'!$L$8:$L$73,MATCH((B20+C20)/2,'Curve_Interface'!$K$8:$K$73,1)+1)/INDEX('Curve_Interface'!$L$8:$L$73,MATCH((B20+C20)/2,'Curve_Interface'!$K$8:$K$73,1)))^(((B20+C20)/2-INDEX('Curve_Interface'!$K$8:$K$73,MATCH((B20+C20)/2,'Curve_Interface'!$K$8:$K$73,1)))/(INDEX('Curve_Interface'!$K$8:$K$73,MATCH((B20+C20)/2,'Curve_Interface'!$K$8:$K$73,1)+1)-INDEX('Curve_Interface'!$K$8:$K$73,MATCH((B20+C20)/2,'Curve_Interface'!$K$8:$K$73,1))))),INDEX('Curve_Interface'!$L$8:$L$73,MATCH((B20+C20)/2,'Curve_Interface'!$K$8:$K$73,1)))</f>
        <v/>
      </c>
      <c r="I20" s="36">
        <f>INDEX(Hazard_Bootstrap!$D$7:$D$12,MIN(COUNTIF(Hazard_Bootstrap!$B$7:$B$12,"&lt;"&amp;C20)+1,6))</f>
        <v/>
      </c>
      <c r="J20" s="36">
        <f>K19</f>
        <v/>
      </c>
      <c r="K20" s="36">
        <f>J20*EXP(-I20*E20)</f>
        <v/>
      </c>
      <c r="L20" s="36">
        <f>J20-K20</f>
        <v/>
      </c>
      <c r="M20" s="36">
        <f>D20*G20*K20</f>
        <v/>
      </c>
      <c r="N20" s="36">
        <f>(D20/2)*H20*L20</f>
        <v/>
      </c>
      <c r="O20" s="36">
        <f>H20*L20</f>
        <v/>
      </c>
      <c r="Q20" s="137" t="n"/>
    </row>
    <row r="21">
      <c r="A21" s="43" t="n">
        <v>15</v>
      </c>
      <c r="B21" s="18">
        <f>C20</f>
        <v/>
      </c>
      <c r="C21" s="18">
        <f>EDATE('Curve_Interface'!$F$7,3*14)</f>
        <v/>
      </c>
      <c r="D21" s="34">
        <f>(C21-B21)/360</f>
        <v/>
      </c>
      <c r="E21" s="34">
        <f>(C21-B21)/365</f>
        <v/>
      </c>
      <c r="F21" s="34">
        <f>(C21-VAL_DATE)/365</f>
        <v/>
      </c>
      <c r="G21" s="36">
        <f>IFERROR(IF(Curve_Interface!$J$7="Piecewise Linear (Simple)",IF(((C21-VAL_DATE)/360)&lt;=0,1,1/(1+(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+(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-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)*IF(((INDEX('Curve_Interface'!$K$8:$K$73,MATCH(C21,'Curve_Interface'!$K$8:$K$73,1)+1)-VAL_DATE)/360)-((INDEX('Curve_Interface'!$K$8:$K$73,MATCH(C21,'Curve_Interface'!$K$8:$K$73,1))-VAL_DATE)/360)=0,0,(((C21-VAL_DATE)/360)-((INDEX('Curve_Interface'!$K$8:$K$73,MATCH(C21,'Curve_Interface'!$K$8:$K$73,1))-VAL_DATE)/360))/(((INDEX('Curve_Interface'!$K$8:$K$73,MATCH(C21,'Curve_Interface'!$K$8:$K$73,1)+1)-VAL_DATE)/360)-((INDEX('Curve_Interface'!$K$8:$K$73,MATCH(C21,'Curve_Interface'!$K$8:$K$73,1))-VAL_DATE)/360))))*((C21-VAL_DATE)/360))),INDEX('Curve_Interface'!$L$8:$L$73,MATCH(C21,'Curve_Interface'!$K$8:$K$73,1))*(INDEX('Curve_Interface'!$L$8:$L$73,MATCH(C21,'Curve_Interface'!$K$8:$K$73,1)+1)/INDEX('Curve_Interface'!$L$8:$L$73,MATCH(C21,'Curve_Interface'!$K$8:$K$73,1)))^((C21-INDEX('Curve_Interface'!$K$8:$K$73,MATCH(C21,'Curve_Interface'!$K$8:$K$73,1)))/(INDEX('Curve_Interface'!$K$8:$K$73,MATCH(C21,'Curve_Interface'!$K$8:$K$73,1)+1)-INDEX('Curve_Interface'!$K$8:$K$73,MATCH(C21,'Curve_Interface'!$K$8:$K$73,1))))),INDEX('Curve_Interface'!$L$8:$L$73,MATCH(C21,'Curve_Interface'!$K$8:$K$73,1)))</f>
        <v/>
      </c>
      <c r="H21" s="36">
        <f>IFERROR(IF(Curve_Interface!$J$7="Piecewise Linear (Simple)",IF((((B21+C21)/2-VAL_DATE)/360)&lt;=0,1,1/(1+(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+(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-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)*IF(((INDEX('Curve_Interface'!$K$8:$K$73,MATCH((B21+C21)/2,'Curve_Interface'!$K$8:$K$73,1)+1)-VAL_DATE)/360)-((INDEX('Curve_Interface'!$K$8:$K$73,MATCH((B21+C21)/2,'Curve_Interface'!$K$8:$K$73,1))-VAL_DATE)/360)=0,0,((((B21+C21)/2-VAL_DATE)/360)-((INDEX('Curve_Interface'!$K$8:$K$73,MATCH((B21+C21)/2,'Curve_Interface'!$K$8:$K$73,1))-VAL_DATE)/360))/(((INDEX('Curve_Interface'!$K$8:$K$73,MATCH((B21+C21)/2,'Curve_Interface'!$K$8:$K$73,1)+1)-VAL_DATE)/360)-((INDEX('Curve_Interface'!$K$8:$K$73,MATCH((B21+C21)/2,'Curve_Interface'!$K$8:$K$73,1))-VAL_DATE)/360))))*(((B21+C21)/2-VAL_DATE)/360))),INDEX('Curve_Interface'!$L$8:$L$73,MATCH((B21+C21)/2,'Curve_Interface'!$K$8:$K$73,1))*(INDEX('Curve_Interface'!$L$8:$L$73,MATCH((B21+C21)/2,'Curve_Interface'!$K$8:$K$73,1)+1)/INDEX('Curve_Interface'!$L$8:$L$73,MATCH((B21+C21)/2,'Curve_Interface'!$K$8:$K$73,1)))^(((B21+C21)/2-INDEX('Curve_Interface'!$K$8:$K$73,MATCH((B21+C21)/2,'Curve_Interface'!$K$8:$K$73,1)))/(INDEX('Curve_Interface'!$K$8:$K$73,MATCH((B21+C21)/2,'Curve_Interface'!$K$8:$K$73,1)+1)-INDEX('Curve_Interface'!$K$8:$K$73,MATCH((B21+C21)/2,'Curve_Interface'!$K$8:$K$73,1))))),INDEX('Curve_Interface'!$L$8:$L$73,MATCH((B21+C21)/2,'Curve_Interface'!$K$8:$K$73,1)))</f>
        <v/>
      </c>
      <c r="I21" s="36">
        <f>INDEX(Hazard_Bootstrap!$D$7:$D$12,MIN(COUNTIF(Hazard_Bootstrap!$B$7:$B$12,"&lt;"&amp;C21)+1,6))</f>
        <v/>
      </c>
      <c r="J21" s="36">
        <f>K20</f>
        <v/>
      </c>
      <c r="K21" s="36">
        <f>J21*EXP(-I21*E21)</f>
        <v/>
      </c>
      <c r="L21" s="36">
        <f>J21-K21</f>
        <v/>
      </c>
      <c r="M21" s="36">
        <f>D21*G21*K21</f>
        <v/>
      </c>
      <c r="N21" s="36">
        <f>(D21/2)*H21*L21</f>
        <v/>
      </c>
      <c r="O21" s="36">
        <f>H21*L21</f>
        <v/>
      </c>
      <c r="Q21" s="137" t="inlineStr">
        <is>
          <t>col O   protection factor                       (3.6) / O-T (7)</t>
        </is>
      </c>
    </row>
    <row r="22">
      <c r="A22" s="43" t="n">
        <v>16</v>
      </c>
      <c r="B22" s="18">
        <f>C21</f>
        <v/>
      </c>
      <c r="C22" s="18">
        <f>EDATE('Curve_Interface'!$F$7,3*15)</f>
        <v/>
      </c>
      <c r="D22" s="34">
        <f>(C22-B22)/360</f>
        <v/>
      </c>
      <c r="E22" s="34">
        <f>(C22-B22)/365</f>
        <v/>
      </c>
      <c r="F22" s="34">
        <f>(C22-VAL_DATE)/365</f>
        <v/>
      </c>
      <c r="G22" s="36">
        <f>IFERROR(IF(Curve_Interface!$J$7="Piecewise Linear (Simple)",IF(((C22-VAL_DATE)/360)&lt;=0,1,1/(1+(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+(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-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)*IF(((INDEX('Curve_Interface'!$K$8:$K$73,MATCH(C22,'Curve_Interface'!$K$8:$K$73,1)+1)-VAL_DATE)/360)-((INDEX('Curve_Interface'!$K$8:$K$73,MATCH(C22,'Curve_Interface'!$K$8:$K$73,1))-VAL_DATE)/360)=0,0,(((C22-VAL_DATE)/360)-((INDEX('Curve_Interface'!$K$8:$K$73,MATCH(C22,'Curve_Interface'!$K$8:$K$73,1))-VAL_DATE)/360))/(((INDEX('Curve_Interface'!$K$8:$K$73,MATCH(C22,'Curve_Interface'!$K$8:$K$73,1)+1)-VAL_DATE)/360)-((INDEX('Curve_Interface'!$K$8:$K$73,MATCH(C22,'Curve_Interface'!$K$8:$K$73,1))-VAL_DATE)/360))))*((C22-VAL_DATE)/360))),INDEX('Curve_Interface'!$L$8:$L$73,MATCH(C22,'Curve_Interface'!$K$8:$K$73,1))*(INDEX('Curve_Interface'!$L$8:$L$73,MATCH(C22,'Curve_Interface'!$K$8:$K$73,1)+1)/INDEX('Curve_Interface'!$L$8:$L$73,MATCH(C22,'Curve_Interface'!$K$8:$K$73,1)))^((C22-INDEX('Curve_Interface'!$K$8:$K$73,MATCH(C22,'Curve_Interface'!$K$8:$K$73,1)))/(INDEX('Curve_Interface'!$K$8:$K$73,MATCH(C22,'Curve_Interface'!$K$8:$K$73,1)+1)-INDEX('Curve_Interface'!$K$8:$K$73,MATCH(C22,'Curve_Interface'!$K$8:$K$73,1))))),INDEX('Curve_Interface'!$L$8:$L$73,MATCH(C22,'Curve_Interface'!$K$8:$K$73,1)))</f>
        <v/>
      </c>
      <c r="H22" s="36">
        <f>IFERROR(IF(Curve_Interface!$J$7="Piecewise Linear (Simple)",IF((((B22+C22)/2-VAL_DATE)/360)&lt;=0,1,1/(1+(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+(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-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)*IF(((INDEX('Curve_Interface'!$K$8:$K$73,MATCH((B22+C22)/2,'Curve_Interface'!$K$8:$K$73,1)+1)-VAL_DATE)/360)-((INDEX('Curve_Interface'!$K$8:$K$73,MATCH((B22+C22)/2,'Curve_Interface'!$K$8:$K$73,1))-VAL_DATE)/360)=0,0,((((B22+C22)/2-VAL_DATE)/360)-((INDEX('Curve_Interface'!$K$8:$K$73,MATCH((B22+C22)/2,'Curve_Interface'!$K$8:$K$73,1))-VAL_DATE)/360))/(((INDEX('Curve_Interface'!$K$8:$K$73,MATCH((B22+C22)/2,'Curve_Interface'!$K$8:$K$73,1)+1)-VAL_DATE)/360)-((INDEX('Curve_Interface'!$K$8:$K$73,MATCH((B22+C22)/2,'Curve_Interface'!$K$8:$K$73,1))-VAL_DATE)/360))))*(((B22+C22)/2-VAL_DATE)/360))),INDEX('Curve_Interface'!$L$8:$L$73,MATCH((B22+C22)/2,'Curve_Interface'!$K$8:$K$73,1))*(INDEX('Curve_Interface'!$L$8:$L$73,MATCH((B22+C22)/2,'Curve_Interface'!$K$8:$K$73,1)+1)/INDEX('Curve_Interface'!$L$8:$L$73,MATCH((B22+C22)/2,'Curve_Interface'!$K$8:$K$73,1)))^(((B22+C22)/2-INDEX('Curve_Interface'!$K$8:$K$73,MATCH((B22+C22)/2,'Curve_Interface'!$K$8:$K$73,1)))/(INDEX('Curve_Interface'!$K$8:$K$73,MATCH((B22+C22)/2,'Curve_Interface'!$K$8:$K$73,1)+1)-INDEX('Curve_Interface'!$K$8:$K$73,MATCH((B22+C22)/2,'Curve_Interface'!$K$8:$K$73,1))))),INDEX('Curve_Interface'!$L$8:$L$73,MATCH((B22+C22)/2,'Curve_Interface'!$K$8:$K$73,1)))</f>
        <v/>
      </c>
      <c r="I22" s="36">
        <f>INDEX(Hazard_Bootstrap!$D$7:$D$12,MIN(COUNTIF(Hazard_Bootstrap!$B$7:$B$12,"&lt;"&amp;C22)+1,6))</f>
        <v/>
      </c>
      <c r="J22" s="36">
        <f>K21</f>
        <v/>
      </c>
      <c r="K22" s="36">
        <f>J22*EXP(-I22*E22)</f>
        <v/>
      </c>
      <c r="L22" s="36">
        <f>J22-K22</f>
        <v/>
      </c>
      <c r="M22" s="36">
        <f>D22*G22*K22</f>
        <v/>
      </c>
      <c r="N22" s="36">
        <f>(D22/2)*H22*L22</f>
        <v/>
      </c>
      <c r="O22" s="36">
        <f>H22*L22</f>
        <v/>
      </c>
      <c r="Q22" s="138" t="inlineStr">
        <is>
          <t xml:space="preserve">        Z(mid_i) * dPD_i</t>
        </is>
      </c>
    </row>
    <row r="23">
      <c r="A23" s="43" t="n">
        <v>17</v>
      </c>
      <c r="B23" s="18">
        <f>C22</f>
        <v/>
      </c>
      <c r="C23" s="18">
        <f>EDATE('Curve_Interface'!$F$7,3*16)</f>
        <v/>
      </c>
      <c r="D23" s="34">
        <f>(C23-B23)/360</f>
        <v/>
      </c>
      <c r="E23" s="34">
        <f>(C23-B23)/365</f>
        <v/>
      </c>
      <c r="F23" s="34">
        <f>(C23-VAL_DATE)/365</f>
        <v/>
      </c>
      <c r="G23" s="36">
        <f>IFERROR(IF(Curve_Interface!$J$7="Piecewise Linear (Simple)",IF(((C23-VAL_DATE)/360)&lt;=0,1,1/(1+(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+(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-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)*IF(((INDEX('Curve_Interface'!$K$8:$K$73,MATCH(C23,'Curve_Interface'!$K$8:$K$73,1)+1)-VAL_DATE)/360)-((INDEX('Curve_Interface'!$K$8:$K$73,MATCH(C23,'Curve_Interface'!$K$8:$K$73,1))-VAL_DATE)/360)=0,0,(((C23-VAL_DATE)/360)-((INDEX('Curve_Interface'!$K$8:$K$73,MATCH(C23,'Curve_Interface'!$K$8:$K$73,1))-VAL_DATE)/360))/(((INDEX('Curve_Interface'!$K$8:$K$73,MATCH(C23,'Curve_Interface'!$K$8:$K$73,1)+1)-VAL_DATE)/360)-((INDEX('Curve_Interface'!$K$8:$K$73,MATCH(C23,'Curve_Interface'!$K$8:$K$73,1))-VAL_DATE)/360))))*((C23-VAL_DATE)/360))),INDEX('Curve_Interface'!$L$8:$L$73,MATCH(C23,'Curve_Interface'!$K$8:$K$73,1))*(INDEX('Curve_Interface'!$L$8:$L$73,MATCH(C23,'Curve_Interface'!$K$8:$K$73,1)+1)/INDEX('Curve_Interface'!$L$8:$L$73,MATCH(C23,'Curve_Interface'!$K$8:$K$73,1)))^((C23-INDEX('Curve_Interface'!$K$8:$K$73,MATCH(C23,'Curve_Interface'!$K$8:$K$73,1)))/(INDEX('Curve_Interface'!$K$8:$K$73,MATCH(C23,'Curve_Interface'!$K$8:$K$73,1)+1)-INDEX('Curve_Interface'!$K$8:$K$73,MATCH(C23,'Curve_Interface'!$K$8:$K$73,1))))),INDEX('Curve_Interface'!$L$8:$L$73,MATCH(C23,'Curve_Interface'!$K$8:$K$73,1)))</f>
        <v/>
      </c>
      <c r="H23" s="36">
        <f>IFERROR(IF(Curve_Interface!$J$7="Piecewise Linear (Simple)",IF((((B23+C23)/2-VAL_DATE)/360)&lt;=0,1,1/(1+(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+(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-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)*IF(((INDEX('Curve_Interface'!$K$8:$K$73,MATCH((B23+C23)/2,'Curve_Interface'!$K$8:$K$73,1)+1)-VAL_DATE)/360)-((INDEX('Curve_Interface'!$K$8:$K$73,MATCH((B23+C23)/2,'Curve_Interface'!$K$8:$K$73,1))-VAL_DATE)/360)=0,0,((((B23+C23)/2-VAL_DATE)/360)-((INDEX('Curve_Interface'!$K$8:$K$73,MATCH((B23+C23)/2,'Curve_Interface'!$K$8:$K$73,1))-VAL_DATE)/360))/(((INDEX('Curve_Interface'!$K$8:$K$73,MATCH((B23+C23)/2,'Curve_Interface'!$K$8:$K$73,1)+1)-VAL_DATE)/360)-((INDEX('Curve_Interface'!$K$8:$K$73,MATCH((B23+C23)/2,'Curve_Interface'!$K$8:$K$73,1))-VAL_DATE)/360))))*(((B23+C23)/2-VAL_DATE)/360))),INDEX('Curve_Interface'!$L$8:$L$73,MATCH((B23+C23)/2,'Curve_Interface'!$K$8:$K$73,1))*(INDEX('Curve_Interface'!$L$8:$L$73,MATCH((B23+C23)/2,'Curve_Interface'!$K$8:$K$73,1)+1)/INDEX('Curve_Interface'!$L$8:$L$73,MATCH((B23+C23)/2,'Curve_Interface'!$K$8:$K$73,1)))^(((B23+C23)/2-INDEX('Curve_Interface'!$K$8:$K$73,MATCH((B23+C23)/2,'Curve_Interface'!$K$8:$K$73,1)))/(INDEX('Curve_Interface'!$K$8:$K$73,MATCH((B23+C23)/2,'Curve_Interface'!$K$8:$K$73,1)+1)-INDEX('Curve_Interface'!$K$8:$K$73,MATCH((B23+C23)/2,'Curve_Interface'!$K$8:$K$73,1))))),INDEX('Curve_Interface'!$L$8:$L$73,MATCH((B23+C23)/2,'Curve_Interface'!$K$8:$K$73,1)))</f>
        <v/>
      </c>
      <c r="I23" s="36">
        <f>INDEX(Hazard_Bootstrap!$D$7:$D$12,MIN(COUNTIF(Hazard_Bootstrap!$B$7:$B$12,"&lt;"&amp;C23)+1,6))</f>
        <v/>
      </c>
      <c r="J23" s="36">
        <f>K22</f>
        <v/>
      </c>
      <c r="K23" s="36">
        <f>J23*EXP(-I23*E23)</f>
        <v/>
      </c>
      <c r="L23" s="36">
        <f>J23-K23</f>
        <v/>
      </c>
      <c r="M23" s="36">
        <f>D23*G23*K23</f>
        <v/>
      </c>
      <c r="N23" s="36">
        <f>(D23/2)*H23*L23</f>
        <v/>
      </c>
      <c r="O23" s="36">
        <f>H23*L23</f>
        <v/>
      </c>
      <c r="Q23" s="138" t="inlineStr">
        <is>
          <t xml:space="preserve">        Protection Leg = A(1-R) * INT (-dp_s/dt) D(t) dt</t>
        </is>
      </c>
    </row>
    <row r="24">
      <c r="A24" s="43" t="n">
        <v>18</v>
      </c>
      <c r="B24" s="18">
        <f>C23</f>
        <v/>
      </c>
      <c r="C24" s="18">
        <f>EDATE('Curve_Interface'!$F$7,3*17)</f>
        <v/>
      </c>
      <c r="D24" s="34">
        <f>(C24-B24)/360</f>
        <v/>
      </c>
      <c r="E24" s="34">
        <f>(C24-B24)/365</f>
        <v/>
      </c>
      <c r="F24" s="34">
        <f>(C24-VAL_DATE)/365</f>
        <v/>
      </c>
      <c r="G24" s="36">
        <f>IFERROR(IF(Curve_Interface!$J$7="Piecewise Linear (Simple)",IF(((C24-VAL_DATE)/360)&lt;=0,1,1/(1+(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+(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-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)*IF(((INDEX('Curve_Interface'!$K$8:$K$73,MATCH(C24,'Curve_Interface'!$K$8:$K$73,1)+1)-VAL_DATE)/360)-((INDEX('Curve_Interface'!$K$8:$K$73,MATCH(C24,'Curve_Interface'!$K$8:$K$73,1))-VAL_DATE)/360)=0,0,(((C24-VAL_DATE)/360)-((INDEX('Curve_Interface'!$K$8:$K$73,MATCH(C24,'Curve_Interface'!$K$8:$K$73,1))-VAL_DATE)/360))/(((INDEX('Curve_Interface'!$K$8:$K$73,MATCH(C24,'Curve_Interface'!$K$8:$K$73,1)+1)-VAL_DATE)/360)-((INDEX('Curve_Interface'!$K$8:$K$73,MATCH(C24,'Curve_Interface'!$K$8:$K$73,1))-VAL_DATE)/360))))*((C24-VAL_DATE)/360))),INDEX('Curve_Interface'!$L$8:$L$73,MATCH(C24,'Curve_Interface'!$K$8:$K$73,1))*(INDEX('Curve_Interface'!$L$8:$L$73,MATCH(C24,'Curve_Interface'!$K$8:$K$73,1)+1)/INDEX('Curve_Interface'!$L$8:$L$73,MATCH(C24,'Curve_Interface'!$K$8:$K$73,1)))^((C24-INDEX('Curve_Interface'!$K$8:$K$73,MATCH(C24,'Curve_Interface'!$K$8:$K$73,1)))/(INDEX('Curve_Interface'!$K$8:$K$73,MATCH(C24,'Curve_Interface'!$K$8:$K$73,1)+1)-INDEX('Curve_Interface'!$K$8:$K$73,MATCH(C24,'Curve_Interface'!$K$8:$K$73,1))))),INDEX('Curve_Interface'!$L$8:$L$73,MATCH(C24,'Curve_Interface'!$K$8:$K$73,1)))</f>
        <v/>
      </c>
      <c r="H24" s="36">
        <f>IFERROR(IF(Curve_Interface!$J$7="Piecewise Linear (Simple)",IF((((B24+C24)/2-VAL_DATE)/360)&lt;=0,1,1/(1+(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+(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-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)*IF(((INDEX('Curve_Interface'!$K$8:$K$73,MATCH((B24+C24)/2,'Curve_Interface'!$K$8:$K$73,1)+1)-VAL_DATE)/360)-((INDEX('Curve_Interface'!$K$8:$K$73,MATCH((B24+C24)/2,'Curve_Interface'!$K$8:$K$73,1))-VAL_DATE)/360)=0,0,((((B24+C24)/2-VAL_DATE)/360)-((INDEX('Curve_Interface'!$K$8:$K$73,MATCH((B24+C24)/2,'Curve_Interface'!$K$8:$K$73,1))-VAL_DATE)/360))/(((INDEX('Curve_Interface'!$K$8:$K$73,MATCH((B24+C24)/2,'Curve_Interface'!$K$8:$K$73,1)+1)-VAL_DATE)/360)-((INDEX('Curve_Interface'!$K$8:$K$73,MATCH((B24+C24)/2,'Curve_Interface'!$K$8:$K$73,1))-VAL_DATE)/360))))*(((B24+C24)/2-VAL_DATE)/360))),INDEX('Curve_Interface'!$L$8:$L$73,MATCH((B24+C24)/2,'Curve_Interface'!$K$8:$K$73,1))*(INDEX('Curve_Interface'!$L$8:$L$73,MATCH((B24+C24)/2,'Curve_Interface'!$K$8:$K$73,1)+1)/INDEX('Curve_Interface'!$L$8:$L$73,MATCH((B24+C24)/2,'Curve_Interface'!$K$8:$K$73,1)))^(((B24+C24)/2-INDEX('Curve_Interface'!$K$8:$K$73,MATCH((B24+C24)/2,'Curve_Interface'!$K$8:$K$73,1)))/(INDEX('Curve_Interface'!$K$8:$K$73,MATCH((B24+C24)/2,'Curve_Interface'!$K$8:$K$73,1)+1)-INDEX('Curve_Interface'!$K$8:$K$73,MATCH((B24+C24)/2,'Curve_Interface'!$K$8:$K$73,1))))),INDEX('Curve_Interface'!$L$8:$L$73,MATCH((B24+C24)/2,'Curve_Interface'!$K$8:$K$73,1)))</f>
        <v/>
      </c>
      <c r="I24" s="36">
        <f>INDEX(Hazard_Bootstrap!$D$7:$D$12,MIN(COUNTIF(Hazard_Bootstrap!$B$7:$B$12,"&lt;"&amp;C24)+1,6))</f>
        <v/>
      </c>
      <c r="J24" s="36">
        <f>K23</f>
        <v/>
      </c>
      <c r="K24" s="36">
        <f>J24*EXP(-I24*E24)</f>
        <v/>
      </c>
      <c r="L24" s="36">
        <f>J24-K24</f>
        <v/>
      </c>
      <c r="M24" s="36">
        <f>D24*G24*K24</f>
        <v/>
      </c>
      <c r="N24" s="36">
        <f>(D24/2)*H24*L24</f>
        <v/>
      </c>
      <c r="O24" s="36">
        <f>H24*L24</f>
        <v/>
      </c>
    </row>
    <row r="25">
      <c r="A25" s="43" t="n">
        <v>19</v>
      </c>
      <c r="B25" s="18">
        <f>C24</f>
        <v/>
      </c>
      <c r="C25" s="18">
        <f>EDATE('Curve_Interface'!$F$7,3*18)</f>
        <v/>
      </c>
      <c r="D25" s="34">
        <f>(C25-B25)/360</f>
        <v/>
      </c>
      <c r="E25" s="34">
        <f>(C25-B25)/365</f>
        <v/>
      </c>
      <c r="F25" s="34">
        <f>(C25-VAL_DATE)/365</f>
        <v/>
      </c>
      <c r="G25" s="36">
        <f>IFERROR(IF(Curve_Interface!$J$7="Piecewise Linear (Simple)",IF(((C25-VAL_DATE)/360)&lt;=0,1,1/(1+(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+(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-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)*IF(((INDEX('Curve_Interface'!$K$8:$K$73,MATCH(C25,'Curve_Interface'!$K$8:$K$73,1)+1)-VAL_DATE)/360)-((INDEX('Curve_Interface'!$K$8:$K$73,MATCH(C25,'Curve_Interface'!$K$8:$K$73,1))-VAL_DATE)/360)=0,0,(((C25-VAL_DATE)/360)-((INDEX('Curve_Interface'!$K$8:$K$73,MATCH(C25,'Curve_Interface'!$K$8:$K$73,1))-VAL_DATE)/360))/(((INDEX('Curve_Interface'!$K$8:$K$73,MATCH(C25,'Curve_Interface'!$K$8:$K$73,1)+1)-VAL_DATE)/360)-((INDEX('Curve_Interface'!$K$8:$K$73,MATCH(C25,'Curve_Interface'!$K$8:$K$73,1))-VAL_DATE)/360))))*((C25-VAL_DATE)/360))),INDEX('Curve_Interface'!$L$8:$L$73,MATCH(C25,'Curve_Interface'!$K$8:$K$73,1))*(INDEX('Curve_Interface'!$L$8:$L$73,MATCH(C25,'Curve_Interface'!$K$8:$K$73,1)+1)/INDEX('Curve_Interface'!$L$8:$L$73,MATCH(C25,'Curve_Interface'!$K$8:$K$73,1)))^((C25-INDEX('Curve_Interface'!$K$8:$K$73,MATCH(C25,'Curve_Interface'!$K$8:$K$73,1)))/(INDEX('Curve_Interface'!$K$8:$K$73,MATCH(C25,'Curve_Interface'!$K$8:$K$73,1)+1)-INDEX('Curve_Interface'!$K$8:$K$73,MATCH(C25,'Curve_Interface'!$K$8:$K$73,1))))),INDEX('Curve_Interface'!$L$8:$L$73,MATCH(C25,'Curve_Interface'!$K$8:$K$73,1)))</f>
        <v/>
      </c>
      <c r="H25" s="36">
        <f>IFERROR(IF(Curve_Interface!$J$7="Piecewise Linear (Simple)",IF((((B25+C25)/2-VAL_DATE)/360)&lt;=0,1,1/(1+(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+(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-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)*IF(((INDEX('Curve_Interface'!$K$8:$K$73,MATCH((B25+C25)/2,'Curve_Interface'!$K$8:$K$73,1)+1)-VAL_DATE)/360)-((INDEX('Curve_Interface'!$K$8:$K$73,MATCH((B25+C25)/2,'Curve_Interface'!$K$8:$K$73,1))-VAL_DATE)/360)=0,0,((((B25+C25)/2-VAL_DATE)/360)-((INDEX('Curve_Interface'!$K$8:$K$73,MATCH((B25+C25)/2,'Curve_Interface'!$K$8:$K$73,1))-VAL_DATE)/360))/(((INDEX('Curve_Interface'!$K$8:$K$73,MATCH((B25+C25)/2,'Curve_Interface'!$K$8:$K$73,1)+1)-VAL_DATE)/360)-((INDEX('Curve_Interface'!$K$8:$K$73,MATCH((B25+C25)/2,'Curve_Interface'!$K$8:$K$73,1))-VAL_DATE)/360))))*(((B25+C25)/2-VAL_DATE)/360))),INDEX('Curve_Interface'!$L$8:$L$73,MATCH((B25+C25)/2,'Curve_Interface'!$K$8:$K$73,1))*(INDEX('Curve_Interface'!$L$8:$L$73,MATCH((B25+C25)/2,'Curve_Interface'!$K$8:$K$73,1)+1)/INDEX('Curve_Interface'!$L$8:$L$73,MATCH((B25+C25)/2,'Curve_Interface'!$K$8:$K$73,1)))^(((B25+C25)/2-INDEX('Curve_Interface'!$K$8:$K$73,MATCH((B25+C25)/2,'Curve_Interface'!$K$8:$K$73,1)))/(INDEX('Curve_Interface'!$K$8:$K$73,MATCH((B25+C25)/2,'Curve_Interface'!$K$8:$K$73,1)+1)-INDEX('Curve_Interface'!$K$8:$K$73,MATCH((B25+C25)/2,'Curve_Interface'!$K$8:$K$73,1))))),INDEX('Curve_Interface'!$L$8:$L$73,MATCH((B25+C25)/2,'Curve_Interface'!$K$8:$K$73,1)))</f>
        <v/>
      </c>
      <c r="I25" s="36">
        <f>INDEX(Hazard_Bootstrap!$D$7:$D$12,MIN(COUNTIF(Hazard_Bootstrap!$B$7:$B$12,"&lt;"&amp;C25)+1,6))</f>
        <v/>
      </c>
      <c r="J25" s="36">
        <f>K24</f>
        <v/>
      </c>
      <c r="K25" s="36">
        <f>J25*EXP(-I25*E25)</f>
        <v/>
      </c>
      <c r="L25" s="36">
        <f>J25-K25</f>
        <v/>
      </c>
      <c r="M25" s="36">
        <f>D25*G25*K25</f>
        <v/>
      </c>
      <c r="N25" s="36">
        <f>(D25/2)*H25*L25</f>
        <v/>
      </c>
      <c r="O25" s="36">
        <f>H25*L25</f>
        <v/>
      </c>
    </row>
    <row r="26">
      <c r="A26" s="43" t="n">
        <v>20</v>
      </c>
      <c r="B26" s="18">
        <f>C25</f>
        <v/>
      </c>
      <c r="C26" s="18">
        <f>EDATE('Curve_Interface'!$F$7,3*19)</f>
        <v/>
      </c>
      <c r="D26" s="34">
        <f>(C26-B26)/360</f>
        <v/>
      </c>
      <c r="E26" s="34">
        <f>(C26-B26)/365</f>
        <v/>
      </c>
      <c r="F26" s="34">
        <f>(C26-VAL_DATE)/365</f>
        <v/>
      </c>
      <c r="G26" s="36">
        <f>IFERROR(IF(Curve_Interface!$J$7="Piecewise Linear (Simple)",IF(((C26-VAL_DATE)/360)&lt;=0,1,1/(1+(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+(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-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)*IF(((INDEX('Curve_Interface'!$K$8:$K$73,MATCH(C26,'Curve_Interface'!$K$8:$K$73,1)+1)-VAL_DATE)/360)-((INDEX('Curve_Interface'!$K$8:$K$73,MATCH(C26,'Curve_Interface'!$K$8:$K$73,1))-VAL_DATE)/360)=0,0,(((C26-VAL_DATE)/360)-((INDEX('Curve_Interface'!$K$8:$K$73,MATCH(C26,'Curve_Interface'!$K$8:$K$73,1))-VAL_DATE)/360))/(((INDEX('Curve_Interface'!$K$8:$K$73,MATCH(C26,'Curve_Interface'!$K$8:$K$73,1)+1)-VAL_DATE)/360)-((INDEX('Curve_Interface'!$K$8:$K$73,MATCH(C26,'Curve_Interface'!$K$8:$K$73,1))-VAL_DATE)/360))))*((C26-VAL_DATE)/360))),INDEX('Curve_Interface'!$L$8:$L$73,MATCH(C26,'Curve_Interface'!$K$8:$K$73,1))*(INDEX('Curve_Interface'!$L$8:$L$73,MATCH(C26,'Curve_Interface'!$K$8:$K$73,1)+1)/INDEX('Curve_Interface'!$L$8:$L$73,MATCH(C26,'Curve_Interface'!$K$8:$K$73,1)))^((C26-INDEX('Curve_Interface'!$K$8:$K$73,MATCH(C26,'Curve_Interface'!$K$8:$K$73,1)))/(INDEX('Curve_Interface'!$K$8:$K$73,MATCH(C26,'Curve_Interface'!$K$8:$K$73,1)+1)-INDEX('Curve_Interface'!$K$8:$K$73,MATCH(C26,'Curve_Interface'!$K$8:$K$73,1))))),INDEX('Curve_Interface'!$L$8:$L$73,MATCH(C26,'Curve_Interface'!$K$8:$K$73,1)))</f>
        <v/>
      </c>
      <c r="H26" s="36">
        <f>IFERROR(IF(Curve_Interface!$J$7="Piecewise Linear (Simple)",IF((((B26+C26)/2-VAL_DATE)/360)&lt;=0,1,1/(1+(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+(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-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)*IF(((INDEX('Curve_Interface'!$K$8:$K$73,MATCH((B26+C26)/2,'Curve_Interface'!$K$8:$K$73,1)+1)-VAL_DATE)/360)-((INDEX('Curve_Interface'!$K$8:$K$73,MATCH((B26+C26)/2,'Curve_Interface'!$K$8:$K$73,1))-VAL_DATE)/360)=0,0,((((B26+C26)/2-VAL_DATE)/360)-((INDEX('Curve_Interface'!$K$8:$K$73,MATCH((B26+C26)/2,'Curve_Interface'!$K$8:$K$73,1))-VAL_DATE)/360))/(((INDEX('Curve_Interface'!$K$8:$K$73,MATCH((B26+C26)/2,'Curve_Interface'!$K$8:$K$73,1)+1)-VAL_DATE)/360)-((INDEX('Curve_Interface'!$K$8:$K$73,MATCH((B26+C26)/2,'Curve_Interface'!$K$8:$K$73,1))-VAL_DATE)/360))))*(((B26+C26)/2-VAL_DATE)/360))),INDEX('Curve_Interface'!$L$8:$L$73,MATCH((B26+C26)/2,'Curve_Interface'!$K$8:$K$73,1))*(INDEX('Curve_Interface'!$L$8:$L$73,MATCH((B26+C26)/2,'Curve_Interface'!$K$8:$K$73,1)+1)/INDEX('Curve_Interface'!$L$8:$L$73,MATCH((B26+C26)/2,'Curve_Interface'!$K$8:$K$73,1)))^(((B26+C26)/2-INDEX('Curve_Interface'!$K$8:$K$73,MATCH((B26+C26)/2,'Curve_Interface'!$K$8:$K$73,1)))/(INDEX('Curve_Interface'!$K$8:$K$73,MATCH((B26+C26)/2,'Curve_Interface'!$K$8:$K$73,1)+1)-INDEX('Curve_Interface'!$K$8:$K$73,MATCH((B26+C26)/2,'Curve_Interface'!$K$8:$K$73,1))))),INDEX('Curve_Interface'!$L$8:$L$73,MATCH((B26+C26)/2,'Curve_Interface'!$K$8:$K$73,1)))</f>
        <v/>
      </c>
      <c r="I26" s="36">
        <f>INDEX(Hazard_Bootstrap!$D$7:$D$12,MIN(COUNTIF(Hazard_Bootstrap!$B$7:$B$12,"&lt;"&amp;C26)+1,6))</f>
        <v/>
      </c>
      <c r="J26" s="36">
        <f>K25</f>
        <v/>
      </c>
      <c r="K26" s="36">
        <f>J26*EXP(-I26*E26)</f>
        <v/>
      </c>
      <c r="L26" s="36">
        <f>J26-K26</f>
        <v/>
      </c>
      <c r="M26" s="36">
        <f>D26*G26*K26</f>
        <v/>
      </c>
      <c r="N26" s="36">
        <f>(D26/2)*H26*L26</f>
        <v/>
      </c>
      <c r="O26" s="36">
        <f>H26*L26</f>
        <v/>
      </c>
    </row>
    <row r="27">
      <c r="A27" s="43" t="n">
        <v>21</v>
      </c>
      <c r="B27" s="18">
        <f>C26</f>
        <v/>
      </c>
      <c r="C27" s="18">
        <f>EDATE('Curve_Interface'!$F$7,3*20)</f>
        <v/>
      </c>
      <c r="D27" s="34">
        <f>(C27-B27)/360</f>
        <v/>
      </c>
      <c r="E27" s="34">
        <f>(C27-B27)/365</f>
        <v/>
      </c>
      <c r="F27" s="34">
        <f>(C27-VAL_DATE)/365</f>
        <v/>
      </c>
      <c r="G27" s="36">
        <f>IFERROR(IF(Curve_Interface!$J$7="Piecewise Linear (Simple)",IF(((C27-VAL_DATE)/360)&lt;=0,1,1/(1+(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+(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-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)*IF(((INDEX('Curve_Interface'!$K$8:$K$73,MATCH(C27,'Curve_Interface'!$K$8:$K$73,1)+1)-VAL_DATE)/360)-((INDEX('Curve_Interface'!$K$8:$K$73,MATCH(C27,'Curve_Interface'!$K$8:$K$73,1))-VAL_DATE)/360)=0,0,(((C27-VAL_DATE)/360)-((INDEX('Curve_Interface'!$K$8:$K$73,MATCH(C27,'Curve_Interface'!$K$8:$K$73,1))-VAL_DATE)/360))/(((INDEX('Curve_Interface'!$K$8:$K$73,MATCH(C27,'Curve_Interface'!$K$8:$K$73,1)+1)-VAL_DATE)/360)-((INDEX('Curve_Interface'!$K$8:$K$73,MATCH(C27,'Curve_Interface'!$K$8:$K$73,1))-VAL_DATE)/360))))*((C27-VAL_DATE)/360))),INDEX('Curve_Interface'!$L$8:$L$73,MATCH(C27,'Curve_Interface'!$K$8:$K$73,1))*(INDEX('Curve_Interface'!$L$8:$L$73,MATCH(C27,'Curve_Interface'!$K$8:$K$73,1)+1)/INDEX('Curve_Interface'!$L$8:$L$73,MATCH(C27,'Curve_Interface'!$K$8:$K$73,1)))^((C27-INDEX('Curve_Interface'!$K$8:$K$73,MATCH(C27,'Curve_Interface'!$K$8:$K$73,1)))/(INDEX('Curve_Interface'!$K$8:$K$73,MATCH(C27,'Curve_Interface'!$K$8:$K$73,1)+1)-INDEX('Curve_Interface'!$K$8:$K$73,MATCH(C27,'Curve_Interface'!$K$8:$K$73,1))))),INDEX('Curve_Interface'!$L$8:$L$73,MATCH(C27,'Curve_Interface'!$K$8:$K$73,1)))</f>
        <v/>
      </c>
      <c r="H27" s="36">
        <f>IFERROR(IF(Curve_Interface!$J$7="Piecewise Linear (Simple)",IF((((B27+C27)/2-VAL_DATE)/360)&lt;=0,1,1/(1+(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+(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-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)*IF(((INDEX('Curve_Interface'!$K$8:$K$73,MATCH((B27+C27)/2,'Curve_Interface'!$K$8:$K$73,1)+1)-VAL_DATE)/360)-((INDEX('Curve_Interface'!$K$8:$K$73,MATCH((B27+C27)/2,'Curve_Interface'!$K$8:$K$73,1))-VAL_DATE)/360)=0,0,((((B27+C27)/2-VAL_DATE)/360)-((INDEX('Curve_Interface'!$K$8:$K$73,MATCH((B27+C27)/2,'Curve_Interface'!$K$8:$K$73,1))-VAL_DATE)/360))/(((INDEX('Curve_Interface'!$K$8:$K$73,MATCH((B27+C27)/2,'Curve_Interface'!$K$8:$K$73,1)+1)-VAL_DATE)/360)-((INDEX('Curve_Interface'!$K$8:$K$73,MATCH((B27+C27)/2,'Curve_Interface'!$K$8:$K$73,1))-VAL_DATE)/360))))*(((B27+C27)/2-VAL_DATE)/360))),INDEX('Curve_Interface'!$L$8:$L$73,MATCH((B27+C27)/2,'Curve_Interface'!$K$8:$K$73,1))*(INDEX('Curve_Interface'!$L$8:$L$73,MATCH((B27+C27)/2,'Curve_Interface'!$K$8:$K$73,1)+1)/INDEX('Curve_Interface'!$L$8:$L$73,MATCH((B27+C27)/2,'Curve_Interface'!$K$8:$K$73,1)))^(((B27+C27)/2-INDEX('Curve_Interface'!$K$8:$K$73,MATCH((B27+C27)/2,'Curve_Interface'!$K$8:$K$73,1)))/(INDEX('Curve_Interface'!$K$8:$K$73,MATCH((B27+C27)/2,'Curve_Interface'!$K$8:$K$73,1)+1)-INDEX('Curve_Interface'!$K$8:$K$73,MATCH((B27+C27)/2,'Curve_Interface'!$K$8:$K$73,1))))),INDEX('Curve_Interface'!$L$8:$L$73,MATCH((B27+C27)/2,'Curve_Interface'!$K$8:$K$73,1)))</f>
        <v/>
      </c>
      <c r="I27" s="36">
        <f>INDEX(Hazard_Bootstrap!$D$7:$D$12,MIN(COUNTIF(Hazard_Bootstrap!$B$7:$B$12,"&lt;"&amp;C27)+1,6))</f>
        <v/>
      </c>
      <c r="J27" s="36">
        <f>K26</f>
        <v/>
      </c>
      <c r="K27" s="36">
        <f>J27*EXP(-I27*E27)</f>
        <v/>
      </c>
      <c r="L27" s="36">
        <f>J27-K27</f>
        <v/>
      </c>
      <c r="M27" s="36">
        <f>D27*G27*K27</f>
        <v/>
      </c>
      <c r="N27" s="36">
        <f>(D27/2)*H27*L27</f>
        <v/>
      </c>
      <c r="O27" s="36">
        <f>H27*L27</f>
        <v/>
      </c>
    </row>
    <row r="28">
      <c r="A28" s="43" t="n">
        <v>22</v>
      </c>
      <c r="B28" s="18">
        <f>C27</f>
        <v/>
      </c>
      <c r="C28" s="18">
        <f>EDATE('Curve_Interface'!$F$7,3*21)</f>
        <v/>
      </c>
      <c r="D28" s="34">
        <f>(C28-B28)/360</f>
        <v/>
      </c>
      <c r="E28" s="34">
        <f>(C28-B28)/365</f>
        <v/>
      </c>
      <c r="F28" s="34">
        <f>(C28-VAL_DATE)/365</f>
        <v/>
      </c>
      <c r="G28" s="36">
        <f>IFERROR(IF(Curve_Interface!$J$7="Piecewise Linear (Simple)",IF(((C28-VAL_DATE)/360)&lt;=0,1,1/(1+(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+(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-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)*IF(((INDEX('Curve_Interface'!$K$8:$K$73,MATCH(C28,'Curve_Interface'!$K$8:$K$73,1)+1)-VAL_DATE)/360)-((INDEX('Curve_Interface'!$K$8:$K$73,MATCH(C28,'Curve_Interface'!$K$8:$K$73,1))-VAL_DATE)/360)=0,0,(((C28-VAL_DATE)/360)-((INDEX('Curve_Interface'!$K$8:$K$73,MATCH(C28,'Curve_Interface'!$K$8:$K$73,1))-VAL_DATE)/360))/(((INDEX('Curve_Interface'!$K$8:$K$73,MATCH(C28,'Curve_Interface'!$K$8:$K$73,1)+1)-VAL_DATE)/360)-((INDEX('Curve_Interface'!$K$8:$K$73,MATCH(C28,'Curve_Interface'!$K$8:$K$73,1))-VAL_DATE)/360))))*((C28-VAL_DATE)/360))),INDEX('Curve_Interface'!$L$8:$L$73,MATCH(C28,'Curve_Interface'!$K$8:$K$73,1))*(INDEX('Curve_Interface'!$L$8:$L$73,MATCH(C28,'Curve_Interface'!$K$8:$K$73,1)+1)/INDEX('Curve_Interface'!$L$8:$L$73,MATCH(C28,'Curve_Interface'!$K$8:$K$73,1)))^((C28-INDEX('Curve_Interface'!$K$8:$K$73,MATCH(C28,'Curve_Interface'!$K$8:$K$73,1)))/(INDEX('Curve_Interface'!$K$8:$K$73,MATCH(C28,'Curve_Interface'!$K$8:$K$73,1)+1)-INDEX('Curve_Interface'!$K$8:$K$73,MATCH(C28,'Curve_Interface'!$K$8:$K$73,1))))),INDEX('Curve_Interface'!$L$8:$L$73,MATCH(C28,'Curve_Interface'!$K$8:$K$73,1)))</f>
        <v/>
      </c>
      <c r="H28" s="36">
        <f>IFERROR(IF(Curve_Interface!$J$7="Piecewise Linear (Simple)",IF((((B28+C28)/2-VAL_DATE)/360)&lt;=0,1,1/(1+(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+(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-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)*IF(((INDEX('Curve_Interface'!$K$8:$K$73,MATCH((B28+C28)/2,'Curve_Interface'!$K$8:$K$73,1)+1)-VAL_DATE)/360)-((INDEX('Curve_Interface'!$K$8:$K$73,MATCH((B28+C28)/2,'Curve_Interface'!$K$8:$K$73,1))-VAL_DATE)/360)=0,0,((((B28+C28)/2-VAL_DATE)/360)-((INDEX('Curve_Interface'!$K$8:$K$73,MATCH((B28+C28)/2,'Curve_Interface'!$K$8:$K$73,1))-VAL_DATE)/360))/(((INDEX('Curve_Interface'!$K$8:$K$73,MATCH((B28+C28)/2,'Curve_Interface'!$K$8:$K$73,1)+1)-VAL_DATE)/360)-((INDEX('Curve_Interface'!$K$8:$K$73,MATCH((B28+C28)/2,'Curve_Interface'!$K$8:$K$73,1))-VAL_DATE)/360))))*(((B28+C28)/2-VAL_DATE)/360))),INDEX('Curve_Interface'!$L$8:$L$73,MATCH((B28+C28)/2,'Curve_Interface'!$K$8:$K$73,1))*(INDEX('Curve_Interface'!$L$8:$L$73,MATCH((B28+C28)/2,'Curve_Interface'!$K$8:$K$73,1)+1)/INDEX('Curve_Interface'!$L$8:$L$73,MATCH((B28+C28)/2,'Curve_Interface'!$K$8:$K$73,1)))^(((B28+C28)/2-INDEX('Curve_Interface'!$K$8:$K$73,MATCH((B28+C28)/2,'Curve_Interface'!$K$8:$K$73,1)))/(INDEX('Curve_Interface'!$K$8:$K$73,MATCH((B28+C28)/2,'Curve_Interface'!$K$8:$K$73,1)+1)-INDEX('Curve_Interface'!$K$8:$K$73,MATCH((B28+C28)/2,'Curve_Interface'!$K$8:$K$73,1))))),INDEX('Curve_Interface'!$L$8:$L$73,MATCH((B28+C28)/2,'Curve_Interface'!$K$8:$K$73,1)))</f>
        <v/>
      </c>
      <c r="I28" s="36">
        <f>INDEX(Hazard_Bootstrap!$D$7:$D$12,MIN(COUNTIF(Hazard_Bootstrap!$B$7:$B$12,"&lt;"&amp;C28)+1,6))</f>
        <v/>
      </c>
      <c r="J28" s="36">
        <f>K27</f>
        <v/>
      </c>
      <c r="K28" s="36">
        <f>J28*EXP(-I28*E28)</f>
        <v/>
      </c>
      <c r="L28" s="36">
        <f>J28-K28</f>
        <v/>
      </c>
      <c r="M28" s="36">
        <f>D28*G28*K28</f>
        <v/>
      </c>
      <c r="N28" s="36">
        <f>(D28/2)*H28*L28</f>
        <v/>
      </c>
      <c r="O28" s="36">
        <f>H28*L28</f>
        <v/>
      </c>
    </row>
    <row r="29">
      <c r="A29" s="43" t="n">
        <v>23</v>
      </c>
      <c r="B29" s="18">
        <f>C28</f>
        <v/>
      </c>
      <c r="C29" s="18">
        <f>EDATE('Curve_Interface'!$F$7,3*22)</f>
        <v/>
      </c>
      <c r="D29" s="34">
        <f>(C29-B29)/360</f>
        <v/>
      </c>
      <c r="E29" s="34">
        <f>(C29-B29)/365</f>
        <v/>
      </c>
      <c r="F29" s="34">
        <f>(C29-VAL_DATE)/365</f>
        <v/>
      </c>
      <c r="G29" s="36">
        <f>IFERROR(IF(Curve_Interface!$J$7="Piecewise Linear (Simple)",IF(((C29-VAL_DATE)/360)&lt;=0,1,1/(1+(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+(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-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)*IF(((INDEX('Curve_Interface'!$K$8:$K$73,MATCH(C29,'Curve_Interface'!$K$8:$K$73,1)+1)-VAL_DATE)/360)-((INDEX('Curve_Interface'!$K$8:$K$73,MATCH(C29,'Curve_Interface'!$K$8:$K$73,1))-VAL_DATE)/360)=0,0,(((C29-VAL_DATE)/360)-((INDEX('Curve_Interface'!$K$8:$K$73,MATCH(C29,'Curve_Interface'!$K$8:$K$73,1))-VAL_DATE)/360))/(((INDEX('Curve_Interface'!$K$8:$K$73,MATCH(C29,'Curve_Interface'!$K$8:$K$73,1)+1)-VAL_DATE)/360)-((INDEX('Curve_Interface'!$K$8:$K$73,MATCH(C29,'Curve_Interface'!$K$8:$K$73,1))-VAL_DATE)/360))))*((C29-VAL_DATE)/360))),INDEX('Curve_Interface'!$L$8:$L$73,MATCH(C29,'Curve_Interface'!$K$8:$K$73,1))*(INDEX('Curve_Interface'!$L$8:$L$73,MATCH(C29,'Curve_Interface'!$K$8:$K$73,1)+1)/INDEX('Curve_Interface'!$L$8:$L$73,MATCH(C29,'Curve_Interface'!$K$8:$K$73,1)))^((C29-INDEX('Curve_Interface'!$K$8:$K$73,MATCH(C29,'Curve_Interface'!$K$8:$K$73,1)))/(INDEX('Curve_Interface'!$K$8:$K$73,MATCH(C29,'Curve_Interface'!$K$8:$K$73,1)+1)-INDEX('Curve_Interface'!$K$8:$K$73,MATCH(C29,'Curve_Interface'!$K$8:$K$73,1))))),INDEX('Curve_Interface'!$L$8:$L$73,MATCH(C29,'Curve_Interface'!$K$8:$K$73,1)))</f>
        <v/>
      </c>
      <c r="H29" s="36">
        <f>IFERROR(IF(Curve_Interface!$J$7="Piecewise Linear (Simple)",IF((((B29+C29)/2-VAL_DATE)/360)&lt;=0,1,1/(1+(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+(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-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)*IF(((INDEX('Curve_Interface'!$K$8:$K$73,MATCH((B29+C29)/2,'Curve_Interface'!$K$8:$K$73,1)+1)-VAL_DATE)/360)-((INDEX('Curve_Interface'!$K$8:$K$73,MATCH((B29+C29)/2,'Curve_Interface'!$K$8:$K$73,1))-VAL_DATE)/360)=0,0,((((B29+C29)/2-VAL_DATE)/360)-((INDEX('Curve_Interface'!$K$8:$K$73,MATCH((B29+C29)/2,'Curve_Interface'!$K$8:$K$73,1))-VAL_DATE)/360))/(((INDEX('Curve_Interface'!$K$8:$K$73,MATCH((B29+C29)/2,'Curve_Interface'!$K$8:$K$73,1)+1)-VAL_DATE)/360)-((INDEX('Curve_Interface'!$K$8:$K$73,MATCH((B29+C29)/2,'Curve_Interface'!$K$8:$K$73,1))-VAL_DATE)/360))))*(((B29+C29)/2-VAL_DATE)/360))),INDEX('Curve_Interface'!$L$8:$L$73,MATCH((B29+C29)/2,'Curve_Interface'!$K$8:$K$73,1))*(INDEX('Curve_Interface'!$L$8:$L$73,MATCH((B29+C29)/2,'Curve_Interface'!$K$8:$K$73,1)+1)/INDEX('Curve_Interface'!$L$8:$L$73,MATCH((B29+C29)/2,'Curve_Interface'!$K$8:$K$73,1)))^(((B29+C29)/2-INDEX('Curve_Interface'!$K$8:$K$73,MATCH((B29+C29)/2,'Curve_Interface'!$K$8:$K$73,1)))/(INDEX('Curve_Interface'!$K$8:$K$73,MATCH((B29+C29)/2,'Curve_Interface'!$K$8:$K$73,1)+1)-INDEX('Curve_Interface'!$K$8:$K$73,MATCH((B29+C29)/2,'Curve_Interface'!$K$8:$K$73,1))))),INDEX('Curve_Interface'!$L$8:$L$73,MATCH((B29+C29)/2,'Curve_Interface'!$K$8:$K$73,1)))</f>
        <v/>
      </c>
      <c r="I29" s="36">
        <f>INDEX(Hazard_Bootstrap!$D$7:$D$12,MIN(COUNTIF(Hazard_Bootstrap!$B$7:$B$12,"&lt;"&amp;C29)+1,6))</f>
        <v/>
      </c>
      <c r="J29" s="36">
        <f>K28</f>
        <v/>
      </c>
      <c r="K29" s="36">
        <f>J29*EXP(-I29*E29)</f>
        <v/>
      </c>
      <c r="L29" s="36">
        <f>J29-K29</f>
        <v/>
      </c>
      <c r="M29" s="36">
        <f>D29*G29*K29</f>
        <v/>
      </c>
      <c r="N29" s="36">
        <f>(D29/2)*H29*L29</f>
        <v/>
      </c>
      <c r="O29" s="36">
        <f>H29*L29</f>
        <v/>
      </c>
    </row>
    <row r="30">
      <c r="A30" s="43" t="n">
        <v>24</v>
      </c>
      <c r="B30" s="18">
        <f>C29</f>
        <v/>
      </c>
      <c r="C30" s="18">
        <f>EDATE('Curve_Interface'!$F$7,3*23)</f>
        <v/>
      </c>
      <c r="D30" s="34">
        <f>(C30-B30)/360</f>
        <v/>
      </c>
      <c r="E30" s="34">
        <f>(C30-B30)/365</f>
        <v/>
      </c>
      <c r="F30" s="34">
        <f>(C30-VAL_DATE)/365</f>
        <v/>
      </c>
      <c r="G30" s="36">
        <f>IFERROR(IF(Curve_Interface!$J$7="Piecewise Linear (Simple)",IF(((C30-VAL_DATE)/360)&lt;=0,1,1/(1+(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+(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-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)*IF(((INDEX('Curve_Interface'!$K$8:$K$73,MATCH(C30,'Curve_Interface'!$K$8:$K$73,1)+1)-VAL_DATE)/360)-((INDEX('Curve_Interface'!$K$8:$K$73,MATCH(C30,'Curve_Interface'!$K$8:$K$73,1))-VAL_DATE)/360)=0,0,(((C30-VAL_DATE)/360)-((INDEX('Curve_Interface'!$K$8:$K$73,MATCH(C30,'Curve_Interface'!$K$8:$K$73,1))-VAL_DATE)/360))/(((INDEX('Curve_Interface'!$K$8:$K$73,MATCH(C30,'Curve_Interface'!$K$8:$K$73,1)+1)-VAL_DATE)/360)-((INDEX('Curve_Interface'!$K$8:$K$73,MATCH(C30,'Curve_Interface'!$K$8:$K$73,1))-VAL_DATE)/360))))*((C30-VAL_DATE)/360))),INDEX('Curve_Interface'!$L$8:$L$73,MATCH(C30,'Curve_Interface'!$K$8:$K$73,1))*(INDEX('Curve_Interface'!$L$8:$L$73,MATCH(C30,'Curve_Interface'!$K$8:$K$73,1)+1)/INDEX('Curve_Interface'!$L$8:$L$73,MATCH(C30,'Curve_Interface'!$K$8:$K$73,1)))^((C30-INDEX('Curve_Interface'!$K$8:$K$73,MATCH(C30,'Curve_Interface'!$K$8:$K$73,1)))/(INDEX('Curve_Interface'!$K$8:$K$73,MATCH(C30,'Curve_Interface'!$K$8:$K$73,1)+1)-INDEX('Curve_Interface'!$K$8:$K$73,MATCH(C30,'Curve_Interface'!$K$8:$K$73,1))))),INDEX('Curve_Interface'!$L$8:$L$73,MATCH(C30,'Curve_Interface'!$K$8:$K$73,1)))</f>
        <v/>
      </c>
      <c r="H30" s="36">
        <f>IFERROR(IF(Curve_Interface!$J$7="Piecewise Linear (Simple)",IF((((B30+C30)/2-VAL_DATE)/360)&lt;=0,1,1/(1+(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+(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-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)*IF(((INDEX('Curve_Interface'!$K$8:$K$73,MATCH((B30+C30)/2,'Curve_Interface'!$K$8:$K$73,1)+1)-VAL_DATE)/360)-((INDEX('Curve_Interface'!$K$8:$K$73,MATCH((B30+C30)/2,'Curve_Interface'!$K$8:$K$73,1))-VAL_DATE)/360)=0,0,((((B30+C30)/2-VAL_DATE)/360)-((INDEX('Curve_Interface'!$K$8:$K$73,MATCH((B30+C30)/2,'Curve_Interface'!$K$8:$K$73,1))-VAL_DATE)/360))/(((INDEX('Curve_Interface'!$K$8:$K$73,MATCH((B30+C30)/2,'Curve_Interface'!$K$8:$K$73,1)+1)-VAL_DATE)/360)-((INDEX('Curve_Interface'!$K$8:$K$73,MATCH((B30+C30)/2,'Curve_Interface'!$K$8:$K$73,1))-VAL_DATE)/360))))*(((B30+C30)/2-VAL_DATE)/360))),INDEX('Curve_Interface'!$L$8:$L$73,MATCH((B30+C30)/2,'Curve_Interface'!$K$8:$K$73,1))*(INDEX('Curve_Interface'!$L$8:$L$73,MATCH((B30+C30)/2,'Curve_Interface'!$K$8:$K$73,1)+1)/INDEX('Curve_Interface'!$L$8:$L$73,MATCH((B30+C30)/2,'Curve_Interface'!$K$8:$K$73,1)))^(((B30+C30)/2-INDEX('Curve_Interface'!$K$8:$K$73,MATCH((B30+C30)/2,'Curve_Interface'!$K$8:$K$73,1)))/(INDEX('Curve_Interface'!$K$8:$K$73,MATCH((B30+C30)/2,'Curve_Interface'!$K$8:$K$73,1)+1)-INDEX('Curve_Interface'!$K$8:$K$73,MATCH((B30+C30)/2,'Curve_Interface'!$K$8:$K$73,1))))),INDEX('Curve_Interface'!$L$8:$L$73,MATCH((B30+C30)/2,'Curve_Interface'!$K$8:$K$73,1)))</f>
        <v/>
      </c>
      <c r="I30" s="36">
        <f>INDEX(Hazard_Bootstrap!$D$7:$D$12,MIN(COUNTIF(Hazard_Bootstrap!$B$7:$B$12,"&lt;"&amp;C30)+1,6))</f>
        <v/>
      </c>
      <c r="J30" s="36">
        <f>K29</f>
        <v/>
      </c>
      <c r="K30" s="36">
        <f>J30*EXP(-I30*E30)</f>
        <v/>
      </c>
      <c r="L30" s="36">
        <f>J30-K30</f>
        <v/>
      </c>
      <c r="M30" s="36">
        <f>D30*G30*K30</f>
        <v/>
      </c>
      <c r="N30" s="36">
        <f>(D30/2)*H30*L30</f>
        <v/>
      </c>
      <c r="O30" s="36">
        <f>H30*L30</f>
        <v/>
      </c>
    </row>
    <row r="31">
      <c r="A31" s="43" t="n">
        <v>25</v>
      </c>
      <c r="B31" s="18">
        <f>C30</f>
        <v/>
      </c>
      <c r="C31" s="18">
        <f>EDATE('Curve_Interface'!$F$7,3*24)</f>
        <v/>
      </c>
      <c r="D31" s="34">
        <f>(C31-B31)/360</f>
        <v/>
      </c>
      <c r="E31" s="34">
        <f>(C31-B31)/365</f>
        <v/>
      </c>
      <c r="F31" s="34">
        <f>(C31-VAL_DATE)/365</f>
        <v/>
      </c>
      <c r="G31" s="36">
        <f>IFERROR(IF(Curve_Interface!$J$7="Piecewise Linear (Simple)",IF(((C31-VAL_DATE)/360)&lt;=0,1,1/(1+(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+(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-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)*IF(((INDEX('Curve_Interface'!$K$8:$K$73,MATCH(C31,'Curve_Interface'!$K$8:$K$73,1)+1)-VAL_DATE)/360)-((INDEX('Curve_Interface'!$K$8:$K$73,MATCH(C31,'Curve_Interface'!$K$8:$K$73,1))-VAL_DATE)/360)=0,0,(((C31-VAL_DATE)/360)-((INDEX('Curve_Interface'!$K$8:$K$73,MATCH(C31,'Curve_Interface'!$K$8:$K$73,1))-VAL_DATE)/360))/(((INDEX('Curve_Interface'!$K$8:$K$73,MATCH(C31,'Curve_Interface'!$K$8:$K$73,1)+1)-VAL_DATE)/360)-((INDEX('Curve_Interface'!$K$8:$K$73,MATCH(C31,'Curve_Interface'!$K$8:$K$73,1))-VAL_DATE)/360))))*((C31-VAL_DATE)/360))),INDEX('Curve_Interface'!$L$8:$L$73,MATCH(C31,'Curve_Interface'!$K$8:$K$73,1))*(INDEX('Curve_Interface'!$L$8:$L$73,MATCH(C31,'Curve_Interface'!$K$8:$K$73,1)+1)/INDEX('Curve_Interface'!$L$8:$L$73,MATCH(C31,'Curve_Interface'!$K$8:$K$73,1)))^((C31-INDEX('Curve_Interface'!$K$8:$K$73,MATCH(C31,'Curve_Interface'!$K$8:$K$73,1)))/(INDEX('Curve_Interface'!$K$8:$K$73,MATCH(C31,'Curve_Interface'!$K$8:$K$73,1)+1)-INDEX('Curve_Interface'!$K$8:$K$73,MATCH(C31,'Curve_Interface'!$K$8:$K$73,1))))),INDEX('Curve_Interface'!$L$8:$L$73,MATCH(C31,'Curve_Interface'!$K$8:$K$73,1)))</f>
        <v/>
      </c>
      <c r="H31" s="36">
        <f>IFERROR(IF(Curve_Interface!$J$7="Piecewise Linear (Simple)",IF((((B31+C31)/2-VAL_DATE)/360)&lt;=0,1,1/(1+(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+(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-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)*IF(((INDEX('Curve_Interface'!$K$8:$K$73,MATCH((B31+C31)/2,'Curve_Interface'!$K$8:$K$73,1)+1)-VAL_DATE)/360)-((INDEX('Curve_Interface'!$K$8:$K$73,MATCH((B31+C31)/2,'Curve_Interface'!$K$8:$K$73,1))-VAL_DATE)/360)=0,0,((((B31+C31)/2-VAL_DATE)/360)-((INDEX('Curve_Interface'!$K$8:$K$73,MATCH((B31+C31)/2,'Curve_Interface'!$K$8:$K$73,1))-VAL_DATE)/360))/(((INDEX('Curve_Interface'!$K$8:$K$73,MATCH((B31+C31)/2,'Curve_Interface'!$K$8:$K$73,1)+1)-VAL_DATE)/360)-((INDEX('Curve_Interface'!$K$8:$K$73,MATCH((B31+C31)/2,'Curve_Interface'!$K$8:$K$73,1))-VAL_DATE)/360))))*(((B31+C31)/2-VAL_DATE)/360))),INDEX('Curve_Interface'!$L$8:$L$73,MATCH((B31+C31)/2,'Curve_Interface'!$K$8:$K$73,1))*(INDEX('Curve_Interface'!$L$8:$L$73,MATCH((B31+C31)/2,'Curve_Interface'!$K$8:$K$73,1)+1)/INDEX('Curve_Interface'!$L$8:$L$73,MATCH((B31+C31)/2,'Curve_Interface'!$K$8:$K$73,1)))^(((B31+C31)/2-INDEX('Curve_Interface'!$K$8:$K$73,MATCH((B31+C31)/2,'Curve_Interface'!$K$8:$K$73,1)))/(INDEX('Curve_Interface'!$K$8:$K$73,MATCH((B31+C31)/2,'Curve_Interface'!$K$8:$K$73,1)+1)-INDEX('Curve_Interface'!$K$8:$K$73,MATCH((B31+C31)/2,'Curve_Interface'!$K$8:$K$73,1))))),INDEX('Curve_Interface'!$L$8:$L$73,MATCH((B31+C31)/2,'Curve_Interface'!$K$8:$K$73,1)))</f>
        <v/>
      </c>
      <c r="I31" s="36">
        <f>INDEX(Hazard_Bootstrap!$D$7:$D$12,MIN(COUNTIF(Hazard_Bootstrap!$B$7:$B$12,"&lt;"&amp;C31)+1,6))</f>
        <v/>
      </c>
      <c r="J31" s="36">
        <f>K30</f>
        <v/>
      </c>
      <c r="K31" s="36">
        <f>J31*EXP(-I31*E31)</f>
        <v/>
      </c>
      <c r="L31" s="36">
        <f>J31-K31</f>
        <v/>
      </c>
      <c r="M31" s="36">
        <f>D31*G31*K31</f>
        <v/>
      </c>
      <c r="N31" s="36">
        <f>(D31/2)*H31*L31</f>
        <v/>
      </c>
      <c r="O31" s="36">
        <f>H31*L31</f>
        <v/>
      </c>
    </row>
    <row r="32">
      <c r="A32" s="43" t="n">
        <v>26</v>
      </c>
      <c r="B32" s="18">
        <f>C31</f>
        <v/>
      </c>
      <c r="C32" s="18">
        <f>EDATE('Curve_Interface'!$F$7,3*25)</f>
        <v/>
      </c>
      <c r="D32" s="34">
        <f>(C32-B32)/360</f>
        <v/>
      </c>
      <c r="E32" s="34">
        <f>(C32-B32)/365</f>
        <v/>
      </c>
      <c r="F32" s="34">
        <f>(C32-VAL_DATE)/365</f>
        <v/>
      </c>
      <c r="G32" s="36">
        <f>IFERROR(IF(Curve_Interface!$J$7="Piecewise Linear (Simple)",IF(((C32-VAL_DATE)/360)&lt;=0,1,1/(1+(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+(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-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)*IF(((INDEX('Curve_Interface'!$K$8:$K$73,MATCH(C32,'Curve_Interface'!$K$8:$K$73,1)+1)-VAL_DATE)/360)-((INDEX('Curve_Interface'!$K$8:$K$73,MATCH(C32,'Curve_Interface'!$K$8:$K$73,1))-VAL_DATE)/360)=0,0,(((C32-VAL_DATE)/360)-((INDEX('Curve_Interface'!$K$8:$K$73,MATCH(C32,'Curve_Interface'!$K$8:$K$73,1))-VAL_DATE)/360))/(((INDEX('Curve_Interface'!$K$8:$K$73,MATCH(C32,'Curve_Interface'!$K$8:$K$73,1)+1)-VAL_DATE)/360)-((INDEX('Curve_Interface'!$K$8:$K$73,MATCH(C32,'Curve_Interface'!$K$8:$K$73,1))-VAL_DATE)/360))))*((C32-VAL_DATE)/360))),INDEX('Curve_Interface'!$L$8:$L$73,MATCH(C32,'Curve_Interface'!$K$8:$K$73,1))*(INDEX('Curve_Interface'!$L$8:$L$73,MATCH(C32,'Curve_Interface'!$K$8:$K$73,1)+1)/INDEX('Curve_Interface'!$L$8:$L$73,MATCH(C32,'Curve_Interface'!$K$8:$K$73,1)))^((C32-INDEX('Curve_Interface'!$K$8:$K$73,MATCH(C32,'Curve_Interface'!$K$8:$K$73,1)))/(INDEX('Curve_Interface'!$K$8:$K$73,MATCH(C32,'Curve_Interface'!$K$8:$K$73,1)+1)-INDEX('Curve_Interface'!$K$8:$K$73,MATCH(C32,'Curve_Interface'!$K$8:$K$73,1))))),INDEX('Curve_Interface'!$L$8:$L$73,MATCH(C32,'Curve_Interface'!$K$8:$K$73,1)))</f>
        <v/>
      </c>
      <c r="H32" s="36">
        <f>IFERROR(IF(Curve_Interface!$J$7="Piecewise Linear (Simple)",IF((((B32+C32)/2-VAL_DATE)/360)&lt;=0,1,1/(1+(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+(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-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)*IF(((INDEX('Curve_Interface'!$K$8:$K$73,MATCH((B32+C32)/2,'Curve_Interface'!$K$8:$K$73,1)+1)-VAL_DATE)/360)-((INDEX('Curve_Interface'!$K$8:$K$73,MATCH((B32+C32)/2,'Curve_Interface'!$K$8:$K$73,1))-VAL_DATE)/360)=0,0,((((B32+C32)/2-VAL_DATE)/360)-((INDEX('Curve_Interface'!$K$8:$K$73,MATCH((B32+C32)/2,'Curve_Interface'!$K$8:$K$73,1))-VAL_DATE)/360))/(((INDEX('Curve_Interface'!$K$8:$K$73,MATCH((B32+C32)/2,'Curve_Interface'!$K$8:$K$73,1)+1)-VAL_DATE)/360)-((INDEX('Curve_Interface'!$K$8:$K$73,MATCH((B32+C32)/2,'Curve_Interface'!$K$8:$K$73,1))-VAL_DATE)/360))))*(((B32+C32)/2-VAL_DATE)/360))),INDEX('Curve_Interface'!$L$8:$L$73,MATCH((B32+C32)/2,'Curve_Interface'!$K$8:$K$73,1))*(INDEX('Curve_Interface'!$L$8:$L$73,MATCH((B32+C32)/2,'Curve_Interface'!$K$8:$K$73,1)+1)/INDEX('Curve_Interface'!$L$8:$L$73,MATCH((B32+C32)/2,'Curve_Interface'!$K$8:$K$73,1)))^(((B32+C32)/2-INDEX('Curve_Interface'!$K$8:$K$73,MATCH((B32+C32)/2,'Curve_Interface'!$K$8:$K$73,1)))/(INDEX('Curve_Interface'!$K$8:$K$73,MATCH((B32+C32)/2,'Curve_Interface'!$K$8:$K$73,1)+1)-INDEX('Curve_Interface'!$K$8:$K$73,MATCH((B32+C32)/2,'Curve_Interface'!$K$8:$K$73,1))))),INDEX('Curve_Interface'!$L$8:$L$73,MATCH((B32+C32)/2,'Curve_Interface'!$K$8:$K$73,1)))</f>
        <v/>
      </c>
      <c r="I32" s="36">
        <f>INDEX(Hazard_Bootstrap!$D$7:$D$12,MIN(COUNTIF(Hazard_Bootstrap!$B$7:$B$12,"&lt;"&amp;C32)+1,6))</f>
        <v/>
      </c>
      <c r="J32" s="36">
        <f>K31</f>
        <v/>
      </c>
      <c r="K32" s="36">
        <f>J32*EXP(-I32*E32)</f>
        <v/>
      </c>
      <c r="L32" s="36">
        <f>J32-K32</f>
        <v/>
      </c>
      <c r="M32" s="36">
        <f>D32*G32*K32</f>
        <v/>
      </c>
      <c r="N32" s="36">
        <f>(D32/2)*H32*L32</f>
        <v/>
      </c>
      <c r="O32" s="36">
        <f>H32*L32</f>
        <v/>
      </c>
    </row>
    <row r="33">
      <c r="A33" s="43" t="n">
        <v>27</v>
      </c>
      <c r="B33" s="18">
        <f>C32</f>
        <v/>
      </c>
      <c r="C33" s="18">
        <f>EDATE('Curve_Interface'!$F$7,3*26)</f>
        <v/>
      </c>
      <c r="D33" s="34">
        <f>(C33-B33)/360</f>
        <v/>
      </c>
      <c r="E33" s="34">
        <f>(C33-B33)/365</f>
        <v/>
      </c>
      <c r="F33" s="34">
        <f>(C33-VAL_DATE)/365</f>
        <v/>
      </c>
      <c r="G33" s="36">
        <f>IFERROR(IF(Curve_Interface!$J$7="Piecewise Linear (Simple)",IF(((C33-VAL_DATE)/360)&lt;=0,1,1/(1+(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+(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-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)*IF(((INDEX('Curve_Interface'!$K$8:$K$73,MATCH(C33,'Curve_Interface'!$K$8:$K$73,1)+1)-VAL_DATE)/360)-((INDEX('Curve_Interface'!$K$8:$K$73,MATCH(C33,'Curve_Interface'!$K$8:$K$73,1))-VAL_DATE)/360)=0,0,(((C33-VAL_DATE)/360)-((INDEX('Curve_Interface'!$K$8:$K$73,MATCH(C33,'Curve_Interface'!$K$8:$K$73,1))-VAL_DATE)/360))/(((INDEX('Curve_Interface'!$K$8:$K$73,MATCH(C33,'Curve_Interface'!$K$8:$K$73,1)+1)-VAL_DATE)/360)-((INDEX('Curve_Interface'!$K$8:$K$73,MATCH(C33,'Curve_Interface'!$K$8:$K$73,1))-VAL_DATE)/360))))*((C33-VAL_DATE)/360))),INDEX('Curve_Interface'!$L$8:$L$73,MATCH(C33,'Curve_Interface'!$K$8:$K$73,1))*(INDEX('Curve_Interface'!$L$8:$L$73,MATCH(C33,'Curve_Interface'!$K$8:$K$73,1)+1)/INDEX('Curve_Interface'!$L$8:$L$73,MATCH(C33,'Curve_Interface'!$K$8:$K$73,1)))^((C33-INDEX('Curve_Interface'!$K$8:$K$73,MATCH(C33,'Curve_Interface'!$K$8:$K$73,1)))/(INDEX('Curve_Interface'!$K$8:$K$73,MATCH(C33,'Curve_Interface'!$K$8:$K$73,1)+1)-INDEX('Curve_Interface'!$K$8:$K$73,MATCH(C33,'Curve_Interface'!$K$8:$K$73,1))))),INDEX('Curve_Interface'!$L$8:$L$73,MATCH(C33,'Curve_Interface'!$K$8:$K$73,1)))</f>
        <v/>
      </c>
      <c r="H33" s="36">
        <f>IFERROR(IF(Curve_Interface!$J$7="Piecewise Linear (Simple)",IF((((B33+C33)/2-VAL_DATE)/360)&lt;=0,1,1/(1+(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+(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-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)*IF(((INDEX('Curve_Interface'!$K$8:$K$73,MATCH((B33+C33)/2,'Curve_Interface'!$K$8:$K$73,1)+1)-VAL_DATE)/360)-((INDEX('Curve_Interface'!$K$8:$K$73,MATCH((B33+C33)/2,'Curve_Interface'!$K$8:$K$73,1))-VAL_DATE)/360)=0,0,((((B33+C33)/2-VAL_DATE)/360)-((INDEX('Curve_Interface'!$K$8:$K$73,MATCH((B33+C33)/2,'Curve_Interface'!$K$8:$K$73,1))-VAL_DATE)/360))/(((INDEX('Curve_Interface'!$K$8:$K$73,MATCH((B33+C33)/2,'Curve_Interface'!$K$8:$K$73,1)+1)-VAL_DATE)/360)-((INDEX('Curve_Interface'!$K$8:$K$73,MATCH((B33+C33)/2,'Curve_Interface'!$K$8:$K$73,1))-VAL_DATE)/360))))*(((B33+C33)/2-VAL_DATE)/360))),INDEX('Curve_Interface'!$L$8:$L$73,MATCH((B33+C33)/2,'Curve_Interface'!$K$8:$K$73,1))*(INDEX('Curve_Interface'!$L$8:$L$73,MATCH((B33+C33)/2,'Curve_Interface'!$K$8:$K$73,1)+1)/INDEX('Curve_Interface'!$L$8:$L$73,MATCH((B33+C33)/2,'Curve_Interface'!$K$8:$K$73,1)))^(((B33+C33)/2-INDEX('Curve_Interface'!$K$8:$K$73,MATCH((B33+C33)/2,'Curve_Interface'!$K$8:$K$73,1)))/(INDEX('Curve_Interface'!$K$8:$K$73,MATCH((B33+C33)/2,'Curve_Interface'!$K$8:$K$73,1)+1)-INDEX('Curve_Interface'!$K$8:$K$73,MATCH((B33+C33)/2,'Curve_Interface'!$K$8:$K$73,1))))),INDEX('Curve_Interface'!$L$8:$L$73,MATCH((B33+C33)/2,'Curve_Interface'!$K$8:$K$73,1)))</f>
        <v/>
      </c>
      <c r="I33" s="36">
        <f>INDEX(Hazard_Bootstrap!$D$7:$D$12,MIN(COUNTIF(Hazard_Bootstrap!$B$7:$B$12,"&lt;"&amp;C33)+1,6))</f>
        <v/>
      </c>
      <c r="J33" s="36">
        <f>K32</f>
        <v/>
      </c>
      <c r="K33" s="36">
        <f>J33*EXP(-I33*E33)</f>
        <v/>
      </c>
      <c r="L33" s="36">
        <f>J33-K33</f>
        <v/>
      </c>
      <c r="M33" s="36">
        <f>D33*G33*K33</f>
        <v/>
      </c>
      <c r="N33" s="36">
        <f>(D33/2)*H33*L33</f>
        <v/>
      </c>
      <c r="O33" s="36">
        <f>H33*L33</f>
        <v/>
      </c>
    </row>
    <row r="34">
      <c r="A34" s="43" t="n">
        <v>28</v>
      </c>
      <c r="B34" s="18">
        <f>C33</f>
        <v/>
      </c>
      <c r="C34" s="18">
        <f>EDATE('Curve_Interface'!$F$7,3*27)</f>
        <v/>
      </c>
      <c r="D34" s="34">
        <f>(C34-B34)/360</f>
        <v/>
      </c>
      <c r="E34" s="34">
        <f>(C34-B34)/365</f>
        <v/>
      </c>
      <c r="F34" s="34">
        <f>(C34-VAL_DATE)/365</f>
        <v/>
      </c>
      <c r="G34" s="36">
        <f>IFERROR(IF(Curve_Interface!$J$7="Piecewise Linear (Simple)",IF(((C34-VAL_DATE)/360)&lt;=0,1,1/(1+(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+(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-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)*IF(((INDEX('Curve_Interface'!$K$8:$K$73,MATCH(C34,'Curve_Interface'!$K$8:$K$73,1)+1)-VAL_DATE)/360)-((INDEX('Curve_Interface'!$K$8:$K$73,MATCH(C34,'Curve_Interface'!$K$8:$K$73,1))-VAL_DATE)/360)=0,0,(((C34-VAL_DATE)/360)-((INDEX('Curve_Interface'!$K$8:$K$73,MATCH(C34,'Curve_Interface'!$K$8:$K$73,1))-VAL_DATE)/360))/(((INDEX('Curve_Interface'!$K$8:$K$73,MATCH(C34,'Curve_Interface'!$K$8:$K$73,1)+1)-VAL_DATE)/360)-((INDEX('Curve_Interface'!$K$8:$K$73,MATCH(C34,'Curve_Interface'!$K$8:$K$73,1))-VAL_DATE)/360))))*((C34-VAL_DATE)/360))),INDEX('Curve_Interface'!$L$8:$L$73,MATCH(C34,'Curve_Interface'!$K$8:$K$73,1))*(INDEX('Curve_Interface'!$L$8:$L$73,MATCH(C34,'Curve_Interface'!$K$8:$K$73,1)+1)/INDEX('Curve_Interface'!$L$8:$L$73,MATCH(C34,'Curve_Interface'!$K$8:$K$73,1)))^((C34-INDEX('Curve_Interface'!$K$8:$K$73,MATCH(C34,'Curve_Interface'!$K$8:$K$73,1)))/(INDEX('Curve_Interface'!$K$8:$K$73,MATCH(C34,'Curve_Interface'!$K$8:$K$73,1)+1)-INDEX('Curve_Interface'!$K$8:$K$73,MATCH(C34,'Curve_Interface'!$K$8:$K$73,1))))),INDEX('Curve_Interface'!$L$8:$L$73,MATCH(C34,'Curve_Interface'!$K$8:$K$73,1)))</f>
        <v/>
      </c>
      <c r="H34" s="36">
        <f>IFERROR(IF(Curve_Interface!$J$7="Piecewise Linear (Simple)",IF((((B34+C34)/2-VAL_DATE)/360)&lt;=0,1,1/(1+(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+(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-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)*IF(((INDEX('Curve_Interface'!$K$8:$K$73,MATCH((B34+C34)/2,'Curve_Interface'!$K$8:$K$73,1)+1)-VAL_DATE)/360)-((INDEX('Curve_Interface'!$K$8:$K$73,MATCH((B34+C34)/2,'Curve_Interface'!$K$8:$K$73,1))-VAL_DATE)/360)=0,0,((((B34+C34)/2-VAL_DATE)/360)-((INDEX('Curve_Interface'!$K$8:$K$73,MATCH((B34+C34)/2,'Curve_Interface'!$K$8:$K$73,1))-VAL_DATE)/360))/(((INDEX('Curve_Interface'!$K$8:$K$73,MATCH((B34+C34)/2,'Curve_Interface'!$K$8:$K$73,1)+1)-VAL_DATE)/360)-((INDEX('Curve_Interface'!$K$8:$K$73,MATCH((B34+C34)/2,'Curve_Interface'!$K$8:$K$73,1))-VAL_DATE)/360))))*(((B34+C34)/2-VAL_DATE)/360))),INDEX('Curve_Interface'!$L$8:$L$73,MATCH((B34+C34)/2,'Curve_Interface'!$K$8:$K$73,1))*(INDEX('Curve_Interface'!$L$8:$L$73,MATCH((B34+C34)/2,'Curve_Interface'!$K$8:$K$73,1)+1)/INDEX('Curve_Interface'!$L$8:$L$73,MATCH((B34+C34)/2,'Curve_Interface'!$K$8:$K$73,1)))^(((B34+C34)/2-INDEX('Curve_Interface'!$K$8:$K$73,MATCH((B34+C34)/2,'Curve_Interface'!$K$8:$K$73,1)))/(INDEX('Curve_Interface'!$K$8:$K$73,MATCH((B34+C34)/2,'Curve_Interface'!$K$8:$K$73,1)+1)-INDEX('Curve_Interface'!$K$8:$K$73,MATCH((B34+C34)/2,'Curve_Interface'!$K$8:$K$73,1))))),INDEX('Curve_Interface'!$L$8:$L$73,MATCH((B34+C34)/2,'Curve_Interface'!$K$8:$K$73,1)))</f>
        <v/>
      </c>
      <c r="I34" s="36">
        <f>INDEX(Hazard_Bootstrap!$D$7:$D$12,MIN(COUNTIF(Hazard_Bootstrap!$B$7:$B$12,"&lt;"&amp;C34)+1,6))</f>
        <v/>
      </c>
      <c r="J34" s="36">
        <f>K33</f>
        <v/>
      </c>
      <c r="K34" s="36">
        <f>J34*EXP(-I34*E34)</f>
        <v/>
      </c>
      <c r="L34" s="36">
        <f>J34-K34</f>
        <v/>
      </c>
      <c r="M34" s="36">
        <f>D34*G34*K34</f>
        <v/>
      </c>
      <c r="N34" s="36">
        <f>(D34/2)*H34*L34</f>
        <v/>
      </c>
      <c r="O34" s="36">
        <f>H34*L34</f>
        <v/>
      </c>
    </row>
    <row r="35">
      <c r="A35" s="43" t="n">
        <v>29</v>
      </c>
      <c r="B35" s="18">
        <f>C34</f>
        <v/>
      </c>
      <c r="C35" s="18">
        <f>EDATE('Curve_Interface'!$F$7,3*28)</f>
        <v/>
      </c>
      <c r="D35" s="34">
        <f>(C35-B35)/360</f>
        <v/>
      </c>
      <c r="E35" s="34">
        <f>(C35-B35)/365</f>
        <v/>
      </c>
      <c r="F35" s="34">
        <f>(C35-VAL_DATE)/365</f>
        <v/>
      </c>
      <c r="G35" s="36">
        <f>IFERROR(IF(Curve_Interface!$J$7="Piecewise Linear (Simple)",IF(((C35-VAL_DATE)/360)&lt;=0,1,1/(1+(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+(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-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)*IF(((INDEX('Curve_Interface'!$K$8:$K$73,MATCH(C35,'Curve_Interface'!$K$8:$K$73,1)+1)-VAL_DATE)/360)-((INDEX('Curve_Interface'!$K$8:$K$73,MATCH(C35,'Curve_Interface'!$K$8:$K$73,1))-VAL_DATE)/360)=0,0,(((C35-VAL_DATE)/360)-((INDEX('Curve_Interface'!$K$8:$K$73,MATCH(C35,'Curve_Interface'!$K$8:$K$73,1))-VAL_DATE)/360))/(((INDEX('Curve_Interface'!$K$8:$K$73,MATCH(C35,'Curve_Interface'!$K$8:$K$73,1)+1)-VAL_DATE)/360)-((INDEX('Curve_Interface'!$K$8:$K$73,MATCH(C35,'Curve_Interface'!$K$8:$K$73,1))-VAL_DATE)/360))))*((C35-VAL_DATE)/360))),INDEX('Curve_Interface'!$L$8:$L$73,MATCH(C35,'Curve_Interface'!$K$8:$K$73,1))*(INDEX('Curve_Interface'!$L$8:$L$73,MATCH(C35,'Curve_Interface'!$K$8:$K$73,1)+1)/INDEX('Curve_Interface'!$L$8:$L$73,MATCH(C35,'Curve_Interface'!$K$8:$K$73,1)))^((C35-INDEX('Curve_Interface'!$K$8:$K$73,MATCH(C35,'Curve_Interface'!$K$8:$K$73,1)))/(INDEX('Curve_Interface'!$K$8:$K$73,MATCH(C35,'Curve_Interface'!$K$8:$K$73,1)+1)-INDEX('Curve_Interface'!$K$8:$K$73,MATCH(C35,'Curve_Interface'!$K$8:$K$73,1))))),INDEX('Curve_Interface'!$L$8:$L$73,MATCH(C35,'Curve_Interface'!$K$8:$K$73,1)))</f>
        <v/>
      </c>
      <c r="H35" s="36">
        <f>IFERROR(IF(Curve_Interface!$J$7="Piecewise Linear (Simple)",IF((((B35+C35)/2-VAL_DATE)/360)&lt;=0,1,1/(1+(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+(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-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)*IF(((INDEX('Curve_Interface'!$K$8:$K$73,MATCH((B35+C35)/2,'Curve_Interface'!$K$8:$K$73,1)+1)-VAL_DATE)/360)-((INDEX('Curve_Interface'!$K$8:$K$73,MATCH((B35+C35)/2,'Curve_Interface'!$K$8:$K$73,1))-VAL_DATE)/360)=0,0,((((B35+C35)/2-VAL_DATE)/360)-((INDEX('Curve_Interface'!$K$8:$K$73,MATCH((B35+C35)/2,'Curve_Interface'!$K$8:$K$73,1))-VAL_DATE)/360))/(((INDEX('Curve_Interface'!$K$8:$K$73,MATCH((B35+C35)/2,'Curve_Interface'!$K$8:$K$73,1)+1)-VAL_DATE)/360)-((INDEX('Curve_Interface'!$K$8:$K$73,MATCH((B35+C35)/2,'Curve_Interface'!$K$8:$K$73,1))-VAL_DATE)/360))))*(((B35+C35)/2-VAL_DATE)/360))),INDEX('Curve_Interface'!$L$8:$L$73,MATCH((B35+C35)/2,'Curve_Interface'!$K$8:$K$73,1))*(INDEX('Curve_Interface'!$L$8:$L$73,MATCH((B35+C35)/2,'Curve_Interface'!$K$8:$K$73,1)+1)/INDEX('Curve_Interface'!$L$8:$L$73,MATCH((B35+C35)/2,'Curve_Interface'!$K$8:$K$73,1)))^(((B35+C35)/2-INDEX('Curve_Interface'!$K$8:$K$73,MATCH((B35+C35)/2,'Curve_Interface'!$K$8:$K$73,1)))/(INDEX('Curve_Interface'!$K$8:$K$73,MATCH((B35+C35)/2,'Curve_Interface'!$K$8:$K$73,1)+1)-INDEX('Curve_Interface'!$K$8:$K$73,MATCH((B35+C35)/2,'Curve_Interface'!$K$8:$K$73,1))))),INDEX('Curve_Interface'!$L$8:$L$73,MATCH((B35+C35)/2,'Curve_Interface'!$K$8:$K$73,1)))</f>
        <v/>
      </c>
      <c r="I35" s="36">
        <f>INDEX(Hazard_Bootstrap!$D$7:$D$12,MIN(COUNTIF(Hazard_Bootstrap!$B$7:$B$12,"&lt;"&amp;C35)+1,6))</f>
        <v/>
      </c>
      <c r="J35" s="36">
        <f>K34</f>
        <v/>
      </c>
      <c r="K35" s="36">
        <f>J35*EXP(-I35*E35)</f>
        <v/>
      </c>
      <c r="L35" s="36">
        <f>J35-K35</f>
        <v/>
      </c>
      <c r="M35" s="36">
        <f>D35*G35*K35</f>
        <v/>
      </c>
      <c r="N35" s="36">
        <f>(D35/2)*H35*L35</f>
        <v/>
      </c>
      <c r="O35" s="36">
        <f>H35*L35</f>
        <v/>
      </c>
    </row>
    <row r="36">
      <c r="A36" s="43" t="n">
        <v>30</v>
      </c>
      <c r="B36" s="18">
        <f>C35</f>
        <v/>
      </c>
      <c r="C36" s="18">
        <f>EDATE('Curve_Interface'!$F$7,3*29)</f>
        <v/>
      </c>
      <c r="D36" s="34">
        <f>(C36-B36)/360</f>
        <v/>
      </c>
      <c r="E36" s="34">
        <f>(C36-B36)/365</f>
        <v/>
      </c>
      <c r="F36" s="34">
        <f>(C36-VAL_DATE)/365</f>
        <v/>
      </c>
      <c r="G36" s="36">
        <f>IFERROR(IF(Curve_Interface!$J$7="Piecewise Linear (Simple)",IF(((C36-VAL_DATE)/360)&lt;=0,1,1/(1+(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+(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-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)*IF(((INDEX('Curve_Interface'!$K$8:$K$73,MATCH(C36,'Curve_Interface'!$K$8:$K$73,1)+1)-VAL_DATE)/360)-((INDEX('Curve_Interface'!$K$8:$K$73,MATCH(C36,'Curve_Interface'!$K$8:$K$73,1))-VAL_DATE)/360)=0,0,(((C36-VAL_DATE)/360)-((INDEX('Curve_Interface'!$K$8:$K$73,MATCH(C36,'Curve_Interface'!$K$8:$K$73,1))-VAL_DATE)/360))/(((INDEX('Curve_Interface'!$K$8:$K$73,MATCH(C36,'Curve_Interface'!$K$8:$K$73,1)+1)-VAL_DATE)/360)-((INDEX('Curve_Interface'!$K$8:$K$73,MATCH(C36,'Curve_Interface'!$K$8:$K$73,1))-VAL_DATE)/360))))*((C36-VAL_DATE)/360))),INDEX('Curve_Interface'!$L$8:$L$73,MATCH(C36,'Curve_Interface'!$K$8:$K$73,1))*(INDEX('Curve_Interface'!$L$8:$L$73,MATCH(C36,'Curve_Interface'!$K$8:$K$73,1)+1)/INDEX('Curve_Interface'!$L$8:$L$73,MATCH(C36,'Curve_Interface'!$K$8:$K$73,1)))^((C36-INDEX('Curve_Interface'!$K$8:$K$73,MATCH(C36,'Curve_Interface'!$K$8:$K$73,1)))/(INDEX('Curve_Interface'!$K$8:$K$73,MATCH(C36,'Curve_Interface'!$K$8:$K$73,1)+1)-INDEX('Curve_Interface'!$K$8:$K$73,MATCH(C36,'Curve_Interface'!$K$8:$K$73,1))))),INDEX('Curve_Interface'!$L$8:$L$73,MATCH(C36,'Curve_Interface'!$K$8:$K$73,1)))</f>
        <v/>
      </c>
      <c r="H36" s="36">
        <f>IFERROR(IF(Curve_Interface!$J$7="Piecewise Linear (Simple)",IF((((B36+C36)/2-VAL_DATE)/360)&lt;=0,1,1/(1+(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+(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-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)*IF(((INDEX('Curve_Interface'!$K$8:$K$73,MATCH((B36+C36)/2,'Curve_Interface'!$K$8:$K$73,1)+1)-VAL_DATE)/360)-((INDEX('Curve_Interface'!$K$8:$K$73,MATCH((B36+C36)/2,'Curve_Interface'!$K$8:$K$73,1))-VAL_DATE)/360)=0,0,((((B36+C36)/2-VAL_DATE)/360)-((INDEX('Curve_Interface'!$K$8:$K$73,MATCH((B36+C36)/2,'Curve_Interface'!$K$8:$K$73,1))-VAL_DATE)/360))/(((INDEX('Curve_Interface'!$K$8:$K$73,MATCH((B36+C36)/2,'Curve_Interface'!$K$8:$K$73,1)+1)-VAL_DATE)/360)-((INDEX('Curve_Interface'!$K$8:$K$73,MATCH((B36+C36)/2,'Curve_Interface'!$K$8:$K$73,1))-VAL_DATE)/360))))*(((B36+C36)/2-VAL_DATE)/360))),INDEX('Curve_Interface'!$L$8:$L$73,MATCH((B36+C36)/2,'Curve_Interface'!$K$8:$K$73,1))*(INDEX('Curve_Interface'!$L$8:$L$73,MATCH((B36+C36)/2,'Curve_Interface'!$K$8:$K$73,1)+1)/INDEX('Curve_Interface'!$L$8:$L$73,MATCH((B36+C36)/2,'Curve_Interface'!$K$8:$K$73,1)))^(((B36+C36)/2-INDEX('Curve_Interface'!$K$8:$K$73,MATCH((B36+C36)/2,'Curve_Interface'!$K$8:$K$73,1)))/(INDEX('Curve_Interface'!$K$8:$K$73,MATCH((B36+C36)/2,'Curve_Interface'!$K$8:$K$73,1)+1)-INDEX('Curve_Interface'!$K$8:$K$73,MATCH((B36+C36)/2,'Curve_Interface'!$K$8:$K$73,1))))),INDEX('Curve_Interface'!$L$8:$L$73,MATCH((B36+C36)/2,'Curve_Interface'!$K$8:$K$73,1)))</f>
        <v/>
      </c>
      <c r="I36" s="36">
        <f>INDEX(Hazard_Bootstrap!$D$7:$D$12,MIN(COUNTIF(Hazard_Bootstrap!$B$7:$B$12,"&lt;"&amp;C36)+1,6))</f>
        <v/>
      </c>
      <c r="J36" s="36">
        <f>K35</f>
        <v/>
      </c>
      <c r="K36" s="36">
        <f>J36*EXP(-I36*E36)</f>
        <v/>
      </c>
      <c r="L36" s="36">
        <f>J36-K36</f>
        <v/>
      </c>
      <c r="M36" s="36">
        <f>D36*G36*K36</f>
        <v/>
      </c>
      <c r="N36" s="36">
        <f>(D36/2)*H36*L36</f>
        <v/>
      </c>
      <c r="O36" s="36">
        <f>H36*L36</f>
        <v/>
      </c>
    </row>
    <row r="37">
      <c r="A37" s="43" t="n">
        <v>31</v>
      </c>
      <c r="B37" s="18">
        <f>C36</f>
        <v/>
      </c>
      <c r="C37" s="18">
        <f>EDATE('Curve_Interface'!$F$7,3*30)</f>
        <v/>
      </c>
      <c r="D37" s="34">
        <f>(C37-B37)/360</f>
        <v/>
      </c>
      <c r="E37" s="34">
        <f>(C37-B37)/365</f>
        <v/>
      </c>
      <c r="F37" s="34">
        <f>(C37-VAL_DATE)/365</f>
        <v/>
      </c>
      <c r="G37" s="36">
        <f>IFERROR(IF(Curve_Interface!$J$7="Piecewise Linear (Simple)",IF(((C37-VAL_DATE)/360)&lt;=0,1,1/(1+(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+(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-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)*IF(((INDEX('Curve_Interface'!$K$8:$K$73,MATCH(C37,'Curve_Interface'!$K$8:$K$73,1)+1)-VAL_DATE)/360)-((INDEX('Curve_Interface'!$K$8:$K$73,MATCH(C37,'Curve_Interface'!$K$8:$K$73,1))-VAL_DATE)/360)=0,0,(((C37-VAL_DATE)/360)-((INDEX('Curve_Interface'!$K$8:$K$73,MATCH(C37,'Curve_Interface'!$K$8:$K$73,1))-VAL_DATE)/360))/(((INDEX('Curve_Interface'!$K$8:$K$73,MATCH(C37,'Curve_Interface'!$K$8:$K$73,1)+1)-VAL_DATE)/360)-((INDEX('Curve_Interface'!$K$8:$K$73,MATCH(C37,'Curve_Interface'!$K$8:$K$73,1))-VAL_DATE)/360))))*((C37-VAL_DATE)/360))),INDEX('Curve_Interface'!$L$8:$L$73,MATCH(C37,'Curve_Interface'!$K$8:$K$73,1))*(INDEX('Curve_Interface'!$L$8:$L$73,MATCH(C37,'Curve_Interface'!$K$8:$K$73,1)+1)/INDEX('Curve_Interface'!$L$8:$L$73,MATCH(C37,'Curve_Interface'!$K$8:$K$73,1)))^((C37-INDEX('Curve_Interface'!$K$8:$K$73,MATCH(C37,'Curve_Interface'!$K$8:$K$73,1)))/(INDEX('Curve_Interface'!$K$8:$K$73,MATCH(C37,'Curve_Interface'!$K$8:$K$73,1)+1)-INDEX('Curve_Interface'!$K$8:$K$73,MATCH(C37,'Curve_Interface'!$K$8:$K$73,1))))),INDEX('Curve_Interface'!$L$8:$L$73,MATCH(C37,'Curve_Interface'!$K$8:$K$73,1)))</f>
        <v/>
      </c>
      <c r="H37" s="36">
        <f>IFERROR(IF(Curve_Interface!$J$7="Piecewise Linear (Simple)",IF((((B37+C37)/2-VAL_DATE)/360)&lt;=0,1,1/(1+(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+(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-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)*IF(((INDEX('Curve_Interface'!$K$8:$K$73,MATCH((B37+C37)/2,'Curve_Interface'!$K$8:$K$73,1)+1)-VAL_DATE)/360)-((INDEX('Curve_Interface'!$K$8:$K$73,MATCH((B37+C37)/2,'Curve_Interface'!$K$8:$K$73,1))-VAL_DATE)/360)=0,0,((((B37+C37)/2-VAL_DATE)/360)-((INDEX('Curve_Interface'!$K$8:$K$73,MATCH((B37+C37)/2,'Curve_Interface'!$K$8:$K$73,1))-VAL_DATE)/360))/(((INDEX('Curve_Interface'!$K$8:$K$73,MATCH((B37+C37)/2,'Curve_Interface'!$K$8:$K$73,1)+1)-VAL_DATE)/360)-((INDEX('Curve_Interface'!$K$8:$K$73,MATCH((B37+C37)/2,'Curve_Interface'!$K$8:$K$73,1))-VAL_DATE)/360))))*(((B37+C37)/2-VAL_DATE)/360))),INDEX('Curve_Interface'!$L$8:$L$73,MATCH((B37+C37)/2,'Curve_Interface'!$K$8:$K$73,1))*(INDEX('Curve_Interface'!$L$8:$L$73,MATCH((B37+C37)/2,'Curve_Interface'!$K$8:$K$73,1)+1)/INDEX('Curve_Interface'!$L$8:$L$73,MATCH((B37+C37)/2,'Curve_Interface'!$K$8:$K$73,1)))^(((B37+C37)/2-INDEX('Curve_Interface'!$K$8:$K$73,MATCH((B37+C37)/2,'Curve_Interface'!$K$8:$K$73,1)))/(INDEX('Curve_Interface'!$K$8:$K$73,MATCH((B37+C37)/2,'Curve_Interface'!$K$8:$K$73,1)+1)-INDEX('Curve_Interface'!$K$8:$K$73,MATCH((B37+C37)/2,'Curve_Interface'!$K$8:$K$73,1))))),INDEX('Curve_Interface'!$L$8:$L$73,MATCH((B37+C37)/2,'Curve_Interface'!$K$8:$K$73,1)))</f>
        <v/>
      </c>
      <c r="I37" s="36">
        <f>INDEX(Hazard_Bootstrap!$D$7:$D$12,MIN(COUNTIF(Hazard_Bootstrap!$B$7:$B$12,"&lt;"&amp;C37)+1,6))</f>
        <v/>
      </c>
      <c r="J37" s="36">
        <f>K36</f>
        <v/>
      </c>
      <c r="K37" s="36">
        <f>J37*EXP(-I37*E37)</f>
        <v/>
      </c>
      <c r="L37" s="36">
        <f>J37-K37</f>
        <v/>
      </c>
      <c r="M37" s="36">
        <f>D37*G37*K37</f>
        <v/>
      </c>
      <c r="N37" s="36">
        <f>(D37/2)*H37*L37</f>
        <v/>
      </c>
      <c r="O37" s="36">
        <f>H37*L37</f>
        <v/>
      </c>
    </row>
    <row r="38">
      <c r="A38" s="43" t="n">
        <v>32</v>
      </c>
      <c r="B38" s="18">
        <f>C37</f>
        <v/>
      </c>
      <c r="C38" s="18">
        <f>EDATE('Curve_Interface'!$F$7,3*31)</f>
        <v/>
      </c>
      <c r="D38" s="34">
        <f>(C38-B38)/360</f>
        <v/>
      </c>
      <c r="E38" s="34">
        <f>(C38-B38)/365</f>
        <v/>
      </c>
      <c r="F38" s="34">
        <f>(C38-VAL_DATE)/365</f>
        <v/>
      </c>
      <c r="G38" s="36">
        <f>IFERROR(IF(Curve_Interface!$J$7="Piecewise Linear (Simple)",IF(((C38-VAL_DATE)/360)&lt;=0,1,1/(1+(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+(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-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)*IF(((INDEX('Curve_Interface'!$K$8:$K$73,MATCH(C38,'Curve_Interface'!$K$8:$K$73,1)+1)-VAL_DATE)/360)-((INDEX('Curve_Interface'!$K$8:$K$73,MATCH(C38,'Curve_Interface'!$K$8:$K$73,1))-VAL_DATE)/360)=0,0,(((C38-VAL_DATE)/360)-((INDEX('Curve_Interface'!$K$8:$K$73,MATCH(C38,'Curve_Interface'!$K$8:$K$73,1))-VAL_DATE)/360))/(((INDEX('Curve_Interface'!$K$8:$K$73,MATCH(C38,'Curve_Interface'!$K$8:$K$73,1)+1)-VAL_DATE)/360)-((INDEX('Curve_Interface'!$K$8:$K$73,MATCH(C38,'Curve_Interface'!$K$8:$K$73,1))-VAL_DATE)/360))))*((C38-VAL_DATE)/360))),INDEX('Curve_Interface'!$L$8:$L$73,MATCH(C38,'Curve_Interface'!$K$8:$K$73,1))*(INDEX('Curve_Interface'!$L$8:$L$73,MATCH(C38,'Curve_Interface'!$K$8:$K$73,1)+1)/INDEX('Curve_Interface'!$L$8:$L$73,MATCH(C38,'Curve_Interface'!$K$8:$K$73,1)))^((C38-INDEX('Curve_Interface'!$K$8:$K$73,MATCH(C38,'Curve_Interface'!$K$8:$K$73,1)))/(INDEX('Curve_Interface'!$K$8:$K$73,MATCH(C38,'Curve_Interface'!$K$8:$K$73,1)+1)-INDEX('Curve_Interface'!$K$8:$K$73,MATCH(C38,'Curve_Interface'!$K$8:$K$73,1))))),INDEX('Curve_Interface'!$L$8:$L$73,MATCH(C38,'Curve_Interface'!$K$8:$K$73,1)))</f>
        <v/>
      </c>
      <c r="H38" s="36">
        <f>IFERROR(IF(Curve_Interface!$J$7="Piecewise Linear (Simple)",IF((((B38+C38)/2-VAL_DATE)/360)&lt;=0,1,1/(1+(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+(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-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)*IF(((INDEX('Curve_Interface'!$K$8:$K$73,MATCH((B38+C38)/2,'Curve_Interface'!$K$8:$K$73,1)+1)-VAL_DATE)/360)-((INDEX('Curve_Interface'!$K$8:$K$73,MATCH((B38+C38)/2,'Curve_Interface'!$K$8:$K$73,1))-VAL_DATE)/360)=0,0,((((B38+C38)/2-VAL_DATE)/360)-((INDEX('Curve_Interface'!$K$8:$K$73,MATCH((B38+C38)/2,'Curve_Interface'!$K$8:$K$73,1))-VAL_DATE)/360))/(((INDEX('Curve_Interface'!$K$8:$K$73,MATCH((B38+C38)/2,'Curve_Interface'!$K$8:$K$73,1)+1)-VAL_DATE)/360)-((INDEX('Curve_Interface'!$K$8:$K$73,MATCH((B38+C38)/2,'Curve_Interface'!$K$8:$K$73,1))-VAL_DATE)/360))))*(((B38+C38)/2-VAL_DATE)/360))),INDEX('Curve_Interface'!$L$8:$L$73,MATCH((B38+C38)/2,'Curve_Interface'!$K$8:$K$73,1))*(INDEX('Curve_Interface'!$L$8:$L$73,MATCH((B38+C38)/2,'Curve_Interface'!$K$8:$K$73,1)+1)/INDEX('Curve_Interface'!$L$8:$L$73,MATCH((B38+C38)/2,'Curve_Interface'!$K$8:$K$73,1)))^(((B38+C38)/2-INDEX('Curve_Interface'!$K$8:$K$73,MATCH((B38+C38)/2,'Curve_Interface'!$K$8:$K$73,1)))/(INDEX('Curve_Interface'!$K$8:$K$73,MATCH((B38+C38)/2,'Curve_Interface'!$K$8:$K$73,1)+1)-INDEX('Curve_Interface'!$K$8:$K$73,MATCH((B38+C38)/2,'Curve_Interface'!$K$8:$K$73,1))))),INDEX('Curve_Interface'!$L$8:$L$73,MATCH((B38+C38)/2,'Curve_Interface'!$K$8:$K$73,1)))</f>
        <v/>
      </c>
      <c r="I38" s="36">
        <f>INDEX(Hazard_Bootstrap!$D$7:$D$12,MIN(COUNTIF(Hazard_Bootstrap!$B$7:$B$12,"&lt;"&amp;C38)+1,6))</f>
        <v/>
      </c>
      <c r="J38" s="36">
        <f>K37</f>
        <v/>
      </c>
      <c r="K38" s="36">
        <f>J38*EXP(-I38*E38)</f>
        <v/>
      </c>
      <c r="L38" s="36">
        <f>J38-K38</f>
        <v/>
      </c>
      <c r="M38" s="36">
        <f>D38*G38*K38</f>
        <v/>
      </c>
      <c r="N38" s="36">
        <f>(D38/2)*H38*L38</f>
        <v/>
      </c>
      <c r="O38" s="36">
        <f>H38*L38</f>
        <v/>
      </c>
    </row>
    <row r="39">
      <c r="A39" s="43" t="n">
        <v>33</v>
      </c>
      <c r="B39" s="18">
        <f>C38</f>
        <v/>
      </c>
      <c r="C39" s="18">
        <f>EDATE('Curve_Interface'!$F$7,3*32)</f>
        <v/>
      </c>
      <c r="D39" s="34">
        <f>(C39-B39)/360</f>
        <v/>
      </c>
      <c r="E39" s="34">
        <f>(C39-B39)/365</f>
        <v/>
      </c>
      <c r="F39" s="34">
        <f>(C39-VAL_DATE)/365</f>
        <v/>
      </c>
      <c r="G39" s="36">
        <f>IFERROR(IF(Curve_Interface!$J$7="Piecewise Linear (Simple)",IF(((C39-VAL_DATE)/360)&lt;=0,1,1/(1+(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+(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-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)*IF(((INDEX('Curve_Interface'!$K$8:$K$73,MATCH(C39,'Curve_Interface'!$K$8:$K$73,1)+1)-VAL_DATE)/360)-((INDEX('Curve_Interface'!$K$8:$K$73,MATCH(C39,'Curve_Interface'!$K$8:$K$73,1))-VAL_DATE)/360)=0,0,(((C39-VAL_DATE)/360)-((INDEX('Curve_Interface'!$K$8:$K$73,MATCH(C39,'Curve_Interface'!$K$8:$K$73,1))-VAL_DATE)/360))/(((INDEX('Curve_Interface'!$K$8:$K$73,MATCH(C39,'Curve_Interface'!$K$8:$K$73,1)+1)-VAL_DATE)/360)-((INDEX('Curve_Interface'!$K$8:$K$73,MATCH(C39,'Curve_Interface'!$K$8:$K$73,1))-VAL_DATE)/360))))*((C39-VAL_DATE)/360))),INDEX('Curve_Interface'!$L$8:$L$73,MATCH(C39,'Curve_Interface'!$K$8:$K$73,1))*(INDEX('Curve_Interface'!$L$8:$L$73,MATCH(C39,'Curve_Interface'!$K$8:$K$73,1)+1)/INDEX('Curve_Interface'!$L$8:$L$73,MATCH(C39,'Curve_Interface'!$K$8:$K$73,1)))^((C39-INDEX('Curve_Interface'!$K$8:$K$73,MATCH(C39,'Curve_Interface'!$K$8:$K$73,1)))/(INDEX('Curve_Interface'!$K$8:$K$73,MATCH(C39,'Curve_Interface'!$K$8:$K$73,1)+1)-INDEX('Curve_Interface'!$K$8:$K$73,MATCH(C39,'Curve_Interface'!$K$8:$K$73,1))))),INDEX('Curve_Interface'!$L$8:$L$73,MATCH(C39,'Curve_Interface'!$K$8:$K$73,1)))</f>
        <v/>
      </c>
      <c r="H39" s="36">
        <f>IFERROR(IF(Curve_Interface!$J$7="Piecewise Linear (Simple)",IF((((B39+C39)/2-VAL_DATE)/360)&lt;=0,1,1/(1+(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+(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-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)*IF(((INDEX('Curve_Interface'!$K$8:$K$73,MATCH((B39+C39)/2,'Curve_Interface'!$K$8:$K$73,1)+1)-VAL_DATE)/360)-((INDEX('Curve_Interface'!$K$8:$K$73,MATCH((B39+C39)/2,'Curve_Interface'!$K$8:$K$73,1))-VAL_DATE)/360)=0,0,((((B39+C39)/2-VAL_DATE)/360)-((INDEX('Curve_Interface'!$K$8:$K$73,MATCH((B39+C39)/2,'Curve_Interface'!$K$8:$K$73,1))-VAL_DATE)/360))/(((INDEX('Curve_Interface'!$K$8:$K$73,MATCH((B39+C39)/2,'Curve_Interface'!$K$8:$K$73,1)+1)-VAL_DATE)/360)-((INDEX('Curve_Interface'!$K$8:$K$73,MATCH((B39+C39)/2,'Curve_Interface'!$K$8:$K$73,1))-VAL_DATE)/360))))*(((B39+C39)/2-VAL_DATE)/360))),INDEX('Curve_Interface'!$L$8:$L$73,MATCH((B39+C39)/2,'Curve_Interface'!$K$8:$K$73,1))*(INDEX('Curve_Interface'!$L$8:$L$73,MATCH((B39+C39)/2,'Curve_Interface'!$K$8:$K$73,1)+1)/INDEX('Curve_Interface'!$L$8:$L$73,MATCH((B39+C39)/2,'Curve_Interface'!$K$8:$K$73,1)))^(((B39+C39)/2-INDEX('Curve_Interface'!$K$8:$K$73,MATCH((B39+C39)/2,'Curve_Interface'!$K$8:$K$73,1)))/(INDEX('Curve_Interface'!$K$8:$K$73,MATCH((B39+C39)/2,'Curve_Interface'!$K$8:$K$73,1)+1)-INDEX('Curve_Interface'!$K$8:$K$73,MATCH((B39+C39)/2,'Curve_Interface'!$K$8:$K$73,1))))),INDEX('Curve_Interface'!$L$8:$L$73,MATCH((B39+C39)/2,'Curve_Interface'!$K$8:$K$73,1)))</f>
        <v/>
      </c>
      <c r="I39" s="36">
        <f>INDEX(Hazard_Bootstrap!$D$7:$D$12,MIN(COUNTIF(Hazard_Bootstrap!$B$7:$B$12,"&lt;"&amp;C39)+1,6))</f>
        <v/>
      </c>
      <c r="J39" s="36">
        <f>K38</f>
        <v/>
      </c>
      <c r="K39" s="36">
        <f>J39*EXP(-I39*E39)</f>
        <v/>
      </c>
      <c r="L39" s="36">
        <f>J39-K39</f>
        <v/>
      </c>
      <c r="M39" s="36">
        <f>D39*G39*K39</f>
        <v/>
      </c>
      <c r="N39" s="36">
        <f>(D39/2)*H39*L39</f>
        <v/>
      </c>
      <c r="O39" s="36">
        <f>H39*L39</f>
        <v/>
      </c>
    </row>
    <row r="40">
      <c r="A40" s="43" t="n">
        <v>34</v>
      </c>
      <c r="B40" s="18">
        <f>C39</f>
        <v/>
      </c>
      <c r="C40" s="18">
        <f>EDATE('Curve_Interface'!$F$7,3*33)</f>
        <v/>
      </c>
      <c r="D40" s="34">
        <f>(C40-B40)/360</f>
        <v/>
      </c>
      <c r="E40" s="34">
        <f>(C40-B40)/365</f>
        <v/>
      </c>
      <c r="F40" s="34">
        <f>(C40-VAL_DATE)/365</f>
        <v/>
      </c>
      <c r="G40" s="36">
        <f>IFERROR(IF(Curve_Interface!$J$7="Piecewise Linear (Simple)",IF(((C40-VAL_DATE)/360)&lt;=0,1,1/(1+(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+(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-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)*IF(((INDEX('Curve_Interface'!$K$8:$K$73,MATCH(C40,'Curve_Interface'!$K$8:$K$73,1)+1)-VAL_DATE)/360)-((INDEX('Curve_Interface'!$K$8:$K$73,MATCH(C40,'Curve_Interface'!$K$8:$K$73,1))-VAL_DATE)/360)=0,0,(((C40-VAL_DATE)/360)-((INDEX('Curve_Interface'!$K$8:$K$73,MATCH(C40,'Curve_Interface'!$K$8:$K$73,1))-VAL_DATE)/360))/(((INDEX('Curve_Interface'!$K$8:$K$73,MATCH(C40,'Curve_Interface'!$K$8:$K$73,1)+1)-VAL_DATE)/360)-((INDEX('Curve_Interface'!$K$8:$K$73,MATCH(C40,'Curve_Interface'!$K$8:$K$73,1))-VAL_DATE)/360))))*((C40-VAL_DATE)/360))),INDEX('Curve_Interface'!$L$8:$L$73,MATCH(C40,'Curve_Interface'!$K$8:$K$73,1))*(INDEX('Curve_Interface'!$L$8:$L$73,MATCH(C40,'Curve_Interface'!$K$8:$K$73,1)+1)/INDEX('Curve_Interface'!$L$8:$L$73,MATCH(C40,'Curve_Interface'!$K$8:$K$73,1)))^((C40-INDEX('Curve_Interface'!$K$8:$K$73,MATCH(C40,'Curve_Interface'!$K$8:$K$73,1)))/(INDEX('Curve_Interface'!$K$8:$K$73,MATCH(C40,'Curve_Interface'!$K$8:$K$73,1)+1)-INDEX('Curve_Interface'!$K$8:$K$73,MATCH(C40,'Curve_Interface'!$K$8:$K$73,1))))),INDEX('Curve_Interface'!$L$8:$L$73,MATCH(C40,'Curve_Interface'!$K$8:$K$73,1)))</f>
        <v/>
      </c>
      <c r="H40" s="36">
        <f>IFERROR(IF(Curve_Interface!$J$7="Piecewise Linear (Simple)",IF((((B40+C40)/2-VAL_DATE)/360)&lt;=0,1,1/(1+(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+(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-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)*IF(((INDEX('Curve_Interface'!$K$8:$K$73,MATCH((B40+C40)/2,'Curve_Interface'!$K$8:$K$73,1)+1)-VAL_DATE)/360)-((INDEX('Curve_Interface'!$K$8:$K$73,MATCH((B40+C40)/2,'Curve_Interface'!$K$8:$K$73,1))-VAL_DATE)/360)=0,0,((((B40+C40)/2-VAL_DATE)/360)-((INDEX('Curve_Interface'!$K$8:$K$73,MATCH((B40+C40)/2,'Curve_Interface'!$K$8:$K$73,1))-VAL_DATE)/360))/(((INDEX('Curve_Interface'!$K$8:$K$73,MATCH((B40+C40)/2,'Curve_Interface'!$K$8:$K$73,1)+1)-VAL_DATE)/360)-((INDEX('Curve_Interface'!$K$8:$K$73,MATCH((B40+C40)/2,'Curve_Interface'!$K$8:$K$73,1))-VAL_DATE)/360))))*(((B40+C40)/2-VAL_DATE)/360))),INDEX('Curve_Interface'!$L$8:$L$73,MATCH((B40+C40)/2,'Curve_Interface'!$K$8:$K$73,1))*(INDEX('Curve_Interface'!$L$8:$L$73,MATCH((B40+C40)/2,'Curve_Interface'!$K$8:$K$73,1)+1)/INDEX('Curve_Interface'!$L$8:$L$73,MATCH((B40+C40)/2,'Curve_Interface'!$K$8:$K$73,1)))^(((B40+C40)/2-INDEX('Curve_Interface'!$K$8:$K$73,MATCH((B40+C40)/2,'Curve_Interface'!$K$8:$K$73,1)))/(INDEX('Curve_Interface'!$K$8:$K$73,MATCH((B40+C40)/2,'Curve_Interface'!$K$8:$K$73,1)+1)-INDEX('Curve_Interface'!$K$8:$K$73,MATCH((B40+C40)/2,'Curve_Interface'!$K$8:$K$73,1))))),INDEX('Curve_Interface'!$L$8:$L$73,MATCH((B40+C40)/2,'Curve_Interface'!$K$8:$K$73,1)))</f>
        <v/>
      </c>
      <c r="I40" s="36">
        <f>INDEX(Hazard_Bootstrap!$D$7:$D$12,MIN(COUNTIF(Hazard_Bootstrap!$B$7:$B$12,"&lt;"&amp;C40)+1,6))</f>
        <v/>
      </c>
      <c r="J40" s="36">
        <f>K39</f>
        <v/>
      </c>
      <c r="K40" s="36">
        <f>J40*EXP(-I40*E40)</f>
        <v/>
      </c>
      <c r="L40" s="36">
        <f>J40-K40</f>
        <v/>
      </c>
      <c r="M40" s="36">
        <f>D40*G40*K40</f>
        <v/>
      </c>
      <c r="N40" s="36">
        <f>(D40/2)*H40*L40</f>
        <v/>
      </c>
      <c r="O40" s="36">
        <f>H40*L40</f>
        <v/>
      </c>
    </row>
    <row r="41">
      <c r="A41" s="43" t="n">
        <v>35</v>
      </c>
      <c r="B41" s="18">
        <f>C40</f>
        <v/>
      </c>
      <c r="C41" s="18">
        <f>EDATE('Curve_Interface'!$F$7,3*34)</f>
        <v/>
      </c>
      <c r="D41" s="34">
        <f>(C41-B41)/360</f>
        <v/>
      </c>
      <c r="E41" s="34">
        <f>(C41-B41)/365</f>
        <v/>
      </c>
      <c r="F41" s="34">
        <f>(C41-VAL_DATE)/365</f>
        <v/>
      </c>
      <c r="G41" s="36">
        <f>IFERROR(IF(Curve_Interface!$J$7="Piecewise Linear (Simple)",IF(((C41-VAL_DATE)/360)&lt;=0,1,1/(1+(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+(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-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)*IF(((INDEX('Curve_Interface'!$K$8:$K$73,MATCH(C41,'Curve_Interface'!$K$8:$K$73,1)+1)-VAL_DATE)/360)-((INDEX('Curve_Interface'!$K$8:$K$73,MATCH(C41,'Curve_Interface'!$K$8:$K$73,1))-VAL_DATE)/360)=0,0,(((C41-VAL_DATE)/360)-((INDEX('Curve_Interface'!$K$8:$K$73,MATCH(C41,'Curve_Interface'!$K$8:$K$73,1))-VAL_DATE)/360))/(((INDEX('Curve_Interface'!$K$8:$K$73,MATCH(C41,'Curve_Interface'!$K$8:$K$73,1)+1)-VAL_DATE)/360)-((INDEX('Curve_Interface'!$K$8:$K$73,MATCH(C41,'Curve_Interface'!$K$8:$K$73,1))-VAL_DATE)/360))))*((C41-VAL_DATE)/360))),INDEX('Curve_Interface'!$L$8:$L$73,MATCH(C41,'Curve_Interface'!$K$8:$K$73,1))*(INDEX('Curve_Interface'!$L$8:$L$73,MATCH(C41,'Curve_Interface'!$K$8:$K$73,1)+1)/INDEX('Curve_Interface'!$L$8:$L$73,MATCH(C41,'Curve_Interface'!$K$8:$K$73,1)))^((C41-INDEX('Curve_Interface'!$K$8:$K$73,MATCH(C41,'Curve_Interface'!$K$8:$K$73,1)))/(INDEX('Curve_Interface'!$K$8:$K$73,MATCH(C41,'Curve_Interface'!$K$8:$K$73,1)+1)-INDEX('Curve_Interface'!$K$8:$K$73,MATCH(C41,'Curve_Interface'!$K$8:$K$73,1))))),INDEX('Curve_Interface'!$L$8:$L$73,MATCH(C41,'Curve_Interface'!$K$8:$K$73,1)))</f>
        <v/>
      </c>
      <c r="H41" s="36">
        <f>IFERROR(IF(Curve_Interface!$J$7="Piecewise Linear (Simple)",IF((((B41+C41)/2-VAL_DATE)/360)&lt;=0,1,1/(1+(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+(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-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)*IF(((INDEX('Curve_Interface'!$K$8:$K$73,MATCH((B41+C41)/2,'Curve_Interface'!$K$8:$K$73,1)+1)-VAL_DATE)/360)-((INDEX('Curve_Interface'!$K$8:$K$73,MATCH((B41+C41)/2,'Curve_Interface'!$K$8:$K$73,1))-VAL_DATE)/360)=0,0,((((B41+C41)/2-VAL_DATE)/360)-((INDEX('Curve_Interface'!$K$8:$K$73,MATCH((B41+C41)/2,'Curve_Interface'!$K$8:$K$73,1))-VAL_DATE)/360))/(((INDEX('Curve_Interface'!$K$8:$K$73,MATCH((B41+C41)/2,'Curve_Interface'!$K$8:$K$73,1)+1)-VAL_DATE)/360)-((INDEX('Curve_Interface'!$K$8:$K$73,MATCH((B41+C41)/2,'Curve_Interface'!$K$8:$K$73,1))-VAL_DATE)/360))))*(((B41+C41)/2-VAL_DATE)/360))),INDEX('Curve_Interface'!$L$8:$L$73,MATCH((B41+C41)/2,'Curve_Interface'!$K$8:$K$73,1))*(INDEX('Curve_Interface'!$L$8:$L$73,MATCH((B41+C41)/2,'Curve_Interface'!$K$8:$K$73,1)+1)/INDEX('Curve_Interface'!$L$8:$L$73,MATCH((B41+C41)/2,'Curve_Interface'!$K$8:$K$73,1)))^(((B41+C41)/2-INDEX('Curve_Interface'!$K$8:$K$73,MATCH((B41+C41)/2,'Curve_Interface'!$K$8:$K$73,1)))/(INDEX('Curve_Interface'!$K$8:$K$73,MATCH((B41+C41)/2,'Curve_Interface'!$K$8:$K$73,1)+1)-INDEX('Curve_Interface'!$K$8:$K$73,MATCH((B41+C41)/2,'Curve_Interface'!$K$8:$K$73,1))))),INDEX('Curve_Interface'!$L$8:$L$73,MATCH((B41+C41)/2,'Curve_Interface'!$K$8:$K$73,1)))</f>
        <v/>
      </c>
      <c r="I41" s="36">
        <f>INDEX(Hazard_Bootstrap!$D$7:$D$12,MIN(COUNTIF(Hazard_Bootstrap!$B$7:$B$12,"&lt;"&amp;C41)+1,6))</f>
        <v/>
      </c>
      <c r="J41" s="36">
        <f>K40</f>
        <v/>
      </c>
      <c r="K41" s="36">
        <f>J41*EXP(-I41*E41)</f>
        <v/>
      </c>
      <c r="L41" s="36">
        <f>J41-K41</f>
        <v/>
      </c>
      <c r="M41" s="36">
        <f>D41*G41*K41</f>
        <v/>
      </c>
      <c r="N41" s="36">
        <f>(D41/2)*H41*L41</f>
        <v/>
      </c>
      <c r="O41" s="36">
        <f>H41*L41</f>
        <v/>
      </c>
    </row>
    <row r="42">
      <c r="A42" s="43" t="n">
        <v>36</v>
      </c>
      <c r="B42" s="18">
        <f>C41</f>
        <v/>
      </c>
      <c r="C42" s="18">
        <f>EDATE('Curve_Interface'!$F$7,3*35)</f>
        <v/>
      </c>
      <c r="D42" s="34">
        <f>(C42-B42)/360</f>
        <v/>
      </c>
      <c r="E42" s="34">
        <f>(C42-B42)/365</f>
        <v/>
      </c>
      <c r="F42" s="34">
        <f>(C42-VAL_DATE)/365</f>
        <v/>
      </c>
      <c r="G42" s="36">
        <f>IFERROR(IF(Curve_Interface!$J$7="Piecewise Linear (Simple)",IF(((C42-VAL_DATE)/360)&lt;=0,1,1/(1+(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+(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-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)*IF(((INDEX('Curve_Interface'!$K$8:$K$73,MATCH(C42,'Curve_Interface'!$K$8:$K$73,1)+1)-VAL_DATE)/360)-((INDEX('Curve_Interface'!$K$8:$K$73,MATCH(C42,'Curve_Interface'!$K$8:$K$73,1))-VAL_DATE)/360)=0,0,(((C42-VAL_DATE)/360)-((INDEX('Curve_Interface'!$K$8:$K$73,MATCH(C42,'Curve_Interface'!$K$8:$K$73,1))-VAL_DATE)/360))/(((INDEX('Curve_Interface'!$K$8:$K$73,MATCH(C42,'Curve_Interface'!$K$8:$K$73,1)+1)-VAL_DATE)/360)-((INDEX('Curve_Interface'!$K$8:$K$73,MATCH(C42,'Curve_Interface'!$K$8:$K$73,1))-VAL_DATE)/360))))*((C42-VAL_DATE)/360))),INDEX('Curve_Interface'!$L$8:$L$73,MATCH(C42,'Curve_Interface'!$K$8:$K$73,1))*(INDEX('Curve_Interface'!$L$8:$L$73,MATCH(C42,'Curve_Interface'!$K$8:$K$73,1)+1)/INDEX('Curve_Interface'!$L$8:$L$73,MATCH(C42,'Curve_Interface'!$K$8:$K$73,1)))^((C42-INDEX('Curve_Interface'!$K$8:$K$73,MATCH(C42,'Curve_Interface'!$K$8:$K$73,1)))/(INDEX('Curve_Interface'!$K$8:$K$73,MATCH(C42,'Curve_Interface'!$K$8:$K$73,1)+1)-INDEX('Curve_Interface'!$K$8:$K$73,MATCH(C42,'Curve_Interface'!$K$8:$K$73,1))))),INDEX('Curve_Interface'!$L$8:$L$73,MATCH(C42,'Curve_Interface'!$K$8:$K$73,1)))</f>
        <v/>
      </c>
      <c r="H42" s="36">
        <f>IFERROR(IF(Curve_Interface!$J$7="Piecewise Linear (Simple)",IF((((B42+C42)/2-VAL_DATE)/360)&lt;=0,1,1/(1+(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+(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-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)*IF(((INDEX('Curve_Interface'!$K$8:$K$73,MATCH((B42+C42)/2,'Curve_Interface'!$K$8:$K$73,1)+1)-VAL_DATE)/360)-((INDEX('Curve_Interface'!$K$8:$K$73,MATCH((B42+C42)/2,'Curve_Interface'!$K$8:$K$73,1))-VAL_DATE)/360)=0,0,((((B42+C42)/2-VAL_DATE)/360)-((INDEX('Curve_Interface'!$K$8:$K$73,MATCH((B42+C42)/2,'Curve_Interface'!$K$8:$K$73,1))-VAL_DATE)/360))/(((INDEX('Curve_Interface'!$K$8:$K$73,MATCH((B42+C42)/2,'Curve_Interface'!$K$8:$K$73,1)+1)-VAL_DATE)/360)-((INDEX('Curve_Interface'!$K$8:$K$73,MATCH((B42+C42)/2,'Curve_Interface'!$K$8:$K$73,1))-VAL_DATE)/360))))*(((B42+C42)/2-VAL_DATE)/360))),INDEX('Curve_Interface'!$L$8:$L$73,MATCH((B42+C42)/2,'Curve_Interface'!$K$8:$K$73,1))*(INDEX('Curve_Interface'!$L$8:$L$73,MATCH((B42+C42)/2,'Curve_Interface'!$K$8:$K$73,1)+1)/INDEX('Curve_Interface'!$L$8:$L$73,MATCH((B42+C42)/2,'Curve_Interface'!$K$8:$K$73,1)))^(((B42+C42)/2-INDEX('Curve_Interface'!$K$8:$K$73,MATCH((B42+C42)/2,'Curve_Interface'!$K$8:$K$73,1)))/(INDEX('Curve_Interface'!$K$8:$K$73,MATCH((B42+C42)/2,'Curve_Interface'!$K$8:$K$73,1)+1)-INDEX('Curve_Interface'!$K$8:$K$73,MATCH((B42+C42)/2,'Curve_Interface'!$K$8:$K$73,1))))),INDEX('Curve_Interface'!$L$8:$L$73,MATCH((B42+C42)/2,'Curve_Interface'!$K$8:$K$73,1)))</f>
        <v/>
      </c>
      <c r="I42" s="36">
        <f>INDEX(Hazard_Bootstrap!$D$7:$D$12,MIN(COUNTIF(Hazard_Bootstrap!$B$7:$B$12,"&lt;"&amp;C42)+1,6))</f>
        <v/>
      </c>
      <c r="J42" s="36">
        <f>K41</f>
        <v/>
      </c>
      <c r="K42" s="36">
        <f>J42*EXP(-I42*E42)</f>
        <v/>
      </c>
      <c r="L42" s="36">
        <f>J42-K42</f>
        <v/>
      </c>
      <c r="M42" s="36">
        <f>D42*G42*K42</f>
        <v/>
      </c>
      <c r="N42" s="36">
        <f>(D42/2)*H42*L42</f>
        <v/>
      </c>
      <c r="O42" s="36">
        <f>H42*L42</f>
        <v/>
      </c>
    </row>
    <row r="43">
      <c r="A43" s="43" t="n">
        <v>37</v>
      </c>
      <c r="B43" s="18">
        <f>C42</f>
        <v/>
      </c>
      <c r="C43" s="18">
        <f>EDATE('Curve_Interface'!$F$7,3*36)</f>
        <v/>
      </c>
      <c r="D43" s="34">
        <f>(C43-B43)/360</f>
        <v/>
      </c>
      <c r="E43" s="34">
        <f>(C43-B43)/365</f>
        <v/>
      </c>
      <c r="F43" s="34">
        <f>(C43-VAL_DATE)/365</f>
        <v/>
      </c>
      <c r="G43" s="36">
        <f>IFERROR(IF(Curve_Interface!$J$7="Piecewise Linear (Simple)",IF(((C43-VAL_DATE)/360)&lt;=0,1,1/(1+(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+(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-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)*IF(((INDEX('Curve_Interface'!$K$8:$K$73,MATCH(C43,'Curve_Interface'!$K$8:$K$73,1)+1)-VAL_DATE)/360)-((INDEX('Curve_Interface'!$K$8:$K$73,MATCH(C43,'Curve_Interface'!$K$8:$K$73,1))-VAL_DATE)/360)=0,0,(((C43-VAL_DATE)/360)-((INDEX('Curve_Interface'!$K$8:$K$73,MATCH(C43,'Curve_Interface'!$K$8:$K$73,1))-VAL_DATE)/360))/(((INDEX('Curve_Interface'!$K$8:$K$73,MATCH(C43,'Curve_Interface'!$K$8:$K$73,1)+1)-VAL_DATE)/360)-((INDEX('Curve_Interface'!$K$8:$K$73,MATCH(C43,'Curve_Interface'!$K$8:$K$73,1))-VAL_DATE)/360))))*((C43-VAL_DATE)/360))),INDEX('Curve_Interface'!$L$8:$L$73,MATCH(C43,'Curve_Interface'!$K$8:$K$73,1))*(INDEX('Curve_Interface'!$L$8:$L$73,MATCH(C43,'Curve_Interface'!$K$8:$K$73,1)+1)/INDEX('Curve_Interface'!$L$8:$L$73,MATCH(C43,'Curve_Interface'!$K$8:$K$73,1)))^((C43-INDEX('Curve_Interface'!$K$8:$K$73,MATCH(C43,'Curve_Interface'!$K$8:$K$73,1)))/(INDEX('Curve_Interface'!$K$8:$K$73,MATCH(C43,'Curve_Interface'!$K$8:$K$73,1)+1)-INDEX('Curve_Interface'!$K$8:$K$73,MATCH(C43,'Curve_Interface'!$K$8:$K$73,1))))),INDEX('Curve_Interface'!$L$8:$L$73,MATCH(C43,'Curve_Interface'!$K$8:$K$73,1)))</f>
        <v/>
      </c>
      <c r="H43" s="36">
        <f>IFERROR(IF(Curve_Interface!$J$7="Piecewise Linear (Simple)",IF((((B43+C43)/2-VAL_DATE)/360)&lt;=0,1,1/(1+(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+(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-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)*IF(((INDEX('Curve_Interface'!$K$8:$K$73,MATCH((B43+C43)/2,'Curve_Interface'!$K$8:$K$73,1)+1)-VAL_DATE)/360)-((INDEX('Curve_Interface'!$K$8:$K$73,MATCH((B43+C43)/2,'Curve_Interface'!$K$8:$K$73,1))-VAL_DATE)/360)=0,0,((((B43+C43)/2-VAL_DATE)/360)-((INDEX('Curve_Interface'!$K$8:$K$73,MATCH((B43+C43)/2,'Curve_Interface'!$K$8:$K$73,1))-VAL_DATE)/360))/(((INDEX('Curve_Interface'!$K$8:$K$73,MATCH((B43+C43)/2,'Curve_Interface'!$K$8:$K$73,1)+1)-VAL_DATE)/360)-((INDEX('Curve_Interface'!$K$8:$K$73,MATCH((B43+C43)/2,'Curve_Interface'!$K$8:$K$73,1))-VAL_DATE)/360))))*(((B43+C43)/2-VAL_DATE)/360))),INDEX('Curve_Interface'!$L$8:$L$73,MATCH((B43+C43)/2,'Curve_Interface'!$K$8:$K$73,1))*(INDEX('Curve_Interface'!$L$8:$L$73,MATCH((B43+C43)/2,'Curve_Interface'!$K$8:$K$73,1)+1)/INDEX('Curve_Interface'!$L$8:$L$73,MATCH((B43+C43)/2,'Curve_Interface'!$K$8:$K$73,1)))^(((B43+C43)/2-INDEX('Curve_Interface'!$K$8:$K$73,MATCH((B43+C43)/2,'Curve_Interface'!$K$8:$K$73,1)))/(INDEX('Curve_Interface'!$K$8:$K$73,MATCH((B43+C43)/2,'Curve_Interface'!$K$8:$K$73,1)+1)-INDEX('Curve_Interface'!$K$8:$K$73,MATCH((B43+C43)/2,'Curve_Interface'!$K$8:$K$73,1))))),INDEX('Curve_Interface'!$L$8:$L$73,MATCH((B43+C43)/2,'Curve_Interface'!$K$8:$K$73,1)))</f>
        <v/>
      </c>
      <c r="I43" s="36">
        <f>INDEX(Hazard_Bootstrap!$D$7:$D$12,MIN(COUNTIF(Hazard_Bootstrap!$B$7:$B$12,"&lt;"&amp;C43)+1,6))</f>
        <v/>
      </c>
      <c r="J43" s="36">
        <f>K42</f>
        <v/>
      </c>
      <c r="K43" s="36">
        <f>J43*EXP(-I43*E43)</f>
        <v/>
      </c>
      <c r="L43" s="36">
        <f>J43-K43</f>
        <v/>
      </c>
      <c r="M43" s="36">
        <f>D43*G43*K43</f>
        <v/>
      </c>
      <c r="N43" s="36">
        <f>(D43/2)*H43*L43</f>
        <v/>
      </c>
      <c r="O43" s="36">
        <f>H43*L43</f>
        <v/>
      </c>
    </row>
    <row r="44">
      <c r="A44" s="43" t="n">
        <v>38</v>
      </c>
      <c r="B44" s="18">
        <f>C43</f>
        <v/>
      </c>
      <c r="C44" s="18">
        <f>EDATE('Curve_Interface'!$F$7,3*37)</f>
        <v/>
      </c>
      <c r="D44" s="34">
        <f>(C44-B44)/360</f>
        <v/>
      </c>
      <c r="E44" s="34">
        <f>(C44-B44)/365</f>
        <v/>
      </c>
      <c r="F44" s="34">
        <f>(C44-VAL_DATE)/365</f>
        <v/>
      </c>
      <c r="G44" s="36">
        <f>IFERROR(IF(Curve_Interface!$J$7="Piecewise Linear (Simple)",IF(((C44-VAL_DATE)/360)&lt;=0,1,1/(1+(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+(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-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)*IF(((INDEX('Curve_Interface'!$K$8:$K$73,MATCH(C44,'Curve_Interface'!$K$8:$K$73,1)+1)-VAL_DATE)/360)-((INDEX('Curve_Interface'!$K$8:$K$73,MATCH(C44,'Curve_Interface'!$K$8:$K$73,1))-VAL_DATE)/360)=0,0,(((C44-VAL_DATE)/360)-((INDEX('Curve_Interface'!$K$8:$K$73,MATCH(C44,'Curve_Interface'!$K$8:$K$73,1))-VAL_DATE)/360))/(((INDEX('Curve_Interface'!$K$8:$K$73,MATCH(C44,'Curve_Interface'!$K$8:$K$73,1)+1)-VAL_DATE)/360)-((INDEX('Curve_Interface'!$K$8:$K$73,MATCH(C44,'Curve_Interface'!$K$8:$K$73,1))-VAL_DATE)/360))))*((C44-VAL_DATE)/360))),INDEX('Curve_Interface'!$L$8:$L$73,MATCH(C44,'Curve_Interface'!$K$8:$K$73,1))*(INDEX('Curve_Interface'!$L$8:$L$73,MATCH(C44,'Curve_Interface'!$K$8:$K$73,1)+1)/INDEX('Curve_Interface'!$L$8:$L$73,MATCH(C44,'Curve_Interface'!$K$8:$K$73,1)))^((C44-INDEX('Curve_Interface'!$K$8:$K$73,MATCH(C44,'Curve_Interface'!$K$8:$K$73,1)))/(INDEX('Curve_Interface'!$K$8:$K$73,MATCH(C44,'Curve_Interface'!$K$8:$K$73,1)+1)-INDEX('Curve_Interface'!$K$8:$K$73,MATCH(C44,'Curve_Interface'!$K$8:$K$73,1))))),INDEX('Curve_Interface'!$L$8:$L$73,MATCH(C44,'Curve_Interface'!$K$8:$K$73,1)))</f>
        <v/>
      </c>
      <c r="H44" s="36">
        <f>IFERROR(IF(Curve_Interface!$J$7="Piecewise Linear (Simple)",IF((((B44+C44)/2-VAL_DATE)/360)&lt;=0,1,1/(1+(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+(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-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)*IF(((INDEX('Curve_Interface'!$K$8:$K$73,MATCH((B44+C44)/2,'Curve_Interface'!$K$8:$K$73,1)+1)-VAL_DATE)/360)-((INDEX('Curve_Interface'!$K$8:$K$73,MATCH((B44+C44)/2,'Curve_Interface'!$K$8:$K$73,1))-VAL_DATE)/360)=0,0,((((B44+C44)/2-VAL_DATE)/360)-((INDEX('Curve_Interface'!$K$8:$K$73,MATCH((B44+C44)/2,'Curve_Interface'!$K$8:$K$73,1))-VAL_DATE)/360))/(((INDEX('Curve_Interface'!$K$8:$K$73,MATCH((B44+C44)/2,'Curve_Interface'!$K$8:$K$73,1)+1)-VAL_DATE)/360)-((INDEX('Curve_Interface'!$K$8:$K$73,MATCH((B44+C44)/2,'Curve_Interface'!$K$8:$K$73,1))-VAL_DATE)/360))))*(((B44+C44)/2-VAL_DATE)/360))),INDEX('Curve_Interface'!$L$8:$L$73,MATCH((B44+C44)/2,'Curve_Interface'!$K$8:$K$73,1))*(INDEX('Curve_Interface'!$L$8:$L$73,MATCH((B44+C44)/2,'Curve_Interface'!$K$8:$K$73,1)+1)/INDEX('Curve_Interface'!$L$8:$L$73,MATCH((B44+C44)/2,'Curve_Interface'!$K$8:$K$73,1)))^(((B44+C44)/2-INDEX('Curve_Interface'!$K$8:$K$73,MATCH((B44+C44)/2,'Curve_Interface'!$K$8:$K$73,1)))/(INDEX('Curve_Interface'!$K$8:$K$73,MATCH((B44+C44)/2,'Curve_Interface'!$K$8:$K$73,1)+1)-INDEX('Curve_Interface'!$K$8:$K$73,MATCH((B44+C44)/2,'Curve_Interface'!$K$8:$K$73,1))))),INDEX('Curve_Interface'!$L$8:$L$73,MATCH((B44+C44)/2,'Curve_Interface'!$K$8:$K$73,1)))</f>
        <v/>
      </c>
      <c r="I44" s="36">
        <f>INDEX(Hazard_Bootstrap!$D$7:$D$12,MIN(COUNTIF(Hazard_Bootstrap!$B$7:$B$12,"&lt;"&amp;C44)+1,6))</f>
        <v/>
      </c>
      <c r="J44" s="36">
        <f>K43</f>
        <v/>
      </c>
      <c r="K44" s="36">
        <f>J44*EXP(-I44*E44)</f>
        <v/>
      </c>
      <c r="L44" s="36">
        <f>J44-K44</f>
        <v/>
      </c>
      <c r="M44" s="36">
        <f>D44*G44*K44</f>
        <v/>
      </c>
      <c r="N44" s="36">
        <f>(D44/2)*H44*L44</f>
        <v/>
      </c>
      <c r="O44" s="36">
        <f>H44*L44</f>
        <v/>
      </c>
    </row>
    <row r="45">
      <c r="A45" s="43" t="n">
        <v>39</v>
      </c>
      <c r="B45" s="18">
        <f>C44</f>
        <v/>
      </c>
      <c r="C45" s="18">
        <f>EDATE('Curve_Interface'!$F$7,3*38)</f>
        <v/>
      </c>
      <c r="D45" s="34">
        <f>(C45-B45)/360</f>
        <v/>
      </c>
      <c r="E45" s="34">
        <f>(C45-B45)/365</f>
        <v/>
      </c>
      <c r="F45" s="34">
        <f>(C45-VAL_DATE)/365</f>
        <v/>
      </c>
      <c r="G45" s="36">
        <f>IFERROR(IF(Curve_Interface!$J$7="Piecewise Linear (Simple)",IF(((C45-VAL_DATE)/360)&lt;=0,1,1/(1+(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+(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-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)*IF(((INDEX('Curve_Interface'!$K$8:$K$73,MATCH(C45,'Curve_Interface'!$K$8:$K$73,1)+1)-VAL_DATE)/360)-((INDEX('Curve_Interface'!$K$8:$K$73,MATCH(C45,'Curve_Interface'!$K$8:$K$73,1))-VAL_DATE)/360)=0,0,(((C45-VAL_DATE)/360)-((INDEX('Curve_Interface'!$K$8:$K$73,MATCH(C45,'Curve_Interface'!$K$8:$K$73,1))-VAL_DATE)/360))/(((INDEX('Curve_Interface'!$K$8:$K$73,MATCH(C45,'Curve_Interface'!$K$8:$K$73,1)+1)-VAL_DATE)/360)-((INDEX('Curve_Interface'!$K$8:$K$73,MATCH(C45,'Curve_Interface'!$K$8:$K$73,1))-VAL_DATE)/360))))*((C45-VAL_DATE)/360))),INDEX('Curve_Interface'!$L$8:$L$73,MATCH(C45,'Curve_Interface'!$K$8:$K$73,1))*(INDEX('Curve_Interface'!$L$8:$L$73,MATCH(C45,'Curve_Interface'!$K$8:$K$73,1)+1)/INDEX('Curve_Interface'!$L$8:$L$73,MATCH(C45,'Curve_Interface'!$K$8:$K$73,1)))^((C45-INDEX('Curve_Interface'!$K$8:$K$73,MATCH(C45,'Curve_Interface'!$K$8:$K$73,1)))/(INDEX('Curve_Interface'!$K$8:$K$73,MATCH(C45,'Curve_Interface'!$K$8:$K$73,1)+1)-INDEX('Curve_Interface'!$K$8:$K$73,MATCH(C45,'Curve_Interface'!$K$8:$K$73,1))))),INDEX('Curve_Interface'!$L$8:$L$73,MATCH(C45,'Curve_Interface'!$K$8:$K$73,1)))</f>
        <v/>
      </c>
      <c r="H45" s="36">
        <f>IFERROR(IF(Curve_Interface!$J$7="Piecewise Linear (Simple)",IF((((B45+C45)/2-VAL_DATE)/360)&lt;=0,1,1/(1+(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+(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-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)*IF(((INDEX('Curve_Interface'!$K$8:$K$73,MATCH((B45+C45)/2,'Curve_Interface'!$K$8:$K$73,1)+1)-VAL_DATE)/360)-((INDEX('Curve_Interface'!$K$8:$K$73,MATCH((B45+C45)/2,'Curve_Interface'!$K$8:$K$73,1))-VAL_DATE)/360)=0,0,((((B45+C45)/2-VAL_DATE)/360)-((INDEX('Curve_Interface'!$K$8:$K$73,MATCH((B45+C45)/2,'Curve_Interface'!$K$8:$K$73,1))-VAL_DATE)/360))/(((INDEX('Curve_Interface'!$K$8:$K$73,MATCH((B45+C45)/2,'Curve_Interface'!$K$8:$K$73,1)+1)-VAL_DATE)/360)-((INDEX('Curve_Interface'!$K$8:$K$73,MATCH((B45+C45)/2,'Curve_Interface'!$K$8:$K$73,1))-VAL_DATE)/360))))*(((B45+C45)/2-VAL_DATE)/360))),INDEX('Curve_Interface'!$L$8:$L$73,MATCH((B45+C45)/2,'Curve_Interface'!$K$8:$K$73,1))*(INDEX('Curve_Interface'!$L$8:$L$73,MATCH((B45+C45)/2,'Curve_Interface'!$K$8:$K$73,1)+1)/INDEX('Curve_Interface'!$L$8:$L$73,MATCH((B45+C45)/2,'Curve_Interface'!$K$8:$K$73,1)))^(((B45+C45)/2-INDEX('Curve_Interface'!$K$8:$K$73,MATCH((B45+C45)/2,'Curve_Interface'!$K$8:$K$73,1)))/(INDEX('Curve_Interface'!$K$8:$K$73,MATCH((B45+C45)/2,'Curve_Interface'!$K$8:$K$73,1)+1)-INDEX('Curve_Interface'!$K$8:$K$73,MATCH((B45+C45)/2,'Curve_Interface'!$K$8:$K$73,1))))),INDEX('Curve_Interface'!$L$8:$L$73,MATCH((B45+C45)/2,'Curve_Interface'!$K$8:$K$73,1)))</f>
        <v/>
      </c>
      <c r="I45" s="36">
        <f>INDEX(Hazard_Bootstrap!$D$7:$D$12,MIN(COUNTIF(Hazard_Bootstrap!$B$7:$B$12,"&lt;"&amp;C45)+1,6))</f>
        <v/>
      </c>
      <c r="J45" s="36">
        <f>K44</f>
        <v/>
      </c>
      <c r="K45" s="36">
        <f>J45*EXP(-I45*E45)</f>
        <v/>
      </c>
      <c r="L45" s="36">
        <f>J45-K45</f>
        <v/>
      </c>
      <c r="M45" s="36">
        <f>D45*G45*K45</f>
        <v/>
      </c>
      <c r="N45" s="36">
        <f>(D45/2)*H45*L45</f>
        <v/>
      </c>
      <c r="O45" s="36">
        <f>H45*L45</f>
        <v/>
      </c>
    </row>
    <row r="46">
      <c r="A46" s="43" t="n">
        <v>40</v>
      </c>
      <c r="B46" s="18">
        <f>C45</f>
        <v/>
      </c>
      <c r="C46" s="18">
        <f>EDATE('Curve_Interface'!$F$7,3*39)</f>
        <v/>
      </c>
      <c r="D46" s="34">
        <f>(C46-B46)/360</f>
        <v/>
      </c>
      <c r="E46" s="34">
        <f>(C46-B46)/365</f>
        <v/>
      </c>
      <c r="F46" s="34">
        <f>(C46-VAL_DATE)/365</f>
        <v/>
      </c>
      <c r="G46" s="36">
        <f>IFERROR(IF(Curve_Interface!$J$7="Piecewise Linear (Simple)",IF(((C46-VAL_DATE)/360)&lt;=0,1,1/(1+(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+(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-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)*IF(((INDEX('Curve_Interface'!$K$8:$K$73,MATCH(C46,'Curve_Interface'!$K$8:$K$73,1)+1)-VAL_DATE)/360)-((INDEX('Curve_Interface'!$K$8:$K$73,MATCH(C46,'Curve_Interface'!$K$8:$K$73,1))-VAL_DATE)/360)=0,0,(((C46-VAL_DATE)/360)-((INDEX('Curve_Interface'!$K$8:$K$73,MATCH(C46,'Curve_Interface'!$K$8:$K$73,1))-VAL_DATE)/360))/(((INDEX('Curve_Interface'!$K$8:$K$73,MATCH(C46,'Curve_Interface'!$K$8:$K$73,1)+1)-VAL_DATE)/360)-((INDEX('Curve_Interface'!$K$8:$K$73,MATCH(C46,'Curve_Interface'!$K$8:$K$73,1))-VAL_DATE)/360))))*((C46-VAL_DATE)/360))),INDEX('Curve_Interface'!$L$8:$L$73,MATCH(C46,'Curve_Interface'!$K$8:$K$73,1))*(INDEX('Curve_Interface'!$L$8:$L$73,MATCH(C46,'Curve_Interface'!$K$8:$K$73,1)+1)/INDEX('Curve_Interface'!$L$8:$L$73,MATCH(C46,'Curve_Interface'!$K$8:$K$73,1)))^((C46-INDEX('Curve_Interface'!$K$8:$K$73,MATCH(C46,'Curve_Interface'!$K$8:$K$73,1)))/(INDEX('Curve_Interface'!$K$8:$K$73,MATCH(C46,'Curve_Interface'!$K$8:$K$73,1)+1)-INDEX('Curve_Interface'!$K$8:$K$73,MATCH(C46,'Curve_Interface'!$K$8:$K$73,1))))),INDEX('Curve_Interface'!$L$8:$L$73,MATCH(C46,'Curve_Interface'!$K$8:$K$73,1)))</f>
        <v/>
      </c>
      <c r="H46" s="36">
        <f>IFERROR(IF(Curve_Interface!$J$7="Piecewise Linear (Simple)",IF((((B46+C46)/2-VAL_DATE)/360)&lt;=0,1,1/(1+(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+(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-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)*IF(((INDEX('Curve_Interface'!$K$8:$K$73,MATCH((B46+C46)/2,'Curve_Interface'!$K$8:$K$73,1)+1)-VAL_DATE)/360)-((INDEX('Curve_Interface'!$K$8:$K$73,MATCH((B46+C46)/2,'Curve_Interface'!$K$8:$K$73,1))-VAL_DATE)/360)=0,0,((((B46+C46)/2-VAL_DATE)/360)-((INDEX('Curve_Interface'!$K$8:$K$73,MATCH((B46+C46)/2,'Curve_Interface'!$K$8:$K$73,1))-VAL_DATE)/360))/(((INDEX('Curve_Interface'!$K$8:$K$73,MATCH((B46+C46)/2,'Curve_Interface'!$K$8:$K$73,1)+1)-VAL_DATE)/360)-((INDEX('Curve_Interface'!$K$8:$K$73,MATCH((B46+C46)/2,'Curve_Interface'!$K$8:$K$73,1))-VAL_DATE)/360))))*(((B46+C46)/2-VAL_DATE)/360))),INDEX('Curve_Interface'!$L$8:$L$73,MATCH((B46+C46)/2,'Curve_Interface'!$K$8:$K$73,1))*(INDEX('Curve_Interface'!$L$8:$L$73,MATCH((B46+C46)/2,'Curve_Interface'!$K$8:$K$73,1)+1)/INDEX('Curve_Interface'!$L$8:$L$73,MATCH((B46+C46)/2,'Curve_Interface'!$K$8:$K$73,1)))^(((B46+C46)/2-INDEX('Curve_Interface'!$K$8:$K$73,MATCH((B46+C46)/2,'Curve_Interface'!$K$8:$K$73,1)))/(INDEX('Curve_Interface'!$K$8:$K$73,MATCH((B46+C46)/2,'Curve_Interface'!$K$8:$K$73,1)+1)-INDEX('Curve_Interface'!$K$8:$K$73,MATCH((B46+C46)/2,'Curve_Interface'!$K$8:$K$73,1))))),INDEX('Curve_Interface'!$L$8:$L$73,MATCH((B46+C46)/2,'Curve_Interface'!$K$8:$K$73,1)))</f>
        <v/>
      </c>
      <c r="I46" s="36">
        <f>INDEX(Hazard_Bootstrap!$D$7:$D$12,MIN(COUNTIF(Hazard_Bootstrap!$B$7:$B$12,"&lt;"&amp;C46)+1,6))</f>
        <v/>
      </c>
      <c r="J46" s="36">
        <f>K45</f>
        <v/>
      </c>
      <c r="K46" s="36">
        <f>J46*EXP(-I46*E46)</f>
        <v/>
      </c>
      <c r="L46" s="36">
        <f>J46-K46</f>
        <v/>
      </c>
      <c r="M46" s="36">
        <f>D46*G46*K46</f>
        <v/>
      </c>
      <c r="N46" s="36">
        <f>(D46/2)*H46*L46</f>
        <v/>
      </c>
      <c r="O46" s="36">
        <f>H46*L46</f>
        <v/>
      </c>
    </row>
  </sheetData>
  <mergeCells count="1">
    <mergeCell ref="A4:O5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6A1B9A"/>
    <outlinePr summaryBelow="1" summaryRight="1"/>
    <pageSetUpPr/>
  </sheetPr>
  <dimension ref="A1:O54"/>
  <sheetViews>
    <sheetView showGridLines="0" workbookViewId="0">
      <pane xSplit="1" ySplit="10" topLeftCell="B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8" customWidth="1" min="2" max="2"/>
    <col width="78" customWidth="1" min="10" max="10"/>
  </cols>
  <sheetData>
    <row r="1">
      <c r="A1" s="1" t="inlineStr">
        <is>
          <t>CDS_Pricer</t>
        </is>
      </c>
    </row>
    <row r="2">
      <c r="A2" s="2" t="inlineStr">
        <is>
          <t>Prices a CDS off the SOFR discount curve and the stripped hazard curve. Equations on Model_Notes.</t>
        </is>
      </c>
    </row>
    <row r="3">
      <c r="J3" s="136" t="inlineStr">
        <is>
          <t>PRICING EQUATIONS</t>
        </is>
      </c>
    </row>
    <row r="4">
      <c r="A4" s="5" t="inlineStr">
        <is>
          <t>Notional</t>
        </is>
      </c>
      <c r="B4" s="21">
        <f>CDS_Parameters!$B$9</f>
        <v/>
      </c>
      <c r="J4" s="138" t="inlineStr">
        <is>
          <t>(3.1)  Market Value = Protection Leg - Premium Leg</t>
        </is>
      </c>
    </row>
    <row r="5">
      <c r="A5" s="5" t="inlineStr">
        <is>
          <t>Recovery R</t>
        </is>
      </c>
      <c r="B5" s="58">
        <f>CDS_Parameters!$B$8</f>
        <v/>
      </c>
      <c r="J5" s="139" t="inlineStr">
        <is>
          <t xml:space="preserve">       both discounted to the pricing date T</t>
        </is>
      </c>
    </row>
    <row r="6">
      <c r="A6" s="5" t="inlineStr">
        <is>
          <t>Contractual coupon (bp)</t>
        </is>
      </c>
      <c r="B6" s="41">
        <f>CDS_Parameters!$B$10</f>
        <v/>
      </c>
      <c r="C6" s="16" t="inlineStr">
        <is>
          <t>Overtype to price an off-market coupon.</t>
        </is>
      </c>
      <c r="J6" s="138" t="inlineStr">
        <is>
          <t>(3.2)  Upfront      = Market Value / D(T_s) + Accrued Interest</t>
        </is>
      </c>
    </row>
    <row r="7">
      <c r="A7" s="5" t="inlineStr">
        <is>
          <t>Maturity (tenor yrs)</t>
        </is>
      </c>
      <c r="B7" s="41">
        <f>IF(Steps!$B$9="",5,Steps!$B$9)</f>
        <v/>
      </c>
      <c r="J7" s="138" t="inlineStr">
        <is>
          <t>(3.3)  Par spread S = Protection / (Premium - AI*D(T_s))   at C=1bp</t>
        </is>
      </c>
    </row>
    <row r="8">
      <c r="A8" s="5" t="inlineStr">
        <is>
          <t>Maturity date</t>
        </is>
      </c>
      <c r="B8" s="18">
        <f>EDATE('Curve_Interface'!$F$7,3*(4*B7-1))</f>
        <v/>
      </c>
      <c r="J8" s="137" t="n"/>
    </row>
    <row r="9">
      <c r="A9" s="5" t="inlineStr">
        <is>
          <t>Direction</t>
        </is>
      </c>
      <c r="B9" s="6">
        <f>CDS_Parameters!$B$15</f>
        <v/>
      </c>
      <c r="J9" s="138" t="inlineStr">
        <is>
          <t>O-T (1b)  MTM = +/- [ S(t_V,t_N) - S(t_0,t_N) ] * RPV01</t>
        </is>
      </c>
    </row>
    <row r="10">
      <c r="A10" s="11" t="n"/>
      <c r="B10" s="11" t="n"/>
      <c r="J10" s="139" t="inlineStr">
        <is>
          <t xml:space="preserve">          equivalent form, + for long protection</t>
        </is>
      </c>
    </row>
    <row r="11">
      <c r="A11" s="59" t="inlineStr">
        <is>
          <t>RESULTS</t>
        </is>
      </c>
      <c r="B11" s="11" t="n"/>
      <c r="J11" s="137" t="n"/>
    </row>
    <row r="12">
      <c r="A12" s="5" t="inlineStr">
        <is>
          <t>RPV01 (risky annuity)</t>
        </is>
      </c>
      <c r="B12" s="17">
        <f>SUMIF(CDS_Schedule!$C$7:$C$46,"&lt;="&amp;B8,CDS_Schedule!$M$7:$M$46)+SUMIF(CDS_Schedule!$C$7:$C$46,"&lt;="&amp;B8,CDS_Schedule!$N$7:$N$46)</f>
        <v/>
      </c>
      <c r="C12" s="16" t="inlineStr">
        <is>
          <t>Scheduled + accrual-on-default.</t>
        </is>
      </c>
      <c r="J12" s="138" t="inlineStr">
        <is>
          <t>Accrued Interest = A * C * D0,   D0 = accrued days / 360</t>
        </is>
      </c>
    </row>
    <row r="13">
      <c r="A13" s="5" t="inlineStr">
        <is>
          <t>Protection PV</t>
        </is>
      </c>
      <c r="B13" s="44">
        <f>B4*(1-B5)*SUMIF(CDS_Schedule!$C$7:$C$46,"&lt;="&amp;B8,CDS_Schedule!$O$7:$O$46)</f>
        <v/>
      </c>
      <c r="J13" s="139" t="inlineStr">
        <is>
          <t>accrued days include the pricing date (p.7)</t>
        </is>
      </c>
    </row>
    <row r="14">
      <c r="A14" s="5" t="inlineStr">
        <is>
          <t>Premium PV (@ coupon)</t>
        </is>
      </c>
      <c r="B14" s="44">
        <f>B4*(B6/10000)*B12</f>
        <v/>
      </c>
      <c r="J14" s="139" t="inlineStr">
        <is>
          <t>T_s = T + 3 business days (p.6)</t>
        </is>
      </c>
    </row>
    <row r="15">
      <c r="A15" s="132" t="inlineStr">
        <is>
          <t>Par spread (bp)  (3.3)</t>
        </is>
      </c>
      <c r="B15" s="133">
        <f>(1-B5)*SUMIF(CDS_Schedule!$C$7:$C$46,"&lt;="&amp;B8,CDS_Schedule!$O$7:$O$46)/(B12-CDS_Parameters!$B$26)*10000</f>
        <v/>
      </c>
      <c r="C15" s="65" t="inlineStr">
        <is>
          <t>Protection / (RPV01 net of accrued interest x D(T_s)).</t>
        </is>
      </c>
      <c r="J15" s="137" t="n"/>
    </row>
    <row r="16">
      <c r="A16" s="5" t="inlineStr">
        <is>
          <t>PV: protection buyer</t>
        </is>
      </c>
      <c r="B16" s="44">
        <f>B13-B14</f>
        <v/>
      </c>
      <c r="C16" s="16" t="inlineStr">
        <is>
          <t>Protection − Premium.</t>
        </is>
      </c>
      <c r="J16" s="139" t="inlineStr">
        <is>
          <t>Upfront is identically 0 when C = S. That is the check that accrued</t>
        </is>
      </c>
    </row>
    <row r="17">
      <c r="A17" s="5" t="inlineStr">
        <is>
          <t>PV to your direction</t>
        </is>
      </c>
      <c r="B17" s="44">
        <f>IF(B9="Buy protection",B13-B14,B14-B13)</f>
        <v/>
      </c>
      <c r="J17" s="139" t="inlineStr">
        <is>
          <t>interest enters with a + sign, which the wording alone does not settle.</t>
        </is>
      </c>
    </row>
    <row r="18">
      <c r="A18" s="5" t="inlineStr">
        <is>
          <t>Upfront (% notional)</t>
        </is>
      </c>
      <c r="B18" s="60">
        <f>B17/B4*100</f>
        <v/>
      </c>
    </row>
    <row r="19">
      <c r="A19" s="132" t="inlineStr">
        <is>
          <t>PV01  (premium leg net of AI, per 1bp)</t>
        </is>
      </c>
      <c r="B19" s="120">
        <f>B4*(B12-CDS_Parameters!$B$26)*0.0001</f>
        <v/>
      </c>
    </row>
    <row r="20">
      <c r="A20" s="94" t="inlineStr">
        <is>
          <t>Market Value  (3.1)</t>
        </is>
      </c>
      <c r="B20" s="119">
        <f>B13-B14</f>
        <v/>
      </c>
      <c r="C20" s="65" t="inlineStr">
        <is>
          <t>Protection leg minus premium leg, both to the pricing date.</t>
        </is>
      </c>
      <c r="N20" s="66">
        <f>IFERROR(CDS_RiskLoaded(),"CDSRisk.bas NOT imported")</f>
        <v/>
      </c>
    </row>
    <row r="21">
      <c r="A21" s="67" t="inlineStr">
        <is>
          <t>RISK MEASURES (full revalue, curve re-stripped on each bump)</t>
        </is>
      </c>
      <c r="N21" s="67" t="inlineStr">
        <is>
          <t>full-revalue working</t>
        </is>
      </c>
    </row>
    <row r="22">
      <c r="A22" s="5" t="inlineStr">
        <is>
          <t>CS01 / Spread DV01  (+1bp)</t>
        </is>
      </c>
      <c r="B22" s="44">
        <f>IF(OR($O$22="",$O$23=""),"",$O$23-$O$22)</f>
        <v/>
      </c>
      <c r="C22" s="177" t="inlineStr">
        <is>
          <t>Spread DV01: revalue at +1bp on every quote, curve re-stripped (p.9).</t>
        </is>
      </c>
      <c r="N22" s="126" t="inlineStr">
        <is>
          <t>MV base</t>
        </is>
      </c>
      <c r="O22" s="229">
        <f>IFERROR(CDS_MarketValue(0,0,0,Hazard_Bootstrap!$B$7:$B$12,Hazard_Bootstrap!$C$7:$C$12,CDS_Parameters!$B$8,CDS_Parameters!$B$26,CDS_Schedule!$C$7:$C$46,CDS_Schedule!$D$7:$D$46,CDS_Schedule!$E$7:$E$46,CDS_Schedule!$F$7:$F$46,CDS_Schedule!$G$7:$G$46,CDS_Schedule!$H$7:$H$46,$B$4,$B$6,$B$8),"")</f>
        <v/>
      </c>
    </row>
    <row r="23">
      <c r="A23" s="5" t="inlineStr">
        <is>
          <t>IR DV01  (+1bp rates)</t>
        </is>
      </c>
      <c r="B23" s="44">
        <f>IF(OR($O$22="",$O$24=""),"",$O$24-$O$22)</f>
        <v/>
      </c>
      <c r="C23" s="177" t="inlineStr">
        <is>
          <t>IR DV01: parallel +1bp on the discount curve, curve re-stripped.</t>
        </is>
      </c>
      <c r="N23" s="126" t="inlineStr">
        <is>
          <t>MV  spreads +1bp</t>
        </is>
      </c>
      <c r="O23" s="229">
        <f>IFERROR(CDS_MarketValue(1,0,0,Hazard_Bootstrap!$B$7:$B$12,Hazard_Bootstrap!$C$7:$C$12,CDS_Parameters!$B$8,CDS_Parameters!$B$26,CDS_Schedule!$C$7:$C$46,CDS_Schedule!$D$7:$D$46,CDS_Schedule!$E$7:$E$46,CDS_Schedule!$F$7:$F$46,CDS_Schedule!$G$7:$G$46,CDS_Schedule!$H$7:$H$46,$B$4,$B$6,$B$8),"")</f>
        <v/>
      </c>
    </row>
    <row r="24">
      <c r="A24" s="5" t="inlineStr">
        <is>
          <t>Rec01  (+1% recovery)</t>
        </is>
      </c>
      <c r="B24" s="44">
        <f>IF(OR($O$22="",$O$25=""),"",$O$25-$O$22)</f>
        <v/>
      </c>
      <c r="C24" s="177" t="inlineStr">
        <is>
          <t>Rec01: recovery +1%, hazards re-fitted so the quotes still reprice.</t>
        </is>
      </c>
      <c r="N24" s="126" t="inlineStr">
        <is>
          <t>MV  rates +1bp</t>
        </is>
      </c>
      <c r="O24" s="229">
        <f>IFERROR(CDS_MarketValue(0,1,0,Hazard_Bootstrap!$B$7:$B$12,Hazard_Bootstrap!$C$7:$C$12,CDS_Parameters!$B$8,CDS_Parameters!$B$26,CDS_Schedule!$C$7:$C$46,CDS_Schedule!$D$7:$D$46,CDS_Schedule!$E$7:$E$46,CDS_Schedule!$F$7:$F$46,CDS_Schedule!$G$7:$G$46,CDS_Schedule!$H$7:$H$46,$B$4,$B$6,$B$8),"")</f>
        <v/>
      </c>
    </row>
    <row r="25">
      <c r="A25" s="5" t="inlineStr">
        <is>
          <t>Jump-to-default (immediate)</t>
        </is>
      </c>
      <c r="B25" s="45">
        <f>IF(B9="Buy protection",B4*(1-B5),-B4*(1-B5))-B17</f>
        <v/>
      </c>
      <c r="C25" s="16" t="inlineStr">
        <is>
          <t>Default-now P&amp;L to your direction: LGD payout - current PV.</t>
        </is>
      </c>
      <c r="N25" s="126" t="inlineStr">
        <is>
          <t>MV  recovery +1%</t>
        </is>
      </c>
      <c r="O25" s="229">
        <f>IFERROR(CDS_MarketValue(0,0,0.01,Hazard_Bootstrap!$B$7:$B$12,Hazard_Bootstrap!$C$7:$C$12,CDS_Parameters!$B$8,CDS_Parameters!$B$26,CDS_Schedule!$C$7:$C$46,CDS_Schedule!$D$7:$D$46,CDS_Schedule!$E$7:$E$46,CDS_Schedule!$F$7:$F$46,CDS_Schedule!$G$7:$G$46,CDS_Schedule!$H$7:$H$46,$B$4,$B$6,$B$8),"")</f>
        <v/>
      </c>
    </row>
    <row r="26">
      <c r="A26" s="94" t="inlineStr">
        <is>
          <t>Accrued Interest  A*C*D0</t>
        </is>
      </c>
      <c r="B26" s="120">
        <f>B4*(B6/10000)*CDS_Parameters!$B$25</f>
        <v/>
      </c>
      <c r="N26" s="177" t="inlineStr">
        <is>
          <t>Each measure is a difference of two full valuations. Holding hazards fixed and multiplying RPV01 by a bump answers a different question - that is what made Rec01 come out with the wrong sign.</t>
        </is>
      </c>
    </row>
    <row r="27">
      <c r="A27" s="67" t="inlineStr">
        <is>
          <t>Upfront  (3.2)</t>
        </is>
      </c>
      <c r="B27" s="119">
        <f>B20/CDS_Parameters!$B$22+B26</f>
        <v/>
      </c>
      <c r="C27" s="65" t="inlineStr">
        <is>
          <t>Market Value / D(T_s) + Accrued Interest. Identically zero when C = S.</t>
        </is>
      </c>
      <c r="N27" s="177" t="inlineStr">
        <is>
          <t>If N20 says loaded but O22:O25 are blank, the call itself is failing - not the module. Delete the IFERROR wrapper on O22 to see the real error.</t>
        </is>
      </c>
    </row>
    <row r="28">
      <c r="A28" s="67" t="inlineStr">
        <is>
          <t>CDSW SCREEN OUTPUT</t>
        </is>
      </c>
    </row>
    <row r="29">
      <c r="A29" s="65" t="inlineStr">
        <is>
          <t>Settlement figures in CDSW order. S = par spread from the curve (B15), C = contractual coupon (B6).</t>
        </is>
      </c>
    </row>
    <row r="30">
      <c r="A30" s="94" t="inlineStr">
        <is>
          <t>1st accrual start</t>
        </is>
      </c>
      <c r="B30" s="86">
        <f>IF(MONTH((EDATE(CDS_Parameters!$B$5,-3)+IF(WEEKDAY(EDATE(CDS_Parameters!$B$5,-3),2)=6,2,IF(WEEKDAY(EDATE(CDS_Parameters!$B$5,-3),2)=7,1,0))))&lt;&gt;MONTH(EDATE(CDS_Parameters!$B$5,-3)),(EDATE(CDS_Parameters!$B$5,-3)-IF(WEEKDAY(EDATE(CDS_Parameters!$B$5,-3),2)=6,1,IF(WEEKDAY(EDATE(CDS_Parameters!$B$5,-3),2)=7,2,0))),(EDATE(CDS_Parameters!$B$5,-3)+IF(WEEKDAY(EDATE(CDS_Parameters!$B$5,-3),2)=6,2,IF(WEEKDAY(EDATE(CDS_Parameters!$B$5,-3),2)=7,1,0))))</f>
        <v/>
      </c>
      <c r="C30" s="65" t="inlineStr">
        <is>
          <t>Previous IMM roll, business-day adjusted. 20 Jun 2026 is a Saturday, so the screen shows 06/22/26.</t>
        </is>
      </c>
    </row>
    <row r="31">
      <c r="A31" s="67" t="inlineStr">
        <is>
          <t>Points upfront</t>
        </is>
      </c>
      <c r="B31" s="71">
        <f>IF($B$27="","",IF($B$9="Buy protection",1,-1)*$B$27/$B$4*100)</f>
        <v/>
      </c>
      <c r="C31" s="177" t="inlineStr">
        <is>
          <t>Principal / notional. From (3.2), not (S-C)*RPV01.</t>
        </is>
      </c>
    </row>
    <row r="32">
      <c r="A32" s="67" t="inlineStr">
        <is>
          <t>Price</t>
        </is>
      </c>
      <c r="B32" s="71">
        <f>IF($B$31="","",100-$B$31)</f>
        <v/>
      </c>
      <c r="C32" s="177" t="inlineStr">
        <is>
          <t>100 - points upfront.</t>
        </is>
      </c>
    </row>
    <row r="33">
      <c r="A33" s="94" t="inlineStr">
        <is>
          <t>Principal</t>
        </is>
      </c>
      <c r="B33" s="103">
        <f>IF($B$27="","",IF($B$9="Buy protection",1,-1)*$B$27)</f>
        <v/>
      </c>
      <c r="C33" s="177" t="inlineStr">
        <is>
          <t>Upfront (3.2) = Market Value / D(T_s) + Accrued Interest.</t>
        </is>
      </c>
    </row>
    <row r="34">
      <c r="A34" s="94" t="inlineStr">
        <is>
          <t>Accrued days</t>
        </is>
      </c>
      <c r="B34" s="104">
        <f>MAX(0,CDS_Parameters!$B$4-B30+1)</f>
        <v/>
      </c>
      <c r="C34" s="65" t="inlineStr">
        <is>
          <t>ISDA counts both endpoints.</t>
        </is>
      </c>
    </row>
    <row r="35">
      <c r="A35" s="94" t="inlineStr">
        <is>
          <t>Accrued</t>
        </is>
      </c>
      <c r="B35" s="103">
        <f>-IF(CDS_Parameters!$B$15="Buy protection",1,-1)*CDS_Parameters!$B$10/10000*CDS_Parameters!$B$9*B34/360</f>
        <v/>
      </c>
      <c r="C35" s="65" t="inlineStr">
        <is>
          <t>Coupon * notional * days/360.</t>
        </is>
      </c>
    </row>
    <row r="36">
      <c r="A36" s="67" t="inlineStr">
        <is>
          <t>Cash Amount</t>
        </is>
      </c>
      <c r="B36" s="105">
        <f>IF(OR($B$33="",$B$35=""),"",$B$33+$B$35)</f>
        <v/>
      </c>
      <c r="C36" s="177" t="inlineStr">
        <is>
          <t>Principal + accrued.</t>
        </is>
      </c>
    </row>
    <row r="37">
      <c r="A37" s="94" t="inlineStr">
        <is>
          <t>Default Exposure</t>
        </is>
      </c>
      <c r="B37" s="103">
        <f>IF($B$33="","",(1-$B$5)*$B$4-$B$33)</f>
        <v/>
      </c>
      <c r="C37" s="177" t="inlineStr">
        <is>
          <t>(1-R) * notional less the principal already paid.</t>
        </is>
      </c>
    </row>
    <row r="38">
      <c r="A38" s="177" t="inlineStr">
        <is>
          <t>CDSW order. Principal is (3.2) end to end: Market Value / D(T_s) + Accrued Interest, compounded to settlement three business days on. The (S-C)*RPV01 shortcut drops the -S*AI term and the compounding.</t>
        </is>
      </c>
    </row>
    <row r="39">
      <c r="A39" s="65" t="n"/>
    </row>
    <row r="41">
      <c r="A41" s="67" t="inlineStr">
        <is>
          <t>MODEL vs CAPTURED CDSW  (active entity)</t>
        </is>
      </c>
    </row>
    <row r="42">
      <c r="A42" s="177" t="inlineStr">
        <is>
          <t>Blank until a CDSW capture is typed into CDS_Entities O:AC for the live name. A zero there reads as no capture, not as a captured zero.</t>
        </is>
      </c>
    </row>
    <row r="43">
      <c r="A43" s="141" t="inlineStr">
        <is>
          <t>Measure</t>
        </is>
      </c>
      <c r="B43" s="141" t="inlineStr">
        <is>
          <t>CDSW captured</t>
        </is>
      </c>
      <c r="C43" s="141" t="inlineStr">
        <is>
          <t>Model</t>
        </is>
      </c>
      <c r="D43" s="141" t="inlineStr">
        <is>
          <t>Diff</t>
        </is>
      </c>
    </row>
    <row r="44">
      <c r="A44" s="94" t="inlineStr">
        <is>
          <t>Points upfront</t>
        </is>
      </c>
      <c r="B44" s="87">
        <f>IFERROR(IF(N(INDEX(CDS_Entities!$S$5:$S$14,CDS_Parameters!$B$28))=0,"",INDEX(CDS_Entities!$S$5:$S$14,CDS_Parameters!$B$28)),"")</f>
        <v/>
      </c>
      <c r="C44" s="93">
        <f>B31</f>
        <v/>
      </c>
      <c r="D44" s="93">
        <f>IF(OR(B44="",NOT(ISNUMBER(B44)),NOT(ISNUMBER(C44))),"",C44-B44)</f>
        <v/>
      </c>
    </row>
    <row r="45">
      <c r="A45" s="94" t="inlineStr">
        <is>
          <t>Price</t>
        </is>
      </c>
      <c r="B45" s="87">
        <f>IFERROR(IF(N(INDEX(CDS_Entities!$T$5:$T$14,CDS_Parameters!$B$28))=0,"",INDEX(CDS_Entities!$T$5:$T$14,CDS_Parameters!$B$28)),"")</f>
        <v/>
      </c>
      <c r="C45" s="93">
        <f>B32</f>
        <v/>
      </c>
      <c r="D45" s="93">
        <f>IF(OR(B45="",NOT(ISNUMBER(B45)),NOT(ISNUMBER(C45))),"",C45-B45)</f>
        <v/>
      </c>
    </row>
    <row r="46">
      <c r="A46" s="94" t="inlineStr">
        <is>
          <t>Principal</t>
        </is>
      </c>
      <c r="B46" s="87">
        <f>IFERROR(IF(N(INDEX(CDS_Entities!$U$5:$U$14,CDS_Parameters!$B$28))=0,"",INDEX(CDS_Entities!$U$5:$U$14,CDS_Parameters!$B$28)),"")</f>
        <v/>
      </c>
      <c r="C46" s="93">
        <f>B33</f>
        <v/>
      </c>
      <c r="D46" s="93">
        <f>IF(OR(B46="",NOT(ISNUMBER(B46)),NOT(ISNUMBER(C46))),"",C46-B46)</f>
        <v/>
      </c>
    </row>
    <row r="47">
      <c r="A47" s="94" t="inlineStr">
        <is>
          <t>Accrued days</t>
        </is>
      </c>
      <c r="B47" s="87">
        <f>IFERROR(IF(N(INDEX(CDS_Entities!$V$5:$V$14,CDS_Parameters!$B$28))=0,"",INDEX(CDS_Entities!$V$5:$V$14,CDS_Parameters!$B$28)),"")</f>
        <v/>
      </c>
      <c r="C47" s="93">
        <f>B34</f>
        <v/>
      </c>
      <c r="D47" s="93">
        <f>IF(OR(B47="",NOT(ISNUMBER(B47)),NOT(ISNUMBER(C47))),"",C47-B47)</f>
        <v/>
      </c>
    </row>
    <row r="48">
      <c r="A48" s="94" t="inlineStr">
        <is>
          <t>Accrued</t>
        </is>
      </c>
      <c r="B48" s="87">
        <f>IFERROR(IF(N(INDEX(CDS_Entities!$W$5:$W$14,CDS_Parameters!$B$28))=0,"",INDEX(CDS_Entities!$W$5:$W$14,CDS_Parameters!$B$28)),"")</f>
        <v/>
      </c>
      <c r="C48" s="93">
        <f>B35</f>
        <v/>
      </c>
      <c r="D48" s="93">
        <f>IF(OR(B48="",NOT(ISNUMBER(B48)),NOT(ISNUMBER(C48))),"",C48-B48)</f>
        <v/>
      </c>
    </row>
    <row r="49">
      <c r="A49" s="94" t="inlineStr">
        <is>
          <t>Cash amount</t>
        </is>
      </c>
      <c r="B49" s="87">
        <f>IFERROR(IF(N(INDEX(CDS_Entities!$X$5:$X$14,CDS_Parameters!$B$28))=0,"",INDEX(CDS_Entities!$X$5:$X$14,CDS_Parameters!$B$28)),"")</f>
        <v/>
      </c>
      <c r="C49" s="93">
        <f>B36</f>
        <v/>
      </c>
      <c r="D49" s="93">
        <f>IF(OR(B49="",NOT(ISNUMBER(B49)),NOT(ISNUMBER(C49))),"",C49-B49)</f>
        <v/>
      </c>
    </row>
    <row r="50">
      <c r="A50" s="94" t="inlineStr">
        <is>
          <t>Def exposure</t>
        </is>
      </c>
      <c r="B50" s="87">
        <f>IFERROR(IF(N(INDEX(CDS_Entities!$AB$5:$AB$14,CDS_Parameters!$B$28))=0,"",INDEX(CDS_Entities!$AB$5:$AB$14,CDS_Parameters!$B$28)),"")</f>
        <v/>
      </c>
      <c r="C50" s="93">
        <f>B37</f>
        <v/>
      </c>
      <c r="D50" s="93">
        <f>IF(OR(B50="",NOT(ISNUMBER(B50)),NOT(ISNUMBER(C50))),"",C50-B50)</f>
        <v/>
      </c>
    </row>
    <row r="51">
      <c r="A51" s="190" t="inlineStr">
        <is>
          <t>Spread DV01</t>
        </is>
      </c>
      <c r="B51" s="180">
        <f>IFERROR(IF(N(INDEX(CDS_Entities!$Y$5:$Y$14,CDS_Parameters!$B$28))=0,"",INDEX(CDS_Entities!$Y$5:$Y$14,CDS_Parameters!$B$28)),"")</f>
        <v/>
      </c>
      <c r="C51" s="180">
        <f>B22</f>
        <v/>
      </c>
      <c r="D51" s="180">
        <f>IF(OR(B51="",NOT(ISNUMBER(B51)),NOT(ISNUMBER(C51))),"",C51-B51)</f>
        <v/>
      </c>
    </row>
    <row r="52">
      <c r="A52" s="190" t="inlineStr">
        <is>
          <t>IR DV01</t>
        </is>
      </c>
      <c r="B52" s="180">
        <f>IFERROR(IF(N(INDEX(CDS_Entities!$Z$5:$Z$14,CDS_Parameters!$B$28))=0,"",INDEX(CDS_Entities!$Z$5:$Z$14,CDS_Parameters!$B$28)),"")</f>
        <v/>
      </c>
      <c r="C52" s="180">
        <f>B23</f>
        <v/>
      </c>
      <c r="D52" s="180">
        <f>IF(OR(B52="",NOT(ISNUMBER(B52)),NOT(ISNUMBER(C52))),"",C52-B52)</f>
        <v/>
      </c>
    </row>
    <row r="53">
      <c r="A53" s="190" t="inlineStr">
        <is>
          <t>Rec risk 1%</t>
        </is>
      </c>
      <c r="B53" s="180">
        <f>IFERROR(IF(N(INDEX(CDS_Entities!$AA$5:$AA$14,CDS_Parameters!$B$28))=0,"",INDEX(CDS_Entities!$AA$5:$AA$14,CDS_Parameters!$B$28)),"")</f>
        <v/>
      </c>
      <c r="C53" s="180">
        <f>B24</f>
        <v/>
      </c>
      <c r="D53" s="180">
        <f>IF(OR(B53="",NOT(ISNUMBER(B53)),NOT(ISNUMBER(C53))),"",C53-B53)</f>
        <v/>
      </c>
    </row>
    <row r="54">
      <c r="A54" s="190" t="inlineStr">
        <is>
          <t>Prob 5Y (1-Q)</t>
        </is>
      </c>
      <c r="B54" s="180">
        <f>IFERROR(IF(N(INDEX(CDS_Entities!$AC$5:$AC$14,CDS_Parameters!$B$28))=0,"",INDEX(CDS_Entities!$AC$5:$AC$14,CDS_Parameters!$B$28)),"")</f>
        <v/>
      </c>
      <c r="C54" s="180">
        <f>IFERROR(INDEX(Hazard_Bootstrap!$F$7:$F$12,MATCH(5,CDS_Quotes!$B$7:$B$12,0)),"")</f>
        <v/>
      </c>
      <c r="D54" s="180">
        <f>IF(OR(B54="",NOT(ISNUMBER(B54)),NOT(ISNUMBER(C54))),"",C54-B54)</f>
        <v/>
      </c>
    </row>
  </sheetData>
  <mergeCells count="9">
    <mergeCell ref="C25:H25"/>
    <mergeCell ref="C6:H6"/>
    <mergeCell ref="C24:H24"/>
    <mergeCell ref="C16:H16"/>
    <mergeCell ref="A21:H21"/>
    <mergeCell ref="C22:H22"/>
    <mergeCell ref="C23:H23"/>
    <mergeCell ref="C12:H12"/>
    <mergeCell ref="C15:H15"/>
  </mergeCell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11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10" customWidth="1" min="4" max="4"/>
  </cols>
  <sheetData>
    <row r="1">
      <c r="A1" s="176" t="inlineStr">
        <is>
          <t>Curves</t>
        </is>
      </c>
    </row>
    <row r="2">
      <c r="A2" s="177" t="inlineStr">
        <is>
          <t>Discount curve from Curve_Interface. Hazard and survival from the strip. All charts use a numeric time axis, so pillar spacing is to scale.</t>
        </is>
      </c>
    </row>
    <row r="4">
      <c r="A4" s="67" t="inlineStr">
        <is>
          <t>SOFR discount curve</t>
        </is>
      </c>
    </row>
    <row r="5">
      <c r="A5" s="183" t="inlineStr">
        <is>
          <t>Date</t>
        </is>
      </c>
      <c r="B5" s="183" t="inlineStr">
        <is>
          <t>T</t>
        </is>
      </c>
      <c r="C5" s="183" t="inlineStr">
        <is>
          <t>DF</t>
        </is>
      </c>
      <c r="D5" s="183" t="inlineStr">
        <is>
          <t>Zero %</t>
        </is>
      </c>
    </row>
    <row r="6">
      <c r="A6" s="47">
        <f>'Curve_Interface'!K9</f>
        <v/>
      </c>
      <c r="B6" s="50">
        <f>('Curve_Interface'!K9-VAL_DATE)/365</f>
        <v/>
      </c>
      <c r="C6" s="61">
        <f>'Curve_Interface'!L9</f>
        <v/>
      </c>
      <c r="D6" s="33">
        <f>IF(B6&lt;=0,"",-LN(C6)/B6*100)</f>
        <v/>
      </c>
    </row>
    <row r="7">
      <c r="A7" s="47">
        <f>'Curve_Interface'!K10</f>
        <v/>
      </c>
      <c r="B7" s="50">
        <f>('Curve_Interface'!K10-VAL_DATE)/365</f>
        <v/>
      </c>
      <c r="C7" s="61">
        <f>'Curve_Interface'!L10</f>
        <v/>
      </c>
      <c r="D7" s="33">
        <f>IF(B7&lt;=0,"",-LN(C7)/B7*100)</f>
        <v/>
      </c>
    </row>
    <row r="8">
      <c r="A8" s="47">
        <f>'Curve_Interface'!K11</f>
        <v/>
      </c>
      <c r="B8" s="50">
        <f>('Curve_Interface'!K11-VAL_DATE)/365</f>
        <v/>
      </c>
      <c r="C8" s="61">
        <f>'Curve_Interface'!L11</f>
        <v/>
      </c>
      <c r="D8" s="33">
        <f>IF(B8&lt;=0,"",-LN(C8)/B8*100)</f>
        <v/>
      </c>
    </row>
    <row r="9">
      <c r="A9" s="47">
        <f>'Curve_Interface'!K12</f>
        <v/>
      </c>
      <c r="B9" s="50">
        <f>('Curve_Interface'!K12-VAL_DATE)/365</f>
        <v/>
      </c>
      <c r="C9" s="61">
        <f>'Curve_Interface'!L12</f>
        <v/>
      </c>
      <c r="D9" s="33">
        <f>IF(B9&lt;=0,"",-LN(C9)/B9*100)</f>
        <v/>
      </c>
    </row>
    <row r="10">
      <c r="A10" s="47">
        <f>'Curve_Interface'!K13</f>
        <v/>
      </c>
      <c r="B10" s="50">
        <f>('Curve_Interface'!K13-VAL_DATE)/365</f>
        <v/>
      </c>
      <c r="C10" s="61">
        <f>'Curve_Interface'!L13</f>
        <v/>
      </c>
      <c r="D10" s="33">
        <f>IF(B10&lt;=0,"",-LN(C10)/B10*100)</f>
        <v/>
      </c>
    </row>
    <row r="11">
      <c r="A11" s="47">
        <f>'Curve_Interface'!K14</f>
        <v/>
      </c>
      <c r="B11" s="50">
        <f>('Curve_Interface'!K14-VAL_DATE)/365</f>
        <v/>
      </c>
      <c r="C11" s="61">
        <f>'Curve_Interface'!L14</f>
        <v/>
      </c>
      <c r="D11" s="33">
        <f>IF(B11&lt;=0,"",-LN(C11)/B11*100)</f>
        <v/>
      </c>
    </row>
    <row r="12">
      <c r="A12" s="47">
        <f>'Curve_Interface'!K15</f>
        <v/>
      </c>
      <c r="B12" s="50">
        <f>('Curve_Interface'!K15-VAL_DATE)/365</f>
        <v/>
      </c>
      <c r="C12" s="61">
        <f>'Curve_Interface'!L15</f>
        <v/>
      </c>
      <c r="D12" s="33">
        <f>IF(B12&lt;=0,"",-LN(C12)/B12*100)</f>
        <v/>
      </c>
    </row>
    <row r="13">
      <c r="A13" s="47">
        <f>'Curve_Interface'!K16</f>
        <v/>
      </c>
      <c r="B13" s="50">
        <f>('Curve_Interface'!K16-VAL_DATE)/365</f>
        <v/>
      </c>
      <c r="C13" s="61">
        <f>'Curve_Interface'!L16</f>
        <v/>
      </c>
      <c r="D13" s="33">
        <f>IF(B13&lt;=0,"",-LN(C13)/B13*100)</f>
        <v/>
      </c>
    </row>
    <row r="14">
      <c r="A14" s="47">
        <f>'Curve_Interface'!K17</f>
        <v/>
      </c>
      <c r="B14" s="50">
        <f>('Curve_Interface'!K17-VAL_DATE)/365</f>
        <v/>
      </c>
      <c r="C14" s="61">
        <f>'Curve_Interface'!L17</f>
        <v/>
      </c>
      <c r="D14" s="33">
        <f>IF(B14&lt;=0,"",-LN(C14)/B14*100)</f>
        <v/>
      </c>
    </row>
    <row r="15">
      <c r="A15" s="47">
        <f>'Curve_Interface'!K18</f>
        <v/>
      </c>
      <c r="B15" s="50">
        <f>('Curve_Interface'!K18-VAL_DATE)/365</f>
        <v/>
      </c>
      <c r="C15" s="61">
        <f>'Curve_Interface'!L18</f>
        <v/>
      </c>
      <c r="D15" s="33">
        <f>IF(B15&lt;=0,"",-LN(C15)/B15*100)</f>
        <v/>
      </c>
    </row>
    <row r="16">
      <c r="A16" s="47">
        <f>'Curve_Interface'!K19</f>
        <v/>
      </c>
      <c r="B16" s="50">
        <f>('Curve_Interface'!K19-VAL_DATE)/365</f>
        <v/>
      </c>
      <c r="C16" s="61">
        <f>'Curve_Interface'!L19</f>
        <v/>
      </c>
      <c r="D16" s="33">
        <f>IF(B16&lt;=0,"",-LN(C16)/B16*100)</f>
        <v/>
      </c>
    </row>
    <row r="17">
      <c r="A17" s="47">
        <f>'Curve_Interface'!K20</f>
        <v/>
      </c>
      <c r="B17" s="50">
        <f>('Curve_Interface'!K20-VAL_DATE)/365</f>
        <v/>
      </c>
      <c r="C17" s="61">
        <f>'Curve_Interface'!L20</f>
        <v/>
      </c>
      <c r="D17" s="33">
        <f>IF(B17&lt;=0,"",-LN(C17)/B17*100)</f>
        <v/>
      </c>
    </row>
    <row r="18">
      <c r="A18" s="47">
        <f>'Curve_Interface'!K21</f>
        <v/>
      </c>
      <c r="B18" s="50">
        <f>('Curve_Interface'!K21-VAL_DATE)/365</f>
        <v/>
      </c>
      <c r="C18" s="61">
        <f>'Curve_Interface'!L21</f>
        <v/>
      </c>
      <c r="D18" s="33">
        <f>IF(B18&lt;=0,"",-LN(C18)/B18*100)</f>
        <v/>
      </c>
    </row>
    <row r="19">
      <c r="A19" s="47">
        <f>'Curve_Interface'!K22</f>
        <v/>
      </c>
      <c r="B19" s="50">
        <f>('Curve_Interface'!K22-VAL_DATE)/365</f>
        <v/>
      </c>
      <c r="C19" s="61">
        <f>'Curve_Interface'!L22</f>
        <v/>
      </c>
      <c r="D19" s="33">
        <f>IF(B19&lt;=0,"",-LN(C19)/B19*100)</f>
        <v/>
      </c>
    </row>
    <row r="20">
      <c r="A20" s="47">
        <f>'Curve_Interface'!K23</f>
        <v/>
      </c>
      <c r="B20" s="50">
        <f>('Curve_Interface'!K23-VAL_DATE)/365</f>
        <v/>
      </c>
      <c r="C20" s="61">
        <f>'Curve_Interface'!L23</f>
        <v/>
      </c>
      <c r="D20" s="33">
        <f>IF(B20&lt;=0,"",-LN(C20)/B20*100)</f>
        <v/>
      </c>
    </row>
    <row r="21">
      <c r="A21" s="47">
        <f>'Curve_Interface'!K24</f>
        <v/>
      </c>
      <c r="B21" s="50">
        <f>('Curve_Interface'!K24-VAL_DATE)/365</f>
        <v/>
      </c>
      <c r="C21" s="61">
        <f>'Curve_Interface'!L24</f>
        <v/>
      </c>
      <c r="D21" s="33">
        <f>IF(B21&lt;=0,"",-LN(C21)/B21*100)</f>
        <v/>
      </c>
    </row>
    <row r="22">
      <c r="A22" s="47">
        <f>'Curve_Interface'!K25</f>
        <v/>
      </c>
      <c r="B22" s="50">
        <f>('Curve_Interface'!K25-VAL_DATE)/365</f>
        <v/>
      </c>
      <c r="C22" s="61">
        <f>'Curve_Interface'!L25</f>
        <v/>
      </c>
      <c r="D22" s="33">
        <f>IF(B22&lt;=0,"",-LN(C22)/B22*100)</f>
        <v/>
      </c>
    </row>
    <row r="23">
      <c r="A23" s="47">
        <f>'Curve_Interface'!K26</f>
        <v/>
      </c>
      <c r="B23" s="50">
        <f>('Curve_Interface'!K26-VAL_DATE)/365</f>
        <v/>
      </c>
      <c r="C23" s="61">
        <f>'Curve_Interface'!L26</f>
        <v/>
      </c>
      <c r="D23" s="33">
        <f>IF(B23&lt;=0,"",-LN(C23)/B23*100)</f>
        <v/>
      </c>
    </row>
    <row r="24">
      <c r="A24" s="47">
        <f>'Curve_Interface'!K27</f>
        <v/>
      </c>
      <c r="B24" s="50">
        <f>('Curve_Interface'!K27-VAL_DATE)/365</f>
        <v/>
      </c>
      <c r="C24" s="61">
        <f>'Curve_Interface'!L27</f>
        <v/>
      </c>
      <c r="D24" s="33">
        <f>IF(B24&lt;=0,"",-LN(C24)/B24*100)</f>
        <v/>
      </c>
    </row>
    <row r="25">
      <c r="A25" s="47">
        <f>'Curve_Interface'!K28</f>
        <v/>
      </c>
      <c r="B25" s="50">
        <f>('Curve_Interface'!K28-VAL_DATE)/365</f>
        <v/>
      </c>
      <c r="C25" s="61">
        <f>'Curve_Interface'!L28</f>
        <v/>
      </c>
      <c r="D25" s="33">
        <f>IF(B25&lt;=0,"",-LN(C25)/B25*100)</f>
        <v/>
      </c>
    </row>
    <row r="26">
      <c r="A26" s="47">
        <f>'Curve_Interface'!K29</f>
        <v/>
      </c>
      <c r="B26" s="50">
        <f>('Curve_Interface'!K29-VAL_DATE)/365</f>
        <v/>
      </c>
      <c r="C26" s="61">
        <f>'Curve_Interface'!L29</f>
        <v/>
      </c>
      <c r="D26" s="33">
        <f>IF(B26&lt;=0,"",-LN(C26)/B26*100)</f>
        <v/>
      </c>
    </row>
    <row r="27">
      <c r="A27" s="47">
        <f>'Curve_Interface'!K30</f>
        <v/>
      </c>
      <c r="B27" s="50">
        <f>('Curve_Interface'!K30-VAL_DATE)/365</f>
        <v/>
      </c>
      <c r="C27" s="61">
        <f>'Curve_Interface'!L30</f>
        <v/>
      </c>
      <c r="D27" s="33">
        <f>IF(B27&lt;=0,"",-LN(C27)/B27*100)</f>
        <v/>
      </c>
    </row>
    <row r="28">
      <c r="A28" s="47">
        <f>'Curve_Interface'!K31</f>
        <v/>
      </c>
      <c r="B28" s="50">
        <f>('Curve_Interface'!K31-VAL_DATE)/365</f>
        <v/>
      </c>
      <c r="C28" s="61">
        <f>'Curve_Interface'!L31</f>
        <v/>
      </c>
      <c r="D28" s="33">
        <f>IF(B28&lt;=0,"",-LN(C28)/B28*100)</f>
        <v/>
      </c>
    </row>
    <row r="29">
      <c r="A29" s="47">
        <f>'Curve_Interface'!K32</f>
        <v/>
      </c>
      <c r="B29" s="50">
        <f>('Curve_Interface'!K32-VAL_DATE)/365</f>
        <v/>
      </c>
      <c r="C29" s="61">
        <f>'Curve_Interface'!L32</f>
        <v/>
      </c>
      <c r="D29" s="33">
        <f>IF(B29&lt;=0,"",-LN(C29)/B29*100)</f>
        <v/>
      </c>
    </row>
    <row r="30">
      <c r="A30" s="47">
        <f>'Curve_Interface'!K33</f>
        <v/>
      </c>
      <c r="B30" s="50">
        <f>('Curve_Interface'!K33-VAL_DATE)/365</f>
        <v/>
      </c>
      <c r="C30" s="61">
        <f>'Curve_Interface'!L33</f>
        <v/>
      </c>
      <c r="D30" s="33">
        <f>IF(B30&lt;=0,"",-LN(C30)/B30*100)</f>
        <v/>
      </c>
    </row>
    <row r="31">
      <c r="A31" s="47">
        <f>'Curve_Interface'!K34</f>
        <v/>
      </c>
      <c r="B31" s="50">
        <f>('Curve_Interface'!K34-VAL_DATE)/365</f>
        <v/>
      </c>
      <c r="C31" s="61">
        <f>'Curve_Interface'!L34</f>
        <v/>
      </c>
      <c r="D31" s="33">
        <f>IF(B31&lt;=0,"",-LN(C31)/B31*100)</f>
        <v/>
      </c>
    </row>
    <row r="32">
      <c r="A32" s="47">
        <f>'Curve_Interface'!K35</f>
        <v/>
      </c>
      <c r="B32" s="50">
        <f>('Curve_Interface'!K35-VAL_DATE)/365</f>
        <v/>
      </c>
      <c r="C32" s="61">
        <f>'Curve_Interface'!L35</f>
        <v/>
      </c>
      <c r="D32" s="33">
        <f>IF(B32&lt;=0,"",-LN(C32)/B32*100)</f>
        <v/>
      </c>
    </row>
    <row r="33">
      <c r="A33" s="47">
        <f>'Curve_Interface'!K36</f>
        <v/>
      </c>
      <c r="B33" s="50">
        <f>('Curve_Interface'!K36-VAL_DATE)/365</f>
        <v/>
      </c>
      <c r="C33" s="61">
        <f>'Curve_Interface'!L36</f>
        <v/>
      </c>
      <c r="D33" s="33">
        <f>IF(B33&lt;=0,"",-LN(C33)/B33*100)</f>
        <v/>
      </c>
    </row>
    <row r="34">
      <c r="A34" s="47">
        <f>'Curve_Interface'!K37</f>
        <v/>
      </c>
      <c r="B34" s="50">
        <f>('Curve_Interface'!K37-VAL_DATE)/365</f>
        <v/>
      </c>
      <c r="C34" s="61">
        <f>'Curve_Interface'!L37</f>
        <v/>
      </c>
      <c r="D34" s="33">
        <f>IF(B34&lt;=0,"",-LN(C34)/B34*100)</f>
        <v/>
      </c>
    </row>
    <row r="35">
      <c r="A35" s="47">
        <f>'Curve_Interface'!K38</f>
        <v/>
      </c>
      <c r="B35" s="50">
        <f>('Curve_Interface'!K38-VAL_DATE)/365</f>
        <v/>
      </c>
      <c r="C35" s="61">
        <f>'Curve_Interface'!L38</f>
        <v/>
      </c>
      <c r="D35" s="33">
        <f>IF(B35&lt;=0,"",-LN(C35)/B35*100)</f>
        <v/>
      </c>
    </row>
    <row r="36">
      <c r="A36" s="47">
        <f>'Curve_Interface'!K39</f>
        <v/>
      </c>
      <c r="B36" s="50">
        <f>('Curve_Interface'!K39-VAL_DATE)/365</f>
        <v/>
      </c>
      <c r="C36" s="61">
        <f>'Curve_Interface'!L39</f>
        <v/>
      </c>
      <c r="D36" s="33">
        <f>IF(B36&lt;=0,"",-LN(C36)/B36*100)</f>
        <v/>
      </c>
    </row>
    <row r="37">
      <c r="A37" s="47">
        <f>'Curve_Interface'!K40</f>
        <v/>
      </c>
      <c r="B37" s="50">
        <f>('Curve_Interface'!K40-VAL_DATE)/365</f>
        <v/>
      </c>
      <c r="C37" s="61">
        <f>'Curve_Interface'!L40</f>
        <v/>
      </c>
      <c r="D37" s="33">
        <f>IF(B37&lt;=0,"",-LN(C37)/B37*100)</f>
        <v/>
      </c>
    </row>
    <row r="38">
      <c r="A38" s="47">
        <f>'Curve_Interface'!K41</f>
        <v/>
      </c>
      <c r="B38" s="50">
        <f>('Curve_Interface'!K41-VAL_DATE)/365</f>
        <v/>
      </c>
      <c r="C38" s="61">
        <f>'Curve_Interface'!L41</f>
        <v/>
      </c>
      <c r="D38" s="33">
        <f>IF(B38&lt;=0,"",-LN(C38)/B38*100)</f>
        <v/>
      </c>
    </row>
    <row r="39">
      <c r="A39" s="47">
        <f>'Curve_Interface'!K42</f>
        <v/>
      </c>
      <c r="B39" s="50">
        <f>('Curve_Interface'!K42-VAL_DATE)/365</f>
        <v/>
      </c>
      <c r="C39" s="61">
        <f>'Curve_Interface'!L42</f>
        <v/>
      </c>
      <c r="D39" s="33">
        <f>IF(B39&lt;=0,"",-LN(C39)/B39*100)</f>
        <v/>
      </c>
    </row>
    <row r="40">
      <c r="A40" s="47">
        <f>'Curve_Interface'!K43</f>
        <v/>
      </c>
      <c r="B40" s="50">
        <f>('Curve_Interface'!K43-VAL_DATE)/365</f>
        <v/>
      </c>
      <c r="C40" s="61">
        <f>'Curve_Interface'!L43</f>
        <v/>
      </c>
      <c r="D40" s="33">
        <f>IF(B40&lt;=0,"",-LN(C40)/B40*100)</f>
        <v/>
      </c>
    </row>
    <row r="41">
      <c r="A41" s="47">
        <f>'Curve_Interface'!K44</f>
        <v/>
      </c>
      <c r="B41" s="50">
        <f>('Curve_Interface'!K44-VAL_DATE)/365</f>
        <v/>
      </c>
      <c r="C41" s="61">
        <f>'Curve_Interface'!L44</f>
        <v/>
      </c>
      <c r="D41" s="33">
        <f>IF(B41&lt;=0,"",-LN(C41)/B41*100)</f>
        <v/>
      </c>
    </row>
    <row r="42">
      <c r="A42" s="47">
        <f>'Curve_Interface'!K45</f>
        <v/>
      </c>
      <c r="B42" s="50">
        <f>('Curve_Interface'!K45-VAL_DATE)/365</f>
        <v/>
      </c>
      <c r="C42" s="61">
        <f>'Curve_Interface'!L45</f>
        <v/>
      </c>
      <c r="D42" s="33">
        <f>IF(B42&lt;=0,"",-LN(C42)/B42*100)</f>
        <v/>
      </c>
    </row>
    <row r="43">
      <c r="A43" s="47">
        <f>'Curve_Interface'!K46</f>
        <v/>
      </c>
      <c r="B43" s="50">
        <f>('Curve_Interface'!K46-VAL_DATE)/365</f>
        <v/>
      </c>
      <c r="C43" s="61">
        <f>'Curve_Interface'!L46</f>
        <v/>
      </c>
      <c r="D43" s="33">
        <f>IF(B43&lt;=0,"",-LN(C43)/B43*100)</f>
        <v/>
      </c>
    </row>
    <row r="44">
      <c r="A44" s="47">
        <f>'Curve_Interface'!K47</f>
        <v/>
      </c>
      <c r="B44" s="50">
        <f>('Curve_Interface'!K47-VAL_DATE)/365</f>
        <v/>
      </c>
      <c r="C44" s="61">
        <f>'Curve_Interface'!L47</f>
        <v/>
      </c>
      <c r="D44" s="33">
        <f>IF(B44&lt;=0,"",-LN(C44)/B44*100)</f>
        <v/>
      </c>
    </row>
    <row r="45">
      <c r="A45" s="47">
        <f>'Curve_Interface'!K48</f>
        <v/>
      </c>
      <c r="B45" s="50">
        <f>('Curve_Interface'!K48-VAL_DATE)/365</f>
        <v/>
      </c>
      <c r="C45" s="61">
        <f>'Curve_Interface'!L48</f>
        <v/>
      </c>
      <c r="D45" s="33">
        <f>IF(B45&lt;=0,"",-LN(C45)/B45*100)</f>
        <v/>
      </c>
    </row>
    <row r="46">
      <c r="A46" s="47">
        <f>'Curve_Interface'!K49</f>
        <v/>
      </c>
      <c r="B46" s="50">
        <f>('Curve_Interface'!K49-VAL_DATE)/365</f>
        <v/>
      </c>
      <c r="C46" s="61">
        <f>'Curve_Interface'!L49</f>
        <v/>
      </c>
      <c r="D46" s="33">
        <f>IF(B46&lt;=0,"",-LN(C46)/B46*100)</f>
        <v/>
      </c>
    </row>
    <row r="47">
      <c r="A47" s="47">
        <f>'Curve_Interface'!K50</f>
        <v/>
      </c>
      <c r="B47" s="50">
        <f>('Curve_Interface'!K50-VAL_DATE)/365</f>
        <v/>
      </c>
      <c r="C47" s="61">
        <f>'Curve_Interface'!L50</f>
        <v/>
      </c>
      <c r="D47" s="33">
        <f>IF(B47&lt;=0,"",-LN(C47)/B47*100)</f>
        <v/>
      </c>
    </row>
    <row r="48">
      <c r="A48" s="47">
        <f>'Curve_Interface'!K51</f>
        <v/>
      </c>
      <c r="B48" s="50">
        <f>('Curve_Interface'!K51-VAL_DATE)/365</f>
        <v/>
      </c>
      <c r="C48" s="61">
        <f>'Curve_Interface'!L51</f>
        <v/>
      </c>
      <c r="D48" s="33">
        <f>IF(B48&lt;=0,"",-LN(C48)/B48*100)</f>
        <v/>
      </c>
    </row>
    <row r="49">
      <c r="A49" s="47">
        <f>'Curve_Interface'!K52</f>
        <v/>
      </c>
      <c r="B49" s="50">
        <f>('Curve_Interface'!K52-VAL_DATE)/365</f>
        <v/>
      </c>
      <c r="C49" s="61">
        <f>'Curve_Interface'!L52</f>
        <v/>
      </c>
      <c r="D49" s="33">
        <f>IF(B49&lt;=0,"",-LN(C49)/B49*100)</f>
        <v/>
      </c>
    </row>
    <row r="50">
      <c r="A50" s="47">
        <f>'Curve_Interface'!K53</f>
        <v/>
      </c>
      <c r="B50" s="50">
        <f>('Curve_Interface'!K53-VAL_DATE)/365</f>
        <v/>
      </c>
      <c r="C50" s="61">
        <f>'Curve_Interface'!L53</f>
        <v/>
      </c>
      <c r="D50" s="33">
        <f>IF(B50&lt;=0,"",-LN(C50)/B50*100)</f>
        <v/>
      </c>
    </row>
    <row r="51">
      <c r="A51" s="47">
        <f>'Curve_Interface'!K54</f>
        <v/>
      </c>
      <c r="B51" s="50">
        <f>('Curve_Interface'!K54-VAL_DATE)/365</f>
        <v/>
      </c>
      <c r="C51" s="61">
        <f>'Curve_Interface'!L54</f>
        <v/>
      </c>
      <c r="D51" s="33">
        <f>IF(B51&lt;=0,"",-LN(C51)/B51*100)</f>
        <v/>
      </c>
    </row>
    <row r="52">
      <c r="A52" s="47">
        <f>'Curve_Interface'!K55</f>
        <v/>
      </c>
      <c r="B52" s="50">
        <f>('Curve_Interface'!K55-VAL_DATE)/365</f>
        <v/>
      </c>
      <c r="C52" s="61">
        <f>'Curve_Interface'!L55</f>
        <v/>
      </c>
      <c r="D52" s="33">
        <f>IF(B52&lt;=0,"",-LN(C52)/B52*100)</f>
        <v/>
      </c>
    </row>
    <row r="53">
      <c r="A53" s="47">
        <f>'Curve_Interface'!K56</f>
        <v/>
      </c>
      <c r="B53" s="50">
        <f>('Curve_Interface'!K56-VAL_DATE)/365</f>
        <v/>
      </c>
      <c r="C53" s="61">
        <f>'Curve_Interface'!L56</f>
        <v/>
      </c>
      <c r="D53" s="33">
        <f>IF(B53&lt;=0,"",-LN(C53)/B53*100)</f>
        <v/>
      </c>
    </row>
    <row r="54">
      <c r="A54" s="47">
        <f>'Curve_Interface'!K57</f>
        <v/>
      </c>
      <c r="B54" s="50">
        <f>('Curve_Interface'!K57-VAL_DATE)/365</f>
        <v/>
      </c>
      <c r="C54" s="61">
        <f>'Curve_Interface'!L57</f>
        <v/>
      </c>
      <c r="D54" s="33">
        <f>IF(B54&lt;=0,"",-LN(C54)/B54*100)</f>
        <v/>
      </c>
    </row>
    <row r="55">
      <c r="A55" s="47">
        <f>'Curve_Interface'!K58</f>
        <v/>
      </c>
      <c r="B55" s="50">
        <f>('Curve_Interface'!K58-VAL_DATE)/365</f>
        <v/>
      </c>
      <c r="C55" s="61">
        <f>'Curve_Interface'!L58</f>
        <v/>
      </c>
      <c r="D55" s="33">
        <f>IF(B55&lt;=0,"",-LN(C55)/B55*100)</f>
        <v/>
      </c>
    </row>
    <row r="56">
      <c r="A56" s="47">
        <f>'Curve_Interface'!K59</f>
        <v/>
      </c>
      <c r="B56" s="50">
        <f>('Curve_Interface'!K59-VAL_DATE)/365</f>
        <v/>
      </c>
      <c r="C56" s="61">
        <f>'Curve_Interface'!L59</f>
        <v/>
      </c>
      <c r="D56" s="33">
        <f>IF(B56&lt;=0,"",-LN(C56)/B56*100)</f>
        <v/>
      </c>
    </row>
    <row r="57">
      <c r="A57" s="47">
        <f>'Curve_Interface'!K60</f>
        <v/>
      </c>
      <c r="B57" s="50">
        <f>('Curve_Interface'!K60-VAL_DATE)/365</f>
        <v/>
      </c>
      <c r="C57" s="61">
        <f>'Curve_Interface'!L60</f>
        <v/>
      </c>
      <c r="D57" s="33">
        <f>IF(B57&lt;=0,"",-LN(C57)/B57*100)</f>
        <v/>
      </c>
    </row>
    <row r="58">
      <c r="A58" s="47">
        <f>'Curve_Interface'!K61</f>
        <v/>
      </c>
      <c r="B58" s="50">
        <f>('Curve_Interface'!K61-VAL_DATE)/365</f>
        <v/>
      </c>
      <c r="C58" s="61">
        <f>'Curve_Interface'!L61</f>
        <v/>
      </c>
      <c r="D58" s="33">
        <f>IF(B58&lt;=0,"",-LN(C58)/B58*100)</f>
        <v/>
      </c>
    </row>
    <row r="59">
      <c r="A59" s="47">
        <f>'Curve_Interface'!K62</f>
        <v/>
      </c>
      <c r="B59" s="50">
        <f>('Curve_Interface'!K62-VAL_DATE)/365</f>
        <v/>
      </c>
      <c r="C59" s="61">
        <f>'Curve_Interface'!L62</f>
        <v/>
      </c>
      <c r="D59" s="33">
        <f>IF(B59&lt;=0,"",-LN(C59)/B59*100)</f>
        <v/>
      </c>
    </row>
    <row r="60">
      <c r="A60" s="47">
        <f>'Curve_Interface'!K63</f>
        <v/>
      </c>
      <c r="B60" s="50">
        <f>('Curve_Interface'!K63-VAL_DATE)/365</f>
        <v/>
      </c>
      <c r="C60" s="61">
        <f>'Curve_Interface'!L63</f>
        <v/>
      </c>
      <c r="D60" s="33">
        <f>IF(B60&lt;=0,"",-LN(C60)/B60*100)</f>
        <v/>
      </c>
    </row>
    <row r="61">
      <c r="A61" s="47">
        <f>'Curve_Interface'!K64</f>
        <v/>
      </c>
      <c r="B61" s="50">
        <f>('Curve_Interface'!K64-VAL_DATE)/365</f>
        <v/>
      </c>
      <c r="C61" s="61">
        <f>'Curve_Interface'!L64</f>
        <v/>
      </c>
      <c r="D61" s="33">
        <f>IF(B61&lt;=0,"",-LN(C61)/B61*100)</f>
        <v/>
      </c>
    </row>
    <row r="62">
      <c r="A62" s="47">
        <f>'Curve_Interface'!K65</f>
        <v/>
      </c>
      <c r="B62" s="50">
        <f>('Curve_Interface'!K65-VAL_DATE)/365</f>
        <v/>
      </c>
      <c r="C62" s="61">
        <f>'Curve_Interface'!L65</f>
        <v/>
      </c>
      <c r="D62" s="33">
        <f>IF(B62&lt;=0,"",-LN(C62)/B62*100)</f>
        <v/>
      </c>
    </row>
    <row r="63">
      <c r="A63" s="47">
        <f>'Curve_Interface'!K66</f>
        <v/>
      </c>
      <c r="B63" s="50">
        <f>('Curve_Interface'!K66-VAL_DATE)/365</f>
        <v/>
      </c>
      <c r="C63" s="61">
        <f>'Curve_Interface'!L66</f>
        <v/>
      </c>
      <c r="D63" s="33">
        <f>IF(B63&lt;=0,"",-LN(C63)/B63*100)</f>
        <v/>
      </c>
    </row>
    <row r="64">
      <c r="A64" s="47">
        <f>'Curve_Interface'!K67</f>
        <v/>
      </c>
      <c r="B64" s="50">
        <f>('Curve_Interface'!K67-VAL_DATE)/365</f>
        <v/>
      </c>
      <c r="C64" s="61">
        <f>'Curve_Interface'!L67</f>
        <v/>
      </c>
      <c r="D64" s="33">
        <f>IF(B64&lt;=0,"",-LN(C64)/B64*100)</f>
        <v/>
      </c>
    </row>
    <row r="65">
      <c r="A65" s="47">
        <f>'Curve_Interface'!K68</f>
        <v/>
      </c>
      <c r="B65" s="50">
        <f>('Curve_Interface'!K68-VAL_DATE)/365</f>
        <v/>
      </c>
      <c r="C65" s="61">
        <f>'Curve_Interface'!L68</f>
        <v/>
      </c>
      <c r="D65" s="33">
        <f>IF(B65&lt;=0,"",-LN(C65)/B65*100)</f>
        <v/>
      </c>
    </row>
    <row r="66">
      <c r="A66" s="47">
        <f>'Curve_Interface'!K69</f>
        <v/>
      </c>
      <c r="B66" s="50">
        <f>('Curve_Interface'!K69-VAL_DATE)/365</f>
        <v/>
      </c>
      <c r="C66" s="61">
        <f>'Curve_Interface'!L69</f>
        <v/>
      </c>
      <c r="D66" s="33">
        <f>IF(B66&lt;=0,"",-LN(C66)/B66*100)</f>
        <v/>
      </c>
    </row>
    <row r="67">
      <c r="A67" s="47">
        <f>'Curve_Interface'!K70</f>
        <v/>
      </c>
      <c r="B67" s="50">
        <f>('Curve_Interface'!K70-VAL_DATE)/365</f>
        <v/>
      </c>
      <c r="C67" s="61">
        <f>'Curve_Interface'!L70</f>
        <v/>
      </c>
      <c r="D67" s="33">
        <f>IF(B67&lt;=0,"",-LN(C67)/B67*100)</f>
        <v/>
      </c>
    </row>
    <row r="68">
      <c r="A68" s="47">
        <f>'Curve_Interface'!K71</f>
        <v/>
      </c>
      <c r="B68" s="50">
        <f>('Curve_Interface'!K71-VAL_DATE)/365</f>
        <v/>
      </c>
      <c r="C68" s="61">
        <f>'Curve_Interface'!L71</f>
        <v/>
      </c>
      <c r="D68" s="33">
        <f>IF(B68&lt;=0,"",-LN(C68)/B68*100)</f>
        <v/>
      </c>
    </row>
    <row r="69">
      <c r="A69" s="47">
        <f>'Curve_Interface'!K72</f>
        <v/>
      </c>
      <c r="B69" s="50">
        <f>('Curve_Interface'!K72-VAL_DATE)/365</f>
        <v/>
      </c>
      <c r="C69" s="61">
        <f>'Curve_Interface'!L72</f>
        <v/>
      </c>
      <c r="D69" s="33">
        <f>IF(B69&lt;=0,"",-LN(C69)/B69*100)</f>
        <v/>
      </c>
    </row>
    <row r="70">
      <c r="A70" s="47">
        <f>'Curve_Interface'!K73</f>
        <v/>
      </c>
      <c r="B70" s="50">
        <f>('Curve_Interface'!K73-VAL_DATE)/365</f>
        <v/>
      </c>
      <c r="C70" s="61">
        <f>'Curve_Interface'!L73</f>
        <v/>
      </c>
      <c r="D70" s="33">
        <f>IF(B70&lt;=0,"",-LN(C70)/B70*100)</f>
        <v/>
      </c>
    </row>
    <row r="73">
      <c r="A73" s="67" t="inlineStr">
        <is>
          <t>Hazard and survival</t>
        </is>
      </c>
    </row>
    <row r="74">
      <c r="A74" s="183" t="inlineStr">
        <is>
          <t>Tenor</t>
        </is>
      </c>
      <c r="B74" s="183" t="inlineStr">
        <is>
          <t>Hazard %</t>
        </is>
      </c>
      <c r="C74" s="183" t="inlineStr">
        <is>
          <t>Survival Q</t>
        </is>
      </c>
      <c r="D74" s="183" t="inlineStr">
        <is>
          <t>Default prob 1-Q</t>
        </is>
      </c>
      <c r="E74" s="183" t="inlineStr">
        <is>
          <t>Years</t>
        </is>
      </c>
    </row>
    <row r="75">
      <c r="A75">
        <f>Hazard_Bootstrap!A7</f>
        <v/>
      </c>
      <c r="B75" s="33">
        <f>Hazard_Bootstrap!D7*100</f>
        <v/>
      </c>
      <c r="C75" s="33">
        <f>Hazard_Bootstrap!E7</f>
        <v/>
      </c>
      <c r="D75" s="33">
        <f>Hazard_Bootstrap!F7</f>
        <v/>
      </c>
      <c r="E75" s="32">
        <f>CDS_Quotes!B7</f>
        <v/>
      </c>
    </row>
    <row r="76">
      <c r="A76">
        <f>Hazard_Bootstrap!A8</f>
        <v/>
      </c>
      <c r="B76" s="33">
        <f>Hazard_Bootstrap!D8*100</f>
        <v/>
      </c>
      <c r="C76" s="33">
        <f>Hazard_Bootstrap!E8</f>
        <v/>
      </c>
      <c r="D76" s="33">
        <f>Hazard_Bootstrap!F8</f>
        <v/>
      </c>
      <c r="E76" s="32">
        <f>CDS_Quotes!B8</f>
        <v/>
      </c>
    </row>
    <row r="77">
      <c r="A77">
        <f>Hazard_Bootstrap!A9</f>
        <v/>
      </c>
      <c r="B77" s="33">
        <f>Hazard_Bootstrap!D9*100</f>
        <v/>
      </c>
      <c r="C77" s="33">
        <f>Hazard_Bootstrap!E9</f>
        <v/>
      </c>
      <c r="D77" s="33">
        <f>Hazard_Bootstrap!F9</f>
        <v/>
      </c>
      <c r="E77" s="32">
        <f>CDS_Quotes!B9</f>
        <v/>
      </c>
    </row>
    <row r="78">
      <c r="A78">
        <f>Hazard_Bootstrap!A10</f>
        <v/>
      </c>
      <c r="B78" s="33">
        <f>Hazard_Bootstrap!D10*100</f>
        <v/>
      </c>
      <c r="C78" s="33">
        <f>Hazard_Bootstrap!E10</f>
        <v/>
      </c>
      <c r="D78" s="33">
        <f>Hazard_Bootstrap!F10</f>
        <v/>
      </c>
      <c r="E78" s="32">
        <f>CDS_Quotes!B10</f>
        <v/>
      </c>
    </row>
    <row r="79">
      <c r="A79">
        <f>Hazard_Bootstrap!A11</f>
        <v/>
      </c>
      <c r="B79" s="33">
        <f>Hazard_Bootstrap!D11*100</f>
        <v/>
      </c>
      <c r="C79" s="33">
        <f>Hazard_Bootstrap!E11</f>
        <v/>
      </c>
      <c r="D79" s="33">
        <f>Hazard_Bootstrap!F11</f>
        <v/>
      </c>
      <c r="E79" s="32">
        <f>CDS_Quotes!B11</f>
        <v/>
      </c>
    </row>
    <row r="80">
      <c r="A80">
        <f>Hazard_Bootstrap!A12</f>
        <v/>
      </c>
      <c r="B80" s="33">
        <f>Hazard_Bootstrap!D12*100</f>
        <v/>
      </c>
      <c r="C80" s="33">
        <f>Hazard_Bootstrap!E12</f>
        <v/>
      </c>
      <c r="D80" s="33">
        <f>Hazard_Bootstrap!F12</f>
        <v/>
      </c>
      <c r="E80" s="32">
        <f>CDS_Quotes!B12</f>
        <v/>
      </c>
    </row>
    <row r="83">
      <c r="A83" s="67" t="inlineStr">
        <is>
          <t>Spread term structure</t>
        </is>
      </c>
    </row>
    <row r="84">
      <c r="A84" s="183" t="inlineStr">
        <is>
          <t>Tenor</t>
        </is>
      </c>
      <c r="B84" s="183" t="inlineStr">
        <is>
          <t>Market bp</t>
        </is>
      </c>
      <c r="C84" s="183" t="inlineStr">
        <is>
          <t>Model bp</t>
        </is>
      </c>
      <c r="D84" s="183" t="inlineStr">
        <is>
          <t>Diff bp</t>
        </is>
      </c>
      <c r="E84" s="183" t="inlineStr">
        <is>
          <t>Traded spread</t>
        </is>
      </c>
      <c r="F84" s="183" t="inlineStr">
        <is>
          <t>Years</t>
        </is>
      </c>
    </row>
    <row r="85">
      <c r="A85">
        <f>Hazard_Bootstrap!A7</f>
        <v/>
      </c>
      <c r="B85" s="50">
        <f>Hazard_Bootstrap!C7</f>
        <v/>
      </c>
      <c r="C85" s="50">
        <f>Hazard_Bootstrap!I7</f>
        <v/>
      </c>
      <c r="D85" s="33">
        <f>Hazard_Bootstrap!J7</f>
        <v/>
      </c>
      <c r="E85" s="50">
        <f>CDS_Pricer!$B$15</f>
        <v/>
      </c>
      <c r="F85" s="32">
        <f>CDS_Quotes!B7</f>
        <v/>
      </c>
    </row>
    <row r="86">
      <c r="A86">
        <f>Hazard_Bootstrap!A8</f>
        <v/>
      </c>
      <c r="B86" s="50">
        <f>Hazard_Bootstrap!C8</f>
        <v/>
      </c>
      <c r="C86" s="50">
        <f>Hazard_Bootstrap!I8</f>
        <v/>
      </c>
      <c r="D86" s="33">
        <f>Hazard_Bootstrap!J8</f>
        <v/>
      </c>
      <c r="E86" s="50">
        <f>CDS_Pricer!$B$15</f>
        <v/>
      </c>
      <c r="F86" s="32">
        <f>CDS_Quotes!B8</f>
        <v/>
      </c>
    </row>
    <row r="87">
      <c r="A87">
        <f>Hazard_Bootstrap!A9</f>
        <v/>
      </c>
      <c r="B87" s="50">
        <f>Hazard_Bootstrap!C9</f>
        <v/>
      </c>
      <c r="C87" s="50">
        <f>Hazard_Bootstrap!I9</f>
        <v/>
      </c>
      <c r="D87" s="33">
        <f>Hazard_Bootstrap!J9</f>
        <v/>
      </c>
      <c r="E87" s="50">
        <f>CDS_Pricer!$B$15</f>
        <v/>
      </c>
      <c r="F87" s="32">
        <f>CDS_Quotes!B9</f>
        <v/>
      </c>
    </row>
    <row r="88">
      <c r="A88">
        <f>Hazard_Bootstrap!A10</f>
        <v/>
      </c>
      <c r="B88" s="50">
        <f>Hazard_Bootstrap!C10</f>
        <v/>
      </c>
      <c r="C88" s="50">
        <f>Hazard_Bootstrap!I10</f>
        <v/>
      </c>
      <c r="D88" s="33">
        <f>Hazard_Bootstrap!J10</f>
        <v/>
      </c>
      <c r="E88" s="50">
        <f>CDS_Pricer!$B$15</f>
        <v/>
      </c>
      <c r="F88" s="32">
        <f>CDS_Quotes!B10</f>
        <v/>
      </c>
    </row>
    <row r="89">
      <c r="A89">
        <f>Hazard_Bootstrap!A11</f>
        <v/>
      </c>
      <c r="B89" s="50">
        <f>Hazard_Bootstrap!C11</f>
        <v/>
      </c>
      <c r="C89" s="50">
        <f>Hazard_Bootstrap!I11</f>
        <v/>
      </c>
      <c r="D89" s="33">
        <f>Hazard_Bootstrap!J11</f>
        <v/>
      </c>
      <c r="E89" s="50">
        <f>CDS_Pricer!$B$15</f>
        <v/>
      </c>
      <c r="F89" s="32">
        <f>CDS_Quotes!B11</f>
        <v/>
      </c>
    </row>
    <row r="90">
      <c r="A90">
        <f>Hazard_Bootstrap!A12</f>
        <v/>
      </c>
      <c r="B90" s="50">
        <f>Hazard_Bootstrap!C12</f>
        <v/>
      </c>
      <c r="C90" s="50">
        <f>Hazard_Bootstrap!I12</f>
        <v/>
      </c>
      <c r="D90" s="33">
        <f>Hazard_Bootstrap!J12</f>
        <v/>
      </c>
      <c r="E90" s="50">
        <f>CDS_Pricer!$B$15</f>
        <v/>
      </c>
      <c r="F90" s="32">
        <f>CDS_Quotes!B12</f>
        <v/>
      </c>
    </row>
    <row r="98">
      <c r="A98" s="67" t="inlineStr">
        <is>
          <t>Hazard step coordinates (drawing aid)</t>
        </is>
      </c>
      <c r="C98" s="177" t="inlineStr">
        <is>
          <t>piecewise constant per p.8, so it is drawn flat-then-jump</t>
        </is>
      </c>
    </row>
    <row r="99">
      <c r="A99" s="183" t="inlineStr">
        <is>
          <t>t</t>
        </is>
      </c>
      <c r="B99" s="183" t="inlineStr">
        <is>
          <t>hazard %</t>
        </is>
      </c>
    </row>
    <row r="100">
      <c r="A100" s="50">
        <f>0</f>
        <v/>
      </c>
      <c r="B100" s="33">
        <f>$B$75</f>
        <v/>
      </c>
    </row>
    <row r="101">
      <c r="A101" s="50">
        <f>$E$75</f>
        <v/>
      </c>
      <c r="B101" s="33">
        <f>$B$75</f>
        <v/>
      </c>
    </row>
    <row r="102">
      <c r="A102" s="50">
        <f>$E$75</f>
        <v/>
      </c>
      <c r="B102" s="33">
        <f>$B$76</f>
        <v/>
      </c>
    </row>
    <row r="103">
      <c r="A103" s="50">
        <f>$E$76</f>
        <v/>
      </c>
      <c r="B103" s="33">
        <f>$B$76</f>
        <v/>
      </c>
    </row>
    <row r="104">
      <c r="A104" s="50">
        <f>$E$76</f>
        <v/>
      </c>
      <c r="B104" s="33">
        <f>$B$77</f>
        <v/>
      </c>
    </row>
    <row r="105">
      <c r="A105" s="50">
        <f>$E$77</f>
        <v/>
      </c>
      <c r="B105" s="33">
        <f>$B$77</f>
        <v/>
      </c>
    </row>
    <row r="106">
      <c r="A106" s="50">
        <f>$E$77</f>
        <v/>
      </c>
      <c r="B106" s="33">
        <f>$B$78</f>
        <v/>
      </c>
    </row>
    <row r="107">
      <c r="A107" s="50">
        <f>$E$78</f>
        <v/>
      </c>
      <c r="B107" s="33">
        <f>$B$78</f>
        <v/>
      </c>
    </row>
    <row r="108">
      <c r="A108" s="50">
        <f>$E$78</f>
        <v/>
      </c>
      <c r="B108" s="33">
        <f>$B$79</f>
        <v/>
      </c>
    </row>
    <row r="109">
      <c r="A109" s="50">
        <f>$E$79</f>
        <v/>
      </c>
      <c r="B109" s="33">
        <f>$B$79</f>
        <v/>
      </c>
    </row>
    <row r="110">
      <c r="A110" s="50">
        <f>$E$79</f>
        <v/>
      </c>
      <c r="B110" s="33">
        <f>$B$80</f>
        <v/>
      </c>
    </row>
    <row r="111">
      <c r="A111" s="50">
        <f>$E$80</f>
        <v/>
      </c>
      <c r="B111" s="33">
        <f>$B$80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6A1B9A"/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6" customWidth="1" min="3" max="3"/>
    <col width="14" customWidth="1" min="4" max="4"/>
  </cols>
  <sheetData>
    <row r="1">
      <c r="A1" s="1" t="inlineStr">
        <is>
          <t>CDS_Validation</t>
        </is>
      </c>
    </row>
    <row r="2">
      <c r="A2" s="2" t="inlineStr">
        <is>
          <t>Internal checks + the flat-curve approximation s ≈ (1-R)·lambda</t>
        </is>
      </c>
    </row>
    <row r="4">
      <c r="A4" s="13" t="inlineStr">
        <is>
          <t>Check</t>
        </is>
      </c>
      <c r="B4" s="13" t="inlineStr">
        <is>
          <t>Value</t>
        </is>
      </c>
      <c r="C4" s="13" t="inlineStr">
        <is>
          <t>Target</t>
        </is>
      </c>
    </row>
    <row r="5">
      <c r="A5" s="19" t="inlineStr">
        <is>
          <t>Q(0) = 1</t>
        </is>
      </c>
      <c r="B5" s="61">
        <f>CDS_Schedule!J7</f>
        <v/>
      </c>
      <c r="C5" s="16" t="inlineStr">
        <is>
          <t>1 (exact)</t>
        </is>
      </c>
    </row>
    <row r="6">
      <c r="A6" s="19" t="inlineStr">
        <is>
          <t>Survival monotone (min ΔPD ≥ 0)</t>
        </is>
      </c>
      <c r="B6" s="61">
        <f>MIN(CDS_Schedule!$L$7:$L$46)</f>
        <v/>
      </c>
      <c r="C6" s="16" t="inlineStr">
        <is>
          <t>≥ 0 ✓</t>
        </is>
      </c>
    </row>
    <row r="7">
      <c r="A7" s="19" t="inlineStr">
        <is>
          <t>All hazards ≥ 0</t>
        </is>
      </c>
      <c r="B7" s="61">
        <f>MIN(Hazard_Bootstrap!$D$7:$D$12)</f>
        <v/>
      </c>
      <c r="C7" s="16" t="inlineStr">
        <is>
          <t>≥ 0 ✓</t>
        </is>
      </c>
    </row>
    <row r="8">
      <c r="A8" s="19" t="inlineStr">
        <is>
          <t>Q(T) in (0,1]</t>
        </is>
      </c>
      <c r="B8" s="61">
        <f>AND(MIN(CDS_Schedule!$K$7:$K$46)&gt;0,MAX(CDS_Schedule!$K$7:$K$46)&lt;=1)</f>
        <v/>
      </c>
      <c r="C8" s="16" t="inlineStr">
        <is>
          <t>TRUE ✓</t>
        </is>
      </c>
    </row>
    <row r="9">
      <c r="A9" s="19" t="inlineStr">
        <is>
          <t>Max |repricing error| (bp)</t>
        </is>
      </c>
      <c r="B9" s="61">
        <f>MAX(ABS(Hazard_Bootstrap!$J$7:$J$12))</f>
        <v/>
      </c>
      <c r="C9" s="16" t="inlineStr">
        <is>
          <t>→0 after Goal Seek (&lt;0.01)</t>
        </is>
      </c>
    </row>
    <row r="11">
      <c r="A11" s="4" t="inlineStr">
        <is>
          <t>Approx check:  lambda ≈ s/(1-R)   (exact only for a flat curve)</t>
        </is>
      </c>
    </row>
    <row r="12">
      <c r="A12" s="13" t="inlineStr">
        <is>
          <t>Tenor</t>
        </is>
      </c>
      <c r="B12" s="13" t="inlineStr">
        <is>
          <t>Bootstrapped lambda</t>
        </is>
      </c>
      <c r="C12" s="13" t="inlineStr">
        <is>
          <t>s/(1-R)</t>
        </is>
      </c>
      <c r="D12" s="13" t="inlineStr">
        <is>
          <t>diff</t>
        </is>
      </c>
    </row>
    <row r="13">
      <c r="A13" s="19" t="inlineStr">
        <is>
          <t>1Y</t>
        </is>
      </c>
      <c r="B13" s="51">
        <f>Hazard_Bootstrap!D7</f>
        <v/>
      </c>
      <c r="C13" s="51">
        <f>CDS_Quotes!G7</f>
        <v/>
      </c>
      <c r="D13" s="51">
        <f>B13-C13</f>
        <v/>
      </c>
    </row>
    <row r="14">
      <c r="A14" s="19" t="inlineStr">
        <is>
          <t>2Y</t>
        </is>
      </c>
      <c r="B14" s="51">
        <f>Hazard_Bootstrap!D8</f>
        <v/>
      </c>
      <c r="C14" s="51">
        <f>CDS_Quotes!G8</f>
        <v/>
      </c>
      <c r="D14" s="51">
        <f>B14-C14</f>
        <v/>
      </c>
    </row>
    <row r="15">
      <c r="A15" s="19" t="inlineStr">
        <is>
          <t>3Y</t>
        </is>
      </c>
      <c r="B15" s="51">
        <f>Hazard_Bootstrap!D9</f>
        <v/>
      </c>
      <c r="C15" s="51">
        <f>CDS_Quotes!G9</f>
        <v/>
      </c>
      <c r="D15" s="51">
        <f>B15-C15</f>
        <v/>
      </c>
    </row>
    <row r="16">
      <c r="A16" s="19" t="inlineStr">
        <is>
          <t>5Y</t>
        </is>
      </c>
      <c r="B16" s="51">
        <f>Hazard_Bootstrap!D10</f>
        <v/>
      </c>
      <c r="C16" s="51">
        <f>CDS_Quotes!G10</f>
        <v/>
      </c>
      <c r="D16" s="51">
        <f>B16-C16</f>
        <v/>
      </c>
    </row>
    <row r="17">
      <c r="A17" s="19" t="inlineStr">
        <is>
          <t>7Y</t>
        </is>
      </c>
      <c r="B17" s="51">
        <f>Hazard_Bootstrap!D11</f>
        <v/>
      </c>
      <c r="C17" s="51">
        <f>CDS_Quotes!G11</f>
        <v/>
      </c>
      <c r="D17" s="51">
        <f>B17-C17</f>
        <v/>
      </c>
    </row>
    <row r="18">
      <c r="A18" s="19" t="inlineStr">
        <is>
          <t>10Y</t>
        </is>
      </c>
      <c r="B18" s="51">
        <f>Hazard_Bootstrap!D12</f>
        <v/>
      </c>
      <c r="C18" s="51">
        <f>CDS_Quotes!G12</f>
        <v/>
      </c>
      <c r="D18" s="51">
        <f>B18-C18</f>
        <v/>
      </c>
    </row>
    <row r="20">
      <c r="A20" s="66" t="inlineStr">
        <is>
          <t>Internal consistency only: these confirm the curve reprices its own inputs, not that it agrees with Bloomberg. No hazard-rate export exists. Compare CDSW output for a known trade.</t>
        </is>
      </c>
    </row>
  </sheetData>
  <mergeCells count="1">
    <mergeCell ref="A11:F11"/>
  </mergeCell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selection activeCell="A1" sqref="A1"/>
    </sheetView>
  </sheetViews>
  <sheetFormatPr baseColWidth="8" defaultRowHeight="15"/>
  <cols>
    <col width="13" customWidth="1" min="1" max="1"/>
    <col width="104" customWidth="1" min="2" max="2"/>
    <col width="15" customWidth="1" min="3" max="3"/>
    <col width="15" customWidth="1" min="4" max="4"/>
    <col width="15" customWidth="1" min="5" max="5"/>
  </cols>
  <sheetData>
    <row r="1">
      <c r="A1" s="176" t="inlineStr">
        <is>
          <t>Model notes: Bloomberg B-Model (CDSW)</t>
        </is>
      </c>
    </row>
    <row r="2">
      <c r="A2" s="177" t="inlineStr">
        <is>
          <t>Equation numbers and page cites are the white paper's own. Scans in bloomberg/reference/cds_white_paper/.</t>
        </is>
      </c>
    </row>
    <row r="4">
      <c r="A4" s="67" t="inlineStr">
        <is>
          <t>Pricing</t>
        </is>
      </c>
    </row>
    <row r="5">
      <c r="A5" s="127" t="inlineStr">
        <is>
          <t>(3.1)</t>
        </is>
      </c>
      <c r="B5" s="127" t="inlineStr">
        <is>
          <t>Market Value = Protection Leg - Premium Leg,  both discounted to pricing date T</t>
        </is>
      </c>
    </row>
    <row r="6">
      <c r="A6" s="127" t="inlineStr">
        <is>
          <t>(3.2)</t>
        </is>
      </c>
      <c r="B6" s="127" t="inlineStr">
        <is>
          <t>Upfront = Market Value / D(T_s) + Accrued Interest</t>
        </is>
      </c>
    </row>
    <row r="7">
      <c r="A7" s="127" t="inlineStr">
        <is>
          <t>(3.3)</t>
        </is>
      </c>
      <c r="B7" s="127" t="inlineStr">
        <is>
          <t>S = Protection Leg / (Premium Leg - Accrued Interest * D(T_s))  at C = 1bp</t>
        </is>
      </c>
    </row>
    <row r="8">
      <c r="A8" s="127" t="inlineStr">
        <is>
          <t>(3.4)</t>
        </is>
      </c>
      <c r="B8" s="127" t="inlineStr">
        <is>
          <t>Coupons-in-Survival = A * C * SUM delta(T_i-1, T_i) p_s(T_i) D(T_i)</t>
        </is>
      </c>
    </row>
    <row r="9">
      <c r="A9" s="127" t="inlineStr">
        <is>
          <t>(3.5)</t>
        </is>
      </c>
      <c r="B9" s="127" t="inlineStr">
        <is>
          <t>Accrued-on-Default = A * C * INT_T^TM delta(T_n(t), t) (-dp_s/dt) D(t) dt</t>
        </is>
      </c>
    </row>
    <row r="10">
      <c r="A10" s="127" t="inlineStr">
        <is>
          <t>(3.6)</t>
        </is>
      </c>
      <c r="B10" s="127" t="inlineStr">
        <is>
          <t>Protection Leg = A (1-R) * INT_T^TM (-dp_s/dt) D(t) dt</t>
        </is>
      </c>
    </row>
    <row r="12">
      <c r="A12" s="67" t="inlineStr">
        <is>
          <t>Conventions that the sheets depend on</t>
        </is>
      </c>
    </row>
    <row r="13">
      <c r="A13" s="177" t="inlineStr">
        <is>
          <t>p.6</t>
        </is>
      </c>
      <c r="B13" s="126" t="inlineStr">
        <is>
          <t>Accrual dates are IMM (3/20, 6/20, 9/20, 12/20). Payment dates roll to the next business day; the last accrual end date T_M does not roll.</t>
        </is>
      </c>
    </row>
    <row r="14">
      <c r="A14" s="177" t="inlineStr">
        <is>
          <t>p.6</t>
        </is>
      </c>
      <c r="B14" s="126" t="inlineStr">
        <is>
          <t>Coupon standardised to 100bp / 500bp for most names. ACT/360.</t>
        </is>
      </c>
    </row>
    <row r="15">
      <c r="A15" s="177" t="inlineStr">
        <is>
          <t>p.6</t>
        </is>
      </c>
      <c r="B15" s="126" t="inlineStr">
        <is>
          <t>Protection starts immediately, so the protection period is T_M - T + 1 days.</t>
        </is>
      </c>
    </row>
    <row r="16">
      <c r="A16" s="177" t="inlineStr">
        <is>
          <t>p.7</t>
        </is>
      </c>
      <c r="B16" s="126" t="inlineStr">
        <is>
          <t>Accrued interest includes the pricing date.</t>
        </is>
      </c>
    </row>
    <row r="17">
      <c r="A17" s="177" t="inlineStr">
        <is>
          <t>p.7</t>
        </is>
      </c>
      <c r="B17" s="126" t="inlineStr">
        <is>
          <t>T_s = settlement, typically 3 business days after pricing. The upfront is quoted there, so market value is compounded T to T_s.</t>
        </is>
      </c>
    </row>
    <row r="18">
      <c r="A18" s="177" t="inlineStr">
        <is>
          <t>p.6</t>
        </is>
      </c>
      <c r="B18" s="126" t="inlineStr">
        <is>
          <t>USD discounting is the SOFR RFR curve: ISDA moved to RFR curves and the B-Model follows.</t>
        </is>
      </c>
    </row>
    <row r="19">
      <c r="A19" s="177" t="inlineStr">
        <is>
          <t>p.6</t>
        </is>
      </c>
      <c r="B19" s="126" t="inlineStr">
        <is>
          <t>Recovery R is a model parameter, conventionally 40%, not an observable.</t>
        </is>
      </c>
    </row>
    <row r="21">
      <c r="A21" s="67" t="inlineStr">
        <is>
          <t>Curve stripper (section 4, p.8)</t>
        </is>
      </c>
    </row>
    <row r="22">
      <c r="A22" s="126" t="inlineStr">
        <is>
          <t>Sequential one-dimensional root-finding, not a joint fit. h_1 is solved on [0, T_M1] to match the first quote;</t>
        </is>
      </c>
    </row>
    <row r="23">
      <c r="A23" s="126" t="inlineStr">
        <is>
          <t>each later h_i+1 is solved on (T_Mi, T_Mi+1] with all earlier hazards held fixed.</t>
        </is>
      </c>
    </row>
    <row r="24">
      <c r="A24" s="126" t="inlineStr">
        <is>
          <t>Hazard is piecewise constant. h(t) &gt;= 0 is a hard constraint - default is terminating, so survival cannot rise.</t>
        </is>
      </c>
    </row>
    <row r="25">
      <c r="A25" s="126" t="inlineStr">
        <is>
          <t>The timeline is discretised finely enough that the forward discount rate and hazard are constant on a segment,</t>
        </is>
      </c>
    </row>
    <row r="26">
      <c r="A26" s="126" t="inlineStr">
        <is>
          <t>and no segment is longer than a premium accrual period; (3.5) and (3.6) are then analytic on each segment.</t>
        </is>
      </c>
    </row>
    <row r="28">
      <c r="A28" s="67" t="inlineStr">
        <is>
          <t>Strippability (p.9)</t>
        </is>
      </c>
    </row>
    <row r="29">
      <c r="A29" s="126" t="inlineStr">
        <is>
          <t>With h_i+1 running 0 to infinity the achievable par spread at the next maturity is a bounded interval, and it</t>
        </is>
      </c>
    </row>
    <row r="30">
      <c r="A30" s="126" t="inlineStr">
        <is>
          <t>narrows sharply once survival is already low. A quote outside that interval makes the calibration fail.</t>
        </is>
      </c>
    </row>
    <row r="31">
      <c r="A31" s="126" t="inlineStr">
        <is>
          <t>The paper's reading: usually inconsistent data sources rather than genuine arbitrage. Common with inverted</t>
        </is>
      </c>
    </row>
    <row r="32">
      <c r="A32" s="126" t="inlineStr">
        <is>
          <t>curves (S_i+1 &lt; S_i, though mildly inverted curves are often still strippable) and distressed non-flat curves.</t>
        </is>
      </c>
    </row>
    <row r="33">
      <c r="A33" s="126" t="inlineStr">
        <is>
          <t>Approximate lower bound, valid while cumulative default probability is low:   S_i+1  &gt;=  S_i * T_i / T_i+1</t>
        </is>
      </c>
    </row>
    <row r="35">
      <c r="A35" s="67" t="inlineStr">
        <is>
          <t>Strippability check on the live quotes</t>
        </is>
      </c>
    </row>
    <row r="36">
      <c r="A36" s="183" t="inlineStr">
        <is>
          <t>Tenor</t>
        </is>
      </c>
      <c r="B36" s="183" t="inlineStr">
        <is>
          <t>T</t>
        </is>
      </c>
      <c r="C36" s="183" t="inlineStr">
        <is>
          <t>S (bp)</t>
        </is>
      </c>
      <c r="D36" s="183" t="inlineStr">
        <is>
          <t>bound S*T_prev/T</t>
        </is>
      </c>
      <c r="E36" s="183" t="inlineStr">
        <is>
          <t>ok?</t>
        </is>
      </c>
    </row>
    <row r="37">
      <c r="A37" s="180">
        <f>Hazard_Bootstrap!A7</f>
        <v/>
      </c>
      <c r="B37" s="180">
        <f>CDS_Quotes!B7</f>
        <v/>
      </c>
      <c r="C37" s="108">
        <f>Hazard_Bootstrap!C7</f>
        <v/>
      </c>
      <c r="D37" s="187" t="inlineStr">
        <is>
          <t>-</t>
        </is>
      </c>
      <c r="E37" s="187" t="inlineStr">
        <is>
          <t>first pillar, unconstrained</t>
        </is>
      </c>
    </row>
    <row r="38">
      <c r="A38" s="180">
        <f>Hazard_Bootstrap!A8</f>
        <v/>
      </c>
      <c r="B38" s="180">
        <f>CDS_Quotes!B8</f>
        <v/>
      </c>
      <c r="C38" s="108">
        <f>Hazard_Bootstrap!C8</f>
        <v/>
      </c>
      <c r="D38" s="108">
        <f>C37*B37/B38</f>
        <v/>
      </c>
      <c r="E38" s="180">
        <f>IF(C38&gt;=D38,"ok","below bound — may not strip")</f>
        <v/>
      </c>
    </row>
    <row r="39">
      <c r="A39" s="180">
        <f>Hazard_Bootstrap!A9</f>
        <v/>
      </c>
      <c r="B39" s="180">
        <f>CDS_Quotes!B9</f>
        <v/>
      </c>
      <c r="C39" s="108">
        <f>Hazard_Bootstrap!C9</f>
        <v/>
      </c>
      <c r="D39" s="108">
        <f>C38*B38/B39</f>
        <v/>
      </c>
      <c r="E39" s="180">
        <f>IF(C39&gt;=D39,"ok","below bound — may not strip")</f>
        <v/>
      </c>
    </row>
    <row r="40">
      <c r="A40" s="180">
        <f>Hazard_Bootstrap!A10</f>
        <v/>
      </c>
      <c r="B40" s="180">
        <f>CDS_Quotes!B10</f>
        <v/>
      </c>
      <c r="C40" s="108">
        <f>Hazard_Bootstrap!C10</f>
        <v/>
      </c>
      <c r="D40" s="108">
        <f>C39*B39/B40</f>
        <v/>
      </c>
      <c r="E40" s="180">
        <f>IF(C40&gt;=D40,"ok","below bound — may not strip")</f>
        <v/>
      </c>
    </row>
    <row r="41">
      <c r="A41" s="180">
        <f>Hazard_Bootstrap!A11</f>
        <v/>
      </c>
      <c r="B41" s="180">
        <f>CDS_Quotes!B11</f>
        <v/>
      </c>
      <c r="C41" s="108">
        <f>Hazard_Bootstrap!C11</f>
        <v/>
      </c>
      <c r="D41" s="108">
        <f>C40*B40/B41</f>
        <v/>
      </c>
      <c r="E41" s="180">
        <f>IF(C41&gt;=D41,"ok","below bound — may not strip")</f>
        <v/>
      </c>
    </row>
    <row r="42">
      <c r="A42" s="180">
        <f>Hazard_Bootstrap!A12</f>
        <v/>
      </c>
      <c r="B42" s="180">
        <f>CDS_Quotes!B12</f>
        <v/>
      </c>
      <c r="C42" s="108">
        <f>Hazard_Bootstrap!C12</f>
        <v/>
      </c>
      <c r="D42" s="108">
        <f>C41*B41/B42</f>
        <v/>
      </c>
      <c r="E42" s="180">
        <f>IF(C42&gt;=D42,"ok","below bound — may not strip")</f>
        <v/>
      </c>
    </row>
    <row r="44">
      <c r="A44" s="177" t="inlineStr">
        <is>
          <t>A fail is the p.9 condition: a warning about the quotes, not the solver.</t>
        </is>
      </c>
    </row>
    <row r="45">
      <c r="A45" s="177" t="inlineStr">
        <is>
          <t>Bound is approximate, valid while cumulative default probability is low.</t>
        </is>
      </c>
    </row>
    <row r="47">
      <c r="A47" s="66" t="inlineStr">
        <is>
          <t>Limits</t>
        </is>
      </c>
    </row>
    <row r="48">
      <c r="A48" s="126" t="inlineStr">
        <is>
          <t>No external validation of the strip: Bloomberg exports no hazard curve (Help Desk H#1330731572).</t>
        </is>
      </c>
    </row>
    <row r="49">
      <c r="A49" s="126" t="inlineStr">
        <is>
          <t>The SOFR curve can be validated against S490. The credit curve cannot - Bloomberg exports no hazard curve, so only the priced outputs can be compared.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7950B"/>
    <outlinePr summaryBelow="1" summaryRight="1"/>
    <pageSetUpPr/>
  </sheetPr>
  <dimension ref="A1:J33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34" customWidth="1" min="2" max="2"/>
    <col width="34" customWidth="1" min="3" max="3"/>
    <col width="44" customWidth="1" min="4" max="4"/>
    <col width="13" customWidth="1" min="5" max="5"/>
    <col width="10" customWidth="1" min="6" max="6"/>
    <col width="14" customWidth="1" min="7" max="7"/>
    <col width="14" customWidth="1" min="8" max="8"/>
    <col width="13" customWidth="1" min="9" max="9"/>
    <col width="13" customWidth="1" min="10" max="10"/>
    <col width="60" customWidth="1" min="11" max="11"/>
  </cols>
  <sheetData>
    <row r="1">
      <c r="A1" s="176" t="inlineStr">
        <is>
          <t>Brent vs bisection</t>
        </is>
      </c>
    </row>
    <row r="2">
      <c r="A2" s="177" t="inlineStr">
        <is>
          <t>Same segment objective (3.3), same inputs, same sequential scheme. Only the root-finder differs.</t>
        </is>
      </c>
    </row>
    <row r="3">
      <c r="A3" s="177" t="inlineStr">
        <is>
          <t>Hazard_Solver has been removed; both now run through CDSStrip.CDS_StripHazard.</t>
        </is>
      </c>
    </row>
    <row r="5" ht="30" customHeight="1">
      <c r="A5" s="225" t="inlineStr">
        <is>
          <t>Tenor</t>
        </is>
      </c>
      <c r="B5" s="225" t="inlineStr">
        <is>
          <t>Market bp</t>
        </is>
      </c>
      <c r="C5" s="225" t="inlineStr">
        <is>
          <t>Brent</t>
        </is>
      </c>
      <c r="D5" s="225" t="inlineStr">
        <is>
          <t>Bisection</t>
        </is>
      </c>
      <c r="E5" s="225" t="inlineStr">
        <is>
          <t>diff</t>
        </is>
      </c>
      <c r="F5" s="225" t="inlineStr">
        <is>
          <t>Brent its</t>
        </is>
      </c>
      <c r="G5" s="141" t="n"/>
      <c r="H5" s="141" t="n"/>
      <c r="I5" s="141" t="n"/>
      <c r="J5" s="141" t="n"/>
    </row>
    <row r="6">
      <c r="A6" s="152" t="inlineStr">
        <is>
          <t>1Y</t>
        </is>
      </c>
      <c r="B6" s="89">
        <f>Hazard_Bootstrap!$C$7</f>
        <v/>
      </c>
      <c r="C6" s="226">
        <f>IFERROR(CDS_StripHazard(1,"BRENT",Hazard_Bootstrap!$B$7:$B$12,Hazard_Bootstrap!$C$7:$C$12,CDS_Parameters!$B$8,CDS_Parameters!$B$26,CDS_Schedule!$C$7:$C$46,CDS_Schedule!$D$7:$D$46,CDS_Schedule!$E$7:$E$46,CDS_Schedule!$G$7:$G$46,CDS_Schedule!$H$7:$H$46),"module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D6" s="226">
        <f>IFERROR(CDS_StripHazard(1,"BISECTION",Hazard_Bootstrap!$B$7:$B$12,Hazard_Bootstrap!$C$7:$C$12,CDS_Parameters!$B$8,CDS_Parameters!$B$26,CDS_Schedule!$C$7:$C$46,CDS_Schedule!$D$7:$D$46,CDS_Schedule!$E$7:$E$46,CDS_Schedule!$G$7:$G$46,CDS_Schedule!$H$7:$H$46),"")</f>
        <v/>
      </c>
      <c r="E6" s="72">
        <f>IF(OR(NOT(ISNUMBER(C6)),NOT(ISNUMBER(D6))),"",C6-D6)</f>
        <v/>
      </c>
      <c r="F6" s="104">
        <f>IFERROR(CDS_StripIterations(),"")</f>
        <v/>
      </c>
      <c r="G6" s="72" t="n"/>
      <c r="H6" s="72" t="n"/>
      <c r="I6" s="63" t="n"/>
      <c r="J6" s="72" t="n"/>
    </row>
    <row r="7">
      <c r="A7" s="152" t="inlineStr">
        <is>
          <t>2Y</t>
        </is>
      </c>
      <c r="B7" s="89">
        <f>Hazard_Bootstrap!$C$8</f>
        <v/>
      </c>
      <c r="C7" s="226">
        <f>IFERROR(CDS_StripHazard(2,"BRENT",Hazard_Bootstrap!$B$7:$B$12,Hazard_Bootstrap!$C$7:$C$12,CDS_Parameters!$B$8,CDS_Parameters!$B$26,CDS_Schedule!$C$7:$C$46,CDS_Schedule!$D$7:$D$46,CDS_Schedule!$E$7:$E$46,CDS_Schedule!$G$7:$G$46,CDS_Schedule!$H$7:$H$46),"module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D7" s="226">
        <f>IFERROR(CDS_StripHazard(2,"BISECTION",Hazard_Bootstrap!$B$7:$B$12,Hazard_Bootstrap!$C$7:$C$12,CDS_Parameters!$B$8,CDS_Parameters!$B$26,CDS_Schedule!$C$7:$C$46,CDS_Schedule!$D$7:$D$46,CDS_Schedule!$E$7:$E$46,CDS_Schedule!$G$7:$G$46,CDS_Schedule!$H$7:$H$46),"")</f>
        <v/>
      </c>
      <c r="E7" s="72">
        <f>IF(OR(NOT(ISNUMBER(C7)),NOT(ISNUMBER(D7))),"",C7-D7)</f>
        <v/>
      </c>
      <c r="F7" s="104">
        <f>IFERROR(CDS_StripIterations(),"")</f>
        <v/>
      </c>
      <c r="G7" s="72" t="n"/>
      <c r="H7" s="72" t="n"/>
      <c r="I7" s="63" t="n"/>
      <c r="J7" s="72" t="n"/>
    </row>
    <row r="8">
      <c r="A8" s="152" t="inlineStr">
        <is>
          <t>3Y</t>
        </is>
      </c>
      <c r="B8" s="89">
        <f>Hazard_Bootstrap!$C$9</f>
        <v/>
      </c>
      <c r="C8" s="226">
        <f>IFERROR(CDS_StripHazard(3,"BRENT",Hazard_Bootstrap!$B$7:$B$12,Hazard_Bootstrap!$C$7:$C$12,CDS_Parameters!$B$8,CDS_Parameters!$B$26,CDS_Schedule!$C$7:$C$46,CDS_Schedule!$D$7:$D$46,CDS_Schedule!$E$7:$E$46,CDS_Schedule!$G$7:$G$46,CDS_Schedule!$H$7:$H$46),"module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D8" s="226">
        <f>IFERROR(CDS_StripHazard(3,"BISECTION",Hazard_Bootstrap!$B$7:$B$12,Hazard_Bootstrap!$C$7:$C$12,CDS_Parameters!$B$8,CDS_Parameters!$B$26,CDS_Schedule!$C$7:$C$46,CDS_Schedule!$D$7:$D$46,CDS_Schedule!$E$7:$E$46,CDS_Schedule!$G$7:$G$46,CDS_Schedule!$H$7:$H$46),"")</f>
        <v/>
      </c>
      <c r="E8" s="72">
        <f>IF(OR(NOT(ISNUMBER(C8)),NOT(ISNUMBER(D8))),"",C8-D8)</f>
        <v/>
      </c>
      <c r="F8" s="104">
        <f>IFERROR(CDS_StripIterations(),"")</f>
        <v/>
      </c>
      <c r="G8" s="72" t="n"/>
      <c r="H8" s="72" t="n"/>
      <c r="I8" s="63" t="n"/>
      <c r="J8" s="72" t="n"/>
    </row>
    <row r="9">
      <c r="A9" s="152" t="inlineStr">
        <is>
          <t>5Y</t>
        </is>
      </c>
      <c r="B9" s="89">
        <f>Hazard_Bootstrap!$C$10</f>
        <v/>
      </c>
      <c r="C9" s="226">
        <f>IFERROR(CDS_StripHazard(4,"BRENT",Hazard_Bootstrap!$B$7:$B$12,Hazard_Bootstrap!$C$7:$C$12,CDS_Parameters!$B$8,CDS_Parameters!$B$26,CDS_Schedule!$C$7:$C$46,CDS_Schedule!$D$7:$D$46,CDS_Schedule!$E$7:$E$46,CDS_Schedule!$G$7:$G$46,CDS_Schedule!$H$7:$H$46),"module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D9" s="226">
        <f>IFERROR(CDS_StripHazard(4,"BISECTION",Hazard_Bootstrap!$B$7:$B$12,Hazard_Bootstrap!$C$7:$C$12,CDS_Parameters!$B$8,CDS_Parameters!$B$26,CDS_Schedule!$C$7:$C$46,CDS_Schedule!$D$7:$D$46,CDS_Schedule!$E$7:$E$46,CDS_Schedule!$G$7:$G$46,CDS_Schedule!$H$7:$H$46),"")</f>
        <v/>
      </c>
      <c r="E9" s="72">
        <f>IF(OR(NOT(ISNUMBER(C9)),NOT(ISNUMBER(D9))),"",C9-D9)</f>
        <v/>
      </c>
      <c r="F9" s="104">
        <f>IFERROR(CDS_StripIterations(),"")</f>
        <v/>
      </c>
      <c r="G9" s="72" t="n"/>
      <c r="H9" s="72" t="n"/>
      <c r="I9" s="63" t="n"/>
      <c r="J9" s="72" t="n"/>
    </row>
    <row r="10">
      <c r="A10" s="152" t="inlineStr">
        <is>
          <t>7Y</t>
        </is>
      </c>
      <c r="B10" s="89">
        <f>Hazard_Bootstrap!$C$11</f>
        <v/>
      </c>
      <c r="C10" s="226">
        <f>IFERROR(CDS_StripHazard(5,"BRENT",Hazard_Bootstrap!$B$7:$B$12,Hazard_Bootstrap!$C$7:$C$12,CDS_Parameters!$B$8,CDS_Parameters!$B$26,CDS_Schedule!$C$7:$C$46,CDS_Schedule!$D$7:$D$46,CDS_Schedule!$E$7:$E$46,CDS_Schedule!$G$7:$G$46,CDS_Schedule!$H$7:$H$46),"module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D10" s="226">
        <f>IFERROR(CDS_StripHazard(5,"BISECTION",Hazard_Bootstrap!$B$7:$B$12,Hazard_Bootstrap!$C$7:$C$12,CDS_Parameters!$B$8,CDS_Parameters!$B$26,CDS_Schedule!$C$7:$C$46,CDS_Schedule!$D$7:$D$46,CDS_Schedule!$E$7:$E$46,CDS_Schedule!$G$7:$G$46,CDS_Schedule!$H$7:$H$46),"")</f>
        <v/>
      </c>
      <c r="E10" s="72">
        <f>IF(OR(NOT(ISNUMBER(C10)),NOT(ISNUMBER(D10))),"",C10-D10)</f>
        <v/>
      </c>
      <c r="F10" s="104">
        <f>IFERROR(CDS_StripIterations(),"")</f>
        <v/>
      </c>
      <c r="G10" s="72" t="n"/>
      <c r="H10" s="72" t="n"/>
      <c r="I10" s="63" t="n"/>
      <c r="J10" s="72" t="n"/>
    </row>
    <row r="11">
      <c r="A11" s="152" t="inlineStr">
        <is>
          <t>10Y</t>
        </is>
      </c>
      <c r="B11" s="89">
        <f>Hazard_Bootstrap!$C$12</f>
        <v/>
      </c>
      <c r="C11" s="226">
        <f>IFERROR(CDS_StripHazard(6,"BRENT",Hazard_Bootstrap!$B$7:$B$12,Hazard_Bootstrap!$C$7:$C$12,CDS_Parameters!$B$8,CDS_Parameters!$B$26,CDS_Schedule!$C$7:$C$46,CDS_Schedule!$D$7:$D$46,CDS_Schedule!$E$7:$E$46,CDS_Schedule!$G$7:$G$46,CDS_Schedule!$H$7:$H$46),"module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D11" s="226">
        <f>IFERROR(CDS_StripHazard(6,"BISECTION",Hazard_Bootstrap!$B$7:$B$12,Hazard_Bootstrap!$C$7:$C$12,CDS_Parameters!$B$8,CDS_Parameters!$B$26,CDS_Schedule!$C$7:$C$46,CDS_Schedule!$D$7:$D$46,CDS_Schedule!$E$7:$E$46,CDS_Schedule!$G$7:$G$46,CDS_Schedule!$H$7:$H$46),"")</f>
        <v/>
      </c>
      <c r="E11" s="72">
        <f>IF(OR(NOT(ISNUMBER(C11)),NOT(ISNUMBER(D11))),"",C11-D11)</f>
        <v/>
      </c>
      <c r="F11" s="104">
        <f>IFERROR(CDS_StripIterations(),"")</f>
        <v/>
      </c>
      <c r="G11" s="72" t="n"/>
      <c r="H11" s="72" t="n"/>
      <c r="I11" s="63" t="n"/>
      <c r="J11" s="72" t="n"/>
    </row>
    <row r="13">
      <c r="A13" s="67" t="inlineStr">
        <is>
          <t>max |diff|</t>
        </is>
      </c>
      <c r="C13" s="91" t="n"/>
      <c r="E13" s="193">
        <f>IF(COUNT(E6:E11)=0,"module not loaded",MAX(MAX(E6:E11),-MIN(E6:E11)))</f>
        <v/>
      </c>
    </row>
    <row r="14">
      <c r="A14" s="67" t="n"/>
      <c r="C14" s="91" t="n"/>
    </row>
    <row r="15">
      <c r="A15" s="126" t="inlineStr">
        <is>
          <t>Both find the same root. Bisection needs ~52 evaluations per segment, Brent ~9.</t>
        </is>
      </c>
    </row>
    <row r="16">
      <c r="A16" s="126" t="inlineStr">
        <is>
          <t>The 3,712-cell ladder that used to sit behind bisection is gone; the cost is now one call either way.</t>
        </is>
      </c>
    </row>
    <row r="17">
      <c r="A17" s="123" t="n"/>
    </row>
    <row r="18">
      <c r="A18" s="141" t="n"/>
      <c r="B18" s="141" t="n"/>
      <c r="C18" s="141" t="n"/>
      <c r="D18" s="141" t="n"/>
    </row>
    <row r="19">
      <c r="A19" s="67" t="n"/>
      <c r="B19" s="93" t="n"/>
      <c r="C19" s="93" t="n"/>
      <c r="D19" s="93" t="n"/>
    </row>
    <row r="20">
      <c r="A20" s="67" t="n"/>
      <c r="B20" s="93" t="n"/>
      <c r="C20" s="93" t="n"/>
      <c r="D20" s="93" t="n"/>
    </row>
    <row r="21">
      <c r="A21" s="67" t="n"/>
      <c r="B21" s="93" t="n"/>
      <c r="C21" s="93" t="n"/>
      <c r="D21" s="93" t="n"/>
    </row>
    <row r="22">
      <c r="A22" s="67" t="n"/>
      <c r="B22" s="93" t="n"/>
      <c r="C22" s="93" t="n"/>
      <c r="D22" s="93" t="n"/>
    </row>
    <row r="23">
      <c r="A23" s="67" t="n"/>
      <c r="B23" s="93" t="n"/>
      <c r="C23" s="93" t="n"/>
      <c r="D23" s="93" t="n"/>
    </row>
    <row r="24">
      <c r="A24" s="67" t="n"/>
      <c r="B24" s="93" t="n"/>
      <c r="C24" s="93" t="n"/>
      <c r="D24" s="93" t="n"/>
    </row>
    <row r="25">
      <c r="A25" s="67" t="n"/>
      <c r="B25" s="93" t="n"/>
      <c r="C25" s="93" t="n"/>
      <c r="D25" s="93" t="n"/>
    </row>
    <row r="26">
      <c r="A26" s="67" t="n"/>
      <c r="B26" s="93" t="n"/>
      <c r="C26" s="93" t="n"/>
      <c r="D26" s="93" t="n"/>
    </row>
    <row r="29">
      <c r="A29" s="67" t="n"/>
    </row>
    <row r="30">
      <c r="A30" s="65" t="n"/>
    </row>
    <row r="31">
      <c r="A31" s="65" t="n"/>
    </row>
    <row r="32">
      <c r="A32" s="65" t="n"/>
    </row>
    <row r="33">
      <c r="A33" s="66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selection activeCell="A1" sqref="A1"/>
    </sheetView>
  </sheetViews>
  <sheetFormatPr baseColWidth="8" defaultRowHeight="15"/>
  <cols>
    <col width="17" customWidth="1" min="1" max="1"/>
    <col width="18" customWidth="1" min="2" max="2"/>
    <col width="15" customWidth="1" min="3" max="3"/>
    <col width="12" customWidth="1" min="4" max="4"/>
    <col width="12" customWidth="1" min="5" max="5"/>
    <col width="13" customWidth="1" min="6" max="6"/>
    <col width="7" customWidth="1" min="7" max="7"/>
    <col width="12" customWidth="1" min="8" max="8"/>
    <col width="12" customWidth="1" min="9" max="9"/>
    <col width="86" customWidth="1" min="10" max="10"/>
  </cols>
  <sheetData>
    <row r="1">
      <c r="A1" s="176" t="inlineStr">
        <is>
          <t>Root-finding methods on the hazard strip</t>
        </is>
      </c>
    </row>
    <row r="2">
      <c r="A2" s="177" t="inlineStr">
        <is>
          <t>All methods solve the same f(h) = (1-R)*Prot(h) - S*(RPV01(h) - AI), B-Model (3.3). Same root; different cost.</t>
        </is>
      </c>
    </row>
    <row r="3">
      <c r="A3" s="98" t="inlineStr">
        <is>
          <t>Baseline is the scheme, not the algorithm. Section 4 p.8 fixes piecewise-constant hazard solved maturity by maturity, each a 1-D root-find with earlier hazards fixed. It names no method.</t>
        </is>
      </c>
    </row>
    <row r="4">
      <c r="A4" s="177" t="inlineStr">
        <is>
          <t>Needs CDSStrip.bas imported, saved as .xlsm.</t>
        </is>
      </c>
    </row>
    <row r="6">
      <c r="A6" s="188" t="inlineStr">
        <is>
          <t>Method</t>
        </is>
      </c>
      <c r="B6" s="188" t="inlineStr">
        <is>
          <t>Family</t>
        </is>
      </c>
      <c r="C6" s="188" t="inlineStr">
        <is>
          <t>Order</t>
        </is>
      </c>
      <c r="D6" s="188" t="inlineStr">
        <is>
          <t>5Y hazard</t>
        </is>
      </c>
      <c r="E6" s="188" t="inlineStr">
        <is>
          <t>its</t>
        </is>
      </c>
      <c r="F6" s="188" t="inlineStr">
        <is>
          <t>vs Brent</t>
        </is>
      </c>
      <c r="G6" s="188" t="n"/>
      <c r="H6" s="188" t="n"/>
      <c r="I6" s="188" t="n"/>
      <c r="J6" s="188" t="n"/>
    </row>
    <row r="7">
      <c r="A7" s="189" t="inlineStr">
        <is>
          <t>BRENT</t>
        </is>
      </c>
      <c r="B7" s="189" t="inlineStr">
        <is>
          <t>bracketing hybrid</t>
        </is>
      </c>
      <c r="C7" s="190" t="inlineStr">
        <is>
          <t>hybrid</t>
        </is>
      </c>
      <c r="D7" s="227">
        <f>IFERROR(CDS_StripHazard(4,"BRENT",Hazard_Bootstrap!$B$7:$B$12,Hazard_Bootstrap!$C$7:$C$12,CDS_Parameters!$B$8,CDS_Parameters!$B$26,CDS_Schedule!$C$7:$C$46,CDS_Schedule!$D$7:$D$46,CDS_Schedule!$E$7:$E$46,CDS_Schedule!$G$7:$G$46,CDS_Schedule!$H$7:$H$46),"module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7" s="190">
        <f>IFERROR(CDS_StripIterations(),"")</f>
        <v/>
      </c>
      <c r="F7" s="192">
        <f>IF(NOT(ISNUMBER(D7)),"",D7-$D$7)</f>
        <v/>
      </c>
      <c r="G7" s="180" t="n"/>
      <c r="H7" s="192" t="n"/>
      <c r="I7" s="192" t="n"/>
      <c r="J7" s="190" t="n"/>
    </row>
    <row r="8">
      <c r="A8" s="190" t="inlineStr">
        <is>
          <t>BISECTION</t>
        </is>
      </c>
      <c r="B8" s="190" t="inlineStr">
        <is>
          <t>bracketing</t>
        </is>
      </c>
      <c r="C8" s="190" t="inlineStr">
        <is>
          <t>linear</t>
        </is>
      </c>
      <c r="D8" s="227">
        <f>IFERROR(CDS_StripHazard(4,"BISECTION",Hazard_Bootstrap!$B$7:$B$12,Hazard_Bootstrap!$C$7:$C$12,CDS_Parameters!$B$8,CDS_Parameters!$B$26,CDS_Schedule!$C$7:$C$46,CDS_Schedule!$D$7:$D$46,CDS_Schedule!$E$7:$E$46,CDS_Schedule!$G$7:$G$46,CDS_Schedule!$H$7:$H$46),"module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8" s="190">
        <f>IFERROR(CDS_StripIterations(),"")</f>
        <v/>
      </c>
      <c r="F8" s="192">
        <f>IF(NOT(ISNUMBER(D8)),"",D8-$D$7)</f>
        <v/>
      </c>
      <c r="G8" s="180" t="n"/>
      <c r="H8" s="192" t="n"/>
      <c r="I8" s="192" t="n"/>
      <c r="J8" s="190" t="n"/>
    </row>
    <row r="9">
      <c r="A9" s="190" t="inlineStr">
        <is>
          <t>FALSE POSITION</t>
        </is>
      </c>
      <c r="B9" s="190" t="inlineStr">
        <is>
          <t>bracketing</t>
        </is>
      </c>
      <c r="C9" s="190" t="inlineStr">
        <is>
          <t>super-linear</t>
        </is>
      </c>
      <c r="D9" s="227">
        <f>IFERROR(CDS_StripHazard(4,"FALSE POSITION",Hazard_Bootstrap!$B$7:$B$12,Hazard_Bootstrap!$C$7:$C$12,CDS_Parameters!$B$8,CDS_Parameters!$B$26,CDS_Schedule!$C$7:$C$46,CDS_Schedule!$D$7:$D$46,CDS_Schedule!$E$7:$E$46,CDS_Schedule!$G$7:$G$46,CDS_Schedule!$H$7:$H$46),"module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9" s="190">
        <f>IFERROR(CDS_StripIterations(),"")</f>
        <v/>
      </c>
      <c r="F9" s="192">
        <f>IF(NOT(ISNUMBER(D9)),"",D9-$D$7)</f>
        <v/>
      </c>
      <c r="G9" s="180" t="n"/>
      <c r="H9" s="192" t="n"/>
      <c r="I9" s="192" t="n"/>
      <c r="J9" s="190" t="n"/>
    </row>
    <row r="10">
      <c r="A10" s="190" t="inlineStr">
        <is>
          <t>SECANT</t>
        </is>
      </c>
      <c r="B10" s="190" t="inlineStr">
        <is>
          <t>open</t>
        </is>
      </c>
      <c r="C10" s="190" t="inlineStr">
        <is>
          <t>~1.618</t>
        </is>
      </c>
      <c r="D10" s="227">
        <f>IFERROR(CDS_StripHazard(4,"SECANT",Hazard_Bootstrap!$B$7:$B$12,Hazard_Bootstrap!$C$7:$C$12,CDS_Parameters!$B$8,CDS_Parameters!$B$26,CDS_Schedule!$C$7:$C$46,CDS_Schedule!$D$7:$D$46,CDS_Schedule!$E$7:$E$46,CDS_Schedule!$G$7:$G$46,CDS_Schedule!$H$7:$H$46),"module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10" s="190">
        <f>IFERROR(CDS_StripIterations(),"")</f>
        <v/>
      </c>
      <c r="F10" s="192">
        <f>IF(NOT(ISNUMBER(D10)),"",D10-$D$7)</f>
        <v/>
      </c>
      <c r="G10" s="180" t="n"/>
      <c r="H10" s="192" t="n"/>
      <c r="I10" s="192" t="n"/>
      <c r="J10" s="190" t="n"/>
    </row>
    <row r="11">
      <c r="A11" s="190" t="inlineStr">
        <is>
          <t>NEWTON</t>
        </is>
      </c>
      <c r="B11" s="190" t="inlineStr">
        <is>
          <t>open</t>
        </is>
      </c>
      <c r="C11" s="190" t="inlineStr">
        <is>
          <t>2</t>
        </is>
      </c>
      <c r="D11" s="227">
        <f>IFERROR(CDS_StripHazard(4,"NEWTON",Hazard_Bootstrap!$B$7:$B$12,Hazard_Bootstrap!$C$7:$C$12,CDS_Parameters!$B$8,CDS_Parameters!$B$26,CDS_Schedule!$C$7:$C$46,CDS_Schedule!$D$7:$D$46,CDS_Schedule!$E$7:$E$46,CDS_Schedule!$G$7:$G$46,CDS_Schedule!$H$7:$H$46),"module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11" s="190">
        <f>IFERROR(CDS_StripIterations(),"")</f>
        <v/>
      </c>
      <c r="F11" s="192">
        <f>IF(NOT(ISNUMBER(D11)),"",D11-$D$7)</f>
        <v/>
      </c>
      <c r="G11" s="180" t="n"/>
      <c r="H11" s="192" t="n"/>
      <c r="I11" s="192" t="n"/>
      <c r="J11" s="190" t="n"/>
    </row>
    <row r="12">
      <c r="A12" s="190" t="inlineStr">
        <is>
          <t>HALLEY</t>
        </is>
      </c>
      <c r="B12" s="190" t="inlineStr">
        <is>
          <t>open</t>
        </is>
      </c>
      <c r="C12" s="190" t="inlineStr">
        <is>
          <t>3</t>
        </is>
      </c>
      <c r="D12" s="227">
        <f>IFERROR(CDS_StripHazard(4,"HALLEY",Hazard_Bootstrap!$B$7:$B$12,Hazard_Bootstrap!$C$7:$C$12,CDS_Parameters!$B$8,CDS_Parameters!$B$26,CDS_Schedule!$C$7:$C$46,CDS_Schedule!$D$7:$D$46,CDS_Schedule!$E$7:$E$46,CDS_Schedule!$G$7:$G$46,CDS_Schedule!$H$7:$H$46),"module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12" s="190">
        <f>IFERROR(CDS_StripIterations(),"")</f>
        <v/>
      </c>
      <c r="F12" s="192">
        <f>IF(NOT(ISNUMBER(D12)),"",D12-$D$7)</f>
        <v/>
      </c>
      <c r="G12" s="180" t="n"/>
      <c r="H12" s="192" t="n"/>
      <c r="I12" s="192" t="n"/>
      <c r="J12" s="190" t="n"/>
    </row>
    <row r="13">
      <c r="A13" s="190" t="inlineStr">
        <is>
          <t>HOUSEHOLDER</t>
        </is>
      </c>
      <c r="B13" s="190" t="inlineStr">
        <is>
          <t>open</t>
        </is>
      </c>
      <c r="C13" s="190" t="inlineStr">
        <is>
          <t>d+1</t>
        </is>
      </c>
      <c r="D13" s="227">
        <f>IFERROR(CDS_StripHazard(4,"HOUSEHOLDER",Hazard_Bootstrap!$B$7:$B$12,Hazard_Bootstrap!$C$7:$C$12,CDS_Parameters!$B$8,CDS_Parameters!$B$26,CDS_Schedule!$C$7:$C$46,CDS_Schedule!$D$7:$D$46,CDS_Schedule!$E$7:$E$46,CDS_Schedule!$G$7:$G$46,CDS_Schedule!$H$7:$H$46),"module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13" s="190">
        <f>IFERROR(CDS_StripIterations(),"")</f>
        <v/>
      </c>
      <c r="F13" s="192">
        <f>IF(NOT(ISNUMBER(D13)),"",D13-$D$7)</f>
        <v/>
      </c>
      <c r="G13" s="180" t="n"/>
      <c r="H13" s="192" t="n"/>
      <c r="I13" s="192" t="n"/>
      <c r="J13" s="190" t="n"/>
    </row>
    <row r="14">
      <c r="A14" s="190" t="inlineStr">
        <is>
          <t>RIDDERS</t>
        </is>
      </c>
      <c r="B14" s="190" t="inlineStr">
        <is>
          <t>bracketing hybrid</t>
        </is>
      </c>
      <c r="C14" s="190" t="inlineStr">
        <is>
          <t>hybrid</t>
        </is>
      </c>
      <c r="D14" s="227">
        <f>IFERROR(CDS_StripHazard(4,"RIDDERS",Hazard_Bootstrap!$B$7:$B$12,Hazard_Bootstrap!$C$7:$C$12,CDS_Parameters!$B$8,CDS_Parameters!$B$26,CDS_Schedule!$C$7:$C$46,CDS_Schedule!$D$7:$D$46,CDS_Schedule!$E$7:$E$46,CDS_Schedule!$G$7:$G$46,CDS_Schedule!$H$7:$H$46),"module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14" s="190">
        <f>IFERROR(CDS_StripIterations(),"")</f>
        <v/>
      </c>
      <c r="F14" s="192">
        <f>IF(NOT(ISNUMBER(D14)),"",D14-$D$7)</f>
        <v/>
      </c>
      <c r="G14" s="180" t="n"/>
      <c r="H14" s="192" t="n"/>
      <c r="I14" s="192" t="n"/>
      <c r="J14" s="190" t="n"/>
    </row>
    <row r="16">
      <c r="A16" s="67" t="inlineStr">
        <is>
          <t>Spread of the eight roots</t>
        </is>
      </c>
      <c r="D16" s="193">
        <f>IF(COUNT(D7:D14)=0,"module not loaded",MAX(D7:D14)-MIN(D7:D14))</f>
        <v/>
      </c>
      <c r="E16" s="177" t="inlineStr">
        <is>
          <t>they solve the same equation, so this is the real check</t>
        </is>
      </c>
      <c r="F16" s="193" t="n"/>
      <c r="G16" s="177" t="n"/>
    </row>
    <row r="18">
      <c r="A18" s="67" t="n"/>
    </row>
    <row r="19">
      <c r="A19" s="183" t="n"/>
      <c r="B19" s="183" t="n"/>
      <c r="C19" s="183" t="n"/>
      <c r="D19" s="183" t="n"/>
    </row>
    <row r="20">
      <c r="A20" s="190" t="n"/>
      <c r="B20" s="190" t="n"/>
      <c r="C20" s="190" t="n"/>
      <c r="D20" s="190" t="n"/>
    </row>
    <row r="21">
      <c r="A21" s="190" t="n"/>
      <c r="B21" s="190" t="n"/>
      <c r="C21" s="190" t="n"/>
      <c r="D21" s="190" t="n"/>
    </row>
    <row r="22">
      <c r="A22" s="190" t="n"/>
      <c r="B22" s="190" t="n"/>
      <c r="C22" s="190" t="n"/>
      <c r="D22" s="190" t="n"/>
    </row>
    <row r="23">
      <c r="A23" s="190" t="n"/>
      <c r="B23" s="190" t="n"/>
      <c r="C23" s="190" t="n"/>
      <c r="D23" s="190" t="n"/>
    </row>
    <row r="24">
      <c r="A24" s="190" t="n"/>
      <c r="B24" s="190" t="n"/>
      <c r="C24" s="190" t="n"/>
      <c r="D24" s="190" t="n"/>
    </row>
    <row r="25">
      <c r="A25" s="190" t="n"/>
      <c r="B25" s="190" t="n"/>
      <c r="C25" s="190" t="n"/>
      <c r="D25" s="190" t="n"/>
    </row>
    <row r="26">
      <c r="A26" s="190" t="n"/>
      <c r="B26" s="190" t="n"/>
      <c r="C26" s="190" t="n"/>
      <c r="D26" s="190" t="n"/>
    </row>
    <row r="27">
      <c r="A27" s="190" t="n"/>
      <c r="B27" s="190" t="n"/>
      <c r="C27" s="190" t="n"/>
      <c r="D27" s="190" t="n"/>
    </row>
    <row r="29">
      <c r="A29" s="67" t="n"/>
    </row>
    <row r="30">
      <c r="A30" s="126" t="n"/>
    </row>
    <row r="31">
      <c r="A31" s="126" t="n"/>
    </row>
    <row r="32">
      <c r="A32" s="126" t="n"/>
    </row>
    <row r="33">
      <c r="A33" s="177" t="n"/>
    </row>
    <row r="34">
      <c r="A34" s="126" t="n"/>
    </row>
    <row r="35">
      <c r="A35" s="177" t="n"/>
    </row>
    <row r="36">
      <c r="A36" s="126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6A1B9A"/>
    <outlinePr summaryBelow="1" summaryRight="1"/>
    <pageSetUpPr/>
  </sheetPr>
  <dimension ref="A1:AW17"/>
  <sheetViews>
    <sheetView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7" customWidth="1" min="3" max="3"/>
    <col width="13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4" customWidth="1" min="15" max="15"/>
    <col width="11" customWidth="1" min="16" max="16"/>
    <col width="13" customWidth="1" min="17" max="17"/>
    <col width="14" customWidth="1" min="18" max="18"/>
    <col width="13" customWidth="1" min="19" max="19"/>
    <col width="13" customWidth="1" min="20" max="20"/>
    <col width="14" customWidth="1" min="21" max="21"/>
    <col width="11" customWidth="1" min="22" max="22"/>
    <col width="13" customWidth="1" min="23" max="23"/>
    <col width="14" customWidth="1" min="24" max="24"/>
    <col width="13" customWidth="1" min="25" max="25"/>
    <col width="12" customWidth="1" min="26" max="26"/>
    <col width="12" customWidth="1" min="27" max="27"/>
    <col width="14" customWidth="1" min="28" max="28"/>
    <col width="10" customWidth="1" min="29" max="29"/>
    <col width="18" customWidth="1" min="32" max="32"/>
    <col width="11" customWidth="1" min="33" max="33"/>
    <col width="18" customWidth="1" min="34" max="34"/>
    <col width="11" customWidth="1" min="35" max="35"/>
    <col width="18" customWidth="1" min="36" max="36"/>
    <col width="11" customWidth="1" min="37" max="37"/>
    <col width="18" customWidth="1" min="38" max="38"/>
    <col width="11" customWidth="1" min="39" max="39"/>
    <col width="18" customWidth="1" min="40" max="40"/>
    <col width="11" customWidth="1" min="41" max="41"/>
    <col width="18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</cols>
  <sheetData>
    <row r="1">
      <c r="A1" s="123" t="inlineStr">
        <is>
          <t>CDS_Entities: names pulled from Bloomberg</t>
        </is>
      </c>
    </row>
    <row r="2">
      <c r="A2" s="65" t="inlineStr">
        <is>
          <t>One row per name. Blue/yellow cells are typed in from the terminal. CDS_Parameters!B27 selects which row prices.</t>
        </is>
      </c>
      <c r="AE2" s="65" t="inlineStr">
        <is>
          <t>Type a ticker in col B and the row populates. Cols H:M show what is in use: the live pull when it resolves. To hard-code instead, overwrite H:M directly.</t>
        </is>
      </c>
      <c r="AR2" s="65" t="inlineStr">
        <is>
          <t>Guaranteed numeric. CDS_Quotes reads THIS, never H:M directly - an empty string here propagates into the hazard chain and takes out the module.</t>
        </is>
      </c>
    </row>
    <row r="3">
      <c r="A3" s="65" t="inlineStr">
        <is>
          <t>Spreads H:M are T3 (term structure). O:AC are T4 (the CDSW screen for that name) and are the acceptance test: see TEST_CASES.md.</t>
        </is>
      </c>
      <c r="B3" s="177" t="inlineStr">
        <is>
          <t>display only - the ticker in use comes from Entities!F4</t>
        </is>
      </c>
      <c r="H3" s="67" t="inlineStr">
        <is>
          <t>TERM STRUCTURE (T3)</t>
        </is>
      </c>
      <c r="O3" s="177" t="inlineStr">
        <is>
          <t>CDSW capture - context</t>
        </is>
      </c>
      <c r="S3" s="177" t="inlineStr">
        <is>
          <t>CDSW capture - compared on CDS_Pricer rows 44-54</t>
        </is>
      </c>
      <c r="AE3" s="67" t="inlineStr">
        <is>
          <t>DYNAMIC PULL: Help Desk H#1330731572</t>
        </is>
      </c>
      <c r="AR3" s="177" t="inlineStr">
        <is>
          <t>in use = Entities effective block (override &gt; BDP &gt; manual)</t>
        </is>
      </c>
    </row>
    <row r="4" ht="30" customHeight="1">
      <c r="A4" s="141" t="inlineStr">
        <is>
          <t>Entity name</t>
        </is>
      </c>
      <c r="B4" s="141" t="inlineStr">
        <is>
          <t>Ticker (BDP)</t>
        </is>
      </c>
      <c r="C4" s="141" t="inlineStr">
        <is>
          <t>Ccy</t>
        </is>
      </c>
      <c r="D4" s="141" t="inlineStr">
        <is>
          <t>Seniority</t>
        </is>
      </c>
      <c r="E4" s="141" t="inlineStr">
        <is>
          <t>Clause</t>
        </is>
      </c>
      <c r="F4" s="141" t="inlineStr">
        <is>
          <t>Recovery</t>
        </is>
      </c>
      <c r="G4" s="141" t="inlineStr">
        <is>
          <t>Captured</t>
        </is>
      </c>
      <c r="H4" s="145" t="inlineStr">
        <is>
          <t>1Y bp (manual)</t>
        </is>
      </c>
      <c r="I4" s="145" t="inlineStr">
        <is>
          <t>2Y bp (manual)</t>
        </is>
      </c>
      <c r="J4" s="145" t="inlineStr">
        <is>
          <t>3Y bp (manual)</t>
        </is>
      </c>
      <c r="K4" s="145" t="inlineStr">
        <is>
          <t>5Y bp (manual)</t>
        </is>
      </c>
      <c r="L4" s="145" t="inlineStr">
        <is>
          <t>7Y bp (manual)</t>
        </is>
      </c>
      <c r="M4" s="145" t="inlineStr">
        <is>
          <t>10Y bp (manual)</t>
        </is>
      </c>
      <c r="O4" s="146" t="inlineStr">
        <is>
          <t>Notional</t>
        </is>
      </c>
      <c r="P4" s="146" t="inlineStr">
        <is>
          <t>Coupon bp</t>
        </is>
      </c>
      <c r="Q4" s="146" t="inlineStr">
        <is>
          <t>Maturity</t>
        </is>
      </c>
      <c r="R4" s="146" t="inlineStr">
        <is>
          <t>Traded sprd bp</t>
        </is>
      </c>
      <c r="S4" s="146" t="inlineStr">
        <is>
          <t>Pts upfront</t>
        </is>
      </c>
      <c r="T4" s="146" t="inlineStr">
        <is>
          <t>Price</t>
        </is>
      </c>
      <c r="U4" s="146" t="inlineStr">
        <is>
          <t>Principal</t>
        </is>
      </c>
      <c r="V4" s="146" t="inlineStr">
        <is>
          <t>Accr days</t>
        </is>
      </c>
      <c r="W4" s="146" t="inlineStr">
        <is>
          <t>Accrued</t>
        </is>
      </c>
      <c r="X4" s="146" t="inlineStr">
        <is>
          <t>Cash amount</t>
        </is>
      </c>
      <c r="Y4" s="146" t="inlineStr">
        <is>
          <t>Spread DV01</t>
        </is>
      </c>
      <c r="Z4" s="146" t="inlineStr">
        <is>
          <t>IR DV01</t>
        </is>
      </c>
      <c r="AA4" s="146" t="inlineStr">
        <is>
          <t>Rec risk 1%</t>
        </is>
      </c>
      <c r="AB4" s="146" t="inlineStr">
        <is>
          <t>Def exposure</t>
        </is>
      </c>
      <c r="AC4" s="146" t="inlineStr">
        <is>
          <t>Prob 5Y</t>
        </is>
      </c>
      <c r="AE4" s="141" t="inlineStr">
        <is>
          <t>Step 1 ticker</t>
        </is>
      </c>
      <c r="AF4" s="141" t="inlineStr">
        <is>
          <t>1Y ticker</t>
        </is>
      </c>
      <c r="AG4" s="141" t="inlineStr">
        <is>
          <t>1Y bp live</t>
        </is>
      </c>
      <c r="AH4" s="141" t="inlineStr">
        <is>
          <t>2Y ticker</t>
        </is>
      </c>
      <c r="AI4" s="141" t="inlineStr">
        <is>
          <t>2Y bp live</t>
        </is>
      </c>
      <c r="AJ4" s="141" t="inlineStr">
        <is>
          <t>3Y ticker</t>
        </is>
      </c>
      <c r="AK4" s="141" t="inlineStr">
        <is>
          <t>3Y bp live</t>
        </is>
      </c>
      <c r="AL4" s="141" t="inlineStr">
        <is>
          <t>5Y ticker</t>
        </is>
      </c>
      <c r="AM4" s="141" t="inlineStr">
        <is>
          <t>5Y bp live</t>
        </is>
      </c>
      <c r="AN4" s="141" t="inlineStr">
        <is>
          <t>7Y ticker</t>
        </is>
      </c>
      <c r="AO4" s="141" t="inlineStr">
        <is>
          <t>7Y bp live</t>
        </is>
      </c>
      <c r="AP4" s="141" t="inlineStr">
        <is>
          <t>10Y ticker</t>
        </is>
      </c>
      <c r="AQ4" s="141" t="inlineStr">
        <is>
          <t>10Y bp live</t>
        </is>
      </c>
      <c r="AR4" s="141" t="inlineStr">
        <is>
          <t>1Y used</t>
        </is>
      </c>
      <c r="AS4" s="141" t="inlineStr">
        <is>
          <t>2Y used</t>
        </is>
      </c>
      <c r="AT4" s="141" t="inlineStr">
        <is>
          <t>3Y used</t>
        </is>
      </c>
      <c r="AU4" s="141" t="inlineStr">
        <is>
          <t>5Y used</t>
        </is>
      </c>
      <c r="AV4" s="141" t="inlineStr">
        <is>
          <t>7Y used</t>
        </is>
      </c>
      <c r="AW4" s="141" t="inlineStr">
        <is>
          <t>10Y used</t>
        </is>
      </c>
    </row>
    <row r="5">
      <c r="A5" s="68">
        <f>IF(Entities!$B7="","",Entities!$B7)</f>
        <v/>
      </c>
      <c r="B5" s="68">
        <f>IF(Entities!$C7="","",Entities!$C7)</f>
        <v/>
      </c>
      <c r="C5" s="68">
        <f>IF(Entities!$D7="","",Entities!$D7)</f>
        <v/>
      </c>
      <c r="D5" s="68">
        <f>IF(Entities!$L7="","",Entities!$L7)</f>
        <v/>
      </c>
      <c r="E5" s="68">
        <f>IF(Entities!$M7="","",Entities!$M7)</f>
        <v/>
      </c>
      <c r="F5" s="147">
        <f>IF(Entities!$N7="",0.4,Entities!$N7)</f>
        <v/>
      </c>
      <c r="G5" s="111" t="n"/>
      <c r="H5" s="64" t="n"/>
      <c r="I5" s="64" t="n"/>
      <c r="J5" s="64" t="n"/>
      <c r="K5" s="64" t="n"/>
      <c r="L5" s="64" t="n"/>
      <c r="M5" s="64" t="n"/>
      <c r="O5" s="118" t="n"/>
      <c r="P5" s="64" t="n"/>
      <c r="Q5" s="111" t="n"/>
      <c r="R5" s="64" t="n"/>
      <c r="S5" s="148" t="n"/>
      <c r="T5" s="148" t="n"/>
      <c r="U5" s="118" t="n"/>
      <c r="V5" s="95" t="n"/>
      <c r="W5" s="118" t="n"/>
      <c r="X5" s="118" t="n"/>
      <c r="Y5" s="118" t="n"/>
      <c r="Z5" s="118" t="n"/>
      <c r="AA5" s="118" t="n"/>
      <c r="AB5" s="118" t="n"/>
      <c r="AC5" s="64" t="n"/>
      <c r="AF5" s="93">
        <f>IFERROR(BDP($B5,"CDS_SPREAD_TICKER_1Y"),"")</f>
        <v/>
      </c>
      <c r="AG5" s="63">
        <f>IFERROR(BDP(AF5&amp;" BEST Curncy","PX_LAST")+0,"")</f>
        <v/>
      </c>
      <c r="AH5" s="93">
        <f>IFERROR(BDP($B5,"CDS_SPREAD_TICKER_2Y"),"")</f>
        <v/>
      </c>
      <c r="AI5" s="63">
        <f>IFERROR(BDP(AH5&amp;" BEST Curncy","PX_LAST")+0,"")</f>
        <v/>
      </c>
      <c r="AJ5" s="93">
        <f>IFERROR(BDP($B5,"CDS_SPREAD_TICKER_3Y"),"")</f>
        <v/>
      </c>
      <c r="AK5" s="63">
        <f>IFERROR(BDP(AJ5&amp;" BEST Curncy","PX_LAST")+0,"")</f>
        <v/>
      </c>
      <c r="AL5" s="93">
        <f>IFERROR(BDP($B5,"CDS_SPREAD_TICKER_5Y"),"")</f>
        <v/>
      </c>
      <c r="AM5" s="63">
        <f>IFERROR(BDP(AL5&amp;" BEST Curncy","PX_LAST")+0,"")</f>
        <v/>
      </c>
      <c r="AN5" s="93">
        <f>IFERROR(BDP($B5,"CDS_SPREAD_TICKER_7Y"),"")</f>
        <v/>
      </c>
      <c r="AO5" s="63">
        <f>IFERROR(BDP(AN5&amp;" BEST Curncy","PX_LAST")+0,"")</f>
        <v/>
      </c>
      <c r="AP5" s="93">
        <f>IFERROR(BDP($B5,"CDS_SPREAD_TICKER_10Y"),"")</f>
        <v/>
      </c>
      <c r="AQ5" s="63">
        <f>IFERROR(BDP(AP5&amp;" BEST Curncy","PX_LAST")+0,"")</f>
        <v/>
      </c>
      <c r="AR5" s="133">
        <f>IF(Entities!$F21="",0,Entities!$F21)</f>
        <v/>
      </c>
      <c r="AS5" s="133">
        <f>IF(Entities!$G21="",0,Entities!$G21)</f>
        <v/>
      </c>
      <c r="AT5" s="133">
        <f>IF(Entities!$H21="",0,Entities!$H21)</f>
        <v/>
      </c>
      <c r="AU5" s="133">
        <f>IF(Entities!$I21="",0,Entities!$I21)</f>
        <v/>
      </c>
      <c r="AV5" s="133">
        <f>IF(Entities!$J21="",0,Entities!$J21)</f>
        <v/>
      </c>
      <c r="AW5" s="133">
        <f>IF(Entities!$K21="",0,Entities!$K21)</f>
        <v/>
      </c>
    </row>
    <row r="6">
      <c r="A6" s="68">
        <f>IF(Entities!$B8="","",Entities!$B8)</f>
        <v/>
      </c>
      <c r="B6" s="68">
        <f>IF(Entities!$C8="","",Entities!$C8)</f>
        <v/>
      </c>
      <c r="C6" s="68">
        <f>IF(Entities!$D8="","",Entities!$D8)</f>
        <v/>
      </c>
      <c r="D6" s="68">
        <f>IF(Entities!$L8="","",Entities!$L8)</f>
        <v/>
      </c>
      <c r="E6" s="68">
        <f>IF(Entities!$M8="","",Entities!$M8)</f>
        <v/>
      </c>
      <c r="F6" s="147">
        <f>IF(Entities!$N8="",0.4,Entities!$N8)</f>
        <v/>
      </c>
      <c r="G6" s="111" t="n"/>
      <c r="H6" s="64" t="n"/>
      <c r="I6" s="64" t="n"/>
      <c r="J6" s="64" t="n"/>
      <c r="K6" s="64" t="n"/>
      <c r="L6" s="64" t="n"/>
      <c r="M6" s="64" t="n"/>
      <c r="O6" s="118" t="n"/>
      <c r="P6" s="64" t="n"/>
      <c r="Q6" s="111" t="n"/>
      <c r="R6" s="64" t="n"/>
      <c r="S6" s="148" t="n"/>
      <c r="T6" s="148" t="n"/>
      <c r="U6" s="118" t="n"/>
      <c r="V6" s="95" t="n"/>
      <c r="W6" s="118" t="n"/>
      <c r="X6" s="118" t="n"/>
      <c r="Y6" s="118" t="n"/>
      <c r="Z6" s="118" t="n"/>
      <c r="AA6" s="118" t="n"/>
      <c r="AB6" s="118" t="n"/>
      <c r="AC6" s="64" t="n"/>
      <c r="AF6" s="93">
        <f>IFERROR(BDP($B6,"CDS_SPREAD_TICKER_1Y"),"")</f>
        <v/>
      </c>
      <c r="AG6" s="63">
        <f>IFERROR(BDP(AF6&amp;" BEST Curncy","PX_LAST")+0,"")</f>
        <v/>
      </c>
      <c r="AH6" s="93">
        <f>IFERROR(BDP($B6,"CDS_SPREAD_TICKER_2Y"),"")</f>
        <v/>
      </c>
      <c r="AI6" s="63">
        <f>IFERROR(BDP(AH6&amp;" BEST Curncy","PX_LAST")+0,"")</f>
        <v/>
      </c>
      <c r="AJ6" s="93">
        <f>IFERROR(BDP($B6,"CDS_SPREAD_TICKER_3Y"),"")</f>
        <v/>
      </c>
      <c r="AK6" s="63">
        <f>IFERROR(BDP(AJ6&amp;" BEST Curncy","PX_LAST")+0,"")</f>
        <v/>
      </c>
      <c r="AL6" s="93">
        <f>IFERROR(BDP($B6,"CDS_SPREAD_TICKER_5Y"),"")</f>
        <v/>
      </c>
      <c r="AM6" s="63">
        <f>IFERROR(BDP(AL6&amp;" BEST Curncy","PX_LAST")+0,"")</f>
        <v/>
      </c>
      <c r="AN6" s="93">
        <f>IFERROR(BDP($B6,"CDS_SPREAD_TICKER_7Y"),"")</f>
        <v/>
      </c>
      <c r="AO6" s="63">
        <f>IFERROR(BDP(AN6&amp;" BEST Curncy","PX_LAST")+0,"")</f>
        <v/>
      </c>
      <c r="AP6" s="93">
        <f>IFERROR(BDP($B6,"CDS_SPREAD_TICKER_10Y"),"")</f>
        <v/>
      </c>
      <c r="AQ6" s="63">
        <f>IFERROR(BDP(AP6&amp;" BEST Curncy","PX_LAST")+0,"")</f>
        <v/>
      </c>
      <c r="AR6" s="133">
        <f>IF(Entities!$F22="",0,Entities!$F22)</f>
        <v/>
      </c>
      <c r="AS6" s="133">
        <f>IF(Entities!$G22="",0,Entities!$G22)</f>
        <v/>
      </c>
      <c r="AT6" s="133">
        <f>IF(Entities!$H22="",0,Entities!$H22)</f>
        <v/>
      </c>
      <c r="AU6" s="133">
        <f>IF(Entities!$I22="",0,Entities!$I22)</f>
        <v/>
      </c>
      <c r="AV6" s="133">
        <f>IF(Entities!$J22="",0,Entities!$J22)</f>
        <v/>
      </c>
      <c r="AW6" s="133">
        <f>IF(Entities!$K22="",0,Entities!$K22)</f>
        <v/>
      </c>
    </row>
    <row r="7">
      <c r="A7" s="68">
        <f>IF(Entities!$B9="","",Entities!$B9)</f>
        <v/>
      </c>
      <c r="B7" s="68">
        <f>IF(Entities!$C9="","",Entities!$C9)</f>
        <v/>
      </c>
      <c r="C7" s="68">
        <f>IF(Entities!$D9="","",Entities!$D9)</f>
        <v/>
      </c>
      <c r="D7" s="68">
        <f>IF(Entities!$L9="","",Entities!$L9)</f>
        <v/>
      </c>
      <c r="E7" s="68">
        <f>IF(Entities!$M9="","",Entities!$M9)</f>
        <v/>
      </c>
      <c r="F7" s="147">
        <f>IF(Entities!$N9="",0.4,Entities!$N9)</f>
        <v/>
      </c>
      <c r="G7" s="111" t="n"/>
      <c r="H7" s="64" t="n"/>
      <c r="I7" s="64" t="n"/>
      <c r="J7" s="64" t="n"/>
      <c r="K7" s="64" t="n"/>
      <c r="L7" s="64" t="n"/>
      <c r="M7" s="64" t="n"/>
      <c r="O7" s="118" t="n"/>
      <c r="P7" s="64" t="n"/>
      <c r="Q7" s="111" t="n"/>
      <c r="R7" s="64" t="n"/>
      <c r="S7" s="148" t="n"/>
      <c r="T7" s="148" t="n"/>
      <c r="U7" s="118" t="n"/>
      <c r="V7" s="95" t="n"/>
      <c r="W7" s="118" t="n"/>
      <c r="X7" s="118" t="n"/>
      <c r="Y7" s="118" t="n"/>
      <c r="Z7" s="118" t="n"/>
      <c r="AA7" s="118" t="n"/>
      <c r="AB7" s="118" t="n"/>
      <c r="AC7" s="64" t="n"/>
      <c r="AF7" s="93">
        <f>IFERROR(BDP($B7,"CDS_SPREAD_TICKER_1Y"),"")</f>
        <v/>
      </c>
      <c r="AG7" s="63">
        <f>IFERROR(BDP(AF7&amp;" BEST Curncy","PX_LAST")+0,"")</f>
        <v/>
      </c>
      <c r="AH7" s="93">
        <f>IFERROR(BDP($B7,"CDS_SPREAD_TICKER_2Y"),"")</f>
        <v/>
      </c>
      <c r="AI7" s="63">
        <f>IFERROR(BDP(AH7&amp;" BEST Curncy","PX_LAST")+0,"")</f>
        <v/>
      </c>
      <c r="AJ7" s="93">
        <f>IFERROR(BDP($B7,"CDS_SPREAD_TICKER_3Y"),"")</f>
        <v/>
      </c>
      <c r="AK7" s="63">
        <f>IFERROR(BDP(AJ7&amp;" BEST Curncy","PX_LAST")+0,"")</f>
        <v/>
      </c>
      <c r="AL7" s="93">
        <f>IFERROR(BDP($B7,"CDS_SPREAD_TICKER_5Y"),"")</f>
        <v/>
      </c>
      <c r="AM7" s="63">
        <f>IFERROR(BDP(AL7&amp;" BEST Curncy","PX_LAST")+0,"")</f>
        <v/>
      </c>
      <c r="AN7" s="93">
        <f>IFERROR(BDP($B7,"CDS_SPREAD_TICKER_7Y"),"")</f>
        <v/>
      </c>
      <c r="AO7" s="63">
        <f>IFERROR(BDP(AN7&amp;" BEST Curncy","PX_LAST")+0,"")</f>
        <v/>
      </c>
      <c r="AP7" s="93">
        <f>IFERROR(BDP($B7,"CDS_SPREAD_TICKER_10Y"),"")</f>
        <v/>
      </c>
      <c r="AQ7" s="63">
        <f>IFERROR(BDP(AP7&amp;" BEST Curncy","PX_LAST")+0,"")</f>
        <v/>
      </c>
      <c r="AR7" s="133">
        <f>IF(Entities!$F23="",0,Entities!$F23)</f>
        <v/>
      </c>
      <c r="AS7" s="133">
        <f>IF(Entities!$G23="",0,Entities!$G23)</f>
        <v/>
      </c>
      <c r="AT7" s="133">
        <f>IF(Entities!$H23="",0,Entities!$H23)</f>
        <v/>
      </c>
      <c r="AU7" s="133">
        <f>IF(Entities!$I23="",0,Entities!$I23)</f>
        <v/>
      </c>
      <c r="AV7" s="133">
        <f>IF(Entities!$J23="",0,Entities!$J23)</f>
        <v/>
      </c>
      <c r="AW7" s="133">
        <f>IF(Entities!$K23="",0,Entities!$K23)</f>
        <v/>
      </c>
    </row>
    <row r="8">
      <c r="A8" s="68">
        <f>IF(Entities!$B10="","",Entities!$B10)</f>
        <v/>
      </c>
      <c r="B8" s="68">
        <f>IF(Entities!$C10="","",Entities!$C10)</f>
        <v/>
      </c>
      <c r="C8" s="68">
        <f>IF(Entities!$D10="","",Entities!$D10)</f>
        <v/>
      </c>
      <c r="D8" s="68">
        <f>IF(Entities!$L10="","",Entities!$L10)</f>
        <v/>
      </c>
      <c r="E8" s="68">
        <f>IF(Entities!$M10="","",Entities!$M10)</f>
        <v/>
      </c>
      <c r="F8" s="147">
        <f>IF(Entities!$N10="",0.4,Entities!$N10)</f>
        <v/>
      </c>
      <c r="G8" s="111" t="n"/>
      <c r="H8" s="64" t="n"/>
      <c r="I8" s="64" t="n"/>
      <c r="J8" s="64" t="n"/>
      <c r="K8" s="64" t="n"/>
      <c r="L8" s="64" t="n"/>
      <c r="M8" s="64" t="n"/>
      <c r="O8" s="118" t="n"/>
      <c r="P8" s="64" t="n"/>
      <c r="Q8" s="111" t="n"/>
      <c r="R8" s="64" t="n"/>
      <c r="S8" s="148" t="n"/>
      <c r="T8" s="148" t="n"/>
      <c r="U8" s="118" t="n"/>
      <c r="V8" s="95" t="n"/>
      <c r="W8" s="118" t="n"/>
      <c r="X8" s="118" t="n"/>
      <c r="Y8" s="118" t="n"/>
      <c r="Z8" s="118" t="n"/>
      <c r="AA8" s="118" t="n"/>
      <c r="AB8" s="118" t="n"/>
      <c r="AC8" s="64" t="n"/>
      <c r="AF8" s="93">
        <f>IFERROR(BDP($B8,"CDS_SPREAD_TICKER_1Y"),"")</f>
        <v/>
      </c>
      <c r="AG8" s="63">
        <f>IFERROR(BDP(AF8&amp;" BEST Curncy","PX_LAST")+0,"")</f>
        <v/>
      </c>
      <c r="AH8" s="93">
        <f>IFERROR(BDP($B8,"CDS_SPREAD_TICKER_2Y"),"")</f>
        <v/>
      </c>
      <c r="AI8" s="63">
        <f>IFERROR(BDP(AH8&amp;" BEST Curncy","PX_LAST")+0,"")</f>
        <v/>
      </c>
      <c r="AJ8" s="93">
        <f>IFERROR(BDP($B8,"CDS_SPREAD_TICKER_3Y"),"")</f>
        <v/>
      </c>
      <c r="AK8" s="63">
        <f>IFERROR(BDP(AJ8&amp;" BEST Curncy","PX_LAST")+0,"")</f>
        <v/>
      </c>
      <c r="AL8" s="93">
        <f>IFERROR(BDP($B8,"CDS_SPREAD_TICKER_5Y"),"")</f>
        <v/>
      </c>
      <c r="AM8" s="63">
        <f>IFERROR(BDP(AL8&amp;" BEST Curncy","PX_LAST")+0,"")</f>
        <v/>
      </c>
      <c r="AN8" s="93">
        <f>IFERROR(BDP($B8,"CDS_SPREAD_TICKER_7Y"),"")</f>
        <v/>
      </c>
      <c r="AO8" s="63">
        <f>IFERROR(BDP(AN8&amp;" BEST Curncy","PX_LAST")+0,"")</f>
        <v/>
      </c>
      <c r="AP8" s="93">
        <f>IFERROR(BDP($B8,"CDS_SPREAD_TICKER_10Y"),"")</f>
        <v/>
      </c>
      <c r="AQ8" s="63">
        <f>IFERROR(BDP(AP8&amp;" BEST Curncy","PX_LAST")+0,"")</f>
        <v/>
      </c>
      <c r="AR8" s="133">
        <f>IF(Entities!$F24="",0,Entities!$F24)</f>
        <v/>
      </c>
      <c r="AS8" s="133">
        <f>IF(Entities!$G24="",0,Entities!$G24)</f>
        <v/>
      </c>
      <c r="AT8" s="133">
        <f>IF(Entities!$H24="",0,Entities!$H24)</f>
        <v/>
      </c>
      <c r="AU8" s="133">
        <f>IF(Entities!$I24="",0,Entities!$I24)</f>
        <v/>
      </c>
      <c r="AV8" s="133">
        <f>IF(Entities!$J24="",0,Entities!$J24)</f>
        <v/>
      </c>
      <c r="AW8" s="133">
        <f>IF(Entities!$K24="",0,Entities!$K24)</f>
        <v/>
      </c>
    </row>
    <row r="9">
      <c r="A9" s="68">
        <f>IF(Entities!$B11="","",Entities!$B11)</f>
        <v/>
      </c>
      <c r="B9" s="68">
        <f>IF(Entities!$C11="","",Entities!$C11)</f>
        <v/>
      </c>
      <c r="C9" s="68">
        <f>IF(Entities!$D11="","",Entities!$D11)</f>
        <v/>
      </c>
      <c r="D9" s="68">
        <f>IF(Entities!$L11="","",Entities!$L11)</f>
        <v/>
      </c>
      <c r="E9" s="68">
        <f>IF(Entities!$M11="","",Entities!$M11)</f>
        <v/>
      </c>
      <c r="F9" s="147">
        <f>IF(Entities!$N11="",0.4,Entities!$N11)</f>
        <v/>
      </c>
      <c r="G9" s="111" t="n"/>
      <c r="H9" s="64" t="n"/>
      <c r="I9" s="64" t="n"/>
      <c r="J9" s="64" t="n"/>
      <c r="K9" s="64" t="n"/>
      <c r="L9" s="64" t="n"/>
      <c r="M9" s="64" t="n"/>
      <c r="O9" s="118" t="n"/>
      <c r="P9" s="64" t="n"/>
      <c r="Q9" s="111" t="n"/>
      <c r="R9" s="64" t="n"/>
      <c r="S9" s="148" t="n"/>
      <c r="T9" s="148" t="n"/>
      <c r="U9" s="118" t="n"/>
      <c r="V9" s="95" t="n"/>
      <c r="W9" s="118" t="n"/>
      <c r="X9" s="118" t="n"/>
      <c r="Y9" s="118" t="n"/>
      <c r="Z9" s="118" t="n"/>
      <c r="AA9" s="118" t="n"/>
      <c r="AB9" s="118" t="n"/>
      <c r="AC9" s="64" t="n"/>
      <c r="AF9" s="93">
        <f>IFERROR(BDP($B9,"CDS_SPREAD_TICKER_1Y"),"")</f>
        <v/>
      </c>
      <c r="AG9" s="63">
        <f>IFERROR(BDP(AF9&amp;" BEST Curncy","PX_LAST")+0,"")</f>
        <v/>
      </c>
      <c r="AH9" s="93">
        <f>IFERROR(BDP($B9,"CDS_SPREAD_TICKER_2Y"),"")</f>
        <v/>
      </c>
      <c r="AI9" s="63">
        <f>IFERROR(BDP(AH9&amp;" BEST Curncy","PX_LAST")+0,"")</f>
        <v/>
      </c>
      <c r="AJ9" s="93">
        <f>IFERROR(BDP($B9,"CDS_SPREAD_TICKER_3Y"),"")</f>
        <v/>
      </c>
      <c r="AK9" s="63">
        <f>IFERROR(BDP(AJ9&amp;" BEST Curncy","PX_LAST")+0,"")</f>
        <v/>
      </c>
      <c r="AL9" s="93">
        <f>IFERROR(BDP($B9,"CDS_SPREAD_TICKER_5Y"),"")</f>
        <v/>
      </c>
      <c r="AM9" s="63">
        <f>IFERROR(BDP(AL9&amp;" BEST Curncy","PX_LAST")+0,"")</f>
        <v/>
      </c>
      <c r="AN9" s="93">
        <f>IFERROR(BDP($B9,"CDS_SPREAD_TICKER_7Y"),"")</f>
        <v/>
      </c>
      <c r="AO9" s="63">
        <f>IFERROR(BDP(AN9&amp;" BEST Curncy","PX_LAST")+0,"")</f>
        <v/>
      </c>
      <c r="AP9" s="93">
        <f>IFERROR(BDP($B9,"CDS_SPREAD_TICKER_10Y"),"")</f>
        <v/>
      </c>
      <c r="AQ9" s="63">
        <f>IFERROR(BDP(AP9&amp;" BEST Curncy","PX_LAST")+0,"")</f>
        <v/>
      </c>
      <c r="AR9" s="133">
        <f>IF(Entities!$F25="",0,Entities!$F25)</f>
        <v/>
      </c>
      <c r="AS9" s="133">
        <f>IF(Entities!$G25="",0,Entities!$G25)</f>
        <v/>
      </c>
      <c r="AT9" s="133">
        <f>IF(Entities!$H25="",0,Entities!$H25)</f>
        <v/>
      </c>
      <c r="AU9" s="133">
        <f>IF(Entities!$I25="",0,Entities!$I25)</f>
        <v/>
      </c>
      <c r="AV9" s="133">
        <f>IF(Entities!$J25="",0,Entities!$J25)</f>
        <v/>
      </c>
      <c r="AW9" s="133">
        <f>IF(Entities!$K25="",0,Entities!$K25)</f>
        <v/>
      </c>
    </row>
    <row r="10">
      <c r="A10" s="68">
        <f>IF(Entities!$B12="","",Entities!$B12)</f>
        <v/>
      </c>
      <c r="B10" s="68">
        <f>IF(Entities!$C12="","",Entities!$C12)</f>
        <v/>
      </c>
      <c r="C10" s="68">
        <f>IF(Entities!$D12="","",Entities!$D12)</f>
        <v/>
      </c>
      <c r="D10" s="68">
        <f>IF(Entities!$L12="","",Entities!$L12)</f>
        <v/>
      </c>
      <c r="E10" s="68">
        <f>IF(Entities!$M12="","",Entities!$M12)</f>
        <v/>
      </c>
      <c r="F10" s="147">
        <f>IF(Entities!$N12="",0.4,Entities!$N12)</f>
        <v/>
      </c>
      <c r="G10" s="111" t="n"/>
      <c r="H10" s="64" t="n"/>
      <c r="I10" s="64" t="n"/>
      <c r="J10" s="64" t="n"/>
      <c r="K10" s="64" t="n"/>
      <c r="L10" s="64" t="n"/>
      <c r="M10" s="64" t="n"/>
      <c r="O10" s="118" t="n"/>
      <c r="P10" s="64" t="n"/>
      <c r="Q10" s="111" t="n"/>
      <c r="R10" s="64" t="n"/>
      <c r="S10" s="148" t="n"/>
      <c r="T10" s="148" t="n"/>
      <c r="U10" s="118" t="n"/>
      <c r="V10" s="95" t="n"/>
      <c r="W10" s="118" t="n"/>
      <c r="X10" s="118" t="n"/>
      <c r="Y10" s="118" t="n"/>
      <c r="Z10" s="118" t="n"/>
      <c r="AA10" s="118" t="n"/>
      <c r="AB10" s="118" t="n"/>
      <c r="AC10" s="64" t="n"/>
      <c r="AF10" s="93">
        <f>IFERROR(BDP($B10,"CDS_SPREAD_TICKER_1Y"),"")</f>
        <v/>
      </c>
      <c r="AG10" s="63">
        <f>IFERROR(BDP(AF10&amp;" BEST Curncy","PX_LAST")+0,"")</f>
        <v/>
      </c>
      <c r="AH10" s="93">
        <f>IFERROR(BDP($B10,"CDS_SPREAD_TICKER_2Y"),"")</f>
        <v/>
      </c>
      <c r="AI10" s="63">
        <f>IFERROR(BDP(AH10&amp;" BEST Curncy","PX_LAST")+0,"")</f>
        <v/>
      </c>
      <c r="AJ10" s="93">
        <f>IFERROR(BDP($B10,"CDS_SPREAD_TICKER_3Y"),"")</f>
        <v/>
      </c>
      <c r="AK10" s="63">
        <f>IFERROR(BDP(AJ10&amp;" BEST Curncy","PX_LAST")+0,"")</f>
        <v/>
      </c>
      <c r="AL10" s="93">
        <f>IFERROR(BDP($B10,"CDS_SPREAD_TICKER_5Y"),"")</f>
        <v/>
      </c>
      <c r="AM10" s="63">
        <f>IFERROR(BDP(AL10&amp;" BEST Curncy","PX_LAST")+0,"")</f>
        <v/>
      </c>
      <c r="AN10" s="93">
        <f>IFERROR(BDP($B10,"CDS_SPREAD_TICKER_7Y"),"")</f>
        <v/>
      </c>
      <c r="AO10" s="63">
        <f>IFERROR(BDP(AN10&amp;" BEST Curncy","PX_LAST")+0,"")</f>
        <v/>
      </c>
      <c r="AP10" s="93">
        <f>IFERROR(BDP($B10,"CDS_SPREAD_TICKER_10Y"),"")</f>
        <v/>
      </c>
      <c r="AQ10" s="63">
        <f>IFERROR(BDP(AP10&amp;" BEST Curncy","PX_LAST")+0,"")</f>
        <v/>
      </c>
      <c r="AR10" s="133">
        <f>IF(Entities!$F26="",0,Entities!$F26)</f>
        <v/>
      </c>
      <c r="AS10" s="133">
        <f>IF(Entities!$G26="",0,Entities!$G26)</f>
        <v/>
      </c>
      <c r="AT10" s="133">
        <f>IF(Entities!$H26="",0,Entities!$H26)</f>
        <v/>
      </c>
      <c r="AU10" s="133">
        <f>IF(Entities!$I26="",0,Entities!$I26)</f>
        <v/>
      </c>
      <c r="AV10" s="133">
        <f>IF(Entities!$J26="",0,Entities!$J26)</f>
        <v/>
      </c>
      <c r="AW10" s="133">
        <f>IF(Entities!$K26="",0,Entities!$K26)</f>
        <v/>
      </c>
    </row>
    <row r="11">
      <c r="A11" s="68">
        <f>IF(Entities!$B13="","",Entities!$B13)</f>
        <v/>
      </c>
      <c r="B11" s="68">
        <f>IF(Entities!$C13="","",Entities!$C13)</f>
        <v/>
      </c>
      <c r="C11" s="68">
        <f>IF(Entities!$D13="","",Entities!$D13)</f>
        <v/>
      </c>
      <c r="D11" s="68">
        <f>IF(Entities!$L13="","",Entities!$L13)</f>
        <v/>
      </c>
      <c r="E11" s="68">
        <f>IF(Entities!$M13="","",Entities!$M13)</f>
        <v/>
      </c>
      <c r="F11" s="147">
        <f>IF(Entities!$N13="",0.4,Entities!$N13)</f>
        <v/>
      </c>
      <c r="G11" s="111" t="n"/>
      <c r="H11" s="64" t="n"/>
      <c r="I11" s="64" t="n"/>
      <c r="J11" s="64" t="n"/>
      <c r="K11" s="64" t="n"/>
      <c r="L11" s="64" t="n"/>
      <c r="M11" s="64" t="n"/>
      <c r="O11" s="118" t="n"/>
      <c r="P11" s="64" t="n"/>
      <c r="Q11" s="111" t="n"/>
      <c r="R11" s="64" t="n"/>
      <c r="S11" s="148" t="n"/>
      <c r="T11" s="148" t="n"/>
      <c r="U11" s="118" t="n"/>
      <c r="V11" s="95" t="n"/>
      <c r="W11" s="118" t="n"/>
      <c r="X11" s="118" t="n"/>
      <c r="Y11" s="118" t="n"/>
      <c r="Z11" s="118" t="n"/>
      <c r="AA11" s="118" t="n"/>
      <c r="AB11" s="118" t="n"/>
      <c r="AC11" s="64" t="n"/>
      <c r="AF11" s="93">
        <f>IFERROR(BDP($B11,"CDS_SPREAD_TICKER_1Y"),"")</f>
        <v/>
      </c>
      <c r="AG11" s="63">
        <f>IFERROR(BDP(AF11&amp;" BEST Curncy","PX_LAST")+0,"")</f>
        <v/>
      </c>
      <c r="AH11" s="93">
        <f>IFERROR(BDP($B11,"CDS_SPREAD_TICKER_2Y"),"")</f>
        <v/>
      </c>
      <c r="AI11" s="63">
        <f>IFERROR(BDP(AH11&amp;" BEST Curncy","PX_LAST")+0,"")</f>
        <v/>
      </c>
      <c r="AJ11" s="93">
        <f>IFERROR(BDP($B11,"CDS_SPREAD_TICKER_3Y"),"")</f>
        <v/>
      </c>
      <c r="AK11" s="63">
        <f>IFERROR(BDP(AJ11&amp;" BEST Curncy","PX_LAST")+0,"")</f>
        <v/>
      </c>
      <c r="AL11" s="93">
        <f>IFERROR(BDP($B11,"CDS_SPREAD_TICKER_5Y"),"")</f>
        <v/>
      </c>
      <c r="AM11" s="63">
        <f>IFERROR(BDP(AL11&amp;" BEST Curncy","PX_LAST")+0,"")</f>
        <v/>
      </c>
      <c r="AN11" s="93">
        <f>IFERROR(BDP($B11,"CDS_SPREAD_TICKER_7Y"),"")</f>
        <v/>
      </c>
      <c r="AO11" s="63">
        <f>IFERROR(BDP(AN11&amp;" BEST Curncy","PX_LAST")+0,"")</f>
        <v/>
      </c>
      <c r="AP11" s="93">
        <f>IFERROR(BDP($B11,"CDS_SPREAD_TICKER_10Y"),"")</f>
        <v/>
      </c>
      <c r="AQ11" s="63">
        <f>IFERROR(BDP(AP11&amp;" BEST Curncy","PX_LAST")+0,"")</f>
        <v/>
      </c>
      <c r="AR11" s="133">
        <f>IF(Entities!$F27="",0,Entities!$F27)</f>
        <v/>
      </c>
      <c r="AS11" s="133">
        <f>IF(Entities!$G27="",0,Entities!$G27)</f>
        <v/>
      </c>
      <c r="AT11" s="133">
        <f>IF(Entities!$H27="",0,Entities!$H27)</f>
        <v/>
      </c>
      <c r="AU11" s="133">
        <f>IF(Entities!$I27="",0,Entities!$I27)</f>
        <v/>
      </c>
      <c r="AV11" s="133">
        <f>IF(Entities!$J27="",0,Entities!$J27)</f>
        <v/>
      </c>
      <c r="AW11" s="133">
        <f>IF(Entities!$K27="",0,Entities!$K27)</f>
        <v/>
      </c>
    </row>
    <row r="12">
      <c r="A12" s="68">
        <f>IF(Entities!$B14="","",Entities!$B14)</f>
        <v/>
      </c>
      <c r="B12" s="68">
        <f>IF(Entities!$C14="","",Entities!$C14)</f>
        <v/>
      </c>
      <c r="C12" s="68">
        <f>IF(Entities!$D14="","",Entities!$D14)</f>
        <v/>
      </c>
      <c r="D12" s="68">
        <f>IF(Entities!$L14="","",Entities!$L14)</f>
        <v/>
      </c>
      <c r="E12" s="68">
        <f>IF(Entities!$M14="","",Entities!$M14)</f>
        <v/>
      </c>
      <c r="F12" s="147">
        <f>IF(Entities!$N14="",0.4,Entities!$N14)</f>
        <v/>
      </c>
      <c r="G12" s="111" t="n"/>
      <c r="H12" s="64" t="n"/>
      <c r="I12" s="64" t="n"/>
      <c r="J12" s="64" t="n"/>
      <c r="K12" s="64" t="n"/>
      <c r="L12" s="64" t="n"/>
      <c r="M12" s="64" t="n"/>
      <c r="O12" s="118" t="n"/>
      <c r="P12" s="64" t="n"/>
      <c r="Q12" s="111" t="n"/>
      <c r="R12" s="64" t="n"/>
      <c r="S12" s="148" t="n"/>
      <c r="T12" s="148" t="n"/>
      <c r="U12" s="118" t="n"/>
      <c r="V12" s="95" t="n"/>
      <c r="W12" s="118" t="n"/>
      <c r="X12" s="118" t="n"/>
      <c r="Y12" s="118" t="n"/>
      <c r="Z12" s="118" t="n"/>
      <c r="AA12" s="118" t="n"/>
      <c r="AB12" s="118" t="n"/>
      <c r="AC12" s="64" t="n"/>
      <c r="AF12" s="93">
        <f>IFERROR(BDP($B12,"CDS_SPREAD_TICKER_1Y"),"")</f>
        <v/>
      </c>
      <c r="AG12" s="63">
        <f>IFERROR(BDP(AF12&amp;" BEST Curncy","PX_LAST")+0,"")</f>
        <v/>
      </c>
      <c r="AH12" s="93">
        <f>IFERROR(BDP($B12,"CDS_SPREAD_TICKER_2Y"),"")</f>
        <v/>
      </c>
      <c r="AI12" s="63">
        <f>IFERROR(BDP(AH12&amp;" BEST Curncy","PX_LAST")+0,"")</f>
        <v/>
      </c>
      <c r="AJ12" s="93">
        <f>IFERROR(BDP($B12,"CDS_SPREAD_TICKER_3Y"),"")</f>
        <v/>
      </c>
      <c r="AK12" s="63">
        <f>IFERROR(BDP(AJ12&amp;" BEST Curncy","PX_LAST")+0,"")</f>
        <v/>
      </c>
      <c r="AL12" s="93">
        <f>IFERROR(BDP($B12,"CDS_SPREAD_TICKER_5Y"),"")</f>
        <v/>
      </c>
      <c r="AM12" s="63">
        <f>IFERROR(BDP(AL12&amp;" BEST Curncy","PX_LAST")+0,"")</f>
        <v/>
      </c>
      <c r="AN12" s="93">
        <f>IFERROR(BDP($B12,"CDS_SPREAD_TICKER_7Y"),"")</f>
        <v/>
      </c>
      <c r="AO12" s="63">
        <f>IFERROR(BDP(AN12&amp;" BEST Curncy","PX_LAST")+0,"")</f>
        <v/>
      </c>
      <c r="AP12" s="93">
        <f>IFERROR(BDP($B12,"CDS_SPREAD_TICKER_10Y"),"")</f>
        <v/>
      </c>
      <c r="AQ12" s="63">
        <f>IFERROR(BDP(AP12&amp;" BEST Curncy","PX_LAST")+0,"")</f>
        <v/>
      </c>
      <c r="AR12" s="133">
        <f>IF(Entities!$F28="",0,Entities!$F28)</f>
        <v/>
      </c>
      <c r="AS12" s="133">
        <f>IF(Entities!$G28="",0,Entities!$G28)</f>
        <v/>
      </c>
      <c r="AT12" s="133">
        <f>IF(Entities!$H28="",0,Entities!$H28)</f>
        <v/>
      </c>
      <c r="AU12" s="133">
        <f>IF(Entities!$I28="",0,Entities!$I28)</f>
        <v/>
      </c>
      <c r="AV12" s="133">
        <f>IF(Entities!$J28="",0,Entities!$J28)</f>
        <v/>
      </c>
      <c r="AW12" s="133">
        <f>IF(Entities!$K28="",0,Entities!$K28)</f>
        <v/>
      </c>
    </row>
    <row r="13">
      <c r="A13" s="68">
        <f>IF(Entities!$B15="","",Entities!$B15)</f>
        <v/>
      </c>
      <c r="B13" s="68">
        <f>IF(Entities!$C15="","",Entities!$C15)</f>
        <v/>
      </c>
      <c r="C13" s="68">
        <f>IF(Entities!$D15="","",Entities!$D15)</f>
        <v/>
      </c>
      <c r="D13" s="68">
        <f>IF(Entities!$L15="","",Entities!$L15)</f>
        <v/>
      </c>
      <c r="E13" s="68">
        <f>IF(Entities!$M15="","",Entities!$M15)</f>
        <v/>
      </c>
      <c r="F13" s="147">
        <f>IF(Entities!$N15="",0.4,Entities!$N15)</f>
        <v/>
      </c>
      <c r="G13" s="111" t="n"/>
      <c r="H13" s="64" t="n"/>
      <c r="I13" s="64" t="n"/>
      <c r="J13" s="64" t="n"/>
      <c r="K13" s="64" t="n"/>
      <c r="L13" s="64" t="n"/>
      <c r="M13" s="64" t="n"/>
      <c r="O13" s="118" t="n"/>
      <c r="P13" s="64" t="n"/>
      <c r="Q13" s="111" t="n"/>
      <c r="R13" s="64" t="n"/>
      <c r="S13" s="148" t="n"/>
      <c r="T13" s="148" t="n"/>
      <c r="U13" s="118" t="n"/>
      <c r="V13" s="95" t="n"/>
      <c r="W13" s="118" t="n"/>
      <c r="X13" s="118" t="n"/>
      <c r="Y13" s="118" t="n"/>
      <c r="Z13" s="118" t="n"/>
      <c r="AA13" s="118" t="n"/>
      <c r="AB13" s="118" t="n"/>
      <c r="AC13" s="64" t="n"/>
      <c r="AF13" s="93">
        <f>IFERROR(BDP($B13,"CDS_SPREAD_TICKER_1Y"),"")</f>
        <v/>
      </c>
      <c r="AG13" s="63">
        <f>IFERROR(BDP(AF13&amp;" BEST Curncy","PX_LAST")+0,"")</f>
        <v/>
      </c>
      <c r="AH13" s="93">
        <f>IFERROR(BDP($B13,"CDS_SPREAD_TICKER_2Y"),"")</f>
        <v/>
      </c>
      <c r="AI13" s="63">
        <f>IFERROR(BDP(AH13&amp;" BEST Curncy","PX_LAST")+0,"")</f>
        <v/>
      </c>
      <c r="AJ13" s="93">
        <f>IFERROR(BDP($B13,"CDS_SPREAD_TICKER_3Y"),"")</f>
        <v/>
      </c>
      <c r="AK13" s="63">
        <f>IFERROR(BDP(AJ13&amp;" BEST Curncy","PX_LAST")+0,"")</f>
        <v/>
      </c>
      <c r="AL13" s="93">
        <f>IFERROR(BDP($B13,"CDS_SPREAD_TICKER_5Y"),"")</f>
        <v/>
      </c>
      <c r="AM13" s="63">
        <f>IFERROR(BDP(AL13&amp;" BEST Curncy","PX_LAST")+0,"")</f>
        <v/>
      </c>
      <c r="AN13" s="93">
        <f>IFERROR(BDP($B13,"CDS_SPREAD_TICKER_7Y"),"")</f>
        <v/>
      </c>
      <c r="AO13" s="63">
        <f>IFERROR(BDP(AN13&amp;" BEST Curncy","PX_LAST")+0,"")</f>
        <v/>
      </c>
      <c r="AP13" s="93">
        <f>IFERROR(BDP($B13,"CDS_SPREAD_TICKER_10Y"),"")</f>
        <v/>
      </c>
      <c r="AQ13" s="63">
        <f>IFERROR(BDP(AP13&amp;" BEST Curncy","PX_LAST")+0,"")</f>
        <v/>
      </c>
      <c r="AR13" s="133">
        <f>IF(Entities!$F29="",0,Entities!$F29)</f>
        <v/>
      </c>
      <c r="AS13" s="133">
        <f>IF(Entities!$G29="",0,Entities!$G29)</f>
        <v/>
      </c>
      <c r="AT13" s="133">
        <f>IF(Entities!$H29="",0,Entities!$H29)</f>
        <v/>
      </c>
      <c r="AU13" s="133">
        <f>IF(Entities!$I29="",0,Entities!$I29)</f>
        <v/>
      </c>
      <c r="AV13" s="133">
        <f>IF(Entities!$J29="",0,Entities!$J29)</f>
        <v/>
      </c>
      <c r="AW13" s="133">
        <f>IF(Entities!$K29="",0,Entities!$K29)</f>
        <v/>
      </c>
    </row>
    <row r="14">
      <c r="A14" s="68">
        <f>IF(Entities!$B16="","",Entities!$B16)</f>
        <v/>
      </c>
      <c r="B14" s="68">
        <f>IF(Entities!$C16="","",Entities!$C16)</f>
        <v/>
      </c>
      <c r="C14" s="68">
        <f>IF(Entities!$D16="","",Entities!$D16)</f>
        <v/>
      </c>
      <c r="D14" s="68">
        <f>IF(Entities!$L16="","",Entities!$L16)</f>
        <v/>
      </c>
      <c r="E14" s="68">
        <f>IF(Entities!$M16="","",Entities!$M16)</f>
        <v/>
      </c>
      <c r="F14" s="147">
        <f>IF(Entities!$N16="",0.4,Entities!$N16)</f>
        <v/>
      </c>
      <c r="G14" s="111" t="n"/>
      <c r="H14" s="64" t="n"/>
      <c r="I14" s="64" t="n"/>
      <c r="J14" s="64" t="n"/>
      <c r="K14" s="64" t="n"/>
      <c r="L14" s="64" t="n"/>
      <c r="M14" s="64" t="n"/>
      <c r="O14" s="118" t="n"/>
      <c r="P14" s="64" t="n"/>
      <c r="Q14" s="111" t="n"/>
      <c r="R14" s="64" t="n"/>
      <c r="S14" s="148" t="n"/>
      <c r="T14" s="148" t="n"/>
      <c r="U14" s="118" t="n"/>
      <c r="V14" s="95" t="n"/>
      <c r="W14" s="118" t="n"/>
      <c r="X14" s="118" t="n"/>
      <c r="Y14" s="118" t="n"/>
      <c r="Z14" s="118" t="n"/>
      <c r="AA14" s="118" t="n"/>
      <c r="AB14" s="118" t="n"/>
      <c r="AC14" s="64" t="n"/>
      <c r="AF14" s="93">
        <f>IFERROR(BDP($B14,"CDS_SPREAD_TICKER_1Y"),"")</f>
        <v/>
      </c>
      <c r="AG14" s="63">
        <f>IFERROR(BDP(AF14&amp;" BEST Curncy","PX_LAST")+0,"")</f>
        <v/>
      </c>
      <c r="AH14" s="93">
        <f>IFERROR(BDP($B14,"CDS_SPREAD_TICKER_2Y"),"")</f>
        <v/>
      </c>
      <c r="AI14" s="63">
        <f>IFERROR(BDP(AH14&amp;" BEST Curncy","PX_LAST")+0,"")</f>
        <v/>
      </c>
      <c r="AJ14" s="93">
        <f>IFERROR(BDP($B14,"CDS_SPREAD_TICKER_3Y"),"")</f>
        <v/>
      </c>
      <c r="AK14" s="63">
        <f>IFERROR(BDP(AJ14&amp;" BEST Curncy","PX_LAST")+0,"")</f>
        <v/>
      </c>
      <c r="AL14" s="93">
        <f>IFERROR(BDP($B14,"CDS_SPREAD_TICKER_5Y"),"")</f>
        <v/>
      </c>
      <c r="AM14" s="63">
        <f>IFERROR(BDP(AL14&amp;" BEST Curncy","PX_LAST")+0,"")</f>
        <v/>
      </c>
      <c r="AN14" s="93">
        <f>IFERROR(BDP($B14,"CDS_SPREAD_TICKER_7Y"),"")</f>
        <v/>
      </c>
      <c r="AO14" s="63">
        <f>IFERROR(BDP(AN14&amp;" BEST Curncy","PX_LAST")+0,"")</f>
        <v/>
      </c>
      <c r="AP14" s="93">
        <f>IFERROR(BDP($B14,"CDS_SPREAD_TICKER_10Y"),"")</f>
        <v/>
      </c>
      <c r="AQ14" s="63">
        <f>IFERROR(BDP(AP14&amp;" BEST Curncy","PX_LAST")+0,"")</f>
        <v/>
      </c>
      <c r="AR14" s="133">
        <f>IF(Entities!$F30="",0,Entities!$F30)</f>
        <v/>
      </c>
      <c r="AS14" s="133">
        <f>IF(Entities!$G30="",0,Entities!$G30)</f>
        <v/>
      </c>
      <c r="AT14" s="133">
        <f>IF(Entities!$H30="",0,Entities!$H30)</f>
        <v/>
      </c>
      <c r="AU14" s="133">
        <f>IF(Entities!$I30="",0,Entities!$I30)</f>
        <v/>
      </c>
      <c r="AV14" s="133">
        <f>IF(Entities!$J30="",0,Entities!$J30)</f>
        <v/>
      </c>
      <c r="AW14" s="133">
        <f>IF(Entities!$K30="",0,Entities!$K30)</f>
        <v/>
      </c>
    </row>
    <row r="16">
      <c r="A16" s="66" t="n"/>
    </row>
    <row r="17">
      <c r="A17" s="177" t="inlineStr">
        <is>
          <t>One row per name. Identity columns read from Entities. H:M take manual spreads, AF:AQ the two-step BDP pull, AR:AW what the strip actually uses.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2026-07-21T11:56:58Z</dcterms:created>
  <dcterms:modified xmlns:dcterms="http://purl.org/dc/terms/" xmlns:xsi="http://www.w3.org/2001/XMLSchema-instance" xsi:type="dcterms:W3CDTF">2026-07-22T15:55:10Z</dcterms:modified>
</cp:coreProperties>
</file>