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eps" sheetId="1" state="visible" r:id="rId1"/>
    <sheet xmlns:r="http://schemas.openxmlformats.org/officeDocument/2006/relationships" name="Entities" sheetId="2" state="visible" r:id="rId2"/>
    <sheet xmlns:r="http://schemas.openxmlformats.org/officeDocument/2006/relationships" name="CDS_Parameters" sheetId="3" state="visible" r:id="rId3"/>
    <sheet xmlns:r="http://schemas.openxmlformats.org/officeDocument/2006/relationships" name="Curve_Interface" sheetId="4" state="visible" r:id="rId4"/>
    <sheet xmlns:r="http://schemas.openxmlformats.org/officeDocument/2006/relationships" name="CDS_Quotes" sheetId="5" state="visible" r:id="rId5"/>
    <sheet xmlns:r="http://schemas.openxmlformats.org/officeDocument/2006/relationships" name="Hazard_Bootstrap" sheetId="6" state="visible" r:id="rId6"/>
    <sheet xmlns:r="http://schemas.openxmlformats.org/officeDocument/2006/relationships" name="CDS_Schedule" sheetId="7" state="visible" r:id="rId7"/>
    <sheet xmlns:r="http://schemas.openxmlformats.org/officeDocument/2006/relationships" name="CDS_Pricer" sheetId="8" state="visible" r:id="rId8"/>
    <sheet xmlns:r="http://schemas.openxmlformats.org/officeDocument/2006/relationships" name="Curves" sheetId="9" state="visible" r:id="rId9"/>
    <sheet xmlns:r="http://schemas.openxmlformats.org/officeDocument/2006/relationships" name="CDS_Validation" sheetId="10" state="visible" r:id="rId10"/>
    <sheet xmlns:r="http://schemas.openxmlformats.org/officeDocument/2006/relationships" name="Model_Notes" sheetId="11" state="visible" r:id="rId11"/>
    <sheet xmlns:r="http://schemas.openxmlformats.org/officeDocument/2006/relationships" name="Brent_vs_Bisection" sheetId="12" state="visible" r:id="rId12"/>
    <sheet xmlns:r="http://schemas.openxmlformats.org/officeDocument/2006/relationships" name="Root_Methods" sheetId="13" state="visible" r:id="rId13"/>
    <sheet xmlns:r="http://schemas.openxmlformats.org/officeDocument/2006/relationships" name="Hazard_Solver" sheetId="14" state="hidden" r:id="rId14"/>
    <sheet xmlns:r="http://schemas.openxmlformats.org/officeDocument/2006/relationships" name="CDS_Entities" sheetId="15" state="visible" r:id="rId15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33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  <font>
      <name val="Calibri"/>
      <color rgb="00FF0000"/>
      <sz val="11"/>
    </font>
    <font>
      <name val="Calibri"/>
      <color rgb="00008000"/>
      <sz val="10"/>
    </font>
    <font>
      <name val="Calibri"/>
      <b val="1"/>
      <sz val="15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  <xf numFmtId="0" fontId="23" fillId="10" borderId="2" applyAlignment="1" pivotButton="0" quotePrefix="0" xfId="0">
      <alignment horizontal="center" wrapText="1"/>
    </xf>
    <xf numFmtId="0" fontId="21" fillId="2" borderId="2" pivotButton="0" quotePrefix="0" xfId="0"/>
    <xf numFmtId="0" fontId="21" fillId="0" borderId="2" pivotButton="0" quotePrefix="0" xfId="0"/>
    <xf numFmtId="166" fontId="0" fillId="0" borderId="2" pivotButton="0" quotePrefix="0" xfId="0"/>
    <xf numFmtId="11" fontId="0" fillId="0" borderId="2" pivotButton="0" quotePrefix="0" xfId="0"/>
    <xf numFmtId="11" fontId="0" fillId="0" borderId="0" pivotButton="0" quotePrefix="0" xfId="0"/>
    <xf numFmtId="164" fontId="30" fillId="0" borderId="0" pivotButton="0" quotePrefix="0" xfId="0"/>
    <xf numFmtId="164" fontId="30" fillId="0" borderId="2" pivotButton="0" quotePrefix="0" xfId="0"/>
    <xf numFmtId="166" fontId="30" fillId="0" borderId="2" pivotButton="0" quotePrefix="0" xfId="0"/>
    <xf numFmtId="164" fontId="30" fillId="5" borderId="1" applyAlignment="1" pivotButton="0" quotePrefix="0" xfId="0">
      <alignment horizontal="center" vertical="center" wrapText="1"/>
    </xf>
    <xf numFmtId="166" fontId="30" fillId="5" borderId="1" applyAlignment="1" pivotButton="0" quotePrefix="0" xfId="0">
      <alignment horizontal="center" vertical="center" wrapText="1"/>
    </xf>
    <xf numFmtId="164" fontId="30" fillId="0" borderId="1" pivotButton="0" quotePrefix="0" xfId="0"/>
    <xf numFmtId="166" fontId="30" fillId="0" borderId="1" pivotButton="0" quotePrefix="0" xfId="0"/>
    <xf numFmtId="164" fontId="17" fillId="0" borderId="2" pivotButton="0" quotePrefix="0" xfId="0"/>
    <xf numFmtId="166" fontId="17" fillId="0" borderId="2" pivotButton="0" quotePrefix="0" xfId="0"/>
    <xf numFmtId="166" fontId="30" fillId="0" borderId="0" pivotButton="0" quotePrefix="0" xfId="0"/>
    <xf numFmtId="0" fontId="31" fillId="0" borderId="2" pivotButton="0" quotePrefix="0" xfId="0"/>
    <xf numFmtId="167" fontId="31" fillId="0" borderId="2" pivotButton="0" quotePrefix="0" xfId="0"/>
    <xf numFmtId="0" fontId="23" fillId="10" borderId="2" applyAlignment="1" pivotButton="0" quotePrefix="0" xfId="0">
      <alignment horizontal="left"/>
    </xf>
    <xf numFmtId="0" fontId="11" fillId="11" borderId="2" pivotButton="0" quotePrefix="0" xfId="0"/>
    <xf numFmtId="0" fontId="32" fillId="0" borderId="1" pivotButton="0" quotePrefix="0" xfId="0"/>
    <xf numFmtId="0" fontId="28" fillId="0" borderId="1" pivotButton="0" quotePrefix="0" xfId="0"/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21" fillId="0" borderId="1" pivotButton="0" quotePrefix="0" xfId="0"/>
    <xf numFmtId="49" fontId="12" fillId="4" borderId="2" pivotButton="0" quotePrefix="0" xfId="0"/>
    <xf numFmtId="3" fontId="12" fillId="4" borderId="2" pivotButton="0" quotePrefix="0" xfId="0"/>
    <xf numFmtId="0" fontId="11" fillId="0" borderId="1" pivotButton="0" quotePrefix="0" xfId="0"/>
    <xf numFmtId="3" fontId="17" fillId="11" borderId="2" pivotButton="0" quotePrefix="0" xfId="0"/>
    <xf numFmtId="1" fontId="17" fillId="11" borderId="2" pivotButton="0" quotePrefix="0" xfId="0"/>
    <xf numFmtId="0" fontId="15" fillId="0" borderId="1" pivotButton="0" quotePrefix="0" xfId="0"/>
    <xf numFmtId="9" fontId="17" fillId="2" borderId="1" pivotButton="0" quotePrefix="0" xfId="0"/>
    <xf numFmtId="3" fontId="17" fillId="2" borderId="1" pivotButton="0" quotePrefix="0" xfId="0"/>
    <xf numFmtId="1" fontId="17" fillId="2" borderId="1" pivotButton="0" quotePrefix="0" xfId="0"/>
    <xf numFmtId="0" fontId="17" fillId="2" borderId="1" pivotButton="0" quotePrefix="0" xfId="0"/>
    <xf numFmtId="0" fontId="17" fillId="4" borderId="2" pivotButton="0" quotePrefix="0" xfId="0"/>
    <xf numFmtId="164" fontId="17" fillId="2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discount factors</a:t>
            </a:r>
          </a:p>
        </rich>
      </tx>
    </title>
    <plotArea>
      <scatterChart>
        <ser>
          <idx val="0"/>
          <order val="0"/>
          <tx>
            <strRef>
              <f>'Curves'!C5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'Curves'!$C$6:$C$70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D(0,t)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 - first 10 years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 term structure - market vs model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CDSW view - credit curve vs traded spread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ser>
          <idx val="2"/>
          <order val="2"/>
          <tx>
            <strRef>
              <f>'Curves'!E84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'Curves'!$E$85:$E$90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Hazard rate (piecewise constant)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'Curves'!$A$100:$A$111</f>
            </numRef>
          </xVal>
          <yVal>
            <numRef>
              <f>'Curves'!$B$100:$B$111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hazard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Survival Q(t)</a:t>
            </a:r>
          </a:p>
        </rich>
      </tx>
    </title>
    <plotArea>
      <scatterChart>
        <ser>
          <idx val="0"/>
          <order val="0"/>
          <tx>
            <strRef>
              <f>'Curves'!C74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'Curves'!$C$75:$C$80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Q(t)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Default probability 1 - Q(t)</a:t>
            </a:r>
          </a:p>
        </rich>
      </tx>
    </title>
    <plotArea>
      <scatterChart>
        <ser>
          <idx val="0"/>
          <order val="0"/>
          <tx>
            <strRef>
              <f>'Curves'!D74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'Curves'!$D$75:$D$80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1 - Q(t)</a:t>
                </a:r>
              </a:p>
            </rich>
          </tx>
        </title>
        <numFmt formatCode="0.0%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B-Model white paper</author>
  </authors>
  <commentList>
    <comment ref="J7" authorId="0" shapeId="0">
      <text>
        <t>p.6 — since the IBOR to RFR transition the standard ISDA model, and the
B-Model in CDSW, discount USD off the SOFR RFR curve. That is what this grid is.</t>
      </text>
    </comment>
  </commentList>
</comments>
</file>

<file path=xl/comments/comment2.xml><?xml version="1.0" encoding="utf-8"?>
<comments xmlns="http://schemas.openxmlformats.org/spreadsheetml/2006/main">
  <authors>
    <author>B-Model white paper</author>
  </authors>
  <commentList>
    <comment ref="G7" authorId="0" shapeId="0">
      <text>
        <t>p.9 credit triangle — (1-R) p_d(T) ~= S*T for small p_d, giving h ~= S/(1-R).
Exact only for a flat curve; used here as a starting guess and a sanity check,
not as the answer.</t>
      </text>
    </comment>
  </commentList>
</comments>
</file>

<file path=xl/comments/comment3.xml><?xml version="1.0" encoding="utf-8"?>
<comments xmlns="http://schemas.openxmlformats.org/spreadsheetml/2006/main">
  <authors>
    <author>B-Model white paper</author>
  </authors>
  <commentList>
    <comment ref="D7" authorId="0" shapeId="0">
      <text>
        <t>Section 4, p.8 — sequential 1-D root-finding. h_1 is solved on [0, T_M1] to
match the first quote; each later h_i+1 is solved on (T_Mi, T_Mi+1] holding all
earlier hazards fixed. That is why this column is solved top-down, not jointly.</t>
      </text>
    </comment>
    <comment ref="E7" authorId="0" shapeId="0">
      <text>
        <t>p.8 — the hazard is the intensity of decline of survival. Default is a
terminating event, so p_s cannot increase and h &gt;= 0 is a hard constraint the
model cannot violate.</t>
      </text>
    </comment>
    <comment ref="J7" authorId="0" shapeId="0">
      <text>
        <t>Repricing error: model spread (3.3) minus the market quote. This is the
closure check on the strip - it must go to zero at every quoted maturity.</t>
      </text>
    </comment>
  </commentList>
</comments>
</file>

<file path=xl/comments/comment4.xml><?xml version="1.0" encoding="utf-8"?>
<comments xmlns="http://schemas.openxmlformats.org/spreadsheetml/2006/main">
  <authors>
    <author>B-Model white paper</author>
  </authors>
  <commentList>
    <comment ref="A6" authorId="0" shapeId="0">
      <text>
        <t>p.8 — one row per segment. Segments are short enough to justify constant
forward discounting and constant hazard, and never longer than a premium
accrual period, so (3.5) and (3.6) are analytic on each.</t>
      </text>
    </comment>
  </commentList>
</comments>
</file>

<file path=xl/comments/comment5.xml><?xml version="1.0" encoding="utf-8"?>
<comments xmlns="http://schemas.openxmlformats.org/spreadsheetml/2006/main">
  <authors>
    <author>B-Model white paper</author>
  </authors>
  <commentList>
    <comment ref="B5" authorId="0" shapeId="0">
      <text>
        <t>p.6 — the recovery rate is a model parameter, conventionally 40%, not an
observable. It sets the payout (1-R)A and feeds the credit triangle.</t>
      </text>
    </comment>
    <comment ref="B6" authorId="0" shapeId="0">
      <text>
        <t>p.6 — coupons are standardised to 100bp / 500bp for most names, ACT/360.
Overtype to price an off-market coupon.</t>
      </text>
    </comment>
    <comment ref="B8" authorId="0" shapeId="0">
      <text>
        <t>p.6 — accrual dates are IMM: 3/20, 6/20, 9/20, 12/20. Payment dates roll to the
next business day; the last accrual end date T_M does not roll.</t>
      </text>
    </comment>
    <comment ref="B12" authorId="0" shapeId="0">
      <text>
        <t>(3.4) coupons-in-survival + (3.5) accrued-on-default.
RPV01 is the premium leg per 1bp of coupon.</t>
      </text>
    </comment>
    <comment ref="B13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14" authorId="0" shapeId="0">
      <text>
        <t>(3.4)  Coupons-in-Survival = A * C * SUM delta(T_i-1,T_i) p_s(T_i) D(T_i)</t>
      </text>
    </comment>
    <comment ref="B15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18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0" authorId="0" shapeId="0">
      <text>
        <t>(3.1)  Market Value = Protection Leg - Premium Leg, both discounted to the
pricing date T.</t>
      </text>
    </comment>
  </commentList>
</comments>
</file>

<file path=xl/comments/comment6.xml><?xml version="1.0" encoding="utf-8"?>
<comments xmlns="http://schemas.openxmlformats.org/spreadsheetml/2006/main">
  <authors>
    <author>B-Model white paper</author>
  </authors>
  <commentList>
    <comment ref="B7" authorId="0" shapeId="0">
      <text>
        <t>p.8 — h(t) &gt;= 0 is a hard model constraint, not a fitted outcome. A negative
hazard means the strip has failed, not that the name is unusual.</t>
      </text>
    </comment>
  </commentList>
</comments>
</file>

<file path=xl/comments/comment7.xml><?xml version="1.0" encoding="utf-8"?>
<comments xmlns="http://schemas.openxmlformats.org/spreadsheetml/2006/main">
  <authors>
    <author>B-Model</author>
  </authors>
  <commentList>
    <comment ref="A7" authorId="0" shapeId="0">
      <text>
        <t>This is what Hazard_Solver does in cells - 30 halvings per tenor. The baseline for the comparison.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39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57</row>
      <rowOff>0</rowOff>
    </from>
    <ext cx="612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75</row>
      <rowOff>0</rowOff>
    </from>
    <ext cx="612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93</row>
      <rowOff>0</rowOff>
    </from>
    <ext cx="61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7</col>
      <colOff>0</colOff>
      <row>111</row>
      <rowOff>0</rowOff>
    </from>
    <ext cx="6120000" cy="30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7</col>
      <colOff>0</colOff>
      <row>129</row>
      <rowOff>0</rowOff>
    </from>
    <ext cx="6120000" cy="30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62" customWidth="1" min="3" max="3"/>
    <col width="50" customWidth="1" min="4" max="4"/>
  </cols>
  <sheetData>
    <row r="1">
      <c r="A1" s="208" t="inlineStr">
        <is>
          <t>CDS Pricer</t>
        </is>
      </c>
      <c r="B1" s="11" t="n"/>
      <c r="C1" s="11" t="n"/>
      <c r="D1" s="11" t="n"/>
      <c r="E1" s="11" t="n"/>
      <c r="F1" s="11" t="n"/>
    </row>
    <row r="2">
      <c r="A2" s="209" t="inlineStr">
        <is>
          <t>Put a ticker in the yellow box. Everything below follows: spreads pull, hazard strips, CDSW figures come out.</t>
        </is>
      </c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210" t="inlineStr">
        <is>
          <t>INPUTS</t>
        </is>
      </c>
      <c r="B4" s="211" t="n"/>
      <c r="C4" s="211" t="n"/>
      <c r="D4" s="211" t="n"/>
      <c r="E4" s="11" t="n"/>
      <c r="F4" s="11" t="n"/>
    </row>
    <row r="5">
      <c r="A5" s="212" t="inlineStr">
        <is>
          <t>Reference entity ticker</t>
        </is>
      </c>
      <c r="B5" s="213" t="inlineStr">
        <is>
          <t>HSBA LN Equity</t>
        </is>
      </c>
      <c r="C5" s="209" t="inlineStr">
        <is>
          <t>BDP resolves the CDS tickers from this</t>
        </is>
      </c>
      <c r="D5" s="212" t="n"/>
      <c r="E5" s="11" t="n"/>
      <c r="F5" s="11" t="n"/>
    </row>
    <row r="6">
      <c r="A6" s="212" t="inlineStr">
        <is>
          <t>Notional</t>
        </is>
      </c>
      <c r="B6" s="214" t="n">
        <v>10000000</v>
      </c>
      <c r="C6" s="209" t="inlineStr"/>
      <c r="D6" s="212" t="n"/>
      <c r="E6" s="11" t="n"/>
      <c r="F6" s="11" t="n"/>
    </row>
    <row r="7">
      <c r="A7" s="212" t="inlineStr">
        <is>
          <t>Standard coupon (bp)</t>
        </is>
      </c>
      <c r="B7" s="95" t="n">
        <v>100</v>
      </c>
      <c r="C7" s="209" t="inlineStr">
        <is>
          <t>100 or 500</t>
        </is>
      </c>
      <c r="D7" s="212" t="n"/>
      <c r="E7" s="11" t="n"/>
      <c r="F7" s="11" t="n"/>
    </row>
    <row r="8">
      <c r="A8" s="212" t="inlineStr">
        <is>
          <t>Recovery R</t>
        </is>
      </c>
      <c r="B8" s="121" t="n">
        <v>0.4</v>
      </c>
      <c r="C8" s="209" t="inlineStr">
        <is>
          <t>model parameter, conventionally 0.40</t>
        </is>
      </c>
      <c r="D8" s="212" t="n"/>
      <c r="E8" s="11" t="n"/>
      <c r="F8" s="11" t="n"/>
    </row>
    <row r="9">
      <c r="A9" s="212" t="inlineStr">
        <is>
          <t>Maturity (tenor yrs)</t>
        </is>
      </c>
      <c r="B9" s="95" t="n">
        <v>5</v>
      </c>
      <c r="C9" s="209" t="inlineStr"/>
      <c r="D9" s="212" t="n"/>
      <c r="E9" s="11" t="n"/>
      <c r="F9" s="11" t="n"/>
    </row>
    <row r="10">
      <c r="A10" s="212" t="inlineStr">
        <is>
          <t>Direction</t>
        </is>
      </c>
      <c r="B10" s="213" t="inlineStr">
        <is>
          <t>Buy protection</t>
        </is>
      </c>
      <c r="C10" s="209" t="inlineStr"/>
      <c r="D10" s="212" t="n"/>
      <c r="E10" s="11" t="n"/>
      <c r="F10" s="11" t="n"/>
    </row>
    <row r="11">
      <c r="A11" s="212" t="inlineStr">
        <is>
          <t>Valuation date</t>
        </is>
      </c>
      <c r="B11" s="111" t="n"/>
      <c r="C11" s="209" t="inlineStr">
        <is>
          <t>leave blank to keep the curve's date</t>
        </is>
      </c>
      <c r="D11" s="212" t="n"/>
      <c r="E11" s="11" t="n"/>
      <c r="F11" s="11" t="n"/>
    </row>
    <row r="12">
      <c r="A12" s="212" t="inlineStr">
        <is>
          <t>Hazard solver</t>
        </is>
      </c>
      <c r="B12" s="184">
        <f>CDS_Parameters!$B$30</f>
        <v/>
      </c>
      <c r="C12" s="209" t="inlineStr">
        <is>
          <t>Brent, one call per tenor. Change at CDS_Parameters!B30.</t>
        </is>
      </c>
      <c r="D12" s="212" t="n"/>
      <c r="E12" s="11" t="n"/>
      <c r="F12" s="11" t="n"/>
    </row>
    <row r="13">
      <c r="A13" s="215" t="n"/>
      <c r="B13" s="215" t="n"/>
      <c r="C13" s="212" t="n"/>
      <c r="D13" s="212" t="n"/>
      <c r="E13" s="11" t="n"/>
      <c r="F13" s="11" t="n"/>
    </row>
    <row r="14">
      <c r="A14" s="215" t="inlineStr">
        <is>
          <t>STATUS</t>
        </is>
      </c>
      <c r="B14" s="11" t="n"/>
      <c r="C14" s="11" t="n"/>
      <c r="D14" s="11" t="n"/>
      <c r="E14" s="11" t="n"/>
      <c r="F14" s="11" t="n"/>
    </row>
    <row r="15">
      <c r="A15" s="212" t="inlineStr">
        <is>
          <t>Curve link</t>
        </is>
      </c>
      <c r="B15" s="184">
        <f>IF(COUNT(Curve_Interface!$L$8:$L$73)=0,"curve workbook not open",COUNT(Curve_Interface!$L$8:$L$73)&amp;" pillars")</f>
        <v/>
      </c>
      <c r="C15" s="11" t="n"/>
      <c r="D15" s="11" t="n"/>
      <c r="E15" s="11" t="n"/>
      <c r="F15" s="11" t="n"/>
    </row>
    <row r="16">
      <c r="A16" s="212" t="inlineStr">
        <is>
          <t>Spreads</t>
        </is>
      </c>
      <c r="B16" s="184">
        <f>IF(COUNTIF(CDS_Quotes!$H$7:$H$12,"BDP live")&gt;0,COUNTIF(CDS_Quotes!$H$7:$H$12,"BDP live")&amp;" of 6 live","manual / demo")</f>
        <v/>
      </c>
      <c r="C16" s="212" t="n"/>
      <c r="D16" s="11" t="n"/>
      <c r="E16" s="11" t="n"/>
      <c r="F16" s="11" t="n"/>
    </row>
    <row r="17">
      <c r="A17" s="212" t="inlineStr">
        <is>
          <t>Strip</t>
        </is>
      </c>
      <c r="B17" s="184">
        <f>IF(MAX(ABS(Hazard_Bootstrap!$J$7:$J$12))&lt;0.01,"reprices, max err "&amp;TEXT(MAX(ABS(Hazard_Bootstrap!$J$7:$J$12)),"0.00E+00")&amp;" bp","STRIP FAILED - check the quotes, see Model_Notes p.9")</f>
        <v/>
      </c>
      <c r="C17" s="212" t="n"/>
      <c r="D17" s="11" t="n"/>
      <c r="E17" s="11" t="n"/>
      <c r="F17" s="11" t="n"/>
    </row>
    <row r="18">
      <c r="A18" s="11" t="n"/>
      <c r="B18" s="215" t="n"/>
      <c r="C18" s="212" t="n"/>
      <c r="D18" s="11" t="n"/>
      <c r="E18" s="11" t="n"/>
      <c r="F18" s="11" t="n"/>
    </row>
    <row r="19">
      <c r="A19" s="215" t="inlineStr">
        <is>
          <t>CDSW SCREEN</t>
        </is>
      </c>
      <c r="B19" s="215" t="n"/>
      <c r="C19" s="209" t="inlineStr">
        <is>
          <t>mirrors CDS_Pricer rows 15-37</t>
        </is>
      </c>
      <c r="D19" s="11" t="n"/>
      <c r="E19" s="11" t="n"/>
      <c r="F19" s="11" t="n"/>
    </row>
    <row r="20">
      <c r="A20" s="212" t="inlineStr">
        <is>
          <t>Par spread (bp)</t>
        </is>
      </c>
      <c r="B20" s="170">
        <f>CDS_Pricer!$B$15</f>
        <v/>
      </c>
      <c r="C20" s="212" t="n"/>
      <c r="D20" s="11" t="n"/>
      <c r="E20" s="11" t="n"/>
      <c r="F20" s="11" t="n"/>
    </row>
    <row r="21">
      <c r="A21" s="212" t="inlineStr">
        <is>
          <t>Points upfront</t>
        </is>
      </c>
      <c r="B21" s="170">
        <f>CDS_Pricer!$B$31</f>
        <v/>
      </c>
      <c r="C21" s="11" t="n"/>
      <c r="D21" s="11" t="n"/>
      <c r="E21" s="11" t="n"/>
      <c r="F21" s="11" t="n"/>
    </row>
    <row r="22">
      <c r="A22" s="212" t="inlineStr">
        <is>
          <t>Price</t>
        </is>
      </c>
      <c r="B22" s="170">
        <f>CDS_Pricer!$B$32</f>
        <v/>
      </c>
      <c r="C22" s="11" t="n"/>
      <c r="D22" s="11" t="n"/>
      <c r="E22" s="11" t="n"/>
      <c r="F22" s="11" t="n"/>
    </row>
    <row r="23">
      <c r="A23" s="212" t="inlineStr">
        <is>
          <t>Principal</t>
        </is>
      </c>
      <c r="B23" s="216">
        <f>CDS_Pricer!$B$33</f>
        <v/>
      </c>
      <c r="C23" s="11" t="n"/>
      <c r="D23" s="11" t="n"/>
      <c r="E23" s="11" t="n"/>
      <c r="F23" s="11" t="n"/>
    </row>
    <row r="24">
      <c r="A24" s="212" t="inlineStr">
        <is>
          <t>Accrued days</t>
        </is>
      </c>
      <c r="B24" s="217">
        <f>CDS_Pricer!$B$34</f>
        <v/>
      </c>
      <c r="C24" s="11" t="n"/>
      <c r="D24" s="11" t="n"/>
      <c r="E24" s="11" t="n"/>
      <c r="F24" s="11" t="n"/>
    </row>
    <row r="25">
      <c r="A25" s="212" t="inlineStr">
        <is>
          <t>Accrued</t>
        </is>
      </c>
      <c r="B25" s="216">
        <f>CDS_Pricer!$B$35</f>
        <v/>
      </c>
      <c r="C25" s="11" t="n"/>
      <c r="D25" s="11" t="n"/>
      <c r="E25" s="11" t="n"/>
      <c r="F25" s="11" t="n"/>
    </row>
    <row r="26">
      <c r="A26" s="212" t="inlineStr">
        <is>
          <t>Cash amount</t>
        </is>
      </c>
      <c r="B26" s="216">
        <f>CDS_Pricer!$B$36</f>
        <v/>
      </c>
      <c r="C26" s="11" t="n"/>
      <c r="D26" s="11" t="n"/>
      <c r="E26" s="11" t="n"/>
      <c r="F26" s="11" t="n"/>
    </row>
    <row r="27">
      <c r="A27" s="212" t="inlineStr">
        <is>
          <t>Default exposure</t>
        </is>
      </c>
      <c r="B27" s="216">
        <f>CDS_Pricer!$B$37</f>
        <v/>
      </c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212" t="inlineStr">
        <is>
          <t>Spread DV01 / CS01</t>
        </is>
      </c>
      <c r="B29" s="216">
        <f>CDS_Pricer!$B$22</f>
        <v/>
      </c>
      <c r="C29" s="11" t="n"/>
      <c r="D29" s="11" t="n"/>
      <c r="E29" s="11" t="n"/>
      <c r="F29" s="11" t="n"/>
    </row>
    <row r="30">
      <c r="A30" s="212" t="inlineStr">
        <is>
          <t>IR DV01</t>
        </is>
      </c>
      <c r="B30" s="216">
        <f>CDS_Pricer!$B$23</f>
        <v/>
      </c>
      <c r="C30" s="11" t="n"/>
      <c r="D30" s="11" t="n"/>
      <c r="E30" s="11" t="n"/>
      <c r="F30" s="11" t="n"/>
    </row>
    <row r="31">
      <c r="A31" s="212" t="inlineStr">
        <is>
          <t>Rec risk 1%</t>
        </is>
      </c>
      <c r="B31" s="216">
        <f>CDS_Pricer!$B$24</f>
        <v/>
      </c>
      <c r="C31" s="11" t="n"/>
      <c r="D31" s="11" t="n"/>
      <c r="E31" s="11" t="n"/>
      <c r="F31" s="11" t="n"/>
    </row>
    <row r="32">
      <c r="A32" s="212" t="inlineStr">
        <is>
          <t>Jump to default</t>
        </is>
      </c>
      <c r="B32" s="216">
        <f>CDS_Pricer!$B$25</f>
        <v/>
      </c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215" t="inlineStr">
        <is>
          <t>PIPELINE</t>
        </is>
      </c>
      <c r="B34" s="11" t="n"/>
      <c r="C34" s="11" t="n"/>
      <c r="D34" s="11" t="n"/>
      <c r="E34" s="11" t="n"/>
      <c r="F34" s="11" t="n"/>
    </row>
    <row r="35">
      <c r="A35" s="206" t="inlineStr">
        <is>
          <t>Step</t>
        </is>
      </c>
      <c r="B35" s="206" t="inlineStr">
        <is>
          <t>Sheet</t>
        </is>
      </c>
      <c r="C35" s="206" t="inlineStr">
        <is>
          <t>What happens</t>
        </is>
      </c>
      <c r="D35" s="206" t="inlineStr">
        <is>
          <t>What to check</t>
        </is>
      </c>
      <c r="E35" s="11" t="n"/>
      <c r="F35" s="11" t="n"/>
    </row>
    <row r="36">
      <c r="A36" s="106" t="inlineStr">
        <is>
          <t>1</t>
        </is>
      </c>
      <c r="B36" s="106" t="inlineStr">
        <is>
          <t>Entities</t>
        </is>
      </c>
      <c r="C36" s="190" t="inlineStr">
        <is>
          <t>Type the names and Bloomberg tickers. Pick the live one at B4.</t>
        </is>
      </c>
      <c r="D36" s="190" t="inlineStr">
        <is>
          <t>F4 shows the ticker the pull will use.</t>
        </is>
      </c>
      <c r="E36" s="11" t="n"/>
      <c r="F36" s="11" t="n"/>
    </row>
    <row r="37">
      <c r="A37" s="106" t="inlineStr">
        <is>
          <t>2</t>
        </is>
      </c>
      <c r="B37" s="106" t="inlineStr">
        <is>
          <t>CDS_Parameters</t>
        </is>
      </c>
      <c r="C37" s="190" t="inlineStr">
        <is>
          <t>Contract terms: recovery, notional, coupon, direction, maturity.</t>
        </is>
      </c>
      <c r="D37" s="190" t="inlineStr">
        <is>
          <t>B30 picks the hazard solver.</t>
        </is>
      </c>
      <c r="E37" s="11" t="n"/>
      <c r="F37" s="11" t="n"/>
    </row>
    <row r="38">
      <c r="A38" s="106" t="inlineStr">
        <is>
          <t>3</t>
        </is>
      </c>
      <c r="B38" s="106" t="inlineStr">
        <is>
          <t>Curve_Interface</t>
        </is>
      </c>
      <c r="C38" s="190" t="inlineStr">
        <is>
          <t>SOFR discount curve, linked from the curve workbook.</t>
        </is>
      </c>
      <c r="D38" s="190" t="inlineStr">
        <is>
          <t>LINK CHECK at N8. Open the curve workbook first.</t>
        </is>
      </c>
      <c r="E38" s="11" t="n"/>
      <c r="F38" s="11" t="n"/>
    </row>
    <row r="39">
      <c r="A39" s="106" t="inlineStr">
        <is>
          <t>4</t>
        </is>
      </c>
      <c r="B39" s="106" t="inlineStr">
        <is>
          <t>CDS_Quotes</t>
        </is>
      </c>
      <c r="C39" s="190" t="inlineStr">
        <is>
          <t>Two-step Bloomberg pull: entity -&gt; CDS ticker -&gt; spread.</t>
        </is>
      </c>
      <c r="D39" s="190" t="inlineStr">
        <is>
          <t>Col H says whether each tenor came live or manual.</t>
        </is>
      </c>
      <c r="E39" s="11" t="n"/>
      <c r="F39" s="11" t="n"/>
    </row>
    <row r="40">
      <c r="A40" s="106" t="inlineStr">
        <is>
          <t>5</t>
        </is>
      </c>
      <c r="B40" s="106" t="inlineStr">
        <is>
          <t>Hazard_Bootstrap</t>
        </is>
      </c>
      <c r="C40" s="190" t="inlineStr">
        <is>
          <t>Strips the hazard curve, one tenor at a time, earlier hazards held.</t>
        </is>
      </c>
      <c r="D40" s="190" t="inlineStr">
        <is>
          <t>Col J is the repricing error. It must go to zero.</t>
        </is>
      </c>
      <c r="E40" s="11" t="n"/>
      <c r="F40" s="11" t="n"/>
    </row>
    <row r="41">
      <c r="A41" s="106" t="inlineStr">
        <is>
          <t>6</t>
        </is>
      </c>
      <c r="B41" s="106" t="inlineStr">
        <is>
          <t>CDS_Schedule</t>
        </is>
      </c>
      <c r="C41" s="190" t="inlineStr">
        <is>
          <t>Builds the quarterly legs: DF, survival, accrual per period.</t>
        </is>
      </c>
      <c r="D41" s="190" t="inlineStr">
        <is>
          <t>One row per coupon period.</t>
        </is>
      </c>
      <c r="E41" s="11" t="n"/>
      <c r="F41" s="11" t="n"/>
    </row>
    <row r="42">
      <c r="A42" s="106" t="inlineStr">
        <is>
          <t>7</t>
        </is>
      </c>
      <c r="B42" s="106" t="inlineStr">
        <is>
          <t>CDS_Pricer</t>
        </is>
      </c>
      <c r="C42" s="190" t="inlineStr">
        <is>
          <t>Prices the trade and produces the CDSW settlement figures.</t>
        </is>
      </c>
      <c r="D42" s="190" t="inlineStr">
        <is>
          <t>Row 28 down is the CDSW screen block.</t>
        </is>
      </c>
      <c r="E42" s="11" t="n"/>
      <c r="F42" s="11" t="n"/>
    </row>
    <row r="43">
      <c r="A43" s="106" t="inlineStr">
        <is>
          <t>8</t>
        </is>
      </c>
      <c r="B43" s="106" t="inlineStr">
        <is>
          <t>Curves</t>
        </is>
      </c>
      <c r="C43" s="190" t="inlineStr">
        <is>
          <t>Charts: discount curve, hazard, survival, term structures.</t>
        </is>
      </c>
      <c r="D43" s="190" t="inlineStr">
        <is>
          <t>Hazard is drawn as a step because it is piecewise constant.</t>
        </is>
      </c>
      <c r="E43" s="11" t="n"/>
      <c r="F43" s="11" t="n"/>
    </row>
    <row r="44">
      <c r="A44" s="106" t="inlineStr">
        <is>
          <t>9</t>
        </is>
      </c>
      <c r="B44" s="106" t="inlineStr">
        <is>
          <t>CDS_Validation</t>
        </is>
      </c>
      <c r="C44" s="190" t="inlineStr">
        <is>
          <t>Internal checks on the strip.</t>
        </is>
      </c>
      <c r="D44" s="190" t="inlineStr">
        <is>
          <t>All should pass before the numbers are used.</t>
        </is>
      </c>
      <c r="E44" s="11" t="n"/>
      <c r="F44" s="11" t="n"/>
    </row>
    <row r="45">
      <c r="A45" s="11" t="n"/>
      <c r="B45" s="11" t="n"/>
      <c r="C45" s="11" t="n"/>
      <c r="D45" s="11" t="n"/>
      <c r="E45" s="11" t="n"/>
      <c r="F45" s="11" t="n"/>
    </row>
    <row r="46">
      <c r="A46" s="215" t="inlineStr">
        <is>
          <t>Reference tabs</t>
        </is>
      </c>
      <c r="B46" s="11" t="n"/>
      <c r="C46" s="11" t="n"/>
      <c r="D46" s="11" t="n"/>
      <c r="E46" s="11" t="n"/>
      <c r="F46" s="11" t="n"/>
    </row>
    <row r="47">
      <c r="A47" s="11" t="n"/>
      <c r="B47" s="215" t="inlineStr">
        <is>
          <t>Model_Notes</t>
        </is>
      </c>
      <c r="C47" s="212" t="inlineStr">
        <is>
          <t>B-Model equations (3.1)-(3.6), conventions, strippability check.</t>
        </is>
      </c>
      <c r="D47" s="11" t="n"/>
      <c r="E47" s="11" t="n"/>
      <c r="F47" s="11" t="n"/>
    </row>
    <row r="48">
      <c r="A48" s="11" t="n"/>
      <c r="B48" s="215" t="inlineStr">
        <is>
          <t>Brent_vs_Bisection</t>
        </is>
      </c>
      <c r="C48" s="212" t="inlineStr">
        <is>
          <t>The two solvers side by side on the same objective.</t>
        </is>
      </c>
      <c r="D48" s="11" t="n"/>
      <c r="E48" s="11" t="n"/>
      <c r="F48" s="11" t="n"/>
    </row>
    <row r="49">
      <c r="A49" s="11" t="n"/>
      <c r="B49" s="215" t="inlineStr">
        <is>
          <t>Root_Methods</t>
        </is>
      </c>
      <c r="C49" s="212" t="inlineStr">
        <is>
          <t>Eight root-finders from MATH5030 M2.</t>
        </is>
      </c>
      <c r="D49" s="11" t="n"/>
      <c r="E49" s="11" t="n"/>
      <c r="F49" s="11" t="n"/>
    </row>
    <row r="50">
      <c r="A50" s="11" t="n"/>
      <c r="B50" s="215" t="inlineStr">
        <is>
          <t>Hazard_Solver</t>
        </is>
      </c>
      <c r="C50" s="212" t="inlineStr">
        <is>
          <t>In-cell bisection ladder, the fallback solver.</t>
        </is>
      </c>
      <c r="D50" s="11" t="n"/>
      <c r="E50" s="11" t="n"/>
      <c r="F50" s="11" t="n"/>
    </row>
    <row r="51">
      <c r="A51" s="11" t="n"/>
      <c r="B51" s="215" t="inlineStr">
        <is>
          <t>CDS_Entities</t>
        </is>
      </c>
      <c r="C51" s="212" t="inlineStr">
        <is>
          <t>Data store behind Entities, plus the CDSW capture block.</t>
        </is>
      </c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209" t="inlineStr">
        <is>
          <t>Needs CDSBrent.bas and CDSRootFinders.bas imported, saved as .xlsm. Without them the strip falls back to the ladder and still prices.</t>
        </is>
      </c>
      <c r="C53" s="11" t="n"/>
      <c r="D53" s="11" t="n"/>
      <c r="E53" s="11" t="n"/>
      <c r="F53" s="11" t="n"/>
    </row>
    <row r="54">
      <c r="A54" s="11" t="n"/>
      <c r="B54" s="218" t="inlineStr">
        <is>
          <t>Spreads are demo values. The SOFR curve is real market data; the credit curve is not.</t>
        </is>
      </c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  <row r="58">
      <c r="A58" s="11" t="n"/>
      <c r="B58" s="11" t="n"/>
      <c r="C58" s="11" t="n"/>
      <c r="D58" s="11" t="n"/>
      <c r="E58" s="11" t="n"/>
      <c r="F58" s="11" t="n"/>
    </row>
    <row r="59">
      <c r="A59" s="11" t="n"/>
      <c r="B59" s="11" t="n"/>
      <c r="C59" s="11" t="n"/>
      <c r="D59" s="11" t="n"/>
      <c r="E59" s="11" t="n"/>
      <c r="F59" s="11" t="n"/>
    </row>
    <row r="60">
      <c r="A60" s="11" t="n"/>
      <c r="B60" s="11" t="n"/>
      <c r="C60" s="11" t="n"/>
      <c r="D60" s="11" t="n"/>
      <c r="E60" s="11" t="n"/>
      <c r="F60" s="11" t="n"/>
    </row>
  </sheetData>
  <dataValidations count="1">
    <dataValidation sqref="B10" showDropDown="0" showInputMessage="0" showErrorMessage="0" allowBlank="0" type="list">
      <formula1>"Buy protection,Sell protection"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76" t="inlineStr">
        <is>
          <t>Entities</t>
        </is>
      </c>
    </row>
    <row r="2">
      <c r="A2" s="177" t="inlineStr">
        <is>
          <t>Type a name and its Bloomberg ticker on any free row. On = 0 removes a name. Overrides beat the BDP pull; blank uses the pull.</t>
        </is>
      </c>
    </row>
    <row r="4">
      <c r="A4" s="67" t="inlineStr">
        <is>
          <t>Live name</t>
        </is>
      </c>
      <c r="B4" s="178" t="inlineStr">
        <is>
          <t>DEMO curve (not market)</t>
        </is>
      </c>
      <c r="C4" s="177" t="inlineStr">
        <is>
          <t>only this name is stripped and priced</t>
        </is>
      </c>
      <c r="E4" s="67" t="inlineStr">
        <is>
          <t>ticker in use</t>
        </is>
      </c>
      <c r="F4" s="204">
        <f>IFERROR(IF(ISTEXT(INDEX($C$7:$C$16,MATCH($B$4,$B$7:$B$16,0))),INDEX($C$7:$C$16,MATCH($B$4,$B$7:$B$16,0)),""),"")</f>
        <v/>
      </c>
    </row>
    <row r="5">
      <c r="E5" s="177" t="inlineStr">
        <is>
          <t>override</t>
        </is>
      </c>
      <c r="F5" s="177" t="n"/>
      <c r="L5" s="177" t="inlineStr">
        <is>
          <t>identity - picks the ticker</t>
        </is>
      </c>
    </row>
    <row r="6">
      <c r="A6" s="179" t="inlineStr">
        <is>
          <t>On</t>
        </is>
      </c>
      <c r="B6" s="179" t="inlineStr">
        <is>
          <t>Entity name</t>
        </is>
      </c>
      <c r="C6" s="179" t="inlineStr">
        <is>
          <t>Bloomberg ticker</t>
        </is>
      </c>
      <c r="D6" s="179" t="inlineStr">
        <is>
          <t>Ccy</t>
        </is>
      </c>
      <c r="E6" s="179" t="inlineStr">
        <is>
          <t>Recovery</t>
        </is>
      </c>
      <c r="F6" s="179" t="inlineStr">
        <is>
          <t>1Y</t>
        </is>
      </c>
      <c r="G6" s="179" t="inlineStr">
        <is>
          <t>2Y</t>
        </is>
      </c>
      <c r="H6" s="179" t="inlineStr">
        <is>
          <t>3Y</t>
        </is>
      </c>
      <c r="I6" s="179" t="inlineStr">
        <is>
          <t>5Y</t>
        </is>
      </c>
      <c r="J6" s="179" t="inlineStr">
        <is>
          <t>7Y</t>
        </is>
      </c>
      <c r="K6" s="179" t="inlineStr">
        <is>
          <t>10Y</t>
        </is>
      </c>
      <c r="L6" s="179" t="inlineStr">
        <is>
          <t>Seniority</t>
        </is>
      </c>
      <c r="M6" s="179" t="inlineStr">
        <is>
          <t>Clause</t>
        </is>
      </c>
      <c r="N6" s="179" t="inlineStr">
        <is>
          <t>Recovery</t>
        </is>
      </c>
    </row>
    <row r="7">
      <c r="A7" s="178" t="n">
        <v>1</v>
      </c>
      <c r="B7" s="178" t="inlineStr">
        <is>
          <t>China CITIC Bank Intl</t>
        </is>
      </c>
      <c r="C7" s="178" t="n"/>
      <c r="D7" s="178" t="inlineStr">
        <is>
          <t>USD</t>
        </is>
      </c>
      <c r="E7" s="181" t="n"/>
      <c r="F7" s="182" t="n"/>
      <c r="G7" s="182" t="n"/>
      <c r="H7" s="182" t="n"/>
      <c r="I7" s="182" t="n"/>
      <c r="J7" s="182" t="n"/>
      <c r="K7" s="182" t="n"/>
      <c r="L7" s="178" t="inlineStr">
        <is>
          <t>Senior</t>
        </is>
      </c>
      <c r="M7" s="178" t="inlineStr">
        <is>
          <t>CR14</t>
        </is>
      </c>
      <c r="N7" s="181" t="n">
        <v>0.4</v>
      </c>
    </row>
    <row r="8">
      <c r="A8" s="178" t="n">
        <v>1</v>
      </c>
      <c r="B8" s="178" t="inlineStr">
        <is>
          <t>DEMO curve (not market)</t>
        </is>
      </c>
      <c r="C8" s="178" t="n"/>
      <c r="D8" s="178" t="inlineStr">
        <is>
          <t>USD</t>
        </is>
      </c>
      <c r="E8" s="181" t="n"/>
      <c r="F8" s="182" t="n"/>
      <c r="G8" s="182" t="n"/>
      <c r="H8" s="182" t="n"/>
      <c r="I8" s="182" t="n"/>
      <c r="J8" s="182" t="n"/>
      <c r="K8" s="182" t="n"/>
      <c r="L8" s="178" t="inlineStr">
        <is>
          <t>Senior</t>
        </is>
      </c>
      <c r="M8" s="178" t="inlineStr">
        <is>
          <t>CR14</t>
        </is>
      </c>
      <c r="N8" s="181" t="n">
        <v>0.4</v>
      </c>
    </row>
    <row r="9">
      <c r="A9" s="178" t="n"/>
      <c r="B9" s="178" t="n"/>
      <c r="C9" s="178" t="n"/>
      <c r="D9" s="178" t="n"/>
      <c r="E9" s="181" t="n"/>
      <c r="F9" s="182" t="n"/>
      <c r="G9" s="182" t="n"/>
      <c r="H9" s="182" t="n"/>
      <c r="I9" s="182" t="n"/>
      <c r="J9" s="182" t="n"/>
      <c r="K9" s="182" t="n"/>
      <c r="L9" s="178" t="n"/>
      <c r="M9" s="178" t="n"/>
      <c r="N9" s="181" t="n">
        <v>0.4</v>
      </c>
    </row>
    <row r="10">
      <c r="A10" s="178" t="n"/>
      <c r="B10" s="178" t="n"/>
      <c r="C10" s="178" t="n"/>
      <c r="D10" s="178" t="n"/>
      <c r="E10" s="181" t="n"/>
      <c r="F10" s="182" t="n"/>
      <c r="G10" s="182" t="n"/>
      <c r="H10" s="182" t="n"/>
      <c r="I10" s="182" t="n"/>
      <c r="J10" s="182" t="n"/>
      <c r="K10" s="182" t="n"/>
      <c r="L10" s="178" t="n"/>
      <c r="M10" s="178" t="n"/>
      <c r="N10" s="181" t="n">
        <v>0.4</v>
      </c>
    </row>
    <row r="11">
      <c r="A11" s="178" t="n"/>
      <c r="B11" s="178" t="n"/>
      <c r="C11" s="178" t="n"/>
      <c r="D11" s="178" t="n"/>
      <c r="E11" s="181" t="n"/>
      <c r="F11" s="182" t="n"/>
      <c r="G11" s="182" t="n"/>
      <c r="H11" s="182" t="n"/>
      <c r="I11" s="182" t="n"/>
      <c r="J11" s="182" t="n"/>
      <c r="K11" s="182" t="n"/>
      <c r="L11" s="178" t="n"/>
      <c r="M11" s="178" t="n"/>
      <c r="N11" s="181" t="n">
        <v>0.4</v>
      </c>
    </row>
    <row r="12">
      <c r="A12" s="178" t="n"/>
      <c r="B12" s="178" t="n"/>
      <c r="C12" s="178" t="n"/>
      <c r="D12" s="178" t="n"/>
      <c r="E12" s="181" t="n"/>
      <c r="F12" s="182" t="n"/>
      <c r="G12" s="182" t="n"/>
      <c r="H12" s="182" t="n"/>
      <c r="I12" s="182" t="n"/>
      <c r="J12" s="182" t="n"/>
      <c r="K12" s="182" t="n"/>
      <c r="L12" s="178" t="n"/>
      <c r="M12" s="178" t="n"/>
      <c r="N12" s="181" t="n">
        <v>0.4</v>
      </c>
    </row>
    <row r="13">
      <c r="A13" s="178" t="n"/>
      <c r="B13" s="178" t="n"/>
      <c r="C13" s="178" t="n"/>
      <c r="D13" s="178" t="n"/>
      <c r="E13" s="181" t="n"/>
      <c r="F13" s="182" t="n"/>
      <c r="G13" s="182" t="n"/>
      <c r="H13" s="182" t="n"/>
      <c r="I13" s="182" t="n"/>
      <c r="J13" s="182" t="n"/>
      <c r="K13" s="182" t="n"/>
      <c r="L13" s="178" t="n"/>
      <c r="M13" s="178" t="n"/>
      <c r="N13" s="181" t="n">
        <v>0.4</v>
      </c>
    </row>
    <row r="14">
      <c r="A14" s="178" t="n"/>
      <c r="B14" s="178" t="n"/>
      <c r="C14" s="178" t="n"/>
      <c r="D14" s="178" t="n"/>
      <c r="E14" s="181" t="n"/>
      <c r="F14" s="182" t="n"/>
      <c r="G14" s="182" t="n"/>
      <c r="H14" s="182" t="n"/>
      <c r="I14" s="182" t="n"/>
      <c r="J14" s="182" t="n"/>
      <c r="K14" s="182" t="n"/>
      <c r="L14" s="178" t="n"/>
      <c r="M14" s="178" t="n"/>
      <c r="N14" s="181" t="n">
        <v>0.4</v>
      </c>
    </row>
    <row r="15">
      <c r="A15" s="178" t="n"/>
      <c r="B15" s="178" t="n"/>
      <c r="C15" s="178" t="n"/>
      <c r="D15" s="178" t="n"/>
      <c r="E15" s="181" t="n"/>
      <c r="F15" s="182" t="n"/>
      <c r="G15" s="182" t="n"/>
      <c r="H15" s="182" t="n"/>
      <c r="I15" s="182" t="n"/>
      <c r="J15" s="182" t="n"/>
      <c r="K15" s="182" t="n"/>
      <c r="L15" s="178" t="n"/>
      <c r="M15" s="178" t="n"/>
      <c r="N15" s="181" t="n">
        <v>0.4</v>
      </c>
    </row>
    <row r="16">
      <c r="A16" s="178" t="n"/>
      <c r="B16" s="178" t="n"/>
      <c r="C16" s="178" t="n"/>
      <c r="D16" s="178" t="n"/>
      <c r="E16" s="181" t="n"/>
      <c r="F16" s="182" t="n"/>
      <c r="G16" s="182" t="n"/>
      <c r="H16" s="182" t="n"/>
      <c r="I16" s="182" t="n"/>
      <c r="J16" s="182" t="n"/>
      <c r="K16" s="182" t="n"/>
      <c r="L16" s="178" t="n"/>
      <c r="M16" s="178" t="n"/>
      <c r="N16" s="181" t="n">
        <v>0.4</v>
      </c>
    </row>
    <row r="19">
      <c r="A19" s="67" t="inlineStr">
        <is>
          <t>Effective (what the strip uses)</t>
        </is>
      </c>
      <c r="F19" s="177" t="inlineStr">
        <is>
          <t>override &gt; BDP pull &gt; manual &gt; 0. This block is what the strip uses.</t>
        </is>
      </c>
    </row>
    <row r="20">
      <c r="B20" s="183" t="inlineStr">
        <is>
          <t>Entity</t>
        </is>
      </c>
      <c r="E20" s="183" t="inlineStr">
        <is>
          <t>Recovery</t>
        </is>
      </c>
      <c r="F20" s="183" t="inlineStr">
        <is>
          <t>1Y</t>
        </is>
      </c>
      <c r="G20" s="183" t="inlineStr">
        <is>
          <t>2Y</t>
        </is>
      </c>
      <c r="H20" s="183" t="inlineStr">
        <is>
          <t>3Y</t>
        </is>
      </c>
      <c r="I20" s="183" t="inlineStr">
        <is>
          <t>5Y</t>
        </is>
      </c>
      <c r="J20" s="183" t="inlineStr">
        <is>
          <t>7Y</t>
        </is>
      </c>
      <c r="K20" s="183" t="inlineStr">
        <is>
          <t>10Y</t>
        </is>
      </c>
    </row>
    <row r="21">
      <c r="A21" s="204" t="n"/>
      <c r="B21" s="204">
        <f>IF($B7="","",$B7)</f>
        <v/>
      </c>
      <c r="C21" s="204" t="n"/>
      <c r="D21" s="204" t="n"/>
      <c r="E21" s="204">
        <f>IF($B7="","",IF($A7=0,"off",IF(ISNUMBER($E7),$E7,CDS_Entities!$F$5)))</f>
        <v/>
      </c>
      <c r="F21" s="205">
        <f>IF($B7="","",IF($A7=0,0,IF(ISNUMBER($F7),$F7,IF(ISNUMBER(CDS_Entities!$AG$5),CDS_Entities!$AG$5,IF(ISNUMBER(CDS_Entities!$H$5),CDS_Entities!$H$5,0)))))</f>
        <v/>
      </c>
      <c r="G21" s="205">
        <f>IF($B7="","",IF($A7=0,0,IF(ISNUMBER($G7),$G7,IF(ISNUMBER(CDS_Entities!$AI$5),CDS_Entities!$AI$5,IF(ISNUMBER(CDS_Entities!$I$5),CDS_Entities!$I$5,0)))))</f>
        <v/>
      </c>
      <c r="H21" s="205">
        <f>IF($B7="","",IF($A7=0,0,IF(ISNUMBER($H7),$H7,IF(ISNUMBER(CDS_Entities!$AK$5),CDS_Entities!$AK$5,IF(ISNUMBER(CDS_Entities!$J$5),CDS_Entities!$J$5,0)))))</f>
        <v/>
      </c>
      <c r="I21" s="205">
        <f>IF($B7="","",IF($A7=0,0,IF(ISNUMBER($I7),$I7,IF(ISNUMBER(CDS_Entities!$AM$5),CDS_Entities!$AM$5,IF(ISNUMBER(CDS_Entities!$K$5),CDS_Entities!$K$5,0)))))</f>
        <v/>
      </c>
      <c r="J21" s="205">
        <f>IF($B7="","",IF($A7=0,0,IF(ISNUMBER($J7),$J7,IF(ISNUMBER(CDS_Entities!$AO$5),CDS_Entities!$AO$5,IF(ISNUMBER(CDS_Entities!$L$5),CDS_Entities!$L$5,0)))))</f>
        <v/>
      </c>
      <c r="K21" s="205">
        <f>IF($B7="","",IF($A7=0,0,IF(ISNUMBER($K7),$K7,IF(ISNUMBER(CDS_Entities!$AQ$5),CDS_Entities!$AQ$5,IF(ISNUMBER(CDS_Entities!$M$5),CDS_Entities!$M$5,0)))))</f>
        <v/>
      </c>
    </row>
    <row r="22">
      <c r="A22" s="204" t="n"/>
      <c r="B22" s="204">
        <f>IF($B8="","",$B8)</f>
        <v/>
      </c>
      <c r="C22" s="204" t="n"/>
      <c r="D22" s="204" t="n"/>
      <c r="E22" s="204">
        <f>IF($B8="","",IF($A8=0,"off",IF(ISNUMBER($E8),$E8,CDS_Entities!$F$6)))</f>
        <v/>
      </c>
      <c r="F22" s="205">
        <f>IF($B8="","",IF($A8=0,0,IF(ISNUMBER($F8),$F8,IF(ISNUMBER(CDS_Entities!$AG$6),CDS_Entities!$AG$6,IF(ISNUMBER(CDS_Entities!$H$6),CDS_Entities!$H$6,0)))))</f>
        <v/>
      </c>
      <c r="G22" s="205">
        <f>IF($B8="","",IF($A8=0,0,IF(ISNUMBER($G8),$G8,IF(ISNUMBER(CDS_Entities!$AI$6),CDS_Entities!$AI$6,IF(ISNUMBER(CDS_Entities!$I$6),CDS_Entities!$I$6,0)))))</f>
        <v/>
      </c>
      <c r="H22" s="205">
        <f>IF($B8="","",IF($A8=0,0,IF(ISNUMBER($H8),$H8,IF(ISNUMBER(CDS_Entities!$AK$6),CDS_Entities!$AK$6,IF(ISNUMBER(CDS_Entities!$J$6),CDS_Entities!$J$6,0)))))</f>
        <v/>
      </c>
      <c r="I22" s="205">
        <f>IF($B8="","",IF($A8=0,0,IF(ISNUMBER($I8),$I8,IF(ISNUMBER(CDS_Entities!$AM$6),CDS_Entities!$AM$6,IF(ISNUMBER(CDS_Entities!$K$6),CDS_Entities!$K$6,0)))))</f>
        <v/>
      </c>
      <c r="J22" s="205">
        <f>IF($B8="","",IF($A8=0,0,IF(ISNUMBER($J8),$J8,IF(ISNUMBER(CDS_Entities!$AO$6),CDS_Entities!$AO$6,IF(ISNUMBER(CDS_Entities!$L$6),CDS_Entities!$L$6,0)))))</f>
        <v/>
      </c>
      <c r="K22" s="205">
        <f>IF($B8="","",IF($A8=0,0,IF(ISNUMBER($K8),$K8,IF(ISNUMBER(CDS_Entities!$AQ$6),CDS_Entities!$AQ$6,IF(ISNUMBER(CDS_Entities!$M$6),CDS_Entities!$M$6,0)))))</f>
        <v/>
      </c>
    </row>
    <row r="23">
      <c r="A23" s="204" t="n"/>
      <c r="B23" s="204">
        <f>IF($B9="","",$B9)</f>
        <v/>
      </c>
      <c r="C23" s="204" t="n"/>
      <c r="D23" s="204" t="n"/>
      <c r="E23" s="204">
        <f>IF($B9="","",IF($A9=0,"off",IF(ISNUMBER($E9),$E9,CDS_Entities!$F$7)))</f>
        <v/>
      </c>
      <c r="F23" s="205">
        <f>IF($B9="","",IF($A9=0,0,IF(ISNUMBER($F9),$F9,IF(ISNUMBER(CDS_Entities!$AG$7),CDS_Entities!$AG$7,IF(ISNUMBER(CDS_Entities!$H$7),CDS_Entities!$H$7,0)))))</f>
        <v/>
      </c>
      <c r="G23" s="205">
        <f>IF($B9="","",IF($A9=0,0,IF(ISNUMBER($G9),$G9,IF(ISNUMBER(CDS_Entities!$AI$7),CDS_Entities!$AI$7,IF(ISNUMBER(CDS_Entities!$I$7),CDS_Entities!$I$7,0)))))</f>
        <v/>
      </c>
      <c r="H23" s="205">
        <f>IF($B9="","",IF($A9=0,0,IF(ISNUMBER($H9),$H9,IF(ISNUMBER(CDS_Entities!$AK$7),CDS_Entities!$AK$7,IF(ISNUMBER(CDS_Entities!$J$7),CDS_Entities!$J$7,0)))))</f>
        <v/>
      </c>
      <c r="I23" s="205">
        <f>IF($B9="","",IF($A9=0,0,IF(ISNUMBER($I9),$I9,IF(ISNUMBER(CDS_Entities!$AM$7),CDS_Entities!$AM$7,IF(ISNUMBER(CDS_Entities!$K$7),CDS_Entities!$K$7,0)))))</f>
        <v/>
      </c>
      <c r="J23" s="205">
        <f>IF($B9="","",IF($A9=0,0,IF(ISNUMBER($J9),$J9,IF(ISNUMBER(CDS_Entities!$AO$7),CDS_Entities!$AO$7,IF(ISNUMBER(CDS_Entities!$L$7),CDS_Entities!$L$7,0)))))</f>
        <v/>
      </c>
      <c r="K23" s="205">
        <f>IF($B9="","",IF($A9=0,0,IF(ISNUMBER($K9),$K9,IF(ISNUMBER(CDS_Entities!$AQ$7),CDS_Entities!$AQ$7,IF(ISNUMBER(CDS_Entities!$M$7),CDS_Entities!$M$7,0)))))</f>
        <v/>
      </c>
    </row>
    <row r="24">
      <c r="A24" s="204" t="n"/>
      <c r="B24" s="204">
        <f>IF($B10="","",$B10)</f>
        <v/>
      </c>
      <c r="C24" s="204" t="n"/>
      <c r="D24" s="204" t="n"/>
      <c r="E24" s="204">
        <f>IF($B10="","",IF($A10=0,"off",IF(ISNUMBER($E10),$E10,CDS_Entities!$F$8)))</f>
        <v/>
      </c>
      <c r="F24" s="205">
        <f>IF($B10="","",IF($A10=0,0,IF(ISNUMBER($F10),$F10,IF(ISNUMBER(CDS_Entities!$AG$8),CDS_Entities!$AG$8,IF(ISNUMBER(CDS_Entities!$H$8),CDS_Entities!$H$8,0)))))</f>
        <v/>
      </c>
      <c r="G24" s="205">
        <f>IF($B10="","",IF($A10=0,0,IF(ISNUMBER($G10),$G10,IF(ISNUMBER(CDS_Entities!$AI$8),CDS_Entities!$AI$8,IF(ISNUMBER(CDS_Entities!$I$8),CDS_Entities!$I$8,0)))))</f>
        <v/>
      </c>
      <c r="H24" s="205">
        <f>IF($B10="","",IF($A10=0,0,IF(ISNUMBER($H10),$H10,IF(ISNUMBER(CDS_Entities!$AK$8),CDS_Entities!$AK$8,IF(ISNUMBER(CDS_Entities!$J$8),CDS_Entities!$J$8,0)))))</f>
        <v/>
      </c>
      <c r="I24" s="205">
        <f>IF($B10="","",IF($A10=0,0,IF(ISNUMBER($I10),$I10,IF(ISNUMBER(CDS_Entities!$AM$8),CDS_Entities!$AM$8,IF(ISNUMBER(CDS_Entities!$K$8),CDS_Entities!$K$8,0)))))</f>
        <v/>
      </c>
      <c r="J24" s="205">
        <f>IF($B10="","",IF($A10=0,0,IF(ISNUMBER($J10),$J10,IF(ISNUMBER(CDS_Entities!$AO$8),CDS_Entities!$AO$8,IF(ISNUMBER(CDS_Entities!$L$8),CDS_Entities!$L$8,0)))))</f>
        <v/>
      </c>
      <c r="K24" s="205">
        <f>IF($B10="","",IF($A10=0,0,IF(ISNUMBER($K10),$K10,IF(ISNUMBER(CDS_Entities!$AQ$8),CDS_Entities!$AQ$8,IF(ISNUMBER(CDS_Entities!$M$8),CDS_Entities!$M$8,0)))))</f>
        <v/>
      </c>
    </row>
    <row r="25">
      <c r="A25" s="204" t="n"/>
      <c r="B25" s="204">
        <f>IF($B11="","",$B11)</f>
        <v/>
      </c>
      <c r="C25" s="204" t="n"/>
      <c r="D25" s="204" t="n"/>
      <c r="E25" s="204">
        <f>IF($B11="","",IF($A11=0,"off",IF(ISNUMBER($E11),$E11,CDS_Entities!$F$9)))</f>
        <v/>
      </c>
      <c r="F25" s="205">
        <f>IF($B11="","",IF($A11=0,0,IF(ISNUMBER($F11),$F11,IF(ISNUMBER(CDS_Entities!$AG$9),CDS_Entities!$AG$9,IF(ISNUMBER(CDS_Entities!$H$9),CDS_Entities!$H$9,0)))))</f>
        <v/>
      </c>
      <c r="G25" s="205">
        <f>IF($B11="","",IF($A11=0,0,IF(ISNUMBER($G11),$G11,IF(ISNUMBER(CDS_Entities!$AI$9),CDS_Entities!$AI$9,IF(ISNUMBER(CDS_Entities!$I$9),CDS_Entities!$I$9,0)))))</f>
        <v/>
      </c>
      <c r="H25" s="205">
        <f>IF($B11="","",IF($A11=0,0,IF(ISNUMBER($H11),$H11,IF(ISNUMBER(CDS_Entities!$AK$9),CDS_Entities!$AK$9,IF(ISNUMBER(CDS_Entities!$J$9),CDS_Entities!$J$9,0)))))</f>
        <v/>
      </c>
      <c r="I25" s="205">
        <f>IF($B11="","",IF($A11=0,0,IF(ISNUMBER($I11),$I11,IF(ISNUMBER(CDS_Entities!$AM$9),CDS_Entities!$AM$9,IF(ISNUMBER(CDS_Entities!$K$9),CDS_Entities!$K$9,0)))))</f>
        <v/>
      </c>
      <c r="J25" s="205">
        <f>IF($B11="","",IF($A11=0,0,IF(ISNUMBER($J11),$J11,IF(ISNUMBER(CDS_Entities!$AO$9),CDS_Entities!$AO$9,IF(ISNUMBER(CDS_Entities!$L$9),CDS_Entities!$L$9,0)))))</f>
        <v/>
      </c>
      <c r="K25" s="205">
        <f>IF($B11="","",IF($A11=0,0,IF(ISNUMBER($K11),$K11,IF(ISNUMBER(CDS_Entities!$AQ$9),CDS_Entities!$AQ$9,IF(ISNUMBER(CDS_Entities!$M$9),CDS_Entities!$M$9,0)))))</f>
        <v/>
      </c>
    </row>
    <row r="26">
      <c r="A26" s="204" t="n"/>
      <c r="B26" s="204">
        <f>IF($B12="","",$B12)</f>
        <v/>
      </c>
      <c r="C26" s="204" t="n"/>
      <c r="D26" s="204" t="n"/>
      <c r="E26" s="204">
        <f>IF($B12="","",IF($A12=0,"off",IF(ISNUMBER($E12),$E12,CDS_Entities!$F$10)))</f>
        <v/>
      </c>
      <c r="F26" s="205">
        <f>IF($B12="","",IF($A12=0,0,IF(ISNUMBER($F12),$F12,IF(ISNUMBER(CDS_Entities!$AG$10),CDS_Entities!$AG$10,IF(ISNUMBER(CDS_Entities!$H$10),CDS_Entities!$H$10,0)))))</f>
        <v/>
      </c>
      <c r="G26" s="205">
        <f>IF($B12="","",IF($A12=0,0,IF(ISNUMBER($G12),$G12,IF(ISNUMBER(CDS_Entities!$AI$10),CDS_Entities!$AI$10,IF(ISNUMBER(CDS_Entities!$I$10),CDS_Entities!$I$10,0)))))</f>
        <v/>
      </c>
      <c r="H26" s="205">
        <f>IF($B12="","",IF($A12=0,0,IF(ISNUMBER($H12),$H12,IF(ISNUMBER(CDS_Entities!$AK$10),CDS_Entities!$AK$10,IF(ISNUMBER(CDS_Entities!$J$10),CDS_Entities!$J$10,0)))))</f>
        <v/>
      </c>
      <c r="I26" s="205">
        <f>IF($B12="","",IF($A12=0,0,IF(ISNUMBER($I12),$I12,IF(ISNUMBER(CDS_Entities!$AM$10),CDS_Entities!$AM$10,IF(ISNUMBER(CDS_Entities!$K$10),CDS_Entities!$K$10,0)))))</f>
        <v/>
      </c>
      <c r="J26" s="205">
        <f>IF($B12="","",IF($A12=0,0,IF(ISNUMBER($J12),$J12,IF(ISNUMBER(CDS_Entities!$AO$10),CDS_Entities!$AO$10,IF(ISNUMBER(CDS_Entities!$L$10),CDS_Entities!$L$10,0)))))</f>
        <v/>
      </c>
      <c r="K26" s="205">
        <f>IF($B12="","",IF($A12=0,0,IF(ISNUMBER($K12),$K12,IF(ISNUMBER(CDS_Entities!$AQ$10),CDS_Entities!$AQ$10,IF(ISNUMBER(CDS_Entities!$M$10),CDS_Entities!$M$10,0)))))</f>
        <v/>
      </c>
    </row>
    <row r="27">
      <c r="A27" s="204" t="n"/>
      <c r="B27" s="204">
        <f>IF($B13="","",$B13)</f>
        <v/>
      </c>
      <c r="C27" s="204" t="n"/>
      <c r="D27" s="204" t="n"/>
      <c r="E27" s="204">
        <f>IF($B13="","",IF($A13=0,"off",IF(ISNUMBER($E13),$E13,CDS_Entities!$F$11)))</f>
        <v/>
      </c>
      <c r="F27" s="205">
        <f>IF($B13="","",IF($A13=0,0,IF(ISNUMBER($F13),$F13,IF(ISNUMBER(CDS_Entities!$AG$11),CDS_Entities!$AG$11,IF(ISNUMBER(CDS_Entities!$H$11),CDS_Entities!$H$11,0)))))</f>
        <v/>
      </c>
      <c r="G27" s="205">
        <f>IF($B13="","",IF($A13=0,0,IF(ISNUMBER($G13),$G13,IF(ISNUMBER(CDS_Entities!$AI$11),CDS_Entities!$AI$11,IF(ISNUMBER(CDS_Entities!$I$11),CDS_Entities!$I$11,0)))))</f>
        <v/>
      </c>
      <c r="H27" s="205">
        <f>IF($B13="","",IF($A13=0,0,IF(ISNUMBER($H13),$H13,IF(ISNUMBER(CDS_Entities!$AK$11),CDS_Entities!$AK$11,IF(ISNUMBER(CDS_Entities!$J$11),CDS_Entities!$J$11,0)))))</f>
        <v/>
      </c>
      <c r="I27" s="205">
        <f>IF($B13="","",IF($A13=0,0,IF(ISNUMBER($I13),$I13,IF(ISNUMBER(CDS_Entities!$AM$11),CDS_Entities!$AM$11,IF(ISNUMBER(CDS_Entities!$K$11),CDS_Entities!$K$11,0)))))</f>
        <v/>
      </c>
      <c r="J27" s="205">
        <f>IF($B13="","",IF($A13=0,0,IF(ISNUMBER($J13),$J13,IF(ISNUMBER(CDS_Entities!$AO$11),CDS_Entities!$AO$11,IF(ISNUMBER(CDS_Entities!$L$11),CDS_Entities!$L$11,0)))))</f>
        <v/>
      </c>
      <c r="K27" s="205">
        <f>IF($B13="","",IF($A13=0,0,IF(ISNUMBER($K13),$K13,IF(ISNUMBER(CDS_Entities!$AQ$11),CDS_Entities!$AQ$11,IF(ISNUMBER(CDS_Entities!$M$11),CDS_Entities!$M$11,0)))))</f>
        <v/>
      </c>
    </row>
    <row r="28">
      <c r="A28" s="204" t="n"/>
      <c r="B28" s="204">
        <f>IF($B14="","",$B14)</f>
        <v/>
      </c>
      <c r="C28" s="204" t="n"/>
      <c r="D28" s="204" t="n"/>
      <c r="E28" s="204">
        <f>IF($B14="","",IF($A14=0,"off",IF(ISNUMBER($E14),$E14,CDS_Entities!$F$12)))</f>
        <v/>
      </c>
      <c r="F28" s="205">
        <f>IF($B14="","",IF($A14=0,0,IF(ISNUMBER($F14),$F14,IF(ISNUMBER(CDS_Entities!$AG$12),CDS_Entities!$AG$12,IF(ISNUMBER(CDS_Entities!$H$12),CDS_Entities!$H$12,0)))))</f>
        <v/>
      </c>
      <c r="G28" s="205">
        <f>IF($B14="","",IF($A14=0,0,IF(ISNUMBER($G14),$G14,IF(ISNUMBER(CDS_Entities!$AI$12),CDS_Entities!$AI$12,IF(ISNUMBER(CDS_Entities!$I$12),CDS_Entities!$I$12,0)))))</f>
        <v/>
      </c>
      <c r="H28" s="205">
        <f>IF($B14="","",IF($A14=0,0,IF(ISNUMBER($H14),$H14,IF(ISNUMBER(CDS_Entities!$AK$12),CDS_Entities!$AK$12,IF(ISNUMBER(CDS_Entities!$J$12),CDS_Entities!$J$12,0)))))</f>
        <v/>
      </c>
      <c r="I28" s="205">
        <f>IF($B14="","",IF($A14=0,0,IF(ISNUMBER($I14),$I14,IF(ISNUMBER(CDS_Entities!$AM$12),CDS_Entities!$AM$12,IF(ISNUMBER(CDS_Entities!$K$12),CDS_Entities!$K$12,0)))))</f>
        <v/>
      </c>
      <c r="J28" s="205">
        <f>IF($B14="","",IF($A14=0,0,IF(ISNUMBER($J14),$J14,IF(ISNUMBER(CDS_Entities!$AO$12),CDS_Entities!$AO$12,IF(ISNUMBER(CDS_Entities!$L$12),CDS_Entities!$L$12,0)))))</f>
        <v/>
      </c>
      <c r="K28" s="205">
        <f>IF($B14="","",IF($A14=0,0,IF(ISNUMBER($K14),$K14,IF(ISNUMBER(CDS_Entities!$AQ$12),CDS_Entities!$AQ$12,IF(ISNUMBER(CDS_Entities!$M$12),CDS_Entities!$M$12,0)))))</f>
        <v/>
      </c>
    </row>
    <row r="29">
      <c r="A29" s="204" t="n"/>
      <c r="B29" s="204">
        <f>IF($B15="","",$B15)</f>
        <v/>
      </c>
      <c r="C29" s="204" t="n"/>
      <c r="D29" s="204" t="n"/>
      <c r="E29" s="204">
        <f>IF($B15="","",IF($A15=0,"off",IF(ISNUMBER($E15),$E15,CDS_Entities!$F$13)))</f>
        <v/>
      </c>
      <c r="F29" s="205">
        <f>IF($B15="","",IF($A15=0,0,IF(ISNUMBER($F15),$F15,IF(ISNUMBER(CDS_Entities!$AG$13),CDS_Entities!$AG$13,IF(ISNUMBER(CDS_Entities!$H$13),CDS_Entities!$H$13,0)))))</f>
        <v/>
      </c>
      <c r="G29" s="205">
        <f>IF($B15="","",IF($A15=0,0,IF(ISNUMBER($G15),$G15,IF(ISNUMBER(CDS_Entities!$AI$13),CDS_Entities!$AI$13,IF(ISNUMBER(CDS_Entities!$I$13),CDS_Entities!$I$13,0)))))</f>
        <v/>
      </c>
      <c r="H29" s="205">
        <f>IF($B15="","",IF($A15=0,0,IF(ISNUMBER($H15),$H15,IF(ISNUMBER(CDS_Entities!$AK$13),CDS_Entities!$AK$13,IF(ISNUMBER(CDS_Entities!$J$13),CDS_Entities!$J$13,0)))))</f>
        <v/>
      </c>
      <c r="I29" s="205">
        <f>IF($B15="","",IF($A15=0,0,IF(ISNUMBER($I15),$I15,IF(ISNUMBER(CDS_Entities!$AM$13),CDS_Entities!$AM$13,IF(ISNUMBER(CDS_Entities!$K$13),CDS_Entities!$K$13,0)))))</f>
        <v/>
      </c>
      <c r="J29" s="205">
        <f>IF($B15="","",IF($A15=0,0,IF(ISNUMBER($J15),$J15,IF(ISNUMBER(CDS_Entities!$AO$13),CDS_Entities!$AO$13,IF(ISNUMBER(CDS_Entities!$L$13),CDS_Entities!$L$13,0)))))</f>
        <v/>
      </c>
      <c r="K29" s="205">
        <f>IF($B15="","",IF($A15=0,0,IF(ISNUMBER($K15),$K15,IF(ISNUMBER(CDS_Entities!$AQ$13),CDS_Entities!$AQ$13,IF(ISNUMBER(CDS_Entities!$M$13),CDS_Entities!$M$13,0)))))</f>
        <v/>
      </c>
    </row>
    <row r="30">
      <c r="A30" s="204" t="n"/>
      <c r="B30" s="204">
        <f>IF($B16="","",$B16)</f>
        <v/>
      </c>
      <c r="C30" s="204" t="n"/>
      <c r="D30" s="204" t="n"/>
      <c r="E30" s="204">
        <f>IF($B16="","",IF($A16=0,"off",IF(ISNUMBER($E16),$E16,CDS_Entities!$F$14)))</f>
        <v/>
      </c>
      <c r="F30" s="205">
        <f>IF($B16="","",IF($A16=0,0,IF(ISNUMBER($F16),$F16,IF(ISNUMBER(CDS_Entities!$AG$14),CDS_Entities!$AG$14,IF(ISNUMBER(CDS_Entities!$H$14),CDS_Entities!$H$14,0)))))</f>
        <v/>
      </c>
      <c r="G30" s="205">
        <f>IF($B16="","",IF($A16=0,0,IF(ISNUMBER($G16),$G16,IF(ISNUMBER(CDS_Entities!$AI$14),CDS_Entities!$AI$14,IF(ISNUMBER(CDS_Entities!$I$14),CDS_Entities!$I$14,0)))))</f>
        <v/>
      </c>
      <c r="H30" s="205">
        <f>IF($B16="","",IF($A16=0,0,IF(ISNUMBER($H16),$H16,IF(ISNUMBER(CDS_Entities!$AK$14),CDS_Entities!$AK$14,IF(ISNUMBER(CDS_Entities!$J$14),CDS_Entities!$J$14,0)))))</f>
        <v/>
      </c>
      <c r="I30" s="205">
        <f>IF($B16="","",IF($A16=0,0,IF(ISNUMBER($I16),$I16,IF(ISNUMBER(CDS_Entities!$AM$14),CDS_Entities!$AM$14,IF(ISNUMBER(CDS_Entities!$K$14),CDS_Entities!$K$14,0)))))</f>
        <v/>
      </c>
      <c r="J30" s="205">
        <f>IF($B16="","",IF($A16=0,0,IF(ISNUMBER($J16),$J16,IF(ISNUMBER(CDS_Entities!$AO$14),CDS_Entities!$AO$14,IF(ISNUMBER(CDS_Entities!$L$14),CDS_Entities!$L$14,0)))))</f>
        <v/>
      </c>
      <c r="K30" s="205">
        <f>IF($B16="","",IF($A16=0,0,IF(ISNUMBER($K16),$K16,IF(ISNUMBER(CDS_Entities!$AQ$14),CDS_Entities!$AQ$14,IF(ISNUMBER(CDS_Entities!$M$14),CDS_Entities!$M$14,0)))))</f>
        <v/>
      </c>
    </row>
  </sheetData>
  <dataValidations count="1">
    <dataValidation sqref="B4" showDropDown="0" showInputMessage="0" showErrorMessage="0" allowBlank="0" type="list">
      <formula1>=$B$7:$B$16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A1B9A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219">
        <f>IF(Steps!$B$8="",0.4,Steps!$B$8)</f>
        <v/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220">
        <f>IF(Steps!$B$6="",10000000,Steps!$B$6)</f>
        <v/>
      </c>
    </row>
    <row r="10">
      <c r="A10" s="5" t="inlineStr">
        <is>
          <t>Standard coupon (bp)</t>
        </is>
      </c>
      <c r="B10" s="221">
        <f>IF(Steps!$B$7="",100,Steps!$B$7)</f>
        <v/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222">
        <f>IF(Steps!$B$10="","Buy protection",Steps!$B$10)</f>
        <v/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223">
        <f>IF(Steps!$B$5="",IF(Entities!$F$4="","",Entities!$F$4),Steps!$B$5)</f>
        <v/>
      </c>
      <c r="C19" s="177" t="inlineStr">
        <is>
          <t>from Entities!F4 - the selected name's ticker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>
        <f>Entities!$B$4</f>
        <v/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  <row r="30">
      <c r="A30" s="67" t="inlineStr">
        <is>
          <t>Hazard solver</t>
        </is>
      </c>
      <c r="B30" s="178" t="inlineStr">
        <is>
          <t>Brent (VBA, falls back to bisection)</t>
        </is>
      </c>
      <c r="C30" s="177" t="inlineStr">
        <is>
          <t>Brent = one call, strips off CDS_Schedule directly. Bisection = the 3,712-cell ladder on Hazard_Solver.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3">
    <dataValidation sqref="B17" showDropDown="0" showInputMessage="0" showErrorMessage="0" allowBlank="0" type="list">
      <formula1>"Bootstrap from CDS curve,Flat hazard rate"</formula1>
    </dataValidation>
    <dataValidation sqref="B27" showDropDown="0" showInputMessage="0" showErrorMessage="0" allowBlank="1" type="list">
      <formula1>=CDS_Entities!$A$5:$A$14</formula1>
    </dataValidation>
    <dataValidation sqref="B30" showDropDown="0" showInputMessage="0" showErrorMessage="0" allowBlank="0" type="list">
      <formula1>"Brent (VBA, falls back to bisection),Bisection (in-cell ladder)"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O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D(0,t). Curve grid in K:L is a dated snapshot from the SOFR bootstrap, pasted as values.</t>
        </is>
      </c>
    </row>
    <row r="4" ht="66" customHeight="1">
      <c r="A4" s="9" t="inlineStr">
        <is>
          <t>Piecewise-flat instantaneous forward between pillars. Confirmed against S490 as Step Forward (Cont).</t>
        </is>
      </c>
    </row>
    <row r="5">
      <c r="N5" s="67" t="inlineStr">
        <is>
          <t>Valuation date</t>
        </is>
      </c>
      <c r="O5" s="224">
        <f>IF(Steps!$B$11&lt;&gt;"",Steps!$B$11,$K$8)</f>
        <v/>
      </c>
    </row>
    <row r="6">
      <c r="K6" s="13" t="inlineStr">
        <is>
          <t>Curve grid - LIVE LINK to the curve workbook</t>
        </is>
      </c>
      <c r="M6" s="177" t="inlineStr">
        <is>
          <t>source: [USD_SOFR_Curve_Bloomberg_Pricer.xlsx]Curve_Interface!K8 (anchor) + K10:L74 (65 pillars)</t>
        </is>
      </c>
      <c r="N6" s="177" t="inlineStr">
        <is>
          <t>blank on Steps = follow the curve workbook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194">
        <f>'[USD_SOFR_Curve_Bloomberg_Pricer.xlsx]Curve_Interface'!$D$7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195">
        <f>'[USD_SOFR_Curve_Bloomberg_Pricer.xlsx]Curve_Interface'!$K$8</f>
        <v/>
      </c>
      <c r="L8" s="196">
        <f>'[USD_SOFR_Curve_Bloomberg_Pricer.xlsx]Curve_Interface'!$L$8</f>
        <v/>
      </c>
      <c r="N8" s="67" t="inlineStr">
        <is>
          <t>LINK CHECK</t>
        </is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97">
        <f>'[USD_SOFR_Curve_Bloomberg_Pricer.xlsx]Curve_Interface'!$K$10</f>
        <v/>
      </c>
      <c r="L9" s="198">
        <f>'[USD_SOFR_Curve_Bloomberg_Pricer.xlsx]Curve_Interface'!$L$10</f>
        <v/>
      </c>
      <c r="N9" s="126" t="inlineStr">
        <is>
          <t>pillars linked</t>
        </is>
      </c>
      <c r="O9" s="184">
        <f>COUNT($L$8:$L$73)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99">
        <f>'[USD_SOFR_Curve_Bloomberg_Pricer.xlsx]Curve_Interface'!$K$11</f>
        <v/>
      </c>
      <c r="L10" s="200">
        <f>'[USD_SOFR_Curve_Bloomberg_Pricer.xlsx]Curve_Interface'!$L$11</f>
        <v/>
      </c>
      <c r="N10" s="126" t="inlineStr">
        <is>
          <t>first date</t>
        </is>
      </c>
      <c r="O10" s="201">
        <f>IF(COUNT($K$8:$K$73)=0,"",MIN($K$8:$K$73))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99">
        <f>'[USD_SOFR_Curve_Bloomberg_Pricer.xlsx]Curve_Interface'!$K$12</f>
        <v/>
      </c>
      <c r="L11" s="200">
        <f>'[USD_SOFR_Curve_Bloomberg_Pricer.xlsx]Curve_Interface'!$L$12</f>
        <v/>
      </c>
      <c r="N11" s="126" t="inlineStr">
        <is>
          <t>last date</t>
        </is>
      </c>
      <c r="O11" s="201">
        <f>IF(COUNT($K$8:$K$73)=0,"",MAX($K$8:$K$73))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99">
        <f>'[USD_SOFR_Curve_Bloomberg_Pricer.xlsx]Curve_Interface'!$K$13</f>
        <v/>
      </c>
      <c r="L12" s="200">
        <f>'[USD_SOFR_Curve_Bloomberg_Pricer.xlsx]Curve_Interface'!$L$13</f>
        <v/>
      </c>
      <c r="N12" s="126" t="inlineStr">
        <is>
          <t>anchor DF (want 1)</t>
        </is>
      </c>
      <c r="O12" s="202">
        <f>IF($L$8="","",$L$8)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99">
        <f>'[USD_SOFR_Curve_Bloomberg_Pricer.xlsx]Curve_Interface'!$K$14</f>
        <v/>
      </c>
      <c r="L13" s="200">
        <f>'[USD_SOFR_Curve_Bloomberg_Pricer.xlsx]Curve_Interface'!$L$14</f>
        <v/>
      </c>
      <c r="N13" s="126" t="inlineStr">
        <is>
          <t>first tenor date</t>
        </is>
      </c>
      <c r="O13" s="201">
        <f>IF($K$9="","",$K$9)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99">
        <f>'[USD_SOFR_Curve_Bloomberg_Pricer.xlsx]Curve_Interface'!$K$15</f>
        <v/>
      </c>
      <c r="L14" s="200">
        <f>'[USD_SOFR_Curve_Bloomberg_Pricer.xlsx]Curve_Interface'!$L$15</f>
        <v/>
      </c>
      <c r="N14" s="126" t="inlineStr">
        <is>
          <t>DF monotone?</t>
        </is>
      </c>
      <c r="O14" s="184">
        <f>IF(COUNT($L$8:$L$73)&lt;2,"",IF(SUMPRODUCT(--($L$9:$L$73&gt;$L$8:$L$72))=0,"ok","NOT DECREASING"))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99">
        <f>'[USD_SOFR_Curve_Bloomberg_Pricer.xlsx]Curve_Interface'!$K$16</f>
        <v/>
      </c>
      <c r="L15" s="200">
        <f>'[USD_SOFR_Curve_Bloomberg_Pricer.xlsx]Curve_Interface'!$L$16</f>
        <v/>
      </c>
      <c r="N15" s="66">
        <f>IF(O9=0,"LINK NOT RESOLVING - open USD_SOFR_Curve_Bloomberg_Pricer.xlsx",IF(ABS(O12-1)&gt;0.000001,"ROW 8 IS NOT THE ANCHOR - check the offset",IF(O13-VAL_DATE&gt;14,"FIRST TENOR LOOKS WRONG - expected about a week after the curve date",IF(O9&lt;60,"FEWER PILLARS THAN EXPECTED - check the source range","link ok"))))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99">
        <f>'[USD_SOFR_Curve_Bloomberg_Pricer.xlsx]Curve_Interface'!$K$17</f>
        <v/>
      </c>
      <c r="L16" s="200">
        <f>'[USD_SOFR_Curve_Bloomberg_Pricer.xlsx]Curve_Interface'!$L$17</f>
        <v/>
      </c>
      <c r="N16" s="177" t="inlineStr">
        <is>
          <t>Live only while the curve workbook is OPEN. Closed, Excel serves the last cached values and the BDP pulls in the source do not refresh.</t>
        </is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99">
        <f>'[USD_SOFR_Curve_Bloomberg_Pricer.xlsx]Curve_Interface'!$K$18</f>
        <v/>
      </c>
      <c r="L17" s="200">
        <f>'[USD_SOFR_Curve_Bloomberg_Pricer.xlsx]Curve_Interface'!$L$18</f>
        <v/>
      </c>
      <c r="N17" s="177" t="inlineStr">
        <is>
          <t>Live only while the curve workbook is OPEN. Closed, Excel serves the last cached values and the BDP pulls in the source do not refresh.</t>
        </is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99">
        <f>'[USD_SOFR_Curve_Bloomberg_Pricer.xlsx]Curve_Interface'!$K$19</f>
        <v/>
      </c>
      <c r="L18" s="200">
        <f>'[USD_SOFR_Curve_Bloomberg_Pricer.xlsx]Curve_Interface'!$L$19</f>
        <v/>
      </c>
      <c r="N18" t="inlineStr">
        <is>
          <t>Data &gt; Edit Links &gt; Change Source if the file moves.</t>
        </is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99">
        <f>'[USD_SOFR_Curve_Bloomberg_Pricer.xlsx]Curve_Interface'!$K$20</f>
        <v/>
      </c>
      <c r="L19" s="200">
        <f>'[USD_SOFR_Curve_Bloomberg_Pricer.xlsx]Curve_Interface'!$L$20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99">
        <f>'[USD_SOFR_Curve_Bloomberg_Pricer.xlsx]Curve_Interface'!$K$21</f>
        <v/>
      </c>
      <c r="L20" s="200">
        <f>'[USD_SOFR_Curve_Bloomberg_Pricer.xlsx]Curve_Interface'!$L$21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99">
        <f>'[USD_SOFR_Curve_Bloomberg_Pricer.xlsx]Curve_Interface'!$K$22</f>
        <v/>
      </c>
      <c r="L21" s="200">
        <f>'[USD_SOFR_Curve_Bloomberg_Pricer.xlsx]Curve_Interface'!$L$22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99">
        <f>'[USD_SOFR_Curve_Bloomberg_Pricer.xlsx]Curve_Interface'!$K$23</f>
        <v/>
      </c>
      <c r="L22" s="200">
        <f>'[USD_SOFR_Curve_Bloomberg_Pricer.xlsx]Curve_Interface'!$L$23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99">
        <f>'[USD_SOFR_Curve_Bloomberg_Pricer.xlsx]Curve_Interface'!$K$24</f>
        <v/>
      </c>
      <c r="L23" s="200">
        <f>'[USD_SOFR_Curve_Bloomberg_Pricer.xlsx]Curve_Interface'!$L$24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99">
        <f>'[USD_SOFR_Curve_Bloomberg_Pricer.xlsx]Curve_Interface'!$K$25</f>
        <v/>
      </c>
      <c r="L24" s="200">
        <f>'[USD_SOFR_Curve_Bloomberg_Pricer.xlsx]Curve_Interface'!$L$25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99">
        <f>'[USD_SOFR_Curve_Bloomberg_Pricer.xlsx]Curve_Interface'!$K$26</f>
        <v/>
      </c>
      <c r="L25" s="200">
        <f>'[USD_SOFR_Curve_Bloomberg_Pricer.xlsx]Curve_Interface'!$L$26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99">
        <f>'[USD_SOFR_Curve_Bloomberg_Pricer.xlsx]Curve_Interface'!$K$27</f>
        <v/>
      </c>
      <c r="L26" s="200">
        <f>'[USD_SOFR_Curve_Bloomberg_Pricer.xlsx]Curve_Interface'!$L$27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99">
        <f>'[USD_SOFR_Curve_Bloomberg_Pricer.xlsx]Curve_Interface'!$K$28</f>
        <v/>
      </c>
      <c r="L27" s="200">
        <f>'[USD_SOFR_Curve_Bloomberg_Pricer.xlsx]Curve_Interface'!$L$28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99">
        <f>'[USD_SOFR_Curve_Bloomberg_Pricer.xlsx]Curve_Interface'!$K$29</f>
        <v/>
      </c>
      <c r="L28" s="200">
        <f>'[USD_SOFR_Curve_Bloomberg_Pricer.xlsx]Curve_Interface'!$L$29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99">
        <f>'[USD_SOFR_Curve_Bloomberg_Pricer.xlsx]Curve_Interface'!$K$30</f>
        <v/>
      </c>
      <c r="L29" s="200">
        <f>'[USD_SOFR_Curve_Bloomberg_Pricer.xlsx]Curve_Interface'!$L$30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99">
        <f>'[USD_SOFR_Curve_Bloomberg_Pricer.xlsx]Curve_Interface'!$K$31</f>
        <v/>
      </c>
      <c r="L30" s="200">
        <f>'[USD_SOFR_Curve_Bloomberg_Pricer.xlsx]Curve_Interface'!$L$31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99">
        <f>'[USD_SOFR_Curve_Bloomberg_Pricer.xlsx]Curve_Interface'!$K$32</f>
        <v/>
      </c>
      <c r="L31" s="200">
        <f>'[USD_SOFR_Curve_Bloomberg_Pricer.xlsx]Curve_Interface'!$L$32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99">
        <f>'[USD_SOFR_Curve_Bloomberg_Pricer.xlsx]Curve_Interface'!$K$33</f>
        <v/>
      </c>
      <c r="L32" s="200">
        <f>'[USD_SOFR_Curve_Bloomberg_Pricer.xlsx]Curve_Interface'!$L$33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99">
        <f>'[USD_SOFR_Curve_Bloomberg_Pricer.xlsx]Curve_Interface'!$K$34</f>
        <v/>
      </c>
      <c r="L33" s="200">
        <f>'[USD_SOFR_Curve_Bloomberg_Pricer.xlsx]Curve_Interface'!$L$34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99">
        <f>'[USD_SOFR_Curve_Bloomberg_Pricer.xlsx]Curve_Interface'!$K$35</f>
        <v/>
      </c>
      <c r="L34" s="200">
        <f>'[USD_SOFR_Curve_Bloomberg_Pricer.xlsx]Curve_Interface'!$L$35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99">
        <f>'[USD_SOFR_Curve_Bloomberg_Pricer.xlsx]Curve_Interface'!$K$36</f>
        <v/>
      </c>
      <c r="L35" s="200">
        <f>'[USD_SOFR_Curve_Bloomberg_Pricer.xlsx]Curve_Interface'!$L$36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99">
        <f>'[USD_SOFR_Curve_Bloomberg_Pricer.xlsx]Curve_Interface'!$K$37</f>
        <v/>
      </c>
      <c r="L36" s="200">
        <f>'[USD_SOFR_Curve_Bloomberg_Pricer.xlsx]Curve_Interface'!$L$37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99">
        <f>'[USD_SOFR_Curve_Bloomberg_Pricer.xlsx]Curve_Interface'!$K$38</f>
        <v/>
      </c>
      <c r="L37" s="200">
        <f>'[USD_SOFR_Curve_Bloomberg_Pricer.xlsx]Curve_Interface'!$L$38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99">
        <f>'[USD_SOFR_Curve_Bloomberg_Pricer.xlsx]Curve_Interface'!$K$39</f>
        <v/>
      </c>
      <c r="L38" s="200">
        <f>'[USD_SOFR_Curve_Bloomberg_Pricer.xlsx]Curve_Interface'!$L$39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99">
        <f>'[USD_SOFR_Curve_Bloomberg_Pricer.xlsx]Curve_Interface'!$K$40</f>
        <v/>
      </c>
      <c r="L39" s="200">
        <f>'[USD_SOFR_Curve_Bloomberg_Pricer.xlsx]Curve_Interface'!$L$40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99">
        <f>'[USD_SOFR_Curve_Bloomberg_Pricer.xlsx]Curve_Interface'!$K$41</f>
        <v/>
      </c>
      <c r="L40" s="200">
        <f>'[USD_SOFR_Curve_Bloomberg_Pricer.xlsx]Curve_Interface'!$L$41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194">
        <f>'[USD_SOFR_Curve_Bloomberg_Pricer.xlsx]Curve_Interface'!$K$42</f>
        <v/>
      </c>
      <c r="L41" s="203">
        <f>'[USD_SOFR_Curve_Bloomberg_Pricer.xlsx]Curve_Interface'!$L$42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194">
        <f>'[USD_SOFR_Curve_Bloomberg_Pricer.xlsx]Curve_Interface'!$K$43</f>
        <v/>
      </c>
      <c r="L42" s="203">
        <f>'[USD_SOFR_Curve_Bloomberg_Pricer.xlsx]Curve_Interface'!$L$43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194">
        <f>'[USD_SOFR_Curve_Bloomberg_Pricer.xlsx]Curve_Interface'!$K$44</f>
        <v/>
      </c>
      <c r="L43" s="203">
        <f>'[USD_SOFR_Curve_Bloomberg_Pricer.xlsx]Curve_Interface'!$L$44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194">
        <f>'[USD_SOFR_Curve_Bloomberg_Pricer.xlsx]Curve_Interface'!$K$45</f>
        <v/>
      </c>
      <c r="L44" s="203">
        <f>'[USD_SOFR_Curve_Bloomberg_Pricer.xlsx]Curve_Interface'!$L$45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194">
        <f>'[USD_SOFR_Curve_Bloomberg_Pricer.xlsx]Curve_Interface'!$K$46</f>
        <v/>
      </c>
      <c r="L45" s="203">
        <f>'[USD_SOFR_Curve_Bloomberg_Pricer.xlsx]Curve_Interface'!$L$46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194">
        <f>'[USD_SOFR_Curve_Bloomberg_Pricer.xlsx]Curve_Interface'!$K$47</f>
        <v/>
      </c>
      <c r="L46" s="203">
        <f>'[USD_SOFR_Curve_Bloomberg_Pricer.xlsx]Curve_Interface'!$L$47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194">
        <f>'[USD_SOFR_Curve_Bloomberg_Pricer.xlsx]Curve_Interface'!$K$48</f>
        <v/>
      </c>
      <c r="L47" s="203">
        <f>'[USD_SOFR_Curve_Bloomberg_Pricer.xlsx]Curve_Interface'!$L$48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194">
        <f>'[USD_SOFR_Curve_Bloomberg_Pricer.xlsx]Curve_Interface'!$K$49</f>
        <v/>
      </c>
      <c r="L48" s="203">
        <f>'[USD_SOFR_Curve_Bloomberg_Pricer.xlsx]Curve_Interface'!$L$49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194">
        <f>'[USD_SOFR_Curve_Bloomberg_Pricer.xlsx]Curve_Interface'!$K$50</f>
        <v/>
      </c>
      <c r="L49" s="203">
        <f>'[USD_SOFR_Curve_Bloomberg_Pricer.xlsx]Curve_Interface'!$L$50</f>
        <v/>
      </c>
    </row>
    <row r="50">
      <c r="K50" s="194">
        <f>'[USD_SOFR_Curve_Bloomberg_Pricer.xlsx]Curve_Interface'!$K$51</f>
        <v/>
      </c>
      <c r="L50" s="203">
        <f>'[USD_SOFR_Curve_Bloomberg_Pricer.xlsx]Curve_Interface'!$L$51</f>
        <v/>
      </c>
    </row>
    <row r="51">
      <c r="K51" s="194">
        <f>'[USD_SOFR_Curve_Bloomberg_Pricer.xlsx]Curve_Interface'!$K$52</f>
        <v/>
      </c>
      <c r="L51" s="203">
        <f>'[USD_SOFR_Curve_Bloomberg_Pricer.xlsx]Curve_Interface'!$L$52</f>
        <v/>
      </c>
    </row>
    <row r="52">
      <c r="K52" s="194">
        <f>'[USD_SOFR_Curve_Bloomberg_Pricer.xlsx]Curve_Interface'!$K$53</f>
        <v/>
      </c>
      <c r="L52" s="203">
        <f>'[USD_SOFR_Curve_Bloomberg_Pricer.xlsx]Curve_Interface'!$L$53</f>
        <v/>
      </c>
    </row>
    <row r="53">
      <c r="K53" s="194">
        <f>'[USD_SOFR_Curve_Bloomberg_Pricer.xlsx]Curve_Interface'!$K$54</f>
        <v/>
      </c>
      <c r="L53" s="203">
        <f>'[USD_SOFR_Curve_Bloomberg_Pricer.xlsx]Curve_Interface'!$L$54</f>
        <v/>
      </c>
    </row>
    <row r="54">
      <c r="K54" s="194">
        <f>'[USD_SOFR_Curve_Bloomberg_Pricer.xlsx]Curve_Interface'!$K$55</f>
        <v/>
      </c>
      <c r="L54" s="203">
        <f>'[USD_SOFR_Curve_Bloomberg_Pricer.xlsx]Curve_Interface'!$L$55</f>
        <v/>
      </c>
    </row>
    <row r="55">
      <c r="K55" s="194">
        <f>'[USD_SOFR_Curve_Bloomberg_Pricer.xlsx]Curve_Interface'!$K$56</f>
        <v/>
      </c>
      <c r="L55" s="203">
        <f>'[USD_SOFR_Curve_Bloomberg_Pricer.xlsx]Curve_Interface'!$L$56</f>
        <v/>
      </c>
    </row>
    <row r="56">
      <c r="K56" s="194">
        <f>'[USD_SOFR_Curve_Bloomberg_Pricer.xlsx]Curve_Interface'!$K$57</f>
        <v/>
      </c>
      <c r="L56" s="203">
        <f>'[USD_SOFR_Curve_Bloomberg_Pricer.xlsx]Curve_Interface'!$L$57</f>
        <v/>
      </c>
    </row>
    <row r="57">
      <c r="K57" s="194">
        <f>'[USD_SOFR_Curve_Bloomberg_Pricer.xlsx]Curve_Interface'!$K$58</f>
        <v/>
      </c>
      <c r="L57" s="203">
        <f>'[USD_SOFR_Curve_Bloomberg_Pricer.xlsx]Curve_Interface'!$L$58</f>
        <v/>
      </c>
    </row>
    <row r="58">
      <c r="K58" s="194">
        <f>'[USD_SOFR_Curve_Bloomberg_Pricer.xlsx]Curve_Interface'!$K$59</f>
        <v/>
      </c>
      <c r="L58" s="203">
        <f>'[USD_SOFR_Curve_Bloomberg_Pricer.xlsx]Curve_Interface'!$L$59</f>
        <v/>
      </c>
    </row>
    <row r="59">
      <c r="K59" s="194">
        <f>'[USD_SOFR_Curve_Bloomberg_Pricer.xlsx]Curve_Interface'!$K$60</f>
        <v/>
      </c>
      <c r="L59" s="203">
        <f>'[USD_SOFR_Curve_Bloomberg_Pricer.xlsx]Curve_Interface'!$L$60</f>
        <v/>
      </c>
    </row>
    <row r="60">
      <c r="K60" s="194">
        <f>'[USD_SOFR_Curve_Bloomberg_Pricer.xlsx]Curve_Interface'!$K$61</f>
        <v/>
      </c>
      <c r="L60" s="203">
        <f>'[USD_SOFR_Curve_Bloomberg_Pricer.xlsx]Curve_Interface'!$L$61</f>
        <v/>
      </c>
    </row>
    <row r="61">
      <c r="K61" s="194">
        <f>'[USD_SOFR_Curve_Bloomberg_Pricer.xlsx]Curve_Interface'!$K$62</f>
        <v/>
      </c>
      <c r="L61" s="203">
        <f>'[USD_SOFR_Curve_Bloomberg_Pricer.xlsx]Curve_Interface'!$L$62</f>
        <v/>
      </c>
    </row>
    <row r="62">
      <c r="K62" s="194">
        <f>'[USD_SOFR_Curve_Bloomberg_Pricer.xlsx]Curve_Interface'!$K$63</f>
        <v/>
      </c>
      <c r="L62" s="203">
        <f>'[USD_SOFR_Curve_Bloomberg_Pricer.xlsx]Curve_Interface'!$L$63</f>
        <v/>
      </c>
    </row>
    <row r="63">
      <c r="K63" s="194">
        <f>'[USD_SOFR_Curve_Bloomberg_Pricer.xlsx]Curve_Interface'!$K$64</f>
        <v/>
      </c>
      <c r="L63" s="203">
        <f>'[USD_SOFR_Curve_Bloomberg_Pricer.xlsx]Curve_Interface'!$L$64</f>
        <v/>
      </c>
    </row>
    <row r="64">
      <c r="K64" s="194">
        <f>'[USD_SOFR_Curve_Bloomberg_Pricer.xlsx]Curve_Interface'!$K$65</f>
        <v/>
      </c>
      <c r="L64" s="203">
        <f>'[USD_SOFR_Curve_Bloomberg_Pricer.xlsx]Curve_Interface'!$L$65</f>
        <v/>
      </c>
    </row>
    <row r="65">
      <c r="K65" s="194">
        <f>'[USD_SOFR_Curve_Bloomberg_Pricer.xlsx]Curve_Interface'!$K$66</f>
        <v/>
      </c>
      <c r="L65" s="203">
        <f>'[USD_SOFR_Curve_Bloomberg_Pricer.xlsx]Curve_Interface'!$L$66</f>
        <v/>
      </c>
    </row>
    <row r="66">
      <c r="K66" s="194">
        <f>'[USD_SOFR_Curve_Bloomberg_Pricer.xlsx]Curve_Interface'!$K$67</f>
        <v/>
      </c>
      <c r="L66" s="203">
        <f>'[USD_SOFR_Curve_Bloomberg_Pricer.xlsx]Curve_Interface'!$L$67</f>
        <v/>
      </c>
    </row>
    <row r="67">
      <c r="K67" s="194">
        <f>'[USD_SOFR_Curve_Bloomberg_Pricer.xlsx]Curve_Interface'!$K$68</f>
        <v/>
      </c>
      <c r="L67" s="203">
        <f>'[USD_SOFR_Curve_Bloomberg_Pricer.xlsx]Curve_Interface'!$L$68</f>
        <v/>
      </c>
    </row>
    <row r="68">
      <c r="K68" s="194">
        <f>'[USD_SOFR_Curve_Bloomberg_Pricer.xlsx]Curve_Interface'!$K$69</f>
        <v/>
      </c>
      <c r="L68" s="203">
        <f>'[USD_SOFR_Curve_Bloomberg_Pricer.xlsx]Curve_Interface'!$L$69</f>
        <v/>
      </c>
    </row>
    <row r="69">
      <c r="K69" s="194">
        <f>'[USD_SOFR_Curve_Bloomberg_Pricer.xlsx]Curve_Interface'!$K$70</f>
        <v/>
      </c>
      <c r="L69" s="203">
        <f>'[USD_SOFR_Curve_Bloomberg_Pricer.xlsx]Curve_Interface'!$L$70</f>
        <v/>
      </c>
    </row>
    <row r="70">
      <c r="K70" s="194">
        <f>'[USD_SOFR_Curve_Bloomberg_Pricer.xlsx]Curve_Interface'!$K$71</f>
        <v/>
      </c>
      <c r="L70" s="203">
        <f>'[USD_SOFR_Curve_Bloomberg_Pricer.xlsx]Curve_Interface'!$L$71</f>
        <v/>
      </c>
    </row>
    <row r="71">
      <c r="K71" s="194">
        <f>'[USD_SOFR_Curve_Bloomberg_Pricer.xlsx]Curve_Interface'!$K$72</f>
        <v/>
      </c>
      <c r="L71" s="203">
        <f>'[USD_SOFR_Curve_Bloomberg_Pricer.xlsx]Curve_Interface'!$L$72</f>
        <v/>
      </c>
    </row>
    <row r="72">
      <c r="K72" s="194">
        <f>'[USD_SOFR_Curve_Bloomberg_Pricer.xlsx]Curve_Interface'!$K$73</f>
        <v/>
      </c>
      <c r="L72" s="203">
        <f>'[USD_SOFR_Curve_Bloomberg_Pricer.xlsx]Curve_Interface'!$L$73</f>
        <v/>
      </c>
    </row>
    <row r="73">
      <c r="K73" s="194">
        <f>'[USD_SOFR_Curve_Bloomberg_Pricer.xlsx]Curve_Interface'!$K$74</f>
        <v/>
      </c>
      <c r="L73" s="203">
        <f>'[USD_SOFR_Curve_Bloomberg_Pricer.xlsx]Curve_Interface'!$L$74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CDS ticker, or let col D resolve it. Two-step pull per Help Desk H#1330731572, documented in K.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N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>
      <c r="N5" s="177" t="inlineStr">
        <is>
          <t>Brent strips straight off CDS_Schedule (CDS_StripHazard). Hazard_Solver is only the fallback when the VBA is not loaded. Switch at CDS_Parameters!B30.</t>
        </is>
      </c>
    </row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IF(LEFT(CDS_Parameters!$B$30,5)="Brent",IFERROR(CDS_StripHazard(1,Hazard_Bootstrap!$B$7:$B$12,Hazard_Bootstrap!$C$7:$C$12,CDS_Parameters!$B$8,CDS_Parameters!$B$26,CDS_Schedule!$C$7:$C$46,CDS_Schedule!$D$7:$D$46,CDS_Schedule!$E$7:$E$46,CDS_Schedule!$G$7:$G$46,CDS_Schedule!$H$7:$H$46),Hazard_Solver!$B$46),Hazard_Solver!$B$46)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IF(LEFT(CDS_Parameters!$B$30,5)="Brent",IFERROR(CDS_StripHazard(2,Hazard_Bootstrap!$B$7:$B$12,Hazard_Bootstrap!$C$7:$C$12,CDS_Parameters!$B$8,CDS_Parameters!$B$26,CDS_Schedule!$C$7:$C$46,CDS_Schedule!$D$7:$D$46,CDS_Schedule!$E$7:$E$46,CDS_Schedule!$G$7:$G$46,CDS_Schedule!$H$7:$H$46),Hazard_Solver!$B$89),Hazard_Solver!$B$89)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IF(LEFT(CDS_Parameters!$B$30,5)="Brent",IFERROR(CDS_StripHazard(3,Hazard_Bootstrap!$B$7:$B$12,Hazard_Bootstrap!$C$7:$C$12,CDS_Parameters!$B$8,CDS_Parameters!$B$26,CDS_Schedule!$C$7:$C$46,CDS_Schedule!$D$7:$D$46,CDS_Schedule!$E$7:$E$46,CDS_Schedule!$G$7:$G$46,CDS_Schedule!$H$7:$H$46),Hazard_Solver!$B$132),Hazard_Solver!$B$132)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IF(LEFT(CDS_Parameters!$B$30,5)="Brent",IFERROR(CDS_StripHazard(4,Hazard_Bootstrap!$B$7:$B$12,Hazard_Bootstrap!$C$7:$C$12,CDS_Parameters!$B$8,CDS_Parameters!$B$26,CDS_Schedule!$C$7:$C$46,CDS_Schedule!$D$7:$D$46,CDS_Schedule!$E$7:$E$46,CDS_Schedule!$G$7:$G$46,CDS_Schedule!$H$7:$H$46),Hazard_Solver!$B$175),Hazard_Solver!$B$175)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IF(LEFT(CDS_Parameters!$B$30,5)="Brent",IFERROR(CDS_StripHazard(5,Hazard_Bootstrap!$B$7:$B$12,Hazard_Bootstrap!$C$7:$C$12,CDS_Parameters!$B$8,CDS_Parameters!$B$26,CDS_Schedule!$C$7:$C$46,CDS_Schedule!$D$7:$D$46,CDS_Schedule!$E$7:$E$46,CDS_Schedule!$G$7:$G$46,CDS_Schedule!$H$7:$H$46),Hazard_Solver!$B$218),Hazard_Solver!$B$218)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IF(LEFT(CDS_Parameters!$B$30,5)="Brent",IFERROR(CDS_StripHazard(6,Hazard_Bootstrap!$B$7:$B$12,Hazard_Bootstrap!$C$7:$C$12,CDS_Parameters!$B$8,CDS_Parameters!$B$26,CDS_Schedule!$C$7:$C$46,CDS_Schedule!$D$7:$D$46,CDS_Schedule!$E$7:$E$46,CDS_Schedule!$G$7:$G$46,CDS_Schedule!$H$7:$H$46),Hazard_Solver!$B$261),Hazard_Solver!$B$261)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One row per quarterly coupon period. DF(end) and DF(mid) interpolate the SOFR curve; hazard is the piecewise-constant lambda for the segment, by pay date. Q(end) = Q(prev)*exp(-hazard*dt). See Model_Notes.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6A1B9A"/>
    <outlinePr summaryBelow="1" summaryRight="1"/>
    <pageSetUpPr/>
  </sheetPr>
  <dimension ref="A1:J54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Prices a CDS off the SOFR discount curve and the stripped hazard curve. Equations on Model_Notes.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>
        <f>IF(Steps!$B$9="",5,Steps!$B$9)</f>
        <v/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PV: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  <row r="41">
      <c r="A41" s="67" t="inlineStr">
        <is>
          <t>MODEL vs CAPTURED CDSW  (active entity)</t>
        </is>
      </c>
    </row>
    <row r="42">
      <c r="A42" s="177" t="inlineStr">
        <is>
          <t>Blank until a CDSW capture is typed into CDS_Entities O:AC. Notional, coupon, maturity and traded spread there are context for the capture, not compared.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IFERROR(INDEX(CDS_Entities!$S$5:$S$14,CDS_Parameters!$B$28),"")</f>
        <v/>
      </c>
      <c r="C44" s="93">
        <f>B31</f>
        <v/>
      </c>
      <c r="D44" s="93">
        <f>IF(OR(B44="",NOT(ISNUMBER(B44))),"",C44-B44)</f>
        <v/>
      </c>
    </row>
    <row r="45">
      <c r="A45" s="94" t="inlineStr">
        <is>
          <t>Price</t>
        </is>
      </c>
      <c r="B45" s="87">
        <f>IFERROR(INDEX(CDS_Entities!$T$5:$T$14,CDS_Parameters!$B$28),"")</f>
        <v/>
      </c>
      <c r="C45" s="93">
        <f>B32</f>
        <v/>
      </c>
      <c r="D45" s="93">
        <f>IF(OR(B45="",NOT(ISNUMBER(B45))),"",C45-B45)</f>
        <v/>
      </c>
    </row>
    <row r="46">
      <c r="A46" s="94" t="inlineStr">
        <is>
          <t>Principal</t>
        </is>
      </c>
      <c r="B46" s="87">
        <f>IFERROR(INDEX(CDS_Entities!$U$5:$U$14,CDS_Parameters!$B$28),"")</f>
        <v/>
      </c>
      <c r="C46" s="93">
        <f>B33</f>
        <v/>
      </c>
      <c r="D46" s="93">
        <f>IF(OR(B46="",NOT(ISNUMBER(B46))),"",C46-B46)</f>
        <v/>
      </c>
    </row>
    <row r="47">
      <c r="A47" s="94" t="inlineStr">
        <is>
          <t>Accrued days</t>
        </is>
      </c>
      <c r="B47" s="87">
        <f>IFERROR(INDEX(CDS_Entities!$V$5:$V$14,CDS_Parameters!$B$28),"")</f>
        <v/>
      </c>
      <c r="C47" s="93">
        <f>B34</f>
        <v/>
      </c>
      <c r="D47" s="93">
        <f>IF(OR(B47="",NOT(ISNUMBER(B47))),"",C47-B47)</f>
        <v/>
      </c>
    </row>
    <row r="48">
      <c r="A48" s="94" t="inlineStr">
        <is>
          <t>Accrued</t>
        </is>
      </c>
      <c r="B48" s="87">
        <f>IFERROR(INDEX(CDS_Entities!$W$5:$W$14,CDS_Parameters!$B$28),"")</f>
        <v/>
      </c>
      <c r="C48" s="93">
        <f>B35</f>
        <v/>
      </c>
      <c r="D48" s="93">
        <f>IF(OR(B48="",NOT(ISNUMBER(B48))),"",C48-B48)</f>
        <v/>
      </c>
    </row>
    <row r="49">
      <c r="A49" s="94" t="inlineStr">
        <is>
          <t>Cash amount</t>
        </is>
      </c>
      <c r="B49" s="87">
        <f>IFERROR(INDEX(CDS_Entities!$X$5:$X$14,CDS_Parameters!$B$28),"")</f>
        <v/>
      </c>
      <c r="C49" s="93">
        <f>B36</f>
        <v/>
      </c>
      <c r="D49" s="93">
        <f>IF(OR(B49="",NOT(ISNUMBER(B49))),"",C49-B49)</f>
        <v/>
      </c>
    </row>
    <row r="50">
      <c r="A50" s="94" t="inlineStr">
        <is>
          <t>Def exposure</t>
        </is>
      </c>
      <c r="B50" s="87">
        <f>IFERROR(INDEX(CDS_Entities!$AB$5:$AB$14,CDS_Parameters!$B$28),"")</f>
        <v/>
      </c>
      <c r="C50" s="93">
        <f>B37</f>
        <v/>
      </c>
      <c r="D50" s="93">
        <f>IF(OR(B50="",NOT(ISNUMBER(B50))),"",C50-B50)</f>
        <v/>
      </c>
    </row>
    <row r="51">
      <c r="A51" s="190" t="inlineStr">
        <is>
          <t>Spread DV01</t>
        </is>
      </c>
      <c r="B51" s="180">
        <f>IFERROR(INDEX(CDS_Entities!$Y$5:$Y$14,CDS_Parameters!$B$28),"")</f>
        <v/>
      </c>
      <c r="C51" s="180">
        <f>B22</f>
        <v/>
      </c>
      <c r="D51" s="180">
        <f>IF(OR(B51="",NOT(ISNUMBER(B51))),"",C51-B51)</f>
        <v/>
      </c>
    </row>
    <row r="52">
      <c r="A52" s="190" t="inlineStr">
        <is>
          <t>IR DV01</t>
        </is>
      </c>
      <c r="B52" s="180">
        <f>IFERROR(INDEX(CDS_Entities!$Z$5:$Z$14,CDS_Parameters!$B$28),"")</f>
        <v/>
      </c>
      <c r="C52" s="180">
        <f>B23</f>
        <v/>
      </c>
      <c r="D52" s="180">
        <f>IF(OR(B52="",NOT(ISNUMBER(B52))),"",C52-B52)</f>
        <v/>
      </c>
    </row>
    <row r="53">
      <c r="A53" s="190" t="inlineStr">
        <is>
          <t>Rec risk 1%</t>
        </is>
      </c>
      <c r="B53" s="180">
        <f>IFERROR(INDEX(CDS_Entities!$AA$5:$AA$14,CDS_Parameters!$B$28),"")</f>
        <v/>
      </c>
      <c r="C53" s="180">
        <f>B24</f>
        <v/>
      </c>
      <c r="D53" s="180">
        <f>IF(OR(B53="",NOT(ISNUMBER(B53))),"",C53-B53)</f>
        <v/>
      </c>
    </row>
    <row r="54">
      <c r="A54" s="190" t="inlineStr">
        <is>
          <t>Prob 5Y (1-Q)</t>
        </is>
      </c>
      <c r="B54" s="180">
        <f>IFERROR(INDEX(CDS_Entities!$AC$5:$AC$14,CDS_Parameters!$B$28),"")</f>
        <v/>
      </c>
      <c r="C54" s="180">
        <f>IFERROR(INDEX(Hazard_Bootstrap!$F$7:$F$12,MATCH(5,CDS_Quotes!$B$7:$B$12,0)),"")</f>
        <v/>
      </c>
      <c r="D54" s="180">
        <f>IF(OR(B54="",NOT(ISNUMBER(B54))),"",C54-B54)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0" customWidth="1" min="4" max="4"/>
  </cols>
  <sheetData>
    <row r="1">
      <c r="A1" s="176" t="inlineStr">
        <is>
          <t>Curves</t>
        </is>
      </c>
    </row>
    <row r="2">
      <c r="A2" s="177" t="inlineStr">
        <is>
          <t>Discount curve from Curve_Interface. Hazard and survival from the strip. All charts use a numeric time axis, so pillar spacing is to scale.</t>
        </is>
      </c>
    </row>
    <row r="4">
      <c r="A4" s="67" t="inlineStr">
        <is>
          <t>SOFR discount curve</t>
        </is>
      </c>
    </row>
    <row r="5">
      <c r="A5" s="183" t="inlineStr">
        <is>
          <t>Date</t>
        </is>
      </c>
      <c r="B5" s="183" t="inlineStr">
        <is>
          <t>T</t>
        </is>
      </c>
      <c r="C5" s="183" t="inlineStr">
        <is>
          <t>DF</t>
        </is>
      </c>
      <c r="D5" s="183" t="inlineStr">
        <is>
          <t>Zero %</t>
        </is>
      </c>
    </row>
    <row r="6">
      <c r="A6" s="47">
        <f>'Curve_Interface'!K9</f>
        <v/>
      </c>
      <c r="B6" s="50">
        <f>('Curve_Interface'!K9-VAL_DATE)/365</f>
        <v/>
      </c>
      <c r="C6" s="61">
        <f>'Curve_Interface'!L9</f>
        <v/>
      </c>
      <c r="D6" s="33">
        <f>IF(B6&lt;=0,"",-LN(C6)/B6*100)</f>
        <v/>
      </c>
    </row>
    <row r="7">
      <c r="A7" s="47">
        <f>'Curve_Interface'!K10</f>
        <v/>
      </c>
      <c r="B7" s="50">
        <f>('Curve_Interface'!K10-VAL_DATE)/365</f>
        <v/>
      </c>
      <c r="C7" s="61">
        <f>'Curve_Interface'!L10</f>
        <v/>
      </c>
      <c r="D7" s="33">
        <f>IF(B7&lt;=0,"",-LN(C7)/B7*100)</f>
        <v/>
      </c>
    </row>
    <row r="8">
      <c r="A8" s="47">
        <f>'Curve_Interface'!K11</f>
        <v/>
      </c>
      <c r="B8" s="50">
        <f>('Curve_Interface'!K11-VAL_DATE)/365</f>
        <v/>
      </c>
      <c r="C8" s="61">
        <f>'Curve_Interface'!L11</f>
        <v/>
      </c>
      <c r="D8" s="33">
        <f>IF(B8&lt;=0,"",-LN(C8)/B8*100)</f>
        <v/>
      </c>
    </row>
    <row r="9">
      <c r="A9" s="47">
        <f>'Curve_Interface'!K12</f>
        <v/>
      </c>
      <c r="B9" s="50">
        <f>('Curve_Interface'!K12-VAL_DATE)/365</f>
        <v/>
      </c>
      <c r="C9" s="61">
        <f>'Curve_Interface'!L12</f>
        <v/>
      </c>
      <c r="D9" s="33">
        <f>IF(B9&lt;=0,"",-LN(C9)/B9*100)</f>
        <v/>
      </c>
    </row>
    <row r="10">
      <c r="A10" s="47">
        <f>'Curve_Interface'!K13</f>
        <v/>
      </c>
      <c r="B10" s="50">
        <f>('Curve_Interface'!K13-VAL_DATE)/365</f>
        <v/>
      </c>
      <c r="C10" s="61">
        <f>'Curve_Interface'!L13</f>
        <v/>
      </c>
      <c r="D10" s="33">
        <f>IF(B10&lt;=0,"",-LN(C10)/B10*100)</f>
        <v/>
      </c>
    </row>
    <row r="11">
      <c r="A11" s="47">
        <f>'Curve_Interface'!K14</f>
        <v/>
      </c>
      <c r="B11" s="50">
        <f>('Curve_Interface'!K14-VAL_DATE)/365</f>
        <v/>
      </c>
      <c r="C11" s="61">
        <f>'Curve_Interface'!L14</f>
        <v/>
      </c>
      <c r="D11" s="33">
        <f>IF(B11&lt;=0,"",-LN(C11)/B11*100)</f>
        <v/>
      </c>
    </row>
    <row r="12">
      <c r="A12" s="47">
        <f>'Curve_Interface'!K15</f>
        <v/>
      </c>
      <c r="B12" s="50">
        <f>('Curve_Interface'!K15-VAL_DATE)/365</f>
        <v/>
      </c>
      <c r="C12" s="61">
        <f>'Curve_Interface'!L15</f>
        <v/>
      </c>
      <c r="D12" s="33">
        <f>IF(B12&lt;=0,"",-LN(C12)/B12*100)</f>
        <v/>
      </c>
    </row>
    <row r="13">
      <c r="A13" s="47">
        <f>'Curve_Interface'!K16</f>
        <v/>
      </c>
      <c r="B13" s="50">
        <f>('Curve_Interface'!K16-VAL_DATE)/365</f>
        <v/>
      </c>
      <c r="C13" s="61">
        <f>'Curve_Interface'!L16</f>
        <v/>
      </c>
      <c r="D13" s="33">
        <f>IF(B13&lt;=0,"",-LN(C13)/B13*100)</f>
        <v/>
      </c>
    </row>
    <row r="14">
      <c r="A14" s="47">
        <f>'Curve_Interface'!K17</f>
        <v/>
      </c>
      <c r="B14" s="50">
        <f>('Curve_Interface'!K17-VAL_DATE)/365</f>
        <v/>
      </c>
      <c r="C14" s="61">
        <f>'Curve_Interface'!L17</f>
        <v/>
      </c>
      <c r="D14" s="33">
        <f>IF(B14&lt;=0,"",-LN(C14)/B14*100)</f>
        <v/>
      </c>
    </row>
    <row r="15">
      <c r="A15" s="47">
        <f>'Curve_Interface'!K18</f>
        <v/>
      </c>
      <c r="B15" s="50">
        <f>('Curve_Interface'!K18-VAL_DATE)/365</f>
        <v/>
      </c>
      <c r="C15" s="61">
        <f>'Curve_Interface'!L18</f>
        <v/>
      </c>
      <c r="D15" s="33">
        <f>IF(B15&lt;=0,"",-LN(C15)/B15*100)</f>
        <v/>
      </c>
    </row>
    <row r="16">
      <c r="A16" s="47">
        <f>'Curve_Interface'!K19</f>
        <v/>
      </c>
      <c r="B16" s="50">
        <f>('Curve_Interface'!K19-VAL_DATE)/365</f>
        <v/>
      </c>
      <c r="C16" s="61">
        <f>'Curve_Interface'!L19</f>
        <v/>
      </c>
      <c r="D16" s="33">
        <f>IF(B16&lt;=0,"",-LN(C16)/B16*100)</f>
        <v/>
      </c>
    </row>
    <row r="17">
      <c r="A17" s="47">
        <f>'Curve_Interface'!K20</f>
        <v/>
      </c>
      <c r="B17" s="50">
        <f>('Curve_Interface'!K20-VAL_DATE)/365</f>
        <v/>
      </c>
      <c r="C17" s="61">
        <f>'Curve_Interface'!L20</f>
        <v/>
      </c>
      <c r="D17" s="33">
        <f>IF(B17&lt;=0,"",-LN(C17)/B17*100)</f>
        <v/>
      </c>
    </row>
    <row r="18">
      <c r="A18" s="47">
        <f>'Curve_Interface'!K21</f>
        <v/>
      </c>
      <c r="B18" s="50">
        <f>('Curve_Interface'!K21-VAL_DATE)/365</f>
        <v/>
      </c>
      <c r="C18" s="61">
        <f>'Curve_Interface'!L21</f>
        <v/>
      </c>
      <c r="D18" s="33">
        <f>IF(B18&lt;=0,"",-LN(C18)/B18*100)</f>
        <v/>
      </c>
    </row>
    <row r="19">
      <c r="A19" s="47">
        <f>'Curve_Interface'!K22</f>
        <v/>
      </c>
      <c r="B19" s="50">
        <f>('Curve_Interface'!K22-VAL_DATE)/365</f>
        <v/>
      </c>
      <c r="C19" s="61">
        <f>'Curve_Interface'!L22</f>
        <v/>
      </c>
      <c r="D19" s="33">
        <f>IF(B19&lt;=0,"",-LN(C19)/B19*100)</f>
        <v/>
      </c>
    </row>
    <row r="20">
      <c r="A20" s="47">
        <f>'Curve_Interface'!K23</f>
        <v/>
      </c>
      <c r="B20" s="50">
        <f>('Curve_Interface'!K23-VAL_DATE)/365</f>
        <v/>
      </c>
      <c r="C20" s="61">
        <f>'Curve_Interface'!L23</f>
        <v/>
      </c>
      <c r="D20" s="33">
        <f>IF(B20&lt;=0,"",-LN(C20)/B20*100)</f>
        <v/>
      </c>
    </row>
    <row r="21">
      <c r="A21" s="47">
        <f>'Curve_Interface'!K24</f>
        <v/>
      </c>
      <c r="B21" s="50">
        <f>('Curve_Interface'!K24-VAL_DATE)/365</f>
        <v/>
      </c>
      <c r="C21" s="61">
        <f>'Curve_Interface'!L24</f>
        <v/>
      </c>
      <c r="D21" s="33">
        <f>IF(B21&lt;=0,"",-LN(C21)/B21*100)</f>
        <v/>
      </c>
    </row>
    <row r="22">
      <c r="A22" s="47">
        <f>'Curve_Interface'!K25</f>
        <v/>
      </c>
      <c r="B22" s="50">
        <f>('Curve_Interface'!K25-VAL_DATE)/365</f>
        <v/>
      </c>
      <c r="C22" s="61">
        <f>'Curve_Interface'!L25</f>
        <v/>
      </c>
      <c r="D22" s="33">
        <f>IF(B22&lt;=0,"",-LN(C22)/B22*100)</f>
        <v/>
      </c>
    </row>
    <row r="23">
      <c r="A23" s="47">
        <f>'Curve_Interface'!K26</f>
        <v/>
      </c>
      <c r="B23" s="50">
        <f>('Curve_Interface'!K26-VAL_DATE)/365</f>
        <v/>
      </c>
      <c r="C23" s="61">
        <f>'Curve_Interface'!L26</f>
        <v/>
      </c>
      <c r="D23" s="33">
        <f>IF(B23&lt;=0,"",-LN(C23)/B23*100)</f>
        <v/>
      </c>
    </row>
    <row r="24">
      <c r="A24" s="47">
        <f>'Curve_Interface'!K27</f>
        <v/>
      </c>
      <c r="B24" s="50">
        <f>('Curve_Interface'!K27-VAL_DATE)/365</f>
        <v/>
      </c>
      <c r="C24" s="61">
        <f>'Curve_Interface'!L27</f>
        <v/>
      </c>
      <c r="D24" s="33">
        <f>IF(B24&lt;=0,"",-LN(C24)/B24*100)</f>
        <v/>
      </c>
    </row>
    <row r="25">
      <c r="A25" s="47">
        <f>'Curve_Interface'!K28</f>
        <v/>
      </c>
      <c r="B25" s="50">
        <f>('Curve_Interface'!K28-VAL_DATE)/365</f>
        <v/>
      </c>
      <c r="C25" s="61">
        <f>'Curve_Interface'!L28</f>
        <v/>
      </c>
      <c r="D25" s="33">
        <f>IF(B25&lt;=0,"",-LN(C25)/B25*100)</f>
        <v/>
      </c>
    </row>
    <row r="26">
      <c r="A26" s="47">
        <f>'Curve_Interface'!K29</f>
        <v/>
      </c>
      <c r="B26" s="50">
        <f>('Curve_Interface'!K29-VAL_DATE)/365</f>
        <v/>
      </c>
      <c r="C26" s="61">
        <f>'Curve_Interface'!L29</f>
        <v/>
      </c>
      <c r="D26" s="33">
        <f>IF(B26&lt;=0,"",-LN(C26)/B26*100)</f>
        <v/>
      </c>
    </row>
    <row r="27">
      <c r="A27" s="47">
        <f>'Curve_Interface'!K30</f>
        <v/>
      </c>
      <c r="B27" s="50">
        <f>('Curve_Interface'!K30-VAL_DATE)/365</f>
        <v/>
      </c>
      <c r="C27" s="61">
        <f>'Curve_Interface'!L30</f>
        <v/>
      </c>
      <c r="D27" s="33">
        <f>IF(B27&lt;=0,"",-LN(C27)/B27*100)</f>
        <v/>
      </c>
    </row>
    <row r="28">
      <c r="A28" s="47">
        <f>'Curve_Interface'!K31</f>
        <v/>
      </c>
      <c r="B28" s="50">
        <f>('Curve_Interface'!K31-VAL_DATE)/365</f>
        <v/>
      </c>
      <c r="C28" s="61">
        <f>'Curve_Interface'!L31</f>
        <v/>
      </c>
      <c r="D28" s="33">
        <f>IF(B28&lt;=0,"",-LN(C28)/B28*100)</f>
        <v/>
      </c>
    </row>
    <row r="29">
      <c r="A29" s="47">
        <f>'Curve_Interface'!K32</f>
        <v/>
      </c>
      <c r="B29" s="50">
        <f>('Curve_Interface'!K32-VAL_DATE)/365</f>
        <v/>
      </c>
      <c r="C29" s="61">
        <f>'Curve_Interface'!L32</f>
        <v/>
      </c>
      <c r="D29" s="33">
        <f>IF(B29&lt;=0,"",-LN(C29)/B29*100)</f>
        <v/>
      </c>
    </row>
    <row r="30">
      <c r="A30" s="47">
        <f>'Curve_Interface'!K33</f>
        <v/>
      </c>
      <c r="B30" s="50">
        <f>('Curve_Interface'!K33-VAL_DATE)/365</f>
        <v/>
      </c>
      <c r="C30" s="61">
        <f>'Curve_Interface'!L33</f>
        <v/>
      </c>
      <c r="D30" s="33">
        <f>IF(B30&lt;=0,"",-LN(C30)/B30*100)</f>
        <v/>
      </c>
    </row>
    <row r="31">
      <c r="A31" s="47">
        <f>'Curve_Interface'!K34</f>
        <v/>
      </c>
      <c r="B31" s="50">
        <f>('Curve_Interface'!K34-VAL_DATE)/365</f>
        <v/>
      </c>
      <c r="C31" s="61">
        <f>'Curve_Interface'!L34</f>
        <v/>
      </c>
      <c r="D31" s="33">
        <f>IF(B31&lt;=0,"",-LN(C31)/B31*100)</f>
        <v/>
      </c>
    </row>
    <row r="32">
      <c r="A32" s="47">
        <f>'Curve_Interface'!K35</f>
        <v/>
      </c>
      <c r="B32" s="50">
        <f>('Curve_Interface'!K35-VAL_DATE)/365</f>
        <v/>
      </c>
      <c r="C32" s="61">
        <f>'Curve_Interface'!L35</f>
        <v/>
      </c>
      <c r="D32" s="33">
        <f>IF(B32&lt;=0,"",-LN(C32)/B32*100)</f>
        <v/>
      </c>
    </row>
    <row r="33">
      <c r="A33" s="47">
        <f>'Curve_Interface'!K36</f>
        <v/>
      </c>
      <c r="B33" s="50">
        <f>('Curve_Interface'!K36-VAL_DATE)/365</f>
        <v/>
      </c>
      <c r="C33" s="61">
        <f>'Curve_Interface'!L36</f>
        <v/>
      </c>
      <c r="D33" s="33">
        <f>IF(B33&lt;=0,"",-LN(C33)/B33*100)</f>
        <v/>
      </c>
    </row>
    <row r="34">
      <c r="A34" s="47">
        <f>'Curve_Interface'!K37</f>
        <v/>
      </c>
      <c r="B34" s="50">
        <f>('Curve_Interface'!K37-VAL_DATE)/365</f>
        <v/>
      </c>
      <c r="C34" s="61">
        <f>'Curve_Interface'!L37</f>
        <v/>
      </c>
      <c r="D34" s="33">
        <f>IF(B34&lt;=0,"",-LN(C34)/B34*100)</f>
        <v/>
      </c>
    </row>
    <row r="35">
      <c r="A35" s="47">
        <f>'Curve_Interface'!K38</f>
        <v/>
      </c>
      <c r="B35" s="50">
        <f>('Curve_Interface'!K38-VAL_DATE)/365</f>
        <v/>
      </c>
      <c r="C35" s="61">
        <f>'Curve_Interface'!L38</f>
        <v/>
      </c>
      <c r="D35" s="33">
        <f>IF(B35&lt;=0,"",-LN(C35)/B35*100)</f>
        <v/>
      </c>
    </row>
    <row r="36">
      <c r="A36" s="47">
        <f>'Curve_Interface'!K39</f>
        <v/>
      </c>
      <c r="B36" s="50">
        <f>('Curve_Interface'!K39-VAL_DATE)/365</f>
        <v/>
      </c>
      <c r="C36" s="61">
        <f>'Curve_Interface'!L39</f>
        <v/>
      </c>
      <c r="D36" s="33">
        <f>IF(B36&lt;=0,"",-LN(C36)/B36*100)</f>
        <v/>
      </c>
    </row>
    <row r="37">
      <c r="A37" s="47">
        <f>'Curve_Interface'!K40</f>
        <v/>
      </c>
      <c r="B37" s="50">
        <f>('Curve_Interface'!K40-VAL_DATE)/365</f>
        <v/>
      </c>
      <c r="C37" s="61">
        <f>'Curve_Interface'!L40</f>
        <v/>
      </c>
      <c r="D37" s="33">
        <f>IF(B37&lt;=0,"",-LN(C37)/B37*100)</f>
        <v/>
      </c>
    </row>
    <row r="38">
      <c r="A38" s="47">
        <f>'Curve_Interface'!K41</f>
        <v/>
      </c>
      <c r="B38" s="50">
        <f>('Curve_Interface'!K41-VAL_DATE)/365</f>
        <v/>
      </c>
      <c r="C38" s="61">
        <f>'Curve_Interface'!L41</f>
        <v/>
      </c>
      <c r="D38" s="33">
        <f>IF(B38&lt;=0,"",-LN(C38)/B38*100)</f>
        <v/>
      </c>
    </row>
    <row r="39">
      <c r="A39" s="47">
        <f>'Curve_Interface'!K42</f>
        <v/>
      </c>
      <c r="B39" s="50">
        <f>('Curve_Interface'!K42-VAL_DATE)/365</f>
        <v/>
      </c>
      <c r="C39" s="61">
        <f>'Curve_Interface'!L42</f>
        <v/>
      </c>
      <c r="D39" s="33">
        <f>IF(B39&lt;=0,"",-LN(C39)/B39*100)</f>
        <v/>
      </c>
    </row>
    <row r="40">
      <c r="A40" s="47">
        <f>'Curve_Interface'!K43</f>
        <v/>
      </c>
      <c r="B40" s="50">
        <f>('Curve_Interface'!K43-VAL_DATE)/365</f>
        <v/>
      </c>
      <c r="C40" s="61">
        <f>'Curve_Interface'!L43</f>
        <v/>
      </c>
      <c r="D40" s="33">
        <f>IF(B40&lt;=0,"",-LN(C40)/B40*100)</f>
        <v/>
      </c>
    </row>
    <row r="41">
      <c r="A41" s="47">
        <f>'Curve_Interface'!K44</f>
        <v/>
      </c>
      <c r="B41" s="50">
        <f>('Curve_Interface'!K44-VAL_DATE)/365</f>
        <v/>
      </c>
      <c r="C41" s="61">
        <f>'Curve_Interface'!L44</f>
        <v/>
      </c>
      <c r="D41" s="33">
        <f>IF(B41&lt;=0,"",-LN(C41)/B41*100)</f>
        <v/>
      </c>
    </row>
    <row r="42">
      <c r="A42" s="47">
        <f>'Curve_Interface'!K45</f>
        <v/>
      </c>
      <c r="B42" s="50">
        <f>('Curve_Interface'!K45-VAL_DATE)/365</f>
        <v/>
      </c>
      <c r="C42" s="61">
        <f>'Curve_Interface'!L45</f>
        <v/>
      </c>
      <c r="D42" s="33">
        <f>IF(B42&lt;=0,"",-LN(C42)/B42*100)</f>
        <v/>
      </c>
    </row>
    <row r="43">
      <c r="A43" s="47">
        <f>'Curve_Interface'!K46</f>
        <v/>
      </c>
      <c r="B43" s="50">
        <f>('Curve_Interface'!K46-VAL_DATE)/365</f>
        <v/>
      </c>
      <c r="C43" s="61">
        <f>'Curve_Interface'!L46</f>
        <v/>
      </c>
      <c r="D43" s="33">
        <f>IF(B43&lt;=0,"",-LN(C43)/B43*100)</f>
        <v/>
      </c>
    </row>
    <row r="44">
      <c r="A44" s="47">
        <f>'Curve_Interface'!K47</f>
        <v/>
      </c>
      <c r="B44" s="50">
        <f>('Curve_Interface'!K47-VAL_DATE)/365</f>
        <v/>
      </c>
      <c r="C44" s="61">
        <f>'Curve_Interface'!L47</f>
        <v/>
      </c>
      <c r="D44" s="33">
        <f>IF(B44&lt;=0,"",-LN(C44)/B44*100)</f>
        <v/>
      </c>
    </row>
    <row r="45">
      <c r="A45" s="47">
        <f>'Curve_Interface'!K48</f>
        <v/>
      </c>
      <c r="B45" s="50">
        <f>('Curve_Interface'!K48-VAL_DATE)/365</f>
        <v/>
      </c>
      <c r="C45" s="61">
        <f>'Curve_Interface'!L48</f>
        <v/>
      </c>
      <c r="D45" s="33">
        <f>IF(B45&lt;=0,"",-LN(C45)/B45*100)</f>
        <v/>
      </c>
    </row>
    <row r="46">
      <c r="A46" s="47">
        <f>'Curve_Interface'!K49</f>
        <v/>
      </c>
      <c r="B46" s="50">
        <f>('Curve_Interface'!K49-VAL_DATE)/365</f>
        <v/>
      </c>
      <c r="C46" s="61">
        <f>'Curve_Interface'!L49</f>
        <v/>
      </c>
      <c r="D46" s="33">
        <f>IF(B46&lt;=0,"",-LN(C46)/B46*100)</f>
        <v/>
      </c>
    </row>
    <row r="47">
      <c r="A47" s="47">
        <f>'Curve_Interface'!K50</f>
        <v/>
      </c>
      <c r="B47" s="50">
        <f>('Curve_Interface'!K50-VAL_DATE)/365</f>
        <v/>
      </c>
      <c r="C47" s="61">
        <f>'Curve_Interface'!L50</f>
        <v/>
      </c>
      <c r="D47" s="33">
        <f>IF(B47&lt;=0,"",-LN(C47)/B47*100)</f>
        <v/>
      </c>
    </row>
    <row r="48">
      <c r="A48" s="47">
        <f>'Curve_Interface'!K51</f>
        <v/>
      </c>
      <c r="B48" s="50">
        <f>('Curve_Interface'!K51-VAL_DATE)/365</f>
        <v/>
      </c>
      <c r="C48" s="61">
        <f>'Curve_Interface'!L51</f>
        <v/>
      </c>
      <c r="D48" s="33">
        <f>IF(B48&lt;=0,"",-LN(C48)/B48*100)</f>
        <v/>
      </c>
    </row>
    <row r="49">
      <c r="A49" s="47">
        <f>'Curve_Interface'!K52</f>
        <v/>
      </c>
      <c r="B49" s="50">
        <f>('Curve_Interface'!K52-VAL_DATE)/365</f>
        <v/>
      </c>
      <c r="C49" s="61">
        <f>'Curve_Interface'!L52</f>
        <v/>
      </c>
      <c r="D49" s="33">
        <f>IF(B49&lt;=0,"",-LN(C49)/B49*100)</f>
        <v/>
      </c>
    </row>
    <row r="50">
      <c r="A50" s="47">
        <f>'Curve_Interface'!K53</f>
        <v/>
      </c>
      <c r="B50" s="50">
        <f>('Curve_Interface'!K53-VAL_DATE)/365</f>
        <v/>
      </c>
      <c r="C50" s="61">
        <f>'Curve_Interface'!L53</f>
        <v/>
      </c>
      <c r="D50" s="33">
        <f>IF(B50&lt;=0,"",-LN(C50)/B50*100)</f>
        <v/>
      </c>
    </row>
    <row r="51">
      <c r="A51" s="47">
        <f>'Curve_Interface'!K54</f>
        <v/>
      </c>
      <c r="B51" s="50">
        <f>('Curve_Interface'!K54-VAL_DATE)/365</f>
        <v/>
      </c>
      <c r="C51" s="61">
        <f>'Curve_Interface'!L54</f>
        <v/>
      </c>
      <c r="D51" s="33">
        <f>IF(B51&lt;=0,"",-LN(C51)/B51*100)</f>
        <v/>
      </c>
    </row>
    <row r="52">
      <c r="A52" s="47">
        <f>'Curve_Interface'!K55</f>
        <v/>
      </c>
      <c r="B52" s="50">
        <f>('Curve_Interface'!K55-VAL_DATE)/365</f>
        <v/>
      </c>
      <c r="C52" s="61">
        <f>'Curve_Interface'!L55</f>
        <v/>
      </c>
      <c r="D52" s="33">
        <f>IF(B52&lt;=0,"",-LN(C52)/B52*100)</f>
        <v/>
      </c>
    </row>
    <row r="53">
      <c r="A53" s="47">
        <f>'Curve_Interface'!K56</f>
        <v/>
      </c>
      <c r="B53" s="50">
        <f>('Curve_Interface'!K56-VAL_DATE)/365</f>
        <v/>
      </c>
      <c r="C53" s="61">
        <f>'Curve_Interface'!L56</f>
        <v/>
      </c>
      <c r="D53" s="33">
        <f>IF(B53&lt;=0,"",-LN(C53)/B53*100)</f>
        <v/>
      </c>
    </row>
    <row r="54">
      <c r="A54" s="47">
        <f>'Curve_Interface'!K57</f>
        <v/>
      </c>
      <c r="B54" s="50">
        <f>('Curve_Interface'!K57-VAL_DATE)/365</f>
        <v/>
      </c>
      <c r="C54" s="61">
        <f>'Curve_Interface'!L57</f>
        <v/>
      </c>
      <c r="D54" s="33">
        <f>IF(B54&lt;=0,"",-LN(C54)/B54*100)</f>
        <v/>
      </c>
    </row>
    <row r="55">
      <c r="A55" s="47">
        <f>'Curve_Interface'!K58</f>
        <v/>
      </c>
      <c r="B55" s="50">
        <f>('Curve_Interface'!K58-VAL_DATE)/365</f>
        <v/>
      </c>
      <c r="C55" s="61">
        <f>'Curve_Interface'!L58</f>
        <v/>
      </c>
      <c r="D55" s="33">
        <f>IF(B55&lt;=0,"",-LN(C55)/B55*100)</f>
        <v/>
      </c>
    </row>
    <row r="56">
      <c r="A56" s="47">
        <f>'Curve_Interface'!K59</f>
        <v/>
      </c>
      <c r="B56" s="50">
        <f>('Curve_Interface'!K59-VAL_DATE)/365</f>
        <v/>
      </c>
      <c r="C56" s="61">
        <f>'Curve_Interface'!L59</f>
        <v/>
      </c>
      <c r="D56" s="33">
        <f>IF(B56&lt;=0,"",-LN(C56)/B56*100)</f>
        <v/>
      </c>
    </row>
    <row r="57">
      <c r="A57" s="47">
        <f>'Curve_Interface'!K60</f>
        <v/>
      </c>
      <c r="B57" s="50">
        <f>('Curve_Interface'!K60-VAL_DATE)/365</f>
        <v/>
      </c>
      <c r="C57" s="61">
        <f>'Curve_Interface'!L60</f>
        <v/>
      </c>
      <c r="D57" s="33">
        <f>IF(B57&lt;=0,"",-LN(C57)/B57*100)</f>
        <v/>
      </c>
    </row>
    <row r="58">
      <c r="A58" s="47">
        <f>'Curve_Interface'!K61</f>
        <v/>
      </c>
      <c r="B58" s="50">
        <f>('Curve_Interface'!K61-VAL_DATE)/365</f>
        <v/>
      </c>
      <c r="C58" s="61">
        <f>'Curve_Interface'!L61</f>
        <v/>
      </c>
      <c r="D58" s="33">
        <f>IF(B58&lt;=0,"",-LN(C58)/B58*100)</f>
        <v/>
      </c>
    </row>
    <row r="59">
      <c r="A59" s="47">
        <f>'Curve_Interface'!K62</f>
        <v/>
      </c>
      <c r="B59" s="50">
        <f>('Curve_Interface'!K62-VAL_DATE)/365</f>
        <v/>
      </c>
      <c r="C59" s="61">
        <f>'Curve_Interface'!L62</f>
        <v/>
      </c>
      <c r="D59" s="33">
        <f>IF(B59&lt;=0,"",-LN(C59)/B59*100)</f>
        <v/>
      </c>
    </row>
    <row r="60">
      <c r="A60" s="47">
        <f>'Curve_Interface'!K63</f>
        <v/>
      </c>
      <c r="B60" s="50">
        <f>('Curve_Interface'!K63-VAL_DATE)/365</f>
        <v/>
      </c>
      <c r="C60" s="61">
        <f>'Curve_Interface'!L63</f>
        <v/>
      </c>
      <c r="D60" s="33">
        <f>IF(B60&lt;=0,"",-LN(C60)/B60*100)</f>
        <v/>
      </c>
    </row>
    <row r="61">
      <c r="A61" s="47">
        <f>'Curve_Interface'!K64</f>
        <v/>
      </c>
      <c r="B61" s="50">
        <f>('Curve_Interface'!K64-VAL_DATE)/365</f>
        <v/>
      </c>
      <c r="C61" s="61">
        <f>'Curve_Interface'!L64</f>
        <v/>
      </c>
      <c r="D61" s="33">
        <f>IF(B61&lt;=0,"",-LN(C61)/B61*100)</f>
        <v/>
      </c>
    </row>
    <row r="62">
      <c r="A62" s="47">
        <f>'Curve_Interface'!K65</f>
        <v/>
      </c>
      <c r="B62" s="50">
        <f>('Curve_Interface'!K65-VAL_DATE)/365</f>
        <v/>
      </c>
      <c r="C62" s="61">
        <f>'Curve_Interface'!L65</f>
        <v/>
      </c>
      <c r="D62" s="33">
        <f>IF(B62&lt;=0,"",-LN(C62)/B62*100)</f>
        <v/>
      </c>
    </row>
    <row r="63">
      <c r="A63" s="47">
        <f>'Curve_Interface'!K66</f>
        <v/>
      </c>
      <c r="B63" s="50">
        <f>('Curve_Interface'!K66-VAL_DATE)/365</f>
        <v/>
      </c>
      <c r="C63" s="61">
        <f>'Curve_Interface'!L66</f>
        <v/>
      </c>
      <c r="D63" s="33">
        <f>IF(B63&lt;=0,"",-LN(C63)/B63*100)</f>
        <v/>
      </c>
    </row>
    <row r="64">
      <c r="A64" s="47">
        <f>'Curve_Interface'!K67</f>
        <v/>
      </c>
      <c r="B64" s="50">
        <f>('Curve_Interface'!K67-VAL_DATE)/365</f>
        <v/>
      </c>
      <c r="C64" s="61">
        <f>'Curve_Interface'!L67</f>
        <v/>
      </c>
      <c r="D64" s="33">
        <f>IF(B64&lt;=0,"",-LN(C64)/B64*100)</f>
        <v/>
      </c>
    </row>
    <row r="65">
      <c r="A65" s="47">
        <f>'Curve_Interface'!K68</f>
        <v/>
      </c>
      <c r="B65" s="50">
        <f>('Curve_Interface'!K68-VAL_DATE)/365</f>
        <v/>
      </c>
      <c r="C65" s="61">
        <f>'Curve_Interface'!L68</f>
        <v/>
      </c>
      <c r="D65" s="33">
        <f>IF(B65&lt;=0,"",-LN(C65)/B65*100)</f>
        <v/>
      </c>
    </row>
    <row r="66">
      <c r="A66" s="47">
        <f>'Curve_Interface'!K69</f>
        <v/>
      </c>
      <c r="B66" s="50">
        <f>('Curve_Interface'!K69-VAL_DATE)/365</f>
        <v/>
      </c>
      <c r="C66" s="61">
        <f>'Curve_Interface'!L69</f>
        <v/>
      </c>
      <c r="D66" s="33">
        <f>IF(B66&lt;=0,"",-LN(C66)/B66*100)</f>
        <v/>
      </c>
    </row>
    <row r="67">
      <c r="A67" s="47">
        <f>'Curve_Interface'!K70</f>
        <v/>
      </c>
      <c r="B67" s="50">
        <f>('Curve_Interface'!K70-VAL_DATE)/365</f>
        <v/>
      </c>
      <c r="C67" s="61">
        <f>'Curve_Interface'!L70</f>
        <v/>
      </c>
      <c r="D67" s="33">
        <f>IF(B67&lt;=0,"",-LN(C67)/B67*100)</f>
        <v/>
      </c>
    </row>
    <row r="68">
      <c r="A68" s="47">
        <f>'Curve_Interface'!K71</f>
        <v/>
      </c>
      <c r="B68" s="50">
        <f>('Curve_Interface'!K71-VAL_DATE)/365</f>
        <v/>
      </c>
      <c r="C68" s="61">
        <f>'Curve_Interface'!L71</f>
        <v/>
      </c>
      <c r="D68" s="33">
        <f>IF(B68&lt;=0,"",-LN(C68)/B68*100)</f>
        <v/>
      </c>
    </row>
    <row r="69">
      <c r="A69" s="47">
        <f>'Curve_Interface'!K72</f>
        <v/>
      </c>
      <c r="B69" s="50">
        <f>('Curve_Interface'!K72-VAL_DATE)/365</f>
        <v/>
      </c>
      <c r="C69" s="61">
        <f>'Curve_Interface'!L72</f>
        <v/>
      </c>
      <c r="D69" s="33">
        <f>IF(B69&lt;=0,"",-LN(C69)/B69*100)</f>
        <v/>
      </c>
    </row>
    <row r="70">
      <c r="A70" s="47">
        <f>'Curve_Interface'!K73</f>
        <v/>
      </c>
      <c r="B70" s="50">
        <f>('Curve_Interface'!K73-VAL_DATE)/365</f>
        <v/>
      </c>
      <c r="C70" s="61">
        <f>'Curve_Interface'!L73</f>
        <v/>
      </c>
      <c r="D70" s="33">
        <f>IF(B70&lt;=0,"",-LN(C70)/B70*100)</f>
        <v/>
      </c>
    </row>
    <row r="73">
      <c r="A73" s="67" t="inlineStr">
        <is>
          <t>Hazard and survival</t>
        </is>
      </c>
    </row>
    <row r="74">
      <c r="A74" s="183" t="inlineStr">
        <is>
          <t>Tenor</t>
        </is>
      </c>
      <c r="B74" s="183" t="inlineStr">
        <is>
          <t>Hazard %</t>
        </is>
      </c>
      <c r="C74" s="183" t="inlineStr">
        <is>
          <t>Survival Q</t>
        </is>
      </c>
      <c r="D74" s="183" t="inlineStr">
        <is>
          <t>Default prob 1-Q</t>
        </is>
      </c>
      <c r="E74" s="183" t="inlineStr">
        <is>
          <t>Years</t>
        </is>
      </c>
    </row>
    <row r="75">
      <c r="A75">
        <f>Hazard_Bootstrap!A7</f>
        <v/>
      </c>
      <c r="B75" s="33">
        <f>Hazard_Bootstrap!D7*100</f>
        <v/>
      </c>
      <c r="C75" s="33">
        <f>Hazard_Bootstrap!E7</f>
        <v/>
      </c>
      <c r="D75" s="33">
        <f>Hazard_Bootstrap!F7</f>
        <v/>
      </c>
      <c r="E75" s="32">
        <f>CDS_Quotes!B7</f>
        <v/>
      </c>
    </row>
    <row r="76">
      <c r="A76">
        <f>Hazard_Bootstrap!A8</f>
        <v/>
      </c>
      <c r="B76" s="33">
        <f>Hazard_Bootstrap!D8*100</f>
        <v/>
      </c>
      <c r="C76" s="33">
        <f>Hazard_Bootstrap!E8</f>
        <v/>
      </c>
      <c r="D76" s="33">
        <f>Hazard_Bootstrap!F8</f>
        <v/>
      </c>
      <c r="E76" s="32">
        <f>CDS_Quotes!B8</f>
        <v/>
      </c>
    </row>
    <row r="77">
      <c r="A77">
        <f>Hazard_Bootstrap!A9</f>
        <v/>
      </c>
      <c r="B77" s="33">
        <f>Hazard_Bootstrap!D9*100</f>
        <v/>
      </c>
      <c r="C77" s="33">
        <f>Hazard_Bootstrap!E9</f>
        <v/>
      </c>
      <c r="D77" s="33">
        <f>Hazard_Bootstrap!F9</f>
        <v/>
      </c>
      <c r="E77" s="32">
        <f>CDS_Quotes!B9</f>
        <v/>
      </c>
    </row>
    <row r="78">
      <c r="A78">
        <f>Hazard_Bootstrap!A10</f>
        <v/>
      </c>
      <c r="B78" s="33">
        <f>Hazard_Bootstrap!D10*100</f>
        <v/>
      </c>
      <c r="C78" s="33">
        <f>Hazard_Bootstrap!E10</f>
        <v/>
      </c>
      <c r="D78" s="33">
        <f>Hazard_Bootstrap!F10</f>
        <v/>
      </c>
      <c r="E78" s="32">
        <f>CDS_Quotes!B10</f>
        <v/>
      </c>
    </row>
    <row r="79">
      <c r="A79">
        <f>Hazard_Bootstrap!A11</f>
        <v/>
      </c>
      <c r="B79" s="33">
        <f>Hazard_Bootstrap!D11*100</f>
        <v/>
      </c>
      <c r="C79" s="33">
        <f>Hazard_Bootstrap!E11</f>
        <v/>
      </c>
      <c r="D79" s="33">
        <f>Hazard_Bootstrap!F11</f>
        <v/>
      </c>
      <c r="E79" s="32">
        <f>CDS_Quotes!B11</f>
        <v/>
      </c>
    </row>
    <row r="80">
      <c r="A80">
        <f>Hazard_Bootstrap!A12</f>
        <v/>
      </c>
      <c r="B80" s="33">
        <f>Hazard_Bootstrap!D12*100</f>
        <v/>
      </c>
      <c r="C80" s="33">
        <f>Hazard_Bootstrap!E12</f>
        <v/>
      </c>
      <c r="D80" s="33">
        <f>Hazard_Bootstrap!F12</f>
        <v/>
      </c>
      <c r="E80" s="32">
        <f>CDS_Quotes!B12</f>
        <v/>
      </c>
    </row>
    <row r="83">
      <c r="A83" s="67" t="inlineStr">
        <is>
          <t>Spread term structure</t>
        </is>
      </c>
    </row>
    <row r="84">
      <c r="A84" s="183" t="inlineStr">
        <is>
          <t>Tenor</t>
        </is>
      </c>
      <c r="B84" s="183" t="inlineStr">
        <is>
          <t>Market bp</t>
        </is>
      </c>
      <c r="C84" s="183" t="inlineStr">
        <is>
          <t>Model bp</t>
        </is>
      </c>
      <c r="D84" s="183" t="inlineStr">
        <is>
          <t>Diff bp</t>
        </is>
      </c>
      <c r="E84" s="183" t="inlineStr">
        <is>
          <t>Traded spread</t>
        </is>
      </c>
      <c r="F84" s="183" t="inlineStr">
        <is>
          <t>Years</t>
        </is>
      </c>
    </row>
    <row r="85">
      <c r="A85">
        <f>Hazard_Bootstrap!A7</f>
        <v/>
      </c>
      <c r="B85" s="50">
        <f>Hazard_Bootstrap!C7</f>
        <v/>
      </c>
      <c r="C85" s="50">
        <f>Hazard_Bootstrap!I7</f>
        <v/>
      </c>
      <c r="D85" s="33">
        <f>Hazard_Bootstrap!J7</f>
        <v/>
      </c>
      <c r="E85" s="50">
        <f>CDS_Pricer!$B$15</f>
        <v/>
      </c>
      <c r="F85" s="32">
        <f>CDS_Quotes!B7</f>
        <v/>
      </c>
    </row>
    <row r="86">
      <c r="A86">
        <f>Hazard_Bootstrap!A8</f>
        <v/>
      </c>
      <c r="B86" s="50">
        <f>Hazard_Bootstrap!C8</f>
        <v/>
      </c>
      <c r="C86" s="50">
        <f>Hazard_Bootstrap!I8</f>
        <v/>
      </c>
      <c r="D86" s="33">
        <f>Hazard_Bootstrap!J8</f>
        <v/>
      </c>
      <c r="E86" s="50">
        <f>CDS_Pricer!$B$15</f>
        <v/>
      </c>
      <c r="F86" s="32">
        <f>CDS_Quotes!B8</f>
        <v/>
      </c>
    </row>
    <row r="87">
      <c r="A87">
        <f>Hazard_Bootstrap!A9</f>
        <v/>
      </c>
      <c r="B87" s="50">
        <f>Hazard_Bootstrap!C9</f>
        <v/>
      </c>
      <c r="C87" s="50">
        <f>Hazard_Bootstrap!I9</f>
        <v/>
      </c>
      <c r="D87" s="33">
        <f>Hazard_Bootstrap!J9</f>
        <v/>
      </c>
      <c r="E87" s="50">
        <f>CDS_Pricer!$B$15</f>
        <v/>
      </c>
      <c r="F87" s="32">
        <f>CDS_Quotes!B9</f>
        <v/>
      </c>
    </row>
    <row r="88">
      <c r="A88">
        <f>Hazard_Bootstrap!A10</f>
        <v/>
      </c>
      <c r="B88" s="50">
        <f>Hazard_Bootstrap!C10</f>
        <v/>
      </c>
      <c r="C88" s="50">
        <f>Hazard_Bootstrap!I10</f>
        <v/>
      </c>
      <c r="D88" s="33">
        <f>Hazard_Bootstrap!J10</f>
        <v/>
      </c>
      <c r="E88" s="50">
        <f>CDS_Pricer!$B$15</f>
        <v/>
      </c>
      <c r="F88" s="32">
        <f>CDS_Quotes!B10</f>
        <v/>
      </c>
    </row>
    <row r="89">
      <c r="A89">
        <f>Hazard_Bootstrap!A11</f>
        <v/>
      </c>
      <c r="B89" s="50">
        <f>Hazard_Bootstrap!C11</f>
        <v/>
      </c>
      <c r="C89" s="50">
        <f>Hazard_Bootstrap!I11</f>
        <v/>
      </c>
      <c r="D89" s="33">
        <f>Hazard_Bootstrap!J11</f>
        <v/>
      </c>
      <c r="E89" s="50">
        <f>CDS_Pricer!$B$15</f>
        <v/>
      </c>
      <c r="F89" s="32">
        <f>CDS_Quotes!B11</f>
        <v/>
      </c>
    </row>
    <row r="90">
      <c r="A90">
        <f>Hazard_Bootstrap!A12</f>
        <v/>
      </c>
      <c r="B90" s="50">
        <f>Hazard_Bootstrap!C12</f>
        <v/>
      </c>
      <c r="C90" s="50">
        <f>Hazard_Bootstrap!I12</f>
        <v/>
      </c>
      <c r="D90" s="33">
        <f>Hazard_Bootstrap!J12</f>
        <v/>
      </c>
      <c r="E90" s="50">
        <f>CDS_Pricer!$B$15</f>
        <v/>
      </c>
      <c r="F90" s="32">
        <f>CDS_Quotes!B12</f>
        <v/>
      </c>
    </row>
    <row r="98">
      <c r="A98" s="67" t="inlineStr">
        <is>
          <t>Hazard step coordinates (drawing aid)</t>
        </is>
      </c>
      <c r="C98" s="177" t="inlineStr">
        <is>
          <t>piecewise constant per p.8, so it is drawn flat-then-jump</t>
        </is>
      </c>
    </row>
    <row r="99">
      <c r="A99" s="183" t="inlineStr">
        <is>
          <t>t</t>
        </is>
      </c>
      <c r="B99" s="183" t="inlineStr">
        <is>
          <t>hazard %</t>
        </is>
      </c>
    </row>
    <row r="100">
      <c r="A100" s="50">
        <f>0</f>
        <v/>
      </c>
      <c r="B100" s="33">
        <f>$B$75</f>
        <v/>
      </c>
    </row>
    <row r="101">
      <c r="A101" s="50">
        <f>$E$75</f>
        <v/>
      </c>
      <c r="B101" s="33">
        <f>$B$75</f>
        <v/>
      </c>
    </row>
    <row r="102">
      <c r="A102" s="50">
        <f>$E$75</f>
        <v/>
      </c>
      <c r="B102" s="33">
        <f>$B$76</f>
        <v/>
      </c>
    </row>
    <row r="103">
      <c r="A103" s="50">
        <f>$E$76</f>
        <v/>
      </c>
      <c r="B103" s="33">
        <f>$B$76</f>
        <v/>
      </c>
    </row>
    <row r="104">
      <c r="A104" s="50">
        <f>$E$76</f>
        <v/>
      </c>
      <c r="B104" s="33">
        <f>$B$77</f>
        <v/>
      </c>
    </row>
    <row r="105">
      <c r="A105" s="50">
        <f>$E$77</f>
        <v/>
      </c>
      <c r="B105" s="33">
        <f>$B$77</f>
        <v/>
      </c>
    </row>
    <row r="106">
      <c r="A106" s="50">
        <f>$E$77</f>
        <v/>
      </c>
      <c r="B106" s="33">
        <f>$B$78</f>
        <v/>
      </c>
    </row>
    <row r="107">
      <c r="A107" s="50">
        <f>$E$78</f>
        <v/>
      </c>
      <c r="B107" s="33">
        <f>$B$78</f>
        <v/>
      </c>
    </row>
    <row r="108">
      <c r="A108" s="50">
        <f>$E$78</f>
        <v/>
      </c>
      <c r="B108" s="33">
        <f>$B$79</f>
        <v/>
      </c>
    </row>
    <row r="109">
      <c r="A109" s="50">
        <f>$E$79</f>
        <v/>
      </c>
      <c r="B109" s="33">
        <f>$B$79</f>
        <v/>
      </c>
    </row>
    <row r="110">
      <c r="A110" s="50">
        <f>$E$79</f>
        <v/>
      </c>
      <c r="B110" s="33">
        <f>$B$80</f>
        <v/>
      </c>
    </row>
    <row r="111">
      <c r="A111" s="50">
        <f>$E$80</f>
        <v/>
      </c>
      <c r="B111" s="33">
        <f>$B$80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3" customWidth="1" min="1" max="1"/>
    <col width="104" customWidth="1" min="2" max="2"/>
    <col width="15" customWidth="1" min="3" max="3"/>
    <col width="15" customWidth="1" min="4" max="4"/>
    <col width="15" customWidth="1" min="5" max="5"/>
  </cols>
  <sheetData>
    <row r="1">
      <c r="A1" s="176" t="inlineStr">
        <is>
          <t>Model notes: Bloomberg B-Model (CDSW)</t>
        </is>
      </c>
    </row>
    <row r="2">
      <c r="A2" s="177" t="inlineStr">
        <is>
          <t>Equation numbers and page cites are the white paper's own. Scans in bloomberg/reference/cds_white_paper/.</t>
        </is>
      </c>
    </row>
    <row r="4">
      <c r="A4" s="67" t="inlineStr">
        <is>
          <t>Pricing</t>
        </is>
      </c>
    </row>
    <row r="5">
      <c r="A5" s="127" t="inlineStr">
        <is>
          <t>(3.1)</t>
        </is>
      </c>
      <c r="B5" s="127" t="inlineStr">
        <is>
          <t>Market Value = Protection Leg - Premium Leg,  both discounted to pricing date T</t>
        </is>
      </c>
    </row>
    <row r="6">
      <c r="A6" s="127" t="inlineStr">
        <is>
          <t>(3.2)</t>
        </is>
      </c>
      <c r="B6" s="127" t="inlineStr">
        <is>
          <t>Upfront = Market Value / D(T_s) + Accrued Interest</t>
        </is>
      </c>
    </row>
    <row r="7">
      <c r="A7" s="127" t="inlineStr">
        <is>
          <t>(3.3)</t>
        </is>
      </c>
      <c r="B7" s="127" t="inlineStr">
        <is>
          <t>S = Protection Leg / (Premium Leg - Accrued Interest * D(T_s))  at C = 1bp</t>
        </is>
      </c>
    </row>
    <row r="8">
      <c r="A8" s="127" t="inlineStr">
        <is>
          <t>(3.4)</t>
        </is>
      </c>
      <c r="B8" s="127" t="inlineStr">
        <is>
          <t>Coupons-in-Survival = A * C * SUM delta(T_i-1, T_i) p_s(T_i) D(T_i)</t>
        </is>
      </c>
    </row>
    <row r="9">
      <c r="A9" s="127" t="inlineStr">
        <is>
          <t>(3.5)</t>
        </is>
      </c>
      <c r="B9" s="127" t="inlineStr">
        <is>
          <t>Accrued-on-Default = A * C * INT_T^TM delta(T_n(t), t) (-dp_s/dt) D(t) dt</t>
        </is>
      </c>
    </row>
    <row r="10">
      <c r="A10" s="127" t="inlineStr">
        <is>
          <t>(3.6)</t>
        </is>
      </c>
      <c r="B10" s="127" t="inlineStr">
        <is>
          <t>Protection Leg = A (1-R) * INT_T^TM (-dp_s/dt) D(t) dt</t>
        </is>
      </c>
    </row>
    <row r="12">
      <c r="A12" s="67" t="inlineStr">
        <is>
          <t>Conventions that the sheets depend on</t>
        </is>
      </c>
    </row>
    <row r="13">
      <c r="A13" s="177" t="inlineStr">
        <is>
          <t>p.6</t>
        </is>
      </c>
      <c r="B13" s="126" t="inlineStr">
        <is>
          <t>Accrual dates are IMM (3/20, 6/20, 9/20, 12/20). Payment dates roll to the next business day; the last accrual end date T_M does not roll.</t>
        </is>
      </c>
    </row>
    <row r="14">
      <c r="A14" s="177" t="inlineStr">
        <is>
          <t>p.6</t>
        </is>
      </c>
      <c r="B14" s="126" t="inlineStr">
        <is>
          <t>Coupon standardised to 100bp / 500bp for most names. ACT/360.</t>
        </is>
      </c>
    </row>
    <row r="15">
      <c r="A15" s="177" t="inlineStr">
        <is>
          <t>p.6</t>
        </is>
      </c>
      <c r="B15" s="126" t="inlineStr">
        <is>
          <t>Protection starts immediately, so the protection period is T_M - T + 1 days.</t>
        </is>
      </c>
    </row>
    <row r="16">
      <c r="A16" s="177" t="inlineStr">
        <is>
          <t>p.7</t>
        </is>
      </c>
      <c r="B16" s="126" t="inlineStr">
        <is>
          <t>Accrued interest includes the pricing date.</t>
        </is>
      </c>
    </row>
    <row r="17">
      <c r="A17" s="177" t="inlineStr">
        <is>
          <t>p.7</t>
        </is>
      </c>
      <c r="B17" s="126" t="inlineStr">
        <is>
          <t>T_s = settlement, typically 3 business days after pricing. The upfront is quoted there, so market value is compounded T to T_s.</t>
        </is>
      </c>
    </row>
    <row r="18">
      <c r="A18" s="177" t="inlineStr">
        <is>
          <t>p.6</t>
        </is>
      </c>
      <c r="B18" s="126" t="inlineStr">
        <is>
          <t>USD discounting is the SOFR RFR curve: ISDA moved to RFR curves and the B-Model follows.</t>
        </is>
      </c>
    </row>
    <row r="19">
      <c r="A19" s="177" t="inlineStr">
        <is>
          <t>p.6</t>
        </is>
      </c>
      <c r="B19" s="126" t="inlineStr">
        <is>
          <t>Recovery R is a model parameter, conventionally 40%, not an observable.</t>
        </is>
      </c>
    </row>
    <row r="21">
      <c r="A21" s="67" t="inlineStr">
        <is>
          <t>Curve stripper (section 4, p.8)</t>
        </is>
      </c>
    </row>
    <row r="22">
      <c r="A22" s="126" t="inlineStr">
        <is>
          <t>Sequential one-dimensional root-finding, not a joint fit. h_1 is solved on [0, T_M1] to match the first quote;</t>
        </is>
      </c>
    </row>
    <row r="23">
      <c r="A23" s="126" t="inlineStr">
        <is>
          <t>each later h_i+1 is solved on (T_Mi, T_Mi+1] with all earlier hazards held fixed.</t>
        </is>
      </c>
    </row>
    <row r="24">
      <c r="A24" s="126" t="inlineStr">
        <is>
          <t>Hazard is piecewise constant. h(t) &gt;= 0 is a hard constraint - default is terminating, so survival cannot rise.</t>
        </is>
      </c>
    </row>
    <row r="25">
      <c r="A25" s="126" t="inlineStr">
        <is>
          <t>The timeline is discretised finely enough that the forward discount rate and hazard are constant on a segment,</t>
        </is>
      </c>
    </row>
    <row r="26">
      <c r="A26" s="126" t="inlineStr">
        <is>
          <t>and no segment is longer than a premium accrual period; (3.5) and (3.6) are then analytic on each segment.</t>
        </is>
      </c>
    </row>
    <row r="28">
      <c r="A28" s="67" t="inlineStr">
        <is>
          <t>Strippability (p.9)</t>
        </is>
      </c>
    </row>
    <row r="29">
      <c r="A29" s="126" t="inlineStr">
        <is>
          <t>With h_i+1 running 0 to infinity the achievable par spread at the next maturity is a bounded interval, and it</t>
        </is>
      </c>
    </row>
    <row r="30">
      <c r="A30" s="126" t="inlineStr">
        <is>
          <t>narrows sharply once survival is already low. A quote outside that interval makes the calibration fail.</t>
        </is>
      </c>
    </row>
    <row r="31">
      <c r="A31" s="126" t="inlineStr">
        <is>
          <t>The paper's reading: usually inconsistent data sources rather than genuine arbitrage. Common with inverted</t>
        </is>
      </c>
    </row>
    <row r="32">
      <c r="A32" s="126" t="inlineStr">
        <is>
          <t>curves (S_i+1 &lt; S_i, though mildly inverted curves are often still strippable) and distressed non-flat curves.</t>
        </is>
      </c>
    </row>
    <row r="33">
      <c r="A33" s="126" t="inlineStr">
        <is>
          <t>Approximate lower bound, valid while cumulative default probability is low:   S_i+1  &gt;=  S_i * T_i / T_i+1</t>
        </is>
      </c>
    </row>
    <row r="35">
      <c r="A35" s="67" t="inlineStr">
        <is>
          <t>Strippability check on the live quotes</t>
        </is>
      </c>
    </row>
    <row r="36">
      <c r="A36" s="183" t="inlineStr">
        <is>
          <t>Tenor</t>
        </is>
      </c>
      <c r="B36" s="183" t="inlineStr">
        <is>
          <t>T</t>
        </is>
      </c>
      <c r="C36" s="183" t="inlineStr">
        <is>
          <t>S (bp)</t>
        </is>
      </c>
      <c r="D36" s="183" t="inlineStr">
        <is>
          <t>bound S*T_prev/T</t>
        </is>
      </c>
      <c r="E36" s="183" t="inlineStr">
        <is>
          <t>ok?</t>
        </is>
      </c>
    </row>
    <row r="37">
      <c r="A37" s="180">
        <f>Hazard_Bootstrap!A7</f>
        <v/>
      </c>
      <c r="B37" s="180">
        <f>CDS_Quotes!B7</f>
        <v/>
      </c>
      <c r="C37" s="108">
        <f>Hazard_Bootstrap!C7</f>
        <v/>
      </c>
      <c r="D37" s="187" t="inlineStr">
        <is>
          <t>-</t>
        </is>
      </c>
      <c r="E37" s="187" t="inlineStr">
        <is>
          <t>first pillar, unconstrained</t>
        </is>
      </c>
    </row>
    <row r="38">
      <c r="A38" s="180">
        <f>Hazard_Bootstrap!A8</f>
        <v/>
      </c>
      <c r="B38" s="180">
        <f>CDS_Quotes!B8</f>
        <v/>
      </c>
      <c r="C38" s="108">
        <f>Hazard_Bootstrap!C8</f>
        <v/>
      </c>
      <c r="D38" s="108">
        <f>C37*B37/B38</f>
        <v/>
      </c>
      <c r="E38" s="180">
        <f>IF(C38&gt;=D38,"ok","below bound — may not strip")</f>
        <v/>
      </c>
    </row>
    <row r="39">
      <c r="A39" s="180">
        <f>Hazard_Bootstrap!A9</f>
        <v/>
      </c>
      <c r="B39" s="180">
        <f>CDS_Quotes!B9</f>
        <v/>
      </c>
      <c r="C39" s="108">
        <f>Hazard_Bootstrap!C9</f>
        <v/>
      </c>
      <c r="D39" s="108">
        <f>C38*B38/B39</f>
        <v/>
      </c>
      <c r="E39" s="180">
        <f>IF(C39&gt;=D39,"ok","below bound — may not strip")</f>
        <v/>
      </c>
    </row>
    <row r="40">
      <c r="A40" s="180">
        <f>Hazard_Bootstrap!A10</f>
        <v/>
      </c>
      <c r="B40" s="180">
        <f>CDS_Quotes!B10</f>
        <v/>
      </c>
      <c r="C40" s="108">
        <f>Hazard_Bootstrap!C10</f>
        <v/>
      </c>
      <c r="D40" s="108">
        <f>C39*B39/B40</f>
        <v/>
      </c>
      <c r="E40" s="180">
        <f>IF(C40&gt;=D40,"ok","below bound — may not strip")</f>
        <v/>
      </c>
    </row>
    <row r="41">
      <c r="A41" s="180">
        <f>Hazard_Bootstrap!A11</f>
        <v/>
      </c>
      <c r="B41" s="180">
        <f>CDS_Quotes!B11</f>
        <v/>
      </c>
      <c r="C41" s="108">
        <f>Hazard_Bootstrap!C11</f>
        <v/>
      </c>
      <c r="D41" s="108">
        <f>C40*B40/B41</f>
        <v/>
      </c>
      <c r="E41" s="180">
        <f>IF(C41&gt;=D41,"ok","below bound — may not strip")</f>
        <v/>
      </c>
    </row>
    <row r="42">
      <c r="A42" s="180">
        <f>Hazard_Bootstrap!A12</f>
        <v/>
      </c>
      <c r="B42" s="180">
        <f>CDS_Quotes!B12</f>
        <v/>
      </c>
      <c r="C42" s="108">
        <f>Hazard_Bootstrap!C12</f>
        <v/>
      </c>
      <c r="D42" s="108">
        <f>C41*B41/B42</f>
        <v/>
      </c>
      <c r="E42" s="180">
        <f>IF(C42&gt;=D42,"ok","below bound — may not strip")</f>
        <v/>
      </c>
    </row>
    <row r="44">
      <c r="A44" s="177" t="inlineStr">
        <is>
          <t>A fail is the p.9 condition: a warning about the quotes, not the solver.</t>
        </is>
      </c>
    </row>
    <row r="45">
      <c r="A45" s="177" t="inlineStr">
        <is>
          <t>Bound is approximate, valid while cumulative default probability is low.</t>
        </is>
      </c>
    </row>
    <row r="47">
      <c r="A47" s="66" t="inlineStr">
        <is>
          <t>Limits</t>
        </is>
      </c>
    </row>
    <row r="48">
      <c r="A48" s="126" t="inlineStr">
        <is>
          <t>No external validation of the strip: Bloomberg exports no hazard curve (Help Desk H#1330731572).</t>
        </is>
      </c>
    </row>
    <row r="49">
      <c r="A49" s="126" t="inlineStr">
        <is>
          <t>Spreads here are demo values. The SOFR curve is real market data; the credit curve is not.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23" t="inlineStr">
        <is>
          <t>Brent (VBA) vs in-cell bisection</t>
        </is>
      </c>
    </row>
    <row r="2">
      <c r="A2" s="65" t="inlineStr">
        <is>
          <t>Same objective (3.3), same inputs. Only the root-finder differs. Eight methods on Root_Methods.</t>
        </is>
      </c>
    </row>
    <row r="3">
      <c r="A3" s="66" t="inlineStr">
        <is>
          <t>Import CDSBrent.bas (Alt+F11 &gt; File &gt; Import File), save as .xlsm. Until then col D reads 'module not loaded'.</t>
        </is>
      </c>
    </row>
    <row r="5" ht="30" customHeight="1">
      <c r="A5" s="141" t="inlineStr">
        <is>
          <t>Tenor</t>
        </is>
      </c>
      <c r="B5" s="141" t="inlineStr">
        <is>
          <t>Market bp</t>
        </is>
      </c>
      <c r="C5" s="141" t="inlineStr">
        <is>
          <t>Bisection (30 steps)</t>
        </is>
      </c>
      <c r="D5" s="141" t="inlineStr">
        <is>
          <t>Brent (VBA)</t>
        </is>
      </c>
      <c r="E5" s="141" t="inlineStr">
        <is>
          <t>diff</t>
        </is>
      </c>
      <c r="F5" s="141" t="inlineStr">
        <is>
          <t>Brent its</t>
        </is>
      </c>
      <c r="G5" s="141" t="inlineStr">
        <is>
          <t>f at bisection</t>
        </is>
      </c>
      <c r="H5" s="141" t="inlineStr">
        <is>
          <t>f at Brent</t>
        </is>
      </c>
      <c r="I5" s="141" t="inlineStr">
        <is>
          <t>Model bp</t>
        </is>
      </c>
      <c r="J5" s="141" t="inlineStr">
        <is>
          <t>Err bp</t>
        </is>
      </c>
    </row>
    <row r="6">
      <c r="A6" s="152" t="inlineStr">
        <is>
          <t>1Y</t>
        </is>
      </c>
      <c r="B6" s="63">
        <f>Hazard_Solver!$B$7</f>
        <v/>
      </c>
      <c r="C6" s="71">
        <f>Hazard_Solver!$B$46</f>
        <v/>
      </c>
      <c r="D6" s="71">
        <f>IFERROR(CDS_Hazard(Hazard_Solver!$D$7,Hazard_Solver!$F$7,Hazard_Solver!$B$8,Hazard_Solver!$D$8,Hazard_Solver!$F$8,CDS_Parameters!$B$26,Hazard_Solver!$F$10:$U$10,Hazard_Solver!$F$14:$U$14,Hazard_Solver!$F$12:$U$12,Hazard_Solver!$F$13:$U$13),"module not loaded")</f>
        <v/>
      </c>
      <c r="E6" s="72">
        <f>IF(ISNUMBER(D6),D6-C6,"")</f>
        <v/>
      </c>
      <c r="F6" s="104">
        <f>IFERROR(CDS_LastIterations(),"")</f>
        <v/>
      </c>
      <c r="G6" s="72">
        <f>IFERROR(CDS_Objective(C6,Hazard_Solver!$D$7,Hazard_Solver!$F$7,Hazard_Solver!$B$8,Hazard_Solver!$D$8,Hazard_Solver!$F$8,CDS_Parameters!$B$26,Hazard_Solver!$F$10:$U$10,Hazard_Solver!$F$14:$U$14,Hazard_Solver!$F$12:$U$12,Hazard_Solver!$F$13:$U$13),"")</f>
        <v/>
      </c>
      <c r="H6" s="72">
        <f>IF(ISNUMBER(D6),IFERROR(CDS_Objective(D6,Hazard_Solver!$D$7,Hazard_Solver!$F$7,Hazard_Solver!$B$8,Hazard_Solver!$D$8,Hazard_Solver!$F$8,CDS_Parameters!$B$26,Hazard_Solver!$F$10:$U$10,Hazard_Solver!$F$14:$U$14,Hazard_Solver!$F$12:$U$12,Hazard_Solver!$F$13:$U$13),""),"")</f>
        <v/>
      </c>
      <c r="I6" s="63">
        <f>IF(ISNUMBER(D6),IFERROR(CDS_ModelSpread(D6,Hazard_Solver!$D$7,Hazard_Solver!$F$7,Hazard_Solver!$B$8,Hazard_Solver!$D$8,Hazard_Solver!$F$8,CDS_Parameters!$B$26,Hazard_Solver!$F$10:$U$10,Hazard_Solver!$F$14:$U$14,Hazard_Solver!$F$12:$U$12,Hazard_Solver!$F$13:$U$13),""),"")</f>
        <v/>
      </c>
      <c r="J6" s="72">
        <f>IF(ISNUMBER(I6),I6-B6,"")</f>
        <v/>
      </c>
    </row>
    <row r="7">
      <c r="A7" s="152" t="inlineStr">
        <is>
          <t>2Y</t>
        </is>
      </c>
      <c r="B7" s="63">
        <f>Hazard_Solver!$B$50</f>
        <v/>
      </c>
      <c r="C7" s="71">
        <f>Hazard_Solver!$B$89</f>
        <v/>
      </c>
      <c r="D7" s="71">
        <f>IFERROR(CDS_Hazard(Hazard_Solver!$D$50,Hazard_Solver!$F$50,Hazard_Solver!$B$51,Hazard_Solver!$D$51,Hazard_Solver!$F$51,CDS_Parameters!$B$26,Hazard_Solver!$F$53:$U$53,Hazard_Solver!$F$57:$U$57,Hazard_Solver!$F$55:$U$55,Hazard_Solver!$F$56:$U$56),"module not loaded")</f>
        <v/>
      </c>
      <c r="E7" s="72">
        <f>IF(ISNUMBER(D7),D7-C7,"")</f>
        <v/>
      </c>
      <c r="F7" s="104">
        <f>IFERROR(CDS_LastIterations(),"")</f>
        <v/>
      </c>
      <c r="G7" s="72">
        <f>IFERROR(CDS_Objective(C7,Hazard_Solver!$D$50,Hazard_Solver!$F$50,Hazard_Solver!$B$51,Hazard_Solver!$D$51,Hazard_Solver!$F$51,CDS_Parameters!$B$26,Hazard_Solver!$F$53:$U$53,Hazard_Solver!$F$57:$U$57,Hazard_Solver!$F$55:$U$55,Hazard_Solver!$F$56:$U$56),"")</f>
        <v/>
      </c>
      <c r="H7" s="72">
        <f>IF(ISNUMBER(D7),IFERROR(CDS_Objective(D7,Hazard_Solver!$D$50,Hazard_Solver!$F$50,Hazard_Solver!$B$51,Hazard_Solver!$D$51,Hazard_Solver!$F$51,CDS_Parameters!$B$26,Hazard_Solver!$F$53:$U$53,Hazard_Solver!$F$57:$U$57,Hazard_Solver!$F$55:$U$55,Hazard_Solver!$F$56:$U$56),""),"")</f>
        <v/>
      </c>
      <c r="I7" s="63">
        <f>IF(ISNUMBER(D7),IFERROR(CDS_ModelSpread(D7,Hazard_Solver!$D$50,Hazard_Solver!$F$50,Hazard_Solver!$B$51,Hazard_Solver!$D$51,Hazard_Solver!$F$51,CDS_Parameters!$B$26,Hazard_Solver!$F$53:$U$53,Hazard_Solver!$F$57:$U$57,Hazard_Solver!$F$55:$U$55,Hazard_Solver!$F$56:$U$56),""),"")</f>
        <v/>
      </c>
      <c r="J7" s="72">
        <f>IF(ISNUMBER(I7),I7-B7,"")</f>
        <v/>
      </c>
    </row>
    <row r="8">
      <c r="A8" s="152" t="inlineStr">
        <is>
          <t>3Y</t>
        </is>
      </c>
      <c r="B8" s="63">
        <f>Hazard_Solver!$B$93</f>
        <v/>
      </c>
      <c r="C8" s="71">
        <f>Hazard_Solver!$B$132</f>
        <v/>
      </c>
      <c r="D8" s="71">
        <f>IFERROR(CDS_Hazard(Hazard_Solver!$D$93,Hazard_Solver!$F$93,Hazard_Solver!$B$94,Hazard_Solver!$D$94,Hazard_Solver!$F$94,CDS_Parameters!$B$26,Hazard_Solver!$F$96:$U$96,Hazard_Solver!$F$100:$U$100,Hazard_Solver!$F$98:$U$98,Hazard_Solver!$F$99:$U$99),"module not loaded")</f>
        <v/>
      </c>
      <c r="E8" s="72">
        <f>IF(ISNUMBER(D8),D8-C8,"")</f>
        <v/>
      </c>
      <c r="F8" s="104">
        <f>IFERROR(CDS_LastIterations(),"")</f>
        <v/>
      </c>
      <c r="G8" s="72">
        <f>IFERROR(CDS_Objective(C8,Hazard_Solver!$D$93,Hazard_Solver!$F$93,Hazard_Solver!$B$94,Hazard_Solver!$D$94,Hazard_Solver!$F$94,CDS_Parameters!$B$26,Hazard_Solver!$F$96:$U$96,Hazard_Solver!$F$100:$U$100,Hazard_Solver!$F$98:$U$98,Hazard_Solver!$F$99:$U$99),"")</f>
        <v/>
      </c>
      <c r="H8" s="72">
        <f>IF(ISNUMBER(D8),IFERROR(CDS_Objective(D8,Hazard_Solver!$D$93,Hazard_Solver!$F$93,Hazard_Solver!$B$94,Hazard_Solver!$D$94,Hazard_Solver!$F$94,CDS_Parameters!$B$26,Hazard_Solver!$F$96:$U$96,Hazard_Solver!$F$100:$U$100,Hazard_Solver!$F$98:$U$98,Hazard_Solver!$F$99:$U$99),""),"")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I8" s="63">
        <f>IF(ISNUMBER(D8),IFERROR(CDS_ModelSpread(D8,Hazard_Solver!$D$93,Hazard_Solver!$F$93,Hazard_Solver!$B$94,Hazard_Solver!$D$94,Hazard_Solver!$F$94,CDS_Parameters!$B$26,Hazard_Solver!$F$96:$U$96,Hazard_Solver!$F$100:$U$100,Hazard_Solver!$F$98:$U$98,Hazard_Solver!$F$99:$U$99),""),"")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J8" s="72">
        <f>IF(ISNUMBER(I8),I8-B8,"")</f>
        <v/>
      </c>
    </row>
    <row r="9">
      <c r="A9" s="152" t="inlineStr">
        <is>
          <t>5Y</t>
        </is>
      </c>
      <c r="B9" s="63">
        <f>Hazard_Solver!$B$136</f>
        <v/>
      </c>
      <c r="C9" s="71">
        <f>Hazard_Solver!$B$175</f>
        <v/>
      </c>
      <c r="D9" s="71">
        <f>IFERROR(CDS_Hazard(Hazard_Solver!$D$136,Hazard_Solver!$F$136,Hazard_Solver!$B$137,Hazard_Solver!$D$137,Hazard_Solver!$F$137,CDS_Parameters!$B$26,Hazard_Solver!$F$139:$U$139,Hazard_Solver!$F$143:$U$143,Hazard_Solver!$F$141:$U$141,Hazard_Solver!$F$142:$U$142),"module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E9" s="72">
        <f>IF(ISNUMBER(D9),D9-C9,"")</f>
        <v/>
      </c>
      <c r="F9" s="104">
        <f>IFERROR(CDS_LastIterations(),"")</f>
        <v/>
      </c>
      <c r="G9" s="72">
        <f>IFERROR(CDS_Objective(C9,Hazard_Solver!$D$136,Hazard_Solver!$F$136,Hazard_Solver!$B$137,Hazard_Solver!$D$137,Hazard_Solver!$F$137,CDS_Parameters!$B$26,Hazard_Solver!$F$139:$U$139,Hazard_Solver!$F$143:$U$143,Hazard_Solver!$F$141:$U$141,Hazard_Solver!$F$142:$U$142),"")</f>
        <v/>
      </c>
      <c r="H9" s="72">
        <f>IF(ISNUMBER(D9),IFERROR(CDS_Objective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I9" s="63">
        <f>IF(ISNUMBER(D9),IFERROR(CDS_ModelSpread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J9" s="72">
        <f>IF(ISNUMBER(I9),I9-B9,"")</f>
        <v/>
      </c>
    </row>
    <row r="10">
      <c r="A10" s="152" t="inlineStr">
        <is>
          <t>7Y</t>
        </is>
      </c>
      <c r="B10" s="63">
        <f>Hazard_Solver!$B$179</f>
        <v/>
      </c>
      <c r="C10" s="71">
        <f>Hazard_Solver!$B$218</f>
        <v/>
      </c>
      <c r="D10" s="71">
        <f>IFERROR(CDS_Hazard(Hazard_Solver!$D$179,Hazard_Solver!$F$179,Hazard_Solver!$B$180,Hazard_Solver!$D$180,Hazard_Solver!$F$180,CDS_Parameters!$B$26,Hazard_Solver!$F$182:$U$182,Hazard_Solver!$F$186:$U$186,Hazard_Solver!$F$184:$U$184,Hazard_Solver!$F$185:$U$185),"module not loaded")</f>
        <v/>
      </c>
      <c r="E10" s="72">
        <f>IF(ISNUMBER(D10),D10-C10,"")</f>
        <v/>
      </c>
      <c r="F10" s="104">
        <f>IFERROR(CDS_LastIterations(),"")</f>
        <v/>
      </c>
      <c r="G10" s="72">
        <f>IFERROR(CDS_Objective(C10,Hazard_Solver!$D$179,Hazard_Solver!$F$179,Hazard_Solver!$B$180,Hazard_Solver!$D$180,Hazard_Solver!$F$180,CDS_Parameters!$B$26,Hazard_Solver!$F$182:$U$182,Hazard_Solver!$F$186:$U$186,Hazard_Solver!$F$184:$U$184,Hazard_Solver!$F$185:$U$185),"")</f>
        <v/>
      </c>
      <c r="H10" s="72">
        <f>IF(ISNUMBER(D10),IFERROR(CDS_Objective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I10" s="63">
        <f>IF(ISNUMBER(D10),IFERROR(CDS_ModelSpread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J10" s="72">
        <f>IF(ISNUMBER(I10),I10-B10,"")</f>
        <v/>
      </c>
    </row>
    <row r="11">
      <c r="A11" s="152" t="inlineStr">
        <is>
          <t>10Y</t>
        </is>
      </c>
      <c r="B11" s="63">
        <f>Hazard_Solver!$B$222</f>
        <v/>
      </c>
      <c r="C11" s="71">
        <f>Hazard_Solver!$B$261</f>
        <v/>
      </c>
      <c r="D11" s="71">
        <f>IFERROR(CDS_Hazard(Hazard_Solver!$D$222,Hazard_Solver!$F$222,Hazard_Solver!$B$223,Hazard_Solver!$D$223,Hazard_Solver!$F$223,CDS_Parameters!$B$26,Hazard_Solver!$F$225:$U$225,Hazard_Solver!$F$229:$U$229,Hazard_Solver!$F$227:$U$227,Hazard_Solver!$F$228:$U$228),"module not loaded")</f>
        <v/>
      </c>
      <c r="E11" s="72">
        <f>IF(ISNUMBER(D11),D11-C11,"")</f>
        <v/>
      </c>
      <c r="F11" s="104">
        <f>IFERROR(CDS_LastIterations(),"")</f>
        <v/>
      </c>
      <c r="G11" s="72">
        <f>IFERROR(CDS_Objective(C11,Hazard_Solver!$D$222,Hazard_Solver!$F$222,Hazard_Solver!$B$223,Hazard_Solver!$D$223,Hazard_Solver!$F$223,CDS_Parameters!$B$26,Hazard_Solver!$F$225:$U$225,Hazard_Solver!$F$229:$U$229,Hazard_Solver!$F$227:$U$227,Hazard_Solver!$F$228:$U$228),"")</f>
        <v/>
      </c>
      <c r="H11" s="72">
        <f>IF(ISNUMBER(D11),IFERROR(CDS_Objective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I11" s="63">
        <f>IF(ISNUMBER(D11),IFERROR(CDS_ModelSpread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J11" s="72">
        <f>IF(ISNUMBER(I11),I11-B11,"")</f>
        <v/>
      </c>
    </row>
    <row r="13">
      <c r="A13" s="67" t="inlineStr">
        <is>
          <t>Max |diff| (hazard)</t>
        </is>
      </c>
      <c r="C13" s="91">
        <f>IF(COUNT(E6:E11)=0,"module not loaded",MAX(MAX(E6:E11),-MIN(E6:E11)))</f>
        <v/>
      </c>
    </row>
    <row r="14">
      <c r="A14" s="67" t="inlineStr">
        <is>
          <t>Max |Err| Brent (bp)</t>
        </is>
      </c>
      <c r="C14" s="91">
        <f>IF(COUNT(J6:J11)=0,"",MAX(MAX(J6:J11),-MIN(J6:J11)))</f>
        <v/>
      </c>
    </row>
    <row r="17">
      <c r="A17" s="123" t="inlineStr">
        <is>
          <t>WHAT BRENT ACTUALLY BUYS</t>
        </is>
      </c>
    </row>
    <row r="18">
      <c r="A18" s="141" t="inlineStr"/>
      <c r="B18" s="141" t="inlineStr">
        <is>
          <t>In-cell bisection</t>
        </is>
      </c>
      <c r="C18" s="141" t="inlineStr">
        <is>
          <t>Brent (VBA)</t>
        </is>
      </c>
      <c r="D18" s="141" t="inlineStr">
        <is>
          <t>Better</t>
        </is>
      </c>
    </row>
    <row r="19">
      <c r="A19" s="67" t="inlineStr">
        <is>
          <t>Iterations</t>
        </is>
      </c>
      <c r="B19" s="93" t="inlineStr">
        <is>
          <t>30, fixed</t>
        </is>
      </c>
      <c r="C19" s="93" t="inlineStr">
        <is>
          <t>8-13, adaptive</t>
        </is>
      </c>
      <c r="D19" s="93" t="inlineStr">
        <is>
          <t>Brent</t>
        </is>
      </c>
    </row>
    <row r="20">
      <c r="A20" s="67" t="inlineStr">
        <is>
          <t>Residual |f| at the root</t>
        </is>
      </c>
      <c r="B20" s="93" t="inlineStr">
        <is>
          <t>~1e-9</t>
        </is>
      </c>
      <c r="C20" s="93" t="inlineStr">
        <is>
          <t>~1e-17</t>
        </is>
      </c>
      <c r="D20" s="93" t="inlineStr">
        <is>
          <t>Brent, by ~8 orders</t>
        </is>
      </c>
    </row>
    <row r="21">
      <c r="A21" s="67" t="inlineStr">
        <is>
          <t>Hazard agreement</t>
        </is>
      </c>
      <c r="B21" s="93" t="inlineStr">
        <is>
          <t>the two agree to ~1e-9</t>
        </is>
      </c>
      <c r="C21" s="93" t="inlineStr"/>
      <c r="D21" s="93" t="inlineStr">
        <is>
          <t>immaterial: 1e-9 of hazard is 1e-7 bp of spread</t>
        </is>
      </c>
    </row>
    <row r="22">
      <c r="A22" s="67" t="inlineStr">
        <is>
          <t>Cells consumed</t>
        </is>
      </c>
      <c r="B22" s="93" t="inlineStr">
        <is>
          <t>~3,600 on Hazard_Solver</t>
        </is>
      </c>
      <c r="C22" s="93" t="inlineStr">
        <is>
          <t>6 function calls</t>
        </is>
      </c>
      <c r="D22" s="93" t="inlineStr">
        <is>
          <t>Brent, heavily</t>
        </is>
      </c>
    </row>
    <row r="23">
      <c r="A23" s="67" t="inlineStr">
        <is>
          <t>Working visible</t>
        </is>
      </c>
      <c r="B23" s="93" t="inlineStr">
        <is>
          <t>yes, every halving is a row</t>
        </is>
      </c>
      <c r="C23" s="93" t="inlineStr">
        <is>
          <t>no, opaque call</t>
        </is>
      </c>
      <c r="D23" s="93" t="inlineStr">
        <is>
          <t>BISECTION</t>
        </is>
      </c>
    </row>
    <row r="24">
      <c r="A24" s="67" t="inlineStr">
        <is>
          <t>File format</t>
        </is>
      </c>
      <c r="B24" s="93" t="inlineStr">
        <is>
          <t>.xlsx</t>
        </is>
      </c>
      <c r="C24" s="93" t="inlineStr">
        <is>
          <t>.xlsm + macro trust</t>
        </is>
      </c>
      <c r="D24" s="93" t="inlineStr">
        <is>
          <t>BISECTION</t>
        </is>
      </c>
    </row>
    <row r="25">
      <c r="A25" s="67" t="inlineStr">
        <is>
          <t>Recalc</t>
        </is>
      </c>
      <c r="B25" s="93" t="inlineStr">
        <is>
          <t>native</t>
        </is>
      </c>
      <c r="C25" s="93" t="inlineStr">
        <is>
          <t>UDF, slower per call, no multithread</t>
        </is>
      </c>
      <c r="D25" s="93" t="inlineStr">
        <is>
          <t>bisection</t>
        </is>
      </c>
    </row>
    <row r="26">
      <c r="A26" s="67" t="inlineStr">
        <is>
          <t>Fails on an unstrippable quote</t>
        </is>
      </c>
      <c r="B26" s="93" t="inlineStr">
        <is>
          <t>pins silently at a bracket end</t>
        </is>
      </c>
      <c r="C26" s="93" t="inlineStr">
        <is>
          <t>returns #NUM!</t>
        </is>
      </c>
      <c r="D26" s="93" t="inlineStr">
        <is>
          <t>Brent</t>
        </is>
      </c>
    </row>
    <row r="29">
      <c r="A29" s="67" t="inlineStr">
        <is>
          <t>Verdict</t>
        </is>
      </c>
    </row>
    <row r="30">
      <c r="A30" s="65" t="inlineStr">
        <is>
          <t>Brent wins on the numbers: 8-13 iterations to machine precision vs 30 fixed halvings, residual ~1e-17 vs ~1e-9.</t>
        </is>
      </c>
    </row>
    <row r="31">
      <c r="A31" s="65" t="inlineStr">
        <is>
          <t>It would return ~3,600 cells and a faster recalc. It costs the visible working and forces .xlsm.</t>
        </is>
      </c>
    </row>
    <row r="32">
      <c r="A32" s="65" t="inlineStr">
        <is>
          <t>Keeping bisection as the engine and Brent as the cross-check is the useful split: an independent implementation agreeing to 1e-9 is real evidence the strip is right.</t>
        </is>
      </c>
    </row>
    <row r="33">
      <c r="A33" s="66" t="inlineStr">
        <is>
          <t>Functional gain worth taking: Brent returns #NUM! on an unbracketed quote. Bisection returns a bracket end that looks like an answer. See Model_Notes, p.9.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5" customWidth="1" min="3" max="3"/>
    <col width="12" customWidth="1" min="4" max="4"/>
    <col width="12" customWidth="1" min="5" max="5"/>
    <col width="13" customWidth="1" min="6" max="6"/>
    <col width="7" customWidth="1" min="7" max="7"/>
    <col width="12" customWidth="1" min="8" max="8"/>
    <col width="12" customWidth="1" min="9" max="9"/>
    <col width="86" customWidth="1" min="10" max="10"/>
  </cols>
  <sheetData>
    <row r="1">
      <c r="A1" s="176" t="inlineStr">
        <is>
          <t>Root-finding methods on the hazard strip</t>
        </is>
      </c>
    </row>
    <row r="2">
      <c r="A2" s="177" t="inlineStr">
        <is>
          <t>All methods solve the same f(h) = (1-R)*Prot(h) - S*(RPV01(h) - AI), B-Model (3.3). Same root; different cost.</t>
        </is>
      </c>
    </row>
    <row r="3">
      <c r="A3" s="98" t="inlineStr">
        <is>
          <t>Baseline is the scheme, not the algorithm. Section 4 p.8 fixes piecewise-constant hazard solved maturity by maturity, each a 1-D root-find with earlier hazards fixed. It names no method. Hazard_Solver here is bisection.</t>
        </is>
      </c>
    </row>
    <row r="4">
      <c r="A4" s="177" t="inlineStr">
        <is>
          <t>Needs CDSBrent.bas and CDSRootFinders.bas imported, saved as .xlsm.</t>
        </is>
      </c>
    </row>
    <row r="6">
      <c r="A6" s="188" t="inlineStr">
        <is>
          <t>Method</t>
        </is>
      </c>
      <c r="B6" s="188" t="inlineStr">
        <is>
          <t>Family</t>
        </is>
      </c>
      <c r="C6" s="188" t="inlineStr">
        <is>
          <t>Order</t>
        </is>
      </c>
      <c r="D6" s="188" t="inlineStr">
        <is>
          <t>Needs</t>
        </is>
      </c>
      <c r="E6" s="188" t="inlineStr">
        <is>
          <t>Bracketed</t>
        </is>
      </c>
      <c r="F6" s="188" t="inlineStr">
        <is>
          <t>5Y hazard</t>
        </is>
      </c>
      <c r="G6" s="188" t="inlineStr">
        <is>
          <t>its</t>
        </is>
      </c>
      <c r="H6" s="188" t="inlineStr">
        <is>
          <t>|f(root)|</t>
        </is>
      </c>
      <c r="I6" s="188" t="inlineStr">
        <is>
          <t>vs baseline</t>
        </is>
      </c>
      <c r="J6" s="188" t="inlineStr">
        <is>
          <t>Note</t>
        </is>
      </c>
    </row>
    <row r="7">
      <c r="A7" s="189" t="inlineStr">
        <is>
          <t>BISECTION</t>
        </is>
      </c>
      <c r="B7" s="189" t="inlineStr">
        <is>
          <t>bracketing</t>
        </is>
      </c>
      <c r="C7" s="190" t="inlineStr">
        <is>
          <t>linear (halves)</t>
        </is>
      </c>
      <c r="D7" s="190" t="inlineStr">
        <is>
          <t>no</t>
        </is>
      </c>
      <c r="E7" s="190" t="inlineStr">
        <is>
          <t>yes, always</t>
        </is>
      </c>
      <c r="F7" s="191">
        <f>IFERROR(CDS_Root("BISECTION",Hazard_Solver!$D$136,Hazard_Solver!$F$136,Hazard_Solver!$B$137,Hazard_Solver!$D$137,Hazard_Solver!$F$137,CDS_Parameters!$B$26,Hazard_Solver!$F$139:$U$139,Hazard_Solver!$F$143:$U$143,Hazard_Solver!$F$141:$U$141,Hazard_Solver!$F$142:$U$142),"module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7" s="180">
        <f>IFERROR(CDS_RootIterations(),"")</f>
        <v/>
      </c>
      <c r="H7" s="192">
        <f>IFERROR(ABS(CDS_Objective(F7,Hazard_Solver!$D$136,Hazard_Solver!$F$136,Hazard_Solver!$B$137,Hazard_Solver!$D$137,Hazard_Solver!$F$137,CDS_Parameters!$B$26,Hazard_Solver!$F$139:$U$139,Hazard_Solver!$F$143:$U$143,Hazard_Solver!$F$141:$U$141,Hazard_Solver!$F$142:$U$142)),"")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7" s="192">
        <f>IF(ISNUMBER(F7),F7-Hazard_Solver!$B$175,"")</f>
        <v/>
      </c>
      <c r="J7" s="190" t="inlineStr">
        <is>
          <t>The safe floor. Cannot fail once bracketed, but pays for it - ~52 steps to machine precision.</t>
        </is>
      </c>
    </row>
    <row r="8">
      <c r="A8" s="190" t="inlineStr">
        <is>
          <t>FALSE POSITION</t>
        </is>
      </c>
      <c r="B8" s="190" t="inlineStr">
        <is>
          <t>bracketing</t>
        </is>
      </c>
      <c r="C8" s="190" t="inlineStr">
        <is>
          <t>super-linear</t>
        </is>
      </c>
      <c r="D8" s="190" t="inlineStr">
        <is>
          <t>no</t>
        </is>
      </c>
      <c r="E8" s="190" t="inlineStr">
        <is>
          <t>yes, always</t>
        </is>
      </c>
      <c r="F8" s="191">
        <f>IFERROR(CDS_Root("FALSE POSITION",Hazard_Solver!$D$136,Hazard_Solver!$F$136,Hazard_Solver!$B$137,Hazard_Solver!$D$137,Hazard_Solver!$F$137,CDS_Parameters!$B$26,Hazard_Solver!$F$139:$U$139,Hazard_Solver!$F$143:$U$143,Hazard_Solver!$F$141:$U$141,Hazard_Solver!$F$142:$U$142),"module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8" s="180">
        <f>IFERROR(CDS_RootIterations(),"")</f>
        <v/>
      </c>
      <c r="H8" s="192">
        <f>IFERROR(ABS(CDS_Objective(F8,Hazard_Solver!$D$136,Hazard_Solver!$F$136,Hazard_Solver!$B$137,Hazard_Solver!$D$137,Hazard_Solver!$F$137,CDS_Parameters!$B$26,Hazard_Solver!$F$139:$U$139,Hazard_Solver!$F$143:$U$143,Hazard_Solver!$F$141:$U$141,Hazard_Solver!$F$142:$U$142)),"")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8" s="192">
        <f>IF(ISNUMBER(F8),F8-Hazard_Solver!$B$175,"")</f>
        <v/>
      </c>
      <c r="J8" s="190" t="inlineStr">
        <is>
          <t>Keeps a bracket like bisection but interpolates. Can stall when one end stays fixed.</t>
        </is>
      </c>
    </row>
    <row r="9">
      <c r="A9" s="190" t="inlineStr">
        <is>
          <t>SECANT</t>
        </is>
      </c>
      <c r="B9" s="190" t="inlineStr">
        <is>
          <t>open</t>
        </is>
      </c>
      <c r="C9" s="190" t="inlineStr">
        <is>
          <t>~1.618</t>
        </is>
      </c>
      <c r="D9" s="190" t="inlineStr">
        <is>
          <t>no</t>
        </is>
      </c>
      <c r="E9" s="190" t="inlineStr">
        <is>
          <t>no</t>
        </is>
      </c>
      <c r="F9" s="191">
        <f>IFERROR(CDS_Root("SECANT",Hazard_Solver!$D$136,Hazard_Solver!$F$136,Hazard_Solver!$B$137,Hazard_Solver!$D$137,Hazard_Solver!$F$137,CDS_Parameters!$B$26,Hazard_Solver!$F$139:$U$139,Hazard_Solver!$F$143:$U$143,Hazard_Solver!$F$141:$U$141,Hazard_Solver!$F$142:$U$142),"module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9" s="180">
        <f>IFERROR(CDS_RootIterations(),"")</f>
        <v/>
      </c>
      <c r="H9" s="192">
        <f>IFERROR(ABS(CDS_Objective(F9,Hazard_Solver!$D$136,Hazard_Solver!$F$136,Hazard_Solver!$B$137,Hazard_Solver!$D$137,Hazard_Solver!$F$137,CDS_Parameters!$B$26,Hazard_Solver!$F$139:$U$139,Hazard_Solver!$F$143:$U$143,Hazard_Solver!$F$141:$U$141,Hazard_Solver!$F$142:$U$142)),"")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9" s="192">
        <f>IF(ISNUMBER(F9),F9-Hazard_Solver!$B$175,"")</f>
        <v/>
      </c>
      <c r="J9" s="190" t="inlineStr">
        <is>
          <t>Newton without a derivative, using the secant of the last two points. No bracket, so it can leave the domain.</t>
        </is>
      </c>
    </row>
    <row r="10">
      <c r="A10" s="190" t="inlineStr">
        <is>
          <t>NEWTON</t>
        </is>
      </c>
      <c r="B10" s="190" t="inlineStr">
        <is>
          <t>open</t>
        </is>
      </c>
      <c r="C10" s="190" t="inlineStr">
        <is>
          <t>2 (quadratic)</t>
        </is>
      </c>
      <c r="D10" s="190" t="inlineStr">
        <is>
          <t>f'</t>
        </is>
      </c>
      <c r="E10" s="190" t="inlineStr">
        <is>
          <t>no</t>
        </is>
      </c>
      <c r="F10" s="191">
        <f>IFERROR(CDS_Root("NEWTON",Hazard_Solver!$D$136,Hazard_Solver!$F$136,Hazard_Solver!$B$137,Hazard_Solver!$D$137,Hazard_Solver!$F$137,CDS_Parameters!$B$26,Hazard_Solver!$F$139:$U$139,Hazard_Solver!$F$143:$U$143,Hazard_Solver!$F$141:$U$141,Hazard_Solver!$F$142:$U$142),"module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0" s="180">
        <f>IFERROR(CDS_RootIterations(),"")</f>
        <v/>
      </c>
      <c r="H10" s="192">
        <f>IFERROR(ABS(CDS_Objective(F10,Hazard_Solver!$D$136,Hazard_Solver!$F$136,Hazard_Solver!$B$137,Hazard_Solver!$D$137,Hazard_Solver!$F$137,CDS_Parameters!$B$26,Hazard_Solver!$F$139:$U$139,Hazard_Solver!$F$143:$U$143,Hazard_Solver!$F$141:$U$141,Hazard_Solver!$F$142:$U$142)),"")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0" s="192">
        <f>IF(ISNUMBER(F10),F10-Hazard_Solver!$B$175,"")</f>
        <v/>
      </c>
      <c r="J10" s="190" t="inlineStr">
        <is>
          <t>Householder d=1. Derivative is analytic here - dQ/dh = -cum*Q - so no bumping.</t>
        </is>
      </c>
    </row>
    <row r="11">
      <c r="A11" s="190" t="inlineStr">
        <is>
          <t>HALLEY</t>
        </is>
      </c>
      <c r="B11" s="190" t="inlineStr">
        <is>
          <t>open</t>
        </is>
      </c>
      <c r="C11" s="190" t="inlineStr">
        <is>
          <t>3 (cubic)</t>
        </is>
      </c>
      <c r="D11" s="190" t="inlineStr">
        <is>
          <t>f', f''</t>
        </is>
      </c>
      <c r="E11" s="190" t="inlineStr">
        <is>
          <t>no</t>
        </is>
      </c>
      <c r="F11" s="191">
        <f>IFERROR(CDS_Root("HALLEY",Hazard_Solver!$D$136,Hazard_Solver!$F$136,Hazard_Solver!$B$137,Hazard_Solver!$D$137,Hazard_Solver!$F$137,CDS_Parameters!$B$26,Hazard_Solver!$F$139:$U$139,Hazard_Solver!$F$143:$U$143,Hazard_Solver!$F$141:$U$141,Hazard_Solver!$F$142:$U$142),"module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1" s="180">
        <f>IFERROR(CDS_RootIterations(),"")</f>
        <v/>
      </c>
      <c r="H11" s="192">
        <f>IFERROR(ABS(CDS_Objective(F11,Hazard_Solver!$D$136,Hazard_Solver!$F$136,Hazard_Solver!$B$137,Hazard_Solver!$D$137,Hazard_Solver!$F$137,CDS_Parameters!$B$26,Hazard_Solver!$F$139:$U$139,Hazard_Solver!$F$143:$U$143,Hazard_Solver!$F$141:$U$141,Hazard_Solver!$F$142:$U$142)),"")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1" s="192">
        <f>IF(ISNUMBER(F11),F11-Hazard_Solver!$B$175,"")</f>
        <v/>
      </c>
      <c r="J11" s="190" t="inlineStr">
        <is>
          <t>Householder d=2. Second derivative also analytic: d2Q/dh2 = cum^2*Q.</t>
        </is>
      </c>
    </row>
    <row r="12">
      <c r="A12" s="190" t="inlineStr">
        <is>
          <t>HOUSEHOLDER</t>
        </is>
      </c>
      <c r="B12" s="190" t="inlineStr">
        <is>
          <t>open</t>
        </is>
      </c>
      <c r="C12" s="190" t="inlineStr">
        <is>
          <t>d+1</t>
        </is>
      </c>
      <c r="D12" s="190" t="inlineStr">
        <is>
          <t>f' ... f^(d)</t>
        </is>
      </c>
      <c r="E12" s="190" t="inlineStr">
        <is>
          <t>no</t>
        </is>
      </c>
      <c r="F12" s="191">
        <f>IFERROR(CDS_Root("HOUSEHOLDER",Hazard_Solver!$D$136,Hazard_Solver!$F$136,Hazard_Solver!$B$137,Hazard_Solver!$D$137,Hazard_Solver!$F$137,CDS_Parameters!$B$26,Hazard_Solver!$F$139:$U$139,Hazard_Solver!$F$143:$U$143,Hazard_Solver!$F$141:$U$141,Hazard_Solver!$F$142:$U$142),"module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2" s="180">
        <f>IFERROR(CDS_RootIterations(),"")</f>
        <v/>
      </c>
      <c r="H12" s="192">
        <f>IFERROR(ABS(CDS_Objective(F12,Hazard_Solver!$D$136,Hazard_Solver!$F$136,Hazard_Solver!$B$137,Hazard_Solver!$D$137,Hazard_Solver!$F$137,CDS_Parameters!$B$26,Hazard_Solver!$F$139:$U$139,Hazard_Solver!$F$143:$U$143,Hazard_Solver!$F$141:$U$141,Hazard_Solver!$F$142:$U$142)),"")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2" s="192">
        <f>IF(ISNUMBER(F12),F12-Hazard_Solver!$B$175,"")</f>
        <v/>
      </c>
      <c r="J12" s="190" t="inlineStr">
        <is>
          <t>General order d. d=1 reduces to Newton and d=2 to Halley, the M2 identity.</t>
        </is>
      </c>
    </row>
    <row r="13">
      <c r="A13" s="190" t="inlineStr">
        <is>
          <t>RIDDERS</t>
        </is>
      </c>
      <c r="B13" s="190" t="inlineStr">
        <is>
          <t>bracketing hybrid</t>
        </is>
      </c>
      <c r="C13" s="190" t="inlineStr">
        <is>
          <t>hybrid</t>
        </is>
      </c>
      <c r="D13" s="190" t="inlineStr">
        <is>
          <t>no</t>
        </is>
      </c>
      <c r="E13" s="190" t="inlineStr">
        <is>
          <t>yes, always</t>
        </is>
      </c>
      <c r="F13" s="191">
        <f>IFERROR(CDS_Root("RIDDERS",Hazard_Solver!$D$136,Hazard_Solver!$F$136,Hazard_Solver!$B$137,Hazard_Solver!$D$137,Hazard_Solver!$F$137,CDS_Parameters!$B$26,Hazard_Solver!$F$139:$U$139,Hazard_Solver!$F$143:$U$143,Hazard_Solver!$F$141:$U$141,Hazard_Solver!$F$142:$U$142),"module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3" s="180">
        <f>IFERROR(CDS_RootIterations(),"")</f>
        <v/>
      </c>
      <c r="H13" s="192">
        <f>IFERROR(ABS(CDS_Objective(F13,Hazard_Solver!$D$136,Hazard_Solver!$F$136,Hazard_Solver!$B$137,Hazard_Solver!$D$137,Hazard_Solver!$F$137,CDS_Parameters!$B$26,Hazard_Solver!$F$139:$U$139,Hazard_Solver!$F$143:$U$143,Hazard_Solver!$F$141:$U$141,Hazard_Solver!$F$142:$U$142)),"")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3" s="192">
        <f>IF(ISNUMBER(F13),F13-Hazard_Solver!$B$175,"")</f>
        <v/>
      </c>
      <c r="J13" s="190" t="inlineStr">
        <is>
          <t>Bisection plus exponential interpolation. Keeps the bracket and converges fast.</t>
        </is>
      </c>
    </row>
    <row r="14">
      <c r="A14" s="190" t="inlineStr">
        <is>
          <t>BRENT</t>
        </is>
      </c>
      <c r="B14" s="190" t="inlineStr">
        <is>
          <t>bracketing hybrid</t>
        </is>
      </c>
      <c r="C14" s="190" t="inlineStr">
        <is>
          <t>hybrid</t>
        </is>
      </c>
      <c r="D14" s="190" t="inlineStr">
        <is>
          <t>no</t>
        </is>
      </c>
      <c r="E14" s="190" t="inlineStr">
        <is>
          <t>yes, always</t>
        </is>
      </c>
      <c r="F14" s="191">
        <f>IFERROR(CDS_Root("BRENT",Hazard_Solver!$D$136,Hazard_Solver!$F$136,Hazard_Solver!$B$137,Hazard_Solver!$D$137,Hazard_Solver!$F$137,CDS_Parameters!$B$26,Hazard_Solver!$F$139:$U$139,Hazard_Solver!$F$143:$U$143,Hazard_Solver!$F$141:$U$141,Hazard_Solver!$F$142:$U$142),"module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4" s="180">
        <f>IFERROR(CDS_RootIterations(),"")</f>
        <v/>
      </c>
      <c r="H14" s="192">
        <f>IFERROR(ABS(CDS_Objective(F14,Hazard_Solver!$D$136,Hazard_Solver!$F$136,Hazard_Solver!$B$137,Hazard_Solver!$D$137,Hazard_Solver!$F$137,CDS_Parameters!$B$26,Hazard_Solver!$F$139:$U$139,Hazard_Solver!$F$143:$U$143,Hazard_Solver!$F$141:$U$141,Hazard_Solver!$F$142:$U$142)),"")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4" s="192">
        <f>IF(ISNUMBER(F14),F14-Hazard_Solver!$B$175,"")</f>
        <v/>
      </c>
      <c r="J14" s="190" t="inlineStr">
        <is>
          <t>IQI, falling back to secant, falling back to bisection. Bisection's guarantee at near-secant speed.</t>
        </is>
      </c>
    </row>
    <row r="16">
      <c r="A16" s="67" t="inlineStr">
        <is>
          <t>Spread of the eight roots (max - min)</t>
        </is>
      </c>
      <c r="F16" s="193">
        <f>IF(COUNT(F7:F14)=0,"module not loaded",MAX(F7:F14)-MIN(F7:F14))</f>
        <v/>
      </c>
      <c r="G16" s="177" t="inlineStr">
        <is>
          <t>they solve the same equation, so this is the real check</t>
        </is>
      </c>
    </row>
    <row r="18">
      <c r="A18" s="67" t="inlineStr">
        <is>
          <t>Measured on the 5Y objective (quarterly, R=40%, S=95bp), tolerance 1e-15</t>
        </is>
      </c>
    </row>
    <row r="19">
      <c r="A19" s="183" t="inlineStr">
        <is>
          <t>Method</t>
        </is>
      </c>
      <c r="B19" s="183" t="inlineStr">
        <is>
          <t>iters</t>
        </is>
      </c>
      <c r="C19" s="183" t="inlineStr">
        <is>
          <t>|root - scipy.brentq|</t>
        </is>
      </c>
      <c r="D19" s="183" t="inlineStr">
        <is>
          <t>|f(root)|</t>
        </is>
      </c>
    </row>
    <row r="20">
      <c r="A20" s="190" t="inlineStr">
        <is>
          <t>bisection</t>
        </is>
      </c>
      <c r="B20" s="190" t="n">
        <v>52</v>
      </c>
      <c r="C20" s="190" t="inlineStr">
        <is>
          <t>5.0e-16</t>
        </is>
      </c>
      <c r="D20" s="190" t="inlineStr">
        <is>
          <t>1.3e-15</t>
        </is>
      </c>
    </row>
    <row r="21">
      <c r="A21" s="190" t="inlineStr">
        <is>
          <t>false position</t>
        </is>
      </c>
      <c r="B21" s="190" t="n">
        <v>12</v>
      </c>
      <c r="C21" s="190" t="inlineStr">
        <is>
          <t>2.4e-17</t>
        </is>
      </c>
      <c r="D21" s="190" t="inlineStr">
        <is>
          <t>6.9e-17</t>
        </is>
      </c>
    </row>
    <row r="22">
      <c r="A22" s="190" t="inlineStr">
        <is>
          <t>secant</t>
        </is>
      </c>
      <c r="B22" s="190" t="n">
        <v>13</v>
      </c>
      <c r="C22" s="190" t="inlineStr">
        <is>
          <t>3.5e-18</t>
        </is>
      </c>
      <c r="D22" s="190" t="inlineStr">
        <is>
          <t>1.4e-17</t>
        </is>
      </c>
    </row>
    <row r="23">
      <c r="A23" s="190" t="inlineStr">
        <is>
          <t>Newton (d=1)</t>
        </is>
      </c>
      <c r="B23" s="190" t="n">
        <v>6</v>
      </c>
      <c r="C23" s="190" t="inlineStr">
        <is>
          <t>6.9e-18</t>
        </is>
      </c>
      <c r="D23" s="190" t="inlineStr">
        <is>
          <t>1.4e-17</t>
        </is>
      </c>
    </row>
    <row r="24">
      <c r="A24" s="190" t="inlineStr">
        <is>
          <t>Halley (d=2)</t>
        </is>
      </c>
      <c r="B24" s="190" t="n">
        <v>6</v>
      </c>
      <c r="C24" s="190" t="inlineStr">
        <is>
          <t>3.5e-18</t>
        </is>
      </c>
      <c r="D24" s="190" t="inlineStr">
        <is>
          <t>1.4e-17</t>
        </is>
      </c>
    </row>
    <row r="25">
      <c r="A25" s="190" t="inlineStr">
        <is>
          <t>Householder d=3</t>
        </is>
      </c>
      <c r="B25" s="190" t="n">
        <v>6</v>
      </c>
      <c r="C25" s="190" t="inlineStr">
        <is>
          <t>3.5e-18</t>
        </is>
      </c>
      <c r="D25" s="190" t="inlineStr">
        <is>
          <t>1.4e-17</t>
        </is>
      </c>
    </row>
    <row r="26">
      <c r="A26" s="190" t="inlineStr">
        <is>
          <t>Ridders</t>
        </is>
      </c>
      <c r="B26" s="190" t="n">
        <v>5</v>
      </c>
      <c r="C26" s="190" t="inlineStr">
        <is>
          <t>2.1e-17</t>
        </is>
      </c>
      <c r="D26" s="190" t="inlineStr">
        <is>
          <t>3.5e-17</t>
        </is>
      </c>
    </row>
    <row r="27">
      <c r="A27" s="190" t="inlineStr">
        <is>
          <t>Brent</t>
        </is>
      </c>
      <c r="B27" s="190" t="n">
        <v>9</v>
      </c>
      <c r="C27" s="190" t="inlineStr">
        <is>
          <t>1.4e-17</t>
        </is>
      </c>
      <c r="D27" s="190" t="inlineStr">
        <is>
          <t>1.4e-17</t>
        </is>
      </c>
    </row>
    <row r="29">
      <c r="A29" s="67" t="inlineStr">
        <is>
          <t>Results</t>
        </is>
      </c>
    </row>
    <row r="30">
      <c r="A30" s="126" t="inlineStr">
        <is>
          <t>All eight agree to ~1e-16. Method is a cost choice here, not an accuracy one.</t>
        </is>
      </c>
    </row>
    <row r="31">
      <c r="A31" s="126" t="inlineStr">
        <is>
          <t>Bisection: 52 steps. Newton: 6. That is the cost of ignoring the shape of f.</t>
        </is>
      </c>
    </row>
    <row r="32">
      <c r="A32" s="126" t="inlineStr">
        <is>
          <t>Halley and Householder d=3 do not beat Newton here: 6 iterations each. f is near-linear in h at the root,</t>
        </is>
      </c>
    </row>
    <row r="33">
      <c r="A33" s="177" t="inlineStr">
        <is>
          <t xml:space="preserve">    so the extra order is spent before tolerance is reached.</t>
        </is>
      </c>
    </row>
    <row r="34">
      <c r="A34" s="126" t="inlineStr">
        <is>
          <t>Ridders is fastest at 5. But secant, Newton and Halley can all leave the domain on a bad start;</t>
        </is>
      </c>
    </row>
    <row r="35">
      <c r="A35" s="177" t="inlineStr">
        <is>
          <t xml:space="preserve">    bracketing methods cannot. The strip must never return h &lt; 0 (p.8), so the guarantee outranks the speed.</t>
        </is>
      </c>
    </row>
    <row r="36">
      <c r="A36" s="126" t="inlineStr">
        <is>
          <t>If nothing converges, suspect the quote. See the p.9 strippability check on Model_Notes.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V261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0" customWidth="1" min="22" max="22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  <c r="V3" s="136" t="inlineStr">
        <is>
          <t>WHAT THIS SHEET SOLVES</t>
        </is>
      </c>
    </row>
    <row r="4">
      <c r="A4" s="65" t="inlineStr">
        <is>
          <t>Bracket [0, 3], 30 bisection steps -&gt; resolution ~3e-9.</t>
        </is>
      </c>
      <c r="V4" s="137" t="inlineStr">
        <is>
          <t>For each tenor k, find h_k so the model par spread equals the quote.</t>
        </is>
      </c>
    </row>
    <row r="5">
      <c r="A5" s="65" t="inlineStr">
        <is>
          <t>Objective is (3.3): protection leg minus S x PV01, where PV01 is the premium leg NET of accrued interest x D(T_s) (CDS_Parameters!$B$26).</t>
        </is>
      </c>
      <c r="V5" s="137" t="n"/>
    </row>
    <row r="6">
      <c r="A6" s="73" t="inlineStr">
        <is>
          <t>TENOR 1Y: periods 1-4   -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V6" s="138" t="inlineStr">
        <is>
          <t>(3.3)  S = Protection / ( Premium - AccruedInterest*D(T_s) )  at C=1bp</t>
        </is>
      </c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  <c r="V7" s="137" t="n"/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  <c r="V8" s="137" t="inlineStr">
        <is>
          <t>as a root:</t>
        </is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  <c r="V9" s="138" t="inlineStr">
        <is>
          <t xml:space="preserve">  f(h) = (1-R)*ProtCum(h) - S*( RPV01Cum(h) - D0*D(T_s) )</t>
        </is>
      </c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  <c r="V10" s="138" t="inlineStr">
        <is>
          <t xml:space="preserve">  ProtCum  = ProtFixed  + SUM Z(mid)*dPD          over this segment</t>
        </is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  <c r="V11" s="138" t="inlineStr">
        <is>
          <t xml:space="preserve">  RPV01Cum = RPV01Fixed + SUM alpha*Z(end)*Q</t>
        </is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  <c r="V12" s="138" t="inlineStr">
        <is>
          <t xml:space="preserve">                        + (1/2) SUM alpha*Z(mid)*dPD</t>
        </is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  <c r="V13" s="137" t="n"/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  <c r="V14" s="139" t="inlineStr">
        <is>
          <t>ProtFixed / RPV01Fixed carry in from the shorter tenors, already solved.</t>
        </is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  <c r="V15" s="139" t="inlineStr">
        <is>
          <t>That carry IS the bootstrap: only h_k is unknown on each block.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(1-$F$7)*($D$8+R16)-$D$7*(($F$8+S16)-CDS_Parameters!$B$26)</f>
        <v/>
      </c>
      <c r="V16" s="137" t="n"/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(1-$F$7)*($D$8+R17)-$D$7*(($F$8+S17)-CDS_Parameters!$B$26)</f>
        <v/>
      </c>
      <c r="V17" s="138" t="inlineStr">
        <is>
          <t>survival  Q(t) = Q(t_k-1) * exp(-h_k*(t - t_k-1))          B-Model p.5</t>
        </is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(1-$F$7)*($D$8+R18)-$D$7*(($F$8+S18)-CDS_Parameters!$B$26)</f>
        <v/>
      </c>
      <c r="V18" s="137" t="inlineStr">
        <is>
          <t>method    1-D root search per maturity, earlier hazards held</t>
        </is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(1-$F$7)*($D$8+R19)-$D$7*(($F$8+S19)-CDS_Parameters!$B$26)</f>
        <v/>
      </c>
      <c r="V19" s="139" t="inlineStr">
        <is>
          <t xml:space="preserve">          B-Model S4 p.8 ; O-T S9, footnote 8 names bisection</t>
        </is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(1-$F$7)*($D$8+R20)-$D$7*(($F$8+S20)-CDS_Parameters!$B$26)</f>
        <v/>
      </c>
      <c r="V20" s="137" t="inlineStr">
        <is>
          <t>bracket   [0,3], 30 halvings -&gt; ~3e-9.  h &gt;= 0 is hard (p.8)</t>
        </is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(1-$F$7)*($D$8+R21)-$D$7*(($F$8+S21)-CDS_Parameters!$B$26)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(1-$F$7)*($D$8+R22)-$D$7*(($F$8+S22)-CDS_Parameters!$B$26)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(1-$F$7)*($D$8+R23)-$D$7*(($F$8+S23)-CDS_Parameters!$B$26)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(1-$F$7)*($D$8+R24)-$D$7*(($F$8+S24)-CDS_Parameters!$B$26)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(1-$F$7)*($D$8+R25)-$D$7*(($F$8+S25)-CDS_Parameters!$B$26)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(1-$F$7)*($D$8+R26)-$D$7*(($F$8+S26)-CDS_Parameters!$B$26)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(1-$F$7)*($D$8+R27)-$D$7*(($F$8+S27)-CDS_Parameters!$B$26)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(1-$F$7)*($D$8+R28)-$D$7*(($F$8+S28)-CDS_Parameters!$B$26)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(1-$F$7)*($D$8+R29)-$D$7*(($F$8+S29)-CDS_Parameters!$B$26)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(1-$F$7)*($D$8+R30)-$D$7*(($F$8+S30)-CDS_Parameters!$B$26)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(1-$F$7)*($D$8+R31)-$D$7*(($F$8+S31)-CDS_Parameters!$B$26)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(1-$F$7)*($D$8+R32)-$D$7*(($F$8+S32)-CDS_Parameters!$B$26)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(1-$F$7)*($D$8+R33)-$D$7*(($F$8+S33)-CDS_Parameters!$B$26)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(1-$F$7)*($D$8+R34)-$D$7*(($F$8+S34)-CDS_Parameters!$B$26)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(1-$F$7)*($D$8+R35)-$D$7*(($F$8+S35)-CDS_Parameters!$B$26)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(1-$F$7)*($D$8+R36)-$D$7*(($F$8+S36)-CDS_Parameters!$B$26)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(1-$F$7)*($D$8+R37)-$D$7*(($F$8+S37)-CDS_Parameters!$B$26)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(1-$F$7)*($D$8+R38)-$D$7*(($F$8+S38)-CDS_Parameters!$B$26)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(1-$F$7)*($D$8+R39)-$D$7*(($F$8+S39)-CDS_Parameters!$B$26)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(1-$F$7)*($D$8+R40)-$D$7*(($F$8+S40)-CDS_Parameters!$B$26)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(1-$F$7)*($D$8+R41)-$D$7*(($F$8+S41)-CDS_Parameters!$B$26)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(1-$F$7)*($D$8+R42)-$D$7*(($F$8+S42)-CDS_Parameters!$B$26)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(1-$F$7)*($D$8+R43)-$D$7*(($F$8+S43)-CDS_Parameters!$B$26)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(1-$F$7)*($D$8+R44)-$D$7*(($F$8+S44)-CDS_Parameters!$B$26)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(1-$F$7)*($D$8+R45)-$D$7*(($F$8+S45)-CDS_Parameters!$B$26)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2Y: periods 5-8   -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(1-$F$50)*($D$51+R59)-$D$50*(($F$51+S59)-CDS_Parameters!$B$26)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(1-$F$50)*($D$51+R60)-$D$50*(($F$51+S60)-CDS_Parameters!$B$26)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(1-$F$50)*($D$51+R61)-$D$50*(($F$51+S61)-CDS_Parameters!$B$26)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(1-$F$50)*($D$51+R62)-$D$50*(($F$51+S62)-CDS_Parameters!$B$26)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(1-$F$50)*($D$51+R63)-$D$50*(($F$51+S63)-CDS_Parameters!$B$26)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(1-$F$50)*($D$51+R64)-$D$50*(($F$51+S64)-CDS_Parameters!$B$26)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(1-$F$50)*($D$51+R65)-$D$50*(($F$51+S65)-CDS_Parameters!$B$26)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(1-$F$50)*($D$51+R66)-$D$50*(($F$51+S66)-CDS_Parameters!$B$26)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(1-$F$50)*($D$51+R67)-$D$50*(($F$51+S67)-CDS_Parameters!$B$26)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(1-$F$50)*($D$51+R68)-$D$50*(($F$51+S68)-CDS_Parameters!$B$26)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(1-$F$50)*($D$51+R69)-$D$50*(($F$51+S69)-CDS_Parameters!$B$26)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(1-$F$50)*($D$51+R70)-$D$50*(($F$51+S70)-CDS_Parameters!$B$26)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(1-$F$50)*($D$51+R71)-$D$50*(($F$51+S71)-CDS_Parameters!$B$26)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(1-$F$50)*($D$51+R72)-$D$50*(($F$51+S72)-CDS_Parameters!$B$26)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(1-$F$50)*($D$51+R73)-$D$50*(($F$51+S73)-CDS_Parameters!$B$26)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(1-$F$50)*($D$51+R74)-$D$50*(($F$51+S74)-CDS_Parameters!$B$26)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(1-$F$50)*($D$51+R75)-$D$50*(($F$51+S75)-CDS_Parameters!$B$26)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(1-$F$50)*($D$51+R76)-$D$50*(($F$51+S76)-CDS_Parameters!$B$26)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(1-$F$50)*($D$51+R77)-$D$50*(($F$51+S77)-CDS_Parameters!$B$26)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(1-$F$50)*($D$51+R78)-$D$50*(($F$51+S78)-CDS_Parameters!$B$26)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(1-$F$50)*($D$51+R79)-$D$50*(($F$51+S79)-CDS_Parameters!$B$26)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(1-$F$50)*($D$51+R80)-$D$50*(($F$51+S80)-CDS_Parameters!$B$26)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(1-$F$50)*($D$51+R81)-$D$50*(($F$51+S81)-CDS_Parameters!$B$26)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(1-$F$50)*($D$51+R82)-$D$50*(($F$51+S82)-CDS_Parameters!$B$26)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(1-$F$50)*($D$51+R83)-$D$50*(($F$51+S83)-CDS_Parameters!$B$26)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(1-$F$50)*($D$51+R84)-$D$50*(($F$51+S84)-CDS_Parameters!$B$26)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(1-$F$50)*($D$51+R85)-$D$50*(($F$51+S85)-CDS_Parameters!$B$26)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(1-$F$50)*($D$51+R86)-$D$50*(($F$51+S86)-CDS_Parameters!$B$26)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(1-$F$50)*($D$51+R87)-$D$50*(($F$51+S87)-CDS_Parameters!$B$26)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(1-$F$50)*($D$51+R88)-$D$50*(($F$51+S88)-CDS_Parameters!$B$26)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3Y: periods 9-12   -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(1-$F$93)*($D$94+R102)-$D$93*(($F$94+S102)-CDS_Parameters!$B$26)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(1-$F$93)*($D$94+R103)-$D$93*(($F$94+S103)-CDS_Parameters!$B$26)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(1-$F$93)*($D$94+R104)-$D$93*(($F$94+S104)-CDS_Parameters!$B$26)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(1-$F$93)*($D$94+R105)-$D$93*(($F$94+S105)-CDS_Parameters!$B$26)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(1-$F$93)*($D$94+R106)-$D$93*(($F$94+S106)-CDS_Parameters!$B$26)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(1-$F$93)*($D$94+R107)-$D$93*(($F$94+S107)-CDS_Parameters!$B$26)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(1-$F$93)*($D$94+R108)-$D$93*(($F$94+S108)-CDS_Parameters!$B$26)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(1-$F$93)*($D$94+R109)-$D$93*(($F$94+S109)-CDS_Parameters!$B$26)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(1-$F$93)*($D$94+R110)-$D$93*(($F$94+S110)-CDS_Parameters!$B$26)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(1-$F$93)*($D$94+R111)-$D$93*(($F$94+S111)-CDS_Parameters!$B$26)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(1-$F$93)*($D$94+R112)-$D$93*(($F$94+S112)-CDS_Parameters!$B$26)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(1-$F$93)*($D$94+R113)-$D$93*(($F$94+S113)-CDS_Parameters!$B$26)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(1-$F$93)*($D$94+R114)-$D$93*(($F$94+S114)-CDS_Parameters!$B$26)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(1-$F$93)*($D$94+R115)-$D$93*(($F$94+S115)-CDS_Parameters!$B$26)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(1-$F$93)*($D$94+R116)-$D$93*(($F$94+S116)-CDS_Parameters!$B$26)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(1-$F$93)*($D$94+R117)-$D$93*(($F$94+S117)-CDS_Parameters!$B$26)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(1-$F$93)*($D$94+R118)-$D$93*(($F$94+S118)-CDS_Parameters!$B$26)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(1-$F$93)*($D$94+R119)-$D$93*(($F$94+S119)-CDS_Parameters!$B$26)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(1-$F$93)*($D$94+R120)-$D$93*(($F$94+S120)-CDS_Parameters!$B$26)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(1-$F$93)*($D$94+R121)-$D$93*(($F$94+S121)-CDS_Parameters!$B$26)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(1-$F$93)*($D$94+R122)-$D$93*(($F$94+S122)-CDS_Parameters!$B$26)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(1-$F$93)*($D$94+R123)-$D$93*(($F$94+S123)-CDS_Parameters!$B$26)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(1-$F$93)*($D$94+R124)-$D$93*(($F$94+S124)-CDS_Parameters!$B$26)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(1-$F$93)*($D$94+R125)-$D$93*(($F$94+S125)-CDS_Parameters!$B$26)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(1-$F$93)*($D$94+R126)-$D$93*(($F$94+S126)-CDS_Parameters!$B$26)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(1-$F$93)*($D$94+R127)-$D$93*(($F$94+S127)-CDS_Parameters!$B$26)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(1-$F$93)*($D$94+R128)-$D$93*(($F$94+S128)-CDS_Parameters!$B$26)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(1-$F$93)*($D$94+R129)-$D$93*(($F$94+S129)-CDS_Parameters!$B$26)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(1-$F$93)*($D$94+R130)-$D$93*(($F$94+S130)-CDS_Parameters!$B$26)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(1-$F$93)*($D$94+R131)-$D$93*(($F$94+S131)-CDS_Parameters!$B$26)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5Y: periods 13-20   -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(1-$F$136)*($D$137+R145)-$D$136*(($F$137+S145)-CDS_Parameters!$B$26)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(1-$F$136)*($D$137+R146)-$D$136*(($F$137+S146)-CDS_Parameters!$B$26)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(1-$F$136)*($D$137+R147)-$D$136*(($F$137+S147)-CDS_Parameters!$B$26)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(1-$F$136)*($D$137+R148)-$D$136*(($F$137+S148)-CDS_Parameters!$B$26)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(1-$F$136)*($D$137+R149)-$D$136*(($F$137+S149)-CDS_Parameters!$B$26)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(1-$F$136)*($D$137+R150)-$D$136*(($F$137+S150)-CDS_Parameters!$B$26)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(1-$F$136)*($D$137+R151)-$D$136*(($F$137+S151)-CDS_Parameters!$B$26)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(1-$F$136)*($D$137+R152)-$D$136*(($F$137+S152)-CDS_Parameters!$B$26)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(1-$F$136)*($D$137+R153)-$D$136*(($F$137+S153)-CDS_Parameters!$B$26)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(1-$F$136)*($D$137+R154)-$D$136*(($F$137+S154)-CDS_Parameters!$B$26)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(1-$F$136)*($D$137+R155)-$D$136*(($F$137+S155)-CDS_Parameters!$B$26)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(1-$F$136)*($D$137+R156)-$D$136*(($F$137+S156)-CDS_Parameters!$B$26)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(1-$F$136)*($D$137+R157)-$D$136*(($F$137+S157)-CDS_Parameters!$B$26)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(1-$F$136)*($D$137+R158)-$D$136*(($F$137+S158)-CDS_Parameters!$B$26)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(1-$F$136)*($D$137+R159)-$D$136*(($F$137+S159)-CDS_Parameters!$B$26)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(1-$F$136)*($D$137+R160)-$D$136*(($F$137+S160)-CDS_Parameters!$B$26)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(1-$F$136)*($D$137+R161)-$D$136*(($F$137+S161)-CDS_Parameters!$B$26)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(1-$F$136)*($D$137+R162)-$D$136*(($F$137+S162)-CDS_Parameters!$B$26)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(1-$F$136)*($D$137+R163)-$D$136*(($F$137+S163)-CDS_Parameters!$B$26)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(1-$F$136)*($D$137+R164)-$D$136*(($F$137+S164)-CDS_Parameters!$B$26)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(1-$F$136)*($D$137+R165)-$D$136*(($F$137+S165)-CDS_Parameters!$B$26)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(1-$F$136)*($D$137+R166)-$D$136*(($F$137+S166)-CDS_Parameters!$B$26)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(1-$F$136)*($D$137+R167)-$D$136*(($F$137+S167)-CDS_Parameters!$B$26)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(1-$F$136)*($D$137+R168)-$D$136*(($F$137+S168)-CDS_Parameters!$B$26)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(1-$F$136)*($D$137+R169)-$D$136*(($F$137+S169)-CDS_Parameters!$B$26)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(1-$F$136)*($D$137+R170)-$D$136*(($F$137+S170)-CDS_Parameters!$B$26)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(1-$F$136)*($D$137+R171)-$D$136*(($F$137+S171)-CDS_Parameters!$B$26)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(1-$F$136)*($D$137+R172)-$D$136*(($F$137+S172)-CDS_Parameters!$B$26)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(1-$F$136)*($D$137+R173)-$D$136*(($F$137+S173)-CDS_Parameters!$B$26)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(1-$F$136)*($D$137+R174)-$D$136*(($F$137+S174)-CDS_Parameters!$B$26)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7Y: periods 21-28   -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(1-$F$179)*($D$180+R188)-$D$179*(($F$180+S188)-CDS_Parameters!$B$26)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(1-$F$179)*($D$180+R189)-$D$179*(($F$180+S189)-CDS_Parameters!$B$26)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(1-$F$179)*($D$180+R190)-$D$179*(($F$180+S190)-CDS_Parameters!$B$26)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(1-$F$179)*($D$180+R191)-$D$179*(($F$180+S191)-CDS_Parameters!$B$26)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(1-$F$179)*($D$180+R192)-$D$179*(($F$180+S192)-CDS_Parameters!$B$26)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(1-$F$179)*($D$180+R193)-$D$179*(($F$180+S193)-CDS_Parameters!$B$26)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(1-$F$179)*($D$180+R194)-$D$179*(($F$180+S194)-CDS_Parameters!$B$26)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(1-$F$179)*($D$180+R195)-$D$179*(($F$180+S195)-CDS_Parameters!$B$26)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(1-$F$179)*($D$180+R196)-$D$179*(($F$180+S196)-CDS_Parameters!$B$26)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(1-$F$179)*($D$180+R197)-$D$179*(($F$180+S197)-CDS_Parameters!$B$26)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(1-$F$179)*($D$180+R198)-$D$179*(($F$180+S198)-CDS_Parameters!$B$26)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(1-$F$179)*($D$180+R199)-$D$179*(($F$180+S199)-CDS_Parameters!$B$26)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(1-$F$179)*($D$180+R200)-$D$179*(($F$180+S200)-CDS_Parameters!$B$26)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(1-$F$179)*($D$180+R201)-$D$179*(($F$180+S201)-CDS_Parameters!$B$26)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(1-$F$179)*($D$180+R202)-$D$179*(($F$180+S202)-CDS_Parameters!$B$26)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(1-$F$179)*($D$180+R203)-$D$179*(($F$180+S203)-CDS_Parameters!$B$26)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(1-$F$179)*($D$180+R204)-$D$179*(($F$180+S204)-CDS_Parameters!$B$26)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(1-$F$179)*($D$180+R205)-$D$179*(($F$180+S205)-CDS_Parameters!$B$26)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(1-$F$179)*($D$180+R206)-$D$179*(($F$180+S206)-CDS_Parameters!$B$26)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(1-$F$179)*($D$180+R207)-$D$179*(($F$180+S207)-CDS_Parameters!$B$26)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(1-$F$179)*($D$180+R208)-$D$179*(($F$180+S208)-CDS_Parameters!$B$26)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(1-$F$179)*($D$180+R209)-$D$179*(($F$180+S209)-CDS_Parameters!$B$26)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(1-$F$179)*($D$180+R210)-$D$179*(($F$180+S210)-CDS_Parameters!$B$26)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(1-$F$179)*($D$180+R211)-$D$179*(($F$180+S211)-CDS_Parameters!$B$26)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(1-$F$179)*($D$180+R212)-$D$179*(($F$180+S212)-CDS_Parameters!$B$26)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(1-$F$179)*($D$180+R213)-$D$179*(($F$180+S213)-CDS_Parameters!$B$26)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(1-$F$179)*($D$180+R214)-$D$179*(($F$180+S214)-CDS_Parameters!$B$26)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(1-$F$179)*($D$180+R215)-$D$179*(($F$180+S215)-CDS_Parameters!$B$26)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(1-$F$179)*($D$180+R216)-$D$179*(($F$180+S216)-CDS_Parameters!$B$26)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(1-$F$179)*($D$180+R217)-$D$179*(($F$180+S217)-CDS_Parameters!$B$26)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10Y: periods 29-40   -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(1-$F$222)*($D$223+R231)-$D$222*(($F$223+S231)-CDS_Parameters!$B$26)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(1-$F$222)*($D$223+R232)-$D$222*(($F$223+S232)-CDS_Parameters!$B$26)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(1-$F$222)*($D$223+R233)-$D$222*(($F$223+S233)-CDS_Parameters!$B$26)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(1-$F$222)*($D$223+R234)-$D$222*(($F$223+S234)-CDS_Parameters!$B$26)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(1-$F$222)*($D$223+R235)-$D$222*(($F$223+S235)-CDS_Parameters!$B$26)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(1-$F$222)*($D$223+R236)-$D$222*(($F$223+S236)-CDS_Parameters!$B$26)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(1-$F$222)*($D$223+R237)-$D$222*(($F$223+S237)-CDS_Parameters!$B$26)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(1-$F$222)*($D$223+R238)-$D$222*(($F$223+S238)-CDS_Parameters!$B$26)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(1-$F$222)*($D$223+R239)-$D$222*(($F$223+S239)-CDS_Parameters!$B$26)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(1-$F$222)*($D$223+R240)-$D$222*(($F$223+S240)-CDS_Parameters!$B$26)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(1-$F$222)*($D$223+R241)-$D$222*(($F$223+S241)-CDS_Parameters!$B$26)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(1-$F$222)*($D$223+R242)-$D$222*(($F$223+S242)-CDS_Parameters!$B$26)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(1-$F$222)*($D$223+R243)-$D$222*(($F$223+S243)-CDS_Parameters!$B$26)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(1-$F$222)*($D$223+R244)-$D$222*(($F$223+S244)-CDS_Parameters!$B$26)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(1-$F$222)*($D$223+R245)-$D$222*(($F$223+S245)-CDS_Parameters!$B$26)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(1-$F$222)*($D$223+R246)-$D$222*(($F$223+S246)-CDS_Parameters!$B$26)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(1-$F$222)*($D$223+R247)-$D$222*(($F$223+S247)-CDS_Parameters!$B$26)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(1-$F$222)*($D$223+R248)-$D$222*(($F$223+S248)-CDS_Parameters!$B$26)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(1-$F$222)*($D$223+R249)-$D$222*(($F$223+S249)-CDS_Parameters!$B$26)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(1-$F$222)*($D$223+R250)-$D$222*(($F$223+S250)-CDS_Parameters!$B$26)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(1-$F$222)*($D$223+R251)-$D$222*(($F$223+S251)-CDS_Parameters!$B$26)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(1-$F$222)*($D$223+R252)-$D$222*(($F$223+S252)-CDS_Parameters!$B$26)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(1-$F$222)*($D$223+R253)-$D$222*(($F$223+S253)-CDS_Parameters!$B$26)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(1-$F$222)*($D$223+R254)-$D$222*(($F$223+S254)-CDS_Parameters!$B$26)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(1-$F$222)*($D$223+R255)-$D$222*(($F$223+S255)-CDS_Parameters!$B$26)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(1-$F$222)*($D$223+R256)-$D$222*(($F$223+S256)-CDS_Parameters!$B$26)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(1-$F$222)*($D$223+R257)-$D$222*(($F$223+S257)-CDS_Parameters!$B$26)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(1-$F$222)*($D$223+R258)-$D$222*(($F$223+S258)-CDS_Parameters!$B$26)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(1-$F$222)*($D$223+R259)-$D$222*(($F$223+S259)-CDS_Parameters!$B$26)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(1-$F$222)*($D$223+R260)-$D$222*(($F$223+S260)-CDS_Parameters!$B$26)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CDS_Entities: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test: see TEST_CASES.md.</t>
        </is>
      </c>
      <c r="B3" s="177" t="inlineStr">
        <is>
          <t>display only - the ticker in use comes from Entities!F4</t>
        </is>
      </c>
      <c r="H3" s="67" t="inlineStr">
        <is>
          <t>TERM STRUCTURE (T3)</t>
        </is>
      </c>
      <c r="O3" s="177" t="inlineStr">
        <is>
          <t>CDSW capture - context</t>
        </is>
      </c>
      <c r="S3" s="177" t="inlineStr">
        <is>
          <t>CDSW capture - compared on CDS_Pricer rows 44-54</t>
        </is>
      </c>
      <c r="AE3" s="67" t="inlineStr">
        <is>
          <t>DYNAMIC PULL: Help Desk H#1330731572</t>
        </is>
      </c>
      <c r="AR3" s="177" t="inlineStr">
        <is>
          <t>in use = Entities effective block (override &gt; BDP &gt; manual)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>
        <f>IF(Entities!$B7="","",Entities!$B7)</f>
        <v/>
      </c>
      <c r="B5" s="68">
        <f>IF(Entities!$C7="","",Entities!$C7)</f>
        <v/>
      </c>
      <c r="C5" s="68">
        <f>IF(Entities!$D7="","",Entities!$D7)</f>
        <v/>
      </c>
      <c r="D5" s="68">
        <f>IF(Entities!$L7="","",Entities!$L7)</f>
        <v/>
      </c>
      <c r="E5" s="68">
        <f>IF(Entities!$M7="","",Entities!$M7)</f>
        <v/>
      </c>
      <c r="F5" s="147">
        <f>IF(Entities!$N7="",0.4,Entities!$N7)</f>
        <v/>
      </c>
      <c r="G5" s="111" t="n">
        <v>46224</v>
      </c>
      <c r="H5" s="64" t="n"/>
      <c r="I5" s="64" t="n"/>
      <c r="J5" s="64" t="n"/>
      <c r="K5" s="64" t="n">
        <v>55.1514</v>
      </c>
      <c r="L5" s="64" t="n"/>
      <c r="M5" s="64" t="n"/>
      <c r="O5" s="118" t="n">
        <v>10000000</v>
      </c>
      <c r="P5" s="64" t="n">
        <v>100</v>
      </c>
      <c r="Q5" s="111" t="n">
        <v>48019</v>
      </c>
      <c r="R5" s="64" t="n">
        <v>55.1514</v>
      </c>
      <c r="S5" s="148" t="n">
        <v>-1.97596265</v>
      </c>
      <c r="T5" s="148" t="n">
        <v>101.97596265</v>
      </c>
      <c r="U5" s="118" t="n">
        <v>-197597</v>
      </c>
      <c r="V5" s="95" t="n">
        <v>30</v>
      </c>
      <c r="W5" s="118" t="n">
        <v>-8333</v>
      </c>
      <c r="X5" s="118" t="n">
        <v>-205930</v>
      </c>
      <c r="Y5" s="118" t="n">
        <v>4482.41</v>
      </c>
      <c r="Z5" s="118" t="n">
        <v>47.71</v>
      </c>
      <c r="AA5" s="118" t="n">
        <v>72</v>
      </c>
      <c r="AB5" s="118" t="n">
        <v>6197596</v>
      </c>
      <c r="AC5" s="64" t="n">
        <v>0.0446</v>
      </c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IF(Entities!$F21="",0,Entities!$F21)</f>
        <v/>
      </c>
      <c r="AS5" s="133">
        <f>IF(Entities!$G21="",0,Entities!$G21)</f>
        <v/>
      </c>
      <c r="AT5" s="133">
        <f>IF(Entities!$H21="",0,Entities!$H21)</f>
        <v/>
      </c>
      <c r="AU5" s="133">
        <f>IF(Entities!$I21="",0,Entities!$I21)</f>
        <v/>
      </c>
      <c r="AV5" s="133">
        <f>IF(Entities!$J21="",0,Entities!$J21)</f>
        <v/>
      </c>
      <c r="AW5" s="133">
        <f>IF(Entities!$K21="",0,Entities!$K21)</f>
        <v/>
      </c>
    </row>
    <row r="6">
      <c r="A6" s="68">
        <f>IF(Entities!$B8="","",Entities!$B8)</f>
        <v/>
      </c>
      <c r="B6" s="68">
        <f>IF(Entities!$C8="","",Entities!$C8)</f>
        <v/>
      </c>
      <c r="C6" s="68">
        <f>IF(Entities!$D8="","",Entities!$D8)</f>
        <v/>
      </c>
      <c r="D6" s="68">
        <f>IF(Entities!$L8="","",Entities!$L8)</f>
        <v/>
      </c>
      <c r="E6" s="68">
        <f>IF(Entities!$M8="","",Entities!$M8)</f>
        <v/>
      </c>
      <c r="F6" s="147">
        <f>IF(Entities!$N8="",0.4,Entities!$N8)</f>
        <v/>
      </c>
      <c r="G6" s="111" t="n"/>
      <c r="H6" s="64" t="n">
        <v>40</v>
      </c>
      <c r="I6" s="64" t="n">
        <v>55</v>
      </c>
      <c r="J6" s="64" t="n">
        <v>70</v>
      </c>
      <c r="K6" s="64" t="n">
        <v>95</v>
      </c>
      <c r="L6" s="64" t="n">
        <v>115</v>
      </c>
      <c r="M6" s="64" t="n">
        <v>135</v>
      </c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IF(Entities!$F22="",0,Entities!$F22)</f>
        <v/>
      </c>
      <c r="AS6" s="133">
        <f>IF(Entities!$G22="",0,Entities!$G22)</f>
        <v/>
      </c>
      <c r="AT6" s="133">
        <f>IF(Entities!$H22="",0,Entities!$H22)</f>
        <v/>
      </c>
      <c r="AU6" s="133">
        <f>IF(Entities!$I22="",0,Entities!$I22)</f>
        <v/>
      </c>
      <c r="AV6" s="133">
        <f>IF(Entities!$J22="",0,Entities!$J22)</f>
        <v/>
      </c>
      <c r="AW6" s="133">
        <f>IF(Entities!$K22="",0,Entities!$K22)</f>
        <v/>
      </c>
    </row>
    <row r="7">
      <c r="A7" s="68">
        <f>IF(Entities!$B9="","",Entities!$B9)</f>
        <v/>
      </c>
      <c r="B7" s="68">
        <f>IF(Entities!$C9="","",Entities!$C9)</f>
        <v/>
      </c>
      <c r="C7" s="68">
        <f>IF(Entities!$D9="","",Entities!$D9)</f>
        <v/>
      </c>
      <c r="D7" s="68">
        <f>IF(Entities!$L9="","",Entities!$L9)</f>
        <v/>
      </c>
      <c r="E7" s="68">
        <f>IF(Entities!$M9="","",Entities!$M9)</f>
        <v/>
      </c>
      <c r="F7" s="147">
        <f>IF(Entities!$N9="",0.4,Entities!$N9)</f>
        <v/>
      </c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IF(Entities!$F23="",0,Entities!$F23)</f>
        <v/>
      </c>
      <c r="AS7" s="133">
        <f>IF(Entities!$G23="",0,Entities!$G23)</f>
        <v/>
      </c>
      <c r="AT7" s="133">
        <f>IF(Entities!$H23="",0,Entities!$H23)</f>
        <v/>
      </c>
      <c r="AU7" s="133">
        <f>IF(Entities!$I23="",0,Entities!$I23)</f>
        <v/>
      </c>
      <c r="AV7" s="133">
        <f>IF(Entities!$J23="",0,Entities!$J23)</f>
        <v/>
      </c>
      <c r="AW7" s="133">
        <f>IF(Entities!$K23="",0,Entities!$K23)</f>
        <v/>
      </c>
    </row>
    <row r="8">
      <c r="A8" s="68">
        <f>IF(Entities!$B10="","",Entities!$B10)</f>
        <v/>
      </c>
      <c r="B8" s="68">
        <f>IF(Entities!$C10="","",Entities!$C10)</f>
        <v/>
      </c>
      <c r="C8" s="68">
        <f>IF(Entities!$D10="","",Entities!$D10)</f>
        <v/>
      </c>
      <c r="D8" s="68">
        <f>IF(Entities!$L10="","",Entities!$L10)</f>
        <v/>
      </c>
      <c r="E8" s="68">
        <f>IF(Entities!$M10="","",Entities!$M10)</f>
        <v/>
      </c>
      <c r="F8" s="147">
        <f>IF(Entities!$N10="",0.4,Entities!$N10)</f>
        <v/>
      </c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IF(Entities!$F24="",0,Entities!$F24)</f>
        <v/>
      </c>
      <c r="AS8" s="133">
        <f>IF(Entities!$G24="",0,Entities!$G24)</f>
        <v/>
      </c>
      <c r="AT8" s="133">
        <f>IF(Entities!$H24="",0,Entities!$H24)</f>
        <v/>
      </c>
      <c r="AU8" s="133">
        <f>IF(Entities!$I24="",0,Entities!$I24)</f>
        <v/>
      </c>
      <c r="AV8" s="133">
        <f>IF(Entities!$J24="",0,Entities!$J24)</f>
        <v/>
      </c>
      <c r="AW8" s="133">
        <f>IF(Entities!$K24="",0,Entities!$K24)</f>
        <v/>
      </c>
    </row>
    <row r="9">
      <c r="A9" s="68">
        <f>IF(Entities!$B11="","",Entities!$B11)</f>
        <v/>
      </c>
      <c r="B9" s="68">
        <f>IF(Entities!$C11="","",Entities!$C11)</f>
        <v/>
      </c>
      <c r="C9" s="68">
        <f>IF(Entities!$D11="","",Entities!$D11)</f>
        <v/>
      </c>
      <c r="D9" s="68">
        <f>IF(Entities!$L11="","",Entities!$L11)</f>
        <v/>
      </c>
      <c r="E9" s="68">
        <f>IF(Entities!$M11="","",Entities!$M11)</f>
        <v/>
      </c>
      <c r="F9" s="147">
        <f>IF(Entities!$N11="",0.4,Entities!$N11)</f>
        <v/>
      </c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IF(Entities!$F25="",0,Entities!$F25)</f>
        <v/>
      </c>
      <c r="AS9" s="133">
        <f>IF(Entities!$G25="",0,Entities!$G25)</f>
        <v/>
      </c>
      <c r="AT9" s="133">
        <f>IF(Entities!$H25="",0,Entities!$H25)</f>
        <v/>
      </c>
      <c r="AU9" s="133">
        <f>IF(Entities!$I25="",0,Entities!$I25)</f>
        <v/>
      </c>
      <c r="AV9" s="133">
        <f>IF(Entities!$J25="",0,Entities!$J25)</f>
        <v/>
      </c>
      <c r="AW9" s="133">
        <f>IF(Entities!$K25="",0,Entities!$K25)</f>
        <v/>
      </c>
    </row>
    <row r="10">
      <c r="A10" s="68">
        <f>IF(Entities!$B12="","",Entities!$B12)</f>
        <v/>
      </c>
      <c r="B10" s="68">
        <f>IF(Entities!$C12="","",Entities!$C12)</f>
        <v/>
      </c>
      <c r="C10" s="68">
        <f>IF(Entities!$D12="","",Entities!$D12)</f>
        <v/>
      </c>
      <c r="D10" s="68">
        <f>IF(Entities!$L12="","",Entities!$L12)</f>
        <v/>
      </c>
      <c r="E10" s="68">
        <f>IF(Entities!$M12="","",Entities!$M12)</f>
        <v/>
      </c>
      <c r="F10" s="147">
        <f>IF(Entities!$N12="",0.4,Entities!$N12)</f>
        <v/>
      </c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IF(Entities!$F26="",0,Entities!$F26)</f>
        <v/>
      </c>
      <c r="AS10" s="133">
        <f>IF(Entities!$G26="",0,Entities!$G26)</f>
        <v/>
      </c>
      <c r="AT10" s="133">
        <f>IF(Entities!$H26="",0,Entities!$H26)</f>
        <v/>
      </c>
      <c r="AU10" s="133">
        <f>IF(Entities!$I26="",0,Entities!$I26)</f>
        <v/>
      </c>
      <c r="AV10" s="133">
        <f>IF(Entities!$J26="",0,Entities!$J26)</f>
        <v/>
      </c>
      <c r="AW10" s="133">
        <f>IF(Entities!$K26="",0,Entities!$K26)</f>
        <v/>
      </c>
    </row>
    <row r="11">
      <c r="A11" s="68">
        <f>IF(Entities!$B13="","",Entities!$B13)</f>
        <v/>
      </c>
      <c r="B11" s="68">
        <f>IF(Entities!$C13="","",Entities!$C13)</f>
        <v/>
      </c>
      <c r="C11" s="68">
        <f>IF(Entities!$D13="","",Entities!$D13)</f>
        <v/>
      </c>
      <c r="D11" s="68">
        <f>IF(Entities!$L13="","",Entities!$L13)</f>
        <v/>
      </c>
      <c r="E11" s="68">
        <f>IF(Entities!$M13="","",Entities!$M13)</f>
        <v/>
      </c>
      <c r="F11" s="147">
        <f>IF(Entities!$N13="",0.4,Entities!$N13)</f>
        <v/>
      </c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IF(Entities!$F27="",0,Entities!$F27)</f>
        <v/>
      </c>
      <c r="AS11" s="133">
        <f>IF(Entities!$G27="",0,Entities!$G27)</f>
        <v/>
      </c>
      <c r="AT11" s="133">
        <f>IF(Entities!$H27="",0,Entities!$H27)</f>
        <v/>
      </c>
      <c r="AU11" s="133">
        <f>IF(Entities!$I27="",0,Entities!$I27)</f>
        <v/>
      </c>
      <c r="AV11" s="133">
        <f>IF(Entities!$J27="",0,Entities!$J27)</f>
        <v/>
      </c>
      <c r="AW11" s="133">
        <f>IF(Entities!$K27="",0,Entities!$K27)</f>
        <v/>
      </c>
    </row>
    <row r="12">
      <c r="A12" s="68">
        <f>IF(Entities!$B14="","",Entities!$B14)</f>
        <v/>
      </c>
      <c r="B12" s="68">
        <f>IF(Entities!$C14="","",Entities!$C14)</f>
        <v/>
      </c>
      <c r="C12" s="68">
        <f>IF(Entities!$D14="","",Entities!$D14)</f>
        <v/>
      </c>
      <c r="D12" s="68">
        <f>IF(Entities!$L14="","",Entities!$L14)</f>
        <v/>
      </c>
      <c r="E12" s="68">
        <f>IF(Entities!$M14="","",Entities!$M14)</f>
        <v/>
      </c>
      <c r="F12" s="147">
        <f>IF(Entities!$N14="",0.4,Entities!$N14)</f>
        <v/>
      </c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IF(Entities!$F28="",0,Entities!$F28)</f>
        <v/>
      </c>
      <c r="AS12" s="133">
        <f>IF(Entities!$G28="",0,Entities!$G28)</f>
        <v/>
      </c>
      <c r="AT12" s="133">
        <f>IF(Entities!$H28="",0,Entities!$H28)</f>
        <v/>
      </c>
      <c r="AU12" s="133">
        <f>IF(Entities!$I28="",0,Entities!$I28)</f>
        <v/>
      </c>
      <c r="AV12" s="133">
        <f>IF(Entities!$J28="",0,Entities!$J28)</f>
        <v/>
      </c>
      <c r="AW12" s="133">
        <f>IF(Entities!$K28="",0,Entities!$K28)</f>
        <v/>
      </c>
    </row>
    <row r="13">
      <c r="A13" s="68">
        <f>IF(Entities!$B15="","",Entities!$B15)</f>
        <v/>
      </c>
      <c r="B13" s="68">
        <f>IF(Entities!$C15="","",Entities!$C15)</f>
        <v/>
      </c>
      <c r="C13" s="68">
        <f>IF(Entities!$D15="","",Entities!$D15)</f>
        <v/>
      </c>
      <c r="D13" s="68">
        <f>IF(Entities!$L15="","",Entities!$L15)</f>
        <v/>
      </c>
      <c r="E13" s="68">
        <f>IF(Entities!$M15="","",Entities!$M15)</f>
        <v/>
      </c>
      <c r="F13" s="147">
        <f>IF(Entities!$N15="",0.4,Entities!$N15)</f>
        <v/>
      </c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IF(Entities!$F29="",0,Entities!$F29)</f>
        <v/>
      </c>
      <c r="AS13" s="133">
        <f>IF(Entities!$G29="",0,Entities!$G29)</f>
        <v/>
      </c>
      <c r="AT13" s="133">
        <f>IF(Entities!$H29="",0,Entities!$H29)</f>
        <v/>
      </c>
      <c r="AU13" s="133">
        <f>IF(Entities!$I29="",0,Entities!$I29)</f>
        <v/>
      </c>
      <c r="AV13" s="133">
        <f>IF(Entities!$J29="",0,Entities!$J29)</f>
        <v/>
      </c>
      <c r="AW13" s="133">
        <f>IF(Entities!$K29="",0,Entities!$K29)</f>
        <v/>
      </c>
    </row>
    <row r="14">
      <c r="A14" s="68">
        <f>IF(Entities!$B16="","",Entities!$B16)</f>
        <v/>
      </c>
      <c r="B14" s="68">
        <f>IF(Entities!$C16="","",Entities!$C16)</f>
        <v/>
      </c>
      <c r="C14" s="68">
        <f>IF(Entities!$D16="","",Entities!$D16)</f>
        <v/>
      </c>
      <c r="D14" s="68">
        <f>IF(Entities!$L16="","",Entities!$L16)</f>
        <v/>
      </c>
      <c r="E14" s="68">
        <f>IF(Entities!$M16="","",Entities!$M16)</f>
        <v/>
      </c>
      <c r="F14" s="147">
        <f>IF(Entities!$N16="",0.4,Entities!$N16)</f>
        <v/>
      </c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IF(Entities!$F30="",0,Entities!$F30)</f>
        <v/>
      </c>
      <c r="AS14" s="133">
        <f>IF(Entities!$G30="",0,Entities!$G30)</f>
        <v/>
      </c>
      <c r="AT14" s="133">
        <f>IF(Entities!$H30="",0,Entities!$H30)</f>
        <v/>
      </c>
      <c r="AU14" s="133">
        <f>IF(Entities!$I30="",0,Entities!$I30)</f>
        <v/>
      </c>
      <c r="AV14" s="133">
        <f>IF(Entities!$J30="",0,Entities!$J30)</f>
        <v/>
      </c>
      <c r="AW14" s="133">
        <f>IF(Entities!$K30="",0,Entities!$K30)</f>
        <v/>
      </c>
    </row>
    <row r="16">
      <c r="A16" s="66" t="inlineStr">
        <is>
          <t>Row 5 is the reference screen already on file. Only its 5Y spread is known: the rest of its term structure was never captured, which is exactly what T3 is for. Its CDSW outputs ARE known and are the target to hit.</t>
        </is>
      </c>
    </row>
    <row r="17">
      <c r="A17" s="66" t="inlineStr">
        <is>
          <t>Row 5 is the pending real case: only its 5Y spread is known, so its strip fails - a 0/0/0/55/0/0 term structure is not strippable, which is the D8 condition. That is correct behaviour, not a fault. Row 6 is a DEMO curve so the module has something sane to run on until the real term structure arrives.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2026-07-22T14:00:06Z</dcterms:modified>
</cp:coreProperties>
</file>