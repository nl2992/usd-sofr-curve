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Model_Notes" sheetId="3" state="visible" r:id="rId3"/>
    <sheet xmlns:r="http://schemas.openxmlformats.org/officeDocument/2006/relationships" name="Root_Methods" sheetId="4" state="visible" r:id="rId4"/>
    <sheet xmlns:r="http://schemas.openxmlformats.org/officeDocument/2006/relationships" name="Brent_vs_Bisection" sheetId="5" state="visible" r:id="rId5"/>
    <sheet xmlns:r="http://schemas.openxmlformats.org/officeDocument/2006/relationships" name="Curve_Interface" sheetId="6" state="visible" r:id="rId6"/>
    <sheet xmlns:r="http://schemas.openxmlformats.org/officeDocument/2006/relationships" name="CDS_Entities" sheetId="7" state="visible" r:id="rId7"/>
    <sheet xmlns:r="http://schemas.openxmlformats.org/officeDocument/2006/relationships" name="CDS_Parameters" sheetId="8" state="visible" r:id="rId8"/>
    <sheet xmlns:r="http://schemas.openxmlformats.org/officeDocument/2006/relationships" name="CDS_Quotes" sheetId="9" state="visible" r:id="rId9"/>
    <sheet xmlns:r="http://schemas.openxmlformats.org/officeDocument/2006/relationships" name="Hazard_Bootstrap" sheetId="10" state="visible" r:id="rId10"/>
    <sheet xmlns:r="http://schemas.openxmlformats.org/officeDocument/2006/relationships" name="Hazard_Solver" sheetId="11" state="hidden" r:id="rId11"/>
    <sheet xmlns:r="http://schemas.openxmlformats.org/officeDocument/2006/relationships" name="CDS_Schedule" sheetId="12" state="visible" r:id="rId12"/>
    <sheet xmlns:r="http://schemas.openxmlformats.org/officeDocument/2006/relationships" name="CDS_Pricer" sheetId="13" state="visible" r:id="rId13"/>
    <sheet xmlns:r="http://schemas.openxmlformats.org/officeDocument/2006/relationships" name="CDS_Validation" sheetId="14" state="visible" r:id="rId14"/>
  </sheets>
  <definedNames>
    <definedName name="VAL_DATE">Curve_Interface!$O$5</definedName>
  </definedNames>
  <calcPr calcId="124519" fullCalcOnLoad="1" iterate="1" iterateCount="100" iterateDelta="1e-10"/>
</workbook>
</file>

<file path=xl/styles.xml><?xml version="1.0" encoding="utf-8"?>
<styleSheet xmlns="http://schemas.openxmlformats.org/spreadsheetml/2006/main">
  <numFmts count="12">
    <numFmt numFmtId="164" formatCode="mm/dd/yyyy"/>
    <numFmt numFmtId="165" formatCode="0.0000"/>
    <numFmt numFmtId="166" formatCode="0.00000000"/>
    <numFmt numFmtId="167" formatCode="0.0"/>
    <numFmt numFmtId="168" formatCode="0.000000"/>
    <numFmt numFmtId="169" formatCode="0.0000%"/>
    <numFmt numFmtId="170" formatCode="0.000"/>
    <numFmt numFmtId="171" formatCode="0.0000000000"/>
    <numFmt numFmtId="172" formatCode="0.00000"/>
    <numFmt numFmtId="173" formatCode="mm/dd/yy"/>
    <numFmt numFmtId="174" formatCode="0.###"/>
    <numFmt numFmtId="175" formatCode="$#,##0;($#,##0);-"/>
  </numFmts>
  <fonts count="32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444444"/>
      <sz val="9"/>
    </font>
    <font>
      <name val="Arial"/>
      <i val="1"/>
      <color rgb="00666666"/>
      <sz val="9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Calibri"/>
      <b val="1"/>
      <sz val="11"/>
    </font>
    <font>
      <name val="Calibri"/>
      <color rgb="000000FF"/>
      <sz val="11"/>
    </font>
    <font>
      <name val="Calibri"/>
      <i val="1"/>
      <color rgb="00666666"/>
      <sz val="9"/>
    </font>
    <font>
      <name val="Calibri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i val="1"/>
      <color rgb="00C00000"/>
      <sz val="9"/>
    </font>
    <font>
      <name val="Calibri"/>
      <b val="1"/>
      <sz val="12"/>
    </font>
    <font>
      <name val="Calibri"/>
      <b val="1"/>
      <color rgb="001F3864"/>
      <sz val="11"/>
    </font>
    <font>
      <name val="Calibri"/>
      <sz val="10"/>
    </font>
    <font>
      <name val="Consolas"/>
      <sz val="10"/>
    </font>
    <font>
      <name val="Calibri"/>
      <b val="1"/>
      <color rgb="00FFFFFF"/>
      <sz val="10"/>
    </font>
    <font>
      <name val="Consolas"/>
      <sz val="9"/>
    </font>
    <font>
      <name val="Calibri"/>
      <b val="1"/>
      <color rgb="00C00000"/>
      <sz val="11"/>
    </font>
    <font>
      <name val="Calibri"/>
      <i val="1"/>
      <color rgb="00808080"/>
      <sz val="9"/>
    </font>
    <font>
      <name val="Calibri"/>
      <b val="1"/>
      <sz val="14"/>
    </font>
    <font>
      <name val="Calibri"/>
      <color rgb="00808080"/>
      <sz val="9"/>
    </font>
    <font>
      <name val="Calibri"/>
      <b val="1"/>
      <sz val="13"/>
    </font>
    <font>
      <name val="Calibri"/>
      <color rgb="00FF0000"/>
      <sz val="11"/>
    </font>
    <font>
      <name val="Calibri"/>
      <color rgb="00008000"/>
      <sz val="10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C00000"/>
      </patternFill>
    </fill>
    <fill>
      <patternFill patternType="solid">
        <fgColor rgb="007B1FA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3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2" fontId="3" fillId="0" borderId="1" pivotButton="0" quotePrefix="0" xfId="0"/>
    <xf numFmtId="166" fontId="5" fillId="0" borderId="1" pivotButton="0" quotePrefix="0" xfId="0"/>
    <xf numFmtId="165" fontId="3" fillId="2" borderId="1" pivotButton="0" quotePrefix="0" xfId="0"/>
    <xf numFmtId="167" fontId="3" fillId="0" borderId="1" pivotButton="0" quotePrefix="0" xfId="0"/>
    <xf numFmtId="1" fontId="0" fillId="0" borderId="0" pivotButton="0" quotePrefix="0" xfId="0"/>
    <xf numFmtId="165" fontId="0" fillId="0" borderId="0" pivotButton="0" quotePrefix="0" xfId="0"/>
    <xf numFmtId="168" fontId="3" fillId="0" borderId="1" pivotButton="0" quotePrefix="0" xfId="0"/>
    <xf numFmtId="1" fontId="0" fillId="2" borderId="0" pivotButton="0" quotePrefix="0" xfId="0"/>
    <xf numFmtId="166" fontId="3" fillId="0" borderId="1" pivotButton="0" quotePrefix="0" xfId="0"/>
    <xf numFmtId="0" fontId="3" fillId="2" borderId="1" pivotButton="0" quotePrefix="0" xfId="0"/>
    <xf numFmtId="0" fontId="7" fillId="0" borderId="0" applyAlignment="1" pivotButton="0" quotePrefix="0" xfId="0">
      <alignment horizontal="left" vertical="center"/>
    </xf>
    <xf numFmtId="3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8" fontId="3" fillId="2" borderId="1" pivotButton="0" quotePrefix="0" xfId="0"/>
    <xf numFmtId="1" fontId="3" fillId="0" borderId="1" pivotButton="0" quotePrefix="0" xfId="0"/>
    <xf numFmtId="4" fontId="3" fillId="0" borderId="1" pivotButton="0" quotePrefix="0" xfId="0"/>
    <xf numFmtId="4" fontId="10" fillId="0" borderId="1" pivotButton="0" quotePrefix="0" xfId="0"/>
    <xf numFmtId="164" fontId="7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2" fontId="0" fillId="0" borderId="0" pivotButton="0" quotePrefix="0" xfId="0"/>
    <xf numFmtId="169" fontId="0" fillId="0" borderId="0" pivotButton="0" quotePrefix="0" xfId="0"/>
    <xf numFmtId="169" fontId="3" fillId="0" borderId="1" pivotButton="0" quotePrefix="0" xfId="0"/>
    <xf numFmtId="11" fontId="3" fillId="0" borderId="1" pivotButton="0" quotePrefix="0" xfId="0"/>
    <xf numFmtId="9" fontId="3" fillId="2" borderId="1" pivotButton="0" quotePrefix="0" xfId="0"/>
    <xf numFmtId="167" fontId="3" fillId="2" borderId="1" pivotButton="0" quotePrefix="0" xfId="0"/>
    <xf numFmtId="169" fontId="3" fillId="2" borderId="1" pivotButton="0" quotePrefix="0" xfId="0"/>
    <xf numFmtId="170" fontId="3" fillId="0" borderId="1" pivotButton="0" quotePrefix="0" xfId="0"/>
    <xf numFmtId="9" fontId="3" fillId="0" borderId="1" pivotButton="0" quotePrefix="0" xfId="0"/>
    <xf numFmtId="0" fontId="4" fillId="0" borderId="1" pivotButton="0" quotePrefix="0" xfId="0"/>
    <xf numFmtId="170" fontId="10" fillId="0" borderId="1" pivotButton="0" quotePrefix="0" xfId="0"/>
    <xf numFmtId="168" fontId="0" fillId="0" borderId="0" pivotButton="0" quotePrefix="0" xfId="0"/>
    <xf numFmtId="0" fontId="11" fillId="3" borderId="2" pivotButton="0" quotePrefix="0" xfId="0"/>
    <xf numFmtId="165" fontId="14" fillId="0" borderId="2" pivotButton="0" quotePrefix="0" xfId="0"/>
    <xf numFmtId="165" fontId="12" fillId="4" borderId="2" pivotButton="0" quotePrefix="0" xfId="0"/>
    <xf numFmtId="0" fontId="13" fillId="0" borderId="0" pivotButton="0" quotePrefix="0" xfId="0"/>
    <xf numFmtId="0" fontId="15" fillId="0" borderId="0" pivotButton="0" quotePrefix="0" xfId="0"/>
    <xf numFmtId="0" fontId="11" fillId="0" borderId="0" pivotButton="0" quotePrefix="0" xfId="0"/>
    <xf numFmtId="0" fontId="12" fillId="4" borderId="2" pivotButton="0" quotePrefix="0" xfId="0"/>
    <xf numFmtId="168" fontId="12" fillId="4" borderId="2" pivotButton="0" quotePrefix="0" xfId="0"/>
    <xf numFmtId="0" fontId="13" fillId="0" borderId="0" applyAlignment="1" pivotButton="0" quotePrefix="0" xfId="0">
      <alignment vertical="top" wrapText="1"/>
    </xf>
    <xf numFmtId="166" fontId="14" fillId="2" borderId="2" pivotButton="0" quotePrefix="0" xfId="0"/>
    <xf numFmtId="11" fontId="14" fillId="0" borderId="2" pivotButton="0" quotePrefix="0" xfId="0"/>
    <xf numFmtId="0" fontId="16" fillId="5" borderId="0" pivotButton="0" quotePrefix="0" xfId="0"/>
    <xf numFmtId="0" fontId="0" fillId="5" borderId="0" pivotButton="0" quotePrefix="0" xfId="0"/>
    <xf numFmtId="165" fontId="17" fillId="0" borderId="2" pivotButton="0" quotePrefix="0" xfId="0"/>
    <xf numFmtId="166" fontId="14" fillId="0" borderId="2" pivotButton="0" quotePrefix="0" xfId="0"/>
    <xf numFmtId="10" fontId="17" fillId="0" borderId="2" pivotButton="0" quotePrefix="0" xfId="0"/>
    <xf numFmtId="0" fontId="14" fillId="0" borderId="2" applyAlignment="1" pivotButton="0" quotePrefix="0" xfId="0">
      <alignment horizontal="center"/>
    </xf>
    <xf numFmtId="168" fontId="17" fillId="0" borderId="2" pivotButton="0" quotePrefix="0" xfId="0"/>
    <xf numFmtId="168" fontId="14" fillId="0" borderId="2" pivotButton="0" quotePrefix="0" xfId="0"/>
    <xf numFmtId="171" fontId="14" fillId="2" borderId="2" pivotButton="0" quotePrefix="0" xfId="0"/>
    <xf numFmtId="171" fontId="17" fillId="0" borderId="2" pivotButton="0" quotePrefix="0" xfId="0"/>
    <xf numFmtId="171" fontId="14" fillId="0" borderId="2" pivotButton="0" quotePrefix="0" xfId="0"/>
    <xf numFmtId="172" fontId="14" fillId="0" borderId="2" pivotButton="0" quotePrefix="0" xfId="0"/>
    <xf numFmtId="172" fontId="12" fillId="4" borderId="2" pivotButton="0" quotePrefix="0" xfId="0"/>
    <xf numFmtId="173" fontId="14" fillId="0" borderId="2" pivotButton="0" quotePrefix="0" xfId="0"/>
    <xf numFmtId="0" fontId="14" fillId="2" borderId="2" pivotButton="0" quotePrefix="0" xfId="0"/>
    <xf numFmtId="173" fontId="12" fillId="4" borderId="2" pivotButton="0" quotePrefix="0" xfId="0"/>
    <xf numFmtId="2" fontId="14" fillId="0" borderId="2" pivotButton="0" quotePrefix="0" xfId="0"/>
    <xf numFmtId="170" fontId="14" fillId="2" borderId="2" pivotButton="0" quotePrefix="0" xfId="0"/>
    <xf numFmtId="11" fontId="14" fillId="2" borderId="2" pivotButton="0" quotePrefix="0" xfId="0"/>
    <xf numFmtId="0" fontId="11" fillId="3" borderId="2" applyAlignment="1" pivotButton="0" quotePrefix="0" xfId="0">
      <alignment horizontal="center" vertical="center" wrapText="1"/>
    </xf>
    <xf numFmtId="0" fontId="14" fillId="0" borderId="2" pivotButton="0" quotePrefix="0" xfId="0"/>
    <xf numFmtId="0" fontId="14" fillId="0" borderId="0" pivotButton="0" quotePrefix="0" xfId="0"/>
    <xf numFmtId="1" fontId="12" fillId="4" borderId="2" pivotButton="0" quotePrefix="0" xfId="0"/>
    <xf numFmtId="174" fontId="12" fillId="4" borderId="2" pivotButton="0" quotePrefix="0" xfId="0"/>
    <xf numFmtId="172" fontId="14" fillId="2" borderId="2" pivotButton="0" quotePrefix="0" xfId="0"/>
    <xf numFmtId="0" fontId="18" fillId="0" borderId="0" pivotButton="0" quotePrefix="0" xfId="0"/>
    <xf numFmtId="172" fontId="14" fillId="4" borderId="2" pivotButton="0" quotePrefix="0" xfId="0"/>
    <xf numFmtId="172" fontId="13" fillId="4" borderId="2" pivotButton="0" quotePrefix="0" xfId="0"/>
    <xf numFmtId="173" fontId="7" fillId="0" borderId="0" applyAlignment="1" pivotButton="0" quotePrefix="0" xfId="0">
      <alignment vertical="top" wrapText="1"/>
    </xf>
    <xf numFmtId="173" fontId="0" fillId="0" borderId="0" pivotButton="0" quotePrefix="0" xfId="0"/>
    <xf numFmtId="175" fontId="14" fillId="0" borderId="2" pivotButton="0" quotePrefix="0" xfId="0"/>
    <xf numFmtId="1" fontId="14" fillId="0" borderId="2" pivotButton="0" quotePrefix="0" xfId="0"/>
    <xf numFmtId="175" fontId="14" fillId="2" borderId="2" pivotButton="0" quotePrefix="0" xfId="0"/>
    <xf numFmtId="0" fontId="11" fillId="0" borderId="2" pivotButton="0" quotePrefix="0" xfId="0"/>
    <xf numFmtId="172" fontId="0" fillId="0" borderId="0" pivotButton="0" quotePrefix="0" xfId="0"/>
    <xf numFmtId="2" fontId="0" fillId="0" borderId="2" pivotButton="0" quotePrefix="0" xfId="0"/>
    <xf numFmtId="0" fontId="0" fillId="2" borderId="2" pivotButton="0" quotePrefix="0" xfId="0"/>
    <xf numFmtId="170" fontId="0" fillId="2" borderId="2" pivotButton="0" quotePrefix="0" xfId="0"/>
    <xf numFmtId="164" fontId="12" fillId="4" borderId="2" pivotButton="0" quotePrefix="0" xfId="0"/>
    <xf numFmtId="164" fontId="14" fillId="0" borderId="2" pivotButton="0" quotePrefix="0" xfId="0"/>
    <xf numFmtId="164" fontId="14" fillId="0" borderId="1" pivotButton="0" quotePrefix="0" xfId="0"/>
    <xf numFmtId="168" fontId="14" fillId="0" borderId="1" pivotButton="0" quotePrefix="0" xfId="0"/>
    <xf numFmtId="166" fontId="14" fillId="0" borderId="1" pivotButton="0" quotePrefix="0" xfId="0"/>
    <xf numFmtId="4" fontId="14" fillId="0" borderId="1" pivotButton="0" quotePrefix="0" xfId="0"/>
    <xf numFmtId="168" fontId="14" fillId="2" borderId="2" pivotButton="0" quotePrefix="0" xfId="0"/>
    <xf numFmtId="4" fontId="12" fillId="4" borderId="2" pivotButton="0" quotePrefix="0" xfId="0"/>
    <xf numFmtId="4" fontId="14" fillId="2" borderId="2" pivotButton="0" quotePrefix="0" xfId="0"/>
    <xf numFmtId="4" fontId="14" fillId="0" borderId="2" pivotButton="0" quotePrefix="0" xfId="0"/>
    <xf numFmtId="2" fontId="12" fillId="4" borderId="2" pivotButton="0" quotePrefix="0" xfId="0"/>
    <xf numFmtId="2" fontId="14" fillId="2" borderId="2" pivotButton="0" quotePrefix="0" xfId="0"/>
    <xf numFmtId="0" fontId="19" fillId="0" borderId="0" pivotButton="0" quotePrefix="0" xfId="0"/>
    <xf numFmtId="0" fontId="20" fillId="3" borderId="0" pivotButton="0" quotePrefix="0" xfId="0"/>
    <xf numFmtId="0" fontId="13" fillId="3" borderId="0" pivotButton="0" quotePrefix="0" xfId="0"/>
    <xf numFmtId="0" fontId="21" fillId="0" borderId="0" pivotButton="0" quotePrefix="0" xfId="0"/>
    <xf numFmtId="0" fontId="22" fillId="0" borderId="0" pivotButton="0" quotePrefix="0" xfId="0"/>
    <xf numFmtId="164" fontId="14" fillId="2" borderId="2" pivotButton="0" quotePrefix="0" xfId="0"/>
    <xf numFmtId="166" fontId="17" fillId="2" borderId="2" pivotButton="0" quotePrefix="0" xfId="0"/>
    <xf numFmtId="1" fontId="14" fillId="2" borderId="2" pivotButton="0" quotePrefix="0" xfId="0"/>
    <xf numFmtId="165" fontId="14" fillId="0" borderId="1" pivotButton="0" quotePrefix="0" xfId="0"/>
    <xf numFmtId="0" fontId="14" fillId="0" borderId="1" pivotButton="0" quotePrefix="0" xfId="0"/>
    <xf numFmtId="165" fontId="14" fillId="2" borderId="2" pivotButton="0" quotePrefix="0" xfId="0"/>
    <xf numFmtId="164" fontId="12" fillId="4" borderId="2" applyAlignment="1" pivotButton="0" quotePrefix="0" xfId="0">
      <alignment horizontal="center" vertical="center"/>
    </xf>
    <xf numFmtId="0" fontId="18" fillId="0" borderId="0" applyAlignment="1" pivotButton="0" quotePrefix="0" xfId="0">
      <alignment vertical="top" wrapText="1"/>
    </xf>
    <xf numFmtId="0" fontId="20" fillId="3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23" fillId="5" borderId="0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/>
    </xf>
    <xf numFmtId="164" fontId="23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 wrapText="1"/>
    </xf>
    <xf numFmtId="10" fontId="12" fillId="4" borderId="2" pivotButton="0" quotePrefix="0" xfId="0"/>
    <xf numFmtId="166" fontId="12" fillId="4" borderId="2" pivotButton="0" quotePrefix="0" xfId="0"/>
    <xf numFmtId="10" fontId="14" fillId="2" borderId="2" pivotButton="0" quotePrefix="0" xfId="0"/>
    <xf numFmtId="0" fontId="13" fillId="2" borderId="2" pivotButton="0" quotePrefix="0" xfId="0"/>
    <xf numFmtId="0" fontId="23" fillId="8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 wrapText="1"/>
    </xf>
    <xf numFmtId="2" fontId="22" fillId="0" borderId="2" pivotButton="0" quotePrefix="0" xfId="0"/>
    <xf numFmtId="0" fontId="14" fillId="4" borderId="2" pivotButton="0" quotePrefix="0" xfId="0"/>
    <xf numFmtId="0" fontId="14" fillId="7" borderId="2" applyAlignment="1" pivotButton="0" quotePrefix="0" xfId="0">
      <alignment horizontal="center" vertical="center" wrapText="1"/>
    </xf>
    <xf numFmtId="164" fontId="14" fillId="4" borderId="2" pivotButton="0" quotePrefix="0" xfId="0"/>
    <xf numFmtId="168" fontId="14" fillId="4" borderId="2" pivotButton="0" quotePrefix="0" xfId="0"/>
    <xf numFmtId="0" fontId="11" fillId="7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13" fillId="0" borderId="1" pivotButton="0" quotePrefix="0" xfId="0"/>
    <xf numFmtId="164" fontId="14" fillId="2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16" fillId="10" borderId="2" applyAlignment="1" pivotButton="0" quotePrefix="0" xfId="0">
      <alignment horizontal="center" wrapText="1"/>
    </xf>
    <xf numFmtId="172" fontId="17" fillId="11" borderId="2" pivotButton="0" quotePrefix="0" xfId="0"/>
    <xf numFmtId="164" fontId="17" fillId="11" borderId="2" pivotButton="0" quotePrefix="0" xfId="0"/>
    <xf numFmtId="166" fontId="17" fillId="11" borderId="2" pivotButton="0" quotePrefix="0" xfId="0"/>
    <xf numFmtId="165" fontId="17" fillId="11" borderId="2" pivotButton="0" quotePrefix="0" xfId="0"/>
    <xf numFmtId="168" fontId="14" fillId="11" borderId="2" pivotButton="0" quotePrefix="0" xfId="0"/>
    <xf numFmtId="170" fontId="14" fillId="0" borderId="2" pivotButton="0" quotePrefix="0" xfId="0"/>
    <xf numFmtId="0" fontId="27" fillId="0" borderId="0" pivotButton="0" quotePrefix="0" xfId="0"/>
    <xf numFmtId="0" fontId="16" fillId="10" borderId="2" pivotButton="0" quotePrefix="0" xfId="0"/>
    <xf numFmtId="0" fontId="24" fillId="2" borderId="2" pivotButton="0" quotePrefix="0" xfId="0"/>
    <xf numFmtId="0" fontId="29" fillId="0" borderId="0" pivotButton="0" quotePrefix="0" xfId="0"/>
    <xf numFmtId="0" fontId="28" fillId="0" borderId="0" pivotButton="0" quotePrefix="0" xfId="0"/>
    <xf numFmtId="0" fontId="12" fillId="2" borderId="2" pivotButton="0" quotePrefix="0" xfId="0"/>
    <xf numFmtId="0" fontId="23" fillId="10" borderId="2" applyAlignment="1" pivotButton="0" quotePrefix="0" xfId="0">
      <alignment horizontal="center"/>
    </xf>
    <xf numFmtId="0" fontId="0" fillId="0" borderId="2" pivotButton="0" quotePrefix="0" xfId="0"/>
    <xf numFmtId="2" fontId="12" fillId="2" borderId="2" pivotButton="0" quotePrefix="0" xfId="0"/>
    <xf numFmtId="167" fontId="12" fillId="2" borderId="2" pivotButton="0" quotePrefix="0" xfId="0"/>
    <xf numFmtId="0" fontId="23" fillId="10" borderId="2" pivotButton="0" quotePrefix="0" xfId="0"/>
    <xf numFmtId="0" fontId="17" fillId="0" borderId="2" pivotButton="0" quotePrefix="0" xfId="0"/>
    <xf numFmtId="167" fontId="17" fillId="0" borderId="2" pivotButton="0" quotePrefix="0" xfId="0"/>
    <xf numFmtId="164" fontId="12" fillId="2" borderId="2" pivotButton="0" quotePrefix="0" xfId="0"/>
    <xf numFmtId="0" fontId="28" fillId="0" borderId="2" pivotButton="0" quotePrefix="0" xfId="0"/>
    <xf numFmtId="0" fontId="23" fillId="10" borderId="2" applyAlignment="1" pivotButton="0" quotePrefix="0" xfId="0">
      <alignment horizontal="center" wrapText="1"/>
    </xf>
    <xf numFmtId="0" fontId="21" fillId="2" borderId="2" pivotButton="0" quotePrefix="0" xfId="0"/>
    <xf numFmtId="0" fontId="21" fillId="0" borderId="2" pivotButton="0" quotePrefix="0" xfId="0"/>
    <xf numFmtId="166" fontId="0" fillId="0" borderId="2" pivotButton="0" quotePrefix="0" xfId="0"/>
    <xf numFmtId="11" fontId="0" fillId="0" borderId="2" pivotButton="0" quotePrefix="0" xfId="0"/>
    <xf numFmtId="11" fontId="0" fillId="0" borderId="0" pivotButton="0" quotePrefix="0" xfId="0"/>
    <xf numFmtId="164" fontId="30" fillId="0" borderId="0" pivotButton="0" quotePrefix="0" xfId="0"/>
    <xf numFmtId="164" fontId="30" fillId="0" borderId="2" pivotButton="0" quotePrefix="0" xfId="0"/>
    <xf numFmtId="166" fontId="30" fillId="0" borderId="2" pivotButton="0" quotePrefix="0" xfId="0"/>
    <xf numFmtId="164" fontId="30" fillId="5" borderId="1" applyAlignment="1" pivotButton="0" quotePrefix="0" xfId="0">
      <alignment horizontal="center" vertical="center" wrapText="1"/>
    </xf>
    <xf numFmtId="166" fontId="30" fillId="5" borderId="1" applyAlignment="1" pivotButton="0" quotePrefix="0" xfId="0">
      <alignment horizontal="center" vertical="center" wrapText="1"/>
    </xf>
    <xf numFmtId="164" fontId="30" fillId="0" borderId="1" pivotButton="0" quotePrefix="0" xfId="0"/>
    <xf numFmtId="166" fontId="30" fillId="0" borderId="1" pivotButton="0" quotePrefix="0" xfId="0"/>
    <xf numFmtId="164" fontId="17" fillId="0" borderId="2" pivotButton="0" quotePrefix="0" xfId="0"/>
    <xf numFmtId="166" fontId="17" fillId="0" borderId="2" pivotButton="0" quotePrefix="0" xfId="0"/>
    <xf numFmtId="166" fontId="30" fillId="0" borderId="0" pivotButton="0" quotePrefix="0" xfId="0"/>
    <xf numFmtId="0" fontId="31" fillId="0" borderId="2" pivotButton="0" quotePrefix="0" xfId="0"/>
    <xf numFmtId="167" fontId="3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zero curve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'Curves'!$A$6:$A$70</f>
            </numRef>
          </cat>
          <val>
            <numRef>
              <f>'Curves'!$D$6:$D$70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zero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Discount factors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'Curves'!$A$6:$A$70</f>
            </numRef>
          </cat>
          <val>
            <numRef>
              <f>'Curves'!$C$6:$C$70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Hazard (piecewise constant) and survival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'Curves'!B74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'Curves'!$A$75:$A$80</f>
            </numRef>
          </cat>
          <val>
            <numRef>
              <f>'Curves'!$B$75:$B$80</f>
            </numRef>
          </val>
          <smooth val="0"/>
        </ser>
        <ser>
          <idx val="1"/>
          <order val="1"/>
          <tx>
            <strRef>
              <f>'Curves'!C74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'Curves'!$A$75:$A$80</f>
            </numRef>
          </cat>
          <val>
            <numRef>
              <f>'Curves'!$C$75:$C$80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Spread term structure - market vs model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'Curves'!B84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'Curves'!$A$85:$A$90</f>
            </numRef>
          </cat>
          <val>
            <numRef>
              <f>'Curves'!$B$85:$B$90</f>
            </numRef>
          </val>
          <smooth val="0"/>
        </ser>
        <ser>
          <idx val="1"/>
          <order val="1"/>
          <tx>
            <strRef>
              <f>'Curves'!C84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'Curves'!$A$85:$A$90</f>
            </numRef>
          </cat>
          <val>
            <numRef>
              <f>'Curves'!$C$85:$C$90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 probability 1-Q(t)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'Curves'!$A$75:$A$80</f>
            </numRef>
          </cat>
          <val>
            <numRef>
              <f>'Curves'!$D$75:$D$80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CDSW view - credit curve vs traded spread</a:t>
            </a:r>
          </a:p>
        </rich>
      </tx>
    </title>
    <plotArea>
      <lineChart>
        <grouping val="standard"/>
        <ser>
          <idx val="0"/>
          <order val="0"/>
          <tx>
            <strRef>
              <f>'Curves'!B84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'Curves'!$A$85:$A$90</f>
            </numRef>
          </cat>
          <val>
            <numRef>
              <f>'Curves'!$B$85:$B$90</f>
            </numRef>
          </val>
          <smooth val="0"/>
        </ser>
        <ser>
          <idx val="1"/>
          <order val="1"/>
          <tx>
            <strRef>
              <f>'Curves'!C84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'Curves'!$A$85:$A$90</f>
            </numRef>
          </cat>
          <val>
            <numRef>
              <f>'Curves'!$C$85:$C$90</f>
            </numRef>
          </val>
          <smooth val="0"/>
        </ser>
        <ser>
          <idx val="2"/>
          <order val="2"/>
          <tx>
            <strRef>
              <f>'Curves'!E84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'Curves'!$A$85:$A$90</f>
            </numRef>
          </cat>
          <val>
            <numRef>
              <f>'Curves'!$E$85:$E$90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B-Model</author>
  </authors>
  <commentList>
    <comment ref="A7" authorId="0" shapeId="0">
      <text>
        <t>This is what Hazard_Solver does in cells - 30 halvings per tenor. The baseline for the comparison.</t>
      </text>
    </comment>
  </commentList>
</comments>
</file>

<file path=xl/comments/comment2.xml><?xml version="1.0" encoding="utf-8"?>
<comments xmlns="http://schemas.openxmlformats.org/spreadsheetml/2006/main">
  <authors>
    <author>B-Model white paper</author>
  </authors>
  <commentList>
    <comment ref="J7" authorId="0" shapeId="0">
      <text>
        <t>p.6 — since the IBOR to RFR transition the standard ISDA model, and the
B-Model in CDSW, discount USD off the SOFR RFR curve. That is what this grid is.</t>
      </text>
    </comment>
  </commentList>
</comments>
</file>

<file path=xl/comments/comment3.xml><?xml version="1.0" encoding="utf-8"?>
<comments xmlns="http://schemas.openxmlformats.org/spreadsheetml/2006/main">
  <authors>
    <author>B-Model white paper</author>
  </authors>
  <commentList>
    <comment ref="G7" authorId="0" shapeId="0">
      <text>
        <t>p.9 credit triangle — (1-R) p_d(T) ~= S*T for small p_d, giving h ~= S/(1-R).
Exact only for a flat curve; used here as a starting guess and a sanity check,
not as the answer.</t>
      </text>
    </comment>
  </commentList>
</comments>
</file>

<file path=xl/comments/comment4.xml><?xml version="1.0" encoding="utf-8"?>
<comments xmlns="http://schemas.openxmlformats.org/spreadsheetml/2006/main">
  <authors>
    <author>B-Model white paper</author>
  </authors>
  <commentList>
    <comment ref="D7" authorId="0" shapeId="0">
      <text>
        <t>Section 4, p.8 — sequential 1-D root-finding. h_1 is solved on [0, T_M1] to
match the first quote; each later h_i+1 is solved on (T_Mi, T_Mi+1] holding all
earlier hazards fixed. That is why this column is solved top-down, not jointly.</t>
      </text>
    </comment>
    <comment ref="E7" authorId="0" shapeId="0">
      <text>
        <t>p.8 — the hazard is the intensity of decline of survival. Default is a
terminating event, so p_s cannot increase and h &gt;= 0 is a hard constraint the
model cannot violate.</t>
      </text>
    </comment>
    <comment ref="J7" authorId="0" shapeId="0">
      <text>
        <t>Repricing error: model spread (3.3) minus the market quote. This is the
closure check on the strip - it must go to zero at every quoted maturity.</t>
      </text>
    </comment>
  </commentList>
</comments>
</file>

<file path=xl/comments/comment5.xml><?xml version="1.0" encoding="utf-8"?>
<comments xmlns="http://schemas.openxmlformats.org/spreadsheetml/2006/main">
  <authors>
    <author>B-Model white paper</author>
  </authors>
  <commentList>
    <comment ref="A6" authorId="0" shapeId="0">
      <text>
        <t>p.8 — one row per segment. Segments are short enough to justify constant
forward discounting and constant hazard, and never longer than a premium
accrual period, so (3.5) and (3.6) are analytic on each.</t>
      </text>
    </comment>
  </commentList>
</comments>
</file>

<file path=xl/comments/comment6.xml><?xml version="1.0" encoding="utf-8"?>
<comments xmlns="http://schemas.openxmlformats.org/spreadsheetml/2006/main">
  <authors>
    <author>B-Model white paper</author>
  </authors>
  <commentList>
    <comment ref="B5" authorId="0" shapeId="0">
      <text>
        <t>p.6 — the recovery rate is a model parameter, conventionally 40%, not an
observable. It sets the payout (1-R)A and feeds the credit triangle.</t>
      </text>
    </comment>
    <comment ref="B6" authorId="0" shapeId="0">
      <text>
        <t>p.6 — coupons are standardised to 100bp / 500bp for most names, ACT/360.
Overtype to price an off-market coupon.</t>
      </text>
    </comment>
    <comment ref="B8" authorId="0" shapeId="0">
      <text>
        <t>p.6 — accrual dates are IMM: 3/20, 6/20, 9/20, 12/20. Payment dates roll to the
next business day; the last accrual end date T_M does not roll.</t>
      </text>
    </comment>
    <comment ref="B12" authorId="0" shapeId="0">
      <text>
        <t>(3.4) coupons-in-survival + (3.5) accrued-on-default.
RPV01 is the premium leg per 1bp of coupon.</t>
      </text>
    </comment>
    <comment ref="B13" authorId="0" shapeId="0">
      <text>
        <t>(3.6)  Protection Leg = A(1-R) * INT_T^TM (-dp_s/dt) D(t) dt
p.8: the timeline is cut into segments short enough to treat the forward
discount rate and the hazard as constant, and no longer than a premium
accrual period. The integral is then analytic on each segment.</t>
      </text>
    </comment>
    <comment ref="B14" authorId="0" shapeId="0">
      <text>
        <t>(3.4)  Coupons-in-Survival = A * C * SUM delta(T_i-1,T_i) p_s(T_i) D(T_i)</t>
      </text>
    </comment>
    <comment ref="B15" authorId="0" shapeId="0">
      <text>
        <t>(3.3)  S = Protection Leg / (Premium Leg - Accrued Interest * D(T_s)) at C=1bp.
p.7: the par spread is the replacement spread, quoted in bp, expressed as the
protection leg over the premium leg net of accrued interest.</t>
      </text>
    </comment>
    <comment ref="B18" authorId="0" shapeId="0">
      <text>
        <t>(3.2)  Upfront = Market Value / D(T_s) + Accrued Interest.
p.7: quoted at the settlement date T_s, typically 3 business days after pricing,
so the market value is compounded from T to T_s. Identically 0 when C = S.</t>
      </text>
    </comment>
    <comment ref="B20" authorId="0" shapeId="0">
      <text>
        <t>(3.1)  Market Value = Protection Leg - Premium Leg, both discounted to the
pricing date T.</t>
      </text>
    </comment>
  </commentList>
</comments>
</file>

<file path=xl/comments/comment7.xml><?xml version="1.0" encoding="utf-8"?>
<comments xmlns="http://schemas.openxmlformats.org/spreadsheetml/2006/main">
  <authors>
    <author>B-Model white paper</author>
  </authors>
  <commentList>
    <comment ref="B7" authorId="0" shapeId="0">
      <text>
        <t>p.8 — h(t) &gt;= 0 is a hard model constraint, not a fitted outcome. A negative
hazard means the strip has failed, not that the name is unusual.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51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67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83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7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76" t="inlineStr">
        <is>
          <t>Entities</t>
        </is>
      </c>
    </row>
    <row r="2">
      <c r="A2" s="177" t="inlineStr">
        <is>
          <t>Type a name and its Bloomberg ticker on any free row. On = 0 removes a name. Overrides beat the BDP pull; blank uses the pull.</t>
        </is>
      </c>
    </row>
    <row r="4">
      <c r="A4" s="67" t="inlineStr">
        <is>
          <t>Live name</t>
        </is>
      </c>
      <c r="B4" s="178" t="inlineStr">
        <is>
          <t>DEMO curve (not market)</t>
        </is>
      </c>
      <c r="C4" s="177" t="inlineStr">
        <is>
          <t>only this name is stripped and priced</t>
        </is>
      </c>
      <c r="E4" s="67" t="inlineStr">
        <is>
          <t>ticker in use</t>
        </is>
      </c>
      <c r="F4" s="204">
        <f>IFERROR(IF(ISTEXT(INDEX($C$7:$C$16,MATCH($B$4,$B$7:$B$16,0))),INDEX($C$7:$C$16,MATCH($B$4,$B$7:$B$16,0)),""),"")</f>
        <v/>
      </c>
    </row>
    <row r="5">
      <c r="F5" s="177" t="n"/>
    </row>
    <row r="6">
      <c r="A6" s="179" t="inlineStr">
        <is>
          <t>On</t>
        </is>
      </c>
      <c r="B6" s="179" t="inlineStr">
        <is>
          <t>Entity name</t>
        </is>
      </c>
      <c r="C6" s="179" t="inlineStr">
        <is>
          <t>Bloomberg ticker</t>
        </is>
      </c>
      <c r="D6" s="179" t="inlineStr">
        <is>
          <t>Ccy</t>
        </is>
      </c>
      <c r="E6" s="179" t="inlineStr">
        <is>
          <t>Recovery</t>
        </is>
      </c>
      <c r="F6" s="179" t="inlineStr">
        <is>
          <t>1Y</t>
        </is>
      </c>
      <c r="G6" s="179" t="inlineStr">
        <is>
          <t>2Y</t>
        </is>
      </c>
      <c r="H6" s="179" t="inlineStr">
        <is>
          <t>3Y</t>
        </is>
      </c>
      <c r="I6" s="179" t="inlineStr">
        <is>
          <t>5Y</t>
        </is>
      </c>
      <c r="J6" s="179" t="inlineStr">
        <is>
          <t>7Y</t>
        </is>
      </c>
      <c r="K6" s="179" t="inlineStr">
        <is>
          <t>10Y</t>
        </is>
      </c>
    </row>
    <row r="7">
      <c r="A7" s="178" t="n">
        <v>1</v>
      </c>
      <c r="B7" s="178" t="inlineStr">
        <is>
          <t>China CITIC Bank Intl</t>
        </is>
      </c>
      <c r="C7" s="178" t="n"/>
      <c r="D7" s="178" t="inlineStr">
        <is>
          <t>USD</t>
        </is>
      </c>
      <c r="E7" s="181" t="n"/>
      <c r="F7" s="182" t="n"/>
      <c r="G7" s="182" t="n"/>
      <c r="H7" s="182" t="n"/>
      <c r="I7" s="182" t="n"/>
      <c r="J7" s="182" t="n"/>
      <c r="K7" s="182" t="n"/>
    </row>
    <row r="8">
      <c r="A8" s="178" t="n">
        <v>1</v>
      </c>
      <c r="B8" s="178" t="inlineStr">
        <is>
          <t>DEMO curve (not market)</t>
        </is>
      </c>
      <c r="C8" s="178" t="n"/>
      <c r="D8" s="178" t="inlineStr">
        <is>
          <t>USD</t>
        </is>
      </c>
      <c r="E8" s="181" t="n"/>
      <c r="F8" s="182" t="n"/>
      <c r="G8" s="182" t="n"/>
      <c r="H8" s="182" t="n"/>
      <c r="I8" s="182" t="n"/>
      <c r="J8" s="182" t="n"/>
      <c r="K8" s="182" t="n"/>
    </row>
    <row r="9">
      <c r="A9" s="178" t="n"/>
      <c r="B9" s="178" t="n"/>
      <c r="C9" s="178" t="n"/>
      <c r="D9" s="178" t="n"/>
      <c r="E9" s="181" t="n"/>
      <c r="F9" s="182" t="n"/>
      <c r="G9" s="182" t="n"/>
      <c r="H9" s="182" t="n"/>
      <c r="I9" s="182" t="n"/>
      <c r="J9" s="182" t="n"/>
      <c r="K9" s="182" t="n"/>
    </row>
    <row r="10">
      <c r="A10" s="178" t="n"/>
      <c r="B10" s="178" t="n"/>
      <c r="C10" s="178" t="n"/>
      <c r="D10" s="178" t="n"/>
      <c r="E10" s="181" t="n"/>
      <c r="F10" s="182" t="n"/>
      <c r="G10" s="182" t="n"/>
      <c r="H10" s="182" t="n"/>
      <c r="I10" s="182" t="n"/>
      <c r="J10" s="182" t="n"/>
      <c r="K10" s="182" t="n"/>
    </row>
    <row r="11">
      <c r="A11" s="178" t="n"/>
      <c r="B11" s="178" t="n"/>
      <c r="C11" s="178" t="n"/>
      <c r="D11" s="178" t="n"/>
      <c r="E11" s="181" t="n"/>
      <c r="F11" s="182" t="n"/>
      <c r="G11" s="182" t="n"/>
      <c r="H11" s="182" t="n"/>
      <c r="I11" s="182" t="n"/>
      <c r="J11" s="182" t="n"/>
      <c r="K11" s="182" t="n"/>
    </row>
    <row r="12">
      <c r="A12" s="178" t="n"/>
      <c r="B12" s="178" t="n"/>
      <c r="C12" s="178" t="n"/>
      <c r="D12" s="178" t="n"/>
      <c r="E12" s="181" t="n"/>
      <c r="F12" s="182" t="n"/>
      <c r="G12" s="182" t="n"/>
      <c r="H12" s="182" t="n"/>
      <c r="I12" s="182" t="n"/>
      <c r="J12" s="182" t="n"/>
      <c r="K12" s="182" t="n"/>
    </row>
    <row r="13">
      <c r="A13" s="178" t="n"/>
      <c r="B13" s="178" t="n"/>
      <c r="C13" s="178" t="n"/>
      <c r="D13" s="178" t="n"/>
      <c r="E13" s="181" t="n"/>
      <c r="F13" s="182" t="n"/>
      <c r="G13" s="182" t="n"/>
      <c r="H13" s="182" t="n"/>
      <c r="I13" s="182" t="n"/>
      <c r="J13" s="182" t="n"/>
      <c r="K13" s="182" t="n"/>
    </row>
    <row r="14">
      <c r="A14" s="178" t="n"/>
      <c r="B14" s="178" t="n"/>
      <c r="C14" s="178" t="n"/>
      <c r="D14" s="178" t="n"/>
      <c r="E14" s="181" t="n"/>
      <c r="F14" s="182" t="n"/>
      <c r="G14" s="182" t="n"/>
      <c r="H14" s="182" t="n"/>
      <c r="I14" s="182" t="n"/>
      <c r="J14" s="182" t="n"/>
      <c r="K14" s="182" t="n"/>
    </row>
    <row r="15">
      <c r="A15" s="178" t="n"/>
      <c r="B15" s="178" t="n"/>
      <c r="C15" s="178" t="n"/>
      <c r="D15" s="178" t="n"/>
      <c r="E15" s="181" t="n"/>
      <c r="F15" s="182" t="n"/>
      <c r="G15" s="182" t="n"/>
      <c r="H15" s="182" t="n"/>
      <c r="I15" s="182" t="n"/>
      <c r="J15" s="182" t="n"/>
      <c r="K15" s="182" t="n"/>
    </row>
    <row r="16">
      <c r="A16" s="178" t="n"/>
      <c r="B16" s="178" t="n"/>
      <c r="C16" s="178" t="n"/>
      <c r="D16" s="178" t="n"/>
      <c r="E16" s="181" t="n"/>
      <c r="F16" s="182" t="n"/>
      <c r="G16" s="182" t="n"/>
      <c r="H16" s="182" t="n"/>
      <c r="I16" s="182" t="n"/>
      <c r="J16" s="182" t="n"/>
      <c r="K16" s="182" t="n"/>
    </row>
    <row r="19">
      <c r="A19" s="67" t="inlineStr">
        <is>
          <t>Effective (what the strip uses)</t>
        </is>
      </c>
      <c r="F19" s="177" t="inlineStr">
        <is>
          <t>override &gt; BDP pull &gt; manual &gt; 0. This block is what the strip uses.</t>
        </is>
      </c>
    </row>
    <row r="20">
      <c r="B20" s="183" t="inlineStr">
        <is>
          <t>Entity</t>
        </is>
      </c>
      <c r="E20" s="183" t="inlineStr">
        <is>
          <t>Recovery</t>
        </is>
      </c>
      <c r="F20" s="183" t="inlineStr">
        <is>
          <t>1Y</t>
        </is>
      </c>
      <c r="G20" s="183" t="inlineStr">
        <is>
          <t>2Y</t>
        </is>
      </c>
      <c r="H20" s="183" t="inlineStr">
        <is>
          <t>3Y</t>
        </is>
      </c>
      <c r="I20" s="183" t="inlineStr">
        <is>
          <t>5Y</t>
        </is>
      </c>
      <c r="J20" s="183" t="inlineStr">
        <is>
          <t>7Y</t>
        </is>
      </c>
      <c r="K20" s="183" t="inlineStr">
        <is>
          <t>10Y</t>
        </is>
      </c>
    </row>
    <row r="21">
      <c r="A21" s="204" t="n"/>
      <c r="B21" s="204">
        <f>IF($B7="","",$B7)</f>
        <v/>
      </c>
      <c r="C21" s="204" t="n"/>
      <c r="D21" s="204" t="n"/>
      <c r="E21" s="204">
        <f>IF($B7="","",IF($A7=0,"off",IF(ISNUMBER($E7),$E7,CDS_Entities!$F$5)))</f>
        <v/>
      </c>
      <c r="F21" s="205">
        <f>IF($B7="","",IF($A7=0,0,IF(ISNUMBER($F7),$F7,IF(ISNUMBER(CDS_Entities!$AG$5),CDS_Entities!$AG$5,IF(ISNUMBER(CDS_Entities!$H$5),CDS_Entities!$H$5,0)))))</f>
        <v/>
      </c>
      <c r="G21" s="205">
        <f>IF($B7="","",IF($A7=0,0,IF(ISNUMBER($G7),$G7,IF(ISNUMBER(CDS_Entities!$AI$5),CDS_Entities!$AI$5,IF(ISNUMBER(CDS_Entities!$I$5),CDS_Entities!$I$5,0)))))</f>
        <v/>
      </c>
      <c r="H21" s="205">
        <f>IF($B7="","",IF($A7=0,0,IF(ISNUMBER($H7),$H7,IF(ISNUMBER(CDS_Entities!$AK$5),CDS_Entities!$AK$5,IF(ISNUMBER(CDS_Entities!$J$5),CDS_Entities!$J$5,0)))))</f>
        <v/>
      </c>
      <c r="I21" s="205">
        <f>IF($B7="","",IF($A7=0,0,IF(ISNUMBER($I7),$I7,IF(ISNUMBER(CDS_Entities!$AM$5),CDS_Entities!$AM$5,IF(ISNUMBER(CDS_Entities!$K$5),CDS_Entities!$K$5,0)))))</f>
        <v/>
      </c>
      <c r="J21" s="205">
        <f>IF($B7="","",IF($A7=0,0,IF(ISNUMBER($J7),$J7,IF(ISNUMBER(CDS_Entities!$AO$5),CDS_Entities!$AO$5,IF(ISNUMBER(CDS_Entities!$L$5),CDS_Entities!$L$5,0)))))</f>
        <v/>
      </c>
      <c r="K21" s="205">
        <f>IF($B7="","",IF($A7=0,0,IF(ISNUMBER($K7),$K7,IF(ISNUMBER(CDS_Entities!$AQ$5),CDS_Entities!$AQ$5,IF(ISNUMBER(CDS_Entities!$M$5),CDS_Entities!$M$5,0)))))</f>
        <v/>
      </c>
    </row>
    <row r="22">
      <c r="A22" s="204" t="n"/>
      <c r="B22" s="204">
        <f>IF($B8="","",$B8)</f>
        <v/>
      </c>
      <c r="C22" s="204" t="n"/>
      <c r="D22" s="204" t="n"/>
      <c r="E22" s="204">
        <f>IF($B8="","",IF($A8=0,"off",IF(ISNUMBER($E8),$E8,CDS_Entities!$F$6)))</f>
        <v/>
      </c>
      <c r="F22" s="205">
        <f>IF($B8="","",IF($A8=0,0,IF(ISNUMBER($F8),$F8,IF(ISNUMBER(CDS_Entities!$AG$6),CDS_Entities!$AG$6,IF(ISNUMBER(CDS_Entities!$H$6),CDS_Entities!$H$6,0)))))</f>
        <v/>
      </c>
      <c r="G22" s="205">
        <f>IF($B8="","",IF($A8=0,0,IF(ISNUMBER($G8),$G8,IF(ISNUMBER(CDS_Entities!$AI$6),CDS_Entities!$AI$6,IF(ISNUMBER(CDS_Entities!$I$6),CDS_Entities!$I$6,0)))))</f>
        <v/>
      </c>
      <c r="H22" s="205">
        <f>IF($B8="","",IF($A8=0,0,IF(ISNUMBER($H8),$H8,IF(ISNUMBER(CDS_Entities!$AK$6),CDS_Entities!$AK$6,IF(ISNUMBER(CDS_Entities!$J$6),CDS_Entities!$J$6,0)))))</f>
        <v/>
      </c>
      <c r="I22" s="205">
        <f>IF($B8="","",IF($A8=0,0,IF(ISNUMBER($I8),$I8,IF(ISNUMBER(CDS_Entities!$AM$6),CDS_Entities!$AM$6,IF(ISNUMBER(CDS_Entities!$K$6),CDS_Entities!$K$6,0)))))</f>
        <v/>
      </c>
      <c r="J22" s="205">
        <f>IF($B8="","",IF($A8=0,0,IF(ISNUMBER($J8),$J8,IF(ISNUMBER(CDS_Entities!$AO$6),CDS_Entities!$AO$6,IF(ISNUMBER(CDS_Entities!$L$6),CDS_Entities!$L$6,0)))))</f>
        <v/>
      </c>
      <c r="K22" s="205">
        <f>IF($B8="","",IF($A8=0,0,IF(ISNUMBER($K8),$K8,IF(ISNUMBER(CDS_Entities!$AQ$6),CDS_Entities!$AQ$6,IF(ISNUMBER(CDS_Entities!$M$6),CDS_Entities!$M$6,0)))))</f>
        <v/>
      </c>
    </row>
    <row r="23">
      <c r="A23" s="204" t="n"/>
      <c r="B23" s="204">
        <f>IF($B9="","",$B9)</f>
        <v/>
      </c>
      <c r="C23" s="204" t="n"/>
      <c r="D23" s="204" t="n"/>
      <c r="E23" s="204">
        <f>IF($B9="","",IF($A9=0,"off",IF(ISNUMBER($E9),$E9,CDS_Entities!$F$7)))</f>
        <v/>
      </c>
      <c r="F23" s="205">
        <f>IF($B9="","",IF($A9=0,0,IF(ISNUMBER($F9),$F9,IF(ISNUMBER(CDS_Entities!$AG$7),CDS_Entities!$AG$7,IF(ISNUMBER(CDS_Entities!$H$7),CDS_Entities!$H$7,0)))))</f>
        <v/>
      </c>
      <c r="G23" s="205">
        <f>IF($B9="","",IF($A9=0,0,IF(ISNUMBER($G9),$G9,IF(ISNUMBER(CDS_Entities!$AI$7),CDS_Entities!$AI$7,IF(ISNUMBER(CDS_Entities!$I$7),CDS_Entities!$I$7,0)))))</f>
        <v/>
      </c>
      <c r="H23" s="205">
        <f>IF($B9="","",IF($A9=0,0,IF(ISNUMBER($H9),$H9,IF(ISNUMBER(CDS_Entities!$AK$7),CDS_Entities!$AK$7,IF(ISNUMBER(CDS_Entities!$J$7),CDS_Entities!$J$7,0)))))</f>
        <v/>
      </c>
      <c r="I23" s="205">
        <f>IF($B9="","",IF($A9=0,0,IF(ISNUMBER($I9),$I9,IF(ISNUMBER(CDS_Entities!$AM$7),CDS_Entities!$AM$7,IF(ISNUMBER(CDS_Entities!$K$7),CDS_Entities!$K$7,0)))))</f>
        <v/>
      </c>
      <c r="J23" s="205">
        <f>IF($B9="","",IF($A9=0,0,IF(ISNUMBER($J9),$J9,IF(ISNUMBER(CDS_Entities!$AO$7),CDS_Entities!$AO$7,IF(ISNUMBER(CDS_Entities!$L$7),CDS_Entities!$L$7,0)))))</f>
        <v/>
      </c>
      <c r="K23" s="205">
        <f>IF($B9="","",IF($A9=0,0,IF(ISNUMBER($K9),$K9,IF(ISNUMBER(CDS_Entities!$AQ$7),CDS_Entities!$AQ$7,IF(ISNUMBER(CDS_Entities!$M$7),CDS_Entities!$M$7,0)))))</f>
        <v/>
      </c>
    </row>
    <row r="24">
      <c r="A24" s="204" t="n"/>
      <c r="B24" s="204">
        <f>IF($B10="","",$B10)</f>
        <v/>
      </c>
      <c r="C24" s="204" t="n"/>
      <c r="D24" s="204" t="n"/>
      <c r="E24" s="204">
        <f>IF($B10="","",IF($A10=0,"off",IF(ISNUMBER($E10),$E10,CDS_Entities!$F$8)))</f>
        <v/>
      </c>
      <c r="F24" s="205">
        <f>IF($B10="","",IF($A10=0,0,IF(ISNUMBER($F10),$F10,IF(ISNUMBER(CDS_Entities!$AG$8),CDS_Entities!$AG$8,IF(ISNUMBER(CDS_Entities!$H$8),CDS_Entities!$H$8,0)))))</f>
        <v/>
      </c>
      <c r="G24" s="205">
        <f>IF($B10="","",IF($A10=0,0,IF(ISNUMBER($G10),$G10,IF(ISNUMBER(CDS_Entities!$AI$8),CDS_Entities!$AI$8,IF(ISNUMBER(CDS_Entities!$I$8),CDS_Entities!$I$8,0)))))</f>
        <v/>
      </c>
      <c r="H24" s="205">
        <f>IF($B10="","",IF($A10=0,0,IF(ISNUMBER($H10),$H10,IF(ISNUMBER(CDS_Entities!$AK$8),CDS_Entities!$AK$8,IF(ISNUMBER(CDS_Entities!$J$8),CDS_Entities!$J$8,0)))))</f>
        <v/>
      </c>
      <c r="I24" s="205">
        <f>IF($B10="","",IF($A10=0,0,IF(ISNUMBER($I10),$I10,IF(ISNUMBER(CDS_Entities!$AM$8),CDS_Entities!$AM$8,IF(ISNUMBER(CDS_Entities!$K$8),CDS_Entities!$K$8,0)))))</f>
        <v/>
      </c>
      <c r="J24" s="205">
        <f>IF($B10="","",IF($A10=0,0,IF(ISNUMBER($J10),$J10,IF(ISNUMBER(CDS_Entities!$AO$8),CDS_Entities!$AO$8,IF(ISNUMBER(CDS_Entities!$L$8),CDS_Entities!$L$8,0)))))</f>
        <v/>
      </c>
      <c r="K24" s="205">
        <f>IF($B10="","",IF($A10=0,0,IF(ISNUMBER($K10),$K10,IF(ISNUMBER(CDS_Entities!$AQ$8),CDS_Entities!$AQ$8,IF(ISNUMBER(CDS_Entities!$M$8),CDS_Entities!$M$8,0)))))</f>
        <v/>
      </c>
    </row>
    <row r="25">
      <c r="A25" s="204" t="n"/>
      <c r="B25" s="204">
        <f>IF($B11="","",$B11)</f>
        <v/>
      </c>
      <c r="C25" s="204" t="n"/>
      <c r="D25" s="204" t="n"/>
      <c r="E25" s="204">
        <f>IF($B11="","",IF($A11=0,"off",IF(ISNUMBER($E11),$E11,CDS_Entities!$F$9)))</f>
        <v/>
      </c>
      <c r="F25" s="205">
        <f>IF($B11="","",IF($A11=0,0,IF(ISNUMBER($F11),$F11,IF(ISNUMBER(CDS_Entities!$AG$9),CDS_Entities!$AG$9,IF(ISNUMBER(CDS_Entities!$H$9),CDS_Entities!$H$9,0)))))</f>
        <v/>
      </c>
      <c r="G25" s="205">
        <f>IF($B11="","",IF($A11=0,0,IF(ISNUMBER($G11),$G11,IF(ISNUMBER(CDS_Entities!$AI$9),CDS_Entities!$AI$9,IF(ISNUMBER(CDS_Entities!$I$9),CDS_Entities!$I$9,0)))))</f>
        <v/>
      </c>
      <c r="H25" s="205">
        <f>IF($B11="","",IF($A11=0,0,IF(ISNUMBER($H11),$H11,IF(ISNUMBER(CDS_Entities!$AK$9),CDS_Entities!$AK$9,IF(ISNUMBER(CDS_Entities!$J$9),CDS_Entities!$J$9,0)))))</f>
        <v/>
      </c>
      <c r="I25" s="205">
        <f>IF($B11="","",IF($A11=0,0,IF(ISNUMBER($I11),$I11,IF(ISNUMBER(CDS_Entities!$AM$9),CDS_Entities!$AM$9,IF(ISNUMBER(CDS_Entities!$K$9),CDS_Entities!$K$9,0)))))</f>
        <v/>
      </c>
      <c r="J25" s="205">
        <f>IF($B11="","",IF($A11=0,0,IF(ISNUMBER($J11),$J11,IF(ISNUMBER(CDS_Entities!$AO$9),CDS_Entities!$AO$9,IF(ISNUMBER(CDS_Entities!$L$9),CDS_Entities!$L$9,0)))))</f>
        <v/>
      </c>
      <c r="K25" s="205">
        <f>IF($B11="","",IF($A11=0,0,IF(ISNUMBER($K11),$K11,IF(ISNUMBER(CDS_Entities!$AQ$9),CDS_Entities!$AQ$9,IF(ISNUMBER(CDS_Entities!$M$9),CDS_Entities!$M$9,0)))))</f>
        <v/>
      </c>
    </row>
    <row r="26">
      <c r="A26" s="204" t="n"/>
      <c r="B26" s="204">
        <f>IF($B12="","",$B12)</f>
        <v/>
      </c>
      <c r="C26" s="204" t="n"/>
      <c r="D26" s="204" t="n"/>
      <c r="E26" s="204">
        <f>IF($B12="","",IF($A12=0,"off",IF(ISNUMBER($E12),$E12,CDS_Entities!$F$10)))</f>
        <v/>
      </c>
      <c r="F26" s="205">
        <f>IF($B12="","",IF($A12=0,0,IF(ISNUMBER($F12),$F12,IF(ISNUMBER(CDS_Entities!$AG$10),CDS_Entities!$AG$10,IF(ISNUMBER(CDS_Entities!$H$10),CDS_Entities!$H$10,0)))))</f>
        <v/>
      </c>
      <c r="G26" s="205">
        <f>IF($B12="","",IF($A12=0,0,IF(ISNUMBER($G12),$G12,IF(ISNUMBER(CDS_Entities!$AI$10),CDS_Entities!$AI$10,IF(ISNUMBER(CDS_Entities!$I$10),CDS_Entities!$I$10,0)))))</f>
        <v/>
      </c>
      <c r="H26" s="205">
        <f>IF($B12="","",IF($A12=0,0,IF(ISNUMBER($H12),$H12,IF(ISNUMBER(CDS_Entities!$AK$10),CDS_Entities!$AK$10,IF(ISNUMBER(CDS_Entities!$J$10),CDS_Entities!$J$10,0)))))</f>
        <v/>
      </c>
      <c r="I26" s="205">
        <f>IF($B12="","",IF($A12=0,0,IF(ISNUMBER($I12),$I12,IF(ISNUMBER(CDS_Entities!$AM$10),CDS_Entities!$AM$10,IF(ISNUMBER(CDS_Entities!$K$10),CDS_Entities!$K$10,0)))))</f>
        <v/>
      </c>
      <c r="J26" s="205">
        <f>IF($B12="","",IF($A12=0,0,IF(ISNUMBER($J12),$J12,IF(ISNUMBER(CDS_Entities!$AO$10),CDS_Entities!$AO$10,IF(ISNUMBER(CDS_Entities!$L$10),CDS_Entities!$L$10,0)))))</f>
        <v/>
      </c>
      <c r="K26" s="205">
        <f>IF($B12="","",IF($A12=0,0,IF(ISNUMBER($K12),$K12,IF(ISNUMBER(CDS_Entities!$AQ$10),CDS_Entities!$AQ$10,IF(ISNUMBER(CDS_Entities!$M$10),CDS_Entities!$M$10,0)))))</f>
        <v/>
      </c>
    </row>
    <row r="27">
      <c r="A27" s="204" t="n"/>
      <c r="B27" s="204">
        <f>IF($B13="","",$B13)</f>
        <v/>
      </c>
      <c r="C27" s="204" t="n"/>
      <c r="D27" s="204" t="n"/>
      <c r="E27" s="204">
        <f>IF($B13="","",IF($A13=0,"off",IF(ISNUMBER($E13),$E13,CDS_Entities!$F$11)))</f>
        <v/>
      </c>
      <c r="F27" s="205">
        <f>IF($B13="","",IF($A13=0,0,IF(ISNUMBER($F13),$F13,IF(ISNUMBER(CDS_Entities!$AG$11),CDS_Entities!$AG$11,IF(ISNUMBER(CDS_Entities!$H$11),CDS_Entities!$H$11,0)))))</f>
        <v/>
      </c>
      <c r="G27" s="205">
        <f>IF($B13="","",IF($A13=0,0,IF(ISNUMBER($G13),$G13,IF(ISNUMBER(CDS_Entities!$AI$11),CDS_Entities!$AI$11,IF(ISNUMBER(CDS_Entities!$I$11),CDS_Entities!$I$11,0)))))</f>
        <v/>
      </c>
      <c r="H27" s="205">
        <f>IF($B13="","",IF($A13=0,0,IF(ISNUMBER($H13),$H13,IF(ISNUMBER(CDS_Entities!$AK$11),CDS_Entities!$AK$11,IF(ISNUMBER(CDS_Entities!$J$11),CDS_Entities!$J$11,0)))))</f>
        <v/>
      </c>
      <c r="I27" s="205">
        <f>IF($B13="","",IF($A13=0,0,IF(ISNUMBER($I13),$I13,IF(ISNUMBER(CDS_Entities!$AM$11),CDS_Entities!$AM$11,IF(ISNUMBER(CDS_Entities!$K$11),CDS_Entities!$K$11,0)))))</f>
        <v/>
      </c>
      <c r="J27" s="205">
        <f>IF($B13="","",IF($A13=0,0,IF(ISNUMBER($J13),$J13,IF(ISNUMBER(CDS_Entities!$AO$11),CDS_Entities!$AO$11,IF(ISNUMBER(CDS_Entities!$L$11),CDS_Entities!$L$11,0)))))</f>
        <v/>
      </c>
      <c r="K27" s="205">
        <f>IF($B13="","",IF($A13=0,0,IF(ISNUMBER($K13),$K13,IF(ISNUMBER(CDS_Entities!$AQ$11),CDS_Entities!$AQ$11,IF(ISNUMBER(CDS_Entities!$M$11),CDS_Entities!$M$11,0)))))</f>
        <v/>
      </c>
    </row>
    <row r="28">
      <c r="A28" s="204" t="n"/>
      <c r="B28" s="204">
        <f>IF($B14="","",$B14)</f>
        <v/>
      </c>
      <c r="C28" s="204" t="n"/>
      <c r="D28" s="204" t="n"/>
      <c r="E28" s="204">
        <f>IF($B14="","",IF($A14=0,"off",IF(ISNUMBER($E14),$E14,CDS_Entities!$F$12)))</f>
        <v/>
      </c>
      <c r="F28" s="205">
        <f>IF($B14="","",IF($A14=0,0,IF(ISNUMBER($F14),$F14,IF(ISNUMBER(CDS_Entities!$AG$12),CDS_Entities!$AG$12,IF(ISNUMBER(CDS_Entities!$H$12),CDS_Entities!$H$12,0)))))</f>
        <v/>
      </c>
      <c r="G28" s="205">
        <f>IF($B14="","",IF($A14=0,0,IF(ISNUMBER($G14),$G14,IF(ISNUMBER(CDS_Entities!$AI$12),CDS_Entities!$AI$12,IF(ISNUMBER(CDS_Entities!$I$12),CDS_Entities!$I$12,0)))))</f>
        <v/>
      </c>
      <c r="H28" s="205">
        <f>IF($B14="","",IF($A14=0,0,IF(ISNUMBER($H14),$H14,IF(ISNUMBER(CDS_Entities!$AK$12),CDS_Entities!$AK$12,IF(ISNUMBER(CDS_Entities!$J$12),CDS_Entities!$J$12,0)))))</f>
        <v/>
      </c>
      <c r="I28" s="205">
        <f>IF($B14="","",IF($A14=0,0,IF(ISNUMBER($I14),$I14,IF(ISNUMBER(CDS_Entities!$AM$12),CDS_Entities!$AM$12,IF(ISNUMBER(CDS_Entities!$K$12),CDS_Entities!$K$12,0)))))</f>
        <v/>
      </c>
      <c r="J28" s="205">
        <f>IF($B14="","",IF($A14=0,0,IF(ISNUMBER($J14),$J14,IF(ISNUMBER(CDS_Entities!$AO$12),CDS_Entities!$AO$12,IF(ISNUMBER(CDS_Entities!$L$12),CDS_Entities!$L$12,0)))))</f>
        <v/>
      </c>
      <c r="K28" s="205">
        <f>IF($B14="","",IF($A14=0,0,IF(ISNUMBER($K14),$K14,IF(ISNUMBER(CDS_Entities!$AQ$12),CDS_Entities!$AQ$12,IF(ISNUMBER(CDS_Entities!$M$12),CDS_Entities!$M$12,0)))))</f>
        <v/>
      </c>
    </row>
    <row r="29">
      <c r="A29" s="204" t="n"/>
      <c r="B29" s="204">
        <f>IF($B15="","",$B15)</f>
        <v/>
      </c>
      <c r="C29" s="204" t="n"/>
      <c r="D29" s="204" t="n"/>
      <c r="E29" s="204">
        <f>IF($B15="","",IF($A15=0,"off",IF(ISNUMBER($E15),$E15,CDS_Entities!$F$13)))</f>
        <v/>
      </c>
      <c r="F29" s="205">
        <f>IF($B15="","",IF($A15=0,0,IF(ISNUMBER($F15),$F15,IF(ISNUMBER(CDS_Entities!$AG$13),CDS_Entities!$AG$13,IF(ISNUMBER(CDS_Entities!$H$13),CDS_Entities!$H$13,0)))))</f>
        <v/>
      </c>
      <c r="G29" s="205">
        <f>IF($B15="","",IF($A15=0,0,IF(ISNUMBER($G15),$G15,IF(ISNUMBER(CDS_Entities!$AI$13),CDS_Entities!$AI$13,IF(ISNUMBER(CDS_Entities!$I$13),CDS_Entities!$I$13,0)))))</f>
        <v/>
      </c>
      <c r="H29" s="205">
        <f>IF($B15="","",IF($A15=0,0,IF(ISNUMBER($H15),$H15,IF(ISNUMBER(CDS_Entities!$AK$13),CDS_Entities!$AK$13,IF(ISNUMBER(CDS_Entities!$J$13),CDS_Entities!$J$13,0)))))</f>
        <v/>
      </c>
      <c r="I29" s="205">
        <f>IF($B15="","",IF($A15=0,0,IF(ISNUMBER($I15),$I15,IF(ISNUMBER(CDS_Entities!$AM$13),CDS_Entities!$AM$13,IF(ISNUMBER(CDS_Entities!$K$13),CDS_Entities!$K$13,0)))))</f>
        <v/>
      </c>
      <c r="J29" s="205">
        <f>IF($B15="","",IF($A15=0,0,IF(ISNUMBER($J15),$J15,IF(ISNUMBER(CDS_Entities!$AO$13),CDS_Entities!$AO$13,IF(ISNUMBER(CDS_Entities!$L$13),CDS_Entities!$L$13,0)))))</f>
        <v/>
      </c>
      <c r="K29" s="205">
        <f>IF($B15="","",IF($A15=0,0,IF(ISNUMBER($K15),$K15,IF(ISNUMBER(CDS_Entities!$AQ$13),CDS_Entities!$AQ$13,IF(ISNUMBER(CDS_Entities!$M$13),CDS_Entities!$M$13,0)))))</f>
        <v/>
      </c>
    </row>
    <row r="30">
      <c r="A30" s="204" t="n"/>
      <c r="B30" s="204">
        <f>IF($B16="","",$B16)</f>
        <v/>
      </c>
      <c r="C30" s="204" t="n"/>
      <c r="D30" s="204" t="n"/>
      <c r="E30" s="204">
        <f>IF($B16="","",IF($A16=0,"off",IF(ISNUMBER($E16),$E16,CDS_Entities!$F$14)))</f>
        <v/>
      </c>
      <c r="F30" s="205">
        <f>IF($B16="","",IF($A16=0,0,IF(ISNUMBER($F16),$F16,IF(ISNUMBER(CDS_Entities!$AG$14),CDS_Entities!$AG$14,IF(ISNUMBER(CDS_Entities!$H$14),CDS_Entities!$H$14,0)))))</f>
        <v/>
      </c>
      <c r="G30" s="205">
        <f>IF($B16="","",IF($A16=0,0,IF(ISNUMBER($G16),$G16,IF(ISNUMBER(CDS_Entities!$AI$14),CDS_Entities!$AI$14,IF(ISNUMBER(CDS_Entities!$I$14),CDS_Entities!$I$14,0)))))</f>
        <v/>
      </c>
      <c r="H30" s="205">
        <f>IF($B16="","",IF($A16=0,0,IF(ISNUMBER($H16),$H16,IF(ISNUMBER(CDS_Entities!$AK$14),CDS_Entities!$AK$14,IF(ISNUMBER(CDS_Entities!$J$14),CDS_Entities!$J$14,0)))))</f>
        <v/>
      </c>
      <c r="I30" s="205">
        <f>IF($B16="","",IF($A16=0,0,IF(ISNUMBER($I16),$I16,IF(ISNUMBER(CDS_Entities!$AM$14),CDS_Entities!$AM$14,IF(ISNUMBER(CDS_Entities!$K$14),CDS_Entities!$K$14,0)))))</f>
        <v/>
      </c>
      <c r="J30" s="205">
        <f>IF($B16="","",IF($A16=0,0,IF(ISNUMBER($J16),$J16,IF(ISNUMBER(CDS_Entities!$AO$14),CDS_Entities!$AO$14,IF(ISNUMBER(CDS_Entities!$L$14),CDS_Entities!$L$14,0)))))</f>
        <v/>
      </c>
      <c r="K30" s="205">
        <f>IF($B16="","",IF($A16=0,0,IF(ISNUMBER($K16),$K16,IF(ISNUMBER(CDS_Entities!$AQ$14),CDS_Entities!$AQ$14,IF(ISNUMBER(CDS_Entities!$M$14),CDS_Entities!$M$14,0)))))</f>
        <v/>
      </c>
    </row>
  </sheetData>
  <dataValidations count="1">
    <dataValidation sqref="B4" showDropDown="0" showInputMessage="0" showErrorMessage="0" allowBlank="0" type="list">
      <formula1>=$B$7:$B$16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</cols>
  <sheetData>
    <row r="1">
      <c r="A1" s="176" t="inlineStr">
        <is>
          <t>Curves</t>
        </is>
      </c>
    </row>
    <row r="2">
      <c r="A2" s="177" t="inlineStr">
        <is>
          <t>Discount curve is the pasted snapshot. Hazard and survival come from the strip.</t>
        </is>
      </c>
    </row>
    <row r="4">
      <c r="A4" s="67" t="inlineStr">
        <is>
          <t>SOFR discount curve</t>
        </is>
      </c>
    </row>
    <row r="5">
      <c r="A5" s="183" t="inlineStr">
        <is>
          <t>Date</t>
        </is>
      </c>
      <c r="B5" s="183" t="inlineStr">
        <is>
          <t>T</t>
        </is>
      </c>
      <c r="C5" s="183" t="inlineStr">
        <is>
          <t>DF</t>
        </is>
      </c>
      <c r="D5" s="183" t="inlineStr">
        <is>
          <t>Zero %</t>
        </is>
      </c>
    </row>
    <row r="6">
      <c r="A6" s="47">
        <f>'Curve_Interface'!K9</f>
        <v/>
      </c>
      <c r="B6" s="50">
        <f>('Curve_Interface'!K9-VAL_DATE)/365</f>
        <v/>
      </c>
      <c r="C6" s="61">
        <f>'Curve_Interface'!L9</f>
        <v/>
      </c>
      <c r="D6" s="33">
        <f>IF(B6&lt;=0,"",-LN(C6)/B6*100)</f>
        <v/>
      </c>
    </row>
    <row r="7">
      <c r="A7" s="47">
        <f>'Curve_Interface'!K10</f>
        <v/>
      </c>
      <c r="B7" s="50">
        <f>('Curve_Interface'!K10-VAL_DATE)/365</f>
        <v/>
      </c>
      <c r="C7" s="61">
        <f>'Curve_Interface'!L10</f>
        <v/>
      </c>
      <c r="D7" s="33">
        <f>IF(B7&lt;=0,"",-LN(C7)/B7*100)</f>
        <v/>
      </c>
    </row>
    <row r="8">
      <c r="A8" s="47">
        <f>'Curve_Interface'!K11</f>
        <v/>
      </c>
      <c r="B8" s="50">
        <f>('Curve_Interface'!K11-VAL_DATE)/365</f>
        <v/>
      </c>
      <c r="C8" s="61">
        <f>'Curve_Interface'!L11</f>
        <v/>
      </c>
      <c r="D8" s="33">
        <f>IF(B8&lt;=0,"",-LN(C8)/B8*100)</f>
        <v/>
      </c>
    </row>
    <row r="9">
      <c r="A9" s="47">
        <f>'Curve_Interface'!K12</f>
        <v/>
      </c>
      <c r="B9" s="50">
        <f>('Curve_Interface'!K12-VAL_DATE)/365</f>
        <v/>
      </c>
      <c r="C9" s="61">
        <f>'Curve_Interface'!L12</f>
        <v/>
      </c>
      <c r="D9" s="33">
        <f>IF(B9&lt;=0,"",-LN(C9)/B9*100)</f>
        <v/>
      </c>
    </row>
    <row r="10">
      <c r="A10" s="47">
        <f>'Curve_Interface'!K13</f>
        <v/>
      </c>
      <c r="B10" s="50">
        <f>('Curve_Interface'!K13-VAL_DATE)/365</f>
        <v/>
      </c>
      <c r="C10" s="61">
        <f>'Curve_Interface'!L13</f>
        <v/>
      </c>
      <c r="D10" s="33">
        <f>IF(B10&lt;=0,"",-LN(C10)/B10*100)</f>
        <v/>
      </c>
    </row>
    <row r="11">
      <c r="A11" s="47">
        <f>'Curve_Interface'!K14</f>
        <v/>
      </c>
      <c r="B11" s="50">
        <f>('Curve_Interface'!K14-VAL_DATE)/365</f>
        <v/>
      </c>
      <c r="C11" s="61">
        <f>'Curve_Interface'!L14</f>
        <v/>
      </c>
      <c r="D11" s="33">
        <f>IF(B11&lt;=0,"",-LN(C11)/B11*100)</f>
        <v/>
      </c>
    </row>
    <row r="12">
      <c r="A12" s="47">
        <f>'Curve_Interface'!K15</f>
        <v/>
      </c>
      <c r="B12" s="50">
        <f>('Curve_Interface'!K15-VAL_DATE)/365</f>
        <v/>
      </c>
      <c r="C12" s="61">
        <f>'Curve_Interface'!L15</f>
        <v/>
      </c>
      <c r="D12" s="33">
        <f>IF(B12&lt;=0,"",-LN(C12)/B12*100)</f>
        <v/>
      </c>
    </row>
    <row r="13">
      <c r="A13" s="47">
        <f>'Curve_Interface'!K16</f>
        <v/>
      </c>
      <c r="B13" s="50">
        <f>('Curve_Interface'!K16-VAL_DATE)/365</f>
        <v/>
      </c>
      <c r="C13" s="61">
        <f>'Curve_Interface'!L16</f>
        <v/>
      </c>
      <c r="D13" s="33">
        <f>IF(B13&lt;=0,"",-LN(C13)/B13*100)</f>
        <v/>
      </c>
    </row>
    <row r="14">
      <c r="A14" s="47">
        <f>'Curve_Interface'!K17</f>
        <v/>
      </c>
      <c r="B14" s="50">
        <f>('Curve_Interface'!K17-VAL_DATE)/365</f>
        <v/>
      </c>
      <c r="C14" s="61">
        <f>'Curve_Interface'!L17</f>
        <v/>
      </c>
      <c r="D14" s="33">
        <f>IF(B14&lt;=0,"",-LN(C14)/B14*100)</f>
        <v/>
      </c>
    </row>
    <row r="15">
      <c r="A15" s="47">
        <f>'Curve_Interface'!K18</f>
        <v/>
      </c>
      <c r="B15" s="50">
        <f>('Curve_Interface'!K18-VAL_DATE)/365</f>
        <v/>
      </c>
      <c r="C15" s="61">
        <f>'Curve_Interface'!L18</f>
        <v/>
      </c>
      <c r="D15" s="33">
        <f>IF(B15&lt;=0,"",-LN(C15)/B15*100)</f>
        <v/>
      </c>
    </row>
    <row r="16">
      <c r="A16" s="47">
        <f>'Curve_Interface'!K19</f>
        <v/>
      </c>
      <c r="B16" s="50">
        <f>('Curve_Interface'!K19-VAL_DATE)/365</f>
        <v/>
      </c>
      <c r="C16" s="61">
        <f>'Curve_Interface'!L19</f>
        <v/>
      </c>
      <c r="D16" s="33">
        <f>IF(B16&lt;=0,"",-LN(C16)/B16*100)</f>
        <v/>
      </c>
    </row>
    <row r="17">
      <c r="A17" s="47">
        <f>'Curve_Interface'!K20</f>
        <v/>
      </c>
      <c r="B17" s="50">
        <f>('Curve_Interface'!K20-VAL_DATE)/365</f>
        <v/>
      </c>
      <c r="C17" s="61">
        <f>'Curve_Interface'!L20</f>
        <v/>
      </c>
      <c r="D17" s="33">
        <f>IF(B17&lt;=0,"",-LN(C17)/B17*100)</f>
        <v/>
      </c>
    </row>
    <row r="18">
      <c r="A18" s="47">
        <f>'Curve_Interface'!K21</f>
        <v/>
      </c>
      <c r="B18" s="50">
        <f>('Curve_Interface'!K21-VAL_DATE)/365</f>
        <v/>
      </c>
      <c r="C18" s="61">
        <f>'Curve_Interface'!L21</f>
        <v/>
      </c>
      <c r="D18" s="33">
        <f>IF(B18&lt;=0,"",-LN(C18)/B18*100)</f>
        <v/>
      </c>
    </row>
    <row r="19">
      <c r="A19" s="47">
        <f>'Curve_Interface'!K22</f>
        <v/>
      </c>
      <c r="B19" s="50">
        <f>('Curve_Interface'!K22-VAL_DATE)/365</f>
        <v/>
      </c>
      <c r="C19" s="61">
        <f>'Curve_Interface'!L22</f>
        <v/>
      </c>
      <c r="D19" s="33">
        <f>IF(B19&lt;=0,"",-LN(C19)/B19*100)</f>
        <v/>
      </c>
    </row>
    <row r="20">
      <c r="A20" s="47">
        <f>'Curve_Interface'!K23</f>
        <v/>
      </c>
      <c r="B20" s="50">
        <f>('Curve_Interface'!K23-VAL_DATE)/365</f>
        <v/>
      </c>
      <c r="C20" s="61">
        <f>'Curve_Interface'!L23</f>
        <v/>
      </c>
      <c r="D20" s="33">
        <f>IF(B20&lt;=0,"",-LN(C20)/B20*100)</f>
        <v/>
      </c>
    </row>
    <row r="21">
      <c r="A21" s="47">
        <f>'Curve_Interface'!K24</f>
        <v/>
      </c>
      <c r="B21" s="50">
        <f>('Curve_Interface'!K24-VAL_DATE)/365</f>
        <v/>
      </c>
      <c r="C21" s="61">
        <f>'Curve_Interface'!L24</f>
        <v/>
      </c>
      <c r="D21" s="33">
        <f>IF(B21&lt;=0,"",-LN(C21)/B21*100)</f>
        <v/>
      </c>
    </row>
    <row r="22">
      <c r="A22" s="47">
        <f>'Curve_Interface'!K25</f>
        <v/>
      </c>
      <c r="B22" s="50">
        <f>('Curve_Interface'!K25-VAL_DATE)/365</f>
        <v/>
      </c>
      <c r="C22" s="61">
        <f>'Curve_Interface'!L25</f>
        <v/>
      </c>
      <c r="D22" s="33">
        <f>IF(B22&lt;=0,"",-LN(C22)/B22*100)</f>
        <v/>
      </c>
    </row>
    <row r="23">
      <c r="A23" s="47">
        <f>'Curve_Interface'!K26</f>
        <v/>
      </c>
      <c r="B23" s="50">
        <f>('Curve_Interface'!K26-VAL_DATE)/365</f>
        <v/>
      </c>
      <c r="C23" s="61">
        <f>'Curve_Interface'!L26</f>
        <v/>
      </c>
      <c r="D23" s="33">
        <f>IF(B23&lt;=0,"",-LN(C23)/B23*100)</f>
        <v/>
      </c>
    </row>
    <row r="24">
      <c r="A24" s="47">
        <f>'Curve_Interface'!K27</f>
        <v/>
      </c>
      <c r="B24" s="50">
        <f>('Curve_Interface'!K27-VAL_DATE)/365</f>
        <v/>
      </c>
      <c r="C24" s="61">
        <f>'Curve_Interface'!L27</f>
        <v/>
      </c>
      <c r="D24" s="33">
        <f>IF(B24&lt;=0,"",-LN(C24)/B24*100)</f>
        <v/>
      </c>
    </row>
    <row r="25">
      <c r="A25" s="47">
        <f>'Curve_Interface'!K28</f>
        <v/>
      </c>
      <c r="B25" s="50">
        <f>('Curve_Interface'!K28-VAL_DATE)/365</f>
        <v/>
      </c>
      <c r="C25" s="61">
        <f>'Curve_Interface'!L28</f>
        <v/>
      </c>
      <c r="D25" s="33">
        <f>IF(B25&lt;=0,"",-LN(C25)/B25*100)</f>
        <v/>
      </c>
    </row>
    <row r="26">
      <c r="A26" s="47">
        <f>'Curve_Interface'!K29</f>
        <v/>
      </c>
      <c r="B26" s="50">
        <f>('Curve_Interface'!K29-VAL_DATE)/365</f>
        <v/>
      </c>
      <c r="C26" s="61">
        <f>'Curve_Interface'!L29</f>
        <v/>
      </c>
      <c r="D26" s="33">
        <f>IF(B26&lt;=0,"",-LN(C26)/B26*100)</f>
        <v/>
      </c>
    </row>
    <row r="27">
      <c r="A27" s="47">
        <f>'Curve_Interface'!K30</f>
        <v/>
      </c>
      <c r="B27" s="50">
        <f>('Curve_Interface'!K30-VAL_DATE)/365</f>
        <v/>
      </c>
      <c r="C27" s="61">
        <f>'Curve_Interface'!L30</f>
        <v/>
      </c>
      <c r="D27" s="33">
        <f>IF(B27&lt;=0,"",-LN(C27)/B27*100)</f>
        <v/>
      </c>
    </row>
    <row r="28">
      <c r="A28" s="47">
        <f>'Curve_Interface'!K31</f>
        <v/>
      </c>
      <c r="B28" s="50">
        <f>('Curve_Interface'!K31-VAL_DATE)/365</f>
        <v/>
      </c>
      <c r="C28" s="61">
        <f>'Curve_Interface'!L31</f>
        <v/>
      </c>
      <c r="D28" s="33">
        <f>IF(B28&lt;=0,"",-LN(C28)/B28*100)</f>
        <v/>
      </c>
    </row>
    <row r="29">
      <c r="A29" s="47">
        <f>'Curve_Interface'!K32</f>
        <v/>
      </c>
      <c r="B29" s="50">
        <f>('Curve_Interface'!K32-VAL_DATE)/365</f>
        <v/>
      </c>
      <c r="C29" s="61">
        <f>'Curve_Interface'!L32</f>
        <v/>
      </c>
      <c r="D29" s="33">
        <f>IF(B29&lt;=0,"",-LN(C29)/B29*100)</f>
        <v/>
      </c>
    </row>
    <row r="30">
      <c r="A30" s="47">
        <f>'Curve_Interface'!K33</f>
        <v/>
      </c>
      <c r="B30" s="50">
        <f>('Curve_Interface'!K33-VAL_DATE)/365</f>
        <v/>
      </c>
      <c r="C30" s="61">
        <f>'Curve_Interface'!L33</f>
        <v/>
      </c>
      <c r="D30" s="33">
        <f>IF(B30&lt;=0,"",-LN(C30)/B30*100)</f>
        <v/>
      </c>
    </row>
    <row r="31">
      <c r="A31" s="47">
        <f>'Curve_Interface'!K34</f>
        <v/>
      </c>
      <c r="B31" s="50">
        <f>('Curve_Interface'!K34-VAL_DATE)/365</f>
        <v/>
      </c>
      <c r="C31" s="61">
        <f>'Curve_Interface'!L34</f>
        <v/>
      </c>
      <c r="D31" s="33">
        <f>IF(B31&lt;=0,"",-LN(C31)/B31*100)</f>
        <v/>
      </c>
    </row>
    <row r="32">
      <c r="A32" s="47">
        <f>'Curve_Interface'!K35</f>
        <v/>
      </c>
      <c r="B32" s="50">
        <f>('Curve_Interface'!K35-VAL_DATE)/365</f>
        <v/>
      </c>
      <c r="C32" s="61">
        <f>'Curve_Interface'!L35</f>
        <v/>
      </c>
      <c r="D32" s="33">
        <f>IF(B32&lt;=0,"",-LN(C32)/B32*100)</f>
        <v/>
      </c>
    </row>
    <row r="33">
      <c r="A33" s="47">
        <f>'Curve_Interface'!K36</f>
        <v/>
      </c>
      <c r="B33" s="50">
        <f>('Curve_Interface'!K36-VAL_DATE)/365</f>
        <v/>
      </c>
      <c r="C33" s="61">
        <f>'Curve_Interface'!L36</f>
        <v/>
      </c>
      <c r="D33" s="33">
        <f>IF(B33&lt;=0,"",-LN(C33)/B33*100)</f>
        <v/>
      </c>
    </row>
    <row r="34">
      <c r="A34" s="47">
        <f>'Curve_Interface'!K37</f>
        <v/>
      </c>
      <c r="B34" s="50">
        <f>('Curve_Interface'!K37-VAL_DATE)/365</f>
        <v/>
      </c>
      <c r="C34" s="61">
        <f>'Curve_Interface'!L37</f>
        <v/>
      </c>
      <c r="D34" s="33">
        <f>IF(B34&lt;=0,"",-LN(C34)/B34*100)</f>
        <v/>
      </c>
    </row>
    <row r="35">
      <c r="A35" s="47">
        <f>'Curve_Interface'!K38</f>
        <v/>
      </c>
      <c r="B35" s="50">
        <f>('Curve_Interface'!K38-VAL_DATE)/365</f>
        <v/>
      </c>
      <c r="C35" s="61">
        <f>'Curve_Interface'!L38</f>
        <v/>
      </c>
      <c r="D35" s="33">
        <f>IF(B35&lt;=0,"",-LN(C35)/B35*100)</f>
        <v/>
      </c>
    </row>
    <row r="36">
      <c r="A36" s="47">
        <f>'Curve_Interface'!K39</f>
        <v/>
      </c>
      <c r="B36" s="50">
        <f>('Curve_Interface'!K39-VAL_DATE)/365</f>
        <v/>
      </c>
      <c r="C36" s="61">
        <f>'Curve_Interface'!L39</f>
        <v/>
      </c>
      <c r="D36" s="33">
        <f>IF(B36&lt;=0,"",-LN(C36)/B36*100)</f>
        <v/>
      </c>
    </row>
    <row r="37">
      <c r="A37" s="47">
        <f>'Curve_Interface'!K40</f>
        <v/>
      </c>
      <c r="B37" s="50">
        <f>('Curve_Interface'!K40-VAL_DATE)/365</f>
        <v/>
      </c>
      <c r="C37" s="61">
        <f>'Curve_Interface'!L40</f>
        <v/>
      </c>
      <c r="D37" s="33">
        <f>IF(B37&lt;=0,"",-LN(C37)/B37*100)</f>
        <v/>
      </c>
    </row>
    <row r="38">
      <c r="A38" s="47">
        <f>'Curve_Interface'!K41</f>
        <v/>
      </c>
      <c r="B38" s="50">
        <f>('Curve_Interface'!K41-VAL_DATE)/365</f>
        <v/>
      </c>
      <c r="C38" s="61">
        <f>'Curve_Interface'!L41</f>
        <v/>
      </c>
      <c r="D38" s="33">
        <f>IF(B38&lt;=0,"",-LN(C38)/B38*100)</f>
        <v/>
      </c>
    </row>
    <row r="39">
      <c r="A39" s="47">
        <f>'Curve_Interface'!K42</f>
        <v/>
      </c>
      <c r="B39" s="50">
        <f>('Curve_Interface'!K42-VAL_DATE)/365</f>
        <v/>
      </c>
      <c r="C39" s="61">
        <f>'Curve_Interface'!L42</f>
        <v/>
      </c>
      <c r="D39" s="33">
        <f>IF(B39&lt;=0,"",-LN(C39)/B39*100)</f>
        <v/>
      </c>
    </row>
    <row r="40">
      <c r="A40" s="47">
        <f>'Curve_Interface'!K43</f>
        <v/>
      </c>
      <c r="B40" s="50">
        <f>('Curve_Interface'!K43-VAL_DATE)/365</f>
        <v/>
      </c>
      <c r="C40" s="61">
        <f>'Curve_Interface'!L43</f>
        <v/>
      </c>
      <c r="D40" s="33">
        <f>IF(B40&lt;=0,"",-LN(C40)/B40*100)</f>
        <v/>
      </c>
    </row>
    <row r="41">
      <c r="A41" s="47">
        <f>'Curve_Interface'!K44</f>
        <v/>
      </c>
      <c r="B41" s="50">
        <f>('Curve_Interface'!K44-VAL_DATE)/365</f>
        <v/>
      </c>
      <c r="C41" s="61">
        <f>'Curve_Interface'!L44</f>
        <v/>
      </c>
      <c r="D41" s="33">
        <f>IF(B41&lt;=0,"",-LN(C41)/B41*100)</f>
        <v/>
      </c>
    </row>
    <row r="42">
      <c r="A42" s="47">
        <f>'Curve_Interface'!K45</f>
        <v/>
      </c>
      <c r="B42" s="50">
        <f>('Curve_Interface'!K45-VAL_DATE)/365</f>
        <v/>
      </c>
      <c r="C42" s="61">
        <f>'Curve_Interface'!L45</f>
        <v/>
      </c>
      <c r="D42" s="33">
        <f>IF(B42&lt;=0,"",-LN(C42)/B42*100)</f>
        <v/>
      </c>
    </row>
    <row r="43">
      <c r="A43" s="47">
        <f>'Curve_Interface'!K46</f>
        <v/>
      </c>
      <c r="B43" s="50">
        <f>('Curve_Interface'!K46-VAL_DATE)/365</f>
        <v/>
      </c>
      <c r="C43" s="61">
        <f>'Curve_Interface'!L46</f>
        <v/>
      </c>
      <c r="D43" s="33">
        <f>IF(B43&lt;=0,"",-LN(C43)/B43*100)</f>
        <v/>
      </c>
    </row>
    <row r="44">
      <c r="A44" s="47">
        <f>'Curve_Interface'!K47</f>
        <v/>
      </c>
      <c r="B44" s="50">
        <f>('Curve_Interface'!K47-VAL_DATE)/365</f>
        <v/>
      </c>
      <c r="C44" s="61">
        <f>'Curve_Interface'!L47</f>
        <v/>
      </c>
      <c r="D44" s="33">
        <f>IF(B44&lt;=0,"",-LN(C44)/B44*100)</f>
        <v/>
      </c>
    </row>
    <row r="45">
      <c r="A45" s="47">
        <f>'Curve_Interface'!K48</f>
        <v/>
      </c>
      <c r="B45" s="50">
        <f>('Curve_Interface'!K48-VAL_DATE)/365</f>
        <v/>
      </c>
      <c r="C45" s="61">
        <f>'Curve_Interface'!L48</f>
        <v/>
      </c>
      <c r="D45" s="33">
        <f>IF(B45&lt;=0,"",-LN(C45)/B45*100)</f>
        <v/>
      </c>
    </row>
    <row r="46">
      <c r="A46" s="47">
        <f>'Curve_Interface'!K49</f>
        <v/>
      </c>
      <c r="B46" s="50">
        <f>('Curve_Interface'!K49-VAL_DATE)/365</f>
        <v/>
      </c>
      <c r="C46" s="61">
        <f>'Curve_Interface'!L49</f>
        <v/>
      </c>
      <c r="D46" s="33">
        <f>IF(B46&lt;=0,"",-LN(C46)/B46*100)</f>
        <v/>
      </c>
    </row>
    <row r="47">
      <c r="A47" s="47">
        <f>'Curve_Interface'!K50</f>
        <v/>
      </c>
      <c r="B47" s="50">
        <f>('Curve_Interface'!K50-VAL_DATE)/365</f>
        <v/>
      </c>
      <c r="C47" s="61">
        <f>'Curve_Interface'!L50</f>
        <v/>
      </c>
      <c r="D47" s="33">
        <f>IF(B47&lt;=0,"",-LN(C47)/B47*100)</f>
        <v/>
      </c>
    </row>
    <row r="48">
      <c r="A48" s="47">
        <f>'Curve_Interface'!K51</f>
        <v/>
      </c>
      <c r="B48" s="50">
        <f>('Curve_Interface'!K51-VAL_DATE)/365</f>
        <v/>
      </c>
      <c r="C48" s="61">
        <f>'Curve_Interface'!L51</f>
        <v/>
      </c>
      <c r="D48" s="33">
        <f>IF(B48&lt;=0,"",-LN(C48)/B48*100)</f>
        <v/>
      </c>
    </row>
    <row r="49">
      <c r="A49" s="47">
        <f>'Curve_Interface'!K52</f>
        <v/>
      </c>
      <c r="B49" s="50">
        <f>('Curve_Interface'!K52-VAL_DATE)/365</f>
        <v/>
      </c>
      <c r="C49" s="61">
        <f>'Curve_Interface'!L52</f>
        <v/>
      </c>
      <c r="D49" s="33">
        <f>IF(B49&lt;=0,"",-LN(C49)/B49*100)</f>
        <v/>
      </c>
    </row>
    <row r="50">
      <c r="A50" s="47">
        <f>'Curve_Interface'!K53</f>
        <v/>
      </c>
      <c r="B50" s="50">
        <f>('Curve_Interface'!K53-VAL_DATE)/365</f>
        <v/>
      </c>
      <c r="C50" s="61">
        <f>'Curve_Interface'!L53</f>
        <v/>
      </c>
      <c r="D50" s="33">
        <f>IF(B50&lt;=0,"",-LN(C50)/B50*100)</f>
        <v/>
      </c>
    </row>
    <row r="51">
      <c r="A51" s="47">
        <f>'Curve_Interface'!K54</f>
        <v/>
      </c>
      <c r="B51" s="50">
        <f>('Curve_Interface'!K54-VAL_DATE)/365</f>
        <v/>
      </c>
      <c r="C51" s="61">
        <f>'Curve_Interface'!L54</f>
        <v/>
      </c>
      <c r="D51" s="33">
        <f>IF(B51&lt;=0,"",-LN(C51)/B51*100)</f>
        <v/>
      </c>
    </row>
    <row r="52">
      <c r="A52" s="47">
        <f>'Curve_Interface'!K55</f>
        <v/>
      </c>
      <c r="B52" s="50">
        <f>('Curve_Interface'!K55-VAL_DATE)/365</f>
        <v/>
      </c>
      <c r="C52" s="61">
        <f>'Curve_Interface'!L55</f>
        <v/>
      </c>
      <c r="D52" s="33">
        <f>IF(B52&lt;=0,"",-LN(C52)/B52*100)</f>
        <v/>
      </c>
    </row>
    <row r="53">
      <c r="A53" s="47">
        <f>'Curve_Interface'!K56</f>
        <v/>
      </c>
      <c r="B53" s="50">
        <f>('Curve_Interface'!K56-VAL_DATE)/365</f>
        <v/>
      </c>
      <c r="C53" s="61">
        <f>'Curve_Interface'!L56</f>
        <v/>
      </c>
      <c r="D53" s="33">
        <f>IF(B53&lt;=0,"",-LN(C53)/B53*100)</f>
        <v/>
      </c>
    </row>
    <row r="54">
      <c r="A54" s="47">
        <f>'Curve_Interface'!K57</f>
        <v/>
      </c>
      <c r="B54" s="50">
        <f>('Curve_Interface'!K57-VAL_DATE)/365</f>
        <v/>
      </c>
      <c r="C54" s="61">
        <f>'Curve_Interface'!L57</f>
        <v/>
      </c>
      <c r="D54" s="33">
        <f>IF(B54&lt;=0,"",-LN(C54)/B54*100)</f>
        <v/>
      </c>
    </row>
    <row r="55">
      <c r="A55" s="47">
        <f>'Curve_Interface'!K58</f>
        <v/>
      </c>
      <c r="B55" s="50">
        <f>('Curve_Interface'!K58-VAL_DATE)/365</f>
        <v/>
      </c>
      <c r="C55" s="61">
        <f>'Curve_Interface'!L58</f>
        <v/>
      </c>
      <c r="D55" s="33">
        <f>IF(B55&lt;=0,"",-LN(C55)/B55*100)</f>
        <v/>
      </c>
    </row>
    <row r="56">
      <c r="A56" s="47">
        <f>'Curve_Interface'!K59</f>
        <v/>
      </c>
      <c r="B56" s="50">
        <f>('Curve_Interface'!K59-VAL_DATE)/365</f>
        <v/>
      </c>
      <c r="C56" s="61">
        <f>'Curve_Interface'!L59</f>
        <v/>
      </c>
      <c r="D56" s="33">
        <f>IF(B56&lt;=0,"",-LN(C56)/B56*100)</f>
        <v/>
      </c>
    </row>
    <row r="57">
      <c r="A57" s="47">
        <f>'Curve_Interface'!K60</f>
        <v/>
      </c>
      <c r="B57" s="50">
        <f>('Curve_Interface'!K60-VAL_DATE)/365</f>
        <v/>
      </c>
      <c r="C57" s="61">
        <f>'Curve_Interface'!L60</f>
        <v/>
      </c>
      <c r="D57" s="33">
        <f>IF(B57&lt;=0,"",-LN(C57)/B57*100)</f>
        <v/>
      </c>
    </row>
    <row r="58">
      <c r="A58" s="47">
        <f>'Curve_Interface'!K61</f>
        <v/>
      </c>
      <c r="B58" s="50">
        <f>('Curve_Interface'!K61-VAL_DATE)/365</f>
        <v/>
      </c>
      <c r="C58" s="61">
        <f>'Curve_Interface'!L61</f>
        <v/>
      </c>
      <c r="D58" s="33">
        <f>IF(B58&lt;=0,"",-LN(C58)/B58*100)</f>
        <v/>
      </c>
    </row>
    <row r="59">
      <c r="A59" s="47">
        <f>'Curve_Interface'!K62</f>
        <v/>
      </c>
      <c r="B59" s="50">
        <f>('Curve_Interface'!K62-VAL_DATE)/365</f>
        <v/>
      </c>
      <c r="C59" s="61">
        <f>'Curve_Interface'!L62</f>
        <v/>
      </c>
      <c r="D59" s="33">
        <f>IF(B59&lt;=0,"",-LN(C59)/B59*100)</f>
        <v/>
      </c>
    </row>
    <row r="60">
      <c r="A60" s="47">
        <f>'Curve_Interface'!K63</f>
        <v/>
      </c>
      <c r="B60" s="50">
        <f>('Curve_Interface'!K63-VAL_DATE)/365</f>
        <v/>
      </c>
      <c r="C60" s="61">
        <f>'Curve_Interface'!L63</f>
        <v/>
      </c>
      <c r="D60" s="33">
        <f>IF(B60&lt;=0,"",-LN(C60)/B60*100)</f>
        <v/>
      </c>
    </row>
    <row r="61">
      <c r="A61" s="47">
        <f>'Curve_Interface'!K64</f>
        <v/>
      </c>
      <c r="B61" s="50">
        <f>('Curve_Interface'!K64-VAL_DATE)/365</f>
        <v/>
      </c>
      <c r="C61" s="61">
        <f>'Curve_Interface'!L64</f>
        <v/>
      </c>
      <c r="D61" s="33">
        <f>IF(B61&lt;=0,"",-LN(C61)/B61*100)</f>
        <v/>
      </c>
    </row>
    <row r="62">
      <c r="A62" s="47">
        <f>'Curve_Interface'!K65</f>
        <v/>
      </c>
      <c r="B62" s="50">
        <f>('Curve_Interface'!K65-VAL_DATE)/365</f>
        <v/>
      </c>
      <c r="C62" s="61">
        <f>'Curve_Interface'!L65</f>
        <v/>
      </c>
      <c r="D62" s="33">
        <f>IF(B62&lt;=0,"",-LN(C62)/B62*100)</f>
        <v/>
      </c>
    </row>
    <row r="63">
      <c r="A63" s="47">
        <f>'Curve_Interface'!K66</f>
        <v/>
      </c>
      <c r="B63" s="50">
        <f>('Curve_Interface'!K66-VAL_DATE)/365</f>
        <v/>
      </c>
      <c r="C63" s="61">
        <f>'Curve_Interface'!L66</f>
        <v/>
      </c>
      <c r="D63" s="33">
        <f>IF(B63&lt;=0,"",-LN(C63)/B63*100)</f>
        <v/>
      </c>
    </row>
    <row r="64">
      <c r="A64" s="47">
        <f>'Curve_Interface'!K67</f>
        <v/>
      </c>
      <c r="B64" s="50">
        <f>('Curve_Interface'!K67-VAL_DATE)/365</f>
        <v/>
      </c>
      <c r="C64" s="61">
        <f>'Curve_Interface'!L67</f>
        <v/>
      </c>
      <c r="D64" s="33">
        <f>IF(B64&lt;=0,"",-LN(C64)/B64*100)</f>
        <v/>
      </c>
    </row>
    <row r="65">
      <c r="A65" s="47">
        <f>'Curve_Interface'!K68</f>
        <v/>
      </c>
      <c r="B65" s="50">
        <f>('Curve_Interface'!K68-VAL_DATE)/365</f>
        <v/>
      </c>
      <c r="C65" s="61">
        <f>'Curve_Interface'!L68</f>
        <v/>
      </c>
      <c r="D65" s="33">
        <f>IF(B65&lt;=0,"",-LN(C65)/B65*100)</f>
        <v/>
      </c>
    </row>
    <row r="66">
      <c r="A66" s="47">
        <f>'Curve_Interface'!K69</f>
        <v/>
      </c>
      <c r="B66" s="50">
        <f>('Curve_Interface'!K69-VAL_DATE)/365</f>
        <v/>
      </c>
      <c r="C66" s="61">
        <f>'Curve_Interface'!L69</f>
        <v/>
      </c>
      <c r="D66" s="33">
        <f>IF(B66&lt;=0,"",-LN(C66)/B66*100)</f>
        <v/>
      </c>
    </row>
    <row r="67">
      <c r="A67" s="47">
        <f>'Curve_Interface'!K70</f>
        <v/>
      </c>
      <c r="B67" s="50">
        <f>('Curve_Interface'!K70-VAL_DATE)/365</f>
        <v/>
      </c>
      <c r="C67" s="61">
        <f>'Curve_Interface'!L70</f>
        <v/>
      </c>
      <c r="D67" s="33">
        <f>IF(B67&lt;=0,"",-LN(C67)/B67*100)</f>
        <v/>
      </c>
    </row>
    <row r="68">
      <c r="A68" s="47">
        <f>'Curve_Interface'!K71</f>
        <v/>
      </c>
      <c r="B68" s="50">
        <f>('Curve_Interface'!K71-VAL_DATE)/365</f>
        <v/>
      </c>
      <c r="C68" s="61">
        <f>'Curve_Interface'!L71</f>
        <v/>
      </c>
      <c r="D68" s="33">
        <f>IF(B68&lt;=0,"",-LN(C68)/B68*100)</f>
        <v/>
      </c>
    </row>
    <row r="69">
      <c r="A69" s="47">
        <f>'Curve_Interface'!K72</f>
        <v/>
      </c>
      <c r="B69" s="50">
        <f>('Curve_Interface'!K72-VAL_DATE)/365</f>
        <v/>
      </c>
      <c r="C69" s="61">
        <f>'Curve_Interface'!L72</f>
        <v/>
      </c>
      <c r="D69" s="33">
        <f>IF(B69&lt;=0,"",-LN(C69)/B69*100)</f>
        <v/>
      </c>
    </row>
    <row r="70">
      <c r="A70" s="47">
        <f>'Curve_Interface'!K73</f>
        <v/>
      </c>
      <c r="B70" s="50">
        <f>('Curve_Interface'!K73-VAL_DATE)/365</f>
        <v/>
      </c>
      <c r="C70" s="61">
        <f>'Curve_Interface'!L73</f>
        <v/>
      </c>
      <c r="D70" s="33">
        <f>IF(B70&lt;=0,"",-LN(C70)/B70*100)</f>
        <v/>
      </c>
    </row>
    <row r="73">
      <c r="A73" s="67" t="inlineStr">
        <is>
          <t>Hazard and survival</t>
        </is>
      </c>
    </row>
    <row r="74">
      <c r="A74" s="183" t="inlineStr">
        <is>
          <t>Tenor</t>
        </is>
      </c>
      <c r="B74" s="183" t="inlineStr">
        <is>
          <t>Hazard %</t>
        </is>
      </c>
      <c r="C74" s="183" t="inlineStr">
        <is>
          <t>Survival Q</t>
        </is>
      </c>
      <c r="D74" s="183" t="inlineStr">
        <is>
          <t>Default prob 1-Q</t>
        </is>
      </c>
    </row>
    <row r="75">
      <c r="A75">
        <f>Hazard_Bootstrap!A7</f>
        <v/>
      </c>
      <c r="B75" s="33">
        <f>Hazard_Bootstrap!D7*100</f>
        <v/>
      </c>
      <c r="C75" s="33">
        <f>Hazard_Bootstrap!E7</f>
        <v/>
      </c>
      <c r="D75" s="33">
        <f>Hazard_Bootstrap!F7</f>
        <v/>
      </c>
    </row>
    <row r="76">
      <c r="A76">
        <f>Hazard_Bootstrap!A8</f>
        <v/>
      </c>
      <c r="B76" s="33">
        <f>Hazard_Bootstrap!D8*100</f>
        <v/>
      </c>
      <c r="C76" s="33">
        <f>Hazard_Bootstrap!E8</f>
        <v/>
      </c>
      <c r="D76" s="33">
        <f>Hazard_Bootstrap!F8</f>
        <v/>
      </c>
    </row>
    <row r="77">
      <c r="A77">
        <f>Hazard_Bootstrap!A9</f>
        <v/>
      </c>
      <c r="B77" s="33">
        <f>Hazard_Bootstrap!D9*100</f>
        <v/>
      </c>
      <c r="C77" s="33">
        <f>Hazard_Bootstrap!E9</f>
        <v/>
      </c>
      <c r="D77" s="33">
        <f>Hazard_Bootstrap!F9</f>
        <v/>
      </c>
    </row>
    <row r="78">
      <c r="A78">
        <f>Hazard_Bootstrap!A10</f>
        <v/>
      </c>
      <c r="B78" s="33">
        <f>Hazard_Bootstrap!D10*100</f>
        <v/>
      </c>
      <c r="C78" s="33">
        <f>Hazard_Bootstrap!E10</f>
        <v/>
      </c>
      <c r="D78" s="33">
        <f>Hazard_Bootstrap!F10</f>
        <v/>
      </c>
    </row>
    <row r="79">
      <c r="A79">
        <f>Hazard_Bootstrap!A11</f>
        <v/>
      </c>
      <c r="B79" s="33">
        <f>Hazard_Bootstrap!D11*100</f>
        <v/>
      </c>
      <c r="C79" s="33">
        <f>Hazard_Bootstrap!E11</f>
        <v/>
      </c>
      <c r="D79" s="33">
        <f>Hazard_Bootstrap!F11</f>
        <v/>
      </c>
    </row>
    <row r="80">
      <c r="A80">
        <f>Hazard_Bootstrap!A12</f>
        <v/>
      </c>
      <c r="B80" s="33">
        <f>Hazard_Bootstrap!D12*100</f>
        <v/>
      </c>
      <c r="C80" s="33">
        <f>Hazard_Bootstrap!E12</f>
        <v/>
      </c>
      <c r="D80" s="33">
        <f>Hazard_Bootstrap!F12</f>
        <v/>
      </c>
    </row>
    <row r="83">
      <c r="A83" s="67" t="inlineStr">
        <is>
          <t>Spread term structure</t>
        </is>
      </c>
    </row>
    <row r="84">
      <c r="A84" s="183" t="inlineStr">
        <is>
          <t>Tenor</t>
        </is>
      </c>
      <c r="B84" s="183" t="inlineStr">
        <is>
          <t>Market bp</t>
        </is>
      </c>
      <c r="C84" s="183" t="inlineStr">
        <is>
          <t>Model bp</t>
        </is>
      </c>
      <c r="D84" s="183" t="inlineStr">
        <is>
          <t>Diff bp</t>
        </is>
      </c>
      <c r="E84" s="183" t="inlineStr">
        <is>
          <t>Traded spread</t>
        </is>
      </c>
    </row>
    <row r="85">
      <c r="A85">
        <f>Hazard_Bootstrap!A7</f>
        <v/>
      </c>
      <c r="B85" s="50">
        <f>Hazard_Bootstrap!C7</f>
        <v/>
      </c>
      <c r="C85" s="50">
        <f>Hazard_Bootstrap!I7</f>
        <v/>
      </c>
      <c r="D85" s="33">
        <f>Hazard_Bootstrap!J7</f>
        <v/>
      </c>
      <c r="E85" s="50">
        <f>CDS_Pricer!$B$15</f>
        <v/>
      </c>
    </row>
    <row r="86">
      <c r="A86">
        <f>Hazard_Bootstrap!A8</f>
        <v/>
      </c>
      <c r="B86" s="50">
        <f>Hazard_Bootstrap!C8</f>
        <v/>
      </c>
      <c r="C86" s="50">
        <f>Hazard_Bootstrap!I8</f>
        <v/>
      </c>
      <c r="D86" s="33">
        <f>Hazard_Bootstrap!J8</f>
        <v/>
      </c>
      <c r="E86" s="50">
        <f>CDS_Pricer!$B$15</f>
        <v/>
      </c>
    </row>
    <row r="87">
      <c r="A87">
        <f>Hazard_Bootstrap!A9</f>
        <v/>
      </c>
      <c r="B87" s="50">
        <f>Hazard_Bootstrap!C9</f>
        <v/>
      </c>
      <c r="C87" s="50">
        <f>Hazard_Bootstrap!I9</f>
        <v/>
      </c>
      <c r="D87" s="33">
        <f>Hazard_Bootstrap!J9</f>
        <v/>
      </c>
      <c r="E87" s="50">
        <f>CDS_Pricer!$B$15</f>
        <v/>
      </c>
    </row>
    <row r="88">
      <c r="A88">
        <f>Hazard_Bootstrap!A10</f>
        <v/>
      </c>
      <c r="B88" s="50">
        <f>Hazard_Bootstrap!C10</f>
        <v/>
      </c>
      <c r="C88" s="50">
        <f>Hazard_Bootstrap!I10</f>
        <v/>
      </c>
      <c r="D88" s="33">
        <f>Hazard_Bootstrap!J10</f>
        <v/>
      </c>
      <c r="E88" s="50">
        <f>CDS_Pricer!$B$15</f>
        <v/>
      </c>
    </row>
    <row r="89">
      <c r="A89">
        <f>Hazard_Bootstrap!A11</f>
        <v/>
      </c>
      <c r="B89" s="50">
        <f>Hazard_Bootstrap!C11</f>
        <v/>
      </c>
      <c r="C89" s="50">
        <f>Hazard_Bootstrap!I11</f>
        <v/>
      </c>
      <c r="D89" s="33">
        <f>Hazard_Bootstrap!J11</f>
        <v/>
      </c>
      <c r="E89" s="50">
        <f>CDS_Pricer!$B$15</f>
        <v/>
      </c>
    </row>
    <row r="90">
      <c r="A90">
        <f>Hazard_Bootstrap!A12</f>
        <v/>
      </c>
      <c r="B90" s="50">
        <f>Hazard_Bootstrap!C12</f>
        <v/>
      </c>
      <c r="C90" s="50">
        <f>Hazard_Bootstrap!I12</f>
        <v/>
      </c>
      <c r="D90" s="33">
        <f>Hazard_Bootstrap!J12</f>
        <v/>
      </c>
      <c r="E90" s="50">
        <f>CDS_Pricer!$B$15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3" customWidth="1" min="1" max="1"/>
    <col width="104" customWidth="1" min="2" max="2"/>
    <col width="15" customWidth="1" min="3" max="3"/>
    <col width="15" customWidth="1" min="4" max="4"/>
    <col width="15" customWidth="1" min="5" max="5"/>
  </cols>
  <sheetData>
    <row r="1">
      <c r="A1" s="176" t="inlineStr">
        <is>
          <t>Model notes: Bloomberg B-Model (CDSW)</t>
        </is>
      </c>
    </row>
    <row r="2">
      <c r="A2" s="177" t="inlineStr">
        <is>
          <t>Equation numbers and page cites are the white paper's own. Scans in bloomberg/reference/cds_white_paper/.</t>
        </is>
      </c>
    </row>
    <row r="4">
      <c r="A4" s="67" t="inlineStr">
        <is>
          <t>Pricing</t>
        </is>
      </c>
    </row>
    <row r="5">
      <c r="A5" s="127" t="inlineStr">
        <is>
          <t>(3.1)</t>
        </is>
      </c>
      <c r="B5" s="127" t="inlineStr">
        <is>
          <t>Market Value = Protection Leg - Premium Leg,  both discounted to pricing date T</t>
        </is>
      </c>
    </row>
    <row r="6">
      <c r="A6" s="127" t="inlineStr">
        <is>
          <t>(3.2)</t>
        </is>
      </c>
      <c r="B6" s="127" t="inlineStr">
        <is>
          <t>Upfront = Market Value / D(T_s) + Accrued Interest</t>
        </is>
      </c>
    </row>
    <row r="7">
      <c r="A7" s="127" t="inlineStr">
        <is>
          <t>(3.3)</t>
        </is>
      </c>
      <c r="B7" s="127" t="inlineStr">
        <is>
          <t>S = Protection Leg / (Premium Leg - Accrued Interest * D(T_s))  at C = 1bp</t>
        </is>
      </c>
    </row>
    <row r="8">
      <c r="A8" s="127" t="inlineStr">
        <is>
          <t>(3.4)</t>
        </is>
      </c>
      <c r="B8" s="127" t="inlineStr">
        <is>
          <t>Coupons-in-Survival = A * C * SUM delta(T_i-1, T_i) p_s(T_i) D(T_i)</t>
        </is>
      </c>
    </row>
    <row r="9">
      <c r="A9" s="127" t="inlineStr">
        <is>
          <t>(3.5)</t>
        </is>
      </c>
      <c r="B9" s="127" t="inlineStr">
        <is>
          <t>Accrued-on-Default = A * C * INT_T^TM delta(T_n(t), t) (-dp_s/dt) D(t) dt</t>
        </is>
      </c>
    </row>
    <row r="10">
      <c r="A10" s="127" t="inlineStr">
        <is>
          <t>(3.6)</t>
        </is>
      </c>
      <c r="B10" s="127" t="inlineStr">
        <is>
          <t>Protection Leg = A (1-R) * INT_T^TM (-dp_s/dt) D(t) dt</t>
        </is>
      </c>
    </row>
    <row r="12">
      <c r="A12" s="67" t="inlineStr">
        <is>
          <t>Conventions that the sheets depend on</t>
        </is>
      </c>
    </row>
    <row r="13">
      <c r="A13" s="177" t="inlineStr">
        <is>
          <t>p.6</t>
        </is>
      </c>
      <c r="B13" s="126" t="inlineStr">
        <is>
          <t>Accrual dates are IMM (3/20, 6/20, 9/20, 12/20). Payment dates roll to the next business day; the last accrual end date T_M does not roll.</t>
        </is>
      </c>
    </row>
    <row r="14">
      <c r="A14" s="177" t="inlineStr">
        <is>
          <t>p.6</t>
        </is>
      </c>
      <c r="B14" s="126" t="inlineStr">
        <is>
          <t>Coupon standardised to 100bp / 500bp for most names. ACT/360.</t>
        </is>
      </c>
    </row>
    <row r="15">
      <c r="A15" s="177" t="inlineStr">
        <is>
          <t>p.6</t>
        </is>
      </c>
      <c r="B15" s="126" t="inlineStr">
        <is>
          <t>Protection starts immediately, so the protection period is T_M - T + 1 days.</t>
        </is>
      </c>
    </row>
    <row r="16">
      <c r="A16" s="177" t="inlineStr">
        <is>
          <t>p.7</t>
        </is>
      </c>
      <c r="B16" s="126" t="inlineStr">
        <is>
          <t>Accrued interest includes the pricing date.</t>
        </is>
      </c>
    </row>
    <row r="17">
      <c r="A17" s="177" t="inlineStr">
        <is>
          <t>p.7</t>
        </is>
      </c>
      <c r="B17" s="126" t="inlineStr">
        <is>
          <t>T_s = settlement, typically 3 business days after pricing. The upfront is quoted there, so market value is compounded T to T_s.</t>
        </is>
      </c>
    </row>
    <row r="18">
      <c r="A18" s="177" t="inlineStr">
        <is>
          <t>p.6</t>
        </is>
      </c>
      <c r="B18" s="126" t="inlineStr">
        <is>
          <t>USD discounting is the SOFR RFR curve: ISDA moved to RFR curves and the B-Model follows.</t>
        </is>
      </c>
    </row>
    <row r="19">
      <c r="A19" s="177" t="inlineStr">
        <is>
          <t>p.6</t>
        </is>
      </c>
      <c r="B19" s="126" t="inlineStr">
        <is>
          <t>Recovery R is a model parameter, conventionally 40%, not an observable.</t>
        </is>
      </c>
    </row>
    <row r="21">
      <c r="A21" s="67" t="inlineStr">
        <is>
          <t>Curve stripper (section 4, p.8)</t>
        </is>
      </c>
    </row>
    <row r="22">
      <c r="A22" s="126" t="inlineStr">
        <is>
          <t>Sequential one-dimensional root-finding, not a joint fit. h_1 is solved on [0, T_M1] to match the first quote;</t>
        </is>
      </c>
    </row>
    <row r="23">
      <c r="A23" s="126" t="inlineStr">
        <is>
          <t>each later h_i+1 is solved on (T_Mi, T_Mi+1] with all earlier hazards held fixed.</t>
        </is>
      </c>
    </row>
    <row r="24">
      <c r="A24" s="126" t="inlineStr">
        <is>
          <t>Hazard is piecewise constant. h(t) &gt;= 0 is a hard constraint - default is terminating, so survival cannot rise.</t>
        </is>
      </c>
    </row>
    <row r="25">
      <c r="A25" s="126" t="inlineStr">
        <is>
          <t>The timeline is discretised finely enough that the forward discount rate and hazard are constant on a segment,</t>
        </is>
      </c>
    </row>
    <row r="26">
      <c r="A26" s="126" t="inlineStr">
        <is>
          <t>and no segment is longer than a premium accrual period; (3.5) and (3.6) are then analytic on each segment.</t>
        </is>
      </c>
    </row>
    <row r="28">
      <c r="A28" s="67" t="inlineStr">
        <is>
          <t>Strippability (p.9)</t>
        </is>
      </c>
    </row>
    <row r="29">
      <c r="A29" s="126" t="inlineStr">
        <is>
          <t>With h_i+1 running 0 to infinity the achievable par spread at the next maturity is a bounded interval, and it</t>
        </is>
      </c>
    </row>
    <row r="30">
      <c r="A30" s="126" t="inlineStr">
        <is>
          <t>narrows sharply once survival is already low. A quote outside that interval makes the calibration fail.</t>
        </is>
      </c>
    </row>
    <row r="31">
      <c r="A31" s="126" t="inlineStr">
        <is>
          <t>The paper's reading: usually inconsistent data sources rather than genuine arbitrage. Common with inverted</t>
        </is>
      </c>
    </row>
    <row r="32">
      <c r="A32" s="126" t="inlineStr">
        <is>
          <t>curves (S_i+1 &lt; S_i, though mildly inverted curves are often still strippable) and distressed non-flat curves.</t>
        </is>
      </c>
    </row>
    <row r="33">
      <c r="A33" s="126" t="inlineStr">
        <is>
          <t>Approximate lower bound, valid while cumulative default probability is low:   S_i+1  &gt;=  S_i * T_i / T_i+1</t>
        </is>
      </c>
    </row>
    <row r="35">
      <c r="A35" s="67" t="inlineStr">
        <is>
          <t>Strippability check on the live quotes</t>
        </is>
      </c>
    </row>
    <row r="36">
      <c r="A36" s="183" t="inlineStr">
        <is>
          <t>Tenor</t>
        </is>
      </c>
      <c r="B36" s="183" t="inlineStr">
        <is>
          <t>T</t>
        </is>
      </c>
      <c r="C36" s="183" t="inlineStr">
        <is>
          <t>S (bp)</t>
        </is>
      </c>
      <c r="D36" s="183" t="inlineStr">
        <is>
          <t>bound S*T_prev/T</t>
        </is>
      </c>
      <c r="E36" s="183" t="inlineStr">
        <is>
          <t>ok?</t>
        </is>
      </c>
    </row>
    <row r="37">
      <c r="A37" s="180">
        <f>Hazard_Bootstrap!A7</f>
        <v/>
      </c>
      <c r="B37" s="180">
        <f>CDS_Quotes!B7</f>
        <v/>
      </c>
      <c r="C37" s="108">
        <f>Hazard_Bootstrap!C7</f>
        <v/>
      </c>
      <c r="D37" s="187" t="inlineStr">
        <is>
          <t>-</t>
        </is>
      </c>
      <c r="E37" s="187" t="inlineStr">
        <is>
          <t>first pillar, unconstrained</t>
        </is>
      </c>
    </row>
    <row r="38">
      <c r="A38" s="180">
        <f>Hazard_Bootstrap!A8</f>
        <v/>
      </c>
      <c r="B38" s="180">
        <f>CDS_Quotes!B8</f>
        <v/>
      </c>
      <c r="C38" s="108">
        <f>Hazard_Bootstrap!C8</f>
        <v/>
      </c>
      <c r="D38" s="108">
        <f>C37*B37/B38</f>
        <v/>
      </c>
      <c r="E38" s="180">
        <f>IF(C38&gt;=D38,"ok","below bound — may not strip")</f>
        <v/>
      </c>
    </row>
    <row r="39">
      <c r="A39" s="180">
        <f>Hazard_Bootstrap!A9</f>
        <v/>
      </c>
      <c r="B39" s="180">
        <f>CDS_Quotes!B9</f>
        <v/>
      </c>
      <c r="C39" s="108">
        <f>Hazard_Bootstrap!C9</f>
        <v/>
      </c>
      <c r="D39" s="108">
        <f>C38*B38/B39</f>
        <v/>
      </c>
      <c r="E39" s="180">
        <f>IF(C39&gt;=D39,"ok","below bound — may not strip")</f>
        <v/>
      </c>
    </row>
    <row r="40">
      <c r="A40" s="180">
        <f>Hazard_Bootstrap!A10</f>
        <v/>
      </c>
      <c r="B40" s="180">
        <f>CDS_Quotes!B10</f>
        <v/>
      </c>
      <c r="C40" s="108">
        <f>Hazard_Bootstrap!C10</f>
        <v/>
      </c>
      <c r="D40" s="108">
        <f>C39*B39/B40</f>
        <v/>
      </c>
      <c r="E40" s="180">
        <f>IF(C40&gt;=D40,"ok","below bound — may not strip")</f>
        <v/>
      </c>
    </row>
    <row r="41">
      <c r="A41" s="180">
        <f>Hazard_Bootstrap!A11</f>
        <v/>
      </c>
      <c r="B41" s="180">
        <f>CDS_Quotes!B11</f>
        <v/>
      </c>
      <c r="C41" s="108">
        <f>Hazard_Bootstrap!C11</f>
        <v/>
      </c>
      <c r="D41" s="108">
        <f>C40*B40/B41</f>
        <v/>
      </c>
      <c r="E41" s="180">
        <f>IF(C41&gt;=D41,"ok","below bound — may not strip")</f>
        <v/>
      </c>
    </row>
    <row r="42">
      <c r="A42" s="180">
        <f>Hazard_Bootstrap!A12</f>
        <v/>
      </c>
      <c r="B42" s="180">
        <f>CDS_Quotes!B12</f>
        <v/>
      </c>
      <c r="C42" s="108">
        <f>Hazard_Bootstrap!C12</f>
        <v/>
      </c>
      <c r="D42" s="108">
        <f>C41*B41/B42</f>
        <v/>
      </c>
      <c r="E42" s="180">
        <f>IF(C42&gt;=D42,"ok","below bound — may not strip")</f>
        <v/>
      </c>
    </row>
    <row r="44">
      <c r="A44" s="177" t="inlineStr">
        <is>
          <t>A fail is the p.9 condition: a warning about the quotes, not the solver.</t>
        </is>
      </c>
    </row>
    <row r="45">
      <c r="A45" s="177" t="inlineStr">
        <is>
          <t>Bound is approximate, valid while cumulative default probability is low.</t>
        </is>
      </c>
    </row>
    <row r="47">
      <c r="A47" s="66" t="inlineStr">
        <is>
          <t>Limits</t>
        </is>
      </c>
    </row>
    <row r="48">
      <c r="A48" s="126" t="inlineStr">
        <is>
          <t>No external validation of the strip: Bloomberg exports no hazard curve (Help Desk H#1330731572).</t>
        </is>
      </c>
    </row>
    <row r="49">
      <c r="A49" s="126" t="inlineStr">
        <is>
          <t>Spreads here are demo values. The SOFR curve is real market data; the credit curve is not.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2" customWidth="1" min="4" max="4"/>
    <col width="12" customWidth="1" min="5" max="5"/>
    <col width="13" customWidth="1" min="6" max="6"/>
    <col width="7" customWidth="1" min="7" max="7"/>
    <col width="12" customWidth="1" min="8" max="8"/>
    <col width="12" customWidth="1" min="9" max="9"/>
    <col width="86" customWidth="1" min="10" max="10"/>
  </cols>
  <sheetData>
    <row r="1">
      <c r="A1" s="176" t="inlineStr">
        <is>
          <t>Root-finding methods on the hazard strip</t>
        </is>
      </c>
    </row>
    <row r="2">
      <c r="A2" s="177" t="inlineStr">
        <is>
          <t>All methods solve the same f(h) = (1-R)*Prot(h) - S*(RPV01(h) - AI), B-Model (3.3). Same root; different cost.</t>
        </is>
      </c>
    </row>
    <row r="3">
      <c r="A3" s="98" t="inlineStr">
        <is>
          <t>Baseline is the scheme, not the algorithm. Section 4 p.8 fixes piecewise-constant hazard solved maturity by maturity, each a 1-D root-find with earlier hazards fixed. It names no method. Hazard_Solver here is bisection.</t>
        </is>
      </c>
    </row>
    <row r="4">
      <c r="A4" s="177" t="inlineStr">
        <is>
          <t>Needs CDSBrent.bas and CDSRootFinders.bas imported, saved as .xlsm.</t>
        </is>
      </c>
    </row>
    <row r="6">
      <c r="A6" s="188" t="inlineStr">
        <is>
          <t>Method</t>
        </is>
      </c>
      <c r="B6" s="188" t="inlineStr">
        <is>
          <t>Family</t>
        </is>
      </c>
      <c r="C6" s="188" t="inlineStr">
        <is>
          <t>Order</t>
        </is>
      </c>
      <c r="D6" s="188" t="inlineStr">
        <is>
          <t>Needs</t>
        </is>
      </c>
      <c r="E6" s="188" t="inlineStr">
        <is>
          <t>Bracketed</t>
        </is>
      </c>
      <c r="F6" s="188" t="inlineStr">
        <is>
          <t>5Y hazard</t>
        </is>
      </c>
      <c r="G6" s="188" t="inlineStr">
        <is>
          <t>its</t>
        </is>
      </c>
      <c r="H6" s="188" t="inlineStr">
        <is>
          <t>|f(root)|</t>
        </is>
      </c>
      <c r="I6" s="188" t="inlineStr">
        <is>
          <t>vs baseline</t>
        </is>
      </c>
      <c r="J6" s="188" t="inlineStr">
        <is>
          <t>Note</t>
        </is>
      </c>
    </row>
    <row r="7">
      <c r="A7" s="189" t="inlineStr">
        <is>
          <t>BISECTION</t>
        </is>
      </c>
      <c r="B7" s="189" t="inlineStr">
        <is>
          <t>bracketing</t>
        </is>
      </c>
      <c r="C7" s="190" t="inlineStr">
        <is>
          <t>linear (halves)</t>
        </is>
      </c>
      <c r="D7" s="190" t="inlineStr">
        <is>
          <t>no</t>
        </is>
      </c>
      <c r="E7" s="190" t="inlineStr">
        <is>
          <t>yes, always</t>
        </is>
      </c>
      <c r="F7" s="191">
        <f>IFERROR(CDS_Root("BISECTION",Hazard_Solver!$D$136,Hazard_Solver!$F$136,Hazard_Solver!$B$137,Hazard_Solver!$D$137,Hazard_Solver!$F$137,CDS_Parameters!$B$26,Hazard_Solver!$F$139:$U$139,Hazard_Solver!$F$143:$U$143,Hazard_Solver!$F$141:$U$141,Hazard_Solver!$F$142:$U$142),"module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7" s="180">
        <f>IFERROR(CDS_RootIterations(),"")</f>
        <v/>
      </c>
      <c r="H7" s="192">
        <f>IFERROR(ABS(CDS_Objective(F7,Hazard_Solver!$D$136,Hazard_Solver!$F$136,Hazard_Solver!$B$137,Hazard_Solver!$D$137,Hazard_Solver!$F$137,CDS_Parameters!$B$26,Hazard_Solver!$F$139:$U$139,Hazard_Solver!$F$143:$U$143,Hazard_Solver!$F$141:$U$141,Hazard_Solver!$F$142:$U$142)),"")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7" s="192">
        <f>IF(ISNUMBER(F7),F7-Hazard_Solver!$B$175,"")</f>
        <v/>
      </c>
      <c r="J7" s="190" t="inlineStr">
        <is>
          <t>The safe floor. Cannot fail once bracketed, but pays for it - ~52 steps to machine precision.</t>
        </is>
      </c>
    </row>
    <row r="8">
      <c r="A8" s="190" t="inlineStr">
        <is>
          <t>FALSE POSITION</t>
        </is>
      </c>
      <c r="B8" s="190" t="inlineStr">
        <is>
          <t>bracketing</t>
        </is>
      </c>
      <c r="C8" s="190" t="inlineStr">
        <is>
          <t>super-linear</t>
        </is>
      </c>
      <c r="D8" s="190" t="inlineStr">
        <is>
          <t>no</t>
        </is>
      </c>
      <c r="E8" s="190" t="inlineStr">
        <is>
          <t>yes, always</t>
        </is>
      </c>
      <c r="F8" s="191">
        <f>IFERROR(CDS_Root("FALSE POSITION",Hazard_Solver!$D$136,Hazard_Solver!$F$136,Hazard_Solver!$B$137,Hazard_Solver!$D$137,Hazard_Solver!$F$137,CDS_Parameters!$B$26,Hazard_Solver!$F$139:$U$139,Hazard_Solver!$F$143:$U$143,Hazard_Solver!$F$141:$U$141,Hazard_Solver!$F$142:$U$142),"module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8" s="180">
        <f>IFERROR(CDS_RootIterations(),"")</f>
        <v/>
      </c>
      <c r="H8" s="192">
        <f>IFERROR(ABS(CDS_Objective(F8,Hazard_Solver!$D$136,Hazard_Solver!$F$136,Hazard_Solver!$B$137,Hazard_Solver!$D$137,Hazard_Solver!$F$137,CDS_Parameters!$B$26,Hazard_Solver!$F$139:$U$139,Hazard_Solver!$F$143:$U$143,Hazard_Solver!$F$141:$U$141,Hazard_Solver!$F$142:$U$142)),"")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8" s="192">
        <f>IF(ISNUMBER(F8),F8-Hazard_Solver!$B$175,"")</f>
        <v/>
      </c>
      <c r="J8" s="190" t="inlineStr">
        <is>
          <t>Keeps a bracket like bisection but interpolates. Can stall when one end stays fixed.</t>
        </is>
      </c>
    </row>
    <row r="9">
      <c r="A9" s="190" t="inlineStr">
        <is>
          <t>SECANT</t>
        </is>
      </c>
      <c r="B9" s="190" t="inlineStr">
        <is>
          <t>open</t>
        </is>
      </c>
      <c r="C9" s="190" t="inlineStr">
        <is>
          <t>~1.618</t>
        </is>
      </c>
      <c r="D9" s="190" t="inlineStr">
        <is>
          <t>no</t>
        </is>
      </c>
      <c r="E9" s="190" t="inlineStr">
        <is>
          <t>no</t>
        </is>
      </c>
      <c r="F9" s="191">
        <f>IFERROR(CDS_Root("SECANT",Hazard_Solver!$D$136,Hazard_Solver!$F$136,Hazard_Solver!$B$137,Hazard_Solver!$D$137,Hazard_Solver!$F$137,CDS_Parameters!$B$26,Hazard_Solver!$F$139:$U$139,Hazard_Solver!$F$143:$U$143,Hazard_Solver!$F$141:$U$141,Hazard_Solver!$F$142:$U$142),"module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9" s="180">
        <f>IFERROR(CDS_RootIterations(),"")</f>
        <v/>
      </c>
      <c r="H9" s="192">
        <f>IFERROR(ABS(CDS_Objective(F9,Hazard_Solver!$D$136,Hazard_Solver!$F$136,Hazard_Solver!$B$137,Hazard_Solver!$D$137,Hazard_Solver!$F$137,CDS_Parameters!$B$26,Hazard_Solver!$F$139:$U$139,Hazard_Solver!$F$143:$U$143,Hazard_Solver!$F$141:$U$141,Hazard_Solver!$F$142:$U$142)),"")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9" s="192">
        <f>IF(ISNUMBER(F9),F9-Hazard_Solver!$B$175,"")</f>
        <v/>
      </c>
      <c r="J9" s="190" t="inlineStr">
        <is>
          <t>Newton without a derivative, using the secant of the last two points. No bracket, so it can leave the domain.</t>
        </is>
      </c>
    </row>
    <row r="10">
      <c r="A10" s="190" t="inlineStr">
        <is>
          <t>NEWTON</t>
        </is>
      </c>
      <c r="B10" s="190" t="inlineStr">
        <is>
          <t>open</t>
        </is>
      </c>
      <c r="C10" s="190" t="inlineStr">
        <is>
          <t>2 (quadratic)</t>
        </is>
      </c>
      <c r="D10" s="190" t="inlineStr">
        <is>
          <t>f'</t>
        </is>
      </c>
      <c r="E10" s="190" t="inlineStr">
        <is>
          <t>no</t>
        </is>
      </c>
      <c r="F10" s="191">
        <f>IFERROR(CDS_Root("NEWTON",Hazard_Solver!$D$136,Hazard_Solver!$F$136,Hazard_Solver!$B$137,Hazard_Solver!$D$137,Hazard_Solver!$F$137,CDS_Parameters!$B$26,Hazard_Solver!$F$139:$U$139,Hazard_Solver!$F$143:$U$143,Hazard_Solver!$F$141:$U$141,Hazard_Solver!$F$142:$U$142),"module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10" s="180">
        <f>IFERROR(CDS_RootIterations(),"")</f>
        <v/>
      </c>
      <c r="H10" s="192">
        <f>IFERROR(ABS(CDS_Objective(F10,Hazard_Solver!$D$136,Hazard_Solver!$F$136,Hazard_Solver!$B$137,Hazard_Solver!$D$137,Hazard_Solver!$F$137,CDS_Parameters!$B$26,Hazard_Solver!$F$139:$U$139,Hazard_Solver!$F$143:$U$143,Hazard_Solver!$F$141:$U$141,Hazard_Solver!$F$142:$U$142)),"")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10" s="192">
        <f>IF(ISNUMBER(F10),F10-Hazard_Solver!$B$175,"")</f>
        <v/>
      </c>
      <c r="J10" s="190" t="inlineStr">
        <is>
          <t>Householder d=1. Derivative is analytic here - dQ/dh = -cum*Q - so no bumping.</t>
        </is>
      </c>
    </row>
    <row r="11">
      <c r="A11" s="190" t="inlineStr">
        <is>
          <t>HALLEY</t>
        </is>
      </c>
      <c r="B11" s="190" t="inlineStr">
        <is>
          <t>open</t>
        </is>
      </c>
      <c r="C11" s="190" t="inlineStr">
        <is>
          <t>3 (cubic)</t>
        </is>
      </c>
      <c r="D11" s="190" t="inlineStr">
        <is>
          <t>f', f''</t>
        </is>
      </c>
      <c r="E11" s="190" t="inlineStr">
        <is>
          <t>no</t>
        </is>
      </c>
      <c r="F11" s="191">
        <f>IFERROR(CDS_Root("HALLEY",Hazard_Solver!$D$136,Hazard_Solver!$F$136,Hazard_Solver!$B$137,Hazard_Solver!$D$137,Hazard_Solver!$F$137,CDS_Parameters!$B$26,Hazard_Solver!$F$139:$U$139,Hazard_Solver!$F$143:$U$143,Hazard_Solver!$F$141:$U$141,Hazard_Solver!$F$142:$U$142),"module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11" s="180">
        <f>IFERROR(CDS_RootIterations(),"")</f>
        <v/>
      </c>
      <c r="H11" s="192">
        <f>IFERROR(ABS(CDS_Objective(F11,Hazard_Solver!$D$136,Hazard_Solver!$F$136,Hazard_Solver!$B$137,Hazard_Solver!$D$137,Hazard_Solver!$F$137,CDS_Parameters!$B$26,Hazard_Solver!$F$139:$U$139,Hazard_Solver!$F$143:$U$143,Hazard_Solver!$F$141:$U$141,Hazard_Solver!$F$142:$U$142)),"")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11" s="192">
        <f>IF(ISNUMBER(F11),F11-Hazard_Solver!$B$175,"")</f>
        <v/>
      </c>
      <c r="J11" s="190" t="inlineStr">
        <is>
          <t>Householder d=2. Second derivative also analytic: d2Q/dh2 = cum^2*Q.</t>
        </is>
      </c>
    </row>
    <row r="12">
      <c r="A12" s="190" t="inlineStr">
        <is>
          <t>HOUSEHOLDER</t>
        </is>
      </c>
      <c r="B12" s="190" t="inlineStr">
        <is>
          <t>open</t>
        </is>
      </c>
      <c r="C12" s="190" t="inlineStr">
        <is>
          <t>d+1</t>
        </is>
      </c>
      <c r="D12" s="190" t="inlineStr">
        <is>
          <t>f' ... f^(d)</t>
        </is>
      </c>
      <c r="E12" s="190" t="inlineStr">
        <is>
          <t>no</t>
        </is>
      </c>
      <c r="F12" s="191">
        <f>IFERROR(CDS_Root("HOUSEHOLDER",Hazard_Solver!$D$136,Hazard_Solver!$F$136,Hazard_Solver!$B$137,Hazard_Solver!$D$137,Hazard_Solver!$F$137,CDS_Parameters!$B$26,Hazard_Solver!$F$139:$U$139,Hazard_Solver!$F$143:$U$143,Hazard_Solver!$F$141:$U$141,Hazard_Solver!$F$142:$U$142),"module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12" s="180">
        <f>IFERROR(CDS_RootIterations(),"")</f>
        <v/>
      </c>
      <c r="H12" s="192">
        <f>IFERROR(ABS(CDS_Objective(F12,Hazard_Solver!$D$136,Hazard_Solver!$F$136,Hazard_Solver!$B$137,Hazard_Solver!$D$137,Hazard_Solver!$F$137,CDS_Parameters!$B$26,Hazard_Solver!$F$139:$U$139,Hazard_Solver!$F$143:$U$143,Hazard_Solver!$F$141:$U$141,Hazard_Solver!$F$142:$U$142)),"")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12" s="192">
        <f>IF(ISNUMBER(F12),F12-Hazard_Solver!$B$175,"")</f>
        <v/>
      </c>
      <c r="J12" s="190" t="inlineStr">
        <is>
          <t>General order d. d=1 reduces to Newton and d=2 to Halley, the M2 identity.</t>
        </is>
      </c>
    </row>
    <row r="13">
      <c r="A13" s="190" t="inlineStr">
        <is>
          <t>RIDDERS</t>
        </is>
      </c>
      <c r="B13" s="190" t="inlineStr">
        <is>
          <t>bracketing hybrid</t>
        </is>
      </c>
      <c r="C13" s="190" t="inlineStr">
        <is>
          <t>hybrid</t>
        </is>
      </c>
      <c r="D13" s="190" t="inlineStr">
        <is>
          <t>no</t>
        </is>
      </c>
      <c r="E13" s="190" t="inlineStr">
        <is>
          <t>yes, always</t>
        </is>
      </c>
      <c r="F13" s="191">
        <f>IFERROR(CDS_Root("RIDDERS",Hazard_Solver!$D$136,Hazard_Solver!$F$136,Hazard_Solver!$B$137,Hazard_Solver!$D$137,Hazard_Solver!$F$137,CDS_Parameters!$B$26,Hazard_Solver!$F$139:$U$139,Hazard_Solver!$F$143:$U$143,Hazard_Solver!$F$141:$U$141,Hazard_Solver!$F$142:$U$142),"module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13" s="180">
        <f>IFERROR(CDS_RootIterations(),"")</f>
        <v/>
      </c>
      <c r="H13" s="192">
        <f>IFERROR(ABS(CDS_Objective(F13,Hazard_Solver!$D$136,Hazard_Solver!$F$136,Hazard_Solver!$B$137,Hazard_Solver!$D$137,Hazard_Solver!$F$137,CDS_Parameters!$B$26,Hazard_Solver!$F$139:$U$139,Hazard_Solver!$F$143:$U$143,Hazard_Solver!$F$141:$U$141,Hazard_Solver!$F$142:$U$142)),"")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13" s="192">
        <f>IF(ISNUMBER(F13),F13-Hazard_Solver!$B$175,"")</f>
        <v/>
      </c>
      <c r="J13" s="190" t="inlineStr">
        <is>
          <t>Bisection plus exponential interpolation. Keeps the bracket and converges fast.</t>
        </is>
      </c>
    </row>
    <row r="14">
      <c r="A14" s="190" t="inlineStr">
        <is>
          <t>BRENT</t>
        </is>
      </c>
      <c r="B14" s="190" t="inlineStr">
        <is>
          <t>bracketing hybrid</t>
        </is>
      </c>
      <c r="C14" s="190" t="inlineStr">
        <is>
          <t>hybrid</t>
        </is>
      </c>
      <c r="D14" s="190" t="inlineStr">
        <is>
          <t>no</t>
        </is>
      </c>
      <c r="E14" s="190" t="inlineStr">
        <is>
          <t>yes, always</t>
        </is>
      </c>
      <c r="F14" s="191">
        <f>IFERROR(CDS_Root("BRENT",Hazard_Solver!$D$136,Hazard_Solver!$F$136,Hazard_Solver!$B$137,Hazard_Solver!$D$137,Hazard_Solver!$F$137,CDS_Parameters!$B$26,Hazard_Solver!$F$139:$U$139,Hazard_Solver!$F$143:$U$143,Hazard_Solver!$F$141:$U$141,Hazard_Solver!$F$142:$U$142),"module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G14" s="180">
        <f>IFERROR(CDS_RootIterations(),"")</f>
        <v/>
      </c>
      <c r="H14" s="192">
        <f>IFERROR(ABS(CDS_Objective(F14,Hazard_Solver!$D$136,Hazard_Solver!$F$136,Hazard_Solver!$B$137,Hazard_Solver!$D$137,Hazard_Solver!$F$137,CDS_Parameters!$B$26,Hazard_Solver!$F$139:$U$139,Hazard_Solver!$F$143:$U$143,Hazard_Solver!$F$141:$U$141,Hazard_Solver!$F$142:$U$142)),"")</f>
        <v/>
      </c>
      <c r="I14" s="192">
        <f>IF(ISNUMBER(F14),F14-Hazard_Solver!$B$175,"")</f>
        <v/>
      </c>
      <c r="J14" s="190" t="inlineStr">
        <is>
          <t>IQI, falling back to secant, falling back to bisection. Bisection's guarantee at near-secant speed.</t>
        </is>
      </c>
    </row>
    <row r="16">
      <c r="A16" s="67" t="inlineStr">
        <is>
          <t>Spread of the eight roots (max - min)</t>
        </is>
      </c>
      <c r="F16" s="193">
        <f>IF(COUNT(F7:F14)=0,"module not loaded",MAX(F7:F14)-MIN(F7:F14))</f>
        <v/>
      </c>
      <c r="G16" s="177" t="inlineStr">
        <is>
          <t>they solve the same equation, so this is the real check</t>
        </is>
      </c>
    </row>
    <row r="18">
      <c r="A18" s="67" t="inlineStr">
        <is>
          <t>Measured on the 5Y objective (quarterly, R=40%, S=95bp), tolerance 1e-15</t>
        </is>
      </c>
    </row>
    <row r="19">
      <c r="A19" s="183" t="inlineStr">
        <is>
          <t>Method</t>
        </is>
      </c>
      <c r="B19" s="183" t="inlineStr">
        <is>
          <t>iters</t>
        </is>
      </c>
      <c r="C19" s="183" t="inlineStr">
        <is>
          <t>|root - scipy.brentq|</t>
        </is>
      </c>
      <c r="D19" s="183" t="inlineStr">
        <is>
          <t>|f(root)|</t>
        </is>
      </c>
    </row>
    <row r="20">
      <c r="A20" s="190" t="inlineStr">
        <is>
          <t>bisection</t>
        </is>
      </c>
      <c r="B20" s="190" t="n">
        <v>52</v>
      </c>
      <c r="C20" s="190" t="inlineStr">
        <is>
          <t>5.0e-16</t>
        </is>
      </c>
      <c r="D20" s="190" t="inlineStr">
        <is>
          <t>1.3e-15</t>
        </is>
      </c>
    </row>
    <row r="21">
      <c r="A21" s="190" t="inlineStr">
        <is>
          <t>false position</t>
        </is>
      </c>
      <c r="B21" s="190" t="n">
        <v>12</v>
      </c>
      <c r="C21" s="190" t="inlineStr">
        <is>
          <t>2.4e-17</t>
        </is>
      </c>
      <c r="D21" s="190" t="inlineStr">
        <is>
          <t>6.9e-17</t>
        </is>
      </c>
    </row>
    <row r="22">
      <c r="A22" s="190" t="inlineStr">
        <is>
          <t>secant</t>
        </is>
      </c>
      <c r="B22" s="190" t="n">
        <v>13</v>
      </c>
      <c r="C22" s="190" t="inlineStr">
        <is>
          <t>3.5e-18</t>
        </is>
      </c>
      <c r="D22" s="190" t="inlineStr">
        <is>
          <t>1.4e-17</t>
        </is>
      </c>
    </row>
    <row r="23">
      <c r="A23" s="190" t="inlineStr">
        <is>
          <t>Newton (d=1)</t>
        </is>
      </c>
      <c r="B23" s="190" t="n">
        <v>6</v>
      </c>
      <c r="C23" s="190" t="inlineStr">
        <is>
          <t>6.9e-18</t>
        </is>
      </c>
      <c r="D23" s="190" t="inlineStr">
        <is>
          <t>1.4e-17</t>
        </is>
      </c>
    </row>
    <row r="24">
      <c r="A24" s="190" t="inlineStr">
        <is>
          <t>Halley (d=2)</t>
        </is>
      </c>
      <c r="B24" s="190" t="n">
        <v>6</v>
      </c>
      <c r="C24" s="190" t="inlineStr">
        <is>
          <t>3.5e-18</t>
        </is>
      </c>
      <c r="D24" s="190" t="inlineStr">
        <is>
          <t>1.4e-17</t>
        </is>
      </c>
    </row>
    <row r="25">
      <c r="A25" s="190" t="inlineStr">
        <is>
          <t>Householder d=3</t>
        </is>
      </c>
      <c r="B25" s="190" t="n">
        <v>6</v>
      </c>
      <c r="C25" s="190" t="inlineStr">
        <is>
          <t>3.5e-18</t>
        </is>
      </c>
      <c r="D25" s="190" t="inlineStr">
        <is>
          <t>1.4e-17</t>
        </is>
      </c>
    </row>
    <row r="26">
      <c r="A26" s="190" t="inlineStr">
        <is>
          <t>Ridders</t>
        </is>
      </c>
      <c r="B26" s="190" t="n">
        <v>5</v>
      </c>
      <c r="C26" s="190" t="inlineStr">
        <is>
          <t>2.1e-17</t>
        </is>
      </c>
      <c r="D26" s="190" t="inlineStr">
        <is>
          <t>3.5e-17</t>
        </is>
      </c>
    </row>
    <row r="27">
      <c r="A27" s="190" t="inlineStr">
        <is>
          <t>Brent</t>
        </is>
      </c>
      <c r="B27" s="190" t="n">
        <v>9</v>
      </c>
      <c r="C27" s="190" t="inlineStr">
        <is>
          <t>1.4e-17</t>
        </is>
      </c>
      <c r="D27" s="190" t="inlineStr">
        <is>
          <t>1.4e-17</t>
        </is>
      </c>
    </row>
    <row r="29">
      <c r="A29" s="67" t="inlineStr">
        <is>
          <t>Results</t>
        </is>
      </c>
    </row>
    <row r="30">
      <c r="A30" s="126" t="inlineStr">
        <is>
          <t>All eight agree to ~1e-16. Method is a cost choice here, not an accuracy one.</t>
        </is>
      </c>
    </row>
    <row r="31">
      <c r="A31" s="126" t="inlineStr">
        <is>
          <t>Bisection: 52 steps. Newton: 6. That is the cost of ignoring the shape of f.</t>
        </is>
      </c>
    </row>
    <row r="32">
      <c r="A32" s="126" t="inlineStr">
        <is>
          <t>Halley and Householder d=3 do not beat Newton here: 6 iterations each. f is near-linear in h at the root,</t>
        </is>
      </c>
    </row>
    <row r="33">
      <c r="A33" s="177" t="inlineStr">
        <is>
          <t xml:space="preserve">    so the extra order is spent before tolerance is reached.</t>
        </is>
      </c>
    </row>
    <row r="34">
      <c r="A34" s="126" t="inlineStr">
        <is>
          <t>Ridders is fastest at 5. But secant, Newton and Halley can all leave the domain on a bad start;</t>
        </is>
      </c>
    </row>
    <row r="35">
      <c r="A35" s="177" t="inlineStr">
        <is>
          <t xml:space="preserve">    bracketing methods cannot. The strip must never return h &lt; 0 (p.8), so the guarantee outranks the speed.</t>
        </is>
      </c>
    </row>
    <row r="36">
      <c r="A36" s="126" t="inlineStr">
        <is>
          <t>If nothing converges, suspect the quote. See the p.9 strippability check on Model_Notes.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7950B"/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34" customWidth="1" min="3" max="3"/>
    <col width="44" customWidth="1" min="4" max="4"/>
    <col width="13" customWidth="1" min="5" max="5"/>
    <col width="10" customWidth="1" min="6" max="6"/>
    <col width="14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>
      <c r="A1" s="123" t="inlineStr">
        <is>
          <t>Brent (VBA) vs in-cell bisection</t>
        </is>
      </c>
    </row>
    <row r="2">
      <c r="A2" s="65" t="inlineStr">
        <is>
          <t>Same objective (3.3), same inputs. Only the root-finder differs. Eight methods on Root_Methods.</t>
        </is>
      </c>
    </row>
    <row r="3">
      <c r="A3" s="66" t="inlineStr">
        <is>
          <t>Import CDSBrent.bas (Alt+F11 &gt; File &gt; Import File), save as .xlsm. Until then col D reads 'module not loaded'.</t>
        </is>
      </c>
    </row>
    <row r="5" ht="30" customHeight="1">
      <c r="A5" s="141" t="inlineStr">
        <is>
          <t>Tenor</t>
        </is>
      </c>
      <c r="B5" s="141" t="inlineStr">
        <is>
          <t>Market bp</t>
        </is>
      </c>
      <c r="C5" s="141" t="inlineStr">
        <is>
          <t>Bisection (30 steps)</t>
        </is>
      </c>
      <c r="D5" s="141" t="inlineStr">
        <is>
          <t>Brent (VBA)</t>
        </is>
      </c>
      <c r="E5" s="141" t="inlineStr">
        <is>
          <t>diff</t>
        </is>
      </c>
      <c r="F5" s="141" t="inlineStr">
        <is>
          <t>Brent its</t>
        </is>
      </c>
      <c r="G5" s="141" t="inlineStr">
        <is>
          <t>f at bisection</t>
        </is>
      </c>
      <c r="H5" s="141" t="inlineStr">
        <is>
          <t>f at Brent</t>
        </is>
      </c>
      <c r="I5" s="141" t="inlineStr">
        <is>
          <t>Model bp</t>
        </is>
      </c>
      <c r="J5" s="141" t="inlineStr">
        <is>
          <t>Err bp</t>
        </is>
      </c>
    </row>
    <row r="6">
      <c r="A6" s="152" t="inlineStr">
        <is>
          <t>1Y</t>
        </is>
      </c>
      <c r="B6" s="63">
        <f>Hazard_Solver!$B$7</f>
        <v/>
      </c>
      <c r="C6" s="71">
        <f>Hazard_Solver!$B$46</f>
        <v/>
      </c>
      <c r="D6" s="71">
        <f>IFERROR(CDS_Hazard(Hazard_Solver!$D$7,Hazard_Solver!$F$7,Hazard_Solver!$B$8,Hazard_Solver!$D$8,Hazard_Solver!$F$8,CDS_Parameters!$B$26,Hazard_Solver!$F$10:$U$10,Hazard_Solver!$F$14:$U$14,Hazard_Solver!$F$12:$U$12,Hazard_Solver!$F$13:$U$13),"module not loaded")</f>
        <v/>
      </c>
      <c r="E6" s="72">
        <f>IF(ISNUMBER(D6),D6-C6,"")</f>
        <v/>
      </c>
      <c r="F6" s="104">
        <f>IFERROR(CDS_LastIterations(),"")</f>
        <v/>
      </c>
      <c r="G6" s="72">
        <f>IFERROR(CDS_Objective(C6,Hazard_Solver!$D$7,Hazard_Solver!$F$7,Hazard_Solver!$B$8,Hazard_Solver!$D$8,Hazard_Solver!$F$8,CDS_Parameters!$B$26,Hazard_Solver!$F$10:$U$10,Hazard_Solver!$F$14:$U$14,Hazard_Solver!$F$12:$U$12,Hazard_Solver!$F$13:$U$13),"")</f>
        <v/>
      </c>
      <c r="H6" s="72">
        <f>IF(ISNUMBER(D6),IFERROR(CDS_Objective(D6,Hazard_Solver!$D$7,Hazard_Solver!$F$7,Hazard_Solver!$B$8,Hazard_Solver!$D$8,Hazard_Solver!$F$8,CDS_Parameters!$B$26,Hazard_Solver!$F$10:$U$10,Hazard_Solver!$F$14:$U$14,Hazard_Solver!$F$12:$U$12,Hazard_Solver!$F$13:$U$13),""),"")</f>
        <v/>
      </c>
      <c r="I6" s="63">
        <f>IF(ISNUMBER(D6),IFERROR(CDS_ModelSpread(D6,Hazard_Solver!$D$7,Hazard_Solver!$F$7,Hazard_Solver!$B$8,Hazard_Solver!$D$8,Hazard_Solver!$F$8,CDS_Parameters!$B$26,Hazard_Solver!$F$10:$U$10,Hazard_Solver!$F$14:$U$14,Hazard_Solver!$F$12:$U$12,Hazard_Solver!$F$13:$U$13),""),"")</f>
        <v/>
      </c>
      <c r="J6" s="72">
        <f>IF(ISNUMBER(I6),I6-B6,"")</f>
        <v/>
      </c>
    </row>
    <row r="7">
      <c r="A7" s="152" t="inlineStr">
        <is>
          <t>2Y</t>
        </is>
      </c>
      <c r="B7" s="63">
        <f>Hazard_Solver!$B$50</f>
        <v/>
      </c>
      <c r="C7" s="71">
        <f>Hazard_Solver!$B$89</f>
        <v/>
      </c>
      <c r="D7" s="71">
        <f>IFERROR(CDS_Hazard(Hazard_Solver!$D$50,Hazard_Solver!$F$50,Hazard_Solver!$B$51,Hazard_Solver!$D$51,Hazard_Solver!$F$51,CDS_Parameters!$B$26,Hazard_Solver!$F$53:$U$53,Hazard_Solver!$F$57:$U$57,Hazard_Solver!$F$55:$U$55,Hazard_Solver!$F$56:$U$56),"module not loaded")</f>
        <v/>
      </c>
      <c r="E7" s="72">
        <f>IF(ISNUMBER(D7),D7-C7,"")</f>
        <v/>
      </c>
      <c r="F7" s="104">
        <f>IFERROR(CDS_LastIterations(),"")</f>
        <v/>
      </c>
      <c r="G7" s="72">
        <f>IFERROR(CDS_Objective(C7,Hazard_Solver!$D$50,Hazard_Solver!$F$50,Hazard_Solver!$B$51,Hazard_Solver!$D$51,Hazard_Solver!$F$51,CDS_Parameters!$B$26,Hazard_Solver!$F$53:$U$53,Hazard_Solver!$F$57:$U$57,Hazard_Solver!$F$55:$U$55,Hazard_Solver!$F$56:$U$56),"")</f>
        <v/>
      </c>
      <c r="H7" s="72">
        <f>IF(ISNUMBER(D7),IFERROR(CDS_Objective(D7,Hazard_Solver!$D$50,Hazard_Solver!$F$50,Hazard_Solver!$B$51,Hazard_Solver!$D$51,Hazard_Solver!$F$51,CDS_Parameters!$B$26,Hazard_Solver!$F$53:$U$53,Hazard_Solver!$F$57:$U$57,Hazard_Solver!$F$55:$U$55,Hazard_Solver!$F$56:$U$56),""),"")</f>
        <v/>
      </c>
      <c r="I7" s="63">
        <f>IF(ISNUMBER(D7),IFERROR(CDS_ModelSpread(D7,Hazard_Solver!$D$50,Hazard_Solver!$F$50,Hazard_Solver!$B$51,Hazard_Solver!$D$51,Hazard_Solver!$F$51,CDS_Parameters!$B$26,Hazard_Solver!$F$53:$U$53,Hazard_Solver!$F$57:$U$57,Hazard_Solver!$F$55:$U$55,Hazard_Solver!$F$56:$U$56),""),"")</f>
        <v/>
      </c>
      <c r="J7" s="72">
        <f>IF(ISNUMBER(I7),I7-B7,"")</f>
        <v/>
      </c>
    </row>
    <row r="8">
      <c r="A8" s="152" t="inlineStr">
        <is>
          <t>3Y</t>
        </is>
      </c>
      <c r="B8" s="63">
        <f>Hazard_Solver!$B$93</f>
        <v/>
      </c>
      <c r="C8" s="71">
        <f>Hazard_Solver!$B$132</f>
        <v/>
      </c>
      <c r="D8" s="71">
        <f>IFERROR(CDS_Hazard(Hazard_Solver!$D$93,Hazard_Solver!$F$93,Hazard_Solver!$B$94,Hazard_Solver!$D$94,Hazard_Solver!$F$94,CDS_Parameters!$B$26,Hazard_Solver!$F$96:$U$96,Hazard_Solver!$F$100:$U$100,Hazard_Solver!$F$98:$U$98,Hazard_Solver!$F$99:$U$99),"module not loaded")</f>
        <v/>
      </c>
      <c r="E8" s="72">
        <f>IF(ISNUMBER(D8),D8-C8,"")</f>
        <v/>
      </c>
      <c r="F8" s="104">
        <f>IFERROR(CDS_LastIterations(),"")</f>
        <v/>
      </c>
      <c r="G8" s="72">
        <f>IFERROR(CDS_Objective(C8,Hazard_Solver!$D$93,Hazard_Solver!$F$93,Hazard_Solver!$B$94,Hazard_Solver!$D$94,Hazard_Solver!$F$94,CDS_Parameters!$B$26,Hazard_Solver!$F$96:$U$96,Hazard_Solver!$F$100:$U$100,Hazard_Solver!$F$98:$U$98,Hazard_Solver!$F$99:$U$99),"")</f>
        <v/>
      </c>
      <c r="H8" s="72">
        <f>IF(ISNUMBER(D8),IFERROR(CDS_Objective(D8,Hazard_Solver!$D$93,Hazard_Solver!$F$93,Hazard_Solver!$B$94,Hazard_Solver!$D$94,Hazard_Solver!$F$94,CDS_Parameters!$B$26,Hazard_Solver!$F$96:$U$96,Hazard_Solver!$F$100:$U$100,Hazard_Solver!$F$98:$U$98,Hazard_Solver!$F$99:$U$99),""),"")</f>
        <v/>
      </c>
      <c r="I8" s="63">
        <f>IF(ISNUMBER(D8),IFERROR(CDS_ModelSpread(D8,Hazard_Solver!$D$93,Hazard_Solver!$F$93,Hazard_Solver!$B$94,Hazard_Solver!$D$94,Hazard_Solver!$F$94,CDS_Parameters!$B$26,Hazard_Solver!$F$96:$U$96,Hazard_Solver!$F$100:$U$100,Hazard_Solver!$F$98:$U$98,Hazard_Solver!$F$99:$U$99),""),"")</f>
        <v/>
      </c>
      <c r="J8" s="72">
        <f>IF(ISNUMBER(I8),I8-B8,"")</f>
        <v/>
      </c>
    </row>
    <row r="9">
      <c r="A9" s="152" t="inlineStr">
        <is>
          <t>5Y</t>
        </is>
      </c>
      <c r="B9" s="63">
        <f>Hazard_Solver!$B$136</f>
        <v/>
      </c>
      <c r="C9" s="71">
        <f>Hazard_Solver!$B$175</f>
        <v/>
      </c>
      <c r="D9" s="71">
        <f>IFERROR(CDS_Hazard(Hazard_Solver!$D$136,Hazard_Solver!$F$136,Hazard_Solver!$B$137,Hazard_Solver!$D$137,Hazard_Solver!$F$137,CDS_Parameters!$B$26,Hazard_Solver!$F$139:$U$139,Hazard_Solver!$F$143:$U$143,Hazard_Solver!$F$141:$U$141,Hazard_Solver!$F$142:$U$142),"module not loaded")</f>
        <v/>
      </c>
      <c r="E9" s="72">
        <f>IF(ISNUMBER(D9),D9-C9,"")</f>
        <v/>
      </c>
      <c r="F9" s="104">
        <f>IFERROR(CDS_LastIterations(),"")</f>
        <v/>
      </c>
      <c r="G9" s="72">
        <f>IFERROR(CDS_Objective(C9,Hazard_Solver!$D$136,Hazard_Solver!$F$136,Hazard_Solver!$B$137,Hazard_Solver!$D$137,Hazard_Solver!$F$137,CDS_Parameters!$B$26,Hazard_Solver!$F$139:$U$139,Hazard_Solver!$F$143:$U$143,Hazard_Solver!$F$141:$U$141,Hazard_Solver!$F$142:$U$142),"")</f>
        <v/>
      </c>
      <c r="H9" s="72">
        <f>IF(ISNUMBER(D9),IFERROR(CDS_Objective(D9,Hazard_Solver!$D$136,Hazard_Solver!$F$136,Hazard_Solver!$B$137,Hazard_Solver!$D$137,Hazard_Solver!$F$137,CDS_Parameters!$B$26,Hazard_Solver!$F$139:$U$139,Hazard_Solver!$F$143:$U$143,Hazard_Solver!$F$141:$U$141,Hazard_Solver!$F$142:$U$142),""),"")</f>
        <v/>
      </c>
      <c r="I9" s="63">
        <f>IF(ISNUMBER(D9),IFERROR(CDS_ModelSpread(D9,Hazard_Solver!$D$136,Hazard_Solver!$F$136,Hazard_Solver!$B$137,Hazard_Solver!$D$137,Hazard_Solver!$F$137,CDS_Parameters!$B$26,Hazard_Solver!$F$139:$U$139,Hazard_Solver!$F$143:$U$143,Hazard_Solver!$F$141:$U$141,Hazard_Solver!$F$142:$U$142),""),"")</f>
        <v/>
      </c>
      <c r="J9" s="72">
        <f>IF(ISNUMBER(I9),I9-B9,"")</f>
        <v/>
      </c>
    </row>
    <row r="10">
      <c r="A10" s="152" t="inlineStr">
        <is>
          <t>7Y</t>
        </is>
      </c>
      <c r="B10" s="63">
        <f>Hazard_Solver!$B$179</f>
        <v/>
      </c>
      <c r="C10" s="71">
        <f>Hazard_Solver!$B$218</f>
        <v/>
      </c>
      <c r="D10" s="71">
        <f>IFERROR(CDS_Hazard(Hazard_Solver!$D$179,Hazard_Solver!$F$179,Hazard_Solver!$B$180,Hazard_Solver!$D$180,Hazard_Solver!$F$180,CDS_Parameters!$B$26,Hazard_Solver!$F$182:$U$182,Hazard_Solver!$F$186:$U$186,Hazard_Solver!$F$184:$U$184,Hazard_Solver!$F$185:$U$185),"module not loaded")</f>
        <v/>
      </c>
      <c r="E10" s="72">
        <f>IF(ISNUMBER(D10),D10-C10,"")</f>
        <v/>
      </c>
      <c r="F10" s="104">
        <f>IFERROR(CDS_LastIterations(),"")</f>
        <v/>
      </c>
      <c r="G10" s="72">
        <f>IFERROR(CDS_Objective(C10,Hazard_Solver!$D$179,Hazard_Solver!$F$179,Hazard_Solver!$B$180,Hazard_Solver!$D$180,Hazard_Solver!$F$180,CDS_Parameters!$B$26,Hazard_Solver!$F$182:$U$182,Hazard_Solver!$F$186:$U$186,Hazard_Solver!$F$184:$U$184,Hazard_Solver!$F$185:$U$185),"")</f>
        <v/>
      </c>
      <c r="H10" s="72">
        <f>IF(ISNUMBER(D10),IFERROR(CDS_Objective(D10,Hazard_Solver!$D$179,Hazard_Solver!$F$179,Hazard_Solver!$B$180,Hazard_Solver!$D$180,Hazard_Solver!$F$180,CDS_Parameters!$B$26,Hazard_Solver!$F$182:$U$182,Hazard_Solver!$F$186:$U$186,Hazard_Solver!$F$184:$U$184,Hazard_Solver!$F$185:$U$185),""),"")</f>
        <v/>
      </c>
      <c r="I10" s="63">
        <f>IF(ISNUMBER(D10),IFERROR(CDS_ModelSpread(D10,Hazard_Solver!$D$179,Hazard_Solver!$F$179,Hazard_Solver!$B$180,Hazard_Solver!$D$180,Hazard_Solver!$F$180,CDS_Parameters!$B$26,Hazard_Solver!$F$182:$U$182,Hazard_Solver!$F$186:$U$186,Hazard_Solver!$F$184:$U$184,Hazard_Solver!$F$185:$U$185),""),"")</f>
        <v/>
      </c>
      <c r="J10" s="72">
        <f>IF(ISNUMBER(I10),I10-B10,"")</f>
        <v/>
      </c>
    </row>
    <row r="11">
      <c r="A11" s="152" t="inlineStr">
        <is>
          <t>10Y</t>
        </is>
      </c>
      <c r="B11" s="63">
        <f>Hazard_Solver!$B$222</f>
        <v/>
      </c>
      <c r="C11" s="71">
        <f>Hazard_Solver!$B$261</f>
        <v/>
      </c>
      <c r="D11" s="71">
        <f>IFERROR(CDS_Hazard(Hazard_Solver!$D$222,Hazard_Solver!$F$222,Hazard_Solver!$B$223,Hazard_Solver!$D$223,Hazard_Solver!$F$223,CDS_Parameters!$B$26,Hazard_Solver!$F$225:$U$225,Hazard_Solver!$F$229:$U$229,Hazard_Solver!$F$227:$U$227,Hazard_Solver!$F$228:$U$228),"module not loaded")</f>
        <v/>
      </c>
      <c r="E11" s="72">
        <f>IF(ISNUMBER(D11),D11-C11,"")</f>
        <v/>
      </c>
      <c r="F11" s="104">
        <f>IFERROR(CDS_LastIterations(),"")</f>
        <v/>
      </c>
      <c r="G11" s="72">
        <f>IFERROR(CDS_Objective(C11,Hazard_Solver!$D$222,Hazard_Solver!$F$222,Hazard_Solver!$B$223,Hazard_Solver!$D$223,Hazard_Solver!$F$223,CDS_Parameters!$B$26,Hazard_Solver!$F$225:$U$225,Hazard_Solver!$F$229:$U$229,Hazard_Solver!$F$227:$U$227,Hazard_Solver!$F$228:$U$228),"")</f>
        <v/>
      </c>
      <c r="H11" s="72">
        <f>IF(ISNUMBER(D11),IFERROR(CDS_Objective(D11,Hazard_Solver!$D$222,Hazard_Solver!$F$222,Hazard_Solver!$B$223,Hazard_Solver!$D$223,Hazard_Solver!$F$223,CDS_Parameters!$B$26,Hazard_Solver!$F$225:$U$225,Hazard_Solver!$F$229:$U$229,Hazard_Solver!$F$227:$U$227,Hazard_Solver!$F$228:$U$228),""),"")</f>
        <v/>
      </c>
      <c r="I11" s="63">
        <f>IF(ISNUMBER(D11),IFERROR(CDS_ModelSpread(D11,Hazard_Solver!$D$222,Hazard_Solver!$F$222,Hazard_Solver!$B$223,Hazard_Solver!$D$223,Hazard_Solver!$F$223,CDS_Parameters!$B$26,Hazard_Solver!$F$225:$U$225,Hazard_Solver!$F$229:$U$229,Hazard_Solver!$F$227:$U$227,Hazard_Solver!$F$228:$U$228),""),"")</f>
        <v/>
      </c>
      <c r="J11" s="72">
        <f>IF(ISNUMBER(I11),I11-B11,"")</f>
        <v/>
      </c>
    </row>
    <row r="13">
      <c r="A13" s="67" t="inlineStr">
        <is>
          <t>Max |diff| (hazard)</t>
        </is>
      </c>
      <c r="C13" s="91">
        <f>IF(COUNT(E6:E11)=0,"module not loaded",MAX(MAX(E6:E11),-MIN(E6:E11)))</f>
        <v/>
      </c>
    </row>
    <row r="14">
      <c r="A14" s="67" t="inlineStr">
        <is>
          <t>Max |Err| Brent (bp)</t>
        </is>
      </c>
      <c r="C14" s="91">
        <f>IF(COUNT(J6:J11)=0,"",MAX(MAX(J6:J11),-MIN(J6:J11)))</f>
        <v/>
      </c>
    </row>
    <row r="17">
      <c r="A17" s="123" t="inlineStr">
        <is>
          <t>WHAT BRENT ACTUALLY BUYS</t>
        </is>
      </c>
    </row>
    <row r="18">
      <c r="A18" s="141" t="inlineStr"/>
      <c r="B18" s="141" t="inlineStr">
        <is>
          <t>In-cell bisection</t>
        </is>
      </c>
      <c r="C18" s="141" t="inlineStr">
        <is>
          <t>Brent (VBA)</t>
        </is>
      </c>
      <c r="D18" s="141" t="inlineStr">
        <is>
          <t>Better</t>
        </is>
      </c>
    </row>
    <row r="19">
      <c r="A19" s="67" t="inlineStr">
        <is>
          <t>Iterations</t>
        </is>
      </c>
      <c r="B19" s="93" t="inlineStr">
        <is>
          <t>30, fixed</t>
        </is>
      </c>
      <c r="C19" s="93" t="inlineStr">
        <is>
          <t>8-13, adaptive</t>
        </is>
      </c>
      <c r="D19" s="93" t="inlineStr">
        <is>
          <t>Brent</t>
        </is>
      </c>
    </row>
    <row r="20">
      <c r="A20" s="67" t="inlineStr">
        <is>
          <t>Residual |f| at the root</t>
        </is>
      </c>
      <c r="B20" s="93" t="inlineStr">
        <is>
          <t>~1e-9</t>
        </is>
      </c>
      <c r="C20" s="93" t="inlineStr">
        <is>
          <t>~1e-17</t>
        </is>
      </c>
      <c r="D20" s="93" t="inlineStr">
        <is>
          <t>Brent, by ~8 orders</t>
        </is>
      </c>
    </row>
    <row r="21">
      <c r="A21" s="67" t="inlineStr">
        <is>
          <t>Hazard agreement</t>
        </is>
      </c>
      <c r="B21" s="93" t="inlineStr">
        <is>
          <t>the two agree to ~1e-9</t>
        </is>
      </c>
      <c r="C21" s="93" t="inlineStr"/>
      <c r="D21" s="93" t="inlineStr">
        <is>
          <t>immaterial: 1e-9 of hazard is 1e-7 bp of spread</t>
        </is>
      </c>
    </row>
    <row r="22">
      <c r="A22" s="67" t="inlineStr">
        <is>
          <t>Cells consumed</t>
        </is>
      </c>
      <c r="B22" s="93" t="inlineStr">
        <is>
          <t>~3,600 on Hazard_Solver</t>
        </is>
      </c>
      <c r="C22" s="93" t="inlineStr">
        <is>
          <t>6 function calls</t>
        </is>
      </c>
      <c r="D22" s="93" t="inlineStr">
        <is>
          <t>Brent, heavily</t>
        </is>
      </c>
    </row>
    <row r="23">
      <c r="A23" s="67" t="inlineStr">
        <is>
          <t>Working visible</t>
        </is>
      </c>
      <c r="B23" s="93" t="inlineStr">
        <is>
          <t>yes, every halving is a row</t>
        </is>
      </c>
      <c r="C23" s="93" t="inlineStr">
        <is>
          <t>no, opaque call</t>
        </is>
      </c>
      <c r="D23" s="93" t="inlineStr">
        <is>
          <t>BISECTION</t>
        </is>
      </c>
    </row>
    <row r="24">
      <c r="A24" s="67" t="inlineStr">
        <is>
          <t>File format</t>
        </is>
      </c>
      <c r="B24" s="93" t="inlineStr">
        <is>
          <t>.xlsx</t>
        </is>
      </c>
      <c r="C24" s="93" t="inlineStr">
        <is>
          <t>.xlsm + macro trust</t>
        </is>
      </c>
      <c r="D24" s="93" t="inlineStr">
        <is>
          <t>BISECTION</t>
        </is>
      </c>
    </row>
    <row r="25">
      <c r="A25" s="67" t="inlineStr">
        <is>
          <t>Recalc</t>
        </is>
      </c>
      <c r="B25" s="93" t="inlineStr">
        <is>
          <t>native</t>
        </is>
      </c>
      <c r="C25" s="93" t="inlineStr">
        <is>
          <t>UDF, slower per call, no multithread</t>
        </is>
      </c>
      <c r="D25" s="93" t="inlineStr">
        <is>
          <t>bisection</t>
        </is>
      </c>
    </row>
    <row r="26">
      <c r="A26" s="67" t="inlineStr">
        <is>
          <t>Fails on an unstrippable quote</t>
        </is>
      </c>
      <c r="B26" s="93" t="inlineStr">
        <is>
          <t>pins silently at a bracket end</t>
        </is>
      </c>
      <c r="C26" s="93" t="inlineStr">
        <is>
          <t>returns #NUM!</t>
        </is>
      </c>
      <c r="D26" s="93" t="inlineStr">
        <is>
          <t>Brent</t>
        </is>
      </c>
    </row>
    <row r="29">
      <c r="A29" s="67" t="inlineStr">
        <is>
          <t>Verdict</t>
        </is>
      </c>
    </row>
    <row r="30">
      <c r="A30" s="65" t="inlineStr">
        <is>
          <t>Brent wins on the numbers: 8-13 iterations to machine precision vs 30 fixed halvings, residual ~1e-17 vs ~1e-9.</t>
        </is>
      </c>
    </row>
    <row r="31">
      <c r="A31" s="65" t="inlineStr">
        <is>
          <t>It would return ~3,600 cells and a faster recalc. It costs the visible working and forces .xlsm.</t>
        </is>
      </c>
    </row>
    <row r="32">
      <c r="A32" s="65" t="inlineStr">
        <is>
          <t>Keeping bisection as the engine and Brent as the cross-check is the useful split: an independent implementation agreeing to 1e-9 is real evidence the strip is right.</t>
        </is>
      </c>
    </row>
    <row r="33">
      <c r="A33" s="66" t="inlineStr">
        <is>
          <t>Functional gain worth taking: Brent returns #NUM! on an unbracketed quote. Bisection returns a bracket end that looks like an answer. See Model_Notes, p.9.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/>
  </sheetPr>
  <dimension ref="A1:O73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3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11" max="11"/>
    <col width="14" customWidth="1" min="12" max="12"/>
  </cols>
  <sheetData>
    <row r="1">
      <c r="A1" s="1" t="inlineStr">
        <is>
          <t>Curve_Interface</t>
        </is>
      </c>
    </row>
    <row r="2">
      <c r="A2" s="2" t="inlineStr">
        <is>
          <t>Shared discounting D(0,t). Curve grid in K:L is a dated snapshot from the SOFR bootstrap, pasted as values.</t>
        </is>
      </c>
    </row>
    <row r="4" ht="66" customHeight="1">
      <c r="A4" s="9" t="inlineStr">
        <is>
          <t>Piecewise-flat instantaneous forward between pillars. Confirmed against S490 as Step Forward (Cont).</t>
        </is>
      </c>
    </row>
    <row r="5">
      <c r="N5" s="67" t="inlineStr">
        <is>
          <t>Valuation date</t>
        </is>
      </c>
      <c r="O5" s="186" t="n">
        <v>46224</v>
      </c>
    </row>
    <row r="6">
      <c r="K6" s="13" t="inlineStr">
        <is>
          <t>Curve grid - LIVE LINK to the curve workbook</t>
        </is>
      </c>
      <c r="M6" s="177" t="inlineStr">
        <is>
          <t>source: [USD_SOFR_Curve_Bloomberg_Pricer.xlsx]Curve_Interface!K8 (anchor) + K10:L74 (65 pillars)</t>
        </is>
      </c>
      <c r="N6" s="177" t="inlineStr">
        <is>
          <t>drives every date on the CDS sheets</t>
        </is>
      </c>
    </row>
    <row r="7">
      <c r="A7" s="13" t="inlineStr">
        <is>
          <t>Valuation:</t>
        </is>
      </c>
      <c r="B7" s="47">
        <f>VAL_DATE</f>
        <v/>
      </c>
      <c r="C7" s="13" t="inlineStr">
        <is>
          <t>Spot:</t>
        </is>
      </c>
      <c r="D7" s="194">
        <f>'[USD_SOFR_Curve_Bloomberg_Pricer.xlsx]Curve_Interface'!$D$7</f>
        <v/>
      </c>
      <c r="E7" s="13" t="inlineStr">
        <is>
          <t>1st CDS date:</t>
        </is>
      </c>
      <c r="F7" s="47">
        <f>IF(DATE(YEAR(VAL_DATE),CEILING(MONTH(VAL_DATE)/3,1)*3,20)&gt;=VAL_DATE,DATE(YEAR(VAL_DATE),CEILING(MONTH(VAL_DATE)/3,1)*3,20),EDATE(DATE(YEAR(VAL_DATE),CEILING(MONTH(VAL_DATE)/3,1)*3,20),3))</f>
        <v/>
      </c>
      <c r="I7" s="67" t="inlineStr">
        <is>
          <t>Interpolation</t>
        </is>
      </c>
      <c r="J7" s="68" t="inlineStr">
        <is>
          <t>Step-function forward (flat fwd)</t>
        </is>
      </c>
      <c r="K7" s="20" t="inlineStr">
        <is>
          <t>Date</t>
        </is>
      </c>
      <c r="L7" s="20" t="inlineStr">
        <is>
          <t>DF</t>
        </is>
      </c>
    </row>
    <row r="8">
      <c r="I8" s="67" t="inlineStr">
        <is>
          <t>VERIFIED default</t>
        </is>
      </c>
      <c r="J8" s="66" t="inlineStr">
        <is>
          <t>Step-function forward reproduces S490 (confirmed on screen: Step Forward (Cont)). Piecewise Linear (Simple) is 48x worse here. Only switch if the screen says so.</t>
        </is>
      </c>
      <c r="K8" s="195">
        <f>'[USD_SOFR_Curve_Bloomberg_Pricer.xlsx]Curve_Interface'!$K$8</f>
        <v/>
      </c>
      <c r="L8" s="196">
        <f>'[USD_SOFR_Curve_Bloomberg_Pricer.xlsx]Curve_Interface'!$L$8</f>
        <v/>
      </c>
      <c r="N8" s="67" t="inlineStr">
        <is>
          <t>LINK CHECK</t>
        </is>
      </c>
    </row>
    <row r="9" ht="30" customHeight="1">
      <c r="A9" s="140" t="inlineStr">
        <is>
          <t>Coupon #</t>
        </is>
      </c>
      <c r="B9" s="140" t="inlineStr">
        <is>
          <t>Date</t>
        </is>
      </c>
      <c r="C9" s="140" t="inlineStr">
        <is>
          <t>Time from val (yrs)</t>
        </is>
      </c>
      <c r="D9" s="140" t="inlineStr">
        <is>
          <t>Prev SOFR pillar</t>
        </is>
      </c>
      <c r="E9" s="140" t="inlineStr">
        <is>
          <t>Next SOFR pillar</t>
        </is>
      </c>
      <c r="F9" s="140" t="inlineStr">
        <is>
          <t>Segment fwd (%)</t>
        </is>
      </c>
      <c r="G9" s="140" t="inlineStr">
        <is>
          <t>Interp DF  D(0,t)</t>
        </is>
      </c>
      <c r="H9" s="140" t="inlineStr">
        <is>
          <t>Interp zero (%)</t>
        </is>
      </c>
      <c r="K9" s="197">
        <f>'[USD_SOFR_Curve_Bloomberg_Pricer.xlsx]Curve_Interface'!$K$10</f>
        <v/>
      </c>
      <c r="L9" s="198">
        <f>'[USD_SOFR_Curve_Bloomberg_Pricer.xlsx]Curve_Interface'!$L$10</f>
        <v/>
      </c>
      <c r="N9" s="126" t="inlineStr">
        <is>
          <t>pillars linked</t>
        </is>
      </c>
      <c r="O9" s="184">
        <f>COUNT($L$8:$L$73)</f>
        <v/>
      </c>
    </row>
    <row r="10">
      <c r="A10" s="43" t="n">
        <v>1</v>
      </c>
      <c r="B10" s="18">
        <f>EDATE($F$7,3*0)</f>
        <v/>
      </c>
      <c r="C10" s="34">
        <f>(B10-VAL_DATE)/365</f>
        <v/>
      </c>
      <c r="D10" s="18">
        <f>INDEX($K$8:$K$73,MATCH(B10,$K$8:$K$73,1))</f>
        <v/>
      </c>
      <c r="E10" s="18">
        <f>INDEX($K$8:$K$73,MATCH(B10,$K$8:$K$73,1)+1)</f>
        <v/>
      </c>
      <c r="F10" s="17">
        <f>-LN(INDEX($L$8:$L$73,MATCH(B10,$K$8:$K$73,1)+1)/INDEX($L$8:$L$73,MATCH(B10,$K$8:$K$73,1)))/((E10-D10)/365)*100</f>
        <v/>
      </c>
      <c r="G10" s="76">
        <f>IFERROR(IF($J$7="Piecewise Linear (Simple)",IF(((B10-VAL_DATE)/360)&lt;=0,1,1/(1+(IF(MAX((10&gt;0)*(D10-VAL_DATE)/360,0)&lt;=0,IF(((E10-VAL_DATE)/360)&lt;=0,0,(1/INDEX($L$8:$L$73,MATCH(B10,$K$8:$K$73,1)+1)-1)/((E10-VAL_DATE)/360)),IF(MAX((10&gt;0)*(D10-VAL_DATE)/360,0)&lt;=0,0,(1/INDEX($L$8:$L$73,MATCH(B10,$K$8:$K$73,1))-1)/MAX((10&gt;0)*(D10-VAL_DATE)/360,0)))+(IF(((E10-VAL_DATE)/360)&lt;=0,0,(1/INDEX($L$8:$L$73,MATCH(B10,$K$8:$K$73,1)+1)-1)/((E10-VAL_DATE)/360))-IF(MAX((10&gt;0)*(D10-VAL_DATE)/360,0)&lt;=0,IF(((E10-VAL_DATE)/360)&lt;=0,0,(1/INDEX($L$8:$L$73,MATCH(B10,$K$8:$K$73,1)+1)-1)/((E10-VAL_DATE)/360)),IF(MAX((10&gt;0)*(D10-VAL_DATE)/360,0)&lt;=0,0,(1/INDEX($L$8:$L$73,MATCH(B10,$K$8:$K$73,1))-1)/MAX((10&gt;0)*(D10-VAL_DATE)/360,0))))*IF(((E10-VAL_DATE)/360)-MAX((10&gt;0)*(D10-VAL_DATE)/360,0)=0,0,(((B10-VAL_DATE)/360)-MAX((10&gt;0)*(D10-VAL_DATE)/360,0))/(((E10-VAL_DATE)/360)-MAX((10&gt;0)*(D10-VAL_DATE)/360,0))))*((B10-VAL_DATE)/360))),INDEX($L$8:$L$73,MATCH(B10,$K$8:$K$73,1))*EXP(-(F10/100)*(B10-D10)/365)),"")</f>
        <v/>
      </c>
      <c r="H10" s="17">
        <f>-LN(G10)/C10*100</f>
        <v/>
      </c>
      <c r="I10" s="65" t="inlineStr">
        <is>
          <t>Method 1: DF=1/(1+r_s*t), r_s linear, ACT/360, flat outside the pillars.</t>
        </is>
      </c>
      <c r="K10" s="199">
        <f>'[USD_SOFR_Curve_Bloomberg_Pricer.xlsx]Curve_Interface'!$K$11</f>
        <v/>
      </c>
      <c r="L10" s="200">
        <f>'[USD_SOFR_Curve_Bloomberg_Pricer.xlsx]Curve_Interface'!$L$11</f>
        <v/>
      </c>
      <c r="N10" s="126" t="inlineStr">
        <is>
          <t>first date</t>
        </is>
      </c>
      <c r="O10" s="201">
        <f>IF(COUNT($K$8:$K$73)=0,"",MIN($K$8:$K$73))</f>
        <v/>
      </c>
    </row>
    <row r="11">
      <c r="A11" s="43" t="n">
        <v>2</v>
      </c>
      <c r="B11" s="18">
        <f>EDATE($F$7,3*1)</f>
        <v/>
      </c>
      <c r="C11" s="34">
        <f>(B11-VAL_DATE)/365</f>
        <v/>
      </c>
      <c r="D11" s="18">
        <f>INDEX($K$8:$K$73,MATCH(B11,$K$8:$K$73,1))</f>
        <v/>
      </c>
      <c r="E11" s="18">
        <f>INDEX($K$8:$K$73,MATCH(B11,$K$8:$K$73,1)+1)</f>
        <v/>
      </c>
      <c r="F11" s="17">
        <f>-LN(INDEX($L$8:$L$73,MATCH(B11,$K$8:$K$73,1)+1)/INDEX($L$8:$L$73,MATCH(B11,$K$8:$K$73,1)))/((E11-D11)/365)*100</f>
        <v/>
      </c>
      <c r="G11" s="76">
        <f>IFERROR(IF($J$7="Piecewise Linear (Simple)",IF(((B11-VAL_DATE)/360)&lt;=0,1,1/(1+(IF(MAX((11&gt;0)*(D11-VAL_DATE)/360,0)&lt;=0,IF(((E11-VAL_DATE)/360)&lt;=0,0,(1/INDEX($L$8:$L$73,MATCH(B11,$K$8:$K$73,1)+1)-1)/((E11-VAL_DATE)/360)),IF(MAX((11&gt;0)*(D11-VAL_DATE)/360,0)&lt;=0,0,(1/INDEX($L$8:$L$73,MATCH(B11,$K$8:$K$73,1))-1)/MAX((11&gt;0)*(D11-VAL_DATE)/360,0)))+(IF(((E11-VAL_DATE)/360)&lt;=0,0,(1/INDEX($L$8:$L$73,MATCH(B11,$K$8:$K$73,1)+1)-1)/((E11-VAL_DATE)/360))-IF(MAX((11&gt;0)*(D11-VAL_DATE)/360,0)&lt;=0,IF(((E11-VAL_DATE)/360)&lt;=0,0,(1/INDEX($L$8:$L$73,MATCH(B11,$K$8:$K$73,1)+1)-1)/((E11-VAL_DATE)/360)),IF(MAX((11&gt;0)*(D11-VAL_DATE)/360,0)&lt;=0,0,(1/INDEX($L$8:$L$73,MATCH(B11,$K$8:$K$73,1))-1)/MAX((11&gt;0)*(D11-VAL_DATE)/360,0))))*IF(((E11-VAL_DATE)/360)-MAX((11&gt;0)*(D11-VAL_DATE)/360,0)=0,0,(((B11-VAL_DATE)/360)-MAX((11&gt;0)*(D11-VAL_DATE)/360,0))/(((E11-VAL_DATE)/360)-MAX((11&gt;0)*(D11-VAL_DATE)/360,0))))*((B11-VAL_DATE)/360))),INDEX($L$8:$L$73,MATCH(B11,$K$8:$K$73,1))*EXP(-(F11/100)*(B11-D11)/365)),"")</f>
        <v/>
      </c>
      <c r="H11" s="17">
        <f>-LN(G11)/C11*100</f>
        <v/>
      </c>
      <c r="I11" s="65" t="inlineStr">
        <is>
          <t>Method 3: flat forward between pillars = log-linear in DF.</t>
        </is>
      </c>
      <c r="K11" s="199">
        <f>'[USD_SOFR_Curve_Bloomberg_Pricer.xlsx]Curve_Interface'!$K$12</f>
        <v/>
      </c>
      <c r="L11" s="200">
        <f>'[USD_SOFR_Curve_Bloomberg_Pricer.xlsx]Curve_Interface'!$L$12</f>
        <v/>
      </c>
      <c r="N11" s="126" t="inlineStr">
        <is>
          <t>last date</t>
        </is>
      </c>
      <c r="O11" s="201">
        <f>IF(COUNT($K$8:$K$73)=0,"",MAX($K$8:$K$73))</f>
        <v/>
      </c>
    </row>
    <row r="12">
      <c r="A12" s="43" t="n">
        <v>3</v>
      </c>
      <c r="B12" s="18">
        <f>EDATE($F$7,3*2)</f>
        <v/>
      </c>
      <c r="C12" s="34">
        <f>(B12-VAL_DATE)/365</f>
        <v/>
      </c>
      <c r="D12" s="18">
        <f>INDEX($K$8:$K$73,MATCH(B12,$K$8:$K$73,1))</f>
        <v/>
      </c>
      <c r="E12" s="18">
        <f>INDEX($K$8:$K$73,MATCH(B12,$K$8:$K$73,1)+1)</f>
        <v/>
      </c>
      <c r="F12" s="17">
        <f>-LN(INDEX($L$8:$L$73,MATCH(B12,$K$8:$K$73,1)+1)/INDEX($L$8:$L$73,MATCH(B12,$K$8:$K$73,1)))/((E12-D12)/365)*100</f>
        <v/>
      </c>
      <c r="G12" s="76">
        <f>IFERROR(IF($J$7="Piecewise Linear (Simple)",IF(((B12-VAL_DATE)/360)&lt;=0,1,1/(1+(IF(MAX((12&gt;0)*(D12-VAL_DATE)/360,0)&lt;=0,IF(((E12-VAL_DATE)/360)&lt;=0,0,(1/INDEX($L$8:$L$73,MATCH(B12,$K$8:$K$73,1)+1)-1)/((E12-VAL_DATE)/360)),IF(MAX((12&gt;0)*(D12-VAL_DATE)/360,0)&lt;=0,0,(1/INDEX($L$8:$L$73,MATCH(B12,$K$8:$K$73,1))-1)/MAX((12&gt;0)*(D12-VAL_DATE)/360,0)))+(IF(((E12-VAL_DATE)/360)&lt;=0,0,(1/INDEX($L$8:$L$73,MATCH(B12,$K$8:$K$73,1)+1)-1)/((E12-VAL_DATE)/360))-IF(MAX((12&gt;0)*(D12-VAL_DATE)/360,0)&lt;=0,IF(((E12-VAL_DATE)/360)&lt;=0,0,(1/INDEX($L$8:$L$73,MATCH(B12,$K$8:$K$73,1)+1)-1)/((E12-VAL_DATE)/360)),IF(MAX((12&gt;0)*(D12-VAL_DATE)/360,0)&lt;=0,0,(1/INDEX($L$8:$L$73,MATCH(B12,$K$8:$K$73,1))-1)/MAX((12&gt;0)*(D12-VAL_DATE)/360,0))))*IF(((E12-VAL_DATE)/360)-MAX((12&gt;0)*(D12-VAL_DATE)/360,0)=0,0,(((B12-VAL_DATE)/360)-MAX((12&gt;0)*(D12-VAL_DATE)/360,0))/(((E12-VAL_DATE)/360)-MAX((12&gt;0)*(D12-VAL_DATE)/360,0))))*((B12-VAL_DATE)/360))),INDEX($L$8:$L$73,MATCH(B12,$K$8:$K$73,1))*EXP(-(F12/100)*(B12-D12)/365)),"")</f>
        <v/>
      </c>
      <c r="H12" s="17">
        <f>-LN(G12)/C12*100</f>
        <v/>
      </c>
      <c r="I12" s="65" t="inlineStr">
        <is>
          <t>Identical at the pillars. They differ off-pillar, which is what CDS_Schedule looks up. ~0.07bp in a 2Y gap.</t>
        </is>
      </c>
      <c r="K12" s="199">
        <f>'[USD_SOFR_Curve_Bloomberg_Pricer.xlsx]Curve_Interface'!$K$13</f>
        <v/>
      </c>
      <c r="L12" s="200">
        <f>'[USD_SOFR_Curve_Bloomberg_Pricer.xlsx]Curve_Interface'!$L$13</f>
        <v/>
      </c>
      <c r="N12" s="126" t="inlineStr">
        <is>
          <t>anchor DF (want 1)</t>
        </is>
      </c>
      <c r="O12" s="202">
        <f>IF($L$8="","",$L$8)</f>
        <v/>
      </c>
    </row>
    <row r="13">
      <c r="A13" s="43" t="n">
        <v>4</v>
      </c>
      <c r="B13" s="18">
        <f>EDATE($F$7,3*3)</f>
        <v/>
      </c>
      <c r="C13" s="34">
        <f>(B13-VAL_DATE)/365</f>
        <v/>
      </c>
      <c r="D13" s="18">
        <f>INDEX($K$8:$K$73,MATCH(B13,$K$8:$K$73,1))</f>
        <v/>
      </c>
      <c r="E13" s="18">
        <f>INDEX($K$8:$K$73,MATCH(B13,$K$8:$K$73,1)+1)</f>
        <v/>
      </c>
      <c r="F13" s="17">
        <f>-LN(INDEX($L$8:$L$73,MATCH(B13,$K$8:$K$73,1)+1)/INDEX($L$8:$L$73,MATCH(B13,$K$8:$K$73,1)))/((E13-D13)/365)*100</f>
        <v/>
      </c>
      <c r="G13" s="76">
        <f>IFERROR(IF($J$7="Piecewise Linear (Simple)",IF(((B13-VAL_DATE)/360)&lt;=0,1,1/(1+(IF(MAX((13&gt;0)*(D13-VAL_DATE)/360,0)&lt;=0,IF(((E13-VAL_DATE)/360)&lt;=0,0,(1/INDEX($L$8:$L$73,MATCH(B13,$K$8:$K$73,1)+1)-1)/((E13-VAL_DATE)/360)),IF(MAX((13&gt;0)*(D13-VAL_DATE)/360,0)&lt;=0,0,(1/INDEX($L$8:$L$73,MATCH(B13,$K$8:$K$73,1))-1)/MAX((13&gt;0)*(D13-VAL_DATE)/360,0)))+(IF(((E13-VAL_DATE)/360)&lt;=0,0,(1/INDEX($L$8:$L$73,MATCH(B13,$K$8:$K$73,1)+1)-1)/((E13-VAL_DATE)/360))-IF(MAX((13&gt;0)*(D13-VAL_DATE)/360,0)&lt;=0,IF(((E13-VAL_DATE)/360)&lt;=0,0,(1/INDEX($L$8:$L$73,MATCH(B13,$K$8:$K$73,1)+1)-1)/((E13-VAL_DATE)/360)),IF(MAX((13&gt;0)*(D13-VAL_DATE)/360,0)&lt;=0,0,(1/INDEX($L$8:$L$73,MATCH(B13,$K$8:$K$73,1))-1)/MAX((13&gt;0)*(D13-VAL_DATE)/360,0))))*IF(((E13-VAL_DATE)/360)-MAX((13&gt;0)*(D13-VAL_DATE)/360,0)=0,0,(((B13-VAL_DATE)/360)-MAX((13&gt;0)*(D13-VAL_DATE)/360,0))/(((E13-VAL_DATE)/360)-MAX((13&gt;0)*(D13-VAL_DATE)/360,0))))*((B13-VAL_DATE)/360))),INDEX($L$8:$L$73,MATCH(B13,$K$8:$K$73,1))*EXP(-(F13/100)*(B13-D13)/365)),"")</f>
        <v/>
      </c>
      <c r="H13" s="17">
        <f>-LN(G13)/C13*100</f>
        <v/>
      </c>
      <c r="K13" s="199">
        <f>'[USD_SOFR_Curve_Bloomberg_Pricer.xlsx]Curve_Interface'!$K$14</f>
        <v/>
      </c>
      <c r="L13" s="200">
        <f>'[USD_SOFR_Curve_Bloomberg_Pricer.xlsx]Curve_Interface'!$L$14</f>
        <v/>
      </c>
      <c r="N13" s="126" t="inlineStr">
        <is>
          <t>first tenor date</t>
        </is>
      </c>
      <c r="O13" s="201">
        <f>IF($K$9="","",$K$9)</f>
        <v/>
      </c>
    </row>
    <row r="14">
      <c r="A14" s="43" t="n">
        <v>5</v>
      </c>
      <c r="B14" s="18">
        <f>EDATE($F$7,3*4)</f>
        <v/>
      </c>
      <c r="C14" s="34">
        <f>(B14-VAL_DATE)/365</f>
        <v/>
      </c>
      <c r="D14" s="18">
        <f>INDEX($K$8:$K$73,MATCH(B14,$K$8:$K$73,1))</f>
        <v/>
      </c>
      <c r="E14" s="18">
        <f>INDEX($K$8:$K$73,MATCH(B14,$K$8:$K$73,1)+1)</f>
        <v/>
      </c>
      <c r="F14" s="17">
        <f>-LN(INDEX($L$8:$L$73,MATCH(B14,$K$8:$K$73,1)+1)/INDEX($L$8:$L$73,MATCH(B14,$K$8:$K$73,1)))/((E14-D14)/365)*100</f>
        <v/>
      </c>
      <c r="G14" s="76">
        <f>IFERROR(IF($J$7="Piecewise Linear (Simple)",IF(((B14-VAL_DATE)/360)&lt;=0,1,1/(1+(IF(MAX((14&gt;0)*(D14-VAL_DATE)/360,0)&lt;=0,IF(((E14-VAL_DATE)/360)&lt;=0,0,(1/INDEX($L$8:$L$73,MATCH(B14,$K$8:$K$73,1)+1)-1)/((E14-VAL_DATE)/360)),IF(MAX((14&gt;0)*(D14-VAL_DATE)/360,0)&lt;=0,0,(1/INDEX($L$8:$L$73,MATCH(B14,$K$8:$K$73,1))-1)/MAX((14&gt;0)*(D14-VAL_DATE)/360,0)))+(IF(((E14-VAL_DATE)/360)&lt;=0,0,(1/INDEX($L$8:$L$73,MATCH(B14,$K$8:$K$73,1)+1)-1)/((E14-VAL_DATE)/360))-IF(MAX((14&gt;0)*(D14-VAL_DATE)/360,0)&lt;=0,IF(((E14-VAL_DATE)/360)&lt;=0,0,(1/INDEX($L$8:$L$73,MATCH(B14,$K$8:$K$73,1)+1)-1)/((E14-VAL_DATE)/360)),IF(MAX((14&gt;0)*(D14-VAL_DATE)/360,0)&lt;=0,0,(1/INDEX($L$8:$L$73,MATCH(B14,$K$8:$K$73,1))-1)/MAX((14&gt;0)*(D14-VAL_DATE)/360,0))))*IF(((E14-VAL_DATE)/360)-MAX((14&gt;0)*(D14-VAL_DATE)/360,0)=0,0,(((B14-VAL_DATE)/360)-MAX((14&gt;0)*(D14-VAL_DATE)/360,0))/(((E14-VAL_DATE)/360)-MAX((14&gt;0)*(D14-VAL_DATE)/360,0))))*((B14-VAL_DATE)/360))),INDEX($L$8:$L$73,MATCH(B14,$K$8:$K$73,1))*EXP(-(F14/100)*(B14-D14)/365)),"")</f>
        <v/>
      </c>
      <c r="H14" s="17">
        <f>-LN(G14)/C14*100</f>
        <v/>
      </c>
      <c r="K14" s="199">
        <f>'[USD_SOFR_Curve_Bloomberg_Pricer.xlsx]Curve_Interface'!$K$15</f>
        <v/>
      </c>
      <c r="L14" s="200">
        <f>'[USD_SOFR_Curve_Bloomberg_Pricer.xlsx]Curve_Interface'!$L$15</f>
        <v/>
      </c>
      <c r="N14" s="126" t="inlineStr">
        <is>
          <t>DF monotone?</t>
        </is>
      </c>
      <c r="O14" s="184">
        <f>IF(COUNT($L$8:$L$73)&lt;2,"",IF(SUMPRODUCT(--($L$9:$L$73&gt;$L$8:$L$72))=0,"ok","NOT DECREASING"))</f>
        <v/>
      </c>
    </row>
    <row r="15">
      <c r="A15" s="43" t="n">
        <v>6</v>
      </c>
      <c r="B15" s="18">
        <f>EDATE($F$7,3*5)</f>
        <v/>
      </c>
      <c r="C15" s="34">
        <f>(B15-VAL_DATE)/365</f>
        <v/>
      </c>
      <c r="D15" s="18">
        <f>INDEX($K$8:$K$73,MATCH(B15,$K$8:$K$73,1))</f>
        <v/>
      </c>
      <c r="E15" s="18">
        <f>INDEX($K$8:$K$73,MATCH(B15,$K$8:$K$73,1)+1)</f>
        <v/>
      </c>
      <c r="F15" s="17">
        <f>-LN(INDEX($L$8:$L$73,MATCH(B15,$K$8:$K$73,1)+1)/INDEX($L$8:$L$73,MATCH(B15,$K$8:$K$73,1)))/((E15-D15)/365)*100</f>
        <v/>
      </c>
      <c r="G15" s="76">
        <f>IFERROR(IF($J$7="Piecewise Linear (Simple)",IF(((B15-VAL_DATE)/360)&lt;=0,1,1/(1+(IF(MAX((15&gt;0)*(D15-VAL_DATE)/360,0)&lt;=0,IF(((E15-VAL_DATE)/360)&lt;=0,0,(1/INDEX($L$8:$L$73,MATCH(B15,$K$8:$K$73,1)+1)-1)/((E15-VAL_DATE)/360)),IF(MAX((15&gt;0)*(D15-VAL_DATE)/360,0)&lt;=0,0,(1/INDEX($L$8:$L$73,MATCH(B15,$K$8:$K$73,1))-1)/MAX((15&gt;0)*(D15-VAL_DATE)/360,0)))+(IF(((E15-VAL_DATE)/360)&lt;=0,0,(1/INDEX($L$8:$L$73,MATCH(B15,$K$8:$K$73,1)+1)-1)/((E15-VAL_DATE)/360))-IF(MAX((15&gt;0)*(D15-VAL_DATE)/360,0)&lt;=0,IF(((E15-VAL_DATE)/360)&lt;=0,0,(1/INDEX($L$8:$L$73,MATCH(B15,$K$8:$K$73,1)+1)-1)/((E15-VAL_DATE)/360)),IF(MAX((15&gt;0)*(D15-VAL_DATE)/360,0)&lt;=0,0,(1/INDEX($L$8:$L$73,MATCH(B15,$K$8:$K$73,1))-1)/MAX((15&gt;0)*(D15-VAL_DATE)/360,0))))*IF(((E15-VAL_DATE)/360)-MAX((15&gt;0)*(D15-VAL_DATE)/360,0)=0,0,(((B15-VAL_DATE)/360)-MAX((15&gt;0)*(D15-VAL_DATE)/360,0))/(((E15-VAL_DATE)/360)-MAX((15&gt;0)*(D15-VAL_DATE)/360,0))))*((B15-VAL_DATE)/360))),INDEX($L$8:$L$73,MATCH(B15,$K$8:$K$73,1))*EXP(-(F15/100)*(B15-D15)/365)),"")</f>
        <v/>
      </c>
      <c r="H15" s="17">
        <f>-LN(G15)/C15*100</f>
        <v/>
      </c>
      <c r="K15" s="199">
        <f>'[USD_SOFR_Curve_Bloomberg_Pricer.xlsx]Curve_Interface'!$K$16</f>
        <v/>
      </c>
      <c r="L15" s="200">
        <f>'[USD_SOFR_Curve_Bloomberg_Pricer.xlsx]Curve_Interface'!$L$16</f>
        <v/>
      </c>
      <c r="N15" s="66">
        <f>IF(O9=0,"LINK NOT RESOLVING - open USD_SOFR_Curve_Bloomberg_Pricer.xlsx",IF(ABS(O12-1)&gt;0.000001,"ROW 8 IS NOT THE ANCHOR - check the offset",IF(O13-VAL_DATE&gt;14,"FIRST TENOR LOOKS WRONG - expected about a week after the curve date",IF(O9&lt;60,"FEWER PILLARS THAN EXPECTED - check the source range","link ok"))))</f>
        <v/>
      </c>
    </row>
    <row r="16">
      <c r="A16" s="43" t="n">
        <v>7</v>
      </c>
      <c r="B16" s="18">
        <f>EDATE($F$7,3*6)</f>
        <v/>
      </c>
      <c r="C16" s="34">
        <f>(B16-VAL_DATE)/365</f>
        <v/>
      </c>
      <c r="D16" s="18">
        <f>INDEX($K$8:$K$73,MATCH(B16,$K$8:$K$73,1))</f>
        <v/>
      </c>
      <c r="E16" s="18">
        <f>INDEX($K$8:$K$73,MATCH(B16,$K$8:$K$73,1)+1)</f>
        <v/>
      </c>
      <c r="F16" s="17">
        <f>-LN(INDEX($L$8:$L$73,MATCH(B16,$K$8:$K$73,1)+1)/INDEX($L$8:$L$73,MATCH(B16,$K$8:$K$73,1)))/((E16-D16)/365)*100</f>
        <v/>
      </c>
      <c r="G16" s="76">
        <f>IFERROR(IF($J$7="Piecewise Linear (Simple)",IF(((B16-VAL_DATE)/360)&lt;=0,1,1/(1+(IF(MAX((16&gt;0)*(D16-VAL_DATE)/360,0)&lt;=0,IF(((E16-VAL_DATE)/360)&lt;=0,0,(1/INDEX($L$8:$L$73,MATCH(B16,$K$8:$K$73,1)+1)-1)/((E16-VAL_DATE)/360)),IF(MAX((16&gt;0)*(D16-VAL_DATE)/360,0)&lt;=0,0,(1/INDEX($L$8:$L$73,MATCH(B16,$K$8:$K$73,1))-1)/MAX((16&gt;0)*(D16-VAL_DATE)/360,0)))+(IF(((E16-VAL_DATE)/360)&lt;=0,0,(1/INDEX($L$8:$L$73,MATCH(B16,$K$8:$K$73,1)+1)-1)/((E16-VAL_DATE)/360))-IF(MAX((16&gt;0)*(D16-VAL_DATE)/360,0)&lt;=0,IF(((E16-VAL_DATE)/360)&lt;=0,0,(1/INDEX($L$8:$L$73,MATCH(B16,$K$8:$K$73,1)+1)-1)/((E16-VAL_DATE)/360)),IF(MAX((16&gt;0)*(D16-VAL_DATE)/360,0)&lt;=0,0,(1/INDEX($L$8:$L$73,MATCH(B16,$K$8:$K$73,1))-1)/MAX((16&gt;0)*(D16-VAL_DATE)/360,0))))*IF(((E16-VAL_DATE)/360)-MAX((16&gt;0)*(D16-VAL_DATE)/360,0)=0,0,(((B16-VAL_DATE)/360)-MAX((16&gt;0)*(D16-VAL_DATE)/360,0))/(((E16-VAL_DATE)/360)-MAX((16&gt;0)*(D16-VAL_DATE)/360,0))))*((B16-VAL_DATE)/360))),INDEX($L$8:$L$73,MATCH(B16,$K$8:$K$73,1))*EXP(-(F16/100)*(B16-D16)/365)),"")</f>
        <v/>
      </c>
      <c r="H16" s="17">
        <f>-LN(G16)/C16*100</f>
        <v/>
      </c>
      <c r="K16" s="199">
        <f>'[USD_SOFR_Curve_Bloomberg_Pricer.xlsx]Curve_Interface'!$K$17</f>
        <v/>
      </c>
      <c r="L16" s="200">
        <f>'[USD_SOFR_Curve_Bloomberg_Pricer.xlsx]Curve_Interface'!$L$17</f>
        <v/>
      </c>
      <c r="N16" s="177" t="inlineStr">
        <is>
          <t>Live only while the curve workbook is OPEN. Closed, Excel serves the last cached values and the BDP pulls in the source do not refresh.</t>
        </is>
      </c>
    </row>
    <row r="17">
      <c r="A17" s="43" t="n">
        <v>8</v>
      </c>
      <c r="B17" s="18">
        <f>EDATE($F$7,3*7)</f>
        <v/>
      </c>
      <c r="C17" s="34">
        <f>(B17-VAL_DATE)/365</f>
        <v/>
      </c>
      <c r="D17" s="18">
        <f>INDEX($K$8:$K$73,MATCH(B17,$K$8:$K$73,1))</f>
        <v/>
      </c>
      <c r="E17" s="18">
        <f>INDEX($K$8:$K$73,MATCH(B17,$K$8:$K$73,1)+1)</f>
        <v/>
      </c>
      <c r="F17" s="17">
        <f>-LN(INDEX($L$8:$L$73,MATCH(B17,$K$8:$K$73,1)+1)/INDEX($L$8:$L$73,MATCH(B17,$K$8:$K$73,1)))/((E17-D17)/365)*100</f>
        <v/>
      </c>
      <c r="G17" s="76">
        <f>IFERROR(IF($J$7="Piecewise Linear (Simple)",IF(((B17-VAL_DATE)/360)&lt;=0,1,1/(1+(IF(MAX((17&gt;0)*(D17-VAL_DATE)/360,0)&lt;=0,IF(((E17-VAL_DATE)/360)&lt;=0,0,(1/INDEX($L$8:$L$73,MATCH(B17,$K$8:$K$73,1)+1)-1)/((E17-VAL_DATE)/360)),IF(MAX((17&gt;0)*(D17-VAL_DATE)/360,0)&lt;=0,0,(1/INDEX($L$8:$L$73,MATCH(B17,$K$8:$K$73,1))-1)/MAX((17&gt;0)*(D17-VAL_DATE)/360,0)))+(IF(((E17-VAL_DATE)/360)&lt;=0,0,(1/INDEX($L$8:$L$73,MATCH(B17,$K$8:$K$73,1)+1)-1)/((E17-VAL_DATE)/360))-IF(MAX((17&gt;0)*(D17-VAL_DATE)/360,0)&lt;=0,IF(((E17-VAL_DATE)/360)&lt;=0,0,(1/INDEX($L$8:$L$73,MATCH(B17,$K$8:$K$73,1)+1)-1)/((E17-VAL_DATE)/360)),IF(MAX((17&gt;0)*(D17-VAL_DATE)/360,0)&lt;=0,0,(1/INDEX($L$8:$L$73,MATCH(B17,$K$8:$K$73,1))-1)/MAX((17&gt;0)*(D17-VAL_DATE)/360,0))))*IF(((E17-VAL_DATE)/360)-MAX((17&gt;0)*(D17-VAL_DATE)/360,0)=0,0,(((B17-VAL_DATE)/360)-MAX((17&gt;0)*(D17-VAL_DATE)/360,0))/(((E17-VAL_DATE)/360)-MAX((17&gt;0)*(D17-VAL_DATE)/360,0))))*((B17-VAL_DATE)/360))),INDEX($L$8:$L$73,MATCH(B17,$K$8:$K$73,1))*EXP(-(F17/100)*(B17-D17)/365)),"")</f>
        <v/>
      </c>
      <c r="H17" s="17">
        <f>-LN(G17)/C17*100</f>
        <v/>
      </c>
      <c r="K17" s="199">
        <f>'[USD_SOFR_Curve_Bloomberg_Pricer.xlsx]Curve_Interface'!$K$18</f>
        <v/>
      </c>
      <c r="L17" s="200">
        <f>'[USD_SOFR_Curve_Bloomberg_Pricer.xlsx]Curve_Interface'!$L$18</f>
        <v/>
      </c>
      <c r="N17" s="177" t="inlineStr">
        <is>
          <t>Live only while the curve workbook is OPEN. Closed, Excel serves the last cached values and the BDP pulls in the source do not refresh.</t>
        </is>
      </c>
    </row>
    <row r="18">
      <c r="A18" s="43" t="n">
        <v>9</v>
      </c>
      <c r="B18" s="18">
        <f>EDATE($F$7,3*8)</f>
        <v/>
      </c>
      <c r="C18" s="34">
        <f>(B18-VAL_DATE)/365</f>
        <v/>
      </c>
      <c r="D18" s="18">
        <f>INDEX($K$8:$K$73,MATCH(B18,$K$8:$K$73,1))</f>
        <v/>
      </c>
      <c r="E18" s="18">
        <f>INDEX($K$8:$K$73,MATCH(B18,$K$8:$K$73,1)+1)</f>
        <v/>
      </c>
      <c r="F18" s="17">
        <f>-LN(INDEX($L$8:$L$73,MATCH(B18,$K$8:$K$73,1)+1)/INDEX($L$8:$L$73,MATCH(B18,$K$8:$K$73,1)))/((E18-D18)/365)*100</f>
        <v/>
      </c>
      <c r="G18" s="76">
        <f>IFERROR(IF($J$7="Piecewise Linear (Simple)",IF(((B18-VAL_DATE)/360)&lt;=0,1,1/(1+(IF(MAX((18&gt;0)*(D18-VAL_DATE)/360,0)&lt;=0,IF(((E18-VAL_DATE)/360)&lt;=0,0,(1/INDEX($L$8:$L$73,MATCH(B18,$K$8:$K$73,1)+1)-1)/((E18-VAL_DATE)/360)),IF(MAX((18&gt;0)*(D18-VAL_DATE)/360,0)&lt;=0,0,(1/INDEX($L$8:$L$73,MATCH(B18,$K$8:$K$73,1))-1)/MAX((18&gt;0)*(D18-VAL_DATE)/360,0)))+(IF(((E18-VAL_DATE)/360)&lt;=0,0,(1/INDEX($L$8:$L$73,MATCH(B18,$K$8:$K$73,1)+1)-1)/((E18-VAL_DATE)/360))-IF(MAX((18&gt;0)*(D18-VAL_DATE)/360,0)&lt;=0,IF(((E18-VAL_DATE)/360)&lt;=0,0,(1/INDEX($L$8:$L$73,MATCH(B18,$K$8:$K$73,1)+1)-1)/((E18-VAL_DATE)/360)),IF(MAX((18&gt;0)*(D18-VAL_DATE)/360,0)&lt;=0,0,(1/INDEX($L$8:$L$73,MATCH(B18,$K$8:$K$73,1))-1)/MAX((18&gt;0)*(D18-VAL_DATE)/360,0))))*IF(((E18-VAL_DATE)/360)-MAX((18&gt;0)*(D18-VAL_DATE)/360,0)=0,0,(((B18-VAL_DATE)/360)-MAX((18&gt;0)*(D18-VAL_DATE)/360,0))/(((E18-VAL_DATE)/360)-MAX((18&gt;0)*(D18-VAL_DATE)/360,0))))*((B18-VAL_DATE)/360))),INDEX($L$8:$L$73,MATCH(B18,$K$8:$K$73,1))*EXP(-(F18/100)*(B18-D18)/365)),"")</f>
        <v/>
      </c>
      <c r="H18" s="17">
        <f>-LN(G18)/C18*100</f>
        <v/>
      </c>
      <c r="K18" s="199">
        <f>'[USD_SOFR_Curve_Bloomberg_Pricer.xlsx]Curve_Interface'!$K$19</f>
        <v/>
      </c>
      <c r="L18" s="200">
        <f>'[USD_SOFR_Curve_Bloomberg_Pricer.xlsx]Curve_Interface'!$L$19</f>
        <v/>
      </c>
      <c r="N18" t="inlineStr">
        <is>
          <t>Data &gt; Edit Links &gt; Change Source if the file moves.</t>
        </is>
      </c>
    </row>
    <row r="19">
      <c r="A19" s="43" t="n">
        <v>10</v>
      </c>
      <c r="B19" s="18">
        <f>EDATE($F$7,3*9)</f>
        <v/>
      </c>
      <c r="C19" s="34">
        <f>(B19-VAL_DATE)/365</f>
        <v/>
      </c>
      <c r="D19" s="18">
        <f>INDEX($K$8:$K$73,MATCH(B19,$K$8:$K$73,1))</f>
        <v/>
      </c>
      <c r="E19" s="18">
        <f>INDEX($K$8:$K$73,MATCH(B19,$K$8:$K$73,1)+1)</f>
        <v/>
      </c>
      <c r="F19" s="17">
        <f>-LN(INDEX($L$8:$L$73,MATCH(B19,$K$8:$K$73,1)+1)/INDEX($L$8:$L$73,MATCH(B19,$K$8:$K$73,1)))/((E19-D19)/365)*100</f>
        <v/>
      </c>
      <c r="G19" s="76">
        <f>IFERROR(IF($J$7="Piecewise Linear (Simple)",IF(((B19-VAL_DATE)/360)&lt;=0,1,1/(1+(IF(MAX((19&gt;0)*(D19-VAL_DATE)/360,0)&lt;=0,IF(((E19-VAL_DATE)/360)&lt;=0,0,(1/INDEX($L$8:$L$73,MATCH(B19,$K$8:$K$73,1)+1)-1)/((E19-VAL_DATE)/360)),IF(MAX((19&gt;0)*(D19-VAL_DATE)/360,0)&lt;=0,0,(1/INDEX($L$8:$L$73,MATCH(B19,$K$8:$K$73,1))-1)/MAX((19&gt;0)*(D19-VAL_DATE)/360,0)))+(IF(((E19-VAL_DATE)/360)&lt;=0,0,(1/INDEX($L$8:$L$73,MATCH(B19,$K$8:$K$73,1)+1)-1)/((E19-VAL_DATE)/360))-IF(MAX((19&gt;0)*(D19-VAL_DATE)/360,0)&lt;=0,IF(((E19-VAL_DATE)/360)&lt;=0,0,(1/INDEX($L$8:$L$73,MATCH(B19,$K$8:$K$73,1)+1)-1)/((E19-VAL_DATE)/360)),IF(MAX((19&gt;0)*(D19-VAL_DATE)/360,0)&lt;=0,0,(1/INDEX($L$8:$L$73,MATCH(B19,$K$8:$K$73,1))-1)/MAX((19&gt;0)*(D19-VAL_DATE)/360,0))))*IF(((E19-VAL_DATE)/360)-MAX((19&gt;0)*(D19-VAL_DATE)/360,0)=0,0,(((B19-VAL_DATE)/360)-MAX((19&gt;0)*(D19-VAL_DATE)/360,0))/(((E19-VAL_DATE)/360)-MAX((19&gt;0)*(D19-VAL_DATE)/360,0))))*((B19-VAL_DATE)/360))),INDEX($L$8:$L$73,MATCH(B19,$K$8:$K$73,1))*EXP(-(F19/100)*(B19-D19)/365)),"")</f>
        <v/>
      </c>
      <c r="H19" s="17">
        <f>-LN(G19)/C19*100</f>
        <v/>
      </c>
      <c r="K19" s="199">
        <f>'[USD_SOFR_Curve_Bloomberg_Pricer.xlsx]Curve_Interface'!$K$20</f>
        <v/>
      </c>
      <c r="L19" s="200">
        <f>'[USD_SOFR_Curve_Bloomberg_Pricer.xlsx]Curve_Interface'!$L$20</f>
        <v/>
      </c>
    </row>
    <row r="20">
      <c r="A20" s="43" t="n">
        <v>11</v>
      </c>
      <c r="B20" s="18">
        <f>EDATE($F$7,3*10)</f>
        <v/>
      </c>
      <c r="C20" s="34">
        <f>(B20-VAL_DATE)/365</f>
        <v/>
      </c>
      <c r="D20" s="18">
        <f>INDEX($K$8:$K$73,MATCH(B20,$K$8:$K$73,1))</f>
        <v/>
      </c>
      <c r="E20" s="18">
        <f>INDEX($K$8:$K$73,MATCH(B20,$K$8:$K$73,1)+1)</f>
        <v/>
      </c>
      <c r="F20" s="17">
        <f>-LN(INDEX($L$8:$L$73,MATCH(B20,$K$8:$K$73,1)+1)/INDEX($L$8:$L$73,MATCH(B20,$K$8:$K$73,1)))/((E20-D20)/365)*100</f>
        <v/>
      </c>
      <c r="G20" s="76">
        <f>IFERROR(IF($J$7="Piecewise Linear (Simple)",IF(((B20-VAL_DATE)/360)&lt;=0,1,1/(1+(IF(MAX((20&gt;0)*(D20-VAL_DATE)/360,0)&lt;=0,IF(((E20-VAL_DATE)/360)&lt;=0,0,(1/INDEX($L$8:$L$73,MATCH(B20,$K$8:$K$73,1)+1)-1)/((E20-VAL_DATE)/360)),IF(MAX((20&gt;0)*(D20-VAL_DATE)/360,0)&lt;=0,0,(1/INDEX($L$8:$L$73,MATCH(B20,$K$8:$K$73,1))-1)/MAX((20&gt;0)*(D20-VAL_DATE)/360,0)))+(IF(((E20-VAL_DATE)/360)&lt;=0,0,(1/INDEX($L$8:$L$73,MATCH(B20,$K$8:$K$73,1)+1)-1)/((E20-VAL_DATE)/360))-IF(MAX((20&gt;0)*(D20-VAL_DATE)/360,0)&lt;=0,IF(((E20-VAL_DATE)/360)&lt;=0,0,(1/INDEX($L$8:$L$73,MATCH(B20,$K$8:$K$73,1)+1)-1)/((E20-VAL_DATE)/360)),IF(MAX((20&gt;0)*(D20-VAL_DATE)/360,0)&lt;=0,0,(1/INDEX($L$8:$L$73,MATCH(B20,$K$8:$K$73,1))-1)/MAX((20&gt;0)*(D20-VAL_DATE)/360,0))))*IF(((E20-VAL_DATE)/360)-MAX((20&gt;0)*(D20-VAL_DATE)/360,0)=0,0,(((B20-VAL_DATE)/360)-MAX((20&gt;0)*(D20-VAL_DATE)/360,0))/(((E20-VAL_DATE)/360)-MAX((20&gt;0)*(D20-VAL_DATE)/360,0))))*((B20-VAL_DATE)/360))),INDEX($L$8:$L$73,MATCH(B20,$K$8:$K$73,1))*EXP(-(F20/100)*(B20-D20)/365)),"")</f>
        <v/>
      </c>
      <c r="H20" s="17">
        <f>-LN(G20)/C20*100</f>
        <v/>
      </c>
      <c r="K20" s="199">
        <f>'[USD_SOFR_Curve_Bloomberg_Pricer.xlsx]Curve_Interface'!$K$21</f>
        <v/>
      </c>
      <c r="L20" s="200">
        <f>'[USD_SOFR_Curve_Bloomberg_Pricer.xlsx]Curve_Interface'!$L$21</f>
        <v/>
      </c>
    </row>
    <row r="21">
      <c r="A21" s="43" t="n">
        <v>12</v>
      </c>
      <c r="B21" s="18">
        <f>EDATE($F$7,3*11)</f>
        <v/>
      </c>
      <c r="C21" s="34">
        <f>(B21-VAL_DATE)/365</f>
        <v/>
      </c>
      <c r="D21" s="18">
        <f>INDEX($K$8:$K$73,MATCH(B21,$K$8:$K$73,1))</f>
        <v/>
      </c>
      <c r="E21" s="18">
        <f>INDEX($K$8:$K$73,MATCH(B21,$K$8:$K$73,1)+1)</f>
        <v/>
      </c>
      <c r="F21" s="17">
        <f>-LN(INDEX($L$8:$L$73,MATCH(B21,$K$8:$K$73,1)+1)/INDEX($L$8:$L$73,MATCH(B21,$K$8:$K$73,1)))/((E21-D21)/365)*100</f>
        <v/>
      </c>
      <c r="G21" s="76">
        <f>IFERROR(IF($J$7="Piecewise Linear (Simple)",IF(((B21-VAL_DATE)/360)&lt;=0,1,1/(1+(IF(MAX((21&gt;0)*(D21-VAL_DATE)/360,0)&lt;=0,IF(((E21-VAL_DATE)/360)&lt;=0,0,(1/INDEX($L$8:$L$73,MATCH(B21,$K$8:$K$73,1)+1)-1)/((E21-VAL_DATE)/360)),IF(MAX((21&gt;0)*(D21-VAL_DATE)/360,0)&lt;=0,0,(1/INDEX($L$8:$L$73,MATCH(B21,$K$8:$K$73,1))-1)/MAX((21&gt;0)*(D21-VAL_DATE)/360,0)))+(IF(((E21-VAL_DATE)/360)&lt;=0,0,(1/INDEX($L$8:$L$73,MATCH(B21,$K$8:$K$73,1)+1)-1)/((E21-VAL_DATE)/360))-IF(MAX((21&gt;0)*(D21-VAL_DATE)/360,0)&lt;=0,IF(((E21-VAL_DATE)/360)&lt;=0,0,(1/INDEX($L$8:$L$73,MATCH(B21,$K$8:$K$73,1)+1)-1)/((E21-VAL_DATE)/360)),IF(MAX((21&gt;0)*(D21-VAL_DATE)/360,0)&lt;=0,0,(1/INDEX($L$8:$L$73,MATCH(B21,$K$8:$K$73,1))-1)/MAX((21&gt;0)*(D21-VAL_DATE)/360,0))))*IF(((E21-VAL_DATE)/360)-MAX((21&gt;0)*(D21-VAL_DATE)/360,0)=0,0,(((B21-VAL_DATE)/360)-MAX((21&gt;0)*(D21-VAL_DATE)/360,0))/(((E21-VAL_DATE)/360)-MAX((21&gt;0)*(D21-VAL_DATE)/360,0))))*((B21-VAL_DATE)/360))),INDEX($L$8:$L$73,MATCH(B21,$K$8:$K$73,1))*EXP(-(F21/100)*(B21-D21)/365)),"")</f>
        <v/>
      </c>
      <c r="H21" s="17">
        <f>-LN(G21)/C21*100</f>
        <v/>
      </c>
      <c r="K21" s="199">
        <f>'[USD_SOFR_Curve_Bloomberg_Pricer.xlsx]Curve_Interface'!$K$22</f>
        <v/>
      </c>
      <c r="L21" s="200">
        <f>'[USD_SOFR_Curve_Bloomberg_Pricer.xlsx]Curve_Interface'!$L$22</f>
        <v/>
      </c>
    </row>
    <row r="22">
      <c r="A22" s="43" t="n">
        <v>13</v>
      </c>
      <c r="B22" s="18">
        <f>EDATE($F$7,3*12)</f>
        <v/>
      </c>
      <c r="C22" s="34">
        <f>(B22-VAL_DATE)/365</f>
        <v/>
      </c>
      <c r="D22" s="18">
        <f>INDEX($K$8:$K$73,MATCH(B22,$K$8:$K$73,1))</f>
        <v/>
      </c>
      <c r="E22" s="18">
        <f>INDEX($K$8:$K$73,MATCH(B22,$K$8:$K$73,1)+1)</f>
        <v/>
      </c>
      <c r="F22" s="17">
        <f>-LN(INDEX($L$8:$L$73,MATCH(B22,$K$8:$K$73,1)+1)/INDEX($L$8:$L$73,MATCH(B22,$K$8:$K$73,1)))/((E22-D22)/365)*100</f>
        <v/>
      </c>
      <c r="G22" s="76">
        <f>IFERROR(IF($J$7="Piecewise Linear (Simple)",IF(((B22-VAL_DATE)/360)&lt;=0,1,1/(1+(IF(MAX((22&gt;0)*(D22-VAL_DATE)/360,0)&lt;=0,IF(((E22-VAL_DATE)/360)&lt;=0,0,(1/INDEX($L$8:$L$73,MATCH(B22,$K$8:$K$73,1)+1)-1)/((E22-VAL_DATE)/360)),IF(MAX((22&gt;0)*(D22-VAL_DATE)/360,0)&lt;=0,0,(1/INDEX($L$8:$L$73,MATCH(B22,$K$8:$K$73,1))-1)/MAX((22&gt;0)*(D22-VAL_DATE)/360,0)))+(IF(((E22-VAL_DATE)/360)&lt;=0,0,(1/INDEX($L$8:$L$73,MATCH(B22,$K$8:$K$73,1)+1)-1)/((E22-VAL_DATE)/360))-IF(MAX((22&gt;0)*(D22-VAL_DATE)/360,0)&lt;=0,IF(((E22-VAL_DATE)/360)&lt;=0,0,(1/INDEX($L$8:$L$73,MATCH(B22,$K$8:$K$73,1)+1)-1)/((E22-VAL_DATE)/360)),IF(MAX((22&gt;0)*(D22-VAL_DATE)/360,0)&lt;=0,0,(1/INDEX($L$8:$L$73,MATCH(B22,$K$8:$K$73,1))-1)/MAX((22&gt;0)*(D22-VAL_DATE)/360,0))))*IF(((E22-VAL_DATE)/360)-MAX((22&gt;0)*(D22-VAL_DATE)/360,0)=0,0,(((B22-VAL_DATE)/360)-MAX((22&gt;0)*(D22-VAL_DATE)/360,0))/(((E22-VAL_DATE)/360)-MAX((22&gt;0)*(D22-VAL_DATE)/360,0))))*((B22-VAL_DATE)/360))),INDEX($L$8:$L$73,MATCH(B22,$K$8:$K$73,1))*EXP(-(F22/100)*(B22-D22)/365)),"")</f>
        <v/>
      </c>
      <c r="H22" s="17">
        <f>-LN(G22)/C22*100</f>
        <v/>
      </c>
      <c r="K22" s="199">
        <f>'[USD_SOFR_Curve_Bloomberg_Pricer.xlsx]Curve_Interface'!$K$23</f>
        <v/>
      </c>
      <c r="L22" s="200">
        <f>'[USD_SOFR_Curve_Bloomberg_Pricer.xlsx]Curve_Interface'!$L$23</f>
        <v/>
      </c>
    </row>
    <row r="23">
      <c r="A23" s="43" t="n">
        <v>14</v>
      </c>
      <c r="B23" s="18">
        <f>EDATE($F$7,3*13)</f>
        <v/>
      </c>
      <c r="C23" s="34">
        <f>(B23-VAL_DATE)/365</f>
        <v/>
      </c>
      <c r="D23" s="18">
        <f>INDEX($K$8:$K$73,MATCH(B23,$K$8:$K$73,1))</f>
        <v/>
      </c>
      <c r="E23" s="18">
        <f>INDEX($K$8:$K$73,MATCH(B23,$K$8:$K$73,1)+1)</f>
        <v/>
      </c>
      <c r="F23" s="17">
        <f>-LN(INDEX($L$8:$L$73,MATCH(B23,$K$8:$K$73,1)+1)/INDEX($L$8:$L$73,MATCH(B23,$K$8:$K$73,1)))/((E23-D23)/365)*100</f>
        <v/>
      </c>
      <c r="G23" s="76">
        <f>IFERROR(IF($J$7="Piecewise Linear (Simple)",IF(((B23-VAL_DATE)/360)&lt;=0,1,1/(1+(IF(MAX((23&gt;0)*(D23-VAL_DATE)/360,0)&lt;=0,IF(((E23-VAL_DATE)/360)&lt;=0,0,(1/INDEX($L$8:$L$73,MATCH(B23,$K$8:$K$73,1)+1)-1)/((E23-VAL_DATE)/360)),IF(MAX((23&gt;0)*(D23-VAL_DATE)/360,0)&lt;=0,0,(1/INDEX($L$8:$L$73,MATCH(B23,$K$8:$K$73,1))-1)/MAX((23&gt;0)*(D23-VAL_DATE)/360,0)))+(IF(((E23-VAL_DATE)/360)&lt;=0,0,(1/INDEX($L$8:$L$73,MATCH(B23,$K$8:$K$73,1)+1)-1)/((E23-VAL_DATE)/360))-IF(MAX((23&gt;0)*(D23-VAL_DATE)/360,0)&lt;=0,IF(((E23-VAL_DATE)/360)&lt;=0,0,(1/INDEX($L$8:$L$73,MATCH(B23,$K$8:$K$73,1)+1)-1)/((E23-VAL_DATE)/360)),IF(MAX((23&gt;0)*(D23-VAL_DATE)/360,0)&lt;=0,0,(1/INDEX($L$8:$L$73,MATCH(B23,$K$8:$K$73,1))-1)/MAX((23&gt;0)*(D23-VAL_DATE)/360,0))))*IF(((E23-VAL_DATE)/360)-MAX((23&gt;0)*(D23-VAL_DATE)/360,0)=0,0,(((B23-VAL_DATE)/360)-MAX((23&gt;0)*(D23-VAL_DATE)/360,0))/(((E23-VAL_DATE)/360)-MAX((23&gt;0)*(D23-VAL_DATE)/360,0))))*((B23-VAL_DATE)/360))),INDEX($L$8:$L$73,MATCH(B23,$K$8:$K$73,1))*EXP(-(F23/100)*(B23-D23)/365)),"")</f>
        <v/>
      </c>
      <c r="H23" s="17">
        <f>-LN(G23)/C23*100</f>
        <v/>
      </c>
      <c r="K23" s="199">
        <f>'[USD_SOFR_Curve_Bloomberg_Pricer.xlsx]Curve_Interface'!$K$24</f>
        <v/>
      </c>
      <c r="L23" s="200">
        <f>'[USD_SOFR_Curve_Bloomberg_Pricer.xlsx]Curve_Interface'!$L$24</f>
        <v/>
      </c>
    </row>
    <row r="24">
      <c r="A24" s="43" t="n">
        <v>15</v>
      </c>
      <c r="B24" s="18">
        <f>EDATE($F$7,3*14)</f>
        <v/>
      </c>
      <c r="C24" s="34">
        <f>(B24-VAL_DATE)/365</f>
        <v/>
      </c>
      <c r="D24" s="18">
        <f>INDEX($K$8:$K$73,MATCH(B24,$K$8:$K$73,1))</f>
        <v/>
      </c>
      <c r="E24" s="18">
        <f>INDEX($K$8:$K$73,MATCH(B24,$K$8:$K$73,1)+1)</f>
        <v/>
      </c>
      <c r="F24" s="17">
        <f>-LN(INDEX($L$8:$L$73,MATCH(B24,$K$8:$K$73,1)+1)/INDEX($L$8:$L$73,MATCH(B24,$K$8:$K$73,1)))/((E24-D24)/365)*100</f>
        <v/>
      </c>
      <c r="G24" s="76">
        <f>IFERROR(IF($J$7="Piecewise Linear (Simple)",IF(((B24-VAL_DATE)/360)&lt;=0,1,1/(1+(IF(MAX((24&gt;0)*(D24-VAL_DATE)/360,0)&lt;=0,IF(((E24-VAL_DATE)/360)&lt;=0,0,(1/INDEX($L$8:$L$73,MATCH(B24,$K$8:$K$73,1)+1)-1)/((E24-VAL_DATE)/360)),IF(MAX((24&gt;0)*(D24-VAL_DATE)/360,0)&lt;=0,0,(1/INDEX($L$8:$L$73,MATCH(B24,$K$8:$K$73,1))-1)/MAX((24&gt;0)*(D24-VAL_DATE)/360,0)))+(IF(((E24-VAL_DATE)/360)&lt;=0,0,(1/INDEX($L$8:$L$73,MATCH(B24,$K$8:$K$73,1)+1)-1)/((E24-VAL_DATE)/360))-IF(MAX((24&gt;0)*(D24-VAL_DATE)/360,0)&lt;=0,IF(((E24-VAL_DATE)/360)&lt;=0,0,(1/INDEX($L$8:$L$73,MATCH(B24,$K$8:$K$73,1)+1)-1)/((E24-VAL_DATE)/360)),IF(MAX((24&gt;0)*(D24-VAL_DATE)/360,0)&lt;=0,0,(1/INDEX($L$8:$L$73,MATCH(B24,$K$8:$K$73,1))-1)/MAX((24&gt;0)*(D24-VAL_DATE)/360,0))))*IF(((E24-VAL_DATE)/360)-MAX((24&gt;0)*(D24-VAL_DATE)/360,0)=0,0,(((B24-VAL_DATE)/360)-MAX((24&gt;0)*(D24-VAL_DATE)/360,0))/(((E24-VAL_DATE)/360)-MAX((24&gt;0)*(D24-VAL_DATE)/360,0))))*((B24-VAL_DATE)/360))),INDEX($L$8:$L$73,MATCH(B24,$K$8:$K$73,1))*EXP(-(F24/100)*(B24-D24)/365)),"")</f>
        <v/>
      </c>
      <c r="H24" s="17">
        <f>-LN(G24)/C24*100</f>
        <v/>
      </c>
      <c r="K24" s="199">
        <f>'[USD_SOFR_Curve_Bloomberg_Pricer.xlsx]Curve_Interface'!$K$25</f>
        <v/>
      </c>
      <c r="L24" s="200">
        <f>'[USD_SOFR_Curve_Bloomberg_Pricer.xlsx]Curve_Interface'!$L$25</f>
        <v/>
      </c>
    </row>
    <row r="25">
      <c r="A25" s="43" t="n">
        <v>16</v>
      </c>
      <c r="B25" s="18">
        <f>EDATE($F$7,3*15)</f>
        <v/>
      </c>
      <c r="C25" s="34">
        <f>(B25-VAL_DATE)/365</f>
        <v/>
      </c>
      <c r="D25" s="18">
        <f>INDEX($K$8:$K$73,MATCH(B25,$K$8:$K$73,1))</f>
        <v/>
      </c>
      <c r="E25" s="18">
        <f>INDEX($K$8:$K$73,MATCH(B25,$K$8:$K$73,1)+1)</f>
        <v/>
      </c>
      <c r="F25" s="17">
        <f>-LN(INDEX($L$8:$L$73,MATCH(B25,$K$8:$K$73,1)+1)/INDEX($L$8:$L$73,MATCH(B25,$K$8:$K$73,1)))/((E25-D25)/365)*100</f>
        <v/>
      </c>
      <c r="G25" s="76">
        <f>IFERROR(IF($J$7="Piecewise Linear (Simple)",IF(((B25-VAL_DATE)/360)&lt;=0,1,1/(1+(IF(MAX((25&gt;0)*(D25-VAL_DATE)/360,0)&lt;=0,IF(((E25-VAL_DATE)/360)&lt;=0,0,(1/INDEX($L$8:$L$73,MATCH(B25,$K$8:$K$73,1)+1)-1)/((E25-VAL_DATE)/360)),IF(MAX((25&gt;0)*(D25-VAL_DATE)/360,0)&lt;=0,0,(1/INDEX($L$8:$L$73,MATCH(B25,$K$8:$K$73,1))-1)/MAX((25&gt;0)*(D25-VAL_DATE)/360,0)))+(IF(((E25-VAL_DATE)/360)&lt;=0,0,(1/INDEX($L$8:$L$73,MATCH(B25,$K$8:$K$73,1)+1)-1)/((E25-VAL_DATE)/360))-IF(MAX((25&gt;0)*(D25-VAL_DATE)/360,0)&lt;=0,IF(((E25-VAL_DATE)/360)&lt;=0,0,(1/INDEX($L$8:$L$73,MATCH(B25,$K$8:$K$73,1)+1)-1)/((E25-VAL_DATE)/360)),IF(MAX((25&gt;0)*(D25-VAL_DATE)/360,0)&lt;=0,0,(1/INDEX($L$8:$L$73,MATCH(B25,$K$8:$K$73,1))-1)/MAX((25&gt;0)*(D25-VAL_DATE)/360,0))))*IF(((E25-VAL_DATE)/360)-MAX((25&gt;0)*(D25-VAL_DATE)/360,0)=0,0,(((B25-VAL_DATE)/360)-MAX((25&gt;0)*(D25-VAL_DATE)/360,0))/(((E25-VAL_DATE)/360)-MAX((25&gt;0)*(D25-VAL_DATE)/360,0))))*((B25-VAL_DATE)/360))),INDEX($L$8:$L$73,MATCH(B25,$K$8:$K$73,1))*EXP(-(F25/100)*(B25-D25)/365)),"")</f>
        <v/>
      </c>
      <c r="H25" s="17">
        <f>-LN(G25)/C25*100</f>
        <v/>
      </c>
      <c r="K25" s="199">
        <f>'[USD_SOFR_Curve_Bloomberg_Pricer.xlsx]Curve_Interface'!$K$26</f>
        <v/>
      </c>
      <c r="L25" s="200">
        <f>'[USD_SOFR_Curve_Bloomberg_Pricer.xlsx]Curve_Interface'!$L$26</f>
        <v/>
      </c>
    </row>
    <row r="26">
      <c r="A26" s="43" t="n">
        <v>17</v>
      </c>
      <c r="B26" s="18">
        <f>EDATE($F$7,3*16)</f>
        <v/>
      </c>
      <c r="C26" s="34">
        <f>(B26-VAL_DATE)/365</f>
        <v/>
      </c>
      <c r="D26" s="18">
        <f>INDEX($K$8:$K$73,MATCH(B26,$K$8:$K$73,1))</f>
        <v/>
      </c>
      <c r="E26" s="18">
        <f>INDEX($K$8:$K$73,MATCH(B26,$K$8:$K$73,1)+1)</f>
        <v/>
      </c>
      <c r="F26" s="17">
        <f>-LN(INDEX($L$8:$L$73,MATCH(B26,$K$8:$K$73,1)+1)/INDEX($L$8:$L$73,MATCH(B26,$K$8:$K$73,1)))/((E26-D26)/365)*100</f>
        <v/>
      </c>
      <c r="G26" s="76">
        <f>IFERROR(IF($J$7="Piecewise Linear (Simple)",IF(((B26-VAL_DATE)/360)&lt;=0,1,1/(1+(IF(MAX((26&gt;0)*(D26-VAL_DATE)/360,0)&lt;=0,IF(((E26-VAL_DATE)/360)&lt;=0,0,(1/INDEX($L$8:$L$73,MATCH(B26,$K$8:$K$73,1)+1)-1)/((E26-VAL_DATE)/360)),IF(MAX((26&gt;0)*(D26-VAL_DATE)/360,0)&lt;=0,0,(1/INDEX($L$8:$L$73,MATCH(B26,$K$8:$K$73,1))-1)/MAX((26&gt;0)*(D26-VAL_DATE)/360,0)))+(IF(((E26-VAL_DATE)/360)&lt;=0,0,(1/INDEX($L$8:$L$73,MATCH(B26,$K$8:$K$73,1)+1)-1)/((E26-VAL_DATE)/360))-IF(MAX((26&gt;0)*(D26-VAL_DATE)/360,0)&lt;=0,IF(((E26-VAL_DATE)/360)&lt;=0,0,(1/INDEX($L$8:$L$73,MATCH(B26,$K$8:$K$73,1)+1)-1)/((E26-VAL_DATE)/360)),IF(MAX((26&gt;0)*(D26-VAL_DATE)/360,0)&lt;=0,0,(1/INDEX($L$8:$L$73,MATCH(B26,$K$8:$K$73,1))-1)/MAX((26&gt;0)*(D26-VAL_DATE)/360,0))))*IF(((E26-VAL_DATE)/360)-MAX((26&gt;0)*(D26-VAL_DATE)/360,0)=0,0,(((B26-VAL_DATE)/360)-MAX((26&gt;0)*(D26-VAL_DATE)/360,0))/(((E26-VAL_DATE)/360)-MAX((26&gt;0)*(D26-VAL_DATE)/360,0))))*((B26-VAL_DATE)/360))),INDEX($L$8:$L$73,MATCH(B26,$K$8:$K$73,1))*EXP(-(F26/100)*(B26-D26)/365)),"")</f>
        <v/>
      </c>
      <c r="H26" s="17">
        <f>-LN(G26)/C26*100</f>
        <v/>
      </c>
      <c r="K26" s="199">
        <f>'[USD_SOFR_Curve_Bloomberg_Pricer.xlsx]Curve_Interface'!$K$27</f>
        <v/>
      </c>
      <c r="L26" s="200">
        <f>'[USD_SOFR_Curve_Bloomberg_Pricer.xlsx]Curve_Interface'!$L$27</f>
        <v/>
      </c>
    </row>
    <row r="27">
      <c r="A27" s="43" t="n">
        <v>18</v>
      </c>
      <c r="B27" s="18">
        <f>EDATE($F$7,3*17)</f>
        <v/>
      </c>
      <c r="C27" s="34">
        <f>(B27-VAL_DATE)/365</f>
        <v/>
      </c>
      <c r="D27" s="18">
        <f>INDEX($K$8:$K$73,MATCH(B27,$K$8:$K$73,1))</f>
        <v/>
      </c>
      <c r="E27" s="18">
        <f>INDEX($K$8:$K$73,MATCH(B27,$K$8:$K$73,1)+1)</f>
        <v/>
      </c>
      <c r="F27" s="17">
        <f>-LN(INDEX($L$8:$L$73,MATCH(B27,$K$8:$K$73,1)+1)/INDEX($L$8:$L$73,MATCH(B27,$K$8:$K$73,1)))/((E27-D27)/365)*100</f>
        <v/>
      </c>
      <c r="G27" s="76">
        <f>IFERROR(IF($J$7="Piecewise Linear (Simple)",IF(((B27-VAL_DATE)/360)&lt;=0,1,1/(1+(IF(MAX((27&gt;0)*(D27-VAL_DATE)/360,0)&lt;=0,IF(((E27-VAL_DATE)/360)&lt;=0,0,(1/INDEX($L$8:$L$73,MATCH(B27,$K$8:$K$73,1)+1)-1)/((E27-VAL_DATE)/360)),IF(MAX((27&gt;0)*(D27-VAL_DATE)/360,0)&lt;=0,0,(1/INDEX($L$8:$L$73,MATCH(B27,$K$8:$K$73,1))-1)/MAX((27&gt;0)*(D27-VAL_DATE)/360,0)))+(IF(((E27-VAL_DATE)/360)&lt;=0,0,(1/INDEX($L$8:$L$73,MATCH(B27,$K$8:$K$73,1)+1)-1)/((E27-VAL_DATE)/360))-IF(MAX((27&gt;0)*(D27-VAL_DATE)/360,0)&lt;=0,IF(((E27-VAL_DATE)/360)&lt;=0,0,(1/INDEX($L$8:$L$73,MATCH(B27,$K$8:$K$73,1)+1)-1)/((E27-VAL_DATE)/360)),IF(MAX((27&gt;0)*(D27-VAL_DATE)/360,0)&lt;=0,0,(1/INDEX($L$8:$L$73,MATCH(B27,$K$8:$K$73,1))-1)/MAX((27&gt;0)*(D27-VAL_DATE)/360,0))))*IF(((E27-VAL_DATE)/360)-MAX((27&gt;0)*(D27-VAL_DATE)/360,0)=0,0,(((B27-VAL_DATE)/360)-MAX((27&gt;0)*(D27-VAL_DATE)/360,0))/(((E27-VAL_DATE)/360)-MAX((27&gt;0)*(D27-VAL_DATE)/360,0))))*((B27-VAL_DATE)/360))),INDEX($L$8:$L$73,MATCH(B27,$K$8:$K$73,1))*EXP(-(F27/100)*(B27-D27)/365)),"")</f>
        <v/>
      </c>
      <c r="H27" s="17">
        <f>-LN(G27)/C27*100</f>
        <v/>
      </c>
      <c r="K27" s="199">
        <f>'[USD_SOFR_Curve_Bloomberg_Pricer.xlsx]Curve_Interface'!$K$28</f>
        <v/>
      </c>
      <c r="L27" s="200">
        <f>'[USD_SOFR_Curve_Bloomberg_Pricer.xlsx]Curve_Interface'!$L$28</f>
        <v/>
      </c>
    </row>
    <row r="28">
      <c r="A28" s="43" t="n">
        <v>19</v>
      </c>
      <c r="B28" s="18">
        <f>EDATE($F$7,3*18)</f>
        <v/>
      </c>
      <c r="C28" s="34">
        <f>(B28-VAL_DATE)/365</f>
        <v/>
      </c>
      <c r="D28" s="18">
        <f>INDEX($K$8:$K$73,MATCH(B28,$K$8:$K$73,1))</f>
        <v/>
      </c>
      <c r="E28" s="18">
        <f>INDEX($K$8:$K$73,MATCH(B28,$K$8:$K$73,1)+1)</f>
        <v/>
      </c>
      <c r="F28" s="17">
        <f>-LN(INDEX($L$8:$L$73,MATCH(B28,$K$8:$K$73,1)+1)/INDEX($L$8:$L$73,MATCH(B28,$K$8:$K$73,1)))/((E28-D28)/365)*100</f>
        <v/>
      </c>
      <c r="G28" s="76">
        <f>IFERROR(IF($J$7="Piecewise Linear (Simple)",IF(((B28-VAL_DATE)/360)&lt;=0,1,1/(1+(IF(MAX((28&gt;0)*(D28-VAL_DATE)/360,0)&lt;=0,IF(((E28-VAL_DATE)/360)&lt;=0,0,(1/INDEX($L$8:$L$73,MATCH(B28,$K$8:$K$73,1)+1)-1)/((E28-VAL_DATE)/360)),IF(MAX((28&gt;0)*(D28-VAL_DATE)/360,0)&lt;=0,0,(1/INDEX($L$8:$L$73,MATCH(B28,$K$8:$K$73,1))-1)/MAX((28&gt;0)*(D28-VAL_DATE)/360,0)))+(IF(((E28-VAL_DATE)/360)&lt;=0,0,(1/INDEX($L$8:$L$73,MATCH(B28,$K$8:$K$73,1)+1)-1)/((E28-VAL_DATE)/360))-IF(MAX((28&gt;0)*(D28-VAL_DATE)/360,0)&lt;=0,IF(((E28-VAL_DATE)/360)&lt;=0,0,(1/INDEX($L$8:$L$73,MATCH(B28,$K$8:$K$73,1)+1)-1)/((E28-VAL_DATE)/360)),IF(MAX((28&gt;0)*(D28-VAL_DATE)/360,0)&lt;=0,0,(1/INDEX($L$8:$L$73,MATCH(B28,$K$8:$K$73,1))-1)/MAX((28&gt;0)*(D28-VAL_DATE)/360,0))))*IF(((E28-VAL_DATE)/360)-MAX((28&gt;0)*(D28-VAL_DATE)/360,0)=0,0,(((B28-VAL_DATE)/360)-MAX((28&gt;0)*(D28-VAL_DATE)/360,0))/(((E28-VAL_DATE)/360)-MAX((28&gt;0)*(D28-VAL_DATE)/360,0))))*((B28-VAL_DATE)/360))),INDEX($L$8:$L$73,MATCH(B28,$K$8:$K$73,1))*EXP(-(F28/100)*(B28-D28)/365)),"")</f>
        <v/>
      </c>
      <c r="H28" s="17">
        <f>-LN(G28)/C28*100</f>
        <v/>
      </c>
      <c r="K28" s="199">
        <f>'[USD_SOFR_Curve_Bloomberg_Pricer.xlsx]Curve_Interface'!$K$29</f>
        <v/>
      </c>
      <c r="L28" s="200">
        <f>'[USD_SOFR_Curve_Bloomberg_Pricer.xlsx]Curve_Interface'!$L$29</f>
        <v/>
      </c>
    </row>
    <row r="29">
      <c r="A29" s="43" t="n">
        <v>20</v>
      </c>
      <c r="B29" s="18">
        <f>EDATE($F$7,3*19)</f>
        <v/>
      </c>
      <c r="C29" s="34">
        <f>(B29-VAL_DATE)/365</f>
        <v/>
      </c>
      <c r="D29" s="18">
        <f>INDEX($K$8:$K$73,MATCH(B29,$K$8:$K$73,1))</f>
        <v/>
      </c>
      <c r="E29" s="18">
        <f>INDEX($K$8:$K$73,MATCH(B29,$K$8:$K$73,1)+1)</f>
        <v/>
      </c>
      <c r="F29" s="17">
        <f>-LN(INDEX($L$8:$L$73,MATCH(B29,$K$8:$K$73,1)+1)/INDEX($L$8:$L$73,MATCH(B29,$K$8:$K$73,1)))/((E29-D29)/365)*100</f>
        <v/>
      </c>
      <c r="G29" s="76">
        <f>IFERROR(IF($J$7="Piecewise Linear (Simple)",IF(((B29-VAL_DATE)/360)&lt;=0,1,1/(1+(IF(MAX((29&gt;0)*(D29-VAL_DATE)/360,0)&lt;=0,IF(((E29-VAL_DATE)/360)&lt;=0,0,(1/INDEX($L$8:$L$73,MATCH(B29,$K$8:$K$73,1)+1)-1)/((E29-VAL_DATE)/360)),IF(MAX((29&gt;0)*(D29-VAL_DATE)/360,0)&lt;=0,0,(1/INDEX($L$8:$L$73,MATCH(B29,$K$8:$K$73,1))-1)/MAX((29&gt;0)*(D29-VAL_DATE)/360,0)))+(IF(((E29-VAL_DATE)/360)&lt;=0,0,(1/INDEX($L$8:$L$73,MATCH(B29,$K$8:$K$73,1)+1)-1)/((E29-VAL_DATE)/360))-IF(MAX((29&gt;0)*(D29-VAL_DATE)/360,0)&lt;=0,IF(((E29-VAL_DATE)/360)&lt;=0,0,(1/INDEX($L$8:$L$73,MATCH(B29,$K$8:$K$73,1)+1)-1)/((E29-VAL_DATE)/360)),IF(MAX((29&gt;0)*(D29-VAL_DATE)/360,0)&lt;=0,0,(1/INDEX($L$8:$L$73,MATCH(B29,$K$8:$K$73,1))-1)/MAX((29&gt;0)*(D29-VAL_DATE)/360,0))))*IF(((E29-VAL_DATE)/360)-MAX((29&gt;0)*(D29-VAL_DATE)/360,0)=0,0,(((B29-VAL_DATE)/360)-MAX((29&gt;0)*(D29-VAL_DATE)/360,0))/(((E29-VAL_DATE)/360)-MAX((29&gt;0)*(D29-VAL_DATE)/360,0))))*((B29-VAL_DATE)/360))),INDEX($L$8:$L$73,MATCH(B29,$K$8:$K$73,1))*EXP(-(F29/100)*(B29-D29)/365)),"")</f>
        <v/>
      </c>
      <c r="H29" s="17">
        <f>-LN(G29)/C29*100</f>
        <v/>
      </c>
      <c r="K29" s="199">
        <f>'[USD_SOFR_Curve_Bloomberg_Pricer.xlsx]Curve_Interface'!$K$30</f>
        <v/>
      </c>
      <c r="L29" s="200">
        <f>'[USD_SOFR_Curve_Bloomberg_Pricer.xlsx]Curve_Interface'!$L$30</f>
        <v/>
      </c>
    </row>
    <row r="30">
      <c r="A30" s="43" t="n">
        <v>21</v>
      </c>
      <c r="B30" s="18">
        <f>EDATE($F$7,3*20)</f>
        <v/>
      </c>
      <c r="C30" s="34">
        <f>(B30-VAL_DATE)/365</f>
        <v/>
      </c>
      <c r="D30" s="18">
        <f>INDEX($K$8:$K$73,MATCH(B30,$K$8:$K$73,1))</f>
        <v/>
      </c>
      <c r="E30" s="18">
        <f>INDEX($K$8:$K$73,MATCH(B30,$K$8:$K$73,1)+1)</f>
        <v/>
      </c>
      <c r="F30" s="17">
        <f>-LN(INDEX($L$8:$L$73,MATCH(B30,$K$8:$K$73,1)+1)/INDEX($L$8:$L$73,MATCH(B30,$K$8:$K$73,1)))/((E30-D30)/365)*100</f>
        <v/>
      </c>
      <c r="G30" s="76">
        <f>IFERROR(IF($J$7="Piecewise Linear (Simple)",IF(((B30-VAL_DATE)/360)&lt;=0,1,1/(1+(IF(MAX((30&gt;0)*(D30-VAL_DATE)/360,0)&lt;=0,IF(((E30-VAL_DATE)/360)&lt;=0,0,(1/INDEX($L$8:$L$73,MATCH(B30,$K$8:$K$73,1)+1)-1)/((E30-VAL_DATE)/360)),IF(MAX((30&gt;0)*(D30-VAL_DATE)/360,0)&lt;=0,0,(1/INDEX($L$8:$L$73,MATCH(B30,$K$8:$K$73,1))-1)/MAX((30&gt;0)*(D30-VAL_DATE)/360,0)))+(IF(((E30-VAL_DATE)/360)&lt;=0,0,(1/INDEX($L$8:$L$73,MATCH(B30,$K$8:$K$73,1)+1)-1)/((E30-VAL_DATE)/360))-IF(MAX((30&gt;0)*(D30-VAL_DATE)/360,0)&lt;=0,IF(((E30-VAL_DATE)/360)&lt;=0,0,(1/INDEX($L$8:$L$73,MATCH(B30,$K$8:$K$73,1)+1)-1)/((E30-VAL_DATE)/360)),IF(MAX((30&gt;0)*(D30-VAL_DATE)/360,0)&lt;=0,0,(1/INDEX($L$8:$L$73,MATCH(B30,$K$8:$K$73,1))-1)/MAX((30&gt;0)*(D30-VAL_DATE)/360,0))))*IF(((E30-VAL_DATE)/360)-MAX((30&gt;0)*(D30-VAL_DATE)/360,0)=0,0,(((B30-VAL_DATE)/360)-MAX((30&gt;0)*(D30-VAL_DATE)/360,0))/(((E30-VAL_DATE)/360)-MAX((30&gt;0)*(D30-VAL_DATE)/360,0))))*((B30-VAL_DATE)/360))),INDEX($L$8:$L$73,MATCH(B30,$K$8:$K$73,1))*EXP(-(F30/100)*(B30-D30)/365)),"")</f>
        <v/>
      </c>
      <c r="H30" s="17">
        <f>-LN(G30)/C30*100</f>
        <v/>
      </c>
      <c r="K30" s="199">
        <f>'[USD_SOFR_Curve_Bloomberg_Pricer.xlsx]Curve_Interface'!$K$31</f>
        <v/>
      </c>
      <c r="L30" s="200">
        <f>'[USD_SOFR_Curve_Bloomberg_Pricer.xlsx]Curve_Interface'!$L$31</f>
        <v/>
      </c>
    </row>
    <row r="31">
      <c r="A31" s="43" t="n">
        <v>22</v>
      </c>
      <c r="B31" s="18">
        <f>EDATE($F$7,3*21)</f>
        <v/>
      </c>
      <c r="C31" s="34">
        <f>(B31-VAL_DATE)/365</f>
        <v/>
      </c>
      <c r="D31" s="18">
        <f>INDEX($K$8:$K$73,MATCH(B31,$K$8:$K$73,1))</f>
        <v/>
      </c>
      <c r="E31" s="18">
        <f>INDEX($K$8:$K$73,MATCH(B31,$K$8:$K$73,1)+1)</f>
        <v/>
      </c>
      <c r="F31" s="17">
        <f>-LN(INDEX($L$8:$L$73,MATCH(B31,$K$8:$K$73,1)+1)/INDEX($L$8:$L$73,MATCH(B31,$K$8:$K$73,1)))/((E31-D31)/365)*100</f>
        <v/>
      </c>
      <c r="G31" s="76">
        <f>IFERROR(IF($J$7="Piecewise Linear (Simple)",IF(((B31-VAL_DATE)/360)&lt;=0,1,1/(1+(IF(MAX((31&gt;0)*(D31-VAL_DATE)/360,0)&lt;=0,IF(((E31-VAL_DATE)/360)&lt;=0,0,(1/INDEX($L$8:$L$73,MATCH(B31,$K$8:$K$73,1)+1)-1)/((E31-VAL_DATE)/360)),IF(MAX((31&gt;0)*(D31-VAL_DATE)/360,0)&lt;=0,0,(1/INDEX($L$8:$L$73,MATCH(B31,$K$8:$K$73,1))-1)/MAX((31&gt;0)*(D31-VAL_DATE)/360,0)))+(IF(((E31-VAL_DATE)/360)&lt;=0,0,(1/INDEX($L$8:$L$73,MATCH(B31,$K$8:$K$73,1)+1)-1)/((E31-VAL_DATE)/360))-IF(MAX((31&gt;0)*(D31-VAL_DATE)/360,0)&lt;=0,IF(((E31-VAL_DATE)/360)&lt;=0,0,(1/INDEX($L$8:$L$73,MATCH(B31,$K$8:$K$73,1)+1)-1)/((E31-VAL_DATE)/360)),IF(MAX((31&gt;0)*(D31-VAL_DATE)/360,0)&lt;=0,0,(1/INDEX($L$8:$L$73,MATCH(B31,$K$8:$K$73,1))-1)/MAX((31&gt;0)*(D31-VAL_DATE)/360,0))))*IF(((E31-VAL_DATE)/360)-MAX((31&gt;0)*(D31-VAL_DATE)/360,0)=0,0,(((B31-VAL_DATE)/360)-MAX((31&gt;0)*(D31-VAL_DATE)/360,0))/(((E31-VAL_DATE)/360)-MAX((31&gt;0)*(D31-VAL_DATE)/360,0))))*((B31-VAL_DATE)/360))),INDEX($L$8:$L$73,MATCH(B31,$K$8:$K$73,1))*EXP(-(F31/100)*(B31-D31)/365)),"")</f>
        <v/>
      </c>
      <c r="H31" s="17">
        <f>-LN(G31)/C31*100</f>
        <v/>
      </c>
      <c r="K31" s="199">
        <f>'[USD_SOFR_Curve_Bloomberg_Pricer.xlsx]Curve_Interface'!$K$32</f>
        <v/>
      </c>
      <c r="L31" s="200">
        <f>'[USD_SOFR_Curve_Bloomberg_Pricer.xlsx]Curve_Interface'!$L$32</f>
        <v/>
      </c>
    </row>
    <row r="32">
      <c r="A32" s="43" t="n">
        <v>23</v>
      </c>
      <c r="B32" s="18">
        <f>EDATE($F$7,3*22)</f>
        <v/>
      </c>
      <c r="C32" s="34">
        <f>(B32-VAL_DATE)/365</f>
        <v/>
      </c>
      <c r="D32" s="18">
        <f>INDEX($K$8:$K$73,MATCH(B32,$K$8:$K$73,1))</f>
        <v/>
      </c>
      <c r="E32" s="18">
        <f>INDEX($K$8:$K$73,MATCH(B32,$K$8:$K$73,1)+1)</f>
        <v/>
      </c>
      <c r="F32" s="17">
        <f>-LN(INDEX($L$8:$L$73,MATCH(B32,$K$8:$K$73,1)+1)/INDEX($L$8:$L$73,MATCH(B32,$K$8:$K$73,1)))/((E32-D32)/365)*100</f>
        <v/>
      </c>
      <c r="G32" s="76">
        <f>IFERROR(IF($J$7="Piecewise Linear (Simple)",IF(((B32-VAL_DATE)/360)&lt;=0,1,1/(1+(IF(MAX((32&gt;0)*(D32-VAL_DATE)/360,0)&lt;=0,IF(((E32-VAL_DATE)/360)&lt;=0,0,(1/INDEX($L$8:$L$73,MATCH(B32,$K$8:$K$73,1)+1)-1)/((E32-VAL_DATE)/360)),IF(MAX((32&gt;0)*(D32-VAL_DATE)/360,0)&lt;=0,0,(1/INDEX($L$8:$L$73,MATCH(B32,$K$8:$K$73,1))-1)/MAX((32&gt;0)*(D32-VAL_DATE)/360,0)))+(IF(((E32-VAL_DATE)/360)&lt;=0,0,(1/INDEX($L$8:$L$73,MATCH(B32,$K$8:$K$73,1)+1)-1)/((E32-VAL_DATE)/360))-IF(MAX((32&gt;0)*(D32-VAL_DATE)/360,0)&lt;=0,IF(((E32-VAL_DATE)/360)&lt;=0,0,(1/INDEX($L$8:$L$73,MATCH(B32,$K$8:$K$73,1)+1)-1)/((E32-VAL_DATE)/360)),IF(MAX((32&gt;0)*(D32-VAL_DATE)/360,0)&lt;=0,0,(1/INDEX($L$8:$L$73,MATCH(B32,$K$8:$K$73,1))-1)/MAX((32&gt;0)*(D32-VAL_DATE)/360,0))))*IF(((E32-VAL_DATE)/360)-MAX((32&gt;0)*(D32-VAL_DATE)/360,0)=0,0,(((B32-VAL_DATE)/360)-MAX((32&gt;0)*(D32-VAL_DATE)/360,0))/(((E32-VAL_DATE)/360)-MAX((32&gt;0)*(D32-VAL_DATE)/360,0))))*((B32-VAL_DATE)/360))),INDEX($L$8:$L$73,MATCH(B32,$K$8:$K$73,1))*EXP(-(F32/100)*(B32-D32)/365)),"")</f>
        <v/>
      </c>
      <c r="H32" s="17">
        <f>-LN(G32)/C32*100</f>
        <v/>
      </c>
      <c r="K32" s="199">
        <f>'[USD_SOFR_Curve_Bloomberg_Pricer.xlsx]Curve_Interface'!$K$33</f>
        <v/>
      </c>
      <c r="L32" s="200">
        <f>'[USD_SOFR_Curve_Bloomberg_Pricer.xlsx]Curve_Interface'!$L$33</f>
        <v/>
      </c>
    </row>
    <row r="33">
      <c r="A33" s="43" t="n">
        <v>24</v>
      </c>
      <c r="B33" s="18">
        <f>EDATE($F$7,3*23)</f>
        <v/>
      </c>
      <c r="C33" s="34">
        <f>(B33-VAL_DATE)/365</f>
        <v/>
      </c>
      <c r="D33" s="18">
        <f>INDEX($K$8:$K$73,MATCH(B33,$K$8:$K$73,1))</f>
        <v/>
      </c>
      <c r="E33" s="18">
        <f>INDEX($K$8:$K$73,MATCH(B33,$K$8:$K$73,1)+1)</f>
        <v/>
      </c>
      <c r="F33" s="17">
        <f>-LN(INDEX($L$8:$L$73,MATCH(B33,$K$8:$K$73,1)+1)/INDEX($L$8:$L$73,MATCH(B33,$K$8:$K$73,1)))/((E33-D33)/365)*100</f>
        <v/>
      </c>
      <c r="G33" s="76">
        <f>IFERROR(IF($J$7="Piecewise Linear (Simple)",IF(((B33-VAL_DATE)/360)&lt;=0,1,1/(1+(IF(MAX((33&gt;0)*(D33-VAL_DATE)/360,0)&lt;=0,IF(((E33-VAL_DATE)/360)&lt;=0,0,(1/INDEX($L$8:$L$73,MATCH(B33,$K$8:$K$73,1)+1)-1)/((E33-VAL_DATE)/360)),IF(MAX((33&gt;0)*(D33-VAL_DATE)/360,0)&lt;=0,0,(1/INDEX($L$8:$L$73,MATCH(B33,$K$8:$K$73,1))-1)/MAX((33&gt;0)*(D33-VAL_DATE)/360,0)))+(IF(((E33-VAL_DATE)/360)&lt;=0,0,(1/INDEX($L$8:$L$73,MATCH(B33,$K$8:$K$73,1)+1)-1)/((E33-VAL_DATE)/360))-IF(MAX((33&gt;0)*(D33-VAL_DATE)/360,0)&lt;=0,IF(((E33-VAL_DATE)/360)&lt;=0,0,(1/INDEX($L$8:$L$73,MATCH(B33,$K$8:$K$73,1)+1)-1)/((E33-VAL_DATE)/360)),IF(MAX((33&gt;0)*(D33-VAL_DATE)/360,0)&lt;=0,0,(1/INDEX($L$8:$L$73,MATCH(B33,$K$8:$K$73,1))-1)/MAX((33&gt;0)*(D33-VAL_DATE)/360,0))))*IF(((E33-VAL_DATE)/360)-MAX((33&gt;0)*(D33-VAL_DATE)/360,0)=0,0,(((B33-VAL_DATE)/360)-MAX((33&gt;0)*(D33-VAL_DATE)/360,0))/(((E33-VAL_DATE)/360)-MAX((33&gt;0)*(D33-VAL_DATE)/360,0))))*((B33-VAL_DATE)/360))),INDEX($L$8:$L$73,MATCH(B33,$K$8:$K$73,1))*EXP(-(F33/100)*(B33-D33)/365)),"")</f>
        <v/>
      </c>
      <c r="H33" s="17">
        <f>-LN(G33)/C33*100</f>
        <v/>
      </c>
      <c r="K33" s="199">
        <f>'[USD_SOFR_Curve_Bloomberg_Pricer.xlsx]Curve_Interface'!$K$34</f>
        <v/>
      </c>
      <c r="L33" s="200">
        <f>'[USD_SOFR_Curve_Bloomberg_Pricer.xlsx]Curve_Interface'!$L$34</f>
        <v/>
      </c>
    </row>
    <row r="34">
      <c r="A34" s="43" t="n">
        <v>25</v>
      </c>
      <c r="B34" s="18">
        <f>EDATE($F$7,3*24)</f>
        <v/>
      </c>
      <c r="C34" s="34">
        <f>(B34-VAL_DATE)/365</f>
        <v/>
      </c>
      <c r="D34" s="18">
        <f>INDEX($K$8:$K$73,MATCH(B34,$K$8:$K$73,1))</f>
        <v/>
      </c>
      <c r="E34" s="18">
        <f>INDEX($K$8:$K$73,MATCH(B34,$K$8:$K$73,1)+1)</f>
        <v/>
      </c>
      <c r="F34" s="17">
        <f>-LN(INDEX($L$8:$L$73,MATCH(B34,$K$8:$K$73,1)+1)/INDEX($L$8:$L$73,MATCH(B34,$K$8:$K$73,1)))/((E34-D34)/365)*100</f>
        <v/>
      </c>
      <c r="G34" s="76">
        <f>IFERROR(IF($J$7="Piecewise Linear (Simple)",IF(((B34-VAL_DATE)/360)&lt;=0,1,1/(1+(IF(MAX((34&gt;0)*(D34-VAL_DATE)/360,0)&lt;=0,IF(((E34-VAL_DATE)/360)&lt;=0,0,(1/INDEX($L$8:$L$73,MATCH(B34,$K$8:$K$73,1)+1)-1)/((E34-VAL_DATE)/360)),IF(MAX((34&gt;0)*(D34-VAL_DATE)/360,0)&lt;=0,0,(1/INDEX($L$8:$L$73,MATCH(B34,$K$8:$K$73,1))-1)/MAX((34&gt;0)*(D34-VAL_DATE)/360,0)))+(IF(((E34-VAL_DATE)/360)&lt;=0,0,(1/INDEX($L$8:$L$73,MATCH(B34,$K$8:$K$73,1)+1)-1)/((E34-VAL_DATE)/360))-IF(MAX((34&gt;0)*(D34-VAL_DATE)/360,0)&lt;=0,IF(((E34-VAL_DATE)/360)&lt;=0,0,(1/INDEX($L$8:$L$73,MATCH(B34,$K$8:$K$73,1)+1)-1)/((E34-VAL_DATE)/360)),IF(MAX((34&gt;0)*(D34-VAL_DATE)/360,0)&lt;=0,0,(1/INDEX($L$8:$L$73,MATCH(B34,$K$8:$K$73,1))-1)/MAX((34&gt;0)*(D34-VAL_DATE)/360,0))))*IF(((E34-VAL_DATE)/360)-MAX((34&gt;0)*(D34-VAL_DATE)/360,0)=0,0,(((B34-VAL_DATE)/360)-MAX((34&gt;0)*(D34-VAL_DATE)/360,0))/(((E34-VAL_DATE)/360)-MAX((34&gt;0)*(D34-VAL_DATE)/360,0))))*((B34-VAL_DATE)/360))),INDEX($L$8:$L$73,MATCH(B34,$K$8:$K$73,1))*EXP(-(F34/100)*(B34-D34)/365)),"")</f>
        <v/>
      </c>
      <c r="H34" s="17">
        <f>-LN(G34)/C34*100</f>
        <v/>
      </c>
      <c r="K34" s="199">
        <f>'[USD_SOFR_Curve_Bloomberg_Pricer.xlsx]Curve_Interface'!$K$35</f>
        <v/>
      </c>
      <c r="L34" s="200">
        <f>'[USD_SOFR_Curve_Bloomberg_Pricer.xlsx]Curve_Interface'!$L$35</f>
        <v/>
      </c>
    </row>
    <row r="35">
      <c r="A35" s="43" t="n">
        <v>26</v>
      </c>
      <c r="B35" s="18">
        <f>EDATE($F$7,3*25)</f>
        <v/>
      </c>
      <c r="C35" s="34">
        <f>(B35-VAL_DATE)/365</f>
        <v/>
      </c>
      <c r="D35" s="18">
        <f>INDEX($K$8:$K$73,MATCH(B35,$K$8:$K$73,1))</f>
        <v/>
      </c>
      <c r="E35" s="18">
        <f>INDEX($K$8:$K$73,MATCH(B35,$K$8:$K$73,1)+1)</f>
        <v/>
      </c>
      <c r="F35" s="17">
        <f>-LN(INDEX($L$8:$L$73,MATCH(B35,$K$8:$K$73,1)+1)/INDEX($L$8:$L$73,MATCH(B35,$K$8:$K$73,1)))/((E35-D35)/365)*100</f>
        <v/>
      </c>
      <c r="G35" s="76">
        <f>IFERROR(IF($J$7="Piecewise Linear (Simple)",IF(((B35-VAL_DATE)/360)&lt;=0,1,1/(1+(IF(MAX((35&gt;0)*(D35-VAL_DATE)/360,0)&lt;=0,IF(((E35-VAL_DATE)/360)&lt;=0,0,(1/INDEX($L$8:$L$73,MATCH(B35,$K$8:$K$73,1)+1)-1)/((E35-VAL_DATE)/360)),IF(MAX((35&gt;0)*(D35-VAL_DATE)/360,0)&lt;=0,0,(1/INDEX($L$8:$L$73,MATCH(B35,$K$8:$K$73,1))-1)/MAX((35&gt;0)*(D35-VAL_DATE)/360,0)))+(IF(((E35-VAL_DATE)/360)&lt;=0,0,(1/INDEX($L$8:$L$73,MATCH(B35,$K$8:$K$73,1)+1)-1)/((E35-VAL_DATE)/360))-IF(MAX((35&gt;0)*(D35-VAL_DATE)/360,0)&lt;=0,IF(((E35-VAL_DATE)/360)&lt;=0,0,(1/INDEX($L$8:$L$73,MATCH(B35,$K$8:$K$73,1)+1)-1)/((E35-VAL_DATE)/360)),IF(MAX((35&gt;0)*(D35-VAL_DATE)/360,0)&lt;=0,0,(1/INDEX($L$8:$L$73,MATCH(B35,$K$8:$K$73,1))-1)/MAX((35&gt;0)*(D35-VAL_DATE)/360,0))))*IF(((E35-VAL_DATE)/360)-MAX((35&gt;0)*(D35-VAL_DATE)/360,0)=0,0,(((B35-VAL_DATE)/360)-MAX((35&gt;0)*(D35-VAL_DATE)/360,0))/(((E35-VAL_DATE)/360)-MAX((35&gt;0)*(D35-VAL_DATE)/360,0))))*((B35-VAL_DATE)/360))),INDEX($L$8:$L$73,MATCH(B35,$K$8:$K$73,1))*EXP(-(F35/100)*(B35-D35)/365)),"")</f>
        <v/>
      </c>
      <c r="H35" s="17">
        <f>-LN(G35)/C35*100</f>
        <v/>
      </c>
      <c r="K35" s="199">
        <f>'[USD_SOFR_Curve_Bloomberg_Pricer.xlsx]Curve_Interface'!$K$36</f>
        <v/>
      </c>
      <c r="L35" s="200">
        <f>'[USD_SOFR_Curve_Bloomberg_Pricer.xlsx]Curve_Interface'!$L$36</f>
        <v/>
      </c>
    </row>
    <row r="36">
      <c r="A36" s="43" t="n">
        <v>27</v>
      </c>
      <c r="B36" s="18">
        <f>EDATE($F$7,3*26)</f>
        <v/>
      </c>
      <c r="C36" s="34">
        <f>(B36-VAL_DATE)/365</f>
        <v/>
      </c>
      <c r="D36" s="18">
        <f>INDEX($K$8:$K$73,MATCH(B36,$K$8:$K$73,1))</f>
        <v/>
      </c>
      <c r="E36" s="18">
        <f>INDEX($K$8:$K$73,MATCH(B36,$K$8:$K$73,1)+1)</f>
        <v/>
      </c>
      <c r="F36" s="17">
        <f>-LN(INDEX($L$8:$L$73,MATCH(B36,$K$8:$K$73,1)+1)/INDEX($L$8:$L$73,MATCH(B36,$K$8:$K$73,1)))/((E36-D36)/365)*100</f>
        <v/>
      </c>
      <c r="G36" s="76">
        <f>IFERROR(IF($J$7="Piecewise Linear (Simple)",IF(((B36-VAL_DATE)/360)&lt;=0,1,1/(1+(IF(MAX((36&gt;0)*(D36-VAL_DATE)/360,0)&lt;=0,IF(((E36-VAL_DATE)/360)&lt;=0,0,(1/INDEX($L$8:$L$73,MATCH(B36,$K$8:$K$73,1)+1)-1)/((E36-VAL_DATE)/360)),IF(MAX((36&gt;0)*(D36-VAL_DATE)/360,0)&lt;=0,0,(1/INDEX($L$8:$L$73,MATCH(B36,$K$8:$K$73,1))-1)/MAX((36&gt;0)*(D36-VAL_DATE)/360,0)))+(IF(((E36-VAL_DATE)/360)&lt;=0,0,(1/INDEX($L$8:$L$73,MATCH(B36,$K$8:$K$73,1)+1)-1)/((E36-VAL_DATE)/360))-IF(MAX((36&gt;0)*(D36-VAL_DATE)/360,0)&lt;=0,IF(((E36-VAL_DATE)/360)&lt;=0,0,(1/INDEX($L$8:$L$73,MATCH(B36,$K$8:$K$73,1)+1)-1)/((E36-VAL_DATE)/360)),IF(MAX((36&gt;0)*(D36-VAL_DATE)/360,0)&lt;=0,0,(1/INDEX($L$8:$L$73,MATCH(B36,$K$8:$K$73,1))-1)/MAX((36&gt;0)*(D36-VAL_DATE)/360,0))))*IF(((E36-VAL_DATE)/360)-MAX((36&gt;0)*(D36-VAL_DATE)/360,0)=0,0,(((B36-VAL_DATE)/360)-MAX((36&gt;0)*(D36-VAL_DATE)/360,0))/(((E36-VAL_DATE)/360)-MAX((36&gt;0)*(D36-VAL_DATE)/360,0))))*((B36-VAL_DATE)/360))),INDEX($L$8:$L$73,MATCH(B36,$K$8:$K$73,1))*EXP(-(F36/100)*(B36-D36)/365)),"")</f>
        <v/>
      </c>
      <c r="H36" s="17">
        <f>-LN(G36)/C36*100</f>
        <v/>
      </c>
      <c r="K36" s="199">
        <f>'[USD_SOFR_Curve_Bloomberg_Pricer.xlsx]Curve_Interface'!$K$37</f>
        <v/>
      </c>
      <c r="L36" s="200">
        <f>'[USD_SOFR_Curve_Bloomberg_Pricer.xlsx]Curve_Interface'!$L$37</f>
        <v/>
      </c>
    </row>
    <row r="37">
      <c r="A37" s="43" t="n">
        <v>28</v>
      </c>
      <c r="B37" s="18">
        <f>EDATE($F$7,3*27)</f>
        <v/>
      </c>
      <c r="C37" s="34">
        <f>(B37-VAL_DATE)/365</f>
        <v/>
      </c>
      <c r="D37" s="18">
        <f>INDEX($K$8:$K$73,MATCH(B37,$K$8:$K$73,1))</f>
        <v/>
      </c>
      <c r="E37" s="18">
        <f>INDEX($K$8:$K$73,MATCH(B37,$K$8:$K$73,1)+1)</f>
        <v/>
      </c>
      <c r="F37" s="17">
        <f>-LN(INDEX($L$8:$L$73,MATCH(B37,$K$8:$K$73,1)+1)/INDEX($L$8:$L$73,MATCH(B37,$K$8:$K$73,1)))/((E37-D37)/365)*100</f>
        <v/>
      </c>
      <c r="G37" s="76">
        <f>IFERROR(IF($J$7="Piecewise Linear (Simple)",IF(((B37-VAL_DATE)/360)&lt;=0,1,1/(1+(IF(MAX((37&gt;0)*(D37-VAL_DATE)/360,0)&lt;=0,IF(((E37-VAL_DATE)/360)&lt;=0,0,(1/INDEX($L$8:$L$73,MATCH(B37,$K$8:$K$73,1)+1)-1)/((E37-VAL_DATE)/360)),IF(MAX((37&gt;0)*(D37-VAL_DATE)/360,0)&lt;=0,0,(1/INDEX($L$8:$L$73,MATCH(B37,$K$8:$K$73,1))-1)/MAX((37&gt;0)*(D37-VAL_DATE)/360,0)))+(IF(((E37-VAL_DATE)/360)&lt;=0,0,(1/INDEX($L$8:$L$73,MATCH(B37,$K$8:$K$73,1)+1)-1)/((E37-VAL_DATE)/360))-IF(MAX((37&gt;0)*(D37-VAL_DATE)/360,0)&lt;=0,IF(((E37-VAL_DATE)/360)&lt;=0,0,(1/INDEX($L$8:$L$73,MATCH(B37,$K$8:$K$73,1)+1)-1)/((E37-VAL_DATE)/360)),IF(MAX((37&gt;0)*(D37-VAL_DATE)/360,0)&lt;=0,0,(1/INDEX($L$8:$L$73,MATCH(B37,$K$8:$K$73,1))-1)/MAX((37&gt;0)*(D37-VAL_DATE)/360,0))))*IF(((E37-VAL_DATE)/360)-MAX((37&gt;0)*(D37-VAL_DATE)/360,0)=0,0,(((B37-VAL_DATE)/360)-MAX((37&gt;0)*(D37-VAL_DATE)/360,0))/(((E37-VAL_DATE)/360)-MAX((37&gt;0)*(D37-VAL_DATE)/360,0))))*((B37-VAL_DATE)/360))),INDEX($L$8:$L$73,MATCH(B37,$K$8:$K$73,1))*EXP(-(F37/100)*(B37-D37)/365)),"")</f>
        <v/>
      </c>
      <c r="H37" s="17">
        <f>-LN(G37)/C37*100</f>
        <v/>
      </c>
      <c r="K37" s="199">
        <f>'[USD_SOFR_Curve_Bloomberg_Pricer.xlsx]Curve_Interface'!$K$38</f>
        <v/>
      </c>
      <c r="L37" s="200">
        <f>'[USD_SOFR_Curve_Bloomberg_Pricer.xlsx]Curve_Interface'!$L$38</f>
        <v/>
      </c>
    </row>
    <row r="38">
      <c r="A38" s="43" t="n">
        <v>29</v>
      </c>
      <c r="B38" s="18">
        <f>EDATE($F$7,3*28)</f>
        <v/>
      </c>
      <c r="C38" s="34">
        <f>(B38-VAL_DATE)/365</f>
        <v/>
      </c>
      <c r="D38" s="18">
        <f>INDEX($K$8:$K$73,MATCH(B38,$K$8:$K$73,1))</f>
        <v/>
      </c>
      <c r="E38" s="18">
        <f>INDEX($K$8:$K$73,MATCH(B38,$K$8:$K$73,1)+1)</f>
        <v/>
      </c>
      <c r="F38" s="17">
        <f>-LN(INDEX($L$8:$L$73,MATCH(B38,$K$8:$K$73,1)+1)/INDEX($L$8:$L$73,MATCH(B38,$K$8:$K$73,1)))/((E38-D38)/365)*100</f>
        <v/>
      </c>
      <c r="G38" s="76">
        <f>IFERROR(IF($J$7="Piecewise Linear (Simple)",IF(((B38-VAL_DATE)/360)&lt;=0,1,1/(1+(IF(MAX((38&gt;0)*(D38-VAL_DATE)/360,0)&lt;=0,IF(((E38-VAL_DATE)/360)&lt;=0,0,(1/INDEX($L$8:$L$73,MATCH(B38,$K$8:$K$73,1)+1)-1)/((E38-VAL_DATE)/360)),IF(MAX((38&gt;0)*(D38-VAL_DATE)/360,0)&lt;=0,0,(1/INDEX($L$8:$L$73,MATCH(B38,$K$8:$K$73,1))-1)/MAX((38&gt;0)*(D38-VAL_DATE)/360,0)))+(IF(((E38-VAL_DATE)/360)&lt;=0,0,(1/INDEX($L$8:$L$73,MATCH(B38,$K$8:$K$73,1)+1)-1)/((E38-VAL_DATE)/360))-IF(MAX((38&gt;0)*(D38-VAL_DATE)/360,0)&lt;=0,IF(((E38-VAL_DATE)/360)&lt;=0,0,(1/INDEX($L$8:$L$73,MATCH(B38,$K$8:$K$73,1)+1)-1)/((E38-VAL_DATE)/360)),IF(MAX((38&gt;0)*(D38-VAL_DATE)/360,0)&lt;=0,0,(1/INDEX($L$8:$L$73,MATCH(B38,$K$8:$K$73,1))-1)/MAX((38&gt;0)*(D38-VAL_DATE)/360,0))))*IF(((E38-VAL_DATE)/360)-MAX((38&gt;0)*(D38-VAL_DATE)/360,0)=0,0,(((B38-VAL_DATE)/360)-MAX((38&gt;0)*(D38-VAL_DATE)/360,0))/(((E38-VAL_DATE)/360)-MAX((38&gt;0)*(D38-VAL_DATE)/360,0))))*((B38-VAL_DATE)/360))),INDEX($L$8:$L$73,MATCH(B38,$K$8:$K$73,1))*EXP(-(F38/100)*(B38-D38)/365)),"")</f>
        <v/>
      </c>
      <c r="H38" s="17">
        <f>-LN(G38)/C38*100</f>
        <v/>
      </c>
      <c r="K38" s="199">
        <f>'[USD_SOFR_Curve_Bloomberg_Pricer.xlsx]Curve_Interface'!$K$39</f>
        <v/>
      </c>
      <c r="L38" s="200">
        <f>'[USD_SOFR_Curve_Bloomberg_Pricer.xlsx]Curve_Interface'!$L$39</f>
        <v/>
      </c>
    </row>
    <row r="39">
      <c r="A39" s="43" t="n">
        <v>30</v>
      </c>
      <c r="B39" s="18">
        <f>EDATE($F$7,3*29)</f>
        <v/>
      </c>
      <c r="C39" s="34">
        <f>(B39-VAL_DATE)/365</f>
        <v/>
      </c>
      <c r="D39" s="18">
        <f>INDEX($K$8:$K$73,MATCH(B39,$K$8:$K$73,1))</f>
        <v/>
      </c>
      <c r="E39" s="18">
        <f>INDEX($K$8:$K$73,MATCH(B39,$K$8:$K$73,1)+1)</f>
        <v/>
      </c>
      <c r="F39" s="17">
        <f>-LN(INDEX($L$8:$L$73,MATCH(B39,$K$8:$K$73,1)+1)/INDEX($L$8:$L$73,MATCH(B39,$K$8:$K$73,1)))/((E39-D39)/365)*100</f>
        <v/>
      </c>
      <c r="G39" s="76">
        <f>IFERROR(IF($J$7="Piecewise Linear (Simple)",IF(((B39-VAL_DATE)/360)&lt;=0,1,1/(1+(IF(MAX((39&gt;0)*(D39-VAL_DATE)/360,0)&lt;=0,IF(((E39-VAL_DATE)/360)&lt;=0,0,(1/INDEX($L$8:$L$73,MATCH(B39,$K$8:$K$73,1)+1)-1)/((E39-VAL_DATE)/360)),IF(MAX((39&gt;0)*(D39-VAL_DATE)/360,0)&lt;=0,0,(1/INDEX($L$8:$L$73,MATCH(B39,$K$8:$K$73,1))-1)/MAX((39&gt;0)*(D39-VAL_DATE)/360,0)))+(IF(((E39-VAL_DATE)/360)&lt;=0,0,(1/INDEX($L$8:$L$73,MATCH(B39,$K$8:$K$73,1)+1)-1)/((E39-VAL_DATE)/360))-IF(MAX((39&gt;0)*(D39-VAL_DATE)/360,0)&lt;=0,IF(((E39-VAL_DATE)/360)&lt;=0,0,(1/INDEX($L$8:$L$73,MATCH(B39,$K$8:$K$73,1)+1)-1)/((E39-VAL_DATE)/360)),IF(MAX((39&gt;0)*(D39-VAL_DATE)/360,0)&lt;=0,0,(1/INDEX($L$8:$L$73,MATCH(B39,$K$8:$K$73,1))-1)/MAX((39&gt;0)*(D39-VAL_DATE)/360,0))))*IF(((E39-VAL_DATE)/360)-MAX((39&gt;0)*(D39-VAL_DATE)/360,0)=0,0,(((B39-VAL_DATE)/360)-MAX((39&gt;0)*(D39-VAL_DATE)/360,0))/(((E39-VAL_DATE)/360)-MAX((39&gt;0)*(D39-VAL_DATE)/360,0))))*((B39-VAL_DATE)/360))),INDEX($L$8:$L$73,MATCH(B39,$K$8:$K$73,1))*EXP(-(F39/100)*(B39-D39)/365)),"")</f>
        <v/>
      </c>
      <c r="H39" s="17">
        <f>-LN(G39)/C39*100</f>
        <v/>
      </c>
      <c r="K39" s="199">
        <f>'[USD_SOFR_Curve_Bloomberg_Pricer.xlsx]Curve_Interface'!$K$40</f>
        <v/>
      </c>
      <c r="L39" s="200">
        <f>'[USD_SOFR_Curve_Bloomberg_Pricer.xlsx]Curve_Interface'!$L$40</f>
        <v/>
      </c>
    </row>
    <row r="40">
      <c r="A40" s="43" t="n">
        <v>31</v>
      </c>
      <c r="B40" s="18">
        <f>EDATE($F$7,3*30)</f>
        <v/>
      </c>
      <c r="C40" s="34">
        <f>(B40-VAL_DATE)/365</f>
        <v/>
      </c>
      <c r="D40" s="18">
        <f>INDEX($K$8:$K$73,MATCH(B40,$K$8:$K$73,1))</f>
        <v/>
      </c>
      <c r="E40" s="18">
        <f>INDEX($K$8:$K$73,MATCH(B40,$K$8:$K$73,1)+1)</f>
        <v/>
      </c>
      <c r="F40" s="17">
        <f>-LN(INDEX($L$8:$L$73,MATCH(B40,$K$8:$K$73,1)+1)/INDEX($L$8:$L$73,MATCH(B40,$K$8:$K$73,1)))/((E40-D40)/365)*100</f>
        <v/>
      </c>
      <c r="G40" s="76">
        <f>IFERROR(IF($J$7="Piecewise Linear (Simple)",IF(((B40-VAL_DATE)/360)&lt;=0,1,1/(1+(IF(MAX((40&gt;0)*(D40-VAL_DATE)/360,0)&lt;=0,IF(((E40-VAL_DATE)/360)&lt;=0,0,(1/INDEX($L$8:$L$73,MATCH(B40,$K$8:$K$73,1)+1)-1)/((E40-VAL_DATE)/360)),IF(MAX((40&gt;0)*(D40-VAL_DATE)/360,0)&lt;=0,0,(1/INDEX($L$8:$L$73,MATCH(B40,$K$8:$K$73,1))-1)/MAX((40&gt;0)*(D40-VAL_DATE)/360,0)))+(IF(((E40-VAL_DATE)/360)&lt;=0,0,(1/INDEX($L$8:$L$73,MATCH(B40,$K$8:$K$73,1)+1)-1)/((E40-VAL_DATE)/360))-IF(MAX((40&gt;0)*(D40-VAL_DATE)/360,0)&lt;=0,IF(((E40-VAL_DATE)/360)&lt;=0,0,(1/INDEX($L$8:$L$73,MATCH(B40,$K$8:$K$73,1)+1)-1)/((E40-VAL_DATE)/360)),IF(MAX((40&gt;0)*(D40-VAL_DATE)/360,0)&lt;=0,0,(1/INDEX($L$8:$L$73,MATCH(B40,$K$8:$K$73,1))-1)/MAX((40&gt;0)*(D40-VAL_DATE)/360,0))))*IF(((E40-VAL_DATE)/360)-MAX((40&gt;0)*(D40-VAL_DATE)/360,0)=0,0,(((B40-VAL_DATE)/360)-MAX((40&gt;0)*(D40-VAL_DATE)/360,0))/(((E40-VAL_DATE)/360)-MAX((40&gt;0)*(D40-VAL_DATE)/360,0))))*((B40-VAL_DATE)/360))),INDEX($L$8:$L$73,MATCH(B40,$K$8:$K$73,1))*EXP(-(F40/100)*(B40-D40)/365)),"")</f>
        <v/>
      </c>
      <c r="H40" s="17">
        <f>-LN(G40)/C40*100</f>
        <v/>
      </c>
      <c r="K40" s="199">
        <f>'[USD_SOFR_Curve_Bloomberg_Pricer.xlsx]Curve_Interface'!$K$41</f>
        <v/>
      </c>
      <c r="L40" s="200">
        <f>'[USD_SOFR_Curve_Bloomberg_Pricer.xlsx]Curve_Interface'!$L$41</f>
        <v/>
      </c>
    </row>
    <row r="41">
      <c r="A41" s="43" t="n">
        <v>32</v>
      </c>
      <c r="B41" s="18">
        <f>EDATE($F$7,3*31)</f>
        <v/>
      </c>
      <c r="C41" s="34">
        <f>(B41-VAL_DATE)/365</f>
        <v/>
      </c>
      <c r="D41" s="18">
        <f>INDEX($K$8:$K$73,MATCH(B41,$K$8:$K$73,1))</f>
        <v/>
      </c>
      <c r="E41" s="18">
        <f>INDEX($K$8:$K$73,MATCH(B41,$K$8:$K$73,1)+1)</f>
        <v/>
      </c>
      <c r="F41" s="17">
        <f>-LN(INDEX($L$8:$L$73,MATCH(B41,$K$8:$K$73,1)+1)/INDEX($L$8:$L$73,MATCH(B41,$K$8:$K$73,1)))/((E41-D41)/365)*100</f>
        <v/>
      </c>
      <c r="G41" s="76">
        <f>IFERROR(IF($J$7="Piecewise Linear (Simple)",IF(((B41-VAL_DATE)/360)&lt;=0,1,1/(1+(IF(MAX((41&gt;0)*(D41-VAL_DATE)/360,0)&lt;=0,IF(((E41-VAL_DATE)/360)&lt;=0,0,(1/INDEX($L$8:$L$73,MATCH(B41,$K$8:$K$73,1)+1)-1)/((E41-VAL_DATE)/360)),IF(MAX((41&gt;0)*(D41-VAL_DATE)/360,0)&lt;=0,0,(1/INDEX($L$8:$L$73,MATCH(B41,$K$8:$K$73,1))-1)/MAX((41&gt;0)*(D41-VAL_DATE)/360,0)))+(IF(((E41-VAL_DATE)/360)&lt;=0,0,(1/INDEX($L$8:$L$73,MATCH(B41,$K$8:$K$73,1)+1)-1)/((E41-VAL_DATE)/360))-IF(MAX((41&gt;0)*(D41-VAL_DATE)/360,0)&lt;=0,IF(((E41-VAL_DATE)/360)&lt;=0,0,(1/INDEX($L$8:$L$73,MATCH(B41,$K$8:$K$73,1)+1)-1)/((E41-VAL_DATE)/360)),IF(MAX((41&gt;0)*(D41-VAL_DATE)/360,0)&lt;=0,0,(1/INDEX($L$8:$L$73,MATCH(B41,$K$8:$K$73,1))-1)/MAX((41&gt;0)*(D41-VAL_DATE)/360,0))))*IF(((E41-VAL_DATE)/360)-MAX((41&gt;0)*(D41-VAL_DATE)/360,0)=0,0,(((B41-VAL_DATE)/360)-MAX((41&gt;0)*(D41-VAL_DATE)/360,0))/(((E41-VAL_DATE)/360)-MAX((41&gt;0)*(D41-VAL_DATE)/360,0))))*((B41-VAL_DATE)/360))),INDEX($L$8:$L$73,MATCH(B41,$K$8:$K$73,1))*EXP(-(F41/100)*(B41-D41)/365)),"")</f>
        <v/>
      </c>
      <c r="H41" s="17">
        <f>-LN(G41)/C41*100</f>
        <v/>
      </c>
      <c r="K41" s="194">
        <f>'[USD_SOFR_Curve_Bloomberg_Pricer.xlsx]Curve_Interface'!$K$42</f>
        <v/>
      </c>
      <c r="L41" s="203">
        <f>'[USD_SOFR_Curve_Bloomberg_Pricer.xlsx]Curve_Interface'!$L$42</f>
        <v/>
      </c>
    </row>
    <row r="42">
      <c r="A42" s="43" t="n">
        <v>33</v>
      </c>
      <c r="B42" s="18">
        <f>EDATE($F$7,3*32)</f>
        <v/>
      </c>
      <c r="C42" s="34">
        <f>(B42-VAL_DATE)/365</f>
        <v/>
      </c>
      <c r="D42" s="18">
        <f>INDEX($K$8:$K$73,MATCH(B42,$K$8:$K$73,1))</f>
        <v/>
      </c>
      <c r="E42" s="18">
        <f>INDEX($K$8:$K$73,MATCH(B42,$K$8:$K$73,1)+1)</f>
        <v/>
      </c>
      <c r="F42" s="17">
        <f>-LN(INDEX($L$8:$L$73,MATCH(B42,$K$8:$K$73,1)+1)/INDEX($L$8:$L$73,MATCH(B42,$K$8:$K$73,1)))/((E42-D42)/365)*100</f>
        <v/>
      </c>
      <c r="G42" s="76">
        <f>IFERROR(IF($J$7="Piecewise Linear (Simple)",IF(((B42-VAL_DATE)/360)&lt;=0,1,1/(1+(IF(MAX((42&gt;0)*(D42-VAL_DATE)/360,0)&lt;=0,IF(((E42-VAL_DATE)/360)&lt;=0,0,(1/INDEX($L$8:$L$73,MATCH(B42,$K$8:$K$73,1)+1)-1)/((E42-VAL_DATE)/360)),IF(MAX((42&gt;0)*(D42-VAL_DATE)/360,0)&lt;=0,0,(1/INDEX($L$8:$L$73,MATCH(B42,$K$8:$K$73,1))-1)/MAX((42&gt;0)*(D42-VAL_DATE)/360,0)))+(IF(((E42-VAL_DATE)/360)&lt;=0,0,(1/INDEX($L$8:$L$73,MATCH(B42,$K$8:$K$73,1)+1)-1)/((E42-VAL_DATE)/360))-IF(MAX((42&gt;0)*(D42-VAL_DATE)/360,0)&lt;=0,IF(((E42-VAL_DATE)/360)&lt;=0,0,(1/INDEX($L$8:$L$73,MATCH(B42,$K$8:$K$73,1)+1)-1)/((E42-VAL_DATE)/360)),IF(MAX((42&gt;0)*(D42-VAL_DATE)/360,0)&lt;=0,0,(1/INDEX($L$8:$L$73,MATCH(B42,$K$8:$K$73,1))-1)/MAX((42&gt;0)*(D42-VAL_DATE)/360,0))))*IF(((E42-VAL_DATE)/360)-MAX((42&gt;0)*(D42-VAL_DATE)/360,0)=0,0,(((B42-VAL_DATE)/360)-MAX((42&gt;0)*(D42-VAL_DATE)/360,0))/(((E42-VAL_DATE)/360)-MAX((42&gt;0)*(D42-VAL_DATE)/360,0))))*((B42-VAL_DATE)/360))),INDEX($L$8:$L$73,MATCH(B42,$K$8:$K$73,1))*EXP(-(F42/100)*(B42-D42)/365)),"")</f>
        <v/>
      </c>
      <c r="H42" s="17">
        <f>-LN(G42)/C42*100</f>
        <v/>
      </c>
      <c r="K42" s="194">
        <f>'[USD_SOFR_Curve_Bloomberg_Pricer.xlsx]Curve_Interface'!$K$43</f>
        <v/>
      </c>
      <c r="L42" s="203">
        <f>'[USD_SOFR_Curve_Bloomberg_Pricer.xlsx]Curve_Interface'!$L$43</f>
        <v/>
      </c>
    </row>
    <row r="43">
      <c r="A43" s="43" t="n">
        <v>34</v>
      </c>
      <c r="B43" s="18">
        <f>EDATE($F$7,3*33)</f>
        <v/>
      </c>
      <c r="C43" s="34">
        <f>(B43-VAL_DATE)/365</f>
        <v/>
      </c>
      <c r="D43" s="18">
        <f>INDEX($K$8:$K$73,MATCH(B43,$K$8:$K$73,1))</f>
        <v/>
      </c>
      <c r="E43" s="18">
        <f>INDEX($K$8:$K$73,MATCH(B43,$K$8:$K$73,1)+1)</f>
        <v/>
      </c>
      <c r="F43" s="17">
        <f>-LN(INDEX($L$8:$L$73,MATCH(B43,$K$8:$K$73,1)+1)/INDEX($L$8:$L$73,MATCH(B43,$K$8:$K$73,1)))/((E43-D43)/365)*100</f>
        <v/>
      </c>
      <c r="G43" s="76">
        <f>IFERROR(IF($J$7="Piecewise Linear (Simple)",IF(((B43-VAL_DATE)/360)&lt;=0,1,1/(1+(IF(MAX((43&gt;0)*(D43-VAL_DATE)/360,0)&lt;=0,IF(((E43-VAL_DATE)/360)&lt;=0,0,(1/INDEX($L$8:$L$73,MATCH(B43,$K$8:$K$73,1)+1)-1)/((E43-VAL_DATE)/360)),IF(MAX((43&gt;0)*(D43-VAL_DATE)/360,0)&lt;=0,0,(1/INDEX($L$8:$L$73,MATCH(B43,$K$8:$K$73,1))-1)/MAX((43&gt;0)*(D43-VAL_DATE)/360,0)))+(IF(((E43-VAL_DATE)/360)&lt;=0,0,(1/INDEX($L$8:$L$73,MATCH(B43,$K$8:$K$73,1)+1)-1)/((E43-VAL_DATE)/360))-IF(MAX((43&gt;0)*(D43-VAL_DATE)/360,0)&lt;=0,IF(((E43-VAL_DATE)/360)&lt;=0,0,(1/INDEX($L$8:$L$73,MATCH(B43,$K$8:$K$73,1)+1)-1)/((E43-VAL_DATE)/360)),IF(MAX((43&gt;0)*(D43-VAL_DATE)/360,0)&lt;=0,0,(1/INDEX($L$8:$L$73,MATCH(B43,$K$8:$K$73,1))-1)/MAX((43&gt;0)*(D43-VAL_DATE)/360,0))))*IF(((E43-VAL_DATE)/360)-MAX((43&gt;0)*(D43-VAL_DATE)/360,0)=0,0,(((B43-VAL_DATE)/360)-MAX((43&gt;0)*(D43-VAL_DATE)/360,0))/(((E43-VAL_DATE)/360)-MAX((43&gt;0)*(D43-VAL_DATE)/360,0))))*((B43-VAL_DATE)/360))),INDEX($L$8:$L$73,MATCH(B43,$K$8:$K$73,1))*EXP(-(F43/100)*(B43-D43)/365)),"")</f>
        <v/>
      </c>
      <c r="H43" s="17">
        <f>-LN(G43)/C43*100</f>
        <v/>
      </c>
      <c r="K43" s="194">
        <f>'[USD_SOFR_Curve_Bloomberg_Pricer.xlsx]Curve_Interface'!$K$44</f>
        <v/>
      </c>
      <c r="L43" s="203">
        <f>'[USD_SOFR_Curve_Bloomberg_Pricer.xlsx]Curve_Interface'!$L$44</f>
        <v/>
      </c>
    </row>
    <row r="44">
      <c r="A44" s="43" t="n">
        <v>35</v>
      </c>
      <c r="B44" s="18">
        <f>EDATE($F$7,3*34)</f>
        <v/>
      </c>
      <c r="C44" s="34">
        <f>(B44-VAL_DATE)/365</f>
        <v/>
      </c>
      <c r="D44" s="18">
        <f>INDEX($K$8:$K$73,MATCH(B44,$K$8:$K$73,1))</f>
        <v/>
      </c>
      <c r="E44" s="18">
        <f>INDEX($K$8:$K$73,MATCH(B44,$K$8:$K$73,1)+1)</f>
        <v/>
      </c>
      <c r="F44" s="17">
        <f>-LN(INDEX($L$8:$L$73,MATCH(B44,$K$8:$K$73,1)+1)/INDEX($L$8:$L$73,MATCH(B44,$K$8:$K$73,1)))/((E44-D44)/365)*100</f>
        <v/>
      </c>
      <c r="G44" s="76">
        <f>IFERROR(IF($J$7="Piecewise Linear (Simple)",IF(((B44-VAL_DATE)/360)&lt;=0,1,1/(1+(IF(MAX((44&gt;0)*(D44-VAL_DATE)/360,0)&lt;=0,IF(((E44-VAL_DATE)/360)&lt;=0,0,(1/INDEX($L$8:$L$73,MATCH(B44,$K$8:$K$73,1)+1)-1)/((E44-VAL_DATE)/360)),IF(MAX((44&gt;0)*(D44-VAL_DATE)/360,0)&lt;=0,0,(1/INDEX($L$8:$L$73,MATCH(B44,$K$8:$K$73,1))-1)/MAX((44&gt;0)*(D44-VAL_DATE)/360,0)))+(IF(((E44-VAL_DATE)/360)&lt;=0,0,(1/INDEX($L$8:$L$73,MATCH(B44,$K$8:$K$73,1)+1)-1)/((E44-VAL_DATE)/360))-IF(MAX((44&gt;0)*(D44-VAL_DATE)/360,0)&lt;=0,IF(((E44-VAL_DATE)/360)&lt;=0,0,(1/INDEX($L$8:$L$73,MATCH(B44,$K$8:$K$73,1)+1)-1)/((E44-VAL_DATE)/360)),IF(MAX((44&gt;0)*(D44-VAL_DATE)/360,0)&lt;=0,0,(1/INDEX($L$8:$L$73,MATCH(B44,$K$8:$K$73,1))-1)/MAX((44&gt;0)*(D44-VAL_DATE)/360,0))))*IF(((E44-VAL_DATE)/360)-MAX((44&gt;0)*(D44-VAL_DATE)/360,0)=0,0,(((B44-VAL_DATE)/360)-MAX((44&gt;0)*(D44-VAL_DATE)/360,0))/(((E44-VAL_DATE)/360)-MAX((44&gt;0)*(D44-VAL_DATE)/360,0))))*((B44-VAL_DATE)/360))),INDEX($L$8:$L$73,MATCH(B44,$K$8:$K$73,1))*EXP(-(F44/100)*(B44-D44)/365)),"")</f>
        <v/>
      </c>
      <c r="H44" s="17">
        <f>-LN(G44)/C44*100</f>
        <v/>
      </c>
      <c r="K44" s="194">
        <f>'[USD_SOFR_Curve_Bloomberg_Pricer.xlsx]Curve_Interface'!$K$45</f>
        <v/>
      </c>
      <c r="L44" s="203">
        <f>'[USD_SOFR_Curve_Bloomberg_Pricer.xlsx]Curve_Interface'!$L$45</f>
        <v/>
      </c>
    </row>
    <row r="45">
      <c r="A45" s="43" t="n">
        <v>36</v>
      </c>
      <c r="B45" s="18">
        <f>EDATE($F$7,3*35)</f>
        <v/>
      </c>
      <c r="C45" s="34">
        <f>(B45-VAL_DATE)/365</f>
        <v/>
      </c>
      <c r="D45" s="18">
        <f>INDEX($K$8:$K$73,MATCH(B45,$K$8:$K$73,1))</f>
        <v/>
      </c>
      <c r="E45" s="18">
        <f>INDEX($K$8:$K$73,MATCH(B45,$K$8:$K$73,1)+1)</f>
        <v/>
      </c>
      <c r="F45" s="17">
        <f>-LN(INDEX($L$8:$L$73,MATCH(B45,$K$8:$K$73,1)+1)/INDEX($L$8:$L$73,MATCH(B45,$K$8:$K$73,1)))/((E45-D45)/365)*100</f>
        <v/>
      </c>
      <c r="G45" s="76">
        <f>IFERROR(IF($J$7="Piecewise Linear (Simple)",IF(((B45-VAL_DATE)/360)&lt;=0,1,1/(1+(IF(MAX((45&gt;0)*(D45-VAL_DATE)/360,0)&lt;=0,IF(((E45-VAL_DATE)/360)&lt;=0,0,(1/INDEX($L$8:$L$73,MATCH(B45,$K$8:$K$73,1)+1)-1)/((E45-VAL_DATE)/360)),IF(MAX((45&gt;0)*(D45-VAL_DATE)/360,0)&lt;=0,0,(1/INDEX($L$8:$L$73,MATCH(B45,$K$8:$K$73,1))-1)/MAX((45&gt;0)*(D45-VAL_DATE)/360,0)))+(IF(((E45-VAL_DATE)/360)&lt;=0,0,(1/INDEX($L$8:$L$73,MATCH(B45,$K$8:$K$73,1)+1)-1)/((E45-VAL_DATE)/360))-IF(MAX((45&gt;0)*(D45-VAL_DATE)/360,0)&lt;=0,IF(((E45-VAL_DATE)/360)&lt;=0,0,(1/INDEX($L$8:$L$73,MATCH(B45,$K$8:$K$73,1)+1)-1)/((E45-VAL_DATE)/360)),IF(MAX((45&gt;0)*(D45-VAL_DATE)/360,0)&lt;=0,0,(1/INDEX($L$8:$L$73,MATCH(B45,$K$8:$K$73,1))-1)/MAX((45&gt;0)*(D45-VAL_DATE)/360,0))))*IF(((E45-VAL_DATE)/360)-MAX((45&gt;0)*(D45-VAL_DATE)/360,0)=0,0,(((B45-VAL_DATE)/360)-MAX((45&gt;0)*(D45-VAL_DATE)/360,0))/(((E45-VAL_DATE)/360)-MAX((45&gt;0)*(D45-VAL_DATE)/360,0))))*((B45-VAL_DATE)/360))),INDEX($L$8:$L$73,MATCH(B45,$K$8:$K$73,1))*EXP(-(F45/100)*(B45-D45)/365)),"")</f>
        <v/>
      </c>
      <c r="H45" s="17">
        <f>-LN(G45)/C45*100</f>
        <v/>
      </c>
      <c r="K45" s="194">
        <f>'[USD_SOFR_Curve_Bloomberg_Pricer.xlsx]Curve_Interface'!$K$46</f>
        <v/>
      </c>
      <c r="L45" s="203">
        <f>'[USD_SOFR_Curve_Bloomberg_Pricer.xlsx]Curve_Interface'!$L$46</f>
        <v/>
      </c>
    </row>
    <row r="46">
      <c r="A46" s="43" t="n">
        <v>37</v>
      </c>
      <c r="B46" s="18">
        <f>EDATE($F$7,3*36)</f>
        <v/>
      </c>
      <c r="C46" s="34">
        <f>(B46-VAL_DATE)/365</f>
        <v/>
      </c>
      <c r="D46" s="18">
        <f>INDEX($K$8:$K$73,MATCH(B46,$K$8:$K$73,1))</f>
        <v/>
      </c>
      <c r="E46" s="18">
        <f>INDEX($K$8:$K$73,MATCH(B46,$K$8:$K$73,1)+1)</f>
        <v/>
      </c>
      <c r="F46" s="17">
        <f>-LN(INDEX($L$8:$L$73,MATCH(B46,$K$8:$K$73,1)+1)/INDEX($L$8:$L$73,MATCH(B46,$K$8:$K$73,1)))/((E46-D46)/365)*100</f>
        <v/>
      </c>
      <c r="G46" s="76">
        <f>IFERROR(IF($J$7="Piecewise Linear (Simple)",IF(((B46-VAL_DATE)/360)&lt;=0,1,1/(1+(IF(MAX((46&gt;0)*(D46-VAL_DATE)/360,0)&lt;=0,IF(((E46-VAL_DATE)/360)&lt;=0,0,(1/INDEX($L$8:$L$73,MATCH(B46,$K$8:$K$73,1)+1)-1)/((E46-VAL_DATE)/360)),IF(MAX((46&gt;0)*(D46-VAL_DATE)/360,0)&lt;=0,0,(1/INDEX($L$8:$L$73,MATCH(B46,$K$8:$K$73,1))-1)/MAX((46&gt;0)*(D46-VAL_DATE)/360,0)))+(IF(((E46-VAL_DATE)/360)&lt;=0,0,(1/INDEX($L$8:$L$73,MATCH(B46,$K$8:$K$73,1)+1)-1)/((E46-VAL_DATE)/360))-IF(MAX((46&gt;0)*(D46-VAL_DATE)/360,0)&lt;=0,IF(((E46-VAL_DATE)/360)&lt;=0,0,(1/INDEX($L$8:$L$73,MATCH(B46,$K$8:$K$73,1)+1)-1)/((E46-VAL_DATE)/360)),IF(MAX((46&gt;0)*(D46-VAL_DATE)/360,0)&lt;=0,0,(1/INDEX($L$8:$L$73,MATCH(B46,$K$8:$K$73,1))-1)/MAX((46&gt;0)*(D46-VAL_DATE)/360,0))))*IF(((E46-VAL_DATE)/360)-MAX((46&gt;0)*(D46-VAL_DATE)/360,0)=0,0,(((B46-VAL_DATE)/360)-MAX((46&gt;0)*(D46-VAL_DATE)/360,0))/(((E46-VAL_DATE)/360)-MAX((46&gt;0)*(D46-VAL_DATE)/360,0))))*((B46-VAL_DATE)/360))),INDEX($L$8:$L$73,MATCH(B46,$K$8:$K$73,1))*EXP(-(F46/100)*(B46-D46)/365)),"")</f>
        <v/>
      </c>
      <c r="H46" s="17">
        <f>-LN(G46)/C46*100</f>
        <v/>
      </c>
      <c r="K46" s="194">
        <f>'[USD_SOFR_Curve_Bloomberg_Pricer.xlsx]Curve_Interface'!$K$47</f>
        <v/>
      </c>
      <c r="L46" s="203">
        <f>'[USD_SOFR_Curve_Bloomberg_Pricer.xlsx]Curve_Interface'!$L$47</f>
        <v/>
      </c>
    </row>
    <row r="47">
      <c r="A47" s="43" t="n">
        <v>38</v>
      </c>
      <c r="B47" s="18">
        <f>EDATE($F$7,3*37)</f>
        <v/>
      </c>
      <c r="C47" s="34">
        <f>(B47-VAL_DATE)/365</f>
        <v/>
      </c>
      <c r="D47" s="18">
        <f>INDEX($K$8:$K$73,MATCH(B47,$K$8:$K$73,1))</f>
        <v/>
      </c>
      <c r="E47" s="18">
        <f>INDEX($K$8:$K$73,MATCH(B47,$K$8:$K$73,1)+1)</f>
        <v/>
      </c>
      <c r="F47" s="17">
        <f>-LN(INDEX($L$8:$L$73,MATCH(B47,$K$8:$K$73,1)+1)/INDEX($L$8:$L$73,MATCH(B47,$K$8:$K$73,1)))/((E47-D47)/365)*100</f>
        <v/>
      </c>
      <c r="G47" s="76">
        <f>IFERROR(IF($J$7="Piecewise Linear (Simple)",IF(((B47-VAL_DATE)/360)&lt;=0,1,1/(1+(IF(MAX((47&gt;0)*(D47-VAL_DATE)/360,0)&lt;=0,IF(((E47-VAL_DATE)/360)&lt;=0,0,(1/INDEX($L$8:$L$73,MATCH(B47,$K$8:$K$73,1)+1)-1)/((E47-VAL_DATE)/360)),IF(MAX((47&gt;0)*(D47-VAL_DATE)/360,0)&lt;=0,0,(1/INDEX($L$8:$L$73,MATCH(B47,$K$8:$K$73,1))-1)/MAX((47&gt;0)*(D47-VAL_DATE)/360,0)))+(IF(((E47-VAL_DATE)/360)&lt;=0,0,(1/INDEX($L$8:$L$73,MATCH(B47,$K$8:$K$73,1)+1)-1)/((E47-VAL_DATE)/360))-IF(MAX((47&gt;0)*(D47-VAL_DATE)/360,0)&lt;=0,IF(((E47-VAL_DATE)/360)&lt;=0,0,(1/INDEX($L$8:$L$73,MATCH(B47,$K$8:$K$73,1)+1)-1)/((E47-VAL_DATE)/360)),IF(MAX((47&gt;0)*(D47-VAL_DATE)/360,0)&lt;=0,0,(1/INDEX($L$8:$L$73,MATCH(B47,$K$8:$K$73,1))-1)/MAX((47&gt;0)*(D47-VAL_DATE)/360,0))))*IF(((E47-VAL_DATE)/360)-MAX((47&gt;0)*(D47-VAL_DATE)/360,0)=0,0,(((B47-VAL_DATE)/360)-MAX((47&gt;0)*(D47-VAL_DATE)/360,0))/(((E47-VAL_DATE)/360)-MAX((47&gt;0)*(D47-VAL_DATE)/360,0))))*((B47-VAL_DATE)/360))),INDEX($L$8:$L$73,MATCH(B47,$K$8:$K$73,1))*EXP(-(F47/100)*(B47-D47)/365)),"")</f>
        <v/>
      </c>
      <c r="H47" s="17">
        <f>-LN(G47)/C47*100</f>
        <v/>
      </c>
      <c r="K47" s="194">
        <f>'[USD_SOFR_Curve_Bloomberg_Pricer.xlsx]Curve_Interface'!$K$48</f>
        <v/>
      </c>
      <c r="L47" s="203">
        <f>'[USD_SOFR_Curve_Bloomberg_Pricer.xlsx]Curve_Interface'!$L$48</f>
        <v/>
      </c>
    </row>
    <row r="48">
      <c r="A48" s="43" t="n">
        <v>39</v>
      </c>
      <c r="B48" s="18">
        <f>EDATE($F$7,3*38)</f>
        <v/>
      </c>
      <c r="C48" s="34">
        <f>(B48-VAL_DATE)/365</f>
        <v/>
      </c>
      <c r="D48" s="18">
        <f>INDEX($K$8:$K$73,MATCH(B48,$K$8:$K$73,1))</f>
        <v/>
      </c>
      <c r="E48" s="18">
        <f>INDEX($K$8:$K$73,MATCH(B48,$K$8:$K$73,1)+1)</f>
        <v/>
      </c>
      <c r="F48" s="17">
        <f>-LN(INDEX($L$8:$L$73,MATCH(B48,$K$8:$K$73,1)+1)/INDEX($L$8:$L$73,MATCH(B48,$K$8:$K$73,1)))/((E48-D48)/365)*100</f>
        <v/>
      </c>
      <c r="G48" s="76">
        <f>IFERROR(IF($J$7="Piecewise Linear (Simple)",IF(((B48-VAL_DATE)/360)&lt;=0,1,1/(1+(IF(MAX((48&gt;0)*(D48-VAL_DATE)/360,0)&lt;=0,IF(((E48-VAL_DATE)/360)&lt;=0,0,(1/INDEX($L$8:$L$73,MATCH(B48,$K$8:$K$73,1)+1)-1)/((E48-VAL_DATE)/360)),IF(MAX((48&gt;0)*(D48-VAL_DATE)/360,0)&lt;=0,0,(1/INDEX($L$8:$L$73,MATCH(B48,$K$8:$K$73,1))-1)/MAX((48&gt;0)*(D48-VAL_DATE)/360,0)))+(IF(((E48-VAL_DATE)/360)&lt;=0,0,(1/INDEX($L$8:$L$73,MATCH(B48,$K$8:$K$73,1)+1)-1)/((E48-VAL_DATE)/360))-IF(MAX((48&gt;0)*(D48-VAL_DATE)/360,0)&lt;=0,IF(((E48-VAL_DATE)/360)&lt;=0,0,(1/INDEX($L$8:$L$73,MATCH(B48,$K$8:$K$73,1)+1)-1)/((E48-VAL_DATE)/360)),IF(MAX((48&gt;0)*(D48-VAL_DATE)/360,0)&lt;=0,0,(1/INDEX($L$8:$L$73,MATCH(B48,$K$8:$K$73,1))-1)/MAX((48&gt;0)*(D48-VAL_DATE)/360,0))))*IF(((E48-VAL_DATE)/360)-MAX((48&gt;0)*(D48-VAL_DATE)/360,0)=0,0,(((B48-VAL_DATE)/360)-MAX((48&gt;0)*(D48-VAL_DATE)/360,0))/(((E48-VAL_DATE)/360)-MAX((48&gt;0)*(D48-VAL_DATE)/360,0))))*((B48-VAL_DATE)/360))),INDEX($L$8:$L$73,MATCH(B48,$K$8:$K$73,1))*EXP(-(F48/100)*(B48-D48)/365)),"")</f>
        <v/>
      </c>
      <c r="H48" s="17">
        <f>-LN(G48)/C48*100</f>
        <v/>
      </c>
      <c r="K48" s="194">
        <f>'[USD_SOFR_Curve_Bloomberg_Pricer.xlsx]Curve_Interface'!$K$49</f>
        <v/>
      </c>
      <c r="L48" s="203">
        <f>'[USD_SOFR_Curve_Bloomberg_Pricer.xlsx]Curve_Interface'!$L$49</f>
        <v/>
      </c>
    </row>
    <row r="49">
      <c r="A49" s="43" t="n">
        <v>40</v>
      </c>
      <c r="B49" s="18">
        <f>EDATE($F$7,3*39)</f>
        <v/>
      </c>
      <c r="C49" s="34">
        <f>(B49-VAL_DATE)/365</f>
        <v/>
      </c>
      <c r="D49" s="18">
        <f>INDEX($K$8:$K$73,MATCH(B49,$K$8:$K$73,1))</f>
        <v/>
      </c>
      <c r="E49" s="18">
        <f>INDEX($K$8:$K$73,MATCH(B49,$K$8:$K$73,1)+1)</f>
        <v/>
      </c>
      <c r="F49" s="17">
        <f>-LN(INDEX($L$8:$L$73,MATCH(B49,$K$8:$K$73,1)+1)/INDEX($L$8:$L$73,MATCH(B49,$K$8:$K$73,1)))/((E49-D49)/365)*100</f>
        <v/>
      </c>
      <c r="G49" s="76">
        <f>IFERROR(IF($J$7="Piecewise Linear (Simple)",IF(((B49-VAL_DATE)/360)&lt;=0,1,1/(1+(IF(MAX((49&gt;0)*(D49-VAL_DATE)/360,0)&lt;=0,IF(((E49-VAL_DATE)/360)&lt;=0,0,(1/INDEX($L$8:$L$73,MATCH(B49,$K$8:$K$73,1)+1)-1)/((E49-VAL_DATE)/360)),IF(MAX((49&gt;0)*(D49-VAL_DATE)/360,0)&lt;=0,0,(1/INDEX($L$8:$L$73,MATCH(B49,$K$8:$K$73,1))-1)/MAX((49&gt;0)*(D49-VAL_DATE)/360,0)))+(IF(((E49-VAL_DATE)/360)&lt;=0,0,(1/INDEX($L$8:$L$73,MATCH(B49,$K$8:$K$73,1)+1)-1)/((E49-VAL_DATE)/360))-IF(MAX((49&gt;0)*(D49-VAL_DATE)/360,0)&lt;=0,IF(((E49-VAL_DATE)/360)&lt;=0,0,(1/INDEX($L$8:$L$73,MATCH(B49,$K$8:$K$73,1)+1)-1)/((E49-VAL_DATE)/360)),IF(MAX((49&gt;0)*(D49-VAL_DATE)/360,0)&lt;=0,0,(1/INDEX($L$8:$L$73,MATCH(B49,$K$8:$K$73,1))-1)/MAX((49&gt;0)*(D49-VAL_DATE)/360,0))))*IF(((E49-VAL_DATE)/360)-MAX((49&gt;0)*(D49-VAL_DATE)/360,0)=0,0,(((B49-VAL_DATE)/360)-MAX((49&gt;0)*(D49-VAL_DATE)/360,0))/(((E49-VAL_DATE)/360)-MAX((49&gt;0)*(D49-VAL_DATE)/360,0))))*((B49-VAL_DATE)/360))),INDEX($L$8:$L$73,MATCH(B49,$K$8:$K$73,1))*EXP(-(F49/100)*(B49-D49)/365)),"")</f>
        <v/>
      </c>
      <c r="H49" s="17">
        <f>-LN(G49)/C49*100</f>
        <v/>
      </c>
      <c r="K49" s="194">
        <f>'[USD_SOFR_Curve_Bloomberg_Pricer.xlsx]Curve_Interface'!$K$50</f>
        <v/>
      </c>
      <c r="L49" s="203">
        <f>'[USD_SOFR_Curve_Bloomberg_Pricer.xlsx]Curve_Interface'!$L$50</f>
        <v/>
      </c>
    </row>
    <row r="50">
      <c r="K50" s="194">
        <f>'[USD_SOFR_Curve_Bloomberg_Pricer.xlsx]Curve_Interface'!$K$51</f>
        <v/>
      </c>
      <c r="L50" s="203">
        <f>'[USD_SOFR_Curve_Bloomberg_Pricer.xlsx]Curve_Interface'!$L$51</f>
        <v/>
      </c>
    </row>
    <row r="51">
      <c r="K51" s="194">
        <f>'[USD_SOFR_Curve_Bloomberg_Pricer.xlsx]Curve_Interface'!$K$52</f>
        <v/>
      </c>
      <c r="L51" s="203">
        <f>'[USD_SOFR_Curve_Bloomberg_Pricer.xlsx]Curve_Interface'!$L$52</f>
        <v/>
      </c>
    </row>
    <row r="52">
      <c r="K52" s="194">
        <f>'[USD_SOFR_Curve_Bloomberg_Pricer.xlsx]Curve_Interface'!$K$53</f>
        <v/>
      </c>
      <c r="L52" s="203">
        <f>'[USD_SOFR_Curve_Bloomberg_Pricer.xlsx]Curve_Interface'!$L$53</f>
        <v/>
      </c>
    </row>
    <row r="53">
      <c r="K53" s="194">
        <f>'[USD_SOFR_Curve_Bloomberg_Pricer.xlsx]Curve_Interface'!$K$54</f>
        <v/>
      </c>
      <c r="L53" s="203">
        <f>'[USD_SOFR_Curve_Bloomberg_Pricer.xlsx]Curve_Interface'!$L$54</f>
        <v/>
      </c>
    </row>
    <row r="54">
      <c r="K54" s="194">
        <f>'[USD_SOFR_Curve_Bloomberg_Pricer.xlsx]Curve_Interface'!$K$55</f>
        <v/>
      </c>
      <c r="L54" s="203">
        <f>'[USD_SOFR_Curve_Bloomberg_Pricer.xlsx]Curve_Interface'!$L$55</f>
        <v/>
      </c>
    </row>
    <row r="55">
      <c r="K55" s="194">
        <f>'[USD_SOFR_Curve_Bloomberg_Pricer.xlsx]Curve_Interface'!$K$56</f>
        <v/>
      </c>
      <c r="L55" s="203">
        <f>'[USD_SOFR_Curve_Bloomberg_Pricer.xlsx]Curve_Interface'!$L$56</f>
        <v/>
      </c>
    </row>
    <row r="56">
      <c r="K56" s="194">
        <f>'[USD_SOFR_Curve_Bloomberg_Pricer.xlsx]Curve_Interface'!$K$57</f>
        <v/>
      </c>
      <c r="L56" s="203">
        <f>'[USD_SOFR_Curve_Bloomberg_Pricer.xlsx]Curve_Interface'!$L$57</f>
        <v/>
      </c>
    </row>
    <row r="57">
      <c r="K57" s="194">
        <f>'[USD_SOFR_Curve_Bloomberg_Pricer.xlsx]Curve_Interface'!$K$58</f>
        <v/>
      </c>
      <c r="L57" s="203">
        <f>'[USD_SOFR_Curve_Bloomberg_Pricer.xlsx]Curve_Interface'!$L$58</f>
        <v/>
      </c>
    </row>
    <row r="58">
      <c r="K58" s="194">
        <f>'[USD_SOFR_Curve_Bloomberg_Pricer.xlsx]Curve_Interface'!$K$59</f>
        <v/>
      </c>
      <c r="L58" s="203">
        <f>'[USD_SOFR_Curve_Bloomberg_Pricer.xlsx]Curve_Interface'!$L$59</f>
        <v/>
      </c>
    </row>
    <row r="59">
      <c r="K59" s="194">
        <f>'[USD_SOFR_Curve_Bloomberg_Pricer.xlsx]Curve_Interface'!$K$60</f>
        <v/>
      </c>
      <c r="L59" s="203">
        <f>'[USD_SOFR_Curve_Bloomberg_Pricer.xlsx]Curve_Interface'!$L$60</f>
        <v/>
      </c>
    </row>
    <row r="60">
      <c r="K60" s="194">
        <f>'[USD_SOFR_Curve_Bloomberg_Pricer.xlsx]Curve_Interface'!$K$61</f>
        <v/>
      </c>
      <c r="L60" s="203">
        <f>'[USD_SOFR_Curve_Bloomberg_Pricer.xlsx]Curve_Interface'!$L$61</f>
        <v/>
      </c>
    </row>
    <row r="61">
      <c r="K61" s="194">
        <f>'[USD_SOFR_Curve_Bloomberg_Pricer.xlsx]Curve_Interface'!$K$62</f>
        <v/>
      </c>
      <c r="L61" s="203">
        <f>'[USD_SOFR_Curve_Bloomberg_Pricer.xlsx]Curve_Interface'!$L$62</f>
        <v/>
      </c>
    </row>
    <row r="62">
      <c r="K62" s="194">
        <f>'[USD_SOFR_Curve_Bloomberg_Pricer.xlsx]Curve_Interface'!$K$63</f>
        <v/>
      </c>
      <c r="L62" s="203">
        <f>'[USD_SOFR_Curve_Bloomberg_Pricer.xlsx]Curve_Interface'!$L$63</f>
        <v/>
      </c>
    </row>
    <row r="63">
      <c r="K63" s="194">
        <f>'[USD_SOFR_Curve_Bloomberg_Pricer.xlsx]Curve_Interface'!$K$64</f>
        <v/>
      </c>
      <c r="L63" s="203">
        <f>'[USD_SOFR_Curve_Bloomberg_Pricer.xlsx]Curve_Interface'!$L$64</f>
        <v/>
      </c>
    </row>
    <row r="64">
      <c r="K64" s="194">
        <f>'[USD_SOFR_Curve_Bloomberg_Pricer.xlsx]Curve_Interface'!$K$65</f>
        <v/>
      </c>
      <c r="L64" s="203">
        <f>'[USD_SOFR_Curve_Bloomberg_Pricer.xlsx]Curve_Interface'!$L$65</f>
        <v/>
      </c>
    </row>
    <row r="65">
      <c r="K65" s="194">
        <f>'[USD_SOFR_Curve_Bloomberg_Pricer.xlsx]Curve_Interface'!$K$66</f>
        <v/>
      </c>
      <c r="L65" s="203">
        <f>'[USD_SOFR_Curve_Bloomberg_Pricer.xlsx]Curve_Interface'!$L$66</f>
        <v/>
      </c>
    </row>
    <row r="66">
      <c r="K66" s="194">
        <f>'[USD_SOFR_Curve_Bloomberg_Pricer.xlsx]Curve_Interface'!$K$67</f>
        <v/>
      </c>
      <c r="L66" s="203">
        <f>'[USD_SOFR_Curve_Bloomberg_Pricer.xlsx]Curve_Interface'!$L$67</f>
        <v/>
      </c>
    </row>
    <row r="67">
      <c r="K67" s="194">
        <f>'[USD_SOFR_Curve_Bloomberg_Pricer.xlsx]Curve_Interface'!$K$68</f>
        <v/>
      </c>
      <c r="L67" s="203">
        <f>'[USD_SOFR_Curve_Bloomberg_Pricer.xlsx]Curve_Interface'!$L$68</f>
        <v/>
      </c>
    </row>
    <row r="68">
      <c r="K68" s="194">
        <f>'[USD_SOFR_Curve_Bloomberg_Pricer.xlsx]Curve_Interface'!$K$69</f>
        <v/>
      </c>
      <c r="L68" s="203">
        <f>'[USD_SOFR_Curve_Bloomberg_Pricer.xlsx]Curve_Interface'!$L$69</f>
        <v/>
      </c>
    </row>
    <row r="69">
      <c r="K69" s="194">
        <f>'[USD_SOFR_Curve_Bloomberg_Pricer.xlsx]Curve_Interface'!$K$70</f>
        <v/>
      </c>
      <c r="L69" s="203">
        <f>'[USD_SOFR_Curve_Bloomberg_Pricer.xlsx]Curve_Interface'!$L$70</f>
        <v/>
      </c>
    </row>
    <row r="70">
      <c r="K70" s="194">
        <f>'[USD_SOFR_Curve_Bloomberg_Pricer.xlsx]Curve_Interface'!$K$71</f>
        <v/>
      </c>
      <c r="L70" s="203">
        <f>'[USD_SOFR_Curve_Bloomberg_Pricer.xlsx]Curve_Interface'!$L$71</f>
        <v/>
      </c>
    </row>
    <row r="71">
      <c r="K71" s="194">
        <f>'[USD_SOFR_Curve_Bloomberg_Pricer.xlsx]Curve_Interface'!$K$72</f>
        <v/>
      </c>
      <c r="L71" s="203">
        <f>'[USD_SOFR_Curve_Bloomberg_Pricer.xlsx]Curve_Interface'!$L$72</f>
        <v/>
      </c>
    </row>
    <row r="72">
      <c r="K72" s="194">
        <f>'[USD_SOFR_Curve_Bloomberg_Pricer.xlsx]Curve_Interface'!$K$73</f>
        <v/>
      </c>
      <c r="L72" s="203">
        <f>'[USD_SOFR_Curve_Bloomberg_Pricer.xlsx]Curve_Interface'!$L$73</f>
        <v/>
      </c>
    </row>
    <row r="73">
      <c r="K73" s="194">
        <f>'[USD_SOFR_Curve_Bloomberg_Pricer.xlsx]Curve_Interface'!$K$74</f>
        <v/>
      </c>
      <c r="L73" s="203">
        <f>'[USD_SOFR_Curve_Bloomberg_Pricer.xlsx]Curve_Interface'!$L$74</f>
        <v/>
      </c>
    </row>
  </sheetData>
  <mergeCells count="2">
    <mergeCell ref="K6:L6"/>
    <mergeCell ref="A4:H6"/>
  </mergeCells>
  <dataValidations count="1">
    <dataValidation sqref="J7" showDropDown="0" showInputMessage="0" showErrorMessage="0" allowBlank="0" type="list">
      <formula1>"Step-function forward (flat fwd),Piecewise Linear (Simple)"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" customWidth="1" min="3" max="3"/>
    <col width="13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5" max="15"/>
    <col width="11" customWidth="1" min="16" max="16"/>
    <col width="13" customWidth="1" min="17" max="17"/>
    <col width="14" customWidth="1" min="18" max="18"/>
    <col width="13" customWidth="1" min="19" max="19"/>
    <col width="13" customWidth="1" min="20" max="20"/>
    <col width="14" customWidth="1" min="21" max="21"/>
    <col width="11" customWidth="1" min="22" max="22"/>
    <col width="13" customWidth="1" min="23" max="23"/>
    <col width="14" customWidth="1" min="24" max="24"/>
    <col width="13" customWidth="1" min="25" max="25"/>
    <col width="12" customWidth="1" min="26" max="26"/>
    <col width="12" customWidth="1" min="27" max="27"/>
    <col width="14" customWidth="1" min="28" max="28"/>
    <col width="10" customWidth="1" min="29" max="29"/>
    <col width="18" customWidth="1" min="32" max="32"/>
    <col width="11" customWidth="1" min="33" max="33"/>
    <col width="18" customWidth="1" min="34" max="34"/>
    <col width="11" customWidth="1" min="35" max="35"/>
    <col width="18" customWidth="1" min="36" max="36"/>
    <col width="11" customWidth="1" min="37" max="37"/>
    <col width="18" customWidth="1" min="38" max="38"/>
    <col width="11" customWidth="1" min="39" max="39"/>
    <col width="18" customWidth="1" min="40" max="40"/>
    <col width="11" customWidth="1" min="41" max="41"/>
    <col width="18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</cols>
  <sheetData>
    <row r="1">
      <c r="A1" s="123" t="inlineStr">
        <is>
          <t>CDS_Entities: names pulled from Bloomberg</t>
        </is>
      </c>
    </row>
    <row r="2">
      <c r="A2" s="65" t="inlineStr">
        <is>
          <t>One row per name. Blue/yellow cells are typed in from the terminal. CDS_Parameters!B27 selects which row prices.</t>
        </is>
      </c>
      <c r="AE2" s="65" t="inlineStr">
        <is>
          <t>Type a ticker in col B and the row populates. Cols H:M show what is in use: the live pull when it resolves. To hard-code instead, overwrite H:M directly.</t>
        </is>
      </c>
      <c r="AR2" s="65" t="inlineStr">
        <is>
          <t>Guaranteed numeric. CDS_Quotes reads THIS, never H:M directly - an empty string here propagates into the hazard chain and takes out the module.</t>
        </is>
      </c>
    </row>
    <row r="3">
      <c r="A3" s="65" t="inlineStr">
        <is>
          <t>Spreads H:M are T3 (term structure). O:AC are T4 (the CDSW screen for that name) and are the acceptance test: see TEST_CASES.md.</t>
        </is>
      </c>
      <c r="H3" s="67" t="inlineStr">
        <is>
          <t>TERM STRUCTURE (T3)</t>
        </is>
      </c>
      <c r="O3" s="67" t="inlineStr">
        <is>
          <t>CDSW SCREEN CAPTURE (T4)</t>
        </is>
      </c>
      <c r="AE3" s="67" t="inlineStr">
        <is>
          <t>DYNAMIC PULL: Help Desk H#1330731572</t>
        </is>
      </c>
      <c r="AR3" s="177" t="inlineStr">
        <is>
          <t>in use = Entities effective block (override &gt; BDP &gt; manual)</t>
        </is>
      </c>
    </row>
    <row r="4" ht="30" customHeight="1">
      <c r="A4" s="141" t="inlineStr">
        <is>
          <t>Entity name</t>
        </is>
      </c>
      <c r="B4" s="141" t="inlineStr">
        <is>
          <t>Ticker (BDP)</t>
        </is>
      </c>
      <c r="C4" s="141" t="inlineStr">
        <is>
          <t>Ccy</t>
        </is>
      </c>
      <c r="D4" s="141" t="inlineStr">
        <is>
          <t>Seniority</t>
        </is>
      </c>
      <c r="E4" s="141" t="inlineStr">
        <is>
          <t>Clause</t>
        </is>
      </c>
      <c r="F4" s="141" t="inlineStr">
        <is>
          <t>Recovery</t>
        </is>
      </c>
      <c r="G4" s="141" t="inlineStr">
        <is>
          <t>Captured</t>
        </is>
      </c>
      <c r="H4" s="145" t="inlineStr">
        <is>
          <t>1Y bp (manual)</t>
        </is>
      </c>
      <c r="I4" s="145" t="inlineStr">
        <is>
          <t>2Y bp (manual)</t>
        </is>
      </c>
      <c r="J4" s="145" t="inlineStr">
        <is>
          <t>3Y bp (manual)</t>
        </is>
      </c>
      <c r="K4" s="145" t="inlineStr">
        <is>
          <t>5Y bp (manual)</t>
        </is>
      </c>
      <c r="L4" s="145" t="inlineStr">
        <is>
          <t>7Y bp (manual)</t>
        </is>
      </c>
      <c r="M4" s="145" t="inlineStr">
        <is>
          <t>10Y bp (manual)</t>
        </is>
      </c>
      <c r="O4" s="146" t="inlineStr">
        <is>
          <t>Notional</t>
        </is>
      </c>
      <c r="P4" s="146" t="inlineStr">
        <is>
          <t>Coupon bp</t>
        </is>
      </c>
      <c r="Q4" s="146" t="inlineStr">
        <is>
          <t>Maturity</t>
        </is>
      </c>
      <c r="R4" s="146" t="inlineStr">
        <is>
          <t>Traded sprd bp</t>
        </is>
      </c>
      <c r="S4" s="146" t="inlineStr">
        <is>
          <t>Pts upfront</t>
        </is>
      </c>
      <c r="T4" s="146" t="inlineStr">
        <is>
          <t>Price</t>
        </is>
      </c>
      <c r="U4" s="146" t="inlineStr">
        <is>
          <t>Principal</t>
        </is>
      </c>
      <c r="V4" s="146" t="inlineStr">
        <is>
          <t>Accr days</t>
        </is>
      </c>
      <c r="W4" s="146" t="inlineStr">
        <is>
          <t>Accrued</t>
        </is>
      </c>
      <c r="X4" s="146" t="inlineStr">
        <is>
          <t>Cash amount</t>
        </is>
      </c>
      <c r="Y4" s="146" t="inlineStr">
        <is>
          <t>Spread DV01</t>
        </is>
      </c>
      <c r="Z4" s="146" t="inlineStr">
        <is>
          <t>IR DV01</t>
        </is>
      </c>
      <c r="AA4" s="146" t="inlineStr">
        <is>
          <t>Rec risk 1%</t>
        </is>
      </c>
      <c r="AB4" s="146" t="inlineStr">
        <is>
          <t>Def exposure</t>
        </is>
      </c>
      <c r="AC4" s="146" t="inlineStr">
        <is>
          <t>Prob 5Y</t>
        </is>
      </c>
      <c r="AE4" s="141" t="inlineStr">
        <is>
          <t>Step 1 ticker</t>
        </is>
      </c>
      <c r="AF4" s="141" t="inlineStr">
        <is>
          <t>1Y ticker</t>
        </is>
      </c>
      <c r="AG4" s="141" t="inlineStr">
        <is>
          <t>1Y bp live</t>
        </is>
      </c>
      <c r="AH4" s="141" t="inlineStr">
        <is>
          <t>2Y ticker</t>
        </is>
      </c>
      <c r="AI4" s="141" t="inlineStr">
        <is>
          <t>2Y bp live</t>
        </is>
      </c>
      <c r="AJ4" s="141" t="inlineStr">
        <is>
          <t>3Y ticker</t>
        </is>
      </c>
      <c r="AK4" s="141" t="inlineStr">
        <is>
          <t>3Y bp live</t>
        </is>
      </c>
      <c r="AL4" s="141" t="inlineStr">
        <is>
          <t>5Y ticker</t>
        </is>
      </c>
      <c r="AM4" s="141" t="inlineStr">
        <is>
          <t>5Y bp live</t>
        </is>
      </c>
      <c r="AN4" s="141" t="inlineStr">
        <is>
          <t>7Y ticker</t>
        </is>
      </c>
      <c r="AO4" s="141" t="inlineStr">
        <is>
          <t>7Y bp live</t>
        </is>
      </c>
      <c r="AP4" s="141" t="inlineStr">
        <is>
          <t>10Y ticker</t>
        </is>
      </c>
      <c r="AQ4" s="141" t="inlineStr">
        <is>
          <t>10Y bp live</t>
        </is>
      </c>
      <c r="AR4" s="141" t="inlineStr">
        <is>
          <t>1Y used</t>
        </is>
      </c>
      <c r="AS4" s="141" t="inlineStr">
        <is>
          <t>2Y used</t>
        </is>
      </c>
      <c r="AT4" s="141" t="inlineStr">
        <is>
          <t>3Y used</t>
        </is>
      </c>
      <c r="AU4" s="141" t="inlineStr">
        <is>
          <t>5Y used</t>
        </is>
      </c>
      <c r="AV4" s="141" t="inlineStr">
        <is>
          <t>7Y used</t>
        </is>
      </c>
      <c r="AW4" s="141" t="inlineStr">
        <is>
          <t>10Y used</t>
        </is>
      </c>
    </row>
    <row r="5">
      <c r="A5" s="68">
        <f>IF(Entities!$B7="","",Entities!$B7)</f>
        <v/>
      </c>
      <c r="B5" s="68">
        <f>IF(Entities!$C7="","",Entities!$C7)</f>
        <v/>
      </c>
      <c r="C5" s="68">
        <f>IF(Entities!$D7="","",Entities!$D7)</f>
        <v/>
      </c>
      <c r="D5" s="68" t="inlineStr">
        <is>
          <t>Senior</t>
        </is>
      </c>
      <c r="E5" s="68" t="inlineStr">
        <is>
          <t>CR14</t>
        </is>
      </c>
      <c r="F5" s="147" t="n">
        <v>0.4</v>
      </c>
      <c r="G5" s="111" t="n">
        <v>46224</v>
      </c>
      <c r="H5" s="64" t="n"/>
      <c r="I5" s="64" t="n"/>
      <c r="J5" s="64" t="n"/>
      <c r="K5" s="64" t="n">
        <v>55.1514</v>
      </c>
      <c r="L5" s="64" t="n"/>
      <c r="M5" s="64" t="n"/>
      <c r="O5" s="118" t="n">
        <v>10000000</v>
      </c>
      <c r="P5" s="64" t="n">
        <v>100</v>
      </c>
      <c r="Q5" s="111" t="n">
        <v>48019</v>
      </c>
      <c r="R5" s="64" t="n">
        <v>55.1514</v>
      </c>
      <c r="S5" s="148" t="n">
        <v>-1.97596265</v>
      </c>
      <c r="T5" s="148" t="n">
        <v>101.97596265</v>
      </c>
      <c r="U5" s="118" t="n">
        <v>-197597</v>
      </c>
      <c r="V5" s="95" t="n">
        <v>30</v>
      </c>
      <c r="W5" s="118" t="n">
        <v>-8333</v>
      </c>
      <c r="X5" s="118" t="n">
        <v>-205930</v>
      </c>
      <c r="Y5" s="118" t="n">
        <v>4482.41</v>
      </c>
      <c r="Z5" s="118" t="n">
        <v>47.71</v>
      </c>
      <c r="AA5" s="118" t="n">
        <v>72</v>
      </c>
      <c r="AB5" s="118" t="n">
        <v>6197596</v>
      </c>
      <c r="AC5" s="64" t="n">
        <v>0.0446</v>
      </c>
      <c r="AF5" s="93">
        <f>IFERROR(BDP($B5,"CDS_SPREAD_TICKER_1Y"),"")</f>
        <v/>
      </c>
      <c r="AG5" s="63">
        <f>IFERROR(BDP(AF5&amp;" BEST Curncy","PX_LAST")+0,"")</f>
        <v/>
      </c>
      <c r="AH5" s="93">
        <f>IFERROR(BDP($B5,"CDS_SPREAD_TICKER_2Y"),"")</f>
        <v/>
      </c>
      <c r="AI5" s="63">
        <f>IFERROR(BDP(AH5&amp;" BEST Curncy","PX_LAST")+0,"")</f>
        <v/>
      </c>
      <c r="AJ5" s="93">
        <f>IFERROR(BDP($B5,"CDS_SPREAD_TICKER_3Y"),"")</f>
        <v/>
      </c>
      <c r="AK5" s="63">
        <f>IFERROR(BDP(AJ5&amp;" BEST Curncy","PX_LAST")+0,"")</f>
        <v/>
      </c>
      <c r="AL5" s="93">
        <f>IFERROR(BDP($B5,"CDS_SPREAD_TICKER_5Y"),"")</f>
        <v/>
      </c>
      <c r="AM5" s="63">
        <f>IFERROR(BDP(AL5&amp;" BEST Curncy","PX_LAST")+0,"")</f>
        <v/>
      </c>
      <c r="AN5" s="93">
        <f>IFERROR(BDP($B5,"CDS_SPREAD_TICKER_7Y"),"")</f>
        <v/>
      </c>
      <c r="AO5" s="63">
        <f>IFERROR(BDP(AN5&amp;" BEST Curncy","PX_LAST")+0,"")</f>
        <v/>
      </c>
      <c r="AP5" s="93">
        <f>IFERROR(BDP($B5,"CDS_SPREAD_TICKER_10Y"),"")</f>
        <v/>
      </c>
      <c r="AQ5" s="63">
        <f>IFERROR(BDP(AP5&amp;" BEST Curncy","PX_LAST")+0,"")</f>
        <v/>
      </c>
      <c r="AR5" s="133">
        <f>IF(Entities!$F21="",0,Entities!$F21)</f>
        <v/>
      </c>
      <c r="AS5" s="133">
        <f>IF(Entities!$G21="",0,Entities!$G21)</f>
        <v/>
      </c>
      <c r="AT5" s="133">
        <f>IF(Entities!$H21="",0,Entities!$H21)</f>
        <v/>
      </c>
      <c r="AU5" s="133">
        <f>IF(Entities!$I21="",0,Entities!$I21)</f>
        <v/>
      </c>
      <c r="AV5" s="133">
        <f>IF(Entities!$J21="",0,Entities!$J21)</f>
        <v/>
      </c>
      <c r="AW5" s="133">
        <f>IF(Entities!$K21="",0,Entities!$K21)</f>
        <v/>
      </c>
    </row>
    <row r="6">
      <c r="A6" s="68">
        <f>IF(Entities!$B8="","",Entities!$B8)</f>
        <v/>
      </c>
      <c r="B6" s="68">
        <f>IF(Entities!$C8="","",Entities!$C8)</f>
        <v/>
      </c>
      <c r="C6" s="68">
        <f>IF(Entities!$D8="","",Entities!$D8)</f>
        <v/>
      </c>
      <c r="D6" s="68" t="inlineStr">
        <is>
          <t>Senior</t>
        </is>
      </c>
      <c r="E6" s="68" t="inlineStr">
        <is>
          <t>CR14</t>
        </is>
      </c>
      <c r="F6" s="147" t="n">
        <v>0.4</v>
      </c>
      <c r="G6" s="111" t="n"/>
      <c r="H6" s="64" t="n">
        <v>40</v>
      </c>
      <c r="I6" s="64" t="n">
        <v>55</v>
      </c>
      <c r="J6" s="64" t="n">
        <v>70</v>
      </c>
      <c r="K6" s="64" t="n">
        <v>95</v>
      </c>
      <c r="L6" s="64" t="n">
        <v>115</v>
      </c>
      <c r="M6" s="64" t="n">
        <v>135</v>
      </c>
      <c r="O6" s="118" t="n"/>
      <c r="P6" s="64" t="n"/>
      <c r="Q6" s="111" t="n"/>
      <c r="R6" s="64" t="n"/>
      <c r="S6" s="148" t="n"/>
      <c r="T6" s="148" t="n"/>
      <c r="U6" s="118" t="n"/>
      <c r="V6" s="95" t="n"/>
      <c r="W6" s="118" t="n"/>
      <c r="X6" s="118" t="n"/>
      <c r="Y6" s="118" t="n"/>
      <c r="Z6" s="118" t="n"/>
      <c r="AA6" s="118" t="n"/>
      <c r="AB6" s="118" t="n"/>
      <c r="AC6" s="64" t="n"/>
      <c r="AF6" s="93">
        <f>IFERROR(BDP($B6,"CDS_SPREAD_TICKER_1Y"),"")</f>
        <v/>
      </c>
      <c r="AG6" s="63">
        <f>IFERROR(BDP(AF6&amp;" BEST Curncy","PX_LAST")+0,"")</f>
        <v/>
      </c>
      <c r="AH6" s="93">
        <f>IFERROR(BDP($B6,"CDS_SPREAD_TICKER_2Y"),"")</f>
        <v/>
      </c>
      <c r="AI6" s="63">
        <f>IFERROR(BDP(AH6&amp;" BEST Curncy","PX_LAST")+0,"")</f>
        <v/>
      </c>
      <c r="AJ6" s="93">
        <f>IFERROR(BDP($B6,"CDS_SPREAD_TICKER_3Y"),"")</f>
        <v/>
      </c>
      <c r="AK6" s="63">
        <f>IFERROR(BDP(AJ6&amp;" BEST Curncy","PX_LAST")+0,"")</f>
        <v/>
      </c>
      <c r="AL6" s="93">
        <f>IFERROR(BDP($B6,"CDS_SPREAD_TICKER_5Y"),"")</f>
        <v/>
      </c>
      <c r="AM6" s="63">
        <f>IFERROR(BDP(AL6&amp;" BEST Curncy","PX_LAST")+0,"")</f>
        <v/>
      </c>
      <c r="AN6" s="93">
        <f>IFERROR(BDP($B6,"CDS_SPREAD_TICKER_7Y"),"")</f>
        <v/>
      </c>
      <c r="AO6" s="63">
        <f>IFERROR(BDP(AN6&amp;" BEST Curncy","PX_LAST")+0,"")</f>
        <v/>
      </c>
      <c r="AP6" s="93">
        <f>IFERROR(BDP($B6,"CDS_SPREAD_TICKER_10Y"),"")</f>
        <v/>
      </c>
      <c r="AQ6" s="63">
        <f>IFERROR(BDP(AP6&amp;" BEST Curncy","PX_LAST")+0,"")</f>
        <v/>
      </c>
      <c r="AR6" s="133">
        <f>IF(Entities!$F22="",0,Entities!$F22)</f>
        <v/>
      </c>
      <c r="AS6" s="133">
        <f>IF(Entities!$G22="",0,Entities!$G22)</f>
        <v/>
      </c>
      <c r="AT6" s="133">
        <f>IF(Entities!$H22="",0,Entities!$H22)</f>
        <v/>
      </c>
      <c r="AU6" s="133">
        <f>IF(Entities!$I22="",0,Entities!$I22)</f>
        <v/>
      </c>
      <c r="AV6" s="133">
        <f>IF(Entities!$J22="",0,Entities!$J22)</f>
        <v/>
      </c>
      <c r="AW6" s="133">
        <f>IF(Entities!$K22="",0,Entities!$K22)</f>
        <v/>
      </c>
    </row>
    <row r="7">
      <c r="A7" s="68">
        <f>IF(Entities!$B9="","",Entities!$B9)</f>
        <v/>
      </c>
      <c r="B7" s="68">
        <f>IF(Entities!$C9="","",Entities!$C9)</f>
        <v/>
      </c>
      <c r="C7" s="68">
        <f>IF(Entities!$D9="","",Entities!$D9)</f>
        <v/>
      </c>
      <c r="D7" s="68" t="n"/>
      <c r="E7" s="68" t="n"/>
      <c r="F7" s="147" t="n">
        <v>0.4</v>
      </c>
      <c r="G7" s="111" t="n"/>
      <c r="H7" s="64" t="n"/>
      <c r="I7" s="64" t="n"/>
      <c r="J7" s="64" t="n"/>
      <c r="K7" s="64" t="n"/>
      <c r="L7" s="64" t="n"/>
      <c r="M7" s="64" t="n"/>
      <c r="O7" s="118" t="n"/>
      <c r="P7" s="64" t="n"/>
      <c r="Q7" s="111" t="n"/>
      <c r="R7" s="64" t="n"/>
      <c r="S7" s="148" t="n"/>
      <c r="T7" s="148" t="n"/>
      <c r="U7" s="118" t="n"/>
      <c r="V7" s="95" t="n"/>
      <c r="W7" s="118" t="n"/>
      <c r="X7" s="118" t="n"/>
      <c r="Y7" s="118" t="n"/>
      <c r="Z7" s="118" t="n"/>
      <c r="AA7" s="118" t="n"/>
      <c r="AB7" s="118" t="n"/>
      <c r="AC7" s="64" t="n"/>
      <c r="AF7" s="93">
        <f>IFERROR(BDP($B7,"CDS_SPREAD_TICKER_1Y"),"")</f>
        <v/>
      </c>
      <c r="AG7" s="63">
        <f>IFERROR(BDP(AF7&amp;" BEST Curncy","PX_LAST")+0,"")</f>
        <v/>
      </c>
      <c r="AH7" s="93">
        <f>IFERROR(BDP($B7,"CDS_SPREAD_TICKER_2Y"),"")</f>
        <v/>
      </c>
      <c r="AI7" s="63">
        <f>IFERROR(BDP(AH7&amp;" BEST Curncy","PX_LAST")+0,"")</f>
        <v/>
      </c>
      <c r="AJ7" s="93">
        <f>IFERROR(BDP($B7,"CDS_SPREAD_TICKER_3Y"),"")</f>
        <v/>
      </c>
      <c r="AK7" s="63">
        <f>IFERROR(BDP(AJ7&amp;" BEST Curncy","PX_LAST")+0,"")</f>
        <v/>
      </c>
      <c r="AL7" s="93">
        <f>IFERROR(BDP($B7,"CDS_SPREAD_TICKER_5Y"),"")</f>
        <v/>
      </c>
      <c r="AM7" s="63">
        <f>IFERROR(BDP(AL7&amp;" BEST Curncy","PX_LAST")+0,"")</f>
        <v/>
      </c>
      <c r="AN7" s="93">
        <f>IFERROR(BDP($B7,"CDS_SPREAD_TICKER_7Y"),"")</f>
        <v/>
      </c>
      <c r="AO7" s="63">
        <f>IFERROR(BDP(AN7&amp;" BEST Curncy","PX_LAST")+0,"")</f>
        <v/>
      </c>
      <c r="AP7" s="93">
        <f>IFERROR(BDP($B7,"CDS_SPREAD_TICKER_10Y"),"")</f>
        <v/>
      </c>
      <c r="AQ7" s="63">
        <f>IFERROR(BDP(AP7&amp;" BEST Curncy","PX_LAST")+0,"")</f>
        <v/>
      </c>
      <c r="AR7" s="133">
        <f>IF(Entities!$F23="",0,Entities!$F23)</f>
        <v/>
      </c>
      <c r="AS7" s="133">
        <f>IF(Entities!$G23="",0,Entities!$G23)</f>
        <v/>
      </c>
      <c r="AT7" s="133">
        <f>IF(Entities!$H23="",0,Entities!$H23)</f>
        <v/>
      </c>
      <c r="AU7" s="133">
        <f>IF(Entities!$I23="",0,Entities!$I23)</f>
        <v/>
      </c>
      <c r="AV7" s="133">
        <f>IF(Entities!$J23="",0,Entities!$J23)</f>
        <v/>
      </c>
      <c r="AW7" s="133">
        <f>IF(Entities!$K23="",0,Entities!$K23)</f>
        <v/>
      </c>
    </row>
    <row r="8">
      <c r="A8" s="68">
        <f>IF(Entities!$B10="","",Entities!$B10)</f>
        <v/>
      </c>
      <c r="B8" s="68">
        <f>IF(Entities!$C10="","",Entities!$C10)</f>
        <v/>
      </c>
      <c r="C8" s="68">
        <f>IF(Entities!$D10="","",Entities!$D10)</f>
        <v/>
      </c>
      <c r="D8" s="68" t="n"/>
      <c r="E8" s="68" t="n"/>
      <c r="F8" s="147" t="n">
        <v>0.4</v>
      </c>
      <c r="G8" s="111" t="n"/>
      <c r="H8" s="64" t="n"/>
      <c r="I8" s="64" t="n"/>
      <c r="J8" s="64" t="n"/>
      <c r="K8" s="64" t="n"/>
      <c r="L8" s="64" t="n"/>
      <c r="M8" s="64" t="n"/>
      <c r="O8" s="118" t="n"/>
      <c r="P8" s="64" t="n"/>
      <c r="Q8" s="111" t="n"/>
      <c r="R8" s="64" t="n"/>
      <c r="S8" s="148" t="n"/>
      <c r="T8" s="148" t="n"/>
      <c r="U8" s="118" t="n"/>
      <c r="V8" s="95" t="n"/>
      <c r="W8" s="118" t="n"/>
      <c r="X8" s="118" t="n"/>
      <c r="Y8" s="118" t="n"/>
      <c r="Z8" s="118" t="n"/>
      <c r="AA8" s="118" t="n"/>
      <c r="AB8" s="118" t="n"/>
      <c r="AC8" s="64" t="n"/>
      <c r="AF8" s="93">
        <f>IFERROR(BDP($B8,"CDS_SPREAD_TICKER_1Y"),"")</f>
        <v/>
      </c>
      <c r="AG8" s="63">
        <f>IFERROR(BDP(AF8&amp;" BEST Curncy","PX_LAST")+0,"")</f>
        <v/>
      </c>
      <c r="AH8" s="93">
        <f>IFERROR(BDP($B8,"CDS_SPREAD_TICKER_2Y"),"")</f>
        <v/>
      </c>
      <c r="AI8" s="63">
        <f>IFERROR(BDP(AH8&amp;" BEST Curncy","PX_LAST")+0,"")</f>
        <v/>
      </c>
      <c r="AJ8" s="93">
        <f>IFERROR(BDP($B8,"CDS_SPREAD_TICKER_3Y"),"")</f>
        <v/>
      </c>
      <c r="AK8" s="63">
        <f>IFERROR(BDP(AJ8&amp;" BEST Curncy","PX_LAST")+0,"")</f>
        <v/>
      </c>
      <c r="AL8" s="93">
        <f>IFERROR(BDP($B8,"CDS_SPREAD_TICKER_5Y"),"")</f>
        <v/>
      </c>
      <c r="AM8" s="63">
        <f>IFERROR(BDP(AL8&amp;" BEST Curncy","PX_LAST")+0,"")</f>
        <v/>
      </c>
      <c r="AN8" s="93">
        <f>IFERROR(BDP($B8,"CDS_SPREAD_TICKER_7Y"),"")</f>
        <v/>
      </c>
      <c r="AO8" s="63">
        <f>IFERROR(BDP(AN8&amp;" BEST Curncy","PX_LAST")+0,"")</f>
        <v/>
      </c>
      <c r="AP8" s="93">
        <f>IFERROR(BDP($B8,"CDS_SPREAD_TICKER_10Y"),"")</f>
        <v/>
      </c>
      <c r="AQ8" s="63">
        <f>IFERROR(BDP(AP8&amp;" BEST Curncy","PX_LAST")+0,"")</f>
        <v/>
      </c>
      <c r="AR8" s="133">
        <f>IF(Entities!$F24="",0,Entities!$F24)</f>
        <v/>
      </c>
      <c r="AS8" s="133">
        <f>IF(Entities!$G24="",0,Entities!$G24)</f>
        <v/>
      </c>
      <c r="AT8" s="133">
        <f>IF(Entities!$H24="",0,Entities!$H24)</f>
        <v/>
      </c>
      <c r="AU8" s="133">
        <f>IF(Entities!$I24="",0,Entities!$I24)</f>
        <v/>
      </c>
      <c r="AV8" s="133">
        <f>IF(Entities!$J24="",0,Entities!$J24)</f>
        <v/>
      </c>
      <c r="AW8" s="133">
        <f>IF(Entities!$K24="",0,Entities!$K24)</f>
        <v/>
      </c>
    </row>
    <row r="9">
      <c r="A9" s="68">
        <f>IF(Entities!$B11="","",Entities!$B11)</f>
        <v/>
      </c>
      <c r="B9" s="68">
        <f>IF(Entities!$C11="","",Entities!$C11)</f>
        <v/>
      </c>
      <c r="C9" s="68">
        <f>IF(Entities!$D11="","",Entities!$D11)</f>
        <v/>
      </c>
      <c r="D9" s="68" t="n"/>
      <c r="E9" s="68" t="n"/>
      <c r="F9" s="147" t="n">
        <v>0.4</v>
      </c>
      <c r="G9" s="111" t="n"/>
      <c r="H9" s="64" t="n"/>
      <c r="I9" s="64" t="n"/>
      <c r="J9" s="64" t="n"/>
      <c r="K9" s="64" t="n"/>
      <c r="L9" s="64" t="n"/>
      <c r="M9" s="64" t="n"/>
      <c r="O9" s="118" t="n"/>
      <c r="P9" s="64" t="n"/>
      <c r="Q9" s="111" t="n"/>
      <c r="R9" s="64" t="n"/>
      <c r="S9" s="148" t="n"/>
      <c r="T9" s="148" t="n"/>
      <c r="U9" s="118" t="n"/>
      <c r="V9" s="95" t="n"/>
      <c r="W9" s="118" t="n"/>
      <c r="X9" s="118" t="n"/>
      <c r="Y9" s="118" t="n"/>
      <c r="Z9" s="118" t="n"/>
      <c r="AA9" s="118" t="n"/>
      <c r="AB9" s="118" t="n"/>
      <c r="AC9" s="64" t="n"/>
      <c r="AF9" s="93">
        <f>IFERROR(BDP($B9,"CDS_SPREAD_TICKER_1Y"),"")</f>
        <v/>
      </c>
      <c r="AG9" s="63">
        <f>IFERROR(BDP(AF9&amp;" BEST Curncy","PX_LAST")+0,"")</f>
        <v/>
      </c>
      <c r="AH9" s="93">
        <f>IFERROR(BDP($B9,"CDS_SPREAD_TICKER_2Y"),"")</f>
        <v/>
      </c>
      <c r="AI9" s="63">
        <f>IFERROR(BDP(AH9&amp;" BEST Curncy","PX_LAST")+0,"")</f>
        <v/>
      </c>
      <c r="AJ9" s="93">
        <f>IFERROR(BDP($B9,"CDS_SPREAD_TICKER_3Y"),"")</f>
        <v/>
      </c>
      <c r="AK9" s="63">
        <f>IFERROR(BDP(AJ9&amp;" BEST Curncy","PX_LAST")+0,"")</f>
        <v/>
      </c>
      <c r="AL9" s="93">
        <f>IFERROR(BDP($B9,"CDS_SPREAD_TICKER_5Y"),"")</f>
        <v/>
      </c>
      <c r="AM9" s="63">
        <f>IFERROR(BDP(AL9&amp;" BEST Curncy","PX_LAST")+0,"")</f>
        <v/>
      </c>
      <c r="AN9" s="93">
        <f>IFERROR(BDP($B9,"CDS_SPREAD_TICKER_7Y"),"")</f>
        <v/>
      </c>
      <c r="AO9" s="63">
        <f>IFERROR(BDP(AN9&amp;" BEST Curncy","PX_LAST")+0,"")</f>
        <v/>
      </c>
      <c r="AP9" s="93">
        <f>IFERROR(BDP($B9,"CDS_SPREAD_TICKER_10Y"),"")</f>
        <v/>
      </c>
      <c r="AQ9" s="63">
        <f>IFERROR(BDP(AP9&amp;" BEST Curncy","PX_LAST")+0,"")</f>
        <v/>
      </c>
      <c r="AR9" s="133">
        <f>IF(Entities!$F25="",0,Entities!$F25)</f>
        <v/>
      </c>
      <c r="AS9" s="133">
        <f>IF(Entities!$G25="",0,Entities!$G25)</f>
        <v/>
      </c>
      <c r="AT9" s="133">
        <f>IF(Entities!$H25="",0,Entities!$H25)</f>
        <v/>
      </c>
      <c r="AU9" s="133">
        <f>IF(Entities!$I25="",0,Entities!$I25)</f>
        <v/>
      </c>
      <c r="AV9" s="133">
        <f>IF(Entities!$J25="",0,Entities!$J25)</f>
        <v/>
      </c>
      <c r="AW9" s="133">
        <f>IF(Entities!$K25="",0,Entities!$K25)</f>
        <v/>
      </c>
    </row>
    <row r="10">
      <c r="A10" s="68">
        <f>IF(Entities!$B12="","",Entities!$B12)</f>
        <v/>
      </c>
      <c r="B10" s="68">
        <f>IF(Entities!$C12="","",Entities!$C12)</f>
        <v/>
      </c>
      <c r="C10" s="68">
        <f>IF(Entities!$D12="","",Entities!$D12)</f>
        <v/>
      </c>
      <c r="D10" s="68" t="n"/>
      <c r="E10" s="68" t="n"/>
      <c r="F10" s="147" t="n">
        <v>0.4</v>
      </c>
      <c r="G10" s="111" t="n"/>
      <c r="H10" s="64" t="n"/>
      <c r="I10" s="64" t="n"/>
      <c r="J10" s="64" t="n"/>
      <c r="K10" s="64" t="n"/>
      <c r="L10" s="64" t="n"/>
      <c r="M10" s="64" t="n"/>
      <c r="O10" s="118" t="n"/>
      <c r="P10" s="64" t="n"/>
      <c r="Q10" s="111" t="n"/>
      <c r="R10" s="64" t="n"/>
      <c r="S10" s="148" t="n"/>
      <c r="T10" s="148" t="n"/>
      <c r="U10" s="118" t="n"/>
      <c r="V10" s="95" t="n"/>
      <c r="W10" s="118" t="n"/>
      <c r="X10" s="118" t="n"/>
      <c r="Y10" s="118" t="n"/>
      <c r="Z10" s="118" t="n"/>
      <c r="AA10" s="118" t="n"/>
      <c r="AB10" s="118" t="n"/>
      <c r="AC10" s="64" t="n"/>
      <c r="AF10" s="93">
        <f>IFERROR(BDP($B10,"CDS_SPREAD_TICKER_1Y"),"")</f>
        <v/>
      </c>
      <c r="AG10" s="63">
        <f>IFERROR(BDP(AF10&amp;" BEST Curncy","PX_LAST")+0,"")</f>
        <v/>
      </c>
      <c r="AH10" s="93">
        <f>IFERROR(BDP($B10,"CDS_SPREAD_TICKER_2Y"),"")</f>
        <v/>
      </c>
      <c r="AI10" s="63">
        <f>IFERROR(BDP(AH10&amp;" BEST Curncy","PX_LAST")+0,"")</f>
        <v/>
      </c>
      <c r="AJ10" s="93">
        <f>IFERROR(BDP($B10,"CDS_SPREAD_TICKER_3Y"),"")</f>
        <v/>
      </c>
      <c r="AK10" s="63">
        <f>IFERROR(BDP(AJ10&amp;" BEST Curncy","PX_LAST")+0,"")</f>
        <v/>
      </c>
      <c r="AL10" s="93">
        <f>IFERROR(BDP($B10,"CDS_SPREAD_TICKER_5Y"),"")</f>
        <v/>
      </c>
      <c r="AM10" s="63">
        <f>IFERROR(BDP(AL10&amp;" BEST Curncy","PX_LAST")+0,"")</f>
        <v/>
      </c>
      <c r="AN10" s="93">
        <f>IFERROR(BDP($B10,"CDS_SPREAD_TICKER_7Y"),"")</f>
        <v/>
      </c>
      <c r="AO10" s="63">
        <f>IFERROR(BDP(AN10&amp;" BEST Curncy","PX_LAST")+0,"")</f>
        <v/>
      </c>
      <c r="AP10" s="93">
        <f>IFERROR(BDP($B10,"CDS_SPREAD_TICKER_10Y"),"")</f>
        <v/>
      </c>
      <c r="AQ10" s="63">
        <f>IFERROR(BDP(AP10&amp;" BEST Curncy","PX_LAST")+0,"")</f>
        <v/>
      </c>
      <c r="AR10" s="133">
        <f>IF(Entities!$F26="",0,Entities!$F26)</f>
        <v/>
      </c>
      <c r="AS10" s="133">
        <f>IF(Entities!$G26="",0,Entities!$G26)</f>
        <v/>
      </c>
      <c r="AT10" s="133">
        <f>IF(Entities!$H26="",0,Entities!$H26)</f>
        <v/>
      </c>
      <c r="AU10" s="133">
        <f>IF(Entities!$I26="",0,Entities!$I26)</f>
        <v/>
      </c>
      <c r="AV10" s="133">
        <f>IF(Entities!$J26="",0,Entities!$J26)</f>
        <v/>
      </c>
      <c r="AW10" s="133">
        <f>IF(Entities!$K26="",0,Entities!$K26)</f>
        <v/>
      </c>
    </row>
    <row r="11">
      <c r="A11" s="68">
        <f>IF(Entities!$B13="","",Entities!$B13)</f>
        <v/>
      </c>
      <c r="B11" s="68">
        <f>IF(Entities!$C13="","",Entities!$C13)</f>
        <v/>
      </c>
      <c r="C11" s="68">
        <f>IF(Entities!$D13="","",Entities!$D13)</f>
        <v/>
      </c>
      <c r="D11" s="68" t="n"/>
      <c r="E11" s="68" t="n"/>
      <c r="F11" s="147" t="n">
        <v>0.4</v>
      </c>
      <c r="G11" s="111" t="n"/>
      <c r="H11" s="64" t="n"/>
      <c r="I11" s="64" t="n"/>
      <c r="J11" s="64" t="n"/>
      <c r="K11" s="64" t="n"/>
      <c r="L11" s="64" t="n"/>
      <c r="M11" s="64" t="n"/>
      <c r="O11" s="118" t="n"/>
      <c r="P11" s="64" t="n"/>
      <c r="Q11" s="111" t="n"/>
      <c r="R11" s="64" t="n"/>
      <c r="S11" s="148" t="n"/>
      <c r="T11" s="148" t="n"/>
      <c r="U11" s="118" t="n"/>
      <c r="V11" s="95" t="n"/>
      <c r="W11" s="118" t="n"/>
      <c r="X11" s="118" t="n"/>
      <c r="Y11" s="118" t="n"/>
      <c r="Z11" s="118" t="n"/>
      <c r="AA11" s="118" t="n"/>
      <c r="AB11" s="118" t="n"/>
      <c r="AC11" s="64" t="n"/>
      <c r="AF11" s="93">
        <f>IFERROR(BDP($B11,"CDS_SPREAD_TICKER_1Y"),"")</f>
        <v/>
      </c>
      <c r="AG11" s="63">
        <f>IFERROR(BDP(AF11&amp;" BEST Curncy","PX_LAST")+0,"")</f>
        <v/>
      </c>
      <c r="AH11" s="93">
        <f>IFERROR(BDP($B11,"CDS_SPREAD_TICKER_2Y"),"")</f>
        <v/>
      </c>
      <c r="AI11" s="63">
        <f>IFERROR(BDP(AH11&amp;" BEST Curncy","PX_LAST")+0,"")</f>
        <v/>
      </c>
      <c r="AJ11" s="93">
        <f>IFERROR(BDP($B11,"CDS_SPREAD_TICKER_3Y"),"")</f>
        <v/>
      </c>
      <c r="AK11" s="63">
        <f>IFERROR(BDP(AJ11&amp;" BEST Curncy","PX_LAST")+0,"")</f>
        <v/>
      </c>
      <c r="AL11" s="93">
        <f>IFERROR(BDP($B11,"CDS_SPREAD_TICKER_5Y"),"")</f>
        <v/>
      </c>
      <c r="AM11" s="63">
        <f>IFERROR(BDP(AL11&amp;" BEST Curncy","PX_LAST")+0,"")</f>
        <v/>
      </c>
      <c r="AN11" s="93">
        <f>IFERROR(BDP($B11,"CDS_SPREAD_TICKER_7Y"),"")</f>
        <v/>
      </c>
      <c r="AO11" s="63">
        <f>IFERROR(BDP(AN11&amp;" BEST Curncy","PX_LAST")+0,"")</f>
        <v/>
      </c>
      <c r="AP11" s="93">
        <f>IFERROR(BDP($B11,"CDS_SPREAD_TICKER_10Y"),"")</f>
        <v/>
      </c>
      <c r="AQ11" s="63">
        <f>IFERROR(BDP(AP11&amp;" BEST Curncy","PX_LAST")+0,"")</f>
        <v/>
      </c>
      <c r="AR11" s="133">
        <f>IF(Entities!$F27="",0,Entities!$F27)</f>
        <v/>
      </c>
      <c r="AS11" s="133">
        <f>IF(Entities!$G27="",0,Entities!$G27)</f>
        <v/>
      </c>
      <c r="AT11" s="133">
        <f>IF(Entities!$H27="",0,Entities!$H27)</f>
        <v/>
      </c>
      <c r="AU11" s="133">
        <f>IF(Entities!$I27="",0,Entities!$I27)</f>
        <v/>
      </c>
      <c r="AV11" s="133">
        <f>IF(Entities!$J27="",0,Entities!$J27)</f>
        <v/>
      </c>
      <c r="AW11" s="133">
        <f>IF(Entities!$K27="",0,Entities!$K27)</f>
        <v/>
      </c>
    </row>
    <row r="12">
      <c r="A12" s="68">
        <f>IF(Entities!$B14="","",Entities!$B14)</f>
        <v/>
      </c>
      <c r="B12" s="68">
        <f>IF(Entities!$C14="","",Entities!$C14)</f>
        <v/>
      </c>
      <c r="C12" s="68">
        <f>IF(Entities!$D14="","",Entities!$D14)</f>
        <v/>
      </c>
      <c r="D12" s="68" t="n"/>
      <c r="E12" s="68" t="n"/>
      <c r="F12" s="147" t="n">
        <v>0.4</v>
      </c>
      <c r="G12" s="111" t="n"/>
      <c r="H12" s="64" t="n"/>
      <c r="I12" s="64" t="n"/>
      <c r="J12" s="64" t="n"/>
      <c r="K12" s="64" t="n"/>
      <c r="L12" s="64" t="n"/>
      <c r="M12" s="64" t="n"/>
      <c r="O12" s="118" t="n"/>
      <c r="P12" s="64" t="n"/>
      <c r="Q12" s="111" t="n"/>
      <c r="R12" s="64" t="n"/>
      <c r="S12" s="148" t="n"/>
      <c r="T12" s="148" t="n"/>
      <c r="U12" s="118" t="n"/>
      <c r="V12" s="95" t="n"/>
      <c r="W12" s="118" t="n"/>
      <c r="X12" s="118" t="n"/>
      <c r="Y12" s="118" t="n"/>
      <c r="Z12" s="118" t="n"/>
      <c r="AA12" s="118" t="n"/>
      <c r="AB12" s="118" t="n"/>
      <c r="AC12" s="64" t="n"/>
      <c r="AF12" s="93">
        <f>IFERROR(BDP($B12,"CDS_SPREAD_TICKER_1Y"),"")</f>
        <v/>
      </c>
      <c r="AG12" s="63">
        <f>IFERROR(BDP(AF12&amp;" BEST Curncy","PX_LAST")+0,"")</f>
        <v/>
      </c>
      <c r="AH12" s="93">
        <f>IFERROR(BDP($B12,"CDS_SPREAD_TICKER_2Y"),"")</f>
        <v/>
      </c>
      <c r="AI12" s="63">
        <f>IFERROR(BDP(AH12&amp;" BEST Curncy","PX_LAST")+0,"")</f>
        <v/>
      </c>
      <c r="AJ12" s="93">
        <f>IFERROR(BDP($B12,"CDS_SPREAD_TICKER_3Y"),"")</f>
        <v/>
      </c>
      <c r="AK12" s="63">
        <f>IFERROR(BDP(AJ12&amp;" BEST Curncy","PX_LAST")+0,"")</f>
        <v/>
      </c>
      <c r="AL12" s="93">
        <f>IFERROR(BDP($B12,"CDS_SPREAD_TICKER_5Y"),"")</f>
        <v/>
      </c>
      <c r="AM12" s="63">
        <f>IFERROR(BDP(AL12&amp;" BEST Curncy","PX_LAST")+0,"")</f>
        <v/>
      </c>
      <c r="AN12" s="93">
        <f>IFERROR(BDP($B12,"CDS_SPREAD_TICKER_7Y"),"")</f>
        <v/>
      </c>
      <c r="AO12" s="63">
        <f>IFERROR(BDP(AN12&amp;" BEST Curncy","PX_LAST")+0,"")</f>
        <v/>
      </c>
      <c r="AP12" s="93">
        <f>IFERROR(BDP($B12,"CDS_SPREAD_TICKER_10Y"),"")</f>
        <v/>
      </c>
      <c r="AQ12" s="63">
        <f>IFERROR(BDP(AP12&amp;" BEST Curncy","PX_LAST")+0,"")</f>
        <v/>
      </c>
      <c r="AR12" s="133">
        <f>IF(Entities!$F28="",0,Entities!$F28)</f>
        <v/>
      </c>
      <c r="AS12" s="133">
        <f>IF(Entities!$G28="",0,Entities!$G28)</f>
        <v/>
      </c>
      <c r="AT12" s="133">
        <f>IF(Entities!$H28="",0,Entities!$H28)</f>
        <v/>
      </c>
      <c r="AU12" s="133">
        <f>IF(Entities!$I28="",0,Entities!$I28)</f>
        <v/>
      </c>
      <c r="AV12" s="133">
        <f>IF(Entities!$J28="",0,Entities!$J28)</f>
        <v/>
      </c>
      <c r="AW12" s="133">
        <f>IF(Entities!$K28="",0,Entities!$K28)</f>
        <v/>
      </c>
    </row>
    <row r="13">
      <c r="A13" s="68">
        <f>IF(Entities!$B15="","",Entities!$B15)</f>
        <v/>
      </c>
      <c r="B13" s="68">
        <f>IF(Entities!$C15="","",Entities!$C15)</f>
        <v/>
      </c>
      <c r="C13" s="68">
        <f>IF(Entities!$D15="","",Entities!$D15)</f>
        <v/>
      </c>
      <c r="D13" s="68" t="n"/>
      <c r="E13" s="68" t="n"/>
      <c r="F13" s="147" t="n">
        <v>0.4</v>
      </c>
      <c r="G13" s="111" t="n"/>
      <c r="H13" s="64" t="n"/>
      <c r="I13" s="64" t="n"/>
      <c r="J13" s="64" t="n"/>
      <c r="K13" s="64" t="n"/>
      <c r="L13" s="64" t="n"/>
      <c r="M13" s="64" t="n"/>
      <c r="O13" s="118" t="n"/>
      <c r="P13" s="64" t="n"/>
      <c r="Q13" s="111" t="n"/>
      <c r="R13" s="64" t="n"/>
      <c r="S13" s="148" t="n"/>
      <c r="T13" s="148" t="n"/>
      <c r="U13" s="118" t="n"/>
      <c r="V13" s="95" t="n"/>
      <c r="W13" s="118" t="n"/>
      <c r="X13" s="118" t="n"/>
      <c r="Y13" s="118" t="n"/>
      <c r="Z13" s="118" t="n"/>
      <c r="AA13" s="118" t="n"/>
      <c r="AB13" s="118" t="n"/>
      <c r="AC13" s="64" t="n"/>
      <c r="AF13" s="93">
        <f>IFERROR(BDP($B13,"CDS_SPREAD_TICKER_1Y"),"")</f>
        <v/>
      </c>
      <c r="AG13" s="63">
        <f>IFERROR(BDP(AF13&amp;" BEST Curncy","PX_LAST")+0,"")</f>
        <v/>
      </c>
      <c r="AH13" s="93">
        <f>IFERROR(BDP($B13,"CDS_SPREAD_TICKER_2Y"),"")</f>
        <v/>
      </c>
      <c r="AI13" s="63">
        <f>IFERROR(BDP(AH13&amp;" BEST Curncy","PX_LAST")+0,"")</f>
        <v/>
      </c>
      <c r="AJ13" s="93">
        <f>IFERROR(BDP($B13,"CDS_SPREAD_TICKER_3Y"),"")</f>
        <v/>
      </c>
      <c r="AK13" s="63">
        <f>IFERROR(BDP(AJ13&amp;" BEST Curncy","PX_LAST")+0,"")</f>
        <v/>
      </c>
      <c r="AL13" s="93">
        <f>IFERROR(BDP($B13,"CDS_SPREAD_TICKER_5Y"),"")</f>
        <v/>
      </c>
      <c r="AM13" s="63">
        <f>IFERROR(BDP(AL13&amp;" BEST Curncy","PX_LAST")+0,"")</f>
        <v/>
      </c>
      <c r="AN13" s="93">
        <f>IFERROR(BDP($B13,"CDS_SPREAD_TICKER_7Y"),"")</f>
        <v/>
      </c>
      <c r="AO13" s="63">
        <f>IFERROR(BDP(AN13&amp;" BEST Curncy","PX_LAST")+0,"")</f>
        <v/>
      </c>
      <c r="AP13" s="93">
        <f>IFERROR(BDP($B13,"CDS_SPREAD_TICKER_10Y"),"")</f>
        <v/>
      </c>
      <c r="AQ13" s="63">
        <f>IFERROR(BDP(AP13&amp;" BEST Curncy","PX_LAST")+0,"")</f>
        <v/>
      </c>
      <c r="AR13" s="133">
        <f>IF(Entities!$F29="",0,Entities!$F29)</f>
        <v/>
      </c>
      <c r="AS13" s="133">
        <f>IF(Entities!$G29="",0,Entities!$G29)</f>
        <v/>
      </c>
      <c r="AT13" s="133">
        <f>IF(Entities!$H29="",0,Entities!$H29)</f>
        <v/>
      </c>
      <c r="AU13" s="133">
        <f>IF(Entities!$I29="",0,Entities!$I29)</f>
        <v/>
      </c>
      <c r="AV13" s="133">
        <f>IF(Entities!$J29="",0,Entities!$J29)</f>
        <v/>
      </c>
      <c r="AW13" s="133">
        <f>IF(Entities!$K29="",0,Entities!$K29)</f>
        <v/>
      </c>
    </row>
    <row r="14">
      <c r="A14" s="68">
        <f>IF(Entities!$B16="","",Entities!$B16)</f>
        <v/>
      </c>
      <c r="B14" s="68">
        <f>IF(Entities!$C16="","",Entities!$C16)</f>
        <v/>
      </c>
      <c r="C14" s="68">
        <f>IF(Entities!$D16="","",Entities!$D16)</f>
        <v/>
      </c>
      <c r="D14" s="68" t="n"/>
      <c r="E14" s="68" t="n"/>
      <c r="F14" s="147" t="n">
        <v>0.4</v>
      </c>
      <c r="G14" s="111" t="n"/>
      <c r="H14" s="64" t="n"/>
      <c r="I14" s="64" t="n"/>
      <c r="J14" s="64" t="n"/>
      <c r="K14" s="64" t="n"/>
      <c r="L14" s="64" t="n"/>
      <c r="M14" s="64" t="n"/>
      <c r="O14" s="118" t="n"/>
      <c r="P14" s="64" t="n"/>
      <c r="Q14" s="111" t="n"/>
      <c r="R14" s="64" t="n"/>
      <c r="S14" s="148" t="n"/>
      <c r="T14" s="148" t="n"/>
      <c r="U14" s="118" t="n"/>
      <c r="V14" s="95" t="n"/>
      <c r="W14" s="118" t="n"/>
      <c r="X14" s="118" t="n"/>
      <c r="Y14" s="118" t="n"/>
      <c r="Z14" s="118" t="n"/>
      <c r="AA14" s="118" t="n"/>
      <c r="AB14" s="118" t="n"/>
      <c r="AC14" s="64" t="n"/>
      <c r="AF14" s="93">
        <f>IFERROR(BDP($B14,"CDS_SPREAD_TICKER_1Y"),"")</f>
        <v/>
      </c>
      <c r="AG14" s="63">
        <f>IFERROR(BDP(AF14&amp;" BEST Curncy","PX_LAST")+0,"")</f>
        <v/>
      </c>
      <c r="AH14" s="93">
        <f>IFERROR(BDP($B14,"CDS_SPREAD_TICKER_2Y"),"")</f>
        <v/>
      </c>
      <c r="AI14" s="63">
        <f>IFERROR(BDP(AH14&amp;" BEST Curncy","PX_LAST")+0,"")</f>
        <v/>
      </c>
      <c r="AJ14" s="93">
        <f>IFERROR(BDP($B14,"CDS_SPREAD_TICKER_3Y"),"")</f>
        <v/>
      </c>
      <c r="AK14" s="63">
        <f>IFERROR(BDP(AJ14&amp;" BEST Curncy","PX_LAST")+0,"")</f>
        <v/>
      </c>
      <c r="AL14" s="93">
        <f>IFERROR(BDP($B14,"CDS_SPREAD_TICKER_5Y"),"")</f>
        <v/>
      </c>
      <c r="AM14" s="63">
        <f>IFERROR(BDP(AL14&amp;" BEST Curncy","PX_LAST")+0,"")</f>
        <v/>
      </c>
      <c r="AN14" s="93">
        <f>IFERROR(BDP($B14,"CDS_SPREAD_TICKER_7Y"),"")</f>
        <v/>
      </c>
      <c r="AO14" s="63">
        <f>IFERROR(BDP(AN14&amp;" BEST Curncy","PX_LAST")+0,"")</f>
        <v/>
      </c>
      <c r="AP14" s="93">
        <f>IFERROR(BDP($B14,"CDS_SPREAD_TICKER_10Y"),"")</f>
        <v/>
      </c>
      <c r="AQ14" s="63">
        <f>IFERROR(BDP(AP14&amp;" BEST Curncy","PX_LAST")+0,"")</f>
        <v/>
      </c>
      <c r="AR14" s="133">
        <f>IF(Entities!$F30="",0,Entities!$F30)</f>
        <v/>
      </c>
      <c r="AS14" s="133">
        <f>IF(Entities!$G30="",0,Entities!$G30)</f>
        <v/>
      </c>
      <c r="AT14" s="133">
        <f>IF(Entities!$H30="",0,Entities!$H30)</f>
        <v/>
      </c>
      <c r="AU14" s="133">
        <f>IF(Entities!$I30="",0,Entities!$I30)</f>
        <v/>
      </c>
      <c r="AV14" s="133">
        <f>IF(Entities!$J30="",0,Entities!$J30)</f>
        <v/>
      </c>
      <c r="AW14" s="133">
        <f>IF(Entities!$K30="",0,Entities!$K30)</f>
        <v/>
      </c>
    </row>
    <row r="16">
      <c r="A16" s="66" t="inlineStr">
        <is>
          <t>Row 5 is the reference screen already on file. Only its 5Y spread is known: the rest of its term structure was never captured, which is exactly what T3 is for. Its CDSW outputs ARE known and are the target to hit.</t>
        </is>
      </c>
    </row>
    <row r="17">
      <c r="A17" s="66" t="inlineStr">
        <is>
          <t>Row 5 is the pending real case: only its 5Y spread is known, so its strip fails - a 0/0/0/55/0/0 term structure is not strippable, which is the D8 condition. That is correct behaviour, not a fault. Row 6 is a DEMO curve so the module has something sane to run on until the real term structure arrives.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CDS_Parameters</t>
        </is>
      </c>
    </row>
    <row r="2">
      <c r="A2" s="2" t="inlineStr">
        <is>
          <t>Credit-default-swap assumptions (recovery is an INPUT, not bootstrapped)</t>
        </is>
      </c>
    </row>
    <row r="4">
      <c r="A4" s="5" t="inlineStr">
        <is>
          <t>Valuation date</t>
        </is>
      </c>
      <c r="B4" s="18">
        <f>VAL_DATE</f>
        <v/>
      </c>
      <c r="C4" s="16" t="inlineStr">
        <is>
          <t>Linked to the Parameters/Instructions tab.</t>
        </is>
      </c>
    </row>
    <row r="5">
      <c r="A5" s="5" t="inlineStr">
        <is>
          <t>1st CDS date (roll)</t>
        </is>
      </c>
      <c r="B5" s="18">
        <f>'Curve_Interface'!$F$7</f>
        <v/>
      </c>
      <c r="C5" s="16" t="inlineStr">
        <is>
          <t>Next 20 Mar/Jun/Sep/Dec.</t>
        </is>
      </c>
    </row>
    <row r="6">
      <c r="A6" s="5" t="inlineStr">
        <is>
          <t>Currency</t>
        </is>
      </c>
      <c r="B6" s="6" t="inlineStr">
        <is>
          <t>USD</t>
        </is>
      </c>
    </row>
    <row r="7">
      <c r="A7" s="5" t="inlineStr">
        <is>
          <t>Reference entity</t>
        </is>
      </c>
      <c r="B7" s="37" t="inlineStr">
        <is>
          <t>EXAMPLE CORP</t>
        </is>
      </c>
      <c r="C7" s="16" t="inlineStr">
        <is>
          <t>Type your reference entity.</t>
        </is>
      </c>
    </row>
    <row r="8">
      <c r="A8" s="5" t="inlineStr">
        <is>
          <t>Recovery rate R</t>
        </is>
      </c>
      <c r="B8" s="54" t="n">
        <v>0.4</v>
      </c>
      <c r="C8" s="16" t="inlineStr">
        <is>
          <t>Assumed. Changing R re-fits every hazard.</t>
        </is>
      </c>
    </row>
    <row r="9">
      <c r="A9" s="5" t="inlineStr">
        <is>
          <t>Notional</t>
        </is>
      </c>
      <c r="B9" s="39" t="n">
        <v>10000000</v>
      </c>
    </row>
    <row r="10">
      <c r="A10" s="5" t="inlineStr">
        <is>
          <t>Standard coupon (bp)</t>
        </is>
      </c>
      <c r="B10" s="41" t="n">
        <v>100</v>
      </c>
      <c r="C10" s="16" t="inlineStr">
        <is>
          <t>Fixed running coupon (IG=100, HY=500).</t>
        </is>
      </c>
    </row>
    <row r="11">
      <c r="A11" s="5" t="inlineStr">
        <is>
          <t>Premium frequency</t>
        </is>
      </c>
      <c r="B11" s="6" t="inlineStr">
        <is>
          <t>Quarterly</t>
        </is>
      </c>
    </row>
    <row r="12">
      <c r="A12" s="5" t="inlineStr">
        <is>
          <t>Premium day count</t>
        </is>
      </c>
      <c r="B12" s="6" t="inlineStr">
        <is>
          <t>ACT/360</t>
        </is>
      </c>
    </row>
    <row r="13">
      <c r="A13" s="5" t="inlineStr">
        <is>
          <t>Hazard interpolation</t>
        </is>
      </c>
      <c r="B13" s="6" t="inlineStr">
        <is>
          <t>Piecewise-constant</t>
        </is>
      </c>
    </row>
    <row r="14">
      <c r="A14" s="5" t="inlineStr">
        <is>
          <t>Discount curve</t>
        </is>
      </c>
      <c r="B14" s="6" t="inlineStr">
        <is>
          <t>SOFR OIS (Curve_Interface)</t>
        </is>
      </c>
    </row>
    <row r="15">
      <c r="A15" s="5" t="inlineStr">
        <is>
          <t>Protection direction</t>
        </is>
      </c>
      <c r="B15" s="37" t="inlineStr">
        <is>
          <t>Buy protection</t>
        </is>
      </c>
      <c r="C15" s="16" t="inlineStr">
        <is>
          <t>"Buy protection" or "Sell protection".</t>
        </is>
      </c>
    </row>
    <row r="16">
      <c r="A16" s="5" t="inlineStr">
        <is>
          <t>Accrual-on-default</t>
        </is>
      </c>
      <c r="B16" s="6" t="inlineStr">
        <is>
          <t>Included (midpoint approx.)</t>
        </is>
      </c>
    </row>
    <row r="17">
      <c r="A17" s="67" t="inlineStr">
        <is>
          <t>Hazard mode</t>
        </is>
      </c>
      <c r="B17" s="68" t="inlineStr">
        <is>
          <t>Bootstrap from CDS curve</t>
        </is>
      </c>
      <c r="C17" s="65" t="inlineStr">
        <is>
          <t>Bootstrap fits the term structure to CDS_Quotes; Flat overrides every tenor with B18.</t>
        </is>
      </c>
    </row>
    <row r="18">
      <c r="A18" s="67" t="inlineStr">
        <is>
          <t>Flat hazard rate</t>
        </is>
      </c>
      <c r="B18" s="69" t="n">
        <v>0.015</v>
      </c>
      <c r="C18" s="65" t="inlineStr">
        <is>
          <t>Continuously-compounded intensity. Credit-triangle guide: S/(1-R).</t>
        </is>
      </c>
    </row>
    <row r="19">
      <c r="A19" s="67" t="inlineStr">
        <is>
          <t>Reference entity ticker</t>
        </is>
      </c>
      <c r="B19" s="68">
        <f>IF(Entities!$F$4="","",Entities!$F$4)</f>
        <v/>
      </c>
      <c r="C19" s="177" t="inlineStr">
        <is>
          <t>from Entities!F4 - the selected name's ticker</t>
        </is>
      </c>
    </row>
    <row r="20">
      <c r="A20" s="67" t="inlineStr">
        <is>
          <t>SETTLEMENT / ACCRUAL  (white paper p.6-7)</t>
        </is>
      </c>
    </row>
    <row r="21">
      <c r="A21" s="94" t="inlineStr">
        <is>
          <t>Settlement date T_s</t>
        </is>
      </c>
      <c r="B21" s="128">
        <f>CDS_Parameters!$B$4+3+IF(WEEKDAY(CDS_Parameters!$B$4,2)&gt;=3,2,0)</f>
        <v/>
      </c>
      <c r="C21" s="65" t="inlineStr">
        <is>
          <t>T + 3 business days (p.6). 07/21/26 -&gt; 07/24/26, matching the screen.</t>
        </is>
      </c>
    </row>
    <row r="22">
      <c r="A22" s="94" t="inlineStr">
        <is>
          <t>D(T_s)</t>
        </is>
      </c>
      <c r="B22" s="129">
        <f>IFERROR(INDEX('Curve_Interface'!$L$8:$L$73,MATCH($B$21,'Curve_Interface'!$K$8:$K$73,1))*(INDEX('Curve_Interface'!$L$8:$L$73,MATCH($B$21,'Curve_Interface'!$K$8:$K$73,1)+1)/INDEX('Curve_Interface'!$L$8:$L$73,MATCH($B$21,'Curve_Interface'!$K$8:$K$73,1)))^(($B$21-INDEX('Curve_Interface'!$K$8:$K$73,MATCH($B$21,'Curve_Interface'!$K$8:$K$73,1)))/(INDEX('Curve_Interface'!$K$8:$K$73,MATCH($B$21,'Curve_Interface'!$K$8:$K$73,1)+1)-INDEX('Curve_Interface'!$K$8:$K$73,MATCH($B$21,'Curve_Interface'!$K$8:$K$73,1)))),INDEX('Curve_Interface'!$L$8:$L$73,MATCH($B$21,'Curve_Interface'!$K$8:$K$73,1)))</f>
        <v/>
      </c>
      <c r="C22" s="65" t="inlineStr">
        <is>
          <t>Discount factor at settlement, off Curve_Interface. The DF component.</t>
        </is>
      </c>
    </row>
    <row r="23">
      <c r="A23" s="94" t="inlineStr">
        <is>
          <t>Accrual start T_0</t>
        </is>
      </c>
      <c r="B23" s="128">
        <f>IF(MONTH((EDATE($B$5,-3)+IF(WEEKDAY(EDATE($B$5,-3),2)=6,2,IF(WEEKDAY(EDATE($B$5,-3),2)=7,1,0))))&lt;&gt;MONTH(EDATE($B$5,-3)),(EDATE($B$5,-3)-IF(WEEKDAY(EDATE($B$5,-3),2)=6,1,IF(WEEKDAY(EDATE($B$5,-3),2)=7,2,0))),(EDATE($B$5,-3)+IF(WEEKDAY(EDATE($B$5,-3),2)=6,2,IF(WEEKDAY(EDATE($B$5,-3),2)=7,1,0))))</f>
        <v/>
      </c>
      <c r="C23" s="65" t="inlineStr">
        <is>
          <t>Previous IMM roll, business-day adjusted.</t>
        </is>
      </c>
    </row>
    <row r="24">
      <c r="A24" s="94" t="inlineStr">
        <is>
          <t>Accrued days</t>
        </is>
      </c>
      <c r="B24" s="130">
        <f>MAX(0,CDS_Parameters!$B$4-$B$23+1)</f>
        <v/>
      </c>
      <c r="C24" s="65" t="inlineStr">
        <is>
          <t>Includes the pricing date (p.7): one more than the daycount difference.</t>
        </is>
      </c>
    </row>
    <row r="25">
      <c r="A25" s="94" t="inlineStr">
        <is>
          <t>Accrual fraction D0 (ACT/360)</t>
        </is>
      </c>
      <c r="B25" s="71">
        <f>$B$24/360</f>
        <v/>
      </c>
    </row>
    <row r="26">
      <c r="A26" s="94" t="inlineStr">
        <is>
          <t>PV01 netting term  D0 * D(T_s)</t>
        </is>
      </c>
      <c r="B26" s="71">
        <f>$B$25*$B$22</f>
        <v/>
      </c>
      <c r="C26" s="65" t="inlineStr">
        <is>
          <t>Subtracted from the premium leg in (3.3). ~0.083 against RPV01 ~4.4, so it moves the stripped hazards by roughly 2%.</t>
        </is>
      </c>
    </row>
    <row r="27">
      <c r="A27" s="67" t="inlineStr">
        <is>
          <t>Active entity</t>
        </is>
      </c>
      <c r="B27" s="68">
        <f>Entities!$B$4</f>
        <v/>
      </c>
      <c r="C27" s="65" t="inlineStr">
        <is>
          <t>Picks a row on CDS_Entities. Spreads, recovery and the CDSW targets all follow.</t>
        </is>
      </c>
    </row>
    <row r="28">
      <c r="A28" s="94" t="inlineStr">
        <is>
          <t>row on CDS_Entities</t>
        </is>
      </c>
      <c r="B28" s="130">
        <f>IFERROR(MATCH($B$27,CDS_Entities!$A$5:$A$14,0),0)</f>
        <v/>
      </c>
    </row>
    <row r="29">
      <c r="A29" s="94" t="inlineStr">
        <is>
          <t>Recovery from that row</t>
        </is>
      </c>
      <c r="B29" s="149">
        <f>IFERROR(INDEX(CDS_Entities!$F$5:$F$14,$B$28),"")</f>
        <v/>
      </c>
      <c r="C29" s="65" t="inlineStr">
        <is>
          <t>Type it into B8 to use it; left manual so a mis-selection cannot silently reprice the book.</t>
        </is>
      </c>
    </row>
  </sheetData>
  <mergeCells count="6">
    <mergeCell ref="C10:H10"/>
    <mergeCell ref="C5:H5"/>
    <mergeCell ref="C8:H8"/>
    <mergeCell ref="C4:H4"/>
    <mergeCell ref="C7:H7"/>
    <mergeCell ref="C15:H15"/>
  </mergeCells>
  <dataValidations count="2">
    <dataValidation sqref="B17" showDropDown="0" showInputMessage="0" showErrorMessage="0" allowBlank="0" type="list">
      <formula1>"Bootstrap from CDS curve,Flat hazard rate"</formula1>
    </dataValidation>
    <dataValidation sqref="B27" showDropDown="0" showInputMessage="0" showErrorMessage="0" allowBlank="1" type="list">
      <formula1>=CDS_Entities!$A$5:$A$14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A1B9A"/>
    <outlinePr summaryBelow="1" summaryRight="1"/>
    <pageSetUpPr/>
  </sheetPr>
  <dimension ref="A1:K19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4" customWidth="1" min="4" max="4"/>
    <col width="15" customWidth="1" min="5" max="5"/>
    <col width="15" customWidth="1" min="6" max="6"/>
    <col width="15" customWidth="1" min="7" max="7"/>
    <col width="17" customWidth="1" min="8" max="8"/>
    <col width="40" customWidth="1" min="9" max="9"/>
    <col width="82" customWidth="1" min="11" max="11"/>
  </cols>
  <sheetData>
    <row r="1">
      <c r="A1" s="1" t="inlineStr">
        <is>
          <t>CDS_Quotes</t>
        </is>
      </c>
    </row>
    <row r="2">
      <c r="A2" s="65" t="inlineStr">
        <is>
          <t>Step 1 (col D) resolves each tenor's CDS ticker from CDS_Parameters!B19; step 2 (col F) quotes it. Col E used only when BDP fails.</t>
        </is>
      </c>
    </row>
    <row r="3">
      <c r="K3" s="136" t="inlineStr">
        <is>
          <t>BLOOMBERG HELP DESK H#1330731572</t>
        </is>
      </c>
    </row>
    <row r="4" ht="30" customHeight="1">
      <c r="A4" s="9" t="inlineStr">
        <is>
          <t>Enter each tenor's CDS ticker, or let col D resolve it. Two-step pull per Help Desk H#1330731572, documented in K.</t>
        </is>
      </c>
      <c r="K4" s="137" t="inlineStr">
        <is>
          <t>The documented two-step pull, implemented verbatim:</t>
        </is>
      </c>
    </row>
    <row r="5">
      <c r="K5" s="138" t="inlineStr">
        <is>
          <t xml:space="preserve">  step 1  col D = BDP( &lt;entity&gt;, "CDS_SPREAD_TICKER_nY" )   -&gt; ticker</t>
        </is>
      </c>
    </row>
    <row r="6" ht="30" customHeight="1">
      <c r="A6" s="140" t="inlineStr">
        <is>
          <t>Tenor</t>
        </is>
      </c>
      <c r="B6" s="140" t="inlineStr">
        <is>
          <t>Tenor (yrs)</t>
        </is>
      </c>
      <c r="C6" s="140" t="inlineStr">
        <is>
          <t>Maturity</t>
        </is>
      </c>
      <c r="D6" s="141" t="inlineStr">
        <is>
          <t>CDS ticker (step 1, live)</t>
        </is>
      </c>
      <c r="E6" s="140" t="inlineStr">
        <is>
          <t>Manual spread (bp)</t>
        </is>
      </c>
      <c r="F6" s="140" t="inlineStr">
        <is>
          <t>Market spread (bp)</t>
        </is>
      </c>
      <c r="G6" s="140" t="inlineStr">
        <is>
          <t>Approx hazard s/(1-R)</t>
        </is>
      </c>
      <c r="H6" s="141" t="inlineStr">
        <is>
          <t>Quote source in use</t>
        </is>
      </c>
      <c r="K6" s="138" t="inlineStr">
        <is>
          <t xml:space="preserve">  step 2  col F = BDP( &lt;ticker&gt; &amp; " BEST Curncy", "PX_LAST" )</t>
        </is>
      </c>
    </row>
    <row r="7">
      <c r="A7" s="6" t="inlineStr">
        <is>
          <t>1Y</t>
        </is>
      </c>
      <c r="B7" s="43" t="n">
        <v>1</v>
      </c>
      <c r="C7" s="18">
        <f>EDATE('Curve_Interface'!$F$7,3*(4-1))</f>
        <v/>
      </c>
      <c r="D7" s="87">
        <f>IFERROR(BDP(CDS_Parameters!$B$19,"CDS_SPREAD_TICKER_1Y"),"")</f>
        <v/>
      </c>
      <c r="E7" s="133">
        <f>IFERROR(INDEX(CDS_Entities!$AR$5:$AR$14,CDS_Parameters!$B$28),0)</f>
        <v/>
      </c>
      <c r="F7" s="63">
        <f>IFERROR(BDP(D7&amp;" BEST Curncy","PX_LAST")+0,IFERROR(BDP(D7&amp;" BEST Curncy","PX_MID")+0,E7))</f>
        <v/>
      </c>
      <c r="G7" s="36">
        <f>(F7/10000)/(1-CDS_Parameters!$B$8)</f>
        <v/>
      </c>
      <c r="H7" s="93">
        <f>IF(ISNUMBER(IFERROR(BDP(D7&amp;" BEST Curncy","PX_LAST")+0,"")),"BDP live","MANUAL (demo)")</f>
        <v/>
      </c>
      <c r="K7" s="137" t="n"/>
    </row>
    <row r="8">
      <c r="A8" s="6" t="inlineStr">
        <is>
          <t>2Y</t>
        </is>
      </c>
      <c r="B8" s="43" t="n">
        <v>2</v>
      </c>
      <c r="C8" s="18">
        <f>EDATE('Curve_Interface'!$F$7,3*(8-1))</f>
        <v/>
      </c>
      <c r="D8" s="87">
        <f>IFERROR(BDP(CDS_Parameters!$B$19,"CDS_SPREAD_TICKER_2Y"),"")</f>
        <v/>
      </c>
      <c r="E8" s="133">
        <f>IFERROR(INDEX(CDS_Entities!$AS$5:$AS$14,CDS_Parameters!$B$28),0)</f>
        <v/>
      </c>
      <c r="F8" s="63">
        <f>IFERROR(BDP(D8&amp;" BEST Curncy","PX_LAST")+0,IFERROR(BDP(D8&amp;" BEST Curncy","PX_MID")+0,E8))</f>
        <v/>
      </c>
      <c r="G8" s="36">
        <f>(F8/10000)/(1-CDS_Parameters!$B$8)</f>
        <v/>
      </c>
      <c r="H8" s="93">
        <f>IF(ISNUMBER(IFERROR(BDP(D8&amp;" BEST Curncy","PX_LAST")+0,"")),"BDP live","MANUAL (demo)")</f>
        <v/>
      </c>
      <c r="I8" s="66" t="inlineStr">
        <is>
          <t>tenor not in the Help Desk list (1Y/3Y/5Y/7Y/10Y) - CDS_SPREAD_TICKER_2Y may not be a valid field</t>
        </is>
      </c>
      <c r="K8" s="139" t="inlineStr">
        <is>
          <t>Their tenors are 1Y 3Y 5Y 7Y 10Y. The 2Y row is ours -</t>
        </is>
      </c>
    </row>
    <row r="9">
      <c r="A9" s="6" t="inlineStr">
        <is>
          <t>3Y</t>
        </is>
      </c>
      <c r="B9" s="43" t="n">
        <v>3</v>
      </c>
      <c r="C9" s="18">
        <f>EDATE('Curve_Interface'!$F$7,3*(12-1))</f>
        <v/>
      </c>
      <c r="D9" s="87">
        <f>IFERROR(BDP(CDS_Parameters!$B$19,"CDS_SPREAD_TICKER_3Y"),"")</f>
        <v/>
      </c>
      <c r="E9" s="133">
        <f>IFERROR(INDEX(CDS_Entities!$AT$5:$AT$14,CDS_Parameters!$B$28),0)</f>
        <v/>
      </c>
      <c r="F9" s="63">
        <f>IFERROR(BDP(D9&amp;" BEST Curncy","PX_LAST")+0,IFERROR(BDP(D9&amp;" BEST Curncy","PX_MID")+0,E9))</f>
        <v/>
      </c>
      <c r="G9" s="36">
        <f>(F9/10000)/(1-CDS_Parameters!$B$8)</f>
        <v/>
      </c>
      <c r="H9" s="93">
        <f>IF(ISNUMBER(IFERROR(BDP(D9&amp;" BEST Curncy","PX_LAST")+0,"")),"BDP live","MANUAL (demo)")</f>
        <v/>
      </c>
      <c r="K9" s="139" t="inlineStr">
        <is>
          <t>CDS_SPREAD_TICKER_2Y may not be a valid field; that row is flagged.</t>
        </is>
      </c>
    </row>
    <row r="10">
      <c r="A10" s="6" t="inlineStr">
        <is>
          <t>5Y</t>
        </is>
      </c>
      <c r="B10" s="43" t="n">
        <v>5</v>
      </c>
      <c r="C10" s="18">
        <f>EDATE('Curve_Interface'!$F$7,3*(20-1))</f>
        <v/>
      </c>
      <c r="D10" s="87">
        <f>IFERROR(BDP(CDS_Parameters!$B$19,"CDS_SPREAD_TICKER_5Y"),"")</f>
        <v/>
      </c>
      <c r="E10" s="133">
        <f>IFERROR(INDEX(CDS_Entities!$AU$5:$AU$14,CDS_Parameters!$B$28),0)</f>
        <v/>
      </c>
      <c r="F10" s="63">
        <f>IFERROR(BDP(D10&amp;" BEST Curncy","PX_LAST")+0,IFERROR(BDP(D10&amp;" BEST Curncy","PX_MID")+0,E10))</f>
        <v/>
      </c>
      <c r="G10" s="36">
        <f>(F10/10000)/(1-CDS_Parameters!$B$8)</f>
        <v/>
      </c>
      <c r="H10" s="93">
        <f>IF(ISNUMBER(IFERROR(BDP(D10&amp;" BEST Curncy","PX_LAST")+0,"")),"BDP live","MANUAL (demo)")</f>
        <v/>
      </c>
      <c r="K10" s="137" t="n"/>
    </row>
    <row r="11">
      <c r="A11" s="6" t="inlineStr">
        <is>
          <t>7Y</t>
        </is>
      </c>
      <c r="B11" s="43" t="n">
        <v>7</v>
      </c>
      <c r="C11" s="18">
        <f>EDATE('Curve_Interface'!$F$7,3*(28-1))</f>
        <v/>
      </c>
      <c r="D11" s="87">
        <f>IFERROR(BDP(CDS_Parameters!$B$19,"CDS_SPREAD_TICKER_7Y"),"")</f>
        <v/>
      </c>
      <c r="E11" s="133">
        <f>IFERROR(INDEX(CDS_Entities!$AV$5:$AV$14,CDS_Parameters!$B$28),0)</f>
        <v/>
      </c>
      <c r="F11" s="63">
        <f>IFERROR(BDP(D11&amp;" BEST Curncy","PX_LAST")+0,IFERROR(BDP(D11&amp;" BEST Curncy","PX_MID")+0,E11))</f>
        <v/>
      </c>
      <c r="G11" s="36">
        <f>(F11/10000)/(1-CDS_Parameters!$B$8)</f>
        <v/>
      </c>
      <c r="H11" s="93">
        <f>IF(ISNUMBER(IFERROR(BDP(D11&amp;" BEST Curncy","PX_LAST")+0,"")),"BDP live","MANUAL (demo)")</f>
        <v/>
      </c>
      <c r="K11" s="137" t="inlineStr">
        <is>
          <t>step 3  they suggest Hazard = S/(1-R), shown in col G.</t>
        </is>
      </c>
    </row>
    <row r="12">
      <c r="A12" s="6" t="inlineStr">
        <is>
          <t>10Y</t>
        </is>
      </c>
      <c r="B12" s="43" t="n">
        <v>10</v>
      </c>
      <c r="C12" s="18">
        <f>EDATE('Curve_Interface'!$F$7,3*(40-1))</f>
        <v/>
      </c>
      <c r="D12" s="87">
        <f>IFERROR(BDP(CDS_Parameters!$B$19,"CDS_SPREAD_TICKER_10Y"),"")</f>
        <v/>
      </c>
      <c r="E12" s="133">
        <f>IFERROR(INDEX(CDS_Entities!$AW$5:$AW$14,CDS_Parameters!$B$28),0)</f>
        <v/>
      </c>
      <c r="F12" s="63">
        <f>IFERROR(BDP(D12&amp;" BEST Curncy","PX_LAST")+0,IFERROR(BDP(D12&amp;" BEST Curncy","PX_MID")+0,E12))</f>
        <v/>
      </c>
      <c r="G12" s="36">
        <f>(F12/10000)/(1-CDS_Parameters!$B$8)</f>
        <v/>
      </c>
      <c r="H12" s="93">
        <f>IF(ISNUMBER(IFERROR(BDP(D12&amp;" BEST Curncy","PX_LAST")+0,"")),"BDP live","MANUAL (demo)")</f>
        <v/>
      </c>
      <c r="K12" s="139" t="inlineStr">
        <is>
          <t xml:space="preserve">        Exact only for a flat curve. We bootstrap instead, which their</t>
        </is>
      </c>
    </row>
    <row r="13">
      <c r="K13" s="139" t="inlineStr">
        <is>
          <t xml:space="preserve">        own note says to do:</t>
        </is>
      </c>
    </row>
    <row r="14">
      <c r="A14" s="66" t="inlineStr">
        <is>
          <t>Manual spreads in col E are DEMO values, not market. Col H shows which source each tenor is using. Replace col E or connect a terminal before using any CDS output.</t>
        </is>
      </c>
      <c r="K14" s="139" t="inlineStr">
        <is>
          <t xml:space="preserve">        "Bloomberg does not provide a direct zero-coupon CDS spread</t>
        </is>
      </c>
    </row>
    <row r="15">
      <c r="K15" s="139" t="inlineStr">
        <is>
          <t xml:space="preserve">         output by maturity as an exportable field... you would</t>
        </is>
      </c>
    </row>
    <row r="16">
      <c r="A16" s="65" t="inlineStr">
        <is>
          <t>Help Desk H#1330731572. Step 1 BDP(ticker,"CDS_SPREAD_TICKER_nY"); step 2 BDP(returned&amp;" BEST Curncy","PX_LAST"). Tenors 1Y/3Y/5Y/7Y/10Y.</t>
        </is>
      </c>
      <c r="K16" s="139" t="inlineStr">
        <is>
          <t xml:space="preserve">         bootstrap the hazard-rate curve using the par spreads and an</t>
        </is>
      </c>
    </row>
    <row r="17">
      <c r="A17" s="66" t="inlineStr">
        <is>
          <t>No Bloomberg export exists for zero-coupon CDS spreads or bootstrapped hazard rates (Help Desk). The credit curve has no external ground truth, unlike the SOFR curve.</t>
        </is>
      </c>
      <c r="K17" s="139" t="inlineStr">
        <is>
          <t xml:space="preserve">         assumed recovery rate."</t>
        </is>
      </c>
    </row>
    <row r="18">
      <c r="A18" s="65" t="inlineStr">
        <is>
          <t>Bloomberg suggest the credit triangle, hazard = S/(1-R). Exact only for a flat curve. Hazard_Solver bootstraps properly; CDS_Validation 13-18 compares the two.</t>
        </is>
      </c>
    </row>
    <row r="19">
      <c r="A19" s="65" t="inlineStr">
        <is>
          <t>Col E reads CDS_Entities in-use (AR:AW) for the active row: live pull when it resolves, else the manual spread, else 0. Always numeric.</t>
        </is>
      </c>
    </row>
  </sheetData>
  <mergeCells count="1">
    <mergeCell ref="A4:G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6A1B9A"/>
    <outlinePr summaryBelow="1" summaryRight="1"/>
    <pageSetUpPr/>
  </sheetPr>
  <dimension ref="A1:L12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3" customWidth="1" min="12" max="12"/>
  </cols>
  <sheetData>
    <row r="1">
      <c r="A1" s="1" t="inlineStr">
        <is>
          <t>Hazard_Bootstrap</t>
        </is>
      </c>
    </row>
    <row r="2">
      <c r="A2" s="65" t="inlineStr">
        <is>
          <t>Piecewise-constant hazard. Col D solved live by Hazard_Solver, no Goal Seek. CDS_Parameters!B17 switches to a flat hazard.</t>
        </is>
      </c>
    </row>
    <row r="4" ht="40" customHeight="1">
      <c r="A4" s="70" t="inlineStr">
        <is>
          <t>Maturity by maturity: hold earlier hazards fixed, solve the current segment so model spread = market. Col J (repricing error) stays ~0 as inputs move.</t>
        </is>
      </c>
    </row>
    <row r="5"/>
    <row r="6" ht="30" customHeight="1">
      <c r="A6" s="140" t="inlineStr">
        <is>
          <t>Tenor</t>
        </is>
      </c>
      <c r="B6" s="140" t="inlineStr">
        <is>
          <t>Maturity</t>
        </is>
      </c>
      <c r="C6" s="140" t="inlineStr">
        <is>
          <t>Market spread (bp)</t>
        </is>
      </c>
      <c r="D6" s="140" t="inlineStr">
        <is>
          <t>Hazard lambda (solve)</t>
        </is>
      </c>
      <c r="E6" s="140" t="inlineStr">
        <is>
          <t>Cum. survival Q(T)</t>
        </is>
      </c>
      <c r="F6" s="140" t="inlineStr">
        <is>
          <t>Cum. default 1-Q</t>
        </is>
      </c>
      <c r="G6" s="140" t="inlineStr">
        <is>
          <t>RPV01 (risky annuity)</t>
        </is>
      </c>
      <c r="H6" s="140" t="inlineStr">
        <is>
          <t>Protection PV factor</t>
        </is>
      </c>
      <c r="I6" s="140" t="inlineStr">
        <is>
          <t>Model spread (bp)</t>
        </is>
      </c>
      <c r="J6" s="140" t="inlineStr">
        <is>
          <t>Repricing error (bp)</t>
        </is>
      </c>
      <c r="L6" s="140" t="inlineStr">
        <is>
          <t>Solver resid</t>
        </is>
      </c>
    </row>
    <row r="7">
      <c r="A7" s="6" t="inlineStr">
        <is>
          <t>1Y</t>
        </is>
      </c>
      <c r="B7" s="18">
        <f>CDS_Quotes!C7</f>
        <v/>
      </c>
      <c r="C7" s="17">
        <f>CDS_Quotes!F7</f>
        <v/>
      </c>
      <c r="D7" s="71">
        <f>IF(CDS_Parameters!$B$17="Flat hazard rate",CDS_Parameters!$B$18,Hazard_Solver!$B$46)</f>
        <v/>
      </c>
      <c r="E7" s="34">
        <f>INDEX(CDS_Schedule!$K$7:$K$46,MATCH(B7,CDS_Schedule!$C$7:$C$46,1))</f>
        <v/>
      </c>
      <c r="F7" s="34">
        <f>1-E7</f>
        <v/>
      </c>
      <c r="G7" s="34">
        <f>SUMIF(CDS_Schedule!$C$7:$C$46,"&lt;="&amp;B7,CDS_Schedule!$M$7:$M$46)+SUMIF(CDS_Schedule!$C$7:$C$46,"&lt;="&amp;B7,CDS_Schedule!$N$7:$N$46)</f>
        <v/>
      </c>
      <c r="H7" s="36">
        <f>SUMIF(CDS_Schedule!$C$7:$C$46,"&lt;="&amp;B7,CDS_Schedule!$O$7:$O$46)</f>
        <v/>
      </c>
      <c r="I7" s="131">
        <f>(1-CDS_Parameters!$B$8)*H7/(G7-CDS_Parameters!$B$26)*10000</f>
        <v/>
      </c>
      <c r="J7" s="53">
        <f>I7-C7</f>
        <v/>
      </c>
      <c r="L7" s="72">
        <f>Hazard_Solver!$D$46</f>
        <v/>
      </c>
    </row>
    <row r="8">
      <c r="A8" s="6" t="inlineStr">
        <is>
          <t>2Y</t>
        </is>
      </c>
      <c r="B8" s="18">
        <f>CDS_Quotes!C8</f>
        <v/>
      </c>
      <c r="C8" s="17">
        <f>CDS_Quotes!F8</f>
        <v/>
      </c>
      <c r="D8" s="71">
        <f>IF(CDS_Parameters!$B$17="Flat hazard rate",CDS_Parameters!$B$18,Hazard_Solver!$B$89)</f>
        <v/>
      </c>
      <c r="E8" s="34">
        <f>INDEX(CDS_Schedule!$K$7:$K$46,MATCH(B8,CDS_Schedule!$C$7:$C$46,1))</f>
        <v/>
      </c>
      <c r="F8" s="34">
        <f>1-E8</f>
        <v/>
      </c>
      <c r="G8" s="34">
        <f>SUMIF(CDS_Schedule!$C$7:$C$46,"&lt;="&amp;B8,CDS_Schedule!$M$7:$M$46)+SUMIF(CDS_Schedule!$C$7:$C$46,"&lt;="&amp;B8,CDS_Schedule!$N$7:$N$46)</f>
        <v/>
      </c>
      <c r="H8" s="36">
        <f>SUMIF(CDS_Schedule!$C$7:$C$46,"&lt;="&amp;B8,CDS_Schedule!$O$7:$O$46)</f>
        <v/>
      </c>
      <c r="I8" s="131">
        <f>(1-CDS_Parameters!$B$8)*H8/(G8-CDS_Parameters!$B$26)*10000</f>
        <v/>
      </c>
      <c r="J8" s="53">
        <f>I8-C8</f>
        <v/>
      </c>
      <c r="L8" s="72">
        <f>Hazard_Solver!$D$89</f>
        <v/>
      </c>
    </row>
    <row r="9">
      <c r="A9" s="6" t="inlineStr">
        <is>
          <t>3Y</t>
        </is>
      </c>
      <c r="B9" s="18">
        <f>CDS_Quotes!C9</f>
        <v/>
      </c>
      <c r="C9" s="17">
        <f>CDS_Quotes!F9</f>
        <v/>
      </c>
      <c r="D9" s="71">
        <f>IF(CDS_Parameters!$B$17="Flat hazard rate",CDS_Parameters!$B$18,Hazard_Solver!$B$132)</f>
        <v/>
      </c>
      <c r="E9" s="34">
        <f>INDEX(CDS_Schedule!$K$7:$K$46,MATCH(B9,CDS_Schedule!$C$7:$C$46,1))</f>
        <v/>
      </c>
      <c r="F9" s="34">
        <f>1-E9</f>
        <v/>
      </c>
      <c r="G9" s="34">
        <f>SUMIF(CDS_Schedule!$C$7:$C$46,"&lt;="&amp;B9,CDS_Schedule!$M$7:$M$46)+SUMIF(CDS_Schedule!$C$7:$C$46,"&lt;="&amp;B9,CDS_Schedule!$N$7:$N$46)</f>
        <v/>
      </c>
      <c r="H9" s="36">
        <f>SUMIF(CDS_Schedule!$C$7:$C$46,"&lt;="&amp;B9,CDS_Schedule!$O$7:$O$46)</f>
        <v/>
      </c>
      <c r="I9" s="131">
        <f>(1-CDS_Parameters!$B$8)*H9/(G9-CDS_Parameters!$B$26)*10000</f>
        <v/>
      </c>
      <c r="J9" s="53">
        <f>I9-C9</f>
        <v/>
      </c>
      <c r="L9" s="72">
        <f>Hazard_Solver!$D$132</f>
        <v/>
      </c>
    </row>
    <row r="10">
      <c r="A10" s="6" t="inlineStr">
        <is>
          <t>5Y</t>
        </is>
      </c>
      <c r="B10" s="18">
        <f>CDS_Quotes!C10</f>
        <v/>
      </c>
      <c r="C10" s="17">
        <f>CDS_Quotes!F10</f>
        <v/>
      </c>
      <c r="D10" s="71">
        <f>IF(CDS_Parameters!$B$17="Flat hazard rate",CDS_Parameters!$B$18,Hazard_Solver!$B$175)</f>
        <v/>
      </c>
      <c r="E10" s="34">
        <f>INDEX(CDS_Schedule!$K$7:$K$46,MATCH(B10,CDS_Schedule!$C$7:$C$46,1))</f>
        <v/>
      </c>
      <c r="F10" s="34">
        <f>1-E10</f>
        <v/>
      </c>
      <c r="G10" s="34">
        <f>SUMIF(CDS_Schedule!$C$7:$C$46,"&lt;="&amp;B10,CDS_Schedule!$M$7:$M$46)+SUMIF(CDS_Schedule!$C$7:$C$46,"&lt;="&amp;B10,CDS_Schedule!$N$7:$N$46)</f>
        <v/>
      </c>
      <c r="H10" s="36">
        <f>SUMIF(CDS_Schedule!$C$7:$C$46,"&lt;="&amp;B10,CDS_Schedule!$O$7:$O$46)</f>
        <v/>
      </c>
      <c r="I10" s="131">
        <f>(1-CDS_Parameters!$B$8)*H10/(G10-CDS_Parameters!$B$26)*10000</f>
        <v/>
      </c>
      <c r="J10" s="53">
        <f>I10-C10</f>
        <v/>
      </c>
      <c r="L10" s="72">
        <f>Hazard_Solver!$D$175</f>
        <v/>
      </c>
    </row>
    <row r="11">
      <c r="A11" s="6" t="inlineStr">
        <is>
          <t>7Y</t>
        </is>
      </c>
      <c r="B11" s="18">
        <f>CDS_Quotes!C11</f>
        <v/>
      </c>
      <c r="C11" s="17">
        <f>CDS_Quotes!F11</f>
        <v/>
      </c>
      <c r="D11" s="71">
        <f>IF(CDS_Parameters!$B$17="Flat hazard rate",CDS_Parameters!$B$18,Hazard_Solver!$B$218)</f>
        <v/>
      </c>
      <c r="E11" s="34">
        <f>INDEX(CDS_Schedule!$K$7:$K$46,MATCH(B11,CDS_Schedule!$C$7:$C$46,1))</f>
        <v/>
      </c>
      <c r="F11" s="34">
        <f>1-E11</f>
        <v/>
      </c>
      <c r="G11" s="34">
        <f>SUMIF(CDS_Schedule!$C$7:$C$46,"&lt;="&amp;B11,CDS_Schedule!$M$7:$M$46)+SUMIF(CDS_Schedule!$C$7:$C$46,"&lt;="&amp;B11,CDS_Schedule!$N$7:$N$46)</f>
        <v/>
      </c>
      <c r="H11" s="36">
        <f>SUMIF(CDS_Schedule!$C$7:$C$46,"&lt;="&amp;B11,CDS_Schedule!$O$7:$O$46)</f>
        <v/>
      </c>
      <c r="I11" s="131">
        <f>(1-CDS_Parameters!$B$8)*H11/(G11-CDS_Parameters!$B$26)*10000</f>
        <v/>
      </c>
      <c r="J11" s="53">
        <f>I11-C11</f>
        <v/>
      </c>
      <c r="L11" s="72">
        <f>Hazard_Solver!$D$218</f>
        <v/>
      </c>
    </row>
    <row r="12">
      <c r="A12" s="6" t="inlineStr">
        <is>
          <t>10Y</t>
        </is>
      </c>
      <c r="B12" s="18">
        <f>CDS_Quotes!C12</f>
        <v/>
      </c>
      <c r="C12" s="17">
        <f>CDS_Quotes!F12</f>
        <v/>
      </c>
      <c r="D12" s="71">
        <f>IF(CDS_Parameters!$B$17="Flat hazard rate",CDS_Parameters!$B$18,Hazard_Solver!$B$261)</f>
        <v/>
      </c>
      <c r="E12" s="34">
        <f>INDEX(CDS_Schedule!$K$7:$K$46,MATCH(B12,CDS_Schedule!$C$7:$C$46,1))</f>
        <v/>
      </c>
      <c r="F12" s="34">
        <f>1-E12</f>
        <v/>
      </c>
      <c r="G12" s="34">
        <f>SUMIF(CDS_Schedule!$C$7:$C$46,"&lt;="&amp;B12,CDS_Schedule!$M$7:$M$46)+SUMIF(CDS_Schedule!$C$7:$C$46,"&lt;="&amp;B12,CDS_Schedule!$N$7:$N$46)</f>
        <v/>
      </c>
      <c r="H12" s="36">
        <f>SUMIF(CDS_Schedule!$C$7:$C$46,"&lt;="&amp;B12,CDS_Schedule!$O$7:$O$46)</f>
        <v/>
      </c>
      <c r="I12" s="131">
        <f>(1-CDS_Parameters!$B$8)*H12/(G12-CDS_Parameters!$B$26)*10000</f>
        <v/>
      </c>
      <c r="J12" s="53">
        <f>I12-C12</f>
        <v/>
      </c>
      <c r="L12" s="72">
        <f>Hazard_Solver!$D$261</f>
        <v/>
      </c>
    </row>
  </sheetData>
  <mergeCells count="1">
    <mergeCell ref="A4:J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/>
  </sheetPr>
  <dimension ref="A1:V2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80" customWidth="1" min="22" max="22"/>
  </cols>
  <sheetData>
    <row r="1">
      <c r="A1" s="67" t="inlineStr">
        <is>
          <t>Hazard_Solver</t>
        </is>
      </c>
    </row>
    <row r="2">
      <c r="A2" s="65" t="inlineStr">
        <is>
          <t>Solves each piecewise-constant hazard by bisection in cells. Replaces Goal Seek; refits live as spreads, recovery or the SOFR curve move.</t>
        </is>
      </c>
    </row>
    <row r="3">
      <c r="A3" s="65" t="inlineStr">
        <is>
          <t>Reads only the hazard-independent columns of CDS_Schedule (D alpha, E dt, G DF_end, H DF_mid), so no circular reference.</t>
        </is>
      </c>
      <c r="V3" s="136" t="inlineStr">
        <is>
          <t>WHAT THIS SHEET SOLVES</t>
        </is>
      </c>
    </row>
    <row r="4">
      <c r="A4" s="65" t="inlineStr">
        <is>
          <t>Bracket [0, 3], 30 bisection steps -&gt; resolution ~3e-9.</t>
        </is>
      </c>
      <c r="V4" s="137" t="inlineStr">
        <is>
          <t>For each tenor k, find h_k so the model par spread equals the quote.</t>
        </is>
      </c>
    </row>
    <row r="5">
      <c r="A5" s="65" t="inlineStr">
        <is>
          <t>Objective is (3.3): protection leg minus S x PV01, where PV01 is the premium leg NET of accrued interest x D(T_s) (CDS_Parameters!$B$26).</t>
        </is>
      </c>
      <c r="V5" s="137" t="n"/>
    </row>
    <row r="6">
      <c r="A6" s="73" t="inlineStr">
        <is>
          <t>TENOR 1Y: periods 1-4   -   solve lambda1</t>
        </is>
      </c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V6" s="138" t="inlineStr">
        <is>
          <t>(3.3)  S = Protection / ( Premium - AccruedInterest*D(T_s) )  at C=1bp</t>
        </is>
      </c>
    </row>
    <row r="7">
      <c r="A7" s="67" t="inlineStr">
        <is>
          <t>market S (bp)</t>
        </is>
      </c>
      <c r="B7" s="75">
        <f>Hazard_Bootstrap!$C$7</f>
        <v/>
      </c>
      <c r="C7" s="67" t="inlineStr">
        <is>
          <t>S (dec)</t>
        </is>
      </c>
      <c r="D7" s="76">
        <f>B7/10000</f>
        <v/>
      </c>
      <c r="E7" s="67" t="inlineStr">
        <is>
          <t>recovery R</t>
        </is>
      </c>
      <c r="F7" s="77">
        <f>CDS_Parameters!$B$8</f>
        <v/>
      </c>
      <c r="V7" s="137" t="n"/>
    </row>
    <row r="8">
      <c r="A8" s="67" t="inlineStr">
        <is>
          <t>Q(start)</t>
        </is>
      </c>
      <c r="B8" s="76">
        <f>1</f>
        <v/>
      </c>
      <c r="C8" s="67" t="inlineStr">
        <is>
          <t>ProtFixed</t>
        </is>
      </c>
      <c r="D8" s="76">
        <f>0</f>
        <v/>
      </c>
      <c r="E8" s="67" t="inlineStr">
        <is>
          <t>RPV01Fixed</t>
        </is>
      </c>
      <c r="F8" s="76">
        <f>0</f>
        <v/>
      </c>
      <c r="V8" s="137" t="inlineStr">
        <is>
          <t>as a root:</t>
        </is>
      </c>
    </row>
    <row r="9">
      <c r="A9" s="67" t="inlineStr">
        <is>
          <t>period</t>
        </is>
      </c>
      <c r="F9" s="78" t="n">
        <v>1</v>
      </c>
      <c r="G9" s="78" t="n">
        <v>2</v>
      </c>
      <c r="H9" s="78" t="n">
        <v>3</v>
      </c>
      <c r="I9" s="78" t="n">
        <v>4</v>
      </c>
      <c r="J9" s="78" t="inlineStr"/>
      <c r="K9" s="78" t="inlineStr"/>
      <c r="L9" s="78" t="inlineStr"/>
      <c r="M9" s="78" t="inlineStr"/>
      <c r="N9" s="78" t="inlineStr"/>
      <c r="O9" s="78" t="inlineStr"/>
      <c r="P9" s="78" t="inlineStr"/>
      <c r="Q9" s="78" t="inlineStr"/>
      <c r="V9" s="138" t="inlineStr">
        <is>
          <t xml:space="preserve">  f(h) = (1-R)*ProtCum(h) - S*( RPV01Cum(h) - D0*D(T_s) )</t>
        </is>
      </c>
    </row>
    <row r="10">
      <c r="A10" s="67" t="inlineStr">
        <is>
          <t>alpha 360</t>
        </is>
      </c>
      <c r="F10" s="79">
        <f>CDS_Schedule!$D$7</f>
        <v/>
      </c>
      <c r="G10" s="79">
        <f>CDS_Schedule!$D$8</f>
        <v/>
      </c>
      <c r="H10" s="79">
        <f>CDS_Schedule!$D$9</f>
        <v/>
      </c>
      <c r="I10" s="79">
        <f>CDS_Schedule!$D$10</f>
        <v/>
      </c>
      <c r="J10" s="80" t="n">
        <v>0</v>
      </c>
      <c r="K10" s="80" t="n">
        <v>0</v>
      </c>
      <c r="L10" s="80" t="n">
        <v>0</v>
      </c>
      <c r="M10" s="80" t="n">
        <v>0</v>
      </c>
      <c r="N10" s="80" t="n">
        <v>0</v>
      </c>
      <c r="O10" s="80" t="n">
        <v>0</v>
      </c>
      <c r="P10" s="80" t="n">
        <v>0</v>
      </c>
      <c r="Q10" s="80" t="n">
        <v>0</v>
      </c>
      <c r="V10" s="138" t="inlineStr">
        <is>
          <t xml:space="preserve">  ProtCum  = ProtFixed  + SUM Z(mid)*dPD          over this segment</t>
        </is>
      </c>
    </row>
    <row r="11">
      <c r="A11" s="67" t="inlineStr">
        <is>
          <t>dt 365</t>
        </is>
      </c>
      <c r="F11" s="79">
        <f>CDS_Schedule!$E$7</f>
        <v/>
      </c>
      <c r="G11" s="79">
        <f>CDS_Schedule!$E$8</f>
        <v/>
      </c>
      <c r="H11" s="79">
        <f>CDS_Schedule!$E$9</f>
        <v/>
      </c>
      <c r="I11" s="79">
        <f>CDS_Schedule!$E$10</f>
        <v/>
      </c>
      <c r="J11" s="80" t="n">
        <v>0</v>
      </c>
      <c r="K11" s="80" t="n">
        <v>0</v>
      </c>
      <c r="L11" s="80" t="n">
        <v>0</v>
      </c>
      <c r="M11" s="80" t="n">
        <v>0</v>
      </c>
      <c r="N11" s="80" t="n">
        <v>0</v>
      </c>
      <c r="O11" s="80" t="n">
        <v>0</v>
      </c>
      <c r="P11" s="80" t="n">
        <v>0</v>
      </c>
      <c r="Q11" s="80" t="n">
        <v>0</v>
      </c>
      <c r="V11" s="138" t="inlineStr">
        <is>
          <t xml:space="preserve">  RPV01Cum = RPV01Fixed + SUM alpha*Z(end)*Q</t>
        </is>
      </c>
    </row>
    <row r="12">
      <c r="A12" s="67" t="inlineStr">
        <is>
          <t>DF(end)</t>
        </is>
      </c>
      <c r="F12" s="79">
        <f>CDS_Schedule!$G$7</f>
        <v/>
      </c>
      <c r="G12" s="79">
        <f>CDS_Schedule!$G$8</f>
        <v/>
      </c>
      <c r="H12" s="79">
        <f>CDS_Schedule!$G$9</f>
        <v/>
      </c>
      <c r="I12" s="79">
        <f>CDS_Schedule!$G$10</f>
        <v/>
      </c>
      <c r="J12" s="80" t="n">
        <v>0</v>
      </c>
      <c r="K12" s="80" t="n">
        <v>0</v>
      </c>
      <c r="L12" s="80" t="n">
        <v>0</v>
      </c>
      <c r="M12" s="80" t="n">
        <v>0</v>
      </c>
      <c r="N12" s="80" t="n">
        <v>0</v>
      </c>
      <c r="O12" s="80" t="n">
        <v>0</v>
      </c>
      <c r="P12" s="80" t="n">
        <v>0</v>
      </c>
      <c r="Q12" s="80" t="n">
        <v>0</v>
      </c>
      <c r="V12" s="138" t="inlineStr">
        <is>
          <t xml:space="preserve">                        + (1/2) SUM alpha*Z(mid)*dPD</t>
        </is>
      </c>
    </row>
    <row r="13">
      <c r="A13" s="67" t="inlineStr">
        <is>
          <t>DF(mid)</t>
        </is>
      </c>
      <c r="F13" s="79">
        <f>CDS_Schedule!$H$7</f>
        <v/>
      </c>
      <c r="G13" s="79">
        <f>CDS_Schedule!$H$8</f>
        <v/>
      </c>
      <c r="H13" s="79">
        <f>CDS_Schedule!$H$9</f>
        <v/>
      </c>
      <c r="I13" s="79">
        <f>CDS_Schedule!$H$10</f>
        <v/>
      </c>
      <c r="J13" s="80" t="n">
        <v>0</v>
      </c>
      <c r="K13" s="80" t="n">
        <v>0</v>
      </c>
      <c r="L13" s="80" t="n">
        <v>0</v>
      </c>
      <c r="M13" s="80" t="n">
        <v>0</v>
      </c>
      <c r="N13" s="80" t="n">
        <v>0</v>
      </c>
      <c r="O13" s="80" t="n">
        <v>0</v>
      </c>
      <c r="P13" s="80" t="n">
        <v>0</v>
      </c>
      <c r="Q13" s="80" t="n">
        <v>0</v>
      </c>
      <c r="V13" s="137" t="n"/>
    </row>
    <row r="14">
      <c r="A14" s="67" t="inlineStr">
        <is>
          <t>cum dt in seg</t>
        </is>
      </c>
      <c r="F14" s="80">
        <f>0+F11</f>
        <v/>
      </c>
      <c r="G14" s="80">
        <f>F14+G11</f>
        <v/>
      </c>
      <c r="H14" s="80">
        <f>G14+H11</f>
        <v/>
      </c>
      <c r="I14" s="80">
        <f>H14+I11</f>
        <v/>
      </c>
      <c r="J14" s="80">
        <f>I14+J11</f>
        <v/>
      </c>
      <c r="K14" s="80">
        <f>J14+K11</f>
        <v/>
      </c>
      <c r="L14" s="80">
        <f>K14+L11</f>
        <v/>
      </c>
      <c r="M14" s="80">
        <f>L14+M11</f>
        <v/>
      </c>
      <c r="N14" s="80">
        <f>M14+N11</f>
        <v/>
      </c>
      <c r="O14" s="80">
        <f>N14+O11</f>
        <v/>
      </c>
      <c r="P14" s="80">
        <f>O14+P11</f>
        <v/>
      </c>
      <c r="Q14" s="80">
        <f>P14+Q11</f>
        <v/>
      </c>
      <c r="V14" s="139" t="inlineStr">
        <is>
          <t>ProtFixed / RPV01Fixed carry in from the shorter tenors, already solved.</t>
        </is>
      </c>
    </row>
    <row r="15">
      <c r="A15" s="67" t="inlineStr">
        <is>
          <t>bisection</t>
        </is>
      </c>
      <c r="B15" s="62" t="inlineStr">
        <is>
          <t>lo</t>
        </is>
      </c>
      <c r="C15" s="62" t="inlineStr">
        <is>
          <t>hi</t>
        </is>
      </c>
      <c r="D15" s="62" t="inlineStr">
        <is>
          <t>lambda trial</t>
        </is>
      </c>
      <c r="E15" s="62" t="inlineStr">
        <is>
          <t>Q(start)</t>
        </is>
      </c>
      <c r="R15" s="62" t="inlineStr">
        <is>
          <t>ProtSeg</t>
        </is>
      </c>
      <c r="S15" s="62" t="inlineStr">
        <is>
          <t>RPV01Seg</t>
        </is>
      </c>
      <c r="T15" s="62" t="inlineStr">
        <is>
          <t>f(lambda)</t>
        </is>
      </c>
      <c r="V15" s="139" t="inlineStr">
        <is>
          <t>That carry IS the bootstrap: only h_k is unknown on each block.</t>
        </is>
      </c>
    </row>
    <row r="16">
      <c r="B16" s="76" t="n">
        <v>0</v>
      </c>
      <c r="C16" s="76" t="n">
        <v>3</v>
      </c>
      <c r="D16" s="76">
        <f>(B16+C16)/2</f>
        <v/>
      </c>
      <c r="E16" s="76">
        <f>$B$8</f>
        <v/>
      </c>
      <c r="F16" s="76">
        <f>$B$8*EXP(-$D16*F$14)</f>
        <v/>
      </c>
      <c r="G16" s="76">
        <f>$B$8*EXP(-$D16*G$14)</f>
        <v/>
      </c>
      <c r="H16" s="76">
        <f>$B$8*EXP(-$D16*H$14)</f>
        <v/>
      </c>
      <c r="I16" s="76">
        <f>$B$8*EXP(-$D16*I$14)</f>
        <v/>
      </c>
      <c r="J16" s="76">
        <f>I16</f>
        <v/>
      </c>
      <c r="K16" s="76">
        <f>J16</f>
        <v/>
      </c>
      <c r="L16" s="76">
        <f>K16</f>
        <v/>
      </c>
      <c r="M16" s="76">
        <f>L16</f>
        <v/>
      </c>
      <c r="N16" s="76">
        <f>M16</f>
        <v/>
      </c>
      <c r="O16" s="76">
        <f>N16</f>
        <v/>
      </c>
      <c r="P16" s="76">
        <f>O16</f>
        <v/>
      </c>
      <c r="Q16" s="76">
        <f>P16</f>
        <v/>
      </c>
      <c r="R16" s="76">
        <f>SUMPRODUCT($F$13:$Q$13,$E16:$P16-$F16:$Q16)</f>
        <v/>
      </c>
      <c r="S16" s="76">
        <f>SUMPRODUCT($F$10:$Q$10,$F$12:$Q$12,$F16:$Q16)+0.5*SUMPRODUCT($F$10:$Q$10,$F$13:$Q$13,$E16:$P16-$F16:$Q16)</f>
        <v/>
      </c>
      <c r="T16" s="76">
        <f>(1-$F$7)*($D$8+R16)-$D$7*(($F$8+S16)-CDS_Parameters!$B$26)</f>
        <v/>
      </c>
      <c r="V16" s="137" t="n"/>
    </row>
    <row r="17">
      <c r="B17" s="76">
        <f>IF(T16&lt;0,D16,B16)</f>
        <v/>
      </c>
      <c r="C17" s="76">
        <f>IF(T16&lt;0,C16,D16)</f>
        <v/>
      </c>
      <c r="D17" s="76">
        <f>(B17+C17)/2</f>
        <v/>
      </c>
      <c r="E17" s="76">
        <f>$B$8</f>
        <v/>
      </c>
      <c r="F17" s="76">
        <f>$B$8*EXP(-$D17*F$14)</f>
        <v/>
      </c>
      <c r="G17" s="76">
        <f>$B$8*EXP(-$D17*G$14)</f>
        <v/>
      </c>
      <c r="H17" s="76">
        <f>$B$8*EXP(-$D17*H$14)</f>
        <v/>
      </c>
      <c r="I17" s="76">
        <f>$B$8*EXP(-$D17*I$14)</f>
        <v/>
      </c>
      <c r="J17" s="76">
        <f>I17</f>
        <v/>
      </c>
      <c r="K17" s="76">
        <f>J17</f>
        <v/>
      </c>
      <c r="L17" s="76">
        <f>K17</f>
        <v/>
      </c>
      <c r="M17" s="76">
        <f>L17</f>
        <v/>
      </c>
      <c r="N17" s="76">
        <f>M17</f>
        <v/>
      </c>
      <c r="O17" s="76">
        <f>N17</f>
        <v/>
      </c>
      <c r="P17" s="76">
        <f>O17</f>
        <v/>
      </c>
      <c r="Q17" s="76">
        <f>P17</f>
        <v/>
      </c>
      <c r="R17" s="76">
        <f>SUMPRODUCT($F$13:$Q$13,$E17:$P17-$F17:$Q17)</f>
        <v/>
      </c>
      <c r="S17" s="76">
        <f>SUMPRODUCT($F$10:$Q$10,$F$12:$Q$12,$F17:$Q17)+0.5*SUMPRODUCT($F$10:$Q$10,$F$13:$Q$13,$E17:$P17-$F17:$Q17)</f>
        <v/>
      </c>
      <c r="T17" s="76">
        <f>(1-$F$7)*($D$8+R17)-$D$7*(($F$8+S17)-CDS_Parameters!$B$26)</f>
        <v/>
      </c>
      <c r="V17" s="138" t="inlineStr">
        <is>
          <t>survival  Q(t) = Q(t_k-1) * exp(-h_k*(t - t_k-1))          B-Model p.5</t>
        </is>
      </c>
    </row>
    <row r="18">
      <c r="B18" s="76">
        <f>IF(T17&lt;0,D17,B17)</f>
        <v/>
      </c>
      <c r="C18" s="76">
        <f>IF(T17&lt;0,C17,D17)</f>
        <v/>
      </c>
      <c r="D18" s="76">
        <f>(B18+C18)/2</f>
        <v/>
      </c>
      <c r="E18" s="76">
        <f>$B$8</f>
        <v/>
      </c>
      <c r="F18" s="76">
        <f>$B$8*EXP(-$D18*F$14)</f>
        <v/>
      </c>
      <c r="G18" s="76">
        <f>$B$8*EXP(-$D18*G$14)</f>
        <v/>
      </c>
      <c r="H18" s="76">
        <f>$B$8*EXP(-$D18*H$14)</f>
        <v/>
      </c>
      <c r="I18" s="76">
        <f>$B$8*EXP(-$D18*I$14)</f>
        <v/>
      </c>
      <c r="J18" s="76">
        <f>I18</f>
        <v/>
      </c>
      <c r="K18" s="76">
        <f>J18</f>
        <v/>
      </c>
      <c r="L18" s="76">
        <f>K18</f>
        <v/>
      </c>
      <c r="M18" s="76">
        <f>L18</f>
        <v/>
      </c>
      <c r="N18" s="76">
        <f>M18</f>
        <v/>
      </c>
      <c r="O18" s="76">
        <f>N18</f>
        <v/>
      </c>
      <c r="P18" s="76">
        <f>O18</f>
        <v/>
      </c>
      <c r="Q18" s="76">
        <f>P18</f>
        <v/>
      </c>
      <c r="R18" s="76">
        <f>SUMPRODUCT($F$13:$Q$13,$E18:$P18-$F18:$Q18)</f>
        <v/>
      </c>
      <c r="S18" s="76">
        <f>SUMPRODUCT($F$10:$Q$10,$F$12:$Q$12,$F18:$Q18)+0.5*SUMPRODUCT($F$10:$Q$10,$F$13:$Q$13,$E18:$P18-$F18:$Q18)</f>
        <v/>
      </c>
      <c r="T18" s="76">
        <f>(1-$F$7)*($D$8+R18)-$D$7*(($F$8+S18)-CDS_Parameters!$B$26)</f>
        <v/>
      </c>
      <c r="V18" s="137" t="inlineStr">
        <is>
          <t>method    1-D root search per maturity, earlier hazards held</t>
        </is>
      </c>
    </row>
    <row r="19">
      <c r="B19" s="76">
        <f>IF(T18&lt;0,D18,B18)</f>
        <v/>
      </c>
      <c r="C19" s="76">
        <f>IF(T18&lt;0,C18,D18)</f>
        <v/>
      </c>
      <c r="D19" s="76">
        <f>(B19+C19)/2</f>
        <v/>
      </c>
      <c r="E19" s="76">
        <f>$B$8</f>
        <v/>
      </c>
      <c r="F19" s="76">
        <f>$B$8*EXP(-$D19*F$14)</f>
        <v/>
      </c>
      <c r="G19" s="76">
        <f>$B$8*EXP(-$D19*G$14)</f>
        <v/>
      </c>
      <c r="H19" s="76">
        <f>$B$8*EXP(-$D19*H$14)</f>
        <v/>
      </c>
      <c r="I19" s="76">
        <f>$B$8*EXP(-$D19*I$14)</f>
        <v/>
      </c>
      <c r="J19" s="76">
        <f>I19</f>
        <v/>
      </c>
      <c r="K19" s="76">
        <f>J19</f>
        <v/>
      </c>
      <c r="L19" s="76">
        <f>K19</f>
        <v/>
      </c>
      <c r="M19" s="76">
        <f>L19</f>
        <v/>
      </c>
      <c r="N19" s="76">
        <f>M19</f>
        <v/>
      </c>
      <c r="O19" s="76">
        <f>N19</f>
        <v/>
      </c>
      <c r="P19" s="76">
        <f>O19</f>
        <v/>
      </c>
      <c r="Q19" s="76">
        <f>P19</f>
        <v/>
      </c>
      <c r="R19" s="76">
        <f>SUMPRODUCT($F$13:$Q$13,$E19:$P19-$F19:$Q19)</f>
        <v/>
      </c>
      <c r="S19" s="76">
        <f>SUMPRODUCT($F$10:$Q$10,$F$12:$Q$12,$F19:$Q19)+0.5*SUMPRODUCT($F$10:$Q$10,$F$13:$Q$13,$E19:$P19-$F19:$Q19)</f>
        <v/>
      </c>
      <c r="T19" s="76">
        <f>(1-$F$7)*($D$8+R19)-$D$7*(($F$8+S19)-CDS_Parameters!$B$26)</f>
        <v/>
      </c>
      <c r="V19" s="139" t="inlineStr">
        <is>
          <t xml:space="preserve">          B-Model S4 p.8 ; O-T S9, footnote 8 names bisection</t>
        </is>
      </c>
    </row>
    <row r="20">
      <c r="B20" s="76">
        <f>IF(T19&lt;0,D19,B19)</f>
        <v/>
      </c>
      <c r="C20" s="76">
        <f>IF(T19&lt;0,C19,D19)</f>
        <v/>
      </c>
      <c r="D20" s="76">
        <f>(B20+C20)/2</f>
        <v/>
      </c>
      <c r="E20" s="76">
        <f>$B$8</f>
        <v/>
      </c>
      <c r="F20" s="76">
        <f>$B$8*EXP(-$D20*F$14)</f>
        <v/>
      </c>
      <c r="G20" s="76">
        <f>$B$8*EXP(-$D20*G$14)</f>
        <v/>
      </c>
      <c r="H20" s="76">
        <f>$B$8*EXP(-$D20*H$14)</f>
        <v/>
      </c>
      <c r="I20" s="76">
        <f>$B$8*EXP(-$D20*I$14)</f>
        <v/>
      </c>
      <c r="J20" s="76">
        <f>I20</f>
        <v/>
      </c>
      <c r="K20" s="76">
        <f>J20</f>
        <v/>
      </c>
      <c r="L20" s="76">
        <f>K20</f>
        <v/>
      </c>
      <c r="M20" s="76">
        <f>L20</f>
        <v/>
      </c>
      <c r="N20" s="76">
        <f>M20</f>
        <v/>
      </c>
      <c r="O20" s="76">
        <f>N20</f>
        <v/>
      </c>
      <c r="P20" s="76">
        <f>O20</f>
        <v/>
      </c>
      <c r="Q20" s="76">
        <f>P20</f>
        <v/>
      </c>
      <c r="R20" s="76">
        <f>SUMPRODUCT($F$13:$Q$13,$E20:$P20-$F20:$Q20)</f>
        <v/>
      </c>
      <c r="S20" s="76">
        <f>SUMPRODUCT($F$10:$Q$10,$F$12:$Q$12,$F20:$Q20)+0.5*SUMPRODUCT($F$10:$Q$10,$F$13:$Q$13,$E20:$P20-$F20:$Q20)</f>
        <v/>
      </c>
      <c r="T20" s="76">
        <f>(1-$F$7)*($D$8+R20)-$D$7*(($F$8+S20)-CDS_Parameters!$B$26)</f>
        <v/>
      </c>
      <c r="V20" s="137" t="inlineStr">
        <is>
          <t>bracket   [0,3], 30 halvings -&gt; ~3e-9.  h &gt;= 0 is hard (p.8)</t>
        </is>
      </c>
    </row>
    <row r="21">
      <c r="B21" s="76">
        <f>IF(T20&lt;0,D20,B20)</f>
        <v/>
      </c>
      <c r="C21" s="76">
        <f>IF(T20&lt;0,C20,D20)</f>
        <v/>
      </c>
      <c r="D21" s="76">
        <f>(B21+C21)/2</f>
        <v/>
      </c>
      <c r="E21" s="76">
        <f>$B$8</f>
        <v/>
      </c>
      <c r="F21" s="76">
        <f>$B$8*EXP(-$D21*F$14)</f>
        <v/>
      </c>
      <c r="G21" s="76">
        <f>$B$8*EXP(-$D21*G$14)</f>
        <v/>
      </c>
      <c r="H21" s="76">
        <f>$B$8*EXP(-$D21*H$14)</f>
        <v/>
      </c>
      <c r="I21" s="76">
        <f>$B$8*EXP(-$D21*I$14)</f>
        <v/>
      </c>
      <c r="J21" s="76">
        <f>I21</f>
        <v/>
      </c>
      <c r="K21" s="76">
        <f>J21</f>
        <v/>
      </c>
      <c r="L21" s="76">
        <f>K21</f>
        <v/>
      </c>
      <c r="M21" s="76">
        <f>L21</f>
        <v/>
      </c>
      <c r="N21" s="76">
        <f>M21</f>
        <v/>
      </c>
      <c r="O21" s="76">
        <f>N21</f>
        <v/>
      </c>
      <c r="P21" s="76">
        <f>O21</f>
        <v/>
      </c>
      <c r="Q21" s="76">
        <f>P21</f>
        <v/>
      </c>
      <c r="R21" s="76">
        <f>SUMPRODUCT($F$13:$Q$13,$E21:$P21-$F21:$Q21)</f>
        <v/>
      </c>
      <c r="S21" s="76">
        <f>SUMPRODUCT($F$10:$Q$10,$F$12:$Q$12,$F21:$Q21)+0.5*SUMPRODUCT($F$10:$Q$10,$F$13:$Q$13,$E21:$P21-$F21:$Q21)</f>
        <v/>
      </c>
      <c r="T21" s="76">
        <f>(1-$F$7)*($D$8+R21)-$D$7*(($F$8+S21)-CDS_Parameters!$B$26)</f>
        <v/>
      </c>
    </row>
    <row r="22">
      <c r="B22" s="76">
        <f>IF(T21&lt;0,D21,B21)</f>
        <v/>
      </c>
      <c r="C22" s="76">
        <f>IF(T21&lt;0,C21,D21)</f>
        <v/>
      </c>
      <c r="D22" s="76">
        <f>(B22+C22)/2</f>
        <v/>
      </c>
      <c r="E22" s="76">
        <f>$B$8</f>
        <v/>
      </c>
      <c r="F22" s="76">
        <f>$B$8*EXP(-$D22*F$14)</f>
        <v/>
      </c>
      <c r="G22" s="76">
        <f>$B$8*EXP(-$D22*G$14)</f>
        <v/>
      </c>
      <c r="H22" s="76">
        <f>$B$8*EXP(-$D22*H$14)</f>
        <v/>
      </c>
      <c r="I22" s="76">
        <f>$B$8*EXP(-$D22*I$14)</f>
        <v/>
      </c>
      <c r="J22" s="76">
        <f>I22</f>
        <v/>
      </c>
      <c r="K22" s="76">
        <f>J22</f>
        <v/>
      </c>
      <c r="L22" s="76">
        <f>K22</f>
        <v/>
      </c>
      <c r="M22" s="76">
        <f>L22</f>
        <v/>
      </c>
      <c r="N22" s="76">
        <f>M22</f>
        <v/>
      </c>
      <c r="O22" s="76">
        <f>N22</f>
        <v/>
      </c>
      <c r="P22" s="76">
        <f>O22</f>
        <v/>
      </c>
      <c r="Q22" s="76">
        <f>P22</f>
        <v/>
      </c>
      <c r="R22" s="76">
        <f>SUMPRODUCT($F$13:$Q$13,$E22:$P22-$F22:$Q22)</f>
        <v/>
      </c>
      <c r="S22" s="76">
        <f>SUMPRODUCT($F$10:$Q$10,$F$12:$Q$12,$F22:$Q22)+0.5*SUMPRODUCT($F$10:$Q$10,$F$13:$Q$13,$E22:$P22-$F22:$Q22)</f>
        <v/>
      </c>
      <c r="T22" s="76">
        <f>(1-$F$7)*($D$8+R22)-$D$7*(($F$8+S22)-CDS_Parameters!$B$26)</f>
        <v/>
      </c>
    </row>
    <row r="23">
      <c r="B23" s="76">
        <f>IF(T22&lt;0,D22,B22)</f>
        <v/>
      </c>
      <c r="C23" s="76">
        <f>IF(T22&lt;0,C22,D22)</f>
        <v/>
      </c>
      <c r="D23" s="76">
        <f>(B23+C23)/2</f>
        <v/>
      </c>
      <c r="E23" s="76">
        <f>$B$8</f>
        <v/>
      </c>
      <c r="F23" s="76">
        <f>$B$8*EXP(-$D23*F$14)</f>
        <v/>
      </c>
      <c r="G23" s="76">
        <f>$B$8*EXP(-$D23*G$14)</f>
        <v/>
      </c>
      <c r="H23" s="76">
        <f>$B$8*EXP(-$D23*H$14)</f>
        <v/>
      </c>
      <c r="I23" s="76">
        <f>$B$8*EXP(-$D23*I$14)</f>
        <v/>
      </c>
      <c r="J23" s="76">
        <f>I23</f>
        <v/>
      </c>
      <c r="K23" s="76">
        <f>J23</f>
        <v/>
      </c>
      <c r="L23" s="76">
        <f>K23</f>
        <v/>
      </c>
      <c r="M23" s="76">
        <f>L23</f>
        <v/>
      </c>
      <c r="N23" s="76">
        <f>M23</f>
        <v/>
      </c>
      <c r="O23" s="76">
        <f>N23</f>
        <v/>
      </c>
      <c r="P23" s="76">
        <f>O23</f>
        <v/>
      </c>
      <c r="Q23" s="76">
        <f>P23</f>
        <v/>
      </c>
      <c r="R23" s="76">
        <f>SUMPRODUCT($F$13:$Q$13,$E23:$P23-$F23:$Q23)</f>
        <v/>
      </c>
      <c r="S23" s="76">
        <f>SUMPRODUCT($F$10:$Q$10,$F$12:$Q$12,$F23:$Q23)+0.5*SUMPRODUCT($F$10:$Q$10,$F$13:$Q$13,$E23:$P23-$F23:$Q23)</f>
        <v/>
      </c>
      <c r="T23" s="76">
        <f>(1-$F$7)*($D$8+R23)-$D$7*(($F$8+S23)-CDS_Parameters!$B$26)</f>
        <v/>
      </c>
    </row>
    <row r="24">
      <c r="B24" s="76">
        <f>IF(T23&lt;0,D23,B23)</f>
        <v/>
      </c>
      <c r="C24" s="76">
        <f>IF(T23&lt;0,C23,D23)</f>
        <v/>
      </c>
      <c r="D24" s="76">
        <f>(B24+C24)/2</f>
        <v/>
      </c>
      <c r="E24" s="76">
        <f>$B$8</f>
        <v/>
      </c>
      <c r="F24" s="76">
        <f>$B$8*EXP(-$D24*F$14)</f>
        <v/>
      </c>
      <c r="G24" s="76">
        <f>$B$8*EXP(-$D24*G$14)</f>
        <v/>
      </c>
      <c r="H24" s="76">
        <f>$B$8*EXP(-$D24*H$14)</f>
        <v/>
      </c>
      <c r="I24" s="76">
        <f>$B$8*EXP(-$D24*I$14)</f>
        <v/>
      </c>
      <c r="J24" s="76">
        <f>I24</f>
        <v/>
      </c>
      <c r="K24" s="76">
        <f>J24</f>
        <v/>
      </c>
      <c r="L24" s="76">
        <f>K24</f>
        <v/>
      </c>
      <c r="M24" s="76">
        <f>L24</f>
        <v/>
      </c>
      <c r="N24" s="76">
        <f>M24</f>
        <v/>
      </c>
      <c r="O24" s="76">
        <f>N24</f>
        <v/>
      </c>
      <c r="P24" s="76">
        <f>O24</f>
        <v/>
      </c>
      <c r="Q24" s="76">
        <f>P24</f>
        <v/>
      </c>
      <c r="R24" s="76">
        <f>SUMPRODUCT($F$13:$Q$13,$E24:$P24-$F24:$Q24)</f>
        <v/>
      </c>
      <c r="S24" s="76">
        <f>SUMPRODUCT($F$10:$Q$10,$F$12:$Q$12,$F24:$Q24)+0.5*SUMPRODUCT($F$10:$Q$10,$F$13:$Q$13,$E24:$P24-$F24:$Q24)</f>
        <v/>
      </c>
      <c r="T24" s="76">
        <f>(1-$F$7)*($D$8+R24)-$D$7*(($F$8+S24)-CDS_Parameters!$B$26)</f>
        <v/>
      </c>
    </row>
    <row r="25">
      <c r="B25" s="76">
        <f>IF(T24&lt;0,D24,B24)</f>
        <v/>
      </c>
      <c r="C25" s="76">
        <f>IF(T24&lt;0,C24,D24)</f>
        <v/>
      </c>
      <c r="D25" s="76">
        <f>(B25+C25)/2</f>
        <v/>
      </c>
      <c r="E25" s="76">
        <f>$B$8</f>
        <v/>
      </c>
      <c r="F25" s="76">
        <f>$B$8*EXP(-$D25*F$14)</f>
        <v/>
      </c>
      <c r="G25" s="76">
        <f>$B$8*EXP(-$D25*G$14)</f>
        <v/>
      </c>
      <c r="H25" s="76">
        <f>$B$8*EXP(-$D25*H$14)</f>
        <v/>
      </c>
      <c r="I25" s="76">
        <f>$B$8*EXP(-$D25*I$14)</f>
        <v/>
      </c>
      <c r="J25" s="76">
        <f>I25</f>
        <v/>
      </c>
      <c r="K25" s="76">
        <f>J25</f>
        <v/>
      </c>
      <c r="L25" s="76">
        <f>K25</f>
        <v/>
      </c>
      <c r="M25" s="76">
        <f>L25</f>
        <v/>
      </c>
      <c r="N25" s="76">
        <f>M25</f>
        <v/>
      </c>
      <c r="O25" s="76">
        <f>N25</f>
        <v/>
      </c>
      <c r="P25" s="76">
        <f>O25</f>
        <v/>
      </c>
      <c r="Q25" s="76">
        <f>P25</f>
        <v/>
      </c>
      <c r="R25" s="76">
        <f>SUMPRODUCT($F$13:$Q$13,$E25:$P25-$F25:$Q25)</f>
        <v/>
      </c>
      <c r="S25" s="76">
        <f>SUMPRODUCT($F$10:$Q$10,$F$12:$Q$12,$F25:$Q25)+0.5*SUMPRODUCT($F$10:$Q$10,$F$13:$Q$13,$E25:$P25-$F25:$Q25)</f>
        <v/>
      </c>
      <c r="T25" s="76">
        <f>(1-$F$7)*($D$8+R25)-$D$7*(($F$8+S25)-CDS_Parameters!$B$26)</f>
        <v/>
      </c>
    </row>
    <row r="26">
      <c r="B26" s="76">
        <f>IF(T25&lt;0,D25,B25)</f>
        <v/>
      </c>
      <c r="C26" s="76">
        <f>IF(T25&lt;0,C25,D25)</f>
        <v/>
      </c>
      <c r="D26" s="76">
        <f>(B26+C26)/2</f>
        <v/>
      </c>
      <c r="E26" s="76">
        <f>$B$8</f>
        <v/>
      </c>
      <c r="F26" s="76">
        <f>$B$8*EXP(-$D26*F$14)</f>
        <v/>
      </c>
      <c r="G26" s="76">
        <f>$B$8*EXP(-$D26*G$14)</f>
        <v/>
      </c>
      <c r="H26" s="76">
        <f>$B$8*EXP(-$D26*H$14)</f>
        <v/>
      </c>
      <c r="I26" s="76">
        <f>$B$8*EXP(-$D26*I$14)</f>
        <v/>
      </c>
      <c r="J26" s="76">
        <f>I26</f>
        <v/>
      </c>
      <c r="K26" s="76">
        <f>J26</f>
        <v/>
      </c>
      <c r="L26" s="76">
        <f>K26</f>
        <v/>
      </c>
      <c r="M26" s="76">
        <f>L26</f>
        <v/>
      </c>
      <c r="N26" s="76">
        <f>M26</f>
        <v/>
      </c>
      <c r="O26" s="76">
        <f>N26</f>
        <v/>
      </c>
      <c r="P26" s="76">
        <f>O26</f>
        <v/>
      </c>
      <c r="Q26" s="76">
        <f>P26</f>
        <v/>
      </c>
      <c r="R26" s="76">
        <f>SUMPRODUCT($F$13:$Q$13,$E26:$P26-$F26:$Q26)</f>
        <v/>
      </c>
      <c r="S26" s="76">
        <f>SUMPRODUCT($F$10:$Q$10,$F$12:$Q$12,$F26:$Q26)+0.5*SUMPRODUCT($F$10:$Q$10,$F$13:$Q$13,$E26:$P26-$F26:$Q26)</f>
        <v/>
      </c>
      <c r="T26" s="76">
        <f>(1-$F$7)*($D$8+R26)-$D$7*(($F$8+S26)-CDS_Parameters!$B$26)</f>
        <v/>
      </c>
    </row>
    <row r="27">
      <c r="B27" s="76">
        <f>IF(T26&lt;0,D26,B26)</f>
        <v/>
      </c>
      <c r="C27" s="76">
        <f>IF(T26&lt;0,C26,D26)</f>
        <v/>
      </c>
      <c r="D27" s="76">
        <f>(B27+C27)/2</f>
        <v/>
      </c>
      <c r="E27" s="76">
        <f>$B$8</f>
        <v/>
      </c>
      <c r="F27" s="76">
        <f>$B$8*EXP(-$D27*F$14)</f>
        <v/>
      </c>
      <c r="G27" s="76">
        <f>$B$8*EXP(-$D27*G$14)</f>
        <v/>
      </c>
      <c r="H27" s="76">
        <f>$B$8*EXP(-$D27*H$14)</f>
        <v/>
      </c>
      <c r="I27" s="76">
        <f>$B$8*EXP(-$D27*I$14)</f>
        <v/>
      </c>
      <c r="J27" s="76">
        <f>I27</f>
        <v/>
      </c>
      <c r="K27" s="76">
        <f>J27</f>
        <v/>
      </c>
      <c r="L27" s="76">
        <f>K27</f>
        <v/>
      </c>
      <c r="M27" s="76">
        <f>L27</f>
        <v/>
      </c>
      <c r="N27" s="76">
        <f>M27</f>
        <v/>
      </c>
      <c r="O27" s="76">
        <f>N27</f>
        <v/>
      </c>
      <c r="P27" s="76">
        <f>O27</f>
        <v/>
      </c>
      <c r="Q27" s="76">
        <f>P27</f>
        <v/>
      </c>
      <c r="R27" s="76">
        <f>SUMPRODUCT($F$13:$Q$13,$E27:$P27-$F27:$Q27)</f>
        <v/>
      </c>
      <c r="S27" s="76">
        <f>SUMPRODUCT($F$10:$Q$10,$F$12:$Q$12,$F27:$Q27)+0.5*SUMPRODUCT($F$10:$Q$10,$F$13:$Q$13,$E27:$P27-$F27:$Q27)</f>
        <v/>
      </c>
      <c r="T27" s="76">
        <f>(1-$F$7)*($D$8+R27)-$D$7*(($F$8+S27)-CDS_Parameters!$B$26)</f>
        <v/>
      </c>
    </row>
    <row r="28">
      <c r="B28" s="76">
        <f>IF(T27&lt;0,D27,B27)</f>
        <v/>
      </c>
      <c r="C28" s="76">
        <f>IF(T27&lt;0,C27,D27)</f>
        <v/>
      </c>
      <c r="D28" s="76">
        <f>(B28+C28)/2</f>
        <v/>
      </c>
      <c r="E28" s="76">
        <f>$B$8</f>
        <v/>
      </c>
      <c r="F28" s="76">
        <f>$B$8*EXP(-$D28*F$14)</f>
        <v/>
      </c>
      <c r="G28" s="76">
        <f>$B$8*EXP(-$D28*G$14)</f>
        <v/>
      </c>
      <c r="H28" s="76">
        <f>$B$8*EXP(-$D28*H$14)</f>
        <v/>
      </c>
      <c r="I28" s="76">
        <f>$B$8*EXP(-$D28*I$14)</f>
        <v/>
      </c>
      <c r="J28" s="76">
        <f>I28</f>
        <v/>
      </c>
      <c r="K28" s="76">
        <f>J28</f>
        <v/>
      </c>
      <c r="L28" s="76">
        <f>K28</f>
        <v/>
      </c>
      <c r="M28" s="76">
        <f>L28</f>
        <v/>
      </c>
      <c r="N28" s="76">
        <f>M28</f>
        <v/>
      </c>
      <c r="O28" s="76">
        <f>N28</f>
        <v/>
      </c>
      <c r="P28" s="76">
        <f>O28</f>
        <v/>
      </c>
      <c r="Q28" s="76">
        <f>P28</f>
        <v/>
      </c>
      <c r="R28" s="76">
        <f>SUMPRODUCT($F$13:$Q$13,$E28:$P28-$F28:$Q28)</f>
        <v/>
      </c>
      <c r="S28" s="76">
        <f>SUMPRODUCT($F$10:$Q$10,$F$12:$Q$12,$F28:$Q28)+0.5*SUMPRODUCT($F$10:$Q$10,$F$13:$Q$13,$E28:$P28-$F28:$Q28)</f>
        <v/>
      </c>
      <c r="T28" s="76">
        <f>(1-$F$7)*($D$8+R28)-$D$7*(($F$8+S28)-CDS_Parameters!$B$26)</f>
        <v/>
      </c>
    </row>
    <row r="29">
      <c r="B29" s="76">
        <f>IF(T28&lt;0,D28,B28)</f>
        <v/>
      </c>
      <c r="C29" s="76">
        <f>IF(T28&lt;0,C28,D28)</f>
        <v/>
      </c>
      <c r="D29" s="76">
        <f>(B29+C29)/2</f>
        <v/>
      </c>
      <c r="E29" s="76">
        <f>$B$8</f>
        <v/>
      </c>
      <c r="F29" s="76">
        <f>$B$8*EXP(-$D29*F$14)</f>
        <v/>
      </c>
      <c r="G29" s="76">
        <f>$B$8*EXP(-$D29*G$14)</f>
        <v/>
      </c>
      <c r="H29" s="76">
        <f>$B$8*EXP(-$D29*H$14)</f>
        <v/>
      </c>
      <c r="I29" s="76">
        <f>$B$8*EXP(-$D29*I$14)</f>
        <v/>
      </c>
      <c r="J29" s="76">
        <f>I29</f>
        <v/>
      </c>
      <c r="K29" s="76">
        <f>J29</f>
        <v/>
      </c>
      <c r="L29" s="76">
        <f>K29</f>
        <v/>
      </c>
      <c r="M29" s="76">
        <f>L29</f>
        <v/>
      </c>
      <c r="N29" s="76">
        <f>M29</f>
        <v/>
      </c>
      <c r="O29" s="76">
        <f>N29</f>
        <v/>
      </c>
      <c r="P29" s="76">
        <f>O29</f>
        <v/>
      </c>
      <c r="Q29" s="76">
        <f>P29</f>
        <v/>
      </c>
      <c r="R29" s="76">
        <f>SUMPRODUCT($F$13:$Q$13,$E29:$P29-$F29:$Q29)</f>
        <v/>
      </c>
      <c r="S29" s="76">
        <f>SUMPRODUCT($F$10:$Q$10,$F$12:$Q$12,$F29:$Q29)+0.5*SUMPRODUCT($F$10:$Q$10,$F$13:$Q$13,$E29:$P29-$F29:$Q29)</f>
        <v/>
      </c>
      <c r="T29" s="76">
        <f>(1-$F$7)*($D$8+R29)-$D$7*(($F$8+S29)-CDS_Parameters!$B$26)</f>
        <v/>
      </c>
    </row>
    <row r="30">
      <c r="B30" s="76">
        <f>IF(T29&lt;0,D29,B29)</f>
        <v/>
      </c>
      <c r="C30" s="76">
        <f>IF(T29&lt;0,C29,D29)</f>
        <v/>
      </c>
      <c r="D30" s="76">
        <f>(B30+C30)/2</f>
        <v/>
      </c>
      <c r="E30" s="76">
        <f>$B$8</f>
        <v/>
      </c>
      <c r="F30" s="76">
        <f>$B$8*EXP(-$D30*F$14)</f>
        <v/>
      </c>
      <c r="G30" s="76">
        <f>$B$8*EXP(-$D30*G$14)</f>
        <v/>
      </c>
      <c r="H30" s="76">
        <f>$B$8*EXP(-$D30*H$14)</f>
        <v/>
      </c>
      <c r="I30" s="76">
        <f>$B$8*EXP(-$D30*I$14)</f>
        <v/>
      </c>
      <c r="J30" s="76">
        <f>I30</f>
        <v/>
      </c>
      <c r="K30" s="76">
        <f>J30</f>
        <v/>
      </c>
      <c r="L30" s="76">
        <f>K30</f>
        <v/>
      </c>
      <c r="M30" s="76">
        <f>L30</f>
        <v/>
      </c>
      <c r="N30" s="76">
        <f>M30</f>
        <v/>
      </c>
      <c r="O30" s="76">
        <f>N30</f>
        <v/>
      </c>
      <c r="P30" s="76">
        <f>O30</f>
        <v/>
      </c>
      <c r="Q30" s="76">
        <f>P30</f>
        <v/>
      </c>
      <c r="R30" s="76">
        <f>SUMPRODUCT($F$13:$Q$13,$E30:$P30-$F30:$Q30)</f>
        <v/>
      </c>
      <c r="S30" s="76">
        <f>SUMPRODUCT($F$10:$Q$10,$F$12:$Q$12,$F30:$Q30)+0.5*SUMPRODUCT($F$10:$Q$10,$F$13:$Q$13,$E30:$P30-$F30:$Q30)</f>
        <v/>
      </c>
      <c r="T30" s="76">
        <f>(1-$F$7)*($D$8+R30)-$D$7*(($F$8+S30)-CDS_Parameters!$B$26)</f>
        <v/>
      </c>
    </row>
    <row r="31">
      <c r="B31" s="76">
        <f>IF(T30&lt;0,D30,B30)</f>
        <v/>
      </c>
      <c r="C31" s="76">
        <f>IF(T30&lt;0,C30,D30)</f>
        <v/>
      </c>
      <c r="D31" s="76">
        <f>(B31+C31)/2</f>
        <v/>
      </c>
      <c r="E31" s="76">
        <f>$B$8</f>
        <v/>
      </c>
      <c r="F31" s="76">
        <f>$B$8*EXP(-$D31*F$14)</f>
        <v/>
      </c>
      <c r="G31" s="76">
        <f>$B$8*EXP(-$D31*G$14)</f>
        <v/>
      </c>
      <c r="H31" s="76">
        <f>$B$8*EXP(-$D31*H$14)</f>
        <v/>
      </c>
      <c r="I31" s="76">
        <f>$B$8*EXP(-$D31*I$14)</f>
        <v/>
      </c>
      <c r="J31" s="76">
        <f>I31</f>
        <v/>
      </c>
      <c r="K31" s="76">
        <f>J31</f>
        <v/>
      </c>
      <c r="L31" s="76">
        <f>K31</f>
        <v/>
      </c>
      <c r="M31" s="76">
        <f>L31</f>
        <v/>
      </c>
      <c r="N31" s="76">
        <f>M31</f>
        <v/>
      </c>
      <c r="O31" s="76">
        <f>N31</f>
        <v/>
      </c>
      <c r="P31" s="76">
        <f>O31</f>
        <v/>
      </c>
      <c r="Q31" s="76">
        <f>P31</f>
        <v/>
      </c>
      <c r="R31" s="76">
        <f>SUMPRODUCT($F$13:$Q$13,$E31:$P31-$F31:$Q31)</f>
        <v/>
      </c>
      <c r="S31" s="76">
        <f>SUMPRODUCT($F$10:$Q$10,$F$12:$Q$12,$F31:$Q31)+0.5*SUMPRODUCT($F$10:$Q$10,$F$13:$Q$13,$E31:$P31-$F31:$Q31)</f>
        <v/>
      </c>
      <c r="T31" s="76">
        <f>(1-$F$7)*($D$8+R31)-$D$7*(($F$8+S31)-CDS_Parameters!$B$26)</f>
        <v/>
      </c>
    </row>
    <row r="32">
      <c r="B32" s="76">
        <f>IF(T31&lt;0,D31,B31)</f>
        <v/>
      </c>
      <c r="C32" s="76">
        <f>IF(T31&lt;0,C31,D31)</f>
        <v/>
      </c>
      <c r="D32" s="76">
        <f>(B32+C32)/2</f>
        <v/>
      </c>
      <c r="E32" s="76">
        <f>$B$8</f>
        <v/>
      </c>
      <c r="F32" s="76">
        <f>$B$8*EXP(-$D32*F$14)</f>
        <v/>
      </c>
      <c r="G32" s="76">
        <f>$B$8*EXP(-$D32*G$14)</f>
        <v/>
      </c>
      <c r="H32" s="76">
        <f>$B$8*EXP(-$D32*H$14)</f>
        <v/>
      </c>
      <c r="I32" s="76">
        <f>$B$8*EXP(-$D32*I$14)</f>
        <v/>
      </c>
      <c r="J32" s="76">
        <f>I32</f>
        <v/>
      </c>
      <c r="K32" s="76">
        <f>J32</f>
        <v/>
      </c>
      <c r="L32" s="76">
        <f>K32</f>
        <v/>
      </c>
      <c r="M32" s="76">
        <f>L32</f>
        <v/>
      </c>
      <c r="N32" s="76">
        <f>M32</f>
        <v/>
      </c>
      <c r="O32" s="76">
        <f>N32</f>
        <v/>
      </c>
      <c r="P32" s="76">
        <f>O32</f>
        <v/>
      </c>
      <c r="Q32" s="76">
        <f>P32</f>
        <v/>
      </c>
      <c r="R32" s="76">
        <f>SUMPRODUCT($F$13:$Q$13,$E32:$P32-$F32:$Q32)</f>
        <v/>
      </c>
      <c r="S32" s="76">
        <f>SUMPRODUCT($F$10:$Q$10,$F$12:$Q$12,$F32:$Q32)+0.5*SUMPRODUCT($F$10:$Q$10,$F$13:$Q$13,$E32:$P32-$F32:$Q32)</f>
        <v/>
      </c>
      <c r="T32" s="76">
        <f>(1-$F$7)*($D$8+R32)-$D$7*(($F$8+S32)-CDS_Parameters!$B$26)</f>
        <v/>
      </c>
    </row>
    <row r="33">
      <c r="B33" s="76">
        <f>IF(T32&lt;0,D32,B32)</f>
        <v/>
      </c>
      <c r="C33" s="76">
        <f>IF(T32&lt;0,C32,D32)</f>
        <v/>
      </c>
      <c r="D33" s="76">
        <f>(B33+C33)/2</f>
        <v/>
      </c>
      <c r="E33" s="76">
        <f>$B$8</f>
        <v/>
      </c>
      <c r="F33" s="76">
        <f>$B$8*EXP(-$D33*F$14)</f>
        <v/>
      </c>
      <c r="G33" s="76">
        <f>$B$8*EXP(-$D33*G$14)</f>
        <v/>
      </c>
      <c r="H33" s="76">
        <f>$B$8*EXP(-$D33*H$14)</f>
        <v/>
      </c>
      <c r="I33" s="76">
        <f>$B$8*EXP(-$D33*I$14)</f>
        <v/>
      </c>
      <c r="J33" s="76">
        <f>I33</f>
        <v/>
      </c>
      <c r="K33" s="76">
        <f>J33</f>
        <v/>
      </c>
      <c r="L33" s="76">
        <f>K33</f>
        <v/>
      </c>
      <c r="M33" s="76">
        <f>L33</f>
        <v/>
      </c>
      <c r="N33" s="76">
        <f>M33</f>
        <v/>
      </c>
      <c r="O33" s="76">
        <f>N33</f>
        <v/>
      </c>
      <c r="P33" s="76">
        <f>O33</f>
        <v/>
      </c>
      <c r="Q33" s="76">
        <f>P33</f>
        <v/>
      </c>
      <c r="R33" s="76">
        <f>SUMPRODUCT($F$13:$Q$13,$E33:$P33-$F33:$Q33)</f>
        <v/>
      </c>
      <c r="S33" s="76">
        <f>SUMPRODUCT($F$10:$Q$10,$F$12:$Q$12,$F33:$Q33)+0.5*SUMPRODUCT($F$10:$Q$10,$F$13:$Q$13,$E33:$P33-$F33:$Q33)</f>
        <v/>
      </c>
      <c r="T33" s="76">
        <f>(1-$F$7)*($D$8+R33)-$D$7*(($F$8+S33)-CDS_Parameters!$B$26)</f>
        <v/>
      </c>
    </row>
    <row r="34">
      <c r="B34" s="76">
        <f>IF(T33&lt;0,D33,B33)</f>
        <v/>
      </c>
      <c r="C34" s="76">
        <f>IF(T33&lt;0,C33,D33)</f>
        <v/>
      </c>
      <c r="D34" s="76">
        <f>(B34+C34)/2</f>
        <v/>
      </c>
      <c r="E34" s="76">
        <f>$B$8</f>
        <v/>
      </c>
      <c r="F34" s="76">
        <f>$B$8*EXP(-$D34*F$14)</f>
        <v/>
      </c>
      <c r="G34" s="76">
        <f>$B$8*EXP(-$D34*G$14)</f>
        <v/>
      </c>
      <c r="H34" s="76">
        <f>$B$8*EXP(-$D34*H$14)</f>
        <v/>
      </c>
      <c r="I34" s="76">
        <f>$B$8*EXP(-$D34*I$14)</f>
        <v/>
      </c>
      <c r="J34" s="76">
        <f>I34</f>
        <v/>
      </c>
      <c r="K34" s="76">
        <f>J34</f>
        <v/>
      </c>
      <c r="L34" s="76">
        <f>K34</f>
        <v/>
      </c>
      <c r="M34" s="76">
        <f>L34</f>
        <v/>
      </c>
      <c r="N34" s="76">
        <f>M34</f>
        <v/>
      </c>
      <c r="O34" s="76">
        <f>N34</f>
        <v/>
      </c>
      <c r="P34" s="76">
        <f>O34</f>
        <v/>
      </c>
      <c r="Q34" s="76">
        <f>P34</f>
        <v/>
      </c>
      <c r="R34" s="76">
        <f>SUMPRODUCT($F$13:$Q$13,$E34:$P34-$F34:$Q34)</f>
        <v/>
      </c>
      <c r="S34" s="76">
        <f>SUMPRODUCT($F$10:$Q$10,$F$12:$Q$12,$F34:$Q34)+0.5*SUMPRODUCT($F$10:$Q$10,$F$13:$Q$13,$E34:$P34-$F34:$Q34)</f>
        <v/>
      </c>
      <c r="T34" s="76">
        <f>(1-$F$7)*($D$8+R34)-$D$7*(($F$8+S34)-CDS_Parameters!$B$26)</f>
        <v/>
      </c>
    </row>
    <row r="35">
      <c r="B35" s="76">
        <f>IF(T34&lt;0,D34,B34)</f>
        <v/>
      </c>
      <c r="C35" s="76">
        <f>IF(T34&lt;0,C34,D34)</f>
        <v/>
      </c>
      <c r="D35" s="76">
        <f>(B35+C35)/2</f>
        <v/>
      </c>
      <c r="E35" s="76">
        <f>$B$8</f>
        <v/>
      </c>
      <c r="F35" s="76">
        <f>$B$8*EXP(-$D35*F$14)</f>
        <v/>
      </c>
      <c r="G35" s="76">
        <f>$B$8*EXP(-$D35*G$14)</f>
        <v/>
      </c>
      <c r="H35" s="76">
        <f>$B$8*EXP(-$D35*H$14)</f>
        <v/>
      </c>
      <c r="I35" s="76">
        <f>$B$8*EXP(-$D35*I$14)</f>
        <v/>
      </c>
      <c r="J35" s="76">
        <f>I35</f>
        <v/>
      </c>
      <c r="K35" s="76">
        <f>J35</f>
        <v/>
      </c>
      <c r="L35" s="76">
        <f>K35</f>
        <v/>
      </c>
      <c r="M35" s="76">
        <f>L35</f>
        <v/>
      </c>
      <c r="N35" s="76">
        <f>M35</f>
        <v/>
      </c>
      <c r="O35" s="76">
        <f>N35</f>
        <v/>
      </c>
      <c r="P35" s="76">
        <f>O35</f>
        <v/>
      </c>
      <c r="Q35" s="76">
        <f>P35</f>
        <v/>
      </c>
      <c r="R35" s="76">
        <f>SUMPRODUCT($F$13:$Q$13,$E35:$P35-$F35:$Q35)</f>
        <v/>
      </c>
      <c r="S35" s="76">
        <f>SUMPRODUCT($F$10:$Q$10,$F$12:$Q$12,$F35:$Q35)+0.5*SUMPRODUCT($F$10:$Q$10,$F$13:$Q$13,$E35:$P35-$F35:$Q35)</f>
        <v/>
      </c>
      <c r="T35" s="76">
        <f>(1-$F$7)*($D$8+R35)-$D$7*(($F$8+S35)-CDS_Parameters!$B$26)</f>
        <v/>
      </c>
    </row>
    <row r="36">
      <c r="B36" s="76">
        <f>IF(T35&lt;0,D35,B35)</f>
        <v/>
      </c>
      <c r="C36" s="76">
        <f>IF(T35&lt;0,C35,D35)</f>
        <v/>
      </c>
      <c r="D36" s="76">
        <f>(B36+C36)/2</f>
        <v/>
      </c>
      <c r="E36" s="76">
        <f>$B$8</f>
        <v/>
      </c>
      <c r="F36" s="76">
        <f>$B$8*EXP(-$D36*F$14)</f>
        <v/>
      </c>
      <c r="G36" s="76">
        <f>$B$8*EXP(-$D36*G$14)</f>
        <v/>
      </c>
      <c r="H36" s="76">
        <f>$B$8*EXP(-$D36*H$14)</f>
        <v/>
      </c>
      <c r="I36" s="76">
        <f>$B$8*EXP(-$D36*I$14)</f>
        <v/>
      </c>
      <c r="J36" s="76">
        <f>I36</f>
        <v/>
      </c>
      <c r="K36" s="76">
        <f>J36</f>
        <v/>
      </c>
      <c r="L36" s="76">
        <f>K36</f>
        <v/>
      </c>
      <c r="M36" s="76">
        <f>L36</f>
        <v/>
      </c>
      <c r="N36" s="76">
        <f>M36</f>
        <v/>
      </c>
      <c r="O36" s="76">
        <f>N36</f>
        <v/>
      </c>
      <c r="P36" s="76">
        <f>O36</f>
        <v/>
      </c>
      <c r="Q36" s="76">
        <f>P36</f>
        <v/>
      </c>
      <c r="R36" s="76">
        <f>SUMPRODUCT($F$13:$Q$13,$E36:$P36-$F36:$Q36)</f>
        <v/>
      </c>
      <c r="S36" s="76">
        <f>SUMPRODUCT($F$10:$Q$10,$F$12:$Q$12,$F36:$Q36)+0.5*SUMPRODUCT($F$10:$Q$10,$F$13:$Q$13,$E36:$P36-$F36:$Q36)</f>
        <v/>
      </c>
      <c r="T36" s="76">
        <f>(1-$F$7)*($D$8+R36)-$D$7*(($F$8+S36)-CDS_Parameters!$B$26)</f>
        <v/>
      </c>
    </row>
    <row r="37">
      <c r="B37" s="76">
        <f>IF(T36&lt;0,D36,B36)</f>
        <v/>
      </c>
      <c r="C37" s="76">
        <f>IF(T36&lt;0,C36,D36)</f>
        <v/>
      </c>
      <c r="D37" s="76">
        <f>(B37+C37)/2</f>
        <v/>
      </c>
      <c r="E37" s="76">
        <f>$B$8</f>
        <v/>
      </c>
      <c r="F37" s="76">
        <f>$B$8*EXP(-$D37*F$14)</f>
        <v/>
      </c>
      <c r="G37" s="76">
        <f>$B$8*EXP(-$D37*G$14)</f>
        <v/>
      </c>
      <c r="H37" s="76">
        <f>$B$8*EXP(-$D37*H$14)</f>
        <v/>
      </c>
      <c r="I37" s="76">
        <f>$B$8*EXP(-$D37*I$14)</f>
        <v/>
      </c>
      <c r="J37" s="76">
        <f>I37</f>
        <v/>
      </c>
      <c r="K37" s="76">
        <f>J37</f>
        <v/>
      </c>
      <c r="L37" s="76">
        <f>K37</f>
        <v/>
      </c>
      <c r="M37" s="76">
        <f>L37</f>
        <v/>
      </c>
      <c r="N37" s="76">
        <f>M37</f>
        <v/>
      </c>
      <c r="O37" s="76">
        <f>N37</f>
        <v/>
      </c>
      <c r="P37" s="76">
        <f>O37</f>
        <v/>
      </c>
      <c r="Q37" s="76">
        <f>P37</f>
        <v/>
      </c>
      <c r="R37" s="76">
        <f>SUMPRODUCT($F$13:$Q$13,$E37:$P37-$F37:$Q37)</f>
        <v/>
      </c>
      <c r="S37" s="76">
        <f>SUMPRODUCT($F$10:$Q$10,$F$12:$Q$12,$F37:$Q37)+0.5*SUMPRODUCT($F$10:$Q$10,$F$13:$Q$13,$E37:$P37-$F37:$Q37)</f>
        <v/>
      </c>
      <c r="T37" s="76">
        <f>(1-$F$7)*($D$8+R37)-$D$7*(($F$8+S37)-CDS_Parameters!$B$26)</f>
        <v/>
      </c>
    </row>
    <row r="38">
      <c r="B38" s="76">
        <f>IF(T37&lt;0,D37,B37)</f>
        <v/>
      </c>
      <c r="C38" s="76">
        <f>IF(T37&lt;0,C37,D37)</f>
        <v/>
      </c>
      <c r="D38" s="76">
        <f>(B38+C38)/2</f>
        <v/>
      </c>
      <c r="E38" s="76">
        <f>$B$8</f>
        <v/>
      </c>
      <c r="F38" s="76">
        <f>$B$8*EXP(-$D38*F$14)</f>
        <v/>
      </c>
      <c r="G38" s="76">
        <f>$B$8*EXP(-$D38*G$14)</f>
        <v/>
      </c>
      <c r="H38" s="76">
        <f>$B$8*EXP(-$D38*H$14)</f>
        <v/>
      </c>
      <c r="I38" s="76">
        <f>$B$8*EXP(-$D38*I$14)</f>
        <v/>
      </c>
      <c r="J38" s="76">
        <f>I38</f>
        <v/>
      </c>
      <c r="K38" s="76">
        <f>J38</f>
        <v/>
      </c>
      <c r="L38" s="76">
        <f>K38</f>
        <v/>
      </c>
      <c r="M38" s="76">
        <f>L38</f>
        <v/>
      </c>
      <c r="N38" s="76">
        <f>M38</f>
        <v/>
      </c>
      <c r="O38" s="76">
        <f>N38</f>
        <v/>
      </c>
      <c r="P38" s="76">
        <f>O38</f>
        <v/>
      </c>
      <c r="Q38" s="76">
        <f>P38</f>
        <v/>
      </c>
      <c r="R38" s="76">
        <f>SUMPRODUCT($F$13:$Q$13,$E38:$P38-$F38:$Q38)</f>
        <v/>
      </c>
      <c r="S38" s="76">
        <f>SUMPRODUCT($F$10:$Q$10,$F$12:$Q$12,$F38:$Q38)+0.5*SUMPRODUCT($F$10:$Q$10,$F$13:$Q$13,$E38:$P38-$F38:$Q38)</f>
        <v/>
      </c>
      <c r="T38" s="76">
        <f>(1-$F$7)*($D$8+R38)-$D$7*(($F$8+S38)-CDS_Parameters!$B$26)</f>
        <v/>
      </c>
    </row>
    <row r="39">
      <c r="B39" s="76">
        <f>IF(T38&lt;0,D38,B38)</f>
        <v/>
      </c>
      <c r="C39" s="76">
        <f>IF(T38&lt;0,C38,D38)</f>
        <v/>
      </c>
      <c r="D39" s="76">
        <f>(B39+C39)/2</f>
        <v/>
      </c>
      <c r="E39" s="76">
        <f>$B$8</f>
        <v/>
      </c>
      <c r="F39" s="76">
        <f>$B$8*EXP(-$D39*F$14)</f>
        <v/>
      </c>
      <c r="G39" s="76">
        <f>$B$8*EXP(-$D39*G$14)</f>
        <v/>
      </c>
      <c r="H39" s="76">
        <f>$B$8*EXP(-$D39*H$14)</f>
        <v/>
      </c>
      <c r="I39" s="76">
        <f>$B$8*EXP(-$D39*I$14)</f>
        <v/>
      </c>
      <c r="J39" s="76">
        <f>I39</f>
        <v/>
      </c>
      <c r="K39" s="76">
        <f>J39</f>
        <v/>
      </c>
      <c r="L39" s="76">
        <f>K39</f>
        <v/>
      </c>
      <c r="M39" s="76">
        <f>L39</f>
        <v/>
      </c>
      <c r="N39" s="76">
        <f>M39</f>
        <v/>
      </c>
      <c r="O39" s="76">
        <f>N39</f>
        <v/>
      </c>
      <c r="P39" s="76">
        <f>O39</f>
        <v/>
      </c>
      <c r="Q39" s="76">
        <f>P39</f>
        <v/>
      </c>
      <c r="R39" s="76">
        <f>SUMPRODUCT($F$13:$Q$13,$E39:$P39-$F39:$Q39)</f>
        <v/>
      </c>
      <c r="S39" s="76">
        <f>SUMPRODUCT($F$10:$Q$10,$F$12:$Q$12,$F39:$Q39)+0.5*SUMPRODUCT($F$10:$Q$10,$F$13:$Q$13,$E39:$P39-$F39:$Q39)</f>
        <v/>
      </c>
      <c r="T39" s="76">
        <f>(1-$F$7)*($D$8+R39)-$D$7*(($F$8+S39)-CDS_Parameters!$B$26)</f>
        <v/>
      </c>
    </row>
    <row r="40">
      <c r="B40" s="76">
        <f>IF(T39&lt;0,D39,B39)</f>
        <v/>
      </c>
      <c r="C40" s="76">
        <f>IF(T39&lt;0,C39,D39)</f>
        <v/>
      </c>
      <c r="D40" s="76">
        <f>(B40+C40)/2</f>
        <v/>
      </c>
      <c r="E40" s="76">
        <f>$B$8</f>
        <v/>
      </c>
      <c r="F40" s="76">
        <f>$B$8*EXP(-$D40*F$14)</f>
        <v/>
      </c>
      <c r="G40" s="76">
        <f>$B$8*EXP(-$D40*G$14)</f>
        <v/>
      </c>
      <c r="H40" s="76">
        <f>$B$8*EXP(-$D40*H$14)</f>
        <v/>
      </c>
      <c r="I40" s="76">
        <f>$B$8*EXP(-$D40*I$14)</f>
        <v/>
      </c>
      <c r="J40" s="76">
        <f>I40</f>
        <v/>
      </c>
      <c r="K40" s="76">
        <f>J40</f>
        <v/>
      </c>
      <c r="L40" s="76">
        <f>K40</f>
        <v/>
      </c>
      <c r="M40" s="76">
        <f>L40</f>
        <v/>
      </c>
      <c r="N40" s="76">
        <f>M40</f>
        <v/>
      </c>
      <c r="O40" s="76">
        <f>N40</f>
        <v/>
      </c>
      <c r="P40" s="76">
        <f>O40</f>
        <v/>
      </c>
      <c r="Q40" s="76">
        <f>P40</f>
        <v/>
      </c>
      <c r="R40" s="76">
        <f>SUMPRODUCT($F$13:$Q$13,$E40:$P40-$F40:$Q40)</f>
        <v/>
      </c>
      <c r="S40" s="76">
        <f>SUMPRODUCT($F$10:$Q$10,$F$12:$Q$12,$F40:$Q40)+0.5*SUMPRODUCT($F$10:$Q$10,$F$13:$Q$13,$E40:$P40-$F40:$Q40)</f>
        <v/>
      </c>
      <c r="T40" s="76">
        <f>(1-$F$7)*($D$8+R40)-$D$7*(($F$8+S40)-CDS_Parameters!$B$26)</f>
        <v/>
      </c>
    </row>
    <row r="41">
      <c r="B41" s="76">
        <f>IF(T40&lt;0,D40,B40)</f>
        <v/>
      </c>
      <c r="C41" s="76">
        <f>IF(T40&lt;0,C40,D40)</f>
        <v/>
      </c>
      <c r="D41" s="76">
        <f>(B41+C41)/2</f>
        <v/>
      </c>
      <c r="E41" s="76">
        <f>$B$8</f>
        <v/>
      </c>
      <c r="F41" s="76">
        <f>$B$8*EXP(-$D41*F$14)</f>
        <v/>
      </c>
      <c r="G41" s="76">
        <f>$B$8*EXP(-$D41*G$14)</f>
        <v/>
      </c>
      <c r="H41" s="76">
        <f>$B$8*EXP(-$D41*H$14)</f>
        <v/>
      </c>
      <c r="I41" s="76">
        <f>$B$8*EXP(-$D41*I$14)</f>
        <v/>
      </c>
      <c r="J41" s="76">
        <f>I41</f>
        <v/>
      </c>
      <c r="K41" s="76">
        <f>J41</f>
        <v/>
      </c>
      <c r="L41" s="76">
        <f>K41</f>
        <v/>
      </c>
      <c r="M41" s="76">
        <f>L41</f>
        <v/>
      </c>
      <c r="N41" s="76">
        <f>M41</f>
        <v/>
      </c>
      <c r="O41" s="76">
        <f>N41</f>
        <v/>
      </c>
      <c r="P41" s="76">
        <f>O41</f>
        <v/>
      </c>
      <c r="Q41" s="76">
        <f>P41</f>
        <v/>
      </c>
      <c r="R41" s="76">
        <f>SUMPRODUCT($F$13:$Q$13,$E41:$P41-$F41:$Q41)</f>
        <v/>
      </c>
      <c r="S41" s="76">
        <f>SUMPRODUCT($F$10:$Q$10,$F$12:$Q$12,$F41:$Q41)+0.5*SUMPRODUCT($F$10:$Q$10,$F$13:$Q$13,$E41:$P41-$F41:$Q41)</f>
        <v/>
      </c>
      <c r="T41" s="76">
        <f>(1-$F$7)*($D$8+R41)-$D$7*(($F$8+S41)-CDS_Parameters!$B$26)</f>
        <v/>
      </c>
    </row>
    <row r="42">
      <c r="B42" s="76">
        <f>IF(T41&lt;0,D41,B41)</f>
        <v/>
      </c>
      <c r="C42" s="76">
        <f>IF(T41&lt;0,C41,D41)</f>
        <v/>
      </c>
      <c r="D42" s="76">
        <f>(B42+C42)/2</f>
        <v/>
      </c>
      <c r="E42" s="76">
        <f>$B$8</f>
        <v/>
      </c>
      <c r="F42" s="76">
        <f>$B$8*EXP(-$D42*F$14)</f>
        <v/>
      </c>
      <c r="G42" s="76">
        <f>$B$8*EXP(-$D42*G$14)</f>
        <v/>
      </c>
      <c r="H42" s="76">
        <f>$B$8*EXP(-$D42*H$14)</f>
        <v/>
      </c>
      <c r="I42" s="76">
        <f>$B$8*EXP(-$D42*I$14)</f>
        <v/>
      </c>
      <c r="J42" s="76">
        <f>I42</f>
        <v/>
      </c>
      <c r="K42" s="76">
        <f>J42</f>
        <v/>
      </c>
      <c r="L42" s="76">
        <f>K42</f>
        <v/>
      </c>
      <c r="M42" s="76">
        <f>L42</f>
        <v/>
      </c>
      <c r="N42" s="76">
        <f>M42</f>
        <v/>
      </c>
      <c r="O42" s="76">
        <f>N42</f>
        <v/>
      </c>
      <c r="P42" s="76">
        <f>O42</f>
        <v/>
      </c>
      <c r="Q42" s="76">
        <f>P42</f>
        <v/>
      </c>
      <c r="R42" s="76">
        <f>SUMPRODUCT($F$13:$Q$13,$E42:$P42-$F42:$Q42)</f>
        <v/>
      </c>
      <c r="S42" s="76">
        <f>SUMPRODUCT($F$10:$Q$10,$F$12:$Q$12,$F42:$Q42)+0.5*SUMPRODUCT($F$10:$Q$10,$F$13:$Q$13,$E42:$P42-$F42:$Q42)</f>
        <v/>
      </c>
      <c r="T42" s="76">
        <f>(1-$F$7)*($D$8+R42)-$D$7*(($F$8+S42)-CDS_Parameters!$B$26)</f>
        <v/>
      </c>
    </row>
    <row r="43">
      <c r="B43" s="76">
        <f>IF(T42&lt;0,D42,B42)</f>
        <v/>
      </c>
      <c r="C43" s="76">
        <f>IF(T42&lt;0,C42,D42)</f>
        <v/>
      </c>
      <c r="D43" s="76">
        <f>(B43+C43)/2</f>
        <v/>
      </c>
      <c r="E43" s="76">
        <f>$B$8</f>
        <v/>
      </c>
      <c r="F43" s="76">
        <f>$B$8*EXP(-$D43*F$14)</f>
        <v/>
      </c>
      <c r="G43" s="76">
        <f>$B$8*EXP(-$D43*G$14)</f>
        <v/>
      </c>
      <c r="H43" s="76">
        <f>$B$8*EXP(-$D43*H$14)</f>
        <v/>
      </c>
      <c r="I43" s="76">
        <f>$B$8*EXP(-$D43*I$14)</f>
        <v/>
      </c>
      <c r="J43" s="76">
        <f>I43</f>
        <v/>
      </c>
      <c r="K43" s="76">
        <f>J43</f>
        <v/>
      </c>
      <c r="L43" s="76">
        <f>K43</f>
        <v/>
      </c>
      <c r="M43" s="76">
        <f>L43</f>
        <v/>
      </c>
      <c r="N43" s="76">
        <f>M43</f>
        <v/>
      </c>
      <c r="O43" s="76">
        <f>N43</f>
        <v/>
      </c>
      <c r="P43" s="76">
        <f>O43</f>
        <v/>
      </c>
      <c r="Q43" s="76">
        <f>P43</f>
        <v/>
      </c>
      <c r="R43" s="76">
        <f>SUMPRODUCT($F$13:$Q$13,$E43:$P43-$F43:$Q43)</f>
        <v/>
      </c>
      <c r="S43" s="76">
        <f>SUMPRODUCT($F$10:$Q$10,$F$12:$Q$12,$F43:$Q43)+0.5*SUMPRODUCT($F$10:$Q$10,$F$13:$Q$13,$E43:$P43-$F43:$Q43)</f>
        <v/>
      </c>
      <c r="T43" s="76">
        <f>(1-$F$7)*($D$8+R43)-$D$7*(($F$8+S43)-CDS_Parameters!$B$26)</f>
        <v/>
      </c>
    </row>
    <row r="44">
      <c r="B44" s="76">
        <f>IF(T43&lt;0,D43,B43)</f>
        <v/>
      </c>
      <c r="C44" s="76">
        <f>IF(T43&lt;0,C43,D43)</f>
        <v/>
      </c>
      <c r="D44" s="76">
        <f>(B44+C44)/2</f>
        <v/>
      </c>
      <c r="E44" s="76">
        <f>$B$8</f>
        <v/>
      </c>
      <c r="F44" s="76">
        <f>$B$8*EXP(-$D44*F$14)</f>
        <v/>
      </c>
      <c r="G44" s="76">
        <f>$B$8*EXP(-$D44*G$14)</f>
        <v/>
      </c>
      <c r="H44" s="76">
        <f>$B$8*EXP(-$D44*H$14)</f>
        <v/>
      </c>
      <c r="I44" s="76">
        <f>$B$8*EXP(-$D44*I$14)</f>
        <v/>
      </c>
      <c r="J44" s="76">
        <f>I44</f>
        <v/>
      </c>
      <c r="K44" s="76">
        <f>J44</f>
        <v/>
      </c>
      <c r="L44" s="76">
        <f>K44</f>
        <v/>
      </c>
      <c r="M44" s="76">
        <f>L44</f>
        <v/>
      </c>
      <c r="N44" s="76">
        <f>M44</f>
        <v/>
      </c>
      <c r="O44" s="76">
        <f>N44</f>
        <v/>
      </c>
      <c r="P44" s="76">
        <f>O44</f>
        <v/>
      </c>
      <c r="Q44" s="76">
        <f>P44</f>
        <v/>
      </c>
      <c r="R44" s="76">
        <f>SUMPRODUCT($F$13:$Q$13,$E44:$P44-$F44:$Q44)</f>
        <v/>
      </c>
      <c r="S44" s="76">
        <f>SUMPRODUCT($F$10:$Q$10,$F$12:$Q$12,$F44:$Q44)+0.5*SUMPRODUCT($F$10:$Q$10,$F$13:$Q$13,$E44:$P44-$F44:$Q44)</f>
        <v/>
      </c>
      <c r="T44" s="76">
        <f>(1-$F$7)*($D$8+R44)-$D$7*(($F$8+S44)-CDS_Parameters!$B$26)</f>
        <v/>
      </c>
    </row>
    <row r="45">
      <c r="B45" s="76">
        <f>IF(T44&lt;0,D44,B44)</f>
        <v/>
      </c>
      <c r="C45" s="76">
        <f>IF(T44&lt;0,C44,D44)</f>
        <v/>
      </c>
      <c r="D45" s="76">
        <f>(B45+C45)/2</f>
        <v/>
      </c>
      <c r="E45" s="76">
        <f>$B$8</f>
        <v/>
      </c>
      <c r="F45" s="76">
        <f>$B$8*EXP(-$D45*F$14)</f>
        <v/>
      </c>
      <c r="G45" s="76">
        <f>$B$8*EXP(-$D45*G$14)</f>
        <v/>
      </c>
      <c r="H45" s="76">
        <f>$B$8*EXP(-$D45*H$14)</f>
        <v/>
      </c>
      <c r="I45" s="76">
        <f>$B$8*EXP(-$D45*I$14)</f>
        <v/>
      </c>
      <c r="J45" s="76">
        <f>I45</f>
        <v/>
      </c>
      <c r="K45" s="76">
        <f>J45</f>
        <v/>
      </c>
      <c r="L45" s="76">
        <f>K45</f>
        <v/>
      </c>
      <c r="M45" s="76">
        <f>L45</f>
        <v/>
      </c>
      <c r="N45" s="76">
        <f>M45</f>
        <v/>
      </c>
      <c r="O45" s="76">
        <f>N45</f>
        <v/>
      </c>
      <c r="P45" s="76">
        <f>O45</f>
        <v/>
      </c>
      <c r="Q45" s="76">
        <f>P45</f>
        <v/>
      </c>
      <c r="R45" s="76">
        <f>SUMPRODUCT($F$13:$Q$13,$E45:$P45-$F45:$Q45)</f>
        <v/>
      </c>
      <c r="S45" s="76">
        <f>SUMPRODUCT($F$10:$Q$10,$F$12:$Q$12,$F45:$Q45)+0.5*SUMPRODUCT($F$10:$Q$10,$F$13:$Q$13,$E45:$P45-$F45:$Q45)</f>
        <v/>
      </c>
      <c r="T45" s="76">
        <f>(1-$F$7)*($D$8+R45)-$D$7*(($F$8+S45)-CDS_Parameters!$B$26)</f>
        <v/>
      </c>
    </row>
    <row r="46">
      <c r="A46" s="67" t="inlineStr">
        <is>
          <t>lambda1 SOLVED</t>
        </is>
      </c>
      <c r="B46" s="71">
        <f>D45</f>
        <v/>
      </c>
      <c r="C46" s="67" t="inlineStr">
        <is>
          <t>resid</t>
        </is>
      </c>
      <c r="D46" s="72">
        <f>T45</f>
        <v/>
      </c>
      <c r="E46" s="67" t="inlineStr">
        <is>
          <t>Q(T_k)</t>
        </is>
      </c>
      <c r="F46" s="76">
        <f>Q45</f>
        <v/>
      </c>
      <c r="G46" s="67" t="inlineStr">
        <is>
          <t>ProtCum</t>
        </is>
      </c>
      <c r="H46" s="76">
        <f>$D$8+R45</f>
        <v/>
      </c>
      <c r="I46" s="67" t="inlineStr">
        <is>
          <t>RPV01Cum</t>
        </is>
      </c>
      <c r="J46" s="76">
        <f>$F$8+S45</f>
        <v/>
      </c>
      <c r="K46" s="67" t="inlineStr">
        <is>
          <t>model S (bp)</t>
        </is>
      </c>
      <c r="L46" s="63">
        <f>IFERROR((1-$F$7)*H46/J46*10000,0)</f>
        <v/>
      </c>
    </row>
    <row r="49">
      <c r="A49" s="73" t="inlineStr">
        <is>
          <t>TENOR 2Y: periods 5-8   -   solve lambda2</t>
        </is>
      </c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</row>
    <row r="50">
      <c r="A50" s="67" t="inlineStr">
        <is>
          <t>market S (bp)</t>
        </is>
      </c>
      <c r="B50" s="75">
        <f>Hazard_Bootstrap!$C$8</f>
        <v/>
      </c>
      <c r="C50" s="67" t="inlineStr">
        <is>
          <t>S (dec)</t>
        </is>
      </c>
      <c r="D50" s="76">
        <f>B50/10000</f>
        <v/>
      </c>
      <c r="E50" s="67" t="inlineStr">
        <is>
          <t>recovery R</t>
        </is>
      </c>
      <c r="F50" s="77">
        <f>CDS_Parameters!$B$8</f>
        <v/>
      </c>
    </row>
    <row r="51">
      <c r="A51" s="67" t="inlineStr">
        <is>
          <t>Q(start)</t>
        </is>
      </c>
      <c r="B51" s="76">
        <f>$F$46</f>
        <v/>
      </c>
      <c r="C51" s="67" t="inlineStr">
        <is>
          <t>ProtFixed</t>
        </is>
      </c>
      <c r="D51" s="76">
        <f>$H$46</f>
        <v/>
      </c>
      <c r="E51" s="67" t="inlineStr">
        <is>
          <t>RPV01Fixed</t>
        </is>
      </c>
      <c r="F51" s="76">
        <f>$J$46</f>
        <v/>
      </c>
    </row>
    <row r="52">
      <c r="A52" s="67" t="inlineStr">
        <is>
          <t>period</t>
        </is>
      </c>
      <c r="F52" s="78" t="n">
        <v>5</v>
      </c>
      <c r="G52" s="78" t="n">
        <v>6</v>
      </c>
      <c r="H52" s="78" t="n">
        <v>7</v>
      </c>
      <c r="I52" s="78" t="n">
        <v>8</v>
      </c>
      <c r="J52" s="78" t="inlineStr"/>
      <c r="K52" s="78" t="inlineStr"/>
      <c r="L52" s="78" t="inlineStr"/>
      <c r="M52" s="78" t="inlineStr"/>
      <c r="N52" s="78" t="inlineStr"/>
      <c r="O52" s="78" t="inlineStr"/>
      <c r="P52" s="78" t="inlineStr"/>
      <c r="Q52" s="78" t="inlineStr"/>
    </row>
    <row r="53">
      <c r="A53" s="67" t="inlineStr">
        <is>
          <t>alpha 360</t>
        </is>
      </c>
      <c r="F53" s="79">
        <f>CDS_Schedule!$D$11</f>
        <v/>
      </c>
      <c r="G53" s="79">
        <f>CDS_Schedule!$D$12</f>
        <v/>
      </c>
      <c r="H53" s="79">
        <f>CDS_Schedule!$D$13</f>
        <v/>
      </c>
      <c r="I53" s="79">
        <f>CDS_Schedule!$D$14</f>
        <v/>
      </c>
      <c r="J53" s="80" t="n">
        <v>0</v>
      </c>
      <c r="K53" s="80" t="n">
        <v>0</v>
      </c>
      <c r="L53" s="80" t="n">
        <v>0</v>
      </c>
      <c r="M53" s="80" t="n">
        <v>0</v>
      </c>
      <c r="N53" s="80" t="n">
        <v>0</v>
      </c>
      <c r="O53" s="80" t="n">
        <v>0</v>
      </c>
      <c r="P53" s="80" t="n">
        <v>0</v>
      </c>
      <c r="Q53" s="80" t="n">
        <v>0</v>
      </c>
    </row>
    <row r="54">
      <c r="A54" s="67" t="inlineStr">
        <is>
          <t>dt 365</t>
        </is>
      </c>
      <c r="F54" s="79">
        <f>CDS_Schedule!$E$11</f>
        <v/>
      </c>
      <c r="G54" s="79">
        <f>CDS_Schedule!$E$12</f>
        <v/>
      </c>
      <c r="H54" s="79">
        <f>CDS_Schedule!$E$13</f>
        <v/>
      </c>
      <c r="I54" s="79">
        <f>CDS_Schedule!$E$14</f>
        <v/>
      </c>
      <c r="J54" s="80" t="n">
        <v>0</v>
      </c>
      <c r="K54" s="80" t="n">
        <v>0</v>
      </c>
      <c r="L54" s="80" t="n">
        <v>0</v>
      </c>
      <c r="M54" s="80" t="n">
        <v>0</v>
      </c>
      <c r="N54" s="80" t="n">
        <v>0</v>
      </c>
      <c r="O54" s="80" t="n">
        <v>0</v>
      </c>
      <c r="P54" s="80" t="n">
        <v>0</v>
      </c>
      <c r="Q54" s="80" t="n">
        <v>0</v>
      </c>
    </row>
    <row r="55">
      <c r="A55" s="67" t="inlineStr">
        <is>
          <t>DF(end)</t>
        </is>
      </c>
      <c r="F55" s="79">
        <f>CDS_Schedule!$G$11</f>
        <v/>
      </c>
      <c r="G55" s="79">
        <f>CDS_Schedule!$G$12</f>
        <v/>
      </c>
      <c r="H55" s="79">
        <f>CDS_Schedule!$G$13</f>
        <v/>
      </c>
      <c r="I55" s="79">
        <f>CDS_Schedule!$G$14</f>
        <v/>
      </c>
      <c r="J55" s="80" t="n">
        <v>0</v>
      </c>
      <c r="K55" s="80" t="n">
        <v>0</v>
      </c>
      <c r="L55" s="80" t="n">
        <v>0</v>
      </c>
      <c r="M55" s="80" t="n">
        <v>0</v>
      </c>
      <c r="N55" s="80" t="n">
        <v>0</v>
      </c>
      <c r="O55" s="80" t="n">
        <v>0</v>
      </c>
      <c r="P55" s="80" t="n">
        <v>0</v>
      </c>
      <c r="Q55" s="80" t="n">
        <v>0</v>
      </c>
    </row>
    <row r="56">
      <c r="A56" s="67" t="inlineStr">
        <is>
          <t>DF(mid)</t>
        </is>
      </c>
      <c r="F56" s="79">
        <f>CDS_Schedule!$H$11</f>
        <v/>
      </c>
      <c r="G56" s="79">
        <f>CDS_Schedule!$H$12</f>
        <v/>
      </c>
      <c r="H56" s="79">
        <f>CDS_Schedule!$H$13</f>
        <v/>
      </c>
      <c r="I56" s="79">
        <f>CDS_Schedule!$H$14</f>
        <v/>
      </c>
      <c r="J56" s="80" t="n">
        <v>0</v>
      </c>
      <c r="K56" s="80" t="n">
        <v>0</v>
      </c>
      <c r="L56" s="80" t="n">
        <v>0</v>
      </c>
      <c r="M56" s="80" t="n">
        <v>0</v>
      </c>
      <c r="N56" s="80" t="n">
        <v>0</v>
      </c>
      <c r="O56" s="80" t="n">
        <v>0</v>
      </c>
      <c r="P56" s="80" t="n">
        <v>0</v>
      </c>
      <c r="Q56" s="80" t="n">
        <v>0</v>
      </c>
    </row>
    <row r="57">
      <c r="A57" s="67" t="inlineStr">
        <is>
          <t>cum dt in seg</t>
        </is>
      </c>
      <c r="F57" s="80">
        <f>0+F54</f>
        <v/>
      </c>
      <c r="G57" s="80">
        <f>F57+G54</f>
        <v/>
      </c>
      <c r="H57" s="80">
        <f>G57+H54</f>
        <v/>
      </c>
      <c r="I57" s="80">
        <f>H57+I54</f>
        <v/>
      </c>
      <c r="J57" s="80">
        <f>I57+J54</f>
        <v/>
      </c>
      <c r="K57" s="80">
        <f>J57+K54</f>
        <v/>
      </c>
      <c r="L57" s="80">
        <f>K57+L54</f>
        <v/>
      </c>
      <c r="M57" s="80">
        <f>L57+M54</f>
        <v/>
      </c>
      <c r="N57" s="80">
        <f>M57+N54</f>
        <v/>
      </c>
      <c r="O57" s="80">
        <f>N57+O54</f>
        <v/>
      </c>
      <c r="P57" s="80">
        <f>O57+P54</f>
        <v/>
      </c>
      <c r="Q57" s="80">
        <f>P57+Q54</f>
        <v/>
      </c>
    </row>
    <row r="58">
      <c r="A58" s="67" t="inlineStr">
        <is>
          <t>bisection</t>
        </is>
      </c>
      <c r="B58" s="62" t="inlineStr">
        <is>
          <t>lo</t>
        </is>
      </c>
      <c r="C58" s="62" t="inlineStr">
        <is>
          <t>hi</t>
        </is>
      </c>
      <c r="D58" s="62" t="inlineStr">
        <is>
          <t>lambda trial</t>
        </is>
      </c>
      <c r="E58" s="62" t="inlineStr">
        <is>
          <t>Q(start)</t>
        </is>
      </c>
      <c r="R58" s="62" t="inlineStr">
        <is>
          <t>ProtSeg</t>
        </is>
      </c>
      <c r="S58" s="62" t="inlineStr">
        <is>
          <t>RPV01Seg</t>
        </is>
      </c>
      <c r="T58" s="62" t="inlineStr">
        <is>
          <t>f(lambda)</t>
        </is>
      </c>
    </row>
    <row r="59">
      <c r="B59" s="76" t="n">
        <v>0</v>
      </c>
      <c r="C59" s="76" t="n">
        <v>3</v>
      </c>
      <c r="D59" s="76">
        <f>(B59+C59)/2</f>
        <v/>
      </c>
      <c r="E59" s="76">
        <f>$B$51</f>
        <v/>
      </c>
      <c r="F59" s="76">
        <f>$B$51*EXP(-$D59*F$57)</f>
        <v/>
      </c>
      <c r="G59" s="76">
        <f>$B$51*EXP(-$D59*G$57)</f>
        <v/>
      </c>
      <c r="H59" s="76">
        <f>$B$51*EXP(-$D59*H$57)</f>
        <v/>
      </c>
      <c r="I59" s="76">
        <f>$B$51*EXP(-$D59*I$57)</f>
        <v/>
      </c>
      <c r="J59" s="76">
        <f>I59</f>
        <v/>
      </c>
      <c r="K59" s="76">
        <f>J59</f>
        <v/>
      </c>
      <c r="L59" s="76">
        <f>K59</f>
        <v/>
      </c>
      <c r="M59" s="76">
        <f>L59</f>
        <v/>
      </c>
      <c r="N59" s="76">
        <f>M59</f>
        <v/>
      </c>
      <c r="O59" s="76">
        <f>N59</f>
        <v/>
      </c>
      <c r="P59" s="76">
        <f>O59</f>
        <v/>
      </c>
      <c r="Q59" s="76">
        <f>P59</f>
        <v/>
      </c>
      <c r="R59" s="76">
        <f>SUMPRODUCT($F$56:$Q$56,$E59:$P59-$F59:$Q59)</f>
        <v/>
      </c>
      <c r="S59" s="76">
        <f>SUMPRODUCT($F$53:$Q$53,$F$55:$Q$55,$F59:$Q59)+0.5*SUMPRODUCT($F$53:$Q$53,$F$56:$Q$56,$E59:$P59-$F59:$Q59)</f>
        <v/>
      </c>
      <c r="T59" s="76">
        <f>(1-$F$50)*($D$51+R59)-$D$50*(($F$51+S59)-CDS_Parameters!$B$26)</f>
        <v/>
      </c>
    </row>
    <row r="60">
      <c r="B60" s="76">
        <f>IF(T59&lt;0,D59,B59)</f>
        <v/>
      </c>
      <c r="C60" s="76">
        <f>IF(T59&lt;0,C59,D59)</f>
        <v/>
      </c>
      <c r="D60" s="76">
        <f>(B60+C60)/2</f>
        <v/>
      </c>
      <c r="E60" s="76">
        <f>$B$51</f>
        <v/>
      </c>
      <c r="F60" s="76">
        <f>$B$51*EXP(-$D60*F$57)</f>
        <v/>
      </c>
      <c r="G60" s="76">
        <f>$B$51*EXP(-$D60*G$57)</f>
        <v/>
      </c>
      <c r="H60" s="76">
        <f>$B$51*EXP(-$D60*H$57)</f>
        <v/>
      </c>
      <c r="I60" s="76">
        <f>$B$51*EXP(-$D60*I$57)</f>
        <v/>
      </c>
      <c r="J60" s="76">
        <f>I60</f>
        <v/>
      </c>
      <c r="K60" s="76">
        <f>J60</f>
        <v/>
      </c>
      <c r="L60" s="76">
        <f>K60</f>
        <v/>
      </c>
      <c r="M60" s="76">
        <f>L60</f>
        <v/>
      </c>
      <c r="N60" s="76">
        <f>M60</f>
        <v/>
      </c>
      <c r="O60" s="76">
        <f>N60</f>
        <v/>
      </c>
      <c r="P60" s="76">
        <f>O60</f>
        <v/>
      </c>
      <c r="Q60" s="76">
        <f>P60</f>
        <v/>
      </c>
      <c r="R60" s="76">
        <f>SUMPRODUCT($F$56:$Q$56,$E60:$P60-$F60:$Q60)</f>
        <v/>
      </c>
      <c r="S60" s="76">
        <f>SUMPRODUCT($F$53:$Q$53,$F$55:$Q$55,$F60:$Q60)+0.5*SUMPRODUCT($F$53:$Q$53,$F$56:$Q$56,$E60:$P60-$F60:$Q60)</f>
        <v/>
      </c>
      <c r="T60" s="76">
        <f>(1-$F$50)*($D$51+R60)-$D$50*(($F$51+S60)-CDS_Parameters!$B$26)</f>
        <v/>
      </c>
    </row>
    <row r="61">
      <c r="B61" s="76">
        <f>IF(T60&lt;0,D60,B60)</f>
        <v/>
      </c>
      <c r="C61" s="76">
        <f>IF(T60&lt;0,C60,D60)</f>
        <v/>
      </c>
      <c r="D61" s="76">
        <f>(B61+C61)/2</f>
        <v/>
      </c>
      <c r="E61" s="76">
        <f>$B$51</f>
        <v/>
      </c>
      <c r="F61" s="76">
        <f>$B$51*EXP(-$D61*F$57)</f>
        <v/>
      </c>
      <c r="G61" s="76">
        <f>$B$51*EXP(-$D61*G$57)</f>
        <v/>
      </c>
      <c r="H61" s="76">
        <f>$B$51*EXP(-$D61*H$57)</f>
        <v/>
      </c>
      <c r="I61" s="76">
        <f>$B$51*EXP(-$D61*I$57)</f>
        <v/>
      </c>
      <c r="J61" s="76">
        <f>I61</f>
        <v/>
      </c>
      <c r="K61" s="76">
        <f>J61</f>
        <v/>
      </c>
      <c r="L61" s="76">
        <f>K61</f>
        <v/>
      </c>
      <c r="M61" s="76">
        <f>L61</f>
        <v/>
      </c>
      <c r="N61" s="76">
        <f>M61</f>
        <v/>
      </c>
      <c r="O61" s="76">
        <f>N61</f>
        <v/>
      </c>
      <c r="P61" s="76">
        <f>O61</f>
        <v/>
      </c>
      <c r="Q61" s="76">
        <f>P61</f>
        <v/>
      </c>
      <c r="R61" s="76">
        <f>SUMPRODUCT($F$56:$Q$56,$E61:$P61-$F61:$Q61)</f>
        <v/>
      </c>
      <c r="S61" s="76">
        <f>SUMPRODUCT($F$53:$Q$53,$F$55:$Q$55,$F61:$Q61)+0.5*SUMPRODUCT($F$53:$Q$53,$F$56:$Q$56,$E61:$P61-$F61:$Q61)</f>
        <v/>
      </c>
      <c r="T61" s="76">
        <f>(1-$F$50)*($D$51+R61)-$D$50*(($F$51+S61)-CDS_Parameters!$B$26)</f>
        <v/>
      </c>
    </row>
    <row r="62">
      <c r="B62" s="76">
        <f>IF(T61&lt;0,D61,B61)</f>
        <v/>
      </c>
      <c r="C62" s="76">
        <f>IF(T61&lt;0,C61,D61)</f>
        <v/>
      </c>
      <c r="D62" s="76">
        <f>(B62+C62)/2</f>
        <v/>
      </c>
      <c r="E62" s="76">
        <f>$B$51</f>
        <v/>
      </c>
      <c r="F62" s="76">
        <f>$B$51*EXP(-$D62*F$57)</f>
        <v/>
      </c>
      <c r="G62" s="76">
        <f>$B$51*EXP(-$D62*G$57)</f>
        <v/>
      </c>
      <c r="H62" s="76">
        <f>$B$51*EXP(-$D62*H$57)</f>
        <v/>
      </c>
      <c r="I62" s="76">
        <f>$B$51*EXP(-$D62*I$57)</f>
        <v/>
      </c>
      <c r="J62" s="76">
        <f>I62</f>
        <v/>
      </c>
      <c r="K62" s="76">
        <f>J62</f>
        <v/>
      </c>
      <c r="L62" s="76">
        <f>K62</f>
        <v/>
      </c>
      <c r="M62" s="76">
        <f>L62</f>
        <v/>
      </c>
      <c r="N62" s="76">
        <f>M62</f>
        <v/>
      </c>
      <c r="O62" s="76">
        <f>N62</f>
        <v/>
      </c>
      <c r="P62" s="76">
        <f>O62</f>
        <v/>
      </c>
      <c r="Q62" s="76">
        <f>P62</f>
        <v/>
      </c>
      <c r="R62" s="76">
        <f>SUMPRODUCT($F$56:$Q$56,$E62:$P62-$F62:$Q62)</f>
        <v/>
      </c>
      <c r="S62" s="76">
        <f>SUMPRODUCT($F$53:$Q$53,$F$55:$Q$55,$F62:$Q62)+0.5*SUMPRODUCT($F$53:$Q$53,$F$56:$Q$56,$E62:$P62-$F62:$Q62)</f>
        <v/>
      </c>
      <c r="T62" s="76">
        <f>(1-$F$50)*($D$51+R62)-$D$50*(($F$51+S62)-CDS_Parameters!$B$26)</f>
        <v/>
      </c>
    </row>
    <row r="63">
      <c r="B63" s="76">
        <f>IF(T62&lt;0,D62,B62)</f>
        <v/>
      </c>
      <c r="C63" s="76">
        <f>IF(T62&lt;0,C62,D62)</f>
        <v/>
      </c>
      <c r="D63" s="76">
        <f>(B63+C63)/2</f>
        <v/>
      </c>
      <c r="E63" s="76">
        <f>$B$51</f>
        <v/>
      </c>
      <c r="F63" s="76">
        <f>$B$51*EXP(-$D63*F$57)</f>
        <v/>
      </c>
      <c r="G63" s="76">
        <f>$B$51*EXP(-$D63*G$57)</f>
        <v/>
      </c>
      <c r="H63" s="76">
        <f>$B$51*EXP(-$D63*H$57)</f>
        <v/>
      </c>
      <c r="I63" s="76">
        <f>$B$51*EXP(-$D63*I$57)</f>
        <v/>
      </c>
      <c r="J63" s="76">
        <f>I63</f>
        <v/>
      </c>
      <c r="K63" s="76">
        <f>J63</f>
        <v/>
      </c>
      <c r="L63" s="76">
        <f>K63</f>
        <v/>
      </c>
      <c r="M63" s="76">
        <f>L63</f>
        <v/>
      </c>
      <c r="N63" s="76">
        <f>M63</f>
        <v/>
      </c>
      <c r="O63" s="76">
        <f>N63</f>
        <v/>
      </c>
      <c r="P63" s="76">
        <f>O63</f>
        <v/>
      </c>
      <c r="Q63" s="76">
        <f>P63</f>
        <v/>
      </c>
      <c r="R63" s="76">
        <f>SUMPRODUCT($F$56:$Q$56,$E63:$P63-$F63:$Q63)</f>
        <v/>
      </c>
      <c r="S63" s="76">
        <f>SUMPRODUCT($F$53:$Q$53,$F$55:$Q$55,$F63:$Q63)+0.5*SUMPRODUCT($F$53:$Q$53,$F$56:$Q$56,$E63:$P63-$F63:$Q63)</f>
        <v/>
      </c>
      <c r="T63" s="76">
        <f>(1-$F$50)*($D$51+R63)-$D$50*(($F$51+S63)-CDS_Parameters!$B$26)</f>
        <v/>
      </c>
    </row>
    <row r="64">
      <c r="B64" s="76">
        <f>IF(T63&lt;0,D63,B63)</f>
        <v/>
      </c>
      <c r="C64" s="76">
        <f>IF(T63&lt;0,C63,D63)</f>
        <v/>
      </c>
      <c r="D64" s="76">
        <f>(B64+C64)/2</f>
        <v/>
      </c>
      <c r="E64" s="76">
        <f>$B$51</f>
        <v/>
      </c>
      <c r="F64" s="76">
        <f>$B$51*EXP(-$D64*F$57)</f>
        <v/>
      </c>
      <c r="G64" s="76">
        <f>$B$51*EXP(-$D64*G$57)</f>
        <v/>
      </c>
      <c r="H64" s="76">
        <f>$B$51*EXP(-$D64*H$57)</f>
        <v/>
      </c>
      <c r="I64" s="76">
        <f>$B$51*EXP(-$D64*I$57)</f>
        <v/>
      </c>
      <c r="J64" s="76">
        <f>I64</f>
        <v/>
      </c>
      <c r="K64" s="76">
        <f>J64</f>
        <v/>
      </c>
      <c r="L64" s="76">
        <f>K64</f>
        <v/>
      </c>
      <c r="M64" s="76">
        <f>L64</f>
        <v/>
      </c>
      <c r="N64" s="76">
        <f>M64</f>
        <v/>
      </c>
      <c r="O64" s="76">
        <f>N64</f>
        <v/>
      </c>
      <c r="P64" s="76">
        <f>O64</f>
        <v/>
      </c>
      <c r="Q64" s="76">
        <f>P64</f>
        <v/>
      </c>
      <c r="R64" s="76">
        <f>SUMPRODUCT($F$56:$Q$56,$E64:$P64-$F64:$Q64)</f>
        <v/>
      </c>
      <c r="S64" s="76">
        <f>SUMPRODUCT($F$53:$Q$53,$F$55:$Q$55,$F64:$Q64)+0.5*SUMPRODUCT($F$53:$Q$53,$F$56:$Q$56,$E64:$P64-$F64:$Q64)</f>
        <v/>
      </c>
      <c r="T64" s="76">
        <f>(1-$F$50)*($D$51+R64)-$D$50*(($F$51+S64)-CDS_Parameters!$B$26)</f>
        <v/>
      </c>
    </row>
    <row r="65">
      <c r="B65" s="76">
        <f>IF(T64&lt;0,D64,B64)</f>
        <v/>
      </c>
      <c r="C65" s="76">
        <f>IF(T64&lt;0,C64,D64)</f>
        <v/>
      </c>
      <c r="D65" s="76">
        <f>(B65+C65)/2</f>
        <v/>
      </c>
      <c r="E65" s="76">
        <f>$B$51</f>
        <v/>
      </c>
      <c r="F65" s="76">
        <f>$B$51*EXP(-$D65*F$57)</f>
        <v/>
      </c>
      <c r="G65" s="76">
        <f>$B$51*EXP(-$D65*G$57)</f>
        <v/>
      </c>
      <c r="H65" s="76">
        <f>$B$51*EXP(-$D65*H$57)</f>
        <v/>
      </c>
      <c r="I65" s="76">
        <f>$B$51*EXP(-$D65*I$57)</f>
        <v/>
      </c>
      <c r="J65" s="76">
        <f>I65</f>
        <v/>
      </c>
      <c r="K65" s="76">
        <f>J65</f>
        <v/>
      </c>
      <c r="L65" s="76">
        <f>K65</f>
        <v/>
      </c>
      <c r="M65" s="76">
        <f>L65</f>
        <v/>
      </c>
      <c r="N65" s="76">
        <f>M65</f>
        <v/>
      </c>
      <c r="O65" s="76">
        <f>N65</f>
        <v/>
      </c>
      <c r="P65" s="76">
        <f>O65</f>
        <v/>
      </c>
      <c r="Q65" s="76">
        <f>P65</f>
        <v/>
      </c>
      <c r="R65" s="76">
        <f>SUMPRODUCT($F$56:$Q$56,$E65:$P65-$F65:$Q65)</f>
        <v/>
      </c>
      <c r="S65" s="76">
        <f>SUMPRODUCT($F$53:$Q$53,$F$55:$Q$55,$F65:$Q65)+0.5*SUMPRODUCT($F$53:$Q$53,$F$56:$Q$56,$E65:$P65-$F65:$Q65)</f>
        <v/>
      </c>
      <c r="T65" s="76">
        <f>(1-$F$50)*($D$51+R65)-$D$50*(($F$51+S65)-CDS_Parameters!$B$26)</f>
        <v/>
      </c>
    </row>
    <row r="66">
      <c r="B66" s="76">
        <f>IF(T65&lt;0,D65,B65)</f>
        <v/>
      </c>
      <c r="C66" s="76">
        <f>IF(T65&lt;0,C65,D65)</f>
        <v/>
      </c>
      <c r="D66" s="76">
        <f>(B66+C66)/2</f>
        <v/>
      </c>
      <c r="E66" s="76">
        <f>$B$51</f>
        <v/>
      </c>
      <c r="F66" s="76">
        <f>$B$51*EXP(-$D66*F$57)</f>
        <v/>
      </c>
      <c r="G66" s="76">
        <f>$B$51*EXP(-$D66*G$57)</f>
        <v/>
      </c>
      <c r="H66" s="76">
        <f>$B$51*EXP(-$D66*H$57)</f>
        <v/>
      </c>
      <c r="I66" s="76">
        <f>$B$51*EXP(-$D66*I$57)</f>
        <v/>
      </c>
      <c r="J66" s="76">
        <f>I66</f>
        <v/>
      </c>
      <c r="K66" s="76">
        <f>J66</f>
        <v/>
      </c>
      <c r="L66" s="76">
        <f>K66</f>
        <v/>
      </c>
      <c r="M66" s="76">
        <f>L66</f>
        <v/>
      </c>
      <c r="N66" s="76">
        <f>M66</f>
        <v/>
      </c>
      <c r="O66" s="76">
        <f>N66</f>
        <v/>
      </c>
      <c r="P66" s="76">
        <f>O66</f>
        <v/>
      </c>
      <c r="Q66" s="76">
        <f>P66</f>
        <v/>
      </c>
      <c r="R66" s="76">
        <f>SUMPRODUCT($F$56:$Q$56,$E66:$P66-$F66:$Q66)</f>
        <v/>
      </c>
      <c r="S66" s="76">
        <f>SUMPRODUCT($F$53:$Q$53,$F$55:$Q$55,$F66:$Q66)+0.5*SUMPRODUCT($F$53:$Q$53,$F$56:$Q$56,$E66:$P66-$F66:$Q66)</f>
        <v/>
      </c>
      <c r="T66" s="76">
        <f>(1-$F$50)*($D$51+R66)-$D$50*(($F$51+S66)-CDS_Parameters!$B$26)</f>
        <v/>
      </c>
    </row>
    <row r="67">
      <c r="B67" s="76">
        <f>IF(T66&lt;0,D66,B66)</f>
        <v/>
      </c>
      <c r="C67" s="76">
        <f>IF(T66&lt;0,C66,D66)</f>
        <v/>
      </c>
      <c r="D67" s="76">
        <f>(B67+C67)/2</f>
        <v/>
      </c>
      <c r="E67" s="76">
        <f>$B$51</f>
        <v/>
      </c>
      <c r="F67" s="76">
        <f>$B$51*EXP(-$D67*F$57)</f>
        <v/>
      </c>
      <c r="G67" s="76">
        <f>$B$51*EXP(-$D67*G$57)</f>
        <v/>
      </c>
      <c r="H67" s="76">
        <f>$B$51*EXP(-$D67*H$57)</f>
        <v/>
      </c>
      <c r="I67" s="76">
        <f>$B$51*EXP(-$D67*I$57)</f>
        <v/>
      </c>
      <c r="J67" s="76">
        <f>I67</f>
        <v/>
      </c>
      <c r="K67" s="76">
        <f>J67</f>
        <v/>
      </c>
      <c r="L67" s="76">
        <f>K67</f>
        <v/>
      </c>
      <c r="M67" s="76">
        <f>L67</f>
        <v/>
      </c>
      <c r="N67" s="76">
        <f>M67</f>
        <v/>
      </c>
      <c r="O67" s="76">
        <f>N67</f>
        <v/>
      </c>
      <c r="P67" s="76">
        <f>O67</f>
        <v/>
      </c>
      <c r="Q67" s="76">
        <f>P67</f>
        <v/>
      </c>
      <c r="R67" s="76">
        <f>SUMPRODUCT($F$56:$Q$56,$E67:$P67-$F67:$Q67)</f>
        <v/>
      </c>
      <c r="S67" s="76">
        <f>SUMPRODUCT($F$53:$Q$53,$F$55:$Q$55,$F67:$Q67)+0.5*SUMPRODUCT($F$53:$Q$53,$F$56:$Q$56,$E67:$P67-$F67:$Q67)</f>
        <v/>
      </c>
      <c r="T67" s="76">
        <f>(1-$F$50)*($D$51+R67)-$D$50*(($F$51+S67)-CDS_Parameters!$B$26)</f>
        <v/>
      </c>
    </row>
    <row r="68">
      <c r="B68" s="76">
        <f>IF(T67&lt;0,D67,B67)</f>
        <v/>
      </c>
      <c r="C68" s="76">
        <f>IF(T67&lt;0,C67,D67)</f>
        <v/>
      </c>
      <c r="D68" s="76">
        <f>(B68+C68)/2</f>
        <v/>
      </c>
      <c r="E68" s="76">
        <f>$B$51</f>
        <v/>
      </c>
      <c r="F68" s="76">
        <f>$B$51*EXP(-$D68*F$57)</f>
        <v/>
      </c>
      <c r="G68" s="76">
        <f>$B$51*EXP(-$D68*G$57)</f>
        <v/>
      </c>
      <c r="H68" s="76">
        <f>$B$51*EXP(-$D68*H$57)</f>
        <v/>
      </c>
      <c r="I68" s="76">
        <f>$B$51*EXP(-$D68*I$57)</f>
        <v/>
      </c>
      <c r="J68" s="76">
        <f>I68</f>
        <v/>
      </c>
      <c r="K68" s="76">
        <f>J68</f>
        <v/>
      </c>
      <c r="L68" s="76">
        <f>K68</f>
        <v/>
      </c>
      <c r="M68" s="76">
        <f>L68</f>
        <v/>
      </c>
      <c r="N68" s="76">
        <f>M68</f>
        <v/>
      </c>
      <c r="O68" s="76">
        <f>N68</f>
        <v/>
      </c>
      <c r="P68" s="76">
        <f>O68</f>
        <v/>
      </c>
      <c r="Q68" s="76">
        <f>P68</f>
        <v/>
      </c>
      <c r="R68" s="76">
        <f>SUMPRODUCT($F$56:$Q$56,$E68:$P68-$F68:$Q68)</f>
        <v/>
      </c>
      <c r="S68" s="76">
        <f>SUMPRODUCT($F$53:$Q$53,$F$55:$Q$55,$F68:$Q68)+0.5*SUMPRODUCT($F$53:$Q$53,$F$56:$Q$56,$E68:$P68-$F68:$Q68)</f>
        <v/>
      </c>
      <c r="T68" s="76">
        <f>(1-$F$50)*($D$51+R68)-$D$50*(($F$51+S68)-CDS_Parameters!$B$26)</f>
        <v/>
      </c>
    </row>
    <row r="69">
      <c r="B69" s="76">
        <f>IF(T68&lt;0,D68,B68)</f>
        <v/>
      </c>
      <c r="C69" s="76">
        <f>IF(T68&lt;0,C68,D68)</f>
        <v/>
      </c>
      <c r="D69" s="76">
        <f>(B69+C69)/2</f>
        <v/>
      </c>
      <c r="E69" s="76">
        <f>$B$51</f>
        <v/>
      </c>
      <c r="F69" s="76">
        <f>$B$51*EXP(-$D69*F$57)</f>
        <v/>
      </c>
      <c r="G69" s="76">
        <f>$B$51*EXP(-$D69*G$57)</f>
        <v/>
      </c>
      <c r="H69" s="76">
        <f>$B$51*EXP(-$D69*H$57)</f>
        <v/>
      </c>
      <c r="I69" s="76">
        <f>$B$51*EXP(-$D69*I$57)</f>
        <v/>
      </c>
      <c r="J69" s="76">
        <f>I69</f>
        <v/>
      </c>
      <c r="K69" s="76">
        <f>J69</f>
        <v/>
      </c>
      <c r="L69" s="76">
        <f>K69</f>
        <v/>
      </c>
      <c r="M69" s="76">
        <f>L69</f>
        <v/>
      </c>
      <c r="N69" s="76">
        <f>M69</f>
        <v/>
      </c>
      <c r="O69" s="76">
        <f>N69</f>
        <v/>
      </c>
      <c r="P69" s="76">
        <f>O69</f>
        <v/>
      </c>
      <c r="Q69" s="76">
        <f>P69</f>
        <v/>
      </c>
      <c r="R69" s="76">
        <f>SUMPRODUCT($F$56:$Q$56,$E69:$P69-$F69:$Q69)</f>
        <v/>
      </c>
      <c r="S69" s="76">
        <f>SUMPRODUCT($F$53:$Q$53,$F$55:$Q$55,$F69:$Q69)+0.5*SUMPRODUCT($F$53:$Q$53,$F$56:$Q$56,$E69:$P69-$F69:$Q69)</f>
        <v/>
      </c>
      <c r="T69" s="76">
        <f>(1-$F$50)*($D$51+R69)-$D$50*(($F$51+S69)-CDS_Parameters!$B$26)</f>
        <v/>
      </c>
    </row>
    <row r="70">
      <c r="B70" s="76">
        <f>IF(T69&lt;0,D69,B69)</f>
        <v/>
      </c>
      <c r="C70" s="76">
        <f>IF(T69&lt;0,C69,D69)</f>
        <v/>
      </c>
      <c r="D70" s="76">
        <f>(B70+C70)/2</f>
        <v/>
      </c>
      <c r="E70" s="76">
        <f>$B$51</f>
        <v/>
      </c>
      <c r="F70" s="76">
        <f>$B$51*EXP(-$D70*F$57)</f>
        <v/>
      </c>
      <c r="G70" s="76">
        <f>$B$51*EXP(-$D70*G$57)</f>
        <v/>
      </c>
      <c r="H70" s="76">
        <f>$B$51*EXP(-$D70*H$57)</f>
        <v/>
      </c>
      <c r="I70" s="76">
        <f>$B$51*EXP(-$D70*I$57)</f>
        <v/>
      </c>
      <c r="J70" s="76">
        <f>I70</f>
        <v/>
      </c>
      <c r="K70" s="76">
        <f>J70</f>
        <v/>
      </c>
      <c r="L70" s="76">
        <f>K70</f>
        <v/>
      </c>
      <c r="M70" s="76">
        <f>L70</f>
        <v/>
      </c>
      <c r="N70" s="76">
        <f>M70</f>
        <v/>
      </c>
      <c r="O70" s="76">
        <f>N70</f>
        <v/>
      </c>
      <c r="P70" s="76">
        <f>O70</f>
        <v/>
      </c>
      <c r="Q70" s="76">
        <f>P70</f>
        <v/>
      </c>
      <c r="R70" s="76">
        <f>SUMPRODUCT($F$56:$Q$56,$E70:$P70-$F70:$Q70)</f>
        <v/>
      </c>
      <c r="S70" s="76">
        <f>SUMPRODUCT($F$53:$Q$53,$F$55:$Q$55,$F70:$Q70)+0.5*SUMPRODUCT($F$53:$Q$53,$F$56:$Q$56,$E70:$P70-$F70:$Q70)</f>
        <v/>
      </c>
      <c r="T70" s="76">
        <f>(1-$F$50)*($D$51+R70)-$D$50*(($F$51+S70)-CDS_Parameters!$B$26)</f>
        <v/>
      </c>
    </row>
    <row r="71">
      <c r="B71" s="76">
        <f>IF(T70&lt;0,D70,B70)</f>
        <v/>
      </c>
      <c r="C71" s="76">
        <f>IF(T70&lt;0,C70,D70)</f>
        <v/>
      </c>
      <c r="D71" s="76">
        <f>(B71+C71)/2</f>
        <v/>
      </c>
      <c r="E71" s="76">
        <f>$B$51</f>
        <v/>
      </c>
      <c r="F71" s="76">
        <f>$B$51*EXP(-$D71*F$57)</f>
        <v/>
      </c>
      <c r="G71" s="76">
        <f>$B$51*EXP(-$D71*G$57)</f>
        <v/>
      </c>
      <c r="H71" s="76">
        <f>$B$51*EXP(-$D71*H$57)</f>
        <v/>
      </c>
      <c r="I71" s="76">
        <f>$B$51*EXP(-$D71*I$57)</f>
        <v/>
      </c>
      <c r="J71" s="76">
        <f>I71</f>
        <v/>
      </c>
      <c r="K71" s="76">
        <f>J71</f>
        <v/>
      </c>
      <c r="L71" s="76">
        <f>K71</f>
        <v/>
      </c>
      <c r="M71" s="76">
        <f>L71</f>
        <v/>
      </c>
      <c r="N71" s="76">
        <f>M71</f>
        <v/>
      </c>
      <c r="O71" s="76">
        <f>N71</f>
        <v/>
      </c>
      <c r="P71" s="76">
        <f>O71</f>
        <v/>
      </c>
      <c r="Q71" s="76">
        <f>P71</f>
        <v/>
      </c>
      <c r="R71" s="76">
        <f>SUMPRODUCT($F$56:$Q$56,$E71:$P71-$F71:$Q71)</f>
        <v/>
      </c>
      <c r="S71" s="76">
        <f>SUMPRODUCT($F$53:$Q$53,$F$55:$Q$55,$F71:$Q71)+0.5*SUMPRODUCT($F$53:$Q$53,$F$56:$Q$56,$E71:$P71-$F71:$Q71)</f>
        <v/>
      </c>
      <c r="T71" s="76">
        <f>(1-$F$50)*($D$51+R71)-$D$50*(($F$51+S71)-CDS_Parameters!$B$26)</f>
        <v/>
      </c>
    </row>
    <row r="72">
      <c r="B72" s="76">
        <f>IF(T71&lt;0,D71,B71)</f>
        <v/>
      </c>
      <c r="C72" s="76">
        <f>IF(T71&lt;0,C71,D71)</f>
        <v/>
      </c>
      <c r="D72" s="76">
        <f>(B72+C72)/2</f>
        <v/>
      </c>
      <c r="E72" s="76">
        <f>$B$51</f>
        <v/>
      </c>
      <c r="F72" s="76">
        <f>$B$51*EXP(-$D72*F$57)</f>
        <v/>
      </c>
      <c r="G72" s="76">
        <f>$B$51*EXP(-$D72*G$57)</f>
        <v/>
      </c>
      <c r="H72" s="76">
        <f>$B$51*EXP(-$D72*H$57)</f>
        <v/>
      </c>
      <c r="I72" s="76">
        <f>$B$51*EXP(-$D72*I$57)</f>
        <v/>
      </c>
      <c r="J72" s="76">
        <f>I72</f>
        <v/>
      </c>
      <c r="K72" s="76">
        <f>J72</f>
        <v/>
      </c>
      <c r="L72" s="76">
        <f>K72</f>
        <v/>
      </c>
      <c r="M72" s="76">
        <f>L72</f>
        <v/>
      </c>
      <c r="N72" s="76">
        <f>M72</f>
        <v/>
      </c>
      <c r="O72" s="76">
        <f>N72</f>
        <v/>
      </c>
      <c r="P72" s="76">
        <f>O72</f>
        <v/>
      </c>
      <c r="Q72" s="76">
        <f>P72</f>
        <v/>
      </c>
      <c r="R72" s="76">
        <f>SUMPRODUCT($F$56:$Q$56,$E72:$P72-$F72:$Q72)</f>
        <v/>
      </c>
      <c r="S72" s="76">
        <f>SUMPRODUCT($F$53:$Q$53,$F$55:$Q$55,$F72:$Q72)+0.5*SUMPRODUCT($F$53:$Q$53,$F$56:$Q$56,$E72:$P72-$F72:$Q72)</f>
        <v/>
      </c>
      <c r="T72" s="76">
        <f>(1-$F$50)*($D$51+R72)-$D$50*(($F$51+S72)-CDS_Parameters!$B$26)</f>
        <v/>
      </c>
    </row>
    <row r="73">
      <c r="B73" s="76">
        <f>IF(T72&lt;0,D72,B72)</f>
        <v/>
      </c>
      <c r="C73" s="76">
        <f>IF(T72&lt;0,C72,D72)</f>
        <v/>
      </c>
      <c r="D73" s="76">
        <f>(B73+C73)/2</f>
        <v/>
      </c>
      <c r="E73" s="76">
        <f>$B$51</f>
        <v/>
      </c>
      <c r="F73" s="76">
        <f>$B$51*EXP(-$D73*F$57)</f>
        <v/>
      </c>
      <c r="G73" s="76">
        <f>$B$51*EXP(-$D73*G$57)</f>
        <v/>
      </c>
      <c r="H73" s="76">
        <f>$B$51*EXP(-$D73*H$57)</f>
        <v/>
      </c>
      <c r="I73" s="76">
        <f>$B$51*EXP(-$D73*I$57)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>
        <f>M73</f>
        <v/>
      </c>
      <c r="O73" s="76">
        <f>N73</f>
        <v/>
      </c>
      <c r="P73" s="76">
        <f>O73</f>
        <v/>
      </c>
      <c r="Q73" s="76">
        <f>P73</f>
        <v/>
      </c>
      <c r="R73" s="76">
        <f>SUMPRODUCT($F$56:$Q$56,$E73:$P73-$F73:$Q73)</f>
        <v/>
      </c>
      <c r="S73" s="76">
        <f>SUMPRODUCT($F$53:$Q$53,$F$55:$Q$55,$F73:$Q73)+0.5*SUMPRODUCT($F$53:$Q$53,$F$56:$Q$56,$E73:$P73-$F73:$Q73)</f>
        <v/>
      </c>
      <c r="T73" s="76">
        <f>(1-$F$50)*($D$51+R73)-$D$50*(($F$51+S73)-CDS_Parameters!$B$26)</f>
        <v/>
      </c>
    </row>
    <row r="74">
      <c r="B74" s="76">
        <f>IF(T73&lt;0,D73,B73)</f>
        <v/>
      </c>
      <c r="C74" s="76">
        <f>IF(T73&lt;0,C73,D73)</f>
        <v/>
      </c>
      <c r="D74" s="76">
        <f>(B74+C74)/2</f>
        <v/>
      </c>
      <c r="E74" s="76">
        <f>$B$51</f>
        <v/>
      </c>
      <c r="F74" s="76">
        <f>$B$51*EXP(-$D74*F$57)</f>
        <v/>
      </c>
      <c r="G74" s="76">
        <f>$B$51*EXP(-$D74*G$57)</f>
        <v/>
      </c>
      <c r="H74" s="76">
        <f>$B$51*EXP(-$D74*H$57)</f>
        <v/>
      </c>
      <c r="I74" s="76">
        <f>$B$51*EXP(-$D74*I$57)</f>
        <v/>
      </c>
      <c r="J74" s="76">
        <f>I74</f>
        <v/>
      </c>
      <c r="K74" s="76">
        <f>J74</f>
        <v/>
      </c>
      <c r="L74" s="76">
        <f>K74</f>
        <v/>
      </c>
      <c r="M74" s="76">
        <f>L74</f>
        <v/>
      </c>
      <c r="N74" s="76">
        <f>M74</f>
        <v/>
      </c>
      <c r="O74" s="76">
        <f>N74</f>
        <v/>
      </c>
      <c r="P74" s="76">
        <f>O74</f>
        <v/>
      </c>
      <c r="Q74" s="76">
        <f>P74</f>
        <v/>
      </c>
      <c r="R74" s="76">
        <f>SUMPRODUCT($F$56:$Q$56,$E74:$P74-$F74:$Q74)</f>
        <v/>
      </c>
      <c r="S74" s="76">
        <f>SUMPRODUCT($F$53:$Q$53,$F$55:$Q$55,$F74:$Q74)+0.5*SUMPRODUCT($F$53:$Q$53,$F$56:$Q$56,$E74:$P74-$F74:$Q74)</f>
        <v/>
      </c>
      <c r="T74" s="76">
        <f>(1-$F$50)*($D$51+R74)-$D$50*(($F$51+S74)-CDS_Parameters!$B$26)</f>
        <v/>
      </c>
    </row>
    <row r="75">
      <c r="B75" s="76">
        <f>IF(T74&lt;0,D74,B74)</f>
        <v/>
      </c>
      <c r="C75" s="76">
        <f>IF(T74&lt;0,C74,D74)</f>
        <v/>
      </c>
      <c r="D75" s="76">
        <f>(B75+C75)/2</f>
        <v/>
      </c>
      <c r="E75" s="76">
        <f>$B$51</f>
        <v/>
      </c>
      <c r="F75" s="76">
        <f>$B$51*EXP(-$D75*F$57)</f>
        <v/>
      </c>
      <c r="G75" s="76">
        <f>$B$51*EXP(-$D75*G$57)</f>
        <v/>
      </c>
      <c r="H75" s="76">
        <f>$B$51*EXP(-$D75*H$57)</f>
        <v/>
      </c>
      <c r="I75" s="76">
        <f>$B$51*EXP(-$D75*I$57)</f>
        <v/>
      </c>
      <c r="J75" s="76">
        <f>I75</f>
        <v/>
      </c>
      <c r="K75" s="76">
        <f>J75</f>
        <v/>
      </c>
      <c r="L75" s="76">
        <f>K75</f>
        <v/>
      </c>
      <c r="M75" s="76">
        <f>L75</f>
        <v/>
      </c>
      <c r="N75" s="76">
        <f>M75</f>
        <v/>
      </c>
      <c r="O75" s="76">
        <f>N75</f>
        <v/>
      </c>
      <c r="P75" s="76">
        <f>O75</f>
        <v/>
      </c>
      <c r="Q75" s="76">
        <f>P75</f>
        <v/>
      </c>
      <c r="R75" s="76">
        <f>SUMPRODUCT($F$56:$Q$56,$E75:$P75-$F75:$Q75)</f>
        <v/>
      </c>
      <c r="S75" s="76">
        <f>SUMPRODUCT($F$53:$Q$53,$F$55:$Q$55,$F75:$Q75)+0.5*SUMPRODUCT($F$53:$Q$53,$F$56:$Q$56,$E75:$P75-$F75:$Q75)</f>
        <v/>
      </c>
      <c r="T75" s="76">
        <f>(1-$F$50)*($D$51+R75)-$D$50*(($F$51+S75)-CDS_Parameters!$B$26)</f>
        <v/>
      </c>
    </row>
    <row r="76">
      <c r="B76" s="76">
        <f>IF(T75&lt;0,D75,B75)</f>
        <v/>
      </c>
      <c r="C76" s="76">
        <f>IF(T75&lt;0,C75,D75)</f>
        <v/>
      </c>
      <c r="D76" s="76">
        <f>(B76+C76)/2</f>
        <v/>
      </c>
      <c r="E76" s="76">
        <f>$B$51</f>
        <v/>
      </c>
      <c r="F76" s="76">
        <f>$B$51*EXP(-$D76*F$57)</f>
        <v/>
      </c>
      <c r="G76" s="76">
        <f>$B$51*EXP(-$D76*G$57)</f>
        <v/>
      </c>
      <c r="H76" s="76">
        <f>$B$51*EXP(-$D76*H$57)</f>
        <v/>
      </c>
      <c r="I76" s="76">
        <f>$B$51*EXP(-$D76*I$57)</f>
        <v/>
      </c>
      <c r="J76" s="76">
        <f>I76</f>
        <v/>
      </c>
      <c r="K76" s="76">
        <f>J76</f>
        <v/>
      </c>
      <c r="L76" s="76">
        <f>K76</f>
        <v/>
      </c>
      <c r="M76" s="76">
        <f>L76</f>
        <v/>
      </c>
      <c r="N76" s="76">
        <f>M76</f>
        <v/>
      </c>
      <c r="O76" s="76">
        <f>N76</f>
        <v/>
      </c>
      <c r="P76" s="76">
        <f>O76</f>
        <v/>
      </c>
      <c r="Q76" s="76">
        <f>P76</f>
        <v/>
      </c>
      <c r="R76" s="76">
        <f>SUMPRODUCT($F$56:$Q$56,$E76:$P76-$F76:$Q76)</f>
        <v/>
      </c>
      <c r="S76" s="76">
        <f>SUMPRODUCT($F$53:$Q$53,$F$55:$Q$55,$F76:$Q76)+0.5*SUMPRODUCT($F$53:$Q$53,$F$56:$Q$56,$E76:$P76-$F76:$Q76)</f>
        <v/>
      </c>
      <c r="T76" s="76">
        <f>(1-$F$50)*($D$51+R76)-$D$50*(($F$51+S76)-CDS_Parameters!$B$26)</f>
        <v/>
      </c>
    </row>
    <row r="77">
      <c r="B77" s="76">
        <f>IF(T76&lt;0,D76,B76)</f>
        <v/>
      </c>
      <c r="C77" s="76">
        <f>IF(T76&lt;0,C76,D76)</f>
        <v/>
      </c>
      <c r="D77" s="76">
        <f>(B77+C77)/2</f>
        <v/>
      </c>
      <c r="E77" s="76">
        <f>$B$51</f>
        <v/>
      </c>
      <c r="F77" s="76">
        <f>$B$51*EXP(-$D77*F$57)</f>
        <v/>
      </c>
      <c r="G77" s="76">
        <f>$B$51*EXP(-$D77*G$57)</f>
        <v/>
      </c>
      <c r="H77" s="76">
        <f>$B$51*EXP(-$D77*H$57)</f>
        <v/>
      </c>
      <c r="I77" s="76">
        <f>$B$51*EXP(-$D77*I$57)</f>
        <v/>
      </c>
      <c r="J77" s="76">
        <f>I77</f>
        <v/>
      </c>
      <c r="K77" s="76">
        <f>J77</f>
        <v/>
      </c>
      <c r="L77" s="76">
        <f>K77</f>
        <v/>
      </c>
      <c r="M77" s="76">
        <f>L77</f>
        <v/>
      </c>
      <c r="N77" s="76">
        <f>M77</f>
        <v/>
      </c>
      <c r="O77" s="76">
        <f>N77</f>
        <v/>
      </c>
      <c r="P77" s="76">
        <f>O77</f>
        <v/>
      </c>
      <c r="Q77" s="76">
        <f>P77</f>
        <v/>
      </c>
      <c r="R77" s="76">
        <f>SUMPRODUCT($F$56:$Q$56,$E77:$P77-$F77:$Q77)</f>
        <v/>
      </c>
      <c r="S77" s="76">
        <f>SUMPRODUCT($F$53:$Q$53,$F$55:$Q$55,$F77:$Q77)+0.5*SUMPRODUCT($F$53:$Q$53,$F$56:$Q$56,$E77:$P77-$F77:$Q77)</f>
        <v/>
      </c>
      <c r="T77" s="76">
        <f>(1-$F$50)*($D$51+R77)-$D$50*(($F$51+S77)-CDS_Parameters!$B$26)</f>
        <v/>
      </c>
    </row>
    <row r="78">
      <c r="B78" s="76">
        <f>IF(T77&lt;0,D77,B77)</f>
        <v/>
      </c>
      <c r="C78" s="76">
        <f>IF(T77&lt;0,C77,D77)</f>
        <v/>
      </c>
      <c r="D78" s="76">
        <f>(B78+C78)/2</f>
        <v/>
      </c>
      <c r="E78" s="76">
        <f>$B$51</f>
        <v/>
      </c>
      <c r="F78" s="76">
        <f>$B$51*EXP(-$D78*F$57)</f>
        <v/>
      </c>
      <c r="G78" s="76">
        <f>$B$51*EXP(-$D78*G$57)</f>
        <v/>
      </c>
      <c r="H78" s="76">
        <f>$B$51*EXP(-$D78*H$57)</f>
        <v/>
      </c>
      <c r="I78" s="76">
        <f>$B$51*EXP(-$D78*I$57)</f>
        <v/>
      </c>
      <c r="J78" s="76">
        <f>I78</f>
        <v/>
      </c>
      <c r="K78" s="76">
        <f>J78</f>
        <v/>
      </c>
      <c r="L78" s="76">
        <f>K78</f>
        <v/>
      </c>
      <c r="M78" s="76">
        <f>L78</f>
        <v/>
      </c>
      <c r="N78" s="76">
        <f>M78</f>
        <v/>
      </c>
      <c r="O78" s="76">
        <f>N78</f>
        <v/>
      </c>
      <c r="P78" s="76">
        <f>O78</f>
        <v/>
      </c>
      <c r="Q78" s="76">
        <f>P78</f>
        <v/>
      </c>
      <c r="R78" s="76">
        <f>SUMPRODUCT($F$56:$Q$56,$E78:$P78-$F78:$Q78)</f>
        <v/>
      </c>
      <c r="S78" s="76">
        <f>SUMPRODUCT($F$53:$Q$53,$F$55:$Q$55,$F78:$Q78)+0.5*SUMPRODUCT($F$53:$Q$53,$F$56:$Q$56,$E78:$P78-$F78:$Q78)</f>
        <v/>
      </c>
      <c r="T78" s="76">
        <f>(1-$F$50)*($D$51+R78)-$D$50*(($F$51+S78)-CDS_Parameters!$B$26)</f>
        <v/>
      </c>
    </row>
    <row r="79">
      <c r="B79" s="76">
        <f>IF(T78&lt;0,D78,B78)</f>
        <v/>
      </c>
      <c r="C79" s="76">
        <f>IF(T78&lt;0,C78,D78)</f>
        <v/>
      </c>
      <c r="D79" s="76">
        <f>(B79+C79)/2</f>
        <v/>
      </c>
      <c r="E79" s="76">
        <f>$B$51</f>
        <v/>
      </c>
      <c r="F79" s="76">
        <f>$B$51*EXP(-$D79*F$57)</f>
        <v/>
      </c>
      <c r="G79" s="76">
        <f>$B$51*EXP(-$D79*G$57)</f>
        <v/>
      </c>
      <c r="H79" s="76">
        <f>$B$51*EXP(-$D79*H$57)</f>
        <v/>
      </c>
      <c r="I79" s="76">
        <f>$B$51*EXP(-$D79*I$57)</f>
        <v/>
      </c>
      <c r="J79" s="76">
        <f>I79</f>
        <v/>
      </c>
      <c r="K79" s="76">
        <f>J79</f>
        <v/>
      </c>
      <c r="L79" s="76">
        <f>K79</f>
        <v/>
      </c>
      <c r="M79" s="76">
        <f>L79</f>
        <v/>
      </c>
      <c r="N79" s="76">
        <f>M79</f>
        <v/>
      </c>
      <c r="O79" s="76">
        <f>N79</f>
        <v/>
      </c>
      <c r="P79" s="76">
        <f>O79</f>
        <v/>
      </c>
      <c r="Q79" s="76">
        <f>P79</f>
        <v/>
      </c>
      <c r="R79" s="76">
        <f>SUMPRODUCT($F$56:$Q$56,$E79:$P79-$F79:$Q79)</f>
        <v/>
      </c>
      <c r="S79" s="76">
        <f>SUMPRODUCT($F$53:$Q$53,$F$55:$Q$55,$F79:$Q79)+0.5*SUMPRODUCT($F$53:$Q$53,$F$56:$Q$56,$E79:$P79-$F79:$Q79)</f>
        <v/>
      </c>
      <c r="T79" s="76">
        <f>(1-$F$50)*($D$51+R79)-$D$50*(($F$51+S79)-CDS_Parameters!$B$26)</f>
        <v/>
      </c>
    </row>
    <row r="80">
      <c r="B80" s="76">
        <f>IF(T79&lt;0,D79,B79)</f>
        <v/>
      </c>
      <c r="C80" s="76">
        <f>IF(T79&lt;0,C79,D79)</f>
        <v/>
      </c>
      <c r="D80" s="76">
        <f>(B80+C80)/2</f>
        <v/>
      </c>
      <c r="E80" s="76">
        <f>$B$51</f>
        <v/>
      </c>
      <c r="F80" s="76">
        <f>$B$51*EXP(-$D80*F$57)</f>
        <v/>
      </c>
      <c r="G80" s="76">
        <f>$B$51*EXP(-$D80*G$57)</f>
        <v/>
      </c>
      <c r="H80" s="76">
        <f>$B$51*EXP(-$D80*H$57)</f>
        <v/>
      </c>
      <c r="I80" s="76">
        <f>$B$51*EXP(-$D80*I$57)</f>
        <v/>
      </c>
      <c r="J80" s="76">
        <f>I80</f>
        <v/>
      </c>
      <c r="K80" s="76">
        <f>J80</f>
        <v/>
      </c>
      <c r="L80" s="76">
        <f>K80</f>
        <v/>
      </c>
      <c r="M80" s="76">
        <f>L80</f>
        <v/>
      </c>
      <c r="N80" s="76">
        <f>M80</f>
        <v/>
      </c>
      <c r="O80" s="76">
        <f>N80</f>
        <v/>
      </c>
      <c r="P80" s="76">
        <f>O80</f>
        <v/>
      </c>
      <c r="Q80" s="76">
        <f>P80</f>
        <v/>
      </c>
      <c r="R80" s="76">
        <f>SUMPRODUCT($F$56:$Q$56,$E80:$P80-$F80:$Q80)</f>
        <v/>
      </c>
      <c r="S80" s="76">
        <f>SUMPRODUCT($F$53:$Q$53,$F$55:$Q$55,$F80:$Q80)+0.5*SUMPRODUCT($F$53:$Q$53,$F$56:$Q$56,$E80:$P80-$F80:$Q80)</f>
        <v/>
      </c>
      <c r="T80" s="76">
        <f>(1-$F$50)*($D$51+R80)-$D$50*(($F$51+S80)-CDS_Parameters!$B$26)</f>
        <v/>
      </c>
    </row>
    <row r="81">
      <c r="B81" s="76">
        <f>IF(T80&lt;0,D80,B80)</f>
        <v/>
      </c>
      <c r="C81" s="76">
        <f>IF(T80&lt;0,C80,D80)</f>
        <v/>
      </c>
      <c r="D81" s="76">
        <f>(B81+C81)/2</f>
        <v/>
      </c>
      <c r="E81" s="76">
        <f>$B$51</f>
        <v/>
      </c>
      <c r="F81" s="76">
        <f>$B$51*EXP(-$D81*F$57)</f>
        <v/>
      </c>
      <c r="G81" s="76">
        <f>$B$51*EXP(-$D81*G$57)</f>
        <v/>
      </c>
      <c r="H81" s="76">
        <f>$B$51*EXP(-$D81*H$57)</f>
        <v/>
      </c>
      <c r="I81" s="76">
        <f>$B$51*EXP(-$D81*I$57)</f>
        <v/>
      </c>
      <c r="J81" s="76">
        <f>I81</f>
        <v/>
      </c>
      <c r="K81" s="76">
        <f>J81</f>
        <v/>
      </c>
      <c r="L81" s="76">
        <f>K81</f>
        <v/>
      </c>
      <c r="M81" s="76">
        <f>L81</f>
        <v/>
      </c>
      <c r="N81" s="76">
        <f>M81</f>
        <v/>
      </c>
      <c r="O81" s="76">
        <f>N81</f>
        <v/>
      </c>
      <c r="P81" s="76">
        <f>O81</f>
        <v/>
      </c>
      <c r="Q81" s="76">
        <f>P81</f>
        <v/>
      </c>
      <c r="R81" s="76">
        <f>SUMPRODUCT($F$56:$Q$56,$E81:$P81-$F81:$Q81)</f>
        <v/>
      </c>
      <c r="S81" s="76">
        <f>SUMPRODUCT($F$53:$Q$53,$F$55:$Q$55,$F81:$Q81)+0.5*SUMPRODUCT($F$53:$Q$53,$F$56:$Q$56,$E81:$P81-$F81:$Q81)</f>
        <v/>
      </c>
      <c r="T81" s="76">
        <f>(1-$F$50)*($D$51+R81)-$D$50*(($F$51+S81)-CDS_Parameters!$B$26)</f>
        <v/>
      </c>
    </row>
    <row r="82">
      <c r="B82" s="76">
        <f>IF(T81&lt;0,D81,B81)</f>
        <v/>
      </c>
      <c r="C82" s="76">
        <f>IF(T81&lt;0,C81,D81)</f>
        <v/>
      </c>
      <c r="D82" s="76">
        <f>(B82+C82)/2</f>
        <v/>
      </c>
      <c r="E82" s="76">
        <f>$B$51</f>
        <v/>
      </c>
      <c r="F82" s="76">
        <f>$B$51*EXP(-$D82*F$57)</f>
        <v/>
      </c>
      <c r="G82" s="76">
        <f>$B$51*EXP(-$D82*G$57)</f>
        <v/>
      </c>
      <c r="H82" s="76">
        <f>$B$51*EXP(-$D82*H$57)</f>
        <v/>
      </c>
      <c r="I82" s="76">
        <f>$B$51*EXP(-$D82*I$57)</f>
        <v/>
      </c>
      <c r="J82" s="76">
        <f>I82</f>
        <v/>
      </c>
      <c r="K82" s="76">
        <f>J82</f>
        <v/>
      </c>
      <c r="L82" s="76">
        <f>K82</f>
        <v/>
      </c>
      <c r="M82" s="76">
        <f>L82</f>
        <v/>
      </c>
      <c r="N82" s="76">
        <f>M82</f>
        <v/>
      </c>
      <c r="O82" s="76">
        <f>N82</f>
        <v/>
      </c>
      <c r="P82" s="76">
        <f>O82</f>
        <v/>
      </c>
      <c r="Q82" s="76">
        <f>P82</f>
        <v/>
      </c>
      <c r="R82" s="76">
        <f>SUMPRODUCT($F$56:$Q$56,$E82:$P82-$F82:$Q82)</f>
        <v/>
      </c>
      <c r="S82" s="76">
        <f>SUMPRODUCT($F$53:$Q$53,$F$55:$Q$55,$F82:$Q82)+0.5*SUMPRODUCT($F$53:$Q$53,$F$56:$Q$56,$E82:$P82-$F82:$Q82)</f>
        <v/>
      </c>
      <c r="T82" s="76">
        <f>(1-$F$50)*($D$51+R82)-$D$50*(($F$51+S82)-CDS_Parameters!$B$26)</f>
        <v/>
      </c>
    </row>
    <row r="83">
      <c r="B83" s="76">
        <f>IF(T82&lt;0,D82,B82)</f>
        <v/>
      </c>
      <c r="C83" s="76">
        <f>IF(T82&lt;0,C82,D82)</f>
        <v/>
      </c>
      <c r="D83" s="76">
        <f>(B83+C83)/2</f>
        <v/>
      </c>
      <c r="E83" s="76">
        <f>$B$51</f>
        <v/>
      </c>
      <c r="F83" s="76">
        <f>$B$51*EXP(-$D83*F$57)</f>
        <v/>
      </c>
      <c r="G83" s="76">
        <f>$B$51*EXP(-$D83*G$57)</f>
        <v/>
      </c>
      <c r="H83" s="76">
        <f>$B$51*EXP(-$D83*H$57)</f>
        <v/>
      </c>
      <c r="I83" s="76">
        <f>$B$51*EXP(-$D83*I$57)</f>
        <v/>
      </c>
      <c r="J83" s="76">
        <f>I83</f>
        <v/>
      </c>
      <c r="K83" s="76">
        <f>J83</f>
        <v/>
      </c>
      <c r="L83" s="76">
        <f>K83</f>
        <v/>
      </c>
      <c r="M83" s="76">
        <f>L83</f>
        <v/>
      </c>
      <c r="N83" s="76">
        <f>M83</f>
        <v/>
      </c>
      <c r="O83" s="76">
        <f>N83</f>
        <v/>
      </c>
      <c r="P83" s="76">
        <f>O83</f>
        <v/>
      </c>
      <c r="Q83" s="76">
        <f>P83</f>
        <v/>
      </c>
      <c r="R83" s="76">
        <f>SUMPRODUCT($F$56:$Q$56,$E83:$P83-$F83:$Q83)</f>
        <v/>
      </c>
      <c r="S83" s="76">
        <f>SUMPRODUCT($F$53:$Q$53,$F$55:$Q$55,$F83:$Q83)+0.5*SUMPRODUCT($F$53:$Q$53,$F$56:$Q$56,$E83:$P83-$F83:$Q83)</f>
        <v/>
      </c>
      <c r="T83" s="76">
        <f>(1-$F$50)*($D$51+R83)-$D$50*(($F$51+S83)-CDS_Parameters!$B$26)</f>
        <v/>
      </c>
    </row>
    <row r="84">
      <c r="B84" s="76">
        <f>IF(T83&lt;0,D83,B83)</f>
        <v/>
      </c>
      <c r="C84" s="76">
        <f>IF(T83&lt;0,C83,D83)</f>
        <v/>
      </c>
      <c r="D84" s="76">
        <f>(B84+C84)/2</f>
        <v/>
      </c>
      <c r="E84" s="76">
        <f>$B$51</f>
        <v/>
      </c>
      <c r="F84" s="76">
        <f>$B$51*EXP(-$D84*F$57)</f>
        <v/>
      </c>
      <c r="G84" s="76">
        <f>$B$51*EXP(-$D84*G$57)</f>
        <v/>
      </c>
      <c r="H84" s="76">
        <f>$B$51*EXP(-$D84*H$57)</f>
        <v/>
      </c>
      <c r="I84" s="76">
        <f>$B$51*EXP(-$D84*I$57)</f>
        <v/>
      </c>
      <c r="J84" s="76">
        <f>I84</f>
        <v/>
      </c>
      <c r="K84" s="76">
        <f>J84</f>
        <v/>
      </c>
      <c r="L84" s="76">
        <f>K84</f>
        <v/>
      </c>
      <c r="M84" s="76">
        <f>L84</f>
        <v/>
      </c>
      <c r="N84" s="76">
        <f>M84</f>
        <v/>
      </c>
      <c r="O84" s="76">
        <f>N84</f>
        <v/>
      </c>
      <c r="P84" s="76">
        <f>O84</f>
        <v/>
      </c>
      <c r="Q84" s="76">
        <f>P84</f>
        <v/>
      </c>
      <c r="R84" s="76">
        <f>SUMPRODUCT($F$56:$Q$56,$E84:$P84-$F84:$Q84)</f>
        <v/>
      </c>
      <c r="S84" s="76">
        <f>SUMPRODUCT($F$53:$Q$53,$F$55:$Q$55,$F84:$Q84)+0.5*SUMPRODUCT($F$53:$Q$53,$F$56:$Q$56,$E84:$P84-$F84:$Q84)</f>
        <v/>
      </c>
      <c r="T84" s="76">
        <f>(1-$F$50)*($D$51+R84)-$D$50*(($F$51+S84)-CDS_Parameters!$B$26)</f>
        <v/>
      </c>
    </row>
    <row r="85">
      <c r="B85" s="76">
        <f>IF(T84&lt;0,D84,B84)</f>
        <v/>
      </c>
      <c r="C85" s="76">
        <f>IF(T84&lt;0,C84,D84)</f>
        <v/>
      </c>
      <c r="D85" s="76">
        <f>(B85+C85)/2</f>
        <v/>
      </c>
      <c r="E85" s="76">
        <f>$B$51</f>
        <v/>
      </c>
      <c r="F85" s="76">
        <f>$B$51*EXP(-$D85*F$57)</f>
        <v/>
      </c>
      <c r="G85" s="76">
        <f>$B$51*EXP(-$D85*G$57)</f>
        <v/>
      </c>
      <c r="H85" s="76">
        <f>$B$51*EXP(-$D85*H$57)</f>
        <v/>
      </c>
      <c r="I85" s="76">
        <f>$B$51*EXP(-$D85*I$57)</f>
        <v/>
      </c>
      <c r="J85" s="76">
        <f>I85</f>
        <v/>
      </c>
      <c r="K85" s="76">
        <f>J85</f>
        <v/>
      </c>
      <c r="L85" s="76">
        <f>K85</f>
        <v/>
      </c>
      <c r="M85" s="76">
        <f>L85</f>
        <v/>
      </c>
      <c r="N85" s="76">
        <f>M85</f>
        <v/>
      </c>
      <c r="O85" s="76">
        <f>N85</f>
        <v/>
      </c>
      <c r="P85" s="76">
        <f>O85</f>
        <v/>
      </c>
      <c r="Q85" s="76">
        <f>P85</f>
        <v/>
      </c>
      <c r="R85" s="76">
        <f>SUMPRODUCT($F$56:$Q$56,$E85:$P85-$F85:$Q85)</f>
        <v/>
      </c>
      <c r="S85" s="76">
        <f>SUMPRODUCT($F$53:$Q$53,$F$55:$Q$55,$F85:$Q85)+0.5*SUMPRODUCT($F$53:$Q$53,$F$56:$Q$56,$E85:$P85-$F85:$Q85)</f>
        <v/>
      </c>
      <c r="T85" s="76">
        <f>(1-$F$50)*($D$51+R85)-$D$50*(($F$51+S85)-CDS_Parameters!$B$26)</f>
        <v/>
      </c>
    </row>
    <row r="86">
      <c r="B86" s="76">
        <f>IF(T85&lt;0,D85,B85)</f>
        <v/>
      </c>
      <c r="C86" s="76">
        <f>IF(T85&lt;0,C85,D85)</f>
        <v/>
      </c>
      <c r="D86" s="76">
        <f>(B86+C86)/2</f>
        <v/>
      </c>
      <c r="E86" s="76">
        <f>$B$51</f>
        <v/>
      </c>
      <c r="F86" s="76">
        <f>$B$51*EXP(-$D86*F$57)</f>
        <v/>
      </c>
      <c r="G86" s="76">
        <f>$B$51*EXP(-$D86*G$57)</f>
        <v/>
      </c>
      <c r="H86" s="76">
        <f>$B$51*EXP(-$D86*H$57)</f>
        <v/>
      </c>
      <c r="I86" s="76">
        <f>$B$51*EXP(-$D86*I$57)</f>
        <v/>
      </c>
      <c r="J86" s="76">
        <f>I86</f>
        <v/>
      </c>
      <c r="K86" s="76">
        <f>J86</f>
        <v/>
      </c>
      <c r="L86" s="76">
        <f>K86</f>
        <v/>
      </c>
      <c r="M86" s="76">
        <f>L86</f>
        <v/>
      </c>
      <c r="N86" s="76">
        <f>M86</f>
        <v/>
      </c>
      <c r="O86" s="76">
        <f>N86</f>
        <v/>
      </c>
      <c r="P86" s="76">
        <f>O86</f>
        <v/>
      </c>
      <c r="Q86" s="76">
        <f>P86</f>
        <v/>
      </c>
      <c r="R86" s="76">
        <f>SUMPRODUCT($F$56:$Q$56,$E86:$P86-$F86:$Q86)</f>
        <v/>
      </c>
      <c r="S86" s="76">
        <f>SUMPRODUCT($F$53:$Q$53,$F$55:$Q$55,$F86:$Q86)+0.5*SUMPRODUCT($F$53:$Q$53,$F$56:$Q$56,$E86:$P86-$F86:$Q86)</f>
        <v/>
      </c>
      <c r="T86" s="76">
        <f>(1-$F$50)*($D$51+R86)-$D$50*(($F$51+S86)-CDS_Parameters!$B$26)</f>
        <v/>
      </c>
    </row>
    <row r="87">
      <c r="B87" s="76">
        <f>IF(T86&lt;0,D86,B86)</f>
        <v/>
      </c>
      <c r="C87" s="76">
        <f>IF(T86&lt;0,C86,D86)</f>
        <v/>
      </c>
      <c r="D87" s="76">
        <f>(B87+C87)/2</f>
        <v/>
      </c>
      <c r="E87" s="76">
        <f>$B$51</f>
        <v/>
      </c>
      <c r="F87" s="76">
        <f>$B$51*EXP(-$D87*F$57)</f>
        <v/>
      </c>
      <c r="G87" s="76">
        <f>$B$51*EXP(-$D87*G$57)</f>
        <v/>
      </c>
      <c r="H87" s="76">
        <f>$B$51*EXP(-$D87*H$57)</f>
        <v/>
      </c>
      <c r="I87" s="76">
        <f>$B$51*EXP(-$D87*I$57)</f>
        <v/>
      </c>
      <c r="J87" s="76">
        <f>I87</f>
        <v/>
      </c>
      <c r="K87" s="76">
        <f>J87</f>
        <v/>
      </c>
      <c r="L87" s="76">
        <f>K87</f>
        <v/>
      </c>
      <c r="M87" s="76">
        <f>L87</f>
        <v/>
      </c>
      <c r="N87" s="76">
        <f>M87</f>
        <v/>
      </c>
      <c r="O87" s="76">
        <f>N87</f>
        <v/>
      </c>
      <c r="P87" s="76">
        <f>O87</f>
        <v/>
      </c>
      <c r="Q87" s="76">
        <f>P87</f>
        <v/>
      </c>
      <c r="R87" s="76">
        <f>SUMPRODUCT($F$56:$Q$56,$E87:$P87-$F87:$Q87)</f>
        <v/>
      </c>
      <c r="S87" s="76">
        <f>SUMPRODUCT($F$53:$Q$53,$F$55:$Q$55,$F87:$Q87)+0.5*SUMPRODUCT($F$53:$Q$53,$F$56:$Q$56,$E87:$P87-$F87:$Q87)</f>
        <v/>
      </c>
      <c r="T87" s="76">
        <f>(1-$F$50)*($D$51+R87)-$D$50*(($F$51+S87)-CDS_Parameters!$B$26)</f>
        <v/>
      </c>
    </row>
    <row r="88">
      <c r="B88" s="76">
        <f>IF(T87&lt;0,D87,B87)</f>
        <v/>
      </c>
      <c r="C88" s="76">
        <f>IF(T87&lt;0,C87,D87)</f>
        <v/>
      </c>
      <c r="D88" s="76">
        <f>(B88+C88)/2</f>
        <v/>
      </c>
      <c r="E88" s="76">
        <f>$B$51</f>
        <v/>
      </c>
      <c r="F88" s="76">
        <f>$B$51*EXP(-$D88*F$57)</f>
        <v/>
      </c>
      <c r="G88" s="76">
        <f>$B$51*EXP(-$D88*G$57)</f>
        <v/>
      </c>
      <c r="H88" s="76">
        <f>$B$51*EXP(-$D88*H$57)</f>
        <v/>
      </c>
      <c r="I88" s="76">
        <f>$B$51*EXP(-$D88*I$57)</f>
        <v/>
      </c>
      <c r="J88" s="76">
        <f>I88</f>
        <v/>
      </c>
      <c r="K88" s="76">
        <f>J88</f>
        <v/>
      </c>
      <c r="L88" s="76">
        <f>K88</f>
        <v/>
      </c>
      <c r="M88" s="76">
        <f>L88</f>
        <v/>
      </c>
      <c r="N88" s="76">
        <f>M88</f>
        <v/>
      </c>
      <c r="O88" s="76">
        <f>N88</f>
        <v/>
      </c>
      <c r="P88" s="76">
        <f>O88</f>
        <v/>
      </c>
      <c r="Q88" s="76">
        <f>P88</f>
        <v/>
      </c>
      <c r="R88" s="76">
        <f>SUMPRODUCT($F$56:$Q$56,$E88:$P88-$F88:$Q88)</f>
        <v/>
      </c>
      <c r="S88" s="76">
        <f>SUMPRODUCT($F$53:$Q$53,$F$55:$Q$55,$F88:$Q88)+0.5*SUMPRODUCT($F$53:$Q$53,$F$56:$Q$56,$E88:$P88-$F88:$Q88)</f>
        <v/>
      </c>
      <c r="T88" s="76">
        <f>(1-$F$50)*($D$51+R88)-$D$50*(($F$51+S88)-CDS_Parameters!$B$26)</f>
        <v/>
      </c>
    </row>
    <row r="89">
      <c r="A89" s="67" t="inlineStr">
        <is>
          <t>lambda2 SOLVED</t>
        </is>
      </c>
      <c r="B89" s="71">
        <f>D88</f>
        <v/>
      </c>
      <c r="C89" s="67" t="inlineStr">
        <is>
          <t>resid</t>
        </is>
      </c>
      <c r="D89" s="72">
        <f>T88</f>
        <v/>
      </c>
      <c r="E89" s="67" t="inlineStr">
        <is>
          <t>Q(T_k)</t>
        </is>
      </c>
      <c r="F89" s="76">
        <f>Q88</f>
        <v/>
      </c>
      <c r="G89" s="67" t="inlineStr">
        <is>
          <t>ProtCum</t>
        </is>
      </c>
      <c r="H89" s="76">
        <f>$D$51+R88</f>
        <v/>
      </c>
      <c r="I89" s="67" t="inlineStr">
        <is>
          <t>RPV01Cum</t>
        </is>
      </c>
      <c r="J89" s="76">
        <f>$F$51+S88</f>
        <v/>
      </c>
      <c r="K89" s="67" t="inlineStr">
        <is>
          <t>model S (bp)</t>
        </is>
      </c>
      <c r="L89" s="63">
        <f>IFERROR((1-$F$50)*H89/J89*10000,0)</f>
        <v/>
      </c>
    </row>
    <row r="92">
      <c r="A92" s="73" t="inlineStr">
        <is>
          <t>TENOR 3Y: periods 9-12   -   solve lambda3</t>
        </is>
      </c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</row>
    <row r="93">
      <c r="A93" s="67" t="inlineStr">
        <is>
          <t>market S (bp)</t>
        </is>
      </c>
      <c r="B93" s="75">
        <f>Hazard_Bootstrap!$C$9</f>
        <v/>
      </c>
      <c r="C93" s="67" t="inlineStr">
        <is>
          <t>S (dec)</t>
        </is>
      </c>
      <c r="D93" s="76">
        <f>B93/10000</f>
        <v/>
      </c>
      <c r="E93" s="67" t="inlineStr">
        <is>
          <t>recovery R</t>
        </is>
      </c>
      <c r="F93" s="77">
        <f>CDS_Parameters!$B$8</f>
        <v/>
      </c>
    </row>
    <row r="94">
      <c r="A94" s="67" t="inlineStr">
        <is>
          <t>Q(start)</t>
        </is>
      </c>
      <c r="B94" s="76">
        <f>$F$89</f>
        <v/>
      </c>
      <c r="C94" s="67" t="inlineStr">
        <is>
          <t>ProtFixed</t>
        </is>
      </c>
      <c r="D94" s="76">
        <f>$H$89</f>
        <v/>
      </c>
      <c r="E94" s="67" t="inlineStr">
        <is>
          <t>RPV01Fixed</t>
        </is>
      </c>
      <c r="F94" s="76">
        <f>$J$89</f>
        <v/>
      </c>
    </row>
    <row r="95">
      <c r="A95" s="67" t="inlineStr">
        <is>
          <t>period</t>
        </is>
      </c>
      <c r="F95" s="78" t="n">
        <v>9</v>
      </c>
      <c r="G95" s="78" t="n">
        <v>10</v>
      </c>
      <c r="H95" s="78" t="n">
        <v>11</v>
      </c>
      <c r="I95" s="78" t="n">
        <v>12</v>
      </c>
      <c r="J95" s="78" t="inlineStr"/>
      <c r="K95" s="78" t="inlineStr"/>
      <c r="L95" s="78" t="inlineStr"/>
      <c r="M95" s="78" t="inlineStr"/>
      <c r="N95" s="78" t="inlineStr"/>
      <c r="O95" s="78" t="inlineStr"/>
      <c r="P95" s="78" t="inlineStr"/>
      <c r="Q95" s="78" t="inlineStr"/>
    </row>
    <row r="96">
      <c r="A96" s="67" t="inlineStr">
        <is>
          <t>alpha 360</t>
        </is>
      </c>
      <c r="F96" s="79">
        <f>CDS_Schedule!$D$15</f>
        <v/>
      </c>
      <c r="G96" s="79">
        <f>CDS_Schedule!$D$16</f>
        <v/>
      </c>
      <c r="H96" s="79">
        <f>CDS_Schedule!$D$17</f>
        <v/>
      </c>
      <c r="I96" s="79">
        <f>CDS_Schedule!$D$18</f>
        <v/>
      </c>
      <c r="J96" s="80" t="n">
        <v>0</v>
      </c>
      <c r="K96" s="80" t="n">
        <v>0</v>
      </c>
      <c r="L96" s="80" t="n">
        <v>0</v>
      </c>
      <c r="M96" s="80" t="n">
        <v>0</v>
      </c>
      <c r="N96" s="80" t="n">
        <v>0</v>
      </c>
      <c r="O96" s="80" t="n">
        <v>0</v>
      </c>
      <c r="P96" s="80" t="n">
        <v>0</v>
      </c>
      <c r="Q96" s="80" t="n">
        <v>0</v>
      </c>
    </row>
    <row r="97">
      <c r="A97" s="67" t="inlineStr">
        <is>
          <t>dt 365</t>
        </is>
      </c>
      <c r="F97" s="79">
        <f>CDS_Schedule!$E$15</f>
        <v/>
      </c>
      <c r="G97" s="79">
        <f>CDS_Schedule!$E$16</f>
        <v/>
      </c>
      <c r="H97" s="79">
        <f>CDS_Schedule!$E$17</f>
        <v/>
      </c>
      <c r="I97" s="79">
        <f>CDS_Schedule!$E$18</f>
        <v/>
      </c>
      <c r="J97" s="80" t="n">
        <v>0</v>
      </c>
      <c r="K97" s="80" t="n">
        <v>0</v>
      </c>
      <c r="L97" s="80" t="n">
        <v>0</v>
      </c>
      <c r="M97" s="80" t="n">
        <v>0</v>
      </c>
      <c r="N97" s="80" t="n">
        <v>0</v>
      </c>
      <c r="O97" s="80" t="n">
        <v>0</v>
      </c>
      <c r="P97" s="80" t="n">
        <v>0</v>
      </c>
      <c r="Q97" s="80" t="n">
        <v>0</v>
      </c>
    </row>
    <row r="98">
      <c r="A98" s="67" t="inlineStr">
        <is>
          <t>DF(end)</t>
        </is>
      </c>
      <c r="F98" s="79">
        <f>CDS_Schedule!$G$15</f>
        <v/>
      </c>
      <c r="G98" s="79">
        <f>CDS_Schedule!$G$16</f>
        <v/>
      </c>
      <c r="H98" s="79">
        <f>CDS_Schedule!$G$17</f>
        <v/>
      </c>
      <c r="I98" s="79">
        <f>CDS_Schedule!$G$18</f>
        <v/>
      </c>
      <c r="J98" s="80" t="n">
        <v>0</v>
      </c>
      <c r="K98" s="80" t="n">
        <v>0</v>
      </c>
      <c r="L98" s="80" t="n">
        <v>0</v>
      </c>
      <c r="M98" s="80" t="n">
        <v>0</v>
      </c>
      <c r="N98" s="80" t="n">
        <v>0</v>
      </c>
      <c r="O98" s="80" t="n">
        <v>0</v>
      </c>
      <c r="P98" s="80" t="n">
        <v>0</v>
      </c>
      <c r="Q98" s="80" t="n">
        <v>0</v>
      </c>
    </row>
    <row r="99">
      <c r="A99" s="67" t="inlineStr">
        <is>
          <t>DF(mid)</t>
        </is>
      </c>
      <c r="F99" s="79">
        <f>CDS_Schedule!$H$15</f>
        <v/>
      </c>
      <c r="G99" s="79">
        <f>CDS_Schedule!$H$16</f>
        <v/>
      </c>
      <c r="H99" s="79">
        <f>CDS_Schedule!$H$17</f>
        <v/>
      </c>
      <c r="I99" s="79">
        <f>CDS_Schedule!$H$18</f>
        <v/>
      </c>
      <c r="J99" s="80" t="n">
        <v>0</v>
      </c>
      <c r="K99" s="80" t="n">
        <v>0</v>
      </c>
      <c r="L99" s="80" t="n">
        <v>0</v>
      </c>
      <c r="M99" s="80" t="n">
        <v>0</v>
      </c>
      <c r="N99" s="80" t="n">
        <v>0</v>
      </c>
      <c r="O99" s="80" t="n">
        <v>0</v>
      </c>
      <c r="P99" s="80" t="n">
        <v>0</v>
      </c>
      <c r="Q99" s="80" t="n">
        <v>0</v>
      </c>
    </row>
    <row r="100">
      <c r="A100" s="67" t="inlineStr">
        <is>
          <t>cum dt in seg</t>
        </is>
      </c>
      <c r="F100" s="80">
        <f>0+F97</f>
        <v/>
      </c>
      <c r="G100" s="80">
        <f>F100+G97</f>
        <v/>
      </c>
      <c r="H100" s="80">
        <f>G100+H97</f>
        <v/>
      </c>
      <c r="I100" s="80">
        <f>H100+I97</f>
        <v/>
      </c>
      <c r="J100" s="80">
        <f>I100+J97</f>
        <v/>
      </c>
      <c r="K100" s="80">
        <f>J100+K97</f>
        <v/>
      </c>
      <c r="L100" s="80">
        <f>K100+L97</f>
        <v/>
      </c>
      <c r="M100" s="80">
        <f>L100+M97</f>
        <v/>
      </c>
      <c r="N100" s="80">
        <f>M100+N97</f>
        <v/>
      </c>
      <c r="O100" s="80">
        <f>N100+O97</f>
        <v/>
      </c>
      <c r="P100" s="80">
        <f>O100+P97</f>
        <v/>
      </c>
      <c r="Q100" s="80">
        <f>P100+Q97</f>
        <v/>
      </c>
    </row>
    <row r="101">
      <c r="A101" s="67" t="inlineStr">
        <is>
          <t>bisection</t>
        </is>
      </c>
      <c r="B101" s="62" t="inlineStr">
        <is>
          <t>lo</t>
        </is>
      </c>
      <c r="C101" s="62" t="inlineStr">
        <is>
          <t>hi</t>
        </is>
      </c>
      <c r="D101" s="62" t="inlineStr">
        <is>
          <t>lambda trial</t>
        </is>
      </c>
      <c r="E101" s="62" t="inlineStr">
        <is>
          <t>Q(start)</t>
        </is>
      </c>
      <c r="R101" s="62" t="inlineStr">
        <is>
          <t>ProtSeg</t>
        </is>
      </c>
      <c r="S101" s="62" t="inlineStr">
        <is>
          <t>RPV01Seg</t>
        </is>
      </c>
      <c r="T101" s="62" t="inlineStr">
        <is>
          <t>f(lambda)</t>
        </is>
      </c>
    </row>
    <row r="102">
      <c r="B102" s="76" t="n">
        <v>0</v>
      </c>
      <c r="C102" s="76" t="n">
        <v>3</v>
      </c>
      <c r="D102" s="76">
        <f>(B102+C102)/2</f>
        <v/>
      </c>
      <c r="E102" s="76">
        <f>$B$94</f>
        <v/>
      </c>
      <c r="F102" s="76">
        <f>$B$94*EXP(-$D102*F$100)</f>
        <v/>
      </c>
      <c r="G102" s="76">
        <f>$B$94*EXP(-$D102*G$100)</f>
        <v/>
      </c>
      <c r="H102" s="76">
        <f>$B$94*EXP(-$D102*H$100)</f>
        <v/>
      </c>
      <c r="I102" s="76">
        <f>$B$94*EXP(-$D102*I$100)</f>
        <v/>
      </c>
      <c r="J102" s="76">
        <f>I102</f>
        <v/>
      </c>
      <c r="K102" s="76">
        <f>J102</f>
        <v/>
      </c>
      <c r="L102" s="76">
        <f>K102</f>
        <v/>
      </c>
      <c r="M102" s="76">
        <f>L102</f>
        <v/>
      </c>
      <c r="N102" s="76">
        <f>M102</f>
        <v/>
      </c>
      <c r="O102" s="76">
        <f>N102</f>
        <v/>
      </c>
      <c r="P102" s="76">
        <f>O102</f>
        <v/>
      </c>
      <c r="Q102" s="76">
        <f>P102</f>
        <v/>
      </c>
      <c r="R102" s="76">
        <f>SUMPRODUCT($F$99:$Q$99,$E102:$P102-$F102:$Q102)</f>
        <v/>
      </c>
      <c r="S102" s="76">
        <f>SUMPRODUCT($F$96:$Q$96,$F$98:$Q$98,$F102:$Q102)+0.5*SUMPRODUCT($F$96:$Q$96,$F$99:$Q$99,$E102:$P102-$F102:$Q102)</f>
        <v/>
      </c>
      <c r="T102" s="76">
        <f>(1-$F$93)*($D$94+R102)-$D$93*(($F$94+S102)-CDS_Parameters!$B$26)</f>
        <v/>
      </c>
    </row>
    <row r="103">
      <c r="B103" s="76">
        <f>IF(T102&lt;0,D102,B102)</f>
        <v/>
      </c>
      <c r="C103" s="76">
        <f>IF(T102&lt;0,C102,D102)</f>
        <v/>
      </c>
      <c r="D103" s="76">
        <f>(B103+C103)/2</f>
        <v/>
      </c>
      <c r="E103" s="76">
        <f>$B$94</f>
        <v/>
      </c>
      <c r="F103" s="76">
        <f>$B$94*EXP(-$D103*F$100)</f>
        <v/>
      </c>
      <c r="G103" s="76">
        <f>$B$94*EXP(-$D103*G$100)</f>
        <v/>
      </c>
      <c r="H103" s="76">
        <f>$B$94*EXP(-$D103*H$100)</f>
        <v/>
      </c>
      <c r="I103" s="76">
        <f>$B$94*EXP(-$D103*I$100)</f>
        <v/>
      </c>
      <c r="J103" s="76">
        <f>I103</f>
        <v/>
      </c>
      <c r="K103" s="76">
        <f>J103</f>
        <v/>
      </c>
      <c r="L103" s="76">
        <f>K103</f>
        <v/>
      </c>
      <c r="M103" s="76">
        <f>L103</f>
        <v/>
      </c>
      <c r="N103" s="76">
        <f>M103</f>
        <v/>
      </c>
      <c r="O103" s="76">
        <f>N103</f>
        <v/>
      </c>
      <c r="P103" s="76">
        <f>O103</f>
        <v/>
      </c>
      <c r="Q103" s="76">
        <f>P103</f>
        <v/>
      </c>
      <c r="R103" s="76">
        <f>SUMPRODUCT($F$99:$Q$99,$E103:$P103-$F103:$Q103)</f>
        <v/>
      </c>
      <c r="S103" s="76">
        <f>SUMPRODUCT($F$96:$Q$96,$F$98:$Q$98,$F103:$Q103)+0.5*SUMPRODUCT($F$96:$Q$96,$F$99:$Q$99,$E103:$P103-$F103:$Q103)</f>
        <v/>
      </c>
      <c r="T103" s="76">
        <f>(1-$F$93)*($D$94+R103)-$D$93*(($F$94+S103)-CDS_Parameters!$B$26)</f>
        <v/>
      </c>
    </row>
    <row r="104">
      <c r="B104" s="76">
        <f>IF(T103&lt;0,D103,B103)</f>
        <v/>
      </c>
      <c r="C104" s="76">
        <f>IF(T103&lt;0,C103,D103)</f>
        <v/>
      </c>
      <c r="D104" s="76">
        <f>(B104+C104)/2</f>
        <v/>
      </c>
      <c r="E104" s="76">
        <f>$B$94</f>
        <v/>
      </c>
      <c r="F104" s="76">
        <f>$B$94*EXP(-$D104*F$100)</f>
        <v/>
      </c>
      <c r="G104" s="76">
        <f>$B$94*EXP(-$D104*G$100)</f>
        <v/>
      </c>
      <c r="H104" s="76">
        <f>$B$94*EXP(-$D104*H$100)</f>
        <v/>
      </c>
      <c r="I104" s="76">
        <f>$B$94*EXP(-$D104*I$100)</f>
        <v/>
      </c>
      <c r="J104" s="76">
        <f>I104</f>
        <v/>
      </c>
      <c r="K104" s="76">
        <f>J104</f>
        <v/>
      </c>
      <c r="L104" s="76">
        <f>K104</f>
        <v/>
      </c>
      <c r="M104" s="76">
        <f>L104</f>
        <v/>
      </c>
      <c r="N104" s="76">
        <f>M104</f>
        <v/>
      </c>
      <c r="O104" s="76">
        <f>N104</f>
        <v/>
      </c>
      <c r="P104" s="76">
        <f>O104</f>
        <v/>
      </c>
      <c r="Q104" s="76">
        <f>P104</f>
        <v/>
      </c>
      <c r="R104" s="76">
        <f>SUMPRODUCT($F$99:$Q$99,$E104:$P104-$F104:$Q104)</f>
        <v/>
      </c>
      <c r="S104" s="76">
        <f>SUMPRODUCT($F$96:$Q$96,$F$98:$Q$98,$F104:$Q104)+0.5*SUMPRODUCT($F$96:$Q$96,$F$99:$Q$99,$E104:$P104-$F104:$Q104)</f>
        <v/>
      </c>
      <c r="T104" s="76">
        <f>(1-$F$93)*($D$94+R104)-$D$93*(($F$94+S104)-CDS_Parameters!$B$26)</f>
        <v/>
      </c>
    </row>
    <row r="105">
      <c r="B105" s="76">
        <f>IF(T104&lt;0,D104,B104)</f>
        <v/>
      </c>
      <c r="C105" s="76">
        <f>IF(T104&lt;0,C104,D104)</f>
        <v/>
      </c>
      <c r="D105" s="76">
        <f>(B105+C105)/2</f>
        <v/>
      </c>
      <c r="E105" s="76">
        <f>$B$94</f>
        <v/>
      </c>
      <c r="F105" s="76">
        <f>$B$94*EXP(-$D105*F$100)</f>
        <v/>
      </c>
      <c r="G105" s="76">
        <f>$B$94*EXP(-$D105*G$100)</f>
        <v/>
      </c>
      <c r="H105" s="76">
        <f>$B$94*EXP(-$D105*H$100)</f>
        <v/>
      </c>
      <c r="I105" s="76">
        <f>$B$94*EXP(-$D105*I$100)</f>
        <v/>
      </c>
      <c r="J105" s="76">
        <f>I105</f>
        <v/>
      </c>
      <c r="K105" s="76">
        <f>J105</f>
        <v/>
      </c>
      <c r="L105" s="76">
        <f>K105</f>
        <v/>
      </c>
      <c r="M105" s="76">
        <f>L105</f>
        <v/>
      </c>
      <c r="N105" s="76">
        <f>M105</f>
        <v/>
      </c>
      <c r="O105" s="76">
        <f>N105</f>
        <v/>
      </c>
      <c r="P105" s="76">
        <f>O105</f>
        <v/>
      </c>
      <c r="Q105" s="76">
        <f>P105</f>
        <v/>
      </c>
      <c r="R105" s="76">
        <f>SUMPRODUCT($F$99:$Q$99,$E105:$P105-$F105:$Q105)</f>
        <v/>
      </c>
      <c r="S105" s="76">
        <f>SUMPRODUCT($F$96:$Q$96,$F$98:$Q$98,$F105:$Q105)+0.5*SUMPRODUCT($F$96:$Q$96,$F$99:$Q$99,$E105:$P105-$F105:$Q105)</f>
        <v/>
      </c>
      <c r="T105" s="76">
        <f>(1-$F$93)*($D$94+R105)-$D$93*(($F$94+S105)-CDS_Parameters!$B$26)</f>
        <v/>
      </c>
    </row>
    <row r="106">
      <c r="B106" s="76">
        <f>IF(T105&lt;0,D105,B105)</f>
        <v/>
      </c>
      <c r="C106" s="76">
        <f>IF(T105&lt;0,C105,D105)</f>
        <v/>
      </c>
      <c r="D106" s="76">
        <f>(B106+C106)/2</f>
        <v/>
      </c>
      <c r="E106" s="76">
        <f>$B$94</f>
        <v/>
      </c>
      <c r="F106" s="76">
        <f>$B$94*EXP(-$D106*F$100)</f>
        <v/>
      </c>
      <c r="G106" s="76">
        <f>$B$94*EXP(-$D106*G$100)</f>
        <v/>
      </c>
      <c r="H106" s="76">
        <f>$B$94*EXP(-$D106*H$100)</f>
        <v/>
      </c>
      <c r="I106" s="76">
        <f>$B$94*EXP(-$D106*I$100)</f>
        <v/>
      </c>
      <c r="J106" s="76">
        <f>I106</f>
        <v/>
      </c>
      <c r="K106" s="76">
        <f>J106</f>
        <v/>
      </c>
      <c r="L106" s="76">
        <f>K106</f>
        <v/>
      </c>
      <c r="M106" s="76">
        <f>L106</f>
        <v/>
      </c>
      <c r="N106" s="76">
        <f>M106</f>
        <v/>
      </c>
      <c r="O106" s="76">
        <f>N106</f>
        <v/>
      </c>
      <c r="P106" s="76">
        <f>O106</f>
        <v/>
      </c>
      <c r="Q106" s="76">
        <f>P106</f>
        <v/>
      </c>
      <c r="R106" s="76">
        <f>SUMPRODUCT($F$99:$Q$99,$E106:$P106-$F106:$Q106)</f>
        <v/>
      </c>
      <c r="S106" s="76">
        <f>SUMPRODUCT($F$96:$Q$96,$F$98:$Q$98,$F106:$Q106)+0.5*SUMPRODUCT($F$96:$Q$96,$F$99:$Q$99,$E106:$P106-$F106:$Q106)</f>
        <v/>
      </c>
      <c r="T106" s="76">
        <f>(1-$F$93)*($D$94+R106)-$D$93*(($F$94+S106)-CDS_Parameters!$B$26)</f>
        <v/>
      </c>
    </row>
    <row r="107">
      <c r="B107" s="76">
        <f>IF(T106&lt;0,D106,B106)</f>
        <v/>
      </c>
      <c r="C107" s="76">
        <f>IF(T106&lt;0,C106,D106)</f>
        <v/>
      </c>
      <c r="D107" s="76">
        <f>(B107+C107)/2</f>
        <v/>
      </c>
      <c r="E107" s="76">
        <f>$B$94</f>
        <v/>
      </c>
      <c r="F107" s="76">
        <f>$B$94*EXP(-$D107*F$100)</f>
        <v/>
      </c>
      <c r="G107" s="76">
        <f>$B$94*EXP(-$D107*G$100)</f>
        <v/>
      </c>
      <c r="H107" s="76">
        <f>$B$94*EXP(-$D107*H$100)</f>
        <v/>
      </c>
      <c r="I107" s="76">
        <f>$B$94*EXP(-$D107*I$100)</f>
        <v/>
      </c>
      <c r="J107" s="76">
        <f>I107</f>
        <v/>
      </c>
      <c r="K107" s="76">
        <f>J107</f>
        <v/>
      </c>
      <c r="L107" s="76">
        <f>K107</f>
        <v/>
      </c>
      <c r="M107" s="76">
        <f>L107</f>
        <v/>
      </c>
      <c r="N107" s="76">
        <f>M107</f>
        <v/>
      </c>
      <c r="O107" s="76">
        <f>N107</f>
        <v/>
      </c>
      <c r="P107" s="76">
        <f>O107</f>
        <v/>
      </c>
      <c r="Q107" s="76">
        <f>P107</f>
        <v/>
      </c>
      <c r="R107" s="76">
        <f>SUMPRODUCT($F$99:$Q$99,$E107:$P107-$F107:$Q107)</f>
        <v/>
      </c>
      <c r="S107" s="76">
        <f>SUMPRODUCT($F$96:$Q$96,$F$98:$Q$98,$F107:$Q107)+0.5*SUMPRODUCT($F$96:$Q$96,$F$99:$Q$99,$E107:$P107-$F107:$Q107)</f>
        <v/>
      </c>
      <c r="T107" s="76">
        <f>(1-$F$93)*($D$94+R107)-$D$93*(($F$94+S107)-CDS_Parameters!$B$26)</f>
        <v/>
      </c>
    </row>
    <row r="108">
      <c r="B108" s="76">
        <f>IF(T107&lt;0,D107,B107)</f>
        <v/>
      </c>
      <c r="C108" s="76">
        <f>IF(T107&lt;0,C107,D107)</f>
        <v/>
      </c>
      <c r="D108" s="76">
        <f>(B108+C108)/2</f>
        <v/>
      </c>
      <c r="E108" s="76">
        <f>$B$94</f>
        <v/>
      </c>
      <c r="F108" s="76">
        <f>$B$94*EXP(-$D108*F$100)</f>
        <v/>
      </c>
      <c r="G108" s="76">
        <f>$B$94*EXP(-$D108*G$100)</f>
        <v/>
      </c>
      <c r="H108" s="76">
        <f>$B$94*EXP(-$D108*H$100)</f>
        <v/>
      </c>
      <c r="I108" s="76">
        <f>$B$94*EXP(-$D108*I$100)</f>
        <v/>
      </c>
      <c r="J108" s="76">
        <f>I108</f>
        <v/>
      </c>
      <c r="K108" s="76">
        <f>J108</f>
        <v/>
      </c>
      <c r="L108" s="76">
        <f>K108</f>
        <v/>
      </c>
      <c r="M108" s="76">
        <f>L108</f>
        <v/>
      </c>
      <c r="N108" s="76">
        <f>M108</f>
        <v/>
      </c>
      <c r="O108" s="76">
        <f>N108</f>
        <v/>
      </c>
      <c r="P108" s="76">
        <f>O108</f>
        <v/>
      </c>
      <c r="Q108" s="76">
        <f>P108</f>
        <v/>
      </c>
      <c r="R108" s="76">
        <f>SUMPRODUCT($F$99:$Q$99,$E108:$P108-$F108:$Q108)</f>
        <v/>
      </c>
      <c r="S108" s="76">
        <f>SUMPRODUCT($F$96:$Q$96,$F$98:$Q$98,$F108:$Q108)+0.5*SUMPRODUCT($F$96:$Q$96,$F$99:$Q$99,$E108:$P108-$F108:$Q108)</f>
        <v/>
      </c>
      <c r="T108" s="76">
        <f>(1-$F$93)*($D$94+R108)-$D$93*(($F$94+S108)-CDS_Parameters!$B$26)</f>
        <v/>
      </c>
    </row>
    <row r="109">
      <c r="B109" s="76">
        <f>IF(T108&lt;0,D108,B108)</f>
        <v/>
      </c>
      <c r="C109" s="76">
        <f>IF(T108&lt;0,C108,D108)</f>
        <v/>
      </c>
      <c r="D109" s="76">
        <f>(B109+C109)/2</f>
        <v/>
      </c>
      <c r="E109" s="76">
        <f>$B$94</f>
        <v/>
      </c>
      <c r="F109" s="76">
        <f>$B$94*EXP(-$D109*F$100)</f>
        <v/>
      </c>
      <c r="G109" s="76">
        <f>$B$94*EXP(-$D109*G$100)</f>
        <v/>
      </c>
      <c r="H109" s="76">
        <f>$B$94*EXP(-$D109*H$100)</f>
        <v/>
      </c>
      <c r="I109" s="76">
        <f>$B$94*EXP(-$D109*I$100)</f>
        <v/>
      </c>
      <c r="J109" s="76">
        <f>I109</f>
        <v/>
      </c>
      <c r="K109" s="76">
        <f>J109</f>
        <v/>
      </c>
      <c r="L109" s="76">
        <f>K109</f>
        <v/>
      </c>
      <c r="M109" s="76">
        <f>L109</f>
        <v/>
      </c>
      <c r="N109" s="76">
        <f>M109</f>
        <v/>
      </c>
      <c r="O109" s="76">
        <f>N109</f>
        <v/>
      </c>
      <c r="P109" s="76">
        <f>O109</f>
        <v/>
      </c>
      <c r="Q109" s="76">
        <f>P109</f>
        <v/>
      </c>
      <c r="R109" s="76">
        <f>SUMPRODUCT($F$99:$Q$99,$E109:$P109-$F109:$Q109)</f>
        <v/>
      </c>
      <c r="S109" s="76">
        <f>SUMPRODUCT($F$96:$Q$96,$F$98:$Q$98,$F109:$Q109)+0.5*SUMPRODUCT($F$96:$Q$96,$F$99:$Q$99,$E109:$P109-$F109:$Q109)</f>
        <v/>
      </c>
      <c r="T109" s="76">
        <f>(1-$F$93)*($D$94+R109)-$D$93*(($F$94+S109)-CDS_Parameters!$B$26)</f>
        <v/>
      </c>
    </row>
    <row r="110">
      <c r="B110" s="76">
        <f>IF(T109&lt;0,D109,B109)</f>
        <v/>
      </c>
      <c r="C110" s="76">
        <f>IF(T109&lt;0,C109,D109)</f>
        <v/>
      </c>
      <c r="D110" s="76">
        <f>(B110+C110)/2</f>
        <v/>
      </c>
      <c r="E110" s="76">
        <f>$B$94</f>
        <v/>
      </c>
      <c r="F110" s="76">
        <f>$B$94*EXP(-$D110*F$100)</f>
        <v/>
      </c>
      <c r="G110" s="76">
        <f>$B$94*EXP(-$D110*G$100)</f>
        <v/>
      </c>
      <c r="H110" s="76">
        <f>$B$94*EXP(-$D110*H$100)</f>
        <v/>
      </c>
      <c r="I110" s="76">
        <f>$B$94*EXP(-$D110*I$100)</f>
        <v/>
      </c>
      <c r="J110" s="76">
        <f>I110</f>
        <v/>
      </c>
      <c r="K110" s="76">
        <f>J110</f>
        <v/>
      </c>
      <c r="L110" s="76">
        <f>K110</f>
        <v/>
      </c>
      <c r="M110" s="76">
        <f>L110</f>
        <v/>
      </c>
      <c r="N110" s="76">
        <f>M110</f>
        <v/>
      </c>
      <c r="O110" s="76">
        <f>N110</f>
        <v/>
      </c>
      <c r="P110" s="76">
        <f>O110</f>
        <v/>
      </c>
      <c r="Q110" s="76">
        <f>P110</f>
        <v/>
      </c>
      <c r="R110" s="76">
        <f>SUMPRODUCT($F$99:$Q$99,$E110:$P110-$F110:$Q110)</f>
        <v/>
      </c>
      <c r="S110" s="76">
        <f>SUMPRODUCT($F$96:$Q$96,$F$98:$Q$98,$F110:$Q110)+0.5*SUMPRODUCT($F$96:$Q$96,$F$99:$Q$99,$E110:$P110-$F110:$Q110)</f>
        <v/>
      </c>
      <c r="T110" s="76">
        <f>(1-$F$93)*($D$94+R110)-$D$93*(($F$94+S110)-CDS_Parameters!$B$26)</f>
        <v/>
      </c>
    </row>
    <row r="111">
      <c r="B111" s="76">
        <f>IF(T110&lt;0,D110,B110)</f>
        <v/>
      </c>
      <c r="C111" s="76">
        <f>IF(T110&lt;0,C110,D110)</f>
        <v/>
      </c>
      <c r="D111" s="76">
        <f>(B111+C111)/2</f>
        <v/>
      </c>
      <c r="E111" s="76">
        <f>$B$94</f>
        <v/>
      </c>
      <c r="F111" s="76">
        <f>$B$94*EXP(-$D111*F$100)</f>
        <v/>
      </c>
      <c r="G111" s="76">
        <f>$B$94*EXP(-$D111*G$100)</f>
        <v/>
      </c>
      <c r="H111" s="76">
        <f>$B$94*EXP(-$D111*H$100)</f>
        <v/>
      </c>
      <c r="I111" s="76">
        <f>$B$94*EXP(-$D111*I$100)</f>
        <v/>
      </c>
      <c r="J111" s="76">
        <f>I111</f>
        <v/>
      </c>
      <c r="K111" s="76">
        <f>J111</f>
        <v/>
      </c>
      <c r="L111" s="76">
        <f>K111</f>
        <v/>
      </c>
      <c r="M111" s="76">
        <f>L111</f>
        <v/>
      </c>
      <c r="N111" s="76">
        <f>M111</f>
        <v/>
      </c>
      <c r="O111" s="76">
        <f>N111</f>
        <v/>
      </c>
      <c r="P111" s="76">
        <f>O111</f>
        <v/>
      </c>
      <c r="Q111" s="76">
        <f>P111</f>
        <v/>
      </c>
      <c r="R111" s="76">
        <f>SUMPRODUCT($F$99:$Q$99,$E111:$P111-$F111:$Q111)</f>
        <v/>
      </c>
      <c r="S111" s="76">
        <f>SUMPRODUCT($F$96:$Q$96,$F$98:$Q$98,$F111:$Q111)+0.5*SUMPRODUCT($F$96:$Q$96,$F$99:$Q$99,$E111:$P111-$F111:$Q111)</f>
        <v/>
      </c>
      <c r="T111" s="76">
        <f>(1-$F$93)*($D$94+R111)-$D$93*(($F$94+S111)-CDS_Parameters!$B$26)</f>
        <v/>
      </c>
    </row>
    <row r="112">
      <c r="B112" s="76">
        <f>IF(T111&lt;0,D111,B111)</f>
        <v/>
      </c>
      <c r="C112" s="76">
        <f>IF(T111&lt;0,C111,D111)</f>
        <v/>
      </c>
      <c r="D112" s="76">
        <f>(B112+C112)/2</f>
        <v/>
      </c>
      <c r="E112" s="76">
        <f>$B$94</f>
        <v/>
      </c>
      <c r="F112" s="76">
        <f>$B$94*EXP(-$D112*F$100)</f>
        <v/>
      </c>
      <c r="G112" s="76">
        <f>$B$94*EXP(-$D112*G$100)</f>
        <v/>
      </c>
      <c r="H112" s="76">
        <f>$B$94*EXP(-$D112*H$100)</f>
        <v/>
      </c>
      <c r="I112" s="76">
        <f>$B$94*EXP(-$D112*I$100)</f>
        <v/>
      </c>
      <c r="J112" s="76">
        <f>I112</f>
        <v/>
      </c>
      <c r="K112" s="76">
        <f>J112</f>
        <v/>
      </c>
      <c r="L112" s="76">
        <f>K112</f>
        <v/>
      </c>
      <c r="M112" s="76">
        <f>L112</f>
        <v/>
      </c>
      <c r="N112" s="76">
        <f>M112</f>
        <v/>
      </c>
      <c r="O112" s="76">
        <f>N112</f>
        <v/>
      </c>
      <c r="P112" s="76">
        <f>O112</f>
        <v/>
      </c>
      <c r="Q112" s="76">
        <f>P112</f>
        <v/>
      </c>
      <c r="R112" s="76">
        <f>SUMPRODUCT($F$99:$Q$99,$E112:$P112-$F112:$Q112)</f>
        <v/>
      </c>
      <c r="S112" s="76">
        <f>SUMPRODUCT($F$96:$Q$96,$F$98:$Q$98,$F112:$Q112)+0.5*SUMPRODUCT($F$96:$Q$96,$F$99:$Q$99,$E112:$P112-$F112:$Q112)</f>
        <v/>
      </c>
      <c r="T112" s="76">
        <f>(1-$F$93)*($D$94+R112)-$D$93*(($F$94+S112)-CDS_Parameters!$B$26)</f>
        <v/>
      </c>
    </row>
    <row r="113">
      <c r="B113" s="76">
        <f>IF(T112&lt;0,D112,B112)</f>
        <v/>
      </c>
      <c r="C113" s="76">
        <f>IF(T112&lt;0,C112,D112)</f>
        <v/>
      </c>
      <c r="D113" s="76">
        <f>(B113+C113)/2</f>
        <v/>
      </c>
      <c r="E113" s="76">
        <f>$B$94</f>
        <v/>
      </c>
      <c r="F113" s="76">
        <f>$B$94*EXP(-$D113*F$100)</f>
        <v/>
      </c>
      <c r="G113" s="76">
        <f>$B$94*EXP(-$D113*G$100)</f>
        <v/>
      </c>
      <c r="H113" s="76">
        <f>$B$94*EXP(-$D113*H$100)</f>
        <v/>
      </c>
      <c r="I113" s="76">
        <f>$B$94*EXP(-$D113*I$100)</f>
        <v/>
      </c>
      <c r="J113" s="76">
        <f>I113</f>
        <v/>
      </c>
      <c r="K113" s="76">
        <f>J113</f>
        <v/>
      </c>
      <c r="L113" s="76">
        <f>K113</f>
        <v/>
      </c>
      <c r="M113" s="76">
        <f>L113</f>
        <v/>
      </c>
      <c r="N113" s="76">
        <f>M113</f>
        <v/>
      </c>
      <c r="O113" s="76">
        <f>N113</f>
        <v/>
      </c>
      <c r="P113" s="76">
        <f>O113</f>
        <v/>
      </c>
      <c r="Q113" s="76">
        <f>P113</f>
        <v/>
      </c>
      <c r="R113" s="76">
        <f>SUMPRODUCT($F$99:$Q$99,$E113:$P113-$F113:$Q113)</f>
        <v/>
      </c>
      <c r="S113" s="76">
        <f>SUMPRODUCT($F$96:$Q$96,$F$98:$Q$98,$F113:$Q113)+0.5*SUMPRODUCT($F$96:$Q$96,$F$99:$Q$99,$E113:$P113-$F113:$Q113)</f>
        <v/>
      </c>
      <c r="T113" s="76">
        <f>(1-$F$93)*($D$94+R113)-$D$93*(($F$94+S113)-CDS_Parameters!$B$26)</f>
        <v/>
      </c>
    </row>
    <row r="114">
      <c r="B114" s="76">
        <f>IF(T113&lt;0,D113,B113)</f>
        <v/>
      </c>
      <c r="C114" s="76">
        <f>IF(T113&lt;0,C113,D113)</f>
        <v/>
      </c>
      <c r="D114" s="76">
        <f>(B114+C114)/2</f>
        <v/>
      </c>
      <c r="E114" s="76">
        <f>$B$94</f>
        <v/>
      </c>
      <c r="F114" s="76">
        <f>$B$94*EXP(-$D114*F$100)</f>
        <v/>
      </c>
      <c r="G114" s="76">
        <f>$B$94*EXP(-$D114*G$100)</f>
        <v/>
      </c>
      <c r="H114" s="76">
        <f>$B$94*EXP(-$D114*H$100)</f>
        <v/>
      </c>
      <c r="I114" s="76">
        <f>$B$94*EXP(-$D114*I$100)</f>
        <v/>
      </c>
      <c r="J114" s="76">
        <f>I114</f>
        <v/>
      </c>
      <c r="K114" s="76">
        <f>J114</f>
        <v/>
      </c>
      <c r="L114" s="76">
        <f>K114</f>
        <v/>
      </c>
      <c r="M114" s="76">
        <f>L114</f>
        <v/>
      </c>
      <c r="N114" s="76">
        <f>M114</f>
        <v/>
      </c>
      <c r="O114" s="76">
        <f>N114</f>
        <v/>
      </c>
      <c r="P114" s="76">
        <f>O114</f>
        <v/>
      </c>
      <c r="Q114" s="76">
        <f>P114</f>
        <v/>
      </c>
      <c r="R114" s="76">
        <f>SUMPRODUCT($F$99:$Q$99,$E114:$P114-$F114:$Q114)</f>
        <v/>
      </c>
      <c r="S114" s="76">
        <f>SUMPRODUCT($F$96:$Q$96,$F$98:$Q$98,$F114:$Q114)+0.5*SUMPRODUCT($F$96:$Q$96,$F$99:$Q$99,$E114:$P114-$F114:$Q114)</f>
        <v/>
      </c>
      <c r="T114" s="76">
        <f>(1-$F$93)*($D$94+R114)-$D$93*(($F$94+S114)-CDS_Parameters!$B$26)</f>
        <v/>
      </c>
    </row>
    <row r="115">
      <c r="B115" s="76">
        <f>IF(T114&lt;0,D114,B114)</f>
        <v/>
      </c>
      <c r="C115" s="76">
        <f>IF(T114&lt;0,C114,D114)</f>
        <v/>
      </c>
      <c r="D115" s="76">
        <f>(B115+C115)/2</f>
        <v/>
      </c>
      <c r="E115" s="76">
        <f>$B$94</f>
        <v/>
      </c>
      <c r="F115" s="76">
        <f>$B$94*EXP(-$D115*F$100)</f>
        <v/>
      </c>
      <c r="G115" s="76">
        <f>$B$94*EXP(-$D115*G$100)</f>
        <v/>
      </c>
      <c r="H115" s="76">
        <f>$B$94*EXP(-$D115*H$100)</f>
        <v/>
      </c>
      <c r="I115" s="76">
        <f>$B$94*EXP(-$D115*I$100)</f>
        <v/>
      </c>
      <c r="J115" s="76">
        <f>I115</f>
        <v/>
      </c>
      <c r="K115" s="76">
        <f>J115</f>
        <v/>
      </c>
      <c r="L115" s="76">
        <f>K115</f>
        <v/>
      </c>
      <c r="M115" s="76">
        <f>L115</f>
        <v/>
      </c>
      <c r="N115" s="76">
        <f>M115</f>
        <v/>
      </c>
      <c r="O115" s="76">
        <f>N115</f>
        <v/>
      </c>
      <c r="P115" s="76">
        <f>O115</f>
        <v/>
      </c>
      <c r="Q115" s="76">
        <f>P115</f>
        <v/>
      </c>
      <c r="R115" s="76">
        <f>SUMPRODUCT($F$99:$Q$99,$E115:$P115-$F115:$Q115)</f>
        <v/>
      </c>
      <c r="S115" s="76">
        <f>SUMPRODUCT($F$96:$Q$96,$F$98:$Q$98,$F115:$Q115)+0.5*SUMPRODUCT($F$96:$Q$96,$F$99:$Q$99,$E115:$P115-$F115:$Q115)</f>
        <v/>
      </c>
      <c r="T115" s="76">
        <f>(1-$F$93)*($D$94+R115)-$D$93*(($F$94+S115)-CDS_Parameters!$B$26)</f>
        <v/>
      </c>
    </row>
    <row r="116">
      <c r="B116" s="76">
        <f>IF(T115&lt;0,D115,B115)</f>
        <v/>
      </c>
      <c r="C116" s="76">
        <f>IF(T115&lt;0,C115,D115)</f>
        <v/>
      </c>
      <c r="D116" s="76">
        <f>(B116+C116)/2</f>
        <v/>
      </c>
      <c r="E116" s="76">
        <f>$B$94</f>
        <v/>
      </c>
      <c r="F116" s="76">
        <f>$B$94*EXP(-$D116*F$100)</f>
        <v/>
      </c>
      <c r="G116" s="76">
        <f>$B$94*EXP(-$D116*G$100)</f>
        <v/>
      </c>
      <c r="H116" s="76">
        <f>$B$94*EXP(-$D116*H$100)</f>
        <v/>
      </c>
      <c r="I116" s="76">
        <f>$B$94*EXP(-$D116*I$100)</f>
        <v/>
      </c>
      <c r="J116" s="76">
        <f>I116</f>
        <v/>
      </c>
      <c r="K116" s="76">
        <f>J116</f>
        <v/>
      </c>
      <c r="L116" s="76">
        <f>K116</f>
        <v/>
      </c>
      <c r="M116" s="76">
        <f>L116</f>
        <v/>
      </c>
      <c r="N116" s="76">
        <f>M116</f>
        <v/>
      </c>
      <c r="O116" s="76">
        <f>N116</f>
        <v/>
      </c>
      <c r="P116" s="76">
        <f>O116</f>
        <v/>
      </c>
      <c r="Q116" s="76">
        <f>P116</f>
        <v/>
      </c>
      <c r="R116" s="76">
        <f>SUMPRODUCT($F$99:$Q$99,$E116:$P116-$F116:$Q116)</f>
        <v/>
      </c>
      <c r="S116" s="76">
        <f>SUMPRODUCT($F$96:$Q$96,$F$98:$Q$98,$F116:$Q116)+0.5*SUMPRODUCT($F$96:$Q$96,$F$99:$Q$99,$E116:$P116-$F116:$Q116)</f>
        <v/>
      </c>
      <c r="T116" s="76">
        <f>(1-$F$93)*($D$94+R116)-$D$93*(($F$94+S116)-CDS_Parameters!$B$26)</f>
        <v/>
      </c>
    </row>
    <row r="117">
      <c r="B117" s="76">
        <f>IF(T116&lt;0,D116,B116)</f>
        <v/>
      </c>
      <c r="C117" s="76">
        <f>IF(T116&lt;0,C116,D116)</f>
        <v/>
      </c>
      <c r="D117" s="76">
        <f>(B117+C117)/2</f>
        <v/>
      </c>
      <c r="E117" s="76">
        <f>$B$94</f>
        <v/>
      </c>
      <c r="F117" s="76">
        <f>$B$94*EXP(-$D117*F$100)</f>
        <v/>
      </c>
      <c r="G117" s="76">
        <f>$B$94*EXP(-$D117*G$100)</f>
        <v/>
      </c>
      <c r="H117" s="76">
        <f>$B$94*EXP(-$D117*H$100)</f>
        <v/>
      </c>
      <c r="I117" s="76">
        <f>$B$94*EXP(-$D117*I$100)</f>
        <v/>
      </c>
      <c r="J117" s="76">
        <f>I117</f>
        <v/>
      </c>
      <c r="K117" s="76">
        <f>J117</f>
        <v/>
      </c>
      <c r="L117" s="76">
        <f>K117</f>
        <v/>
      </c>
      <c r="M117" s="76">
        <f>L117</f>
        <v/>
      </c>
      <c r="N117" s="76">
        <f>M117</f>
        <v/>
      </c>
      <c r="O117" s="76">
        <f>N117</f>
        <v/>
      </c>
      <c r="P117" s="76">
        <f>O117</f>
        <v/>
      </c>
      <c r="Q117" s="76">
        <f>P117</f>
        <v/>
      </c>
      <c r="R117" s="76">
        <f>SUMPRODUCT($F$99:$Q$99,$E117:$P117-$F117:$Q117)</f>
        <v/>
      </c>
      <c r="S117" s="76">
        <f>SUMPRODUCT($F$96:$Q$96,$F$98:$Q$98,$F117:$Q117)+0.5*SUMPRODUCT($F$96:$Q$96,$F$99:$Q$99,$E117:$P117-$F117:$Q117)</f>
        <v/>
      </c>
      <c r="T117" s="76">
        <f>(1-$F$93)*($D$94+R117)-$D$93*(($F$94+S117)-CDS_Parameters!$B$26)</f>
        <v/>
      </c>
    </row>
    <row r="118">
      <c r="B118" s="76">
        <f>IF(T117&lt;0,D117,B117)</f>
        <v/>
      </c>
      <c r="C118" s="76">
        <f>IF(T117&lt;0,C117,D117)</f>
        <v/>
      </c>
      <c r="D118" s="76">
        <f>(B118+C118)/2</f>
        <v/>
      </c>
      <c r="E118" s="76">
        <f>$B$94</f>
        <v/>
      </c>
      <c r="F118" s="76">
        <f>$B$94*EXP(-$D118*F$100)</f>
        <v/>
      </c>
      <c r="G118" s="76">
        <f>$B$94*EXP(-$D118*G$100)</f>
        <v/>
      </c>
      <c r="H118" s="76">
        <f>$B$94*EXP(-$D118*H$100)</f>
        <v/>
      </c>
      <c r="I118" s="76">
        <f>$B$94*EXP(-$D118*I$100)</f>
        <v/>
      </c>
      <c r="J118" s="76">
        <f>I118</f>
        <v/>
      </c>
      <c r="K118" s="76">
        <f>J118</f>
        <v/>
      </c>
      <c r="L118" s="76">
        <f>K118</f>
        <v/>
      </c>
      <c r="M118" s="76">
        <f>L118</f>
        <v/>
      </c>
      <c r="N118" s="76">
        <f>M118</f>
        <v/>
      </c>
      <c r="O118" s="76">
        <f>N118</f>
        <v/>
      </c>
      <c r="P118" s="76">
        <f>O118</f>
        <v/>
      </c>
      <c r="Q118" s="76">
        <f>P118</f>
        <v/>
      </c>
      <c r="R118" s="76">
        <f>SUMPRODUCT($F$99:$Q$99,$E118:$P118-$F118:$Q118)</f>
        <v/>
      </c>
      <c r="S118" s="76">
        <f>SUMPRODUCT($F$96:$Q$96,$F$98:$Q$98,$F118:$Q118)+0.5*SUMPRODUCT($F$96:$Q$96,$F$99:$Q$99,$E118:$P118-$F118:$Q118)</f>
        <v/>
      </c>
      <c r="T118" s="76">
        <f>(1-$F$93)*($D$94+R118)-$D$93*(($F$94+S118)-CDS_Parameters!$B$26)</f>
        <v/>
      </c>
    </row>
    <row r="119">
      <c r="B119" s="76">
        <f>IF(T118&lt;0,D118,B118)</f>
        <v/>
      </c>
      <c r="C119" s="76">
        <f>IF(T118&lt;0,C118,D118)</f>
        <v/>
      </c>
      <c r="D119" s="76">
        <f>(B119+C119)/2</f>
        <v/>
      </c>
      <c r="E119" s="76">
        <f>$B$94</f>
        <v/>
      </c>
      <c r="F119" s="76">
        <f>$B$94*EXP(-$D119*F$100)</f>
        <v/>
      </c>
      <c r="G119" s="76">
        <f>$B$94*EXP(-$D119*G$100)</f>
        <v/>
      </c>
      <c r="H119" s="76">
        <f>$B$94*EXP(-$D119*H$100)</f>
        <v/>
      </c>
      <c r="I119" s="76">
        <f>$B$94*EXP(-$D119*I$100)</f>
        <v/>
      </c>
      <c r="J119" s="76">
        <f>I119</f>
        <v/>
      </c>
      <c r="K119" s="76">
        <f>J119</f>
        <v/>
      </c>
      <c r="L119" s="76">
        <f>K119</f>
        <v/>
      </c>
      <c r="M119" s="76">
        <f>L119</f>
        <v/>
      </c>
      <c r="N119" s="76">
        <f>M119</f>
        <v/>
      </c>
      <c r="O119" s="76">
        <f>N119</f>
        <v/>
      </c>
      <c r="P119" s="76">
        <f>O119</f>
        <v/>
      </c>
      <c r="Q119" s="76">
        <f>P119</f>
        <v/>
      </c>
      <c r="R119" s="76">
        <f>SUMPRODUCT($F$99:$Q$99,$E119:$P119-$F119:$Q119)</f>
        <v/>
      </c>
      <c r="S119" s="76">
        <f>SUMPRODUCT($F$96:$Q$96,$F$98:$Q$98,$F119:$Q119)+0.5*SUMPRODUCT($F$96:$Q$96,$F$99:$Q$99,$E119:$P119-$F119:$Q119)</f>
        <v/>
      </c>
      <c r="T119" s="76">
        <f>(1-$F$93)*($D$94+R119)-$D$93*(($F$94+S119)-CDS_Parameters!$B$26)</f>
        <v/>
      </c>
    </row>
    <row r="120">
      <c r="B120" s="76">
        <f>IF(T119&lt;0,D119,B119)</f>
        <v/>
      </c>
      <c r="C120" s="76">
        <f>IF(T119&lt;0,C119,D119)</f>
        <v/>
      </c>
      <c r="D120" s="76">
        <f>(B120+C120)/2</f>
        <v/>
      </c>
      <c r="E120" s="76">
        <f>$B$94</f>
        <v/>
      </c>
      <c r="F120" s="76">
        <f>$B$94*EXP(-$D120*F$100)</f>
        <v/>
      </c>
      <c r="G120" s="76">
        <f>$B$94*EXP(-$D120*G$100)</f>
        <v/>
      </c>
      <c r="H120" s="76">
        <f>$B$94*EXP(-$D120*H$100)</f>
        <v/>
      </c>
      <c r="I120" s="76">
        <f>$B$94*EXP(-$D120*I$100)</f>
        <v/>
      </c>
      <c r="J120" s="76">
        <f>I120</f>
        <v/>
      </c>
      <c r="K120" s="76">
        <f>J120</f>
        <v/>
      </c>
      <c r="L120" s="76">
        <f>K120</f>
        <v/>
      </c>
      <c r="M120" s="76">
        <f>L120</f>
        <v/>
      </c>
      <c r="N120" s="76">
        <f>M120</f>
        <v/>
      </c>
      <c r="O120" s="76">
        <f>N120</f>
        <v/>
      </c>
      <c r="P120" s="76">
        <f>O120</f>
        <v/>
      </c>
      <c r="Q120" s="76">
        <f>P120</f>
        <v/>
      </c>
      <c r="R120" s="76">
        <f>SUMPRODUCT($F$99:$Q$99,$E120:$P120-$F120:$Q120)</f>
        <v/>
      </c>
      <c r="S120" s="76">
        <f>SUMPRODUCT($F$96:$Q$96,$F$98:$Q$98,$F120:$Q120)+0.5*SUMPRODUCT($F$96:$Q$96,$F$99:$Q$99,$E120:$P120-$F120:$Q120)</f>
        <v/>
      </c>
      <c r="T120" s="76">
        <f>(1-$F$93)*($D$94+R120)-$D$93*(($F$94+S120)-CDS_Parameters!$B$26)</f>
        <v/>
      </c>
    </row>
    <row r="121">
      <c r="B121" s="76">
        <f>IF(T120&lt;0,D120,B120)</f>
        <v/>
      </c>
      <c r="C121" s="76">
        <f>IF(T120&lt;0,C120,D120)</f>
        <v/>
      </c>
      <c r="D121" s="76">
        <f>(B121+C121)/2</f>
        <v/>
      </c>
      <c r="E121" s="76">
        <f>$B$94</f>
        <v/>
      </c>
      <c r="F121" s="76">
        <f>$B$94*EXP(-$D121*F$100)</f>
        <v/>
      </c>
      <c r="G121" s="76">
        <f>$B$94*EXP(-$D121*G$100)</f>
        <v/>
      </c>
      <c r="H121" s="76">
        <f>$B$94*EXP(-$D121*H$100)</f>
        <v/>
      </c>
      <c r="I121" s="76">
        <f>$B$94*EXP(-$D121*I$100)</f>
        <v/>
      </c>
      <c r="J121" s="76">
        <f>I121</f>
        <v/>
      </c>
      <c r="K121" s="76">
        <f>J121</f>
        <v/>
      </c>
      <c r="L121" s="76">
        <f>K121</f>
        <v/>
      </c>
      <c r="M121" s="76">
        <f>L121</f>
        <v/>
      </c>
      <c r="N121" s="76">
        <f>M121</f>
        <v/>
      </c>
      <c r="O121" s="76">
        <f>N121</f>
        <v/>
      </c>
      <c r="P121" s="76">
        <f>O121</f>
        <v/>
      </c>
      <c r="Q121" s="76">
        <f>P121</f>
        <v/>
      </c>
      <c r="R121" s="76">
        <f>SUMPRODUCT($F$99:$Q$99,$E121:$P121-$F121:$Q121)</f>
        <v/>
      </c>
      <c r="S121" s="76">
        <f>SUMPRODUCT($F$96:$Q$96,$F$98:$Q$98,$F121:$Q121)+0.5*SUMPRODUCT($F$96:$Q$96,$F$99:$Q$99,$E121:$P121-$F121:$Q121)</f>
        <v/>
      </c>
      <c r="T121" s="76">
        <f>(1-$F$93)*($D$94+R121)-$D$93*(($F$94+S121)-CDS_Parameters!$B$26)</f>
        <v/>
      </c>
    </row>
    <row r="122">
      <c r="B122" s="76">
        <f>IF(T121&lt;0,D121,B121)</f>
        <v/>
      </c>
      <c r="C122" s="76">
        <f>IF(T121&lt;0,C121,D121)</f>
        <v/>
      </c>
      <c r="D122" s="76">
        <f>(B122+C122)/2</f>
        <v/>
      </c>
      <c r="E122" s="76">
        <f>$B$94</f>
        <v/>
      </c>
      <c r="F122" s="76">
        <f>$B$94*EXP(-$D122*F$100)</f>
        <v/>
      </c>
      <c r="G122" s="76">
        <f>$B$94*EXP(-$D122*G$100)</f>
        <v/>
      </c>
      <c r="H122" s="76">
        <f>$B$94*EXP(-$D122*H$100)</f>
        <v/>
      </c>
      <c r="I122" s="76">
        <f>$B$94*EXP(-$D122*I$100)</f>
        <v/>
      </c>
      <c r="J122" s="76">
        <f>I122</f>
        <v/>
      </c>
      <c r="K122" s="76">
        <f>J122</f>
        <v/>
      </c>
      <c r="L122" s="76">
        <f>K122</f>
        <v/>
      </c>
      <c r="M122" s="76">
        <f>L122</f>
        <v/>
      </c>
      <c r="N122" s="76">
        <f>M122</f>
        <v/>
      </c>
      <c r="O122" s="76">
        <f>N122</f>
        <v/>
      </c>
      <c r="P122" s="76">
        <f>O122</f>
        <v/>
      </c>
      <c r="Q122" s="76">
        <f>P122</f>
        <v/>
      </c>
      <c r="R122" s="76">
        <f>SUMPRODUCT($F$99:$Q$99,$E122:$P122-$F122:$Q122)</f>
        <v/>
      </c>
      <c r="S122" s="76">
        <f>SUMPRODUCT($F$96:$Q$96,$F$98:$Q$98,$F122:$Q122)+0.5*SUMPRODUCT($F$96:$Q$96,$F$99:$Q$99,$E122:$P122-$F122:$Q122)</f>
        <v/>
      </c>
      <c r="T122" s="76">
        <f>(1-$F$93)*($D$94+R122)-$D$93*(($F$94+S122)-CDS_Parameters!$B$26)</f>
        <v/>
      </c>
    </row>
    <row r="123">
      <c r="B123" s="76">
        <f>IF(T122&lt;0,D122,B122)</f>
        <v/>
      </c>
      <c r="C123" s="76">
        <f>IF(T122&lt;0,C122,D122)</f>
        <v/>
      </c>
      <c r="D123" s="76">
        <f>(B123+C123)/2</f>
        <v/>
      </c>
      <c r="E123" s="76">
        <f>$B$94</f>
        <v/>
      </c>
      <c r="F123" s="76">
        <f>$B$94*EXP(-$D123*F$100)</f>
        <v/>
      </c>
      <c r="G123" s="76">
        <f>$B$94*EXP(-$D123*G$100)</f>
        <v/>
      </c>
      <c r="H123" s="76">
        <f>$B$94*EXP(-$D123*H$100)</f>
        <v/>
      </c>
      <c r="I123" s="76">
        <f>$B$94*EXP(-$D123*I$100)</f>
        <v/>
      </c>
      <c r="J123" s="76">
        <f>I123</f>
        <v/>
      </c>
      <c r="K123" s="76">
        <f>J123</f>
        <v/>
      </c>
      <c r="L123" s="76">
        <f>K123</f>
        <v/>
      </c>
      <c r="M123" s="76">
        <f>L123</f>
        <v/>
      </c>
      <c r="N123" s="76">
        <f>M123</f>
        <v/>
      </c>
      <c r="O123" s="76">
        <f>N123</f>
        <v/>
      </c>
      <c r="P123" s="76">
        <f>O123</f>
        <v/>
      </c>
      <c r="Q123" s="76">
        <f>P123</f>
        <v/>
      </c>
      <c r="R123" s="76">
        <f>SUMPRODUCT($F$99:$Q$99,$E123:$P123-$F123:$Q123)</f>
        <v/>
      </c>
      <c r="S123" s="76">
        <f>SUMPRODUCT($F$96:$Q$96,$F$98:$Q$98,$F123:$Q123)+0.5*SUMPRODUCT($F$96:$Q$96,$F$99:$Q$99,$E123:$P123-$F123:$Q123)</f>
        <v/>
      </c>
      <c r="T123" s="76">
        <f>(1-$F$93)*($D$94+R123)-$D$93*(($F$94+S123)-CDS_Parameters!$B$26)</f>
        <v/>
      </c>
    </row>
    <row r="124">
      <c r="B124" s="76">
        <f>IF(T123&lt;0,D123,B123)</f>
        <v/>
      </c>
      <c r="C124" s="76">
        <f>IF(T123&lt;0,C123,D123)</f>
        <v/>
      </c>
      <c r="D124" s="76">
        <f>(B124+C124)/2</f>
        <v/>
      </c>
      <c r="E124" s="76">
        <f>$B$94</f>
        <v/>
      </c>
      <c r="F124" s="76">
        <f>$B$94*EXP(-$D124*F$100)</f>
        <v/>
      </c>
      <c r="G124" s="76">
        <f>$B$94*EXP(-$D124*G$100)</f>
        <v/>
      </c>
      <c r="H124" s="76">
        <f>$B$94*EXP(-$D124*H$100)</f>
        <v/>
      </c>
      <c r="I124" s="76">
        <f>$B$94*EXP(-$D124*I$100)</f>
        <v/>
      </c>
      <c r="J124" s="76">
        <f>I124</f>
        <v/>
      </c>
      <c r="K124" s="76">
        <f>J124</f>
        <v/>
      </c>
      <c r="L124" s="76">
        <f>K124</f>
        <v/>
      </c>
      <c r="M124" s="76">
        <f>L124</f>
        <v/>
      </c>
      <c r="N124" s="76">
        <f>M124</f>
        <v/>
      </c>
      <c r="O124" s="76">
        <f>N124</f>
        <v/>
      </c>
      <c r="P124" s="76">
        <f>O124</f>
        <v/>
      </c>
      <c r="Q124" s="76">
        <f>P124</f>
        <v/>
      </c>
      <c r="R124" s="76">
        <f>SUMPRODUCT($F$99:$Q$99,$E124:$P124-$F124:$Q124)</f>
        <v/>
      </c>
      <c r="S124" s="76">
        <f>SUMPRODUCT($F$96:$Q$96,$F$98:$Q$98,$F124:$Q124)+0.5*SUMPRODUCT($F$96:$Q$96,$F$99:$Q$99,$E124:$P124-$F124:$Q124)</f>
        <v/>
      </c>
      <c r="T124" s="76">
        <f>(1-$F$93)*($D$94+R124)-$D$93*(($F$94+S124)-CDS_Parameters!$B$26)</f>
        <v/>
      </c>
    </row>
    <row r="125">
      <c r="B125" s="76">
        <f>IF(T124&lt;0,D124,B124)</f>
        <v/>
      </c>
      <c r="C125" s="76">
        <f>IF(T124&lt;0,C124,D124)</f>
        <v/>
      </c>
      <c r="D125" s="76">
        <f>(B125+C125)/2</f>
        <v/>
      </c>
      <c r="E125" s="76">
        <f>$B$94</f>
        <v/>
      </c>
      <c r="F125" s="76">
        <f>$B$94*EXP(-$D125*F$100)</f>
        <v/>
      </c>
      <c r="G125" s="76">
        <f>$B$94*EXP(-$D125*G$100)</f>
        <v/>
      </c>
      <c r="H125" s="76">
        <f>$B$94*EXP(-$D125*H$100)</f>
        <v/>
      </c>
      <c r="I125" s="76">
        <f>$B$94*EXP(-$D125*I$100)</f>
        <v/>
      </c>
      <c r="J125" s="76">
        <f>I125</f>
        <v/>
      </c>
      <c r="K125" s="76">
        <f>J125</f>
        <v/>
      </c>
      <c r="L125" s="76">
        <f>K125</f>
        <v/>
      </c>
      <c r="M125" s="76">
        <f>L125</f>
        <v/>
      </c>
      <c r="N125" s="76">
        <f>M125</f>
        <v/>
      </c>
      <c r="O125" s="76">
        <f>N125</f>
        <v/>
      </c>
      <c r="P125" s="76">
        <f>O125</f>
        <v/>
      </c>
      <c r="Q125" s="76">
        <f>P125</f>
        <v/>
      </c>
      <c r="R125" s="76">
        <f>SUMPRODUCT($F$99:$Q$99,$E125:$P125-$F125:$Q125)</f>
        <v/>
      </c>
      <c r="S125" s="76">
        <f>SUMPRODUCT($F$96:$Q$96,$F$98:$Q$98,$F125:$Q125)+0.5*SUMPRODUCT($F$96:$Q$96,$F$99:$Q$99,$E125:$P125-$F125:$Q125)</f>
        <v/>
      </c>
      <c r="T125" s="76">
        <f>(1-$F$93)*($D$94+R125)-$D$93*(($F$94+S125)-CDS_Parameters!$B$26)</f>
        <v/>
      </c>
    </row>
    <row r="126">
      <c r="B126" s="76">
        <f>IF(T125&lt;0,D125,B125)</f>
        <v/>
      </c>
      <c r="C126" s="76">
        <f>IF(T125&lt;0,C125,D125)</f>
        <v/>
      </c>
      <c r="D126" s="76">
        <f>(B126+C126)/2</f>
        <v/>
      </c>
      <c r="E126" s="76">
        <f>$B$94</f>
        <v/>
      </c>
      <c r="F126" s="76">
        <f>$B$94*EXP(-$D126*F$100)</f>
        <v/>
      </c>
      <c r="G126" s="76">
        <f>$B$94*EXP(-$D126*G$100)</f>
        <v/>
      </c>
      <c r="H126" s="76">
        <f>$B$94*EXP(-$D126*H$100)</f>
        <v/>
      </c>
      <c r="I126" s="76">
        <f>$B$94*EXP(-$D126*I$100)</f>
        <v/>
      </c>
      <c r="J126" s="76">
        <f>I126</f>
        <v/>
      </c>
      <c r="K126" s="76">
        <f>J126</f>
        <v/>
      </c>
      <c r="L126" s="76">
        <f>K126</f>
        <v/>
      </c>
      <c r="M126" s="76">
        <f>L126</f>
        <v/>
      </c>
      <c r="N126" s="76">
        <f>M126</f>
        <v/>
      </c>
      <c r="O126" s="76">
        <f>N126</f>
        <v/>
      </c>
      <c r="P126" s="76">
        <f>O126</f>
        <v/>
      </c>
      <c r="Q126" s="76">
        <f>P126</f>
        <v/>
      </c>
      <c r="R126" s="76">
        <f>SUMPRODUCT($F$99:$Q$99,$E126:$P126-$F126:$Q126)</f>
        <v/>
      </c>
      <c r="S126" s="76">
        <f>SUMPRODUCT($F$96:$Q$96,$F$98:$Q$98,$F126:$Q126)+0.5*SUMPRODUCT($F$96:$Q$96,$F$99:$Q$99,$E126:$P126-$F126:$Q126)</f>
        <v/>
      </c>
      <c r="T126" s="76">
        <f>(1-$F$93)*($D$94+R126)-$D$93*(($F$94+S126)-CDS_Parameters!$B$26)</f>
        <v/>
      </c>
    </row>
    <row r="127">
      <c r="B127" s="76">
        <f>IF(T126&lt;0,D126,B126)</f>
        <v/>
      </c>
      <c r="C127" s="76">
        <f>IF(T126&lt;0,C126,D126)</f>
        <v/>
      </c>
      <c r="D127" s="76">
        <f>(B127+C127)/2</f>
        <v/>
      </c>
      <c r="E127" s="76">
        <f>$B$94</f>
        <v/>
      </c>
      <c r="F127" s="76">
        <f>$B$94*EXP(-$D127*F$100)</f>
        <v/>
      </c>
      <c r="G127" s="76">
        <f>$B$94*EXP(-$D127*G$100)</f>
        <v/>
      </c>
      <c r="H127" s="76">
        <f>$B$94*EXP(-$D127*H$100)</f>
        <v/>
      </c>
      <c r="I127" s="76">
        <f>$B$94*EXP(-$D127*I$100)</f>
        <v/>
      </c>
      <c r="J127" s="76">
        <f>I127</f>
        <v/>
      </c>
      <c r="K127" s="76">
        <f>J127</f>
        <v/>
      </c>
      <c r="L127" s="76">
        <f>K127</f>
        <v/>
      </c>
      <c r="M127" s="76">
        <f>L127</f>
        <v/>
      </c>
      <c r="N127" s="76">
        <f>M127</f>
        <v/>
      </c>
      <c r="O127" s="76">
        <f>N127</f>
        <v/>
      </c>
      <c r="P127" s="76">
        <f>O127</f>
        <v/>
      </c>
      <c r="Q127" s="76">
        <f>P127</f>
        <v/>
      </c>
      <c r="R127" s="76">
        <f>SUMPRODUCT($F$99:$Q$99,$E127:$P127-$F127:$Q127)</f>
        <v/>
      </c>
      <c r="S127" s="76">
        <f>SUMPRODUCT($F$96:$Q$96,$F$98:$Q$98,$F127:$Q127)+0.5*SUMPRODUCT($F$96:$Q$96,$F$99:$Q$99,$E127:$P127-$F127:$Q127)</f>
        <v/>
      </c>
      <c r="T127" s="76">
        <f>(1-$F$93)*($D$94+R127)-$D$93*(($F$94+S127)-CDS_Parameters!$B$26)</f>
        <v/>
      </c>
    </row>
    <row r="128">
      <c r="B128" s="76">
        <f>IF(T127&lt;0,D127,B127)</f>
        <v/>
      </c>
      <c r="C128" s="76">
        <f>IF(T127&lt;0,C127,D127)</f>
        <v/>
      </c>
      <c r="D128" s="76">
        <f>(B128+C128)/2</f>
        <v/>
      </c>
      <c r="E128" s="76">
        <f>$B$94</f>
        <v/>
      </c>
      <c r="F128" s="76">
        <f>$B$94*EXP(-$D128*F$100)</f>
        <v/>
      </c>
      <c r="G128" s="76">
        <f>$B$94*EXP(-$D128*G$100)</f>
        <v/>
      </c>
      <c r="H128" s="76">
        <f>$B$94*EXP(-$D128*H$100)</f>
        <v/>
      </c>
      <c r="I128" s="76">
        <f>$B$94*EXP(-$D128*I$100)</f>
        <v/>
      </c>
      <c r="J128" s="76">
        <f>I128</f>
        <v/>
      </c>
      <c r="K128" s="76">
        <f>J128</f>
        <v/>
      </c>
      <c r="L128" s="76">
        <f>K128</f>
        <v/>
      </c>
      <c r="M128" s="76">
        <f>L128</f>
        <v/>
      </c>
      <c r="N128" s="76">
        <f>M128</f>
        <v/>
      </c>
      <c r="O128" s="76">
        <f>N128</f>
        <v/>
      </c>
      <c r="P128" s="76">
        <f>O128</f>
        <v/>
      </c>
      <c r="Q128" s="76">
        <f>P128</f>
        <v/>
      </c>
      <c r="R128" s="76">
        <f>SUMPRODUCT($F$99:$Q$99,$E128:$P128-$F128:$Q128)</f>
        <v/>
      </c>
      <c r="S128" s="76">
        <f>SUMPRODUCT($F$96:$Q$96,$F$98:$Q$98,$F128:$Q128)+0.5*SUMPRODUCT($F$96:$Q$96,$F$99:$Q$99,$E128:$P128-$F128:$Q128)</f>
        <v/>
      </c>
      <c r="T128" s="76">
        <f>(1-$F$93)*($D$94+R128)-$D$93*(($F$94+S128)-CDS_Parameters!$B$26)</f>
        <v/>
      </c>
    </row>
    <row r="129">
      <c r="B129" s="76">
        <f>IF(T128&lt;0,D128,B128)</f>
        <v/>
      </c>
      <c r="C129" s="76">
        <f>IF(T128&lt;0,C128,D128)</f>
        <v/>
      </c>
      <c r="D129" s="76">
        <f>(B129+C129)/2</f>
        <v/>
      </c>
      <c r="E129" s="76">
        <f>$B$94</f>
        <v/>
      </c>
      <c r="F129" s="76">
        <f>$B$94*EXP(-$D129*F$100)</f>
        <v/>
      </c>
      <c r="G129" s="76">
        <f>$B$94*EXP(-$D129*G$100)</f>
        <v/>
      </c>
      <c r="H129" s="76">
        <f>$B$94*EXP(-$D129*H$100)</f>
        <v/>
      </c>
      <c r="I129" s="76">
        <f>$B$94*EXP(-$D129*I$100)</f>
        <v/>
      </c>
      <c r="J129" s="76">
        <f>I129</f>
        <v/>
      </c>
      <c r="K129" s="76">
        <f>J129</f>
        <v/>
      </c>
      <c r="L129" s="76">
        <f>K129</f>
        <v/>
      </c>
      <c r="M129" s="76">
        <f>L129</f>
        <v/>
      </c>
      <c r="N129" s="76">
        <f>M129</f>
        <v/>
      </c>
      <c r="O129" s="76">
        <f>N129</f>
        <v/>
      </c>
      <c r="P129" s="76">
        <f>O129</f>
        <v/>
      </c>
      <c r="Q129" s="76">
        <f>P129</f>
        <v/>
      </c>
      <c r="R129" s="76">
        <f>SUMPRODUCT($F$99:$Q$99,$E129:$P129-$F129:$Q129)</f>
        <v/>
      </c>
      <c r="S129" s="76">
        <f>SUMPRODUCT($F$96:$Q$96,$F$98:$Q$98,$F129:$Q129)+0.5*SUMPRODUCT($F$96:$Q$96,$F$99:$Q$99,$E129:$P129-$F129:$Q129)</f>
        <v/>
      </c>
      <c r="T129" s="76">
        <f>(1-$F$93)*($D$94+R129)-$D$93*(($F$94+S129)-CDS_Parameters!$B$26)</f>
        <v/>
      </c>
    </row>
    <row r="130">
      <c r="B130" s="76">
        <f>IF(T129&lt;0,D129,B129)</f>
        <v/>
      </c>
      <c r="C130" s="76">
        <f>IF(T129&lt;0,C129,D129)</f>
        <v/>
      </c>
      <c r="D130" s="76">
        <f>(B130+C130)/2</f>
        <v/>
      </c>
      <c r="E130" s="76">
        <f>$B$94</f>
        <v/>
      </c>
      <c r="F130" s="76">
        <f>$B$94*EXP(-$D130*F$100)</f>
        <v/>
      </c>
      <c r="G130" s="76">
        <f>$B$94*EXP(-$D130*G$100)</f>
        <v/>
      </c>
      <c r="H130" s="76">
        <f>$B$94*EXP(-$D130*H$100)</f>
        <v/>
      </c>
      <c r="I130" s="76">
        <f>$B$94*EXP(-$D130*I$100)</f>
        <v/>
      </c>
      <c r="J130" s="76">
        <f>I130</f>
        <v/>
      </c>
      <c r="K130" s="76">
        <f>J130</f>
        <v/>
      </c>
      <c r="L130" s="76">
        <f>K130</f>
        <v/>
      </c>
      <c r="M130" s="76">
        <f>L130</f>
        <v/>
      </c>
      <c r="N130" s="76">
        <f>M130</f>
        <v/>
      </c>
      <c r="O130" s="76">
        <f>N130</f>
        <v/>
      </c>
      <c r="P130" s="76">
        <f>O130</f>
        <v/>
      </c>
      <c r="Q130" s="76">
        <f>P130</f>
        <v/>
      </c>
      <c r="R130" s="76">
        <f>SUMPRODUCT($F$99:$Q$99,$E130:$P130-$F130:$Q130)</f>
        <v/>
      </c>
      <c r="S130" s="76">
        <f>SUMPRODUCT($F$96:$Q$96,$F$98:$Q$98,$F130:$Q130)+0.5*SUMPRODUCT($F$96:$Q$96,$F$99:$Q$99,$E130:$P130-$F130:$Q130)</f>
        <v/>
      </c>
      <c r="T130" s="76">
        <f>(1-$F$93)*($D$94+R130)-$D$93*(($F$94+S130)-CDS_Parameters!$B$26)</f>
        <v/>
      </c>
    </row>
    <row r="131">
      <c r="B131" s="76">
        <f>IF(T130&lt;0,D130,B130)</f>
        <v/>
      </c>
      <c r="C131" s="76">
        <f>IF(T130&lt;0,C130,D130)</f>
        <v/>
      </c>
      <c r="D131" s="76">
        <f>(B131+C131)/2</f>
        <v/>
      </c>
      <c r="E131" s="76">
        <f>$B$94</f>
        <v/>
      </c>
      <c r="F131" s="76">
        <f>$B$94*EXP(-$D131*F$100)</f>
        <v/>
      </c>
      <c r="G131" s="76">
        <f>$B$94*EXP(-$D131*G$100)</f>
        <v/>
      </c>
      <c r="H131" s="76">
        <f>$B$94*EXP(-$D131*H$100)</f>
        <v/>
      </c>
      <c r="I131" s="76">
        <f>$B$94*EXP(-$D131*I$100)</f>
        <v/>
      </c>
      <c r="J131" s="76">
        <f>I131</f>
        <v/>
      </c>
      <c r="K131" s="76">
        <f>J131</f>
        <v/>
      </c>
      <c r="L131" s="76">
        <f>K131</f>
        <v/>
      </c>
      <c r="M131" s="76">
        <f>L131</f>
        <v/>
      </c>
      <c r="N131" s="76">
        <f>M131</f>
        <v/>
      </c>
      <c r="O131" s="76">
        <f>N131</f>
        <v/>
      </c>
      <c r="P131" s="76">
        <f>O131</f>
        <v/>
      </c>
      <c r="Q131" s="76">
        <f>P131</f>
        <v/>
      </c>
      <c r="R131" s="76">
        <f>SUMPRODUCT($F$99:$Q$99,$E131:$P131-$F131:$Q131)</f>
        <v/>
      </c>
      <c r="S131" s="76">
        <f>SUMPRODUCT($F$96:$Q$96,$F$98:$Q$98,$F131:$Q131)+0.5*SUMPRODUCT($F$96:$Q$96,$F$99:$Q$99,$E131:$P131-$F131:$Q131)</f>
        <v/>
      </c>
      <c r="T131" s="76">
        <f>(1-$F$93)*($D$94+R131)-$D$93*(($F$94+S131)-CDS_Parameters!$B$26)</f>
        <v/>
      </c>
    </row>
    <row r="132">
      <c r="A132" s="67" t="inlineStr">
        <is>
          <t>lambda3 SOLVED</t>
        </is>
      </c>
      <c r="B132" s="71">
        <f>D131</f>
        <v/>
      </c>
      <c r="C132" s="67" t="inlineStr">
        <is>
          <t>resid</t>
        </is>
      </c>
      <c r="D132" s="72">
        <f>T131</f>
        <v/>
      </c>
      <c r="E132" s="67" t="inlineStr">
        <is>
          <t>Q(T_k)</t>
        </is>
      </c>
      <c r="F132" s="76">
        <f>Q131</f>
        <v/>
      </c>
      <c r="G132" s="67" t="inlineStr">
        <is>
          <t>ProtCum</t>
        </is>
      </c>
      <c r="H132" s="76">
        <f>$D$94+R131</f>
        <v/>
      </c>
      <c r="I132" s="67" t="inlineStr">
        <is>
          <t>RPV01Cum</t>
        </is>
      </c>
      <c r="J132" s="76">
        <f>$F$94+S131</f>
        <v/>
      </c>
      <c r="K132" s="67" t="inlineStr">
        <is>
          <t>model S (bp)</t>
        </is>
      </c>
      <c r="L132" s="63">
        <f>IFERROR((1-$F$93)*H132/J132*10000,0)</f>
        <v/>
      </c>
    </row>
    <row r="135">
      <c r="A135" s="73" t="inlineStr">
        <is>
          <t>TENOR 5Y: periods 13-20   -   solve lambda4</t>
        </is>
      </c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</row>
    <row r="136">
      <c r="A136" s="67" t="inlineStr">
        <is>
          <t>market S (bp)</t>
        </is>
      </c>
      <c r="B136" s="75">
        <f>Hazard_Bootstrap!$C$10</f>
        <v/>
      </c>
      <c r="C136" s="67" t="inlineStr">
        <is>
          <t>S (dec)</t>
        </is>
      </c>
      <c r="D136" s="76">
        <f>B136/10000</f>
        <v/>
      </c>
      <c r="E136" s="67" t="inlineStr">
        <is>
          <t>recovery R</t>
        </is>
      </c>
      <c r="F136" s="77">
        <f>CDS_Parameters!$B$8</f>
        <v/>
      </c>
    </row>
    <row r="137">
      <c r="A137" s="67" t="inlineStr">
        <is>
          <t>Q(start)</t>
        </is>
      </c>
      <c r="B137" s="76">
        <f>$F$132</f>
        <v/>
      </c>
      <c r="C137" s="67" t="inlineStr">
        <is>
          <t>ProtFixed</t>
        </is>
      </c>
      <c r="D137" s="76">
        <f>$H$132</f>
        <v/>
      </c>
      <c r="E137" s="67" t="inlineStr">
        <is>
          <t>RPV01Fixed</t>
        </is>
      </c>
      <c r="F137" s="76">
        <f>$J$132</f>
        <v/>
      </c>
    </row>
    <row r="138">
      <c r="A138" s="67" t="inlineStr">
        <is>
          <t>period</t>
        </is>
      </c>
      <c r="F138" s="78" t="n">
        <v>13</v>
      </c>
      <c r="G138" s="78" t="n">
        <v>14</v>
      </c>
      <c r="H138" s="78" t="n">
        <v>15</v>
      </c>
      <c r="I138" s="78" t="n">
        <v>16</v>
      </c>
      <c r="J138" s="78" t="n">
        <v>17</v>
      </c>
      <c r="K138" s="78" t="n">
        <v>18</v>
      </c>
      <c r="L138" s="78" t="n">
        <v>19</v>
      </c>
      <c r="M138" s="78" t="n">
        <v>20</v>
      </c>
      <c r="N138" s="78" t="inlineStr"/>
      <c r="O138" s="78" t="inlineStr"/>
      <c r="P138" s="78" t="inlineStr"/>
      <c r="Q138" s="78" t="inlineStr"/>
    </row>
    <row r="139">
      <c r="A139" s="67" t="inlineStr">
        <is>
          <t>alpha 360</t>
        </is>
      </c>
      <c r="F139" s="79">
        <f>CDS_Schedule!$D$19</f>
        <v/>
      </c>
      <c r="G139" s="79">
        <f>CDS_Schedule!$D$20</f>
        <v/>
      </c>
      <c r="H139" s="79">
        <f>CDS_Schedule!$D$21</f>
        <v/>
      </c>
      <c r="I139" s="79">
        <f>CDS_Schedule!$D$22</f>
        <v/>
      </c>
      <c r="J139" s="79">
        <f>CDS_Schedule!$D$23</f>
        <v/>
      </c>
      <c r="K139" s="79">
        <f>CDS_Schedule!$D$24</f>
        <v/>
      </c>
      <c r="L139" s="79">
        <f>CDS_Schedule!$D$25</f>
        <v/>
      </c>
      <c r="M139" s="79">
        <f>CDS_Schedule!$D$26</f>
        <v/>
      </c>
      <c r="N139" s="80" t="n">
        <v>0</v>
      </c>
      <c r="O139" s="80" t="n">
        <v>0</v>
      </c>
      <c r="P139" s="80" t="n">
        <v>0</v>
      </c>
      <c r="Q139" s="80" t="n">
        <v>0</v>
      </c>
    </row>
    <row r="140">
      <c r="A140" s="67" t="inlineStr">
        <is>
          <t>dt 365</t>
        </is>
      </c>
      <c r="F140" s="79">
        <f>CDS_Schedule!$E$19</f>
        <v/>
      </c>
      <c r="G140" s="79">
        <f>CDS_Schedule!$E$20</f>
        <v/>
      </c>
      <c r="H140" s="79">
        <f>CDS_Schedule!$E$21</f>
        <v/>
      </c>
      <c r="I140" s="79">
        <f>CDS_Schedule!$E$22</f>
        <v/>
      </c>
      <c r="J140" s="79">
        <f>CDS_Schedule!$E$23</f>
        <v/>
      </c>
      <c r="K140" s="79">
        <f>CDS_Schedule!$E$24</f>
        <v/>
      </c>
      <c r="L140" s="79">
        <f>CDS_Schedule!$E$25</f>
        <v/>
      </c>
      <c r="M140" s="79">
        <f>CDS_Schedule!$E$26</f>
        <v/>
      </c>
      <c r="N140" s="80" t="n">
        <v>0</v>
      </c>
      <c r="O140" s="80" t="n">
        <v>0</v>
      </c>
      <c r="P140" s="80" t="n">
        <v>0</v>
      </c>
      <c r="Q140" s="80" t="n">
        <v>0</v>
      </c>
    </row>
    <row r="141">
      <c r="A141" s="67" t="inlineStr">
        <is>
          <t>DF(end)</t>
        </is>
      </c>
      <c r="F141" s="79">
        <f>CDS_Schedule!$G$19</f>
        <v/>
      </c>
      <c r="G141" s="79">
        <f>CDS_Schedule!$G$20</f>
        <v/>
      </c>
      <c r="H141" s="79">
        <f>CDS_Schedule!$G$21</f>
        <v/>
      </c>
      <c r="I141" s="79">
        <f>CDS_Schedule!$G$22</f>
        <v/>
      </c>
      <c r="J141" s="79">
        <f>CDS_Schedule!$G$23</f>
        <v/>
      </c>
      <c r="K141" s="79">
        <f>CDS_Schedule!$G$24</f>
        <v/>
      </c>
      <c r="L141" s="79">
        <f>CDS_Schedule!$G$25</f>
        <v/>
      </c>
      <c r="M141" s="79">
        <f>CDS_Schedule!$G$26</f>
        <v/>
      </c>
      <c r="N141" s="80" t="n">
        <v>0</v>
      </c>
      <c r="O141" s="80" t="n">
        <v>0</v>
      </c>
      <c r="P141" s="80" t="n">
        <v>0</v>
      </c>
      <c r="Q141" s="80" t="n">
        <v>0</v>
      </c>
    </row>
    <row r="142">
      <c r="A142" s="67" t="inlineStr">
        <is>
          <t>DF(mid)</t>
        </is>
      </c>
      <c r="F142" s="79">
        <f>CDS_Schedule!$H$19</f>
        <v/>
      </c>
      <c r="G142" s="79">
        <f>CDS_Schedule!$H$20</f>
        <v/>
      </c>
      <c r="H142" s="79">
        <f>CDS_Schedule!$H$21</f>
        <v/>
      </c>
      <c r="I142" s="79">
        <f>CDS_Schedule!$H$22</f>
        <v/>
      </c>
      <c r="J142" s="79">
        <f>CDS_Schedule!$H$23</f>
        <v/>
      </c>
      <c r="K142" s="79">
        <f>CDS_Schedule!$H$24</f>
        <v/>
      </c>
      <c r="L142" s="79">
        <f>CDS_Schedule!$H$25</f>
        <v/>
      </c>
      <c r="M142" s="79">
        <f>CDS_Schedule!$H$26</f>
        <v/>
      </c>
      <c r="N142" s="80" t="n">
        <v>0</v>
      </c>
      <c r="O142" s="80" t="n">
        <v>0</v>
      </c>
      <c r="P142" s="80" t="n">
        <v>0</v>
      </c>
      <c r="Q142" s="80" t="n">
        <v>0</v>
      </c>
    </row>
    <row r="143">
      <c r="A143" s="67" t="inlineStr">
        <is>
          <t>cum dt in seg</t>
        </is>
      </c>
      <c r="F143" s="80">
        <f>0+F140</f>
        <v/>
      </c>
      <c r="G143" s="80">
        <f>F143+G140</f>
        <v/>
      </c>
      <c r="H143" s="80">
        <f>G143+H140</f>
        <v/>
      </c>
      <c r="I143" s="80">
        <f>H143+I140</f>
        <v/>
      </c>
      <c r="J143" s="80">
        <f>I143+J140</f>
        <v/>
      </c>
      <c r="K143" s="80">
        <f>J143+K140</f>
        <v/>
      </c>
      <c r="L143" s="80">
        <f>K143+L140</f>
        <v/>
      </c>
      <c r="M143" s="80">
        <f>L143+M140</f>
        <v/>
      </c>
      <c r="N143" s="80">
        <f>M143+N140</f>
        <v/>
      </c>
      <c r="O143" s="80">
        <f>N143+O140</f>
        <v/>
      </c>
      <c r="P143" s="80">
        <f>O143+P140</f>
        <v/>
      </c>
      <c r="Q143" s="80">
        <f>P143+Q140</f>
        <v/>
      </c>
    </row>
    <row r="144">
      <c r="A144" s="67" t="inlineStr">
        <is>
          <t>bisection</t>
        </is>
      </c>
      <c r="B144" s="62" t="inlineStr">
        <is>
          <t>lo</t>
        </is>
      </c>
      <c r="C144" s="62" t="inlineStr">
        <is>
          <t>hi</t>
        </is>
      </c>
      <c r="D144" s="62" t="inlineStr">
        <is>
          <t>lambda trial</t>
        </is>
      </c>
      <c r="E144" s="62" t="inlineStr">
        <is>
          <t>Q(start)</t>
        </is>
      </c>
      <c r="R144" s="62" t="inlineStr">
        <is>
          <t>ProtSeg</t>
        </is>
      </c>
      <c r="S144" s="62" t="inlineStr">
        <is>
          <t>RPV01Seg</t>
        </is>
      </c>
      <c r="T144" s="62" t="inlineStr">
        <is>
          <t>f(lambda)</t>
        </is>
      </c>
    </row>
    <row r="145">
      <c r="B145" s="76" t="n">
        <v>0</v>
      </c>
      <c r="C145" s="76" t="n">
        <v>3</v>
      </c>
      <c r="D145" s="76">
        <f>(B145+C145)/2</f>
        <v/>
      </c>
      <c r="E145" s="76">
        <f>$B$137</f>
        <v/>
      </c>
      <c r="F145" s="76">
        <f>$B$137*EXP(-$D145*F$143)</f>
        <v/>
      </c>
      <c r="G145" s="76">
        <f>$B$137*EXP(-$D145*G$143)</f>
        <v/>
      </c>
      <c r="H145" s="76">
        <f>$B$137*EXP(-$D145*H$143)</f>
        <v/>
      </c>
      <c r="I145" s="76">
        <f>$B$137*EXP(-$D145*I$143)</f>
        <v/>
      </c>
      <c r="J145" s="76">
        <f>$B$137*EXP(-$D145*J$143)</f>
        <v/>
      </c>
      <c r="K145" s="76">
        <f>$B$137*EXP(-$D145*K$143)</f>
        <v/>
      </c>
      <c r="L145" s="76">
        <f>$B$137*EXP(-$D145*L$143)</f>
        <v/>
      </c>
      <c r="M145" s="76">
        <f>$B$137*EXP(-$D145*M$143)</f>
        <v/>
      </c>
      <c r="N145" s="76">
        <f>M145</f>
        <v/>
      </c>
      <c r="O145" s="76">
        <f>N145</f>
        <v/>
      </c>
      <c r="P145" s="76">
        <f>O145</f>
        <v/>
      </c>
      <c r="Q145" s="76">
        <f>P145</f>
        <v/>
      </c>
      <c r="R145" s="76">
        <f>SUMPRODUCT($F$142:$Q$142,$E145:$P145-$F145:$Q145)</f>
        <v/>
      </c>
      <c r="S145" s="76">
        <f>SUMPRODUCT($F$139:$Q$139,$F$141:$Q$141,$F145:$Q145)+0.5*SUMPRODUCT($F$139:$Q$139,$F$142:$Q$142,$E145:$P145-$F145:$Q145)</f>
        <v/>
      </c>
      <c r="T145" s="76">
        <f>(1-$F$136)*($D$137+R145)-$D$136*(($F$137+S145)-CDS_Parameters!$B$26)</f>
        <v/>
      </c>
    </row>
    <row r="146">
      <c r="B146" s="76">
        <f>IF(T145&lt;0,D145,B145)</f>
        <v/>
      </c>
      <c r="C146" s="76">
        <f>IF(T145&lt;0,C145,D145)</f>
        <v/>
      </c>
      <c r="D146" s="76">
        <f>(B146+C146)/2</f>
        <v/>
      </c>
      <c r="E146" s="76">
        <f>$B$137</f>
        <v/>
      </c>
      <c r="F146" s="76">
        <f>$B$137*EXP(-$D146*F$143)</f>
        <v/>
      </c>
      <c r="G146" s="76">
        <f>$B$137*EXP(-$D146*G$143)</f>
        <v/>
      </c>
      <c r="H146" s="76">
        <f>$B$137*EXP(-$D146*H$143)</f>
        <v/>
      </c>
      <c r="I146" s="76">
        <f>$B$137*EXP(-$D146*I$143)</f>
        <v/>
      </c>
      <c r="J146" s="76">
        <f>$B$137*EXP(-$D146*J$143)</f>
        <v/>
      </c>
      <c r="K146" s="76">
        <f>$B$137*EXP(-$D146*K$143)</f>
        <v/>
      </c>
      <c r="L146" s="76">
        <f>$B$137*EXP(-$D146*L$143)</f>
        <v/>
      </c>
      <c r="M146" s="76">
        <f>$B$137*EXP(-$D146*M$143)</f>
        <v/>
      </c>
      <c r="N146" s="76">
        <f>M146</f>
        <v/>
      </c>
      <c r="O146" s="76">
        <f>N146</f>
        <v/>
      </c>
      <c r="P146" s="76">
        <f>O146</f>
        <v/>
      </c>
      <c r="Q146" s="76">
        <f>P146</f>
        <v/>
      </c>
      <c r="R146" s="76">
        <f>SUMPRODUCT($F$142:$Q$142,$E146:$P146-$F146:$Q146)</f>
        <v/>
      </c>
      <c r="S146" s="76">
        <f>SUMPRODUCT($F$139:$Q$139,$F$141:$Q$141,$F146:$Q146)+0.5*SUMPRODUCT($F$139:$Q$139,$F$142:$Q$142,$E146:$P146-$F146:$Q146)</f>
        <v/>
      </c>
      <c r="T146" s="76">
        <f>(1-$F$136)*($D$137+R146)-$D$136*(($F$137+S146)-CDS_Parameters!$B$26)</f>
        <v/>
      </c>
    </row>
    <row r="147">
      <c r="B147" s="76">
        <f>IF(T146&lt;0,D146,B146)</f>
        <v/>
      </c>
      <c r="C147" s="76">
        <f>IF(T146&lt;0,C146,D146)</f>
        <v/>
      </c>
      <c r="D147" s="76">
        <f>(B147+C147)/2</f>
        <v/>
      </c>
      <c r="E147" s="76">
        <f>$B$137</f>
        <v/>
      </c>
      <c r="F147" s="76">
        <f>$B$137*EXP(-$D147*F$143)</f>
        <v/>
      </c>
      <c r="G147" s="76">
        <f>$B$137*EXP(-$D147*G$143)</f>
        <v/>
      </c>
      <c r="H147" s="76">
        <f>$B$137*EXP(-$D147*H$143)</f>
        <v/>
      </c>
      <c r="I147" s="76">
        <f>$B$137*EXP(-$D147*I$143)</f>
        <v/>
      </c>
      <c r="J147" s="76">
        <f>$B$137*EXP(-$D147*J$143)</f>
        <v/>
      </c>
      <c r="K147" s="76">
        <f>$B$137*EXP(-$D147*K$143)</f>
        <v/>
      </c>
      <c r="L147" s="76">
        <f>$B$137*EXP(-$D147*L$143)</f>
        <v/>
      </c>
      <c r="M147" s="76">
        <f>$B$137*EXP(-$D147*M$143)</f>
        <v/>
      </c>
      <c r="N147" s="76">
        <f>M147</f>
        <v/>
      </c>
      <c r="O147" s="76">
        <f>N147</f>
        <v/>
      </c>
      <c r="P147" s="76">
        <f>O147</f>
        <v/>
      </c>
      <c r="Q147" s="76">
        <f>P147</f>
        <v/>
      </c>
      <c r="R147" s="76">
        <f>SUMPRODUCT($F$142:$Q$142,$E147:$P147-$F147:$Q147)</f>
        <v/>
      </c>
      <c r="S147" s="76">
        <f>SUMPRODUCT($F$139:$Q$139,$F$141:$Q$141,$F147:$Q147)+0.5*SUMPRODUCT($F$139:$Q$139,$F$142:$Q$142,$E147:$P147-$F147:$Q147)</f>
        <v/>
      </c>
      <c r="T147" s="76">
        <f>(1-$F$136)*($D$137+R147)-$D$136*(($F$137+S147)-CDS_Parameters!$B$26)</f>
        <v/>
      </c>
    </row>
    <row r="148">
      <c r="B148" s="76">
        <f>IF(T147&lt;0,D147,B147)</f>
        <v/>
      </c>
      <c r="C148" s="76">
        <f>IF(T147&lt;0,C147,D147)</f>
        <v/>
      </c>
      <c r="D148" s="76">
        <f>(B148+C148)/2</f>
        <v/>
      </c>
      <c r="E148" s="76">
        <f>$B$137</f>
        <v/>
      </c>
      <c r="F148" s="76">
        <f>$B$137*EXP(-$D148*F$143)</f>
        <v/>
      </c>
      <c r="G148" s="76">
        <f>$B$137*EXP(-$D148*G$143)</f>
        <v/>
      </c>
      <c r="H148" s="76">
        <f>$B$137*EXP(-$D148*H$143)</f>
        <v/>
      </c>
      <c r="I148" s="76">
        <f>$B$137*EXP(-$D148*I$143)</f>
        <v/>
      </c>
      <c r="J148" s="76">
        <f>$B$137*EXP(-$D148*J$143)</f>
        <v/>
      </c>
      <c r="K148" s="76">
        <f>$B$137*EXP(-$D148*K$143)</f>
        <v/>
      </c>
      <c r="L148" s="76">
        <f>$B$137*EXP(-$D148*L$143)</f>
        <v/>
      </c>
      <c r="M148" s="76">
        <f>$B$137*EXP(-$D148*M$143)</f>
        <v/>
      </c>
      <c r="N148" s="76">
        <f>M148</f>
        <v/>
      </c>
      <c r="O148" s="76">
        <f>N148</f>
        <v/>
      </c>
      <c r="P148" s="76">
        <f>O148</f>
        <v/>
      </c>
      <c r="Q148" s="76">
        <f>P148</f>
        <v/>
      </c>
      <c r="R148" s="76">
        <f>SUMPRODUCT($F$142:$Q$142,$E148:$P148-$F148:$Q148)</f>
        <v/>
      </c>
      <c r="S148" s="76">
        <f>SUMPRODUCT($F$139:$Q$139,$F$141:$Q$141,$F148:$Q148)+0.5*SUMPRODUCT($F$139:$Q$139,$F$142:$Q$142,$E148:$P148-$F148:$Q148)</f>
        <v/>
      </c>
      <c r="T148" s="76">
        <f>(1-$F$136)*($D$137+R148)-$D$136*(($F$137+S148)-CDS_Parameters!$B$26)</f>
        <v/>
      </c>
    </row>
    <row r="149">
      <c r="B149" s="76">
        <f>IF(T148&lt;0,D148,B148)</f>
        <v/>
      </c>
      <c r="C149" s="76">
        <f>IF(T148&lt;0,C148,D148)</f>
        <v/>
      </c>
      <c r="D149" s="76">
        <f>(B149+C149)/2</f>
        <v/>
      </c>
      <c r="E149" s="76">
        <f>$B$137</f>
        <v/>
      </c>
      <c r="F149" s="76">
        <f>$B$137*EXP(-$D149*F$143)</f>
        <v/>
      </c>
      <c r="G149" s="76">
        <f>$B$137*EXP(-$D149*G$143)</f>
        <v/>
      </c>
      <c r="H149" s="76">
        <f>$B$137*EXP(-$D149*H$143)</f>
        <v/>
      </c>
      <c r="I149" s="76">
        <f>$B$137*EXP(-$D149*I$143)</f>
        <v/>
      </c>
      <c r="J149" s="76">
        <f>$B$137*EXP(-$D149*J$143)</f>
        <v/>
      </c>
      <c r="K149" s="76">
        <f>$B$137*EXP(-$D149*K$143)</f>
        <v/>
      </c>
      <c r="L149" s="76">
        <f>$B$137*EXP(-$D149*L$143)</f>
        <v/>
      </c>
      <c r="M149" s="76">
        <f>$B$137*EXP(-$D149*M$143)</f>
        <v/>
      </c>
      <c r="N149" s="76">
        <f>M149</f>
        <v/>
      </c>
      <c r="O149" s="76">
        <f>N149</f>
        <v/>
      </c>
      <c r="P149" s="76">
        <f>O149</f>
        <v/>
      </c>
      <c r="Q149" s="76">
        <f>P149</f>
        <v/>
      </c>
      <c r="R149" s="76">
        <f>SUMPRODUCT($F$142:$Q$142,$E149:$P149-$F149:$Q149)</f>
        <v/>
      </c>
      <c r="S149" s="76">
        <f>SUMPRODUCT($F$139:$Q$139,$F$141:$Q$141,$F149:$Q149)+0.5*SUMPRODUCT($F$139:$Q$139,$F$142:$Q$142,$E149:$P149-$F149:$Q149)</f>
        <v/>
      </c>
      <c r="T149" s="76">
        <f>(1-$F$136)*($D$137+R149)-$D$136*(($F$137+S149)-CDS_Parameters!$B$26)</f>
        <v/>
      </c>
    </row>
    <row r="150">
      <c r="B150" s="76">
        <f>IF(T149&lt;0,D149,B149)</f>
        <v/>
      </c>
      <c r="C150" s="76">
        <f>IF(T149&lt;0,C149,D149)</f>
        <v/>
      </c>
      <c r="D150" s="76">
        <f>(B150+C150)/2</f>
        <v/>
      </c>
      <c r="E150" s="76">
        <f>$B$137</f>
        <v/>
      </c>
      <c r="F150" s="76">
        <f>$B$137*EXP(-$D150*F$143)</f>
        <v/>
      </c>
      <c r="G150" s="76">
        <f>$B$137*EXP(-$D150*G$143)</f>
        <v/>
      </c>
      <c r="H150" s="76">
        <f>$B$137*EXP(-$D150*H$143)</f>
        <v/>
      </c>
      <c r="I150" s="76">
        <f>$B$137*EXP(-$D150*I$143)</f>
        <v/>
      </c>
      <c r="J150" s="76">
        <f>$B$137*EXP(-$D150*J$143)</f>
        <v/>
      </c>
      <c r="K150" s="76">
        <f>$B$137*EXP(-$D150*K$143)</f>
        <v/>
      </c>
      <c r="L150" s="76">
        <f>$B$137*EXP(-$D150*L$143)</f>
        <v/>
      </c>
      <c r="M150" s="76">
        <f>$B$137*EXP(-$D150*M$143)</f>
        <v/>
      </c>
      <c r="N150" s="76">
        <f>M150</f>
        <v/>
      </c>
      <c r="O150" s="76">
        <f>N150</f>
        <v/>
      </c>
      <c r="P150" s="76">
        <f>O150</f>
        <v/>
      </c>
      <c r="Q150" s="76">
        <f>P150</f>
        <v/>
      </c>
      <c r="R150" s="76">
        <f>SUMPRODUCT($F$142:$Q$142,$E150:$P150-$F150:$Q150)</f>
        <v/>
      </c>
      <c r="S150" s="76">
        <f>SUMPRODUCT($F$139:$Q$139,$F$141:$Q$141,$F150:$Q150)+0.5*SUMPRODUCT($F$139:$Q$139,$F$142:$Q$142,$E150:$P150-$F150:$Q150)</f>
        <v/>
      </c>
      <c r="T150" s="76">
        <f>(1-$F$136)*($D$137+R150)-$D$136*(($F$137+S150)-CDS_Parameters!$B$26)</f>
        <v/>
      </c>
    </row>
    <row r="151">
      <c r="B151" s="76">
        <f>IF(T150&lt;0,D150,B150)</f>
        <v/>
      </c>
      <c r="C151" s="76">
        <f>IF(T150&lt;0,C150,D150)</f>
        <v/>
      </c>
      <c r="D151" s="76">
        <f>(B151+C151)/2</f>
        <v/>
      </c>
      <c r="E151" s="76">
        <f>$B$137</f>
        <v/>
      </c>
      <c r="F151" s="76">
        <f>$B$137*EXP(-$D151*F$143)</f>
        <v/>
      </c>
      <c r="G151" s="76">
        <f>$B$137*EXP(-$D151*G$143)</f>
        <v/>
      </c>
      <c r="H151" s="76">
        <f>$B$137*EXP(-$D151*H$143)</f>
        <v/>
      </c>
      <c r="I151" s="76">
        <f>$B$137*EXP(-$D151*I$143)</f>
        <v/>
      </c>
      <c r="J151" s="76">
        <f>$B$137*EXP(-$D151*J$143)</f>
        <v/>
      </c>
      <c r="K151" s="76">
        <f>$B$137*EXP(-$D151*K$143)</f>
        <v/>
      </c>
      <c r="L151" s="76">
        <f>$B$137*EXP(-$D151*L$143)</f>
        <v/>
      </c>
      <c r="M151" s="76">
        <f>$B$137*EXP(-$D151*M$143)</f>
        <v/>
      </c>
      <c r="N151" s="76">
        <f>M151</f>
        <v/>
      </c>
      <c r="O151" s="76">
        <f>N151</f>
        <v/>
      </c>
      <c r="P151" s="76">
        <f>O151</f>
        <v/>
      </c>
      <c r="Q151" s="76">
        <f>P151</f>
        <v/>
      </c>
      <c r="R151" s="76">
        <f>SUMPRODUCT($F$142:$Q$142,$E151:$P151-$F151:$Q151)</f>
        <v/>
      </c>
      <c r="S151" s="76">
        <f>SUMPRODUCT($F$139:$Q$139,$F$141:$Q$141,$F151:$Q151)+0.5*SUMPRODUCT($F$139:$Q$139,$F$142:$Q$142,$E151:$P151-$F151:$Q151)</f>
        <v/>
      </c>
      <c r="T151" s="76">
        <f>(1-$F$136)*($D$137+R151)-$D$136*(($F$137+S151)-CDS_Parameters!$B$26)</f>
        <v/>
      </c>
    </row>
    <row r="152">
      <c r="B152" s="76">
        <f>IF(T151&lt;0,D151,B151)</f>
        <v/>
      </c>
      <c r="C152" s="76">
        <f>IF(T151&lt;0,C151,D151)</f>
        <v/>
      </c>
      <c r="D152" s="76">
        <f>(B152+C152)/2</f>
        <v/>
      </c>
      <c r="E152" s="76">
        <f>$B$137</f>
        <v/>
      </c>
      <c r="F152" s="76">
        <f>$B$137*EXP(-$D152*F$143)</f>
        <v/>
      </c>
      <c r="G152" s="76">
        <f>$B$137*EXP(-$D152*G$143)</f>
        <v/>
      </c>
      <c r="H152" s="76">
        <f>$B$137*EXP(-$D152*H$143)</f>
        <v/>
      </c>
      <c r="I152" s="76">
        <f>$B$137*EXP(-$D152*I$143)</f>
        <v/>
      </c>
      <c r="J152" s="76">
        <f>$B$137*EXP(-$D152*J$143)</f>
        <v/>
      </c>
      <c r="K152" s="76">
        <f>$B$137*EXP(-$D152*K$143)</f>
        <v/>
      </c>
      <c r="L152" s="76">
        <f>$B$137*EXP(-$D152*L$143)</f>
        <v/>
      </c>
      <c r="M152" s="76">
        <f>$B$137*EXP(-$D152*M$143)</f>
        <v/>
      </c>
      <c r="N152" s="76">
        <f>M152</f>
        <v/>
      </c>
      <c r="O152" s="76">
        <f>N152</f>
        <v/>
      </c>
      <c r="P152" s="76">
        <f>O152</f>
        <v/>
      </c>
      <c r="Q152" s="76">
        <f>P152</f>
        <v/>
      </c>
      <c r="R152" s="76">
        <f>SUMPRODUCT($F$142:$Q$142,$E152:$P152-$F152:$Q152)</f>
        <v/>
      </c>
      <c r="S152" s="76">
        <f>SUMPRODUCT($F$139:$Q$139,$F$141:$Q$141,$F152:$Q152)+0.5*SUMPRODUCT($F$139:$Q$139,$F$142:$Q$142,$E152:$P152-$F152:$Q152)</f>
        <v/>
      </c>
      <c r="T152" s="76">
        <f>(1-$F$136)*($D$137+R152)-$D$136*(($F$137+S152)-CDS_Parameters!$B$26)</f>
        <v/>
      </c>
    </row>
    <row r="153">
      <c r="B153" s="76">
        <f>IF(T152&lt;0,D152,B152)</f>
        <v/>
      </c>
      <c r="C153" s="76">
        <f>IF(T152&lt;0,C152,D152)</f>
        <v/>
      </c>
      <c r="D153" s="76">
        <f>(B153+C153)/2</f>
        <v/>
      </c>
      <c r="E153" s="76">
        <f>$B$137</f>
        <v/>
      </c>
      <c r="F153" s="76">
        <f>$B$137*EXP(-$D153*F$143)</f>
        <v/>
      </c>
      <c r="G153" s="76">
        <f>$B$137*EXP(-$D153*G$143)</f>
        <v/>
      </c>
      <c r="H153" s="76">
        <f>$B$137*EXP(-$D153*H$143)</f>
        <v/>
      </c>
      <c r="I153" s="76">
        <f>$B$137*EXP(-$D153*I$143)</f>
        <v/>
      </c>
      <c r="J153" s="76">
        <f>$B$137*EXP(-$D153*J$143)</f>
        <v/>
      </c>
      <c r="K153" s="76">
        <f>$B$137*EXP(-$D153*K$143)</f>
        <v/>
      </c>
      <c r="L153" s="76">
        <f>$B$137*EXP(-$D153*L$143)</f>
        <v/>
      </c>
      <c r="M153" s="76">
        <f>$B$137*EXP(-$D153*M$143)</f>
        <v/>
      </c>
      <c r="N153" s="76">
        <f>M153</f>
        <v/>
      </c>
      <c r="O153" s="76">
        <f>N153</f>
        <v/>
      </c>
      <c r="P153" s="76">
        <f>O153</f>
        <v/>
      </c>
      <c r="Q153" s="76">
        <f>P153</f>
        <v/>
      </c>
      <c r="R153" s="76">
        <f>SUMPRODUCT($F$142:$Q$142,$E153:$P153-$F153:$Q153)</f>
        <v/>
      </c>
      <c r="S153" s="76">
        <f>SUMPRODUCT($F$139:$Q$139,$F$141:$Q$141,$F153:$Q153)+0.5*SUMPRODUCT($F$139:$Q$139,$F$142:$Q$142,$E153:$P153-$F153:$Q153)</f>
        <v/>
      </c>
      <c r="T153" s="76">
        <f>(1-$F$136)*($D$137+R153)-$D$136*(($F$137+S153)-CDS_Parameters!$B$26)</f>
        <v/>
      </c>
    </row>
    <row r="154">
      <c r="B154" s="76">
        <f>IF(T153&lt;0,D153,B153)</f>
        <v/>
      </c>
      <c r="C154" s="76">
        <f>IF(T153&lt;0,C153,D153)</f>
        <v/>
      </c>
      <c r="D154" s="76">
        <f>(B154+C154)/2</f>
        <v/>
      </c>
      <c r="E154" s="76">
        <f>$B$137</f>
        <v/>
      </c>
      <c r="F154" s="76">
        <f>$B$137*EXP(-$D154*F$143)</f>
        <v/>
      </c>
      <c r="G154" s="76">
        <f>$B$137*EXP(-$D154*G$143)</f>
        <v/>
      </c>
      <c r="H154" s="76">
        <f>$B$137*EXP(-$D154*H$143)</f>
        <v/>
      </c>
      <c r="I154" s="76">
        <f>$B$137*EXP(-$D154*I$143)</f>
        <v/>
      </c>
      <c r="J154" s="76">
        <f>$B$137*EXP(-$D154*J$143)</f>
        <v/>
      </c>
      <c r="K154" s="76">
        <f>$B$137*EXP(-$D154*K$143)</f>
        <v/>
      </c>
      <c r="L154" s="76">
        <f>$B$137*EXP(-$D154*L$143)</f>
        <v/>
      </c>
      <c r="M154" s="76">
        <f>$B$137*EXP(-$D154*M$143)</f>
        <v/>
      </c>
      <c r="N154" s="76">
        <f>M154</f>
        <v/>
      </c>
      <c r="O154" s="76">
        <f>N154</f>
        <v/>
      </c>
      <c r="P154" s="76">
        <f>O154</f>
        <v/>
      </c>
      <c r="Q154" s="76">
        <f>P154</f>
        <v/>
      </c>
      <c r="R154" s="76">
        <f>SUMPRODUCT($F$142:$Q$142,$E154:$P154-$F154:$Q154)</f>
        <v/>
      </c>
      <c r="S154" s="76">
        <f>SUMPRODUCT($F$139:$Q$139,$F$141:$Q$141,$F154:$Q154)+0.5*SUMPRODUCT($F$139:$Q$139,$F$142:$Q$142,$E154:$P154-$F154:$Q154)</f>
        <v/>
      </c>
      <c r="T154" s="76">
        <f>(1-$F$136)*($D$137+R154)-$D$136*(($F$137+S154)-CDS_Parameters!$B$26)</f>
        <v/>
      </c>
    </row>
    <row r="155">
      <c r="B155" s="76">
        <f>IF(T154&lt;0,D154,B154)</f>
        <v/>
      </c>
      <c r="C155" s="76">
        <f>IF(T154&lt;0,C154,D154)</f>
        <v/>
      </c>
      <c r="D155" s="76">
        <f>(B155+C155)/2</f>
        <v/>
      </c>
      <c r="E155" s="76">
        <f>$B$137</f>
        <v/>
      </c>
      <c r="F155" s="76">
        <f>$B$137*EXP(-$D155*F$143)</f>
        <v/>
      </c>
      <c r="G155" s="76">
        <f>$B$137*EXP(-$D155*G$143)</f>
        <v/>
      </c>
      <c r="H155" s="76">
        <f>$B$137*EXP(-$D155*H$143)</f>
        <v/>
      </c>
      <c r="I155" s="76">
        <f>$B$137*EXP(-$D155*I$143)</f>
        <v/>
      </c>
      <c r="J155" s="76">
        <f>$B$137*EXP(-$D155*J$143)</f>
        <v/>
      </c>
      <c r="K155" s="76">
        <f>$B$137*EXP(-$D155*K$143)</f>
        <v/>
      </c>
      <c r="L155" s="76">
        <f>$B$137*EXP(-$D155*L$143)</f>
        <v/>
      </c>
      <c r="M155" s="76">
        <f>$B$137*EXP(-$D155*M$143)</f>
        <v/>
      </c>
      <c r="N155" s="76">
        <f>M155</f>
        <v/>
      </c>
      <c r="O155" s="76">
        <f>N155</f>
        <v/>
      </c>
      <c r="P155" s="76">
        <f>O155</f>
        <v/>
      </c>
      <c r="Q155" s="76">
        <f>P155</f>
        <v/>
      </c>
      <c r="R155" s="76">
        <f>SUMPRODUCT($F$142:$Q$142,$E155:$P155-$F155:$Q155)</f>
        <v/>
      </c>
      <c r="S155" s="76">
        <f>SUMPRODUCT($F$139:$Q$139,$F$141:$Q$141,$F155:$Q155)+0.5*SUMPRODUCT($F$139:$Q$139,$F$142:$Q$142,$E155:$P155-$F155:$Q155)</f>
        <v/>
      </c>
      <c r="T155" s="76">
        <f>(1-$F$136)*($D$137+R155)-$D$136*(($F$137+S155)-CDS_Parameters!$B$26)</f>
        <v/>
      </c>
    </row>
    <row r="156">
      <c r="B156" s="76">
        <f>IF(T155&lt;0,D155,B155)</f>
        <v/>
      </c>
      <c r="C156" s="76">
        <f>IF(T155&lt;0,C155,D155)</f>
        <v/>
      </c>
      <c r="D156" s="76">
        <f>(B156+C156)/2</f>
        <v/>
      </c>
      <c r="E156" s="76">
        <f>$B$137</f>
        <v/>
      </c>
      <c r="F156" s="76">
        <f>$B$137*EXP(-$D156*F$143)</f>
        <v/>
      </c>
      <c r="G156" s="76">
        <f>$B$137*EXP(-$D156*G$143)</f>
        <v/>
      </c>
      <c r="H156" s="76">
        <f>$B$137*EXP(-$D156*H$143)</f>
        <v/>
      </c>
      <c r="I156" s="76">
        <f>$B$137*EXP(-$D156*I$143)</f>
        <v/>
      </c>
      <c r="J156" s="76">
        <f>$B$137*EXP(-$D156*J$143)</f>
        <v/>
      </c>
      <c r="K156" s="76">
        <f>$B$137*EXP(-$D156*K$143)</f>
        <v/>
      </c>
      <c r="L156" s="76">
        <f>$B$137*EXP(-$D156*L$143)</f>
        <v/>
      </c>
      <c r="M156" s="76">
        <f>$B$137*EXP(-$D156*M$143)</f>
        <v/>
      </c>
      <c r="N156" s="76">
        <f>M156</f>
        <v/>
      </c>
      <c r="O156" s="76">
        <f>N156</f>
        <v/>
      </c>
      <c r="P156" s="76">
        <f>O156</f>
        <v/>
      </c>
      <c r="Q156" s="76">
        <f>P156</f>
        <v/>
      </c>
      <c r="R156" s="76">
        <f>SUMPRODUCT($F$142:$Q$142,$E156:$P156-$F156:$Q156)</f>
        <v/>
      </c>
      <c r="S156" s="76">
        <f>SUMPRODUCT($F$139:$Q$139,$F$141:$Q$141,$F156:$Q156)+0.5*SUMPRODUCT($F$139:$Q$139,$F$142:$Q$142,$E156:$P156-$F156:$Q156)</f>
        <v/>
      </c>
      <c r="T156" s="76">
        <f>(1-$F$136)*($D$137+R156)-$D$136*(($F$137+S156)-CDS_Parameters!$B$26)</f>
        <v/>
      </c>
    </row>
    <row r="157">
      <c r="B157" s="76">
        <f>IF(T156&lt;0,D156,B156)</f>
        <v/>
      </c>
      <c r="C157" s="76">
        <f>IF(T156&lt;0,C156,D156)</f>
        <v/>
      </c>
      <c r="D157" s="76">
        <f>(B157+C157)/2</f>
        <v/>
      </c>
      <c r="E157" s="76">
        <f>$B$137</f>
        <v/>
      </c>
      <c r="F157" s="76">
        <f>$B$137*EXP(-$D157*F$143)</f>
        <v/>
      </c>
      <c r="G157" s="76">
        <f>$B$137*EXP(-$D157*G$143)</f>
        <v/>
      </c>
      <c r="H157" s="76">
        <f>$B$137*EXP(-$D157*H$143)</f>
        <v/>
      </c>
      <c r="I157" s="76">
        <f>$B$137*EXP(-$D157*I$143)</f>
        <v/>
      </c>
      <c r="J157" s="76">
        <f>$B$137*EXP(-$D157*J$143)</f>
        <v/>
      </c>
      <c r="K157" s="76">
        <f>$B$137*EXP(-$D157*K$143)</f>
        <v/>
      </c>
      <c r="L157" s="76">
        <f>$B$137*EXP(-$D157*L$143)</f>
        <v/>
      </c>
      <c r="M157" s="76">
        <f>$B$137*EXP(-$D157*M$143)</f>
        <v/>
      </c>
      <c r="N157" s="76">
        <f>M157</f>
        <v/>
      </c>
      <c r="O157" s="76">
        <f>N157</f>
        <v/>
      </c>
      <c r="P157" s="76">
        <f>O157</f>
        <v/>
      </c>
      <c r="Q157" s="76">
        <f>P157</f>
        <v/>
      </c>
      <c r="R157" s="76">
        <f>SUMPRODUCT($F$142:$Q$142,$E157:$P157-$F157:$Q157)</f>
        <v/>
      </c>
      <c r="S157" s="76">
        <f>SUMPRODUCT($F$139:$Q$139,$F$141:$Q$141,$F157:$Q157)+0.5*SUMPRODUCT($F$139:$Q$139,$F$142:$Q$142,$E157:$P157-$F157:$Q157)</f>
        <v/>
      </c>
      <c r="T157" s="76">
        <f>(1-$F$136)*($D$137+R157)-$D$136*(($F$137+S157)-CDS_Parameters!$B$26)</f>
        <v/>
      </c>
    </row>
    <row r="158">
      <c r="B158" s="76">
        <f>IF(T157&lt;0,D157,B157)</f>
        <v/>
      </c>
      <c r="C158" s="76">
        <f>IF(T157&lt;0,C157,D157)</f>
        <v/>
      </c>
      <c r="D158" s="76">
        <f>(B158+C158)/2</f>
        <v/>
      </c>
      <c r="E158" s="76">
        <f>$B$137</f>
        <v/>
      </c>
      <c r="F158" s="76">
        <f>$B$137*EXP(-$D158*F$143)</f>
        <v/>
      </c>
      <c r="G158" s="76">
        <f>$B$137*EXP(-$D158*G$143)</f>
        <v/>
      </c>
      <c r="H158" s="76">
        <f>$B$137*EXP(-$D158*H$143)</f>
        <v/>
      </c>
      <c r="I158" s="76">
        <f>$B$137*EXP(-$D158*I$143)</f>
        <v/>
      </c>
      <c r="J158" s="76">
        <f>$B$137*EXP(-$D158*J$143)</f>
        <v/>
      </c>
      <c r="K158" s="76">
        <f>$B$137*EXP(-$D158*K$143)</f>
        <v/>
      </c>
      <c r="L158" s="76">
        <f>$B$137*EXP(-$D158*L$143)</f>
        <v/>
      </c>
      <c r="M158" s="76">
        <f>$B$137*EXP(-$D158*M$143)</f>
        <v/>
      </c>
      <c r="N158" s="76">
        <f>M158</f>
        <v/>
      </c>
      <c r="O158" s="76">
        <f>N158</f>
        <v/>
      </c>
      <c r="P158" s="76">
        <f>O158</f>
        <v/>
      </c>
      <c r="Q158" s="76">
        <f>P158</f>
        <v/>
      </c>
      <c r="R158" s="76">
        <f>SUMPRODUCT($F$142:$Q$142,$E158:$P158-$F158:$Q158)</f>
        <v/>
      </c>
      <c r="S158" s="76">
        <f>SUMPRODUCT($F$139:$Q$139,$F$141:$Q$141,$F158:$Q158)+0.5*SUMPRODUCT($F$139:$Q$139,$F$142:$Q$142,$E158:$P158-$F158:$Q158)</f>
        <v/>
      </c>
      <c r="T158" s="76">
        <f>(1-$F$136)*($D$137+R158)-$D$136*(($F$137+S158)-CDS_Parameters!$B$26)</f>
        <v/>
      </c>
    </row>
    <row r="159">
      <c r="B159" s="76">
        <f>IF(T158&lt;0,D158,B158)</f>
        <v/>
      </c>
      <c r="C159" s="76">
        <f>IF(T158&lt;0,C158,D158)</f>
        <v/>
      </c>
      <c r="D159" s="76">
        <f>(B159+C159)/2</f>
        <v/>
      </c>
      <c r="E159" s="76">
        <f>$B$137</f>
        <v/>
      </c>
      <c r="F159" s="76">
        <f>$B$137*EXP(-$D159*F$143)</f>
        <v/>
      </c>
      <c r="G159" s="76">
        <f>$B$137*EXP(-$D159*G$143)</f>
        <v/>
      </c>
      <c r="H159" s="76">
        <f>$B$137*EXP(-$D159*H$143)</f>
        <v/>
      </c>
      <c r="I159" s="76">
        <f>$B$137*EXP(-$D159*I$143)</f>
        <v/>
      </c>
      <c r="J159" s="76">
        <f>$B$137*EXP(-$D159*J$143)</f>
        <v/>
      </c>
      <c r="K159" s="76">
        <f>$B$137*EXP(-$D159*K$143)</f>
        <v/>
      </c>
      <c r="L159" s="76">
        <f>$B$137*EXP(-$D159*L$143)</f>
        <v/>
      </c>
      <c r="M159" s="76">
        <f>$B$137*EXP(-$D159*M$143)</f>
        <v/>
      </c>
      <c r="N159" s="76">
        <f>M159</f>
        <v/>
      </c>
      <c r="O159" s="76">
        <f>N159</f>
        <v/>
      </c>
      <c r="P159" s="76">
        <f>O159</f>
        <v/>
      </c>
      <c r="Q159" s="76">
        <f>P159</f>
        <v/>
      </c>
      <c r="R159" s="76">
        <f>SUMPRODUCT($F$142:$Q$142,$E159:$P159-$F159:$Q159)</f>
        <v/>
      </c>
      <c r="S159" s="76">
        <f>SUMPRODUCT($F$139:$Q$139,$F$141:$Q$141,$F159:$Q159)+0.5*SUMPRODUCT($F$139:$Q$139,$F$142:$Q$142,$E159:$P159-$F159:$Q159)</f>
        <v/>
      </c>
      <c r="T159" s="76">
        <f>(1-$F$136)*($D$137+R159)-$D$136*(($F$137+S159)-CDS_Parameters!$B$26)</f>
        <v/>
      </c>
    </row>
    <row r="160">
      <c r="B160" s="76">
        <f>IF(T159&lt;0,D159,B159)</f>
        <v/>
      </c>
      <c r="C160" s="76">
        <f>IF(T159&lt;0,C159,D159)</f>
        <v/>
      </c>
      <c r="D160" s="76">
        <f>(B160+C160)/2</f>
        <v/>
      </c>
      <c r="E160" s="76">
        <f>$B$137</f>
        <v/>
      </c>
      <c r="F160" s="76">
        <f>$B$137*EXP(-$D160*F$143)</f>
        <v/>
      </c>
      <c r="G160" s="76">
        <f>$B$137*EXP(-$D160*G$143)</f>
        <v/>
      </c>
      <c r="H160" s="76">
        <f>$B$137*EXP(-$D160*H$143)</f>
        <v/>
      </c>
      <c r="I160" s="76">
        <f>$B$137*EXP(-$D160*I$143)</f>
        <v/>
      </c>
      <c r="J160" s="76">
        <f>$B$137*EXP(-$D160*J$143)</f>
        <v/>
      </c>
      <c r="K160" s="76">
        <f>$B$137*EXP(-$D160*K$143)</f>
        <v/>
      </c>
      <c r="L160" s="76">
        <f>$B$137*EXP(-$D160*L$143)</f>
        <v/>
      </c>
      <c r="M160" s="76">
        <f>$B$137*EXP(-$D160*M$143)</f>
        <v/>
      </c>
      <c r="N160" s="76">
        <f>M160</f>
        <v/>
      </c>
      <c r="O160" s="76">
        <f>N160</f>
        <v/>
      </c>
      <c r="P160" s="76">
        <f>O160</f>
        <v/>
      </c>
      <c r="Q160" s="76">
        <f>P160</f>
        <v/>
      </c>
      <c r="R160" s="76">
        <f>SUMPRODUCT($F$142:$Q$142,$E160:$P160-$F160:$Q160)</f>
        <v/>
      </c>
      <c r="S160" s="76">
        <f>SUMPRODUCT($F$139:$Q$139,$F$141:$Q$141,$F160:$Q160)+0.5*SUMPRODUCT($F$139:$Q$139,$F$142:$Q$142,$E160:$P160-$F160:$Q160)</f>
        <v/>
      </c>
      <c r="T160" s="76">
        <f>(1-$F$136)*($D$137+R160)-$D$136*(($F$137+S160)-CDS_Parameters!$B$26)</f>
        <v/>
      </c>
    </row>
    <row r="161">
      <c r="B161" s="76">
        <f>IF(T160&lt;0,D160,B160)</f>
        <v/>
      </c>
      <c r="C161" s="76">
        <f>IF(T160&lt;0,C160,D160)</f>
        <v/>
      </c>
      <c r="D161" s="76">
        <f>(B161+C161)/2</f>
        <v/>
      </c>
      <c r="E161" s="76">
        <f>$B$137</f>
        <v/>
      </c>
      <c r="F161" s="76">
        <f>$B$137*EXP(-$D161*F$143)</f>
        <v/>
      </c>
      <c r="G161" s="76">
        <f>$B$137*EXP(-$D161*G$143)</f>
        <v/>
      </c>
      <c r="H161" s="76">
        <f>$B$137*EXP(-$D161*H$143)</f>
        <v/>
      </c>
      <c r="I161" s="76">
        <f>$B$137*EXP(-$D161*I$143)</f>
        <v/>
      </c>
      <c r="J161" s="76">
        <f>$B$137*EXP(-$D161*J$143)</f>
        <v/>
      </c>
      <c r="K161" s="76">
        <f>$B$137*EXP(-$D161*K$143)</f>
        <v/>
      </c>
      <c r="L161" s="76">
        <f>$B$137*EXP(-$D161*L$143)</f>
        <v/>
      </c>
      <c r="M161" s="76">
        <f>$B$137*EXP(-$D161*M$143)</f>
        <v/>
      </c>
      <c r="N161" s="76">
        <f>M161</f>
        <v/>
      </c>
      <c r="O161" s="76">
        <f>N161</f>
        <v/>
      </c>
      <c r="P161" s="76">
        <f>O161</f>
        <v/>
      </c>
      <c r="Q161" s="76">
        <f>P161</f>
        <v/>
      </c>
      <c r="R161" s="76">
        <f>SUMPRODUCT($F$142:$Q$142,$E161:$P161-$F161:$Q161)</f>
        <v/>
      </c>
      <c r="S161" s="76">
        <f>SUMPRODUCT($F$139:$Q$139,$F$141:$Q$141,$F161:$Q161)+0.5*SUMPRODUCT($F$139:$Q$139,$F$142:$Q$142,$E161:$P161-$F161:$Q161)</f>
        <v/>
      </c>
      <c r="T161" s="76">
        <f>(1-$F$136)*($D$137+R161)-$D$136*(($F$137+S161)-CDS_Parameters!$B$26)</f>
        <v/>
      </c>
    </row>
    <row r="162">
      <c r="B162" s="76">
        <f>IF(T161&lt;0,D161,B161)</f>
        <v/>
      </c>
      <c r="C162" s="76">
        <f>IF(T161&lt;0,C161,D161)</f>
        <v/>
      </c>
      <c r="D162" s="76">
        <f>(B162+C162)/2</f>
        <v/>
      </c>
      <c r="E162" s="76">
        <f>$B$137</f>
        <v/>
      </c>
      <c r="F162" s="76">
        <f>$B$137*EXP(-$D162*F$143)</f>
        <v/>
      </c>
      <c r="G162" s="76">
        <f>$B$137*EXP(-$D162*G$143)</f>
        <v/>
      </c>
      <c r="H162" s="76">
        <f>$B$137*EXP(-$D162*H$143)</f>
        <v/>
      </c>
      <c r="I162" s="76">
        <f>$B$137*EXP(-$D162*I$143)</f>
        <v/>
      </c>
      <c r="J162" s="76">
        <f>$B$137*EXP(-$D162*J$143)</f>
        <v/>
      </c>
      <c r="K162" s="76">
        <f>$B$137*EXP(-$D162*K$143)</f>
        <v/>
      </c>
      <c r="L162" s="76">
        <f>$B$137*EXP(-$D162*L$143)</f>
        <v/>
      </c>
      <c r="M162" s="76">
        <f>$B$137*EXP(-$D162*M$143)</f>
        <v/>
      </c>
      <c r="N162" s="76">
        <f>M162</f>
        <v/>
      </c>
      <c r="O162" s="76">
        <f>N162</f>
        <v/>
      </c>
      <c r="P162" s="76">
        <f>O162</f>
        <v/>
      </c>
      <c r="Q162" s="76">
        <f>P162</f>
        <v/>
      </c>
      <c r="R162" s="76">
        <f>SUMPRODUCT($F$142:$Q$142,$E162:$P162-$F162:$Q162)</f>
        <v/>
      </c>
      <c r="S162" s="76">
        <f>SUMPRODUCT($F$139:$Q$139,$F$141:$Q$141,$F162:$Q162)+0.5*SUMPRODUCT($F$139:$Q$139,$F$142:$Q$142,$E162:$P162-$F162:$Q162)</f>
        <v/>
      </c>
      <c r="T162" s="76">
        <f>(1-$F$136)*($D$137+R162)-$D$136*(($F$137+S162)-CDS_Parameters!$B$26)</f>
        <v/>
      </c>
    </row>
    <row r="163">
      <c r="B163" s="76">
        <f>IF(T162&lt;0,D162,B162)</f>
        <v/>
      </c>
      <c r="C163" s="76">
        <f>IF(T162&lt;0,C162,D162)</f>
        <v/>
      </c>
      <c r="D163" s="76">
        <f>(B163+C163)/2</f>
        <v/>
      </c>
      <c r="E163" s="76">
        <f>$B$137</f>
        <v/>
      </c>
      <c r="F163" s="76">
        <f>$B$137*EXP(-$D163*F$143)</f>
        <v/>
      </c>
      <c r="G163" s="76">
        <f>$B$137*EXP(-$D163*G$143)</f>
        <v/>
      </c>
      <c r="H163" s="76">
        <f>$B$137*EXP(-$D163*H$143)</f>
        <v/>
      </c>
      <c r="I163" s="76">
        <f>$B$137*EXP(-$D163*I$143)</f>
        <v/>
      </c>
      <c r="J163" s="76">
        <f>$B$137*EXP(-$D163*J$143)</f>
        <v/>
      </c>
      <c r="K163" s="76">
        <f>$B$137*EXP(-$D163*K$143)</f>
        <v/>
      </c>
      <c r="L163" s="76">
        <f>$B$137*EXP(-$D163*L$143)</f>
        <v/>
      </c>
      <c r="M163" s="76">
        <f>$B$137*EXP(-$D163*M$143)</f>
        <v/>
      </c>
      <c r="N163" s="76">
        <f>M163</f>
        <v/>
      </c>
      <c r="O163" s="76">
        <f>N163</f>
        <v/>
      </c>
      <c r="P163" s="76">
        <f>O163</f>
        <v/>
      </c>
      <c r="Q163" s="76">
        <f>P163</f>
        <v/>
      </c>
      <c r="R163" s="76">
        <f>SUMPRODUCT($F$142:$Q$142,$E163:$P163-$F163:$Q163)</f>
        <v/>
      </c>
      <c r="S163" s="76">
        <f>SUMPRODUCT($F$139:$Q$139,$F$141:$Q$141,$F163:$Q163)+0.5*SUMPRODUCT($F$139:$Q$139,$F$142:$Q$142,$E163:$P163-$F163:$Q163)</f>
        <v/>
      </c>
      <c r="T163" s="76">
        <f>(1-$F$136)*($D$137+R163)-$D$136*(($F$137+S163)-CDS_Parameters!$B$26)</f>
        <v/>
      </c>
    </row>
    <row r="164">
      <c r="B164" s="76">
        <f>IF(T163&lt;0,D163,B163)</f>
        <v/>
      </c>
      <c r="C164" s="76">
        <f>IF(T163&lt;0,C163,D163)</f>
        <v/>
      </c>
      <c r="D164" s="76">
        <f>(B164+C164)/2</f>
        <v/>
      </c>
      <c r="E164" s="76">
        <f>$B$137</f>
        <v/>
      </c>
      <c r="F164" s="76">
        <f>$B$137*EXP(-$D164*F$143)</f>
        <v/>
      </c>
      <c r="G164" s="76">
        <f>$B$137*EXP(-$D164*G$143)</f>
        <v/>
      </c>
      <c r="H164" s="76">
        <f>$B$137*EXP(-$D164*H$143)</f>
        <v/>
      </c>
      <c r="I164" s="76">
        <f>$B$137*EXP(-$D164*I$143)</f>
        <v/>
      </c>
      <c r="J164" s="76">
        <f>$B$137*EXP(-$D164*J$143)</f>
        <v/>
      </c>
      <c r="K164" s="76">
        <f>$B$137*EXP(-$D164*K$143)</f>
        <v/>
      </c>
      <c r="L164" s="76">
        <f>$B$137*EXP(-$D164*L$143)</f>
        <v/>
      </c>
      <c r="M164" s="76">
        <f>$B$137*EXP(-$D164*M$143)</f>
        <v/>
      </c>
      <c r="N164" s="76">
        <f>M164</f>
        <v/>
      </c>
      <c r="O164" s="76">
        <f>N164</f>
        <v/>
      </c>
      <c r="P164" s="76">
        <f>O164</f>
        <v/>
      </c>
      <c r="Q164" s="76">
        <f>P164</f>
        <v/>
      </c>
      <c r="R164" s="76">
        <f>SUMPRODUCT($F$142:$Q$142,$E164:$P164-$F164:$Q164)</f>
        <v/>
      </c>
      <c r="S164" s="76">
        <f>SUMPRODUCT($F$139:$Q$139,$F$141:$Q$141,$F164:$Q164)+0.5*SUMPRODUCT($F$139:$Q$139,$F$142:$Q$142,$E164:$P164-$F164:$Q164)</f>
        <v/>
      </c>
      <c r="T164" s="76">
        <f>(1-$F$136)*($D$137+R164)-$D$136*(($F$137+S164)-CDS_Parameters!$B$26)</f>
        <v/>
      </c>
    </row>
    <row r="165">
      <c r="B165" s="76">
        <f>IF(T164&lt;0,D164,B164)</f>
        <v/>
      </c>
      <c r="C165" s="76">
        <f>IF(T164&lt;0,C164,D164)</f>
        <v/>
      </c>
      <c r="D165" s="76">
        <f>(B165+C165)/2</f>
        <v/>
      </c>
      <c r="E165" s="76">
        <f>$B$137</f>
        <v/>
      </c>
      <c r="F165" s="76">
        <f>$B$137*EXP(-$D165*F$143)</f>
        <v/>
      </c>
      <c r="G165" s="76">
        <f>$B$137*EXP(-$D165*G$143)</f>
        <v/>
      </c>
      <c r="H165" s="76">
        <f>$B$137*EXP(-$D165*H$143)</f>
        <v/>
      </c>
      <c r="I165" s="76">
        <f>$B$137*EXP(-$D165*I$143)</f>
        <v/>
      </c>
      <c r="J165" s="76">
        <f>$B$137*EXP(-$D165*J$143)</f>
        <v/>
      </c>
      <c r="K165" s="76">
        <f>$B$137*EXP(-$D165*K$143)</f>
        <v/>
      </c>
      <c r="L165" s="76">
        <f>$B$137*EXP(-$D165*L$143)</f>
        <v/>
      </c>
      <c r="M165" s="76">
        <f>$B$137*EXP(-$D165*M$143)</f>
        <v/>
      </c>
      <c r="N165" s="76">
        <f>M165</f>
        <v/>
      </c>
      <c r="O165" s="76">
        <f>N165</f>
        <v/>
      </c>
      <c r="P165" s="76">
        <f>O165</f>
        <v/>
      </c>
      <c r="Q165" s="76">
        <f>P165</f>
        <v/>
      </c>
      <c r="R165" s="76">
        <f>SUMPRODUCT($F$142:$Q$142,$E165:$P165-$F165:$Q165)</f>
        <v/>
      </c>
      <c r="S165" s="76">
        <f>SUMPRODUCT($F$139:$Q$139,$F$141:$Q$141,$F165:$Q165)+0.5*SUMPRODUCT($F$139:$Q$139,$F$142:$Q$142,$E165:$P165-$F165:$Q165)</f>
        <v/>
      </c>
      <c r="T165" s="76">
        <f>(1-$F$136)*($D$137+R165)-$D$136*(($F$137+S165)-CDS_Parameters!$B$26)</f>
        <v/>
      </c>
    </row>
    <row r="166">
      <c r="B166" s="76">
        <f>IF(T165&lt;0,D165,B165)</f>
        <v/>
      </c>
      <c r="C166" s="76">
        <f>IF(T165&lt;0,C165,D165)</f>
        <v/>
      </c>
      <c r="D166" s="76">
        <f>(B166+C166)/2</f>
        <v/>
      </c>
      <c r="E166" s="76">
        <f>$B$137</f>
        <v/>
      </c>
      <c r="F166" s="76">
        <f>$B$137*EXP(-$D166*F$143)</f>
        <v/>
      </c>
      <c r="G166" s="76">
        <f>$B$137*EXP(-$D166*G$143)</f>
        <v/>
      </c>
      <c r="H166" s="76">
        <f>$B$137*EXP(-$D166*H$143)</f>
        <v/>
      </c>
      <c r="I166" s="76">
        <f>$B$137*EXP(-$D166*I$143)</f>
        <v/>
      </c>
      <c r="J166" s="76">
        <f>$B$137*EXP(-$D166*J$143)</f>
        <v/>
      </c>
      <c r="K166" s="76">
        <f>$B$137*EXP(-$D166*K$143)</f>
        <v/>
      </c>
      <c r="L166" s="76">
        <f>$B$137*EXP(-$D166*L$143)</f>
        <v/>
      </c>
      <c r="M166" s="76">
        <f>$B$137*EXP(-$D166*M$143)</f>
        <v/>
      </c>
      <c r="N166" s="76">
        <f>M166</f>
        <v/>
      </c>
      <c r="O166" s="76">
        <f>N166</f>
        <v/>
      </c>
      <c r="P166" s="76">
        <f>O166</f>
        <v/>
      </c>
      <c r="Q166" s="76">
        <f>P166</f>
        <v/>
      </c>
      <c r="R166" s="76">
        <f>SUMPRODUCT($F$142:$Q$142,$E166:$P166-$F166:$Q166)</f>
        <v/>
      </c>
      <c r="S166" s="76">
        <f>SUMPRODUCT($F$139:$Q$139,$F$141:$Q$141,$F166:$Q166)+0.5*SUMPRODUCT($F$139:$Q$139,$F$142:$Q$142,$E166:$P166-$F166:$Q166)</f>
        <v/>
      </c>
      <c r="T166" s="76">
        <f>(1-$F$136)*($D$137+R166)-$D$136*(($F$137+S166)-CDS_Parameters!$B$26)</f>
        <v/>
      </c>
    </row>
    <row r="167">
      <c r="B167" s="76">
        <f>IF(T166&lt;0,D166,B166)</f>
        <v/>
      </c>
      <c r="C167" s="76">
        <f>IF(T166&lt;0,C166,D166)</f>
        <v/>
      </c>
      <c r="D167" s="76">
        <f>(B167+C167)/2</f>
        <v/>
      </c>
      <c r="E167" s="76">
        <f>$B$137</f>
        <v/>
      </c>
      <c r="F167" s="76">
        <f>$B$137*EXP(-$D167*F$143)</f>
        <v/>
      </c>
      <c r="G167" s="76">
        <f>$B$137*EXP(-$D167*G$143)</f>
        <v/>
      </c>
      <c r="H167" s="76">
        <f>$B$137*EXP(-$D167*H$143)</f>
        <v/>
      </c>
      <c r="I167" s="76">
        <f>$B$137*EXP(-$D167*I$143)</f>
        <v/>
      </c>
      <c r="J167" s="76">
        <f>$B$137*EXP(-$D167*J$143)</f>
        <v/>
      </c>
      <c r="K167" s="76">
        <f>$B$137*EXP(-$D167*K$143)</f>
        <v/>
      </c>
      <c r="L167" s="76">
        <f>$B$137*EXP(-$D167*L$143)</f>
        <v/>
      </c>
      <c r="M167" s="76">
        <f>$B$137*EXP(-$D167*M$143)</f>
        <v/>
      </c>
      <c r="N167" s="76">
        <f>M167</f>
        <v/>
      </c>
      <c r="O167" s="76">
        <f>N167</f>
        <v/>
      </c>
      <c r="P167" s="76">
        <f>O167</f>
        <v/>
      </c>
      <c r="Q167" s="76">
        <f>P167</f>
        <v/>
      </c>
      <c r="R167" s="76">
        <f>SUMPRODUCT($F$142:$Q$142,$E167:$P167-$F167:$Q167)</f>
        <v/>
      </c>
      <c r="S167" s="76">
        <f>SUMPRODUCT($F$139:$Q$139,$F$141:$Q$141,$F167:$Q167)+0.5*SUMPRODUCT($F$139:$Q$139,$F$142:$Q$142,$E167:$P167-$F167:$Q167)</f>
        <v/>
      </c>
      <c r="T167" s="76">
        <f>(1-$F$136)*($D$137+R167)-$D$136*(($F$137+S167)-CDS_Parameters!$B$26)</f>
        <v/>
      </c>
    </row>
    <row r="168">
      <c r="B168" s="76">
        <f>IF(T167&lt;0,D167,B167)</f>
        <v/>
      </c>
      <c r="C168" s="76">
        <f>IF(T167&lt;0,C167,D167)</f>
        <v/>
      </c>
      <c r="D168" s="76">
        <f>(B168+C168)/2</f>
        <v/>
      </c>
      <c r="E168" s="76">
        <f>$B$137</f>
        <v/>
      </c>
      <c r="F168" s="76">
        <f>$B$137*EXP(-$D168*F$143)</f>
        <v/>
      </c>
      <c r="G168" s="76">
        <f>$B$137*EXP(-$D168*G$143)</f>
        <v/>
      </c>
      <c r="H168" s="76">
        <f>$B$137*EXP(-$D168*H$143)</f>
        <v/>
      </c>
      <c r="I168" s="76">
        <f>$B$137*EXP(-$D168*I$143)</f>
        <v/>
      </c>
      <c r="J168" s="76">
        <f>$B$137*EXP(-$D168*J$143)</f>
        <v/>
      </c>
      <c r="K168" s="76">
        <f>$B$137*EXP(-$D168*K$143)</f>
        <v/>
      </c>
      <c r="L168" s="76">
        <f>$B$137*EXP(-$D168*L$143)</f>
        <v/>
      </c>
      <c r="M168" s="76">
        <f>$B$137*EXP(-$D168*M$143)</f>
        <v/>
      </c>
      <c r="N168" s="76">
        <f>M168</f>
        <v/>
      </c>
      <c r="O168" s="76">
        <f>N168</f>
        <v/>
      </c>
      <c r="P168" s="76">
        <f>O168</f>
        <v/>
      </c>
      <c r="Q168" s="76">
        <f>P168</f>
        <v/>
      </c>
      <c r="R168" s="76">
        <f>SUMPRODUCT($F$142:$Q$142,$E168:$P168-$F168:$Q168)</f>
        <v/>
      </c>
      <c r="S168" s="76">
        <f>SUMPRODUCT($F$139:$Q$139,$F$141:$Q$141,$F168:$Q168)+0.5*SUMPRODUCT($F$139:$Q$139,$F$142:$Q$142,$E168:$P168-$F168:$Q168)</f>
        <v/>
      </c>
      <c r="T168" s="76">
        <f>(1-$F$136)*($D$137+R168)-$D$136*(($F$137+S168)-CDS_Parameters!$B$26)</f>
        <v/>
      </c>
    </row>
    <row r="169">
      <c r="B169" s="76">
        <f>IF(T168&lt;0,D168,B168)</f>
        <v/>
      </c>
      <c r="C169" s="76">
        <f>IF(T168&lt;0,C168,D168)</f>
        <v/>
      </c>
      <c r="D169" s="76">
        <f>(B169+C169)/2</f>
        <v/>
      </c>
      <c r="E169" s="76">
        <f>$B$137</f>
        <v/>
      </c>
      <c r="F169" s="76">
        <f>$B$137*EXP(-$D169*F$143)</f>
        <v/>
      </c>
      <c r="G169" s="76">
        <f>$B$137*EXP(-$D169*G$143)</f>
        <v/>
      </c>
      <c r="H169" s="76">
        <f>$B$137*EXP(-$D169*H$143)</f>
        <v/>
      </c>
      <c r="I169" s="76">
        <f>$B$137*EXP(-$D169*I$143)</f>
        <v/>
      </c>
      <c r="J169" s="76">
        <f>$B$137*EXP(-$D169*J$143)</f>
        <v/>
      </c>
      <c r="K169" s="76">
        <f>$B$137*EXP(-$D169*K$143)</f>
        <v/>
      </c>
      <c r="L169" s="76">
        <f>$B$137*EXP(-$D169*L$143)</f>
        <v/>
      </c>
      <c r="M169" s="76">
        <f>$B$137*EXP(-$D169*M$143)</f>
        <v/>
      </c>
      <c r="N169" s="76">
        <f>M169</f>
        <v/>
      </c>
      <c r="O169" s="76">
        <f>N169</f>
        <v/>
      </c>
      <c r="P169" s="76">
        <f>O169</f>
        <v/>
      </c>
      <c r="Q169" s="76">
        <f>P169</f>
        <v/>
      </c>
      <c r="R169" s="76">
        <f>SUMPRODUCT($F$142:$Q$142,$E169:$P169-$F169:$Q169)</f>
        <v/>
      </c>
      <c r="S169" s="76">
        <f>SUMPRODUCT($F$139:$Q$139,$F$141:$Q$141,$F169:$Q169)+0.5*SUMPRODUCT($F$139:$Q$139,$F$142:$Q$142,$E169:$P169-$F169:$Q169)</f>
        <v/>
      </c>
      <c r="T169" s="76">
        <f>(1-$F$136)*($D$137+R169)-$D$136*(($F$137+S169)-CDS_Parameters!$B$26)</f>
        <v/>
      </c>
    </row>
    <row r="170">
      <c r="B170" s="76">
        <f>IF(T169&lt;0,D169,B169)</f>
        <v/>
      </c>
      <c r="C170" s="76">
        <f>IF(T169&lt;0,C169,D169)</f>
        <v/>
      </c>
      <c r="D170" s="76">
        <f>(B170+C170)/2</f>
        <v/>
      </c>
      <c r="E170" s="76">
        <f>$B$137</f>
        <v/>
      </c>
      <c r="F170" s="76">
        <f>$B$137*EXP(-$D170*F$143)</f>
        <v/>
      </c>
      <c r="G170" s="76">
        <f>$B$137*EXP(-$D170*G$143)</f>
        <v/>
      </c>
      <c r="H170" s="76">
        <f>$B$137*EXP(-$D170*H$143)</f>
        <v/>
      </c>
      <c r="I170" s="76">
        <f>$B$137*EXP(-$D170*I$143)</f>
        <v/>
      </c>
      <c r="J170" s="76">
        <f>$B$137*EXP(-$D170*J$143)</f>
        <v/>
      </c>
      <c r="K170" s="76">
        <f>$B$137*EXP(-$D170*K$143)</f>
        <v/>
      </c>
      <c r="L170" s="76">
        <f>$B$137*EXP(-$D170*L$143)</f>
        <v/>
      </c>
      <c r="M170" s="76">
        <f>$B$137*EXP(-$D170*M$143)</f>
        <v/>
      </c>
      <c r="N170" s="76">
        <f>M170</f>
        <v/>
      </c>
      <c r="O170" s="76">
        <f>N170</f>
        <v/>
      </c>
      <c r="P170" s="76">
        <f>O170</f>
        <v/>
      </c>
      <c r="Q170" s="76">
        <f>P170</f>
        <v/>
      </c>
      <c r="R170" s="76">
        <f>SUMPRODUCT($F$142:$Q$142,$E170:$P170-$F170:$Q170)</f>
        <v/>
      </c>
      <c r="S170" s="76">
        <f>SUMPRODUCT($F$139:$Q$139,$F$141:$Q$141,$F170:$Q170)+0.5*SUMPRODUCT($F$139:$Q$139,$F$142:$Q$142,$E170:$P170-$F170:$Q170)</f>
        <v/>
      </c>
      <c r="T170" s="76">
        <f>(1-$F$136)*($D$137+R170)-$D$136*(($F$137+S170)-CDS_Parameters!$B$26)</f>
        <v/>
      </c>
    </row>
    <row r="171">
      <c r="B171" s="76">
        <f>IF(T170&lt;0,D170,B170)</f>
        <v/>
      </c>
      <c r="C171" s="76">
        <f>IF(T170&lt;0,C170,D170)</f>
        <v/>
      </c>
      <c r="D171" s="76">
        <f>(B171+C171)/2</f>
        <v/>
      </c>
      <c r="E171" s="76">
        <f>$B$137</f>
        <v/>
      </c>
      <c r="F171" s="76">
        <f>$B$137*EXP(-$D171*F$143)</f>
        <v/>
      </c>
      <c r="G171" s="76">
        <f>$B$137*EXP(-$D171*G$143)</f>
        <v/>
      </c>
      <c r="H171" s="76">
        <f>$B$137*EXP(-$D171*H$143)</f>
        <v/>
      </c>
      <c r="I171" s="76">
        <f>$B$137*EXP(-$D171*I$143)</f>
        <v/>
      </c>
      <c r="J171" s="76">
        <f>$B$137*EXP(-$D171*J$143)</f>
        <v/>
      </c>
      <c r="K171" s="76">
        <f>$B$137*EXP(-$D171*K$143)</f>
        <v/>
      </c>
      <c r="L171" s="76">
        <f>$B$137*EXP(-$D171*L$143)</f>
        <v/>
      </c>
      <c r="M171" s="76">
        <f>$B$137*EXP(-$D171*M$143)</f>
        <v/>
      </c>
      <c r="N171" s="76">
        <f>M171</f>
        <v/>
      </c>
      <c r="O171" s="76">
        <f>N171</f>
        <v/>
      </c>
      <c r="P171" s="76">
        <f>O171</f>
        <v/>
      </c>
      <c r="Q171" s="76">
        <f>P171</f>
        <v/>
      </c>
      <c r="R171" s="76">
        <f>SUMPRODUCT($F$142:$Q$142,$E171:$P171-$F171:$Q171)</f>
        <v/>
      </c>
      <c r="S171" s="76">
        <f>SUMPRODUCT($F$139:$Q$139,$F$141:$Q$141,$F171:$Q171)+0.5*SUMPRODUCT($F$139:$Q$139,$F$142:$Q$142,$E171:$P171-$F171:$Q171)</f>
        <v/>
      </c>
      <c r="T171" s="76">
        <f>(1-$F$136)*($D$137+R171)-$D$136*(($F$137+S171)-CDS_Parameters!$B$26)</f>
        <v/>
      </c>
    </row>
    <row r="172">
      <c r="B172" s="76">
        <f>IF(T171&lt;0,D171,B171)</f>
        <v/>
      </c>
      <c r="C172" s="76">
        <f>IF(T171&lt;0,C171,D171)</f>
        <v/>
      </c>
      <c r="D172" s="76">
        <f>(B172+C172)/2</f>
        <v/>
      </c>
      <c r="E172" s="76">
        <f>$B$137</f>
        <v/>
      </c>
      <c r="F172" s="76">
        <f>$B$137*EXP(-$D172*F$143)</f>
        <v/>
      </c>
      <c r="G172" s="76">
        <f>$B$137*EXP(-$D172*G$143)</f>
        <v/>
      </c>
      <c r="H172" s="76">
        <f>$B$137*EXP(-$D172*H$143)</f>
        <v/>
      </c>
      <c r="I172" s="76">
        <f>$B$137*EXP(-$D172*I$143)</f>
        <v/>
      </c>
      <c r="J172" s="76">
        <f>$B$137*EXP(-$D172*J$143)</f>
        <v/>
      </c>
      <c r="K172" s="76">
        <f>$B$137*EXP(-$D172*K$143)</f>
        <v/>
      </c>
      <c r="L172" s="76">
        <f>$B$137*EXP(-$D172*L$143)</f>
        <v/>
      </c>
      <c r="M172" s="76">
        <f>$B$137*EXP(-$D172*M$143)</f>
        <v/>
      </c>
      <c r="N172" s="76">
        <f>M172</f>
        <v/>
      </c>
      <c r="O172" s="76">
        <f>N172</f>
        <v/>
      </c>
      <c r="P172" s="76">
        <f>O172</f>
        <v/>
      </c>
      <c r="Q172" s="76">
        <f>P172</f>
        <v/>
      </c>
      <c r="R172" s="76">
        <f>SUMPRODUCT($F$142:$Q$142,$E172:$P172-$F172:$Q172)</f>
        <v/>
      </c>
      <c r="S172" s="76">
        <f>SUMPRODUCT($F$139:$Q$139,$F$141:$Q$141,$F172:$Q172)+0.5*SUMPRODUCT($F$139:$Q$139,$F$142:$Q$142,$E172:$P172-$F172:$Q172)</f>
        <v/>
      </c>
      <c r="T172" s="76">
        <f>(1-$F$136)*($D$137+R172)-$D$136*(($F$137+S172)-CDS_Parameters!$B$26)</f>
        <v/>
      </c>
    </row>
    <row r="173">
      <c r="B173" s="76">
        <f>IF(T172&lt;0,D172,B172)</f>
        <v/>
      </c>
      <c r="C173" s="76">
        <f>IF(T172&lt;0,C172,D172)</f>
        <v/>
      </c>
      <c r="D173" s="76">
        <f>(B173+C173)/2</f>
        <v/>
      </c>
      <c r="E173" s="76">
        <f>$B$137</f>
        <v/>
      </c>
      <c r="F173" s="76">
        <f>$B$137*EXP(-$D173*F$143)</f>
        <v/>
      </c>
      <c r="G173" s="76">
        <f>$B$137*EXP(-$D173*G$143)</f>
        <v/>
      </c>
      <c r="H173" s="76">
        <f>$B$137*EXP(-$D173*H$143)</f>
        <v/>
      </c>
      <c r="I173" s="76">
        <f>$B$137*EXP(-$D173*I$143)</f>
        <v/>
      </c>
      <c r="J173" s="76">
        <f>$B$137*EXP(-$D173*J$143)</f>
        <v/>
      </c>
      <c r="K173" s="76">
        <f>$B$137*EXP(-$D173*K$143)</f>
        <v/>
      </c>
      <c r="L173" s="76">
        <f>$B$137*EXP(-$D173*L$143)</f>
        <v/>
      </c>
      <c r="M173" s="76">
        <f>$B$137*EXP(-$D173*M$143)</f>
        <v/>
      </c>
      <c r="N173" s="76">
        <f>M173</f>
        <v/>
      </c>
      <c r="O173" s="76">
        <f>N173</f>
        <v/>
      </c>
      <c r="P173" s="76">
        <f>O173</f>
        <v/>
      </c>
      <c r="Q173" s="76">
        <f>P173</f>
        <v/>
      </c>
      <c r="R173" s="76">
        <f>SUMPRODUCT($F$142:$Q$142,$E173:$P173-$F173:$Q173)</f>
        <v/>
      </c>
      <c r="S173" s="76">
        <f>SUMPRODUCT($F$139:$Q$139,$F$141:$Q$141,$F173:$Q173)+0.5*SUMPRODUCT($F$139:$Q$139,$F$142:$Q$142,$E173:$P173-$F173:$Q173)</f>
        <v/>
      </c>
      <c r="T173" s="76">
        <f>(1-$F$136)*($D$137+R173)-$D$136*(($F$137+S173)-CDS_Parameters!$B$26)</f>
        <v/>
      </c>
    </row>
    <row r="174">
      <c r="B174" s="76">
        <f>IF(T173&lt;0,D173,B173)</f>
        <v/>
      </c>
      <c r="C174" s="76">
        <f>IF(T173&lt;0,C173,D173)</f>
        <v/>
      </c>
      <c r="D174" s="76">
        <f>(B174+C174)/2</f>
        <v/>
      </c>
      <c r="E174" s="76">
        <f>$B$137</f>
        <v/>
      </c>
      <c r="F174" s="76">
        <f>$B$137*EXP(-$D174*F$143)</f>
        <v/>
      </c>
      <c r="G174" s="76">
        <f>$B$137*EXP(-$D174*G$143)</f>
        <v/>
      </c>
      <c r="H174" s="76">
        <f>$B$137*EXP(-$D174*H$143)</f>
        <v/>
      </c>
      <c r="I174" s="76">
        <f>$B$137*EXP(-$D174*I$143)</f>
        <v/>
      </c>
      <c r="J174" s="76">
        <f>$B$137*EXP(-$D174*J$143)</f>
        <v/>
      </c>
      <c r="K174" s="76">
        <f>$B$137*EXP(-$D174*K$143)</f>
        <v/>
      </c>
      <c r="L174" s="76">
        <f>$B$137*EXP(-$D174*L$143)</f>
        <v/>
      </c>
      <c r="M174" s="76">
        <f>$B$137*EXP(-$D174*M$143)</f>
        <v/>
      </c>
      <c r="N174" s="76">
        <f>M174</f>
        <v/>
      </c>
      <c r="O174" s="76">
        <f>N174</f>
        <v/>
      </c>
      <c r="P174" s="76">
        <f>O174</f>
        <v/>
      </c>
      <c r="Q174" s="76">
        <f>P174</f>
        <v/>
      </c>
      <c r="R174" s="76">
        <f>SUMPRODUCT($F$142:$Q$142,$E174:$P174-$F174:$Q174)</f>
        <v/>
      </c>
      <c r="S174" s="76">
        <f>SUMPRODUCT($F$139:$Q$139,$F$141:$Q$141,$F174:$Q174)+0.5*SUMPRODUCT($F$139:$Q$139,$F$142:$Q$142,$E174:$P174-$F174:$Q174)</f>
        <v/>
      </c>
      <c r="T174" s="76">
        <f>(1-$F$136)*($D$137+R174)-$D$136*(($F$137+S174)-CDS_Parameters!$B$26)</f>
        <v/>
      </c>
    </row>
    <row r="175">
      <c r="A175" s="67" t="inlineStr">
        <is>
          <t>lambda4 SOLVED</t>
        </is>
      </c>
      <c r="B175" s="71">
        <f>D174</f>
        <v/>
      </c>
      <c r="C175" s="67" t="inlineStr">
        <is>
          <t>resid</t>
        </is>
      </c>
      <c r="D175" s="72">
        <f>T174</f>
        <v/>
      </c>
      <c r="E175" s="67" t="inlineStr">
        <is>
          <t>Q(T_k)</t>
        </is>
      </c>
      <c r="F175" s="76">
        <f>Q174</f>
        <v/>
      </c>
      <c r="G175" s="67" t="inlineStr">
        <is>
          <t>ProtCum</t>
        </is>
      </c>
      <c r="H175" s="76">
        <f>$D$137+R174</f>
        <v/>
      </c>
      <c r="I175" s="67" t="inlineStr">
        <is>
          <t>RPV01Cum</t>
        </is>
      </c>
      <c r="J175" s="76">
        <f>$F$137+S174</f>
        <v/>
      </c>
      <c r="K175" s="67" t="inlineStr">
        <is>
          <t>model S (bp)</t>
        </is>
      </c>
      <c r="L175" s="63">
        <f>IFERROR((1-$F$136)*H175/J175*10000,0)</f>
        <v/>
      </c>
    </row>
    <row r="178">
      <c r="A178" s="73" t="inlineStr">
        <is>
          <t>TENOR 7Y: periods 21-28   -   solve lambda5</t>
        </is>
      </c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</row>
    <row r="179">
      <c r="A179" s="67" t="inlineStr">
        <is>
          <t>market S (bp)</t>
        </is>
      </c>
      <c r="B179" s="75">
        <f>Hazard_Bootstrap!$C$11</f>
        <v/>
      </c>
      <c r="C179" s="67" t="inlineStr">
        <is>
          <t>S (dec)</t>
        </is>
      </c>
      <c r="D179" s="76">
        <f>B179/10000</f>
        <v/>
      </c>
      <c r="E179" s="67" t="inlineStr">
        <is>
          <t>recovery R</t>
        </is>
      </c>
      <c r="F179" s="77">
        <f>CDS_Parameters!$B$8</f>
        <v/>
      </c>
    </row>
    <row r="180">
      <c r="A180" s="67" t="inlineStr">
        <is>
          <t>Q(start)</t>
        </is>
      </c>
      <c r="B180" s="76">
        <f>$F$175</f>
        <v/>
      </c>
      <c r="C180" s="67" t="inlineStr">
        <is>
          <t>ProtFixed</t>
        </is>
      </c>
      <c r="D180" s="76">
        <f>$H$175</f>
        <v/>
      </c>
      <c r="E180" s="67" t="inlineStr">
        <is>
          <t>RPV01Fixed</t>
        </is>
      </c>
      <c r="F180" s="76">
        <f>$J$175</f>
        <v/>
      </c>
    </row>
    <row r="181">
      <c r="A181" s="67" t="inlineStr">
        <is>
          <t>period</t>
        </is>
      </c>
      <c r="F181" s="78" t="n">
        <v>21</v>
      </c>
      <c r="G181" s="78" t="n">
        <v>22</v>
      </c>
      <c r="H181" s="78" t="n">
        <v>23</v>
      </c>
      <c r="I181" s="78" t="n">
        <v>24</v>
      </c>
      <c r="J181" s="78" t="n">
        <v>25</v>
      </c>
      <c r="K181" s="78" t="n">
        <v>26</v>
      </c>
      <c r="L181" s="78" t="n">
        <v>27</v>
      </c>
      <c r="M181" s="78" t="n">
        <v>28</v>
      </c>
      <c r="N181" s="78" t="inlineStr"/>
      <c r="O181" s="78" t="inlineStr"/>
      <c r="P181" s="78" t="inlineStr"/>
      <c r="Q181" s="78" t="inlineStr"/>
    </row>
    <row r="182">
      <c r="A182" s="67" t="inlineStr">
        <is>
          <t>alpha 360</t>
        </is>
      </c>
      <c r="F182" s="79">
        <f>CDS_Schedule!$D$27</f>
        <v/>
      </c>
      <c r="G182" s="79">
        <f>CDS_Schedule!$D$28</f>
        <v/>
      </c>
      <c r="H182" s="79">
        <f>CDS_Schedule!$D$29</f>
        <v/>
      </c>
      <c r="I182" s="79">
        <f>CDS_Schedule!$D$30</f>
        <v/>
      </c>
      <c r="J182" s="79">
        <f>CDS_Schedule!$D$31</f>
        <v/>
      </c>
      <c r="K182" s="79">
        <f>CDS_Schedule!$D$32</f>
        <v/>
      </c>
      <c r="L182" s="79">
        <f>CDS_Schedule!$D$33</f>
        <v/>
      </c>
      <c r="M182" s="79">
        <f>CDS_Schedule!$D$34</f>
        <v/>
      </c>
      <c r="N182" s="80" t="n">
        <v>0</v>
      </c>
      <c r="O182" s="80" t="n">
        <v>0</v>
      </c>
      <c r="P182" s="80" t="n">
        <v>0</v>
      </c>
      <c r="Q182" s="80" t="n">
        <v>0</v>
      </c>
    </row>
    <row r="183">
      <c r="A183" s="67" t="inlineStr">
        <is>
          <t>dt 365</t>
        </is>
      </c>
      <c r="F183" s="79">
        <f>CDS_Schedule!$E$27</f>
        <v/>
      </c>
      <c r="G183" s="79">
        <f>CDS_Schedule!$E$28</f>
        <v/>
      </c>
      <c r="H183" s="79">
        <f>CDS_Schedule!$E$29</f>
        <v/>
      </c>
      <c r="I183" s="79">
        <f>CDS_Schedule!$E$30</f>
        <v/>
      </c>
      <c r="J183" s="79">
        <f>CDS_Schedule!$E$31</f>
        <v/>
      </c>
      <c r="K183" s="79">
        <f>CDS_Schedule!$E$32</f>
        <v/>
      </c>
      <c r="L183" s="79">
        <f>CDS_Schedule!$E$33</f>
        <v/>
      </c>
      <c r="M183" s="79">
        <f>CDS_Schedule!$E$34</f>
        <v/>
      </c>
      <c r="N183" s="80" t="n">
        <v>0</v>
      </c>
      <c r="O183" s="80" t="n">
        <v>0</v>
      </c>
      <c r="P183" s="80" t="n">
        <v>0</v>
      </c>
      <c r="Q183" s="80" t="n">
        <v>0</v>
      </c>
    </row>
    <row r="184">
      <c r="A184" s="67" t="inlineStr">
        <is>
          <t>DF(end)</t>
        </is>
      </c>
      <c r="F184" s="79">
        <f>CDS_Schedule!$G$27</f>
        <v/>
      </c>
      <c r="G184" s="79">
        <f>CDS_Schedule!$G$28</f>
        <v/>
      </c>
      <c r="H184" s="79">
        <f>CDS_Schedule!$G$29</f>
        <v/>
      </c>
      <c r="I184" s="79">
        <f>CDS_Schedule!$G$30</f>
        <v/>
      </c>
      <c r="J184" s="79">
        <f>CDS_Schedule!$G$31</f>
        <v/>
      </c>
      <c r="K184" s="79">
        <f>CDS_Schedule!$G$32</f>
        <v/>
      </c>
      <c r="L184" s="79">
        <f>CDS_Schedule!$G$33</f>
        <v/>
      </c>
      <c r="M184" s="79">
        <f>CDS_Schedule!$G$34</f>
        <v/>
      </c>
      <c r="N184" s="80" t="n">
        <v>0</v>
      </c>
      <c r="O184" s="80" t="n">
        <v>0</v>
      </c>
      <c r="P184" s="80" t="n">
        <v>0</v>
      </c>
      <c r="Q184" s="80" t="n">
        <v>0</v>
      </c>
    </row>
    <row r="185">
      <c r="A185" s="67" t="inlineStr">
        <is>
          <t>DF(mid)</t>
        </is>
      </c>
      <c r="F185" s="79">
        <f>CDS_Schedule!$H$27</f>
        <v/>
      </c>
      <c r="G185" s="79">
        <f>CDS_Schedule!$H$28</f>
        <v/>
      </c>
      <c r="H185" s="79">
        <f>CDS_Schedule!$H$29</f>
        <v/>
      </c>
      <c r="I185" s="79">
        <f>CDS_Schedule!$H$30</f>
        <v/>
      </c>
      <c r="J185" s="79">
        <f>CDS_Schedule!$H$31</f>
        <v/>
      </c>
      <c r="K185" s="79">
        <f>CDS_Schedule!$H$32</f>
        <v/>
      </c>
      <c r="L185" s="79">
        <f>CDS_Schedule!$H$33</f>
        <v/>
      </c>
      <c r="M185" s="79">
        <f>CDS_Schedule!$H$34</f>
        <v/>
      </c>
      <c r="N185" s="80" t="n">
        <v>0</v>
      </c>
      <c r="O185" s="80" t="n">
        <v>0</v>
      </c>
      <c r="P185" s="80" t="n">
        <v>0</v>
      </c>
      <c r="Q185" s="80" t="n">
        <v>0</v>
      </c>
    </row>
    <row r="186">
      <c r="A186" s="67" t="inlineStr">
        <is>
          <t>cum dt in seg</t>
        </is>
      </c>
      <c r="F186" s="80">
        <f>0+F183</f>
        <v/>
      </c>
      <c r="G186" s="80">
        <f>F186+G183</f>
        <v/>
      </c>
      <c r="H186" s="80">
        <f>G186+H183</f>
        <v/>
      </c>
      <c r="I186" s="80">
        <f>H186+I183</f>
        <v/>
      </c>
      <c r="J186" s="80">
        <f>I186+J183</f>
        <v/>
      </c>
      <c r="K186" s="80">
        <f>J186+K183</f>
        <v/>
      </c>
      <c r="L186" s="80">
        <f>K186+L183</f>
        <v/>
      </c>
      <c r="M186" s="80">
        <f>L186+M183</f>
        <v/>
      </c>
      <c r="N186" s="80">
        <f>M186+N183</f>
        <v/>
      </c>
      <c r="O186" s="80">
        <f>N186+O183</f>
        <v/>
      </c>
      <c r="P186" s="80">
        <f>O186+P183</f>
        <v/>
      </c>
      <c r="Q186" s="80">
        <f>P186+Q183</f>
        <v/>
      </c>
    </row>
    <row r="187">
      <c r="A187" s="67" t="inlineStr">
        <is>
          <t>bisection</t>
        </is>
      </c>
      <c r="B187" s="62" t="inlineStr">
        <is>
          <t>lo</t>
        </is>
      </c>
      <c r="C187" s="62" t="inlineStr">
        <is>
          <t>hi</t>
        </is>
      </c>
      <c r="D187" s="62" t="inlineStr">
        <is>
          <t>lambda trial</t>
        </is>
      </c>
      <c r="E187" s="62" t="inlineStr">
        <is>
          <t>Q(start)</t>
        </is>
      </c>
      <c r="R187" s="62" t="inlineStr">
        <is>
          <t>ProtSeg</t>
        </is>
      </c>
      <c r="S187" s="62" t="inlineStr">
        <is>
          <t>RPV01Seg</t>
        </is>
      </c>
      <c r="T187" s="62" t="inlineStr">
        <is>
          <t>f(lambda)</t>
        </is>
      </c>
    </row>
    <row r="188">
      <c r="B188" s="76" t="n">
        <v>0</v>
      </c>
      <c r="C188" s="76" t="n">
        <v>3</v>
      </c>
      <c r="D188" s="76">
        <f>(B188+C188)/2</f>
        <v/>
      </c>
      <c r="E188" s="76">
        <f>$B$180</f>
        <v/>
      </c>
      <c r="F188" s="76">
        <f>$B$180*EXP(-$D188*F$186)</f>
        <v/>
      </c>
      <c r="G188" s="76">
        <f>$B$180*EXP(-$D188*G$186)</f>
        <v/>
      </c>
      <c r="H188" s="76">
        <f>$B$180*EXP(-$D188*H$186)</f>
        <v/>
      </c>
      <c r="I188" s="76">
        <f>$B$180*EXP(-$D188*I$186)</f>
        <v/>
      </c>
      <c r="J188" s="76">
        <f>$B$180*EXP(-$D188*J$186)</f>
        <v/>
      </c>
      <c r="K188" s="76">
        <f>$B$180*EXP(-$D188*K$186)</f>
        <v/>
      </c>
      <c r="L188" s="76">
        <f>$B$180*EXP(-$D188*L$186)</f>
        <v/>
      </c>
      <c r="M188" s="76">
        <f>$B$180*EXP(-$D188*M$186)</f>
        <v/>
      </c>
      <c r="N188" s="76">
        <f>M188</f>
        <v/>
      </c>
      <c r="O188" s="76">
        <f>N188</f>
        <v/>
      </c>
      <c r="P188" s="76">
        <f>O188</f>
        <v/>
      </c>
      <c r="Q188" s="76">
        <f>P188</f>
        <v/>
      </c>
      <c r="R188" s="76">
        <f>SUMPRODUCT($F$185:$Q$185,$E188:$P188-$F188:$Q188)</f>
        <v/>
      </c>
      <c r="S188" s="76">
        <f>SUMPRODUCT($F$182:$Q$182,$F$184:$Q$184,$F188:$Q188)+0.5*SUMPRODUCT($F$182:$Q$182,$F$185:$Q$185,$E188:$P188-$F188:$Q188)</f>
        <v/>
      </c>
      <c r="T188" s="76">
        <f>(1-$F$179)*($D$180+R188)-$D$179*(($F$180+S188)-CDS_Parameters!$B$26)</f>
        <v/>
      </c>
    </row>
    <row r="189">
      <c r="B189" s="76">
        <f>IF(T188&lt;0,D188,B188)</f>
        <v/>
      </c>
      <c r="C189" s="76">
        <f>IF(T188&lt;0,C188,D188)</f>
        <v/>
      </c>
      <c r="D189" s="76">
        <f>(B189+C189)/2</f>
        <v/>
      </c>
      <c r="E189" s="76">
        <f>$B$180</f>
        <v/>
      </c>
      <c r="F189" s="76">
        <f>$B$180*EXP(-$D189*F$186)</f>
        <v/>
      </c>
      <c r="G189" s="76">
        <f>$B$180*EXP(-$D189*G$186)</f>
        <v/>
      </c>
      <c r="H189" s="76">
        <f>$B$180*EXP(-$D189*H$186)</f>
        <v/>
      </c>
      <c r="I189" s="76">
        <f>$B$180*EXP(-$D189*I$186)</f>
        <v/>
      </c>
      <c r="J189" s="76">
        <f>$B$180*EXP(-$D189*J$186)</f>
        <v/>
      </c>
      <c r="K189" s="76">
        <f>$B$180*EXP(-$D189*K$186)</f>
        <v/>
      </c>
      <c r="L189" s="76">
        <f>$B$180*EXP(-$D189*L$186)</f>
        <v/>
      </c>
      <c r="M189" s="76">
        <f>$B$180*EXP(-$D189*M$186)</f>
        <v/>
      </c>
      <c r="N189" s="76">
        <f>M189</f>
        <v/>
      </c>
      <c r="O189" s="76">
        <f>N189</f>
        <v/>
      </c>
      <c r="P189" s="76">
        <f>O189</f>
        <v/>
      </c>
      <c r="Q189" s="76">
        <f>P189</f>
        <v/>
      </c>
      <c r="R189" s="76">
        <f>SUMPRODUCT($F$185:$Q$185,$E189:$P189-$F189:$Q189)</f>
        <v/>
      </c>
      <c r="S189" s="76">
        <f>SUMPRODUCT($F$182:$Q$182,$F$184:$Q$184,$F189:$Q189)+0.5*SUMPRODUCT($F$182:$Q$182,$F$185:$Q$185,$E189:$P189-$F189:$Q189)</f>
        <v/>
      </c>
      <c r="T189" s="76">
        <f>(1-$F$179)*($D$180+R189)-$D$179*(($F$180+S189)-CDS_Parameters!$B$26)</f>
        <v/>
      </c>
    </row>
    <row r="190">
      <c r="B190" s="76">
        <f>IF(T189&lt;0,D189,B189)</f>
        <v/>
      </c>
      <c r="C190" s="76">
        <f>IF(T189&lt;0,C189,D189)</f>
        <v/>
      </c>
      <c r="D190" s="76">
        <f>(B190+C190)/2</f>
        <v/>
      </c>
      <c r="E190" s="76">
        <f>$B$180</f>
        <v/>
      </c>
      <c r="F190" s="76">
        <f>$B$180*EXP(-$D190*F$186)</f>
        <v/>
      </c>
      <c r="G190" s="76">
        <f>$B$180*EXP(-$D190*G$186)</f>
        <v/>
      </c>
      <c r="H190" s="76">
        <f>$B$180*EXP(-$D190*H$186)</f>
        <v/>
      </c>
      <c r="I190" s="76">
        <f>$B$180*EXP(-$D190*I$186)</f>
        <v/>
      </c>
      <c r="J190" s="76">
        <f>$B$180*EXP(-$D190*J$186)</f>
        <v/>
      </c>
      <c r="K190" s="76">
        <f>$B$180*EXP(-$D190*K$186)</f>
        <v/>
      </c>
      <c r="L190" s="76">
        <f>$B$180*EXP(-$D190*L$186)</f>
        <v/>
      </c>
      <c r="M190" s="76">
        <f>$B$180*EXP(-$D190*M$186)</f>
        <v/>
      </c>
      <c r="N190" s="76">
        <f>M190</f>
        <v/>
      </c>
      <c r="O190" s="76">
        <f>N190</f>
        <v/>
      </c>
      <c r="P190" s="76">
        <f>O190</f>
        <v/>
      </c>
      <c r="Q190" s="76">
        <f>P190</f>
        <v/>
      </c>
      <c r="R190" s="76">
        <f>SUMPRODUCT($F$185:$Q$185,$E190:$P190-$F190:$Q190)</f>
        <v/>
      </c>
      <c r="S190" s="76">
        <f>SUMPRODUCT($F$182:$Q$182,$F$184:$Q$184,$F190:$Q190)+0.5*SUMPRODUCT($F$182:$Q$182,$F$185:$Q$185,$E190:$P190-$F190:$Q190)</f>
        <v/>
      </c>
      <c r="T190" s="76">
        <f>(1-$F$179)*($D$180+R190)-$D$179*(($F$180+S190)-CDS_Parameters!$B$26)</f>
        <v/>
      </c>
    </row>
    <row r="191">
      <c r="B191" s="76">
        <f>IF(T190&lt;0,D190,B190)</f>
        <v/>
      </c>
      <c r="C191" s="76">
        <f>IF(T190&lt;0,C190,D190)</f>
        <v/>
      </c>
      <c r="D191" s="76">
        <f>(B191+C191)/2</f>
        <v/>
      </c>
      <c r="E191" s="76">
        <f>$B$180</f>
        <v/>
      </c>
      <c r="F191" s="76">
        <f>$B$180*EXP(-$D191*F$186)</f>
        <v/>
      </c>
      <c r="G191" s="76">
        <f>$B$180*EXP(-$D191*G$186)</f>
        <v/>
      </c>
      <c r="H191" s="76">
        <f>$B$180*EXP(-$D191*H$186)</f>
        <v/>
      </c>
      <c r="I191" s="76">
        <f>$B$180*EXP(-$D191*I$186)</f>
        <v/>
      </c>
      <c r="J191" s="76">
        <f>$B$180*EXP(-$D191*J$186)</f>
        <v/>
      </c>
      <c r="K191" s="76">
        <f>$B$180*EXP(-$D191*K$186)</f>
        <v/>
      </c>
      <c r="L191" s="76">
        <f>$B$180*EXP(-$D191*L$186)</f>
        <v/>
      </c>
      <c r="M191" s="76">
        <f>$B$180*EXP(-$D191*M$186)</f>
        <v/>
      </c>
      <c r="N191" s="76">
        <f>M191</f>
        <v/>
      </c>
      <c r="O191" s="76">
        <f>N191</f>
        <v/>
      </c>
      <c r="P191" s="76">
        <f>O191</f>
        <v/>
      </c>
      <c r="Q191" s="76">
        <f>P191</f>
        <v/>
      </c>
      <c r="R191" s="76">
        <f>SUMPRODUCT($F$185:$Q$185,$E191:$P191-$F191:$Q191)</f>
        <v/>
      </c>
      <c r="S191" s="76">
        <f>SUMPRODUCT($F$182:$Q$182,$F$184:$Q$184,$F191:$Q191)+0.5*SUMPRODUCT($F$182:$Q$182,$F$185:$Q$185,$E191:$P191-$F191:$Q191)</f>
        <v/>
      </c>
      <c r="T191" s="76">
        <f>(1-$F$179)*($D$180+R191)-$D$179*(($F$180+S191)-CDS_Parameters!$B$26)</f>
        <v/>
      </c>
    </row>
    <row r="192">
      <c r="B192" s="76">
        <f>IF(T191&lt;0,D191,B191)</f>
        <v/>
      </c>
      <c r="C192" s="76">
        <f>IF(T191&lt;0,C191,D191)</f>
        <v/>
      </c>
      <c r="D192" s="76">
        <f>(B192+C192)/2</f>
        <v/>
      </c>
      <c r="E192" s="76">
        <f>$B$180</f>
        <v/>
      </c>
      <c r="F192" s="76">
        <f>$B$180*EXP(-$D192*F$186)</f>
        <v/>
      </c>
      <c r="G192" s="76">
        <f>$B$180*EXP(-$D192*G$186)</f>
        <v/>
      </c>
      <c r="H192" s="76">
        <f>$B$180*EXP(-$D192*H$186)</f>
        <v/>
      </c>
      <c r="I192" s="76">
        <f>$B$180*EXP(-$D192*I$186)</f>
        <v/>
      </c>
      <c r="J192" s="76">
        <f>$B$180*EXP(-$D192*J$186)</f>
        <v/>
      </c>
      <c r="K192" s="76">
        <f>$B$180*EXP(-$D192*K$186)</f>
        <v/>
      </c>
      <c r="L192" s="76">
        <f>$B$180*EXP(-$D192*L$186)</f>
        <v/>
      </c>
      <c r="M192" s="76">
        <f>$B$180*EXP(-$D192*M$186)</f>
        <v/>
      </c>
      <c r="N192" s="76">
        <f>M192</f>
        <v/>
      </c>
      <c r="O192" s="76">
        <f>N192</f>
        <v/>
      </c>
      <c r="P192" s="76">
        <f>O192</f>
        <v/>
      </c>
      <c r="Q192" s="76">
        <f>P192</f>
        <v/>
      </c>
      <c r="R192" s="76">
        <f>SUMPRODUCT($F$185:$Q$185,$E192:$P192-$F192:$Q192)</f>
        <v/>
      </c>
      <c r="S192" s="76">
        <f>SUMPRODUCT($F$182:$Q$182,$F$184:$Q$184,$F192:$Q192)+0.5*SUMPRODUCT($F$182:$Q$182,$F$185:$Q$185,$E192:$P192-$F192:$Q192)</f>
        <v/>
      </c>
      <c r="T192" s="76">
        <f>(1-$F$179)*($D$180+R192)-$D$179*(($F$180+S192)-CDS_Parameters!$B$26)</f>
        <v/>
      </c>
    </row>
    <row r="193">
      <c r="B193" s="76">
        <f>IF(T192&lt;0,D192,B192)</f>
        <v/>
      </c>
      <c r="C193" s="76">
        <f>IF(T192&lt;0,C192,D192)</f>
        <v/>
      </c>
      <c r="D193" s="76">
        <f>(B193+C193)/2</f>
        <v/>
      </c>
      <c r="E193" s="76">
        <f>$B$180</f>
        <v/>
      </c>
      <c r="F193" s="76">
        <f>$B$180*EXP(-$D193*F$186)</f>
        <v/>
      </c>
      <c r="G193" s="76">
        <f>$B$180*EXP(-$D193*G$186)</f>
        <v/>
      </c>
      <c r="H193" s="76">
        <f>$B$180*EXP(-$D193*H$186)</f>
        <v/>
      </c>
      <c r="I193" s="76">
        <f>$B$180*EXP(-$D193*I$186)</f>
        <v/>
      </c>
      <c r="J193" s="76">
        <f>$B$180*EXP(-$D193*J$186)</f>
        <v/>
      </c>
      <c r="K193" s="76">
        <f>$B$180*EXP(-$D193*K$186)</f>
        <v/>
      </c>
      <c r="L193" s="76">
        <f>$B$180*EXP(-$D193*L$186)</f>
        <v/>
      </c>
      <c r="M193" s="76">
        <f>$B$180*EXP(-$D193*M$186)</f>
        <v/>
      </c>
      <c r="N193" s="76">
        <f>M193</f>
        <v/>
      </c>
      <c r="O193" s="76">
        <f>N193</f>
        <v/>
      </c>
      <c r="P193" s="76">
        <f>O193</f>
        <v/>
      </c>
      <c r="Q193" s="76">
        <f>P193</f>
        <v/>
      </c>
      <c r="R193" s="76">
        <f>SUMPRODUCT($F$185:$Q$185,$E193:$P193-$F193:$Q193)</f>
        <v/>
      </c>
      <c r="S193" s="76">
        <f>SUMPRODUCT($F$182:$Q$182,$F$184:$Q$184,$F193:$Q193)+0.5*SUMPRODUCT($F$182:$Q$182,$F$185:$Q$185,$E193:$P193-$F193:$Q193)</f>
        <v/>
      </c>
      <c r="T193" s="76">
        <f>(1-$F$179)*($D$180+R193)-$D$179*(($F$180+S193)-CDS_Parameters!$B$26)</f>
        <v/>
      </c>
    </row>
    <row r="194">
      <c r="B194" s="76">
        <f>IF(T193&lt;0,D193,B193)</f>
        <v/>
      </c>
      <c r="C194" s="76">
        <f>IF(T193&lt;0,C193,D193)</f>
        <v/>
      </c>
      <c r="D194" s="76">
        <f>(B194+C194)/2</f>
        <v/>
      </c>
      <c r="E194" s="76">
        <f>$B$180</f>
        <v/>
      </c>
      <c r="F194" s="76">
        <f>$B$180*EXP(-$D194*F$186)</f>
        <v/>
      </c>
      <c r="G194" s="76">
        <f>$B$180*EXP(-$D194*G$186)</f>
        <v/>
      </c>
      <c r="H194" s="76">
        <f>$B$180*EXP(-$D194*H$186)</f>
        <v/>
      </c>
      <c r="I194" s="76">
        <f>$B$180*EXP(-$D194*I$186)</f>
        <v/>
      </c>
      <c r="J194" s="76">
        <f>$B$180*EXP(-$D194*J$186)</f>
        <v/>
      </c>
      <c r="K194" s="76">
        <f>$B$180*EXP(-$D194*K$186)</f>
        <v/>
      </c>
      <c r="L194" s="76">
        <f>$B$180*EXP(-$D194*L$186)</f>
        <v/>
      </c>
      <c r="M194" s="76">
        <f>$B$180*EXP(-$D194*M$186)</f>
        <v/>
      </c>
      <c r="N194" s="76">
        <f>M194</f>
        <v/>
      </c>
      <c r="O194" s="76">
        <f>N194</f>
        <v/>
      </c>
      <c r="P194" s="76">
        <f>O194</f>
        <v/>
      </c>
      <c r="Q194" s="76">
        <f>P194</f>
        <v/>
      </c>
      <c r="R194" s="76">
        <f>SUMPRODUCT($F$185:$Q$185,$E194:$P194-$F194:$Q194)</f>
        <v/>
      </c>
      <c r="S194" s="76">
        <f>SUMPRODUCT($F$182:$Q$182,$F$184:$Q$184,$F194:$Q194)+0.5*SUMPRODUCT($F$182:$Q$182,$F$185:$Q$185,$E194:$P194-$F194:$Q194)</f>
        <v/>
      </c>
      <c r="T194" s="76">
        <f>(1-$F$179)*($D$180+R194)-$D$179*(($F$180+S194)-CDS_Parameters!$B$26)</f>
        <v/>
      </c>
    </row>
    <row r="195">
      <c r="B195" s="76">
        <f>IF(T194&lt;0,D194,B194)</f>
        <v/>
      </c>
      <c r="C195" s="76">
        <f>IF(T194&lt;0,C194,D194)</f>
        <v/>
      </c>
      <c r="D195" s="76">
        <f>(B195+C195)/2</f>
        <v/>
      </c>
      <c r="E195" s="76">
        <f>$B$180</f>
        <v/>
      </c>
      <c r="F195" s="76">
        <f>$B$180*EXP(-$D195*F$186)</f>
        <v/>
      </c>
      <c r="G195" s="76">
        <f>$B$180*EXP(-$D195*G$186)</f>
        <v/>
      </c>
      <c r="H195" s="76">
        <f>$B$180*EXP(-$D195*H$186)</f>
        <v/>
      </c>
      <c r="I195" s="76">
        <f>$B$180*EXP(-$D195*I$186)</f>
        <v/>
      </c>
      <c r="J195" s="76">
        <f>$B$180*EXP(-$D195*J$186)</f>
        <v/>
      </c>
      <c r="K195" s="76">
        <f>$B$180*EXP(-$D195*K$186)</f>
        <v/>
      </c>
      <c r="L195" s="76">
        <f>$B$180*EXP(-$D195*L$186)</f>
        <v/>
      </c>
      <c r="M195" s="76">
        <f>$B$180*EXP(-$D195*M$186)</f>
        <v/>
      </c>
      <c r="N195" s="76">
        <f>M195</f>
        <v/>
      </c>
      <c r="O195" s="76">
        <f>N195</f>
        <v/>
      </c>
      <c r="P195" s="76">
        <f>O195</f>
        <v/>
      </c>
      <c r="Q195" s="76">
        <f>P195</f>
        <v/>
      </c>
      <c r="R195" s="76">
        <f>SUMPRODUCT($F$185:$Q$185,$E195:$P195-$F195:$Q195)</f>
        <v/>
      </c>
      <c r="S195" s="76">
        <f>SUMPRODUCT($F$182:$Q$182,$F$184:$Q$184,$F195:$Q195)+0.5*SUMPRODUCT($F$182:$Q$182,$F$185:$Q$185,$E195:$P195-$F195:$Q195)</f>
        <v/>
      </c>
      <c r="T195" s="76">
        <f>(1-$F$179)*($D$180+R195)-$D$179*(($F$180+S195)-CDS_Parameters!$B$26)</f>
        <v/>
      </c>
    </row>
    <row r="196">
      <c r="B196" s="76">
        <f>IF(T195&lt;0,D195,B195)</f>
        <v/>
      </c>
      <c r="C196" s="76">
        <f>IF(T195&lt;0,C195,D195)</f>
        <v/>
      </c>
      <c r="D196" s="76">
        <f>(B196+C196)/2</f>
        <v/>
      </c>
      <c r="E196" s="76">
        <f>$B$180</f>
        <v/>
      </c>
      <c r="F196" s="76">
        <f>$B$180*EXP(-$D196*F$186)</f>
        <v/>
      </c>
      <c r="G196" s="76">
        <f>$B$180*EXP(-$D196*G$186)</f>
        <v/>
      </c>
      <c r="H196" s="76">
        <f>$B$180*EXP(-$D196*H$186)</f>
        <v/>
      </c>
      <c r="I196" s="76">
        <f>$B$180*EXP(-$D196*I$186)</f>
        <v/>
      </c>
      <c r="J196" s="76">
        <f>$B$180*EXP(-$D196*J$186)</f>
        <v/>
      </c>
      <c r="K196" s="76">
        <f>$B$180*EXP(-$D196*K$186)</f>
        <v/>
      </c>
      <c r="L196" s="76">
        <f>$B$180*EXP(-$D196*L$186)</f>
        <v/>
      </c>
      <c r="M196" s="76">
        <f>$B$180*EXP(-$D196*M$186)</f>
        <v/>
      </c>
      <c r="N196" s="76">
        <f>M196</f>
        <v/>
      </c>
      <c r="O196" s="76">
        <f>N196</f>
        <v/>
      </c>
      <c r="P196" s="76">
        <f>O196</f>
        <v/>
      </c>
      <c r="Q196" s="76">
        <f>P196</f>
        <v/>
      </c>
      <c r="R196" s="76">
        <f>SUMPRODUCT($F$185:$Q$185,$E196:$P196-$F196:$Q196)</f>
        <v/>
      </c>
      <c r="S196" s="76">
        <f>SUMPRODUCT($F$182:$Q$182,$F$184:$Q$184,$F196:$Q196)+0.5*SUMPRODUCT($F$182:$Q$182,$F$185:$Q$185,$E196:$P196-$F196:$Q196)</f>
        <v/>
      </c>
      <c r="T196" s="76">
        <f>(1-$F$179)*($D$180+R196)-$D$179*(($F$180+S196)-CDS_Parameters!$B$26)</f>
        <v/>
      </c>
    </row>
    <row r="197">
      <c r="B197" s="76">
        <f>IF(T196&lt;0,D196,B196)</f>
        <v/>
      </c>
      <c r="C197" s="76">
        <f>IF(T196&lt;0,C196,D196)</f>
        <v/>
      </c>
      <c r="D197" s="76">
        <f>(B197+C197)/2</f>
        <v/>
      </c>
      <c r="E197" s="76">
        <f>$B$180</f>
        <v/>
      </c>
      <c r="F197" s="76">
        <f>$B$180*EXP(-$D197*F$186)</f>
        <v/>
      </c>
      <c r="G197" s="76">
        <f>$B$180*EXP(-$D197*G$186)</f>
        <v/>
      </c>
      <c r="H197" s="76">
        <f>$B$180*EXP(-$D197*H$186)</f>
        <v/>
      </c>
      <c r="I197" s="76">
        <f>$B$180*EXP(-$D197*I$186)</f>
        <v/>
      </c>
      <c r="J197" s="76">
        <f>$B$180*EXP(-$D197*J$186)</f>
        <v/>
      </c>
      <c r="K197" s="76">
        <f>$B$180*EXP(-$D197*K$186)</f>
        <v/>
      </c>
      <c r="L197" s="76">
        <f>$B$180*EXP(-$D197*L$186)</f>
        <v/>
      </c>
      <c r="M197" s="76">
        <f>$B$180*EXP(-$D197*M$186)</f>
        <v/>
      </c>
      <c r="N197" s="76">
        <f>M197</f>
        <v/>
      </c>
      <c r="O197" s="76">
        <f>N197</f>
        <v/>
      </c>
      <c r="P197" s="76">
        <f>O197</f>
        <v/>
      </c>
      <c r="Q197" s="76">
        <f>P197</f>
        <v/>
      </c>
      <c r="R197" s="76">
        <f>SUMPRODUCT($F$185:$Q$185,$E197:$P197-$F197:$Q197)</f>
        <v/>
      </c>
      <c r="S197" s="76">
        <f>SUMPRODUCT($F$182:$Q$182,$F$184:$Q$184,$F197:$Q197)+0.5*SUMPRODUCT($F$182:$Q$182,$F$185:$Q$185,$E197:$P197-$F197:$Q197)</f>
        <v/>
      </c>
      <c r="T197" s="76">
        <f>(1-$F$179)*($D$180+R197)-$D$179*(($F$180+S197)-CDS_Parameters!$B$26)</f>
        <v/>
      </c>
    </row>
    <row r="198">
      <c r="B198" s="76">
        <f>IF(T197&lt;0,D197,B197)</f>
        <v/>
      </c>
      <c r="C198" s="76">
        <f>IF(T197&lt;0,C197,D197)</f>
        <v/>
      </c>
      <c r="D198" s="76">
        <f>(B198+C198)/2</f>
        <v/>
      </c>
      <c r="E198" s="76">
        <f>$B$180</f>
        <v/>
      </c>
      <c r="F198" s="76">
        <f>$B$180*EXP(-$D198*F$186)</f>
        <v/>
      </c>
      <c r="G198" s="76">
        <f>$B$180*EXP(-$D198*G$186)</f>
        <v/>
      </c>
      <c r="H198" s="76">
        <f>$B$180*EXP(-$D198*H$186)</f>
        <v/>
      </c>
      <c r="I198" s="76">
        <f>$B$180*EXP(-$D198*I$186)</f>
        <v/>
      </c>
      <c r="J198" s="76">
        <f>$B$180*EXP(-$D198*J$186)</f>
        <v/>
      </c>
      <c r="K198" s="76">
        <f>$B$180*EXP(-$D198*K$186)</f>
        <v/>
      </c>
      <c r="L198" s="76">
        <f>$B$180*EXP(-$D198*L$186)</f>
        <v/>
      </c>
      <c r="M198" s="76">
        <f>$B$180*EXP(-$D198*M$186)</f>
        <v/>
      </c>
      <c r="N198" s="76">
        <f>M198</f>
        <v/>
      </c>
      <c r="O198" s="76">
        <f>N198</f>
        <v/>
      </c>
      <c r="P198" s="76">
        <f>O198</f>
        <v/>
      </c>
      <c r="Q198" s="76">
        <f>P198</f>
        <v/>
      </c>
      <c r="R198" s="76">
        <f>SUMPRODUCT($F$185:$Q$185,$E198:$P198-$F198:$Q198)</f>
        <v/>
      </c>
      <c r="S198" s="76">
        <f>SUMPRODUCT($F$182:$Q$182,$F$184:$Q$184,$F198:$Q198)+0.5*SUMPRODUCT($F$182:$Q$182,$F$185:$Q$185,$E198:$P198-$F198:$Q198)</f>
        <v/>
      </c>
      <c r="T198" s="76">
        <f>(1-$F$179)*($D$180+R198)-$D$179*(($F$180+S198)-CDS_Parameters!$B$26)</f>
        <v/>
      </c>
    </row>
    <row r="199">
      <c r="B199" s="76">
        <f>IF(T198&lt;0,D198,B198)</f>
        <v/>
      </c>
      <c r="C199" s="76">
        <f>IF(T198&lt;0,C198,D198)</f>
        <v/>
      </c>
      <c r="D199" s="76">
        <f>(B199+C199)/2</f>
        <v/>
      </c>
      <c r="E199" s="76">
        <f>$B$180</f>
        <v/>
      </c>
      <c r="F199" s="76">
        <f>$B$180*EXP(-$D199*F$186)</f>
        <v/>
      </c>
      <c r="G199" s="76">
        <f>$B$180*EXP(-$D199*G$186)</f>
        <v/>
      </c>
      <c r="H199" s="76">
        <f>$B$180*EXP(-$D199*H$186)</f>
        <v/>
      </c>
      <c r="I199" s="76">
        <f>$B$180*EXP(-$D199*I$186)</f>
        <v/>
      </c>
      <c r="J199" s="76">
        <f>$B$180*EXP(-$D199*J$186)</f>
        <v/>
      </c>
      <c r="K199" s="76">
        <f>$B$180*EXP(-$D199*K$186)</f>
        <v/>
      </c>
      <c r="L199" s="76">
        <f>$B$180*EXP(-$D199*L$186)</f>
        <v/>
      </c>
      <c r="M199" s="76">
        <f>$B$180*EXP(-$D199*M$186)</f>
        <v/>
      </c>
      <c r="N199" s="76">
        <f>M199</f>
        <v/>
      </c>
      <c r="O199" s="76">
        <f>N199</f>
        <v/>
      </c>
      <c r="P199" s="76">
        <f>O199</f>
        <v/>
      </c>
      <c r="Q199" s="76">
        <f>P199</f>
        <v/>
      </c>
      <c r="R199" s="76">
        <f>SUMPRODUCT($F$185:$Q$185,$E199:$P199-$F199:$Q199)</f>
        <v/>
      </c>
      <c r="S199" s="76">
        <f>SUMPRODUCT($F$182:$Q$182,$F$184:$Q$184,$F199:$Q199)+0.5*SUMPRODUCT($F$182:$Q$182,$F$185:$Q$185,$E199:$P199-$F199:$Q199)</f>
        <v/>
      </c>
      <c r="T199" s="76">
        <f>(1-$F$179)*($D$180+R199)-$D$179*(($F$180+S199)-CDS_Parameters!$B$26)</f>
        <v/>
      </c>
    </row>
    <row r="200">
      <c r="B200" s="76">
        <f>IF(T199&lt;0,D199,B199)</f>
        <v/>
      </c>
      <c r="C200" s="76">
        <f>IF(T199&lt;0,C199,D199)</f>
        <v/>
      </c>
      <c r="D200" s="76">
        <f>(B200+C200)/2</f>
        <v/>
      </c>
      <c r="E200" s="76">
        <f>$B$180</f>
        <v/>
      </c>
      <c r="F200" s="76">
        <f>$B$180*EXP(-$D200*F$186)</f>
        <v/>
      </c>
      <c r="G200" s="76">
        <f>$B$180*EXP(-$D200*G$186)</f>
        <v/>
      </c>
      <c r="H200" s="76">
        <f>$B$180*EXP(-$D200*H$186)</f>
        <v/>
      </c>
      <c r="I200" s="76">
        <f>$B$180*EXP(-$D200*I$186)</f>
        <v/>
      </c>
      <c r="J200" s="76">
        <f>$B$180*EXP(-$D200*J$186)</f>
        <v/>
      </c>
      <c r="K200" s="76">
        <f>$B$180*EXP(-$D200*K$186)</f>
        <v/>
      </c>
      <c r="L200" s="76">
        <f>$B$180*EXP(-$D200*L$186)</f>
        <v/>
      </c>
      <c r="M200" s="76">
        <f>$B$180*EXP(-$D200*M$186)</f>
        <v/>
      </c>
      <c r="N200" s="76">
        <f>M200</f>
        <v/>
      </c>
      <c r="O200" s="76">
        <f>N200</f>
        <v/>
      </c>
      <c r="P200" s="76">
        <f>O200</f>
        <v/>
      </c>
      <c r="Q200" s="76">
        <f>P200</f>
        <v/>
      </c>
      <c r="R200" s="76">
        <f>SUMPRODUCT($F$185:$Q$185,$E200:$P200-$F200:$Q200)</f>
        <v/>
      </c>
      <c r="S200" s="76">
        <f>SUMPRODUCT($F$182:$Q$182,$F$184:$Q$184,$F200:$Q200)+0.5*SUMPRODUCT($F$182:$Q$182,$F$185:$Q$185,$E200:$P200-$F200:$Q200)</f>
        <v/>
      </c>
      <c r="T200" s="76">
        <f>(1-$F$179)*($D$180+R200)-$D$179*(($F$180+S200)-CDS_Parameters!$B$26)</f>
        <v/>
      </c>
    </row>
    <row r="201">
      <c r="B201" s="76">
        <f>IF(T200&lt;0,D200,B200)</f>
        <v/>
      </c>
      <c r="C201" s="76">
        <f>IF(T200&lt;0,C200,D200)</f>
        <v/>
      </c>
      <c r="D201" s="76">
        <f>(B201+C201)/2</f>
        <v/>
      </c>
      <c r="E201" s="76">
        <f>$B$180</f>
        <v/>
      </c>
      <c r="F201" s="76">
        <f>$B$180*EXP(-$D201*F$186)</f>
        <v/>
      </c>
      <c r="G201" s="76">
        <f>$B$180*EXP(-$D201*G$186)</f>
        <v/>
      </c>
      <c r="H201" s="76">
        <f>$B$180*EXP(-$D201*H$186)</f>
        <v/>
      </c>
      <c r="I201" s="76">
        <f>$B$180*EXP(-$D201*I$186)</f>
        <v/>
      </c>
      <c r="J201" s="76">
        <f>$B$180*EXP(-$D201*J$186)</f>
        <v/>
      </c>
      <c r="K201" s="76">
        <f>$B$180*EXP(-$D201*K$186)</f>
        <v/>
      </c>
      <c r="L201" s="76">
        <f>$B$180*EXP(-$D201*L$186)</f>
        <v/>
      </c>
      <c r="M201" s="76">
        <f>$B$180*EXP(-$D201*M$186)</f>
        <v/>
      </c>
      <c r="N201" s="76">
        <f>M201</f>
        <v/>
      </c>
      <c r="O201" s="76">
        <f>N201</f>
        <v/>
      </c>
      <c r="P201" s="76">
        <f>O201</f>
        <v/>
      </c>
      <c r="Q201" s="76">
        <f>P201</f>
        <v/>
      </c>
      <c r="R201" s="76">
        <f>SUMPRODUCT($F$185:$Q$185,$E201:$P201-$F201:$Q201)</f>
        <v/>
      </c>
      <c r="S201" s="76">
        <f>SUMPRODUCT($F$182:$Q$182,$F$184:$Q$184,$F201:$Q201)+0.5*SUMPRODUCT($F$182:$Q$182,$F$185:$Q$185,$E201:$P201-$F201:$Q201)</f>
        <v/>
      </c>
      <c r="T201" s="76">
        <f>(1-$F$179)*($D$180+R201)-$D$179*(($F$180+S201)-CDS_Parameters!$B$26)</f>
        <v/>
      </c>
    </row>
    <row r="202">
      <c r="B202" s="76">
        <f>IF(T201&lt;0,D201,B201)</f>
        <v/>
      </c>
      <c r="C202" s="76">
        <f>IF(T201&lt;0,C201,D201)</f>
        <v/>
      </c>
      <c r="D202" s="76">
        <f>(B202+C202)/2</f>
        <v/>
      </c>
      <c r="E202" s="76">
        <f>$B$180</f>
        <v/>
      </c>
      <c r="F202" s="76">
        <f>$B$180*EXP(-$D202*F$186)</f>
        <v/>
      </c>
      <c r="G202" s="76">
        <f>$B$180*EXP(-$D202*G$186)</f>
        <v/>
      </c>
      <c r="H202" s="76">
        <f>$B$180*EXP(-$D202*H$186)</f>
        <v/>
      </c>
      <c r="I202" s="76">
        <f>$B$180*EXP(-$D202*I$186)</f>
        <v/>
      </c>
      <c r="J202" s="76">
        <f>$B$180*EXP(-$D202*J$186)</f>
        <v/>
      </c>
      <c r="K202" s="76">
        <f>$B$180*EXP(-$D202*K$186)</f>
        <v/>
      </c>
      <c r="L202" s="76">
        <f>$B$180*EXP(-$D202*L$186)</f>
        <v/>
      </c>
      <c r="M202" s="76">
        <f>$B$180*EXP(-$D202*M$186)</f>
        <v/>
      </c>
      <c r="N202" s="76">
        <f>M202</f>
        <v/>
      </c>
      <c r="O202" s="76">
        <f>N202</f>
        <v/>
      </c>
      <c r="P202" s="76">
        <f>O202</f>
        <v/>
      </c>
      <c r="Q202" s="76">
        <f>P202</f>
        <v/>
      </c>
      <c r="R202" s="76">
        <f>SUMPRODUCT($F$185:$Q$185,$E202:$P202-$F202:$Q202)</f>
        <v/>
      </c>
      <c r="S202" s="76">
        <f>SUMPRODUCT($F$182:$Q$182,$F$184:$Q$184,$F202:$Q202)+0.5*SUMPRODUCT($F$182:$Q$182,$F$185:$Q$185,$E202:$P202-$F202:$Q202)</f>
        <v/>
      </c>
      <c r="T202" s="76">
        <f>(1-$F$179)*($D$180+R202)-$D$179*(($F$180+S202)-CDS_Parameters!$B$26)</f>
        <v/>
      </c>
    </row>
    <row r="203">
      <c r="B203" s="76">
        <f>IF(T202&lt;0,D202,B202)</f>
        <v/>
      </c>
      <c r="C203" s="76">
        <f>IF(T202&lt;0,C202,D202)</f>
        <v/>
      </c>
      <c r="D203" s="76">
        <f>(B203+C203)/2</f>
        <v/>
      </c>
      <c r="E203" s="76">
        <f>$B$180</f>
        <v/>
      </c>
      <c r="F203" s="76">
        <f>$B$180*EXP(-$D203*F$186)</f>
        <v/>
      </c>
      <c r="G203" s="76">
        <f>$B$180*EXP(-$D203*G$186)</f>
        <v/>
      </c>
      <c r="H203" s="76">
        <f>$B$180*EXP(-$D203*H$186)</f>
        <v/>
      </c>
      <c r="I203" s="76">
        <f>$B$180*EXP(-$D203*I$186)</f>
        <v/>
      </c>
      <c r="J203" s="76">
        <f>$B$180*EXP(-$D203*J$186)</f>
        <v/>
      </c>
      <c r="K203" s="76">
        <f>$B$180*EXP(-$D203*K$186)</f>
        <v/>
      </c>
      <c r="L203" s="76">
        <f>$B$180*EXP(-$D203*L$186)</f>
        <v/>
      </c>
      <c r="M203" s="76">
        <f>$B$180*EXP(-$D203*M$186)</f>
        <v/>
      </c>
      <c r="N203" s="76">
        <f>M203</f>
        <v/>
      </c>
      <c r="O203" s="76">
        <f>N203</f>
        <v/>
      </c>
      <c r="P203" s="76">
        <f>O203</f>
        <v/>
      </c>
      <c r="Q203" s="76">
        <f>P203</f>
        <v/>
      </c>
      <c r="R203" s="76">
        <f>SUMPRODUCT($F$185:$Q$185,$E203:$P203-$F203:$Q203)</f>
        <v/>
      </c>
      <c r="S203" s="76">
        <f>SUMPRODUCT($F$182:$Q$182,$F$184:$Q$184,$F203:$Q203)+0.5*SUMPRODUCT($F$182:$Q$182,$F$185:$Q$185,$E203:$P203-$F203:$Q203)</f>
        <v/>
      </c>
      <c r="T203" s="76">
        <f>(1-$F$179)*($D$180+R203)-$D$179*(($F$180+S203)-CDS_Parameters!$B$26)</f>
        <v/>
      </c>
    </row>
    <row r="204">
      <c r="B204" s="76">
        <f>IF(T203&lt;0,D203,B203)</f>
        <v/>
      </c>
      <c r="C204" s="76">
        <f>IF(T203&lt;0,C203,D203)</f>
        <v/>
      </c>
      <c r="D204" s="76">
        <f>(B204+C204)/2</f>
        <v/>
      </c>
      <c r="E204" s="76">
        <f>$B$180</f>
        <v/>
      </c>
      <c r="F204" s="76">
        <f>$B$180*EXP(-$D204*F$186)</f>
        <v/>
      </c>
      <c r="G204" s="76">
        <f>$B$180*EXP(-$D204*G$186)</f>
        <v/>
      </c>
      <c r="H204" s="76">
        <f>$B$180*EXP(-$D204*H$186)</f>
        <v/>
      </c>
      <c r="I204" s="76">
        <f>$B$180*EXP(-$D204*I$186)</f>
        <v/>
      </c>
      <c r="J204" s="76">
        <f>$B$180*EXP(-$D204*J$186)</f>
        <v/>
      </c>
      <c r="K204" s="76">
        <f>$B$180*EXP(-$D204*K$186)</f>
        <v/>
      </c>
      <c r="L204" s="76">
        <f>$B$180*EXP(-$D204*L$186)</f>
        <v/>
      </c>
      <c r="M204" s="76">
        <f>$B$180*EXP(-$D204*M$186)</f>
        <v/>
      </c>
      <c r="N204" s="76">
        <f>M204</f>
        <v/>
      </c>
      <c r="O204" s="76">
        <f>N204</f>
        <v/>
      </c>
      <c r="P204" s="76">
        <f>O204</f>
        <v/>
      </c>
      <c r="Q204" s="76">
        <f>P204</f>
        <v/>
      </c>
      <c r="R204" s="76">
        <f>SUMPRODUCT($F$185:$Q$185,$E204:$P204-$F204:$Q204)</f>
        <v/>
      </c>
      <c r="S204" s="76">
        <f>SUMPRODUCT($F$182:$Q$182,$F$184:$Q$184,$F204:$Q204)+0.5*SUMPRODUCT($F$182:$Q$182,$F$185:$Q$185,$E204:$P204-$F204:$Q204)</f>
        <v/>
      </c>
      <c r="T204" s="76">
        <f>(1-$F$179)*($D$180+R204)-$D$179*(($F$180+S204)-CDS_Parameters!$B$26)</f>
        <v/>
      </c>
    </row>
    <row r="205">
      <c r="B205" s="76">
        <f>IF(T204&lt;0,D204,B204)</f>
        <v/>
      </c>
      <c r="C205" s="76">
        <f>IF(T204&lt;0,C204,D204)</f>
        <v/>
      </c>
      <c r="D205" s="76">
        <f>(B205+C205)/2</f>
        <v/>
      </c>
      <c r="E205" s="76">
        <f>$B$180</f>
        <v/>
      </c>
      <c r="F205" s="76">
        <f>$B$180*EXP(-$D205*F$186)</f>
        <v/>
      </c>
      <c r="G205" s="76">
        <f>$B$180*EXP(-$D205*G$186)</f>
        <v/>
      </c>
      <c r="H205" s="76">
        <f>$B$180*EXP(-$D205*H$186)</f>
        <v/>
      </c>
      <c r="I205" s="76">
        <f>$B$180*EXP(-$D205*I$186)</f>
        <v/>
      </c>
      <c r="J205" s="76">
        <f>$B$180*EXP(-$D205*J$186)</f>
        <v/>
      </c>
      <c r="K205" s="76">
        <f>$B$180*EXP(-$D205*K$186)</f>
        <v/>
      </c>
      <c r="L205" s="76">
        <f>$B$180*EXP(-$D205*L$186)</f>
        <v/>
      </c>
      <c r="M205" s="76">
        <f>$B$180*EXP(-$D205*M$186)</f>
        <v/>
      </c>
      <c r="N205" s="76">
        <f>M205</f>
        <v/>
      </c>
      <c r="O205" s="76">
        <f>N205</f>
        <v/>
      </c>
      <c r="P205" s="76">
        <f>O205</f>
        <v/>
      </c>
      <c r="Q205" s="76">
        <f>P205</f>
        <v/>
      </c>
      <c r="R205" s="76">
        <f>SUMPRODUCT($F$185:$Q$185,$E205:$P205-$F205:$Q205)</f>
        <v/>
      </c>
      <c r="S205" s="76">
        <f>SUMPRODUCT($F$182:$Q$182,$F$184:$Q$184,$F205:$Q205)+0.5*SUMPRODUCT($F$182:$Q$182,$F$185:$Q$185,$E205:$P205-$F205:$Q205)</f>
        <v/>
      </c>
      <c r="T205" s="76">
        <f>(1-$F$179)*($D$180+R205)-$D$179*(($F$180+S205)-CDS_Parameters!$B$26)</f>
        <v/>
      </c>
    </row>
    <row r="206">
      <c r="B206" s="76">
        <f>IF(T205&lt;0,D205,B205)</f>
        <v/>
      </c>
      <c r="C206" s="76">
        <f>IF(T205&lt;0,C205,D205)</f>
        <v/>
      </c>
      <c r="D206" s="76">
        <f>(B206+C206)/2</f>
        <v/>
      </c>
      <c r="E206" s="76">
        <f>$B$180</f>
        <v/>
      </c>
      <c r="F206" s="76">
        <f>$B$180*EXP(-$D206*F$186)</f>
        <v/>
      </c>
      <c r="G206" s="76">
        <f>$B$180*EXP(-$D206*G$186)</f>
        <v/>
      </c>
      <c r="H206" s="76">
        <f>$B$180*EXP(-$D206*H$186)</f>
        <v/>
      </c>
      <c r="I206" s="76">
        <f>$B$180*EXP(-$D206*I$186)</f>
        <v/>
      </c>
      <c r="J206" s="76">
        <f>$B$180*EXP(-$D206*J$186)</f>
        <v/>
      </c>
      <c r="K206" s="76">
        <f>$B$180*EXP(-$D206*K$186)</f>
        <v/>
      </c>
      <c r="L206" s="76">
        <f>$B$180*EXP(-$D206*L$186)</f>
        <v/>
      </c>
      <c r="M206" s="76">
        <f>$B$180*EXP(-$D206*M$186)</f>
        <v/>
      </c>
      <c r="N206" s="76">
        <f>M206</f>
        <v/>
      </c>
      <c r="O206" s="76">
        <f>N206</f>
        <v/>
      </c>
      <c r="P206" s="76">
        <f>O206</f>
        <v/>
      </c>
      <c r="Q206" s="76">
        <f>P206</f>
        <v/>
      </c>
      <c r="R206" s="76">
        <f>SUMPRODUCT($F$185:$Q$185,$E206:$P206-$F206:$Q206)</f>
        <v/>
      </c>
      <c r="S206" s="76">
        <f>SUMPRODUCT($F$182:$Q$182,$F$184:$Q$184,$F206:$Q206)+0.5*SUMPRODUCT($F$182:$Q$182,$F$185:$Q$185,$E206:$P206-$F206:$Q206)</f>
        <v/>
      </c>
      <c r="T206" s="76">
        <f>(1-$F$179)*($D$180+R206)-$D$179*(($F$180+S206)-CDS_Parameters!$B$26)</f>
        <v/>
      </c>
    </row>
    <row r="207">
      <c r="B207" s="76">
        <f>IF(T206&lt;0,D206,B206)</f>
        <v/>
      </c>
      <c r="C207" s="76">
        <f>IF(T206&lt;0,C206,D206)</f>
        <v/>
      </c>
      <c r="D207" s="76">
        <f>(B207+C207)/2</f>
        <v/>
      </c>
      <c r="E207" s="76">
        <f>$B$180</f>
        <v/>
      </c>
      <c r="F207" s="76">
        <f>$B$180*EXP(-$D207*F$186)</f>
        <v/>
      </c>
      <c r="G207" s="76">
        <f>$B$180*EXP(-$D207*G$186)</f>
        <v/>
      </c>
      <c r="H207" s="76">
        <f>$B$180*EXP(-$D207*H$186)</f>
        <v/>
      </c>
      <c r="I207" s="76">
        <f>$B$180*EXP(-$D207*I$186)</f>
        <v/>
      </c>
      <c r="J207" s="76">
        <f>$B$180*EXP(-$D207*J$186)</f>
        <v/>
      </c>
      <c r="K207" s="76">
        <f>$B$180*EXP(-$D207*K$186)</f>
        <v/>
      </c>
      <c r="L207" s="76">
        <f>$B$180*EXP(-$D207*L$186)</f>
        <v/>
      </c>
      <c r="M207" s="76">
        <f>$B$180*EXP(-$D207*M$186)</f>
        <v/>
      </c>
      <c r="N207" s="76">
        <f>M207</f>
        <v/>
      </c>
      <c r="O207" s="76">
        <f>N207</f>
        <v/>
      </c>
      <c r="P207" s="76">
        <f>O207</f>
        <v/>
      </c>
      <c r="Q207" s="76">
        <f>P207</f>
        <v/>
      </c>
      <c r="R207" s="76">
        <f>SUMPRODUCT($F$185:$Q$185,$E207:$P207-$F207:$Q207)</f>
        <v/>
      </c>
      <c r="S207" s="76">
        <f>SUMPRODUCT($F$182:$Q$182,$F$184:$Q$184,$F207:$Q207)+0.5*SUMPRODUCT($F$182:$Q$182,$F$185:$Q$185,$E207:$P207-$F207:$Q207)</f>
        <v/>
      </c>
      <c r="T207" s="76">
        <f>(1-$F$179)*($D$180+R207)-$D$179*(($F$180+S207)-CDS_Parameters!$B$26)</f>
        <v/>
      </c>
    </row>
    <row r="208">
      <c r="B208" s="76">
        <f>IF(T207&lt;0,D207,B207)</f>
        <v/>
      </c>
      <c r="C208" s="76">
        <f>IF(T207&lt;0,C207,D207)</f>
        <v/>
      </c>
      <c r="D208" s="76">
        <f>(B208+C208)/2</f>
        <v/>
      </c>
      <c r="E208" s="76">
        <f>$B$180</f>
        <v/>
      </c>
      <c r="F208" s="76">
        <f>$B$180*EXP(-$D208*F$186)</f>
        <v/>
      </c>
      <c r="G208" s="76">
        <f>$B$180*EXP(-$D208*G$186)</f>
        <v/>
      </c>
      <c r="H208" s="76">
        <f>$B$180*EXP(-$D208*H$186)</f>
        <v/>
      </c>
      <c r="I208" s="76">
        <f>$B$180*EXP(-$D208*I$186)</f>
        <v/>
      </c>
      <c r="J208" s="76">
        <f>$B$180*EXP(-$D208*J$186)</f>
        <v/>
      </c>
      <c r="K208" s="76">
        <f>$B$180*EXP(-$D208*K$186)</f>
        <v/>
      </c>
      <c r="L208" s="76">
        <f>$B$180*EXP(-$D208*L$186)</f>
        <v/>
      </c>
      <c r="M208" s="76">
        <f>$B$180*EXP(-$D208*M$186)</f>
        <v/>
      </c>
      <c r="N208" s="76">
        <f>M208</f>
        <v/>
      </c>
      <c r="O208" s="76">
        <f>N208</f>
        <v/>
      </c>
      <c r="P208" s="76">
        <f>O208</f>
        <v/>
      </c>
      <c r="Q208" s="76">
        <f>P208</f>
        <v/>
      </c>
      <c r="R208" s="76">
        <f>SUMPRODUCT($F$185:$Q$185,$E208:$P208-$F208:$Q208)</f>
        <v/>
      </c>
      <c r="S208" s="76">
        <f>SUMPRODUCT($F$182:$Q$182,$F$184:$Q$184,$F208:$Q208)+0.5*SUMPRODUCT($F$182:$Q$182,$F$185:$Q$185,$E208:$P208-$F208:$Q208)</f>
        <v/>
      </c>
      <c r="T208" s="76">
        <f>(1-$F$179)*($D$180+R208)-$D$179*(($F$180+S208)-CDS_Parameters!$B$26)</f>
        <v/>
      </c>
    </row>
    <row r="209">
      <c r="B209" s="76">
        <f>IF(T208&lt;0,D208,B208)</f>
        <v/>
      </c>
      <c r="C209" s="76">
        <f>IF(T208&lt;0,C208,D208)</f>
        <v/>
      </c>
      <c r="D209" s="76">
        <f>(B209+C209)/2</f>
        <v/>
      </c>
      <c r="E209" s="76">
        <f>$B$180</f>
        <v/>
      </c>
      <c r="F209" s="76">
        <f>$B$180*EXP(-$D209*F$186)</f>
        <v/>
      </c>
      <c r="G209" s="76">
        <f>$B$180*EXP(-$D209*G$186)</f>
        <v/>
      </c>
      <c r="H209" s="76">
        <f>$B$180*EXP(-$D209*H$186)</f>
        <v/>
      </c>
      <c r="I209" s="76">
        <f>$B$180*EXP(-$D209*I$186)</f>
        <v/>
      </c>
      <c r="J209" s="76">
        <f>$B$180*EXP(-$D209*J$186)</f>
        <v/>
      </c>
      <c r="K209" s="76">
        <f>$B$180*EXP(-$D209*K$186)</f>
        <v/>
      </c>
      <c r="L209" s="76">
        <f>$B$180*EXP(-$D209*L$186)</f>
        <v/>
      </c>
      <c r="M209" s="76">
        <f>$B$180*EXP(-$D209*M$186)</f>
        <v/>
      </c>
      <c r="N209" s="76">
        <f>M209</f>
        <v/>
      </c>
      <c r="O209" s="76">
        <f>N209</f>
        <v/>
      </c>
      <c r="P209" s="76">
        <f>O209</f>
        <v/>
      </c>
      <c r="Q209" s="76">
        <f>P209</f>
        <v/>
      </c>
      <c r="R209" s="76">
        <f>SUMPRODUCT($F$185:$Q$185,$E209:$P209-$F209:$Q209)</f>
        <v/>
      </c>
      <c r="S209" s="76">
        <f>SUMPRODUCT($F$182:$Q$182,$F$184:$Q$184,$F209:$Q209)+0.5*SUMPRODUCT($F$182:$Q$182,$F$185:$Q$185,$E209:$P209-$F209:$Q209)</f>
        <v/>
      </c>
      <c r="T209" s="76">
        <f>(1-$F$179)*($D$180+R209)-$D$179*(($F$180+S209)-CDS_Parameters!$B$26)</f>
        <v/>
      </c>
    </row>
    <row r="210">
      <c r="B210" s="76">
        <f>IF(T209&lt;0,D209,B209)</f>
        <v/>
      </c>
      <c r="C210" s="76">
        <f>IF(T209&lt;0,C209,D209)</f>
        <v/>
      </c>
      <c r="D210" s="76">
        <f>(B210+C210)/2</f>
        <v/>
      </c>
      <c r="E210" s="76">
        <f>$B$180</f>
        <v/>
      </c>
      <c r="F210" s="76">
        <f>$B$180*EXP(-$D210*F$186)</f>
        <v/>
      </c>
      <c r="G210" s="76">
        <f>$B$180*EXP(-$D210*G$186)</f>
        <v/>
      </c>
      <c r="H210" s="76">
        <f>$B$180*EXP(-$D210*H$186)</f>
        <v/>
      </c>
      <c r="I210" s="76">
        <f>$B$180*EXP(-$D210*I$186)</f>
        <v/>
      </c>
      <c r="J210" s="76">
        <f>$B$180*EXP(-$D210*J$186)</f>
        <v/>
      </c>
      <c r="K210" s="76">
        <f>$B$180*EXP(-$D210*K$186)</f>
        <v/>
      </c>
      <c r="L210" s="76">
        <f>$B$180*EXP(-$D210*L$186)</f>
        <v/>
      </c>
      <c r="M210" s="76">
        <f>$B$180*EXP(-$D210*M$186)</f>
        <v/>
      </c>
      <c r="N210" s="76">
        <f>M210</f>
        <v/>
      </c>
      <c r="O210" s="76">
        <f>N210</f>
        <v/>
      </c>
      <c r="P210" s="76">
        <f>O210</f>
        <v/>
      </c>
      <c r="Q210" s="76">
        <f>P210</f>
        <v/>
      </c>
      <c r="R210" s="76">
        <f>SUMPRODUCT($F$185:$Q$185,$E210:$P210-$F210:$Q210)</f>
        <v/>
      </c>
      <c r="S210" s="76">
        <f>SUMPRODUCT($F$182:$Q$182,$F$184:$Q$184,$F210:$Q210)+0.5*SUMPRODUCT($F$182:$Q$182,$F$185:$Q$185,$E210:$P210-$F210:$Q210)</f>
        <v/>
      </c>
      <c r="T210" s="76">
        <f>(1-$F$179)*($D$180+R210)-$D$179*(($F$180+S210)-CDS_Parameters!$B$26)</f>
        <v/>
      </c>
    </row>
    <row r="211">
      <c r="B211" s="76">
        <f>IF(T210&lt;0,D210,B210)</f>
        <v/>
      </c>
      <c r="C211" s="76">
        <f>IF(T210&lt;0,C210,D210)</f>
        <v/>
      </c>
      <c r="D211" s="76">
        <f>(B211+C211)/2</f>
        <v/>
      </c>
      <c r="E211" s="76">
        <f>$B$180</f>
        <v/>
      </c>
      <c r="F211" s="76">
        <f>$B$180*EXP(-$D211*F$186)</f>
        <v/>
      </c>
      <c r="G211" s="76">
        <f>$B$180*EXP(-$D211*G$186)</f>
        <v/>
      </c>
      <c r="H211" s="76">
        <f>$B$180*EXP(-$D211*H$186)</f>
        <v/>
      </c>
      <c r="I211" s="76">
        <f>$B$180*EXP(-$D211*I$186)</f>
        <v/>
      </c>
      <c r="J211" s="76">
        <f>$B$180*EXP(-$D211*J$186)</f>
        <v/>
      </c>
      <c r="K211" s="76">
        <f>$B$180*EXP(-$D211*K$186)</f>
        <v/>
      </c>
      <c r="L211" s="76">
        <f>$B$180*EXP(-$D211*L$186)</f>
        <v/>
      </c>
      <c r="M211" s="76">
        <f>$B$180*EXP(-$D211*M$186)</f>
        <v/>
      </c>
      <c r="N211" s="76">
        <f>M211</f>
        <v/>
      </c>
      <c r="O211" s="76">
        <f>N211</f>
        <v/>
      </c>
      <c r="P211" s="76">
        <f>O211</f>
        <v/>
      </c>
      <c r="Q211" s="76">
        <f>P211</f>
        <v/>
      </c>
      <c r="R211" s="76">
        <f>SUMPRODUCT($F$185:$Q$185,$E211:$P211-$F211:$Q211)</f>
        <v/>
      </c>
      <c r="S211" s="76">
        <f>SUMPRODUCT($F$182:$Q$182,$F$184:$Q$184,$F211:$Q211)+0.5*SUMPRODUCT($F$182:$Q$182,$F$185:$Q$185,$E211:$P211-$F211:$Q211)</f>
        <v/>
      </c>
      <c r="T211" s="76">
        <f>(1-$F$179)*($D$180+R211)-$D$179*(($F$180+S211)-CDS_Parameters!$B$26)</f>
        <v/>
      </c>
    </row>
    <row r="212">
      <c r="B212" s="76">
        <f>IF(T211&lt;0,D211,B211)</f>
        <v/>
      </c>
      <c r="C212" s="76">
        <f>IF(T211&lt;0,C211,D211)</f>
        <v/>
      </c>
      <c r="D212" s="76">
        <f>(B212+C212)/2</f>
        <v/>
      </c>
      <c r="E212" s="76">
        <f>$B$180</f>
        <v/>
      </c>
      <c r="F212" s="76">
        <f>$B$180*EXP(-$D212*F$186)</f>
        <v/>
      </c>
      <c r="G212" s="76">
        <f>$B$180*EXP(-$D212*G$186)</f>
        <v/>
      </c>
      <c r="H212" s="76">
        <f>$B$180*EXP(-$D212*H$186)</f>
        <v/>
      </c>
      <c r="I212" s="76">
        <f>$B$180*EXP(-$D212*I$186)</f>
        <v/>
      </c>
      <c r="J212" s="76">
        <f>$B$180*EXP(-$D212*J$186)</f>
        <v/>
      </c>
      <c r="K212" s="76">
        <f>$B$180*EXP(-$D212*K$186)</f>
        <v/>
      </c>
      <c r="L212" s="76">
        <f>$B$180*EXP(-$D212*L$186)</f>
        <v/>
      </c>
      <c r="M212" s="76">
        <f>$B$180*EXP(-$D212*M$186)</f>
        <v/>
      </c>
      <c r="N212" s="76">
        <f>M212</f>
        <v/>
      </c>
      <c r="O212" s="76">
        <f>N212</f>
        <v/>
      </c>
      <c r="P212" s="76">
        <f>O212</f>
        <v/>
      </c>
      <c r="Q212" s="76">
        <f>P212</f>
        <v/>
      </c>
      <c r="R212" s="76">
        <f>SUMPRODUCT($F$185:$Q$185,$E212:$P212-$F212:$Q212)</f>
        <v/>
      </c>
      <c r="S212" s="76">
        <f>SUMPRODUCT($F$182:$Q$182,$F$184:$Q$184,$F212:$Q212)+0.5*SUMPRODUCT($F$182:$Q$182,$F$185:$Q$185,$E212:$P212-$F212:$Q212)</f>
        <v/>
      </c>
      <c r="T212" s="76">
        <f>(1-$F$179)*($D$180+R212)-$D$179*(($F$180+S212)-CDS_Parameters!$B$26)</f>
        <v/>
      </c>
    </row>
    <row r="213">
      <c r="B213" s="76">
        <f>IF(T212&lt;0,D212,B212)</f>
        <v/>
      </c>
      <c r="C213" s="76">
        <f>IF(T212&lt;0,C212,D212)</f>
        <v/>
      </c>
      <c r="D213" s="76">
        <f>(B213+C213)/2</f>
        <v/>
      </c>
      <c r="E213" s="76">
        <f>$B$180</f>
        <v/>
      </c>
      <c r="F213" s="76">
        <f>$B$180*EXP(-$D213*F$186)</f>
        <v/>
      </c>
      <c r="G213" s="76">
        <f>$B$180*EXP(-$D213*G$186)</f>
        <v/>
      </c>
      <c r="H213" s="76">
        <f>$B$180*EXP(-$D213*H$186)</f>
        <v/>
      </c>
      <c r="I213" s="76">
        <f>$B$180*EXP(-$D213*I$186)</f>
        <v/>
      </c>
      <c r="J213" s="76">
        <f>$B$180*EXP(-$D213*J$186)</f>
        <v/>
      </c>
      <c r="K213" s="76">
        <f>$B$180*EXP(-$D213*K$186)</f>
        <v/>
      </c>
      <c r="L213" s="76">
        <f>$B$180*EXP(-$D213*L$186)</f>
        <v/>
      </c>
      <c r="M213" s="76">
        <f>$B$180*EXP(-$D213*M$186)</f>
        <v/>
      </c>
      <c r="N213" s="76">
        <f>M213</f>
        <v/>
      </c>
      <c r="O213" s="76">
        <f>N213</f>
        <v/>
      </c>
      <c r="P213" s="76">
        <f>O213</f>
        <v/>
      </c>
      <c r="Q213" s="76">
        <f>P213</f>
        <v/>
      </c>
      <c r="R213" s="76">
        <f>SUMPRODUCT($F$185:$Q$185,$E213:$P213-$F213:$Q213)</f>
        <v/>
      </c>
      <c r="S213" s="76">
        <f>SUMPRODUCT($F$182:$Q$182,$F$184:$Q$184,$F213:$Q213)+0.5*SUMPRODUCT($F$182:$Q$182,$F$185:$Q$185,$E213:$P213-$F213:$Q213)</f>
        <v/>
      </c>
      <c r="T213" s="76">
        <f>(1-$F$179)*($D$180+R213)-$D$179*(($F$180+S213)-CDS_Parameters!$B$26)</f>
        <v/>
      </c>
    </row>
    <row r="214">
      <c r="B214" s="76">
        <f>IF(T213&lt;0,D213,B213)</f>
        <v/>
      </c>
      <c r="C214" s="76">
        <f>IF(T213&lt;0,C213,D213)</f>
        <v/>
      </c>
      <c r="D214" s="76">
        <f>(B214+C214)/2</f>
        <v/>
      </c>
      <c r="E214" s="76">
        <f>$B$180</f>
        <v/>
      </c>
      <c r="F214" s="76">
        <f>$B$180*EXP(-$D214*F$186)</f>
        <v/>
      </c>
      <c r="G214" s="76">
        <f>$B$180*EXP(-$D214*G$186)</f>
        <v/>
      </c>
      <c r="H214" s="76">
        <f>$B$180*EXP(-$D214*H$186)</f>
        <v/>
      </c>
      <c r="I214" s="76">
        <f>$B$180*EXP(-$D214*I$186)</f>
        <v/>
      </c>
      <c r="J214" s="76">
        <f>$B$180*EXP(-$D214*J$186)</f>
        <v/>
      </c>
      <c r="K214" s="76">
        <f>$B$180*EXP(-$D214*K$186)</f>
        <v/>
      </c>
      <c r="L214" s="76">
        <f>$B$180*EXP(-$D214*L$186)</f>
        <v/>
      </c>
      <c r="M214" s="76">
        <f>$B$180*EXP(-$D214*M$186)</f>
        <v/>
      </c>
      <c r="N214" s="76">
        <f>M214</f>
        <v/>
      </c>
      <c r="O214" s="76">
        <f>N214</f>
        <v/>
      </c>
      <c r="P214" s="76">
        <f>O214</f>
        <v/>
      </c>
      <c r="Q214" s="76">
        <f>P214</f>
        <v/>
      </c>
      <c r="R214" s="76">
        <f>SUMPRODUCT($F$185:$Q$185,$E214:$P214-$F214:$Q214)</f>
        <v/>
      </c>
      <c r="S214" s="76">
        <f>SUMPRODUCT($F$182:$Q$182,$F$184:$Q$184,$F214:$Q214)+0.5*SUMPRODUCT($F$182:$Q$182,$F$185:$Q$185,$E214:$P214-$F214:$Q214)</f>
        <v/>
      </c>
      <c r="T214" s="76">
        <f>(1-$F$179)*($D$180+R214)-$D$179*(($F$180+S214)-CDS_Parameters!$B$26)</f>
        <v/>
      </c>
    </row>
    <row r="215">
      <c r="B215" s="76">
        <f>IF(T214&lt;0,D214,B214)</f>
        <v/>
      </c>
      <c r="C215" s="76">
        <f>IF(T214&lt;0,C214,D214)</f>
        <v/>
      </c>
      <c r="D215" s="76">
        <f>(B215+C215)/2</f>
        <v/>
      </c>
      <c r="E215" s="76">
        <f>$B$180</f>
        <v/>
      </c>
      <c r="F215" s="76">
        <f>$B$180*EXP(-$D215*F$186)</f>
        <v/>
      </c>
      <c r="G215" s="76">
        <f>$B$180*EXP(-$D215*G$186)</f>
        <v/>
      </c>
      <c r="H215" s="76">
        <f>$B$180*EXP(-$D215*H$186)</f>
        <v/>
      </c>
      <c r="I215" s="76">
        <f>$B$180*EXP(-$D215*I$186)</f>
        <v/>
      </c>
      <c r="J215" s="76">
        <f>$B$180*EXP(-$D215*J$186)</f>
        <v/>
      </c>
      <c r="K215" s="76">
        <f>$B$180*EXP(-$D215*K$186)</f>
        <v/>
      </c>
      <c r="L215" s="76">
        <f>$B$180*EXP(-$D215*L$186)</f>
        <v/>
      </c>
      <c r="M215" s="76">
        <f>$B$180*EXP(-$D215*M$186)</f>
        <v/>
      </c>
      <c r="N215" s="76">
        <f>M215</f>
        <v/>
      </c>
      <c r="O215" s="76">
        <f>N215</f>
        <v/>
      </c>
      <c r="P215" s="76">
        <f>O215</f>
        <v/>
      </c>
      <c r="Q215" s="76">
        <f>P215</f>
        <v/>
      </c>
      <c r="R215" s="76">
        <f>SUMPRODUCT($F$185:$Q$185,$E215:$P215-$F215:$Q215)</f>
        <v/>
      </c>
      <c r="S215" s="76">
        <f>SUMPRODUCT($F$182:$Q$182,$F$184:$Q$184,$F215:$Q215)+0.5*SUMPRODUCT($F$182:$Q$182,$F$185:$Q$185,$E215:$P215-$F215:$Q215)</f>
        <v/>
      </c>
      <c r="T215" s="76">
        <f>(1-$F$179)*($D$180+R215)-$D$179*(($F$180+S215)-CDS_Parameters!$B$26)</f>
        <v/>
      </c>
    </row>
    <row r="216">
      <c r="B216" s="76">
        <f>IF(T215&lt;0,D215,B215)</f>
        <v/>
      </c>
      <c r="C216" s="76">
        <f>IF(T215&lt;0,C215,D215)</f>
        <v/>
      </c>
      <c r="D216" s="76">
        <f>(B216+C216)/2</f>
        <v/>
      </c>
      <c r="E216" s="76">
        <f>$B$180</f>
        <v/>
      </c>
      <c r="F216" s="76">
        <f>$B$180*EXP(-$D216*F$186)</f>
        <v/>
      </c>
      <c r="G216" s="76">
        <f>$B$180*EXP(-$D216*G$186)</f>
        <v/>
      </c>
      <c r="H216" s="76">
        <f>$B$180*EXP(-$D216*H$186)</f>
        <v/>
      </c>
      <c r="I216" s="76">
        <f>$B$180*EXP(-$D216*I$186)</f>
        <v/>
      </c>
      <c r="J216" s="76">
        <f>$B$180*EXP(-$D216*J$186)</f>
        <v/>
      </c>
      <c r="K216" s="76">
        <f>$B$180*EXP(-$D216*K$186)</f>
        <v/>
      </c>
      <c r="L216" s="76">
        <f>$B$180*EXP(-$D216*L$186)</f>
        <v/>
      </c>
      <c r="M216" s="76">
        <f>$B$180*EXP(-$D216*M$186)</f>
        <v/>
      </c>
      <c r="N216" s="76">
        <f>M216</f>
        <v/>
      </c>
      <c r="O216" s="76">
        <f>N216</f>
        <v/>
      </c>
      <c r="P216" s="76">
        <f>O216</f>
        <v/>
      </c>
      <c r="Q216" s="76">
        <f>P216</f>
        <v/>
      </c>
      <c r="R216" s="76">
        <f>SUMPRODUCT($F$185:$Q$185,$E216:$P216-$F216:$Q216)</f>
        <v/>
      </c>
      <c r="S216" s="76">
        <f>SUMPRODUCT($F$182:$Q$182,$F$184:$Q$184,$F216:$Q216)+0.5*SUMPRODUCT($F$182:$Q$182,$F$185:$Q$185,$E216:$P216-$F216:$Q216)</f>
        <v/>
      </c>
      <c r="T216" s="76">
        <f>(1-$F$179)*($D$180+R216)-$D$179*(($F$180+S216)-CDS_Parameters!$B$26)</f>
        <v/>
      </c>
    </row>
    <row r="217">
      <c r="B217" s="76">
        <f>IF(T216&lt;0,D216,B216)</f>
        <v/>
      </c>
      <c r="C217" s="76">
        <f>IF(T216&lt;0,C216,D216)</f>
        <v/>
      </c>
      <c r="D217" s="76">
        <f>(B217+C217)/2</f>
        <v/>
      </c>
      <c r="E217" s="76">
        <f>$B$180</f>
        <v/>
      </c>
      <c r="F217" s="76">
        <f>$B$180*EXP(-$D217*F$186)</f>
        <v/>
      </c>
      <c r="G217" s="76">
        <f>$B$180*EXP(-$D217*G$186)</f>
        <v/>
      </c>
      <c r="H217" s="76">
        <f>$B$180*EXP(-$D217*H$186)</f>
        <v/>
      </c>
      <c r="I217" s="76">
        <f>$B$180*EXP(-$D217*I$186)</f>
        <v/>
      </c>
      <c r="J217" s="76">
        <f>$B$180*EXP(-$D217*J$186)</f>
        <v/>
      </c>
      <c r="K217" s="76">
        <f>$B$180*EXP(-$D217*K$186)</f>
        <v/>
      </c>
      <c r="L217" s="76">
        <f>$B$180*EXP(-$D217*L$186)</f>
        <v/>
      </c>
      <c r="M217" s="76">
        <f>$B$180*EXP(-$D217*M$186)</f>
        <v/>
      </c>
      <c r="N217" s="76">
        <f>M217</f>
        <v/>
      </c>
      <c r="O217" s="76">
        <f>N217</f>
        <v/>
      </c>
      <c r="P217" s="76">
        <f>O217</f>
        <v/>
      </c>
      <c r="Q217" s="76">
        <f>P217</f>
        <v/>
      </c>
      <c r="R217" s="76">
        <f>SUMPRODUCT($F$185:$Q$185,$E217:$P217-$F217:$Q217)</f>
        <v/>
      </c>
      <c r="S217" s="76">
        <f>SUMPRODUCT($F$182:$Q$182,$F$184:$Q$184,$F217:$Q217)+0.5*SUMPRODUCT($F$182:$Q$182,$F$185:$Q$185,$E217:$P217-$F217:$Q217)</f>
        <v/>
      </c>
      <c r="T217" s="76">
        <f>(1-$F$179)*($D$180+R217)-$D$179*(($F$180+S217)-CDS_Parameters!$B$26)</f>
        <v/>
      </c>
    </row>
    <row r="218">
      <c r="A218" s="67" t="inlineStr">
        <is>
          <t>lambda5 SOLVED</t>
        </is>
      </c>
      <c r="B218" s="71">
        <f>D217</f>
        <v/>
      </c>
      <c r="C218" s="67" t="inlineStr">
        <is>
          <t>resid</t>
        </is>
      </c>
      <c r="D218" s="72">
        <f>T217</f>
        <v/>
      </c>
      <c r="E218" s="67" t="inlineStr">
        <is>
          <t>Q(T_k)</t>
        </is>
      </c>
      <c r="F218" s="76">
        <f>Q217</f>
        <v/>
      </c>
      <c r="G218" s="67" t="inlineStr">
        <is>
          <t>ProtCum</t>
        </is>
      </c>
      <c r="H218" s="76">
        <f>$D$180+R217</f>
        <v/>
      </c>
      <c r="I218" s="67" t="inlineStr">
        <is>
          <t>RPV01Cum</t>
        </is>
      </c>
      <c r="J218" s="76">
        <f>$F$180+S217</f>
        <v/>
      </c>
      <c r="K218" s="67" t="inlineStr">
        <is>
          <t>model S (bp)</t>
        </is>
      </c>
      <c r="L218" s="63">
        <f>IFERROR((1-$F$179)*H218/J218*10000,0)</f>
        <v/>
      </c>
    </row>
    <row r="221">
      <c r="A221" s="73" t="inlineStr">
        <is>
          <t>TENOR 10Y: periods 29-40   -   solve lambda6</t>
        </is>
      </c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</row>
    <row r="222">
      <c r="A222" s="67" t="inlineStr">
        <is>
          <t>market S (bp)</t>
        </is>
      </c>
      <c r="B222" s="75">
        <f>Hazard_Bootstrap!$C$12</f>
        <v/>
      </c>
      <c r="C222" s="67" t="inlineStr">
        <is>
          <t>S (dec)</t>
        </is>
      </c>
      <c r="D222" s="76">
        <f>B222/10000</f>
        <v/>
      </c>
      <c r="E222" s="67" t="inlineStr">
        <is>
          <t>recovery R</t>
        </is>
      </c>
      <c r="F222" s="77">
        <f>CDS_Parameters!$B$8</f>
        <v/>
      </c>
    </row>
    <row r="223">
      <c r="A223" s="67" t="inlineStr">
        <is>
          <t>Q(start)</t>
        </is>
      </c>
      <c r="B223" s="76">
        <f>$F$218</f>
        <v/>
      </c>
      <c r="C223" s="67" t="inlineStr">
        <is>
          <t>ProtFixed</t>
        </is>
      </c>
      <c r="D223" s="76">
        <f>$H$218</f>
        <v/>
      </c>
      <c r="E223" s="67" t="inlineStr">
        <is>
          <t>RPV01Fixed</t>
        </is>
      </c>
      <c r="F223" s="76">
        <f>$J$218</f>
        <v/>
      </c>
    </row>
    <row r="224">
      <c r="A224" s="67" t="inlineStr">
        <is>
          <t>period</t>
        </is>
      </c>
      <c r="F224" s="78" t="n">
        <v>29</v>
      </c>
      <c r="G224" s="78" t="n">
        <v>30</v>
      </c>
      <c r="H224" s="78" t="n">
        <v>31</v>
      </c>
      <c r="I224" s="78" t="n">
        <v>32</v>
      </c>
      <c r="J224" s="78" t="n">
        <v>33</v>
      </c>
      <c r="K224" s="78" t="n">
        <v>34</v>
      </c>
      <c r="L224" s="78" t="n">
        <v>35</v>
      </c>
      <c r="M224" s="78" t="n">
        <v>36</v>
      </c>
      <c r="N224" s="78" t="n">
        <v>37</v>
      </c>
      <c r="O224" s="78" t="n">
        <v>38</v>
      </c>
      <c r="P224" s="78" t="n">
        <v>39</v>
      </c>
      <c r="Q224" s="78" t="n">
        <v>40</v>
      </c>
    </row>
    <row r="225">
      <c r="A225" s="67" t="inlineStr">
        <is>
          <t>alpha 360</t>
        </is>
      </c>
      <c r="F225" s="79">
        <f>CDS_Schedule!$D$35</f>
        <v/>
      </c>
      <c r="G225" s="79">
        <f>CDS_Schedule!$D$36</f>
        <v/>
      </c>
      <c r="H225" s="79">
        <f>CDS_Schedule!$D$37</f>
        <v/>
      </c>
      <c r="I225" s="79">
        <f>CDS_Schedule!$D$38</f>
        <v/>
      </c>
      <c r="J225" s="79">
        <f>CDS_Schedule!$D$39</f>
        <v/>
      </c>
      <c r="K225" s="79">
        <f>CDS_Schedule!$D$40</f>
        <v/>
      </c>
      <c r="L225" s="79">
        <f>CDS_Schedule!$D$41</f>
        <v/>
      </c>
      <c r="M225" s="79">
        <f>CDS_Schedule!$D$42</f>
        <v/>
      </c>
      <c r="N225" s="79">
        <f>CDS_Schedule!$D$43</f>
        <v/>
      </c>
      <c r="O225" s="79">
        <f>CDS_Schedule!$D$44</f>
        <v/>
      </c>
      <c r="P225" s="79">
        <f>CDS_Schedule!$D$45</f>
        <v/>
      </c>
      <c r="Q225" s="79">
        <f>CDS_Schedule!$D$46</f>
        <v/>
      </c>
    </row>
    <row r="226">
      <c r="A226" s="67" t="inlineStr">
        <is>
          <t>dt 365</t>
        </is>
      </c>
      <c r="F226" s="79">
        <f>CDS_Schedule!$E$35</f>
        <v/>
      </c>
      <c r="G226" s="79">
        <f>CDS_Schedule!$E$36</f>
        <v/>
      </c>
      <c r="H226" s="79">
        <f>CDS_Schedule!$E$37</f>
        <v/>
      </c>
      <c r="I226" s="79">
        <f>CDS_Schedule!$E$38</f>
        <v/>
      </c>
      <c r="J226" s="79">
        <f>CDS_Schedule!$E$39</f>
        <v/>
      </c>
      <c r="K226" s="79">
        <f>CDS_Schedule!$E$40</f>
        <v/>
      </c>
      <c r="L226" s="79">
        <f>CDS_Schedule!$E$41</f>
        <v/>
      </c>
      <c r="M226" s="79">
        <f>CDS_Schedule!$E$42</f>
        <v/>
      </c>
      <c r="N226" s="79">
        <f>CDS_Schedule!$E$43</f>
        <v/>
      </c>
      <c r="O226" s="79">
        <f>CDS_Schedule!$E$44</f>
        <v/>
      </c>
      <c r="P226" s="79">
        <f>CDS_Schedule!$E$45</f>
        <v/>
      </c>
      <c r="Q226" s="79">
        <f>CDS_Schedule!$E$46</f>
        <v/>
      </c>
    </row>
    <row r="227">
      <c r="A227" s="67" t="inlineStr">
        <is>
          <t>DF(end)</t>
        </is>
      </c>
      <c r="F227" s="79">
        <f>CDS_Schedule!$G$35</f>
        <v/>
      </c>
      <c r="G227" s="79">
        <f>CDS_Schedule!$G$36</f>
        <v/>
      </c>
      <c r="H227" s="79">
        <f>CDS_Schedule!$G$37</f>
        <v/>
      </c>
      <c r="I227" s="79">
        <f>CDS_Schedule!$G$38</f>
        <v/>
      </c>
      <c r="J227" s="79">
        <f>CDS_Schedule!$G$39</f>
        <v/>
      </c>
      <c r="K227" s="79">
        <f>CDS_Schedule!$G$40</f>
        <v/>
      </c>
      <c r="L227" s="79">
        <f>CDS_Schedule!$G$41</f>
        <v/>
      </c>
      <c r="M227" s="79">
        <f>CDS_Schedule!$G$42</f>
        <v/>
      </c>
      <c r="N227" s="79">
        <f>CDS_Schedule!$G$43</f>
        <v/>
      </c>
      <c r="O227" s="79">
        <f>CDS_Schedule!$G$44</f>
        <v/>
      </c>
      <c r="P227" s="79">
        <f>CDS_Schedule!$G$45</f>
        <v/>
      </c>
      <c r="Q227" s="79">
        <f>CDS_Schedule!$G$46</f>
        <v/>
      </c>
    </row>
    <row r="228">
      <c r="A228" s="67" t="inlineStr">
        <is>
          <t>DF(mid)</t>
        </is>
      </c>
      <c r="F228" s="79">
        <f>CDS_Schedule!$H$35</f>
        <v/>
      </c>
      <c r="G228" s="79">
        <f>CDS_Schedule!$H$36</f>
        <v/>
      </c>
      <c r="H228" s="79">
        <f>CDS_Schedule!$H$37</f>
        <v/>
      </c>
      <c r="I228" s="79">
        <f>CDS_Schedule!$H$38</f>
        <v/>
      </c>
      <c r="J228" s="79">
        <f>CDS_Schedule!$H$39</f>
        <v/>
      </c>
      <c r="K228" s="79">
        <f>CDS_Schedule!$H$40</f>
        <v/>
      </c>
      <c r="L228" s="79">
        <f>CDS_Schedule!$H$41</f>
        <v/>
      </c>
      <c r="M228" s="79">
        <f>CDS_Schedule!$H$42</f>
        <v/>
      </c>
      <c r="N228" s="79">
        <f>CDS_Schedule!$H$43</f>
        <v/>
      </c>
      <c r="O228" s="79">
        <f>CDS_Schedule!$H$44</f>
        <v/>
      </c>
      <c r="P228" s="79">
        <f>CDS_Schedule!$H$45</f>
        <v/>
      </c>
      <c r="Q228" s="79">
        <f>CDS_Schedule!$H$46</f>
        <v/>
      </c>
    </row>
    <row r="229">
      <c r="A229" s="67" t="inlineStr">
        <is>
          <t>cum dt in seg</t>
        </is>
      </c>
      <c r="F229" s="80">
        <f>0+F226</f>
        <v/>
      </c>
      <c r="G229" s="80">
        <f>F229+G226</f>
        <v/>
      </c>
      <c r="H229" s="80">
        <f>G229+H226</f>
        <v/>
      </c>
      <c r="I229" s="80">
        <f>H229+I226</f>
        <v/>
      </c>
      <c r="J229" s="80">
        <f>I229+J226</f>
        <v/>
      </c>
      <c r="K229" s="80">
        <f>J229+K226</f>
        <v/>
      </c>
      <c r="L229" s="80">
        <f>K229+L226</f>
        <v/>
      </c>
      <c r="M229" s="80">
        <f>L229+M226</f>
        <v/>
      </c>
      <c r="N229" s="80">
        <f>M229+N226</f>
        <v/>
      </c>
      <c r="O229" s="80">
        <f>N229+O226</f>
        <v/>
      </c>
      <c r="P229" s="80">
        <f>O229+P226</f>
        <v/>
      </c>
      <c r="Q229" s="80">
        <f>P229+Q226</f>
        <v/>
      </c>
    </row>
    <row r="230">
      <c r="A230" s="67" t="inlineStr">
        <is>
          <t>bisection</t>
        </is>
      </c>
      <c r="B230" s="62" t="inlineStr">
        <is>
          <t>lo</t>
        </is>
      </c>
      <c r="C230" s="62" t="inlineStr">
        <is>
          <t>hi</t>
        </is>
      </c>
      <c r="D230" s="62" t="inlineStr">
        <is>
          <t>lambda trial</t>
        </is>
      </c>
      <c r="E230" s="62" t="inlineStr">
        <is>
          <t>Q(start)</t>
        </is>
      </c>
      <c r="R230" s="62" t="inlineStr">
        <is>
          <t>ProtSeg</t>
        </is>
      </c>
      <c r="S230" s="62" t="inlineStr">
        <is>
          <t>RPV01Seg</t>
        </is>
      </c>
      <c r="T230" s="62" t="inlineStr">
        <is>
          <t>f(lambda)</t>
        </is>
      </c>
    </row>
    <row r="231">
      <c r="B231" s="76" t="n">
        <v>0</v>
      </c>
      <c r="C231" s="76" t="n">
        <v>3</v>
      </c>
      <c r="D231" s="76">
        <f>(B231+C231)/2</f>
        <v/>
      </c>
      <c r="E231" s="76">
        <f>$B$223</f>
        <v/>
      </c>
      <c r="F231" s="76">
        <f>$B$223*EXP(-$D231*F$229)</f>
        <v/>
      </c>
      <c r="G231" s="76">
        <f>$B$223*EXP(-$D231*G$229)</f>
        <v/>
      </c>
      <c r="H231" s="76">
        <f>$B$223*EXP(-$D231*H$229)</f>
        <v/>
      </c>
      <c r="I231" s="76">
        <f>$B$223*EXP(-$D231*I$229)</f>
        <v/>
      </c>
      <c r="J231" s="76">
        <f>$B$223*EXP(-$D231*J$229)</f>
        <v/>
      </c>
      <c r="K231" s="76">
        <f>$B$223*EXP(-$D231*K$229)</f>
        <v/>
      </c>
      <c r="L231" s="76">
        <f>$B$223*EXP(-$D231*L$229)</f>
        <v/>
      </c>
      <c r="M231" s="76">
        <f>$B$223*EXP(-$D231*M$229)</f>
        <v/>
      </c>
      <c r="N231" s="76">
        <f>$B$223*EXP(-$D231*N$229)</f>
        <v/>
      </c>
      <c r="O231" s="76">
        <f>$B$223*EXP(-$D231*O$229)</f>
        <v/>
      </c>
      <c r="P231" s="76">
        <f>$B$223*EXP(-$D231*P$229)</f>
        <v/>
      </c>
      <c r="Q231" s="76">
        <f>$B$223*EXP(-$D231*Q$229)</f>
        <v/>
      </c>
      <c r="R231" s="76">
        <f>SUMPRODUCT($F$228:$Q$228,$E231:$P231-$F231:$Q231)</f>
        <v/>
      </c>
      <c r="S231" s="76">
        <f>SUMPRODUCT($F$225:$Q$225,$F$227:$Q$227,$F231:$Q231)+0.5*SUMPRODUCT($F$225:$Q$225,$F$228:$Q$228,$E231:$P231-$F231:$Q231)</f>
        <v/>
      </c>
      <c r="T231" s="76">
        <f>(1-$F$222)*($D$223+R231)-$D$222*(($F$223+S231)-CDS_Parameters!$B$26)</f>
        <v/>
      </c>
    </row>
    <row r="232">
      <c r="B232" s="76">
        <f>IF(T231&lt;0,D231,B231)</f>
        <v/>
      </c>
      <c r="C232" s="76">
        <f>IF(T231&lt;0,C231,D231)</f>
        <v/>
      </c>
      <c r="D232" s="76">
        <f>(B232+C232)/2</f>
        <v/>
      </c>
      <c r="E232" s="76">
        <f>$B$223</f>
        <v/>
      </c>
      <c r="F232" s="76">
        <f>$B$223*EXP(-$D232*F$229)</f>
        <v/>
      </c>
      <c r="G232" s="76">
        <f>$B$223*EXP(-$D232*G$229)</f>
        <v/>
      </c>
      <c r="H232" s="76">
        <f>$B$223*EXP(-$D232*H$229)</f>
        <v/>
      </c>
      <c r="I232" s="76">
        <f>$B$223*EXP(-$D232*I$229)</f>
        <v/>
      </c>
      <c r="J232" s="76">
        <f>$B$223*EXP(-$D232*J$229)</f>
        <v/>
      </c>
      <c r="K232" s="76">
        <f>$B$223*EXP(-$D232*K$229)</f>
        <v/>
      </c>
      <c r="L232" s="76">
        <f>$B$223*EXP(-$D232*L$229)</f>
        <v/>
      </c>
      <c r="M232" s="76">
        <f>$B$223*EXP(-$D232*M$229)</f>
        <v/>
      </c>
      <c r="N232" s="76">
        <f>$B$223*EXP(-$D232*N$229)</f>
        <v/>
      </c>
      <c r="O232" s="76">
        <f>$B$223*EXP(-$D232*O$229)</f>
        <v/>
      </c>
      <c r="P232" s="76">
        <f>$B$223*EXP(-$D232*P$229)</f>
        <v/>
      </c>
      <c r="Q232" s="76">
        <f>$B$223*EXP(-$D232*Q$229)</f>
        <v/>
      </c>
      <c r="R232" s="76">
        <f>SUMPRODUCT($F$228:$Q$228,$E232:$P232-$F232:$Q232)</f>
        <v/>
      </c>
      <c r="S232" s="76">
        <f>SUMPRODUCT($F$225:$Q$225,$F$227:$Q$227,$F232:$Q232)+0.5*SUMPRODUCT($F$225:$Q$225,$F$228:$Q$228,$E232:$P232-$F232:$Q232)</f>
        <v/>
      </c>
      <c r="T232" s="76">
        <f>(1-$F$222)*($D$223+R232)-$D$222*(($F$223+S232)-CDS_Parameters!$B$26)</f>
        <v/>
      </c>
    </row>
    <row r="233">
      <c r="B233" s="76">
        <f>IF(T232&lt;0,D232,B232)</f>
        <v/>
      </c>
      <c r="C233" s="76">
        <f>IF(T232&lt;0,C232,D232)</f>
        <v/>
      </c>
      <c r="D233" s="76">
        <f>(B233+C233)/2</f>
        <v/>
      </c>
      <c r="E233" s="76">
        <f>$B$223</f>
        <v/>
      </c>
      <c r="F233" s="76">
        <f>$B$223*EXP(-$D233*F$229)</f>
        <v/>
      </c>
      <c r="G233" s="76">
        <f>$B$223*EXP(-$D233*G$229)</f>
        <v/>
      </c>
      <c r="H233" s="76">
        <f>$B$223*EXP(-$D233*H$229)</f>
        <v/>
      </c>
      <c r="I233" s="76">
        <f>$B$223*EXP(-$D233*I$229)</f>
        <v/>
      </c>
      <c r="J233" s="76">
        <f>$B$223*EXP(-$D233*J$229)</f>
        <v/>
      </c>
      <c r="K233" s="76">
        <f>$B$223*EXP(-$D233*K$229)</f>
        <v/>
      </c>
      <c r="L233" s="76">
        <f>$B$223*EXP(-$D233*L$229)</f>
        <v/>
      </c>
      <c r="M233" s="76">
        <f>$B$223*EXP(-$D233*M$229)</f>
        <v/>
      </c>
      <c r="N233" s="76">
        <f>$B$223*EXP(-$D233*N$229)</f>
        <v/>
      </c>
      <c r="O233" s="76">
        <f>$B$223*EXP(-$D233*O$229)</f>
        <v/>
      </c>
      <c r="P233" s="76">
        <f>$B$223*EXP(-$D233*P$229)</f>
        <v/>
      </c>
      <c r="Q233" s="76">
        <f>$B$223*EXP(-$D233*Q$229)</f>
        <v/>
      </c>
      <c r="R233" s="76">
        <f>SUMPRODUCT($F$228:$Q$228,$E233:$P233-$F233:$Q233)</f>
        <v/>
      </c>
      <c r="S233" s="76">
        <f>SUMPRODUCT($F$225:$Q$225,$F$227:$Q$227,$F233:$Q233)+0.5*SUMPRODUCT($F$225:$Q$225,$F$228:$Q$228,$E233:$P233-$F233:$Q233)</f>
        <v/>
      </c>
      <c r="T233" s="76">
        <f>(1-$F$222)*($D$223+R233)-$D$222*(($F$223+S233)-CDS_Parameters!$B$26)</f>
        <v/>
      </c>
    </row>
    <row r="234">
      <c r="B234" s="76">
        <f>IF(T233&lt;0,D233,B233)</f>
        <v/>
      </c>
      <c r="C234" s="76">
        <f>IF(T233&lt;0,C233,D233)</f>
        <v/>
      </c>
      <c r="D234" s="76">
        <f>(B234+C234)/2</f>
        <v/>
      </c>
      <c r="E234" s="76">
        <f>$B$223</f>
        <v/>
      </c>
      <c r="F234" s="76">
        <f>$B$223*EXP(-$D234*F$229)</f>
        <v/>
      </c>
      <c r="G234" s="76">
        <f>$B$223*EXP(-$D234*G$229)</f>
        <v/>
      </c>
      <c r="H234" s="76">
        <f>$B$223*EXP(-$D234*H$229)</f>
        <v/>
      </c>
      <c r="I234" s="76">
        <f>$B$223*EXP(-$D234*I$229)</f>
        <v/>
      </c>
      <c r="J234" s="76">
        <f>$B$223*EXP(-$D234*J$229)</f>
        <v/>
      </c>
      <c r="K234" s="76">
        <f>$B$223*EXP(-$D234*K$229)</f>
        <v/>
      </c>
      <c r="L234" s="76">
        <f>$B$223*EXP(-$D234*L$229)</f>
        <v/>
      </c>
      <c r="M234" s="76">
        <f>$B$223*EXP(-$D234*M$229)</f>
        <v/>
      </c>
      <c r="N234" s="76">
        <f>$B$223*EXP(-$D234*N$229)</f>
        <v/>
      </c>
      <c r="O234" s="76">
        <f>$B$223*EXP(-$D234*O$229)</f>
        <v/>
      </c>
      <c r="P234" s="76">
        <f>$B$223*EXP(-$D234*P$229)</f>
        <v/>
      </c>
      <c r="Q234" s="76">
        <f>$B$223*EXP(-$D234*Q$229)</f>
        <v/>
      </c>
      <c r="R234" s="76">
        <f>SUMPRODUCT($F$228:$Q$228,$E234:$P234-$F234:$Q234)</f>
        <v/>
      </c>
      <c r="S234" s="76">
        <f>SUMPRODUCT($F$225:$Q$225,$F$227:$Q$227,$F234:$Q234)+0.5*SUMPRODUCT($F$225:$Q$225,$F$228:$Q$228,$E234:$P234-$F234:$Q234)</f>
        <v/>
      </c>
      <c r="T234" s="76">
        <f>(1-$F$222)*($D$223+R234)-$D$222*(($F$223+S234)-CDS_Parameters!$B$26)</f>
        <v/>
      </c>
    </row>
    <row r="235">
      <c r="B235" s="76">
        <f>IF(T234&lt;0,D234,B234)</f>
        <v/>
      </c>
      <c r="C235" s="76">
        <f>IF(T234&lt;0,C234,D234)</f>
        <v/>
      </c>
      <c r="D235" s="76">
        <f>(B235+C235)/2</f>
        <v/>
      </c>
      <c r="E235" s="76">
        <f>$B$223</f>
        <v/>
      </c>
      <c r="F235" s="76">
        <f>$B$223*EXP(-$D235*F$229)</f>
        <v/>
      </c>
      <c r="G235" s="76">
        <f>$B$223*EXP(-$D235*G$229)</f>
        <v/>
      </c>
      <c r="H235" s="76">
        <f>$B$223*EXP(-$D235*H$229)</f>
        <v/>
      </c>
      <c r="I235" s="76">
        <f>$B$223*EXP(-$D235*I$229)</f>
        <v/>
      </c>
      <c r="J235" s="76">
        <f>$B$223*EXP(-$D235*J$229)</f>
        <v/>
      </c>
      <c r="K235" s="76">
        <f>$B$223*EXP(-$D235*K$229)</f>
        <v/>
      </c>
      <c r="L235" s="76">
        <f>$B$223*EXP(-$D235*L$229)</f>
        <v/>
      </c>
      <c r="M235" s="76">
        <f>$B$223*EXP(-$D235*M$229)</f>
        <v/>
      </c>
      <c r="N235" s="76">
        <f>$B$223*EXP(-$D235*N$229)</f>
        <v/>
      </c>
      <c r="O235" s="76">
        <f>$B$223*EXP(-$D235*O$229)</f>
        <v/>
      </c>
      <c r="P235" s="76">
        <f>$B$223*EXP(-$D235*P$229)</f>
        <v/>
      </c>
      <c r="Q235" s="76">
        <f>$B$223*EXP(-$D235*Q$229)</f>
        <v/>
      </c>
      <c r="R235" s="76">
        <f>SUMPRODUCT($F$228:$Q$228,$E235:$P235-$F235:$Q235)</f>
        <v/>
      </c>
      <c r="S235" s="76">
        <f>SUMPRODUCT($F$225:$Q$225,$F$227:$Q$227,$F235:$Q235)+0.5*SUMPRODUCT($F$225:$Q$225,$F$228:$Q$228,$E235:$P235-$F235:$Q235)</f>
        <v/>
      </c>
      <c r="T235" s="76">
        <f>(1-$F$222)*($D$223+R235)-$D$222*(($F$223+S235)-CDS_Parameters!$B$26)</f>
        <v/>
      </c>
    </row>
    <row r="236">
      <c r="B236" s="76">
        <f>IF(T235&lt;0,D235,B235)</f>
        <v/>
      </c>
      <c r="C236" s="76">
        <f>IF(T235&lt;0,C235,D235)</f>
        <v/>
      </c>
      <c r="D236" s="76">
        <f>(B236+C236)/2</f>
        <v/>
      </c>
      <c r="E236" s="76">
        <f>$B$223</f>
        <v/>
      </c>
      <c r="F236" s="76">
        <f>$B$223*EXP(-$D236*F$229)</f>
        <v/>
      </c>
      <c r="G236" s="76">
        <f>$B$223*EXP(-$D236*G$229)</f>
        <v/>
      </c>
      <c r="H236" s="76">
        <f>$B$223*EXP(-$D236*H$229)</f>
        <v/>
      </c>
      <c r="I236" s="76">
        <f>$B$223*EXP(-$D236*I$229)</f>
        <v/>
      </c>
      <c r="J236" s="76">
        <f>$B$223*EXP(-$D236*J$229)</f>
        <v/>
      </c>
      <c r="K236" s="76">
        <f>$B$223*EXP(-$D236*K$229)</f>
        <v/>
      </c>
      <c r="L236" s="76">
        <f>$B$223*EXP(-$D236*L$229)</f>
        <v/>
      </c>
      <c r="M236" s="76">
        <f>$B$223*EXP(-$D236*M$229)</f>
        <v/>
      </c>
      <c r="N236" s="76">
        <f>$B$223*EXP(-$D236*N$229)</f>
        <v/>
      </c>
      <c r="O236" s="76">
        <f>$B$223*EXP(-$D236*O$229)</f>
        <v/>
      </c>
      <c r="P236" s="76">
        <f>$B$223*EXP(-$D236*P$229)</f>
        <v/>
      </c>
      <c r="Q236" s="76">
        <f>$B$223*EXP(-$D236*Q$229)</f>
        <v/>
      </c>
      <c r="R236" s="76">
        <f>SUMPRODUCT($F$228:$Q$228,$E236:$P236-$F236:$Q236)</f>
        <v/>
      </c>
      <c r="S236" s="76">
        <f>SUMPRODUCT($F$225:$Q$225,$F$227:$Q$227,$F236:$Q236)+0.5*SUMPRODUCT($F$225:$Q$225,$F$228:$Q$228,$E236:$P236-$F236:$Q236)</f>
        <v/>
      </c>
      <c r="T236" s="76">
        <f>(1-$F$222)*($D$223+R236)-$D$222*(($F$223+S236)-CDS_Parameters!$B$26)</f>
        <v/>
      </c>
    </row>
    <row r="237">
      <c r="B237" s="76">
        <f>IF(T236&lt;0,D236,B236)</f>
        <v/>
      </c>
      <c r="C237" s="76">
        <f>IF(T236&lt;0,C236,D236)</f>
        <v/>
      </c>
      <c r="D237" s="76">
        <f>(B237+C237)/2</f>
        <v/>
      </c>
      <c r="E237" s="76">
        <f>$B$223</f>
        <v/>
      </c>
      <c r="F237" s="76">
        <f>$B$223*EXP(-$D237*F$229)</f>
        <v/>
      </c>
      <c r="G237" s="76">
        <f>$B$223*EXP(-$D237*G$229)</f>
        <v/>
      </c>
      <c r="H237" s="76">
        <f>$B$223*EXP(-$D237*H$229)</f>
        <v/>
      </c>
      <c r="I237" s="76">
        <f>$B$223*EXP(-$D237*I$229)</f>
        <v/>
      </c>
      <c r="J237" s="76">
        <f>$B$223*EXP(-$D237*J$229)</f>
        <v/>
      </c>
      <c r="K237" s="76">
        <f>$B$223*EXP(-$D237*K$229)</f>
        <v/>
      </c>
      <c r="L237" s="76">
        <f>$B$223*EXP(-$D237*L$229)</f>
        <v/>
      </c>
      <c r="M237" s="76">
        <f>$B$223*EXP(-$D237*M$229)</f>
        <v/>
      </c>
      <c r="N237" s="76">
        <f>$B$223*EXP(-$D237*N$229)</f>
        <v/>
      </c>
      <c r="O237" s="76">
        <f>$B$223*EXP(-$D237*O$229)</f>
        <v/>
      </c>
      <c r="P237" s="76">
        <f>$B$223*EXP(-$D237*P$229)</f>
        <v/>
      </c>
      <c r="Q237" s="76">
        <f>$B$223*EXP(-$D237*Q$229)</f>
        <v/>
      </c>
      <c r="R237" s="76">
        <f>SUMPRODUCT($F$228:$Q$228,$E237:$P237-$F237:$Q237)</f>
        <v/>
      </c>
      <c r="S237" s="76">
        <f>SUMPRODUCT($F$225:$Q$225,$F$227:$Q$227,$F237:$Q237)+0.5*SUMPRODUCT($F$225:$Q$225,$F$228:$Q$228,$E237:$P237-$F237:$Q237)</f>
        <v/>
      </c>
      <c r="T237" s="76">
        <f>(1-$F$222)*($D$223+R237)-$D$222*(($F$223+S237)-CDS_Parameters!$B$26)</f>
        <v/>
      </c>
    </row>
    <row r="238">
      <c r="B238" s="76">
        <f>IF(T237&lt;0,D237,B237)</f>
        <v/>
      </c>
      <c r="C238" s="76">
        <f>IF(T237&lt;0,C237,D237)</f>
        <v/>
      </c>
      <c r="D238" s="76">
        <f>(B238+C238)/2</f>
        <v/>
      </c>
      <c r="E238" s="76">
        <f>$B$223</f>
        <v/>
      </c>
      <c r="F238" s="76">
        <f>$B$223*EXP(-$D238*F$229)</f>
        <v/>
      </c>
      <c r="G238" s="76">
        <f>$B$223*EXP(-$D238*G$229)</f>
        <v/>
      </c>
      <c r="H238" s="76">
        <f>$B$223*EXP(-$D238*H$229)</f>
        <v/>
      </c>
      <c r="I238" s="76">
        <f>$B$223*EXP(-$D238*I$229)</f>
        <v/>
      </c>
      <c r="J238" s="76">
        <f>$B$223*EXP(-$D238*J$229)</f>
        <v/>
      </c>
      <c r="K238" s="76">
        <f>$B$223*EXP(-$D238*K$229)</f>
        <v/>
      </c>
      <c r="L238" s="76">
        <f>$B$223*EXP(-$D238*L$229)</f>
        <v/>
      </c>
      <c r="M238" s="76">
        <f>$B$223*EXP(-$D238*M$229)</f>
        <v/>
      </c>
      <c r="N238" s="76">
        <f>$B$223*EXP(-$D238*N$229)</f>
        <v/>
      </c>
      <c r="O238" s="76">
        <f>$B$223*EXP(-$D238*O$229)</f>
        <v/>
      </c>
      <c r="P238" s="76">
        <f>$B$223*EXP(-$D238*P$229)</f>
        <v/>
      </c>
      <c r="Q238" s="76">
        <f>$B$223*EXP(-$D238*Q$229)</f>
        <v/>
      </c>
      <c r="R238" s="76">
        <f>SUMPRODUCT($F$228:$Q$228,$E238:$P238-$F238:$Q238)</f>
        <v/>
      </c>
      <c r="S238" s="76">
        <f>SUMPRODUCT($F$225:$Q$225,$F$227:$Q$227,$F238:$Q238)+0.5*SUMPRODUCT($F$225:$Q$225,$F$228:$Q$228,$E238:$P238-$F238:$Q238)</f>
        <v/>
      </c>
      <c r="T238" s="76">
        <f>(1-$F$222)*($D$223+R238)-$D$222*(($F$223+S238)-CDS_Parameters!$B$26)</f>
        <v/>
      </c>
    </row>
    <row r="239">
      <c r="B239" s="76">
        <f>IF(T238&lt;0,D238,B238)</f>
        <v/>
      </c>
      <c r="C239" s="76">
        <f>IF(T238&lt;0,C238,D238)</f>
        <v/>
      </c>
      <c r="D239" s="76">
        <f>(B239+C239)/2</f>
        <v/>
      </c>
      <c r="E239" s="76">
        <f>$B$223</f>
        <v/>
      </c>
      <c r="F239" s="76">
        <f>$B$223*EXP(-$D239*F$229)</f>
        <v/>
      </c>
      <c r="G239" s="76">
        <f>$B$223*EXP(-$D239*G$229)</f>
        <v/>
      </c>
      <c r="H239" s="76">
        <f>$B$223*EXP(-$D239*H$229)</f>
        <v/>
      </c>
      <c r="I239" s="76">
        <f>$B$223*EXP(-$D239*I$229)</f>
        <v/>
      </c>
      <c r="J239" s="76">
        <f>$B$223*EXP(-$D239*J$229)</f>
        <v/>
      </c>
      <c r="K239" s="76">
        <f>$B$223*EXP(-$D239*K$229)</f>
        <v/>
      </c>
      <c r="L239" s="76">
        <f>$B$223*EXP(-$D239*L$229)</f>
        <v/>
      </c>
      <c r="M239" s="76">
        <f>$B$223*EXP(-$D239*M$229)</f>
        <v/>
      </c>
      <c r="N239" s="76">
        <f>$B$223*EXP(-$D239*N$229)</f>
        <v/>
      </c>
      <c r="O239" s="76">
        <f>$B$223*EXP(-$D239*O$229)</f>
        <v/>
      </c>
      <c r="P239" s="76">
        <f>$B$223*EXP(-$D239*P$229)</f>
        <v/>
      </c>
      <c r="Q239" s="76">
        <f>$B$223*EXP(-$D239*Q$229)</f>
        <v/>
      </c>
      <c r="R239" s="76">
        <f>SUMPRODUCT($F$228:$Q$228,$E239:$P239-$F239:$Q239)</f>
        <v/>
      </c>
      <c r="S239" s="76">
        <f>SUMPRODUCT($F$225:$Q$225,$F$227:$Q$227,$F239:$Q239)+0.5*SUMPRODUCT($F$225:$Q$225,$F$228:$Q$228,$E239:$P239-$F239:$Q239)</f>
        <v/>
      </c>
      <c r="T239" s="76">
        <f>(1-$F$222)*($D$223+R239)-$D$222*(($F$223+S239)-CDS_Parameters!$B$26)</f>
        <v/>
      </c>
    </row>
    <row r="240">
      <c r="B240" s="76">
        <f>IF(T239&lt;0,D239,B239)</f>
        <v/>
      </c>
      <c r="C240" s="76">
        <f>IF(T239&lt;0,C239,D239)</f>
        <v/>
      </c>
      <c r="D240" s="76">
        <f>(B240+C240)/2</f>
        <v/>
      </c>
      <c r="E240" s="76">
        <f>$B$223</f>
        <v/>
      </c>
      <c r="F240" s="76">
        <f>$B$223*EXP(-$D240*F$229)</f>
        <v/>
      </c>
      <c r="G240" s="76">
        <f>$B$223*EXP(-$D240*G$229)</f>
        <v/>
      </c>
      <c r="H240" s="76">
        <f>$B$223*EXP(-$D240*H$229)</f>
        <v/>
      </c>
      <c r="I240" s="76">
        <f>$B$223*EXP(-$D240*I$229)</f>
        <v/>
      </c>
      <c r="J240" s="76">
        <f>$B$223*EXP(-$D240*J$229)</f>
        <v/>
      </c>
      <c r="K240" s="76">
        <f>$B$223*EXP(-$D240*K$229)</f>
        <v/>
      </c>
      <c r="L240" s="76">
        <f>$B$223*EXP(-$D240*L$229)</f>
        <v/>
      </c>
      <c r="M240" s="76">
        <f>$B$223*EXP(-$D240*M$229)</f>
        <v/>
      </c>
      <c r="N240" s="76">
        <f>$B$223*EXP(-$D240*N$229)</f>
        <v/>
      </c>
      <c r="O240" s="76">
        <f>$B$223*EXP(-$D240*O$229)</f>
        <v/>
      </c>
      <c r="P240" s="76">
        <f>$B$223*EXP(-$D240*P$229)</f>
        <v/>
      </c>
      <c r="Q240" s="76">
        <f>$B$223*EXP(-$D240*Q$229)</f>
        <v/>
      </c>
      <c r="R240" s="76">
        <f>SUMPRODUCT($F$228:$Q$228,$E240:$P240-$F240:$Q240)</f>
        <v/>
      </c>
      <c r="S240" s="76">
        <f>SUMPRODUCT($F$225:$Q$225,$F$227:$Q$227,$F240:$Q240)+0.5*SUMPRODUCT($F$225:$Q$225,$F$228:$Q$228,$E240:$P240-$F240:$Q240)</f>
        <v/>
      </c>
      <c r="T240" s="76">
        <f>(1-$F$222)*($D$223+R240)-$D$222*(($F$223+S240)-CDS_Parameters!$B$26)</f>
        <v/>
      </c>
    </row>
    <row r="241">
      <c r="B241" s="76">
        <f>IF(T240&lt;0,D240,B240)</f>
        <v/>
      </c>
      <c r="C241" s="76">
        <f>IF(T240&lt;0,C240,D240)</f>
        <v/>
      </c>
      <c r="D241" s="76">
        <f>(B241+C241)/2</f>
        <v/>
      </c>
      <c r="E241" s="76">
        <f>$B$223</f>
        <v/>
      </c>
      <c r="F241" s="76">
        <f>$B$223*EXP(-$D241*F$229)</f>
        <v/>
      </c>
      <c r="G241" s="76">
        <f>$B$223*EXP(-$D241*G$229)</f>
        <v/>
      </c>
      <c r="H241" s="76">
        <f>$B$223*EXP(-$D241*H$229)</f>
        <v/>
      </c>
      <c r="I241" s="76">
        <f>$B$223*EXP(-$D241*I$229)</f>
        <v/>
      </c>
      <c r="J241" s="76">
        <f>$B$223*EXP(-$D241*J$229)</f>
        <v/>
      </c>
      <c r="K241" s="76">
        <f>$B$223*EXP(-$D241*K$229)</f>
        <v/>
      </c>
      <c r="L241" s="76">
        <f>$B$223*EXP(-$D241*L$229)</f>
        <v/>
      </c>
      <c r="M241" s="76">
        <f>$B$223*EXP(-$D241*M$229)</f>
        <v/>
      </c>
      <c r="N241" s="76">
        <f>$B$223*EXP(-$D241*N$229)</f>
        <v/>
      </c>
      <c r="O241" s="76">
        <f>$B$223*EXP(-$D241*O$229)</f>
        <v/>
      </c>
      <c r="P241" s="76">
        <f>$B$223*EXP(-$D241*P$229)</f>
        <v/>
      </c>
      <c r="Q241" s="76">
        <f>$B$223*EXP(-$D241*Q$229)</f>
        <v/>
      </c>
      <c r="R241" s="76">
        <f>SUMPRODUCT($F$228:$Q$228,$E241:$P241-$F241:$Q241)</f>
        <v/>
      </c>
      <c r="S241" s="76">
        <f>SUMPRODUCT($F$225:$Q$225,$F$227:$Q$227,$F241:$Q241)+0.5*SUMPRODUCT($F$225:$Q$225,$F$228:$Q$228,$E241:$P241-$F241:$Q241)</f>
        <v/>
      </c>
      <c r="T241" s="76">
        <f>(1-$F$222)*($D$223+R241)-$D$222*(($F$223+S241)-CDS_Parameters!$B$26)</f>
        <v/>
      </c>
    </row>
    <row r="242">
      <c r="B242" s="76">
        <f>IF(T241&lt;0,D241,B241)</f>
        <v/>
      </c>
      <c r="C242" s="76">
        <f>IF(T241&lt;0,C241,D241)</f>
        <v/>
      </c>
      <c r="D242" s="76">
        <f>(B242+C242)/2</f>
        <v/>
      </c>
      <c r="E242" s="76">
        <f>$B$223</f>
        <v/>
      </c>
      <c r="F242" s="76">
        <f>$B$223*EXP(-$D242*F$229)</f>
        <v/>
      </c>
      <c r="G242" s="76">
        <f>$B$223*EXP(-$D242*G$229)</f>
        <v/>
      </c>
      <c r="H242" s="76">
        <f>$B$223*EXP(-$D242*H$229)</f>
        <v/>
      </c>
      <c r="I242" s="76">
        <f>$B$223*EXP(-$D242*I$229)</f>
        <v/>
      </c>
      <c r="J242" s="76">
        <f>$B$223*EXP(-$D242*J$229)</f>
        <v/>
      </c>
      <c r="K242" s="76">
        <f>$B$223*EXP(-$D242*K$229)</f>
        <v/>
      </c>
      <c r="L242" s="76">
        <f>$B$223*EXP(-$D242*L$229)</f>
        <v/>
      </c>
      <c r="M242" s="76">
        <f>$B$223*EXP(-$D242*M$229)</f>
        <v/>
      </c>
      <c r="N242" s="76">
        <f>$B$223*EXP(-$D242*N$229)</f>
        <v/>
      </c>
      <c r="O242" s="76">
        <f>$B$223*EXP(-$D242*O$229)</f>
        <v/>
      </c>
      <c r="P242" s="76">
        <f>$B$223*EXP(-$D242*P$229)</f>
        <v/>
      </c>
      <c r="Q242" s="76">
        <f>$B$223*EXP(-$D242*Q$229)</f>
        <v/>
      </c>
      <c r="R242" s="76">
        <f>SUMPRODUCT($F$228:$Q$228,$E242:$P242-$F242:$Q242)</f>
        <v/>
      </c>
      <c r="S242" s="76">
        <f>SUMPRODUCT($F$225:$Q$225,$F$227:$Q$227,$F242:$Q242)+0.5*SUMPRODUCT($F$225:$Q$225,$F$228:$Q$228,$E242:$P242-$F242:$Q242)</f>
        <v/>
      </c>
      <c r="T242" s="76">
        <f>(1-$F$222)*($D$223+R242)-$D$222*(($F$223+S242)-CDS_Parameters!$B$26)</f>
        <v/>
      </c>
    </row>
    <row r="243">
      <c r="B243" s="76">
        <f>IF(T242&lt;0,D242,B242)</f>
        <v/>
      </c>
      <c r="C243" s="76">
        <f>IF(T242&lt;0,C242,D242)</f>
        <v/>
      </c>
      <c r="D243" s="76">
        <f>(B243+C243)/2</f>
        <v/>
      </c>
      <c r="E243" s="76">
        <f>$B$223</f>
        <v/>
      </c>
      <c r="F243" s="76">
        <f>$B$223*EXP(-$D243*F$229)</f>
        <v/>
      </c>
      <c r="G243" s="76">
        <f>$B$223*EXP(-$D243*G$229)</f>
        <v/>
      </c>
      <c r="H243" s="76">
        <f>$B$223*EXP(-$D243*H$229)</f>
        <v/>
      </c>
      <c r="I243" s="76">
        <f>$B$223*EXP(-$D243*I$229)</f>
        <v/>
      </c>
      <c r="J243" s="76">
        <f>$B$223*EXP(-$D243*J$229)</f>
        <v/>
      </c>
      <c r="K243" s="76">
        <f>$B$223*EXP(-$D243*K$229)</f>
        <v/>
      </c>
      <c r="L243" s="76">
        <f>$B$223*EXP(-$D243*L$229)</f>
        <v/>
      </c>
      <c r="M243" s="76">
        <f>$B$223*EXP(-$D243*M$229)</f>
        <v/>
      </c>
      <c r="N243" s="76">
        <f>$B$223*EXP(-$D243*N$229)</f>
        <v/>
      </c>
      <c r="O243" s="76">
        <f>$B$223*EXP(-$D243*O$229)</f>
        <v/>
      </c>
      <c r="P243" s="76">
        <f>$B$223*EXP(-$D243*P$229)</f>
        <v/>
      </c>
      <c r="Q243" s="76">
        <f>$B$223*EXP(-$D243*Q$229)</f>
        <v/>
      </c>
      <c r="R243" s="76">
        <f>SUMPRODUCT($F$228:$Q$228,$E243:$P243-$F243:$Q243)</f>
        <v/>
      </c>
      <c r="S243" s="76">
        <f>SUMPRODUCT($F$225:$Q$225,$F$227:$Q$227,$F243:$Q243)+0.5*SUMPRODUCT($F$225:$Q$225,$F$228:$Q$228,$E243:$P243-$F243:$Q243)</f>
        <v/>
      </c>
      <c r="T243" s="76">
        <f>(1-$F$222)*($D$223+R243)-$D$222*(($F$223+S243)-CDS_Parameters!$B$26)</f>
        <v/>
      </c>
    </row>
    <row r="244">
      <c r="B244" s="76">
        <f>IF(T243&lt;0,D243,B243)</f>
        <v/>
      </c>
      <c r="C244" s="76">
        <f>IF(T243&lt;0,C243,D243)</f>
        <v/>
      </c>
      <c r="D244" s="76">
        <f>(B244+C244)/2</f>
        <v/>
      </c>
      <c r="E244" s="76">
        <f>$B$223</f>
        <v/>
      </c>
      <c r="F244" s="76">
        <f>$B$223*EXP(-$D244*F$229)</f>
        <v/>
      </c>
      <c r="G244" s="76">
        <f>$B$223*EXP(-$D244*G$229)</f>
        <v/>
      </c>
      <c r="H244" s="76">
        <f>$B$223*EXP(-$D244*H$229)</f>
        <v/>
      </c>
      <c r="I244" s="76">
        <f>$B$223*EXP(-$D244*I$229)</f>
        <v/>
      </c>
      <c r="J244" s="76">
        <f>$B$223*EXP(-$D244*J$229)</f>
        <v/>
      </c>
      <c r="K244" s="76">
        <f>$B$223*EXP(-$D244*K$229)</f>
        <v/>
      </c>
      <c r="L244" s="76">
        <f>$B$223*EXP(-$D244*L$229)</f>
        <v/>
      </c>
      <c r="M244" s="76">
        <f>$B$223*EXP(-$D244*M$229)</f>
        <v/>
      </c>
      <c r="N244" s="76">
        <f>$B$223*EXP(-$D244*N$229)</f>
        <v/>
      </c>
      <c r="O244" s="76">
        <f>$B$223*EXP(-$D244*O$229)</f>
        <v/>
      </c>
      <c r="P244" s="76">
        <f>$B$223*EXP(-$D244*P$229)</f>
        <v/>
      </c>
      <c r="Q244" s="76">
        <f>$B$223*EXP(-$D244*Q$229)</f>
        <v/>
      </c>
      <c r="R244" s="76">
        <f>SUMPRODUCT($F$228:$Q$228,$E244:$P244-$F244:$Q244)</f>
        <v/>
      </c>
      <c r="S244" s="76">
        <f>SUMPRODUCT($F$225:$Q$225,$F$227:$Q$227,$F244:$Q244)+0.5*SUMPRODUCT($F$225:$Q$225,$F$228:$Q$228,$E244:$P244-$F244:$Q244)</f>
        <v/>
      </c>
      <c r="T244" s="76">
        <f>(1-$F$222)*($D$223+R244)-$D$222*(($F$223+S244)-CDS_Parameters!$B$26)</f>
        <v/>
      </c>
    </row>
    <row r="245">
      <c r="B245" s="76">
        <f>IF(T244&lt;0,D244,B244)</f>
        <v/>
      </c>
      <c r="C245" s="76">
        <f>IF(T244&lt;0,C244,D244)</f>
        <v/>
      </c>
      <c r="D245" s="76">
        <f>(B245+C245)/2</f>
        <v/>
      </c>
      <c r="E245" s="76">
        <f>$B$223</f>
        <v/>
      </c>
      <c r="F245" s="76">
        <f>$B$223*EXP(-$D245*F$229)</f>
        <v/>
      </c>
      <c r="G245" s="76">
        <f>$B$223*EXP(-$D245*G$229)</f>
        <v/>
      </c>
      <c r="H245" s="76">
        <f>$B$223*EXP(-$D245*H$229)</f>
        <v/>
      </c>
      <c r="I245" s="76">
        <f>$B$223*EXP(-$D245*I$229)</f>
        <v/>
      </c>
      <c r="J245" s="76">
        <f>$B$223*EXP(-$D245*J$229)</f>
        <v/>
      </c>
      <c r="K245" s="76">
        <f>$B$223*EXP(-$D245*K$229)</f>
        <v/>
      </c>
      <c r="L245" s="76">
        <f>$B$223*EXP(-$D245*L$229)</f>
        <v/>
      </c>
      <c r="M245" s="76">
        <f>$B$223*EXP(-$D245*M$229)</f>
        <v/>
      </c>
      <c r="N245" s="76">
        <f>$B$223*EXP(-$D245*N$229)</f>
        <v/>
      </c>
      <c r="O245" s="76">
        <f>$B$223*EXP(-$D245*O$229)</f>
        <v/>
      </c>
      <c r="P245" s="76">
        <f>$B$223*EXP(-$D245*P$229)</f>
        <v/>
      </c>
      <c r="Q245" s="76">
        <f>$B$223*EXP(-$D245*Q$229)</f>
        <v/>
      </c>
      <c r="R245" s="76">
        <f>SUMPRODUCT($F$228:$Q$228,$E245:$P245-$F245:$Q245)</f>
        <v/>
      </c>
      <c r="S245" s="76">
        <f>SUMPRODUCT($F$225:$Q$225,$F$227:$Q$227,$F245:$Q245)+0.5*SUMPRODUCT($F$225:$Q$225,$F$228:$Q$228,$E245:$P245-$F245:$Q245)</f>
        <v/>
      </c>
      <c r="T245" s="76">
        <f>(1-$F$222)*($D$223+R245)-$D$222*(($F$223+S245)-CDS_Parameters!$B$26)</f>
        <v/>
      </c>
    </row>
    <row r="246">
      <c r="B246" s="76">
        <f>IF(T245&lt;0,D245,B245)</f>
        <v/>
      </c>
      <c r="C246" s="76">
        <f>IF(T245&lt;0,C245,D245)</f>
        <v/>
      </c>
      <c r="D246" s="76">
        <f>(B246+C246)/2</f>
        <v/>
      </c>
      <c r="E246" s="76">
        <f>$B$223</f>
        <v/>
      </c>
      <c r="F246" s="76">
        <f>$B$223*EXP(-$D246*F$229)</f>
        <v/>
      </c>
      <c r="G246" s="76">
        <f>$B$223*EXP(-$D246*G$229)</f>
        <v/>
      </c>
      <c r="H246" s="76">
        <f>$B$223*EXP(-$D246*H$229)</f>
        <v/>
      </c>
      <c r="I246" s="76">
        <f>$B$223*EXP(-$D246*I$229)</f>
        <v/>
      </c>
      <c r="J246" s="76">
        <f>$B$223*EXP(-$D246*J$229)</f>
        <v/>
      </c>
      <c r="K246" s="76">
        <f>$B$223*EXP(-$D246*K$229)</f>
        <v/>
      </c>
      <c r="L246" s="76">
        <f>$B$223*EXP(-$D246*L$229)</f>
        <v/>
      </c>
      <c r="M246" s="76">
        <f>$B$223*EXP(-$D246*M$229)</f>
        <v/>
      </c>
      <c r="N246" s="76">
        <f>$B$223*EXP(-$D246*N$229)</f>
        <v/>
      </c>
      <c r="O246" s="76">
        <f>$B$223*EXP(-$D246*O$229)</f>
        <v/>
      </c>
      <c r="P246" s="76">
        <f>$B$223*EXP(-$D246*P$229)</f>
        <v/>
      </c>
      <c r="Q246" s="76">
        <f>$B$223*EXP(-$D246*Q$229)</f>
        <v/>
      </c>
      <c r="R246" s="76">
        <f>SUMPRODUCT($F$228:$Q$228,$E246:$P246-$F246:$Q246)</f>
        <v/>
      </c>
      <c r="S246" s="76">
        <f>SUMPRODUCT($F$225:$Q$225,$F$227:$Q$227,$F246:$Q246)+0.5*SUMPRODUCT($F$225:$Q$225,$F$228:$Q$228,$E246:$P246-$F246:$Q246)</f>
        <v/>
      </c>
      <c r="T246" s="76">
        <f>(1-$F$222)*($D$223+R246)-$D$222*(($F$223+S246)-CDS_Parameters!$B$26)</f>
        <v/>
      </c>
    </row>
    <row r="247">
      <c r="B247" s="76">
        <f>IF(T246&lt;0,D246,B246)</f>
        <v/>
      </c>
      <c r="C247" s="76">
        <f>IF(T246&lt;0,C246,D246)</f>
        <v/>
      </c>
      <c r="D247" s="76">
        <f>(B247+C247)/2</f>
        <v/>
      </c>
      <c r="E247" s="76">
        <f>$B$223</f>
        <v/>
      </c>
      <c r="F247" s="76">
        <f>$B$223*EXP(-$D247*F$229)</f>
        <v/>
      </c>
      <c r="G247" s="76">
        <f>$B$223*EXP(-$D247*G$229)</f>
        <v/>
      </c>
      <c r="H247" s="76">
        <f>$B$223*EXP(-$D247*H$229)</f>
        <v/>
      </c>
      <c r="I247" s="76">
        <f>$B$223*EXP(-$D247*I$229)</f>
        <v/>
      </c>
      <c r="J247" s="76">
        <f>$B$223*EXP(-$D247*J$229)</f>
        <v/>
      </c>
      <c r="K247" s="76">
        <f>$B$223*EXP(-$D247*K$229)</f>
        <v/>
      </c>
      <c r="L247" s="76">
        <f>$B$223*EXP(-$D247*L$229)</f>
        <v/>
      </c>
      <c r="M247" s="76">
        <f>$B$223*EXP(-$D247*M$229)</f>
        <v/>
      </c>
      <c r="N247" s="76">
        <f>$B$223*EXP(-$D247*N$229)</f>
        <v/>
      </c>
      <c r="O247" s="76">
        <f>$B$223*EXP(-$D247*O$229)</f>
        <v/>
      </c>
      <c r="P247" s="76">
        <f>$B$223*EXP(-$D247*P$229)</f>
        <v/>
      </c>
      <c r="Q247" s="76">
        <f>$B$223*EXP(-$D247*Q$229)</f>
        <v/>
      </c>
      <c r="R247" s="76">
        <f>SUMPRODUCT($F$228:$Q$228,$E247:$P247-$F247:$Q247)</f>
        <v/>
      </c>
      <c r="S247" s="76">
        <f>SUMPRODUCT($F$225:$Q$225,$F$227:$Q$227,$F247:$Q247)+0.5*SUMPRODUCT($F$225:$Q$225,$F$228:$Q$228,$E247:$P247-$F247:$Q247)</f>
        <v/>
      </c>
      <c r="T247" s="76">
        <f>(1-$F$222)*($D$223+R247)-$D$222*(($F$223+S247)-CDS_Parameters!$B$26)</f>
        <v/>
      </c>
    </row>
    <row r="248">
      <c r="B248" s="76">
        <f>IF(T247&lt;0,D247,B247)</f>
        <v/>
      </c>
      <c r="C248" s="76">
        <f>IF(T247&lt;0,C247,D247)</f>
        <v/>
      </c>
      <c r="D248" s="76">
        <f>(B248+C248)/2</f>
        <v/>
      </c>
      <c r="E248" s="76">
        <f>$B$223</f>
        <v/>
      </c>
      <c r="F248" s="76">
        <f>$B$223*EXP(-$D248*F$229)</f>
        <v/>
      </c>
      <c r="G248" s="76">
        <f>$B$223*EXP(-$D248*G$229)</f>
        <v/>
      </c>
      <c r="H248" s="76">
        <f>$B$223*EXP(-$D248*H$229)</f>
        <v/>
      </c>
      <c r="I248" s="76">
        <f>$B$223*EXP(-$D248*I$229)</f>
        <v/>
      </c>
      <c r="J248" s="76">
        <f>$B$223*EXP(-$D248*J$229)</f>
        <v/>
      </c>
      <c r="K248" s="76">
        <f>$B$223*EXP(-$D248*K$229)</f>
        <v/>
      </c>
      <c r="L248" s="76">
        <f>$B$223*EXP(-$D248*L$229)</f>
        <v/>
      </c>
      <c r="M248" s="76">
        <f>$B$223*EXP(-$D248*M$229)</f>
        <v/>
      </c>
      <c r="N248" s="76">
        <f>$B$223*EXP(-$D248*N$229)</f>
        <v/>
      </c>
      <c r="O248" s="76">
        <f>$B$223*EXP(-$D248*O$229)</f>
        <v/>
      </c>
      <c r="P248" s="76">
        <f>$B$223*EXP(-$D248*P$229)</f>
        <v/>
      </c>
      <c r="Q248" s="76">
        <f>$B$223*EXP(-$D248*Q$229)</f>
        <v/>
      </c>
      <c r="R248" s="76">
        <f>SUMPRODUCT($F$228:$Q$228,$E248:$P248-$F248:$Q248)</f>
        <v/>
      </c>
      <c r="S248" s="76">
        <f>SUMPRODUCT($F$225:$Q$225,$F$227:$Q$227,$F248:$Q248)+0.5*SUMPRODUCT($F$225:$Q$225,$F$228:$Q$228,$E248:$P248-$F248:$Q248)</f>
        <v/>
      </c>
      <c r="T248" s="76">
        <f>(1-$F$222)*($D$223+R248)-$D$222*(($F$223+S248)-CDS_Parameters!$B$26)</f>
        <v/>
      </c>
    </row>
    <row r="249">
      <c r="B249" s="76">
        <f>IF(T248&lt;0,D248,B248)</f>
        <v/>
      </c>
      <c r="C249" s="76">
        <f>IF(T248&lt;0,C248,D248)</f>
        <v/>
      </c>
      <c r="D249" s="76">
        <f>(B249+C249)/2</f>
        <v/>
      </c>
      <c r="E249" s="76">
        <f>$B$223</f>
        <v/>
      </c>
      <c r="F249" s="76">
        <f>$B$223*EXP(-$D249*F$229)</f>
        <v/>
      </c>
      <c r="G249" s="76">
        <f>$B$223*EXP(-$D249*G$229)</f>
        <v/>
      </c>
      <c r="H249" s="76">
        <f>$B$223*EXP(-$D249*H$229)</f>
        <v/>
      </c>
      <c r="I249" s="76">
        <f>$B$223*EXP(-$D249*I$229)</f>
        <v/>
      </c>
      <c r="J249" s="76">
        <f>$B$223*EXP(-$D249*J$229)</f>
        <v/>
      </c>
      <c r="K249" s="76">
        <f>$B$223*EXP(-$D249*K$229)</f>
        <v/>
      </c>
      <c r="L249" s="76">
        <f>$B$223*EXP(-$D249*L$229)</f>
        <v/>
      </c>
      <c r="M249" s="76">
        <f>$B$223*EXP(-$D249*M$229)</f>
        <v/>
      </c>
      <c r="N249" s="76">
        <f>$B$223*EXP(-$D249*N$229)</f>
        <v/>
      </c>
      <c r="O249" s="76">
        <f>$B$223*EXP(-$D249*O$229)</f>
        <v/>
      </c>
      <c r="P249" s="76">
        <f>$B$223*EXP(-$D249*P$229)</f>
        <v/>
      </c>
      <c r="Q249" s="76">
        <f>$B$223*EXP(-$D249*Q$229)</f>
        <v/>
      </c>
      <c r="R249" s="76">
        <f>SUMPRODUCT($F$228:$Q$228,$E249:$P249-$F249:$Q249)</f>
        <v/>
      </c>
      <c r="S249" s="76">
        <f>SUMPRODUCT($F$225:$Q$225,$F$227:$Q$227,$F249:$Q249)+0.5*SUMPRODUCT($F$225:$Q$225,$F$228:$Q$228,$E249:$P249-$F249:$Q249)</f>
        <v/>
      </c>
      <c r="T249" s="76">
        <f>(1-$F$222)*($D$223+R249)-$D$222*(($F$223+S249)-CDS_Parameters!$B$26)</f>
        <v/>
      </c>
    </row>
    <row r="250">
      <c r="B250" s="76">
        <f>IF(T249&lt;0,D249,B249)</f>
        <v/>
      </c>
      <c r="C250" s="76">
        <f>IF(T249&lt;0,C249,D249)</f>
        <v/>
      </c>
      <c r="D250" s="76">
        <f>(B250+C250)/2</f>
        <v/>
      </c>
      <c r="E250" s="76">
        <f>$B$223</f>
        <v/>
      </c>
      <c r="F250" s="76">
        <f>$B$223*EXP(-$D250*F$229)</f>
        <v/>
      </c>
      <c r="G250" s="76">
        <f>$B$223*EXP(-$D250*G$229)</f>
        <v/>
      </c>
      <c r="H250" s="76">
        <f>$B$223*EXP(-$D250*H$229)</f>
        <v/>
      </c>
      <c r="I250" s="76">
        <f>$B$223*EXP(-$D250*I$229)</f>
        <v/>
      </c>
      <c r="J250" s="76">
        <f>$B$223*EXP(-$D250*J$229)</f>
        <v/>
      </c>
      <c r="K250" s="76">
        <f>$B$223*EXP(-$D250*K$229)</f>
        <v/>
      </c>
      <c r="L250" s="76">
        <f>$B$223*EXP(-$D250*L$229)</f>
        <v/>
      </c>
      <c r="M250" s="76">
        <f>$B$223*EXP(-$D250*M$229)</f>
        <v/>
      </c>
      <c r="N250" s="76">
        <f>$B$223*EXP(-$D250*N$229)</f>
        <v/>
      </c>
      <c r="O250" s="76">
        <f>$B$223*EXP(-$D250*O$229)</f>
        <v/>
      </c>
      <c r="P250" s="76">
        <f>$B$223*EXP(-$D250*P$229)</f>
        <v/>
      </c>
      <c r="Q250" s="76">
        <f>$B$223*EXP(-$D250*Q$229)</f>
        <v/>
      </c>
      <c r="R250" s="76">
        <f>SUMPRODUCT($F$228:$Q$228,$E250:$P250-$F250:$Q250)</f>
        <v/>
      </c>
      <c r="S250" s="76">
        <f>SUMPRODUCT($F$225:$Q$225,$F$227:$Q$227,$F250:$Q250)+0.5*SUMPRODUCT($F$225:$Q$225,$F$228:$Q$228,$E250:$P250-$F250:$Q250)</f>
        <v/>
      </c>
      <c r="T250" s="76">
        <f>(1-$F$222)*($D$223+R250)-$D$222*(($F$223+S250)-CDS_Parameters!$B$26)</f>
        <v/>
      </c>
    </row>
    <row r="251">
      <c r="B251" s="76">
        <f>IF(T250&lt;0,D250,B250)</f>
        <v/>
      </c>
      <c r="C251" s="76">
        <f>IF(T250&lt;0,C250,D250)</f>
        <v/>
      </c>
      <c r="D251" s="76">
        <f>(B251+C251)/2</f>
        <v/>
      </c>
      <c r="E251" s="76">
        <f>$B$223</f>
        <v/>
      </c>
      <c r="F251" s="76">
        <f>$B$223*EXP(-$D251*F$229)</f>
        <v/>
      </c>
      <c r="G251" s="76">
        <f>$B$223*EXP(-$D251*G$229)</f>
        <v/>
      </c>
      <c r="H251" s="76">
        <f>$B$223*EXP(-$D251*H$229)</f>
        <v/>
      </c>
      <c r="I251" s="76">
        <f>$B$223*EXP(-$D251*I$229)</f>
        <v/>
      </c>
      <c r="J251" s="76">
        <f>$B$223*EXP(-$D251*J$229)</f>
        <v/>
      </c>
      <c r="K251" s="76">
        <f>$B$223*EXP(-$D251*K$229)</f>
        <v/>
      </c>
      <c r="L251" s="76">
        <f>$B$223*EXP(-$D251*L$229)</f>
        <v/>
      </c>
      <c r="M251" s="76">
        <f>$B$223*EXP(-$D251*M$229)</f>
        <v/>
      </c>
      <c r="N251" s="76">
        <f>$B$223*EXP(-$D251*N$229)</f>
        <v/>
      </c>
      <c r="O251" s="76">
        <f>$B$223*EXP(-$D251*O$229)</f>
        <v/>
      </c>
      <c r="P251" s="76">
        <f>$B$223*EXP(-$D251*P$229)</f>
        <v/>
      </c>
      <c r="Q251" s="76">
        <f>$B$223*EXP(-$D251*Q$229)</f>
        <v/>
      </c>
      <c r="R251" s="76">
        <f>SUMPRODUCT($F$228:$Q$228,$E251:$P251-$F251:$Q251)</f>
        <v/>
      </c>
      <c r="S251" s="76">
        <f>SUMPRODUCT($F$225:$Q$225,$F$227:$Q$227,$F251:$Q251)+0.5*SUMPRODUCT($F$225:$Q$225,$F$228:$Q$228,$E251:$P251-$F251:$Q251)</f>
        <v/>
      </c>
      <c r="T251" s="76">
        <f>(1-$F$222)*($D$223+R251)-$D$222*(($F$223+S251)-CDS_Parameters!$B$26)</f>
        <v/>
      </c>
    </row>
    <row r="252">
      <c r="B252" s="76">
        <f>IF(T251&lt;0,D251,B251)</f>
        <v/>
      </c>
      <c r="C252" s="76">
        <f>IF(T251&lt;0,C251,D251)</f>
        <v/>
      </c>
      <c r="D252" s="76">
        <f>(B252+C252)/2</f>
        <v/>
      </c>
      <c r="E252" s="76">
        <f>$B$223</f>
        <v/>
      </c>
      <c r="F252" s="76">
        <f>$B$223*EXP(-$D252*F$229)</f>
        <v/>
      </c>
      <c r="G252" s="76">
        <f>$B$223*EXP(-$D252*G$229)</f>
        <v/>
      </c>
      <c r="H252" s="76">
        <f>$B$223*EXP(-$D252*H$229)</f>
        <v/>
      </c>
      <c r="I252" s="76">
        <f>$B$223*EXP(-$D252*I$229)</f>
        <v/>
      </c>
      <c r="J252" s="76">
        <f>$B$223*EXP(-$D252*J$229)</f>
        <v/>
      </c>
      <c r="K252" s="76">
        <f>$B$223*EXP(-$D252*K$229)</f>
        <v/>
      </c>
      <c r="L252" s="76">
        <f>$B$223*EXP(-$D252*L$229)</f>
        <v/>
      </c>
      <c r="M252" s="76">
        <f>$B$223*EXP(-$D252*M$229)</f>
        <v/>
      </c>
      <c r="N252" s="76">
        <f>$B$223*EXP(-$D252*N$229)</f>
        <v/>
      </c>
      <c r="O252" s="76">
        <f>$B$223*EXP(-$D252*O$229)</f>
        <v/>
      </c>
      <c r="P252" s="76">
        <f>$B$223*EXP(-$D252*P$229)</f>
        <v/>
      </c>
      <c r="Q252" s="76">
        <f>$B$223*EXP(-$D252*Q$229)</f>
        <v/>
      </c>
      <c r="R252" s="76">
        <f>SUMPRODUCT($F$228:$Q$228,$E252:$P252-$F252:$Q252)</f>
        <v/>
      </c>
      <c r="S252" s="76">
        <f>SUMPRODUCT($F$225:$Q$225,$F$227:$Q$227,$F252:$Q252)+0.5*SUMPRODUCT($F$225:$Q$225,$F$228:$Q$228,$E252:$P252-$F252:$Q252)</f>
        <v/>
      </c>
      <c r="T252" s="76">
        <f>(1-$F$222)*($D$223+R252)-$D$222*(($F$223+S252)-CDS_Parameters!$B$26)</f>
        <v/>
      </c>
    </row>
    <row r="253">
      <c r="B253" s="76">
        <f>IF(T252&lt;0,D252,B252)</f>
        <v/>
      </c>
      <c r="C253" s="76">
        <f>IF(T252&lt;0,C252,D252)</f>
        <v/>
      </c>
      <c r="D253" s="76">
        <f>(B253+C253)/2</f>
        <v/>
      </c>
      <c r="E253" s="76">
        <f>$B$223</f>
        <v/>
      </c>
      <c r="F253" s="76">
        <f>$B$223*EXP(-$D253*F$229)</f>
        <v/>
      </c>
      <c r="G253" s="76">
        <f>$B$223*EXP(-$D253*G$229)</f>
        <v/>
      </c>
      <c r="H253" s="76">
        <f>$B$223*EXP(-$D253*H$229)</f>
        <v/>
      </c>
      <c r="I253" s="76">
        <f>$B$223*EXP(-$D253*I$229)</f>
        <v/>
      </c>
      <c r="J253" s="76">
        <f>$B$223*EXP(-$D253*J$229)</f>
        <v/>
      </c>
      <c r="K253" s="76">
        <f>$B$223*EXP(-$D253*K$229)</f>
        <v/>
      </c>
      <c r="L253" s="76">
        <f>$B$223*EXP(-$D253*L$229)</f>
        <v/>
      </c>
      <c r="M253" s="76">
        <f>$B$223*EXP(-$D253*M$229)</f>
        <v/>
      </c>
      <c r="N253" s="76">
        <f>$B$223*EXP(-$D253*N$229)</f>
        <v/>
      </c>
      <c r="O253" s="76">
        <f>$B$223*EXP(-$D253*O$229)</f>
        <v/>
      </c>
      <c r="P253" s="76">
        <f>$B$223*EXP(-$D253*P$229)</f>
        <v/>
      </c>
      <c r="Q253" s="76">
        <f>$B$223*EXP(-$D253*Q$229)</f>
        <v/>
      </c>
      <c r="R253" s="76">
        <f>SUMPRODUCT($F$228:$Q$228,$E253:$P253-$F253:$Q253)</f>
        <v/>
      </c>
      <c r="S253" s="76">
        <f>SUMPRODUCT($F$225:$Q$225,$F$227:$Q$227,$F253:$Q253)+0.5*SUMPRODUCT($F$225:$Q$225,$F$228:$Q$228,$E253:$P253-$F253:$Q253)</f>
        <v/>
      </c>
      <c r="T253" s="76">
        <f>(1-$F$222)*($D$223+R253)-$D$222*(($F$223+S253)-CDS_Parameters!$B$26)</f>
        <v/>
      </c>
    </row>
    <row r="254">
      <c r="B254" s="76">
        <f>IF(T253&lt;0,D253,B253)</f>
        <v/>
      </c>
      <c r="C254" s="76">
        <f>IF(T253&lt;0,C253,D253)</f>
        <v/>
      </c>
      <c r="D254" s="76">
        <f>(B254+C254)/2</f>
        <v/>
      </c>
      <c r="E254" s="76">
        <f>$B$223</f>
        <v/>
      </c>
      <c r="F254" s="76">
        <f>$B$223*EXP(-$D254*F$229)</f>
        <v/>
      </c>
      <c r="G254" s="76">
        <f>$B$223*EXP(-$D254*G$229)</f>
        <v/>
      </c>
      <c r="H254" s="76">
        <f>$B$223*EXP(-$D254*H$229)</f>
        <v/>
      </c>
      <c r="I254" s="76">
        <f>$B$223*EXP(-$D254*I$229)</f>
        <v/>
      </c>
      <c r="J254" s="76">
        <f>$B$223*EXP(-$D254*J$229)</f>
        <v/>
      </c>
      <c r="K254" s="76">
        <f>$B$223*EXP(-$D254*K$229)</f>
        <v/>
      </c>
      <c r="L254" s="76">
        <f>$B$223*EXP(-$D254*L$229)</f>
        <v/>
      </c>
      <c r="M254" s="76">
        <f>$B$223*EXP(-$D254*M$229)</f>
        <v/>
      </c>
      <c r="N254" s="76">
        <f>$B$223*EXP(-$D254*N$229)</f>
        <v/>
      </c>
      <c r="O254" s="76">
        <f>$B$223*EXP(-$D254*O$229)</f>
        <v/>
      </c>
      <c r="P254" s="76">
        <f>$B$223*EXP(-$D254*P$229)</f>
        <v/>
      </c>
      <c r="Q254" s="76">
        <f>$B$223*EXP(-$D254*Q$229)</f>
        <v/>
      </c>
      <c r="R254" s="76">
        <f>SUMPRODUCT($F$228:$Q$228,$E254:$P254-$F254:$Q254)</f>
        <v/>
      </c>
      <c r="S254" s="76">
        <f>SUMPRODUCT($F$225:$Q$225,$F$227:$Q$227,$F254:$Q254)+0.5*SUMPRODUCT($F$225:$Q$225,$F$228:$Q$228,$E254:$P254-$F254:$Q254)</f>
        <v/>
      </c>
      <c r="T254" s="76">
        <f>(1-$F$222)*($D$223+R254)-$D$222*(($F$223+S254)-CDS_Parameters!$B$26)</f>
        <v/>
      </c>
    </row>
    <row r="255">
      <c r="B255" s="76">
        <f>IF(T254&lt;0,D254,B254)</f>
        <v/>
      </c>
      <c r="C255" s="76">
        <f>IF(T254&lt;0,C254,D254)</f>
        <v/>
      </c>
      <c r="D255" s="76">
        <f>(B255+C255)/2</f>
        <v/>
      </c>
      <c r="E255" s="76">
        <f>$B$223</f>
        <v/>
      </c>
      <c r="F255" s="76">
        <f>$B$223*EXP(-$D255*F$229)</f>
        <v/>
      </c>
      <c r="G255" s="76">
        <f>$B$223*EXP(-$D255*G$229)</f>
        <v/>
      </c>
      <c r="H255" s="76">
        <f>$B$223*EXP(-$D255*H$229)</f>
        <v/>
      </c>
      <c r="I255" s="76">
        <f>$B$223*EXP(-$D255*I$229)</f>
        <v/>
      </c>
      <c r="J255" s="76">
        <f>$B$223*EXP(-$D255*J$229)</f>
        <v/>
      </c>
      <c r="K255" s="76">
        <f>$B$223*EXP(-$D255*K$229)</f>
        <v/>
      </c>
      <c r="L255" s="76">
        <f>$B$223*EXP(-$D255*L$229)</f>
        <v/>
      </c>
      <c r="M255" s="76">
        <f>$B$223*EXP(-$D255*M$229)</f>
        <v/>
      </c>
      <c r="N255" s="76">
        <f>$B$223*EXP(-$D255*N$229)</f>
        <v/>
      </c>
      <c r="O255" s="76">
        <f>$B$223*EXP(-$D255*O$229)</f>
        <v/>
      </c>
      <c r="P255" s="76">
        <f>$B$223*EXP(-$D255*P$229)</f>
        <v/>
      </c>
      <c r="Q255" s="76">
        <f>$B$223*EXP(-$D255*Q$229)</f>
        <v/>
      </c>
      <c r="R255" s="76">
        <f>SUMPRODUCT($F$228:$Q$228,$E255:$P255-$F255:$Q255)</f>
        <v/>
      </c>
      <c r="S255" s="76">
        <f>SUMPRODUCT($F$225:$Q$225,$F$227:$Q$227,$F255:$Q255)+0.5*SUMPRODUCT($F$225:$Q$225,$F$228:$Q$228,$E255:$P255-$F255:$Q255)</f>
        <v/>
      </c>
      <c r="T255" s="76">
        <f>(1-$F$222)*($D$223+R255)-$D$222*(($F$223+S255)-CDS_Parameters!$B$26)</f>
        <v/>
      </c>
    </row>
    <row r="256">
      <c r="B256" s="76">
        <f>IF(T255&lt;0,D255,B255)</f>
        <v/>
      </c>
      <c r="C256" s="76">
        <f>IF(T255&lt;0,C255,D255)</f>
        <v/>
      </c>
      <c r="D256" s="76">
        <f>(B256+C256)/2</f>
        <v/>
      </c>
      <c r="E256" s="76">
        <f>$B$223</f>
        <v/>
      </c>
      <c r="F256" s="76">
        <f>$B$223*EXP(-$D256*F$229)</f>
        <v/>
      </c>
      <c r="G256" s="76">
        <f>$B$223*EXP(-$D256*G$229)</f>
        <v/>
      </c>
      <c r="H256" s="76">
        <f>$B$223*EXP(-$D256*H$229)</f>
        <v/>
      </c>
      <c r="I256" s="76">
        <f>$B$223*EXP(-$D256*I$229)</f>
        <v/>
      </c>
      <c r="J256" s="76">
        <f>$B$223*EXP(-$D256*J$229)</f>
        <v/>
      </c>
      <c r="K256" s="76">
        <f>$B$223*EXP(-$D256*K$229)</f>
        <v/>
      </c>
      <c r="L256" s="76">
        <f>$B$223*EXP(-$D256*L$229)</f>
        <v/>
      </c>
      <c r="M256" s="76">
        <f>$B$223*EXP(-$D256*M$229)</f>
        <v/>
      </c>
      <c r="N256" s="76">
        <f>$B$223*EXP(-$D256*N$229)</f>
        <v/>
      </c>
      <c r="O256" s="76">
        <f>$B$223*EXP(-$D256*O$229)</f>
        <v/>
      </c>
      <c r="P256" s="76">
        <f>$B$223*EXP(-$D256*P$229)</f>
        <v/>
      </c>
      <c r="Q256" s="76">
        <f>$B$223*EXP(-$D256*Q$229)</f>
        <v/>
      </c>
      <c r="R256" s="76">
        <f>SUMPRODUCT($F$228:$Q$228,$E256:$P256-$F256:$Q256)</f>
        <v/>
      </c>
      <c r="S256" s="76">
        <f>SUMPRODUCT($F$225:$Q$225,$F$227:$Q$227,$F256:$Q256)+0.5*SUMPRODUCT($F$225:$Q$225,$F$228:$Q$228,$E256:$P256-$F256:$Q256)</f>
        <v/>
      </c>
      <c r="T256" s="76">
        <f>(1-$F$222)*($D$223+R256)-$D$222*(($F$223+S256)-CDS_Parameters!$B$26)</f>
        <v/>
      </c>
    </row>
    <row r="257">
      <c r="B257" s="76">
        <f>IF(T256&lt;0,D256,B256)</f>
        <v/>
      </c>
      <c r="C257" s="76">
        <f>IF(T256&lt;0,C256,D256)</f>
        <v/>
      </c>
      <c r="D257" s="76">
        <f>(B257+C257)/2</f>
        <v/>
      </c>
      <c r="E257" s="76">
        <f>$B$223</f>
        <v/>
      </c>
      <c r="F257" s="76">
        <f>$B$223*EXP(-$D257*F$229)</f>
        <v/>
      </c>
      <c r="G257" s="76">
        <f>$B$223*EXP(-$D257*G$229)</f>
        <v/>
      </c>
      <c r="H257" s="76">
        <f>$B$223*EXP(-$D257*H$229)</f>
        <v/>
      </c>
      <c r="I257" s="76">
        <f>$B$223*EXP(-$D257*I$229)</f>
        <v/>
      </c>
      <c r="J257" s="76">
        <f>$B$223*EXP(-$D257*J$229)</f>
        <v/>
      </c>
      <c r="K257" s="76">
        <f>$B$223*EXP(-$D257*K$229)</f>
        <v/>
      </c>
      <c r="L257" s="76">
        <f>$B$223*EXP(-$D257*L$229)</f>
        <v/>
      </c>
      <c r="M257" s="76">
        <f>$B$223*EXP(-$D257*M$229)</f>
        <v/>
      </c>
      <c r="N257" s="76">
        <f>$B$223*EXP(-$D257*N$229)</f>
        <v/>
      </c>
      <c r="O257" s="76">
        <f>$B$223*EXP(-$D257*O$229)</f>
        <v/>
      </c>
      <c r="P257" s="76">
        <f>$B$223*EXP(-$D257*P$229)</f>
        <v/>
      </c>
      <c r="Q257" s="76">
        <f>$B$223*EXP(-$D257*Q$229)</f>
        <v/>
      </c>
      <c r="R257" s="76">
        <f>SUMPRODUCT($F$228:$Q$228,$E257:$P257-$F257:$Q257)</f>
        <v/>
      </c>
      <c r="S257" s="76">
        <f>SUMPRODUCT($F$225:$Q$225,$F$227:$Q$227,$F257:$Q257)+0.5*SUMPRODUCT($F$225:$Q$225,$F$228:$Q$228,$E257:$P257-$F257:$Q257)</f>
        <v/>
      </c>
      <c r="T257" s="76">
        <f>(1-$F$222)*($D$223+R257)-$D$222*(($F$223+S257)-CDS_Parameters!$B$26)</f>
        <v/>
      </c>
    </row>
    <row r="258">
      <c r="B258" s="76">
        <f>IF(T257&lt;0,D257,B257)</f>
        <v/>
      </c>
      <c r="C258" s="76">
        <f>IF(T257&lt;0,C257,D257)</f>
        <v/>
      </c>
      <c r="D258" s="76">
        <f>(B258+C258)/2</f>
        <v/>
      </c>
      <c r="E258" s="76">
        <f>$B$223</f>
        <v/>
      </c>
      <c r="F258" s="76">
        <f>$B$223*EXP(-$D258*F$229)</f>
        <v/>
      </c>
      <c r="G258" s="76">
        <f>$B$223*EXP(-$D258*G$229)</f>
        <v/>
      </c>
      <c r="H258" s="76">
        <f>$B$223*EXP(-$D258*H$229)</f>
        <v/>
      </c>
      <c r="I258" s="76">
        <f>$B$223*EXP(-$D258*I$229)</f>
        <v/>
      </c>
      <c r="J258" s="76">
        <f>$B$223*EXP(-$D258*J$229)</f>
        <v/>
      </c>
      <c r="K258" s="76">
        <f>$B$223*EXP(-$D258*K$229)</f>
        <v/>
      </c>
      <c r="L258" s="76">
        <f>$B$223*EXP(-$D258*L$229)</f>
        <v/>
      </c>
      <c r="M258" s="76">
        <f>$B$223*EXP(-$D258*M$229)</f>
        <v/>
      </c>
      <c r="N258" s="76">
        <f>$B$223*EXP(-$D258*N$229)</f>
        <v/>
      </c>
      <c r="O258" s="76">
        <f>$B$223*EXP(-$D258*O$229)</f>
        <v/>
      </c>
      <c r="P258" s="76">
        <f>$B$223*EXP(-$D258*P$229)</f>
        <v/>
      </c>
      <c r="Q258" s="76">
        <f>$B$223*EXP(-$D258*Q$229)</f>
        <v/>
      </c>
      <c r="R258" s="76">
        <f>SUMPRODUCT($F$228:$Q$228,$E258:$P258-$F258:$Q258)</f>
        <v/>
      </c>
      <c r="S258" s="76">
        <f>SUMPRODUCT($F$225:$Q$225,$F$227:$Q$227,$F258:$Q258)+0.5*SUMPRODUCT($F$225:$Q$225,$F$228:$Q$228,$E258:$P258-$F258:$Q258)</f>
        <v/>
      </c>
      <c r="T258" s="76">
        <f>(1-$F$222)*($D$223+R258)-$D$222*(($F$223+S258)-CDS_Parameters!$B$26)</f>
        <v/>
      </c>
    </row>
    <row r="259">
      <c r="B259" s="76">
        <f>IF(T258&lt;0,D258,B258)</f>
        <v/>
      </c>
      <c r="C259" s="76">
        <f>IF(T258&lt;0,C258,D258)</f>
        <v/>
      </c>
      <c r="D259" s="76">
        <f>(B259+C259)/2</f>
        <v/>
      </c>
      <c r="E259" s="76">
        <f>$B$223</f>
        <v/>
      </c>
      <c r="F259" s="76">
        <f>$B$223*EXP(-$D259*F$229)</f>
        <v/>
      </c>
      <c r="G259" s="76">
        <f>$B$223*EXP(-$D259*G$229)</f>
        <v/>
      </c>
      <c r="H259" s="76">
        <f>$B$223*EXP(-$D259*H$229)</f>
        <v/>
      </c>
      <c r="I259" s="76">
        <f>$B$223*EXP(-$D259*I$229)</f>
        <v/>
      </c>
      <c r="J259" s="76">
        <f>$B$223*EXP(-$D259*J$229)</f>
        <v/>
      </c>
      <c r="K259" s="76">
        <f>$B$223*EXP(-$D259*K$229)</f>
        <v/>
      </c>
      <c r="L259" s="76">
        <f>$B$223*EXP(-$D259*L$229)</f>
        <v/>
      </c>
      <c r="M259" s="76">
        <f>$B$223*EXP(-$D259*M$229)</f>
        <v/>
      </c>
      <c r="N259" s="76">
        <f>$B$223*EXP(-$D259*N$229)</f>
        <v/>
      </c>
      <c r="O259" s="76">
        <f>$B$223*EXP(-$D259*O$229)</f>
        <v/>
      </c>
      <c r="P259" s="76">
        <f>$B$223*EXP(-$D259*P$229)</f>
        <v/>
      </c>
      <c r="Q259" s="76">
        <f>$B$223*EXP(-$D259*Q$229)</f>
        <v/>
      </c>
      <c r="R259" s="76">
        <f>SUMPRODUCT($F$228:$Q$228,$E259:$P259-$F259:$Q259)</f>
        <v/>
      </c>
      <c r="S259" s="76">
        <f>SUMPRODUCT($F$225:$Q$225,$F$227:$Q$227,$F259:$Q259)+0.5*SUMPRODUCT($F$225:$Q$225,$F$228:$Q$228,$E259:$P259-$F259:$Q259)</f>
        <v/>
      </c>
      <c r="T259" s="76">
        <f>(1-$F$222)*($D$223+R259)-$D$222*(($F$223+S259)-CDS_Parameters!$B$26)</f>
        <v/>
      </c>
    </row>
    <row r="260">
      <c r="B260" s="76">
        <f>IF(T259&lt;0,D259,B259)</f>
        <v/>
      </c>
      <c r="C260" s="76">
        <f>IF(T259&lt;0,C259,D259)</f>
        <v/>
      </c>
      <c r="D260" s="76">
        <f>(B260+C260)/2</f>
        <v/>
      </c>
      <c r="E260" s="76">
        <f>$B$223</f>
        <v/>
      </c>
      <c r="F260" s="76">
        <f>$B$223*EXP(-$D260*F$229)</f>
        <v/>
      </c>
      <c r="G260" s="76">
        <f>$B$223*EXP(-$D260*G$229)</f>
        <v/>
      </c>
      <c r="H260" s="76">
        <f>$B$223*EXP(-$D260*H$229)</f>
        <v/>
      </c>
      <c r="I260" s="76">
        <f>$B$223*EXP(-$D260*I$229)</f>
        <v/>
      </c>
      <c r="J260" s="76">
        <f>$B$223*EXP(-$D260*J$229)</f>
        <v/>
      </c>
      <c r="K260" s="76">
        <f>$B$223*EXP(-$D260*K$229)</f>
        <v/>
      </c>
      <c r="L260" s="76">
        <f>$B$223*EXP(-$D260*L$229)</f>
        <v/>
      </c>
      <c r="M260" s="76">
        <f>$B$223*EXP(-$D260*M$229)</f>
        <v/>
      </c>
      <c r="N260" s="76">
        <f>$B$223*EXP(-$D260*N$229)</f>
        <v/>
      </c>
      <c r="O260" s="76">
        <f>$B$223*EXP(-$D260*O$229)</f>
        <v/>
      </c>
      <c r="P260" s="76">
        <f>$B$223*EXP(-$D260*P$229)</f>
        <v/>
      </c>
      <c r="Q260" s="76">
        <f>$B$223*EXP(-$D260*Q$229)</f>
        <v/>
      </c>
      <c r="R260" s="76">
        <f>SUMPRODUCT($F$228:$Q$228,$E260:$P260-$F260:$Q260)</f>
        <v/>
      </c>
      <c r="S260" s="76">
        <f>SUMPRODUCT($F$225:$Q$225,$F$227:$Q$227,$F260:$Q260)+0.5*SUMPRODUCT($F$225:$Q$225,$F$228:$Q$228,$E260:$P260-$F260:$Q260)</f>
        <v/>
      </c>
      <c r="T260" s="76">
        <f>(1-$F$222)*($D$223+R260)-$D$222*(($F$223+S260)-CDS_Parameters!$B$26)</f>
        <v/>
      </c>
    </row>
    <row r="261">
      <c r="A261" s="67" t="inlineStr">
        <is>
          <t>lambda6 SOLVED</t>
        </is>
      </c>
      <c r="B261" s="71">
        <f>D260</f>
        <v/>
      </c>
      <c r="C261" s="67" t="inlineStr">
        <is>
          <t>resid</t>
        </is>
      </c>
      <c r="D261" s="72">
        <f>T260</f>
        <v/>
      </c>
      <c r="E261" s="67" t="inlineStr">
        <is>
          <t>Q(T_k)</t>
        </is>
      </c>
      <c r="F261" s="76">
        <f>Q260</f>
        <v/>
      </c>
      <c r="G261" s="67" t="inlineStr">
        <is>
          <t>ProtCum</t>
        </is>
      </c>
      <c r="H261" s="76">
        <f>$D$223+R260</f>
        <v/>
      </c>
      <c r="I261" s="67" t="inlineStr">
        <is>
          <t>RPV01Cum</t>
        </is>
      </c>
      <c r="J261" s="76">
        <f>$F$223+S260</f>
        <v/>
      </c>
      <c r="K261" s="67" t="inlineStr">
        <is>
          <t>model S (bp)</t>
        </is>
      </c>
      <c r="L261" s="63">
        <f>IFERROR((1-$F$222)*H261/J261*10000,0)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A1B9A"/>
    <outlinePr summaryBelow="1" summaryRight="1"/>
    <pageSetUpPr/>
  </sheetPr>
  <dimension ref="A1:Q4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1" customWidth="1" min="4" max="4"/>
    <col width="11" customWidth="1" min="5" max="5"/>
    <col width="10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1" customWidth="1" min="12" max="12"/>
    <col width="13" customWidth="1" min="13" max="13"/>
    <col width="13" customWidth="1" min="14" max="14"/>
    <col width="13" customWidth="1" min="15" max="15"/>
    <col width="78" customWidth="1" min="17" max="17"/>
  </cols>
  <sheetData>
    <row r="1">
      <c r="A1" s="1" t="inlineStr">
        <is>
          <t>CDS_Schedule</t>
        </is>
      </c>
    </row>
    <row r="2">
      <c r="A2" s="2" t="inlineStr">
        <is>
          <t>Quarterly premium &amp; default schedule to 10Y. DF from the shared SOFR curve; survival from the hazard curve.</t>
        </is>
      </c>
    </row>
    <row r="3">
      <c r="Q3" s="136" t="inlineStr">
        <is>
          <t>WHAT EACH COLUMN COMPUTES</t>
        </is>
      </c>
    </row>
    <row r="4" ht="42" customHeight="1">
      <c r="A4" s="9" t="inlineStr">
        <is>
          <t>One row per quarterly coupon period. DF(end) and DF(mid) interpolate the SOFR curve; hazard is the piecewise-constant lambda for the segment, by pay date. Q(end) = Q(prev)*exp(-hazard*dt). See Model_Notes.</t>
        </is>
      </c>
      <c r="Q4" s="139" t="inlineStr">
        <is>
          <t>Z(.) is the bootstrapped SOFR curve via Curve_Interface (B-Model p.6).</t>
        </is>
      </c>
    </row>
    <row r="5">
      <c r="P5" s="65" t="inlineStr">
        <is>
          <t>DF(end)/DF(mid) honour the interpolation selector at Curve_Interface!J7. Default is step-function forward, which is the method verified against the S490 screen.</t>
        </is>
      </c>
      <c r="Q5" s="137" t="n"/>
    </row>
    <row r="6" ht="30" customHeight="1">
      <c r="A6" s="140" t="inlineStr">
        <is>
          <t>Period</t>
        </is>
      </c>
      <c r="B6" s="140" t="inlineStr">
        <is>
          <t>Accrual start</t>
        </is>
      </c>
      <c r="C6" s="140" t="inlineStr">
        <is>
          <t>Pay date</t>
        </is>
      </c>
      <c r="D6" s="140" t="inlineStr">
        <is>
          <t>alpha ACT/360</t>
        </is>
      </c>
      <c r="E6" s="140" t="inlineStr">
        <is>
          <t>dt ACT/365</t>
        </is>
      </c>
      <c r="F6" s="140" t="inlineStr">
        <is>
          <t>T (yrs)</t>
        </is>
      </c>
      <c r="G6" s="140" t="inlineStr">
        <is>
          <t>DF(end)</t>
        </is>
      </c>
      <c r="H6" s="140" t="inlineStr">
        <is>
          <t>DF(mid)</t>
        </is>
      </c>
      <c r="I6" s="140" t="inlineStr">
        <is>
          <t>hazard</t>
        </is>
      </c>
      <c r="J6" s="140" t="inlineStr">
        <is>
          <t>Q(prev)</t>
        </is>
      </c>
      <c r="K6" s="140" t="inlineStr">
        <is>
          <t>Q(end)</t>
        </is>
      </c>
      <c r="L6" s="140" t="inlineStr">
        <is>
          <t>delta PD</t>
        </is>
      </c>
      <c r="M6" s="140" t="inlineStr">
        <is>
          <t>Premium factor</t>
        </is>
      </c>
      <c r="N6" s="140" t="inlineStr">
        <is>
          <t>Accrual factor</t>
        </is>
      </c>
      <c r="O6" s="140" t="inlineStr">
        <is>
          <t>Protection factor</t>
        </is>
      </c>
      <c r="Q6" s="137" t="inlineStr">
        <is>
          <t>col I   hazard h_i, piecewise-constant, picked by pay date</t>
        </is>
      </c>
    </row>
    <row r="7">
      <c r="A7" s="43" t="n">
        <v>1</v>
      </c>
      <c r="B7" s="18">
        <f>VAL_DATE</f>
        <v/>
      </c>
      <c r="C7" s="18">
        <f>EDATE('Curve_Interface'!$F$7,3*0)</f>
        <v/>
      </c>
      <c r="D7" s="34">
        <f>(C7-B7)/360</f>
        <v/>
      </c>
      <c r="E7" s="34">
        <f>(C7-B7)/365</f>
        <v/>
      </c>
      <c r="F7" s="34">
        <f>(C7-VAL_DATE)/365</f>
        <v/>
      </c>
      <c r="G7" s="36">
        <f>IFERROR(IF(Curve_Interface!$J$7="Piecewise Linear (Simple)",IF(((C7-VAL_DATE)/360)&lt;=0,1,1/(1+(IF(((INDEX('Curve_Interface'!$K$8:$K$73,MATCH(C7,'Curve_Interface'!$K$8:$K$73,1))-VAL_DATE)/360)&lt;=0,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,(1/INDEX('Curve_Interface'!$L$8:$L$73,MATCH(C7,'Curve_Interface'!$K$8:$K$73,1))-1)/((INDEX('Curve_Interface'!$K$8:$K$73,MATCH(C7,'Curve_Interface'!$K$8:$K$73,1))-VAL_DATE)/360))+(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-IF(((INDEX('Curve_Interface'!$K$8:$K$73,MATCH(C7,'Curve_Interface'!$K$8:$K$73,1))-VAL_DATE)/360)&lt;=0,IF(((INDEX('Curve_Interface'!$K$8:$K$73,MATCH(C7,'Curve_Interface'!$K$8:$K$73,1)+1)-VAL_DATE)/360)&lt;=0,0,(1/INDEX('Curve_Interface'!$L$8:$L$73,MATCH(C7,'Curve_Interface'!$K$8:$K$73,1)+1)-1)/((INDEX('Curve_Interface'!$K$8:$K$73,MATCH(C7,'Curve_Interface'!$K$8:$K$73,1)+1)-VAL_DATE)/360)),(1/INDEX('Curve_Interface'!$L$8:$L$73,MATCH(C7,'Curve_Interface'!$K$8:$K$73,1))-1)/((INDEX('Curve_Interface'!$K$8:$K$73,MATCH(C7,'Curve_Interface'!$K$8:$K$73,1))-VAL_DATE)/360)))*IF(((INDEX('Curve_Interface'!$K$8:$K$73,MATCH(C7,'Curve_Interface'!$K$8:$K$73,1)+1)-VAL_DATE)/360)-((INDEX('Curve_Interface'!$K$8:$K$73,MATCH(C7,'Curve_Interface'!$K$8:$K$73,1))-VAL_DATE)/360)=0,0,(((C7-VAL_DATE)/360)-((INDEX('Curve_Interface'!$K$8:$K$73,MATCH(C7,'Curve_Interface'!$K$8:$K$73,1))-VAL_DATE)/360))/(((INDEX('Curve_Interface'!$K$8:$K$73,MATCH(C7,'Curve_Interface'!$K$8:$K$73,1)+1)-VAL_DATE)/360)-((INDEX('Curve_Interface'!$K$8:$K$73,MATCH(C7,'Curve_Interface'!$K$8:$K$73,1))-VAL_DATE)/360))))*((C7-VAL_DATE)/360))),INDEX('Curve_Interface'!$L$8:$L$73,MATCH(C7,'Curve_Interface'!$K$8:$K$73,1))*(INDEX('Curve_Interface'!$L$8:$L$73,MATCH(C7,'Curve_Interface'!$K$8:$K$73,1)+1)/INDEX('Curve_Interface'!$L$8:$L$73,MATCH(C7,'Curve_Interface'!$K$8:$K$73,1)))^((C7-INDEX('Curve_Interface'!$K$8:$K$73,MATCH(C7,'Curve_Interface'!$K$8:$K$73,1)))/(INDEX('Curve_Interface'!$K$8:$K$73,MATCH(C7,'Curve_Interface'!$K$8:$K$73,1)+1)-INDEX('Curve_Interface'!$K$8:$K$73,MATCH(C7,'Curve_Interface'!$K$8:$K$73,1))))),INDEX('Curve_Interface'!$L$8:$L$73,MATCH(C7,'Curve_Interface'!$K$8:$K$73,1)))</f>
        <v/>
      </c>
      <c r="H7" s="36">
        <f>IFERROR(IF(Curve_Interface!$J$7="Piecewise Linear (Simple)",IF((((B7+C7)/2-VAL_DATE)/360)&lt;=0,1,1/(1+(IF(((INDEX('Curve_Interface'!$K$8:$K$73,MATCH((B7+C7)/2,'Curve_Interface'!$K$8:$K$73,1))-VAL_DATE)/360)&lt;=0,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,(1/INDEX('Curve_Interface'!$L$8:$L$73,MATCH((B7+C7)/2,'Curve_Interface'!$K$8:$K$73,1))-1)/((INDEX('Curve_Interface'!$K$8:$K$73,MATCH((B7+C7)/2,'Curve_Interface'!$K$8:$K$73,1))-VAL_DATE)/360))+(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-IF(((INDEX('Curve_Interface'!$K$8:$K$73,MATCH((B7+C7)/2,'Curve_Interface'!$K$8:$K$73,1))-VAL_DATE)/360)&lt;=0,IF(((INDEX('Curve_Interface'!$K$8:$K$73,MATCH((B7+C7)/2,'Curve_Interface'!$K$8:$K$73,1)+1)-VAL_DATE)/360)&lt;=0,0,(1/INDEX('Curve_Interface'!$L$8:$L$73,MATCH((B7+C7)/2,'Curve_Interface'!$K$8:$K$73,1)+1)-1)/((INDEX('Curve_Interface'!$K$8:$K$73,MATCH((B7+C7)/2,'Curve_Interface'!$K$8:$K$73,1)+1)-VAL_DATE)/360)),(1/INDEX('Curve_Interface'!$L$8:$L$73,MATCH((B7+C7)/2,'Curve_Interface'!$K$8:$K$73,1))-1)/((INDEX('Curve_Interface'!$K$8:$K$73,MATCH((B7+C7)/2,'Curve_Interface'!$K$8:$K$73,1))-VAL_DATE)/360)))*IF(((INDEX('Curve_Interface'!$K$8:$K$73,MATCH((B7+C7)/2,'Curve_Interface'!$K$8:$K$73,1)+1)-VAL_DATE)/360)-((INDEX('Curve_Interface'!$K$8:$K$73,MATCH((B7+C7)/2,'Curve_Interface'!$K$8:$K$73,1))-VAL_DATE)/360)=0,0,((((B7+C7)/2-VAL_DATE)/360)-((INDEX('Curve_Interface'!$K$8:$K$73,MATCH((B7+C7)/2,'Curve_Interface'!$K$8:$K$73,1))-VAL_DATE)/360))/(((INDEX('Curve_Interface'!$K$8:$K$73,MATCH((B7+C7)/2,'Curve_Interface'!$K$8:$K$73,1)+1)-VAL_DATE)/360)-((INDEX('Curve_Interface'!$K$8:$K$73,MATCH((B7+C7)/2,'Curve_Interface'!$K$8:$K$73,1))-VAL_DATE)/360))))*(((B7+C7)/2-VAL_DATE)/360))),INDEX('Curve_Interface'!$L$8:$L$73,MATCH((B7+C7)/2,'Curve_Interface'!$K$8:$K$73,1))*(INDEX('Curve_Interface'!$L$8:$L$73,MATCH((B7+C7)/2,'Curve_Interface'!$K$8:$K$73,1)+1)/INDEX('Curve_Interface'!$L$8:$L$73,MATCH((B7+C7)/2,'Curve_Interface'!$K$8:$K$73,1)))^(((B7+C7)/2-INDEX('Curve_Interface'!$K$8:$K$73,MATCH((B7+C7)/2,'Curve_Interface'!$K$8:$K$73,1)))/(INDEX('Curve_Interface'!$K$8:$K$73,MATCH((B7+C7)/2,'Curve_Interface'!$K$8:$K$73,1)+1)-INDEX('Curve_Interface'!$K$8:$K$73,MATCH((B7+C7)/2,'Curve_Interface'!$K$8:$K$73,1))))),INDEX('Curve_Interface'!$L$8:$L$73,MATCH((B7+C7)/2,'Curve_Interface'!$K$8:$K$73,1)))</f>
        <v/>
      </c>
      <c r="I7" s="36">
        <f>INDEX(Hazard_Bootstrap!$D$7:$D$12,MIN(COUNTIF(Hazard_Bootstrap!$B$7:$B$12,"&lt;"&amp;C7)+1,6))</f>
        <v/>
      </c>
      <c r="J7" s="36">
        <f>1</f>
        <v/>
      </c>
      <c r="K7" s="36">
        <f>J7*EXP(-I7*E7)</f>
        <v/>
      </c>
      <c r="L7" s="36">
        <f>J7-K7</f>
        <v/>
      </c>
      <c r="M7" s="36">
        <f>D7*G7*K7</f>
        <v/>
      </c>
      <c r="N7" s="36">
        <f>(D7/2)*H7*L7</f>
        <v/>
      </c>
      <c r="O7" s="36">
        <f>H7*L7</f>
        <v/>
      </c>
      <c r="Q7" s="138" t="inlineStr">
        <is>
          <t>col K   Q(t_i) = Q(t_i-1) * exp(-h_i * dt_i)                B-Model p.5</t>
        </is>
      </c>
    </row>
    <row r="8">
      <c r="A8" s="43" t="n">
        <v>2</v>
      </c>
      <c r="B8" s="18">
        <f>C7</f>
        <v/>
      </c>
      <c r="C8" s="18">
        <f>EDATE('Curve_Interface'!$F$7,3*1)</f>
        <v/>
      </c>
      <c r="D8" s="34">
        <f>(C8-B8)/360</f>
        <v/>
      </c>
      <c r="E8" s="34">
        <f>(C8-B8)/365</f>
        <v/>
      </c>
      <c r="F8" s="34">
        <f>(C8-VAL_DATE)/365</f>
        <v/>
      </c>
      <c r="G8" s="36">
        <f>IFERROR(IF(Curve_Interface!$J$7="Piecewise Linear (Simple)",IF(((C8-VAL_DATE)/360)&lt;=0,1,1/(1+(IF(((INDEX('Curve_Interface'!$K$8:$K$73,MATCH(C8,'Curve_Interface'!$K$8:$K$73,1))-VAL_DATE)/360)&lt;=0,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,(1/INDEX('Curve_Interface'!$L$8:$L$73,MATCH(C8,'Curve_Interface'!$K$8:$K$73,1))-1)/((INDEX('Curve_Interface'!$K$8:$K$73,MATCH(C8,'Curve_Interface'!$K$8:$K$73,1))-VAL_DATE)/360))+(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-IF(((INDEX('Curve_Interface'!$K$8:$K$73,MATCH(C8,'Curve_Interface'!$K$8:$K$73,1))-VAL_DATE)/360)&lt;=0,IF(((INDEX('Curve_Interface'!$K$8:$K$73,MATCH(C8,'Curve_Interface'!$K$8:$K$73,1)+1)-VAL_DATE)/360)&lt;=0,0,(1/INDEX('Curve_Interface'!$L$8:$L$73,MATCH(C8,'Curve_Interface'!$K$8:$K$73,1)+1)-1)/((INDEX('Curve_Interface'!$K$8:$K$73,MATCH(C8,'Curve_Interface'!$K$8:$K$73,1)+1)-VAL_DATE)/360)),(1/INDEX('Curve_Interface'!$L$8:$L$73,MATCH(C8,'Curve_Interface'!$K$8:$K$73,1))-1)/((INDEX('Curve_Interface'!$K$8:$K$73,MATCH(C8,'Curve_Interface'!$K$8:$K$73,1))-VAL_DATE)/360)))*IF(((INDEX('Curve_Interface'!$K$8:$K$73,MATCH(C8,'Curve_Interface'!$K$8:$K$73,1)+1)-VAL_DATE)/360)-((INDEX('Curve_Interface'!$K$8:$K$73,MATCH(C8,'Curve_Interface'!$K$8:$K$73,1))-VAL_DATE)/360)=0,0,(((C8-VAL_DATE)/360)-((INDEX('Curve_Interface'!$K$8:$K$73,MATCH(C8,'Curve_Interface'!$K$8:$K$73,1))-VAL_DATE)/360))/(((INDEX('Curve_Interface'!$K$8:$K$73,MATCH(C8,'Curve_Interface'!$K$8:$K$73,1)+1)-VAL_DATE)/360)-((INDEX('Curve_Interface'!$K$8:$K$73,MATCH(C8,'Curve_Interface'!$K$8:$K$73,1))-VAL_DATE)/360))))*((C8-VAL_DATE)/360))),INDEX('Curve_Interface'!$L$8:$L$73,MATCH(C8,'Curve_Interface'!$K$8:$K$73,1))*(INDEX('Curve_Interface'!$L$8:$L$73,MATCH(C8,'Curve_Interface'!$K$8:$K$73,1)+1)/INDEX('Curve_Interface'!$L$8:$L$73,MATCH(C8,'Curve_Interface'!$K$8:$K$73,1)))^((C8-INDEX('Curve_Interface'!$K$8:$K$73,MATCH(C8,'Curve_Interface'!$K$8:$K$73,1)))/(INDEX('Curve_Interface'!$K$8:$K$73,MATCH(C8,'Curve_Interface'!$K$8:$K$73,1)+1)-INDEX('Curve_Interface'!$K$8:$K$73,MATCH(C8,'Curve_Interface'!$K$8:$K$73,1))))),INDEX('Curve_Interface'!$L$8:$L$73,MATCH(C8,'Curve_Interface'!$K$8:$K$73,1)))</f>
        <v/>
      </c>
      <c r="H8" s="36">
        <f>IFERROR(IF(Curve_Interface!$J$7="Piecewise Linear (Simple)",IF((((B8+C8)/2-VAL_DATE)/360)&lt;=0,1,1/(1+(IF(((INDEX('Curve_Interface'!$K$8:$K$73,MATCH((B8+C8)/2,'Curve_Interface'!$K$8:$K$73,1))-VAL_DATE)/360)&lt;=0,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,(1/INDEX('Curve_Interface'!$L$8:$L$73,MATCH((B8+C8)/2,'Curve_Interface'!$K$8:$K$73,1))-1)/((INDEX('Curve_Interface'!$K$8:$K$73,MATCH((B8+C8)/2,'Curve_Interface'!$K$8:$K$73,1))-VAL_DATE)/360))+(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-IF(((INDEX('Curve_Interface'!$K$8:$K$73,MATCH((B8+C8)/2,'Curve_Interface'!$K$8:$K$73,1))-VAL_DATE)/360)&lt;=0,IF(((INDEX('Curve_Interface'!$K$8:$K$73,MATCH((B8+C8)/2,'Curve_Interface'!$K$8:$K$73,1)+1)-VAL_DATE)/360)&lt;=0,0,(1/INDEX('Curve_Interface'!$L$8:$L$73,MATCH((B8+C8)/2,'Curve_Interface'!$K$8:$K$73,1)+1)-1)/((INDEX('Curve_Interface'!$K$8:$K$73,MATCH((B8+C8)/2,'Curve_Interface'!$K$8:$K$73,1)+1)-VAL_DATE)/360)),(1/INDEX('Curve_Interface'!$L$8:$L$73,MATCH((B8+C8)/2,'Curve_Interface'!$K$8:$K$73,1))-1)/((INDEX('Curve_Interface'!$K$8:$K$73,MATCH((B8+C8)/2,'Curve_Interface'!$K$8:$K$73,1))-VAL_DATE)/360)))*IF(((INDEX('Curve_Interface'!$K$8:$K$73,MATCH((B8+C8)/2,'Curve_Interface'!$K$8:$K$73,1)+1)-VAL_DATE)/360)-((INDEX('Curve_Interface'!$K$8:$K$73,MATCH((B8+C8)/2,'Curve_Interface'!$K$8:$K$73,1))-VAL_DATE)/360)=0,0,((((B8+C8)/2-VAL_DATE)/360)-((INDEX('Curve_Interface'!$K$8:$K$73,MATCH((B8+C8)/2,'Curve_Interface'!$K$8:$K$73,1))-VAL_DATE)/360))/(((INDEX('Curve_Interface'!$K$8:$K$73,MATCH((B8+C8)/2,'Curve_Interface'!$K$8:$K$73,1)+1)-VAL_DATE)/360)-((INDEX('Curve_Interface'!$K$8:$K$73,MATCH((B8+C8)/2,'Curve_Interface'!$K$8:$K$73,1))-VAL_DATE)/360))))*(((B8+C8)/2-VAL_DATE)/360))),INDEX('Curve_Interface'!$L$8:$L$73,MATCH((B8+C8)/2,'Curve_Interface'!$K$8:$K$73,1))*(INDEX('Curve_Interface'!$L$8:$L$73,MATCH((B8+C8)/2,'Curve_Interface'!$K$8:$K$73,1)+1)/INDEX('Curve_Interface'!$L$8:$L$73,MATCH((B8+C8)/2,'Curve_Interface'!$K$8:$K$73,1)))^(((B8+C8)/2-INDEX('Curve_Interface'!$K$8:$K$73,MATCH((B8+C8)/2,'Curve_Interface'!$K$8:$K$73,1)))/(INDEX('Curve_Interface'!$K$8:$K$73,MATCH((B8+C8)/2,'Curve_Interface'!$K$8:$K$73,1)+1)-INDEX('Curve_Interface'!$K$8:$K$73,MATCH((B8+C8)/2,'Curve_Interface'!$K$8:$K$73,1))))),INDEX('Curve_Interface'!$L$8:$L$73,MATCH((B8+C8)/2,'Curve_Interface'!$K$8:$K$73,1)))</f>
        <v/>
      </c>
      <c r="I8" s="36">
        <f>INDEX(Hazard_Bootstrap!$D$7:$D$12,MIN(COUNTIF(Hazard_Bootstrap!$B$7:$B$12,"&lt;"&amp;C8)+1,6))</f>
        <v/>
      </c>
      <c r="J8" s="36">
        <f>K7</f>
        <v/>
      </c>
      <c r="K8" s="36">
        <f>J8*EXP(-I8*E8)</f>
        <v/>
      </c>
      <c r="L8" s="36">
        <f>J8-K8</f>
        <v/>
      </c>
      <c r="M8" s="36">
        <f>D8*G8*K8</f>
        <v/>
      </c>
      <c r="N8" s="36">
        <f>(D8/2)*H8*L8</f>
        <v/>
      </c>
      <c r="O8" s="36">
        <f>H8*L8</f>
        <v/>
      </c>
      <c r="Q8" s="138" t="inlineStr">
        <is>
          <t>col L   dPD    = Q(t_i-1) - Q(t_i)</t>
        </is>
      </c>
    </row>
    <row r="9">
      <c r="A9" s="43" t="n">
        <v>3</v>
      </c>
      <c r="B9" s="18">
        <f>C8</f>
        <v/>
      </c>
      <c r="C9" s="18">
        <f>EDATE('Curve_Interface'!$F$7,3*2)</f>
        <v/>
      </c>
      <c r="D9" s="34">
        <f>(C9-B9)/360</f>
        <v/>
      </c>
      <c r="E9" s="34">
        <f>(C9-B9)/365</f>
        <v/>
      </c>
      <c r="F9" s="34">
        <f>(C9-VAL_DATE)/365</f>
        <v/>
      </c>
      <c r="G9" s="36">
        <f>IFERROR(IF(Curve_Interface!$J$7="Piecewise Linear (Simple)",IF(((C9-VAL_DATE)/360)&lt;=0,1,1/(1+(IF(((INDEX('Curve_Interface'!$K$8:$K$73,MATCH(C9,'Curve_Interface'!$K$8:$K$73,1))-VAL_DATE)/360)&lt;=0,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,(1/INDEX('Curve_Interface'!$L$8:$L$73,MATCH(C9,'Curve_Interface'!$K$8:$K$73,1))-1)/((INDEX('Curve_Interface'!$K$8:$K$73,MATCH(C9,'Curve_Interface'!$K$8:$K$73,1))-VAL_DATE)/360))+(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-IF(((INDEX('Curve_Interface'!$K$8:$K$73,MATCH(C9,'Curve_Interface'!$K$8:$K$73,1))-VAL_DATE)/360)&lt;=0,IF(((INDEX('Curve_Interface'!$K$8:$K$73,MATCH(C9,'Curve_Interface'!$K$8:$K$73,1)+1)-VAL_DATE)/360)&lt;=0,0,(1/INDEX('Curve_Interface'!$L$8:$L$73,MATCH(C9,'Curve_Interface'!$K$8:$K$73,1)+1)-1)/((INDEX('Curve_Interface'!$K$8:$K$73,MATCH(C9,'Curve_Interface'!$K$8:$K$73,1)+1)-VAL_DATE)/360)),(1/INDEX('Curve_Interface'!$L$8:$L$73,MATCH(C9,'Curve_Interface'!$K$8:$K$73,1))-1)/((INDEX('Curve_Interface'!$K$8:$K$73,MATCH(C9,'Curve_Interface'!$K$8:$K$73,1))-VAL_DATE)/360)))*IF(((INDEX('Curve_Interface'!$K$8:$K$73,MATCH(C9,'Curve_Interface'!$K$8:$K$73,1)+1)-VAL_DATE)/360)-((INDEX('Curve_Interface'!$K$8:$K$73,MATCH(C9,'Curve_Interface'!$K$8:$K$73,1))-VAL_DATE)/360)=0,0,(((C9-VAL_DATE)/360)-((INDEX('Curve_Interface'!$K$8:$K$73,MATCH(C9,'Curve_Interface'!$K$8:$K$73,1))-VAL_DATE)/360))/(((INDEX('Curve_Interface'!$K$8:$K$73,MATCH(C9,'Curve_Interface'!$K$8:$K$73,1)+1)-VAL_DATE)/360)-((INDEX('Curve_Interface'!$K$8:$K$73,MATCH(C9,'Curve_Interface'!$K$8:$K$73,1))-VAL_DATE)/360))))*((C9-VAL_DATE)/360))),INDEX('Curve_Interface'!$L$8:$L$73,MATCH(C9,'Curve_Interface'!$K$8:$K$73,1))*(INDEX('Curve_Interface'!$L$8:$L$73,MATCH(C9,'Curve_Interface'!$K$8:$K$73,1)+1)/INDEX('Curve_Interface'!$L$8:$L$73,MATCH(C9,'Curve_Interface'!$K$8:$K$73,1)))^((C9-INDEX('Curve_Interface'!$K$8:$K$73,MATCH(C9,'Curve_Interface'!$K$8:$K$73,1)))/(INDEX('Curve_Interface'!$K$8:$K$73,MATCH(C9,'Curve_Interface'!$K$8:$K$73,1)+1)-INDEX('Curve_Interface'!$K$8:$K$73,MATCH(C9,'Curve_Interface'!$K$8:$K$73,1))))),INDEX('Curve_Interface'!$L$8:$L$73,MATCH(C9,'Curve_Interface'!$K$8:$K$73,1)))</f>
        <v/>
      </c>
      <c r="H9" s="36">
        <f>IFERROR(IF(Curve_Interface!$J$7="Piecewise Linear (Simple)",IF((((B9+C9)/2-VAL_DATE)/360)&lt;=0,1,1/(1+(IF(((INDEX('Curve_Interface'!$K$8:$K$73,MATCH((B9+C9)/2,'Curve_Interface'!$K$8:$K$73,1))-VAL_DATE)/360)&lt;=0,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,(1/INDEX('Curve_Interface'!$L$8:$L$73,MATCH((B9+C9)/2,'Curve_Interface'!$K$8:$K$73,1))-1)/((INDEX('Curve_Interface'!$K$8:$K$73,MATCH((B9+C9)/2,'Curve_Interface'!$K$8:$K$73,1))-VAL_DATE)/360))+(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-IF(((INDEX('Curve_Interface'!$K$8:$K$73,MATCH((B9+C9)/2,'Curve_Interface'!$K$8:$K$73,1))-VAL_DATE)/360)&lt;=0,IF(((INDEX('Curve_Interface'!$K$8:$K$73,MATCH((B9+C9)/2,'Curve_Interface'!$K$8:$K$73,1)+1)-VAL_DATE)/360)&lt;=0,0,(1/INDEX('Curve_Interface'!$L$8:$L$73,MATCH((B9+C9)/2,'Curve_Interface'!$K$8:$K$73,1)+1)-1)/((INDEX('Curve_Interface'!$K$8:$K$73,MATCH((B9+C9)/2,'Curve_Interface'!$K$8:$K$73,1)+1)-VAL_DATE)/360)),(1/INDEX('Curve_Interface'!$L$8:$L$73,MATCH((B9+C9)/2,'Curve_Interface'!$K$8:$K$73,1))-1)/((INDEX('Curve_Interface'!$K$8:$K$73,MATCH((B9+C9)/2,'Curve_Interface'!$K$8:$K$73,1))-VAL_DATE)/360)))*IF(((INDEX('Curve_Interface'!$K$8:$K$73,MATCH((B9+C9)/2,'Curve_Interface'!$K$8:$K$73,1)+1)-VAL_DATE)/360)-((INDEX('Curve_Interface'!$K$8:$K$73,MATCH((B9+C9)/2,'Curve_Interface'!$K$8:$K$73,1))-VAL_DATE)/360)=0,0,((((B9+C9)/2-VAL_DATE)/360)-((INDEX('Curve_Interface'!$K$8:$K$73,MATCH((B9+C9)/2,'Curve_Interface'!$K$8:$K$73,1))-VAL_DATE)/360))/(((INDEX('Curve_Interface'!$K$8:$K$73,MATCH((B9+C9)/2,'Curve_Interface'!$K$8:$K$73,1)+1)-VAL_DATE)/360)-((INDEX('Curve_Interface'!$K$8:$K$73,MATCH((B9+C9)/2,'Curve_Interface'!$K$8:$K$73,1))-VAL_DATE)/360))))*(((B9+C9)/2-VAL_DATE)/360))),INDEX('Curve_Interface'!$L$8:$L$73,MATCH((B9+C9)/2,'Curve_Interface'!$K$8:$K$73,1))*(INDEX('Curve_Interface'!$L$8:$L$73,MATCH((B9+C9)/2,'Curve_Interface'!$K$8:$K$73,1)+1)/INDEX('Curve_Interface'!$L$8:$L$73,MATCH((B9+C9)/2,'Curve_Interface'!$K$8:$K$73,1)))^(((B9+C9)/2-INDEX('Curve_Interface'!$K$8:$K$73,MATCH((B9+C9)/2,'Curve_Interface'!$K$8:$K$73,1)))/(INDEX('Curve_Interface'!$K$8:$K$73,MATCH((B9+C9)/2,'Curve_Interface'!$K$8:$K$73,1)+1)-INDEX('Curve_Interface'!$K$8:$K$73,MATCH((B9+C9)/2,'Curve_Interface'!$K$8:$K$73,1))))),INDEX('Curve_Interface'!$L$8:$L$73,MATCH((B9+C9)/2,'Curve_Interface'!$K$8:$K$73,1)))</f>
        <v/>
      </c>
      <c r="I9" s="36">
        <f>INDEX(Hazard_Bootstrap!$D$7:$D$12,MIN(COUNTIF(Hazard_Bootstrap!$B$7:$B$12,"&lt;"&amp;C9)+1,6))</f>
        <v/>
      </c>
      <c r="J9" s="36">
        <f>K8</f>
        <v/>
      </c>
      <c r="K9" s="36">
        <f>J9*EXP(-I9*E9)</f>
        <v/>
      </c>
      <c r="L9" s="36">
        <f>J9-K9</f>
        <v/>
      </c>
      <c r="M9" s="36">
        <f>D9*G9*K9</f>
        <v/>
      </c>
      <c r="N9" s="36">
        <f>(D9/2)*H9*L9</f>
        <v/>
      </c>
      <c r="O9" s="36">
        <f>H9*L9</f>
        <v/>
      </c>
      <c r="Q9" s="137" t="n"/>
    </row>
    <row r="10">
      <c r="A10" s="43" t="n">
        <v>4</v>
      </c>
      <c r="B10" s="18">
        <f>C9</f>
        <v/>
      </c>
      <c r="C10" s="18">
        <f>EDATE('Curve_Interface'!$F$7,3*3)</f>
        <v/>
      </c>
      <c r="D10" s="34">
        <f>(C10-B10)/360</f>
        <v/>
      </c>
      <c r="E10" s="34">
        <f>(C10-B10)/365</f>
        <v/>
      </c>
      <c r="F10" s="34">
        <f>(C10-VAL_DATE)/365</f>
        <v/>
      </c>
      <c r="G10" s="36">
        <f>IFERROR(IF(Curve_Interface!$J$7="Piecewise Linear (Simple)",IF(((C10-VAL_DATE)/360)&lt;=0,1,1/(1+(IF(((INDEX('Curve_Interface'!$K$8:$K$73,MATCH(C10,'Curve_Interface'!$K$8:$K$73,1))-VAL_DATE)/360)&lt;=0,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,(1/INDEX('Curve_Interface'!$L$8:$L$73,MATCH(C10,'Curve_Interface'!$K$8:$K$73,1))-1)/((INDEX('Curve_Interface'!$K$8:$K$73,MATCH(C10,'Curve_Interface'!$K$8:$K$73,1))-VAL_DATE)/360))+(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-IF(((INDEX('Curve_Interface'!$K$8:$K$73,MATCH(C10,'Curve_Interface'!$K$8:$K$73,1))-VAL_DATE)/360)&lt;=0,IF(((INDEX('Curve_Interface'!$K$8:$K$73,MATCH(C10,'Curve_Interface'!$K$8:$K$73,1)+1)-VAL_DATE)/360)&lt;=0,0,(1/INDEX('Curve_Interface'!$L$8:$L$73,MATCH(C10,'Curve_Interface'!$K$8:$K$73,1)+1)-1)/((INDEX('Curve_Interface'!$K$8:$K$73,MATCH(C10,'Curve_Interface'!$K$8:$K$73,1)+1)-VAL_DATE)/360)),(1/INDEX('Curve_Interface'!$L$8:$L$73,MATCH(C10,'Curve_Interface'!$K$8:$K$73,1))-1)/((INDEX('Curve_Interface'!$K$8:$K$73,MATCH(C10,'Curve_Interface'!$K$8:$K$73,1))-VAL_DATE)/360)))*IF(((INDEX('Curve_Interface'!$K$8:$K$73,MATCH(C10,'Curve_Interface'!$K$8:$K$73,1)+1)-VAL_DATE)/360)-((INDEX('Curve_Interface'!$K$8:$K$73,MATCH(C10,'Curve_Interface'!$K$8:$K$73,1))-VAL_DATE)/360)=0,0,(((C10-VAL_DATE)/360)-((INDEX('Curve_Interface'!$K$8:$K$73,MATCH(C10,'Curve_Interface'!$K$8:$K$73,1))-VAL_DATE)/360))/(((INDEX('Curve_Interface'!$K$8:$K$73,MATCH(C10,'Curve_Interface'!$K$8:$K$73,1)+1)-VAL_DATE)/360)-((INDEX('Curve_Interface'!$K$8:$K$73,MATCH(C10,'Curve_Interface'!$K$8:$K$73,1))-VAL_DATE)/360))))*((C10-VAL_DATE)/360))),INDEX('Curve_Interface'!$L$8:$L$73,MATCH(C10,'Curve_Interface'!$K$8:$K$73,1))*(INDEX('Curve_Interface'!$L$8:$L$73,MATCH(C10,'Curve_Interface'!$K$8:$K$73,1)+1)/INDEX('Curve_Interface'!$L$8:$L$73,MATCH(C10,'Curve_Interface'!$K$8:$K$73,1)))^((C10-INDEX('Curve_Interface'!$K$8:$K$73,MATCH(C10,'Curve_Interface'!$K$8:$K$73,1)))/(INDEX('Curve_Interface'!$K$8:$K$73,MATCH(C10,'Curve_Interface'!$K$8:$K$73,1)+1)-INDEX('Curve_Interface'!$K$8:$K$73,MATCH(C10,'Curve_Interface'!$K$8:$K$73,1))))),INDEX('Curve_Interface'!$L$8:$L$73,MATCH(C10,'Curve_Interface'!$K$8:$K$73,1)))</f>
        <v/>
      </c>
      <c r="H10" s="36">
        <f>IFERROR(IF(Curve_Interface!$J$7="Piecewise Linear (Simple)",IF((((B10+C10)/2-VAL_DATE)/360)&lt;=0,1,1/(1+(IF(((INDEX('Curve_Interface'!$K$8:$K$73,MATCH((B10+C10)/2,'Curve_Interface'!$K$8:$K$73,1))-VAL_DATE)/360)&lt;=0,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,(1/INDEX('Curve_Interface'!$L$8:$L$73,MATCH((B10+C10)/2,'Curve_Interface'!$K$8:$K$73,1))-1)/((INDEX('Curve_Interface'!$K$8:$K$73,MATCH((B10+C10)/2,'Curve_Interface'!$K$8:$K$73,1))-VAL_DATE)/360))+(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-IF(((INDEX('Curve_Interface'!$K$8:$K$73,MATCH((B10+C10)/2,'Curve_Interface'!$K$8:$K$73,1))-VAL_DATE)/360)&lt;=0,IF(((INDEX('Curve_Interface'!$K$8:$K$73,MATCH((B10+C10)/2,'Curve_Interface'!$K$8:$K$73,1)+1)-VAL_DATE)/360)&lt;=0,0,(1/INDEX('Curve_Interface'!$L$8:$L$73,MATCH((B10+C10)/2,'Curve_Interface'!$K$8:$K$73,1)+1)-1)/((INDEX('Curve_Interface'!$K$8:$K$73,MATCH((B10+C10)/2,'Curve_Interface'!$K$8:$K$73,1)+1)-VAL_DATE)/360)),(1/INDEX('Curve_Interface'!$L$8:$L$73,MATCH((B10+C10)/2,'Curve_Interface'!$K$8:$K$73,1))-1)/((INDEX('Curve_Interface'!$K$8:$K$73,MATCH((B10+C10)/2,'Curve_Interface'!$K$8:$K$73,1))-VAL_DATE)/360)))*IF(((INDEX('Curve_Interface'!$K$8:$K$73,MATCH((B10+C10)/2,'Curve_Interface'!$K$8:$K$73,1)+1)-VAL_DATE)/360)-((INDEX('Curve_Interface'!$K$8:$K$73,MATCH((B10+C10)/2,'Curve_Interface'!$K$8:$K$73,1))-VAL_DATE)/360)=0,0,((((B10+C10)/2-VAL_DATE)/360)-((INDEX('Curve_Interface'!$K$8:$K$73,MATCH((B10+C10)/2,'Curve_Interface'!$K$8:$K$73,1))-VAL_DATE)/360))/(((INDEX('Curve_Interface'!$K$8:$K$73,MATCH((B10+C10)/2,'Curve_Interface'!$K$8:$K$73,1)+1)-VAL_DATE)/360)-((INDEX('Curve_Interface'!$K$8:$K$73,MATCH((B10+C10)/2,'Curve_Interface'!$K$8:$K$73,1))-VAL_DATE)/360))))*(((B10+C10)/2-VAL_DATE)/360))),INDEX('Curve_Interface'!$L$8:$L$73,MATCH((B10+C10)/2,'Curve_Interface'!$K$8:$K$73,1))*(INDEX('Curve_Interface'!$L$8:$L$73,MATCH((B10+C10)/2,'Curve_Interface'!$K$8:$K$73,1)+1)/INDEX('Curve_Interface'!$L$8:$L$73,MATCH((B10+C10)/2,'Curve_Interface'!$K$8:$K$73,1)))^(((B10+C10)/2-INDEX('Curve_Interface'!$K$8:$K$73,MATCH((B10+C10)/2,'Curve_Interface'!$K$8:$K$73,1)))/(INDEX('Curve_Interface'!$K$8:$K$73,MATCH((B10+C10)/2,'Curve_Interface'!$K$8:$K$73,1)+1)-INDEX('Curve_Interface'!$K$8:$K$73,MATCH((B10+C10)/2,'Curve_Interface'!$K$8:$K$73,1))))),INDEX('Curve_Interface'!$L$8:$L$73,MATCH((B10+C10)/2,'Curve_Interface'!$K$8:$K$73,1)))</f>
        <v/>
      </c>
      <c r="I10" s="36">
        <f>INDEX(Hazard_Bootstrap!$D$7:$D$12,MIN(COUNTIF(Hazard_Bootstrap!$B$7:$B$12,"&lt;"&amp;C10)+1,6))</f>
        <v/>
      </c>
      <c r="J10" s="36">
        <f>K9</f>
        <v/>
      </c>
      <c r="K10" s="36">
        <f>J10*EXP(-I10*E10)</f>
        <v/>
      </c>
      <c r="L10" s="36">
        <f>J10-K10</f>
        <v/>
      </c>
      <c r="M10" s="36">
        <f>D10*G10*K10</f>
        <v/>
      </c>
      <c r="N10" s="36">
        <f>(D10/2)*H10*L10</f>
        <v/>
      </c>
      <c r="O10" s="36">
        <f>H10*L10</f>
        <v/>
      </c>
      <c r="Q10" s="137" t="inlineStr">
        <is>
          <t>col M   premium factor                          (3.4) / O-T (5) 1st term</t>
        </is>
      </c>
    </row>
    <row r="11">
      <c r="A11" s="43" t="n">
        <v>5</v>
      </c>
      <c r="B11" s="18">
        <f>C10</f>
        <v/>
      </c>
      <c r="C11" s="18">
        <f>EDATE('Curve_Interface'!$F$7,3*4)</f>
        <v/>
      </c>
      <c r="D11" s="34">
        <f>(C11-B11)/360</f>
        <v/>
      </c>
      <c r="E11" s="34">
        <f>(C11-B11)/365</f>
        <v/>
      </c>
      <c r="F11" s="34">
        <f>(C11-VAL_DATE)/365</f>
        <v/>
      </c>
      <c r="G11" s="36">
        <f>IFERROR(IF(Curve_Interface!$J$7="Piecewise Linear (Simple)",IF(((C11-VAL_DATE)/360)&lt;=0,1,1/(1+(IF(((INDEX('Curve_Interface'!$K$8:$K$73,MATCH(C11,'Curve_Interface'!$K$8:$K$73,1))-VAL_DATE)/360)&lt;=0,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,(1/INDEX('Curve_Interface'!$L$8:$L$73,MATCH(C11,'Curve_Interface'!$K$8:$K$73,1))-1)/((INDEX('Curve_Interface'!$K$8:$K$73,MATCH(C11,'Curve_Interface'!$K$8:$K$73,1))-VAL_DATE)/360))+(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-IF(((INDEX('Curve_Interface'!$K$8:$K$73,MATCH(C11,'Curve_Interface'!$K$8:$K$73,1))-VAL_DATE)/360)&lt;=0,IF(((INDEX('Curve_Interface'!$K$8:$K$73,MATCH(C11,'Curve_Interface'!$K$8:$K$73,1)+1)-VAL_DATE)/360)&lt;=0,0,(1/INDEX('Curve_Interface'!$L$8:$L$73,MATCH(C11,'Curve_Interface'!$K$8:$K$73,1)+1)-1)/((INDEX('Curve_Interface'!$K$8:$K$73,MATCH(C11,'Curve_Interface'!$K$8:$K$73,1)+1)-VAL_DATE)/360)),(1/INDEX('Curve_Interface'!$L$8:$L$73,MATCH(C11,'Curve_Interface'!$K$8:$K$73,1))-1)/((INDEX('Curve_Interface'!$K$8:$K$73,MATCH(C11,'Curve_Interface'!$K$8:$K$73,1))-VAL_DATE)/360)))*IF(((INDEX('Curve_Interface'!$K$8:$K$73,MATCH(C11,'Curve_Interface'!$K$8:$K$73,1)+1)-VAL_DATE)/360)-((INDEX('Curve_Interface'!$K$8:$K$73,MATCH(C11,'Curve_Interface'!$K$8:$K$73,1))-VAL_DATE)/360)=0,0,(((C11-VAL_DATE)/360)-((INDEX('Curve_Interface'!$K$8:$K$73,MATCH(C11,'Curve_Interface'!$K$8:$K$73,1))-VAL_DATE)/360))/(((INDEX('Curve_Interface'!$K$8:$K$73,MATCH(C11,'Curve_Interface'!$K$8:$K$73,1)+1)-VAL_DATE)/360)-((INDEX('Curve_Interface'!$K$8:$K$73,MATCH(C11,'Curve_Interface'!$K$8:$K$73,1))-VAL_DATE)/360))))*((C11-VAL_DATE)/360))),INDEX('Curve_Interface'!$L$8:$L$73,MATCH(C11,'Curve_Interface'!$K$8:$K$73,1))*(INDEX('Curve_Interface'!$L$8:$L$73,MATCH(C11,'Curve_Interface'!$K$8:$K$73,1)+1)/INDEX('Curve_Interface'!$L$8:$L$73,MATCH(C11,'Curve_Interface'!$K$8:$K$73,1)))^((C11-INDEX('Curve_Interface'!$K$8:$K$73,MATCH(C11,'Curve_Interface'!$K$8:$K$73,1)))/(INDEX('Curve_Interface'!$K$8:$K$73,MATCH(C11,'Curve_Interface'!$K$8:$K$73,1)+1)-INDEX('Curve_Interface'!$K$8:$K$73,MATCH(C11,'Curve_Interface'!$K$8:$K$73,1))))),INDEX('Curve_Interface'!$L$8:$L$73,MATCH(C11,'Curve_Interface'!$K$8:$K$73,1)))</f>
        <v/>
      </c>
      <c r="H11" s="36">
        <f>IFERROR(IF(Curve_Interface!$J$7="Piecewise Linear (Simple)",IF((((B11+C11)/2-VAL_DATE)/360)&lt;=0,1,1/(1+(IF(((INDEX('Curve_Interface'!$K$8:$K$73,MATCH((B11+C11)/2,'Curve_Interface'!$K$8:$K$73,1))-VAL_DATE)/360)&lt;=0,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,(1/INDEX('Curve_Interface'!$L$8:$L$73,MATCH((B11+C11)/2,'Curve_Interface'!$K$8:$K$73,1))-1)/((INDEX('Curve_Interface'!$K$8:$K$73,MATCH((B11+C11)/2,'Curve_Interface'!$K$8:$K$73,1))-VAL_DATE)/360))+(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-IF(((INDEX('Curve_Interface'!$K$8:$K$73,MATCH((B11+C11)/2,'Curve_Interface'!$K$8:$K$73,1))-VAL_DATE)/360)&lt;=0,IF(((INDEX('Curve_Interface'!$K$8:$K$73,MATCH((B11+C11)/2,'Curve_Interface'!$K$8:$K$73,1)+1)-VAL_DATE)/360)&lt;=0,0,(1/INDEX('Curve_Interface'!$L$8:$L$73,MATCH((B11+C11)/2,'Curve_Interface'!$K$8:$K$73,1)+1)-1)/((INDEX('Curve_Interface'!$K$8:$K$73,MATCH((B11+C11)/2,'Curve_Interface'!$K$8:$K$73,1)+1)-VAL_DATE)/360)),(1/INDEX('Curve_Interface'!$L$8:$L$73,MATCH((B11+C11)/2,'Curve_Interface'!$K$8:$K$73,1))-1)/((INDEX('Curve_Interface'!$K$8:$K$73,MATCH((B11+C11)/2,'Curve_Interface'!$K$8:$K$73,1))-VAL_DATE)/360)))*IF(((INDEX('Curve_Interface'!$K$8:$K$73,MATCH((B11+C11)/2,'Curve_Interface'!$K$8:$K$73,1)+1)-VAL_DATE)/360)-((INDEX('Curve_Interface'!$K$8:$K$73,MATCH((B11+C11)/2,'Curve_Interface'!$K$8:$K$73,1))-VAL_DATE)/360)=0,0,((((B11+C11)/2-VAL_DATE)/360)-((INDEX('Curve_Interface'!$K$8:$K$73,MATCH((B11+C11)/2,'Curve_Interface'!$K$8:$K$73,1))-VAL_DATE)/360))/(((INDEX('Curve_Interface'!$K$8:$K$73,MATCH((B11+C11)/2,'Curve_Interface'!$K$8:$K$73,1)+1)-VAL_DATE)/360)-((INDEX('Curve_Interface'!$K$8:$K$73,MATCH((B11+C11)/2,'Curve_Interface'!$K$8:$K$73,1))-VAL_DATE)/360))))*(((B11+C11)/2-VAL_DATE)/360))),INDEX('Curve_Interface'!$L$8:$L$73,MATCH((B11+C11)/2,'Curve_Interface'!$K$8:$K$73,1))*(INDEX('Curve_Interface'!$L$8:$L$73,MATCH((B11+C11)/2,'Curve_Interface'!$K$8:$K$73,1)+1)/INDEX('Curve_Interface'!$L$8:$L$73,MATCH((B11+C11)/2,'Curve_Interface'!$K$8:$K$73,1)))^(((B11+C11)/2-INDEX('Curve_Interface'!$K$8:$K$73,MATCH((B11+C11)/2,'Curve_Interface'!$K$8:$K$73,1)))/(INDEX('Curve_Interface'!$K$8:$K$73,MATCH((B11+C11)/2,'Curve_Interface'!$K$8:$K$73,1)+1)-INDEX('Curve_Interface'!$K$8:$K$73,MATCH((B11+C11)/2,'Curve_Interface'!$K$8:$K$73,1))))),INDEX('Curve_Interface'!$L$8:$L$73,MATCH((B11+C11)/2,'Curve_Interface'!$K$8:$K$73,1)))</f>
        <v/>
      </c>
      <c r="I11" s="36">
        <f>INDEX(Hazard_Bootstrap!$D$7:$D$12,MIN(COUNTIF(Hazard_Bootstrap!$B$7:$B$12,"&lt;"&amp;C11)+1,6))</f>
        <v/>
      </c>
      <c r="J11" s="36">
        <f>K10</f>
        <v/>
      </c>
      <c r="K11" s="36">
        <f>J11*EXP(-I11*E11)</f>
        <v/>
      </c>
      <c r="L11" s="36">
        <f>J11-K11</f>
        <v/>
      </c>
      <c r="M11" s="36">
        <f>D11*G11*K11</f>
        <v/>
      </c>
      <c r="N11" s="36">
        <f>(D11/2)*H11*L11</f>
        <v/>
      </c>
      <c r="O11" s="36">
        <f>H11*L11</f>
        <v/>
      </c>
      <c r="Q11" s="138" t="inlineStr">
        <is>
          <t xml:space="preserve">        alpha_i * Z(t_i) * Q(t_i)</t>
        </is>
      </c>
    </row>
    <row r="12">
      <c r="A12" s="43" t="n">
        <v>6</v>
      </c>
      <c r="B12" s="18">
        <f>C11</f>
        <v/>
      </c>
      <c r="C12" s="18">
        <f>EDATE('Curve_Interface'!$F$7,3*5)</f>
        <v/>
      </c>
      <c r="D12" s="34">
        <f>(C12-B12)/360</f>
        <v/>
      </c>
      <c r="E12" s="34">
        <f>(C12-B12)/365</f>
        <v/>
      </c>
      <c r="F12" s="34">
        <f>(C12-VAL_DATE)/365</f>
        <v/>
      </c>
      <c r="G12" s="36">
        <f>IFERROR(IF(Curve_Interface!$J$7="Piecewise Linear (Simple)",IF(((C12-VAL_DATE)/360)&lt;=0,1,1/(1+(IF(((INDEX('Curve_Interface'!$K$8:$K$73,MATCH(C12,'Curve_Interface'!$K$8:$K$73,1))-VAL_DATE)/360)&lt;=0,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,(1/INDEX('Curve_Interface'!$L$8:$L$73,MATCH(C12,'Curve_Interface'!$K$8:$K$73,1))-1)/((INDEX('Curve_Interface'!$K$8:$K$73,MATCH(C12,'Curve_Interface'!$K$8:$K$73,1))-VAL_DATE)/360))+(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-IF(((INDEX('Curve_Interface'!$K$8:$K$73,MATCH(C12,'Curve_Interface'!$K$8:$K$73,1))-VAL_DATE)/360)&lt;=0,IF(((INDEX('Curve_Interface'!$K$8:$K$73,MATCH(C12,'Curve_Interface'!$K$8:$K$73,1)+1)-VAL_DATE)/360)&lt;=0,0,(1/INDEX('Curve_Interface'!$L$8:$L$73,MATCH(C12,'Curve_Interface'!$K$8:$K$73,1)+1)-1)/((INDEX('Curve_Interface'!$K$8:$K$73,MATCH(C12,'Curve_Interface'!$K$8:$K$73,1)+1)-VAL_DATE)/360)),(1/INDEX('Curve_Interface'!$L$8:$L$73,MATCH(C12,'Curve_Interface'!$K$8:$K$73,1))-1)/((INDEX('Curve_Interface'!$K$8:$K$73,MATCH(C12,'Curve_Interface'!$K$8:$K$73,1))-VAL_DATE)/360)))*IF(((INDEX('Curve_Interface'!$K$8:$K$73,MATCH(C12,'Curve_Interface'!$K$8:$K$73,1)+1)-VAL_DATE)/360)-((INDEX('Curve_Interface'!$K$8:$K$73,MATCH(C12,'Curve_Interface'!$K$8:$K$73,1))-VAL_DATE)/360)=0,0,(((C12-VAL_DATE)/360)-((INDEX('Curve_Interface'!$K$8:$K$73,MATCH(C12,'Curve_Interface'!$K$8:$K$73,1))-VAL_DATE)/360))/(((INDEX('Curve_Interface'!$K$8:$K$73,MATCH(C12,'Curve_Interface'!$K$8:$K$73,1)+1)-VAL_DATE)/360)-((INDEX('Curve_Interface'!$K$8:$K$73,MATCH(C12,'Curve_Interface'!$K$8:$K$73,1))-VAL_DATE)/360))))*((C12-VAL_DATE)/360))),INDEX('Curve_Interface'!$L$8:$L$73,MATCH(C12,'Curve_Interface'!$K$8:$K$73,1))*(INDEX('Curve_Interface'!$L$8:$L$73,MATCH(C12,'Curve_Interface'!$K$8:$K$73,1)+1)/INDEX('Curve_Interface'!$L$8:$L$73,MATCH(C12,'Curve_Interface'!$K$8:$K$73,1)))^((C12-INDEX('Curve_Interface'!$K$8:$K$73,MATCH(C12,'Curve_Interface'!$K$8:$K$73,1)))/(INDEX('Curve_Interface'!$K$8:$K$73,MATCH(C12,'Curve_Interface'!$K$8:$K$73,1)+1)-INDEX('Curve_Interface'!$K$8:$K$73,MATCH(C12,'Curve_Interface'!$K$8:$K$73,1))))),INDEX('Curve_Interface'!$L$8:$L$73,MATCH(C12,'Curve_Interface'!$K$8:$K$73,1)))</f>
        <v/>
      </c>
      <c r="H12" s="36">
        <f>IFERROR(IF(Curve_Interface!$J$7="Piecewise Linear (Simple)",IF((((B12+C12)/2-VAL_DATE)/360)&lt;=0,1,1/(1+(IF(((INDEX('Curve_Interface'!$K$8:$K$73,MATCH((B12+C12)/2,'Curve_Interface'!$K$8:$K$73,1))-VAL_DATE)/360)&lt;=0,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,(1/INDEX('Curve_Interface'!$L$8:$L$73,MATCH((B12+C12)/2,'Curve_Interface'!$K$8:$K$73,1))-1)/((INDEX('Curve_Interface'!$K$8:$K$73,MATCH((B12+C12)/2,'Curve_Interface'!$K$8:$K$73,1))-VAL_DATE)/360))+(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-IF(((INDEX('Curve_Interface'!$K$8:$K$73,MATCH((B12+C12)/2,'Curve_Interface'!$K$8:$K$73,1))-VAL_DATE)/360)&lt;=0,IF(((INDEX('Curve_Interface'!$K$8:$K$73,MATCH((B12+C12)/2,'Curve_Interface'!$K$8:$K$73,1)+1)-VAL_DATE)/360)&lt;=0,0,(1/INDEX('Curve_Interface'!$L$8:$L$73,MATCH((B12+C12)/2,'Curve_Interface'!$K$8:$K$73,1)+1)-1)/((INDEX('Curve_Interface'!$K$8:$K$73,MATCH((B12+C12)/2,'Curve_Interface'!$K$8:$K$73,1)+1)-VAL_DATE)/360)),(1/INDEX('Curve_Interface'!$L$8:$L$73,MATCH((B12+C12)/2,'Curve_Interface'!$K$8:$K$73,1))-1)/((INDEX('Curve_Interface'!$K$8:$K$73,MATCH((B12+C12)/2,'Curve_Interface'!$K$8:$K$73,1))-VAL_DATE)/360)))*IF(((INDEX('Curve_Interface'!$K$8:$K$73,MATCH((B12+C12)/2,'Curve_Interface'!$K$8:$K$73,1)+1)-VAL_DATE)/360)-((INDEX('Curve_Interface'!$K$8:$K$73,MATCH((B12+C12)/2,'Curve_Interface'!$K$8:$K$73,1))-VAL_DATE)/360)=0,0,((((B12+C12)/2-VAL_DATE)/360)-((INDEX('Curve_Interface'!$K$8:$K$73,MATCH((B12+C12)/2,'Curve_Interface'!$K$8:$K$73,1))-VAL_DATE)/360))/(((INDEX('Curve_Interface'!$K$8:$K$73,MATCH((B12+C12)/2,'Curve_Interface'!$K$8:$K$73,1)+1)-VAL_DATE)/360)-((INDEX('Curve_Interface'!$K$8:$K$73,MATCH((B12+C12)/2,'Curve_Interface'!$K$8:$K$73,1))-VAL_DATE)/360))))*(((B12+C12)/2-VAL_DATE)/360))),INDEX('Curve_Interface'!$L$8:$L$73,MATCH((B12+C12)/2,'Curve_Interface'!$K$8:$K$73,1))*(INDEX('Curve_Interface'!$L$8:$L$73,MATCH((B12+C12)/2,'Curve_Interface'!$K$8:$K$73,1)+1)/INDEX('Curve_Interface'!$L$8:$L$73,MATCH((B12+C12)/2,'Curve_Interface'!$K$8:$K$73,1)))^(((B12+C12)/2-INDEX('Curve_Interface'!$K$8:$K$73,MATCH((B12+C12)/2,'Curve_Interface'!$K$8:$K$73,1)))/(INDEX('Curve_Interface'!$K$8:$K$73,MATCH((B12+C12)/2,'Curve_Interface'!$K$8:$K$73,1)+1)-INDEX('Curve_Interface'!$K$8:$K$73,MATCH((B12+C12)/2,'Curve_Interface'!$K$8:$K$73,1))))),INDEX('Curve_Interface'!$L$8:$L$73,MATCH((B12+C12)/2,'Curve_Interface'!$K$8:$K$73,1)))</f>
        <v/>
      </c>
      <c r="I12" s="36">
        <f>INDEX(Hazard_Bootstrap!$D$7:$D$12,MIN(COUNTIF(Hazard_Bootstrap!$B$7:$B$12,"&lt;"&amp;C12)+1,6))</f>
        <v/>
      </c>
      <c r="J12" s="36">
        <f>K11</f>
        <v/>
      </c>
      <c r="K12" s="36">
        <f>J12*EXP(-I12*E12)</f>
        <v/>
      </c>
      <c r="L12" s="36">
        <f>J12-K12</f>
        <v/>
      </c>
      <c r="M12" s="36">
        <f>D12*G12*K12</f>
        <v/>
      </c>
      <c r="N12" s="36">
        <f>(D12/2)*H12*L12</f>
        <v/>
      </c>
      <c r="O12" s="36">
        <f>H12*L12</f>
        <v/>
      </c>
      <c r="Q12" s="138" t="inlineStr">
        <is>
          <t xml:space="preserve">        Coupons-in-Survival = A*C*SUM alpha_i Z(t_i) Q(t_i)</t>
        </is>
      </c>
    </row>
    <row r="13">
      <c r="A13" s="43" t="n">
        <v>7</v>
      </c>
      <c r="B13" s="18">
        <f>C12</f>
        <v/>
      </c>
      <c r="C13" s="18">
        <f>EDATE('Curve_Interface'!$F$7,3*6)</f>
        <v/>
      </c>
      <c r="D13" s="34">
        <f>(C13-B13)/360</f>
        <v/>
      </c>
      <c r="E13" s="34">
        <f>(C13-B13)/365</f>
        <v/>
      </c>
      <c r="F13" s="34">
        <f>(C13-VAL_DATE)/365</f>
        <v/>
      </c>
      <c r="G13" s="36">
        <f>IFERROR(IF(Curve_Interface!$J$7="Piecewise Linear (Simple)",IF(((C13-VAL_DATE)/360)&lt;=0,1,1/(1+(IF(((INDEX('Curve_Interface'!$K$8:$K$73,MATCH(C13,'Curve_Interface'!$K$8:$K$73,1))-VAL_DATE)/360)&lt;=0,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,(1/INDEX('Curve_Interface'!$L$8:$L$73,MATCH(C13,'Curve_Interface'!$K$8:$K$73,1))-1)/((INDEX('Curve_Interface'!$K$8:$K$73,MATCH(C13,'Curve_Interface'!$K$8:$K$73,1))-VAL_DATE)/360))+(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-IF(((INDEX('Curve_Interface'!$K$8:$K$73,MATCH(C13,'Curve_Interface'!$K$8:$K$73,1))-VAL_DATE)/360)&lt;=0,IF(((INDEX('Curve_Interface'!$K$8:$K$73,MATCH(C13,'Curve_Interface'!$K$8:$K$73,1)+1)-VAL_DATE)/360)&lt;=0,0,(1/INDEX('Curve_Interface'!$L$8:$L$73,MATCH(C13,'Curve_Interface'!$K$8:$K$73,1)+1)-1)/((INDEX('Curve_Interface'!$K$8:$K$73,MATCH(C13,'Curve_Interface'!$K$8:$K$73,1)+1)-VAL_DATE)/360)),(1/INDEX('Curve_Interface'!$L$8:$L$73,MATCH(C13,'Curve_Interface'!$K$8:$K$73,1))-1)/((INDEX('Curve_Interface'!$K$8:$K$73,MATCH(C13,'Curve_Interface'!$K$8:$K$73,1))-VAL_DATE)/360)))*IF(((INDEX('Curve_Interface'!$K$8:$K$73,MATCH(C13,'Curve_Interface'!$K$8:$K$73,1)+1)-VAL_DATE)/360)-((INDEX('Curve_Interface'!$K$8:$K$73,MATCH(C13,'Curve_Interface'!$K$8:$K$73,1))-VAL_DATE)/360)=0,0,(((C13-VAL_DATE)/360)-((INDEX('Curve_Interface'!$K$8:$K$73,MATCH(C13,'Curve_Interface'!$K$8:$K$73,1))-VAL_DATE)/360))/(((INDEX('Curve_Interface'!$K$8:$K$73,MATCH(C13,'Curve_Interface'!$K$8:$K$73,1)+1)-VAL_DATE)/360)-((INDEX('Curve_Interface'!$K$8:$K$73,MATCH(C13,'Curve_Interface'!$K$8:$K$73,1))-VAL_DATE)/360))))*((C13-VAL_DATE)/360))),INDEX('Curve_Interface'!$L$8:$L$73,MATCH(C13,'Curve_Interface'!$K$8:$K$73,1))*(INDEX('Curve_Interface'!$L$8:$L$73,MATCH(C13,'Curve_Interface'!$K$8:$K$73,1)+1)/INDEX('Curve_Interface'!$L$8:$L$73,MATCH(C13,'Curve_Interface'!$K$8:$K$73,1)))^((C13-INDEX('Curve_Interface'!$K$8:$K$73,MATCH(C13,'Curve_Interface'!$K$8:$K$73,1)))/(INDEX('Curve_Interface'!$K$8:$K$73,MATCH(C13,'Curve_Interface'!$K$8:$K$73,1)+1)-INDEX('Curve_Interface'!$K$8:$K$73,MATCH(C13,'Curve_Interface'!$K$8:$K$73,1))))),INDEX('Curve_Interface'!$L$8:$L$73,MATCH(C13,'Curve_Interface'!$K$8:$K$73,1)))</f>
        <v/>
      </c>
      <c r="H13" s="36">
        <f>IFERROR(IF(Curve_Interface!$J$7="Piecewise Linear (Simple)",IF((((B13+C13)/2-VAL_DATE)/360)&lt;=0,1,1/(1+(IF(((INDEX('Curve_Interface'!$K$8:$K$73,MATCH((B13+C13)/2,'Curve_Interface'!$K$8:$K$73,1))-VAL_DATE)/360)&lt;=0,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,(1/INDEX('Curve_Interface'!$L$8:$L$73,MATCH((B13+C13)/2,'Curve_Interface'!$K$8:$K$73,1))-1)/((INDEX('Curve_Interface'!$K$8:$K$73,MATCH((B13+C13)/2,'Curve_Interface'!$K$8:$K$73,1))-VAL_DATE)/360))+(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-IF(((INDEX('Curve_Interface'!$K$8:$K$73,MATCH((B13+C13)/2,'Curve_Interface'!$K$8:$K$73,1))-VAL_DATE)/360)&lt;=0,IF(((INDEX('Curve_Interface'!$K$8:$K$73,MATCH((B13+C13)/2,'Curve_Interface'!$K$8:$K$73,1)+1)-VAL_DATE)/360)&lt;=0,0,(1/INDEX('Curve_Interface'!$L$8:$L$73,MATCH((B13+C13)/2,'Curve_Interface'!$K$8:$K$73,1)+1)-1)/((INDEX('Curve_Interface'!$K$8:$K$73,MATCH((B13+C13)/2,'Curve_Interface'!$K$8:$K$73,1)+1)-VAL_DATE)/360)),(1/INDEX('Curve_Interface'!$L$8:$L$73,MATCH((B13+C13)/2,'Curve_Interface'!$K$8:$K$73,1))-1)/((INDEX('Curve_Interface'!$K$8:$K$73,MATCH((B13+C13)/2,'Curve_Interface'!$K$8:$K$73,1))-VAL_DATE)/360)))*IF(((INDEX('Curve_Interface'!$K$8:$K$73,MATCH((B13+C13)/2,'Curve_Interface'!$K$8:$K$73,1)+1)-VAL_DATE)/360)-((INDEX('Curve_Interface'!$K$8:$K$73,MATCH((B13+C13)/2,'Curve_Interface'!$K$8:$K$73,1))-VAL_DATE)/360)=0,0,((((B13+C13)/2-VAL_DATE)/360)-((INDEX('Curve_Interface'!$K$8:$K$73,MATCH((B13+C13)/2,'Curve_Interface'!$K$8:$K$73,1))-VAL_DATE)/360))/(((INDEX('Curve_Interface'!$K$8:$K$73,MATCH((B13+C13)/2,'Curve_Interface'!$K$8:$K$73,1)+1)-VAL_DATE)/360)-((INDEX('Curve_Interface'!$K$8:$K$73,MATCH((B13+C13)/2,'Curve_Interface'!$K$8:$K$73,1))-VAL_DATE)/360))))*(((B13+C13)/2-VAL_DATE)/360))),INDEX('Curve_Interface'!$L$8:$L$73,MATCH((B13+C13)/2,'Curve_Interface'!$K$8:$K$73,1))*(INDEX('Curve_Interface'!$L$8:$L$73,MATCH((B13+C13)/2,'Curve_Interface'!$K$8:$K$73,1)+1)/INDEX('Curve_Interface'!$L$8:$L$73,MATCH((B13+C13)/2,'Curve_Interface'!$K$8:$K$73,1)))^(((B13+C13)/2-INDEX('Curve_Interface'!$K$8:$K$73,MATCH((B13+C13)/2,'Curve_Interface'!$K$8:$K$73,1)))/(INDEX('Curve_Interface'!$K$8:$K$73,MATCH((B13+C13)/2,'Curve_Interface'!$K$8:$K$73,1)+1)-INDEX('Curve_Interface'!$K$8:$K$73,MATCH((B13+C13)/2,'Curve_Interface'!$K$8:$K$73,1))))),INDEX('Curve_Interface'!$L$8:$L$73,MATCH((B13+C13)/2,'Curve_Interface'!$K$8:$K$73,1)))</f>
        <v/>
      </c>
      <c r="I13" s="36">
        <f>INDEX(Hazard_Bootstrap!$D$7:$D$12,MIN(COUNTIF(Hazard_Bootstrap!$B$7:$B$12,"&lt;"&amp;C13)+1,6))</f>
        <v/>
      </c>
      <c r="J13" s="36">
        <f>K12</f>
        <v/>
      </c>
      <c r="K13" s="36">
        <f>J13*EXP(-I13*E13)</f>
        <v/>
      </c>
      <c r="L13" s="36">
        <f>J13-K13</f>
        <v/>
      </c>
      <c r="M13" s="36">
        <f>D13*G13*K13</f>
        <v/>
      </c>
      <c r="N13" s="36">
        <f>(D13/2)*H13*L13</f>
        <v/>
      </c>
      <c r="O13" s="36">
        <f>H13*L13</f>
        <v/>
      </c>
      <c r="Q13" s="137" t="n"/>
    </row>
    <row r="14">
      <c r="A14" s="43" t="n">
        <v>8</v>
      </c>
      <c r="B14" s="18">
        <f>C13</f>
        <v/>
      </c>
      <c r="C14" s="18">
        <f>EDATE('Curve_Interface'!$F$7,3*7)</f>
        <v/>
      </c>
      <c r="D14" s="34">
        <f>(C14-B14)/360</f>
        <v/>
      </c>
      <c r="E14" s="34">
        <f>(C14-B14)/365</f>
        <v/>
      </c>
      <c r="F14" s="34">
        <f>(C14-VAL_DATE)/365</f>
        <v/>
      </c>
      <c r="G14" s="36">
        <f>IFERROR(IF(Curve_Interface!$J$7="Piecewise Linear (Simple)",IF(((C14-VAL_DATE)/360)&lt;=0,1,1/(1+(IF(((INDEX('Curve_Interface'!$K$8:$K$73,MATCH(C14,'Curve_Interface'!$K$8:$K$73,1))-VAL_DATE)/360)&lt;=0,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,(1/INDEX('Curve_Interface'!$L$8:$L$73,MATCH(C14,'Curve_Interface'!$K$8:$K$73,1))-1)/((INDEX('Curve_Interface'!$K$8:$K$73,MATCH(C14,'Curve_Interface'!$K$8:$K$73,1))-VAL_DATE)/360))+(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-IF(((INDEX('Curve_Interface'!$K$8:$K$73,MATCH(C14,'Curve_Interface'!$K$8:$K$73,1))-VAL_DATE)/360)&lt;=0,IF(((INDEX('Curve_Interface'!$K$8:$K$73,MATCH(C14,'Curve_Interface'!$K$8:$K$73,1)+1)-VAL_DATE)/360)&lt;=0,0,(1/INDEX('Curve_Interface'!$L$8:$L$73,MATCH(C14,'Curve_Interface'!$K$8:$K$73,1)+1)-1)/((INDEX('Curve_Interface'!$K$8:$K$73,MATCH(C14,'Curve_Interface'!$K$8:$K$73,1)+1)-VAL_DATE)/360)),(1/INDEX('Curve_Interface'!$L$8:$L$73,MATCH(C14,'Curve_Interface'!$K$8:$K$73,1))-1)/((INDEX('Curve_Interface'!$K$8:$K$73,MATCH(C14,'Curve_Interface'!$K$8:$K$73,1))-VAL_DATE)/360)))*IF(((INDEX('Curve_Interface'!$K$8:$K$73,MATCH(C14,'Curve_Interface'!$K$8:$K$73,1)+1)-VAL_DATE)/360)-((INDEX('Curve_Interface'!$K$8:$K$73,MATCH(C14,'Curve_Interface'!$K$8:$K$73,1))-VAL_DATE)/360)=0,0,(((C14-VAL_DATE)/360)-((INDEX('Curve_Interface'!$K$8:$K$73,MATCH(C14,'Curve_Interface'!$K$8:$K$73,1))-VAL_DATE)/360))/(((INDEX('Curve_Interface'!$K$8:$K$73,MATCH(C14,'Curve_Interface'!$K$8:$K$73,1)+1)-VAL_DATE)/360)-((INDEX('Curve_Interface'!$K$8:$K$73,MATCH(C14,'Curve_Interface'!$K$8:$K$73,1))-VAL_DATE)/360))))*((C14-VAL_DATE)/360))),INDEX('Curve_Interface'!$L$8:$L$73,MATCH(C14,'Curve_Interface'!$K$8:$K$73,1))*(INDEX('Curve_Interface'!$L$8:$L$73,MATCH(C14,'Curve_Interface'!$K$8:$K$73,1)+1)/INDEX('Curve_Interface'!$L$8:$L$73,MATCH(C14,'Curve_Interface'!$K$8:$K$73,1)))^((C14-INDEX('Curve_Interface'!$K$8:$K$73,MATCH(C14,'Curve_Interface'!$K$8:$K$73,1)))/(INDEX('Curve_Interface'!$K$8:$K$73,MATCH(C14,'Curve_Interface'!$K$8:$K$73,1)+1)-INDEX('Curve_Interface'!$K$8:$K$73,MATCH(C14,'Curve_Interface'!$K$8:$K$73,1))))),INDEX('Curve_Interface'!$L$8:$L$73,MATCH(C14,'Curve_Interface'!$K$8:$K$73,1)))</f>
        <v/>
      </c>
      <c r="H14" s="36">
        <f>IFERROR(IF(Curve_Interface!$J$7="Piecewise Linear (Simple)",IF((((B14+C14)/2-VAL_DATE)/360)&lt;=0,1,1/(1+(IF(((INDEX('Curve_Interface'!$K$8:$K$73,MATCH((B14+C14)/2,'Curve_Interface'!$K$8:$K$73,1))-VAL_DATE)/360)&lt;=0,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,(1/INDEX('Curve_Interface'!$L$8:$L$73,MATCH((B14+C14)/2,'Curve_Interface'!$K$8:$K$73,1))-1)/((INDEX('Curve_Interface'!$K$8:$K$73,MATCH((B14+C14)/2,'Curve_Interface'!$K$8:$K$73,1))-VAL_DATE)/360))+(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-IF(((INDEX('Curve_Interface'!$K$8:$K$73,MATCH((B14+C14)/2,'Curve_Interface'!$K$8:$K$73,1))-VAL_DATE)/360)&lt;=0,IF(((INDEX('Curve_Interface'!$K$8:$K$73,MATCH((B14+C14)/2,'Curve_Interface'!$K$8:$K$73,1)+1)-VAL_DATE)/360)&lt;=0,0,(1/INDEX('Curve_Interface'!$L$8:$L$73,MATCH((B14+C14)/2,'Curve_Interface'!$K$8:$K$73,1)+1)-1)/((INDEX('Curve_Interface'!$K$8:$K$73,MATCH((B14+C14)/2,'Curve_Interface'!$K$8:$K$73,1)+1)-VAL_DATE)/360)),(1/INDEX('Curve_Interface'!$L$8:$L$73,MATCH((B14+C14)/2,'Curve_Interface'!$K$8:$K$73,1))-1)/((INDEX('Curve_Interface'!$K$8:$K$73,MATCH((B14+C14)/2,'Curve_Interface'!$K$8:$K$73,1))-VAL_DATE)/360)))*IF(((INDEX('Curve_Interface'!$K$8:$K$73,MATCH((B14+C14)/2,'Curve_Interface'!$K$8:$K$73,1)+1)-VAL_DATE)/360)-((INDEX('Curve_Interface'!$K$8:$K$73,MATCH((B14+C14)/2,'Curve_Interface'!$K$8:$K$73,1))-VAL_DATE)/360)=0,0,((((B14+C14)/2-VAL_DATE)/360)-((INDEX('Curve_Interface'!$K$8:$K$73,MATCH((B14+C14)/2,'Curve_Interface'!$K$8:$K$73,1))-VAL_DATE)/360))/(((INDEX('Curve_Interface'!$K$8:$K$73,MATCH((B14+C14)/2,'Curve_Interface'!$K$8:$K$73,1)+1)-VAL_DATE)/360)-((INDEX('Curve_Interface'!$K$8:$K$73,MATCH((B14+C14)/2,'Curve_Interface'!$K$8:$K$73,1))-VAL_DATE)/360))))*(((B14+C14)/2-VAL_DATE)/360))),INDEX('Curve_Interface'!$L$8:$L$73,MATCH((B14+C14)/2,'Curve_Interface'!$K$8:$K$73,1))*(INDEX('Curve_Interface'!$L$8:$L$73,MATCH((B14+C14)/2,'Curve_Interface'!$K$8:$K$73,1)+1)/INDEX('Curve_Interface'!$L$8:$L$73,MATCH((B14+C14)/2,'Curve_Interface'!$K$8:$K$73,1)))^(((B14+C14)/2-INDEX('Curve_Interface'!$K$8:$K$73,MATCH((B14+C14)/2,'Curve_Interface'!$K$8:$K$73,1)))/(INDEX('Curve_Interface'!$K$8:$K$73,MATCH((B14+C14)/2,'Curve_Interface'!$K$8:$K$73,1)+1)-INDEX('Curve_Interface'!$K$8:$K$73,MATCH((B14+C14)/2,'Curve_Interface'!$K$8:$K$73,1))))),INDEX('Curve_Interface'!$L$8:$L$73,MATCH((B14+C14)/2,'Curve_Interface'!$K$8:$K$73,1)))</f>
        <v/>
      </c>
      <c r="I14" s="36">
        <f>INDEX(Hazard_Bootstrap!$D$7:$D$12,MIN(COUNTIF(Hazard_Bootstrap!$B$7:$B$12,"&lt;"&amp;C14)+1,6))</f>
        <v/>
      </c>
      <c r="J14" s="36">
        <f>K13</f>
        <v/>
      </c>
      <c r="K14" s="36">
        <f>J14*EXP(-I14*E14)</f>
        <v/>
      </c>
      <c r="L14" s="36">
        <f>J14-K14</f>
        <v/>
      </c>
      <c r="M14" s="36">
        <f>D14*G14*K14</f>
        <v/>
      </c>
      <c r="N14" s="36">
        <f>(D14/2)*H14*L14</f>
        <v/>
      </c>
      <c r="O14" s="36">
        <f>H14*L14</f>
        <v/>
      </c>
      <c r="Q14" s="137" t="inlineStr">
        <is>
          <t>col N   accrual-on-default factor               (3.5) / O-T (5) 2nd term</t>
        </is>
      </c>
    </row>
    <row r="15">
      <c r="A15" s="43" t="n">
        <v>9</v>
      </c>
      <c r="B15" s="18">
        <f>C14</f>
        <v/>
      </c>
      <c r="C15" s="18">
        <f>EDATE('Curve_Interface'!$F$7,3*8)</f>
        <v/>
      </c>
      <c r="D15" s="34">
        <f>(C15-B15)/360</f>
        <v/>
      </c>
      <c r="E15" s="34">
        <f>(C15-B15)/365</f>
        <v/>
      </c>
      <c r="F15" s="34">
        <f>(C15-VAL_DATE)/365</f>
        <v/>
      </c>
      <c r="G15" s="36">
        <f>IFERROR(IF(Curve_Interface!$J$7="Piecewise Linear (Simple)",IF(((C15-VAL_DATE)/360)&lt;=0,1,1/(1+(IF(((INDEX('Curve_Interface'!$K$8:$K$73,MATCH(C15,'Curve_Interface'!$K$8:$K$73,1))-VAL_DATE)/360)&lt;=0,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,(1/INDEX('Curve_Interface'!$L$8:$L$73,MATCH(C15,'Curve_Interface'!$K$8:$K$73,1))-1)/((INDEX('Curve_Interface'!$K$8:$K$73,MATCH(C15,'Curve_Interface'!$K$8:$K$73,1))-VAL_DATE)/360))+(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-IF(((INDEX('Curve_Interface'!$K$8:$K$73,MATCH(C15,'Curve_Interface'!$K$8:$K$73,1))-VAL_DATE)/360)&lt;=0,IF(((INDEX('Curve_Interface'!$K$8:$K$73,MATCH(C15,'Curve_Interface'!$K$8:$K$73,1)+1)-VAL_DATE)/360)&lt;=0,0,(1/INDEX('Curve_Interface'!$L$8:$L$73,MATCH(C15,'Curve_Interface'!$K$8:$K$73,1)+1)-1)/((INDEX('Curve_Interface'!$K$8:$K$73,MATCH(C15,'Curve_Interface'!$K$8:$K$73,1)+1)-VAL_DATE)/360)),(1/INDEX('Curve_Interface'!$L$8:$L$73,MATCH(C15,'Curve_Interface'!$K$8:$K$73,1))-1)/((INDEX('Curve_Interface'!$K$8:$K$73,MATCH(C15,'Curve_Interface'!$K$8:$K$73,1))-VAL_DATE)/360)))*IF(((INDEX('Curve_Interface'!$K$8:$K$73,MATCH(C15,'Curve_Interface'!$K$8:$K$73,1)+1)-VAL_DATE)/360)-((INDEX('Curve_Interface'!$K$8:$K$73,MATCH(C15,'Curve_Interface'!$K$8:$K$73,1))-VAL_DATE)/360)=0,0,(((C15-VAL_DATE)/360)-((INDEX('Curve_Interface'!$K$8:$K$73,MATCH(C15,'Curve_Interface'!$K$8:$K$73,1))-VAL_DATE)/360))/(((INDEX('Curve_Interface'!$K$8:$K$73,MATCH(C15,'Curve_Interface'!$K$8:$K$73,1)+1)-VAL_DATE)/360)-((INDEX('Curve_Interface'!$K$8:$K$73,MATCH(C15,'Curve_Interface'!$K$8:$K$73,1))-VAL_DATE)/360))))*((C15-VAL_DATE)/360))),INDEX('Curve_Interface'!$L$8:$L$73,MATCH(C15,'Curve_Interface'!$K$8:$K$73,1))*(INDEX('Curve_Interface'!$L$8:$L$73,MATCH(C15,'Curve_Interface'!$K$8:$K$73,1)+1)/INDEX('Curve_Interface'!$L$8:$L$73,MATCH(C15,'Curve_Interface'!$K$8:$K$73,1)))^((C15-INDEX('Curve_Interface'!$K$8:$K$73,MATCH(C15,'Curve_Interface'!$K$8:$K$73,1)))/(INDEX('Curve_Interface'!$K$8:$K$73,MATCH(C15,'Curve_Interface'!$K$8:$K$73,1)+1)-INDEX('Curve_Interface'!$K$8:$K$73,MATCH(C15,'Curve_Interface'!$K$8:$K$73,1))))),INDEX('Curve_Interface'!$L$8:$L$73,MATCH(C15,'Curve_Interface'!$K$8:$K$73,1)))</f>
        <v/>
      </c>
      <c r="H15" s="36">
        <f>IFERROR(IF(Curve_Interface!$J$7="Piecewise Linear (Simple)",IF((((B15+C15)/2-VAL_DATE)/360)&lt;=0,1,1/(1+(IF(((INDEX('Curve_Interface'!$K$8:$K$73,MATCH((B15+C15)/2,'Curve_Interface'!$K$8:$K$73,1))-VAL_DATE)/360)&lt;=0,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,(1/INDEX('Curve_Interface'!$L$8:$L$73,MATCH((B15+C15)/2,'Curve_Interface'!$K$8:$K$73,1))-1)/((INDEX('Curve_Interface'!$K$8:$K$73,MATCH((B15+C15)/2,'Curve_Interface'!$K$8:$K$73,1))-VAL_DATE)/360))+(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-IF(((INDEX('Curve_Interface'!$K$8:$K$73,MATCH((B15+C15)/2,'Curve_Interface'!$K$8:$K$73,1))-VAL_DATE)/360)&lt;=0,IF(((INDEX('Curve_Interface'!$K$8:$K$73,MATCH((B15+C15)/2,'Curve_Interface'!$K$8:$K$73,1)+1)-VAL_DATE)/360)&lt;=0,0,(1/INDEX('Curve_Interface'!$L$8:$L$73,MATCH((B15+C15)/2,'Curve_Interface'!$K$8:$K$73,1)+1)-1)/((INDEX('Curve_Interface'!$K$8:$K$73,MATCH((B15+C15)/2,'Curve_Interface'!$K$8:$K$73,1)+1)-VAL_DATE)/360)),(1/INDEX('Curve_Interface'!$L$8:$L$73,MATCH((B15+C15)/2,'Curve_Interface'!$K$8:$K$73,1))-1)/((INDEX('Curve_Interface'!$K$8:$K$73,MATCH((B15+C15)/2,'Curve_Interface'!$K$8:$K$73,1))-VAL_DATE)/360)))*IF(((INDEX('Curve_Interface'!$K$8:$K$73,MATCH((B15+C15)/2,'Curve_Interface'!$K$8:$K$73,1)+1)-VAL_DATE)/360)-((INDEX('Curve_Interface'!$K$8:$K$73,MATCH((B15+C15)/2,'Curve_Interface'!$K$8:$K$73,1))-VAL_DATE)/360)=0,0,((((B15+C15)/2-VAL_DATE)/360)-((INDEX('Curve_Interface'!$K$8:$K$73,MATCH((B15+C15)/2,'Curve_Interface'!$K$8:$K$73,1))-VAL_DATE)/360))/(((INDEX('Curve_Interface'!$K$8:$K$73,MATCH((B15+C15)/2,'Curve_Interface'!$K$8:$K$73,1)+1)-VAL_DATE)/360)-((INDEX('Curve_Interface'!$K$8:$K$73,MATCH((B15+C15)/2,'Curve_Interface'!$K$8:$K$73,1))-VAL_DATE)/360))))*(((B15+C15)/2-VAL_DATE)/360))),INDEX('Curve_Interface'!$L$8:$L$73,MATCH((B15+C15)/2,'Curve_Interface'!$K$8:$K$73,1))*(INDEX('Curve_Interface'!$L$8:$L$73,MATCH((B15+C15)/2,'Curve_Interface'!$K$8:$K$73,1)+1)/INDEX('Curve_Interface'!$L$8:$L$73,MATCH((B15+C15)/2,'Curve_Interface'!$K$8:$K$73,1)))^(((B15+C15)/2-INDEX('Curve_Interface'!$K$8:$K$73,MATCH((B15+C15)/2,'Curve_Interface'!$K$8:$K$73,1)))/(INDEX('Curve_Interface'!$K$8:$K$73,MATCH((B15+C15)/2,'Curve_Interface'!$K$8:$K$73,1)+1)-INDEX('Curve_Interface'!$K$8:$K$73,MATCH((B15+C15)/2,'Curve_Interface'!$K$8:$K$73,1))))),INDEX('Curve_Interface'!$L$8:$L$73,MATCH((B15+C15)/2,'Curve_Interface'!$K$8:$K$73,1)))</f>
        <v/>
      </c>
      <c r="I15" s="36">
        <f>INDEX(Hazard_Bootstrap!$D$7:$D$12,MIN(COUNTIF(Hazard_Bootstrap!$B$7:$B$12,"&lt;"&amp;C15)+1,6))</f>
        <v/>
      </c>
      <c r="J15" s="36">
        <f>K14</f>
        <v/>
      </c>
      <c r="K15" s="36">
        <f>J15*EXP(-I15*E15)</f>
        <v/>
      </c>
      <c r="L15" s="36">
        <f>J15-K15</f>
        <v/>
      </c>
      <c r="M15" s="36">
        <f>D15*G15*K15</f>
        <v/>
      </c>
      <c r="N15" s="36">
        <f>(D15/2)*H15*L15</f>
        <v/>
      </c>
      <c r="O15" s="36">
        <f>H15*L15</f>
        <v/>
      </c>
      <c r="Q15" s="138" t="inlineStr">
        <is>
          <t xml:space="preserve">        (alpha_i/2) * Z(mid_i) * dPD_i</t>
        </is>
      </c>
    </row>
    <row r="16">
      <c r="A16" s="43" t="n">
        <v>10</v>
      </c>
      <c r="B16" s="18">
        <f>C15</f>
        <v/>
      </c>
      <c r="C16" s="18">
        <f>EDATE('Curve_Interface'!$F$7,3*9)</f>
        <v/>
      </c>
      <c r="D16" s="34">
        <f>(C16-B16)/360</f>
        <v/>
      </c>
      <c r="E16" s="34">
        <f>(C16-B16)/365</f>
        <v/>
      </c>
      <c r="F16" s="34">
        <f>(C16-VAL_DATE)/365</f>
        <v/>
      </c>
      <c r="G16" s="36">
        <f>IFERROR(IF(Curve_Interface!$J$7="Piecewise Linear (Simple)",IF(((C16-VAL_DATE)/360)&lt;=0,1,1/(1+(IF(((INDEX('Curve_Interface'!$K$8:$K$73,MATCH(C16,'Curve_Interface'!$K$8:$K$73,1))-VAL_DATE)/360)&lt;=0,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,(1/INDEX('Curve_Interface'!$L$8:$L$73,MATCH(C16,'Curve_Interface'!$K$8:$K$73,1))-1)/((INDEX('Curve_Interface'!$K$8:$K$73,MATCH(C16,'Curve_Interface'!$K$8:$K$73,1))-VAL_DATE)/360))+(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-IF(((INDEX('Curve_Interface'!$K$8:$K$73,MATCH(C16,'Curve_Interface'!$K$8:$K$73,1))-VAL_DATE)/360)&lt;=0,IF(((INDEX('Curve_Interface'!$K$8:$K$73,MATCH(C16,'Curve_Interface'!$K$8:$K$73,1)+1)-VAL_DATE)/360)&lt;=0,0,(1/INDEX('Curve_Interface'!$L$8:$L$73,MATCH(C16,'Curve_Interface'!$K$8:$K$73,1)+1)-1)/((INDEX('Curve_Interface'!$K$8:$K$73,MATCH(C16,'Curve_Interface'!$K$8:$K$73,1)+1)-VAL_DATE)/360)),(1/INDEX('Curve_Interface'!$L$8:$L$73,MATCH(C16,'Curve_Interface'!$K$8:$K$73,1))-1)/((INDEX('Curve_Interface'!$K$8:$K$73,MATCH(C16,'Curve_Interface'!$K$8:$K$73,1))-VAL_DATE)/360)))*IF(((INDEX('Curve_Interface'!$K$8:$K$73,MATCH(C16,'Curve_Interface'!$K$8:$K$73,1)+1)-VAL_DATE)/360)-((INDEX('Curve_Interface'!$K$8:$K$73,MATCH(C16,'Curve_Interface'!$K$8:$K$73,1))-VAL_DATE)/360)=0,0,(((C16-VAL_DATE)/360)-((INDEX('Curve_Interface'!$K$8:$K$73,MATCH(C16,'Curve_Interface'!$K$8:$K$73,1))-VAL_DATE)/360))/(((INDEX('Curve_Interface'!$K$8:$K$73,MATCH(C16,'Curve_Interface'!$K$8:$K$73,1)+1)-VAL_DATE)/360)-((INDEX('Curve_Interface'!$K$8:$K$73,MATCH(C16,'Curve_Interface'!$K$8:$K$73,1))-VAL_DATE)/360))))*((C16-VAL_DATE)/360))),INDEX('Curve_Interface'!$L$8:$L$73,MATCH(C16,'Curve_Interface'!$K$8:$K$73,1))*(INDEX('Curve_Interface'!$L$8:$L$73,MATCH(C16,'Curve_Interface'!$K$8:$K$73,1)+1)/INDEX('Curve_Interface'!$L$8:$L$73,MATCH(C16,'Curve_Interface'!$K$8:$K$73,1)))^((C16-INDEX('Curve_Interface'!$K$8:$K$73,MATCH(C16,'Curve_Interface'!$K$8:$K$73,1)))/(INDEX('Curve_Interface'!$K$8:$K$73,MATCH(C16,'Curve_Interface'!$K$8:$K$73,1)+1)-INDEX('Curve_Interface'!$K$8:$K$73,MATCH(C16,'Curve_Interface'!$K$8:$K$73,1))))),INDEX('Curve_Interface'!$L$8:$L$73,MATCH(C16,'Curve_Interface'!$K$8:$K$73,1)))</f>
        <v/>
      </c>
      <c r="H16" s="36">
        <f>IFERROR(IF(Curve_Interface!$J$7="Piecewise Linear (Simple)",IF((((B16+C16)/2-VAL_DATE)/360)&lt;=0,1,1/(1+(IF(((INDEX('Curve_Interface'!$K$8:$K$73,MATCH((B16+C16)/2,'Curve_Interface'!$K$8:$K$73,1))-VAL_DATE)/360)&lt;=0,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,(1/INDEX('Curve_Interface'!$L$8:$L$73,MATCH((B16+C16)/2,'Curve_Interface'!$K$8:$K$73,1))-1)/((INDEX('Curve_Interface'!$K$8:$K$73,MATCH((B16+C16)/2,'Curve_Interface'!$K$8:$K$73,1))-VAL_DATE)/360))+(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-IF(((INDEX('Curve_Interface'!$K$8:$K$73,MATCH((B16+C16)/2,'Curve_Interface'!$K$8:$K$73,1))-VAL_DATE)/360)&lt;=0,IF(((INDEX('Curve_Interface'!$K$8:$K$73,MATCH((B16+C16)/2,'Curve_Interface'!$K$8:$K$73,1)+1)-VAL_DATE)/360)&lt;=0,0,(1/INDEX('Curve_Interface'!$L$8:$L$73,MATCH((B16+C16)/2,'Curve_Interface'!$K$8:$K$73,1)+1)-1)/((INDEX('Curve_Interface'!$K$8:$K$73,MATCH((B16+C16)/2,'Curve_Interface'!$K$8:$K$73,1)+1)-VAL_DATE)/360)),(1/INDEX('Curve_Interface'!$L$8:$L$73,MATCH((B16+C16)/2,'Curve_Interface'!$K$8:$K$73,1))-1)/((INDEX('Curve_Interface'!$K$8:$K$73,MATCH((B16+C16)/2,'Curve_Interface'!$K$8:$K$73,1))-VAL_DATE)/360)))*IF(((INDEX('Curve_Interface'!$K$8:$K$73,MATCH((B16+C16)/2,'Curve_Interface'!$K$8:$K$73,1)+1)-VAL_DATE)/360)-((INDEX('Curve_Interface'!$K$8:$K$73,MATCH((B16+C16)/2,'Curve_Interface'!$K$8:$K$73,1))-VAL_DATE)/360)=0,0,((((B16+C16)/2-VAL_DATE)/360)-((INDEX('Curve_Interface'!$K$8:$K$73,MATCH((B16+C16)/2,'Curve_Interface'!$K$8:$K$73,1))-VAL_DATE)/360))/(((INDEX('Curve_Interface'!$K$8:$K$73,MATCH((B16+C16)/2,'Curve_Interface'!$K$8:$K$73,1)+1)-VAL_DATE)/360)-((INDEX('Curve_Interface'!$K$8:$K$73,MATCH((B16+C16)/2,'Curve_Interface'!$K$8:$K$73,1))-VAL_DATE)/360))))*(((B16+C16)/2-VAL_DATE)/360))),INDEX('Curve_Interface'!$L$8:$L$73,MATCH((B16+C16)/2,'Curve_Interface'!$K$8:$K$73,1))*(INDEX('Curve_Interface'!$L$8:$L$73,MATCH((B16+C16)/2,'Curve_Interface'!$K$8:$K$73,1)+1)/INDEX('Curve_Interface'!$L$8:$L$73,MATCH((B16+C16)/2,'Curve_Interface'!$K$8:$K$73,1)))^(((B16+C16)/2-INDEX('Curve_Interface'!$K$8:$K$73,MATCH((B16+C16)/2,'Curve_Interface'!$K$8:$K$73,1)))/(INDEX('Curve_Interface'!$K$8:$K$73,MATCH((B16+C16)/2,'Curve_Interface'!$K$8:$K$73,1)+1)-INDEX('Curve_Interface'!$K$8:$K$73,MATCH((B16+C16)/2,'Curve_Interface'!$K$8:$K$73,1))))),INDEX('Curve_Interface'!$L$8:$L$73,MATCH((B16+C16)/2,'Curve_Interface'!$K$8:$K$73,1)))</f>
        <v/>
      </c>
      <c r="I16" s="36">
        <f>INDEX(Hazard_Bootstrap!$D$7:$D$12,MIN(COUNTIF(Hazard_Bootstrap!$B$7:$B$12,"&lt;"&amp;C16)+1,6))</f>
        <v/>
      </c>
      <c r="J16" s="36">
        <f>K15</f>
        <v/>
      </c>
      <c r="K16" s="36">
        <f>J16*EXP(-I16*E16)</f>
        <v/>
      </c>
      <c r="L16" s="36">
        <f>J16-K16</f>
        <v/>
      </c>
      <c r="M16" s="36">
        <f>D16*G16*K16</f>
        <v/>
      </c>
      <c r="N16" s="36">
        <f>(D16/2)*H16*L16</f>
        <v/>
      </c>
      <c r="O16" s="36">
        <f>H16*L16</f>
        <v/>
      </c>
      <c r="Q16" s="138" t="inlineStr">
        <is>
          <t xml:space="preserve">        = A*C*INT Delta(T_n(t),t) (-dp_s/dt) D(t) dt</t>
        </is>
      </c>
    </row>
    <row r="17">
      <c r="A17" s="43" t="n">
        <v>11</v>
      </c>
      <c r="B17" s="18">
        <f>C16</f>
        <v/>
      </c>
      <c r="C17" s="18">
        <f>EDATE('Curve_Interface'!$F$7,3*10)</f>
        <v/>
      </c>
      <c r="D17" s="34">
        <f>(C17-B17)/360</f>
        <v/>
      </c>
      <c r="E17" s="34">
        <f>(C17-B17)/365</f>
        <v/>
      </c>
      <c r="F17" s="34">
        <f>(C17-VAL_DATE)/365</f>
        <v/>
      </c>
      <c r="G17" s="36">
        <f>IFERROR(IF(Curve_Interface!$J$7="Piecewise Linear (Simple)",IF(((C17-VAL_DATE)/360)&lt;=0,1,1/(1+(IF(((INDEX('Curve_Interface'!$K$8:$K$73,MATCH(C17,'Curve_Interface'!$K$8:$K$73,1))-VAL_DATE)/360)&lt;=0,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,(1/INDEX('Curve_Interface'!$L$8:$L$73,MATCH(C17,'Curve_Interface'!$K$8:$K$73,1))-1)/((INDEX('Curve_Interface'!$K$8:$K$73,MATCH(C17,'Curve_Interface'!$K$8:$K$73,1))-VAL_DATE)/360))+(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-IF(((INDEX('Curve_Interface'!$K$8:$K$73,MATCH(C17,'Curve_Interface'!$K$8:$K$73,1))-VAL_DATE)/360)&lt;=0,IF(((INDEX('Curve_Interface'!$K$8:$K$73,MATCH(C17,'Curve_Interface'!$K$8:$K$73,1)+1)-VAL_DATE)/360)&lt;=0,0,(1/INDEX('Curve_Interface'!$L$8:$L$73,MATCH(C17,'Curve_Interface'!$K$8:$K$73,1)+1)-1)/((INDEX('Curve_Interface'!$K$8:$K$73,MATCH(C17,'Curve_Interface'!$K$8:$K$73,1)+1)-VAL_DATE)/360)),(1/INDEX('Curve_Interface'!$L$8:$L$73,MATCH(C17,'Curve_Interface'!$K$8:$K$73,1))-1)/((INDEX('Curve_Interface'!$K$8:$K$73,MATCH(C17,'Curve_Interface'!$K$8:$K$73,1))-VAL_DATE)/360)))*IF(((INDEX('Curve_Interface'!$K$8:$K$73,MATCH(C17,'Curve_Interface'!$K$8:$K$73,1)+1)-VAL_DATE)/360)-((INDEX('Curve_Interface'!$K$8:$K$73,MATCH(C17,'Curve_Interface'!$K$8:$K$73,1))-VAL_DATE)/360)=0,0,(((C17-VAL_DATE)/360)-((INDEX('Curve_Interface'!$K$8:$K$73,MATCH(C17,'Curve_Interface'!$K$8:$K$73,1))-VAL_DATE)/360))/(((INDEX('Curve_Interface'!$K$8:$K$73,MATCH(C17,'Curve_Interface'!$K$8:$K$73,1)+1)-VAL_DATE)/360)-((INDEX('Curve_Interface'!$K$8:$K$73,MATCH(C17,'Curve_Interface'!$K$8:$K$73,1))-VAL_DATE)/360))))*((C17-VAL_DATE)/360))),INDEX('Curve_Interface'!$L$8:$L$73,MATCH(C17,'Curve_Interface'!$K$8:$K$73,1))*(INDEX('Curve_Interface'!$L$8:$L$73,MATCH(C17,'Curve_Interface'!$K$8:$K$73,1)+1)/INDEX('Curve_Interface'!$L$8:$L$73,MATCH(C17,'Curve_Interface'!$K$8:$K$73,1)))^((C17-INDEX('Curve_Interface'!$K$8:$K$73,MATCH(C17,'Curve_Interface'!$K$8:$K$73,1)))/(INDEX('Curve_Interface'!$K$8:$K$73,MATCH(C17,'Curve_Interface'!$K$8:$K$73,1)+1)-INDEX('Curve_Interface'!$K$8:$K$73,MATCH(C17,'Curve_Interface'!$K$8:$K$73,1))))),INDEX('Curve_Interface'!$L$8:$L$73,MATCH(C17,'Curve_Interface'!$K$8:$K$73,1)))</f>
        <v/>
      </c>
      <c r="H17" s="36">
        <f>IFERROR(IF(Curve_Interface!$J$7="Piecewise Linear (Simple)",IF((((B17+C17)/2-VAL_DATE)/360)&lt;=0,1,1/(1+(IF(((INDEX('Curve_Interface'!$K$8:$K$73,MATCH((B17+C17)/2,'Curve_Interface'!$K$8:$K$73,1))-VAL_DATE)/360)&lt;=0,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,(1/INDEX('Curve_Interface'!$L$8:$L$73,MATCH((B17+C17)/2,'Curve_Interface'!$K$8:$K$73,1))-1)/((INDEX('Curve_Interface'!$K$8:$K$73,MATCH((B17+C17)/2,'Curve_Interface'!$K$8:$K$73,1))-VAL_DATE)/360))+(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-IF(((INDEX('Curve_Interface'!$K$8:$K$73,MATCH((B17+C17)/2,'Curve_Interface'!$K$8:$K$73,1))-VAL_DATE)/360)&lt;=0,IF(((INDEX('Curve_Interface'!$K$8:$K$73,MATCH((B17+C17)/2,'Curve_Interface'!$K$8:$K$73,1)+1)-VAL_DATE)/360)&lt;=0,0,(1/INDEX('Curve_Interface'!$L$8:$L$73,MATCH((B17+C17)/2,'Curve_Interface'!$K$8:$K$73,1)+1)-1)/((INDEX('Curve_Interface'!$K$8:$K$73,MATCH((B17+C17)/2,'Curve_Interface'!$K$8:$K$73,1)+1)-VAL_DATE)/360)),(1/INDEX('Curve_Interface'!$L$8:$L$73,MATCH((B17+C17)/2,'Curve_Interface'!$K$8:$K$73,1))-1)/((INDEX('Curve_Interface'!$K$8:$K$73,MATCH((B17+C17)/2,'Curve_Interface'!$K$8:$K$73,1))-VAL_DATE)/360)))*IF(((INDEX('Curve_Interface'!$K$8:$K$73,MATCH((B17+C17)/2,'Curve_Interface'!$K$8:$K$73,1)+1)-VAL_DATE)/360)-((INDEX('Curve_Interface'!$K$8:$K$73,MATCH((B17+C17)/2,'Curve_Interface'!$K$8:$K$73,1))-VAL_DATE)/360)=0,0,((((B17+C17)/2-VAL_DATE)/360)-((INDEX('Curve_Interface'!$K$8:$K$73,MATCH((B17+C17)/2,'Curve_Interface'!$K$8:$K$73,1))-VAL_DATE)/360))/(((INDEX('Curve_Interface'!$K$8:$K$73,MATCH((B17+C17)/2,'Curve_Interface'!$K$8:$K$73,1)+1)-VAL_DATE)/360)-((INDEX('Curve_Interface'!$K$8:$K$73,MATCH((B17+C17)/2,'Curve_Interface'!$K$8:$K$73,1))-VAL_DATE)/360))))*(((B17+C17)/2-VAL_DATE)/360))),INDEX('Curve_Interface'!$L$8:$L$73,MATCH((B17+C17)/2,'Curve_Interface'!$K$8:$K$73,1))*(INDEX('Curve_Interface'!$L$8:$L$73,MATCH((B17+C17)/2,'Curve_Interface'!$K$8:$K$73,1)+1)/INDEX('Curve_Interface'!$L$8:$L$73,MATCH((B17+C17)/2,'Curve_Interface'!$K$8:$K$73,1)))^(((B17+C17)/2-INDEX('Curve_Interface'!$K$8:$K$73,MATCH((B17+C17)/2,'Curve_Interface'!$K$8:$K$73,1)))/(INDEX('Curve_Interface'!$K$8:$K$73,MATCH((B17+C17)/2,'Curve_Interface'!$K$8:$K$73,1)+1)-INDEX('Curve_Interface'!$K$8:$K$73,MATCH((B17+C17)/2,'Curve_Interface'!$K$8:$K$73,1))))),INDEX('Curve_Interface'!$L$8:$L$73,MATCH((B17+C17)/2,'Curve_Interface'!$K$8:$K$73,1)))</f>
        <v/>
      </c>
      <c r="I17" s="36">
        <f>INDEX(Hazard_Bootstrap!$D$7:$D$12,MIN(COUNTIF(Hazard_Bootstrap!$B$7:$B$12,"&lt;"&amp;C17)+1,6))</f>
        <v/>
      </c>
      <c r="J17" s="36">
        <f>K16</f>
        <v/>
      </c>
      <c r="K17" s="36">
        <f>J17*EXP(-I17*E17)</f>
        <v/>
      </c>
      <c r="L17" s="36">
        <f>J17-K17</f>
        <v/>
      </c>
      <c r="M17" s="36">
        <f>D17*G17*K17</f>
        <v/>
      </c>
      <c r="N17" s="36">
        <f>(D17/2)*H17*L17</f>
        <v/>
      </c>
      <c r="O17" s="36">
        <f>H17*L17</f>
        <v/>
      </c>
      <c r="Q17" s="139" t="inlineStr">
        <is>
          <t xml:space="preserve">        Z at the MIDPOINT, not the pay date: (3.5) integrates D(t) at</t>
        </is>
      </c>
    </row>
    <row r="18">
      <c r="A18" s="43" t="n">
        <v>12</v>
      </c>
      <c r="B18" s="18">
        <f>C17</f>
        <v/>
      </c>
      <c r="C18" s="18">
        <f>EDATE('Curve_Interface'!$F$7,3*11)</f>
        <v/>
      </c>
      <c r="D18" s="34">
        <f>(C18-B18)/360</f>
        <v/>
      </c>
      <c r="E18" s="34">
        <f>(C18-B18)/365</f>
        <v/>
      </c>
      <c r="F18" s="34">
        <f>(C18-VAL_DATE)/365</f>
        <v/>
      </c>
      <c r="G18" s="36">
        <f>IFERROR(IF(Curve_Interface!$J$7="Piecewise Linear (Simple)",IF(((C18-VAL_DATE)/360)&lt;=0,1,1/(1+(IF(((INDEX('Curve_Interface'!$K$8:$K$73,MATCH(C18,'Curve_Interface'!$K$8:$K$73,1))-VAL_DATE)/360)&lt;=0,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,(1/INDEX('Curve_Interface'!$L$8:$L$73,MATCH(C18,'Curve_Interface'!$K$8:$K$73,1))-1)/((INDEX('Curve_Interface'!$K$8:$K$73,MATCH(C18,'Curve_Interface'!$K$8:$K$73,1))-VAL_DATE)/360))+(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-IF(((INDEX('Curve_Interface'!$K$8:$K$73,MATCH(C18,'Curve_Interface'!$K$8:$K$73,1))-VAL_DATE)/360)&lt;=0,IF(((INDEX('Curve_Interface'!$K$8:$K$73,MATCH(C18,'Curve_Interface'!$K$8:$K$73,1)+1)-VAL_DATE)/360)&lt;=0,0,(1/INDEX('Curve_Interface'!$L$8:$L$73,MATCH(C18,'Curve_Interface'!$K$8:$K$73,1)+1)-1)/((INDEX('Curve_Interface'!$K$8:$K$73,MATCH(C18,'Curve_Interface'!$K$8:$K$73,1)+1)-VAL_DATE)/360)),(1/INDEX('Curve_Interface'!$L$8:$L$73,MATCH(C18,'Curve_Interface'!$K$8:$K$73,1))-1)/((INDEX('Curve_Interface'!$K$8:$K$73,MATCH(C18,'Curve_Interface'!$K$8:$K$73,1))-VAL_DATE)/360)))*IF(((INDEX('Curve_Interface'!$K$8:$K$73,MATCH(C18,'Curve_Interface'!$K$8:$K$73,1)+1)-VAL_DATE)/360)-((INDEX('Curve_Interface'!$K$8:$K$73,MATCH(C18,'Curve_Interface'!$K$8:$K$73,1))-VAL_DATE)/360)=0,0,(((C18-VAL_DATE)/360)-((INDEX('Curve_Interface'!$K$8:$K$73,MATCH(C18,'Curve_Interface'!$K$8:$K$73,1))-VAL_DATE)/360))/(((INDEX('Curve_Interface'!$K$8:$K$73,MATCH(C18,'Curve_Interface'!$K$8:$K$73,1)+1)-VAL_DATE)/360)-((INDEX('Curve_Interface'!$K$8:$K$73,MATCH(C18,'Curve_Interface'!$K$8:$K$73,1))-VAL_DATE)/360))))*((C18-VAL_DATE)/360))),INDEX('Curve_Interface'!$L$8:$L$73,MATCH(C18,'Curve_Interface'!$K$8:$K$73,1))*(INDEX('Curve_Interface'!$L$8:$L$73,MATCH(C18,'Curve_Interface'!$K$8:$K$73,1)+1)/INDEX('Curve_Interface'!$L$8:$L$73,MATCH(C18,'Curve_Interface'!$K$8:$K$73,1)))^((C18-INDEX('Curve_Interface'!$K$8:$K$73,MATCH(C18,'Curve_Interface'!$K$8:$K$73,1)))/(INDEX('Curve_Interface'!$K$8:$K$73,MATCH(C18,'Curve_Interface'!$K$8:$K$73,1)+1)-INDEX('Curve_Interface'!$K$8:$K$73,MATCH(C18,'Curve_Interface'!$K$8:$K$73,1))))),INDEX('Curve_Interface'!$L$8:$L$73,MATCH(C18,'Curve_Interface'!$K$8:$K$73,1)))</f>
        <v/>
      </c>
      <c r="H18" s="36">
        <f>IFERROR(IF(Curve_Interface!$J$7="Piecewise Linear (Simple)",IF((((B18+C18)/2-VAL_DATE)/360)&lt;=0,1,1/(1+(IF(((INDEX('Curve_Interface'!$K$8:$K$73,MATCH((B18+C18)/2,'Curve_Interface'!$K$8:$K$73,1))-VAL_DATE)/360)&lt;=0,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,(1/INDEX('Curve_Interface'!$L$8:$L$73,MATCH((B18+C18)/2,'Curve_Interface'!$K$8:$K$73,1))-1)/((INDEX('Curve_Interface'!$K$8:$K$73,MATCH((B18+C18)/2,'Curve_Interface'!$K$8:$K$73,1))-VAL_DATE)/360))+(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-IF(((INDEX('Curve_Interface'!$K$8:$K$73,MATCH((B18+C18)/2,'Curve_Interface'!$K$8:$K$73,1))-VAL_DATE)/360)&lt;=0,IF(((INDEX('Curve_Interface'!$K$8:$K$73,MATCH((B18+C18)/2,'Curve_Interface'!$K$8:$K$73,1)+1)-VAL_DATE)/360)&lt;=0,0,(1/INDEX('Curve_Interface'!$L$8:$L$73,MATCH((B18+C18)/2,'Curve_Interface'!$K$8:$K$73,1)+1)-1)/((INDEX('Curve_Interface'!$K$8:$K$73,MATCH((B18+C18)/2,'Curve_Interface'!$K$8:$K$73,1)+1)-VAL_DATE)/360)),(1/INDEX('Curve_Interface'!$L$8:$L$73,MATCH((B18+C18)/2,'Curve_Interface'!$K$8:$K$73,1))-1)/((INDEX('Curve_Interface'!$K$8:$K$73,MATCH((B18+C18)/2,'Curve_Interface'!$K$8:$K$73,1))-VAL_DATE)/360)))*IF(((INDEX('Curve_Interface'!$K$8:$K$73,MATCH((B18+C18)/2,'Curve_Interface'!$K$8:$K$73,1)+1)-VAL_DATE)/360)-((INDEX('Curve_Interface'!$K$8:$K$73,MATCH((B18+C18)/2,'Curve_Interface'!$K$8:$K$73,1))-VAL_DATE)/360)=0,0,((((B18+C18)/2-VAL_DATE)/360)-((INDEX('Curve_Interface'!$K$8:$K$73,MATCH((B18+C18)/2,'Curve_Interface'!$K$8:$K$73,1))-VAL_DATE)/360))/(((INDEX('Curve_Interface'!$K$8:$K$73,MATCH((B18+C18)/2,'Curve_Interface'!$K$8:$K$73,1)+1)-VAL_DATE)/360)-((INDEX('Curve_Interface'!$K$8:$K$73,MATCH((B18+C18)/2,'Curve_Interface'!$K$8:$K$73,1))-VAL_DATE)/360))))*(((B18+C18)/2-VAL_DATE)/360))),INDEX('Curve_Interface'!$L$8:$L$73,MATCH((B18+C18)/2,'Curve_Interface'!$K$8:$K$73,1))*(INDEX('Curve_Interface'!$L$8:$L$73,MATCH((B18+C18)/2,'Curve_Interface'!$K$8:$K$73,1)+1)/INDEX('Curve_Interface'!$L$8:$L$73,MATCH((B18+C18)/2,'Curve_Interface'!$K$8:$K$73,1)))^(((B18+C18)/2-INDEX('Curve_Interface'!$K$8:$K$73,MATCH((B18+C18)/2,'Curve_Interface'!$K$8:$K$73,1)))/(INDEX('Curve_Interface'!$K$8:$K$73,MATCH((B18+C18)/2,'Curve_Interface'!$K$8:$K$73,1)+1)-INDEX('Curve_Interface'!$K$8:$K$73,MATCH((B18+C18)/2,'Curve_Interface'!$K$8:$K$73,1))))),INDEX('Curve_Interface'!$L$8:$L$73,MATCH((B18+C18)/2,'Curve_Interface'!$K$8:$K$73,1)))</f>
        <v/>
      </c>
      <c r="I18" s="36">
        <f>INDEX(Hazard_Bootstrap!$D$7:$D$12,MIN(COUNTIF(Hazard_Bootstrap!$B$7:$B$12,"&lt;"&amp;C18)+1,6))</f>
        <v/>
      </c>
      <c r="J18" s="36">
        <f>K17</f>
        <v/>
      </c>
      <c r="K18" s="36">
        <f>J18*EXP(-I18*E18)</f>
        <v/>
      </c>
      <c r="L18" s="36">
        <f>J18-K18</f>
        <v/>
      </c>
      <c r="M18" s="36">
        <f>D18*G18*K18</f>
        <v/>
      </c>
      <c r="N18" s="36">
        <f>(D18/2)*H18*L18</f>
        <v/>
      </c>
      <c r="O18" s="36">
        <f>H18*L18</f>
        <v/>
      </c>
      <c r="Q18" s="139" t="inlineStr">
        <is>
          <t xml:space="preserve">        the default time. Z(mid) is 140x closer to it than O-T's Z(t_n).</t>
        </is>
      </c>
    </row>
    <row r="19">
      <c r="A19" s="43" t="n">
        <v>13</v>
      </c>
      <c r="B19" s="18">
        <f>C18</f>
        <v/>
      </c>
      <c r="C19" s="18">
        <f>EDATE('Curve_Interface'!$F$7,3*12)</f>
        <v/>
      </c>
      <c r="D19" s="34">
        <f>(C19-B19)/360</f>
        <v/>
      </c>
      <c r="E19" s="34">
        <f>(C19-B19)/365</f>
        <v/>
      </c>
      <c r="F19" s="34">
        <f>(C19-VAL_DATE)/365</f>
        <v/>
      </c>
      <c r="G19" s="36">
        <f>IFERROR(IF(Curve_Interface!$J$7="Piecewise Linear (Simple)",IF(((C19-VAL_DATE)/360)&lt;=0,1,1/(1+(IF(((INDEX('Curve_Interface'!$K$8:$K$73,MATCH(C19,'Curve_Interface'!$K$8:$K$73,1))-VAL_DATE)/360)&lt;=0,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,(1/INDEX('Curve_Interface'!$L$8:$L$73,MATCH(C19,'Curve_Interface'!$K$8:$K$73,1))-1)/((INDEX('Curve_Interface'!$K$8:$K$73,MATCH(C19,'Curve_Interface'!$K$8:$K$73,1))-VAL_DATE)/360))+(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-IF(((INDEX('Curve_Interface'!$K$8:$K$73,MATCH(C19,'Curve_Interface'!$K$8:$K$73,1))-VAL_DATE)/360)&lt;=0,IF(((INDEX('Curve_Interface'!$K$8:$K$73,MATCH(C19,'Curve_Interface'!$K$8:$K$73,1)+1)-VAL_DATE)/360)&lt;=0,0,(1/INDEX('Curve_Interface'!$L$8:$L$73,MATCH(C19,'Curve_Interface'!$K$8:$K$73,1)+1)-1)/((INDEX('Curve_Interface'!$K$8:$K$73,MATCH(C19,'Curve_Interface'!$K$8:$K$73,1)+1)-VAL_DATE)/360)),(1/INDEX('Curve_Interface'!$L$8:$L$73,MATCH(C19,'Curve_Interface'!$K$8:$K$73,1))-1)/((INDEX('Curve_Interface'!$K$8:$K$73,MATCH(C19,'Curve_Interface'!$K$8:$K$73,1))-VAL_DATE)/360)))*IF(((INDEX('Curve_Interface'!$K$8:$K$73,MATCH(C19,'Curve_Interface'!$K$8:$K$73,1)+1)-VAL_DATE)/360)-((INDEX('Curve_Interface'!$K$8:$K$73,MATCH(C19,'Curve_Interface'!$K$8:$K$73,1))-VAL_DATE)/360)=0,0,(((C19-VAL_DATE)/360)-((INDEX('Curve_Interface'!$K$8:$K$73,MATCH(C19,'Curve_Interface'!$K$8:$K$73,1))-VAL_DATE)/360))/(((INDEX('Curve_Interface'!$K$8:$K$73,MATCH(C19,'Curve_Interface'!$K$8:$K$73,1)+1)-VAL_DATE)/360)-((INDEX('Curve_Interface'!$K$8:$K$73,MATCH(C19,'Curve_Interface'!$K$8:$K$73,1))-VAL_DATE)/360))))*((C19-VAL_DATE)/360))),INDEX('Curve_Interface'!$L$8:$L$73,MATCH(C19,'Curve_Interface'!$K$8:$K$73,1))*(INDEX('Curve_Interface'!$L$8:$L$73,MATCH(C19,'Curve_Interface'!$K$8:$K$73,1)+1)/INDEX('Curve_Interface'!$L$8:$L$73,MATCH(C19,'Curve_Interface'!$K$8:$K$73,1)))^((C19-INDEX('Curve_Interface'!$K$8:$K$73,MATCH(C19,'Curve_Interface'!$K$8:$K$73,1)))/(INDEX('Curve_Interface'!$K$8:$K$73,MATCH(C19,'Curve_Interface'!$K$8:$K$73,1)+1)-INDEX('Curve_Interface'!$K$8:$K$73,MATCH(C19,'Curve_Interface'!$K$8:$K$73,1))))),INDEX('Curve_Interface'!$L$8:$L$73,MATCH(C19,'Curve_Interface'!$K$8:$K$73,1)))</f>
        <v/>
      </c>
      <c r="H19" s="36">
        <f>IFERROR(IF(Curve_Interface!$J$7="Piecewise Linear (Simple)",IF((((B19+C19)/2-VAL_DATE)/360)&lt;=0,1,1/(1+(IF(((INDEX('Curve_Interface'!$K$8:$K$73,MATCH((B19+C19)/2,'Curve_Interface'!$K$8:$K$73,1))-VAL_DATE)/360)&lt;=0,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,(1/INDEX('Curve_Interface'!$L$8:$L$73,MATCH((B19+C19)/2,'Curve_Interface'!$K$8:$K$73,1))-1)/((INDEX('Curve_Interface'!$K$8:$K$73,MATCH((B19+C19)/2,'Curve_Interface'!$K$8:$K$73,1))-VAL_DATE)/360))+(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-IF(((INDEX('Curve_Interface'!$K$8:$K$73,MATCH((B19+C19)/2,'Curve_Interface'!$K$8:$K$73,1))-VAL_DATE)/360)&lt;=0,IF(((INDEX('Curve_Interface'!$K$8:$K$73,MATCH((B19+C19)/2,'Curve_Interface'!$K$8:$K$73,1)+1)-VAL_DATE)/360)&lt;=0,0,(1/INDEX('Curve_Interface'!$L$8:$L$73,MATCH((B19+C19)/2,'Curve_Interface'!$K$8:$K$73,1)+1)-1)/((INDEX('Curve_Interface'!$K$8:$K$73,MATCH((B19+C19)/2,'Curve_Interface'!$K$8:$K$73,1)+1)-VAL_DATE)/360)),(1/INDEX('Curve_Interface'!$L$8:$L$73,MATCH((B19+C19)/2,'Curve_Interface'!$K$8:$K$73,1))-1)/((INDEX('Curve_Interface'!$K$8:$K$73,MATCH((B19+C19)/2,'Curve_Interface'!$K$8:$K$73,1))-VAL_DATE)/360)))*IF(((INDEX('Curve_Interface'!$K$8:$K$73,MATCH((B19+C19)/2,'Curve_Interface'!$K$8:$K$73,1)+1)-VAL_DATE)/360)-((INDEX('Curve_Interface'!$K$8:$K$73,MATCH((B19+C19)/2,'Curve_Interface'!$K$8:$K$73,1))-VAL_DATE)/360)=0,0,((((B19+C19)/2-VAL_DATE)/360)-((INDEX('Curve_Interface'!$K$8:$K$73,MATCH((B19+C19)/2,'Curve_Interface'!$K$8:$K$73,1))-VAL_DATE)/360))/(((INDEX('Curve_Interface'!$K$8:$K$73,MATCH((B19+C19)/2,'Curve_Interface'!$K$8:$K$73,1)+1)-VAL_DATE)/360)-((INDEX('Curve_Interface'!$K$8:$K$73,MATCH((B19+C19)/2,'Curve_Interface'!$K$8:$K$73,1))-VAL_DATE)/360))))*(((B19+C19)/2-VAL_DATE)/360))),INDEX('Curve_Interface'!$L$8:$L$73,MATCH((B19+C19)/2,'Curve_Interface'!$K$8:$K$73,1))*(INDEX('Curve_Interface'!$L$8:$L$73,MATCH((B19+C19)/2,'Curve_Interface'!$K$8:$K$73,1)+1)/INDEX('Curve_Interface'!$L$8:$L$73,MATCH((B19+C19)/2,'Curve_Interface'!$K$8:$K$73,1)))^(((B19+C19)/2-INDEX('Curve_Interface'!$K$8:$K$73,MATCH((B19+C19)/2,'Curve_Interface'!$K$8:$K$73,1)))/(INDEX('Curve_Interface'!$K$8:$K$73,MATCH((B19+C19)/2,'Curve_Interface'!$K$8:$K$73,1)+1)-INDEX('Curve_Interface'!$K$8:$K$73,MATCH((B19+C19)/2,'Curve_Interface'!$K$8:$K$73,1))))),INDEX('Curve_Interface'!$L$8:$L$73,MATCH((B19+C19)/2,'Curve_Interface'!$K$8:$K$73,1)))</f>
        <v/>
      </c>
      <c r="I19" s="36">
        <f>INDEX(Hazard_Bootstrap!$D$7:$D$12,MIN(COUNTIF(Hazard_Bootstrap!$B$7:$B$12,"&lt;"&amp;C19)+1,6))</f>
        <v/>
      </c>
      <c r="J19" s="36">
        <f>K18</f>
        <v/>
      </c>
      <c r="K19" s="36">
        <f>J19*EXP(-I19*E19)</f>
        <v/>
      </c>
      <c r="L19" s="36">
        <f>J19-K19</f>
        <v/>
      </c>
      <c r="M19" s="36">
        <f>D19*G19*K19</f>
        <v/>
      </c>
      <c r="N19" s="36">
        <f>(D19/2)*H19*L19</f>
        <v/>
      </c>
      <c r="O19" s="36">
        <f>H19*L19</f>
        <v/>
      </c>
      <c r="Q19" s="139" t="inlineStr">
        <is>
          <t xml:space="preserve">        See CLAUDE.md D5.</t>
        </is>
      </c>
    </row>
    <row r="20">
      <c r="A20" s="43" t="n">
        <v>14</v>
      </c>
      <c r="B20" s="18">
        <f>C19</f>
        <v/>
      </c>
      <c r="C20" s="18">
        <f>EDATE('Curve_Interface'!$F$7,3*13)</f>
        <v/>
      </c>
      <c r="D20" s="34">
        <f>(C20-B20)/360</f>
        <v/>
      </c>
      <c r="E20" s="34">
        <f>(C20-B20)/365</f>
        <v/>
      </c>
      <c r="F20" s="34">
        <f>(C20-VAL_DATE)/365</f>
        <v/>
      </c>
      <c r="G20" s="36">
        <f>IFERROR(IF(Curve_Interface!$J$7="Piecewise Linear (Simple)",IF(((C20-VAL_DATE)/360)&lt;=0,1,1/(1+(IF(((INDEX('Curve_Interface'!$K$8:$K$73,MATCH(C20,'Curve_Interface'!$K$8:$K$73,1))-VAL_DATE)/360)&lt;=0,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,(1/INDEX('Curve_Interface'!$L$8:$L$73,MATCH(C20,'Curve_Interface'!$K$8:$K$73,1))-1)/((INDEX('Curve_Interface'!$K$8:$K$73,MATCH(C20,'Curve_Interface'!$K$8:$K$73,1))-VAL_DATE)/360))+(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-IF(((INDEX('Curve_Interface'!$K$8:$K$73,MATCH(C20,'Curve_Interface'!$K$8:$K$73,1))-VAL_DATE)/360)&lt;=0,IF(((INDEX('Curve_Interface'!$K$8:$K$73,MATCH(C20,'Curve_Interface'!$K$8:$K$73,1)+1)-VAL_DATE)/360)&lt;=0,0,(1/INDEX('Curve_Interface'!$L$8:$L$73,MATCH(C20,'Curve_Interface'!$K$8:$K$73,1)+1)-1)/((INDEX('Curve_Interface'!$K$8:$K$73,MATCH(C20,'Curve_Interface'!$K$8:$K$73,1)+1)-VAL_DATE)/360)),(1/INDEX('Curve_Interface'!$L$8:$L$73,MATCH(C20,'Curve_Interface'!$K$8:$K$73,1))-1)/((INDEX('Curve_Interface'!$K$8:$K$73,MATCH(C20,'Curve_Interface'!$K$8:$K$73,1))-VAL_DATE)/360)))*IF(((INDEX('Curve_Interface'!$K$8:$K$73,MATCH(C20,'Curve_Interface'!$K$8:$K$73,1)+1)-VAL_DATE)/360)-((INDEX('Curve_Interface'!$K$8:$K$73,MATCH(C20,'Curve_Interface'!$K$8:$K$73,1))-VAL_DATE)/360)=0,0,(((C20-VAL_DATE)/360)-((INDEX('Curve_Interface'!$K$8:$K$73,MATCH(C20,'Curve_Interface'!$K$8:$K$73,1))-VAL_DATE)/360))/(((INDEX('Curve_Interface'!$K$8:$K$73,MATCH(C20,'Curve_Interface'!$K$8:$K$73,1)+1)-VAL_DATE)/360)-((INDEX('Curve_Interface'!$K$8:$K$73,MATCH(C20,'Curve_Interface'!$K$8:$K$73,1))-VAL_DATE)/360))))*((C20-VAL_DATE)/360))),INDEX('Curve_Interface'!$L$8:$L$73,MATCH(C20,'Curve_Interface'!$K$8:$K$73,1))*(INDEX('Curve_Interface'!$L$8:$L$73,MATCH(C20,'Curve_Interface'!$K$8:$K$73,1)+1)/INDEX('Curve_Interface'!$L$8:$L$73,MATCH(C20,'Curve_Interface'!$K$8:$K$73,1)))^((C20-INDEX('Curve_Interface'!$K$8:$K$73,MATCH(C20,'Curve_Interface'!$K$8:$K$73,1)))/(INDEX('Curve_Interface'!$K$8:$K$73,MATCH(C20,'Curve_Interface'!$K$8:$K$73,1)+1)-INDEX('Curve_Interface'!$K$8:$K$73,MATCH(C20,'Curve_Interface'!$K$8:$K$73,1))))),INDEX('Curve_Interface'!$L$8:$L$73,MATCH(C20,'Curve_Interface'!$K$8:$K$73,1)))</f>
        <v/>
      </c>
      <c r="H20" s="36">
        <f>IFERROR(IF(Curve_Interface!$J$7="Piecewise Linear (Simple)",IF((((B20+C20)/2-VAL_DATE)/360)&lt;=0,1,1/(1+(IF(((INDEX('Curve_Interface'!$K$8:$K$73,MATCH((B20+C20)/2,'Curve_Interface'!$K$8:$K$73,1))-VAL_DATE)/360)&lt;=0,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,(1/INDEX('Curve_Interface'!$L$8:$L$73,MATCH((B20+C20)/2,'Curve_Interface'!$K$8:$K$73,1))-1)/((INDEX('Curve_Interface'!$K$8:$K$73,MATCH((B20+C20)/2,'Curve_Interface'!$K$8:$K$73,1))-VAL_DATE)/360))+(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-IF(((INDEX('Curve_Interface'!$K$8:$K$73,MATCH((B20+C20)/2,'Curve_Interface'!$K$8:$K$73,1))-VAL_DATE)/360)&lt;=0,IF(((INDEX('Curve_Interface'!$K$8:$K$73,MATCH((B20+C20)/2,'Curve_Interface'!$K$8:$K$73,1)+1)-VAL_DATE)/360)&lt;=0,0,(1/INDEX('Curve_Interface'!$L$8:$L$73,MATCH((B20+C20)/2,'Curve_Interface'!$K$8:$K$73,1)+1)-1)/((INDEX('Curve_Interface'!$K$8:$K$73,MATCH((B20+C20)/2,'Curve_Interface'!$K$8:$K$73,1)+1)-VAL_DATE)/360)),(1/INDEX('Curve_Interface'!$L$8:$L$73,MATCH((B20+C20)/2,'Curve_Interface'!$K$8:$K$73,1))-1)/((INDEX('Curve_Interface'!$K$8:$K$73,MATCH((B20+C20)/2,'Curve_Interface'!$K$8:$K$73,1))-VAL_DATE)/360)))*IF(((INDEX('Curve_Interface'!$K$8:$K$73,MATCH((B20+C20)/2,'Curve_Interface'!$K$8:$K$73,1)+1)-VAL_DATE)/360)-((INDEX('Curve_Interface'!$K$8:$K$73,MATCH((B20+C20)/2,'Curve_Interface'!$K$8:$K$73,1))-VAL_DATE)/360)=0,0,((((B20+C20)/2-VAL_DATE)/360)-((INDEX('Curve_Interface'!$K$8:$K$73,MATCH((B20+C20)/2,'Curve_Interface'!$K$8:$K$73,1))-VAL_DATE)/360))/(((INDEX('Curve_Interface'!$K$8:$K$73,MATCH((B20+C20)/2,'Curve_Interface'!$K$8:$K$73,1)+1)-VAL_DATE)/360)-((INDEX('Curve_Interface'!$K$8:$K$73,MATCH((B20+C20)/2,'Curve_Interface'!$K$8:$K$73,1))-VAL_DATE)/360))))*(((B20+C20)/2-VAL_DATE)/360))),INDEX('Curve_Interface'!$L$8:$L$73,MATCH((B20+C20)/2,'Curve_Interface'!$K$8:$K$73,1))*(INDEX('Curve_Interface'!$L$8:$L$73,MATCH((B20+C20)/2,'Curve_Interface'!$K$8:$K$73,1)+1)/INDEX('Curve_Interface'!$L$8:$L$73,MATCH((B20+C20)/2,'Curve_Interface'!$K$8:$K$73,1)))^(((B20+C20)/2-INDEX('Curve_Interface'!$K$8:$K$73,MATCH((B20+C20)/2,'Curve_Interface'!$K$8:$K$73,1)))/(INDEX('Curve_Interface'!$K$8:$K$73,MATCH((B20+C20)/2,'Curve_Interface'!$K$8:$K$73,1)+1)-INDEX('Curve_Interface'!$K$8:$K$73,MATCH((B20+C20)/2,'Curve_Interface'!$K$8:$K$73,1))))),INDEX('Curve_Interface'!$L$8:$L$73,MATCH((B20+C20)/2,'Curve_Interface'!$K$8:$K$73,1)))</f>
        <v/>
      </c>
      <c r="I20" s="36">
        <f>INDEX(Hazard_Bootstrap!$D$7:$D$12,MIN(COUNTIF(Hazard_Bootstrap!$B$7:$B$12,"&lt;"&amp;C20)+1,6))</f>
        <v/>
      </c>
      <c r="J20" s="36">
        <f>K19</f>
        <v/>
      </c>
      <c r="K20" s="36">
        <f>J20*EXP(-I20*E20)</f>
        <v/>
      </c>
      <c r="L20" s="36">
        <f>J20-K20</f>
        <v/>
      </c>
      <c r="M20" s="36">
        <f>D20*G20*K20</f>
        <v/>
      </c>
      <c r="N20" s="36">
        <f>(D20/2)*H20*L20</f>
        <v/>
      </c>
      <c r="O20" s="36">
        <f>H20*L20</f>
        <v/>
      </c>
      <c r="Q20" s="137" t="n"/>
    </row>
    <row r="21">
      <c r="A21" s="43" t="n">
        <v>15</v>
      </c>
      <c r="B21" s="18">
        <f>C20</f>
        <v/>
      </c>
      <c r="C21" s="18">
        <f>EDATE('Curve_Interface'!$F$7,3*14)</f>
        <v/>
      </c>
      <c r="D21" s="34">
        <f>(C21-B21)/360</f>
        <v/>
      </c>
      <c r="E21" s="34">
        <f>(C21-B21)/365</f>
        <v/>
      </c>
      <c r="F21" s="34">
        <f>(C21-VAL_DATE)/365</f>
        <v/>
      </c>
      <c r="G21" s="36">
        <f>IFERROR(IF(Curve_Interface!$J$7="Piecewise Linear (Simple)",IF(((C21-VAL_DATE)/360)&lt;=0,1,1/(1+(IF(((INDEX('Curve_Interface'!$K$8:$K$73,MATCH(C21,'Curve_Interface'!$K$8:$K$73,1))-VAL_DATE)/360)&lt;=0,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,(1/INDEX('Curve_Interface'!$L$8:$L$73,MATCH(C21,'Curve_Interface'!$K$8:$K$73,1))-1)/((INDEX('Curve_Interface'!$K$8:$K$73,MATCH(C21,'Curve_Interface'!$K$8:$K$73,1))-VAL_DATE)/360))+(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-IF(((INDEX('Curve_Interface'!$K$8:$K$73,MATCH(C21,'Curve_Interface'!$K$8:$K$73,1))-VAL_DATE)/360)&lt;=0,IF(((INDEX('Curve_Interface'!$K$8:$K$73,MATCH(C21,'Curve_Interface'!$K$8:$K$73,1)+1)-VAL_DATE)/360)&lt;=0,0,(1/INDEX('Curve_Interface'!$L$8:$L$73,MATCH(C21,'Curve_Interface'!$K$8:$K$73,1)+1)-1)/((INDEX('Curve_Interface'!$K$8:$K$73,MATCH(C21,'Curve_Interface'!$K$8:$K$73,1)+1)-VAL_DATE)/360)),(1/INDEX('Curve_Interface'!$L$8:$L$73,MATCH(C21,'Curve_Interface'!$K$8:$K$73,1))-1)/((INDEX('Curve_Interface'!$K$8:$K$73,MATCH(C21,'Curve_Interface'!$K$8:$K$73,1))-VAL_DATE)/360)))*IF(((INDEX('Curve_Interface'!$K$8:$K$73,MATCH(C21,'Curve_Interface'!$K$8:$K$73,1)+1)-VAL_DATE)/360)-((INDEX('Curve_Interface'!$K$8:$K$73,MATCH(C21,'Curve_Interface'!$K$8:$K$73,1))-VAL_DATE)/360)=0,0,(((C21-VAL_DATE)/360)-((INDEX('Curve_Interface'!$K$8:$K$73,MATCH(C21,'Curve_Interface'!$K$8:$K$73,1))-VAL_DATE)/360))/(((INDEX('Curve_Interface'!$K$8:$K$73,MATCH(C21,'Curve_Interface'!$K$8:$K$73,1)+1)-VAL_DATE)/360)-((INDEX('Curve_Interface'!$K$8:$K$73,MATCH(C21,'Curve_Interface'!$K$8:$K$73,1))-VAL_DATE)/360))))*((C21-VAL_DATE)/360))),INDEX('Curve_Interface'!$L$8:$L$73,MATCH(C21,'Curve_Interface'!$K$8:$K$73,1))*(INDEX('Curve_Interface'!$L$8:$L$73,MATCH(C21,'Curve_Interface'!$K$8:$K$73,1)+1)/INDEX('Curve_Interface'!$L$8:$L$73,MATCH(C21,'Curve_Interface'!$K$8:$K$73,1)))^((C21-INDEX('Curve_Interface'!$K$8:$K$73,MATCH(C21,'Curve_Interface'!$K$8:$K$73,1)))/(INDEX('Curve_Interface'!$K$8:$K$73,MATCH(C21,'Curve_Interface'!$K$8:$K$73,1)+1)-INDEX('Curve_Interface'!$K$8:$K$73,MATCH(C21,'Curve_Interface'!$K$8:$K$73,1))))),INDEX('Curve_Interface'!$L$8:$L$73,MATCH(C21,'Curve_Interface'!$K$8:$K$73,1)))</f>
        <v/>
      </c>
      <c r="H21" s="36">
        <f>IFERROR(IF(Curve_Interface!$J$7="Piecewise Linear (Simple)",IF((((B21+C21)/2-VAL_DATE)/360)&lt;=0,1,1/(1+(IF(((INDEX('Curve_Interface'!$K$8:$K$73,MATCH((B21+C21)/2,'Curve_Interface'!$K$8:$K$73,1))-VAL_DATE)/360)&lt;=0,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,(1/INDEX('Curve_Interface'!$L$8:$L$73,MATCH((B21+C21)/2,'Curve_Interface'!$K$8:$K$73,1))-1)/((INDEX('Curve_Interface'!$K$8:$K$73,MATCH((B21+C21)/2,'Curve_Interface'!$K$8:$K$73,1))-VAL_DATE)/360))+(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-IF(((INDEX('Curve_Interface'!$K$8:$K$73,MATCH((B21+C21)/2,'Curve_Interface'!$K$8:$K$73,1))-VAL_DATE)/360)&lt;=0,IF(((INDEX('Curve_Interface'!$K$8:$K$73,MATCH((B21+C21)/2,'Curve_Interface'!$K$8:$K$73,1)+1)-VAL_DATE)/360)&lt;=0,0,(1/INDEX('Curve_Interface'!$L$8:$L$73,MATCH((B21+C21)/2,'Curve_Interface'!$K$8:$K$73,1)+1)-1)/((INDEX('Curve_Interface'!$K$8:$K$73,MATCH((B21+C21)/2,'Curve_Interface'!$K$8:$K$73,1)+1)-VAL_DATE)/360)),(1/INDEX('Curve_Interface'!$L$8:$L$73,MATCH((B21+C21)/2,'Curve_Interface'!$K$8:$K$73,1))-1)/((INDEX('Curve_Interface'!$K$8:$K$73,MATCH((B21+C21)/2,'Curve_Interface'!$K$8:$K$73,1))-VAL_DATE)/360)))*IF(((INDEX('Curve_Interface'!$K$8:$K$73,MATCH((B21+C21)/2,'Curve_Interface'!$K$8:$K$73,1)+1)-VAL_DATE)/360)-((INDEX('Curve_Interface'!$K$8:$K$73,MATCH((B21+C21)/2,'Curve_Interface'!$K$8:$K$73,1))-VAL_DATE)/360)=0,0,((((B21+C21)/2-VAL_DATE)/360)-((INDEX('Curve_Interface'!$K$8:$K$73,MATCH((B21+C21)/2,'Curve_Interface'!$K$8:$K$73,1))-VAL_DATE)/360))/(((INDEX('Curve_Interface'!$K$8:$K$73,MATCH((B21+C21)/2,'Curve_Interface'!$K$8:$K$73,1)+1)-VAL_DATE)/360)-((INDEX('Curve_Interface'!$K$8:$K$73,MATCH((B21+C21)/2,'Curve_Interface'!$K$8:$K$73,1))-VAL_DATE)/360))))*(((B21+C21)/2-VAL_DATE)/360))),INDEX('Curve_Interface'!$L$8:$L$73,MATCH((B21+C21)/2,'Curve_Interface'!$K$8:$K$73,1))*(INDEX('Curve_Interface'!$L$8:$L$73,MATCH((B21+C21)/2,'Curve_Interface'!$K$8:$K$73,1)+1)/INDEX('Curve_Interface'!$L$8:$L$73,MATCH((B21+C21)/2,'Curve_Interface'!$K$8:$K$73,1)))^(((B21+C21)/2-INDEX('Curve_Interface'!$K$8:$K$73,MATCH((B21+C21)/2,'Curve_Interface'!$K$8:$K$73,1)))/(INDEX('Curve_Interface'!$K$8:$K$73,MATCH((B21+C21)/2,'Curve_Interface'!$K$8:$K$73,1)+1)-INDEX('Curve_Interface'!$K$8:$K$73,MATCH((B21+C21)/2,'Curve_Interface'!$K$8:$K$73,1))))),INDEX('Curve_Interface'!$L$8:$L$73,MATCH((B21+C21)/2,'Curve_Interface'!$K$8:$K$73,1)))</f>
        <v/>
      </c>
      <c r="I21" s="36">
        <f>INDEX(Hazard_Bootstrap!$D$7:$D$12,MIN(COUNTIF(Hazard_Bootstrap!$B$7:$B$12,"&lt;"&amp;C21)+1,6))</f>
        <v/>
      </c>
      <c r="J21" s="36">
        <f>K20</f>
        <v/>
      </c>
      <c r="K21" s="36">
        <f>J21*EXP(-I21*E21)</f>
        <v/>
      </c>
      <c r="L21" s="36">
        <f>J21-K21</f>
        <v/>
      </c>
      <c r="M21" s="36">
        <f>D21*G21*K21</f>
        <v/>
      </c>
      <c r="N21" s="36">
        <f>(D21/2)*H21*L21</f>
        <v/>
      </c>
      <c r="O21" s="36">
        <f>H21*L21</f>
        <v/>
      </c>
      <c r="Q21" s="137" t="inlineStr">
        <is>
          <t>col O   protection factor                       (3.6) / O-T (7)</t>
        </is>
      </c>
    </row>
    <row r="22">
      <c r="A22" s="43" t="n">
        <v>16</v>
      </c>
      <c r="B22" s="18">
        <f>C21</f>
        <v/>
      </c>
      <c r="C22" s="18">
        <f>EDATE('Curve_Interface'!$F$7,3*15)</f>
        <v/>
      </c>
      <c r="D22" s="34">
        <f>(C22-B22)/360</f>
        <v/>
      </c>
      <c r="E22" s="34">
        <f>(C22-B22)/365</f>
        <v/>
      </c>
      <c r="F22" s="34">
        <f>(C22-VAL_DATE)/365</f>
        <v/>
      </c>
      <c r="G22" s="36">
        <f>IFERROR(IF(Curve_Interface!$J$7="Piecewise Linear (Simple)",IF(((C22-VAL_DATE)/360)&lt;=0,1,1/(1+(IF(((INDEX('Curve_Interface'!$K$8:$K$73,MATCH(C22,'Curve_Interface'!$K$8:$K$73,1))-VAL_DATE)/360)&lt;=0,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,(1/INDEX('Curve_Interface'!$L$8:$L$73,MATCH(C22,'Curve_Interface'!$K$8:$K$73,1))-1)/((INDEX('Curve_Interface'!$K$8:$K$73,MATCH(C22,'Curve_Interface'!$K$8:$K$73,1))-VAL_DATE)/360))+(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-IF(((INDEX('Curve_Interface'!$K$8:$K$73,MATCH(C22,'Curve_Interface'!$K$8:$K$73,1))-VAL_DATE)/360)&lt;=0,IF(((INDEX('Curve_Interface'!$K$8:$K$73,MATCH(C22,'Curve_Interface'!$K$8:$K$73,1)+1)-VAL_DATE)/360)&lt;=0,0,(1/INDEX('Curve_Interface'!$L$8:$L$73,MATCH(C22,'Curve_Interface'!$K$8:$K$73,1)+1)-1)/((INDEX('Curve_Interface'!$K$8:$K$73,MATCH(C22,'Curve_Interface'!$K$8:$K$73,1)+1)-VAL_DATE)/360)),(1/INDEX('Curve_Interface'!$L$8:$L$73,MATCH(C22,'Curve_Interface'!$K$8:$K$73,1))-1)/((INDEX('Curve_Interface'!$K$8:$K$73,MATCH(C22,'Curve_Interface'!$K$8:$K$73,1))-VAL_DATE)/360)))*IF(((INDEX('Curve_Interface'!$K$8:$K$73,MATCH(C22,'Curve_Interface'!$K$8:$K$73,1)+1)-VAL_DATE)/360)-((INDEX('Curve_Interface'!$K$8:$K$73,MATCH(C22,'Curve_Interface'!$K$8:$K$73,1))-VAL_DATE)/360)=0,0,(((C22-VAL_DATE)/360)-((INDEX('Curve_Interface'!$K$8:$K$73,MATCH(C22,'Curve_Interface'!$K$8:$K$73,1))-VAL_DATE)/360))/(((INDEX('Curve_Interface'!$K$8:$K$73,MATCH(C22,'Curve_Interface'!$K$8:$K$73,1)+1)-VAL_DATE)/360)-((INDEX('Curve_Interface'!$K$8:$K$73,MATCH(C22,'Curve_Interface'!$K$8:$K$73,1))-VAL_DATE)/360))))*((C22-VAL_DATE)/360))),INDEX('Curve_Interface'!$L$8:$L$73,MATCH(C22,'Curve_Interface'!$K$8:$K$73,1))*(INDEX('Curve_Interface'!$L$8:$L$73,MATCH(C22,'Curve_Interface'!$K$8:$K$73,1)+1)/INDEX('Curve_Interface'!$L$8:$L$73,MATCH(C22,'Curve_Interface'!$K$8:$K$73,1)))^((C22-INDEX('Curve_Interface'!$K$8:$K$73,MATCH(C22,'Curve_Interface'!$K$8:$K$73,1)))/(INDEX('Curve_Interface'!$K$8:$K$73,MATCH(C22,'Curve_Interface'!$K$8:$K$73,1)+1)-INDEX('Curve_Interface'!$K$8:$K$73,MATCH(C22,'Curve_Interface'!$K$8:$K$73,1))))),INDEX('Curve_Interface'!$L$8:$L$73,MATCH(C22,'Curve_Interface'!$K$8:$K$73,1)))</f>
        <v/>
      </c>
      <c r="H22" s="36">
        <f>IFERROR(IF(Curve_Interface!$J$7="Piecewise Linear (Simple)",IF((((B22+C22)/2-VAL_DATE)/360)&lt;=0,1,1/(1+(IF(((INDEX('Curve_Interface'!$K$8:$K$73,MATCH((B22+C22)/2,'Curve_Interface'!$K$8:$K$73,1))-VAL_DATE)/360)&lt;=0,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,(1/INDEX('Curve_Interface'!$L$8:$L$73,MATCH((B22+C22)/2,'Curve_Interface'!$K$8:$K$73,1))-1)/((INDEX('Curve_Interface'!$K$8:$K$73,MATCH((B22+C22)/2,'Curve_Interface'!$K$8:$K$73,1))-VAL_DATE)/360))+(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-IF(((INDEX('Curve_Interface'!$K$8:$K$73,MATCH((B22+C22)/2,'Curve_Interface'!$K$8:$K$73,1))-VAL_DATE)/360)&lt;=0,IF(((INDEX('Curve_Interface'!$K$8:$K$73,MATCH((B22+C22)/2,'Curve_Interface'!$K$8:$K$73,1)+1)-VAL_DATE)/360)&lt;=0,0,(1/INDEX('Curve_Interface'!$L$8:$L$73,MATCH((B22+C22)/2,'Curve_Interface'!$K$8:$K$73,1)+1)-1)/((INDEX('Curve_Interface'!$K$8:$K$73,MATCH((B22+C22)/2,'Curve_Interface'!$K$8:$K$73,1)+1)-VAL_DATE)/360)),(1/INDEX('Curve_Interface'!$L$8:$L$73,MATCH((B22+C22)/2,'Curve_Interface'!$K$8:$K$73,1))-1)/((INDEX('Curve_Interface'!$K$8:$K$73,MATCH((B22+C22)/2,'Curve_Interface'!$K$8:$K$73,1))-VAL_DATE)/360)))*IF(((INDEX('Curve_Interface'!$K$8:$K$73,MATCH((B22+C22)/2,'Curve_Interface'!$K$8:$K$73,1)+1)-VAL_DATE)/360)-((INDEX('Curve_Interface'!$K$8:$K$73,MATCH((B22+C22)/2,'Curve_Interface'!$K$8:$K$73,1))-VAL_DATE)/360)=0,0,((((B22+C22)/2-VAL_DATE)/360)-((INDEX('Curve_Interface'!$K$8:$K$73,MATCH((B22+C22)/2,'Curve_Interface'!$K$8:$K$73,1))-VAL_DATE)/360))/(((INDEX('Curve_Interface'!$K$8:$K$73,MATCH((B22+C22)/2,'Curve_Interface'!$K$8:$K$73,1)+1)-VAL_DATE)/360)-((INDEX('Curve_Interface'!$K$8:$K$73,MATCH((B22+C22)/2,'Curve_Interface'!$K$8:$K$73,1))-VAL_DATE)/360))))*(((B22+C22)/2-VAL_DATE)/360))),INDEX('Curve_Interface'!$L$8:$L$73,MATCH((B22+C22)/2,'Curve_Interface'!$K$8:$K$73,1))*(INDEX('Curve_Interface'!$L$8:$L$73,MATCH((B22+C22)/2,'Curve_Interface'!$K$8:$K$73,1)+1)/INDEX('Curve_Interface'!$L$8:$L$73,MATCH((B22+C22)/2,'Curve_Interface'!$K$8:$K$73,1)))^(((B22+C22)/2-INDEX('Curve_Interface'!$K$8:$K$73,MATCH((B22+C22)/2,'Curve_Interface'!$K$8:$K$73,1)))/(INDEX('Curve_Interface'!$K$8:$K$73,MATCH((B22+C22)/2,'Curve_Interface'!$K$8:$K$73,1)+1)-INDEX('Curve_Interface'!$K$8:$K$73,MATCH((B22+C22)/2,'Curve_Interface'!$K$8:$K$73,1))))),INDEX('Curve_Interface'!$L$8:$L$73,MATCH((B22+C22)/2,'Curve_Interface'!$K$8:$K$73,1)))</f>
        <v/>
      </c>
      <c r="I22" s="36">
        <f>INDEX(Hazard_Bootstrap!$D$7:$D$12,MIN(COUNTIF(Hazard_Bootstrap!$B$7:$B$12,"&lt;"&amp;C22)+1,6))</f>
        <v/>
      </c>
      <c r="J22" s="36">
        <f>K21</f>
        <v/>
      </c>
      <c r="K22" s="36">
        <f>J22*EXP(-I22*E22)</f>
        <v/>
      </c>
      <c r="L22" s="36">
        <f>J22-K22</f>
        <v/>
      </c>
      <c r="M22" s="36">
        <f>D22*G22*K22</f>
        <v/>
      </c>
      <c r="N22" s="36">
        <f>(D22/2)*H22*L22</f>
        <v/>
      </c>
      <c r="O22" s="36">
        <f>H22*L22</f>
        <v/>
      </c>
      <c r="Q22" s="138" t="inlineStr">
        <is>
          <t xml:space="preserve">        Z(mid_i) * dPD_i</t>
        </is>
      </c>
    </row>
    <row r="23">
      <c r="A23" s="43" t="n">
        <v>17</v>
      </c>
      <c r="B23" s="18">
        <f>C22</f>
        <v/>
      </c>
      <c r="C23" s="18">
        <f>EDATE('Curve_Interface'!$F$7,3*16)</f>
        <v/>
      </c>
      <c r="D23" s="34">
        <f>(C23-B23)/360</f>
        <v/>
      </c>
      <c r="E23" s="34">
        <f>(C23-B23)/365</f>
        <v/>
      </c>
      <c r="F23" s="34">
        <f>(C23-VAL_DATE)/365</f>
        <v/>
      </c>
      <c r="G23" s="36">
        <f>IFERROR(IF(Curve_Interface!$J$7="Piecewise Linear (Simple)",IF(((C23-VAL_DATE)/360)&lt;=0,1,1/(1+(IF(((INDEX('Curve_Interface'!$K$8:$K$73,MATCH(C23,'Curve_Interface'!$K$8:$K$73,1))-VAL_DATE)/360)&lt;=0,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,(1/INDEX('Curve_Interface'!$L$8:$L$73,MATCH(C23,'Curve_Interface'!$K$8:$K$73,1))-1)/((INDEX('Curve_Interface'!$K$8:$K$73,MATCH(C23,'Curve_Interface'!$K$8:$K$73,1))-VAL_DATE)/360))+(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-IF(((INDEX('Curve_Interface'!$K$8:$K$73,MATCH(C23,'Curve_Interface'!$K$8:$K$73,1))-VAL_DATE)/360)&lt;=0,IF(((INDEX('Curve_Interface'!$K$8:$K$73,MATCH(C23,'Curve_Interface'!$K$8:$K$73,1)+1)-VAL_DATE)/360)&lt;=0,0,(1/INDEX('Curve_Interface'!$L$8:$L$73,MATCH(C23,'Curve_Interface'!$K$8:$K$73,1)+1)-1)/((INDEX('Curve_Interface'!$K$8:$K$73,MATCH(C23,'Curve_Interface'!$K$8:$K$73,1)+1)-VAL_DATE)/360)),(1/INDEX('Curve_Interface'!$L$8:$L$73,MATCH(C23,'Curve_Interface'!$K$8:$K$73,1))-1)/((INDEX('Curve_Interface'!$K$8:$K$73,MATCH(C23,'Curve_Interface'!$K$8:$K$73,1))-VAL_DATE)/360)))*IF(((INDEX('Curve_Interface'!$K$8:$K$73,MATCH(C23,'Curve_Interface'!$K$8:$K$73,1)+1)-VAL_DATE)/360)-((INDEX('Curve_Interface'!$K$8:$K$73,MATCH(C23,'Curve_Interface'!$K$8:$K$73,1))-VAL_DATE)/360)=0,0,(((C23-VAL_DATE)/360)-((INDEX('Curve_Interface'!$K$8:$K$73,MATCH(C23,'Curve_Interface'!$K$8:$K$73,1))-VAL_DATE)/360))/(((INDEX('Curve_Interface'!$K$8:$K$73,MATCH(C23,'Curve_Interface'!$K$8:$K$73,1)+1)-VAL_DATE)/360)-((INDEX('Curve_Interface'!$K$8:$K$73,MATCH(C23,'Curve_Interface'!$K$8:$K$73,1))-VAL_DATE)/360))))*((C23-VAL_DATE)/360))),INDEX('Curve_Interface'!$L$8:$L$73,MATCH(C23,'Curve_Interface'!$K$8:$K$73,1))*(INDEX('Curve_Interface'!$L$8:$L$73,MATCH(C23,'Curve_Interface'!$K$8:$K$73,1)+1)/INDEX('Curve_Interface'!$L$8:$L$73,MATCH(C23,'Curve_Interface'!$K$8:$K$73,1)))^((C23-INDEX('Curve_Interface'!$K$8:$K$73,MATCH(C23,'Curve_Interface'!$K$8:$K$73,1)))/(INDEX('Curve_Interface'!$K$8:$K$73,MATCH(C23,'Curve_Interface'!$K$8:$K$73,1)+1)-INDEX('Curve_Interface'!$K$8:$K$73,MATCH(C23,'Curve_Interface'!$K$8:$K$73,1))))),INDEX('Curve_Interface'!$L$8:$L$73,MATCH(C23,'Curve_Interface'!$K$8:$K$73,1)))</f>
        <v/>
      </c>
      <c r="H23" s="36">
        <f>IFERROR(IF(Curve_Interface!$J$7="Piecewise Linear (Simple)",IF((((B23+C23)/2-VAL_DATE)/360)&lt;=0,1,1/(1+(IF(((INDEX('Curve_Interface'!$K$8:$K$73,MATCH((B23+C23)/2,'Curve_Interface'!$K$8:$K$73,1))-VAL_DATE)/360)&lt;=0,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,(1/INDEX('Curve_Interface'!$L$8:$L$73,MATCH((B23+C23)/2,'Curve_Interface'!$K$8:$K$73,1))-1)/((INDEX('Curve_Interface'!$K$8:$K$73,MATCH((B23+C23)/2,'Curve_Interface'!$K$8:$K$73,1))-VAL_DATE)/360))+(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-IF(((INDEX('Curve_Interface'!$K$8:$K$73,MATCH((B23+C23)/2,'Curve_Interface'!$K$8:$K$73,1))-VAL_DATE)/360)&lt;=0,IF(((INDEX('Curve_Interface'!$K$8:$K$73,MATCH((B23+C23)/2,'Curve_Interface'!$K$8:$K$73,1)+1)-VAL_DATE)/360)&lt;=0,0,(1/INDEX('Curve_Interface'!$L$8:$L$73,MATCH((B23+C23)/2,'Curve_Interface'!$K$8:$K$73,1)+1)-1)/((INDEX('Curve_Interface'!$K$8:$K$73,MATCH((B23+C23)/2,'Curve_Interface'!$K$8:$K$73,1)+1)-VAL_DATE)/360)),(1/INDEX('Curve_Interface'!$L$8:$L$73,MATCH((B23+C23)/2,'Curve_Interface'!$K$8:$K$73,1))-1)/((INDEX('Curve_Interface'!$K$8:$K$73,MATCH((B23+C23)/2,'Curve_Interface'!$K$8:$K$73,1))-VAL_DATE)/360)))*IF(((INDEX('Curve_Interface'!$K$8:$K$73,MATCH((B23+C23)/2,'Curve_Interface'!$K$8:$K$73,1)+1)-VAL_DATE)/360)-((INDEX('Curve_Interface'!$K$8:$K$73,MATCH((B23+C23)/2,'Curve_Interface'!$K$8:$K$73,1))-VAL_DATE)/360)=0,0,((((B23+C23)/2-VAL_DATE)/360)-((INDEX('Curve_Interface'!$K$8:$K$73,MATCH((B23+C23)/2,'Curve_Interface'!$K$8:$K$73,1))-VAL_DATE)/360))/(((INDEX('Curve_Interface'!$K$8:$K$73,MATCH((B23+C23)/2,'Curve_Interface'!$K$8:$K$73,1)+1)-VAL_DATE)/360)-((INDEX('Curve_Interface'!$K$8:$K$73,MATCH((B23+C23)/2,'Curve_Interface'!$K$8:$K$73,1))-VAL_DATE)/360))))*(((B23+C23)/2-VAL_DATE)/360))),INDEX('Curve_Interface'!$L$8:$L$73,MATCH((B23+C23)/2,'Curve_Interface'!$K$8:$K$73,1))*(INDEX('Curve_Interface'!$L$8:$L$73,MATCH((B23+C23)/2,'Curve_Interface'!$K$8:$K$73,1)+1)/INDEX('Curve_Interface'!$L$8:$L$73,MATCH((B23+C23)/2,'Curve_Interface'!$K$8:$K$73,1)))^(((B23+C23)/2-INDEX('Curve_Interface'!$K$8:$K$73,MATCH((B23+C23)/2,'Curve_Interface'!$K$8:$K$73,1)))/(INDEX('Curve_Interface'!$K$8:$K$73,MATCH((B23+C23)/2,'Curve_Interface'!$K$8:$K$73,1)+1)-INDEX('Curve_Interface'!$K$8:$K$73,MATCH((B23+C23)/2,'Curve_Interface'!$K$8:$K$73,1))))),INDEX('Curve_Interface'!$L$8:$L$73,MATCH((B23+C23)/2,'Curve_Interface'!$K$8:$K$73,1)))</f>
        <v/>
      </c>
      <c r="I23" s="36">
        <f>INDEX(Hazard_Bootstrap!$D$7:$D$12,MIN(COUNTIF(Hazard_Bootstrap!$B$7:$B$12,"&lt;"&amp;C23)+1,6))</f>
        <v/>
      </c>
      <c r="J23" s="36">
        <f>K22</f>
        <v/>
      </c>
      <c r="K23" s="36">
        <f>J23*EXP(-I23*E23)</f>
        <v/>
      </c>
      <c r="L23" s="36">
        <f>J23-K23</f>
        <v/>
      </c>
      <c r="M23" s="36">
        <f>D23*G23*K23</f>
        <v/>
      </c>
      <c r="N23" s="36">
        <f>(D23/2)*H23*L23</f>
        <v/>
      </c>
      <c r="O23" s="36">
        <f>H23*L23</f>
        <v/>
      </c>
      <c r="Q23" s="138" t="inlineStr">
        <is>
          <t xml:space="preserve">        Protection Leg = A(1-R) * INT (-dp_s/dt) D(t) dt</t>
        </is>
      </c>
    </row>
    <row r="24">
      <c r="A24" s="43" t="n">
        <v>18</v>
      </c>
      <c r="B24" s="18">
        <f>C23</f>
        <v/>
      </c>
      <c r="C24" s="18">
        <f>EDATE('Curve_Interface'!$F$7,3*17)</f>
        <v/>
      </c>
      <c r="D24" s="34">
        <f>(C24-B24)/360</f>
        <v/>
      </c>
      <c r="E24" s="34">
        <f>(C24-B24)/365</f>
        <v/>
      </c>
      <c r="F24" s="34">
        <f>(C24-VAL_DATE)/365</f>
        <v/>
      </c>
      <c r="G24" s="36">
        <f>IFERROR(IF(Curve_Interface!$J$7="Piecewise Linear (Simple)",IF(((C24-VAL_DATE)/360)&lt;=0,1,1/(1+(IF(((INDEX('Curve_Interface'!$K$8:$K$73,MATCH(C24,'Curve_Interface'!$K$8:$K$73,1))-VAL_DATE)/360)&lt;=0,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,(1/INDEX('Curve_Interface'!$L$8:$L$73,MATCH(C24,'Curve_Interface'!$K$8:$K$73,1))-1)/((INDEX('Curve_Interface'!$K$8:$K$73,MATCH(C24,'Curve_Interface'!$K$8:$K$73,1))-VAL_DATE)/360))+(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-IF(((INDEX('Curve_Interface'!$K$8:$K$73,MATCH(C24,'Curve_Interface'!$K$8:$K$73,1))-VAL_DATE)/360)&lt;=0,IF(((INDEX('Curve_Interface'!$K$8:$K$73,MATCH(C24,'Curve_Interface'!$K$8:$K$73,1)+1)-VAL_DATE)/360)&lt;=0,0,(1/INDEX('Curve_Interface'!$L$8:$L$73,MATCH(C24,'Curve_Interface'!$K$8:$K$73,1)+1)-1)/((INDEX('Curve_Interface'!$K$8:$K$73,MATCH(C24,'Curve_Interface'!$K$8:$K$73,1)+1)-VAL_DATE)/360)),(1/INDEX('Curve_Interface'!$L$8:$L$73,MATCH(C24,'Curve_Interface'!$K$8:$K$73,1))-1)/((INDEX('Curve_Interface'!$K$8:$K$73,MATCH(C24,'Curve_Interface'!$K$8:$K$73,1))-VAL_DATE)/360)))*IF(((INDEX('Curve_Interface'!$K$8:$K$73,MATCH(C24,'Curve_Interface'!$K$8:$K$73,1)+1)-VAL_DATE)/360)-((INDEX('Curve_Interface'!$K$8:$K$73,MATCH(C24,'Curve_Interface'!$K$8:$K$73,1))-VAL_DATE)/360)=0,0,(((C24-VAL_DATE)/360)-((INDEX('Curve_Interface'!$K$8:$K$73,MATCH(C24,'Curve_Interface'!$K$8:$K$73,1))-VAL_DATE)/360))/(((INDEX('Curve_Interface'!$K$8:$K$73,MATCH(C24,'Curve_Interface'!$K$8:$K$73,1)+1)-VAL_DATE)/360)-((INDEX('Curve_Interface'!$K$8:$K$73,MATCH(C24,'Curve_Interface'!$K$8:$K$73,1))-VAL_DATE)/360))))*((C24-VAL_DATE)/360))),INDEX('Curve_Interface'!$L$8:$L$73,MATCH(C24,'Curve_Interface'!$K$8:$K$73,1))*(INDEX('Curve_Interface'!$L$8:$L$73,MATCH(C24,'Curve_Interface'!$K$8:$K$73,1)+1)/INDEX('Curve_Interface'!$L$8:$L$73,MATCH(C24,'Curve_Interface'!$K$8:$K$73,1)))^((C24-INDEX('Curve_Interface'!$K$8:$K$73,MATCH(C24,'Curve_Interface'!$K$8:$K$73,1)))/(INDEX('Curve_Interface'!$K$8:$K$73,MATCH(C24,'Curve_Interface'!$K$8:$K$73,1)+1)-INDEX('Curve_Interface'!$K$8:$K$73,MATCH(C24,'Curve_Interface'!$K$8:$K$73,1))))),INDEX('Curve_Interface'!$L$8:$L$73,MATCH(C24,'Curve_Interface'!$K$8:$K$73,1)))</f>
        <v/>
      </c>
      <c r="H24" s="36">
        <f>IFERROR(IF(Curve_Interface!$J$7="Piecewise Linear (Simple)",IF((((B24+C24)/2-VAL_DATE)/360)&lt;=0,1,1/(1+(IF(((INDEX('Curve_Interface'!$K$8:$K$73,MATCH((B24+C24)/2,'Curve_Interface'!$K$8:$K$73,1))-VAL_DATE)/360)&lt;=0,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,(1/INDEX('Curve_Interface'!$L$8:$L$73,MATCH((B24+C24)/2,'Curve_Interface'!$K$8:$K$73,1))-1)/((INDEX('Curve_Interface'!$K$8:$K$73,MATCH((B24+C24)/2,'Curve_Interface'!$K$8:$K$73,1))-VAL_DATE)/360))+(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-IF(((INDEX('Curve_Interface'!$K$8:$K$73,MATCH((B24+C24)/2,'Curve_Interface'!$K$8:$K$73,1))-VAL_DATE)/360)&lt;=0,IF(((INDEX('Curve_Interface'!$K$8:$K$73,MATCH((B24+C24)/2,'Curve_Interface'!$K$8:$K$73,1)+1)-VAL_DATE)/360)&lt;=0,0,(1/INDEX('Curve_Interface'!$L$8:$L$73,MATCH((B24+C24)/2,'Curve_Interface'!$K$8:$K$73,1)+1)-1)/((INDEX('Curve_Interface'!$K$8:$K$73,MATCH((B24+C24)/2,'Curve_Interface'!$K$8:$K$73,1)+1)-VAL_DATE)/360)),(1/INDEX('Curve_Interface'!$L$8:$L$73,MATCH((B24+C24)/2,'Curve_Interface'!$K$8:$K$73,1))-1)/((INDEX('Curve_Interface'!$K$8:$K$73,MATCH((B24+C24)/2,'Curve_Interface'!$K$8:$K$73,1))-VAL_DATE)/360)))*IF(((INDEX('Curve_Interface'!$K$8:$K$73,MATCH((B24+C24)/2,'Curve_Interface'!$K$8:$K$73,1)+1)-VAL_DATE)/360)-((INDEX('Curve_Interface'!$K$8:$K$73,MATCH((B24+C24)/2,'Curve_Interface'!$K$8:$K$73,1))-VAL_DATE)/360)=0,0,((((B24+C24)/2-VAL_DATE)/360)-((INDEX('Curve_Interface'!$K$8:$K$73,MATCH((B24+C24)/2,'Curve_Interface'!$K$8:$K$73,1))-VAL_DATE)/360))/(((INDEX('Curve_Interface'!$K$8:$K$73,MATCH((B24+C24)/2,'Curve_Interface'!$K$8:$K$73,1)+1)-VAL_DATE)/360)-((INDEX('Curve_Interface'!$K$8:$K$73,MATCH((B24+C24)/2,'Curve_Interface'!$K$8:$K$73,1))-VAL_DATE)/360))))*(((B24+C24)/2-VAL_DATE)/360))),INDEX('Curve_Interface'!$L$8:$L$73,MATCH((B24+C24)/2,'Curve_Interface'!$K$8:$K$73,1))*(INDEX('Curve_Interface'!$L$8:$L$73,MATCH((B24+C24)/2,'Curve_Interface'!$K$8:$K$73,1)+1)/INDEX('Curve_Interface'!$L$8:$L$73,MATCH((B24+C24)/2,'Curve_Interface'!$K$8:$K$73,1)))^(((B24+C24)/2-INDEX('Curve_Interface'!$K$8:$K$73,MATCH((B24+C24)/2,'Curve_Interface'!$K$8:$K$73,1)))/(INDEX('Curve_Interface'!$K$8:$K$73,MATCH((B24+C24)/2,'Curve_Interface'!$K$8:$K$73,1)+1)-INDEX('Curve_Interface'!$K$8:$K$73,MATCH((B24+C24)/2,'Curve_Interface'!$K$8:$K$73,1))))),INDEX('Curve_Interface'!$L$8:$L$73,MATCH((B24+C24)/2,'Curve_Interface'!$K$8:$K$73,1)))</f>
        <v/>
      </c>
      <c r="I24" s="36">
        <f>INDEX(Hazard_Bootstrap!$D$7:$D$12,MIN(COUNTIF(Hazard_Bootstrap!$B$7:$B$12,"&lt;"&amp;C24)+1,6))</f>
        <v/>
      </c>
      <c r="J24" s="36">
        <f>K23</f>
        <v/>
      </c>
      <c r="K24" s="36">
        <f>J24*EXP(-I24*E24)</f>
        <v/>
      </c>
      <c r="L24" s="36">
        <f>J24-K24</f>
        <v/>
      </c>
      <c r="M24" s="36">
        <f>D24*G24*K24</f>
        <v/>
      </c>
      <c r="N24" s="36">
        <f>(D24/2)*H24*L24</f>
        <v/>
      </c>
      <c r="O24" s="36">
        <f>H24*L24</f>
        <v/>
      </c>
    </row>
    <row r="25">
      <c r="A25" s="43" t="n">
        <v>19</v>
      </c>
      <c r="B25" s="18">
        <f>C24</f>
        <v/>
      </c>
      <c r="C25" s="18">
        <f>EDATE('Curve_Interface'!$F$7,3*18)</f>
        <v/>
      </c>
      <c r="D25" s="34">
        <f>(C25-B25)/360</f>
        <v/>
      </c>
      <c r="E25" s="34">
        <f>(C25-B25)/365</f>
        <v/>
      </c>
      <c r="F25" s="34">
        <f>(C25-VAL_DATE)/365</f>
        <v/>
      </c>
      <c r="G25" s="36">
        <f>IFERROR(IF(Curve_Interface!$J$7="Piecewise Linear (Simple)",IF(((C25-VAL_DATE)/360)&lt;=0,1,1/(1+(IF(((INDEX('Curve_Interface'!$K$8:$K$73,MATCH(C25,'Curve_Interface'!$K$8:$K$73,1))-VAL_DATE)/360)&lt;=0,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,(1/INDEX('Curve_Interface'!$L$8:$L$73,MATCH(C25,'Curve_Interface'!$K$8:$K$73,1))-1)/((INDEX('Curve_Interface'!$K$8:$K$73,MATCH(C25,'Curve_Interface'!$K$8:$K$73,1))-VAL_DATE)/360))+(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-IF(((INDEX('Curve_Interface'!$K$8:$K$73,MATCH(C25,'Curve_Interface'!$K$8:$K$73,1))-VAL_DATE)/360)&lt;=0,IF(((INDEX('Curve_Interface'!$K$8:$K$73,MATCH(C25,'Curve_Interface'!$K$8:$K$73,1)+1)-VAL_DATE)/360)&lt;=0,0,(1/INDEX('Curve_Interface'!$L$8:$L$73,MATCH(C25,'Curve_Interface'!$K$8:$K$73,1)+1)-1)/((INDEX('Curve_Interface'!$K$8:$K$73,MATCH(C25,'Curve_Interface'!$K$8:$K$73,1)+1)-VAL_DATE)/360)),(1/INDEX('Curve_Interface'!$L$8:$L$73,MATCH(C25,'Curve_Interface'!$K$8:$K$73,1))-1)/((INDEX('Curve_Interface'!$K$8:$K$73,MATCH(C25,'Curve_Interface'!$K$8:$K$73,1))-VAL_DATE)/360)))*IF(((INDEX('Curve_Interface'!$K$8:$K$73,MATCH(C25,'Curve_Interface'!$K$8:$K$73,1)+1)-VAL_DATE)/360)-((INDEX('Curve_Interface'!$K$8:$K$73,MATCH(C25,'Curve_Interface'!$K$8:$K$73,1))-VAL_DATE)/360)=0,0,(((C25-VAL_DATE)/360)-((INDEX('Curve_Interface'!$K$8:$K$73,MATCH(C25,'Curve_Interface'!$K$8:$K$73,1))-VAL_DATE)/360))/(((INDEX('Curve_Interface'!$K$8:$K$73,MATCH(C25,'Curve_Interface'!$K$8:$K$73,1)+1)-VAL_DATE)/360)-((INDEX('Curve_Interface'!$K$8:$K$73,MATCH(C25,'Curve_Interface'!$K$8:$K$73,1))-VAL_DATE)/360))))*((C25-VAL_DATE)/360))),INDEX('Curve_Interface'!$L$8:$L$73,MATCH(C25,'Curve_Interface'!$K$8:$K$73,1))*(INDEX('Curve_Interface'!$L$8:$L$73,MATCH(C25,'Curve_Interface'!$K$8:$K$73,1)+1)/INDEX('Curve_Interface'!$L$8:$L$73,MATCH(C25,'Curve_Interface'!$K$8:$K$73,1)))^((C25-INDEX('Curve_Interface'!$K$8:$K$73,MATCH(C25,'Curve_Interface'!$K$8:$K$73,1)))/(INDEX('Curve_Interface'!$K$8:$K$73,MATCH(C25,'Curve_Interface'!$K$8:$K$73,1)+1)-INDEX('Curve_Interface'!$K$8:$K$73,MATCH(C25,'Curve_Interface'!$K$8:$K$73,1))))),INDEX('Curve_Interface'!$L$8:$L$73,MATCH(C25,'Curve_Interface'!$K$8:$K$73,1)))</f>
        <v/>
      </c>
      <c r="H25" s="36">
        <f>IFERROR(IF(Curve_Interface!$J$7="Piecewise Linear (Simple)",IF((((B25+C25)/2-VAL_DATE)/360)&lt;=0,1,1/(1+(IF(((INDEX('Curve_Interface'!$K$8:$K$73,MATCH((B25+C25)/2,'Curve_Interface'!$K$8:$K$73,1))-VAL_DATE)/360)&lt;=0,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,(1/INDEX('Curve_Interface'!$L$8:$L$73,MATCH((B25+C25)/2,'Curve_Interface'!$K$8:$K$73,1))-1)/((INDEX('Curve_Interface'!$K$8:$K$73,MATCH((B25+C25)/2,'Curve_Interface'!$K$8:$K$73,1))-VAL_DATE)/360))+(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-IF(((INDEX('Curve_Interface'!$K$8:$K$73,MATCH((B25+C25)/2,'Curve_Interface'!$K$8:$K$73,1))-VAL_DATE)/360)&lt;=0,IF(((INDEX('Curve_Interface'!$K$8:$K$73,MATCH((B25+C25)/2,'Curve_Interface'!$K$8:$K$73,1)+1)-VAL_DATE)/360)&lt;=0,0,(1/INDEX('Curve_Interface'!$L$8:$L$73,MATCH((B25+C25)/2,'Curve_Interface'!$K$8:$K$73,1)+1)-1)/((INDEX('Curve_Interface'!$K$8:$K$73,MATCH((B25+C25)/2,'Curve_Interface'!$K$8:$K$73,1)+1)-VAL_DATE)/360)),(1/INDEX('Curve_Interface'!$L$8:$L$73,MATCH((B25+C25)/2,'Curve_Interface'!$K$8:$K$73,1))-1)/((INDEX('Curve_Interface'!$K$8:$K$73,MATCH((B25+C25)/2,'Curve_Interface'!$K$8:$K$73,1))-VAL_DATE)/360)))*IF(((INDEX('Curve_Interface'!$K$8:$K$73,MATCH((B25+C25)/2,'Curve_Interface'!$K$8:$K$73,1)+1)-VAL_DATE)/360)-((INDEX('Curve_Interface'!$K$8:$K$73,MATCH((B25+C25)/2,'Curve_Interface'!$K$8:$K$73,1))-VAL_DATE)/360)=0,0,((((B25+C25)/2-VAL_DATE)/360)-((INDEX('Curve_Interface'!$K$8:$K$73,MATCH((B25+C25)/2,'Curve_Interface'!$K$8:$K$73,1))-VAL_DATE)/360))/(((INDEX('Curve_Interface'!$K$8:$K$73,MATCH((B25+C25)/2,'Curve_Interface'!$K$8:$K$73,1)+1)-VAL_DATE)/360)-((INDEX('Curve_Interface'!$K$8:$K$73,MATCH((B25+C25)/2,'Curve_Interface'!$K$8:$K$73,1))-VAL_DATE)/360))))*(((B25+C25)/2-VAL_DATE)/360))),INDEX('Curve_Interface'!$L$8:$L$73,MATCH((B25+C25)/2,'Curve_Interface'!$K$8:$K$73,1))*(INDEX('Curve_Interface'!$L$8:$L$73,MATCH((B25+C25)/2,'Curve_Interface'!$K$8:$K$73,1)+1)/INDEX('Curve_Interface'!$L$8:$L$73,MATCH((B25+C25)/2,'Curve_Interface'!$K$8:$K$73,1)))^(((B25+C25)/2-INDEX('Curve_Interface'!$K$8:$K$73,MATCH((B25+C25)/2,'Curve_Interface'!$K$8:$K$73,1)))/(INDEX('Curve_Interface'!$K$8:$K$73,MATCH((B25+C25)/2,'Curve_Interface'!$K$8:$K$73,1)+1)-INDEX('Curve_Interface'!$K$8:$K$73,MATCH((B25+C25)/2,'Curve_Interface'!$K$8:$K$73,1))))),INDEX('Curve_Interface'!$L$8:$L$73,MATCH((B25+C25)/2,'Curve_Interface'!$K$8:$K$73,1)))</f>
        <v/>
      </c>
      <c r="I25" s="36">
        <f>INDEX(Hazard_Bootstrap!$D$7:$D$12,MIN(COUNTIF(Hazard_Bootstrap!$B$7:$B$12,"&lt;"&amp;C25)+1,6))</f>
        <v/>
      </c>
      <c r="J25" s="36">
        <f>K24</f>
        <v/>
      </c>
      <c r="K25" s="36">
        <f>J25*EXP(-I25*E25)</f>
        <v/>
      </c>
      <c r="L25" s="36">
        <f>J25-K25</f>
        <v/>
      </c>
      <c r="M25" s="36">
        <f>D25*G25*K25</f>
        <v/>
      </c>
      <c r="N25" s="36">
        <f>(D25/2)*H25*L25</f>
        <v/>
      </c>
      <c r="O25" s="36">
        <f>H25*L25</f>
        <v/>
      </c>
    </row>
    <row r="26">
      <c r="A26" s="43" t="n">
        <v>20</v>
      </c>
      <c r="B26" s="18">
        <f>C25</f>
        <v/>
      </c>
      <c r="C26" s="18">
        <f>EDATE('Curve_Interface'!$F$7,3*19)</f>
        <v/>
      </c>
      <c r="D26" s="34">
        <f>(C26-B26)/360</f>
        <v/>
      </c>
      <c r="E26" s="34">
        <f>(C26-B26)/365</f>
        <v/>
      </c>
      <c r="F26" s="34">
        <f>(C26-VAL_DATE)/365</f>
        <v/>
      </c>
      <c r="G26" s="36">
        <f>IFERROR(IF(Curve_Interface!$J$7="Piecewise Linear (Simple)",IF(((C26-VAL_DATE)/360)&lt;=0,1,1/(1+(IF(((INDEX('Curve_Interface'!$K$8:$K$73,MATCH(C26,'Curve_Interface'!$K$8:$K$73,1))-VAL_DATE)/360)&lt;=0,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,(1/INDEX('Curve_Interface'!$L$8:$L$73,MATCH(C26,'Curve_Interface'!$K$8:$K$73,1))-1)/((INDEX('Curve_Interface'!$K$8:$K$73,MATCH(C26,'Curve_Interface'!$K$8:$K$73,1))-VAL_DATE)/360))+(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-IF(((INDEX('Curve_Interface'!$K$8:$K$73,MATCH(C26,'Curve_Interface'!$K$8:$K$73,1))-VAL_DATE)/360)&lt;=0,IF(((INDEX('Curve_Interface'!$K$8:$K$73,MATCH(C26,'Curve_Interface'!$K$8:$K$73,1)+1)-VAL_DATE)/360)&lt;=0,0,(1/INDEX('Curve_Interface'!$L$8:$L$73,MATCH(C26,'Curve_Interface'!$K$8:$K$73,1)+1)-1)/((INDEX('Curve_Interface'!$K$8:$K$73,MATCH(C26,'Curve_Interface'!$K$8:$K$73,1)+1)-VAL_DATE)/360)),(1/INDEX('Curve_Interface'!$L$8:$L$73,MATCH(C26,'Curve_Interface'!$K$8:$K$73,1))-1)/((INDEX('Curve_Interface'!$K$8:$K$73,MATCH(C26,'Curve_Interface'!$K$8:$K$73,1))-VAL_DATE)/360)))*IF(((INDEX('Curve_Interface'!$K$8:$K$73,MATCH(C26,'Curve_Interface'!$K$8:$K$73,1)+1)-VAL_DATE)/360)-((INDEX('Curve_Interface'!$K$8:$K$73,MATCH(C26,'Curve_Interface'!$K$8:$K$73,1))-VAL_DATE)/360)=0,0,(((C26-VAL_DATE)/360)-((INDEX('Curve_Interface'!$K$8:$K$73,MATCH(C26,'Curve_Interface'!$K$8:$K$73,1))-VAL_DATE)/360))/(((INDEX('Curve_Interface'!$K$8:$K$73,MATCH(C26,'Curve_Interface'!$K$8:$K$73,1)+1)-VAL_DATE)/360)-((INDEX('Curve_Interface'!$K$8:$K$73,MATCH(C26,'Curve_Interface'!$K$8:$K$73,1))-VAL_DATE)/360))))*((C26-VAL_DATE)/360))),INDEX('Curve_Interface'!$L$8:$L$73,MATCH(C26,'Curve_Interface'!$K$8:$K$73,1))*(INDEX('Curve_Interface'!$L$8:$L$73,MATCH(C26,'Curve_Interface'!$K$8:$K$73,1)+1)/INDEX('Curve_Interface'!$L$8:$L$73,MATCH(C26,'Curve_Interface'!$K$8:$K$73,1)))^((C26-INDEX('Curve_Interface'!$K$8:$K$73,MATCH(C26,'Curve_Interface'!$K$8:$K$73,1)))/(INDEX('Curve_Interface'!$K$8:$K$73,MATCH(C26,'Curve_Interface'!$K$8:$K$73,1)+1)-INDEX('Curve_Interface'!$K$8:$K$73,MATCH(C26,'Curve_Interface'!$K$8:$K$73,1))))),INDEX('Curve_Interface'!$L$8:$L$73,MATCH(C26,'Curve_Interface'!$K$8:$K$73,1)))</f>
        <v/>
      </c>
      <c r="H26" s="36">
        <f>IFERROR(IF(Curve_Interface!$J$7="Piecewise Linear (Simple)",IF((((B26+C26)/2-VAL_DATE)/360)&lt;=0,1,1/(1+(IF(((INDEX('Curve_Interface'!$K$8:$K$73,MATCH((B26+C26)/2,'Curve_Interface'!$K$8:$K$73,1))-VAL_DATE)/360)&lt;=0,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,(1/INDEX('Curve_Interface'!$L$8:$L$73,MATCH((B26+C26)/2,'Curve_Interface'!$K$8:$K$73,1))-1)/((INDEX('Curve_Interface'!$K$8:$K$73,MATCH((B26+C26)/2,'Curve_Interface'!$K$8:$K$73,1))-VAL_DATE)/360))+(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-IF(((INDEX('Curve_Interface'!$K$8:$K$73,MATCH((B26+C26)/2,'Curve_Interface'!$K$8:$K$73,1))-VAL_DATE)/360)&lt;=0,IF(((INDEX('Curve_Interface'!$K$8:$K$73,MATCH((B26+C26)/2,'Curve_Interface'!$K$8:$K$73,1)+1)-VAL_DATE)/360)&lt;=0,0,(1/INDEX('Curve_Interface'!$L$8:$L$73,MATCH((B26+C26)/2,'Curve_Interface'!$K$8:$K$73,1)+1)-1)/((INDEX('Curve_Interface'!$K$8:$K$73,MATCH((B26+C26)/2,'Curve_Interface'!$K$8:$K$73,1)+1)-VAL_DATE)/360)),(1/INDEX('Curve_Interface'!$L$8:$L$73,MATCH((B26+C26)/2,'Curve_Interface'!$K$8:$K$73,1))-1)/((INDEX('Curve_Interface'!$K$8:$K$73,MATCH((B26+C26)/2,'Curve_Interface'!$K$8:$K$73,1))-VAL_DATE)/360)))*IF(((INDEX('Curve_Interface'!$K$8:$K$73,MATCH((B26+C26)/2,'Curve_Interface'!$K$8:$K$73,1)+1)-VAL_DATE)/360)-((INDEX('Curve_Interface'!$K$8:$K$73,MATCH((B26+C26)/2,'Curve_Interface'!$K$8:$K$73,1))-VAL_DATE)/360)=0,0,((((B26+C26)/2-VAL_DATE)/360)-((INDEX('Curve_Interface'!$K$8:$K$73,MATCH((B26+C26)/2,'Curve_Interface'!$K$8:$K$73,1))-VAL_DATE)/360))/(((INDEX('Curve_Interface'!$K$8:$K$73,MATCH((B26+C26)/2,'Curve_Interface'!$K$8:$K$73,1)+1)-VAL_DATE)/360)-((INDEX('Curve_Interface'!$K$8:$K$73,MATCH((B26+C26)/2,'Curve_Interface'!$K$8:$K$73,1))-VAL_DATE)/360))))*(((B26+C26)/2-VAL_DATE)/360))),INDEX('Curve_Interface'!$L$8:$L$73,MATCH((B26+C26)/2,'Curve_Interface'!$K$8:$K$73,1))*(INDEX('Curve_Interface'!$L$8:$L$73,MATCH((B26+C26)/2,'Curve_Interface'!$K$8:$K$73,1)+1)/INDEX('Curve_Interface'!$L$8:$L$73,MATCH((B26+C26)/2,'Curve_Interface'!$K$8:$K$73,1)))^(((B26+C26)/2-INDEX('Curve_Interface'!$K$8:$K$73,MATCH((B26+C26)/2,'Curve_Interface'!$K$8:$K$73,1)))/(INDEX('Curve_Interface'!$K$8:$K$73,MATCH((B26+C26)/2,'Curve_Interface'!$K$8:$K$73,1)+1)-INDEX('Curve_Interface'!$K$8:$K$73,MATCH((B26+C26)/2,'Curve_Interface'!$K$8:$K$73,1))))),INDEX('Curve_Interface'!$L$8:$L$73,MATCH((B26+C26)/2,'Curve_Interface'!$K$8:$K$73,1)))</f>
        <v/>
      </c>
      <c r="I26" s="36">
        <f>INDEX(Hazard_Bootstrap!$D$7:$D$12,MIN(COUNTIF(Hazard_Bootstrap!$B$7:$B$12,"&lt;"&amp;C26)+1,6))</f>
        <v/>
      </c>
      <c r="J26" s="36">
        <f>K25</f>
        <v/>
      </c>
      <c r="K26" s="36">
        <f>J26*EXP(-I26*E26)</f>
        <v/>
      </c>
      <c r="L26" s="36">
        <f>J26-K26</f>
        <v/>
      </c>
      <c r="M26" s="36">
        <f>D26*G26*K26</f>
        <v/>
      </c>
      <c r="N26" s="36">
        <f>(D26/2)*H26*L26</f>
        <v/>
      </c>
      <c r="O26" s="36">
        <f>H26*L26</f>
        <v/>
      </c>
    </row>
    <row r="27">
      <c r="A27" s="43" t="n">
        <v>21</v>
      </c>
      <c r="B27" s="18">
        <f>C26</f>
        <v/>
      </c>
      <c r="C27" s="18">
        <f>EDATE('Curve_Interface'!$F$7,3*20)</f>
        <v/>
      </c>
      <c r="D27" s="34">
        <f>(C27-B27)/360</f>
        <v/>
      </c>
      <c r="E27" s="34">
        <f>(C27-B27)/365</f>
        <v/>
      </c>
      <c r="F27" s="34">
        <f>(C27-VAL_DATE)/365</f>
        <v/>
      </c>
      <c r="G27" s="36">
        <f>IFERROR(IF(Curve_Interface!$J$7="Piecewise Linear (Simple)",IF(((C27-VAL_DATE)/360)&lt;=0,1,1/(1+(IF(((INDEX('Curve_Interface'!$K$8:$K$73,MATCH(C27,'Curve_Interface'!$K$8:$K$73,1))-VAL_DATE)/360)&lt;=0,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,(1/INDEX('Curve_Interface'!$L$8:$L$73,MATCH(C27,'Curve_Interface'!$K$8:$K$73,1))-1)/((INDEX('Curve_Interface'!$K$8:$K$73,MATCH(C27,'Curve_Interface'!$K$8:$K$73,1))-VAL_DATE)/360))+(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-IF(((INDEX('Curve_Interface'!$K$8:$K$73,MATCH(C27,'Curve_Interface'!$K$8:$K$73,1))-VAL_DATE)/360)&lt;=0,IF(((INDEX('Curve_Interface'!$K$8:$K$73,MATCH(C27,'Curve_Interface'!$K$8:$K$73,1)+1)-VAL_DATE)/360)&lt;=0,0,(1/INDEX('Curve_Interface'!$L$8:$L$73,MATCH(C27,'Curve_Interface'!$K$8:$K$73,1)+1)-1)/((INDEX('Curve_Interface'!$K$8:$K$73,MATCH(C27,'Curve_Interface'!$K$8:$K$73,1)+1)-VAL_DATE)/360)),(1/INDEX('Curve_Interface'!$L$8:$L$73,MATCH(C27,'Curve_Interface'!$K$8:$K$73,1))-1)/((INDEX('Curve_Interface'!$K$8:$K$73,MATCH(C27,'Curve_Interface'!$K$8:$K$73,1))-VAL_DATE)/360)))*IF(((INDEX('Curve_Interface'!$K$8:$K$73,MATCH(C27,'Curve_Interface'!$K$8:$K$73,1)+1)-VAL_DATE)/360)-((INDEX('Curve_Interface'!$K$8:$K$73,MATCH(C27,'Curve_Interface'!$K$8:$K$73,1))-VAL_DATE)/360)=0,0,(((C27-VAL_DATE)/360)-((INDEX('Curve_Interface'!$K$8:$K$73,MATCH(C27,'Curve_Interface'!$K$8:$K$73,1))-VAL_DATE)/360))/(((INDEX('Curve_Interface'!$K$8:$K$73,MATCH(C27,'Curve_Interface'!$K$8:$K$73,1)+1)-VAL_DATE)/360)-((INDEX('Curve_Interface'!$K$8:$K$73,MATCH(C27,'Curve_Interface'!$K$8:$K$73,1))-VAL_DATE)/360))))*((C27-VAL_DATE)/360))),INDEX('Curve_Interface'!$L$8:$L$73,MATCH(C27,'Curve_Interface'!$K$8:$K$73,1))*(INDEX('Curve_Interface'!$L$8:$L$73,MATCH(C27,'Curve_Interface'!$K$8:$K$73,1)+1)/INDEX('Curve_Interface'!$L$8:$L$73,MATCH(C27,'Curve_Interface'!$K$8:$K$73,1)))^((C27-INDEX('Curve_Interface'!$K$8:$K$73,MATCH(C27,'Curve_Interface'!$K$8:$K$73,1)))/(INDEX('Curve_Interface'!$K$8:$K$73,MATCH(C27,'Curve_Interface'!$K$8:$K$73,1)+1)-INDEX('Curve_Interface'!$K$8:$K$73,MATCH(C27,'Curve_Interface'!$K$8:$K$73,1))))),INDEX('Curve_Interface'!$L$8:$L$73,MATCH(C27,'Curve_Interface'!$K$8:$K$73,1)))</f>
        <v/>
      </c>
      <c r="H27" s="36">
        <f>IFERROR(IF(Curve_Interface!$J$7="Piecewise Linear (Simple)",IF((((B27+C27)/2-VAL_DATE)/360)&lt;=0,1,1/(1+(IF(((INDEX('Curve_Interface'!$K$8:$K$73,MATCH((B27+C27)/2,'Curve_Interface'!$K$8:$K$73,1))-VAL_DATE)/360)&lt;=0,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,(1/INDEX('Curve_Interface'!$L$8:$L$73,MATCH((B27+C27)/2,'Curve_Interface'!$K$8:$K$73,1))-1)/((INDEX('Curve_Interface'!$K$8:$K$73,MATCH((B27+C27)/2,'Curve_Interface'!$K$8:$K$73,1))-VAL_DATE)/360))+(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-IF(((INDEX('Curve_Interface'!$K$8:$K$73,MATCH((B27+C27)/2,'Curve_Interface'!$K$8:$K$73,1))-VAL_DATE)/360)&lt;=0,IF(((INDEX('Curve_Interface'!$K$8:$K$73,MATCH((B27+C27)/2,'Curve_Interface'!$K$8:$K$73,1)+1)-VAL_DATE)/360)&lt;=0,0,(1/INDEX('Curve_Interface'!$L$8:$L$73,MATCH((B27+C27)/2,'Curve_Interface'!$K$8:$K$73,1)+1)-1)/((INDEX('Curve_Interface'!$K$8:$K$73,MATCH((B27+C27)/2,'Curve_Interface'!$K$8:$K$73,1)+1)-VAL_DATE)/360)),(1/INDEX('Curve_Interface'!$L$8:$L$73,MATCH((B27+C27)/2,'Curve_Interface'!$K$8:$K$73,1))-1)/((INDEX('Curve_Interface'!$K$8:$K$73,MATCH((B27+C27)/2,'Curve_Interface'!$K$8:$K$73,1))-VAL_DATE)/360)))*IF(((INDEX('Curve_Interface'!$K$8:$K$73,MATCH((B27+C27)/2,'Curve_Interface'!$K$8:$K$73,1)+1)-VAL_DATE)/360)-((INDEX('Curve_Interface'!$K$8:$K$73,MATCH((B27+C27)/2,'Curve_Interface'!$K$8:$K$73,1))-VAL_DATE)/360)=0,0,((((B27+C27)/2-VAL_DATE)/360)-((INDEX('Curve_Interface'!$K$8:$K$73,MATCH((B27+C27)/2,'Curve_Interface'!$K$8:$K$73,1))-VAL_DATE)/360))/(((INDEX('Curve_Interface'!$K$8:$K$73,MATCH((B27+C27)/2,'Curve_Interface'!$K$8:$K$73,1)+1)-VAL_DATE)/360)-((INDEX('Curve_Interface'!$K$8:$K$73,MATCH((B27+C27)/2,'Curve_Interface'!$K$8:$K$73,1))-VAL_DATE)/360))))*(((B27+C27)/2-VAL_DATE)/360))),INDEX('Curve_Interface'!$L$8:$L$73,MATCH((B27+C27)/2,'Curve_Interface'!$K$8:$K$73,1))*(INDEX('Curve_Interface'!$L$8:$L$73,MATCH((B27+C27)/2,'Curve_Interface'!$K$8:$K$73,1)+1)/INDEX('Curve_Interface'!$L$8:$L$73,MATCH((B27+C27)/2,'Curve_Interface'!$K$8:$K$73,1)))^(((B27+C27)/2-INDEX('Curve_Interface'!$K$8:$K$73,MATCH((B27+C27)/2,'Curve_Interface'!$K$8:$K$73,1)))/(INDEX('Curve_Interface'!$K$8:$K$73,MATCH((B27+C27)/2,'Curve_Interface'!$K$8:$K$73,1)+1)-INDEX('Curve_Interface'!$K$8:$K$73,MATCH((B27+C27)/2,'Curve_Interface'!$K$8:$K$73,1))))),INDEX('Curve_Interface'!$L$8:$L$73,MATCH((B27+C27)/2,'Curve_Interface'!$K$8:$K$73,1)))</f>
        <v/>
      </c>
      <c r="I27" s="36">
        <f>INDEX(Hazard_Bootstrap!$D$7:$D$12,MIN(COUNTIF(Hazard_Bootstrap!$B$7:$B$12,"&lt;"&amp;C27)+1,6))</f>
        <v/>
      </c>
      <c r="J27" s="36">
        <f>K26</f>
        <v/>
      </c>
      <c r="K27" s="36">
        <f>J27*EXP(-I27*E27)</f>
        <v/>
      </c>
      <c r="L27" s="36">
        <f>J27-K27</f>
        <v/>
      </c>
      <c r="M27" s="36">
        <f>D27*G27*K27</f>
        <v/>
      </c>
      <c r="N27" s="36">
        <f>(D27/2)*H27*L27</f>
        <v/>
      </c>
      <c r="O27" s="36">
        <f>H27*L27</f>
        <v/>
      </c>
    </row>
    <row r="28">
      <c r="A28" s="43" t="n">
        <v>22</v>
      </c>
      <c r="B28" s="18">
        <f>C27</f>
        <v/>
      </c>
      <c r="C28" s="18">
        <f>EDATE('Curve_Interface'!$F$7,3*21)</f>
        <v/>
      </c>
      <c r="D28" s="34">
        <f>(C28-B28)/360</f>
        <v/>
      </c>
      <c r="E28" s="34">
        <f>(C28-B28)/365</f>
        <v/>
      </c>
      <c r="F28" s="34">
        <f>(C28-VAL_DATE)/365</f>
        <v/>
      </c>
      <c r="G28" s="36">
        <f>IFERROR(IF(Curve_Interface!$J$7="Piecewise Linear (Simple)",IF(((C28-VAL_DATE)/360)&lt;=0,1,1/(1+(IF(((INDEX('Curve_Interface'!$K$8:$K$73,MATCH(C28,'Curve_Interface'!$K$8:$K$73,1))-VAL_DATE)/360)&lt;=0,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,(1/INDEX('Curve_Interface'!$L$8:$L$73,MATCH(C28,'Curve_Interface'!$K$8:$K$73,1))-1)/((INDEX('Curve_Interface'!$K$8:$K$73,MATCH(C28,'Curve_Interface'!$K$8:$K$73,1))-VAL_DATE)/360))+(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-IF(((INDEX('Curve_Interface'!$K$8:$K$73,MATCH(C28,'Curve_Interface'!$K$8:$K$73,1))-VAL_DATE)/360)&lt;=0,IF(((INDEX('Curve_Interface'!$K$8:$K$73,MATCH(C28,'Curve_Interface'!$K$8:$K$73,1)+1)-VAL_DATE)/360)&lt;=0,0,(1/INDEX('Curve_Interface'!$L$8:$L$73,MATCH(C28,'Curve_Interface'!$K$8:$K$73,1)+1)-1)/((INDEX('Curve_Interface'!$K$8:$K$73,MATCH(C28,'Curve_Interface'!$K$8:$K$73,1)+1)-VAL_DATE)/360)),(1/INDEX('Curve_Interface'!$L$8:$L$73,MATCH(C28,'Curve_Interface'!$K$8:$K$73,1))-1)/((INDEX('Curve_Interface'!$K$8:$K$73,MATCH(C28,'Curve_Interface'!$K$8:$K$73,1))-VAL_DATE)/360)))*IF(((INDEX('Curve_Interface'!$K$8:$K$73,MATCH(C28,'Curve_Interface'!$K$8:$K$73,1)+1)-VAL_DATE)/360)-((INDEX('Curve_Interface'!$K$8:$K$73,MATCH(C28,'Curve_Interface'!$K$8:$K$73,1))-VAL_DATE)/360)=0,0,(((C28-VAL_DATE)/360)-((INDEX('Curve_Interface'!$K$8:$K$73,MATCH(C28,'Curve_Interface'!$K$8:$K$73,1))-VAL_DATE)/360))/(((INDEX('Curve_Interface'!$K$8:$K$73,MATCH(C28,'Curve_Interface'!$K$8:$K$73,1)+1)-VAL_DATE)/360)-((INDEX('Curve_Interface'!$K$8:$K$73,MATCH(C28,'Curve_Interface'!$K$8:$K$73,1))-VAL_DATE)/360))))*((C28-VAL_DATE)/360))),INDEX('Curve_Interface'!$L$8:$L$73,MATCH(C28,'Curve_Interface'!$K$8:$K$73,1))*(INDEX('Curve_Interface'!$L$8:$L$73,MATCH(C28,'Curve_Interface'!$K$8:$K$73,1)+1)/INDEX('Curve_Interface'!$L$8:$L$73,MATCH(C28,'Curve_Interface'!$K$8:$K$73,1)))^((C28-INDEX('Curve_Interface'!$K$8:$K$73,MATCH(C28,'Curve_Interface'!$K$8:$K$73,1)))/(INDEX('Curve_Interface'!$K$8:$K$73,MATCH(C28,'Curve_Interface'!$K$8:$K$73,1)+1)-INDEX('Curve_Interface'!$K$8:$K$73,MATCH(C28,'Curve_Interface'!$K$8:$K$73,1))))),INDEX('Curve_Interface'!$L$8:$L$73,MATCH(C28,'Curve_Interface'!$K$8:$K$73,1)))</f>
        <v/>
      </c>
      <c r="H28" s="36">
        <f>IFERROR(IF(Curve_Interface!$J$7="Piecewise Linear (Simple)",IF((((B28+C28)/2-VAL_DATE)/360)&lt;=0,1,1/(1+(IF(((INDEX('Curve_Interface'!$K$8:$K$73,MATCH((B28+C28)/2,'Curve_Interface'!$K$8:$K$73,1))-VAL_DATE)/360)&lt;=0,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,(1/INDEX('Curve_Interface'!$L$8:$L$73,MATCH((B28+C28)/2,'Curve_Interface'!$K$8:$K$73,1))-1)/((INDEX('Curve_Interface'!$K$8:$K$73,MATCH((B28+C28)/2,'Curve_Interface'!$K$8:$K$73,1))-VAL_DATE)/360))+(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-IF(((INDEX('Curve_Interface'!$K$8:$K$73,MATCH((B28+C28)/2,'Curve_Interface'!$K$8:$K$73,1))-VAL_DATE)/360)&lt;=0,IF(((INDEX('Curve_Interface'!$K$8:$K$73,MATCH((B28+C28)/2,'Curve_Interface'!$K$8:$K$73,1)+1)-VAL_DATE)/360)&lt;=0,0,(1/INDEX('Curve_Interface'!$L$8:$L$73,MATCH((B28+C28)/2,'Curve_Interface'!$K$8:$K$73,1)+1)-1)/((INDEX('Curve_Interface'!$K$8:$K$73,MATCH((B28+C28)/2,'Curve_Interface'!$K$8:$K$73,1)+1)-VAL_DATE)/360)),(1/INDEX('Curve_Interface'!$L$8:$L$73,MATCH((B28+C28)/2,'Curve_Interface'!$K$8:$K$73,1))-1)/((INDEX('Curve_Interface'!$K$8:$K$73,MATCH((B28+C28)/2,'Curve_Interface'!$K$8:$K$73,1))-VAL_DATE)/360)))*IF(((INDEX('Curve_Interface'!$K$8:$K$73,MATCH((B28+C28)/2,'Curve_Interface'!$K$8:$K$73,1)+1)-VAL_DATE)/360)-((INDEX('Curve_Interface'!$K$8:$K$73,MATCH((B28+C28)/2,'Curve_Interface'!$K$8:$K$73,1))-VAL_DATE)/360)=0,0,((((B28+C28)/2-VAL_DATE)/360)-((INDEX('Curve_Interface'!$K$8:$K$73,MATCH((B28+C28)/2,'Curve_Interface'!$K$8:$K$73,1))-VAL_DATE)/360))/(((INDEX('Curve_Interface'!$K$8:$K$73,MATCH((B28+C28)/2,'Curve_Interface'!$K$8:$K$73,1)+1)-VAL_DATE)/360)-((INDEX('Curve_Interface'!$K$8:$K$73,MATCH((B28+C28)/2,'Curve_Interface'!$K$8:$K$73,1))-VAL_DATE)/360))))*(((B28+C28)/2-VAL_DATE)/360))),INDEX('Curve_Interface'!$L$8:$L$73,MATCH((B28+C28)/2,'Curve_Interface'!$K$8:$K$73,1))*(INDEX('Curve_Interface'!$L$8:$L$73,MATCH((B28+C28)/2,'Curve_Interface'!$K$8:$K$73,1)+1)/INDEX('Curve_Interface'!$L$8:$L$73,MATCH((B28+C28)/2,'Curve_Interface'!$K$8:$K$73,1)))^(((B28+C28)/2-INDEX('Curve_Interface'!$K$8:$K$73,MATCH((B28+C28)/2,'Curve_Interface'!$K$8:$K$73,1)))/(INDEX('Curve_Interface'!$K$8:$K$73,MATCH((B28+C28)/2,'Curve_Interface'!$K$8:$K$73,1)+1)-INDEX('Curve_Interface'!$K$8:$K$73,MATCH((B28+C28)/2,'Curve_Interface'!$K$8:$K$73,1))))),INDEX('Curve_Interface'!$L$8:$L$73,MATCH((B28+C28)/2,'Curve_Interface'!$K$8:$K$73,1)))</f>
        <v/>
      </c>
      <c r="I28" s="36">
        <f>INDEX(Hazard_Bootstrap!$D$7:$D$12,MIN(COUNTIF(Hazard_Bootstrap!$B$7:$B$12,"&lt;"&amp;C28)+1,6))</f>
        <v/>
      </c>
      <c r="J28" s="36">
        <f>K27</f>
        <v/>
      </c>
      <c r="K28" s="36">
        <f>J28*EXP(-I28*E28)</f>
        <v/>
      </c>
      <c r="L28" s="36">
        <f>J28-K28</f>
        <v/>
      </c>
      <c r="M28" s="36">
        <f>D28*G28*K28</f>
        <v/>
      </c>
      <c r="N28" s="36">
        <f>(D28/2)*H28*L28</f>
        <v/>
      </c>
      <c r="O28" s="36">
        <f>H28*L28</f>
        <v/>
      </c>
    </row>
    <row r="29">
      <c r="A29" s="43" t="n">
        <v>23</v>
      </c>
      <c r="B29" s="18">
        <f>C28</f>
        <v/>
      </c>
      <c r="C29" s="18">
        <f>EDATE('Curve_Interface'!$F$7,3*22)</f>
        <v/>
      </c>
      <c r="D29" s="34">
        <f>(C29-B29)/360</f>
        <v/>
      </c>
      <c r="E29" s="34">
        <f>(C29-B29)/365</f>
        <v/>
      </c>
      <c r="F29" s="34">
        <f>(C29-VAL_DATE)/365</f>
        <v/>
      </c>
      <c r="G29" s="36">
        <f>IFERROR(IF(Curve_Interface!$J$7="Piecewise Linear (Simple)",IF(((C29-VAL_DATE)/360)&lt;=0,1,1/(1+(IF(((INDEX('Curve_Interface'!$K$8:$K$73,MATCH(C29,'Curve_Interface'!$K$8:$K$73,1))-VAL_DATE)/360)&lt;=0,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,(1/INDEX('Curve_Interface'!$L$8:$L$73,MATCH(C29,'Curve_Interface'!$K$8:$K$73,1))-1)/((INDEX('Curve_Interface'!$K$8:$K$73,MATCH(C29,'Curve_Interface'!$K$8:$K$73,1))-VAL_DATE)/360))+(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-IF(((INDEX('Curve_Interface'!$K$8:$K$73,MATCH(C29,'Curve_Interface'!$K$8:$K$73,1))-VAL_DATE)/360)&lt;=0,IF(((INDEX('Curve_Interface'!$K$8:$K$73,MATCH(C29,'Curve_Interface'!$K$8:$K$73,1)+1)-VAL_DATE)/360)&lt;=0,0,(1/INDEX('Curve_Interface'!$L$8:$L$73,MATCH(C29,'Curve_Interface'!$K$8:$K$73,1)+1)-1)/((INDEX('Curve_Interface'!$K$8:$K$73,MATCH(C29,'Curve_Interface'!$K$8:$K$73,1)+1)-VAL_DATE)/360)),(1/INDEX('Curve_Interface'!$L$8:$L$73,MATCH(C29,'Curve_Interface'!$K$8:$K$73,1))-1)/((INDEX('Curve_Interface'!$K$8:$K$73,MATCH(C29,'Curve_Interface'!$K$8:$K$73,1))-VAL_DATE)/360)))*IF(((INDEX('Curve_Interface'!$K$8:$K$73,MATCH(C29,'Curve_Interface'!$K$8:$K$73,1)+1)-VAL_DATE)/360)-((INDEX('Curve_Interface'!$K$8:$K$73,MATCH(C29,'Curve_Interface'!$K$8:$K$73,1))-VAL_DATE)/360)=0,0,(((C29-VAL_DATE)/360)-((INDEX('Curve_Interface'!$K$8:$K$73,MATCH(C29,'Curve_Interface'!$K$8:$K$73,1))-VAL_DATE)/360))/(((INDEX('Curve_Interface'!$K$8:$K$73,MATCH(C29,'Curve_Interface'!$K$8:$K$73,1)+1)-VAL_DATE)/360)-((INDEX('Curve_Interface'!$K$8:$K$73,MATCH(C29,'Curve_Interface'!$K$8:$K$73,1))-VAL_DATE)/360))))*((C29-VAL_DATE)/360))),INDEX('Curve_Interface'!$L$8:$L$73,MATCH(C29,'Curve_Interface'!$K$8:$K$73,1))*(INDEX('Curve_Interface'!$L$8:$L$73,MATCH(C29,'Curve_Interface'!$K$8:$K$73,1)+1)/INDEX('Curve_Interface'!$L$8:$L$73,MATCH(C29,'Curve_Interface'!$K$8:$K$73,1)))^((C29-INDEX('Curve_Interface'!$K$8:$K$73,MATCH(C29,'Curve_Interface'!$K$8:$K$73,1)))/(INDEX('Curve_Interface'!$K$8:$K$73,MATCH(C29,'Curve_Interface'!$K$8:$K$73,1)+1)-INDEX('Curve_Interface'!$K$8:$K$73,MATCH(C29,'Curve_Interface'!$K$8:$K$73,1))))),INDEX('Curve_Interface'!$L$8:$L$73,MATCH(C29,'Curve_Interface'!$K$8:$K$73,1)))</f>
        <v/>
      </c>
      <c r="H29" s="36">
        <f>IFERROR(IF(Curve_Interface!$J$7="Piecewise Linear (Simple)",IF((((B29+C29)/2-VAL_DATE)/360)&lt;=0,1,1/(1+(IF(((INDEX('Curve_Interface'!$K$8:$K$73,MATCH((B29+C29)/2,'Curve_Interface'!$K$8:$K$73,1))-VAL_DATE)/360)&lt;=0,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,(1/INDEX('Curve_Interface'!$L$8:$L$73,MATCH((B29+C29)/2,'Curve_Interface'!$K$8:$K$73,1))-1)/((INDEX('Curve_Interface'!$K$8:$K$73,MATCH((B29+C29)/2,'Curve_Interface'!$K$8:$K$73,1))-VAL_DATE)/360))+(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-IF(((INDEX('Curve_Interface'!$K$8:$K$73,MATCH((B29+C29)/2,'Curve_Interface'!$K$8:$K$73,1))-VAL_DATE)/360)&lt;=0,IF(((INDEX('Curve_Interface'!$K$8:$K$73,MATCH((B29+C29)/2,'Curve_Interface'!$K$8:$K$73,1)+1)-VAL_DATE)/360)&lt;=0,0,(1/INDEX('Curve_Interface'!$L$8:$L$73,MATCH((B29+C29)/2,'Curve_Interface'!$K$8:$K$73,1)+1)-1)/((INDEX('Curve_Interface'!$K$8:$K$73,MATCH((B29+C29)/2,'Curve_Interface'!$K$8:$K$73,1)+1)-VAL_DATE)/360)),(1/INDEX('Curve_Interface'!$L$8:$L$73,MATCH((B29+C29)/2,'Curve_Interface'!$K$8:$K$73,1))-1)/((INDEX('Curve_Interface'!$K$8:$K$73,MATCH((B29+C29)/2,'Curve_Interface'!$K$8:$K$73,1))-VAL_DATE)/360)))*IF(((INDEX('Curve_Interface'!$K$8:$K$73,MATCH((B29+C29)/2,'Curve_Interface'!$K$8:$K$73,1)+1)-VAL_DATE)/360)-((INDEX('Curve_Interface'!$K$8:$K$73,MATCH((B29+C29)/2,'Curve_Interface'!$K$8:$K$73,1))-VAL_DATE)/360)=0,0,((((B29+C29)/2-VAL_DATE)/360)-((INDEX('Curve_Interface'!$K$8:$K$73,MATCH((B29+C29)/2,'Curve_Interface'!$K$8:$K$73,1))-VAL_DATE)/360))/(((INDEX('Curve_Interface'!$K$8:$K$73,MATCH((B29+C29)/2,'Curve_Interface'!$K$8:$K$73,1)+1)-VAL_DATE)/360)-((INDEX('Curve_Interface'!$K$8:$K$73,MATCH((B29+C29)/2,'Curve_Interface'!$K$8:$K$73,1))-VAL_DATE)/360))))*(((B29+C29)/2-VAL_DATE)/360))),INDEX('Curve_Interface'!$L$8:$L$73,MATCH((B29+C29)/2,'Curve_Interface'!$K$8:$K$73,1))*(INDEX('Curve_Interface'!$L$8:$L$73,MATCH((B29+C29)/2,'Curve_Interface'!$K$8:$K$73,1)+1)/INDEX('Curve_Interface'!$L$8:$L$73,MATCH((B29+C29)/2,'Curve_Interface'!$K$8:$K$73,1)))^(((B29+C29)/2-INDEX('Curve_Interface'!$K$8:$K$73,MATCH((B29+C29)/2,'Curve_Interface'!$K$8:$K$73,1)))/(INDEX('Curve_Interface'!$K$8:$K$73,MATCH((B29+C29)/2,'Curve_Interface'!$K$8:$K$73,1)+1)-INDEX('Curve_Interface'!$K$8:$K$73,MATCH((B29+C29)/2,'Curve_Interface'!$K$8:$K$73,1))))),INDEX('Curve_Interface'!$L$8:$L$73,MATCH((B29+C29)/2,'Curve_Interface'!$K$8:$K$73,1)))</f>
        <v/>
      </c>
      <c r="I29" s="36">
        <f>INDEX(Hazard_Bootstrap!$D$7:$D$12,MIN(COUNTIF(Hazard_Bootstrap!$B$7:$B$12,"&lt;"&amp;C29)+1,6))</f>
        <v/>
      </c>
      <c r="J29" s="36">
        <f>K28</f>
        <v/>
      </c>
      <c r="K29" s="36">
        <f>J29*EXP(-I29*E29)</f>
        <v/>
      </c>
      <c r="L29" s="36">
        <f>J29-K29</f>
        <v/>
      </c>
      <c r="M29" s="36">
        <f>D29*G29*K29</f>
        <v/>
      </c>
      <c r="N29" s="36">
        <f>(D29/2)*H29*L29</f>
        <v/>
      </c>
      <c r="O29" s="36">
        <f>H29*L29</f>
        <v/>
      </c>
    </row>
    <row r="30">
      <c r="A30" s="43" t="n">
        <v>24</v>
      </c>
      <c r="B30" s="18">
        <f>C29</f>
        <v/>
      </c>
      <c r="C30" s="18">
        <f>EDATE('Curve_Interface'!$F$7,3*23)</f>
        <v/>
      </c>
      <c r="D30" s="34">
        <f>(C30-B30)/360</f>
        <v/>
      </c>
      <c r="E30" s="34">
        <f>(C30-B30)/365</f>
        <v/>
      </c>
      <c r="F30" s="34">
        <f>(C30-VAL_DATE)/365</f>
        <v/>
      </c>
      <c r="G30" s="36">
        <f>IFERROR(IF(Curve_Interface!$J$7="Piecewise Linear (Simple)",IF(((C30-VAL_DATE)/360)&lt;=0,1,1/(1+(IF(((INDEX('Curve_Interface'!$K$8:$K$73,MATCH(C30,'Curve_Interface'!$K$8:$K$73,1))-VAL_DATE)/360)&lt;=0,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,(1/INDEX('Curve_Interface'!$L$8:$L$73,MATCH(C30,'Curve_Interface'!$K$8:$K$73,1))-1)/((INDEX('Curve_Interface'!$K$8:$K$73,MATCH(C30,'Curve_Interface'!$K$8:$K$73,1))-VAL_DATE)/360))+(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-IF(((INDEX('Curve_Interface'!$K$8:$K$73,MATCH(C30,'Curve_Interface'!$K$8:$K$73,1))-VAL_DATE)/360)&lt;=0,IF(((INDEX('Curve_Interface'!$K$8:$K$73,MATCH(C30,'Curve_Interface'!$K$8:$K$73,1)+1)-VAL_DATE)/360)&lt;=0,0,(1/INDEX('Curve_Interface'!$L$8:$L$73,MATCH(C30,'Curve_Interface'!$K$8:$K$73,1)+1)-1)/((INDEX('Curve_Interface'!$K$8:$K$73,MATCH(C30,'Curve_Interface'!$K$8:$K$73,1)+1)-VAL_DATE)/360)),(1/INDEX('Curve_Interface'!$L$8:$L$73,MATCH(C30,'Curve_Interface'!$K$8:$K$73,1))-1)/((INDEX('Curve_Interface'!$K$8:$K$73,MATCH(C30,'Curve_Interface'!$K$8:$K$73,1))-VAL_DATE)/360)))*IF(((INDEX('Curve_Interface'!$K$8:$K$73,MATCH(C30,'Curve_Interface'!$K$8:$K$73,1)+1)-VAL_DATE)/360)-((INDEX('Curve_Interface'!$K$8:$K$73,MATCH(C30,'Curve_Interface'!$K$8:$K$73,1))-VAL_DATE)/360)=0,0,(((C30-VAL_DATE)/360)-((INDEX('Curve_Interface'!$K$8:$K$73,MATCH(C30,'Curve_Interface'!$K$8:$K$73,1))-VAL_DATE)/360))/(((INDEX('Curve_Interface'!$K$8:$K$73,MATCH(C30,'Curve_Interface'!$K$8:$K$73,1)+1)-VAL_DATE)/360)-((INDEX('Curve_Interface'!$K$8:$K$73,MATCH(C30,'Curve_Interface'!$K$8:$K$73,1))-VAL_DATE)/360))))*((C30-VAL_DATE)/360))),INDEX('Curve_Interface'!$L$8:$L$73,MATCH(C30,'Curve_Interface'!$K$8:$K$73,1))*(INDEX('Curve_Interface'!$L$8:$L$73,MATCH(C30,'Curve_Interface'!$K$8:$K$73,1)+1)/INDEX('Curve_Interface'!$L$8:$L$73,MATCH(C30,'Curve_Interface'!$K$8:$K$73,1)))^((C30-INDEX('Curve_Interface'!$K$8:$K$73,MATCH(C30,'Curve_Interface'!$K$8:$K$73,1)))/(INDEX('Curve_Interface'!$K$8:$K$73,MATCH(C30,'Curve_Interface'!$K$8:$K$73,1)+1)-INDEX('Curve_Interface'!$K$8:$K$73,MATCH(C30,'Curve_Interface'!$K$8:$K$73,1))))),INDEX('Curve_Interface'!$L$8:$L$73,MATCH(C30,'Curve_Interface'!$K$8:$K$73,1)))</f>
        <v/>
      </c>
      <c r="H30" s="36">
        <f>IFERROR(IF(Curve_Interface!$J$7="Piecewise Linear (Simple)",IF((((B30+C30)/2-VAL_DATE)/360)&lt;=0,1,1/(1+(IF(((INDEX('Curve_Interface'!$K$8:$K$73,MATCH((B30+C30)/2,'Curve_Interface'!$K$8:$K$73,1))-VAL_DATE)/360)&lt;=0,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,(1/INDEX('Curve_Interface'!$L$8:$L$73,MATCH((B30+C30)/2,'Curve_Interface'!$K$8:$K$73,1))-1)/((INDEX('Curve_Interface'!$K$8:$K$73,MATCH((B30+C30)/2,'Curve_Interface'!$K$8:$K$73,1))-VAL_DATE)/360))+(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-IF(((INDEX('Curve_Interface'!$K$8:$K$73,MATCH((B30+C30)/2,'Curve_Interface'!$K$8:$K$73,1))-VAL_DATE)/360)&lt;=0,IF(((INDEX('Curve_Interface'!$K$8:$K$73,MATCH((B30+C30)/2,'Curve_Interface'!$K$8:$K$73,1)+1)-VAL_DATE)/360)&lt;=0,0,(1/INDEX('Curve_Interface'!$L$8:$L$73,MATCH((B30+C30)/2,'Curve_Interface'!$K$8:$K$73,1)+1)-1)/((INDEX('Curve_Interface'!$K$8:$K$73,MATCH((B30+C30)/2,'Curve_Interface'!$K$8:$K$73,1)+1)-VAL_DATE)/360)),(1/INDEX('Curve_Interface'!$L$8:$L$73,MATCH((B30+C30)/2,'Curve_Interface'!$K$8:$K$73,1))-1)/((INDEX('Curve_Interface'!$K$8:$K$73,MATCH((B30+C30)/2,'Curve_Interface'!$K$8:$K$73,1))-VAL_DATE)/360)))*IF(((INDEX('Curve_Interface'!$K$8:$K$73,MATCH((B30+C30)/2,'Curve_Interface'!$K$8:$K$73,1)+1)-VAL_DATE)/360)-((INDEX('Curve_Interface'!$K$8:$K$73,MATCH((B30+C30)/2,'Curve_Interface'!$K$8:$K$73,1))-VAL_DATE)/360)=0,0,((((B30+C30)/2-VAL_DATE)/360)-((INDEX('Curve_Interface'!$K$8:$K$73,MATCH((B30+C30)/2,'Curve_Interface'!$K$8:$K$73,1))-VAL_DATE)/360))/(((INDEX('Curve_Interface'!$K$8:$K$73,MATCH((B30+C30)/2,'Curve_Interface'!$K$8:$K$73,1)+1)-VAL_DATE)/360)-((INDEX('Curve_Interface'!$K$8:$K$73,MATCH((B30+C30)/2,'Curve_Interface'!$K$8:$K$73,1))-VAL_DATE)/360))))*(((B30+C30)/2-VAL_DATE)/360))),INDEX('Curve_Interface'!$L$8:$L$73,MATCH((B30+C30)/2,'Curve_Interface'!$K$8:$K$73,1))*(INDEX('Curve_Interface'!$L$8:$L$73,MATCH((B30+C30)/2,'Curve_Interface'!$K$8:$K$73,1)+1)/INDEX('Curve_Interface'!$L$8:$L$73,MATCH((B30+C30)/2,'Curve_Interface'!$K$8:$K$73,1)))^(((B30+C30)/2-INDEX('Curve_Interface'!$K$8:$K$73,MATCH((B30+C30)/2,'Curve_Interface'!$K$8:$K$73,1)))/(INDEX('Curve_Interface'!$K$8:$K$73,MATCH((B30+C30)/2,'Curve_Interface'!$K$8:$K$73,1)+1)-INDEX('Curve_Interface'!$K$8:$K$73,MATCH((B30+C30)/2,'Curve_Interface'!$K$8:$K$73,1))))),INDEX('Curve_Interface'!$L$8:$L$73,MATCH((B30+C30)/2,'Curve_Interface'!$K$8:$K$73,1)))</f>
        <v/>
      </c>
      <c r="I30" s="36">
        <f>INDEX(Hazard_Bootstrap!$D$7:$D$12,MIN(COUNTIF(Hazard_Bootstrap!$B$7:$B$12,"&lt;"&amp;C30)+1,6))</f>
        <v/>
      </c>
      <c r="J30" s="36">
        <f>K29</f>
        <v/>
      </c>
      <c r="K30" s="36">
        <f>J30*EXP(-I30*E30)</f>
        <v/>
      </c>
      <c r="L30" s="36">
        <f>J30-K30</f>
        <v/>
      </c>
      <c r="M30" s="36">
        <f>D30*G30*K30</f>
        <v/>
      </c>
      <c r="N30" s="36">
        <f>(D30/2)*H30*L30</f>
        <v/>
      </c>
      <c r="O30" s="36">
        <f>H30*L30</f>
        <v/>
      </c>
    </row>
    <row r="31">
      <c r="A31" s="43" t="n">
        <v>25</v>
      </c>
      <c r="B31" s="18">
        <f>C30</f>
        <v/>
      </c>
      <c r="C31" s="18">
        <f>EDATE('Curve_Interface'!$F$7,3*24)</f>
        <v/>
      </c>
      <c r="D31" s="34">
        <f>(C31-B31)/360</f>
        <v/>
      </c>
      <c r="E31" s="34">
        <f>(C31-B31)/365</f>
        <v/>
      </c>
      <c r="F31" s="34">
        <f>(C31-VAL_DATE)/365</f>
        <v/>
      </c>
      <c r="G31" s="36">
        <f>IFERROR(IF(Curve_Interface!$J$7="Piecewise Linear (Simple)",IF(((C31-VAL_DATE)/360)&lt;=0,1,1/(1+(IF(((INDEX('Curve_Interface'!$K$8:$K$73,MATCH(C31,'Curve_Interface'!$K$8:$K$73,1))-VAL_DATE)/360)&lt;=0,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,(1/INDEX('Curve_Interface'!$L$8:$L$73,MATCH(C31,'Curve_Interface'!$K$8:$K$73,1))-1)/((INDEX('Curve_Interface'!$K$8:$K$73,MATCH(C31,'Curve_Interface'!$K$8:$K$73,1))-VAL_DATE)/360))+(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-IF(((INDEX('Curve_Interface'!$K$8:$K$73,MATCH(C31,'Curve_Interface'!$K$8:$K$73,1))-VAL_DATE)/360)&lt;=0,IF(((INDEX('Curve_Interface'!$K$8:$K$73,MATCH(C31,'Curve_Interface'!$K$8:$K$73,1)+1)-VAL_DATE)/360)&lt;=0,0,(1/INDEX('Curve_Interface'!$L$8:$L$73,MATCH(C31,'Curve_Interface'!$K$8:$K$73,1)+1)-1)/((INDEX('Curve_Interface'!$K$8:$K$73,MATCH(C31,'Curve_Interface'!$K$8:$K$73,1)+1)-VAL_DATE)/360)),(1/INDEX('Curve_Interface'!$L$8:$L$73,MATCH(C31,'Curve_Interface'!$K$8:$K$73,1))-1)/((INDEX('Curve_Interface'!$K$8:$K$73,MATCH(C31,'Curve_Interface'!$K$8:$K$73,1))-VAL_DATE)/360)))*IF(((INDEX('Curve_Interface'!$K$8:$K$73,MATCH(C31,'Curve_Interface'!$K$8:$K$73,1)+1)-VAL_DATE)/360)-((INDEX('Curve_Interface'!$K$8:$K$73,MATCH(C31,'Curve_Interface'!$K$8:$K$73,1))-VAL_DATE)/360)=0,0,(((C31-VAL_DATE)/360)-((INDEX('Curve_Interface'!$K$8:$K$73,MATCH(C31,'Curve_Interface'!$K$8:$K$73,1))-VAL_DATE)/360))/(((INDEX('Curve_Interface'!$K$8:$K$73,MATCH(C31,'Curve_Interface'!$K$8:$K$73,1)+1)-VAL_DATE)/360)-((INDEX('Curve_Interface'!$K$8:$K$73,MATCH(C31,'Curve_Interface'!$K$8:$K$73,1))-VAL_DATE)/360))))*((C31-VAL_DATE)/360))),INDEX('Curve_Interface'!$L$8:$L$73,MATCH(C31,'Curve_Interface'!$K$8:$K$73,1))*(INDEX('Curve_Interface'!$L$8:$L$73,MATCH(C31,'Curve_Interface'!$K$8:$K$73,1)+1)/INDEX('Curve_Interface'!$L$8:$L$73,MATCH(C31,'Curve_Interface'!$K$8:$K$73,1)))^((C31-INDEX('Curve_Interface'!$K$8:$K$73,MATCH(C31,'Curve_Interface'!$K$8:$K$73,1)))/(INDEX('Curve_Interface'!$K$8:$K$73,MATCH(C31,'Curve_Interface'!$K$8:$K$73,1)+1)-INDEX('Curve_Interface'!$K$8:$K$73,MATCH(C31,'Curve_Interface'!$K$8:$K$73,1))))),INDEX('Curve_Interface'!$L$8:$L$73,MATCH(C31,'Curve_Interface'!$K$8:$K$73,1)))</f>
        <v/>
      </c>
      <c r="H31" s="36">
        <f>IFERROR(IF(Curve_Interface!$J$7="Piecewise Linear (Simple)",IF((((B31+C31)/2-VAL_DATE)/360)&lt;=0,1,1/(1+(IF(((INDEX('Curve_Interface'!$K$8:$K$73,MATCH((B31+C31)/2,'Curve_Interface'!$K$8:$K$73,1))-VAL_DATE)/360)&lt;=0,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,(1/INDEX('Curve_Interface'!$L$8:$L$73,MATCH((B31+C31)/2,'Curve_Interface'!$K$8:$K$73,1))-1)/((INDEX('Curve_Interface'!$K$8:$K$73,MATCH((B31+C31)/2,'Curve_Interface'!$K$8:$K$73,1))-VAL_DATE)/360))+(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-IF(((INDEX('Curve_Interface'!$K$8:$K$73,MATCH((B31+C31)/2,'Curve_Interface'!$K$8:$K$73,1))-VAL_DATE)/360)&lt;=0,IF(((INDEX('Curve_Interface'!$K$8:$K$73,MATCH((B31+C31)/2,'Curve_Interface'!$K$8:$K$73,1)+1)-VAL_DATE)/360)&lt;=0,0,(1/INDEX('Curve_Interface'!$L$8:$L$73,MATCH((B31+C31)/2,'Curve_Interface'!$K$8:$K$73,1)+1)-1)/((INDEX('Curve_Interface'!$K$8:$K$73,MATCH((B31+C31)/2,'Curve_Interface'!$K$8:$K$73,1)+1)-VAL_DATE)/360)),(1/INDEX('Curve_Interface'!$L$8:$L$73,MATCH((B31+C31)/2,'Curve_Interface'!$K$8:$K$73,1))-1)/((INDEX('Curve_Interface'!$K$8:$K$73,MATCH((B31+C31)/2,'Curve_Interface'!$K$8:$K$73,1))-VAL_DATE)/360)))*IF(((INDEX('Curve_Interface'!$K$8:$K$73,MATCH((B31+C31)/2,'Curve_Interface'!$K$8:$K$73,1)+1)-VAL_DATE)/360)-((INDEX('Curve_Interface'!$K$8:$K$73,MATCH((B31+C31)/2,'Curve_Interface'!$K$8:$K$73,1))-VAL_DATE)/360)=0,0,((((B31+C31)/2-VAL_DATE)/360)-((INDEX('Curve_Interface'!$K$8:$K$73,MATCH((B31+C31)/2,'Curve_Interface'!$K$8:$K$73,1))-VAL_DATE)/360))/(((INDEX('Curve_Interface'!$K$8:$K$73,MATCH((B31+C31)/2,'Curve_Interface'!$K$8:$K$73,1)+1)-VAL_DATE)/360)-((INDEX('Curve_Interface'!$K$8:$K$73,MATCH((B31+C31)/2,'Curve_Interface'!$K$8:$K$73,1))-VAL_DATE)/360))))*(((B31+C31)/2-VAL_DATE)/360))),INDEX('Curve_Interface'!$L$8:$L$73,MATCH((B31+C31)/2,'Curve_Interface'!$K$8:$K$73,1))*(INDEX('Curve_Interface'!$L$8:$L$73,MATCH((B31+C31)/2,'Curve_Interface'!$K$8:$K$73,1)+1)/INDEX('Curve_Interface'!$L$8:$L$73,MATCH((B31+C31)/2,'Curve_Interface'!$K$8:$K$73,1)))^(((B31+C31)/2-INDEX('Curve_Interface'!$K$8:$K$73,MATCH((B31+C31)/2,'Curve_Interface'!$K$8:$K$73,1)))/(INDEX('Curve_Interface'!$K$8:$K$73,MATCH((B31+C31)/2,'Curve_Interface'!$K$8:$K$73,1)+1)-INDEX('Curve_Interface'!$K$8:$K$73,MATCH((B31+C31)/2,'Curve_Interface'!$K$8:$K$73,1))))),INDEX('Curve_Interface'!$L$8:$L$73,MATCH((B31+C31)/2,'Curve_Interface'!$K$8:$K$73,1)))</f>
        <v/>
      </c>
      <c r="I31" s="36">
        <f>INDEX(Hazard_Bootstrap!$D$7:$D$12,MIN(COUNTIF(Hazard_Bootstrap!$B$7:$B$12,"&lt;"&amp;C31)+1,6))</f>
        <v/>
      </c>
      <c r="J31" s="36">
        <f>K30</f>
        <v/>
      </c>
      <c r="K31" s="36">
        <f>J31*EXP(-I31*E31)</f>
        <v/>
      </c>
      <c r="L31" s="36">
        <f>J31-K31</f>
        <v/>
      </c>
      <c r="M31" s="36">
        <f>D31*G31*K31</f>
        <v/>
      </c>
      <c r="N31" s="36">
        <f>(D31/2)*H31*L31</f>
        <v/>
      </c>
      <c r="O31" s="36">
        <f>H31*L31</f>
        <v/>
      </c>
    </row>
    <row r="32">
      <c r="A32" s="43" t="n">
        <v>26</v>
      </c>
      <c r="B32" s="18">
        <f>C31</f>
        <v/>
      </c>
      <c r="C32" s="18">
        <f>EDATE('Curve_Interface'!$F$7,3*25)</f>
        <v/>
      </c>
      <c r="D32" s="34">
        <f>(C32-B32)/360</f>
        <v/>
      </c>
      <c r="E32" s="34">
        <f>(C32-B32)/365</f>
        <v/>
      </c>
      <c r="F32" s="34">
        <f>(C32-VAL_DATE)/365</f>
        <v/>
      </c>
      <c r="G32" s="36">
        <f>IFERROR(IF(Curve_Interface!$J$7="Piecewise Linear (Simple)",IF(((C32-VAL_DATE)/360)&lt;=0,1,1/(1+(IF(((INDEX('Curve_Interface'!$K$8:$K$73,MATCH(C32,'Curve_Interface'!$K$8:$K$73,1))-VAL_DATE)/360)&lt;=0,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,(1/INDEX('Curve_Interface'!$L$8:$L$73,MATCH(C32,'Curve_Interface'!$K$8:$K$73,1))-1)/((INDEX('Curve_Interface'!$K$8:$K$73,MATCH(C32,'Curve_Interface'!$K$8:$K$73,1))-VAL_DATE)/360))+(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-IF(((INDEX('Curve_Interface'!$K$8:$K$73,MATCH(C32,'Curve_Interface'!$K$8:$K$73,1))-VAL_DATE)/360)&lt;=0,IF(((INDEX('Curve_Interface'!$K$8:$K$73,MATCH(C32,'Curve_Interface'!$K$8:$K$73,1)+1)-VAL_DATE)/360)&lt;=0,0,(1/INDEX('Curve_Interface'!$L$8:$L$73,MATCH(C32,'Curve_Interface'!$K$8:$K$73,1)+1)-1)/((INDEX('Curve_Interface'!$K$8:$K$73,MATCH(C32,'Curve_Interface'!$K$8:$K$73,1)+1)-VAL_DATE)/360)),(1/INDEX('Curve_Interface'!$L$8:$L$73,MATCH(C32,'Curve_Interface'!$K$8:$K$73,1))-1)/((INDEX('Curve_Interface'!$K$8:$K$73,MATCH(C32,'Curve_Interface'!$K$8:$K$73,1))-VAL_DATE)/360)))*IF(((INDEX('Curve_Interface'!$K$8:$K$73,MATCH(C32,'Curve_Interface'!$K$8:$K$73,1)+1)-VAL_DATE)/360)-((INDEX('Curve_Interface'!$K$8:$K$73,MATCH(C32,'Curve_Interface'!$K$8:$K$73,1))-VAL_DATE)/360)=0,0,(((C32-VAL_DATE)/360)-((INDEX('Curve_Interface'!$K$8:$K$73,MATCH(C32,'Curve_Interface'!$K$8:$K$73,1))-VAL_DATE)/360))/(((INDEX('Curve_Interface'!$K$8:$K$73,MATCH(C32,'Curve_Interface'!$K$8:$K$73,1)+1)-VAL_DATE)/360)-((INDEX('Curve_Interface'!$K$8:$K$73,MATCH(C32,'Curve_Interface'!$K$8:$K$73,1))-VAL_DATE)/360))))*((C32-VAL_DATE)/360))),INDEX('Curve_Interface'!$L$8:$L$73,MATCH(C32,'Curve_Interface'!$K$8:$K$73,1))*(INDEX('Curve_Interface'!$L$8:$L$73,MATCH(C32,'Curve_Interface'!$K$8:$K$73,1)+1)/INDEX('Curve_Interface'!$L$8:$L$73,MATCH(C32,'Curve_Interface'!$K$8:$K$73,1)))^((C32-INDEX('Curve_Interface'!$K$8:$K$73,MATCH(C32,'Curve_Interface'!$K$8:$K$73,1)))/(INDEX('Curve_Interface'!$K$8:$K$73,MATCH(C32,'Curve_Interface'!$K$8:$K$73,1)+1)-INDEX('Curve_Interface'!$K$8:$K$73,MATCH(C32,'Curve_Interface'!$K$8:$K$73,1))))),INDEX('Curve_Interface'!$L$8:$L$73,MATCH(C32,'Curve_Interface'!$K$8:$K$73,1)))</f>
        <v/>
      </c>
      <c r="H32" s="36">
        <f>IFERROR(IF(Curve_Interface!$J$7="Piecewise Linear (Simple)",IF((((B32+C32)/2-VAL_DATE)/360)&lt;=0,1,1/(1+(IF(((INDEX('Curve_Interface'!$K$8:$K$73,MATCH((B32+C32)/2,'Curve_Interface'!$K$8:$K$73,1))-VAL_DATE)/360)&lt;=0,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,(1/INDEX('Curve_Interface'!$L$8:$L$73,MATCH((B32+C32)/2,'Curve_Interface'!$K$8:$K$73,1))-1)/((INDEX('Curve_Interface'!$K$8:$K$73,MATCH((B32+C32)/2,'Curve_Interface'!$K$8:$K$73,1))-VAL_DATE)/360))+(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-IF(((INDEX('Curve_Interface'!$K$8:$K$73,MATCH((B32+C32)/2,'Curve_Interface'!$K$8:$K$73,1))-VAL_DATE)/360)&lt;=0,IF(((INDEX('Curve_Interface'!$K$8:$K$73,MATCH((B32+C32)/2,'Curve_Interface'!$K$8:$K$73,1)+1)-VAL_DATE)/360)&lt;=0,0,(1/INDEX('Curve_Interface'!$L$8:$L$73,MATCH((B32+C32)/2,'Curve_Interface'!$K$8:$K$73,1)+1)-1)/((INDEX('Curve_Interface'!$K$8:$K$73,MATCH((B32+C32)/2,'Curve_Interface'!$K$8:$K$73,1)+1)-VAL_DATE)/360)),(1/INDEX('Curve_Interface'!$L$8:$L$73,MATCH((B32+C32)/2,'Curve_Interface'!$K$8:$K$73,1))-1)/((INDEX('Curve_Interface'!$K$8:$K$73,MATCH((B32+C32)/2,'Curve_Interface'!$K$8:$K$73,1))-VAL_DATE)/360)))*IF(((INDEX('Curve_Interface'!$K$8:$K$73,MATCH((B32+C32)/2,'Curve_Interface'!$K$8:$K$73,1)+1)-VAL_DATE)/360)-((INDEX('Curve_Interface'!$K$8:$K$73,MATCH((B32+C32)/2,'Curve_Interface'!$K$8:$K$73,1))-VAL_DATE)/360)=0,0,((((B32+C32)/2-VAL_DATE)/360)-((INDEX('Curve_Interface'!$K$8:$K$73,MATCH((B32+C32)/2,'Curve_Interface'!$K$8:$K$73,1))-VAL_DATE)/360))/(((INDEX('Curve_Interface'!$K$8:$K$73,MATCH((B32+C32)/2,'Curve_Interface'!$K$8:$K$73,1)+1)-VAL_DATE)/360)-((INDEX('Curve_Interface'!$K$8:$K$73,MATCH((B32+C32)/2,'Curve_Interface'!$K$8:$K$73,1))-VAL_DATE)/360))))*(((B32+C32)/2-VAL_DATE)/360))),INDEX('Curve_Interface'!$L$8:$L$73,MATCH((B32+C32)/2,'Curve_Interface'!$K$8:$K$73,1))*(INDEX('Curve_Interface'!$L$8:$L$73,MATCH((B32+C32)/2,'Curve_Interface'!$K$8:$K$73,1)+1)/INDEX('Curve_Interface'!$L$8:$L$73,MATCH((B32+C32)/2,'Curve_Interface'!$K$8:$K$73,1)))^(((B32+C32)/2-INDEX('Curve_Interface'!$K$8:$K$73,MATCH((B32+C32)/2,'Curve_Interface'!$K$8:$K$73,1)))/(INDEX('Curve_Interface'!$K$8:$K$73,MATCH((B32+C32)/2,'Curve_Interface'!$K$8:$K$73,1)+1)-INDEX('Curve_Interface'!$K$8:$K$73,MATCH((B32+C32)/2,'Curve_Interface'!$K$8:$K$73,1))))),INDEX('Curve_Interface'!$L$8:$L$73,MATCH((B32+C32)/2,'Curve_Interface'!$K$8:$K$73,1)))</f>
        <v/>
      </c>
      <c r="I32" s="36">
        <f>INDEX(Hazard_Bootstrap!$D$7:$D$12,MIN(COUNTIF(Hazard_Bootstrap!$B$7:$B$12,"&lt;"&amp;C32)+1,6))</f>
        <v/>
      </c>
      <c r="J32" s="36">
        <f>K31</f>
        <v/>
      </c>
      <c r="K32" s="36">
        <f>J32*EXP(-I32*E32)</f>
        <v/>
      </c>
      <c r="L32" s="36">
        <f>J32-K32</f>
        <v/>
      </c>
      <c r="M32" s="36">
        <f>D32*G32*K32</f>
        <v/>
      </c>
      <c r="N32" s="36">
        <f>(D32/2)*H32*L32</f>
        <v/>
      </c>
      <c r="O32" s="36">
        <f>H32*L32</f>
        <v/>
      </c>
    </row>
    <row r="33">
      <c r="A33" s="43" t="n">
        <v>27</v>
      </c>
      <c r="B33" s="18">
        <f>C32</f>
        <v/>
      </c>
      <c r="C33" s="18">
        <f>EDATE('Curve_Interface'!$F$7,3*26)</f>
        <v/>
      </c>
      <c r="D33" s="34">
        <f>(C33-B33)/360</f>
        <v/>
      </c>
      <c r="E33" s="34">
        <f>(C33-B33)/365</f>
        <v/>
      </c>
      <c r="F33" s="34">
        <f>(C33-VAL_DATE)/365</f>
        <v/>
      </c>
      <c r="G33" s="36">
        <f>IFERROR(IF(Curve_Interface!$J$7="Piecewise Linear (Simple)",IF(((C33-VAL_DATE)/360)&lt;=0,1,1/(1+(IF(((INDEX('Curve_Interface'!$K$8:$K$73,MATCH(C33,'Curve_Interface'!$K$8:$K$73,1))-VAL_DATE)/360)&lt;=0,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,(1/INDEX('Curve_Interface'!$L$8:$L$73,MATCH(C33,'Curve_Interface'!$K$8:$K$73,1))-1)/((INDEX('Curve_Interface'!$K$8:$K$73,MATCH(C33,'Curve_Interface'!$K$8:$K$73,1))-VAL_DATE)/360))+(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-IF(((INDEX('Curve_Interface'!$K$8:$K$73,MATCH(C33,'Curve_Interface'!$K$8:$K$73,1))-VAL_DATE)/360)&lt;=0,IF(((INDEX('Curve_Interface'!$K$8:$K$73,MATCH(C33,'Curve_Interface'!$K$8:$K$73,1)+1)-VAL_DATE)/360)&lt;=0,0,(1/INDEX('Curve_Interface'!$L$8:$L$73,MATCH(C33,'Curve_Interface'!$K$8:$K$73,1)+1)-1)/((INDEX('Curve_Interface'!$K$8:$K$73,MATCH(C33,'Curve_Interface'!$K$8:$K$73,1)+1)-VAL_DATE)/360)),(1/INDEX('Curve_Interface'!$L$8:$L$73,MATCH(C33,'Curve_Interface'!$K$8:$K$73,1))-1)/((INDEX('Curve_Interface'!$K$8:$K$73,MATCH(C33,'Curve_Interface'!$K$8:$K$73,1))-VAL_DATE)/360)))*IF(((INDEX('Curve_Interface'!$K$8:$K$73,MATCH(C33,'Curve_Interface'!$K$8:$K$73,1)+1)-VAL_DATE)/360)-((INDEX('Curve_Interface'!$K$8:$K$73,MATCH(C33,'Curve_Interface'!$K$8:$K$73,1))-VAL_DATE)/360)=0,0,(((C33-VAL_DATE)/360)-((INDEX('Curve_Interface'!$K$8:$K$73,MATCH(C33,'Curve_Interface'!$K$8:$K$73,1))-VAL_DATE)/360))/(((INDEX('Curve_Interface'!$K$8:$K$73,MATCH(C33,'Curve_Interface'!$K$8:$K$73,1)+1)-VAL_DATE)/360)-((INDEX('Curve_Interface'!$K$8:$K$73,MATCH(C33,'Curve_Interface'!$K$8:$K$73,1))-VAL_DATE)/360))))*((C33-VAL_DATE)/360))),INDEX('Curve_Interface'!$L$8:$L$73,MATCH(C33,'Curve_Interface'!$K$8:$K$73,1))*(INDEX('Curve_Interface'!$L$8:$L$73,MATCH(C33,'Curve_Interface'!$K$8:$K$73,1)+1)/INDEX('Curve_Interface'!$L$8:$L$73,MATCH(C33,'Curve_Interface'!$K$8:$K$73,1)))^((C33-INDEX('Curve_Interface'!$K$8:$K$73,MATCH(C33,'Curve_Interface'!$K$8:$K$73,1)))/(INDEX('Curve_Interface'!$K$8:$K$73,MATCH(C33,'Curve_Interface'!$K$8:$K$73,1)+1)-INDEX('Curve_Interface'!$K$8:$K$73,MATCH(C33,'Curve_Interface'!$K$8:$K$73,1))))),INDEX('Curve_Interface'!$L$8:$L$73,MATCH(C33,'Curve_Interface'!$K$8:$K$73,1)))</f>
        <v/>
      </c>
      <c r="H33" s="36">
        <f>IFERROR(IF(Curve_Interface!$J$7="Piecewise Linear (Simple)",IF((((B33+C33)/2-VAL_DATE)/360)&lt;=0,1,1/(1+(IF(((INDEX('Curve_Interface'!$K$8:$K$73,MATCH((B33+C33)/2,'Curve_Interface'!$K$8:$K$73,1))-VAL_DATE)/360)&lt;=0,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,(1/INDEX('Curve_Interface'!$L$8:$L$73,MATCH((B33+C33)/2,'Curve_Interface'!$K$8:$K$73,1))-1)/((INDEX('Curve_Interface'!$K$8:$K$73,MATCH((B33+C33)/2,'Curve_Interface'!$K$8:$K$73,1))-VAL_DATE)/360))+(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-IF(((INDEX('Curve_Interface'!$K$8:$K$73,MATCH((B33+C33)/2,'Curve_Interface'!$K$8:$K$73,1))-VAL_DATE)/360)&lt;=0,IF(((INDEX('Curve_Interface'!$K$8:$K$73,MATCH((B33+C33)/2,'Curve_Interface'!$K$8:$K$73,1)+1)-VAL_DATE)/360)&lt;=0,0,(1/INDEX('Curve_Interface'!$L$8:$L$73,MATCH((B33+C33)/2,'Curve_Interface'!$K$8:$K$73,1)+1)-1)/((INDEX('Curve_Interface'!$K$8:$K$73,MATCH((B33+C33)/2,'Curve_Interface'!$K$8:$K$73,1)+1)-VAL_DATE)/360)),(1/INDEX('Curve_Interface'!$L$8:$L$73,MATCH((B33+C33)/2,'Curve_Interface'!$K$8:$K$73,1))-1)/((INDEX('Curve_Interface'!$K$8:$K$73,MATCH((B33+C33)/2,'Curve_Interface'!$K$8:$K$73,1))-VAL_DATE)/360)))*IF(((INDEX('Curve_Interface'!$K$8:$K$73,MATCH((B33+C33)/2,'Curve_Interface'!$K$8:$K$73,1)+1)-VAL_DATE)/360)-((INDEX('Curve_Interface'!$K$8:$K$73,MATCH((B33+C33)/2,'Curve_Interface'!$K$8:$K$73,1))-VAL_DATE)/360)=0,0,((((B33+C33)/2-VAL_DATE)/360)-((INDEX('Curve_Interface'!$K$8:$K$73,MATCH((B33+C33)/2,'Curve_Interface'!$K$8:$K$73,1))-VAL_DATE)/360))/(((INDEX('Curve_Interface'!$K$8:$K$73,MATCH((B33+C33)/2,'Curve_Interface'!$K$8:$K$73,1)+1)-VAL_DATE)/360)-((INDEX('Curve_Interface'!$K$8:$K$73,MATCH((B33+C33)/2,'Curve_Interface'!$K$8:$K$73,1))-VAL_DATE)/360))))*(((B33+C33)/2-VAL_DATE)/360))),INDEX('Curve_Interface'!$L$8:$L$73,MATCH((B33+C33)/2,'Curve_Interface'!$K$8:$K$73,1))*(INDEX('Curve_Interface'!$L$8:$L$73,MATCH((B33+C33)/2,'Curve_Interface'!$K$8:$K$73,1)+1)/INDEX('Curve_Interface'!$L$8:$L$73,MATCH((B33+C33)/2,'Curve_Interface'!$K$8:$K$73,1)))^(((B33+C33)/2-INDEX('Curve_Interface'!$K$8:$K$73,MATCH((B33+C33)/2,'Curve_Interface'!$K$8:$K$73,1)))/(INDEX('Curve_Interface'!$K$8:$K$73,MATCH((B33+C33)/2,'Curve_Interface'!$K$8:$K$73,1)+1)-INDEX('Curve_Interface'!$K$8:$K$73,MATCH((B33+C33)/2,'Curve_Interface'!$K$8:$K$73,1))))),INDEX('Curve_Interface'!$L$8:$L$73,MATCH((B33+C33)/2,'Curve_Interface'!$K$8:$K$73,1)))</f>
        <v/>
      </c>
      <c r="I33" s="36">
        <f>INDEX(Hazard_Bootstrap!$D$7:$D$12,MIN(COUNTIF(Hazard_Bootstrap!$B$7:$B$12,"&lt;"&amp;C33)+1,6))</f>
        <v/>
      </c>
      <c r="J33" s="36">
        <f>K32</f>
        <v/>
      </c>
      <c r="K33" s="36">
        <f>J33*EXP(-I33*E33)</f>
        <v/>
      </c>
      <c r="L33" s="36">
        <f>J33-K33</f>
        <v/>
      </c>
      <c r="M33" s="36">
        <f>D33*G33*K33</f>
        <v/>
      </c>
      <c r="N33" s="36">
        <f>(D33/2)*H33*L33</f>
        <v/>
      </c>
      <c r="O33" s="36">
        <f>H33*L33</f>
        <v/>
      </c>
    </row>
    <row r="34">
      <c r="A34" s="43" t="n">
        <v>28</v>
      </c>
      <c r="B34" s="18">
        <f>C33</f>
        <v/>
      </c>
      <c r="C34" s="18">
        <f>EDATE('Curve_Interface'!$F$7,3*27)</f>
        <v/>
      </c>
      <c r="D34" s="34">
        <f>(C34-B34)/360</f>
        <v/>
      </c>
      <c r="E34" s="34">
        <f>(C34-B34)/365</f>
        <v/>
      </c>
      <c r="F34" s="34">
        <f>(C34-VAL_DATE)/365</f>
        <v/>
      </c>
      <c r="G34" s="36">
        <f>IFERROR(IF(Curve_Interface!$J$7="Piecewise Linear (Simple)",IF(((C34-VAL_DATE)/360)&lt;=0,1,1/(1+(IF(((INDEX('Curve_Interface'!$K$8:$K$73,MATCH(C34,'Curve_Interface'!$K$8:$K$73,1))-VAL_DATE)/360)&lt;=0,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,(1/INDEX('Curve_Interface'!$L$8:$L$73,MATCH(C34,'Curve_Interface'!$K$8:$K$73,1))-1)/((INDEX('Curve_Interface'!$K$8:$K$73,MATCH(C34,'Curve_Interface'!$K$8:$K$73,1))-VAL_DATE)/360))+(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-IF(((INDEX('Curve_Interface'!$K$8:$K$73,MATCH(C34,'Curve_Interface'!$K$8:$K$73,1))-VAL_DATE)/360)&lt;=0,IF(((INDEX('Curve_Interface'!$K$8:$K$73,MATCH(C34,'Curve_Interface'!$K$8:$K$73,1)+1)-VAL_DATE)/360)&lt;=0,0,(1/INDEX('Curve_Interface'!$L$8:$L$73,MATCH(C34,'Curve_Interface'!$K$8:$K$73,1)+1)-1)/((INDEX('Curve_Interface'!$K$8:$K$73,MATCH(C34,'Curve_Interface'!$K$8:$K$73,1)+1)-VAL_DATE)/360)),(1/INDEX('Curve_Interface'!$L$8:$L$73,MATCH(C34,'Curve_Interface'!$K$8:$K$73,1))-1)/((INDEX('Curve_Interface'!$K$8:$K$73,MATCH(C34,'Curve_Interface'!$K$8:$K$73,1))-VAL_DATE)/360)))*IF(((INDEX('Curve_Interface'!$K$8:$K$73,MATCH(C34,'Curve_Interface'!$K$8:$K$73,1)+1)-VAL_DATE)/360)-((INDEX('Curve_Interface'!$K$8:$K$73,MATCH(C34,'Curve_Interface'!$K$8:$K$73,1))-VAL_DATE)/360)=0,0,(((C34-VAL_DATE)/360)-((INDEX('Curve_Interface'!$K$8:$K$73,MATCH(C34,'Curve_Interface'!$K$8:$K$73,1))-VAL_DATE)/360))/(((INDEX('Curve_Interface'!$K$8:$K$73,MATCH(C34,'Curve_Interface'!$K$8:$K$73,1)+1)-VAL_DATE)/360)-((INDEX('Curve_Interface'!$K$8:$K$73,MATCH(C34,'Curve_Interface'!$K$8:$K$73,1))-VAL_DATE)/360))))*((C34-VAL_DATE)/360))),INDEX('Curve_Interface'!$L$8:$L$73,MATCH(C34,'Curve_Interface'!$K$8:$K$73,1))*(INDEX('Curve_Interface'!$L$8:$L$73,MATCH(C34,'Curve_Interface'!$K$8:$K$73,1)+1)/INDEX('Curve_Interface'!$L$8:$L$73,MATCH(C34,'Curve_Interface'!$K$8:$K$73,1)))^((C34-INDEX('Curve_Interface'!$K$8:$K$73,MATCH(C34,'Curve_Interface'!$K$8:$K$73,1)))/(INDEX('Curve_Interface'!$K$8:$K$73,MATCH(C34,'Curve_Interface'!$K$8:$K$73,1)+1)-INDEX('Curve_Interface'!$K$8:$K$73,MATCH(C34,'Curve_Interface'!$K$8:$K$73,1))))),INDEX('Curve_Interface'!$L$8:$L$73,MATCH(C34,'Curve_Interface'!$K$8:$K$73,1)))</f>
        <v/>
      </c>
      <c r="H34" s="36">
        <f>IFERROR(IF(Curve_Interface!$J$7="Piecewise Linear (Simple)",IF((((B34+C34)/2-VAL_DATE)/360)&lt;=0,1,1/(1+(IF(((INDEX('Curve_Interface'!$K$8:$K$73,MATCH((B34+C34)/2,'Curve_Interface'!$K$8:$K$73,1))-VAL_DATE)/360)&lt;=0,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,(1/INDEX('Curve_Interface'!$L$8:$L$73,MATCH((B34+C34)/2,'Curve_Interface'!$K$8:$K$73,1))-1)/((INDEX('Curve_Interface'!$K$8:$K$73,MATCH((B34+C34)/2,'Curve_Interface'!$K$8:$K$73,1))-VAL_DATE)/360))+(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-IF(((INDEX('Curve_Interface'!$K$8:$K$73,MATCH((B34+C34)/2,'Curve_Interface'!$K$8:$K$73,1))-VAL_DATE)/360)&lt;=0,IF(((INDEX('Curve_Interface'!$K$8:$K$73,MATCH((B34+C34)/2,'Curve_Interface'!$K$8:$K$73,1)+1)-VAL_DATE)/360)&lt;=0,0,(1/INDEX('Curve_Interface'!$L$8:$L$73,MATCH((B34+C34)/2,'Curve_Interface'!$K$8:$K$73,1)+1)-1)/((INDEX('Curve_Interface'!$K$8:$K$73,MATCH((B34+C34)/2,'Curve_Interface'!$K$8:$K$73,1)+1)-VAL_DATE)/360)),(1/INDEX('Curve_Interface'!$L$8:$L$73,MATCH((B34+C34)/2,'Curve_Interface'!$K$8:$K$73,1))-1)/((INDEX('Curve_Interface'!$K$8:$K$73,MATCH((B34+C34)/2,'Curve_Interface'!$K$8:$K$73,1))-VAL_DATE)/360)))*IF(((INDEX('Curve_Interface'!$K$8:$K$73,MATCH((B34+C34)/2,'Curve_Interface'!$K$8:$K$73,1)+1)-VAL_DATE)/360)-((INDEX('Curve_Interface'!$K$8:$K$73,MATCH((B34+C34)/2,'Curve_Interface'!$K$8:$K$73,1))-VAL_DATE)/360)=0,0,((((B34+C34)/2-VAL_DATE)/360)-((INDEX('Curve_Interface'!$K$8:$K$73,MATCH((B34+C34)/2,'Curve_Interface'!$K$8:$K$73,1))-VAL_DATE)/360))/(((INDEX('Curve_Interface'!$K$8:$K$73,MATCH((B34+C34)/2,'Curve_Interface'!$K$8:$K$73,1)+1)-VAL_DATE)/360)-((INDEX('Curve_Interface'!$K$8:$K$73,MATCH((B34+C34)/2,'Curve_Interface'!$K$8:$K$73,1))-VAL_DATE)/360))))*(((B34+C34)/2-VAL_DATE)/360))),INDEX('Curve_Interface'!$L$8:$L$73,MATCH((B34+C34)/2,'Curve_Interface'!$K$8:$K$73,1))*(INDEX('Curve_Interface'!$L$8:$L$73,MATCH((B34+C34)/2,'Curve_Interface'!$K$8:$K$73,1)+1)/INDEX('Curve_Interface'!$L$8:$L$73,MATCH((B34+C34)/2,'Curve_Interface'!$K$8:$K$73,1)))^(((B34+C34)/2-INDEX('Curve_Interface'!$K$8:$K$73,MATCH((B34+C34)/2,'Curve_Interface'!$K$8:$K$73,1)))/(INDEX('Curve_Interface'!$K$8:$K$73,MATCH((B34+C34)/2,'Curve_Interface'!$K$8:$K$73,1)+1)-INDEX('Curve_Interface'!$K$8:$K$73,MATCH((B34+C34)/2,'Curve_Interface'!$K$8:$K$73,1))))),INDEX('Curve_Interface'!$L$8:$L$73,MATCH((B34+C34)/2,'Curve_Interface'!$K$8:$K$73,1)))</f>
        <v/>
      </c>
      <c r="I34" s="36">
        <f>INDEX(Hazard_Bootstrap!$D$7:$D$12,MIN(COUNTIF(Hazard_Bootstrap!$B$7:$B$12,"&lt;"&amp;C34)+1,6))</f>
        <v/>
      </c>
      <c r="J34" s="36">
        <f>K33</f>
        <v/>
      </c>
      <c r="K34" s="36">
        <f>J34*EXP(-I34*E34)</f>
        <v/>
      </c>
      <c r="L34" s="36">
        <f>J34-K34</f>
        <v/>
      </c>
      <c r="M34" s="36">
        <f>D34*G34*K34</f>
        <v/>
      </c>
      <c r="N34" s="36">
        <f>(D34/2)*H34*L34</f>
        <v/>
      </c>
      <c r="O34" s="36">
        <f>H34*L34</f>
        <v/>
      </c>
    </row>
    <row r="35">
      <c r="A35" s="43" t="n">
        <v>29</v>
      </c>
      <c r="B35" s="18">
        <f>C34</f>
        <v/>
      </c>
      <c r="C35" s="18">
        <f>EDATE('Curve_Interface'!$F$7,3*28)</f>
        <v/>
      </c>
      <c r="D35" s="34">
        <f>(C35-B35)/360</f>
        <v/>
      </c>
      <c r="E35" s="34">
        <f>(C35-B35)/365</f>
        <v/>
      </c>
      <c r="F35" s="34">
        <f>(C35-VAL_DATE)/365</f>
        <v/>
      </c>
      <c r="G35" s="36">
        <f>IFERROR(IF(Curve_Interface!$J$7="Piecewise Linear (Simple)",IF(((C35-VAL_DATE)/360)&lt;=0,1,1/(1+(IF(((INDEX('Curve_Interface'!$K$8:$K$73,MATCH(C35,'Curve_Interface'!$K$8:$K$73,1))-VAL_DATE)/360)&lt;=0,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,(1/INDEX('Curve_Interface'!$L$8:$L$73,MATCH(C35,'Curve_Interface'!$K$8:$K$73,1))-1)/((INDEX('Curve_Interface'!$K$8:$K$73,MATCH(C35,'Curve_Interface'!$K$8:$K$73,1))-VAL_DATE)/360))+(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-IF(((INDEX('Curve_Interface'!$K$8:$K$73,MATCH(C35,'Curve_Interface'!$K$8:$K$73,1))-VAL_DATE)/360)&lt;=0,IF(((INDEX('Curve_Interface'!$K$8:$K$73,MATCH(C35,'Curve_Interface'!$K$8:$K$73,1)+1)-VAL_DATE)/360)&lt;=0,0,(1/INDEX('Curve_Interface'!$L$8:$L$73,MATCH(C35,'Curve_Interface'!$K$8:$K$73,1)+1)-1)/((INDEX('Curve_Interface'!$K$8:$K$73,MATCH(C35,'Curve_Interface'!$K$8:$K$73,1)+1)-VAL_DATE)/360)),(1/INDEX('Curve_Interface'!$L$8:$L$73,MATCH(C35,'Curve_Interface'!$K$8:$K$73,1))-1)/((INDEX('Curve_Interface'!$K$8:$K$73,MATCH(C35,'Curve_Interface'!$K$8:$K$73,1))-VAL_DATE)/360)))*IF(((INDEX('Curve_Interface'!$K$8:$K$73,MATCH(C35,'Curve_Interface'!$K$8:$K$73,1)+1)-VAL_DATE)/360)-((INDEX('Curve_Interface'!$K$8:$K$73,MATCH(C35,'Curve_Interface'!$K$8:$K$73,1))-VAL_DATE)/360)=0,0,(((C35-VAL_DATE)/360)-((INDEX('Curve_Interface'!$K$8:$K$73,MATCH(C35,'Curve_Interface'!$K$8:$K$73,1))-VAL_DATE)/360))/(((INDEX('Curve_Interface'!$K$8:$K$73,MATCH(C35,'Curve_Interface'!$K$8:$K$73,1)+1)-VAL_DATE)/360)-((INDEX('Curve_Interface'!$K$8:$K$73,MATCH(C35,'Curve_Interface'!$K$8:$K$73,1))-VAL_DATE)/360))))*((C35-VAL_DATE)/360))),INDEX('Curve_Interface'!$L$8:$L$73,MATCH(C35,'Curve_Interface'!$K$8:$K$73,1))*(INDEX('Curve_Interface'!$L$8:$L$73,MATCH(C35,'Curve_Interface'!$K$8:$K$73,1)+1)/INDEX('Curve_Interface'!$L$8:$L$73,MATCH(C35,'Curve_Interface'!$K$8:$K$73,1)))^((C35-INDEX('Curve_Interface'!$K$8:$K$73,MATCH(C35,'Curve_Interface'!$K$8:$K$73,1)))/(INDEX('Curve_Interface'!$K$8:$K$73,MATCH(C35,'Curve_Interface'!$K$8:$K$73,1)+1)-INDEX('Curve_Interface'!$K$8:$K$73,MATCH(C35,'Curve_Interface'!$K$8:$K$73,1))))),INDEX('Curve_Interface'!$L$8:$L$73,MATCH(C35,'Curve_Interface'!$K$8:$K$73,1)))</f>
        <v/>
      </c>
      <c r="H35" s="36">
        <f>IFERROR(IF(Curve_Interface!$J$7="Piecewise Linear (Simple)",IF((((B35+C35)/2-VAL_DATE)/360)&lt;=0,1,1/(1+(IF(((INDEX('Curve_Interface'!$K$8:$K$73,MATCH((B35+C35)/2,'Curve_Interface'!$K$8:$K$73,1))-VAL_DATE)/360)&lt;=0,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,(1/INDEX('Curve_Interface'!$L$8:$L$73,MATCH((B35+C35)/2,'Curve_Interface'!$K$8:$K$73,1))-1)/((INDEX('Curve_Interface'!$K$8:$K$73,MATCH((B35+C35)/2,'Curve_Interface'!$K$8:$K$73,1))-VAL_DATE)/360))+(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-IF(((INDEX('Curve_Interface'!$K$8:$K$73,MATCH((B35+C35)/2,'Curve_Interface'!$K$8:$K$73,1))-VAL_DATE)/360)&lt;=0,IF(((INDEX('Curve_Interface'!$K$8:$K$73,MATCH((B35+C35)/2,'Curve_Interface'!$K$8:$K$73,1)+1)-VAL_DATE)/360)&lt;=0,0,(1/INDEX('Curve_Interface'!$L$8:$L$73,MATCH((B35+C35)/2,'Curve_Interface'!$K$8:$K$73,1)+1)-1)/((INDEX('Curve_Interface'!$K$8:$K$73,MATCH((B35+C35)/2,'Curve_Interface'!$K$8:$K$73,1)+1)-VAL_DATE)/360)),(1/INDEX('Curve_Interface'!$L$8:$L$73,MATCH((B35+C35)/2,'Curve_Interface'!$K$8:$K$73,1))-1)/((INDEX('Curve_Interface'!$K$8:$K$73,MATCH((B35+C35)/2,'Curve_Interface'!$K$8:$K$73,1))-VAL_DATE)/360)))*IF(((INDEX('Curve_Interface'!$K$8:$K$73,MATCH((B35+C35)/2,'Curve_Interface'!$K$8:$K$73,1)+1)-VAL_DATE)/360)-((INDEX('Curve_Interface'!$K$8:$K$73,MATCH((B35+C35)/2,'Curve_Interface'!$K$8:$K$73,1))-VAL_DATE)/360)=0,0,((((B35+C35)/2-VAL_DATE)/360)-((INDEX('Curve_Interface'!$K$8:$K$73,MATCH((B35+C35)/2,'Curve_Interface'!$K$8:$K$73,1))-VAL_DATE)/360))/(((INDEX('Curve_Interface'!$K$8:$K$73,MATCH((B35+C35)/2,'Curve_Interface'!$K$8:$K$73,1)+1)-VAL_DATE)/360)-((INDEX('Curve_Interface'!$K$8:$K$73,MATCH((B35+C35)/2,'Curve_Interface'!$K$8:$K$73,1))-VAL_DATE)/360))))*(((B35+C35)/2-VAL_DATE)/360))),INDEX('Curve_Interface'!$L$8:$L$73,MATCH((B35+C35)/2,'Curve_Interface'!$K$8:$K$73,1))*(INDEX('Curve_Interface'!$L$8:$L$73,MATCH((B35+C35)/2,'Curve_Interface'!$K$8:$K$73,1)+1)/INDEX('Curve_Interface'!$L$8:$L$73,MATCH((B35+C35)/2,'Curve_Interface'!$K$8:$K$73,1)))^(((B35+C35)/2-INDEX('Curve_Interface'!$K$8:$K$73,MATCH((B35+C35)/2,'Curve_Interface'!$K$8:$K$73,1)))/(INDEX('Curve_Interface'!$K$8:$K$73,MATCH((B35+C35)/2,'Curve_Interface'!$K$8:$K$73,1)+1)-INDEX('Curve_Interface'!$K$8:$K$73,MATCH((B35+C35)/2,'Curve_Interface'!$K$8:$K$73,1))))),INDEX('Curve_Interface'!$L$8:$L$73,MATCH((B35+C35)/2,'Curve_Interface'!$K$8:$K$73,1)))</f>
        <v/>
      </c>
      <c r="I35" s="36">
        <f>INDEX(Hazard_Bootstrap!$D$7:$D$12,MIN(COUNTIF(Hazard_Bootstrap!$B$7:$B$12,"&lt;"&amp;C35)+1,6))</f>
        <v/>
      </c>
      <c r="J35" s="36">
        <f>K34</f>
        <v/>
      </c>
      <c r="K35" s="36">
        <f>J35*EXP(-I35*E35)</f>
        <v/>
      </c>
      <c r="L35" s="36">
        <f>J35-K35</f>
        <v/>
      </c>
      <c r="M35" s="36">
        <f>D35*G35*K35</f>
        <v/>
      </c>
      <c r="N35" s="36">
        <f>(D35/2)*H35*L35</f>
        <v/>
      </c>
      <c r="O35" s="36">
        <f>H35*L35</f>
        <v/>
      </c>
    </row>
    <row r="36">
      <c r="A36" s="43" t="n">
        <v>30</v>
      </c>
      <c r="B36" s="18">
        <f>C35</f>
        <v/>
      </c>
      <c r="C36" s="18">
        <f>EDATE('Curve_Interface'!$F$7,3*29)</f>
        <v/>
      </c>
      <c r="D36" s="34">
        <f>(C36-B36)/360</f>
        <v/>
      </c>
      <c r="E36" s="34">
        <f>(C36-B36)/365</f>
        <v/>
      </c>
      <c r="F36" s="34">
        <f>(C36-VAL_DATE)/365</f>
        <v/>
      </c>
      <c r="G36" s="36">
        <f>IFERROR(IF(Curve_Interface!$J$7="Piecewise Linear (Simple)",IF(((C36-VAL_DATE)/360)&lt;=0,1,1/(1+(IF(((INDEX('Curve_Interface'!$K$8:$K$73,MATCH(C36,'Curve_Interface'!$K$8:$K$73,1))-VAL_DATE)/360)&lt;=0,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,(1/INDEX('Curve_Interface'!$L$8:$L$73,MATCH(C36,'Curve_Interface'!$K$8:$K$73,1))-1)/((INDEX('Curve_Interface'!$K$8:$K$73,MATCH(C36,'Curve_Interface'!$K$8:$K$73,1))-VAL_DATE)/360))+(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-IF(((INDEX('Curve_Interface'!$K$8:$K$73,MATCH(C36,'Curve_Interface'!$K$8:$K$73,1))-VAL_DATE)/360)&lt;=0,IF(((INDEX('Curve_Interface'!$K$8:$K$73,MATCH(C36,'Curve_Interface'!$K$8:$K$73,1)+1)-VAL_DATE)/360)&lt;=0,0,(1/INDEX('Curve_Interface'!$L$8:$L$73,MATCH(C36,'Curve_Interface'!$K$8:$K$73,1)+1)-1)/((INDEX('Curve_Interface'!$K$8:$K$73,MATCH(C36,'Curve_Interface'!$K$8:$K$73,1)+1)-VAL_DATE)/360)),(1/INDEX('Curve_Interface'!$L$8:$L$73,MATCH(C36,'Curve_Interface'!$K$8:$K$73,1))-1)/((INDEX('Curve_Interface'!$K$8:$K$73,MATCH(C36,'Curve_Interface'!$K$8:$K$73,1))-VAL_DATE)/360)))*IF(((INDEX('Curve_Interface'!$K$8:$K$73,MATCH(C36,'Curve_Interface'!$K$8:$K$73,1)+1)-VAL_DATE)/360)-((INDEX('Curve_Interface'!$K$8:$K$73,MATCH(C36,'Curve_Interface'!$K$8:$K$73,1))-VAL_DATE)/360)=0,0,(((C36-VAL_DATE)/360)-((INDEX('Curve_Interface'!$K$8:$K$73,MATCH(C36,'Curve_Interface'!$K$8:$K$73,1))-VAL_DATE)/360))/(((INDEX('Curve_Interface'!$K$8:$K$73,MATCH(C36,'Curve_Interface'!$K$8:$K$73,1)+1)-VAL_DATE)/360)-((INDEX('Curve_Interface'!$K$8:$K$73,MATCH(C36,'Curve_Interface'!$K$8:$K$73,1))-VAL_DATE)/360))))*((C36-VAL_DATE)/360))),INDEX('Curve_Interface'!$L$8:$L$73,MATCH(C36,'Curve_Interface'!$K$8:$K$73,1))*(INDEX('Curve_Interface'!$L$8:$L$73,MATCH(C36,'Curve_Interface'!$K$8:$K$73,1)+1)/INDEX('Curve_Interface'!$L$8:$L$73,MATCH(C36,'Curve_Interface'!$K$8:$K$73,1)))^((C36-INDEX('Curve_Interface'!$K$8:$K$73,MATCH(C36,'Curve_Interface'!$K$8:$K$73,1)))/(INDEX('Curve_Interface'!$K$8:$K$73,MATCH(C36,'Curve_Interface'!$K$8:$K$73,1)+1)-INDEX('Curve_Interface'!$K$8:$K$73,MATCH(C36,'Curve_Interface'!$K$8:$K$73,1))))),INDEX('Curve_Interface'!$L$8:$L$73,MATCH(C36,'Curve_Interface'!$K$8:$K$73,1)))</f>
        <v/>
      </c>
      <c r="H36" s="36">
        <f>IFERROR(IF(Curve_Interface!$J$7="Piecewise Linear (Simple)",IF((((B36+C36)/2-VAL_DATE)/360)&lt;=0,1,1/(1+(IF(((INDEX('Curve_Interface'!$K$8:$K$73,MATCH((B36+C36)/2,'Curve_Interface'!$K$8:$K$73,1))-VAL_DATE)/360)&lt;=0,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,(1/INDEX('Curve_Interface'!$L$8:$L$73,MATCH((B36+C36)/2,'Curve_Interface'!$K$8:$K$73,1))-1)/((INDEX('Curve_Interface'!$K$8:$K$73,MATCH((B36+C36)/2,'Curve_Interface'!$K$8:$K$73,1))-VAL_DATE)/360))+(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-IF(((INDEX('Curve_Interface'!$K$8:$K$73,MATCH((B36+C36)/2,'Curve_Interface'!$K$8:$K$73,1))-VAL_DATE)/360)&lt;=0,IF(((INDEX('Curve_Interface'!$K$8:$K$73,MATCH((B36+C36)/2,'Curve_Interface'!$K$8:$K$73,1)+1)-VAL_DATE)/360)&lt;=0,0,(1/INDEX('Curve_Interface'!$L$8:$L$73,MATCH((B36+C36)/2,'Curve_Interface'!$K$8:$K$73,1)+1)-1)/((INDEX('Curve_Interface'!$K$8:$K$73,MATCH((B36+C36)/2,'Curve_Interface'!$K$8:$K$73,1)+1)-VAL_DATE)/360)),(1/INDEX('Curve_Interface'!$L$8:$L$73,MATCH((B36+C36)/2,'Curve_Interface'!$K$8:$K$73,1))-1)/((INDEX('Curve_Interface'!$K$8:$K$73,MATCH((B36+C36)/2,'Curve_Interface'!$K$8:$K$73,1))-VAL_DATE)/360)))*IF(((INDEX('Curve_Interface'!$K$8:$K$73,MATCH((B36+C36)/2,'Curve_Interface'!$K$8:$K$73,1)+1)-VAL_DATE)/360)-((INDEX('Curve_Interface'!$K$8:$K$73,MATCH((B36+C36)/2,'Curve_Interface'!$K$8:$K$73,1))-VAL_DATE)/360)=0,0,((((B36+C36)/2-VAL_DATE)/360)-((INDEX('Curve_Interface'!$K$8:$K$73,MATCH((B36+C36)/2,'Curve_Interface'!$K$8:$K$73,1))-VAL_DATE)/360))/(((INDEX('Curve_Interface'!$K$8:$K$73,MATCH((B36+C36)/2,'Curve_Interface'!$K$8:$K$73,1)+1)-VAL_DATE)/360)-((INDEX('Curve_Interface'!$K$8:$K$73,MATCH((B36+C36)/2,'Curve_Interface'!$K$8:$K$73,1))-VAL_DATE)/360))))*(((B36+C36)/2-VAL_DATE)/360))),INDEX('Curve_Interface'!$L$8:$L$73,MATCH((B36+C36)/2,'Curve_Interface'!$K$8:$K$73,1))*(INDEX('Curve_Interface'!$L$8:$L$73,MATCH((B36+C36)/2,'Curve_Interface'!$K$8:$K$73,1)+1)/INDEX('Curve_Interface'!$L$8:$L$73,MATCH((B36+C36)/2,'Curve_Interface'!$K$8:$K$73,1)))^(((B36+C36)/2-INDEX('Curve_Interface'!$K$8:$K$73,MATCH((B36+C36)/2,'Curve_Interface'!$K$8:$K$73,1)))/(INDEX('Curve_Interface'!$K$8:$K$73,MATCH((B36+C36)/2,'Curve_Interface'!$K$8:$K$73,1)+1)-INDEX('Curve_Interface'!$K$8:$K$73,MATCH((B36+C36)/2,'Curve_Interface'!$K$8:$K$73,1))))),INDEX('Curve_Interface'!$L$8:$L$73,MATCH((B36+C36)/2,'Curve_Interface'!$K$8:$K$73,1)))</f>
        <v/>
      </c>
      <c r="I36" s="36">
        <f>INDEX(Hazard_Bootstrap!$D$7:$D$12,MIN(COUNTIF(Hazard_Bootstrap!$B$7:$B$12,"&lt;"&amp;C36)+1,6))</f>
        <v/>
      </c>
      <c r="J36" s="36">
        <f>K35</f>
        <v/>
      </c>
      <c r="K36" s="36">
        <f>J36*EXP(-I36*E36)</f>
        <v/>
      </c>
      <c r="L36" s="36">
        <f>J36-K36</f>
        <v/>
      </c>
      <c r="M36" s="36">
        <f>D36*G36*K36</f>
        <v/>
      </c>
      <c r="N36" s="36">
        <f>(D36/2)*H36*L36</f>
        <v/>
      </c>
      <c r="O36" s="36">
        <f>H36*L36</f>
        <v/>
      </c>
    </row>
    <row r="37">
      <c r="A37" s="43" t="n">
        <v>31</v>
      </c>
      <c r="B37" s="18">
        <f>C36</f>
        <v/>
      </c>
      <c r="C37" s="18">
        <f>EDATE('Curve_Interface'!$F$7,3*30)</f>
        <v/>
      </c>
      <c r="D37" s="34">
        <f>(C37-B37)/360</f>
        <v/>
      </c>
      <c r="E37" s="34">
        <f>(C37-B37)/365</f>
        <v/>
      </c>
      <c r="F37" s="34">
        <f>(C37-VAL_DATE)/365</f>
        <v/>
      </c>
      <c r="G37" s="36">
        <f>IFERROR(IF(Curve_Interface!$J$7="Piecewise Linear (Simple)",IF(((C37-VAL_DATE)/360)&lt;=0,1,1/(1+(IF(((INDEX('Curve_Interface'!$K$8:$K$73,MATCH(C37,'Curve_Interface'!$K$8:$K$73,1))-VAL_DATE)/360)&lt;=0,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,(1/INDEX('Curve_Interface'!$L$8:$L$73,MATCH(C37,'Curve_Interface'!$K$8:$K$73,1))-1)/((INDEX('Curve_Interface'!$K$8:$K$73,MATCH(C37,'Curve_Interface'!$K$8:$K$73,1))-VAL_DATE)/360))+(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-IF(((INDEX('Curve_Interface'!$K$8:$K$73,MATCH(C37,'Curve_Interface'!$K$8:$K$73,1))-VAL_DATE)/360)&lt;=0,IF(((INDEX('Curve_Interface'!$K$8:$K$73,MATCH(C37,'Curve_Interface'!$K$8:$K$73,1)+1)-VAL_DATE)/360)&lt;=0,0,(1/INDEX('Curve_Interface'!$L$8:$L$73,MATCH(C37,'Curve_Interface'!$K$8:$K$73,1)+1)-1)/((INDEX('Curve_Interface'!$K$8:$K$73,MATCH(C37,'Curve_Interface'!$K$8:$K$73,1)+1)-VAL_DATE)/360)),(1/INDEX('Curve_Interface'!$L$8:$L$73,MATCH(C37,'Curve_Interface'!$K$8:$K$73,1))-1)/((INDEX('Curve_Interface'!$K$8:$K$73,MATCH(C37,'Curve_Interface'!$K$8:$K$73,1))-VAL_DATE)/360)))*IF(((INDEX('Curve_Interface'!$K$8:$K$73,MATCH(C37,'Curve_Interface'!$K$8:$K$73,1)+1)-VAL_DATE)/360)-((INDEX('Curve_Interface'!$K$8:$K$73,MATCH(C37,'Curve_Interface'!$K$8:$K$73,1))-VAL_DATE)/360)=0,0,(((C37-VAL_DATE)/360)-((INDEX('Curve_Interface'!$K$8:$K$73,MATCH(C37,'Curve_Interface'!$K$8:$K$73,1))-VAL_DATE)/360))/(((INDEX('Curve_Interface'!$K$8:$K$73,MATCH(C37,'Curve_Interface'!$K$8:$K$73,1)+1)-VAL_DATE)/360)-((INDEX('Curve_Interface'!$K$8:$K$73,MATCH(C37,'Curve_Interface'!$K$8:$K$73,1))-VAL_DATE)/360))))*((C37-VAL_DATE)/360))),INDEX('Curve_Interface'!$L$8:$L$73,MATCH(C37,'Curve_Interface'!$K$8:$K$73,1))*(INDEX('Curve_Interface'!$L$8:$L$73,MATCH(C37,'Curve_Interface'!$K$8:$K$73,1)+1)/INDEX('Curve_Interface'!$L$8:$L$73,MATCH(C37,'Curve_Interface'!$K$8:$K$73,1)))^((C37-INDEX('Curve_Interface'!$K$8:$K$73,MATCH(C37,'Curve_Interface'!$K$8:$K$73,1)))/(INDEX('Curve_Interface'!$K$8:$K$73,MATCH(C37,'Curve_Interface'!$K$8:$K$73,1)+1)-INDEX('Curve_Interface'!$K$8:$K$73,MATCH(C37,'Curve_Interface'!$K$8:$K$73,1))))),INDEX('Curve_Interface'!$L$8:$L$73,MATCH(C37,'Curve_Interface'!$K$8:$K$73,1)))</f>
        <v/>
      </c>
      <c r="H37" s="36">
        <f>IFERROR(IF(Curve_Interface!$J$7="Piecewise Linear (Simple)",IF((((B37+C37)/2-VAL_DATE)/360)&lt;=0,1,1/(1+(IF(((INDEX('Curve_Interface'!$K$8:$K$73,MATCH((B37+C37)/2,'Curve_Interface'!$K$8:$K$73,1))-VAL_DATE)/360)&lt;=0,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,(1/INDEX('Curve_Interface'!$L$8:$L$73,MATCH((B37+C37)/2,'Curve_Interface'!$K$8:$K$73,1))-1)/((INDEX('Curve_Interface'!$K$8:$K$73,MATCH((B37+C37)/2,'Curve_Interface'!$K$8:$K$73,1))-VAL_DATE)/360))+(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-IF(((INDEX('Curve_Interface'!$K$8:$K$73,MATCH((B37+C37)/2,'Curve_Interface'!$K$8:$K$73,1))-VAL_DATE)/360)&lt;=0,IF(((INDEX('Curve_Interface'!$K$8:$K$73,MATCH((B37+C37)/2,'Curve_Interface'!$K$8:$K$73,1)+1)-VAL_DATE)/360)&lt;=0,0,(1/INDEX('Curve_Interface'!$L$8:$L$73,MATCH((B37+C37)/2,'Curve_Interface'!$K$8:$K$73,1)+1)-1)/((INDEX('Curve_Interface'!$K$8:$K$73,MATCH((B37+C37)/2,'Curve_Interface'!$K$8:$K$73,1)+1)-VAL_DATE)/360)),(1/INDEX('Curve_Interface'!$L$8:$L$73,MATCH((B37+C37)/2,'Curve_Interface'!$K$8:$K$73,1))-1)/((INDEX('Curve_Interface'!$K$8:$K$73,MATCH((B37+C37)/2,'Curve_Interface'!$K$8:$K$73,1))-VAL_DATE)/360)))*IF(((INDEX('Curve_Interface'!$K$8:$K$73,MATCH((B37+C37)/2,'Curve_Interface'!$K$8:$K$73,1)+1)-VAL_DATE)/360)-((INDEX('Curve_Interface'!$K$8:$K$73,MATCH((B37+C37)/2,'Curve_Interface'!$K$8:$K$73,1))-VAL_DATE)/360)=0,0,((((B37+C37)/2-VAL_DATE)/360)-((INDEX('Curve_Interface'!$K$8:$K$73,MATCH((B37+C37)/2,'Curve_Interface'!$K$8:$K$73,1))-VAL_DATE)/360))/(((INDEX('Curve_Interface'!$K$8:$K$73,MATCH((B37+C37)/2,'Curve_Interface'!$K$8:$K$73,1)+1)-VAL_DATE)/360)-((INDEX('Curve_Interface'!$K$8:$K$73,MATCH((B37+C37)/2,'Curve_Interface'!$K$8:$K$73,1))-VAL_DATE)/360))))*(((B37+C37)/2-VAL_DATE)/360))),INDEX('Curve_Interface'!$L$8:$L$73,MATCH((B37+C37)/2,'Curve_Interface'!$K$8:$K$73,1))*(INDEX('Curve_Interface'!$L$8:$L$73,MATCH((B37+C37)/2,'Curve_Interface'!$K$8:$K$73,1)+1)/INDEX('Curve_Interface'!$L$8:$L$73,MATCH((B37+C37)/2,'Curve_Interface'!$K$8:$K$73,1)))^(((B37+C37)/2-INDEX('Curve_Interface'!$K$8:$K$73,MATCH((B37+C37)/2,'Curve_Interface'!$K$8:$K$73,1)))/(INDEX('Curve_Interface'!$K$8:$K$73,MATCH((B37+C37)/2,'Curve_Interface'!$K$8:$K$73,1)+1)-INDEX('Curve_Interface'!$K$8:$K$73,MATCH((B37+C37)/2,'Curve_Interface'!$K$8:$K$73,1))))),INDEX('Curve_Interface'!$L$8:$L$73,MATCH((B37+C37)/2,'Curve_Interface'!$K$8:$K$73,1)))</f>
        <v/>
      </c>
      <c r="I37" s="36">
        <f>INDEX(Hazard_Bootstrap!$D$7:$D$12,MIN(COUNTIF(Hazard_Bootstrap!$B$7:$B$12,"&lt;"&amp;C37)+1,6))</f>
        <v/>
      </c>
      <c r="J37" s="36">
        <f>K36</f>
        <v/>
      </c>
      <c r="K37" s="36">
        <f>J37*EXP(-I37*E37)</f>
        <v/>
      </c>
      <c r="L37" s="36">
        <f>J37-K37</f>
        <v/>
      </c>
      <c r="M37" s="36">
        <f>D37*G37*K37</f>
        <v/>
      </c>
      <c r="N37" s="36">
        <f>(D37/2)*H37*L37</f>
        <v/>
      </c>
      <c r="O37" s="36">
        <f>H37*L37</f>
        <v/>
      </c>
    </row>
    <row r="38">
      <c r="A38" s="43" t="n">
        <v>32</v>
      </c>
      <c r="B38" s="18">
        <f>C37</f>
        <v/>
      </c>
      <c r="C38" s="18">
        <f>EDATE('Curve_Interface'!$F$7,3*31)</f>
        <v/>
      </c>
      <c r="D38" s="34">
        <f>(C38-B38)/360</f>
        <v/>
      </c>
      <c r="E38" s="34">
        <f>(C38-B38)/365</f>
        <v/>
      </c>
      <c r="F38" s="34">
        <f>(C38-VAL_DATE)/365</f>
        <v/>
      </c>
      <c r="G38" s="36">
        <f>IFERROR(IF(Curve_Interface!$J$7="Piecewise Linear (Simple)",IF(((C38-VAL_DATE)/360)&lt;=0,1,1/(1+(IF(((INDEX('Curve_Interface'!$K$8:$K$73,MATCH(C38,'Curve_Interface'!$K$8:$K$73,1))-VAL_DATE)/360)&lt;=0,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,(1/INDEX('Curve_Interface'!$L$8:$L$73,MATCH(C38,'Curve_Interface'!$K$8:$K$73,1))-1)/((INDEX('Curve_Interface'!$K$8:$K$73,MATCH(C38,'Curve_Interface'!$K$8:$K$73,1))-VAL_DATE)/360))+(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-IF(((INDEX('Curve_Interface'!$K$8:$K$73,MATCH(C38,'Curve_Interface'!$K$8:$K$73,1))-VAL_DATE)/360)&lt;=0,IF(((INDEX('Curve_Interface'!$K$8:$K$73,MATCH(C38,'Curve_Interface'!$K$8:$K$73,1)+1)-VAL_DATE)/360)&lt;=0,0,(1/INDEX('Curve_Interface'!$L$8:$L$73,MATCH(C38,'Curve_Interface'!$K$8:$K$73,1)+1)-1)/((INDEX('Curve_Interface'!$K$8:$K$73,MATCH(C38,'Curve_Interface'!$K$8:$K$73,1)+1)-VAL_DATE)/360)),(1/INDEX('Curve_Interface'!$L$8:$L$73,MATCH(C38,'Curve_Interface'!$K$8:$K$73,1))-1)/((INDEX('Curve_Interface'!$K$8:$K$73,MATCH(C38,'Curve_Interface'!$K$8:$K$73,1))-VAL_DATE)/360)))*IF(((INDEX('Curve_Interface'!$K$8:$K$73,MATCH(C38,'Curve_Interface'!$K$8:$K$73,1)+1)-VAL_DATE)/360)-((INDEX('Curve_Interface'!$K$8:$K$73,MATCH(C38,'Curve_Interface'!$K$8:$K$73,1))-VAL_DATE)/360)=0,0,(((C38-VAL_DATE)/360)-((INDEX('Curve_Interface'!$K$8:$K$73,MATCH(C38,'Curve_Interface'!$K$8:$K$73,1))-VAL_DATE)/360))/(((INDEX('Curve_Interface'!$K$8:$K$73,MATCH(C38,'Curve_Interface'!$K$8:$K$73,1)+1)-VAL_DATE)/360)-((INDEX('Curve_Interface'!$K$8:$K$73,MATCH(C38,'Curve_Interface'!$K$8:$K$73,1))-VAL_DATE)/360))))*((C38-VAL_DATE)/360))),INDEX('Curve_Interface'!$L$8:$L$73,MATCH(C38,'Curve_Interface'!$K$8:$K$73,1))*(INDEX('Curve_Interface'!$L$8:$L$73,MATCH(C38,'Curve_Interface'!$K$8:$K$73,1)+1)/INDEX('Curve_Interface'!$L$8:$L$73,MATCH(C38,'Curve_Interface'!$K$8:$K$73,1)))^((C38-INDEX('Curve_Interface'!$K$8:$K$73,MATCH(C38,'Curve_Interface'!$K$8:$K$73,1)))/(INDEX('Curve_Interface'!$K$8:$K$73,MATCH(C38,'Curve_Interface'!$K$8:$K$73,1)+1)-INDEX('Curve_Interface'!$K$8:$K$73,MATCH(C38,'Curve_Interface'!$K$8:$K$73,1))))),INDEX('Curve_Interface'!$L$8:$L$73,MATCH(C38,'Curve_Interface'!$K$8:$K$73,1)))</f>
        <v/>
      </c>
      <c r="H38" s="36">
        <f>IFERROR(IF(Curve_Interface!$J$7="Piecewise Linear (Simple)",IF((((B38+C38)/2-VAL_DATE)/360)&lt;=0,1,1/(1+(IF(((INDEX('Curve_Interface'!$K$8:$K$73,MATCH((B38+C38)/2,'Curve_Interface'!$K$8:$K$73,1))-VAL_DATE)/360)&lt;=0,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,(1/INDEX('Curve_Interface'!$L$8:$L$73,MATCH((B38+C38)/2,'Curve_Interface'!$K$8:$K$73,1))-1)/((INDEX('Curve_Interface'!$K$8:$K$73,MATCH((B38+C38)/2,'Curve_Interface'!$K$8:$K$73,1))-VAL_DATE)/360))+(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-IF(((INDEX('Curve_Interface'!$K$8:$K$73,MATCH((B38+C38)/2,'Curve_Interface'!$K$8:$K$73,1))-VAL_DATE)/360)&lt;=0,IF(((INDEX('Curve_Interface'!$K$8:$K$73,MATCH((B38+C38)/2,'Curve_Interface'!$K$8:$K$73,1)+1)-VAL_DATE)/360)&lt;=0,0,(1/INDEX('Curve_Interface'!$L$8:$L$73,MATCH((B38+C38)/2,'Curve_Interface'!$K$8:$K$73,1)+1)-1)/((INDEX('Curve_Interface'!$K$8:$K$73,MATCH((B38+C38)/2,'Curve_Interface'!$K$8:$K$73,1)+1)-VAL_DATE)/360)),(1/INDEX('Curve_Interface'!$L$8:$L$73,MATCH((B38+C38)/2,'Curve_Interface'!$K$8:$K$73,1))-1)/((INDEX('Curve_Interface'!$K$8:$K$73,MATCH((B38+C38)/2,'Curve_Interface'!$K$8:$K$73,1))-VAL_DATE)/360)))*IF(((INDEX('Curve_Interface'!$K$8:$K$73,MATCH((B38+C38)/2,'Curve_Interface'!$K$8:$K$73,1)+1)-VAL_DATE)/360)-((INDEX('Curve_Interface'!$K$8:$K$73,MATCH((B38+C38)/2,'Curve_Interface'!$K$8:$K$73,1))-VAL_DATE)/360)=0,0,((((B38+C38)/2-VAL_DATE)/360)-((INDEX('Curve_Interface'!$K$8:$K$73,MATCH((B38+C38)/2,'Curve_Interface'!$K$8:$K$73,1))-VAL_DATE)/360))/(((INDEX('Curve_Interface'!$K$8:$K$73,MATCH((B38+C38)/2,'Curve_Interface'!$K$8:$K$73,1)+1)-VAL_DATE)/360)-((INDEX('Curve_Interface'!$K$8:$K$73,MATCH((B38+C38)/2,'Curve_Interface'!$K$8:$K$73,1))-VAL_DATE)/360))))*(((B38+C38)/2-VAL_DATE)/360))),INDEX('Curve_Interface'!$L$8:$L$73,MATCH((B38+C38)/2,'Curve_Interface'!$K$8:$K$73,1))*(INDEX('Curve_Interface'!$L$8:$L$73,MATCH((B38+C38)/2,'Curve_Interface'!$K$8:$K$73,1)+1)/INDEX('Curve_Interface'!$L$8:$L$73,MATCH((B38+C38)/2,'Curve_Interface'!$K$8:$K$73,1)))^(((B38+C38)/2-INDEX('Curve_Interface'!$K$8:$K$73,MATCH((B38+C38)/2,'Curve_Interface'!$K$8:$K$73,1)))/(INDEX('Curve_Interface'!$K$8:$K$73,MATCH((B38+C38)/2,'Curve_Interface'!$K$8:$K$73,1)+1)-INDEX('Curve_Interface'!$K$8:$K$73,MATCH((B38+C38)/2,'Curve_Interface'!$K$8:$K$73,1))))),INDEX('Curve_Interface'!$L$8:$L$73,MATCH((B38+C38)/2,'Curve_Interface'!$K$8:$K$73,1)))</f>
        <v/>
      </c>
      <c r="I38" s="36">
        <f>INDEX(Hazard_Bootstrap!$D$7:$D$12,MIN(COUNTIF(Hazard_Bootstrap!$B$7:$B$12,"&lt;"&amp;C38)+1,6))</f>
        <v/>
      </c>
      <c r="J38" s="36">
        <f>K37</f>
        <v/>
      </c>
      <c r="K38" s="36">
        <f>J38*EXP(-I38*E38)</f>
        <v/>
      </c>
      <c r="L38" s="36">
        <f>J38-K38</f>
        <v/>
      </c>
      <c r="M38" s="36">
        <f>D38*G38*K38</f>
        <v/>
      </c>
      <c r="N38" s="36">
        <f>(D38/2)*H38*L38</f>
        <v/>
      </c>
      <c r="O38" s="36">
        <f>H38*L38</f>
        <v/>
      </c>
    </row>
    <row r="39">
      <c r="A39" s="43" t="n">
        <v>33</v>
      </c>
      <c r="B39" s="18">
        <f>C38</f>
        <v/>
      </c>
      <c r="C39" s="18">
        <f>EDATE('Curve_Interface'!$F$7,3*32)</f>
        <v/>
      </c>
      <c r="D39" s="34">
        <f>(C39-B39)/360</f>
        <v/>
      </c>
      <c r="E39" s="34">
        <f>(C39-B39)/365</f>
        <v/>
      </c>
      <c r="F39" s="34">
        <f>(C39-VAL_DATE)/365</f>
        <v/>
      </c>
      <c r="G39" s="36">
        <f>IFERROR(IF(Curve_Interface!$J$7="Piecewise Linear (Simple)",IF(((C39-VAL_DATE)/360)&lt;=0,1,1/(1+(IF(((INDEX('Curve_Interface'!$K$8:$K$73,MATCH(C39,'Curve_Interface'!$K$8:$K$73,1))-VAL_DATE)/360)&lt;=0,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,(1/INDEX('Curve_Interface'!$L$8:$L$73,MATCH(C39,'Curve_Interface'!$K$8:$K$73,1))-1)/((INDEX('Curve_Interface'!$K$8:$K$73,MATCH(C39,'Curve_Interface'!$K$8:$K$73,1))-VAL_DATE)/360))+(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-IF(((INDEX('Curve_Interface'!$K$8:$K$73,MATCH(C39,'Curve_Interface'!$K$8:$K$73,1))-VAL_DATE)/360)&lt;=0,IF(((INDEX('Curve_Interface'!$K$8:$K$73,MATCH(C39,'Curve_Interface'!$K$8:$K$73,1)+1)-VAL_DATE)/360)&lt;=0,0,(1/INDEX('Curve_Interface'!$L$8:$L$73,MATCH(C39,'Curve_Interface'!$K$8:$K$73,1)+1)-1)/((INDEX('Curve_Interface'!$K$8:$K$73,MATCH(C39,'Curve_Interface'!$K$8:$K$73,1)+1)-VAL_DATE)/360)),(1/INDEX('Curve_Interface'!$L$8:$L$73,MATCH(C39,'Curve_Interface'!$K$8:$K$73,1))-1)/((INDEX('Curve_Interface'!$K$8:$K$73,MATCH(C39,'Curve_Interface'!$K$8:$K$73,1))-VAL_DATE)/360)))*IF(((INDEX('Curve_Interface'!$K$8:$K$73,MATCH(C39,'Curve_Interface'!$K$8:$K$73,1)+1)-VAL_DATE)/360)-((INDEX('Curve_Interface'!$K$8:$K$73,MATCH(C39,'Curve_Interface'!$K$8:$K$73,1))-VAL_DATE)/360)=0,0,(((C39-VAL_DATE)/360)-((INDEX('Curve_Interface'!$K$8:$K$73,MATCH(C39,'Curve_Interface'!$K$8:$K$73,1))-VAL_DATE)/360))/(((INDEX('Curve_Interface'!$K$8:$K$73,MATCH(C39,'Curve_Interface'!$K$8:$K$73,1)+1)-VAL_DATE)/360)-((INDEX('Curve_Interface'!$K$8:$K$73,MATCH(C39,'Curve_Interface'!$K$8:$K$73,1))-VAL_DATE)/360))))*((C39-VAL_DATE)/360))),INDEX('Curve_Interface'!$L$8:$L$73,MATCH(C39,'Curve_Interface'!$K$8:$K$73,1))*(INDEX('Curve_Interface'!$L$8:$L$73,MATCH(C39,'Curve_Interface'!$K$8:$K$73,1)+1)/INDEX('Curve_Interface'!$L$8:$L$73,MATCH(C39,'Curve_Interface'!$K$8:$K$73,1)))^((C39-INDEX('Curve_Interface'!$K$8:$K$73,MATCH(C39,'Curve_Interface'!$K$8:$K$73,1)))/(INDEX('Curve_Interface'!$K$8:$K$73,MATCH(C39,'Curve_Interface'!$K$8:$K$73,1)+1)-INDEX('Curve_Interface'!$K$8:$K$73,MATCH(C39,'Curve_Interface'!$K$8:$K$73,1))))),INDEX('Curve_Interface'!$L$8:$L$73,MATCH(C39,'Curve_Interface'!$K$8:$K$73,1)))</f>
        <v/>
      </c>
      <c r="H39" s="36">
        <f>IFERROR(IF(Curve_Interface!$J$7="Piecewise Linear (Simple)",IF((((B39+C39)/2-VAL_DATE)/360)&lt;=0,1,1/(1+(IF(((INDEX('Curve_Interface'!$K$8:$K$73,MATCH((B39+C39)/2,'Curve_Interface'!$K$8:$K$73,1))-VAL_DATE)/360)&lt;=0,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,(1/INDEX('Curve_Interface'!$L$8:$L$73,MATCH((B39+C39)/2,'Curve_Interface'!$K$8:$K$73,1))-1)/((INDEX('Curve_Interface'!$K$8:$K$73,MATCH((B39+C39)/2,'Curve_Interface'!$K$8:$K$73,1))-VAL_DATE)/360))+(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-IF(((INDEX('Curve_Interface'!$K$8:$K$73,MATCH((B39+C39)/2,'Curve_Interface'!$K$8:$K$73,1))-VAL_DATE)/360)&lt;=0,IF(((INDEX('Curve_Interface'!$K$8:$K$73,MATCH((B39+C39)/2,'Curve_Interface'!$K$8:$K$73,1)+1)-VAL_DATE)/360)&lt;=0,0,(1/INDEX('Curve_Interface'!$L$8:$L$73,MATCH((B39+C39)/2,'Curve_Interface'!$K$8:$K$73,1)+1)-1)/((INDEX('Curve_Interface'!$K$8:$K$73,MATCH((B39+C39)/2,'Curve_Interface'!$K$8:$K$73,1)+1)-VAL_DATE)/360)),(1/INDEX('Curve_Interface'!$L$8:$L$73,MATCH((B39+C39)/2,'Curve_Interface'!$K$8:$K$73,1))-1)/((INDEX('Curve_Interface'!$K$8:$K$73,MATCH((B39+C39)/2,'Curve_Interface'!$K$8:$K$73,1))-VAL_DATE)/360)))*IF(((INDEX('Curve_Interface'!$K$8:$K$73,MATCH((B39+C39)/2,'Curve_Interface'!$K$8:$K$73,1)+1)-VAL_DATE)/360)-((INDEX('Curve_Interface'!$K$8:$K$73,MATCH((B39+C39)/2,'Curve_Interface'!$K$8:$K$73,1))-VAL_DATE)/360)=0,0,((((B39+C39)/2-VAL_DATE)/360)-((INDEX('Curve_Interface'!$K$8:$K$73,MATCH((B39+C39)/2,'Curve_Interface'!$K$8:$K$73,1))-VAL_DATE)/360))/(((INDEX('Curve_Interface'!$K$8:$K$73,MATCH((B39+C39)/2,'Curve_Interface'!$K$8:$K$73,1)+1)-VAL_DATE)/360)-((INDEX('Curve_Interface'!$K$8:$K$73,MATCH((B39+C39)/2,'Curve_Interface'!$K$8:$K$73,1))-VAL_DATE)/360))))*(((B39+C39)/2-VAL_DATE)/360))),INDEX('Curve_Interface'!$L$8:$L$73,MATCH((B39+C39)/2,'Curve_Interface'!$K$8:$K$73,1))*(INDEX('Curve_Interface'!$L$8:$L$73,MATCH((B39+C39)/2,'Curve_Interface'!$K$8:$K$73,1)+1)/INDEX('Curve_Interface'!$L$8:$L$73,MATCH((B39+C39)/2,'Curve_Interface'!$K$8:$K$73,1)))^(((B39+C39)/2-INDEX('Curve_Interface'!$K$8:$K$73,MATCH((B39+C39)/2,'Curve_Interface'!$K$8:$K$73,1)))/(INDEX('Curve_Interface'!$K$8:$K$73,MATCH((B39+C39)/2,'Curve_Interface'!$K$8:$K$73,1)+1)-INDEX('Curve_Interface'!$K$8:$K$73,MATCH((B39+C39)/2,'Curve_Interface'!$K$8:$K$73,1))))),INDEX('Curve_Interface'!$L$8:$L$73,MATCH((B39+C39)/2,'Curve_Interface'!$K$8:$K$73,1)))</f>
        <v/>
      </c>
      <c r="I39" s="36">
        <f>INDEX(Hazard_Bootstrap!$D$7:$D$12,MIN(COUNTIF(Hazard_Bootstrap!$B$7:$B$12,"&lt;"&amp;C39)+1,6))</f>
        <v/>
      </c>
      <c r="J39" s="36">
        <f>K38</f>
        <v/>
      </c>
      <c r="K39" s="36">
        <f>J39*EXP(-I39*E39)</f>
        <v/>
      </c>
      <c r="L39" s="36">
        <f>J39-K39</f>
        <v/>
      </c>
      <c r="M39" s="36">
        <f>D39*G39*K39</f>
        <v/>
      </c>
      <c r="N39" s="36">
        <f>(D39/2)*H39*L39</f>
        <v/>
      </c>
      <c r="O39" s="36">
        <f>H39*L39</f>
        <v/>
      </c>
    </row>
    <row r="40">
      <c r="A40" s="43" t="n">
        <v>34</v>
      </c>
      <c r="B40" s="18">
        <f>C39</f>
        <v/>
      </c>
      <c r="C40" s="18">
        <f>EDATE('Curve_Interface'!$F$7,3*33)</f>
        <v/>
      </c>
      <c r="D40" s="34">
        <f>(C40-B40)/360</f>
        <v/>
      </c>
      <c r="E40" s="34">
        <f>(C40-B40)/365</f>
        <v/>
      </c>
      <c r="F40" s="34">
        <f>(C40-VAL_DATE)/365</f>
        <v/>
      </c>
      <c r="G40" s="36">
        <f>IFERROR(IF(Curve_Interface!$J$7="Piecewise Linear (Simple)",IF(((C40-VAL_DATE)/360)&lt;=0,1,1/(1+(IF(((INDEX('Curve_Interface'!$K$8:$K$73,MATCH(C40,'Curve_Interface'!$K$8:$K$73,1))-VAL_DATE)/360)&lt;=0,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,(1/INDEX('Curve_Interface'!$L$8:$L$73,MATCH(C40,'Curve_Interface'!$K$8:$K$73,1))-1)/((INDEX('Curve_Interface'!$K$8:$K$73,MATCH(C40,'Curve_Interface'!$K$8:$K$73,1))-VAL_DATE)/360))+(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-IF(((INDEX('Curve_Interface'!$K$8:$K$73,MATCH(C40,'Curve_Interface'!$K$8:$K$73,1))-VAL_DATE)/360)&lt;=0,IF(((INDEX('Curve_Interface'!$K$8:$K$73,MATCH(C40,'Curve_Interface'!$K$8:$K$73,1)+1)-VAL_DATE)/360)&lt;=0,0,(1/INDEX('Curve_Interface'!$L$8:$L$73,MATCH(C40,'Curve_Interface'!$K$8:$K$73,1)+1)-1)/((INDEX('Curve_Interface'!$K$8:$K$73,MATCH(C40,'Curve_Interface'!$K$8:$K$73,1)+1)-VAL_DATE)/360)),(1/INDEX('Curve_Interface'!$L$8:$L$73,MATCH(C40,'Curve_Interface'!$K$8:$K$73,1))-1)/((INDEX('Curve_Interface'!$K$8:$K$73,MATCH(C40,'Curve_Interface'!$K$8:$K$73,1))-VAL_DATE)/360)))*IF(((INDEX('Curve_Interface'!$K$8:$K$73,MATCH(C40,'Curve_Interface'!$K$8:$K$73,1)+1)-VAL_DATE)/360)-((INDEX('Curve_Interface'!$K$8:$K$73,MATCH(C40,'Curve_Interface'!$K$8:$K$73,1))-VAL_DATE)/360)=0,0,(((C40-VAL_DATE)/360)-((INDEX('Curve_Interface'!$K$8:$K$73,MATCH(C40,'Curve_Interface'!$K$8:$K$73,1))-VAL_DATE)/360))/(((INDEX('Curve_Interface'!$K$8:$K$73,MATCH(C40,'Curve_Interface'!$K$8:$K$73,1)+1)-VAL_DATE)/360)-((INDEX('Curve_Interface'!$K$8:$K$73,MATCH(C40,'Curve_Interface'!$K$8:$K$73,1))-VAL_DATE)/360))))*((C40-VAL_DATE)/360))),INDEX('Curve_Interface'!$L$8:$L$73,MATCH(C40,'Curve_Interface'!$K$8:$K$73,1))*(INDEX('Curve_Interface'!$L$8:$L$73,MATCH(C40,'Curve_Interface'!$K$8:$K$73,1)+1)/INDEX('Curve_Interface'!$L$8:$L$73,MATCH(C40,'Curve_Interface'!$K$8:$K$73,1)))^((C40-INDEX('Curve_Interface'!$K$8:$K$73,MATCH(C40,'Curve_Interface'!$K$8:$K$73,1)))/(INDEX('Curve_Interface'!$K$8:$K$73,MATCH(C40,'Curve_Interface'!$K$8:$K$73,1)+1)-INDEX('Curve_Interface'!$K$8:$K$73,MATCH(C40,'Curve_Interface'!$K$8:$K$73,1))))),INDEX('Curve_Interface'!$L$8:$L$73,MATCH(C40,'Curve_Interface'!$K$8:$K$73,1)))</f>
        <v/>
      </c>
      <c r="H40" s="36">
        <f>IFERROR(IF(Curve_Interface!$J$7="Piecewise Linear (Simple)",IF((((B40+C40)/2-VAL_DATE)/360)&lt;=0,1,1/(1+(IF(((INDEX('Curve_Interface'!$K$8:$K$73,MATCH((B40+C40)/2,'Curve_Interface'!$K$8:$K$73,1))-VAL_DATE)/360)&lt;=0,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,(1/INDEX('Curve_Interface'!$L$8:$L$73,MATCH((B40+C40)/2,'Curve_Interface'!$K$8:$K$73,1))-1)/((INDEX('Curve_Interface'!$K$8:$K$73,MATCH((B40+C40)/2,'Curve_Interface'!$K$8:$K$73,1))-VAL_DATE)/360))+(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-IF(((INDEX('Curve_Interface'!$K$8:$K$73,MATCH((B40+C40)/2,'Curve_Interface'!$K$8:$K$73,1))-VAL_DATE)/360)&lt;=0,IF(((INDEX('Curve_Interface'!$K$8:$K$73,MATCH((B40+C40)/2,'Curve_Interface'!$K$8:$K$73,1)+1)-VAL_DATE)/360)&lt;=0,0,(1/INDEX('Curve_Interface'!$L$8:$L$73,MATCH((B40+C40)/2,'Curve_Interface'!$K$8:$K$73,1)+1)-1)/((INDEX('Curve_Interface'!$K$8:$K$73,MATCH((B40+C40)/2,'Curve_Interface'!$K$8:$K$73,1)+1)-VAL_DATE)/360)),(1/INDEX('Curve_Interface'!$L$8:$L$73,MATCH((B40+C40)/2,'Curve_Interface'!$K$8:$K$73,1))-1)/((INDEX('Curve_Interface'!$K$8:$K$73,MATCH((B40+C40)/2,'Curve_Interface'!$K$8:$K$73,1))-VAL_DATE)/360)))*IF(((INDEX('Curve_Interface'!$K$8:$K$73,MATCH((B40+C40)/2,'Curve_Interface'!$K$8:$K$73,1)+1)-VAL_DATE)/360)-((INDEX('Curve_Interface'!$K$8:$K$73,MATCH((B40+C40)/2,'Curve_Interface'!$K$8:$K$73,1))-VAL_DATE)/360)=0,0,((((B40+C40)/2-VAL_DATE)/360)-((INDEX('Curve_Interface'!$K$8:$K$73,MATCH((B40+C40)/2,'Curve_Interface'!$K$8:$K$73,1))-VAL_DATE)/360))/(((INDEX('Curve_Interface'!$K$8:$K$73,MATCH((B40+C40)/2,'Curve_Interface'!$K$8:$K$73,1)+1)-VAL_DATE)/360)-((INDEX('Curve_Interface'!$K$8:$K$73,MATCH((B40+C40)/2,'Curve_Interface'!$K$8:$K$73,1))-VAL_DATE)/360))))*(((B40+C40)/2-VAL_DATE)/360))),INDEX('Curve_Interface'!$L$8:$L$73,MATCH((B40+C40)/2,'Curve_Interface'!$K$8:$K$73,1))*(INDEX('Curve_Interface'!$L$8:$L$73,MATCH((B40+C40)/2,'Curve_Interface'!$K$8:$K$73,1)+1)/INDEX('Curve_Interface'!$L$8:$L$73,MATCH((B40+C40)/2,'Curve_Interface'!$K$8:$K$73,1)))^(((B40+C40)/2-INDEX('Curve_Interface'!$K$8:$K$73,MATCH((B40+C40)/2,'Curve_Interface'!$K$8:$K$73,1)))/(INDEX('Curve_Interface'!$K$8:$K$73,MATCH((B40+C40)/2,'Curve_Interface'!$K$8:$K$73,1)+1)-INDEX('Curve_Interface'!$K$8:$K$73,MATCH((B40+C40)/2,'Curve_Interface'!$K$8:$K$73,1))))),INDEX('Curve_Interface'!$L$8:$L$73,MATCH((B40+C40)/2,'Curve_Interface'!$K$8:$K$73,1)))</f>
        <v/>
      </c>
      <c r="I40" s="36">
        <f>INDEX(Hazard_Bootstrap!$D$7:$D$12,MIN(COUNTIF(Hazard_Bootstrap!$B$7:$B$12,"&lt;"&amp;C40)+1,6))</f>
        <v/>
      </c>
      <c r="J40" s="36">
        <f>K39</f>
        <v/>
      </c>
      <c r="K40" s="36">
        <f>J40*EXP(-I40*E40)</f>
        <v/>
      </c>
      <c r="L40" s="36">
        <f>J40-K40</f>
        <v/>
      </c>
      <c r="M40" s="36">
        <f>D40*G40*K40</f>
        <v/>
      </c>
      <c r="N40" s="36">
        <f>(D40/2)*H40*L40</f>
        <v/>
      </c>
      <c r="O40" s="36">
        <f>H40*L40</f>
        <v/>
      </c>
    </row>
    <row r="41">
      <c r="A41" s="43" t="n">
        <v>35</v>
      </c>
      <c r="B41" s="18">
        <f>C40</f>
        <v/>
      </c>
      <c r="C41" s="18">
        <f>EDATE('Curve_Interface'!$F$7,3*34)</f>
        <v/>
      </c>
      <c r="D41" s="34">
        <f>(C41-B41)/360</f>
        <v/>
      </c>
      <c r="E41" s="34">
        <f>(C41-B41)/365</f>
        <v/>
      </c>
      <c r="F41" s="34">
        <f>(C41-VAL_DATE)/365</f>
        <v/>
      </c>
      <c r="G41" s="36">
        <f>IFERROR(IF(Curve_Interface!$J$7="Piecewise Linear (Simple)",IF(((C41-VAL_DATE)/360)&lt;=0,1,1/(1+(IF(((INDEX('Curve_Interface'!$K$8:$K$73,MATCH(C41,'Curve_Interface'!$K$8:$K$73,1))-VAL_DATE)/360)&lt;=0,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,(1/INDEX('Curve_Interface'!$L$8:$L$73,MATCH(C41,'Curve_Interface'!$K$8:$K$73,1))-1)/((INDEX('Curve_Interface'!$K$8:$K$73,MATCH(C41,'Curve_Interface'!$K$8:$K$73,1))-VAL_DATE)/360))+(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-IF(((INDEX('Curve_Interface'!$K$8:$K$73,MATCH(C41,'Curve_Interface'!$K$8:$K$73,1))-VAL_DATE)/360)&lt;=0,IF(((INDEX('Curve_Interface'!$K$8:$K$73,MATCH(C41,'Curve_Interface'!$K$8:$K$73,1)+1)-VAL_DATE)/360)&lt;=0,0,(1/INDEX('Curve_Interface'!$L$8:$L$73,MATCH(C41,'Curve_Interface'!$K$8:$K$73,1)+1)-1)/((INDEX('Curve_Interface'!$K$8:$K$73,MATCH(C41,'Curve_Interface'!$K$8:$K$73,1)+1)-VAL_DATE)/360)),(1/INDEX('Curve_Interface'!$L$8:$L$73,MATCH(C41,'Curve_Interface'!$K$8:$K$73,1))-1)/((INDEX('Curve_Interface'!$K$8:$K$73,MATCH(C41,'Curve_Interface'!$K$8:$K$73,1))-VAL_DATE)/360)))*IF(((INDEX('Curve_Interface'!$K$8:$K$73,MATCH(C41,'Curve_Interface'!$K$8:$K$73,1)+1)-VAL_DATE)/360)-((INDEX('Curve_Interface'!$K$8:$K$73,MATCH(C41,'Curve_Interface'!$K$8:$K$73,1))-VAL_DATE)/360)=0,0,(((C41-VAL_DATE)/360)-((INDEX('Curve_Interface'!$K$8:$K$73,MATCH(C41,'Curve_Interface'!$K$8:$K$73,1))-VAL_DATE)/360))/(((INDEX('Curve_Interface'!$K$8:$K$73,MATCH(C41,'Curve_Interface'!$K$8:$K$73,1)+1)-VAL_DATE)/360)-((INDEX('Curve_Interface'!$K$8:$K$73,MATCH(C41,'Curve_Interface'!$K$8:$K$73,1))-VAL_DATE)/360))))*((C41-VAL_DATE)/360))),INDEX('Curve_Interface'!$L$8:$L$73,MATCH(C41,'Curve_Interface'!$K$8:$K$73,1))*(INDEX('Curve_Interface'!$L$8:$L$73,MATCH(C41,'Curve_Interface'!$K$8:$K$73,1)+1)/INDEX('Curve_Interface'!$L$8:$L$73,MATCH(C41,'Curve_Interface'!$K$8:$K$73,1)))^((C41-INDEX('Curve_Interface'!$K$8:$K$73,MATCH(C41,'Curve_Interface'!$K$8:$K$73,1)))/(INDEX('Curve_Interface'!$K$8:$K$73,MATCH(C41,'Curve_Interface'!$K$8:$K$73,1)+1)-INDEX('Curve_Interface'!$K$8:$K$73,MATCH(C41,'Curve_Interface'!$K$8:$K$73,1))))),INDEX('Curve_Interface'!$L$8:$L$73,MATCH(C41,'Curve_Interface'!$K$8:$K$73,1)))</f>
        <v/>
      </c>
      <c r="H41" s="36">
        <f>IFERROR(IF(Curve_Interface!$J$7="Piecewise Linear (Simple)",IF((((B41+C41)/2-VAL_DATE)/360)&lt;=0,1,1/(1+(IF(((INDEX('Curve_Interface'!$K$8:$K$73,MATCH((B41+C41)/2,'Curve_Interface'!$K$8:$K$73,1))-VAL_DATE)/360)&lt;=0,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,(1/INDEX('Curve_Interface'!$L$8:$L$73,MATCH((B41+C41)/2,'Curve_Interface'!$K$8:$K$73,1))-1)/((INDEX('Curve_Interface'!$K$8:$K$73,MATCH((B41+C41)/2,'Curve_Interface'!$K$8:$K$73,1))-VAL_DATE)/360))+(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-IF(((INDEX('Curve_Interface'!$K$8:$K$73,MATCH((B41+C41)/2,'Curve_Interface'!$K$8:$K$73,1))-VAL_DATE)/360)&lt;=0,IF(((INDEX('Curve_Interface'!$K$8:$K$73,MATCH((B41+C41)/2,'Curve_Interface'!$K$8:$K$73,1)+1)-VAL_DATE)/360)&lt;=0,0,(1/INDEX('Curve_Interface'!$L$8:$L$73,MATCH((B41+C41)/2,'Curve_Interface'!$K$8:$K$73,1)+1)-1)/((INDEX('Curve_Interface'!$K$8:$K$73,MATCH((B41+C41)/2,'Curve_Interface'!$K$8:$K$73,1)+1)-VAL_DATE)/360)),(1/INDEX('Curve_Interface'!$L$8:$L$73,MATCH((B41+C41)/2,'Curve_Interface'!$K$8:$K$73,1))-1)/((INDEX('Curve_Interface'!$K$8:$K$73,MATCH((B41+C41)/2,'Curve_Interface'!$K$8:$K$73,1))-VAL_DATE)/360)))*IF(((INDEX('Curve_Interface'!$K$8:$K$73,MATCH((B41+C41)/2,'Curve_Interface'!$K$8:$K$73,1)+1)-VAL_DATE)/360)-((INDEX('Curve_Interface'!$K$8:$K$73,MATCH((B41+C41)/2,'Curve_Interface'!$K$8:$K$73,1))-VAL_DATE)/360)=0,0,((((B41+C41)/2-VAL_DATE)/360)-((INDEX('Curve_Interface'!$K$8:$K$73,MATCH((B41+C41)/2,'Curve_Interface'!$K$8:$K$73,1))-VAL_DATE)/360))/(((INDEX('Curve_Interface'!$K$8:$K$73,MATCH((B41+C41)/2,'Curve_Interface'!$K$8:$K$73,1)+1)-VAL_DATE)/360)-((INDEX('Curve_Interface'!$K$8:$K$73,MATCH((B41+C41)/2,'Curve_Interface'!$K$8:$K$73,1))-VAL_DATE)/360))))*(((B41+C41)/2-VAL_DATE)/360))),INDEX('Curve_Interface'!$L$8:$L$73,MATCH((B41+C41)/2,'Curve_Interface'!$K$8:$K$73,1))*(INDEX('Curve_Interface'!$L$8:$L$73,MATCH((B41+C41)/2,'Curve_Interface'!$K$8:$K$73,1)+1)/INDEX('Curve_Interface'!$L$8:$L$73,MATCH((B41+C41)/2,'Curve_Interface'!$K$8:$K$73,1)))^(((B41+C41)/2-INDEX('Curve_Interface'!$K$8:$K$73,MATCH((B41+C41)/2,'Curve_Interface'!$K$8:$K$73,1)))/(INDEX('Curve_Interface'!$K$8:$K$73,MATCH((B41+C41)/2,'Curve_Interface'!$K$8:$K$73,1)+1)-INDEX('Curve_Interface'!$K$8:$K$73,MATCH((B41+C41)/2,'Curve_Interface'!$K$8:$K$73,1))))),INDEX('Curve_Interface'!$L$8:$L$73,MATCH((B41+C41)/2,'Curve_Interface'!$K$8:$K$73,1)))</f>
        <v/>
      </c>
      <c r="I41" s="36">
        <f>INDEX(Hazard_Bootstrap!$D$7:$D$12,MIN(COUNTIF(Hazard_Bootstrap!$B$7:$B$12,"&lt;"&amp;C41)+1,6))</f>
        <v/>
      </c>
      <c r="J41" s="36">
        <f>K40</f>
        <v/>
      </c>
      <c r="K41" s="36">
        <f>J41*EXP(-I41*E41)</f>
        <v/>
      </c>
      <c r="L41" s="36">
        <f>J41-K41</f>
        <v/>
      </c>
      <c r="M41" s="36">
        <f>D41*G41*K41</f>
        <v/>
      </c>
      <c r="N41" s="36">
        <f>(D41/2)*H41*L41</f>
        <v/>
      </c>
      <c r="O41" s="36">
        <f>H41*L41</f>
        <v/>
      </c>
    </row>
    <row r="42">
      <c r="A42" s="43" t="n">
        <v>36</v>
      </c>
      <c r="B42" s="18">
        <f>C41</f>
        <v/>
      </c>
      <c r="C42" s="18">
        <f>EDATE('Curve_Interface'!$F$7,3*35)</f>
        <v/>
      </c>
      <c r="D42" s="34">
        <f>(C42-B42)/360</f>
        <v/>
      </c>
      <c r="E42" s="34">
        <f>(C42-B42)/365</f>
        <v/>
      </c>
      <c r="F42" s="34">
        <f>(C42-VAL_DATE)/365</f>
        <v/>
      </c>
      <c r="G42" s="36">
        <f>IFERROR(IF(Curve_Interface!$J$7="Piecewise Linear (Simple)",IF(((C42-VAL_DATE)/360)&lt;=0,1,1/(1+(IF(((INDEX('Curve_Interface'!$K$8:$K$73,MATCH(C42,'Curve_Interface'!$K$8:$K$73,1))-VAL_DATE)/360)&lt;=0,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,(1/INDEX('Curve_Interface'!$L$8:$L$73,MATCH(C42,'Curve_Interface'!$K$8:$K$73,1))-1)/((INDEX('Curve_Interface'!$K$8:$K$73,MATCH(C42,'Curve_Interface'!$K$8:$K$73,1))-VAL_DATE)/360))+(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-IF(((INDEX('Curve_Interface'!$K$8:$K$73,MATCH(C42,'Curve_Interface'!$K$8:$K$73,1))-VAL_DATE)/360)&lt;=0,IF(((INDEX('Curve_Interface'!$K$8:$K$73,MATCH(C42,'Curve_Interface'!$K$8:$K$73,1)+1)-VAL_DATE)/360)&lt;=0,0,(1/INDEX('Curve_Interface'!$L$8:$L$73,MATCH(C42,'Curve_Interface'!$K$8:$K$73,1)+1)-1)/((INDEX('Curve_Interface'!$K$8:$K$73,MATCH(C42,'Curve_Interface'!$K$8:$K$73,1)+1)-VAL_DATE)/360)),(1/INDEX('Curve_Interface'!$L$8:$L$73,MATCH(C42,'Curve_Interface'!$K$8:$K$73,1))-1)/((INDEX('Curve_Interface'!$K$8:$K$73,MATCH(C42,'Curve_Interface'!$K$8:$K$73,1))-VAL_DATE)/360)))*IF(((INDEX('Curve_Interface'!$K$8:$K$73,MATCH(C42,'Curve_Interface'!$K$8:$K$73,1)+1)-VAL_DATE)/360)-((INDEX('Curve_Interface'!$K$8:$K$73,MATCH(C42,'Curve_Interface'!$K$8:$K$73,1))-VAL_DATE)/360)=0,0,(((C42-VAL_DATE)/360)-((INDEX('Curve_Interface'!$K$8:$K$73,MATCH(C42,'Curve_Interface'!$K$8:$K$73,1))-VAL_DATE)/360))/(((INDEX('Curve_Interface'!$K$8:$K$73,MATCH(C42,'Curve_Interface'!$K$8:$K$73,1)+1)-VAL_DATE)/360)-((INDEX('Curve_Interface'!$K$8:$K$73,MATCH(C42,'Curve_Interface'!$K$8:$K$73,1))-VAL_DATE)/360))))*((C42-VAL_DATE)/360))),INDEX('Curve_Interface'!$L$8:$L$73,MATCH(C42,'Curve_Interface'!$K$8:$K$73,1))*(INDEX('Curve_Interface'!$L$8:$L$73,MATCH(C42,'Curve_Interface'!$K$8:$K$73,1)+1)/INDEX('Curve_Interface'!$L$8:$L$73,MATCH(C42,'Curve_Interface'!$K$8:$K$73,1)))^((C42-INDEX('Curve_Interface'!$K$8:$K$73,MATCH(C42,'Curve_Interface'!$K$8:$K$73,1)))/(INDEX('Curve_Interface'!$K$8:$K$73,MATCH(C42,'Curve_Interface'!$K$8:$K$73,1)+1)-INDEX('Curve_Interface'!$K$8:$K$73,MATCH(C42,'Curve_Interface'!$K$8:$K$73,1))))),INDEX('Curve_Interface'!$L$8:$L$73,MATCH(C42,'Curve_Interface'!$K$8:$K$73,1)))</f>
        <v/>
      </c>
      <c r="H42" s="36">
        <f>IFERROR(IF(Curve_Interface!$J$7="Piecewise Linear (Simple)",IF((((B42+C42)/2-VAL_DATE)/360)&lt;=0,1,1/(1+(IF(((INDEX('Curve_Interface'!$K$8:$K$73,MATCH((B42+C42)/2,'Curve_Interface'!$K$8:$K$73,1))-VAL_DATE)/360)&lt;=0,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,(1/INDEX('Curve_Interface'!$L$8:$L$73,MATCH((B42+C42)/2,'Curve_Interface'!$K$8:$K$73,1))-1)/((INDEX('Curve_Interface'!$K$8:$K$73,MATCH((B42+C42)/2,'Curve_Interface'!$K$8:$K$73,1))-VAL_DATE)/360))+(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-IF(((INDEX('Curve_Interface'!$K$8:$K$73,MATCH((B42+C42)/2,'Curve_Interface'!$K$8:$K$73,1))-VAL_DATE)/360)&lt;=0,IF(((INDEX('Curve_Interface'!$K$8:$K$73,MATCH((B42+C42)/2,'Curve_Interface'!$K$8:$K$73,1)+1)-VAL_DATE)/360)&lt;=0,0,(1/INDEX('Curve_Interface'!$L$8:$L$73,MATCH((B42+C42)/2,'Curve_Interface'!$K$8:$K$73,1)+1)-1)/((INDEX('Curve_Interface'!$K$8:$K$73,MATCH((B42+C42)/2,'Curve_Interface'!$K$8:$K$73,1)+1)-VAL_DATE)/360)),(1/INDEX('Curve_Interface'!$L$8:$L$73,MATCH((B42+C42)/2,'Curve_Interface'!$K$8:$K$73,1))-1)/((INDEX('Curve_Interface'!$K$8:$K$73,MATCH((B42+C42)/2,'Curve_Interface'!$K$8:$K$73,1))-VAL_DATE)/360)))*IF(((INDEX('Curve_Interface'!$K$8:$K$73,MATCH((B42+C42)/2,'Curve_Interface'!$K$8:$K$73,1)+1)-VAL_DATE)/360)-((INDEX('Curve_Interface'!$K$8:$K$73,MATCH((B42+C42)/2,'Curve_Interface'!$K$8:$K$73,1))-VAL_DATE)/360)=0,0,((((B42+C42)/2-VAL_DATE)/360)-((INDEX('Curve_Interface'!$K$8:$K$73,MATCH((B42+C42)/2,'Curve_Interface'!$K$8:$K$73,1))-VAL_DATE)/360))/(((INDEX('Curve_Interface'!$K$8:$K$73,MATCH((B42+C42)/2,'Curve_Interface'!$K$8:$K$73,1)+1)-VAL_DATE)/360)-((INDEX('Curve_Interface'!$K$8:$K$73,MATCH((B42+C42)/2,'Curve_Interface'!$K$8:$K$73,1))-VAL_DATE)/360))))*(((B42+C42)/2-VAL_DATE)/360))),INDEX('Curve_Interface'!$L$8:$L$73,MATCH((B42+C42)/2,'Curve_Interface'!$K$8:$K$73,1))*(INDEX('Curve_Interface'!$L$8:$L$73,MATCH((B42+C42)/2,'Curve_Interface'!$K$8:$K$73,1)+1)/INDEX('Curve_Interface'!$L$8:$L$73,MATCH((B42+C42)/2,'Curve_Interface'!$K$8:$K$73,1)))^(((B42+C42)/2-INDEX('Curve_Interface'!$K$8:$K$73,MATCH((B42+C42)/2,'Curve_Interface'!$K$8:$K$73,1)))/(INDEX('Curve_Interface'!$K$8:$K$73,MATCH((B42+C42)/2,'Curve_Interface'!$K$8:$K$73,1)+1)-INDEX('Curve_Interface'!$K$8:$K$73,MATCH((B42+C42)/2,'Curve_Interface'!$K$8:$K$73,1))))),INDEX('Curve_Interface'!$L$8:$L$73,MATCH((B42+C42)/2,'Curve_Interface'!$K$8:$K$73,1)))</f>
        <v/>
      </c>
      <c r="I42" s="36">
        <f>INDEX(Hazard_Bootstrap!$D$7:$D$12,MIN(COUNTIF(Hazard_Bootstrap!$B$7:$B$12,"&lt;"&amp;C42)+1,6))</f>
        <v/>
      </c>
      <c r="J42" s="36">
        <f>K41</f>
        <v/>
      </c>
      <c r="K42" s="36">
        <f>J42*EXP(-I42*E42)</f>
        <v/>
      </c>
      <c r="L42" s="36">
        <f>J42-K42</f>
        <v/>
      </c>
      <c r="M42" s="36">
        <f>D42*G42*K42</f>
        <v/>
      </c>
      <c r="N42" s="36">
        <f>(D42/2)*H42*L42</f>
        <v/>
      </c>
      <c r="O42" s="36">
        <f>H42*L42</f>
        <v/>
      </c>
    </row>
    <row r="43">
      <c r="A43" s="43" t="n">
        <v>37</v>
      </c>
      <c r="B43" s="18">
        <f>C42</f>
        <v/>
      </c>
      <c r="C43" s="18">
        <f>EDATE('Curve_Interface'!$F$7,3*36)</f>
        <v/>
      </c>
      <c r="D43" s="34">
        <f>(C43-B43)/360</f>
        <v/>
      </c>
      <c r="E43" s="34">
        <f>(C43-B43)/365</f>
        <v/>
      </c>
      <c r="F43" s="34">
        <f>(C43-VAL_DATE)/365</f>
        <v/>
      </c>
      <c r="G43" s="36">
        <f>IFERROR(IF(Curve_Interface!$J$7="Piecewise Linear (Simple)",IF(((C43-VAL_DATE)/360)&lt;=0,1,1/(1+(IF(((INDEX('Curve_Interface'!$K$8:$K$73,MATCH(C43,'Curve_Interface'!$K$8:$K$73,1))-VAL_DATE)/360)&lt;=0,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,(1/INDEX('Curve_Interface'!$L$8:$L$73,MATCH(C43,'Curve_Interface'!$K$8:$K$73,1))-1)/((INDEX('Curve_Interface'!$K$8:$K$73,MATCH(C43,'Curve_Interface'!$K$8:$K$73,1))-VAL_DATE)/360))+(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-IF(((INDEX('Curve_Interface'!$K$8:$K$73,MATCH(C43,'Curve_Interface'!$K$8:$K$73,1))-VAL_DATE)/360)&lt;=0,IF(((INDEX('Curve_Interface'!$K$8:$K$73,MATCH(C43,'Curve_Interface'!$K$8:$K$73,1)+1)-VAL_DATE)/360)&lt;=0,0,(1/INDEX('Curve_Interface'!$L$8:$L$73,MATCH(C43,'Curve_Interface'!$K$8:$K$73,1)+1)-1)/((INDEX('Curve_Interface'!$K$8:$K$73,MATCH(C43,'Curve_Interface'!$K$8:$K$73,1)+1)-VAL_DATE)/360)),(1/INDEX('Curve_Interface'!$L$8:$L$73,MATCH(C43,'Curve_Interface'!$K$8:$K$73,1))-1)/((INDEX('Curve_Interface'!$K$8:$K$73,MATCH(C43,'Curve_Interface'!$K$8:$K$73,1))-VAL_DATE)/360)))*IF(((INDEX('Curve_Interface'!$K$8:$K$73,MATCH(C43,'Curve_Interface'!$K$8:$K$73,1)+1)-VAL_DATE)/360)-((INDEX('Curve_Interface'!$K$8:$K$73,MATCH(C43,'Curve_Interface'!$K$8:$K$73,1))-VAL_DATE)/360)=0,0,(((C43-VAL_DATE)/360)-((INDEX('Curve_Interface'!$K$8:$K$73,MATCH(C43,'Curve_Interface'!$K$8:$K$73,1))-VAL_DATE)/360))/(((INDEX('Curve_Interface'!$K$8:$K$73,MATCH(C43,'Curve_Interface'!$K$8:$K$73,1)+1)-VAL_DATE)/360)-((INDEX('Curve_Interface'!$K$8:$K$73,MATCH(C43,'Curve_Interface'!$K$8:$K$73,1))-VAL_DATE)/360))))*((C43-VAL_DATE)/360))),INDEX('Curve_Interface'!$L$8:$L$73,MATCH(C43,'Curve_Interface'!$K$8:$K$73,1))*(INDEX('Curve_Interface'!$L$8:$L$73,MATCH(C43,'Curve_Interface'!$K$8:$K$73,1)+1)/INDEX('Curve_Interface'!$L$8:$L$73,MATCH(C43,'Curve_Interface'!$K$8:$K$73,1)))^((C43-INDEX('Curve_Interface'!$K$8:$K$73,MATCH(C43,'Curve_Interface'!$K$8:$K$73,1)))/(INDEX('Curve_Interface'!$K$8:$K$73,MATCH(C43,'Curve_Interface'!$K$8:$K$73,1)+1)-INDEX('Curve_Interface'!$K$8:$K$73,MATCH(C43,'Curve_Interface'!$K$8:$K$73,1))))),INDEX('Curve_Interface'!$L$8:$L$73,MATCH(C43,'Curve_Interface'!$K$8:$K$73,1)))</f>
        <v/>
      </c>
      <c r="H43" s="36">
        <f>IFERROR(IF(Curve_Interface!$J$7="Piecewise Linear (Simple)",IF((((B43+C43)/2-VAL_DATE)/360)&lt;=0,1,1/(1+(IF(((INDEX('Curve_Interface'!$K$8:$K$73,MATCH((B43+C43)/2,'Curve_Interface'!$K$8:$K$73,1))-VAL_DATE)/360)&lt;=0,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,(1/INDEX('Curve_Interface'!$L$8:$L$73,MATCH((B43+C43)/2,'Curve_Interface'!$K$8:$K$73,1))-1)/((INDEX('Curve_Interface'!$K$8:$K$73,MATCH((B43+C43)/2,'Curve_Interface'!$K$8:$K$73,1))-VAL_DATE)/360))+(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-IF(((INDEX('Curve_Interface'!$K$8:$K$73,MATCH((B43+C43)/2,'Curve_Interface'!$K$8:$K$73,1))-VAL_DATE)/360)&lt;=0,IF(((INDEX('Curve_Interface'!$K$8:$K$73,MATCH((B43+C43)/2,'Curve_Interface'!$K$8:$K$73,1)+1)-VAL_DATE)/360)&lt;=0,0,(1/INDEX('Curve_Interface'!$L$8:$L$73,MATCH((B43+C43)/2,'Curve_Interface'!$K$8:$K$73,1)+1)-1)/((INDEX('Curve_Interface'!$K$8:$K$73,MATCH((B43+C43)/2,'Curve_Interface'!$K$8:$K$73,1)+1)-VAL_DATE)/360)),(1/INDEX('Curve_Interface'!$L$8:$L$73,MATCH((B43+C43)/2,'Curve_Interface'!$K$8:$K$73,1))-1)/((INDEX('Curve_Interface'!$K$8:$K$73,MATCH((B43+C43)/2,'Curve_Interface'!$K$8:$K$73,1))-VAL_DATE)/360)))*IF(((INDEX('Curve_Interface'!$K$8:$K$73,MATCH((B43+C43)/2,'Curve_Interface'!$K$8:$K$73,1)+1)-VAL_DATE)/360)-((INDEX('Curve_Interface'!$K$8:$K$73,MATCH((B43+C43)/2,'Curve_Interface'!$K$8:$K$73,1))-VAL_DATE)/360)=0,0,((((B43+C43)/2-VAL_DATE)/360)-((INDEX('Curve_Interface'!$K$8:$K$73,MATCH((B43+C43)/2,'Curve_Interface'!$K$8:$K$73,1))-VAL_DATE)/360))/(((INDEX('Curve_Interface'!$K$8:$K$73,MATCH((B43+C43)/2,'Curve_Interface'!$K$8:$K$73,1)+1)-VAL_DATE)/360)-((INDEX('Curve_Interface'!$K$8:$K$73,MATCH((B43+C43)/2,'Curve_Interface'!$K$8:$K$73,1))-VAL_DATE)/360))))*(((B43+C43)/2-VAL_DATE)/360))),INDEX('Curve_Interface'!$L$8:$L$73,MATCH((B43+C43)/2,'Curve_Interface'!$K$8:$K$73,1))*(INDEX('Curve_Interface'!$L$8:$L$73,MATCH((B43+C43)/2,'Curve_Interface'!$K$8:$K$73,1)+1)/INDEX('Curve_Interface'!$L$8:$L$73,MATCH((B43+C43)/2,'Curve_Interface'!$K$8:$K$73,1)))^(((B43+C43)/2-INDEX('Curve_Interface'!$K$8:$K$73,MATCH((B43+C43)/2,'Curve_Interface'!$K$8:$K$73,1)))/(INDEX('Curve_Interface'!$K$8:$K$73,MATCH((B43+C43)/2,'Curve_Interface'!$K$8:$K$73,1)+1)-INDEX('Curve_Interface'!$K$8:$K$73,MATCH((B43+C43)/2,'Curve_Interface'!$K$8:$K$73,1))))),INDEX('Curve_Interface'!$L$8:$L$73,MATCH((B43+C43)/2,'Curve_Interface'!$K$8:$K$73,1)))</f>
        <v/>
      </c>
      <c r="I43" s="36">
        <f>INDEX(Hazard_Bootstrap!$D$7:$D$12,MIN(COUNTIF(Hazard_Bootstrap!$B$7:$B$12,"&lt;"&amp;C43)+1,6))</f>
        <v/>
      </c>
      <c r="J43" s="36">
        <f>K42</f>
        <v/>
      </c>
      <c r="K43" s="36">
        <f>J43*EXP(-I43*E43)</f>
        <v/>
      </c>
      <c r="L43" s="36">
        <f>J43-K43</f>
        <v/>
      </c>
      <c r="M43" s="36">
        <f>D43*G43*K43</f>
        <v/>
      </c>
      <c r="N43" s="36">
        <f>(D43/2)*H43*L43</f>
        <v/>
      </c>
      <c r="O43" s="36">
        <f>H43*L43</f>
        <v/>
      </c>
    </row>
    <row r="44">
      <c r="A44" s="43" t="n">
        <v>38</v>
      </c>
      <c r="B44" s="18">
        <f>C43</f>
        <v/>
      </c>
      <c r="C44" s="18">
        <f>EDATE('Curve_Interface'!$F$7,3*37)</f>
        <v/>
      </c>
      <c r="D44" s="34">
        <f>(C44-B44)/360</f>
        <v/>
      </c>
      <c r="E44" s="34">
        <f>(C44-B44)/365</f>
        <v/>
      </c>
      <c r="F44" s="34">
        <f>(C44-VAL_DATE)/365</f>
        <v/>
      </c>
      <c r="G44" s="36">
        <f>IFERROR(IF(Curve_Interface!$J$7="Piecewise Linear (Simple)",IF(((C44-VAL_DATE)/360)&lt;=0,1,1/(1+(IF(((INDEX('Curve_Interface'!$K$8:$K$73,MATCH(C44,'Curve_Interface'!$K$8:$K$73,1))-VAL_DATE)/360)&lt;=0,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,(1/INDEX('Curve_Interface'!$L$8:$L$73,MATCH(C44,'Curve_Interface'!$K$8:$K$73,1))-1)/((INDEX('Curve_Interface'!$K$8:$K$73,MATCH(C44,'Curve_Interface'!$K$8:$K$73,1))-VAL_DATE)/360))+(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-IF(((INDEX('Curve_Interface'!$K$8:$K$73,MATCH(C44,'Curve_Interface'!$K$8:$K$73,1))-VAL_DATE)/360)&lt;=0,IF(((INDEX('Curve_Interface'!$K$8:$K$73,MATCH(C44,'Curve_Interface'!$K$8:$K$73,1)+1)-VAL_DATE)/360)&lt;=0,0,(1/INDEX('Curve_Interface'!$L$8:$L$73,MATCH(C44,'Curve_Interface'!$K$8:$K$73,1)+1)-1)/((INDEX('Curve_Interface'!$K$8:$K$73,MATCH(C44,'Curve_Interface'!$K$8:$K$73,1)+1)-VAL_DATE)/360)),(1/INDEX('Curve_Interface'!$L$8:$L$73,MATCH(C44,'Curve_Interface'!$K$8:$K$73,1))-1)/((INDEX('Curve_Interface'!$K$8:$K$73,MATCH(C44,'Curve_Interface'!$K$8:$K$73,1))-VAL_DATE)/360)))*IF(((INDEX('Curve_Interface'!$K$8:$K$73,MATCH(C44,'Curve_Interface'!$K$8:$K$73,1)+1)-VAL_DATE)/360)-((INDEX('Curve_Interface'!$K$8:$K$73,MATCH(C44,'Curve_Interface'!$K$8:$K$73,1))-VAL_DATE)/360)=0,0,(((C44-VAL_DATE)/360)-((INDEX('Curve_Interface'!$K$8:$K$73,MATCH(C44,'Curve_Interface'!$K$8:$K$73,1))-VAL_DATE)/360))/(((INDEX('Curve_Interface'!$K$8:$K$73,MATCH(C44,'Curve_Interface'!$K$8:$K$73,1)+1)-VAL_DATE)/360)-((INDEX('Curve_Interface'!$K$8:$K$73,MATCH(C44,'Curve_Interface'!$K$8:$K$73,1))-VAL_DATE)/360))))*((C44-VAL_DATE)/360))),INDEX('Curve_Interface'!$L$8:$L$73,MATCH(C44,'Curve_Interface'!$K$8:$K$73,1))*(INDEX('Curve_Interface'!$L$8:$L$73,MATCH(C44,'Curve_Interface'!$K$8:$K$73,1)+1)/INDEX('Curve_Interface'!$L$8:$L$73,MATCH(C44,'Curve_Interface'!$K$8:$K$73,1)))^((C44-INDEX('Curve_Interface'!$K$8:$K$73,MATCH(C44,'Curve_Interface'!$K$8:$K$73,1)))/(INDEX('Curve_Interface'!$K$8:$K$73,MATCH(C44,'Curve_Interface'!$K$8:$K$73,1)+1)-INDEX('Curve_Interface'!$K$8:$K$73,MATCH(C44,'Curve_Interface'!$K$8:$K$73,1))))),INDEX('Curve_Interface'!$L$8:$L$73,MATCH(C44,'Curve_Interface'!$K$8:$K$73,1)))</f>
        <v/>
      </c>
      <c r="H44" s="36">
        <f>IFERROR(IF(Curve_Interface!$J$7="Piecewise Linear (Simple)",IF((((B44+C44)/2-VAL_DATE)/360)&lt;=0,1,1/(1+(IF(((INDEX('Curve_Interface'!$K$8:$K$73,MATCH((B44+C44)/2,'Curve_Interface'!$K$8:$K$73,1))-VAL_DATE)/360)&lt;=0,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,(1/INDEX('Curve_Interface'!$L$8:$L$73,MATCH((B44+C44)/2,'Curve_Interface'!$K$8:$K$73,1))-1)/((INDEX('Curve_Interface'!$K$8:$K$73,MATCH((B44+C44)/2,'Curve_Interface'!$K$8:$K$73,1))-VAL_DATE)/360))+(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-IF(((INDEX('Curve_Interface'!$K$8:$K$73,MATCH((B44+C44)/2,'Curve_Interface'!$K$8:$K$73,1))-VAL_DATE)/360)&lt;=0,IF(((INDEX('Curve_Interface'!$K$8:$K$73,MATCH((B44+C44)/2,'Curve_Interface'!$K$8:$K$73,1)+1)-VAL_DATE)/360)&lt;=0,0,(1/INDEX('Curve_Interface'!$L$8:$L$73,MATCH((B44+C44)/2,'Curve_Interface'!$K$8:$K$73,1)+1)-1)/((INDEX('Curve_Interface'!$K$8:$K$73,MATCH((B44+C44)/2,'Curve_Interface'!$K$8:$K$73,1)+1)-VAL_DATE)/360)),(1/INDEX('Curve_Interface'!$L$8:$L$73,MATCH((B44+C44)/2,'Curve_Interface'!$K$8:$K$73,1))-1)/((INDEX('Curve_Interface'!$K$8:$K$73,MATCH((B44+C44)/2,'Curve_Interface'!$K$8:$K$73,1))-VAL_DATE)/360)))*IF(((INDEX('Curve_Interface'!$K$8:$K$73,MATCH((B44+C44)/2,'Curve_Interface'!$K$8:$K$73,1)+1)-VAL_DATE)/360)-((INDEX('Curve_Interface'!$K$8:$K$73,MATCH((B44+C44)/2,'Curve_Interface'!$K$8:$K$73,1))-VAL_DATE)/360)=0,0,((((B44+C44)/2-VAL_DATE)/360)-((INDEX('Curve_Interface'!$K$8:$K$73,MATCH((B44+C44)/2,'Curve_Interface'!$K$8:$K$73,1))-VAL_DATE)/360))/(((INDEX('Curve_Interface'!$K$8:$K$73,MATCH((B44+C44)/2,'Curve_Interface'!$K$8:$K$73,1)+1)-VAL_DATE)/360)-((INDEX('Curve_Interface'!$K$8:$K$73,MATCH((B44+C44)/2,'Curve_Interface'!$K$8:$K$73,1))-VAL_DATE)/360))))*(((B44+C44)/2-VAL_DATE)/360))),INDEX('Curve_Interface'!$L$8:$L$73,MATCH((B44+C44)/2,'Curve_Interface'!$K$8:$K$73,1))*(INDEX('Curve_Interface'!$L$8:$L$73,MATCH((B44+C44)/2,'Curve_Interface'!$K$8:$K$73,1)+1)/INDEX('Curve_Interface'!$L$8:$L$73,MATCH((B44+C44)/2,'Curve_Interface'!$K$8:$K$73,1)))^(((B44+C44)/2-INDEX('Curve_Interface'!$K$8:$K$73,MATCH((B44+C44)/2,'Curve_Interface'!$K$8:$K$73,1)))/(INDEX('Curve_Interface'!$K$8:$K$73,MATCH((B44+C44)/2,'Curve_Interface'!$K$8:$K$73,1)+1)-INDEX('Curve_Interface'!$K$8:$K$73,MATCH((B44+C44)/2,'Curve_Interface'!$K$8:$K$73,1))))),INDEX('Curve_Interface'!$L$8:$L$73,MATCH((B44+C44)/2,'Curve_Interface'!$K$8:$K$73,1)))</f>
        <v/>
      </c>
      <c r="I44" s="36">
        <f>INDEX(Hazard_Bootstrap!$D$7:$D$12,MIN(COUNTIF(Hazard_Bootstrap!$B$7:$B$12,"&lt;"&amp;C44)+1,6))</f>
        <v/>
      </c>
      <c r="J44" s="36">
        <f>K43</f>
        <v/>
      </c>
      <c r="K44" s="36">
        <f>J44*EXP(-I44*E44)</f>
        <v/>
      </c>
      <c r="L44" s="36">
        <f>J44-K44</f>
        <v/>
      </c>
      <c r="M44" s="36">
        <f>D44*G44*K44</f>
        <v/>
      </c>
      <c r="N44" s="36">
        <f>(D44/2)*H44*L44</f>
        <v/>
      </c>
      <c r="O44" s="36">
        <f>H44*L44</f>
        <v/>
      </c>
    </row>
    <row r="45">
      <c r="A45" s="43" t="n">
        <v>39</v>
      </c>
      <c r="B45" s="18">
        <f>C44</f>
        <v/>
      </c>
      <c r="C45" s="18">
        <f>EDATE('Curve_Interface'!$F$7,3*38)</f>
        <v/>
      </c>
      <c r="D45" s="34">
        <f>(C45-B45)/360</f>
        <v/>
      </c>
      <c r="E45" s="34">
        <f>(C45-B45)/365</f>
        <v/>
      </c>
      <c r="F45" s="34">
        <f>(C45-VAL_DATE)/365</f>
        <v/>
      </c>
      <c r="G45" s="36">
        <f>IFERROR(IF(Curve_Interface!$J$7="Piecewise Linear (Simple)",IF(((C45-VAL_DATE)/360)&lt;=0,1,1/(1+(IF(((INDEX('Curve_Interface'!$K$8:$K$73,MATCH(C45,'Curve_Interface'!$K$8:$K$73,1))-VAL_DATE)/360)&lt;=0,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,(1/INDEX('Curve_Interface'!$L$8:$L$73,MATCH(C45,'Curve_Interface'!$K$8:$K$73,1))-1)/((INDEX('Curve_Interface'!$K$8:$K$73,MATCH(C45,'Curve_Interface'!$K$8:$K$73,1))-VAL_DATE)/360))+(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-IF(((INDEX('Curve_Interface'!$K$8:$K$73,MATCH(C45,'Curve_Interface'!$K$8:$K$73,1))-VAL_DATE)/360)&lt;=0,IF(((INDEX('Curve_Interface'!$K$8:$K$73,MATCH(C45,'Curve_Interface'!$K$8:$K$73,1)+1)-VAL_DATE)/360)&lt;=0,0,(1/INDEX('Curve_Interface'!$L$8:$L$73,MATCH(C45,'Curve_Interface'!$K$8:$K$73,1)+1)-1)/((INDEX('Curve_Interface'!$K$8:$K$73,MATCH(C45,'Curve_Interface'!$K$8:$K$73,1)+1)-VAL_DATE)/360)),(1/INDEX('Curve_Interface'!$L$8:$L$73,MATCH(C45,'Curve_Interface'!$K$8:$K$73,1))-1)/((INDEX('Curve_Interface'!$K$8:$K$73,MATCH(C45,'Curve_Interface'!$K$8:$K$73,1))-VAL_DATE)/360)))*IF(((INDEX('Curve_Interface'!$K$8:$K$73,MATCH(C45,'Curve_Interface'!$K$8:$K$73,1)+1)-VAL_DATE)/360)-((INDEX('Curve_Interface'!$K$8:$K$73,MATCH(C45,'Curve_Interface'!$K$8:$K$73,1))-VAL_DATE)/360)=0,0,(((C45-VAL_DATE)/360)-((INDEX('Curve_Interface'!$K$8:$K$73,MATCH(C45,'Curve_Interface'!$K$8:$K$73,1))-VAL_DATE)/360))/(((INDEX('Curve_Interface'!$K$8:$K$73,MATCH(C45,'Curve_Interface'!$K$8:$K$73,1)+1)-VAL_DATE)/360)-((INDEX('Curve_Interface'!$K$8:$K$73,MATCH(C45,'Curve_Interface'!$K$8:$K$73,1))-VAL_DATE)/360))))*((C45-VAL_DATE)/360))),INDEX('Curve_Interface'!$L$8:$L$73,MATCH(C45,'Curve_Interface'!$K$8:$K$73,1))*(INDEX('Curve_Interface'!$L$8:$L$73,MATCH(C45,'Curve_Interface'!$K$8:$K$73,1)+1)/INDEX('Curve_Interface'!$L$8:$L$73,MATCH(C45,'Curve_Interface'!$K$8:$K$73,1)))^((C45-INDEX('Curve_Interface'!$K$8:$K$73,MATCH(C45,'Curve_Interface'!$K$8:$K$73,1)))/(INDEX('Curve_Interface'!$K$8:$K$73,MATCH(C45,'Curve_Interface'!$K$8:$K$73,1)+1)-INDEX('Curve_Interface'!$K$8:$K$73,MATCH(C45,'Curve_Interface'!$K$8:$K$73,1))))),INDEX('Curve_Interface'!$L$8:$L$73,MATCH(C45,'Curve_Interface'!$K$8:$K$73,1)))</f>
        <v/>
      </c>
      <c r="H45" s="36">
        <f>IFERROR(IF(Curve_Interface!$J$7="Piecewise Linear (Simple)",IF((((B45+C45)/2-VAL_DATE)/360)&lt;=0,1,1/(1+(IF(((INDEX('Curve_Interface'!$K$8:$K$73,MATCH((B45+C45)/2,'Curve_Interface'!$K$8:$K$73,1))-VAL_DATE)/360)&lt;=0,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,(1/INDEX('Curve_Interface'!$L$8:$L$73,MATCH((B45+C45)/2,'Curve_Interface'!$K$8:$K$73,1))-1)/((INDEX('Curve_Interface'!$K$8:$K$73,MATCH((B45+C45)/2,'Curve_Interface'!$K$8:$K$73,1))-VAL_DATE)/360))+(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-IF(((INDEX('Curve_Interface'!$K$8:$K$73,MATCH((B45+C45)/2,'Curve_Interface'!$K$8:$K$73,1))-VAL_DATE)/360)&lt;=0,IF(((INDEX('Curve_Interface'!$K$8:$K$73,MATCH((B45+C45)/2,'Curve_Interface'!$K$8:$K$73,1)+1)-VAL_DATE)/360)&lt;=0,0,(1/INDEX('Curve_Interface'!$L$8:$L$73,MATCH((B45+C45)/2,'Curve_Interface'!$K$8:$K$73,1)+1)-1)/((INDEX('Curve_Interface'!$K$8:$K$73,MATCH((B45+C45)/2,'Curve_Interface'!$K$8:$K$73,1)+1)-VAL_DATE)/360)),(1/INDEX('Curve_Interface'!$L$8:$L$73,MATCH((B45+C45)/2,'Curve_Interface'!$K$8:$K$73,1))-1)/((INDEX('Curve_Interface'!$K$8:$K$73,MATCH((B45+C45)/2,'Curve_Interface'!$K$8:$K$73,1))-VAL_DATE)/360)))*IF(((INDEX('Curve_Interface'!$K$8:$K$73,MATCH((B45+C45)/2,'Curve_Interface'!$K$8:$K$73,1)+1)-VAL_DATE)/360)-((INDEX('Curve_Interface'!$K$8:$K$73,MATCH((B45+C45)/2,'Curve_Interface'!$K$8:$K$73,1))-VAL_DATE)/360)=0,0,((((B45+C45)/2-VAL_DATE)/360)-((INDEX('Curve_Interface'!$K$8:$K$73,MATCH((B45+C45)/2,'Curve_Interface'!$K$8:$K$73,1))-VAL_DATE)/360))/(((INDEX('Curve_Interface'!$K$8:$K$73,MATCH((B45+C45)/2,'Curve_Interface'!$K$8:$K$73,1)+1)-VAL_DATE)/360)-((INDEX('Curve_Interface'!$K$8:$K$73,MATCH((B45+C45)/2,'Curve_Interface'!$K$8:$K$73,1))-VAL_DATE)/360))))*(((B45+C45)/2-VAL_DATE)/360))),INDEX('Curve_Interface'!$L$8:$L$73,MATCH((B45+C45)/2,'Curve_Interface'!$K$8:$K$73,1))*(INDEX('Curve_Interface'!$L$8:$L$73,MATCH((B45+C45)/2,'Curve_Interface'!$K$8:$K$73,1)+1)/INDEX('Curve_Interface'!$L$8:$L$73,MATCH((B45+C45)/2,'Curve_Interface'!$K$8:$K$73,1)))^(((B45+C45)/2-INDEX('Curve_Interface'!$K$8:$K$73,MATCH((B45+C45)/2,'Curve_Interface'!$K$8:$K$73,1)))/(INDEX('Curve_Interface'!$K$8:$K$73,MATCH((B45+C45)/2,'Curve_Interface'!$K$8:$K$73,1)+1)-INDEX('Curve_Interface'!$K$8:$K$73,MATCH((B45+C45)/2,'Curve_Interface'!$K$8:$K$73,1))))),INDEX('Curve_Interface'!$L$8:$L$73,MATCH((B45+C45)/2,'Curve_Interface'!$K$8:$K$73,1)))</f>
        <v/>
      </c>
      <c r="I45" s="36">
        <f>INDEX(Hazard_Bootstrap!$D$7:$D$12,MIN(COUNTIF(Hazard_Bootstrap!$B$7:$B$12,"&lt;"&amp;C45)+1,6))</f>
        <v/>
      </c>
      <c r="J45" s="36">
        <f>K44</f>
        <v/>
      </c>
      <c r="K45" s="36">
        <f>J45*EXP(-I45*E45)</f>
        <v/>
      </c>
      <c r="L45" s="36">
        <f>J45-K45</f>
        <v/>
      </c>
      <c r="M45" s="36">
        <f>D45*G45*K45</f>
        <v/>
      </c>
      <c r="N45" s="36">
        <f>(D45/2)*H45*L45</f>
        <v/>
      </c>
      <c r="O45" s="36">
        <f>H45*L45</f>
        <v/>
      </c>
    </row>
    <row r="46">
      <c r="A46" s="43" t="n">
        <v>40</v>
      </c>
      <c r="B46" s="18">
        <f>C45</f>
        <v/>
      </c>
      <c r="C46" s="18">
        <f>EDATE('Curve_Interface'!$F$7,3*39)</f>
        <v/>
      </c>
      <c r="D46" s="34">
        <f>(C46-B46)/360</f>
        <v/>
      </c>
      <c r="E46" s="34">
        <f>(C46-B46)/365</f>
        <v/>
      </c>
      <c r="F46" s="34">
        <f>(C46-VAL_DATE)/365</f>
        <v/>
      </c>
      <c r="G46" s="36">
        <f>IFERROR(IF(Curve_Interface!$J$7="Piecewise Linear (Simple)",IF(((C46-VAL_DATE)/360)&lt;=0,1,1/(1+(IF(((INDEX('Curve_Interface'!$K$8:$K$73,MATCH(C46,'Curve_Interface'!$K$8:$K$73,1))-VAL_DATE)/360)&lt;=0,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,(1/INDEX('Curve_Interface'!$L$8:$L$73,MATCH(C46,'Curve_Interface'!$K$8:$K$73,1))-1)/((INDEX('Curve_Interface'!$K$8:$K$73,MATCH(C46,'Curve_Interface'!$K$8:$K$73,1))-VAL_DATE)/360))+(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-IF(((INDEX('Curve_Interface'!$K$8:$K$73,MATCH(C46,'Curve_Interface'!$K$8:$K$73,1))-VAL_DATE)/360)&lt;=0,IF(((INDEX('Curve_Interface'!$K$8:$K$73,MATCH(C46,'Curve_Interface'!$K$8:$K$73,1)+1)-VAL_DATE)/360)&lt;=0,0,(1/INDEX('Curve_Interface'!$L$8:$L$73,MATCH(C46,'Curve_Interface'!$K$8:$K$73,1)+1)-1)/((INDEX('Curve_Interface'!$K$8:$K$73,MATCH(C46,'Curve_Interface'!$K$8:$K$73,1)+1)-VAL_DATE)/360)),(1/INDEX('Curve_Interface'!$L$8:$L$73,MATCH(C46,'Curve_Interface'!$K$8:$K$73,1))-1)/((INDEX('Curve_Interface'!$K$8:$K$73,MATCH(C46,'Curve_Interface'!$K$8:$K$73,1))-VAL_DATE)/360)))*IF(((INDEX('Curve_Interface'!$K$8:$K$73,MATCH(C46,'Curve_Interface'!$K$8:$K$73,1)+1)-VAL_DATE)/360)-((INDEX('Curve_Interface'!$K$8:$K$73,MATCH(C46,'Curve_Interface'!$K$8:$K$73,1))-VAL_DATE)/360)=0,0,(((C46-VAL_DATE)/360)-((INDEX('Curve_Interface'!$K$8:$K$73,MATCH(C46,'Curve_Interface'!$K$8:$K$73,1))-VAL_DATE)/360))/(((INDEX('Curve_Interface'!$K$8:$K$73,MATCH(C46,'Curve_Interface'!$K$8:$K$73,1)+1)-VAL_DATE)/360)-((INDEX('Curve_Interface'!$K$8:$K$73,MATCH(C46,'Curve_Interface'!$K$8:$K$73,1))-VAL_DATE)/360))))*((C46-VAL_DATE)/360))),INDEX('Curve_Interface'!$L$8:$L$73,MATCH(C46,'Curve_Interface'!$K$8:$K$73,1))*(INDEX('Curve_Interface'!$L$8:$L$73,MATCH(C46,'Curve_Interface'!$K$8:$K$73,1)+1)/INDEX('Curve_Interface'!$L$8:$L$73,MATCH(C46,'Curve_Interface'!$K$8:$K$73,1)))^((C46-INDEX('Curve_Interface'!$K$8:$K$73,MATCH(C46,'Curve_Interface'!$K$8:$K$73,1)))/(INDEX('Curve_Interface'!$K$8:$K$73,MATCH(C46,'Curve_Interface'!$K$8:$K$73,1)+1)-INDEX('Curve_Interface'!$K$8:$K$73,MATCH(C46,'Curve_Interface'!$K$8:$K$73,1))))),INDEX('Curve_Interface'!$L$8:$L$73,MATCH(C46,'Curve_Interface'!$K$8:$K$73,1)))</f>
        <v/>
      </c>
      <c r="H46" s="36">
        <f>IFERROR(IF(Curve_Interface!$J$7="Piecewise Linear (Simple)",IF((((B46+C46)/2-VAL_DATE)/360)&lt;=0,1,1/(1+(IF(((INDEX('Curve_Interface'!$K$8:$K$73,MATCH((B46+C46)/2,'Curve_Interface'!$K$8:$K$73,1))-VAL_DATE)/360)&lt;=0,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,(1/INDEX('Curve_Interface'!$L$8:$L$73,MATCH((B46+C46)/2,'Curve_Interface'!$K$8:$K$73,1))-1)/((INDEX('Curve_Interface'!$K$8:$K$73,MATCH((B46+C46)/2,'Curve_Interface'!$K$8:$K$73,1))-VAL_DATE)/360))+(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-IF(((INDEX('Curve_Interface'!$K$8:$K$73,MATCH((B46+C46)/2,'Curve_Interface'!$K$8:$K$73,1))-VAL_DATE)/360)&lt;=0,IF(((INDEX('Curve_Interface'!$K$8:$K$73,MATCH((B46+C46)/2,'Curve_Interface'!$K$8:$K$73,1)+1)-VAL_DATE)/360)&lt;=0,0,(1/INDEX('Curve_Interface'!$L$8:$L$73,MATCH((B46+C46)/2,'Curve_Interface'!$K$8:$K$73,1)+1)-1)/((INDEX('Curve_Interface'!$K$8:$K$73,MATCH((B46+C46)/2,'Curve_Interface'!$K$8:$K$73,1)+1)-VAL_DATE)/360)),(1/INDEX('Curve_Interface'!$L$8:$L$73,MATCH((B46+C46)/2,'Curve_Interface'!$K$8:$K$73,1))-1)/((INDEX('Curve_Interface'!$K$8:$K$73,MATCH((B46+C46)/2,'Curve_Interface'!$K$8:$K$73,1))-VAL_DATE)/360)))*IF(((INDEX('Curve_Interface'!$K$8:$K$73,MATCH((B46+C46)/2,'Curve_Interface'!$K$8:$K$73,1)+1)-VAL_DATE)/360)-((INDEX('Curve_Interface'!$K$8:$K$73,MATCH((B46+C46)/2,'Curve_Interface'!$K$8:$K$73,1))-VAL_DATE)/360)=0,0,((((B46+C46)/2-VAL_DATE)/360)-((INDEX('Curve_Interface'!$K$8:$K$73,MATCH((B46+C46)/2,'Curve_Interface'!$K$8:$K$73,1))-VAL_DATE)/360))/(((INDEX('Curve_Interface'!$K$8:$K$73,MATCH((B46+C46)/2,'Curve_Interface'!$K$8:$K$73,1)+1)-VAL_DATE)/360)-((INDEX('Curve_Interface'!$K$8:$K$73,MATCH((B46+C46)/2,'Curve_Interface'!$K$8:$K$73,1))-VAL_DATE)/360))))*(((B46+C46)/2-VAL_DATE)/360))),INDEX('Curve_Interface'!$L$8:$L$73,MATCH((B46+C46)/2,'Curve_Interface'!$K$8:$K$73,1))*(INDEX('Curve_Interface'!$L$8:$L$73,MATCH((B46+C46)/2,'Curve_Interface'!$K$8:$K$73,1)+1)/INDEX('Curve_Interface'!$L$8:$L$73,MATCH((B46+C46)/2,'Curve_Interface'!$K$8:$K$73,1)))^(((B46+C46)/2-INDEX('Curve_Interface'!$K$8:$K$73,MATCH((B46+C46)/2,'Curve_Interface'!$K$8:$K$73,1)))/(INDEX('Curve_Interface'!$K$8:$K$73,MATCH((B46+C46)/2,'Curve_Interface'!$K$8:$K$73,1)+1)-INDEX('Curve_Interface'!$K$8:$K$73,MATCH((B46+C46)/2,'Curve_Interface'!$K$8:$K$73,1))))),INDEX('Curve_Interface'!$L$8:$L$73,MATCH((B46+C46)/2,'Curve_Interface'!$K$8:$K$73,1)))</f>
        <v/>
      </c>
      <c r="I46" s="36">
        <f>INDEX(Hazard_Bootstrap!$D$7:$D$12,MIN(COUNTIF(Hazard_Bootstrap!$B$7:$B$12,"&lt;"&amp;C46)+1,6))</f>
        <v/>
      </c>
      <c r="J46" s="36">
        <f>K45</f>
        <v/>
      </c>
      <c r="K46" s="36">
        <f>J46*EXP(-I46*E46)</f>
        <v/>
      </c>
      <c r="L46" s="36">
        <f>J46-K46</f>
        <v/>
      </c>
      <c r="M46" s="36">
        <f>D46*G46*K46</f>
        <v/>
      </c>
      <c r="N46" s="36">
        <f>(D46/2)*H46*L46</f>
        <v/>
      </c>
      <c r="O46" s="36">
        <f>H46*L46</f>
        <v/>
      </c>
    </row>
  </sheetData>
  <mergeCells count="1">
    <mergeCell ref="A4:O5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6A1B9A"/>
    <outlinePr summaryBelow="1" summaryRight="1"/>
    <pageSetUpPr/>
  </sheetPr>
  <dimension ref="A1:J5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8" customWidth="1" min="10" max="10"/>
  </cols>
  <sheetData>
    <row r="1">
      <c r="A1" s="1" t="inlineStr">
        <is>
          <t>CDS_Pricer</t>
        </is>
      </c>
    </row>
    <row r="2">
      <c r="A2" s="2" t="inlineStr">
        <is>
          <t>Prices a CDS off the SOFR discount curve and the stripped hazard curve. Equations on Model_Notes.</t>
        </is>
      </c>
    </row>
    <row r="3">
      <c r="J3" s="136" t="inlineStr">
        <is>
          <t>PRICING EQUATIONS</t>
        </is>
      </c>
    </row>
    <row r="4">
      <c r="A4" s="5" t="inlineStr">
        <is>
          <t>Notional</t>
        </is>
      </c>
      <c r="B4" s="21">
        <f>CDS_Parameters!$B$9</f>
        <v/>
      </c>
      <c r="J4" s="138" t="inlineStr">
        <is>
          <t>(3.1)  Market Value = Protection Leg - Premium Leg</t>
        </is>
      </c>
    </row>
    <row r="5">
      <c r="A5" s="5" t="inlineStr">
        <is>
          <t>Recovery R</t>
        </is>
      </c>
      <c r="B5" s="58">
        <f>CDS_Parameters!$B$8</f>
        <v/>
      </c>
      <c r="J5" s="139" t="inlineStr">
        <is>
          <t xml:space="preserve">       both discounted to the pricing date T</t>
        </is>
      </c>
    </row>
    <row r="6">
      <c r="A6" s="5" t="inlineStr">
        <is>
          <t>Contractual coupon (bp)</t>
        </is>
      </c>
      <c r="B6" s="41">
        <f>CDS_Parameters!$B$10</f>
        <v/>
      </c>
      <c r="C6" s="16" t="inlineStr">
        <is>
          <t>Overtype to price an off-market coupon.</t>
        </is>
      </c>
      <c r="J6" s="138" t="inlineStr">
        <is>
          <t>(3.2)  Upfront      = Market Value / D(T_s) + Accrued Interest</t>
        </is>
      </c>
    </row>
    <row r="7">
      <c r="A7" s="5" t="inlineStr">
        <is>
          <t>Maturity (tenor yrs)</t>
        </is>
      </c>
      <c r="B7" s="41" t="n">
        <v>5</v>
      </c>
      <c r="J7" s="138" t="inlineStr">
        <is>
          <t>(3.3)  Par spread S = Protection / (Premium - AI*D(T_s))   at C=1bp</t>
        </is>
      </c>
    </row>
    <row r="8">
      <c r="A8" s="5" t="inlineStr">
        <is>
          <t>Maturity date</t>
        </is>
      </c>
      <c r="B8" s="18">
        <f>EDATE('Curve_Interface'!$F$7,3*(4*B7-1))</f>
        <v/>
      </c>
      <c r="J8" s="137" t="n"/>
    </row>
    <row r="9">
      <c r="A9" s="5" t="inlineStr">
        <is>
          <t>Direction</t>
        </is>
      </c>
      <c r="B9" s="6">
        <f>CDS_Parameters!$B$15</f>
        <v/>
      </c>
      <c r="J9" s="138" t="inlineStr">
        <is>
          <t>O-T (1b)  MTM = +/- [ S(t_V,t_N) - S(t_0,t_N) ] * RPV01</t>
        </is>
      </c>
    </row>
    <row r="10">
      <c r="A10" s="11" t="n"/>
      <c r="B10" s="11" t="n"/>
      <c r="J10" s="139" t="inlineStr">
        <is>
          <t xml:space="preserve">          equivalent form, + for long protection</t>
        </is>
      </c>
    </row>
    <row r="11">
      <c r="A11" s="59" t="inlineStr">
        <is>
          <t>RESULTS</t>
        </is>
      </c>
      <c r="B11" s="11" t="n"/>
      <c r="J11" s="137" t="n"/>
    </row>
    <row r="12">
      <c r="A12" s="5" t="inlineStr">
        <is>
          <t>RPV01 (risky annuity)</t>
        </is>
      </c>
      <c r="B12" s="17">
        <f>SUMIF(CDS_Schedule!$C$7:$C$46,"&lt;="&amp;B8,CDS_Schedule!$M$7:$M$46)+SUMIF(CDS_Schedule!$C$7:$C$46,"&lt;="&amp;B8,CDS_Schedule!$N$7:$N$46)</f>
        <v/>
      </c>
      <c r="C12" s="16" t="inlineStr">
        <is>
          <t>Scheduled + accrual-on-default.</t>
        </is>
      </c>
      <c r="J12" s="138" t="inlineStr">
        <is>
          <t>Accrued Interest = A * C * D0,   D0 = accrued days / 360</t>
        </is>
      </c>
    </row>
    <row r="13">
      <c r="A13" s="5" t="inlineStr">
        <is>
          <t>Protection PV</t>
        </is>
      </c>
      <c r="B13" s="44">
        <f>B4*(1-B5)*SUMIF(CDS_Schedule!$C$7:$C$46,"&lt;="&amp;B8,CDS_Schedule!$O$7:$O$46)</f>
        <v/>
      </c>
      <c r="J13" s="139" t="inlineStr">
        <is>
          <t>accrued days include the pricing date (p.7)</t>
        </is>
      </c>
    </row>
    <row r="14">
      <c r="A14" s="5" t="inlineStr">
        <is>
          <t>Premium PV (@ coupon)</t>
        </is>
      </c>
      <c r="B14" s="44">
        <f>B4*(B6/10000)*B12</f>
        <v/>
      </c>
      <c r="J14" s="139" t="inlineStr">
        <is>
          <t>T_s = T + 3 business days (p.6)</t>
        </is>
      </c>
    </row>
    <row r="15">
      <c r="A15" s="132" t="inlineStr">
        <is>
          <t>Par spread (bp)  (3.3)</t>
        </is>
      </c>
      <c r="B15" s="133">
        <f>(1-B5)*SUMIF(CDS_Schedule!$C$7:$C$46,"&lt;="&amp;B8,CDS_Schedule!$O$7:$O$46)/(B12-CDS_Parameters!$B$26)*10000</f>
        <v/>
      </c>
      <c r="C15" s="65" t="inlineStr">
        <is>
          <t>Protection / (RPV01 net of accrued interest x D(T_s)).</t>
        </is>
      </c>
      <c r="J15" s="137" t="n"/>
    </row>
    <row r="16">
      <c r="A16" s="5" t="inlineStr">
        <is>
          <t>PV: protection buyer</t>
        </is>
      </c>
      <c r="B16" s="44">
        <f>B13-B14</f>
        <v/>
      </c>
      <c r="C16" s="16" t="inlineStr">
        <is>
          <t>Protection − Premium.</t>
        </is>
      </c>
      <c r="J16" s="139" t="inlineStr">
        <is>
          <t>Upfront is identically 0 when C = S. That is the check that accrued</t>
        </is>
      </c>
    </row>
    <row r="17">
      <c r="A17" s="5" t="inlineStr">
        <is>
          <t>PV to your direction</t>
        </is>
      </c>
      <c r="B17" s="44">
        <f>IF(B9="Buy protection",B13-B14,B14-B13)</f>
        <v/>
      </c>
      <c r="J17" s="139" t="inlineStr">
        <is>
          <t>interest enters with a + sign, which the wording alone does not settle.</t>
        </is>
      </c>
    </row>
    <row r="18">
      <c r="A18" s="5" t="inlineStr">
        <is>
          <t>Upfront (% notional)</t>
        </is>
      </c>
      <c r="B18" s="60">
        <f>B17/B4*100</f>
        <v/>
      </c>
    </row>
    <row r="19">
      <c r="A19" s="132" t="inlineStr">
        <is>
          <t>PV01  (premium leg net of AI, per 1bp)</t>
        </is>
      </c>
      <c r="B19" s="120">
        <f>B4*(B12-CDS_Parameters!$B$26)*0.0001</f>
        <v/>
      </c>
    </row>
    <row r="20">
      <c r="A20" s="94" t="inlineStr">
        <is>
          <t>Market Value  (3.1)</t>
        </is>
      </c>
      <c r="B20" s="119">
        <f>B13-B14</f>
        <v/>
      </c>
      <c r="C20" s="65" t="inlineStr">
        <is>
          <t>Protection leg minus premium leg, both to the pricing date.</t>
        </is>
      </c>
    </row>
    <row r="21">
      <c r="A21" s="4" t="inlineStr">
        <is>
          <t>RISK MEASURES (analytic, first-order)</t>
        </is>
      </c>
    </row>
    <row r="22">
      <c r="A22" s="5" t="inlineStr">
        <is>
          <t>CS01  (per +1bp spread)</t>
        </is>
      </c>
      <c r="B22" s="44">
        <f>B4*B12*0.0001</f>
        <v/>
      </c>
      <c r="C22" s="16" t="inlineStr">
        <is>
          <t>Spread DV01 = Notional*RPV01*1bp.</t>
        </is>
      </c>
    </row>
    <row r="23">
      <c r="A23" s="5" t="inlineStr">
        <is>
          <t>IR01 / DV01  (per +1bp SOFR)</t>
        </is>
      </c>
      <c r="B23" s="44">
        <f>-(B4*(1-B5)*SUMPRODUCT((CDS_Schedule!$C$7:$C$46&lt;=B8)*CDS_Schedule!$O$7:$O$46*CDS_Schedule!$F$7:$F$46)-B4*(B6/10000)*SUMPRODUCT((CDS_Schedule!$C$7:$C$46&lt;=B8)*(CDS_Schedule!$M$7:$M$46+CDS_Schedule!$N$7:$N$46)*CDS_Schedule!$F$7:$F$46))*0.0001</f>
        <v/>
      </c>
      <c r="C23" s="16" t="inlineStr">
        <is>
          <t>Net-leg dollar duration x 1bp (small for CDS).</t>
        </is>
      </c>
    </row>
    <row r="24">
      <c r="A24" s="5" t="inlineStr">
        <is>
          <t>Rec01  (per +1% recovery)</t>
        </is>
      </c>
      <c r="B24" s="44">
        <f>-B4*SUMIF(CDS_Schedule!$C$7:$C$46,"&lt;="&amp;B8,CDS_Schedule!$O$7:$O$46)*0.01</f>
        <v/>
      </c>
      <c r="C24" s="16" t="inlineStr">
        <is>
          <t>Sticky-hazard (hazards held; proper Rec01 re-fits spreads).</t>
        </is>
      </c>
    </row>
    <row r="25">
      <c r="A25" s="5" t="inlineStr">
        <is>
          <t>Jump-to-default (immediate)</t>
        </is>
      </c>
      <c r="B25" s="45">
        <f>IF(B9="Buy protection",B4*(1-B5),-B4*(1-B5))-B17</f>
        <v/>
      </c>
      <c r="C25" s="16" t="inlineStr">
        <is>
          <t>Default-now P&amp;L to your direction: LGD payout - current PV.</t>
        </is>
      </c>
    </row>
    <row r="26">
      <c r="A26" s="94" t="inlineStr">
        <is>
          <t>Accrued Interest  A*C*D0</t>
        </is>
      </c>
      <c r="B26" s="120">
        <f>B4*(B6/10000)*CDS_Parameters!$B$25</f>
        <v/>
      </c>
    </row>
    <row r="27">
      <c r="A27" s="67" t="inlineStr">
        <is>
          <t>Upfront  (3.2)</t>
        </is>
      </c>
      <c r="B27" s="119">
        <f>B20/CDS_Parameters!$B$22+B26</f>
        <v/>
      </c>
      <c r="C27" s="65" t="inlineStr">
        <is>
          <t>Market Value / D(T_s) + Accrued Interest. Identically zero when C = S.</t>
        </is>
      </c>
    </row>
    <row r="28">
      <c r="A28" s="67" t="inlineStr">
        <is>
          <t>CDSW SCREEN OUTPUT</t>
        </is>
      </c>
    </row>
    <row r="29">
      <c r="A29" s="65" t="inlineStr">
        <is>
          <t>Settlement figures in CDSW order. S = par spread from the curve (B15), C = contractual coupon (B6).</t>
        </is>
      </c>
    </row>
    <row r="30">
      <c r="A30" s="94" t="inlineStr">
        <is>
          <t>1st accrual start</t>
        </is>
      </c>
      <c r="B30" s="86">
        <f>IF(MONTH((EDATE(CDS_Parameters!$B$5,-3)+IF(WEEKDAY(EDATE(CDS_Parameters!$B$5,-3),2)=6,2,IF(WEEKDAY(EDATE(CDS_Parameters!$B$5,-3),2)=7,1,0))))&lt;&gt;MONTH(EDATE(CDS_Parameters!$B$5,-3)),(EDATE(CDS_Parameters!$B$5,-3)-IF(WEEKDAY(EDATE(CDS_Parameters!$B$5,-3),2)=6,1,IF(WEEKDAY(EDATE(CDS_Parameters!$B$5,-3),2)=7,2,0))),(EDATE(CDS_Parameters!$B$5,-3)+IF(WEEKDAY(EDATE(CDS_Parameters!$B$5,-3),2)=6,2,IF(WEEKDAY(EDATE(CDS_Parameters!$B$5,-3),2)=7,1,0))))</f>
        <v/>
      </c>
      <c r="C30" s="65" t="inlineStr">
        <is>
          <t>Previous IMM roll, business-day adjusted. 20 Jun 2026 is a Saturday, so the screen shows 06/22/26.</t>
        </is>
      </c>
    </row>
    <row r="31">
      <c r="A31" s="67" t="inlineStr">
        <is>
          <t>Points upfront</t>
        </is>
      </c>
      <c r="B31" s="71">
        <f>(($B$15/10000)-CDS_Parameters!$B$10/10000)*$B$12*100</f>
        <v/>
      </c>
      <c r="C31" s="65" t="inlineStr">
        <is>
          <t>(S - C) * RPV01 * 100, protection buyer.</t>
        </is>
      </c>
    </row>
    <row r="32">
      <c r="A32" s="67" t="inlineStr">
        <is>
          <t>Price</t>
        </is>
      </c>
      <c r="B32" s="71">
        <f>100-B31</f>
        <v/>
      </c>
      <c r="C32" s="65" t="inlineStr">
        <is>
          <t>100 - points upfront.</t>
        </is>
      </c>
    </row>
    <row r="33">
      <c r="A33" s="94" t="inlineStr">
        <is>
          <t>Principal</t>
        </is>
      </c>
      <c r="B33" s="103">
        <f>IF(CDS_Parameters!$B$15="Buy protection",1,-1)*(($B$15/10000)-CDS_Parameters!$B$10/10000)*$B$12*CDS_Parameters!$B$9</f>
        <v/>
      </c>
      <c r="C33" s="65" t="inlineStr">
        <is>
          <t>Clean upfront in cash.</t>
        </is>
      </c>
    </row>
    <row r="34">
      <c r="A34" s="94" t="inlineStr">
        <is>
          <t>Accrued days</t>
        </is>
      </c>
      <c r="B34" s="104">
        <f>MAX(0,CDS_Parameters!$B$4-B30+1)</f>
        <v/>
      </c>
      <c r="C34" s="65" t="inlineStr">
        <is>
          <t>ISDA counts both endpoints.</t>
        </is>
      </c>
    </row>
    <row r="35">
      <c r="A35" s="94" t="inlineStr">
        <is>
          <t>Accrued</t>
        </is>
      </c>
      <c r="B35" s="103">
        <f>-IF(CDS_Parameters!$B$15="Buy protection",1,-1)*CDS_Parameters!$B$10/10000*CDS_Parameters!$B$9*B34/360</f>
        <v/>
      </c>
      <c r="C35" s="65" t="inlineStr">
        <is>
          <t>Coupon * notional * days/360.</t>
        </is>
      </c>
    </row>
    <row r="36">
      <c r="A36" s="67" t="inlineStr">
        <is>
          <t>Cash Amount</t>
        </is>
      </c>
      <c r="B36" s="105">
        <f>B33+B35</f>
        <v/>
      </c>
      <c r="C36" s="65" t="inlineStr">
        <is>
          <t>Principal + accrued.</t>
        </is>
      </c>
    </row>
    <row r="37">
      <c r="A37" s="94" t="inlineStr">
        <is>
          <t>Default Exposure</t>
        </is>
      </c>
      <c r="B37" s="103">
        <f>(1-CDS_Parameters!$B$8)*CDS_Parameters!$B$9-B33</f>
        <v/>
      </c>
      <c r="C37" s="65" t="inlineStr">
        <is>
          <t>(1-R) * notional less the principal already paid.</t>
        </is>
      </c>
    </row>
    <row r="38">
      <c r="A38" s="66" t="inlineStr">
        <is>
          <t>Upfront (3.2) above is the paper's total. How it splits into CDSW's Principal / Accrued / Cash is NOT given by the paper - that mapping is unverified and awaits a live screen check.</t>
        </is>
      </c>
    </row>
    <row r="39">
      <c r="A39" s="65" t="inlineStr">
        <is>
          <t>CDSW reference (CINDBK 5Y, 07/21/26): pts upfront -1.97596265, price 101.97596265, principal -197,597, accrued -8,333 (30d), cash -205,930, def exp 6,197,596. Targets for a like-for-like trade; the demo spreads here are not that entity.</t>
        </is>
      </c>
    </row>
    <row r="41">
      <c r="A41" s="67" t="inlineStr">
        <is>
          <t>MODEL vs CAPTURED CDSW  (active entity)</t>
        </is>
      </c>
    </row>
    <row r="42">
      <c r="A42" s="65" t="inlineStr">
        <is>
          <t>Blank until the CDSW capture is typed into CDS_Entities. This is the acceptance test for the module.</t>
        </is>
      </c>
    </row>
    <row r="43">
      <c r="A43" s="141" t="inlineStr">
        <is>
          <t>Measure</t>
        </is>
      </c>
      <c r="B43" s="141" t="inlineStr">
        <is>
          <t>CDSW captured</t>
        </is>
      </c>
      <c r="C43" s="141" t="inlineStr">
        <is>
          <t>Model</t>
        </is>
      </c>
      <c r="D43" s="141" t="inlineStr">
        <is>
          <t>Diff</t>
        </is>
      </c>
    </row>
    <row r="44">
      <c r="A44" s="94" t="inlineStr">
        <is>
          <t>Points upfront</t>
        </is>
      </c>
      <c r="B44" s="87">
        <f>IFERROR(INDEX(CDS_Entities!$S$5:$S$14,CDS_Parameters!$B$28),"")</f>
        <v/>
      </c>
      <c r="C44" s="93">
        <f>B31</f>
        <v/>
      </c>
      <c r="D44" s="93">
        <f>IF(OR(B44="",NOT(ISNUMBER(B44))),"",C44-B44)</f>
        <v/>
      </c>
    </row>
    <row r="45">
      <c r="A45" s="94" t="inlineStr">
        <is>
          <t>Price</t>
        </is>
      </c>
      <c r="B45" s="87">
        <f>IFERROR(INDEX(CDS_Entities!$T$5:$T$14,CDS_Parameters!$B$28),"")</f>
        <v/>
      </c>
      <c r="C45" s="93">
        <f>B32</f>
        <v/>
      </c>
      <c r="D45" s="93">
        <f>IF(OR(B45="",NOT(ISNUMBER(B45))),"",C45-B45)</f>
        <v/>
      </c>
    </row>
    <row r="46">
      <c r="A46" s="94" t="inlineStr">
        <is>
          <t>Principal</t>
        </is>
      </c>
      <c r="B46" s="87">
        <f>IFERROR(INDEX(CDS_Entities!$U$5:$U$14,CDS_Parameters!$B$28),"")</f>
        <v/>
      </c>
      <c r="C46" s="93">
        <f>B33</f>
        <v/>
      </c>
      <c r="D46" s="93">
        <f>IF(OR(B46="",NOT(ISNUMBER(B46))),"",C46-B46)</f>
        <v/>
      </c>
    </row>
    <row r="47">
      <c r="A47" s="94" t="inlineStr">
        <is>
          <t>Accrued days</t>
        </is>
      </c>
      <c r="B47" s="87">
        <f>IFERROR(INDEX(CDS_Entities!$V$5:$V$14,CDS_Parameters!$B$28),"")</f>
        <v/>
      </c>
      <c r="C47" s="93">
        <f>B34</f>
        <v/>
      </c>
      <c r="D47" s="93">
        <f>IF(OR(B47="",NOT(ISNUMBER(B47))),"",C47-B47)</f>
        <v/>
      </c>
    </row>
    <row r="48">
      <c r="A48" s="94" t="inlineStr">
        <is>
          <t>Accrued</t>
        </is>
      </c>
      <c r="B48" s="87">
        <f>IFERROR(INDEX(CDS_Entities!$W$5:$W$14,CDS_Parameters!$B$28),"")</f>
        <v/>
      </c>
      <c r="C48" s="93">
        <f>B35</f>
        <v/>
      </c>
      <c r="D48" s="93">
        <f>IF(OR(B48="",NOT(ISNUMBER(B48))),"",C48-B48)</f>
        <v/>
      </c>
    </row>
    <row r="49">
      <c r="A49" s="94" t="inlineStr">
        <is>
          <t>Cash amount</t>
        </is>
      </c>
      <c r="B49" s="87">
        <f>IFERROR(INDEX(CDS_Entities!$X$5:$X$14,CDS_Parameters!$B$28),"")</f>
        <v/>
      </c>
      <c r="C49" s="93">
        <f>B36</f>
        <v/>
      </c>
      <c r="D49" s="93">
        <f>IF(OR(B49="",NOT(ISNUMBER(B49))),"",C49-B49)</f>
        <v/>
      </c>
    </row>
    <row r="50">
      <c r="A50" s="94" t="inlineStr">
        <is>
          <t>Def exposure</t>
        </is>
      </c>
      <c r="B50" s="87">
        <f>IFERROR(INDEX(CDS_Entities!$AB$5:$AB$14,CDS_Parameters!$B$28),"")</f>
        <v/>
      </c>
      <c r="C50" s="93">
        <f>B37</f>
        <v/>
      </c>
      <c r="D50" s="93">
        <f>IF(OR(B50="",NOT(ISNUMBER(B50))),"",C50-B50)</f>
        <v/>
      </c>
    </row>
  </sheetData>
  <mergeCells count="9">
    <mergeCell ref="C25:H25"/>
    <mergeCell ref="C6:H6"/>
    <mergeCell ref="C24:H24"/>
    <mergeCell ref="C16:H16"/>
    <mergeCell ref="A21:H21"/>
    <mergeCell ref="C22:H22"/>
    <mergeCell ref="C23:H23"/>
    <mergeCell ref="C12:H12"/>
    <mergeCell ref="C15:H15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6A1B9A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CDS_Validation</t>
        </is>
      </c>
    </row>
    <row r="2">
      <c r="A2" s="2" t="inlineStr">
        <is>
          <t>Internal checks + the flat-curve approximation s ≈ (1-R)·lambda</t>
        </is>
      </c>
    </row>
    <row r="4">
      <c r="A4" s="13" t="inlineStr">
        <is>
          <t>Check</t>
        </is>
      </c>
      <c r="B4" s="13" t="inlineStr">
        <is>
          <t>Value</t>
        </is>
      </c>
      <c r="C4" s="13" t="inlineStr">
        <is>
          <t>Target</t>
        </is>
      </c>
    </row>
    <row r="5">
      <c r="A5" s="19" t="inlineStr">
        <is>
          <t>Q(0) = 1</t>
        </is>
      </c>
      <c r="B5" s="61">
        <f>CDS_Schedule!J7</f>
        <v/>
      </c>
      <c r="C5" s="16" t="inlineStr">
        <is>
          <t>1 (exact)</t>
        </is>
      </c>
    </row>
    <row r="6">
      <c r="A6" s="19" t="inlineStr">
        <is>
          <t>Survival monotone (min ΔPD ≥ 0)</t>
        </is>
      </c>
      <c r="B6" s="61">
        <f>MIN(CDS_Schedule!$L$7:$L$46)</f>
        <v/>
      </c>
      <c r="C6" s="16" t="inlineStr">
        <is>
          <t>≥ 0 ✓</t>
        </is>
      </c>
    </row>
    <row r="7">
      <c r="A7" s="19" t="inlineStr">
        <is>
          <t>All hazards ≥ 0</t>
        </is>
      </c>
      <c r="B7" s="61">
        <f>MIN(Hazard_Bootstrap!$D$7:$D$12)</f>
        <v/>
      </c>
      <c r="C7" s="16" t="inlineStr">
        <is>
          <t>≥ 0 ✓</t>
        </is>
      </c>
    </row>
    <row r="8">
      <c r="A8" s="19" t="inlineStr">
        <is>
          <t>Q(T) in (0,1]</t>
        </is>
      </c>
      <c r="B8" s="61">
        <f>AND(MIN(CDS_Schedule!$K$7:$K$46)&gt;0,MAX(CDS_Schedule!$K$7:$K$46)&lt;=1)</f>
        <v/>
      </c>
      <c r="C8" s="16" t="inlineStr">
        <is>
          <t>TRUE ✓</t>
        </is>
      </c>
    </row>
    <row r="9">
      <c r="A9" s="19" t="inlineStr">
        <is>
          <t>Max |repricing error| (bp)</t>
        </is>
      </c>
      <c r="B9" s="61">
        <f>MAX(ABS(Hazard_Bootstrap!$J$7:$J$12))</f>
        <v/>
      </c>
      <c r="C9" s="16" t="inlineStr">
        <is>
          <t>→0 after Goal Seek (&lt;0.01)</t>
        </is>
      </c>
    </row>
    <row r="11">
      <c r="A11" s="4" t="inlineStr">
        <is>
          <t>Approx check:  lambda ≈ s/(1-R)   (exact only for a flat curve)</t>
        </is>
      </c>
    </row>
    <row r="12">
      <c r="A12" s="13" t="inlineStr">
        <is>
          <t>Tenor</t>
        </is>
      </c>
      <c r="B12" s="13" t="inlineStr">
        <is>
          <t>Bootstrapped lambda</t>
        </is>
      </c>
      <c r="C12" s="13" t="inlineStr">
        <is>
          <t>s/(1-R)</t>
        </is>
      </c>
      <c r="D12" s="13" t="inlineStr">
        <is>
          <t>diff</t>
        </is>
      </c>
    </row>
    <row r="13">
      <c r="A13" s="19" t="inlineStr">
        <is>
          <t>1Y</t>
        </is>
      </c>
      <c r="B13" s="51">
        <f>Hazard_Bootstrap!D7</f>
        <v/>
      </c>
      <c r="C13" s="51">
        <f>CDS_Quotes!G7</f>
        <v/>
      </c>
      <c r="D13" s="51">
        <f>B13-C13</f>
        <v/>
      </c>
    </row>
    <row r="14">
      <c r="A14" s="19" t="inlineStr">
        <is>
          <t>2Y</t>
        </is>
      </c>
      <c r="B14" s="51">
        <f>Hazard_Bootstrap!D8</f>
        <v/>
      </c>
      <c r="C14" s="51">
        <f>CDS_Quotes!G8</f>
        <v/>
      </c>
      <c r="D14" s="51">
        <f>B14-C14</f>
        <v/>
      </c>
    </row>
    <row r="15">
      <c r="A15" s="19" t="inlineStr">
        <is>
          <t>3Y</t>
        </is>
      </c>
      <c r="B15" s="51">
        <f>Hazard_Bootstrap!D9</f>
        <v/>
      </c>
      <c r="C15" s="51">
        <f>CDS_Quotes!G9</f>
        <v/>
      </c>
      <c r="D15" s="51">
        <f>B15-C15</f>
        <v/>
      </c>
    </row>
    <row r="16">
      <c r="A16" s="19" t="inlineStr">
        <is>
          <t>5Y</t>
        </is>
      </c>
      <c r="B16" s="51">
        <f>Hazard_Bootstrap!D10</f>
        <v/>
      </c>
      <c r="C16" s="51">
        <f>CDS_Quotes!G10</f>
        <v/>
      </c>
      <c r="D16" s="51">
        <f>B16-C16</f>
        <v/>
      </c>
    </row>
    <row r="17">
      <c r="A17" s="19" t="inlineStr">
        <is>
          <t>7Y</t>
        </is>
      </c>
      <c r="B17" s="51">
        <f>Hazard_Bootstrap!D11</f>
        <v/>
      </c>
      <c r="C17" s="51">
        <f>CDS_Quotes!G11</f>
        <v/>
      </c>
      <c r="D17" s="51">
        <f>B17-C17</f>
        <v/>
      </c>
    </row>
    <row r="18">
      <c r="A18" s="19" t="inlineStr">
        <is>
          <t>10Y</t>
        </is>
      </c>
      <c r="B18" s="51">
        <f>Hazard_Bootstrap!D12</f>
        <v/>
      </c>
      <c r="C18" s="51">
        <f>CDS_Quotes!G12</f>
        <v/>
      </c>
      <c r="D18" s="51">
        <f>B18-C18</f>
        <v/>
      </c>
    </row>
    <row r="20">
      <c r="A20" s="66" t="inlineStr">
        <is>
          <t>Internal consistency only: these confirm the curve reprices its own inputs, not that it agrees with Bloomberg. No hazard-rate export exists. Compare CDSW output for a known trade.</t>
        </is>
      </c>
    </row>
  </sheetData>
  <mergeCells count="1">
    <mergeCell ref="A11:F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2026-07-21T11:56:58Z</dcterms:created>
  <dcterms:modified xmlns:dcterms="http://purl.org/dc/terms/" xmlns:xsi="http://www.w3.org/2001/XMLSchema-instance" xsi:type="dcterms:W3CDTF">2026-07-22T12:51:25Z</dcterms:modified>
</cp:coreProperties>
</file>