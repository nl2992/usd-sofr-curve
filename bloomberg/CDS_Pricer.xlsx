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CDS_Entities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2" customWidth="1" min="3" max="3"/>
    <col width="50" customWidth="1" min="4" max="4"/>
  </cols>
  <sheetData>
    <row r="1">
      <c r="A1" s="208" t="inlineStr">
        <is>
          <t>CDS Pricer</t>
        </is>
      </c>
      <c r="B1" s="11" t="n"/>
      <c r="C1" s="11" t="n"/>
      <c r="D1" s="11" t="n"/>
      <c r="E1" s="11" t="n"/>
      <c r="F1" s="11" t="n"/>
    </row>
    <row r="2">
      <c r="A2" s="209" t="inlineStr">
        <is>
          <t>Put a ticker in the yellow box. Everything below follows: spreads pull, hazard strips, CDSW figures come out.</t>
        </is>
      </c>
      <c r="B2" s="11" t="n"/>
      <c r="C2" s="11" t="n"/>
      <c r="D2" s="11" t="n"/>
      <c r="E2" s="11" t="n"/>
      <c r="F2" s="11" t="n"/>
    </row>
    <row r="3">
      <c r="A3" s="209" t="inlineStr">
        <is>
          <t>Blank template. Enter a ticker, or add names and spreads on Entities. Notional, coupon, recovery, tenor and direction below are conventions, not data - overtype as needed.</t>
        </is>
      </c>
      <c r="B3" s="11" t="n"/>
      <c r="C3" s="11" t="n"/>
      <c r="D3" s="11" t="n"/>
      <c r="E3" s="11" t="n"/>
      <c r="F3" s="11" t="n"/>
    </row>
    <row r="4">
      <c r="A4" s="210" t="inlineStr">
        <is>
          <t>INPUTS</t>
        </is>
      </c>
      <c r="B4" s="211" t="n"/>
      <c r="C4" s="211" t="n"/>
      <c r="D4" s="211" t="n"/>
      <c r="E4" s="11" t="n"/>
      <c r="F4" s="11" t="n"/>
    </row>
    <row r="5">
      <c r="A5" s="212" t="inlineStr">
        <is>
          <t>Reference entity ticker</t>
        </is>
      </c>
      <c r="B5" s="213" t="n"/>
      <c r="C5" s="209" t="inlineStr">
        <is>
          <t>type a Bloomberg ticker here</t>
        </is>
      </c>
      <c r="D5" s="212" t="n"/>
      <c r="E5" s="11" t="n"/>
      <c r="F5" s="11" t="n"/>
    </row>
    <row r="6">
      <c r="A6" s="212" t="inlineStr">
        <is>
          <t>Notional</t>
        </is>
      </c>
      <c r="B6" s="214" t="n">
        <v>10000000</v>
      </c>
      <c r="C6" s="209" t="inlineStr"/>
      <c r="D6" s="212" t="n"/>
      <c r="E6" s="11" t="n"/>
      <c r="F6" s="11" t="n"/>
    </row>
    <row r="7">
      <c r="A7" s="212" t="inlineStr">
        <is>
          <t>Standard coupon (bp)</t>
        </is>
      </c>
      <c r="B7" s="95" t="n">
        <v>100</v>
      </c>
      <c r="C7" s="209" t="inlineStr">
        <is>
          <t>100 or 500</t>
        </is>
      </c>
      <c r="D7" s="212" t="n"/>
      <c r="E7" s="11" t="n"/>
      <c r="F7" s="11" t="n"/>
    </row>
    <row r="8">
      <c r="A8" s="212" t="inlineStr">
        <is>
          <t>Recovery R</t>
        </is>
      </c>
      <c r="B8" s="121" t="n">
        <v>0.4</v>
      </c>
      <c r="C8" s="209" t="inlineStr">
        <is>
          <t>model parameter, conventionally 0.40</t>
        </is>
      </c>
      <c r="D8" s="212" t="n"/>
      <c r="E8" s="11" t="n"/>
      <c r="F8" s="11" t="n"/>
    </row>
    <row r="9">
      <c r="A9" s="212" t="inlineStr">
        <is>
          <t>Maturity (tenor yrs)</t>
        </is>
      </c>
      <c r="B9" s="95" t="n">
        <v>5</v>
      </c>
      <c r="C9" s="209" t="inlineStr"/>
      <c r="D9" s="212" t="n"/>
      <c r="E9" s="11" t="n"/>
      <c r="F9" s="11" t="n"/>
    </row>
    <row r="10">
      <c r="A10" s="212" t="inlineStr">
        <is>
          <t>Direction</t>
        </is>
      </c>
      <c r="B10" s="213" t="inlineStr">
        <is>
          <t>Buy protection</t>
        </is>
      </c>
      <c r="C10" s="209" t="inlineStr"/>
      <c r="D10" s="212" t="n"/>
      <c r="E10" s="11" t="n"/>
      <c r="F10" s="11" t="n"/>
    </row>
    <row r="11">
      <c r="A11" s="212" t="inlineStr">
        <is>
          <t>Valuation date</t>
        </is>
      </c>
      <c r="B11" s="111" t="n"/>
      <c r="C11" s="209" t="inlineStr">
        <is>
          <t>leave blank to keep the curve's date</t>
        </is>
      </c>
      <c r="D11" s="212" t="n"/>
      <c r="E11" s="11" t="n"/>
      <c r="F11" s="11" t="n"/>
    </row>
    <row r="12">
      <c r="A12" s="212" t="inlineStr">
        <is>
          <t>Hazard solver</t>
        </is>
      </c>
      <c r="B12" s="184">
        <f>CDS_Parameters!$B$30</f>
        <v/>
      </c>
      <c r="C12" s="218" t="inlineStr">
        <is>
          <t>Brent by default. No in-cell fallback: without the VBA the hazards read #N/A.</t>
        </is>
      </c>
      <c r="D12" s="212" t="n"/>
      <c r="E12" s="11" t="n"/>
      <c r="F12" s="11" t="n"/>
    </row>
    <row r="13">
      <c r="A13" s="215" t="n"/>
      <c r="B13" s="215" t="n"/>
      <c r="C13" s="212" t="n"/>
      <c r="D13" s="212" t="n"/>
      <c r="E13" s="11" t="n"/>
      <c r="F13" s="11" t="n"/>
    </row>
    <row r="14">
      <c r="A14" s="215" t="inlineStr">
        <is>
          <t>STATUS</t>
        </is>
      </c>
      <c r="B14" s="11" t="n"/>
      <c r="C14" s="209" t="inlineStr">
        <is>
          <t>has spreads</t>
        </is>
      </c>
      <c r="D14" s="11">
        <f>SUM(CDS_Quotes!$F$7:$F$12)&gt;0</f>
        <v/>
      </c>
      <c r="E14" s="11" t="n"/>
      <c r="F14" s="11" t="n"/>
    </row>
    <row r="15">
      <c r="A15" s="212" t="inlineStr">
        <is>
          <t>Curve link</t>
        </is>
      </c>
      <c r="B15" s="184">
        <f>IF(COUNT(Curve_Interface!$L$8:$L$73)=0,"curve workbook not open",COUNT(Curve_Interface!$L$8:$L$73)&amp;" pillars")</f>
        <v/>
      </c>
      <c r="C15" s="11" t="n"/>
      <c r="D15" s="11" t="n"/>
      <c r="E15" s="11" t="n"/>
      <c r="F15" s="11" t="n"/>
    </row>
    <row r="16">
      <c r="A16" s="212" t="inlineStr">
        <is>
          <t>Spreads</t>
        </is>
      </c>
      <c r="B16" s="184">
        <f>IF(NOT(SUM(CDS_Quotes!$F$7:$F$12)&gt;0),"none",IF(COUNTIF(CDS_Quotes!$H$7:$H$12,"BDP live")&gt;0,COUNTIF(CDS_Quotes!$H$7:$H$12,"BDP live")&amp;" of 6 live","manual"))</f>
        <v/>
      </c>
      <c r="C16" s="212" t="n"/>
      <c r="D16" s="11" t="n"/>
      <c r="E16" s="11" t="n"/>
      <c r="F16" s="11" t="n"/>
    </row>
    <row r="17">
      <c r="A17" s="212" t="inlineStr">
        <is>
          <t>Strip</t>
        </is>
      </c>
      <c r="B17" s="184">
        <f>IF(NOT(SUM(CDS_Quotes!$F$7:$F$12)&gt;0),"nothing to strip yet",IF(MAX(ABS(Hazard_Bootstrap!$J$7:$J$12))&lt;0.01,"reprices, max err "&amp;TEXT(MAX(ABS(Hazard_Bootstrap!$J$7:$J$12)),"0.00E+00")&amp;" bp","STRIP FAILED - check the quotes, see Model_Notes p.9"))</f>
        <v/>
      </c>
      <c r="C17" s="212" t="n"/>
      <c r="D17" s="11" t="n"/>
      <c r="E17" s="11" t="n"/>
      <c r="F17" s="11" t="n"/>
    </row>
    <row r="18">
      <c r="A18" s="11" t="n"/>
      <c r="B18" s="215" t="n"/>
      <c r="C18" s="212" t="n"/>
      <c r="D18" s="11" t="n"/>
      <c r="E18" s="11" t="n"/>
      <c r="F18" s="11" t="n"/>
    </row>
    <row r="19">
      <c r="A19" s="215" t="inlineStr">
        <is>
          <t>CDSW SCREEN</t>
        </is>
      </c>
      <c r="B19" s="215" t="n"/>
      <c r="C19" s="209" t="inlineStr">
        <is>
          <t>mirrors CDS_Pricer rows 15-37</t>
        </is>
      </c>
      <c r="D19" s="11" t="n"/>
      <c r="E19" s="11" t="n"/>
      <c r="F19" s="11" t="n"/>
    </row>
    <row r="20">
      <c r="A20" s="212" t="inlineStr">
        <is>
          <t>Par spread (bp)</t>
        </is>
      </c>
      <c r="B20" s="170">
        <f>IF(NOT(SUM(CDS_Quotes!$F$7:$F$12)&gt;0),"",CDS_Pricer!$B$15)</f>
        <v/>
      </c>
      <c r="C20" s="209" t="inlineStr">
        <is>
          <t>blank until spreads are entered</t>
        </is>
      </c>
      <c r="D20" s="11" t="n"/>
      <c r="E20" s="11" t="n"/>
      <c r="F20" s="11" t="n"/>
    </row>
    <row r="21">
      <c r="A21" s="212" t="inlineStr">
        <is>
          <t>Points upfront</t>
        </is>
      </c>
      <c r="B21" s="170">
        <f>IF(NOT(SUM(CDS_Quotes!$F$7:$F$12)&gt;0),"",CDS_Pricer!$B$31)</f>
        <v/>
      </c>
      <c r="C21" s="11" t="n"/>
      <c r="D21" s="11" t="n"/>
      <c r="E21" s="11" t="n"/>
      <c r="F21" s="11" t="n"/>
    </row>
    <row r="22">
      <c r="A22" s="212" t="inlineStr">
        <is>
          <t>Price</t>
        </is>
      </c>
      <c r="B22" s="170">
        <f>IF(NOT(SUM(CDS_Quotes!$F$7:$F$12)&gt;0),"",CDS_Pricer!$B$32)</f>
        <v/>
      </c>
      <c r="C22" s="11" t="n"/>
      <c r="D22" s="11" t="n"/>
      <c r="E22" s="11" t="n"/>
      <c r="F22" s="11" t="n"/>
    </row>
    <row r="23">
      <c r="A23" s="212" t="inlineStr">
        <is>
          <t>Principal</t>
        </is>
      </c>
      <c r="B23" s="216">
        <f>IF(NOT(SUM(CDS_Quotes!$F$7:$F$12)&gt;0),"",CDS_Pricer!$B$33)</f>
        <v/>
      </c>
      <c r="C23" s="11" t="n"/>
      <c r="D23" s="11" t="n"/>
      <c r="E23" s="11" t="n"/>
      <c r="F23" s="11" t="n"/>
    </row>
    <row r="24">
      <c r="A24" s="212" t="inlineStr">
        <is>
          <t>Accrued days</t>
        </is>
      </c>
      <c r="B24" s="217">
        <f>IF(NOT(SUM(CDS_Quotes!$F$7:$F$12)&gt;0),"",CDS_Pricer!$B$34)</f>
        <v/>
      </c>
      <c r="C24" s="11" t="n"/>
      <c r="D24" s="11" t="n"/>
      <c r="E24" s="11" t="n"/>
      <c r="F24" s="11" t="n"/>
    </row>
    <row r="25">
      <c r="A25" s="212" t="inlineStr">
        <is>
          <t>Accrued</t>
        </is>
      </c>
      <c r="B25" s="216">
        <f>IF(NOT(SUM(CDS_Quotes!$F$7:$F$12)&gt;0),"",CDS_Pricer!$B$35)</f>
        <v/>
      </c>
      <c r="C25" s="11" t="n"/>
      <c r="D25" s="11" t="n"/>
      <c r="E25" s="11" t="n"/>
      <c r="F25" s="11" t="n"/>
    </row>
    <row r="26">
      <c r="A26" s="212" t="inlineStr">
        <is>
          <t>Cash amount</t>
        </is>
      </c>
      <c r="B26" s="216">
        <f>IF(NOT(SUM(CDS_Quotes!$F$7:$F$12)&gt;0),"",CDS_Pricer!$B$36)</f>
        <v/>
      </c>
      <c r="C26" s="11" t="n"/>
      <c r="D26" s="11" t="n"/>
      <c r="E26" s="11" t="n"/>
      <c r="F26" s="11" t="n"/>
    </row>
    <row r="27">
      <c r="A27" s="212" t="inlineStr">
        <is>
          <t>Default exposure</t>
        </is>
      </c>
      <c r="B27" s="216">
        <f>IF(NOT(SUM(CDS_Quotes!$F$7:$F$12)&gt;0),"",CDS_Pricer!$B$37)</f>
        <v/>
      </c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212" t="inlineStr">
        <is>
          <t>Spread DV01 / CS01</t>
        </is>
      </c>
      <c r="B29" s="216">
        <f>IF(NOT(SUM(CDS_Quotes!$F$7:$F$12)&gt;0),"",CDS_Pricer!$B$22)</f>
        <v/>
      </c>
      <c r="C29" s="11" t="n"/>
      <c r="D29" s="11" t="n"/>
      <c r="E29" s="11" t="n"/>
      <c r="F29" s="11" t="n"/>
    </row>
    <row r="30">
      <c r="A30" s="212" t="inlineStr">
        <is>
          <t>IR DV01</t>
        </is>
      </c>
      <c r="B30" s="216">
        <f>IF(NOT(SUM(CDS_Quotes!$F$7:$F$12)&gt;0),"",CDS_Pricer!$B$23)</f>
        <v/>
      </c>
      <c r="C30" s="11" t="n"/>
      <c r="D30" s="11" t="n"/>
      <c r="E30" s="11" t="n"/>
      <c r="F30" s="11" t="n"/>
    </row>
    <row r="31">
      <c r="A31" s="212" t="inlineStr">
        <is>
          <t>Rec risk 1%</t>
        </is>
      </c>
      <c r="B31" s="216">
        <f>IF(NOT(SUM(CDS_Quotes!$F$7:$F$12)&gt;0),"",CDS_Pricer!$B$24)</f>
        <v/>
      </c>
      <c r="C31" s="11" t="n"/>
      <c r="D31" s="11" t="n"/>
      <c r="E31" s="11" t="n"/>
      <c r="F31" s="11" t="n"/>
    </row>
    <row r="32">
      <c r="A32" s="212" t="inlineStr">
        <is>
          <t>Jump to default</t>
        </is>
      </c>
      <c r="B32" s="216">
        <f>IF(NOT(SUM(CDS_Quotes!$F$7:$F$12)&gt;0),"",CDS_Pricer!$B$25)</f>
        <v/>
      </c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215" t="inlineStr">
        <is>
          <t>PIPELINE</t>
        </is>
      </c>
      <c r="B34" s="11" t="n"/>
      <c r="C34" s="11" t="n"/>
      <c r="D34" s="11" t="n"/>
      <c r="E34" s="11" t="n"/>
      <c r="F34" s="11" t="n"/>
    </row>
    <row r="35">
      <c r="A35" s="206" t="inlineStr">
        <is>
          <t>Step</t>
        </is>
      </c>
      <c r="B35" s="206" t="inlineStr">
        <is>
          <t>Sheet</t>
        </is>
      </c>
      <c r="C35" s="206" t="inlineStr">
        <is>
          <t>What happens</t>
        </is>
      </c>
      <c r="D35" s="206" t="inlineStr">
        <is>
          <t>What to check</t>
        </is>
      </c>
      <c r="E35" s="11" t="n"/>
      <c r="F35" s="11" t="n"/>
    </row>
    <row r="36">
      <c r="A36" s="106" t="inlineStr">
        <is>
          <t>1</t>
        </is>
      </c>
      <c r="B36" s="106" t="inlineStr">
        <is>
          <t>Entities</t>
        </is>
      </c>
      <c r="C36" s="190" t="inlineStr">
        <is>
          <t>Type the names and Bloomberg tickers. Pick the live one at B4.</t>
        </is>
      </c>
      <c r="D36" s="190" t="inlineStr">
        <is>
          <t>F4 shows the ticker the pull will use.</t>
        </is>
      </c>
      <c r="E36" s="11" t="n"/>
      <c r="F36" s="11" t="n"/>
    </row>
    <row r="37">
      <c r="A37" s="106" t="inlineStr">
        <is>
          <t>2</t>
        </is>
      </c>
      <c r="B37" s="106" t="inlineStr">
        <is>
          <t>CDS_Parameters</t>
        </is>
      </c>
      <c r="C37" s="190" t="inlineStr">
        <is>
          <t>Contract terms: recovery, notional, coupon, direction, maturity.</t>
        </is>
      </c>
      <c r="D37" s="190" t="inlineStr">
        <is>
          <t>B30 picks the hazard solver.</t>
        </is>
      </c>
      <c r="E37" s="11" t="n"/>
      <c r="F37" s="11" t="n"/>
    </row>
    <row r="38">
      <c r="A38" s="106" t="inlineStr">
        <is>
          <t>3</t>
        </is>
      </c>
      <c r="B38" s="106" t="inlineStr">
        <is>
          <t>Curve_Interface</t>
        </is>
      </c>
      <c r="C38" s="190" t="inlineStr">
        <is>
          <t>SOFR discount curve, linked from the curve workbook.</t>
        </is>
      </c>
      <c r="D38" s="190" t="inlineStr">
        <is>
          <t>LINK CHECK at N8. Open the curve workbook first.</t>
        </is>
      </c>
      <c r="E38" s="11" t="n"/>
      <c r="F38" s="11" t="n"/>
    </row>
    <row r="39">
      <c r="A39" s="106" t="inlineStr">
        <is>
          <t>4</t>
        </is>
      </c>
      <c r="B39" s="106" t="inlineStr">
        <is>
          <t>CDS_Quotes</t>
        </is>
      </c>
      <c r="C39" s="190" t="inlineStr">
        <is>
          <t>Two-step Bloomberg pull: entity -&gt; CDS ticker -&gt; spread.</t>
        </is>
      </c>
      <c r="D39" s="190" t="inlineStr">
        <is>
          <t>Col H says whether each tenor came live or manual.</t>
        </is>
      </c>
      <c r="E39" s="11" t="n"/>
      <c r="F39" s="11" t="n"/>
    </row>
    <row r="40">
      <c r="A40" s="106" t="inlineStr">
        <is>
          <t>5</t>
        </is>
      </c>
      <c r="B40" s="106" t="inlineStr">
        <is>
          <t>Hazard_Bootstrap</t>
        </is>
      </c>
      <c r="C40" s="190" t="inlineStr">
        <is>
          <t>Strips the hazard curve, one tenor at a time, earlier hazards held.</t>
        </is>
      </c>
      <c r="D40" s="190" t="inlineStr">
        <is>
          <t>Col J is the repricing error. It must go to zero.</t>
        </is>
      </c>
      <c r="E40" s="11" t="n"/>
      <c r="F40" s="11" t="n"/>
    </row>
    <row r="41">
      <c r="A41" s="106" t="inlineStr">
        <is>
          <t>6</t>
        </is>
      </c>
      <c r="B41" s="106" t="inlineStr">
        <is>
          <t>CDS_Schedule</t>
        </is>
      </c>
      <c r="C41" s="190" t="inlineStr">
        <is>
          <t>Builds the quarterly legs: DF, survival, accrual per period.</t>
        </is>
      </c>
      <c r="D41" s="190" t="inlineStr">
        <is>
          <t>One row per coupon period.</t>
        </is>
      </c>
      <c r="E41" s="11" t="n"/>
      <c r="F41" s="11" t="n"/>
    </row>
    <row r="42">
      <c r="A42" s="106" t="inlineStr">
        <is>
          <t>7</t>
        </is>
      </c>
      <c r="B42" s="106" t="inlineStr">
        <is>
          <t>CDS_Pricer</t>
        </is>
      </c>
      <c r="C42" s="190" t="inlineStr">
        <is>
          <t>Prices the trade and produces the CDSW settlement figures.</t>
        </is>
      </c>
      <c r="D42" s="190" t="inlineStr">
        <is>
          <t>Row 28 down is the CDSW screen block.</t>
        </is>
      </c>
      <c r="E42" s="11" t="n"/>
      <c r="F42" s="11" t="n"/>
    </row>
    <row r="43">
      <c r="A43" s="106" t="inlineStr">
        <is>
          <t>8</t>
        </is>
      </c>
      <c r="B43" s="106" t="inlineStr">
        <is>
          <t>Curves</t>
        </is>
      </c>
      <c r="C43" s="190" t="inlineStr">
        <is>
          <t>Charts: discount curve, hazard, survival, term structures.</t>
        </is>
      </c>
      <c r="D43" s="190" t="inlineStr">
        <is>
          <t>Hazard is drawn as a step because it is piecewise constant.</t>
        </is>
      </c>
      <c r="E43" s="11" t="n"/>
      <c r="F43" s="11" t="n"/>
    </row>
    <row r="44">
      <c r="A44" s="106" t="inlineStr">
        <is>
          <t>9</t>
        </is>
      </c>
      <c r="B44" s="106" t="inlineStr">
        <is>
          <t>CDS_Validation</t>
        </is>
      </c>
      <c r="C44" s="190" t="inlineStr">
        <is>
          <t>Internal checks on the strip.</t>
        </is>
      </c>
      <c r="D44" s="190" t="inlineStr">
        <is>
          <t>All should pass before the numbers are used.</t>
        </is>
      </c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215" t="inlineStr">
        <is>
          <t>Reference tabs</t>
        </is>
      </c>
      <c r="B46" s="11" t="n"/>
      <c r="C46" s="11" t="n"/>
      <c r="D46" s="11" t="n"/>
      <c r="E46" s="11" t="n"/>
      <c r="F46" s="11" t="n"/>
    </row>
    <row r="47">
      <c r="A47" s="11" t="n"/>
      <c r="B47" s="215" t="inlineStr">
        <is>
          <t>Model_Notes</t>
        </is>
      </c>
      <c r="C47" s="212" t="inlineStr">
        <is>
          <t>B-Model equations (3.1)-(3.6), conventions, strippability check.</t>
        </is>
      </c>
      <c r="D47" s="11" t="n"/>
      <c r="E47" s="11" t="n"/>
      <c r="F47" s="11" t="n"/>
    </row>
    <row r="48">
      <c r="A48" s="11" t="n"/>
      <c r="B48" s="215" t="inlineStr">
        <is>
          <t>Brent_vs_Bisection</t>
        </is>
      </c>
      <c r="C48" s="212" t="inlineStr">
        <is>
          <t>The two solvers side by side on the same objective.</t>
        </is>
      </c>
      <c r="D48" s="11" t="n"/>
      <c r="E48" s="11" t="n"/>
      <c r="F48" s="11" t="n"/>
    </row>
    <row r="49">
      <c r="A49" s="11" t="n"/>
      <c r="B49" s="215" t="inlineStr">
        <is>
          <t>Root_Methods</t>
        </is>
      </c>
      <c r="C49" s="212" t="inlineStr">
        <is>
          <t>Eight root-finders from MATH5030 M2.</t>
        </is>
      </c>
      <c r="D49" s="11" t="n"/>
      <c r="E49" s="11" t="n"/>
      <c r="F49" s="11" t="n"/>
    </row>
    <row r="50">
      <c r="A50" s="11" t="n"/>
      <c r="B50" s="215" t="inlineStr">
        <is>
          <t>CDSStrip</t>
        </is>
      </c>
      <c r="C50" s="212" t="inlineStr">
        <is>
          <t>The strip itself: CDS_StripHazard, all eight root-finders, no helper sheet.</t>
        </is>
      </c>
      <c r="D50" s="11" t="n"/>
      <c r="E50" s="11" t="n"/>
      <c r="F50" s="11" t="n"/>
    </row>
    <row r="51">
      <c r="A51" s="11" t="n"/>
      <c r="B51" s="215" t="inlineStr">
        <is>
          <t>CDS_Entities</t>
        </is>
      </c>
      <c r="C51" s="212" t="inlineStr">
        <is>
          <t>Data store behind Entities, plus the CDSW capture block.</t>
        </is>
      </c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209" t="inlineStr">
        <is>
          <t>Needs CDSBrent.bas and CDSRootFinders.bas imported, saved as .xlsm. Without them the strip falls back to the ladder and still prices.</t>
        </is>
      </c>
      <c r="C53" s="11" t="n"/>
      <c r="D53" s="11" t="n"/>
      <c r="E53" s="11" t="n"/>
      <c r="F53" s="11" t="n"/>
    </row>
    <row r="54">
      <c r="A54" s="11" t="n"/>
      <c r="B54" s="218" t="inlineStr">
        <is>
          <t>Spreads are demo values. The SOFR curve is real market data; the credit curve is not.</t>
        </is>
      </c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</sheetData>
  <dataValidations count="1">
    <dataValidation sqref="B10" showDropDown="0" showInputMessage="0" showErrorMessage="0" allowBlank="0" type="list">
      <formula1>"Buy protection,Sell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n"/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E5" s="177" t="inlineStr">
        <is>
          <t>override</t>
        </is>
      </c>
      <c r="F5" s="177" t="n"/>
      <c r="L5" s="177" t="inlineStr">
        <is>
          <t>identity - picks the ticker</t>
        </is>
      </c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  <c r="L6" s="179" t="inlineStr">
        <is>
          <t>Seniority</t>
        </is>
      </c>
      <c r="M6" s="179" t="inlineStr">
        <is>
          <t>Clause</t>
        </is>
      </c>
      <c r="N6" s="179" t="inlineStr">
        <is>
          <t>Recovery</t>
        </is>
      </c>
    </row>
    <row r="7">
      <c r="A7" s="178" t="n"/>
      <c r="B7" s="178" t="n"/>
      <c r="C7" s="178" t="n"/>
      <c r="D7" s="178" t="n"/>
      <c r="E7" s="181" t="n"/>
      <c r="F7" s="182" t="n"/>
      <c r="G7" s="182" t="n"/>
      <c r="H7" s="182" t="n"/>
      <c r="I7" s="182" t="n"/>
      <c r="J7" s="182" t="n"/>
      <c r="K7" s="182" t="n"/>
      <c r="L7" s="178" t="n"/>
      <c r="M7" s="178" t="n"/>
      <c r="N7" s="181" t="n"/>
    </row>
    <row r="8">
      <c r="A8" s="178" t="n"/>
      <c r="B8" s="178" t="n"/>
      <c r="C8" s="178" t="n"/>
      <c r="D8" s="178" t="n"/>
      <c r="E8" s="181" t="n"/>
      <c r="F8" s="182" t="n"/>
      <c r="G8" s="182" t="n"/>
      <c r="H8" s="182" t="n"/>
      <c r="I8" s="182" t="n"/>
      <c r="J8" s="182" t="n"/>
      <c r="K8" s="182" t="n"/>
      <c r="L8" s="178" t="n"/>
      <c r="M8" s="178" t="n"/>
      <c r="N8" s="181" t="n"/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  <c r="L9" s="178" t="n"/>
      <c r="M9" s="178" t="n"/>
      <c r="N9" s="181" t="n"/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  <c r="L10" s="178" t="n"/>
      <c r="M10" s="178" t="n"/>
      <c r="N10" s="181" t="n"/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  <c r="L11" s="178" t="n"/>
      <c r="M11" s="178" t="n"/>
      <c r="N11" s="181" t="n"/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  <c r="L12" s="178" t="n"/>
      <c r="M12" s="178" t="n"/>
      <c r="N12" s="181" t="n"/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  <c r="L13" s="178" t="n"/>
      <c r="M13" s="178" t="n"/>
      <c r="N13" s="181" t="n"/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  <c r="L14" s="178" t="n"/>
      <c r="M14" s="178" t="n"/>
      <c r="N14" s="181" t="n"/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  <c r="L15" s="178" t="n"/>
      <c r="M15" s="178" t="n"/>
      <c r="N15" s="181" t="n"/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  <c r="L16" s="178" t="n"/>
      <c r="M16" s="178" t="n"/>
      <c r="N16" s="181" t="n"/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219">
        <f>IF(Steps!$B$8="",0.4,Steps!$B$8)</f>
        <v/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220">
        <f>IF(Steps!$B$6="",10000000,Steps!$B$6)</f>
        <v/>
      </c>
    </row>
    <row r="10">
      <c r="A10" s="5" t="inlineStr">
        <is>
          <t>Standard coupon (bp)</t>
        </is>
      </c>
      <c r="B10" s="221">
        <f>IF(Steps!$B$7="",100,Steps!$B$7)</f>
        <v/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222">
        <f>IF(Steps!$B$10="","Buy protection",Steps!$B$10)</f>
        <v/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223">
        <f>IF(Steps!$B$5="",IF(Entities!$F$4="","",Entities!$F$4),Steps!$B$5)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Root-finding method</t>
        </is>
      </c>
      <c r="B30" s="178" t="inlineStr">
        <is>
          <t>BRENT</t>
        </is>
      </c>
      <c r="C30" s="177" t="inlineStr">
        <is>
          <t>All eight solve the same segment objective. Brent unless you are testing.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30" showDropDown="0" showInputMessage="0" showErrorMessage="0" allowBlank="0" type="list">
      <formula1>"BRENT,BISECTION,FALSE POSITION,SECANT,NEWTON,HALLEY,HOUSEHOLDER,RIDDERS"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224">
        <f>IF(Steps!$B$11&lt;&gt;"",Steps!$B$11,$K$8)</f>
        <v/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blank on Steps = follow the curve workbook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CDSStrip.CDS_StripHazard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is stripped by CDSStrip.CDS_StripHazard, one segment at a time, earlier hazards held fixed (section 4, p.8).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Stripped by CDSStrip.CDS_StripHazard straight off CDS_Schedule. Method at CDS_Parameters!B30. #N/A here means the VBA is not loaded.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n"/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ERROR(CDS_StripHazard(1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 t="n"/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ERROR(CDS_StripHazard(2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 t="n"/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ERROR(CDS_StripHazard(3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 t="n"/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ERROR(CDS_StripHazard(4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 t="n"/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ERROR(CDS_StripHazard(5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 t="n"/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ERROR(CDS_StripHazard(6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 t="n"/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J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 for the live name. Notional, coupon, maturity and traded spread there are context, not compared.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  <row r="51">
      <c r="A51" s="190" t="inlineStr">
        <is>
          <t>Spread DV01</t>
        </is>
      </c>
      <c r="B51" s="180">
        <f>IFERROR(INDEX(CDS_Entities!$Y$5:$Y$14,CDS_Parameters!$B$28),"")</f>
        <v/>
      </c>
      <c r="C51" s="180">
        <f>B22</f>
        <v/>
      </c>
      <c r="D51" s="180">
        <f>IF(OR(B51="",NOT(ISNUMBER(B51))),"",C51-B51)</f>
        <v/>
      </c>
    </row>
    <row r="52">
      <c r="A52" s="190" t="inlineStr">
        <is>
          <t>IR DV01</t>
        </is>
      </c>
      <c r="B52" s="180">
        <f>IFERROR(INDEX(CDS_Entities!$Z$5:$Z$14,CDS_Parameters!$B$28),"")</f>
        <v/>
      </c>
      <c r="C52" s="180">
        <f>B23</f>
        <v/>
      </c>
      <c r="D52" s="180">
        <f>IF(OR(B52="",NOT(ISNUMBER(B52))),"",C52-B52)</f>
        <v/>
      </c>
    </row>
    <row r="53">
      <c r="A53" s="190" t="inlineStr">
        <is>
          <t>Rec risk 1%</t>
        </is>
      </c>
      <c r="B53" s="180">
        <f>IFERROR(INDEX(CDS_Entities!$AA$5:$AA$14,CDS_Parameters!$B$28),"")</f>
        <v/>
      </c>
      <c r="C53" s="180">
        <f>B24</f>
        <v/>
      </c>
      <c r="D53" s="180">
        <f>IF(OR(B53="",NOT(ISNUMBER(B53))),"",C53-B53)</f>
        <v/>
      </c>
    </row>
    <row r="54">
      <c r="A54" s="190" t="inlineStr">
        <is>
          <t>Prob 5Y (1-Q)</t>
        </is>
      </c>
      <c r="B54" s="180">
        <f>IFERROR(INDEX(CDS_Entities!$AC$5:$AC$14,CDS_Parameters!$B$28),"")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Spreads here are demo values. The SOFR curve is real market data; the credit curve is not.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76" t="inlineStr">
        <is>
          <t>Brent vs bisection</t>
        </is>
      </c>
    </row>
    <row r="2">
      <c r="A2" s="177" t="inlineStr">
        <is>
          <t>Same segment objective (3.3), same inputs, same sequential scheme. Only the root-finder differs.</t>
        </is>
      </c>
    </row>
    <row r="3">
      <c r="A3" s="177" t="inlineStr">
        <is>
          <t>Hazard_Solver has been removed; both now run through CDSStrip.CDS_StripHazard.</t>
        </is>
      </c>
    </row>
    <row r="5" ht="30" customHeight="1">
      <c r="A5" s="225" t="inlineStr">
        <is>
          <t>Tenor</t>
        </is>
      </c>
      <c r="B5" s="225" t="inlineStr">
        <is>
          <t>Market bp</t>
        </is>
      </c>
      <c r="C5" s="225" t="inlineStr">
        <is>
          <t>Brent</t>
        </is>
      </c>
      <c r="D5" s="225" t="inlineStr">
        <is>
          <t>Bisection</t>
        </is>
      </c>
      <c r="E5" s="225" t="inlineStr">
        <is>
          <t>diff</t>
        </is>
      </c>
      <c r="F5" s="225" t="inlineStr">
        <is>
          <t>Brent its</t>
        </is>
      </c>
      <c r="G5" s="141" t="n"/>
      <c r="H5" s="141" t="n"/>
      <c r="I5" s="141" t="n"/>
      <c r="J5" s="141" t="n"/>
    </row>
    <row r="6">
      <c r="A6" s="152" t="inlineStr">
        <is>
          <t>1Y</t>
        </is>
      </c>
      <c r="B6" s="89">
        <f>Hazard_Bootstrap!$C$7</f>
        <v/>
      </c>
      <c r="C6" s="226">
        <f>IFERROR(CDS_StripHazard(1,"BRENT",Hazard_Bootstrap!$B$7:$B$12,Hazard_Bootstrap!$C$7:$C$12,CDS_Parameters!$B$8,CDS_Parameters!$B$26,CDS_Schedule!$C$7:$C$46,CDS_Schedule!$D$7:$D$46,CDS_Schedule!$E$7:$E$46,CDS_Schedule!$G$7:$G$46,CDS_Schedule!$H$7:$H$46),"module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6" s="226">
        <f>IFERROR(CDS_StripHazard(1,"BISECTION",Hazard_Bootstrap!$B$7:$B$12,Hazard_Bootstrap!$C$7:$C$12,CDS_Parameters!$B$8,CDS_Parameters!$B$26,CDS_Schedule!$C$7:$C$46,CDS_Schedule!$D$7:$D$46,CDS_Schedule!$E$7:$E$46,CDS_Schedule!$G$7:$G$46,CDS_Schedule!$H$7:$H$46),"")</f>
        <v/>
      </c>
      <c r="E6" s="72">
        <f>IF(OR(NOT(ISNUMBER(C6)),NOT(ISNUMBER(D6))),"",C6-D6)</f>
        <v/>
      </c>
      <c r="F6" s="104">
        <f>IFERROR(CDS_StripIterations(),"")</f>
        <v/>
      </c>
      <c r="G6" s="72" t="n"/>
      <c r="H6" s="72" t="n"/>
      <c r="I6" s="63" t="n"/>
      <c r="J6" s="72" t="n"/>
    </row>
    <row r="7">
      <c r="A7" s="152" t="inlineStr">
        <is>
          <t>2Y</t>
        </is>
      </c>
      <c r="B7" s="89">
        <f>Hazard_Bootstrap!$C$8</f>
        <v/>
      </c>
      <c r="C7" s="226">
        <f>IFERROR(CDS_StripHazard(2,"BRENT",Hazard_Bootstrap!$B$7:$B$12,Hazard_Bootstrap!$C$7:$C$12,CDS_Parameters!$B$8,CDS_Parameters!$B$26,CDS_Schedule!$C$7:$C$46,CDS_Schedule!$D$7:$D$46,CDS_Schedule!$E$7:$E$46,CDS_Schedule!$G$7:$G$46,CDS_Schedule!$H$7:$H$46),"module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7" s="226">
        <f>IFERROR(CDS_StripHazard(2,"BISECTION",Hazard_Bootstrap!$B$7:$B$12,Hazard_Bootstrap!$C$7:$C$12,CDS_Parameters!$B$8,CDS_Parameters!$B$26,CDS_Schedule!$C$7:$C$46,CDS_Schedule!$D$7:$D$46,CDS_Schedule!$E$7:$E$46,CDS_Schedule!$G$7:$G$46,CDS_Schedule!$H$7:$H$46),"")</f>
        <v/>
      </c>
      <c r="E7" s="72">
        <f>IF(OR(NOT(ISNUMBER(C7)),NOT(ISNUMBER(D7))),"",C7-D7)</f>
        <v/>
      </c>
      <c r="F7" s="104">
        <f>IFERROR(CDS_StripIterations(),"")</f>
        <v/>
      </c>
      <c r="G7" s="72" t="n"/>
      <c r="H7" s="72" t="n"/>
      <c r="I7" s="63" t="n"/>
      <c r="J7" s="72" t="n"/>
    </row>
    <row r="8">
      <c r="A8" s="152" t="inlineStr">
        <is>
          <t>3Y</t>
        </is>
      </c>
      <c r="B8" s="89">
        <f>Hazard_Bootstrap!$C$9</f>
        <v/>
      </c>
      <c r="C8" s="226">
        <f>IFERROR(CDS_StripHazard(3,"BRENT",Hazard_Bootstrap!$B$7:$B$12,Hazard_Bootstrap!$C$7:$C$12,CDS_Parameters!$B$8,CDS_Parameters!$B$26,CDS_Schedule!$C$7:$C$46,CDS_Schedule!$D$7:$D$46,CDS_Schedule!$E$7:$E$46,CDS_Schedule!$G$7:$G$46,CDS_Schedule!$H$7:$H$46),"module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8" s="226">
        <f>IFERROR(CDS_StripHazard(3,"BISECTION",Hazard_Bootstrap!$B$7:$B$12,Hazard_Bootstrap!$C$7:$C$12,CDS_Parameters!$B$8,CDS_Parameters!$B$26,CDS_Schedule!$C$7:$C$46,CDS_Schedule!$D$7:$D$46,CDS_Schedule!$E$7:$E$46,CDS_Schedule!$G$7:$G$46,CDS_Schedule!$H$7:$H$46),"")</f>
        <v/>
      </c>
      <c r="E8" s="72">
        <f>IF(OR(NOT(ISNUMBER(C8)),NOT(ISNUMBER(D8))),"",C8-D8)</f>
        <v/>
      </c>
      <c r="F8" s="104">
        <f>IFERROR(CDS_StripIterations(),"")</f>
        <v/>
      </c>
      <c r="G8" s="72" t="n"/>
      <c r="H8" s="72" t="n"/>
      <c r="I8" s="63" t="n"/>
      <c r="J8" s="72" t="n"/>
    </row>
    <row r="9">
      <c r="A9" s="152" t="inlineStr">
        <is>
          <t>5Y</t>
        </is>
      </c>
      <c r="B9" s="89">
        <f>Hazard_Bootstrap!$C$10</f>
        <v/>
      </c>
      <c r="C9" s="226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9" s="226">
        <f>IFERROR(CDS_StripHazard(4,"BISECTION",Hazard_Bootstrap!$B$7:$B$12,Hazard_Bootstrap!$C$7:$C$12,CDS_Parameters!$B$8,CDS_Parameters!$B$26,CDS_Schedule!$C$7:$C$46,CDS_Schedule!$D$7:$D$46,CDS_Schedule!$E$7:$E$46,CDS_Schedule!$G$7:$G$46,CDS_Schedule!$H$7:$H$46),"")</f>
        <v/>
      </c>
      <c r="E9" s="72">
        <f>IF(OR(NOT(ISNUMBER(C9)),NOT(ISNUMBER(D9))),"",C9-D9)</f>
        <v/>
      </c>
      <c r="F9" s="104">
        <f>IFERROR(CDS_StripIterations(),"")</f>
        <v/>
      </c>
      <c r="G9" s="72" t="n"/>
      <c r="H9" s="72" t="n"/>
      <c r="I9" s="63" t="n"/>
      <c r="J9" s="72" t="n"/>
    </row>
    <row r="10">
      <c r="A10" s="152" t="inlineStr">
        <is>
          <t>7Y</t>
        </is>
      </c>
      <c r="B10" s="89">
        <f>Hazard_Bootstrap!$C$11</f>
        <v/>
      </c>
      <c r="C10" s="226">
        <f>IFERROR(CDS_StripHazard(5,"BRENT",Hazard_Bootstrap!$B$7:$B$12,Hazard_Bootstrap!$C$7:$C$12,CDS_Parameters!$B$8,CDS_Parameters!$B$26,CDS_Schedule!$C$7:$C$46,CDS_Schedule!$D$7:$D$46,CDS_Schedule!$E$7:$E$46,CDS_Schedule!$G$7:$G$46,CDS_Schedule!$H$7:$H$46),"module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0" s="226">
        <f>IFERROR(CDS_StripHazard(5,"BISECTION",Hazard_Bootstrap!$B$7:$B$12,Hazard_Bootstrap!$C$7:$C$12,CDS_Parameters!$B$8,CDS_Parameters!$B$26,CDS_Schedule!$C$7:$C$46,CDS_Schedule!$D$7:$D$46,CDS_Schedule!$E$7:$E$46,CDS_Schedule!$G$7:$G$46,CDS_Schedule!$H$7:$H$46),"")</f>
        <v/>
      </c>
      <c r="E10" s="72">
        <f>IF(OR(NOT(ISNUMBER(C10)),NOT(ISNUMBER(D10))),"",C10-D10)</f>
        <v/>
      </c>
      <c r="F10" s="104">
        <f>IFERROR(CDS_StripIterations(),"")</f>
        <v/>
      </c>
      <c r="G10" s="72" t="n"/>
      <c r="H10" s="72" t="n"/>
      <c r="I10" s="63" t="n"/>
      <c r="J10" s="72" t="n"/>
    </row>
    <row r="11">
      <c r="A11" s="152" t="inlineStr">
        <is>
          <t>10Y</t>
        </is>
      </c>
      <c r="B11" s="89">
        <f>Hazard_Bootstrap!$C$12</f>
        <v/>
      </c>
      <c r="C11" s="226">
        <f>IFERROR(CDS_StripHazard(6,"BRENT",Hazard_Bootstrap!$B$7:$B$12,Hazard_Bootstrap!$C$7:$C$12,CDS_Parameters!$B$8,CDS_Parameters!$B$26,CDS_Schedule!$C$7:$C$46,CDS_Schedule!$D$7:$D$46,CDS_Schedule!$E$7:$E$46,CDS_Schedule!$G$7:$G$46,CDS_Schedule!$H$7:$H$46),"module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1" s="226">
        <f>IFERROR(CDS_StripHazard(6,"BISECTION",Hazard_Bootstrap!$B$7:$B$12,Hazard_Bootstrap!$C$7:$C$12,CDS_Parameters!$B$8,CDS_Parameters!$B$26,CDS_Schedule!$C$7:$C$46,CDS_Schedule!$D$7:$D$46,CDS_Schedule!$E$7:$E$46,CDS_Schedule!$G$7:$G$46,CDS_Schedule!$H$7:$H$46),"")</f>
        <v/>
      </c>
      <c r="E11" s="72">
        <f>IF(OR(NOT(ISNUMBER(C11)),NOT(ISNUMBER(D11))),"",C11-D11)</f>
        <v/>
      </c>
      <c r="F11" s="104">
        <f>IFERROR(CDS_StripIterations(),"")</f>
        <v/>
      </c>
      <c r="G11" s="72" t="n"/>
      <c r="H11" s="72" t="n"/>
      <c r="I11" s="63" t="n"/>
      <c r="J11" s="72" t="n"/>
    </row>
    <row r="13">
      <c r="A13" s="67" t="inlineStr">
        <is>
          <t>max |diff|</t>
        </is>
      </c>
      <c r="C13" s="91" t="n"/>
      <c r="E13" s="193">
        <f>IF(COUNT(E6:E11)=0,"module not loaded",MAX(MAX(E6:E11),-MIN(E6:E11)))</f>
        <v/>
      </c>
    </row>
    <row r="14">
      <c r="A14" s="67" t="n"/>
      <c r="C14" s="91" t="n"/>
    </row>
    <row r="15">
      <c r="A15" s="126" t="inlineStr">
        <is>
          <t>Both find the same root. Bisection needs ~52 evaluations per segment, Brent ~9.</t>
        </is>
      </c>
    </row>
    <row r="16">
      <c r="A16" s="126" t="inlineStr">
        <is>
          <t>The 3,712-cell ladder that used to sit behind bisection is gone; the cost is now one call either way.</t>
        </is>
      </c>
    </row>
    <row r="17">
      <c r="A17" s="123" t="n"/>
    </row>
    <row r="18">
      <c r="A18" s="141" t="n"/>
      <c r="B18" s="141" t="n"/>
      <c r="C18" s="141" t="n"/>
      <c r="D18" s="141" t="n"/>
    </row>
    <row r="19">
      <c r="A19" s="67" t="n"/>
      <c r="B19" s="93" t="n"/>
      <c r="C19" s="93" t="n"/>
      <c r="D19" s="93" t="n"/>
    </row>
    <row r="20">
      <c r="A20" s="67" t="n"/>
      <c r="B20" s="93" t="n"/>
      <c r="C20" s="93" t="n"/>
      <c r="D20" s="93" t="n"/>
    </row>
    <row r="21">
      <c r="A21" s="67" t="n"/>
      <c r="B21" s="93" t="n"/>
      <c r="C21" s="93" t="n"/>
      <c r="D21" s="93" t="n"/>
    </row>
    <row r="22">
      <c r="A22" s="67" t="n"/>
      <c r="B22" s="93" t="n"/>
      <c r="C22" s="93" t="n"/>
      <c r="D22" s="93" t="n"/>
    </row>
    <row r="23">
      <c r="A23" s="67" t="n"/>
      <c r="B23" s="93" t="n"/>
      <c r="C23" s="93" t="n"/>
      <c r="D23" s="93" t="n"/>
    </row>
    <row r="24">
      <c r="A24" s="67" t="n"/>
      <c r="B24" s="93" t="n"/>
      <c r="C24" s="93" t="n"/>
      <c r="D24" s="93" t="n"/>
    </row>
    <row r="25">
      <c r="A25" s="67" t="n"/>
      <c r="B25" s="93" t="n"/>
      <c r="C25" s="93" t="n"/>
      <c r="D25" s="93" t="n"/>
    </row>
    <row r="26">
      <c r="A26" s="67" t="n"/>
      <c r="B26" s="93" t="n"/>
      <c r="C26" s="93" t="n"/>
      <c r="D26" s="93" t="n"/>
    </row>
    <row r="29">
      <c r="A29" s="67" t="n"/>
    </row>
    <row r="30">
      <c r="A30" s="65" t="n"/>
    </row>
    <row r="31">
      <c r="A31" s="65" t="n"/>
    </row>
    <row r="32">
      <c r="A32" s="65" t="n"/>
    </row>
    <row r="33">
      <c r="A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</t>
        </is>
      </c>
    </row>
    <row r="4">
      <c r="A4" s="177" t="inlineStr">
        <is>
          <t>Needs CDSStrip.bas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5Y hazard</t>
        </is>
      </c>
      <c r="E6" s="188" t="inlineStr">
        <is>
          <t>its</t>
        </is>
      </c>
      <c r="F6" s="188" t="inlineStr">
        <is>
          <t>vs Brent</t>
        </is>
      </c>
      <c r="G6" s="188" t="n"/>
      <c r="H6" s="188" t="n"/>
      <c r="I6" s="188" t="n"/>
      <c r="J6" s="188" t="n"/>
    </row>
    <row r="7">
      <c r="A7" s="189" t="inlineStr">
        <is>
          <t>BRENT</t>
        </is>
      </c>
      <c r="B7" s="189" t="inlineStr">
        <is>
          <t>bracketing hybrid</t>
        </is>
      </c>
      <c r="C7" s="190" t="inlineStr">
        <is>
          <t>hybrid</t>
        </is>
      </c>
      <c r="D7" s="227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7" s="190">
        <f>IFERROR(CDS_StripIterations(),"")</f>
        <v/>
      </c>
      <c r="F7" s="192">
        <f>IF(NOT(ISNUMBER(D7)),"",D7-$D$7)</f>
        <v/>
      </c>
      <c r="G7" s="180" t="n"/>
      <c r="H7" s="192" t="n"/>
      <c r="I7" s="192" t="n"/>
      <c r="J7" s="190" t="n"/>
    </row>
    <row r="8">
      <c r="A8" s="190" t="inlineStr">
        <is>
          <t>BISECTION</t>
        </is>
      </c>
      <c r="B8" s="190" t="inlineStr">
        <is>
          <t>bracketing</t>
        </is>
      </c>
      <c r="C8" s="190" t="inlineStr">
        <is>
          <t>linear</t>
        </is>
      </c>
      <c r="D8" s="227">
        <f>IFERROR(CDS_StripHazard(4,"BISECTION",Hazard_Bootstrap!$B$7:$B$12,Hazard_Bootstrap!$C$7:$C$12,CDS_Parameters!$B$8,CDS_Parameters!$B$26,CDS_Schedule!$C$7:$C$46,CDS_Schedule!$D$7:$D$46,CDS_Schedule!$E$7:$E$46,CDS_Schedule!$G$7:$G$46,CDS_Schedule!$H$7:$H$46),"module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8" s="190">
        <f>IFERROR(CDS_StripIterations(),"")</f>
        <v/>
      </c>
      <c r="F8" s="192">
        <f>IF(NOT(ISNUMBER(D8)),"",D8-$D$7)</f>
        <v/>
      </c>
      <c r="G8" s="180" t="n"/>
      <c r="H8" s="192" t="n"/>
      <c r="I8" s="192" t="n"/>
      <c r="J8" s="190" t="n"/>
    </row>
    <row r="9">
      <c r="A9" s="190" t="inlineStr">
        <is>
          <t>FALSE POSITION</t>
        </is>
      </c>
      <c r="B9" s="190" t="inlineStr">
        <is>
          <t>bracketing</t>
        </is>
      </c>
      <c r="C9" s="190" t="inlineStr">
        <is>
          <t>super-linear</t>
        </is>
      </c>
      <c r="D9" s="227">
        <f>IFERROR(CDS_StripHazard(4,"FALSE POSITION",Hazard_Bootstrap!$B$7:$B$12,Hazard_Bootstrap!$C$7:$C$12,CDS_Parameters!$B$8,CDS_Parameters!$B$26,CDS_Schedule!$C$7:$C$46,CDS_Schedule!$D$7:$D$46,CDS_Schedule!$E$7:$E$46,CDS_Schedule!$G$7:$G$46,CDS_Schedule!$H$7:$H$46),"module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9" s="190">
        <f>IFERROR(CDS_StripIterations(),"")</f>
        <v/>
      </c>
      <c r="F9" s="192">
        <f>IF(NOT(ISNUMBER(D9)),"",D9-$D$7)</f>
        <v/>
      </c>
      <c r="G9" s="180" t="n"/>
      <c r="H9" s="192" t="n"/>
      <c r="I9" s="192" t="n"/>
      <c r="J9" s="190" t="n"/>
    </row>
    <row r="10">
      <c r="A10" s="190" t="inlineStr">
        <is>
          <t>SECANT</t>
        </is>
      </c>
      <c r="B10" s="190" t="inlineStr">
        <is>
          <t>open</t>
        </is>
      </c>
      <c r="C10" s="190" t="inlineStr">
        <is>
          <t>~1.618</t>
        </is>
      </c>
      <c r="D10" s="227">
        <f>IFERROR(CDS_StripHazard(4,"SECANT",Hazard_Bootstrap!$B$7:$B$12,Hazard_Bootstrap!$C$7:$C$12,CDS_Parameters!$B$8,CDS_Parameters!$B$26,CDS_Schedule!$C$7:$C$46,CDS_Schedule!$D$7:$D$46,CDS_Schedule!$E$7:$E$46,CDS_Schedule!$G$7:$G$46,CDS_Schedule!$H$7:$H$46),"module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0" s="190">
        <f>IFERROR(CDS_StripIterations(),"")</f>
        <v/>
      </c>
      <c r="F10" s="192">
        <f>IF(NOT(ISNUMBER(D10)),"",D10-$D$7)</f>
        <v/>
      </c>
      <c r="G10" s="180" t="n"/>
      <c r="H10" s="192" t="n"/>
      <c r="I10" s="192" t="n"/>
      <c r="J10" s="190" t="n"/>
    </row>
    <row r="11">
      <c r="A11" s="190" t="inlineStr">
        <is>
          <t>NEWTON</t>
        </is>
      </c>
      <c r="B11" s="190" t="inlineStr">
        <is>
          <t>open</t>
        </is>
      </c>
      <c r="C11" s="190" t="inlineStr">
        <is>
          <t>2</t>
        </is>
      </c>
      <c r="D11" s="227">
        <f>IFERROR(CDS_StripHazard(4,"NEWTON",Hazard_Bootstrap!$B$7:$B$12,Hazard_Bootstrap!$C$7:$C$12,CDS_Parameters!$B$8,CDS_Parameters!$B$26,CDS_Schedule!$C$7:$C$46,CDS_Schedule!$D$7:$D$46,CDS_Schedule!$E$7:$E$46,CDS_Schedule!$G$7:$G$46,CDS_Schedule!$H$7:$H$46),"module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1" s="190">
        <f>IFERROR(CDS_StripIterations(),"")</f>
        <v/>
      </c>
      <c r="F11" s="192">
        <f>IF(NOT(ISNUMBER(D11)),"",D11-$D$7)</f>
        <v/>
      </c>
      <c r="G11" s="180" t="n"/>
      <c r="H11" s="192" t="n"/>
      <c r="I11" s="192" t="n"/>
      <c r="J11" s="190" t="n"/>
    </row>
    <row r="12">
      <c r="A12" s="190" t="inlineStr">
        <is>
          <t>HALLEY</t>
        </is>
      </c>
      <c r="B12" s="190" t="inlineStr">
        <is>
          <t>open</t>
        </is>
      </c>
      <c r="C12" s="190" t="inlineStr">
        <is>
          <t>3</t>
        </is>
      </c>
      <c r="D12" s="227">
        <f>IFERROR(CDS_StripHazard(4,"HALLEY",Hazard_Bootstrap!$B$7:$B$12,Hazard_Bootstrap!$C$7:$C$12,CDS_Parameters!$B$8,CDS_Parameters!$B$26,CDS_Schedule!$C$7:$C$46,CDS_Schedule!$D$7:$D$46,CDS_Schedule!$E$7:$E$46,CDS_Schedule!$G$7:$G$46,CDS_Schedule!$H$7:$H$46),"module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2" s="190">
        <f>IFERROR(CDS_StripIterations(),"")</f>
        <v/>
      </c>
      <c r="F12" s="192">
        <f>IF(NOT(ISNUMBER(D12)),"",D12-$D$7)</f>
        <v/>
      </c>
      <c r="G12" s="180" t="n"/>
      <c r="H12" s="192" t="n"/>
      <c r="I12" s="192" t="n"/>
      <c r="J12" s="190" t="n"/>
    </row>
    <row r="13">
      <c r="A13" s="190" t="inlineStr">
        <is>
          <t>HOUSEHOLDER</t>
        </is>
      </c>
      <c r="B13" s="190" t="inlineStr">
        <is>
          <t>open</t>
        </is>
      </c>
      <c r="C13" s="190" t="inlineStr">
        <is>
          <t>d+1</t>
        </is>
      </c>
      <c r="D13" s="227">
        <f>IFERROR(CDS_StripHazard(4,"HOUSEHOLDER",Hazard_Bootstrap!$B$7:$B$12,Hazard_Bootstrap!$C$7:$C$12,CDS_Parameters!$B$8,CDS_Parameters!$B$26,CDS_Schedule!$C$7:$C$46,CDS_Schedule!$D$7:$D$46,CDS_Schedule!$E$7:$E$46,CDS_Schedule!$G$7:$G$46,CDS_Schedule!$H$7:$H$46),"module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3" s="190">
        <f>IFERROR(CDS_StripIterations(),"")</f>
        <v/>
      </c>
      <c r="F13" s="192">
        <f>IF(NOT(ISNUMBER(D13)),"",D13-$D$7)</f>
        <v/>
      </c>
      <c r="G13" s="180" t="n"/>
      <c r="H13" s="192" t="n"/>
      <c r="I13" s="192" t="n"/>
      <c r="J13" s="190" t="n"/>
    </row>
    <row r="14">
      <c r="A14" s="190" t="inlineStr">
        <is>
          <t>RIDDERS</t>
        </is>
      </c>
      <c r="B14" s="190" t="inlineStr">
        <is>
          <t>bracketing hybrid</t>
        </is>
      </c>
      <c r="C14" s="190" t="inlineStr">
        <is>
          <t>hybrid</t>
        </is>
      </c>
      <c r="D14" s="227">
        <f>IFERROR(CDS_StripHazard(4,"RIDDERS",Hazard_Bootstrap!$B$7:$B$12,Hazard_Bootstrap!$C$7:$C$12,CDS_Parameters!$B$8,CDS_Parameters!$B$26,CDS_Schedule!$C$7:$C$46,CDS_Schedule!$D$7:$D$46,CDS_Schedule!$E$7:$E$46,CDS_Schedule!$G$7:$G$46,CDS_Schedule!$H$7:$H$46),"module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4" s="190">
        <f>IFERROR(CDS_StripIterations(),"")</f>
        <v/>
      </c>
      <c r="F14" s="192">
        <f>IF(NOT(ISNUMBER(D14)),"",D14-$D$7)</f>
        <v/>
      </c>
      <c r="G14" s="180" t="n"/>
      <c r="H14" s="192" t="n"/>
      <c r="I14" s="192" t="n"/>
      <c r="J14" s="190" t="n"/>
    </row>
    <row r="16">
      <c r="A16" s="67" t="inlineStr">
        <is>
          <t>Spread of the eight roots</t>
        </is>
      </c>
      <c r="D16" s="193">
        <f>IF(COUNT(D7:D14)=0,"module not loaded",MAX(D7:D14)-MIN(D7:D14))</f>
        <v/>
      </c>
      <c r="E16" s="177" t="inlineStr">
        <is>
          <t>they solve the same equation, so this is the real check</t>
        </is>
      </c>
      <c r="F16" s="193" t="n"/>
      <c r="G16" s="177" t="n"/>
    </row>
    <row r="18">
      <c r="A18" s="67" t="n"/>
    </row>
    <row r="19">
      <c r="A19" s="183" t="n"/>
      <c r="B19" s="183" t="n"/>
      <c r="C19" s="183" t="n"/>
      <c r="D19" s="183" t="n"/>
    </row>
    <row r="20">
      <c r="A20" s="190" t="n"/>
      <c r="B20" s="190" t="n"/>
      <c r="C20" s="190" t="n"/>
      <c r="D20" s="190" t="n"/>
    </row>
    <row r="21">
      <c r="A21" s="190" t="n"/>
      <c r="B21" s="190" t="n"/>
      <c r="C21" s="190" t="n"/>
      <c r="D21" s="190" t="n"/>
    </row>
    <row r="22">
      <c r="A22" s="190" t="n"/>
      <c r="B22" s="190" t="n"/>
      <c r="C22" s="190" t="n"/>
      <c r="D22" s="190" t="n"/>
    </row>
    <row r="23">
      <c r="A23" s="190" t="n"/>
      <c r="B23" s="190" t="n"/>
      <c r="C23" s="190" t="n"/>
      <c r="D23" s="190" t="n"/>
    </row>
    <row r="24">
      <c r="A24" s="190" t="n"/>
      <c r="B24" s="190" t="n"/>
      <c r="C24" s="190" t="n"/>
      <c r="D24" s="190" t="n"/>
    </row>
    <row r="25">
      <c r="A25" s="190" t="n"/>
      <c r="B25" s="190" t="n"/>
      <c r="C25" s="190" t="n"/>
      <c r="D25" s="190" t="n"/>
    </row>
    <row r="26">
      <c r="A26" s="190" t="n"/>
      <c r="B26" s="190" t="n"/>
      <c r="C26" s="190" t="n"/>
      <c r="D26" s="190" t="n"/>
    </row>
    <row r="27">
      <c r="A27" s="190" t="n"/>
      <c r="B27" s="190" t="n"/>
      <c r="C27" s="190" t="n"/>
      <c r="D27" s="190" t="n"/>
    </row>
    <row r="29">
      <c r="A29" s="67" t="n"/>
    </row>
    <row r="30">
      <c r="A30" s="126" t="n"/>
    </row>
    <row r="31">
      <c r="A31" s="126" t="n"/>
    </row>
    <row r="32">
      <c r="A32" s="126" t="n"/>
    </row>
    <row r="33">
      <c r="A33" s="177" t="n"/>
    </row>
    <row r="34">
      <c r="A34" s="126" t="n"/>
    </row>
    <row r="35">
      <c r="A35" s="177" t="n"/>
    </row>
    <row r="36">
      <c r="A36" s="12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B3" s="177" t="inlineStr">
        <is>
          <t>display only - the ticker in use comes from Entities!F4</t>
        </is>
      </c>
      <c r="H3" s="67" t="inlineStr">
        <is>
          <t>TERM STRUCTURE (T3)</t>
        </is>
      </c>
      <c r="O3" s="177" t="inlineStr">
        <is>
          <t>CDSW capture - context</t>
        </is>
      </c>
      <c r="S3" s="177" t="inlineStr">
        <is>
          <t>CDSW capture - compared on CDS_Pricer rows 44-54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>
        <f>IF(Entities!$L7="","",Entities!$L7)</f>
        <v/>
      </c>
      <c r="E5" s="68">
        <f>IF(Entities!$M7="","",Entities!$M7)</f>
        <v/>
      </c>
      <c r="F5" s="147">
        <f>IF(Entities!$N7="",0.4,Entities!$N7)</f>
        <v/>
      </c>
      <c r="G5" s="111" t="n"/>
      <c r="H5" s="64" t="n"/>
      <c r="I5" s="64" t="n"/>
      <c r="J5" s="64" t="n"/>
      <c r="K5" s="64" t="n"/>
      <c r="L5" s="64" t="n"/>
      <c r="M5" s="64" t="n"/>
      <c r="O5" s="118" t="n"/>
      <c r="P5" s="64" t="n"/>
      <c r="Q5" s="111" t="n"/>
      <c r="R5" s="64" t="n"/>
      <c r="S5" s="148" t="n"/>
      <c r="T5" s="148" t="n"/>
      <c r="U5" s="118" t="n"/>
      <c r="V5" s="95" t="n"/>
      <c r="W5" s="118" t="n"/>
      <c r="X5" s="118" t="n"/>
      <c r="Y5" s="118" t="n"/>
      <c r="Z5" s="118" t="n"/>
      <c r="AA5" s="118" t="n"/>
      <c r="AB5" s="118" t="n"/>
      <c r="AC5" s="64" t="n"/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>
        <f>IF(Entities!$L8="","",Entities!$L8)</f>
        <v/>
      </c>
      <c r="E6" s="68">
        <f>IF(Entities!$M8="","",Entities!$M8)</f>
        <v/>
      </c>
      <c r="F6" s="147">
        <f>IF(Entities!$N8="",0.4,Entities!$N8)</f>
        <v/>
      </c>
      <c r="G6" s="111" t="n"/>
      <c r="H6" s="64" t="n"/>
      <c r="I6" s="64" t="n"/>
      <c r="J6" s="64" t="n"/>
      <c r="K6" s="64" t="n"/>
      <c r="L6" s="64" t="n"/>
      <c r="M6" s="64" t="n"/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>
        <f>IF(Entities!$L9="","",Entities!$L9)</f>
        <v/>
      </c>
      <c r="E7" s="68">
        <f>IF(Entities!$M9="","",Entities!$M9)</f>
        <v/>
      </c>
      <c r="F7" s="147">
        <f>IF(Entities!$N9="",0.4,Entities!$N9)</f>
        <v/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>
        <f>IF(Entities!$L10="","",Entities!$L10)</f>
        <v/>
      </c>
      <c r="E8" s="68">
        <f>IF(Entities!$M10="","",Entities!$M10)</f>
        <v/>
      </c>
      <c r="F8" s="147">
        <f>IF(Entities!$N10="",0.4,Entities!$N10)</f>
        <v/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>
        <f>IF(Entities!$L11="","",Entities!$L11)</f>
        <v/>
      </c>
      <c r="E9" s="68">
        <f>IF(Entities!$M11="","",Entities!$M11)</f>
        <v/>
      </c>
      <c r="F9" s="147">
        <f>IF(Entities!$N11="",0.4,Entities!$N11)</f>
        <v/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>
        <f>IF(Entities!$L12="","",Entities!$L12)</f>
        <v/>
      </c>
      <c r="E10" s="68">
        <f>IF(Entities!$M12="","",Entities!$M12)</f>
        <v/>
      </c>
      <c r="F10" s="147">
        <f>IF(Entities!$N12="",0.4,Entities!$N12)</f>
        <v/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>
        <f>IF(Entities!$L13="","",Entities!$L13)</f>
        <v/>
      </c>
      <c r="E11" s="68">
        <f>IF(Entities!$M13="","",Entities!$M13)</f>
        <v/>
      </c>
      <c r="F11" s="147">
        <f>IF(Entities!$N13="",0.4,Entities!$N13)</f>
        <v/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>
        <f>IF(Entities!$L14="","",Entities!$L14)</f>
        <v/>
      </c>
      <c r="E12" s="68">
        <f>IF(Entities!$M14="","",Entities!$M14)</f>
        <v/>
      </c>
      <c r="F12" s="147">
        <f>IF(Entities!$N14="",0.4,Entities!$N14)</f>
        <v/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>
        <f>IF(Entities!$L15="","",Entities!$L15)</f>
        <v/>
      </c>
      <c r="E13" s="68">
        <f>IF(Entities!$M15="","",Entities!$M15)</f>
        <v/>
      </c>
      <c r="F13" s="147">
        <f>IF(Entities!$N15="",0.4,Entities!$N15)</f>
        <v/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>
        <f>IF(Entities!$L16="","",Entities!$L16)</f>
        <v/>
      </c>
      <c r="E14" s="68">
        <f>IF(Entities!$M16="","",Entities!$M16)</f>
        <v/>
      </c>
      <c r="F14" s="147">
        <f>IF(Entities!$N16="",0.4,Entities!$N16)</f>
        <v/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inlineStr">
        <is>
          <t>Row 5 is the reference screen already on file. Only its 5Y spread is known: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2026-07-22T14:26:57Z</dcterms:modified>
</cp:coreProperties>
</file>