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ties" sheetId="1" state="visible" r:id="rId1"/>
    <sheet xmlns:r="http://schemas.openxmlformats.org/officeDocument/2006/relationships" name="Curves" sheetId="2" state="visible" r:id="rId2"/>
    <sheet xmlns:r="http://schemas.openxmlformats.org/officeDocument/2006/relationships" name="Brent_vs_Bisection" sheetId="3" state="visible" r:id="rId3"/>
    <sheet xmlns:r="http://schemas.openxmlformats.org/officeDocument/2006/relationships" name="Curve_Interface" sheetId="4" state="visible" r:id="rId4"/>
    <sheet xmlns:r="http://schemas.openxmlformats.org/officeDocument/2006/relationships" name="CDS_Entities" sheetId="5" state="visible" r:id="rId5"/>
    <sheet xmlns:r="http://schemas.openxmlformats.org/officeDocument/2006/relationships" name="CDS_Parameters" sheetId="6" state="visible" r:id="rId6"/>
    <sheet xmlns:r="http://schemas.openxmlformats.org/officeDocument/2006/relationships" name="CDS_Quotes" sheetId="7" state="visible" r:id="rId7"/>
    <sheet xmlns:r="http://schemas.openxmlformats.org/officeDocument/2006/relationships" name="Hazard_Bootstrap" sheetId="8" state="visible" r:id="rId8"/>
    <sheet xmlns:r="http://schemas.openxmlformats.org/officeDocument/2006/relationships" name="Hazard_Solver" sheetId="9" state="hidden" r:id="rId9"/>
    <sheet xmlns:r="http://schemas.openxmlformats.org/officeDocument/2006/relationships" name="CDS_Schedule" sheetId="10" state="visible" r:id="rId10"/>
    <sheet xmlns:r="http://schemas.openxmlformats.org/officeDocument/2006/relationships" name="CDS_Pricer" sheetId="11" state="visible" r:id="rId11"/>
    <sheet xmlns:r="http://schemas.openxmlformats.org/officeDocument/2006/relationships" name="CDS_Validation" sheetId="12" state="visible" r:id="rId12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30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'Curves'!$A$6:$A$70</f>
            </numRef>
          </cat>
          <val>
            <numRef>
              <f>'Curves'!$D$6:$D$70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Discount factors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'Curves'!$A$6:$A$70</f>
            </numRef>
          </cat>
          <val>
            <numRef>
              <f>'Curves'!$C$6:$C$70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(piecewise constant) and survival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'Curves'!B74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'Curves'!$A$75:$A$80</f>
            </numRef>
          </cat>
          <val>
            <numRef>
              <f>'Curves'!$B$75:$B$80</f>
            </numRef>
          </val>
          <smooth val="0"/>
        </ser>
        <ser>
          <idx val="1"/>
          <order val="1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'Curves'!$A$75:$A$80</f>
            </numRef>
          </cat>
          <val>
            <numRef>
              <f>'Curves'!$C$75:$C$80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Spread term structure - market vs model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'Curves'!$A$85:$A$90</f>
            </numRef>
          </cat>
          <val>
            <numRef>
              <f>'Curves'!$B$85:$B$90</f>
            </numRef>
          </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'Curves'!$A$85:$A$90</f>
            </numRef>
          </cat>
          <val>
            <numRef>
              <f>'Curves'!$C$85:$C$90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51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Set On to 0 to take a name out. Overrides win over the Bloomberg pull; leave blank to use the pull.</t>
        </is>
      </c>
    </row>
    <row r="4">
      <c r="A4" s="67" t="inlineStr">
        <is>
          <t>Live name</t>
        </is>
      </c>
      <c r="B4" s="178" t="inlineStr">
        <is>
          <t>China CITIC Bank Intl</t>
        </is>
      </c>
      <c r="C4" s="177" t="inlineStr">
        <is>
          <t>only this name is stripped</t>
        </is>
      </c>
    </row>
    <row r="5">
      <c r="F5" s="177" t="inlineStr">
        <is>
          <t>override spreads (bp)</t>
        </is>
      </c>
    </row>
    <row r="6">
      <c r="A6" s="179" t="inlineStr">
        <is>
          <t>On</t>
        </is>
      </c>
      <c r="B6" s="179" t="inlineStr">
        <is>
          <t>Entity</t>
        </is>
      </c>
      <c r="C6" s="179" t="inlineStr">
        <is>
          <t>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</row>
    <row r="7">
      <c r="A7" s="178" t="n">
        <v>1</v>
      </c>
      <c r="B7" s="180">
        <f>CDS_Entities!A5</f>
        <v/>
      </c>
      <c r="C7" s="180">
        <f>CDS_Entities!B5</f>
        <v/>
      </c>
      <c r="D7" s="180">
        <f>CDS_Entities!C5</f>
        <v/>
      </c>
      <c r="E7" s="181" t="n"/>
      <c r="F7" s="182" t="n"/>
      <c r="G7" s="182" t="n"/>
      <c r="H7" s="182" t="n"/>
      <c r="I7" s="182" t="n"/>
      <c r="J7" s="182" t="n"/>
      <c r="K7" s="182" t="n"/>
    </row>
    <row r="8">
      <c r="A8" s="178" t="n">
        <v>1</v>
      </c>
      <c r="B8" s="180">
        <f>CDS_Entities!A6</f>
        <v/>
      </c>
      <c r="C8" s="180">
        <f>CDS_Entities!B6</f>
        <v/>
      </c>
      <c r="D8" s="180">
        <f>CDS_Entities!C6</f>
        <v/>
      </c>
      <c r="E8" s="181" t="n"/>
      <c r="F8" s="182" t="n"/>
      <c r="G8" s="182" t="n"/>
      <c r="H8" s="182" t="n"/>
      <c r="I8" s="182" t="n"/>
      <c r="J8" s="182" t="n"/>
      <c r="K8" s="182" t="n"/>
    </row>
    <row r="10">
      <c r="A10" s="67" t="inlineStr">
        <is>
          <t>Effective (what the strip uses)</t>
        </is>
      </c>
    </row>
    <row r="11">
      <c r="B11" s="183" t="inlineStr">
        <is>
          <t>Entity</t>
        </is>
      </c>
      <c r="E11" s="183" t="inlineStr">
        <is>
          <t>Recovery</t>
        </is>
      </c>
      <c r="F11" s="183" t="inlineStr">
        <is>
          <t>1Y</t>
        </is>
      </c>
      <c r="G11" s="183" t="inlineStr">
        <is>
          <t>2Y</t>
        </is>
      </c>
      <c r="H11" s="183" t="inlineStr">
        <is>
          <t>3Y</t>
        </is>
      </c>
      <c r="I11" s="183" t="inlineStr">
        <is>
          <t>5Y</t>
        </is>
      </c>
      <c r="J11" s="183" t="inlineStr">
        <is>
          <t>7Y</t>
        </is>
      </c>
      <c r="K11" s="183" t="inlineStr">
        <is>
          <t>10Y</t>
        </is>
      </c>
    </row>
    <row r="12">
      <c r="A12" s="184" t="n"/>
      <c r="B12" s="184">
        <f>B7</f>
        <v/>
      </c>
      <c r="C12" s="184" t="n"/>
      <c r="D12" s="184" t="n"/>
      <c r="E12" s="184">
        <f>IF($A7=0,"off",IF(ISNUMBER(E7),E7,CDS_Entities!F5))</f>
        <v/>
      </c>
      <c r="F12" s="185">
        <f>IF($A7=0,0,IF(ISNUMBER(F7),F7,IF(ISNUMBER(CDS_Entities!H5),CDS_Entities!H5,0)))</f>
        <v/>
      </c>
      <c r="G12" s="185">
        <f>IF($A7=0,0,IF(ISNUMBER(G7),G7,IF(ISNUMBER(CDS_Entities!I5),CDS_Entities!I5,0)))</f>
        <v/>
      </c>
      <c r="H12" s="185">
        <f>IF($A7=0,0,IF(ISNUMBER(H7),H7,IF(ISNUMBER(CDS_Entities!J5),CDS_Entities!J5,0)))</f>
        <v/>
      </c>
      <c r="I12" s="185">
        <f>IF($A7=0,0,IF(ISNUMBER(I7),I7,IF(ISNUMBER(CDS_Entities!K5),CDS_Entities!K5,0)))</f>
        <v/>
      </c>
      <c r="J12" s="185">
        <f>IF($A7=0,0,IF(ISNUMBER(J7),J7,IF(ISNUMBER(CDS_Entities!L5),CDS_Entities!L5,0)))</f>
        <v/>
      </c>
      <c r="K12" s="185">
        <f>IF($A7=0,0,IF(ISNUMBER(K7),K7,IF(ISNUMBER(CDS_Entities!M5),CDS_Entities!M5,0)))</f>
        <v/>
      </c>
    </row>
    <row r="13">
      <c r="A13" s="184" t="n"/>
      <c r="B13" s="184">
        <f>B8</f>
        <v/>
      </c>
      <c r="C13" s="184" t="n"/>
      <c r="D13" s="184" t="n"/>
      <c r="E13" s="184">
        <f>IF($A8=0,"off",IF(ISNUMBER(E8),E8,CDS_Entities!F6))</f>
        <v/>
      </c>
      <c r="F13" s="185">
        <f>IF($A8=0,0,IF(ISNUMBER(F8),F8,IF(ISNUMBER(CDS_Entities!H6),CDS_Entities!H6,0)))</f>
        <v/>
      </c>
      <c r="G13" s="185">
        <f>IF($A8=0,0,IF(ISNUMBER(G8),G8,IF(ISNUMBER(CDS_Entities!I6),CDS_Entities!I6,0)))</f>
        <v/>
      </c>
      <c r="H13" s="185">
        <f>IF($A8=0,0,IF(ISNUMBER(H8),H8,IF(ISNUMBER(CDS_Entities!J6),CDS_Entities!J6,0)))</f>
        <v/>
      </c>
      <c r="I13" s="185">
        <f>IF($A8=0,0,IF(ISNUMBER(I8),I8,IF(ISNUMBER(CDS_Entities!K6),CDS_Entities!K6,0)))</f>
        <v/>
      </c>
      <c r="J13" s="185">
        <f>IF($A8=0,0,IF(ISNUMBER(J8),J8,IF(ISNUMBER(CDS_Entities!L6),CDS_Entities!L6,0)))</f>
        <v/>
      </c>
      <c r="K13" s="185">
        <f>IF($A8=0,0,IF(ISNUMBER(K8),K8,IF(ISNUMBER(CDS_Entities!M6),CDS_Entities!M6,0)))</f>
        <v/>
      </c>
    </row>
  </sheetData>
  <dataValidations count="1">
    <dataValidation sqref="B4" showDropDown="0" showInputMessage="0" showErrorMessage="0" allowBlank="0" type="list">
      <formula1>"China CITIC Bank Intl,DEMO curve (not market)"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is the pasted snapshot. Hazard and survival come out of the strip.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 — same objective, same inputs</t>
        </is>
      </c>
    </row>
    <row r="2">
      <c r="A2" s="65" t="inlineStr">
        <is>
          <t>Both solve (3.3): f(h) = (1-R)*ProtCum - S*(RPV01Cum - D0*D(Ts)). Only the root-finder differs. Columns D:F need the VBA module.</t>
        </is>
      </c>
    </row>
    <row r="3">
      <c r="A3" s="66" t="inlineStr">
        <is>
          <t>Import: Alt+F11 &gt; File &gt; Import File &gt; bloomberg/vba/CDSBrent.bas, then save as .xlsm. Until then D:F read 'module not loaded' — the workbook is .xlsx and stays fully functional without it.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is the better root-finder and it is not close — 8-13 iterations to machine precision against 30 to 1e-9. But the accuracy is not the binding constraint: our strip already reprices to ~1e-5 bp, which is set by the quarterly discretisation, not by the solver. Going to 1e-17 changes no price.</t>
        </is>
      </c>
    </row>
    <row r="31">
      <c r="A31" s="65" t="inlineStr">
        <is>
          <t>What it would actually buy is ~3,600 cells back and a faster recalc. What it costs is the working — the reason the bisection is laid out as rows is that every halving is inspectable, which is what was asked for. A UDF is a black box.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One genuine functional gain worth stealing: Brent returns #NUM! when the quote is unbracketed on [0,3], where the bisection pins at a bracket end and looks converged. That is deliverable D8 and can be added to the in-cell version without VBA.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186" t="n">
        <v>46224</v>
      </c>
    </row>
    <row r="6">
      <c r="K6" s="13" t="inlineStr">
        <is>
          <t>Curve grid - snapshot from the SOFR bootstrap</t>
        </is>
      </c>
      <c r="M6" s="177" t="inlineStr">
        <is>
          <t>pasted 07/21/2026, not linked</t>
        </is>
      </c>
      <c r="N6" s="177" t="inlineStr">
        <is>
          <t>drives every date on the CDS sheets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 t="n">
        <v>46226</v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43" t="n">
        <v>46233</v>
      </c>
      <c r="L9" s="144" t="n">
        <v>0.999091426257</v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 t="n">
        <v>46240</v>
      </c>
      <c r="L10" s="36" t="n">
        <v>0.998370083188</v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 t="n">
        <v>46247</v>
      </c>
      <c r="L11" s="36" t="n">
        <v>0.997649704403</v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 t="n">
        <v>46258</v>
      </c>
      <c r="L12" s="36" t="n">
        <v>0.996520959865</v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 t="n">
        <v>46288</v>
      </c>
      <c r="L13" s="36" t="n">
        <v>0.993425641561</v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 t="n">
        <v>46318</v>
      </c>
      <c r="L14" s="36" t="n">
        <v>0.990238626466</v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 t="n">
        <v>46349</v>
      </c>
      <c r="L15" s="36" t="n">
        <v>0.986906864263</v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 t="n">
        <v>46379</v>
      </c>
      <c r="L16" s="36" t="n">
        <v>0.983643081173</v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 t="n">
        <v>46412</v>
      </c>
      <c r="L17" s="36" t="n">
        <v>0.979999729956</v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 t="n">
        <v>46441</v>
      </c>
      <c r="L18" s="36" t="n">
        <v>0.976792879929</v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 t="n">
        <v>46469</v>
      </c>
      <c r="L19" s="36" t="n">
        <v>0.973694329154</v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 t="n">
        <v>46500</v>
      </c>
      <c r="L20" s="36" t="n">
        <v>0.970240743572</v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 t="n">
        <v>46531</v>
      </c>
      <c r="L21" s="36" t="n">
        <v>0.966785661018</v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 t="n">
        <v>46561</v>
      </c>
      <c r="L22" s="36" t="n">
        <v>0.963452368418</v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 t="n">
        <v>46591</v>
      </c>
      <c r="L23" s="36" t="n">
        <v>0.960131959256</v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 t="n">
        <v>46776</v>
      </c>
      <c r="L24" s="36" t="n">
        <v>0.940192848138</v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 t="n">
        <v>46958</v>
      </c>
      <c r="L25" s="36" t="n">
        <v>0.921422244824</v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 t="n">
        <v>47322</v>
      </c>
      <c r="L26" s="36" t="n">
        <v>0.885314762367</v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 t="n">
        <v>47687</v>
      </c>
      <c r="L27" s="36" t="n">
        <v>0.850528545612</v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 t="n">
        <v>48052</v>
      </c>
      <c r="L28" s="36" t="n">
        <v>0.816635491704</v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 t="n">
        <v>48418</v>
      </c>
      <c r="L29" s="36" t="n">
        <v>0.783279937952</v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 t="n">
        <v>48785</v>
      </c>
      <c r="L30" s="36" t="n">
        <v>0.750566447936</v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 t="n">
        <v>49149</v>
      </c>
      <c r="L31" s="36" t="n">
        <v>0.718863905471</v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 t="n">
        <v>49513</v>
      </c>
      <c r="L32" s="36" t="n">
        <v>0.6878698307360001</v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 t="n">
        <v>49879</v>
      </c>
      <c r="L33" s="36" t="n">
        <v>0.657456920028</v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 t="n">
        <v>50244</v>
      </c>
      <c r="L34" s="36" t="n">
        <v>0.627649723811</v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 t="n">
        <v>50609</v>
      </c>
      <c r="L35" s="36" t="n">
        <v>0.599193899706</v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 t="n">
        <v>50976</v>
      </c>
      <c r="L36" s="36" t="n">
        <v>0.571081435815</v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 t="n">
        <v>51340</v>
      </c>
      <c r="L37" s="36" t="n">
        <v>0.544501770614</v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 t="n">
        <v>51705</v>
      </c>
      <c r="L38" s="36" t="n">
        <v>0.519091222417</v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 t="n">
        <v>52070</v>
      </c>
      <c r="L39" s="36" t="n">
        <v>0.495172865974</v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 t="n">
        <v>52435</v>
      </c>
      <c r="L40" s="36" t="n">
        <v>0.472356604404</v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 t="n">
        <v>52803</v>
      </c>
      <c r="L41" s="27" t="n">
        <v>0.450416986146</v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 t="n">
        <v>53167</v>
      </c>
      <c r="L42" s="27" t="n">
        <v>0.429718491004</v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 t="n">
        <v>53531</v>
      </c>
      <c r="L43" s="27" t="n">
        <v>0.409971176023</v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 t="n">
        <v>53896</v>
      </c>
      <c r="L44" s="27" t="n">
        <v>0.392507507974</v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 t="n">
        <v>54262</v>
      </c>
      <c r="L45" s="27" t="n">
        <v>0.375742930053</v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 t="n">
        <v>54627</v>
      </c>
      <c r="L46" s="27" t="n">
        <v>0.359737293106</v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 t="n">
        <v>54994</v>
      </c>
      <c r="L47" s="27" t="n">
        <v>0.344331311056</v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 t="n">
        <v>55358</v>
      </c>
      <c r="L48" s="27" t="n">
        <v>0.329703043692</v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 t="n">
        <v>55723</v>
      </c>
      <c r="L49" s="27" t="n">
        <v>0.316927094311</v>
      </c>
    </row>
    <row r="50">
      <c r="K50" s="47" t="n">
        <v>56088</v>
      </c>
      <c r="L50" s="27" t="n">
        <v>0.304646211281</v>
      </c>
    </row>
    <row r="51">
      <c r="K51" s="47" t="n">
        <v>56453</v>
      </c>
      <c r="L51" s="27" t="n">
        <v>0.292841210846</v>
      </c>
    </row>
    <row r="52">
      <c r="K52" s="47" t="n">
        <v>56818</v>
      </c>
      <c r="L52" s="27" t="n">
        <v>0.281493652618</v>
      </c>
    </row>
    <row r="53">
      <c r="K53" s="47" t="n">
        <v>57185</v>
      </c>
      <c r="L53" s="27" t="n">
        <v>0.270527221394</v>
      </c>
    </row>
    <row r="54">
      <c r="K54" s="47" t="n">
        <v>57549</v>
      </c>
      <c r="L54" s="27" t="n">
        <v>0.261564982269</v>
      </c>
    </row>
    <row r="55">
      <c r="K55" s="47" t="n">
        <v>57914</v>
      </c>
      <c r="L55" s="27" t="n">
        <v>0.252876245255</v>
      </c>
    </row>
    <row r="56">
      <c r="K56" s="47" t="n">
        <v>58279</v>
      </c>
      <c r="L56" s="27" t="n">
        <v>0.24447613308</v>
      </c>
    </row>
    <row r="57">
      <c r="K57" s="47" t="n">
        <v>58645</v>
      </c>
      <c r="L57" s="27" t="n">
        <v>0.236333183324</v>
      </c>
    </row>
    <row r="58">
      <c r="K58" s="47" t="n">
        <v>59012</v>
      </c>
      <c r="L58" s="27" t="n">
        <v>0.228440312653</v>
      </c>
    </row>
    <row r="59">
      <c r="K59" s="47" t="n">
        <v>59376</v>
      </c>
      <c r="L59" s="27" t="n">
        <v>0.220872361829</v>
      </c>
    </row>
    <row r="60">
      <c r="K60" s="47" t="n">
        <v>59740</v>
      </c>
      <c r="L60" s="27" t="n">
        <v>0.213555128049</v>
      </c>
    </row>
    <row r="61">
      <c r="K61" s="47" t="n">
        <v>60106</v>
      </c>
      <c r="L61" s="27" t="n">
        <v>0.206442087377</v>
      </c>
    </row>
    <row r="62">
      <c r="K62" s="47" t="n">
        <v>60471</v>
      </c>
      <c r="L62" s="27" t="n">
        <v>0.199584437739</v>
      </c>
    </row>
    <row r="63">
      <c r="K63" s="47" t="n">
        <v>60836</v>
      </c>
      <c r="L63" s="27" t="n">
        <v>0.19295458738</v>
      </c>
    </row>
    <row r="64">
      <c r="K64" s="47" t="n">
        <v>61203</v>
      </c>
      <c r="L64" s="27" t="n">
        <v>0.18790374831</v>
      </c>
    </row>
    <row r="65">
      <c r="K65" s="47" t="n">
        <v>61567</v>
      </c>
      <c r="L65" s="27" t="n">
        <v>0.183024801744</v>
      </c>
    </row>
    <row r="66">
      <c r="K66" s="47" t="n">
        <v>61932</v>
      </c>
      <c r="L66" s="27" t="n">
        <v>0.178259653471</v>
      </c>
    </row>
    <row r="67">
      <c r="K67" s="47" t="n">
        <v>62297</v>
      </c>
      <c r="L67" s="27" t="n">
        <v>0.173618568373</v>
      </c>
    </row>
    <row r="68">
      <c r="K68" s="47" t="n">
        <v>62662</v>
      </c>
      <c r="L68" s="27" t="n">
        <v>0.169098316399</v>
      </c>
    </row>
    <row r="69">
      <c r="K69" s="47" t="n">
        <v>63030</v>
      </c>
      <c r="L69" s="27" t="n">
        <v>0.164660045199</v>
      </c>
    </row>
    <row r="70">
      <c r="K70" s="47" t="n">
        <v>63394</v>
      </c>
      <c r="L70" s="27" t="n">
        <v>0.160384624568</v>
      </c>
    </row>
    <row r="71">
      <c r="K71" s="47" t="n">
        <v>63758</v>
      </c>
      <c r="L71" s="27" t="n">
        <v>0.156220215819</v>
      </c>
    </row>
    <row r="72">
      <c r="K72" s="47" t="n">
        <v>64123</v>
      </c>
      <c r="L72" s="27" t="n">
        <v>0.152152939228</v>
      </c>
    </row>
    <row r="73">
      <c r="K73" s="47" t="n">
        <v>64489</v>
      </c>
      <c r="L73" s="27" t="n">
        <v>0.148180846161</v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 —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 —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 — Help Desk H#1330731572</t>
        </is>
      </c>
      <c r="AR3" s="67" t="inlineStr">
        <is>
          <t>IN USE  =  live if it resolved, else manual, else 0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 t="inlineStr">
        <is>
          <t>China CITIC Bank Intl</t>
        </is>
      </c>
      <c r="B5" s="68" t="inlineStr"/>
      <c r="C5" s="68" t="inlineStr">
        <is>
          <t>USD</t>
        </is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IF(ISNUMBER(AG5),AG5,IF(ISNUMBER(H5),H5,0))</f>
        <v/>
      </c>
      <c r="AS5" s="133">
        <f>IF(ISNUMBER(AI5),AI5,IF(ISNUMBER(I5),I5,0))</f>
        <v/>
      </c>
      <c r="AT5" s="133">
        <f>IF(ISNUMBER(AK5),AK5,IF(ISNUMBER(J5),J5,0))</f>
        <v/>
      </c>
      <c r="AU5" s="133">
        <f>IF(ISNUMBER(AM5),AM5,IF(ISNUMBER(K5),K5,0))</f>
        <v/>
      </c>
      <c r="AV5" s="133">
        <f>IF(ISNUMBER(AO5),AO5,IF(ISNUMBER(L5),L5,0))</f>
        <v/>
      </c>
      <c r="AW5" s="133">
        <f>IF(ISNUMBER(AQ5),AQ5,IF(ISNUMBER(M5),M5,0))</f>
        <v/>
      </c>
    </row>
    <row r="6">
      <c r="A6" s="68" t="inlineStr">
        <is>
          <t>DEMO curve (not market)</t>
        </is>
      </c>
      <c r="B6" s="68" t="n"/>
      <c r="C6" s="68" t="inlineStr">
        <is>
          <t>USD</t>
        </is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IF(ISNUMBER(AG6),AG6,IF(ISNUMBER(H6),H6,0))</f>
        <v/>
      </c>
      <c r="AS6" s="133">
        <f>IF(ISNUMBER(AI6),AI6,IF(ISNUMBER(I6),I6,0))</f>
        <v/>
      </c>
      <c r="AT6" s="133">
        <f>IF(ISNUMBER(AK6),AK6,IF(ISNUMBER(J6),J6,0))</f>
        <v/>
      </c>
      <c r="AU6" s="133">
        <f>IF(ISNUMBER(AM6),AM6,IF(ISNUMBER(K6),K6,0))</f>
        <v/>
      </c>
      <c r="AV6" s="133">
        <f>IF(ISNUMBER(AO6),AO6,IF(ISNUMBER(L6),L6,0))</f>
        <v/>
      </c>
      <c r="AW6" s="133">
        <f>IF(ISNUMBER(AQ6),AQ6,IF(ISNUMBER(M6),M6,0))</f>
        <v/>
      </c>
    </row>
    <row r="7">
      <c r="A7" s="68" t="n"/>
      <c r="B7" s="68" t="n"/>
      <c r="C7" s="68" t="n"/>
      <c r="D7" s="68" t="n"/>
      <c r="E7" s="68" t="n"/>
      <c r="F7" s="147" t="n"/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IF(ISNUMBER(AG7),AG7,IF(ISNUMBER(H7),H7,0))</f>
        <v/>
      </c>
      <c r="AS7" s="133">
        <f>IF(ISNUMBER(AI7),AI7,IF(ISNUMBER(I7),I7,0))</f>
        <v/>
      </c>
      <c r="AT7" s="133">
        <f>IF(ISNUMBER(AK7),AK7,IF(ISNUMBER(J7),J7,0))</f>
        <v/>
      </c>
      <c r="AU7" s="133">
        <f>IF(ISNUMBER(AM7),AM7,IF(ISNUMBER(K7),K7,0))</f>
        <v/>
      </c>
      <c r="AV7" s="133">
        <f>IF(ISNUMBER(AO7),AO7,IF(ISNUMBER(L7),L7,0))</f>
        <v/>
      </c>
      <c r="AW7" s="133">
        <f>IF(ISNUMBER(AQ7),AQ7,IF(ISNUMBER(M7),M7,0))</f>
        <v/>
      </c>
    </row>
    <row r="8">
      <c r="A8" s="68" t="n"/>
      <c r="B8" s="68" t="n"/>
      <c r="C8" s="68" t="n"/>
      <c r="D8" s="68" t="n"/>
      <c r="E8" s="68" t="n"/>
      <c r="F8" s="147" t="n"/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IF(ISNUMBER(AG8),AG8,IF(ISNUMBER(H8),H8,0))</f>
        <v/>
      </c>
      <c r="AS8" s="133">
        <f>IF(ISNUMBER(AI8),AI8,IF(ISNUMBER(I8),I8,0))</f>
        <v/>
      </c>
      <c r="AT8" s="133">
        <f>IF(ISNUMBER(AK8),AK8,IF(ISNUMBER(J8),J8,0))</f>
        <v/>
      </c>
      <c r="AU8" s="133">
        <f>IF(ISNUMBER(AM8),AM8,IF(ISNUMBER(K8),K8,0))</f>
        <v/>
      </c>
      <c r="AV8" s="133">
        <f>IF(ISNUMBER(AO8),AO8,IF(ISNUMBER(L8),L8,0))</f>
        <v/>
      </c>
      <c r="AW8" s="133">
        <f>IF(ISNUMBER(AQ8),AQ8,IF(ISNUMBER(M8),M8,0))</f>
        <v/>
      </c>
    </row>
    <row r="9">
      <c r="A9" s="68" t="n"/>
      <c r="B9" s="68" t="n"/>
      <c r="C9" s="68" t="n"/>
      <c r="D9" s="68" t="n"/>
      <c r="E9" s="68" t="n"/>
      <c r="F9" s="147" t="n"/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IF(ISNUMBER(AG9),AG9,IF(ISNUMBER(H9),H9,0))</f>
        <v/>
      </c>
      <c r="AS9" s="133">
        <f>IF(ISNUMBER(AI9),AI9,IF(ISNUMBER(I9),I9,0))</f>
        <v/>
      </c>
      <c r="AT9" s="133">
        <f>IF(ISNUMBER(AK9),AK9,IF(ISNUMBER(J9),J9,0))</f>
        <v/>
      </c>
      <c r="AU9" s="133">
        <f>IF(ISNUMBER(AM9),AM9,IF(ISNUMBER(K9),K9,0))</f>
        <v/>
      </c>
      <c r="AV9" s="133">
        <f>IF(ISNUMBER(AO9),AO9,IF(ISNUMBER(L9),L9,0))</f>
        <v/>
      </c>
      <c r="AW9" s="133">
        <f>IF(ISNUMBER(AQ9),AQ9,IF(ISNUMBER(M9),M9,0))</f>
        <v/>
      </c>
    </row>
    <row r="10">
      <c r="A10" s="68" t="n"/>
      <c r="B10" s="68" t="n"/>
      <c r="C10" s="68" t="n"/>
      <c r="D10" s="68" t="n"/>
      <c r="E10" s="68" t="n"/>
      <c r="F10" s="147" t="n"/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IF(ISNUMBER(AG10),AG10,IF(ISNUMBER(H10),H10,0))</f>
        <v/>
      </c>
      <c r="AS10" s="133">
        <f>IF(ISNUMBER(AI10),AI10,IF(ISNUMBER(I10),I10,0))</f>
        <v/>
      </c>
      <c r="AT10" s="133">
        <f>IF(ISNUMBER(AK10),AK10,IF(ISNUMBER(J10),J10,0))</f>
        <v/>
      </c>
      <c r="AU10" s="133">
        <f>IF(ISNUMBER(AM10),AM10,IF(ISNUMBER(K10),K10,0))</f>
        <v/>
      </c>
      <c r="AV10" s="133">
        <f>IF(ISNUMBER(AO10),AO10,IF(ISNUMBER(L10),L10,0))</f>
        <v/>
      </c>
      <c r="AW10" s="133">
        <f>IF(ISNUMBER(AQ10),AQ10,IF(ISNUMBER(M10),M10,0))</f>
        <v/>
      </c>
    </row>
    <row r="11">
      <c r="A11" s="68" t="n"/>
      <c r="B11" s="68" t="n"/>
      <c r="C11" s="68" t="n"/>
      <c r="D11" s="68" t="n"/>
      <c r="E11" s="68" t="n"/>
      <c r="F11" s="147" t="n"/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IF(ISNUMBER(AG11),AG11,IF(ISNUMBER(H11),H11,0))</f>
        <v/>
      </c>
      <c r="AS11" s="133">
        <f>IF(ISNUMBER(AI11),AI11,IF(ISNUMBER(I11),I11,0))</f>
        <v/>
      </c>
      <c r="AT11" s="133">
        <f>IF(ISNUMBER(AK11),AK11,IF(ISNUMBER(J11),J11,0))</f>
        <v/>
      </c>
      <c r="AU11" s="133">
        <f>IF(ISNUMBER(AM11),AM11,IF(ISNUMBER(K11),K11,0))</f>
        <v/>
      </c>
      <c r="AV11" s="133">
        <f>IF(ISNUMBER(AO11),AO11,IF(ISNUMBER(L11),L11,0))</f>
        <v/>
      </c>
      <c r="AW11" s="133">
        <f>IF(ISNUMBER(AQ11),AQ11,IF(ISNUMBER(M11),M11,0))</f>
        <v/>
      </c>
    </row>
    <row r="12">
      <c r="A12" s="68" t="n"/>
      <c r="B12" s="68" t="n"/>
      <c r="C12" s="68" t="n"/>
      <c r="D12" s="68" t="n"/>
      <c r="E12" s="68" t="n"/>
      <c r="F12" s="147" t="n"/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IF(ISNUMBER(AG12),AG12,IF(ISNUMBER(H12),H12,0))</f>
        <v/>
      </c>
      <c r="AS12" s="133">
        <f>IF(ISNUMBER(AI12),AI12,IF(ISNUMBER(I12),I12,0))</f>
        <v/>
      </c>
      <c r="AT12" s="133">
        <f>IF(ISNUMBER(AK12),AK12,IF(ISNUMBER(J12),J12,0))</f>
        <v/>
      </c>
      <c r="AU12" s="133">
        <f>IF(ISNUMBER(AM12),AM12,IF(ISNUMBER(K12),K12,0))</f>
        <v/>
      </c>
      <c r="AV12" s="133">
        <f>IF(ISNUMBER(AO12),AO12,IF(ISNUMBER(L12),L12,0))</f>
        <v/>
      </c>
      <c r="AW12" s="133">
        <f>IF(ISNUMBER(AQ12),AQ12,IF(ISNUMBER(M12),M12,0))</f>
        <v/>
      </c>
    </row>
    <row r="13">
      <c r="A13" s="68" t="n"/>
      <c r="B13" s="68" t="n"/>
      <c r="C13" s="68" t="n"/>
      <c r="D13" s="68" t="n"/>
      <c r="E13" s="68" t="n"/>
      <c r="F13" s="147" t="n"/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IF(ISNUMBER(AG13),AG13,IF(ISNUMBER(H13),H13,0))</f>
        <v/>
      </c>
      <c r="AS13" s="133">
        <f>IF(ISNUMBER(AI13),AI13,IF(ISNUMBER(I13),I13,0))</f>
        <v/>
      </c>
      <c r="AT13" s="133">
        <f>IF(ISNUMBER(AK13),AK13,IF(ISNUMBER(J13),J13,0))</f>
        <v/>
      </c>
      <c r="AU13" s="133">
        <f>IF(ISNUMBER(AM13),AM13,IF(ISNUMBER(K13),K13,0))</f>
        <v/>
      </c>
      <c r="AV13" s="133">
        <f>IF(ISNUMBER(AO13),AO13,IF(ISNUMBER(L13),L13,0))</f>
        <v/>
      </c>
      <c r="AW13" s="133">
        <f>IF(ISNUMBER(AQ13),AQ13,IF(ISNUMBER(M13),M13,0))</f>
        <v/>
      </c>
    </row>
    <row r="14">
      <c r="A14" s="68" t="n"/>
      <c r="B14" s="68" t="n"/>
      <c r="C14" s="68" t="n"/>
      <c r="D14" s="68" t="n"/>
      <c r="E14" s="68" t="n"/>
      <c r="F14" s="147" t="n"/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IF(ISNUMBER(AG14),AG14,IF(ISNUMBER(H14),H14,0))</f>
        <v/>
      </c>
      <c r="AS14" s="133">
        <f>IF(ISNUMBER(AI14),AI14,IF(ISNUMBER(I14),I14,0))</f>
        <v/>
      </c>
      <c r="AT14" s="133">
        <f>IF(ISNUMBER(AK14),AK14,IF(ISNUMBER(J14),J14,0))</f>
        <v/>
      </c>
      <c r="AU14" s="133">
        <f>IF(ISNUMBER(AM14),AM14,IF(ISNUMBER(K14),K14,0))</f>
        <v/>
      </c>
      <c r="AV14" s="133">
        <f>IF(ISNUMBER(AO14),AO14,IF(ISNUMBER(L14),L14,0))</f>
        <v/>
      </c>
      <c r="AW14" s="133">
        <f>IF(ISNUMBER(AQ14),AQ14,IF(ISNUMBER(M14),M14,0))</f>
        <v/>
      </c>
    </row>
    <row r="16">
      <c r="A16" s="66" t="inlineStr">
        <is>
          <t>Row 5 is the reference screen already on file. Only its 5Y spread is known —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 t="inlineStr">
        <is>
          <t>DEMO curve (not market)</t>
        </is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2026-07-22T11:32:11Z</dcterms:modified>
</cp:coreProperties>
</file>