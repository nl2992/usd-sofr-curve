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Model_Notes" sheetId="3" state="visible" r:id="rId3"/>
    <sheet xmlns:r="http://schemas.openxmlformats.org/officeDocument/2006/relationships" name="Root_Methods" sheetId="4" state="visible" r:id="rId4"/>
    <sheet xmlns:r="http://schemas.openxmlformats.org/officeDocument/2006/relationships" name="Brent_vs_Bisection" sheetId="5" state="visible" r:id="rId5"/>
    <sheet xmlns:r="http://schemas.openxmlformats.org/officeDocument/2006/relationships" name="Curve_Interface" sheetId="6" state="visible" r:id="rId6"/>
    <sheet xmlns:r="http://schemas.openxmlformats.org/officeDocument/2006/relationships" name="CDS_Entities" sheetId="7" state="visible" r:id="rId7"/>
    <sheet xmlns:r="http://schemas.openxmlformats.org/officeDocument/2006/relationships" name="CDS_Parameters" sheetId="8" state="visible" r:id="rId8"/>
    <sheet xmlns:r="http://schemas.openxmlformats.org/officeDocument/2006/relationships" name="CDS_Quotes" sheetId="9" state="visible" r:id="rId9"/>
    <sheet xmlns:r="http://schemas.openxmlformats.org/officeDocument/2006/relationships" name="Hazard_Bootstrap" sheetId="10" state="visible" r:id="rId10"/>
    <sheet xmlns:r="http://schemas.openxmlformats.org/officeDocument/2006/relationships" name="Hazard_Solver" sheetId="11" state="hidden" r:id="rId11"/>
    <sheet xmlns:r="http://schemas.openxmlformats.org/officeDocument/2006/relationships" name="CDS_Schedule" sheetId="12" state="visible" r:id="rId12"/>
    <sheet xmlns:r="http://schemas.openxmlformats.org/officeDocument/2006/relationships" name="CDS_Pricer" sheetId="13" state="visible" r:id="rId13"/>
    <sheet xmlns:r="http://schemas.openxmlformats.org/officeDocument/2006/relationships" name="CDS_Validation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0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'Curves'!$D$6:$D$70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Discount factors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'Curves'!$C$6:$C$70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(piecewise constant) and survival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'Curves'!$B$75:$B$80</f>
            </numRef>
          </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'Curves'!$C$75:$C$80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term structure - market vs model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7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On = 0 takes a name out. Overrides beat the BDP pull; blank uses the pull.</t>
        </is>
      </c>
    </row>
    <row r="4">
      <c r="A4" s="67" t="inlineStr">
        <is>
          <t>Live name</t>
        </is>
      </c>
      <c r="B4" s="178" t="inlineStr">
        <is>
          <t>China CITIC Bank Intl</t>
        </is>
      </c>
      <c r="C4" s="177" t="inlineStr">
        <is>
          <t>only this name is stripped</t>
        </is>
      </c>
    </row>
    <row r="5">
      <c r="F5" s="177" t="inlineStr">
        <is>
          <t>override spreads (bp)</t>
        </is>
      </c>
    </row>
    <row r="6">
      <c r="A6" s="179" t="inlineStr">
        <is>
          <t>On</t>
        </is>
      </c>
      <c r="B6" s="179" t="inlineStr">
        <is>
          <t>Entity</t>
        </is>
      </c>
      <c r="C6" s="179" t="inlineStr">
        <is>
          <t>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80">
        <f>CDS_Entities!A5</f>
        <v/>
      </c>
      <c r="C7" s="180">
        <f>CDS_Entities!B5</f>
        <v/>
      </c>
      <c r="D7" s="180">
        <f>CDS_Entities!C5</f>
        <v/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80">
        <f>CDS_Entities!A6</f>
        <v/>
      </c>
      <c r="C8" s="180">
        <f>CDS_Entities!B6</f>
        <v/>
      </c>
      <c r="D8" s="180">
        <f>CDS_Entities!C6</f>
        <v/>
      </c>
      <c r="E8" s="181" t="n"/>
      <c r="F8" s="182" t="n"/>
      <c r="G8" s="182" t="n"/>
      <c r="H8" s="182" t="n"/>
      <c r="I8" s="182" t="n"/>
      <c r="J8" s="182" t="n"/>
      <c r="K8" s="182" t="n"/>
    </row>
    <row r="10">
      <c r="A10" s="67" t="inlineStr">
        <is>
          <t>Effective (what the strip uses)</t>
        </is>
      </c>
    </row>
    <row r="11">
      <c r="B11" s="183" t="inlineStr">
        <is>
          <t>Entity</t>
        </is>
      </c>
      <c r="E11" s="183" t="inlineStr">
        <is>
          <t>Recovery</t>
        </is>
      </c>
      <c r="F11" s="183" t="inlineStr">
        <is>
          <t>1Y</t>
        </is>
      </c>
      <c r="G11" s="183" t="inlineStr">
        <is>
          <t>2Y</t>
        </is>
      </c>
      <c r="H11" s="183" t="inlineStr">
        <is>
          <t>3Y</t>
        </is>
      </c>
      <c r="I11" s="183" t="inlineStr">
        <is>
          <t>5Y</t>
        </is>
      </c>
      <c r="J11" s="183" t="inlineStr">
        <is>
          <t>7Y</t>
        </is>
      </c>
      <c r="K11" s="183" t="inlineStr">
        <is>
          <t>10Y</t>
        </is>
      </c>
    </row>
    <row r="12">
      <c r="A12" s="184" t="n"/>
      <c r="B12" s="184">
        <f>B7</f>
        <v/>
      </c>
      <c r="C12" s="184" t="n"/>
      <c r="D12" s="184" t="n"/>
      <c r="E12" s="184">
        <f>IF($A7=0,"off",IF(ISNUMBER(E7),E7,CDS_Entities!F5))</f>
        <v/>
      </c>
      <c r="F12" s="185">
        <f>IF($A7=0,0,IF(ISNUMBER(F7),F7,IF(ISNUMBER(CDS_Entities!H5),CDS_Entities!H5,0)))</f>
        <v/>
      </c>
      <c r="G12" s="185">
        <f>IF($A7=0,0,IF(ISNUMBER(G7),G7,IF(ISNUMBER(CDS_Entities!I5),CDS_Entities!I5,0)))</f>
        <v/>
      </c>
      <c r="H12" s="185">
        <f>IF($A7=0,0,IF(ISNUMBER(H7),H7,IF(ISNUMBER(CDS_Entities!J5),CDS_Entities!J5,0)))</f>
        <v/>
      </c>
      <c r="I12" s="185">
        <f>IF($A7=0,0,IF(ISNUMBER(I7),I7,IF(ISNUMBER(CDS_Entities!K5),CDS_Entities!K5,0)))</f>
        <v/>
      </c>
      <c r="J12" s="185">
        <f>IF($A7=0,0,IF(ISNUMBER(J7),J7,IF(ISNUMBER(CDS_Entities!L5),CDS_Entities!L5,0)))</f>
        <v/>
      </c>
      <c r="K12" s="185">
        <f>IF($A7=0,0,IF(ISNUMBER(K7),K7,IF(ISNUMBER(CDS_Entities!M5),CDS_Entities!M5,0)))</f>
        <v/>
      </c>
    </row>
    <row r="13">
      <c r="A13" s="184" t="n"/>
      <c r="B13" s="184">
        <f>B8</f>
        <v/>
      </c>
      <c r="C13" s="184" t="n"/>
      <c r="D13" s="184" t="n"/>
      <c r="E13" s="184">
        <f>IF($A8=0,"off",IF(ISNUMBER(E8),E8,CDS_Entities!F6))</f>
        <v/>
      </c>
      <c r="F13" s="185">
        <f>IF($A8=0,0,IF(ISNUMBER(F8),F8,IF(ISNUMBER(CDS_Entities!H6),CDS_Entities!H6,0)))</f>
        <v/>
      </c>
      <c r="G13" s="185">
        <f>IF($A8=0,0,IF(ISNUMBER(G8),G8,IF(ISNUMBER(CDS_Entities!I6),CDS_Entities!I6,0)))</f>
        <v/>
      </c>
      <c r="H13" s="185">
        <f>IF($A8=0,0,IF(ISNUMBER(H8),H8,IF(ISNUMBER(CDS_Entities!J6),CDS_Entities!J6,0)))</f>
        <v/>
      </c>
      <c r="I13" s="185">
        <f>IF($A8=0,0,IF(ISNUMBER(I8),I8,IF(ISNUMBER(CDS_Entities!K6),CDS_Entities!K6,0)))</f>
        <v/>
      </c>
      <c r="J13" s="185">
        <f>IF($A8=0,0,IF(ISNUMBER(J8),J8,IF(ISNUMBER(CDS_Entities!L6),CDS_Entities!L6,0)))</f>
        <v/>
      </c>
      <c r="K13" s="185">
        <f>IF($A8=0,0,IF(ISNUMBER(K8),K8,IF(ISNUMBER(CDS_Entities!M6),CDS_Entities!M6,0)))</f>
        <v/>
      </c>
    </row>
  </sheetData>
  <dataValidations count="1">
    <dataValidation sqref="B4" showDropDown="0" showInputMessage="0" showErrorMessage="0" allowBlank="0" type="list">
      <formula1>"China CITIC Bank Intl,DEMO curve (not market)"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is the pasted snapshot. Hazard and survival come from the strip.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snapshot from the SOFR bootstrap</t>
        </is>
      </c>
      <c r="M6" s="177" t="inlineStr">
        <is>
          <t>pasted 07/21/2026, not linked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 t="n">
        <v>46226</v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 t="n">
        <v>46233</v>
      </c>
      <c r="L9" s="144" t="n">
        <v>0.999091426257</v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 t="n">
        <v>46240</v>
      </c>
      <c r="L10" s="36" t="n">
        <v>0.998370083188</v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 t="n">
        <v>46247</v>
      </c>
      <c r="L11" s="36" t="n">
        <v>0.997649704403</v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 t="n">
        <v>46258</v>
      </c>
      <c r="L12" s="36" t="n">
        <v>0.996520959865</v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 t="n">
        <v>46288</v>
      </c>
      <c r="L13" s="36" t="n">
        <v>0.993425641561</v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 t="n">
        <v>46318</v>
      </c>
      <c r="L14" s="36" t="n">
        <v>0.990238626466</v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 t="n">
        <v>46349</v>
      </c>
      <c r="L15" s="36" t="n">
        <v>0.986906864263</v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 t="n">
        <v>46379</v>
      </c>
      <c r="L16" s="36" t="n">
        <v>0.983643081173</v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 t="n">
        <v>46412</v>
      </c>
      <c r="L17" s="36" t="n">
        <v>0.979999729956</v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 t="n">
        <v>46441</v>
      </c>
      <c r="L18" s="36" t="n">
        <v>0.976792879929</v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 t="n">
        <v>46469</v>
      </c>
      <c r="L19" s="36" t="n">
        <v>0.973694329154</v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 t="n">
        <v>46500</v>
      </c>
      <c r="L20" s="36" t="n">
        <v>0.970240743572</v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 t="n">
        <v>46531</v>
      </c>
      <c r="L21" s="36" t="n">
        <v>0.966785661018</v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 t="n">
        <v>46561</v>
      </c>
      <c r="L22" s="36" t="n">
        <v>0.963452368418</v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 t="n">
        <v>46591</v>
      </c>
      <c r="L23" s="36" t="n">
        <v>0.960131959256</v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 t="n">
        <v>46776</v>
      </c>
      <c r="L24" s="36" t="n">
        <v>0.940192848138</v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 t="n">
        <v>46958</v>
      </c>
      <c r="L25" s="36" t="n">
        <v>0.921422244824</v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 t="n">
        <v>47322</v>
      </c>
      <c r="L26" s="36" t="n">
        <v>0.885314762367</v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 t="n">
        <v>47687</v>
      </c>
      <c r="L27" s="36" t="n">
        <v>0.850528545612</v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 t="n">
        <v>48052</v>
      </c>
      <c r="L28" s="36" t="n">
        <v>0.816635491704</v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 t="n">
        <v>48418</v>
      </c>
      <c r="L29" s="36" t="n">
        <v>0.783279937952</v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 t="n">
        <v>48785</v>
      </c>
      <c r="L30" s="36" t="n">
        <v>0.750566447936</v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 t="n">
        <v>49149</v>
      </c>
      <c r="L31" s="36" t="n">
        <v>0.718863905471</v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 t="n">
        <v>49513</v>
      </c>
      <c r="L32" s="36" t="n">
        <v>0.6878698307360001</v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 t="n">
        <v>49879</v>
      </c>
      <c r="L33" s="36" t="n">
        <v>0.657456920028</v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 t="n">
        <v>50244</v>
      </c>
      <c r="L34" s="36" t="n">
        <v>0.627649723811</v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 t="n">
        <v>50609</v>
      </c>
      <c r="L35" s="36" t="n">
        <v>0.599193899706</v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 t="n">
        <v>50976</v>
      </c>
      <c r="L36" s="36" t="n">
        <v>0.571081435815</v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 t="n">
        <v>51340</v>
      </c>
      <c r="L37" s="36" t="n">
        <v>0.544501770614</v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 t="n">
        <v>51705</v>
      </c>
      <c r="L38" s="36" t="n">
        <v>0.519091222417</v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 t="n">
        <v>52070</v>
      </c>
      <c r="L39" s="36" t="n">
        <v>0.495172865974</v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 t="n">
        <v>52435</v>
      </c>
      <c r="L40" s="36" t="n">
        <v>0.472356604404</v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 t="n">
        <v>52803</v>
      </c>
      <c r="L41" s="27" t="n">
        <v>0.450416986146</v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 t="n">
        <v>53167</v>
      </c>
      <c r="L42" s="27" t="n">
        <v>0.429718491004</v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 t="n">
        <v>53531</v>
      </c>
      <c r="L43" s="27" t="n">
        <v>0.409971176023</v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 t="n">
        <v>53896</v>
      </c>
      <c r="L44" s="27" t="n">
        <v>0.392507507974</v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 t="n">
        <v>54262</v>
      </c>
      <c r="L45" s="27" t="n">
        <v>0.375742930053</v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 t="n">
        <v>54627</v>
      </c>
      <c r="L46" s="27" t="n">
        <v>0.359737293106</v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 t="n">
        <v>54994</v>
      </c>
      <c r="L47" s="27" t="n">
        <v>0.344331311056</v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 t="n">
        <v>55358</v>
      </c>
      <c r="L48" s="27" t="n">
        <v>0.329703043692</v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 t="n">
        <v>55723</v>
      </c>
      <c r="L49" s="27" t="n">
        <v>0.316927094311</v>
      </c>
    </row>
    <row r="50">
      <c r="K50" s="47" t="n">
        <v>56088</v>
      </c>
      <c r="L50" s="27" t="n">
        <v>0.304646211281</v>
      </c>
    </row>
    <row r="51">
      <c r="K51" s="47" t="n">
        <v>56453</v>
      </c>
      <c r="L51" s="27" t="n">
        <v>0.292841210846</v>
      </c>
    </row>
    <row r="52">
      <c r="K52" s="47" t="n">
        <v>56818</v>
      </c>
      <c r="L52" s="27" t="n">
        <v>0.281493652618</v>
      </c>
    </row>
    <row r="53">
      <c r="K53" s="47" t="n">
        <v>57185</v>
      </c>
      <c r="L53" s="27" t="n">
        <v>0.270527221394</v>
      </c>
    </row>
    <row r="54">
      <c r="K54" s="47" t="n">
        <v>57549</v>
      </c>
      <c r="L54" s="27" t="n">
        <v>0.261564982269</v>
      </c>
    </row>
    <row r="55">
      <c r="K55" s="47" t="n">
        <v>57914</v>
      </c>
      <c r="L55" s="27" t="n">
        <v>0.252876245255</v>
      </c>
    </row>
    <row r="56">
      <c r="K56" s="47" t="n">
        <v>58279</v>
      </c>
      <c r="L56" s="27" t="n">
        <v>0.24447613308</v>
      </c>
    </row>
    <row r="57">
      <c r="K57" s="47" t="n">
        <v>58645</v>
      </c>
      <c r="L57" s="27" t="n">
        <v>0.236333183324</v>
      </c>
    </row>
    <row r="58">
      <c r="K58" s="47" t="n">
        <v>59012</v>
      </c>
      <c r="L58" s="27" t="n">
        <v>0.228440312653</v>
      </c>
    </row>
    <row r="59">
      <c r="K59" s="47" t="n">
        <v>59376</v>
      </c>
      <c r="L59" s="27" t="n">
        <v>0.220872361829</v>
      </c>
    </row>
    <row r="60">
      <c r="K60" s="47" t="n">
        <v>59740</v>
      </c>
      <c r="L60" s="27" t="n">
        <v>0.213555128049</v>
      </c>
    </row>
    <row r="61">
      <c r="K61" s="47" t="n">
        <v>60106</v>
      </c>
      <c r="L61" s="27" t="n">
        <v>0.206442087377</v>
      </c>
    </row>
    <row r="62">
      <c r="K62" s="47" t="n">
        <v>60471</v>
      </c>
      <c r="L62" s="27" t="n">
        <v>0.199584437739</v>
      </c>
    </row>
    <row r="63">
      <c r="K63" s="47" t="n">
        <v>60836</v>
      </c>
      <c r="L63" s="27" t="n">
        <v>0.19295458738</v>
      </c>
    </row>
    <row r="64">
      <c r="K64" s="47" t="n">
        <v>61203</v>
      </c>
      <c r="L64" s="27" t="n">
        <v>0.18790374831</v>
      </c>
    </row>
    <row r="65">
      <c r="K65" s="47" t="n">
        <v>61567</v>
      </c>
      <c r="L65" s="27" t="n">
        <v>0.183024801744</v>
      </c>
    </row>
    <row r="66">
      <c r="K66" s="47" t="n">
        <v>61932</v>
      </c>
      <c r="L66" s="27" t="n">
        <v>0.178259653471</v>
      </c>
    </row>
    <row r="67">
      <c r="K67" s="47" t="n">
        <v>62297</v>
      </c>
      <c r="L67" s="27" t="n">
        <v>0.173618568373</v>
      </c>
    </row>
    <row r="68">
      <c r="K68" s="47" t="n">
        <v>62662</v>
      </c>
      <c r="L68" s="27" t="n">
        <v>0.169098316399</v>
      </c>
    </row>
    <row r="69">
      <c r="K69" s="47" t="n">
        <v>63030</v>
      </c>
      <c r="L69" s="27" t="n">
        <v>0.164660045199</v>
      </c>
    </row>
    <row r="70">
      <c r="K70" s="47" t="n">
        <v>63394</v>
      </c>
      <c r="L70" s="27" t="n">
        <v>0.160384624568</v>
      </c>
    </row>
    <row r="71">
      <c r="K71" s="47" t="n">
        <v>63758</v>
      </c>
      <c r="L71" s="27" t="n">
        <v>0.156220215819</v>
      </c>
    </row>
    <row r="72">
      <c r="K72" s="47" t="n">
        <v>64123</v>
      </c>
      <c r="L72" s="27" t="n">
        <v>0.152152939228</v>
      </c>
    </row>
    <row r="73">
      <c r="K73" s="47" t="n">
        <v>64489</v>
      </c>
      <c r="L73" s="27" t="n">
        <v>0.148180846161</v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PULL: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2026-07-22T11:47:00Z</dcterms:modified>
</cp:coreProperties>
</file>