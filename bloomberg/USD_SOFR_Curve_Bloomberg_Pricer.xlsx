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hod" sheetId="2" state="visible" r:id="rId2"/>
    <sheet xmlns:r="http://schemas.openxmlformats.org/officeDocument/2006/relationships" name="Conventions" sheetId="3" state="visible" r:id="rId3"/>
    <sheet xmlns:r="http://schemas.openxmlformats.org/officeDocument/2006/relationships" name="SOFR_Fixings" sheetId="4" state="visible" r:id="rId4"/>
    <sheet xmlns:r="http://schemas.openxmlformats.org/officeDocument/2006/relationships" name="SOFR_OIS_Quotes" sheetId="5" state="visible" r:id="rId5"/>
    <sheet xmlns:r="http://schemas.openxmlformats.org/officeDocument/2006/relationships" name="SOFR_Futures" sheetId="6" state="visible" r:id="rId6"/>
    <sheet xmlns:r="http://schemas.openxmlformats.org/officeDocument/2006/relationships" name="S490_Snapshot" sheetId="7" state="visible" r:id="rId7"/>
    <sheet xmlns:r="http://schemas.openxmlformats.org/officeDocument/2006/relationships" name="Bootstrap" sheetId="8" state="visible" r:id="rId8"/>
    <sheet xmlns:r="http://schemas.openxmlformats.org/officeDocument/2006/relationships" name="Testing" sheetId="9" state="visible" r:id="rId9"/>
    <sheet xmlns:r="http://schemas.openxmlformats.org/officeDocument/2006/relationships" name="Brent_vs_Bisection" sheetId="10" state="visible" r:id="rId10"/>
    <sheet xmlns:r="http://schemas.openxmlformats.org/officeDocument/2006/relationships" name="Curve_Solver" sheetId="11" state="hidden" r:id="rId11"/>
    <sheet xmlns:r="http://schemas.openxmlformats.org/officeDocument/2006/relationships" name="Fwd_Interp" sheetId="12" state="visible" r:id="rId12"/>
    <sheet xmlns:r="http://schemas.openxmlformats.org/officeDocument/2006/relationships" name="Curve_Interface" sheetId="13" state="visible" r:id="rId13"/>
    <sheet xmlns:r="http://schemas.openxmlformats.org/officeDocument/2006/relationships" name="Swap_Pricer" sheetId="14" state="visible" r:id="rId14"/>
    <sheet xmlns:r="http://schemas.openxmlformats.org/officeDocument/2006/relationships" name="Bloomberg_S490_Validation" sheetId="15" state="visible" r:id="rId15"/>
    <sheet xmlns:r="http://schemas.openxmlformats.org/officeDocument/2006/relationships" name="Charts" sheetId="16" state="visible" r:id="rId16"/>
    <sheet xmlns:r="http://schemas.openxmlformats.org/officeDocument/2006/relationships" name="CDS_Entities" sheetId="17" state="visible" r:id="rId17"/>
    <sheet xmlns:r="http://schemas.openxmlformats.org/officeDocument/2006/relationships" name="CDS_Parameters" sheetId="18" state="visible" r:id="rId18"/>
    <sheet xmlns:r="http://schemas.openxmlformats.org/officeDocument/2006/relationships" name="CDS_Quotes" sheetId="19" state="visible" r:id="rId19"/>
    <sheet xmlns:r="http://schemas.openxmlformats.org/officeDocument/2006/relationships" name="Hazard_Bootstrap" sheetId="20" state="visible" r:id="rId20"/>
    <sheet xmlns:r="http://schemas.openxmlformats.org/officeDocument/2006/relationships" name="Hazard_Solver" sheetId="21" state="hidden" r:id="rId21"/>
    <sheet xmlns:r="http://schemas.openxmlformats.org/officeDocument/2006/relationships" name="CDS_Schedule" sheetId="22" state="visible" r:id="rId22"/>
    <sheet xmlns:r="http://schemas.openxmlformats.org/officeDocument/2006/relationships" name="CDS_Pricer" sheetId="23" state="visible" r:id="rId23"/>
    <sheet xmlns:r="http://schemas.openxmlformats.org/officeDocument/2006/relationships" name="CDS_Validation" sheetId="24" state="visible" r:id="rId24"/>
  </sheets>
  <definedNames>
    <definedName name="VAL_DATE">Instructions!$B$9</definedName>
    <definedName name="HIST_START">Instructions!$B$10</definedName>
    <definedName name="HIST_END">Instructions!$B$11</definedName>
    <definedName name="PX_SRC">Instructions!$B$12</definedName>
    <definedName name="SOFR_TKR">Instructions!$B$13</definedName>
    <definedName name="S490_TKR">Instructions!$B$14</definedName>
    <definedName name="BOOT_MODE">Bootstrap!$G$4</definedName>
    <definedName name="BOOT_DFSPOT">Bootstrap!$D$4</definedName>
    <definedName name="BOOT_DATES">Bootstrap!$B$8:$B$72</definedName>
    <definedName name="BOOT_S">Bootstrap!$E$8:$E$72</definedName>
    <definedName name="BOOT_TAU0">Bootstrap!$D$8:$D$72</definedName>
    <definedName name="BOOT_TAUC">Bootstrap!$F$8:$F$72</definedName>
    <definedName name="BOOT_ANN">Bootstrap!$G$8:$G$72</definedName>
    <definedName name="BOOT_DF">Bootstrap!$H$8:$H$72</definedName>
    <definedName name="BOOT_T">Bootstrap!$C$8:$C$72</definedName>
    <definedName name="BOOT_ZERO">Bootstrap!$J$8:$J$72</definedName>
  </definedNames>
  <calcPr calcId="124519" fullCalcOnLoad="1" iterate="1" iterateCount="100" iterateDelta="1e-10"/>
</workbook>
</file>

<file path=xl/styles.xml><?xml version="1.0" encoding="utf-8"?>
<styleSheet xmlns="http://schemas.openxmlformats.org/spreadsheetml/2006/main">
  <numFmts count="12">
    <numFmt numFmtId="164" formatCode="mm/dd/yyyy"/>
    <numFmt numFmtId="165" formatCode="0.0000"/>
    <numFmt numFmtId="166" formatCode="0.00000000"/>
    <numFmt numFmtId="167" formatCode="0.0"/>
    <numFmt numFmtId="168" formatCode="0.000000"/>
    <numFmt numFmtId="169" formatCode="0.0000%"/>
    <numFmt numFmtId="170" formatCode="0.000"/>
    <numFmt numFmtId="171" formatCode="0.0000000000"/>
    <numFmt numFmtId="172" formatCode="0.00000"/>
    <numFmt numFmtId="173" formatCode="mm/dd/yy"/>
    <numFmt numFmtId="174" formatCode="0.###"/>
    <numFmt numFmtId="175" formatCode="$#,##0;($#,##0);-"/>
  </numFmts>
  <fonts count="27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i val="1"/>
      <color rgb="00595959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444444"/>
      <sz val="9"/>
    </font>
    <font>
      <name val="Arial"/>
      <i val="1"/>
      <color rgb="00666666"/>
      <sz val="9"/>
    </font>
    <font>
      <name val="Arial"/>
      <b val="1"/>
      <color rgb="001F3864"/>
      <sz val="10"/>
    </font>
    <font>
      <name val="Arial"/>
      <b val="1"/>
      <color rgb="00C00000"/>
      <sz val="10"/>
    </font>
    <font>
      <name val="Arial"/>
      <b val="1"/>
      <color rgb="001F3864"/>
      <sz val="11"/>
    </font>
    <font>
      <name val="Calibri"/>
      <b val="1"/>
      <sz val="11"/>
    </font>
    <font>
      <name val="Calibri"/>
      <color rgb="000000FF"/>
      <sz val="11"/>
    </font>
    <font>
      <name val="Calibri"/>
      <i val="1"/>
      <color rgb="00666666"/>
      <sz val="9"/>
    </font>
    <font>
      <name val="Calibri"/>
      <sz val="11"/>
    </font>
    <font>
      <name val="Calibri"/>
      <b val="1"/>
      <color rgb="00C00000"/>
      <sz val="10"/>
    </font>
    <font>
      <name val="Calibri"/>
      <b val="1"/>
      <color rgb="00FFFFFF"/>
      <sz val="11"/>
    </font>
    <font>
      <name val="Calibri"/>
      <color rgb="00008000"/>
      <sz val="11"/>
    </font>
    <font>
      <name val="Calibri"/>
      <i val="1"/>
      <color rgb="00C00000"/>
      <sz val="9"/>
    </font>
    <font>
      <name val="Calibri"/>
      <b val="1"/>
      <sz val="12"/>
    </font>
    <font>
      <name val="Calibri"/>
      <b val="1"/>
      <color rgb="001F3864"/>
      <sz val="11"/>
    </font>
    <font>
      <name val="Calibri"/>
      <sz val="10"/>
    </font>
    <font>
      <name val="Consolas"/>
      <sz val="10"/>
    </font>
    <font>
      <name val="Calibri"/>
      <b val="1"/>
      <color rgb="00FFFFFF"/>
      <sz val="10"/>
    </font>
    <font>
      <name val="Consolas"/>
      <sz val="9"/>
    </font>
    <font>
      <name val="Calibri"/>
      <b val="1"/>
      <color rgb="00C00000"/>
      <sz val="11"/>
    </font>
    <font>
      <name val="Calibri"/>
      <i val="1"/>
      <color rgb="00808080"/>
      <sz val="9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C00000"/>
      </patternFill>
    </fill>
    <fill>
      <patternFill patternType="solid">
        <fgColor rgb="007B1FA2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1" pivotButton="0" quotePrefix="0" xfId="0"/>
    <xf numFmtId="0" fontId="3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164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5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3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166" fontId="0" fillId="0" borderId="0" pivotButton="0" quotePrefix="0" xfId="0"/>
    <xf numFmtId="2" fontId="3" fillId="0" borderId="1" pivotButton="0" quotePrefix="0" xfId="0"/>
    <xf numFmtId="166" fontId="5" fillId="0" borderId="1" pivotButton="0" quotePrefix="0" xfId="0"/>
    <xf numFmtId="165" fontId="3" fillId="2" borderId="1" pivotButton="0" quotePrefix="0" xfId="0"/>
    <xf numFmtId="167" fontId="3" fillId="0" borderId="1" pivotButton="0" quotePrefix="0" xfId="0"/>
    <xf numFmtId="1" fontId="0" fillId="0" borderId="0" pivotButton="0" quotePrefix="0" xfId="0"/>
    <xf numFmtId="165" fontId="0" fillId="0" borderId="0" pivotButton="0" quotePrefix="0" xfId="0"/>
    <xf numFmtId="168" fontId="3" fillId="0" borderId="1" pivotButton="0" quotePrefix="0" xfId="0"/>
    <xf numFmtId="1" fontId="0" fillId="2" borderId="0" pivotButton="0" quotePrefix="0" xfId="0"/>
    <xf numFmtId="166" fontId="3" fillId="0" borderId="1" pivotButton="0" quotePrefix="0" xfId="0"/>
    <xf numFmtId="0" fontId="3" fillId="2" borderId="1" pivotButton="0" quotePrefix="0" xfId="0"/>
    <xf numFmtId="0" fontId="7" fillId="0" borderId="0" applyAlignment="1" pivotButton="0" quotePrefix="0" xfId="0">
      <alignment horizontal="left" vertical="center"/>
    </xf>
    <xf numFmtId="3" fontId="3" fillId="2" borderId="1" pivotButton="0" quotePrefix="0" xfId="0"/>
    <xf numFmtId="164" fontId="3" fillId="2" borderId="1" pivotButton="0" quotePrefix="0" xfId="0"/>
    <xf numFmtId="1" fontId="3" fillId="2" borderId="1" pivotButton="0" quotePrefix="0" xfId="0"/>
    <xf numFmtId="168" fontId="3" fillId="2" borderId="1" pivotButton="0" quotePrefix="0" xfId="0"/>
    <xf numFmtId="1" fontId="3" fillId="0" borderId="1" pivotButton="0" quotePrefix="0" xfId="0"/>
    <xf numFmtId="4" fontId="3" fillId="0" borderId="1" pivotButton="0" quotePrefix="0" xfId="0"/>
    <xf numFmtId="4" fontId="10" fillId="0" borderId="1" pivotButton="0" quotePrefix="0" xfId="0"/>
    <xf numFmtId="164" fontId="7" fillId="0" borderId="0" applyAlignment="1" pivotButton="0" quotePrefix="0" xfId="0">
      <alignment vertical="top" wrapText="1"/>
    </xf>
    <xf numFmtId="164" fontId="0" fillId="0" borderId="0" pivotButton="0" quotePrefix="0" xfId="0"/>
    <xf numFmtId="164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2" fontId="0" fillId="0" borderId="0" pivotButton="0" quotePrefix="0" xfId="0"/>
    <xf numFmtId="169" fontId="0" fillId="0" borderId="0" pivotButton="0" quotePrefix="0" xfId="0"/>
    <xf numFmtId="169" fontId="3" fillId="0" borderId="1" pivotButton="0" quotePrefix="0" xfId="0"/>
    <xf numFmtId="11" fontId="3" fillId="0" borderId="1" pivotButton="0" quotePrefix="0" xfId="0"/>
    <xf numFmtId="9" fontId="3" fillId="2" borderId="1" pivotButton="0" quotePrefix="0" xfId="0"/>
    <xf numFmtId="167" fontId="3" fillId="2" borderId="1" pivotButton="0" quotePrefix="0" xfId="0"/>
    <xf numFmtId="169" fontId="3" fillId="2" borderId="1" pivotButton="0" quotePrefix="0" xfId="0"/>
    <xf numFmtId="170" fontId="3" fillId="0" borderId="1" pivotButton="0" quotePrefix="0" xfId="0"/>
    <xf numFmtId="9" fontId="3" fillId="0" borderId="1" pivotButton="0" quotePrefix="0" xfId="0"/>
    <xf numFmtId="0" fontId="4" fillId="0" borderId="1" pivotButton="0" quotePrefix="0" xfId="0"/>
    <xf numFmtId="170" fontId="10" fillId="0" borderId="1" pivotButton="0" quotePrefix="0" xfId="0"/>
    <xf numFmtId="168" fontId="0" fillId="0" borderId="0" pivotButton="0" quotePrefix="0" xfId="0"/>
    <xf numFmtId="0" fontId="11" fillId="3" borderId="2" pivotButton="0" quotePrefix="0" xfId="0"/>
    <xf numFmtId="165" fontId="14" fillId="0" borderId="2" pivotButton="0" quotePrefix="0" xfId="0"/>
    <xf numFmtId="165" fontId="12" fillId="4" borderId="2" pivotButton="0" quotePrefix="0" xfId="0"/>
    <xf numFmtId="0" fontId="13" fillId="0" borderId="0" pivotButton="0" quotePrefix="0" xfId="0"/>
    <xf numFmtId="0" fontId="15" fillId="0" borderId="0" pivotButton="0" quotePrefix="0" xfId="0"/>
    <xf numFmtId="0" fontId="11" fillId="0" borderId="0" pivotButton="0" quotePrefix="0" xfId="0"/>
    <xf numFmtId="0" fontId="12" fillId="4" borderId="2" pivotButton="0" quotePrefix="0" xfId="0"/>
    <xf numFmtId="168" fontId="12" fillId="4" borderId="2" pivotButton="0" quotePrefix="0" xfId="0"/>
    <xf numFmtId="0" fontId="13" fillId="0" borderId="0" applyAlignment="1" pivotButton="0" quotePrefix="0" xfId="0">
      <alignment vertical="top" wrapText="1"/>
    </xf>
    <xf numFmtId="166" fontId="14" fillId="2" borderId="2" pivotButton="0" quotePrefix="0" xfId="0"/>
    <xf numFmtId="11" fontId="14" fillId="0" borderId="2" pivotButton="0" quotePrefix="0" xfId="0"/>
    <xf numFmtId="0" fontId="16" fillId="5" borderId="0" pivotButton="0" quotePrefix="0" xfId="0"/>
    <xf numFmtId="0" fontId="0" fillId="5" borderId="0" pivotButton="0" quotePrefix="0" xfId="0"/>
    <xf numFmtId="165" fontId="17" fillId="0" borderId="2" pivotButton="0" quotePrefix="0" xfId="0"/>
    <xf numFmtId="166" fontId="14" fillId="0" borderId="2" pivotButton="0" quotePrefix="0" xfId="0"/>
    <xf numFmtId="10" fontId="17" fillId="0" borderId="2" pivotButton="0" quotePrefix="0" xfId="0"/>
    <xf numFmtId="0" fontId="14" fillId="0" borderId="2" applyAlignment="1" pivotButton="0" quotePrefix="0" xfId="0">
      <alignment horizontal="center"/>
    </xf>
    <xf numFmtId="168" fontId="17" fillId="0" borderId="2" pivotButton="0" quotePrefix="0" xfId="0"/>
    <xf numFmtId="168" fontId="14" fillId="0" borderId="2" pivotButton="0" quotePrefix="0" xfId="0"/>
    <xf numFmtId="171" fontId="14" fillId="2" borderId="2" pivotButton="0" quotePrefix="0" xfId="0"/>
    <xf numFmtId="171" fontId="17" fillId="0" borderId="2" pivotButton="0" quotePrefix="0" xfId="0"/>
    <xf numFmtId="171" fontId="14" fillId="0" borderId="2" pivotButton="0" quotePrefix="0" xfId="0"/>
    <xf numFmtId="172" fontId="14" fillId="0" borderId="2" pivotButton="0" quotePrefix="0" xfId="0"/>
    <xf numFmtId="172" fontId="12" fillId="4" borderId="2" pivotButton="0" quotePrefix="0" xfId="0"/>
    <xf numFmtId="173" fontId="14" fillId="0" borderId="2" pivotButton="0" quotePrefix="0" xfId="0"/>
    <xf numFmtId="0" fontId="14" fillId="2" borderId="2" pivotButton="0" quotePrefix="0" xfId="0"/>
    <xf numFmtId="173" fontId="12" fillId="4" borderId="2" pivotButton="0" quotePrefix="0" xfId="0"/>
    <xf numFmtId="2" fontId="14" fillId="0" borderId="2" pivotButton="0" quotePrefix="0" xfId="0"/>
    <xf numFmtId="170" fontId="14" fillId="2" borderId="2" pivotButton="0" quotePrefix="0" xfId="0"/>
    <xf numFmtId="11" fontId="14" fillId="2" borderId="2" pivotButton="0" quotePrefix="0" xfId="0"/>
    <xf numFmtId="0" fontId="11" fillId="3" borderId="2" applyAlignment="1" pivotButton="0" quotePrefix="0" xfId="0">
      <alignment horizontal="center" vertical="center" wrapText="1"/>
    </xf>
    <xf numFmtId="0" fontId="14" fillId="0" borderId="2" pivotButton="0" quotePrefix="0" xfId="0"/>
    <xf numFmtId="0" fontId="14" fillId="0" borderId="0" pivotButton="0" quotePrefix="0" xfId="0"/>
    <xf numFmtId="1" fontId="12" fillId="4" borderId="2" pivotButton="0" quotePrefix="0" xfId="0"/>
    <xf numFmtId="174" fontId="12" fillId="4" borderId="2" pivotButton="0" quotePrefix="0" xfId="0"/>
    <xf numFmtId="172" fontId="14" fillId="2" borderId="2" pivotButton="0" quotePrefix="0" xfId="0"/>
    <xf numFmtId="0" fontId="18" fillId="0" borderId="0" pivotButton="0" quotePrefix="0" xfId="0"/>
    <xf numFmtId="172" fontId="14" fillId="4" borderId="2" pivotButton="0" quotePrefix="0" xfId="0"/>
    <xf numFmtId="172" fontId="13" fillId="4" borderId="2" pivotButton="0" quotePrefix="0" xfId="0"/>
    <xf numFmtId="173" fontId="7" fillId="0" borderId="0" applyAlignment="1" pivotButton="0" quotePrefix="0" xfId="0">
      <alignment vertical="top" wrapText="1"/>
    </xf>
    <xf numFmtId="173" fontId="0" fillId="0" borderId="0" pivotButton="0" quotePrefix="0" xfId="0"/>
    <xf numFmtId="175" fontId="14" fillId="0" borderId="2" pivotButton="0" quotePrefix="0" xfId="0"/>
    <xf numFmtId="1" fontId="14" fillId="0" borderId="2" pivotButton="0" quotePrefix="0" xfId="0"/>
    <xf numFmtId="175" fontId="14" fillId="2" borderId="2" pivotButton="0" quotePrefix="0" xfId="0"/>
    <xf numFmtId="0" fontId="11" fillId="0" borderId="2" pivotButton="0" quotePrefix="0" xfId="0"/>
    <xf numFmtId="172" fontId="0" fillId="0" borderId="0" pivotButton="0" quotePrefix="0" xfId="0"/>
    <xf numFmtId="2" fontId="0" fillId="0" borderId="2" pivotButton="0" quotePrefix="0" xfId="0"/>
    <xf numFmtId="0" fontId="0" fillId="2" borderId="2" pivotButton="0" quotePrefix="0" xfId="0"/>
    <xf numFmtId="170" fontId="0" fillId="2" borderId="2" pivotButton="0" quotePrefix="0" xfId="0"/>
    <xf numFmtId="164" fontId="12" fillId="4" borderId="2" pivotButton="0" quotePrefix="0" xfId="0"/>
    <xf numFmtId="164" fontId="14" fillId="0" borderId="2" pivotButton="0" quotePrefix="0" xfId="0"/>
    <xf numFmtId="164" fontId="14" fillId="0" borderId="1" pivotButton="0" quotePrefix="0" xfId="0"/>
    <xf numFmtId="168" fontId="14" fillId="0" borderId="1" pivotButton="0" quotePrefix="0" xfId="0"/>
    <xf numFmtId="166" fontId="14" fillId="0" borderId="1" pivotButton="0" quotePrefix="0" xfId="0"/>
    <xf numFmtId="4" fontId="14" fillId="0" borderId="1" pivotButton="0" quotePrefix="0" xfId="0"/>
    <xf numFmtId="168" fontId="14" fillId="2" borderId="2" pivotButton="0" quotePrefix="0" xfId="0"/>
    <xf numFmtId="4" fontId="12" fillId="4" borderId="2" pivotButton="0" quotePrefix="0" xfId="0"/>
    <xf numFmtId="4" fontId="14" fillId="2" borderId="2" pivotButton="0" quotePrefix="0" xfId="0"/>
    <xf numFmtId="4" fontId="14" fillId="0" borderId="2" pivotButton="0" quotePrefix="0" xfId="0"/>
    <xf numFmtId="2" fontId="12" fillId="4" borderId="2" pivotButton="0" quotePrefix="0" xfId="0"/>
    <xf numFmtId="2" fontId="14" fillId="2" borderId="2" pivotButton="0" quotePrefix="0" xfId="0"/>
    <xf numFmtId="0" fontId="19" fillId="0" borderId="0" pivotButton="0" quotePrefix="0" xfId="0"/>
    <xf numFmtId="0" fontId="20" fillId="3" borderId="0" pivotButton="0" quotePrefix="0" xfId="0"/>
    <xf numFmtId="0" fontId="13" fillId="3" borderId="0" pivotButton="0" quotePrefix="0" xfId="0"/>
    <xf numFmtId="0" fontId="21" fillId="0" borderId="0" pivotButton="0" quotePrefix="0" xfId="0"/>
    <xf numFmtId="0" fontId="22" fillId="0" borderId="0" pivotButton="0" quotePrefix="0" xfId="0"/>
    <xf numFmtId="164" fontId="14" fillId="2" borderId="2" pivotButton="0" quotePrefix="0" xfId="0"/>
    <xf numFmtId="166" fontId="17" fillId="2" borderId="2" pivotButton="0" quotePrefix="0" xfId="0"/>
    <xf numFmtId="1" fontId="14" fillId="2" borderId="2" pivotButton="0" quotePrefix="0" xfId="0"/>
    <xf numFmtId="165" fontId="14" fillId="0" borderId="1" pivotButton="0" quotePrefix="0" xfId="0"/>
    <xf numFmtId="0" fontId="14" fillId="0" borderId="1" pivotButton="0" quotePrefix="0" xfId="0"/>
    <xf numFmtId="165" fontId="14" fillId="2" borderId="2" pivotButton="0" quotePrefix="0" xfId="0"/>
    <xf numFmtId="164" fontId="12" fillId="4" borderId="2" applyAlignment="1" pivotButton="0" quotePrefix="0" xfId="0">
      <alignment horizontal="center" vertical="center"/>
    </xf>
    <xf numFmtId="0" fontId="18" fillId="0" borderId="0" applyAlignment="1" pivotButton="0" quotePrefix="0" xfId="0">
      <alignment vertical="top" wrapText="1"/>
    </xf>
    <xf numFmtId="0" fontId="20" fillId="3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23" fillId="5" borderId="0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/>
    </xf>
    <xf numFmtId="164" fontId="23" fillId="5" borderId="1" applyAlignment="1" pivotButton="0" quotePrefix="0" xfId="0">
      <alignment horizontal="center" vertical="center" wrapText="1"/>
    </xf>
    <xf numFmtId="166" fontId="23" fillId="5" borderId="1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3" fillId="7" borderId="2" applyAlignment="1" pivotButton="0" quotePrefix="0" xfId="0">
      <alignment horizontal="center" vertical="center" wrapText="1"/>
    </xf>
    <xf numFmtId="10" fontId="12" fillId="4" borderId="2" pivotButton="0" quotePrefix="0" xfId="0"/>
    <xf numFmtId="166" fontId="12" fillId="4" borderId="2" pivotButton="0" quotePrefix="0" xfId="0"/>
    <xf numFmtId="10" fontId="14" fillId="2" borderId="2" pivotButton="0" quotePrefix="0" xfId="0"/>
    <xf numFmtId="0" fontId="13" fillId="2" borderId="2" pivotButton="0" quotePrefix="0" xfId="0"/>
    <xf numFmtId="0" fontId="23" fillId="8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23" fillId="9" borderId="2" applyAlignment="1" pivotButton="0" quotePrefix="0" xfId="0">
      <alignment horizontal="center" vertical="center" wrapText="1"/>
    </xf>
    <xf numFmtId="2" fontId="22" fillId="0" borderId="2" pivotButton="0" quotePrefix="0" xfId="0"/>
    <xf numFmtId="0" fontId="14" fillId="4" borderId="2" pivotButton="0" quotePrefix="0" xfId="0"/>
    <xf numFmtId="0" fontId="14" fillId="7" borderId="2" applyAlignment="1" pivotButton="0" quotePrefix="0" xfId="0">
      <alignment horizontal="center" vertical="center" wrapText="1"/>
    </xf>
    <xf numFmtId="164" fontId="14" fillId="4" borderId="2" pivotButton="0" quotePrefix="0" xfId="0"/>
    <xf numFmtId="168" fontId="14" fillId="4" borderId="2" pivotButton="0" quotePrefix="0" xfId="0"/>
    <xf numFmtId="0" fontId="11" fillId="7" borderId="2" applyAlignment="1" pivotButton="0" quotePrefix="0" xfId="0">
      <alignment horizontal="center" vertical="center" wrapText="1"/>
    </xf>
    <xf numFmtId="0" fontId="24" fillId="0" borderId="2" pivotButton="0" quotePrefix="0" xfId="0"/>
    <xf numFmtId="0" fontId="13" fillId="0" borderId="1" pivotButton="0" quotePrefix="0" xfId="0"/>
    <xf numFmtId="164" fontId="14" fillId="2" borderId="2" applyAlignment="1" pivotButton="0" quotePrefix="0" xfId="0">
      <alignment horizontal="center" vertical="center"/>
    </xf>
    <xf numFmtId="0" fontId="15" fillId="0" borderId="0" applyAlignment="1" pivotButton="0" quotePrefix="0" xfId="0">
      <alignment vertical="top" wrapText="1"/>
    </xf>
    <xf numFmtId="0" fontId="26" fillId="0" borderId="0" pivotButton="0" quotePrefix="0" xfId="0"/>
    <xf numFmtId="0" fontId="25" fillId="0" borderId="0" pivotButton="0" quotePrefix="0" xfId="0"/>
    <xf numFmtId="0" fontId="16" fillId="10" borderId="2" applyAlignment="1" pivotButton="0" quotePrefix="0" xfId="0">
      <alignment horizontal="center" wrapText="1"/>
    </xf>
    <xf numFmtId="172" fontId="17" fillId="11" borderId="2" pivotButton="0" quotePrefix="0" xfId="0"/>
    <xf numFmtId="164" fontId="17" fillId="11" borderId="2" pivotButton="0" quotePrefix="0" xfId="0"/>
    <xf numFmtId="166" fontId="17" fillId="11" borderId="2" pivotButton="0" quotePrefix="0" xfId="0"/>
    <xf numFmtId="165" fontId="17" fillId="11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 SOFR — Zero curve (%)</a:t>
            </a:r>
          </a:p>
        </rich>
      </tx>
    </title>
    <plotArea>
      <lineChart>
        <grouping val="standard"/>
        <ser>
          <idx val="0"/>
          <order val="0"/>
          <tx>
            <strRef>
              <f>'Bootstrap'!J7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'Bootstrap'!$C$8:$C$72</f>
            </numRef>
          </cat>
          <val>
            <numRef>
              <f>'Bootstrap'!$J$8:$J$72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Maturity (yrs)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Zero rate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 SOFR — Discount factors P(0,T)</a:t>
            </a:r>
          </a:p>
        </rich>
      </tx>
    </title>
    <plotArea>
      <lineChart>
        <grouping val="standard"/>
        <ser>
          <idx val="0"/>
          <order val="0"/>
          <tx>
            <strRef>
              <f>'Bootstrap'!H7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'Bootstrap'!$C$8:$C$72</f>
            </numRef>
          </cat>
          <val>
            <numRef>
              <f>'Bootstrap'!$H$8:$H$72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Maturity (yrs)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DF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Instantaneous forward — V1 flat vs V2 quadratic</a:t>
            </a:r>
          </a:p>
        </rich>
      </tx>
    </title>
    <plotArea>
      <lineChart>
        <grouping val="standard"/>
        <ser>
          <idx val="0"/>
          <order val="0"/>
          <tx>
            <v>V1 flat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'Fwd_Interp'!$B$9:$B$73</f>
            </numRef>
          </cat>
          <val>
            <numRef>
              <f>'Fwd_Interp'!$F$9:$F$73</f>
            </numRef>
          </val>
        </ser>
        <ser>
          <idx val="1"/>
          <order val="1"/>
          <tx>
            <v>V2 quadratic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'Fwd_Interp'!$B$9:$B$73</f>
            </numRef>
          </cat>
          <val>
            <numRef>
              <f>'Fwd_Interp'!$K$9:$K$73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Maturity (yrs)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Forward (decimal)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3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F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USD SOFR Curve — Bloomberg Data Template</t>
        </is>
      </c>
    </row>
    <row r="2">
      <c r="A2" s="2" t="inlineStr">
        <is>
          <t>Modern replication of the Lehman (2002) USD single-curve build:  fixing + SR3/SR1 futures + SOFR OIS</t>
        </is>
      </c>
    </row>
    <row r="4" ht="30" customHeight="1">
      <c r="A4" s="3" t="inlineStr">
        <is>
          <t>This workbook is a live Bloomberg template. Open it in Excel on a machine with the Bloomberg Add-in (BLPAPI) connected; the BDP / BDH / BDS formulas then populate automatically. Off-terminal (or in any non-Bloomberg viewer) the Bloomberg cells show #NAME? or blanks — that is expected, not a defect. Set the parameters below first; every date-driven pull references them.</t>
        </is>
      </c>
    </row>
    <row r="5"/>
    <row r="7">
      <c r="A7" s="4" t="inlineStr">
        <is>
          <t>PARAMETERS  (edit the yellow cells)</t>
        </is>
      </c>
    </row>
    <row r="8">
      <c r="A8" s="5" t="inlineStr">
        <is>
          <t>Parameter</t>
        </is>
      </c>
      <c r="B8" s="5" t="inlineStr">
        <is>
          <t>Value</t>
        </is>
      </c>
      <c r="C8" s="5" t="inlineStr">
        <is>
          <t>Named ref</t>
        </is>
      </c>
      <c r="D8" s="5" t="inlineStr">
        <is>
          <t>Notes</t>
        </is>
      </c>
    </row>
    <row r="9" ht="26" customHeight="1">
      <c r="A9" s="6" t="inlineStr">
        <is>
          <t>Valuation date</t>
        </is>
      </c>
      <c r="B9" s="162">
        <f>IF(Bootstrap!$G$4="Test 1",Testing!$D$5,IF(Bootstrap!$G$4="Test 2",Testing!$D$55,IF(Bootstrap!$G$4="Test 3",Testing!$D$105,DATE(2026,7,21))))</f>
        <v/>
      </c>
      <c r="C9" s="8" t="inlineStr">
        <is>
          <t>VAL_DATE</t>
        </is>
      </c>
      <c r="D9" s="163" t="inlineStr">
        <is>
          <t>Follows the active test case's curve date; otherwise the pinned capture date 07/21/2026. A test case must move the WHOLE workbook to its snapshot, or the bootstrap builds on one date and the targets come from another.</t>
        </is>
      </c>
    </row>
    <row r="10" ht="26" customHeight="1">
      <c r="A10" s="6" t="inlineStr">
        <is>
          <t>Historical start</t>
        </is>
      </c>
      <c r="B10" s="10" t="inlineStr">
        <is>
          <t>01/01/2018</t>
        </is>
      </c>
      <c r="C10" s="8" t="inlineStr">
        <is>
          <t>HIST_START</t>
        </is>
      </c>
      <c r="D10" s="9" t="inlineStr">
        <is>
          <t>Start of BDH history windows.</t>
        </is>
      </c>
    </row>
    <row r="11" ht="26" customHeight="1">
      <c r="A11" s="6" t="inlineStr">
        <is>
          <t>Historical end</t>
        </is>
      </c>
      <c r="B11" s="10" t="inlineStr">
        <is>
          <t>07/20/2026</t>
        </is>
      </c>
      <c r="C11" s="8" t="inlineStr">
        <is>
          <t>HIST_END</t>
        </is>
      </c>
      <c r="D11" s="9" t="inlineStr">
        <is>
          <t>End of BDH history windows.</t>
        </is>
      </c>
    </row>
    <row r="12" ht="26" customHeight="1">
      <c r="A12" s="6" t="inlineStr">
        <is>
          <t>Price source</t>
        </is>
      </c>
      <c r="B12" s="7" t="inlineStr">
        <is>
          <t>BGN</t>
        </is>
      </c>
      <c r="C12" s="8" t="inlineStr">
        <is>
          <t>PX_SRC</t>
        </is>
      </c>
      <c r="D12" s="9" t="inlineStr">
        <is>
          <t>Bloomberg pricing source suffix used across every OIS ticker (BGN = Bloomberg Generic). Keep one source across all maturities.</t>
        </is>
      </c>
    </row>
    <row r="13" ht="26" customHeight="1">
      <c r="A13" s="6" t="inlineStr">
        <is>
          <t>Overnight SOFR ticker</t>
        </is>
      </c>
      <c r="B13" s="7" t="inlineStr">
        <is>
          <t>SOFRRATE Index</t>
        </is>
      </c>
      <c r="C13" s="8" t="inlineStr">
        <is>
          <t>SOFR_TKR</t>
        </is>
      </c>
      <c r="D13" s="9" t="inlineStr">
        <is>
          <t>Published overnight SOFR fixing (NY Fed).</t>
        </is>
      </c>
    </row>
    <row r="14" ht="26" customHeight="1">
      <c r="A14" s="6" t="inlineStr">
        <is>
          <t>Bloomberg SOFR curve</t>
        </is>
      </c>
      <c r="B14" s="7" t="inlineStr">
        <is>
          <t>YCSW0490 Index</t>
        </is>
      </c>
      <c r="C14" s="8" t="inlineStr">
        <is>
          <t>S490_TKR</t>
        </is>
      </c>
      <c r="D14" s="9" t="inlineStr">
        <is>
          <t>Bloomberg curve S490 (USD SOFR) — validation benchmark only.</t>
        </is>
      </c>
    </row>
    <row r="16">
      <c r="A16" s="4" t="inlineStr">
        <is>
          <t>LEHMAN 2002  →  MODERN USD CURVE MAPPING</t>
        </is>
      </c>
    </row>
    <row r="17">
      <c r="A17" s="5" t="inlineStr">
        <is>
          <t>Lehman 2002 instrument</t>
        </is>
      </c>
      <c r="C17" s="5" t="inlineStr">
        <is>
          <t>Modern equivalent</t>
        </is>
      </c>
      <c r="E17" s="5" t="inlineStr">
        <is>
          <t>Bloomberg source</t>
        </is>
      </c>
    </row>
    <row r="18">
      <c r="A18" s="6" t="inlineStr">
        <is>
          <t>LIBOR deposits</t>
        </is>
      </c>
      <c r="C18" s="6" t="inlineStr">
        <is>
          <t>SOFR fixing / short OIS</t>
        </is>
      </c>
      <c r="E18" s="12" t="inlineStr">
        <is>
          <t>SOFRRATE Index; USOSFR1Z..USOSFRF</t>
        </is>
      </c>
    </row>
    <row r="19">
      <c r="A19" s="6" t="inlineStr">
        <is>
          <t>Eurodollar futures</t>
        </is>
      </c>
      <c r="C19" s="6" t="inlineStr">
        <is>
          <t>3M SOFR futures (SR3)</t>
        </is>
      </c>
      <c r="E19" s="12" t="inlineStr">
        <is>
          <t>SFRA Comdty  (CT chain)</t>
        </is>
      </c>
    </row>
    <row r="20">
      <c r="A20" s="6" t="inlineStr">
        <is>
          <t>(1M money market)</t>
        </is>
      </c>
      <c r="C20" s="6" t="inlineStr">
        <is>
          <t>1M SOFR futures (SR1)</t>
        </is>
      </c>
      <c r="E20" s="12" t="inlineStr">
        <is>
          <t>SERA Comdty  (CT chain)</t>
        </is>
      </c>
    </row>
    <row r="21">
      <c r="A21" s="6" t="inlineStr">
        <is>
          <t>LIBOR swaps</t>
        </is>
      </c>
      <c r="C21" s="6" t="inlineStr">
        <is>
          <t>SOFR OIS swaps</t>
        </is>
      </c>
      <c r="E21" s="12" t="inlineStr">
        <is>
          <t>USOSFR2..USOSFR50 BGN Curncy</t>
        </is>
      </c>
    </row>
    <row r="22">
      <c r="A22" s="6" t="inlineStr">
        <is>
          <t>Dealer curve</t>
        </is>
      </c>
      <c r="C22" s="6" t="inlineStr">
        <is>
          <t>Bloomberg S490 (validation)</t>
        </is>
      </c>
      <c r="E22" s="12" t="inlineStr">
        <is>
          <t>YCSW0490 Index</t>
        </is>
      </c>
    </row>
    <row r="24">
      <c r="A24" s="4" t="inlineStr">
        <is>
          <t>BOOTSTRAP METHODOLOGY  —  one discount curve, three liquid segments</t>
        </is>
      </c>
    </row>
    <row r="25" ht="28" customHeight="1">
      <c r="A25" s="13" t="inlineStr">
        <is>
          <t>Short end (o/n – ~1Y)</t>
        </is>
      </c>
      <c r="B25" s="3" t="inlineStr">
        <is>
          <t>SOFR fixing + short OIS (1W,1M,3M,6M) anchor P(0,T) at the front — the modern LIBOR-deposit segment.</t>
        </is>
      </c>
    </row>
    <row r="26" ht="28" customHeight="1">
      <c r="A26" s="13" t="inlineStr">
        <is>
          <t>Mid (~3M – ~5Y)</t>
        </is>
      </c>
      <c r="B26" s="3" t="inlineStr">
        <is>
          <t>SR3 3M-SOFR futures; implied rate = 100 − price, each covering one 3M IMM reference quarter — the modern Eurodollar-futures segment.</t>
        </is>
      </c>
    </row>
    <row r="27" ht="28" customHeight="1">
      <c r="A27" s="13" t="inlineStr">
        <is>
          <t>Long end (~2Y – 50Y)</t>
        </is>
      </c>
      <c r="B27" s="3" t="inlineStr">
        <is>
          <t>SOFR OIS par swaps (mid = (bid+ask)/2) where deep liquidity lives — the modern LIBOR-swap segment.</t>
        </is>
      </c>
    </row>
    <row r="28" ht="28" customHeight="1">
      <c r="A28" s="13" t="inlineStr">
        <is>
          <t>Bootstrap order</t>
        </is>
      </c>
      <c r="B28" s="3" t="inlineStr">
        <is>
          <t>Left → right: each instrument solves for the next discount-factor pillar given everything already solved to its left (sequential 1-D root find).</t>
        </is>
      </c>
    </row>
    <row r="30">
      <c r="A30" s="14" t="inlineStr">
        <is>
          <t>Three differences vs. Lehman 2002 (where 'modern' is not a literal copy):</t>
        </is>
      </c>
    </row>
    <row r="31" ht="28" customHeight="1">
      <c r="A31" s="9" t="inlineStr">
        <is>
          <t>•  Single-curve: the SOFR curve both projects forwards AND discounts. Lehman 2002 was also single-curve (LIBOR did both), so a SOFR OIS build is CLOSER to the paper than a modern LIBOR build would be.</t>
        </is>
      </c>
    </row>
    <row r="32" ht="28" customHeight="1">
      <c r="A32" s="9" t="inlineStr">
        <is>
          <t>•  Compounding: SOFR is an overnight rate compounded daily in arrears over each period; LIBOR was a term rate set once. The OIS/futures legs carry a daily-compounding calc LIBOR did not need.</t>
        </is>
      </c>
    </row>
    <row r="33" ht="28" customHeight="1">
      <c r="A33" s="9" t="inlineStr">
        <is>
          <t>•  Futures convexity: SR3 (like Eurodollar) futures need a small convexity adjustment before the implied rate enters the curve. A first pass can omit it and report the bias against the S490 benchmark.</t>
        </is>
      </c>
    </row>
    <row r="35">
      <c r="A35" s="4" t="inlineStr">
        <is>
          <t>TABS IN THIS WORKBOOK</t>
        </is>
      </c>
    </row>
    <row r="36">
      <c r="A36" s="13" t="inlineStr">
        <is>
          <t>Charts</t>
        </is>
      </c>
      <c r="B36" s="3" t="inlineStr">
        <is>
          <t>Curve visuals — zero curve, discount factors, and V1-vs-V2 forward comparison.</t>
        </is>
      </c>
    </row>
    <row r="37">
      <c r="A37" s="13" t="inlineStr">
        <is>
          <t>1. SOFR_Fixings</t>
        </is>
      </c>
      <c r="B37" s="3" t="inlineStr">
        <is>
          <t>Overnight SOFR fixing — current (BDP) + daily history (BDH).</t>
        </is>
      </c>
    </row>
    <row r="38">
      <c r="A38" s="13" t="inlineStr">
        <is>
          <t>2. SOFR_Futures</t>
        </is>
      </c>
      <c r="B38" s="3" t="inlineStr">
        <is>
          <t>SR3 (3M) and SR1 (1M) SOFR futures chains + fields + implied rate = 100 − price.</t>
        </is>
      </c>
    </row>
    <row r="39">
      <c r="A39" s="13" t="inlineStr">
        <is>
          <t>3. SOFR_OIS_Quotes</t>
        </is>
      </c>
      <c r="B39" s="3" t="inlineStr">
        <is>
          <t>Full USOSFR OIS strip (1W–50Y): bid / ask / last + mid. Bootstrap-set flagged.</t>
        </is>
      </c>
    </row>
    <row r="40">
      <c r="A40" s="13" t="inlineStr">
        <is>
          <t>4. Bootstrap</t>
        </is>
      </c>
      <c r="B40" s="3" t="inlineStr">
        <is>
          <t>Purely-OIS bootstrap. The production curve — Swap_Pricer, Curve_Interface, and CDS all use it.</t>
        </is>
      </c>
    </row>
    <row r="41">
      <c r="A41" s="65" t="inlineStr">
        <is>
          <t>Bootstrap - the single production SOFR curve, purely from OIS quotes. (The former Bootstrap_Lehman futures variant has been removed.)</t>
        </is>
      </c>
      <c r="B41" s="3" t="inlineStr">
        <is>
          <t>Lehman methodology: short OIS + SR3 futures (1Y–5Y) + OIS swaps. Compare col H vs the OIS Bootstrap.</t>
        </is>
      </c>
    </row>
    <row r="42">
      <c r="A42" s="13" t="inlineStr">
        <is>
          <t>Curve_Interface</t>
        </is>
      </c>
      <c r="B42" s="3" t="inlineStr">
        <is>
          <t>Shared D(0,t): interpolates the SOFR curve to ANY date (quarterly CDS dates demo). Used by Swap_Pricer + CDS.</t>
        </is>
      </c>
    </row>
    <row r="43">
      <c r="A43" s="13" t="inlineStr">
        <is>
          <t>CDS_Parameters</t>
        </is>
      </c>
      <c r="B43" s="3" t="inlineStr">
        <is>
          <t>Credit assumptions: recovery, notional, coupon, direction (recovery is an INPUT).</t>
        </is>
      </c>
    </row>
    <row r="44">
      <c r="A44" s="13" t="inlineStr">
        <is>
          <t>CDS_Quotes</t>
        </is>
      </c>
      <c r="B44" s="3" t="inlineStr">
        <is>
          <t>Single-name CDS par spreads (BDP ticker, or manual demo). One entity, one seniority.</t>
        </is>
      </c>
    </row>
    <row r="45">
      <c r="A45" s="13" t="inlineStr">
        <is>
          <t>CDS_Schedule</t>
        </is>
      </c>
      <c r="B45" s="3" t="inlineStr">
        <is>
          <t>Quarterly premium/default schedule to 10Y; DF from the SOFR curve, survival from hazards.</t>
        </is>
      </c>
    </row>
    <row r="46">
      <c r="A46" s="13" t="inlineStr">
        <is>
          <t>Hazard_Bootstrap</t>
        </is>
      </c>
      <c r="B46" s="3" t="inlineStr">
        <is>
          <t>Piecewise-constant hazard curve; s/(1-R) default, Goal-Seek the error to 0 for exact fit.</t>
        </is>
      </c>
    </row>
    <row r="47">
      <c r="A47" s="13" t="inlineStr">
        <is>
          <t>CDS_Pricer</t>
        </is>
      </c>
      <c r="B47" s="3" t="inlineStr">
        <is>
          <t>Prices a CDS off both curves: protection − premium, par spread, upfront, CS01.</t>
        </is>
      </c>
    </row>
    <row r="48">
      <c r="A48" s="13" t="inlineStr">
        <is>
          <t>CDS_Validation</t>
        </is>
      </c>
      <c r="B48" s="3" t="inlineStr">
        <is>
          <t>Survival/hazard sanity checks + the s ≈ (1-R)·lambda approximation.</t>
        </is>
      </c>
    </row>
    <row r="49">
      <c r="A49" s="13" t="inlineStr">
        <is>
          <t>5. Bloomberg_S490_Validation</t>
        </is>
      </c>
      <c r="B49" s="3" t="inlineStr">
        <is>
          <t>Bloomberg's own USD SOFR curve (S490) for benchmarking your bootstrap.</t>
        </is>
      </c>
    </row>
    <row r="50">
      <c r="A50" s="13" t="inlineStr">
        <is>
          <t>6. Conventions</t>
        </is>
      </c>
      <c r="B50" s="3" t="inlineStr">
        <is>
          <t>DES/SWPM conventions for representative OIS (spot lag, day counts, compounding, EOM…).</t>
        </is>
      </c>
    </row>
    <row r="51">
      <c r="A51" s="13" t="inlineStr">
        <is>
          <t>7. Fwd_Interp</t>
        </is>
      </c>
      <c r="B51" s="3" t="inlineStr">
        <is>
          <t>Zhou 2002 forward interpolation: V1 piecewise-flat vs V2 piecewise-quadratic forwards.</t>
        </is>
      </c>
    </row>
    <row r="53">
      <c r="A53" s="15" t="inlineStr">
        <is>
          <t>DO NOT substitute these (wrong instruments):</t>
        </is>
      </c>
    </row>
    <row r="54">
      <c r="A54" s="9" t="inlineStr">
        <is>
          <t>•  TSFR1M/3M/6M/12M Index  — Term SOFR benchmarks, NOT overnight-SOFR OIS calibration instruments.</t>
        </is>
      </c>
    </row>
    <row r="55">
      <c r="A55" s="9" t="inlineStr">
        <is>
          <t>•  USISSO02/05/10/30 Index — ICE Swap Rate fixings, NOT the live OIS quote strip needed to bootstrap.</t>
        </is>
      </c>
    </row>
    <row r="56">
      <c r="A56" s="9" t="inlineStr">
        <is>
          <t>•  Use PX midpoint (bid+ask)/2 for construction; use PX_LAST only where bid/ask are unavailable.</t>
        </is>
      </c>
    </row>
    <row r="58" ht="28" customHeight="1">
      <c r="A58" s="9" t="inlineStr">
        <is>
          <t>Licensing: Bloomberg data is licensed and entitlement-dependent — do NOT redistribute pulled values or commit them to a public repository. This template ships formulas only, no data. Some static convention fields may return N/A under your entitlement; use FLDS &lt;GO&gt; on the security to find the enabled mnemonic.</t>
        </is>
      </c>
    </row>
    <row r="59"/>
  </sheetData>
  <mergeCells count="59">
    <mergeCell ref="A16:F16"/>
    <mergeCell ref="A54:F54"/>
    <mergeCell ref="D11:F11"/>
    <mergeCell ref="D13:F13"/>
    <mergeCell ref="B47:F47"/>
    <mergeCell ref="B25:F25"/>
    <mergeCell ref="B46:F46"/>
    <mergeCell ref="A56:F56"/>
    <mergeCell ref="E17:F17"/>
    <mergeCell ref="A55:F55"/>
    <mergeCell ref="B27:F27"/>
    <mergeCell ref="C20:D20"/>
    <mergeCell ref="A33:F33"/>
    <mergeCell ref="B43:F43"/>
    <mergeCell ref="E20:F20"/>
    <mergeCell ref="B39:F39"/>
    <mergeCell ref="A58:F59"/>
    <mergeCell ref="B48:F48"/>
    <mergeCell ref="B42:F42"/>
    <mergeCell ref="E19:F19"/>
    <mergeCell ref="A32:F32"/>
    <mergeCell ref="D12:F12"/>
    <mergeCell ref="D9:F9"/>
    <mergeCell ref="C22:D22"/>
    <mergeCell ref="A35:F35"/>
    <mergeCell ref="A18:B18"/>
    <mergeCell ref="D8:F8"/>
    <mergeCell ref="A53:F53"/>
    <mergeCell ref="B50:F50"/>
    <mergeCell ref="B44:F44"/>
    <mergeCell ref="A21:B21"/>
    <mergeCell ref="D14:F14"/>
    <mergeCell ref="C21:D21"/>
    <mergeCell ref="B38:F38"/>
    <mergeCell ref="B28:F28"/>
    <mergeCell ref="A31:F31"/>
    <mergeCell ref="B37:F37"/>
    <mergeCell ref="A17:B17"/>
    <mergeCell ref="A30:F30"/>
    <mergeCell ref="C17:D17"/>
    <mergeCell ref="B40:F40"/>
    <mergeCell ref="A22:B22"/>
    <mergeCell ref="D10:F10"/>
    <mergeCell ref="A24:F24"/>
    <mergeCell ref="B49:F49"/>
    <mergeCell ref="A20:B20"/>
    <mergeCell ref="A19:B19"/>
    <mergeCell ref="C19:D19"/>
    <mergeCell ref="B51:F51"/>
    <mergeCell ref="B45:F45"/>
    <mergeCell ref="E22:F22"/>
    <mergeCell ref="B36:F36"/>
    <mergeCell ref="C18:D18"/>
    <mergeCell ref="A4:F5"/>
    <mergeCell ref="E18:F18"/>
    <mergeCell ref="B26:F26"/>
    <mergeCell ref="B41:F41"/>
    <mergeCell ref="A7:F7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C7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96" customWidth="1" min="3" max="3"/>
  </cols>
  <sheetData>
    <row r="1">
      <c r="A1" s="123" t="inlineStr">
        <is>
          <t>USD SOFR curve and CDS module - build method</t>
        </is>
      </c>
    </row>
    <row r="2">
      <c r="A2" s="65" t="inlineStr">
        <is>
          <t>Order of construction. Each step names the sheet that does the work.</t>
        </is>
      </c>
    </row>
    <row r="4">
      <c r="A4" s="124" t="inlineStr">
        <is>
          <t>STEP 1</t>
        </is>
      </c>
      <c r="B4" s="124" t="inlineStr">
        <is>
          <t>Pull the OIS strip</t>
        </is>
      </c>
      <c r="C4" s="125" t="inlineStr">
        <is>
          <t>SOFR_OIS_Quotes</t>
        </is>
      </c>
    </row>
    <row r="5">
      <c r="C5" s="126" t="inlineStr">
        <is>
          <t>32 tickers, USOSFR1Z to USOSFR50, source BGN (Instructions!B12).</t>
        </is>
      </c>
    </row>
    <row r="6">
      <c r="C6" s="127" t="inlineStr">
        <is>
          <t>E/F = BDP PX_BID / PX_ASK.  H = (bid+ask)/2.  Curve Side = Mid, matching S490.</t>
        </is>
      </c>
    </row>
    <row r="7">
      <c r="C7" s="126" t="inlineStr">
        <is>
          <t>H falls back to J (frozen S490 mids) when BDP is unavailable, so the curve always builds.</t>
        </is>
      </c>
    </row>
    <row r="8">
      <c r="C8" s="126" t="inlineStr">
        <is>
          <t>N:S reconciles the BDP pull against a Bloomberg curve export.</t>
        </is>
      </c>
    </row>
    <row r="10">
      <c r="A10" s="124" t="inlineStr">
        <is>
          <t>STEP 2</t>
        </is>
      </c>
      <c r="B10" s="124" t="inlineStr">
        <is>
          <t>Dates and settlement</t>
        </is>
      </c>
      <c r="C10" s="125" t="inlineStr">
        <is>
          <t>Bootstrap col B</t>
        </is>
      </c>
    </row>
    <row r="11">
      <c r="C11" s="127" t="inlineStr">
        <is>
          <t>Spot = VAL_DATE + 2 business days.  Maturities = spot anniversaries.</t>
        </is>
      </c>
    </row>
    <row r="12">
      <c r="C12" s="126" t="inlineStr">
        <is>
          <t>Modified following, weekends only, no holiday calendar.</t>
        </is>
      </c>
    </row>
    <row r="13">
      <c r="C13" s="126" t="inlineStr">
        <is>
          <t>Bloomberg rolls 07/23/2033 to 07/25/2033; plain EDATE does not.</t>
        </is>
      </c>
    </row>
    <row r="14">
      <c r="C14" s="127" t="inlineStr">
        <is>
          <t>Settle Date = curve date on the S490 screen, so DF(settle) = 1. No spot-lag stub.</t>
        </is>
      </c>
    </row>
    <row r="16">
      <c r="A16" s="124" t="inlineStr">
        <is>
          <t>STEP 3</t>
        </is>
      </c>
      <c r="B16" s="124" t="inlineStr">
        <is>
          <t>Short end, 1W to 1Y</t>
        </is>
      </c>
      <c r="C16" s="125" t="inlineStr">
        <is>
          <t>Bootstrap rows 8-22</t>
        </is>
      </c>
    </row>
    <row r="17">
      <c r="C17" s="127" t="inlineStr">
        <is>
          <t>Single-payment OIS.   DF = 1 / (1 + S * tau)</t>
        </is>
      </c>
    </row>
    <row r="18">
      <c r="C18" s="127" t="inlineStr">
        <is>
          <t>tau = ACT/360 measured from VAL_DATE, not from spot.</t>
        </is>
      </c>
    </row>
    <row r="20">
      <c r="A20" s="124" t="inlineStr">
        <is>
          <t>STEP 4</t>
        </is>
      </c>
      <c r="B20" s="124" t="inlineStr">
        <is>
          <t>Long end, 18M to 50Y</t>
        </is>
      </c>
      <c r="C20" s="125" t="inlineStr">
        <is>
          <t>Bootstrap rows 23-72</t>
        </is>
      </c>
    </row>
    <row r="21">
      <c r="C21" s="127" t="inlineStr">
        <is>
          <t>Annual coupons.   DF = (1 - S*A) / (1 + S*tau)</t>
        </is>
      </c>
    </row>
    <row r="22">
      <c r="C22" s="127" t="inlineStr">
        <is>
          <t>A = sum of tau_i * DF_i over prior annual coupon dates (col G).</t>
        </is>
      </c>
    </row>
    <row r="23">
      <c r="C23" s="126" t="inlineStr">
        <is>
          <t>18M is off the annual grid: uses the annuity through 1Y and contributes nothing</t>
        </is>
      </c>
    </row>
    <row r="24">
      <c r="C24" s="127" t="inlineStr">
        <is>
          <t>onward, so I23 = 0 and the 2Y accrual runs from 1Y.</t>
        </is>
      </c>
    </row>
    <row r="26">
      <c r="A26" s="124" t="inlineStr">
        <is>
          <t>STEP 5</t>
        </is>
      </c>
      <c r="B26" s="124" t="inlineStr">
        <is>
          <t>Gap years</t>
        </is>
      </c>
      <c r="C26" s="125" t="inlineStr">
        <is>
          <t>Bootstrap, interpolated rows</t>
        </is>
      </c>
    </row>
    <row r="27">
      <c r="C27" s="126" t="inlineStr">
        <is>
          <t>11Y, 13-14Y, 16-19Y, 21-24Y, 26-29Y, 31-39Y, 41-49Y are not quoted.</t>
        </is>
      </c>
    </row>
    <row r="28">
      <c r="C28" s="127" t="inlineStr">
        <is>
          <t>Log-linear in DF between surrounding pillars = step-function forward.</t>
        </is>
      </c>
    </row>
    <row r="29">
      <c r="C29" s="127" t="inlineStr">
        <is>
          <t>Confirmed on the S490 screen: Interpolation = Step Forward (Cont).</t>
        </is>
      </c>
    </row>
    <row r="30">
      <c r="C30" s="126" t="inlineStr">
        <is>
          <t>Tested against the guide's method 1 (piecewise linear simple): 48x worse here.</t>
        </is>
      </c>
    </row>
    <row r="32">
      <c r="A32" s="124" t="inlineStr">
        <is>
          <t>STEP 6</t>
        </is>
      </c>
      <c r="B32" s="124" t="inlineStr">
        <is>
          <t>Long pillar solver</t>
        </is>
      </c>
      <c r="C32" s="125" t="inlineStr">
        <is>
          <t>Curve_Solver (hidden)</t>
        </is>
      </c>
    </row>
    <row r="33">
      <c r="C33" s="126" t="inlineStr">
        <is>
          <t>Gap DFs feed the annuity of the pillar they interpolate from, which is circular.</t>
        </is>
      </c>
    </row>
    <row r="34">
      <c r="C34" s="126" t="inlineStr">
        <is>
          <t>Each quoted pillar 12Y+ is bisection-solved so the par identity holds with its</t>
        </is>
      </c>
    </row>
    <row r="35">
      <c r="C35" s="126" t="inlineStr">
        <is>
          <t>gap points inside the annuity.</t>
        </is>
      </c>
    </row>
    <row r="36">
      <c r="C36" s="126" t="inlineStr">
        <is>
          <t>Par check: Bootstrap col R, residuals ~1e-13.</t>
        </is>
      </c>
    </row>
    <row r="38">
      <c r="A38" s="124" t="inlineStr">
        <is>
          <t>STEP 7</t>
        </is>
      </c>
      <c r="B38" s="124" t="inlineStr">
        <is>
          <t>Zero rates</t>
        </is>
      </c>
      <c r="C38" s="125" t="inlineStr">
        <is>
          <t>Bootstrap col J</t>
        </is>
      </c>
    </row>
    <row r="39">
      <c r="C39" s="127" t="inlineStr">
        <is>
          <t>z = -ln(DF) / t,  ACT/365 from VAL_DATE, continuously compounded.</t>
        </is>
      </c>
    </row>
    <row r="41">
      <c r="A41" s="124" t="inlineStr">
        <is>
          <t>STEP 8</t>
        </is>
      </c>
      <c r="B41" s="124" t="inlineStr">
        <is>
          <t>Validate against S490</t>
        </is>
      </c>
      <c r="C41" s="125" t="inlineStr">
        <is>
          <t>Bloomberg_S490_Validation, Bootstrap T:W</t>
        </is>
      </c>
    </row>
    <row r="42">
      <c r="C42" s="127" t="inlineStr">
        <is>
          <t>Col L = S490 zero curve, hard-coded from the 07/21/26 capture.</t>
        </is>
      </c>
    </row>
    <row r="43">
      <c r="C43" s="126" t="inlineStr">
        <is>
          <t>Result: 32/32 pillars, max |dz| 0.397bp, max |dDF| 1.88e-05, 0.08bp from 2Y.</t>
        </is>
      </c>
    </row>
    <row r="44">
      <c r="C44" s="126" t="inlineStr">
        <is>
          <t>Residual is simple interest vs Bloomberg's daily-compounded short OIS.</t>
        </is>
      </c>
    </row>
    <row r="45">
      <c r="C45" s="126" t="inlineStr">
        <is>
          <t>It is not fitted out: every curve input is a pulled quote.</t>
        </is>
      </c>
    </row>
    <row r="47">
      <c r="A47" s="124" t="inlineStr">
        <is>
          <t>STEP 9</t>
        </is>
      </c>
      <c r="B47" s="124" t="inlineStr">
        <is>
          <t>Curve interface</t>
        </is>
      </c>
      <c r="C47" s="125" t="inlineStr">
        <is>
          <t>Curve_Interface</t>
        </is>
      </c>
    </row>
    <row r="48">
      <c r="C48" s="126" t="inlineStr">
        <is>
          <t>Exposes D(0,t) for any date. Interpolation selector at J7.</t>
        </is>
      </c>
    </row>
    <row r="49">
      <c r="C49" s="126" t="inlineStr">
        <is>
          <t>CDS_Schedule and Swap_Pricer each hold their own inline copy of the</t>
        </is>
      </c>
    </row>
    <row r="50">
      <c r="C50" s="126" t="inlineStr">
        <is>
          <t>interpolation; all three read the J7 selector.</t>
        </is>
      </c>
    </row>
    <row r="52">
      <c r="A52" s="124" t="inlineStr">
        <is>
          <t>STEP 10</t>
        </is>
      </c>
      <c r="B52" s="124" t="inlineStr">
        <is>
          <t>Swap pricing</t>
        </is>
      </c>
      <c r="C52" s="125" t="inlineStr">
        <is>
          <t>Swap_Pricer</t>
        </is>
      </c>
    </row>
    <row r="53">
      <c r="C53" s="127" t="inlineStr">
        <is>
          <t>Par = (DF_eff - DF_mat) / annuity.   PV01 = notional * annuity * 1bp.</t>
        </is>
      </c>
    </row>
    <row r="54">
      <c r="C54" s="126" t="inlineStr">
        <is>
          <t>B17 maturity override prices sub-annual and off-grid deals.</t>
        </is>
      </c>
    </row>
    <row r="55">
      <c r="C55" s="127" t="inlineStr">
        <is>
          <t>Reprices its own inputs to &lt;=0.16bp across 1Y-50Y.</t>
        </is>
      </c>
    </row>
    <row r="56">
      <c r="C56" s="126" t="inlineStr">
        <is>
          <t>SWPM cross-check at A88.</t>
        </is>
      </c>
    </row>
    <row r="58">
      <c r="A58" s="124" t="inlineStr">
        <is>
          <t>STEP 11</t>
        </is>
      </c>
      <c r="B58" s="124" t="inlineStr">
        <is>
          <t>CDS hazard curve</t>
        </is>
      </c>
      <c r="C58" s="125" t="inlineStr">
        <is>
          <t>CDS_Quotes, Hazard_Bootstrap, Hazard_Solver</t>
        </is>
      </c>
    </row>
    <row r="59">
      <c r="C59" s="126" t="inlineStr">
        <is>
          <t>Two-step pull per Help Desk H#1330731572:</t>
        </is>
      </c>
    </row>
    <row r="60">
      <c r="C60" s="127" t="inlineStr">
        <is>
          <t xml:space="preserve">   1.  BDP(ticker, "CDS_SPREAD_TICKER_nY")      -&gt; CDS ticker</t>
        </is>
      </c>
    </row>
    <row r="61">
      <c r="C61" s="127" t="inlineStr">
        <is>
          <t xml:space="preserve">   2.  BDP(ticker &amp; " BEST Curncy", "PX_LAST")  -&gt; spread</t>
        </is>
      </c>
    </row>
    <row r="62">
      <c r="C62" s="126" t="inlineStr">
        <is>
          <t>Hazard_Solver bisection-solves each piecewise-constant hazard. No Goal Seek.</t>
        </is>
      </c>
    </row>
    <row r="63">
      <c r="C63" s="126" t="inlineStr">
        <is>
          <t>CDS_Parameters!B17 switches between bootstrap and a flat hazard.</t>
        </is>
      </c>
    </row>
    <row r="65">
      <c r="A65" s="124" t="inlineStr">
        <is>
          <t>STEP 12</t>
        </is>
      </c>
      <c r="B65" s="124" t="inlineStr">
        <is>
          <t>CDS pricing</t>
        </is>
      </c>
      <c r="C65" s="125" t="inlineStr">
        <is>
          <t>CDS_Schedule, CDS_Pricer</t>
        </is>
      </c>
    </row>
    <row r="66">
      <c r="C66" s="127" t="inlineStr">
        <is>
          <t>Quarterly IMM grid. DF from Curve_Interface, survival from the hazard curve.</t>
        </is>
      </c>
    </row>
    <row r="67">
      <c r="C67" s="127" t="inlineStr">
        <is>
          <t>Protection leg  (1-R) * sum Z(t)*dQ(t)</t>
        </is>
      </c>
    </row>
    <row r="68">
      <c r="C68" s="127" t="inlineStr">
        <is>
          <t>Premium leg     S * [ sum d_i Z_i Q_i  +  1/2 sum d_i Z_i (Q_i-1 - Q_i) ]</t>
        </is>
      </c>
    </row>
    <row r="69">
      <c r="C69" s="126" t="inlineStr">
        <is>
          <t>CDS_Pricer rows 28+ give the CDSW settlement panel.</t>
        </is>
      </c>
    </row>
    <row r="70">
      <c r="C70" s="126" t="inlineStr">
        <is>
          <t>No Bloomberg export of hazard rates exists, so the credit side has no external</t>
        </is>
      </c>
    </row>
    <row r="71">
      <c r="C71" s="126" t="inlineStr">
        <is>
          <t>ground truth. Validate against CDSW output for a known trade.</t>
        </is>
      </c>
    </row>
    <row r="73">
      <c r="A73" s="66" t="inlineStr">
        <is>
          <t>KNOWN GAPS</t>
        </is>
      </c>
    </row>
    <row r="74">
      <c r="C74" s="126" t="inlineStr">
        <is>
          <t>CDS spreads on CDS_Quotes are demo values, not market.</t>
        </is>
      </c>
    </row>
    <row r="75">
      <c r="C75" s="126" t="inlineStr">
        <is>
          <t>Short end prices ~0.15bp rich to Bloomberg (simple vs daily-compounded OIS).</t>
        </is>
      </c>
    </row>
    <row r="76">
      <c r="C76" s="126" t="inlineStr">
        <is>
          <t>VAL_DATE = TODAY(). The frozen S490 comparison only lines up on 07/21/2026.</t>
        </is>
      </c>
    </row>
    <row r="77">
      <c r="C77" s="126" t="inlineStr">
        <is>
          <t>SOFR_Futures feeds nothing and its pulls are switched off at B3.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F3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Conventions</t>
        </is>
      </c>
    </row>
    <row r="2">
      <c r="A2" s="2" t="inlineStr">
        <is>
          <t>OIS quote conventions (DES/FLDS) for representative tenors — record before you bootstrap</t>
        </is>
      </c>
    </row>
    <row r="4">
      <c r="A4" s="20" t="inlineStr">
        <is>
          <t>Convention attribute</t>
        </is>
      </c>
      <c r="B4" s="20" t="inlineStr">
        <is>
          <t>BDP field (verify via FLDS)</t>
        </is>
      </c>
      <c r="C4" s="20" t="inlineStr">
        <is>
          <t>USOSFRC  (3M)</t>
        </is>
      </c>
      <c r="D4" s="20" t="inlineStr">
        <is>
          <t>USOSFR1  (1Y)</t>
        </is>
      </c>
      <c r="E4" s="20" t="inlineStr">
        <is>
          <t>USOSFR5  (5Y)</t>
        </is>
      </c>
      <c r="F4" s="20" t="inlineStr">
        <is>
          <t>USOSFR30  (30Y)</t>
        </is>
      </c>
    </row>
    <row r="5">
      <c r="A5" s="6" t="inlineStr">
        <is>
          <t>Currency</t>
        </is>
      </c>
      <c r="B5" s="8" t="inlineStr">
        <is>
          <t>CRNCY</t>
        </is>
      </c>
      <c r="C5" s="22">
        <f>IFERROR(BDP("USOSFRC BGN Curncy","CRNCY"),"ERROR PLZ FIX")</f>
        <v/>
      </c>
      <c r="D5" s="22">
        <f>IFERROR(BDP("USOSFR1 BGN Curncy","CRNCY"),"ERROR PLZ FIX")</f>
        <v/>
      </c>
      <c r="E5" s="22">
        <f>IFERROR(BDP("USOSFR5 BGN Curncy","CRNCY"),"ERROR PLZ FIX")</f>
        <v/>
      </c>
      <c r="F5" s="22">
        <f>IFERROR(BDP("USOSFR30 BGN Curncy","CRNCY"),"ERROR PLZ FIX")</f>
        <v/>
      </c>
    </row>
    <row r="6">
      <c r="A6" s="6" t="inlineStr">
        <is>
          <t>Reference index</t>
        </is>
      </c>
      <c r="B6" s="8" t="inlineStr">
        <is>
          <t>— DES/SWPM manual —</t>
        </is>
      </c>
      <c r="C6" s="22" t="inlineStr">
        <is>
          <t>— DES/SWPM —</t>
        </is>
      </c>
      <c r="D6" s="22" t="inlineStr">
        <is>
          <t>— DES/SWPM —</t>
        </is>
      </c>
      <c r="E6" s="22" t="inlineStr">
        <is>
          <t>— DES/SWPM —</t>
        </is>
      </c>
      <c r="F6" s="22" t="inlineStr">
        <is>
          <t>— DES/SWPM —</t>
        </is>
      </c>
    </row>
    <row r="7">
      <c r="A7" s="6" t="inlineStr">
        <is>
          <t>Spot / settlement lag</t>
        </is>
      </c>
      <c r="B7" s="8" t="inlineStr">
        <is>
          <t>— DES/SWPM manual —</t>
        </is>
      </c>
      <c r="C7" s="22" t="inlineStr">
        <is>
          <t>— DES/SWPM —</t>
        </is>
      </c>
      <c r="D7" s="22" t="inlineStr">
        <is>
          <t>— DES/SWPM —</t>
        </is>
      </c>
      <c r="E7" s="22" t="inlineStr">
        <is>
          <t>— DES/SWPM —</t>
        </is>
      </c>
      <c r="F7" s="22" t="inlineStr">
        <is>
          <t>— DES/SWPM —</t>
        </is>
      </c>
    </row>
    <row r="8">
      <c r="A8" s="6" t="inlineStr">
        <is>
          <t>Effective date rule</t>
        </is>
      </c>
      <c r="B8" s="8" t="inlineStr">
        <is>
          <t>— DES/SWPM manual —</t>
        </is>
      </c>
      <c r="C8" s="22" t="inlineStr">
        <is>
          <t>— DES/SWPM —</t>
        </is>
      </c>
      <c r="D8" s="22" t="inlineStr">
        <is>
          <t>— DES/SWPM —</t>
        </is>
      </c>
      <c r="E8" s="22" t="inlineStr">
        <is>
          <t>— DES/SWPM —</t>
        </is>
      </c>
      <c r="F8" s="22" t="inlineStr">
        <is>
          <t>— DES/SWPM —</t>
        </is>
      </c>
    </row>
    <row r="9">
      <c r="A9" s="6" t="inlineStr">
        <is>
          <t>Maturity date rule</t>
        </is>
      </c>
      <c r="B9" s="8" t="inlineStr">
        <is>
          <t>— DES/SWPM manual —</t>
        </is>
      </c>
      <c r="C9" s="22" t="inlineStr">
        <is>
          <t>— DES/SWPM —</t>
        </is>
      </c>
      <c r="D9" s="22" t="inlineStr">
        <is>
          <t>— DES/SWPM —</t>
        </is>
      </c>
      <c r="E9" s="22" t="inlineStr">
        <is>
          <t>— DES/SWPM —</t>
        </is>
      </c>
      <c r="F9" s="22" t="inlineStr">
        <is>
          <t>— DES/SWPM —</t>
        </is>
      </c>
    </row>
    <row r="10">
      <c r="A10" s="6" t="inlineStr">
        <is>
          <t>Business-day calendar</t>
        </is>
      </c>
      <c r="B10" s="8" t="inlineStr">
        <is>
          <t>CALENDAR_CODE</t>
        </is>
      </c>
      <c r="C10" s="22">
        <f>IFERROR(BDP("USOSFRC BGN Curncy","CALENDAR_CODE"),"ERROR PLZ FIX")</f>
        <v/>
      </c>
      <c r="D10" s="22">
        <f>IFERROR(BDP("USOSFR1 BGN Curncy","CALENDAR_CODE"),"ERROR PLZ FIX")</f>
        <v/>
      </c>
      <c r="E10" s="22">
        <f>IFERROR(BDP("USOSFR5 BGN Curncy","CALENDAR_CODE"),"ERROR PLZ FIX")</f>
        <v/>
      </c>
      <c r="F10" s="22">
        <f>IFERROR(BDP("USOSFR30 BGN Curncy","CALENDAR_CODE"),"ERROR PLZ FIX")</f>
        <v/>
      </c>
    </row>
    <row r="11">
      <c r="A11" s="6" t="inlineStr">
        <is>
          <t>Business-day convention</t>
        </is>
      </c>
      <c r="B11" s="8" t="inlineStr">
        <is>
          <t>— DES/SWPM manual —</t>
        </is>
      </c>
      <c r="C11" s="22" t="inlineStr">
        <is>
          <t>— DES/SWPM —</t>
        </is>
      </c>
      <c r="D11" s="22" t="inlineStr">
        <is>
          <t>— DES/SWPM —</t>
        </is>
      </c>
      <c r="E11" s="22" t="inlineStr">
        <is>
          <t>— DES/SWPM —</t>
        </is>
      </c>
      <c r="F11" s="22" t="inlineStr">
        <is>
          <t>— DES/SWPM —</t>
        </is>
      </c>
    </row>
    <row r="12">
      <c r="A12" s="6" t="inlineStr">
        <is>
          <t>Fixed-leg day count</t>
        </is>
      </c>
      <c r="B12" s="8" t="inlineStr">
        <is>
          <t>DAY_CNT_DES</t>
        </is>
      </c>
      <c r="C12" s="22">
        <f>IFERROR(BDP("USOSFRC BGN Curncy","DAY_CNT_DES"),"ERROR PLZ FIX")</f>
        <v/>
      </c>
      <c r="D12" s="22">
        <f>IFERROR(BDP("USOSFR1 BGN Curncy","DAY_CNT_DES"),"ERROR PLZ FIX")</f>
        <v/>
      </c>
      <c r="E12" s="22">
        <f>IFERROR(BDP("USOSFR5 BGN Curncy","DAY_CNT_DES"),"ERROR PLZ FIX")</f>
        <v/>
      </c>
      <c r="F12" s="22">
        <f>IFERROR(BDP("USOSFR30 BGN Curncy","DAY_CNT_DES"),"ERROR PLZ FIX")</f>
        <v/>
      </c>
    </row>
    <row r="13">
      <c r="A13" s="6" t="inlineStr">
        <is>
          <t>Fixed-leg pay frequency</t>
        </is>
      </c>
      <c r="B13" s="8" t="inlineStr">
        <is>
          <t>— DES/SWPM manual —</t>
        </is>
      </c>
      <c r="C13" s="22" t="inlineStr">
        <is>
          <t>— DES/SWPM —</t>
        </is>
      </c>
      <c r="D13" s="22" t="inlineStr">
        <is>
          <t>— DES/SWPM —</t>
        </is>
      </c>
      <c r="E13" s="22" t="inlineStr">
        <is>
          <t>— DES/SWPM —</t>
        </is>
      </c>
      <c r="F13" s="22" t="inlineStr">
        <is>
          <t>— DES/SWPM —</t>
        </is>
      </c>
    </row>
    <row r="14">
      <c r="A14" s="6" t="inlineStr">
        <is>
          <t>Floating-leg day count</t>
        </is>
      </c>
      <c r="B14" s="8" t="inlineStr">
        <is>
          <t>— DES/SWPM manual —</t>
        </is>
      </c>
      <c r="C14" s="22" t="inlineStr">
        <is>
          <t>— DES/SWPM —</t>
        </is>
      </c>
      <c r="D14" s="22" t="inlineStr">
        <is>
          <t>— DES/SWPM —</t>
        </is>
      </c>
      <c r="E14" s="22" t="inlineStr">
        <is>
          <t>— DES/SWPM —</t>
        </is>
      </c>
      <c r="F14" s="22" t="inlineStr">
        <is>
          <t>— DES/SWPM —</t>
        </is>
      </c>
    </row>
    <row r="15">
      <c r="A15" s="6" t="inlineStr">
        <is>
          <t>Floating-leg pay frequency</t>
        </is>
      </c>
      <c r="B15" s="8" t="inlineStr">
        <is>
          <t>— DES/SWPM manual —</t>
        </is>
      </c>
      <c r="C15" s="22" t="inlineStr">
        <is>
          <t>— DES/SWPM —</t>
        </is>
      </c>
      <c r="D15" s="22" t="inlineStr">
        <is>
          <t>— DES/SWPM —</t>
        </is>
      </c>
      <c r="E15" s="22" t="inlineStr">
        <is>
          <t>— DES/SWPM —</t>
        </is>
      </c>
      <c r="F15" s="22" t="inlineStr">
        <is>
          <t>— DES/SWPM —</t>
        </is>
      </c>
    </row>
    <row r="16">
      <c r="A16" s="6" t="inlineStr">
        <is>
          <t>SOFR compounding method</t>
        </is>
      </c>
      <c r="B16" s="8" t="inlineStr">
        <is>
          <t>— DES/SWPM manual —</t>
        </is>
      </c>
      <c r="C16" s="22" t="inlineStr">
        <is>
          <t>— DES/SWPM —</t>
        </is>
      </c>
      <c r="D16" s="22" t="inlineStr">
        <is>
          <t>— DES/SWPM —</t>
        </is>
      </c>
      <c r="E16" s="22" t="inlineStr">
        <is>
          <t>— DES/SWPM —</t>
        </is>
      </c>
      <c r="F16" s="22" t="inlineStr">
        <is>
          <t>— DES/SWPM —</t>
        </is>
      </c>
    </row>
    <row r="17">
      <c r="A17" s="6" t="inlineStr">
        <is>
          <t>Payment lag</t>
        </is>
      </c>
      <c r="B17" s="8" t="inlineStr">
        <is>
          <t>— DES/SWPM manual —</t>
        </is>
      </c>
      <c r="C17" s="22" t="inlineStr">
        <is>
          <t>— DES/SWPM —</t>
        </is>
      </c>
      <c r="D17" s="22" t="inlineStr">
        <is>
          <t>— DES/SWPM —</t>
        </is>
      </c>
      <c r="E17" s="22" t="inlineStr">
        <is>
          <t>— DES/SWPM —</t>
        </is>
      </c>
      <c r="F17" s="22" t="inlineStr">
        <is>
          <t>— DES/SWPM —</t>
        </is>
      </c>
    </row>
    <row r="18">
      <c r="A18" s="6" t="inlineStr">
        <is>
          <t>Observation shift / lookback</t>
        </is>
      </c>
      <c r="B18" s="8" t="inlineStr">
        <is>
          <t>— DES/SWPM manual —</t>
        </is>
      </c>
      <c r="C18" s="22" t="inlineStr">
        <is>
          <t>— DES/SWPM —</t>
        </is>
      </c>
      <c r="D18" s="22" t="inlineStr">
        <is>
          <t>— DES/SWPM —</t>
        </is>
      </c>
      <c r="E18" s="22" t="inlineStr">
        <is>
          <t>— DES/SWPM —</t>
        </is>
      </c>
      <c r="F18" s="22" t="inlineStr">
        <is>
          <t>— DES/SWPM —</t>
        </is>
      </c>
    </row>
    <row r="19">
      <c r="A19" s="6" t="inlineStr">
        <is>
          <t>End-of-month treatment</t>
        </is>
      </c>
      <c r="B19" s="8" t="inlineStr">
        <is>
          <t>— DES/SWPM manual —</t>
        </is>
      </c>
      <c r="C19" s="22" t="inlineStr">
        <is>
          <t>— DES/SWPM —</t>
        </is>
      </c>
      <c r="D19" s="22" t="inlineStr">
        <is>
          <t>— DES/SWPM —</t>
        </is>
      </c>
      <c r="E19" s="22" t="inlineStr">
        <is>
          <t>— DES/SWPM —</t>
        </is>
      </c>
      <c r="F19" s="22" t="inlineStr">
        <is>
          <t>— DES/SWPM —</t>
        </is>
      </c>
    </row>
    <row r="21">
      <c r="A21" s="4" t="inlineStr">
        <is>
          <t>USD SOFR OIS — MARKET-STANDARD CONVENTIONS  (confirm per-trade in DES)</t>
        </is>
      </c>
    </row>
    <row r="22">
      <c r="A22" s="6" t="inlineStr">
        <is>
          <t>Reference index</t>
        </is>
      </c>
      <c r="B22" s="49" t="inlineStr">
        <is>
          <t>USD-SOFR (compounded in arrears)</t>
        </is>
      </c>
    </row>
    <row r="23">
      <c r="A23" s="6" t="inlineStr">
        <is>
          <t>Spot / settlement lag</t>
        </is>
      </c>
      <c r="B23" s="49" t="inlineStr">
        <is>
          <t>T+2 US business days</t>
        </is>
      </c>
    </row>
    <row r="24">
      <c r="A24" s="6" t="inlineStr">
        <is>
          <t>Effective date rule</t>
        </is>
      </c>
      <c r="B24" s="49" t="inlineStr">
        <is>
          <t>Spot (T+2), modified following</t>
        </is>
      </c>
    </row>
    <row r="25">
      <c r="A25" s="6" t="inlineStr">
        <is>
          <t>Maturity date rule</t>
        </is>
      </c>
      <c r="B25" s="49" t="inlineStr">
        <is>
          <t>Effective + tenor, modified following</t>
        </is>
      </c>
    </row>
    <row r="26">
      <c r="A26" s="6" t="inlineStr">
        <is>
          <t>Business-day convention</t>
        </is>
      </c>
      <c r="B26" s="49" t="inlineStr">
        <is>
          <t>Modified Following</t>
        </is>
      </c>
    </row>
    <row r="27">
      <c r="A27" s="6" t="inlineStr">
        <is>
          <t>Fixed-leg day count</t>
        </is>
      </c>
      <c r="B27" s="49" t="inlineStr">
        <is>
          <t>ACT/360</t>
        </is>
      </c>
    </row>
    <row r="28">
      <c r="A28" s="6" t="inlineStr">
        <is>
          <t>Fixed-leg pay frequency</t>
        </is>
      </c>
      <c r="B28" s="49" t="inlineStr">
        <is>
          <t>Annual  (single payment if tenor ≤ 1Y)</t>
        </is>
      </c>
    </row>
    <row r="29">
      <c r="A29" s="6" t="inlineStr">
        <is>
          <t>Floating-leg day count</t>
        </is>
      </c>
      <c r="B29" s="49" t="inlineStr">
        <is>
          <t>ACT/360</t>
        </is>
      </c>
    </row>
    <row r="30">
      <c r="A30" s="6" t="inlineStr">
        <is>
          <t>Floating-leg pay frequency</t>
        </is>
      </c>
      <c r="B30" s="49" t="inlineStr">
        <is>
          <t>Annual  (single payment if tenor ≤ 1Y)</t>
        </is>
      </c>
    </row>
    <row r="31">
      <c r="A31" s="6" t="inlineStr">
        <is>
          <t>SOFR compounding method</t>
        </is>
      </c>
      <c r="B31" s="49" t="inlineStr">
        <is>
          <t>Daily compounded, ACT/360</t>
        </is>
      </c>
    </row>
    <row r="32">
      <c r="A32" s="6" t="inlineStr">
        <is>
          <t>Payment lag</t>
        </is>
      </c>
      <c r="B32" s="49" t="inlineStr">
        <is>
          <t>2 US business days</t>
        </is>
      </c>
    </row>
    <row r="33">
      <c r="A33" s="6" t="inlineStr">
        <is>
          <t>Observation shift / lookback</t>
        </is>
      </c>
      <c r="B33" s="49" t="inlineStr">
        <is>
          <t>None (payment-delay convention, 2 bd)</t>
        </is>
      </c>
    </row>
    <row r="34">
      <c r="A34" s="6" t="inlineStr">
        <is>
          <t>End-of-month treatment</t>
        </is>
      </c>
      <c r="B34" s="49" t="inlineStr">
        <is>
          <t>EOM applies</t>
        </is>
      </c>
    </row>
    <row r="36" ht="44" customHeight="1">
      <c r="A36" s="9" t="inlineStr">
        <is>
          <t>SWPM &lt;GO&gt;: build a representative SOFR OIS for 1Y, 5Y and 30Y and export the cashflow schedule — that gives an authoritative set of pay/accrual dates to test your own date generation against. Rows marked '— DES/SWPM —' are leg-level conventions that a rate-quote ticker does not carry; read them from DES &lt;GO&gt; on an actual swap (the market-standard defaults above are the expected values). Where a BDP cell shows 'N/A — use FLDS', open FLDS &lt;GO&gt; to find the enabled field.</t>
        </is>
      </c>
    </row>
    <row r="37"/>
  </sheetData>
  <mergeCells count="15">
    <mergeCell ref="B30:F30"/>
    <mergeCell ref="B29:F29"/>
    <mergeCell ref="B24:F24"/>
    <mergeCell ref="B34:F34"/>
    <mergeCell ref="B33:F33"/>
    <mergeCell ref="B25:F25"/>
    <mergeCell ref="B28:F28"/>
    <mergeCell ref="B31:F31"/>
    <mergeCell ref="B23:F23"/>
    <mergeCell ref="B22:F22"/>
    <mergeCell ref="B32:F32"/>
    <mergeCell ref="A21:F21"/>
    <mergeCell ref="B26:F26"/>
    <mergeCell ref="A36:F37"/>
    <mergeCell ref="B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</cols>
  <sheetData>
    <row r="1">
      <c r="A1" s="1" t="inlineStr">
        <is>
          <t>SOFR_Fixings</t>
        </is>
      </c>
    </row>
    <row r="2">
      <c r="A2" s="2" t="inlineStr">
        <is>
          <t>Overnight SOFR fixing (SOFRRATE Index) — the curve's shortest anchor point</t>
        </is>
      </c>
    </row>
    <row r="4">
      <c r="A4" s="4" t="inlineStr">
        <is>
          <t>CURRENT FIXING</t>
        </is>
      </c>
    </row>
    <row r="5">
      <c r="A5" s="5" t="inlineStr">
        <is>
          <t>Ticker</t>
        </is>
      </c>
      <c r="B5" s="5" t="inlineStr">
        <is>
          <t>Field</t>
        </is>
      </c>
      <c r="C5" s="5" t="inlineStr">
        <is>
          <t>Value (%)</t>
        </is>
      </c>
      <c r="D5" s="5" t="inlineStr">
        <is>
          <t>As of</t>
        </is>
      </c>
      <c r="E5" s="62" t="inlineStr">
        <is>
          <t>O/N stub (%)</t>
        </is>
      </c>
    </row>
    <row r="6">
      <c r="A6" s="6">
        <f>SOFR_TKR</f>
        <v/>
      </c>
      <c r="B6" s="6" t="inlineStr">
        <is>
          <t>PX_LAST</t>
        </is>
      </c>
      <c r="C6" s="84">
        <f>IFERROR(BDP(SOFR_TKR,"PX_LAST")+0,E6)</f>
        <v/>
      </c>
      <c r="D6" s="18">
        <f>IFERROR(BDP(SOFR_TKR,"LAST_UPDATE_DT"),"ERROR PLZ FIX")</f>
        <v/>
      </c>
      <c r="E6" s="85" t="n">
        <v>3.59</v>
      </c>
      <c r="F6" s="65" t="inlineStr">
        <is>
          <t>O/N fixing. Informational only since Step 3 sets DF(settle)=1. Live BDP overrides this cell.</t>
        </is>
      </c>
    </row>
    <row r="9">
      <c r="A9" s="4" t="inlineStr">
        <is>
          <t>DAILY HISTORY</t>
        </is>
      </c>
    </row>
    <row r="10">
      <c r="A10" s="9" t="inlineStr">
        <is>
          <t>The BDH array below spills down two columns (Date, PX_LAST) from the anchor cell A12. It uses the HIST_START / HIST_END parameters on the Instructions tab.</t>
        </is>
      </c>
    </row>
    <row r="11">
      <c r="A11" s="5" t="inlineStr">
        <is>
          <t>Date</t>
        </is>
      </c>
      <c r="B11" s="5" t="inlineStr">
        <is>
          <t>SOFR PX_LAST (%)</t>
        </is>
      </c>
    </row>
    <row r="12">
      <c r="A12" s="19">
        <f>IFERROR(BDH(SOFR_TKR,"PX_LAST",TEXT(HIST_START,"mm/dd/yyyy"),TEXT(HIST_END,"mm/dd/yyyy")),"ERROR PLZ FIX")</f>
        <v/>
      </c>
    </row>
  </sheetData>
  <mergeCells count="3">
    <mergeCell ref="A4:D4"/>
    <mergeCell ref="A10:F10"/>
    <mergeCell ref="A9:D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U4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1" customWidth="1" min="4" max="4"/>
    <col width="10" customWidth="1" min="5" max="5"/>
    <col width="10" customWidth="1" min="6" max="6"/>
    <col width="10" customWidth="1" min="7" max="7"/>
    <col width="11" customWidth="1" min="8" max="8"/>
    <col width="9" customWidth="1" min="9" max="9"/>
    <col width="12" customWidth="1" min="10" max="10"/>
    <col width="15" customWidth="1" min="11" max="11"/>
    <col width="1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SOFR_OIS_Quotes</t>
        </is>
      </c>
      <c r="J1" s="66" t="inlineStr">
        <is>
          <t>REAL MARKET DATA - S490 USD SOFR, Step Forward (Cont), Settle 07/21/26, Curve Side Mid</t>
        </is>
      </c>
      <c r="N1" s="66" t="inlineStr">
        <is>
          <t>RECONCILIATION vs the Bloomberg curve export</t>
        </is>
      </c>
    </row>
    <row r="2">
      <c r="A2" s="2" t="inlineStr">
        <is>
          <t>USD fixed-vs-SOFR OIS strip (USOSFR…, BGN) — 1W to 50Y.  Maturity &amp; years are derived live from the tenor.</t>
        </is>
      </c>
      <c r="J2" s="65" t="inlineStr">
        <is>
          <t>S490 screen mids, frozen 07/21/26. Used only when BDP fails.</t>
        </is>
      </c>
      <c r="N2" s="65" t="inlineStr">
        <is>
          <t>Paste export bid/ask in N:O. Q/R/S = BDP minus export, bp. Mixed signs of a few tenths = ticked apart. Consistent shift = wrong source/field.</t>
        </is>
      </c>
      <c r="T2" s="67">
        <f>IF(Bootstrap!$G$4="Fixed (S490 07/21/26)","FIXED - BDP ignored, curve on the 07/21/26 capture","LIVE - BDP mid, falling back to the capture if unavailable")</f>
        <v/>
      </c>
    </row>
    <row r="3">
      <c r="A3" s="13" t="inlineStr">
        <is>
          <t>Spot (T+2):</t>
        </is>
      </c>
      <c r="B3" s="18">
        <f>WORKDAY(VAL_DATE,2)</f>
        <v/>
      </c>
      <c r="C3" s="16" t="inlineStr">
        <is>
          <t>Maturity &amp; Tenor(yrs) recompute from the tenor label + spot.</t>
        </is>
      </c>
      <c r="T3" s="65" t="inlineStr">
        <is>
          <t>Column H is the mid actually used. T is always the raw BDP mid, so the live-vs-fixed gap stays visible in either mode.</t>
        </is>
      </c>
    </row>
    <row r="4" ht="30" customHeight="1">
      <c r="A4" s="140" t="inlineStr">
        <is>
          <t>Ticker root</t>
        </is>
      </c>
      <c r="B4" s="140" t="inlineStr">
        <is>
          <t>Tenor</t>
        </is>
      </c>
      <c r="C4" s="140" t="inlineStr">
        <is>
          <t>Maturity date</t>
        </is>
      </c>
      <c r="D4" s="140" t="inlineStr">
        <is>
          <t>Tenor (yrs)</t>
        </is>
      </c>
      <c r="E4" s="140" t="inlineStr">
        <is>
          <t>PX_BID</t>
        </is>
      </c>
      <c r="F4" s="140" t="inlineStr">
        <is>
          <t>PX_ASK</t>
        </is>
      </c>
      <c r="G4" s="140" t="inlineStr">
        <is>
          <t>PX_LAST</t>
        </is>
      </c>
      <c r="H4" s="140" t="inlineStr">
        <is>
          <t>Mid = (Bid+Ask)/2</t>
        </is>
      </c>
      <c r="I4" s="140" t="inlineStr">
        <is>
          <t>In bootstrap set</t>
        </is>
      </c>
      <c r="J4" s="141" t="inlineStr">
        <is>
          <t>Manual MID (%) &lt;- S490_Snapshot</t>
        </is>
      </c>
      <c r="K4" s="141" t="inlineStr">
        <is>
          <t>Source</t>
        </is>
      </c>
      <c r="L4" s="62" t="inlineStr"/>
      <c r="M4" s="65" t="inlineStr">
        <is>
          <t>Dates modified-following, weekends only. Matches S490.</t>
        </is>
      </c>
      <c r="N4" s="141" t="inlineStr">
        <is>
          <t>Export Bid (paste)</t>
        </is>
      </c>
      <c r="O4" s="141" t="inlineStr">
        <is>
          <t>Export Ask (paste)</t>
        </is>
      </c>
      <c r="P4" s="141" t="inlineStr">
        <is>
          <t>Export Mid</t>
        </is>
      </c>
      <c r="Q4" s="141" t="inlineStr">
        <is>
          <t>d Bid (bp)</t>
        </is>
      </c>
      <c r="R4" s="141" t="inlineStr">
        <is>
          <t>d Ask (bp)</t>
        </is>
      </c>
      <c r="S4" s="141" t="inlineStr">
        <is>
          <t>d Mid (bp)</t>
        </is>
      </c>
      <c r="T4" s="141" t="inlineStr">
        <is>
          <t>Live mid (BDP only)</t>
        </is>
      </c>
      <c r="U4" s="141" t="inlineStr">
        <is>
          <t>d live - fixed (bp)</t>
        </is>
      </c>
    </row>
    <row r="5">
      <c r="A5" s="6" t="inlineStr">
        <is>
          <t>USOSFR1Z</t>
        </is>
      </c>
      <c r="B5" s="22" t="inlineStr">
        <is>
          <t>1W</t>
        </is>
      </c>
      <c r="C5" s="23">
        <f>IF(MONTH((IF(RIGHT(B5,1)="W",$B$3+7*VALUE(LEFT(B5,LEN(B5)-1)),IF(RIGHT(B5,1)="M",EDATE($B$3,VALUE(LEFT(B5,LEN(B5)-1))),EDATE($B$3,12*VALUE(LEFT(B5,LEN(B5)-1)))))+IF(WEEKDAY(IF(RIGHT(B5,1)="W",$B$3+7*VALUE(LEFT(B5,LEN(B5)-1)),IF(RIGHT(B5,1)="M",EDATE($B$3,VALUE(LEFT(B5,LEN(B5)-1))),EDATE($B$3,12*VALUE(LEFT(B5,LEN(B5)-1))))),2)=6,2,IF(WEEKDAY(IF(RIGHT(B5,1)="W",$B$3+7*VALUE(LEFT(B5,LEN(B5)-1)),IF(RIGHT(B5,1)="M",EDATE($B$3,VALUE(LEFT(B5,LEN(B5)-1))),EDATE($B$3,12*VALUE(LEFT(B5,LEN(B5)-1))))),2)=7,1,0))))&lt;&gt;MONTH(IF(RIGHT(B5,1)="W",$B$3+7*VALUE(LEFT(B5,LEN(B5)-1)),IF(RIGHT(B5,1)="M",EDATE($B$3,VALUE(LEFT(B5,LEN(B5)-1))),EDATE($B$3,12*VALUE(LEFT(B5,LEN(B5)-1)))))),(IF(RIGHT(B5,1)="W",$B$3+7*VALUE(LEFT(B5,LEN(B5)-1)),IF(RIGHT(B5,1)="M",EDATE($B$3,VALUE(LEFT(B5,LEN(B5)-1))),EDATE($B$3,12*VALUE(LEFT(B5,LEN(B5)-1)))))-IF(WEEKDAY(IF(RIGHT(B5,1)="W",$B$3+7*VALUE(LEFT(B5,LEN(B5)-1)),IF(RIGHT(B5,1)="M",EDATE($B$3,VALUE(LEFT(B5,LEN(B5)-1))),EDATE($B$3,12*VALUE(LEFT(B5,LEN(B5)-1))))),2)=6,1,IF(WEEKDAY(IF(RIGHT(B5,1)="W",$B$3+7*VALUE(LEFT(B5,LEN(B5)-1)),IF(RIGHT(B5,1)="M",EDATE($B$3,VALUE(LEFT(B5,LEN(B5)-1))),EDATE($B$3,12*VALUE(LEFT(B5,LEN(B5)-1))))),2)=7,2,0))),(IF(RIGHT(B5,1)="W",$B$3+7*VALUE(LEFT(B5,LEN(B5)-1)),IF(RIGHT(B5,1)="M",EDATE($B$3,VALUE(LEFT(B5,LEN(B5)-1))),EDATE($B$3,12*VALUE(LEFT(B5,LEN(B5)-1)))))+IF(WEEKDAY(IF(RIGHT(B5,1)="W",$B$3+7*VALUE(LEFT(B5,LEN(B5)-1)),IF(RIGHT(B5,1)="M",EDATE($B$3,VALUE(LEFT(B5,LEN(B5)-1))),EDATE($B$3,12*VALUE(LEFT(B5,LEN(B5)-1))))),2)=6,2,IF(WEEKDAY(IF(RIGHT(B5,1)="W",$B$3+7*VALUE(LEFT(B5,LEN(B5)-1)),IF(RIGHT(B5,1)="M",EDATE($B$3,VALUE(LEFT(B5,LEN(B5)-1))),EDATE($B$3,12*VALUE(LEFT(B5,LEN(B5)-1))))),2)=7,1,0))))</f>
        <v/>
      </c>
      <c r="D5" s="142">
        <f>(C5-$B$3)/365</f>
        <v/>
      </c>
      <c r="E5" s="17">
        <f>IFERROR(BDP(A5&amp;" "&amp;PX_SRC&amp;" Curncy","PX_BID"),"ERROR PLZ FIX")</f>
        <v/>
      </c>
      <c r="F5" s="17">
        <f>IFERROR(BDP(A5&amp;" "&amp;PX_SRC&amp;" Curncy","PX_ASK"),"ERROR PLZ FIX")</f>
        <v/>
      </c>
      <c r="G5" s="17">
        <f>IFERROR(BDP(A5&amp;" "&amp;PX_SRC&amp;" Curncy","PX_LAST"),"ERROR PLZ FIX")</f>
        <v/>
      </c>
      <c r="H5" s="97">
        <f>IFERROR(IF(Bootstrap!$G$4="Test 1",INDEX(Testing!$B$8:$B$47,MATCH(C5,Testing!$F$8:$F$47,0)),IF(Bootstrap!$G$4="Test 2",INDEX(Testing!$B$58:$B$97,MATCH(C5,Testing!$F$58:$F$97,0)),IF(Bootstrap!$G$4="Test 3",INDEX(Testing!$B$108:$B$147,MATCH(C5,Testing!$F$108:$F$147,0)),IF(Bootstrap!$G$4="Fixed (S490 07/21/26)",J5,IF(ISNUMBER(T5),T5,J5))))),J5)</f>
        <v/>
      </c>
      <c r="I5" s="26" t="inlineStr">
        <is>
          <t>Y</t>
        </is>
      </c>
      <c r="J5" s="133">
        <f>IFERROR(INDEX(S490_Snapshot!$C$7:$C$38,MATCH(B5,S490_Snapshot!$B$7:$B$38,0)),"")</f>
        <v/>
      </c>
      <c r="K5" s="100" t="inlineStr">
        <is>
          <t>S490_Snapshot</t>
        </is>
      </c>
      <c r="L5" s="94" t="inlineStr"/>
      <c r="N5" s="85" t="n"/>
      <c r="O5" s="85" t="n"/>
      <c r="P5" s="33">
        <f>IF(COUNT(N5:O5)=2,(N5+O5)/2,"")</f>
        <v/>
      </c>
      <c r="Q5" s="108">
        <f>IF(AND(ISNUMBER(N5),ISNUMBER(E5)),(E5-N5)*100,"")</f>
        <v/>
      </c>
      <c r="R5" s="108">
        <f>IF(AND(ISNUMBER(O5),ISNUMBER(F5)),(F5-O5)*100,"")</f>
        <v/>
      </c>
      <c r="S5" s="108">
        <f>IF(AND(ISNUMBER(P5),ISNUMBER(H5)),(H5-P5)*100,"")</f>
        <v/>
      </c>
      <c r="T5" s="84">
        <f>IFERROR((E5+F5)/2,IFERROR(G5+0,""))</f>
        <v/>
      </c>
      <c r="U5" s="89">
        <f>IF(OR(T5="",NOT(ISNUMBER(J5))),"",(T5-J5)*100)</f>
        <v/>
      </c>
    </row>
    <row r="6">
      <c r="A6" s="6" t="inlineStr">
        <is>
          <t>USOSFR2Z</t>
        </is>
      </c>
      <c r="B6" s="22" t="inlineStr">
        <is>
          <t>2W</t>
        </is>
      </c>
      <c r="C6" s="23">
        <f>IF(MONTH((IF(RIGHT(B6,1)="W",$B$3+7*VALUE(LEFT(B6,LEN(B6)-1)),IF(RIGHT(B6,1)="M",EDATE($B$3,VALUE(LEFT(B6,LEN(B6)-1))),EDATE($B$3,12*VALUE(LEFT(B6,LEN(B6)-1)))))+IF(WEEKDAY(IF(RIGHT(B6,1)="W",$B$3+7*VALUE(LEFT(B6,LEN(B6)-1)),IF(RIGHT(B6,1)="M",EDATE($B$3,VALUE(LEFT(B6,LEN(B6)-1))),EDATE($B$3,12*VALUE(LEFT(B6,LEN(B6)-1))))),2)=6,2,IF(WEEKDAY(IF(RIGHT(B6,1)="W",$B$3+7*VALUE(LEFT(B6,LEN(B6)-1)),IF(RIGHT(B6,1)="M",EDATE($B$3,VALUE(LEFT(B6,LEN(B6)-1))),EDATE($B$3,12*VALUE(LEFT(B6,LEN(B6)-1))))),2)=7,1,0))))&lt;&gt;MONTH(IF(RIGHT(B6,1)="W",$B$3+7*VALUE(LEFT(B6,LEN(B6)-1)),IF(RIGHT(B6,1)="M",EDATE($B$3,VALUE(LEFT(B6,LEN(B6)-1))),EDATE($B$3,12*VALUE(LEFT(B6,LEN(B6)-1)))))),(IF(RIGHT(B6,1)="W",$B$3+7*VALUE(LEFT(B6,LEN(B6)-1)),IF(RIGHT(B6,1)="M",EDATE($B$3,VALUE(LEFT(B6,LEN(B6)-1))),EDATE($B$3,12*VALUE(LEFT(B6,LEN(B6)-1)))))-IF(WEEKDAY(IF(RIGHT(B6,1)="W",$B$3+7*VALUE(LEFT(B6,LEN(B6)-1)),IF(RIGHT(B6,1)="M",EDATE($B$3,VALUE(LEFT(B6,LEN(B6)-1))),EDATE($B$3,12*VALUE(LEFT(B6,LEN(B6)-1))))),2)=6,1,IF(WEEKDAY(IF(RIGHT(B6,1)="W",$B$3+7*VALUE(LEFT(B6,LEN(B6)-1)),IF(RIGHT(B6,1)="M",EDATE($B$3,VALUE(LEFT(B6,LEN(B6)-1))),EDATE($B$3,12*VALUE(LEFT(B6,LEN(B6)-1))))),2)=7,2,0))),(IF(RIGHT(B6,1)="W",$B$3+7*VALUE(LEFT(B6,LEN(B6)-1)),IF(RIGHT(B6,1)="M",EDATE($B$3,VALUE(LEFT(B6,LEN(B6)-1))),EDATE($B$3,12*VALUE(LEFT(B6,LEN(B6)-1)))))+IF(WEEKDAY(IF(RIGHT(B6,1)="W",$B$3+7*VALUE(LEFT(B6,LEN(B6)-1)),IF(RIGHT(B6,1)="M",EDATE($B$3,VALUE(LEFT(B6,LEN(B6)-1))),EDATE($B$3,12*VALUE(LEFT(B6,LEN(B6)-1))))),2)=6,2,IF(WEEKDAY(IF(RIGHT(B6,1)="W",$B$3+7*VALUE(LEFT(B6,LEN(B6)-1)),IF(RIGHT(B6,1)="M",EDATE($B$3,VALUE(LEFT(B6,LEN(B6)-1))),EDATE($B$3,12*VALUE(LEFT(B6,LEN(B6)-1))))),2)=7,1,0))))</f>
        <v/>
      </c>
      <c r="D6" s="142">
        <f>(C6-$B$3)/365</f>
        <v/>
      </c>
      <c r="E6" s="17">
        <f>IFERROR(BDP(A6&amp;" "&amp;PX_SRC&amp;" Curncy","PX_BID"),"ERROR PLZ FIX")</f>
        <v/>
      </c>
      <c r="F6" s="17">
        <f>IFERROR(BDP(A6&amp;" "&amp;PX_SRC&amp;" Curncy","PX_ASK"),"ERROR PLZ FIX")</f>
        <v/>
      </c>
      <c r="G6" s="17">
        <f>IFERROR(BDP(A6&amp;" "&amp;PX_SRC&amp;" Curncy","PX_LAST"),"ERROR PLZ FIX")</f>
        <v/>
      </c>
      <c r="H6" s="97">
        <f>IFERROR(IF(Bootstrap!$G$4="Test 1",INDEX(Testing!$B$8:$B$47,MATCH(C6,Testing!$F$8:$F$47,0)),IF(Bootstrap!$G$4="Test 2",INDEX(Testing!$B$58:$B$97,MATCH(C6,Testing!$F$58:$F$97,0)),IF(Bootstrap!$G$4="Test 3",INDEX(Testing!$B$108:$B$147,MATCH(C6,Testing!$F$108:$F$147,0)),IF(Bootstrap!$G$4="Fixed (S490 07/21/26)",J6,IF(ISNUMBER(T6),T6,J6))))),J6)</f>
        <v/>
      </c>
      <c r="I6" s="26" t="inlineStr"/>
      <c r="J6" s="133">
        <f>IFERROR(INDEX(S490_Snapshot!$C$7:$C$38,MATCH(B6,S490_Snapshot!$B$7:$B$38,0)),"")</f>
        <v/>
      </c>
      <c r="K6" s="100" t="inlineStr">
        <is>
          <t>S490_Snapshot</t>
        </is>
      </c>
      <c r="L6" s="94" t="inlineStr"/>
      <c r="N6" s="85" t="n"/>
      <c r="O6" s="85" t="n"/>
      <c r="P6" s="33">
        <f>IF(COUNT(N6:O6)=2,(N6+O6)/2,"")</f>
        <v/>
      </c>
      <c r="Q6" s="108">
        <f>IF(AND(ISNUMBER(N6),ISNUMBER(E6)),(E6-N6)*100,"")</f>
        <v/>
      </c>
      <c r="R6" s="108">
        <f>IF(AND(ISNUMBER(O6),ISNUMBER(F6)),(F6-O6)*100,"")</f>
        <v/>
      </c>
      <c r="S6" s="108">
        <f>IF(AND(ISNUMBER(P6),ISNUMBER(H6)),(H6-P6)*100,"")</f>
        <v/>
      </c>
      <c r="T6" s="84">
        <f>IFERROR((E6+F6)/2,IFERROR(G6+0,""))</f>
        <v/>
      </c>
      <c r="U6" s="89">
        <f>IF(OR(T6="",NOT(ISNUMBER(J6))),"",(T6-J6)*100)</f>
        <v/>
      </c>
    </row>
    <row r="7">
      <c r="A7" s="6" t="inlineStr">
        <is>
          <t>USOSFR3Z</t>
        </is>
      </c>
      <c r="B7" s="22" t="inlineStr">
        <is>
          <t>3W</t>
        </is>
      </c>
      <c r="C7" s="23">
        <f>IF(MONTH((IF(RIGHT(B7,1)="W",$B$3+7*VALUE(LEFT(B7,LEN(B7)-1)),IF(RIGHT(B7,1)="M",EDATE($B$3,VALUE(LEFT(B7,LEN(B7)-1))),EDATE($B$3,12*VALUE(LEFT(B7,LEN(B7)-1)))))+IF(WEEKDAY(IF(RIGHT(B7,1)="W",$B$3+7*VALUE(LEFT(B7,LEN(B7)-1)),IF(RIGHT(B7,1)="M",EDATE($B$3,VALUE(LEFT(B7,LEN(B7)-1))),EDATE($B$3,12*VALUE(LEFT(B7,LEN(B7)-1))))),2)=6,2,IF(WEEKDAY(IF(RIGHT(B7,1)="W",$B$3+7*VALUE(LEFT(B7,LEN(B7)-1)),IF(RIGHT(B7,1)="M",EDATE($B$3,VALUE(LEFT(B7,LEN(B7)-1))),EDATE($B$3,12*VALUE(LEFT(B7,LEN(B7)-1))))),2)=7,1,0))))&lt;&gt;MONTH(IF(RIGHT(B7,1)="W",$B$3+7*VALUE(LEFT(B7,LEN(B7)-1)),IF(RIGHT(B7,1)="M",EDATE($B$3,VALUE(LEFT(B7,LEN(B7)-1))),EDATE($B$3,12*VALUE(LEFT(B7,LEN(B7)-1)))))),(IF(RIGHT(B7,1)="W",$B$3+7*VALUE(LEFT(B7,LEN(B7)-1)),IF(RIGHT(B7,1)="M",EDATE($B$3,VALUE(LEFT(B7,LEN(B7)-1))),EDATE($B$3,12*VALUE(LEFT(B7,LEN(B7)-1)))))-IF(WEEKDAY(IF(RIGHT(B7,1)="W",$B$3+7*VALUE(LEFT(B7,LEN(B7)-1)),IF(RIGHT(B7,1)="M",EDATE($B$3,VALUE(LEFT(B7,LEN(B7)-1))),EDATE($B$3,12*VALUE(LEFT(B7,LEN(B7)-1))))),2)=6,1,IF(WEEKDAY(IF(RIGHT(B7,1)="W",$B$3+7*VALUE(LEFT(B7,LEN(B7)-1)),IF(RIGHT(B7,1)="M",EDATE($B$3,VALUE(LEFT(B7,LEN(B7)-1))),EDATE($B$3,12*VALUE(LEFT(B7,LEN(B7)-1))))),2)=7,2,0))),(IF(RIGHT(B7,1)="W",$B$3+7*VALUE(LEFT(B7,LEN(B7)-1)),IF(RIGHT(B7,1)="M",EDATE($B$3,VALUE(LEFT(B7,LEN(B7)-1))),EDATE($B$3,12*VALUE(LEFT(B7,LEN(B7)-1)))))+IF(WEEKDAY(IF(RIGHT(B7,1)="W",$B$3+7*VALUE(LEFT(B7,LEN(B7)-1)),IF(RIGHT(B7,1)="M",EDATE($B$3,VALUE(LEFT(B7,LEN(B7)-1))),EDATE($B$3,12*VALUE(LEFT(B7,LEN(B7)-1))))),2)=6,2,IF(WEEKDAY(IF(RIGHT(B7,1)="W",$B$3+7*VALUE(LEFT(B7,LEN(B7)-1)),IF(RIGHT(B7,1)="M",EDATE($B$3,VALUE(LEFT(B7,LEN(B7)-1))),EDATE($B$3,12*VALUE(LEFT(B7,LEN(B7)-1))))),2)=7,1,0))))</f>
        <v/>
      </c>
      <c r="D7" s="142">
        <f>(C7-$B$3)/365</f>
        <v/>
      </c>
      <c r="E7" s="17">
        <f>IFERROR(BDP(A7&amp;" "&amp;PX_SRC&amp;" Curncy","PX_BID"),"ERROR PLZ FIX")</f>
        <v/>
      </c>
      <c r="F7" s="17">
        <f>IFERROR(BDP(A7&amp;" "&amp;PX_SRC&amp;" Curncy","PX_ASK"),"ERROR PLZ FIX")</f>
        <v/>
      </c>
      <c r="G7" s="17">
        <f>IFERROR(BDP(A7&amp;" "&amp;PX_SRC&amp;" Curncy","PX_LAST"),"ERROR PLZ FIX")</f>
        <v/>
      </c>
      <c r="H7" s="97">
        <f>IFERROR(IF(Bootstrap!$G$4="Test 1",INDEX(Testing!$B$8:$B$47,MATCH(C7,Testing!$F$8:$F$47,0)),IF(Bootstrap!$G$4="Test 2",INDEX(Testing!$B$58:$B$97,MATCH(C7,Testing!$F$58:$F$97,0)),IF(Bootstrap!$G$4="Test 3",INDEX(Testing!$B$108:$B$147,MATCH(C7,Testing!$F$108:$F$147,0)),IF(Bootstrap!$G$4="Fixed (S490 07/21/26)",J7,IF(ISNUMBER(T7),T7,J7))))),J7)</f>
        <v/>
      </c>
      <c r="I7" s="26" t="inlineStr"/>
      <c r="J7" s="133">
        <f>IFERROR(INDEX(S490_Snapshot!$C$7:$C$38,MATCH(B7,S490_Snapshot!$B$7:$B$38,0)),"")</f>
        <v/>
      </c>
      <c r="K7" s="100" t="inlineStr">
        <is>
          <t>S490_Snapshot</t>
        </is>
      </c>
      <c r="L7" s="94" t="inlineStr"/>
      <c r="N7" s="85" t="n"/>
      <c r="O7" s="85" t="n"/>
      <c r="P7" s="33">
        <f>IF(COUNT(N7:O7)=2,(N7+O7)/2,"")</f>
        <v/>
      </c>
      <c r="Q7" s="108">
        <f>IF(AND(ISNUMBER(N7),ISNUMBER(E7)),(E7-N7)*100,"")</f>
        <v/>
      </c>
      <c r="R7" s="108">
        <f>IF(AND(ISNUMBER(O7),ISNUMBER(F7)),(F7-O7)*100,"")</f>
        <v/>
      </c>
      <c r="S7" s="108">
        <f>IF(AND(ISNUMBER(P7),ISNUMBER(H7)),(H7-P7)*100,"")</f>
        <v/>
      </c>
      <c r="T7" s="84">
        <f>IFERROR((E7+F7)/2,IFERROR(G7+0,""))</f>
        <v/>
      </c>
      <c r="U7" s="89">
        <f>IF(OR(T7="",NOT(ISNUMBER(J7))),"",(T7-J7)*100)</f>
        <v/>
      </c>
    </row>
    <row r="8">
      <c r="A8" s="6" t="inlineStr">
        <is>
          <t>USOSFRA</t>
        </is>
      </c>
      <c r="B8" s="22" t="inlineStr">
        <is>
          <t>1M</t>
        </is>
      </c>
      <c r="C8" s="23">
        <f>IF(MONTH((IF(RIGHT(B8,1)="W",$B$3+7*VALUE(LEFT(B8,LEN(B8)-1)),IF(RIGHT(B8,1)="M",EDATE($B$3,VALUE(LEFT(B8,LEN(B8)-1))),EDATE($B$3,12*VALUE(LEFT(B8,LEN(B8)-1)))))+IF(WEEKDAY(IF(RIGHT(B8,1)="W",$B$3+7*VALUE(LEFT(B8,LEN(B8)-1)),IF(RIGHT(B8,1)="M",EDATE($B$3,VALUE(LEFT(B8,LEN(B8)-1))),EDATE($B$3,12*VALUE(LEFT(B8,LEN(B8)-1))))),2)=6,2,IF(WEEKDAY(IF(RIGHT(B8,1)="W",$B$3+7*VALUE(LEFT(B8,LEN(B8)-1)),IF(RIGHT(B8,1)="M",EDATE($B$3,VALUE(LEFT(B8,LEN(B8)-1))),EDATE($B$3,12*VALUE(LEFT(B8,LEN(B8)-1))))),2)=7,1,0))))&lt;&gt;MONTH(IF(RIGHT(B8,1)="W",$B$3+7*VALUE(LEFT(B8,LEN(B8)-1)),IF(RIGHT(B8,1)="M",EDATE($B$3,VALUE(LEFT(B8,LEN(B8)-1))),EDATE($B$3,12*VALUE(LEFT(B8,LEN(B8)-1)))))),(IF(RIGHT(B8,1)="W",$B$3+7*VALUE(LEFT(B8,LEN(B8)-1)),IF(RIGHT(B8,1)="M",EDATE($B$3,VALUE(LEFT(B8,LEN(B8)-1))),EDATE($B$3,12*VALUE(LEFT(B8,LEN(B8)-1)))))-IF(WEEKDAY(IF(RIGHT(B8,1)="W",$B$3+7*VALUE(LEFT(B8,LEN(B8)-1)),IF(RIGHT(B8,1)="M",EDATE($B$3,VALUE(LEFT(B8,LEN(B8)-1))),EDATE($B$3,12*VALUE(LEFT(B8,LEN(B8)-1))))),2)=6,1,IF(WEEKDAY(IF(RIGHT(B8,1)="W",$B$3+7*VALUE(LEFT(B8,LEN(B8)-1)),IF(RIGHT(B8,1)="M",EDATE($B$3,VALUE(LEFT(B8,LEN(B8)-1))),EDATE($B$3,12*VALUE(LEFT(B8,LEN(B8)-1))))),2)=7,2,0))),(IF(RIGHT(B8,1)="W",$B$3+7*VALUE(LEFT(B8,LEN(B8)-1)),IF(RIGHT(B8,1)="M",EDATE($B$3,VALUE(LEFT(B8,LEN(B8)-1))),EDATE($B$3,12*VALUE(LEFT(B8,LEN(B8)-1)))))+IF(WEEKDAY(IF(RIGHT(B8,1)="W",$B$3+7*VALUE(LEFT(B8,LEN(B8)-1)),IF(RIGHT(B8,1)="M",EDATE($B$3,VALUE(LEFT(B8,LEN(B8)-1))),EDATE($B$3,12*VALUE(LEFT(B8,LEN(B8)-1))))),2)=6,2,IF(WEEKDAY(IF(RIGHT(B8,1)="W",$B$3+7*VALUE(LEFT(B8,LEN(B8)-1)),IF(RIGHT(B8,1)="M",EDATE($B$3,VALUE(LEFT(B8,LEN(B8)-1))),EDATE($B$3,12*VALUE(LEFT(B8,LEN(B8)-1))))),2)=7,1,0))))</f>
        <v/>
      </c>
      <c r="D8" s="142">
        <f>(C8-$B$3)/365</f>
        <v/>
      </c>
      <c r="E8" s="17">
        <f>IFERROR(BDP(A8&amp;" "&amp;PX_SRC&amp;" Curncy","PX_BID"),"ERROR PLZ FIX")</f>
        <v/>
      </c>
      <c r="F8" s="17">
        <f>IFERROR(BDP(A8&amp;" "&amp;PX_SRC&amp;" Curncy","PX_ASK"),"ERROR PLZ FIX")</f>
        <v/>
      </c>
      <c r="G8" s="17">
        <f>IFERROR(BDP(A8&amp;" "&amp;PX_SRC&amp;" Curncy","PX_LAST"),"ERROR PLZ FIX")</f>
        <v/>
      </c>
      <c r="H8" s="97">
        <f>IFERROR(IF(Bootstrap!$G$4="Test 1",INDEX(Testing!$B$8:$B$47,MATCH(C8,Testing!$F$8:$F$47,0)),IF(Bootstrap!$G$4="Test 2",INDEX(Testing!$B$58:$B$97,MATCH(C8,Testing!$F$58:$F$97,0)),IF(Bootstrap!$G$4="Test 3",INDEX(Testing!$B$108:$B$147,MATCH(C8,Testing!$F$108:$F$147,0)),IF(Bootstrap!$G$4="Fixed (S490 07/21/26)",J8,IF(ISNUMBER(T8),T8,J8))))),J8)</f>
        <v/>
      </c>
      <c r="I8" s="26" t="inlineStr">
        <is>
          <t>Y</t>
        </is>
      </c>
      <c r="J8" s="133">
        <f>IFERROR(INDEX(S490_Snapshot!$C$7:$C$38,MATCH(B8,S490_Snapshot!$B$7:$B$38,0)),"")</f>
        <v/>
      </c>
      <c r="K8" s="100" t="inlineStr">
        <is>
          <t>S490_Snapshot</t>
        </is>
      </c>
      <c r="L8" s="94" t="inlineStr"/>
      <c r="N8" s="85" t="n"/>
      <c r="O8" s="85" t="n"/>
      <c r="P8" s="33">
        <f>IF(COUNT(N8:O8)=2,(N8+O8)/2,"")</f>
        <v/>
      </c>
      <c r="Q8" s="108">
        <f>IF(AND(ISNUMBER(N8),ISNUMBER(E8)),(E8-N8)*100,"")</f>
        <v/>
      </c>
      <c r="R8" s="108">
        <f>IF(AND(ISNUMBER(O8),ISNUMBER(F8)),(F8-O8)*100,"")</f>
        <v/>
      </c>
      <c r="S8" s="108">
        <f>IF(AND(ISNUMBER(P8),ISNUMBER(H8)),(H8-P8)*100,"")</f>
        <v/>
      </c>
      <c r="T8" s="84">
        <f>IFERROR((E8+F8)/2,IFERROR(G8+0,""))</f>
        <v/>
      </c>
      <c r="U8" s="89">
        <f>IF(OR(T8="",NOT(ISNUMBER(J8))),"",(T8-J8)*100)</f>
        <v/>
      </c>
    </row>
    <row r="9">
      <c r="A9" s="6" t="inlineStr">
        <is>
          <t>USOSFRB</t>
        </is>
      </c>
      <c r="B9" s="22" t="inlineStr">
        <is>
          <t>2M</t>
        </is>
      </c>
      <c r="C9" s="23">
        <f>IF(MONTH((IF(RIGHT(B9,1)="W",$B$3+7*VALUE(LEFT(B9,LEN(B9)-1)),IF(RIGHT(B9,1)="M",EDATE($B$3,VALUE(LEFT(B9,LEN(B9)-1))),EDATE($B$3,12*VALUE(LEFT(B9,LEN(B9)-1)))))+IF(WEEKDAY(IF(RIGHT(B9,1)="W",$B$3+7*VALUE(LEFT(B9,LEN(B9)-1)),IF(RIGHT(B9,1)="M",EDATE($B$3,VALUE(LEFT(B9,LEN(B9)-1))),EDATE($B$3,12*VALUE(LEFT(B9,LEN(B9)-1))))),2)=6,2,IF(WEEKDAY(IF(RIGHT(B9,1)="W",$B$3+7*VALUE(LEFT(B9,LEN(B9)-1)),IF(RIGHT(B9,1)="M",EDATE($B$3,VALUE(LEFT(B9,LEN(B9)-1))),EDATE($B$3,12*VALUE(LEFT(B9,LEN(B9)-1))))),2)=7,1,0))))&lt;&gt;MONTH(IF(RIGHT(B9,1)="W",$B$3+7*VALUE(LEFT(B9,LEN(B9)-1)),IF(RIGHT(B9,1)="M",EDATE($B$3,VALUE(LEFT(B9,LEN(B9)-1))),EDATE($B$3,12*VALUE(LEFT(B9,LEN(B9)-1)))))),(IF(RIGHT(B9,1)="W",$B$3+7*VALUE(LEFT(B9,LEN(B9)-1)),IF(RIGHT(B9,1)="M",EDATE($B$3,VALUE(LEFT(B9,LEN(B9)-1))),EDATE($B$3,12*VALUE(LEFT(B9,LEN(B9)-1)))))-IF(WEEKDAY(IF(RIGHT(B9,1)="W",$B$3+7*VALUE(LEFT(B9,LEN(B9)-1)),IF(RIGHT(B9,1)="M",EDATE($B$3,VALUE(LEFT(B9,LEN(B9)-1))),EDATE($B$3,12*VALUE(LEFT(B9,LEN(B9)-1))))),2)=6,1,IF(WEEKDAY(IF(RIGHT(B9,1)="W",$B$3+7*VALUE(LEFT(B9,LEN(B9)-1)),IF(RIGHT(B9,1)="M",EDATE($B$3,VALUE(LEFT(B9,LEN(B9)-1))),EDATE($B$3,12*VALUE(LEFT(B9,LEN(B9)-1))))),2)=7,2,0))),(IF(RIGHT(B9,1)="W",$B$3+7*VALUE(LEFT(B9,LEN(B9)-1)),IF(RIGHT(B9,1)="M",EDATE($B$3,VALUE(LEFT(B9,LEN(B9)-1))),EDATE($B$3,12*VALUE(LEFT(B9,LEN(B9)-1)))))+IF(WEEKDAY(IF(RIGHT(B9,1)="W",$B$3+7*VALUE(LEFT(B9,LEN(B9)-1)),IF(RIGHT(B9,1)="M",EDATE($B$3,VALUE(LEFT(B9,LEN(B9)-1))),EDATE($B$3,12*VALUE(LEFT(B9,LEN(B9)-1))))),2)=6,2,IF(WEEKDAY(IF(RIGHT(B9,1)="W",$B$3+7*VALUE(LEFT(B9,LEN(B9)-1)),IF(RIGHT(B9,1)="M",EDATE($B$3,VALUE(LEFT(B9,LEN(B9)-1))),EDATE($B$3,12*VALUE(LEFT(B9,LEN(B9)-1))))),2)=7,1,0))))</f>
        <v/>
      </c>
      <c r="D9" s="142">
        <f>(C9-$B$3)/365</f>
        <v/>
      </c>
      <c r="E9" s="17">
        <f>IFERROR(BDP(A9&amp;" "&amp;PX_SRC&amp;" Curncy","PX_BID"),"ERROR PLZ FIX")</f>
        <v/>
      </c>
      <c r="F9" s="17">
        <f>IFERROR(BDP(A9&amp;" "&amp;PX_SRC&amp;" Curncy","PX_ASK"),"ERROR PLZ FIX")</f>
        <v/>
      </c>
      <c r="G9" s="17">
        <f>IFERROR(BDP(A9&amp;" "&amp;PX_SRC&amp;" Curncy","PX_LAST"),"ERROR PLZ FIX")</f>
        <v/>
      </c>
      <c r="H9" s="97">
        <f>IFERROR(IF(Bootstrap!$G$4="Test 1",INDEX(Testing!$B$8:$B$47,MATCH(C9,Testing!$F$8:$F$47,0)),IF(Bootstrap!$G$4="Test 2",INDEX(Testing!$B$58:$B$97,MATCH(C9,Testing!$F$58:$F$97,0)),IF(Bootstrap!$G$4="Test 3",INDEX(Testing!$B$108:$B$147,MATCH(C9,Testing!$F$108:$F$147,0)),IF(Bootstrap!$G$4="Fixed (S490 07/21/26)",J9,IF(ISNUMBER(T9),T9,J9))))),J9)</f>
        <v/>
      </c>
      <c r="I9" s="26" t="inlineStr"/>
      <c r="J9" s="133">
        <f>IFERROR(INDEX(S490_Snapshot!$C$7:$C$38,MATCH(B9,S490_Snapshot!$B$7:$B$38,0)),"")</f>
        <v/>
      </c>
      <c r="K9" s="100" t="inlineStr">
        <is>
          <t>S490_Snapshot</t>
        </is>
      </c>
      <c r="L9" s="94" t="inlineStr"/>
      <c r="N9" s="85" t="n"/>
      <c r="O9" s="85" t="n"/>
      <c r="P9" s="33">
        <f>IF(COUNT(N9:O9)=2,(N9+O9)/2,"")</f>
        <v/>
      </c>
      <c r="Q9" s="108">
        <f>IF(AND(ISNUMBER(N9),ISNUMBER(E9)),(E9-N9)*100,"")</f>
        <v/>
      </c>
      <c r="R9" s="108">
        <f>IF(AND(ISNUMBER(O9),ISNUMBER(F9)),(F9-O9)*100,"")</f>
        <v/>
      </c>
      <c r="S9" s="108">
        <f>IF(AND(ISNUMBER(P9),ISNUMBER(H9)),(H9-P9)*100,"")</f>
        <v/>
      </c>
      <c r="T9" s="84">
        <f>IFERROR((E9+F9)/2,IFERROR(G9+0,""))</f>
        <v/>
      </c>
      <c r="U9" s="89">
        <f>IF(OR(T9="",NOT(ISNUMBER(J9))),"",(T9-J9)*100)</f>
        <v/>
      </c>
    </row>
    <row r="10">
      <c r="A10" s="6" t="inlineStr">
        <is>
          <t>USOSFRC</t>
        </is>
      </c>
      <c r="B10" s="22" t="inlineStr">
        <is>
          <t>3M</t>
        </is>
      </c>
      <c r="C10" s="23">
        <f>IF(MONTH((IF(RIGHT(B10,1)="W",$B$3+7*VALUE(LEFT(B10,LEN(B10)-1)),IF(RIGHT(B10,1)="M",EDATE($B$3,VALUE(LEFT(B10,LEN(B10)-1))),EDATE($B$3,12*VALUE(LEFT(B10,LEN(B10)-1)))))+IF(WEEKDAY(IF(RIGHT(B10,1)="W",$B$3+7*VALUE(LEFT(B10,LEN(B10)-1)),IF(RIGHT(B10,1)="M",EDATE($B$3,VALUE(LEFT(B10,LEN(B10)-1))),EDATE($B$3,12*VALUE(LEFT(B10,LEN(B10)-1))))),2)=6,2,IF(WEEKDAY(IF(RIGHT(B10,1)="W",$B$3+7*VALUE(LEFT(B10,LEN(B10)-1)),IF(RIGHT(B10,1)="M",EDATE($B$3,VALUE(LEFT(B10,LEN(B10)-1))),EDATE($B$3,12*VALUE(LEFT(B10,LEN(B10)-1))))),2)=7,1,0))))&lt;&gt;MONTH(IF(RIGHT(B10,1)="W",$B$3+7*VALUE(LEFT(B10,LEN(B10)-1)),IF(RIGHT(B10,1)="M",EDATE($B$3,VALUE(LEFT(B10,LEN(B10)-1))),EDATE($B$3,12*VALUE(LEFT(B10,LEN(B10)-1)))))),(IF(RIGHT(B10,1)="W",$B$3+7*VALUE(LEFT(B10,LEN(B10)-1)),IF(RIGHT(B10,1)="M",EDATE($B$3,VALUE(LEFT(B10,LEN(B10)-1))),EDATE($B$3,12*VALUE(LEFT(B10,LEN(B10)-1)))))-IF(WEEKDAY(IF(RIGHT(B10,1)="W",$B$3+7*VALUE(LEFT(B10,LEN(B10)-1)),IF(RIGHT(B10,1)="M",EDATE($B$3,VALUE(LEFT(B10,LEN(B10)-1))),EDATE($B$3,12*VALUE(LEFT(B10,LEN(B10)-1))))),2)=6,1,IF(WEEKDAY(IF(RIGHT(B10,1)="W",$B$3+7*VALUE(LEFT(B10,LEN(B10)-1)),IF(RIGHT(B10,1)="M",EDATE($B$3,VALUE(LEFT(B10,LEN(B10)-1))),EDATE($B$3,12*VALUE(LEFT(B10,LEN(B10)-1))))),2)=7,2,0))),(IF(RIGHT(B10,1)="W",$B$3+7*VALUE(LEFT(B10,LEN(B10)-1)),IF(RIGHT(B10,1)="M",EDATE($B$3,VALUE(LEFT(B10,LEN(B10)-1))),EDATE($B$3,12*VALUE(LEFT(B10,LEN(B10)-1)))))+IF(WEEKDAY(IF(RIGHT(B10,1)="W",$B$3+7*VALUE(LEFT(B10,LEN(B10)-1)),IF(RIGHT(B10,1)="M",EDATE($B$3,VALUE(LEFT(B10,LEN(B10)-1))),EDATE($B$3,12*VALUE(LEFT(B10,LEN(B10)-1))))),2)=6,2,IF(WEEKDAY(IF(RIGHT(B10,1)="W",$B$3+7*VALUE(LEFT(B10,LEN(B10)-1)),IF(RIGHT(B10,1)="M",EDATE($B$3,VALUE(LEFT(B10,LEN(B10)-1))),EDATE($B$3,12*VALUE(LEFT(B10,LEN(B10)-1))))),2)=7,1,0))))</f>
        <v/>
      </c>
      <c r="D10" s="142">
        <f>(C10-$B$3)/365</f>
        <v/>
      </c>
      <c r="E10" s="17">
        <f>IFERROR(BDP(A10&amp;" "&amp;PX_SRC&amp;" Curncy","PX_BID"),"ERROR PLZ FIX")</f>
        <v/>
      </c>
      <c r="F10" s="17">
        <f>IFERROR(BDP(A10&amp;" "&amp;PX_SRC&amp;" Curncy","PX_ASK"),"ERROR PLZ FIX")</f>
        <v/>
      </c>
      <c r="G10" s="17">
        <f>IFERROR(BDP(A10&amp;" "&amp;PX_SRC&amp;" Curncy","PX_LAST"),"ERROR PLZ FIX")</f>
        <v/>
      </c>
      <c r="H10" s="97">
        <f>IFERROR(IF(Bootstrap!$G$4="Test 1",INDEX(Testing!$B$8:$B$47,MATCH(C10,Testing!$F$8:$F$47,0)),IF(Bootstrap!$G$4="Test 2",INDEX(Testing!$B$58:$B$97,MATCH(C10,Testing!$F$58:$F$97,0)),IF(Bootstrap!$G$4="Test 3",INDEX(Testing!$B$108:$B$147,MATCH(C10,Testing!$F$108:$F$147,0)),IF(Bootstrap!$G$4="Fixed (S490 07/21/26)",J10,IF(ISNUMBER(T10),T10,J10))))),J10)</f>
        <v/>
      </c>
      <c r="I10" s="26" t="inlineStr">
        <is>
          <t>Y</t>
        </is>
      </c>
      <c r="J10" s="133">
        <f>IFERROR(INDEX(S490_Snapshot!$C$7:$C$38,MATCH(B10,S490_Snapshot!$B$7:$B$38,0)),"")</f>
        <v/>
      </c>
      <c r="K10" s="100" t="inlineStr">
        <is>
          <t>S490_Snapshot</t>
        </is>
      </c>
      <c r="L10" s="94" t="inlineStr"/>
      <c r="N10" s="85" t="n"/>
      <c r="O10" s="85" t="n"/>
      <c r="P10" s="33">
        <f>IF(COUNT(N10:O10)=2,(N10+O10)/2,"")</f>
        <v/>
      </c>
      <c r="Q10" s="108">
        <f>IF(AND(ISNUMBER(N10),ISNUMBER(E10)),(E10-N10)*100,"")</f>
        <v/>
      </c>
      <c r="R10" s="108">
        <f>IF(AND(ISNUMBER(O10),ISNUMBER(F10)),(F10-O10)*100,"")</f>
        <v/>
      </c>
      <c r="S10" s="108">
        <f>IF(AND(ISNUMBER(P10),ISNUMBER(H10)),(H10-P10)*100,"")</f>
        <v/>
      </c>
      <c r="T10" s="84">
        <f>IFERROR((E10+F10)/2,IFERROR(G10+0,""))</f>
        <v/>
      </c>
      <c r="U10" s="89">
        <f>IF(OR(T10="",NOT(ISNUMBER(J10))),"",(T10-J10)*100)</f>
        <v/>
      </c>
    </row>
    <row r="11">
      <c r="A11" s="6" t="inlineStr">
        <is>
          <t>USOSFRD</t>
        </is>
      </c>
      <c r="B11" s="22" t="inlineStr">
        <is>
          <t>4M</t>
        </is>
      </c>
      <c r="C11" s="23">
        <f>IF(MONTH((IF(RIGHT(B11,1)="W",$B$3+7*VALUE(LEFT(B11,LEN(B11)-1)),IF(RIGHT(B11,1)="M",EDATE($B$3,VALUE(LEFT(B11,LEN(B11)-1))),EDATE($B$3,12*VALUE(LEFT(B11,LEN(B11)-1)))))+IF(WEEKDAY(IF(RIGHT(B11,1)="W",$B$3+7*VALUE(LEFT(B11,LEN(B11)-1)),IF(RIGHT(B11,1)="M",EDATE($B$3,VALUE(LEFT(B11,LEN(B11)-1))),EDATE($B$3,12*VALUE(LEFT(B11,LEN(B11)-1))))),2)=6,2,IF(WEEKDAY(IF(RIGHT(B11,1)="W",$B$3+7*VALUE(LEFT(B11,LEN(B11)-1)),IF(RIGHT(B11,1)="M",EDATE($B$3,VALUE(LEFT(B11,LEN(B11)-1))),EDATE($B$3,12*VALUE(LEFT(B11,LEN(B11)-1))))),2)=7,1,0))))&lt;&gt;MONTH(IF(RIGHT(B11,1)="W",$B$3+7*VALUE(LEFT(B11,LEN(B11)-1)),IF(RIGHT(B11,1)="M",EDATE($B$3,VALUE(LEFT(B11,LEN(B11)-1))),EDATE($B$3,12*VALUE(LEFT(B11,LEN(B11)-1)))))),(IF(RIGHT(B11,1)="W",$B$3+7*VALUE(LEFT(B11,LEN(B11)-1)),IF(RIGHT(B11,1)="M",EDATE($B$3,VALUE(LEFT(B11,LEN(B11)-1))),EDATE($B$3,12*VALUE(LEFT(B11,LEN(B11)-1)))))-IF(WEEKDAY(IF(RIGHT(B11,1)="W",$B$3+7*VALUE(LEFT(B11,LEN(B11)-1)),IF(RIGHT(B11,1)="M",EDATE($B$3,VALUE(LEFT(B11,LEN(B11)-1))),EDATE($B$3,12*VALUE(LEFT(B11,LEN(B11)-1))))),2)=6,1,IF(WEEKDAY(IF(RIGHT(B11,1)="W",$B$3+7*VALUE(LEFT(B11,LEN(B11)-1)),IF(RIGHT(B11,1)="M",EDATE($B$3,VALUE(LEFT(B11,LEN(B11)-1))),EDATE($B$3,12*VALUE(LEFT(B11,LEN(B11)-1))))),2)=7,2,0))),(IF(RIGHT(B11,1)="W",$B$3+7*VALUE(LEFT(B11,LEN(B11)-1)),IF(RIGHT(B11,1)="M",EDATE($B$3,VALUE(LEFT(B11,LEN(B11)-1))),EDATE($B$3,12*VALUE(LEFT(B11,LEN(B11)-1)))))+IF(WEEKDAY(IF(RIGHT(B11,1)="W",$B$3+7*VALUE(LEFT(B11,LEN(B11)-1)),IF(RIGHT(B11,1)="M",EDATE($B$3,VALUE(LEFT(B11,LEN(B11)-1))),EDATE($B$3,12*VALUE(LEFT(B11,LEN(B11)-1))))),2)=6,2,IF(WEEKDAY(IF(RIGHT(B11,1)="W",$B$3+7*VALUE(LEFT(B11,LEN(B11)-1)),IF(RIGHT(B11,1)="M",EDATE($B$3,VALUE(LEFT(B11,LEN(B11)-1))),EDATE($B$3,12*VALUE(LEFT(B11,LEN(B11)-1))))),2)=7,1,0))))</f>
        <v/>
      </c>
      <c r="D11" s="142">
        <f>(C11-$B$3)/365</f>
        <v/>
      </c>
      <c r="E11" s="17">
        <f>IFERROR(BDP(A11&amp;" "&amp;PX_SRC&amp;" Curncy","PX_BID"),"ERROR PLZ FIX")</f>
        <v/>
      </c>
      <c r="F11" s="17">
        <f>IFERROR(BDP(A11&amp;" "&amp;PX_SRC&amp;" Curncy","PX_ASK"),"ERROR PLZ FIX")</f>
        <v/>
      </c>
      <c r="G11" s="17">
        <f>IFERROR(BDP(A11&amp;" "&amp;PX_SRC&amp;" Curncy","PX_LAST"),"ERROR PLZ FIX")</f>
        <v/>
      </c>
      <c r="H11" s="97">
        <f>IFERROR(IF(Bootstrap!$G$4="Test 1",INDEX(Testing!$B$8:$B$47,MATCH(C11,Testing!$F$8:$F$47,0)),IF(Bootstrap!$G$4="Test 2",INDEX(Testing!$B$58:$B$97,MATCH(C11,Testing!$F$58:$F$97,0)),IF(Bootstrap!$G$4="Test 3",INDEX(Testing!$B$108:$B$147,MATCH(C11,Testing!$F$108:$F$147,0)),IF(Bootstrap!$G$4="Fixed (S490 07/21/26)",J11,IF(ISNUMBER(T11),T11,J11))))),J11)</f>
        <v/>
      </c>
      <c r="I11" s="26" t="inlineStr"/>
      <c r="J11" s="133">
        <f>IFERROR(INDEX(S490_Snapshot!$C$7:$C$38,MATCH(B11,S490_Snapshot!$B$7:$B$38,0)),"")</f>
        <v/>
      </c>
      <c r="K11" s="100" t="inlineStr">
        <is>
          <t>S490_Snapshot</t>
        </is>
      </c>
      <c r="L11" s="94" t="inlineStr"/>
      <c r="N11" s="85" t="n"/>
      <c r="O11" s="85" t="n"/>
      <c r="P11" s="33">
        <f>IF(COUNT(N11:O11)=2,(N11+O11)/2,"")</f>
        <v/>
      </c>
      <c r="Q11" s="108">
        <f>IF(AND(ISNUMBER(N11),ISNUMBER(E11)),(E11-N11)*100,"")</f>
        <v/>
      </c>
      <c r="R11" s="108">
        <f>IF(AND(ISNUMBER(O11),ISNUMBER(F11)),(F11-O11)*100,"")</f>
        <v/>
      </c>
      <c r="S11" s="108">
        <f>IF(AND(ISNUMBER(P11),ISNUMBER(H11)),(H11-P11)*100,"")</f>
        <v/>
      </c>
      <c r="T11" s="84">
        <f>IFERROR((E11+F11)/2,IFERROR(G11+0,""))</f>
        <v/>
      </c>
      <c r="U11" s="89">
        <f>IF(OR(T11="",NOT(ISNUMBER(J11))),"",(T11-J11)*100)</f>
        <v/>
      </c>
    </row>
    <row r="12">
      <c r="A12" s="6" t="inlineStr">
        <is>
          <t>USOSFRE</t>
        </is>
      </c>
      <c r="B12" s="22" t="inlineStr">
        <is>
          <t>5M</t>
        </is>
      </c>
      <c r="C12" s="23">
        <f>IF(MONTH((IF(RIGHT(B12,1)="W",$B$3+7*VALUE(LEFT(B12,LEN(B12)-1)),IF(RIGHT(B12,1)="M",EDATE($B$3,VALUE(LEFT(B12,LEN(B12)-1))),EDATE($B$3,12*VALUE(LEFT(B12,LEN(B12)-1)))))+IF(WEEKDAY(IF(RIGHT(B12,1)="W",$B$3+7*VALUE(LEFT(B12,LEN(B12)-1)),IF(RIGHT(B12,1)="M",EDATE($B$3,VALUE(LEFT(B12,LEN(B12)-1))),EDATE($B$3,12*VALUE(LEFT(B12,LEN(B12)-1))))),2)=6,2,IF(WEEKDAY(IF(RIGHT(B12,1)="W",$B$3+7*VALUE(LEFT(B12,LEN(B12)-1)),IF(RIGHT(B12,1)="M",EDATE($B$3,VALUE(LEFT(B12,LEN(B12)-1))),EDATE($B$3,12*VALUE(LEFT(B12,LEN(B12)-1))))),2)=7,1,0))))&lt;&gt;MONTH(IF(RIGHT(B12,1)="W",$B$3+7*VALUE(LEFT(B12,LEN(B12)-1)),IF(RIGHT(B12,1)="M",EDATE($B$3,VALUE(LEFT(B12,LEN(B12)-1))),EDATE($B$3,12*VALUE(LEFT(B12,LEN(B12)-1)))))),(IF(RIGHT(B12,1)="W",$B$3+7*VALUE(LEFT(B12,LEN(B12)-1)),IF(RIGHT(B12,1)="M",EDATE($B$3,VALUE(LEFT(B12,LEN(B12)-1))),EDATE($B$3,12*VALUE(LEFT(B12,LEN(B12)-1)))))-IF(WEEKDAY(IF(RIGHT(B12,1)="W",$B$3+7*VALUE(LEFT(B12,LEN(B12)-1)),IF(RIGHT(B12,1)="M",EDATE($B$3,VALUE(LEFT(B12,LEN(B12)-1))),EDATE($B$3,12*VALUE(LEFT(B12,LEN(B12)-1))))),2)=6,1,IF(WEEKDAY(IF(RIGHT(B12,1)="W",$B$3+7*VALUE(LEFT(B12,LEN(B12)-1)),IF(RIGHT(B12,1)="M",EDATE($B$3,VALUE(LEFT(B12,LEN(B12)-1))),EDATE($B$3,12*VALUE(LEFT(B12,LEN(B12)-1))))),2)=7,2,0))),(IF(RIGHT(B12,1)="W",$B$3+7*VALUE(LEFT(B12,LEN(B12)-1)),IF(RIGHT(B12,1)="M",EDATE($B$3,VALUE(LEFT(B12,LEN(B12)-1))),EDATE($B$3,12*VALUE(LEFT(B12,LEN(B12)-1)))))+IF(WEEKDAY(IF(RIGHT(B12,1)="W",$B$3+7*VALUE(LEFT(B12,LEN(B12)-1)),IF(RIGHT(B12,1)="M",EDATE($B$3,VALUE(LEFT(B12,LEN(B12)-1))),EDATE($B$3,12*VALUE(LEFT(B12,LEN(B12)-1))))),2)=6,2,IF(WEEKDAY(IF(RIGHT(B12,1)="W",$B$3+7*VALUE(LEFT(B12,LEN(B12)-1)),IF(RIGHT(B12,1)="M",EDATE($B$3,VALUE(LEFT(B12,LEN(B12)-1))),EDATE($B$3,12*VALUE(LEFT(B12,LEN(B12)-1))))),2)=7,1,0))))</f>
        <v/>
      </c>
      <c r="D12" s="142">
        <f>(C12-$B$3)/365</f>
        <v/>
      </c>
      <c r="E12" s="17">
        <f>IFERROR(BDP(A12&amp;" "&amp;PX_SRC&amp;" Curncy","PX_BID"),"ERROR PLZ FIX")</f>
        <v/>
      </c>
      <c r="F12" s="17">
        <f>IFERROR(BDP(A12&amp;" "&amp;PX_SRC&amp;" Curncy","PX_ASK"),"ERROR PLZ FIX")</f>
        <v/>
      </c>
      <c r="G12" s="17">
        <f>IFERROR(BDP(A12&amp;" "&amp;PX_SRC&amp;" Curncy","PX_LAST"),"ERROR PLZ FIX")</f>
        <v/>
      </c>
      <c r="H12" s="97">
        <f>IFERROR(IF(Bootstrap!$G$4="Test 1",INDEX(Testing!$B$8:$B$47,MATCH(C12,Testing!$F$8:$F$47,0)),IF(Bootstrap!$G$4="Test 2",INDEX(Testing!$B$58:$B$97,MATCH(C12,Testing!$F$58:$F$97,0)),IF(Bootstrap!$G$4="Test 3",INDEX(Testing!$B$108:$B$147,MATCH(C12,Testing!$F$108:$F$147,0)),IF(Bootstrap!$G$4="Fixed (S490 07/21/26)",J12,IF(ISNUMBER(T12),T12,J12))))),J12)</f>
        <v/>
      </c>
      <c r="I12" s="26" t="inlineStr"/>
      <c r="J12" s="133">
        <f>IFERROR(INDEX(S490_Snapshot!$C$7:$C$38,MATCH(B12,S490_Snapshot!$B$7:$B$38,0)),"")</f>
        <v/>
      </c>
      <c r="K12" s="100" t="inlineStr">
        <is>
          <t>S490_Snapshot</t>
        </is>
      </c>
      <c r="L12" s="94" t="inlineStr"/>
      <c r="N12" s="85" t="n"/>
      <c r="O12" s="85" t="n"/>
      <c r="P12" s="33">
        <f>IF(COUNT(N12:O12)=2,(N12+O12)/2,"")</f>
        <v/>
      </c>
      <c r="Q12" s="108">
        <f>IF(AND(ISNUMBER(N12),ISNUMBER(E12)),(E12-N12)*100,"")</f>
        <v/>
      </c>
      <c r="R12" s="108">
        <f>IF(AND(ISNUMBER(O12),ISNUMBER(F12)),(F12-O12)*100,"")</f>
        <v/>
      </c>
      <c r="S12" s="108">
        <f>IF(AND(ISNUMBER(P12),ISNUMBER(H12)),(H12-P12)*100,"")</f>
        <v/>
      </c>
      <c r="T12" s="84">
        <f>IFERROR((E12+F12)/2,IFERROR(G12+0,""))</f>
        <v/>
      </c>
      <c r="U12" s="89">
        <f>IF(OR(T12="",NOT(ISNUMBER(J12))),"",(T12-J12)*100)</f>
        <v/>
      </c>
    </row>
    <row r="13">
      <c r="A13" s="6" t="inlineStr">
        <is>
          <t>USOSFRF</t>
        </is>
      </c>
      <c r="B13" s="22" t="inlineStr">
        <is>
          <t>6M</t>
        </is>
      </c>
      <c r="C13" s="23">
        <f>IF(MONTH((IF(RIGHT(B13,1)="W",$B$3+7*VALUE(LEFT(B13,LEN(B13)-1)),IF(RIGHT(B13,1)="M",EDATE($B$3,VALUE(LEFT(B13,LEN(B13)-1))),EDATE($B$3,12*VALUE(LEFT(B13,LEN(B13)-1)))))+IF(WEEKDAY(IF(RIGHT(B13,1)="W",$B$3+7*VALUE(LEFT(B13,LEN(B13)-1)),IF(RIGHT(B13,1)="M",EDATE($B$3,VALUE(LEFT(B13,LEN(B13)-1))),EDATE($B$3,12*VALUE(LEFT(B13,LEN(B13)-1))))),2)=6,2,IF(WEEKDAY(IF(RIGHT(B13,1)="W",$B$3+7*VALUE(LEFT(B13,LEN(B13)-1)),IF(RIGHT(B13,1)="M",EDATE($B$3,VALUE(LEFT(B13,LEN(B13)-1))),EDATE($B$3,12*VALUE(LEFT(B13,LEN(B13)-1))))),2)=7,1,0))))&lt;&gt;MONTH(IF(RIGHT(B13,1)="W",$B$3+7*VALUE(LEFT(B13,LEN(B13)-1)),IF(RIGHT(B13,1)="M",EDATE($B$3,VALUE(LEFT(B13,LEN(B13)-1))),EDATE($B$3,12*VALUE(LEFT(B13,LEN(B13)-1)))))),(IF(RIGHT(B13,1)="W",$B$3+7*VALUE(LEFT(B13,LEN(B13)-1)),IF(RIGHT(B13,1)="M",EDATE($B$3,VALUE(LEFT(B13,LEN(B13)-1))),EDATE($B$3,12*VALUE(LEFT(B13,LEN(B13)-1)))))-IF(WEEKDAY(IF(RIGHT(B13,1)="W",$B$3+7*VALUE(LEFT(B13,LEN(B13)-1)),IF(RIGHT(B13,1)="M",EDATE($B$3,VALUE(LEFT(B13,LEN(B13)-1))),EDATE($B$3,12*VALUE(LEFT(B13,LEN(B13)-1))))),2)=6,1,IF(WEEKDAY(IF(RIGHT(B13,1)="W",$B$3+7*VALUE(LEFT(B13,LEN(B13)-1)),IF(RIGHT(B13,1)="M",EDATE($B$3,VALUE(LEFT(B13,LEN(B13)-1))),EDATE($B$3,12*VALUE(LEFT(B13,LEN(B13)-1))))),2)=7,2,0))),(IF(RIGHT(B13,1)="W",$B$3+7*VALUE(LEFT(B13,LEN(B13)-1)),IF(RIGHT(B13,1)="M",EDATE($B$3,VALUE(LEFT(B13,LEN(B13)-1))),EDATE($B$3,12*VALUE(LEFT(B13,LEN(B13)-1)))))+IF(WEEKDAY(IF(RIGHT(B13,1)="W",$B$3+7*VALUE(LEFT(B13,LEN(B13)-1)),IF(RIGHT(B13,1)="M",EDATE($B$3,VALUE(LEFT(B13,LEN(B13)-1))),EDATE($B$3,12*VALUE(LEFT(B13,LEN(B13)-1))))),2)=6,2,IF(WEEKDAY(IF(RIGHT(B13,1)="W",$B$3+7*VALUE(LEFT(B13,LEN(B13)-1)),IF(RIGHT(B13,1)="M",EDATE($B$3,VALUE(LEFT(B13,LEN(B13)-1))),EDATE($B$3,12*VALUE(LEFT(B13,LEN(B13)-1))))),2)=7,1,0))))</f>
        <v/>
      </c>
      <c r="D13" s="142">
        <f>(C13-$B$3)/365</f>
        <v/>
      </c>
      <c r="E13" s="17">
        <f>IFERROR(BDP(A13&amp;" "&amp;PX_SRC&amp;" Curncy","PX_BID"),"ERROR PLZ FIX")</f>
        <v/>
      </c>
      <c r="F13" s="17">
        <f>IFERROR(BDP(A13&amp;" "&amp;PX_SRC&amp;" Curncy","PX_ASK"),"ERROR PLZ FIX")</f>
        <v/>
      </c>
      <c r="G13" s="17">
        <f>IFERROR(BDP(A13&amp;" "&amp;PX_SRC&amp;" Curncy","PX_LAST"),"ERROR PLZ FIX")</f>
        <v/>
      </c>
      <c r="H13" s="97">
        <f>IFERROR(IF(Bootstrap!$G$4="Test 1",INDEX(Testing!$B$8:$B$47,MATCH(C13,Testing!$F$8:$F$47,0)),IF(Bootstrap!$G$4="Test 2",INDEX(Testing!$B$58:$B$97,MATCH(C13,Testing!$F$58:$F$97,0)),IF(Bootstrap!$G$4="Test 3",INDEX(Testing!$B$108:$B$147,MATCH(C13,Testing!$F$108:$F$147,0)),IF(Bootstrap!$G$4="Fixed (S490 07/21/26)",J13,IF(ISNUMBER(T13),T13,J13))))),J13)</f>
        <v/>
      </c>
      <c r="I13" s="26" t="inlineStr">
        <is>
          <t>Y</t>
        </is>
      </c>
      <c r="J13" s="133">
        <f>IFERROR(INDEX(S490_Snapshot!$C$7:$C$38,MATCH(B13,S490_Snapshot!$B$7:$B$38,0)),"")</f>
        <v/>
      </c>
      <c r="K13" s="100" t="inlineStr">
        <is>
          <t>S490_Snapshot</t>
        </is>
      </c>
      <c r="L13" s="94" t="inlineStr"/>
      <c r="N13" s="85" t="n"/>
      <c r="O13" s="85" t="n"/>
      <c r="P13" s="33">
        <f>IF(COUNT(N13:O13)=2,(N13+O13)/2,"")</f>
        <v/>
      </c>
      <c r="Q13" s="108">
        <f>IF(AND(ISNUMBER(N13),ISNUMBER(E13)),(E13-N13)*100,"")</f>
        <v/>
      </c>
      <c r="R13" s="108">
        <f>IF(AND(ISNUMBER(O13),ISNUMBER(F13)),(F13-O13)*100,"")</f>
        <v/>
      </c>
      <c r="S13" s="108">
        <f>IF(AND(ISNUMBER(P13),ISNUMBER(H13)),(H13-P13)*100,"")</f>
        <v/>
      </c>
      <c r="T13" s="84">
        <f>IFERROR((E13+F13)/2,IFERROR(G13+0,""))</f>
        <v/>
      </c>
      <c r="U13" s="89">
        <f>IF(OR(T13="",NOT(ISNUMBER(J13))),"",(T13-J13)*100)</f>
        <v/>
      </c>
    </row>
    <row r="14">
      <c r="A14" s="6" t="inlineStr">
        <is>
          <t>USOSFRG</t>
        </is>
      </c>
      <c r="B14" s="22" t="inlineStr">
        <is>
          <t>7M</t>
        </is>
      </c>
      <c r="C14" s="23">
        <f>IF(MONTH((IF(RIGHT(B14,1)="W",$B$3+7*VALUE(LEFT(B14,LEN(B14)-1)),IF(RIGHT(B14,1)="M",EDATE($B$3,VALUE(LEFT(B14,LEN(B14)-1))),EDATE($B$3,12*VALUE(LEFT(B14,LEN(B14)-1)))))+IF(WEEKDAY(IF(RIGHT(B14,1)="W",$B$3+7*VALUE(LEFT(B14,LEN(B14)-1)),IF(RIGHT(B14,1)="M",EDATE($B$3,VALUE(LEFT(B14,LEN(B14)-1))),EDATE($B$3,12*VALUE(LEFT(B14,LEN(B14)-1))))),2)=6,2,IF(WEEKDAY(IF(RIGHT(B14,1)="W",$B$3+7*VALUE(LEFT(B14,LEN(B14)-1)),IF(RIGHT(B14,1)="M",EDATE($B$3,VALUE(LEFT(B14,LEN(B14)-1))),EDATE($B$3,12*VALUE(LEFT(B14,LEN(B14)-1))))),2)=7,1,0))))&lt;&gt;MONTH(IF(RIGHT(B14,1)="W",$B$3+7*VALUE(LEFT(B14,LEN(B14)-1)),IF(RIGHT(B14,1)="M",EDATE($B$3,VALUE(LEFT(B14,LEN(B14)-1))),EDATE($B$3,12*VALUE(LEFT(B14,LEN(B14)-1)))))),(IF(RIGHT(B14,1)="W",$B$3+7*VALUE(LEFT(B14,LEN(B14)-1)),IF(RIGHT(B14,1)="M",EDATE($B$3,VALUE(LEFT(B14,LEN(B14)-1))),EDATE($B$3,12*VALUE(LEFT(B14,LEN(B14)-1)))))-IF(WEEKDAY(IF(RIGHT(B14,1)="W",$B$3+7*VALUE(LEFT(B14,LEN(B14)-1)),IF(RIGHT(B14,1)="M",EDATE($B$3,VALUE(LEFT(B14,LEN(B14)-1))),EDATE($B$3,12*VALUE(LEFT(B14,LEN(B14)-1))))),2)=6,1,IF(WEEKDAY(IF(RIGHT(B14,1)="W",$B$3+7*VALUE(LEFT(B14,LEN(B14)-1)),IF(RIGHT(B14,1)="M",EDATE($B$3,VALUE(LEFT(B14,LEN(B14)-1))),EDATE($B$3,12*VALUE(LEFT(B14,LEN(B14)-1))))),2)=7,2,0))),(IF(RIGHT(B14,1)="W",$B$3+7*VALUE(LEFT(B14,LEN(B14)-1)),IF(RIGHT(B14,1)="M",EDATE($B$3,VALUE(LEFT(B14,LEN(B14)-1))),EDATE($B$3,12*VALUE(LEFT(B14,LEN(B14)-1)))))+IF(WEEKDAY(IF(RIGHT(B14,1)="W",$B$3+7*VALUE(LEFT(B14,LEN(B14)-1)),IF(RIGHT(B14,1)="M",EDATE($B$3,VALUE(LEFT(B14,LEN(B14)-1))),EDATE($B$3,12*VALUE(LEFT(B14,LEN(B14)-1))))),2)=6,2,IF(WEEKDAY(IF(RIGHT(B14,1)="W",$B$3+7*VALUE(LEFT(B14,LEN(B14)-1)),IF(RIGHT(B14,1)="M",EDATE($B$3,VALUE(LEFT(B14,LEN(B14)-1))),EDATE($B$3,12*VALUE(LEFT(B14,LEN(B14)-1))))),2)=7,1,0))))</f>
        <v/>
      </c>
      <c r="D14" s="142">
        <f>(C14-$B$3)/365</f>
        <v/>
      </c>
      <c r="E14" s="17">
        <f>IFERROR(BDP(A14&amp;" "&amp;PX_SRC&amp;" Curncy","PX_BID"),"ERROR PLZ FIX")</f>
        <v/>
      </c>
      <c r="F14" s="17">
        <f>IFERROR(BDP(A14&amp;" "&amp;PX_SRC&amp;" Curncy","PX_ASK"),"ERROR PLZ FIX")</f>
        <v/>
      </c>
      <c r="G14" s="17">
        <f>IFERROR(BDP(A14&amp;" "&amp;PX_SRC&amp;" Curncy","PX_LAST"),"ERROR PLZ FIX")</f>
        <v/>
      </c>
      <c r="H14" s="97">
        <f>IFERROR(IF(Bootstrap!$G$4="Test 1",INDEX(Testing!$B$8:$B$47,MATCH(C14,Testing!$F$8:$F$47,0)),IF(Bootstrap!$G$4="Test 2",INDEX(Testing!$B$58:$B$97,MATCH(C14,Testing!$F$58:$F$97,0)),IF(Bootstrap!$G$4="Test 3",INDEX(Testing!$B$108:$B$147,MATCH(C14,Testing!$F$108:$F$147,0)),IF(Bootstrap!$G$4="Fixed (S490 07/21/26)",J14,IF(ISNUMBER(T14),T14,J14))))),J14)</f>
        <v/>
      </c>
      <c r="I14" s="26" t="inlineStr"/>
      <c r="J14" s="133">
        <f>IFERROR(INDEX(S490_Snapshot!$C$7:$C$38,MATCH(B14,S490_Snapshot!$B$7:$B$38,0)),"")</f>
        <v/>
      </c>
      <c r="K14" s="100" t="inlineStr">
        <is>
          <t>S490_Snapshot</t>
        </is>
      </c>
      <c r="L14" s="94" t="inlineStr"/>
      <c r="N14" s="85" t="n"/>
      <c r="O14" s="85" t="n"/>
      <c r="P14" s="33">
        <f>IF(COUNT(N14:O14)=2,(N14+O14)/2,"")</f>
        <v/>
      </c>
      <c r="Q14" s="108">
        <f>IF(AND(ISNUMBER(N14),ISNUMBER(E14)),(E14-N14)*100,"")</f>
        <v/>
      </c>
      <c r="R14" s="108">
        <f>IF(AND(ISNUMBER(O14),ISNUMBER(F14)),(F14-O14)*100,"")</f>
        <v/>
      </c>
      <c r="S14" s="108">
        <f>IF(AND(ISNUMBER(P14),ISNUMBER(H14)),(H14-P14)*100,"")</f>
        <v/>
      </c>
      <c r="T14" s="84">
        <f>IFERROR((E14+F14)/2,IFERROR(G14+0,""))</f>
        <v/>
      </c>
      <c r="U14" s="89">
        <f>IF(OR(T14="",NOT(ISNUMBER(J14))),"",(T14-J14)*100)</f>
        <v/>
      </c>
    </row>
    <row r="15">
      <c r="A15" s="6" t="inlineStr">
        <is>
          <t>USOSFRH</t>
        </is>
      </c>
      <c r="B15" s="22" t="inlineStr">
        <is>
          <t>8M</t>
        </is>
      </c>
      <c r="C15" s="23">
        <f>IF(MONTH((IF(RIGHT(B15,1)="W",$B$3+7*VALUE(LEFT(B15,LEN(B15)-1)),IF(RIGHT(B15,1)="M",EDATE($B$3,VALUE(LEFT(B15,LEN(B15)-1))),EDATE($B$3,12*VALUE(LEFT(B15,LEN(B15)-1)))))+IF(WEEKDAY(IF(RIGHT(B15,1)="W",$B$3+7*VALUE(LEFT(B15,LEN(B15)-1)),IF(RIGHT(B15,1)="M",EDATE($B$3,VALUE(LEFT(B15,LEN(B15)-1))),EDATE($B$3,12*VALUE(LEFT(B15,LEN(B15)-1))))),2)=6,2,IF(WEEKDAY(IF(RIGHT(B15,1)="W",$B$3+7*VALUE(LEFT(B15,LEN(B15)-1)),IF(RIGHT(B15,1)="M",EDATE($B$3,VALUE(LEFT(B15,LEN(B15)-1))),EDATE($B$3,12*VALUE(LEFT(B15,LEN(B15)-1))))),2)=7,1,0))))&lt;&gt;MONTH(IF(RIGHT(B15,1)="W",$B$3+7*VALUE(LEFT(B15,LEN(B15)-1)),IF(RIGHT(B15,1)="M",EDATE($B$3,VALUE(LEFT(B15,LEN(B15)-1))),EDATE($B$3,12*VALUE(LEFT(B15,LEN(B15)-1)))))),(IF(RIGHT(B15,1)="W",$B$3+7*VALUE(LEFT(B15,LEN(B15)-1)),IF(RIGHT(B15,1)="M",EDATE($B$3,VALUE(LEFT(B15,LEN(B15)-1))),EDATE($B$3,12*VALUE(LEFT(B15,LEN(B15)-1)))))-IF(WEEKDAY(IF(RIGHT(B15,1)="W",$B$3+7*VALUE(LEFT(B15,LEN(B15)-1)),IF(RIGHT(B15,1)="M",EDATE($B$3,VALUE(LEFT(B15,LEN(B15)-1))),EDATE($B$3,12*VALUE(LEFT(B15,LEN(B15)-1))))),2)=6,1,IF(WEEKDAY(IF(RIGHT(B15,1)="W",$B$3+7*VALUE(LEFT(B15,LEN(B15)-1)),IF(RIGHT(B15,1)="M",EDATE($B$3,VALUE(LEFT(B15,LEN(B15)-1))),EDATE($B$3,12*VALUE(LEFT(B15,LEN(B15)-1))))),2)=7,2,0))),(IF(RIGHT(B15,1)="W",$B$3+7*VALUE(LEFT(B15,LEN(B15)-1)),IF(RIGHT(B15,1)="M",EDATE($B$3,VALUE(LEFT(B15,LEN(B15)-1))),EDATE($B$3,12*VALUE(LEFT(B15,LEN(B15)-1)))))+IF(WEEKDAY(IF(RIGHT(B15,1)="W",$B$3+7*VALUE(LEFT(B15,LEN(B15)-1)),IF(RIGHT(B15,1)="M",EDATE($B$3,VALUE(LEFT(B15,LEN(B15)-1))),EDATE($B$3,12*VALUE(LEFT(B15,LEN(B15)-1))))),2)=6,2,IF(WEEKDAY(IF(RIGHT(B15,1)="W",$B$3+7*VALUE(LEFT(B15,LEN(B15)-1)),IF(RIGHT(B15,1)="M",EDATE($B$3,VALUE(LEFT(B15,LEN(B15)-1))),EDATE($B$3,12*VALUE(LEFT(B15,LEN(B15)-1))))),2)=7,1,0))))</f>
        <v/>
      </c>
      <c r="D15" s="142">
        <f>(C15-$B$3)/365</f>
        <v/>
      </c>
      <c r="E15" s="17">
        <f>IFERROR(BDP(A15&amp;" "&amp;PX_SRC&amp;" Curncy","PX_BID"),"ERROR PLZ FIX")</f>
        <v/>
      </c>
      <c r="F15" s="17">
        <f>IFERROR(BDP(A15&amp;" "&amp;PX_SRC&amp;" Curncy","PX_ASK"),"ERROR PLZ FIX")</f>
        <v/>
      </c>
      <c r="G15" s="17">
        <f>IFERROR(BDP(A15&amp;" "&amp;PX_SRC&amp;" Curncy","PX_LAST"),"ERROR PLZ FIX")</f>
        <v/>
      </c>
      <c r="H15" s="97">
        <f>IFERROR(IF(Bootstrap!$G$4="Test 1",INDEX(Testing!$B$8:$B$47,MATCH(C15,Testing!$F$8:$F$47,0)),IF(Bootstrap!$G$4="Test 2",INDEX(Testing!$B$58:$B$97,MATCH(C15,Testing!$F$58:$F$97,0)),IF(Bootstrap!$G$4="Test 3",INDEX(Testing!$B$108:$B$147,MATCH(C15,Testing!$F$108:$F$147,0)),IF(Bootstrap!$G$4="Fixed (S490 07/21/26)",J15,IF(ISNUMBER(T15),T15,J15))))),J15)</f>
        <v/>
      </c>
      <c r="I15" s="26" t="inlineStr"/>
      <c r="J15" s="133">
        <f>IFERROR(INDEX(S490_Snapshot!$C$7:$C$38,MATCH(B15,S490_Snapshot!$B$7:$B$38,0)),"")</f>
        <v/>
      </c>
      <c r="K15" s="100" t="inlineStr">
        <is>
          <t>S490_Snapshot</t>
        </is>
      </c>
      <c r="L15" s="94" t="inlineStr"/>
      <c r="N15" s="85" t="n"/>
      <c r="O15" s="85" t="n"/>
      <c r="P15" s="33">
        <f>IF(COUNT(N15:O15)=2,(N15+O15)/2,"")</f>
        <v/>
      </c>
      <c r="Q15" s="108">
        <f>IF(AND(ISNUMBER(N15),ISNUMBER(E15)),(E15-N15)*100,"")</f>
        <v/>
      </c>
      <c r="R15" s="108">
        <f>IF(AND(ISNUMBER(O15),ISNUMBER(F15)),(F15-O15)*100,"")</f>
        <v/>
      </c>
      <c r="S15" s="108">
        <f>IF(AND(ISNUMBER(P15),ISNUMBER(H15)),(H15-P15)*100,"")</f>
        <v/>
      </c>
      <c r="T15" s="84">
        <f>IFERROR((E15+F15)/2,IFERROR(G15+0,""))</f>
        <v/>
      </c>
      <c r="U15" s="89">
        <f>IF(OR(T15="",NOT(ISNUMBER(J15))),"",(T15-J15)*100)</f>
        <v/>
      </c>
    </row>
    <row r="16">
      <c r="A16" s="6" t="inlineStr">
        <is>
          <t>USOSFRI</t>
        </is>
      </c>
      <c r="B16" s="22" t="inlineStr">
        <is>
          <t>9M</t>
        </is>
      </c>
      <c r="C16" s="23">
        <f>IF(MONTH((IF(RIGHT(B16,1)="W",$B$3+7*VALUE(LEFT(B16,LEN(B16)-1)),IF(RIGHT(B16,1)="M",EDATE($B$3,VALUE(LEFT(B16,LEN(B16)-1))),EDATE($B$3,12*VALUE(LEFT(B16,LEN(B16)-1)))))+IF(WEEKDAY(IF(RIGHT(B16,1)="W",$B$3+7*VALUE(LEFT(B16,LEN(B16)-1)),IF(RIGHT(B16,1)="M",EDATE($B$3,VALUE(LEFT(B16,LEN(B16)-1))),EDATE($B$3,12*VALUE(LEFT(B16,LEN(B16)-1))))),2)=6,2,IF(WEEKDAY(IF(RIGHT(B16,1)="W",$B$3+7*VALUE(LEFT(B16,LEN(B16)-1)),IF(RIGHT(B16,1)="M",EDATE($B$3,VALUE(LEFT(B16,LEN(B16)-1))),EDATE($B$3,12*VALUE(LEFT(B16,LEN(B16)-1))))),2)=7,1,0))))&lt;&gt;MONTH(IF(RIGHT(B16,1)="W",$B$3+7*VALUE(LEFT(B16,LEN(B16)-1)),IF(RIGHT(B16,1)="M",EDATE($B$3,VALUE(LEFT(B16,LEN(B16)-1))),EDATE($B$3,12*VALUE(LEFT(B16,LEN(B16)-1)))))),(IF(RIGHT(B16,1)="W",$B$3+7*VALUE(LEFT(B16,LEN(B16)-1)),IF(RIGHT(B16,1)="M",EDATE($B$3,VALUE(LEFT(B16,LEN(B16)-1))),EDATE($B$3,12*VALUE(LEFT(B16,LEN(B16)-1)))))-IF(WEEKDAY(IF(RIGHT(B16,1)="W",$B$3+7*VALUE(LEFT(B16,LEN(B16)-1)),IF(RIGHT(B16,1)="M",EDATE($B$3,VALUE(LEFT(B16,LEN(B16)-1))),EDATE($B$3,12*VALUE(LEFT(B16,LEN(B16)-1))))),2)=6,1,IF(WEEKDAY(IF(RIGHT(B16,1)="W",$B$3+7*VALUE(LEFT(B16,LEN(B16)-1)),IF(RIGHT(B16,1)="M",EDATE($B$3,VALUE(LEFT(B16,LEN(B16)-1))),EDATE($B$3,12*VALUE(LEFT(B16,LEN(B16)-1))))),2)=7,2,0))),(IF(RIGHT(B16,1)="W",$B$3+7*VALUE(LEFT(B16,LEN(B16)-1)),IF(RIGHT(B16,1)="M",EDATE($B$3,VALUE(LEFT(B16,LEN(B16)-1))),EDATE($B$3,12*VALUE(LEFT(B16,LEN(B16)-1)))))+IF(WEEKDAY(IF(RIGHT(B16,1)="W",$B$3+7*VALUE(LEFT(B16,LEN(B16)-1)),IF(RIGHT(B16,1)="M",EDATE($B$3,VALUE(LEFT(B16,LEN(B16)-1))),EDATE($B$3,12*VALUE(LEFT(B16,LEN(B16)-1))))),2)=6,2,IF(WEEKDAY(IF(RIGHT(B16,1)="W",$B$3+7*VALUE(LEFT(B16,LEN(B16)-1)),IF(RIGHT(B16,1)="M",EDATE($B$3,VALUE(LEFT(B16,LEN(B16)-1))),EDATE($B$3,12*VALUE(LEFT(B16,LEN(B16)-1))))),2)=7,1,0))))</f>
        <v/>
      </c>
      <c r="D16" s="142">
        <f>(C16-$B$3)/365</f>
        <v/>
      </c>
      <c r="E16" s="17">
        <f>IFERROR(BDP(A16&amp;" "&amp;PX_SRC&amp;" Curncy","PX_BID"),"ERROR PLZ FIX")</f>
        <v/>
      </c>
      <c r="F16" s="17">
        <f>IFERROR(BDP(A16&amp;" "&amp;PX_SRC&amp;" Curncy","PX_ASK"),"ERROR PLZ FIX")</f>
        <v/>
      </c>
      <c r="G16" s="17">
        <f>IFERROR(BDP(A16&amp;" "&amp;PX_SRC&amp;" Curncy","PX_LAST"),"ERROR PLZ FIX")</f>
        <v/>
      </c>
      <c r="H16" s="97">
        <f>IFERROR(IF(Bootstrap!$G$4="Test 1",INDEX(Testing!$B$8:$B$47,MATCH(C16,Testing!$F$8:$F$47,0)),IF(Bootstrap!$G$4="Test 2",INDEX(Testing!$B$58:$B$97,MATCH(C16,Testing!$F$58:$F$97,0)),IF(Bootstrap!$G$4="Test 3",INDEX(Testing!$B$108:$B$147,MATCH(C16,Testing!$F$108:$F$147,0)),IF(Bootstrap!$G$4="Fixed (S490 07/21/26)",J16,IF(ISNUMBER(T16),T16,J16))))),J16)</f>
        <v/>
      </c>
      <c r="I16" s="26" t="inlineStr"/>
      <c r="J16" s="133">
        <f>IFERROR(INDEX(S490_Snapshot!$C$7:$C$38,MATCH(B16,S490_Snapshot!$B$7:$B$38,0)),"")</f>
        <v/>
      </c>
      <c r="K16" s="100" t="inlineStr">
        <is>
          <t>S490_Snapshot</t>
        </is>
      </c>
      <c r="L16" s="94" t="inlineStr"/>
      <c r="N16" s="85" t="n"/>
      <c r="O16" s="85" t="n"/>
      <c r="P16" s="33">
        <f>IF(COUNT(N16:O16)=2,(N16+O16)/2,"")</f>
        <v/>
      </c>
      <c r="Q16" s="108">
        <f>IF(AND(ISNUMBER(N16),ISNUMBER(E16)),(E16-N16)*100,"")</f>
        <v/>
      </c>
      <c r="R16" s="108">
        <f>IF(AND(ISNUMBER(O16),ISNUMBER(F16)),(F16-O16)*100,"")</f>
        <v/>
      </c>
      <c r="S16" s="108">
        <f>IF(AND(ISNUMBER(P16),ISNUMBER(H16)),(H16-P16)*100,"")</f>
        <v/>
      </c>
      <c r="T16" s="84">
        <f>IFERROR((E16+F16)/2,IFERROR(G16+0,""))</f>
        <v/>
      </c>
      <c r="U16" s="89">
        <f>IF(OR(T16="",NOT(ISNUMBER(J16))),"",(T16-J16)*100)</f>
        <v/>
      </c>
    </row>
    <row r="17">
      <c r="A17" s="6" t="inlineStr">
        <is>
          <t>USOSFRJ</t>
        </is>
      </c>
      <c r="B17" s="22" t="inlineStr">
        <is>
          <t>10M</t>
        </is>
      </c>
      <c r="C17" s="23">
        <f>IF(MONTH((IF(RIGHT(B17,1)="W",$B$3+7*VALUE(LEFT(B17,LEN(B17)-1)),IF(RIGHT(B17,1)="M",EDATE($B$3,VALUE(LEFT(B17,LEN(B17)-1))),EDATE($B$3,12*VALUE(LEFT(B17,LEN(B17)-1)))))+IF(WEEKDAY(IF(RIGHT(B17,1)="W",$B$3+7*VALUE(LEFT(B17,LEN(B17)-1)),IF(RIGHT(B17,1)="M",EDATE($B$3,VALUE(LEFT(B17,LEN(B17)-1))),EDATE($B$3,12*VALUE(LEFT(B17,LEN(B17)-1))))),2)=6,2,IF(WEEKDAY(IF(RIGHT(B17,1)="W",$B$3+7*VALUE(LEFT(B17,LEN(B17)-1)),IF(RIGHT(B17,1)="M",EDATE($B$3,VALUE(LEFT(B17,LEN(B17)-1))),EDATE($B$3,12*VALUE(LEFT(B17,LEN(B17)-1))))),2)=7,1,0))))&lt;&gt;MONTH(IF(RIGHT(B17,1)="W",$B$3+7*VALUE(LEFT(B17,LEN(B17)-1)),IF(RIGHT(B17,1)="M",EDATE($B$3,VALUE(LEFT(B17,LEN(B17)-1))),EDATE($B$3,12*VALUE(LEFT(B17,LEN(B17)-1)))))),(IF(RIGHT(B17,1)="W",$B$3+7*VALUE(LEFT(B17,LEN(B17)-1)),IF(RIGHT(B17,1)="M",EDATE($B$3,VALUE(LEFT(B17,LEN(B17)-1))),EDATE($B$3,12*VALUE(LEFT(B17,LEN(B17)-1)))))-IF(WEEKDAY(IF(RIGHT(B17,1)="W",$B$3+7*VALUE(LEFT(B17,LEN(B17)-1)),IF(RIGHT(B17,1)="M",EDATE($B$3,VALUE(LEFT(B17,LEN(B17)-1))),EDATE($B$3,12*VALUE(LEFT(B17,LEN(B17)-1))))),2)=6,1,IF(WEEKDAY(IF(RIGHT(B17,1)="W",$B$3+7*VALUE(LEFT(B17,LEN(B17)-1)),IF(RIGHT(B17,1)="M",EDATE($B$3,VALUE(LEFT(B17,LEN(B17)-1))),EDATE($B$3,12*VALUE(LEFT(B17,LEN(B17)-1))))),2)=7,2,0))),(IF(RIGHT(B17,1)="W",$B$3+7*VALUE(LEFT(B17,LEN(B17)-1)),IF(RIGHT(B17,1)="M",EDATE($B$3,VALUE(LEFT(B17,LEN(B17)-1))),EDATE($B$3,12*VALUE(LEFT(B17,LEN(B17)-1)))))+IF(WEEKDAY(IF(RIGHT(B17,1)="W",$B$3+7*VALUE(LEFT(B17,LEN(B17)-1)),IF(RIGHT(B17,1)="M",EDATE($B$3,VALUE(LEFT(B17,LEN(B17)-1))),EDATE($B$3,12*VALUE(LEFT(B17,LEN(B17)-1))))),2)=6,2,IF(WEEKDAY(IF(RIGHT(B17,1)="W",$B$3+7*VALUE(LEFT(B17,LEN(B17)-1)),IF(RIGHT(B17,1)="M",EDATE($B$3,VALUE(LEFT(B17,LEN(B17)-1))),EDATE($B$3,12*VALUE(LEFT(B17,LEN(B17)-1))))),2)=7,1,0))))</f>
        <v/>
      </c>
      <c r="D17" s="142">
        <f>(C17-$B$3)/365</f>
        <v/>
      </c>
      <c r="E17" s="17">
        <f>IFERROR(BDP(A17&amp;" "&amp;PX_SRC&amp;" Curncy","PX_BID"),"ERROR PLZ FIX")</f>
        <v/>
      </c>
      <c r="F17" s="17">
        <f>IFERROR(BDP(A17&amp;" "&amp;PX_SRC&amp;" Curncy","PX_ASK"),"ERROR PLZ FIX")</f>
        <v/>
      </c>
      <c r="G17" s="17">
        <f>IFERROR(BDP(A17&amp;" "&amp;PX_SRC&amp;" Curncy","PX_LAST"),"ERROR PLZ FIX")</f>
        <v/>
      </c>
      <c r="H17" s="97">
        <f>IFERROR(IF(Bootstrap!$G$4="Test 1",INDEX(Testing!$B$8:$B$47,MATCH(C17,Testing!$F$8:$F$47,0)),IF(Bootstrap!$G$4="Test 2",INDEX(Testing!$B$58:$B$97,MATCH(C17,Testing!$F$58:$F$97,0)),IF(Bootstrap!$G$4="Test 3",INDEX(Testing!$B$108:$B$147,MATCH(C17,Testing!$F$108:$F$147,0)),IF(Bootstrap!$G$4="Fixed (S490 07/21/26)",J17,IF(ISNUMBER(T17),T17,J17))))),J17)</f>
        <v/>
      </c>
      <c r="I17" s="26" t="inlineStr"/>
      <c r="J17" s="133">
        <f>IFERROR(INDEX(S490_Snapshot!$C$7:$C$38,MATCH(B17,S490_Snapshot!$B$7:$B$38,0)),"")</f>
        <v/>
      </c>
      <c r="K17" s="100" t="inlineStr">
        <is>
          <t>S490_Snapshot</t>
        </is>
      </c>
      <c r="L17" s="94" t="inlineStr"/>
      <c r="N17" s="85" t="n"/>
      <c r="O17" s="85" t="n"/>
      <c r="P17" s="33">
        <f>IF(COUNT(N17:O17)=2,(N17+O17)/2,"")</f>
        <v/>
      </c>
      <c r="Q17" s="108">
        <f>IF(AND(ISNUMBER(N17),ISNUMBER(E17)),(E17-N17)*100,"")</f>
        <v/>
      </c>
      <c r="R17" s="108">
        <f>IF(AND(ISNUMBER(O17),ISNUMBER(F17)),(F17-O17)*100,"")</f>
        <v/>
      </c>
      <c r="S17" s="108">
        <f>IF(AND(ISNUMBER(P17),ISNUMBER(H17)),(H17-P17)*100,"")</f>
        <v/>
      </c>
      <c r="T17" s="84">
        <f>IFERROR((E17+F17)/2,IFERROR(G17+0,""))</f>
        <v/>
      </c>
      <c r="U17" s="89">
        <f>IF(OR(T17="",NOT(ISNUMBER(J17))),"",(T17-J17)*100)</f>
        <v/>
      </c>
    </row>
    <row r="18">
      <c r="A18" s="6" t="inlineStr">
        <is>
          <t>USOSFRK</t>
        </is>
      </c>
      <c r="B18" s="22" t="inlineStr">
        <is>
          <t>11M</t>
        </is>
      </c>
      <c r="C18" s="23">
        <f>IF(MONTH((IF(RIGHT(B18,1)="W",$B$3+7*VALUE(LEFT(B18,LEN(B18)-1)),IF(RIGHT(B18,1)="M",EDATE($B$3,VALUE(LEFT(B18,LEN(B18)-1))),EDATE($B$3,12*VALUE(LEFT(B18,LEN(B18)-1)))))+IF(WEEKDAY(IF(RIGHT(B18,1)="W",$B$3+7*VALUE(LEFT(B18,LEN(B18)-1)),IF(RIGHT(B18,1)="M",EDATE($B$3,VALUE(LEFT(B18,LEN(B18)-1))),EDATE($B$3,12*VALUE(LEFT(B18,LEN(B18)-1))))),2)=6,2,IF(WEEKDAY(IF(RIGHT(B18,1)="W",$B$3+7*VALUE(LEFT(B18,LEN(B18)-1)),IF(RIGHT(B18,1)="M",EDATE($B$3,VALUE(LEFT(B18,LEN(B18)-1))),EDATE($B$3,12*VALUE(LEFT(B18,LEN(B18)-1))))),2)=7,1,0))))&lt;&gt;MONTH(IF(RIGHT(B18,1)="W",$B$3+7*VALUE(LEFT(B18,LEN(B18)-1)),IF(RIGHT(B18,1)="M",EDATE($B$3,VALUE(LEFT(B18,LEN(B18)-1))),EDATE($B$3,12*VALUE(LEFT(B18,LEN(B18)-1)))))),(IF(RIGHT(B18,1)="W",$B$3+7*VALUE(LEFT(B18,LEN(B18)-1)),IF(RIGHT(B18,1)="M",EDATE($B$3,VALUE(LEFT(B18,LEN(B18)-1))),EDATE($B$3,12*VALUE(LEFT(B18,LEN(B18)-1)))))-IF(WEEKDAY(IF(RIGHT(B18,1)="W",$B$3+7*VALUE(LEFT(B18,LEN(B18)-1)),IF(RIGHT(B18,1)="M",EDATE($B$3,VALUE(LEFT(B18,LEN(B18)-1))),EDATE($B$3,12*VALUE(LEFT(B18,LEN(B18)-1))))),2)=6,1,IF(WEEKDAY(IF(RIGHT(B18,1)="W",$B$3+7*VALUE(LEFT(B18,LEN(B18)-1)),IF(RIGHT(B18,1)="M",EDATE($B$3,VALUE(LEFT(B18,LEN(B18)-1))),EDATE($B$3,12*VALUE(LEFT(B18,LEN(B18)-1))))),2)=7,2,0))),(IF(RIGHT(B18,1)="W",$B$3+7*VALUE(LEFT(B18,LEN(B18)-1)),IF(RIGHT(B18,1)="M",EDATE($B$3,VALUE(LEFT(B18,LEN(B18)-1))),EDATE($B$3,12*VALUE(LEFT(B18,LEN(B18)-1)))))+IF(WEEKDAY(IF(RIGHT(B18,1)="W",$B$3+7*VALUE(LEFT(B18,LEN(B18)-1)),IF(RIGHT(B18,1)="M",EDATE($B$3,VALUE(LEFT(B18,LEN(B18)-1))),EDATE($B$3,12*VALUE(LEFT(B18,LEN(B18)-1))))),2)=6,2,IF(WEEKDAY(IF(RIGHT(B18,1)="W",$B$3+7*VALUE(LEFT(B18,LEN(B18)-1)),IF(RIGHT(B18,1)="M",EDATE($B$3,VALUE(LEFT(B18,LEN(B18)-1))),EDATE($B$3,12*VALUE(LEFT(B18,LEN(B18)-1))))),2)=7,1,0))))</f>
        <v/>
      </c>
      <c r="D18" s="142">
        <f>(C18-$B$3)/365</f>
        <v/>
      </c>
      <c r="E18" s="17">
        <f>IFERROR(BDP(A18&amp;" "&amp;PX_SRC&amp;" Curncy","PX_BID"),"ERROR PLZ FIX")</f>
        <v/>
      </c>
      <c r="F18" s="17">
        <f>IFERROR(BDP(A18&amp;" "&amp;PX_SRC&amp;" Curncy","PX_ASK"),"ERROR PLZ FIX")</f>
        <v/>
      </c>
      <c r="G18" s="17">
        <f>IFERROR(BDP(A18&amp;" "&amp;PX_SRC&amp;" Curncy","PX_LAST"),"ERROR PLZ FIX")</f>
        <v/>
      </c>
      <c r="H18" s="97">
        <f>IFERROR(IF(Bootstrap!$G$4="Test 1",INDEX(Testing!$B$8:$B$47,MATCH(C18,Testing!$F$8:$F$47,0)),IF(Bootstrap!$G$4="Test 2",INDEX(Testing!$B$58:$B$97,MATCH(C18,Testing!$F$58:$F$97,0)),IF(Bootstrap!$G$4="Test 3",INDEX(Testing!$B$108:$B$147,MATCH(C18,Testing!$F$108:$F$147,0)),IF(Bootstrap!$G$4="Fixed (S490 07/21/26)",J18,IF(ISNUMBER(T18),T18,J18))))),J18)</f>
        <v/>
      </c>
      <c r="I18" s="26" t="inlineStr"/>
      <c r="J18" s="133">
        <f>IFERROR(INDEX(S490_Snapshot!$C$7:$C$38,MATCH(B18,S490_Snapshot!$B$7:$B$38,0)),"")</f>
        <v/>
      </c>
      <c r="K18" s="100" t="inlineStr">
        <is>
          <t>S490_Snapshot</t>
        </is>
      </c>
      <c r="L18" s="94" t="inlineStr"/>
      <c r="N18" s="85" t="n"/>
      <c r="O18" s="85" t="n"/>
      <c r="P18" s="33">
        <f>IF(COUNT(N18:O18)=2,(N18+O18)/2,"")</f>
        <v/>
      </c>
      <c r="Q18" s="108">
        <f>IF(AND(ISNUMBER(N18),ISNUMBER(E18)),(E18-N18)*100,"")</f>
        <v/>
      </c>
      <c r="R18" s="108">
        <f>IF(AND(ISNUMBER(O18),ISNUMBER(F18)),(F18-O18)*100,"")</f>
        <v/>
      </c>
      <c r="S18" s="108">
        <f>IF(AND(ISNUMBER(P18),ISNUMBER(H18)),(H18-P18)*100,"")</f>
        <v/>
      </c>
      <c r="T18" s="84">
        <f>IFERROR((E18+F18)/2,IFERROR(G18+0,""))</f>
        <v/>
      </c>
      <c r="U18" s="89">
        <f>IF(OR(T18="",NOT(ISNUMBER(J18))),"",(T18-J18)*100)</f>
        <v/>
      </c>
    </row>
    <row r="19">
      <c r="A19" s="6" t="inlineStr">
        <is>
          <t>USOSFR1</t>
        </is>
      </c>
      <c r="B19" s="22" t="inlineStr">
        <is>
          <t>1Y</t>
        </is>
      </c>
      <c r="C19" s="23">
        <f>IF(MONTH((IF(RIGHT(B19,1)="W",$B$3+7*VALUE(LEFT(B19,LEN(B19)-1)),IF(RIGHT(B19,1)="M",EDATE($B$3,VALUE(LEFT(B19,LEN(B19)-1))),EDATE($B$3,12*VALUE(LEFT(B19,LEN(B19)-1)))))+IF(WEEKDAY(IF(RIGHT(B19,1)="W",$B$3+7*VALUE(LEFT(B19,LEN(B19)-1)),IF(RIGHT(B19,1)="M",EDATE($B$3,VALUE(LEFT(B19,LEN(B19)-1))),EDATE($B$3,12*VALUE(LEFT(B19,LEN(B19)-1))))),2)=6,2,IF(WEEKDAY(IF(RIGHT(B19,1)="W",$B$3+7*VALUE(LEFT(B19,LEN(B19)-1)),IF(RIGHT(B19,1)="M",EDATE($B$3,VALUE(LEFT(B19,LEN(B19)-1))),EDATE($B$3,12*VALUE(LEFT(B19,LEN(B19)-1))))),2)=7,1,0))))&lt;&gt;MONTH(IF(RIGHT(B19,1)="W",$B$3+7*VALUE(LEFT(B19,LEN(B19)-1)),IF(RIGHT(B19,1)="M",EDATE($B$3,VALUE(LEFT(B19,LEN(B19)-1))),EDATE($B$3,12*VALUE(LEFT(B19,LEN(B19)-1)))))),(IF(RIGHT(B19,1)="W",$B$3+7*VALUE(LEFT(B19,LEN(B19)-1)),IF(RIGHT(B19,1)="M",EDATE($B$3,VALUE(LEFT(B19,LEN(B19)-1))),EDATE($B$3,12*VALUE(LEFT(B19,LEN(B19)-1)))))-IF(WEEKDAY(IF(RIGHT(B19,1)="W",$B$3+7*VALUE(LEFT(B19,LEN(B19)-1)),IF(RIGHT(B19,1)="M",EDATE($B$3,VALUE(LEFT(B19,LEN(B19)-1))),EDATE($B$3,12*VALUE(LEFT(B19,LEN(B19)-1))))),2)=6,1,IF(WEEKDAY(IF(RIGHT(B19,1)="W",$B$3+7*VALUE(LEFT(B19,LEN(B19)-1)),IF(RIGHT(B19,1)="M",EDATE($B$3,VALUE(LEFT(B19,LEN(B19)-1))),EDATE($B$3,12*VALUE(LEFT(B19,LEN(B19)-1))))),2)=7,2,0))),(IF(RIGHT(B19,1)="W",$B$3+7*VALUE(LEFT(B19,LEN(B19)-1)),IF(RIGHT(B19,1)="M",EDATE($B$3,VALUE(LEFT(B19,LEN(B19)-1))),EDATE($B$3,12*VALUE(LEFT(B19,LEN(B19)-1)))))+IF(WEEKDAY(IF(RIGHT(B19,1)="W",$B$3+7*VALUE(LEFT(B19,LEN(B19)-1)),IF(RIGHT(B19,1)="M",EDATE($B$3,VALUE(LEFT(B19,LEN(B19)-1))),EDATE($B$3,12*VALUE(LEFT(B19,LEN(B19)-1))))),2)=6,2,IF(WEEKDAY(IF(RIGHT(B19,1)="W",$B$3+7*VALUE(LEFT(B19,LEN(B19)-1)),IF(RIGHT(B19,1)="M",EDATE($B$3,VALUE(LEFT(B19,LEN(B19)-1))),EDATE($B$3,12*VALUE(LEFT(B19,LEN(B19)-1))))),2)=7,1,0))))</f>
        <v/>
      </c>
      <c r="D19" s="142">
        <f>(C19-$B$3)/365</f>
        <v/>
      </c>
      <c r="E19" s="17">
        <f>IFERROR(BDP(A19&amp;" "&amp;PX_SRC&amp;" Curncy","PX_BID"),"ERROR PLZ FIX")</f>
        <v/>
      </c>
      <c r="F19" s="17">
        <f>IFERROR(BDP(A19&amp;" "&amp;PX_SRC&amp;" Curncy","PX_ASK"),"ERROR PLZ FIX")</f>
        <v/>
      </c>
      <c r="G19" s="17">
        <f>IFERROR(BDP(A19&amp;" "&amp;PX_SRC&amp;" Curncy","PX_LAST"),"ERROR PLZ FIX")</f>
        <v/>
      </c>
      <c r="H19" s="97">
        <f>IFERROR(IF(Bootstrap!$G$4="Test 1",INDEX(Testing!$B$8:$B$47,MATCH(C19,Testing!$F$8:$F$47,0)),IF(Bootstrap!$G$4="Test 2",INDEX(Testing!$B$58:$B$97,MATCH(C19,Testing!$F$58:$F$97,0)),IF(Bootstrap!$G$4="Test 3",INDEX(Testing!$B$108:$B$147,MATCH(C19,Testing!$F$108:$F$147,0)),IF(Bootstrap!$G$4="Fixed (S490 07/21/26)",J19,IF(ISNUMBER(T19),T19,J19))))),J19)</f>
        <v/>
      </c>
      <c r="I19" s="26" t="inlineStr"/>
      <c r="J19" s="133">
        <f>IFERROR(INDEX(S490_Snapshot!$C$7:$C$38,MATCH(B19,S490_Snapshot!$B$7:$B$38,0)),"")</f>
        <v/>
      </c>
      <c r="K19" s="100" t="inlineStr">
        <is>
          <t>S490_Snapshot</t>
        </is>
      </c>
      <c r="L19" s="94" t="inlineStr"/>
      <c r="N19" s="85" t="n"/>
      <c r="O19" s="85" t="n"/>
      <c r="P19" s="33">
        <f>IF(COUNT(N19:O19)=2,(N19+O19)/2,"")</f>
        <v/>
      </c>
      <c r="Q19" s="108">
        <f>IF(AND(ISNUMBER(N19),ISNUMBER(E19)),(E19-N19)*100,"")</f>
        <v/>
      </c>
      <c r="R19" s="108">
        <f>IF(AND(ISNUMBER(O19),ISNUMBER(F19)),(F19-O19)*100,"")</f>
        <v/>
      </c>
      <c r="S19" s="108">
        <f>IF(AND(ISNUMBER(P19),ISNUMBER(H19)),(H19-P19)*100,"")</f>
        <v/>
      </c>
      <c r="T19" s="84">
        <f>IFERROR((E19+F19)/2,IFERROR(G19+0,""))</f>
        <v/>
      </c>
      <c r="U19" s="89">
        <f>IF(OR(T19="",NOT(ISNUMBER(J19))),"",(T19-J19)*100)</f>
        <v/>
      </c>
    </row>
    <row r="20">
      <c r="A20" s="161" t="inlineStr">
        <is>
          <t>Col H is the mid in use. Test cases match on the derived MATURITY DATE, not the tenor label - a capture writing 12M where this sheet writes 1Y still lines up.</t>
        </is>
      </c>
      <c r="B20" s="22" t="inlineStr">
        <is>
          <t>18M</t>
        </is>
      </c>
      <c r="C20" s="23">
        <f>IF(MONTH((IF(RIGHT(B20,1)="W",$B$3+7*VALUE(LEFT(B20,LEN(B20)-1)),IF(RIGHT(B20,1)="M",EDATE($B$3,VALUE(LEFT(B20,LEN(B20)-1))),EDATE($B$3,12*VALUE(LEFT(B20,LEN(B20)-1)))))+IF(WEEKDAY(IF(RIGHT(B20,1)="W",$B$3+7*VALUE(LEFT(B20,LEN(B20)-1)),IF(RIGHT(B20,1)="M",EDATE($B$3,VALUE(LEFT(B20,LEN(B20)-1))),EDATE($B$3,12*VALUE(LEFT(B20,LEN(B20)-1))))),2)=6,2,IF(WEEKDAY(IF(RIGHT(B20,1)="W",$B$3+7*VALUE(LEFT(B20,LEN(B20)-1)),IF(RIGHT(B20,1)="M",EDATE($B$3,VALUE(LEFT(B20,LEN(B20)-1))),EDATE($B$3,12*VALUE(LEFT(B20,LEN(B20)-1))))),2)=7,1,0))))&lt;&gt;MONTH(IF(RIGHT(B20,1)="W",$B$3+7*VALUE(LEFT(B20,LEN(B20)-1)),IF(RIGHT(B20,1)="M",EDATE($B$3,VALUE(LEFT(B20,LEN(B20)-1))),EDATE($B$3,12*VALUE(LEFT(B20,LEN(B20)-1)))))),(IF(RIGHT(B20,1)="W",$B$3+7*VALUE(LEFT(B20,LEN(B20)-1)),IF(RIGHT(B20,1)="M",EDATE($B$3,VALUE(LEFT(B20,LEN(B20)-1))),EDATE($B$3,12*VALUE(LEFT(B20,LEN(B20)-1)))))-IF(WEEKDAY(IF(RIGHT(B20,1)="W",$B$3+7*VALUE(LEFT(B20,LEN(B20)-1)),IF(RIGHT(B20,1)="M",EDATE($B$3,VALUE(LEFT(B20,LEN(B20)-1))),EDATE($B$3,12*VALUE(LEFT(B20,LEN(B20)-1))))),2)=6,1,IF(WEEKDAY(IF(RIGHT(B20,1)="W",$B$3+7*VALUE(LEFT(B20,LEN(B20)-1)),IF(RIGHT(B20,1)="M",EDATE($B$3,VALUE(LEFT(B20,LEN(B20)-1))),EDATE($B$3,12*VALUE(LEFT(B20,LEN(B20)-1))))),2)=7,2,0))),(IF(RIGHT(B20,1)="W",$B$3+7*VALUE(LEFT(B20,LEN(B20)-1)),IF(RIGHT(B20,1)="M",EDATE($B$3,VALUE(LEFT(B20,LEN(B20)-1))),EDATE($B$3,12*VALUE(LEFT(B20,LEN(B20)-1)))))+IF(WEEKDAY(IF(RIGHT(B20,1)="W",$B$3+7*VALUE(LEFT(B20,LEN(B20)-1)),IF(RIGHT(B20,1)="M",EDATE($B$3,VALUE(LEFT(B20,LEN(B20)-1))),EDATE($B$3,12*VALUE(LEFT(B20,LEN(B20)-1))))),2)=6,2,IF(WEEKDAY(IF(RIGHT(B20,1)="W",$B$3+7*VALUE(LEFT(B20,LEN(B20)-1)),IF(RIGHT(B20,1)="M",EDATE($B$3,VALUE(LEFT(B20,LEN(B20)-1))),EDATE($B$3,12*VALUE(LEFT(B20,LEN(B20)-1))))),2)=7,1,0))))</f>
        <v/>
      </c>
      <c r="D20" s="142">
        <f>(C20-$B$3)/365</f>
        <v/>
      </c>
      <c r="E20" s="17">
        <f>IFERROR(BDP(A20&amp;" "&amp;PX_SRC&amp;" Curncy","PX_BID"),"ERROR PLZ FIX")</f>
        <v/>
      </c>
      <c r="F20" s="17">
        <f>IFERROR(BDP(A20&amp;" "&amp;PX_SRC&amp;" Curncy","PX_ASK"),"ERROR PLZ FIX")</f>
        <v/>
      </c>
      <c r="G20" s="17">
        <f>IFERROR(BDP(A20&amp;" "&amp;PX_SRC&amp;" Curncy","PX_LAST"),"ERROR PLZ FIX")</f>
        <v/>
      </c>
      <c r="H20" s="97">
        <f>IFERROR(IF(Bootstrap!$G$4="Test 1",INDEX(Testing!$B$8:$B$47,MATCH(C20,Testing!$F$8:$F$47,0)),IF(Bootstrap!$G$4="Test 2",INDEX(Testing!$B$58:$B$97,MATCH(C20,Testing!$F$58:$F$97,0)),IF(Bootstrap!$G$4="Test 3",INDEX(Testing!$B$108:$B$147,MATCH(C20,Testing!$F$108:$F$147,0)),IF(Bootstrap!$G$4="Fixed (S490 07/21/26)",J20,IF(ISNUMBER(T20),T20,J20))))),J20)</f>
        <v/>
      </c>
      <c r="I20" s="26" t="inlineStr"/>
      <c r="J20" s="133">
        <f>IFERROR(INDEX(S490_Snapshot!$C$7:$C$38,MATCH(B20,S490_Snapshot!$B$7:$B$38,0)),"")</f>
        <v/>
      </c>
      <c r="K20" s="100" t="inlineStr">
        <is>
          <t>S490_Snapshot</t>
        </is>
      </c>
      <c r="L20" s="94" t="inlineStr"/>
      <c r="N20" s="85" t="n"/>
      <c r="O20" s="85" t="n"/>
      <c r="P20" s="33">
        <f>IF(COUNT(N20:O20)=2,(N20+O20)/2,"")</f>
        <v/>
      </c>
      <c r="Q20" s="108">
        <f>IF(AND(ISNUMBER(N20),ISNUMBER(E20)),(E20-N20)*100,"")</f>
        <v/>
      </c>
      <c r="R20" s="108">
        <f>IF(AND(ISNUMBER(O20),ISNUMBER(F20)),(F20-O20)*100,"")</f>
        <v/>
      </c>
      <c r="S20" s="108">
        <f>IF(AND(ISNUMBER(P20),ISNUMBER(H20)),(H20-P20)*100,"")</f>
        <v/>
      </c>
      <c r="T20" s="84">
        <f>IFERROR((E20+F20)/2,IFERROR(G20+0,""))</f>
        <v/>
      </c>
      <c r="U20" s="89">
        <f>IF(OR(T20="",NOT(ISNUMBER(J20))),"",(T20-J20)*100)</f>
        <v/>
      </c>
    </row>
    <row r="21">
      <c r="A21" s="6" t="inlineStr">
        <is>
          <t>USOSFR2</t>
        </is>
      </c>
      <c r="B21" s="22" t="inlineStr">
        <is>
          <t>2Y</t>
        </is>
      </c>
      <c r="C21" s="23">
        <f>IF(MONTH((IF(RIGHT(B21,1)="W",$B$3+7*VALUE(LEFT(B21,LEN(B21)-1)),IF(RIGHT(B21,1)="M",EDATE($B$3,VALUE(LEFT(B21,LEN(B21)-1))),EDATE($B$3,12*VALUE(LEFT(B21,LEN(B21)-1)))))+IF(WEEKDAY(IF(RIGHT(B21,1)="W",$B$3+7*VALUE(LEFT(B21,LEN(B21)-1)),IF(RIGHT(B21,1)="M",EDATE($B$3,VALUE(LEFT(B21,LEN(B21)-1))),EDATE($B$3,12*VALUE(LEFT(B21,LEN(B21)-1))))),2)=6,2,IF(WEEKDAY(IF(RIGHT(B21,1)="W",$B$3+7*VALUE(LEFT(B21,LEN(B21)-1)),IF(RIGHT(B21,1)="M",EDATE($B$3,VALUE(LEFT(B21,LEN(B21)-1))),EDATE($B$3,12*VALUE(LEFT(B21,LEN(B21)-1))))),2)=7,1,0))))&lt;&gt;MONTH(IF(RIGHT(B21,1)="W",$B$3+7*VALUE(LEFT(B21,LEN(B21)-1)),IF(RIGHT(B21,1)="M",EDATE($B$3,VALUE(LEFT(B21,LEN(B21)-1))),EDATE($B$3,12*VALUE(LEFT(B21,LEN(B21)-1)))))),(IF(RIGHT(B21,1)="W",$B$3+7*VALUE(LEFT(B21,LEN(B21)-1)),IF(RIGHT(B21,1)="M",EDATE($B$3,VALUE(LEFT(B21,LEN(B21)-1))),EDATE($B$3,12*VALUE(LEFT(B21,LEN(B21)-1)))))-IF(WEEKDAY(IF(RIGHT(B21,1)="W",$B$3+7*VALUE(LEFT(B21,LEN(B21)-1)),IF(RIGHT(B21,1)="M",EDATE($B$3,VALUE(LEFT(B21,LEN(B21)-1))),EDATE($B$3,12*VALUE(LEFT(B21,LEN(B21)-1))))),2)=6,1,IF(WEEKDAY(IF(RIGHT(B21,1)="W",$B$3+7*VALUE(LEFT(B21,LEN(B21)-1)),IF(RIGHT(B21,1)="M",EDATE($B$3,VALUE(LEFT(B21,LEN(B21)-1))),EDATE($B$3,12*VALUE(LEFT(B21,LEN(B21)-1))))),2)=7,2,0))),(IF(RIGHT(B21,1)="W",$B$3+7*VALUE(LEFT(B21,LEN(B21)-1)),IF(RIGHT(B21,1)="M",EDATE($B$3,VALUE(LEFT(B21,LEN(B21)-1))),EDATE($B$3,12*VALUE(LEFT(B21,LEN(B21)-1)))))+IF(WEEKDAY(IF(RIGHT(B21,1)="W",$B$3+7*VALUE(LEFT(B21,LEN(B21)-1)),IF(RIGHT(B21,1)="M",EDATE($B$3,VALUE(LEFT(B21,LEN(B21)-1))),EDATE($B$3,12*VALUE(LEFT(B21,LEN(B21)-1))))),2)=6,2,IF(WEEKDAY(IF(RIGHT(B21,1)="W",$B$3+7*VALUE(LEFT(B21,LEN(B21)-1)),IF(RIGHT(B21,1)="M",EDATE($B$3,VALUE(LEFT(B21,LEN(B21)-1))),EDATE($B$3,12*VALUE(LEFT(B21,LEN(B21)-1))))),2)=7,1,0))))</f>
        <v/>
      </c>
      <c r="D21" s="142">
        <f>(C21-$B$3)/365</f>
        <v/>
      </c>
      <c r="E21" s="17">
        <f>IFERROR(BDP(A21&amp;" "&amp;PX_SRC&amp;" Curncy","PX_BID"),"ERROR PLZ FIX")</f>
        <v/>
      </c>
      <c r="F21" s="17">
        <f>IFERROR(BDP(A21&amp;" "&amp;PX_SRC&amp;" Curncy","PX_ASK"),"ERROR PLZ FIX")</f>
        <v/>
      </c>
      <c r="G21" s="17">
        <f>IFERROR(BDP(A21&amp;" "&amp;PX_SRC&amp;" Curncy","PX_LAST"),"ERROR PLZ FIX")</f>
        <v/>
      </c>
      <c r="H21" s="97">
        <f>IFERROR(IF(Bootstrap!$G$4="Test 1",INDEX(Testing!$B$8:$B$47,MATCH(C21,Testing!$F$8:$F$47,0)),IF(Bootstrap!$G$4="Test 2",INDEX(Testing!$B$58:$B$97,MATCH(C21,Testing!$F$58:$F$97,0)),IF(Bootstrap!$G$4="Test 3",INDEX(Testing!$B$108:$B$147,MATCH(C21,Testing!$F$108:$F$147,0)),IF(Bootstrap!$G$4="Fixed (S490 07/21/26)",J21,IF(ISNUMBER(T21),T21,J21))))),J21)</f>
        <v/>
      </c>
      <c r="I21" s="26" t="inlineStr"/>
      <c r="J21" s="133">
        <f>IFERROR(INDEX(S490_Snapshot!$C$7:$C$38,MATCH(B21,S490_Snapshot!$B$7:$B$38,0)),"")</f>
        <v/>
      </c>
      <c r="K21" s="100" t="inlineStr">
        <is>
          <t>S490_Snapshot</t>
        </is>
      </c>
      <c r="L21" s="94" t="inlineStr"/>
      <c r="N21" s="85" t="n"/>
      <c r="O21" s="85" t="n"/>
      <c r="P21" s="33">
        <f>IF(COUNT(N21:O21)=2,(N21+O21)/2,"")</f>
        <v/>
      </c>
      <c r="Q21" s="108">
        <f>IF(AND(ISNUMBER(N21),ISNUMBER(E21)),(E21-N21)*100,"")</f>
        <v/>
      </c>
      <c r="R21" s="108">
        <f>IF(AND(ISNUMBER(O21),ISNUMBER(F21)),(F21-O21)*100,"")</f>
        <v/>
      </c>
      <c r="S21" s="108">
        <f>IF(AND(ISNUMBER(P21),ISNUMBER(H21)),(H21-P21)*100,"")</f>
        <v/>
      </c>
      <c r="T21" s="84">
        <f>IFERROR((E21+F21)/2,IFERROR(G21+0,""))</f>
        <v/>
      </c>
      <c r="U21" s="89">
        <f>IF(OR(T21="",NOT(ISNUMBER(J21))),"",(T21-J21)*100)</f>
        <v/>
      </c>
    </row>
    <row r="22">
      <c r="A22" s="6" t="inlineStr">
        <is>
          <t>USOSFR3</t>
        </is>
      </c>
      <c r="B22" s="22" t="inlineStr">
        <is>
          <t>3Y</t>
        </is>
      </c>
      <c r="C22" s="23">
        <f>IF(MONTH((IF(RIGHT(B22,1)="W",$B$3+7*VALUE(LEFT(B22,LEN(B22)-1)),IF(RIGHT(B22,1)="M",EDATE($B$3,VALUE(LEFT(B22,LEN(B22)-1))),EDATE($B$3,12*VALUE(LEFT(B22,LEN(B22)-1)))))+IF(WEEKDAY(IF(RIGHT(B22,1)="W",$B$3+7*VALUE(LEFT(B22,LEN(B22)-1)),IF(RIGHT(B22,1)="M",EDATE($B$3,VALUE(LEFT(B22,LEN(B22)-1))),EDATE($B$3,12*VALUE(LEFT(B22,LEN(B22)-1))))),2)=6,2,IF(WEEKDAY(IF(RIGHT(B22,1)="W",$B$3+7*VALUE(LEFT(B22,LEN(B22)-1)),IF(RIGHT(B22,1)="M",EDATE($B$3,VALUE(LEFT(B22,LEN(B22)-1))),EDATE($B$3,12*VALUE(LEFT(B22,LEN(B22)-1))))),2)=7,1,0))))&lt;&gt;MONTH(IF(RIGHT(B22,1)="W",$B$3+7*VALUE(LEFT(B22,LEN(B22)-1)),IF(RIGHT(B22,1)="M",EDATE($B$3,VALUE(LEFT(B22,LEN(B22)-1))),EDATE($B$3,12*VALUE(LEFT(B22,LEN(B22)-1)))))),(IF(RIGHT(B22,1)="W",$B$3+7*VALUE(LEFT(B22,LEN(B22)-1)),IF(RIGHT(B22,1)="M",EDATE($B$3,VALUE(LEFT(B22,LEN(B22)-1))),EDATE($B$3,12*VALUE(LEFT(B22,LEN(B22)-1)))))-IF(WEEKDAY(IF(RIGHT(B22,1)="W",$B$3+7*VALUE(LEFT(B22,LEN(B22)-1)),IF(RIGHT(B22,1)="M",EDATE($B$3,VALUE(LEFT(B22,LEN(B22)-1))),EDATE($B$3,12*VALUE(LEFT(B22,LEN(B22)-1))))),2)=6,1,IF(WEEKDAY(IF(RIGHT(B22,1)="W",$B$3+7*VALUE(LEFT(B22,LEN(B22)-1)),IF(RIGHT(B22,1)="M",EDATE($B$3,VALUE(LEFT(B22,LEN(B22)-1))),EDATE($B$3,12*VALUE(LEFT(B22,LEN(B22)-1))))),2)=7,2,0))),(IF(RIGHT(B22,1)="W",$B$3+7*VALUE(LEFT(B22,LEN(B22)-1)),IF(RIGHT(B22,1)="M",EDATE($B$3,VALUE(LEFT(B22,LEN(B22)-1))),EDATE($B$3,12*VALUE(LEFT(B22,LEN(B22)-1)))))+IF(WEEKDAY(IF(RIGHT(B22,1)="W",$B$3+7*VALUE(LEFT(B22,LEN(B22)-1)),IF(RIGHT(B22,1)="M",EDATE($B$3,VALUE(LEFT(B22,LEN(B22)-1))),EDATE($B$3,12*VALUE(LEFT(B22,LEN(B22)-1))))),2)=6,2,IF(WEEKDAY(IF(RIGHT(B22,1)="W",$B$3+7*VALUE(LEFT(B22,LEN(B22)-1)),IF(RIGHT(B22,1)="M",EDATE($B$3,VALUE(LEFT(B22,LEN(B22)-1))),EDATE($B$3,12*VALUE(LEFT(B22,LEN(B22)-1))))),2)=7,1,0))))</f>
        <v/>
      </c>
      <c r="D22" s="142">
        <f>(C22-$B$3)/365</f>
        <v/>
      </c>
      <c r="E22" s="17">
        <f>IFERROR(BDP(A22&amp;" "&amp;PX_SRC&amp;" Curncy","PX_BID"),"ERROR PLZ FIX")</f>
        <v/>
      </c>
      <c r="F22" s="17">
        <f>IFERROR(BDP(A22&amp;" "&amp;PX_SRC&amp;" Curncy","PX_ASK"),"ERROR PLZ FIX")</f>
        <v/>
      </c>
      <c r="G22" s="17">
        <f>IFERROR(BDP(A22&amp;" "&amp;PX_SRC&amp;" Curncy","PX_LAST"),"ERROR PLZ FIX")</f>
        <v/>
      </c>
      <c r="H22" s="97">
        <f>IFERROR(IF(Bootstrap!$G$4="Test 1",INDEX(Testing!$B$8:$B$47,MATCH(C22,Testing!$F$8:$F$47,0)),IF(Bootstrap!$G$4="Test 2",INDEX(Testing!$B$58:$B$97,MATCH(C22,Testing!$F$58:$F$97,0)),IF(Bootstrap!$G$4="Test 3",INDEX(Testing!$B$108:$B$147,MATCH(C22,Testing!$F$108:$F$147,0)),IF(Bootstrap!$G$4="Fixed (S490 07/21/26)",J22,IF(ISNUMBER(T22),T22,J22))))),J22)</f>
        <v/>
      </c>
      <c r="I22" s="26" t="inlineStr"/>
      <c r="J22" s="133">
        <f>IFERROR(INDEX(S490_Snapshot!$C$7:$C$38,MATCH(B22,S490_Snapshot!$B$7:$B$38,0)),"")</f>
        <v/>
      </c>
      <c r="K22" s="100" t="inlineStr">
        <is>
          <t>S490_Snapshot</t>
        </is>
      </c>
      <c r="L22" s="94" t="inlineStr"/>
      <c r="N22" s="85" t="n"/>
      <c r="O22" s="85" t="n"/>
      <c r="P22" s="33">
        <f>IF(COUNT(N22:O22)=2,(N22+O22)/2,"")</f>
        <v/>
      </c>
      <c r="Q22" s="108">
        <f>IF(AND(ISNUMBER(N22),ISNUMBER(E22)),(E22-N22)*100,"")</f>
        <v/>
      </c>
      <c r="R22" s="108">
        <f>IF(AND(ISNUMBER(O22),ISNUMBER(F22)),(F22-O22)*100,"")</f>
        <v/>
      </c>
      <c r="S22" s="108">
        <f>IF(AND(ISNUMBER(P22),ISNUMBER(H22)),(H22-P22)*100,"")</f>
        <v/>
      </c>
      <c r="T22" s="84">
        <f>IFERROR((E22+F22)/2,IFERROR(G22+0,""))</f>
        <v/>
      </c>
      <c r="U22" s="89">
        <f>IF(OR(T22="",NOT(ISNUMBER(J22))),"",(T22-J22)*100)</f>
        <v/>
      </c>
    </row>
    <row r="23">
      <c r="A23" s="6" t="inlineStr">
        <is>
          <t>USOSFR4</t>
        </is>
      </c>
      <c r="B23" s="22" t="inlineStr">
        <is>
          <t>4Y</t>
        </is>
      </c>
      <c r="C23" s="23">
        <f>IF(MONTH((IF(RIGHT(B23,1)="W",$B$3+7*VALUE(LEFT(B23,LEN(B23)-1)),IF(RIGHT(B23,1)="M",EDATE($B$3,VALUE(LEFT(B23,LEN(B23)-1))),EDATE($B$3,12*VALUE(LEFT(B23,LEN(B23)-1)))))+IF(WEEKDAY(IF(RIGHT(B23,1)="W",$B$3+7*VALUE(LEFT(B23,LEN(B23)-1)),IF(RIGHT(B23,1)="M",EDATE($B$3,VALUE(LEFT(B23,LEN(B23)-1))),EDATE($B$3,12*VALUE(LEFT(B23,LEN(B23)-1))))),2)=6,2,IF(WEEKDAY(IF(RIGHT(B23,1)="W",$B$3+7*VALUE(LEFT(B23,LEN(B23)-1)),IF(RIGHT(B23,1)="M",EDATE($B$3,VALUE(LEFT(B23,LEN(B23)-1))),EDATE($B$3,12*VALUE(LEFT(B23,LEN(B23)-1))))),2)=7,1,0))))&lt;&gt;MONTH(IF(RIGHT(B23,1)="W",$B$3+7*VALUE(LEFT(B23,LEN(B23)-1)),IF(RIGHT(B23,1)="M",EDATE($B$3,VALUE(LEFT(B23,LEN(B23)-1))),EDATE($B$3,12*VALUE(LEFT(B23,LEN(B23)-1)))))),(IF(RIGHT(B23,1)="W",$B$3+7*VALUE(LEFT(B23,LEN(B23)-1)),IF(RIGHT(B23,1)="M",EDATE($B$3,VALUE(LEFT(B23,LEN(B23)-1))),EDATE($B$3,12*VALUE(LEFT(B23,LEN(B23)-1)))))-IF(WEEKDAY(IF(RIGHT(B23,1)="W",$B$3+7*VALUE(LEFT(B23,LEN(B23)-1)),IF(RIGHT(B23,1)="M",EDATE($B$3,VALUE(LEFT(B23,LEN(B23)-1))),EDATE($B$3,12*VALUE(LEFT(B23,LEN(B23)-1))))),2)=6,1,IF(WEEKDAY(IF(RIGHT(B23,1)="W",$B$3+7*VALUE(LEFT(B23,LEN(B23)-1)),IF(RIGHT(B23,1)="M",EDATE($B$3,VALUE(LEFT(B23,LEN(B23)-1))),EDATE($B$3,12*VALUE(LEFT(B23,LEN(B23)-1))))),2)=7,2,0))),(IF(RIGHT(B23,1)="W",$B$3+7*VALUE(LEFT(B23,LEN(B23)-1)),IF(RIGHT(B23,1)="M",EDATE($B$3,VALUE(LEFT(B23,LEN(B23)-1))),EDATE($B$3,12*VALUE(LEFT(B23,LEN(B23)-1)))))+IF(WEEKDAY(IF(RIGHT(B23,1)="W",$B$3+7*VALUE(LEFT(B23,LEN(B23)-1)),IF(RIGHT(B23,1)="M",EDATE($B$3,VALUE(LEFT(B23,LEN(B23)-1))),EDATE($B$3,12*VALUE(LEFT(B23,LEN(B23)-1))))),2)=6,2,IF(WEEKDAY(IF(RIGHT(B23,1)="W",$B$3+7*VALUE(LEFT(B23,LEN(B23)-1)),IF(RIGHT(B23,1)="M",EDATE($B$3,VALUE(LEFT(B23,LEN(B23)-1))),EDATE($B$3,12*VALUE(LEFT(B23,LEN(B23)-1))))),2)=7,1,0))))</f>
        <v/>
      </c>
      <c r="D23" s="142">
        <f>(C23-$B$3)/365</f>
        <v/>
      </c>
      <c r="E23" s="17">
        <f>IFERROR(BDP(A23&amp;" "&amp;PX_SRC&amp;" Curncy","PX_BID"),"ERROR PLZ FIX")</f>
        <v/>
      </c>
      <c r="F23" s="17">
        <f>IFERROR(BDP(A23&amp;" "&amp;PX_SRC&amp;" Curncy","PX_ASK"),"ERROR PLZ FIX")</f>
        <v/>
      </c>
      <c r="G23" s="17">
        <f>IFERROR(BDP(A23&amp;" "&amp;PX_SRC&amp;" Curncy","PX_LAST"),"ERROR PLZ FIX")</f>
        <v/>
      </c>
      <c r="H23" s="97">
        <f>IFERROR(IF(Bootstrap!$G$4="Test 1",INDEX(Testing!$B$8:$B$47,MATCH(C23,Testing!$F$8:$F$47,0)),IF(Bootstrap!$G$4="Test 2",INDEX(Testing!$B$58:$B$97,MATCH(C23,Testing!$F$58:$F$97,0)),IF(Bootstrap!$G$4="Test 3",INDEX(Testing!$B$108:$B$147,MATCH(C23,Testing!$F$108:$F$147,0)),IF(Bootstrap!$G$4="Fixed (S490 07/21/26)",J23,IF(ISNUMBER(T23),T23,J23))))),J23)</f>
        <v/>
      </c>
      <c r="I23" s="26" t="inlineStr"/>
      <c r="J23" s="133">
        <f>IFERROR(INDEX(S490_Snapshot!$C$7:$C$38,MATCH(B23,S490_Snapshot!$B$7:$B$38,0)),"")</f>
        <v/>
      </c>
      <c r="K23" s="100" t="inlineStr">
        <is>
          <t>S490_Snapshot</t>
        </is>
      </c>
      <c r="L23" s="94" t="inlineStr"/>
      <c r="N23" s="85" t="n"/>
      <c r="O23" s="85" t="n"/>
      <c r="P23" s="33">
        <f>IF(COUNT(N23:O23)=2,(N23+O23)/2,"")</f>
        <v/>
      </c>
      <c r="Q23" s="108">
        <f>IF(AND(ISNUMBER(N23),ISNUMBER(E23)),(E23-N23)*100,"")</f>
        <v/>
      </c>
      <c r="R23" s="108">
        <f>IF(AND(ISNUMBER(O23),ISNUMBER(F23)),(F23-O23)*100,"")</f>
        <v/>
      </c>
      <c r="S23" s="108">
        <f>IF(AND(ISNUMBER(P23),ISNUMBER(H23)),(H23-P23)*100,"")</f>
        <v/>
      </c>
      <c r="T23" s="84">
        <f>IFERROR((E23+F23)/2,IFERROR(G23+0,""))</f>
        <v/>
      </c>
      <c r="U23" s="89">
        <f>IF(OR(T23="",NOT(ISNUMBER(J23))),"",(T23-J23)*100)</f>
        <v/>
      </c>
    </row>
    <row r="24">
      <c r="A24" s="6" t="inlineStr">
        <is>
          <t>USOSFR5</t>
        </is>
      </c>
      <c r="B24" s="22" t="inlineStr">
        <is>
          <t>5Y</t>
        </is>
      </c>
      <c r="C24" s="23">
        <f>IF(MONTH((IF(RIGHT(B24,1)="W",$B$3+7*VALUE(LEFT(B24,LEN(B24)-1)),IF(RIGHT(B24,1)="M",EDATE($B$3,VALUE(LEFT(B24,LEN(B24)-1))),EDATE($B$3,12*VALUE(LEFT(B24,LEN(B24)-1)))))+IF(WEEKDAY(IF(RIGHT(B24,1)="W",$B$3+7*VALUE(LEFT(B24,LEN(B24)-1)),IF(RIGHT(B24,1)="M",EDATE($B$3,VALUE(LEFT(B24,LEN(B24)-1))),EDATE($B$3,12*VALUE(LEFT(B24,LEN(B24)-1))))),2)=6,2,IF(WEEKDAY(IF(RIGHT(B24,1)="W",$B$3+7*VALUE(LEFT(B24,LEN(B24)-1)),IF(RIGHT(B24,1)="M",EDATE($B$3,VALUE(LEFT(B24,LEN(B24)-1))),EDATE($B$3,12*VALUE(LEFT(B24,LEN(B24)-1))))),2)=7,1,0))))&lt;&gt;MONTH(IF(RIGHT(B24,1)="W",$B$3+7*VALUE(LEFT(B24,LEN(B24)-1)),IF(RIGHT(B24,1)="M",EDATE($B$3,VALUE(LEFT(B24,LEN(B24)-1))),EDATE($B$3,12*VALUE(LEFT(B24,LEN(B24)-1)))))),(IF(RIGHT(B24,1)="W",$B$3+7*VALUE(LEFT(B24,LEN(B24)-1)),IF(RIGHT(B24,1)="M",EDATE($B$3,VALUE(LEFT(B24,LEN(B24)-1))),EDATE($B$3,12*VALUE(LEFT(B24,LEN(B24)-1)))))-IF(WEEKDAY(IF(RIGHT(B24,1)="W",$B$3+7*VALUE(LEFT(B24,LEN(B24)-1)),IF(RIGHT(B24,1)="M",EDATE($B$3,VALUE(LEFT(B24,LEN(B24)-1))),EDATE($B$3,12*VALUE(LEFT(B24,LEN(B24)-1))))),2)=6,1,IF(WEEKDAY(IF(RIGHT(B24,1)="W",$B$3+7*VALUE(LEFT(B24,LEN(B24)-1)),IF(RIGHT(B24,1)="M",EDATE($B$3,VALUE(LEFT(B24,LEN(B24)-1))),EDATE($B$3,12*VALUE(LEFT(B24,LEN(B24)-1))))),2)=7,2,0))),(IF(RIGHT(B24,1)="W",$B$3+7*VALUE(LEFT(B24,LEN(B24)-1)),IF(RIGHT(B24,1)="M",EDATE($B$3,VALUE(LEFT(B24,LEN(B24)-1))),EDATE($B$3,12*VALUE(LEFT(B24,LEN(B24)-1)))))+IF(WEEKDAY(IF(RIGHT(B24,1)="W",$B$3+7*VALUE(LEFT(B24,LEN(B24)-1)),IF(RIGHT(B24,1)="M",EDATE($B$3,VALUE(LEFT(B24,LEN(B24)-1))),EDATE($B$3,12*VALUE(LEFT(B24,LEN(B24)-1))))),2)=6,2,IF(WEEKDAY(IF(RIGHT(B24,1)="W",$B$3+7*VALUE(LEFT(B24,LEN(B24)-1)),IF(RIGHT(B24,1)="M",EDATE($B$3,VALUE(LEFT(B24,LEN(B24)-1))),EDATE($B$3,12*VALUE(LEFT(B24,LEN(B24)-1))))),2)=7,1,0))))</f>
        <v/>
      </c>
      <c r="D24" s="142">
        <f>(C24-$B$3)/365</f>
        <v/>
      </c>
      <c r="E24" s="17">
        <f>IFERROR(BDP(A24&amp;" "&amp;PX_SRC&amp;" Curncy","PX_BID"),"ERROR PLZ FIX")</f>
        <v/>
      </c>
      <c r="F24" s="17">
        <f>IFERROR(BDP(A24&amp;" "&amp;PX_SRC&amp;" Curncy","PX_ASK"),"ERROR PLZ FIX")</f>
        <v/>
      </c>
      <c r="G24" s="17">
        <f>IFERROR(BDP(A24&amp;" "&amp;PX_SRC&amp;" Curncy","PX_LAST"),"ERROR PLZ FIX")</f>
        <v/>
      </c>
      <c r="H24" s="97">
        <f>IFERROR(IF(Bootstrap!$G$4="Test 1",INDEX(Testing!$B$8:$B$47,MATCH(C24,Testing!$F$8:$F$47,0)),IF(Bootstrap!$G$4="Test 2",INDEX(Testing!$B$58:$B$97,MATCH(C24,Testing!$F$58:$F$97,0)),IF(Bootstrap!$G$4="Test 3",INDEX(Testing!$B$108:$B$147,MATCH(C24,Testing!$F$108:$F$147,0)),IF(Bootstrap!$G$4="Fixed (S490 07/21/26)",J24,IF(ISNUMBER(T24),T24,J24))))),J24)</f>
        <v/>
      </c>
      <c r="I24" s="26" t="inlineStr">
        <is>
          <t>Y</t>
        </is>
      </c>
      <c r="J24" s="133">
        <f>IFERROR(INDEX(S490_Snapshot!$C$7:$C$38,MATCH(B24,S490_Snapshot!$B$7:$B$38,0)),"")</f>
        <v/>
      </c>
      <c r="K24" s="100" t="inlineStr">
        <is>
          <t>S490_Snapshot</t>
        </is>
      </c>
      <c r="L24" s="94" t="inlineStr"/>
      <c r="N24" s="85" t="n"/>
      <c r="O24" s="85" t="n"/>
      <c r="P24" s="33">
        <f>IF(COUNT(N24:O24)=2,(N24+O24)/2,"")</f>
        <v/>
      </c>
      <c r="Q24" s="108">
        <f>IF(AND(ISNUMBER(N24),ISNUMBER(E24)),(E24-N24)*100,"")</f>
        <v/>
      </c>
      <c r="R24" s="108">
        <f>IF(AND(ISNUMBER(O24),ISNUMBER(F24)),(F24-O24)*100,"")</f>
        <v/>
      </c>
      <c r="S24" s="108">
        <f>IF(AND(ISNUMBER(P24),ISNUMBER(H24)),(H24-P24)*100,"")</f>
        <v/>
      </c>
      <c r="T24" s="84">
        <f>IFERROR((E24+F24)/2,IFERROR(G24+0,""))</f>
        <v/>
      </c>
      <c r="U24" s="89">
        <f>IF(OR(T24="",NOT(ISNUMBER(J24))),"",(T24-J24)*100)</f>
        <v/>
      </c>
    </row>
    <row r="25">
      <c r="A25" s="6" t="inlineStr">
        <is>
          <t>USOSFR6</t>
        </is>
      </c>
      <c r="B25" s="22" t="inlineStr">
        <is>
          <t>6Y</t>
        </is>
      </c>
      <c r="C25" s="23">
        <f>IF(MONTH((IF(RIGHT(B25,1)="W",$B$3+7*VALUE(LEFT(B25,LEN(B25)-1)),IF(RIGHT(B25,1)="M",EDATE($B$3,VALUE(LEFT(B25,LEN(B25)-1))),EDATE($B$3,12*VALUE(LEFT(B25,LEN(B25)-1)))))+IF(WEEKDAY(IF(RIGHT(B25,1)="W",$B$3+7*VALUE(LEFT(B25,LEN(B25)-1)),IF(RIGHT(B25,1)="M",EDATE($B$3,VALUE(LEFT(B25,LEN(B25)-1))),EDATE($B$3,12*VALUE(LEFT(B25,LEN(B25)-1))))),2)=6,2,IF(WEEKDAY(IF(RIGHT(B25,1)="W",$B$3+7*VALUE(LEFT(B25,LEN(B25)-1)),IF(RIGHT(B25,1)="M",EDATE($B$3,VALUE(LEFT(B25,LEN(B25)-1))),EDATE($B$3,12*VALUE(LEFT(B25,LEN(B25)-1))))),2)=7,1,0))))&lt;&gt;MONTH(IF(RIGHT(B25,1)="W",$B$3+7*VALUE(LEFT(B25,LEN(B25)-1)),IF(RIGHT(B25,1)="M",EDATE($B$3,VALUE(LEFT(B25,LEN(B25)-1))),EDATE($B$3,12*VALUE(LEFT(B25,LEN(B25)-1)))))),(IF(RIGHT(B25,1)="W",$B$3+7*VALUE(LEFT(B25,LEN(B25)-1)),IF(RIGHT(B25,1)="M",EDATE($B$3,VALUE(LEFT(B25,LEN(B25)-1))),EDATE($B$3,12*VALUE(LEFT(B25,LEN(B25)-1)))))-IF(WEEKDAY(IF(RIGHT(B25,1)="W",$B$3+7*VALUE(LEFT(B25,LEN(B25)-1)),IF(RIGHT(B25,1)="M",EDATE($B$3,VALUE(LEFT(B25,LEN(B25)-1))),EDATE($B$3,12*VALUE(LEFT(B25,LEN(B25)-1))))),2)=6,1,IF(WEEKDAY(IF(RIGHT(B25,1)="W",$B$3+7*VALUE(LEFT(B25,LEN(B25)-1)),IF(RIGHT(B25,1)="M",EDATE($B$3,VALUE(LEFT(B25,LEN(B25)-1))),EDATE($B$3,12*VALUE(LEFT(B25,LEN(B25)-1))))),2)=7,2,0))),(IF(RIGHT(B25,1)="W",$B$3+7*VALUE(LEFT(B25,LEN(B25)-1)),IF(RIGHT(B25,1)="M",EDATE($B$3,VALUE(LEFT(B25,LEN(B25)-1))),EDATE($B$3,12*VALUE(LEFT(B25,LEN(B25)-1)))))+IF(WEEKDAY(IF(RIGHT(B25,1)="W",$B$3+7*VALUE(LEFT(B25,LEN(B25)-1)),IF(RIGHT(B25,1)="M",EDATE($B$3,VALUE(LEFT(B25,LEN(B25)-1))),EDATE($B$3,12*VALUE(LEFT(B25,LEN(B25)-1))))),2)=6,2,IF(WEEKDAY(IF(RIGHT(B25,1)="W",$B$3+7*VALUE(LEFT(B25,LEN(B25)-1)),IF(RIGHT(B25,1)="M",EDATE($B$3,VALUE(LEFT(B25,LEN(B25)-1))),EDATE($B$3,12*VALUE(LEFT(B25,LEN(B25)-1))))),2)=7,1,0))))</f>
        <v/>
      </c>
      <c r="D25" s="142">
        <f>(C25-$B$3)/365</f>
        <v/>
      </c>
      <c r="E25" s="17">
        <f>IFERROR(BDP(A25&amp;" "&amp;PX_SRC&amp;" Curncy","PX_BID"),"ERROR PLZ FIX")</f>
        <v/>
      </c>
      <c r="F25" s="17">
        <f>IFERROR(BDP(A25&amp;" "&amp;PX_SRC&amp;" Curncy","PX_ASK"),"ERROR PLZ FIX")</f>
        <v/>
      </c>
      <c r="G25" s="17">
        <f>IFERROR(BDP(A25&amp;" "&amp;PX_SRC&amp;" Curncy","PX_LAST"),"ERROR PLZ FIX")</f>
        <v/>
      </c>
      <c r="H25" s="97">
        <f>IFERROR(IF(Bootstrap!$G$4="Test 1",INDEX(Testing!$B$8:$B$47,MATCH(C25,Testing!$F$8:$F$47,0)),IF(Bootstrap!$G$4="Test 2",INDEX(Testing!$B$58:$B$97,MATCH(C25,Testing!$F$58:$F$97,0)),IF(Bootstrap!$G$4="Test 3",INDEX(Testing!$B$108:$B$147,MATCH(C25,Testing!$F$108:$F$147,0)),IF(Bootstrap!$G$4="Fixed (S490 07/21/26)",J25,IF(ISNUMBER(T25),T25,J25))))),J25)</f>
        <v/>
      </c>
      <c r="I25" s="26" t="inlineStr">
        <is>
          <t>Y</t>
        </is>
      </c>
      <c r="J25" s="133">
        <f>IFERROR(INDEX(S490_Snapshot!$C$7:$C$38,MATCH(B25,S490_Snapshot!$B$7:$B$38,0)),"")</f>
        <v/>
      </c>
      <c r="K25" s="100" t="inlineStr">
        <is>
          <t>S490_Snapshot</t>
        </is>
      </c>
      <c r="L25" s="94" t="inlineStr"/>
      <c r="N25" s="85" t="n"/>
      <c r="O25" s="85" t="n"/>
      <c r="P25" s="33">
        <f>IF(COUNT(N25:O25)=2,(N25+O25)/2,"")</f>
        <v/>
      </c>
      <c r="Q25" s="108">
        <f>IF(AND(ISNUMBER(N25),ISNUMBER(E25)),(E25-N25)*100,"")</f>
        <v/>
      </c>
      <c r="R25" s="108">
        <f>IF(AND(ISNUMBER(O25),ISNUMBER(F25)),(F25-O25)*100,"")</f>
        <v/>
      </c>
      <c r="S25" s="108">
        <f>IF(AND(ISNUMBER(P25),ISNUMBER(H25)),(H25-P25)*100,"")</f>
        <v/>
      </c>
      <c r="T25" s="84">
        <f>IFERROR((E25+F25)/2,IFERROR(G25+0,""))</f>
        <v/>
      </c>
      <c r="U25" s="89">
        <f>IF(OR(T25="",NOT(ISNUMBER(J25))),"",(T25-J25)*100)</f>
        <v/>
      </c>
    </row>
    <row r="26">
      <c r="A26" s="6" t="inlineStr">
        <is>
          <t>USOSFR7</t>
        </is>
      </c>
      <c r="B26" s="22" t="inlineStr">
        <is>
          <t>7Y</t>
        </is>
      </c>
      <c r="C26" s="23">
        <f>IF(MONTH((IF(RIGHT(B26,1)="W",$B$3+7*VALUE(LEFT(B26,LEN(B26)-1)),IF(RIGHT(B26,1)="M",EDATE($B$3,VALUE(LEFT(B26,LEN(B26)-1))),EDATE($B$3,12*VALUE(LEFT(B26,LEN(B26)-1)))))+IF(WEEKDAY(IF(RIGHT(B26,1)="W",$B$3+7*VALUE(LEFT(B26,LEN(B26)-1)),IF(RIGHT(B26,1)="M",EDATE($B$3,VALUE(LEFT(B26,LEN(B26)-1))),EDATE($B$3,12*VALUE(LEFT(B26,LEN(B26)-1))))),2)=6,2,IF(WEEKDAY(IF(RIGHT(B26,1)="W",$B$3+7*VALUE(LEFT(B26,LEN(B26)-1)),IF(RIGHT(B26,1)="M",EDATE($B$3,VALUE(LEFT(B26,LEN(B26)-1))),EDATE($B$3,12*VALUE(LEFT(B26,LEN(B26)-1))))),2)=7,1,0))))&lt;&gt;MONTH(IF(RIGHT(B26,1)="W",$B$3+7*VALUE(LEFT(B26,LEN(B26)-1)),IF(RIGHT(B26,1)="M",EDATE($B$3,VALUE(LEFT(B26,LEN(B26)-1))),EDATE($B$3,12*VALUE(LEFT(B26,LEN(B26)-1)))))),(IF(RIGHT(B26,1)="W",$B$3+7*VALUE(LEFT(B26,LEN(B26)-1)),IF(RIGHT(B26,1)="M",EDATE($B$3,VALUE(LEFT(B26,LEN(B26)-1))),EDATE($B$3,12*VALUE(LEFT(B26,LEN(B26)-1)))))-IF(WEEKDAY(IF(RIGHT(B26,1)="W",$B$3+7*VALUE(LEFT(B26,LEN(B26)-1)),IF(RIGHT(B26,1)="M",EDATE($B$3,VALUE(LEFT(B26,LEN(B26)-1))),EDATE($B$3,12*VALUE(LEFT(B26,LEN(B26)-1))))),2)=6,1,IF(WEEKDAY(IF(RIGHT(B26,1)="W",$B$3+7*VALUE(LEFT(B26,LEN(B26)-1)),IF(RIGHT(B26,1)="M",EDATE($B$3,VALUE(LEFT(B26,LEN(B26)-1))),EDATE($B$3,12*VALUE(LEFT(B26,LEN(B26)-1))))),2)=7,2,0))),(IF(RIGHT(B26,1)="W",$B$3+7*VALUE(LEFT(B26,LEN(B26)-1)),IF(RIGHT(B26,1)="M",EDATE($B$3,VALUE(LEFT(B26,LEN(B26)-1))),EDATE($B$3,12*VALUE(LEFT(B26,LEN(B26)-1)))))+IF(WEEKDAY(IF(RIGHT(B26,1)="W",$B$3+7*VALUE(LEFT(B26,LEN(B26)-1)),IF(RIGHT(B26,1)="M",EDATE($B$3,VALUE(LEFT(B26,LEN(B26)-1))),EDATE($B$3,12*VALUE(LEFT(B26,LEN(B26)-1))))),2)=6,2,IF(WEEKDAY(IF(RIGHT(B26,1)="W",$B$3+7*VALUE(LEFT(B26,LEN(B26)-1)),IF(RIGHT(B26,1)="M",EDATE($B$3,VALUE(LEFT(B26,LEN(B26)-1))),EDATE($B$3,12*VALUE(LEFT(B26,LEN(B26)-1))))),2)=7,1,0))))</f>
        <v/>
      </c>
      <c r="D26" s="142">
        <f>(C26-$B$3)/365</f>
        <v/>
      </c>
      <c r="E26" s="17">
        <f>IFERROR(BDP(A26&amp;" "&amp;PX_SRC&amp;" Curncy","PX_BID"),"ERROR PLZ FIX")</f>
        <v/>
      </c>
      <c r="F26" s="17">
        <f>IFERROR(BDP(A26&amp;" "&amp;PX_SRC&amp;" Curncy","PX_ASK"),"ERROR PLZ FIX")</f>
        <v/>
      </c>
      <c r="G26" s="17">
        <f>IFERROR(BDP(A26&amp;" "&amp;PX_SRC&amp;" Curncy","PX_LAST"),"ERROR PLZ FIX")</f>
        <v/>
      </c>
      <c r="H26" s="97">
        <f>IFERROR(IF(Bootstrap!$G$4="Test 1",INDEX(Testing!$B$8:$B$47,MATCH(C26,Testing!$F$8:$F$47,0)),IF(Bootstrap!$G$4="Test 2",INDEX(Testing!$B$58:$B$97,MATCH(C26,Testing!$F$58:$F$97,0)),IF(Bootstrap!$G$4="Test 3",INDEX(Testing!$B$108:$B$147,MATCH(C26,Testing!$F$108:$F$147,0)),IF(Bootstrap!$G$4="Fixed (S490 07/21/26)",J26,IF(ISNUMBER(T26),T26,J26))))),J26)</f>
        <v/>
      </c>
      <c r="I26" s="26" t="inlineStr">
        <is>
          <t>Y</t>
        </is>
      </c>
      <c r="J26" s="133">
        <f>IFERROR(INDEX(S490_Snapshot!$C$7:$C$38,MATCH(B26,S490_Snapshot!$B$7:$B$38,0)),"")</f>
        <v/>
      </c>
      <c r="K26" s="100" t="inlineStr">
        <is>
          <t>S490_Snapshot</t>
        </is>
      </c>
      <c r="L26" s="94" t="inlineStr"/>
      <c r="N26" s="85" t="n"/>
      <c r="O26" s="85" t="n"/>
      <c r="P26" s="33">
        <f>IF(COUNT(N26:O26)=2,(N26+O26)/2,"")</f>
        <v/>
      </c>
      <c r="Q26" s="108">
        <f>IF(AND(ISNUMBER(N26),ISNUMBER(E26)),(E26-N26)*100,"")</f>
        <v/>
      </c>
      <c r="R26" s="108">
        <f>IF(AND(ISNUMBER(O26),ISNUMBER(F26)),(F26-O26)*100,"")</f>
        <v/>
      </c>
      <c r="S26" s="108">
        <f>IF(AND(ISNUMBER(P26),ISNUMBER(H26)),(H26-P26)*100,"")</f>
        <v/>
      </c>
      <c r="T26" s="84">
        <f>IFERROR((E26+F26)/2,IFERROR(G26+0,""))</f>
        <v/>
      </c>
      <c r="U26" s="89">
        <f>IF(OR(T26="",NOT(ISNUMBER(J26))),"",(T26-J26)*100)</f>
        <v/>
      </c>
    </row>
    <row r="27">
      <c r="A27" s="6" t="inlineStr">
        <is>
          <t>USOSFR8</t>
        </is>
      </c>
      <c r="B27" s="22" t="inlineStr">
        <is>
          <t>8Y</t>
        </is>
      </c>
      <c r="C27" s="23">
        <f>IF(MONTH((IF(RIGHT(B27,1)="W",$B$3+7*VALUE(LEFT(B27,LEN(B27)-1)),IF(RIGHT(B27,1)="M",EDATE($B$3,VALUE(LEFT(B27,LEN(B27)-1))),EDATE($B$3,12*VALUE(LEFT(B27,LEN(B27)-1)))))+IF(WEEKDAY(IF(RIGHT(B27,1)="W",$B$3+7*VALUE(LEFT(B27,LEN(B27)-1)),IF(RIGHT(B27,1)="M",EDATE($B$3,VALUE(LEFT(B27,LEN(B27)-1))),EDATE($B$3,12*VALUE(LEFT(B27,LEN(B27)-1))))),2)=6,2,IF(WEEKDAY(IF(RIGHT(B27,1)="W",$B$3+7*VALUE(LEFT(B27,LEN(B27)-1)),IF(RIGHT(B27,1)="M",EDATE($B$3,VALUE(LEFT(B27,LEN(B27)-1))),EDATE($B$3,12*VALUE(LEFT(B27,LEN(B27)-1))))),2)=7,1,0))))&lt;&gt;MONTH(IF(RIGHT(B27,1)="W",$B$3+7*VALUE(LEFT(B27,LEN(B27)-1)),IF(RIGHT(B27,1)="M",EDATE($B$3,VALUE(LEFT(B27,LEN(B27)-1))),EDATE($B$3,12*VALUE(LEFT(B27,LEN(B27)-1)))))),(IF(RIGHT(B27,1)="W",$B$3+7*VALUE(LEFT(B27,LEN(B27)-1)),IF(RIGHT(B27,1)="M",EDATE($B$3,VALUE(LEFT(B27,LEN(B27)-1))),EDATE($B$3,12*VALUE(LEFT(B27,LEN(B27)-1)))))-IF(WEEKDAY(IF(RIGHT(B27,1)="W",$B$3+7*VALUE(LEFT(B27,LEN(B27)-1)),IF(RIGHT(B27,1)="M",EDATE($B$3,VALUE(LEFT(B27,LEN(B27)-1))),EDATE($B$3,12*VALUE(LEFT(B27,LEN(B27)-1))))),2)=6,1,IF(WEEKDAY(IF(RIGHT(B27,1)="W",$B$3+7*VALUE(LEFT(B27,LEN(B27)-1)),IF(RIGHT(B27,1)="M",EDATE($B$3,VALUE(LEFT(B27,LEN(B27)-1))),EDATE($B$3,12*VALUE(LEFT(B27,LEN(B27)-1))))),2)=7,2,0))),(IF(RIGHT(B27,1)="W",$B$3+7*VALUE(LEFT(B27,LEN(B27)-1)),IF(RIGHT(B27,1)="M",EDATE($B$3,VALUE(LEFT(B27,LEN(B27)-1))),EDATE($B$3,12*VALUE(LEFT(B27,LEN(B27)-1)))))+IF(WEEKDAY(IF(RIGHT(B27,1)="W",$B$3+7*VALUE(LEFT(B27,LEN(B27)-1)),IF(RIGHT(B27,1)="M",EDATE($B$3,VALUE(LEFT(B27,LEN(B27)-1))),EDATE($B$3,12*VALUE(LEFT(B27,LEN(B27)-1))))),2)=6,2,IF(WEEKDAY(IF(RIGHT(B27,1)="W",$B$3+7*VALUE(LEFT(B27,LEN(B27)-1)),IF(RIGHT(B27,1)="M",EDATE($B$3,VALUE(LEFT(B27,LEN(B27)-1))),EDATE($B$3,12*VALUE(LEFT(B27,LEN(B27)-1))))),2)=7,1,0))))</f>
        <v/>
      </c>
      <c r="D27" s="142">
        <f>(C27-$B$3)/365</f>
        <v/>
      </c>
      <c r="E27" s="17">
        <f>IFERROR(BDP(A27&amp;" "&amp;PX_SRC&amp;" Curncy","PX_BID"),"ERROR PLZ FIX")</f>
        <v/>
      </c>
      <c r="F27" s="17">
        <f>IFERROR(BDP(A27&amp;" "&amp;PX_SRC&amp;" Curncy","PX_ASK"),"ERROR PLZ FIX")</f>
        <v/>
      </c>
      <c r="G27" s="17">
        <f>IFERROR(BDP(A27&amp;" "&amp;PX_SRC&amp;" Curncy","PX_LAST"),"ERROR PLZ FIX")</f>
        <v/>
      </c>
      <c r="H27" s="97">
        <f>IFERROR(IF(Bootstrap!$G$4="Test 1",INDEX(Testing!$B$8:$B$47,MATCH(C27,Testing!$F$8:$F$47,0)),IF(Bootstrap!$G$4="Test 2",INDEX(Testing!$B$58:$B$97,MATCH(C27,Testing!$F$58:$F$97,0)),IF(Bootstrap!$G$4="Test 3",INDEX(Testing!$B$108:$B$147,MATCH(C27,Testing!$F$108:$F$147,0)),IF(Bootstrap!$G$4="Fixed (S490 07/21/26)",J27,IF(ISNUMBER(T27),T27,J27))))),J27)</f>
        <v/>
      </c>
      <c r="I27" s="26" t="inlineStr">
        <is>
          <t>Y</t>
        </is>
      </c>
      <c r="J27" s="133">
        <f>IFERROR(INDEX(S490_Snapshot!$C$7:$C$38,MATCH(B27,S490_Snapshot!$B$7:$B$38,0)),"")</f>
        <v/>
      </c>
      <c r="K27" s="100" t="inlineStr">
        <is>
          <t>S490_Snapshot</t>
        </is>
      </c>
      <c r="L27" s="94" t="inlineStr"/>
      <c r="N27" s="85" t="n"/>
      <c r="O27" s="85" t="n"/>
      <c r="P27" s="33">
        <f>IF(COUNT(N27:O27)=2,(N27+O27)/2,"")</f>
        <v/>
      </c>
      <c r="Q27" s="108">
        <f>IF(AND(ISNUMBER(N27),ISNUMBER(E27)),(E27-N27)*100,"")</f>
        <v/>
      </c>
      <c r="R27" s="108">
        <f>IF(AND(ISNUMBER(O27),ISNUMBER(F27)),(F27-O27)*100,"")</f>
        <v/>
      </c>
      <c r="S27" s="108">
        <f>IF(AND(ISNUMBER(P27),ISNUMBER(H27)),(H27-P27)*100,"")</f>
        <v/>
      </c>
      <c r="T27" s="84">
        <f>IFERROR((E27+F27)/2,IFERROR(G27+0,""))</f>
        <v/>
      </c>
      <c r="U27" s="89">
        <f>IF(OR(T27="",NOT(ISNUMBER(J27))),"",(T27-J27)*100)</f>
        <v/>
      </c>
    </row>
    <row r="28">
      <c r="A28" s="6" t="inlineStr">
        <is>
          <t>USOSFR9</t>
        </is>
      </c>
      <c r="B28" s="22" t="inlineStr">
        <is>
          <t>9Y</t>
        </is>
      </c>
      <c r="C28" s="23">
        <f>IF(MONTH((IF(RIGHT(B28,1)="W",$B$3+7*VALUE(LEFT(B28,LEN(B28)-1)),IF(RIGHT(B28,1)="M",EDATE($B$3,VALUE(LEFT(B28,LEN(B28)-1))),EDATE($B$3,12*VALUE(LEFT(B28,LEN(B28)-1)))))+IF(WEEKDAY(IF(RIGHT(B28,1)="W",$B$3+7*VALUE(LEFT(B28,LEN(B28)-1)),IF(RIGHT(B28,1)="M",EDATE($B$3,VALUE(LEFT(B28,LEN(B28)-1))),EDATE($B$3,12*VALUE(LEFT(B28,LEN(B28)-1))))),2)=6,2,IF(WEEKDAY(IF(RIGHT(B28,1)="W",$B$3+7*VALUE(LEFT(B28,LEN(B28)-1)),IF(RIGHT(B28,1)="M",EDATE($B$3,VALUE(LEFT(B28,LEN(B28)-1))),EDATE($B$3,12*VALUE(LEFT(B28,LEN(B28)-1))))),2)=7,1,0))))&lt;&gt;MONTH(IF(RIGHT(B28,1)="W",$B$3+7*VALUE(LEFT(B28,LEN(B28)-1)),IF(RIGHT(B28,1)="M",EDATE($B$3,VALUE(LEFT(B28,LEN(B28)-1))),EDATE($B$3,12*VALUE(LEFT(B28,LEN(B28)-1)))))),(IF(RIGHT(B28,1)="W",$B$3+7*VALUE(LEFT(B28,LEN(B28)-1)),IF(RIGHT(B28,1)="M",EDATE($B$3,VALUE(LEFT(B28,LEN(B28)-1))),EDATE($B$3,12*VALUE(LEFT(B28,LEN(B28)-1)))))-IF(WEEKDAY(IF(RIGHT(B28,1)="W",$B$3+7*VALUE(LEFT(B28,LEN(B28)-1)),IF(RIGHT(B28,1)="M",EDATE($B$3,VALUE(LEFT(B28,LEN(B28)-1))),EDATE($B$3,12*VALUE(LEFT(B28,LEN(B28)-1))))),2)=6,1,IF(WEEKDAY(IF(RIGHT(B28,1)="W",$B$3+7*VALUE(LEFT(B28,LEN(B28)-1)),IF(RIGHT(B28,1)="M",EDATE($B$3,VALUE(LEFT(B28,LEN(B28)-1))),EDATE($B$3,12*VALUE(LEFT(B28,LEN(B28)-1))))),2)=7,2,0))),(IF(RIGHT(B28,1)="W",$B$3+7*VALUE(LEFT(B28,LEN(B28)-1)),IF(RIGHT(B28,1)="M",EDATE($B$3,VALUE(LEFT(B28,LEN(B28)-1))),EDATE($B$3,12*VALUE(LEFT(B28,LEN(B28)-1)))))+IF(WEEKDAY(IF(RIGHT(B28,1)="W",$B$3+7*VALUE(LEFT(B28,LEN(B28)-1)),IF(RIGHT(B28,1)="M",EDATE($B$3,VALUE(LEFT(B28,LEN(B28)-1))),EDATE($B$3,12*VALUE(LEFT(B28,LEN(B28)-1))))),2)=6,2,IF(WEEKDAY(IF(RIGHT(B28,1)="W",$B$3+7*VALUE(LEFT(B28,LEN(B28)-1)),IF(RIGHT(B28,1)="M",EDATE($B$3,VALUE(LEFT(B28,LEN(B28)-1))),EDATE($B$3,12*VALUE(LEFT(B28,LEN(B28)-1))))),2)=7,1,0))))</f>
        <v/>
      </c>
      <c r="D28" s="142">
        <f>(C28-$B$3)/365</f>
        <v/>
      </c>
      <c r="E28" s="17">
        <f>IFERROR(BDP(A28&amp;" "&amp;PX_SRC&amp;" Curncy","PX_BID"),"ERROR PLZ FIX")</f>
        <v/>
      </c>
      <c r="F28" s="17">
        <f>IFERROR(BDP(A28&amp;" "&amp;PX_SRC&amp;" Curncy","PX_ASK"),"ERROR PLZ FIX")</f>
        <v/>
      </c>
      <c r="G28" s="17">
        <f>IFERROR(BDP(A28&amp;" "&amp;PX_SRC&amp;" Curncy","PX_LAST"),"ERROR PLZ FIX")</f>
        <v/>
      </c>
      <c r="H28" s="97">
        <f>IFERROR(IF(Bootstrap!$G$4="Test 1",INDEX(Testing!$B$8:$B$47,MATCH(C28,Testing!$F$8:$F$47,0)),IF(Bootstrap!$G$4="Test 2",INDEX(Testing!$B$58:$B$97,MATCH(C28,Testing!$F$58:$F$97,0)),IF(Bootstrap!$G$4="Test 3",INDEX(Testing!$B$108:$B$147,MATCH(C28,Testing!$F$108:$F$147,0)),IF(Bootstrap!$G$4="Fixed (S490 07/21/26)",J28,IF(ISNUMBER(T28),T28,J28))))),J28)</f>
        <v/>
      </c>
      <c r="I28" s="26" t="inlineStr">
        <is>
          <t>Y</t>
        </is>
      </c>
      <c r="J28" s="133">
        <f>IFERROR(INDEX(S490_Snapshot!$C$7:$C$38,MATCH(B28,S490_Snapshot!$B$7:$B$38,0)),"")</f>
        <v/>
      </c>
      <c r="K28" s="100" t="inlineStr">
        <is>
          <t>S490_Snapshot</t>
        </is>
      </c>
      <c r="L28" s="94" t="inlineStr"/>
      <c r="N28" s="85" t="n"/>
      <c r="O28" s="85" t="n"/>
      <c r="P28" s="33">
        <f>IF(COUNT(N28:O28)=2,(N28+O28)/2,"")</f>
        <v/>
      </c>
      <c r="Q28" s="108">
        <f>IF(AND(ISNUMBER(N28),ISNUMBER(E28)),(E28-N28)*100,"")</f>
        <v/>
      </c>
      <c r="R28" s="108">
        <f>IF(AND(ISNUMBER(O28),ISNUMBER(F28)),(F28-O28)*100,"")</f>
        <v/>
      </c>
      <c r="S28" s="108">
        <f>IF(AND(ISNUMBER(P28),ISNUMBER(H28)),(H28-P28)*100,"")</f>
        <v/>
      </c>
      <c r="T28" s="84">
        <f>IFERROR((E28+F28)/2,IFERROR(G28+0,""))</f>
        <v/>
      </c>
      <c r="U28" s="89">
        <f>IF(OR(T28="",NOT(ISNUMBER(J28))),"",(T28-J28)*100)</f>
        <v/>
      </c>
    </row>
    <row r="29">
      <c r="A29" s="6" t="inlineStr">
        <is>
          <t>USOSFR10</t>
        </is>
      </c>
      <c r="B29" s="22" t="inlineStr">
        <is>
          <t>10Y</t>
        </is>
      </c>
      <c r="C29" s="23">
        <f>IF(MONTH((IF(RIGHT(B29,1)="W",$B$3+7*VALUE(LEFT(B29,LEN(B29)-1)),IF(RIGHT(B29,1)="M",EDATE($B$3,VALUE(LEFT(B29,LEN(B29)-1))),EDATE($B$3,12*VALUE(LEFT(B29,LEN(B29)-1)))))+IF(WEEKDAY(IF(RIGHT(B29,1)="W",$B$3+7*VALUE(LEFT(B29,LEN(B29)-1)),IF(RIGHT(B29,1)="M",EDATE($B$3,VALUE(LEFT(B29,LEN(B29)-1))),EDATE($B$3,12*VALUE(LEFT(B29,LEN(B29)-1))))),2)=6,2,IF(WEEKDAY(IF(RIGHT(B29,1)="W",$B$3+7*VALUE(LEFT(B29,LEN(B29)-1)),IF(RIGHT(B29,1)="M",EDATE($B$3,VALUE(LEFT(B29,LEN(B29)-1))),EDATE($B$3,12*VALUE(LEFT(B29,LEN(B29)-1))))),2)=7,1,0))))&lt;&gt;MONTH(IF(RIGHT(B29,1)="W",$B$3+7*VALUE(LEFT(B29,LEN(B29)-1)),IF(RIGHT(B29,1)="M",EDATE($B$3,VALUE(LEFT(B29,LEN(B29)-1))),EDATE($B$3,12*VALUE(LEFT(B29,LEN(B29)-1)))))),(IF(RIGHT(B29,1)="W",$B$3+7*VALUE(LEFT(B29,LEN(B29)-1)),IF(RIGHT(B29,1)="M",EDATE($B$3,VALUE(LEFT(B29,LEN(B29)-1))),EDATE($B$3,12*VALUE(LEFT(B29,LEN(B29)-1)))))-IF(WEEKDAY(IF(RIGHT(B29,1)="W",$B$3+7*VALUE(LEFT(B29,LEN(B29)-1)),IF(RIGHT(B29,1)="M",EDATE($B$3,VALUE(LEFT(B29,LEN(B29)-1))),EDATE($B$3,12*VALUE(LEFT(B29,LEN(B29)-1))))),2)=6,1,IF(WEEKDAY(IF(RIGHT(B29,1)="W",$B$3+7*VALUE(LEFT(B29,LEN(B29)-1)),IF(RIGHT(B29,1)="M",EDATE($B$3,VALUE(LEFT(B29,LEN(B29)-1))),EDATE($B$3,12*VALUE(LEFT(B29,LEN(B29)-1))))),2)=7,2,0))),(IF(RIGHT(B29,1)="W",$B$3+7*VALUE(LEFT(B29,LEN(B29)-1)),IF(RIGHT(B29,1)="M",EDATE($B$3,VALUE(LEFT(B29,LEN(B29)-1))),EDATE($B$3,12*VALUE(LEFT(B29,LEN(B29)-1)))))+IF(WEEKDAY(IF(RIGHT(B29,1)="W",$B$3+7*VALUE(LEFT(B29,LEN(B29)-1)),IF(RIGHT(B29,1)="M",EDATE($B$3,VALUE(LEFT(B29,LEN(B29)-1))),EDATE($B$3,12*VALUE(LEFT(B29,LEN(B29)-1))))),2)=6,2,IF(WEEKDAY(IF(RIGHT(B29,1)="W",$B$3+7*VALUE(LEFT(B29,LEN(B29)-1)),IF(RIGHT(B29,1)="M",EDATE($B$3,VALUE(LEFT(B29,LEN(B29)-1))),EDATE($B$3,12*VALUE(LEFT(B29,LEN(B29)-1))))),2)=7,1,0))))</f>
        <v/>
      </c>
      <c r="D29" s="142">
        <f>(C29-$B$3)/365</f>
        <v/>
      </c>
      <c r="E29" s="17">
        <f>IFERROR(BDP(A29&amp;" "&amp;PX_SRC&amp;" Curncy","PX_BID"),"ERROR PLZ FIX")</f>
        <v/>
      </c>
      <c r="F29" s="17">
        <f>IFERROR(BDP(A29&amp;" "&amp;PX_SRC&amp;" Curncy","PX_ASK"),"ERROR PLZ FIX")</f>
        <v/>
      </c>
      <c r="G29" s="17">
        <f>IFERROR(BDP(A29&amp;" "&amp;PX_SRC&amp;" Curncy","PX_LAST"),"ERROR PLZ FIX")</f>
        <v/>
      </c>
      <c r="H29" s="97">
        <f>IFERROR(IF(Bootstrap!$G$4="Test 1",INDEX(Testing!$B$8:$B$47,MATCH(C29,Testing!$F$8:$F$47,0)),IF(Bootstrap!$G$4="Test 2",INDEX(Testing!$B$58:$B$97,MATCH(C29,Testing!$F$58:$F$97,0)),IF(Bootstrap!$G$4="Test 3",INDEX(Testing!$B$108:$B$147,MATCH(C29,Testing!$F$108:$F$147,0)),IF(Bootstrap!$G$4="Fixed (S490 07/21/26)",J29,IF(ISNUMBER(T29),T29,J29))))),J29)</f>
        <v/>
      </c>
      <c r="I29" s="26" t="inlineStr">
        <is>
          <t>Y</t>
        </is>
      </c>
      <c r="J29" s="133">
        <f>IFERROR(INDEX(S490_Snapshot!$C$7:$C$38,MATCH(B29,S490_Snapshot!$B$7:$B$38,0)),"")</f>
        <v/>
      </c>
      <c r="K29" s="100" t="inlineStr">
        <is>
          <t>S490_Snapshot</t>
        </is>
      </c>
      <c r="L29" s="94" t="inlineStr"/>
      <c r="N29" s="85" t="n"/>
      <c r="O29" s="85" t="n"/>
      <c r="P29" s="33">
        <f>IF(COUNT(N29:O29)=2,(N29+O29)/2,"")</f>
        <v/>
      </c>
      <c r="Q29" s="108">
        <f>IF(AND(ISNUMBER(N29),ISNUMBER(E29)),(E29-N29)*100,"")</f>
        <v/>
      </c>
      <c r="R29" s="108">
        <f>IF(AND(ISNUMBER(O29),ISNUMBER(F29)),(F29-O29)*100,"")</f>
        <v/>
      </c>
      <c r="S29" s="108">
        <f>IF(AND(ISNUMBER(P29),ISNUMBER(H29)),(H29-P29)*100,"")</f>
        <v/>
      </c>
      <c r="T29" s="84">
        <f>IFERROR((E29+F29)/2,IFERROR(G29+0,""))</f>
        <v/>
      </c>
      <c r="U29" s="89">
        <f>IF(OR(T29="",NOT(ISNUMBER(J29))),"",(T29-J29)*100)</f>
        <v/>
      </c>
    </row>
    <row r="30">
      <c r="A30" s="6" t="inlineStr">
        <is>
          <t>USOSFR12</t>
        </is>
      </c>
      <c r="B30" s="22" t="inlineStr">
        <is>
          <t>12Y</t>
        </is>
      </c>
      <c r="C30" s="23">
        <f>IF(MONTH((IF(RIGHT(B30,1)="W",$B$3+7*VALUE(LEFT(B30,LEN(B30)-1)),IF(RIGHT(B30,1)="M",EDATE($B$3,VALUE(LEFT(B30,LEN(B30)-1))),EDATE($B$3,12*VALUE(LEFT(B30,LEN(B30)-1)))))+IF(WEEKDAY(IF(RIGHT(B30,1)="W",$B$3+7*VALUE(LEFT(B30,LEN(B30)-1)),IF(RIGHT(B30,1)="M",EDATE($B$3,VALUE(LEFT(B30,LEN(B30)-1))),EDATE($B$3,12*VALUE(LEFT(B30,LEN(B30)-1))))),2)=6,2,IF(WEEKDAY(IF(RIGHT(B30,1)="W",$B$3+7*VALUE(LEFT(B30,LEN(B30)-1)),IF(RIGHT(B30,1)="M",EDATE($B$3,VALUE(LEFT(B30,LEN(B30)-1))),EDATE($B$3,12*VALUE(LEFT(B30,LEN(B30)-1))))),2)=7,1,0))))&lt;&gt;MONTH(IF(RIGHT(B30,1)="W",$B$3+7*VALUE(LEFT(B30,LEN(B30)-1)),IF(RIGHT(B30,1)="M",EDATE($B$3,VALUE(LEFT(B30,LEN(B30)-1))),EDATE($B$3,12*VALUE(LEFT(B30,LEN(B30)-1)))))),(IF(RIGHT(B30,1)="W",$B$3+7*VALUE(LEFT(B30,LEN(B30)-1)),IF(RIGHT(B30,1)="M",EDATE($B$3,VALUE(LEFT(B30,LEN(B30)-1))),EDATE($B$3,12*VALUE(LEFT(B30,LEN(B30)-1)))))-IF(WEEKDAY(IF(RIGHT(B30,1)="W",$B$3+7*VALUE(LEFT(B30,LEN(B30)-1)),IF(RIGHT(B30,1)="M",EDATE($B$3,VALUE(LEFT(B30,LEN(B30)-1))),EDATE($B$3,12*VALUE(LEFT(B30,LEN(B30)-1))))),2)=6,1,IF(WEEKDAY(IF(RIGHT(B30,1)="W",$B$3+7*VALUE(LEFT(B30,LEN(B30)-1)),IF(RIGHT(B30,1)="M",EDATE($B$3,VALUE(LEFT(B30,LEN(B30)-1))),EDATE($B$3,12*VALUE(LEFT(B30,LEN(B30)-1))))),2)=7,2,0))),(IF(RIGHT(B30,1)="W",$B$3+7*VALUE(LEFT(B30,LEN(B30)-1)),IF(RIGHT(B30,1)="M",EDATE($B$3,VALUE(LEFT(B30,LEN(B30)-1))),EDATE($B$3,12*VALUE(LEFT(B30,LEN(B30)-1)))))+IF(WEEKDAY(IF(RIGHT(B30,1)="W",$B$3+7*VALUE(LEFT(B30,LEN(B30)-1)),IF(RIGHT(B30,1)="M",EDATE($B$3,VALUE(LEFT(B30,LEN(B30)-1))),EDATE($B$3,12*VALUE(LEFT(B30,LEN(B30)-1))))),2)=6,2,IF(WEEKDAY(IF(RIGHT(B30,1)="W",$B$3+7*VALUE(LEFT(B30,LEN(B30)-1)),IF(RIGHT(B30,1)="M",EDATE($B$3,VALUE(LEFT(B30,LEN(B30)-1))),EDATE($B$3,12*VALUE(LEFT(B30,LEN(B30)-1))))),2)=7,1,0))))</f>
        <v/>
      </c>
      <c r="D30" s="142">
        <f>(C30-$B$3)/365</f>
        <v/>
      </c>
      <c r="E30" s="17">
        <f>IFERROR(BDP(A30&amp;" "&amp;PX_SRC&amp;" Curncy","PX_BID"),"ERROR PLZ FIX")</f>
        <v/>
      </c>
      <c r="F30" s="17">
        <f>IFERROR(BDP(A30&amp;" "&amp;PX_SRC&amp;" Curncy","PX_ASK"),"ERROR PLZ FIX")</f>
        <v/>
      </c>
      <c r="G30" s="17">
        <f>IFERROR(BDP(A30&amp;" "&amp;PX_SRC&amp;" Curncy","PX_LAST"),"ERROR PLZ FIX")</f>
        <v/>
      </c>
      <c r="H30" s="97">
        <f>IFERROR(IF(Bootstrap!$G$4="Test 1",INDEX(Testing!$B$8:$B$47,MATCH(C30,Testing!$F$8:$F$47,0)),IF(Bootstrap!$G$4="Test 2",INDEX(Testing!$B$58:$B$97,MATCH(C30,Testing!$F$58:$F$97,0)),IF(Bootstrap!$G$4="Test 3",INDEX(Testing!$B$108:$B$147,MATCH(C30,Testing!$F$108:$F$147,0)),IF(Bootstrap!$G$4="Fixed (S490 07/21/26)",J30,IF(ISNUMBER(T30),T30,J30))))),J30)</f>
        <v/>
      </c>
      <c r="I30" s="26" t="inlineStr">
        <is>
          <t>Y</t>
        </is>
      </c>
      <c r="J30" s="133">
        <f>IFERROR(INDEX(S490_Snapshot!$C$7:$C$38,MATCH(B30,S490_Snapshot!$B$7:$B$38,0)),"")</f>
        <v/>
      </c>
      <c r="K30" s="100" t="inlineStr">
        <is>
          <t>S490_Snapshot</t>
        </is>
      </c>
      <c r="L30" s="94" t="inlineStr"/>
      <c r="N30" s="85" t="n"/>
      <c r="O30" s="85" t="n"/>
      <c r="P30" s="33">
        <f>IF(COUNT(N30:O30)=2,(N30+O30)/2,"")</f>
        <v/>
      </c>
      <c r="Q30" s="108">
        <f>IF(AND(ISNUMBER(N30),ISNUMBER(E30)),(E30-N30)*100,"")</f>
        <v/>
      </c>
      <c r="R30" s="108">
        <f>IF(AND(ISNUMBER(O30),ISNUMBER(F30)),(F30-O30)*100,"")</f>
        <v/>
      </c>
      <c r="S30" s="108">
        <f>IF(AND(ISNUMBER(P30),ISNUMBER(H30)),(H30-P30)*100,"")</f>
        <v/>
      </c>
      <c r="T30" s="84">
        <f>IFERROR((E30+F30)/2,IFERROR(G30+0,""))</f>
        <v/>
      </c>
      <c r="U30" s="89">
        <f>IF(OR(T30="",NOT(ISNUMBER(J30))),"",(T30-J30)*100)</f>
        <v/>
      </c>
    </row>
    <row r="31">
      <c r="A31" s="6" t="inlineStr">
        <is>
          <t>USOSFR15</t>
        </is>
      </c>
      <c r="B31" s="22" t="inlineStr">
        <is>
          <t>15Y</t>
        </is>
      </c>
      <c r="C31" s="23">
        <f>IF(MONTH((IF(RIGHT(B31,1)="W",$B$3+7*VALUE(LEFT(B31,LEN(B31)-1)),IF(RIGHT(B31,1)="M",EDATE($B$3,VALUE(LEFT(B31,LEN(B31)-1))),EDATE($B$3,12*VALUE(LEFT(B31,LEN(B31)-1)))))+IF(WEEKDAY(IF(RIGHT(B31,1)="W",$B$3+7*VALUE(LEFT(B31,LEN(B31)-1)),IF(RIGHT(B31,1)="M",EDATE($B$3,VALUE(LEFT(B31,LEN(B31)-1))),EDATE($B$3,12*VALUE(LEFT(B31,LEN(B31)-1))))),2)=6,2,IF(WEEKDAY(IF(RIGHT(B31,1)="W",$B$3+7*VALUE(LEFT(B31,LEN(B31)-1)),IF(RIGHT(B31,1)="M",EDATE($B$3,VALUE(LEFT(B31,LEN(B31)-1))),EDATE($B$3,12*VALUE(LEFT(B31,LEN(B31)-1))))),2)=7,1,0))))&lt;&gt;MONTH(IF(RIGHT(B31,1)="W",$B$3+7*VALUE(LEFT(B31,LEN(B31)-1)),IF(RIGHT(B31,1)="M",EDATE($B$3,VALUE(LEFT(B31,LEN(B31)-1))),EDATE($B$3,12*VALUE(LEFT(B31,LEN(B31)-1)))))),(IF(RIGHT(B31,1)="W",$B$3+7*VALUE(LEFT(B31,LEN(B31)-1)),IF(RIGHT(B31,1)="M",EDATE($B$3,VALUE(LEFT(B31,LEN(B31)-1))),EDATE($B$3,12*VALUE(LEFT(B31,LEN(B31)-1)))))-IF(WEEKDAY(IF(RIGHT(B31,1)="W",$B$3+7*VALUE(LEFT(B31,LEN(B31)-1)),IF(RIGHT(B31,1)="M",EDATE($B$3,VALUE(LEFT(B31,LEN(B31)-1))),EDATE($B$3,12*VALUE(LEFT(B31,LEN(B31)-1))))),2)=6,1,IF(WEEKDAY(IF(RIGHT(B31,1)="W",$B$3+7*VALUE(LEFT(B31,LEN(B31)-1)),IF(RIGHT(B31,1)="M",EDATE($B$3,VALUE(LEFT(B31,LEN(B31)-1))),EDATE($B$3,12*VALUE(LEFT(B31,LEN(B31)-1))))),2)=7,2,0))),(IF(RIGHT(B31,1)="W",$B$3+7*VALUE(LEFT(B31,LEN(B31)-1)),IF(RIGHT(B31,1)="M",EDATE($B$3,VALUE(LEFT(B31,LEN(B31)-1))),EDATE($B$3,12*VALUE(LEFT(B31,LEN(B31)-1)))))+IF(WEEKDAY(IF(RIGHT(B31,1)="W",$B$3+7*VALUE(LEFT(B31,LEN(B31)-1)),IF(RIGHT(B31,1)="M",EDATE($B$3,VALUE(LEFT(B31,LEN(B31)-1))),EDATE($B$3,12*VALUE(LEFT(B31,LEN(B31)-1))))),2)=6,2,IF(WEEKDAY(IF(RIGHT(B31,1)="W",$B$3+7*VALUE(LEFT(B31,LEN(B31)-1)),IF(RIGHT(B31,1)="M",EDATE($B$3,VALUE(LEFT(B31,LEN(B31)-1))),EDATE($B$3,12*VALUE(LEFT(B31,LEN(B31)-1))))),2)=7,1,0))))</f>
        <v/>
      </c>
      <c r="D31" s="142">
        <f>(C31-$B$3)/365</f>
        <v/>
      </c>
      <c r="E31" s="17">
        <f>IFERROR(BDP(A31&amp;" "&amp;PX_SRC&amp;" Curncy","PX_BID"),"ERROR PLZ FIX")</f>
        <v/>
      </c>
      <c r="F31" s="17">
        <f>IFERROR(BDP(A31&amp;" "&amp;PX_SRC&amp;" Curncy","PX_ASK"),"ERROR PLZ FIX")</f>
        <v/>
      </c>
      <c r="G31" s="17">
        <f>IFERROR(BDP(A31&amp;" "&amp;PX_SRC&amp;" Curncy","PX_LAST"),"ERROR PLZ FIX")</f>
        <v/>
      </c>
      <c r="H31" s="97">
        <f>IFERROR(IF(Bootstrap!$G$4="Test 1",INDEX(Testing!$B$8:$B$47,MATCH(C31,Testing!$F$8:$F$47,0)),IF(Bootstrap!$G$4="Test 2",INDEX(Testing!$B$58:$B$97,MATCH(C31,Testing!$F$58:$F$97,0)),IF(Bootstrap!$G$4="Test 3",INDEX(Testing!$B$108:$B$147,MATCH(C31,Testing!$F$108:$F$147,0)),IF(Bootstrap!$G$4="Fixed (S490 07/21/26)",J31,IF(ISNUMBER(T31),T31,J31))))),J31)</f>
        <v/>
      </c>
      <c r="I31" s="26" t="inlineStr">
        <is>
          <t>Y</t>
        </is>
      </c>
      <c r="J31" s="133">
        <f>IFERROR(INDEX(S490_Snapshot!$C$7:$C$38,MATCH(B31,S490_Snapshot!$B$7:$B$38,0)),"")</f>
        <v/>
      </c>
      <c r="K31" s="100" t="inlineStr">
        <is>
          <t>S490_Snapshot</t>
        </is>
      </c>
      <c r="L31" s="94" t="inlineStr"/>
      <c r="N31" s="85" t="n"/>
      <c r="O31" s="85" t="n"/>
      <c r="P31" s="33">
        <f>IF(COUNT(N31:O31)=2,(N31+O31)/2,"")</f>
        <v/>
      </c>
      <c r="Q31" s="108">
        <f>IF(AND(ISNUMBER(N31),ISNUMBER(E31)),(E31-N31)*100,"")</f>
        <v/>
      </c>
      <c r="R31" s="108">
        <f>IF(AND(ISNUMBER(O31),ISNUMBER(F31)),(F31-O31)*100,"")</f>
        <v/>
      </c>
      <c r="S31" s="108">
        <f>IF(AND(ISNUMBER(P31),ISNUMBER(H31)),(H31-P31)*100,"")</f>
        <v/>
      </c>
      <c r="T31" s="84">
        <f>IFERROR((E31+F31)/2,IFERROR(G31+0,""))</f>
        <v/>
      </c>
      <c r="U31" s="89">
        <f>IF(OR(T31="",NOT(ISNUMBER(J31))),"",(T31-J31)*100)</f>
        <v/>
      </c>
    </row>
    <row r="32">
      <c r="A32" s="6" t="inlineStr">
        <is>
          <t>USOSFR20</t>
        </is>
      </c>
      <c r="B32" s="22" t="inlineStr">
        <is>
          <t>20Y</t>
        </is>
      </c>
      <c r="C32" s="23">
        <f>IF(MONTH((IF(RIGHT(B32,1)="W",$B$3+7*VALUE(LEFT(B32,LEN(B32)-1)),IF(RIGHT(B32,1)="M",EDATE($B$3,VALUE(LEFT(B32,LEN(B32)-1))),EDATE($B$3,12*VALUE(LEFT(B32,LEN(B32)-1)))))+IF(WEEKDAY(IF(RIGHT(B32,1)="W",$B$3+7*VALUE(LEFT(B32,LEN(B32)-1)),IF(RIGHT(B32,1)="M",EDATE($B$3,VALUE(LEFT(B32,LEN(B32)-1))),EDATE($B$3,12*VALUE(LEFT(B32,LEN(B32)-1))))),2)=6,2,IF(WEEKDAY(IF(RIGHT(B32,1)="W",$B$3+7*VALUE(LEFT(B32,LEN(B32)-1)),IF(RIGHT(B32,1)="M",EDATE($B$3,VALUE(LEFT(B32,LEN(B32)-1))),EDATE($B$3,12*VALUE(LEFT(B32,LEN(B32)-1))))),2)=7,1,0))))&lt;&gt;MONTH(IF(RIGHT(B32,1)="W",$B$3+7*VALUE(LEFT(B32,LEN(B32)-1)),IF(RIGHT(B32,1)="M",EDATE($B$3,VALUE(LEFT(B32,LEN(B32)-1))),EDATE($B$3,12*VALUE(LEFT(B32,LEN(B32)-1)))))),(IF(RIGHT(B32,1)="W",$B$3+7*VALUE(LEFT(B32,LEN(B32)-1)),IF(RIGHT(B32,1)="M",EDATE($B$3,VALUE(LEFT(B32,LEN(B32)-1))),EDATE($B$3,12*VALUE(LEFT(B32,LEN(B32)-1)))))-IF(WEEKDAY(IF(RIGHT(B32,1)="W",$B$3+7*VALUE(LEFT(B32,LEN(B32)-1)),IF(RIGHT(B32,1)="M",EDATE($B$3,VALUE(LEFT(B32,LEN(B32)-1))),EDATE($B$3,12*VALUE(LEFT(B32,LEN(B32)-1))))),2)=6,1,IF(WEEKDAY(IF(RIGHT(B32,1)="W",$B$3+7*VALUE(LEFT(B32,LEN(B32)-1)),IF(RIGHT(B32,1)="M",EDATE($B$3,VALUE(LEFT(B32,LEN(B32)-1))),EDATE($B$3,12*VALUE(LEFT(B32,LEN(B32)-1))))),2)=7,2,0))),(IF(RIGHT(B32,1)="W",$B$3+7*VALUE(LEFT(B32,LEN(B32)-1)),IF(RIGHT(B32,1)="M",EDATE($B$3,VALUE(LEFT(B32,LEN(B32)-1))),EDATE($B$3,12*VALUE(LEFT(B32,LEN(B32)-1)))))+IF(WEEKDAY(IF(RIGHT(B32,1)="W",$B$3+7*VALUE(LEFT(B32,LEN(B32)-1)),IF(RIGHT(B32,1)="M",EDATE($B$3,VALUE(LEFT(B32,LEN(B32)-1))),EDATE($B$3,12*VALUE(LEFT(B32,LEN(B32)-1))))),2)=6,2,IF(WEEKDAY(IF(RIGHT(B32,1)="W",$B$3+7*VALUE(LEFT(B32,LEN(B32)-1)),IF(RIGHT(B32,1)="M",EDATE($B$3,VALUE(LEFT(B32,LEN(B32)-1))),EDATE($B$3,12*VALUE(LEFT(B32,LEN(B32)-1))))),2)=7,1,0))))</f>
        <v/>
      </c>
      <c r="D32" s="142">
        <f>(C32-$B$3)/365</f>
        <v/>
      </c>
      <c r="E32" s="17">
        <f>IFERROR(BDP(A32&amp;" "&amp;PX_SRC&amp;" Curncy","PX_BID"),"ERROR PLZ FIX")</f>
        <v/>
      </c>
      <c r="F32" s="17">
        <f>IFERROR(BDP(A32&amp;" "&amp;PX_SRC&amp;" Curncy","PX_ASK"),"ERROR PLZ FIX")</f>
        <v/>
      </c>
      <c r="G32" s="17">
        <f>IFERROR(BDP(A32&amp;" "&amp;PX_SRC&amp;" Curncy","PX_LAST"),"ERROR PLZ FIX")</f>
        <v/>
      </c>
      <c r="H32" s="97">
        <f>IFERROR(IF(Bootstrap!$G$4="Test 1",INDEX(Testing!$B$8:$B$47,MATCH(C32,Testing!$F$8:$F$47,0)),IF(Bootstrap!$G$4="Test 2",INDEX(Testing!$B$58:$B$97,MATCH(C32,Testing!$F$58:$F$97,0)),IF(Bootstrap!$G$4="Test 3",INDEX(Testing!$B$108:$B$147,MATCH(C32,Testing!$F$108:$F$147,0)),IF(Bootstrap!$G$4="Fixed (S490 07/21/26)",J32,IF(ISNUMBER(T32),T32,J32))))),J32)</f>
        <v/>
      </c>
      <c r="I32" s="26" t="inlineStr">
        <is>
          <t>Y</t>
        </is>
      </c>
      <c r="J32" s="133">
        <f>IFERROR(INDEX(S490_Snapshot!$C$7:$C$38,MATCH(B32,S490_Snapshot!$B$7:$B$38,0)),"")</f>
        <v/>
      </c>
      <c r="K32" s="100" t="inlineStr">
        <is>
          <t>S490_Snapshot</t>
        </is>
      </c>
      <c r="L32" s="94" t="inlineStr"/>
      <c r="N32" s="85" t="n"/>
      <c r="O32" s="85" t="n"/>
      <c r="P32" s="33">
        <f>IF(COUNT(N32:O32)=2,(N32+O32)/2,"")</f>
        <v/>
      </c>
      <c r="Q32" s="108">
        <f>IF(AND(ISNUMBER(N32),ISNUMBER(E32)),(E32-N32)*100,"")</f>
        <v/>
      </c>
      <c r="R32" s="108">
        <f>IF(AND(ISNUMBER(O32),ISNUMBER(F32)),(F32-O32)*100,"")</f>
        <v/>
      </c>
      <c r="S32" s="108">
        <f>IF(AND(ISNUMBER(P32),ISNUMBER(H32)),(H32-P32)*100,"")</f>
        <v/>
      </c>
      <c r="T32" s="84">
        <f>IFERROR((E32+F32)/2,IFERROR(G32+0,""))</f>
        <v/>
      </c>
      <c r="U32" s="89">
        <f>IF(OR(T32="",NOT(ISNUMBER(J32))),"",(T32-J32)*100)</f>
        <v/>
      </c>
    </row>
    <row r="33">
      <c r="A33" s="6" t="inlineStr">
        <is>
          <t>USOSFR25</t>
        </is>
      </c>
      <c r="B33" s="22" t="inlineStr">
        <is>
          <t>25Y</t>
        </is>
      </c>
      <c r="C33" s="23">
        <f>IF(MONTH((IF(RIGHT(B33,1)="W",$B$3+7*VALUE(LEFT(B33,LEN(B33)-1)),IF(RIGHT(B33,1)="M",EDATE($B$3,VALUE(LEFT(B33,LEN(B33)-1))),EDATE($B$3,12*VALUE(LEFT(B33,LEN(B33)-1)))))+IF(WEEKDAY(IF(RIGHT(B33,1)="W",$B$3+7*VALUE(LEFT(B33,LEN(B33)-1)),IF(RIGHT(B33,1)="M",EDATE($B$3,VALUE(LEFT(B33,LEN(B33)-1))),EDATE($B$3,12*VALUE(LEFT(B33,LEN(B33)-1))))),2)=6,2,IF(WEEKDAY(IF(RIGHT(B33,1)="W",$B$3+7*VALUE(LEFT(B33,LEN(B33)-1)),IF(RIGHT(B33,1)="M",EDATE($B$3,VALUE(LEFT(B33,LEN(B33)-1))),EDATE($B$3,12*VALUE(LEFT(B33,LEN(B33)-1))))),2)=7,1,0))))&lt;&gt;MONTH(IF(RIGHT(B33,1)="W",$B$3+7*VALUE(LEFT(B33,LEN(B33)-1)),IF(RIGHT(B33,1)="M",EDATE($B$3,VALUE(LEFT(B33,LEN(B33)-1))),EDATE($B$3,12*VALUE(LEFT(B33,LEN(B33)-1)))))),(IF(RIGHT(B33,1)="W",$B$3+7*VALUE(LEFT(B33,LEN(B33)-1)),IF(RIGHT(B33,1)="M",EDATE($B$3,VALUE(LEFT(B33,LEN(B33)-1))),EDATE($B$3,12*VALUE(LEFT(B33,LEN(B33)-1)))))-IF(WEEKDAY(IF(RIGHT(B33,1)="W",$B$3+7*VALUE(LEFT(B33,LEN(B33)-1)),IF(RIGHT(B33,1)="M",EDATE($B$3,VALUE(LEFT(B33,LEN(B33)-1))),EDATE($B$3,12*VALUE(LEFT(B33,LEN(B33)-1))))),2)=6,1,IF(WEEKDAY(IF(RIGHT(B33,1)="W",$B$3+7*VALUE(LEFT(B33,LEN(B33)-1)),IF(RIGHT(B33,1)="M",EDATE($B$3,VALUE(LEFT(B33,LEN(B33)-1))),EDATE($B$3,12*VALUE(LEFT(B33,LEN(B33)-1))))),2)=7,2,0))),(IF(RIGHT(B33,1)="W",$B$3+7*VALUE(LEFT(B33,LEN(B33)-1)),IF(RIGHT(B33,1)="M",EDATE($B$3,VALUE(LEFT(B33,LEN(B33)-1))),EDATE($B$3,12*VALUE(LEFT(B33,LEN(B33)-1)))))+IF(WEEKDAY(IF(RIGHT(B33,1)="W",$B$3+7*VALUE(LEFT(B33,LEN(B33)-1)),IF(RIGHT(B33,1)="M",EDATE($B$3,VALUE(LEFT(B33,LEN(B33)-1))),EDATE($B$3,12*VALUE(LEFT(B33,LEN(B33)-1))))),2)=6,2,IF(WEEKDAY(IF(RIGHT(B33,1)="W",$B$3+7*VALUE(LEFT(B33,LEN(B33)-1)),IF(RIGHT(B33,1)="M",EDATE($B$3,VALUE(LEFT(B33,LEN(B33)-1))),EDATE($B$3,12*VALUE(LEFT(B33,LEN(B33)-1))))),2)=7,1,0))))</f>
        <v/>
      </c>
      <c r="D33" s="142">
        <f>(C33-$B$3)/365</f>
        <v/>
      </c>
      <c r="E33" s="17">
        <f>IFERROR(BDP(A33&amp;" "&amp;PX_SRC&amp;" Curncy","PX_BID"),"ERROR PLZ FIX")</f>
        <v/>
      </c>
      <c r="F33" s="17">
        <f>IFERROR(BDP(A33&amp;" "&amp;PX_SRC&amp;" Curncy","PX_ASK"),"ERROR PLZ FIX")</f>
        <v/>
      </c>
      <c r="G33" s="17">
        <f>IFERROR(BDP(A33&amp;" "&amp;PX_SRC&amp;" Curncy","PX_LAST"),"ERROR PLZ FIX")</f>
        <v/>
      </c>
      <c r="H33" s="97">
        <f>IFERROR(IF(Bootstrap!$G$4="Test 1",INDEX(Testing!$B$8:$B$47,MATCH(C33,Testing!$F$8:$F$47,0)),IF(Bootstrap!$G$4="Test 2",INDEX(Testing!$B$58:$B$97,MATCH(C33,Testing!$F$58:$F$97,0)),IF(Bootstrap!$G$4="Test 3",INDEX(Testing!$B$108:$B$147,MATCH(C33,Testing!$F$108:$F$147,0)),IF(Bootstrap!$G$4="Fixed (S490 07/21/26)",J33,IF(ISNUMBER(T33),T33,J33))))),J33)</f>
        <v/>
      </c>
      <c r="I33" s="26" t="inlineStr">
        <is>
          <t>Y</t>
        </is>
      </c>
      <c r="J33" s="133">
        <f>IFERROR(INDEX(S490_Snapshot!$C$7:$C$38,MATCH(B33,S490_Snapshot!$B$7:$B$38,0)),"")</f>
        <v/>
      </c>
      <c r="K33" s="100" t="inlineStr">
        <is>
          <t>S490_Snapshot</t>
        </is>
      </c>
      <c r="L33" s="94" t="inlineStr"/>
      <c r="N33" s="85" t="n"/>
      <c r="O33" s="85" t="n"/>
      <c r="P33" s="33">
        <f>IF(COUNT(N33:O33)=2,(N33+O33)/2,"")</f>
        <v/>
      </c>
      <c r="Q33" s="108">
        <f>IF(AND(ISNUMBER(N33),ISNUMBER(E33)),(E33-N33)*100,"")</f>
        <v/>
      </c>
      <c r="R33" s="108">
        <f>IF(AND(ISNUMBER(O33),ISNUMBER(F33)),(F33-O33)*100,"")</f>
        <v/>
      </c>
      <c r="S33" s="108">
        <f>IF(AND(ISNUMBER(P33),ISNUMBER(H33)),(H33-P33)*100,"")</f>
        <v/>
      </c>
      <c r="T33" s="84">
        <f>IFERROR((E33+F33)/2,IFERROR(G33+0,""))</f>
        <v/>
      </c>
      <c r="U33" s="89">
        <f>IF(OR(T33="",NOT(ISNUMBER(J33))),"",(T33-J33)*100)</f>
        <v/>
      </c>
    </row>
    <row r="34">
      <c r="A34" s="6" t="inlineStr">
        <is>
          <t>USOSFR30</t>
        </is>
      </c>
      <c r="B34" s="22" t="inlineStr">
        <is>
          <t>30Y</t>
        </is>
      </c>
      <c r="C34" s="23">
        <f>IF(MONTH((IF(RIGHT(B34,1)="W",$B$3+7*VALUE(LEFT(B34,LEN(B34)-1)),IF(RIGHT(B34,1)="M",EDATE($B$3,VALUE(LEFT(B34,LEN(B34)-1))),EDATE($B$3,12*VALUE(LEFT(B34,LEN(B34)-1)))))+IF(WEEKDAY(IF(RIGHT(B34,1)="W",$B$3+7*VALUE(LEFT(B34,LEN(B34)-1)),IF(RIGHT(B34,1)="M",EDATE($B$3,VALUE(LEFT(B34,LEN(B34)-1))),EDATE($B$3,12*VALUE(LEFT(B34,LEN(B34)-1))))),2)=6,2,IF(WEEKDAY(IF(RIGHT(B34,1)="W",$B$3+7*VALUE(LEFT(B34,LEN(B34)-1)),IF(RIGHT(B34,1)="M",EDATE($B$3,VALUE(LEFT(B34,LEN(B34)-1))),EDATE($B$3,12*VALUE(LEFT(B34,LEN(B34)-1))))),2)=7,1,0))))&lt;&gt;MONTH(IF(RIGHT(B34,1)="W",$B$3+7*VALUE(LEFT(B34,LEN(B34)-1)),IF(RIGHT(B34,1)="M",EDATE($B$3,VALUE(LEFT(B34,LEN(B34)-1))),EDATE($B$3,12*VALUE(LEFT(B34,LEN(B34)-1)))))),(IF(RIGHT(B34,1)="W",$B$3+7*VALUE(LEFT(B34,LEN(B34)-1)),IF(RIGHT(B34,1)="M",EDATE($B$3,VALUE(LEFT(B34,LEN(B34)-1))),EDATE($B$3,12*VALUE(LEFT(B34,LEN(B34)-1)))))-IF(WEEKDAY(IF(RIGHT(B34,1)="W",$B$3+7*VALUE(LEFT(B34,LEN(B34)-1)),IF(RIGHT(B34,1)="M",EDATE($B$3,VALUE(LEFT(B34,LEN(B34)-1))),EDATE($B$3,12*VALUE(LEFT(B34,LEN(B34)-1))))),2)=6,1,IF(WEEKDAY(IF(RIGHT(B34,1)="W",$B$3+7*VALUE(LEFT(B34,LEN(B34)-1)),IF(RIGHT(B34,1)="M",EDATE($B$3,VALUE(LEFT(B34,LEN(B34)-1))),EDATE($B$3,12*VALUE(LEFT(B34,LEN(B34)-1))))),2)=7,2,0))),(IF(RIGHT(B34,1)="W",$B$3+7*VALUE(LEFT(B34,LEN(B34)-1)),IF(RIGHT(B34,1)="M",EDATE($B$3,VALUE(LEFT(B34,LEN(B34)-1))),EDATE($B$3,12*VALUE(LEFT(B34,LEN(B34)-1)))))+IF(WEEKDAY(IF(RIGHT(B34,1)="W",$B$3+7*VALUE(LEFT(B34,LEN(B34)-1)),IF(RIGHT(B34,1)="M",EDATE($B$3,VALUE(LEFT(B34,LEN(B34)-1))),EDATE($B$3,12*VALUE(LEFT(B34,LEN(B34)-1))))),2)=6,2,IF(WEEKDAY(IF(RIGHT(B34,1)="W",$B$3+7*VALUE(LEFT(B34,LEN(B34)-1)),IF(RIGHT(B34,1)="M",EDATE($B$3,VALUE(LEFT(B34,LEN(B34)-1))),EDATE($B$3,12*VALUE(LEFT(B34,LEN(B34)-1))))),2)=7,1,0))))</f>
        <v/>
      </c>
      <c r="D34" s="142">
        <f>(C34-$B$3)/365</f>
        <v/>
      </c>
      <c r="E34" s="17">
        <f>IFERROR(BDP(A34&amp;" "&amp;PX_SRC&amp;" Curncy","PX_BID"),"ERROR PLZ FIX")</f>
        <v/>
      </c>
      <c r="F34" s="17">
        <f>IFERROR(BDP(A34&amp;" "&amp;PX_SRC&amp;" Curncy","PX_ASK"),"ERROR PLZ FIX")</f>
        <v/>
      </c>
      <c r="G34" s="17">
        <f>IFERROR(BDP(A34&amp;" "&amp;PX_SRC&amp;" Curncy","PX_LAST"),"ERROR PLZ FIX")</f>
        <v/>
      </c>
      <c r="H34" s="97">
        <f>IFERROR(IF(Bootstrap!$G$4="Test 1",INDEX(Testing!$B$8:$B$47,MATCH(C34,Testing!$F$8:$F$47,0)),IF(Bootstrap!$G$4="Test 2",INDEX(Testing!$B$58:$B$97,MATCH(C34,Testing!$F$58:$F$97,0)),IF(Bootstrap!$G$4="Test 3",INDEX(Testing!$B$108:$B$147,MATCH(C34,Testing!$F$108:$F$147,0)),IF(Bootstrap!$G$4="Fixed (S490 07/21/26)",J34,IF(ISNUMBER(T34),T34,J34))))),J34)</f>
        <v/>
      </c>
      <c r="I34" s="26" t="inlineStr">
        <is>
          <t>Y</t>
        </is>
      </c>
      <c r="J34" s="133">
        <f>IFERROR(INDEX(S490_Snapshot!$C$7:$C$38,MATCH(B34,S490_Snapshot!$B$7:$B$38,0)),"")</f>
        <v/>
      </c>
      <c r="K34" s="100" t="inlineStr">
        <is>
          <t>S490_Snapshot</t>
        </is>
      </c>
      <c r="L34" s="94" t="inlineStr"/>
      <c r="N34" s="85" t="n"/>
      <c r="O34" s="85" t="n"/>
      <c r="P34" s="33">
        <f>IF(COUNT(N34:O34)=2,(N34+O34)/2,"")</f>
        <v/>
      </c>
      <c r="Q34" s="108">
        <f>IF(AND(ISNUMBER(N34),ISNUMBER(E34)),(E34-N34)*100,"")</f>
        <v/>
      </c>
      <c r="R34" s="108">
        <f>IF(AND(ISNUMBER(O34),ISNUMBER(F34)),(F34-O34)*100,"")</f>
        <v/>
      </c>
      <c r="S34" s="108">
        <f>IF(AND(ISNUMBER(P34),ISNUMBER(H34)),(H34-P34)*100,"")</f>
        <v/>
      </c>
      <c r="T34" s="84">
        <f>IFERROR((E34+F34)/2,IFERROR(G34+0,""))</f>
        <v/>
      </c>
      <c r="U34" s="89">
        <f>IF(OR(T34="",NOT(ISNUMBER(J34))),"",(T34-J34)*100)</f>
        <v/>
      </c>
    </row>
    <row r="35">
      <c r="A35" s="6" t="inlineStr">
        <is>
          <t>USOSFR40</t>
        </is>
      </c>
      <c r="B35" s="22" t="inlineStr">
        <is>
          <t>40Y</t>
        </is>
      </c>
      <c r="C35" s="23">
        <f>IF(MONTH((IF(RIGHT(B35,1)="W",$B$3+7*VALUE(LEFT(B35,LEN(B35)-1)),IF(RIGHT(B35,1)="M",EDATE($B$3,VALUE(LEFT(B35,LEN(B35)-1))),EDATE($B$3,12*VALUE(LEFT(B35,LEN(B35)-1)))))+IF(WEEKDAY(IF(RIGHT(B35,1)="W",$B$3+7*VALUE(LEFT(B35,LEN(B35)-1)),IF(RIGHT(B35,1)="M",EDATE($B$3,VALUE(LEFT(B35,LEN(B35)-1))),EDATE($B$3,12*VALUE(LEFT(B35,LEN(B35)-1))))),2)=6,2,IF(WEEKDAY(IF(RIGHT(B35,1)="W",$B$3+7*VALUE(LEFT(B35,LEN(B35)-1)),IF(RIGHT(B35,1)="M",EDATE($B$3,VALUE(LEFT(B35,LEN(B35)-1))),EDATE($B$3,12*VALUE(LEFT(B35,LEN(B35)-1))))),2)=7,1,0))))&lt;&gt;MONTH(IF(RIGHT(B35,1)="W",$B$3+7*VALUE(LEFT(B35,LEN(B35)-1)),IF(RIGHT(B35,1)="M",EDATE($B$3,VALUE(LEFT(B35,LEN(B35)-1))),EDATE($B$3,12*VALUE(LEFT(B35,LEN(B35)-1)))))),(IF(RIGHT(B35,1)="W",$B$3+7*VALUE(LEFT(B35,LEN(B35)-1)),IF(RIGHT(B35,1)="M",EDATE($B$3,VALUE(LEFT(B35,LEN(B35)-1))),EDATE($B$3,12*VALUE(LEFT(B35,LEN(B35)-1)))))-IF(WEEKDAY(IF(RIGHT(B35,1)="W",$B$3+7*VALUE(LEFT(B35,LEN(B35)-1)),IF(RIGHT(B35,1)="M",EDATE($B$3,VALUE(LEFT(B35,LEN(B35)-1))),EDATE($B$3,12*VALUE(LEFT(B35,LEN(B35)-1))))),2)=6,1,IF(WEEKDAY(IF(RIGHT(B35,1)="W",$B$3+7*VALUE(LEFT(B35,LEN(B35)-1)),IF(RIGHT(B35,1)="M",EDATE($B$3,VALUE(LEFT(B35,LEN(B35)-1))),EDATE($B$3,12*VALUE(LEFT(B35,LEN(B35)-1))))),2)=7,2,0))),(IF(RIGHT(B35,1)="W",$B$3+7*VALUE(LEFT(B35,LEN(B35)-1)),IF(RIGHT(B35,1)="M",EDATE($B$3,VALUE(LEFT(B35,LEN(B35)-1))),EDATE($B$3,12*VALUE(LEFT(B35,LEN(B35)-1)))))+IF(WEEKDAY(IF(RIGHT(B35,1)="W",$B$3+7*VALUE(LEFT(B35,LEN(B35)-1)),IF(RIGHT(B35,1)="M",EDATE($B$3,VALUE(LEFT(B35,LEN(B35)-1))),EDATE($B$3,12*VALUE(LEFT(B35,LEN(B35)-1))))),2)=6,2,IF(WEEKDAY(IF(RIGHT(B35,1)="W",$B$3+7*VALUE(LEFT(B35,LEN(B35)-1)),IF(RIGHT(B35,1)="M",EDATE($B$3,VALUE(LEFT(B35,LEN(B35)-1))),EDATE($B$3,12*VALUE(LEFT(B35,LEN(B35)-1))))),2)=7,1,0))))</f>
        <v/>
      </c>
      <c r="D35" s="142">
        <f>(C35-$B$3)/365</f>
        <v/>
      </c>
      <c r="E35" s="17">
        <f>IFERROR(BDP(A35&amp;" "&amp;PX_SRC&amp;" Curncy","PX_BID"),"ERROR PLZ FIX")</f>
        <v/>
      </c>
      <c r="F35" s="17">
        <f>IFERROR(BDP(A35&amp;" "&amp;PX_SRC&amp;" Curncy","PX_ASK"),"ERROR PLZ FIX")</f>
        <v/>
      </c>
      <c r="G35" s="17">
        <f>IFERROR(BDP(A35&amp;" "&amp;PX_SRC&amp;" Curncy","PX_LAST"),"ERROR PLZ FIX")</f>
        <v/>
      </c>
      <c r="H35" s="97">
        <f>IFERROR(IF(Bootstrap!$G$4="Test 1",INDEX(Testing!$B$8:$B$47,MATCH(C35,Testing!$F$8:$F$47,0)),IF(Bootstrap!$G$4="Test 2",INDEX(Testing!$B$58:$B$97,MATCH(C35,Testing!$F$58:$F$97,0)),IF(Bootstrap!$G$4="Test 3",INDEX(Testing!$B$108:$B$147,MATCH(C35,Testing!$F$108:$F$147,0)),IF(Bootstrap!$G$4="Fixed (S490 07/21/26)",J35,IF(ISNUMBER(T35),T35,J35))))),J35)</f>
        <v/>
      </c>
      <c r="I35" s="26" t="inlineStr">
        <is>
          <t>Y</t>
        </is>
      </c>
      <c r="J35" s="133">
        <f>IFERROR(INDEX(S490_Snapshot!$C$7:$C$38,MATCH(B35,S490_Snapshot!$B$7:$B$38,0)),"")</f>
        <v/>
      </c>
      <c r="K35" s="100" t="inlineStr">
        <is>
          <t>S490_Snapshot</t>
        </is>
      </c>
      <c r="L35" s="94" t="inlineStr"/>
      <c r="N35" s="85" t="n"/>
      <c r="O35" s="85" t="n"/>
      <c r="P35" s="33">
        <f>IF(COUNT(N35:O35)=2,(N35+O35)/2,"")</f>
        <v/>
      </c>
      <c r="Q35" s="108">
        <f>IF(AND(ISNUMBER(N35),ISNUMBER(E35)),(E35-N35)*100,"")</f>
        <v/>
      </c>
      <c r="R35" s="108">
        <f>IF(AND(ISNUMBER(O35),ISNUMBER(F35)),(F35-O35)*100,"")</f>
        <v/>
      </c>
      <c r="S35" s="108">
        <f>IF(AND(ISNUMBER(P35),ISNUMBER(H35)),(H35-P35)*100,"")</f>
        <v/>
      </c>
      <c r="T35" s="84">
        <f>IFERROR((E35+F35)/2,IFERROR(G35+0,""))</f>
        <v/>
      </c>
      <c r="U35" s="89">
        <f>IF(OR(T35="",NOT(ISNUMBER(J35))),"",(T35-J35)*100)</f>
        <v/>
      </c>
    </row>
    <row r="36">
      <c r="A36" s="6" t="inlineStr">
        <is>
          <t>USOSFR50</t>
        </is>
      </c>
      <c r="B36" s="22" t="inlineStr">
        <is>
          <t>50Y</t>
        </is>
      </c>
      <c r="C36" s="23">
        <f>IF(MONTH((IF(RIGHT(B36,1)="W",$B$3+7*VALUE(LEFT(B36,LEN(B36)-1)),IF(RIGHT(B36,1)="M",EDATE($B$3,VALUE(LEFT(B36,LEN(B36)-1))),EDATE($B$3,12*VALUE(LEFT(B36,LEN(B36)-1)))))+IF(WEEKDAY(IF(RIGHT(B36,1)="W",$B$3+7*VALUE(LEFT(B36,LEN(B36)-1)),IF(RIGHT(B36,1)="M",EDATE($B$3,VALUE(LEFT(B36,LEN(B36)-1))),EDATE($B$3,12*VALUE(LEFT(B36,LEN(B36)-1))))),2)=6,2,IF(WEEKDAY(IF(RIGHT(B36,1)="W",$B$3+7*VALUE(LEFT(B36,LEN(B36)-1)),IF(RIGHT(B36,1)="M",EDATE($B$3,VALUE(LEFT(B36,LEN(B36)-1))),EDATE($B$3,12*VALUE(LEFT(B36,LEN(B36)-1))))),2)=7,1,0))))&lt;&gt;MONTH(IF(RIGHT(B36,1)="W",$B$3+7*VALUE(LEFT(B36,LEN(B36)-1)),IF(RIGHT(B36,1)="M",EDATE($B$3,VALUE(LEFT(B36,LEN(B36)-1))),EDATE($B$3,12*VALUE(LEFT(B36,LEN(B36)-1)))))),(IF(RIGHT(B36,1)="W",$B$3+7*VALUE(LEFT(B36,LEN(B36)-1)),IF(RIGHT(B36,1)="M",EDATE($B$3,VALUE(LEFT(B36,LEN(B36)-1))),EDATE($B$3,12*VALUE(LEFT(B36,LEN(B36)-1)))))-IF(WEEKDAY(IF(RIGHT(B36,1)="W",$B$3+7*VALUE(LEFT(B36,LEN(B36)-1)),IF(RIGHT(B36,1)="M",EDATE($B$3,VALUE(LEFT(B36,LEN(B36)-1))),EDATE($B$3,12*VALUE(LEFT(B36,LEN(B36)-1))))),2)=6,1,IF(WEEKDAY(IF(RIGHT(B36,1)="W",$B$3+7*VALUE(LEFT(B36,LEN(B36)-1)),IF(RIGHT(B36,1)="M",EDATE($B$3,VALUE(LEFT(B36,LEN(B36)-1))),EDATE($B$3,12*VALUE(LEFT(B36,LEN(B36)-1))))),2)=7,2,0))),(IF(RIGHT(B36,1)="W",$B$3+7*VALUE(LEFT(B36,LEN(B36)-1)),IF(RIGHT(B36,1)="M",EDATE($B$3,VALUE(LEFT(B36,LEN(B36)-1))),EDATE($B$3,12*VALUE(LEFT(B36,LEN(B36)-1)))))+IF(WEEKDAY(IF(RIGHT(B36,1)="W",$B$3+7*VALUE(LEFT(B36,LEN(B36)-1)),IF(RIGHT(B36,1)="M",EDATE($B$3,VALUE(LEFT(B36,LEN(B36)-1))),EDATE($B$3,12*VALUE(LEFT(B36,LEN(B36)-1))))),2)=6,2,IF(WEEKDAY(IF(RIGHT(B36,1)="W",$B$3+7*VALUE(LEFT(B36,LEN(B36)-1)),IF(RIGHT(B36,1)="M",EDATE($B$3,VALUE(LEFT(B36,LEN(B36)-1))),EDATE($B$3,12*VALUE(LEFT(B36,LEN(B36)-1))))),2)=7,1,0))))</f>
        <v/>
      </c>
      <c r="D36" s="142">
        <f>(C36-$B$3)/365</f>
        <v/>
      </c>
      <c r="E36" s="17">
        <f>IFERROR(BDP(A36&amp;" "&amp;PX_SRC&amp;" Curncy","PX_BID"),"ERROR PLZ FIX")</f>
        <v/>
      </c>
      <c r="F36" s="17">
        <f>IFERROR(BDP(A36&amp;" "&amp;PX_SRC&amp;" Curncy","PX_ASK"),"ERROR PLZ FIX")</f>
        <v/>
      </c>
      <c r="G36" s="17">
        <f>IFERROR(BDP(A36&amp;" "&amp;PX_SRC&amp;" Curncy","PX_LAST"),"ERROR PLZ FIX")</f>
        <v/>
      </c>
      <c r="H36" s="97">
        <f>IFERROR(IF(Bootstrap!$G$4="Test 1",INDEX(Testing!$B$8:$B$47,MATCH(C36,Testing!$F$8:$F$47,0)),IF(Bootstrap!$G$4="Test 2",INDEX(Testing!$B$58:$B$97,MATCH(C36,Testing!$F$58:$F$97,0)),IF(Bootstrap!$G$4="Test 3",INDEX(Testing!$B$108:$B$147,MATCH(C36,Testing!$F$108:$F$147,0)),IF(Bootstrap!$G$4="Fixed (S490 07/21/26)",J36,IF(ISNUMBER(T36),T36,J36))))),J36)</f>
        <v/>
      </c>
      <c r="I36" s="26" t="inlineStr">
        <is>
          <t>Y</t>
        </is>
      </c>
      <c r="J36" s="133">
        <f>IFERROR(INDEX(S490_Snapshot!$C$7:$C$38,MATCH(B36,S490_Snapshot!$B$7:$B$38,0)),"")</f>
        <v/>
      </c>
      <c r="K36" s="100" t="inlineStr">
        <is>
          <t>S490_Snapshot</t>
        </is>
      </c>
      <c r="L36" s="94" t="inlineStr"/>
      <c r="N36" s="85" t="n"/>
      <c r="O36" s="85" t="n"/>
      <c r="P36" s="33">
        <f>IF(COUNT(N36:O36)=2,(N36+O36)/2,"")</f>
        <v/>
      </c>
      <c r="Q36" s="108">
        <f>IF(AND(ISNUMBER(N36),ISNUMBER(E36)),(E36-N36)*100,"")</f>
        <v/>
      </c>
      <c r="R36" s="108">
        <f>IF(AND(ISNUMBER(O36),ISNUMBER(F36)),(F36-O36)*100,"")</f>
        <v/>
      </c>
      <c r="S36" s="108">
        <f>IF(AND(ISNUMBER(P36),ISNUMBER(H36)),(H36-P36)*100,"")</f>
        <v/>
      </c>
      <c r="T36" s="84">
        <f>IFERROR((E36+F36)/2,IFERROR(G36+0,""))</f>
        <v/>
      </c>
      <c r="U36" s="89">
        <f>IF(OR(T36="",NOT(ISNUMBER(J36))),"",(T36-J36)*100)</f>
        <v/>
      </c>
    </row>
    <row r="38" ht="30" customHeight="1">
      <c r="A38" s="9" t="inlineStr">
        <is>
          <t>Maturity and Tenor(yrs) are parsed from the tenor label, business-day rolled. Display only; the curve reads col H.</t>
        </is>
      </c>
    </row>
    <row r="39"/>
    <row r="40">
      <c r="N40" s="67" t="inlineStr">
        <is>
          <t>Max |d Mid| (bp)</t>
        </is>
      </c>
      <c r="P40" s="109">
        <f>IF(COUNT(S5:S36)=0,"paste the export first",MAX(MAX(S5:S36),-MIN(S5:S36)))</f>
        <v/>
      </c>
    </row>
    <row r="41">
      <c r="N41" s="67" t="inlineStr">
        <is>
          <t>Mean d Mid (bp) - a non-zero mean is the tell for a systematic offset</t>
        </is>
      </c>
      <c r="P41" s="110">
        <f>IF(COUNT(S5:S36)=0,"",AVERAGE(S5:S36))</f>
        <v/>
      </c>
      <c r="T41" s="67" t="inlineStr">
        <is>
          <t>Max |d live-fixed| (bp)</t>
        </is>
      </c>
      <c r="U41" s="90">
        <f>IF(COUNT(U5:U36)=0,"BDP unavailable",MAX(MAX(U5:U36),-MIN(U5:U36)))</f>
        <v/>
      </c>
    </row>
  </sheetData>
  <mergeCells count="2">
    <mergeCell ref="A38:I39"/>
    <mergeCell ref="C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K4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1" customWidth="1" min="5" max="5"/>
    <col width="16" customWidth="1" min="6" max="6"/>
    <col width="13" customWidth="1" min="7" max="7"/>
    <col width="16" customWidth="1" min="8" max="8"/>
    <col width="16" customWidth="1" min="9" max="9"/>
    <col width="12" customWidth="1" min="10" max="10"/>
    <col width="12" customWidth="1" min="11" max="11"/>
  </cols>
  <sheetData>
    <row r="1">
      <c r="A1" s="1" t="inlineStr">
        <is>
          <t>SOFR_Futures</t>
        </is>
      </c>
    </row>
    <row r="2">
      <c r="A2" s="65" t="inlineStr">
        <is>
          <t>UNUSED: no formula on any sheet reads this tab since the futures-based bootstrap was removed. Kept as reference data only - the production curve is purely OIS.</t>
        </is>
      </c>
    </row>
    <row r="3">
      <c r="A3" s="67" t="inlineStr">
        <is>
          <t>Enable Bloomberg pulls on this sheet</t>
        </is>
      </c>
      <c r="B3" s="68" t="inlineStr">
        <is>
          <t>No</t>
        </is>
      </c>
      <c r="C3" s="65" t="inlineStr">
        <is>
          <t>301 BDP/BDS calls live here and nothing reads them. Left on they fill the sheet with errors for no benefit. Yes re-enables; formulas unchanged.</t>
        </is>
      </c>
    </row>
    <row r="4">
      <c r="A4" s="4" t="inlineStr">
        <is>
          <t>SR3 — THREE-MONTH SOFR FUTURES  (SFRA Comdty · CME SR3) — first 20 quarterly contracts</t>
        </is>
      </c>
    </row>
    <row r="5" ht="26" customHeight="1">
      <c r="A5" s="9" t="inlineStr">
        <is>
          <t>Column A cell below holds =BDS("SFRA Comdty","FUT_CHAIN") and SPILLS the active contract tickers down. Field columns reference each row's contract in column A. Adjust the row count to the liquid strip (check VOLUME / OPEN_INT).</t>
        </is>
      </c>
    </row>
    <row r="6">
      <c r="A6" s="20" t="inlineStr">
        <is>
          <t>Contract (from CT chain)</t>
        </is>
      </c>
      <c r="B6" s="20" t="inlineStr">
        <is>
          <t>SECURITY_DES</t>
        </is>
      </c>
      <c r="C6" s="20" t="inlineStr">
        <is>
          <t>PX_LAST</t>
        </is>
      </c>
      <c r="D6" s="20" t="inlineStr">
        <is>
          <t>PX_BID</t>
        </is>
      </c>
      <c r="E6" s="20" t="inlineStr">
        <is>
          <t>PX_ASK</t>
        </is>
      </c>
      <c r="F6" s="20" t="inlineStr">
        <is>
          <t>Implied rate % (100−Last)</t>
        </is>
      </c>
      <c r="G6" s="20" t="inlineStr">
        <is>
          <t>FUT_MONTH_YR</t>
        </is>
      </c>
      <c r="H6" s="20" t="inlineStr">
        <is>
          <t>Ref. start (FUT_DLV_DT_FIRST)</t>
        </is>
      </c>
      <c r="I6" s="20" t="inlineStr">
        <is>
          <t>LAST_TRADEABLE_DT</t>
        </is>
      </c>
      <c r="J6" s="20" t="inlineStr">
        <is>
          <t>VOLUME</t>
        </is>
      </c>
      <c r="K6" s="20" t="inlineStr">
        <is>
          <t>OPEN_INT</t>
        </is>
      </c>
    </row>
    <row r="7">
      <c r="A7" s="6">
        <f>IF($B$3&lt;&gt;"Yes","",BDS("SFRA Comdty","FUT_CHAIN"))</f>
        <v/>
      </c>
      <c r="B7" s="6">
        <f>IF($B$3&lt;&gt;"Yes","",IFERROR(BDP($A7,"SECURITY_DES"),"ERROR PLZ FIX"))</f>
        <v/>
      </c>
      <c r="C7" s="17">
        <f>IF($B$3&lt;&gt;"Yes","",IFERROR(BDP($A7,"PX_LAST"),"ERROR PLZ FIX"))</f>
        <v/>
      </c>
      <c r="D7" s="17">
        <f>IF($B$3&lt;&gt;"Yes","",IFERROR(BDP($A7,"PX_BID"),"ERROR PLZ FIX"))</f>
        <v/>
      </c>
      <c r="E7" s="17">
        <f>IF($B$3&lt;&gt;"Yes","",IFERROR(BDP($A7,"PX_ASK"),"ERROR PLZ FIX"))</f>
        <v/>
      </c>
      <c r="F7" s="17">
        <f>IFERROR(100-C7,"ERROR PLZ FIX")</f>
        <v/>
      </c>
      <c r="G7" s="6">
        <f>IF($B$3&lt;&gt;"Yes","",IFERROR(BDP($A7,"FUT_MONTH_YR"),"ERROR PLZ FIX"))</f>
        <v/>
      </c>
      <c r="H7" s="18">
        <f>IF($B$3&lt;&gt;"Yes","",IFERROR(BDP($A7,"FUT_DLV_DT_FIRST"),"ERROR PLZ FIX"))</f>
        <v/>
      </c>
      <c r="I7" s="18">
        <f>IF($B$3&lt;&gt;"Yes","",IFERROR(BDP($A7,"LAST_TRADEABLE_DT"),"ERROR PLZ FIX"))</f>
        <v/>
      </c>
      <c r="J7" s="21">
        <f>IF($B$3&lt;&gt;"Yes","",IFERROR(BDP($A7,"VOLUME"),"ERROR PLZ FIX"))</f>
        <v/>
      </c>
      <c r="K7" s="21">
        <f>IF($B$3&lt;&gt;"Yes","",IFERROR(BDP($A7,"OPEN_INT"),"ERROR PLZ FIX"))</f>
        <v/>
      </c>
    </row>
    <row r="8">
      <c r="A8" s="6" t="n"/>
      <c r="B8" s="6">
        <f>IF($B$3&lt;&gt;"Yes","",IFERROR(BDP($A8,"SECURITY_DES"),"ERROR PLZ FIX"))</f>
        <v/>
      </c>
      <c r="C8" s="17">
        <f>IF($B$3&lt;&gt;"Yes","",IFERROR(BDP($A8,"PX_LAST"),"ERROR PLZ FIX"))</f>
        <v/>
      </c>
      <c r="D8" s="17">
        <f>IF($B$3&lt;&gt;"Yes","",IFERROR(BDP($A8,"PX_BID"),"ERROR PLZ FIX"))</f>
        <v/>
      </c>
      <c r="E8" s="17">
        <f>IF($B$3&lt;&gt;"Yes","",IFERROR(BDP($A8,"PX_ASK"),"ERROR PLZ FIX"))</f>
        <v/>
      </c>
      <c r="F8" s="17">
        <f>IFERROR(100-C8,"ERROR PLZ FIX")</f>
        <v/>
      </c>
      <c r="G8" s="6">
        <f>IF($B$3&lt;&gt;"Yes","",IFERROR(BDP($A8,"FUT_MONTH_YR"),"ERROR PLZ FIX"))</f>
        <v/>
      </c>
      <c r="H8" s="18">
        <f>IF($B$3&lt;&gt;"Yes","",IFERROR(BDP($A8,"FUT_DLV_DT_FIRST"),"ERROR PLZ FIX"))</f>
        <v/>
      </c>
      <c r="I8" s="18">
        <f>IF($B$3&lt;&gt;"Yes","",IFERROR(BDP($A8,"LAST_TRADEABLE_DT"),"ERROR PLZ FIX"))</f>
        <v/>
      </c>
      <c r="J8" s="21">
        <f>IF($B$3&lt;&gt;"Yes","",IFERROR(BDP($A8,"VOLUME"),"ERROR PLZ FIX"))</f>
        <v/>
      </c>
      <c r="K8" s="21">
        <f>IF($B$3&lt;&gt;"Yes","",IFERROR(BDP($A8,"OPEN_INT"),"ERROR PLZ FIX"))</f>
        <v/>
      </c>
    </row>
    <row r="9">
      <c r="A9" s="6" t="n"/>
      <c r="B9" s="6">
        <f>IF($B$3&lt;&gt;"Yes","",IFERROR(BDP($A9,"SECURITY_DES"),"ERROR PLZ FIX"))</f>
        <v/>
      </c>
      <c r="C9" s="17">
        <f>IF($B$3&lt;&gt;"Yes","",IFERROR(BDP($A9,"PX_LAST"),"ERROR PLZ FIX"))</f>
        <v/>
      </c>
      <c r="D9" s="17">
        <f>IF($B$3&lt;&gt;"Yes","",IFERROR(BDP($A9,"PX_BID"),"ERROR PLZ FIX"))</f>
        <v/>
      </c>
      <c r="E9" s="17">
        <f>IF($B$3&lt;&gt;"Yes","",IFERROR(BDP($A9,"PX_ASK"),"ERROR PLZ FIX"))</f>
        <v/>
      </c>
      <c r="F9" s="17">
        <f>IFERROR(100-C9,"ERROR PLZ FIX")</f>
        <v/>
      </c>
      <c r="G9" s="6">
        <f>IF($B$3&lt;&gt;"Yes","",IFERROR(BDP($A9,"FUT_MONTH_YR"),"ERROR PLZ FIX"))</f>
        <v/>
      </c>
      <c r="H9" s="18">
        <f>IF($B$3&lt;&gt;"Yes","",IFERROR(BDP($A9,"FUT_DLV_DT_FIRST"),"ERROR PLZ FIX"))</f>
        <v/>
      </c>
      <c r="I9" s="18">
        <f>IF($B$3&lt;&gt;"Yes","",IFERROR(BDP($A9,"LAST_TRADEABLE_DT"),"ERROR PLZ FIX"))</f>
        <v/>
      </c>
      <c r="J9" s="21">
        <f>IF($B$3&lt;&gt;"Yes","",IFERROR(BDP($A9,"VOLUME"),"ERROR PLZ FIX"))</f>
        <v/>
      </c>
      <c r="K9" s="21">
        <f>IF($B$3&lt;&gt;"Yes","",IFERROR(BDP($A9,"OPEN_INT"),"ERROR PLZ FIX"))</f>
        <v/>
      </c>
    </row>
    <row r="10">
      <c r="A10" s="6" t="n"/>
      <c r="B10" s="6">
        <f>IF($B$3&lt;&gt;"Yes","",IFERROR(BDP($A10,"SECURITY_DES"),"ERROR PLZ FIX"))</f>
        <v/>
      </c>
      <c r="C10" s="17">
        <f>IF($B$3&lt;&gt;"Yes","",IFERROR(BDP($A10,"PX_LAST"),"ERROR PLZ FIX"))</f>
        <v/>
      </c>
      <c r="D10" s="17">
        <f>IF($B$3&lt;&gt;"Yes","",IFERROR(BDP($A10,"PX_BID"),"ERROR PLZ FIX"))</f>
        <v/>
      </c>
      <c r="E10" s="17">
        <f>IF($B$3&lt;&gt;"Yes","",IFERROR(BDP($A10,"PX_ASK"),"ERROR PLZ FIX"))</f>
        <v/>
      </c>
      <c r="F10" s="17">
        <f>IFERROR(100-C10,"ERROR PLZ FIX")</f>
        <v/>
      </c>
      <c r="G10" s="6">
        <f>IF($B$3&lt;&gt;"Yes","",IFERROR(BDP($A10,"FUT_MONTH_YR"),"ERROR PLZ FIX"))</f>
        <v/>
      </c>
      <c r="H10" s="18">
        <f>IF($B$3&lt;&gt;"Yes","",IFERROR(BDP($A10,"FUT_DLV_DT_FIRST"),"ERROR PLZ FIX"))</f>
        <v/>
      </c>
      <c r="I10" s="18">
        <f>IF($B$3&lt;&gt;"Yes","",IFERROR(BDP($A10,"LAST_TRADEABLE_DT"),"ERROR PLZ FIX"))</f>
        <v/>
      </c>
      <c r="J10" s="21">
        <f>IF($B$3&lt;&gt;"Yes","",IFERROR(BDP($A10,"VOLUME"),"ERROR PLZ FIX"))</f>
        <v/>
      </c>
      <c r="K10" s="21">
        <f>IF($B$3&lt;&gt;"Yes","",IFERROR(BDP($A10,"OPEN_INT"),"ERROR PLZ FIX"))</f>
        <v/>
      </c>
    </row>
    <row r="11">
      <c r="A11" s="6" t="n"/>
      <c r="B11" s="6">
        <f>IF($B$3&lt;&gt;"Yes","",IFERROR(BDP($A11,"SECURITY_DES"),"ERROR PLZ FIX"))</f>
        <v/>
      </c>
      <c r="C11" s="17">
        <f>IF($B$3&lt;&gt;"Yes","",IFERROR(BDP($A11,"PX_LAST"),"ERROR PLZ FIX"))</f>
        <v/>
      </c>
      <c r="D11" s="17">
        <f>IF($B$3&lt;&gt;"Yes","",IFERROR(BDP($A11,"PX_BID"),"ERROR PLZ FIX"))</f>
        <v/>
      </c>
      <c r="E11" s="17">
        <f>IF($B$3&lt;&gt;"Yes","",IFERROR(BDP($A11,"PX_ASK"),"ERROR PLZ FIX"))</f>
        <v/>
      </c>
      <c r="F11" s="17">
        <f>IFERROR(100-C11,"ERROR PLZ FIX")</f>
        <v/>
      </c>
      <c r="G11" s="6">
        <f>IF($B$3&lt;&gt;"Yes","",IFERROR(BDP($A11,"FUT_MONTH_YR"),"ERROR PLZ FIX"))</f>
        <v/>
      </c>
      <c r="H11" s="18">
        <f>IF($B$3&lt;&gt;"Yes","",IFERROR(BDP($A11,"FUT_DLV_DT_FIRST"),"ERROR PLZ FIX"))</f>
        <v/>
      </c>
      <c r="I11" s="18">
        <f>IF($B$3&lt;&gt;"Yes","",IFERROR(BDP($A11,"LAST_TRADEABLE_DT"),"ERROR PLZ FIX"))</f>
        <v/>
      </c>
      <c r="J11" s="21">
        <f>IF($B$3&lt;&gt;"Yes","",IFERROR(BDP($A11,"VOLUME"),"ERROR PLZ FIX"))</f>
        <v/>
      </c>
      <c r="K11" s="21">
        <f>IF($B$3&lt;&gt;"Yes","",IFERROR(BDP($A11,"OPEN_INT"),"ERROR PLZ FIX"))</f>
        <v/>
      </c>
    </row>
    <row r="12">
      <c r="A12" s="6" t="n"/>
      <c r="B12" s="6">
        <f>IF($B$3&lt;&gt;"Yes","",IFERROR(BDP($A12,"SECURITY_DES"),"ERROR PLZ FIX"))</f>
        <v/>
      </c>
      <c r="C12" s="17">
        <f>IF($B$3&lt;&gt;"Yes","",IFERROR(BDP($A12,"PX_LAST"),"ERROR PLZ FIX"))</f>
        <v/>
      </c>
      <c r="D12" s="17">
        <f>IF($B$3&lt;&gt;"Yes","",IFERROR(BDP($A12,"PX_BID"),"ERROR PLZ FIX"))</f>
        <v/>
      </c>
      <c r="E12" s="17">
        <f>IF($B$3&lt;&gt;"Yes","",IFERROR(BDP($A12,"PX_ASK"),"ERROR PLZ FIX"))</f>
        <v/>
      </c>
      <c r="F12" s="17">
        <f>IFERROR(100-C12,"ERROR PLZ FIX")</f>
        <v/>
      </c>
      <c r="G12" s="6">
        <f>IF($B$3&lt;&gt;"Yes","",IFERROR(BDP($A12,"FUT_MONTH_YR"),"ERROR PLZ FIX"))</f>
        <v/>
      </c>
      <c r="H12" s="18">
        <f>IF($B$3&lt;&gt;"Yes","",IFERROR(BDP($A12,"FUT_DLV_DT_FIRST"),"ERROR PLZ FIX"))</f>
        <v/>
      </c>
      <c r="I12" s="18">
        <f>IF($B$3&lt;&gt;"Yes","",IFERROR(BDP($A12,"LAST_TRADEABLE_DT"),"ERROR PLZ FIX"))</f>
        <v/>
      </c>
      <c r="J12" s="21">
        <f>IF($B$3&lt;&gt;"Yes","",IFERROR(BDP($A12,"VOLUME"),"ERROR PLZ FIX"))</f>
        <v/>
      </c>
      <c r="K12" s="21">
        <f>IF($B$3&lt;&gt;"Yes","",IFERROR(BDP($A12,"OPEN_INT"),"ERROR PLZ FIX"))</f>
        <v/>
      </c>
    </row>
    <row r="13">
      <c r="A13" s="6" t="n"/>
      <c r="B13" s="6">
        <f>IF($B$3&lt;&gt;"Yes","",IFERROR(BDP($A13,"SECURITY_DES"),"ERROR PLZ FIX"))</f>
        <v/>
      </c>
      <c r="C13" s="17">
        <f>IF($B$3&lt;&gt;"Yes","",IFERROR(BDP($A13,"PX_LAST"),"ERROR PLZ FIX"))</f>
        <v/>
      </c>
      <c r="D13" s="17">
        <f>IF($B$3&lt;&gt;"Yes","",IFERROR(BDP($A13,"PX_BID"),"ERROR PLZ FIX"))</f>
        <v/>
      </c>
      <c r="E13" s="17">
        <f>IF($B$3&lt;&gt;"Yes","",IFERROR(BDP($A13,"PX_ASK"),"ERROR PLZ FIX"))</f>
        <v/>
      </c>
      <c r="F13" s="17">
        <f>IFERROR(100-C13,"ERROR PLZ FIX")</f>
        <v/>
      </c>
      <c r="G13" s="6">
        <f>IF($B$3&lt;&gt;"Yes","",IFERROR(BDP($A13,"FUT_MONTH_YR"),"ERROR PLZ FIX"))</f>
        <v/>
      </c>
      <c r="H13" s="18">
        <f>IF($B$3&lt;&gt;"Yes","",IFERROR(BDP($A13,"FUT_DLV_DT_FIRST"),"ERROR PLZ FIX"))</f>
        <v/>
      </c>
      <c r="I13" s="18">
        <f>IF($B$3&lt;&gt;"Yes","",IFERROR(BDP($A13,"LAST_TRADEABLE_DT"),"ERROR PLZ FIX"))</f>
        <v/>
      </c>
      <c r="J13" s="21">
        <f>IF($B$3&lt;&gt;"Yes","",IFERROR(BDP($A13,"VOLUME"),"ERROR PLZ FIX"))</f>
        <v/>
      </c>
      <c r="K13" s="21">
        <f>IF($B$3&lt;&gt;"Yes","",IFERROR(BDP($A13,"OPEN_INT"),"ERROR PLZ FIX"))</f>
        <v/>
      </c>
    </row>
    <row r="14">
      <c r="A14" s="6" t="n"/>
      <c r="B14" s="6">
        <f>IF($B$3&lt;&gt;"Yes","",IFERROR(BDP($A14,"SECURITY_DES"),"ERROR PLZ FIX"))</f>
        <v/>
      </c>
      <c r="C14" s="17">
        <f>IF($B$3&lt;&gt;"Yes","",IFERROR(BDP($A14,"PX_LAST"),"ERROR PLZ FIX"))</f>
        <v/>
      </c>
      <c r="D14" s="17">
        <f>IF($B$3&lt;&gt;"Yes","",IFERROR(BDP($A14,"PX_BID"),"ERROR PLZ FIX"))</f>
        <v/>
      </c>
      <c r="E14" s="17">
        <f>IF($B$3&lt;&gt;"Yes","",IFERROR(BDP($A14,"PX_ASK"),"ERROR PLZ FIX"))</f>
        <v/>
      </c>
      <c r="F14" s="17">
        <f>IFERROR(100-C14,"ERROR PLZ FIX")</f>
        <v/>
      </c>
      <c r="G14" s="6">
        <f>IF($B$3&lt;&gt;"Yes","",IFERROR(BDP($A14,"FUT_MONTH_YR"),"ERROR PLZ FIX"))</f>
        <v/>
      </c>
      <c r="H14" s="18">
        <f>IF($B$3&lt;&gt;"Yes","",IFERROR(BDP($A14,"FUT_DLV_DT_FIRST"),"ERROR PLZ FIX"))</f>
        <v/>
      </c>
      <c r="I14" s="18">
        <f>IF($B$3&lt;&gt;"Yes","",IFERROR(BDP($A14,"LAST_TRADEABLE_DT"),"ERROR PLZ FIX"))</f>
        <v/>
      </c>
      <c r="J14" s="21">
        <f>IF($B$3&lt;&gt;"Yes","",IFERROR(BDP($A14,"VOLUME"),"ERROR PLZ FIX"))</f>
        <v/>
      </c>
      <c r="K14" s="21">
        <f>IF($B$3&lt;&gt;"Yes","",IFERROR(BDP($A14,"OPEN_INT"),"ERROR PLZ FIX"))</f>
        <v/>
      </c>
    </row>
    <row r="15">
      <c r="A15" s="6" t="n"/>
      <c r="B15" s="6">
        <f>IF($B$3&lt;&gt;"Yes","",IFERROR(BDP($A15,"SECURITY_DES"),"ERROR PLZ FIX"))</f>
        <v/>
      </c>
      <c r="C15" s="17">
        <f>IF($B$3&lt;&gt;"Yes","",IFERROR(BDP($A15,"PX_LAST"),"ERROR PLZ FIX"))</f>
        <v/>
      </c>
      <c r="D15" s="17">
        <f>IF($B$3&lt;&gt;"Yes","",IFERROR(BDP($A15,"PX_BID"),"ERROR PLZ FIX"))</f>
        <v/>
      </c>
      <c r="E15" s="17">
        <f>IF($B$3&lt;&gt;"Yes","",IFERROR(BDP($A15,"PX_ASK"),"ERROR PLZ FIX"))</f>
        <v/>
      </c>
      <c r="F15" s="17">
        <f>IFERROR(100-C15,"ERROR PLZ FIX")</f>
        <v/>
      </c>
      <c r="G15" s="6">
        <f>IF($B$3&lt;&gt;"Yes","",IFERROR(BDP($A15,"FUT_MONTH_YR"),"ERROR PLZ FIX"))</f>
        <v/>
      </c>
      <c r="H15" s="18">
        <f>IF($B$3&lt;&gt;"Yes","",IFERROR(BDP($A15,"FUT_DLV_DT_FIRST"),"ERROR PLZ FIX"))</f>
        <v/>
      </c>
      <c r="I15" s="18">
        <f>IF($B$3&lt;&gt;"Yes","",IFERROR(BDP($A15,"LAST_TRADEABLE_DT"),"ERROR PLZ FIX"))</f>
        <v/>
      </c>
      <c r="J15" s="21">
        <f>IF($B$3&lt;&gt;"Yes","",IFERROR(BDP($A15,"VOLUME"),"ERROR PLZ FIX"))</f>
        <v/>
      </c>
      <c r="K15" s="21">
        <f>IF($B$3&lt;&gt;"Yes","",IFERROR(BDP($A15,"OPEN_INT"),"ERROR PLZ FIX"))</f>
        <v/>
      </c>
    </row>
    <row r="16">
      <c r="A16" s="6" t="n"/>
      <c r="B16" s="6">
        <f>IF($B$3&lt;&gt;"Yes","",IFERROR(BDP($A16,"SECURITY_DES"),"ERROR PLZ FIX"))</f>
        <v/>
      </c>
      <c r="C16" s="17">
        <f>IF($B$3&lt;&gt;"Yes","",IFERROR(BDP($A16,"PX_LAST"),"ERROR PLZ FIX"))</f>
        <v/>
      </c>
      <c r="D16" s="17">
        <f>IF($B$3&lt;&gt;"Yes","",IFERROR(BDP($A16,"PX_BID"),"ERROR PLZ FIX"))</f>
        <v/>
      </c>
      <c r="E16" s="17">
        <f>IF($B$3&lt;&gt;"Yes","",IFERROR(BDP($A16,"PX_ASK"),"ERROR PLZ FIX"))</f>
        <v/>
      </c>
      <c r="F16" s="17">
        <f>IFERROR(100-C16,"ERROR PLZ FIX")</f>
        <v/>
      </c>
      <c r="G16" s="6">
        <f>IF($B$3&lt;&gt;"Yes","",IFERROR(BDP($A16,"FUT_MONTH_YR"),"ERROR PLZ FIX"))</f>
        <v/>
      </c>
      <c r="H16" s="18">
        <f>IF($B$3&lt;&gt;"Yes","",IFERROR(BDP($A16,"FUT_DLV_DT_FIRST"),"ERROR PLZ FIX"))</f>
        <v/>
      </c>
      <c r="I16" s="18">
        <f>IF($B$3&lt;&gt;"Yes","",IFERROR(BDP($A16,"LAST_TRADEABLE_DT"),"ERROR PLZ FIX"))</f>
        <v/>
      </c>
      <c r="J16" s="21">
        <f>IF($B$3&lt;&gt;"Yes","",IFERROR(BDP($A16,"VOLUME"),"ERROR PLZ FIX"))</f>
        <v/>
      </c>
      <c r="K16" s="21">
        <f>IF($B$3&lt;&gt;"Yes","",IFERROR(BDP($A16,"OPEN_INT"),"ERROR PLZ FIX"))</f>
        <v/>
      </c>
    </row>
    <row r="17">
      <c r="A17" s="6" t="n"/>
      <c r="B17" s="6">
        <f>IF($B$3&lt;&gt;"Yes","",IFERROR(BDP($A17,"SECURITY_DES"),"ERROR PLZ FIX"))</f>
        <v/>
      </c>
      <c r="C17" s="17">
        <f>IF($B$3&lt;&gt;"Yes","",IFERROR(BDP($A17,"PX_LAST"),"ERROR PLZ FIX"))</f>
        <v/>
      </c>
      <c r="D17" s="17">
        <f>IF($B$3&lt;&gt;"Yes","",IFERROR(BDP($A17,"PX_BID"),"ERROR PLZ FIX"))</f>
        <v/>
      </c>
      <c r="E17" s="17">
        <f>IF($B$3&lt;&gt;"Yes","",IFERROR(BDP($A17,"PX_ASK"),"ERROR PLZ FIX"))</f>
        <v/>
      </c>
      <c r="F17" s="17">
        <f>IFERROR(100-C17,"ERROR PLZ FIX")</f>
        <v/>
      </c>
      <c r="G17" s="6">
        <f>IF($B$3&lt;&gt;"Yes","",IFERROR(BDP($A17,"FUT_MONTH_YR"),"ERROR PLZ FIX"))</f>
        <v/>
      </c>
      <c r="H17" s="18">
        <f>IF($B$3&lt;&gt;"Yes","",IFERROR(BDP($A17,"FUT_DLV_DT_FIRST"),"ERROR PLZ FIX"))</f>
        <v/>
      </c>
      <c r="I17" s="18">
        <f>IF($B$3&lt;&gt;"Yes","",IFERROR(BDP($A17,"LAST_TRADEABLE_DT"),"ERROR PLZ FIX"))</f>
        <v/>
      </c>
      <c r="J17" s="21">
        <f>IF($B$3&lt;&gt;"Yes","",IFERROR(BDP($A17,"VOLUME"),"ERROR PLZ FIX"))</f>
        <v/>
      </c>
      <c r="K17" s="21">
        <f>IF($B$3&lt;&gt;"Yes","",IFERROR(BDP($A17,"OPEN_INT"),"ERROR PLZ FIX"))</f>
        <v/>
      </c>
    </row>
    <row r="18">
      <c r="A18" s="6" t="n"/>
      <c r="B18" s="6">
        <f>IF($B$3&lt;&gt;"Yes","",IFERROR(BDP($A18,"SECURITY_DES"),"ERROR PLZ FIX"))</f>
        <v/>
      </c>
      <c r="C18" s="17">
        <f>IF($B$3&lt;&gt;"Yes","",IFERROR(BDP($A18,"PX_LAST"),"ERROR PLZ FIX"))</f>
        <v/>
      </c>
      <c r="D18" s="17">
        <f>IF($B$3&lt;&gt;"Yes","",IFERROR(BDP($A18,"PX_BID"),"ERROR PLZ FIX"))</f>
        <v/>
      </c>
      <c r="E18" s="17">
        <f>IF($B$3&lt;&gt;"Yes","",IFERROR(BDP($A18,"PX_ASK"),"ERROR PLZ FIX"))</f>
        <v/>
      </c>
      <c r="F18" s="17">
        <f>IFERROR(100-C18,"ERROR PLZ FIX")</f>
        <v/>
      </c>
      <c r="G18" s="6">
        <f>IF($B$3&lt;&gt;"Yes","",IFERROR(BDP($A18,"FUT_MONTH_YR"),"ERROR PLZ FIX"))</f>
        <v/>
      </c>
      <c r="H18" s="18">
        <f>IF($B$3&lt;&gt;"Yes","",IFERROR(BDP($A18,"FUT_DLV_DT_FIRST"),"ERROR PLZ FIX"))</f>
        <v/>
      </c>
      <c r="I18" s="18">
        <f>IF($B$3&lt;&gt;"Yes","",IFERROR(BDP($A18,"LAST_TRADEABLE_DT"),"ERROR PLZ FIX"))</f>
        <v/>
      </c>
      <c r="J18" s="21">
        <f>IF($B$3&lt;&gt;"Yes","",IFERROR(BDP($A18,"VOLUME"),"ERROR PLZ FIX"))</f>
        <v/>
      </c>
      <c r="K18" s="21">
        <f>IF($B$3&lt;&gt;"Yes","",IFERROR(BDP($A18,"OPEN_INT"),"ERROR PLZ FIX"))</f>
        <v/>
      </c>
    </row>
    <row r="19">
      <c r="A19" s="6" t="n"/>
      <c r="B19" s="6">
        <f>IF($B$3&lt;&gt;"Yes","",IFERROR(BDP($A19,"SECURITY_DES"),"ERROR PLZ FIX"))</f>
        <v/>
      </c>
      <c r="C19" s="17">
        <f>IF($B$3&lt;&gt;"Yes","",IFERROR(BDP($A19,"PX_LAST"),"ERROR PLZ FIX"))</f>
        <v/>
      </c>
      <c r="D19" s="17">
        <f>IF($B$3&lt;&gt;"Yes","",IFERROR(BDP($A19,"PX_BID"),"ERROR PLZ FIX"))</f>
        <v/>
      </c>
      <c r="E19" s="17">
        <f>IF($B$3&lt;&gt;"Yes","",IFERROR(BDP($A19,"PX_ASK"),"ERROR PLZ FIX"))</f>
        <v/>
      </c>
      <c r="F19" s="17">
        <f>IFERROR(100-C19,"ERROR PLZ FIX")</f>
        <v/>
      </c>
      <c r="G19" s="6">
        <f>IF($B$3&lt;&gt;"Yes","",IFERROR(BDP($A19,"FUT_MONTH_YR"),"ERROR PLZ FIX"))</f>
        <v/>
      </c>
      <c r="H19" s="18">
        <f>IF($B$3&lt;&gt;"Yes","",IFERROR(BDP($A19,"FUT_DLV_DT_FIRST"),"ERROR PLZ FIX"))</f>
        <v/>
      </c>
      <c r="I19" s="18">
        <f>IF($B$3&lt;&gt;"Yes","",IFERROR(BDP($A19,"LAST_TRADEABLE_DT"),"ERROR PLZ FIX"))</f>
        <v/>
      </c>
      <c r="J19" s="21">
        <f>IF($B$3&lt;&gt;"Yes","",IFERROR(BDP($A19,"VOLUME"),"ERROR PLZ FIX"))</f>
        <v/>
      </c>
      <c r="K19" s="21">
        <f>IF($B$3&lt;&gt;"Yes","",IFERROR(BDP($A19,"OPEN_INT"),"ERROR PLZ FIX"))</f>
        <v/>
      </c>
    </row>
    <row r="20">
      <c r="A20" s="6" t="n"/>
      <c r="B20" s="6">
        <f>IF($B$3&lt;&gt;"Yes","",IFERROR(BDP($A20,"SECURITY_DES"),"ERROR PLZ FIX"))</f>
        <v/>
      </c>
      <c r="C20" s="17">
        <f>IF($B$3&lt;&gt;"Yes","",IFERROR(BDP($A20,"PX_LAST"),"ERROR PLZ FIX"))</f>
        <v/>
      </c>
      <c r="D20" s="17">
        <f>IF($B$3&lt;&gt;"Yes","",IFERROR(BDP($A20,"PX_BID"),"ERROR PLZ FIX"))</f>
        <v/>
      </c>
      <c r="E20" s="17">
        <f>IF($B$3&lt;&gt;"Yes","",IFERROR(BDP($A20,"PX_ASK"),"ERROR PLZ FIX"))</f>
        <v/>
      </c>
      <c r="F20" s="17">
        <f>IFERROR(100-C20,"ERROR PLZ FIX")</f>
        <v/>
      </c>
      <c r="G20" s="6">
        <f>IF($B$3&lt;&gt;"Yes","",IFERROR(BDP($A20,"FUT_MONTH_YR"),"ERROR PLZ FIX"))</f>
        <v/>
      </c>
      <c r="H20" s="18">
        <f>IF($B$3&lt;&gt;"Yes","",IFERROR(BDP($A20,"FUT_DLV_DT_FIRST"),"ERROR PLZ FIX"))</f>
        <v/>
      </c>
      <c r="I20" s="18">
        <f>IF($B$3&lt;&gt;"Yes","",IFERROR(BDP($A20,"LAST_TRADEABLE_DT"),"ERROR PLZ FIX"))</f>
        <v/>
      </c>
      <c r="J20" s="21">
        <f>IF($B$3&lt;&gt;"Yes","",IFERROR(BDP($A20,"VOLUME"),"ERROR PLZ FIX"))</f>
        <v/>
      </c>
      <c r="K20" s="21">
        <f>IF($B$3&lt;&gt;"Yes","",IFERROR(BDP($A20,"OPEN_INT"),"ERROR PLZ FIX"))</f>
        <v/>
      </c>
    </row>
    <row r="21">
      <c r="A21" s="6" t="n"/>
      <c r="B21" s="6">
        <f>IF($B$3&lt;&gt;"Yes","",IFERROR(BDP($A21,"SECURITY_DES"),"ERROR PLZ FIX"))</f>
        <v/>
      </c>
      <c r="C21" s="17">
        <f>IF($B$3&lt;&gt;"Yes","",IFERROR(BDP($A21,"PX_LAST"),"ERROR PLZ FIX"))</f>
        <v/>
      </c>
      <c r="D21" s="17">
        <f>IF($B$3&lt;&gt;"Yes","",IFERROR(BDP($A21,"PX_BID"),"ERROR PLZ FIX"))</f>
        <v/>
      </c>
      <c r="E21" s="17">
        <f>IF($B$3&lt;&gt;"Yes","",IFERROR(BDP($A21,"PX_ASK"),"ERROR PLZ FIX"))</f>
        <v/>
      </c>
      <c r="F21" s="17">
        <f>IFERROR(100-C21,"ERROR PLZ FIX")</f>
        <v/>
      </c>
      <c r="G21" s="6">
        <f>IF($B$3&lt;&gt;"Yes","",IFERROR(BDP($A21,"FUT_MONTH_YR"),"ERROR PLZ FIX"))</f>
        <v/>
      </c>
      <c r="H21" s="18">
        <f>IF($B$3&lt;&gt;"Yes","",IFERROR(BDP($A21,"FUT_DLV_DT_FIRST"),"ERROR PLZ FIX"))</f>
        <v/>
      </c>
      <c r="I21" s="18">
        <f>IF($B$3&lt;&gt;"Yes","",IFERROR(BDP($A21,"LAST_TRADEABLE_DT"),"ERROR PLZ FIX"))</f>
        <v/>
      </c>
      <c r="J21" s="21">
        <f>IF($B$3&lt;&gt;"Yes","",IFERROR(BDP($A21,"VOLUME"),"ERROR PLZ FIX"))</f>
        <v/>
      </c>
      <c r="K21" s="21">
        <f>IF($B$3&lt;&gt;"Yes","",IFERROR(BDP($A21,"OPEN_INT"),"ERROR PLZ FIX"))</f>
        <v/>
      </c>
    </row>
    <row r="22">
      <c r="A22" s="6" t="n"/>
      <c r="B22" s="6">
        <f>IF($B$3&lt;&gt;"Yes","",IFERROR(BDP($A22,"SECURITY_DES"),"ERROR PLZ FIX"))</f>
        <v/>
      </c>
      <c r="C22" s="17">
        <f>IF($B$3&lt;&gt;"Yes","",IFERROR(BDP($A22,"PX_LAST"),"ERROR PLZ FIX"))</f>
        <v/>
      </c>
      <c r="D22" s="17">
        <f>IF($B$3&lt;&gt;"Yes","",IFERROR(BDP($A22,"PX_BID"),"ERROR PLZ FIX"))</f>
        <v/>
      </c>
      <c r="E22" s="17">
        <f>IF($B$3&lt;&gt;"Yes","",IFERROR(BDP($A22,"PX_ASK"),"ERROR PLZ FIX"))</f>
        <v/>
      </c>
      <c r="F22" s="17">
        <f>IFERROR(100-C22,"ERROR PLZ FIX")</f>
        <v/>
      </c>
      <c r="G22" s="6">
        <f>IF($B$3&lt;&gt;"Yes","",IFERROR(BDP($A22,"FUT_MONTH_YR"),"ERROR PLZ FIX"))</f>
        <v/>
      </c>
      <c r="H22" s="18">
        <f>IF($B$3&lt;&gt;"Yes","",IFERROR(BDP($A22,"FUT_DLV_DT_FIRST"),"ERROR PLZ FIX"))</f>
        <v/>
      </c>
      <c r="I22" s="18">
        <f>IF($B$3&lt;&gt;"Yes","",IFERROR(BDP($A22,"LAST_TRADEABLE_DT"),"ERROR PLZ FIX"))</f>
        <v/>
      </c>
      <c r="J22" s="21">
        <f>IF($B$3&lt;&gt;"Yes","",IFERROR(BDP($A22,"VOLUME"),"ERROR PLZ FIX"))</f>
        <v/>
      </c>
      <c r="K22" s="21">
        <f>IF($B$3&lt;&gt;"Yes","",IFERROR(BDP($A22,"OPEN_INT"),"ERROR PLZ FIX"))</f>
        <v/>
      </c>
    </row>
    <row r="23">
      <c r="A23" s="6" t="n"/>
      <c r="B23" s="6">
        <f>IF($B$3&lt;&gt;"Yes","",IFERROR(BDP($A23,"SECURITY_DES"),"ERROR PLZ FIX"))</f>
        <v/>
      </c>
      <c r="C23" s="17">
        <f>IF($B$3&lt;&gt;"Yes","",IFERROR(BDP($A23,"PX_LAST"),"ERROR PLZ FIX"))</f>
        <v/>
      </c>
      <c r="D23" s="17">
        <f>IF($B$3&lt;&gt;"Yes","",IFERROR(BDP($A23,"PX_BID"),"ERROR PLZ FIX"))</f>
        <v/>
      </c>
      <c r="E23" s="17">
        <f>IF($B$3&lt;&gt;"Yes","",IFERROR(BDP($A23,"PX_ASK"),"ERROR PLZ FIX"))</f>
        <v/>
      </c>
      <c r="F23" s="17">
        <f>IFERROR(100-C23,"ERROR PLZ FIX")</f>
        <v/>
      </c>
      <c r="G23" s="6">
        <f>IF($B$3&lt;&gt;"Yes","",IFERROR(BDP($A23,"FUT_MONTH_YR"),"ERROR PLZ FIX"))</f>
        <v/>
      </c>
      <c r="H23" s="18">
        <f>IF($B$3&lt;&gt;"Yes","",IFERROR(BDP($A23,"FUT_DLV_DT_FIRST"),"ERROR PLZ FIX"))</f>
        <v/>
      </c>
      <c r="I23" s="18">
        <f>IF($B$3&lt;&gt;"Yes","",IFERROR(BDP($A23,"LAST_TRADEABLE_DT"),"ERROR PLZ FIX"))</f>
        <v/>
      </c>
      <c r="J23" s="21">
        <f>IF($B$3&lt;&gt;"Yes","",IFERROR(BDP($A23,"VOLUME"),"ERROR PLZ FIX"))</f>
        <v/>
      </c>
      <c r="K23" s="21">
        <f>IF($B$3&lt;&gt;"Yes","",IFERROR(BDP($A23,"OPEN_INT"),"ERROR PLZ FIX"))</f>
        <v/>
      </c>
    </row>
    <row r="24">
      <c r="A24" s="6" t="n"/>
      <c r="B24" s="6">
        <f>IF($B$3&lt;&gt;"Yes","",IFERROR(BDP($A24,"SECURITY_DES"),"ERROR PLZ FIX"))</f>
        <v/>
      </c>
      <c r="C24" s="17">
        <f>IF($B$3&lt;&gt;"Yes","",IFERROR(BDP($A24,"PX_LAST"),"ERROR PLZ FIX"))</f>
        <v/>
      </c>
      <c r="D24" s="17">
        <f>IF($B$3&lt;&gt;"Yes","",IFERROR(BDP($A24,"PX_BID"),"ERROR PLZ FIX"))</f>
        <v/>
      </c>
      <c r="E24" s="17">
        <f>IF($B$3&lt;&gt;"Yes","",IFERROR(BDP($A24,"PX_ASK"),"ERROR PLZ FIX"))</f>
        <v/>
      </c>
      <c r="F24" s="17">
        <f>IFERROR(100-C24,"ERROR PLZ FIX")</f>
        <v/>
      </c>
      <c r="G24" s="6">
        <f>IF($B$3&lt;&gt;"Yes","",IFERROR(BDP($A24,"FUT_MONTH_YR"),"ERROR PLZ FIX"))</f>
        <v/>
      </c>
      <c r="H24" s="18">
        <f>IF($B$3&lt;&gt;"Yes","",IFERROR(BDP($A24,"FUT_DLV_DT_FIRST"),"ERROR PLZ FIX"))</f>
        <v/>
      </c>
      <c r="I24" s="18">
        <f>IF($B$3&lt;&gt;"Yes","",IFERROR(BDP($A24,"LAST_TRADEABLE_DT"),"ERROR PLZ FIX"))</f>
        <v/>
      </c>
      <c r="J24" s="21">
        <f>IF($B$3&lt;&gt;"Yes","",IFERROR(BDP($A24,"VOLUME"),"ERROR PLZ FIX"))</f>
        <v/>
      </c>
      <c r="K24" s="21">
        <f>IF($B$3&lt;&gt;"Yes","",IFERROR(BDP($A24,"OPEN_INT"),"ERROR PLZ FIX"))</f>
        <v/>
      </c>
    </row>
    <row r="25">
      <c r="A25" s="6" t="n"/>
      <c r="B25" s="6">
        <f>IF($B$3&lt;&gt;"Yes","",IFERROR(BDP($A25,"SECURITY_DES"),"ERROR PLZ FIX"))</f>
        <v/>
      </c>
      <c r="C25" s="17">
        <f>IF($B$3&lt;&gt;"Yes","",IFERROR(BDP($A25,"PX_LAST"),"ERROR PLZ FIX"))</f>
        <v/>
      </c>
      <c r="D25" s="17">
        <f>IF($B$3&lt;&gt;"Yes","",IFERROR(BDP($A25,"PX_BID"),"ERROR PLZ FIX"))</f>
        <v/>
      </c>
      <c r="E25" s="17">
        <f>IF($B$3&lt;&gt;"Yes","",IFERROR(BDP($A25,"PX_ASK"),"ERROR PLZ FIX"))</f>
        <v/>
      </c>
      <c r="F25" s="17">
        <f>IFERROR(100-C25,"ERROR PLZ FIX")</f>
        <v/>
      </c>
      <c r="G25" s="6">
        <f>IF($B$3&lt;&gt;"Yes","",IFERROR(BDP($A25,"FUT_MONTH_YR"),"ERROR PLZ FIX"))</f>
        <v/>
      </c>
      <c r="H25" s="18">
        <f>IF($B$3&lt;&gt;"Yes","",IFERROR(BDP($A25,"FUT_DLV_DT_FIRST"),"ERROR PLZ FIX"))</f>
        <v/>
      </c>
      <c r="I25" s="18">
        <f>IF($B$3&lt;&gt;"Yes","",IFERROR(BDP($A25,"LAST_TRADEABLE_DT"),"ERROR PLZ FIX"))</f>
        <v/>
      </c>
      <c r="J25" s="21">
        <f>IF($B$3&lt;&gt;"Yes","",IFERROR(BDP($A25,"VOLUME"),"ERROR PLZ FIX"))</f>
        <v/>
      </c>
      <c r="K25" s="21">
        <f>IF($B$3&lt;&gt;"Yes","",IFERROR(BDP($A25,"OPEN_INT"),"ERROR PLZ FIX"))</f>
        <v/>
      </c>
    </row>
    <row r="26">
      <c r="A26" s="6" t="n"/>
      <c r="B26" s="6">
        <f>IF($B$3&lt;&gt;"Yes","",IFERROR(BDP($A26,"SECURITY_DES"),"ERROR PLZ FIX"))</f>
        <v/>
      </c>
      <c r="C26" s="17">
        <f>IF($B$3&lt;&gt;"Yes","",IFERROR(BDP($A26,"PX_LAST"),"ERROR PLZ FIX"))</f>
        <v/>
      </c>
      <c r="D26" s="17">
        <f>IF($B$3&lt;&gt;"Yes","",IFERROR(BDP($A26,"PX_BID"),"ERROR PLZ FIX"))</f>
        <v/>
      </c>
      <c r="E26" s="17">
        <f>IF($B$3&lt;&gt;"Yes","",IFERROR(BDP($A26,"PX_ASK"),"ERROR PLZ FIX"))</f>
        <v/>
      </c>
      <c r="F26" s="17">
        <f>IFERROR(100-C26,"ERROR PLZ FIX")</f>
        <v/>
      </c>
      <c r="G26" s="6">
        <f>IF($B$3&lt;&gt;"Yes","",IFERROR(BDP($A26,"FUT_MONTH_YR"),"ERROR PLZ FIX"))</f>
        <v/>
      </c>
      <c r="H26" s="18">
        <f>IF($B$3&lt;&gt;"Yes","",IFERROR(BDP($A26,"FUT_DLV_DT_FIRST"),"ERROR PLZ FIX"))</f>
        <v/>
      </c>
      <c r="I26" s="18">
        <f>IF($B$3&lt;&gt;"Yes","",IFERROR(BDP($A26,"LAST_TRADEABLE_DT"),"ERROR PLZ FIX"))</f>
        <v/>
      </c>
      <c r="J26" s="21">
        <f>IF($B$3&lt;&gt;"Yes","",IFERROR(BDP($A26,"VOLUME"),"ERROR PLZ FIX"))</f>
        <v/>
      </c>
      <c r="K26" s="21">
        <f>IF($B$3&lt;&gt;"Yes","",IFERROR(BDP($A26,"OPEN_INT"),"ERROR PLZ FIX"))</f>
        <v/>
      </c>
    </row>
    <row r="29">
      <c r="A29" s="4" t="inlineStr">
        <is>
          <t>SR1 — ONE-MONTH SOFR FUTURES  (SERA Comdty · CME SR1) — first 13 monthly contracts</t>
        </is>
      </c>
    </row>
    <row r="30" ht="26" customHeight="1">
      <c r="A30" s="9" t="inlineStr">
        <is>
          <t>Column A cell below holds =BDS("SERA Comdty","FUT_CHAIN") and SPILLS the active contract tickers down. Field columns reference each row's contract in column A. Adjust the row count to the liquid strip (check VOLUME / OPEN_INT).</t>
        </is>
      </c>
    </row>
    <row r="31">
      <c r="A31" s="20" t="inlineStr">
        <is>
          <t>Contract (from CT chain)</t>
        </is>
      </c>
      <c r="B31" s="20" t="inlineStr">
        <is>
          <t>SECURITY_DES</t>
        </is>
      </c>
      <c r="C31" s="20" t="inlineStr">
        <is>
          <t>PX_LAST</t>
        </is>
      </c>
      <c r="D31" s="20" t="inlineStr">
        <is>
          <t>PX_BID</t>
        </is>
      </c>
      <c r="E31" s="20" t="inlineStr">
        <is>
          <t>PX_ASK</t>
        </is>
      </c>
      <c r="F31" s="20" t="inlineStr">
        <is>
          <t>Implied rate % (100−Last)</t>
        </is>
      </c>
      <c r="G31" s="20" t="inlineStr">
        <is>
          <t>FUT_MONTH_YR</t>
        </is>
      </c>
      <c r="H31" s="20" t="inlineStr">
        <is>
          <t>Ref. start (FUT_DLV_DT_FIRST)</t>
        </is>
      </c>
      <c r="I31" s="20" t="inlineStr">
        <is>
          <t>LAST_TRADEABLE_DT</t>
        </is>
      </c>
      <c r="J31" s="20" t="inlineStr">
        <is>
          <t>VOLUME</t>
        </is>
      </c>
      <c r="K31" s="20" t="inlineStr">
        <is>
          <t>OPEN_INT</t>
        </is>
      </c>
    </row>
    <row r="32">
      <c r="A32" s="6">
        <f>IF($B$3&lt;&gt;"Yes","",BDS("SERA Comdty","FUT_CHAIN"))</f>
        <v/>
      </c>
      <c r="B32" s="6">
        <f>IF($B$3&lt;&gt;"Yes","",IFERROR(BDP($A32,"SECURITY_DES"),"ERROR PLZ FIX"))</f>
        <v/>
      </c>
      <c r="C32" s="17">
        <f>IF($B$3&lt;&gt;"Yes","",IFERROR(BDP($A32,"PX_LAST"),"ERROR PLZ FIX"))</f>
        <v/>
      </c>
      <c r="D32" s="17">
        <f>IF($B$3&lt;&gt;"Yes","",IFERROR(BDP($A32,"PX_BID"),"ERROR PLZ FIX"))</f>
        <v/>
      </c>
      <c r="E32" s="17">
        <f>IF($B$3&lt;&gt;"Yes","",IFERROR(BDP($A32,"PX_ASK"),"ERROR PLZ FIX"))</f>
        <v/>
      </c>
      <c r="F32" s="17">
        <f>IFERROR(100-C32,"ERROR PLZ FIX")</f>
        <v/>
      </c>
      <c r="G32" s="6">
        <f>IF($B$3&lt;&gt;"Yes","",IFERROR(BDP($A32,"FUT_MONTH_YR"),"ERROR PLZ FIX"))</f>
        <v/>
      </c>
      <c r="H32" s="18">
        <f>IF($B$3&lt;&gt;"Yes","",IFERROR(BDP($A32,"FUT_DLV_DT_FIRST"),"ERROR PLZ FIX"))</f>
        <v/>
      </c>
      <c r="I32" s="18">
        <f>IF($B$3&lt;&gt;"Yes","",IFERROR(BDP($A32,"LAST_TRADEABLE_DT"),"ERROR PLZ FIX"))</f>
        <v/>
      </c>
      <c r="J32" s="21">
        <f>IF($B$3&lt;&gt;"Yes","",IFERROR(BDP($A32,"VOLUME"),"ERROR PLZ FIX"))</f>
        <v/>
      </c>
      <c r="K32" s="21">
        <f>IF($B$3&lt;&gt;"Yes","",IFERROR(BDP($A32,"OPEN_INT"),"ERROR PLZ FIX"))</f>
        <v/>
      </c>
    </row>
    <row r="33">
      <c r="A33" s="6" t="n"/>
      <c r="B33" s="6">
        <f>IF($B$3&lt;&gt;"Yes","",IFERROR(BDP($A33,"SECURITY_DES"),"ERROR PLZ FIX"))</f>
        <v/>
      </c>
      <c r="C33" s="17">
        <f>IF($B$3&lt;&gt;"Yes","",IFERROR(BDP($A33,"PX_LAST"),"ERROR PLZ FIX"))</f>
        <v/>
      </c>
      <c r="D33" s="17">
        <f>IF($B$3&lt;&gt;"Yes","",IFERROR(BDP($A33,"PX_BID"),"ERROR PLZ FIX"))</f>
        <v/>
      </c>
      <c r="E33" s="17">
        <f>IF($B$3&lt;&gt;"Yes","",IFERROR(BDP($A33,"PX_ASK"),"ERROR PLZ FIX"))</f>
        <v/>
      </c>
      <c r="F33" s="17">
        <f>IFERROR(100-C33,"ERROR PLZ FIX")</f>
        <v/>
      </c>
      <c r="G33" s="6">
        <f>IF($B$3&lt;&gt;"Yes","",IFERROR(BDP($A33,"FUT_MONTH_YR"),"ERROR PLZ FIX"))</f>
        <v/>
      </c>
      <c r="H33" s="18">
        <f>IF($B$3&lt;&gt;"Yes","",IFERROR(BDP($A33,"FUT_DLV_DT_FIRST"),"ERROR PLZ FIX"))</f>
        <v/>
      </c>
      <c r="I33" s="18">
        <f>IF($B$3&lt;&gt;"Yes","",IFERROR(BDP($A33,"LAST_TRADEABLE_DT"),"ERROR PLZ FIX"))</f>
        <v/>
      </c>
      <c r="J33" s="21">
        <f>IF($B$3&lt;&gt;"Yes","",IFERROR(BDP($A33,"VOLUME"),"ERROR PLZ FIX"))</f>
        <v/>
      </c>
      <c r="K33" s="21">
        <f>IF($B$3&lt;&gt;"Yes","",IFERROR(BDP($A33,"OPEN_INT"),"ERROR PLZ FIX"))</f>
        <v/>
      </c>
    </row>
    <row r="34">
      <c r="A34" s="6" t="n"/>
      <c r="B34" s="6">
        <f>IF($B$3&lt;&gt;"Yes","",IFERROR(BDP($A34,"SECURITY_DES"),"ERROR PLZ FIX"))</f>
        <v/>
      </c>
      <c r="C34" s="17">
        <f>IF($B$3&lt;&gt;"Yes","",IFERROR(BDP($A34,"PX_LAST"),"ERROR PLZ FIX"))</f>
        <v/>
      </c>
      <c r="D34" s="17">
        <f>IF($B$3&lt;&gt;"Yes","",IFERROR(BDP($A34,"PX_BID"),"ERROR PLZ FIX"))</f>
        <v/>
      </c>
      <c r="E34" s="17">
        <f>IF($B$3&lt;&gt;"Yes","",IFERROR(BDP($A34,"PX_ASK"),"ERROR PLZ FIX"))</f>
        <v/>
      </c>
      <c r="F34" s="17">
        <f>IFERROR(100-C34,"ERROR PLZ FIX")</f>
        <v/>
      </c>
      <c r="G34" s="6">
        <f>IF($B$3&lt;&gt;"Yes","",IFERROR(BDP($A34,"FUT_MONTH_YR"),"ERROR PLZ FIX"))</f>
        <v/>
      </c>
      <c r="H34" s="18">
        <f>IF($B$3&lt;&gt;"Yes","",IFERROR(BDP($A34,"FUT_DLV_DT_FIRST"),"ERROR PLZ FIX"))</f>
        <v/>
      </c>
      <c r="I34" s="18">
        <f>IF($B$3&lt;&gt;"Yes","",IFERROR(BDP($A34,"LAST_TRADEABLE_DT"),"ERROR PLZ FIX"))</f>
        <v/>
      </c>
      <c r="J34" s="21">
        <f>IF($B$3&lt;&gt;"Yes","",IFERROR(BDP($A34,"VOLUME"),"ERROR PLZ FIX"))</f>
        <v/>
      </c>
      <c r="K34" s="21">
        <f>IF($B$3&lt;&gt;"Yes","",IFERROR(BDP($A34,"OPEN_INT"),"ERROR PLZ FIX"))</f>
        <v/>
      </c>
    </row>
    <row r="35">
      <c r="A35" s="6" t="n"/>
      <c r="B35" s="6">
        <f>IF($B$3&lt;&gt;"Yes","",IFERROR(BDP($A35,"SECURITY_DES"),"ERROR PLZ FIX"))</f>
        <v/>
      </c>
      <c r="C35" s="17">
        <f>IF($B$3&lt;&gt;"Yes","",IFERROR(BDP($A35,"PX_LAST"),"ERROR PLZ FIX"))</f>
        <v/>
      </c>
      <c r="D35" s="17">
        <f>IF($B$3&lt;&gt;"Yes","",IFERROR(BDP($A35,"PX_BID"),"ERROR PLZ FIX"))</f>
        <v/>
      </c>
      <c r="E35" s="17">
        <f>IF($B$3&lt;&gt;"Yes","",IFERROR(BDP($A35,"PX_ASK"),"ERROR PLZ FIX"))</f>
        <v/>
      </c>
      <c r="F35" s="17">
        <f>IFERROR(100-C35,"ERROR PLZ FIX")</f>
        <v/>
      </c>
      <c r="G35" s="6">
        <f>IF($B$3&lt;&gt;"Yes","",IFERROR(BDP($A35,"FUT_MONTH_YR"),"ERROR PLZ FIX"))</f>
        <v/>
      </c>
      <c r="H35" s="18">
        <f>IF($B$3&lt;&gt;"Yes","",IFERROR(BDP($A35,"FUT_DLV_DT_FIRST"),"ERROR PLZ FIX"))</f>
        <v/>
      </c>
      <c r="I35" s="18">
        <f>IF($B$3&lt;&gt;"Yes","",IFERROR(BDP($A35,"LAST_TRADEABLE_DT"),"ERROR PLZ FIX"))</f>
        <v/>
      </c>
      <c r="J35" s="21">
        <f>IF($B$3&lt;&gt;"Yes","",IFERROR(BDP($A35,"VOLUME"),"ERROR PLZ FIX"))</f>
        <v/>
      </c>
      <c r="K35" s="21">
        <f>IF($B$3&lt;&gt;"Yes","",IFERROR(BDP($A35,"OPEN_INT"),"ERROR PLZ FIX"))</f>
        <v/>
      </c>
    </row>
    <row r="36">
      <c r="A36" s="6" t="n"/>
      <c r="B36" s="6">
        <f>IF($B$3&lt;&gt;"Yes","",IFERROR(BDP($A36,"SECURITY_DES"),"ERROR PLZ FIX"))</f>
        <v/>
      </c>
      <c r="C36" s="17">
        <f>IF($B$3&lt;&gt;"Yes","",IFERROR(BDP($A36,"PX_LAST"),"ERROR PLZ FIX"))</f>
        <v/>
      </c>
      <c r="D36" s="17">
        <f>IF($B$3&lt;&gt;"Yes","",IFERROR(BDP($A36,"PX_BID"),"ERROR PLZ FIX"))</f>
        <v/>
      </c>
      <c r="E36" s="17">
        <f>IF($B$3&lt;&gt;"Yes","",IFERROR(BDP($A36,"PX_ASK"),"ERROR PLZ FIX"))</f>
        <v/>
      </c>
      <c r="F36" s="17">
        <f>IFERROR(100-C36,"ERROR PLZ FIX")</f>
        <v/>
      </c>
      <c r="G36" s="6">
        <f>IF($B$3&lt;&gt;"Yes","",IFERROR(BDP($A36,"FUT_MONTH_YR"),"ERROR PLZ FIX"))</f>
        <v/>
      </c>
      <c r="H36" s="18">
        <f>IF($B$3&lt;&gt;"Yes","",IFERROR(BDP($A36,"FUT_DLV_DT_FIRST"),"ERROR PLZ FIX"))</f>
        <v/>
      </c>
      <c r="I36" s="18">
        <f>IF($B$3&lt;&gt;"Yes","",IFERROR(BDP($A36,"LAST_TRADEABLE_DT"),"ERROR PLZ FIX"))</f>
        <v/>
      </c>
      <c r="J36" s="21">
        <f>IF($B$3&lt;&gt;"Yes","",IFERROR(BDP($A36,"VOLUME"),"ERROR PLZ FIX"))</f>
        <v/>
      </c>
      <c r="K36" s="21">
        <f>IF($B$3&lt;&gt;"Yes","",IFERROR(BDP($A36,"OPEN_INT"),"ERROR PLZ FIX"))</f>
        <v/>
      </c>
    </row>
    <row r="37">
      <c r="A37" s="6" t="n"/>
      <c r="B37" s="6">
        <f>IF($B$3&lt;&gt;"Yes","",IFERROR(BDP($A37,"SECURITY_DES"),"ERROR PLZ FIX"))</f>
        <v/>
      </c>
      <c r="C37" s="17">
        <f>IF($B$3&lt;&gt;"Yes","",IFERROR(BDP($A37,"PX_LAST"),"ERROR PLZ FIX"))</f>
        <v/>
      </c>
      <c r="D37" s="17">
        <f>IF($B$3&lt;&gt;"Yes","",IFERROR(BDP($A37,"PX_BID"),"ERROR PLZ FIX"))</f>
        <v/>
      </c>
      <c r="E37" s="17">
        <f>IF($B$3&lt;&gt;"Yes","",IFERROR(BDP($A37,"PX_ASK"),"ERROR PLZ FIX"))</f>
        <v/>
      </c>
      <c r="F37" s="17">
        <f>IFERROR(100-C37,"ERROR PLZ FIX")</f>
        <v/>
      </c>
      <c r="G37" s="6">
        <f>IF($B$3&lt;&gt;"Yes","",IFERROR(BDP($A37,"FUT_MONTH_YR"),"ERROR PLZ FIX"))</f>
        <v/>
      </c>
      <c r="H37" s="18">
        <f>IF($B$3&lt;&gt;"Yes","",IFERROR(BDP($A37,"FUT_DLV_DT_FIRST"),"ERROR PLZ FIX"))</f>
        <v/>
      </c>
      <c r="I37" s="18">
        <f>IF($B$3&lt;&gt;"Yes","",IFERROR(BDP($A37,"LAST_TRADEABLE_DT"),"ERROR PLZ FIX"))</f>
        <v/>
      </c>
      <c r="J37" s="21">
        <f>IF($B$3&lt;&gt;"Yes","",IFERROR(BDP($A37,"VOLUME"),"ERROR PLZ FIX"))</f>
        <v/>
      </c>
      <c r="K37" s="21">
        <f>IF($B$3&lt;&gt;"Yes","",IFERROR(BDP($A37,"OPEN_INT"),"ERROR PLZ FIX"))</f>
        <v/>
      </c>
    </row>
    <row r="38">
      <c r="A38" s="6" t="n"/>
      <c r="B38" s="6">
        <f>IF($B$3&lt;&gt;"Yes","",IFERROR(BDP($A38,"SECURITY_DES"),"ERROR PLZ FIX"))</f>
        <v/>
      </c>
      <c r="C38" s="17">
        <f>IF($B$3&lt;&gt;"Yes","",IFERROR(BDP($A38,"PX_LAST"),"ERROR PLZ FIX"))</f>
        <v/>
      </c>
      <c r="D38" s="17">
        <f>IF($B$3&lt;&gt;"Yes","",IFERROR(BDP($A38,"PX_BID"),"ERROR PLZ FIX"))</f>
        <v/>
      </c>
      <c r="E38" s="17">
        <f>IF($B$3&lt;&gt;"Yes","",IFERROR(BDP($A38,"PX_ASK"),"ERROR PLZ FIX"))</f>
        <v/>
      </c>
      <c r="F38" s="17">
        <f>IFERROR(100-C38,"ERROR PLZ FIX")</f>
        <v/>
      </c>
      <c r="G38" s="6">
        <f>IF($B$3&lt;&gt;"Yes","",IFERROR(BDP($A38,"FUT_MONTH_YR"),"ERROR PLZ FIX"))</f>
        <v/>
      </c>
      <c r="H38" s="18">
        <f>IF($B$3&lt;&gt;"Yes","",IFERROR(BDP($A38,"FUT_DLV_DT_FIRST"),"ERROR PLZ FIX"))</f>
        <v/>
      </c>
      <c r="I38" s="18">
        <f>IF($B$3&lt;&gt;"Yes","",IFERROR(BDP($A38,"LAST_TRADEABLE_DT"),"ERROR PLZ FIX"))</f>
        <v/>
      </c>
      <c r="J38" s="21">
        <f>IF($B$3&lt;&gt;"Yes","",IFERROR(BDP($A38,"VOLUME"),"ERROR PLZ FIX"))</f>
        <v/>
      </c>
      <c r="K38" s="21">
        <f>IF($B$3&lt;&gt;"Yes","",IFERROR(BDP($A38,"OPEN_INT"),"ERROR PLZ FIX"))</f>
        <v/>
      </c>
    </row>
    <row r="39">
      <c r="A39" s="6" t="n"/>
      <c r="B39" s="6">
        <f>IF($B$3&lt;&gt;"Yes","",IFERROR(BDP($A39,"SECURITY_DES"),"ERROR PLZ FIX"))</f>
        <v/>
      </c>
      <c r="C39" s="17">
        <f>IF($B$3&lt;&gt;"Yes","",IFERROR(BDP($A39,"PX_LAST"),"ERROR PLZ FIX"))</f>
        <v/>
      </c>
      <c r="D39" s="17">
        <f>IF($B$3&lt;&gt;"Yes","",IFERROR(BDP($A39,"PX_BID"),"ERROR PLZ FIX"))</f>
        <v/>
      </c>
      <c r="E39" s="17">
        <f>IF($B$3&lt;&gt;"Yes","",IFERROR(BDP($A39,"PX_ASK"),"ERROR PLZ FIX"))</f>
        <v/>
      </c>
      <c r="F39" s="17">
        <f>IFERROR(100-C39,"ERROR PLZ FIX")</f>
        <v/>
      </c>
      <c r="G39" s="6">
        <f>IF($B$3&lt;&gt;"Yes","",IFERROR(BDP($A39,"FUT_MONTH_YR"),"ERROR PLZ FIX"))</f>
        <v/>
      </c>
      <c r="H39" s="18">
        <f>IF($B$3&lt;&gt;"Yes","",IFERROR(BDP($A39,"FUT_DLV_DT_FIRST"),"ERROR PLZ FIX"))</f>
        <v/>
      </c>
      <c r="I39" s="18">
        <f>IF($B$3&lt;&gt;"Yes","",IFERROR(BDP($A39,"LAST_TRADEABLE_DT"),"ERROR PLZ FIX"))</f>
        <v/>
      </c>
      <c r="J39" s="21">
        <f>IF($B$3&lt;&gt;"Yes","",IFERROR(BDP($A39,"VOLUME"),"ERROR PLZ FIX"))</f>
        <v/>
      </c>
      <c r="K39" s="21">
        <f>IF($B$3&lt;&gt;"Yes","",IFERROR(BDP($A39,"OPEN_INT"),"ERROR PLZ FIX"))</f>
        <v/>
      </c>
    </row>
    <row r="40">
      <c r="A40" s="6" t="n"/>
      <c r="B40" s="6">
        <f>IF($B$3&lt;&gt;"Yes","",IFERROR(BDP($A40,"SECURITY_DES"),"ERROR PLZ FIX"))</f>
        <v/>
      </c>
      <c r="C40" s="17">
        <f>IF($B$3&lt;&gt;"Yes","",IFERROR(BDP($A40,"PX_LAST"),"ERROR PLZ FIX"))</f>
        <v/>
      </c>
      <c r="D40" s="17">
        <f>IF($B$3&lt;&gt;"Yes","",IFERROR(BDP($A40,"PX_BID"),"ERROR PLZ FIX"))</f>
        <v/>
      </c>
      <c r="E40" s="17">
        <f>IF($B$3&lt;&gt;"Yes","",IFERROR(BDP($A40,"PX_ASK"),"ERROR PLZ FIX"))</f>
        <v/>
      </c>
      <c r="F40" s="17">
        <f>IFERROR(100-C40,"ERROR PLZ FIX")</f>
        <v/>
      </c>
      <c r="G40" s="6">
        <f>IF($B$3&lt;&gt;"Yes","",IFERROR(BDP($A40,"FUT_MONTH_YR"),"ERROR PLZ FIX"))</f>
        <v/>
      </c>
      <c r="H40" s="18">
        <f>IF($B$3&lt;&gt;"Yes","",IFERROR(BDP($A40,"FUT_DLV_DT_FIRST"),"ERROR PLZ FIX"))</f>
        <v/>
      </c>
      <c r="I40" s="18">
        <f>IF($B$3&lt;&gt;"Yes","",IFERROR(BDP($A40,"LAST_TRADEABLE_DT"),"ERROR PLZ FIX"))</f>
        <v/>
      </c>
      <c r="J40" s="21">
        <f>IF($B$3&lt;&gt;"Yes","",IFERROR(BDP($A40,"VOLUME"),"ERROR PLZ FIX"))</f>
        <v/>
      </c>
      <c r="K40" s="21">
        <f>IF($B$3&lt;&gt;"Yes","",IFERROR(BDP($A40,"OPEN_INT"),"ERROR PLZ FIX"))</f>
        <v/>
      </c>
    </row>
    <row r="41">
      <c r="A41" s="6" t="n"/>
      <c r="B41" s="6">
        <f>IF($B$3&lt;&gt;"Yes","",IFERROR(BDP($A41,"SECURITY_DES"),"ERROR PLZ FIX"))</f>
        <v/>
      </c>
      <c r="C41" s="17">
        <f>IF($B$3&lt;&gt;"Yes","",IFERROR(BDP($A41,"PX_LAST"),"ERROR PLZ FIX"))</f>
        <v/>
      </c>
      <c r="D41" s="17">
        <f>IF($B$3&lt;&gt;"Yes","",IFERROR(BDP($A41,"PX_BID"),"ERROR PLZ FIX"))</f>
        <v/>
      </c>
      <c r="E41" s="17">
        <f>IF($B$3&lt;&gt;"Yes","",IFERROR(BDP($A41,"PX_ASK"),"ERROR PLZ FIX"))</f>
        <v/>
      </c>
      <c r="F41" s="17">
        <f>IFERROR(100-C41,"ERROR PLZ FIX")</f>
        <v/>
      </c>
      <c r="G41" s="6">
        <f>IF($B$3&lt;&gt;"Yes","",IFERROR(BDP($A41,"FUT_MONTH_YR"),"ERROR PLZ FIX"))</f>
        <v/>
      </c>
      <c r="H41" s="18">
        <f>IF($B$3&lt;&gt;"Yes","",IFERROR(BDP($A41,"FUT_DLV_DT_FIRST"),"ERROR PLZ FIX"))</f>
        <v/>
      </c>
      <c r="I41" s="18">
        <f>IF($B$3&lt;&gt;"Yes","",IFERROR(BDP($A41,"LAST_TRADEABLE_DT"),"ERROR PLZ FIX"))</f>
        <v/>
      </c>
      <c r="J41" s="21">
        <f>IF($B$3&lt;&gt;"Yes","",IFERROR(BDP($A41,"VOLUME"),"ERROR PLZ FIX"))</f>
        <v/>
      </c>
      <c r="K41" s="21">
        <f>IF($B$3&lt;&gt;"Yes","",IFERROR(BDP($A41,"OPEN_INT"),"ERROR PLZ FIX"))</f>
        <v/>
      </c>
    </row>
    <row r="42">
      <c r="A42" s="6" t="n"/>
      <c r="B42" s="6">
        <f>IF($B$3&lt;&gt;"Yes","",IFERROR(BDP($A42,"SECURITY_DES"),"ERROR PLZ FIX"))</f>
        <v/>
      </c>
      <c r="C42" s="17">
        <f>IF($B$3&lt;&gt;"Yes","",IFERROR(BDP($A42,"PX_LAST"),"ERROR PLZ FIX"))</f>
        <v/>
      </c>
      <c r="D42" s="17">
        <f>IF($B$3&lt;&gt;"Yes","",IFERROR(BDP($A42,"PX_BID"),"ERROR PLZ FIX"))</f>
        <v/>
      </c>
      <c r="E42" s="17">
        <f>IF($B$3&lt;&gt;"Yes","",IFERROR(BDP($A42,"PX_ASK"),"ERROR PLZ FIX"))</f>
        <v/>
      </c>
      <c r="F42" s="17">
        <f>IFERROR(100-C42,"ERROR PLZ FIX")</f>
        <v/>
      </c>
      <c r="G42" s="6">
        <f>IF($B$3&lt;&gt;"Yes","",IFERROR(BDP($A42,"FUT_MONTH_YR"),"ERROR PLZ FIX"))</f>
        <v/>
      </c>
      <c r="H42" s="18">
        <f>IF($B$3&lt;&gt;"Yes","",IFERROR(BDP($A42,"FUT_DLV_DT_FIRST"),"ERROR PLZ FIX"))</f>
        <v/>
      </c>
      <c r="I42" s="18">
        <f>IF($B$3&lt;&gt;"Yes","",IFERROR(BDP($A42,"LAST_TRADEABLE_DT"),"ERROR PLZ FIX"))</f>
        <v/>
      </c>
      <c r="J42" s="21">
        <f>IF($B$3&lt;&gt;"Yes","",IFERROR(BDP($A42,"VOLUME"),"ERROR PLZ FIX"))</f>
        <v/>
      </c>
      <c r="K42" s="21">
        <f>IF($B$3&lt;&gt;"Yes","",IFERROR(BDP($A42,"OPEN_INT"),"ERROR PLZ FIX"))</f>
        <v/>
      </c>
    </row>
    <row r="43">
      <c r="A43" s="6" t="n"/>
      <c r="B43" s="6">
        <f>IF($B$3&lt;&gt;"Yes","",IFERROR(BDP($A43,"SECURITY_DES"),"ERROR PLZ FIX"))</f>
        <v/>
      </c>
      <c r="C43" s="17">
        <f>IF($B$3&lt;&gt;"Yes","",IFERROR(BDP($A43,"PX_LAST"),"ERROR PLZ FIX"))</f>
        <v/>
      </c>
      <c r="D43" s="17">
        <f>IF($B$3&lt;&gt;"Yes","",IFERROR(BDP($A43,"PX_BID"),"ERROR PLZ FIX"))</f>
        <v/>
      </c>
      <c r="E43" s="17">
        <f>IF($B$3&lt;&gt;"Yes","",IFERROR(BDP($A43,"PX_ASK"),"ERROR PLZ FIX"))</f>
        <v/>
      </c>
      <c r="F43" s="17">
        <f>IFERROR(100-C43,"ERROR PLZ FIX")</f>
        <v/>
      </c>
      <c r="G43" s="6">
        <f>IF($B$3&lt;&gt;"Yes","",IFERROR(BDP($A43,"FUT_MONTH_YR"),"ERROR PLZ FIX"))</f>
        <v/>
      </c>
      <c r="H43" s="18">
        <f>IF($B$3&lt;&gt;"Yes","",IFERROR(BDP($A43,"FUT_DLV_DT_FIRST"),"ERROR PLZ FIX"))</f>
        <v/>
      </c>
      <c r="I43" s="18">
        <f>IF($B$3&lt;&gt;"Yes","",IFERROR(BDP($A43,"LAST_TRADEABLE_DT"),"ERROR PLZ FIX"))</f>
        <v/>
      </c>
      <c r="J43" s="21">
        <f>IF($B$3&lt;&gt;"Yes","",IFERROR(BDP($A43,"VOLUME"),"ERROR PLZ FIX"))</f>
        <v/>
      </c>
      <c r="K43" s="21">
        <f>IF($B$3&lt;&gt;"Yes","",IFERROR(BDP($A43,"OPEN_INT"),"ERROR PLZ FIX"))</f>
        <v/>
      </c>
    </row>
    <row r="44">
      <c r="A44" s="6" t="n"/>
      <c r="B44" s="6">
        <f>IF($B$3&lt;&gt;"Yes","",IFERROR(BDP($A44,"SECURITY_DES"),"ERROR PLZ FIX"))</f>
        <v/>
      </c>
      <c r="C44" s="17">
        <f>IF($B$3&lt;&gt;"Yes","",IFERROR(BDP($A44,"PX_LAST"),"ERROR PLZ FIX"))</f>
        <v/>
      </c>
      <c r="D44" s="17">
        <f>IF($B$3&lt;&gt;"Yes","",IFERROR(BDP($A44,"PX_BID"),"ERROR PLZ FIX"))</f>
        <v/>
      </c>
      <c r="E44" s="17">
        <f>IF($B$3&lt;&gt;"Yes","",IFERROR(BDP($A44,"PX_ASK"),"ERROR PLZ FIX"))</f>
        <v/>
      </c>
      <c r="F44" s="17">
        <f>IFERROR(100-C44,"ERROR PLZ FIX")</f>
        <v/>
      </c>
      <c r="G44" s="6">
        <f>IF($B$3&lt;&gt;"Yes","",IFERROR(BDP($A44,"FUT_MONTH_YR"),"ERROR PLZ FIX"))</f>
        <v/>
      </c>
      <c r="H44" s="18">
        <f>IF($B$3&lt;&gt;"Yes","",IFERROR(BDP($A44,"FUT_DLV_DT_FIRST"),"ERROR PLZ FIX"))</f>
        <v/>
      </c>
      <c r="I44" s="18">
        <f>IF($B$3&lt;&gt;"Yes","",IFERROR(BDP($A44,"LAST_TRADEABLE_DT"),"ERROR PLZ FIX"))</f>
        <v/>
      </c>
      <c r="J44" s="21">
        <f>IF($B$3&lt;&gt;"Yes","",IFERROR(BDP($A44,"VOLUME"),"ERROR PLZ FIX"))</f>
        <v/>
      </c>
      <c r="K44" s="21">
        <f>IF($B$3&lt;&gt;"Yes","",IFERROR(BDP($A44,"OPEN_INT"),"ERROR PLZ FIX"))</f>
        <v/>
      </c>
    </row>
  </sheetData>
  <mergeCells count="4">
    <mergeCell ref="A30:K30"/>
    <mergeCell ref="A5:K5"/>
    <mergeCell ref="A4:K4"/>
    <mergeCell ref="A29:K29"/>
  </mergeCells>
  <dataValidations count="1">
    <dataValidation sqref="B3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A1B9A"/>
    <outlinePr summaryBelow="1" summaryRight="1"/>
    <pageSetUpPr/>
  </sheetPr>
  <dimension ref="A1:E40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5" customWidth="1" min="3" max="3"/>
    <col width="14" customWidth="1" min="4" max="4"/>
    <col width="12" customWidth="1" min="5" max="5"/>
    <col width="70" customWidth="1" min="6" max="6"/>
  </cols>
  <sheetData>
    <row r="1">
      <c r="A1" s="67" t="inlineStr">
        <is>
          <t>S490_Snapshot</t>
        </is>
      </c>
    </row>
    <row r="2">
      <c r="A2" s="65" t="inlineStr">
        <is>
          <t>Bloomberg S490 Curve Analysis capture - FROZEN. USD SOFR (vs FIXED), Step Forward (Cont), Settle 07/21/26, Curve Side Mid, Shift +0.00bp.</t>
        </is>
      </c>
    </row>
    <row r="3">
      <c r="A3" s="65" t="inlineStr">
        <is>
          <t>Single place to update the comparison. Market Rate feeds SOFR_OIS_Quotes!J (input); Zero/Discount feed Bootstrap T:U and Bloomberg_S490_Validation (target).</t>
        </is>
      </c>
    </row>
    <row r="4">
      <c r="A4" s="65" t="inlineStr">
        <is>
          <t>Matched pair: Market Rate is the mid of the export's bid/ask. Valid while VAL_DATE = 07/21/2026.</t>
        </is>
      </c>
    </row>
    <row r="6" ht="30" customHeight="1">
      <c r="A6" s="141" t="inlineStr">
        <is>
          <t>Date</t>
        </is>
      </c>
      <c r="B6" s="141" t="inlineStr">
        <is>
          <t>Tenor</t>
        </is>
      </c>
      <c r="C6" s="141" t="inlineStr">
        <is>
          <t>Market rate (%)</t>
        </is>
      </c>
      <c r="D6" s="141" t="inlineStr">
        <is>
          <t>Zero rate (%)</t>
        </is>
      </c>
      <c r="E6" s="141" t="inlineStr">
        <is>
          <t>Discount</t>
        </is>
      </c>
    </row>
    <row r="7">
      <c r="A7" s="111" t="n">
        <v>46233</v>
      </c>
      <c r="B7" s="68" t="inlineStr">
        <is>
          <t>1W</t>
        </is>
      </c>
      <c r="C7" s="64" t="n">
        <v>3.6376</v>
      </c>
      <c r="D7" s="64" t="n">
        <v>3.68682</v>
      </c>
      <c r="E7" s="69" t="n">
        <v>0.999091</v>
      </c>
    </row>
    <row r="8">
      <c r="A8" s="111" t="n">
        <v>46240</v>
      </c>
      <c r="B8" s="68" t="inlineStr">
        <is>
          <t>2W</t>
        </is>
      </c>
      <c r="C8" s="64" t="n">
        <v>3.6733</v>
      </c>
      <c r="D8" s="64" t="n">
        <v>3.71731</v>
      </c>
      <c r="E8" s="69" t="n">
        <v>0.998372</v>
      </c>
    </row>
    <row r="9">
      <c r="A9" s="111" t="n">
        <v>46247</v>
      </c>
      <c r="B9" s="68" t="inlineStr">
        <is>
          <t>3W</t>
        </is>
      </c>
      <c r="C9" s="64" t="n">
        <v>3.68739</v>
      </c>
      <c r="D9" s="64" t="n">
        <v>3.73043</v>
      </c>
      <c r="E9" s="69" t="n">
        <v>0.997652</v>
      </c>
    </row>
    <row r="10">
      <c r="A10" s="111" t="n">
        <v>46258</v>
      </c>
      <c r="B10" s="68" t="inlineStr">
        <is>
          <t>1M</t>
        </is>
      </c>
      <c r="C10" s="64" t="n">
        <v>3.69655</v>
      </c>
      <c r="D10" s="64" t="n">
        <v>3.73852</v>
      </c>
      <c r="E10" s="69" t="n">
        <v>0.996524</v>
      </c>
    </row>
    <row r="11">
      <c r="A11" s="111" t="n">
        <v>46288</v>
      </c>
      <c r="B11" s="68" t="inlineStr">
        <is>
          <t>2M</t>
        </is>
      </c>
      <c r="C11" s="64" t="n">
        <v>3.72255</v>
      </c>
      <c r="D11" s="64" t="n">
        <v>3.75985</v>
      </c>
      <c r="E11" s="69" t="n">
        <v>0.993429</v>
      </c>
    </row>
    <row r="12">
      <c r="A12" s="111" t="n">
        <v>46318</v>
      </c>
      <c r="B12" s="68" t="inlineStr">
        <is>
          <t>3M</t>
        </is>
      </c>
      <c r="C12" s="64" t="n">
        <v>3.77525</v>
      </c>
      <c r="D12" s="64" t="n">
        <v>3.80673</v>
      </c>
      <c r="E12" s="69" t="n">
        <v>0.990244</v>
      </c>
    </row>
    <row r="13">
      <c r="A13" s="111" t="n">
        <v>46349</v>
      </c>
      <c r="B13" s="68" t="inlineStr">
        <is>
          <t>4M</t>
        </is>
      </c>
      <c r="C13" s="64" t="n">
        <v>3.82085</v>
      </c>
      <c r="D13" s="64" t="n">
        <v>3.84626</v>
      </c>
      <c r="E13" s="69" t="n">
        <v>0.986914</v>
      </c>
    </row>
    <row r="14">
      <c r="A14" s="111" t="n">
        <v>46379</v>
      </c>
      <c r="B14" s="68" t="inlineStr">
        <is>
          <t>5M</t>
        </is>
      </c>
      <c r="C14" s="64" t="n">
        <v>3.8622</v>
      </c>
      <c r="D14" s="64" t="n">
        <v>3.88151</v>
      </c>
      <c r="E14" s="69" t="n">
        <v>0.983652</v>
      </c>
    </row>
    <row r="15">
      <c r="A15" s="111" t="n">
        <v>46412</v>
      </c>
      <c r="B15" s="68" t="inlineStr">
        <is>
          <t>6M</t>
        </is>
      </c>
      <c r="C15" s="64" t="n">
        <v>3.908</v>
      </c>
      <c r="D15" s="64" t="n">
        <v>3.9203</v>
      </c>
      <c r="E15" s="69" t="n">
        <v>0.98001</v>
      </c>
    </row>
    <row r="16">
      <c r="A16" s="111" t="n">
        <v>46441</v>
      </c>
      <c r="B16" s="68" t="inlineStr">
        <is>
          <t>7M</t>
        </is>
      </c>
      <c r="C16" s="64" t="n">
        <v>3.9415</v>
      </c>
      <c r="D16" s="64" t="n">
        <v>3.94751</v>
      </c>
      <c r="E16" s="69" t="n">
        <v>0.976805</v>
      </c>
    </row>
    <row r="17">
      <c r="A17" s="111" t="n">
        <v>46469</v>
      </c>
      <c r="B17" s="68" t="inlineStr">
        <is>
          <t>8M</t>
        </is>
      </c>
      <c r="C17" s="64" t="n">
        <v>3.96975</v>
      </c>
      <c r="D17" s="64" t="n">
        <v>3.96958</v>
      </c>
      <c r="E17" s="69" t="n">
        <v>0.973707</v>
      </c>
    </row>
    <row r="18">
      <c r="A18" s="111" t="n">
        <v>46500</v>
      </c>
      <c r="B18" s="68" t="inlineStr">
        <is>
          <t>9M</t>
        </is>
      </c>
      <c r="C18" s="64" t="n">
        <v>4.0007</v>
      </c>
      <c r="D18" s="64" t="n">
        <v>3.9935</v>
      </c>
      <c r="E18" s="69" t="n">
        <v>0.9702539999999999</v>
      </c>
    </row>
    <row r="19">
      <c r="A19" s="111" t="n">
        <v>46531</v>
      </c>
      <c r="B19" s="68" t="inlineStr">
        <is>
          <t>10M</t>
        </is>
      </c>
      <c r="C19" s="64" t="n">
        <v>4.02865</v>
      </c>
      <c r="D19" s="64" t="n">
        <v>4.0143</v>
      </c>
      <c r="E19" s="69" t="n">
        <v>0.9668</v>
      </c>
    </row>
    <row r="20">
      <c r="A20" s="111" t="n">
        <v>46561</v>
      </c>
      <c r="B20" s="68" t="inlineStr">
        <is>
          <t>11M</t>
        </is>
      </c>
      <c r="C20" s="64" t="n">
        <v>4.0523</v>
      </c>
      <c r="D20" s="64" t="n">
        <v>4.03096</v>
      </c>
      <c r="E20" s="69" t="n">
        <v>0.963467</v>
      </c>
    </row>
    <row r="21">
      <c r="A21" s="111" t="n">
        <v>46591</v>
      </c>
      <c r="B21" s="68" t="inlineStr">
        <is>
          <t>1Y</t>
        </is>
      </c>
      <c r="C21" s="64" t="n">
        <v>4.07315</v>
      </c>
      <c r="D21" s="64" t="n">
        <v>4.04476</v>
      </c>
      <c r="E21" s="69" t="n">
        <v>0.960147</v>
      </c>
    </row>
    <row r="22">
      <c r="A22" s="111" t="n">
        <v>46776</v>
      </c>
      <c r="B22" s="68" t="inlineStr">
        <is>
          <t>18M</t>
        </is>
      </c>
      <c r="C22" s="64" t="n">
        <v>4.0909</v>
      </c>
      <c r="D22" s="64" t="n">
        <v>4.07772</v>
      </c>
      <c r="E22" s="69" t="n">
        <v>0.940194</v>
      </c>
    </row>
    <row r="23">
      <c r="A23" s="111" t="n">
        <v>46958</v>
      </c>
      <c r="B23" s="68" t="inlineStr">
        <is>
          <t>2Y</t>
        </is>
      </c>
      <c r="C23" s="64" t="n">
        <v>4.09656</v>
      </c>
      <c r="D23" s="64" t="n">
        <v>4.06872</v>
      </c>
      <c r="E23" s="69" t="n">
        <v>0.921438</v>
      </c>
    </row>
    <row r="24">
      <c r="A24" s="111" t="n">
        <v>47322</v>
      </c>
      <c r="B24" s="68" t="inlineStr">
        <is>
          <t>3Y</t>
        </is>
      </c>
      <c r="C24" s="64" t="n">
        <v>4.07655</v>
      </c>
      <c r="D24" s="64" t="n">
        <v>4.0488</v>
      </c>
      <c r="E24" s="69" t="n">
        <v>0.885328</v>
      </c>
    </row>
    <row r="25">
      <c r="A25" s="111" t="n">
        <v>47687</v>
      </c>
      <c r="B25" s="68" t="inlineStr">
        <is>
          <t>4Y</t>
        </is>
      </c>
      <c r="C25" s="64" t="n">
        <v>4.06655</v>
      </c>
      <c r="D25" s="64" t="n">
        <v>4.03876</v>
      </c>
      <c r="E25" s="69" t="n">
        <v>0.850541</v>
      </c>
    </row>
    <row r="26">
      <c r="A26" s="111" t="n">
        <v>48052</v>
      </c>
      <c r="B26" s="68" t="inlineStr">
        <is>
          <t>5Y</t>
        </is>
      </c>
      <c r="C26" s="64" t="n">
        <v>4.0715</v>
      </c>
      <c r="D26" s="64" t="n">
        <v>4.0443</v>
      </c>
      <c r="E26" s="69" t="n">
        <v>0.816648</v>
      </c>
    </row>
    <row r="27">
      <c r="A27" s="111" t="n">
        <v>48418</v>
      </c>
      <c r="B27" s="68" t="inlineStr">
        <is>
          <t>6Y</t>
        </is>
      </c>
      <c r="C27" s="64" t="n">
        <v>4.0891</v>
      </c>
      <c r="D27" s="64" t="n">
        <v>4.0634</v>
      </c>
      <c r="E27" s="69" t="n">
        <v>0.783293</v>
      </c>
    </row>
    <row r="28">
      <c r="A28" s="111" t="n">
        <v>48785</v>
      </c>
      <c r="B28" s="68" t="inlineStr">
        <is>
          <t>7Y</t>
        </is>
      </c>
      <c r="C28" s="64" t="n">
        <v>4.1126</v>
      </c>
      <c r="D28" s="64" t="n">
        <v>4.0891</v>
      </c>
      <c r="E28" s="69" t="n">
        <v>0.75058</v>
      </c>
    </row>
    <row r="29">
      <c r="A29" s="111" t="n">
        <v>49149</v>
      </c>
      <c r="B29" s="68" t="inlineStr">
        <is>
          <t>8Y</t>
        </is>
      </c>
      <c r="C29" s="64" t="n">
        <v>4.13925</v>
      </c>
      <c r="D29" s="64" t="n">
        <v>4.11874</v>
      </c>
      <c r="E29" s="69" t="n">
        <v>0.718878</v>
      </c>
    </row>
    <row r="30">
      <c r="A30" s="111" t="n">
        <v>49513</v>
      </c>
      <c r="B30" s="68" t="inlineStr">
        <is>
          <t>9Y</t>
        </is>
      </c>
      <c r="C30" s="64" t="n">
        <v>4.1687</v>
      </c>
      <c r="D30" s="64" t="n">
        <v>4.15198</v>
      </c>
      <c r="E30" s="69" t="n">
        <v>0.687885</v>
      </c>
    </row>
    <row r="31">
      <c r="A31" s="111" t="n">
        <v>49879</v>
      </c>
      <c r="B31" s="68" t="inlineStr">
        <is>
          <t>10Y</t>
        </is>
      </c>
      <c r="C31" s="64" t="n">
        <v>4.19995</v>
      </c>
      <c r="D31" s="64" t="n">
        <v>4.18778</v>
      </c>
      <c r="E31" s="69" t="n">
        <v>0.657473</v>
      </c>
    </row>
    <row r="32">
      <c r="A32" s="111" t="n">
        <v>50609</v>
      </c>
      <c r="B32" s="68" t="inlineStr">
        <is>
          <t>12Y</t>
        </is>
      </c>
      <c r="C32" s="64" t="n">
        <v>4.264</v>
      </c>
      <c r="D32" s="64" t="n">
        <v>4.26298</v>
      </c>
      <c r="E32" s="69" t="n">
        <v>0.599211</v>
      </c>
    </row>
    <row r="33">
      <c r="A33" s="111" t="n">
        <v>51705</v>
      </c>
      <c r="B33" s="68" t="inlineStr">
        <is>
          <t>15Y</t>
        </is>
      </c>
      <c r="C33" s="64" t="n">
        <v>4.34865</v>
      </c>
      <c r="D33" s="64" t="n">
        <v>4.36615</v>
      </c>
      <c r="E33" s="69" t="n">
        <v>0.51911</v>
      </c>
    </row>
    <row r="34">
      <c r="A34" s="111" t="n">
        <v>53531</v>
      </c>
      <c r="B34" s="68" t="inlineStr">
        <is>
          <t>20Y</t>
        </is>
      </c>
      <c r="C34" s="64" t="n">
        <v>4.41995</v>
      </c>
      <c r="D34" s="64" t="n">
        <v>4.45385</v>
      </c>
      <c r="E34" s="69" t="n">
        <v>0.409989</v>
      </c>
    </row>
    <row r="35">
      <c r="A35" s="111" t="n">
        <v>55358</v>
      </c>
      <c r="B35" s="68" t="inlineStr">
        <is>
          <t>25Y</t>
        </is>
      </c>
      <c r="C35" s="64" t="n">
        <v>4.41615</v>
      </c>
      <c r="D35" s="64" t="n">
        <v>4.4337</v>
      </c>
      <c r="E35" s="69" t="n">
        <v>0.329718</v>
      </c>
    </row>
    <row r="36">
      <c r="A36" s="111" t="n">
        <v>57185</v>
      </c>
      <c r="B36" s="68" t="inlineStr">
        <is>
          <t>30Y</t>
        </is>
      </c>
      <c r="C36" s="64" t="n">
        <v>4.37685</v>
      </c>
      <c r="D36" s="64" t="n">
        <v>4.35343</v>
      </c>
      <c r="E36" s="69" t="n">
        <v>0.270538</v>
      </c>
    </row>
    <row r="37">
      <c r="A37" s="111" t="n">
        <v>60836</v>
      </c>
      <c r="B37" s="68" t="inlineStr">
        <is>
          <t>40Y</t>
        </is>
      </c>
      <c r="C37" s="64" t="n">
        <v>4.25755</v>
      </c>
      <c r="D37" s="64" t="n">
        <v>4.10984</v>
      </c>
      <c r="E37" s="69" t="n">
        <v>0.192957</v>
      </c>
    </row>
    <row r="38">
      <c r="A38" s="111" t="n">
        <v>64489</v>
      </c>
      <c r="B38" s="68" t="inlineStr">
        <is>
          <t>50Y</t>
        </is>
      </c>
      <c r="C38" s="64" t="n">
        <v>4.12427</v>
      </c>
      <c r="D38" s="64" t="n">
        <v>3.81556</v>
      </c>
      <c r="E38" s="69" t="n">
        <v>0.148177</v>
      </c>
    </row>
    <row r="40">
      <c r="A40" s="67" t="inlineStr">
        <is>
          <t>32 pillars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AD80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1" customWidth="1" min="4" max="4"/>
    <col width="13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1" customWidth="1" min="11" max="11"/>
    <col width="12" customWidth="1" min="12" max="12"/>
    <col width="11" customWidth="1" min="13" max="13"/>
    <col width="11" customWidth="1" min="14" max="14"/>
    <col width="12" customWidth="1" min="18" max="18"/>
    <col width="13" customWidth="1" min="19" max="19"/>
    <col width="12" customWidth="1" min="20" max="20"/>
    <col width="12" customWidth="1" min="21" max="21"/>
    <col width="11" customWidth="1" min="22" max="22"/>
    <col width="11" customWidth="1" min="23" max="23"/>
    <col width="15" customWidth="1" min="24" max="24"/>
    <col width="13" customWidth="1" min="25" max="25"/>
  </cols>
  <sheetData>
    <row r="1">
      <c r="A1" s="1" t="inlineStr">
        <is>
          <t>Bootstrap</t>
        </is>
      </c>
      <c r="R1" s="65" t="inlineStr">
        <is>
          <t>Pillar dates are modified-following business-day adjusted (weekends only, no holiday calendar). Bloomberg rolls 07/23/2033-&gt;07/25/2033 and 07/23/2028-&gt;07/24/2028; plain EDATE did not, which shifted the curve.</t>
        </is>
      </c>
    </row>
    <row r="2">
      <c r="A2" s="2" t="inlineStr">
        <is>
          <t>Purely-OIS USD SOFR curve: short single-payment OIS (≤1Y) + annual OIS swaps (18M–50Y). The production curve — used by Swap_Pricer, Curve_Interface and the CDS module.</t>
        </is>
      </c>
    </row>
    <row r="3">
      <c r="R3" s="65" t="inlineStr">
        <is>
          <t>12Y+ solved on Curve_Solver to break the gap-row annuity circularity.</t>
        </is>
      </c>
    </row>
    <row r="4">
      <c r="A4" s="13" t="inlineStr">
        <is>
          <t>Spot (T+2):</t>
        </is>
      </c>
      <c r="B4" s="18">
        <f>WORKDAY(VAL_DATE,2)</f>
        <v/>
      </c>
      <c r="C4" s="13" t="inlineStr">
        <is>
          <t>DFspot:</t>
        </is>
      </c>
      <c r="D4" s="71" t="n">
        <v>1</v>
      </c>
      <c r="E4" s="65" t="inlineStr">
        <is>
          <t>DF(settle)=1: the S490 Settle Date is the curve date, so there is no spot-lag stub. SOFR_Fixings o/n is informational only.</t>
        </is>
      </c>
      <c r="F4" s="67" t="inlineStr">
        <is>
          <t>Curve source</t>
        </is>
      </c>
      <c r="G4" s="68" t="inlineStr">
        <is>
          <t>Fixed (S490 07/21/26)</t>
        </is>
      </c>
      <c r="I4" s="65" t="inlineStr">
        <is>
          <t>Live / Fixed / Test 1-3. Test cases come from the Testing sheet and route through SOFR_OIS_Quotes!H, so the whole curve and the charts follow.</t>
        </is>
      </c>
    </row>
    <row r="5" ht="58" customHeight="1">
      <c r="A5" s="70" t="inlineStr">
        <is>
          <t>Purely-OIS USD SOFR curve. Short single-payment OIS to 1Y, annual OIS swaps 18M-50Y. The production curve: Swap_Pricer, Curve_Interface and the CDS module all read it. See Method.</t>
        </is>
      </c>
      <c r="R5" s="65" t="inlineStr">
        <is>
          <t>Rebuilds each solved pillar from its own annuity and differences it against the solver. ~0 confirms the par identity.</t>
        </is>
      </c>
    </row>
    <row r="6">
      <c r="S6" s="4" t="inlineStr">
        <is>
          <t>Working — fixed-leg PV = float-leg PV (par swap)</t>
        </is>
      </c>
      <c r="X6" s="65" t="inlineStr">
        <is>
          <t>from S490_Snapshot, never BDP</t>
        </is>
      </c>
      <c r="AA6" s="65" t="inlineStr">
        <is>
          <t>Targets live on S490_Snapshot.</t>
        </is>
      </c>
    </row>
    <row r="7" ht="30" customHeight="1">
      <c r="A7" s="140" t="inlineStr">
        <is>
          <t>Tenor</t>
        </is>
      </c>
      <c r="B7" s="140" t="inlineStr">
        <is>
          <t>Maturity date</t>
        </is>
      </c>
      <c r="C7" s="140" t="inlineStr">
        <is>
          <t>T (yrs)</t>
        </is>
      </c>
      <c r="D7" s="140" t="inlineStr">
        <is>
          <t>tau0 spot→mat</t>
        </is>
      </c>
      <c r="E7" s="141" t="inlineStr">
        <is>
          <t>Par rate S (%) dynamic</t>
        </is>
      </c>
      <c r="F7" s="140" t="inlineStr">
        <is>
          <t>tau coupon</t>
        </is>
      </c>
      <c r="G7" s="140" t="inlineStr">
        <is>
          <t>Annuity A(prior)</t>
        </is>
      </c>
      <c r="H7" s="140" t="inlineStr">
        <is>
          <t>Discount factor</t>
        </is>
      </c>
      <c r="I7" s="140" t="inlineStr">
        <is>
          <t>Ann.add tau·DF</t>
        </is>
      </c>
      <c r="J7" s="140" t="inlineStr">
        <is>
          <t>Zero rate (%) cont.</t>
        </is>
      </c>
      <c r="K7" s="140" t="inlineStr">
        <is>
          <t>Fwd rate (%)</t>
        </is>
      </c>
      <c r="L7" s="140" t="inlineStr">
        <is>
          <t>S490 zero (%) [paste]</t>
        </is>
      </c>
      <c r="M7" s="140" t="inlineStr">
        <is>
          <t>Δ vs S490 (bp)</t>
        </is>
      </c>
      <c r="N7" s="140" t="inlineStr">
        <is>
          <t>DF source</t>
        </is>
      </c>
      <c r="P7" s="13" t="inlineStr">
        <is>
          <t>yr</t>
        </is>
      </c>
      <c r="Q7" s="13" t="inlineStr">
        <is>
          <t>quoted %</t>
        </is>
      </c>
      <c r="R7" s="141" t="inlineStr">
        <is>
          <t>Par check (~0)</t>
        </is>
      </c>
      <c r="S7" s="140" t="inlineStr">
        <is>
          <t>Annuity  Σα·DF</t>
        </is>
      </c>
      <c r="T7" s="141" t="inlineStr">
        <is>
          <t>Zero (S490)</t>
        </is>
      </c>
      <c r="U7" s="141" t="inlineStr">
        <is>
          <t>DF (S490)</t>
        </is>
      </c>
      <c r="V7" s="141" t="inlineStr">
        <is>
          <t>d zero (bp)</t>
        </is>
      </c>
      <c r="W7" s="141" t="inlineStr">
        <is>
          <t>d DF</t>
        </is>
      </c>
      <c r="X7" s="141" t="inlineStr">
        <is>
          <t>Par rate S hard-coded (%)</t>
        </is>
      </c>
      <c r="Y7" s="141" t="inlineStr">
        <is>
          <t>d in-use vs fixed (bp)</t>
        </is>
      </c>
      <c r="AA7" s="62" t="n"/>
      <c r="AB7" s="62" t="n"/>
      <c r="AC7" s="62" t="n"/>
      <c r="AD7" s="62" t="n"/>
    </row>
    <row r="8">
      <c r="A8" s="6" t="inlineStr">
        <is>
          <t>1W</t>
        </is>
      </c>
      <c r="B8" s="112">
        <f>IF(MONTH((($B$4+7)+IF(WEEKDAY(($B$4+7),2)=6,2,IF(WEEKDAY(($B$4+7),2)=7,1,0))))&lt;&gt;MONTH(($B$4+7)),(($B$4+7)-IF(WEEKDAY(($B$4+7),2)=6,1,IF(WEEKDAY(($B$4+7),2)=7,2,0))),(($B$4+7)+IF(WEEKDAY(($B$4+7),2)=6,2,IF(WEEKDAY(($B$4+7),2)=7,1,0))))</f>
        <v/>
      </c>
      <c r="C8" s="34">
        <f>(B8-VAL_DATE)/365</f>
        <v/>
      </c>
      <c r="D8" s="80">
        <f>(B8-VAL_DATE)/360</f>
        <v/>
      </c>
      <c r="E8" s="17">
        <f>'SOFR_OIS_Quotes'!$H5</f>
        <v/>
      </c>
      <c r="F8" s="6" t="n"/>
      <c r="G8" s="36" t="n">
        <v>0</v>
      </c>
      <c r="H8" s="29">
        <f>$D$4/(1+(E8/100)*D8)</f>
        <v/>
      </c>
      <c r="I8" s="36" t="n">
        <v>0</v>
      </c>
      <c r="J8" s="17">
        <f>-LN(H8)/C8*100</f>
        <v/>
      </c>
      <c r="K8" s="17">
        <f>(1/H8-1)/D8*100</f>
        <v/>
      </c>
      <c r="L8" s="30" t="n"/>
      <c r="M8" s="28">
        <f>IF(L8="","",(J8-L8)*100)</f>
        <v/>
      </c>
      <c r="N8" s="6" t="inlineStr">
        <is>
          <t>market</t>
        </is>
      </c>
      <c r="P8" s="32" t="n">
        <v>1</v>
      </c>
      <c r="Q8" s="33">
        <f>'SOFR_OIS_Quotes'!$H19</f>
        <v/>
      </c>
      <c r="S8" s="36">
        <f>(D8*H8)</f>
        <v/>
      </c>
      <c r="T8" s="63">
        <f>IFERROR(INDEX(S490_Snapshot!$D$7:$D$38,MATCH(B8,S490_Snapshot!$A$7:$A$38,0)),"")</f>
        <v/>
      </c>
      <c r="U8" s="80">
        <f>IFERROR(INDEX(S490_Snapshot!$E$7:$E$38,MATCH(B8,S490_Snapshot!$A$7:$A$38,0)),"")</f>
        <v/>
      </c>
      <c r="V8" s="89">
        <f>IF(T8="","",(J8-T8)*100)</f>
        <v/>
      </c>
      <c r="W8" s="72">
        <f>IF(U8="","",H8-U8)</f>
        <v/>
      </c>
      <c r="X8" s="63">
        <f>IFERROR(INDEX(S490_Snapshot!$C$7:$C$38,MATCH(B8,S490_Snapshot!$A$7:$A$38,0)),"")</f>
        <v/>
      </c>
      <c r="Y8" s="89">
        <f>IF(OR(X8="",NOT(ISNUMBER(E8))),"",(E8-X8)*100)</f>
        <v/>
      </c>
      <c r="AA8" s="88" t="n"/>
      <c r="AB8" s="85" t="n"/>
      <c r="AC8" s="85" t="n"/>
      <c r="AD8" s="69" t="n"/>
    </row>
    <row r="9">
      <c r="A9" s="6" t="inlineStr">
        <is>
          <t>2W</t>
        </is>
      </c>
      <c r="B9" s="112">
        <f>IF(MONTH((($B$4+14)+IF(WEEKDAY(($B$4+14),2)=6,2,IF(WEEKDAY(($B$4+14),2)=7,1,0))))&lt;&gt;MONTH(($B$4+14)),(($B$4+14)-IF(WEEKDAY(($B$4+14),2)=6,1,IF(WEEKDAY(($B$4+14),2)=7,2,0))),(($B$4+14)+IF(WEEKDAY(($B$4+14),2)=6,2,IF(WEEKDAY(($B$4+14),2)=7,1,0))))</f>
        <v/>
      </c>
      <c r="C9" s="34">
        <f>(B9-VAL_DATE)/365</f>
        <v/>
      </c>
      <c r="D9" s="80">
        <f>(B9-VAL_DATE)/360</f>
        <v/>
      </c>
      <c r="E9" s="17">
        <f>'SOFR_OIS_Quotes'!$H6</f>
        <v/>
      </c>
      <c r="F9" s="6" t="n"/>
      <c r="G9" s="36">
        <f>SUM($I$8:I8)</f>
        <v/>
      </c>
      <c r="H9" s="29">
        <f>$D$4/(1+(E9/100)*D9)</f>
        <v/>
      </c>
      <c r="I9" s="36" t="n">
        <v>0</v>
      </c>
      <c r="J9" s="17">
        <f>-LN(H9)/C9*100</f>
        <v/>
      </c>
      <c r="K9" s="17">
        <f>(H8/H9-1)/((B9-B8)/360)*100</f>
        <v/>
      </c>
      <c r="L9" s="30" t="n"/>
      <c r="M9" s="28">
        <f>IF(L9="","",(J9-L9)*100)</f>
        <v/>
      </c>
      <c r="N9" s="6" t="inlineStr">
        <is>
          <t>market</t>
        </is>
      </c>
      <c r="P9" s="32" t="n">
        <v>2</v>
      </c>
      <c r="Q9" s="33">
        <f>'SOFR_OIS_Quotes'!$H21</f>
        <v/>
      </c>
      <c r="S9" s="36">
        <f>(D9*H9)</f>
        <v/>
      </c>
      <c r="T9" s="63">
        <f>IFERROR(INDEX(S490_Snapshot!$D$7:$D$38,MATCH(B9,S490_Snapshot!$A$7:$A$38,0)),"")</f>
        <v/>
      </c>
      <c r="U9" s="80">
        <f>IFERROR(INDEX(S490_Snapshot!$E$7:$E$38,MATCH(B9,S490_Snapshot!$A$7:$A$38,0)),"")</f>
        <v/>
      </c>
      <c r="V9" s="89">
        <f>IF(T9="","",(J9-T9)*100)</f>
        <v/>
      </c>
      <c r="W9" s="72">
        <f>IF(U9="","",H9-U9)</f>
        <v/>
      </c>
      <c r="X9" s="63">
        <f>IFERROR(INDEX(S490_Snapshot!$C$7:$C$38,MATCH(B9,S490_Snapshot!$A$7:$A$38,0)),"")</f>
        <v/>
      </c>
      <c r="Y9" s="89">
        <f>IF(OR(X9="",NOT(ISNUMBER(E9))),"",(E9-X9)*100)</f>
        <v/>
      </c>
      <c r="AA9" s="88" t="n"/>
      <c r="AB9" s="85" t="n"/>
      <c r="AC9" s="85" t="n"/>
      <c r="AD9" s="69" t="n"/>
    </row>
    <row r="10">
      <c r="A10" s="6" t="inlineStr">
        <is>
          <t>3W</t>
        </is>
      </c>
      <c r="B10" s="112">
        <f>IF(MONTH((($B$4+21)+IF(WEEKDAY(($B$4+21),2)=6,2,IF(WEEKDAY(($B$4+21),2)=7,1,0))))&lt;&gt;MONTH(($B$4+21)),(($B$4+21)-IF(WEEKDAY(($B$4+21),2)=6,1,IF(WEEKDAY(($B$4+21),2)=7,2,0))),(($B$4+21)+IF(WEEKDAY(($B$4+21),2)=6,2,IF(WEEKDAY(($B$4+21),2)=7,1,0))))</f>
        <v/>
      </c>
      <c r="C10" s="34">
        <f>(B10-VAL_DATE)/365</f>
        <v/>
      </c>
      <c r="D10" s="80">
        <f>(B10-VAL_DATE)/360</f>
        <v/>
      </c>
      <c r="E10" s="17">
        <f>'SOFR_OIS_Quotes'!$H7</f>
        <v/>
      </c>
      <c r="F10" s="6" t="n"/>
      <c r="G10" s="36">
        <f>SUM($I$8:I9)</f>
        <v/>
      </c>
      <c r="H10" s="29">
        <f>$D$4/(1+(E10/100)*D10)</f>
        <v/>
      </c>
      <c r="I10" s="36" t="n">
        <v>0</v>
      </c>
      <c r="J10" s="17">
        <f>-LN(H10)/C10*100</f>
        <v/>
      </c>
      <c r="K10" s="17">
        <f>(H9/H10-1)/((B10-B9)/360)*100</f>
        <v/>
      </c>
      <c r="L10" s="30" t="n"/>
      <c r="M10" s="28">
        <f>IF(L10="","",(J10-L10)*100)</f>
        <v/>
      </c>
      <c r="N10" s="6" t="inlineStr">
        <is>
          <t>market</t>
        </is>
      </c>
      <c r="P10" s="32" t="n">
        <v>3</v>
      </c>
      <c r="Q10" s="33">
        <f>'SOFR_OIS_Quotes'!$H22</f>
        <v/>
      </c>
      <c r="S10" s="36">
        <f>(D10*H10)</f>
        <v/>
      </c>
      <c r="T10" s="63">
        <f>IFERROR(INDEX(S490_Snapshot!$D$7:$D$38,MATCH(B10,S490_Snapshot!$A$7:$A$38,0)),"")</f>
        <v/>
      </c>
      <c r="U10" s="80">
        <f>IFERROR(INDEX(S490_Snapshot!$E$7:$E$38,MATCH(B10,S490_Snapshot!$A$7:$A$38,0)),"")</f>
        <v/>
      </c>
      <c r="V10" s="89">
        <f>IF(T10="","",(J10-T10)*100)</f>
        <v/>
      </c>
      <c r="W10" s="72">
        <f>IF(U10="","",H10-U10)</f>
        <v/>
      </c>
      <c r="X10" s="63">
        <f>IFERROR(INDEX(S490_Snapshot!$C$7:$C$38,MATCH(B10,S490_Snapshot!$A$7:$A$38,0)),"")</f>
        <v/>
      </c>
      <c r="Y10" s="89">
        <f>IF(OR(X10="",NOT(ISNUMBER(E10))),"",(E10-X10)*100)</f>
        <v/>
      </c>
      <c r="AA10" s="88" t="n"/>
      <c r="AB10" s="85" t="n"/>
      <c r="AC10" s="85" t="n"/>
      <c r="AD10" s="69" t="n"/>
    </row>
    <row r="11">
      <c r="A11" s="6" t="inlineStr">
        <is>
          <t>1M</t>
        </is>
      </c>
      <c r="B11" s="112">
        <f>IF(MONTH(((EDATE($B$4,1))+IF(WEEKDAY((EDATE($B$4,1)),2)=6,2,IF(WEEKDAY((EDATE($B$4,1)),2)=7,1,0))))&lt;&gt;MONTH((EDATE($B$4,1))),((EDATE($B$4,1))-IF(WEEKDAY((EDATE($B$4,1)),2)=6,1,IF(WEEKDAY((EDATE($B$4,1)),2)=7,2,0))),((EDATE($B$4,1))+IF(WEEKDAY((EDATE($B$4,1)),2)=6,2,IF(WEEKDAY((EDATE($B$4,1)),2)=7,1,0))))</f>
        <v/>
      </c>
      <c r="C11" s="34">
        <f>(B11-VAL_DATE)/365</f>
        <v/>
      </c>
      <c r="D11" s="80">
        <f>(B11-VAL_DATE)/360</f>
        <v/>
      </c>
      <c r="E11" s="17">
        <f>'SOFR_OIS_Quotes'!$H8</f>
        <v/>
      </c>
      <c r="F11" s="6" t="n"/>
      <c r="G11" s="36">
        <f>SUM($I$8:I10)</f>
        <v/>
      </c>
      <c r="H11" s="29">
        <f>$D$4/(1+(E11/100)*D11)</f>
        <v/>
      </c>
      <c r="I11" s="36" t="n">
        <v>0</v>
      </c>
      <c r="J11" s="17">
        <f>-LN(H11)/C11*100</f>
        <v/>
      </c>
      <c r="K11" s="17">
        <f>(H10/H11-1)/((B11-B10)/360)*100</f>
        <v/>
      </c>
      <c r="L11" s="30" t="n"/>
      <c r="M11" s="28">
        <f>IF(L11="","",(J11-L11)*100)</f>
        <v/>
      </c>
      <c r="N11" s="6" t="inlineStr">
        <is>
          <t>market</t>
        </is>
      </c>
      <c r="P11" s="32" t="n">
        <v>4</v>
      </c>
      <c r="Q11" s="33">
        <f>'SOFR_OIS_Quotes'!$H23</f>
        <v/>
      </c>
      <c r="S11" s="36">
        <f>(D11*H11)</f>
        <v/>
      </c>
      <c r="T11" s="63">
        <f>IFERROR(INDEX(S490_Snapshot!$D$7:$D$38,MATCH(B11,S490_Snapshot!$A$7:$A$38,0)),"")</f>
        <v/>
      </c>
      <c r="U11" s="80">
        <f>IFERROR(INDEX(S490_Snapshot!$E$7:$E$38,MATCH(B11,S490_Snapshot!$A$7:$A$38,0)),"")</f>
        <v/>
      </c>
      <c r="V11" s="89">
        <f>IF(T11="","",(J11-T11)*100)</f>
        <v/>
      </c>
      <c r="W11" s="72">
        <f>IF(U11="","",H11-U11)</f>
        <v/>
      </c>
      <c r="X11" s="63">
        <f>IFERROR(INDEX(S490_Snapshot!$C$7:$C$38,MATCH(B11,S490_Snapshot!$A$7:$A$38,0)),"")</f>
        <v/>
      </c>
      <c r="Y11" s="89">
        <f>IF(OR(X11="",NOT(ISNUMBER(E11))),"",(E11-X11)*100)</f>
        <v/>
      </c>
      <c r="AA11" s="88" t="n"/>
      <c r="AB11" s="85" t="n"/>
      <c r="AC11" s="85" t="n"/>
      <c r="AD11" s="69" t="n"/>
    </row>
    <row r="12">
      <c r="A12" s="6" t="inlineStr">
        <is>
          <t>2M</t>
        </is>
      </c>
      <c r="B12" s="112">
        <f>IF(MONTH(((EDATE($B$4,2))+IF(WEEKDAY((EDATE($B$4,2)),2)=6,2,IF(WEEKDAY((EDATE($B$4,2)),2)=7,1,0))))&lt;&gt;MONTH((EDATE($B$4,2))),((EDATE($B$4,2))-IF(WEEKDAY((EDATE($B$4,2)),2)=6,1,IF(WEEKDAY((EDATE($B$4,2)),2)=7,2,0))),((EDATE($B$4,2))+IF(WEEKDAY((EDATE($B$4,2)),2)=6,2,IF(WEEKDAY((EDATE($B$4,2)),2)=7,1,0))))</f>
        <v/>
      </c>
      <c r="C12" s="34">
        <f>(B12-VAL_DATE)/365</f>
        <v/>
      </c>
      <c r="D12" s="80">
        <f>(B12-VAL_DATE)/360</f>
        <v/>
      </c>
      <c r="E12" s="17">
        <f>'SOFR_OIS_Quotes'!$H9</f>
        <v/>
      </c>
      <c r="F12" s="6" t="n"/>
      <c r="G12" s="36">
        <f>SUM($I$8:I11)</f>
        <v/>
      </c>
      <c r="H12" s="29">
        <f>$D$4/(1+(E12/100)*D12)</f>
        <v/>
      </c>
      <c r="I12" s="36" t="n">
        <v>0</v>
      </c>
      <c r="J12" s="17">
        <f>-LN(H12)/C12*100</f>
        <v/>
      </c>
      <c r="K12" s="17">
        <f>(H11/H12-1)/((B12-B11)/360)*100</f>
        <v/>
      </c>
      <c r="L12" s="30" t="n"/>
      <c r="M12" s="28">
        <f>IF(L12="","",(J12-L12)*100)</f>
        <v/>
      </c>
      <c r="N12" s="6" t="inlineStr">
        <is>
          <t>market</t>
        </is>
      </c>
      <c r="P12" s="32" t="n">
        <v>5</v>
      </c>
      <c r="Q12" s="33">
        <f>'SOFR_OIS_Quotes'!$H24</f>
        <v/>
      </c>
      <c r="S12" s="36">
        <f>(D12*H12)</f>
        <v/>
      </c>
      <c r="T12" s="63">
        <f>IFERROR(INDEX(S490_Snapshot!$D$7:$D$38,MATCH(B12,S490_Snapshot!$A$7:$A$38,0)),"")</f>
        <v/>
      </c>
      <c r="U12" s="80">
        <f>IFERROR(INDEX(S490_Snapshot!$E$7:$E$38,MATCH(B12,S490_Snapshot!$A$7:$A$38,0)),"")</f>
        <v/>
      </c>
      <c r="V12" s="89">
        <f>IF(T12="","",(J12-T12)*100)</f>
        <v/>
      </c>
      <c r="W12" s="72">
        <f>IF(U12="","",H12-U12)</f>
        <v/>
      </c>
      <c r="X12" s="63">
        <f>IFERROR(INDEX(S490_Snapshot!$C$7:$C$38,MATCH(B12,S490_Snapshot!$A$7:$A$38,0)),"")</f>
        <v/>
      </c>
      <c r="Y12" s="89">
        <f>IF(OR(X12="",NOT(ISNUMBER(E12))),"",(E12-X12)*100)</f>
        <v/>
      </c>
      <c r="AA12" s="88" t="n"/>
      <c r="AB12" s="85" t="n"/>
      <c r="AC12" s="85" t="n"/>
      <c r="AD12" s="69" t="n"/>
    </row>
    <row r="13">
      <c r="A13" s="6" t="inlineStr">
        <is>
          <t>3M</t>
        </is>
      </c>
      <c r="B13" s="112">
        <f>IF(MONTH(((EDATE($B$4,3))+IF(WEEKDAY((EDATE($B$4,3)),2)=6,2,IF(WEEKDAY((EDATE($B$4,3)),2)=7,1,0))))&lt;&gt;MONTH((EDATE($B$4,3))),((EDATE($B$4,3))-IF(WEEKDAY((EDATE($B$4,3)),2)=6,1,IF(WEEKDAY((EDATE($B$4,3)),2)=7,2,0))),((EDATE($B$4,3))+IF(WEEKDAY((EDATE($B$4,3)),2)=6,2,IF(WEEKDAY((EDATE($B$4,3)),2)=7,1,0))))</f>
        <v/>
      </c>
      <c r="C13" s="34">
        <f>(B13-VAL_DATE)/365</f>
        <v/>
      </c>
      <c r="D13" s="80">
        <f>(B13-VAL_DATE)/360</f>
        <v/>
      </c>
      <c r="E13" s="17">
        <f>'SOFR_OIS_Quotes'!$H10</f>
        <v/>
      </c>
      <c r="F13" s="6" t="n"/>
      <c r="G13" s="36">
        <f>SUM($I$8:I12)</f>
        <v/>
      </c>
      <c r="H13" s="29">
        <f>$D$4/(1+(E13/100)*D13)</f>
        <v/>
      </c>
      <c r="I13" s="36" t="n">
        <v>0</v>
      </c>
      <c r="J13" s="17">
        <f>-LN(H13)/C13*100</f>
        <v/>
      </c>
      <c r="K13" s="17">
        <f>(H12/H13-1)/((B13-B12)/360)*100</f>
        <v/>
      </c>
      <c r="L13" s="30" t="n"/>
      <c r="M13" s="28">
        <f>IF(L13="","",(J13-L13)*100)</f>
        <v/>
      </c>
      <c r="N13" s="6" t="inlineStr">
        <is>
          <t>market</t>
        </is>
      </c>
      <c r="P13" s="32" t="n">
        <v>6</v>
      </c>
      <c r="Q13" s="33">
        <f>'SOFR_OIS_Quotes'!$H25</f>
        <v/>
      </c>
      <c r="S13" s="36">
        <f>(D13*H13)</f>
        <v/>
      </c>
      <c r="T13" s="63">
        <f>IFERROR(INDEX(S490_Snapshot!$D$7:$D$38,MATCH(B13,S490_Snapshot!$A$7:$A$38,0)),"")</f>
        <v/>
      </c>
      <c r="U13" s="80">
        <f>IFERROR(INDEX(S490_Snapshot!$E$7:$E$38,MATCH(B13,S490_Snapshot!$A$7:$A$38,0)),"")</f>
        <v/>
      </c>
      <c r="V13" s="89">
        <f>IF(T13="","",(J13-T13)*100)</f>
        <v/>
      </c>
      <c r="W13" s="72">
        <f>IF(U13="","",H13-U13)</f>
        <v/>
      </c>
      <c r="X13" s="63">
        <f>IFERROR(INDEX(S490_Snapshot!$C$7:$C$38,MATCH(B13,S490_Snapshot!$A$7:$A$38,0)),"")</f>
        <v/>
      </c>
      <c r="Y13" s="89">
        <f>IF(OR(X13="",NOT(ISNUMBER(E13))),"",(E13-X13)*100)</f>
        <v/>
      </c>
      <c r="AA13" s="88" t="n"/>
      <c r="AB13" s="85" t="n"/>
      <c r="AC13" s="85" t="n"/>
      <c r="AD13" s="69" t="n"/>
    </row>
    <row r="14">
      <c r="A14" s="6" t="inlineStr">
        <is>
          <t>4M</t>
        </is>
      </c>
      <c r="B14" s="112">
        <f>IF(MONTH(((EDATE($B$4,4))+IF(WEEKDAY((EDATE($B$4,4)),2)=6,2,IF(WEEKDAY((EDATE($B$4,4)),2)=7,1,0))))&lt;&gt;MONTH((EDATE($B$4,4))),((EDATE($B$4,4))-IF(WEEKDAY((EDATE($B$4,4)),2)=6,1,IF(WEEKDAY((EDATE($B$4,4)),2)=7,2,0))),((EDATE($B$4,4))+IF(WEEKDAY((EDATE($B$4,4)),2)=6,2,IF(WEEKDAY((EDATE($B$4,4)),2)=7,1,0))))</f>
        <v/>
      </c>
      <c r="C14" s="34">
        <f>(B14-VAL_DATE)/365</f>
        <v/>
      </c>
      <c r="D14" s="80">
        <f>(B14-VAL_DATE)/360</f>
        <v/>
      </c>
      <c r="E14" s="17">
        <f>'SOFR_OIS_Quotes'!$H11</f>
        <v/>
      </c>
      <c r="F14" s="6" t="n"/>
      <c r="G14" s="36">
        <f>SUM($I$8:I13)</f>
        <v/>
      </c>
      <c r="H14" s="29">
        <f>$D$4/(1+(E14/100)*D14)</f>
        <v/>
      </c>
      <c r="I14" s="36" t="n">
        <v>0</v>
      </c>
      <c r="J14" s="17">
        <f>-LN(H14)/C14*100</f>
        <v/>
      </c>
      <c r="K14" s="17">
        <f>(H13/H14-1)/((B14-B13)/360)*100</f>
        <v/>
      </c>
      <c r="L14" s="30" t="n"/>
      <c r="M14" s="28">
        <f>IF(L14="","",(J14-L14)*100)</f>
        <v/>
      </c>
      <c r="N14" s="6" t="inlineStr">
        <is>
          <t>market</t>
        </is>
      </c>
      <c r="P14" s="32" t="n">
        <v>7</v>
      </c>
      <c r="Q14" s="33">
        <f>'SOFR_OIS_Quotes'!$H26</f>
        <v/>
      </c>
      <c r="S14" s="36">
        <f>(D14*H14)</f>
        <v/>
      </c>
      <c r="T14" s="63">
        <f>IFERROR(INDEX(S490_Snapshot!$D$7:$D$38,MATCH(B14,S490_Snapshot!$A$7:$A$38,0)),"")</f>
        <v/>
      </c>
      <c r="U14" s="80">
        <f>IFERROR(INDEX(S490_Snapshot!$E$7:$E$38,MATCH(B14,S490_Snapshot!$A$7:$A$38,0)),"")</f>
        <v/>
      </c>
      <c r="V14" s="89">
        <f>IF(T14="","",(J14-T14)*100)</f>
        <v/>
      </c>
      <c r="W14" s="72">
        <f>IF(U14="","",H14-U14)</f>
        <v/>
      </c>
      <c r="X14" s="63">
        <f>IFERROR(INDEX(S490_Snapshot!$C$7:$C$38,MATCH(B14,S490_Snapshot!$A$7:$A$38,0)),"")</f>
        <v/>
      </c>
      <c r="Y14" s="89">
        <f>IF(OR(X14="",NOT(ISNUMBER(E14))),"",(E14-X14)*100)</f>
        <v/>
      </c>
      <c r="AA14" s="88" t="n"/>
      <c r="AB14" s="85" t="n"/>
      <c r="AC14" s="85" t="n"/>
      <c r="AD14" s="69" t="n"/>
    </row>
    <row r="15">
      <c r="A15" s="6" t="inlineStr">
        <is>
          <t>5M</t>
        </is>
      </c>
      <c r="B15" s="112">
        <f>IF(MONTH(((EDATE($B$4,5))+IF(WEEKDAY((EDATE($B$4,5)),2)=6,2,IF(WEEKDAY((EDATE($B$4,5)),2)=7,1,0))))&lt;&gt;MONTH((EDATE($B$4,5))),((EDATE($B$4,5))-IF(WEEKDAY((EDATE($B$4,5)),2)=6,1,IF(WEEKDAY((EDATE($B$4,5)),2)=7,2,0))),((EDATE($B$4,5))+IF(WEEKDAY((EDATE($B$4,5)),2)=6,2,IF(WEEKDAY((EDATE($B$4,5)),2)=7,1,0))))</f>
        <v/>
      </c>
      <c r="C15" s="34">
        <f>(B15-VAL_DATE)/365</f>
        <v/>
      </c>
      <c r="D15" s="80">
        <f>(B15-VAL_DATE)/360</f>
        <v/>
      </c>
      <c r="E15" s="17">
        <f>'SOFR_OIS_Quotes'!$H12</f>
        <v/>
      </c>
      <c r="F15" s="6" t="n"/>
      <c r="G15" s="36">
        <f>SUM($I$8:I14)</f>
        <v/>
      </c>
      <c r="H15" s="29">
        <f>$D$4/(1+(E15/100)*D15)</f>
        <v/>
      </c>
      <c r="I15" s="36" t="n">
        <v>0</v>
      </c>
      <c r="J15" s="17">
        <f>-LN(H15)/C15*100</f>
        <v/>
      </c>
      <c r="K15" s="17">
        <f>(H14/H15-1)/((B15-B14)/360)*100</f>
        <v/>
      </c>
      <c r="L15" s="30" t="n"/>
      <c r="M15" s="28">
        <f>IF(L15="","",(J15-L15)*100)</f>
        <v/>
      </c>
      <c r="N15" s="6" t="inlineStr">
        <is>
          <t>market</t>
        </is>
      </c>
      <c r="P15" s="32" t="n">
        <v>8</v>
      </c>
      <c r="Q15" s="33">
        <f>'SOFR_OIS_Quotes'!$H27</f>
        <v/>
      </c>
      <c r="S15" s="36">
        <f>(D15*H15)</f>
        <v/>
      </c>
      <c r="T15" s="63">
        <f>IFERROR(INDEX(S490_Snapshot!$D$7:$D$38,MATCH(B15,S490_Snapshot!$A$7:$A$38,0)),"")</f>
        <v/>
      </c>
      <c r="U15" s="80">
        <f>IFERROR(INDEX(S490_Snapshot!$E$7:$E$38,MATCH(B15,S490_Snapshot!$A$7:$A$38,0)),"")</f>
        <v/>
      </c>
      <c r="V15" s="89">
        <f>IF(T15="","",(J15-T15)*100)</f>
        <v/>
      </c>
      <c r="W15" s="72">
        <f>IF(U15="","",H15-U15)</f>
        <v/>
      </c>
      <c r="X15" s="63">
        <f>IFERROR(INDEX(S490_Snapshot!$C$7:$C$38,MATCH(B15,S490_Snapshot!$A$7:$A$38,0)),"")</f>
        <v/>
      </c>
      <c r="Y15" s="89">
        <f>IF(OR(X15="",NOT(ISNUMBER(E15))),"",(E15-X15)*100)</f>
        <v/>
      </c>
      <c r="AA15" s="88" t="n"/>
      <c r="AB15" s="85" t="n"/>
      <c r="AC15" s="85" t="n"/>
      <c r="AD15" s="69" t="n"/>
    </row>
    <row r="16">
      <c r="A16" s="6" t="inlineStr">
        <is>
          <t>6M</t>
        </is>
      </c>
      <c r="B16" s="112">
        <f>IF(MONTH(((EDATE($B$4,6))+IF(WEEKDAY((EDATE($B$4,6)),2)=6,2,IF(WEEKDAY((EDATE($B$4,6)),2)=7,1,0))))&lt;&gt;MONTH((EDATE($B$4,6))),((EDATE($B$4,6))-IF(WEEKDAY((EDATE($B$4,6)),2)=6,1,IF(WEEKDAY((EDATE($B$4,6)),2)=7,2,0))),((EDATE($B$4,6))+IF(WEEKDAY((EDATE($B$4,6)),2)=6,2,IF(WEEKDAY((EDATE($B$4,6)),2)=7,1,0))))</f>
        <v/>
      </c>
      <c r="C16" s="34">
        <f>(B16-VAL_DATE)/365</f>
        <v/>
      </c>
      <c r="D16" s="80">
        <f>(B16-VAL_DATE)/360</f>
        <v/>
      </c>
      <c r="E16" s="17">
        <f>'SOFR_OIS_Quotes'!$H13</f>
        <v/>
      </c>
      <c r="F16" s="6" t="n"/>
      <c r="G16" s="36">
        <f>SUM($I$8:I15)</f>
        <v/>
      </c>
      <c r="H16" s="29">
        <f>$D$4/(1+(E16/100)*D16)</f>
        <v/>
      </c>
      <c r="I16" s="36" t="n">
        <v>0</v>
      </c>
      <c r="J16" s="17">
        <f>-LN(H16)/C16*100</f>
        <v/>
      </c>
      <c r="K16" s="17">
        <f>(H15/H16-1)/((B16-B15)/360)*100</f>
        <v/>
      </c>
      <c r="L16" s="30" t="n"/>
      <c r="M16" s="28">
        <f>IF(L16="","",(J16-L16)*100)</f>
        <v/>
      </c>
      <c r="N16" s="6" t="inlineStr">
        <is>
          <t>market</t>
        </is>
      </c>
      <c r="P16" s="32" t="n">
        <v>9</v>
      </c>
      <c r="Q16" s="33">
        <f>'SOFR_OIS_Quotes'!$H28</f>
        <v/>
      </c>
      <c r="S16" s="36">
        <f>(D16*H16)</f>
        <v/>
      </c>
      <c r="T16" s="63">
        <f>IFERROR(INDEX(S490_Snapshot!$D$7:$D$38,MATCH(B16,S490_Snapshot!$A$7:$A$38,0)),"")</f>
        <v/>
      </c>
      <c r="U16" s="80">
        <f>IFERROR(INDEX(S490_Snapshot!$E$7:$E$38,MATCH(B16,S490_Snapshot!$A$7:$A$38,0)),"")</f>
        <v/>
      </c>
      <c r="V16" s="89">
        <f>IF(T16="","",(J16-T16)*100)</f>
        <v/>
      </c>
      <c r="W16" s="72">
        <f>IF(U16="","",H16-U16)</f>
        <v/>
      </c>
      <c r="X16" s="63">
        <f>IFERROR(INDEX(S490_Snapshot!$C$7:$C$38,MATCH(B16,S490_Snapshot!$A$7:$A$38,0)),"")</f>
        <v/>
      </c>
      <c r="Y16" s="89">
        <f>IF(OR(X16="",NOT(ISNUMBER(E16))),"",(E16-X16)*100)</f>
        <v/>
      </c>
      <c r="AA16" s="88" t="n"/>
      <c r="AB16" s="85" t="n"/>
      <c r="AC16" s="85" t="n"/>
      <c r="AD16" s="69" t="n"/>
    </row>
    <row r="17">
      <c r="A17" s="6" t="inlineStr">
        <is>
          <t>7M</t>
        </is>
      </c>
      <c r="B17" s="112">
        <f>IF(MONTH(((EDATE($B$4,7))+IF(WEEKDAY((EDATE($B$4,7)),2)=6,2,IF(WEEKDAY((EDATE($B$4,7)),2)=7,1,0))))&lt;&gt;MONTH((EDATE($B$4,7))),((EDATE($B$4,7))-IF(WEEKDAY((EDATE($B$4,7)),2)=6,1,IF(WEEKDAY((EDATE($B$4,7)),2)=7,2,0))),((EDATE($B$4,7))+IF(WEEKDAY((EDATE($B$4,7)),2)=6,2,IF(WEEKDAY((EDATE($B$4,7)),2)=7,1,0))))</f>
        <v/>
      </c>
      <c r="C17" s="34">
        <f>(B17-VAL_DATE)/365</f>
        <v/>
      </c>
      <c r="D17" s="80">
        <f>(B17-VAL_DATE)/360</f>
        <v/>
      </c>
      <c r="E17" s="17">
        <f>'SOFR_OIS_Quotes'!$H14</f>
        <v/>
      </c>
      <c r="F17" s="6" t="n"/>
      <c r="G17" s="36">
        <f>SUM($I$8:I16)</f>
        <v/>
      </c>
      <c r="H17" s="29">
        <f>$D$4/(1+(E17/100)*D17)</f>
        <v/>
      </c>
      <c r="I17" s="36" t="n">
        <v>0</v>
      </c>
      <c r="J17" s="17">
        <f>-LN(H17)/C17*100</f>
        <v/>
      </c>
      <c r="K17" s="17">
        <f>(H16/H17-1)/((B17-B16)/360)*100</f>
        <v/>
      </c>
      <c r="L17" s="30" t="n"/>
      <c r="M17" s="28">
        <f>IF(L17="","",(J17-L17)*100)</f>
        <v/>
      </c>
      <c r="N17" s="6" t="inlineStr">
        <is>
          <t>market</t>
        </is>
      </c>
      <c r="P17" s="32" t="n">
        <v>10</v>
      </c>
      <c r="Q17" s="33">
        <f>'SOFR_OIS_Quotes'!$H29</f>
        <v/>
      </c>
      <c r="S17" s="36">
        <f>(D17*H17)</f>
        <v/>
      </c>
      <c r="T17" s="63">
        <f>IFERROR(INDEX(S490_Snapshot!$D$7:$D$38,MATCH(B17,S490_Snapshot!$A$7:$A$38,0)),"")</f>
        <v/>
      </c>
      <c r="U17" s="80">
        <f>IFERROR(INDEX(S490_Snapshot!$E$7:$E$38,MATCH(B17,S490_Snapshot!$A$7:$A$38,0)),"")</f>
        <v/>
      </c>
      <c r="V17" s="89">
        <f>IF(T17="","",(J17-T17)*100)</f>
        <v/>
      </c>
      <c r="W17" s="72">
        <f>IF(U17="","",H17-U17)</f>
        <v/>
      </c>
      <c r="X17" s="63">
        <f>IFERROR(INDEX(S490_Snapshot!$C$7:$C$38,MATCH(B17,S490_Snapshot!$A$7:$A$38,0)),"")</f>
        <v/>
      </c>
      <c r="Y17" s="89">
        <f>IF(OR(X17="",NOT(ISNUMBER(E17))),"",(E17-X17)*100)</f>
        <v/>
      </c>
      <c r="AA17" s="88" t="n"/>
      <c r="AB17" s="85" t="n"/>
      <c r="AC17" s="85" t="n"/>
      <c r="AD17" s="69" t="n"/>
    </row>
    <row r="18">
      <c r="A18" s="6" t="inlineStr">
        <is>
          <t>8M</t>
        </is>
      </c>
      <c r="B18" s="112">
        <f>IF(MONTH(((EDATE($B$4,8))+IF(WEEKDAY((EDATE($B$4,8)),2)=6,2,IF(WEEKDAY((EDATE($B$4,8)),2)=7,1,0))))&lt;&gt;MONTH((EDATE($B$4,8))),((EDATE($B$4,8))-IF(WEEKDAY((EDATE($B$4,8)),2)=6,1,IF(WEEKDAY((EDATE($B$4,8)),2)=7,2,0))),((EDATE($B$4,8))+IF(WEEKDAY((EDATE($B$4,8)),2)=6,2,IF(WEEKDAY((EDATE($B$4,8)),2)=7,1,0))))</f>
        <v/>
      </c>
      <c r="C18" s="34">
        <f>(B18-VAL_DATE)/365</f>
        <v/>
      </c>
      <c r="D18" s="80">
        <f>(B18-VAL_DATE)/360</f>
        <v/>
      </c>
      <c r="E18" s="17">
        <f>'SOFR_OIS_Quotes'!$H15</f>
        <v/>
      </c>
      <c r="F18" s="6" t="n"/>
      <c r="G18" s="36">
        <f>SUM($I$8:I17)</f>
        <v/>
      </c>
      <c r="H18" s="29">
        <f>$D$4/(1+(E18/100)*D18)</f>
        <v/>
      </c>
      <c r="I18" s="36" t="n">
        <v>0</v>
      </c>
      <c r="J18" s="17">
        <f>-LN(H18)/C18*100</f>
        <v/>
      </c>
      <c r="K18" s="17">
        <f>(H17/H18-1)/((B18-B17)/360)*100</f>
        <v/>
      </c>
      <c r="L18" s="30" t="n"/>
      <c r="M18" s="28">
        <f>IF(L18="","",(J18-L18)*100)</f>
        <v/>
      </c>
      <c r="N18" s="6" t="inlineStr">
        <is>
          <t>market</t>
        </is>
      </c>
      <c r="P18" s="32" t="n">
        <v>12</v>
      </c>
      <c r="Q18" s="33">
        <f>'SOFR_OIS_Quotes'!$H30</f>
        <v/>
      </c>
      <c r="S18" s="36">
        <f>(D18*H18)</f>
        <v/>
      </c>
      <c r="T18" s="63">
        <f>IFERROR(INDEX(S490_Snapshot!$D$7:$D$38,MATCH(B18,S490_Snapshot!$A$7:$A$38,0)),"")</f>
        <v/>
      </c>
      <c r="U18" s="80">
        <f>IFERROR(INDEX(S490_Snapshot!$E$7:$E$38,MATCH(B18,S490_Snapshot!$A$7:$A$38,0)),"")</f>
        <v/>
      </c>
      <c r="V18" s="89">
        <f>IF(T18="","",(J18-T18)*100)</f>
        <v/>
      </c>
      <c r="W18" s="72">
        <f>IF(U18="","",H18-U18)</f>
        <v/>
      </c>
      <c r="X18" s="63">
        <f>IFERROR(INDEX(S490_Snapshot!$C$7:$C$38,MATCH(B18,S490_Snapshot!$A$7:$A$38,0)),"")</f>
        <v/>
      </c>
      <c r="Y18" s="89">
        <f>IF(OR(X18="",NOT(ISNUMBER(E18))),"",(E18-X18)*100)</f>
        <v/>
      </c>
      <c r="AA18" s="88" t="n"/>
      <c r="AB18" s="85" t="n"/>
      <c r="AC18" s="85" t="n"/>
      <c r="AD18" s="69" t="n"/>
    </row>
    <row r="19">
      <c r="A19" s="6" t="inlineStr">
        <is>
          <t>9M</t>
        </is>
      </c>
      <c r="B19" s="112">
        <f>IF(MONTH(((EDATE($B$4,9))+IF(WEEKDAY((EDATE($B$4,9)),2)=6,2,IF(WEEKDAY((EDATE($B$4,9)),2)=7,1,0))))&lt;&gt;MONTH((EDATE($B$4,9))),((EDATE($B$4,9))-IF(WEEKDAY((EDATE($B$4,9)),2)=6,1,IF(WEEKDAY((EDATE($B$4,9)),2)=7,2,0))),((EDATE($B$4,9))+IF(WEEKDAY((EDATE($B$4,9)),2)=6,2,IF(WEEKDAY((EDATE($B$4,9)),2)=7,1,0))))</f>
        <v/>
      </c>
      <c r="C19" s="34">
        <f>(B19-VAL_DATE)/365</f>
        <v/>
      </c>
      <c r="D19" s="80">
        <f>(B19-VAL_DATE)/360</f>
        <v/>
      </c>
      <c r="E19" s="17">
        <f>'SOFR_OIS_Quotes'!$H16</f>
        <v/>
      </c>
      <c r="F19" s="6" t="n"/>
      <c r="G19" s="36">
        <f>SUM($I$8:I18)</f>
        <v/>
      </c>
      <c r="H19" s="29">
        <f>$D$4/(1+(E19/100)*D19)</f>
        <v/>
      </c>
      <c r="I19" s="36" t="n">
        <v>0</v>
      </c>
      <c r="J19" s="17">
        <f>-LN(H19)/C19*100</f>
        <v/>
      </c>
      <c r="K19" s="17">
        <f>(H18/H19-1)/((B19-B18)/360)*100</f>
        <v/>
      </c>
      <c r="L19" s="30" t="n"/>
      <c r="M19" s="28">
        <f>IF(L19="","",(J19-L19)*100)</f>
        <v/>
      </c>
      <c r="N19" s="6" t="inlineStr">
        <is>
          <t>market</t>
        </is>
      </c>
      <c r="P19" s="32" t="n">
        <v>15</v>
      </c>
      <c r="Q19" s="33">
        <f>'SOFR_OIS_Quotes'!$H31</f>
        <v/>
      </c>
      <c r="S19" s="36">
        <f>(D19*H19)</f>
        <v/>
      </c>
      <c r="T19" s="63">
        <f>IFERROR(INDEX(S490_Snapshot!$D$7:$D$38,MATCH(B19,S490_Snapshot!$A$7:$A$38,0)),"")</f>
        <v/>
      </c>
      <c r="U19" s="80">
        <f>IFERROR(INDEX(S490_Snapshot!$E$7:$E$38,MATCH(B19,S490_Snapshot!$A$7:$A$38,0)),"")</f>
        <v/>
      </c>
      <c r="V19" s="89">
        <f>IF(T19="","",(J19-T19)*100)</f>
        <v/>
      </c>
      <c r="W19" s="72">
        <f>IF(U19="","",H19-U19)</f>
        <v/>
      </c>
      <c r="X19" s="63">
        <f>IFERROR(INDEX(S490_Snapshot!$C$7:$C$38,MATCH(B19,S490_Snapshot!$A$7:$A$38,0)),"")</f>
        <v/>
      </c>
      <c r="Y19" s="89">
        <f>IF(OR(X19="",NOT(ISNUMBER(E19))),"",(E19-X19)*100)</f>
        <v/>
      </c>
      <c r="AA19" s="88" t="n"/>
      <c r="AB19" s="85" t="n"/>
      <c r="AC19" s="85" t="n"/>
      <c r="AD19" s="69" t="n"/>
    </row>
    <row r="20">
      <c r="A20" s="6" t="inlineStr">
        <is>
          <t>10M</t>
        </is>
      </c>
      <c r="B20" s="112">
        <f>IF(MONTH(((EDATE($B$4,10))+IF(WEEKDAY((EDATE($B$4,10)),2)=6,2,IF(WEEKDAY((EDATE($B$4,10)),2)=7,1,0))))&lt;&gt;MONTH((EDATE($B$4,10))),((EDATE($B$4,10))-IF(WEEKDAY((EDATE($B$4,10)),2)=6,1,IF(WEEKDAY((EDATE($B$4,10)),2)=7,2,0))),((EDATE($B$4,10))+IF(WEEKDAY((EDATE($B$4,10)),2)=6,2,IF(WEEKDAY((EDATE($B$4,10)),2)=7,1,0))))</f>
        <v/>
      </c>
      <c r="C20" s="34">
        <f>(B20-VAL_DATE)/365</f>
        <v/>
      </c>
      <c r="D20" s="80">
        <f>(B20-VAL_DATE)/360</f>
        <v/>
      </c>
      <c r="E20" s="17">
        <f>'SOFR_OIS_Quotes'!$H17</f>
        <v/>
      </c>
      <c r="F20" s="6" t="n"/>
      <c r="G20" s="36">
        <f>SUM($I$8:I19)</f>
        <v/>
      </c>
      <c r="H20" s="29">
        <f>$D$4/(1+(E20/100)*D20)</f>
        <v/>
      </c>
      <c r="I20" s="36" t="n">
        <v>0</v>
      </c>
      <c r="J20" s="17">
        <f>-LN(H20)/C20*100</f>
        <v/>
      </c>
      <c r="K20" s="17">
        <f>(H19/H20-1)/((B20-B19)/360)*100</f>
        <v/>
      </c>
      <c r="L20" s="30" t="n"/>
      <c r="M20" s="28">
        <f>IF(L20="","",(J20-L20)*100)</f>
        <v/>
      </c>
      <c r="N20" s="6" t="inlineStr">
        <is>
          <t>market</t>
        </is>
      </c>
      <c r="P20" s="32" t="n">
        <v>20</v>
      </c>
      <c r="Q20" s="33">
        <f>'SOFR_OIS_Quotes'!$H32</f>
        <v/>
      </c>
      <c r="S20" s="36">
        <f>(D20*H20)</f>
        <v/>
      </c>
      <c r="T20" s="63">
        <f>IFERROR(INDEX(S490_Snapshot!$D$7:$D$38,MATCH(B20,S490_Snapshot!$A$7:$A$38,0)),"")</f>
        <v/>
      </c>
      <c r="U20" s="80">
        <f>IFERROR(INDEX(S490_Snapshot!$E$7:$E$38,MATCH(B20,S490_Snapshot!$A$7:$A$38,0)),"")</f>
        <v/>
      </c>
      <c r="V20" s="89">
        <f>IF(T20="","",(J20-T20)*100)</f>
        <v/>
      </c>
      <c r="W20" s="72">
        <f>IF(U20="","",H20-U20)</f>
        <v/>
      </c>
      <c r="X20" s="63">
        <f>IFERROR(INDEX(S490_Snapshot!$C$7:$C$38,MATCH(B20,S490_Snapshot!$A$7:$A$38,0)),"")</f>
        <v/>
      </c>
      <c r="Y20" s="89">
        <f>IF(OR(X20="",NOT(ISNUMBER(E20))),"",(E20-X20)*100)</f>
        <v/>
      </c>
      <c r="AA20" s="88" t="n"/>
      <c r="AB20" s="85" t="n"/>
      <c r="AC20" s="85" t="n"/>
      <c r="AD20" s="69" t="n"/>
    </row>
    <row r="21">
      <c r="A21" s="6" t="inlineStr">
        <is>
          <t>11M</t>
        </is>
      </c>
      <c r="B21" s="112">
        <f>IF(MONTH(((EDATE($B$4,11))+IF(WEEKDAY((EDATE($B$4,11)),2)=6,2,IF(WEEKDAY((EDATE($B$4,11)),2)=7,1,0))))&lt;&gt;MONTH((EDATE($B$4,11))),((EDATE($B$4,11))-IF(WEEKDAY((EDATE($B$4,11)),2)=6,1,IF(WEEKDAY((EDATE($B$4,11)),2)=7,2,0))),((EDATE($B$4,11))+IF(WEEKDAY((EDATE($B$4,11)),2)=6,2,IF(WEEKDAY((EDATE($B$4,11)),2)=7,1,0))))</f>
        <v/>
      </c>
      <c r="C21" s="34">
        <f>(B21-VAL_DATE)/365</f>
        <v/>
      </c>
      <c r="D21" s="80">
        <f>(B21-VAL_DATE)/360</f>
        <v/>
      </c>
      <c r="E21" s="17">
        <f>'SOFR_OIS_Quotes'!$H18</f>
        <v/>
      </c>
      <c r="F21" s="6" t="n"/>
      <c r="G21" s="36">
        <f>SUM($I$8:I20)</f>
        <v/>
      </c>
      <c r="H21" s="29">
        <f>$D$4/(1+(E21/100)*D21)</f>
        <v/>
      </c>
      <c r="I21" s="36" t="n">
        <v>0</v>
      </c>
      <c r="J21" s="17">
        <f>-LN(H21)/C21*100</f>
        <v/>
      </c>
      <c r="K21" s="17">
        <f>(H20/H21-1)/((B21-B20)/360)*100</f>
        <v/>
      </c>
      <c r="L21" s="30" t="n"/>
      <c r="M21" s="28">
        <f>IF(L21="","",(J21-L21)*100)</f>
        <v/>
      </c>
      <c r="N21" s="6" t="inlineStr">
        <is>
          <t>market</t>
        </is>
      </c>
      <c r="P21" s="32" t="n">
        <v>25</v>
      </c>
      <c r="Q21" s="33">
        <f>'SOFR_OIS_Quotes'!$H33</f>
        <v/>
      </c>
      <c r="S21" s="36">
        <f>(D21*H21)</f>
        <v/>
      </c>
      <c r="T21" s="63">
        <f>IFERROR(INDEX(S490_Snapshot!$D$7:$D$38,MATCH(B21,S490_Snapshot!$A$7:$A$38,0)),"")</f>
        <v/>
      </c>
      <c r="U21" s="80">
        <f>IFERROR(INDEX(S490_Snapshot!$E$7:$E$38,MATCH(B21,S490_Snapshot!$A$7:$A$38,0)),"")</f>
        <v/>
      </c>
      <c r="V21" s="89">
        <f>IF(T21="","",(J21-T21)*100)</f>
        <v/>
      </c>
      <c r="W21" s="72">
        <f>IF(U21="","",H21-U21)</f>
        <v/>
      </c>
      <c r="X21" s="63">
        <f>IFERROR(INDEX(S490_Snapshot!$C$7:$C$38,MATCH(B21,S490_Snapshot!$A$7:$A$38,0)),"")</f>
        <v/>
      </c>
      <c r="Y21" s="89">
        <f>IF(OR(X21="",NOT(ISNUMBER(E21))),"",(E21-X21)*100)</f>
        <v/>
      </c>
      <c r="AA21" s="88" t="n"/>
      <c r="AB21" s="85" t="n"/>
      <c r="AC21" s="85" t="n"/>
      <c r="AD21" s="69" t="n"/>
    </row>
    <row r="22">
      <c r="A22" s="6" t="inlineStr">
        <is>
          <t>1Y</t>
        </is>
      </c>
      <c r="B22" s="112">
        <f>IF(MONTH(((EDATE($B$4,12))+IF(WEEKDAY((EDATE($B$4,12)),2)=6,2,IF(WEEKDAY((EDATE($B$4,12)),2)=7,1,0))))&lt;&gt;MONTH((EDATE($B$4,12))),((EDATE($B$4,12))-IF(WEEKDAY((EDATE($B$4,12)),2)=6,1,IF(WEEKDAY((EDATE($B$4,12)),2)=7,2,0))),((EDATE($B$4,12))+IF(WEEKDAY((EDATE($B$4,12)),2)=6,2,IF(WEEKDAY((EDATE($B$4,12)),2)=7,1,0))))</f>
        <v/>
      </c>
      <c r="C22" s="34">
        <f>(B22-VAL_DATE)/365</f>
        <v/>
      </c>
      <c r="D22" s="80">
        <f>(B22-VAL_DATE)/360</f>
        <v/>
      </c>
      <c r="E22" s="17">
        <f>'SOFR_OIS_Quotes'!$H19</f>
        <v/>
      </c>
      <c r="F22" s="34">
        <f>(B22-VAL_DATE)/360</f>
        <v/>
      </c>
      <c r="G22" s="36">
        <f>SUM($I$8:I21)</f>
        <v/>
      </c>
      <c r="H22" s="29">
        <f>$D$4/(1+(E22/100)*D22)</f>
        <v/>
      </c>
      <c r="I22" s="36">
        <f>F22*H22</f>
        <v/>
      </c>
      <c r="J22" s="17">
        <f>-LN(H22)/C22*100</f>
        <v/>
      </c>
      <c r="K22" s="17">
        <f>(H21/H22-1)/((B22-B21)/360)*100</f>
        <v/>
      </c>
      <c r="L22" s="30" t="n"/>
      <c r="M22" s="28">
        <f>IF(L22="","",(J22-L22)*100)</f>
        <v/>
      </c>
      <c r="N22" s="6" t="inlineStr">
        <is>
          <t>market</t>
        </is>
      </c>
      <c r="P22" s="32" t="n">
        <v>30</v>
      </c>
      <c r="Q22" s="33">
        <f>'SOFR_OIS_Quotes'!$H34</f>
        <v/>
      </c>
      <c r="S22" s="36">
        <f>(D22*H22)</f>
        <v/>
      </c>
      <c r="T22" s="63">
        <f>IFERROR(INDEX(S490_Snapshot!$D$7:$D$38,MATCH(B22,S490_Snapshot!$A$7:$A$38,0)),"")</f>
        <v/>
      </c>
      <c r="U22" s="80">
        <f>IFERROR(INDEX(S490_Snapshot!$E$7:$E$38,MATCH(B22,S490_Snapshot!$A$7:$A$38,0)),"")</f>
        <v/>
      </c>
      <c r="V22" s="89">
        <f>IF(T22="","",(J22-T22)*100)</f>
        <v/>
      </c>
      <c r="W22" s="72">
        <f>IF(U22="","",H22-U22)</f>
        <v/>
      </c>
      <c r="X22" s="63">
        <f>IFERROR(INDEX(S490_Snapshot!$C$7:$C$38,MATCH(B22,S490_Snapshot!$A$7:$A$38,0)),"")</f>
        <v/>
      </c>
      <c r="Y22" s="89">
        <f>IF(OR(X22="",NOT(ISNUMBER(E22))),"",(E22-X22)*100)</f>
        <v/>
      </c>
      <c r="AA22" s="88" t="n"/>
      <c r="AB22" s="85" t="n"/>
      <c r="AC22" s="85" t="n"/>
      <c r="AD22" s="69" t="n"/>
    </row>
    <row r="23">
      <c r="A23" s="6" t="inlineStr">
        <is>
          <t>18M</t>
        </is>
      </c>
      <c r="B23" s="112">
        <f>IF(MONTH(((EDATE($B$4,18))+IF(WEEKDAY((EDATE($B$4,18)),2)=6,2,IF(WEEKDAY((EDATE($B$4,18)),2)=7,1,0))))&lt;&gt;MONTH((EDATE($B$4,18))),((EDATE($B$4,18))-IF(WEEKDAY((EDATE($B$4,18)),2)=6,1,IF(WEEKDAY((EDATE($B$4,18)),2)=7,2,0))),((EDATE($B$4,18))+IF(WEEKDAY((EDATE($B$4,18)),2)=6,2,IF(WEEKDAY((EDATE($B$4,18)),2)=7,1,0))))</f>
        <v/>
      </c>
      <c r="C23" s="34">
        <f>(B23-VAL_DATE)/365</f>
        <v/>
      </c>
      <c r="D23" s="34">
        <f>(B23-$B$4)/360</f>
        <v/>
      </c>
      <c r="E23" s="17">
        <f>'SOFR_OIS_Quotes'!$H20</f>
        <v/>
      </c>
      <c r="F23" s="34">
        <f>(B23-$B$22)/360</f>
        <v/>
      </c>
      <c r="G23" s="36">
        <f>SUM($I$8:I22)</f>
        <v/>
      </c>
      <c r="H23" s="29">
        <f>($D$4-(E23/100)*G23)/(1+(E23/100)*F23)</f>
        <v/>
      </c>
      <c r="I23" s="36" t="n">
        <v>0</v>
      </c>
      <c r="J23" s="17">
        <f>-LN(H23)/C23*100</f>
        <v/>
      </c>
      <c r="K23" s="17">
        <f>(H22/H23-1)/((B23-B22)/360)*100</f>
        <v/>
      </c>
      <c r="L23" s="30" t="n"/>
      <c r="M23" s="28">
        <f>IF(L23="","",(J23-L23)*100)</f>
        <v/>
      </c>
      <c r="N23" s="6" t="inlineStr">
        <is>
          <t>market</t>
        </is>
      </c>
      <c r="P23" s="32" t="n">
        <v>40</v>
      </c>
      <c r="Q23" s="33">
        <f>'SOFR_OIS_Quotes'!$H35</f>
        <v/>
      </c>
      <c r="S23" s="36">
        <f>(G23+F23*H23)</f>
        <v/>
      </c>
      <c r="T23" s="63">
        <f>IFERROR(INDEX(S490_Snapshot!$D$7:$D$38,MATCH(B23,S490_Snapshot!$A$7:$A$38,0)),"")</f>
        <v/>
      </c>
      <c r="U23" s="80">
        <f>IFERROR(INDEX(S490_Snapshot!$E$7:$E$38,MATCH(B23,S490_Snapshot!$A$7:$A$38,0)),"")</f>
        <v/>
      </c>
      <c r="V23" s="89">
        <f>IF(T23="","",(J23-T23)*100)</f>
        <v/>
      </c>
      <c r="W23" s="72">
        <f>IF(U23="","",H23-U23)</f>
        <v/>
      </c>
      <c r="X23" s="63">
        <f>IFERROR(INDEX(S490_Snapshot!$C$7:$C$38,MATCH(B23,S490_Snapshot!$A$7:$A$38,0)),"")</f>
        <v/>
      </c>
      <c r="Y23" s="89">
        <f>IF(OR(X23="",NOT(ISNUMBER(E23))),"",(E23-X23)*100)</f>
        <v/>
      </c>
      <c r="AA23" s="88" t="n"/>
      <c r="AB23" s="85" t="n"/>
      <c r="AC23" s="85" t="n"/>
      <c r="AD23" s="69" t="n"/>
    </row>
    <row r="24">
      <c r="A24" s="6" t="inlineStr">
        <is>
          <t>2Y</t>
        </is>
      </c>
      <c r="B24" s="112">
        <f>IF(MONTH(((EDATE($B$4,24))+IF(WEEKDAY((EDATE($B$4,24)),2)=6,2,IF(WEEKDAY((EDATE($B$4,24)),2)=7,1,0))))&lt;&gt;MONTH((EDATE($B$4,24))),((EDATE($B$4,24))-IF(WEEKDAY((EDATE($B$4,24)),2)=6,1,IF(WEEKDAY((EDATE($B$4,24)),2)=7,2,0))),((EDATE($B$4,24))+IF(WEEKDAY((EDATE($B$4,24)),2)=6,2,IF(WEEKDAY((EDATE($B$4,24)),2)=7,1,0))))</f>
        <v/>
      </c>
      <c r="C24" s="34">
        <f>(B24-VAL_DATE)/365</f>
        <v/>
      </c>
      <c r="D24" s="34">
        <f>(B24-$B$4)/360</f>
        <v/>
      </c>
      <c r="E24" s="17">
        <f>'SOFR_OIS_Quotes'!$H21</f>
        <v/>
      </c>
      <c r="F24" s="34">
        <f>(B24-$B$22)/360</f>
        <v/>
      </c>
      <c r="G24" s="36">
        <f>SUM($I$8:I23)</f>
        <v/>
      </c>
      <c r="H24" s="29">
        <f>($D$4-(E24/100)*G24)/(1+(E24/100)*F24)</f>
        <v/>
      </c>
      <c r="I24" s="36">
        <f>F24*H24</f>
        <v/>
      </c>
      <c r="J24" s="17">
        <f>-LN(H24)/C24*100</f>
        <v/>
      </c>
      <c r="K24" s="17">
        <f>(H23/H24-1)/((B24-B23)/360)*100</f>
        <v/>
      </c>
      <c r="L24" s="30" t="n"/>
      <c r="M24" s="28">
        <f>IF(L24="","",(J24-L24)*100)</f>
        <v/>
      </c>
      <c r="N24" s="6" t="inlineStr">
        <is>
          <t>market</t>
        </is>
      </c>
      <c r="P24" s="32" t="n">
        <v>50</v>
      </c>
      <c r="Q24" s="33">
        <f>'SOFR_OIS_Quotes'!$H36</f>
        <v/>
      </c>
      <c r="S24" s="36">
        <f>(G24+F24*H24)</f>
        <v/>
      </c>
      <c r="T24" s="63">
        <f>IFERROR(INDEX(S490_Snapshot!$D$7:$D$38,MATCH(B24,S490_Snapshot!$A$7:$A$38,0)),"")</f>
        <v/>
      </c>
      <c r="U24" s="80">
        <f>IFERROR(INDEX(S490_Snapshot!$E$7:$E$38,MATCH(B24,S490_Snapshot!$A$7:$A$38,0)),"")</f>
        <v/>
      </c>
      <c r="V24" s="89">
        <f>IF(T24="","",(J24-T24)*100)</f>
        <v/>
      </c>
      <c r="W24" s="72">
        <f>IF(U24="","",H24-U24)</f>
        <v/>
      </c>
      <c r="X24" s="63">
        <f>IFERROR(INDEX(S490_Snapshot!$C$7:$C$38,MATCH(B24,S490_Snapshot!$A$7:$A$38,0)),"")</f>
        <v/>
      </c>
      <c r="Y24" s="89">
        <f>IF(OR(X24="",NOT(ISNUMBER(E24))),"",(E24-X24)*100)</f>
        <v/>
      </c>
      <c r="AA24" s="88" t="n"/>
      <c r="AB24" s="85" t="n"/>
      <c r="AC24" s="85" t="n"/>
      <c r="AD24" s="69" t="n"/>
    </row>
    <row r="25">
      <c r="A25" s="6" t="inlineStr">
        <is>
          <t>3Y</t>
        </is>
      </c>
      <c r="B25" s="112">
        <f>IF(MONTH(((EDATE($B$4,36))+IF(WEEKDAY((EDATE($B$4,36)),2)=6,2,IF(WEEKDAY((EDATE($B$4,36)),2)=7,1,0))))&lt;&gt;MONTH((EDATE($B$4,36))),((EDATE($B$4,36))-IF(WEEKDAY((EDATE($B$4,36)),2)=6,1,IF(WEEKDAY((EDATE($B$4,36)),2)=7,2,0))),((EDATE($B$4,36))+IF(WEEKDAY((EDATE($B$4,36)),2)=6,2,IF(WEEKDAY((EDATE($B$4,36)),2)=7,1,0))))</f>
        <v/>
      </c>
      <c r="C25" s="34">
        <f>(B25-VAL_DATE)/365</f>
        <v/>
      </c>
      <c r="D25" s="34">
        <f>(B25-$B$4)/360</f>
        <v/>
      </c>
      <c r="E25" s="17">
        <f>'SOFR_OIS_Quotes'!$H22</f>
        <v/>
      </c>
      <c r="F25" s="34">
        <f>(B25-$B$24)/360</f>
        <v/>
      </c>
      <c r="G25" s="36">
        <f>SUM($I$8:I24)</f>
        <v/>
      </c>
      <c r="H25" s="29">
        <f>($D$4-(E25/100)*G25)/(1+(E25/100)*F25)</f>
        <v/>
      </c>
      <c r="I25" s="36">
        <f>F25*H25</f>
        <v/>
      </c>
      <c r="J25" s="17">
        <f>-LN(H25)/C25*100</f>
        <v/>
      </c>
      <c r="K25" s="17">
        <f>(H24/H25-1)/((B25-B24)/360)*100</f>
        <v/>
      </c>
      <c r="L25" s="30" t="n"/>
      <c r="M25" s="28">
        <f>IF(L25="","",(J25-L25)*100)</f>
        <v/>
      </c>
      <c r="N25" s="6" t="inlineStr">
        <is>
          <t>market</t>
        </is>
      </c>
      <c r="S25" s="36">
        <f>(G25+F25*H25)</f>
        <v/>
      </c>
      <c r="T25" s="63">
        <f>IFERROR(INDEX(S490_Snapshot!$D$7:$D$38,MATCH(B25,S490_Snapshot!$A$7:$A$38,0)),"")</f>
        <v/>
      </c>
      <c r="U25" s="80">
        <f>IFERROR(INDEX(S490_Snapshot!$E$7:$E$38,MATCH(B25,S490_Snapshot!$A$7:$A$38,0)),"")</f>
        <v/>
      </c>
      <c r="V25" s="89">
        <f>IF(T25="","",(J25-T25)*100)</f>
        <v/>
      </c>
      <c r="W25" s="72">
        <f>IF(U25="","",H25-U25)</f>
        <v/>
      </c>
      <c r="X25" s="63">
        <f>IFERROR(INDEX(S490_Snapshot!$C$7:$C$38,MATCH(B25,S490_Snapshot!$A$7:$A$38,0)),"")</f>
        <v/>
      </c>
      <c r="Y25" s="89">
        <f>IF(OR(X25="",NOT(ISNUMBER(E25))),"",(E25-X25)*100)</f>
        <v/>
      </c>
      <c r="AA25" s="88" t="n"/>
      <c r="AB25" s="85" t="n"/>
      <c r="AC25" s="85" t="n"/>
      <c r="AD25" s="69" t="n"/>
    </row>
    <row r="26">
      <c r="A26" s="6" t="inlineStr">
        <is>
          <t>4Y</t>
        </is>
      </c>
      <c r="B26" s="112">
        <f>IF(MONTH(((EDATE($B$4,48))+IF(WEEKDAY((EDATE($B$4,48)),2)=6,2,IF(WEEKDAY((EDATE($B$4,48)),2)=7,1,0))))&lt;&gt;MONTH((EDATE($B$4,48))),((EDATE($B$4,48))-IF(WEEKDAY((EDATE($B$4,48)),2)=6,1,IF(WEEKDAY((EDATE($B$4,48)),2)=7,2,0))),((EDATE($B$4,48))+IF(WEEKDAY((EDATE($B$4,48)),2)=6,2,IF(WEEKDAY((EDATE($B$4,48)),2)=7,1,0))))</f>
        <v/>
      </c>
      <c r="C26" s="34">
        <f>(B26-VAL_DATE)/365</f>
        <v/>
      </c>
      <c r="D26" s="34">
        <f>(B26-$B$4)/360</f>
        <v/>
      </c>
      <c r="E26" s="17">
        <f>'SOFR_OIS_Quotes'!$H23</f>
        <v/>
      </c>
      <c r="F26" s="34">
        <f>(B26-$B$25)/360</f>
        <v/>
      </c>
      <c r="G26" s="36">
        <f>SUM($I$8:I25)</f>
        <v/>
      </c>
      <c r="H26" s="29">
        <f>($D$4-(E26/100)*G26)/(1+(E26/100)*F26)</f>
        <v/>
      </c>
      <c r="I26" s="36">
        <f>F26*H26</f>
        <v/>
      </c>
      <c r="J26" s="17">
        <f>-LN(H26)/C26*100</f>
        <v/>
      </c>
      <c r="K26" s="17">
        <f>(H25/H26-1)/((B26-B25)/360)*100</f>
        <v/>
      </c>
      <c r="L26" s="30" t="n"/>
      <c r="M26" s="28">
        <f>IF(L26="","",(J26-L26)*100)</f>
        <v/>
      </c>
      <c r="N26" s="6" t="inlineStr">
        <is>
          <t>market</t>
        </is>
      </c>
      <c r="S26" s="36">
        <f>(G26+F26*H26)</f>
        <v/>
      </c>
      <c r="T26" s="63">
        <f>IFERROR(INDEX(S490_Snapshot!$D$7:$D$38,MATCH(B26,S490_Snapshot!$A$7:$A$38,0)),"")</f>
        <v/>
      </c>
      <c r="U26" s="80">
        <f>IFERROR(INDEX(S490_Snapshot!$E$7:$E$38,MATCH(B26,S490_Snapshot!$A$7:$A$38,0)),"")</f>
        <v/>
      </c>
      <c r="V26" s="89">
        <f>IF(T26="","",(J26-T26)*100)</f>
        <v/>
      </c>
      <c r="W26" s="72">
        <f>IF(U26="","",H26-U26)</f>
        <v/>
      </c>
      <c r="X26" s="63">
        <f>IFERROR(INDEX(S490_Snapshot!$C$7:$C$38,MATCH(B26,S490_Snapshot!$A$7:$A$38,0)),"")</f>
        <v/>
      </c>
      <c r="Y26" s="89">
        <f>IF(OR(X26="",NOT(ISNUMBER(E26))),"",(E26-X26)*100)</f>
        <v/>
      </c>
      <c r="AA26" s="88" t="n"/>
      <c r="AB26" s="85" t="n"/>
      <c r="AC26" s="85" t="n"/>
      <c r="AD26" s="69" t="n"/>
    </row>
    <row r="27">
      <c r="A27" s="6" t="inlineStr">
        <is>
          <t>5Y</t>
        </is>
      </c>
      <c r="B27" s="112">
        <f>IF(MONTH(((EDATE($B$4,60))+IF(WEEKDAY((EDATE($B$4,60)),2)=6,2,IF(WEEKDAY((EDATE($B$4,60)),2)=7,1,0))))&lt;&gt;MONTH((EDATE($B$4,60))),((EDATE($B$4,60))-IF(WEEKDAY((EDATE($B$4,60)),2)=6,1,IF(WEEKDAY((EDATE($B$4,60)),2)=7,2,0))),((EDATE($B$4,60))+IF(WEEKDAY((EDATE($B$4,60)),2)=6,2,IF(WEEKDAY((EDATE($B$4,60)),2)=7,1,0))))</f>
        <v/>
      </c>
      <c r="C27" s="34">
        <f>(B27-VAL_DATE)/365</f>
        <v/>
      </c>
      <c r="D27" s="34">
        <f>(B27-$B$4)/360</f>
        <v/>
      </c>
      <c r="E27" s="17">
        <f>'SOFR_OIS_Quotes'!$H24</f>
        <v/>
      </c>
      <c r="F27" s="34">
        <f>(B27-$B$26)/360</f>
        <v/>
      </c>
      <c r="G27" s="36">
        <f>SUM($I$8:I26)</f>
        <v/>
      </c>
      <c r="H27" s="29">
        <f>($D$4-(E27/100)*G27)/(1+(E27/100)*F27)</f>
        <v/>
      </c>
      <c r="I27" s="36">
        <f>F27*H27</f>
        <v/>
      </c>
      <c r="J27" s="17">
        <f>-LN(H27)/C27*100</f>
        <v/>
      </c>
      <c r="K27" s="17">
        <f>(H26/H27-1)/((B27-B26)/360)*100</f>
        <v/>
      </c>
      <c r="L27" s="30" t="n"/>
      <c r="M27" s="28">
        <f>IF(L27="","",(J27-L27)*100)</f>
        <v/>
      </c>
      <c r="N27" s="6" t="inlineStr">
        <is>
          <t>market</t>
        </is>
      </c>
      <c r="S27" s="36">
        <f>(G27+F27*H27)</f>
        <v/>
      </c>
      <c r="T27" s="63">
        <f>IFERROR(INDEX(S490_Snapshot!$D$7:$D$38,MATCH(B27,S490_Snapshot!$A$7:$A$38,0)),"")</f>
        <v/>
      </c>
      <c r="U27" s="80">
        <f>IFERROR(INDEX(S490_Snapshot!$E$7:$E$38,MATCH(B27,S490_Snapshot!$A$7:$A$38,0)),"")</f>
        <v/>
      </c>
      <c r="V27" s="89">
        <f>IF(T27="","",(J27-T27)*100)</f>
        <v/>
      </c>
      <c r="W27" s="72">
        <f>IF(U27="","",H27-U27)</f>
        <v/>
      </c>
      <c r="X27" s="63">
        <f>IFERROR(INDEX(S490_Snapshot!$C$7:$C$38,MATCH(B27,S490_Snapshot!$A$7:$A$38,0)),"")</f>
        <v/>
      </c>
      <c r="Y27" s="89">
        <f>IF(OR(X27="",NOT(ISNUMBER(E27))),"",(E27-X27)*100)</f>
        <v/>
      </c>
      <c r="AA27" s="88" t="n"/>
      <c r="AB27" s="85" t="n"/>
      <c r="AC27" s="85" t="n"/>
      <c r="AD27" s="69" t="n"/>
    </row>
    <row r="28">
      <c r="A28" s="6" t="inlineStr">
        <is>
          <t>6Y</t>
        </is>
      </c>
      <c r="B28" s="112">
        <f>IF(MONTH(((EDATE($B$4,72))+IF(WEEKDAY((EDATE($B$4,72)),2)=6,2,IF(WEEKDAY((EDATE($B$4,72)),2)=7,1,0))))&lt;&gt;MONTH((EDATE($B$4,72))),((EDATE($B$4,72))-IF(WEEKDAY((EDATE($B$4,72)),2)=6,1,IF(WEEKDAY((EDATE($B$4,72)),2)=7,2,0))),((EDATE($B$4,72))+IF(WEEKDAY((EDATE($B$4,72)),2)=6,2,IF(WEEKDAY((EDATE($B$4,72)),2)=7,1,0))))</f>
        <v/>
      </c>
      <c r="C28" s="34">
        <f>(B28-VAL_DATE)/365</f>
        <v/>
      </c>
      <c r="D28" s="34">
        <f>(B28-$B$4)/360</f>
        <v/>
      </c>
      <c r="E28" s="17">
        <f>'SOFR_OIS_Quotes'!$H25</f>
        <v/>
      </c>
      <c r="F28" s="34">
        <f>(B28-$B$27)/360</f>
        <v/>
      </c>
      <c r="G28" s="36">
        <f>SUM($I$8:I27)</f>
        <v/>
      </c>
      <c r="H28" s="29">
        <f>($D$4-(E28/100)*G28)/(1+(E28/100)*F28)</f>
        <v/>
      </c>
      <c r="I28" s="36">
        <f>F28*H28</f>
        <v/>
      </c>
      <c r="J28" s="17">
        <f>-LN(H28)/C28*100</f>
        <v/>
      </c>
      <c r="K28" s="17">
        <f>(H27/H28-1)/((B28-B27)/360)*100</f>
        <v/>
      </c>
      <c r="L28" s="30" t="n"/>
      <c r="M28" s="28">
        <f>IF(L28="","",(J28-L28)*100)</f>
        <v/>
      </c>
      <c r="N28" s="6" t="inlineStr">
        <is>
          <t>market</t>
        </is>
      </c>
      <c r="S28" s="36">
        <f>(G28+F28*H28)</f>
        <v/>
      </c>
      <c r="T28" s="63">
        <f>IFERROR(INDEX(S490_Snapshot!$D$7:$D$38,MATCH(B28,S490_Snapshot!$A$7:$A$38,0)),"")</f>
        <v/>
      </c>
      <c r="U28" s="80">
        <f>IFERROR(INDEX(S490_Snapshot!$E$7:$E$38,MATCH(B28,S490_Snapshot!$A$7:$A$38,0)),"")</f>
        <v/>
      </c>
      <c r="V28" s="89">
        <f>IF(T28="","",(J28-T28)*100)</f>
        <v/>
      </c>
      <c r="W28" s="72">
        <f>IF(U28="","",H28-U28)</f>
        <v/>
      </c>
      <c r="X28" s="63">
        <f>IFERROR(INDEX(S490_Snapshot!$C$7:$C$38,MATCH(B28,S490_Snapshot!$A$7:$A$38,0)),"")</f>
        <v/>
      </c>
      <c r="Y28" s="89">
        <f>IF(OR(X28="",NOT(ISNUMBER(E28))),"",(E28-X28)*100)</f>
        <v/>
      </c>
      <c r="AA28" s="88" t="n"/>
      <c r="AB28" s="85" t="n"/>
      <c r="AC28" s="85" t="n"/>
      <c r="AD28" s="69" t="n"/>
    </row>
    <row r="29">
      <c r="A29" s="6" t="inlineStr">
        <is>
          <t>7Y</t>
        </is>
      </c>
      <c r="B29" s="112">
        <f>IF(MONTH(((EDATE($B$4,84))+IF(WEEKDAY((EDATE($B$4,84)),2)=6,2,IF(WEEKDAY((EDATE($B$4,84)),2)=7,1,0))))&lt;&gt;MONTH((EDATE($B$4,84))),((EDATE($B$4,84))-IF(WEEKDAY((EDATE($B$4,84)),2)=6,1,IF(WEEKDAY((EDATE($B$4,84)),2)=7,2,0))),((EDATE($B$4,84))+IF(WEEKDAY((EDATE($B$4,84)),2)=6,2,IF(WEEKDAY((EDATE($B$4,84)),2)=7,1,0))))</f>
        <v/>
      </c>
      <c r="C29" s="34">
        <f>(B29-VAL_DATE)/365</f>
        <v/>
      </c>
      <c r="D29" s="34">
        <f>(B29-$B$4)/360</f>
        <v/>
      </c>
      <c r="E29" s="17">
        <f>'SOFR_OIS_Quotes'!$H26</f>
        <v/>
      </c>
      <c r="F29" s="34">
        <f>(B29-$B$28)/360</f>
        <v/>
      </c>
      <c r="G29" s="36">
        <f>SUM($I$8:I28)</f>
        <v/>
      </c>
      <c r="H29" s="29">
        <f>($D$4-(E29/100)*G29)/(1+(E29/100)*F29)</f>
        <v/>
      </c>
      <c r="I29" s="36">
        <f>F29*H29</f>
        <v/>
      </c>
      <c r="J29" s="17">
        <f>-LN(H29)/C29*100</f>
        <v/>
      </c>
      <c r="K29" s="17">
        <f>(H28/H29-1)/((B29-B28)/360)*100</f>
        <v/>
      </c>
      <c r="L29" s="30" t="n"/>
      <c r="M29" s="28">
        <f>IF(L29="","",(J29-L29)*100)</f>
        <v/>
      </c>
      <c r="N29" s="6" t="inlineStr">
        <is>
          <t>market</t>
        </is>
      </c>
      <c r="S29" s="36">
        <f>(G29+F29*H29)</f>
        <v/>
      </c>
      <c r="T29" s="63">
        <f>IFERROR(INDEX(S490_Snapshot!$D$7:$D$38,MATCH(B29,S490_Snapshot!$A$7:$A$38,0)),"")</f>
        <v/>
      </c>
      <c r="U29" s="80">
        <f>IFERROR(INDEX(S490_Snapshot!$E$7:$E$38,MATCH(B29,S490_Snapshot!$A$7:$A$38,0)),"")</f>
        <v/>
      </c>
      <c r="V29" s="89">
        <f>IF(T29="","",(J29-T29)*100)</f>
        <v/>
      </c>
      <c r="W29" s="72">
        <f>IF(U29="","",H29-U29)</f>
        <v/>
      </c>
      <c r="X29" s="63">
        <f>IFERROR(INDEX(S490_Snapshot!$C$7:$C$38,MATCH(B29,S490_Snapshot!$A$7:$A$38,0)),"")</f>
        <v/>
      </c>
      <c r="Y29" s="89">
        <f>IF(OR(X29="",NOT(ISNUMBER(E29))),"",(E29-X29)*100)</f>
        <v/>
      </c>
      <c r="AA29" s="88" t="n"/>
      <c r="AB29" s="85" t="n"/>
      <c r="AC29" s="85" t="n"/>
      <c r="AD29" s="69" t="n"/>
    </row>
    <row r="30">
      <c r="A30" s="6" t="inlineStr">
        <is>
          <t>8Y</t>
        </is>
      </c>
      <c r="B30" s="112">
        <f>IF(MONTH(((EDATE($B$4,96))+IF(WEEKDAY((EDATE($B$4,96)),2)=6,2,IF(WEEKDAY((EDATE($B$4,96)),2)=7,1,0))))&lt;&gt;MONTH((EDATE($B$4,96))),((EDATE($B$4,96))-IF(WEEKDAY((EDATE($B$4,96)),2)=6,1,IF(WEEKDAY((EDATE($B$4,96)),2)=7,2,0))),((EDATE($B$4,96))+IF(WEEKDAY((EDATE($B$4,96)),2)=6,2,IF(WEEKDAY((EDATE($B$4,96)),2)=7,1,0))))</f>
        <v/>
      </c>
      <c r="C30" s="34">
        <f>(B30-VAL_DATE)/365</f>
        <v/>
      </c>
      <c r="D30" s="34">
        <f>(B30-$B$4)/360</f>
        <v/>
      </c>
      <c r="E30" s="17">
        <f>'SOFR_OIS_Quotes'!$H27</f>
        <v/>
      </c>
      <c r="F30" s="34">
        <f>(B30-$B$29)/360</f>
        <v/>
      </c>
      <c r="G30" s="36">
        <f>SUM($I$8:I29)</f>
        <v/>
      </c>
      <c r="H30" s="29">
        <f>($D$4-(E30/100)*G30)/(1+(E30/100)*F30)</f>
        <v/>
      </c>
      <c r="I30" s="36">
        <f>F30*H30</f>
        <v/>
      </c>
      <c r="J30" s="17">
        <f>-LN(H30)/C30*100</f>
        <v/>
      </c>
      <c r="K30" s="17">
        <f>(H29/H30-1)/((B30-B29)/360)*100</f>
        <v/>
      </c>
      <c r="L30" s="30" t="n"/>
      <c r="M30" s="28">
        <f>IF(L30="","",(J30-L30)*100)</f>
        <v/>
      </c>
      <c r="N30" s="6" t="inlineStr">
        <is>
          <t>market</t>
        </is>
      </c>
      <c r="S30" s="36">
        <f>(G30+F30*H30)</f>
        <v/>
      </c>
      <c r="T30" s="63">
        <f>IFERROR(INDEX(S490_Snapshot!$D$7:$D$38,MATCH(B30,S490_Snapshot!$A$7:$A$38,0)),"")</f>
        <v/>
      </c>
      <c r="U30" s="80">
        <f>IFERROR(INDEX(S490_Snapshot!$E$7:$E$38,MATCH(B30,S490_Snapshot!$A$7:$A$38,0)),"")</f>
        <v/>
      </c>
      <c r="V30" s="89">
        <f>IF(T30="","",(J30-T30)*100)</f>
        <v/>
      </c>
      <c r="W30" s="72">
        <f>IF(U30="","",H30-U30)</f>
        <v/>
      </c>
      <c r="X30" s="63">
        <f>IFERROR(INDEX(S490_Snapshot!$C$7:$C$38,MATCH(B30,S490_Snapshot!$A$7:$A$38,0)),"")</f>
        <v/>
      </c>
      <c r="Y30" s="89">
        <f>IF(OR(X30="",NOT(ISNUMBER(E30))),"",(E30-X30)*100)</f>
        <v/>
      </c>
      <c r="AA30" s="88" t="n"/>
      <c r="AB30" s="85" t="n"/>
      <c r="AC30" s="85" t="n"/>
      <c r="AD30" s="69" t="n"/>
    </row>
    <row r="31">
      <c r="A31" s="6" t="inlineStr">
        <is>
          <t>9Y</t>
        </is>
      </c>
      <c r="B31" s="112">
        <f>IF(MONTH(((EDATE($B$4,108))+IF(WEEKDAY((EDATE($B$4,108)),2)=6,2,IF(WEEKDAY((EDATE($B$4,108)),2)=7,1,0))))&lt;&gt;MONTH((EDATE($B$4,108))),((EDATE($B$4,108))-IF(WEEKDAY((EDATE($B$4,108)),2)=6,1,IF(WEEKDAY((EDATE($B$4,108)),2)=7,2,0))),((EDATE($B$4,108))+IF(WEEKDAY((EDATE($B$4,108)),2)=6,2,IF(WEEKDAY((EDATE($B$4,108)),2)=7,1,0))))</f>
        <v/>
      </c>
      <c r="C31" s="34">
        <f>(B31-VAL_DATE)/365</f>
        <v/>
      </c>
      <c r="D31" s="34">
        <f>(B31-$B$4)/360</f>
        <v/>
      </c>
      <c r="E31" s="17">
        <f>'SOFR_OIS_Quotes'!$H28</f>
        <v/>
      </c>
      <c r="F31" s="34">
        <f>(B31-$B$30)/360</f>
        <v/>
      </c>
      <c r="G31" s="36">
        <f>SUM($I$8:I30)</f>
        <v/>
      </c>
      <c r="H31" s="29">
        <f>($D$4-(E31/100)*G31)/(1+(E31/100)*F31)</f>
        <v/>
      </c>
      <c r="I31" s="36">
        <f>F31*H31</f>
        <v/>
      </c>
      <c r="J31" s="17">
        <f>-LN(H31)/C31*100</f>
        <v/>
      </c>
      <c r="K31" s="17">
        <f>(H30/H31-1)/((B31-B30)/360)*100</f>
        <v/>
      </c>
      <c r="L31" s="30" t="n"/>
      <c r="M31" s="28">
        <f>IF(L31="","",(J31-L31)*100)</f>
        <v/>
      </c>
      <c r="N31" s="6" t="inlineStr">
        <is>
          <t>market</t>
        </is>
      </c>
      <c r="S31" s="36">
        <f>(G31+F31*H31)</f>
        <v/>
      </c>
      <c r="T31" s="63">
        <f>IFERROR(INDEX(S490_Snapshot!$D$7:$D$38,MATCH(B31,S490_Snapshot!$A$7:$A$38,0)),"")</f>
        <v/>
      </c>
      <c r="U31" s="80">
        <f>IFERROR(INDEX(S490_Snapshot!$E$7:$E$38,MATCH(B31,S490_Snapshot!$A$7:$A$38,0)),"")</f>
        <v/>
      </c>
      <c r="V31" s="89">
        <f>IF(T31="","",(J31-T31)*100)</f>
        <v/>
      </c>
      <c r="W31" s="72">
        <f>IF(U31="","",H31-U31)</f>
        <v/>
      </c>
      <c r="X31" s="63">
        <f>IFERROR(INDEX(S490_Snapshot!$C$7:$C$38,MATCH(B31,S490_Snapshot!$A$7:$A$38,0)),"")</f>
        <v/>
      </c>
      <c r="Y31" s="89">
        <f>IF(OR(X31="",NOT(ISNUMBER(E31))),"",(E31-X31)*100)</f>
        <v/>
      </c>
      <c r="AA31" s="88" t="n"/>
      <c r="AB31" s="85" t="n"/>
      <c r="AC31" s="85" t="n"/>
      <c r="AD31" s="69" t="n"/>
    </row>
    <row r="32">
      <c r="A32" s="6" t="inlineStr">
        <is>
          <t>10Y</t>
        </is>
      </c>
      <c r="B32" s="112">
        <f>IF(MONTH(((EDATE($B$4,120))+IF(WEEKDAY((EDATE($B$4,120)),2)=6,2,IF(WEEKDAY((EDATE($B$4,120)),2)=7,1,0))))&lt;&gt;MONTH((EDATE($B$4,120))),((EDATE($B$4,120))-IF(WEEKDAY((EDATE($B$4,120)),2)=6,1,IF(WEEKDAY((EDATE($B$4,120)),2)=7,2,0))),((EDATE($B$4,120))+IF(WEEKDAY((EDATE($B$4,120)),2)=6,2,IF(WEEKDAY((EDATE($B$4,120)),2)=7,1,0))))</f>
        <v/>
      </c>
      <c r="C32" s="34">
        <f>(B32-VAL_DATE)/365</f>
        <v/>
      </c>
      <c r="D32" s="34">
        <f>(B32-$B$4)/360</f>
        <v/>
      </c>
      <c r="E32" s="17">
        <f>'SOFR_OIS_Quotes'!$H29</f>
        <v/>
      </c>
      <c r="F32" s="34">
        <f>(B32-$B$31)/360</f>
        <v/>
      </c>
      <c r="G32" s="36">
        <f>SUM($I$8:I31)</f>
        <v/>
      </c>
      <c r="H32" s="29">
        <f>($D$4-(E32/100)*G32)/(1+(E32/100)*F32)</f>
        <v/>
      </c>
      <c r="I32" s="36">
        <f>F32*H32</f>
        <v/>
      </c>
      <c r="J32" s="17">
        <f>-LN(H32)/C32*100</f>
        <v/>
      </c>
      <c r="K32" s="17">
        <f>(H31/H32-1)/((B32-B31)/360)*100</f>
        <v/>
      </c>
      <c r="L32" s="30" t="n"/>
      <c r="M32" s="28">
        <f>IF(L32="","",(J32-L32)*100)</f>
        <v/>
      </c>
      <c r="N32" s="6" t="inlineStr">
        <is>
          <t>market</t>
        </is>
      </c>
      <c r="S32" s="36">
        <f>(G32+F32*H32)</f>
        <v/>
      </c>
      <c r="T32" s="63">
        <f>IFERROR(INDEX(S490_Snapshot!$D$7:$D$38,MATCH(B32,S490_Snapshot!$A$7:$A$38,0)),"")</f>
        <v/>
      </c>
      <c r="U32" s="80">
        <f>IFERROR(INDEX(S490_Snapshot!$E$7:$E$38,MATCH(B32,S490_Snapshot!$A$7:$A$38,0)),"")</f>
        <v/>
      </c>
      <c r="V32" s="89">
        <f>IF(T32="","",(J32-T32)*100)</f>
        <v/>
      </c>
      <c r="W32" s="72">
        <f>IF(U32="","",H32-U32)</f>
        <v/>
      </c>
      <c r="X32" s="63">
        <f>IFERROR(INDEX(S490_Snapshot!$C$7:$C$38,MATCH(B32,S490_Snapshot!$A$7:$A$38,0)),"")</f>
        <v/>
      </c>
      <c r="Y32" s="89">
        <f>IF(OR(X32="",NOT(ISNUMBER(E32))),"",(E32-X32)*100)</f>
        <v/>
      </c>
      <c r="AA32" s="88" t="n"/>
      <c r="AB32" s="85" t="n"/>
      <c r="AC32" s="85" t="n"/>
      <c r="AD32" s="69" t="n"/>
    </row>
    <row r="33">
      <c r="A33" s="6" t="inlineStr">
        <is>
          <t>11Y</t>
        </is>
      </c>
      <c r="B33" s="112">
        <f>IF(MONTH(((EDATE($B$4,132))+IF(WEEKDAY((EDATE($B$4,132)),2)=6,2,IF(WEEKDAY((EDATE($B$4,132)),2)=7,1,0))))&lt;&gt;MONTH((EDATE($B$4,132))),((EDATE($B$4,132))-IF(WEEKDAY((EDATE($B$4,132)),2)=6,1,IF(WEEKDAY((EDATE($B$4,132)),2)=7,2,0))),((EDATE($B$4,132))+IF(WEEKDAY((EDATE($B$4,132)),2)=6,2,IF(WEEKDAY((EDATE($B$4,132)),2)=7,1,0))))</f>
        <v/>
      </c>
      <c r="C33" s="34">
        <f>(B33-VAL_DATE)/365</f>
        <v/>
      </c>
      <c r="D33" s="34">
        <f>(B33-$B$4)/360</f>
        <v/>
      </c>
      <c r="E33" s="17">
        <f>INDEX($Q$8:$Q$24,MATCH(11,$P$8:$P$24,1))+(INDEX($Q$8:$Q$24,MATCH(11,$P$8:$P$24,1)+1)-INDEX($Q$8:$Q$24,MATCH(11,$P$8:$P$24,1)))*(11-INDEX($P$8:$P$24,MATCH(11,$P$8:$P$24,1)))/(INDEX($P$8:$P$24,MATCH(11,$P$8:$P$24,1)+1)-INDEX($P$8:$P$24,MATCH(11,$P$8:$P$24,1)))</f>
        <v/>
      </c>
      <c r="F33" s="34">
        <f>(B33-$B$32)/360</f>
        <v/>
      </c>
      <c r="G33" s="36">
        <f>SUM($I$8:I32)</f>
        <v/>
      </c>
      <c r="H33" s="29">
        <f>H32*(H34/H32)^((C33-C32)/(C34-C32))</f>
        <v/>
      </c>
      <c r="I33" s="36">
        <f>F33*H33</f>
        <v/>
      </c>
      <c r="J33" s="17">
        <f>-LN(H33)/C33*100</f>
        <v/>
      </c>
      <c r="K33" s="17">
        <f>(H32/H33-1)/((B33-B32)/360)*100</f>
        <v/>
      </c>
      <c r="L33" s="30" t="n"/>
      <c r="M33" s="28">
        <f>IF(L33="","",(J33-L33)*100)</f>
        <v/>
      </c>
      <c r="N33" s="6" t="inlineStr">
        <is>
          <t>interp</t>
        </is>
      </c>
      <c r="S33" s="36">
        <f>(G33+F33*H33)</f>
        <v/>
      </c>
      <c r="T33" s="63">
        <f>IFERROR(INDEX(S490_Snapshot!$D$7:$D$38,MATCH(B33,S490_Snapshot!$A$7:$A$38,0)),"")</f>
        <v/>
      </c>
      <c r="U33" s="80">
        <f>IFERROR(INDEX(S490_Snapshot!$E$7:$E$38,MATCH(B33,S490_Snapshot!$A$7:$A$38,0)),"")</f>
        <v/>
      </c>
      <c r="V33" s="89">
        <f>IF(T33="","",(J33-T33)*100)</f>
        <v/>
      </c>
      <c r="W33" s="72">
        <f>IF(U33="","",H33-U33)</f>
        <v/>
      </c>
      <c r="X33" s="63">
        <f>IFERROR(INDEX(S490_Snapshot!$C$7:$C$38,MATCH(B33,S490_Snapshot!$A$7:$A$38,0)),"")</f>
        <v/>
      </c>
      <c r="Y33" s="89">
        <f>IF(OR(X33="",NOT(ISNUMBER(E33))),"",(E33-X33)*100)</f>
        <v/>
      </c>
      <c r="AA33" s="88" t="n"/>
      <c r="AB33" s="85" t="n"/>
      <c r="AC33" s="85" t="n"/>
      <c r="AD33" s="69" t="n"/>
    </row>
    <row r="34">
      <c r="A34" s="6" t="inlineStr">
        <is>
          <t>12Y</t>
        </is>
      </c>
      <c r="B34" s="112">
        <f>IF(MONTH(((EDATE($B$4,144))+IF(WEEKDAY((EDATE($B$4,144)),2)=6,2,IF(WEEKDAY((EDATE($B$4,144)),2)=7,1,0))))&lt;&gt;MONTH((EDATE($B$4,144))),((EDATE($B$4,144))-IF(WEEKDAY((EDATE($B$4,144)),2)=6,1,IF(WEEKDAY((EDATE($B$4,144)),2)=7,2,0))),((EDATE($B$4,144))+IF(WEEKDAY((EDATE($B$4,144)),2)=6,2,IF(WEEKDAY((EDATE($B$4,144)),2)=7,1,0))))</f>
        <v/>
      </c>
      <c r="C34" s="34">
        <f>(B34-VAL_DATE)/365</f>
        <v/>
      </c>
      <c r="D34" s="34">
        <f>(B34-$B$4)/360</f>
        <v/>
      </c>
      <c r="E34" s="17">
        <f>'SOFR_OIS_Quotes'!$H30</f>
        <v/>
      </c>
      <c r="F34" s="34">
        <f>(B34-$B$33)/360</f>
        <v/>
      </c>
      <c r="G34" s="36">
        <f>SUM($I$8:I33)</f>
        <v/>
      </c>
      <c r="H34" s="71">
        <f>Curve_Solver!$B$53</f>
        <v/>
      </c>
      <c r="I34" s="36">
        <f>F34*H34</f>
        <v/>
      </c>
      <c r="J34" s="17">
        <f>-LN(H34)/C34*100</f>
        <v/>
      </c>
      <c r="K34" s="17">
        <f>(H33/H34-1)/((B34-B33)/360)*100</f>
        <v/>
      </c>
      <c r="L34" s="30" t="n"/>
      <c r="M34" s="28">
        <f>IF(L34="","",(J34-L34)*100)</f>
        <v/>
      </c>
      <c r="N34" s="6" t="inlineStr">
        <is>
          <t>market</t>
        </is>
      </c>
      <c r="R34" s="72">
        <f>($D$4-(E34/100)*G34)/(1+(E34/100)*F34)-H34</f>
        <v/>
      </c>
      <c r="S34" s="36">
        <f>(G34+F34*H34)</f>
        <v/>
      </c>
      <c r="T34" s="63">
        <f>IFERROR(INDEX(S490_Snapshot!$D$7:$D$38,MATCH(B34,S490_Snapshot!$A$7:$A$38,0)),"")</f>
        <v/>
      </c>
      <c r="U34" s="80">
        <f>IFERROR(INDEX(S490_Snapshot!$E$7:$E$38,MATCH(B34,S490_Snapshot!$A$7:$A$38,0)),"")</f>
        <v/>
      </c>
      <c r="V34" s="89">
        <f>IF(T34="","",(J34-T34)*100)</f>
        <v/>
      </c>
      <c r="W34" s="72">
        <f>IF(U34="","",H34-U34)</f>
        <v/>
      </c>
      <c r="X34" s="63">
        <f>IFERROR(INDEX(S490_Snapshot!$C$7:$C$38,MATCH(B34,S490_Snapshot!$A$7:$A$38,0)),"")</f>
        <v/>
      </c>
      <c r="Y34" s="89">
        <f>IF(OR(X34="",NOT(ISNUMBER(E34))),"",(E34-X34)*100)</f>
        <v/>
      </c>
      <c r="AA34" s="88" t="n"/>
      <c r="AB34" s="85" t="n"/>
      <c r="AC34" s="85" t="n"/>
      <c r="AD34" s="69" t="n"/>
    </row>
    <row r="35">
      <c r="A35" s="6" t="inlineStr">
        <is>
          <t>13Y</t>
        </is>
      </c>
      <c r="B35" s="112">
        <f>IF(MONTH(((EDATE($B$4,156))+IF(WEEKDAY((EDATE($B$4,156)),2)=6,2,IF(WEEKDAY((EDATE($B$4,156)),2)=7,1,0))))&lt;&gt;MONTH((EDATE($B$4,156))),((EDATE($B$4,156))-IF(WEEKDAY((EDATE($B$4,156)),2)=6,1,IF(WEEKDAY((EDATE($B$4,156)),2)=7,2,0))),((EDATE($B$4,156))+IF(WEEKDAY((EDATE($B$4,156)),2)=6,2,IF(WEEKDAY((EDATE($B$4,156)),2)=7,1,0))))</f>
        <v/>
      </c>
      <c r="C35" s="34">
        <f>(B35-VAL_DATE)/365</f>
        <v/>
      </c>
      <c r="D35" s="34">
        <f>(B35-$B$4)/360</f>
        <v/>
      </c>
      <c r="E35" s="17">
        <f>INDEX($Q$8:$Q$24,MATCH(13,$P$8:$P$24,1))+(INDEX($Q$8:$Q$24,MATCH(13,$P$8:$P$24,1)+1)-INDEX($Q$8:$Q$24,MATCH(13,$P$8:$P$24,1)))*(13-INDEX($P$8:$P$24,MATCH(13,$P$8:$P$24,1)))/(INDEX($P$8:$P$24,MATCH(13,$P$8:$P$24,1)+1)-INDEX($P$8:$P$24,MATCH(13,$P$8:$P$24,1)))</f>
        <v/>
      </c>
      <c r="F35" s="34">
        <f>(B35-$B$34)/360</f>
        <v/>
      </c>
      <c r="G35" s="36">
        <f>SUM($I$8:I34)</f>
        <v/>
      </c>
      <c r="H35" s="29">
        <f>H34*(H37/H34)^((C35-C34)/(C37-C34))</f>
        <v/>
      </c>
      <c r="I35" s="36">
        <f>F35*H35</f>
        <v/>
      </c>
      <c r="J35" s="17">
        <f>-LN(H35)/C35*100</f>
        <v/>
      </c>
      <c r="K35" s="17">
        <f>(H34/H35-1)/((B35-B34)/360)*100</f>
        <v/>
      </c>
      <c r="L35" s="30" t="n"/>
      <c r="M35" s="28">
        <f>IF(L35="","",(J35-L35)*100)</f>
        <v/>
      </c>
      <c r="N35" s="6" t="inlineStr">
        <is>
          <t>interp</t>
        </is>
      </c>
      <c r="S35" s="36">
        <f>(G35+F35*H35)</f>
        <v/>
      </c>
      <c r="T35" s="63">
        <f>IFERROR(INDEX(S490_Snapshot!$D$7:$D$38,MATCH(B35,S490_Snapshot!$A$7:$A$38,0)),"")</f>
        <v/>
      </c>
      <c r="U35" s="80">
        <f>IFERROR(INDEX(S490_Snapshot!$E$7:$E$38,MATCH(B35,S490_Snapshot!$A$7:$A$38,0)),"")</f>
        <v/>
      </c>
      <c r="V35" s="89">
        <f>IF(T35="","",(J35-T35)*100)</f>
        <v/>
      </c>
      <c r="W35" s="72">
        <f>IF(U35="","",H35-U35)</f>
        <v/>
      </c>
      <c r="X35" s="63">
        <f>IFERROR(INDEX(S490_Snapshot!$C$7:$C$38,MATCH(B35,S490_Snapshot!$A$7:$A$38,0)),"")</f>
        <v/>
      </c>
      <c r="Y35" s="89">
        <f>IF(OR(X35="",NOT(ISNUMBER(E35))),"",(E35-X35)*100)</f>
        <v/>
      </c>
      <c r="AA35" s="88" t="n"/>
      <c r="AB35" s="85" t="n"/>
      <c r="AC35" s="85" t="n"/>
      <c r="AD35" s="69" t="n"/>
    </row>
    <row r="36">
      <c r="A36" s="6" t="inlineStr">
        <is>
          <t>14Y</t>
        </is>
      </c>
      <c r="B36" s="112">
        <f>IF(MONTH(((EDATE($B$4,168))+IF(WEEKDAY((EDATE($B$4,168)),2)=6,2,IF(WEEKDAY((EDATE($B$4,168)),2)=7,1,0))))&lt;&gt;MONTH((EDATE($B$4,168))),((EDATE($B$4,168))-IF(WEEKDAY((EDATE($B$4,168)),2)=6,1,IF(WEEKDAY((EDATE($B$4,168)),2)=7,2,0))),((EDATE($B$4,168))+IF(WEEKDAY((EDATE($B$4,168)),2)=6,2,IF(WEEKDAY((EDATE($B$4,168)),2)=7,1,0))))</f>
        <v/>
      </c>
      <c r="C36" s="34">
        <f>(B36-VAL_DATE)/365</f>
        <v/>
      </c>
      <c r="D36" s="34">
        <f>(B36-$B$4)/360</f>
        <v/>
      </c>
      <c r="E36" s="17">
        <f>INDEX($Q$8:$Q$24,MATCH(14,$P$8:$P$24,1))+(INDEX($Q$8:$Q$24,MATCH(14,$P$8:$P$24,1)+1)-INDEX($Q$8:$Q$24,MATCH(14,$P$8:$P$24,1)))*(14-INDEX($P$8:$P$24,MATCH(14,$P$8:$P$24,1)))/(INDEX($P$8:$P$24,MATCH(14,$P$8:$P$24,1)+1)-INDEX($P$8:$P$24,MATCH(14,$P$8:$P$24,1)))</f>
        <v/>
      </c>
      <c r="F36" s="34">
        <f>(B36-$B$35)/360</f>
        <v/>
      </c>
      <c r="G36" s="36">
        <f>SUM($I$8:I35)</f>
        <v/>
      </c>
      <c r="H36" s="29">
        <f>H34*(H37/H34)^((C36-C34)/(C37-C34))</f>
        <v/>
      </c>
      <c r="I36" s="36">
        <f>F36*H36</f>
        <v/>
      </c>
      <c r="J36" s="17">
        <f>-LN(H36)/C36*100</f>
        <v/>
      </c>
      <c r="K36" s="17">
        <f>(H35/H36-1)/((B36-B35)/360)*100</f>
        <v/>
      </c>
      <c r="L36" s="30" t="n"/>
      <c r="M36" s="28">
        <f>IF(L36="","",(J36-L36)*100)</f>
        <v/>
      </c>
      <c r="N36" s="6" t="inlineStr">
        <is>
          <t>interp</t>
        </is>
      </c>
      <c r="S36" s="36">
        <f>(G36+F36*H36)</f>
        <v/>
      </c>
      <c r="T36" s="63">
        <f>IFERROR(INDEX(S490_Snapshot!$D$7:$D$38,MATCH(B36,S490_Snapshot!$A$7:$A$38,0)),"")</f>
        <v/>
      </c>
      <c r="U36" s="80">
        <f>IFERROR(INDEX(S490_Snapshot!$E$7:$E$38,MATCH(B36,S490_Snapshot!$A$7:$A$38,0)),"")</f>
        <v/>
      </c>
      <c r="V36" s="89">
        <f>IF(T36="","",(J36-T36)*100)</f>
        <v/>
      </c>
      <c r="W36" s="72">
        <f>IF(U36="","",H36-U36)</f>
        <v/>
      </c>
      <c r="X36" s="63">
        <f>IFERROR(INDEX(S490_Snapshot!$C$7:$C$38,MATCH(B36,S490_Snapshot!$A$7:$A$38,0)),"")</f>
        <v/>
      </c>
      <c r="Y36" s="89">
        <f>IF(OR(X36="",NOT(ISNUMBER(E36))),"",(E36-X36)*100)</f>
        <v/>
      </c>
      <c r="AA36" s="88" t="n"/>
      <c r="AB36" s="85" t="n"/>
      <c r="AC36" s="85" t="n"/>
      <c r="AD36" s="69" t="n"/>
    </row>
    <row r="37">
      <c r="A37" s="6" t="inlineStr">
        <is>
          <t>15Y</t>
        </is>
      </c>
      <c r="B37" s="112">
        <f>IF(MONTH(((EDATE($B$4,180))+IF(WEEKDAY((EDATE($B$4,180)),2)=6,2,IF(WEEKDAY((EDATE($B$4,180)),2)=7,1,0))))&lt;&gt;MONTH((EDATE($B$4,180))),((EDATE($B$4,180))-IF(WEEKDAY((EDATE($B$4,180)),2)=6,1,IF(WEEKDAY((EDATE($B$4,180)),2)=7,2,0))),((EDATE($B$4,180))+IF(WEEKDAY((EDATE($B$4,180)),2)=6,2,IF(WEEKDAY((EDATE($B$4,180)),2)=7,1,0))))</f>
        <v/>
      </c>
      <c r="C37" s="34">
        <f>(B37-VAL_DATE)/365</f>
        <v/>
      </c>
      <c r="D37" s="34">
        <f>(B37-$B$4)/360</f>
        <v/>
      </c>
      <c r="E37" s="17">
        <f>'SOFR_OIS_Quotes'!$H31</f>
        <v/>
      </c>
      <c r="F37" s="34">
        <f>(B37-$B$36)/360</f>
        <v/>
      </c>
      <c r="G37" s="36">
        <f>SUM($I$8:I36)</f>
        <v/>
      </c>
      <c r="H37" s="71">
        <f>Curve_Solver!$B$103</f>
        <v/>
      </c>
      <c r="I37" s="36">
        <f>F37*H37</f>
        <v/>
      </c>
      <c r="J37" s="17">
        <f>-LN(H37)/C37*100</f>
        <v/>
      </c>
      <c r="K37" s="17">
        <f>(H36/H37-1)/((B37-B36)/360)*100</f>
        <v/>
      </c>
      <c r="L37" s="30" t="n"/>
      <c r="M37" s="28">
        <f>IF(L37="","",(J37-L37)*100)</f>
        <v/>
      </c>
      <c r="N37" s="6" t="inlineStr">
        <is>
          <t>market</t>
        </is>
      </c>
      <c r="R37" s="72">
        <f>($D$4-(E37/100)*G37)/(1+(E37/100)*F37)-H37</f>
        <v/>
      </c>
      <c r="S37" s="36">
        <f>(G37+F37*H37)</f>
        <v/>
      </c>
      <c r="T37" s="63">
        <f>IFERROR(INDEX(S490_Snapshot!$D$7:$D$38,MATCH(B37,S490_Snapshot!$A$7:$A$38,0)),"")</f>
        <v/>
      </c>
      <c r="U37" s="80">
        <f>IFERROR(INDEX(S490_Snapshot!$E$7:$E$38,MATCH(B37,S490_Snapshot!$A$7:$A$38,0)),"")</f>
        <v/>
      </c>
      <c r="V37" s="89">
        <f>IF(T37="","",(J37-T37)*100)</f>
        <v/>
      </c>
      <c r="W37" s="72">
        <f>IF(U37="","",H37-U37)</f>
        <v/>
      </c>
      <c r="X37" s="63">
        <f>IFERROR(INDEX(S490_Snapshot!$C$7:$C$38,MATCH(B37,S490_Snapshot!$A$7:$A$38,0)),"")</f>
        <v/>
      </c>
      <c r="Y37" s="89">
        <f>IF(OR(X37="",NOT(ISNUMBER(E37))),"",(E37-X37)*100)</f>
        <v/>
      </c>
      <c r="AA37" s="88" t="n"/>
      <c r="AB37" s="85" t="n"/>
      <c r="AC37" s="85" t="n"/>
      <c r="AD37" s="69" t="n"/>
    </row>
    <row r="38">
      <c r="A38" s="6" t="inlineStr">
        <is>
          <t>16Y</t>
        </is>
      </c>
      <c r="B38" s="112">
        <f>IF(MONTH(((EDATE($B$4,192))+IF(WEEKDAY((EDATE($B$4,192)),2)=6,2,IF(WEEKDAY((EDATE($B$4,192)),2)=7,1,0))))&lt;&gt;MONTH((EDATE($B$4,192))),((EDATE($B$4,192))-IF(WEEKDAY((EDATE($B$4,192)),2)=6,1,IF(WEEKDAY((EDATE($B$4,192)),2)=7,2,0))),((EDATE($B$4,192))+IF(WEEKDAY((EDATE($B$4,192)),2)=6,2,IF(WEEKDAY((EDATE($B$4,192)),2)=7,1,0))))</f>
        <v/>
      </c>
      <c r="C38" s="34">
        <f>(B38-VAL_DATE)/365</f>
        <v/>
      </c>
      <c r="D38" s="34">
        <f>(B38-$B$4)/360</f>
        <v/>
      </c>
      <c r="E38" s="17">
        <f>INDEX($Q$8:$Q$24,MATCH(16,$P$8:$P$24,1))+(INDEX($Q$8:$Q$24,MATCH(16,$P$8:$P$24,1)+1)-INDEX($Q$8:$Q$24,MATCH(16,$P$8:$P$24,1)))*(16-INDEX($P$8:$P$24,MATCH(16,$P$8:$P$24,1)))/(INDEX($P$8:$P$24,MATCH(16,$P$8:$P$24,1)+1)-INDEX($P$8:$P$24,MATCH(16,$P$8:$P$24,1)))</f>
        <v/>
      </c>
      <c r="F38" s="34">
        <f>(B38-$B$37)/360</f>
        <v/>
      </c>
      <c r="G38" s="36">
        <f>SUM($I$8:I37)</f>
        <v/>
      </c>
      <c r="H38" s="29">
        <f>H37*(H42/H37)^((C38-C37)/(C42-C37))</f>
        <v/>
      </c>
      <c r="I38" s="36">
        <f>F38*H38</f>
        <v/>
      </c>
      <c r="J38" s="17">
        <f>-LN(H38)/C38*100</f>
        <v/>
      </c>
      <c r="K38" s="17">
        <f>(H37/H38-1)/((B38-B37)/360)*100</f>
        <v/>
      </c>
      <c r="L38" s="30" t="n"/>
      <c r="M38" s="28">
        <f>IF(L38="","",(J38-L38)*100)</f>
        <v/>
      </c>
      <c r="N38" s="6" t="inlineStr">
        <is>
          <t>interp</t>
        </is>
      </c>
      <c r="S38" s="36">
        <f>(G38+F38*H38)</f>
        <v/>
      </c>
      <c r="T38" s="63">
        <f>IFERROR(INDEX(S490_Snapshot!$D$7:$D$38,MATCH(B38,S490_Snapshot!$A$7:$A$38,0)),"")</f>
        <v/>
      </c>
      <c r="U38" s="80">
        <f>IFERROR(INDEX(S490_Snapshot!$E$7:$E$38,MATCH(B38,S490_Snapshot!$A$7:$A$38,0)),"")</f>
        <v/>
      </c>
      <c r="V38" s="89">
        <f>IF(T38="","",(J38-T38)*100)</f>
        <v/>
      </c>
      <c r="W38" s="72">
        <f>IF(U38="","",H38-U38)</f>
        <v/>
      </c>
      <c r="X38" s="63">
        <f>IFERROR(INDEX(S490_Snapshot!$C$7:$C$38,MATCH(B38,S490_Snapshot!$A$7:$A$38,0)),"")</f>
        <v/>
      </c>
      <c r="Y38" s="89">
        <f>IF(OR(X38="",NOT(ISNUMBER(E38))),"",(E38-X38)*100)</f>
        <v/>
      </c>
      <c r="AA38" s="88" t="n"/>
      <c r="AB38" s="85" t="n"/>
      <c r="AC38" s="85" t="n"/>
      <c r="AD38" s="69" t="n"/>
    </row>
    <row r="39">
      <c r="A39" s="6" t="inlineStr">
        <is>
          <t>17Y</t>
        </is>
      </c>
      <c r="B39" s="112">
        <f>IF(MONTH(((EDATE($B$4,204))+IF(WEEKDAY((EDATE($B$4,204)),2)=6,2,IF(WEEKDAY((EDATE($B$4,204)),2)=7,1,0))))&lt;&gt;MONTH((EDATE($B$4,204))),((EDATE($B$4,204))-IF(WEEKDAY((EDATE($B$4,204)),2)=6,1,IF(WEEKDAY((EDATE($B$4,204)),2)=7,2,0))),((EDATE($B$4,204))+IF(WEEKDAY((EDATE($B$4,204)),2)=6,2,IF(WEEKDAY((EDATE($B$4,204)),2)=7,1,0))))</f>
        <v/>
      </c>
      <c r="C39" s="34">
        <f>(B39-VAL_DATE)/365</f>
        <v/>
      </c>
      <c r="D39" s="34">
        <f>(B39-$B$4)/360</f>
        <v/>
      </c>
      <c r="E39" s="17">
        <f>INDEX($Q$8:$Q$24,MATCH(17,$P$8:$P$24,1))+(INDEX($Q$8:$Q$24,MATCH(17,$P$8:$P$24,1)+1)-INDEX($Q$8:$Q$24,MATCH(17,$P$8:$P$24,1)))*(17-INDEX($P$8:$P$24,MATCH(17,$P$8:$P$24,1)))/(INDEX($P$8:$P$24,MATCH(17,$P$8:$P$24,1)+1)-INDEX($P$8:$P$24,MATCH(17,$P$8:$P$24,1)))</f>
        <v/>
      </c>
      <c r="F39" s="34">
        <f>(B39-$B$38)/360</f>
        <v/>
      </c>
      <c r="G39" s="36">
        <f>SUM($I$8:I38)</f>
        <v/>
      </c>
      <c r="H39" s="29">
        <f>H37*(H42/H37)^((C39-C37)/(C42-C37))</f>
        <v/>
      </c>
      <c r="I39" s="36">
        <f>F39*H39</f>
        <v/>
      </c>
      <c r="J39" s="17">
        <f>-LN(H39)/C39*100</f>
        <v/>
      </c>
      <c r="K39" s="17">
        <f>(H38/H39-1)/((B39-B38)/360)*100</f>
        <v/>
      </c>
      <c r="L39" s="30" t="n"/>
      <c r="M39" s="28">
        <f>IF(L39="","",(J39-L39)*100)</f>
        <v/>
      </c>
      <c r="N39" s="6" t="inlineStr">
        <is>
          <t>interp</t>
        </is>
      </c>
      <c r="S39" s="36">
        <f>(G39+F39*H39)</f>
        <v/>
      </c>
      <c r="T39" s="63">
        <f>IFERROR(INDEX(S490_Snapshot!$D$7:$D$38,MATCH(B39,S490_Snapshot!$A$7:$A$38,0)),"")</f>
        <v/>
      </c>
      <c r="U39" s="80">
        <f>IFERROR(INDEX(S490_Snapshot!$E$7:$E$38,MATCH(B39,S490_Snapshot!$A$7:$A$38,0)),"")</f>
        <v/>
      </c>
      <c r="V39" s="89">
        <f>IF(T39="","",(J39-T39)*100)</f>
        <v/>
      </c>
      <c r="W39" s="72">
        <f>IF(U39="","",H39-U39)</f>
        <v/>
      </c>
      <c r="X39" s="63">
        <f>IFERROR(INDEX(S490_Snapshot!$C$7:$C$38,MATCH(B39,S490_Snapshot!$A$7:$A$38,0)),"")</f>
        <v/>
      </c>
      <c r="Y39" s="89">
        <f>IF(OR(X39="",NOT(ISNUMBER(E39))),"",(E39-X39)*100)</f>
        <v/>
      </c>
      <c r="AA39" s="88" t="n"/>
      <c r="AB39" s="85" t="n"/>
      <c r="AC39" s="85" t="n"/>
      <c r="AD39" s="69" t="n"/>
    </row>
    <row r="40">
      <c r="A40" s="6" t="inlineStr">
        <is>
          <t>18Y</t>
        </is>
      </c>
      <c r="B40" s="112">
        <f>IF(MONTH(((EDATE($B$4,216))+IF(WEEKDAY((EDATE($B$4,216)),2)=6,2,IF(WEEKDAY((EDATE($B$4,216)),2)=7,1,0))))&lt;&gt;MONTH((EDATE($B$4,216))),((EDATE($B$4,216))-IF(WEEKDAY((EDATE($B$4,216)),2)=6,1,IF(WEEKDAY((EDATE($B$4,216)),2)=7,2,0))),((EDATE($B$4,216))+IF(WEEKDAY((EDATE($B$4,216)),2)=6,2,IF(WEEKDAY((EDATE($B$4,216)),2)=7,1,0))))</f>
        <v/>
      </c>
      <c r="C40" s="34">
        <f>(B40-VAL_DATE)/365</f>
        <v/>
      </c>
      <c r="D40" s="34">
        <f>(B40-$B$4)/360</f>
        <v/>
      </c>
      <c r="E40" s="17">
        <f>INDEX($Q$8:$Q$24,MATCH(18,$P$8:$P$24,1))+(INDEX($Q$8:$Q$24,MATCH(18,$P$8:$P$24,1)+1)-INDEX($Q$8:$Q$24,MATCH(18,$P$8:$P$24,1)))*(18-INDEX($P$8:$P$24,MATCH(18,$P$8:$P$24,1)))/(INDEX($P$8:$P$24,MATCH(18,$P$8:$P$24,1)+1)-INDEX($P$8:$P$24,MATCH(18,$P$8:$P$24,1)))</f>
        <v/>
      </c>
      <c r="F40" s="34">
        <f>(B40-$B$39)/360</f>
        <v/>
      </c>
      <c r="G40" s="36">
        <f>SUM($I$8:I39)</f>
        <v/>
      </c>
      <c r="H40" s="29">
        <f>H37*(H42/H37)^((C40-C37)/(C42-C37))</f>
        <v/>
      </c>
      <c r="I40" s="36">
        <f>F40*H40</f>
        <v/>
      </c>
      <c r="J40" s="17">
        <f>-LN(H40)/C40*100</f>
        <v/>
      </c>
      <c r="K40" s="17">
        <f>(H39/H40-1)/((B40-B39)/360)*100</f>
        <v/>
      </c>
      <c r="L40" s="30" t="n"/>
      <c r="M40" s="28">
        <f>IF(L40="","",(J40-L40)*100)</f>
        <v/>
      </c>
      <c r="N40" s="6" t="inlineStr">
        <is>
          <t>interp</t>
        </is>
      </c>
      <c r="S40" s="36">
        <f>(G40+F40*H40)</f>
        <v/>
      </c>
      <c r="T40" s="63">
        <f>IFERROR(INDEX(S490_Snapshot!$D$7:$D$38,MATCH(B40,S490_Snapshot!$A$7:$A$38,0)),"")</f>
        <v/>
      </c>
      <c r="U40" s="80">
        <f>IFERROR(INDEX(S490_Snapshot!$E$7:$E$38,MATCH(B40,S490_Snapshot!$A$7:$A$38,0)),"")</f>
        <v/>
      </c>
      <c r="V40" s="89">
        <f>IF(T40="","",(J40-T40)*100)</f>
        <v/>
      </c>
      <c r="W40" s="72">
        <f>IF(U40="","",H40-U40)</f>
        <v/>
      </c>
      <c r="X40" s="63">
        <f>IFERROR(INDEX(S490_Snapshot!$C$7:$C$38,MATCH(B40,S490_Snapshot!$A$7:$A$38,0)),"")</f>
        <v/>
      </c>
      <c r="Y40" s="89">
        <f>IF(OR(X40="",NOT(ISNUMBER(E40))),"",(E40-X40)*100)</f>
        <v/>
      </c>
    </row>
    <row r="41">
      <c r="A41" s="6" t="inlineStr">
        <is>
          <t>19Y</t>
        </is>
      </c>
      <c r="B41" s="112">
        <f>IF(MONTH(((EDATE($B$4,228))+IF(WEEKDAY((EDATE($B$4,228)),2)=6,2,IF(WEEKDAY((EDATE($B$4,228)),2)=7,1,0))))&lt;&gt;MONTH((EDATE($B$4,228))),((EDATE($B$4,228))-IF(WEEKDAY((EDATE($B$4,228)),2)=6,1,IF(WEEKDAY((EDATE($B$4,228)),2)=7,2,0))),((EDATE($B$4,228))+IF(WEEKDAY((EDATE($B$4,228)),2)=6,2,IF(WEEKDAY((EDATE($B$4,228)),2)=7,1,0))))</f>
        <v/>
      </c>
      <c r="C41" s="34">
        <f>(B41-VAL_DATE)/365</f>
        <v/>
      </c>
      <c r="D41" s="34">
        <f>(B41-$B$4)/360</f>
        <v/>
      </c>
      <c r="E41" s="17">
        <f>INDEX($Q$8:$Q$24,MATCH(19,$P$8:$P$24,1))+(INDEX($Q$8:$Q$24,MATCH(19,$P$8:$P$24,1)+1)-INDEX($Q$8:$Q$24,MATCH(19,$P$8:$P$24,1)))*(19-INDEX($P$8:$P$24,MATCH(19,$P$8:$P$24,1)))/(INDEX($P$8:$P$24,MATCH(19,$P$8:$P$24,1)+1)-INDEX($P$8:$P$24,MATCH(19,$P$8:$P$24,1)))</f>
        <v/>
      </c>
      <c r="F41" s="34">
        <f>(B41-$B$40)/360</f>
        <v/>
      </c>
      <c r="G41" s="36">
        <f>SUM($I$8:I40)</f>
        <v/>
      </c>
      <c r="H41" s="29">
        <f>H37*(H42/H37)^((C41-C37)/(C42-C37))</f>
        <v/>
      </c>
      <c r="I41" s="36">
        <f>F41*H41</f>
        <v/>
      </c>
      <c r="J41" s="17">
        <f>-LN(H41)/C41*100</f>
        <v/>
      </c>
      <c r="K41" s="17">
        <f>(H40/H41-1)/((B41-B40)/360)*100</f>
        <v/>
      </c>
      <c r="L41" s="30" t="n"/>
      <c r="M41" s="28">
        <f>IF(L41="","",(J41-L41)*100)</f>
        <v/>
      </c>
      <c r="N41" s="6" t="inlineStr">
        <is>
          <t>interp</t>
        </is>
      </c>
      <c r="S41" s="36">
        <f>(G41+F41*H41)</f>
        <v/>
      </c>
      <c r="T41" s="63">
        <f>IFERROR(INDEX(S490_Snapshot!$D$7:$D$38,MATCH(B41,S490_Snapshot!$A$7:$A$38,0)),"")</f>
        <v/>
      </c>
      <c r="U41" s="80">
        <f>IFERROR(INDEX(S490_Snapshot!$E$7:$E$38,MATCH(B41,S490_Snapshot!$A$7:$A$38,0)),"")</f>
        <v/>
      </c>
      <c r="V41" s="89">
        <f>IF(T41="","",(J41-T41)*100)</f>
        <v/>
      </c>
      <c r="W41" s="72">
        <f>IF(U41="","",H41-U41)</f>
        <v/>
      </c>
      <c r="X41" s="63">
        <f>IFERROR(INDEX(S490_Snapshot!$C$7:$C$38,MATCH(B41,S490_Snapshot!$A$7:$A$38,0)),"")</f>
        <v/>
      </c>
      <c r="Y41" s="89">
        <f>IF(OR(X41="",NOT(ISNUMBER(E41))),"",(E41-X41)*100)</f>
        <v/>
      </c>
    </row>
    <row r="42">
      <c r="A42" s="6" t="inlineStr">
        <is>
          <t>20Y</t>
        </is>
      </c>
      <c r="B42" s="112">
        <f>IF(MONTH(((EDATE($B$4,240))+IF(WEEKDAY((EDATE($B$4,240)),2)=6,2,IF(WEEKDAY((EDATE($B$4,240)),2)=7,1,0))))&lt;&gt;MONTH((EDATE($B$4,240))),((EDATE($B$4,240))-IF(WEEKDAY((EDATE($B$4,240)),2)=6,1,IF(WEEKDAY((EDATE($B$4,240)),2)=7,2,0))),((EDATE($B$4,240))+IF(WEEKDAY((EDATE($B$4,240)),2)=6,2,IF(WEEKDAY((EDATE($B$4,240)),2)=7,1,0))))</f>
        <v/>
      </c>
      <c r="C42" s="34">
        <f>(B42-VAL_DATE)/365</f>
        <v/>
      </c>
      <c r="D42" s="34">
        <f>(B42-$B$4)/360</f>
        <v/>
      </c>
      <c r="E42" s="17">
        <f>'SOFR_OIS_Quotes'!$H32</f>
        <v/>
      </c>
      <c r="F42" s="34">
        <f>(B42-$B$41)/360</f>
        <v/>
      </c>
      <c r="G42" s="36">
        <f>SUM($I$8:I41)</f>
        <v/>
      </c>
      <c r="H42" s="71">
        <f>Curve_Solver!$B$153</f>
        <v/>
      </c>
      <c r="I42" s="36">
        <f>F42*H42</f>
        <v/>
      </c>
      <c r="J42" s="17">
        <f>-LN(H42)/C42*100</f>
        <v/>
      </c>
      <c r="K42" s="17">
        <f>(H41/H42-1)/((B42-B41)/360)*100</f>
        <v/>
      </c>
      <c r="L42" s="30" t="n"/>
      <c r="M42" s="28">
        <f>IF(L42="","",(J42-L42)*100)</f>
        <v/>
      </c>
      <c r="N42" s="6" t="inlineStr">
        <is>
          <t>market</t>
        </is>
      </c>
      <c r="R42" s="72">
        <f>($D$4-(E42/100)*G42)/(1+(E42/100)*F42)-H42</f>
        <v/>
      </c>
      <c r="S42" s="36">
        <f>(G42+F42*H42)</f>
        <v/>
      </c>
      <c r="T42" s="63">
        <f>IFERROR(INDEX(S490_Snapshot!$D$7:$D$38,MATCH(B42,S490_Snapshot!$A$7:$A$38,0)),"")</f>
        <v/>
      </c>
      <c r="U42" s="80">
        <f>IFERROR(INDEX(S490_Snapshot!$E$7:$E$38,MATCH(B42,S490_Snapshot!$A$7:$A$38,0)),"")</f>
        <v/>
      </c>
      <c r="V42" s="89">
        <f>IF(T42="","",(J42-T42)*100)</f>
        <v/>
      </c>
      <c r="W42" s="72">
        <f>IF(U42="","",H42-U42)</f>
        <v/>
      </c>
      <c r="X42" s="63">
        <f>IFERROR(INDEX(S490_Snapshot!$C$7:$C$38,MATCH(B42,S490_Snapshot!$A$7:$A$38,0)),"")</f>
        <v/>
      </c>
      <c r="Y42" s="89">
        <f>IF(OR(X42="",NOT(ISNUMBER(E42))),"",(E42-X42)*100)</f>
        <v/>
      </c>
    </row>
    <row r="43">
      <c r="A43" s="6" t="inlineStr">
        <is>
          <t>21Y</t>
        </is>
      </c>
      <c r="B43" s="112">
        <f>IF(MONTH(((EDATE($B$4,252))+IF(WEEKDAY((EDATE($B$4,252)),2)=6,2,IF(WEEKDAY((EDATE($B$4,252)),2)=7,1,0))))&lt;&gt;MONTH((EDATE($B$4,252))),((EDATE($B$4,252))-IF(WEEKDAY((EDATE($B$4,252)),2)=6,1,IF(WEEKDAY((EDATE($B$4,252)),2)=7,2,0))),((EDATE($B$4,252))+IF(WEEKDAY((EDATE($B$4,252)),2)=6,2,IF(WEEKDAY((EDATE($B$4,252)),2)=7,1,0))))</f>
        <v/>
      </c>
      <c r="C43" s="34">
        <f>(B43-VAL_DATE)/365</f>
        <v/>
      </c>
      <c r="D43" s="34">
        <f>(B43-$B$4)/360</f>
        <v/>
      </c>
      <c r="E43" s="17">
        <f>INDEX($Q$8:$Q$24,MATCH(21,$P$8:$P$24,1))+(INDEX($Q$8:$Q$24,MATCH(21,$P$8:$P$24,1)+1)-INDEX($Q$8:$Q$24,MATCH(21,$P$8:$P$24,1)))*(21-INDEX($P$8:$P$24,MATCH(21,$P$8:$P$24,1)))/(INDEX($P$8:$P$24,MATCH(21,$P$8:$P$24,1)+1)-INDEX($P$8:$P$24,MATCH(21,$P$8:$P$24,1)))</f>
        <v/>
      </c>
      <c r="F43" s="34">
        <f>(B43-$B$42)/360</f>
        <v/>
      </c>
      <c r="G43" s="36">
        <f>SUM($I$8:I42)</f>
        <v/>
      </c>
      <c r="H43" s="29">
        <f>H42*(H47/H42)^((C43-C42)/(C47-C42))</f>
        <v/>
      </c>
      <c r="I43" s="36">
        <f>F43*H43</f>
        <v/>
      </c>
      <c r="J43" s="17">
        <f>-LN(H43)/C43*100</f>
        <v/>
      </c>
      <c r="K43" s="17">
        <f>(H42/H43-1)/((B43-B42)/360)*100</f>
        <v/>
      </c>
      <c r="L43" s="30" t="n"/>
      <c r="M43" s="28">
        <f>IF(L43="","",(J43-L43)*100)</f>
        <v/>
      </c>
      <c r="N43" s="6" t="inlineStr">
        <is>
          <t>interp</t>
        </is>
      </c>
      <c r="S43" s="36">
        <f>(G43+F43*H43)</f>
        <v/>
      </c>
      <c r="T43" s="63">
        <f>IFERROR(INDEX(S490_Snapshot!$D$7:$D$38,MATCH(B43,S490_Snapshot!$A$7:$A$38,0)),"")</f>
        <v/>
      </c>
      <c r="U43" s="80">
        <f>IFERROR(INDEX(S490_Snapshot!$E$7:$E$38,MATCH(B43,S490_Snapshot!$A$7:$A$38,0)),"")</f>
        <v/>
      </c>
      <c r="V43" s="89">
        <f>IF(T43="","",(J43-T43)*100)</f>
        <v/>
      </c>
      <c r="W43" s="72">
        <f>IF(U43="","",H43-U43)</f>
        <v/>
      </c>
      <c r="X43" s="63">
        <f>IFERROR(INDEX(S490_Snapshot!$C$7:$C$38,MATCH(B43,S490_Snapshot!$A$7:$A$38,0)),"")</f>
        <v/>
      </c>
      <c r="Y43" s="89">
        <f>IF(OR(X43="",NOT(ISNUMBER(E43))),"",(E43-X43)*100)</f>
        <v/>
      </c>
    </row>
    <row r="44">
      <c r="A44" s="6" t="inlineStr">
        <is>
          <t>22Y</t>
        </is>
      </c>
      <c r="B44" s="112">
        <f>IF(MONTH(((EDATE($B$4,264))+IF(WEEKDAY((EDATE($B$4,264)),2)=6,2,IF(WEEKDAY((EDATE($B$4,264)),2)=7,1,0))))&lt;&gt;MONTH((EDATE($B$4,264))),((EDATE($B$4,264))-IF(WEEKDAY((EDATE($B$4,264)),2)=6,1,IF(WEEKDAY((EDATE($B$4,264)),2)=7,2,0))),((EDATE($B$4,264))+IF(WEEKDAY((EDATE($B$4,264)),2)=6,2,IF(WEEKDAY((EDATE($B$4,264)),2)=7,1,0))))</f>
        <v/>
      </c>
      <c r="C44" s="34">
        <f>(B44-VAL_DATE)/365</f>
        <v/>
      </c>
      <c r="D44" s="34">
        <f>(B44-$B$4)/360</f>
        <v/>
      </c>
      <c r="E44" s="17">
        <f>INDEX($Q$8:$Q$24,MATCH(22,$P$8:$P$24,1))+(INDEX($Q$8:$Q$24,MATCH(22,$P$8:$P$24,1)+1)-INDEX($Q$8:$Q$24,MATCH(22,$P$8:$P$24,1)))*(22-INDEX($P$8:$P$24,MATCH(22,$P$8:$P$24,1)))/(INDEX($P$8:$P$24,MATCH(22,$P$8:$P$24,1)+1)-INDEX($P$8:$P$24,MATCH(22,$P$8:$P$24,1)))</f>
        <v/>
      </c>
      <c r="F44" s="34">
        <f>(B44-$B$43)/360</f>
        <v/>
      </c>
      <c r="G44" s="36">
        <f>SUM($I$8:I43)</f>
        <v/>
      </c>
      <c r="H44" s="29">
        <f>H42*(H47/H42)^((C44-C42)/(C47-C42))</f>
        <v/>
      </c>
      <c r="I44" s="36">
        <f>F44*H44</f>
        <v/>
      </c>
      <c r="J44" s="17">
        <f>-LN(H44)/C44*100</f>
        <v/>
      </c>
      <c r="K44" s="17">
        <f>(H43/H44-1)/((B44-B43)/360)*100</f>
        <v/>
      </c>
      <c r="L44" s="30" t="n"/>
      <c r="M44" s="28">
        <f>IF(L44="","",(J44-L44)*100)</f>
        <v/>
      </c>
      <c r="N44" s="6" t="inlineStr">
        <is>
          <t>interp</t>
        </is>
      </c>
      <c r="S44" s="36">
        <f>(G44+F44*H44)</f>
        <v/>
      </c>
      <c r="T44" s="63">
        <f>IFERROR(INDEX(S490_Snapshot!$D$7:$D$38,MATCH(B44,S490_Snapshot!$A$7:$A$38,0)),"")</f>
        <v/>
      </c>
      <c r="U44" s="80">
        <f>IFERROR(INDEX(S490_Snapshot!$E$7:$E$38,MATCH(B44,S490_Snapshot!$A$7:$A$38,0)),"")</f>
        <v/>
      </c>
      <c r="V44" s="89">
        <f>IF(T44="","",(J44-T44)*100)</f>
        <v/>
      </c>
      <c r="W44" s="72">
        <f>IF(U44="","",H44-U44)</f>
        <v/>
      </c>
      <c r="X44" s="63">
        <f>IFERROR(INDEX(S490_Snapshot!$C$7:$C$38,MATCH(B44,S490_Snapshot!$A$7:$A$38,0)),"")</f>
        <v/>
      </c>
      <c r="Y44" s="89">
        <f>IF(OR(X44="",NOT(ISNUMBER(E44))),"",(E44-X44)*100)</f>
        <v/>
      </c>
    </row>
    <row r="45">
      <c r="A45" s="6" t="inlineStr">
        <is>
          <t>23Y</t>
        </is>
      </c>
      <c r="B45" s="112">
        <f>IF(MONTH(((EDATE($B$4,276))+IF(WEEKDAY((EDATE($B$4,276)),2)=6,2,IF(WEEKDAY((EDATE($B$4,276)),2)=7,1,0))))&lt;&gt;MONTH((EDATE($B$4,276))),((EDATE($B$4,276))-IF(WEEKDAY((EDATE($B$4,276)),2)=6,1,IF(WEEKDAY((EDATE($B$4,276)),2)=7,2,0))),((EDATE($B$4,276))+IF(WEEKDAY((EDATE($B$4,276)),2)=6,2,IF(WEEKDAY((EDATE($B$4,276)),2)=7,1,0))))</f>
        <v/>
      </c>
      <c r="C45" s="34">
        <f>(B45-VAL_DATE)/365</f>
        <v/>
      </c>
      <c r="D45" s="34">
        <f>(B45-$B$4)/360</f>
        <v/>
      </c>
      <c r="E45" s="17">
        <f>INDEX($Q$8:$Q$24,MATCH(23,$P$8:$P$24,1))+(INDEX($Q$8:$Q$24,MATCH(23,$P$8:$P$24,1)+1)-INDEX($Q$8:$Q$24,MATCH(23,$P$8:$P$24,1)))*(23-INDEX($P$8:$P$24,MATCH(23,$P$8:$P$24,1)))/(INDEX($P$8:$P$24,MATCH(23,$P$8:$P$24,1)+1)-INDEX($P$8:$P$24,MATCH(23,$P$8:$P$24,1)))</f>
        <v/>
      </c>
      <c r="F45" s="34">
        <f>(B45-$B$44)/360</f>
        <v/>
      </c>
      <c r="G45" s="36">
        <f>SUM($I$8:I44)</f>
        <v/>
      </c>
      <c r="H45" s="29">
        <f>H42*(H47/H42)^((C45-C42)/(C47-C42))</f>
        <v/>
      </c>
      <c r="I45" s="36">
        <f>F45*H45</f>
        <v/>
      </c>
      <c r="J45" s="17">
        <f>-LN(H45)/C45*100</f>
        <v/>
      </c>
      <c r="K45" s="17">
        <f>(H44/H45-1)/((B45-B44)/360)*100</f>
        <v/>
      </c>
      <c r="L45" s="30" t="n"/>
      <c r="M45" s="28">
        <f>IF(L45="","",(J45-L45)*100)</f>
        <v/>
      </c>
      <c r="N45" s="6" t="inlineStr">
        <is>
          <t>interp</t>
        </is>
      </c>
      <c r="S45" s="36">
        <f>(G45+F45*H45)</f>
        <v/>
      </c>
      <c r="T45" s="63">
        <f>IFERROR(INDEX(S490_Snapshot!$D$7:$D$38,MATCH(B45,S490_Snapshot!$A$7:$A$38,0)),"")</f>
        <v/>
      </c>
      <c r="U45" s="80">
        <f>IFERROR(INDEX(S490_Snapshot!$E$7:$E$38,MATCH(B45,S490_Snapshot!$A$7:$A$38,0)),"")</f>
        <v/>
      </c>
      <c r="V45" s="89">
        <f>IF(T45="","",(J45-T45)*100)</f>
        <v/>
      </c>
      <c r="W45" s="72">
        <f>IF(U45="","",H45-U45)</f>
        <v/>
      </c>
      <c r="X45" s="63">
        <f>IFERROR(INDEX(S490_Snapshot!$C$7:$C$38,MATCH(B45,S490_Snapshot!$A$7:$A$38,0)),"")</f>
        <v/>
      </c>
      <c r="Y45" s="89">
        <f>IF(OR(X45="",NOT(ISNUMBER(E45))),"",(E45-X45)*100)</f>
        <v/>
      </c>
    </row>
    <row r="46">
      <c r="A46" s="6" t="inlineStr">
        <is>
          <t>24Y</t>
        </is>
      </c>
      <c r="B46" s="112">
        <f>IF(MONTH(((EDATE($B$4,288))+IF(WEEKDAY((EDATE($B$4,288)),2)=6,2,IF(WEEKDAY((EDATE($B$4,288)),2)=7,1,0))))&lt;&gt;MONTH((EDATE($B$4,288))),((EDATE($B$4,288))-IF(WEEKDAY((EDATE($B$4,288)),2)=6,1,IF(WEEKDAY((EDATE($B$4,288)),2)=7,2,0))),((EDATE($B$4,288))+IF(WEEKDAY((EDATE($B$4,288)),2)=6,2,IF(WEEKDAY((EDATE($B$4,288)),2)=7,1,0))))</f>
        <v/>
      </c>
      <c r="C46" s="34">
        <f>(B46-VAL_DATE)/365</f>
        <v/>
      </c>
      <c r="D46" s="34">
        <f>(B46-$B$4)/360</f>
        <v/>
      </c>
      <c r="E46" s="17">
        <f>INDEX($Q$8:$Q$24,MATCH(24,$P$8:$P$24,1))+(INDEX($Q$8:$Q$24,MATCH(24,$P$8:$P$24,1)+1)-INDEX($Q$8:$Q$24,MATCH(24,$P$8:$P$24,1)))*(24-INDEX($P$8:$P$24,MATCH(24,$P$8:$P$24,1)))/(INDEX($P$8:$P$24,MATCH(24,$P$8:$P$24,1)+1)-INDEX($P$8:$P$24,MATCH(24,$P$8:$P$24,1)))</f>
        <v/>
      </c>
      <c r="F46" s="34">
        <f>(B46-$B$45)/360</f>
        <v/>
      </c>
      <c r="G46" s="36">
        <f>SUM($I$8:I45)</f>
        <v/>
      </c>
      <c r="H46" s="29">
        <f>H42*(H47/H42)^((C46-C42)/(C47-C42))</f>
        <v/>
      </c>
      <c r="I46" s="36">
        <f>F46*H46</f>
        <v/>
      </c>
      <c r="J46" s="17">
        <f>-LN(H46)/C46*100</f>
        <v/>
      </c>
      <c r="K46" s="17">
        <f>(H45/H46-1)/((B46-B45)/360)*100</f>
        <v/>
      </c>
      <c r="L46" s="30" t="n"/>
      <c r="M46" s="28">
        <f>IF(L46="","",(J46-L46)*100)</f>
        <v/>
      </c>
      <c r="N46" s="6" t="inlineStr">
        <is>
          <t>interp</t>
        </is>
      </c>
      <c r="S46" s="36">
        <f>(G46+F46*H46)</f>
        <v/>
      </c>
      <c r="T46" s="63">
        <f>IFERROR(INDEX(S490_Snapshot!$D$7:$D$38,MATCH(B46,S490_Snapshot!$A$7:$A$38,0)),"")</f>
        <v/>
      </c>
      <c r="U46" s="80">
        <f>IFERROR(INDEX(S490_Snapshot!$E$7:$E$38,MATCH(B46,S490_Snapshot!$A$7:$A$38,0)),"")</f>
        <v/>
      </c>
      <c r="V46" s="89">
        <f>IF(T46="","",(J46-T46)*100)</f>
        <v/>
      </c>
      <c r="W46" s="72">
        <f>IF(U46="","",H46-U46)</f>
        <v/>
      </c>
      <c r="X46" s="63">
        <f>IFERROR(INDEX(S490_Snapshot!$C$7:$C$38,MATCH(B46,S490_Snapshot!$A$7:$A$38,0)),"")</f>
        <v/>
      </c>
      <c r="Y46" s="89">
        <f>IF(OR(X46="",NOT(ISNUMBER(E46))),"",(E46-X46)*100)</f>
        <v/>
      </c>
    </row>
    <row r="47">
      <c r="A47" s="6" t="inlineStr">
        <is>
          <t>25Y</t>
        </is>
      </c>
      <c r="B47" s="112">
        <f>IF(MONTH(((EDATE($B$4,300))+IF(WEEKDAY((EDATE($B$4,300)),2)=6,2,IF(WEEKDAY((EDATE($B$4,300)),2)=7,1,0))))&lt;&gt;MONTH((EDATE($B$4,300))),((EDATE($B$4,300))-IF(WEEKDAY((EDATE($B$4,300)),2)=6,1,IF(WEEKDAY((EDATE($B$4,300)),2)=7,2,0))),((EDATE($B$4,300))+IF(WEEKDAY((EDATE($B$4,300)),2)=6,2,IF(WEEKDAY((EDATE($B$4,300)),2)=7,1,0))))</f>
        <v/>
      </c>
      <c r="C47" s="34">
        <f>(B47-VAL_DATE)/365</f>
        <v/>
      </c>
      <c r="D47" s="34">
        <f>(B47-$B$4)/360</f>
        <v/>
      </c>
      <c r="E47" s="17">
        <f>'SOFR_OIS_Quotes'!$H33</f>
        <v/>
      </c>
      <c r="F47" s="34">
        <f>(B47-$B$46)/360</f>
        <v/>
      </c>
      <c r="G47" s="36">
        <f>SUM($I$8:I46)</f>
        <v/>
      </c>
      <c r="H47" s="71">
        <f>Curve_Solver!$B$203</f>
        <v/>
      </c>
      <c r="I47" s="36">
        <f>F47*H47</f>
        <v/>
      </c>
      <c r="J47" s="17">
        <f>-LN(H47)/C47*100</f>
        <v/>
      </c>
      <c r="K47" s="17">
        <f>(H46/H47-1)/((B47-B46)/360)*100</f>
        <v/>
      </c>
      <c r="L47" s="30" t="n"/>
      <c r="M47" s="28">
        <f>IF(L47="","",(J47-L47)*100)</f>
        <v/>
      </c>
      <c r="N47" s="6" t="inlineStr">
        <is>
          <t>market</t>
        </is>
      </c>
      <c r="R47" s="72">
        <f>($D$4-(E47/100)*G47)/(1+(E47/100)*F47)-H47</f>
        <v/>
      </c>
      <c r="S47" s="36">
        <f>(G47+F47*H47)</f>
        <v/>
      </c>
      <c r="T47" s="63">
        <f>IFERROR(INDEX(S490_Snapshot!$D$7:$D$38,MATCH(B47,S490_Snapshot!$A$7:$A$38,0)),"")</f>
        <v/>
      </c>
      <c r="U47" s="80">
        <f>IFERROR(INDEX(S490_Snapshot!$E$7:$E$38,MATCH(B47,S490_Snapshot!$A$7:$A$38,0)),"")</f>
        <v/>
      </c>
      <c r="V47" s="89">
        <f>IF(T47="","",(J47-T47)*100)</f>
        <v/>
      </c>
      <c r="W47" s="72">
        <f>IF(U47="","",H47-U47)</f>
        <v/>
      </c>
      <c r="X47" s="63">
        <f>IFERROR(INDEX(S490_Snapshot!$C$7:$C$38,MATCH(B47,S490_Snapshot!$A$7:$A$38,0)),"")</f>
        <v/>
      </c>
      <c r="Y47" s="89">
        <f>IF(OR(X47="",NOT(ISNUMBER(E47))),"",(E47-X47)*100)</f>
        <v/>
      </c>
    </row>
    <row r="48">
      <c r="A48" s="6" t="inlineStr">
        <is>
          <t>26Y</t>
        </is>
      </c>
      <c r="B48" s="112">
        <f>IF(MONTH(((EDATE($B$4,312))+IF(WEEKDAY((EDATE($B$4,312)),2)=6,2,IF(WEEKDAY((EDATE($B$4,312)),2)=7,1,0))))&lt;&gt;MONTH((EDATE($B$4,312))),((EDATE($B$4,312))-IF(WEEKDAY((EDATE($B$4,312)),2)=6,1,IF(WEEKDAY((EDATE($B$4,312)),2)=7,2,0))),((EDATE($B$4,312))+IF(WEEKDAY((EDATE($B$4,312)),2)=6,2,IF(WEEKDAY((EDATE($B$4,312)),2)=7,1,0))))</f>
        <v/>
      </c>
      <c r="C48" s="34">
        <f>(B48-VAL_DATE)/365</f>
        <v/>
      </c>
      <c r="D48" s="34">
        <f>(B48-$B$4)/360</f>
        <v/>
      </c>
      <c r="E48" s="17">
        <f>INDEX($Q$8:$Q$24,MATCH(26,$P$8:$P$24,1))+(INDEX($Q$8:$Q$24,MATCH(26,$P$8:$P$24,1)+1)-INDEX($Q$8:$Q$24,MATCH(26,$P$8:$P$24,1)))*(26-INDEX($P$8:$P$24,MATCH(26,$P$8:$P$24,1)))/(INDEX($P$8:$P$24,MATCH(26,$P$8:$P$24,1)+1)-INDEX($P$8:$P$24,MATCH(26,$P$8:$P$24,1)))</f>
        <v/>
      </c>
      <c r="F48" s="34">
        <f>(B48-$B$47)/360</f>
        <v/>
      </c>
      <c r="G48" s="36">
        <f>SUM($I$8:I47)</f>
        <v/>
      </c>
      <c r="H48" s="29">
        <f>H47*(H52/H47)^((C48-C47)/(C52-C47))</f>
        <v/>
      </c>
      <c r="I48" s="36">
        <f>F48*H48</f>
        <v/>
      </c>
      <c r="J48" s="17">
        <f>-LN(H48)/C48*100</f>
        <v/>
      </c>
      <c r="K48" s="17">
        <f>(H47/H48-1)/((B48-B47)/360)*100</f>
        <v/>
      </c>
      <c r="L48" s="30" t="n"/>
      <c r="M48" s="28">
        <f>IF(L48="","",(J48-L48)*100)</f>
        <v/>
      </c>
      <c r="N48" s="6" t="inlineStr">
        <is>
          <t>interp</t>
        </is>
      </c>
      <c r="S48" s="36">
        <f>(G48+F48*H48)</f>
        <v/>
      </c>
      <c r="T48" s="63">
        <f>IFERROR(INDEX(S490_Snapshot!$D$7:$D$38,MATCH(B48,S490_Snapshot!$A$7:$A$38,0)),"")</f>
        <v/>
      </c>
      <c r="U48" s="80">
        <f>IFERROR(INDEX(S490_Snapshot!$E$7:$E$38,MATCH(B48,S490_Snapshot!$A$7:$A$38,0)),"")</f>
        <v/>
      </c>
      <c r="V48" s="89">
        <f>IF(T48="","",(J48-T48)*100)</f>
        <v/>
      </c>
      <c r="W48" s="72">
        <f>IF(U48="","",H48-U48)</f>
        <v/>
      </c>
      <c r="X48" s="63">
        <f>IFERROR(INDEX(S490_Snapshot!$C$7:$C$38,MATCH(B48,S490_Snapshot!$A$7:$A$38,0)),"")</f>
        <v/>
      </c>
      <c r="Y48" s="89">
        <f>IF(OR(X48="",NOT(ISNUMBER(E48))),"",(E48-X48)*100)</f>
        <v/>
      </c>
    </row>
    <row r="49">
      <c r="A49" s="6" t="inlineStr">
        <is>
          <t>27Y</t>
        </is>
      </c>
      <c r="B49" s="112">
        <f>IF(MONTH(((EDATE($B$4,324))+IF(WEEKDAY((EDATE($B$4,324)),2)=6,2,IF(WEEKDAY((EDATE($B$4,324)),2)=7,1,0))))&lt;&gt;MONTH((EDATE($B$4,324))),((EDATE($B$4,324))-IF(WEEKDAY((EDATE($B$4,324)),2)=6,1,IF(WEEKDAY((EDATE($B$4,324)),2)=7,2,0))),((EDATE($B$4,324))+IF(WEEKDAY((EDATE($B$4,324)),2)=6,2,IF(WEEKDAY((EDATE($B$4,324)),2)=7,1,0))))</f>
        <v/>
      </c>
      <c r="C49" s="34">
        <f>(B49-VAL_DATE)/365</f>
        <v/>
      </c>
      <c r="D49" s="34">
        <f>(B49-$B$4)/360</f>
        <v/>
      </c>
      <c r="E49" s="17">
        <f>INDEX($Q$8:$Q$24,MATCH(27,$P$8:$P$24,1))+(INDEX($Q$8:$Q$24,MATCH(27,$P$8:$P$24,1)+1)-INDEX($Q$8:$Q$24,MATCH(27,$P$8:$P$24,1)))*(27-INDEX($P$8:$P$24,MATCH(27,$P$8:$P$24,1)))/(INDEX($P$8:$P$24,MATCH(27,$P$8:$P$24,1)+1)-INDEX($P$8:$P$24,MATCH(27,$P$8:$P$24,1)))</f>
        <v/>
      </c>
      <c r="F49" s="34">
        <f>(B49-$B$48)/360</f>
        <v/>
      </c>
      <c r="G49" s="36">
        <f>SUM($I$8:I48)</f>
        <v/>
      </c>
      <c r="H49" s="29">
        <f>H47*(H52/H47)^((C49-C47)/(C52-C47))</f>
        <v/>
      </c>
      <c r="I49" s="36">
        <f>F49*H49</f>
        <v/>
      </c>
      <c r="J49" s="17">
        <f>-LN(H49)/C49*100</f>
        <v/>
      </c>
      <c r="K49" s="17">
        <f>(H48/H49-1)/((B49-B48)/360)*100</f>
        <v/>
      </c>
      <c r="L49" s="30" t="n"/>
      <c r="M49" s="28">
        <f>IF(L49="","",(J49-L49)*100)</f>
        <v/>
      </c>
      <c r="N49" s="6" t="inlineStr">
        <is>
          <t>interp</t>
        </is>
      </c>
      <c r="S49" s="36">
        <f>(G49+F49*H49)</f>
        <v/>
      </c>
      <c r="T49" s="63">
        <f>IFERROR(INDEX(S490_Snapshot!$D$7:$D$38,MATCH(B49,S490_Snapshot!$A$7:$A$38,0)),"")</f>
        <v/>
      </c>
      <c r="U49" s="80">
        <f>IFERROR(INDEX(S490_Snapshot!$E$7:$E$38,MATCH(B49,S490_Snapshot!$A$7:$A$38,0)),"")</f>
        <v/>
      </c>
      <c r="V49" s="89">
        <f>IF(T49="","",(J49-T49)*100)</f>
        <v/>
      </c>
      <c r="W49" s="72">
        <f>IF(U49="","",H49-U49)</f>
        <v/>
      </c>
      <c r="X49" s="63">
        <f>IFERROR(INDEX(S490_Snapshot!$C$7:$C$38,MATCH(B49,S490_Snapshot!$A$7:$A$38,0)),"")</f>
        <v/>
      </c>
      <c r="Y49" s="89">
        <f>IF(OR(X49="",NOT(ISNUMBER(E49))),"",(E49-X49)*100)</f>
        <v/>
      </c>
    </row>
    <row r="50">
      <c r="A50" s="6" t="inlineStr">
        <is>
          <t>28Y</t>
        </is>
      </c>
      <c r="B50" s="112">
        <f>IF(MONTH(((EDATE($B$4,336))+IF(WEEKDAY((EDATE($B$4,336)),2)=6,2,IF(WEEKDAY((EDATE($B$4,336)),2)=7,1,0))))&lt;&gt;MONTH((EDATE($B$4,336))),((EDATE($B$4,336))-IF(WEEKDAY((EDATE($B$4,336)),2)=6,1,IF(WEEKDAY((EDATE($B$4,336)),2)=7,2,0))),((EDATE($B$4,336))+IF(WEEKDAY((EDATE($B$4,336)),2)=6,2,IF(WEEKDAY((EDATE($B$4,336)),2)=7,1,0))))</f>
        <v/>
      </c>
      <c r="C50" s="34">
        <f>(B50-VAL_DATE)/365</f>
        <v/>
      </c>
      <c r="D50" s="34">
        <f>(B50-$B$4)/360</f>
        <v/>
      </c>
      <c r="E50" s="17">
        <f>INDEX($Q$8:$Q$24,MATCH(28,$P$8:$P$24,1))+(INDEX($Q$8:$Q$24,MATCH(28,$P$8:$P$24,1)+1)-INDEX($Q$8:$Q$24,MATCH(28,$P$8:$P$24,1)))*(28-INDEX($P$8:$P$24,MATCH(28,$P$8:$P$24,1)))/(INDEX($P$8:$P$24,MATCH(28,$P$8:$P$24,1)+1)-INDEX($P$8:$P$24,MATCH(28,$P$8:$P$24,1)))</f>
        <v/>
      </c>
      <c r="F50" s="34">
        <f>(B50-$B$49)/360</f>
        <v/>
      </c>
      <c r="G50" s="36">
        <f>SUM($I$8:I49)</f>
        <v/>
      </c>
      <c r="H50" s="29">
        <f>H47*(H52/H47)^((C50-C47)/(C52-C47))</f>
        <v/>
      </c>
      <c r="I50" s="36">
        <f>F50*H50</f>
        <v/>
      </c>
      <c r="J50" s="17">
        <f>-LN(H50)/C50*100</f>
        <v/>
      </c>
      <c r="K50" s="17">
        <f>(H49/H50-1)/((B50-B49)/360)*100</f>
        <v/>
      </c>
      <c r="L50" s="30" t="n"/>
      <c r="M50" s="28">
        <f>IF(L50="","",(J50-L50)*100)</f>
        <v/>
      </c>
      <c r="N50" s="6" t="inlineStr">
        <is>
          <t>interp</t>
        </is>
      </c>
      <c r="S50" s="36">
        <f>(G50+F50*H50)</f>
        <v/>
      </c>
      <c r="T50" s="63">
        <f>IFERROR(INDEX(S490_Snapshot!$D$7:$D$38,MATCH(B50,S490_Snapshot!$A$7:$A$38,0)),"")</f>
        <v/>
      </c>
      <c r="U50" s="80">
        <f>IFERROR(INDEX(S490_Snapshot!$E$7:$E$38,MATCH(B50,S490_Snapshot!$A$7:$A$38,0)),"")</f>
        <v/>
      </c>
      <c r="V50" s="89">
        <f>IF(T50="","",(J50-T50)*100)</f>
        <v/>
      </c>
      <c r="W50" s="72">
        <f>IF(U50="","",H50-U50)</f>
        <v/>
      </c>
      <c r="X50" s="63">
        <f>IFERROR(INDEX(S490_Snapshot!$C$7:$C$38,MATCH(B50,S490_Snapshot!$A$7:$A$38,0)),"")</f>
        <v/>
      </c>
      <c r="Y50" s="89">
        <f>IF(OR(X50="",NOT(ISNUMBER(E50))),"",(E50-X50)*100)</f>
        <v/>
      </c>
    </row>
    <row r="51">
      <c r="A51" s="6" t="inlineStr">
        <is>
          <t>29Y</t>
        </is>
      </c>
      <c r="B51" s="112">
        <f>IF(MONTH(((EDATE($B$4,348))+IF(WEEKDAY((EDATE($B$4,348)),2)=6,2,IF(WEEKDAY((EDATE($B$4,348)),2)=7,1,0))))&lt;&gt;MONTH((EDATE($B$4,348))),((EDATE($B$4,348))-IF(WEEKDAY((EDATE($B$4,348)),2)=6,1,IF(WEEKDAY((EDATE($B$4,348)),2)=7,2,0))),((EDATE($B$4,348))+IF(WEEKDAY((EDATE($B$4,348)),2)=6,2,IF(WEEKDAY((EDATE($B$4,348)),2)=7,1,0))))</f>
        <v/>
      </c>
      <c r="C51" s="34">
        <f>(B51-VAL_DATE)/365</f>
        <v/>
      </c>
      <c r="D51" s="34">
        <f>(B51-$B$4)/360</f>
        <v/>
      </c>
      <c r="E51" s="17">
        <f>INDEX($Q$8:$Q$24,MATCH(29,$P$8:$P$24,1))+(INDEX($Q$8:$Q$24,MATCH(29,$P$8:$P$24,1)+1)-INDEX($Q$8:$Q$24,MATCH(29,$P$8:$P$24,1)))*(29-INDEX($P$8:$P$24,MATCH(29,$P$8:$P$24,1)))/(INDEX($P$8:$P$24,MATCH(29,$P$8:$P$24,1)+1)-INDEX($P$8:$P$24,MATCH(29,$P$8:$P$24,1)))</f>
        <v/>
      </c>
      <c r="F51" s="34">
        <f>(B51-$B$50)/360</f>
        <v/>
      </c>
      <c r="G51" s="36">
        <f>SUM($I$8:I50)</f>
        <v/>
      </c>
      <c r="H51" s="29">
        <f>H47*(H52/H47)^((C51-C47)/(C52-C47))</f>
        <v/>
      </c>
      <c r="I51" s="36">
        <f>F51*H51</f>
        <v/>
      </c>
      <c r="J51" s="17">
        <f>-LN(H51)/C51*100</f>
        <v/>
      </c>
      <c r="K51" s="17">
        <f>(H50/H51-1)/((B51-B50)/360)*100</f>
        <v/>
      </c>
      <c r="L51" s="30" t="n"/>
      <c r="M51" s="28">
        <f>IF(L51="","",(J51-L51)*100)</f>
        <v/>
      </c>
      <c r="N51" s="6" t="inlineStr">
        <is>
          <t>interp</t>
        </is>
      </c>
      <c r="S51" s="36">
        <f>(G51+F51*H51)</f>
        <v/>
      </c>
      <c r="T51" s="63">
        <f>IFERROR(INDEX(S490_Snapshot!$D$7:$D$38,MATCH(B51,S490_Snapshot!$A$7:$A$38,0)),"")</f>
        <v/>
      </c>
      <c r="U51" s="80">
        <f>IFERROR(INDEX(S490_Snapshot!$E$7:$E$38,MATCH(B51,S490_Snapshot!$A$7:$A$38,0)),"")</f>
        <v/>
      </c>
      <c r="V51" s="89">
        <f>IF(T51="","",(J51-T51)*100)</f>
        <v/>
      </c>
      <c r="W51" s="72">
        <f>IF(U51="","",H51-U51)</f>
        <v/>
      </c>
      <c r="X51" s="63">
        <f>IFERROR(INDEX(S490_Snapshot!$C$7:$C$38,MATCH(B51,S490_Snapshot!$A$7:$A$38,0)),"")</f>
        <v/>
      </c>
      <c r="Y51" s="89">
        <f>IF(OR(X51="",NOT(ISNUMBER(E51))),"",(E51-X51)*100)</f>
        <v/>
      </c>
    </row>
    <row r="52">
      <c r="A52" s="6" t="inlineStr">
        <is>
          <t>30Y</t>
        </is>
      </c>
      <c r="B52" s="112">
        <f>IF(MONTH(((EDATE($B$4,360))+IF(WEEKDAY((EDATE($B$4,360)),2)=6,2,IF(WEEKDAY((EDATE($B$4,360)),2)=7,1,0))))&lt;&gt;MONTH((EDATE($B$4,360))),((EDATE($B$4,360))-IF(WEEKDAY((EDATE($B$4,360)),2)=6,1,IF(WEEKDAY((EDATE($B$4,360)),2)=7,2,0))),((EDATE($B$4,360))+IF(WEEKDAY((EDATE($B$4,360)),2)=6,2,IF(WEEKDAY((EDATE($B$4,360)),2)=7,1,0))))</f>
        <v/>
      </c>
      <c r="C52" s="34">
        <f>(B52-VAL_DATE)/365</f>
        <v/>
      </c>
      <c r="D52" s="34">
        <f>(B52-$B$4)/360</f>
        <v/>
      </c>
      <c r="E52" s="17">
        <f>'SOFR_OIS_Quotes'!$H34</f>
        <v/>
      </c>
      <c r="F52" s="34">
        <f>(B52-$B$51)/360</f>
        <v/>
      </c>
      <c r="G52" s="36">
        <f>SUM($I$8:I51)</f>
        <v/>
      </c>
      <c r="H52" s="71">
        <f>Curve_Solver!$B$253</f>
        <v/>
      </c>
      <c r="I52" s="36">
        <f>F52*H52</f>
        <v/>
      </c>
      <c r="J52" s="17">
        <f>-LN(H52)/C52*100</f>
        <v/>
      </c>
      <c r="K52" s="17">
        <f>(H51/H52-1)/((B52-B51)/360)*100</f>
        <v/>
      </c>
      <c r="L52" s="30" t="n"/>
      <c r="M52" s="28">
        <f>IF(L52="","",(J52-L52)*100)</f>
        <v/>
      </c>
      <c r="N52" s="6" t="inlineStr">
        <is>
          <t>market</t>
        </is>
      </c>
      <c r="R52" s="72">
        <f>($D$4-(E52/100)*G52)/(1+(E52/100)*F52)-H52</f>
        <v/>
      </c>
      <c r="S52" s="36">
        <f>(G52+F52*H52)</f>
        <v/>
      </c>
      <c r="T52" s="63">
        <f>IFERROR(INDEX(S490_Snapshot!$D$7:$D$38,MATCH(B52,S490_Snapshot!$A$7:$A$38,0)),"")</f>
        <v/>
      </c>
      <c r="U52" s="80">
        <f>IFERROR(INDEX(S490_Snapshot!$E$7:$E$38,MATCH(B52,S490_Snapshot!$A$7:$A$38,0)),"")</f>
        <v/>
      </c>
      <c r="V52" s="89">
        <f>IF(T52="","",(J52-T52)*100)</f>
        <v/>
      </c>
      <c r="W52" s="72">
        <f>IF(U52="","",H52-U52)</f>
        <v/>
      </c>
      <c r="X52" s="63">
        <f>IFERROR(INDEX(S490_Snapshot!$C$7:$C$38,MATCH(B52,S490_Snapshot!$A$7:$A$38,0)),"")</f>
        <v/>
      </c>
      <c r="Y52" s="89">
        <f>IF(OR(X52="",NOT(ISNUMBER(E52))),"",(E52-X52)*100)</f>
        <v/>
      </c>
    </row>
    <row r="53">
      <c r="A53" s="6" t="inlineStr">
        <is>
          <t>31Y</t>
        </is>
      </c>
      <c r="B53" s="112">
        <f>IF(MONTH(((EDATE($B$4,372))+IF(WEEKDAY((EDATE($B$4,372)),2)=6,2,IF(WEEKDAY((EDATE($B$4,372)),2)=7,1,0))))&lt;&gt;MONTH((EDATE($B$4,372))),((EDATE($B$4,372))-IF(WEEKDAY((EDATE($B$4,372)),2)=6,1,IF(WEEKDAY((EDATE($B$4,372)),2)=7,2,0))),((EDATE($B$4,372))+IF(WEEKDAY((EDATE($B$4,372)),2)=6,2,IF(WEEKDAY((EDATE($B$4,372)),2)=7,1,0))))</f>
        <v/>
      </c>
      <c r="C53" s="34">
        <f>(B53-VAL_DATE)/365</f>
        <v/>
      </c>
      <c r="D53" s="34">
        <f>(B53-$B$4)/360</f>
        <v/>
      </c>
      <c r="E53" s="17">
        <f>INDEX($Q$8:$Q$24,MATCH(31,$P$8:$P$24,1))+(INDEX($Q$8:$Q$24,MATCH(31,$P$8:$P$24,1)+1)-INDEX($Q$8:$Q$24,MATCH(31,$P$8:$P$24,1)))*(31-INDEX($P$8:$P$24,MATCH(31,$P$8:$P$24,1)))/(INDEX($P$8:$P$24,MATCH(31,$P$8:$P$24,1)+1)-INDEX($P$8:$P$24,MATCH(31,$P$8:$P$24,1)))</f>
        <v/>
      </c>
      <c r="F53" s="34">
        <f>(B53-$B$52)/360</f>
        <v/>
      </c>
      <c r="G53" s="36">
        <f>SUM($I$8:I52)</f>
        <v/>
      </c>
      <c r="H53" s="29">
        <f>H52*(H62/H52)^((C53-C52)/(C62-C52))</f>
        <v/>
      </c>
      <c r="I53" s="36">
        <f>F53*H53</f>
        <v/>
      </c>
      <c r="J53" s="17">
        <f>-LN(H53)/C53*100</f>
        <v/>
      </c>
      <c r="K53" s="17">
        <f>(H52/H53-1)/((B53-B52)/360)*100</f>
        <v/>
      </c>
      <c r="L53" s="30" t="n"/>
      <c r="M53" s="28">
        <f>IF(L53="","",(J53-L53)*100)</f>
        <v/>
      </c>
      <c r="N53" s="6" t="inlineStr">
        <is>
          <t>interp</t>
        </is>
      </c>
      <c r="S53" s="36">
        <f>(G53+F53*H53)</f>
        <v/>
      </c>
      <c r="T53" s="63">
        <f>IFERROR(INDEX(S490_Snapshot!$D$7:$D$38,MATCH(B53,S490_Snapshot!$A$7:$A$38,0)),"")</f>
        <v/>
      </c>
      <c r="U53" s="80">
        <f>IFERROR(INDEX(S490_Snapshot!$E$7:$E$38,MATCH(B53,S490_Snapshot!$A$7:$A$38,0)),"")</f>
        <v/>
      </c>
      <c r="V53" s="89">
        <f>IF(T53="","",(J53-T53)*100)</f>
        <v/>
      </c>
      <c r="W53" s="72">
        <f>IF(U53="","",H53-U53)</f>
        <v/>
      </c>
      <c r="X53" s="63">
        <f>IFERROR(INDEX(S490_Snapshot!$C$7:$C$38,MATCH(B53,S490_Snapshot!$A$7:$A$38,0)),"")</f>
        <v/>
      </c>
      <c r="Y53" s="89">
        <f>IF(OR(X53="",NOT(ISNUMBER(E53))),"",(E53-X53)*100)</f>
        <v/>
      </c>
    </row>
    <row r="54">
      <c r="A54" s="6" t="inlineStr">
        <is>
          <t>32Y</t>
        </is>
      </c>
      <c r="B54" s="112">
        <f>IF(MONTH(((EDATE($B$4,384))+IF(WEEKDAY((EDATE($B$4,384)),2)=6,2,IF(WEEKDAY((EDATE($B$4,384)),2)=7,1,0))))&lt;&gt;MONTH((EDATE($B$4,384))),((EDATE($B$4,384))-IF(WEEKDAY((EDATE($B$4,384)),2)=6,1,IF(WEEKDAY((EDATE($B$4,384)),2)=7,2,0))),((EDATE($B$4,384))+IF(WEEKDAY((EDATE($B$4,384)),2)=6,2,IF(WEEKDAY((EDATE($B$4,384)),2)=7,1,0))))</f>
        <v/>
      </c>
      <c r="C54" s="34">
        <f>(B54-VAL_DATE)/365</f>
        <v/>
      </c>
      <c r="D54" s="34">
        <f>(B54-$B$4)/360</f>
        <v/>
      </c>
      <c r="E54" s="17">
        <f>INDEX($Q$8:$Q$24,MATCH(32,$P$8:$P$24,1))+(INDEX($Q$8:$Q$24,MATCH(32,$P$8:$P$24,1)+1)-INDEX($Q$8:$Q$24,MATCH(32,$P$8:$P$24,1)))*(32-INDEX($P$8:$P$24,MATCH(32,$P$8:$P$24,1)))/(INDEX($P$8:$P$24,MATCH(32,$P$8:$P$24,1)+1)-INDEX($P$8:$P$24,MATCH(32,$P$8:$P$24,1)))</f>
        <v/>
      </c>
      <c r="F54" s="34">
        <f>(B54-$B$53)/360</f>
        <v/>
      </c>
      <c r="G54" s="36">
        <f>SUM($I$8:I53)</f>
        <v/>
      </c>
      <c r="H54" s="29">
        <f>H52*(H62/H52)^((C54-C52)/(C62-C52))</f>
        <v/>
      </c>
      <c r="I54" s="36">
        <f>F54*H54</f>
        <v/>
      </c>
      <c r="J54" s="17">
        <f>-LN(H54)/C54*100</f>
        <v/>
      </c>
      <c r="K54" s="17">
        <f>(H53/H54-1)/((B54-B53)/360)*100</f>
        <v/>
      </c>
      <c r="L54" s="30" t="n"/>
      <c r="M54" s="28">
        <f>IF(L54="","",(J54-L54)*100)</f>
        <v/>
      </c>
      <c r="N54" s="6" t="inlineStr">
        <is>
          <t>interp</t>
        </is>
      </c>
      <c r="S54" s="36">
        <f>(G54+F54*H54)</f>
        <v/>
      </c>
      <c r="T54" s="63">
        <f>IFERROR(INDEX(S490_Snapshot!$D$7:$D$38,MATCH(B54,S490_Snapshot!$A$7:$A$38,0)),"")</f>
        <v/>
      </c>
      <c r="U54" s="80">
        <f>IFERROR(INDEX(S490_Snapshot!$E$7:$E$38,MATCH(B54,S490_Snapshot!$A$7:$A$38,0)),"")</f>
        <v/>
      </c>
      <c r="V54" s="89">
        <f>IF(T54="","",(J54-T54)*100)</f>
        <v/>
      </c>
      <c r="W54" s="72">
        <f>IF(U54="","",H54-U54)</f>
        <v/>
      </c>
      <c r="X54" s="63">
        <f>IFERROR(INDEX(S490_Snapshot!$C$7:$C$38,MATCH(B54,S490_Snapshot!$A$7:$A$38,0)),"")</f>
        <v/>
      </c>
      <c r="Y54" s="89">
        <f>IF(OR(X54="",NOT(ISNUMBER(E54))),"",(E54-X54)*100)</f>
        <v/>
      </c>
    </row>
    <row r="55">
      <c r="A55" s="6" t="inlineStr">
        <is>
          <t>33Y</t>
        </is>
      </c>
      <c r="B55" s="112">
        <f>IF(MONTH(((EDATE($B$4,396))+IF(WEEKDAY((EDATE($B$4,396)),2)=6,2,IF(WEEKDAY((EDATE($B$4,396)),2)=7,1,0))))&lt;&gt;MONTH((EDATE($B$4,396))),((EDATE($B$4,396))-IF(WEEKDAY((EDATE($B$4,396)),2)=6,1,IF(WEEKDAY((EDATE($B$4,396)),2)=7,2,0))),((EDATE($B$4,396))+IF(WEEKDAY((EDATE($B$4,396)),2)=6,2,IF(WEEKDAY((EDATE($B$4,396)),2)=7,1,0))))</f>
        <v/>
      </c>
      <c r="C55" s="34">
        <f>(B55-VAL_DATE)/365</f>
        <v/>
      </c>
      <c r="D55" s="34">
        <f>(B55-$B$4)/360</f>
        <v/>
      </c>
      <c r="E55" s="17">
        <f>INDEX($Q$8:$Q$24,MATCH(33,$P$8:$P$24,1))+(INDEX($Q$8:$Q$24,MATCH(33,$P$8:$P$24,1)+1)-INDEX($Q$8:$Q$24,MATCH(33,$P$8:$P$24,1)))*(33-INDEX($P$8:$P$24,MATCH(33,$P$8:$P$24,1)))/(INDEX($P$8:$P$24,MATCH(33,$P$8:$P$24,1)+1)-INDEX($P$8:$P$24,MATCH(33,$P$8:$P$24,1)))</f>
        <v/>
      </c>
      <c r="F55" s="34">
        <f>(B55-$B$54)/360</f>
        <v/>
      </c>
      <c r="G55" s="36">
        <f>SUM($I$8:I54)</f>
        <v/>
      </c>
      <c r="H55" s="29">
        <f>H52*(H62/H52)^((C55-C52)/(C62-C52))</f>
        <v/>
      </c>
      <c r="I55" s="36">
        <f>F55*H55</f>
        <v/>
      </c>
      <c r="J55" s="17">
        <f>-LN(H55)/C55*100</f>
        <v/>
      </c>
      <c r="K55" s="17">
        <f>(H54/H55-1)/((B55-B54)/360)*100</f>
        <v/>
      </c>
      <c r="L55" s="30" t="n"/>
      <c r="M55" s="28">
        <f>IF(L55="","",(J55-L55)*100)</f>
        <v/>
      </c>
      <c r="N55" s="6" t="inlineStr">
        <is>
          <t>interp</t>
        </is>
      </c>
      <c r="S55" s="36">
        <f>(G55+F55*H55)</f>
        <v/>
      </c>
      <c r="T55" s="63">
        <f>IFERROR(INDEX(S490_Snapshot!$D$7:$D$38,MATCH(B55,S490_Snapshot!$A$7:$A$38,0)),"")</f>
        <v/>
      </c>
      <c r="U55" s="80">
        <f>IFERROR(INDEX(S490_Snapshot!$E$7:$E$38,MATCH(B55,S490_Snapshot!$A$7:$A$38,0)),"")</f>
        <v/>
      </c>
      <c r="V55" s="89">
        <f>IF(T55="","",(J55-T55)*100)</f>
        <v/>
      </c>
      <c r="W55" s="72">
        <f>IF(U55="","",H55-U55)</f>
        <v/>
      </c>
      <c r="X55" s="63">
        <f>IFERROR(INDEX(S490_Snapshot!$C$7:$C$38,MATCH(B55,S490_Snapshot!$A$7:$A$38,0)),"")</f>
        <v/>
      </c>
      <c r="Y55" s="89">
        <f>IF(OR(X55="",NOT(ISNUMBER(E55))),"",(E55-X55)*100)</f>
        <v/>
      </c>
    </row>
    <row r="56">
      <c r="A56" s="6" t="inlineStr">
        <is>
          <t>34Y</t>
        </is>
      </c>
      <c r="B56" s="112">
        <f>IF(MONTH(((EDATE($B$4,408))+IF(WEEKDAY((EDATE($B$4,408)),2)=6,2,IF(WEEKDAY((EDATE($B$4,408)),2)=7,1,0))))&lt;&gt;MONTH((EDATE($B$4,408))),((EDATE($B$4,408))-IF(WEEKDAY((EDATE($B$4,408)),2)=6,1,IF(WEEKDAY((EDATE($B$4,408)),2)=7,2,0))),((EDATE($B$4,408))+IF(WEEKDAY((EDATE($B$4,408)),2)=6,2,IF(WEEKDAY((EDATE($B$4,408)),2)=7,1,0))))</f>
        <v/>
      </c>
      <c r="C56" s="34">
        <f>(B56-VAL_DATE)/365</f>
        <v/>
      </c>
      <c r="D56" s="34">
        <f>(B56-$B$4)/360</f>
        <v/>
      </c>
      <c r="E56" s="17">
        <f>INDEX($Q$8:$Q$24,MATCH(34,$P$8:$P$24,1))+(INDEX($Q$8:$Q$24,MATCH(34,$P$8:$P$24,1)+1)-INDEX($Q$8:$Q$24,MATCH(34,$P$8:$P$24,1)))*(34-INDEX($P$8:$P$24,MATCH(34,$P$8:$P$24,1)))/(INDEX($P$8:$P$24,MATCH(34,$P$8:$P$24,1)+1)-INDEX($P$8:$P$24,MATCH(34,$P$8:$P$24,1)))</f>
        <v/>
      </c>
      <c r="F56" s="34">
        <f>(B56-$B$55)/360</f>
        <v/>
      </c>
      <c r="G56" s="36">
        <f>SUM($I$8:I55)</f>
        <v/>
      </c>
      <c r="H56" s="29">
        <f>H52*(H62/H52)^((C56-C52)/(C62-C52))</f>
        <v/>
      </c>
      <c r="I56" s="36">
        <f>F56*H56</f>
        <v/>
      </c>
      <c r="J56" s="17">
        <f>-LN(H56)/C56*100</f>
        <v/>
      </c>
      <c r="K56" s="17">
        <f>(H55/H56-1)/((B56-B55)/360)*100</f>
        <v/>
      </c>
      <c r="L56" s="30" t="n"/>
      <c r="M56" s="28">
        <f>IF(L56="","",(J56-L56)*100)</f>
        <v/>
      </c>
      <c r="N56" s="6" t="inlineStr">
        <is>
          <t>interp</t>
        </is>
      </c>
      <c r="S56" s="36">
        <f>(G56+F56*H56)</f>
        <v/>
      </c>
      <c r="T56" s="63">
        <f>IFERROR(INDEX(S490_Snapshot!$D$7:$D$38,MATCH(B56,S490_Snapshot!$A$7:$A$38,0)),"")</f>
        <v/>
      </c>
      <c r="U56" s="80">
        <f>IFERROR(INDEX(S490_Snapshot!$E$7:$E$38,MATCH(B56,S490_Snapshot!$A$7:$A$38,0)),"")</f>
        <v/>
      </c>
      <c r="V56" s="89">
        <f>IF(T56="","",(J56-T56)*100)</f>
        <v/>
      </c>
      <c r="W56" s="72">
        <f>IF(U56="","",H56-U56)</f>
        <v/>
      </c>
      <c r="X56" s="63">
        <f>IFERROR(INDEX(S490_Snapshot!$C$7:$C$38,MATCH(B56,S490_Snapshot!$A$7:$A$38,0)),"")</f>
        <v/>
      </c>
      <c r="Y56" s="89">
        <f>IF(OR(X56="",NOT(ISNUMBER(E56))),"",(E56-X56)*100)</f>
        <v/>
      </c>
    </row>
    <row r="57">
      <c r="A57" s="6" t="inlineStr">
        <is>
          <t>35Y</t>
        </is>
      </c>
      <c r="B57" s="112">
        <f>IF(MONTH(((EDATE($B$4,420))+IF(WEEKDAY((EDATE($B$4,420)),2)=6,2,IF(WEEKDAY((EDATE($B$4,420)),2)=7,1,0))))&lt;&gt;MONTH((EDATE($B$4,420))),((EDATE($B$4,420))-IF(WEEKDAY((EDATE($B$4,420)),2)=6,1,IF(WEEKDAY((EDATE($B$4,420)),2)=7,2,0))),((EDATE($B$4,420))+IF(WEEKDAY((EDATE($B$4,420)),2)=6,2,IF(WEEKDAY((EDATE($B$4,420)),2)=7,1,0))))</f>
        <v/>
      </c>
      <c r="C57" s="34">
        <f>(B57-VAL_DATE)/365</f>
        <v/>
      </c>
      <c r="D57" s="34">
        <f>(B57-$B$4)/360</f>
        <v/>
      </c>
      <c r="E57" s="17">
        <f>INDEX($Q$8:$Q$24,MATCH(35,$P$8:$P$24,1))+(INDEX($Q$8:$Q$24,MATCH(35,$P$8:$P$24,1)+1)-INDEX($Q$8:$Q$24,MATCH(35,$P$8:$P$24,1)))*(35-INDEX($P$8:$P$24,MATCH(35,$P$8:$P$24,1)))/(INDEX($P$8:$P$24,MATCH(35,$P$8:$P$24,1)+1)-INDEX($P$8:$P$24,MATCH(35,$P$8:$P$24,1)))</f>
        <v/>
      </c>
      <c r="F57" s="34">
        <f>(B57-$B$56)/360</f>
        <v/>
      </c>
      <c r="G57" s="36">
        <f>SUM($I$8:I56)</f>
        <v/>
      </c>
      <c r="H57" s="29">
        <f>H52*(H62/H52)^((C57-C52)/(C62-C52))</f>
        <v/>
      </c>
      <c r="I57" s="36">
        <f>F57*H57</f>
        <v/>
      </c>
      <c r="J57" s="17">
        <f>-LN(H57)/C57*100</f>
        <v/>
      </c>
      <c r="K57" s="17">
        <f>(H56/H57-1)/((B57-B56)/360)*100</f>
        <v/>
      </c>
      <c r="L57" s="30" t="n"/>
      <c r="M57" s="28">
        <f>IF(L57="","",(J57-L57)*100)</f>
        <v/>
      </c>
      <c r="N57" s="6" t="inlineStr">
        <is>
          <t>interp</t>
        </is>
      </c>
      <c r="S57" s="36">
        <f>(G57+F57*H57)</f>
        <v/>
      </c>
      <c r="T57" s="63">
        <f>IFERROR(INDEX(S490_Snapshot!$D$7:$D$38,MATCH(B57,S490_Snapshot!$A$7:$A$38,0)),"")</f>
        <v/>
      </c>
      <c r="U57" s="80">
        <f>IFERROR(INDEX(S490_Snapshot!$E$7:$E$38,MATCH(B57,S490_Snapshot!$A$7:$A$38,0)),"")</f>
        <v/>
      </c>
      <c r="V57" s="89">
        <f>IF(T57="","",(J57-T57)*100)</f>
        <v/>
      </c>
      <c r="W57" s="72">
        <f>IF(U57="","",H57-U57)</f>
        <v/>
      </c>
      <c r="X57" s="63">
        <f>IFERROR(INDEX(S490_Snapshot!$C$7:$C$38,MATCH(B57,S490_Snapshot!$A$7:$A$38,0)),"")</f>
        <v/>
      </c>
      <c r="Y57" s="89">
        <f>IF(OR(X57="",NOT(ISNUMBER(E57))),"",(E57-X57)*100)</f>
        <v/>
      </c>
    </row>
    <row r="58">
      <c r="A58" s="6" t="inlineStr">
        <is>
          <t>36Y</t>
        </is>
      </c>
      <c r="B58" s="112">
        <f>IF(MONTH(((EDATE($B$4,432))+IF(WEEKDAY((EDATE($B$4,432)),2)=6,2,IF(WEEKDAY((EDATE($B$4,432)),2)=7,1,0))))&lt;&gt;MONTH((EDATE($B$4,432))),((EDATE($B$4,432))-IF(WEEKDAY((EDATE($B$4,432)),2)=6,1,IF(WEEKDAY((EDATE($B$4,432)),2)=7,2,0))),((EDATE($B$4,432))+IF(WEEKDAY((EDATE($B$4,432)),2)=6,2,IF(WEEKDAY((EDATE($B$4,432)),2)=7,1,0))))</f>
        <v/>
      </c>
      <c r="C58" s="34">
        <f>(B58-VAL_DATE)/365</f>
        <v/>
      </c>
      <c r="D58" s="34">
        <f>(B58-$B$4)/360</f>
        <v/>
      </c>
      <c r="E58" s="17">
        <f>INDEX($Q$8:$Q$24,MATCH(36,$P$8:$P$24,1))+(INDEX($Q$8:$Q$24,MATCH(36,$P$8:$P$24,1)+1)-INDEX($Q$8:$Q$24,MATCH(36,$P$8:$P$24,1)))*(36-INDEX($P$8:$P$24,MATCH(36,$P$8:$P$24,1)))/(INDEX($P$8:$P$24,MATCH(36,$P$8:$P$24,1)+1)-INDEX($P$8:$P$24,MATCH(36,$P$8:$P$24,1)))</f>
        <v/>
      </c>
      <c r="F58" s="34">
        <f>(B58-$B$57)/360</f>
        <v/>
      </c>
      <c r="G58" s="36">
        <f>SUM($I$8:I57)</f>
        <v/>
      </c>
      <c r="H58" s="29">
        <f>H52*(H62/H52)^((C58-C52)/(C62-C52))</f>
        <v/>
      </c>
      <c r="I58" s="36">
        <f>F58*H58</f>
        <v/>
      </c>
      <c r="J58" s="17">
        <f>-LN(H58)/C58*100</f>
        <v/>
      </c>
      <c r="K58" s="17">
        <f>(H57/H58-1)/((B58-B57)/360)*100</f>
        <v/>
      </c>
      <c r="L58" s="30" t="n"/>
      <c r="M58" s="28">
        <f>IF(L58="","",(J58-L58)*100)</f>
        <v/>
      </c>
      <c r="N58" s="6" t="inlineStr">
        <is>
          <t>interp</t>
        </is>
      </c>
      <c r="S58" s="36">
        <f>(G58+F58*H58)</f>
        <v/>
      </c>
      <c r="T58" s="63">
        <f>IFERROR(INDEX(S490_Snapshot!$D$7:$D$38,MATCH(B58,S490_Snapshot!$A$7:$A$38,0)),"")</f>
        <v/>
      </c>
      <c r="U58" s="80">
        <f>IFERROR(INDEX(S490_Snapshot!$E$7:$E$38,MATCH(B58,S490_Snapshot!$A$7:$A$38,0)),"")</f>
        <v/>
      </c>
      <c r="V58" s="89">
        <f>IF(T58="","",(J58-T58)*100)</f>
        <v/>
      </c>
      <c r="W58" s="72">
        <f>IF(U58="","",H58-U58)</f>
        <v/>
      </c>
      <c r="X58" s="63">
        <f>IFERROR(INDEX(S490_Snapshot!$C$7:$C$38,MATCH(B58,S490_Snapshot!$A$7:$A$38,0)),"")</f>
        <v/>
      </c>
      <c r="Y58" s="89">
        <f>IF(OR(X58="",NOT(ISNUMBER(E58))),"",(E58-X58)*100)</f>
        <v/>
      </c>
    </row>
    <row r="59">
      <c r="A59" s="6" t="inlineStr">
        <is>
          <t>37Y</t>
        </is>
      </c>
      <c r="B59" s="112">
        <f>IF(MONTH(((EDATE($B$4,444))+IF(WEEKDAY((EDATE($B$4,444)),2)=6,2,IF(WEEKDAY((EDATE($B$4,444)),2)=7,1,0))))&lt;&gt;MONTH((EDATE($B$4,444))),((EDATE($B$4,444))-IF(WEEKDAY((EDATE($B$4,444)),2)=6,1,IF(WEEKDAY((EDATE($B$4,444)),2)=7,2,0))),((EDATE($B$4,444))+IF(WEEKDAY((EDATE($B$4,444)),2)=6,2,IF(WEEKDAY((EDATE($B$4,444)),2)=7,1,0))))</f>
        <v/>
      </c>
      <c r="C59" s="34">
        <f>(B59-VAL_DATE)/365</f>
        <v/>
      </c>
      <c r="D59" s="34">
        <f>(B59-$B$4)/360</f>
        <v/>
      </c>
      <c r="E59" s="17">
        <f>INDEX($Q$8:$Q$24,MATCH(37,$P$8:$P$24,1))+(INDEX($Q$8:$Q$24,MATCH(37,$P$8:$P$24,1)+1)-INDEX($Q$8:$Q$24,MATCH(37,$P$8:$P$24,1)))*(37-INDEX($P$8:$P$24,MATCH(37,$P$8:$P$24,1)))/(INDEX($P$8:$P$24,MATCH(37,$P$8:$P$24,1)+1)-INDEX($P$8:$P$24,MATCH(37,$P$8:$P$24,1)))</f>
        <v/>
      </c>
      <c r="F59" s="34">
        <f>(B59-$B$58)/360</f>
        <v/>
      </c>
      <c r="G59" s="36">
        <f>SUM($I$8:I58)</f>
        <v/>
      </c>
      <c r="H59" s="29">
        <f>H52*(H62/H52)^((C59-C52)/(C62-C52))</f>
        <v/>
      </c>
      <c r="I59" s="36">
        <f>F59*H59</f>
        <v/>
      </c>
      <c r="J59" s="17">
        <f>-LN(H59)/C59*100</f>
        <v/>
      </c>
      <c r="K59" s="17">
        <f>(H58/H59-1)/((B59-B58)/360)*100</f>
        <v/>
      </c>
      <c r="L59" s="30" t="n"/>
      <c r="M59" s="28">
        <f>IF(L59="","",(J59-L59)*100)</f>
        <v/>
      </c>
      <c r="N59" s="6" t="inlineStr">
        <is>
          <t>interp</t>
        </is>
      </c>
      <c r="S59" s="36">
        <f>(G59+F59*H59)</f>
        <v/>
      </c>
      <c r="T59" s="63">
        <f>IFERROR(INDEX(S490_Snapshot!$D$7:$D$38,MATCH(B59,S490_Snapshot!$A$7:$A$38,0)),"")</f>
        <v/>
      </c>
      <c r="U59" s="80">
        <f>IFERROR(INDEX(S490_Snapshot!$E$7:$E$38,MATCH(B59,S490_Snapshot!$A$7:$A$38,0)),"")</f>
        <v/>
      </c>
      <c r="V59" s="89">
        <f>IF(T59="","",(J59-T59)*100)</f>
        <v/>
      </c>
      <c r="W59" s="72">
        <f>IF(U59="","",H59-U59)</f>
        <v/>
      </c>
      <c r="X59" s="63">
        <f>IFERROR(INDEX(S490_Snapshot!$C$7:$C$38,MATCH(B59,S490_Snapshot!$A$7:$A$38,0)),"")</f>
        <v/>
      </c>
      <c r="Y59" s="89">
        <f>IF(OR(X59="",NOT(ISNUMBER(E59))),"",(E59-X59)*100)</f>
        <v/>
      </c>
    </row>
    <row r="60">
      <c r="A60" s="6" t="inlineStr">
        <is>
          <t>38Y</t>
        </is>
      </c>
      <c r="B60" s="112">
        <f>IF(MONTH(((EDATE($B$4,456))+IF(WEEKDAY((EDATE($B$4,456)),2)=6,2,IF(WEEKDAY((EDATE($B$4,456)),2)=7,1,0))))&lt;&gt;MONTH((EDATE($B$4,456))),((EDATE($B$4,456))-IF(WEEKDAY((EDATE($B$4,456)),2)=6,1,IF(WEEKDAY((EDATE($B$4,456)),2)=7,2,0))),((EDATE($B$4,456))+IF(WEEKDAY((EDATE($B$4,456)),2)=6,2,IF(WEEKDAY((EDATE($B$4,456)),2)=7,1,0))))</f>
        <v/>
      </c>
      <c r="C60" s="34">
        <f>(B60-VAL_DATE)/365</f>
        <v/>
      </c>
      <c r="D60" s="34">
        <f>(B60-$B$4)/360</f>
        <v/>
      </c>
      <c r="E60" s="17">
        <f>INDEX($Q$8:$Q$24,MATCH(38,$P$8:$P$24,1))+(INDEX($Q$8:$Q$24,MATCH(38,$P$8:$P$24,1)+1)-INDEX($Q$8:$Q$24,MATCH(38,$P$8:$P$24,1)))*(38-INDEX($P$8:$P$24,MATCH(38,$P$8:$P$24,1)))/(INDEX($P$8:$P$24,MATCH(38,$P$8:$P$24,1)+1)-INDEX($P$8:$P$24,MATCH(38,$P$8:$P$24,1)))</f>
        <v/>
      </c>
      <c r="F60" s="34">
        <f>(B60-$B$59)/360</f>
        <v/>
      </c>
      <c r="G60" s="36">
        <f>SUM($I$8:I59)</f>
        <v/>
      </c>
      <c r="H60" s="29">
        <f>H52*(H62/H52)^((C60-C52)/(C62-C52))</f>
        <v/>
      </c>
      <c r="I60" s="36">
        <f>F60*H60</f>
        <v/>
      </c>
      <c r="J60" s="17">
        <f>-LN(H60)/C60*100</f>
        <v/>
      </c>
      <c r="K60" s="17">
        <f>(H59/H60-1)/((B60-B59)/360)*100</f>
        <v/>
      </c>
      <c r="L60" s="30" t="n"/>
      <c r="M60" s="28">
        <f>IF(L60="","",(J60-L60)*100)</f>
        <v/>
      </c>
      <c r="N60" s="6" t="inlineStr">
        <is>
          <t>interp</t>
        </is>
      </c>
      <c r="S60" s="36">
        <f>(G60+F60*H60)</f>
        <v/>
      </c>
      <c r="T60" s="63">
        <f>IFERROR(INDEX(S490_Snapshot!$D$7:$D$38,MATCH(B60,S490_Snapshot!$A$7:$A$38,0)),"")</f>
        <v/>
      </c>
      <c r="U60" s="80">
        <f>IFERROR(INDEX(S490_Snapshot!$E$7:$E$38,MATCH(B60,S490_Snapshot!$A$7:$A$38,0)),"")</f>
        <v/>
      </c>
      <c r="V60" s="89">
        <f>IF(T60="","",(J60-T60)*100)</f>
        <v/>
      </c>
      <c r="W60" s="72">
        <f>IF(U60="","",H60-U60)</f>
        <v/>
      </c>
      <c r="X60" s="63">
        <f>IFERROR(INDEX(S490_Snapshot!$C$7:$C$38,MATCH(B60,S490_Snapshot!$A$7:$A$38,0)),"")</f>
        <v/>
      </c>
      <c r="Y60" s="89">
        <f>IF(OR(X60="",NOT(ISNUMBER(E60))),"",(E60-X60)*100)</f>
        <v/>
      </c>
    </row>
    <row r="61">
      <c r="A61" s="6" t="inlineStr">
        <is>
          <t>39Y</t>
        </is>
      </c>
      <c r="B61" s="112">
        <f>IF(MONTH(((EDATE($B$4,468))+IF(WEEKDAY((EDATE($B$4,468)),2)=6,2,IF(WEEKDAY((EDATE($B$4,468)),2)=7,1,0))))&lt;&gt;MONTH((EDATE($B$4,468))),((EDATE($B$4,468))-IF(WEEKDAY((EDATE($B$4,468)),2)=6,1,IF(WEEKDAY((EDATE($B$4,468)),2)=7,2,0))),((EDATE($B$4,468))+IF(WEEKDAY((EDATE($B$4,468)),2)=6,2,IF(WEEKDAY((EDATE($B$4,468)),2)=7,1,0))))</f>
        <v/>
      </c>
      <c r="C61" s="34">
        <f>(B61-VAL_DATE)/365</f>
        <v/>
      </c>
      <c r="D61" s="34">
        <f>(B61-$B$4)/360</f>
        <v/>
      </c>
      <c r="E61" s="17">
        <f>INDEX($Q$8:$Q$24,MATCH(39,$P$8:$P$24,1))+(INDEX($Q$8:$Q$24,MATCH(39,$P$8:$P$24,1)+1)-INDEX($Q$8:$Q$24,MATCH(39,$P$8:$P$24,1)))*(39-INDEX($P$8:$P$24,MATCH(39,$P$8:$P$24,1)))/(INDEX($P$8:$P$24,MATCH(39,$P$8:$P$24,1)+1)-INDEX($P$8:$P$24,MATCH(39,$P$8:$P$24,1)))</f>
        <v/>
      </c>
      <c r="F61" s="34">
        <f>(B61-$B$60)/360</f>
        <v/>
      </c>
      <c r="G61" s="36">
        <f>SUM($I$8:I60)</f>
        <v/>
      </c>
      <c r="H61" s="29">
        <f>H52*(H62/H52)^((C61-C52)/(C62-C52))</f>
        <v/>
      </c>
      <c r="I61" s="36">
        <f>F61*H61</f>
        <v/>
      </c>
      <c r="J61" s="17">
        <f>-LN(H61)/C61*100</f>
        <v/>
      </c>
      <c r="K61" s="17">
        <f>(H60/H61-1)/((B61-B60)/360)*100</f>
        <v/>
      </c>
      <c r="L61" s="30" t="n"/>
      <c r="M61" s="28">
        <f>IF(L61="","",(J61-L61)*100)</f>
        <v/>
      </c>
      <c r="N61" s="6" t="inlineStr">
        <is>
          <t>interp</t>
        </is>
      </c>
      <c r="S61" s="36">
        <f>(G61+F61*H61)</f>
        <v/>
      </c>
      <c r="T61" s="63">
        <f>IFERROR(INDEX(S490_Snapshot!$D$7:$D$38,MATCH(B61,S490_Snapshot!$A$7:$A$38,0)),"")</f>
        <v/>
      </c>
      <c r="U61" s="80">
        <f>IFERROR(INDEX(S490_Snapshot!$E$7:$E$38,MATCH(B61,S490_Snapshot!$A$7:$A$38,0)),"")</f>
        <v/>
      </c>
      <c r="V61" s="89">
        <f>IF(T61="","",(J61-T61)*100)</f>
        <v/>
      </c>
      <c r="W61" s="72">
        <f>IF(U61="","",H61-U61)</f>
        <v/>
      </c>
      <c r="X61" s="63">
        <f>IFERROR(INDEX(S490_Snapshot!$C$7:$C$38,MATCH(B61,S490_Snapshot!$A$7:$A$38,0)),"")</f>
        <v/>
      </c>
      <c r="Y61" s="89">
        <f>IF(OR(X61="",NOT(ISNUMBER(E61))),"",(E61-X61)*100)</f>
        <v/>
      </c>
    </row>
    <row r="62">
      <c r="A62" s="6" t="inlineStr">
        <is>
          <t>40Y</t>
        </is>
      </c>
      <c r="B62" s="112">
        <f>IF(MONTH(((EDATE($B$4,480))+IF(WEEKDAY((EDATE($B$4,480)),2)=6,2,IF(WEEKDAY((EDATE($B$4,480)),2)=7,1,0))))&lt;&gt;MONTH((EDATE($B$4,480))),((EDATE($B$4,480))-IF(WEEKDAY((EDATE($B$4,480)),2)=6,1,IF(WEEKDAY((EDATE($B$4,480)),2)=7,2,0))),((EDATE($B$4,480))+IF(WEEKDAY((EDATE($B$4,480)),2)=6,2,IF(WEEKDAY((EDATE($B$4,480)),2)=7,1,0))))</f>
        <v/>
      </c>
      <c r="C62" s="34">
        <f>(B62-VAL_DATE)/365</f>
        <v/>
      </c>
      <c r="D62" s="34">
        <f>(B62-$B$4)/360</f>
        <v/>
      </c>
      <c r="E62" s="17">
        <f>'SOFR_OIS_Quotes'!$H35</f>
        <v/>
      </c>
      <c r="F62" s="34">
        <f>(B62-$B$61)/360</f>
        <v/>
      </c>
      <c r="G62" s="36">
        <f>SUM($I$8:I61)</f>
        <v/>
      </c>
      <c r="H62" s="71">
        <f>Curve_Solver!$B$303</f>
        <v/>
      </c>
      <c r="I62" s="36">
        <f>F62*H62</f>
        <v/>
      </c>
      <c r="J62" s="17">
        <f>-LN(H62)/C62*100</f>
        <v/>
      </c>
      <c r="K62" s="17">
        <f>(H61/H62-1)/((B62-B61)/360)*100</f>
        <v/>
      </c>
      <c r="L62" s="30" t="n"/>
      <c r="M62" s="28">
        <f>IF(L62="","",(J62-L62)*100)</f>
        <v/>
      </c>
      <c r="N62" s="6" t="inlineStr">
        <is>
          <t>market</t>
        </is>
      </c>
      <c r="R62" s="72">
        <f>($D$4-(E62/100)*G62)/(1+(E62/100)*F62)-H62</f>
        <v/>
      </c>
      <c r="S62" s="36">
        <f>(G62+F62*H62)</f>
        <v/>
      </c>
      <c r="T62" s="63">
        <f>IFERROR(INDEX(S490_Snapshot!$D$7:$D$38,MATCH(B62,S490_Snapshot!$A$7:$A$38,0)),"")</f>
        <v/>
      </c>
      <c r="U62" s="80">
        <f>IFERROR(INDEX(S490_Snapshot!$E$7:$E$38,MATCH(B62,S490_Snapshot!$A$7:$A$38,0)),"")</f>
        <v/>
      </c>
      <c r="V62" s="89">
        <f>IF(T62="","",(J62-T62)*100)</f>
        <v/>
      </c>
      <c r="W62" s="72">
        <f>IF(U62="","",H62-U62)</f>
        <v/>
      </c>
      <c r="X62" s="63">
        <f>IFERROR(INDEX(S490_Snapshot!$C$7:$C$38,MATCH(B62,S490_Snapshot!$A$7:$A$38,0)),"")</f>
        <v/>
      </c>
      <c r="Y62" s="89">
        <f>IF(OR(X62="",NOT(ISNUMBER(E62))),"",(E62-X62)*100)</f>
        <v/>
      </c>
    </row>
    <row r="63">
      <c r="A63" s="6" t="inlineStr">
        <is>
          <t>41Y</t>
        </is>
      </c>
      <c r="B63" s="112">
        <f>IF(MONTH(((EDATE($B$4,492))+IF(WEEKDAY((EDATE($B$4,492)),2)=6,2,IF(WEEKDAY((EDATE($B$4,492)),2)=7,1,0))))&lt;&gt;MONTH((EDATE($B$4,492))),((EDATE($B$4,492))-IF(WEEKDAY((EDATE($B$4,492)),2)=6,1,IF(WEEKDAY((EDATE($B$4,492)),2)=7,2,0))),((EDATE($B$4,492))+IF(WEEKDAY((EDATE($B$4,492)),2)=6,2,IF(WEEKDAY((EDATE($B$4,492)),2)=7,1,0))))</f>
        <v/>
      </c>
      <c r="C63" s="34">
        <f>(B63-VAL_DATE)/365</f>
        <v/>
      </c>
      <c r="D63" s="34">
        <f>(B63-$B$4)/360</f>
        <v/>
      </c>
      <c r="E63" s="17">
        <f>INDEX($Q$8:$Q$24,MATCH(41,$P$8:$P$24,1))+(INDEX($Q$8:$Q$24,MATCH(41,$P$8:$P$24,1)+1)-INDEX($Q$8:$Q$24,MATCH(41,$P$8:$P$24,1)))*(41-INDEX($P$8:$P$24,MATCH(41,$P$8:$P$24,1)))/(INDEX($P$8:$P$24,MATCH(41,$P$8:$P$24,1)+1)-INDEX($P$8:$P$24,MATCH(41,$P$8:$P$24,1)))</f>
        <v/>
      </c>
      <c r="F63" s="34">
        <f>(B63-$B$62)/360</f>
        <v/>
      </c>
      <c r="G63" s="36">
        <f>SUM($I$8:I62)</f>
        <v/>
      </c>
      <c r="H63" s="29">
        <f>H62*(H72/H62)^((C63-C62)/(C72-C62))</f>
        <v/>
      </c>
      <c r="I63" s="36">
        <f>F63*H63</f>
        <v/>
      </c>
      <c r="J63" s="17">
        <f>-LN(H63)/C63*100</f>
        <v/>
      </c>
      <c r="K63" s="17">
        <f>(H62/H63-1)/((B63-B62)/360)*100</f>
        <v/>
      </c>
      <c r="L63" s="30" t="n"/>
      <c r="M63" s="28">
        <f>IF(L63="","",(J63-L63)*100)</f>
        <v/>
      </c>
      <c r="N63" s="6" t="inlineStr">
        <is>
          <t>interp</t>
        </is>
      </c>
      <c r="S63" s="36">
        <f>(G63+F63*H63)</f>
        <v/>
      </c>
      <c r="T63" s="63">
        <f>IFERROR(INDEX(S490_Snapshot!$D$7:$D$38,MATCH(B63,S490_Snapshot!$A$7:$A$38,0)),"")</f>
        <v/>
      </c>
      <c r="U63" s="80">
        <f>IFERROR(INDEX(S490_Snapshot!$E$7:$E$38,MATCH(B63,S490_Snapshot!$A$7:$A$38,0)),"")</f>
        <v/>
      </c>
      <c r="V63" s="89">
        <f>IF(T63="","",(J63-T63)*100)</f>
        <v/>
      </c>
      <c r="W63" s="72">
        <f>IF(U63="","",H63-U63)</f>
        <v/>
      </c>
      <c r="X63" s="63">
        <f>IFERROR(INDEX(S490_Snapshot!$C$7:$C$38,MATCH(B63,S490_Snapshot!$A$7:$A$38,0)),"")</f>
        <v/>
      </c>
      <c r="Y63" s="89">
        <f>IF(OR(X63="",NOT(ISNUMBER(E63))),"",(E63-X63)*100)</f>
        <v/>
      </c>
    </row>
    <row r="64">
      <c r="A64" s="6" t="inlineStr">
        <is>
          <t>42Y</t>
        </is>
      </c>
      <c r="B64" s="112">
        <f>IF(MONTH(((EDATE($B$4,504))+IF(WEEKDAY((EDATE($B$4,504)),2)=6,2,IF(WEEKDAY((EDATE($B$4,504)),2)=7,1,0))))&lt;&gt;MONTH((EDATE($B$4,504))),((EDATE($B$4,504))-IF(WEEKDAY((EDATE($B$4,504)),2)=6,1,IF(WEEKDAY((EDATE($B$4,504)),2)=7,2,0))),((EDATE($B$4,504))+IF(WEEKDAY((EDATE($B$4,504)),2)=6,2,IF(WEEKDAY((EDATE($B$4,504)),2)=7,1,0))))</f>
        <v/>
      </c>
      <c r="C64" s="34">
        <f>(B64-VAL_DATE)/365</f>
        <v/>
      </c>
      <c r="D64" s="34">
        <f>(B64-$B$4)/360</f>
        <v/>
      </c>
      <c r="E64" s="17">
        <f>INDEX($Q$8:$Q$24,MATCH(42,$P$8:$P$24,1))+(INDEX($Q$8:$Q$24,MATCH(42,$P$8:$P$24,1)+1)-INDEX($Q$8:$Q$24,MATCH(42,$P$8:$P$24,1)))*(42-INDEX($P$8:$P$24,MATCH(42,$P$8:$P$24,1)))/(INDEX($P$8:$P$24,MATCH(42,$P$8:$P$24,1)+1)-INDEX($P$8:$P$24,MATCH(42,$P$8:$P$24,1)))</f>
        <v/>
      </c>
      <c r="F64" s="34">
        <f>(B64-$B$63)/360</f>
        <v/>
      </c>
      <c r="G64" s="36">
        <f>SUM($I$8:I63)</f>
        <v/>
      </c>
      <c r="H64" s="29">
        <f>H62*(H72/H62)^((C64-C62)/(C72-C62))</f>
        <v/>
      </c>
      <c r="I64" s="36">
        <f>F64*H64</f>
        <v/>
      </c>
      <c r="J64" s="17">
        <f>-LN(H64)/C64*100</f>
        <v/>
      </c>
      <c r="K64" s="17">
        <f>(H63/H64-1)/((B64-B63)/360)*100</f>
        <v/>
      </c>
      <c r="L64" s="30" t="n"/>
      <c r="M64" s="28">
        <f>IF(L64="","",(J64-L64)*100)</f>
        <v/>
      </c>
      <c r="N64" s="6" t="inlineStr">
        <is>
          <t>interp</t>
        </is>
      </c>
      <c r="S64" s="36">
        <f>(G64+F64*H64)</f>
        <v/>
      </c>
      <c r="T64" s="63">
        <f>IFERROR(INDEX(S490_Snapshot!$D$7:$D$38,MATCH(B64,S490_Snapshot!$A$7:$A$38,0)),"")</f>
        <v/>
      </c>
      <c r="U64" s="80">
        <f>IFERROR(INDEX(S490_Snapshot!$E$7:$E$38,MATCH(B64,S490_Snapshot!$A$7:$A$38,0)),"")</f>
        <v/>
      </c>
      <c r="V64" s="89">
        <f>IF(T64="","",(J64-T64)*100)</f>
        <v/>
      </c>
      <c r="W64" s="72">
        <f>IF(U64="","",H64-U64)</f>
        <v/>
      </c>
      <c r="X64" s="63">
        <f>IFERROR(INDEX(S490_Snapshot!$C$7:$C$38,MATCH(B64,S490_Snapshot!$A$7:$A$38,0)),"")</f>
        <v/>
      </c>
      <c r="Y64" s="89">
        <f>IF(OR(X64="",NOT(ISNUMBER(E64))),"",(E64-X64)*100)</f>
        <v/>
      </c>
    </row>
    <row r="65">
      <c r="A65" s="6" t="inlineStr">
        <is>
          <t>43Y</t>
        </is>
      </c>
      <c r="B65" s="112">
        <f>IF(MONTH(((EDATE($B$4,516))+IF(WEEKDAY((EDATE($B$4,516)),2)=6,2,IF(WEEKDAY((EDATE($B$4,516)),2)=7,1,0))))&lt;&gt;MONTH((EDATE($B$4,516))),((EDATE($B$4,516))-IF(WEEKDAY((EDATE($B$4,516)),2)=6,1,IF(WEEKDAY((EDATE($B$4,516)),2)=7,2,0))),((EDATE($B$4,516))+IF(WEEKDAY((EDATE($B$4,516)),2)=6,2,IF(WEEKDAY((EDATE($B$4,516)),2)=7,1,0))))</f>
        <v/>
      </c>
      <c r="C65" s="34">
        <f>(B65-VAL_DATE)/365</f>
        <v/>
      </c>
      <c r="D65" s="34">
        <f>(B65-$B$4)/360</f>
        <v/>
      </c>
      <c r="E65" s="17">
        <f>INDEX($Q$8:$Q$24,MATCH(43,$P$8:$P$24,1))+(INDEX($Q$8:$Q$24,MATCH(43,$P$8:$P$24,1)+1)-INDEX($Q$8:$Q$24,MATCH(43,$P$8:$P$24,1)))*(43-INDEX($P$8:$P$24,MATCH(43,$P$8:$P$24,1)))/(INDEX($P$8:$P$24,MATCH(43,$P$8:$P$24,1)+1)-INDEX($P$8:$P$24,MATCH(43,$P$8:$P$24,1)))</f>
        <v/>
      </c>
      <c r="F65" s="34">
        <f>(B65-$B$64)/360</f>
        <v/>
      </c>
      <c r="G65" s="36">
        <f>SUM($I$8:I64)</f>
        <v/>
      </c>
      <c r="H65" s="29">
        <f>H62*(H72/H62)^((C65-C62)/(C72-C62))</f>
        <v/>
      </c>
      <c r="I65" s="36">
        <f>F65*H65</f>
        <v/>
      </c>
      <c r="J65" s="17">
        <f>-LN(H65)/C65*100</f>
        <v/>
      </c>
      <c r="K65" s="17">
        <f>(H64/H65-1)/((B65-B64)/360)*100</f>
        <v/>
      </c>
      <c r="L65" s="30" t="n"/>
      <c r="M65" s="28">
        <f>IF(L65="","",(J65-L65)*100)</f>
        <v/>
      </c>
      <c r="N65" s="6" t="inlineStr">
        <is>
          <t>interp</t>
        </is>
      </c>
      <c r="S65" s="36">
        <f>(G65+F65*H65)</f>
        <v/>
      </c>
      <c r="T65" s="63">
        <f>IFERROR(INDEX(S490_Snapshot!$D$7:$D$38,MATCH(B65,S490_Snapshot!$A$7:$A$38,0)),"")</f>
        <v/>
      </c>
      <c r="U65" s="80">
        <f>IFERROR(INDEX(S490_Snapshot!$E$7:$E$38,MATCH(B65,S490_Snapshot!$A$7:$A$38,0)),"")</f>
        <v/>
      </c>
      <c r="V65" s="89">
        <f>IF(T65="","",(J65-T65)*100)</f>
        <v/>
      </c>
      <c r="W65" s="72">
        <f>IF(U65="","",H65-U65)</f>
        <v/>
      </c>
      <c r="X65" s="63">
        <f>IFERROR(INDEX(S490_Snapshot!$C$7:$C$38,MATCH(B65,S490_Snapshot!$A$7:$A$38,0)),"")</f>
        <v/>
      </c>
      <c r="Y65" s="89">
        <f>IF(OR(X65="",NOT(ISNUMBER(E65))),"",(E65-X65)*100)</f>
        <v/>
      </c>
    </row>
    <row r="66">
      <c r="A66" s="6" t="inlineStr">
        <is>
          <t>44Y</t>
        </is>
      </c>
      <c r="B66" s="112">
        <f>IF(MONTH(((EDATE($B$4,528))+IF(WEEKDAY((EDATE($B$4,528)),2)=6,2,IF(WEEKDAY((EDATE($B$4,528)),2)=7,1,0))))&lt;&gt;MONTH((EDATE($B$4,528))),((EDATE($B$4,528))-IF(WEEKDAY((EDATE($B$4,528)),2)=6,1,IF(WEEKDAY((EDATE($B$4,528)),2)=7,2,0))),((EDATE($B$4,528))+IF(WEEKDAY((EDATE($B$4,528)),2)=6,2,IF(WEEKDAY((EDATE($B$4,528)),2)=7,1,0))))</f>
        <v/>
      </c>
      <c r="C66" s="34">
        <f>(B66-VAL_DATE)/365</f>
        <v/>
      </c>
      <c r="D66" s="34">
        <f>(B66-$B$4)/360</f>
        <v/>
      </c>
      <c r="E66" s="17">
        <f>INDEX($Q$8:$Q$24,MATCH(44,$P$8:$P$24,1))+(INDEX($Q$8:$Q$24,MATCH(44,$P$8:$P$24,1)+1)-INDEX($Q$8:$Q$24,MATCH(44,$P$8:$P$24,1)))*(44-INDEX($P$8:$P$24,MATCH(44,$P$8:$P$24,1)))/(INDEX($P$8:$P$24,MATCH(44,$P$8:$P$24,1)+1)-INDEX($P$8:$P$24,MATCH(44,$P$8:$P$24,1)))</f>
        <v/>
      </c>
      <c r="F66" s="34">
        <f>(B66-$B$65)/360</f>
        <v/>
      </c>
      <c r="G66" s="36">
        <f>SUM($I$8:I65)</f>
        <v/>
      </c>
      <c r="H66" s="29">
        <f>H62*(H72/H62)^((C66-C62)/(C72-C62))</f>
        <v/>
      </c>
      <c r="I66" s="36">
        <f>F66*H66</f>
        <v/>
      </c>
      <c r="J66" s="17">
        <f>-LN(H66)/C66*100</f>
        <v/>
      </c>
      <c r="K66" s="17">
        <f>(H65/H66-1)/((B66-B65)/360)*100</f>
        <v/>
      </c>
      <c r="L66" s="30" t="n"/>
      <c r="M66" s="28">
        <f>IF(L66="","",(J66-L66)*100)</f>
        <v/>
      </c>
      <c r="N66" s="6" t="inlineStr">
        <is>
          <t>interp</t>
        </is>
      </c>
      <c r="S66" s="36">
        <f>(G66+F66*H66)</f>
        <v/>
      </c>
      <c r="T66" s="63">
        <f>IFERROR(INDEX(S490_Snapshot!$D$7:$D$38,MATCH(B66,S490_Snapshot!$A$7:$A$38,0)),"")</f>
        <v/>
      </c>
      <c r="U66" s="80">
        <f>IFERROR(INDEX(S490_Snapshot!$E$7:$E$38,MATCH(B66,S490_Snapshot!$A$7:$A$38,0)),"")</f>
        <v/>
      </c>
      <c r="V66" s="89">
        <f>IF(T66="","",(J66-T66)*100)</f>
        <v/>
      </c>
      <c r="W66" s="72">
        <f>IF(U66="","",H66-U66)</f>
        <v/>
      </c>
      <c r="X66" s="63">
        <f>IFERROR(INDEX(S490_Snapshot!$C$7:$C$38,MATCH(B66,S490_Snapshot!$A$7:$A$38,0)),"")</f>
        <v/>
      </c>
      <c r="Y66" s="89">
        <f>IF(OR(X66="",NOT(ISNUMBER(E66))),"",(E66-X66)*100)</f>
        <v/>
      </c>
    </row>
    <row r="67">
      <c r="A67" s="6" t="inlineStr">
        <is>
          <t>45Y</t>
        </is>
      </c>
      <c r="B67" s="112">
        <f>IF(MONTH(((EDATE($B$4,540))+IF(WEEKDAY((EDATE($B$4,540)),2)=6,2,IF(WEEKDAY((EDATE($B$4,540)),2)=7,1,0))))&lt;&gt;MONTH((EDATE($B$4,540))),((EDATE($B$4,540))-IF(WEEKDAY((EDATE($B$4,540)),2)=6,1,IF(WEEKDAY((EDATE($B$4,540)),2)=7,2,0))),((EDATE($B$4,540))+IF(WEEKDAY((EDATE($B$4,540)),2)=6,2,IF(WEEKDAY((EDATE($B$4,540)),2)=7,1,0))))</f>
        <v/>
      </c>
      <c r="C67" s="34">
        <f>(B67-VAL_DATE)/365</f>
        <v/>
      </c>
      <c r="D67" s="34">
        <f>(B67-$B$4)/360</f>
        <v/>
      </c>
      <c r="E67" s="17">
        <f>INDEX($Q$8:$Q$24,MATCH(45,$P$8:$P$24,1))+(INDEX($Q$8:$Q$24,MATCH(45,$P$8:$P$24,1)+1)-INDEX($Q$8:$Q$24,MATCH(45,$P$8:$P$24,1)))*(45-INDEX($P$8:$P$24,MATCH(45,$P$8:$P$24,1)))/(INDEX($P$8:$P$24,MATCH(45,$P$8:$P$24,1)+1)-INDEX($P$8:$P$24,MATCH(45,$P$8:$P$24,1)))</f>
        <v/>
      </c>
      <c r="F67" s="34">
        <f>(B67-$B$66)/360</f>
        <v/>
      </c>
      <c r="G67" s="36">
        <f>SUM($I$8:I66)</f>
        <v/>
      </c>
      <c r="H67" s="29">
        <f>H62*(H72/H62)^((C67-C62)/(C72-C62))</f>
        <v/>
      </c>
      <c r="I67" s="36">
        <f>F67*H67</f>
        <v/>
      </c>
      <c r="J67" s="17">
        <f>-LN(H67)/C67*100</f>
        <v/>
      </c>
      <c r="K67" s="17">
        <f>(H66/H67-1)/((B67-B66)/360)*100</f>
        <v/>
      </c>
      <c r="L67" s="30" t="n"/>
      <c r="M67" s="28">
        <f>IF(L67="","",(J67-L67)*100)</f>
        <v/>
      </c>
      <c r="N67" s="6" t="inlineStr">
        <is>
          <t>interp</t>
        </is>
      </c>
      <c r="S67" s="36">
        <f>(G67+F67*H67)</f>
        <v/>
      </c>
      <c r="T67" s="63">
        <f>IFERROR(INDEX(S490_Snapshot!$D$7:$D$38,MATCH(B67,S490_Snapshot!$A$7:$A$38,0)),"")</f>
        <v/>
      </c>
      <c r="U67" s="80">
        <f>IFERROR(INDEX(S490_Snapshot!$E$7:$E$38,MATCH(B67,S490_Snapshot!$A$7:$A$38,0)),"")</f>
        <v/>
      </c>
      <c r="V67" s="89">
        <f>IF(T67="","",(J67-T67)*100)</f>
        <v/>
      </c>
      <c r="W67" s="72">
        <f>IF(U67="","",H67-U67)</f>
        <v/>
      </c>
      <c r="X67" s="63">
        <f>IFERROR(INDEX(S490_Snapshot!$C$7:$C$38,MATCH(B67,S490_Snapshot!$A$7:$A$38,0)),"")</f>
        <v/>
      </c>
      <c r="Y67" s="89">
        <f>IF(OR(X67="",NOT(ISNUMBER(E67))),"",(E67-X67)*100)</f>
        <v/>
      </c>
    </row>
    <row r="68">
      <c r="A68" s="6" t="inlineStr">
        <is>
          <t>46Y</t>
        </is>
      </c>
      <c r="B68" s="112">
        <f>IF(MONTH(((EDATE($B$4,552))+IF(WEEKDAY((EDATE($B$4,552)),2)=6,2,IF(WEEKDAY((EDATE($B$4,552)),2)=7,1,0))))&lt;&gt;MONTH((EDATE($B$4,552))),((EDATE($B$4,552))-IF(WEEKDAY((EDATE($B$4,552)),2)=6,1,IF(WEEKDAY((EDATE($B$4,552)),2)=7,2,0))),((EDATE($B$4,552))+IF(WEEKDAY((EDATE($B$4,552)),2)=6,2,IF(WEEKDAY((EDATE($B$4,552)),2)=7,1,0))))</f>
        <v/>
      </c>
      <c r="C68" s="34">
        <f>(B68-VAL_DATE)/365</f>
        <v/>
      </c>
      <c r="D68" s="34">
        <f>(B68-$B$4)/360</f>
        <v/>
      </c>
      <c r="E68" s="17">
        <f>INDEX($Q$8:$Q$24,MATCH(46,$P$8:$P$24,1))+(INDEX($Q$8:$Q$24,MATCH(46,$P$8:$P$24,1)+1)-INDEX($Q$8:$Q$24,MATCH(46,$P$8:$P$24,1)))*(46-INDEX($P$8:$P$24,MATCH(46,$P$8:$P$24,1)))/(INDEX($P$8:$P$24,MATCH(46,$P$8:$P$24,1)+1)-INDEX($P$8:$P$24,MATCH(46,$P$8:$P$24,1)))</f>
        <v/>
      </c>
      <c r="F68" s="34">
        <f>(B68-$B$67)/360</f>
        <v/>
      </c>
      <c r="G68" s="36">
        <f>SUM($I$8:I67)</f>
        <v/>
      </c>
      <c r="H68" s="29">
        <f>H62*(H72/H62)^((C68-C62)/(C72-C62))</f>
        <v/>
      </c>
      <c r="I68" s="36">
        <f>F68*H68</f>
        <v/>
      </c>
      <c r="J68" s="17">
        <f>-LN(H68)/C68*100</f>
        <v/>
      </c>
      <c r="K68" s="17">
        <f>(H67/H68-1)/((B68-B67)/360)*100</f>
        <v/>
      </c>
      <c r="L68" s="30" t="n"/>
      <c r="M68" s="28">
        <f>IF(L68="","",(J68-L68)*100)</f>
        <v/>
      </c>
      <c r="N68" s="6" t="inlineStr">
        <is>
          <t>interp</t>
        </is>
      </c>
      <c r="S68" s="36">
        <f>(G68+F68*H68)</f>
        <v/>
      </c>
      <c r="T68" s="63">
        <f>IFERROR(INDEX(S490_Snapshot!$D$7:$D$38,MATCH(B68,S490_Snapshot!$A$7:$A$38,0)),"")</f>
        <v/>
      </c>
      <c r="U68" s="80">
        <f>IFERROR(INDEX(S490_Snapshot!$E$7:$E$38,MATCH(B68,S490_Snapshot!$A$7:$A$38,0)),"")</f>
        <v/>
      </c>
      <c r="V68" s="89">
        <f>IF(T68="","",(J68-T68)*100)</f>
        <v/>
      </c>
      <c r="W68" s="72">
        <f>IF(U68="","",H68-U68)</f>
        <v/>
      </c>
      <c r="X68" s="63">
        <f>IFERROR(INDEX(S490_Snapshot!$C$7:$C$38,MATCH(B68,S490_Snapshot!$A$7:$A$38,0)),"")</f>
        <v/>
      </c>
      <c r="Y68" s="89">
        <f>IF(OR(X68="",NOT(ISNUMBER(E68))),"",(E68-X68)*100)</f>
        <v/>
      </c>
    </row>
    <row r="69">
      <c r="A69" s="6" t="inlineStr">
        <is>
          <t>47Y</t>
        </is>
      </c>
      <c r="B69" s="112">
        <f>IF(MONTH(((EDATE($B$4,564))+IF(WEEKDAY((EDATE($B$4,564)),2)=6,2,IF(WEEKDAY((EDATE($B$4,564)),2)=7,1,0))))&lt;&gt;MONTH((EDATE($B$4,564))),((EDATE($B$4,564))-IF(WEEKDAY((EDATE($B$4,564)),2)=6,1,IF(WEEKDAY((EDATE($B$4,564)),2)=7,2,0))),((EDATE($B$4,564))+IF(WEEKDAY((EDATE($B$4,564)),2)=6,2,IF(WEEKDAY((EDATE($B$4,564)),2)=7,1,0))))</f>
        <v/>
      </c>
      <c r="C69" s="34">
        <f>(B69-VAL_DATE)/365</f>
        <v/>
      </c>
      <c r="D69" s="34">
        <f>(B69-$B$4)/360</f>
        <v/>
      </c>
      <c r="E69" s="17">
        <f>INDEX($Q$8:$Q$24,MATCH(47,$P$8:$P$24,1))+(INDEX($Q$8:$Q$24,MATCH(47,$P$8:$P$24,1)+1)-INDEX($Q$8:$Q$24,MATCH(47,$P$8:$P$24,1)))*(47-INDEX($P$8:$P$24,MATCH(47,$P$8:$P$24,1)))/(INDEX($P$8:$P$24,MATCH(47,$P$8:$P$24,1)+1)-INDEX($P$8:$P$24,MATCH(47,$P$8:$P$24,1)))</f>
        <v/>
      </c>
      <c r="F69" s="34">
        <f>(B69-$B$68)/360</f>
        <v/>
      </c>
      <c r="G69" s="36">
        <f>SUM($I$8:I68)</f>
        <v/>
      </c>
      <c r="H69" s="29">
        <f>H62*(H72/H62)^((C69-C62)/(C72-C62))</f>
        <v/>
      </c>
      <c r="I69" s="36">
        <f>F69*H69</f>
        <v/>
      </c>
      <c r="J69" s="17">
        <f>-LN(H69)/C69*100</f>
        <v/>
      </c>
      <c r="K69" s="17">
        <f>(H68/H69-1)/((B69-B68)/360)*100</f>
        <v/>
      </c>
      <c r="L69" s="30" t="n"/>
      <c r="M69" s="28">
        <f>IF(L69="","",(J69-L69)*100)</f>
        <v/>
      </c>
      <c r="N69" s="6" t="inlineStr">
        <is>
          <t>interp</t>
        </is>
      </c>
      <c r="S69" s="36">
        <f>(G69+F69*H69)</f>
        <v/>
      </c>
      <c r="T69" s="63">
        <f>IFERROR(INDEX(S490_Snapshot!$D$7:$D$38,MATCH(B69,S490_Snapshot!$A$7:$A$38,0)),"")</f>
        <v/>
      </c>
      <c r="U69" s="80">
        <f>IFERROR(INDEX(S490_Snapshot!$E$7:$E$38,MATCH(B69,S490_Snapshot!$A$7:$A$38,0)),"")</f>
        <v/>
      </c>
      <c r="V69" s="89">
        <f>IF(T69="","",(J69-T69)*100)</f>
        <v/>
      </c>
      <c r="W69" s="72">
        <f>IF(U69="","",H69-U69)</f>
        <v/>
      </c>
      <c r="X69" s="63">
        <f>IFERROR(INDEX(S490_Snapshot!$C$7:$C$38,MATCH(B69,S490_Snapshot!$A$7:$A$38,0)),"")</f>
        <v/>
      </c>
      <c r="Y69" s="89">
        <f>IF(OR(X69="",NOT(ISNUMBER(E69))),"",(E69-X69)*100)</f>
        <v/>
      </c>
    </row>
    <row r="70">
      <c r="A70" s="6" t="inlineStr">
        <is>
          <t>48Y</t>
        </is>
      </c>
      <c r="B70" s="112">
        <f>IF(MONTH(((EDATE($B$4,576))+IF(WEEKDAY((EDATE($B$4,576)),2)=6,2,IF(WEEKDAY((EDATE($B$4,576)),2)=7,1,0))))&lt;&gt;MONTH((EDATE($B$4,576))),((EDATE($B$4,576))-IF(WEEKDAY((EDATE($B$4,576)),2)=6,1,IF(WEEKDAY((EDATE($B$4,576)),2)=7,2,0))),((EDATE($B$4,576))+IF(WEEKDAY((EDATE($B$4,576)),2)=6,2,IF(WEEKDAY((EDATE($B$4,576)),2)=7,1,0))))</f>
        <v/>
      </c>
      <c r="C70" s="34">
        <f>(B70-VAL_DATE)/365</f>
        <v/>
      </c>
      <c r="D70" s="34">
        <f>(B70-$B$4)/360</f>
        <v/>
      </c>
      <c r="E70" s="17">
        <f>INDEX($Q$8:$Q$24,MATCH(48,$P$8:$P$24,1))+(INDEX($Q$8:$Q$24,MATCH(48,$P$8:$P$24,1)+1)-INDEX($Q$8:$Q$24,MATCH(48,$P$8:$P$24,1)))*(48-INDEX($P$8:$P$24,MATCH(48,$P$8:$P$24,1)))/(INDEX($P$8:$P$24,MATCH(48,$P$8:$P$24,1)+1)-INDEX($P$8:$P$24,MATCH(48,$P$8:$P$24,1)))</f>
        <v/>
      </c>
      <c r="F70" s="34">
        <f>(B70-$B$69)/360</f>
        <v/>
      </c>
      <c r="G70" s="36">
        <f>SUM($I$8:I69)</f>
        <v/>
      </c>
      <c r="H70" s="29">
        <f>H62*(H72/H62)^((C70-C62)/(C72-C62))</f>
        <v/>
      </c>
      <c r="I70" s="36">
        <f>F70*H70</f>
        <v/>
      </c>
      <c r="J70" s="17">
        <f>-LN(H70)/C70*100</f>
        <v/>
      </c>
      <c r="K70" s="17">
        <f>(H69/H70-1)/((B70-B69)/360)*100</f>
        <v/>
      </c>
      <c r="L70" s="30" t="n"/>
      <c r="M70" s="28">
        <f>IF(L70="","",(J70-L70)*100)</f>
        <v/>
      </c>
      <c r="N70" s="6" t="inlineStr">
        <is>
          <t>interp</t>
        </is>
      </c>
      <c r="S70" s="36">
        <f>(G70+F70*H70)</f>
        <v/>
      </c>
      <c r="T70" s="63">
        <f>IFERROR(INDEX(S490_Snapshot!$D$7:$D$38,MATCH(B70,S490_Snapshot!$A$7:$A$38,0)),"")</f>
        <v/>
      </c>
      <c r="U70" s="80">
        <f>IFERROR(INDEX(S490_Snapshot!$E$7:$E$38,MATCH(B70,S490_Snapshot!$A$7:$A$38,0)),"")</f>
        <v/>
      </c>
      <c r="V70" s="89">
        <f>IF(T70="","",(J70-T70)*100)</f>
        <v/>
      </c>
      <c r="W70" s="72">
        <f>IF(U70="","",H70-U70)</f>
        <v/>
      </c>
      <c r="X70" s="63">
        <f>IFERROR(INDEX(S490_Snapshot!$C$7:$C$38,MATCH(B70,S490_Snapshot!$A$7:$A$38,0)),"")</f>
        <v/>
      </c>
      <c r="Y70" s="89">
        <f>IF(OR(X70="",NOT(ISNUMBER(E70))),"",(E70-X70)*100)</f>
        <v/>
      </c>
    </row>
    <row r="71">
      <c r="A71" s="6" t="inlineStr">
        <is>
          <t>49Y</t>
        </is>
      </c>
      <c r="B71" s="112">
        <f>IF(MONTH(((EDATE($B$4,588))+IF(WEEKDAY((EDATE($B$4,588)),2)=6,2,IF(WEEKDAY((EDATE($B$4,588)),2)=7,1,0))))&lt;&gt;MONTH((EDATE($B$4,588))),((EDATE($B$4,588))-IF(WEEKDAY((EDATE($B$4,588)),2)=6,1,IF(WEEKDAY((EDATE($B$4,588)),2)=7,2,0))),((EDATE($B$4,588))+IF(WEEKDAY((EDATE($B$4,588)),2)=6,2,IF(WEEKDAY((EDATE($B$4,588)),2)=7,1,0))))</f>
        <v/>
      </c>
      <c r="C71" s="34">
        <f>(B71-VAL_DATE)/365</f>
        <v/>
      </c>
      <c r="D71" s="34">
        <f>(B71-$B$4)/360</f>
        <v/>
      </c>
      <c r="E71" s="17">
        <f>INDEX($Q$8:$Q$24,MATCH(49,$P$8:$P$24,1))+(INDEX($Q$8:$Q$24,MATCH(49,$P$8:$P$24,1)+1)-INDEX($Q$8:$Q$24,MATCH(49,$P$8:$P$24,1)))*(49-INDEX($P$8:$P$24,MATCH(49,$P$8:$P$24,1)))/(INDEX($P$8:$P$24,MATCH(49,$P$8:$P$24,1)+1)-INDEX($P$8:$P$24,MATCH(49,$P$8:$P$24,1)))</f>
        <v/>
      </c>
      <c r="F71" s="34">
        <f>(B71-$B$70)/360</f>
        <v/>
      </c>
      <c r="G71" s="36">
        <f>SUM($I$8:I70)</f>
        <v/>
      </c>
      <c r="H71" s="29">
        <f>H62*(H72/H62)^((C71-C62)/(C72-C62))</f>
        <v/>
      </c>
      <c r="I71" s="36">
        <f>F71*H71</f>
        <v/>
      </c>
      <c r="J71" s="17">
        <f>-LN(H71)/C71*100</f>
        <v/>
      </c>
      <c r="K71" s="17">
        <f>(H70/H71-1)/((B71-B70)/360)*100</f>
        <v/>
      </c>
      <c r="L71" s="30" t="n"/>
      <c r="M71" s="28">
        <f>IF(L71="","",(J71-L71)*100)</f>
        <v/>
      </c>
      <c r="N71" s="6" t="inlineStr">
        <is>
          <t>interp</t>
        </is>
      </c>
      <c r="S71" s="36">
        <f>(G71+F71*H71)</f>
        <v/>
      </c>
      <c r="T71" s="63">
        <f>IFERROR(INDEX(S490_Snapshot!$D$7:$D$38,MATCH(B71,S490_Snapshot!$A$7:$A$38,0)),"")</f>
        <v/>
      </c>
      <c r="U71" s="80">
        <f>IFERROR(INDEX(S490_Snapshot!$E$7:$E$38,MATCH(B71,S490_Snapshot!$A$7:$A$38,0)),"")</f>
        <v/>
      </c>
      <c r="V71" s="89">
        <f>IF(T71="","",(J71-T71)*100)</f>
        <v/>
      </c>
      <c r="W71" s="72">
        <f>IF(U71="","",H71-U71)</f>
        <v/>
      </c>
      <c r="X71" s="63">
        <f>IFERROR(INDEX(S490_Snapshot!$C$7:$C$38,MATCH(B71,S490_Snapshot!$A$7:$A$38,0)),"")</f>
        <v/>
      </c>
      <c r="Y71" s="89">
        <f>IF(OR(X71="",NOT(ISNUMBER(E71))),"",(E71-X71)*100)</f>
        <v/>
      </c>
    </row>
    <row r="72">
      <c r="A72" s="6" t="inlineStr">
        <is>
          <t>50Y</t>
        </is>
      </c>
      <c r="B72" s="112">
        <f>IF(MONTH(((EDATE($B$4,600))+IF(WEEKDAY((EDATE($B$4,600)),2)=6,2,IF(WEEKDAY((EDATE($B$4,600)),2)=7,1,0))))&lt;&gt;MONTH((EDATE($B$4,600))),((EDATE($B$4,600))-IF(WEEKDAY((EDATE($B$4,600)),2)=6,1,IF(WEEKDAY((EDATE($B$4,600)),2)=7,2,0))),((EDATE($B$4,600))+IF(WEEKDAY((EDATE($B$4,600)),2)=6,2,IF(WEEKDAY((EDATE($B$4,600)),2)=7,1,0))))</f>
        <v/>
      </c>
      <c r="C72" s="34">
        <f>(B72-VAL_DATE)/365</f>
        <v/>
      </c>
      <c r="D72" s="34">
        <f>(B72-$B$4)/360</f>
        <v/>
      </c>
      <c r="E72" s="17">
        <f>'SOFR_OIS_Quotes'!$H36</f>
        <v/>
      </c>
      <c r="F72" s="34">
        <f>(B72-$B$71)/360</f>
        <v/>
      </c>
      <c r="G72" s="36">
        <f>SUM($I$8:I71)</f>
        <v/>
      </c>
      <c r="H72" s="71">
        <f>Curve_Solver!$B$353</f>
        <v/>
      </c>
      <c r="I72" s="36">
        <f>F72*H72</f>
        <v/>
      </c>
      <c r="J72" s="17">
        <f>-LN(H72)/C72*100</f>
        <v/>
      </c>
      <c r="K72" s="17">
        <f>(H71/H72-1)/((B72-B71)/360)*100</f>
        <v/>
      </c>
      <c r="L72" s="30" t="n"/>
      <c r="M72" s="28">
        <f>IF(L72="","",(J72-L72)*100)</f>
        <v/>
      </c>
      <c r="N72" s="6" t="inlineStr">
        <is>
          <t>market</t>
        </is>
      </c>
      <c r="R72" s="72">
        <f>($D$4-(E72/100)*G72)/(1+(E72/100)*F72)-H72</f>
        <v/>
      </c>
      <c r="S72" s="36">
        <f>(G72+F72*H72)</f>
        <v/>
      </c>
      <c r="T72" s="63">
        <f>IFERROR(INDEX(S490_Snapshot!$D$7:$D$38,MATCH(B72,S490_Snapshot!$A$7:$A$38,0)),"")</f>
        <v/>
      </c>
      <c r="U72" s="80">
        <f>IFERROR(INDEX(S490_Snapshot!$E$7:$E$38,MATCH(B72,S490_Snapshot!$A$7:$A$38,0)),"")</f>
        <v/>
      </c>
      <c r="V72" s="89">
        <f>IF(T72="","",(J72-T72)*100)</f>
        <v/>
      </c>
      <c r="W72" s="72">
        <f>IF(U72="","",H72-U72)</f>
        <v/>
      </c>
      <c r="X72" s="63">
        <f>IFERROR(INDEX(S490_Snapshot!$C$7:$C$38,MATCH(B72,S490_Snapshot!$A$7:$A$38,0)),"")</f>
        <v/>
      </c>
      <c r="Y72" s="89">
        <f>IF(OR(X72="",NOT(ISNUMBER(E72))),"",(E72-X72)*100)</f>
        <v/>
      </c>
    </row>
    <row r="74" ht="40" customHeight="1">
      <c r="A74" s="70" t="inlineStr">
        <is>
          <t>12Y+ pillars solved on Curve_Solver. Gap rows keep log-linear DF interpolation. See Method step 6.</t>
        </is>
      </c>
    </row>
    <row r="75">
      <c r="X75" s="67" t="inlineStr">
        <is>
          <t>Pillars</t>
        </is>
      </c>
      <c r="Y75" s="87">
        <f>COUNT(X8:X72)&amp;" / 32"</f>
        <v/>
      </c>
    </row>
    <row r="76">
      <c r="T76" s="67" t="inlineStr">
        <is>
          <t>Pillars matched</t>
        </is>
      </c>
      <c r="U76" s="87">
        <f>COUNT(U8:U72)&amp;" / 32"</f>
        <v/>
      </c>
      <c r="X76" s="67" t="inlineStr">
        <is>
          <t>Max |d| (bp)</t>
        </is>
      </c>
      <c r="Y76" s="90">
        <f>IF(COUNT(Y8:Y72)=0,"",MAX(MAX(Y8:Y72),-MIN(Y8:Y72)))</f>
        <v/>
      </c>
    </row>
    <row r="77">
      <c r="T77" s="67" t="inlineStr">
        <is>
          <t>Max |d zero| (bp)</t>
        </is>
      </c>
      <c r="U77" s="90">
        <f>MAX(MAX(V8:V72),-MIN(V8:V72))</f>
        <v/>
      </c>
    </row>
    <row r="78">
      <c r="T78" s="67" t="inlineStr">
        <is>
          <t>Max |d DF|</t>
        </is>
      </c>
      <c r="U78" s="91">
        <f>MAX(MAX(W8:W72),-MIN(W8:W72))</f>
        <v/>
      </c>
      <c r="X78" s="65" t="inlineStr">
        <is>
          <t>X is the fixed 07/21/26 capture, always. Y is what the curve is actually using minus that: 0.00 in Fixed mode, the live drift in Live mode. Raw BDP mid and the live-vs-fixed gap are on SOFR_OIS_Quotes T:U.</t>
        </is>
      </c>
    </row>
    <row r="80">
      <c r="T80" s="65" t="inlineStr">
        <is>
          <t>Bootstrap vs S490. Only the 32 quoted pillars match; interpolated gap rows have no counterpart.</t>
        </is>
      </c>
    </row>
  </sheetData>
  <mergeCells count="3">
    <mergeCell ref="A74:N75"/>
    <mergeCell ref="A5:N6"/>
    <mergeCell ref="S6:W6"/>
  </mergeCells>
  <dataValidations count="1">
    <dataValidation sqref="G4" showDropDown="0" showInputMessage="0" showErrorMessage="0" allowBlank="0" type="list">
      <formula1>"Live (BDP),Fixed (S490 07/21/26),Test 1,Test 2,Test 3"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7950B"/>
    <outlinePr summaryBelow="1" summaryRight="1"/>
    <pageSetUpPr/>
  </sheetPr>
  <dimension ref="A1:Q14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3" customWidth="1" min="4" max="4"/>
    <col width="12" customWidth="1" min="5" max="5"/>
    <col width="13" customWidth="1" min="6" max="6"/>
    <col width="10" customWidth="1" min="7" max="7"/>
    <col width="30" customWidth="1" min="8" max="8"/>
    <col width="10" customWidth="1" min="9" max="9"/>
    <col width="12" customWidth="1" min="10" max="10"/>
    <col width="12" customWidth="1" min="11" max="11"/>
    <col width="12" customWidth="1" min="12" max="12"/>
    <col width="13" customWidth="1" min="13" max="13"/>
    <col width="10" customWidth="1" min="14" max="14"/>
    <col width="11" customWidth="1" min="15" max="15"/>
    <col width="10" customWidth="1" min="16" max="16"/>
    <col width="11" customWidth="1" min="17" max="17"/>
  </cols>
  <sheetData>
    <row r="1">
      <c r="A1" s="123" t="inlineStr">
        <is>
          <t>Testing — three curve test cases</t>
        </is>
      </c>
    </row>
    <row r="2">
      <c r="A2" s="65" t="inlineStr">
        <is>
          <t>Per case paste four columns off the capture: tenor, swap rate (mid), BBG zero, BBG discount. Curve date once in the block header.</t>
        </is>
      </c>
    </row>
    <row r="3">
      <c r="A3" s="65" t="inlineStr">
        <is>
          <t>The tenor is pasted with each case and dates derive from tenor + that case's curve date, so cases may differ in pillar set or length without shifting.</t>
        </is>
      </c>
    </row>
    <row r="4">
      <c r="A4" s="66" t="inlineStr">
        <is>
          <t>Model columns G:Q are live only for the case selected at Bootstrap!G4 — there is one bootstrap. The other two blocks show dates and pasted data and read 'not active' rather than stale numbers.</t>
        </is>
      </c>
    </row>
    <row r="5">
      <c r="A5" s="123" t="inlineStr">
        <is>
          <t>CURVE TEST CASE 1</t>
        </is>
      </c>
      <c r="B5" s="87">
        <f>BOOT_MODE</f>
        <v/>
      </c>
      <c r="C5" s="65" t="inlineStr">
        <is>
          <t>curve date -&gt;</t>
        </is>
      </c>
      <c r="D5" s="111" t="n"/>
      <c r="E5" s="65" t="inlineStr">
        <is>
          <t>name / time -&gt;</t>
        </is>
      </c>
      <c r="F5" s="68" t="n"/>
      <c r="N5" s="66">
        <f>IF(NOT(BOOT_MODE="Test 1"),"",IF($D$5="","set the curve date",IF($D$5&lt;&gt;VAL_DATE,"curve date not driving VAL_DATE","VAL_DATE follows this case")))</f>
        <v/>
      </c>
    </row>
    <row r="6">
      <c r="C6" s="65" t="inlineStr">
        <is>
          <t>spot (T+2bd) -&gt;</t>
        </is>
      </c>
      <c r="D6" s="128">
        <f>IF($D$5="","",$D$5+2+IF(WEEKDAY($D$5,2)&gt;=4,2,0))</f>
        <v/>
      </c>
      <c r="F6" s="67">
        <f>IF(BOOT_MODE="Test 1","ACTIVE — model columns live","not active")</f>
        <v/>
      </c>
    </row>
    <row r="7" ht="30" customHeight="1">
      <c r="A7" s="145" t="inlineStr">
        <is>
          <t>Tenor</t>
        </is>
      </c>
      <c r="B7" s="145" t="inlineStr">
        <is>
          <t>Swap rate (mid)</t>
        </is>
      </c>
      <c r="C7" s="145" t="inlineStr">
        <is>
          <t>BBG zero %</t>
        </is>
      </c>
      <c r="D7" s="145" t="inlineStr">
        <is>
          <t>BBG discount</t>
        </is>
      </c>
      <c r="E7" s="145" t="inlineStr">
        <is>
          <t>raw date</t>
        </is>
      </c>
      <c r="F7" s="145" t="inlineStr">
        <is>
          <t>Date</t>
        </is>
      </c>
      <c r="G7" s="145" t="inlineStr">
        <is>
          <t>S used %</t>
        </is>
      </c>
      <c r="H7" s="145" t="inlineStr">
        <is>
          <t>Rule</t>
        </is>
      </c>
      <c r="I7" s="145" t="inlineStr">
        <is>
          <t>tau</t>
        </is>
      </c>
      <c r="J7" s="145" t="inlineStr">
        <is>
          <t>A(prior)</t>
        </is>
      </c>
      <c r="K7" s="145" t="inlineStr">
        <is>
          <t>numerator</t>
        </is>
      </c>
      <c r="L7" s="145" t="inlineStr">
        <is>
          <t>denominator</t>
        </is>
      </c>
      <c r="M7" s="145" t="inlineStr">
        <is>
          <t>our DF</t>
        </is>
      </c>
      <c r="N7" s="145" t="inlineStr">
        <is>
          <t>t ACT/365</t>
        </is>
      </c>
      <c r="O7" s="145" t="inlineStr">
        <is>
          <t>our zero %</t>
        </is>
      </c>
      <c r="P7" s="145" t="inlineStr">
        <is>
          <t>d zero bp</t>
        </is>
      </c>
      <c r="Q7" s="145" t="inlineStr">
        <is>
          <t>d DF</t>
        </is>
      </c>
    </row>
    <row r="8">
      <c r="A8" s="68" t="n"/>
      <c r="B8" s="85" t="n"/>
      <c r="C8" s="85" t="n"/>
      <c r="D8" s="69" t="n"/>
      <c r="E8" s="112">
        <f>IF(OR(A8="",$D$6=""),"",IF(RIGHT(A8,1)="W",$D$6+7*VALUE(LEFT(A8,LEN(A8)-1)),IF(RIGHT(A8,1)="M",EDATE($D$6,VALUE(LEFT(A8,LEN(A8)-1))),EDATE($D$6,12*VALUE(LEFT(A8,LEN(A8)-1))))))</f>
        <v/>
      </c>
      <c r="F8" s="112">
        <f>IF(E8="","",IF(MONTH((E8+IF(WEEKDAY(E8,2)=6,2,IF(WEEKDAY(E8,2)=7,1,0))))&lt;&gt;MONTH(E8),(E8-IF(WEEKDAY(E8,2)=6,1,IF(WEEKDAY(E8,2)=7,2,0))),(E8+IF(WEEKDAY(E8,2)=6,2,IF(WEEKDAY(E8,2)=7,1,0)))))</f>
        <v/>
      </c>
      <c r="G8" s="84">
        <f>IF(NOT(BOOT_MODE="Test 1"),"",IFERROR(INDEX(BOOT_S,MATCH(F8,BOOT_DATES,0)),""))</f>
        <v/>
      </c>
      <c r="H8" s="160">
        <f>IF(NOT(BOOT_MODE="Test 1"),"",IFERROR(IF(MATCH(F8,BOOT_DATES,0)&lt;=15,"short  DFspot/(1+S*tau)","annual (DFspot-S*A)/(1+S*tau)"),""))</f>
        <v/>
      </c>
      <c r="I8" s="80">
        <f>IF(NOT(BOOT_MODE="Test 1"),"",IFERROR(IF(MATCH(F8,BOOT_DATES,0)&lt;=15,INDEX(BOOT_TAU0,MATCH(F8,BOOT_DATES,0)),INDEX(BOOT_TAUC,MATCH(F8,BOOT_DATES,0))),""))</f>
        <v/>
      </c>
      <c r="J8" s="76">
        <f>IF(NOT(BOOT_MODE="Test 1"),"",IFERROR(IF(MATCH(F8,BOOT_DATES,0)&lt;=15,0,INDEX(BOOT_ANN,MATCH(F8,BOOT_DATES,0))),""))</f>
        <v/>
      </c>
      <c r="K8" s="76">
        <f>IF(OR(G8="",I8=""),"",BOOT_DFSPOT-(G8/100)*J8)</f>
        <v/>
      </c>
      <c r="L8" s="76">
        <f>IF(OR(G8="",I8=""),"",1+(G8/100)*I8)</f>
        <v/>
      </c>
      <c r="M8" s="76">
        <f>IF(NOT(BOOT_MODE="Test 1"),"",IFERROR(INDEX(BOOT_DF,MATCH(F8,BOOT_DATES,0)),""))</f>
        <v/>
      </c>
      <c r="N8" s="80">
        <f>IF(NOT(BOOT_MODE="Test 1"),"",IFERROR(INDEX(BOOT_T,MATCH(F8,BOOT_DATES,0)),""))</f>
        <v/>
      </c>
      <c r="O8" s="84">
        <f>IF(NOT(BOOT_MODE="Test 1"),"",IFERROR(INDEX(BOOT_ZERO,MATCH(F8,BOOT_DATES,0)),""))</f>
        <v/>
      </c>
      <c r="P8" s="89">
        <f>IF(OR(O8="",NOT(ISNUMBER(C8))),"",(O8-C8)*100)</f>
        <v/>
      </c>
      <c r="Q8" s="72">
        <f>IF(OR(M8="",NOT(ISNUMBER(D8))),"",M8-D8)</f>
        <v/>
      </c>
    </row>
    <row r="9">
      <c r="A9" s="68" t="n"/>
      <c r="B9" s="85" t="n"/>
      <c r="C9" s="85" t="n"/>
      <c r="D9" s="69" t="n"/>
      <c r="E9" s="112">
        <f>IF(OR(A9="",$D$6=""),"",IF(RIGHT(A9,1)="W",$D$6+7*VALUE(LEFT(A9,LEN(A9)-1)),IF(RIGHT(A9,1)="M",EDATE($D$6,VALUE(LEFT(A9,LEN(A9)-1))),EDATE($D$6,12*VALUE(LEFT(A9,LEN(A9)-1))))))</f>
        <v/>
      </c>
      <c r="F9" s="112">
        <f>IF(E9="","",IF(MONTH((E9+IF(WEEKDAY(E9,2)=6,2,IF(WEEKDAY(E9,2)=7,1,0))))&lt;&gt;MONTH(E9),(E9-IF(WEEKDAY(E9,2)=6,1,IF(WEEKDAY(E9,2)=7,2,0))),(E9+IF(WEEKDAY(E9,2)=6,2,IF(WEEKDAY(E9,2)=7,1,0)))))</f>
        <v/>
      </c>
      <c r="G9" s="84">
        <f>IF(NOT(BOOT_MODE="Test 1"),"",IFERROR(INDEX(BOOT_S,MATCH(F9,BOOT_DATES,0)),""))</f>
        <v/>
      </c>
      <c r="H9" s="160">
        <f>IF(NOT(BOOT_MODE="Test 1"),"",IFERROR(IF(MATCH(F9,BOOT_DATES,0)&lt;=15,"short  DFspot/(1+S*tau)","annual (DFspot-S*A)/(1+S*tau)"),""))</f>
        <v/>
      </c>
      <c r="I9" s="80">
        <f>IF(NOT(BOOT_MODE="Test 1"),"",IFERROR(IF(MATCH(F9,BOOT_DATES,0)&lt;=15,INDEX(BOOT_TAU0,MATCH(F9,BOOT_DATES,0)),INDEX(BOOT_TAUC,MATCH(F9,BOOT_DATES,0))),""))</f>
        <v/>
      </c>
      <c r="J9" s="76">
        <f>IF(NOT(BOOT_MODE="Test 1"),"",IFERROR(IF(MATCH(F9,BOOT_DATES,0)&lt;=15,0,INDEX(BOOT_ANN,MATCH(F9,BOOT_DATES,0))),""))</f>
        <v/>
      </c>
      <c r="K9" s="76">
        <f>IF(OR(G9="",I9=""),"",BOOT_DFSPOT-(G9/100)*J9)</f>
        <v/>
      </c>
      <c r="L9" s="76">
        <f>IF(OR(G9="",I9=""),"",1+(G9/100)*I9)</f>
        <v/>
      </c>
      <c r="M9" s="76">
        <f>IF(NOT(BOOT_MODE="Test 1"),"",IFERROR(INDEX(BOOT_DF,MATCH(F9,BOOT_DATES,0)),""))</f>
        <v/>
      </c>
      <c r="N9" s="80">
        <f>IF(NOT(BOOT_MODE="Test 1"),"",IFERROR(INDEX(BOOT_T,MATCH(F9,BOOT_DATES,0)),""))</f>
        <v/>
      </c>
      <c r="O9" s="84">
        <f>IF(NOT(BOOT_MODE="Test 1"),"",IFERROR(INDEX(BOOT_ZERO,MATCH(F9,BOOT_DATES,0)),""))</f>
        <v/>
      </c>
      <c r="P9" s="89">
        <f>IF(OR(O9="",NOT(ISNUMBER(C9))),"",(O9-C9)*100)</f>
        <v/>
      </c>
      <c r="Q9" s="72">
        <f>IF(OR(M9="",NOT(ISNUMBER(D9))),"",M9-D9)</f>
        <v/>
      </c>
    </row>
    <row r="10">
      <c r="A10" s="68" t="n"/>
      <c r="B10" s="85" t="n"/>
      <c r="C10" s="85" t="n"/>
      <c r="D10" s="69" t="n"/>
      <c r="E10" s="112">
        <f>IF(OR(A10="",$D$6=""),"",IF(RIGHT(A10,1)="W",$D$6+7*VALUE(LEFT(A10,LEN(A10)-1)),IF(RIGHT(A10,1)="M",EDATE($D$6,VALUE(LEFT(A10,LEN(A10)-1))),EDATE($D$6,12*VALUE(LEFT(A10,LEN(A10)-1))))))</f>
        <v/>
      </c>
      <c r="F10" s="112">
        <f>IF(E10="","",IF(MONTH((E10+IF(WEEKDAY(E10,2)=6,2,IF(WEEKDAY(E10,2)=7,1,0))))&lt;&gt;MONTH(E10),(E10-IF(WEEKDAY(E10,2)=6,1,IF(WEEKDAY(E10,2)=7,2,0))),(E10+IF(WEEKDAY(E10,2)=6,2,IF(WEEKDAY(E10,2)=7,1,0)))))</f>
        <v/>
      </c>
      <c r="G10" s="84">
        <f>IF(NOT(BOOT_MODE="Test 1"),"",IFERROR(INDEX(BOOT_S,MATCH(F10,BOOT_DATES,0)),""))</f>
        <v/>
      </c>
      <c r="H10" s="160">
        <f>IF(NOT(BOOT_MODE="Test 1"),"",IFERROR(IF(MATCH(F10,BOOT_DATES,0)&lt;=15,"short  DFspot/(1+S*tau)","annual (DFspot-S*A)/(1+S*tau)"),""))</f>
        <v/>
      </c>
      <c r="I10" s="80">
        <f>IF(NOT(BOOT_MODE="Test 1"),"",IFERROR(IF(MATCH(F10,BOOT_DATES,0)&lt;=15,INDEX(BOOT_TAU0,MATCH(F10,BOOT_DATES,0)),INDEX(BOOT_TAUC,MATCH(F10,BOOT_DATES,0))),""))</f>
        <v/>
      </c>
      <c r="J10" s="76">
        <f>IF(NOT(BOOT_MODE="Test 1"),"",IFERROR(IF(MATCH(F10,BOOT_DATES,0)&lt;=15,0,INDEX(BOOT_ANN,MATCH(F10,BOOT_DATES,0))),""))</f>
        <v/>
      </c>
      <c r="K10" s="76">
        <f>IF(OR(G10="",I10=""),"",BOOT_DFSPOT-(G10/100)*J10)</f>
        <v/>
      </c>
      <c r="L10" s="76">
        <f>IF(OR(G10="",I10=""),"",1+(G10/100)*I10)</f>
        <v/>
      </c>
      <c r="M10" s="76">
        <f>IF(NOT(BOOT_MODE="Test 1"),"",IFERROR(INDEX(BOOT_DF,MATCH(F10,BOOT_DATES,0)),""))</f>
        <v/>
      </c>
      <c r="N10" s="80">
        <f>IF(NOT(BOOT_MODE="Test 1"),"",IFERROR(INDEX(BOOT_T,MATCH(F10,BOOT_DATES,0)),""))</f>
        <v/>
      </c>
      <c r="O10" s="84">
        <f>IF(NOT(BOOT_MODE="Test 1"),"",IFERROR(INDEX(BOOT_ZERO,MATCH(F10,BOOT_DATES,0)),""))</f>
        <v/>
      </c>
      <c r="P10" s="89">
        <f>IF(OR(O10="",NOT(ISNUMBER(C10))),"",(O10-C10)*100)</f>
        <v/>
      </c>
      <c r="Q10" s="72">
        <f>IF(OR(M10="",NOT(ISNUMBER(D10))),"",M10-D10)</f>
        <v/>
      </c>
    </row>
    <row r="11">
      <c r="A11" s="68" t="n"/>
      <c r="B11" s="85" t="n"/>
      <c r="C11" s="85" t="n"/>
      <c r="D11" s="69" t="n"/>
      <c r="E11" s="112">
        <f>IF(OR(A11="",$D$6=""),"",IF(RIGHT(A11,1)="W",$D$6+7*VALUE(LEFT(A11,LEN(A11)-1)),IF(RIGHT(A11,1)="M",EDATE($D$6,VALUE(LEFT(A11,LEN(A11)-1))),EDATE($D$6,12*VALUE(LEFT(A11,LEN(A11)-1))))))</f>
        <v/>
      </c>
      <c r="F11" s="112">
        <f>IF(E11="","",IF(MONTH((E11+IF(WEEKDAY(E11,2)=6,2,IF(WEEKDAY(E11,2)=7,1,0))))&lt;&gt;MONTH(E11),(E11-IF(WEEKDAY(E11,2)=6,1,IF(WEEKDAY(E11,2)=7,2,0))),(E11+IF(WEEKDAY(E11,2)=6,2,IF(WEEKDAY(E11,2)=7,1,0)))))</f>
        <v/>
      </c>
      <c r="G11" s="84">
        <f>IF(NOT(BOOT_MODE="Test 1"),"",IFERROR(INDEX(BOOT_S,MATCH(F11,BOOT_DATES,0)),""))</f>
        <v/>
      </c>
      <c r="H11" s="160">
        <f>IF(NOT(BOOT_MODE="Test 1"),"",IFERROR(IF(MATCH(F11,BOOT_DATES,0)&lt;=15,"short  DFspot/(1+S*tau)","annual (DFspot-S*A)/(1+S*tau)"),""))</f>
        <v/>
      </c>
      <c r="I11" s="80">
        <f>IF(NOT(BOOT_MODE="Test 1"),"",IFERROR(IF(MATCH(F11,BOOT_DATES,0)&lt;=15,INDEX(BOOT_TAU0,MATCH(F11,BOOT_DATES,0)),INDEX(BOOT_TAUC,MATCH(F11,BOOT_DATES,0))),""))</f>
        <v/>
      </c>
      <c r="J11" s="76">
        <f>IF(NOT(BOOT_MODE="Test 1"),"",IFERROR(IF(MATCH(F11,BOOT_DATES,0)&lt;=15,0,INDEX(BOOT_ANN,MATCH(F11,BOOT_DATES,0))),""))</f>
        <v/>
      </c>
      <c r="K11" s="76">
        <f>IF(OR(G11="",I11=""),"",BOOT_DFSPOT-(G11/100)*J11)</f>
        <v/>
      </c>
      <c r="L11" s="76">
        <f>IF(OR(G11="",I11=""),"",1+(G11/100)*I11)</f>
        <v/>
      </c>
      <c r="M11" s="76">
        <f>IF(NOT(BOOT_MODE="Test 1"),"",IFERROR(INDEX(BOOT_DF,MATCH(F11,BOOT_DATES,0)),""))</f>
        <v/>
      </c>
      <c r="N11" s="80">
        <f>IF(NOT(BOOT_MODE="Test 1"),"",IFERROR(INDEX(BOOT_T,MATCH(F11,BOOT_DATES,0)),""))</f>
        <v/>
      </c>
      <c r="O11" s="84">
        <f>IF(NOT(BOOT_MODE="Test 1"),"",IFERROR(INDEX(BOOT_ZERO,MATCH(F11,BOOT_DATES,0)),""))</f>
        <v/>
      </c>
      <c r="P11" s="89">
        <f>IF(OR(O11="",NOT(ISNUMBER(C11))),"",(O11-C11)*100)</f>
        <v/>
      </c>
      <c r="Q11" s="72">
        <f>IF(OR(M11="",NOT(ISNUMBER(D11))),"",M11-D11)</f>
        <v/>
      </c>
    </row>
    <row r="12">
      <c r="A12" s="68" t="n"/>
      <c r="B12" s="85" t="n"/>
      <c r="C12" s="85" t="n"/>
      <c r="D12" s="69" t="n"/>
      <c r="E12" s="112">
        <f>IF(OR(A12="",$D$6=""),"",IF(RIGHT(A12,1)="W",$D$6+7*VALUE(LEFT(A12,LEN(A12)-1)),IF(RIGHT(A12,1)="M",EDATE($D$6,VALUE(LEFT(A12,LEN(A12)-1))),EDATE($D$6,12*VALUE(LEFT(A12,LEN(A12)-1))))))</f>
        <v/>
      </c>
      <c r="F12" s="112">
        <f>IF(E12="","",IF(MONTH((E12+IF(WEEKDAY(E12,2)=6,2,IF(WEEKDAY(E12,2)=7,1,0))))&lt;&gt;MONTH(E12),(E12-IF(WEEKDAY(E12,2)=6,1,IF(WEEKDAY(E12,2)=7,2,0))),(E12+IF(WEEKDAY(E12,2)=6,2,IF(WEEKDAY(E12,2)=7,1,0)))))</f>
        <v/>
      </c>
      <c r="G12" s="84">
        <f>IF(NOT(BOOT_MODE="Test 1"),"",IFERROR(INDEX(BOOT_S,MATCH(F12,BOOT_DATES,0)),""))</f>
        <v/>
      </c>
      <c r="H12" s="160">
        <f>IF(NOT(BOOT_MODE="Test 1"),"",IFERROR(IF(MATCH(F12,BOOT_DATES,0)&lt;=15,"short  DFspot/(1+S*tau)","annual (DFspot-S*A)/(1+S*tau)"),""))</f>
        <v/>
      </c>
      <c r="I12" s="80">
        <f>IF(NOT(BOOT_MODE="Test 1"),"",IFERROR(IF(MATCH(F12,BOOT_DATES,0)&lt;=15,INDEX(BOOT_TAU0,MATCH(F12,BOOT_DATES,0)),INDEX(BOOT_TAUC,MATCH(F12,BOOT_DATES,0))),""))</f>
        <v/>
      </c>
      <c r="J12" s="76">
        <f>IF(NOT(BOOT_MODE="Test 1"),"",IFERROR(IF(MATCH(F12,BOOT_DATES,0)&lt;=15,0,INDEX(BOOT_ANN,MATCH(F12,BOOT_DATES,0))),""))</f>
        <v/>
      </c>
      <c r="K12" s="76">
        <f>IF(OR(G12="",I12=""),"",BOOT_DFSPOT-(G12/100)*J12)</f>
        <v/>
      </c>
      <c r="L12" s="76">
        <f>IF(OR(G12="",I12=""),"",1+(G12/100)*I12)</f>
        <v/>
      </c>
      <c r="M12" s="76">
        <f>IF(NOT(BOOT_MODE="Test 1"),"",IFERROR(INDEX(BOOT_DF,MATCH(F12,BOOT_DATES,0)),""))</f>
        <v/>
      </c>
      <c r="N12" s="80">
        <f>IF(NOT(BOOT_MODE="Test 1"),"",IFERROR(INDEX(BOOT_T,MATCH(F12,BOOT_DATES,0)),""))</f>
        <v/>
      </c>
      <c r="O12" s="84">
        <f>IF(NOT(BOOT_MODE="Test 1"),"",IFERROR(INDEX(BOOT_ZERO,MATCH(F12,BOOT_DATES,0)),""))</f>
        <v/>
      </c>
      <c r="P12" s="89">
        <f>IF(OR(O12="",NOT(ISNUMBER(C12))),"",(O12-C12)*100)</f>
        <v/>
      </c>
      <c r="Q12" s="72">
        <f>IF(OR(M12="",NOT(ISNUMBER(D12))),"",M12-D12)</f>
        <v/>
      </c>
    </row>
    <row r="13">
      <c r="A13" s="68" t="n"/>
      <c r="B13" s="85" t="n"/>
      <c r="C13" s="85" t="n"/>
      <c r="D13" s="69" t="n"/>
      <c r="E13" s="112">
        <f>IF(OR(A13="",$D$6=""),"",IF(RIGHT(A13,1)="W",$D$6+7*VALUE(LEFT(A13,LEN(A13)-1)),IF(RIGHT(A13,1)="M",EDATE($D$6,VALUE(LEFT(A13,LEN(A13)-1))),EDATE($D$6,12*VALUE(LEFT(A13,LEN(A13)-1))))))</f>
        <v/>
      </c>
      <c r="F13" s="112">
        <f>IF(E13="","",IF(MONTH((E13+IF(WEEKDAY(E13,2)=6,2,IF(WEEKDAY(E13,2)=7,1,0))))&lt;&gt;MONTH(E13),(E13-IF(WEEKDAY(E13,2)=6,1,IF(WEEKDAY(E13,2)=7,2,0))),(E13+IF(WEEKDAY(E13,2)=6,2,IF(WEEKDAY(E13,2)=7,1,0)))))</f>
        <v/>
      </c>
      <c r="G13" s="84">
        <f>IF(NOT(BOOT_MODE="Test 1"),"",IFERROR(INDEX(BOOT_S,MATCH(F13,BOOT_DATES,0)),""))</f>
        <v/>
      </c>
      <c r="H13" s="160">
        <f>IF(NOT(BOOT_MODE="Test 1"),"",IFERROR(IF(MATCH(F13,BOOT_DATES,0)&lt;=15,"short  DFspot/(1+S*tau)","annual (DFspot-S*A)/(1+S*tau)"),""))</f>
        <v/>
      </c>
      <c r="I13" s="80">
        <f>IF(NOT(BOOT_MODE="Test 1"),"",IFERROR(IF(MATCH(F13,BOOT_DATES,0)&lt;=15,INDEX(BOOT_TAU0,MATCH(F13,BOOT_DATES,0)),INDEX(BOOT_TAUC,MATCH(F13,BOOT_DATES,0))),""))</f>
        <v/>
      </c>
      <c r="J13" s="76">
        <f>IF(NOT(BOOT_MODE="Test 1"),"",IFERROR(IF(MATCH(F13,BOOT_DATES,0)&lt;=15,0,INDEX(BOOT_ANN,MATCH(F13,BOOT_DATES,0))),""))</f>
        <v/>
      </c>
      <c r="K13" s="76">
        <f>IF(OR(G13="",I13=""),"",BOOT_DFSPOT-(G13/100)*J13)</f>
        <v/>
      </c>
      <c r="L13" s="76">
        <f>IF(OR(G13="",I13=""),"",1+(G13/100)*I13)</f>
        <v/>
      </c>
      <c r="M13" s="76">
        <f>IF(NOT(BOOT_MODE="Test 1"),"",IFERROR(INDEX(BOOT_DF,MATCH(F13,BOOT_DATES,0)),""))</f>
        <v/>
      </c>
      <c r="N13" s="80">
        <f>IF(NOT(BOOT_MODE="Test 1"),"",IFERROR(INDEX(BOOT_T,MATCH(F13,BOOT_DATES,0)),""))</f>
        <v/>
      </c>
      <c r="O13" s="84">
        <f>IF(NOT(BOOT_MODE="Test 1"),"",IFERROR(INDEX(BOOT_ZERO,MATCH(F13,BOOT_DATES,0)),""))</f>
        <v/>
      </c>
      <c r="P13" s="89">
        <f>IF(OR(O13="",NOT(ISNUMBER(C13))),"",(O13-C13)*100)</f>
        <v/>
      </c>
      <c r="Q13" s="72">
        <f>IF(OR(M13="",NOT(ISNUMBER(D13))),"",M13-D13)</f>
        <v/>
      </c>
    </row>
    <row r="14">
      <c r="A14" s="68" t="n"/>
      <c r="B14" s="85" t="n"/>
      <c r="C14" s="85" t="n"/>
      <c r="D14" s="69" t="n"/>
      <c r="E14" s="112">
        <f>IF(OR(A14="",$D$6=""),"",IF(RIGHT(A14,1)="W",$D$6+7*VALUE(LEFT(A14,LEN(A14)-1)),IF(RIGHT(A14,1)="M",EDATE($D$6,VALUE(LEFT(A14,LEN(A14)-1))),EDATE($D$6,12*VALUE(LEFT(A14,LEN(A14)-1))))))</f>
        <v/>
      </c>
      <c r="F14" s="112">
        <f>IF(E14="","",IF(MONTH((E14+IF(WEEKDAY(E14,2)=6,2,IF(WEEKDAY(E14,2)=7,1,0))))&lt;&gt;MONTH(E14),(E14-IF(WEEKDAY(E14,2)=6,1,IF(WEEKDAY(E14,2)=7,2,0))),(E14+IF(WEEKDAY(E14,2)=6,2,IF(WEEKDAY(E14,2)=7,1,0)))))</f>
        <v/>
      </c>
      <c r="G14" s="84">
        <f>IF(NOT(BOOT_MODE="Test 1"),"",IFERROR(INDEX(BOOT_S,MATCH(F14,BOOT_DATES,0)),""))</f>
        <v/>
      </c>
      <c r="H14" s="160">
        <f>IF(NOT(BOOT_MODE="Test 1"),"",IFERROR(IF(MATCH(F14,BOOT_DATES,0)&lt;=15,"short  DFspot/(1+S*tau)","annual (DFspot-S*A)/(1+S*tau)"),""))</f>
        <v/>
      </c>
      <c r="I14" s="80">
        <f>IF(NOT(BOOT_MODE="Test 1"),"",IFERROR(IF(MATCH(F14,BOOT_DATES,0)&lt;=15,INDEX(BOOT_TAU0,MATCH(F14,BOOT_DATES,0)),INDEX(BOOT_TAUC,MATCH(F14,BOOT_DATES,0))),""))</f>
        <v/>
      </c>
      <c r="J14" s="76">
        <f>IF(NOT(BOOT_MODE="Test 1"),"",IFERROR(IF(MATCH(F14,BOOT_DATES,0)&lt;=15,0,INDEX(BOOT_ANN,MATCH(F14,BOOT_DATES,0))),""))</f>
        <v/>
      </c>
      <c r="K14" s="76">
        <f>IF(OR(G14="",I14=""),"",BOOT_DFSPOT-(G14/100)*J14)</f>
        <v/>
      </c>
      <c r="L14" s="76">
        <f>IF(OR(G14="",I14=""),"",1+(G14/100)*I14)</f>
        <v/>
      </c>
      <c r="M14" s="76">
        <f>IF(NOT(BOOT_MODE="Test 1"),"",IFERROR(INDEX(BOOT_DF,MATCH(F14,BOOT_DATES,0)),""))</f>
        <v/>
      </c>
      <c r="N14" s="80">
        <f>IF(NOT(BOOT_MODE="Test 1"),"",IFERROR(INDEX(BOOT_T,MATCH(F14,BOOT_DATES,0)),""))</f>
        <v/>
      </c>
      <c r="O14" s="84">
        <f>IF(NOT(BOOT_MODE="Test 1"),"",IFERROR(INDEX(BOOT_ZERO,MATCH(F14,BOOT_DATES,0)),""))</f>
        <v/>
      </c>
      <c r="P14" s="89">
        <f>IF(OR(O14="",NOT(ISNUMBER(C14))),"",(O14-C14)*100)</f>
        <v/>
      </c>
      <c r="Q14" s="72">
        <f>IF(OR(M14="",NOT(ISNUMBER(D14))),"",M14-D14)</f>
        <v/>
      </c>
    </row>
    <row r="15">
      <c r="A15" s="68" t="n"/>
      <c r="B15" s="85" t="n"/>
      <c r="C15" s="85" t="n"/>
      <c r="D15" s="69" t="n"/>
      <c r="E15" s="112">
        <f>IF(OR(A15="",$D$6=""),"",IF(RIGHT(A15,1)="W",$D$6+7*VALUE(LEFT(A15,LEN(A15)-1)),IF(RIGHT(A15,1)="M",EDATE($D$6,VALUE(LEFT(A15,LEN(A15)-1))),EDATE($D$6,12*VALUE(LEFT(A15,LEN(A15)-1))))))</f>
        <v/>
      </c>
      <c r="F15" s="112">
        <f>IF(E15="","",IF(MONTH((E15+IF(WEEKDAY(E15,2)=6,2,IF(WEEKDAY(E15,2)=7,1,0))))&lt;&gt;MONTH(E15),(E15-IF(WEEKDAY(E15,2)=6,1,IF(WEEKDAY(E15,2)=7,2,0))),(E15+IF(WEEKDAY(E15,2)=6,2,IF(WEEKDAY(E15,2)=7,1,0)))))</f>
        <v/>
      </c>
      <c r="G15" s="84">
        <f>IF(NOT(BOOT_MODE="Test 1"),"",IFERROR(INDEX(BOOT_S,MATCH(F15,BOOT_DATES,0)),""))</f>
        <v/>
      </c>
      <c r="H15" s="160">
        <f>IF(NOT(BOOT_MODE="Test 1"),"",IFERROR(IF(MATCH(F15,BOOT_DATES,0)&lt;=15,"short  DFspot/(1+S*tau)","annual (DFspot-S*A)/(1+S*tau)"),""))</f>
        <v/>
      </c>
      <c r="I15" s="80">
        <f>IF(NOT(BOOT_MODE="Test 1"),"",IFERROR(IF(MATCH(F15,BOOT_DATES,0)&lt;=15,INDEX(BOOT_TAU0,MATCH(F15,BOOT_DATES,0)),INDEX(BOOT_TAUC,MATCH(F15,BOOT_DATES,0))),""))</f>
        <v/>
      </c>
      <c r="J15" s="76">
        <f>IF(NOT(BOOT_MODE="Test 1"),"",IFERROR(IF(MATCH(F15,BOOT_DATES,0)&lt;=15,0,INDEX(BOOT_ANN,MATCH(F15,BOOT_DATES,0))),""))</f>
        <v/>
      </c>
      <c r="K15" s="76">
        <f>IF(OR(G15="",I15=""),"",BOOT_DFSPOT-(G15/100)*J15)</f>
        <v/>
      </c>
      <c r="L15" s="76">
        <f>IF(OR(G15="",I15=""),"",1+(G15/100)*I15)</f>
        <v/>
      </c>
      <c r="M15" s="76">
        <f>IF(NOT(BOOT_MODE="Test 1"),"",IFERROR(INDEX(BOOT_DF,MATCH(F15,BOOT_DATES,0)),""))</f>
        <v/>
      </c>
      <c r="N15" s="80">
        <f>IF(NOT(BOOT_MODE="Test 1"),"",IFERROR(INDEX(BOOT_T,MATCH(F15,BOOT_DATES,0)),""))</f>
        <v/>
      </c>
      <c r="O15" s="84">
        <f>IF(NOT(BOOT_MODE="Test 1"),"",IFERROR(INDEX(BOOT_ZERO,MATCH(F15,BOOT_DATES,0)),""))</f>
        <v/>
      </c>
      <c r="P15" s="89">
        <f>IF(OR(O15="",NOT(ISNUMBER(C15))),"",(O15-C15)*100)</f>
        <v/>
      </c>
      <c r="Q15" s="72">
        <f>IF(OR(M15="",NOT(ISNUMBER(D15))),"",M15-D15)</f>
        <v/>
      </c>
    </row>
    <row r="16">
      <c r="A16" s="68" t="n"/>
      <c r="B16" s="85" t="n"/>
      <c r="C16" s="85" t="n"/>
      <c r="D16" s="69" t="n"/>
      <c r="E16" s="112">
        <f>IF(OR(A16="",$D$6=""),"",IF(RIGHT(A16,1)="W",$D$6+7*VALUE(LEFT(A16,LEN(A16)-1)),IF(RIGHT(A16,1)="M",EDATE($D$6,VALUE(LEFT(A16,LEN(A16)-1))),EDATE($D$6,12*VALUE(LEFT(A16,LEN(A16)-1))))))</f>
        <v/>
      </c>
      <c r="F16" s="112">
        <f>IF(E16="","",IF(MONTH((E16+IF(WEEKDAY(E16,2)=6,2,IF(WEEKDAY(E16,2)=7,1,0))))&lt;&gt;MONTH(E16),(E16-IF(WEEKDAY(E16,2)=6,1,IF(WEEKDAY(E16,2)=7,2,0))),(E16+IF(WEEKDAY(E16,2)=6,2,IF(WEEKDAY(E16,2)=7,1,0)))))</f>
        <v/>
      </c>
      <c r="G16" s="84">
        <f>IF(NOT(BOOT_MODE="Test 1"),"",IFERROR(INDEX(BOOT_S,MATCH(F16,BOOT_DATES,0)),""))</f>
        <v/>
      </c>
      <c r="H16" s="160">
        <f>IF(NOT(BOOT_MODE="Test 1"),"",IFERROR(IF(MATCH(F16,BOOT_DATES,0)&lt;=15,"short  DFspot/(1+S*tau)","annual (DFspot-S*A)/(1+S*tau)"),""))</f>
        <v/>
      </c>
      <c r="I16" s="80">
        <f>IF(NOT(BOOT_MODE="Test 1"),"",IFERROR(IF(MATCH(F16,BOOT_DATES,0)&lt;=15,INDEX(BOOT_TAU0,MATCH(F16,BOOT_DATES,0)),INDEX(BOOT_TAUC,MATCH(F16,BOOT_DATES,0))),""))</f>
        <v/>
      </c>
      <c r="J16" s="76">
        <f>IF(NOT(BOOT_MODE="Test 1"),"",IFERROR(IF(MATCH(F16,BOOT_DATES,0)&lt;=15,0,INDEX(BOOT_ANN,MATCH(F16,BOOT_DATES,0))),""))</f>
        <v/>
      </c>
      <c r="K16" s="76">
        <f>IF(OR(G16="",I16=""),"",BOOT_DFSPOT-(G16/100)*J16)</f>
        <v/>
      </c>
      <c r="L16" s="76">
        <f>IF(OR(G16="",I16=""),"",1+(G16/100)*I16)</f>
        <v/>
      </c>
      <c r="M16" s="76">
        <f>IF(NOT(BOOT_MODE="Test 1"),"",IFERROR(INDEX(BOOT_DF,MATCH(F16,BOOT_DATES,0)),""))</f>
        <v/>
      </c>
      <c r="N16" s="80">
        <f>IF(NOT(BOOT_MODE="Test 1"),"",IFERROR(INDEX(BOOT_T,MATCH(F16,BOOT_DATES,0)),""))</f>
        <v/>
      </c>
      <c r="O16" s="84">
        <f>IF(NOT(BOOT_MODE="Test 1"),"",IFERROR(INDEX(BOOT_ZERO,MATCH(F16,BOOT_DATES,0)),""))</f>
        <v/>
      </c>
      <c r="P16" s="89">
        <f>IF(OR(O16="",NOT(ISNUMBER(C16))),"",(O16-C16)*100)</f>
        <v/>
      </c>
      <c r="Q16" s="72">
        <f>IF(OR(M16="",NOT(ISNUMBER(D16))),"",M16-D16)</f>
        <v/>
      </c>
    </row>
    <row r="17">
      <c r="A17" s="68" t="n"/>
      <c r="B17" s="85" t="n"/>
      <c r="C17" s="85" t="n"/>
      <c r="D17" s="69" t="n"/>
      <c r="E17" s="112">
        <f>IF(OR(A17="",$D$6=""),"",IF(RIGHT(A17,1)="W",$D$6+7*VALUE(LEFT(A17,LEN(A17)-1)),IF(RIGHT(A17,1)="M",EDATE($D$6,VALUE(LEFT(A17,LEN(A17)-1))),EDATE($D$6,12*VALUE(LEFT(A17,LEN(A17)-1))))))</f>
        <v/>
      </c>
      <c r="F17" s="112">
        <f>IF(E17="","",IF(MONTH((E17+IF(WEEKDAY(E17,2)=6,2,IF(WEEKDAY(E17,2)=7,1,0))))&lt;&gt;MONTH(E17),(E17-IF(WEEKDAY(E17,2)=6,1,IF(WEEKDAY(E17,2)=7,2,0))),(E17+IF(WEEKDAY(E17,2)=6,2,IF(WEEKDAY(E17,2)=7,1,0)))))</f>
        <v/>
      </c>
      <c r="G17" s="84">
        <f>IF(NOT(BOOT_MODE="Test 1"),"",IFERROR(INDEX(BOOT_S,MATCH(F17,BOOT_DATES,0)),""))</f>
        <v/>
      </c>
      <c r="H17" s="160">
        <f>IF(NOT(BOOT_MODE="Test 1"),"",IFERROR(IF(MATCH(F17,BOOT_DATES,0)&lt;=15,"short  DFspot/(1+S*tau)","annual (DFspot-S*A)/(1+S*tau)"),""))</f>
        <v/>
      </c>
      <c r="I17" s="80">
        <f>IF(NOT(BOOT_MODE="Test 1"),"",IFERROR(IF(MATCH(F17,BOOT_DATES,0)&lt;=15,INDEX(BOOT_TAU0,MATCH(F17,BOOT_DATES,0)),INDEX(BOOT_TAUC,MATCH(F17,BOOT_DATES,0))),""))</f>
        <v/>
      </c>
      <c r="J17" s="76">
        <f>IF(NOT(BOOT_MODE="Test 1"),"",IFERROR(IF(MATCH(F17,BOOT_DATES,0)&lt;=15,0,INDEX(BOOT_ANN,MATCH(F17,BOOT_DATES,0))),""))</f>
        <v/>
      </c>
      <c r="K17" s="76">
        <f>IF(OR(G17="",I17=""),"",BOOT_DFSPOT-(G17/100)*J17)</f>
        <v/>
      </c>
      <c r="L17" s="76">
        <f>IF(OR(G17="",I17=""),"",1+(G17/100)*I17)</f>
        <v/>
      </c>
      <c r="M17" s="76">
        <f>IF(NOT(BOOT_MODE="Test 1"),"",IFERROR(INDEX(BOOT_DF,MATCH(F17,BOOT_DATES,0)),""))</f>
        <v/>
      </c>
      <c r="N17" s="80">
        <f>IF(NOT(BOOT_MODE="Test 1"),"",IFERROR(INDEX(BOOT_T,MATCH(F17,BOOT_DATES,0)),""))</f>
        <v/>
      </c>
      <c r="O17" s="84">
        <f>IF(NOT(BOOT_MODE="Test 1"),"",IFERROR(INDEX(BOOT_ZERO,MATCH(F17,BOOT_DATES,0)),""))</f>
        <v/>
      </c>
      <c r="P17" s="89">
        <f>IF(OR(O17="",NOT(ISNUMBER(C17))),"",(O17-C17)*100)</f>
        <v/>
      </c>
      <c r="Q17" s="72">
        <f>IF(OR(M17="",NOT(ISNUMBER(D17))),"",M17-D17)</f>
        <v/>
      </c>
    </row>
    <row r="18">
      <c r="A18" s="68" t="n"/>
      <c r="B18" s="85" t="n"/>
      <c r="C18" s="85" t="n"/>
      <c r="D18" s="69" t="n"/>
      <c r="E18" s="112">
        <f>IF(OR(A18="",$D$6=""),"",IF(RIGHT(A18,1)="W",$D$6+7*VALUE(LEFT(A18,LEN(A18)-1)),IF(RIGHT(A18,1)="M",EDATE($D$6,VALUE(LEFT(A18,LEN(A18)-1))),EDATE($D$6,12*VALUE(LEFT(A18,LEN(A18)-1))))))</f>
        <v/>
      </c>
      <c r="F18" s="112">
        <f>IF(E18="","",IF(MONTH((E18+IF(WEEKDAY(E18,2)=6,2,IF(WEEKDAY(E18,2)=7,1,0))))&lt;&gt;MONTH(E18),(E18-IF(WEEKDAY(E18,2)=6,1,IF(WEEKDAY(E18,2)=7,2,0))),(E18+IF(WEEKDAY(E18,2)=6,2,IF(WEEKDAY(E18,2)=7,1,0)))))</f>
        <v/>
      </c>
      <c r="G18" s="84">
        <f>IF(NOT(BOOT_MODE="Test 1"),"",IFERROR(INDEX(BOOT_S,MATCH(F18,BOOT_DATES,0)),""))</f>
        <v/>
      </c>
      <c r="H18" s="160">
        <f>IF(NOT(BOOT_MODE="Test 1"),"",IFERROR(IF(MATCH(F18,BOOT_DATES,0)&lt;=15,"short  DFspot/(1+S*tau)","annual (DFspot-S*A)/(1+S*tau)"),""))</f>
        <v/>
      </c>
      <c r="I18" s="80">
        <f>IF(NOT(BOOT_MODE="Test 1"),"",IFERROR(IF(MATCH(F18,BOOT_DATES,0)&lt;=15,INDEX(BOOT_TAU0,MATCH(F18,BOOT_DATES,0)),INDEX(BOOT_TAUC,MATCH(F18,BOOT_DATES,0))),""))</f>
        <v/>
      </c>
      <c r="J18" s="76">
        <f>IF(NOT(BOOT_MODE="Test 1"),"",IFERROR(IF(MATCH(F18,BOOT_DATES,0)&lt;=15,0,INDEX(BOOT_ANN,MATCH(F18,BOOT_DATES,0))),""))</f>
        <v/>
      </c>
      <c r="K18" s="76">
        <f>IF(OR(G18="",I18=""),"",BOOT_DFSPOT-(G18/100)*J18)</f>
        <v/>
      </c>
      <c r="L18" s="76">
        <f>IF(OR(G18="",I18=""),"",1+(G18/100)*I18)</f>
        <v/>
      </c>
      <c r="M18" s="76">
        <f>IF(NOT(BOOT_MODE="Test 1"),"",IFERROR(INDEX(BOOT_DF,MATCH(F18,BOOT_DATES,0)),""))</f>
        <v/>
      </c>
      <c r="N18" s="80">
        <f>IF(NOT(BOOT_MODE="Test 1"),"",IFERROR(INDEX(BOOT_T,MATCH(F18,BOOT_DATES,0)),""))</f>
        <v/>
      </c>
      <c r="O18" s="84">
        <f>IF(NOT(BOOT_MODE="Test 1"),"",IFERROR(INDEX(BOOT_ZERO,MATCH(F18,BOOT_DATES,0)),""))</f>
        <v/>
      </c>
      <c r="P18" s="89">
        <f>IF(OR(O18="",NOT(ISNUMBER(C18))),"",(O18-C18)*100)</f>
        <v/>
      </c>
      <c r="Q18" s="72">
        <f>IF(OR(M18="",NOT(ISNUMBER(D18))),"",M18-D18)</f>
        <v/>
      </c>
    </row>
    <row r="19">
      <c r="A19" s="68" t="n"/>
      <c r="B19" s="85" t="n"/>
      <c r="C19" s="85" t="n"/>
      <c r="D19" s="69" t="n"/>
      <c r="E19" s="112">
        <f>IF(OR(A19="",$D$6=""),"",IF(RIGHT(A19,1)="W",$D$6+7*VALUE(LEFT(A19,LEN(A19)-1)),IF(RIGHT(A19,1)="M",EDATE($D$6,VALUE(LEFT(A19,LEN(A19)-1))),EDATE($D$6,12*VALUE(LEFT(A19,LEN(A19)-1))))))</f>
        <v/>
      </c>
      <c r="F19" s="112">
        <f>IF(E19="","",IF(MONTH((E19+IF(WEEKDAY(E19,2)=6,2,IF(WEEKDAY(E19,2)=7,1,0))))&lt;&gt;MONTH(E19),(E19-IF(WEEKDAY(E19,2)=6,1,IF(WEEKDAY(E19,2)=7,2,0))),(E19+IF(WEEKDAY(E19,2)=6,2,IF(WEEKDAY(E19,2)=7,1,0)))))</f>
        <v/>
      </c>
      <c r="G19" s="84">
        <f>IF(NOT(BOOT_MODE="Test 1"),"",IFERROR(INDEX(BOOT_S,MATCH(F19,BOOT_DATES,0)),""))</f>
        <v/>
      </c>
      <c r="H19" s="160">
        <f>IF(NOT(BOOT_MODE="Test 1"),"",IFERROR(IF(MATCH(F19,BOOT_DATES,0)&lt;=15,"short  DFspot/(1+S*tau)","annual (DFspot-S*A)/(1+S*tau)"),""))</f>
        <v/>
      </c>
      <c r="I19" s="80">
        <f>IF(NOT(BOOT_MODE="Test 1"),"",IFERROR(IF(MATCH(F19,BOOT_DATES,0)&lt;=15,INDEX(BOOT_TAU0,MATCH(F19,BOOT_DATES,0)),INDEX(BOOT_TAUC,MATCH(F19,BOOT_DATES,0))),""))</f>
        <v/>
      </c>
      <c r="J19" s="76">
        <f>IF(NOT(BOOT_MODE="Test 1"),"",IFERROR(IF(MATCH(F19,BOOT_DATES,0)&lt;=15,0,INDEX(BOOT_ANN,MATCH(F19,BOOT_DATES,0))),""))</f>
        <v/>
      </c>
      <c r="K19" s="76">
        <f>IF(OR(G19="",I19=""),"",BOOT_DFSPOT-(G19/100)*J19)</f>
        <v/>
      </c>
      <c r="L19" s="76">
        <f>IF(OR(G19="",I19=""),"",1+(G19/100)*I19)</f>
        <v/>
      </c>
      <c r="M19" s="76">
        <f>IF(NOT(BOOT_MODE="Test 1"),"",IFERROR(INDEX(BOOT_DF,MATCH(F19,BOOT_DATES,0)),""))</f>
        <v/>
      </c>
      <c r="N19" s="80">
        <f>IF(NOT(BOOT_MODE="Test 1"),"",IFERROR(INDEX(BOOT_T,MATCH(F19,BOOT_DATES,0)),""))</f>
        <v/>
      </c>
      <c r="O19" s="84">
        <f>IF(NOT(BOOT_MODE="Test 1"),"",IFERROR(INDEX(BOOT_ZERO,MATCH(F19,BOOT_DATES,0)),""))</f>
        <v/>
      </c>
      <c r="P19" s="89">
        <f>IF(OR(O19="",NOT(ISNUMBER(C19))),"",(O19-C19)*100)</f>
        <v/>
      </c>
      <c r="Q19" s="72">
        <f>IF(OR(M19="",NOT(ISNUMBER(D19))),"",M19-D19)</f>
        <v/>
      </c>
    </row>
    <row r="20">
      <c r="A20" s="68" t="n"/>
      <c r="B20" s="85" t="n"/>
      <c r="C20" s="85" t="n"/>
      <c r="D20" s="69" t="n"/>
      <c r="E20" s="112">
        <f>IF(OR(A20="",$D$6=""),"",IF(RIGHT(A20,1)="W",$D$6+7*VALUE(LEFT(A20,LEN(A20)-1)),IF(RIGHT(A20,1)="M",EDATE($D$6,VALUE(LEFT(A20,LEN(A20)-1))),EDATE($D$6,12*VALUE(LEFT(A20,LEN(A20)-1))))))</f>
        <v/>
      </c>
      <c r="F20" s="112">
        <f>IF(E20="","",IF(MONTH((E20+IF(WEEKDAY(E20,2)=6,2,IF(WEEKDAY(E20,2)=7,1,0))))&lt;&gt;MONTH(E20),(E20-IF(WEEKDAY(E20,2)=6,1,IF(WEEKDAY(E20,2)=7,2,0))),(E20+IF(WEEKDAY(E20,2)=6,2,IF(WEEKDAY(E20,2)=7,1,0)))))</f>
        <v/>
      </c>
      <c r="G20" s="84">
        <f>IF(NOT(BOOT_MODE="Test 1"),"",IFERROR(INDEX(BOOT_S,MATCH(F20,BOOT_DATES,0)),""))</f>
        <v/>
      </c>
      <c r="H20" s="160">
        <f>IF(NOT(BOOT_MODE="Test 1"),"",IFERROR(IF(MATCH(F20,BOOT_DATES,0)&lt;=15,"short  DFspot/(1+S*tau)","annual (DFspot-S*A)/(1+S*tau)"),""))</f>
        <v/>
      </c>
      <c r="I20" s="80">
        <f>IF(NOT(BOOT_MODE="Test 1"),"",IFERROR(IF(MATCH(F20,BOOT_DATES,0)&lt;=15,INDEX(BOOT_TAU0,MATCH(F20,BOOT_DATES,0)),INDEX(BOOT_TAUC,MATCH(F20,BOOT_DATES,0))),""))</f>
        <v/>
      </c>
      <c r="J20" s="76">
        <f>IF(NOT(BOOT_MODE="Test 1"),"",IFERROR(IF(MATCH(F20,BOOT_DATES,0)&lt;=15,0,INDEX(BOOT_ANN,MATCH(F20,BOOT_DATES,0))),""))</f>
        <v/>
      </c>
      <c r="K20" s="76">
        <f>IF(OR(G20="",I20=""),"",BOOT_DFSPOT-(G20/100)*J20)</f>
        <v/>
      </c>
      <c r="L20" s="76">
        <f>IF(OR(G20="",I20=""),"",1+(G20/100)*I20)</f>
        <v/>
      </c>
      <c r="M20" s="76">
        <f>IF(NOT(BOOT_MODE="Test 1"),"",IFERROR(INDEX(BOOT_DF,MATCH(F20,BOOT_DATES,0)),""))</f>
        <v/>
      </c>
      <c r="N20" s="80">
        <f>IF(NOT(BOOT_MODE="Test 1"),"",IFERROR(INDEX(BOOT_T,MATCH(F20,BOOT_DATES,0)),""))</f>
        <v/>
      </c>
      <c r="O20" s="84">
        <f>IF(NOT(BOOT_MODE="Test 1"),"",IFERROR(INDEX(BOOT_ZERO,MATCH(F20,BOOT_DATES,0)),""))</f>
        <v/>
      </c>
      <c r="P20" s="89">
        <f>IF(OR(O20="",NOT(ISNUMBER(C20))),"",(O20-C20)*100)</f>
        <v/>
      </c>
      <c r="Q20" s="72">
        <f>IF(OR(M20="",NOT(ISNUMBER(D20))),"",M20-D20)</f>
        <v/>
      </c>
    </row>
    <row r="21">
      <c r="A21" s="68" t="n"/>
      <c r="B21" s="85" t="n"/>
      <c r="C21" s="85" t="n"/>
      <c r="D21" s="69" t="n"/>
      <c r="E21" s="112">
        <f>IF(OR(A21="",$D$6=""),"",IF(RIGHT(A21,1)="W",$D$6+7*VALUE(LEFT(A21,LEN(A21)-1)),IF(RIGHT(A21,1)="M",EDATE($D$6,VALUE(LEFT(A21,LEN(A21)-1))),EDATE($D$6,12*VALUE(LEFT(A21,LEN(A21)-1))))))</f>
        <v/>
      </c>
      <c r="F21" s="112">
        <f>IF(E21="","",IF(MONTH((E21+IF(WEEKDAY(E21,2)=6,2,IF(WEEKDAY(E21,2)=7,1,0))))&lt;&gt;MONTH(E21),(E21-IF(WEEKDAY(E21,2)=6,1,IF(WEEKDAY(E21,2)=7,2,0))),(E21+IF(WEEKDAY(E21,2)=6,2,IF(WEEKDAY(E21,2)=7,1,0)))))</f>
        <v/>
      </c>
      <c r="G21" s="84">
        <f>IF(NOT(BOOT_MODE="Test 1"),"",IFERROR(INDEX(BOOT_S,MATCH(F21,BOOT_DATES,0)),""))</f>
        <v/>
      </c>
      <c r="H21" s="160">
        <f>IF(NOT(BOOT_MODE="Test 1"),"",IFERROR(IF(MATCH(F21,BOOT_DATES,0)&lt;=15,"short  DFspot/(1+S*tau)","annual (DFspot-S*A)/(1+S*tau)"),""))</f>
        <v/>
      </c>
      <c r="I21" s="80">
        <f>IF(NOT(BOOT_MODE="Test 1"),"",IFERROR(IF(MATCH(F21,BOOT_DATES,0)&lt;=15,INDEX(BOOT_TAU0,MATCH(F21,BOOT_DATES,0)),INDEX(BOOT_TAUC,MATCH(F21,BOOT_DATES,0))),""))</f>
        <v/>
      </c>
      <c r="J21" s="76">
        <f>IF(NOT(BOOT_MODE="Test 1"),"",IFERROR(IF(MATCH(F21,BOOT_DATES,0)&lt;=15,0,INDEX(BOOT_ANN,MATCH(F21,BOOT_DATES,0))),""))</f>
        <v/>
      </c>
      <c r="K21" s="76">
        <f>IF(OR(G21="",I21=""),"",BOOT_DFSPOT-(G21/100)*J21)</f>
        <v/>
      </c>
      <c r="L21" s="76">
        <f>IF(OR(G21="",I21=""),"",1+(G21/100)*I21)</f>
        <v/>
      </c>
      <c r="M21" s="76">
        <f>IF(NOT(BOOT_MODE="Test 1"),"",IFERROR(INDEX(BOOT_DF,MATCH(F21,BOOT_DATES,0)),""))</f>
        <v/>
      </c>
      <c r="N21" s="80">
        <f>IF(NOT(BOOT_MODE="Test 1"),"",IFERROR(INDEX(BOOT_T,MATCH(F21,BOOT_DATES,0)),""))</f>
        <v/>
      </c>
      <c r="O21" s="84">
        <f>IF(NOT(BOOT_MODE="Test 1"),"",IFERROR(INDEX(BOOT_ZERO,MATCH(F21,BOOT_DATES,0)),""))</f>
        <v/>
      </c>
      <c r="P21" s="89">
        <f>IF(OR(O21="",NOT(ISNUMBER(C21))),"",(O21-C21)*100)</f>
        <v/>
      </c>
      <c r="Q21" s="72">
        <f>IF(OR(M21="",NOT(ISNUMBER(D21))),"",M21-D21)</f>
        <v/>
      </c>
    </row>
    <row r="22">
      <c r="A22" s="68" t="n"/>
      <c r="B22" s="85" t="n"/>
      <c r="C22" s="85" t="n"/>
      <c r="D22" s="69" t="n"/>
      <c r="E22" s="112">
        <f>IF(OR(A22="",$D$6=""),"",IF(RIGHT(A22,1)="W",$D$6+7*VALUE(LEFT(A22,LEN(A22)-1)),IF(RIGHT(A22,1)="M",EDATE($D$6,VALUE(LEFT(A22,LEN(A22)-1))),EDATE($D$6,12*VALUE(LEFT(A22,LEN(A22)-1))))))</f>
        <v/>
      </c>
      <c r="F22" s="112">
        <f>IF(E22="","",IF(MONTH((E22+IF(WEEKDAY(E22,2)=6,2,IF(WEEKDAY(E22,2)=7,1,0))))&lt;&gt;MONTH(E22),(E22-IF(WEEKDAY(E22,2)=6,1,IF(WEEKDAY(E22,2)=7,2,0))),(E22+IF(WEEKDAY(E22,2)=6,2,IF(WEEKDAY(E22,2)=7,1,0)))))</f>
        <v/>
      </c>
      <c r="G22" s="84">
        <f>IF(NOT(BOOT_MODE="Test 1"),"",IFERROR(INDEX(BOOT_S,MATCH(F22,BOOT_DATES,0)),""))</f>
        <v/>
      </c>
      <c r="H22" s="160">
        <f>IF(NOT(BOOT_MODE="Test 1"),"",IFERROR(IF(MATCH(F22,BOOT_DATES,0)&lt;=15,"short  DFspot/(1+S*tau)","annual (DFspot-S*A)/(1+S*tau)"),""))</f>
        <v/>
      </c>
      <c r="I22" s="80">
        <f>IF(NOT(BOOT_MODE="Test 1"),"",IFERROR(IF(MATCH(F22,BOOT_DATES,0)&lt;=15,INDEX(BOOT_TAU0,MATCH(F22,BOOT_DATES,0)),INDEX(BOOT_TAUC,MATCH(F22,BOOT_DATES,0))),""))</f>
        <v/>
      </c>
      <c r="J22" s="76">
        <f>IF(NOT(BOOT_MODE="Test 1"),"",IFERROR(IF(MATCH(F22,BOOT_DATES,0)&lt;=15,0,INDEX(BOOT_ANN,MATCH(F22,BOOT_DATES,0))),""))</f>
        <v/>
      </c>
      <c r="K22" s="76">
        <f>IF(OR(G22="",I22=""),"",BOOT_DFSPOT-(G22/100)*J22)</f>
        <v/>
      </c>
      <c r="L22" s="76">
        <f>IF(OR(G22="",I22=""),"",1+(G22/100)*I22)</f>
        <v/>
      </c>
      <c r="M22" s="76">
        <f>IF(NOT(BOOT_MODE="Test 1"),"",IFERROR(INDEX(BOOT_DF,MATCH(F22,BOOT_DATES,0)),""))</f>
        <v/>
      </c>
      <c r="N22" s="80">
        <f>IF(NOT(BOOT_MODE="Test 1"),"",IFERROR(INDEX(BOOT_T,MATCH(F22,BOOT_DATES,0)),""))</f>
        <v/>
      </c>
      <c r="O22" s="84">
        <f>IF(NOT(BOOT_MODE="Test 1"),"",IFERROR(INDEX(BOOT_ZERO,MATCH(F22,BOOT_DATES,0)),""))</f>
        <v/>
      </c>
      <c r="P22" s="89">
        <f>IF(OR(O22="",NOT(ISNUMBER(C22))),"",(O22-C22)*100)</f>
        <v/>
      </c>
      <c r="Q22" s="72">
        <f>IF(OR(M22="",NOT(ISNUMBER(D22))),"",M22-D22)</f>
        <v/>
      </c>
    </row>
    <row r="23">
      <c r="A23" s="68" t="n"/>
      <c r="B23" s="85" t="n"/>
      <c r="C23" s="85" t="n"/>
      <c r="D23" s="69" t="n"/>
      <c r="E23" s="112">
        <f>IF(OR(A23="",$D$6=""),"",IF(RIGHT(A23,1)="W",$D$6+7*VALUE(LEFT(A23,LEN(A23)-1)),IF(RIGHT(A23,1)="M",EDATE($D$6,VALUE(LEFT(A23,LEN(A23)-1))),EDATE($D$6,12*VALUE(LEFT(A23,LEN(A23)-1))))))</f>
        <v/>
      </c>
      <c r="F23" s="112">
        <f>IF(E23="","",IF(MONTH((E23+IF(WEEKDAY(E23,2)=6,2,IF(WEEKDAY(E23,2)=7,1,0))))&lt;&gt;MONTH(E23),(E23-IF(WEEKDAY(E23,2)=6,1,IF(WEEKDAY(E23,2)=7,2,0))),(E23+IF(WEEKDAY(E23,2)=6,2,IF(WEEKDAY(E23,2)=7,1,0)))))</f>
        <v/>
      </c>
      <c r="G23" s="84">
        <f>IF(NOT(BOOT_MODE="Test 1"),"",IFERROR(INDEX(BOOT_S,MATCH(F23,BOOT_DATES,0)),""))</f>
        <v/>
      </c>
      <c r="H23" s="160">
        <f>IF(NOT(BOOT_MODE="Test 1"),"",IFERROR(IF(MATCH(F23,BOOT_DATES,0)&lt;=15,"short  DFspot/(1+S*tau)","annual (DFspot-S*A)/(1+S*tau)"),""))</f>
        <v/>
      </c>
      <c r="I23" s="80">
        <f>IF(NOT(BOOT_MODE="Test 1"),"",IFERROR(IF(MATCH(F23,BOOT_DATES,0)&lt;=15,INDEX(BOOT_TAU0,MATCH(F23,BOOT_DATES,0)),INDEX(BOOT_TAUC,MATCH(F23,BOOT_DATES,0))),""))</f>
        <v/>
      </c>
      <c r="J23" s="76">
        <f>IF(NOT(BOOT_MODE="Test 1"),"",IFERROR(IF(MATCH(F23,BOOT_DATES,0)&lt;=15,0,INDEX(BOOT_ANN,MATCH(F23,BOOT_DATES,0))),""))</f>
        <v/>
      </c>
      <c r="K23" s="76">
        <f>IF(OR(G23="",I23=""),"",BOOT_DFSPOT-(G23/100)*J23)</f>
        <v/>
      </c>
      <c r="L23" s="76">
        <f>IF(OR(G23="",I23=""),"",1+(G23/100)*I23)</f>
        <v/>
      </c>
      <c r="M23" s="76">
        <f>IF(NOT(BOOT_MODE="Test 1"),"",IFERROR(INDEX(BOOT_DF,MATCH(F23,BOOT_DATES,0)),""))</f>
        <v/>
      </c>
      <c r="N23" s="80">
        <f>IF(NOT(BOOT_MODE="Test 1"),"",IFERROR(INDEX(BOOT_T,MATCH(F23,BOOT_DATES,0)),""))</f>
        <v/>
      </c>
      <c r="O23" s="84">
        <f>IF(NOT(BOOT_MODE="Test 1"),"",IFERROR(INDEX(BOOT_ZERO,MATCH(F23,BOOT_DATES,0)),""))</f>
        <v/>
      </c>
      <c r="P23" s="89">
        <f>IF(OR(O23="",NOT(ISNUMBER(C23))),"",(O23-C23)*100)</f>
        <v/>
      </c>
      <c r="Q23" s="72">
        <f>IF(OR(M23="",NOT(ISNUMBER(D23))),"",M23-D23)</f>
        <v/>
      </c>
    </row>
    <row r="24">
      <c r="A24" s="68" t="n"/>
      <c r="B24" s="85" t="n"/>
      <c r="C24" s="85" t="n"/>
      <c r="D24" s="69" t="n"/>
      <c r="E24" s="112">
        <f>IF(OR(A24="",$D$6=""),"",IF(RIGHT(A24,1)="W",$D$6+7*VALUE(LEFT(A24,LEN(A24)-1)),IF(RIGHT(A24,1)="M",EDATE($D$6,VALUE(LEFT(A24,LEN(A24)-1))),EDATE($D$6,12*VALUE(LEFT(A24,LEN(A24)-1))))))</f>
        <v/>
      </c>
      <c r="F24" s="112">
        <f>IF(E24="","",IF(MONTH((E24+IF(WEEKDAY(E24,2)=6,2,IF(WEEKDAY(E24,2)=7,1,0))))&lt;&gt;MONTH(E24),(E24-IF(WEEKDAY(E24,2)=6,1,IF(WEEKDAY(E24,2)=7,2,0))),(E24+IF(WEEKDAY(E24,2)=6,2,IF(WEEKDAY(E24,2)=7,1,0)))))</f>
        <v/>
      </c>
      <c r="G24" s="84">
        <f>IF(NOT(BOOT_MODE="Test 1"),"",IFERROR(INDEX(BOOT_S,MATCH(F24,BOOT_DATES,0)),""))</f>
        <v/>
      </c>
      <c r="H24" s="160">
        <f>IF(NOT(BOOT_MODE="Test 1"),"",IFERROR(IF(MATCH(F24,BOOT_DATES,0)&lt;=15,"short  DFspot/(1+S*tau)","annual (DFspot-S*A)/(1+S*tau)"),""))</f>
        <v/>
      </c>
      <c r="I24" s="80">
        <f>IF(NOT(BOOT_MODE="Test 1"),"",IFERROR(IF(MATCH(F24,BOOT_DATES,0)&lt;=15,INDEX(BOOT_TAU0,MATCH(F24,BOOT_DATES,0)),INDEX(BOOT_TAUC,MATCH(F24,BOOT_DATES,0))),""))</f>
        <v/>
      </c>
      <c r="J24" s="76">
        <f>IF(NOT(BOOT_MODE="Test 1"),"",IFERROR(IF(MATCH(F24,BOOT_DATES,0)&lt;=15,0,INDEX(BOOT_ANN,MATCH(F24,BOOT_DATES,0))),""))</f>
        <v/>
      </c>
      <c r="K24" s="76">
        <f>IF(OR(G24="",I24=""),"",BOOT_DFSPOT-(G24/100)*J24)</f>
        <v/>
      </c>
      <c r="L24" s="76">
        <f>IF(OR(G24="",I24=""),"",1+(G24/100)*I24)</f>
        <v/>
      </c>
      <c r="M24" s="76">
        <f>IF(NOT(BOOT_MODE="Test 1"),"",IFERROR(INDEX(BOOT_DF,MATCH(F24,BOOT_DATES,0)),""))</f>
        <v/>
      </c>
      <c r="N24" s="80">
        <f>IF(NOT(BOOT_MODE="Test 1"),"",IFERROR(INDEX(BOOT_T,MATCH(F24,BOOT_DATES,0)),""))</f>
        <v/>
      </c>
      <c r="O24" s="84">
        <f>IF(NOT(BOOT_MODE="Test 1"),"",IFERROR(INDEX(BOOT_ZERO,MATCH(F24,BOOT_DATES,0)),""))</f>
        <v/>
      </c>
      <c r="P24" s="89">
        <f>IF(OR(O24="",NOT(ISNUMBER(C24))),"",(O24-C24)*100)</f>
        <v/>
      </c>
      <c r="Q24" s="72">
        <f>IF(OR(M24="",NOT(ISNUMBER(D24))),"",M24-D24)</f>
        <v/>
      </c>
    </row>
    <row r="25">
      <c r="A25" s="68" t="n"/>
      <c r="B25" s="85" t="n"/>
      <c r="C25" s="85" t="n"/>
      <c r="D25" s="69" t="n"/>
      <c r="E25" s="112">
        <f>IF(OR(A25="",$D$6=""),"",IF(RIGHT(A25,1)="W",$D$6+7*VALUE(LEFT(A25,LEN(A25)-1)),IF(RIGHT(A25,1)="M",EDATE($D$6,VALUE(LEFT(A25,LEN(A25)-1))),EDATE($D$6,12*VALUE(LEFT(A25,LEN(A25)-1))))))</f>
        <v/>
      </c>
      <c r="F25" s="112">
        <f>IF(E25="","",IF(MONTH((E25+IF(WEEKDAY(E25,2)=6,2,IF(WEEKDAY(E25,2)=7,1,0))))&lt;&gt;MONTH(E25),(E25-IF(WEEKDAY(E25,2)=6,1,IF(WEEKDAY(E25,2)=7,2,0))),(E25+IF(WEEKDAY(E25,2)=6,2,IF(WEEKDAY(E25,2)=7,1,0)))))</f>
        <v/>
      </c>
      <c r="G25" s="84">
        <f>IF(NOT(BOOT_MODE="Test 1"),"",IFERROR(INDEX(BOOT_S,MATCH(F25,BOOT_DATES,0)),""))</f>
        <v/>
      </c>
      <c r="H25" s="160">
        <f>IF(NOT(BOOT_MODE="Test 1"),"",IFERROR(IF(MATCH(F25,BOOT_DATES,0)&lt;=15,"short  DFspot/(1+S*tau)","annual (DFspot-S*A)/(1+S*tau)"),""))</f>
        <v/>
      </c>
      <c r="I25" s="80">
        <f>IF(NOT(BOOT_MODE="Test 1"),"",IFERROR(IF(MATCH(F25,BOOT_DATES,0)&lt;=15,INDEX(BOOT_TAU0,MATCH(F25,BOOT_DATES,0)),INDEX(BOOT_TAUC,MATCH(F25,BOOT_DATES,0))),""))</f>
        <v/>
      </c>
      <c r="J25" s="76">
        <f>IF(NOT(BOOT_MODE="Test 1"),"",IFERROR(IF(MATCH(F25,BOOT_DATES,0)&lt;=15,0,INDEX(BOOT_ANN,MATCH(F25,BOOT_DATES,0))),""))</f>
        <v/>
      </c>
      <c r="K25" s="76">
        <f>IF(OR(G25="",I25=""),"",BOOT_DFSPOT-(G25/100)*J25)</f>
        <v/>
      </c>
      <c r="L25" s="76">
        <f>IF(OR(G25="",I25=""),"",1+(G25/100)*I25)</f>
        <v/>
      </c>
      <c r="M25" s="76">
        <f>IF(NOT(BOOT_MODE="Test 1"),"",IFERROR(INDEX(BOOT_DF,MATCH(F25,BOOT_DATES,0)),""))</f>
        <v/>
      </c>
      <c r="N25" s="80">
        <f>IF(NOT(BOOT_MODE="Test 1"),"",IFERROR(INDEX(BOOT_T,MATCH(F25,BOOT_DATES,0)),""))</f>
        <v/>
      </c>
      <c r="O25" s="84">
        <f>IF(NOT(BOOT_MODE="Test 1"),"",IFERROR(INDEX(BOOT_ZERO,MATCH(F25,BOOT_DATES,0)),""))</f>
        <v/>
      </c>
      <c r="P25" s="89">
        <f>IF(OR(O25="",NOT(ISNUMBER(C25))),"",(O25-C25)*100)</f>
        <v/>
      </c>
      <c r="Q25" s="72">
        <f>IF(OR(M25="",NOT(ISNUMBER(D25))),"",M25-D25)</f>
        <v/>
      </c>
    </row>
    <row r="26">
      <c r="A26" s="68" t="n"/>
      <c r="B26" s="85" t="n"/>
      <c r="C26" s="85" t="n"/>
      <c r="D26" s="69" t="n"/>
      <c r="E26" s="112">
        <f>IF(OR(A26="",$D$6=""),"",IF(RIGHT(A26,1)="W",$D$6+7*VALUE(LEFT(A26,LEN(A26)-1)),IF(RIGHT(A26,1)="M",EDATE($D$6,VALUE(LEFT(A26,LEN(A26)-1))),EDATE($D$6,12*VALUE(LEFT(A26,LEN(A26)-1))))))</f>
        <v/>
      </c>
      <c r="F26" s="112">
        <f>IF(E26="","",IF(MONTH((E26+IF(WEEKDAY(E26,2)=6,2,IF(WEEKDAY(E26,2)=7,1,0))))&lt;&gt;MONTH(E26),(E26-IF(WEEKDAY(E26,2)=6,1,IF(WEEKDAY(E26,2)=7,2,0))),(E26+IF(WEEKDAY(E26,2)=6,2,IF(WEEKDAY(E26,2)=7,1,0)))))</f>
        <v/>
      </c>
      <c r="G26" s="84">
        <f>IF(NOT(BOOT_MODE="Test 1"),"",IFERROR(INDEX(BOOT_S,MATCH(F26,BOOT_DATES,0)),""))</f>
        <v/>
      </c>
      <c r="H26" s="160">
        <f>IF(NOT(BOOT_MODE="Test 1"),"",IFERROR(IF(MATCH(F26,BOOT_DATES,0)&lt;=15,"short  DFspot/(1+S*tau)","annual (DFspot-S*A)/(1+S*tau)"),""))</f>
        <v/>
      </c>
      <c r="I26" s="80">
        <f>IF(NOT(BOOT_MODE="Test 1"),"",IFERROR(IF(MATCH(F26,BOOT_DATES,0)&lt;=15,INDEX(BOOT_TAU0,MATCH(F26,BOOT_DATES,0)),INDEX(BOOT_TAUC,MATCH(F26,BOOT_DATES,0))),""))</f>
        <v/>
      </c>
      <c r="J26" s="76">
        <f>IF(NOT(BOOT_MODE="Test 1"),"",IFERROR(IF(MATCH(F26,BOOT_DATES,0)&lt;=15,0,INDEX(BOOT_ANN,MATCH(F26,BOOT_DATES,0))),""))</f>
        <v/>
      </c>
      <c r="K26" s="76">
        <f>IF(OR(G26="",I26=""),"",BOOT_DFSPOT-(G26/100)*J26)</f>
        <v/>
      </c>
      <c r="L26" s="76">
        <f>IF(OR(G26="",I26=""),"",1+(G26/100)*I26)</f>
        <v/>
      </c>
      <c r="M26" s="76">
        <f>IF(NOT(BOOT_MODE="Test 1"),"",IFERROR(INDEX(BOOT_DF,MATCH(F26,BOOT_DATES,0)),""))</f>
        <v/>
      </c>
      <c r="N26" s="80">
        <f>IF(NOT(BOOT_MODE="Test 1"),"",IFERROR(INDEX(BOOT_T,MATCH(F26,BOOT_DATES,0)),""))</f>
        <v/>
      </c>
      <c r="O26" s="84">
        <f>IF(NOT(BOOT_MODE="Test 1"),"",IFERROR(INDEX(BOOT_ZERO,MATCH(F26,BOOT_DATES,0)),""))</f>
        <v/>
      </c>
      <c r="P26" s="89">
        <f>IF(OR(O26="",NOT(ISNUMBER(C26))),"",(O26-C26)*100)</f>
        <v/>
      </c>
      <c r="Q26" s="72">
        <f>IF(OR(M26="",NOT(ISNUMBER(D26))),"",M26-D26)</f>
        <v/>
      </c>
    </row>
    <row r="27">
      <c r="A27" s="68" t="n"/>
      <c r="B27" s="85" t="n"/>
      <c r="C27" s="85" t="n"/>
      <c r="D27" s="69" t="n"/>
      <c r="E27" s="112">
        <f>IF(OR(A27="",$D$6=""),"",IF(RIGHT(A27,1)="W",$D$6+7*VALUE(LEFT(A27,LEN(A27)-1)),IF(RIGHT(A27,1)="M",EDATE($D$6,VALUE(LEFT(A27,LEN(A27)-1))),EDATE($D$6,12*VALUE(LEFT(A27,LEN(A27)-1))))))</f>
        <v/>
      </c>
      <c r="F27" s="112">
        <f>IF(E27="","",IF(MONTH((E27+IF(WEEKDAY(E27,2)=6,2,IF(WEEKDAY(E27,2)=7,1,0))))&lt;&gt;MONTH(E27),(E27-IF(WEEKDAY(E27,2)=6,1,IF(WEEKDAY(E27,2)=7,2,0))),(E27+IF(WEEKDAY(E27,2)=6,2,IF(WEEKDAY(E27,2)=7,1,0)))))</f>
        <v/>
      </c>
      <c r="G27" s="84">
        <f>IF(NOT(BOOT_MODE="Test 1"),"",IFERROR(INDEX(BOOT_S,MATCH(F27,BOOT_DATES,0)),""))</f>
        <v/>
      </c>
      <c r="H27" s="160">
        <f>IF(NOT(BOOT_MODE="Test 1"),"",IFERROR(IF(MATCH(F27,BOOT_DATES,0)&lt;=15,"short  DFspot/(1+S*tau)","annual (DFspot-S*A)/(1+S*tau)"),""))</f>
        <v/>
      </c>
      <c r="I27" s="80">
        <f>IF(NOT(BOOT_MODE="Test 1"),"",IFERROR(IF(MATCH(F27,BOOT_DATES,0)&lt;=15,INDEX(BOOT_TAU0,MATCH(F27,BOOT_DATES,0)),INDEX(BOOT_TAUC,MATCH(F27,BOOT_DATES,0))),""))</f>
        <v/>
      </c>
      <c r="J27" s="76">
        <f>IF(NOT(BOOT_MODE="Test 1"),"",IFERROR(IF(MATCH(F27,BOOT_DATES,0)&lt;=15,0,INDEX(BOOT_ANN,MATCH(F27,BOOT_DATES,0))),""))</f>
        <v/>
      </c>
      <c r="K27" s="76">
        <f>IF(OR(G27="",I27=""),"",BOOT_DFSPOT-(G27/100)*J27)</f>
        <v/>
      </c>
      <c r="L27" s="76">
        <f>IF(OR(G27="",I27=""),"",1+(G27/100)*I27)</f>
        <v/>
      </c>
      <c r="M27" s="76">
        <f>IF(NOT(BOOT_MODE="Test 1"),"",IFERROR(INDEX(BOOT_DF,MATCH(F27,BOOT_DATES,0)),""))</f>
        <v/>
      </c>
      <c r="N27" s="80">
        <f>IF(NOT(BOOT_MODE="Test 1"),"",IFERROR(INDEX(BOOT_T,MATCH(F27,BOOT_DATES,0)),""))</f>
        <v/>
      </c>
      <c r="O27" s="84">
        <f>IF(NOT(BOOT_MODE="Test 1"),"",IFERROR(INDEX(BOOT_ZERO,MATCH(F27,BOOT_DATES,0)),""))</f>
        <v/>
      </c>
      <c r="P27" s="89">
        <f>IF(OR(O27="",NOT(ISNUMBER(C27))),"",(O27-C27)*100)</f>
        <v/>
      </c>
      <c r="Q27" s="72">
        <f>IF(OR(M27="",NOT(ISNUMBER(D27))),"",M27-D27)</f>
        <v/>
      </c>
    </row>
    <row r="28">
      <c r="A28" s="68" t="n"/>
      <c r="B28" s="85" t="n"/>
      <c r="C28" s="85" t="n"/>
      <c r="D28" s="69" t="n"/>
      <c r="E28" s="112">
        <f>IF(OR(A28="",$D$6=""),"",IF(RIGHT(A28,1)="W",$D$6+7*VALUE(LEFT(A28,LEN(A28)-1)),IF(RIGHT(A28,1)="M",EDATE($D$6,VALUE(LEFT(A28,LEN(A28)-1))),EDATE($D$6,12*VALUE(LEFT(A28,LEN(A28)-1))))))</f>
        <v/>
      </c>
      <c r="F28" s="112">
        <f>IF(E28="","",IF(MONTH((E28+IF(WEEKDAY(E28,2)=6,2,IF(WEEKDAY(E28,2)=7,1,0))))&lt;&gt;MONTH(E28),(E28-IF(WEEKDAY(E28,2)=6,1,IF(WEEKDAY(E28,2)=7,2,0))),(E28+IF(WEEKDAY(E28,2)=6,2,IF(WEEKDAY(E28,2)=7,1,0)))))</f>
        <v/>
      </c>
      <c r="G28" s="84">
        <f>IF(NOT(BOOT_MODE="Test 1"),"",IFERROR(INDEX(BOOT_S,MATCH(F28,BOOT_DATES,0)),""))</f>
        <v/>
      </c>
      <c r="H28" s="160">
        <f>IF(NOT(BOOT_MODE="Test 1"),"",IFERROR(IF(MATCH(F28,BOOT_DATES,0)&lt;=15,"short  DFspot/(1+S*tau)","annual (DFspot-S*A)/(1+S*tau)"),""))</f>
        <v/>
      </c>
      <c r="I28" s="80">
        <f>IF(NOT(BOOT_MODE="Test 1"),"",IFERROR(IF(MATCH(F28,BOOT_DATES,0)&lt;=15,INDEX(BOOT_TAU0,MATCH(F28,BOOT_DATES,0)),INDEX(BOOT_TAUC,MATCH(F28,BOOT_DATES,0))),""))</f>
        <v/>
      </c>
      <c r="J28" s="76">
        <f>IF(NOT(BOOT_MODE="Test 1"),"",IFERROR(IF(MATCH(F28,BOOT_DATES,0)&lt;=15,0,INDEX(BOOT_ANN,MATCH(F28,BOOT_DATES,0))),""))</f>
        <v/>
      </c>
      <c r="K28" s="76">
        <f>IF(OR(G28="",I28=""),"",BOOT_DFSPOT-(G28/100)*J28)</f>
        <v/>
      </c>
      <c r="L28" s="76">
        <f>IF(OR(G28="",I28=""),"",1+(G28/100)*I28)</f>
        <v/>
      </c>
      <c r="M28" s="76">
        <f>IF(NOT(BOOT_MODE="Test 1"),"",IFERROR(INDEX(BOOT_DF,MATCH(F28,BOOT_DATES,0)),""))</f>
        <v/>
      </c>
      <c r="N28" s="80">
        <f>IF(NOT(BOOT_MODE="Test 1"),"",IFERROR(INDEX(BOOT_T,MATCH(F28,BOOT_DATES,0)),""))</f>
        <v/>
      </c>
      <c r="O28" s="84">
        <f>IF(NOT(BOOT_MODE="Test 1"),"",IFERROR(INDEX(BOOT_ZERO,MATCH(F28,BOOT_DATES,0)),""))</f>
        <v/>
      </c>
      <c r="P28" s="89">
        <f>IF(OR(O28="",NOT(ISNUMBER(C28))),"",(O28-C28)*100)</f>
        <v/>
      </c>
      <c r="Q28" s="72">
        <f>IF(OR(M28="",NOT(ISNUMBER(D28))),"",M28-D28)</f>
        <v/>
      </c>
    </row>
    <row r="29">
      <c r="A29" s="68" t="n"/>
      <c r="B29" s="85" t="n"/>
      <c r="C29" s="85" t="n"/>
      <c r="D29" s="69" t="n"/>
      <c r="E29" s="112">
        <f>IF(OR(A29="",$D$6=""),"",IF(RIGHT(A29,1)="W",$D$6+7*VALUE(LEFT(A29,LEN(A29)-1)),IF(RIGHT(A29,1)="M",EDATE($D$6,VALUE(LEFT(A29,LEN(A29)-1))),EDATE($D$6,12*VALUE(LEFT(A29,LEN(A29)-1))))))</f>
        <v/>
      </c>
      <c r="F29" s="112">
        <f>IF(E29="","",IF(MONTH((E29+IF(WEEKDAY(E29,2)=6,2,IF(WEEKDAY(E29,2)=7,1,0))))&lt;&gt;MONTH(E29),(E29-IF(WEEKDAY(E29,2)=6,1,IF(WEEKDAY(E29,2)=7,2,0))),(E29+IF(WEEKDAY(E29,2)=6,2,IF(WEEKDAY(E29,2)=7,1,0)))))</f>
        <v/>
      </c>
      <c r="G29" s="84">
        <f>IF(NOT(BOOT_MODE="Test 1"),"",IFERROR(INDEX(BOOT_S,MATCH(F29,BOOT_DATES,0)),""))</f>
        <v/>
      </c>
      <c r="H29" s="160">
        <f>IF(NOT(BOOT_MODE="Test 1"),"",IFERROR(IF(MATCH(F29,BOOT_DATES,0)&lt;=15,"short  DFspot/(1+S*tau)","annual (DFspot-S*A)/(1+S*tau)"),""))</f>
        <v/>
      </c>
      <c r="I29" s="80">
        <f>IF(NOT(BOOT_MODE="Test 1"),"",IFERROR(IF(MATCH(F29,BOOT_DATES,0)&lt;=15,INDEX(BOOT_TAU0,MATCH(F29,BOOT_DATES,0)),INDEX(BOOT_TAUC,MATCH(F29,BOOT_DATES,0))),""))</f>
        <v/>
      </c>
      <c r="J29" s="76">
        <f>IF(NOT(BOOT_MODE="Test 1"),"",IFERROR(IF(MATCH(F29,BOOT_DATES,0)&lt;=15,0,INDEX(BOOT_ANN,MATCH(F29,BOOT_DATES,0))),""))</f>
        <v/>
      </c>
      <c r="K29" s="76">
        <f>IF(OR(G29="",I29=""),"",BOOT_DFSPOT-(G29/100)*J29)</f>
        <v/>
      </c>
      <c r="L29" s="76">
        <f>IF(OR(G29="",I29=""),"",1+(G29/100)*I29)</f>
        <v/>
      </c>
      <c r="M29" s="76">
        <f>IF(NOT(BOOT_MODE="Test 1"),"",IFERROR(INDEX(BOOT_DF,MATCH(F29,BOOT_DATES,0)),""))</f>
        <v/>
      </c>
      <c r="N29" s="80">
        <f>IF(NOT(BOOT_MODE="Test 1"),"",IFERROR(INDEX(BOOT_T,MATCH(F29,BOOT_DATES,0)),""))</f>
        <v/>
      </c>
      <c r="O29" s="84">
        <f>IF(NOT(BOOT_MODE="Test 1"),"",IFERROR(INDEX(BOOT_ZERO,MATCH(F29,BOOT_DATES,0)),""))</f>
        <v/>
      </c>
      <c r="P29" s="89">
        <f>IF(OR(O29="",NOT(ISNUMBER(C29))),"",(O29-C29)*100)</f>
        <v/>
      </c>
      <c r="Q29" s="72">
        <f>IF(OR(M29="",NOT(ISNUMBER(D29))),"",M29-D29)</f>
        <v/>
      </c>
    </row>
    <row r="30">
      <c r="A30" s="68" t="n"/>
      <c r="B30" s="85" t="n"/>
      <c r="C30" s="85" t="n"/>
      <c r="D30" s="69" t="n"/>
      <c r="E30" s="112">
        <f>IF(OR(A30="",$D$6=""),"",IF(RIGHT(A30,1)="W",$D$6+7*VALUE(LEFT(A30,LEN(A30)-1)),IF(RIGHT(A30,1)="M",EDATE($D$6,VALUE(LEFT(A30,LEN(A30)-1))),EDATE($D$6,12*VALUE(LEFT(A30,LEN(A30)-1))))))</f>
        <v/>
      </c>
      <c r="F30" s="112">
        <f>IF(E30="","",IF(MONTH((E30+IF(WEEKDAY(E30,2)=6,2,IF(WEEKDAY(E30,2)=7,1,0))))&lt;&gt;MONTH(E30),(E30-IF(WEEKDAY(E30,2)=6,1,IF(WEEKDAY(E30,2)=7,2,0))),(E30+IF(WEEKDAY(E30,2)=6,2,IF(WEEKDAY(E30,2)=7,1,0)))))</f>
        <v/>
      </c>
      <c r="G30" s="84">
        <f>IF(NOT(BOOT_MODE="Test 1"),"",IFERROR(INDEX(BOOT_S,MATCH(F30,BOOT_DATES,0)),""))</f>
        <v/>
      </c>
      <c r="H30" s="160">
        <f>IF(NOT(BOOT_MODE="Test 1"),"",IFERROR(IF(MATCH(F30,BOOT_DATES,0)&lt;=15,"short  DFspot/(1+S*tau)","annual (DFspot-S*A)/(1+S*tau)"),""))</f>
        <v/>
      </c>
      <c r="I30" s="80">
        <f>IF(NOT(BOOT_MODE="Test 1"),"",IFERROR(IF(MATCH(F30,BOOT_DATES,0)&lt;=15,INDEX(BOOT_TAU0,MATCH(F30,BOOT_DATES,0)),INDEX(BOOT_TAUC,MATCH(F30,BOOT_DATES,0))),""))</f>
        <v/>
      </c>
      <c r="J30" s="76">
        <f>IF(NOT(BOOT_MODE="Test 1"),"",IFERROR(IF(MATCH(F30,BOOT_DATES,0)&lt;=15,0,INDEX(BOOT_ANN,MATCH(F30,BOOT_DATES,0))),""))</f>
        <v/>
      </c>
      <c r="K30" s="76">
        <f>IF(OR(G30="",I30=""),"",BOOT_DFSPOT-(G30/100)*J30)</f>
        <v/>
      </c>
      <c r="L30" s="76">
        <f>IF(OR(G30="",I30=""),"",1+(G30/100)*I30)</f>
        <v/>
      </c>
      <c r="M30" s="76">
        <f>IF(NOT(BOOT_MODE="Test 1"),"",IFERROR(INDEX(BOOT_DF,MATCH(F30,BOOT_DATES,0)),""))</f>
        <v/>
      </c>
      <c r="N30" s="80">
        <f>IF(NOT(BOOT_MODE="Test 1"),"",IFERROR(INDEX(BOOT_T,MATCH(F30,BOOT_DATES,0)),""))</f>
        <v/>
      </c>
      <c r="O30" s="84">
        <f>IF(NOT(BOOT_MODE="Test 1"),"",IFERROR(INDEX(BOOT_ZERO,MATCH(F30,BOOT_DATES,0)),""))</f>
        <v/>
      </c>
      <c r="P30" s="89">
        <f>IF(OR(O30="",NOT(ISNUMBER(C30))),"",(O30-C30)*100)</f>
        <v/>
      </c>
      <c r="Q30" s="72">
        <f>IF(OR(M30="",NOT(ISNUMBER(D30))),"",M30-D30)</f>
        <v/>
      </c>
    </row>
    <row r="31">
      <c r="A31" s="68" t="n"/>
      <c r="B31" s="85" t="n"/>
      <c r="C31" s="85" t="n"/>
      <c r="D31" s="69" t="n"/>
      <c r="E31" s="112">
        <f>IF(OR(A31="",$D$6=""),"",IF(RIGHT(A31,1)="W",$D$6+7*VALUE(LEFT(A31,LEN(A31)-1)),IF(RIGHT(A31,1)="M",EDATE($D$6,VALUE(LEFT(A31,LEN(A31)-1))),EDATE($D$6,12*VALUE(LEFT(A31,LEN(A31)-1))))))</f>
        <v/>
      </c>
      <c r="F31" s="112">
        <f>IF(E31="","",IF(MONTH((E31+IF(WEEKDAY(E31,2)=6,2,IF(WEEKDAY(E31,2)=7,1,0))))&lt;&gt;MONTH(E31),(E31-IF(WEEKDAY(E31,2)=6,1,IF(WEEKDAY(E31,2)=7,2,0))),(E31+IF(WEEKDAY(E31,2)=6,2,IF(WEEKDAY(E31,2)=7,1,0)))))</f>
        <v/>
      </c>
      <c r="G31" s="84">
        <f>IF(NOT(BOOT_MODE="Test 1"),"",IFERROR(INDEX(BOOT_S,MATCH(F31,BOOT_DATES,0)),""))</f>
        <v/>
      </c>
      <c r="H31" s="160">
        <f>IF(NOT(BOOT_MODE="Test 1"),"",IFERROR(IF(MATCH(F31,BOOT_DATES,0)&lt;=15,"short  DFspot/(1+S*tau)","annual (DFspot-S*A)/(1+S*tau)"),""))</f>
        <v/>
      </c>
      <c r="I31" s="80">
        <f>IF(NOT(BOOT_MODE="Test 1"),"",IFERROR(IF(MATCH(F31,BOOT_DATES,0)&lt;=15,INDEX(BOOT_TAU0,MATCH(F31,BOOT_DATES,0)),INDEX(BOOT_TAUC,MATCH(F31,BOOT_DATES,0))),""))</f>
        <v/>
      </c>
      <c r="J31" s="76">
        <f>IF(NOT(BOOT_MODE="Test 1"),"",IFERROR(IF(MATCH(F31,BOOT_DATES,0)&lt;=15,0,INDEX(BOOT_ANN,MATCH(F31,BOOT_DATES,0))),""))</f>
        <v/>
      </c>
      <c r="K31" s="76">
        <f>IF(OR(G31="",I31=""),"",BOOT_DFSPOT-(G31/100)*J31)</f>
        <v/>
      </c>
      <c r="L31" s="76">
        <f>IF(OR(G31="",I31=""),"",1+(G31/100)*I31)</f>
        <v/>
      </c>
      <c r="M31" s="76">
        <f>IF(NOT(BOOT_MODE="Test 1"),"",IFERROR(INDEX(BOOT_DF,MATCH(F31,BOOT_DATES,0)),""))</f>
        <v/>
      </c>
      <c r="N31" s="80">
        <f>IF(NOT(BOOT_MODE="Test 1"),"",IFERROR(INDEX(BOOT_T,MATCH(F31,BOOT_DATES,0)),""))</f>
        <v/>
      </c>
      <c r="O31" s="84">
        <f>IF(NOT(BOOT_MODE="Test 1"),"",IFERROR(INDEX(BOOT_ZERO,MATCH(F31,BOOT_DATES,0)),""))</f>
        <v/>
      </c>
      <c r="P31" s="89">
        <f>IF(OR(O31="",NOT(ISNUMBER(C31))),"",(O31-C31)*100)</f>
        <v/>
      </c>
      <c r="Q31" s="72">
        <f>IF(OR(M31="",NOT(ISNUMBER(D31))),"",M31-D31)</f>
        <v/>
      </c>
    </row>
    <row r="32">
      <c r="A32" s="68" t="n"/>
      <c r="B32" s="85" t="n"/>
      <c r="C32" s="85" t="n"/>
      <c r="D32" s="69" t="n"/>
      <c r="E32" s="112">
        <f>IF(OR(A32="",$D$6=""),"",IF(RIGHT(A32,1)="W",$D$6+7*VALUE(LEFT(A32,LEN(A32)-1)),IF(RIGHT(A32,1)="M",EDATE($D$6,VALUE(LEFT(A32,LEN(A32)-1))),EDATE($D$6,12*VALUE(LEFT(A32,LEN(A32)-1))))))</f>
        <v/>
      </c>
      <c r="F32" s="112">
        <f>IF(E32="","",IF(MONTH((E32+IF(WEEKDAY(E32,2)=6,2,IF(WEEKDAY(E32,2)=7,1,0))))&lt;&gt;MONTH(E32),(E32-IF(WEEKDAY(E32,2)=6,1,IF(WEEKDAY(E32,2)=7,2,0))),(E32+IF(WEEKDAY(E32,2)=6,2,IF(WEEKDAY(E32,2)=7,1,0)))))</f>
        <v/>
      </c>
      <c r="G32" s="84">
        <f>IF(NOT(BOOT_MODE="Test 1"),"",IFERROR(INDEX(BOOT_S,MATCH(F32,BOOT_DATES,0)),""))</f>
        <v/>
      </c>
      <c r="H32" s="160">
        <f>IF(NOT(BOOT_MODE="Test 1"),"",IFERROR(IF(MATCH(F32,BOOT_DATES,0)&lt;=15,"short  DFspot/(1+S*tau)","annual (DFspot-S*A)/(1+S*tau)"),""))</f>
        <v/>
      </c>
      <c r="I32" s="80">
        <f>IF(NOT(BOOT_MODE="Test 1"),"",IFERROR(IF(MATCH(F32,BOOT_DATES,0)&lt;=15,INDEX(BOOT_TAU0,MATCH(F32,BOOT_DATES,0)),INDEX(BOOT_TAUC,MATCH(F32,BOOT_DATES,0))),""))</f>
        <v/>
      </c>
      <c r="J32" s="76">
        <f>IF(NOT(BOOT_MODE="Test 1"),"",IFERROR(IF(MATCH(F32,BOOT_DATES,0)&lt;=15,0,INDEX(BOOT_ANN,MATCH(F32,BOOT_DATES,0))),""))</f>
        <v/>
      </c>
      <c r="K32" s="76">
        <f>IF(OR(G32="",I32=""),"",BOOT_DFSPOT-(G32/100)*J32)</f>
        <v/>
      </c>
      <c r="L32" s="76">
        <f>IF(OR(G32="",I32=""),"",1+(G32/100)*I32)</f>
        <v/>
      </c>
      <c r="M32" s="76">
        <f>IF(NOT(BOOT_MODE="Test 1"),"",IFERROR(INDEX(BOOT_DF,MATCH(F32,BOOT_DATES,0)),""))</f>
        <v/>
      </c>
      <c r="N32" s="80">
        <f>IF(NOT(BOOT_MODE="Test 1"),"",IFERROR(INDEX(BOOT_T,MATCH(F32,BOOT_DATES,0)),""))</f>
        <v/>
      </c>
      <c r="O32" s="84">
        <f>IF(NOT(BOOT_MODE="Test 1"),"",IFERROR(INDEX(BOOT_ZERO,MATCH(F32,BOOT_DATES,0)),""))</f>
        <v/>
      </c>
      <c r="P32" s="89">
        <f>IF(OR(O32="",NOT(ISNUMBER(C32))),"",(O32-C32)*100)</f>
        <v/>
      </c>
      <c r="Q32" s="72">
        <f>IF(OR(M32="",NOT(ISNUMBER(D32))),"",M32-D32)</f>
        <v/>
      </c>
    </row>
    <row r="33">
      <c r="A33" s="68" t="n"/>
      <c r="B33" s="85" t="n"/>
      <c r="C33" s="85" t="n"/>
      <c r="D33" s="69" t="n"/>
      <c r="E33" s="112">
        <f>IF(OR(A33="",$D$6=""),"",IF(RIGHT(A33,1)="W",$D$6+7*VALUE(LEFT(A33,LEN(A33)-1)),IF(RIGHT(A33,1)="M",EDATE($D$6,VALUE(LEFT(A33,LEN(A33)-1))),EDATE($D$6,12*VALUE(LEFT(A33,LEN(A33)-1))))))</f>
        <v/>
      </c>
      <c r="F33" s="112">
        <f>IF(E33="","",IF(MONTH((E33+IF(WEEKDAY(E33,2)=6,2,IF(WEEKDAY(E33,2)=7,1,0))))&lt;&gt;MONTH(E33),(E33-IF(WEEKDAY(E33,2)=6,1,IF(WEEKDAY(E33,2)=7,2,0))),(E33+IF(WEEKDAY(E33,2)=6,2,IF(WEEKDAY(E33,2)=7,1,0)))))</f>
        <v/>
      </c>
      <c r="G33" s="84">
        <f>IF(NOT(BOOT_MODE="Test 1"),"",IFERROR(INDEX(BOOT_S,MATCH(F33,BOOT_DATES,0)),""))</f>
        <v/>
      </c>
      <c r="H33" s="160">
        <f>IF(NOT(BOOT_MODE="Test 1"),"",IFERROR(IF(MATCH(F33,BOOT_DATES,0)&lt;=15,"short  DFspot/(1+S*tau)","annual (DFspot-S*A)/(1+S*tau)"),""))</f>
        <v/>
      </c>
      <c r="I33" s="80">
        <f>IF(NOT(BOOT_MODE="Test 1"),"",IFERROR(IF(MATCH(F33,BOOT_DATES,0)&lt;=15,INDEX(BOOT_TAU0,MATCH(F33,BOOT_DATES,0)),INDEX(BOOT_TAUC,MATCH(F33,BOOT_DATES,0))),""))</f>
        <v/>
      </c>
      <c r="J33" s="76">
        <f>IF(NOT(BOOT_MODE="Test 1"),"",IFERROR(IF(MATCH(F33,BOOT_DATES,0)&lt;=15,0,INDEX(BOOT_ANN,MATCH(F33,BOOT_DATES,0))),""))</f>
        <v/>
      </c>
      <c r="K33" s="76">
        <f>IF(OR(G33="",I33=""),"",BOOT_DFSPOT-(G33/100)*J33)</f>
        <v/>
      </c>
      <c r="L33" s="76">
        <f>IF(OR(G33="",I33=""),"",1+(G33/100)*I33)</f>
        <v/>
      </c>
      <c r="M33" s="76">
        <f>IF(NOT(BOOT_MODE="Test 1"),"",IFERROR(INDEX(BOOT_DF,MATCH(F33,BOOT_DATES,0)),""))</f>
        <v/>
      </c>
      <c r="N33" s="80">
        <f>IF(NOT(BOOT_MODE="Test 1"),"",IFERROR(INDEX(BOOT_T,MATCH(F33,BOOT_DATES,0)),""))</f>
        <v/>
      </c>
      <c r="O33" s="84">
        <f>IF(NOT(BOOT_MODE="Test 1"),"",IFERROR(INDEX(BOOT_ZERO,MATCH(F33,BOOT_DATES,0)),""))</f>
        <v/>
      </c>
      <c r="P33" s="89">
        <f>IF(OR(O33="",NOT(ISNUMBER(C33))),"",(O33-C33)*100)</f>
        <v/>
      </c>
      <c r="Q33" s="72">
        <f>IF(OR(M33="",NOT(ISNUMBER(D33))),"",M33-D33)</f>
        <v/>
      </c>
    </row>
    <row r="34">
      <c r="A34" s="68" t="n"/>
      <c r="B34" s="85" t="n"/>
      <c r="C34" s="85" t="n"/>
      <c r="D34" s="69" t="n"/>
      <c r="E34" s="112">
        <f>IF(OR(A34="",$D$6=""),"",IF(RIGHT(A34,1)="W",$D$6+7*VALUE(LEFT(A34,LEN(A34)-1)),IF(RIGHT(A34,1)="M",EDATE($D$6,VALUE(LEFT(A34,LEN(A34)-1))),EDATE($D$6,12*VALUE(LEFT(A34,LEN(A34)-1))))))</f>
        <v/>
      </c>
      <c r="F34" s="112">
        <f>IF(E34="","",IF(MONTH((E34+IF(WEEKDAY(E34,2)=6,2,IF(WEEKDAY(E34,2)=7,1,0))))&lt;&gt;MONTH(E34),(E34-IF(WEEKDAY(E34,2)=6,1,IF(WEEKDAY(E34,2)=7,2,0))),(E34+IF(WEEKDAY(E34,2)=6,2,IF(WEEKDAY(E34,2)=7,1,0)))))</f>
        <v/>
      </c>
      <c r="G34" s="84">
        <f>IF(NOT(BOOT_MODE="Test 1"),"",IFERROR(INDEX(BOOT_S,MATCH(F34,BOOT_DATES,0)),""))</f>
        <v/>
      </c>
      <c r="H34" s="160">
        <f>IF(NOT(BOOT_MODE="Test 1"),"",IFERROR(IF(MATCH(F34,BOOT_DATES,0)&lt;=15,"short  DFspot/(1+S*tau)","annual (DFspot-S*A)/(1+S*tau)"),""))</f>
        <v/>
      </c>
      <c r="I34" s="80">
        <f>IF(NOT(BOOT_MODE="Test 1"),"",IFERROR(IF(MATCH(F34,BOOT_DATES,0)&lt;=15,INDEX(BOOT_TAU0,MATCH(F34,BOOT_DATES,0)),INDEX(BOOT_TAUC,MATCH(F34,BOOT_DATES,0))),""))</f>
        <v/>
      </c>
      <c r="J34" s="76">
        <f>IF(NOT(BOOT_MODE="Test 1"),"",IFERROR(IF(MATCH(F34,BOOT_DATES,0)&lt;=15,0,INDEX(BOOT_ANN,MATCH(F34,BOOT_DATES,0))),""))</f>
        <v/>
      </c>
      <c r="K34" s="76">
        <f>IF(OR(G34="",I34=""),"",BOOT_DFSPOT-(G34/100)*J34)</f>
        <v/>
      </c>
      <c r="L34" s="76">
        <f>IF(OR(G34="",I34=""),"",1+(G34/100)*I34)</f>
        <v/>
      </c>
      <c r="M34" s="76">
        <f>IF(NOT(BOOT_MODE="Test 1"),"",IFERROR(INDEX(BOOT_DF,MATCH(F34,BOOT_DATES,0)),""))</f>
        <v/>
      </c>
      <c r="N34" s="80">
        <f>IF(NOT(BOOT_MODE="Test 1"),"",IFERROR(INDEX(BOOT_T,MATCH(F34,BOOT_DATES,0)),""))</f>
        <v/>
      </c>
      <c r="O34" s="84">
        <f>IF(NOT(BOOT_MODE="Test 1"),"",IFERROR(INDEX(BOOT_ZERO,MATCH(F34,BOOT_DATES,0)),""))</f>
        <v/>
      </c>
      <c r="P34" s="89">
        <f>IF(OR(O34="",NOT(ISNUMBER(C34))),"",(O34-C34)*100)</f>
        <v/>
      </c>
      <c r="Q34" s="72">
        <f>IF(OR(M34="",NOT(ISNUMBER(D34))),"",M34-D34)</f>
        <v/>
      </c>
    </row>
    <row r="35">
      <c r="A35" s="68" t="n"/>
      <c r="B35" s="85" t="n"/>
      <c r="C35" s="85" t="n"/>
      <c r="D35" s="69" t="n"/>
      <c r="E35" s="112">
        <f>IF(OR(A35="",$D$6=""),"",IF(RIGHT(A35,1)="W",$D$6+7*VALUE(LEFT(A35,LEN(A35)-1)),IF(RIGHT(A35,1)="M",EDATE($D$6,VALUE(LEFT(A35,LEN(A35)-1))),EDATE($D$6,12*VALUE(LEFT(A35,LEN(A35)-1))))))</f>
        <v/>
      </c>
      <c r="F35" s="112">
        <f>IF(E35="","",IF(MONTH((E35+IF(WEEKDAY(E35,2)=6,2,IF(WEEKDAY(E35,2)=7,1,0))))&lt;&gt;MONTH(E35),(E35-IF(WEEKDAY(E35,2)=6,1,IF(WEEKDAY(E35,2)=7,2,0))),(E35+IF(WEEKDAY(E35,2)=6,2,IF(WEEKDAY(E35,2)=7,1,0)))))</f>
        <v/>
      </c>
      <c r="G35" s="84">
        <f>IF(NOT(BOOT_MODE="Test 1"),"",IFERROR(INDEX(BOOT_S,MATCH(F35,BOOT_DATES,0)),""))</f>
        <v/>
      </c>
      <c r="H35" s="160">
        <f>IF(NOT(BOOT_MODE="Test 1"),"",IFERROR(IF(MATCH(F35,BOOT_DATES,0)&lt;=15,"short  DFspot/(1+S*tau)","annual (DFspot-S*A)/(1+S*tau)"),""))</f>
        <v/>
      </c>
      <c r="I35" s="80">
        <f>IF(NOT(BOOT_MODE="Test 1"),"",IFERROR(IF(MATCH(F35,BOOT_DATES,0)&lt;=15,INDEX(BOOT_TAU0,MATCH(F35,BOOT_DATES,0)),INDEX(BOOT_TAUC,MATCH(F35,BOOT_DATES,0))),""))</f>
        <v/>
      </c>
      <c r="J35" s="76">
        <f>IF(NOT(BOOT_MODE="Test 1"),"",IFERROR(IF(MATCH(F35,BOOT_DATES,0)&lt;=15,0,INDEX(BOOT_ANN,MATCH(F35,BOOT_DATES,0))),""))</f>
        <v/>
      </c>
      <c r="K35" s="76">
        <f>IF(OR(G35="",I35=""),"",BOOT_DFSPOT-(G35/100)*J35)</f>
        <v/>
      </c>
      <c r="L35" s="76">
        <f>IF(OR(G35="",I35=""),"",1+(G35/100)*I35)</f>
        <v/>
      </c>
      <c r="M35" s="76">
        <f>IF(NOT(BOOT_MODE="Test 1"),"",IFERROR(INDEX(BOOT_DF,MATCH(F35,BOOT_DATES,0)),""))</f>
        <v/>
      </c>
      <c r="N35" s="80">
        <f>IF(NOT(BOOT_MODE="Test 1"),"",IFERROR(INDEX(BOOT_T,MATCH(F35,BOOT_DATES,0)),""))</f>
        <v/>
      </c>
      <c r="O35" s="84">
        <f>IF(NOT(BOOT_MODE="Test 1"),"",IFERROR(INDEX(BOOT_ZERO,MATCH(F35,BOOT_DATES,0)),""))</f>
        <v/>
      </c>
      <c r="P35" s="89">
        <f>IF(OR(O35="",NOT(ISNUMBER(C35))),"",(O35-C35)*100)</f>
        <v/>
      </c>
      <c r="Q35" s="72">
        <f>IF(OR(M35="",NOT(ISNUMBER(D35))),"",M35-D35)</f>
        <v/>
      </c>
    </row>
    <row r="36">
      <c r="A36" s="68" t="n"/>
      <c r="B36" s="85" t="n"/>
      <c r="C36" s="85" t="n"/>
      <c r="D36" s="69" t="n"/>
      <c r="E36" s="112">
        <f>IF(OR(A36="",$D$6=""),"",IF(RIGHT(A36,1)="W",$D$6+7*VALUE(LEFT(A36,LEN(A36)-1)),IF(RIGHT(A36,1)="M",EDATE($D$6,VALUE(LEFT(A36,LEN(A36)-1))),EDATE($D$6,12*VALUE(LEFT(A36,LEN(A36)-1))))))</f>
        <v/>
      </c>
      <c r="F36" s="112">
        <f>IF(E36="","",IF(MONTH((E36+IF(WEEKDAY(E36,2)=6,2,IF(WEEKDAY(E36,2)=7,1,0))))&lt;&gt;MONTH(E36),(E36-IF(WEEKDAY(E36,2)=6,1,IF(WEEKDAY(E36,2)=7,2,0))),(E36+IF(WEEKDAY(E36,2)=6,2,IF(WEEKDAY(E36,2)=7,1,0)))))</f>
        <v/>
      </c>
      <c r="G36" s="84">
        <f>IF(NOT(BOOT_MODE="Test 1"),"",IFERROR(INDEX(BOOT_S,MATCH(F36,BOOT_DATES,0)),""))</f>
        <v/>
      </c>
      <c r="H36" s="160">
        <f>IF(NOT(BOOT_MODE="Test 1"),"",IFERROR(IF(MATCH(F36,BOOT_DATES,0)&lt;=15,"short  DFspot/(1+S*tau)","annual (DFspot-S*A)/(1+S*tau)"),""))</f>
        <v/>
      </c>
      <c r="I36" s="80">
        <f>IF(NOT(BOOT_MODE="Test 1"),"",IFERROR(IF(MATCH(F36,BOOT_DATES,0)&lt;=15,INDEX(BOOT_TAU0,MATCH(F36,BOOT_DATES,0)),INDEX(BOOT_TAUC,MATCH(F36,BOOT_DATES,0))),""))</f>
        <v/>
      </c>
      <c r="J36" s="76">
        <f>IF(NOT(BOOT_MODE="Test 1"),"",IFERROR(IF(MATCH(F36,BOOT_DATES,0)&lt;=15,0,INDEX(BOOT_ANN,MATCH(F36,BOOT_DATES,0))),""))</f>
        <v/>
      </c>
      <c r="K36" s="76">
        <f>IF(OR(G36="",I36=""),"",BOOT_DFSPOT-(G36/100)*J36)</f>
        <v/>
      </c>
      <c r="L36" s="76">
        <f>IF(OR(G36="",I36=""),"",1+(G36/100)*I36)</f>
        <v/>
      </c>
      <c r="M36" s="76">
        <f>IF(NOT(BOOT_MODE="Test 1"),"",IFERROR(INDEX(BOOT_DF,MATCH(F36,BOOT_DATES,0)),""))</f>
        <v/>
      </c>
      <c r="N36" s="80">
        <f>IF(NOT(BOOT_MODE="Test 1"),"",IFERROR(INDEX(BOOT_T,MATCH(F36,BOOT_DATES,0)),""))</f>
        <v/>
      </c>
      <c r="O36" s="84">
        <f>IF(NOT(BOOT_MODE="Test 1"),"",IFERROR(INDEX(BOOT_ZERO,MATCH(F36,BOOT_DATES,0)),""))</f>
        <v/>
      </c>
      <c r="P36" s="89">
        <f>IF(OR(O36="",NOT(ISNUMBER(C36))),"",(O36-C36)*100)</f>
        <v/>
      </c>
      <c r="Q36" s="72">
        <f>IF(OR(M36="",NOT(ISNUMBER(D36))),"",M36-D36)</f>
        <v/>
      </c>
    </row>
    <row r="37">
      <c r="A37" s="68" t="n"/>
      <c r="B37" s="85" t="n"/>
      <c r="C37" s="85" t="n"/>
      <c r="D37" s="69" t="n"/>
      <c r="E37" s="112">
        <f>IF(OR(A37="",$D$6=""),"",IF(RIGHT(A37,1)="W",$D$6+7*VALUE(LEFT(A37,LEN(A37)-1)),IF(RIGHT(A37,1)="M",EDATE($D$6,VALUE(LEFT(A37,LEN(A37)-1))),EDATE($D$6,12*VALUE(LEFT(A37,LEN(A37)-1))))))</f>
        <v/>
      </c>
      <c r="F37" s="112">
        <f>IF(E37="","",IF(MONTH((E37+IF(WEEKDAY(E37,2)=6,2,IF(WEEKDAY(E37,2)=7,1,0))))&lt;&gt;MONTH(E37),(E37-IF(WEEKDAY(E37,2)=6,1,IF(WEEKDAY(E37,2)=7,2,0))),(E37+IF(WEEKDAY(E37,2)=6,2,IF(WEEKDAY(E37,2)=7,1,0)))))</f>
        <v/>
      </c>
      <c r="G37" s="84">
        <f>IF(NOT(BOOT_MODE="Test 1"),"",IFERROR(INDEX(BOOT_S,MATCH(F37,BOOT_DATES,0)),""))</f>
        <v/>
      </c>
      <c r="H37" s="160">
        <f>IF(NOT(BOOT_MODE="Test 1"),"",IFERROR(IF(MATCH(F37,BOOT_DATES,0)&lt;=15,"short  DFspot/(1+S*tau)","annual (DFspot-S*A)/(1+S*tau)"),""))</f>
        <v/>
      </c>
      <c r="I37" s="80">
        <f>IF(NOT(BOOT_MODE="Test 1"),"",IFERROR(IF(MATCH(F37,BOOT_DATES,0)&lt;=15,INDEX(BOOT_TAU0,MATCH(F37,BOOT_DATES,0)),INDEX(BOOT_TAUC,MATCH(F37,BOOT_DATES,0))),""))</f>
        <v/>
      </c>
      <c r="J37" s="76">
        <f>IF(NOT(BOOT_MODE="Test 1"),"",IFERROR(IF(MATCH(F37,BOOT_DATES,0)&lt;=15,0,INDEX(BOOT_ANN,MATCH(F37,BOOT_DATES,0))),""))</f>
        <v/>
      </c>
      <c r="K37" s="76">
        <f>IF(OR(G37="",I37=""),"",BOOT_DFSPOT-(G37/100)*J37)</f>
        <v/>
      </c>
      <c r="L37" s="76">
        <f>IF(OR(G37="",I37=""),"",1+(G37/100)*I37)</f>
        <v/>
      </c>
      <c r="M37" s="76">
        <f>IF(NOT(BOOT_MODE="Test 1"),"",IFERROR(INDEX(BOOT_DF,MATCH(F37,BOOT_DATES,0)),""))</f>
        <v/>
      </c>
      <c r="N37" s="80">
        <f>IF(NOT(BOOT_MODE="Test 1"),"",IFERROR(INDEX(BOOT_T,MATCH(F37,BOOT_DATES,0)),""))</f>
        <v/>
      </c>
      <c r="O37" s="84">
        <f>IF(NOT(BOOT_MODE="Test 1"),"",IFERROR(INDEX(BOOT_ZERO,MATCH(F37,BOOT_DATES,0)),""))</f>
        <v/>
      </c>
      <c r="P37" s="89">
        <f>IF(OR(O37="",NOT(ISNUMBER(C37))),"",(O37-C37)*100)</f>
        <v/>
      </c>
      <c r="Q37" s="72">
        <f>IF(OR(M37="",NOT(ISNUMBER(D37))),"",M37-D37)</f>
        <v/>
      </c>
    </row>
    <row r="38">
      <c r="A38" s="68" t="n"/>
      <c r="B38" s="85" t="n"/>
      <c r="C38" s="85" t="n"/>
      <c r="D38" s="69" t="n"/>
      <c r="E38" s="112">
        <f>IF(OR(A38="",$D$6=""),"",IF(RIGHT(A38,1)="W",$D$6+7*VALUE(LEFT(A38,LEN(A38)-1)),IF(RIGHT(A38,1)="M",EDATE($D$6,VALUE(LEFT(A38,LEN(A38)-1))),EDATE($D$6,12*VALUE(LEFT(A38,LEN(A38)-1))))))</f>
        <v/>
      </c>
      <c r="F38" s="112">
        <f>IF(E38="","",IF(MONTH((E38+IF(WEEKDAY(E38,2)=6,2,IF(WEEKDAY(E38,2)=7,1,0))))&lt;&gt;MONTH(E38),(E38-IF(WEEKDAY(E38,2)=6,1,IF(WEEKDAY(E38,2)=7,2,0))),(E38+IF(WEEKDAY(E38,2)=6,2,IF(WEEKDAY(E38,2)=7,1,0)))))</f>
        <v/>
      </c>
      <c r="G38" s="84">
        <f>IF(NOT(BOOT_MODE="Test 1"),"",IFERROR(INDEX(BOOT_S,MATCH(F38,BOOT_DATES,0)),""))</f>
        <v/>
      </c>
      <c r="H38" s="160">
        <f>IF(NOT(BOOT_MODE="Test 1"),"",IFERROR(IF(MATCH(F38,BOOT_DATES,0)&lt;=15,"short  DFspot/(1+S*tau)","annual (DFspot-S*A)/(1+S*tau)"),""))</f>
        <v/>
      </c>
      <c r="I38" s="80">
        <f>IF(NOT(BOOT_MODE="Test 1"),"",IFERROR(IF(MATCH(F38,BOOT_DATES,0)&lt;=15,INDEX(BOOT_TAU0,MATCH(F38,BOOT_DATES,0)),INDEX(BOOT_TAUC,MATCH(F38,BOOT_DATES,0))),""))</f>
        <v/>
      </c>
      <c r="J38" s="76">
        <f>IF(NOT(BOOT_MODE="Test 1"),"",IFERROR(IF(MATCH(F38,BOOT_DATES,0)&lt;=15,0,INDEX(BOOT_ANN,MATCH(F38,BOOT_DATES,0))),""))</f>
        <v/>
      </c>
      <c r="K38" s="76">
        <f>IF(OR(G38="",I38=""),"",BOOT_DFSPOT-(G38/100)*J38)</f>
        <v/>
      </c>
      <c r="L38" s="76">
        <f>IF(OR(G38="",I38=""),"",1+(G38/100)*I38)</f>
        <v/>
      </c>
      <c r="M38" s="76">
        <f>IF(NOT(BOOT_MODE="Test 1"),"",IFERROR(INDEX(BOOT_DF,MATCH(F38,BOOT_DATES,0)),""))</f>
        <v/>
      </c>
      <c r="N38" s="80">
        <f>IF(NOT(BOOT_MODE="Test 1"),"",IFERROR(INDEX(BOOT_T,MATCH(F38,BOOT_DATES,0)),""))</f>
        <v/>
      </c>
      <c r="O38" s="84">
        <f>IF(NOT(BOOT_MODE="Test 1"),"",IFERROR(INDEX(BOOT_ZERO,MATCH(F38,BOOT_DATES,0)),""))</f>
        <v/>
      </c>
      <c r="P38" s="89">
        <f>IF(OR(O38="",NOT(ISNUMBER(C38))),"",(O38-C38)*100)</f>
        <v/>
      </c>
      <c r="Q38" s="72">
        <f>IF(OR(M38="",NOT(ISNUMBER(D38))),"",M38-D38)</f>
        <v/>
      </c>
    </row>
    <row r="39">
      <c r="A39" s="68" t="n"/>
      <c r="B39" s="85" t="n"/>
      <c r="C39" s="85" t="n"/>
      <c r="D39" s="69" t="n"/>
      <c r="E39" s="112">
        <f>IF(OR(A39="",$D$6=""),"",IF(RIGHT(A39,1)="W",$D$6+7*VALUE(LEFT(A39,LEN(A39)-1)),IF(RIGHT(A39,1)="M",EDATE($D$6,VALUE(LEFT(A39,LEN(A39)-1))),EDATE($D$6,12*VALUE(LEFT(A39,LEN(A39)-1))))))</f>
        <v/>
      </c>
      <c r="F39" s="112">
        <f>IF(E39="","",IF(MONTH((E39+IF(WEEKDAY(E39,2)=6,2,IF(WEEKDAY(E39,2)=7,1,0))))&lt;&gt;MONTH(E39),(E39-IF(WEEKDAY(E39,2)=6,1,IF(WEEKDAY(E39,2)=7,2,0))),(E39+IF(WEEKDAY(E39,2)=6,2,IF(WEEKDAY(E39,2)=7,1,0)))))</f>
        <v/>
      </c>
      <c r="G39" s="84">
        <f>IF(NOT(BOOT_MODE="Test 1"),"",IFERROR(INDEX(BOOT_S,MATCH(F39,BOOT_DATES,0)),""))</f>
        <v/>
      </c>
      <c r="H39" s="160">
        <f>IF(NOT(BOOT_MODE="Test 1"),"",IFERROR(IF(MATCH(F39,BOOT_DATES,0)&lt;=15,"short  DFspot/(1+S*tau)","annual (DFspot-S*A)/(1+S*tau)"),""))</f>
        <v/>
      </c>
      <c r="I39" s="80">
        <f>IF(NOT(BOOT_MODE="Test 1"),"",IFERROR(IF(MATCH(F39,BOOT_DATES,0)&lt;=15,INDEX(BOOT_TAU0,MATCH(F39,BOOT_DATES,0)),INDEX(BOOT_TAUC,MATCH(F39,BOOT_DATES,0))),""))</f>
        <v/>
      </c>
      <c r="J39" s="76">
        <f>IF(NOT(BOOT_MODE="Test 1"),"",IFERROR(IF(MATCH(F39,BOOT_DATES,0)&lt;=15,0,INDEX(BOOT_ANN,MATCH(F39,BOOT_DATES,0))),""))</f>
        <v/>
      </c>
      <c r="K39" s="76">
        <f>IF(OR(G39="",I39=""),"",BOOT_DFSPOT-(G39/100)*J39)</f>
        <v/>
      </c>
      <c r="L39" s="76">
        <f>IF(OR(G39="",I39=""),"",1+(G39/100)*I39)</f>
        <v/>
      </c>
      <c r="M39" s="76">
        <f>IF(NOT(BOOT_MODE="Test 1"),"",IFERROR(INDEX(BOOT_DF,MATCH(F39,BOOT_DATES,0)),""))</f>
        <v/>
      </c>
      <c r="N39" s="80">
        <f>IF(NOT(BOOT_MODE="Test 1"),"",IFERROR(INDEX(BOOT_T,MATCH(F39,BOOT_DATES,0)),""))</f>
        <v/>
      </c>
      <c r="O39" s="84">
        <f>IF(NOT(BOOT_MODE="Test 1"),"",IFERROR(INDEX(BOOT_ZERO,MATCH(F39,BOOT_DATES,0)),""))</f>
        <v/>
      </c>
      <c r="P39" s="89">
        <f>IF(OR(O39="",NOT(ISNUMBER(C39))),"",(O39-C39)*100)</f>
        <v/>
      </c>
      <c r="Q39" s="72">
        <f>IF(OR(M39="",NOT(ISNUMBER(D39))),"",M39-D39)</f>
        <v/>
      </c>
    </row>
    <row r="40">
      <c r="A40" s="68" t="n"/>
      <c r="B40" s="85" t="n"/>
      <c r="C40" s="85" t="n"/>
      <c r="D40" s="69" t="n"/>
      <c r="E40" s="112">
        <f>IF(OR(A40="",$D$6=""),"",IF(RIGHT(A40,1)="W",$D$6+7*VALUE(LEFT(A40,LEN(A40)-1)),IF(RIGHT(A40,1)="M",EDATE($D$6,VALUE(LEFT(A40,LEN(A40)-1))),EDATE($D$6,12*VALUE(LEFT(A40,LEN(A40)-1))))))</f>
        <v/>
      </c>
      <c r="F40" s="112">
        <f>IF(E40="","",IF(MONTH((E40+IF(WEEKDAY(E40,2)=6,2,IF(WEEKDAY(E40,2)=7,1,0))))&lt;&gt;MONTH(E40),(E40-IF(WEEKDAY(E40,2)=6,1,IF(WEEKDAY(E40,2)=7,2,0))),(E40+IF(WEEKDAY(E40,2)=6,2,IF(WEEKDAY(E40,2)=7,1,0)))))</f>
        <v/>
      </c>
      <c r="G40" s="84">
        <f>IF(NOT(BOOT_MODE="Test 1"),"",IFERROR(INDEX(BOOT_S,MATCH(F40,BOOT_DATES,0)),""))</f>
        <v/>
      </c>
      <c r="H40" s="160">
        <f>IF(NOT(BOOT_MODE="Test 1"),"",IFERROR(IF(MATCH(F40,BOOT_DATES,0)&lt;=15,"short  DFspot/(1+S*tau)","annual (DFspot-S*A)/(1+S*tau)"),""))</f>
        <v/>
      </c>
      <c r="I40" s="80">
        <f>IF(NOT(BOOT_MODE="Test 1"),"",IFERROR(IF(MATCH(F40,BOOT_DATES,0)&lt;=15,INDEX(BOOT_TAU0,MATCH(F40,BOOT_DATES,0)),INDEX(BOOT_TAUC,MATCH(F40,BOOT_DATES,0))),""))</f>
        <v/>
      </c>
      <c r="J40" s="76">
        <f>IF(NOT(BOOT_MODE="Test 1"),"",IFERROR(IF(MATCH(F40,BOOT_DATES,0)&lt;=15,0,INDEX(BOOT_ANN,MATCH(F40,BOOT_DATES,0))),""))</f>
        <v/>
      </c>
      <c r="K40" s="76">
        <f>IF(OR(G40="",I40=""),"",BOOT_DFSPOT-(G40/100)*J40)</f>
        <v/>
      </c>
      <c r="L40" s="76">
        <f>IF(OR(G40="",I40=""),"",1+(G40/100)*I40)</f>
        <v/>
      </c>
      <c r="M40" s="76">
        <f>IF(NOT(BOOT_MODE="Test 1"),"",IFERROR(INDEX(BOOT_DF,MATCH(F40,BOOT_DATES,0)),""))</f>
        <v/>
      </c>
      <c r="N40" s="80">
        <f>IF(NOT(BOOT_MODE="Test 1"),"",IFERROR(INDEX(BOOT_T,MATCH(F40,BOOT_DATES,0)),""))</f>
        <v/>
      </c>
      <c r="O40" s="84">
        <f>IF(NOT(BOOT_MODE="Test 1"),"",IFERROR(INDEX(BOOT_ZERO,MATCH(F40,BOOT_DATES,0)),""))</f>
        <v/>
      </c>
      <c r="P40" s="89">
        <f>IF(OR(O40="",NOT(ISNUMBER(C40))),"",(O40-C40)*100)</f>
        <v/>
      </c>
      <c r="Q40" s="72">
        <f>IF(OR(M40="",NOT(ISNUMBER(D40))),"",M40-D40)</f>
        <v/>
      </c>
    </row>
    <row r="41">
      <c r="A41" s="68" t="n"/>
      <c r="B41" s="85" t="n"/>
      <c r="C41" s="85" t="n"/>
      <c r="D41" s="69" t="n"/>
      <c r="E41" s="112">
        <f>IF(OR(A41="",$D$6=""),"",IF(RIGHT(A41,1)="W",$D$6+7*VALUE(LEFT(A41,LEN(A41)-1)),IF(RIGHT(A41,1)="M",EDATE($D$6,VALUE(LEFT(A41,LEN(A41)-1))),EDATE($D$6,12*VALUE(LEFT(A41,LEN(A41)-1))))))</f>
        <v/>
      </c>
      <c r="F41" s="112">
        <f>IF(E41="","",IF(MONTH((E41+IF(WEEKDAY(E41,2)=6,2,IF(WEEKDAY(E41,2)=7,1,0))))&lt;&gt;MONTH(E41),(E41-IF(WEEKDAY(E41,2)=6,1,IF(WEEKDAY(E41,2)=7,2,0))),(E41+IF(WEEKDAY(E41,2)=6,2,IF(WEEKDAY(E41,2)=7,1,0)))))</f>
        <v/>
      </c>
      <c r="G41" s="84">
        <f>IF(NOT(BOOT_MODE="Test 1"),"",IFERROR(INDEX(BOOT_S,MATCH(F41,BOOT_DATES,0)),""))</f>
        <v/>
      </c>
      <c r="H41" s="160">
        <f>IF(NOT(BOOT_MODE="Test 1"),"",IFERROR(IF(MATCH(F41,BOOT_DATES,0)&lt;=15,"short  DFspot/(1+S*tau)","annual (DFspot-S*A)/(1+S*tau)"),""))</f>
        <v/>
      </c>
      <c r="I41" s="80">
        <f>IF(NOT(BOOT_MODE="Test 1"),"",IFERROR(IF(MATCH(F41,BOOT_DATES,0)&lt;=15,INDEX(BOOT_TAU0,MATCH(F41,BOOT_DATES,0)),INDEX(BOOT_TAUC,MATCH(F41,BOOT_DATES,0))),""))</f>
        <v/>
      </c>
      <c r="J41" s="76">
        <f>IF(NOT(BOOT_MODE="Test 1"),"",IFERROR(IF(MATCH(F41,BOOT_DATES,0)&lt;=15,0,INDEX(BOOT_ANN,MATCH(F41,BOOT_DATES,0))),""))</f>
        <v/>
      </c>
      <c r="K41" s="76">
        <f>IF(OR(G41="",I41=""),"",BOOT_DFSPOT-(G41/100)*J41)</f>
        <v/>
      </c>
      <c r="L41" s="76">
        <f>IF(OR(G41="",I41=""),"",1+(G41/100)*I41)</f>
        <v/>
      </c>
      <c r="M41" s="76">
        <f>IF(NOT(BOOT_MODE="Test 1"),"",IFERROR(INDEX(BOOT_DF,MATCH(F41,BOOT_DATES,0)),""))</f>
        <v/>
      </c>
      <c r="N41" s="80">
        <f>IF(NOT(BOOT_MODE="Test 1"),"",IFERROR(INDEX(BOOT_T,MATCH(F41,BOOT_DATES,0)),""))</f>
        <v/>
      </c>
      <c r="O41" s="84">
        <f>IF(NOT(BOOT_MODE="Test 1"),"",IFERROR(INDEX(BOOT_ZERO,MATCH(F41,BOOT_DATES,0)),""))</f>
        <v/>
      </c>
      <c r="P41" s="89">
        <f>IF(OR(O41="",NOT(ISNUMBER(C41))),"",(O41-C41)*100)</f>
        <v/>
      </c>
      <c r="Q41" s="72">
        <f>IF(OR(M41="",NOT(ISNUMBER(D41))),"",M41-D41)</f>
        <v/>
      </c>
    </row>
    <row r="42">
      <c r="A42" s="68" t="n"/>
      <c r="B42" s="85" t="n"/>
      <c r="C42" s="85" t="n"/>
      <c r="D42" s="69" t="n"/>
      <c r="E42" s="112">
        <f>IF(OR(A42="",$D$6=""),"",IF(RIGHT(A42,1)="W",$D$6+7*VALUE(LEFT(A42,LEN(A42)-1)),IF(RIGHT(A42,1)="M",EDATE($D$6,VALUE(LEFT(A42,LEN(A42)-1))),EDATE($D$6,12*VALUE(LEFT(A42,LEN(A42)-1))))))</f>
        <v/>
      </c>
      <c r="F42" s="112">
        <f>IF(E42="","",IF(MONTH((E42+IF(WEEKDAY(E42,2)=6,2,IF(WEEKDAY(E42,2)=7,1,0))))&lt;&gt;MONTH(E42),(E42-IF(WEEKDAY(E42,2)=6,1,IF(WEEKDAY(E42,2)=7,2,0))),(E42+IF(WEEKDAY(E42,2)=6,2,IF(WEEKDAY(E42,2)=7,1,0)))))</f>
        <v/>
      </c>
      <c r="G42" s="84">
        <f>IF(NOT(BOOT_MODE="Test 1"),"",IFERROR(INDEX(BOOT_S,MATCH(F42,BOOT_DATES,0)),""))</f>
        <v/>
      </c>
      <c r="H42" s="160">
        <f>IF(NOT(BOOT_MODE="Test 1"),"",IFERROR(IF(MATCH(F42,BOOT_DATES,0)&lt;=15,"short  DFspot/(1+S*tau)","annual (DFspot-S*A)/(1+S*tau)"),""))</f>
        <v/>
      </c>
      <c r="I42" s="80">
        <f>IF(NOT(BOOT_MODE="Test 1"),"",IFERROR(IF(MATCH(F42,BOOT_DATES,0)&lt;=15,INDEX(BOOT_TAU0,MATCH(F42,BOOT_DATES,0)),INDEX(BOOT_TAUC,MATCH(F42,BOOT_DATES,0))),""))</f>
        <v/>
      </c>
      <c r="J42" s="76">
        <f>IF(NOT(BOOT_MODE="Test 1"),"",IFERROR(IF(MATCH(F42,BOOT_DATES,0)&lt;=15,0,INDEX(BOOT_ANN,MATCH(F42,BOOT_DATES,0))),""))</f>
        <v/>
      </c>
      <c r="K42" s="76">
        <f>IF(OR(G42="",I42=""),"",BOOT_DFSPOT-(G42/100)*J42)</f>
        <v/>
      </c>
      <c r="L42" s="76">
        <f>IF(OR(G42="",I42=""),"",1+(G42/100)*I42)</f>
        <v/>
      </c>
      <c r="M42" s="76">
        <f>IF(NOT(BOOT_MODE="Test 1"),"",IFERROR(INDEX(BOOT_DF,MATCH(F42,BOOT_DATES,0)),""))</f>
        <v/>
      </c>
      <c r="N42" s="80">
        <f>IF(NOT(BOOT_MODE="Test 1"),"",IFERROR(INDEX(BOOT_T,MATCH(F42,BOOT_DATES,0)),""))</f>
        <v/>
      </c>
      <c r="O42" s="84">
        <f>IF(NOT(BOOT_MODE="Test 1"),"",IFERROR(INDEX(BOOT_ZERO,MATCH(F42,BOOT_DATES,0)),""))</f>
        <v/>
      </c>
      <c r="P42" s="89">
        <f>IF(OR(O42="",NOT(ISNUMBER(C42))),"",(O42-C42)*100)</f>
        <v/>
      </c>
      <c r="Q42" s="72">
        <f>IF(OR(M42="",NOT(ISNUMBER(D42))),"",M42-D42)</f>
        <v/>
      </c>
    </row>
    <row r="43">
      <c r="A43" s="68" t="n"/>
      <c r="B43" s="85" t="n"/>
      <c r="C43" s="85" t="n"/>
      <c r="D43" s="69" t="n"/>
      <c r="E43" s="112">
        <f>IF(OR(A43="",$D$6=""),"",IF(RIGHT(A43,1)="W",$D$6+7*VALUE(LEFT(A43,LEN(A43)-1)),IF(RIGHT(A43,1)="M",EDATE($D$6,VALUE(LEFT(A43,LEN(A43)-1))),EDATE($D$6,12*VALUE(LEFT(A43,LEN(A43)-1))))))</f>
        <v/>
      </c>
      <c r="F43" s="112">
        <f>IF(E43="","",IF(MONTH((E43+IF(WEEKDAY(E43,2)=6,2,IF(WEEKDAY(E43,2)=7,1,0))))&lt;&gt;MONTH(E43),(E43-IF(WEEKDAY(E43,2)=6,1,IF(WEEKDAY(E43,2)=7,2,0))),(E43+IF(WEEKDAY(E43,2)=6,2,IF(WEEKDAY(E43,2)=7,1,0)))))</f>
        <v/>
      </c>
      <c r="G43" s="84">
        <f>IF(NOT(BOOT_MODE="Test 1"),"",IFERROR(INDEX(BOOT_S,MATCH(F43,BOOT_DATES,0)),""))</f>
        <v/>
      </c>
      <c r="H43" s="160">
        <f>IF(NOT(BOOT_MODE="Test 1"),"",IFERROR(IF(MATCH(F43,BOOT_DATES,0)&lt;=15,"short  DFspot/(1+S*tau)","annual (DFspot-S*A)/(1+S*tau)"),""))</f>
        <v/>
      </c>
      <c r="I43" s="80">
        <f>IF(NOT(BOOT_MODE="Test 1"),"",IFERROR(IF(MATCH(F43,BOOT_DATES,0)&lt;=15,INDEX(BOOT_TAU0,MATCH(F43,BOOT_DATES,0)),INDEX(BOOT_TAUC,MATCH(F43,BOOT_DATES,0))),""))</f>
        <v/>
      </c>
      <c r="J43" s="76">
        <f>IF(NOT(BOOT_MODE="Test 1"),"",IFERROR(IF(MATCH(F43,BOOT_DATES,0)&lt;=15,0,INDEX(BOOT_ANN,MATCH(F43,BOOT_DATES,0))),""))</f>
        <v/>
      </c>
      <c r="K43" s="76">
        <f>IF(OR(G43="",I43=""),"",BOOT_DFSPOT-(G43/100)*J43)</f>
        <v/>
      </c>
      <c r="L43" s="76">
        <f>IF(OR(G43="",I43=""),"",1+(G43/100)*I43)</f>
        <v/>
      </c>
      <c r="M43" s="76">
        <f>IF(NOT(BOOT_MODE="Test 1"),"",IFERROR(INDEX(BOOT_DF,MATCH(F43,BOOT_DATES,0)),""))</f>
        <v/>
      </c>
      <c r="N43" s="80">
        <f>IF(NOT(BOOT_MODE="Test 1"),"",IFERROR(INDEX(BOOT_T,MATCH(F43,BOOT_DATES,0)),""))</f>
        <v/>
      </c>
      <c r="O43" s="84">
        <f>IF(NOT(BOOT_MODE="Test 1"),"",IFERROR(INDEX(BOOT_ZERO,MATCH(F43,BOOT_DATES,0)),""))</f>
        <v/>
      </c>
      <c r="P43" s="89">
        <f>IF(OR(O43="",NOT(ISNUMBER(C43))),"",(O43-C43)*100)</f>
        <v/>
      </c>
      <c r="Q43" s="72">
        <f>IF(OR(M43="",NOT(ISNUMBER(D43))),"",M43-D43)</f>
        <v/>
      </c>
    </row>
    <row r="44">
      <c r="A44" s="68" t="n"/>
      <c r="B44" s="85" t="n"/>
      <c r="C44" s="85" t="n"/>
      <c r="D44" s="69" t="n"/>
      <c r="E44" s="112">
        <f>IF(OR(A44="",$D$6=""),"",IF(RIGHT(A44,1)="W",$D$6+7*VALUE(LEFT(A44,LEN(A44)-1)),IF(RIGHT(A44,1)="M",EDATE($D$6,VALUE(LEFT(A44,LEN(A44)-1))),EDATE($D$6,12*VALUE(LEFT(A44,LEN(A44)-1))))))</f>
        <v/>
      </c>
      <c r="F44" s="112">
        <f>IF(E44="","",IF(MONTH((E44+IF(WEEKDAY(E44,2)=6,2,IF(WEEKDAY(E44,2)=7,1,0))))&lt;&gt;MONTH(E44),(E44-IF(WEEKDAY(E44,2)=6,1,IF(WEEKDAY(E44,2)=7,2,0))),(E44+IF(WEEKDAY(E44,2)=6,2,IF(WEEKDAY(E44,2)=7,1,0)))))</f>
        <v/>
      </c>
      <c r="G44" s="84">
        <f>IF(NOT(BOOT_MODE="Test 1"),"",IFERROR(INDEX(BOOT_S,MATCH(F44,BOOT_DATES,0)),""))</f>
        <v/>
      </c>
      <c r="H44" s="160">
        <f>IF(NOT(BOOT_MODE="Test 1"),"",IFERROR(IF(MATCH(F44,BOOT_DATES,0)&lt;=15,"short  DFspot/(1+S*tau)","annual (DFspot-S*A)/(1+S*tau)"),""))</f>
        <v/>
      </c>
      <c r="I44" s="80">
        <f>IF(NOT(BOOT_MODE="Test 1"),"",IFERROR(IF(MATCH(F44,BOOT_DATES,0)&lt;=15,INDEX(BOOT_TAU0,MATCH(F44,BOOT_DATES,0)),INDEX(BOOT_TAUC,MATCH(F44,BOOT_DATES,0))),""))</f>
        <v/>
      </c>
      <c r="J44" s="76">
        <f>IF(NOT(BOOT_MODE="Test 1"),"",IFERROR(IF(MATCH(F44,BOOT_DATES,0)&lt;=15,0,INDEX(BOOT_ANN,MATCH(F44,BOOT_DATES,0))),""))</f>
        <v/>
      </c>
      <c r="K44" s="76">
        <f>IF(OR(G44="",I44=""),"",BOOT_DFSPOT-(G44/100)*J44)</f>
        <v/>
      </c>
      <c r="L44" s="76">
        <f>IF(OR(G44="",I44=""),"",1+(G44/100)*I44)</f>
        <v/>
      </c>
      <c r="M44" s="76">
        <f>IF(NOT(BOOT_MODE="Test 1"),"",IFERROR(INDEX(BOOT_DF,MATCH(F44,BOOT_DATES,0)),""))</f>
        <v/>
      </c>
      <c r="N44" s="80">
        <f>IF(NOT(BOOT_MODE="Test 1"),"",IFERROR(INDEX(BOOT_T,MATCH(F44,BOOT_DATES,0)),""))</f>
        <v/>
      </c>
      <c r="O44" s="84">
        <f>IF(NOT(BOOT_MODE="Test 1"),"",IFERROR(INDEX(BOOT_ZERO,MATCH(F44,BOOT_DATES,0)),""))</f>
        <v/>
      </c>
      <c r="P44" s="89">
        <f>IF(OR(O44="",NOT(ISNUMBER(C44))),"",(O44-C44)*100)</f>
        <v/>
      </c>
      <c r="Q44" s="72">
        <f>IF(OR(M44="",NOT(ISNUMBER(D44))),"",M44-D44)</f>
        <v/>
      </c>
    </row>
    <row r="45">
      <c r="A45" s="68" t="n"/>
      <c r="B45" s="85" t="n"/>
      <c r="C45" s="85" t="n"/>
      <c r="D45" s="69" t="n"/>
      <c r="E45" s="112">
        <f>IF(OR(A45="",$D$6=""),"",IF(RIGHT(A45,1)="W",$D$6+7*VALUE(LEFT(A45,LEN(A45)-1)),IF(RIGHT(A45,1)="M",EDATE($D$6,VALUE(LEFT(A45,LEN(A45)-1))),EDATE($D$6,12*VALUE(LEFT(A45,LEN(A45)-1))))))</f>
        <v/>
      </c>
      <c r="F45" s="112">
        <f>IF(E45="","",IF(MONTH((E45+IF(WEEKDAY(E45,2)=6,2,IF(WEEKDAY(E45,2)=7,1,0))))&lt;&gt;MONTH(E45),(E45-IF(WEEKDAY(E45,2)=6,1,IF(WEEKDAY(E45,2)=7,2,0))),(E45+IF(WEEKDAY(E45,2)=6,2,IF(WEEKDAY(E45,2)=7,1,0)))))</f>
        <v/>
      </c>
      <c r="G45" s="84">
        <f>IF(NOT(BOOT_MODE="Test 1"),"",IFERROR(INDEX(BOOT_S,MATCH(F45,BOOT_DATES,0)),""))</f>
        <v/>
      </c>
      <c r="H45" s="160">
        <f>IF(NOT(BOOT_MODE="Test 1"),"",IFERROR(IF(MATCH(F45,BOOT_DATES,0)&lt;=15,"short  DFspot/(1+S*tau)","annual (DFspot-S*A)/(1+S*tau)"),""))</f>
        <v/>
      </c>
      <c r="I45" s="80">
        <f>IF(NOT(BOOT_MODE="Test 1"),"",IFERROR(IF(MATCH(F45,BOOT_DATES,0)&lt;=15,INDEX(BOOT_TAU0,MATCH(F45,BOOT_DATES,0)),INDEX(BOOT_TAUC,MATCH(F45,BOOT_DATES,0))),""))</f>
        <v/>
      </c>
      <c r="J45" s="76">
        <f>IF(NOT(BOOT_MODE="Test 1"),"",IFERROR(IF(MATCH(F45,BOOT_DATES,0)&lt;=15,0,INDEX(BOOT_ANN,MATCH(F45,BOOT_DATES,0))),""))</f>
        <v/>
      </c>
      <c r="K45" s="76">
        <f>IF(OR(G45="",I45=""),"",BOOT_DFSPOT-(G45/100)*J45)</f>
        <v/>
      </c>
      <c r="L45" s="76">
        <f>IF(OR(G45="",I45=""),"",1+(G45/100)*I45)</f>
        <v/>
      </c>
      <c r="M45" s="76">
        <f>IF(NOT(BOOT_MODE="Test 1"),"",IFERROR(INDEX(BOOT_DF,MATCH(F45,BOOT_DATES,0)),""))</f>
        <v/>
      </c>
      <c r="N45" s="80">
        <f>IF(NOT(BOOT_MODE="Test 1"),"",IFERROR(INDEX(BOOT_T,MATCH(F45,BOOT_DATES,0)),""))</f>
        <v/>
      </c>
      <c r="O45" s="84">
        <f>IF(NOT(BOOT_MODE="Test 1"),"",IFERROR(INDEX(BOOT_ZERO,MATCH(F45,BOOT_DATES,0)),""))</f>
        <v/>
      </c>
      <c r="P45" s="89">
        <f>IF(OR(O45="",NOT(ISNUMBER(C45))),"",(O45-C45)*100)</f>
        <v/>
      </c>
      <c r="Q45" s="72">
        <f>IF(OR(M45="",NOT(ISNUMBER(D45))),"",M45-D45)</f>
        <v/>
      </c>
    </row>
    <row r="46">
      <c r="A46" s="68" t="n"/>
      <c r="B46" s="85" t="n"/>
      <c r="C46" s="85" t="n"/>
      <c r="D46" s="69" t="n"/>
      <c r="E46" s="112">
        <f>IF(OR(A46="",$D$6=""),"",IF(RIGHT(A46,1)="W",$D$6+7*VALUE(LEFT(A46,LEN(A46)-1)),IF(RIGHT(A46,1)="M",EDATE($D$6,VALUE(LEFT(A46,LEN(A46)-1))),EDATE($D$6,12*VALUE(LEFT(A46,LEN(A46)-1))))))</f>
        <v/>
      </c>
      <c r="F46" s="112">
        <f>IF(E46="","",IF(MONTH((E46+IF(WEEKDAY(E46,2)=6,2,IF(WEEKDAY(E46,2)=7,1,0))))&lt;&gt;MONTH(E46),(E46-IF(WEEKDAY(E46,2)=6,1,IF(WEEKDAY(E46,2)=7,2,0))),(E46+IF(WEEKDAY(E46,2)=6,2,IF(WEEKDAY(E46,2)=7,1,0)))))</f>
        <v/>
      </c>
      <c r="G46" s="84">
        <f>IF(NOT(BOOT_MODE="Test 1"),"",IFERROR(INDEX(BOOT_S,MATCH(F46,BOOT_DATES,0)),""))</f>
        <v/>
      </c>
      <c r="H46" s="160">
        <f>IF(NOT(BOOT_MODE="Test 1"),"",IFERROR(IF(MATCH(F46,BOOT_DATES,0)&lt;=15,"short  DFspot/(1+S*tau)","annual (DFspot-S*A)/(1+S*tau)"),""))</f>
        <v/>
      </c>
      <c r="I46" s="80">
        <f>IF(NOT(BOOT_MODE="Test 1"),"",IFERROR(IF(MATCH(F46,BOOT_DATES,0)&lt;=15,INDEX(BOOT_TAU0,MATCH(F46,BOOT_DATES,0)),INDEX(BOOT_TAUC,MATCH(F46,BOOT_DATES,0))),""))</f>
        <v/>
      </c>
      <c r="J46" s="76">
        <f>IF(NOT(BOOT_MODE="Test 1"),"",IFERROR(IF(MATCH(F46,BOOT_DATES,0)&lt;=15,0,INDEX(BOOT_ANN,MATCH(F46,BOOT_DATES,0))),""))</f>
        <v/>
      </c>
      <c r="K46" s="76">
        <f>IF(OR(G46="",I46=""),"",BOOT_DFSPOT-(G46/100)*J46)</f>
        <v/>
      </c>
      <c r="L46" s="76">
        <f>IF(OR(G46="",I46=""),"",1+(G46/100)*I46)</f>
        <v/>
      </c>
      <c r="M46" s="76">
        <f>IF(NOT(BOOT_MODE="Test 1"),"",IFERROR(INDEX(BOOT_DF,MATCH(F46,BOOT_DATES,0)),""))</f>
        <v/>
      </c>
      <c r="N46" s="80">
        <f>IF(NOT(BOOT_MODE="Test 1"),"",IFERROR(INDEX(BOOT_T,MATCH(F46,BOOT_DATES,0)),""))</f>
        <v/>
      </c>
      <c r="O46" s="84">
        <f>IF(NOT(BOOT_MODE="Test 1"),"",IFERROR(INDEX(BOOT_ZERO,MATCH(F46,BOOT_DATES,0)),""))</f>
        <v/>
      </c>
      <c r="P46" s="89">
        <f>IF(OR(O46="",NOT(ISNUMBER(C46))),"",(O46-C46)*100)</f>
        <v/>
      </c>
      <c r="Q46" s="72">
        <f>IF(OR(M46="",NOT(ISNUMBER(D46))),"",M46-D46)</f>
        <v/>
      </c>
    </row>
    <row r="47">
      <c r="A47" s="68" t="n"/>
      <c r="B47" s="85" t="n"/>
      <c r="C47" s="85" t="n"/>
      <c r="D47" s="69" t="n"/>
      <c r="E47" s="112">
        <f>IF(OR(A47="",$D$6=""),"",IF(RIGHT(A47,1)="W",$D$6+7*VALUE(LEFT(A47,LEN(A47)-1)),IF(RIGHT(A47,1)="M",EDATE($D$6,VALUE(LEFT(A47,LEN(A47)-1))),EDATE($D$6,12*VALUE(LEFT(A47,LEN(A47)-1))))))</f>
        <v/>
      </c>
      <c r="F47" s="112">
        <f>IF(E47="","",IF(MONTH((E47+IF(WEEKDAY(E47,2)=6,2,IF(WEEKDAY(E47,2)=7,1,0))))&lt;&gt;MONTH(E47),(E47-IF(WEEKDAY(E47,2)=6,1,IF(WEEKDAY(E47,2)=7,2,0))),(E47+IF(WEEKDAY(E47,2)=6,2,IF(WEEKDAY(E47,2)=7,1,0)))))</f>
        <v/>
      </c>
      <c r="G47" s="84">
        <f>IF(NOT(BOOT_MODE="Test 1"),"",IFERROR(INDEX(BOOT_S,MATCH(F47,BOOT_DATES,0)),""))</f>
        <v/>
      </c>
      <c r="H47" s="160">
        <f>IF(NOT(BOOT_MODE="Test 1"),"",IFERROR(IF(MATCH(F47,BOOT_DATES,0)&lt;=15,"short  DFspot/(1+S*tau)","annual (DFspot-S*A)/(1+S*tau)"),""))</f>
        <v/>
      </c>
      <c r="I47" s="80">
        <f>IF(NOT(BOOT_MODE="Test 1"),"",IFERROR(IF(MATCH(F47,BOOT_DATES,0)&lt;=15,INDEX(BOOT_TAU0,MATCH(F47,BOOT_DATES,0)),INDEX(BOOT_TAUC,MATCH(F47,BOOT_DATES,0))),""))</f>
        <v/>
      </c>
      <c r="J47" s="76">
        <f>IF(NOT(BOOT_MODE="Test 1"),"",IFERROR(IF(MATCH(F47,BOOT_DATES,0)&lt;=15,0,INDEX(BOOT_ANN,MATCH(F47,BOOT_DATES,0))),""))</f>
        <v/>
      </c>
      <c r="K47" s="76">
        <f>IF(OR(G47="",I47=""),"",BOOT_DFSPOT-(G47/100)*J47)</f>
        <v/>
      </c>
      <c r="L47" s="76">
        <f>IF(OR(G47="",I47=""),"",1+(G47/100)*I47)</f>
        <v/>
      </c>
      <c r="M47" s="76">
        <f>IF(NOT(BOOT_MODE="Test 1"),"",IFERROR(INDEX(BOOT_DF,MATCH(F47,BOOT_DATES,0)),""))</f>
        <v/>
      </c>
      <c r="N47" s="80">
        <f>IF(NOT(BOOT_MODE="Test 1"),"",IFERROR(INDEX(BOOT_T,MATCH(F47,BOOT_DATES,0)),""))</f>
        <v/>
      </c>
      <c r="O47" s="84">
        <f>IF(NOT(BOOT_MODE="Test 1"),"",IFERROR(INDEX(BOOT_ZERO,MATCH(F47,BOOT_DATES,0)),""))</f>
        <v/>
      </c>
      <c r="P47" s="89">
        <f>IF(OR(O47="",NOT(ISNUMBER(C47))),"",(O47-C47)*100)</f>
        <v/>
      </c>
      <c r="Q47" s="72">
        <f>IF(OR(M47="",NOT(ISNUMBER(D47))),"",M47-D47)</f>
        <v/>
      </c>
    </row>
    <row r="48">
      <c r="A48" s="67" t="inlineStr">
        <is>
          <t>pillars pasted</t>
        </is>
      </c>
      <c r="C48" s="130">
        <f>COUNTA(A8:A47)</f>
        <v/>
      </c>
      <c r="D48" s="67" t="inlineStr">
        <is>
          <t>matched</t>
        </is>
      </c>
      <c r="F48" s="87">
        <f>IF(NOT(BOOT_MODE="Test 1"),"not active",COUNT(O8:O47))</f>
        <v/>
      </c>
      <c r="G48" s="67" t="inlineStr">
        <is>
          <t>max |d zero| bp</t>
        </is>
      </c>
      <c r="I48" s="90">
        <f>IF(NOT(BOOT_MODE="Test 1"),"",IF(COUNT(P8:P47)=0,"",MAX(MAX(P8:P47),-MIN(P8:P47))))</f>
        <v/>
      </c>
      <c r="J48" s="67" t="inlineStr">
        <is>
          <t>max |d DF|</t>
        </is>
      </c>
      <c r="L48" s="91">
        <f>IF(NOT(BOOT_MODE="Test 1"),"",IF(COUNT(Q8:Q47)=0,"",MAX(MAX(Q8:Q47),-MIN(Q8:Q47))))</f>
        <v/>
      </c>
      <c r="M48" s="66">
        <f>IF(AND(BOOT_MODE="Test 1",C48&gt;0,F48&lt;C48),"CHECK: matched &lt; pasted, dates are not hitting Bootstrap!B — check the curve date","")</f>
        <v/>
      </c>
    </row>
    <row r="55">
      <c r="A55" s="123" t="inlineStr">
        <is>
          <t>CURVE TEST CASE 2</t>
        </is>
      </c>
      <c r="C55" s="65" t="inlineStr">
        <is>
          <t>curve date -&gt;</t>
        </is>
      </c>
      <c r="D55" s="111" t="n"/>
      <c r="E55" s="65" t="inlineStr">
        <is>
          <t>name / time -&gt;</t>
        </is>
      </c>
      <c r="F55" s="68" t="n"/>
      <c r="N55" s="66">
        <f>IF(NOT(BOOT_MODE="Test 2"),"",IF($D$55="","set the curve date",IF($D$55&lt;&gt;VAL_DATE,"curve date not driving VAL_DATE","VAL_DATE follows this case")))</f>
        <v/>
      </c>
    </row>
    <row r="56">
      <c r="A56" s="164" t="inlineStr">
        <is>
          <t>Test 2 runs the SAME quotes through the VBA bootstrap (CurveVBA.SOFR_Curve) instead of the cell grid. Column L is VBA minus cells - two independent implementations, so agreement checks both. Needs .xlsm.</t>
        </is>
      </c>
      <c r="C56" s="65" t="inlineStr">
        <is>
          <t>spot (T+2bd) -&gt;</t>
        </is>
      </c>
      <c r="D56" s="128">
        <f>IF($D$55="","",$D$55+2+IF(WEEKDAY($D$55,2)&gt;=4,2,0))</f>
        <v/>
      </c>
      <c r="F56" s="67">
        <f>IF(BOOT_MODE="Test 2","ACTIVE — model columns live","not active")</f>
        <v/>
      </c>
      <c r="H56" s="165">
        <f>IF(NOT(BOOT_MODE="Test 2"),"",IF(ISERROR(SOFR_Curve($D$55,$A$58:$A$97,$B$58:$B$97,"5Y","DF")),"VBA NOT AVAILABLE - import bloomberg/vba/CurveVBA.bas (Alt+F11 &gt; File &gt; Import File) and save this workbook as .xlsm","VBA OK - CurveVBA.SOFR_Curve() is answering"))</f>
        <v/>
      </c>
    </row>
    <row r="57" ht="30" customHeight="1">
      <c r="A57" s="151" t="inlineStr">
        <is>
          <t>Tenor</t>
        </is>
      </c>
      <c r="B57" s="151" t="inlineStr">
        <is>
          <t>Swap rate (mid)</t>
        </is>
      </c>
      <c r="C57" s="151" t="inlineStr">
        <is>
          <t>BBG zero %</t>
        </is>
      </c>
      <c r="D57" s="151" t="inlineStr">
        <is>
          <t>BBG discount</t>
        </is>
      </c>
      <c r="E57" s="151" t="inlineStr">
        <is>
          <t>raw date</t>
        </is>
      </c>
      <c r="F57" s="151" t="inlineStr">
        <is>
          <t>Date</t>
        </is>
      </c>
      <c r="G57" s="166" t="inlineStr">
        <is>
          <t>S used % (VBA)</t>
        </is>
      </c>
      <c r="H57" s="166" t="inlineStr">
        <is>
          <t>Engine</t>
        </is>
      </c>
      <c r="I57" s="166" t="inlineStr">
        <is>
          <t>VBA date</t>
        </is>
      </c>
      <c r="J57" s="166" t="inlineStr">
        <is>
          <t>date ok?</t>
        </is>
      </c>
      <c r="K57" s="166" t="inlineStr">
        <is>
          <t>cells DF</t>
        </is>
      </c>
      <c r="L57" s="166" t="inlineStr">
        <is>
          <t>VBA - cells</t>
        </is>
      </c>
      <c r="M57" s="166" t="inlineStr">
        <is>
          <t>our DF (VBA)</t>
        </is>
      </c>
      <c r="N57" s="166" t="inlineStr">
        <is>
          <t>t ACT/365</t>
        </is>
      </c>
      <c r="O57" s="166" t="inlineStr">
        <is>
          <t>our zero % (VBA)</t>
        </is>
      </c>
      <c r="P57" s="166" t="inlineStr">
        <is>
          <t>d zero bp</t>
        </is>
      </c>
      <c r="Q57" s="166" t="inlineStr">
        <is>
          <t>d DF</t>
        </is>
      </c>
    </row>
    <row r="58">
      <c r="A58" s="68" t="n"/>
      <c r="B58" s="85" t="n"/>
      <c r="C58" s="85" t="n"/>
      <c r="D58" s="69" t="n"/>
      <c r="E58" s="112">
        <f>IF(OR(A58="",$D$56=""),"",IF(RIGHT(A58,1)="W",$D$56+7*VALUE(LEFT(A58,LEN(A58)-1)),IF(RIGHT(A58,1)="M",EDATE($D$56,VALUE(LEFT(A58,LEN(A58)-1))),EDATE($D$56,12*VALUE(LEFT(A58,LEN(A58)-1))))))</f>
        <v/>
      </c>
      <c r="F58" s="112">
        <f>IF(E58="","",IF(MONTH((E58+IF(WEEKDAY(E58,2)=6,2,IF(WEEKDAY(E58,2)=7,1,0))))&lt;&gt;MONTH(E58),(E58-IF(WEEKDAY(E58,2)=6,1,IF(WEEKDAY(E58,2)=7,2,0))),(E58+IF(WEEKDAY(E58,2)=6,2,IF(WEEKDAY(E58,2)=7,1,0)))))</f>
        <v/>
      </c>
      <c r="G58" s="167">
        <f>IF(NOT(BOOT_MODE="Test 2"),"",IFERROR(SOFR_Curve($D$55,$A$58:$A$97,$B$58:$B$97,$A58,"PAR"),""))</f>
        <v/>
      </c>
      <c r="H58" s="93">
        <f>IF(OR(NOT(BOOT_MODE="Test 2"),$A58=""),"","VBA SOFR_Curve()")</f>
        <v/>
      </c>
      <c r="I58" s="168">
        <f>IF(NOT(BOOT_MODE="Test 2"),"",IFERROR(SOFR_Curve($D$55,$A$58:$A$97,$B$58:$B$97,$A58,"DATE"),""))</f>
        <v/>
      </c>
      <c r="J58" s="76">
        <f>IF(OR(NOT(BOOT_MODE="Test 2"),I58="",F58=""),"",IF(INT(I58)=INT(F58),"ok","MISMATCH"))</f>
        <v/>
      </c>
      <c r="K58" s="76">
        <f>IF(NOT(BOOT_MODE="Test 2"),"",IFERROR(INDEX(BOOT_DF,MATCH(F58,BOOT_DATES,0)),""))</f>
        <v/>
      </c>
      <c r="L58" s="72">
        <f>IF(OR(M58="",K58=""),"",M58-K58)</f>
        <v/>
      </c>
      <c r="M58" s="169">
        <f>IF(NOT(BOOT_MODE="Test 2"),"",IFERROR(SOFR_Curve($D$55,$A$58:$A$97,$B$58:$B$97,$A58,"DF"),""))</f>
        <v/>
      </c>
      <c r="N58" s="170">
        <f>IF(NOT(BOOT_MODE="Test 2"),"",IFERROR(SOFR_Curve($D$55,$A$58:$A$97,$B$58:$B$97,$A58,"T"),""))</f>
        <v/>
      </c>
      <c r="O58" s="167">
        <f>IF(NOT(BOOT_MODE="Test 2"),"",IFERROR(SOFR_Curve($D$55,$A$58:$A$97,$B$58:$B$97,$A58,"ZERO"),""))</f>
        <v/>
      </c>
      <c r="P58" s="89">
        <f>IF(OR(O58="",NOT(ISNUMBER(C58))),"",(O58-C58)*100)</f>
        <v/>
      </c>
      <c r="Q58" s="72">
        <f>IF(OR(M58="",NOT(ISNUMBER(D58))),"",M58-D58)</f>
        <v/>
      </c>
    </row>
    <row r="59">
      <c r="A59" s="68" t="n"/>
      <c r="B59" s="85" t="n"/>
      <c r="C59" s="85" t="n"/>
      <c r="D59" s="69" t="n"/>
      <c r="E59" s="112">
        <f>IF(OR(A59="",$D$56=""),"",IF(RIGHT(A59,1)="W",$D$56+7*VALUE(LEFT(A59,LEN(A59)-1)),IF(RIGHT(A59,1)="M",EDATE($D$56,VALUE(LEFT(A59,LEN(A59)-1))),EDATE($D$56,12*VALUE(LEFT(A59,LEN(A59)-1))))))</f>
        <v/>
      </c>
      <c r="F59" s="112">
        <f>IF(E59="","",IF(MONTH((E59+IF(WEEKDAY(E59,2)=6,2,IF(WEEKDAY(E59,2)=7,1,0))))&lt;&gt;MONTH(E59),(E59-IF(WEEKDAY(E59,2)=6,1,IF(WEEKDAY(E59,2)=7,2,0))),(E59+IF(WEEKDAY(E59,2)=6,2,IF(WEEKDAY(E59,2)=7,1,0)))))</f>
        <v/>
      </c>
      <c r="G59" s="167">
        <f>IF(NOT(BOOT_MODE="Test 2"),"",IFERROR(SOFR_Curve($D$55,$A$58:$A$97,$B$58:$B$97,$A59,"PAR"),""))</f>
        <v/>
      </c>
      <c r="H59" s="93">
        <f>IF(OR(NOT(BOOT_MODE="Test 2"),$A59=""),"","VBA SOFR_Curve()")</f>
        <v/>
      </c>
      <c r="I59" s="168">
        <f>IF(NOT(BOOT_MODE="Test 2"),"",IFERROR(SOFR_Curve($D$55,$A$58:$A$97,$B$58:$B$97,$A59,"DATE"),""))</f>
        <v/>
      </c>
      <c r="J59" s="76">
        <f>IF(OR(NOT(BOOT_MODE="Test 2"),I59="",F59=""),"",IF(INT(I59)=INT(F59),"ok","MISMATCH"))</f>
        <v/>
      </c>
      <c r="K59" s="76">
        <f>IF(NOT(BOOT_MODE="Test 2"),"",IFERROR(INDEX(BOOT_DF,MATCH(F59,BOOT_DATES,0)),""))</f>
        <v/>
      </c>
      <c r="L59" s="72">
        <f>IF(OR(M59="",K59=""),"",M59-K59)</f>
        <v/>
      </c>
      <c r="M59" s="169">
        <f>IF(NOT(BOOT_MODE="Test 2"),"",IFERROR(SOFR_Curve($D$55,$A$58:$A$97,$B$58:$B$97,$A59,"DF"),""))</f>
        <v/>
      </c>
      <c r="N59" s="170">
        <f>IF(NOT(BOOT_MODE="Test 2"),"",IFERROR(SOFR_Curve($D$55,$A$58:$A$97,$B$58:$B$97,$A59,"T"),""))</f>
        <v/>
      </c>
      <c r="O59" s="167">
        <f>IF(NOT(BOOT_MODE="Test 2"),"",IFERROR(SOFR_Curve($D$55,$A$58:$A$97,$B$58:$B$97,$A59,"ZERO"),""))</f>
        <v/>
      </c>
      <c r="P59" s="89">
        <f>IF(OR(O59="",NOT(ISNUMBER(C59))),"",(O59-C59)*100)</f>
        <v/>
      </c>
      <c r="Q59" s="72">
        <f>IF(OR(M59="",NOT(ISNUMBER(D59))),"",M59-D59)</f>
        <v/>
      </c>
    </row>
    <row r="60">
      <c r="A60" s="68" t="n"/>
      <c r="B60" s="85" t="n"/>
      <c r="C60" s="85" t="n"/>
      <c r="D60" s="69" t="n"/>
      <c r="E60" s="112">
        <f>IF(OR(A60="",$D$56=""),"",IF(RIGHT(A60,1)="W",$D$56+7*VALUE(LEFT(A60,LEN(A60)-1)),IF(RIGHT(A60,1)="M",EDATE($D$56,VALUE(LEFT(A60,LEN(A60)-1))),EDATE($D$56,12*VALUE(LEFT(A60,LEN(A60)-1))))))</f>
        <v/>
      </c>
      <c r="F60" s="112">
        <f>IF(E60="","",IF(MONTH((E60+IF(WEEKDAY(E60,2)=6,2,IF(WEEKDAY(E60,2)=7,1,0))))&lt;&gt;MONTH(E60),(E60-IF(WEEKDAY(E60,2)=6,1,IF(WEEKDAY(E60,2)=7,2,0))),(E60+IF(WEEKDAY(E60,2)=6,2,IF(WEEKDAY(E60,2)=7,1,0)))))</f>
        <v/>
      </c>
      <c r="G60" s="167">
        <f>IF(NOT(BOOT_MODE="Test 2"),"",IFERROR(SOFR_Curve($D$55,$A$58:$A$97,$B$58:$B$97,$A60,"PAR"),""))</f>
        <v/>
      </c>
      <c r="H60" s="93">
        <f>IF(OR(NOT(BOOT_MODE="Test 2"),$A60=""),"","VBA SOFR_Curve()")</f>
        <v/>
      </c>
      <c r="I60" s="168">
        <f>IF(NOT(BOOT_MODE="Test 2"),"",IFERROR(SOFR_Curve($D$55,$A$58:$A$97,$B$58:$B$97,$A60,"DATE"),""))</f>
        <v/>
      </c>
      <c r="J60" s="76">
        <f>IF(OR(NOT(BOOT_MODE="Test 2"),I60="",F60=""),"",IF(INT(I60)=INT(F60),"ok","MISMATCH"))</f>
        <v/>
      </c>
      <c r="K60" s="76">
        <f>IF(NOT(BOOT_MODE="Test 2"),"",IFERROR(INDEX(BOOT_DF,MATCH(F60,BOOT_DATES,0)),""))</f>
        <v/>
      </c>
      <c r="L60" s="72">
        <f>IF(OR(M60="",K60=""),"",M60-K60)</f>
        <v/>
      </c>
      <c r="M60" s="169">
        <f>IF(NOT(BOOT_MODE="Test 2"),"",IFERROR(SOFR_Curve($D$55,$A$58:$A$97,$B$58:$B$97,$A60,"DF"),""))</f>
        <v/>
      </c>
      <c r="N60" s="170">
        <f>IF(NOT(BOOT_MODE="Test 2"),"",IFERROR(SOFR_Curve($D$55,$A$58:$A$97,$B$58:$B$97,$A60,"T"),""))</f>
        <v/>
      </c>
      <c r="O60" s="167">
        <f>IF(NOT(BOOT_MODE="Test 2"),"",IFERROR(SOFR_Curve($D$55,$A$58:$A$97,$B$58:$B$97,$A60,"ZERO"),""))</f>
        <v/>
      </c>
      <c r="P60" s="89">
        <f>IF(OR(O60="",NOT(ISNUMBER(C60))),"",(O60-C60)*100)</f>
        <v/>
      </c>
      <c r="Q60" s="72">
        <f>IF(OR(M60="",NOT(ISNUMBER(D60))),"",M60-D60)</f>
        <v/>
      </c>
    </row>
    <row r="61">
      <c r="A61" s="68" t="n"/>
      <c r="B61" s="85" t="n"/>
      <c r="C61" s="85" t="n"/>
      <c r="D61" s="69" t="n"/>
      <c r="E61" s="112">
        <f>IF(OR(A61="",$D$56=""),"",IF(RIGHT(A61,1)="W",$D$56+7*VALUE(LEFT(A61,LEN(A61)-1)),IF(RIGHT(A61,1)="M",EDATE($D$56,VALUE(LEFT(A61,LEN(A61)-1))),EDATE($D$56,12*VALUE(LEFT(A61,LEN(A61)-1))))))</f>
        <v/>
      </c>
      <c r="F61" s="112">
        <f>IF(E61="","",IF(MONTH((E61+IF(WEEKDAY(E61,2)=6,2,IF(WEEKDAY(E61,2)=7,1,0))))&lt;&gt;MONTH(E61),(E61-IF(WEEKDAY(E61,2)=6,1,IF(WEEKDAY(E61,2)=7,2,0))),(E61+IF(WEEKDAY(E61,2)=6,2,IF(WEEKDAY(E61,2)=7,1,0)))))</f>
        <v/>
      </c>
      <c r="G61" s="167">
        <f>IF(NOT(BOOT_MODE="Test 2"),"",IFERROR(SOFR_Curve($D$55,$A$58:$A$97,$B$58:$B$97,$A61,"PAR"),""))</f>
        <v/>
      </c>
      <c r="H61" s="93">
        <f>IF(OR(NOT(BOOT_MODE="Test 2"),$A61=""),"","VBA SOFR_Curve()")</f>
        <v/>
      </c>
      <c r="I61" s="168">
        <f>IF(NOT(BOOT_MODE="Test 2"),"",IFERROR(SOFR_Curve($D$55,$A$58:$A$97,$B$58:$B$97,$A61,"DATE"),""))</f>
        <v/>
      </c>
      <c r="J61" s="76">
        <f>IF(OR(NOT(BOOT_MODE="Test 2"),I61="",F61=""),"",IF(INT(I61)=INT(F61),"ok","MISMATCH"))</f>
        <v/>
      </c>
      <c r="K61" s="76">
        <f>IF(NOT(BOOT_MODE="Test 2"),"",IFERROR(INDEX(BOOT_DF,MATCH(F61,BOOT_DATES,0)),""))</f>
        <v/>
      </c>
      <c r="L61" s="72">
        <f>IF(OR(M61="",K61=""),"",M61-K61)</f>
        <v/>
      </c>
      <c r="M61" s="169">
        <f>IF(NOT(BOOT_MODE="Test 2"),"",IFERROR(SOFR_Curve($D$55,$A$58:$A$97,$B$58:$B$97,$A61,"DF"),""))</f>
        <v/>
      </c>
      <c r="N61" s="170">
        <f>IF(NOT(BOOT_MODE="Test 2"),"",IFERROR(SOFR_Curve($D$55,$A$58:$A$97,$B$58:$B$97,$A61,"T"),""))</f>
        <v/>
      </c>
      <c r="O61" s="167">
        <f>IF(NOT(BOOT_MODE="Test 2"),"",IFERROR(SOFR_Curve($D$55,$A$58:$A$97,$B$58:$B$97,$A61,"ZERO"),""))</f>
        <v/>
      </c>
      <c r="P61" s="89">
        <f>IF(OR(O61="",NOT(ISNUMBER(C61))),"",(O61-C61)*100)</f>
        <v/>
      </c>
      <c r="Q61" s="72">
        <f>IF(OR(M61="",NOT(ISNUMBER(D61))),"",M61-D61)</f>
        <v/>
      </c>
    </row>
    <row r="62">
      <c r="A62" s="68" t="n"/>
      <c r="B62" s="85" t="n"/>
      <c r="C62" s="85" t="n"/>
      <c r="D62" s="69" t="n"/>
      <c r="E62" s="112">
        <f>IF(OR(A62="",$D$56=""),"",IF(RIGHT(A62,1)="W",$D$56+7*VALUE(LEFT(A62,LEN(A62)-1)),IF(RIGHT(A62,1)="M",EDATE($D$56,VALUE(LEFT(A62,LEN(A62)-1))),EDATE($D$56,12*VALUE(LEFT(A62,LEN(A62)-1))))))</f>
        <v/>
      </c>
      <c r="F62" s="112">
        <f>IF(E62="","",IF(MONTH((E62+IF(WEEKDAY(E62,2)=6,2,IF(WEEKDAY(E62,2)=7,1,0))))&lt;&gt;MONTH(E62),(E62-IF(WEEKDAY(E62,2)=6,1,IF(WEEKDAY(E62,2)=7,2,0))),(E62+IF(WEEKDAY(E62,2)=6,2,IF(WEEKDAY(E62,2)=7,1,0)))))</f>
        <v/>
      </c>
      <c r="G62" s="167">
        <f>IF(NOT(BOOT_MODE="Test 2"),"",IFERROR(SOFR_Curve($D$55,$A$58:$A$97,$B$58:$B$97,$A62,"PAR"),""))</f>
        <v/>
      </c>
      <c r="H62" s="93">
        <f>IF(OR(NOT(BOOT_MODE="Test 2"),$A62=""),"","VBA SOFR_Curve()")</f>
        <v/>
      </c>
      <c r="I62" s="168">
        <f>IF(NOT(BOOT_MODE="Test 2"),"",IFERROR(SOFR_Curve($D$55,$A$58:$A$97,$B$58:$B$97,$A62,"DATE"),""))</f>
        <v/>
      </c>
      <c r="J62" s="76">
        <f>IF(OR(NOT(BOOT_MODE="Test 2"),I62="",F62=""),"",IF(INT(I62)=INT(F62),"ok","MISMATCH"))</f>
        <v/>
      </c>
      <c r="K62" s="76">
        <f>IF(NOT(BOOT_MODE="Test 2"),"",IFERROR(INDEX(BOOT_DF,MATCH(F62,BOOT_DATES,0)),""))</f>
        <v/>
      </c>
      <c r="L62" s="72">
        <f>IF(OR(M62="",K62=""),"",M62-K62)</f>
        <v/>
      </c>
      <c r="M62" s="169">
        <f>IF(NOT(BOOT_MODE="Test 2"),"",IFERROR(SOFR_Curve($D$55,$A$58:$A$97,$B$58:$B$97,$A62,"DF"),""))</f>
        <v/>
      </c>
      <c r="N62" s="170">
        <f>IF(NOT(BOOT_MODE="Test 2"),"",IFERROR(SOFR_Curve($D$55,$A$58:$A$97,$B$58:$B$97,$A62,"T"),""))</f>
        <v/>
      </c>
      <c r="O62" s="167">
        <f>IF(NOT(BOOT_MODE="Test 2"),"",IFERROR(SOFR_Curve($D$55,$A$58:$A$97,$B$58:$B$97,$A62,"ZERO"),""))</f>
        <v/>
      </c>
      <c r="P62" s="89">
        <f>IF(OR(O62="",NOT(ISNUMBER(C62))),"",(O62-C62)*100)</f>
        <v/>
      </c>
      <c r="Q62" s="72">
        <f>IF(OR(M62="",NOT(ISNUMBER(D62))),"",M62-D62)</f>
        <v/>
      </c>
    </row>
    <row r="63">
      <c r="A63" s="68" t="n"/>
      <c r="B63" s="85" t="n"/>
      <c r="C63" s="85" t="n"/>
      <c r="D63" s="69" t="n"/>
      <c r="E63" s="112">
        <f>IF(OR(A63="",$D$56=""),"",IF(RIGHT(A63,1)="W",$D$56+7*VALUE(LEFT(A63,LEN(A63)-1)),IF(RIGHT(A63,1)="M",EDATE($D$56,VALUE(LEFT(A63,LEN(A63)-1))),EDATE($D$56,12*VALUE(LEFT(A63,LEN(A63)-1))))))</f>
        <v/>
      </c>
      <c r="F63" s="112">
        <f>IF(E63="","",IF(MONTH((E63+IF(WEEKDAY(E63,2)=6,2,IF(WEEKDAY(E63,2)=7,1,0))))&lt;&gt;MONTH(E63),(E63-IF(WEEKDAY(E63,2)=6,1,IF(WEEKDAY(E63,2)=7,2,0))),(E63+IF(WEEKDAY(E63,2)=6,2,IF(WEEKDAY(E63,2)=7,1,0)))))</f>
        <v/>
      </c>
      <c r="G63" s="167">
        <f>IF(NOT(BOOT_MODE="Test 2"),"",IFERROR(SOFR_Curve($D$55,$A$58:$A$97,$B$58:$B$97,$A63,"PAR"),""))</f>
        <v/>
      </c>
      <c r="H63" s="93">
        <f>IF(OR(NOT(BOOT_MODE="Test 2"),$A63=""),"","VBA SOFR_Curve()")</f>
        <v/>
      </c>
      <c r="I63" s="168">
        <f>IF(NOT(BOOT_MODE="Test 2"),"",IFERROR(SOFR_Curve($D$55,$A$58:$A$97,$B$58:$B$97,$A63,"DATE"),""))</f>
        <v/>
      </c>
      <c r="J63" s="76">
        <f>IF(OR(NOT(BOOT_MODE="Test 2"),I63="",F63=""),"",IF(INT(I63)=INT(F63),"ok","MISMATCH"))</f>
        <v/>
      </c>
      <c r="K63" s="76">
        <f>IF(NOT(BOOT_MODE="Test 2"),"",IFERROR(INDEX(BOOT_DF,MATCH(F63,BOOT_DATES,0)),""))</f>
        <v/>
      </c>
      <c r="L63" s="72">
        <f>IF(OR(M63="",K63=""),"",M63-K63)</f>
        <v/>
      </c>
      <c r="M63" s="169">
        <f>IF(NOT(BOOT_MODE="Test 2"),"",IFERROR(SOFR_Curve($D$55,$A$58:$A$97,$B$58:$B$97,$A63,"DF"),""))</f>
        <v/>
      </c>
      <c r="N63" s="170">
        <f>IF(NOT(BOOT_MODE="Test 2"),"",IFERROR(SOFR_Curve($D$55,$A$58:$A$97,$B$58:$B$97,$A63,"T"),""))</f>
        <v/>
      </c>
      <c r="O63" s="167">
        <f>IF(NOT(BOOT_MODE="Test 2"),"",IFERROR(SOFR_Curve($D$55,$A$58:$A$97,$B$58:$B$97,$A63,"ZERO"),""))</f>
        <v/>
      </c>
      <c r="P63" s="89">
        <f>IF(OR(O63="",NOT(ISNUMBER(C63))),"",(O63-C63)*100)</f>
        <v/>
      </c>
      <c r="Q63" s="72">
        <f>IF(OR(M63="",NOT(ISNUMBER(D63))),"",M63-D63)</f>
        <v/>
      </c>
    </row>
    <row r="64">
      <c r="A64" s="68" t="n"/>
      <c r="B64" s="85" t="n"/>
      <c r="C64" s="85" t="n"/>
      <c r="D64" s="69" t="n"/>
      <c r="E64" s="112">
        <f>IF(OR(A64="",$D$56=""),"",IF(RIGHT(A64,1)="W",$D$56+7*VALUE(LEFT(A64,LEN(A64)-1)),IF(RIGHT(A64,1)="M",EDATE($D$56,VALUE(LEFT(A64,LEN(A64)-1))),EDATE($D$56,12*VALUE(LEFT(A64,LEN(A64)-1))))))</f>
        <v/>
      </c>
      <c r="F64" s="112">
        <f>IF(E64="","",IF(MONTH((E64+IF(WEEKDAY(E64,2)=6,2,IF(WEEKDAY(E64,2)=7,1,0))))&lt;&gt;MONTH(E64),(E64-IF(WEEKDAY(E64,2)=6,1,IF(WEEKDAY(E64,2)=7,2,0))),(E64+IF(WEEKDAY(E64,2)=6,2,IF(WEEKDAY(E64,2)=7,1,0)))))</f>
        <v/>
      </c>
      <c r="G64" s="167">
        <f>IF(NOT(BOOT_MODE="Test 2"),"",IFERROR(SOFR_Curve($D$55,$A$58:$A$97,$B$58:$B$97,$A64,"PAR"),""))</f>
        <v/>
      </c>
      <c r="H64" s="93">
        <f>IF(OR(NOT(BOOT_MODE="Test 2"),$A64=""),"","VBA SOFR_Curve()")</f>
        <v/>
      </c>
      <c r="I64" s="168">
        <f>IF(NOT(BOOT_MODE="Test 2"),"",IFERROR(SOFR_Curve($D$55,$A$58:$A$97,$B$58:$B$97,$A64,"DATE"),""))</f>
        <v/>
      </c>
      <c r="J64" s="76">
        <f>IF(OR(NOT(BOOT_MODE="Test 2"),I64="",F64=""),"",IF(INT(I64)=INT(F64),"ok","MISMATCH"))</f>
        <v/>
      </c>
      <c r="K64" s="76">
        <f>IF(NOT(BOOT_MODE="Test 2"),"",IFERROR(INDEX(BOOT_DF,MATCH(F64,BOOT_DATES,0)),""))</f>
        <v/>
      </c>
      <c r="L64" s="72">
        <f>IF(OR(M64="",K64=""),"",M64-K64)</f>
        <v/>
      </c>
      <c r="M64" s="169">
        <f>IF(NOT(BOOT_MODE="Test 2"),"",IFERROR(SOFR_Curve($D$55,$A$58:$A$97,$B$58:$B$97,$A64,"DF"),""))</f>
        <v/>
      </c>
      <c r="N64" s="170">
        <f>IF(NOT(BOOT_MODE="Test 2"),"",IFERROR(SOFR_Curve($D$55,$A$58:$A$97,$B$58:$B$97,$A64,"T"),""))</f>
        <v/>
      </c>
      <c r="O64" s="167">
        <f>IF(NOT(BOOT_MODE="Test 2"),"",IFERROR(SOFR_Curve($D$55,$A$58:$A$97,$B$58:$B$97,$A64,"ZERO"),""))</f>
        <v/>
      </c>
      <c r="P64" s="89">
        <f>IF(OR(O64="",NOT(ISNUMBER(C64))),"",(O64-C64)*100)</f>
        <v/>
      </c>
      <c r="Q64" s="72">
        <f>IF(OR(M64="",NOT(ISNUMBER(D64))),"",M64-D64)</f>
        <v/>
      </c>
    </row>
    <row r="65">
      <c r="A65" s="68" t="n"/>
      <c r="B65" s="85" t="n"/>
      <c r="C65" s="85" t="n"/>
      <c r="D65" s="69" t="n"/>
      <c r="E65" s="112">
        <f>IF(OR(A65="",$D$56=""),"",IF(RIGHT(A65,1)="W",$D$56+7*VALUE(LEFT(A65,LEN(A65)-1)),IF(RIGHT(A65,1)="M",EDATE($D$56,VALUE(LEFT(A65,LEN(A65)-1))),EDATE($D$56,12*VALUE(LEFT(A65,LEN(A65)-1))))))</f>
        <v/>
      </c>
      <c r="F65" s="112">
        <f>IF(E65="","",IF(MONTH((E65+IF(WEEKDAY(E65,2)=6,2,IF(WEEKDAY(E65,2)=7,1,0))))&lt;&gt;MONTH(E65),(E65-IF(WEEKDAY(E65,2)=6,1,IF(WEEKDAY(E65,2)=7,2,0))),(E65+IF(WEEKDAY(E65,2)=6,2,IF(WEEKDAY(E65,2)=7,1,0)))))</f>
        <v/>
      </c>
      <c r="G65" s="167">
        <f>IF(NOT(BOOT_MODE="Test 2"),"",IFERROR(SOFR_Curve($D$55,$A$58:$A$97,$B$58:$B$97,$A65,"PAR"),""))</f>
        <v/>
      </c>
      <c r="H65" s="93">
        <f>IF(OR(NOT(BOOT_MODE="Test 2"),$A65=""),"","VBA SOFR_Curve()")</f>
        <v/>
      </c>
      <c r="I65" s="168">
        <f>IF(NOT(BOOT_MODE="Test 2"),"",IFERROR(SOFR_Curve($D$55,$A$58:$A$97,$B$58:$B$97,$A65,"DATE"),""))</f>
        <v/>
      </c>
      <c r="J65" s="76">
        <f>IF(OR(NOT(BOOT_MODE="Test 2"),I65="",F65=""),"",IF(INT(I65)=INT(F65),"ok","MISMATCH"))</f>
        <v/>
      </c>
      <c r="K65" s="76">
        <f>IF(NOT(BOOT_MODE="Test 2"),"",IFERROR(INDEX(BOOT_DF,MATCH(F65,BOOT_DATES,0)),""))</f>
        <v/>
      </c>
      <c r="L65" s="72">
        <f>IF(OR(M65="",K65=""),"",M65-K65)</f>
        <v/>
      </c>
      <c r="M65" s="169">
        <f>IF(NOT(BOOT_MODE="Test 2"),"",IFERROR(SOFR_Curve($D$55,$A$58:$A$97,$B$58:$B$97,$A65,"DF"),""))</f>
        <v/>
      </c>
      <c r="N65" s="170">
        <f>IF(NOT(BOOT_MODE="Test 2"),"",IFERROR(SOFR_Curve($D$55,$A$58:$A$97,$B$58:$B$97,$A65,"T"),""))</f>
        <v/>
      </c>
      <c r="O65" s="167">
        <f>IF(NOT(BOOT_MODE="Test 2"),"",IFERROR(SOFR_Curve($D$55,$A$58:$A$97,$B$58:$B$97,$A65,"ZERO"),""))</f>
        <v/>
      </c>
      <c r="P65" s="89">
        <f>IF(OR(O65="",NOT(ISNUMBER(C65))),"",(O65-C65)*100)</f>
        <v/>
      </c>
      <c r="Q65" s="72">
        <f>IF(OR(M65="",NOT(ISNUMBER(D65))),"",M65-D65)</f>
        <v/>
      </c>
    </row>
    <row r="66">
      <c r="A66" s="68" t="n"/>
      <c r="B66" s="85" t="n"/>
      <c r="C66" s="85" t="n"/>
      <c r="D66" s="69" t="n"/>
      <c r="E66" s="112">
        <f>IF(OR(A66="",$D$56=""),"",IF(RIGHT(A66,1)="W",$D$56+7*VALUE(LEFT(A66,LEN(A66)-1)),IF(RIGHT(A66,1)="M",EDATE($D$56,VALUE(LEFT(A66,LEN(A66)-1))),EDATE($D$56,12*VALUE(LEFT(A66,LEN(A66)-1))))))</f>
        <v/>
      </c>
      <c r="F66" s="112">
        <f>IF(E66="","",IF(MONTH((E66+IF(WEEKDAY(E66,2)=6,2,IF(WEEKDAY(E66,2)=7,1,0))))&lt;&gt;MONTH(E66),(E66-IF(WEEKDAY(E66,2)=6,1,IF(WEEKDAY(E66,2)=7,2,0))),(E66+IF(WEEKDAY(E66,2)=6,2,IF(WEEKDAY(E66,2)=7,1,0)))))</f>
        <v/>
      </c>
      <c r="G66" s="167">
        <f>IF(NOT(BOOT_MODE="Test 2"),"",IFERROR(SOFR_Curve($D$55,$A$58:$A$97,$B$58:$B$97,$A66,"PAR"),""))</f>
        <v/>
      </c>
      <c r="H66" s="93">
        <f>IF(OR(NOT(BOOT_MODE="Test 2"),$A66=""),"","VBA SOFR_Curve()")</f>
        <v/>
      </c>
      <c r="I66" s="168">
        <f>IF(NOT(BOOT_MODE="Test 2"),"",IFERROR(SOFR_Curve($D$55,$A$58:$A$97,$B$58:$B$97,$A66,"DATE"),""))</f>
        <v/>
      </c>
      <c r="J66" s="76">
        <f>IF(OR(NOT(BOOT_MODE="Test 2"),I66="",F66=""),"",IF(INT(I66)=INT(F66),"ok","MISMATCH"))</f>
        <v/>
      </c>
      <c r="K66" s="76">
        <f>IF(NOT(BOOT_MODE="Test 2"),"",IFERROR(INDEX(BOOT_DF,MATCH(F66,BOOT_DATES,0)),""))</f>
        <v/>
      </c>
      <c r="L66" s="72">
        <f>IF(OR(M66="",K66=""),"",M66-K66)</f>
        <v/>
      </c>
      <c r="M66" s="169">
        <f>IF(NOT(BOOT_MODE="Test 2"),"",IFERROR(SOFR_Curve($D$55,$A$58:$A$97,$B$58:$B$97,$A66,"DF"),""))</f>
        <v/>
      </c>
      <c r="N66" s="170">
        <f>IF(NOT(BOOT_MODE="Test 2"),"",IFERROR(SOFR_Curve($D$55,$A$58:$A$97,$B$58:$B$97,$A66,"T"),""))</f>
        <v/>
      </c>
      <c r="O66" s="167">
        <f>IF(NOT(BOOT_MODE="Test 2"),"",IFERROR(SOFR_Curve($D$55,$A$58:$A$97,$B$58:$B$97,$A66,"ZERO"),""))</f>
        <v/>
      </c>
      <c r="P66" s="89">
        <f>IF(OR(O66="",NOT(ISNUMBER(C66))),"",(O66-C66)*100)</f>
        <v/>
      </c>
      <c r="Q66" s="72">
        <f>IF(OR(M66="",NOT(ISNUMBER(D66))),"",M66-D66)</f>
        <v/>
      </c>
    </row>
    <row r="67">
      <c r="A67" s="68" t="n"/>
      <c r="B67" s="85" t="n"/>
      <c r="C67" s="85" t="n"/>
      <c r="D67" s="69" t="n"/>
      <c r="E67" s="112">
        <f>IF(OR(A67="",$D$56=""),"",IF(RIGHT(A67,1)="W",$D$56+7*VALUE(LEFT(A67,LEN(A67)-1)),IF(RIGHT(A67,1)="M",EDATE($D$56,VALUE(LEFT(A67,LEN(A67)-1))),EDATE($D$56,12*VALUE(LEFT(A67,LEN(A67)-1))))))</f>
        <v/>
      </c>
      <c r="F67" s="112">
        <f>IF(E67="","",IF(MONTH((E67+IF(WEEKDAY(E67,2)=6,2,IF(WEEKDAY(E67,2)=7,1,0))))&lt;&gt;MONTH(E67),(E67-IF(WEEKDAY(E67,2)=6,1,IF(WEEKDAY(E67,2)=7,2,0))),(E67+IF(WEEKDAY(E67,2)=6,2,IF(WEEKDAY(E67,2)=7,1,0)))))</f>
        <v/>
      </c>
      <c r="G67" s="167">
        <f>IF(NOT(BOOT_MODE="Test 2"),"",IFERROR(SOFR_Curve($D$55,$A$58:$A$97,$B$58:$B$97,$A67,"PAR"),""))</f>
        <v/>
      </c>
      <c r="H67" s="93">
        <f>IF(OR(NOT(BOOT_MODE="Test 2"),$A67=""),"","VBA SOFR_Curve()")</f>
        <v/>
      </c>
      <c r="I67" s="168">
        <f>IF(NOT(BOOT_MODE="Test 2"),"",IFERROR(SOFR_Curve($D$55,$A$58:$A$97,$B$58:$B$97,$A67,"DATE"),""))</f>
        <v/>
      </c>
      <c r="J67" s="76">
        <f>IF(OR(NOT(BOOT_MODE="Test 2"),I67="",F67=""),"",IF(INT(I67)=INT(F67),"ok","MISMATCH"))</f>
        <v/>
      </c>
      <c r="K67" s="76">
        <f>IF(NOT(BOOT_MODE="Test 2"),"",IFERROR(INDEX(BOOT_DF,MATCH(F67,BOOT_DATES,0)),""))</f>
        <v/>
      </c>
      <c r="L67" s="72">
        <f>IF(OR(M67="",K67=""),"",M67-K67)</f>
        <v/>
      </c>
      <c r="M67" s="169">
        <f>IF(NOT(BOOT_MODE="Test 2"),"",IFERROR(SOFR_Curve($D$55,$A$58:$A$97,$B$58:$B$97,$A67,"DF"),""))</f>
        <v/>
      </c>
      <c r="N67" s="170">
        <f>IF(NOT(BOOT_MODE="Test 2"),"",IFERROR(SOFR_Curve($D$55,$A$58:$A$97,$B$58:$B$97,$A67,"T"),""))</f>
        <v/>
      </c>
      <c r="O67" s="167">
        <f>IF(NOT(BOOT_MODE="Test 2"),"",IFERROR(SOFR_Curve($D$55,$A$58:$A$97,$B$58:$B$97,$A67,"ZERO"),""))</f>
        <v/>
      </c>
      <c r="P67" s="89">
        <f>IF(OR(O67="",NOT(ISNUMBER(C67))),"",(O67-C67)*100)</f>
        <v/>
      </c>
      <c r="Q67" s="72">
        <f>IF(OR(M67="",NOT(ISNUMBER(D67))),"",M67-D67)</f>
        <v/>
      </c>
    </row>
    <row r="68">
      <c r="A68" s="68" t="n"/>
      <c r="B68" s="85" t="n"/>
      <c r="C68" s="85" t="n"/>
      <c r="D68" s="69" t="n"/>
      <c r="E68" s="112">
        <f>IF(OR(A68="",$D$56=""),"",IF(RIGHT(A68,1)="W",$D$56+7*VALUE(LEFT(A68,LEN(A68)-1)),IF(RIGHT(A68,1)="M",EDATE($D$56,VALUE(LEFT(A68,LEN(A68)-1))),EDATE($D$56,12*VALUE(LEFT(A68,LEN(A68)-1))))))</f>
        <v/>
      </c>
      <c r="F68" s="112">
        <f>IF(E68="","",IF(MONTH((E68+IF(WEEKDAY(E68,2)=6,2,IF(WEEKDAY(E68,2)=7,1,0))))&lt;&gt;MONTH(E68),(E68-IF(WEEKDAY(E68,2)=6,1,IF(WEEKDAY(E68,2)=7,2,0))),(E68+IF(WEEKDAY(E68,2)=6,2,IF(WEEKDAY(E68,2)=7,1,0)))))</f>
        <v/>
      </c>
      <c r="G68" s="167">
        <f>IF(NOT(BOOT_MODE="Test 2"),"",IFERROR(SOFR_Curve($D$55,$A$58:$A$97,$B$58:$B$97,$A68,"PAR"),""))</f>
        <v/>
      </c>
      <c r="H68" s="93">
        <f>IF(OR(NOT(BOOT_MODE="Test 2"),$A68=""),"","VBA SOFR_Curve()")</f>
        <v/>
      </c>
      <c r="I68" s="168">
        <f>IF(NOT(BOOT_MODE="Test 2"),"",IFERROR(SOFR_Curve($D$55,$A$58:$A$97,$B$58:$B$97,$A68,"DATE"),""))</f>
        <v/>
      </c>
      <c r="J68" s="76">
        <f>IF(OR(NOT(BOOT_MODE="Test 2"),I68="",F68=""),"",IF(INT(I68)=INT(F68),"ok","MISMATCH"))</f>
        <v/>
      </c>
      <c r="K68" s="76">
        <f>IF(NOT(BOOT_MODE="Test 2"),"",IFERROR(INDEX(BOOT_DF,MATCH(F68,BOOT_DATES,0)),""))</f>
        <v/>
      </c>
      <c r="L68" s="72">
        <f>IF(OR(M68="",K68=""),"",M68-K68)</f>
        <v/>
      </c>
      <c r="M68" s="169">
        <f>IF(NOT(BOOT_MODE="Test 2"),"",IFERROR(SOFR_Curve($D$55,$A$58:$A$97,$B$58:$B$97,$A68,"DF"),""))</f>
        <v/>
      </c>
      <c r="N68" s="170">
        <f>IF(NOT(BOOT_MODE="Test 2"),"",IFERROR(SOFR_Curve($D$55,$A$58:$A$97,$B$58:$B$97,$A68,"T"),""))</f>
        <v/>
      </c>
      <c r="O68" s="167">
        <f>IF(NOT(BOOT_MODE="Test 2"),"",IFERROR(SOFR_Curve($D$55,$A$58:$A$97,$B$58:$B$97,$A68,"ZERO"),""))</f>
        <v/>
      </c>
      <c r="P68" s="89">
        <f>IF(OR(O68="",NOT(ISNUMBER(C68))),"",(O68-C68)*100)</f>
        <v/>
      </c>
      <c r="Q68" s="72">
        <f>IF(OR(M68="",NOT(ISNUMBER(D68))),"",M68-D68)</f>
        <v/>
      </c>
    </row>
    <row r="69">
      <c r="A69" s="68" t="n"/>
      <c r="B69" s="85" t="n"/>
      <c r="C69" s="85" t="n"/>
      <c r="D69" s="69" t="n"/>
      <c r="E69" s="112">
        <f>IF(OR(A69="",$D$56=""),"",IF(RIGHT(A69,1)="W",$D$56+7*VALUE(LEFT(A69,LEN(A69)-1)),IF(RIGHT(A69,1)="M",EDATE($D$56,VALUE(LEFT(A69,LEN(A69)-1))),EDATE($D$56,12*VALUE(LEFT(A69,LEN(A69)-1))))))</f>
        <v/>
      </c>
      <c r="F69" s="112">
        <f>IF(E69="","",IF(MONTH((E69+IF(WEEKDAY(E69,2)=6,2,IF(WEEKDAY(E69,2)=7,1,0))))&lt;&gt;MONTH(E69),(E69-IF(WEEKDAY(E69,2)=6,1,IF(WEEKDAY(E69,2)=7,2,0))),(E69+IF(WEEKDAY(E69,2)=6,2,IF(WEEKDAY(E69,2)=7,1,0)))))</f>
        <v/>
      </c>
      <c r="G69" s="167">
        <f>IF(NOT(BOOT_MODE="Test 2"),"",IFERROR(SOFR_Curve($D$55,$A$58:$A$97,$B$58:$B$97,$A69,"PAR"),""))</f>
        <v/>
      </c>
      <c r="H69" s="93">
        <f>IF(OR(NOT(BOOT_MODE="Test 2"),$A69=""),"","VBA SOFR_Curve()")</f>
        <v/>
      </c>
      <c r="I69" s="168">
        <f>IF(NOT(BOOT_MODE="Test 2"),"",IFERROR(SOFR_Curve($D$55,$A$58:$A$97,$B$58:$B$97,$A69,"DATE"),""))</f>
        <v/>
      </c>
      <c r="J69" s="76">
        <f>IF(OR(NOT(BOOT_MODE="Test 2"),I69="",F69=""),"",IF(INT(I69)=INT(F69),"ok","MISMATCH"))</f>
        <v/>
      </c>
      <c r="K69" s="76">
        <f>IF(NOT(BOOT_MODE="Test 2"),"",IFERROR(INDEX(BOOT_DF,MATCH(F69,BOOT_DATES,0)),""))</f>
        <v/>
      </c>
      <c r="L69" s="72">
        <f>IF(OR(M69="",K69=""),"",M69-K69)</f>
        <v/>
      </c>
      <c r="M69" s="169">
        <f>IF(NOT(BOOT_MODE="Test 2"),"",IFERROR(SOFR_Curve($D$55,$A$58:$A$97,$B$58:$B$97,$A69,"DF"),""))</f>
        <v/>
      </c>
      <c r="N69" s="170">
        <f>IF(NOT(BOOT_MODE="Test 2"),"",IFERROR(SOFR_Curve($D$55,$A$58:$A$97,$B$58:$B$97,$A69,"T"),""))</f>
        <v/>
      </c>
      <c r="O69" s="167">
        <f>IF(NOT(BOOT_MODE="Test 2"),"",IFERROR(SOFR_Curve($D$55,$A$58:$A$97,$B$58:$B$97,$A69,"ZERO"),""))</f>
        <v/>
      </c>
      <c r="P69" s="89">
        <f>IF(OR(O69="",NOT(ISNUMBER(C69))),"",(O69-C69)*100)</f>
        <v/>
      </c>
      <c r="Q69" s="72">
        <f>IF(OR(M69="",NOT(ISNUMBER(D69))),"",M69-D69)</f>
        <v/>
      </c>
    </row>
    <row r="70">
      <c r="A70" s="68" t="n"/>
      <c r="B70" s="85" t="n"/>
      <c r="C70" s="85" t="n"/>
      <c r="D70" s="69" t="n"/>
      <c r="E70" s="112">
        <f>IF(OR(A70="",$D$56=""),"",IF(RIGHT(A70,1)="W",$D$56+7*VALUE(LEFT(A70,LEN(A70)-1)),IF(RIGHT(A70,1)="M",EDATE($D$56,VALUE(LEFT(A70,LEN(A70)-1))),EDATE($D$56,12*VALUE(LEFT(A70,LEN(A70)-1))))))</f>
        <v/>
      </c>
      <c r="F70" s="112">
        <f>IF(E70="","",IF(MONTH((E70+IF(WEEKDAY(E70,2)=6,2,IF(WEEKDAY(E70,2)=7,1,0))))&lt;&gt;MONTH(E70),(E70-IF(WEEKDAY(E70,2)=6,1,IF(WEEKDAY(E70,2)=7,2,0))),(E70+IF(WEEKDAY(E70,2)=6,2,IF(WEEKDAY(E70,2)=7,1,0)))))</f>
        <v/>
      </c>
      <c r="G70" s="167">
        <f>IF(NOT(BOOT_MODE="Test 2"),"",IFERROR(SOFR_Curve($D$55,$A$58:$A$97,$B$58:$B$97,$A70,"PAR"),""))</f>
        <v/>
      </c>
      <c r="H70" s="93">
        <f>IF(OR(NOT(BOOT_MODE="Test 2"),$A70=""),"","VBA SOFR_Curve()")</f>
        <v/>
      </c>
      <c r="I70" s="168">
        <f>IF(NOT(BOOT_MODE="Test 2"),"",IFERROR(SOFR_Curve($D$55,$A$58:$A$97,$B$58:$B$97,$A70,"DATE"),""))</f>
        <v/>
      </c>
      <c r="J70" s="76">
        <f>IF(OR(NOT(BOOT_MODE="Test 2"),I70="",F70=""),"",IF(INT(I70)=INT(F70),"ok","MISMATCH"))</f>
        <v/>
      </c>
      <c r="K70" s="76">
        <f>IF(NOT(BOOT_MODE="Test 2"),"",IFERROR(INDEX(BOOT_DF,MATCH(F70,BOOT_DATES,0)),""))</f>
        <v/>
      </c>
      <c r="L70" s="72">
        <f>IF(OR(M70="",K70=""),"",M70-K70)</f>
        <v/>
      </c>
      <c r="M70" s="169">
        <f>IF(NOT(BOOT_MODE="Test 2"),"",IFERROR(SOFR_Curve($D$55,$A$58:$A$97,$B$58:$B$97,$A70,"DF"),""))</f>
        <v/>
      </c>
      <c r="N70" s="170">
        <f>IF(NOT(BOOT_MODE="Test 2"),"",IFERROR(SOFR_Curve($D$55,$A$58:$A$97,$B$58:$B$97,$A70,"T"),""))</f>
        <v/>
      </c>
      <c r="O70" s="167">
        <f>IF(NOT(BOOT_MODE="Test 2"),"",IFERROR(SOFR_Curve($D$55,$A$58:$A$97,$B$58:$B$97,$A70,"ZERO"),""))</f>
        <v/>
      </c>
      <c r="P70" s="89">
        <f>IF(OR(O70="",NOT(ISNUMBER(C70))),"",(O70-C70)*100)</f>
        <v/>
      </c>
      <c r="Q70" s="72">
        <f>IF(OR(M70="",NOT(ISNUMBER(D70))),"",M70-D70)</f>
        <v/>
      </c>
    </row>
    <row r="71">
      <c r="A71" s="68" t="n"/>
      <c r="B71" s="85" t="n"/>
      <c r="C71" s="85" t="n"/>
      <c r="D71" s="69" t="n"/>
      <c r="E71" s="112">
        <f>IF(OR(A71="",$D$56=""),"",IF(RIGHT(A71,1)="W",$D$56+7*VALUE(LEFT(A71,LEN(A71)-1)),IF(RIGHT(A71,1)="M",EDATE($D$56,VALUE(LEFT(A71,LEN(A71)-1))),EDATE($D$56,12*VALUE(LEFT(A71,LEN(A71)-1))))))</f>
        <v/>
      </c>
      <c r="F71" s="112">
        <f>IF(E71="","",IF(MONTH((E71+IF(WEEKDAY(E71,2)=6,2,IF(WEEKDAY(E71,2)=7,1,0))))&lt;&gt;MONTH(E71),(E71-IF(WEEKDAY(E71,2)=6,1,IF(WEEKDAY(E71,2)=7,2,0))),(E71+IF(WEEKDAY(E71,2)=6,2,IF(WEEKDAY(E71,2)=7,1,0)))))</f>
        <v/>
      </c>
      <c r="G71" s="167">
        <f>IF(NOT(BOOT_MODE="Test 2"),"",IFERROR(SOFR_Curve($D$55,$A$58:$A$97,$B$58:$B$97,$A71,"PAR"),""))</f>
        <v/>
      </c>
      <c r="H71" s="93">
        <f>IF(OR(NOT(BOOT_MODE="Test 2"),$A71=""),"","VBA SOFR_Curve()")</f>
        <v/>
      </c>
      <c r="I71" s="168">
        <f>IF(NOT(BOOT_MODE="Test 2"),"",IFERROR(SOFR_Curve($D$55,$A$58:$A$97,$B$58:$B$97,$A71,"DATE"),""))</f>
        <v/>
      </c>
      <c r="J71" s="76">
        <f>IF(OR(NOT(BOOT_MODE="Test 2"),I71="",F71=""),"",IF(INT(I71)=INT(F71),"ok","MISMATCH"))</f>
        <v/>
      </c>
      <c r="K71" s="76">
        <f>IF(NOT(BOOT_MODE="Test 2"),"",IFERROR(INDEX(BOOT_DF,MATCH(F71,BOOT_DATES,0)),""))</f>
        <v/>
      </c>
      <c r="L71" s="72">
        <f>IF(OR(M71="",K71=""),"",M71-K71)</f>
        <v/>
      </c>
      <c r="M71" s="169">
        <f>IF(NOT(BOOT_MODE="Test 2"),"",IFERROR(SOFR_Curve($D$55,$A$58:$A$97,$B$58:$B$97,$A71,"DF"),""))</f>
        <v/>
      </c>
      <c r="N71" s="170">
        <f>IF(NOT(BOOT_MODE="Test 2"),"",IFERROR(SOFR_Curve($D$55,$A$58:$A$97,$B$58:$B$97,$A71,"T"),""))</f>
        <v/>
      </c>
      <c r="O71" s="167">
        <f>IF(NOT(BOOT_MODE="Test 2"),"",IFERROR(SOFR_Curve($D$55,$A$58:$A$97,$B$58:$B$97,$A71,"ZERO"),""))</f>
        <v/>
      </c>
      <c r="P71" s="89">
        <f>IF(OR(O71="",NOT(ISNUMBER(C71))),"",(O71-C71)*100)</f>
        <v/>
      </c>
      <c r="Q71" s="72">
        <f>IF(OR(M71="",NOT(ISNUMBER(D71))),"",M71-D71)</f>
        <v/>
      </c>
    </row>
    <row r="72">
      <c r="A72" s="68" t="n"/>
      <c r="B72" s="85" t="n"/>
      <c r="C72" s="85" t="n"/>
      <c r="D72" s="69" t="n"/>
      <c r="E72" s="112">
        <f>IF(OR(A72="",$D$56=""),"",IF(RIGHT(A72,1)="W",$D$56+7*VALUE(LEFT(A72,LEN(A72)-1)),IF(RIGHT(A72,1)="M",EDATE($D$56,VALUE(LEFT(A72,LEN(A72)-1))),EDATE($D$56,12*VALUE(LEFT(A72,LEN(A72)-1))))))</f>
        <v/>
      </c>
      <c r="F72" s="112">
        <f>IF(E72="","",IF(MONTH((E72+IF(WEEKDAY(E72,2)=6,2,IF(WEEKDAY(E72,2)=7,1,0))))&lt;&gt;MONTH(E72),(E72-IF(WEEKDAY(E72,2)=6,1,IF(WEEKDAY(E72,2)=7,2,0))),(E72+IF(WEEKDAY(E72,2)=6,2,IF(WEEKDAY(E72,2)=7,1,0)))))</f>
        <v/>
      </c>
      <c r="G72" s="167">
        <f>IF(NOT(BOOT_MODE="Test 2"),"",IFERROR(SOFR_Curve($D$55,$A$58:$A$97,$B$58:$B$97,$A72,"PAR"),""))</f>
        <v/>
      </c>
      <c r="H72" s="93">
        <f>IF(OR(NOT(BOOT_MODE="Test 2"),$A72=""),"","VBA SOFR_Curve()")</f>
        <v/>
      </c>
      <c r="I72" s="168">
        <f>IF(NOT(BOOT_MODE="Test 2"),"",IFERROR(SOFR_Curve($D$55,$A$58:$A$97,$B$58:$B$97,$A72,"DATE"),""))</f>
        <v/>
      </c>
      <c r="J72" s="76">
        <f>IF(OR(NOT(BOOT_MODE="Test 2"),I72="",F72=""),"",IF(INT(I72)=INT(F72),"ok","MISMATCH"))</f>
        <v/>
      </c>
      <c r="K72" s="76">
        <f>IF(NOT(BOOT_MODE="Test 2"),"",IFERROR(INDEX(BOOT_DF,MATCH(F72,BOOT_DATES,0)),""))</f>
        <v/>
      </c>
      <c r="L72" s="72">
        <f>IF(OR(M72="",K72=""),"",M72-K72)</f>
        <v/>
      </c>
      <c r="M72" s="169">
        <f>IF(NOT(BOOT_MODE="Test 2"),"",IFERROR(SOFR_Curve($D$55,$A$58:$A$97,$B$58:$B$97,$A72,"DF"),""))</f>
        <v/>
      </c>
      <c r="N72" s="170">
        <f>IF(NOT(BOOT_MODE="Test 2"),"",IFERROR(SOFR_Curve($D$55,$A$58:$A$97,$B$58:$B$97,$A72,"T"),""))</f>
        <v/>
      </c>
      <c r="O72" s="167">
        <f>IF(NOT(BOOT_MODE="Test 2"),"",IFERROR(SOFR_Curve($D$55,$A$58:$A$97,$B$58:$B$97,$A72,"ZERO"),""))</f>
        <v/>
      </c>
      <c r="P72" s="89">
        <f>IF(OR(O72="",NOT(ISNUMBER(C72))),"",(O72-C72)*100)</f>
        <v/>
      </c>
      <c r="Q72" s="72">
        <f>IF(OR(M72="",NOT(ISNUMBER(D72))),"",M72-D72)</f>
        <v/>
      </c>
    </row>
    <row r="73">
      <c r="A73" s="68" t="n"/>
      <c r="B73" s="85" t="n"/>
      <c r="C73" s="85" t="n"/>
      <c r="D73" s="69" t="n"/>
      <c r="E73" s="112">
        <f>IF(OR(A73="",$D$56=""),"",IF(RIGHT(A73,1)="W",$D$56+7*VALUE(LEFT(A73,LEN(A73)-1)),IF(RIGHT(A73,1)="M",EDATE($D$56,VALUE(LEFT(A73,LEN(A73)-1))),EDATE($D$56,12*VALUE(LEFT(A73,LEN(A73)-1))))))</f>
        <v/>
      </c>
      <c r="F73" s="112">
        <f>IF(E73="","",IF(MONTH((E73+IF(WEEKDAY(E73,2)=6,2,IF(WEEKDAY(E73,2)=7,1,0))))&lt;&gt;MONTH(E73),(E73-IF(WEEKDAY(E73,2)=6,1,IF(WEEKDAY(E73,2)=7,2,0))),(E73+IF(WEEKDAY(E73,2)=6,2,IF(WEEKDAY(E73,2)=7,1,0)))))</f>
        <v/>
      </c>
      <c r="G73" s="167">
        <f>IF(NOT(BOOT_MODE="Test 2"),"",IFERROR(SOFR_Curve($D$55,$A$58:$A$97,$B$58:$B$97,$A73,"PAR"),""))</f>
        <v/>
      </c>
      <c r="H73" s="93">
        <f>IF(OR(NOT(BOOT_MODE="Test 2"),$A73=""),"","VBA SOFR_Curve()")</f>
        <v/>
      </c>
      <c r="I73" s="168">
        <f>IF(NOT(BOOT_MODE="Test 2"),"",IFERROR(SOFR_Curve($D$55,$A$58:$A$97,$B$58:$B$97,$A73,"DATE"),""))</f>
        <v/>
      </c>
      <c r="J73" s="76">
        <f>IF(OR(NOT(BOOT_MODE="Test 2"),I73="",F73=""),"",IF(INT(I73)=INT(F73),"ok","MISMATCH"))</f>
        <v/>
      </c>
      <c r="K73" s="76">
        <f>IF(NOT(BOOT_MODE="Test 2"),"",IFERROR(INDEX(BOOT_DF,MATCH(F73,BOOT_DATES,0)),""))</f>
        <v/>
      </c>
      <c r="L73" s="72">
        <f>IF(OR(M73="",K73=""),"",M73-K73)</f>
        <v/>
      </c>
      <c r="M73" s="169">
        <f>IF(NOT(BOOT_MODE="Test 2"),"",IFERROR(SOFR_Curve($D$55,$A$58:$A$97,$B$58:$B$97,$A73,"DF"),""))</f>
        <v/>
      </c>
      <c r="N73" s="170">
        <f>IF(NOT(BOOT_MODE="Test 2"),"",IFERROR(SOFR_Curve($D$55,$A$58:$A$97,$B$58:$B$97,$A73,"T"),""))</f>
        <v/>
      </c>
      <c r="O73" s="167">
        <f>IF(NOT(BOOT_MODE="Test 2"),"",IFERROR(SOFR_Curve($D$55,$A$58:$A$97,$B$58:$B$97,$A73,"ZERO"),""))</f>
        <v/>
      </c>
      <c r="P73" s="89">
        <f>IF(OR(O73="",NOT(ISNUMBER(C73))),"",(O73-C73)*100)</f>
        <v/>
      </c>
      <c r="Q73" s="72">
        <f>IF(OR(M73="",NOT(ISNUMBER(D73))),"",M73-D73)</f>
        <v/>
      </c>
    </row>
    <row r="74">
      <c r="A74" s="68" t="n"/>
      <c r="B74" s="85" t="n"/>
      <c r="C74" s="85" t="n"/>
      <c r="D74" s="69" t="n"/>
      <c r="E74" s="112">
        <f>IF(OR(A74="",$D$56=""),"",IF(RIGHT(A74,1)="W",$D$56+7*VALUE(LEFT(A74,LEN(A74)-1)),IF(RIGHT(A74,1)="M",EDATE($D$56,VALUE(LEFT(A74,LEN(A74)-1))),EDATE($D$56,12*VALUE(LEFT(A74,LEN(A74)-1))))))</f>
        <v/>
      </c>
      <c r="F74" s="112">
        <f>IF(E74="","",IF(MONTH((E74+IF(WEEKDAY(E74,2)=6,2,IF(WEEKDAY(E74,2)=7,1,0))))&lt;&gt;MONTH(E74),(E74-IF(WEEKDAY(E74,2)=6,1,IF(WEEKDAY(E74,2)=7,2,0))),(E74+IF(WEEKDAY(E74,2)=6,2,IF(WEEKDAY(E74,2)=7,1,0)))))</f>
        <v/>
      </c>
      <c r="G74" s="167">
        <f>IF(NOT(BOOT_MODE="Test 2"),"",IFERROR(SOFR_Curve($D$55,$A$58:$A$97,$B$58:$B$97,$A74,"PAR"),""))</f>
        <v/>
      </c>
      <c r="H74" s="93">
        <f>IF(OR(NOT(BOOT_MODE="Test 2"),$A74=""),"","VBA SOFR_Curve()")</f>
        <v/>
      </c>
      <c r="I74" s="168">
        <f>IF(NOT(BOOT_MODE="Test 2"),"",IFERROR(SOFR_Curve($D$55,$A$58:$A$97,$B$58:$B$97,$A74,"DATE"),""))</f>
        <v/>
      </c>
      <c r="J74" s="76">
        <f>IF(OR(NOT(BOOT_MODE="Test 2"),I74="",F74=""),"",IF(INT(I74)=INT(F74),"ok","MISMATCH"))</f>
        <v/>
      </c>
      <c r="K74" s="76">
        <f>IF(NOT(BOOT_MODE="Test 2"),"",IFERROR(INDEX(BOOT_DF,MATCH(F74,BOOT_DATES,0)),""))</f>
        <v/>
      </c>
      <c r="L74" s="72">
        <f>IF(OR(M74="",K74=""),"",M74-K74)</f>
        <v/>
      </c>
      <c r="M74" s="169">
        <f>IF(NOT(BOOT_MODE="Test 2"),"",IFERROR(SOFR_Curve($D$55,$A$58:$A$97,$B$58:$B$97,$A74,"DF"),""))</f>
        <v/>
      </c>
      <c r="N74" s="170">
        <f>IF(NOT(BOOT_MODE="Test 2"),"",IFERROR(SOFR_Curve($D$55,$A$58:$A$97,$B$58:$B$97,$A74,"T"),""))</f>
        <v/>
      </c>
      <c r="O74" s="167">
        <f>IF(NOT(BOOT_MODE="Test 2"),"",IFERROR(SOFR_Curve($D$55,$A$58:$A$97,$B$58:$B$97,$A74,"ZERO"),""))</f>
        <v/>
      </c>
      <c r="P74" s="89">
        <f>IF(OR(O74="",NOT(ISNUMBER(C74))),"",(O74-C74)*100)</f>
        <v/>
      </c>
      <c r="Q74" s="72">
        <f>IF(OR(M74="",NOT(ISNUMBER(D74))),"",M74-D74)</f>
        <v/>
      </c>
    </row>
    <row r="75">
      <c r="A75" s="68" t="n"/>
      <c r="B75" s="85" t="n"/>
      <c r="C75" s="85" t="n"/>
      <c r="D75" s="69" t="n"/>
      <c r="E75" s="112">
        <f>IF(OR(A75="",$D$56=""),"",IF(RIGHT(A75,1)="W",$D$56+7*VALUE(LEFT(A75,LEN(A75)-1)),IF(RIGHT(A75,1)="M",EDATE($D$56,VALUE(LEFT(A75,LEN(A75)-1))),EDATE($D$56,12*VALUE(LEFT(A75,LEN(A75)-1))))))</f>
        <v/>
      </c>
      <c r="F75" s="112">
        <f>IF(E75="","",IF(MONTH((E75+IF(WEEKDAY(E75,2)=6,2,IF(WEEKDAY(E75,2)=7,1,0))))&lt;&gt;MONTH(E75),(E75-IF(WEEKDAY(E75,2)=6,1,IF(WEEKDAY(E75,2)=7,2,0))),(E75+IF(WEEKDAY(E75,2)=6,2,IF(WEEKDAY(E75,2)=7,1,0)))))</f>
        <v/>
      </c>
      <c r="G75" s="167">
        <f>IF(NOT(BOOT_MODE="Test 2"),"",IFERROR(SOFR_Curve($D$55,$A$58:$A$97,$B$58:$B$97,$A75,"PAR"),""))</f>
        <v/>
      </c>
      <c r="H75" s="93">
        <f>IF(OR(NOT(BOOT_MODE="Test 2"),$A75=""),"","VBA SOFR_Curve()")</f>
        <v/>
      </c>
      <c r="I75" s="168">
        <f>IF(NOT(BOOT_MODE="Test 2"),"",IFERROR(SOFR_Curve($D$55,$A$58:$A$97,$B$58:$B$97,$A75,"DATE"),""))</f>
        <v/>
      </c>
      <c r="J75" s="76">
        <f>IF(OR(NOT(BOOT_MODE="Test 2"),I75="",F75=""),"",IF(INT(I75)=INT(F75),"ok","MISMATCH"))</f>
        <v/>
      </c>
      <c r="K75" s="76">
        <f>IF(NOT(BOOT_MODE="Test 2"),"",IFERROR(INDEX(BOOT_DF,MATCH(F75,BOOT_DATES,0)),""))</f>
        <v/>
      </c>
      <c r="L75" s="72">
        <f>IF(OR(M75="",K75=""),"",M75-K75)</f>
        <v/>
      </c>
      <c r="M75" s="169">
        <f>IF(NOT(BOOT_MODE="Test 2"),"",IFERROR(SOFR_Curve($D$55,$A$58:$A$97,$B$58:$B$97,$A75,"DF"),""))</f>
        <v/>
      </c>
      <c r="N75" s="170">
        <f>IF(NOT(BOOT_MODE="Test 2"),"",IFERROR(SOFR_Curve($D$55,$A$58:$A$97,$B$58:$B$97,$A75,"T"),""))</f>
        <v/>
      </c>
      <c r="O75" s="167">
        <f>IF(NOT(BOOT_MODE="Test 2"),"",IFERROR(SOFR_Curve($D$55,$A$58:$A$97,$B$58:$B$97,$A75,"ZERO"),""))</f>
        <v/>
      </c>
      <c r="P75" s="89">
        <f>IF(OR(O75="",NOT(ISNUMBER(C75))),"",(O75-C75)*100)</f>
        <v/>
      </c>
      <c r="Q75" s="72">
        <f>IF(OR(M75="",NOT(ISNUMBER(D75))),"",M75-D75)</f>
        <v/>
      </c>
    </row>
    <row r="76">
      <c r="A76" s="68" t="n"/>
      <c r="B76" s="85" t="n"/>
      <c r="C76" s="85" t="n"/>
      <c r="D76" s="69" t="n"/>
      <c r="E76" s="112">
        <f>IF(OR(A76="",$D$56=""),"",IF(RIGHT(A76,1)="W",$D$56+7*VALUE(LEFT(A76,LEN(A76)-1)),IF(RIGHT(A76,1)="M",EDATE($D$56,VALUE(LEFT(A76,LEN(A76)-1))),EDATE($D$56,12*VALUE(LEFT(A76,LEN(A76)-1))))))</f>
        <v/>
      </c>
      <c r="F76" s="112">
        <f>IF(E76="","",IF(MONTH((E76+IF(WEEKDAY(E76,2)=6,2,IF(WEEKDAY(E76,2)=7,1,0))))&lt;&gt;MONTH(E76),(E76-IF(WEEKDAY(E76,2)=6,1,IF(WEEKDAY(E76,2)=7,2,0))),(E76+IF(WEEKDAY(E76,2)=6,2,IF(WEEKDAY(E76,2)=7,1,0)))))</f>
        <v/>
      </c>
      <c r="G76" s="167">
        <f>IF(NOT(BOOT_MODE="Test 2"),"",IFERROR(SOFR_Curve($D$55,$A$58:$A$97,$B$58:$B$97,$A76,"PAR"),""))</f>
        <v/>
      </c>
      <c r="H76" s="93">
        <f>IF(OR(NOT(BOOT_MODE="Test 2"),$A76=""),"","VBA SOFR_Curve()")</f>
        <v/>
      </c>
      <c r="I76" s="168">
        <f>IF(NOT(BOOT_MODE="Test 2"),"",IFERROR(SOFR_Curve($D$55,$A$58:$A$97,$B$58:$B$97,$A76,"DATE"),""))</f>
        <v/>
      </c>
      <c r="J76" s="76">
        <f>IF(OR(NOT(BOOT_MODE="Test 2"),I76="",F76=""),"",IF(INT(I76)=INT(F76),"ok","MISMATCH"))</f>
        <v/>
      </c>
      <c r="K76" s="76">
        <f>IF(NOT(BOOT_MODE="Test 2"),"",IFERROR(INDEX(BOOT_DF,MATCH(F76,BOOT_DATES,0)),""))</f>
        <v/>
      </c>
      <c r="L76" s="72">
        <f>IF(OR(M76="",K76=""),"",M76-K76)</f>
        <v/>
      </c>
      <c r="M76" s="169">
        <f>IF(NOT(BOOT_MODE="Test 2"),"",IFERROR(SOFR_Curve($D$55,$A$58:$A$97,$B$58:$B$97,$A76,"DF"),""))</f>
        <v/>
      </c>
      <c r="N76" s="170">
        <f>IF(NOT(BOOT_MODE="Test 2"),"",IFERROR(SOFR_Curve($D$55,$A$58:$A$97,$B$58:$B$97,$A76,"T"),""))</f>
        <v/>
      </c>
      <c r="O76" s="167">
        <f>IF(NOT(BOOT_MODE="Test 2"),"",IFERROR(SOFR_Curve($D$55,$A$58:$A$97,$B$58:$B$97,$A76,"ZERO"),""))</f>
        <v/>
      </c>
      <c r="P76" s="89">
        <f>IF(OR(O76="",NOT(ISNUMBER(C76))),"",(O76-C76)*100)</f>
        <v/>
      </c>
      <c r="Q76" s="72">
        <f>IF(OR(M76="",NOT(ISNUMBER(D76))),"",M76-D76)</f>
        <v/>
      </c>
    </row>
    <row r="77">
      <c r="A77" s="68" t="n"/>
      <c r="B77" s="85" t="n"/>
      <c r="C77" s="85" t="n"/>
      <c r="D77" s="69" t="n"/>
      <c r="E77" s="112">
        <f>IF(OR(A77="",$D$56=""),"",IF(RIGHT(A77,1)="W",$D$56+7*VALUE(LEFT(A77,LEN(A77)-1)),IF(RIGHT(A77,1)="M",EDATE($D$56,VALUE(LEFT(A77,LEN(A77)-1))),EDATE($D$56,12*VALUE(LEFT(A77,LEN(A77)-1))))))</f>
        <v/>
      </c>
      <c r="F77" s="112">
        <f>IF(E77="","",IF(MONTH((E77+IF(WEEKDAY(E77,2)=6,2,IF(WEEKDAY(E77,2)=7,1,0))))&lt;&gt;MONTH(E77),(E77-IF(WEEKDAY(E77,2)=6,1,IF(WEEKDAY(E77,2)=7,2,0))),(E77+IF(WEEKDAY(E77,2)=6,2,IF(WEEKDAY(E77,2)=7,1,0)))))</f>
        <v/>
      </c>
      <c r="G77" s="167">
        <f>IF(NOT(BOOT_MODE="Test 2"),"",IFERROR(SOFR_Curve($D$55,$A$58:$A$97,$B$58:$B$97,$A77,"PAR"),""))</f>
        <v/>
      </c>
      <c r="H77" s="93">
        <f>IF(OR(NOT(BOOT_MODE="Test 2"),$A77=""),"","VBA SOFR_Curve()")</f>
        <v/>
      </c>
      <c r="I77" s="168">
        <f>IF(NOT(BOOT_MODE="Test 2"),"",IFERROR(SOFR_Curve($D$55,$A$58:$A$97,$B$58:$B$97,$A77,"DATE"),""))</f>
        <v/>
      </c>
      <c r="J77" s="76">
        <f>IF(OR(NOT(BOOT_MODE="Test 2"),I77="",F77=""),"",IF(INT(I77)=INT(F77),"ok","MISMATCH"))</f>
        <v/>
      </c>
      <c r="K77" s="76">
        <f>IF(NOT(BOOT_MODE="Test 2"),"",IFERROR(INDEX(BOOT_DF,MATCH(F77,BOOT_DATES,0)),""))</f>
        <v/>
      </c>
      <c r="L77" s="72">
        <f>IF(OR(M77="",K77=""),"",M77-K77)</f>
        <v/>
      </c>
      <c r="M77" s="169">
        <f>IF(NOT(BOOT_MODE="Test 2"),"",IFERROR(SOFR_Curve($D$55,$A$58:$A$97,$B$58:$B$97,$A77,"DF"),""))</f>
        <v/>
      </c>
      <c r="N77" s="170">
        <f>IF(NOT(BOOT_MODE="Test 2"),"",IFERROR(SOFR_Curve($D$55,$A$58:$A$97,$B$58:$B$97,$A77,"T"),""))</f>
        <v/>
      </c>
      <c r="O77" s="167">
        <f>IF(NOT(BOOT_MODE="Test 2"),"",IFERROR(SOFR_Curve($D$55,$A$58:$A$97,$B$58:$B$97,$A77,"ZERO"),""))</f>
        <v/>
      </c>
      <c r="P77" s="89">
        <f>IF(OR(O77="",NOT(ISNUMBER(C77))),"",(O77-C77)*100)</f>
        <v/>
      </c>
      <c r="Q77" s="72">
        <f>IF(OR(M77="",NOT(ISNUMBER(D77))),"",M77-D77)</f>
        <v/>
      </c>
    </row>
    <row r="78">
      <c r="A78" s="68" t="n"/>
      <c r="B78" s="85" t="n"/>
      <c r="C78" s="85" t="n"/>
      <c r="D78" s="69" t="n"/>
      <c r="E78" s="112">
        <f>IF(OR(A78="",$D$56=""),"",IF(RIGHT(A78,1)="W",$D$56+7*VALUE(LEFT(A78,LEN(A78)-1)),IF(RIGHT(A78,1)="M",EDATE($D$56,VALUE(LEFT(A78,LEN(A78)-1))),EDATE($D$56,12*VALUE(LEFT(A78,LEN(A78)-1))))))</f>
        <v/>
      </c>
      <c r="F78" s="112">
        <f>IF(E78="","",IF(MONTH((E78+IF(WEEKDAY(E78,2)=6,2,IF(WEEKDAY(E78,2)=7,1,0))))&lt;&gt;MONTH(E78),(E78-IF(WEEKDAY(E78,2)=6,1,IF(WEEKDAY(E78,2)=7,2,0))),(E78+IF(WEEKDAY(E78,2)=6,2,IF(WEEKDAY(E78,2)=7,1,0)))))</f>
        <v/>
      </c>
      <c r="G78" s="167">
        <f>IF(NOT(BOOT_MODE="Test 2"),"",IFERROR(SOFR_Curve($D$55,$A$58:$A$97,$B$58:$B$97,$A78,"PAR"),""))</f>
        <v/>
      </c>
      <c r="H78" s="93">
        <f>IF(OR(NOT(BOOT_MODE="Test 2"),$A78=""),"","VBA SOFR_Curve()")</f>
        <v/>
      </c>
      <c r="I78" s="168">
        <f>IF(NOT(BOOT_MODE="Test 2"),"",IFERROR(SOFR_Curve($D$55,$A$58:$A$97,$B$58:$B$97,$A78,"DATE"),""))</f>
        <v/>
      </c>
      <c r="J78" s="76">
        <f>IF(OR(NOT(BOOT_MODE="Test 2"),I78="",F78=""),"",IF(INT(I78)=INT(F78),"ok","MISMATCH"))</f>
        <v/>
      </c>
      <c r="K78" s="76">
        <f>IF(NOT(BOOT_MODE="Test 2"),"",IFERROR(INDEX(BOOT_DF,MATCH(F78,BOOT_DATES,0)),""))</f>
        <v/>
      </c>
      <c r="L78" s="72">
        <f>IF(OR(M78="",K78=""),"",M78-K78)</f>
        <v/>
      </c>
      <c r="M78" s="169">
        <f>IF(NOT(BOOT_MODE="Test 2"),"",IFERROR(SOFR_Curve($D$55,$A$58:$A$97,$B$58:$B$97,$A78,"DF"),""))</f>
        <v/>
      </c>
      <c r="N78" s="170">
        <f>IF(NOT(BOOT_MODE="Test 2"),"",IFERROR(SOFR_Curve($D$55,$A$58:$A$97,$B$58:$B$97,$A78,"T"),""))</f>
        <v/>
      </c>
      <c r="O78" s="167">
        <f>IF(NOT(BOOT_MODE="Test 2"),"",IFERROR(SOFR_Curve($D$55,$A$58:$A$97,$B$58:$B$97,$A78,"ZERO"),""))</f>
        <v/>
      </c>
      <c r="P78" s="89">
        <f>IF(OR(O78="",NOT(ISNUMBER(C78))),"",(O78-C78)*100)</f>
        <v/>
      </c>
      <c r="Q78" s="72">
        <f>IF(OR(M78="",NOT(ISNUMBER(D78))),"",M78-D78)</f>
        <v/>
      </c>
    </row>
    <row r="79">
      <c r="A79" s="68" t="n"/>
      <c r="B79" s="85" t="n"/>
      <c r="C79" s="85" t="n"/>
      <c r="D79" s="69" t="n"/>
      <c r="E79" s="112">
        <f>IF(OR(A79="",$D$56=""),"",IF(RIGHT(A79,1)="W",$D$56+7*VALUE(LEFT(A79,LEN(A79)-1)),IF(RIGHT(A79,1)="M",EDATE($D$56,VALUE(LEFT(A79,LEN(A79)-1))),EDATE($D$56,12*VALUE(LEFT(A79,LEN(A79)-1))))))</f>
        <v/>
      </c>
      <c r="F79" s="112">
        <f>IF(E79="","",IF(MONTH((E79+IF(WEEKDAY(E79,2)=6,2,IF(WEEKDAY(E79,2)=7,1,0))))&lt;&gt;MONTH(E79),(E79-IF(WEEKDAY(E79,2)=6,1,IF(WEEKDAY(E79,2)=7,2,0))),(E79+IF(WEEKDAY(E79,2)=6,2,IF(WEEKDAY(E79,2)=7,1,0)))))</f>
        <v/>
      </c>
      <c r="G79" s="167">
        <f>IF(NOT(BOOT_MODE="Test 2"),"",IFERROR(SOFR_Curve($D$55,$A$58:$A$97,$B$58:$B$97,$A79,"PAR"),""))</f>
        <v/>
      </c>
      <c r="H79" s="93">
        <f>IF(OR(NOT(BOOT_MODE="Test 2"),$A79=""),"","VBA SOFR_Curve()")</f>
        <v/>
      </c>
      <c r="I79" s="168">
        <f>IF(NOT(BOOT_MODE="Test 2"),"",IFERROR(SOFR_Curve($D$55,$A$58:$A$97,$B$58:$B$97,$A79,"DATE"),""))</f>
        <v/>
      </c>
      <c r="J79" s="76">
        <f>IF(OR(NOT(BOOT_MODE="Test 2"),I79="",F79=""),"",IF(INT(I79)=INT(F79),"ok","MISMATCH"))</f>
        <v/>
      </c>
      <c r="K79" s="76">
        <f>IF(NOT(BOOT_MODE="Test 2"),"",IFERROR(INDEX(BOOT_DF,MATCH(F79,BOOT_DATES,0)),""))</f>
        <v/>
      </c>
      <c r="L79" s="72">
        <f>IF(OR(M79="",K79=""),"",M79-K79)</f>
        <v/>
      </c>
      <c r="M79" s="169">
        <f>IF(NOT(BOOT_MODE="Test 2"),"",IFERROR(SOFR_Curve($D$55,$A$58:$A$97,$B$58:$B$97,$A79,"DF"),""))</f>
        <v/>
      </c>
      <c r="N79" s="170">
        <f>IF(NOT(BOOT_MODE="Test 2"),"",IFERROR(SOFR_Curve($D$55,$A$58:$A$97,$B$58:$B$97,$A79,"T"),""))</f>
        <v/>
      </c>
      <c r="O79" s="167">
        <f>IF(NOT(BOOT_MODE="Test 2"),"",IFERROR(SOFR_Curve($D$55,$A$58:$A$97,$B$58:$B$97,$A79,"ZERO"),""))</f>
        <v/>
      </c>
      <c r="P79" s="89">
        <f>IF(OR(O79="",NOT(ISNUMBER(C79))),"",(O79-C79)*100)</f>
        <v/>
      </c>
      <c r="Q79" s="72">
        <f>IF(OR(M79="",NOT(ISNUMBER(D79))),"",M79-D79)</f>
        <v/>
      </c>
    </row>
    <row r="80">
      <c r="A80" s="68" t="n"/>
      <c r="B80" s="85" t="n"/>
      <c r="C80" s="85" t="n"/>
      <c r="D80" s="69" t="n"/>
      <c r="E80" s="112">
        <f>IF(OR(A80="",$D$56=""),"",IF(RIGHT(A80,1)="W",$D$56+7*VALUE(LEFT(A80,LEN(A80)-1)),IF(RIGHT(A80,1)="M",EDATE($D$56,VALUE(LEFT(A80,LEN(A80)-1))),EDATE($D$56,12*VALUE(LEFT(A80,LEN(A80)-1))))))</f>
        <v/>
      </c>
      <c r="F80" s="112">
        <f>IF(E80="","",IF(MONTH((E80+IF(WEEKDAY(E80,2)=6,2,IF(WEEKDAY(E80,2)=7,1,0))))&lt;&gt;MONTH(E80),(E80-IF(WEEKDAY(E80,2)=6,1,IF(WEEKDAY(E80,2)=7,2,0))),(E80+IF(WEEKDAY(E80,2)=6,2,IF(WEEKDAY(E80,2)=7,1,0)))))</f>
        <v/>
      </c>
      <c r="G80" s="167">
        <f>IF(NOT(BOOT_MODE="Test 2"),"",IFERROR(SOFR_Curve($D$55,$A$58:$A$97,$B$58:$B$97,$A80,"PAR"),""))</f>
        <v/>
      </c>
      <c r="H80" s="93">
        <f>IF(OR(NOT(BOOT_MODE="Test 2"),$A80=""),"","VBA SOFR_Curve()")</f>
        <v/>
      </c>
      <c r="I80" s="168">
        <f>IF(NOT(BOOT_MODE="Test 2"),"",IFERROR(SOFR_Curve($D$55,$A$58:$A$97,$B$58:$B$97,$A80,"DATE"),""))</f>
        <v/>
      </c>
      <c r="J80" s="76">
        <f>IF(OR(NOT(BOOT_MODE="Test 2"),I80="",F80=""),"",IF(INT(I80)=INT(F80),"ok","MISMATCH"))</f>
        <v/>
      </c>
      <c r="K80" s="76">
        <f>IF(NOT(BOOT_MODE="Test 2"),"",IFERROR(INDEX(BOOT_DF,MATCH(F80,BOOT_DATES,0)),""))</f>
        <v/>
      </c>
      <c r="L80" s="72">
        <f>IF(OR(M80="",K80=""),"",M80-K80)</f>
        <v/>
      </c>
      <c r="M80" s="169">
        <f>IF(NOT(BOOT_MODE="Test 2"),"",IFERROR(SOFR_Curve($D$55,$A$58:$A$97,$B$58:$B$97,$A80,"DF"),""))</f>
        <v/>
      </c>
      <c r="N80" s="170">
        <f>IF(NOT(BOOT_MODE="Test 2"),"",IFERROR(SOFR_Curve($D$55,$A$58:$A$97,$B$58:$B$97,$A80,"T"),""))</f>
        <v/>
      </c>
      <c r="O80" s="167">
        <f>IF(NOT(BOOT_MODE="Test 2"),"",IFERROR(SOFR_Curve($D$55,$A$58:$A$97,$B$58:$B$97,$A80,"ZERO"),""))</f>
        <v/>
      </c>
      <c r="P80" s="89">
        <f>IF(OR(O80="",NOT(ISNUMBER(C80))),"",(O80-C80)*100)</f>
        <v/>
      </c>
      <c r="Q80" s="72">
        <f>IF(OR(M80="",NOT(ISNUMBER(D80))),"",M80-D80)</f>
        <v/>
      </c>
    </row>
    <row r="81">
      <c r="A81" s="68" t="n"/>
      <c r="B81" s="85" t="n"/>
      <c r="C81" s="85" t="n"/>
      <c r="D81" s="69" t="n"/>
      <c r="E81" s="112">
        <f>IF(OR(A81="",$D$56=""),"",IF(RIGHT(A81,1)="W",$D$56+7*VALUE(LEFT(A81,LEN(A81)-1)),IF(RIGHT(A81,1)="M",EDATE($D$56,VALUE(LEFT(A81,LEN(A81)-1))),EDATE($D$56,12*VALUE(LEFT(A81,LEN(A81)-1))))))</f>
        <v/>
      </c>
      <c r="F81" s="112">
        <f>IF(E81="","",IF(MONTH((E81+IF(WEEKDAY(E81,2)=6,2,IF(WEEKDAY(E81,2)=7,1,0))))&lt;&gt;MONTH(E81),(E81-IF(WEEKDAY(E81,2)=6,1,IF(WEEKDAY(E81,2)=7,2,0))),(E81+IF(WEEKDAY(E81,2)=6,2,IF(WEEKDAY(E81,2)=7,1,0)))))</f>
        <v/>
      </c>
      <c r="G81" s="167">
        <f>IF(NOT(BOOT_MODE="Test 2"),"",IFERROR(SOFR_Curve($D$55,$A$58:$A$97,$B$58:$B$97,$A81,"PAR"),""))</f>
        <v/>
      </c>
      <c r="H81" s="93">
        <f>IF(OR(NOT(BOOT_MODE="Test 2"),$A81=""),"","VBA SOFR_Curve()")</f>
        <v/>
      </c>
      <c r="I81" s="168">
        <f>IF(NOT(BOOT_MODE="Test 2"),"",IFERROR(SOFR_Curve($D$55,$A$58:$A$97,$B$58:$B$97,$A81,"DATE"),""))</f>
        <v/>
      </c>
      <c r="J81" s="76">
        <f>IF(OR(NOT(BOOT_MODE="Test 2"),I81="",F81=""),"",IF(INT(I81)=INT(F81),"ok","MISMATCH"))</f>
        <v/>
      </c>
      <c r="K81" s="76">
        <f>IF(NOT(BOOT_MODE="Test 2"),"",IFERROR(INDEX(BOOT_DF,MATCH(F81,BOOT_DATES,0)),""))</f>
        <v/>
      </c>
      <c r="L81" s="72">
        <f>IF(OR(M81="",K81=""),"",M81-K81)</f>
        <v/>
      </c>
      <c r="M81" s="169">
        <f>IF(NOT(BOOT_MODE="Test 2"),"",IFERROR(SOFR_Curve($D$55,$A$58:$A$97,$B$58:$B$97,$A81,"DF"),""))</f>
        <v/>
      </c>
      <c r="N81" s="170">
        <f>IF(NOT(BOOT_MODE="Test 2"),"",IFERROR(SOFR_Curve($D$55,$A$58:$A$97,$B$58:$B$97,$A81,"T"),""))</f>
        <v/>
      </c>
      <c r="O81" s="167">
        <f>IF(NOT(BOOT_MODE="Test 2"),"",IFERROR(SOFR_Curve($D$55,$A$58:$A$97,$B$58:$B$97,$A81,"ZERO"),""))</f>
        <v/>
      </c>
      <c r="P81" s="89">
        <f>IF(OR(O81="",NOT(ISNUMBER(C81))),"",(O81-C81)*100)</f>
        <v/>
      </c>
      <c r="Q81" s="72">
        <f>IF(OR(M81="",NOT(ISNUMBER(D81))),"",M81-D81)</f>
        <v/>
      </c>
    </row>
    <row r="82">
      <c r="A82" s="68" t="n"/>
      <c r="B82" s="85" t="n"/>
      <c r="C82" s="85" t="n"/>
      <c r="D82" s="69" t="n"/>
      <c r="E82" s="112">
        <f>IF(OR(A82="",$D$56=""),"",IF(RIGHT(A82,1)="W",$D$56+7*VALUE(LEFT(A82,LEN(A82)-1)),IF(RIGHT(A82,1)="M",EDATE($D$56,VALUE(LEFT(A82,LEN(A82)-1))),EDATE($D$56,12*VALUE(LEFT(A82,LEN(A82)-1))))))</f>
        <v/>
      </c>
      <c r="F82" s="112">
        <f>IF(E82="","",IF(MONTH((E82+IF(WEEKDAY(E82,2)=6,2,IF(WEEKDAY(E82,2)=7,1,0))))&lt;&gt;MONTH(E82),(E82-IF(WEEKDAY(E82,2)=6,1,IF(WEEKDAY(E82,2)=7,2,0))),(E82+IF(WEEKDAY(E82,2)=6,2,IF(WEEKDAY(E82,2)=7,1,0)))))</f>
        <v/>
      </c>
      <c r="G82" s="167">
        <f>IF(NOT(BOOT_MODE="Test 2"),"",IFERROR(SOFR_Curve($D$55,$A$58:$A$97,$B$58:$B$97,$A82,"PAR"),""))</f>
        <v/>
      </c>
      <c r="H82" s="93">
        <f>IF(OR(NOT(BOOT_MODE="Test 2"),$A82=""),"","VBA SOFR_Curve()")</f>
        <v/>
      </c>
      <c r="I82" s="168">
        <f>IF(NOT(BOOT_MODE="Test 2"),"",IFERROR(SOFR_Curve($D$55,$A$58:$A$97,$B$58:$B$97,$A82,"DATE"),""))</f>
        <v/>
      </c>
      <c r="J82" s="76">
        <f>IF(OR(NOT(BOOT_MODE="Test 2"),I82="",F82=""),"",IF(INT(I82)=INT(F82),"ok","MISMATCH"))</f>
        <v/>
      </c>
      <c r="K82" s="76">
        <f>IF(NOT(BOOT_MODE="Test 2"),"",IFERROR(INDEX(BOOT_DF,MATCH(F82,BOOT_DATES,0)),""))</f>
        <v/>
      </c>
      <c r="L82" s="72">
        <f>IF(OR(M82="",K82=""),"",M82-K82)</f>
        <v/>
      </c>
      <c r="M82" s="169">
        <f>IF(NOT(BOOT_MODE="Test 2"),"",IFERROR(SOFR_Curve($D$55,$A$58:$A$97,$B$58:$B$97,$A82,"DF"),""))</f>
        <v/>
      </c>
      <c r="N82" s="170">
        <f>IF(NOT(BOOT_MODE="Test 2"),"",IFERROR(SOFR_Curve($D$55,$A$58:$A$97,$B$58:$B$97,$A82,"T"),""))</f>
        <v/>
      </c>
      <c r="O82" s="167">
        <f>IF(NOT(BOOT_MODE="Test 2"),"",IFERROR(SOFR_Curve($D$55,$A$58:$A$97,$B$58:$B$97,$A82,"ZERO"),""))</f>
        <v/>
      </c>
      <c r="P82" s="89">
        <f>IF(OR(O82="",NOT(ISNUMBER(C82))),"",(O82-C82)*100)</f>
        <v/>
      </c>
      <c r="Q82" s="72">
        <f>IF(OR(M82="",NOT(ISNUMBER(D82))),"",M82-D82)</f>
        <v/>
      </c>
    </row>
    <row r="83">
      <c r="A83" s="68" t="n"/>
      <c r="B83" s="85" t="n"/>
      <c r="C83" s="85" t="n"/>
      <c r="D83" s="69" t="n"/>
      <c r="E83" s="112">
        <f>IF(OR(A83="",$D$56=""),"",IF(RIGHT(A83,1)="W",$D$56+7*VALUE(LEFT(A83,LEN(A83)-1)),IF(RIGHT(A83,1)="M",EDATE($D$56,VALUE(LEFT(A83,LEN(A83)-1))),EDATE($D$56,12*VALUE(LEFT(A83,LEN(A83)-1))))))</f>
        <v/>
      </c>
      <c r="F83" s="112">
        <f>IF(E83="","",IF(MONTH((E83+IF(WEEKDAY(E83,2)=6,2,IF(WEEKDAY(E83,2)=7,1,0))))&lt;&gt;MONTH(E83),(E83-IF(WEEKDAY(E83,2)=6,1,IF(WEEKDAY(E83,2)=7,2,0))),(E83+IF(WEEKDAY(E83,2)=6,2,IF(WEEKDAY(E83,2)=7,1,0)))))</f>
        <v/>
      </c>
      <c r="G83" s="167">
        <f>IF(NOT(BOOT_MODE="Test 2"),"",IFERROR(SOFR_Curve($D$55,$A$58:$A$97,$B$58:$B$97,$A83,"PAR"),""))</f>
        <v/>
      </c>
      <c r="H83" s="93">
        <f>IF(OR(NOT(BOOT_MODE="Test 2"),$A83=""),"","VBA SOFR_Curve()")</f>
        <v/>
      </c>
      <c r="I83" s="168">
        <f>IF(NOT(BOOT_MODE="Test 2"),"",IFERROR(SOFR_Curve($D$55,$A$58:$A$97,$B$58:$B$97,$A83,"DATE"),""))</f>
        <v/>
      </c>
      <c r="J83" s="76">
        <f>IF(OR(NOT(BOOT_MODE="Test 2"),I83="",F83=""),"",IF(INT(I83)=INT(F83),"ok","MISMATCH"))</f>
        <v/>
      </c>
      <c r="K83" s="76">
        <f>IF(NOT(BOOT_MODE="Test 2"),"",IFERROR(INDEX(BOOT_DF,MATCH(F83,BOOT_DATES,0)),""))</f>
        <v/>
      </c>
      <c r="L83" s="72">
        <f>IF(OR(M83="",K83=""),"",M83-K83)</f>
        <v/>
      </c>
      <c r="M83" s="169">
        <f>IF(NOT(BOOT_MODE="Test 2"),"",IFERROR(SOFR_Curve($D$55,$A$58:$A$97,$B$58:$B$97,$A83,"DF"),""))</f>
        <v/>
      </c>
      <c r="N83" s="170">
        <f>IF(NOT(BOOT_MODE="Test 2"),"",IFERROR(SOFR_Curve($D$55,$A$58:$A$97,$B$58:$B$97,$A83,"T"),""))</f>
        <v/>
      </c>
      <c r="O83" s="167">
        <f>IF(NOT(BOOT_MODE="Test 2"),"",IFERROR(SOFR_Curve($D$55,$A$58:$A$97,$B$58:$B$97,$A83,"ZERO"),""))</f>
        <v/>
      </c>
      <c r="P83" s="89">
        <f>IF(OR(O83="",NOT(ISNUMBER(C83))),"",(O83-C83)*100)</f>
        <v/>
      </c>
      <c r="Q83" s="72">
        <f>IF(OR(M83="",NOT(ISNUMBER(D83))),"",M83-D83)</f>
        <v/>
      </c>
    </row>
    <row r="84">
      <c r="A84" s="68" t="n"/>
      <c r="B84" s="85" t="n"/>
      <c r="C84" s="85" t="n"/>
      <c r="D84" s="69" t="n"/>
      <c r="E84" s="112">
        <f>IF(OR(A84="",$D$56=""),"",IF(RIGHT(A84,1)="W",$D$56+7*VALUE(LEFT(A84,LEN(A84)-1)),IF(RIGHT(A84,1)="M",EDATE($D$56,VALUE(LEFT(A84,LEN(A84)-1))),EDATE($D$56,12*VALUE(LEFT(A84,LEN(A84)-1))))))</f>
        <v/>
      </c>
      <c r="F84" s="112">
        <f>IF(E84="","",IF(MONTH((E84+IF(WEEKDAY(E84,2)=6,2,IF(WEEKDAY(E84,2)=7,1,0))))&lt;&gt;MONTH(E84),(E84-IF(WEEKDAY(E84,2)=6,1,IF(WEEKDAY(E84,2)=7,2,0))),(E84+IF(WEEKDAY(E84,2)=6,2,IF(WEEKDAY(E84,2)=7,1,0)))))</f>
        <v/>
      </c>
      <c r="G84" s="167">
        <f>IF(NOT(BOOT_MODE="Test 2"),"",IFERROR(SOFR_Curve($D$55,$A$58:$A$97,$B$58:$B$97,$A84,"PAR"),""))</f>
        <v/>
      </c>
      <c r="H84" s="93">
        <f>IF(OR(NOT(BOOT_MODE="Test 2"),$A84=""),"","VBA SOFR_Curve()")</f>
        <v/>
      </c>
      <c r="I84" s="168">
        <f>IF(NOT(BOOT_MODE="Test 2"),"",IFERROR(SOFR_Curve($D$55,$A$58:$A$97,$B$58:$B$97,$A84,"DATE"),""))</f>
        <v/>
      </c>
      <c r="J84" s="76">
        <f>IF(OR(NOT(BOOT_MODE="Test 2"),I84="",F84=""),"",IF(INT(I84)=INT(F84),"ok","MISMATCH"))</f>
        <v/>
      </c>
      <c r="K84" s="76">
        <f>IF(NOT(BOOT_MODE="Test 2"),"",IFERROR(INDEX(BOOT_DF,MATCH(F84,BOOT_DATES,0)),""))</f>
        <v/>
      </c>
      <c r="L84" s="72">
        <f>IF(OR(M84="",K84=""),"",M84-K84)</f>
        <v/>
      </c>
      <c r="M84" s="169">
        <f>IF(NOT(BOOT_MODE="Test 2"),"",IFERROR(SOFR_Curve($D$55,$A$58:$A$97,$B$58:$B$97,$A84,"DF"),""))</f>
        <v/>
      </c>
      <c r="N84" s="170">
        <f>IF(NOT(BOOT_MODE="Test 2"),"",IFERROR(SOFR_Curve($D$55,$A$58:$A$97,$B$58:$B$97,$A84,"T"),""))</f>
        <v/>
      </c>
      <c r="O84" s="167">
        <f>IF(NOT(BOOT_MODE="Test 2"),"",IFERROR(SOFR_Curve($D$55,$A$58:$A$97,$B$58:$B$97,$A84,"ZERO"),""))</f>
        <v/>
      </c>
      <c r="P84" s="89">
        <f>IF(OR(O84="",NOT(ISNUMBER(C84))),"",(O84-C84)*100)</f>
        <v/>
      </c>
      <c r="Q84" s="72">
        <f>IF(OR(M84="",NOT(ISNUMBER(D84))),"",M84-D84)</f>
        <v/>
      </c>
    </row>
    <row r="85">
      <c r="A85" s="68" t="n"/>
      <c r="B85" s="85" t="n"/>
      <c r="C85" s="85" t="n"/>
      <c r="D85" s="69" t="n"/>
      <c r="E85" s="112">
        <f>IF(OR(A85="",$D$56=""),"",IF(RIGHT(A85,1)="W",$D$56+7*VALUE(LEFT(A85,LEN(A85)-1)),IF(RIGHT(A85,1)="M",EDATE($D$56,VALUE(LEFT(A85,LEN(A85)-1))),EDATE($D$56,12*VALUE(LEFT(A85,LEN(A85)-1))))))</f>
        <v/>
      </c>
      <c r="F85" s="112">
        <f>IF(E85="","",IF(MONTH((E85+IF(WEEKDAY(E85,2)=6,2,IF(WEEKDAY(E85,2)=7,1,0))))&lt;&gt;MONTH(E85),(E85-IF(WEEKDAY(E85,2)=6,1,IF(WEEKDAY(E85,2)=7,2,0))),(E85+IF(WEEKDAY(E85,2)=6,2,IF(WEEKDAY(E85,2)=7,1,0)))))</f>
        <v/>
      </c>
      <c r="G85" s="167">
        <f>IF(NOT(BOOT_MODE="Test 2"),"",IFERROR(SOFR_Curve($D$55,$A$58:$A$97,$B$58:$B$97,$A85,"PAR"),""))</f>
        <v/>
      </c>
      <c r="H85" s="93">
        <f>IF(OR(NOT(BOOT_MODE="Test 2"),$A85=""),"","VBA SOFR_Curve()")</f>
        <v/>
      </c>
      <c r="I85" s="168">
        <f>IF(NOT(BOOT_MODE="Test 2"),"",IFERROR(SOFR_Curve($D$55,$A$58:$A$97,$B$58:$B$97,$A85,"DATE"),""))</f>
        <v/>
      </c>
      <c r="J85" s="76">
        <f>IF(OR(NOT(BOOT_MODE="Test 2"),I85="",F85=""),"",IF(INT(I85)=INT(F85),"ok","MISMATCH"))</f>
        <v/>
      </c>
      <c r="K85" s="76">
        <f>IF(NOT(BOOT_MODE="Test 2"),"",IFERROR(INDEX(BOOT_DF,MATCH(F85,BOOT_DATES,0)),""))</f>
        <v/>
      </c>
      <c r="L85" s="72">
        <f>IF(OR(M85="",K85=""),"",M85-K85)</f>
        <v/>
      </c>
      <c r="M85" s="169">
        <f>IF(NOT(BOOT_MODE="Test 2"),"",IFERROR(SOFR_Curve($D$55,$A$58:$A$97,$B$58:$B$97,$A85,"DF"),""))</f>
        <v/>
      </c>
      <c r="N85" s="170">
        <f>IF(NOT(BOOT_MODE="Test 2"),"",IFERROR(SOFR_Curve($D$55,$A$58:$A$97,$B$58:$B$97,$A85,"T"),""))</f>
        <v/>
      </c>
      <c r="O85" s="167">
        <f>IF(NOT(BOOT_MODE="Test 2"),"",IFERROR(SOFR_Curve($D$55,$A$58:$A$97,$B$58:$B$97,$A85,"ZERO"),""))</f>
        <v/>
      </c>
      <c r="P85" s="89">
        <f>IF(OR(O85="",NOT(ISNUMBER(C85))),"",(O85-C85)*100)</f>
        <v/>
      </c>
      <c r="Q85" s="72">
        <f>IF(OR(M85="",NOT(ISNUMBER(D85))),"",M85-D85)</f>
        <v/>
      </c>
    </row>
    <row r="86">
      <c r="A86" s="68" t="n"/>
      <c r="B86" s="85" t="n"/>
      <c r="C86" s="85" t="n"/>
      <c r="D86" s="69" t="n"/>
      <c r="E86" s="112">
        <f>IF(OR(A86="",$D$56=""),"",IF(RIGHT(A86,1)="W",$D$56+7*VALUE(LEFT(A86,LEN(A86)-1)),IF(RIGHT(A86,1)="M",EDATE($D$56,VALUE(LEFT(A86,LEN(A86)-1))),EDATE($D$56,12*VALUE(LEFT(A86,LEN(A86)-1))))))</f>
        <v/>
      </c>
      <c r="F86" s="112">
        <f>IF(E86="","",IF(MONTH((E86+IF(WEEKDAY(E86,2)=6,2,IF(WEEKDAY(E86,2)=7,1,0))))&lt;&gt;MONTH(E86),(E86-IF(WEEKDAY(E86,2)=6,1,IF(WEEKDAY(E86,2)=7,2,0))),(E86+IF(WEEKDAY(E86,2)=6,2,IF(WEEKDAY(E86,2)=7,1,0)))))</f>
        <v/>
      </c>
      <c r="G86" s="167">
        <f>IF(NOT(BOOT_MODE="Test 2"),"",IFERROR(SOFR_Curve($D$55,$A$58:$A$97,$B$58:$B$97,$A86,"PAR"),""))</f>
        <v/>
      </c>
      <c r="H86" s="93">
        <f>IF(OR(NOT(BOOT_MODE="Test 2"),$A86=""),"","VBA SOFR_Curve()")</f>
        <v/>
      </c>
      <c r="I86" s="168">
        <f>IF(NOT(BOOT_MODE="Test 2"),"",IFERROR(SOFR_Curve($D$55,$A$58:$A$97,$B$58:$B$97,$A86,"DATE"),""))</f>
        <v/>
      </c>
      <c r="J86" s="76">
        <f>IF(OR(NOT(BOOT_MODE="Test 2"),I86="",F86=""),"",IF(INT(I86)=INT(F86),"ok","MISMATCH"))</f>
        <v/>
      </c>
      <c r="K86" s="76">
        <f>IF(NOT(BOOT_MODE="Test 2"),"",IFERROR(INDEX(BOOT_DF,MATCH(F86,BOOT_DATES,0)),""))</f>
        <v/>
      </c>
      <c r="L86" s="72">
        <f>IF(OR(M86="",K86=""),"",M86-K86)</f>
        <v/>
      </c>
      <c r="M86" s="169">
        <f>IF(NOT(BOOT_MODE="Test 2"),"",IFERROR(SOFR_Curve($D$55,$A$58:$A$97,$B$58:$B$97,$A86,"DF"),""))</f>
        <v/>
      </c>
      <c r="N86" s="170">
        <f>IF(NOT(BOOT_MODE="Test 2"),"",IFERROR(SOFR_Curve($D$55,$A$58:$A$97,$B$58:$B$97,$A86,"T"),""))</f>
        <v/>
      </c>
      <c r="O86" s="167">
        <f>IF(NOT(BOOT_MODE="Test 2"),"",IFERROR(SOFR_Curve($D$55,$A$58:$A$97,$B$58:$B$97,$A86,"ZERO"),""))</f>
        <v/>
      </c>
      <c r="P86" s="89">
        <f>IF(OR(O86="",NOT(ISNUMBER(C86))),"",(O86-C86)*100)</f>
        <v/>
      </c>
      <c r="Q86" s="72">
        <f>IF(OR(M86="",NOT(ISNUMBER(D86))),"",M86-D86)</f>
        <v/>
      </c>
    </row>
    <row r="87">
      <c r="A87" s="68" t="n"/>
      <c r="B87" s="85" t="n"/>
      <c r="C87" s="85" t="n"/>
      <c r="D87" s="69" t="n"/>
      <c r="E87" s="112">
        <f>IF(OR(A87="",$D$56=""),"",IF(RIGHT(A87,1)="W",$D$56+7*VALUE(LEFT(A87,LEN(A87)-1)),IF(RIGHT(A87,1)="M",EDATE($D$56,VALUE(LEFT(A87,LEN(A87)-1))),EDATE($D$56,12*VALUE(LEFT(A87,LEN(A87)-1))))))</f>
        <v/>
      </c>
      <c r="F87" s="112">
        <f>IF(E87="","",IF(MONTH((E87+IF(WEEKDAY(E87,2)=6,2,IF(WEEKDAY(E87,2)=7,1,0))))&lt;&gt;MONTH(E87),(E87-IF(WEEKDAY(E87,2)=6,1,IF(WEEKDAY(E87,2)=7,2,0))),(E87+IF(WEEKDAY(E87,2)=6,2,IF(WEEKDAY(E87,2)=7,1,0)))))</f>
        <v/>
      </c>
      <c r="G87" s="167">
        <f>IF(NOT(BOOT_MODE="Test 2"),"",IFERROR(SOFR_Curve($D$55,$A$58:$A$97,$B$58:$B$97,$A87,"PAR"),""))</f>
        <v/>
      </c>
      <c r="H87" s="93">
        <f>IF(OR(NOT(BOOT_MODE="Test 2"),$A87=""),"","VBA SOFR_Curve()")</f>
        <v/>
      </c>
      <c r="I87" s="168">
        <f>IF(NOT(BOOT_MODE="Test 2"),"",IFERROR(SOFR_Curve($D$55,$A$58:$A$97,$B$58:$B$97,$A87,"DATE"),""))</f>
        <v/>
      </c>
      <c r="J87" s="76">
        <f>IF(OR(NOT(BOOT_MODE="Test 2"),I87="",F87=""),"",IF(INT(I87)=INT(F87),"ok","MISMATCH"))</f>
        <v/>
      </c>
      <c r="K87" s="76">
        <f>IF(NOT(BOOT_MODE="Test 2"),"",IFERROR(INDEX(BOOT_DF,MATCH(F87,BOOT_DATES,0)),""))</f>
        <v/>
      </c>
      <c r="L87" s="72">
        <f>IF(OR(M87="",K87=""),"",M87-K87)</f>
        <v/>
      </c>
      <c r="M87" s="169">
        <f>IF(NOT(BOOT_MODE="Test 2"),"",IFERROR(SOFR_Curve($D$55,$A$58:$A$97,$B$58:$B$97,$A87,"DF"),""))</f>
        <v/>
      </c>
      <c r="N87" s="170">
        <f>IF(NOT(BOOT_MODE="Test 2"),"",IFERROR(SOFR_Curve($D$55,$A$58:$A$97,$B$58:$B$97,$A87,"T"),""))</f>
        <v/>
      </c>
      <c r="O87" s="167">
        <f>IF(NOT(BOOT_MODE="Test 2"),"",IFERROR(SOFR_Curve($D$55,$A$58:$A$97,$B$58:$B$97,$A87,"ZERO"),""))</f>
        <v/>
      </c>
      <c r="P87" s="89">
        <f>IF(OR(O87="",NOT(ISNUMBER(C87))),"",(O87-C87)*100)</f>
        <v/>
      </c>
      <c r="Q87" s="72">
        <f>IF(OR(M87="",NOT(ISNUMBER(D87))),"",M87-D87)</f>
        <v/>
      </c>
    </row>
    <row r="88">
      <c r="A88" s="68" t="n"/>
      <c r="B88" s="85" t="n"/>
      <c r="C88" s="85" t="n"/>
      <c r="D88" s="69" t="n"/>
      <c r="E88" s="112">
        <f>IF(OR(A88="",$D$56=""),"",IF(RIGHT(A88,1)="W",$D$56+7*VALUE(LEFT(A88,LEN(A88)-1)),IF(RIGHT(A88,1)="M",EDATE($D$56,VALUE(LEFT(A88,LEN(A88)-1))),EDATE($D$56,12*VALUE(LEFT(A88,LEN(A88)-1))))))</f>
        <v/>
      </c>
      <c r="F88" s="112">
        <f>IF(E88="","",IF(MONTH((E88+IF(WEEKDAY(E88,2)=6,2,IF(WEEKDAY(E88,2)=7,1,0))))&lt;&gt;MONTH(E88),(E88-IF(WEEKDAY(E88,2)=6,1,IF(WEEKDAY(E88,2)=7,2,0))),(E88+IF(WEEKDAY(E88,2)=6,2,IF(WEEKDAY(E88,2)=7,1,0)))))</f>
        <v/>
      </c>
      <c r="G88" s="167">
        <f>IF(NOT(BOOT_MODE="Test 2"),"",IFERROR(SOFR_Curve($D$55,$A$58:$A$97,$B$58:$B$97,$A88,"PAR"),""))</f>
        <v/>
      </c>
      <c r="H88" s="93">
        <f>IF(OR(NOT(BOOT_MODE="Test 2"),$A88=""),"","VBA SOFR_Curve()")</f>
        <v/>
      </c>
      <c r="I88" s="168">
        <f>IF(NOT(BOOT_MODE="Test 2"),"",IFERROR(SOFR_Curve($D$55,$A$58:$A$97,$B$58:$B$97,$A88,"DATE"),""))</f>
        <v/>
      </c>
      <c r="J88" s="76">
        <f>IF(OR(NOT(BOOT_MODE="Test 2"),I88="",F88=""),"",IF(INT(I88)=INT(F88),"ok","MISMATCH"))</f>
        <v/>
      </c>
      <c r="K88" s="76">
        <f>IF(NOT(BOOT_MODE="Test 2"),"",IFERROR(INDEX(BOOT_DF,MATCH(F88,BOOT_DATES,0)),""))</f>
        <v/>
      </c>
      <c r="L88" s="72">
        <f>IF(OR(M88="",K88=""),"",M88-K88)</f>
        <v/>
      </c>
      <c r="M88" s="169">
        <f>IF(NOT(BOOT_MODE="Test 2"),"",IFERROR(SOFR_Curve($D$55,$A$58:$A$97,$B$58:$B$97,$A88,"DF"),""))</f>
        <v/>
      </c>
      <c r="N88" s="170">
        <f>IF(NOT(BOOT_MODE="Test 2"),"",IFERROR(SOFR_Curve($D$55,$A$58:$A$97,$B$58:$B$97,$A88,"T"),""))</f>
        <v/>
      </c>
      <c r="O88" s="167">
        <f>IF(NOT(BOOT_MODE="Test 2"),"",IFERROR(SOFR_Curve($D$55,$A$58:$A$97,$B$58:$B$97,$A88,"ZERO"),""))</f>
        <v/>
      </c>
      <c r="P88" s="89">
        <f>IF(OR(O88="",NOT(ISNUMBER(C88))),"",(O88-C88)*100)</f>
        <v/>
      </c>
      <c r="Q88" s="72">
        <f>IF(OR(M88="",NOT(ISNUMBER(D88))),"",M88-D88)</f>
        <v/>
      </c>
    </row>
    <row r="89">
      <c r="A89" s="68" t="n"/>
      <c r="B89" s="85" t="n"/>
      <c r="C89" s="85" t="n"/>
      <c r="D89" s="69" t="n"/>
      <c r="E89" s="112">
        <f>IF(OR(A89="",$D$56=""),"",IF(RIGHT(A89,1)="W",$D$56+7*VALUE(LEFT(A89,LEN(A89)-1)),IF(RIGHT(A89,1)="M",EDATE($D$56,VALUE(LEFT(A89,LEN(A89)-1))),EDATE($D$56,12*VALUE(LEFT(A89,LEN(A89)-1))))))</f>
        <v/>
      </c>
      <c r="F89" s="112">
        <f>IF(E89="","",IF(MONTH((E89+IF(WEEKDAY(E89,2)=6,2,IF(WEEKDAY(E89,2)=7,1,0))))&lt;&gt;MONTH(E89),(E89-IF(WEEKDAY(E89,2)=6,1,IF(WEEKDAY(E89,2)=7,2,0))),(E89+IF(WEEKDAY(E89,2)=6,2,IF(WEEKDAY(E89,2)=7,1,0)))))</f>
        <v/>
      </c>
      <c r="G89" s="167">
        <f>IF(NOT(BOOT_MODE="Test 2"),"",IFERROR(SOFR_Curve($D$55,$A$58:$A$97,$B$58:$B$97,$A89,"PAR"),""))</f>
        <v/>
      </c>
      <c r="H89" s="93">
        <f>IF(OR(NOT(BOOT_MODE="Test 2"),$A89=""),"","VBA SOFR_Curve()")</f>
        <v/>
      </c>
      <c r="I89" s="168">
        <f>IF(NOT(BOOT_MODE="Test 2"),"",IFERROR(SOFR_Curve($D$55,$A$58:$A$97,$B$58:$B$97,$A89,"DATE"),""))</f>
        <v/>
      </c>
      <c r="J89" s="76">
        <f>IF(OR(NOT(BOOT_MODE="Test 2"),I89="",F89=""),"",IF(INT(I89)=INT(F89),"ok","MISMATCH"))</f>
        <v/>
      </c>
      <c r="K89" s="76">
        <f>IF(NOT(BOOT_MODE="Test 2"),"",IFERROR(INDEX(BOOT_DF,MATCH(F89,BOOT_DATES,0)),""))</f>
        <v/>
      </c>
      <c r="L89" s="72">
        <f>IF(OR(M89="",K89=""),"",M89-K89)</f>
        <v/>
      </c>
      <c r="M89" s="169">
        <f>IF(NOT(BOOT_MODE="Test 2"),"",IFERROR(SOFR_Curve($D$55,$A$58:$A$97,$B$58:$B$97,$A89,"DF"),""))</f>
        <v/>
      </c>
      <c r="N89" s="170">
        <f>IF(NOT(BOOT_MODE="Test 2"),"",IFERROR(SOFR_Curve($D$55,$A$58:$A$97,$B$58:$B$97,$A89,"T"),""))</f>
        <v/>
      </c>
      <c r="O89" s="167">
        <f>IF(NOT(BOOT_MODE="Test 2"),"",IFERROR(SOFR_Curve($D$55,$A$58:$A$97,$B$58:$B$97,$A89,"ZERO"),""))</f>
        <v/>
      </c>
      <c r="P89" s="89">
        <f>IF(OR(O89="",NOT(ISNUMBER(C89))),"",(O89-C89)*100)</f>
        <v/>
      </c>
      <c r="Q89" s="72">
        <f>IF(OR(M89="",NOT(ISNUMBER(D89))),"",M89-D89)</f>
        <v/>
      </c>
    </row>
    <row r="90">
      <c r="A90" s="68" t="n"/>
      <c r="B90" s="85" t="n"/>
      <c r="C90" s="85" t="n"/>
      <c r="D90" s="69" t="n"/>
      <c r="E90" s="112">
        <f>IF(OR(A90="",$D$56=""),"",IF(RIGHT(A90,1)="W",$D$56+7*VALUE(LEFT(A90,LEN(A90)-1)),IF(RIGHT(A90,1)="M",EDATE($D$56,VALUE(LEFT(A90,LEN(A90)-1))),EDATE($D$56,12*VALUE(LEFT(A90,LEN(A90)-1))))))</f>
        <v/>
      </c>
      <c r="F90" s="112">
        <f>IF(E90="","",IF(MONTH((E90+IF(WEEKDAY(E90,2)=6,2,IF(WEEKDAY(E90,2)=7,1,0))))&lt;&gt;MONTH(E90),(E90-IF(WEEKDAY(E90,2)=6,1,IF(WEEKDAY(E90,2)=7,2,0))),(E90+IF(WEEKDAY(E90,2)=6,2,IF(WEEKDAY(E90,2)=7,1,0)))))</f>
        <v/>
      </c>
      <c r="G90" s="167">
        <f>IF(NOT(BOOT_MODE="Test 2"),"",IFERROR(SOFR_Curve($D$55,$A$58:$A$97,$B$58:$B$97,$A90,"PAR"),""))</f>
        <v/>
      </c>
      <c r="H90" s="93">
        <f>IF(OR(NOT(BOOT_MODE="Test 2"),$A90=""),"","VBA SOFR_Curve()")</f>
        <v/>
      </c>
      <c r="I90" s="168">
        <f>IF(NOT(BOOT_MODE="Test 2"),"",IFERROR(SOFR_Curve($D$55,$A$58:$A$97,$B$58:$B$97,$A90,"DATE"),""))</f>
        <v/>
      </c>
      <c r="J90" s="76">
        <f>IF(OR(NOT(BOOT_MODE="Test 2"),I90="",F90=""),"",IF(INT(I90)=INT(F90),"ok","MISMATCH"))</f>
        <v/>
      </c>
      <c r="K90" s="76">
        <f>IF(NOT(BOOT_MODE="Test 2"),"",IFERROR(INDEX(BOOT_DF,MATCH(F90,BOOT_DATES,0)),""))</f>
        <v/>
      </c>
      <c r="L90" s="72">
        <f>IF(OR(M90="",K90=""),"",M90-K90)</f>
        <v/>
      </c>
      <c r="M90" s="169">
        <f>IF(NOT(BOOT_MODE="Test 2"),"",IFERROR(SOFR_Curve($D$55,$A$58:$A$97,$B$58:$B$97,$A90,"DF"),""))</f>
        <v/>
      </c>
      <c r="N90" s="170">
        <f>IF(NOT(BOOT_MODE="Test 2"),"",IFERROR(SOFR_Curve($D$55,$A$58:$A$97,$B$58:$B$97,$A90,"T"),""))</f>
        <v/>
      </c>
      <c r="O90" s="167">
        <f>IF(NOT(BOOT_MODE="Test 2"),"",IFERROR(SOFR_Curve($D$55,$A$58:$A$97,$B$58:$B$97,$A90,"ZERO"),""))</f>
        <v/>
      </c>
      <c r="P90" s="89">
        <f>IF(OR(O90="",NOT(ISNUMBER(C90))),"",(O90-C90)*100)</f>
        <v/>
      </c>
      <c r="Q90" s="72">
        <f>IF(OR(M90="",NOT(ISNUMBER(D90))),"",M90-D90)</f>
        <v/>
      </c>
    </row>
    <row r="91">
      <c r="A91" s="68" t="n"/>
      <c r="B91" s="85" t="n"/>
      <c r="C91" s="85" t="n"/>
      <c r="D91" s="69" t="n"/>
      <c r="E91" s="112">
        <f>IF(OR(A91="",$D$56=""),"",IF(RIGHT(A91,1)="W",$D$56+7*VALUE(LEFT(A91,LEN(A91)-1)),IF(RIGHT(A91,1)="M",EDATE($D$56,VALUE(LEFT(A91,LEN(A91)-1))),EDATE($D$56,12*VALUE(LEFT(A91,LEN(A91)-1))))))</f>
        <v/>
      </c>
      <c r="F91" s="112">
        <f>IF(E91="","",IF(MONTH((E91+IF(WEEKDAY(E91,2)=6,2,IF(WEEKDAY(E91,2)=7,1,0))))&lt;&gt;MONTH(E91),(E91-IF(WEEKDAY(E91,2)=6,1,IF(WEEKDAY(E91,2)=7,2,0))),(E91+IF(WEEKDAY(E91,2)=6,2,IF(WEEKDAY(E91,2)=7,1,0)))))</f>
        <v/>
      </c>
      <c r="G91" s="167">
        <f>IF(NOT(BOOT_MODE="Test 2"),"",IFERROR(SOFR_Curve($D$55,$A$58:$A$97,$B$58:$B$97,$A91,"PAR"),""))</f>
        <v/>
      </c>
      <c r="H91" s="93">
        <f>IF(OR(NOT(BOOT_MODE="Test 2"),$A91=""),"","VBA SOFR_Curve()")</f>
        <v/>
      </c>
      <c r="I91" s="168">
        <f>IF(NOT(BOOT_MODE="Test 2"),"",IFERROR(SOFR_Curve($D$55,$A$58:$A$97,$B$58:$B$97,$A91,"DATE"),""))</f>
        <v/>
      </c>
      <c r="J91" s="76">
        <f>IF(OR(NOT(BOOT_MODE="Test 2"),I91="",F91=""),"",IF(INT(I91)=INT(F91),"ok","MISMATCH"))</f>
        <v/>
      </c>
      <c r="K91" s="76">
        <f>IF(NOT(BOOT_MODE="Test 2"),"",IFERROR(INDEX(BOOT_DF,MATCH(F91,BOOT_DATES,0)),""))</f>
        <v/>
      </c>
      <c r="L91" s="72">
        <f>IF(OR(M91="",K91=""),"",M91-K91)</f>
        <v/>
      </c>
      <c r="M91" s="169">
        <f>IF(NOT(BOOT_MODE="Test 2"),"",IFERROR(SOFR_Curve($D$55,$A$58:$A$97,$B$58:$B$97,$A91,"DF"),""))</f>
        <v/>
      </c>
      <c r="N91" s="170">
        <f>IF(NOT(BOOT_MODE="Test 2"),"",IFERROR(SOFR_Curve($D$55,$A$58:$A$97,$B$58:$B$97,$A91,"T"),""))</f>
        <v/>
      </c>
      <c r="O91" s="167">
        <f>IF(NOT(BOOT_MODE="Test 2"),"",IFERROR(SOFR_Curve($D$55,$A$58:$A$97,$B$58:$B$97,$A91,"ZERO"),""))</f>
        <v/>
      </c>
      <c r="P91" s="89">
        <f>IF(OR(O91="",NOT(ISNUMBER(C91))),"",(O91-C91)*100)</f>
        <v/>
      </c>
      <c r="Q91" s="72">
        <f>IF(OR(M91="",NOT(ISNUMBER(D91))),"",M91-D91)</f>
        <v/>
      </c>
    </row>
    <row r="92">
      <c r="A92" s="68" t="n"/>
      <c r="B92" s="85" t="n"/>
      <c r="C92" s="85" t="n"/>
      <c r="D92" s="69" t="n"/>
      <c r="E92" s="112">
        <f>IF(OR(A92="",$D$56=""),"",IF(RIGHT(A92,1)="W",$D$56+7*VALUE(LEFT(A92,LEN(A92)-1)),IF(RIGHT(A92,1)="M",EDATE($D$56,VALUE(LEFT(A92,LEN(A92)-1))),EDATE($D$56,12*VALUE(LEFT(A92,LEN(A92)-1))))))</f>
        <v/>
      </c>
      <c r="F92" s="112">
        <f>IF(E92="","",IF(MONTH((E92+IF(WEEKDAY(E92,2)=6,2,IF(WEEKDAY(E92,2)=7,1,0))))&lt;&gt;MONTH(E92),(E92-IF(WEEKDAY(E92,2)=6,1,IF(WEEKDAY(E92,2)=7,2,0))),(E92+IF(WEEKDAY(E92,2)=6,2,IF(WEEKDAY(E92,2)=7,1,0)))))</f>
        <v/>
      </c>
      <c r="G92" s="167">
        <f>IF(NOT(BOOT_MODE="Test 2"),"",IFERROR(SOFR_Curve($D$55,$A$58:$A$97,$B$58:$B$97,$A92,"PAR"),""))</f>
        <v/>
      </c>
      <c r="H92" s="93">
        <f>IF(OR(NOT(BOOT_MODE="Test 2"),$A92=""),"","VBA SOFR_Curve()")</f>
        <v/>
      </c>
      <c r="I92" s="168">
        <f>IF(NOT(BOOT_MODE="Test 2"),"",IFERROR(SOFR_Curve($D$55,$A$58:$A$97,$B$58:$B$97,$A92,"DATE"),""))</f>
        <v/>
      </c>
      <c r="J92" s="76">
        <f>IF(OR(NOT(BOOT_MODE="Test 2"),I92="",F92=""),"",IF(INT(I92)=INT(F92),"ok","MISMATCH"))</f>
        <v/>
      </c>
      <c r="K92" s="76">
        <f>IF(NOT(BOOT_MODE="Test 2"),"",IFERROR(INDEX(BOOT_DF,MATCH(F92,BOOT_DATES,0)),""))</f>
        <v/>
      </c>
      <c r="L92" s="72">
        <f>IF(OR(M92="",K92=""),"",M92-K92)</f>
        <v/>
      </c>
      <c r="M92" s="169">
        <f>IF(NOT(BOOT_MODE="Test 2"),"",IFERROR(SOFR_Curve($D$55,$A$58:$A$97,$B$58:$B$97,$A92,"DF"),""))</f>
        <v/>
      </c>
      <c r="N92" s="170">
        <f>IF(NOT(BOOT_MODE="Test 2"),"",IFERROR(SOFR_Curve($D$55,$A$58:$A$97,$B$58:$B$97,$A92,"T"),""))</f>
        <v/>
      </c>
      <c r="O92" s="167">
        <f>IF(NOT(BOOT_MODE="Test 2"),"",IFERROR(SOFR_Curve($D$55,$A$58:$A$97,$B$58:$B$97,$A92,"ZERO"),""))</f>
        <v/>
      </c>
      <c r="P92" s="89">
        <f>IF(OR(O92="",NOT(ISNUMBER(C92))),"",(O92-C92)*100)</f>
        <v/>
      </c>
      <c r="Q92" s="72">
        <f>IF(OR(M92="",NOT(ISNUMBER(D92))),"",M92-D92)</f>
        <v/>
      </c>
    </row>
    <row r="93">
      <c r="A93" s="68" t="n"/>
      <c r="B93" s="85" t="n"/>
      <c r="C93" s="85" t="n"/>
      <c r="D93" s="69" t="n"/>
      <c r="E93" s="112">
        <f>IF(OR(A93="",$D$56=""),"",IF(RIGHT(A93,1)="W",$D$56+7*VALUE(LEFT(A93,LEN(A93)-1)),IF(RIGHT(A93,1)="M",EDATE($D$56,VALUE(LEFT(A93,LEN(A93)-1))),EDATE($D$56,12*VALUE(LEFT(A93,LEN(A93)-1))))))</f>
        <v/>
      </c>
      <c r="F93" s="112">
        <f>IF(E93="","",IF(MONTH((E93+IF(WEEKDAY(E93,2)=6,2,IF(WEEKDAY(E93,2)=7,1,0))))&lt;&gt;MONTH(E93),(E93-IF(WEEKDAY(E93,2)=6,1,IF(WEEKDAY(E93,2)=7,2,0))),(E93+IF(WEEKDAY(E93,2)=6,2,IF(WEEKDAY(E93,2)=7,1,0)))))</f>
        <v/>
      </c>
      <c r="G93" s="167">
        <f>IF(NOT(BOOT_MODE="Test 2"),"",IFERROR(SOFR_Curve($D$55,$A$58:$A$97,$B$58:$B$97,$A93,"PAR"),""))</f>
        <v/>
      </c>
      <c r="H93" s="93">
        <f>IF(OR(NOT(BOOT_MODE="Test 2"),$A93=""),"","VBA SOFR_Curve()")</f>
        <v/>
      </c>
      <c r="I93" s="168">
        <f>IF(NOT(BOOT_MODE="Test 2"),"",IFERROR(SOFR_Curve($D$55,$A$58:$A$97,$B$58:$B$97,$A93,"DATE"),""))</f>
        <v/>
      </c>
      <c r="J93" s="76">
        <f>IF(OR(NOT(BOOT_MODE="Test 2"),I93="",F93=""),"",IF(INT(I93)=INT(F93),"ok","MISMATCH"))</f>
        <v/>
      </c>
      <c r="K93" s="76">
        <f>IF(NOT(BOOT_MODE="Test 2"),"",IFERROR(INDEX(BOOT_DF,MATCH(F93,BOOT_DATES,0)),""))</f>
        <v/>
      </c>
      <c r="L93" s="72">
        <f>IF(OR(M93="",K93=""),"",M93-K93)</f>
        <v/>
      </c>
      <c r="M93" s="169">
        <f>IF(NOT(BOOT_MODE="Test 2"),"",IFERROR(SOFR_Curve($D$55,$A$58:$A$97,$B$58:$B$97,$A93,"DF"),""))</f>
        <v/>
      </c>
      <c r="N93" s="170">
        <f>IF(NOT(BOOT_MODE="Test 2"),"",IFERROR(SOFR_Curve($D$55,$A$58:$A$97,$B$58:$B$97,$A93,"T"),""))</f>
        <v/>
      </c>
      <c r="O93" s="167">
        <f>IF(NOT(BOOT_MODE="Test 2"),"",IFERROR(SOFR_Curve($D$55,$A$58:$A$97,$B$58:$B$97,$A93,"ZERO"),""))</f>
        <v/>
      </c>
      <c r="P93" s="89">
        <f>IF(OR(O93="",NOT(ISNUMBER(C93))),"",(O93-C93)*100)</f>
        <v/>
      </c>
      <c r="Q93" s="72">
        <f>IF(OR(M93="",NOT(ISNUMBER(D93))),"",M93-D93)</f>
        <v/>
      </c>
    </row>
    <row r="94">
      <c r="A94" s="68" t="n"/>
      <c r="B94" s="85" t="n"/>
      <c r="C94" s="85" t="n"/>
      <c r="D94" s="69" t="n"/>
      <c r="E94" s="112">
        <f>IF(OR(A94="",$D$56=""),"",IF(RIGHT(A94,1)="W",$D$56+7*VALUE(LEFT(A94,LEN(A94)-1)),IF(RIGHT(A94,1)="M",EDATE($D$56,VALUE(LEFT(A94,LEN(A94)-1))),EDATE($D$56,12*VALUE(LEFT(A94,LEN(A94)-1))))))</f>
        <v/>
      </c>
      <c r="F94" s="112">
        <f>IF(E94="","",IF(MONTH((E94+IF(WEEKDAY(E94,2)=6,2,IF(WEEKDAY(E94,2)=7,1,0))))&lt;&gt;MONTH(E94),(E94-IF(WEEKDAY(E94,2)=6,1,IF(WEEKDAY(E94,2)=7,2,0))),(E94+IF(WEEKDAY(E94,2)=6,2,IF(WEEKDAY(E94,2)=7,1,0)))))</f>
        <v/>
      </c>
      <c r="G94" s="167">
        <f>IF(NOT(BOOT_MODE="Test 2"),"",IFERROR(SOFR_Curve($D$55,$A$58:$A$97,$B$58:$B$97,$A94,"PAR"),""))</f>
        <v/>
      </c>
      <c r="H94" s="93">
        <f>IF(OR(NOT(BOOT_MODE="Test 2"),$A94=""),"","VBA SOFR_Curve()")</f>
        <v/>
      </c>
      <c r="I94" s="168">
        <f>IF(NOT(BOOT_MODE="Test 2"),"",IFERROR(SOFR_Curve($D$55,$A$58:$A$97,$B$58:$B$97,$A94,"DATE"),""))</f>
        <v/>
      </c>
      <c r="J94" s="76">
        <f>IF(OR(NOT(BOOT_MODE="Test 2"),I94="",F94=""),"",IF(INT(I94)=INT(F94),"ok","MISMATCH"))</f>
        <v/>
      </c>
      <c r="K94" s="76">
        <f>IF(NOT(BOOT_MODE="Test 2"),"",IFERROR(INDEX(BOOT_DF,MATCH(F94,BOOT_DATES,0)),""))</f>
        <v/>
      </c>
      <c r="L94" s="72">
        <f>IF(OR(M94="",K94=""),"",M94-K94)</f>
        <v/>
      </c>
      <c r="M94" s="169">
        <f>IF(NOT(BOOT_MODE="Test 2"),"",IFERROR(SOFR_Curve($D$55,$A$58:$A$97,$B$58:$B$97,$A94,"DF"),""))</f>
        <v/>
      </c>
      <c r="N94" s="170">
        <f>IF(NOT(BOOT_MODE="Test 2"),"",IFERROR(SOFR_Curve($D$55,$A$58:$A$97,$B$58:$B$97,$A94,"T"),""))</f>
        <v/>
      </c>
      <c r="O94" s="167">
        <f>IF(NOT(BOOT_MODE="Test 2"),"",IFERROR(SOFR_Curve($D$55,$A$58:$A$97,$B$58:$B$97,$A94,"ZERO"),""))</f>
        <v/>
      </c>
      <c r="P94" s="89">
        <f>IF(OR(O94="",NOT(ISNUMBER(C94))),"",(O94-C94)*100)</f>
        <v/>
      </c>
      <c r="Q94" s="72">
        <f>IF(OR(M94="",NOT(ISNUMBER(D94))),"",M94-D94)</f>
        <v/>
      </c>
    </row>
    <row r="95">
      <c r="A95" s="68" t="n"/>
      <c r="B95" s="85" t="n"/>
      <c r="C95" s="85" t="n"/>
      <c r="D95" s="69" t="n"/>
      <c r="E95" s="112">
        <f>IF(OR(A95="",$D$56=""),"",IF(RIGHT(A95,1)="W",$D$56+7*VALUE(LEFT(A95,LEN(A95)-1)),IF(RIGHT(A95,1)="M",EDATE($D$56,VALUE(LEFT(A95,LEN(A95)-1))),EDATE($D$56,12*VALUE(LEFT(A95,LEN(A95)-1))))))</f>
        <v/>
      </c>
      <c r="F95" s="112">
        <f>IF(E95="","",IF(MONTH((E95+IF(WEEKDAY(E95,2)=6,2,IF(WEEKDAY(E95,2)=7,1,0))))&lt;&gt;MONTH(E95),(E95-IF(WEEKDAY(E95,2)=6,1,IF(WEEKDAY(E95,2)=7,2,0))),(E95+IF(WEEKDAY(E95,2)=6,2,IF(WEEKDAY(E95,2)=7,1,0)))))</f>
        <v/>
      </c>
      <c r="G95" s="167">
        <f>IF(NOT(BOOT_MODE="Test 2"),"",IFERROR(SOFR_Curve($D$55,$A$58:$A$97,$B$58:$B$97,$A95,"PAR"),""))</f>
        <v/>
      </c>
      <c r="H95" s="93">
        <f>IF(OR(NOT(BOOT_MODE="Test 2"),$A95=""),"","VBA SOFR_Curve()")</f>
        <v/>
      </c>
      <c r="I95" s="168">
        <f>IF(NOT(BOOT_MODE="Test 2"),"",IFERROR(SOFR_Curve($D$55,$A$58:$A$97,$B$58:$B$97,$A95,"DATE"),""))</f>
        <v/>
      </c>
      <c r="J95" s="76">
        <f>IF(OR(NOT(BOOT_MODE="Test 2"),I95="",F95=""),"",IF(INT(I95)=INT(F95),"ok","MISMATCH"))</f>
        <v/>
      </c>
      <c r="K95" s="76">
        <f>IF(NOT(BOOT_MODE="Test 2"),"",IFERROR(INDEX(BOOT_DF,MATCH(F95,BOOT_DATES,0)),""))</f>
        <v/>
      </c>
      <c r="L95" s="72">
        <f>IF(OR(M95="",K95=""),"",M95-K95)</f>
        <v/>
      </c>
      <c r="M95" s="169">
        <f>IF(NOT(BOOT_MODE="Test 2"),"",IFERROR(SOFR_Curve($D$55,$A$58:$A$97,$B$58:$B$97,$A95,"DF"),""))</f>
        <v/>
      </c>
      <c r="N95" s="170">
        <f>IF(NOT(BOOT_MODE="Test 2"),"",IFERROR(SOFR_Curve($D$55,$A$58:$A$97,$B$58:$B$97,$A95,"T"),""))</f>
        <v/>
      </c>
      <c r="O95" s="167">
        <f>IF(NOT(BOOT_MODE="Test 2"),"",IFERROR(SOFR_Curve($D$55,$A$58:$A$97,$B$58:$B$97,$A95,"ZERO"),""))</f>
        <v/>
      </c>
      <c r="P95" s="89">
        <f>IF(OR(O95="",NOT(ISNUMBER(C95))),"",(O95-C95)*100)</f>
        <v/>
      </c>
      <c r="Q95" s="72">
        <f>IF(OR(M95="",NOT(ISNUMBER(D95))),"",M95-D95)</f>
        <v/>
      </c>
    </row>
    <row r="96">
      <c r="A96" s="68" t="n"/>
      <c r="B96" s="85" t="n"/>
      <c r="C96" s="85" t="n"/>
      <c r="D96" s="69" t="n"/>
      <c r="E96" s="112">
        <f>IF(OR(A96="",$D$56=""),"",IF(RIGHT(A96,1)="W",$D$56+7*VALUE(LEFT(A96,LEN(A96)-1)),IF(RIGHT(A96,1)="M",EDATE($D$56,VALUE(LEFT(A96,LEN(A96)-1))),EDATE($D$56,12*VALUE(LEFT(A96,LEN(A96)-1))))))</f>
        <v/>
      </c>
      <c r="F96" s="112">
        <f>IF(E96="","",IF(MONTH((E96+IF(WEEKDAY(E96,2)=6,2,IF(WEEKDAY(E96,2)=7,1,0))))&lt;&gt;MONTH(E96),(E96-IF(WEEKDAY(E96,2)=6,1,IF(WEEKDAY(E96,2)=7,2,0))),(E96+IF(WEEKDAY(E96,2)=6,2,IF(WEEKDAY(E96,2)=7,1,0)))))</f>
        <v/>
      </c>
      <c r="G96" s="167">
        <f>IF(NOT(BOOT_MODE="Test 2"),"",IFERROR(SOFR_Curve($D$55,$A$58:$A$97,$B$58:$B$97,$A96,"PAR"),""))</f>
        <v/>
      </c>
      <c r="H96" s="93">
        <f>IF(OR(NOT(BOOT_MODE="Test 2"),$A96=""),"","VBA SOFR_Curve()")</f>
        <v/>
      </c>
      <c r="I96" s="168">
        <f>IF(NOT(BOOT_MODE="Test 2"),"",IFERROR(SOFR_Curve($D$55,$A$58:$A$97,$B$58:$B$97,$A96,"DATE"),""))</f>
        <v/>
      </c>
      <c r="J96" s="76">
        <f>IF(OR(NOT(BOOT_MODE="Test 2"),I96="",F96=""),"",IF(INT(I96)=INT(F96),"ok","MISMATCH"))</f>
        <v/>
      </c>
      <c r="K96" s="76">
        <f>IF(NOT(BOOT_MODE="Test 2"),"",IFERROR(INDEX(BOOT_DF,MATCH(F96,BOOT_DATES,0)),""))</f>
        <v/>
      </c>
      <c r="L96" s="72">
        <f>IF(OR(M96="",K96=""),"",M96-K96)</f>
        <v/>
      </c>
      <c r="M96" s="169">
        <f>IF(NOT(BOOT_MODE="Test 2"),"",IFERROR(SOFR_Curve($D$55,$A$58:$A$97,$B$58:$B$97,$A96,"DF"),""))</f>
        <v/>
      </c>
      <c r="N96" s="170">
        <f>IF(NOT(BOOT_MODE="Test 2"),"",IFERROR(SOFR_Curve($D$55,$A$58:$A$97,$B$58:$B$97,$A96,"T"),""))</f>
        <v/>
      </c>
      <c r="O96" s="167">
        <f>IF(NOT(BOOT_MODE="Test 2"),"",IFERROR(SOFR_Curve($D$55,$A$58:$A$97,$B$58:$B$97,$A96,"ZERO"),""))</f>
        <v/>
      </c>
      <c r="P96" s="89">
        <f>IF(OR(O96="",NOT(ISNUMBER(C96))),"",(O96-C96)*100)</f>
        <v/>
      </c>
      <c r="Q96" s="72">
        <f>IF(OR(M96="",NOT(ISNUMBER(D96))),"",M96-D96)</f>
        <v/>
      </c>
    </row>
    <row r="97">
      <c r="A97" s="68" t="n"/>
      <c r="B97" s="85" t="n"/>
      <c r="C97" s="85" t="n"/>
      <c r="D97" s="69" t="n"/>
      <c r="E97" s="112">
        <f>IF(OR(A97="",$D$56=""),"",IF(RIGHT(A97,1)="W",$D$56+7*VALUE(LEFT(A97,LEN(A97)-1)),IF(RIGHT(A97,1)="M",EDATE($D$56,VALUE(LEFT(A97,LEN(A97)-1))),EDATE($D$56,12*VALUE(LEFT(A97,LEN(A97)-1))))))</f>
        <v/>
      </c>
      <c r="F97" s="112">
        <f>IF(E97="","",IF(MONTH((E97+IF(WEEKDAY(E97,2)=6,2,IF(WEEKDAY(E97,2)=7,1,0))))&lt;&gt;MONTH(E97),(E97-IF(WEEKDAY(E97,2)=6,1,IF(WEEKDAY(E97,2)=7,2,0))),(E97+IF(WEEKDAY(E97,2)=6,2,IF(WEEKDAY(E97,2)=7,1,0)))))</f>
        <v/>
      </c>
      <c r="G97" s="167">
        <f>IF(NOT(BOOT_MODE="Test 2"),"",IFERROR(SOFR_Curve($D$55,$A$58:$A$97,$B$58:$B$97,$A97,"PAR"),""))</f>
        <v/>
      </c>
      <c r="H97" s="93">
        <f>IF(OR(NOT(BOOT_MODE="Test 2"),$A97=""),"","VBA SOFR_Curve()")</f>
        <v/>
      </c>
      <c r="I97" s="168">
        <f>IF(NOT(BOOT_MODE="Test 2"),"",IFERROR(SOFR_Curve($D$55,$A$58:$A$97,$B$58:$B$97,$A97,"DATE"),""))</f>
        <v/>
      </c>
      <c r="J97" s="76">
        <f>IF(OR(NOT(BOOT_MODE="Test 2"),I97="",F97=""),"",IF(INT(I97)=INT(F97),"ok","MISMATCH"))</f>
        <v/>
      </c>
      <c r="K97" s="76">
        <f>IF(NOT(BOOT_MODE="Test 2"),"",IFERROR(INDEX(BOOT_DF,MATCH(F97,BOOT_DATES,0)),""))</f>
        <v/>
      </c>
      <c r="L97" s="72">
        <f>IF(OR(M97="",K97=""),"",M97-K97)</f>
        <v/>
      </c>
      <c r="M97" s="169">
        <f>IF(NOT(BOOT_MODE="Test 2"),"",IFERROR(SOFR_Curve($D$55,$A$58:$A$97,$B$58:$B$97,$A97,"DF"),""))</f>
        <v/>
      </c>
      <c r="N97" s="170">
        <f>IF(NOT(BOOT_MODE="Test 2"),"",IFERROR(SOFR_Curve($D$55,$A$58:$A$97,$B$58:$B$97,$A97,"T"),""))</f>
        <v/>
      </c>
      <c r="O97" s="167">
        <f>IF(NOT(BOOT_MODE="Test 2"),"",IFERROR(SOFR_Curve($D$55,$A$58:$A$97,$B$58:$B$97,$A97,"ZERO"),""))</f>
        <v/>
      </c>
      <c r="P97" s="89">
        <f>IF(OR(O97="",NOT(ISNUMBER(C97))),"",(O97-C97)*100)</f>
        <v/>
      </c>
      <c r="Q97" s="72">
        <f>IF(OR(M97="",NOT(ISNUMBER(D97))),"",M97-D97)</f>
        <v/>
      </c>
    </row>
    <row r="98">
      <c r="A98" s="67" t="inlineStr">
        <is>
          <t>pillars pasted</t>
        </is>
      </c>
      <c r="C98" s="130">
        <f>COUNTA(A58:A97)</f>
        <v/>
      </c>
      <c r="D98" s="67" t="inlineStr">
        <is>
          <t>matched</t>
        </is>
      </c>
      <c r="F98" s="87">
        <f>IF(NOT(BOOT_MODE="Test 2"),"not active",COUNT(O58:O97))</f>
        <v/>
      </c>
      <c r="G98" s="67" t="inlineStr">
        <is>
          <t>max |d zero| bp vs BBG</t>
        </is>
      </c>
      <c r="I98" s="90">
        <f>IF(NOT(BOOT_MODE="Test 2"),"",IF(COUNT(P58:P97)=0,"",MAX(MAX(P58:P97),-MIN(P58:P97))))</f>
        <v/>
      </c>
      <c r="J98" s="67" t="inlineStr">
        <is>
          <t>max |VBA - cells|</t>
        </is>
      </c>
      <c r="L98" s="91">
        <f>IF(NOT(BOOT_MODE="Test 2"),"",IF(COUNT(L58:L97)=0,"",MAX(MAX(L58:L97),-MIN(L58:L97))))</f>
        <v/>
      </c>
      <c r="M98" s="66">
        <f>IF(AND(BOOT_MODE="Test 2",C98&gt;0,F98&lt;C98),"CHECK: matched &lt; pasted, dates are not hitting Bootstrap!B — check the curve date","")</f>
        <v/>
      </c>
      <c r="N98" s="67" t="inlineStr">
        <is>
          <t>date mismatches</t>
        </is>
      </c>
      <c r="O98" s="93">
        <f>IF(NOT(BOOT_MODE="Test 2"),"",COUNTIF(J58:J97,"MISMATCH"))</f>
        <v/>
      </c>
    </row>
    <row r="105">
      <c r="A105" s="123" t="inlineStr">
        <is>
          <t>CURVE TEST CASE 3</t>
        </is>
      </c>
      <c r="C105" s="65" t="inlineStr">
        <is>
          <t>curve date -&gt;</t>
        </is>
      </c>
      <c r="D105" s="111" t="n"/>
      <c r="E105" s="65" t="inlineStr">
        <is>
          <t>name / time -&gt;</t>
        </is>
      </c>
      <c r="F105" s="68" t="n"/>
      <c r="N105" s="66">
        <f>IF(NOT(BOOT_MODE="Test 3"),"",IF($D$105="","set the curve date",IF($D$105&lt;&gt;VAL_DATE,"curve date not driving VAL_DATE","VAL_DATE follows this case")))</f>
        <v/>
      </c>
    </row>
    <row r="106">
      <c r="C106" s="65" t="inlineStr">
        <is>
          <t>spot (T+2bd) -&gt;</t>
        </is>
      </c>
      <c r="D106" s="128">
        <f>IF($D$105="","",$D$105+2+IF(WEEKDAY($D$105,2)&gt;=4,2,0))</f>
        <v/>
      </c>
      <c r="F106" s="67">
        <f>IF(BOOT_MODE="Test 3","ACTIVE — model columns live","not active")</f>
        <v/>
      </c>
    </row>
    <row r="107" ht="30" customHeight="1">
      <c r="A107" s="146" t="inlineStr">
        <is>
          <t>Tenor</t>
        </is>
      </c>
      <c r="B107" s="146" t="inlineStr">
        <is>
          <t>Swap rate (mid)</t>
        </is>
      </c>
      <c r="C107" s="146" t="inlineStr">
        <is>
          <t>BBG zero %</t>
        </is>
      </c>
      <c r="D107" s="146" t="inlineStr">
        <is>
          <t>BBG discount</t>
        </is>
      </c>
      <c r="E107" s="146" t="inlineStr">
        <is>
          <t>raw date</t>
        </is>
      </c>
      <c r="F107" s="146" t="inlineStr">
        <is>
          <t>Date</t>
        </is>
      </c>
      <c r="G107" s="146" t="inlineStr">
        <is>
          <t>S used %</t>
        </is>
      </c>
      <c r="H107" s="146" t="inlineStr">
        <is>
          <t>Rule</t>
        </is>
      </c>
      <c r="I107" s="146" t="inlineStr">
        <is>
          <t>tau</t>
        </is>
      </c>
      <c r="J107" s="146" t="inlineStr">
        <is>
          <t>A(prior)</t>
        </is>
      </c>
      <c r="K107" s="146" t="inlineStr">
        <is>
          <t>numerator</t>
        </is>
      </c>
      <c r="L107" s="146" t="inlineStr">
        <is>
          <t>denominator</t>
        </is>
      </c>
      <c r="M107" s="146" t="inlineStr">
        <is>
          <t>our DF</t>
        </is>
      </c>
      <c r="N107" s="146" t="inlineStr">
        <is>
          <t>t ACT/365</t>
        </is>
      </c>
      <c r="O107" s="146" t="inlineStr">
        <is>
          <t>our zero %</t>
        </is>
      </c>
      <c r="P107" s="146" t="inlineStr">
        <is>
          <t>d zero bp</t>
        </is>
      </c>
      <c r="Q107" s="146" t="inlineStr">
        <is>
          <t>d DF</t>
        </is>
      </c>
    </row>
    <row r="108">
      <c r="A108" s="68" t="n"/>
      <c r="B108" s="85" t="n"/>
      <c r="C108" s="85" t="n"/>
      <c r="D108" s="69" t="n"/>
      <c r="E108" s="112">
        <f>IF(OR(A108="",$D$106=""),"",IF(RIGHT(A108,1)="W",$D$106+7*VALUE(LEFT(A108,LEN(A108)-1)),IF(RIGHT(A108,1)="M",EDATE($D$106,VALUE(LEFT(A108,LEN(A108)-1))),EDATE($D$106,12*VALUE(LEFT(A108,LEN(A108)-1))))))</f>
        <v/>
      </c>
      <c r="F108" s="112">
        <f>IF(E108="","",IF(MONTH((E108+IF(WEEKDAY(E108,2)=6,2,IF(WEEKDAY(E108,2)=7,1,0))))&lt;&gt;MONTH(E108),(E108-IF(WEEKDAY(E108,2)=6,1,IF(WEEKDAY(E108,2)=7,2,0))),(E108+IF(WEEKDAY(E108,2)=6,2,IF(WEEKDAY(E108,2)=7,1,0)))))</f>
        <v/>
      </c>
      <c r="G108" s="84">
        <f>IF(NOT(BOOT_MODE="Test 3"),"",IFERROR(INDEX(BOOT_S,MATCH(F108,BOOT_DATES,0)),""))</f>
        <v/>
      </c>
      <c r="H108" s="160">
        <f>IF(NOT(BOOT_MODE="Test 3"),"",IFERROR(IF(MATCH(F108,BOOT_DATES,0)&lt;=15,"short  DFspot/(1+S*tau)","annual (DFspot-S*A)/(1+S*tau)"),""))</f>
        <v/>
      </c>
      <c r="I108" s="80">
        <f>IF(NOT(BOOT_MODE="Test 3"),"",IFERROR(IF(MATCH(F108,BOOT_DATES,0)&lt;=15,INDEX(BOOT_TAU0,MATCH(F108,BOOT_DATES,0)),INDEX(BOOT_TAUC,MATCH(F108,BOOT_DATES,0))),""))</f>
        <v/>
      </c>
      <c r="J108" s="76">
        <f>IF(NOT(BOOT_MODE="Test 3"),"",IFERROR(IF(MATCH(F108,BOOT_DATES,0)&lt;=15,0,INDEX(BOOT_ANN,MATCH(F108,BOOT_DATES,0))),""))</f>
        <v/>
      </c>
      <c r="K108" s="76">
        <f>IF(OR(G108="",I108=""),"",BOOT_DFSPOT-(G108/100)*J108)</f>
        <v/>
      </c>
      <c r="L108" s="76">
        <f>IF(OR(G108="",I108=""),"",1+(G108/100)*I108)</f>
        <v/>
      </c>
      <c r="M108" s="76">
        <f>IF(NOT(BOOT_MODE="Test 3"),"",IFERROR(INDEX(BOOT_DF,MATCH(F108,BOOT_DATES,0)),""))</f>
        <v/>
      </c>
      <c r="N108" s="80">
        <f>IF(NOT(BOOT_MODE="Test 3"),"",IFERROR(INDEX(BOOT_T,MATCH(F108,BOOT_DATES,0)),""))</f>
        <v/>
      </c>
      <c r="O108" s="84">
        <f>IF(NOT(BOOT_MODE="Test 3"),"",IFERROR(INDEX(BOOT_ZERO,MATCH(F108,BOOT_DATES,0)),""))</f>
        <v/>
      </c>
      <c r="P108" s="89">
        <f>IF(OR(O108="",NOT(ISNUMBER(C108))),"",(O108-C108)*100)</f>
        <v/>
      </c>
      <c r="Q108" s="72">
        <f>IF(OR(M108="",NOT(ISNUMBER(D108))),"",M108-D108)</f>
        <v/>
      </c>
    </row>
    <row r="109">
      <c r="A109" s="68" t="n"/>
      <c r="B109" s="85" t="n"/>
      <c r="C109" s="85" t="n"/>
      <c r="D109" s="69" t="n"/>
      <c r="E109" s="112">
        <f>IF(OR(A109="",$D$106=""),"",IF(RIGHT(A109,1)="W",$D$106+7*VALUE(LEFT(A109,LEN(A109)-1)),IF(RIGHT(A109,1)="M",EDATE($D$106,VALUE(LEFT(A109,LEN(A109)-1))),EDATE($D$106,12*VALUE(LEFT(A109,LEN(A109)-1))))))</f>
        <v/>
      </c>
      <c r="F109" s="112">
        <f>IF(E109="","",IF(MONTH((E109+IF(WEEKDAY(E109,2)=6,2,IF(WEEKDAY(E109,2)=7,1,0))))&lt;&gt;MONTH(E109),(E109-IF(WEEKDAY(E109,2)=6,1,IF(WEEKDAY(E109,2)=7,2,0))),(E109+IF(WEEKDAY(E109,2)=6,2,IF(WEEKDAY(E109,2)=7,1,0)))))</f>
        <v/>
      </c>
      <c r="G109" s="84">
        <f>IF(NOT(BOOT_MODE="Test 3"),"",IFERROR(INDEX(BOOT_S,MATCH(F109,BOOT_DATES,0)),""))</f>
        <v/>
      </c>
      <c r="H109" s="160">
        <f>IF(NOT(BOOT_MODE="Test 3"),"",IFERROR(IF(MATCH(F109,BOOT_DATES,0)&lt;=15,"short  DFspot/(1+S*tau)","annual (DFspot-S*A)/(1+S*tau)"),""))</f>
        <v/>
      </c>
      <c r="I109" s="80">
        <f>IF(NOT(BOOT_MODE="Test 3"),"",IFERROR(IF(MATCH(F109,BOOT_DATES,0)&lt;=15,INDEX(BOOT_TAU0,MATCH(F109,BOOT_DATES,0)),INDEX(BOOT_TAUC,MATCH(F109,BOOT_DATES,0))),""))</f>
        <v/>
      </c>
      <c r="J109" s="76">
        <f>IF(NOT(BOOT_MODE="Test 3"),"",IFERROR(IF(MATCH(F109,BOOT_DATES,0)&lt;=15,0,INDEX(BOOT_ANN,MATCH(F109,BOOT_DATES,0))),""))</f>
        <v/>
      </c>
      <c r="K109" s="76">
        <f>IF(OR(G109="",I109=""),"",BOOT_DFSPOT-(G109/100)*J109)</f>
        <v/>
      </c>
      <c r="L109" s="76">
        <f>IF(OR(G109="",I109=""),"",1+(G109/100)*I109)</f>
        <v/>
      </c>
      <c r="M109" s="76">
        <f>IF(NOT(BOOT_MODE="Test 3"),"",IFERROR(INDEX(BOOT_DF,MATCH(F109,BOOT_DATES,0)),""))</f>
        <v/>
      </c>
      <c r="N109" s="80">
        <f>IF(NOT(BOOT_MODE="Test 3"),"",IFERROR(INDEX(BOOT_T,MATCH(F109,BOOT_DATES,0)),""))</f>
        <v/>
      </c>
      <c r="O109" s="84">
        <f>IF(NOT(BOOT_MODE="Test 3"),"",IFERROR(INDEX(BOOT_ZERO,MATCH(F109,BOOT_DATES,0)),""))</f>
        <v/>
      </c>
      <c r="P109" s="89">
        <f>IF(OR(O109="",NOT(ISNUMBER(C109))),"",(O109-C109)*100)</f>
        <v/>
      </c>
      <c r="Q109" s="72">
        <f>IF(OR(M109="",NOT(ISNUMBER(D109))),"",M109-D109)</f>
        <v/>
      </c>
    </row>
    <row r="110">
      <c r="A110" s="68" t="n"/>
      <c r="B110" s="85" t="n"/>
      <c r="C110" s="85" t="n"/>
      <c r="D110" s="69" t="n"/>
      <c r="E110" s="112">
        <f>IF(OR(A110="",$D$106=""),"",IF(RIGHT(A110,1)="W",$D$106+7*VALUE(LEFT(A110,LEN(A110)-1)),IF(RIGHT(A110,1)="M",EDATE($D$106,VALUE(LEFT(A110,LEN(A110)-1))),EDATE($D$106,12*VALUE(LEFT(A110,LEN(A110)-1))))))</f>
        <v/>
      </c>
      <c r="F110" s="112">
        <f>IF(E110="","",IF(MONTH((E110+IF(WEEKDAY(E110,2)=6,2,IF(WEEKDAY(E110,2)=7,1,0))))&lt;&gt;MONTH(E110),(E110-IF(WEEKDAY(E110,2)=6,1,IF(WEEKDAY(E110,2)=7,2,0))),(E110+IF(WEEKDAY(E110,2)=6,2,IF(WEEKDAY(E110,2)=7,1,0)))))</f>
        <v/>
      </c>
      <c r="G110" s="84">
        <f>IF(NOT(BOOT_MODE="Test 3"),"",IFERROR(INDEX(BOOT_S,MATCH(F110,BOOT_DATES,0)),""))</f>
        <v/>
      </c>
      <c r="H110" s="160">
        <f>IF(NOT(BOOT_MODE="Test 3"),"",IFERROR(IF(MATCH(F110,BOOT_DATES,0)&lt;=15,"short  DFspot/(1+S*tau)","annual (DFspot-S*A)/(1+S*tau)"),""))</f>
        <v/>
      </c>
      <c r="I110" s="80">
        <f>IF(NOT(BOOT_MODE="Test 3"),"",IFERROR(IF(MATCH(F110,BOOT_DATES,0)&lt;=15,INDEX(BOOT_TAU0,MATCH(F110,BOOT_DATES,0)),INDEX(BOOT_TAUC,MATCH(F110,BOOT_DATES,0))),""))</f>
        <v/>
      </c>
      <c r="J110" s="76">
        <f>IF(NOT(BOOT_MODE="Test 3"),"",IFERROR(IF(MATCH(F110,BOOT_DATES,0)&lt;=15,0,INDEX(BOOT_ANN,MATCH(F110,BOOT_DATES,0))),""))</f>
        <v/>
      </c>
      <c r="K110" s="76">
        <f>IF(OR(G110="",I110=""),"",BOOT_DFSPOT-(G110/100)*J110)</f>
        <v/>
      </c>
      <c r="L110" s="76">
        <f>IF(OR(G110="",I110=""),"",1+(G110/100)*I110)</f>
        <v/>
      </c>
      <c r="M110" s="76">
        <f>IF(NOT(BOOT_MODE="Test 3"),"",IFERROR(INDEX(BOOT_DF,MATCH(F110,BOOT_DATES,0)),""))</f>
        <v/>
      </c>
      <c r="N110" s="80">
        <f>IF(NOT(BOOT_MODE="Test 3"),"",IFERROR(INDEX(BOOT_T,MATCH(F110,BOOT_DATES,0)),""))</f>
        <v/>
      </c>
      <c r="O110" s="84">
        <f>IF(NOT(BOOT_MODE="Test 3"),"",IFERROR(INDEX(BOOT_ZERO,MATCH(F110,BOOT_DATES,0)),""))</f>
        <v/>
      </c>
      <c r="P110" s="89">
        <f>IF(OR(O110="",NOT(ISNUMBER(C110))),"",(O110-C110)*100)</f>
        <v/>
      </c>
      <c r="Q110" s="72">
        <f>IF(OR(M110="",NOT(ISNUMBER(D110))),"",M110-D110)</f>
        <v/>
      </c>
    </row>
    <row r="111">
      <c r="A111" s="68" t="n"/>
      <c r="B111" s="85" t="n"/>
      <c r="C111" s="85" t="n"/>
      <c r="D111" s="69" t="n"/>
      <c r="E111" s="112">
        <f>IF(OR(A111="",$D$106=""),"",IF(RIGHT(A111,1)="W",$D$106+7*VALUE(LEFT(A111,LEN(A111)-1)),IF(RIGHT(A111,1)="M",EDATE($D$106,VALUE(LEFT(A111,LEN(A111)-1))),EDATE($D$106,12*VALUE(LEFT(A111,LEN(A111)-1))))))</f>
        <v/>
      </c>
      <c r="F111" s="112">
        <f>IF(E111="","",IF(MONTH((E111+IF(WEEKDAY(E111,2)=6,2,IF(WEEKDAY(E111,2)=7,1,0))))&lt;&gt;MONTH(E111),(E111-IF(WEEKDAY(E111,2)=6,1,IF(WEEKDAY(E111,2)=7,2,0))),(E111+IF(WEEKDAY(E111,2)=6,2,IF(WEEKDAY(E111,2)=7,1,0)))))</f>
        <v/>
      </c>
      <c r="G111" s="84">
        <f>IF(NOT(BOOT_MODE="Test 3"),"",IFERROR(INDEX(BOOT_S,MATCH(F111,BOOT_DATES,0)),""))</f>
        <v/>
      </c>
      <c r="H111" s="160">
        <f>IF(NOT(BOOT_MODE="Test 3"),"",IFERROR(IF(MATCH(F111,BOOT_DATES,0)&lt;=15,"short  DFspot/(1+S*tau)","annual (DFspot-S*A)/(1+S*tau)"),""))</f>
        <v/>
      </c>
      <c r="I111" s="80">
        <f>IF(NOT(BOOT_MODE="Test 3"),"",IFERROR(IF(MATCH(F111,BOOT_DATES,0)&lt;=15,INDEX(BOOT_TAU0,MATCH(F111,BOOT_DATES,0)),INDEX(BOOT_TAUC,MATCH(F111,BOOT_DATES,0))),""))</f>
        <v/>
      </c>
      <c r="J111" s="76">
        <f>IF(NOT(BOOT_MODE="Test 3"),"",IFERROR(IF(MATCH(F111,BOOT_DATES,0)&lt;=15,0,INDEX(BOOT_ANN,MATCH(F111,BOOT_DATES,0))),""))</f>
        <v/>
      </c>
      <c r="K111" s="76">
        <f>IF(OR(G111="",I111=""),"",BOOT_DFSPOT-(G111/100)*J111)</f>
        <v/>
      </c>
      <c r="L111" s="76">
        <f>IF(OR(G111="",I111=""),"",1+(G111/100)*I111)</f>
        <v/>
      </c>
      <c r="M111" s="76">
        <f>IF(NOT(BOOT_MODE="Test 3"),"",IFERROR(INDEX(BOOT_DF,MATCH(F111,BOOT_DATES,0)),""))</f>
        <v/>
      </c>
      <c r="N111" s="80">
        <f>IF(NOT(BOOT_MODE="Test 3"),"",IFERROR(INDEX(BOOT_T,MATCH(F111,BOOT_DATES,0)),""))</f>
        <v/>
      </c>
      <c r="O111" s="84">
        <f>IF(NOT(BOOT_MODE="Test 3"),"",IFERROR(INDEX(BOOT_ZERO,MATCH(F111,BOOT_DATES,0)),""))</f>
        <v/>
      </c>
      <c r="P111" s="89">
        <f>IF(OR(O111="",NOT(ISNUMBER(C111))),"",(O111-C111)*100)</f>
        <v/>
      </c>
      <c r="Q111" s="72">
        <f>IF(OR(M111="",NOT(ISNUMBER(D111))),"",M111-D111)</f>
        <v/>
      </c>
    </row>
    <row r="112">
      <c r="A112" s="68" t="n"/>
      <c r="B112" s="85" t="n"/>
      <c r="C112" s="85" t="n"/>
      <c r="D112" s="69" t="n"/>
      <c r="E112" s="112">
        <f>IF(OR(A112="",$D$106=""),"",IF(RIGHT(A112,1)="W",$D$106+7*VALUE(LEFT(A112,LEN(A112)-1)),IF(RIGHT(A112,1)="M",EDATE($D$106,VALUE(LEFT(A112,LEN(A112)-1))),EDATE($D$106,12*VALUE(LEFT(A112,LEN(A112)-1))))))</f>
        <v/>
      </c>
      <c r="F112" s="112">
        <f>IF(E112="","",IF(MONTH((E112+IF(WEEKDAY(E112,2)=6,2,IF(WEEKDAY(E112,2)=7,1,0))))&lt;&gt;MONTH(E112),(E112-IF(WEEKDAY(E112,2)=6,1,IF(WEEKDAY(E112,2)=7,2,0))),(E112+IF(WEEKDAY(E112,2)=6,2,IF(WEEKDAY(E112,2)=7,1,0)))))</f>
        <v/>
      </c>
      <c r="G112" s="84">
        <f>IF(NOT(BOOT_MODE="Test 3"),"",IFERROR(INDEX(BOOT_S,MATCH(F112,BOOT_DATES,0)),""))</f>
        <v/>
      </c>
      <c r="H112" s="160">
        <f>IF(NOT(BOOT_MODE="Test 3"),"",IFERROR(IF(MATCH(F112,BOOT_DATES,0)&lt;=15,"short  DFspot/(1+S*tau)","annual (DFspot-S*A)/(1+S*tau)"),""))</f>
        <v/>
      </c>
      <c r="I112" s="80">
        <f>IF(NOT(BOOT_MODE="Test 3"),"",IFERROR(IF(MATCH(F112,BOOT_DATES,0)&lt;=15,INDEX(BOOT_TAU0,MATCH(F112,BOOT_DATES,0)),INDEX(BOOT_TAUC,MATCH(F112,BOOT_DATES,0))),""))</f>
        <v/>
      </c>
      <c r="J112" s="76">
        <f>IF(NOT(BOOT_MODE="Test 3"),"",IFERROR(IF(MATCH(F112,BOOT_DATES,0)&lt;=15,0,INDEX(BOOT_ANN,MATCH(F112,BOOT_DATES,0))),""))</f>
        <v/>
      </c>
      <c r="K112" s="76">
        <f>IF(OR(G112="",I112=""),"",BOOT_DFSPOT-(G112/100)*J112)</f>
        <v/>
      </c>
      <c r="L112" s="76">
        <f>IF(OR(G112="",I112=""),"",1+(G112/100)*I112)</f>
        <v/>
      </c>
      <c r="M112" s="76">
        <f>IF(NOT(BOOT_MODE="Test 3"),"",IFERROR(INDEX(BOOT_DF,MATCH(F112,BOOT_DATES,0)),""))</f>
        <v/>
      </c>
      <c r="N112" s="80">
        <f>IF(NOT(BOOT_MODE="Test 3"),"",IFERROR(INDEX(BOOT_T,MATCH(F112,BOOT_DATES,0)),""))</f>
        <v/>
      </c>
      <c r="O112" s="84">
        <f>IF(NOT(BOOT_MODE="Test 3"),"",IFERROR(INDEX(BOOT_ZERO,MATCH(F112,BOOT_DATES,0)),""))</f>
        <v/>
      </c>
      <c r="P112" s="89">
        <f>IF(OR(O112="",NOT(ISNUMBER(C112))),"",(O112-C112)*100)</f>
        <v/>
      </c>
      <c r="Q112" s="72">
        <f>IF(OR(M112="",NOT(ISNUMBER(D112))),"",M112-D112)</f>
        <v/>
      </c>
    </row>
    <row r="113">
      <c r="A113" s="68" t="n"/>
      <c r="B113" s="85" t="n"/>
      <c r="C113" s="85" t="n"/>
      <c r="D113" s="69" t="n"/>
      <c r="E113" s="112">
        <f>IF(OR(A113="",$D$106=""),"",IF(RIGHT(A113,1)="W",$D$106+7*VALUE(LEFT(A113,LEN(A113)-1)),IF(RIGHT(A113,1)="M",EDATE($D$106,VALUE(LEFT(A113,LEN(A113)-1))),EDATE($D$106,12*VALUE(LEFT(A113,LEN(A113)-1))))))</f>
        <v/>
      </c>
      <c r="F113" s="112">
        <f>IF(E113="","",IF(MONTH((E113+IF(WEEKDAY(E113,2)=6,2,IF(WEEKDAY(E113,2)=7,1,0))))&lt;&gt;MONTH(E113),(E113-IF(WEEKDAY(E113,2)=6,1,IF(WEEKDAY(E113,2)=7,2,0))),(E113+IF(WEEKDAY(E113,2)=6,2,IF(WEEKDAY(E113,2)=7,1,0)))))</f>
        <v/>
      </c>
      <c r="G113" s="84">
        <f>IF(NOT(BOOT_MODE="Test 3"),"",IFERROR(INDEX(BOOT_S,MATCH(F113,BOOT_DATES,0)),""))</f>
        <v/>
      </c>
      <c r="H113" s="160">
        <f>IF(NOT(BOOT_MODE="Test 3"),"",IFERROR(IF(MATCH(F113,BOOT_DATES,0)&lt;=15,"short  DFspot/(1+S*tau)","annual (DFspot-S*A)/(1+S*tau)"),""))</f>
        <v/>
      </c>
      <c r="I113" s="80">
        <f>IF(NOT(BOOT_MODE="Test 3"),"",IFERROR(IF(MATCH(F113,BOOT_DATES,0)&lt;=15,INDEX(BOOT_TAU0,MATCH(F113,BOOT_DATES,0)),INDEX(BOOT_TAUC,MATCH(F113,BOOT_DATES,0))),""))</f>
        <v/>
      </c>
      <c r="J113" s="76">
        <f>IF(NOT(BOOT_MODE="Test 3"),"",IFERROR(IF(MATCH(F113,BOOT_DATES,0)&lt;=15,0,INDEX(BOOT_ANN,MATCH(F113,BOOT_DATES,0))),""))</f>
        <v/>
      </c>
      <c r="K113" s="76">
        <f>IF(OR(G113="",I113=""),"",BOOT_DFSPOT-(G113/100)*J113)</f>
        <v/>
      </c>
      <c r="L113" s="76">
        <f>IF(OR(G113="",I113=""),"",1+(G113/100)*I113)</f>
        <v/>
      </c>
      <c r="M113" s="76">
        <f>IF(NOT(BOOT_MODE="Test 3"),"",IFERROR(INDEX(BOOT_DF,MATCH(F113,BOOT_DATES,0)),""))</f>
        <v/>
      </c>
      <c r="N113" s="80">
        <f>IF(NOT(BOOT_MODE="Test 3"),"",IFERROR(INDEX(BOOT_T,MATCH(F113,BOOT_DATES,0)),""))</f>
        <v/>
      </c>
      <c r="O113" s="84">
        <f>IF(NOT(BOOT_MODE="Test 3"),"",IFERROR(INDEX(BOOT_ZERO,MATCH(F113,BOOT_DATES,0)),""))</f>
        <v/>
      </c>
      <c r="P113" s="89">
        <f>IF(OR(O113="",NOT(ISNUMBER(C113))),"",(O113-C113)*100)</f>
        <v/>
      </c>
      <c r="Q113" s="72">
        <f>IF(OR(M113="",NOT(ISNUMBER(D113))),"",M113-D113)</f>
        <v/>
      </c>
    </row>
    <row r="114">
      <c r="A114" s="68" t="n"/>
      <c r="B114" s="85" t="n"/>
      <c r="C114" s="85" t="n"/>
      <c r="D114" s="69" t="n"/>
      <c r="E114" s="112">
        <f>IF(OR(A114="",$D$106=""),"",IF(RIGHT(A114,1)="W",$D$106+7*VALUE(LEFT(A114,LEN(A114)-1)),IF(RIGHT(A114,1)="M",EDATE($D$106,VALUE(LEFT(A114,LEN(A114)-1))),EDATE($D$106,12*VALUE(LEFT(A114,LEN(A114)-1))))))</f>
        <v/>
      </c>
      <c r="F114" s="112">
        <f>IF(E114="","",IF(MONTH((E114+IF(WEEKDAY(E114,2)=6,2,IF(WEEKDAY(E114,2)=7,1,0))))&lt;&gt;MONTH(E114),(E114-IF(WEEKDAY(E114,2)=6,1,IF(WEEKDAY(E114,2)=7,2,0))),(E114+IF(WEEKDAY(E114,2)=6,2,IF(WEEKDAY(E114,2)=7,1,0)))))</f>
        <v/>
      </c>
      <c r="G114" s="84">
        <f>IF(NOT(BOOT_MODE="Test 3"),"",IFERROR(INDEX(BOOT_S,MATCH(F114,BOOT_DATES,0)),""))</f>
        <v/>
      </c>
      <c r="H114" s="160">
        <f>IF(NOT(BOOT_MODE="Test 3"),"",IFERROR(IF(MATCH(F114,BOOT_DATES,0)&lt;=15,"short  DFspot/(1+S*tau)","annual (DFspot-S*A)/(1+S*tau)"),""))</f>
        <v/>
      </c>
      <c r="I114" s="80">
        <f>IF(NOT(BOOT_MODE="Test 3"),"",IFERROR(IF(MATCH(F114,BOOT_DATES,0)&lt;=15,INDEX(BOOT_TAU0,MATCH(F114,BOOT_DATES,0)),INDEX(BOOT_TAUC,MATCH(F114,BOOT_DATES,0))),""))</f>
        <v/>
      </c>
      <c r="J114" s="76">
        <f>IF(NOT(BOOT_MODE="Test 3"),"",IFERROR(IF(MATCH(F114,BOOT_DATES,0)&lt;=15,0,INDEX(BOOT_ANN,MATCH(F114,BOOT_DATES,0))),""))</f>
        <v/>
      </c>
      <c r="K114" s="76">
        <f>IF(OR(G114="",I114=""),"",BOOT_DFSPOT-(G114/100)*J114)</f>
        <v/>
      </c>
      <c r="L114" s="76">
        <f>IF(OR(G114="",I114=""),"",1+(G114/100)*I114)</f>
        <v/>
      </c>
      <c r="M114" s="76">
        <f>IF(NOT(BOOT_MODE="Test 3"),"",IFERROR(INDEX(BOOT_DF,MATCH(F114,BOOT_DATES,0)),""))</f>
        <v/>
      </c>
      <c r="N114" s="80">
        <f>IF(NOT(BOOT_MODE="Test 3"),"",IFERROR(INDEX(BOOT_T,MATCH(F114,BOOT_DATES,0)),""))</f>
        <v/>
      </c>
      <c r="O114" s="84">
        <f>IF(NOT(BOOT_MODE="Test 3"),"",IFERROR(INDEX(BOOT_ZERO,MATCH(F114,BOOT_DATES,0)),""))</f>
        <v/>
      </c>
      <c r="P114" s="89">
        <f>IF(OR(O114="",NOT(ISNUMBER(C114))),"",(O114-C114)*100)</f>
        <v/>
      </c>
      <c r="Q114" s="72">
        <f>IF(OR(M114="",NOT(ISNUMBER(D114))),"",M114-D114)</f>
        <v/>
      </c>
    </row>
    <row r="115">
      <c r="A115" s="68" t="n"/>
      <c r="B115" s="85" t="n"/>
      <c r="C115" s="85" t="n"/>
      <c r="D115" s="69" t="n"/>
      <c r="E115" s="112">
        <f>IF(OR(A115="",$D$106=""),"",IF(RIGHT(A115,1)="W",$D$106+7*VALUE(LEFT(A115,LEN(A115)-1)),IF(RIGHT(A115,1)="M",EDATE($D$106,VALUE(LEFT(A115,LEN(A115)-1))),EDATE($D$106,12*VALUE(LEFT(A115,LEN(A115)-1))))))</f>
        <v/>
      </c>
      <c r="F115" s="112">
        <f>IF(E115="","",IF(MONTH((E115+IF(WEEKDAY(E115,2)=6,2,IF(WEEKDAY(E115,2)=7,1,0))))&lt;&gt;MONTH(E115),(E115-IF(WEEKDAY(E115,2)=6,1,IF(WEEKDAY(E115,2)=7,2,0))),(E115+IF(WEEKDAY(E115,2)=6,2,IF(WEEKDAY(E115,2)=7,1,0)))))</f>
        <v/>
      </c>
      <c r="G115" s="84">
        <f>IF(NOT(BOOT_MODE="Test 3"),"",IFERROR(INDEX(BOOT_S,MATCH(F115,BOOT_DATES,0)),""))</f>
        <v/>
      </c>
      <c r="H115" s="160">
        <f>IF(NOT(BOOT_MODE="Test 3"),"",IFERROR(IF(MATCH(F115,BOOT_DATES,0)&lt;=15,"short  DFspot/(1+S*tau)","annual (DFspot-S*A)/(1+S*tau)"),""))</f>
        <v/>
      </c>
      <c r="I115" s="80">
        <f>IF(NOT(BOOT_MODE="Test 3"),"",IFERROR(IF(MATCH(F115,BOOT_DATES,0)&lt;=15,INDEX(BOOT_TAU0,MATCH(F115,BOOT_DATES,0)),INDEX(BOOT_TAUC,MATCH(F115,BOOT_DATES,0))),""))</f>
        <v/>
      </c>
      <c r="J115" s="76">
        <f>IF(NOT(BOOT_MODE="Test 3"),"",IFERROR(IF(MATCH(F115,BOOT_DATES,0)&lt;=15,0,INDEX(BOOT_ANN,MATCH(F115,BOOT_DATES,0))),""))</f>
        <v/>
      </c>
      <c r="K115" s="76">
        <f>IF(OR(G115="",I115=""),"",BOOT_DFSPOT-(G115/100)*J115)</f>
        <v/>
      </c>
      <c r="L115" s="76">
        <f>IF(OR(G115="",I115=""),"",1+(G115/100)*I115)</f>
        <v/>
      </c>
      <c r="M115" s="76">
        <f>IF(NOT(BOOT_MODE="Test 3"),"",IFERROR(INDEX(BOOT_DF,MATCH(F115,BOOT_DATES,0)),""))</f>
        <v/>
      </c>
      <c r="N115" s="80">
        <f>IF(NOT(BOOT_MODE="Test 3"),"",IFERROR(INDEX(BOOT_T,MATCH(F115,BOOT_DATES,0)),""))</f>
        <v/>
      </c>
      <c r="O115" s="84">
        <f>IF(NOT(BOOT_MODE="Test 3"),"",IFERROR(INDEX(BOOT_ZERO,MATCH(F115,BOOT_DATES,0)),""))</f>
        <v/>
      </c>
      <c r="P115" s="89">
        <f>IF(OR(O115="",NOT(ISNUMBER(C115))),"",(O115-C115)*100)</f>
        <v/>
      </c>
      <c r="Q115" s="72">
        <f>IF(OR(M115="",NOT(ISNUMBER(D115))),"",M115-D115)</f>
        <v/>
      </c>
    </row>
    <row r="116">
      <c r="A116" s="68" t="n"/>
      <c r="B116" s="85" t="n"/>
      <c r="C116" s="85" t="n"/>
      <c r="D116" s="69" t="n"/>
      <c r="E116" s="112">
        <f>IF(OR(A116="",$D$106=""),"",IF(RIGHT(A116,1)="W",$D$106+7*VALUE(LEFT(A116,LEN(A116)-1)),IF(RIGHT(A116,1)="M",EDATE($D$106,VALUE(LEFT(A116,LEN(A116)-1))),EDATE($D$106,12*VALUE(LEFT(A116,LEN(A116)-1))))))</f>
        <v/>
      </c>
      <c r="F116" s="112">
        <f>IF(E116="","",IF(MONTH((E116+IF(WEEKDAY(E116,2)=6,2,IF(WEEKDAY(E116,2)=7,1,0))))&lt;&gt;MONTH(E116),(E116-IF(WEEKDAY(E116,2)=6,1,IF(WEEKDAY(E116,2)=7,2,0))),(E116+IF(WEEKDAY(E116,2)=6,2,IF(WEEKDAY(E116,2)=7,1,0)))))</f>
        <v/>
      </c>
      <c r="G116" s="84">
        <f>IF(NOT(BOOT_MODE="Test 3"),"",IFERROR(INDEX(BOOT_S,MATCH(F116,BOOT_DATES,0)),""))</f>
        <v/>
      </c>
      <c r="H116" s="160">
        <f>IF(NOT(BOOT_MODE="Test 3"),"",IFERROR(IF(MATCH(F116,BOOT_DATES,0)&lt;=15,"short  DFspot/(1+S*tau)","annual (DFspot-S*A)/(1+S*tau)"),""))</f>
        <v/>
      </c>
      <c r="I116" s="80">
        <f>IF(NOT(BOOT_MODE="Test 3"),"",IFERROR(IF(MATCH(F116,BOOT_DATES,0)&lt;=15,INDEX(BOOT_TAU0,MATCH(F116,BOOT_DATES,0)),INDEX(BOOT_TAUC,MATCH(F116,BOOT_DATES,0))),""))</f>
        <v/>
      </c>
      <c r="J116" s="76">
        <f>IF(NOT(BOOT_MODE="Test 3"),"",IFERROR(IF(MATCH(F116,BOOT_DATES,0)&lt;=15,0,INDEX(BOOT_ANN,MATCH(F116,BOOT_DATES,0))),""))</f>
        <v/>
      </c>
      <c r="K116" s="76">
        <f>IF(OR(G116="",I116=""),"",BOOT_DFSPOT-(G116/100)*J116)</f>
        <v/>
      </c>
      <c r="L116" s="76">
        <f>IF(OR(G116="",I116=""),"",1+(G116/100)*I116)</f>
        <v/>
      </c>
      <c r="M116" s="76">
        <f>IF(NOT(BOOT_MODE="Test 3"),"",IFERROR(INDEX(BOOT_DF,MATCH(F116,BOOT_DATES,0)),""))</f>
        <v/>
      </c>
      <c r="N116" s="80">
        <f>IF(NOT(BOOT_MODE="Test 3"),"",IFERROR(INDEX(BOOT_T,MATCH(F116,BOOT_DATES,0)),""))</f>
        <v/>
      </c>
      <c r="O116" s="84">
        <f>IF(NOT(BOOT_MODE="Test 3"),"",IFERROR(INDEX(BOOT_ZERO,MATCH(F116,BOOT_DATES,0)),""))</f>
        <v/>
      </c>
      <c r="P116" s="89">
        <f>IF(OR(O116="",NOT(ISNUMBER(C116))),"",(O116-C116)*100)</f>
        <v/>
      </c>
      <c r="Q116" s="72">
        <f>IF(OR(M116="",NOT(ISNUMBER(D116))),"",M116-D116)</f>
        <v/>
      </c>
    </row>
    <row r="117">
      <c r="A117" s="68" t="n"/>
      <c r="B117" s="85" t="n"/>
      <c r="C117" s="85" t="n"/>
      <c r="D117" s="69" t="n"/>
      <c r="E117" s="112">
        <f>IF(OR(A117="",$D$106=""),"",IF(RIGHT(A117,1)="W",$D$106+7*VALUE(LEFT(A117,LEN(A117)-1)),IF(RIGHT(A117,1)="M",EDATE($D$106,VALUE(LEFT(A117,LEN(A117)-1))),EDATE($D$106,12*VALUE(LEFT(A117,LEN(A117)-1))))))</f>
        <v/>
      </c>
      <c r="F117" s="112">
        <f>IF(E117="","",IF(MONTH((E117+IF(WEEKDAY(E117,2)=6,2,IF(WEEKDAY(E117,2)=7,1,0))))&lt;&gt;MONTH(E117),(E117-IF(WEEKDAY(E117,2)=6,1,IF(WEEKDAY(E117,2)=7,2,0))),(E117+IF(WEEKDAY(E117,2)=6,2,IF(WEEKDAY(E117,2)=7,1,0)))))</f>
        <v/>
      </c>
      <c r="G117" s="84">
        <f>IF(NOT(BOOT_MODE="Test 3"),"",IFERROR(INDEX(BOOT_S,MATCH(F117,BOOT_DATES,0)),""))</f>
        <v/>
      </c>
      <c r="H117" s="160">
        <f>IF(NOT(BOOT_MODE="Test 3"),"",IFERROR(IF(MATCH(F117,BOOT_DATES,0)&lt;=15,"short  DFspot/(1+S*tau)","annual (DFspot-S*A)/(1+S*tau)"),""))</f>
        <v/>
      </c>
      <c r="I117" s="80">
        <f>IF(NOT(BOOT_MODE="Test 3"),"",IFERROR(IF(MATCH(F117,BOOT_DATES,0)&lt;=15,INDEX(BOOT_TAU0,MATCH(F117,BOOT_DATES,0)),INDEX(BOOT_TAUC,MATCH(F117,BOOT_DATES,0))),""))</f>
        <v/>
      </c>
      <c r="J117" s="76">
        <f>IF(NOT(BOOT_MODE="Test 3"),"",IFERROR(IF(MATCH(F117,BOOT_DATES,0)&lt;=15,0,INDEX(BOOT_ANN,MATCH(F117,BOOT_DATES,0))),""))</f>
        <v/>
      </c>
      <c r="K117" s="76">
        <f>IF(OR(G117="",I117=""),"",BOOT_DFSPOT-(G117/100)*J117)</f>
        <v/>
      </c>
      <c r="L117" s="76">
        <f>IF(OR(G117="",I117=""),"",1+(G117/100)*I117)</f>
        <v/>
      </c>
      <c r="M117" s="76">
        <f>IF(NOT(BOOT_MODE="Test 3"),"",IFERROR(INDEX(BOOT_DF,MATCH(F117,BOOT_DATES,0)),""))</f>
        <v/>
      </c>
      <c r="N117" s="80">
        <f>IF(NOT(BOOT_MODE="Test 3"),"",IFERROR(INDEX(BOOT_T,MATCH(F117,BOOT_DATES,0)),""))</f>
        <v/>
      </c>
      <c r="O117" s="84">
        <f>IF(NOT(BOOT_MODE="Test 3"),"",IFERROR(INDEX(BOOT_ZERO,MATCH(F117,BOOT_DATES,0)),""))</f>
        <v/>
      </c>
      <c r="P117" s="89">
        <f>IF(OR(O117="",NOT(ISNUMBER(C117))),"",(O117-C117)*100)</f>
        <v/>
      </c>
      <c r="Q117" s="72">
        <f>IF(OR(M117="",NOT(ISNUMBER(D117))),"",M117-D117)</f>
        <v/>
      </c>
    </row>
    <row r="118">
      <c r="A118" s="68" t="n"/>
      <c r="B118" s="85" t="n"/>
      <c r="C118" s="85" t="n"/>
      <c r="D118" s="69" t="n"/>
      <c r="E118" s="112">
        <f>IF(OR(A118="",$D$106=""),"",IF(RIGHT(A118,1)="W",$D$106+7*VALUE(LEFT(A118,LEN(A118)-1)),IF(RIGHT(A118,1)="M",EDATE($D$106,VALUE(LEFT(A118,LEN(A118)-1))),EDATE($D$106,12*VALUE(LEFT(A118,LEN(A118)-1))))))</f>
        <v/>
      </c>
      <c r="F118" s="112">
        <f>IF(E118="","",IF(MONTH((E118+IF(WEEKDAY(E118,2)=6,2,IF(WEEKDAY(E118,2)=7,1,0))))&lt;&gt;MONTH(E118),(E118-IF(WEEKDAY(E118,2)=6,1,IF(WEEKDAY(E118,2)=7,2,0))),(E118+IF(WEEKDAY(E118,2)=6,2,IF(WEEKDAY(E118,2)=7,1,0)))))</f>
        <v/>
      </c>
      <c r="G118" s="84">
        <f>IF(NOT(BOOT_MODE="Test 3"),"",IFERROR(INDEX(BOOT_S,MATCH(F118,BOOT_DATES,0)),""))</f>
        <v/>
      </c>
      <c r="H118" s="160">
        <f>IF(NOT(BOOT_MODE="Test 3"),"",IFERROR(IF(MATCH(F118,BOOT_DATES,0)&lt;=15,"short  DFspot/(1+S*tau)","annual (DFspot-S*A)/(1+S*tau)"),""))</f>
        <v/>
      </c>
      <c r="I118" s="80">
        <f>IF(NOT(BOOT_MODE="Test 3"),"",IFERROR(IF(MATCH(F118,BOOT_DATES,0)&lt;=15,INDEX(BOOT_TAU0,MATCH(F118,BOOT_DATES,0)),INDEX(BOOT_TAUC,MATCH(F118,BOOT_DATES,0))),""))</f>
        <v/>
      </c>
      <c r="J118" s="76">
        <f>IF(NOT(BOOT_MODE="Test 3"),"",IFERROR(IF(MATCH(F118,BOOT_DATES,0)&lt;=15,0,INDEX(BOOT_ANN,MATCH(F118,BOOT_DATES,0))),""))</f>
        <v/>
      </c>
      <c r="K118" s="76">
        <f>IF(OR(G118="",I118=""),"",BOOT_DFSPOT-(G118/100)*J118)</f>
        <v/>
      </c>
      <c r="L118" s="76">
        <f>IF(OR(G118="",I118=""),"",1+(G118/100)*I118)</f>
        <v/>
      </c>
      <c r="M118" s="76">
        <f>IF(NOT(BOOT_MODE="Test 3"),"",IFERROR(INDEX(BOOT_DF,MATCH(F118,BOOT_DATES,0)),""))</f>
        <v/>
      </c>
      <c r="N118" s="80">
        <f>IF(NOT(BOOT_MODE="Test 3"),"",IFERROR(INDEX(BOOT_T,MATCH(F118,BOOT_DATES,0)),""))</f>
        <v/>
      </c>
      <c r="O118" s="84">
        <f>IF(NOT(BOOT_MODE="Test 3"),"",IFERROR(INDEX(BOOT_ZERO,MATCH(F118,BOOT_DATES,0)),""))</f>
        <v/>
      </c>
      <c r="P118" s="89">
        <f>IF(OR(O118="",NOT(ISNUMBER(C118))),"",(O118-C118)*100)</f>
        <v/>
      </c>
      <c r="Q118" s="72">
        <f>IF(OR(M118="",NOT(ISNUMBER(D118))),"",M118-D118)</f>
        <v/>
      </c>
    </row>
    <row r="119">
      <c r="A119" s="68" t="n"/>
      <c r="B119" s="85" t="n"/>
      <c r="C119" s="85" t="n"/>
      <c r="D119" s="69" t="n"/>
      <c r="E119" s="112">
        <f>IF(OR(A119="",$D$106=""),"",IF(RIGHT(A119,1)="W",$D$106+7*VALUE(LEFT(A119,LEN(A119)-1)),IF(RIGHT(A119,1)="M",EDATE($D$106,VALUE(LEFT(A119,LEN(A119)-1))),EDATE($D$106,12*VALUE(LEFT(A119,LEN(A119)-1))))))</f>
        <v/>
      </c>
      <c r="F119" s="112">
        <f>IF(E119="","",IF(MONTH((E119+IF(WEEKDAY(E119,2)=6,2,IF(WEEKDAY(E119,2)=7,1,0))))&lt;&gt;MONTH(E119),(E119-IF(WEEKDAY(E119,2)=6,1,IF(WEEKDAY(E119,2)=7,2,0))),(E119+IF(WEEKDAY(E119,2)=6,2,IF(WEEKDAY(E119,2)=7,1,0)))))</f>
        <v/>
      </c>
      <c r="G119" s="84">
        <f>IF(NOT(BOOT_MODE="Test 3"),"",IFERROR(INDEX(BOOT_S,MATCH(F119,BOOT_DATES,0)),""))</f>
        <v/>
      </c>
      <c r="H119" s="160">
        <f>IF(NOT(BOOT_MODE="Test 3"),"",IFERROR(IF(MATCH(F119,BOOT_DATES,0)&lt;=15,"short  DFspot/(1+S*tau)","annual (DFspot-S*A)/(1+S*tau)"),""))</f>
        <v/>
      </c>
      <c r="I119" s="80">
        <f>IF(NOT(BOOT_MODE="Test 3"),"",IFERROR(IF(MATCH(F119,BOOT_DATES,0)&lt;=15,INDEX(BOOT_TAU0,MATCH(F119,BOOT_DATES,0)),INDEX(BOOT_TAUC,MATCH(F119,BOOT_DATES,0))),""))</f>
        <v/>
      </c>
      <c r="J119" s="76">
        <f>IF(NOT(BOOT_MODE="Test 3"),"",IFERROR(IF(MATCH(F119,BOOT_DATES,0)&lt;=15,0,INDEX(BOOT_ANN,MATCH(F119,BOOT_DATES,0))),""))</f>
        <v/>
      </c>
      <c r="K119" s="76">
        <f>IF(OR(G119="",I119=""),"",BOOT_DFSPOT-(G119/100)*J119)</f>
        <v/>
      </c>
      <c r="L119" s="76">
        <f>IF(OR(G119="",I119=""),"",1+(G119/100)*I119)</f>
        <v/>
      </c>
      <c r="M119" s="76">
        <f>IF(NOT(BOOT_MODE="Test 3"),"",IFERROR(INDEX(BOOT_DF,MATCH(F119,BOOT_DATES,0)),""))</f>
        <v/>
      </c>
      <c r="N119" s="80">
        <f>IF(NOT(BOOT_MODE="Test 3"),"",IFERROR(INDEX(BOOT_T,MATCH(F119,BOOT_DATES,0)),""))</f>
        <v/>
      </c>
      <c r="O119" s="84">
        <f>IF(NOT(BOOT_MODE="Test 3"),"",IFERROR(INDEX(BOOT_ZERO,MATCH(F119,BOOT_DATES,0)),""))</f>
        <v/>
      </c>
      <c r="P119" s="89">
        <f>IF(OR(O119="",NOT(ISNUMBER(C119))),"",(O119-C119)*100)</f>
        <v/>
      </c>
      <c r="Q119" s="72">
        <f>IF(OR(M119="",NOT(ISNUMBER(D119))),"",M119-D119)</f>
        <v/>
      </c>
    </row>
    <row r="120">
      <c r="A120" s="68" t="n"/>
      <c r="B120" s="85" t="n"/>
      <c r="C120" s="85" t="n"/>
      <c r="D120" s="69" t="n"/>
      <c r="E120" s="112">
        <f>IF(OR(A120="",$D$106=""),"",IF(RIGHT(A120,1)="W",$D$106+7*VALUE(LEFT(A120,LEN(A120)-1)),IF(RIGHT(A120,1)="M",EDATE($D$106,VALUE(LEFT(A120,LEN(A120)-1))),EDATE($D$106,12*VALUE(LEFT(A120,LEN(A120)-1))))))</f>
        <v/>
      </c>
      <c r="F120" s="112">
        <f>IF(E120="","",IF(MONTH((E120+IF(WEEKDAY(E120,2)=6,2,IF(WEEKDAY(E120,2)=7,1,0))))&lt;&gt;MONTH(E120),(E120-IF(WEEKDAY(E120,2)=6,1,IF(WEEKDAY(E120,2)=7,2,0))),(E120+IF(WEEKDAY(E120,2)=6,2,IF(WEEKDAY(E120,2)=7,1,0)))))</f>
        <v/>
      </c>
      <c r="G120" s="84">
        <f>IF(NOT(BOOT_MODE="Test 3"),"",IFERROR(INDEX(BOOT_S,MATCH(F120,BOOT_DATES,0)),""))</f>
        <v/>
      </c>
      <c r="H120" s="160">
        <f>IF(NOT(BOOT_MODE="Test 3"),"",IFERROR(IF(MATCH(F120,BOOT_DATES,0)&lt;=15,"short  DFspot/(1+S*tau)","annual (DFspot-S*A)/(1+S*tau)"),""))</f>
        <v/>
      </c>
      <c r="I120" s="80">
        <f>IF(NOT(BOOT_MODE="Test 3"),"",IFERROR(IF(MATCH(F120,BOOT_DATES,0)&lt;=15,INDEX(BOOT_TAU0,MATCH(F120,BOOT_DATES,0)),INDEX(BOOT_TAUC,MATCH(F120,BOOT_DATES,0))),""))</f>
        <v/>
      </c>
      <c r="J120" s="76">
        <f>IF(NOT(BOOT_MODE="Test 3"),"",IFERROR(IF(MATCH(F120,BOOT_DATES,0)&lt;=15,0,INDEX(BOOT_ANN,MATCH(F120,BOOT_DATES,0))),""))</f>
        <v/>
      </c>
      <c r="K120" s="76">
        <f>IF(OR(G120="",I120=""),"",BOOT_DFSPOT-(G120/100)*J120)</f>
        <v/>
      </c>
      <c r="L120" s="76">
        <f>IF(OR(G120="",I120=""),"",1+(G120/100)*I120)</f>
        <v/>
      </c>
      <c r="M120" s="76">
        <f>IF(NOT(BOOT_MODE="Test 3"),"",IFERROR(INDEX(BOOT_DF,MATCH(F120,BOOT_DATES,0)),""))</f>
        <v/>
      </c>
      <c r="N120" s="80">
        <f>IF(NOT(BOOT_MODE="Test 3"),"",IFERROR(INDEX(BOOT_T,MATCH(F120,BOOT_DATES,0)),""))</f>
        <v/>
      </c>
      <c r="O120" s="84">
        <f>IF(NOT(BOOT_MODE="Test 3"),"",IFERROR(INDEX(BOOT_ZERO,MATCH(F120,BOOT_DATES,0)),""))</f>
        <v/>
      </c>
      <c r="P120" s="89">
        <f>IF(OR(O120="",NOT(ISNUMBER(C120))),"",(O120-C120)*100)</f>
        <v/>
      </c>
      <c r="Q120" s="72">
        <f>IF(OR(M120="",NOT(ISNUMBER(D120))),"",M120-D120)</f>
        <v/>
      </c>
    </row>
    <row r="121">
      <c r="A121" s="68" t="n"/>
      <c r="B121" s="85" t="n"/>
      <c r="C121" s="85" t="n"/>
      <c r="D121" s="69" t="n"/>
      <c r="E121" s="112">
        <f>IF(OR(A121="",$D$106=""),"",IF(RIGHT(A121,1)="W",$D$106+7*VALUE(LEFT(A121,LEN(A121)-1)),IF(RIGHT(A121,1)="M",EDATE($D$106,VALUE(LEFT(A121,LEN(A121)-1))),EDATE($D$106,12*VALUE(LEFT(A121,LEN(A121)-1))))))</f>
        <v/>
      </c>
      <c r="F121" s="112">
        <f>IF(E121="","",IF(MONTH((E121+IF(WEEKDAY(E121,2)=6,2,IF(WEEKDAY(E121,2)=7,1,0))))&lt;&gt;MONTH(E121),(E121-IF(WEEKDAY(E121,2)=6,1,IF(WEEKDAY(E121,2)=7,2,0))),(E121+IF(WEEKDAY(E121,2)=6,2,IF(WEEKDAY(E121,2)=7,1,0)))))</f>
        <v/>
      </c>
      <c r="G121" s="84">
        <f>IF(NOT(BOOT_MODE="Test 3"),"",IFERROR(INDEX(BOOT_S,MATCH(F121,BOOT_DATES,0)),""))</f>
        <v/>
      </c>
      <c r="H121" s="160">
        <f>IF(NOT(BOOT_MODE="Test 3"),"",IFERROR(IF(MATCH(F121,BOOT_DATES,0)&lt;=15,"short  DFspot/(1+S*tau)","annual (DFspot-S*A)/(1+S*tau)"),""))</f>
        <v/>
      </c>
      <c r="I121" s="80">
        <f>IF(NOT(BOOT_MODE="Test 3"),"",IFERROR(IF(MATCH(F121,BOOT_DATES,0)&lt;=15,INDEX(BOOT_TAU0,MATCH(F121,BOOT_DATES,0)),INDEX(BOOT_TAUC,MATCH(F121,BOOT_DATES,0))),""))</f>
        <v/>
      </c>
      <c r="J121" s="76">
        <f>IF(NOT(BOOT_MODE="Test 3"),"",IFERROR(IF(MATCH(F121,BOOT_DATES,0)&lt;=15,0,INDEX(BOOT_ANN,MATCH(F121,BOOT_DATES,0))),""))</f>
        <v/>
      </c>
      <c r="K121" s="76">
        <f>IF(OR(G121="",I121=""),"",BOOT_DFSPOT-(G121/100)*J121)</f>
        <v/>
      </c>
      <c r="L121" s="76">
        <f>IF(OR(G121="",I121=""),"",1+(G121/100)*I121)</f>
        <v/>
      </c>
      <c r="M121" s="76">
        <f>IF(NOT(BOOT_MODE="Test 3"),"",IFERROR(INDEX(BOOT_DF,MATCH(F121,BOOT_DATES,0)),""))</f>
        <v/>
      </c>
      <c r="N121" s="80">
        <f>IF(NOT(BOOT_MODE="Test 3"),"",IFERROR(INDEX(BOOT_T,MATCH(F121,BOOT_DATES,0)),""))</f>
        <v/>
      </c>
      <c r="O121" s="84">
        <f>IF(NOT(BOOT_MODE="Test 3"),"",IFERROR(INDEX(BOOT_ZERO,MATCH(F121,BOOT_DATES,0)),""))</f>
        <v/>
      </c>
      <c r="P121" s="89">
        <f>IF(OR(O121="",NOT(ISNUMBER(C121))),"",(O121-C121)*100)</f>
        <v/>
      </c>
      <c r="Q121" s="72">
        <f>IF(OR(M121="",NOT(ISNUMBER(D121))),"",M121-D121)</f>
        <v/>
      </c>
    </row>
    <row r="122">
      <c r="A122" s="68" t="n"/>
      <c r="B122" s="85" t="n"/>
      <c r="C122" s="85" t="n"/>
      <c r="D122" s="69" t="n"/>
      <c r="E122" s="112">
        <f>IF(OR(A122="",$D$106=""),"",IF(RIGHT(A122,1)="W",$D$106+7*VALUE(LEFT(A122,LEN(A122)-1)),IF(RIGHT(A122,1)="M",EDATE($D$106,VALUE(LEFT(A122,LEN(A122)-1))),EDATE($D$106,12*VALUE(LEFT(A122,LEN(A122)-1))))))</f>
        <v/>
      </c>
      <c r="F122" s="112">
        <f>IF(E122="","",IF(MONTH((E122+IF(WEEKDAY(E122,2)=6,2,IF(WEEKDAY(E122,2)=7,1,0))))&lt;&gt;MONTH(E122),(E122-IF(WEEKDAY(E122,2)=6,1,IF(WEEKDAY(E122,2)=7,2,0))),(E122+IF(WEEKDAY(E122,2)=6,2,IF(WEEKDAY(E122,2)=7,1,0)))))</f>
        <v/>
      </c>
      <c r="G122" s="84">
        <f>IF(NOT(BOOT_MODE="Test 3"),"",IFERROR(INDEX(BOOT_S,MATCH(F122,BOOT_DATES,0)),""))</f>
        <v/>
      </c>
      <c r="H122" s="160">
        <f>IF(NOT(BOOT_MODE="Test 3"),"",IFERROR(IF(MATCH(F122,BOOT_DATES,0)&lt;=15,"short  DFspot/(1+S*tau)","annual (DFspot-S*A)/(1+S*tau)"),""))</f>
        <v/>
      </c>
      <c r="I122" s="80">
        <f>IF(NOT(BOOT_MODE="Test 3"),"",IFERROR(IF(MATCH(F122,BOOT_DATES,0)&lt;=15,INDEX(BOOT_TAU0,MATCH(F122,BOOT_DATES,0)),INDEX(BOOT_TAUC,MATCH(F122,BOOT_DATES,0))),""))</f>
        <v/>
      </c>
      <c r="J122" s="76">
        <f>IF(NOT(BOOT_MODE="Test 3"),"",IFERROR(IF(MATCH(F122,BOOT_DATES,0)&lt;=15,0,INDEX(BOOT_ANN,MATCH(F122,BOOT_DATES,0))),""))</f>
        <v/>
      </c>
      <c r="K122" s="76">
        <f>IF(OR(G122="",I122=""),"",BOOT_DFSPOT-(G122/100)*J122)</f>
        <v/>
      </c>
      <c r="L122" s="76">
        <f>IF(OR(G122="",I122=""),"",1+(G122/100)*I122)</f>
        <v/>
      </c>
      <c r="M122" s="76">
        <f>IF(NOT(BOOT_MODE="Test 3"),"",IFERROR(INDEX(BOOT_DF,MATCH(F122,BOOT_DATES,0)),""))</f>
        <v/>
      </c>
      <c r="N122" s="80">
        <f>IF(NOT(BOOT_MODE="Test 3"),"",IFERROR(INDEX(BOOT_T,MATCH(F122,BOOT_DATES,0)),""))</f>
        <v/>
      </c>
      <c r="O122" s="84">
        <f>IF(NOT(BOOT_MODE="Test 3"),"",IFERROR(INDEX(BOOT_ZERO,MATCH(F122,BOOT_DATES,0)),""))</f>
        <v/>
      </c>
      <c r="P122" s="89">
        <f>IF(OR(O122="",NOT(ISNUMBER(C122))),"",(O122-C122)*100)</f>
        <v/>
      </c>
      <c r="Q122" s="72">
        <f>IF(OR(M122="",NOT(ISNUMBER(D122))),"",M122-D122)</f>
        <v/>
      </c>
    </row>
    <row r="123">
      <c r="A123" s="68" t="n"/>
      <c r="B123" s="85" t="n"/>
      <c r="C123" s="85" t="n"/>
      <c r="D123" s="69" t="n"/>
      <c r="E123" s="112">
        <f>IF(OR(A123="",$D$106=""),"",IF(RIGHT(A123,1)="W",$D$106+7*VALUE(LEFT(A123,LEN(A123)-1)),IF(RIGHT(A123,1)="M",EDATE($D$106,VALUE(LEFT(A123,LEN(A123)-1))),EDATE($D$106,12*VALUE(LEFT(A123,LEN(A123)-1))))))</f>
        <v/>
      </c>
      <c r="F123" s="112">
        <f>IF(E123="","",IF(MONTH((E123+IF(WEEKDAY(E123,2)=6,2,IF(WEEKDAY(E123,2)=7,1,0))))&lt;&gt;MONTH(E123),(E123-IF(WEEKDAY(E123,2)=6,1,IF(WEEKDAY(E123,2)=7,2,0))),(E123+IF(WEEKDAY(E123,2)=6,2,IF(WEEKDAY(E123,2)=7,1,0)))))</f>
        <v/>
      </c>
      <c r="G123" s="84">
        <f>IF(NOT(BOOT_MODE="Test 3"),"",IFERROR(INDEX(BOOT_S,MATCH(F123,BOOT_DATES,0)),""))</f>
        <v/>
      </c>
      <c r="H123" s="160">
        <f>IF(NOT(BOOT_MODE="Test 3"),"",IFERROR(IF(MATCH(F123,BOOT_DATES,0)&lt;=15,"short  DFspot/(1+S*tau)","annual (DFspot-S*A)/(1+S*tau)"),""))</f>
        <v/>
      </c>
      <c r="I123" s="80">
        <f>IF(NOT(BOOT_MODE="Test 3"),"",IFERROR(IF(MATCH(F123,BOOT_DATES,0)&lt;=15,INDEX(BOOT_TAU0,MATCH(F123,BOOT_DATES,0)),INDEX(BOOT_TAUC,MATCH(F123,BOOT_DATES,0))),""))</f>
        <v/>
      </c>
      <c r="J123" s="76">
        <f>IF(NOT(BOOT_MODE="Test 3"),"",IFERROR(IF(MATCH(F123,BOOT_DATES,0)&lt;=15,0,INDEX(BOOT_ANN,MATCH(F123,BOOT_DATES,0))),""))</f>
        <v/>
      </c>
      <c r="K123" s="76">
        <f>IF(OR(G123="",I123=""),"",BOOT_DFSPOT-(G123/100)*J123)</f>
        <v/>
      </c>
      <c r="L123" s="76">
        <f>IF(OR(G123="",I123=""),"",1+(G123/100)*I123)</f>
        <v/>
      </c>
      <c r="M123" s="76">
        <f>IF(NOT(BOOT_MODE="Test 3"),"",IFERROR(INDEX(BOOT_DF,MATCH(F123,BOOT_DATES,0)),""))</f>
        <v/>
      </c>
      <c r="N123" s="80">
        <f>IF(NOT(BOOT_MODE="Test 3"),"",IFERROR(INDEX(BOOT_T,MATCH(F123,BOOT_DATES,0)),""))</f>
        <v/>
      </c>
      <c r="O123" s="84">
        <f>IF(NOT(BOOT_MODE="Test 3"),"",IFERROR(INDEX(BOOT_ZERO,MATCH(F123,BOOT_DATES,0)),""))</f>
        <v/>
      </c>
      <c r="P123" s="89">
        <f>IF(OR(O123="",NOT(ISNUMBER(C123))),"",(O123-C123)*100)</f>
        <v/>
      </c>
      <c r="Q123" s="72">
        <f>IF(OR(M123="",NOT(ISNUMBER(D123))),"",M123-D123)</f>
        <v/>
      </c>
    </row>
    <row r="124">
      <c r="A124" s="68" t="n"/>
      <c r="B124" s="85" t="n"/>
      <c r="C124" s="85" t="n"/>
      <c r="D124" s="69" t="n"/>
      <c r="E124" s="112">
        <f>IF(OR(A124="",$D$106=""),"",IF(RIGHT(A124,1)="W",$D$106+7*VALUE(LEFT(A124,LEN(A124)-1)),IF(RIGHT(A124,1)="M",EDATE($D$106,VALUE(LEFT(A124,LEN(A124)-1))),EDATE($D$106,12*VALUE(LEFT(A124,LEN(A124)-1))))))</f>
        <v/>
      </c>
      <c r="F124" s="112">
        <f>IF(E124="","",IF(MONTH((E124+IF(WEEKDAY(E124,2)=6,2,IF(WEEKDAY(E124,2)=7,1,0))))&lt;&gt;MONTH(E124),(E124-IF(WEEKDAY(E124,2)=6,1,IF(WEEKDAY(E124,2)=7,2,0))),(E124+IF(WEEKDAY(E124,2)=6,2,IF(WEEKDAY(E124,2)=7,1,0)))))</f>
        <v/>
      </c>
      <c r="G124" s="84">
        <f>IF(NOT(BOOT_MODE="Test 3"),"",IFERROR(INDEX(BOOT_S,MATCH(F124,BOOT_DATES,0)),""))</f>
        <v/>
      </c>
      <c r="H124" s="160">
        <f>IF(NOT(BOOT_MODE="Test 3"),"",IFERROR(IF(MATCH(F124,BOOT_DATES,0)&lt;=15,"short  DFspot/(1+S*tau)","annual (DFspot-S*A)/(1+S*tau)"),""))</f>
        <v/>
      </c>
      <c r="I124" s="80">
        <f>IF(NOT(BOOT_MODE="Test 3"),"",IFERROR(IF(MATCH(F124,BOOT_DATES,0)&lt;=15,INDEX(BOOT_TAU0,MATCH(F124,BOOT_DATES,0)),INDEX(BOOT_TAUC,MATCH(F124,BOOT_DATES,0))),""))</f>
        <v/>
      </c>
      <c r="J124" s="76">
        <f>IF(NOT(BOOT_MODE="Test 3"),"",IFERROR(IF(MATCH(F124,BOOT_DATES,0)&lt;=15,0,INDEX(BOOT_ANN,MATCH(F124,BOOT_DATES,0))),""))</f>
        <v/>
      </c>
      <c r="K124" s="76">
        <f>IF(OR(G124="",I124=""),"",BOOT_DFSPOT-(G124/100)*J124)</f>
        <v/>
      </c>
      <c r="L124" s="76">
        <f>IF(OR(G124="",I124=""),"",1+(G124/100)*I124)</f>
        <v/>
      </c>
      <c r="M124" s="76">
        <f>IF(NOT(BOOT_MODE="Test 3"),"",IFERROR(INDEX(BOOT_DF,MATCH(F124,BOOT_DATES,0)),""))</f>
        <v/>
      </c>
      <c r="N124" s="80">
        <f>IF(NOT(BOOT_MODE="Test 3"),"",IFERROR(INDEX(BOOT_T,MATCH(F124,BOOT_DATES,0)),""))</f>
        <v/>
      </c>
      <c r="O124" s="84">
        <f>IF(NOT(BOOT_MODE="Test 3"),"",IFERROR(INDEX(BOOT_ZERO,MATCH(F124,BOOT_DATES,0)),""))</f>
        <v/>
      </c>
      <c r="P124" s="89">
        <f>IF(OR(O124="",NOT(ISNUMBER(C124))),"",(O124-C124)*100)</f>
        <v/>
      </c>
      <c r="Q124" s="72">
        <f>IF(OR(M124="",NOT(ISNUMBER(D124))),"",M124-D124)</f>
        <v/>
      </c>
    </row>
    <row r="125">
      <c r="A125" s="68" t="n"/>
      <c r="B125" s="85" t="n"/>
      <c r="C125" s="85" t="n"/>
      <c r="D125" s="69" t="n"/>
      <c r="E125" s="112">
        <f>IF(OR(A125="",$D$106=""),"",IF(RIGHT(A125,1)="W",$D$106+7*VALUE(LEFT(A125,LEN(A125)-1)),IF(RIGHT(A125,1)="M",EDATE($D$106,VALUE(LEFT(A125,LEN(A125)-1))),EDATE($D$106,12*VALUE(LEFT(A125,LEN(A125)-1))))))</f>
        <v/>
      </c>
      <c r="F125" s="112">
        <f>IF(E125="","",IF(MONTH((E125+IF(WEEKDAY(E125,2)=6,2,IF(WEEKDAY(E125,2)=7,1,0))))&lt;&gt;MONTH(E125),(E125-IF(WEEKDAY(E125,2)=6,1,IF(WEEKDAY(E125,2)=7,2,0))),(E125+IF(WEEKDAY(E125,2)=6,2,IF(WEEKDAY(E125,2)=7,1,0)))))</f>
        <v/>
      </c>
      <c r="G125" s="84">
        <f>IF(NOT(BOOT_MODE="Test 3"),"",IFERROR(INDEX(BOOT_S,MATCH(F125,BOOT_DATES,0)),""))</f>
        <v/>
      </c>
      <c r="H125" s="160">
        <f>IF(NOT(BOOT_MODE="Test 3"),"",IFERROR(IF(MATCH(F125,BOOT_DATES,0)&lt;=15,"short  DFspot/(1+S*tau)","annual (DFspot-S*A)/(1+S*tau)"),""))</f>
        <v/>
      </c>
      <c r="I125" s="80">
        <f>IF(NOT(BOOT_MODE="Test 3"),"",IFERROR(IF(MATCH(F125,BOOT_DATES,0)&lt;=15,INDEX(BOOT_TAU0,MATCH(F125,BOOT_DATES,0)),INDEX(BOOT_TAUC,MATCH(F125,BOOT_DATES,0))),""))</f>
        <v/>
      </c>
      <c r="J125" s="76">
        <f>IF(NOT(BOOT_MODE="Test 3"),"",IFERROR(IF(MATCH(F125,BOOT_DATES,0)&lt;=15,0,INDEX(BOOT_ANN,MATCH(F125,BOOT_DATES,0))),""))</f>
        <v/>
      </c>
      <c r="K125" s="76">
        <f>IF(OR(G125="",I125=""),"",BOOT_DFSPOT-(G125/100)*J125)</f>
        <v/>
      </c>
      <c r="L125" s="76">
        <f>IF(OR(G125="",I125=""),"",1+(G125/100)*I125)</f>
        <v/>
      </c>
      <c r="M125" s="76">
        <f>IF(NOT(BOOT_MODE="Test 3"),"",IFERROR(INDEX(BOOT_DF,MATCH(F125,BOOT_DATES,0)),""))</f>
        <v/>
      </c>
      <c r="N125" s="80">
        <f>IF(NOT(BOOT_MODE="Test 3"),"",IFERROR(INDEX(BOOT_T,MATCH(F125,BOOT_DATES,0)),""))</f>
        <v/>
      </c>
      <c r="O125" s="84">
        <f>IF(NOT(BOOT_MODE="Test 3"),"",IFERROR(INDEX(BOOT_ZERO,MATCH(F125,BOOT_DATES,0)),""))</f>
        <v/>
      </c>
      <c r="P125" s="89">
        <f>IF(OR(O125="",NOT(ISNUMBER(C125))),"",(O125-C125)*100)</f>
        <v/>
      </c>
      <c r="Q125" s="72">
        <f>IF(OR(M125="",NOT(ISNUMBER(D125))),"",M125-D125)</f>
        <v/>
      </c>
    </row>
    <row r="126">
      <c r="A126" s="68" t="n"/>
      <c r="B126" s="85" t="n"/>
      <c r="C126" s="85" t="n"/>
      <c r="D126" s="69" t="n"/>
      <c r="E126" s="112">
        <f>IF(OR(A126="",$D$106=""),"",IF(RIGHT(A126,1)="W",$D$106+7*VALUE(LEFT(A126,LEN(A126)-1)),IF(RIGHT(A126,1)="M",EDATE($D$106,VALUE(LEFT(A126,LEN(A126)-1))),EDATE($D$106,12*VALUE(LEFT(A126,LEN(A126)-1))))))</f>
        <v/>
      </c>
      <c r="F126" s="112">
        <f>IF(E126="","",IF(MONTH((E126+IF(WEEKDAY(E126,2)=6,2,IF(WEEKDAY(E126,2)=7,1,0))))&lt;&gt;MONTH(E126),(E126-IF(WEEKDAY(E126,2)=6,1,IF(WEEKDAY(E126,2)=7,2,0))),(E126+IF(WEEKDAY(E126,2)=6,2,IF(WEEKDAY(E126,2)=7,1,0)))))</f>
        <v/>
      </c>
      <c r="G126" s="84">
        <f>IF(NOT(BOOT_MODE="Test 3"),"",IFERROR(INDEX(BOOT_S,MATCH(F126,BOOT_DATES,0)),""))</f>
        <v/>
      </c>
      <c r="H126" s="160">
        <f>IF(NOT(BOOT_MODE="Test 3"),"",IFERROR(IF(MATCH(F126,BOOT_DATES,0)&lt;=15,"short  DFspot/(1+S*tau)","annual (DFspot-S*A)/(1+S*tau)"),""))</f>
        <v/>
      </c>
      <c r="I126" s="80">
        <f>IF(NOT(BOOT_MODE="Test 3"),"",IFERROR(IF(MATCH(F126,BOOT_DATES,0)&lt;=15,INDEX(BOOT_TAU0,MATCH(F126,BOOT_DATES,0)),INDEX(BOOT_TAUC,MATCH(F126,BOOT_DATES,0))),""))</f>
        <v/>
      </c>
      <c r="J126" s="76">
        <f>IF(NOT(BOOT_MODE="Test 3"),"",IFERROR(IF(MATCH(F126,BOOT_DATES,0)&lt;=15,0,INDEX(BOOT_ANN,MATCH(F126,BOOT_DATES,0))),""))</f>
        <v/>
      </c>
      <c r="K126" s="76">
        <f>IF(OR(G126="",I126=""),"",BOOT_DFSPOT-(G126/100)*J126)</f>
        <v/>
      </c>
      <c r="L126" s="76">
        <f>IF(OR(G126="",I126=""),"",1+(G126/100)*I126)</f>
        <v/>
      </c>
      <c r="M126" s="76">
        <f>IF(NOT(BOOT_MODE="Test 3"),"",IFERROR(INDEX(BOOT_DF,MATCH(F126,BOOT_DATES,0)),""))</f>
        <v/>
      </c>
      <c r="N126" s="80">
        <f>IF(NOT(BOOT_MODE="Test 3"),"",IFERROR(INDEX(BOOT_T,MATCH(F126,BOOT_DATES,0)),""))</f>
        <v/>
      </c>
      <c r="O126" s="84">
        <f>IF(NOT(BOOT_MODE="Test 3"),"",IFERROR(INDEX(BOOT_ZERO,MATCH(F126,BOOT_DATES,0)),""))</f>
        <v/>
      </c>
      <c r="P126" s="89">
        <f>IF(OR(O126="",NOT(ISNUMBER(C126))),"",(O126-C126)*100)</f>
        <v/>
      </c>
      <c r="Q126" s="72">
        <f>IF(OR(M126="",NOT(ISNUMBER(D126))),"",M126-D126)</f>
        <v/>
      </c>
    </row>
    <row r="127">
      <c r="A127" s="68" t="n"/>
      <c r="B127" s="85" t="n"/>
      <c r="C127" s="85" t="n"/>
      <c r="D127" s="69" t="n"/>
      <c r="E127" s="112">
        <f>IF(OR(A127="",$D$106=""),"",IF(RIGHT(A127,1)="W",$D$106+7*VALUE(LEFT(A127,LEN(A127)-1)),IF(RIGHT(A127,1)="M",EDATE($D$106,VALUE(LEFT(A127,LEN(A127)-1))),EDATE($D$106,12*VALUE(LEFT(A127,LEN(A127)-1))))))</f>
        <v/>
      </c>
      <c r="F127" s="112">
        <f>IF(E127="","",IF(MONTH((E127+IF(WEEKDAY(E127,2)=6,2,IF(WEEKDAY(E127,2)=7,1,0))))&lt;&gt;MONTH(E127),(E127-IF(WEEKDAY(E127,2)=6,1,IF(WEEKDAY(E127,2)=7,2,0))),(E127+IF(WEEKDAY(E127,2)=6,2,IF(WEEKDAY(E127,2)=7,1,0)))))</f>
        <v/>
      </c>
      <c r="G127" s="84">
        <f>IF(NOT(BOOT_MODE="Test 3"),"",IFERROR(INDEX(BOOT_S,MATCH(F127,BOOT_DATES,0)),""))</f>
        <v/>
      </c>
      <c r="H127" s="160">
        <f>IF(NOT(BOOT_MODE="Test 3"),"",IFERROR(IF(MATCH(F127,BOOT_DATES,0)&lt;=15,"short  DFspot/(1+S*tau)","annual (DFspot-S*A)/(1+S*tau)"),""))</f>
        <v/>
      </c>
      <c r="I127" s="80">
        <f>IF(NOT(BOOT_MODE="Test 3"),"",IFERROR(IF(MATCH(F127,BOOT_DATES,0)&lt;=15,INDEX(BOOT_TAU0,MATCH(F127,BOOT_DATES,0)),INDEX(BOOT_TAUC,MATCH(F127,BOOT_DATES,0))),""))</f>
        <v/>
      </c>
      <c r="J127" s="76">
        <f>IF(NOT(BOOT_MODE="Test 3"),"",IFERROR(IF(MATCH(F127,BOOT_DATES,0)&lt;=15,0,INDEX(BOOT_ANN,MATCH(F127,BOOT_DATES,0))),""))</f>
        <v/>
      </c>
      <c r="K127" s="76">
        <f>IF(OR(G127="",I127=""),"",BOOT_DFSPOT-(G127/100)*J127)</f>
        <v/>
      </c>
      <c r="L127" s="76">
        <f>IF(OR(G127="",I127=""),"",1+(G127/100)*I127)</f>
        <v/>
      </c>
      <c r="M127" s="76">
        <f>IF(NOT(BOOT_MODE="Test 3"),"",IFERROR(INDEX(BOOT_DF,MATCH(F127,BOOT_DATES,0)),""))</f>
        <v/>
      </c>
      <c r="N127" s="80">
        <f>IF(NOT(BOOT_MODE="Test 3"),"",IFERROR(INDEX(BOOT_T,MATCH(F127,BOOT_DATES,0)),""))</f>
        <v/>
      </c>
      <c r="O127" s="84">
        <f>IF(NOT(BOOT_MODE="Test 3"),"",IFERROR(INDEX(BOOT_ZERO,MATCH(F127,BOOT_DATES,0)),""))</f>
        <v/>
      </c>
      <c r="P127" s="89">
        <f>IF(OR(O127="",NOT(ISNUMBER(C127))),"",(O127-C127)*100)</f>
        <v/>
      </c>
      <c r="Q127" s="72">
        <f>IF(OR(M127="",NOT(ISNUMBER(D127))),"",M127-D127)</f>
        <v/>
      </c>
    </row>
    <row r="128">
      <c r="A128" s="68" t="n"/>
      <c r="B128" s="85" t="n"/>
      <c r="C128" s="85" t="n"/>
      <c r="D128" s="69" t="n"/>
      <c r="E128" s="112">
        <f>IF(OR(A128="",$D$106=""),"",IF(RIGHT(A128,1)="W",$D$106+7*VALUE(LEFT(A128,LEN(A128)-1)),IF(RIGHT(A128,1)="M",EDATE($D$106,VALUE(LEFT(A128,LEN(A128)-1))),EDATE($D$106,12*VALUE(LEFT(A128,LEN(A128)-1))))))</f>
        <v/>
      </c>
      <c r="F128" s="112">
        <f>IF(E128="","",IF(MONTH((E128+IF(WEEKDAY(E128,2)=6,2,IF(WEEKDAY(E128,2)=7,1,0))))&lt;&gt;MONTH(E128),(E128-IF(WEEKDAY(E128,2)=6,1,IF(WEEKDAY(E128,2)=7,2,0))),(E128+IF(WEEKDAY(E128,2)=6,2,IF(WEEKDAY(E128,2)=7,1,0)))))</f>
        <v/>
      </c>
      <c r="G128" s="84">
        <f>IF(NOT(BOOT_MODE="Test 3"),"",IFERROR(INDEX(BOOT_S,MATCH(F128,BOOT_DATES,0)),""))</f>
        <v/>
      </c>
      <c r="H128" s="160">
        <f>IF(NOT(BOOT_MODE="Test 3"),"",IFERROR(IF(MATCH(F128,BOOT_DATES,0)&lt;=15,"short  DFspot/(1+S*tau)","annual (DFspot-S*A)/(1+S*tau)"),""))</f>
        <v/>
      </c>
      <c r="I128" s="80">
        <f>IF(NOT(BOOT_MODE="Test 3"),"",IFERROR(IF(MATCH(F128,BOOT_DATES,0)&lt;=15,INDEX(BOOT_TAU0,MATCH(F128,BOOT_DATES,0)),INDEX(BOOT_TAUC,MATCH(F128,BOOT_DATES,0))),""))</f>
        <v/>
      </c>
      <c r="J128" s="76">
        <f>IF(NOT(BOOT_MODE="Test 3"),"",IFERROR(IF(MATCH(F128,BOOT_DATES,0)&lt;=15,0,INDEX(BOOT_ANN,MATCH(F128,BOOT_DATES,0))),""))</f>
        <v/>
      </c>
      <c r="K128" s="76">
        <f>IF(OR(G128="",I128=""),"",BOOT_DFSPOT-(G128/100)*J128)</f>
        <v/>
      </c>
      <c r="L128" s="76">
        <f>IF(OR(G128="",I128=""),"",1+(G128/100)*I128)</f>
        <v/>
      </c>
      <c r="M128" s="76">
        <f>IF(NOT(BOOT_MODE="Test 3"),"",IFERROR(INDEX(BOOT_DF,MATCH(F128,BOOT_DATES,0)),""))</f>
        <v/>
      </c>
      <c r="N128" s="80">
        <f>IF(NOT(BOOT_MODE="Test 3"),"",IFERROR(INDEX(BOOT_T,MATCH(F128,BOOT_DATES,0)),""))</f>
        <v/>
      </c>
      <c r="O128" s="84">
        <f>IF(NOT(BOOT_MODE="Test 3"),"",IFERROR(INDEX(BOOT_ZERO,MATCH(F128,BOOT_DATES,0)),""))</f>
        <v/>
      </c>
      <c r="P128" s="89">
        <f>IF(OR(O128="",NOT(ISNUMBER(C128))),"",(O128-C128)*100)</f>
        <v/>
      </c>
      <c r="Q128" s="72">
        <f>IF(OR(M128="",NOT(ISNUMBER(D128))),"",M128-D128)</f>
        <v/>
      </c>
    </row>
    <row r="129">
      <c r="A129" s="68" t="n"/>
      <c r="B129" s="85" t="n"/>
      <c r="C129" s="85" t="n"/>
      <c r="D129" s="69" t="n"/>
      <c r="E129" s="112">
        <f>IF(OR(A129="",$D$106=""),"",IF(RIGHT(A129,1)="W",$D$106+7*VALUE(LEFT(A129,LEN(A129)-1)),IF(RIGHT(A129,1)="M",EDATE($D$106,VALUE(LEFT(A129,LEN(A129)-1))),EDATE($D$106,12*VALUE(LEFT(A129,LEN(A129)-1))))))</f>
        <v/>
      </c>
      <c r="F129" s="112">
        <f>IF(E129="","",IF(MONTH((E129+IF(WEEKDAY(E129,2)=6,2,IF(WEEKDAY(E129,2)=7,1,0))))&lt;&gt;MONTH(E129),(E129-IF(WEEKDAY(E129,2)=6,1,IF(WEEKDAY(E129,2)=7,2,0))),(E129+IF(WEEKDAY(E129,2)=6,2,IF(WEEKDAY(E129,2)=7,1,0)))))</f>
        <v/>
      </c>
      <c r="G129" s="84">
        <f>IF(NOT(BOOT_MODE="Test 3"),"",IFERROR(INDEX(BOOT_S,MATCH(F129,BOOT_DATES,0)),""))</f>
        <v/>
      </c>
      <c r="H129" s="160">
        <f>IF(NOT(BOOT_MODE="Test 3"),"",IFERROR(IF(MATCH(F129,BOOT_DATES,0)&lt;=15,"short  DFspot/(1+S*tau)","annual (DFspot-S*A)/(1+S*tau)"),""))</f>
        <v/>
      </c>
      <c r="I129" s="80">
        <f>IF(NOT(BOOT_MODE="Test 3"),"",IFERROR(IF(MATCH(F129,BOOT_DATES,0)&lt;=15,INDEX(BOOT_TAU0,MATCH(F129,BOOT_DATES,0)),INDEX(BOOT_TAUC,MATCH(F129,BOOT_DATES,0))),""))</f>
        <v/>
      </c>
      <c r="J129" s="76">
        <f>IF(NOT(BOOT_MODE="Test 3"),"",IFERROR(IF(MATCH(F129,BOOT_DATES,0)&lt;=15,0,INDEX(BOOT_ANN,MATCH(F129,BOOT_DATES,0))),""))</f>
        <v/>
      </c>
      <c r="K129" s="76">
        <f>IF(OR(G129="",I129=""),"",BOOT_DFSPOT-(G129/100)*J129)</f>
        <v/>
      </c>
      <c r="L129" s="76">
        <f>IF(OR(G129="",I129=""),"",1+(G129/100)*I129)</f>
        <v/>
      </c>
      <c r="M129" s="76">
        <f>IF(NOT(BOOT_MODE="Test 3"),"",IFERROR(INDEX(BOOT_DF,MATCH(F129,BOOT_DATES,0)),""))</f>
        <v/>
      </c>
      <c r="N129" s="80">
        <f>IF(NOT(BOOT_MODE="Test 3"),"",IFERROR(INDEX(BOOT_T,MATCH(F129,BOOT_DATES,0)),""))</f>
        <v/>
      </c>
      <c r="O129" s="84">
        <f>IF(NOT(BOOT_MODE="Test 3"),"",IFERROR(INDEX(BOOT_ZERO,MATCH(F129,BOOT_DATES,0)),""))</f>
        <v/>
      </c>
      <c r="P129" s="89">
        <f>IF(OR(O129="",NOT(ISNUMBER(C129))),"",(O129-C129)*100)</f>
        <v/>
      </c>
      <c r="Q129" s="72">
        <f>IF(OR(M129="",NOT(ISNUMBER(D129))),"",M129-D129)</f>
        <v/>
      </c>
    </row>
    <row r="130">
      <c r="A130" s="68" t="n"/>
      <c r="B130" s="85" t="n"/>
      <c r="C130" s="85" t="n"/>
      <c r="D130" s="69" t="n"/>
      <c r="E130" s="112">
        <f>IF(OR(A130="",$D$106=""),"",IF(RIGHT(A130,1)="W",$D$106+7*VALUE(LEFT(A130,LEN(A130)-1)),IF(RIGHT(A130,1)="M",EDATE($D$106,VALUE(LEFT(A130,LEN(A130)-1))),EDATE($D$106,12*VALUE(LEFT(A130,LEN(A130)-1))))))</f>
        <v/>
      </c>
      <c r="F130" s="112">
        <f>IF(E130="","",IF(MONTH((E130+IF(WEEKDAY(E130,2)=6,2,IF(WEEKDAY(E130,2)=7,1,0))))&lt;&gt;MONTH(E130),(E130-IF(WEEKDAY(E130,2)=6,1,IF(WEEKDAY(E130,2)=7,2,0))),(E130+IF(WEEKDAY(E130,2)=6,2,IF(WEEKDAY(E130,2)=7,1,0)))))</f>
        <v/>
      </c>
      <c r="G130" s="84">
        <f>IF(NOT(BOOT_MODE="Test 3"),"",IFERROR(INDEX(BOOT_S,MATCH(F130,BOOT_DATES,0)),""))</f>
        <v/>
      </c>
      <c r="H130" s="160">
        <f>IF(NOT(BOOT_MODE="Test 3"),"",IFERROR(IF(MATCH(F130,BOOT_DATES,0)&lt;=15,"short  DFspot/(1+S*tau)","annual (DFspot-S*A)/(1+S*tau)"),""))</f>
        <v/>
      </c>
      <c r="I130" s="80">
        <f>IF(NOT(BOOT_MODE="Test 3"),"",IFERROR(IF(MATCH(F130,BOOT_DATES,0)&lt;=15,INDEX(BOOT_TAU0,MATCH(F130,BOOT_DATES,0)),INDEX(BOOT_TAUC,MATCH(F130,BOOT_DATES,0))),""))</f>
        <v/>
      </c>
      <c r="J130" s="76">
        <f>IF(NOT(BOOT_MODE="Test 3"),"",IFERROR(IF(MATCH(F130,BOOT_DATES,0)&lt;=15,0,INDEX(BOOT_ANN,MATCH(F130,BOOT_DATES,0))),""))</f>
        <v/>
      </c>
      <c r="K130" s="76">
        <f>IF(OR(G130="",I130=""),"",BOOT_DFSPOT-(G130/100)*J130)</f>
        <v/>
      </c>
      <c r="L130" s="76">
        <f>IF(OR(G130="",I130=""),"",1+(G130/100)*I130)</f>
        <v/>
      </c>
      <c r="M130" s="76">
        <f>IF(NOT(BOOT_MODE="Test 3"),"",IFERROR(INDEX(BOOT_DF,MATCH(F130,BOOT_DATES,0)),""))</f>
        <v/>
      </c>
      <c r="N130" s="80">
        <f>IF(NOT(BOOT_MODE="Test 3"),"",IFERROR(INDEX(BOOT_T,MATCH(F130,BOOT_DATES,0)),""))</f>
        <v/>
      </c>
      <c r="O130" s="84">
        <f>IF(NOT(BOOT_MODE="Test 3"),"",IFERROR(INDEX(BOOT_ZERO,MATCH(F130,BOOT_DATES,0)),""))</f>
        <v/>
      </c>
      <c r="P130" s="89">
        <f>IF(OR(O130="",NOT(ISNUMBER(C130))),"",(O130-C130)*100)</f>
        <v/>
      </c>
      <c r="Q130" s="72">
        <f>IF(OR(M130="",NOT(ISNUMBER(D130))),"",M130-D130)</f>
        <v/>
      </c>
    </row>
    <row r="131">
      <c r="A131" s="68" t="n"/>
      <c r="B131" s="85" t="n"/>
      <c r="C131" s="85" t="n"/>
      <c r="D131" s="69" t="n"/>
      <c r="E131" s="112">
        <f>IF(OR(A131="",$D$106=""),"",IF(RIGHT(A131,1)="W",$D$106+7*VALUE(LEFT(A131,LEN(A131)-1)),IF(RIGHT(A131,1)="M",EDATE($D$106,VALUE(LEFT(A131,LEN(A131)-1))),EDATE($D$106,12*VALUE(LEFT(A131,LEN(A131)-1))))))</f>
        <v/>
      </c>
      <c r="F131" s="112">
        <f>IF(E131="","",IF(MONTH((E131+IF(WEEKDAY(E131,2)=6,2,IF(WEEKDAY(E131,2)=7,1,0))))&lt;&gt;MONTH(E131),(E131-IF(WEEKDAY(E131,2)=6,1,IF(WEEKDAY(E131,2)=7,2,0))),(E131+IF(WEEKDAY(E131,2)=6,2,IF(WEEKDAY(E131,2)=7,1,0)))))</f>
        <v/>
      </c>
      <c r="G131" s="84">
        <f>IF(NOT(BOOT_MODE="Test 3"),"",IFERROR(INDEX(BOOT_S,MATCH(F131,BOOT_DATES,0)),""))</f>
        <v/>
      </c>
      <c r="H131" s="160">
        <f>IF(NOT(BOOT_MODE="Test 3"),"",IFERROR(IF(MATCH(F131,BOOT_DATES,0)&lt;=15,"short  DFspot/(1+S*tau)","annual (DFspot-S*A)/(1+S*tau)"),""))</f>
        <v/>
      </c>
      <c r="I131" s="80">
        <f>IF(NOT(BOOT_MODE="Test 3"),"",IFERROR(IF(MATCH(F131,BOOT_DATES,0)&lt;=15,INDEX(BOOT_TAU0,MATCH(F131,BOOT_DATES,0)),INDEX(BOOT_TAUC,MATCH(F131,BOOT_DATES,0))),""))</f>
        <v/>
      </c>
      <c r="J131" s="76">
        <f>IF(NOT(BOOT_MODE="Test 3"),"",IFERROR(IF(MATCH(F131,BOOT_DATES,0)&lt;=15,0,INDEX(BOOT_ANN,MATCH(F131,BOOT_DATES,0))),""))</f>
        <v/>
      </c>
      <c r="K131" s="76">
        <f>IF(OR(G131="",I131=""),"",BOOT_DFSPOT-(G131/100)*J131)</f>
        <v/>
      </c>
      <c r="L131" s="76">
        <f>IF(OR(G131="",I131=""),"",1+(G131/100)*I131)</f>
        <v/>
      </c>
      <c r="M131" s="76">
        <f>IF(NOT(BOOT_MODE="Test 3"),"",IFERROR(INDEX(BOOT_DF,MATCH(F131,BOOT_DATES,0)),""))</f>
        <v/>
      </c>
      <c r="N131" s="80">
        <f>IF(NOT(BOOT_MODE="Test 3"),"",IFERROR(INDEX(BOOT_T,MATCH(F131,BOOT_DATES,0)),""))</f>
        <v/>
      </c>
      <c r="O131" s="84">
        <f>IF(NOT(BOOT_MODE="Test 3"),"",IFERROR(INDEX(BOOT_ZERO,MATCH(F131,BOOT_DATES,0)),""))</f>
        <v/>
      </c>
      <c r="P131" s="89">
        <f>IF(OR(O131="",NOT(ISNUMBER(C131))),"",(O131-C131)*100)</f>
        <v/>
      </c>
      <c r="Q131" s="72">
        <f>IF(OR(M131="",NOT(ISNUMBER(D131))),"",M131-D131)</f>
        <v/>
      </c>
    </row>
    <row r="132">
      <c r="A132" s="68" t="n"/>
      <c r="B132" s="85" t="n"/>
      <c r="C132" s="85" t="n"/>
      <c r="D132" s="69" t="n"/>
      <c r="E132" s="112">
        <f>IF(OR(A132="",$D$106=""),"",IF(RIGHT(A132,1)="W",$D$106+7*VALUE(LEFT(A132,LEN(A132)-1)),IF(RIGHT(A132,1)="M",EDATE($D$106,VALUE(LEFT(A132,LEN(A132)-1))),EDATE($D$106,12*VALUE(LEFT(A132,LEN(A132)-1))))))</f>
        <v/>
      </c>
      <c r="F132" s="112">
        <f>IF(E132="","",IF(MONTH((E132+IF(WEEKDAY(E132,2)=6,2,IF(WEEKDAY(E132,2)=7,1,0))))&lt;&gt;MONTH(E132),(E132-IF(WEEKDAY(E132,2)=6,1,IF(WEEKDAY(E132,2)=7,2,0))),(E132+IF(WEEKDAY(E132,2)=6,2,IF(WEEKDAY(E132,2)=7,1,0)))))</f>
        <v/>
      </c>
      <c r="G132" s="84">
        <f>IF(NOT(BOOT_MODE="Test 3"),"",IFERROR(INDEX(BOOT_S,MATCH(F132,BOOT_DATES,0)),""))</f>
        <v/>
      </c>
      <c r="H132" s="160">
        <f>IF(NOT(BOOT_MODE="Test 3"),"",IFERROR(IF(MATCH(F132,BOOT_DATES,0)&lt;=15,"short  DFspot/(1+S*tau)","annual (DFspot-S*A)/(1+S*tau)"),""))</f>
        <v/>
      </c>
      <c r="I132" s="80">
        <f>IF(NOT(BOOT_MODE="Test 3"),"",IFERROR(IF(MATCH(F132,BOOT_DATES,0)&lt;=15,INDEX(BOOT_TAU0,MATCH(F132,BOOT_DATES,0)),INDEX(BOOT_TAUC,MATCH(F132,BOOT_DATES,0))),""))</f>
        <v/>
      </c>
      <c r="J132" s="76">
        <f>IF(NOT(BOOT_MODE="Test 3"),"",IFERROR(IF(MATCH(F132,BOOT_DATES,0)&lt;=15,0,INDEX(BOOT_ANN,MATCH(F132,BOOT_DATES,0))),""))</f>
        <v/>
      </c>
      <c r="K132" s="76">
        <f>IF(OR(G132="",I132=""),"",BOOT_DFSPOT-(G132/100)*J132)</f>
        <v/>
      </c>
      <c r="L132" s="76">
        <f>IF(OR(G132="",I132=""),"",1+(G132/100)*I132)</f>
        <v/>
      </c>
      <c r="M132" s="76">
        <f>IF(NOT(BOOT_MODE="Test 3"),"",IFERROR(INDEX(BOOT_DF,MATCH(F132,BOOT_DATES,0)),""))</f>
        <v/>
      </c>
      <c r="N132" s="80">
        <f>IF(NOT(BOOT_MODE="Test 3"),"",IFERROR(INDEX(BOOT_T,MATCH(F132,BOOT_DATES,0)),""))</f>
        <v/>
      </c>
      <c r="O132" s="84">
        <f>IF(NOT(BOOT_MODE="Test 3"),"",IFERROR(INDEX(BOOT_ZERO,MATCH(F132,BOOT_DATES,0)),""))</f>
        <v/>
      </c>
      <c r="P132" s="89">
        <f>IF(OR(O132="",NOT(ISNUMBER(C132))),"",(O132-C132)*100)</f>
        <v/>
      </c>
      <c r="Q132" s="72">
        <f>IF(OR(M132="",NOT(ISNUMBER(D132))),"",M132-D132)</f>
        <v/>
      </c>
    </row>
    <row r="133">
      <c r="A133" s="68" t="n"/>
      <c r="B133" s="85" t="n"/>
      <c r="C133" s="85" t="n"/>
      <c r="D133" s="69" t="n"/>
      <c r="E133" s="112">
        <f>IF(OR(A133="",$D$106=""),"",IF(RIGHT(A133,1)="W",$D$106+7*VALUE(LEFT(A133,LEN(A133)-1)),IF(RIGHT(A133,1)="M",EDATE($D$106,VALUE(LEFT(A133,LEN(A133)-1))),EDATE($D$106,12*VALUE(LEFT(A133,LEN(A133)-1))))))</f>
        <v/>
      </c>
      <c r="F133" s="112">
        <f>IF(E133="","",IF(MONTH((E133+IF(WEEKDAY(E133,2)=6,2,IF(WEEKDAY(E133,2)=7,1,0))))&lt;&gt;MONTH(E133),(E133-IF(WEEKDAY(E133,2)=6,1,IF(WEEKDAY(E133,2)=7,2,0))),(E133+IF(WEEKDAY(E133,2)=6,2,IF(WEEKDAY(E133,2)=7,1,0)))))</f>
        <v/>
      </c>
      <c r="G133" s="84">
        <f>IF(NOT(BOOT_MODE="Test 3"),"",IFERROR(INDEX(BOOT_S,MATCH(F133,BOOT_DATES,0)),""))</f>
        <v/>
      </c>
      <c r="H133" s="160">
        <f>IF(NOT(BOOT_MODE="Test 3"),"",IFERROR(IF(MATCH(F133,BOOT_DATES,0)&lt;=15,"short  DFspot/(1+S*tau)","annual (DFspot-S*A)/(1+S*tau)"),""))</f>
        <v/>
      </c>
      <c r="I133" s="80">
        <f>IF(NOT(BOOT_MODE="Test 3"),"",IFERROR(IF(MATCH(F133,BOOT_DATES,0)&lt;=15,INDEX(BOOT_TAU0,MATCH(F133,BOOT_DATES,0)),INDEX(BOOT_TAUC,MATCH(F133,BOOT_DATES,0))),""))</f>
        <v/>
      </c>
      <c r="J133" s="76">
        <f>IF(NOT(BOOT_MODE="Test 3"),"",IFERROR(IF(MATCH(F133,BOOT_DATES,0)&lt;=15,0,INDEX(BOOT_ANN,MATCH(F133,BOOT_DATES,0))),""))</f>
        <v/>
      </c>
      <c r="K133" s="76">
        <f>IF(OR(G133="",I133=""),"",BOOT_DFSPOT-(G133/100)*J133)</f>
        <v/>
      </c>
      <c r="L133" s="76">
        <f>IF(OR(G133="",I133=""),"",1+(G133/100)*I133)</f>
        <v/>
      </c>
      <c r="M133" s="76">
        <f>IF(NOT(BOOT_MODE="Test 3"),"",IFERROR(INDEX(BOOT_DF,MATCH(F133,BOOT_DATES,0)),""))</f>
        <v/>
      </c>
      <c r="N133" s="80">
        <f>IF(NOT(BOOT_MODE="Test 3"),"",IFERROR(INDEX(BOOT_T,MATCH(F133,BOOT_DATES,0)),""))</f>
        <v/>
      </c>
      <c r="O133" s="84">
        <f>IF(NOT(BOOT_MODE="Test 3"),"",IFERROR(INDEX(BOOT_ZERO,MATCH(F133,BOOT_DATES,0)),""))</f>
        <v/>
      </c>
      <c r="P133" s="89">
        <f>IF(OR(O133="",NOT(ISNUMBER(C133))),"",(O133-C133)*100)</f>
        <v/>
      </c>
      <c r="Q133" s="72">
        <f>IF(OR(M133="",NOT(ISNUMBER(D133))),"",M133-D133)</f>
        <v/>
      </c>
    </row>
    <row r="134">
      <c r="A134" s="68" t="n"/>
      <c r="B134" s="85" t="n"/>
      <c r="C134" s="85" t="n"/>
      <c r="D134" s="69" t="n"/>
      <c r="E134" s="112">
        <f>IF(OR(A134="",$D$106=""),"",IF(RIGHT(A134,1)="W",$D$106+7*VALUE(LEFT(A134,LEN(A134)-1)),IF(RIGHT(A134,1)="M",EDATE($D$106,VALUE(LEFT(A134,LEN(A134)-1))),EDATE($D$106,12*VALUE(LEFT(A134,LEN(A134)-1))))))</f>
        <v/>
      </c>
      <c r="F134" s="112">
        <f>IF(E134="","",IF(MONTH((E134+IF(WEEKDAY(E134,2)=6,2,IF(WEEKDAY(E134,2)=7,1,0))))&lt;&gt;MONTH(E134),(E134-IF(WEEKDAY(E134,2)=6,1,IF(WEEKDAY(E134,2)=7,2,0))),(E134+IF(WEEKDAY(E134,2)=6,2,IF(WEEKDAY(E134,2)=7,1,0)))))</f>
        <v/>
      </c>
      <c r="G134" s="84">
        <f>IF(NOT(BOOT_MODE="Test 3"),"",IFERROR(INDEX(BOOT_S,MATCH(F134,BOOT_DATES,0)),""))</f>
        <v/>
      </c>
      <c r="H134" s="160">
        <f>IF(NOT(BOOT_MODE="Test 3"),"",IFERROR(IF(MATCH(F134,BOOT_DATES,0)&lt;=15,"short  DFspot/(1+S*tau)","annual (DFspot-S*A)/(1+S*tau)"),""))</f>
        <v/>
      </c>
      <c r="I134" s="80">
        <f>IF(NOT(BOOT_MODE="Test 3"),"",IFERROR(IF(MATCH(F134,BOOT_DATES,0)&lt;=15,INDEX(BOOT_TAU0,MATCH(F134,BOOT_DATES,0)),INDEX(BOOT_TAUC,MATCH(F134,BOOT_DATES,0))),""))</f>
        <v/>
      </c>
      <c r="J134" s="76">
        <f>IF(NOT(BOOT_MODE="Test 3"),"",IFERROR(IF(MATCH(F134,BOOT_DATES,0)&lt;=15,0,INDEX(BOOT_ANN,MATCH(F134,BOOT_DATES,0))),""))</f>
        <v/>
      </c>
      <c r="K134" s="76">
        <f>IF(OR(G134="",I134=""),"",BOOT_DFSPOT-(G134/100)*J134)</f>
        <v/>
      </c>
      <c r="L134" s="76">
        <f>IF(OR(G134="",I134=""),"",1+(G134/100)*I134)</f>
        <v/>
      </c>
      <c r="M134" s="76">
        <f>IF(NOT(BOOT_MODE="Test 3"),"",IFERROR(INDEX(BOOT_DF,MATCH(F134,BOOT_DATES,0)),""))</f>
        <v/>
      </c>
      <c r="N134" s="80">
        <f>IF(NOT(BOOT_MODE="Test 3"),"",IFERROR(INDEX(BOOT_T,MATCH(F134,BOOT_DATES,0)),""))</f>
        <v/>
      </c>
      <c r="O134" s="84">
        <f>IF(NOT(BOOT_MODE="Test 3"),"",IFERROR(INDEX(BOOT_ZERO,MATCH(F134,BOOT_DATES,0)),""))</f>
        <v/>
      </c>
      <c r="P134" s="89">
        <f>IF(OR(O134="",NOT(ISNUMBER(C134))),"",(O134-C134)*100)</f>
        <v/>
      </c>
      <c r="Q134" s="72">
        <f>IF(OR(M134="",NOT(ISNUMBER(D134))),"",M134-D134)</f>
        <v/>
      </c>
    </row>
    <row r="135">
      <c r="A135" s="68" t="n"/>
      <c r="B135" s="85" t="n"/>
      <c r="C135" s="85" t="n"/>
      <c r="D135" s="69" t="n"/>
      <c r="E135" s="112">
        <f>IF(OR(A135="",$D$106=""),"",IF(RIGHT(A135,1)="W",$D$106+7*VALUE(LEFT(A135,LEN(A135)-1)),IF(RIGHT(A135,1)="M",EDATE($D$106,VALUE(LEFT(A135,LEN(A135)-1))),EDATE($D$106,12*VALUE(LEFT(A135,LEN(A135)-1))))))</f>
        <v/>
      </c>
      <c r="F135" s="112">
        <f>IF(E135="","",IF(MONTH((E135+IF(WEEKDAY(E135,2)=6,2,IF(WEEKDAY(E135,2)=7,1,0))))&lt;&gt;MONTH(E135),(E135-IF(WEEKDAY(E135,2)=6,1,IF(WEEKDAY(E135,2)=7,2,0))),(E135+IF(WEEKDAY(E135,2)=6,2,IF(WEEKDAY(E135,2)=7,1,0)))))</f>
        <v/>
      </c>
      <c r="G135" s="84">
        <f>IF(NOT(BOOT_MODE="Test 3"),"",IFERROR(INDEX(BOOT_S,MATCH(F135,BOOT_DATES,0)),""))</f>
        <v/>
      </c>
      <c r="H135" s="160">
        <f>IF(NOT(BOOT_MODE="Test 3"),"",IFERROR(IF(MATCH(F135,BOOT_DATES,0)&lt;=15,"short  DFspot/(1+S*tau)","annual (DFspot-S*A)/(1+S*tau)"),""))</f>
        <v/>
      </c>
      <c r="I135" s="80">
        <f>IF(NOT(BOOT_MODE="Test 3"),"",IFERROR(IF(MATCH(F135,BOOT_DATES,0)&lt;=15,INDEX(BOOT_TAU0,MATCH(F135,BOOT_DATES,0)),INDEX(BOOT_TAUC,MATCH(F135,BOOT_DATES,0))),""))</f>
        <v/>
      </c>
      <c r="J135" s="76">
        <f>IF(NOT(BOOT_MODE="Test 3"),"",IFERROR(IF(MATCH(F135,BOOT_DATES,0)&lt;=15,0,INDEX(BOOT_ANN,MATCH(F135,BOOT_DATES,0))),""))</f>
        <v/>
      </c>
      <c r="K135" s="76">
        <f>IF(OR(G135="",I135=""),"",BOOT_DFSPOT-(G135/100)*J135)</f>
        <v/>
      </c>
      <c r="L135" s="76">
        <f>IF(OR(G135="",I135=""),"",1+(G135/100)*I135)</f>
        <v/>
      </c>
      <c r="M135" s="76">
        <f>IF(NOT(BOOT_MODE="Test 3"),"",IFERROR(INDEX(BOOT_DF,MATCH(F135,BOOT_DATES,0)),""))</f>
        <v/>
      </c>
      <c r="N135" s="80">
        <f>IF(NOT(BOOT_MODE="Test 3"),"",IFERROR(INDEX(BOOT_T,MATCH(F135,BOOT_DATES,0)),""))</f>
        <v/>
      </c>
      <c r="O135" s="84">
        <f>IF(NOT(BOOT_MODE="Test 3"),"",IFERROR(INDEX(BOOT_ZERO,MATCH(F135,BOOT_DATES,0)),""))</f>
        <v/>
      </c>
      <c r="P135" s="89">
        <f>IF(OR(O135="",NOT(ISNUMBER(C135))),"",(O135-C135)*100)</f>
        <v/>
      </c>
      <c r="Q135" s="72">
        <f>IF(OR(M135="",NOT(ISNUMBER(D135))),"",M135-D135)</f>
        <v/>
      </c>
    </row>
    <row r="136">
      <c r="A136" s="68" t="n"/>
      <c r="B136" s="85" t="n"/>
      <c r="C136" s="85" t="n"/>
      <c r="D136" s="69" t="n"/>
      <c r="E136" s="112">
        <f>IF(OR(A136="",$D$106=""),"",IF(RIGHT(A136,1)="W",$D$106+7*VALUE(LEFT(A136,LEN(A136)-1)),IF(RIGHT(A136,1)="M",EDATE($D$106,VALUE(LEFT(A136,LEN(A136)-1))),EDATE($D$106,12*VALUE(LEFT(A136,LEN(A136)-1))))))</f>
        <v/>
      </c>
      <c r="F136" s="112">
        <f>IF(E136="","",IF(MONTH((E136+IF(WEEKDAY(E136,2)=6,2,IF(WEEKDAY(E136,2)=7,1,0))))&lt;&gt;MONTH(E136),(E136-IF(WEEKDAY(E136,2)=6,1,IF(WEEKDAY(E136,2)=7,2,0))),(E136+IF(WEEKDAY(E136,2)=6,2,IF(WEEKDAY(E136,2)=7,1,0)))))</f>
        <v/>
      </c>
      <c r="G136" s="84">
        <f>IF(NOT(BOOT_MODE="Test 3"),"",IFERROR(INDEX(BOOT_S,MATCH(F136,BOOT_DATES,0)),""))</f>
        <v/>
      </c>
      <c r="H136" s="160">
        <f>IF(NOT(BOOT_MODE="Test 3"),"",IFERROR(IF(MATCH(F136,BOOT_DATES,0)&lt;=15,"short  DFspot/(1+S*tau)","annual (DFspot-S*A)/(1+S*tau)"),""))</f>
        <v/>
      </c>
      <c r="I136" s="80">
        <f>IF(NOT(BOOT_MODE="Test 3"),"",IFERROR(IF(MATCH(F136,BOOT_DATES,0)&lt;=15,INDEX(BOOT_TAU0,MATCH(F136,BOOT_DATES,0)),INDEX(BOOT_TAUC,MATCH(F136,BOOT_DATES,0))),""))</f>
        <v/>
      </c>
      <c r="J136" s="76">
        <f>IF(NOT(BOOT_MODE="Test 3"),"",IFERROR(IF(MATCH(F136,BOOT_DATES,0)&lt;=15,0,INDEX(BOOT_ANN,MATCH(F136,BOOT_DATES,0))),""))</f>
        <v/>
      </c>
      <c r="K136" s="76">
        <f>IF(OR(G136="",I136=""),"",BOOT_DFSPOT-(G136/100)*J136)</f>
        <v/>
      </c>
      <c r="L136" s="76">
        <f>IF(OR(G136="",I136=""),"",1+(G136/100)*I136)</f>
        <v/>
      </c>
      <c r="M136" s="76">
        <f>IF(NOT(BOOT_MODE="Test 3"),"",IFERROR(INDEX(BOOT_DF,MATCH(F136,BOOT_DATES,0)),""))</f>
        <v/>
      </c>
      <c r="N136" s="80">
        <f>IF(NOT(BOOT_MODE="Test 3"),"",IFERROR(INDEX(BOOT_T,MATCH(F136,BOOT_DATES,0)),""))</f>
        <v/>
      </c>
      <c r="O136" s="84">
        <f>IF(NOT(BOOT_MODE="Test 3"),"",IFERROR(INDEX(BOOT_ZERO,MATCH(F136,BOOT_DATES,0)),""))</f>
        <v/>
      </c>
      <c r="P136" s="89">
        <f>IF(OR(O136="",NOT(ISNUMBER(C136))),"",(O136-C136)*100)</f>
        <v/>
      </c>
      <c r="Q136" s="72">
        <f>IF(OR(M136="",NOT(ISNUMBER(D136))),"",M136-D136)</f>
        <v/>
      </c>
    </row>
    <row r="137">
      <c r="A137" s="68" t="n"/>
      <c r="B137" s="85" t="n"/>
      <c r="C137" s="85" t="n"/>
      <c r="D137" s="69" t="n"/>
      <c r="E137" s="112">
        <f>IF(OR(A137="",$D$106=""),"",IF(RIGHT(A137,1)="W",$D$106+7*VALUE(LEFT(A137,LEN(A137)-1)),IF(RIGHT(A137,1)="M",EDATE($D$106,VALUE(LEFT(A137,LEN(A137)-1))),EDATE($D$106,12*VALUE(LEFT(A137,LEN(A137)-1))))))</f>
        <v/>
      </c>
      <c r="F137" s="112">
        <f>IF(E137="","",IF(MONTH((E137+IF(WEEKDAY(E137,2)=6,2,IF(WEEKDAY(E137,2)=7,1,0))))&lt;&gt;MONTH(E137),(E137-IF(WEEKDAY(E137,2)=6,1,IF(WEEKDAY(E137,2)=7,2,0))),(E137+IF(WEEKDAY(E137,2)=6,2,IF(WEEKDAY(E137,2)=7,1,0)))))</f>
        <v/>
      </c>
      <c r="G137" s="84">
        <f>IF(NOT(BOOT_MODE="Test 3"),"",IFERROR(INDEX(BOOT_S,MATCH(F137,BOOT_DATES,0)),""))</f>
        <v/>
      </c>
      <c r="H137" s="160">
        <f>IF(NOT(BOOT_MODE="Test 3"),"",IFERROR(IF(MATCH(F137,BOOT_DATES,0)&lt;=15,"short  DFspot/(1+S*tau)","annual (DFspot-S*A)/(1+S*tau)"),""))</f>
        <v/>
      </c>
      <c r="I137" s="80">
        <f>IF(NOT(BOOT_MODE="Test 3"),"",IFERROR(IF(MATCH(F137,BOOT_DATES,0)&lt;=15,INDEX(BOOT_TAU0,MATCH(F137,BOOT_DATES,0)),INDEX(BOOT_TAUC,MATCH(F137,BOOT_DATES,0))),""))</f>
        <v/>
      </c>
      <c r="J137" s="76">
        <f>IF(NOT(BOOT_MODE="Test 3"),"",IFERROR(IF(MATCH(F137,BOOT_DATES,0)&lt;=15,0,INDEX(BOOT_ANN,MATCH(F137,BOOT_DATES,0))),""))</f>
        <v/>
      </c>
      <c r="K137" s="76">
        <f>IF(OR(G137="",I137=""),"",BOOT_DFSPOT-(G137/100)*J137)</f>
        <v/>
      </c>
      <c r="L137" s="76">
        <f>IF(OR(G137="",I137=""),"",1+(G137/100)*I137)</f>
        <v/>
      </c>
      <c r="M137" s="76">
        <f>IF(NOT(BOOT_MODE="Test 3"),"",IFERROR(INDEX(BOOT_DF,MATCH(F137,BOOT_DATES,0)),""))</f>
        <v/>
      </c>
      <c r="N137" s="80">
        <f>IF(NOT(BOOT_MODE="Test 3"),"",IFERROR(INDEX(BOOT_T,MATCH(F137,BOOT_DATES,0)),""))</f>
        <v/>
      </c>
      <c r="O137" s="84">
        <f>IF(NOT(BOOT_MODE="Test 3"),"",IFERROR(INDEX(BOOT_ZERO,MATCH(F137,BOOT_DATES,0)),""))</f>
        <v/>
      </c>
      <c r="P137" s="89">
        <f>IF(OR(O137="",NOT(ISNUMBER(C137))),"",(O137-C137)*100)</f>
        <v/>
      </c>
      <c r="Q137" s="72">
        <f>IF(OR(M137="",NOT(ISNUMBER(D137))),"",M137-D137)</f>
        <v/>
      </c>
    </row>
    <row r="138">
      <c r="A138" s="68" t="n"/>
      <c r="B138" s="85" t="n"/>
      <c r="C138" s="85" t="n"/>
      <c r="D138" s="69" t="n"/>
      <c r="E138" s="112">
        <f>IF(OR(A138="",$D$106=""),"",IF(RIGHT(A138,1)="W",$D$106+7*VALUE(LEFT(A138,LEN(A138)-1)),IF(RIGHT(A138,1)="M",EDATE($D$106,VALUE(LEFT(A138,LEN(A138)-1))),EDATE($D$106,12*VALUE(LEFT(A138,LEN(A138)-1))))))</f>
        <v/>
      </c>
      <c r="F138" s="112">
        <f>IF(E138="","",IF(MONTH((E138+IF(WEEKDAY(E138,2)=6,2,IF(WEEKDAY(E138,2)=7,1,0))))&lt;&gt;MONTH(E138),(E138-IF(WEEKDAY(E138,2)=6,1,IF(WEEKDAY(E138,2)=7,2,0))),(E138+IF(WEEKDAY(E138,2)=6,2,IF(WEEKDAY(E138,2)=7,1,0)))))</f>
        <v/>
      </c>
      <c r="G138" s="84">
        <f>IF(NOT(BOOT_MODE="Test 3"),"",IFERROR(INDEX(BOOT_S,MATCH(F138,BOOT_DATES,0)),""))</f>
        <v/>
      </c>
      <c r="H138" s="160">
        <f>IF(NOT(BOOT_MODE="Test 3"),"",IFERROR(IF(MATCH(F138,BOOT_DATES,0)&lt;=15,"short  DFspot/(1+S*tau)","annual (DFspot-S*A)/(1+S*tau)"),""))</f>
        <v/>
      </c>
      <c r="I138" s="80">
        <f>IF(NOT(BOOT_MODE="Test 3"),"",IFERROR(IF(MATCH(F138,BOOT_DATES,0)&lt;=15,INDEX(BOOT_TAU0,MATCH(F138,BOOT_DATES,0)),INDEX(BOOT_TAUC,MATCH(F138,BOOT_DATES,0))),""))</f>
        <v/>
      </c>
      <c r="J138" s="76">
        <f>IF(NOT(BOOT_MODE="Test 3"),"",IFERROR(IF(MATCH(F138,BOOT_DATES,0)&lt;=15,0,INDEX(BOOT_ANN,MATCH(F138,BOOT_DATES,0))),""))</f>
        <v/>
      </c>
      <c r="K138" s="76">
        <f>IF(OR(G138="",I138=""),"",BOOT_DFSPOT-(G138/100)*J138)</f>
        <v/>
      </c>
      <c r="L138" s="76">
        <f>IF(OR(G138="",I138=""),"",1+(G138/100)*I138)</f>
        <v/>
      </c>
      <c r="M138" s="76">
        <f>IF(NOT(BOOT_MODE="Test 3"),"",IFERROR(INDEX(BOOT_DF,MATCH(F138,BOOT_DATES,0)),""))</f>
        <v/>
      </c>
      <c r="N138" s="80">
        <f>IF(NOT(BOOT_MODE="Test 3"),"",IFERROR(INDEX(BOOT_T,MATCH(F138,BOOT_DATES,0)),""))</f>
        <v/>
      </c>
      <c r="O138" s="84">
        <f>IF(NOT(BOOT_MODE="Test 3"),"",IFERROR(INDEX(BOOT_ZERO,MATCH(F138,BOOT_DATES,0)),""))</f>
        <v/>
      </c>
      <c r="P138" s="89">
        <f>IF(OR(O138="",NOT(ISNUMBER(C138))),"",(O138-C138)*100)</f>
        <v/>
      </c>
      <c r="Q138" s="72">
        <f>IF(OR(M138="",NOT(ISNUMBER(D138))),"",M138-D138)</f>
        <v/>
      </c>
    </row>
    <row r="139">
      <c r="A139" s="68" t="n"/>
      <c r="B139" s="85" t="n"/>
      <c r="C139" s="85" t="n"/>
      <c r="D139" s="69" t="n"/>
      <c r="E139" s="112">
        <f>IF(OR(A139="",$D$106=""),"",IF(RIGHT(A139,1)="W",$D$106+7*VALUE(LEFT(A139,LEN(A139)-1)),IF(RIGHT(A139,1)="M",EDATE($D$106,VALUE(LEFT(A139,LEN(A139)-1))),EDATE($D$106,12*VALUE(LEFT(A139,LEN(A139)-1))))))</f>
        <v/>
      </c>
      <c r="F139" s="112">
        <f>IF(E139="","",IF(MONTH((E139+IF(WEEKDAY(E139,2)=6,2,IF(WEEKDAY(E139,2)=7,1,0))))&lt;&gt;MONTH(E139),(E139-IF(WEEKDAY(E139,2)=6,1,IF(WEEKDAY(E139,2)=7,2,0))),(E139+IF(WEEKDAY(E139,2)=6,2,IF(WEEKDAY(E139,2)=7,1,0)))))</f>
        <v/>
      </c>
      <c r="G139" s="84">
        <f>IF(NOT(BOOT_MODE="Test 3"),"",IFERROR(INDEX(BOOT_S,MATCH(F139,BOOT_DATES,0)),""))</f>
        <v/>
      </c>
      <c r="H139" s="160">
        <f>IF(NOT(BOOT_MODE="Test 3"),"",IFERROR(IF(MATCH(F139,BOOT_DATES,0)&lt;=15,"short  DFspot/(1+S*tau)","annual (DFspot-S*A)/(1+S*tau)"),""))</f>
        <v/>
      </c>
      <c r="I139" s="80">
        <f>IF(NOT(BOOT_MODE="Test 3"),"",IFERROR(IF(MATCH(F139,BOOT_DATES,0)&lt;=15,INDEX(BOOT_TAU0,MATCH(F139,BOOT_DATES,0)),INDEX(BOOT_TAUC,MATCH(F139,BOOT_DATES,0))),""))</f>
        <v/>
      </c>
      <c r="J139" s="76">
        <f>IF(NOT(BOOT_MODE="Test 3"),"",IFERROR(IF(MATCH(F139,BOOT_DATES,0)&lt;=15,0,INDEX(BOOT_ANN,MATCH(F139,BOOT_DATES,0))),""))</f>
        <v/>
      </c>
      <c r="K139" s="76">
        <f>IF(OR(G139="",I139=""),"",BOOT_DFSPOT-(G139/100)*J139)</f>
        <v/>
      </c>
      <c r="L139" s="76">
        <f>IF(OR(G139="",I139=""),"",1+(G139/100)*I139)</f>
        <v/>
      </c>
      <c r="M139" s="76">
        <f>IF(NOT(BOOT_MODE="Test 3"),"",IFERROR(INDEX(BOOT_DF,MATCH(F139,BOOT_DATES,0)),""))</f>
        <v/>
      </c>
      <c r="N139" s="80">
        <f>IF(NOT(BOOT_MODE="Test 3"),"",IFERROR(INDEX(BOOT_T,MATCH(F139,BOOT_DATES,0)),""))</f>
        <v/>
      </c>
      <c r="O139" s="84">
        <f>IF(NOT(BOOT_MODE="Test 3"),"",IFERROR(INDEX(BOOT_ZERO,MATCH(F139,BOOT_DATES,0)),""))</f>
        <v/>
      </c>
      <c r="P139" s="89">
        <f>IF(OR(O139="",NOT(ISNUMBER(C139))),"",(O139-C139)*100)</f>
        <v/>
      </c>
      <c r="Q139" s="72">
        <f>IF(OR(M139="",NOT(ISNUMBER(D139))),"",M139-D139)</f>
        <v/>
      </c>
    </row>
    <row r="140">
      <c r="A140" s="68" t="n"/>
      <c r="B140" s="85" t="n"/>
      <c r="C140" s="85" t="n"/>
      <c r="D140" s="69" t="n"/>
      <c r="E140" s="112">
        <f>IF(OR(A140="",$D$106=""),"",IF(RIGHT(A140,1)="W",$D$106+7*VALUE(LEFT(A140,LEN(A140)-1)),IF(RIGHT(A140,1)="M",EDATE($D$106,VALUE(LEFT(A140,LEN(A140)-1))),EDATE($D$106,12*VALUE(LEFT(A140,LEN(A140)-1))))))</f>
        <v/>
      </c>
      <c r="F140" s="112">
        <f>IF(E140="","",IF(MONTH((E140+IF(WEEKDAY(E140,2)=6,2,IF(WEEKDAY(E140,2)=7,1,0))))&lt;&gt;MONTH(E140),(E140-IF(WEEKDAY(E140,2)=6,1,IF(WEEKDAY(E140,2)=7,2,0))),(E140+IF(WEEKDAY(E140,2)=6,2,IF(WEEKDAY(E140,2)=7,1,0)))))</f>
        <v/>
      </c>
      <c r="G140" s="84">
        <f>IF(NOT(BOOT_MODE="Test 3"),"",IFERROR(INDEX(BOOT_S,MATCH(F140,BOOT_DATES,0)),""))</f>
        <v/>
      </c>
      <c r="H140" s="160">
        <f>IF(NOT(BOOT_MODE="Test 3"),"",IFERROR(IF(MATCH(F140,BOOT_DATES,0)&lt;=15,"short  DFspot/(1+S*tau)","annual (DFspot-S*A)/(1+S*tau)"),""))</f>
        <v/>
      </c>
      <c r="I140" s="80">
        <f>IF(NOT(BOOT_MODE="Test 3"),"",IFERROR(IF(MATCH(F140,BOOT_DATES,0)&lt;=15,INDEX(BOOT_TAU0,MATCH(F140,BOOT_DATES,0)),INDEX(BOOT_TAUC,MATCH(F140,BOOT_DATES,0))),""))</f>
        <v/>
      </c>
      <c r="J140" s="76">
        <f>IF(NOT(BOOT_MODE="Test 3"),"",IFERROR(IF(MATCH(F140,BOOT_DATES,0)&lt;=15,0,INDEX(BOOT_ANN,MATCH(F140,BOOT_DATES,0))),""))</f>
        <v/>
      </c>
      <c r="K140" s="76">
        <f>IF(OR(G140="",I140=""),"",BOOT_DFSPOT-(G140/100)*J140)</f>
        <v/>
      </c>
      <c r="L140" s="76">
        <f>IF(OR(G140="",I140=""),"",1+(G140/100)*I140)</f>
        <v/>
      </c>
      <c r="M140" s="76">
        <f>IF(NOT(BOOT_MODE="Test 3"),"",IFERROR(INDEX(BOOT_DF,MATCH(F140,BOOT_DATES,0)),""))</f>
        <v/>
      </c>
      <c r="N140" s="80">
        <f>IF(NOT(BOOT_MODE="Test 3"),"",IFERROR(INDEX(BOOT_T,MATCH(F140,BOOT_DATES,0)),""))</f>
        <v/>
      </c>
      <c r="O140" s="84">
        <f>IF(NOT(BOOT_MODE="Test 3"),"",IFERROR(INDEX(BOOT_ZERO,MATCH(F140,BOOT_DATES,0)),""))</f>
        <v/>
      </c>
      <c r="P140" s="89">
        <f>IF(OR(O140="",NOT(ISNUMBER(C140))),"",(O140-C140)*100)</f>
        <v/>
      </c>
      <c r="Q140" s="72">
        <f>IF(OR(M140="",NOT(ISNUMBER(D140))),"",M140-D140)</f>
        <v/>
      </c>
    </row>
    <row r="141">
      <c r="A141" s="68" t="n"/>
      <c r="B141" s="85" t="n"/>
      <c r="C141" s="85" t="n"/>
      <c r="D141" s="69" t="n"/>
      <c r="E141" s="112">
        <f>IF(OR(A141="",$D$106=""),"",IF(RIGHT(A141,1)="W",$D$106+7*VALUE(LEFT(A141,LEN(A141)-1)),IF(RIGHT(A141,1)="M",EDATE($D$106,VALUE(LEFT(A141,LEN(A141)-1))),EDATE($D$106,12*VALUE(LEFT(A141,LEN(A141)-1))))))</f>
        <v/>
      </c>
      <c r="F141" s="112">
        <f>IF(E141="","",IF(MONTH((E141+IF(WEEKDAY(E141,2)=6,2,IF(WEEKDAY(E141,2)=7,1,0))))&lt;&gt;MONTH(E141),(E141-IF(WEEKDAY(E141,2)=6,1,IF(WEEKDAY(E141,2)=7,2,0))),(E141+IF(WEEKDAY(E141,2)=6,2,IF(WEEKDAY(E141,2)=7,1,0)))))</f>
        <v/>
      </c>
      <c r="G141" s="84">
        <f>IF(NOT(BOOT_MODE="Test 3"),"",IFERROR(INDEX(BOOT_S,MATCH(F141,BOOT_DATES,0)),""))</f>
        <v/>
      </c>
      <c r="H141" s="160">
        <f>IF(NOT(BOOT_MODE="Test 3"),"",IFERROR(IF(MATCH(F141,BOOT_DATES,0)&lt;=15,"short  DFspot/(1+S*tau)","annual (DFspot-S*A)/(1+S*tau)"),""))</f>
        <v/>
      </c>
      <c r="I141" s="80">
        <f>IF(NOT(BOOT_MODE="Test 3"),"",IFERROR(IF(MATCH(F141,BOOT_DATES,0)&lt;=15,INDEX(BOOT_TAU0,MATCH(F141,BOOT_DATES,0)),INDEX(BOOT_TAUC,MATCH(F141,BOOT_DATES,0))),""))</f>
        <v/>
      </c>
      <c r="J141" s="76">
        <f>IF(NOT(BOOT_MODE="Test 3"),"",IFERROR(IF(MATCH(F141,BOOT_DATES,0)&lt;=15,0,INDEX(BOOT_ANN,MATCH(F141,BOOT_DATES,0))),""))</f>
        <v/>
      </c>
      <c r="K141" s="76">
        <f>IF(OR(G141="",I141=""),"",BOOT_DFSPOT-(G141/100)*J141)</f>
        <v/>
      </c>
      <c r="L141" s="76">
        <f>IF(OR(G141="",I141=""),"",1+(G141/100)*I141)</f>
        <v/>
      </c>
      <c r="M141" s="76">
        <f>IF(NOT(BOOT_MODE="Test 3"),"",IFERROR(INDEX(BOOT_DF,MATCH(F141,BOOT_DATES,0)),""))</f>
        <v/>
      </c>
      <c r="N141" s="80">
        <f>IF(NOT(BOOT_MODE="Test 3"),"",IFERROR(INDEX(BOOT_T,MATCH(F141,BOOT_DATES,0)),""))</f>
        <v/>
      </c>
      <c r="O141" s="84">
        <f>IF(NOT(BOOT_MODE="Test 3"),"",IFERROR(INDEX(BOOT_ZERO,MATCH(F141,BOOT_DATES,0)),""))</f>
        <v/>
      </c>
      <c r="P141" s="89">
        <f>IF(OR(O141="",NOT(ISNUMBER(C141))),"",(O141-C141)*100)</f>
        <v/>
      </c>
      <c r="Q141" s="72">
        <f>IF(OR(M141="",NOT(ISNUMBER(D141))),"",M141-D141)</f>
        <v/>
      </c>
    </row>
    <row r="142">
      <c r="A142" s="68" t="n"/>
      <c r="B142" s="85" t="n"/>
      <c r="C142" s="85" t="n"/>
      <c r="D142" s="69" t="n"/>
      <c r="E142" s="112">
        <f>IF(OR(A142="",$D$106=""),"",IF(RIGHT(A142,1)="W",$D$106+7*VALUE(LEFT(A142,LEN(A142)-1)),IF(RIGHT(A142,1)="M",EDATE($D$106,VALUE(LEFT(A142,LEN(A142)-1))),EDATE($D$106,12*VALUE(LEFT(A142,LEN(A142)-1))))))</f>
        <v/>
      </c>
      <c r="F142" s="112">
        <f>IF(E142="","",IF(MONTH((E142+IF(WEEKDAY(E142,2)=6,2,IF(WEEKDAY(E142,2)=7,1,0))))&lt;&gt;MONTH(E142),(E142-IF(WEEKDAY(E142,2)=6,1,IF(WEEKDAY(E142,2)=7,2,0))),(E142+IF(WEEKDAY(E142,2)=6,2,IF(WEEKDAY(E142,2)=7,1,0)))))</f>
        <v/>
      </c>
      <c r="G142" s="84">
        <f>IF(NOT(BOOT_MODE="Test 3"),"",IFERROR(INDEX(BOOT_S,MATCH(F142,BOOT_DATES,0)),""))</f>
        <v/>
      </c>
      <c r="H142" s="160">
        <f>IF(NOT(BOOT_MODE="Test 3"),"",IFERROR(IF(MATCH(F142,BOOT_DATES,0)&lt;=15,"short  DFspot/(1+S*tau)","annual (DFspot-S*A)/(1+S*tau)"),""))</f>
        <v/>
      </c>
      <c r="I142" s="80">
        <f>IF(NOT(BOOT_MODE="Test 3"),"",IFERROR(IF(MATCH(F142,BOOT_DATES,0)&lt;=15,INDEX(BOOT_TAU0,MATCH(F142,BOOT_DATES,0)),INDEX(BOOT_TAUC,MATCH(F142,BOOT_DATES,0))),""))</f>
        <v/>
      </c>
      <c r="J142" s="76">
        <f>IF(NOT(BOOT_MODE="Test 3"),"",IFERROR(IF(MATCH(F142,BOOT_DATES,0)&lt;=15,0,INDEX(BOOT_ANN,MATCH(F142,BOOT_DATES,0))),""))</f>
        <v/>
      </c>
      <c r="K142" s="76">
        <f>IF(OR(G142="",I142=""),"",BOOT_DFSPOT-(G142/100)*J142)</f>
        <v/>
      </c>
      <c r="L142" s="76">
        <f>IF(OR(G142="",I142=""),"",1+(G142/100)*I142)</f>
        <v/>
      </c>
      <c r="M142" s="76">
        <f>IF(NOT(BOOT_MODE="Test 3"),"",IFERROR(INDEX(BOOT_DF,MATCH(F142,BOOT_DATES,0)),""))</f>
        <v/>
      </c>
      <c r="N142" s="80">
        <f>IF(NOT(BOOT_MODE="Test 3"),"",IFERROR(INDEX(BOOT_T,MATCH(F142,BOOT_DATES,0)),""))</f>
        <v/>
      </c>
      <c r="O142" s="84">
        <f>IF(NOT(BOOT_MODE="Test 3"),"",IFERROR(INDEX(BOOT_ZERO,MATCH(F142,BOOT_DATES,0)),""))</f>
        <v/>
      </c>
      <c r="P142" s="89">
        <f>IF(OR(O142="",NOT(ISNUMBER(C142))),"",(O142-C142)*100)</f>
        <v/>
      </c>
      <c r="Q142" s="72">
        <f>IF(OR(M142="",NOT(ISNUMBER(D142))),"",M142-D142)</f>
        <v/>
      </c>
    </row>
    <row r="143">
      <c r="A143" s="68" t="n"/>
      <c r="B143" s="85" t="n"/>
      <c r="C143" s="85" t="n"/>
      <c r="D143" s="69" t="n"/>
      <c r="E143" s="112">
        <f>IF(OR(A143="",$D$106=""),"",IF(RIGHT(A143,1)="W",$D$106+7*VALUE(LEFT(A143,LEN(A143)-1)),IF(RIGHT(A143,1)="M",EDATE($D$106,VALUE(LEFT(A143,LEN(A143)-1))),EDATE($D$106,12*VALUE(LEFT(A143,LEN(A143)-1))))))</f>
        <v/>
      </c>
      <c r="F143" s="112">
        <f>IF(E143="","",IF(MONTH((E143+IF(WEEKDAY(E143,2)=6,2,IF(WEEKDAY(E143,2)=7,1,0))))&lt;&gt;MONTH(E143),(E143-IF(WEEKDAY(E143,2)=6,1,IF(WEEKDAY(E143,2)=7,2,0))),(E143+IF(WEEKDAY(E143,2)=6,2,IF(WEEKDAY(E143,2)=7,1,0)))))</f>
        <v/>
      </c>
      <c r="G143" s="84">
        <f>IF(NOT(BOOT_MODE="Test 3"),"",IFERROR(INDEX(BOOT_S,MATCH(F143,BOOT_DATES,0)),""))</f>
        <v/>
      </c>
      <c r="H143" s="160">
        <f>IF(NOT(BOOT_MODE="Test 3"),"",IFERROR(IF(MATCH(F143,BOOT_DATES,0)&lt;=15,"short  DFspot/(1+S*tau)","annual (DFspot-S*A)/(1+S*tau)"),""))</f>
        <v/>
      </c>
      <c r="I143" s="80">
        <f>IF(NOT(BOOT_MODE="Test 3"),"",IFERROR(IF(MATCH(F143,BOOT_DATES,0)&lt;=15,INDEX(BOOT_TAU0,MATCH(F143,BOOT_DATES,0)),INDEX(BOOT_TAUC,MATCH(F143,BOOT_DATES,0))),""))</f>
        <v/>
      </c>
      <c r="J143" s="76">
        <f>IF(NOT(BOOT_MODE="Test 3"),"",IFERROR(IF(MATCH(F143,BOOT_DATES,0)&lt;=15,0,INDEX(BOOT_ANN,MATCH(F143,BOOT_DATES,0))),""))</f>
        <v/>
      </c>
      <c r="K143" s="76">
        <f>IF(OR(G143="",I143=""),"",BOOT_DFSPOT-(G143/100)*J143)</f>
        <v/>
      </c>
      <c r="L143" s="76">
        <f>IF(OR(G143="",I143=""),"",1+(G143/100)*I143)</f>
        <v/>
      </c>
      <c r="M143" s="76">
        <f>IF(NOT(BOOT_MODE="Test 3"),"",IFERROR(INDEX(BOOT_DF,MATCH(F143,BOOT_DATES,0)),""))</f>
        <v/>
      </c>
      <c r="N143" s="80">
        <f>IF(NOT(BOOT_MODE="Test 3"),"",IFERROR(INDEX(BOOT_T,MATCH(F143,BOOT_DATES,0)),""))</f>
        <v/>
      </c>
      <c r="O143" s="84">
        <f>IF(NOT(BOOT_MODE="Test 3"),"",IFERROR(INDEX(BOOT_ZERO,MATCH(F143,BOOT_DATES,0)),""))</f>
        <v/>
      </c>
      <c r="P143" s="89">
        <f>IF(OR(O143="",NOT(ISNUMBER(C143))),"",(O143-C143)*100)</f>
        <v/>
      </c>
      <c r="Q143" s="72">
        <f>IF(OR(M143="",NOT(ISNUMBER(D143))),"",M143-D143)</f>
        <v/>
      </c>
    </row>
    <row r="144">
      <c r="A144" s="68" t="n"/>
      <c r="B144" s="85" t="n"/>
      <c r="C144" s="85" t="n"/>
      <c r="D144" s="69" t="n"/>
      <c r="E144" s="112">
        <f>IF(OR(A144="",$D$106=""),"",IF(RIGHT(A144,1)="W",$D$106+7*VALUE(LEFT(A144,LEN(A144)-1)),IF(RIGHT(A144,1)="M",EDATE($D$106,VALUE(LEFT(A144,LEN(A144)-1))),EDATE($D$106,12*VALUE(LEFT(A144,LEN(A144)-1))))))</f>
        <v/>
      </c>
      <c r="F144" s="112">
        <f>IF(E144="","",IF(MONTH((E144+IF(WEEKDAY(E144,2)=6,2,IF(WEEKDAY(E144,2)=7,1,0))))&lt;&gt;MONTH(E144),(E144-IF(WEEKDAY(E144,2)=6,1,IF(WEEKDAY(E144,2)=7,2,0))),(E144+IF(WEEKDAY(E144,2)=6,2,IF(WEEKDAY(E144,2)=7,1,0)))))</f>
        <v/>
      </c>
      <c r="G144" s="84">
        <f>IF(NOT(BOOT_MODE="Test 3"),"",IFERROR(INDEX(BOOT_S,MATCH(F144,BOOT_DATES,0)),""))</f>
        <v/>
      </c>
      <c r="H144" s="160">
        <f>IF(NOT(BOOT_MODE="Test 3"),"",IFERROR(IF(MATCH(F144,BOOT_DATES,0)&lt;=15,"short  DFspot/(1+S*tau)","annual (DFspot-S*A)/(1+S*tau)"),""))</f>
        <v/>
      </c>
      <c r="I144" s="80">
        <f>IF(NOT(BOOT_MODE="Test 3"),"",IFERROR(IF(MATCH(F144,BOOT_DATES,0)&lt;=15,INDEX(BOOT_TAU0,MATCH(F144,BOOT_DATES,0)),INDEX(BOOT_TAUC,MATCH(F144,BOOT_DATES,0))),""))</f>
        <v/>
      </c>
      <c r="J144" s="76">
        <f>IF(NOT(BOOT_MODE="Test 3"),"",IFERROR(IF(MATCH(F144,BOOT_DATES,0)&lt;=15,0,INDEX(BOOT_ANN,MATCH(F144,BOOT_DATES,0))),""))</f>
        <v/>
      </c>
      <c r="K144" s="76">
        <f>IF(OR(G144="",I144=""),"",BOOT_DFSPOT-(G144/100)*J144)</f>
        <v/>
      </c>
      <c r="L144" s="76">
        <f>IF(OR(G144="",I144=""),"",1+(G144/100)*I144)</f>
        <v/>
      </c>
      <c r="M144" s="76">
        <f>IF(NOT(BOOT_MODE="Test 3"),"",IFERROR(INDEX(BOOT_DF,MATCH(F144,BOOT_DATES,0)),""))</f>
        <v/>
      </c>
      <c r="N144" s="80">
        <f>IF(NOT(BOOT_MODE="Test 3"),"",IFERROR(INDEX(BOOT_T,MATCH(F144,BOOT_DATES,0)),""))</f>
        <v/>
      </c>
      <c r="O144" s="84">
        <f>IF(NOT(BOOT_MODE="Test 3"),"",IFERROR(INDEX(BOOT_ZERO,MATCH(F144,BOOT_DATES,0)),""))</f>
        <v/>
      </c>
      <c r="P144" s="89">
        <f>IF(OR(O144="",NOT(ISNUMBER(C144))),"",(O144-C144)*100)</f>
        <v/>
      </c>
      <c r="Q144" s="72">
        <f>IF(OR(M144="",NOT(ISNUMBER(D144))),"",M144-D144)</f>
        <v/>
      </c>
    </row>
    <row r="145">
      <c r="A145" s="68" t="n"/>
      <c r="B145" s="85" t="n"/>
      <c r="C145" s="85" t="n"/>
      <c r="D145" s="69" t="n"/>
      <c r="E145" s="112">
        <f>IF(OR(A145="",$D$106=""),"",IF(RIGHT(A145,1)="W",$D$106+7*VALUE(LEFT(A145,LEN(A145)-1)),IF(RIGHT(A145,1)="M",EDATE($D$106,VALUE(LEFT(A145,LEN(A145)-1))),EDATE($D$106,12*VALUE(LEFT(A145,LEN(A145)-1))))))</f>
        <v/>
      </c>
      <c r="F145" s="112">
        <f>IF(E145="","",IF(MONTH((E145+IF(WEEKDAY(E145,2)=6,2,IF(WEEKDAY(E145,2)=7,1,0))))&lt;&gt;MONTH(E145),(E145-IF(WEEKDAY(E145,2)=6,1,IF(WEEKDAY(E145,2)=7,2,0))),(E145+IF(WEEKDAY(E145,2)=6,2,IF(WEEKDAY(E145,2)=7,1,0)))))</f>
        <v/>
      </c>
      <c r="G145" s="84">
        <f>IF(NOT(BOOT_MODE="Test 3"),"",IFERROR(INDEX(BOOT_S,MATCH(F145,BOOT_DATES,0)),""))</f>
        <v/>
      </c>
      <c r="H145" s="160">
        <f>IF(NOT(BOOT_MODE="Test 3"),"",IFERROR(IF(MATCH(F145,BOOT_DATES,0)&lt;=15,"short  DFspot/(1+S*tau)","annual (DFspot-S*A)/(1+S*tau)"),""))</f>
        <v/>
      </c>
      <c r="I145" s="80">
        <f>IF(NOT(BOOT_MODE="Test 3"),"",IFERROR(IF(MATCH(F145,BOOT_DATES,0)&lt;=15,INDEX(BOOT_TAU0,MATCH(F145,BOOT_DATES,0)),INDEX(BOOT_TAUC,MATCH(F145,BOOT_DATES,0))),""))</f>
        <v/>
      </c>
      <c r="J145" s="76">
        <f>IF(NOT(BOOT_MODE="Test 3"),"",IFERROR(IF(MATCH(F145,BOOT_DATES,0)&lt;=15,0,INDEX(BOOT_ANN,MATCH(F145,BOOT_DATES,0))),""))</f>
        <v/>
      </c>
      <c r="K145" s="76">
        <f>IF(OR(G145="",I145=""),"",BOOT_DFSPOT-(G145/100)*J145)</f>
        <v/>
      </c>
      <c r="L145" s="76">
        <f>IF(OR(G145="",I145=""),"",1+(G145/100)*I145)</f>
        <v/>
      </c>
      <c r="M145" s="76">
        <f>IF(NOT(BOOT_MODE="Test 3"),"",IFERROR(INDEX(BOOT_DF,MATCH(F145,BOOT_DATES,0)),""))</f>
        <v/>
      </c>
      <c r="N145" s="80">
        <f>IF(NOT(BOOT_MODE="Test 3"),"",IFERROR(INDEX(BOOT_T,MATCH(F145,BOOT_DATES,0)),""))</f>
        <v/>
      </c>
      <c r="O145" s="84">
        <f>IF(NOT(BOOT_MODE="Test 3"),"",IFERROR(INDEX(BOOT_ZERO,MATCH(F145,BOOT_DATES,0)),""))</f>
        <v/>
      </c>
      <c r="P145" s="89">
        <f>IF(OR(O145="",NOT(ISNUMBER(C145))),"",(O145-C145)*100)</f>
        <v/>
      </c>
      <c r="Q145" s="72">
        <f>IF(OR(M145="",NOT(ISNUMBER(D145))),"",M145-D145)</f>
        <v/>
      </c>
    </row>
    <row r="146">
      <c r="A146" s="68" t="n"/>
      <c r="B146" s="85" t="n"/>
      <c r="C146" s="85" t="n"/>
      <c r="D146" s="69" t="n"/>
      <c r="E146" s="112">
        <f>IF(OR(A146="",$D$106=""),"",IF(RIGHT(A146,1)="W",$D$106+7*VALUE(LEFT(A146,LEN(A146)-1)),IF(RIGHT(A146,1)="M",EDATE($D$106,VALUE(LEFT(A146,LEN(A146)-1))),EDATE($D$106,12*VALUE(LEFT(A146,LEN(A146)-1))))))</f>
        <v/>
      </c>
      <c r="F146" s="112">
        <f>IF(E146="","",IF(MONTH((E146+IF(WEEKDAY(E146,2)=6,2,IF(WEEKDAY(E146,2)=7,1,0))))&lt;&gt;MONTH(E146),(E146-IF(WEEKDAY(E146,2)=6,1,IF(WEEKDAY(E146,2)=7,2,0))),(E146+IF(WEEKDAY(E146,2)=6,2,IF(WEEKDAY(E146,2)=7,1,0)))))</f>
        <v/>
      </c>
      <c r="G146" s="84">
        <f>IF(NOT(BOOT_MODE="Test 3"),"",IFERROR(INDEX(BOOT_S,MATCH(F146,BOOT_DATES,0)),""))</f>
        <v/>
      </c>
      <c r="H146" s="160">
        <f>IF(NOT(BOOT_MODE="Test 3"),"",IFERROR(IF(MATCH(F146,BOOT_DATES,0)&lt;=15,"short  DFspot/(1+S*tau)","annual (DFspot-S*A)/(1+S*tau)"),""))</f>
        <v/>
      </c>
      <c r="I146" s="80">
        <f>IF(NOT(BOOT_MODE="Test 3"),"",IFERROR(IF(MATCH(F146,BOOT_DATES,0)&lt;=15,INDEX(BOOT_TAU0,MATCH(F146,BOOT_DATES,0)),INDEX(BOOT_TAUC,MATCH(F146,BOOT_DATES,0))),""))</f>
        <v/>
      </c>
      <c r="J146" s="76">
        <f>IF(NOT(BOOT_MODE="Test 3"),"",IFERROR(IF(MATCH(F146,BOOT_DATES,0)&lt;=15,0,INDEX(BOOT_ANN,MATCH(F146,BOOT_DATES,0))),""))</f>
        <v/>
      </c>
      <c r="K146" s="76">
        <f>IF(OR(G146="",I146=""),"",BOOT_DFSPOT-(G146/100)*J146)</f>
        <v/>
      </c>
      <c r="L146" s="76">
        <f>IF(OR(G146="",I146=""),"",1+(G146/100)*I146)</f>
        <v/>
      </c>
      <c r="M146" s="76">
        <f>IF(NOT(BOOT_MODE="Test 3"),"",IFERROR(INDEX(BOOT_DF,MATCH(F146,BOOT_DATES,0)),""))</f>
        <v/>
      </c>
      <c r="N146" s="80">
        <f>IF(NOT(BOOT_MODE="Test 3"),"",IFERROR(INDEX(BOOT_T,MATCH(F146,BOOT_DATES,0)),""))</f>
        <v/>
      </c>
      <c r="O146" s="84">
        <f>IF(NOT(BOOT_MODE="Test 3"),"",IFERROR(INDEX(BOOT_ZERO,MATCH(F146,BOOT_DATES,0)),""))</f>
        <v/>
      </c>
      <c r="P146" s="89">
        <f>IF(OR(O146="",NOT(ISNUMBER(C146))),"",(O146-C146)*100)</f>
        <v/>
      </c>
      <c r="Q146" s="72">
        <f>IF(OR(M146="",NOT(ISNUMBER(D146))),"",M146-D146)</f>
        <v/>
      </c>
    </row>
    <row r="147">
      <c r="A147" s="68" t="n"/>
      <c r="B147" s="85" t="n"/>
      <c r="C147" s="85" t="n"/>
      <c r="D147" s="69" t="n"/>
      <c r="E147" s="112">
        <f>IF(OR(A147="",$D$106=""),"",IF(RIGHT(A147,1)="W",$D$106+7*VALUE(LEFT(A147,LEN(A147)-1)),IF(RIGHT(A147,1)="M",EDATE($D$106,VALUE(LEFT(A147,LEN(A147)-1))),EDATE($D$106,12*VALUE(LEFT(A147,LEN(A147)-1))))))</f>
        <v/>
      </c>
      <c r="F147" s="112">
        <f>IF(E147="","",IF(MONTH((E147+IF(WEEKDAY(E147,2)=6,2,IF(WEEKDAY(E147,2)=7,1,0))))&lt;&gt;MONTH(E147),(E147-IF(WEEKDAY(E147,2)=6,1,IF(WEEKDAY(E147,2)=7,2,0))),(E147+IF(WEEKDAY(E147,2)=6,2,IF(WEEKDAY(E147,2)=7,1,0)))))</f>
        <v/>
      </c>
      <c r="G147" s="84">
        <f>IF(NOT(BOOT_MODE="Test 3"),"",IFERROR(INDEX(BOOT_S,MATCH(F147,BOOT_DATES,0)),""))</f>
        <v/>
      </c>
      <c r="H147" s="160">
        <f>IF(NOT(BOOT_MODE="Test 3"),"",IFERROR(IF(MATCH(F147,BOOT_DATES,0)&lt;=15,"short  DFspot/(1+S*tau)","annual (DFspot-S*A)/(1+S*tau)"),""))</f>
        <v/>
      </c>
      <c r="I147" s="80">
        <f>IF(NOT(BOOT_MODE="Test 3"),"",IFERROR(IF(MATCH(F147,BOOT_DATES,0)&lt;=15,INDEX(BOOT_TAU0,MATCH(F147,BOOT_DATES,0)),INDEX(BOOT_TAUC,MATCH(F147,BOOT_DATES,0))),""))</f>
        <v/>
      </c>
      <c r="J147" s="76">
        <f>IF(NOT(BOOT_MODE="Test 3"),"",IFERROR(IF(MATCH(F147,BOOT_DATES,0)&lt;=15,0,INDEX(BOOT_ANN,MATCH(F147,BOOT_DATES,0))),""))</f>
        <v/>
      </c>
      <c r="K147" s="76">
        <f>IF(OR(G147="",I147=""),"",BOOT_DFSPOT-(G147/100)*J147)</f>
        <v/>
      </c>
      <c r="L147" s="76">
        <f>IF(OR(G147="",I147=""),"",1+(G147/100)*I147)</f>
        <v/>
      </c>
      <c r="M147" s="76">
        <f>IF(NOT(BOOT_MODE="Test 3"),"",IFERROR(INDEX(BOOT_DF,MATCH(F147,BOOT_DATES,0)),""))</f>
        <v/>
      </c>
      <c r="N147" s="80">
        <f>IF(NOT(BOOT_MODE="Test 3"),"",IFERROR(INDEX(BOOT_T,MATCH(F147,BOOT_DATES,0)),""))</f>
        <v/>
      </c>
      <c r="O147" s="84">
        <f>IF(NOT(BOOT_MODE="Test 3"),"",IFERROR(INDEX(BOOT_ZERO,MATCH(F147,BOOT_DATES,0)),""))</f>
        <v/>
      </c>
      <c r="P147" s="89">
        <f>IF(OR(O147="",NOT(ISNUMBER(C147))),"",(O147-C147)*100)</f>
        <v/>
      </c>
      <c r="Q147" s="72">
        <f>IF(OR(M147="",NOT(ISNUMBER(D147))),"",M147-D147)</f>
        <v/>
      </c>
    </row>
    <row r="148">
      <c r="A148" s="67" t="inlineStr">
        <is>
          <t>pillars pasted</t>
        </is>
      </c>
      <c r="C148" s="130">
        <f>COUNTA(A108:A147)</f>
        <v/>
      </c>
      <c r="D148" s="67" t="inlineStr">
        <is>
          <t>matched</t>
        </is>
      </c>
      <c r="F148" s="87">
        <f>IF(NOT(BOOT_MODE="Test 3"),"not active",COUNT(O108:O147))</f>
        <v/>
      </c>
      <c r="G148" s="67" t="inlineStr">
        <is>
          <t>max |d zero| bp</t>
        </is>
      </c>
      <c r="I148" s="90">
        <f>IF(NOT(BOOT_MODE="Test 3"),"",IF(COUNT(P108:P147)=0,"",MAX(MAX(P108:P147),-MIN(P108:P147))))</f>
        <v/>
      </c>
      <c r="J148" s="67" t="inlineStr">
        <is>
          <t>max |d DF|</t>
        </is>
      </c>
      <c r="L148" s="91">
        <f>IF(NOT(BOOT_MODE="Test 3"),"",IF(COUNT(Q108:Q147)=0,"",MAX(MAX(Q108:Q147),-MIN(Q108:Q147))))</f>
        <v/>
      </c>
      <c r="M148" s="66">
        <f>IF(AND(BOOT_MODE="Test 3",C148&gt;0,F148&lt;C148),"CHECK: matched &lt; pasted, dates are not hitting Bootstrap!B — check the curve date","")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7950B"/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34" customWidth="1" min="3" max="3"/>
    <col width="44" customWidth="1" min="4" max="4"/>
    <col width="13" customWidth="1" min="5" max="5"/>
    <col width="10" customWidth="1" min="6" max="6"/>
    <col width="14" customWidth="1" min="7" max="7"/>
    <col width="14" customWidth="1" min="8" max="8"/>
    <col width="13" customWidth="1" min="9" max="9"/>
    <col width="13" customWidth="1" min="10" max="10"/>
    <col width="60" customWidth="1" min="11" max="11"/>
  </cols>
  <sheetData>
    <row r="1">
      <c r="A1" s="123" t="inlineStr">
        <is>
          <t>Brent (VBA) vs in-cell bisection — same objective, same inputs</t>
        </is>
      </c>
    </row>
    <row r="2">
      <c r="A2" s="65" t="inlineStr">
        <is>
          <t>Both solve (3.3): f(h) = (1-R)*ProtCum - S*(RPV01Cum - D0*D(Ts)). Only the root-finder differs. Columns D:F need the VBA module.</t>
        </is>
      </c>
    </row>
    <row r="3">
      <c r="A3" s="66" t="inlineStr">
        <is>
          <t>Import: Alt+F11 &gt; File &gt; Import File &gt; bloomberg/vba/CDSBrent.bas, then save as .xlsm. Until then D:F read 'module not loaded' — the workbook is .xlsx and stays fully functional without it.</t>
        </is>
      </c>
    </row>
    <row r="5" ht="30" customHeight="1">
      <c r="A5" s="141" t="inlineStr">
        <is>
          <t>Tenor</t>
        </is>
      </c>
      <c r="B5" s="141" t="inlineStr">
        <is>
          <t>Market bp</t>
        </is>
      </c>
      <c r="C5" s="141" t="inlineStr">
        <is>
          <t>Bisection (30 steps)</t>
        </is>
      </c>
      <c r="D5" s="141" t="inlineStr">
        <is>
          <t>Brent (VBA)</t>
        </is>
      </c>
      <c r="E5" s="141" t="inlineStr">
        <is>
          <t>diff</t>
        </is>
      </c>
      <c r="F5" s="141" t="inlineStr">
        <is>
          <t>Brent its</t>
        </is>
      </c>
      <c r="G5" s="141" t="inlineStr">
        <is>
          <t>f at bisection</t>
        </is>
      </c>
      <c r="H5" s="141" t="inlineStr">
        <is>
          <t>f at Brent</t>
        </is>
      </c>
      <c r="I5" s="141" t="inlineStr">
        <is>
          <t>Model bp</t>
        </is>
      </c>
      <c r="J5" s="141" t="inlineStr">
        <is>
          <t>Err bp</t>
        </is>
      </c>
    </row>
    <row r="6">
      <c r="A6" s="152" t="inlineStr">
        <is>
          <t>1Y</t>
        </is>
      </c>
      <c r="B6" s="63">
        <f>Hazard_Solver!$B$7</f>
        <v/>
      </c>
      <c r="C6" s="71">
        <f>Hazard_Solver!$B$46</f>
        <v/>
      </c>
      <c r="D6" s="71">
        <f>IFERROR(CDS_Hazard(Hazard_Solver!$D$7,Hazard_Solver!$F$7,Hazard_Solver!$B$8,Hazard_Solver!$D$8,Hazard_Solver!$F$8,CDS_Parameters!$B$26,Hazard_Solver!$F$10:$U$10,Hazard_Solver!$F$14:$U$14,Hazard_Solver!$F$12:$U$12,Hazard_Solver!$F$13:$U$13),"module not loaded")</f>
        <v/>
      </c>
      <c r="E6" s="72">
        <f>IF(ISNUMBER(D6),D6-C6,"")</f>
        <v/>
      </c>
      <c r="F6" s="104">
        <f>IFERROR(CDS_LastIterations(),"")</f>
        <v/>
      </c>
      <c r="G6" s="72">
        <f>IFERROR(CDS_Objective(C6,Hazard_Solver!$D$7,Hazard_Solver!$F$7,Hazard_Solver!$B$8,Hazard_Solver!$D$8,Hazard_Solver!$F$8,CDS_Parameters!$B$26,Hazard_Solver!$F$10:$U$10,Hazard_Solver!$F$14:$U$14,Hazard_Solver!$F$12:$U$12,Hazard_Solver!$F$13:$U$13),"")</f>
        <v/>
      </c>
      <c r="H6" s="72">
        <f>IF(ISNUMBER(D6),IFERROR(CDS_Objective(D6,Hazard_Solver!$D$7,Hazard_Solver!$F$7,Hazard_Solver!$B$8,Hazard_Solver!$D$8,Hazard_Solver!$F$8,CDS_Parameters!$B$26,Hazard_Solver!$F$10:$U$10,Hazard_Solver!$F$14:$U$14,Hazard_Solver!$F$12:$U$12,Hazard_Solver!$F$13:$U$13),""),"")</f>
        <v/>
      </c>
      <c r="I6" s="63">
        <f>IF(ISNUMBER(D6),IFERROR(CDS_ModelSpread(D6,Hazard_Solver!$D$7,Hazard_Solver!$F$7,Hazard_Solver!$B$8,Hazard_Solver!$D$8,Hazard_Solver!$F$8,CDS_Parameters!$B$26,Hazard_Solver!$F$10:$U$10,Hazard_Solver!$F$14:$U$14,Hazard_Solver!$F$12:$U$12,Hazard_Solver!$F$13:$U$13),""),"")</f>
        <v/>
      </c>
      <c r="J6" s="72">
        <f>IF(ISNUMBER(I6),I6-B6,"")</f>
        <v/>
      </c>
    </row>
    <row r="7">
      <c r="A7" s="152" t="inlineStr">
        <is>
          <t>2Y</t>
        </is>
      </c>
      <c r="B7" s="63">
        <f>Hazard_Solver!$B$50</f>
        <v/>
      </c>
      <c r="C7" s="71">
        <f>Hazard_Solver!$B$89</f>
        <v/>
      </c>
      <c r="D7" s="71">
        <f>IFERROR(CDS_Hazard(Hazard_Solver!$D$50,Hazard_Solver!$F$50,Hazard_Solver!$B$51,Hazard_Solver!$D$51,Hazard_Solver!$F$51,CDS_Parameters!$B$26,Hazard_Solver!$F$53:$U$53,Hazard_Solver!$F$57:$U$57,Hazard_Solver!$F$55:$U$55,Hazard_Solver!$F$56:$U$56),"module not loaded")</f>
        <v/>
      </c>
      <c r="E7" s="72">
        <f>IF(ISNUMBER(D7),D7-C7,"")</f>
        <v/>
      </c>
      <c r="F7" s="104">
        <f>IFERROR(CDS_LastIterations(),"")</f>
        <v/>
      </c>
      <c r="G7" s="72">
        <f>IFERROR(CDS_Objective(C7,Hazard_Solver!$D$50,Hazard_Solver!$F$50,Hazard_Solver!$B$51,Hazard_Solver!$D$51,Hazard_Solver!$F$51,CDS_Parameters!$B$26,Hazard_Solver!$F$53:$U$53,Hazard_Solver!$F$57:$U$57,Hazard_Solver!$F$55:$U$55,Hazard_Solver!$F$56:$U$56),"")</f>
        <v/>
      </c>
      <c r="H7" s="72">
        <f>IF(ISNUMBER(D7),IFERROR(CDS_Objective(D7,Hazard_Solver!$D$50,Hazard_Solver!$F$50,Hazard_Solver!$B$51,Hazard_Solver!$D$51,Hazard_Solver!$F$51,CDS_Parameters!$B$26,Hazard_Solver!$F$53:$U$53,Hazard_Solver!$F$57:$U$57,Hazard_Solver!$F$55:$U$55,Hazard_Solver!$F$56:$U$56),""),"")</f>
        <v/>
      </c>
      <c r="I7" s="63">
        <f>IF(ISNUMBER(D7),IFERROR(CDS_ModelSpread(D7,Hazard_Solver!$D$50,Hazard_Solver!$F$50,Hazard_Solver!$B$51,Hazard_Solver!$D$51,Hazard_Solver!$F$51,CDS_Parameters!$B$26,Hazard_Solver!$F$53:$U$53,Hazard_Solver!$F$57:$U$57,Hazard_Solver!$F$55:$U$55,Hazard_Solver!$F$56:$U$56),""),"")</f>
        <v/>
      </c>
      <c r="J7" s="72">
        <f>IF(ISNUMBER(I7),I7-B7,"")</f>
        <v/>
      </c>
    </row>
    <row r="8">
      <c r="A8" s="152" t="inlineStr">
        <is>
          <t>3Y</t>
        </is>
      </c>
      <c r="B8" s="63">
        <f>Hazard_Solver!$B$93</f>
        <v/>
      </c>
      <c r="C8" s="71">
        <f>Hazard_Solver!$B$132</f>
        <v/>
      </c>
      <c r="D8" s="71">
        <f>IFERROR(CDS_Hazard(Hazard_Solver!$D$93,Hazard_Solver!$F$93,Hazard_Solver!$B$94,Hazard_Solver!$D$94,Hazard_Solver!$F$94,CDS_Parameters!$B$26,Hazard_Solver!$F$96:$U$96,Hazard_Solver!$F$100:$U$100,Hazard_Solver!$F$98:$U$98,Hazard_Solver!$F$99:$U$99),"module not loaded")</f>
        <v/>
      </c>
      <c r="E8" s="72">
        <f>IF(ISNUMBER(D8),D8-C8,"")</f>
        <v/>
      </c>
      <c r="F8" s="104">
        <f>IFERROR(CDS_LastIterations(),"")</f>
        <v/>
      </c>
      <c r="G8" s="72">
        <f>IFERROR(CDS_Objective(C8,Hazard_Solver!$D$93,Hazard_Solver!$F$93,Hazard_Solver!$B$94,Hazard_Solver!$D$94,Hazard_Solver!$F$94,CDS_Parameters!$B$26,Hazard_Solver!$F$96:$U$96,Hazard_Solver!$F$100:$U$100,Hazard_Solver!$F$98:$U$98,Hazard_Solver!$F$99:$U$99),"")</f>
        <v/>
      </c>
      <c r="H8" s="72">
        <f>IF(ISNUMBER(D8),IFERROR(CDS_Objective(D8,Hazard_Solver!$D$93,Hazard_Solver!$F$93,Hazard_Solver!$B$94,Hazard_Solver!$D$94,Hazard_Solver!$F$94,CDS_Parameters!$B$26,Hazard_Solver!$F$96:$U$96,Hazard_Solver!$F$100:$U$100,Hazard_Solver!$F$98:$U$98,Hazard_Solver!$F$99:$U$99),""),"")</f>
        <v/>
      </c>
      <c r="I8" s="63">
        <f>IF(ISNUMBER(D8),IFERROR(CDS_ModelSpread(D8,Hazard_Solver!$D$93,Hazard_Solver!$F$93,Hazard_Solver!$B$94,Hazard_Solver!$D$94,Hazard_Solver!$F$94,CDS_Parameters!$B$26,Hazard_Solver!$F$96:$U$96,Hazard_Solver!$F$100:$U$100,Hazard_Solver!$F$98:$U$98,Hazard_Solver!$F$99:$U$99),""),"")</f>
        <v/>
      </c>
      <c r="J8" s="72">
        <f>IF(ISNUMBER(I8),I8-B8,"")</f>
        <v/>
      </c>
    </row>
    <row r="9">
      <c r="A9" s="152" t="inlineStr">
        <is>
          <t>5Y</t>
        </is>
      </c>
      <c r="B9" s="63">
        <f>Hazard_Solver!$B$136</f>
        <v/>
      </c>
      <c r="C9" s="71">
        <f>Hazard_Solver!$B$175</f>
        <v/>
      </c>
      <c r="D9" s="71">
        <f>IFERROR(CDS_Hazard(Hazard_Solver!$D$136,Hazard_Solver!$F$136,Hazard_Solver!$B$137,Hazard_Solver!$D$137,Hazard_Solver!$F$137,CDS_Parameters!$B$26,Hazard_Solver!$F$139:$U$139,Hazard_Solver!$F$143:$U$143,Hazard_Solver!$F$141:$U$141,Hazard_Solver!$F$142:$U$142),"module not loaded")</f>
        <v/>
      </c>
      <c r="E9" s="72">
        <f>IF(ISNUMBER(D9),D9-C9,"")</f>
        <v/>
      </c>
      <c r="F9" s="104">
        <f>IFERROR(CDS_LastIterations(),"")</f>
        <v/>
      </c>
      <c r="G9" s="72">
        <f>IFERROR(CDS_Objective(C9,Hazard_Solver!$D$136,Hazard_Solver!$F$136,Hazard_Solver!$B$137,Hazard_Solver!$D$137,Hazard_Solver!$F$137,CDS_Parameters!$B$26,Hazard_Solver!$F$139:$U$139,Hazard_Solver!$F$143:$U$143,Hazard_Solver!$F$141:$U$141,Hazard_Solver!$F$142:$U$142),"")</f>
        <v/>
      </c>
      <c r="H9" s="72">
        <f>IF(ISNUMBER(D9),IFERROR(CDS_Objective(D9,Hazard_Solver!$D$136,Hazard_Solver!$F$136,Hazard_Solver!$B$137,Hazard_Solver!$D$137,Hazard_Solver!$F$137,CDS_Parameters!$B$26,Hazard_Solver!$F$139:$U$139,Hazard_Solver!$F$143:$U$143,Hazard_Solver!$F$141:$U$141,Hazard_Solver!$F$142:$U$142),""),"")</f>
        <v/>
      </c>
      <c r="I9" s="63">
        <f>IF(ISNUMBER(D9),IFERROR(CDS_ModelSpread(D9,Hazard_Solver!$D$136,Hazard_Solver!$F$136,Hazard_Solver!$B$137,Hazard_Solver!$D$137,Hazard_Solver!$F$137,CDS_Parameters!$B$26,Hazard_Solver!$F$139:$U$139,Hazard_Solver!$F$143:$U$143,Hazard_Solver!$F$141:$U$141,Hazard_Solver!$F$142:$U$142),""),"")</f>
        <v/>
      </c>
      <c r="J9" s="72">
        <f>IF(ISNUMBER(I9),I9-B9,"")</f>
        <v/>
      </c>
    </row>
    <row r="10">
      <c r="A10" s="152" t="inlineStr">
        <is>
          <t>7Y</t>
        </is>
      </c>
      <c r="B10" s="63">
        <f>Hazard_Solver!$B$179</f>
        <v/>
      </c>
      <c r="C10" s="71">
        <f>Hazard_Solver!$B$218</f>
        <v/>
      </c>
      <c r="D10" s="71">
        <f>IFERROR(CDS_Hazard(Hazard_Solver!$D$179,Hazard_Solver!$F$179,Hazard_Solver!$B$180,Hazard_Solver!$D$180,Hazard_Solver!$F$180,CDS_Parameters!$B$26,Hazard_Solver!$F$182:$U$182,Hazard_Solver!$F$186:$U$186,Hazard_Solver!$F$184:$U$184,Hazard_Solver!$F$185:$U$185),"module not loaded")</f>
        <v/>
      </c>
      <c r="E10" s="72">
        <f>IF(ISNUMBER(D10),D10-C10,"")</f>
        <v/>
      </c>
      <c r="F10" s="104">
        <f>IFERROR(CDS_LastIterations(),"")</f>
        <v/>
      </c>
      <c r="G10" s="72">
        <f>IFERROR(CDS_Objective(C10,Hazard_Solver!$D$179,Hazard_Solver!$F$179,Hazard_Solver!$B$180,Hazard_Solver!$D$180,Hazard_Solver!$F$180,CDS_Parameters!$B$26,Hazard_Solver!$F$182:$U$182,Hazard_Solver!$F$186:$U$186,Hazard_Solver!$F$184:$U$184,Hazard_Solver!$F$185:$U$185),"")</f>
        <v/>
      </c>
      <c r="H10" s="72">
        <f>IF(ISNUMBER(D10),IFERROR(CDS_Objective(D10,Hazard_Solver!$D$179,Hazard_Solver!$F$179,Hazard_Solver!$B$180,Hazard_Solver!$D$180,Hazard_Solver!$F$180,CDS_Parameters!$B$26,Hazard_Solver!$F$182:$U$182,Hazard_Solver!$F$186:$U$186,Hazard_Solver!$F$184:$U$184,Hazard_Solver!$F$185:$U$185),""),"")</f>
        <v/>
      </c>
      <c r="I10" s="63">
        <f>IF(ISNUMBER(D10),IFERROR(CDS_ModelSpread(D10,Hazard_Solver!$D$179,Hazard_Solver!$F$179,Hazard_Solver!$B$180,Hazard_Solver!$D$180,Hazard_Solver!$F$180,CDS_Parameters!$B$26,Hazard_Solver!$F$182:$U$182,Hazard_Solver!$F$186:$U$186,Hazard_Solver!$F$184:$U$184,Hazard_Solver!$F$185:$U$185),""),"")</f>
        <v/>
      </c>
      <c r="J10" s="72">
        <f>IF(ISNUMBER(I10),I10-B10,"")</f>
        <v/>
      </c>
    </row>
    <row r="11">
      <c r="A11" s="152" t="inlineStr">
        <is>
          <t>10Y</t>
        </is>
      </c>
      <c r="B11" s="63">
        <f>Hazard_Solver!$B$222</f>
        <v/>
      </c>
      <c r="C11" s="71">
        <f>Hazard_Solver!$B$261</f>
        <v/>
      </c>
      <c r="D11" s="71">
        <f>IFERROR(CDS_Hazard(Hazard_Solver!$D$222,Hazard_Solver!$F$222,Hazard_Solver!$B$223,Hazard_Solver!$D$223,Hazard_Solver!$F$223,CDS_Parameters!$B$26,Hazard_Solver!$F$225:$U$225,Hazard_Solver!$F$229:$U$229,Hazard_Solver!$F$227:$U$227,Hazard_Solver!$F$228:$U$228),"module not loaded")</f>
        <v/>
      </c>
      <c r="E11" s="72">
        <f>IF(ISNUMBER(D11),D11-C11,"")</f>
        <v/>
      </c>
      <c r="F11" s="104">
        <f>IFERROR(CDS_LastIterations(),"")</f>
        <v/>
      </c>
      <c r="G11" s="72">
        <f>IFERROR(CDS_Objective(C11,Hazard_Solver!$D$222,Hazard_Solver!$F$222,Hazard_Solver!$B$223,Hazard_Solver!$D$223,Hazard_Solver!$F$223,CDS_Parameters!$B$26,Hazard_Solver!$F$225:$U$225,Hazard_Solver!$F$229:$U$229,Hazard_Solver!$F$227:$U$227,Hazard_Solver!$F$228:$U$228),"")</f>
        <v/>
      </c>
      <c r="H11" s="72">
        <f>IF(ISNUMBER(D11),IFERROR(CDS_Objective(D11,Hazard_Solver!$D$222,Hazard_Solver!$F$222,Hazard_Solver!$B$223,Hazard_Solver!$D$223,Hazard_Solver!$F$223,CDS_Parameters!$B$26,Hazard_Solver!$F$225:$U$225,Hazard_Solver!$F$229:$U$229,Hazard_Solver!$F$227:$U$227,Hazard_Solver!$F$228:$U$228),""),"")</f>
        <v/>
      </c>
      <c r="I11" s="63">
        <f>IF(ISNUMBER(D11),IFERROR(CDS_ModelSpread(D11,Hazard_Solver!$D$222,Hazard_Solver!$F$222,Hazard_Solver!$B$223,Hazard_Solver!$D$223,Hazard_Solver!$F$223,CDS_Parameters!$B$26,Hazard_Solver!$F$225:$U$225,Hazard_Solver!$F$229:$U$229,Hazard_Solver!$F$227:$U$227,Hazard_Solver!$F$228:$U$228),""),"")</f>
        <v/>
      </c>
      <c r="J11" s="72">
        <f>IF(ISNUMBER(I11),I11-B11,"")</f>
        <v/>
      </c>
    </row>
    <row r="13">
      <c r="A13" s="67" t="inlineStr">
        <is>
          <t>Max |diff| (hazard)</t>
        </is>
      </c>
      <c r="C13" s="91">
        <f>IF(COUNT(E6:E11)=0,"module not loaded",MAX(MAX(E6:E11),-MIN(E6:E11)))</f>
        <v/>
      </c>
    </row>
    <row r="14">
      <c r="A14" s="67" t="inlineStr">
        <is>
          <t>Max |Err| Brent (bp)</t>
        </is>
      </c>
      <c r="C14" s="91">
        <f>IF(COUNT(J6:J11)=0,"",MAX(MAX(J6:J11),-MIN(J6:J11)))</f>
        <v/>
      </c>
    </row>
    <row r="17">
      <c r="A17" s="123" t="inlineStr">
        <is>
          <t>WHAT BRENT ACTUALLY BUYS</t>
        </is>
      </c>
    </row>
    <row r="18">
      <c r="A18" s="141" t="inlineStr"/>
      <c r="B18" s="141" t="inlineStr">
        <is>
          <t>In-cell bisection</t>
        </is>
      </c>
      <c r="C18" s="141" t="inlineStr">
        <is>
          <t>Brent (VBA)</t>
        </is>
      </c>
      <c r="D18" s="141" t="inlineStr">
        <is>
          <t>Better</t>
        </is>
      </c>
    </row>
    <row r="19">
      <c r="A19" s="67" t="inlineStr">
        <is>
          <t>Iterations</t>
        </is>
      </c>
      <c r="B19" s="93" t="inlineStr">
        <is>
          <t>30, fixed</t>
        </is>
      </c>
      <c r="C19" s="93" t="inlineStr">
        <is>
          <t>8-13, adaptive</t>
        </is>
      </c>
      <c r="D19" s="93" t="inlineStr">
        <is>
          <t>Brent</t>
        </is>
      </c>
    </row>
    <row r="20">
      <c r="A20" s="67" t="inlineStr">
        <is>
          <t>Residual |f| at the root</t>
        </is>
      </c>
      <c r="B20" s="93" t="inlineStr">
        <is>
          <t>~1e-9</t>
        </is>
      </c>
      <c r="C20" s="93" t="inlineStr">
        <is>
          <t>~1e-17</t>
        </is>
      </c>
      <c r="D20" s="93" t="inlineStr">
        <is>
          <t>Brent, by ~8 orders</t>
        </is>
      </c>
    </row>
    <row r="21">
      <c r="A21" s="67" t="inlineStr">
        <is>
          <t>Hazard agreement</t>
        </is>
      </c>
      <c r="B21" s="93" t="inlineStr">
        <is>
          <t>the two agree to ~1e-9</t>
        </is>
      </c>
      <c r="C21" s="93" t="inlineStr"/>
      <c r="D21" s="93" t="inlineStr">
        <is>
          <t>immaterial: 1e-9 of hazard is 1e-7 bp of spread</t>
        </is>
      </c>
    </row>
    <row r="22">
      <c r="A22" s="67" t="inlineStr">
        <is>
          <t>Cells consumed</t>
        </is>
      </c>
      <c r="B22" s="93" t="inlineStr">
        <is>
          <t>~3,600 on Hazard_Solver</t>
        </is>
      </c>
      <c r="C22" s="93" t="inlineStr">
        <is>
          <t>6 function calls</t>
        </is>
      </c>
      <c r="D22" s="93" t="inlineStr">
        <is>
          <t>Brent, heavily</t>
        </is>
      </c>
    </row>
    <row r="23">
      <c r="A23" s="67" t="inlineStr">
        <is>
          <t>Working visible</t>
        </is>
      </c>
      <c r="B23" s="93" t="inlineStr">
        <is>
          <t>yes, every halving is a row</t>
        </is>
      </c>
      <c r="C23" s="93" t="inlineStr">
        <is>
          <t>no, opaque call</t>
        </is>
      </c>
      <c r="D23" s="93" t="inlineStr">
        <is>
          <t>BISECTION</t>
        </is>
      </c>
    </row>
    <row r="24">
      <c r="A24" s="67" t="inlineStr">
        <is>
          <t>File format</t>
        </is>
      </c>
      <c r="B24" s="93" t="inlineStr">
        <is>
          <t>.xlsx</t>
        </is>
      </c>
      <c r="C24" s="93" t="inlineStr">
        <is>
          <t>.xlsm + macro trust</t>
        </is>
      </c>
      <c r="D24" s="93" t="inlineStr">
        <is>
          <t>BISECTION</t>
        </is>
      </c>
    </row>
    <row r="25">
      <c r="A25" s="67" t="inlineStr">
        <is>
          <t>Recalc</t>
        </is>
      </c>
      <c r="B25" s="93" t="inlineStr">
        <is>
          <t>native</t>
        </is>
      </c>
      <c r="C25" s="93" t="inlineStr">
        <is>
          <t>UDF, slower per call, no multithread</t>
        </is>
      </c>
      <c r="D25" s="93" t="inlineStr">
        <is>
          <t>bisection</t>
        </is>
      </c>
    </row>
    <row r="26">
      <c r="A26" s="67" t="inlineStr">
        <is>
          <t>Fails on an unstrippable quote</t>
        </is>
      </c>
      <c r="B26" s="93" t="inlineStr">
        <is>
          <t>pins silently at a bracket end</t>
        </is>
      </c>
      <c r="C26" s="93" t="inlineStr">
        <is>
          <t>returns #NUM!</t>
        </is>
      </c>
      <c r="D26" s="93" t="inlineStr">
        <is>
          <t>Brent</t>
        </is>
      </c>
    </row>
    <row r="29">
      <c r="A29" s="67" t="inlineStr">
        <is>
          <t>Verdict</t>
        </is>
      </c>
    </row>
    <row r="30">
      <c r="A30" s="65" t="inlineStr">
        <is>
          <t>Brent is the better root-finder and it is not close — 8-13 iterations to machine precision against 30 to 1e-9. But the accuracy is not the binding constraint: our strip already reprices to ~1e-5 bp, which is set by the quarterly discretisation, not by the solver. Going to 1e-17 changes no price.</t>
        </is>
      </c>
    </row>
    <row r="31">
      <c r="A31" s="65" t="inlineStr">
        <is>
          <t>What it would actually buy is ~3,600 cells back and a faster recalc. What it costs is the working — the reason the bisection is laid out as rows is that every halving is inspectable, which is what was asked for. A UDF is a black box.</t>
        </is>
      </c>
    </row>
    <row r="32">
      <c r="A32" s="65" t="inlineStr">
        <is>
          <t>Keeping bisection as the engine and Brent as the cross-check is the useful split: an independent implementation agreeing to 1e-9 is real evidence the strip is right.</t>
        </is>
      </c>
    </row>
    <row r="33">
      <c r="A33" s="66" t="inlineStr">
        <is>
          <t>One genuine functional gain worth stealing: Brent returns #NUM! when the quote is unbracketed on [0,3], where the bisection pins at a bracket end and looks converged. That is deliverable D8 and can be added to the in-cell version without VBA.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/>
  </sheetPr>
  <dimension ref="A1:O35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67" t="inlineStr">
        <is>
          <t>Curve_Solver</t>
        </is>
      </c>
    </row>
    <row r="2">
      <c r="A2" s="65" t="inlineStr">
        <is>
          <t>Solves each long-end pillar's DF by bisection with its interpolated gap points inside the annuity. Removes the circularity that stopped the curve past 10Y.</t>
        </is>
      </c>
    </row>
    <row r="3">
      <c r="A3" s="65" t="inlineStr">
        <is>
          <t>DF_B = (DFspot - S_B*[A_anchor + SUM tau_g*DF_g]) / (1 + S_B*tau_B),  DF_g = DF_A*(DF_B/DF_A)^w_g</t>
        </is>
      </c>
    </row>
    <row r="4">
      <c r="A4" s="65" t="inlineStr">
        <is>
          <t>Bracket [0,1.5], 40 steps, DF resolution ~1e-12. f is monotone decreasing in DF_B.</t>
        </is>
      </c>
    </row>
    <row r="6">
      <c r="A6" s="73" t="inlineStr">
        <is>
          <t>PILLAR 12Y  —  Bootstrap row 34  —  anchor row 32  —  1 gap row(s)</t>
        </is>
      </c>
      <c r="B6" s="74" t="n"/>
      <c r="C6" s="74" t="n"/>
      <c r="D6" s="74" t="n"/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</row>
    <row r="7">
      <c r="A7" s="67" t="inlineStr">
        <is>
          <t>S_B (%)</t>
        </is>
      </c>
      <c r="B7" s="75">
        <f>Bootstrap!$E$34</f>
        <v/>
      </c>
      <c r="C7" s="67" t="inlineStr">
        <is>
          <t>tau_B</t>
        </is>
      </c>
      <c r="D7" s="79">
        <f>Bootstrap!$F$34</f>
        <v/>
      </c>
      <c r="E7" s="67" t="inlineStr">
        <is>
          <t>DFspot</t>
        </is>
      </c>
      <c r="F7" s="82">
        <f>Bootstrap!$D$4</f>
        <v/>
      </c>
      <c r="G7" s="67" t="inlineStr">
        <is>
          <t>C_B</t>
        </is>
      </c>
      <c r="H7" s="79">
        <f>Bootstrap!$C$34</f>
        <v/>
      </c>
    </row>
    <row r="8">
      <c r="A8" s="67" t="inlineStr">
        <is>
          <t>DF_A (anchor)</t>
        </is>
      </c>
      <c r="B8" s="82">
        <f>Bootstrap!$H$32</f>
        <v/>
      </c>
      <c r="C8" s="67" t="inlineStr">
        <is>
          <t>A_anchor</t>
        </is>
      </c>
      <c r="D8" s="82">
        <f>SUM(Bootstrap!$I$8:$I$32)</f>
        <v/>
      </c>
      <c r="E8" s="67" t="inlineStr">
        <is>
          <t>C_A</t>
        </is>
      </c>
      <c r="F8" s="79">
        <f>Bootstrap!$C$32</f>
        <v/>
      </c>
    </row>
    <row r="9">
      <c r="A9" s="67" t="inlineStr">
        <is>
          <t>gap row</t>
        </is>
      </c>
      <c r="E9" s="78" t="n">
        <v>33</v>
      </c>
      <c r="F9" s="78" t="inlineStr"/>
      <c r="G9" s="78" t="inlineStr"/>
      <c r="H9" s="78" t="inlineStr"/>
      <c r="I9" s="78" t="inlineStr"/>
      <c r="J9" s="78" t="inlineStr"/>
      <c r="K9" s="78" t="inlineStr"/>
      <c r="L9" s="78" t="inlineStr"/>
      <c r="M9" s="78" t="inlineStr"/>
    </row>
    <row r="10">
      <c r="A10" s="67" t="inlineStr">
        <is>
          <t>tau_g</t>
        </is>
      </c>
      <c r="E10" s="79">
        <f>Bootstrap!$F$33</f>
        <v/>
      </c>
      <c r="F10" s="80" t="n">
        <v>0</v>
      </c>
      <c r="G10" s="80" t="n">
        <v>0</v>
      </c>
      <c r="H10" s="80" t="n">
        <v>0</v>
      </c>
      <c r="I10" s="80" t="n">
        <v>0</v>
      </c>
      <c r="J10" s="80" t="n">
        <v>0</v>
      </c>
      <c r="K10" s="80" t="n">
        <v>0</v>
      </c>
      <c r="L10" s="80" t="n">
        <v>0</v>
      </c>
      <c r="M10" s="80" t="n">
        <v>0</v>
      </c>
    </row>
    <row r="11">
      <c r="A11" s="67" t="inlineStr">
        <is>
          <t>weight w_g</t>
        </is>
      </c>
      <c r="E11" s="80">
        <f>(Bootstrap!$C$33-$F$8)/($H$7-$F$8)</f>
        <v/>
      </c>
      <c r="F11" s="80" t="n">
        <v>0</v>
      </c>
      <c r="G11" s="80" t="n">
        <v>0</v>
      </c>
      <c r="H11" s="80" t="n">
        <v>0</v>
      </c>
      <c r="I11" s="80" t="n">
        <v>0</v>
      </c>
      <c r="J11" s="80" t="n">
        <v>0</v>
      </c>
      <c r="K11" s="80" t="n">
        <v>0</v>
      </c>
      <c r="L11" s="80" t="n">
        <v>0</v>
      </c>
      <c r="M11" s="80" t="n">
        <v>0</v>
      </c>
    </row>
    <row r="12">
      <c r="A12" s="67" t="inlineStr">
        <is>
          <t>bisection</t>
        </is>
      </c>
      <c r="B12" s="62" t="inlineStr">
        <is>
          <t>lo</t>
        </is>
      </c>
      <c r="C12" s="62" t="inlineStr">
        <is>
          <t>hi</t>
        </is>
      </c>
      <c r="D12" s="62" t="inlineStr">
        <is>
          <t>DF_B trial</t>
        </is>
      </c>
      <c r="E12" s="62" t="inlineStr">
        <is>
          <t>DF_g -&gt;</t>
        </is>
      </c>
      <c r="N12" s="62" t="inlineStr">
        <is>
          <t>gap annuity</t>
        </is>
      </c>
      <c r="O12" s="62" t="inlineStr">
        <is>
          <t>f(DF_B)</t>
        </is>
      </c>
    </row>
    <row r="13">
      <c r="B13" s="83" t="n">
        <v>0</v>
      </c>
      <c r="C13" s="83" t="n">
        <v>1.5</v>
      </c>
      <c r="D13" s="83">
        <f>(B13+C13)/2</f>
        <v/>
      </c>
      <c r="E13" s="83">
        <f>IF($D13&lt;=0,0,$B$8*($D13/$B$8)^E$11)</f>
        <v/>
      </c>
      <c r="F13" s="83" t="n">
        <v>0</v>
      </c>
      <c r="G13" s="83" t="n">
        <v>0</v>
      </c>
      <c r="H13" s="83" t="n">
        <v>0</v>
      </c>
      <c r="I13" s="83" t="n">
        <v>0</v>
      </c>
      <c r="J13" s="83" t="n">
        <v>0</v>
      </c>
      <c r="K13" s="83" t="n">
        <v>0</v>
      </c>
      <c r="L13" s="83" t="n">
        <v>0</v>
      </c>
      <c r="M13" s="83" t="n">
        <v>0</v>
      </c>
      <c r="N13" s="83">
        <f>SUMPRODUCT($E$10:$M$10,$E13:$M13)</f>
        <v/>
      </c>
      <c r="O13" s="72">
        <f>($F$7-($B$7/100)*($D$8+N13))/(1+($B$7/100)*$D$7)-$D13</f>
        <v/>
      </c>
    </row>
    <row r="14">
      <c r="B14" s="83">
        <f>IF(O13&gt;0,D13,B13)</f>
        <v/>
      </c>
      <c r="C14" s="83">
        <f>IF(O13&gt;0,C13,D13)</f>
        <v/>
      </c>
      <c r="D14" s="83">
        <f>(B14+C14)/2</f>
        <v/>
      </c>
      <c r="E14" s="83">
        <f>IF($D14&lt;=0,0,$B$8*($D14/$B$8)^E$11)</f>
        <v/>
      </c>
      <c r="F14" s="83" t="n">
        <v>0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0</v>
      </c>
      <c r="L14" s="83" t="n">
        <v>0</v>
      </c>
      <c r="M14" s="83" t="n">
        <v>0</v>
      </c>
      <c r="N14" s="83">
        <f>SUMPRODUCT($E$10:$M$10,$E14:$M14)</f>
        <v/>
      </c>
      <c r="O14" s="72">
        <f>($F$7-($B$7/100)*($D$8+N14))/(1+($B$7/100)*$D$7)-$D14</f>
        <v/>
      </c>
    </row>
    <row r="15">
      <c r="B15" s="83">
        <f>IF(O14&gt;0,D14,B14)</f>
        <v/>
      </c>
      <c r="C15" s="83">
        <f>IF(O14&gt;0,C14,D14)</f>
        <v/>
      </c>
      <c r="D15" s="83">
        <f>(B15+C15)/2</f>
        <v/>
      </c>
      <c r="E15" s="83">
        <f>IF($D15&lt;=0,0,$B$8*($D15/$B$8)^E$11)</f>
        <v/>
      </c>
      <c r="F15" s="83" t="n">
        <v>0</v>
      </c>
      <c r="G15" s="83" t="n">
        <v>0</v>
      </c>
      <c r="H15" s="83" t="n">
        <v>0</v>
      </c>
      <c r="I15" s="83" t="n">
        <v>0</v>
      </c>
      <c r="J15" s="83" t="n">
        <v>0</v>
      </c>
      <c r="K15" s="83" t="n">
        <v>0</v>
      </c>
      <c r="L15" s="83" t="n">
        <v>0</v>
      </c>
      <c r="M15" s="83" t="n">
        <v>0</v>
      </c>
      <c r="N15" s="83">
        <f>SUMPRODUCT($E$10:$M$10,$E15:$M15)</f>
        <v/>
      </c>
      <c r="O15" s="72">
        <f>($F$7-($B$7/100)*($D$8+N15))/(1+($B$7/100)*$D$7)-$D15</f>
        <v/>
      </c>
    </row>
    <row r="16">
      <c r="B16" s="83">
        <f>IF(O15&gt;0,D15,B15)</f>
        <v/>
      </c>
      <c r="C16" s="83">
        <f>IF(O15&gt;0,C15,D15)</f>
        <v/>
      </c>
      <c r="D16" s="83">
        <f>(B16+C16)/2</f>
        <v/>
      </c>
      <c r="E16" s="83">
        <f>IF($D16&lt;=0,0,$B$8*($D16/$B$8)^E$11)</f>
        <v/>
      </c>
      <c r="F16" s="83" t="n">
        <v>0</v>
      </c>
      <c r="G16" s="83" t="n">
        <v>0</v>
      </c>
      <c r="H16" s="83" t="n">
        <v>0</v>
      </c>
      <c r="I16" s="83" t="n">
        <v>0</v>
      </c>
      <c r="J16" s="83" t="n">
        <v>0</v>
      </c>
      <c r="K16" s="83" t="n">
        <v>0</v>
      </c>
      <c r="L16" s="83" t="n">
        <v>0</v>
      </c>
      <c r="M16" s="83" t="n">
        <v>0</v>
      </c>
      <c r="N16" s="83">
        <f>SUMPRODUCT($E$10:$M$10,$E16:$M16)</f>
        <v/>
      </c>
      <c r="O16" s="72">
        <f>($F$7-($B$7/100)*($D$8+N16))/(1+($B$7/100)*$D$7)-$D16</f>
        <v/>
      </c>
    </row>
    <row r="17">
      <c r="B17" s="83">
        <f>IF(O16&gt;0,D16,B16)</f>
        <v/>
      </c>
      <c r="C17" s="83">
        <f>IF(O16&gt;0,C16,D16)</f>
        <v/>
      </c>
      <c r="D17" s="83">
        <f>(B17+C17)/2</f>
        <v/>
      </c>
      <c r="E17" s="83">
        <f>IF($D17&lt;=0,0,$B$8*($D17/$B$8)^E$11)</f>
        <v/>
      </c>
      <c r="F17" s="83" t="n">
        <v>0</v>
      </c>
      <c r="G17" s="83" t="n">
        <v>0</v>
      </c>
      <c r="H17" s="83" t="n">
        <v>0</v>
      </c>
      <c r="I17" s="83" t="n">
        <v>0</v>
      </c>
      <c r="J17" s="83" t="n">
        <v>0</v>
      </c>
      <c r="K17" s="83" t="n">
        <v>0</v>
      </c>
      <c r="L17" s="83" t="n">
        <v>0</v>
      </c>
      <c r="M17" s="83" t="n">
        <v>0</v>
      </c>
      <c r="N17" s="83">
        <f>SUMPRODUCT($E$10:$M$10,$E17:$M17)</f>
        <v/>
      </c>
      <c r="O17" s="72">
        <f>($F$7-($B$7/100)*($D$8+N17))/(1+($B$7/100)*$D$7)-$D17</f>
        <v/>
      </c>
    </row>
    <row r="18">
      <c r="B18" s="83">
        <f>IF(O17&gt;0,D17,B17)</f>
        <v/>
      </c>
      <c r="C18" s="83">
        <f>IF(O17&gt;0,C17,D17)</f>
        <v/>
      </c>
      <c r="D18" s="83">
        <f>(B18+C18)/2</f>
        <v/>
      </c>
      <c r="E18" s="83">
        <f>IF($D18&lt;=0,0,$B$8*($D18/$B$8)^E$11)</f>
        <v/>
      </c>
      <c r="F18" s="83" t="n">
        <v>0</v>
      </c>
      <c r="G18" s="83" t="n">
        <v>0</v>
      </c>
      <c r="H18" s="83" t="n">
        <v>0</v>
      </c>
      <c r="I18" s="83" t="n">
        <v>0</v>
      </c>
      <c r="J18" s="83" t="n">
        <v>0</v>
      </c>
      <c r="K18" s="83" t="n">
        <v>0</v>
      </c>
      <c r="L18" s="83" t="n">
        <v>0</v>
      </c>
      <c r="M18" s="83" t="n">
        <v>0</v>
      </c>
      <c r="N18" s="83">
        <f>SUMPRODUCT($E$10:$M$10,$E18:$M18)</f>
        <v/>
      </c>
      <c r="O18" s="72">
        <f>($F$7-($B$7/100)*($D$8+N18))/(1+($B$7/100)*$D$7)-$D18</f>
        <v/>
      </c>
    </row>
    <row r="19">
      <c r="B19" s="83">
        <f>IF(O18&gt;0,D18,B18)</f>
        <v/>
      </c>
      <c r="C19" s="83">
        <f>IF(O18&gt;0,C18,D18)</f>
        <v/>
      </c>
      <c r="D19" s="83">
        <f>(B19+C19)/2</f>
        <v/>
      </c>
      <c r="E19" s="83">
        <f>IF($D19&lt;=0,0,$B$8*($D19/$B$8)^E$11)</f>
        <v/>
      </c>
      <c r="F19" s="83" t="n">
        <v>0</v>
      </c>
      <c r="G19" s="83" t="n">
        <v>0</v>
      </c>
      <c r="H19" s="83" t="n">
        <v>0</v>
      </c>
      <c r="I19" s="83" t="n">
        <v>0</v>
      </c>
      <c r="J19" s="83" t="n">
        <v>0</v>
      </c>
      <c r="K19" s="83" t="n">
        <v>0</v>
      </c>
      <c r="L19" s="83" t="n">
        <v>0</v>
      </c>
      <c r="M19" s="83" t="n">
        <v>0</v>
      </c>
      <c r="N19" s="83">
        <f>SUMPRODUCT($E$10:$M$10,$E19:$M19)</f>
        <v/>
      </c>
      <c r="O19" s="72">
        <f>($F$7-($B$7/100)*($D$8+N19))/(1+($B$7/100)*$D$7)-$D19</f>
        <v/>
      </c>
    </row>
    <row r="20">
      <c r="B20" s="83">
        <f>IF(O19&gt;0,D19,B19)</f>
        <v/>
      </c>
      <c r="C20" s="83">
        <f>IF(O19&gt;0,C19,D19)</f>
        <v/>
      </c>
      <c r="D20" s="83">
        <f>(B20+C20)/2</f>
        <v/>
      </c>
      <c r="E20" s="83">
        <f>IF($D20&lt;=0,0,$B$8*($D20/$B$8)^E$11)</f>
        <v/>
      </c>
      <c r="F20" s="83" t="n">
        <v>0</v>
      </c>
      <c r="G20" s="83" t="n">
        <v>0</v>
      </c>
      <c r="H20" s="83" t="n">
        <v>0</v>
      </c>
      <c r="I20" s="83" t="n">
        <v>0</v>
      </c>
      <c r="J20" s="83" t="n">
        <v>0</v>
      </c>
      <c r="K20" s="83" t="n">
        <v>0</v>
      </c>
      <c r="L20" s="83" t="n">
        <v>0</v>
      </c>
      <c r="M20" s="83" t="n">
        <v>0</v>
      </c>
      <c r="N20" s="83">
        <f>SUMPRODUCT($E$10:$M$10,$E20:$M20)</f>
        <v/>
      </c>
      <c r="O20" s="72">
        <f>($F$7-($B$7/100)*($D$8+N20))/(1+($B$7/100)*$D$7)-$D20</f>
        <v/>
      </c>
    </row>
    <row r="21">
      <c r="B21" s="83">
        <f>IF(O20&gt;0,D20,B20)</f>
        <v/>
      </c>
      <c r="C21" s="83">
        <f>IF(O20&gt;0,C20,D20)</f>
        <v/>
      </c>
      <c r="D21" s="83">
        <f>(B21+C21)/2</f>
        <v/>
      </c>
      <c r="E21" s="83">
        <f>IF($D21&lt;=0,0,$B$8*($D21/$B$8)^E$11)</f>
        <v/>
      </c>
      <c r="F21" s="83" t="n">
        <v>0</v>
      </c>
      <c r="G21" s="83" t="n">
        <v>0</v>
      </c>
      <c r="H21" s="83" t="n">
        <v>0</v>
      </c>
      <c r="I21" s="83" t="n">
        <v>0</v>
      </c>
      <c r="J21" s="83" t="n">
        <v>0</v>
      </c>
      <c r="K21" s="83" t="n">
        <v>0</v>
      </c>
      <c r="L21" s="83" t="n">
        <v>0</v>
      </c>
      <c r="M21" s="83" t="n">
        <v>0</v>
      </c>
      <c r="N21" s="83">
        <f>SUMPRODUCT($E$10:$M$10,$E21:$M21)</f>
        <v/>
      </c>
      <c r="O21" s="72">
        <f>($F$7-($B$7/100)*($D$8+N21))/(1+($B$7/100)*$D$7)-$D21</f>
        <v/>
      </c>
    </row>
    <row r="22">
      <c r="B22" s="83">
        <f>IF(O21&gt;0,D21,B21)</f>
        <v/>
      </c>
      <c r="C22" s="83">
        <f>IF(O21&gt;0,C21,D21)</f>
        <v/>
      </c>
      <c r="D22" s="83">
        <f>(B22+C22)/2</f>
        <v/>
      </c>
      <c r="E22" s="83">
        <f>IF($D22&lt;=0,0,$B$8*($D22/$B$8)^E$11)</f>
        <v/>
      </c>
      <c r="F22" s="83" t="n">
        <v>0</v>
      </c>
      <c r="G22" s="83" t="n">
        <v>0</v>
      </c>
      <c r="H22" s="83" t="n">
        <v>0</v>
      </c>
      <c r="I22" s="83" t="n">
        <v>0</v>
      </c>
      <c r="J22" s="83" t="n">
        <v>0</v>
      </c>
      <c r="K22" s="83" t="n">
        <v>0</v>
      </c>
      <c r="L22" s="83" t="n">
        <v>0</v>
      </c>
      <c r="M22" s="83" t="n">
        <v>0</v>
      </c>
      <c r="N22" s="83">
        <f>SUMPRODUCT($E$10:$M$10,$E22:$M22)</f>
        <v/>
      </c>
      <c r="O22" s="72">
        <f>($F$7-($B$7/100)*($D$8+N22))/(1+($B$7/100)*$D$7)-$D22</f>
        <v/>
      </c>
    </row>
    <row r="23">
      <c r="B23" s="83">
        <f>IF(O22&gt;0,D22,B22)</f>
        <v/>
      </c>
      <c r="C23" s="83">
        <f>IF(O22&gt;0,C22,D22)</f>
        <v/>
      </c>
      <c r="D23" s="83">
        <f>(B23+C23)/2</f>
        <v/>
      </c>
      <c r="E23" s="83">
        <f>IF($D23&lt;=0,0,$B$8*($D23/$B$8)^E$11)</f>
        <v/>
      </c>
      <c r="F23" s="83" t="n">
        <v>0</v>
      </c>
      <c r="G23" s="83" t="n">
        <v>0</v>
      </c>
      <c r="H23" s="83" t="n">
        <v>0</v>
      </c>
      <c r="I23" s="83" t="n">
        <v>0</v>
      </c>
      <c r="J23" s="83" t="n">
        <v>0</v>
      </c>
      <c r="K23" s="83" t="n">
        <v>0</v>
      </c>
      <c r="L23" s="83" t="n">
        <v>0</v>
      </c>
      <c r="M23" s="83" t="n">
        <v>0</v>
      </c>
      <c r="N23" s="83">
        <f>SUMPRODUCT($E$10:$M$10,$E23:$M23)</f>
        <v/>
      </c>
      <c r="O23" s="72">
        <f>($F$7-($B$7/100)*($D$8+N23))/(1+($B$7/100)*$D$7)-$D23</f>
        <v/>
      </c>
    </row>
    <row r="24">
      <c r="B24" s="83">
        <f>IF(O23&gt;0,D23,B23)</f>
        <v/>
      </c>
      <c r="C24" s="83">
        <f>IF(O23&gt;0,C23,D23)</f>
        <v/>
      </c>
      <c r="D24" s="83">
        <f>(B24+C24)/2</f>
        <v/>
      </c>
      <c r="E24" s="83">
        <f>IF($D24&lt;=0,0,$B$8*($D24/$B$8)^E$11)</f>
        <v/>
      </c>
      <c r="F24" s="83" t="n">
        <v>0</v>
      </c>
      <c r="G24" s="83" t="n">
        <v>0</v>
      </c>
      <c r="H24" s="83" t="n">
        <v>0</v>
      </c>
      <c r="I24" s="83" t="n">
        <v>0</v>
      </c>
      <c r="J24" s="83" t="n">
        <v>0</v>
      </c>
      <c r="K24" s="83" t="n">
        <v>0</v>
      </c>
      <c r="L24" s="83" t="n">
        <v>0</v>
      </c>
      <c r="M24" s="83" t="n">
        <v>0</v>
      </c>
      <c r="N24" s="83">
        <f>SUMPRODUCT($E$10:$M$10,$E24:$M24)</f>
        <v/>
      </c>
      <c r="O24" s="72">
        <f>($F$7-($B$7/100)*($D$8+N24))/(1+($B$7/100)*$D$7)-$D24</f>
        <v/>
      </c>
    </row>
    <row r="25">
      <c r="B25" s="83">
        <f>IF(O24&gt;0,D24,B24)</f>
        <v/>
      </c>
      <c r="C25" s="83">
        <f>IF(O24&gt;0,C24,D24)</f>
        <v/>
      </c>
      <c r="D25" s="83">
        <f>(B25+C25)/2</f>
        <v/>
      </c>
      <c r="E25" s="83">
        <f>IF($D25&lt;=0,0,$B$8*($D25/$B$8)^E$11)</f>
        <v/>
      </c>
      <c r="F25" s="83" t="n">
        <v>0</v>
      </c>
      <c r="G25" s="83" t="n">
        <v>0</v>
      </c>
      <c r="H25" s="83" t="n">
        <v>0</v>
      </c>
      <c r="I25" s="83" t="n">
        <v>0</v>
      </c>
      <c r="J25" s="83" t="n">
        <v>0</v>
      </c>
      <c r="K25" s="83" t="n">
        <v>0</v>
      </c>
      <c r="L25" s="83" t="n">
        <v>0</v>
      </c>
      <c r="M25" s="83" t="n">
        <v>0</v>
      </c>
      <c r="N25" s="83">
        <f>SUMPRODUCT($E$10:$M$10,$E25:$M25)</f>
        <v/>
      </c>
      <c r="O25" s="72">
        <f>($F$7-($B$7/100)*($D$8+N25))/(1+($B$7/100)*$D$7)-$D25</f>
        <v/>
      </c>
    </row>
    <row r="26">
      <c r="B26" s="83">
        <f>IF(O25&gt;0,D25,B25)</f>
        <v/>
      </c>
      <c r="C26" s="83">
        <f>IF(O25&gt;0,C25,D25)</f>
        <v/>
      </c>
      <c r="D26" s="83">
        <f>(B26+C26)/2</f>
        <v/>
      </c>
      <c r="E26" s="83">
        <f>IF($D26&lt;=0,0,$B$8*($D26/$B$8)^E$11)</f>
        <v/>
      </c>
      <c r="F26" s="83" t="n">
        <v>0</v>
      </c>
      <c r="G26" s="83" t="n">
        <v>0</v>
      </c>
      <c r="H26" s="83" t="n">
        <v>0</v>
      </c>
      <c r="I26" s="83" t="n">
        <v>0</v>
      </c>
      <c r="J26" s="83" t="n">
        <v>0</v>
      </c>
      <c r="K26" s="83" t="n">
        <v>0</v>
      </c>
      <c r="L26" s="83" t="n">
        <v>0</v>
      </c>
      <c r="M26" s="83" t="n">
        <v>0</v>
      </c>
      <c r="N26" s="83">
        <f>SUMPRODUCT($E$10:$M$10,$E26:$M26)</f>
        <v/>
      </c>
      <c r="O26" s="72">
        <f>($F$7-($B$7/100)*($D$8+N26))/(1+($B$7/100)*$D$7)-$D26</f>
        <v/>
      </c>
    </row>
    <row r="27">
      <c r="B27" s="83">
        <f>IF(O26&gt;0,D26,B26)</f>
        <v/>
      </c>
      <c r="C27" s="83">
        <f>IF(O26&gt;0,C26,D26)</f>
        <v/>
      </c>
      <c r="D27" s="83">
        <f>(B27+C27)/2</f>
        <v/>
      </c>
      <c r="E27" s="83">
        <f>IF($D27&lt;=0,0,$B$8*($D27/$B$8)^E$11)</f>
        <v/>
      </c>
      <c r="F27" s="83" t="n">
        <v>0</v>
      </c>
      <c r="G27" s="83" t="n">
        <v>0</v>
      </c>
      <c r="H27" s="83" t="n">
        <v>0</v>
      </c>
      <c r="I27" s="83" t="n">
        <v>0</v>
      </c>
      <c r="J27" s="83" t="n">
        <v>0</v>
      </c>
      <c r="K27" s="83" t="n">
        <v>0</v>
      </c>
      <c r="L27" s="83" t="n">
        <v>0</v>
      </c>
      <c r="M27" s="83" t="n">
        <v>0</v>
      </c>
      <c r="N27" s="83">
        <f>SUMPRODUCT($E$10:$M$10,$E27:$M27)</f>
        <v/>
      </c>
      <c r="O27" s="72">
        <f>($F$7-($B$7/100)*($D$8+N27))/(1+($B$7/100)*$D$7)-$D27</f>
        <v/>
      </c>
    </row>
    <row r="28">
      <c r="B28" s="83">
        <f>IF(O27&gt;0,D27,B27)</f>
        <v/>
      </c>
      <c r="C28" s="83">
        <f>IF(O27&gt;0,C27,D27)</f>
        <v/>
      </c>
      <c r="D28" s="83">
        <f>(B28+C28)/2</f>
        <v/>
      </c>
      <c r="E28" s="83">
        <f>IF($D28&lt;=0,0,$B$8*($D28/$B$8)^E$11)</f>
        <v/>
      </c>
      <c r="F28" s="83" t="n">
        <v>0</v>
      </c>
      <c r="G28" s="83" t="n">
        <v>0</v>
      </c>
      <c r="H28" s="83" t="n">
        <v>0</v>
      </c>
      <c r="I28" s="83" t="n">
        <v>0</v>
      </c>
      <c r="J28" s="83" t="n">
        <v>0</v>
      </c>
      <c r="K28" s="83" t="n">
        <v>0</v>
      </c>
      <c r="L28" s="83" t="n">
        <v>0</v>
      </c>
      <c r="M28" s="83" t="n">
        <v>0</v>
      </c>
      <c r="N28" s="83">
        <f>SUMPRODUCT($E$10:$M$10,$E28:$M28)</f>
        <v/>
      </c>
      <c r="O28" s="72">
        <f>($F$7-($B$7/100)*($D$8+N28))/(1+($B$7/100)*$D$7)-$D28</f>
        <v/>
      </c>
    </row>
    <row r="29">
      <c r="B29" s="83">
        <f>IF(O28&gt;0,D28,B28)</f>
        <v/>
      </c>
      <c r="C29" s="83">
        <f>IF(O28&gt;0,C28,D28)</f>
        <v/>
      </c>
      <c r="D29" s="83">
        <f>(B29+C29)/2</f>
        <v/>
      </c>
      <c r="E29" s="83">
        <f>IF($D29&lt;=0,0,$B$8*($D29/$B$8)^E$11)</f>
        <v/>
      </c>
      <c r="F29" s="83" t="n">
        <v>0</v>
      </c>
      <c r="G29" s="83" t="n">
        <v>0</v>
      </c>
      <c r="H29" s="83" t="n">
        <v>0</v>
      </c>
      <c r="I29" s="83" t="n">
        <v>0</v>
      </c>
      <c r="J29" s="83" t="n">
        <v>0</v>
      </c>
      <c r="K29" s="83" t="n">
        <v>0</v>
      </c>
      <c r="L29" s="83" t="n">
        <v>0</v>
      </c>
      <c r="M29" s="83" t="n">
        <v>0</v>
      </c>
      <c r="N29" s="83">
        <f>SUMPRODUCT($E$10:$M$10,$E29:$M29)</f>
        <v/>
      </c>
      <c r="O29" s="72">
        <f>($F$7-($B$7/100)*($D$8+N29))/(1+($B$7/100)*$D$7)-$D29</f>
        <v/>
      </c>
    </row>
    <row r="30">
      <c r="B30" s="83">
        <f>IF(O29&gt;0,D29,B29)</f>
        <v/>
      </c>
      <c r="C30" s="83">
        <f>IF(O29&gt;0,C29,D29)</f>
        <v/>
      </c>
      <c r="D30" s="83">
        <f>(B30+C30)/2</f>
        <v/>
      </c>
      <c r="E30" s="83">
        <f>IF($D30&lt;=0,0,$B$8*($D30/$B$8)^E$11)</f>
        <v/>
      </c>
      <c r="F30" s="83" t="n">
        <v>0</v>
      </c>
      <c r="G30" s="83" t="n">
        <v>0</v>
      </c>
      <c r="H30" s="83" t="n">
        <v>0</v>
      </c>
      <c r="I30" s="83" t="n">
        <v>0</v>
      </c>
      <c r="J30" s="83" t="n">
        <v>0</v>
      </c>
      <c r="K30" s="83" t="n">
        <v>0</v>
      </c>
      <c r="L30" s="83" t="n">
        <v>0</v>
      </c>
      <c r="M30" s="83" t="n">
        <v>0</v>
      </c>
      <c r="N30" s="83">
        <f>SUMPRODUCT($E$10:$M$10,$E30:$M30)</f>
        <v/>
      </c>
      <c r="O30" s="72">
        <f>($F$7-($B$7/100)*($D$8+N30))/(1+($B$7/100)*$D$7)-$D30</f>
        <v/>
      </c>
    </row>
    <row r="31">
      <c r="B31" s="83">
        <f>IF(O30&gt;0,D30,B30)</f>
        <v/>
      </c>
      <c r="C31" s="83">
        <f>IF(O30&gt;0,C30,D30)</f>
        <v/>
      </c>
      <c r="D31" s="83">
        <f>(B31+C31)/2</f>
        <v/>
      </c>
      <c r="E31" s="83">
        <f>IF($D31&lt;=0,0,$B$8*($D31/$B$8)^E$11)</f>
        <v/>
      </c>
      <c r="F31" s="83" t="n">
        <v>0</v>
      </c>
      <c r="G31" s="83" t="n">
        <v>0</v>
      </c>
      <c r="H31" s="83" t="n">
        <v>0</v>
      </c>
      <c r="I31" s="83" t="n">
        <v>0</v>
      </c>
      <c r="J31" s="83" t="n">
        <v>0</v>
      </c>
      <c r="K31" s="83" t="n">
        <v>0</v>
      </c>
      <c r="L31" s="83" t="n">
        <v>0</v>
      </c>
      <c r="M31" s="83" t="n">
        <v>0</v>
      </c>
      <c r="N31" s="83">
        <f>SUMPRODUCT($E$10:$M$10,$E31:$M31)</f>
        <v/>
      </c>
      <c r="O31" s="72">
        <f>($F$7-($B$7/100)*($D$8+N31))/(1+($B$7/100)*$D$7)-$D31</f>
        <v/>
      </c>
    </row>
    <row r="32">
      <c r="B32" s="83">
        <f>IF(O31&gt;0,D31,B31)</f>
        <v/>
      </c>
      <c r="C32" s="83">
        <f>IF(O31&gt;0,C31,D31)</f>
        <v/>
      </c>
      <c r="D32" s="83">
        <f>(B32+C32)/2</f>
        <v/>
      </c>
      <c r="E32" s="83">
        <f>IF($D32&lt;=0,0,$B$8*($D32/$B$8)^E$11)</f>
        <v/>
      </c>
      <c r="F32" s="83" t="n">
        <v>0</v>
      </c>
      <c r="G32" s="83" t="n">
        <v>0</v>
      </c>
      <c r="H32" s="83" t="n">
        <v>0</v>
      </c>
      <c r="I32" s="83" t="n">
        <v>0</v>
      </c>
      <c r="J32" s="83" t="n">
        <v>0</v>
      </c>
      <c r="K32" s="83" t="n">
        <v>0</v>
      </c>
      <c r="L32" s="83" t="n">
        <v>0</v>
      </c>
      <c r="M32" s="83" t="n">
        <v>0</v>
      </c>
      <c r="N32" s="83">
        <f>SUMPRODUCT($E$10:$M$10,$E32:$M32)</f>
        <v/>
      </c>
      <c r="O32" s="72">
        <f>($F$7-($B$7/100)*($D$8+N32))/(1+($B$7/100)*$D$7)-$D32</f>
        <v/>
      </c>
    </row>
    <row r="33">
      <c r="B33" s="83">
        <f>IF(O32&gt;0,D32,B32)</f>
        <v/>
      </c>
      <c r="C33" s="83">
        <f>IF(O32&gt;0,C32,D32)</f>
        <v/>
      </c>
      <c r="D33" s="83">
        <f>(B33+C33)/2</f>
        <v/>
      </c>
      <c r="E33" s="83">
        <f>IF($D33&lt;=0,0,$B$8*($D33/$B$8)^E$11)</f>
        <v/>
      </c>
      <c r="F33" s="83" t="n">
        <v>0</v>
      </c>
      <c r="G33" s="83" t="n">
        <v>0</v>
      </c>
      <c r="H33" s="83" t="n">
        <v>0</v>
      </c>
      <c r="I33" s="83" t="n">
        <v>0</v>
      </c>
      <c r="J33" s="83" t="n">
        <v>0</v>
      </c>
      <c r="K33" s="83" t="n">
        <v>0</v>
      </c>
      <c r="L33" s="83" t="n">
        <v>0</v>
      </c>
      <c r="M33" s="83" t="n">
        <v>0</v>
      </c>
      <c r="N33" s="83">
        <f>SUMPRODUCT($E$10:$M$10,$E33:$M33)</f>
        <v/>
      </c>
      <c r="O33" s="72">
        <f>($F$7-($B$7/100)*($D$8+N33))/(1+($B$7/100)*$D$7)-$D33</f>
        <v/>
      </c>
    </row>
    <row r="34">
      <c r="B34" s="83">
        <f>IF(O33&gt;0,D33,B33)</f>
        <v/>
      </c>
      <c r="C34" s="83">
        <f>IF(O33&gt;0,C33,D33)</f>
        <v/>
      </c>
      <c r="D34" s="83">
        <f>(B34+C34)/2</f>
        <v/>
      </c>
      <c r="E34" s="83">
        <f>IF($D34&lt;=0,0,$B$8*($D34/$B$8)^E$11)</f>
        <v/>
      </c>
      <c r="F34" s="83" t="n">
        <v>0</v>
      </c>
      <c r="G34" s="83" t="n">
        <v>0</v>
      </c>
      <c r="H34" s="83" t="n">
        <v>0</v>
      </c>
      <c r="I34" s="83" t="n">
        <v>0</v>
      </c>
      <c r="J34" s="83" t="n">
        <v>0</v>
      </c>
      <c r="K34" s="83" t="n">
        <v>0</v>
      </c>
      <c r="L34" s="83" t="n">
        <v>0</v>
      </c>
      <c r="M34" s="83" t="n">
        <v>0</v>
      </c>
      <c r="N34" s="83">
        <f>SUMPRODUCT($E$10:$M$10,$E34:$M34)</f>
        <v/>
      </c>
      <c r="O34" s="72">
        <f>($F$7-($B$7/100)*($D$8+N34))/(1+($B$7/100)*$D$7)-$D34</f>
        <v/>
      </c>
    </row>
    <row r="35">
      <c r="B35" s="83">
        <f>IF(O34&gt;0,D34,B34)</f>
        <v/>
      </c>
      <c r="C35" s="83">
        <f>IF(O34&gt;0,C34,D34)</f>
        <v/>
      </c>
      <c r="D35" s="83">
        <f>(B35+C35)/2</f>
        <v/>
      </c>
      <c r="E35" s="83">
        <f>IF($D35&lt;=0,0,$B$8*($D35/$B$8)^E$11)</f>
        <v/>
      </c>
      <c r="F35" s="83" t="n">
        <v>0</v>
      </c>
      <c r="G35" s="83" t="n">
        <v>0</v>
      </c>
      <c r="H35" s="83" t="n">
        <v>0</v>
      </c>
      <c r="I35" s="83" t="n">
        <v>0</v>
      </c>
      <c r="J35" s="83" t="n">
        <v>0</v>
      </c>
      <c r="K35" s="83" t="n">
        <v>0</v>
      </c>
      <c r="L35" s="83" t="n">
        <v>0</v>
      </c>
      <c r="M35" s="83" t="n">
        <v>0</v>
      </c>
      <c r="N35" s="83">
        <f>SUMPRODUCT($E$10:$M$10,$E35:$M35)</f>
        <v/>
      </c>
      <c r="O35" s="72">
        <f>($F$7-($B$7/100)*($D$8+N35))/(1+($B$7/100)*$D$7)-$D35</f>
        <v/>
      </c>
    </row>
    <row r="36">
      <c r="B36" s="83">
        <f>IF(O35&gt;0,D35,B35)</f>
        <v/>
      </c>
      <c r="C36" s="83">
        <f>IF(O35&gt;0,C35,D35)</f>
        <v/>
      </c>
      <c r="D36" s="83">
        <f>(B36+C36)/2</f>
        <v/>
      </c>
      <c r="E36" s="83">
        <f>IF($D36&lt;=0,0,$B$8*($D36/$B$8)^E$11)</f>
        <v/>
      </c>
      <c r="F36" s="83" t="n">
        <v>0</v>
      </c>
      <c r="G36" s="83" t="n">
        <v>0</v>
      </c>
      <c r="H36" s="83" t="n">
        <v>0</v>
      </c>
      <c r="I36" s="83" t="n">
        <v>0</v>
      </c>
      <c r="J36" s="83" t="n">
        <v>0</v>
      </c>
      <c r="K36" s="83" t="n">
        <v>0</v>
      </c>
      <c r="L36" s="83" t="n">
        <v>0</v>
      </c>
      <c r="M36" s="83" t="n">
        <v>0</v>
      </c>
      <c r="N36" s="83">
        <f>SUMPRODUCT($E$10:$M$10,$E36:$M36)</f>
        <v/>
      </c>
      <c r="O36" s="72">
        <f>($F$7-($B$7/100)*($D$8+N36))/(1+($B$7/100)*$D$7)-$D36</f>
        <v/>
      </c>
    </row>
    <row r="37">
      <c r="B37" s="83">
        <f>IF(O36&gt;0,D36,B36)</f>
        <v/>
      </c>
      <c r="C37" s="83">
        <f>IF(O36&gt;0,C36,D36)</f>
        <v/>
      </c>
      <c r="D37" s="83">
        <f>(B37+C37)/2</f>
        <v/>
      </c>
      <c r="E37" s="83">
        <f>IF($D37&lt;=0,0,$B$8*($D37/$B$8)^E$11)</f>
        <v/>
      </c>
      <c r="F37" s="83" t="n">
        <v>0</v>
      </c>
      <c r="G37" s="83" t="n">
        <v>0</v>
      </c>
      <c r="H37" s="83" t="n">
        <v>0</v>
      </c>
      <c r="I37" s="83" t="n">
        <v>0</v>
      </c>
      <c r="J37" s="83" t="n">
        <v>0</v>
      </c>
      <c r="K37" s="83" t="n">
        <v>0</v>
      </c>
      <c r="L37" s="83" t="n">
        <v>0</v>
      </c>
      <c r="M37" s="83" t="n">
        <v>0</v>
      </c>
      <c r="N37" s="83">
        <f>SUMPRODUCT($E$10:$M$10,$E37:$M37)</f>
        <v/>
      </c>
      <c r="O37" s="72">
        <f>($F$7-($B$7/100)*($D$8+N37))/(1+($B$7/100)*$D$7)-$D37</f>
        <v/>
      </c>
    </row>
    <row r="38">
      <c r="B38" s="83">
        <f>IF(O37&gt;0,D37,B37)</f>
        <v/>
      </c>
      <c r="C38" s="83">
        <f>IF(O37&gt;0,C37,D37)</f>
        <v/>
      </c>
      <c r="D38" s="83">
        <f>(B38+C38)/2</f>
        <v/>
      </c>
      <c r="E38" s="83">
        <f>IF($D38&lt;=0,0,$B$8*($D38/$B$8)^E$11)</f>
        <v/>
      </c>
      <c r="F38" s="83" t="n">
        <v>0</v>
      </c>
      <c r="G38" s="83" t="n">
        <v>0</v>
      </c>
      <c r="H38" s="83" t="n">
        <v>0</v>
      </c>
      <c r="I38" s="83" t="n">
        <v>0</v>
      </c>
      <c r="J38" s="83" t="n">
        <v>0</v>
      </c>
      <c r="K38" s="83" t="n">
        <v>0</v>
      </c>
      <c r="L38" s="83" t="n">
        <v>0</v>
      </c>
      <c r="M38" s="83" t="n">
        <v>0</v>
      </c>
      <c r="N38" s="83">
        <f>SUMPRODUCT($E$10:$M$10,$E38:$M38)</f>
        <v/>
      </c>
      <c r="O38" s="72">
        <f>($F$7-($B$7/100)*($D$8+N38))/(1+($B$7/100)*$D$7)-$D38</f>
        <v/>
      </c>
    </row>
    <row r="39">
      <c r="B39" s="83">
        <f>IF(O38&gt;0,D38,B38)</f>
        <v/>
      </c>
      <c r="C39" s="83">
        <f>IF(O38&gt;0,C38,D38)</f>
        <v/>
      </c>
      <c r="D39" s="83">
        <f>(B39+C39)/2</f>
        <v/>
      </c>
      <c r="E39" s="83">
        <f>IF($D39&lt;=0,0,$B$8*($D39/$B$8)^E$11)</f>
        <v/>
      </c>
      <c r="F39" s="83" t="n">
        <v>0</v>
      </c>
      <c r="G39" s="83" t="n">
        <v>0</v>
      </c>
      <c r="H39" s="83" t="n">
        <v>0</v>
      </c>
      <c r="I39" s="83" t="n">
        <v>0</v>
      </c>
      <c r="J39" s="83" t="n">
        <v>0</v>
      </c>
      <c r="K39" s="83" t="n">
        <v>0</v>
      </c>
      <c r="L39" s="83" t="n">
        <v>0</v>
      </c>
      <c r="M39" s="83" t="n">
        <v>0</v>
      </c>
      <c r="N39" s="83">
        <f>SUMPRODUCT($E$10:$M$10,$E39:$M39)</f>
        <v/>
      </c>
      <c r="O39" s="72">
        <f>($F$7-($B$7/100)*($D$8+N39))/(1+($B$7/100)*$D$7)-$D39</f>
        <v/>
      </c>
    </row>
    <row r="40">
      <c r="B40" s="83">
        <f>IF(O39&gt;0,D39,B39)</f>
        <v/>
      </c>
      <c r="C40" s="83">
        <f>IF(O39&gt;0,C39,D39)</f>
        <v/>
      </c>
      <c r="D40" s="83">
        <f>(B40+C40)/2</f>
        <v/>
      </c>
      <c r="E40" s="83">
        <f>IF($D40&lt;=0,0,$B$8*($D40/$B$8)^E$11)</f>
        <v/>
      </c>
      <c r="F40" s="83" t="n">
        <v>0</v>
      </c>
      <c r="G40" s="83" t="n">
        <v>0</v>
      </c>
      <c r="H40" s="83" t="n">
        <v>0</v>
      </c>
      <c r="I40" s="83" t="n">
        <v>0</v>
      </c>
      <c r="J40" s="83" t="n">
        <v>0</v>
      </c>
      <c r="K40" s="83" t="n">
        <v>0</v>
      </c>
      <c r="L40" s="83" t="n">
        <v>0</v>
      </c>
      <c r="M40" s="83" t="n">
        <v>0</v>
      </c>
      <c r="N40" s="83">
        <f>SUMPRODUCT($E$10:$M$10,$E40:$M40)</f>
        <v/>
      </c>
      <c r="O40" s="72">
        <f>($F$7-($B$7/100)*($D$8+N40))/(1+($B$7/100)*$D$7)-$D40</f>
        <v/>
      </c>
    </row>
    <row r="41">
      <c r="B41" s="83">
        <f>IF(O40&gt;0,D40,B40)</f>
        <v/>
      </c>
      <c r="C41" s="83">
        <f>IF(O40&gt;0,C40,D40)</f>
        <v/>
      </c>
      <c r="D41" s="83">
        <f>(B41+C41)/2</f>
        <v/>
      </c>
      <c r="E41" s="83">
        <f>IF($D41&lt;=0,0,$B$8*($D41/$B$8)^E$11)</f>
        <v/>
      </c>
      <c r="F41" s="83" t="n">
        <v>0</v>
      </c>
      <c r="G41" s="83" t="n">
        <v>0</v>
      </c>
      <c r="H41" s="83" t="n">
        <v>0</v>
      </c>
      <c r="I41" s="83" t="n">
        <v>0</v>
      </c>
      <c r="J41" s="83" t="n">
        <v>0</v>
      </c>
      <c r="K41" s="83" t="n">
        <v>0</v>
      </c>
      <c r="L41" s="83" t="n">
        <v>0</v>
      </c>
      <c r="M41" s="83" t="n">
        <v>0</v>
      </c>
      <c r="N41" s="83">
        <f>SUMPRODUCT($E$10:$M$10,$E41:$M41)</f>
        <v/>
      </c>
      <c r="O41" s="72">
        <f>($F$7-($B$7/100)*($D$8+N41))/(1+($B$7/100)*$D$7)-$D41</f>
        <v/>
      </c>
    </row>
    <row r="42">
      <c r="B42" s="83">
        <f>IF(O41&gt;0,D41,B41)</f>
        <v/>
      </c>
      <c r="C42" s="83">
        <f>IF(O41&gt;0,C41,D41)</f>
        <v/>
      </c>
      <c r="D42" s="83">
        <f>(B42+C42)/2</f>
        <v/>
      </c>
      <c r="E42" s="83">
        <f>IF($D42&lt;=0,0,$B$8*($D42/$B$8)^E$11)</f>
        <v/>
      </c>
      <c r="F42" s="83" t="n">
        <v>0</v>
      </c>
      <c r="G42" s="83" t="n">
        <v>0</v>
      </c>
      <c r="H42" s="83" t="n">
        <v>0</v>
      </c>
      <c r="I42" s="83" t="n">
        <v>0</v>
      </c>
      <c r="J42" s="83" t="n">
        <v>0</v>
      </c>
      <c r="K42" s="83" t="n">
        <v>0</v>
      </c>
      <c r="L42" s="83" t="n">
        <v>0</v>
      </c>
      <c r="M42" s="83" t="n">
        <v>0</v>
      </c>
      <c r="N42" s="83">
        <f>SUMPRODUCT($E$10:$M$10,$E42:$M42)</f>
        <v/>
      </c>
      <c r="O42" s="72">
        <f>($F$7-($B$7/100)*($D$8+N42))/(1+($B$7/100)*$D$7)-$D42</f>
        <v/>
      </c>
    </row>
    <row r="43">
      <c r="B43" s="83">
        <f>IF(O42&gt;0,D42,B42)</f>
        <v/>
      </c>
      <c r="C43" s="83">
        <f>IF(O42&gt;0,C42,D42)</f>
        <v/>
      </c>
      <c r="D43" s="83">
        <f>(B43+C43)/2</f>
        <v/>
      </c>
      <c r="E43" s="83">
        <f>IF($D43&lt;=0,0,$B$8*($D43/$B$8)^E$11)</f>
        <v/>
      </c>
      <c r="F43" s="83" t="n">
        <v>0</v>
      </c>
      <c r="G43" s="83" t="n">
        <v>0</v>
      </c>
      <c r="H43" s="83" t="n">
        <v>0</v>
      </c>
      <c r="I43" s="83" t="n">
        <v>0</v>
      </c>
      <c r="J43" s="83" t="n">
        <v>0</v>
      </c>
      <c r="K43" s="83" t="n">
        <v>0</v>
      </c>
      <c r="L43" s="83" t="n">
        <v>0</v>
      </c>
      <c r="M43" s="83" t="n">
        <v>0</v>
      </c>
      <c r="N43" s="83">
        <f>SUMPRODUCT($E$10:$M$10,$E43:$M43)</f>
        <v/>
      </c>
      <c r="O43" s="72">
        <f>($F$7-($B$7/100)*($D$8+N43))/(1+($B$7/100)*$D$7)-$D43</f>
        <v/>
      </c>
    </row>
    <row r="44">
      <c r="B44" s="83">
        <f>IF(O43&gt;0,D43,B43)</f>
        <v/>
      </c>
      <c r="C44" s="83">
        <f>IF(O43&gt;0,C43,D43)</f>
        <v/>
      </c>
      <c r="D44" s="83">
        <f>(B44+C44)/2</f>
        <v/>
      </c>
      <c r="E44" s="83">
        <f>IF($D44&lt;=0,0,$B$8*($D44/$B$8)^E$11)</f>
        <v/>
      </c>
      <c r="F44" s="83" t="n">
        <v>0</v>
      </c>
      <c r="G44" s="83" t="n">
        <v>0</v>
      </c>
      <c r="H44" s="83" t="n">
        <v>0</v>
      </c>
      <c r="I44" s="83" t="n">
        <v>0</v>
      </c>
      <c r="J44" s="83" t="n">
        <v>0</v>
      </c>
      <c r="K44" s="83" t="n">
        <v>0</v>
      </c>
      <c r="L44" s="83" t="n">
        <v>0</v>
      </c>
      <c r="M44" s="83" t="n">
        <v>0</v>
      </c>
      <c r="N44" s="83">
        <f>SUMPRODUCT($E$10:$M$10,$E44:$M44)</f>
        <v/>
      </c>
      <c r="O44" s="72">
        <f>($F$7-($B$7/100)*($D$8+N44))/(1+($B$7/100)*$D$7)-$D44</f>
        <v/>
      </c>
    </row>
    <row r="45">
      <c r="B45" s="83">
        <f>IF(O44&gt;0,D44,B44)</f>
        <v/>
      </c>
      <c r="C45" s="83">
        <f>IF(O44&gt;0,C44,D44)</f>
        <v/>
      </c>
      <c r="D45" s="83">
        <f>(B45+C45)/2</f>
        <v/>
      </c>
      <c r="E45" s="83">
        <f>IF($D45&lt;=0,0,$B$8*($D45/$B$8)^E$11)</f>
        <v/>
      </c>
      <c r="F45" s="83" t="n">
        <v>0</v>
      </c>
      <c r="G45" s="83" t="n">
        <v>0</v>
      </c>
      <c r="H45" s="83" t="n">
        <v>0</v>
      </c>
      <c r="I45" s="83" t="n">
        <v>0</v>
      </c>
      <c r="J45" s="83" t="n">
        <v>0</v>
      </c>
      <c r="K45" s="83" t="n">
        <v>0</v>
      </c>
      <c r="L45" s="83" t="n">
        <v>0</v>
      </c>
      <c r="M45" s="83" t="n">
        <v>0</v>
      </c>
      <c r="N45" s="83">
        <f>SUMPRODUCT($E$10:$M$10,$E45:$M45)</f>
        <v/>
      </c>
      <c r="O45" s="72">
        <f>($F$7-($B$7/100)*($D$8+N45))/(1+($B$7/100)*$D$7)-$D45</f>
        <v/>
      </c>
    </row>
    <row r="46">
      <c r="B46" s="83">
        <f>IF(O45&gt;0,D45,B45)</f>
        <v/>
      </c>
      <c r="C46" s="83">
        <f>IF(O45&gt;0,C45,D45)</f>
        <v/>
      </c>
      <c r="D46" s="83">
        <f>(B46+C46)/2</f>
        <v/>
      </c>
      <c r="E46" s="83">
        <f>IF($D46&lt;=0,0,$B$8*($D46/$B$8)^E$11)</f>
        <v/>
      </c>
      <c r="F46" s="83" t="n">
        <v>0</v>
      </c>
      <c r="G46" s="83" t="n">
        <v>0</v>
      </c>
      <c r="H46" s="83" t="n">
        <v>0</v>
      </c>
      <c r="I46" s="83" t="n">
        <v>0</v>
      </c>
      <c r="J46" s="83" t="n">
        <v>0</v>
      </c>
      <c r="K46" s="83" t="n">
        <v>0</v>
      </c>
      <c r="L46" s="83" t="n">
        <v>0</v>
      </c>
      <c r="M46" s="83" t="n">
        <v>0</v>
      </c>
      <c r="N46" s="83">
        <f>SUMPRODUCT($E$10:$M$10,$E46:$M46)</f>
        <v/>
      </c>
      <c r="O46" s="72">
        <f>($F$7-($B$7/100)*($D$8+N46))/(1+($B$7/100)*$D$7)-$D46</f>
        <v/>
      </c>
    </row>
    <row r="47">
      <c r="B47" s="83">
        <f>IF(O46&gt;0,D46,B46)</f>
        <v/>
      </c>
      <c r="C47" s="83">
        <f>IF(O46&gt;0,C46,D46)</f>
        <v/>
      </c>
      <c r="D47" s="83">
        <f>(B47+C47)/2</f>
        <v/>
      </c>
      <c r="E47" s="83">
        <f>IF($D47&lt;=0,0,$B$8*($D47/$B$8)^E$11)</f>
        <v/>
      </c>
      <c r="F47" s="83" t="n">
        <v>0</v>
      </c>
      <c r="G47" s="83" t="n">
        <v>0</v>
      </c>
      <c r="H47" s="83" t="n">
        <v>0</v>
      </c>
      <c r="I47" s="83" t="n">
        <v>0</v>
      </c>
      <c r="J47" s="83" t="n">
        <v>0</v>
      </c>
      <c r="K47" s="83" t="n">
        <v>0</v>
      </c>
      <c r="L47" s="83" t="n">
        <v>0</v>
      </c>
      <c r="M47" s="83" t="n">
        <v>0</v>
      </c>
      <c r="N47" s="83">
        <f>SUMPRODUCT($E$10:$M$10,$E47:$M47)</f>
        <v/>
      </c>
      <c r="O47" s="72">
        <f>($F$7-($B$7/100)*($D$8+N47))/(1+($B$7/100)*$D$7)-$D47</f>
        <v/>
      </c>
    </row>
    <row r="48">
      <c r="B48" s="83">
        <f>IF(O47&gt;0,D47,B47)</f>
        <v/>
      </c>
      <c r="C48" s="83">
        <f>IF(O47&gt;0,C47,D47)</f>
        <v/>
      </c>
      <c r="D48" s="83">
        <f>(B48+C48)/2</f>
        <v/>
      </c>
      <c r="E48" s="83">
        <f>IF($D48&lt;=0,0,$B$8*($D48/$B$8)^E$11)</f>
        <v/>
      </c>
      <c r="F48" s="83" t="n">
        <v>0</v>
      </c>
      <c r="G48" s="83" t="n">
        <v>0</v>
      </c>
      <c r="H48" s="83" t="n">
        <v>0</v>
      </c>
      <c r="I48" s="83" t="n">
        <v>0</v>
      </c>
      <c r="J48" s="83" t="n">
        <v>0</v>
      </c>
      <c r="K48" s="83" t="n">
        <v>0</v>
      </c>
      <c r="L48" s="83" t="n">
        <v>0</v>
      </c>
      <c r="M48" s="83" t="n">
        <v>0</v>
      </c>
      <c r="N48" s="83">
        <f>SUMPRODUCT($E$10:$M$10,$E48:$M48)</f>
        <v/>
      </c>
      <c r="O48" s="72">
        <f>($F$7-($B$7/100)*($D$8+N48))/(1+($B$7/100)*$D$7)-$D48</f>
        <v/>
      </c>
    </row>
    <row r="49">
      <c r="B49" s="83">
        <f>IF(O48&gt;0,D48,B48)</f>
        <v/>
      </c>
      <c r="C49" s="83">
        <f>IF(O48&gt;0,C48,D48)</f>
        <v/>
      </c>
      <c r="D49" s="83">
        <f>(B49+C49)/2</f>
        <v/>
      </c>
      <c r="E49" s="83">
        <f>IF($D49&lt;=0,0,$B$8*($D49/$B$8)^E$11)</f>
        <v/>
      </c>
      <c r="F49" s="83" t="n">
        <v>0</v>
      </c>
      <c r="G49" s="83" t="n">
        <v>0</v>
      </c>
      <c r="H49" s="83" t="n">
        <v>0</v>
      </c>
      <c r="I49" s="83" t="n">
        <v>0</v>
      </c>
      <c r="J49" s="83" t="n">
        <v>0</v>
      </c>
      <c r="K49" s="83" t="n">
        <v>0</v>
      </c>
      <c r="L49" s="83" t="n">
        <v>0</v>
      </c>
      <c r="M49" s="83" t="n">
        <v>0</v>
      </c>
      <c r="N49" s="83">
        <f>SUMPRODUCT($E$10:$M$10,$E49:$M49)</f>
        <v/>
      </c>
      <c r="O49" s="72">
        <f>($F$7-($B$7/100)*($D$8+N49))/(1+($B$7/100)*$D$7)-$D49</f>
        <v/>
      </c>
    </row>
    <row r="50">
      <c r="B50" s="83">
        <f>IF(O49&gt;0,D49,B49)</f>
        <v/>
      </c>
      <c r="C50" s="83">
        <f>IF(O49&gt;0,C49,D49)</f>
        <v/>
      </c>
      <c r="D50" s="83">
        <f>(B50+C50)/2</f>
        <v/>
      </c>
      <c r="E50" s="83">
        <f>IF($D50&lt;=0,0,$B$8*($D50/$B$8)^E$11)</f>
        <v/>
      </c>
      <c r="F50" s="83" t="n">
        <v>0</v>
      </c>
      <c r="G50" s="83" t="n">
        <v>0</v>
      </c>
      <c r="H50" s="83" t="n">
        <v>0</v>
      </c>
      <c r="I50" s="83" t="n">
        <v>0</v>
      </c>
      <c r="J50" s="83" t="n">
        <v>0</v>
      </c>
      <c r="K50" s="83" t="n">
        <v>0</v>
      </c>
      <c r="L50" s="83" t="n">
        <v>0</v>
      </c>
      <c r="M50" s="83" t="n">
        <v>0</v>
      </c>
      <c r="N50" s="83">
        <f>SUMPRODUCT($E$10:$M$10,$E50:$M50)</f>
        <v/>
      </c>
      <c r="O50" s="72">
        <f>($F$7-($B$7/100)*($D$8+N50))/(1+($B$7/100)*$D$7)-$D50</f>
        <v/>
      </c>
    </row>
    <row r="51">
      <c r="B51" s="83">
        <f>IF(O50&gt;0,D50,B50)</f>
        <v/>
      </c>
      <c r="C51" s="83">
        <f>IF(O50&gt;0,C50,D50)</f>
        <v/>
      </c>
      <c r="D51" s="83">
        <f>(B51+C51)/2</f>
        <v/>
      </c>
      <c r="E51" s="83">
        <f>IF($D51&lt;=0,0,$B$8*($D51/$B$8)^E$11)</f>
        <v/>
      </c>
      <c r="F51" s="83" t="n">
        <v>0</v>
      </c>
      <c r="G51" s="83" t="n">
        <v>0</v>
      </c>
      <c r="H51" s="83" t="n">
        <v>0</v>
      </c>
      <c r="I51" s="83" t="n">
        <v>0</v>
      </c>
      <c r="J51" s="83" t="n">
        <v>0</v>
      </c>
      <c r="K51" s="83" t="n">
        <v>0</v>
      </c>
      <c r="L51" s="83" t="n">
        <v>0</v>
      </c>
      <c r="M51" s="83" t="n">
        <v>0</v>
      </c>
      <c r="N51" s="83">
        <f>SUMPRODUCT($E$10:$M$10,$E51:$M51)</f>
        <v/>
      </c>
      <c r="O51" s="72">
        <f>($F$7-($B$7/100)*($D$8+N51))/(1+($B$7/100)*$D$7)-$D51</f>
        <v/>
      </c>
    </row>
    <row r="52">
      <c r="B52" s="83">
        <f>IF(O51&gt;0,D51,B51)</f>
        <v/>
      </c>
      <c r="C52" s="83">
        <f>IF(O51&gt;0,C51,D51)</f>
        <v/>
      </c>
      <c r="D52" s="83">
        <f>(B52+C52)/2</f>
        <v/>
      </c>
      <c r="E52" s="83">
        <f>IF($D52&lt;=0,0,$B$8*($D52/$B$8)^E$11)</f>
        <v/>
      </c>
      <c r="F52" s="83" t="n">
        <v>0</v>
      </c>
      <c r="G52" s="83" t="n">
        <v>0</v>
      </c>
      <c r="H52" s="83" t="n">
        <v>0</v>
      </c>
      <c r="I52" s="83" t="n">
        <v>0</v>
      </c>
      <c r="J52" s="83" t="n">
        <v>0</v>
      </c>
      <c r="K52" s="83" t="n">
        <v>0</v>
      </c>
      <c r="L52" s="83" t="n">
        <v>0</v>
      </c>
      <c r="M52" s="83" t="n">
        <v>0</v>
      </c>
      <c r="N52" s="83">
        <f>SUMPRODUCT($E$10:$M$10,$E52:$M52)</f>
        <v/>
      </c>
      <c r="O52" s="72">
        <f>($F$7-($B$7/100)*($D$8+N52))/(1+($B$7/100)*$D$7)-$D52</f>
        <v/>
      </c>
    </row>
    <row r="53">
      <c r="A53" s="67" t="inlineStr">
        <is>
          <t>DF(12Y) SOLVED</t>
        </is>
      </c>
      <c r="B53" s="81">
        <f>D52</f>
        <v/>
      </c>
      <c r="C53" s="67" t="inlineStr">
        <is>
          <t>resid</t>
        </is>
      </c>
      <c r="D53" s="72">
        <f>O52</f>
        <v/>
      </c>
      <c r="E53" s="67" t="inlineStr">
        <is>
          <t>zero %</t>
        </is>
      </c>
      <c r="F53" s="63">
        <f>-LN(B53)/$H$7*100</f>
        <v/>
      </c>
    </row>
    <row r="56">
      <c r="A56" s="73" t="inlineStr">
        <is>
          <t>PILLAR 15Y  —  Bootstrap row 37  —  anchor row 34  —  2 gap row(s)</t>
        </is>
      </c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  <c r="N56" s="74" t="n"/>
      <c r="O56" s="74" t="n"/>
    </row>
    <row r="57">
      <c r="A57" s="67" t="inlineStr">
        <is>
          <t>S_B (%)</t>
        </is>
      </c>
      <c r="B57" s="75">
        <f>Bootstrap!$E$37</f>
        <v/>
      </c>
      <c r="C57" s="67" t="inlineStr">
        <is>
          <t>tau_B</t>
        </is>
      </c>
      <c r="D57" s="79">
        <f>Bootstrap!$F$37</f>
        <v/>
      </c>
      <c r="E57" s="67" t="inlineStr">
        <is>
          <t>DFspot</t>
        </is>
      </c>
      <c r="F57" s="82">
        <f>Bootstrap!$D$4</f>
        <v/>
      </c>
      <c r="G57" s="67" t="inlineStr">
        <is>
          <t>C_B</t>
        </is>
      </c>
      <c r="H57" s="79">
        <f>Bootstrap!$C$37</f>
        <v/>
      </c>
    </row>
    <row r="58">
      <c r="A58" s="67" t="inlineStr">
        <is>
          <t>DF_A (anchor)</t>
        </is>
      </c>
      <c r="B58" s="82">
        <f>Bootstrap!$H$34</f>
        <v/>
      </c>
      <c r="C58" s="67" t="inlineStr">
        <is>
          <t>A_anchor</t>
        </is>
      </c>
      <c r="D58" s="82">
        <f>SUM(Bootstrap!$I$8:$I$34)</f>
        <v/>
      </c>
      <c r="E58" s="67" t="inlineStr">
        <is>
          <t>C_A</t>
        </is>
      </c>
      <c r="F58" s="79">
        <f>Bootstrap!$C$34</f>
        <v/>
      </c>
    </row>
    <row r="59">
      <c r="A59" s="67" t="inlineStr">
        <is>
          <t>gap row</t>
        </is>
      </c>
      <c r="E59" s="78" t="n">
        <v>35</v>
      </c>
      <c r="F59" s="78" t="n">
        <v>36</v>
      </c>
      <c r="G59" s="78" t="inlineStr"/>
      <c r="H59" s="78" t="inlineStr"/>
      <c r="I59" s="78" t="inlineStr"/>
      <c r="J59" s="78" t="inlineStr"/>
      <c r="K59" s="78" t="inlineStr"/>
      <c r="L59" s="78" t="inlineStr"/>
      <c r="M59" s="78" t="inlineStr"/>
    </row>
    <row r="60">
      <c r="A60" s="67" t="inlineStr">
        <is>
          <t>tau_g</t>
        </is>
      </c>
      <c r="E60" s="79">
        <f>Bootstrap!$F$35</f>
        <v/>
      </c>
      <c r="F60" s="79">
        <f>Bootstrap!$F$36</f>
        <v/>
      </c>
      <c r="G60" s="80" t="n">
        <v>0</v>
      </c>
      <c r="H60" s="80" t="n">
        <v>0</v>
      </c>
      <c r="I60" s="80" t="n">
        <v>0</v>
      </c>
      <c r="J60" s="80" t="n">
        <v>0</v>
      </c>
      <c r="K60" s="80" t="n">
        <v>0</v>
      </c>
      <c r="L60" s="80" t="n">
        <v>0</v>
      </c>
      <c r="M60" s="80" t="n">
        <v>0</v>
      </c>
    </row>
    <row r="61">
      <c r="A61" s="67" t="inlineStr">
        <is>
          <t>weight w_g</t>
        </is>
      </c>
      <c r="E61" s="80">
        <f>(Bootstrap!$C$35-$F$58)/($H$57-$F$58)</f>
        <v/>
      </c>
      <c r="F61" s="80">
        <f>(Bootstrap!$C$36-$F$58)/($H$57-$F$58)</f>
        <v/>
      </c>
      <c r="G61" s="80" t="n">
        <v>0</v>
      </c>
      <c r="H61" s="80" t="n">
        <v>0</v>
      </c>
      <c r="I61" s="80" t="n">
        <v>0</v>
      </c>
      <c r="J61" s="80" t="n">
        <v>0</v>
      </c>
      <c r="K61" s="80" t="n">
        <v>0</v>
      </c>
      <c r="L61" s="80" t="n">
        <v>0</v>
      </c>
      <c r="M61" s="80" t="n">
        <v>0</v>
      </c>
    </row>
    <row r="62">
      <c r="A62" s="67" t="inlineStr">
        <is>
          <t>bisection</t>
        </is>
      </c>
      <c r="B62" s="62" t="inlineStr">
        <is>
          <t>lo</t>
        </is>
      </c>
      <c r="C62" s="62" t="inlineStr">
        <is>
          <t>hi</t>
        </is>
      </c>
      <c r="D62" s="62" t="inlineStr">
        <is>
          <t>DF_B trial</t>
        </is>
      </c>
      <c r="E62" s="62" t="inlineStr">
        <is>
          <t>DF_g -&gt;</t>
        </is>
      </c>
      <c r="N62" s="62" t="inlineStr">
        <is>
          <t>gap annuity</t>
        </is>
      </c>
      <c r="O62" s="62" t="inlineStr">
        <is>
          <t>f(DF_B)</t>
        </is>
      </c>
    </row>
    <row r="63">
      <c r="B63" s="83" t="n">
        <v>0</v>
      </c>
      <c r="C63" s="83" t="n">
        <v>1.5</v>
      </c>
      <c r="D63" s="83">
        <f>(B63+C63)/2</f>
        <v/>
      </c>
      <c r="E63" s="83">
        <f>IF($D63&lt;=0,0,$B$58*($D63/$B$58)^E$61)</f>
        <v/>
      </c>
      <c r="F63" s="83">
        <f>IF($D63&lt;=0,0,$B$58*($D63/$B$58)^F$61)</f>
        <v/>
      </c>
      <c r="G63" s="83" t="n">
        <v>0</v>
      </c>
      <c r="H63" s="83" t="n">
        <v>0</v>
      </c>
      <c r="I63" s="83" t="n">
        <v>0</v>
      </c>
      <c r="J63" s="83" t="n">
        <v>0</v>
      </c>
      <c r="K63" s="83" t="n">
        <v>0</v>
      </c>
      <c r="L63" s="83" t="n">
        <v>0</v>
      </c>
      <c r="M63" s="83" t="n">
        <v>0</v>
      </c>
      <c r="N63" s="83">
        <f>SUMPRODUCT($E$60:$M$60,$E63:$M63)</f>
        <v/>
      </c>
      <c r="O63" s="72">
        <f>($F$57-($B$57/100)*($D$58+N63))/(1+($B$57/100)*$D$57)-$D63</f>
        <v/>
      </c>
    </row>
    <row r="64">
      <c r="B64" s="83">
        <f>IF(O63&gt;0,D63,B63)</f>
        <v/>
      </c>
      <c r="C64" s="83">
        <f>IF(O63&gt;0,C63,D63)</f>
        <v/>
      </c>
      <c r="D64" s="83">
        <f>(B64+C64)/2</f>
        <v/>
      </c>
      <c r="E64" s="83">
        <f>IF($D64&lt;=0,0,$B$58*($D64/$B$58)^E$61)</f>
        <v/>
      </c>
      <c r="F64" s="83">
        <f>IF($D64&lt;=0,0,$B$58*($D64/$B$58)^F$61)</f>
        <v/>
      </c>
      <c r="G64" s="83" t="n">
        <v>0</v>
      </c>
      <c r="H64" s="83" t="n">
        <v>0</v>
      </c>
      <c r="I64" s="83" t="n">
        <v>0</v>
      </c>
      <c r="J64" s="83" t="n">
        <v>0</v>
      </c>
      <c r="K64" s="83" t="n">
        <v>0</v>
      </c>
      <c r="L64" s="83" t="n">
        <v>0</v>
      </c>
      <c r="M64" s="83" t="n">
        <v>0</v>
      </c>
      <c r="N64" s="83">
        <f>SUMPRODUCT($E$60:$M$60,$E64:$M64)</f>
        <v/>
      </c>
      <c r="O64" s="72">
        <f>($F$57-($B$57/100)*($D$58+N64))/(1+($B$57/100)*$D$57)-$D64</f>
        <v/>
      </c>
    </row>
    <row r="65">
      <c r="B65" s="83">
        <f>IF(O64&gt;0,D64,B64)</f>
        <v/>
      </c>
      <c r="C65" s="83">
        <f>IF(O64&gt;0,C64,D64)</f>
        <v/>
      </c>
      <c r="D65" s="83">
        <f>(B65+C65)/2</f>
        <v/>
      </c>
      <c r="E65" s="83">
        <f>IF($D65&lt;=0,0,$B$58*($D65/$B$58)^E$61)</f>
        <v/>
      </c>
      <c r="F65" s="83">
        <f>IF($D65&lt;=0,0,$B$58*($D65/$B$58)^F$61)</f>
        <v/>
      </c>
      <c r="G65" s="83" t="n">
        <v>0</v>
      </c>
      <c r="H65" s="83" t="n">
        <v>0</v>
      </c>
      <c r="I65" s="83" t="n">
        <v>0</v>
      </c>
      <c r="J65" s="83" t="n">
        <v>0</v>
      </c>
      <c r="K65" s="83" t="n">
        <v>0</v>
      </c>
      <c r="L65" s="83" t="n">
        <v>0</v>
      </c>
      <c r="M65" s="83" t="n">
        <v>0</v>
      </c>
      <c r="N65" s="83">
        <f>SUMPRODUCT($E$60:$M$60,$E65:$M65)</f>
        <v/>
      </c>
      <c r="O65" s="72">
        <f>($F$57-($B$57/100)*($D$58+N65))/(1+($B$57/100)*$D$57)-$D65</f>
        <v/>
      </c>
    </row>
    <row r="66">
      <c r="B66" s="83">
        <f>IF(O65&gt;0,D65,B65)</f>
        <v/>
      </c>
      <c r="C66" s="83">
        <f>IF(O65&gt;0,C65,D65)</f>
        <v/>
      </c>
      <c r="D66" s="83">
        <f>(B66+C66)/2</f>
        <v/>
      </c>
      <c r="E66" s="83">
        <f>IF($D66&lt;=0,0,$B$58*($D66/$B$58)^E$61)</f>
        <v/>
      </c>
      <c r="F66" s="83">
        <f>IF($D66&lt;=0,0,$B$58*($D66/$B$58)^F$61)</f>
        <v/>
      </c>
      <c r="G66" s="83" t="n">
        <v>0</v>
      </c>
      <c r="H66" s="83" t="n">
        <v>0</v>
      </c>
      <c r="I66" s="83" t="n">
        <v>0</v>
      </c>
      <c r="J66" s="83" t="n">
        <v>0</v>
      </c>
      <c r="K66" s="83" t="n">
        <v>0</v>
      </c>
      <c r="L66" s="83" t="n">
        <v>0</v>
      </c>
      <c r="M66" s="83" t="n">
        <v>0</v>
      </c>
      <c r="N66" s="83">
        <f>SUMPRODUCT($E$60:$M$60,$E66:$M66)</f>
        <v/>
      </c>
      <c r="O66" s="72">
        <f>($F$57-($B$57/100)*($D$58+N66))/(1+($B$57/100)*$D$57)-$D66</f>
        <v/>
      </c>
    </row>
    <row r="67">
      <c r="B67" s="83">
        <f>IF(O66&gt;0,D66,B66)</f>
        <v/>
      </c>
      <c r="C67" s="83">
        <f>IF(O66&gt;0,C66,D66)</f>
        <v/>
      </c>
      <c r="D67" s="83">
        <f>(B67+C67)/2</f>
        <v/>
      </c>
      <c r="E67" s="83">
        <f>IF($D67&lt;=0,0,$B$58*($D67/$B$58)^E$61)</f>
        <v/>
      </c>
      <c r="F67" s="83">
        <f>IF($D67&lt;=0,0,$B$58*($D67/$B$58)^F$61)</f>
        <v/>
      </c>
      <c r="G67" s="83" t="n">
        <v>0</v>
      </c>
      <c r="H67" s="83" t="n">
        <v>0</v>
      </c>
      <c r="I67" s="83" t="n">
        <v>0</v>
      </c>
      <c r="J67" s="83" t="n">
        <v>0</v>
      </c>
      <c r="K67" s="83" t="n">
        <v>0</v>
      </c>
      <c r="L67" s="83" t="n">
        <v>0</v>
      </c>
      <c r="M67" s="83" t="n">
        <v>0</v>
      </c>
      <c r="N67" s="83">
        <f>SUMPRODUCT($E$60:$M$60,$E67:$M67)</f>
        <v/>
      </c>
      <c r="O67" s="72">
        <f>($F$57-($B$57/100)*($D$58+N67))/(1+($B$57/100)*$D$57)-$D67</f>
        <v/>
      </c>
    </row>
    <row r="68">
      <c r="B68" s="83">
        <f>IF(O67&gt;0,D67,B67)</f>
        <v/>
      </c>
      <c r="C68" s="83">
        <f>IF(O67&gt;0,C67,D67)</f>
        <v/>
      </c>
      <c r="D68" s="83">
        <f>(B68+C68)/2</f>
        <v/>
      </c>
      <c r="E68" s="83">
        <f>IF($D68&lt;=0,0,$B$58*($D68/$B$58)^E$61)</f>
        <v/>
      </c>
      <c r="F68" s="83">
        <f>IF($D68&lt;=0,0,$B$58*($D68/$B$58)^F$61)</f>
        <v/>
      </c>
      <c r="G68" s="83" t="n">
        <v>0</v>
      </c>
      <c r="H68" s="83" t="n">
        <v>0</v>
      </c>
      <c r="I68" s="83" t="n">
        <v>0</v>
      </c>
      <c r="J68" s="83" t="n">
        <v>0</v>
      </c>
      <c r="K68" s="83" t="n">
        <v>0</v>
      </c>
      <c r="L68" s="83" t="n">
        <v>0</v>
      </c>
      <c r="M68" s="83" t="n">
        <v>0</v>
      </c>
      <c r="N68" s="83">
        <f>SUMPRODUCT($E$60:$M$60,$E68:$M68)</f>
        <v/>
      </c>
      <c r="O68" s="72">
        <f>($F$57-($B$57/100)*($D$58+N68))/(1+($B$57/100)*$D$57)-$D68</f>
        <v/>
      </c>
    </row>
    <row r="69">
      <c r="B69" s="83">
        <f>IF(O68&gt;0,D68,B68)</f>
        <v/>
      </c>
      <c r="C69" s="83">
        <f>IF(O68&gt;0,C68,D68)</f>
        <v/>
      </c>
      <c r="D69" s="83">
        <f>(B69+C69)/2</f>
        <v/>
      </c>
      <c r="E69" s="83">
        <f>IF($D69&lt;=0,0,$B$58*($D69/$B$58)^E$61)</f>
        <v/>
      </c>
      <c r="F69" s="83">
        <f>IF($D69&lt;=0,0,$B$58*($D69/$B$58)^F$61)</f>
        <v/>
      </c>
      <c r="G69" s="83" t="n">
        <v>0</v>
      </c>
      <c r="H69" s="83" t="n">
        <v>0</v>
      </c>
      <c r="I69" s="83" t="n">
        <v>0</v>
      </c>
      <c r="J69" s="83" t="n">
        <v>0</v>
      </c>
      <c r="K69" s="83" t="n">
        <v>0</v>
      </c>
      <c r="L69" s="83" t="n">
        <v>0</v>
      </c>
      <c r="M69" s="83" t="n">
        <v>0</v>
      </c>
      <c r="N69" s="83">
        <f>SUMPRODUCT($E$60:$M$60,$E69:$M69)</f>
        <v/>
      </c>
      <c r="O69" s="72">
        <f>($F$57-($B$57/100)*($D$58+N69))/(1+($B$57/100)*$D$57)-$D69</f>
        <v/>
      </c>
    </row>
    <row r="70">
      <c r="B70" s="83">
        <f>IF(O69&gt;0,D69,B69)</f>
        <v/>
      </c>
      <c r="C70" s="83">
        <f>IF(O69&gt;0,C69,D69)</f>
        <v/>
      </c>
      <c r="D70" s="83">
        <f>(B70+C70)/2</f>
        <v/>
      </c>
      <c r="E70" s="83">
        <f>IF($D70&lt;=0,0,$B$58*($D70/$B$58)^E$61)</f>
        <v/>
      </c>
      <c r="F70" s="83">
        <f>IF($D70&lt;=0,0,$B$58*($D70/$B$58)^F$61)</f>
        <v/>
      </c>
      <c r="G70" s="83" t="n">
        <v>0</v>
      </c>
      <c r="H70" s="83" t="n">
        <v>0</v>
      </c>
      <c r="I70" s="83" t="n">
        <v>0</v>
      </c>
      <c r="J70" s="83" t="n">
        <v>0</v>
      </c>
      <c r="K70" s="83" t="n">
        <v>0</v>
      </c>
      <c r="L70" s="83" t="n">
        <v>0</v>
      </c>
      <c r="M70" s="83" t="n">
        <v>0</v>
      </c>
      <c r="N70" s="83">
        <f>SUMPRODUCT($E$60:$M$60,$E70:$M70)</f>
        <v/>
      </c>
      <c r="O70" s="72">
        <f>($F$57-($B$57/100)*($D$58+N70))/(1+($B$57/100)*$D$57)-$D70</f>
        <v/>
      </c>
    </row>
    <row r="71">
      <c r="B71" s="83">
        <f>IF(O70&gt;0,D70,B70)</f>
        <v/>
      </c>
      <c r="C71" s="83">
        <f>IF(O70&gt;0,C70,D70)</f>
        <v/>
      </c>
      <c r="D71" s="83">
        <f>(B71+C71)/2</f>
        <v/>
      </c>
      <c r="E71" s="83">
        <f>IF($D71&lt;=0,0,$B$58*($D71/$B$58)^E$61)</f>
        <v/>
      </c>
      <c r="F71" s="83">
        <f>IF($D71&lt;=0,0,$B$58*($D71/$B$58)^F$61)</f>
        <v/>
      </c>
      <c r="G71" s="83" t="n">
        <v>0</v>
      </c>
      <c r="H71" s="83" t="n">
        <v>0</v>
      </c>
      <c r="I71" s="83" t="n">
        <v>0</v>
      </c>
      <c r="J71" s="83" t="n">
        <v>0</v>
      </c>
      <c r="K71" s="83" t="n">
        <v>0</v>
      </c>
      <c r="L71" s="83" t="n">
        <v>0</v>
      </c>
      <c r="M71" s="83" t="n">
        <v>0</v>
      </c>
      <c r="N71" s="83">
        <f>SUMPRODUCT($E$60:$M$60,$E71:$M71)</f>
        <v/>
      </c>
      <c r="O71" s="72">
        <f>($F$57-($B$57/100)*($D$58+N71))/(1+($B$57/100)*$D$57)-$D71</f>
        <v/>
      </c>
    </row>
    <row r="72">
      <c r="B72" s="83">
        <f>IF(O71&gt;0,D71,B71)</f>
        <v/>
      </c>
      <c r="C72" s="83">
        <f>IF(O71&gt;0,C71,D71)</f>
        <v/>
      </c>
      <c r="D72" s="83">
        <f>(B72+C72)/2</f>
        <v/>
      </c>
      <c r="E72" s="83">
        <f>IF($D72&lt;=0,0,$B$58*($D72/$B$58)^E$61)</f>
        <v/>
      </c>
      <c r="F72" s="83">
        <f>IF($D72&lt;=0,0,$B$58*($D72/$B$58)^F$61)</f>
        <v/>
      </c>
      <c r="G72" s="83" t="n">
        <v>0</v>
      </c>
      <c r="H72" s="83" t="n">
        <v>0</v>
      </c>
      <c r="I72" s="83" t="n">
        <v>0</v>
      </c>
      <c r="J72" s="83" t="n">
        <v>0</v>
      </c>
      <c r="K72" s="83" t="n">
        <v>0</v>
      </c>
      <c r="L72" s="83" t="n">
        <v>0</v>
      </c>
      <c r="M72" s="83" t="n">
        <v>0</v>
      </c>
      <c r="N72" s="83">
        <f>SUMPRODUCT($E$60:$M$60,$E72:$M72)</f>
        <v/>
      </c>
      <c r="O72" s="72">
        <f>($F$57-($B$57/100)*($D$58+N72))/(1+($B$57/100)*$D$57)-$D72</f>
        <v/>
      </c>
    </row>
    <row r="73">
      <c r="B73" s="83">
        <f>IF(O72&gt;0,D72,B72)</f>
        <v/>
      </c>
      <c r="C73" s="83">
        <f>IF(O72&gt;0,C72,D72)</f>
        <v/>
      </c>
      <c r="D73" s="83">
        <f>(B73+C73)/2</f>
        <v/>
      </c>
      <c r="E73" s="83">
        <f>IF($D73&lt;=0,0,$B$58*($D73/$B$58)^E$61)</f>
        <v/>
      </c>
      <c r="F73" s="83">
        <f>IF($D73&lt;=0,0,$B$58*($D73/$B$58)^F$61)</f>
        <v/>
      </c>
      <c r="G73" s="83" t="n">
        <v>0</v>
      </c>
      <c r="H73" s="83" t="n">
        <v>0</v>
      </c>
      <c r="I73" s="83" t="n">
        <v>0</v>
      </c>
      <c r="J73" s="83" t="n">
        <v>0</v>
      </c>
      <c r="K73" s="83" t="n">
        <v>0</v>
      </c>
      <c r="L73" s="83" t="n">
        <v>0</v>
      </c>
      <c r="M73" s="83" t="n">
        <v>0</v>
      </c>
      <c r="N73" s="83">
        <f>SUMPRODUCT($E$60:$M$60,$E73:$M73)</f>
        <v/>
      </c>
      <c r="O73" s="72">
        <f>($F$57-($B$57/100)*($D$58+N73))/(1+($B$57/100)*$D$57)-$D73</f>
        <v/>
      </c>
    </row>
    <row r="74">
      <c r="B74" s="83">
        <f>IF(O73&gt;0,D73,B73)</f>
        <v/>
      </c>
      <c r="C74" s="83">
        <f>IF(O73&gt;0,C73,D73)</f>
        <v/>
      </c>
      <c r="D74" s="83">
        <f>(B74+C74)/2</f>
        <v/>
      </c>
      <c r="E74" s="83">
        <f>IF($D74&lt;=0,0,$B$58*($D74/$B$58)^E$61)</f>
        <v/>
      </c>
      <c r="F74" s="83">
        <f>IF($D74&lt;=0,0,$B$58*($D74/$B$58)^F$61)</f>
        <v/>
      </c>
      <c r="G74" s="83" t="n">
        <v>0</v>
      </c>
      <c r="H74" s="83" t="n">
        <v>0</v>
      </c>
      <c r="I74" s="83" t="n">
        <v>0</v>
      </c>
      <c r="J74" s="83" t="n">
        <v>0</v>
      </c>
      <c r="K74" s="83" t="n">
        <v>0</v>
      </c>
      <c r="L74" s="83" t="n">
        <v>0</v>
      </c>
      <c r="M74" s="83" t="n">
        <v>0</v>
      </c>
      <c r="N74" s="83">
        <f>SUMPRODUCT($E$60:$M$60,$E74:$M74)</f>
        <v/>
      </c>
      <c r="O74" s="72">
        <f>($F$57-($B$57/100)*($D$58+N74))/(1+($B$57/100)*$D$57)-$D74</f>
        <v/>
      </c>
    </row>
    <row r="75">
      <c r="B75" s="83">
        <f>IF(O74&gt;0,D74,B74)</f>
        <v/>
      </c>
      <c r="C75" s="83">
        <f>IF(O74&gt;0,C74,D74)</f>
        <v/>
      </c>
      <c r="D75" s="83">
        <f>(B75+C75)/2</f>
        <v/>
      </c>
      <c r="E75" s="83">
        <f>IF($D75&lt;=0,0,$B$58*($D75/$B$58)^E$61)</f>
        <v/>
      </c>
      <c r="F75" s="83">
        <f>IF($D75&lt;=0,0,$B$58*($D75/$B$58)^F$61)</f>
        <v/>
      </c>
      <c r="G75" s="83" t="n">
        <v>0</v>
      </c>
      <c r="H75" s="83" t="n">
        <v>0</v>
      </c>
      <c r="I75" s="83" t="n">
        <v>0</v>
      </c>
      <c r="J75" s="83" t="n">
        <v>0</v>
      </c>
      <c r="K75" s="83" t="n">
        <v>0</v>
      </c>
      <c r="L75" s="83" t="n">
        <v>0</v>
      </c>
      <c r="M75" s="83" t="n">
        <v>0</v>
      </c>
      <c r="N75" s="83">
        <f>SUMPRODUCT($E$60:$M$60,$E75:$M75)</f>
        <v/>
      </c>
      <c r="O75" s="72">
        <f>($F$57-($B$57/100)*($D$58+N75))/(1+($B$57/100)*$D$57)-$D75</f>
        <v/>
      </c>
    </row>
    <row r="76">
      <c r="B76" s="83">
        <f>IF(O75&gt;0,D75,B75)</f>
        <v/>
      </c>
      <c r="C76" s="83">
        <f>IF(O75&gt;0,C75,D75)</f>
        <v/>
      </c>
      <c r="D76" s="83">
        <f>(B76+C76)/2</f>
        <v/>
      </c>
      <c r="E76" s="83">
        <f>IF($D76&lt;=0,0,$B$58*($D76/$B$58)^E$61)</f>
        <v/>
      </c>
      <c r="F76" s="83">
        <f>IF($D76&lt;=0,0,$B$58*($D76/$B$58)^F$61)</f>
        <v/>
      </c>
      <c r="G76" s="83" t="n">
        <v>0</v>
      </c>
      <c r="H76" s="83" t="n">
        <v>0</v>
      </c>
      <c r="I76" s="83" t="n">
        <v>0</v>
      </c>
      <c r="J76" s="83" t="n">
        <v>0</v>
      </c>
      <c r="K76" s="83" t="n">
        <v>0</v>
      </c>
      <c r="L76" s="83" t="n">
        <v>0</v>
      </c>
      <c r="M76" s="83" t="n">
        <v>0</v>
      </c>
      <c r="N76" s="83">
        <f>SUMPRODUCT($E$60:$M$60,$E76:$M76)</f>
        <v/>
      </c>
      <c r="O76" s="72">
        <f>($F$57-($B$57/100)*($D$58+N76))/(1+($B$57/100)*$D$57)-$D76</f>
        <v/>
      </c>
    </row>
    <row r="77">
      <c r="B77" s="83">
        <f>IF(O76&gt;0,D76,B76)</f>
        <v/>
      </c>
      <c r="C77" s="83">
        <f>IF(O76&gt;0,C76,D76)</f>
        <v/>
      </c>
      <c r="D77" s="83">
        <f>(B77+C77)/2</f>
        <v/>
      </c>
      <c r="E77" s="83">
        <f>IF($D77&lt;=0,0,$B$58*($D77/$B$58)^E$61)</f>
        <v/>
      </c>
      <c r="F77" s="83">
        <f>IF($D77&lt;=0,0,$B$58*($D77/$B$58)^F$61)</f>
        <v/>
      </c>
      <c r="G77" s="83" t="n">
        <v>0</v>
      </c>
      <c r="H77" s="83" t="n">
        <v>0</v>
      </c>
      <c r="I77" s="83" t="n">
        <v>0</v>
      </c>
      <c r="J77" s="83" t="n">
        <v>0</v>
      </c>
      <c r="K77" s="83" t="n">
        <v>0</v>
      </c>
      <c r="L77" s="83" t="n">
        <v>0</v>
      </c>
      <c r="M77" s="83" t="n">
        <v>0</v>
      </c>
      <c r="N77" s="83">
        <f>SUMPRODUCT($E$60:$M$60,$E77:$M77)</f>
        <v/>
      </c>
      <c r="O77" s="72">
        <f>($F$57-($B$57/100)*($D$58+N77))/(1+($B$57/100)*$D$57)-$D77</f>
        <v/>
      </c>
    </row>
    <row r="78">
      <c r="B78" s="83">
        <f>IF(O77&gt;0,D77,B77)</f>
        <v/>
      </c>
      <c r="C78" s="83">
        <f>IF(O77&gt;0,C77,D77)</f>
        <v/>
      </c>
      <c r="D78" s="83">
        <f>(B78+C78)/2</f>
        <v/>
      </c>
      <c r="E78" s="83">
        <f>IF($D78&lt;=0,0,$B$58*($D78/$B$58)^E$61)</f>
        <v/>
      </c>
      <c r="F78" s="83">
        <f>IF($D78&lt;=0,0,$B$58*($D78/$B$58)^F$61)</f>
        <v/>
      </c>
      <c r="G78" s="83" t="n">
        <v>0</v>
      </c>
      <c r="H78" s="83" t="n">
        <v>0</v>
      </c>
      <c r="I78" s="83" t="n">
        <v>0</v>
      </c>
      <c r="J78" s="83" t="n">
        <v>0</v>
      </c>
      <c r="K78" s="83" t="n">
        <v>0</v>
      </c>
      <c r="L78" s="83" t="n">
        <v>0</v>
      </c>
      <c r="M78" s="83" t="n">
        <v>0</v>
      </c>
      <c r="N78" s="83">
        <f>SUMPRODUCT($E$60:$M$60,$E78:$M78)</f>
        <v/>
      </c>
      <c r="O78" s="72">
        <f>($F$57-($B$57/100)*($D$58+N78))/(1+($B$57/100)*$D$57)-$D78</f>
        <v/>
      </c>
    </row>
    <row r="79">
      <c r="B79" s="83">
        <f>IF(O78&gt;0,D78,B78)</f>
        <v/>
      </c>
      <c r="C79" s="83">
        <f>IF(O78&gt;0,C78,D78)</f>
        <v/>
      </c>
      <c r="D79" s="83">
        <f>(B79+C79)/2</f>
        <v/>
      </c>
      <c r="E79" s="83">
        <f>IF($D79&lt;=0,0,$B$58*($D79/$B$58)^E$61)</f>
        <v/>
      </c>
      <c r="F79" s="83">
        <f>IF($D79&lt;=0,0,$B$58*($D79/$B$58)^F$61)</f>
        <v/>
      </c>
      <c r="G79" s="83" t="n">
        <v>0</v>
      </c>
      <c r="H79" s="83" t="n">
        <v>0</v>
      </c>
      <c r="I79" s="83" t="n">
        <v>0</v>
      </c>
      <c r="J79" s="83" t="n">
        <v>0</v>
      </c>
      <c r="K79" s="83" t="n">
        <v>0</v>
      </c>
      <c r="L79" s="83" t="n">
        <v>0</v>
      </c>
      <c r="M79" s="83" t="n">
        <v>0</v>
      </c>
      <c r="N79" s="83">
        <f>SUMPRODUCT($E$60:$M$60,$E79:$M79)</f>
        <v/>
      </c>
      <c r="O79" s="72">
        <f>($F$57-($B$57/100)*($D$58+N79))/(1+($B$57/100)*$D$57)-$D79</f>
        <v/>
      </c>
    </row>
    <row r="80">
      <c r="B80" s="83">
        <f>IF(O79&gt;0,D79,B79)</f>
        <v/>
      </c>
      <c r="C80" s="83">
        <f>IF(O79&gt;0,C79,D79)</f>
        <v/>
      </c>
      <c r="D80" s="83">
        <f>(B80+C80)/2</f>
        <v/>
      </c>
      <c r="E80" s="83">
        <f>IF($D80&lt;=0,0,$B$58*($D80/$B$58)^E$61)</f>
        <v/>
      </c>
      <c r="F80" s="83">
        <f>IF($D80&lt;=0,0,$B$58*($D80/$B$58)^F$61)</f>
        <v/>
      </c>
      <c r="G80" s="83" t="n">
        <v>0</v>
      </c>
      <c r="H80" s="83" t="n">
        <v>0</v>
      </c>
      <c r="I80" s="83" t="n">
        <v>0</v>
      </c>
      <c r="J80" s="83" t="n">
        <v>0</v>
      </c>
      <c r="K80" s="83" t="n">
        <v>0</v>
      </c>
      <c r="L80" s="83" t="n">
        <v>0</v>
      </c>
      <c r="M80" s="83" t="n">
        <v>0</v>
      </c>
      <c r="N80" s="83">
        <f>SUMPRODUCT($E$60:$M$60,$E80:$M80)</f>
        <v/>
      </c>
      <c r="O80" s="72">
        <f>($F$57-($B$57/100)*($D$58+N80))/(1+($B$57/100)*$D$57)-$D80</f>
        <v/>
      </c>
    </row>
    <row r="81">
      <c r="B81" s="83">
        <f>IF(O80&gt;0,D80,B80)</f>
        <v/>
      </c>
      <c r="C81" s="83">
        <f>IF(O80&gt;0,C80,D80)</f>
        <v/>
      </c>
      <c r="D81" s="83">
        <f>(B81+C81)/2</f>
        <v/>
      </c>
      <c r="E81" s="83">
        <f>IF($D81&lt;=0,0,$B$58*($D81/$B$58)^E$61)</f>
        <v/>
      </c>
      <c r="F81" s="83">
        <f>IF($D81&lt;=0,0,$B$58*($D81/$B$58)^F$61)</f>
        <v/>
      </c>
      <c r="G81" s="83" t="n">
        <v>0</v>
      </c>
      <c r="H81" s="83" t="n">
        <v>0</v>
      </c>
      <c r="I81" s="83" t="n">
        <v>0</v>
      </c>
      <c r="J81" s="83" t="n">
        <v>0</v>
      </c>
      <c r="K81" s="83" t="n">
        <v>0</v>
      </c>
      <c r="L81" s="83" t="n">
        <v>0</v>
      </c>
      <c r="M81" s="83" t="n">
        <v>0</v>
      </c>
      <c r="N81" s="83">
        <f>SUMPRODUCT($E$60:$M$60,$E81:$M81)</f>
        <v/>
      </c>
      <c r="O81" s="72">
        <f>($F$57-($B$57/100)*($D$58+N81))/(1+($B$57/100)*$D$57)-$D81</f>
        <v/>
      </c>
    </row>
    <row r="82">
      <c r="B82" s="83">
        <f>IF(O81&gt;0,D81,B81)</f>
        <v/>
      </c>
      <c r="C82" s="83">
        <f>IF(O81&gt;0,C81,D81)</f>
        <v/>
      </c>
      <c r="D82" s="83">
        <f>(B82+C82)/2</f>
        <v/>
      </c>
      <c r="E82" s="83">
        <f>IF($D82&lt;=0,0,$B$58*($D82/$B$58)^E$61)</f>
        <v/>
      </c>
      <c r="F82" s="83">
        <f>IF($D82&lt;=0,0,$B$58*($D82/$B$58)^F$61)</f>
        <v/>
      </c>
      <c r="G82" s="83" t="n">
        <v>0</v>
      </c>
      <c r="H82" s="83" t="n">
        <v>0</v>
      </c>
      <c r="I82" s="83" t="n">
        <v>0</v>
      </c>
      <c r="J82" s="83" t="n">
        <v>0</v>
      </c>
      <c r="K82" s="83" t="n">
        <v>0</v>
      </c>
      <c r="L82" s="83" t="n">
        <v>0</v>
      </c>
      <c r="M82" s="83" t="n">
        <v>0</v>
      </c>
      <c r="N82" s="83">
        <f>SUMPRODUCT($E$60:$M$60,$E82:$M82)</f>
        <v/>
      </c>
      <c r="O82" s="72">
        <f>($F$57-($B$57/100)*($D$58+N82))/(1+($B$57/100)*$D$57)-$D82</f>
        <v/>
      </c>
    </row>
    <row r="83">
      <c r="B83" s="83">
        <f>IF(O82&gt;0,D82,B82)</f>
        <v/>
      </c>
      <c r="C83" s="83">
        <f>IF(O82&gt;0,C82,D82)</f>
        <v/>
      </c>
      <c r="D83" s="83">
        <f>(B83+C83)/2</f>
        <v/>
      </c>
      <c r="E83" s="83">
        <f>IF($D83&lt;=0,0,$B$58*($D83/$B$58)^E$61)</f>
        <v/>
      </c>
      <c r="F83" s="83">
        <f>IF($D83&lt;=0,0,$B$58*($D83/$B$58)^F$61)</f>
        <v/>
      </c>
      <c r="G83" s="83" t="n">
        <v>0</v>
      </c>
      <c r="H83" s="83" t="n">
        <v>0</v>
      </c>
      <c r="I83" s="83" t="n">
        <v>0</v>
      </c>
      <c r="J83" s="83" t="n">
        <v>0</v>
      </c>
      <c r="K83" s="83" t="n">
        <v>0</v>
      </c>
      <c r="L83" s="83" t="n">
        <v>0</v>
      </c>
      <c r="M83" s="83" t="n">
        <v>0</v>
      </c>
      <c r="N83" s="83">
        <f>SUMPRODUCT($E$60:$M$60,$E83:$M83)</f>
        <v/>
      </c>
      <c r="O83" s="72">
        <f>($F$57-($B$57/100)*($D$58+N83))/(1+($B$57/100)*$D$57)-$D83</f>
        <v/>
      </c>
    </row>
    <row r="84">
      <c r="B84" s="83">
        <f>IF(O83&gt;0,D83,B83)</f>
        <v/>
      </c>
      <c r="C84" s="83">
        <f>IF(O83&gt;0,C83,D83)</f>
        <v/>
      </c>
      <c r="D84" s="83">
        <f>(B84+C84)/2</f>
        <v/>
      </c>
      <c r="E84" s="83">
        <f>IF($D84&lt;=0,0,$B$58*($D84/$B$58)^E$61)</f>
        <v/>
      </c>
      <c r="F84" s="83">
        <f>IF($D84&lt;=0,0,$B$58*($D84/$B$58)^F$61)</f>
        <v/>
      </c>
      <c r="G84" s="83" t="n">
        <v>0</v>
      </c>
      <c r="H84" s="83" t="n">
        <v>0</v>
      </c>
      <c r="I84" s="83" t="n">
        <v>0</v>
      </c>
      <c r="J84" s="83" t="n">
        <v>0</v>
      </c>
      <c r="K84" s="83" t="n">
        <v>0</v>
      </c>
      <c r="L84" s="83" t="n">
        <v>0</v>
      </c>
      <c r="M84" s="83" t="n">
        <v>0</v>
      </c>
      <c r="N84" s="83">
        <f>SUMPRODUCT($E$60:$M$60,$E84:$M84)</f>
        <v/>
      </c>
      <c r="O84" s="72">
        <f>($F$57-($B$57/100)*($D$58+N84))/(1+($B$57/100)*$D$57)-$D84</f>
        <v/>
      </c>
    </row>
    <row r="85">
      <c r="B85" s="83">
        <f>IF(O84&gt;0,D84,B84)</f>
        <v/>
      </c>
      <c r="C85" s="83">
        <f>IF(O84&gt;0,C84,D84)</f>
        <v/>
      </c>
      <c r="D85" s="83">
        <f>(B85+C85)/2</f>
        <v/>
      </c>
      <c r="E85" s="83">
        <f>IF($D85&lt;=0,0,$B$58*($D85/$B$58)^E$61)</f>
        <v/>
      </c>
      <c r="F85" s="83">
        <f>IF($D85&lt;=0,0,$B$58*($D85/$B$58)^F$61)</f>
        <v/>
      </c>
      <c r="G85" s="83" t="n">
        <v>0</v>
      </c>
      <c r="H85" s="83" t="n">
        <v>0</v>
      </c>
      <c r="I85" s="83" t="n">
        <v>0</v>
      </c>
      <c r="J85" s="83" t="n">
        <v>0</v>
      </c>
      <c r="K85" s="83" t="n">
        <v>0</v>
      </c>
      <c r="L85" s="83" t="n">
        <v>0</v>
      </c>
      <c r="M85" s="83" t="n">
        <v>0</v>
      </c>
      <c r="N85" s="83">
        <f>SUMPRODUCT($E$60:$M$60,$E85:$M85)</f>
        <v/>
      </c>
      <c r="O85" s="72">
        <f>($F$57-($B$57/100)*($D$58+N85))/(1+($B$57/100)*$D$57)-$D85</f>
        <v/>
      </c>
    </row>
    <row r="86">
      <c r="B86" s="83">
        <f>IF(O85&gt;0,D85,B85)</f>
        <v/>
      </c>
      <c r="C86" s="83">
        <f>IF(O85&gt;0,C85,D85)</f>
        <v/>
      </c>
      <c r="D86" s="83">
        <f>(B86+C86)/2</f>
        <v/>
      </c>
      <c r="E86" s="83">
        <f>IF($D86&lt;=0,0,$B$58*($D86/$B$58)^E$61)</f>
        <v/>
      </c>
      <c r="F86" s="83">
        <f>IF($D86&lt;=0,0,$B$58*($D86/$B$58)^F$61)</f>
        <v/>
      </c>
      <c r="G86" s="83" t="n">
        <v>0</v>
      </c>
      <c r="H86" s="83" t="n">
        <v>0</v>
      </c>
      <c r="I86" s="83" t="n">
        <v>0</v>
      </c>
      <c r="J86" s="83" t="n">
        <v>0</v>
      </c>
      <c r="K86" s="83" t="n">
        <v>0</v>
      </c>
      <c r="L86" s="83" t="n">
        <v>0</v>
      </c>
      <c r="M86" s="83" t="n">
        <v>0</v>
      </c>
      <c r="N86" s="83">
        <f>SUMPRODUCT($E$60:$M$60,$E86:$M86)</f>
        <v/>
      </c>
      <c r="O86" s="72">
        <f>($F$57-($B$57/100)*($D$58+N86))/(1+($B$57/100)*$D$57)-$D86</f>
        <v/>
      </c>
    </row>
    <row r="87">
      <c r="B87" s="83">
        <f>IF(O86&gt;0,D86,B86)</f>
        <v/>
      </c>
      <c r="C87" s="83">
        <f>IF(O86&gt;0,C86,D86)</f>
        <v/>
      </c>
      <c r="D87" s="83">
        <f>(B87+C87)/2</f>
        <v/>
      </c>
      <c r="E87" s="83">
        <f>IF($D87&lt;=0,0,$B$58*($D87/$B$58)^E$61)</f>
        <v/>
      </c>
      <c r="F87" s="83">
        <f>IF($D87&lt;=0,0,$B$58*($D87/$B$58)^F$61)</f>
        <v/>
      </c>
      <c r="G87" s="83" t="n">
        <v>0</v>
      </c>
      <c r="H87" s="83" t="n">
        <v>0</v>
      </c>
      <c r="I87" s="83" t="n">
        <v>0</v>
      </c>
      <c r="J87" s="83" t="n">
        <v>0</v>
      </c>
      <c r="K87" s="83" t="n">
        <v>0</v>
      </c>
      <c r="L87" s="83" t="n">
        <v>0</v>
      </c>
      <c r="M87" s="83" t="n">
        <v>0</v>
      </c>
      <c r="N87" s="83">
        <f>SUMPRODUCT($E$60:$M$60,$E87:$M87)</f>
        <v/>
      </c>
      <c r="O87" s="72">
        <f>($F$57-($B$57/100)*($D$58+N87))/(1+($B$57/100)*$D$57)-$D87</f>
        <v/>
      </c>
    </row>
    <row r="88">
      <c r="B88" s="83">
        <f>IF(O87&gt;0,D87,B87)</f>
        <v/>
      </c>
      <c r="C88" s="83">
        <f>IF(O87&gt;0,C87,D87)</f>
        <v/>
      </c>
      <c r="D88" s="83">
        <f>(B88+C88)/2</f>
        <v/>
      </c>
      <c r="E88" s="83">
        <f>IF($D88&lt;=0,0,$B$58*($D88/$B$58)^E$61)</f>
        <v/>
      </c>
      <c r="F88" s="83">
        <f>IF($D88&lt;=0,0,$B$58*($D88/$B$58)^F$61)</f>
        <v/>
      </c>
      <c r="G88" s="83" t="n">
        <v>0</v>
      </c>
      <c r="H88" s="83" t="n">
        <v>0</v>
      </c>
      <c r="I88" s="83" t="n">
        <v>0</v>
      </c>
      <c r="J88" s="83" t="n">
        <v>0</v>
      </c>
      <c r="K88" s="83" t="n">
        <v>0</v>
      </c>
      <c r="L88" s="83" t="n">
        <v>0</v>
      </c>
      <c r="M88" s="83" t="n">
        <v>0</v>
      </c>
      <c r="N88" s="83">
        <f>SUMPRODUCT($E$60:$M$60,$E88:$M88)</f>
        <v/>
      </c>
      <c r="O88" s="72">
        <f>($F$57-($B$57/100)*($D$58+N88))/(1+($B$57/100)*$D$57)-$D88</f>
        <v/>
      </c>
    </row>
    <row r="89">
      <c r="B89" s="83">
        <f>IF(O88&gt;0,D88,B88)</f>
        <v/>
      </c>
      <c r="C89" s="83">
        <f>IF(O88&gt;0,C88,D88)</f>
        <v/>
      </c>
      <c r="D89" s="83">
        <f>(B89+C89)/2</f>
        <v/>
      </c>
      <c r="E89" s="83">
        <f>IF($D89&lt;=0,0,$B$58*($D89/$B$58)^E$61)</f>
        <v/>
      </c>
      <c r="F89" s="83">
        <f>IF($D89&lt;=0,0,$B$58*($D89/$B$58)^F$61)</f>
        <v/>
      </c>
      <c r="G89" s="83" t="n">
        <v>0</v>
      </c>
      <c r="H89" s="83" t="n">
        <v>0</v>
      </c>
      <c r="I89" s="83" t="n">
        <v>0</v>
      </c>
      <c r="J89" s="83" t="n">
        <v>0</v>
      </c>
      <c r="K89" s="83" t="n">
        <v>0</v>
      </c>
      <c r="L89" s="83" t="n">
        <v>0</v>
      </c>
      <c r="M89" s="83" t="n">
        <v>0</v>
      </c>
      <c r="N89" s="83">
        <f>SUMPRODUCT($E$60:$M$60,$E89:$M89)</f>
        <v/>
      </c>
      <c r="O89" s="72">
        <f>($F$57-($B$57/100)*($D$58+N89))/(1+($B$57/100)*$D$57)-$D89</f>
        <v/>
      </c>
    </row>
    <row r="90">
      <c r="B90" s="83">
        <f>IF(O89&gt;0,D89,B89)</f>
        <v/>
      </c>
      <c r="C90" s="83">
        <f>IF(O89&gt;0,C89,D89)</f>
        <v/>
      </c>
      <c r="D90" s="83">
        <f>(B90+C90)/2</f>
        <v/>
      </c>
      <c r="E90" s="83">
        <f>IF($D90&lt;=0,0,$B$58*($D90/$B$58)^E$61)</f>
        <v/>
      </c>
      <c r="F90" s="83">
        <f>IF($D90&lt;=0,0,$B$58*($D90/$B$58)^F$61)</f>
        <v/>
      </c>
      <c r="G90" s="83" t="n">
        <v>0</v>
      </c>
      <c r="H90" s="83" t="n">
        <v>0</v>
      </c>
      <c r="I90" s="83" t="n">
        <v>0</v>
      </c>
      <c r="J90" s="83" t="n">
        <v>0</v>
      </c>
      <c r="K90" s="83" t="n">
        <v>0</v>
      </c>
      <c r="L90" s="83" t="n">
        <v>0</v>
      </c>
      <c r="M90" s="83" t="n">
        <v>0</v>
      </c>
      <c r="N90" s="83">
        <f>SUMPRODUCT($E$60:$M$60,$E90:$M90)</f>
        <v/>
      </c>
      <c r="O90" s="72">
        <f>($F$57-($B$57/100)*($D$58+N90))/(1+($B$57/100)*$D$57)-$D90</f>
        <v/>
      </c>
    </row>
    <row r="91">
      <c r="B91" s="83">
        <f>IF(O90&gt;0,D90,B90)</f>
        <v/>
      </c>
      <c r="C91" s="83">
        <f>IF(O90&gt;0,C90,D90)</f>
        <v/>
      </c>
      <c r="D91" s="83">
        <f>(B91+C91)/2</f>
        <v/>
      </c>
      <c r="E91" s="83">
        <f>IF($D91&lt;=0,0,$B$58*($D91/$B$58)^E$61)</f>
        <v/>
      </c>
      <c r="F91" s="83">
        <f>IF($D91&lt;=0,0,$B$58*($D91/$B$58)^F$61)</f>
        <v/>
      </c>
      <c r="G91" s="83" t="n">
        <v>0</v>
      </c>
      <c r="H91" s="83" t="n">
        <v>0</v>
      </c>
      <c r="I91" s="83" t="n">
        <v>0</v>
      </c>
      <c r="J91" s="83" t="n">
        <v>0</v>
      </c>
      <c r="K91" s="83" t="n">
        <v>0</v>
      </c>
      <c r="L91" s="83" t="n">
        <v>0</v>
      </c>
      <c r="M91" s="83" t="n">
        <v>0</v>
      </c>
      <c r="N91" s="83">
        <f>SUMPRODUCT($E$60:$M$60,$E91:$M91)</f>
        <v/>
      </c>
      <c r="O91" s="72">
        <f>($F$57-($B$57/100)*($D$58+N91))/(1+($B$57/100)*$D$57)-$D91</f>
        <v/>
      </c>
    </row>
    <row r="92">
      <c r="B92" s="83">
        <f>IF(O91&gt;0,D91,B91)</f>
        <v/>
      </c>
      <c r="C92" s="83">
        <f>IF(O91&gt;0,C91,D91)</f>
        <v/>
      </c>
      <c r="D92" s="83">
        <f>(B92+C92)/2</f>
        <v/>
      </c>
      <c r="E92" s="83">
        <f>IF($D92&lt;=0,0,$B$58*($D92/$B$58)^E$61)</f>
        <v/>
      </c>
      <c r="F92" s="83">
        <f>IF($D92&lt;=0,0,$B$58*($D92/$B$58)^F$61)</f>
        <v/>
      </c>
      <c r="G92" s="83" t="n">
        <v>0</v>
      </c>
      <c r="H92" s="83" t="n">
        <v>0</v>
      </c>
      <c r="I92" s="83" t="n">
        <v>0</v>
      </c>
      <c r="J92" s="83" t="n">
        <v>0</v>
      </c>
      <c r="K92" s="83" t="n">
        <v>0</v>
      </c>
      <c r="L92" s="83" t="n">
        <v>0</v>
      </c>
      <c r="M92" s="83" t="n">
        <v>0</v>
      </c>
      <c r="N92" s="83">
        <f>SUMPRODUCT($E$60:$M$60,$E92:$M92)</f>
        <v/>
      </c>
      <c r="O92" s="72">
        <f>($F$57-($B$57/100)*($D$58+N92))/(1+($B$57/100)*$D$57)-$D92</f>
        <v/>
      </c>
    </row>
    <row r="93">
      <c r="B93" s="83">
        <f>IF(O92&gt;0,D92,B92)</f>
        <v/>
      </c>
      <c r="C93" s="83">
        <f>IF(O92&gt;0,C92,D92)</f>
        <v/>
      </c>
      <c r="D93" s="83">
        <f>(B93+C93)/2</f>
        <v/>
      </c>
      <c r="E93" s="83">
        <f>IF($D93&lt;=0,0,$B$58*($D93/$B$58)^E$61)</f>
        <v/>
      </c>
      <c r="F93" s="83">
        <f>IF($D93&lt;=0,0,$B$58*($D93/$B$58)^F$61)</f>
        <v/>
      </c>
      <c r="G93" s="83" t="n">
        <v>0</v>
      </c>
      <c r="H93" s="83" t="n">
        <v>0</v>
      </c>
      <c r="I93" s="83" t="n">
        <v>0</v>
      </c>
      <c r="J93" s="83" t="n">
        <v>0</v>
      </c>
      <c r="K93" s="83" t="n">
        <v>0</v>
      </c>
      <c r="L93" s="83" t="n">
        <v>0</v>
      </c>
      <c r="M93" s="83" t="n">
        <v>0</v>
      </c>
      <c r="N93" s="83">
        <f>SUMPRODUCT($E$60:$M$60,$E93:$M93)</f>
        <v/>
      </c>
      <c r="O93" s="72">
        <f>($F$57-($B$57/100)*($D$58+N93))/(1+($B$57/100)*$D$57)-$D93</f>
        <v/>
      </c>
    </row>
    <row r="94">
      <c r="B94" s="83">
        <f>IF(O93&gt;0,D93,B93)</f>
        <v/>
      </c>
      <c r="C94" s="83">
        <f>IF(O93&gt;0,C93,D93)</f>
        <v/>
      </c>
      <c r="D94" s="83">
        <f>(B94+C94)/2</f>
        <v/>
      </c>
      <c r="E94" s="83">
        <f>IF($D94&lt;=0,0,$B$58*($D94/$B$58)^E$61)</f>
        <v/>
      </c>
      <c r="F94" s="83">
        <f>IF($D94&lt;=0,0,$B$58*($D94/$B$58)^F$61)</f>
        <v/>
      </c>
      <c r="G94" s="83" t="n">
        <v>0</v>
      </c>
      <c r="H94" s="83" t="n">
        <v>0</v>
      </c>
      <c r="I94" s="83" t="n">
        <v>0</v>
      </c>
      <c r="J94" s="83" t="n">
        <v>0</v>
      </c>
      <c r="K94" s="83" t="n">
        <v>0</v>
      </c>
      <c r="L94" s="83" t="n">
        <v>0</v>
      </c>
      <c r="M94" s="83" t="n">
        <v>0</v>
      </c>
      <c r="N94" s="83">
        <f>SUMPRODUCT($E$60:$M$60,$E94:$M94)</f>
        <v/>
      </c>
      <c r="O94" s="72">
        <f>($F$57-($B$57/100)*($D$58+N94))/(1+($B$57/100)*$D$57)-$D94</f>
        <v/>
      </c>
    </row>
    <row r="95">
      <c r="B95" s="83">
        <f>IF(O94&gt;0,D94,B94)</f>
        <v/>
      </c>
      <c r="C95" s="83">
        <f>IF(O94&gt;0,C94,D94)</f>
        <v/>
      </c>
      <c r="D95" s="83">
        <f>(B95+C95)/2</f>
        <v/>
      </c>
      <c r="E95" s="83">
        <f>IF($D95&lt;=0,0,$B$58*($D95/$B$58)^E$61)</f>
        <v/>
      </c>
      <c r="F95" s="83">
        <f>IF($D95&lt;=0,0,$B$58*($D95/$B$58)^F$61)</f>
        <v/>
      </c>
      <c r="G95" s="83" t="n">
        <v>0</v>
      </c>
      <c r="H95" s="83" t="n">
        <v>0</v>
      </c>
      <c r="I95" s="83" t="n">
        <v>0</v>
      </c>
      <c r="J95" s="83" t="n">
        <v>0</v>
      </c>
      <c r="K95" s="83" t="n">
        <v>0</v>
      </c>
      <c r="L95" s="83" t="n">
        <v>0</v>
      </c>
      <c r="M95" s="83" t="n">
        <v>0</v>
      </c>
      <c r="N95" s="83">
        <f>SUMPRODUCT($E$60:$M$60,$E95:$M95)</f>
        <v/>
      </c>
      <c r="O95" s="72">
        <f>($F$57-($B$57/100)*($D$58+N95))/(1+($B$57/100)*$D$57)-$D95</f>
        <v/>
      </c>
    </row>
    <row r="96">
      <c r="B96" s="83">
        <f>IF(O95&gt;0,D95,B95)</f>
        <v/>
      </c>
      <c r="C96" s="83">
        <f>IF(O95&gt;0,C95,D95)</f>
        <v/>
      </c>
      <c r="D96" s="83">
        <f>(B96+C96)/2</f>
        <v/>
      </c>
      <c r="E96" s="83">
        <f>IF($D96&lt;=0,0,$B$58*($D96/$B$58)^E$61)</f>
        <v/>
      </c>
      <c r="F96" s="83">
        <f>IF($D96&lt;=0,0,$B$58*($D96/$B$58)^F$61)</f>
        <v/>
      </c>
      <c r="G96" s="83" t="n">
        <v>0</v>
      </c>
      <c r="H96" s="83" t="n">
        <v>0</v>
      </c>
      <c r="I96" s="83" t="n">
        <v>0</v>
      </c>
      <c r="J96" s="83" t="n">
        <v>0</v>
      </c>
      <c r="K96" s="83" t="n">
        <v>0</v>
      </c>
      <c r="L96" s="83" t="n">
        <v>0</v>
      </c>
      <c r="M96" s="83" t="n">
        <v>0</v>
      </c>
      <c r="N96" s="83">
        <f>SUMPRODUCT($E$60:$M$60,$E96:$M96)</f>
        <v/>
      </c>
      <c r="O96" s="72">
        <f>($F$57-($B$57/100)*($D$58+N96))/(1+($B$57/100)*$D$57)-$D96</f>
        <v/>
      </c>
    </row>
    <row r="97">
      <c r="B97" s="83">
        <f>IF(O96&gt;0,D96,B96)</f>
        <v/>
      </c>
      <c r="C97" s="83">
        <f>IF(O96&gt;0,C96,D96)</f>
        <v/>
      </c>
      <c r="D97" s="83">
        <f>(B97+C97)/2</f>
        <v/>
      </c>
      <c r="E97" s="83">
        <f>IF($D97&lt;=0,0,$B$58*($D97/$B$58)^E$61)</f>
        <v/>
      </c>
      <c r="F97" s="83">
        <f>IF($D97&lt;=0,0,$B$58*($D97/$B$58)^F$61)</f>
        <v/>
      </c>
      <c r="G97" s="83" t="n">
        <v>0</v>
      </c>
      <c r="H97" s="83" t="n">
        <v>0</v>
      </c>
      <c r="I97" s="83" t="n">
        <v>0</v>
      </c>
      <c r="J97" s="83" t="n">
        <v>0</v>
      </c>
      <c r="K97" s="83" t="n">
        <v>0</v>
      </c>
      <c r="L97" s="83" t="n">
        <v>0</v>
      </c>
      <c r="M97" s="83" t="n">
        <v>0</v>
      </c>
      <c r="N97" s="83">
        <f>SUMPRODUCT($E$60:$M$60,$E97:$M97)</f>
        <v/>
      </c>
      <c r="O97" s="72">
        <f>($F$57-($B$57/100)*($D$58+N97))/(1+($B$57/100)*$D$57)-$D97</f>
        <v/>
      </c>
    </row>
    <row r="98">
      <c r="B98" s="83">
        <f>IF(O97&gt;0,D97,B97)</f>
        <v/>
      </c>
      <c r="C98" s="83">
        <f>IF(O97&gt;0,C97,D97)</f>
        <v/>
      </c>
      <c r="D98" s="83">
        <f>(B98+C98)/2</f>
        <v/>
      </c>
      <c r="E98" s="83">
        <f>IF($D98&lt;=0,0,$B$58*($D98/$B$58)^E$61)</f>
        <v/>
      </c>
      <c r="F98" s="83">
        <f>IF($D98&lt;=0,0,$B$58*($D98/$B$58)^F$61)</f>
        <v/>
      </c>
      <c r="G98" s="83" t="n">
        <v>0</v>
      </c>
      <c r="H98" s="83" t="n">
        <v>0</v>
      </c>
      <c r="I98" s="83" t="n">
        <v>0</v>
      </c>
      <c r="J98" s="83" t="n">
        <v>0</v>
      </c>
      <c r="K98" s="83" t="n">
        <v>0</v>
      </c>
      <c r="L98" s="83" t="n">
        <v>0</v>
      </c>
      <c r="M98" s="83" t="n">
        <v>0</v>
      </c>
      <c r="N98" s="83">
        <f>SUMPRODUCT($E$60:$M$60,$E98:$M98)</f>
        <v/>
      </c>
      <c r="O98" s="72">
        <f>($F$57-($B$57/100)*($D$58+N98))/(1+($B$57/100)*$D$57)-$D98</f>
        <v/>
      </c>
    </row>
    <row r="99">
      <c r="B99" s="83">
        <f>IF(O98&gt;0,D98,B98)</f>
        <v/>
      </c>
      <c r="C99" s="83">
        <f>IF(O98&gt;0,C98,D98)</f>
        <v/>
      </c>
      <c r="D99" s="83">
        <f>(B99+C99)/2</f>
        <v/>
      </c>
      <c r="E99" s="83">
        <f>IF($D99&lt;=0,0,$B$58*($D99/$B$58)^E$61)</f>
        <v/>
      </c>
      <c r="F99" s="83">
        <f>IF($D99&lt;=0,0,$B$58*($D99/$B$58)^F$61)</f>
        <v/>
      </c>
      <c r="G99" s="83" t="n">
        <v>0</v>
      </c>
      <c r="H99" s="83" t="n">
        <v>0</v>
      </c>
      <c r="I99" s="83" t="n">
        <v>0</v>
      </c>
      <c r="J99" s="83" t="n">
        <v>0</v>
      </c>
      <c r="K99" s="83" t="n">
        <v>0</v>
      </c>
      <c r="L99" s="83" t="n">
        <v>0</v>
      </c>
      <c r="M99" s="83" t="n">
        <v>0</v>
      </c>
      <c r="N99" s="83">
        <f>SUMPRODUCT($E$60:$M$60,$E99:$M99)</f>
        <v/>
      </c>
      <c r="O99" s="72">
        <f>($F$57-($B$57/100)*($D$58+N99))/(1+($B$57/100)*$D$57)-$D99</f>
        <v/>
      </c>
    </row>
    <row r="100">
      <c r="B100" s="83">
        <f>IF(O99&gt;0,D99,B99)</f>
        <v/>
      </c>
      <c r="C100" s="83">
        <f>IF(O99&gt;0,C99,D99)</f>
        <v/>
      </c>
      <c r="D100" s="83">
        <f>(B100+C100)/2</f>
        <v/>
      </c>
      <c r="E100" s="83">
        <f>IF($D100&lt;=0,0,$B$58*($D100/$B$58)^E$61)</f>
        <v/>
      </c>
      <c r="F100" s="83">
        <f>IF($D100&lt;=0,0,$B$58*($D100/$B$58)^F$61)</f>
        <v/>
      </c>
      <c r="G100" s="83" t="n">
        <v>0</v>
      </c>
      <c r="H100" s="83" t="n">
        <v>0</v>
      </c>
      <c r="I100" s="83" t="n">
        <v>0</v>
      </c>
      <c r="J100" s="83" t="n">
        <v>0</v>
      </c>
      <c r="K100" s="83" t="n">
        <v>0</v>
      </c>
      <c r="L100" s="83" t="n">
        <v>0</v>
      </c>
      <c r="M100" s="83" t="n">
        <v>0</v>
      </c>
      <c r="N100" s="83">
        <f>SUMPRODUCT($E$60:$M$60,$E100:$M100)</f>
        <v/>
      </c>
      <c r="O100" s="72">
        <f>($F$57-($B$57/100)*($D$58+N100))/(1+($B$57/100)*$D$57)-$D100</f>
        <v/>
      </c>
    </row>
    <row r="101">
      <c r="B101" s="83">
        <f>IF(O100&gt;0,D100,B100)</f>
        <v/>
      </c>
      <c r="C101" s="83">
        <f>IF(O100&gt;0,C100,D100)</f>
        <v/>
      </c>
      <c r="D101" s="83">
        <f>(B101+C101)/2</f>
        <v/>
      </c>
      <c r="E101" s="83">
        <f>IF($D101&lt;=0,0,$B$58*($D101/$B$58)^E$61)</f>
        <v/>
      </c>
      <c r="F101" s="83">
        <f>IF($D101&lt;=0,0,$B$58*($D101/$B$58)^F$61)</f>
        <v/>
      </c>
      <c r="G101" s="83" t="n">
        <v>0</v>
      </c>
      <c r="H101" s="83" t="n">
        <v>0</v>
      </c>
      <c r="I101" s="83" t="n">
        <v>0</v>
      </c>
      <c r="J101" s="83" t="n">
        <v>0</v>
      </c>
      <c r="K101" s="83" t="n">
        <v>0</v>
      </c>
      <c r="L101" s="83" t="n">
        <v>0</v>
      </c>
      <c r="M101" s="83" t="n">
        <v>0</v>
      </c>
      <c r="N101" s="83">
        <f>SUMPRODUCT($E$60:$M$60,$E101:$M101)</f>
        <v/>
      </c>
      <c r="O101" s="72">
        <f>($F$57-($B$57/100)*($D$58+N101))/(1+($B$57/100)*$D$57)-$D101</f>
        <v/>
      </c>
    </row>
    <row r="102">
      <c r="B102" s="83">
        <f>IF(O101&gt;0,D101,B101)</f>
        <v/>
      </c>
      <c r="C102" s="83">
        <f>IF(O101&gt;0,C101,D101)</f>
        <v/>
      </c>
      <c r="D102" s="83">
        <f>(B102+C102)/2</f>
        <v/>
      </c>
      <c r="E102" s="83">
        <f>IF($D102&lt;=0,0,$B$58*($D102/$B$58)^E$61)</f>
        <v/>
      </c>
      <c r="F102" s="83">
        <f>IF($D102&lt;=0,0,$B$58*($D102/$B$58)^F$61)</f>
        <v/>
      </c>
      <c r="G102" s="83" t="n">
        <v>0</v>
      </c>
      <c r="H102" s="83" t="n">
        <v>0</v>
      </c>
      <c r="I102" s="83" t="n">
        <v>0</v>
      </c>
      <c r="J102" s="83" t="n">
        <v>0</v>
      </c>
      <c r="K102" s="83" t="n">
        <v>0</v>
      </c>
      <c r="L102" s="83" t="n">
        <v>0</v>
      </c>
      <c r="M102" s="83" t="n">
        <v>0</v>
      </c>
      <c r="N102" s="83">
        <f>SUMPRODUCT($E$60:$M$60,$E102:$M102)</f>
        <v/>
      </c>
      <c r="O102" s="72">
        <f>($F$57-($B$57/100)*($D$58+N102))/(1+($B$57/100)*$D$57)-$D102</f>
        <v/>
      </c>
    </row>
    <row r="103">
      <c r="A103" s="67" t="inlineStr">
        <is>
          <t>DF(15Y) SOLVED</t>
        </is>
      </c>
      <c r="B103" s="81">
        <f>D102</f>
        <v/>
      </c>
      <c r="C103" s="67" t="inlineStr">
        <is>
          <t>resid</t>
        </is>
      </c>
      <c r="D103" s="72">
        <f>O102</f>
        <v/>
      </c>
      <c r="E103" s="67" t="inlineStr">
        <is>
          <t>zero %</t>
        </is>
      </c>
      <c r="F103" s="63">
        <f>-LN(B103)/$H$57*100</f>
        <v/>
      </c>
    </row>
    <row r="106">
      <c r="A106" s="73" t="inlineStr">
        <is>
          <t>PILLAR 20Y  —  Bootstrap row 42  —  anchor row 37  —  4 gap row(s)</t>
        </is>
      </c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</row>
    <row r="107">
      <c r="A107" s="67" t="inlineStr">
        <is>
          <t>S_B (%)</t>
        </is>
      </c>
      <c r="B107" s="75">
        <f>Bootstrap!$E$42</f>
        <v/>
      </c>
      <c r="C107" s="67" t="inlineStr">
        <is>
          <t>tau_B</t>
        </is>
      </c>
      <c r="D107" s="79">
        <f>Bootstrap!$F$42</f>
        <v/>
      </c>
      <c r="E107" s="67" t="inlineStr">
        <is>
          <t>DFspot</t>
        </is>
      </c>
      <c r="F107" s="82">
        <f>Bootstrap!$D$4</f>
        <v/>
      </c>
      <c r="G107" s="67" t="inlineStr">
        <is>
          <t>C_B</t>
        </is>
      </c>
      <c r="H107" s="79">
        <f>Bootstrap!$C$42</f>
        <v/>
      </c>
    </row>
    <row r="108">
      <c r="A108" s="67" t="inlineStr">
        <is>
          <t>DF_A (anchor)</t>
        </is>
      </c>
      <c r="B108" s="82">
        <f>Bootstrap!$H$37</f>
        <v/>
      </c>
      <c r="C108" s="67" t="inlineStr">
        <is>
          <t>A_anchor</t>
        </is>
      </c>
      <c r="D108" s="82">
        <f>SUM(Bootstrap!$I$8:$I$37)</f>
        <v/>
      </c>
      <c r="E108" s="67" t="inlineStr">
        <is>
          <t>C_A</t>
        </is>
      </c>
      <c r="F108" s="79">
        <f>Bootstrap!$C$37</f>
        <v/>
      </c>
    </row>
    <row r="109">
      <c r="A109" s="67" t="inlineStr">
        <is>
          <t>gap row</t>
        </is>
      </c>
      <c r="E109" s="78" t="n">
        <v>38</v>
      </c>
      <c r="F109" s="78" t="n">
        <v>39</v>
      </c>
      <c r="G109" s="78" t="n">
        <v>40</v>
      </c>
      <c r="H109" s="78" t="n">
        <v>41</v>
      </c>
      <c r="I109" s="78" t="inlineStr"/>
      <c r="J109" s="78" t="inlineStr"/>
      <c r="K109" s="78" t="inlineStr"/>
      <c r="L109" s="78" t="inlineStr"/>
      <c r="M109" s="78" t="inlineStr"/>
    </row>
    <row r="110">
      <c r="A110" s="67" t="inlineStr">
        <is>
          <t>tau_g</t>
        </is>
      </c>
      <c r="E110" s="79">
        <f>Bootstrap!$F$38</f>
        <v/>
      </c>
      <c r="F110" s="79">
        <f>Bootstrap!$F$39</f>
        <v/>
      </c>
      <c r="G110" s="79">
        <f>Bootstrap!$F$40</f>
        <v/>
      </c>
      <c r="H110" s="79">
        <f>Bootstrap!$F$41</f>
        <v/>
      </c>
      <c r="I110" s="80" t="n">
        <v>0</v>
      </c>
      <c r="J110" s="80" t="n">
        <v>0</v>
      </c>
      <c r="K110" s="80" t="n">
        <v>0</v>
      </c>
      <c r="L110" s="80" t="n">
        <v>0</v>
      </c>
      <c r="M110" s="80" t="n">
        <v>0</v>
      </c>
    </row>
    <row r="111">
      <c r="A111" s="67" t="inlineStr">
        <is>
          <t>weight w_g</t>
        </is>
      </c>
      <c r="E111" s="80">
        <f>(Bootstrap!$C$38-$F$108)/($H$107-$F$108)</f>
        <v/>
      </c>
      <c r="F111" s="80">
        <f>(Bootstrap!$C$39-$F$108)/($H$107-$F$108)</f>
        <v/>
      </c>
      <c r="G111" s="80">
        <f>(Bootstrap!$C$40-$F$108)/($H$107-$F$108)</f>
        <v/>
      </c>
      <c r="H111" s="80">
        <f>(Bootstrap!$C$41-$F$108)/($H$107-$F$108)</f>
        <v/>
      </c>
      <c r="I111" s="80" t="n">
        <v>0</v>
      </c>
      <c r="J111" s="80" t="n">
        <v>0</v>
      </c>
      <c r="K111" s="80" t="n">
        <v>0</v>
      </c>
      <c r="L111" s="80" t="n">
        <v>0</v>
      </c>
      <c r="M111" s="80" t="n">
        <v>0</v>
      </c>
    </row>
    <row r="112">
      <c r="A112" s="67" t="inlineStr">
        <is>
          <t>bisection</t>
        </is>
      </c>
      <c r="B112" s="62" t="inlineStr">
        <is>
          <t>lo</t>
        </is>
      </c>
      <c r="C112" s="62" t="inlineStr">
        <is>
          <t>hi</t>
        </is>
      </c>
      <c r="D112" s="62" t="inlineStr">
        <is>
          <t>DF_B trial</t>
        </is>
      </c>
      <c r="E112" s="62" t="inlineStr">
        <is>
          <t>DF_g -&gt;</t>
        </is>
      </c>
      <c r="N112" s="62" t="inlineStr">
        <is>
          <t>gap annuity</t>
        </is>
      </c>
      <c r="O112" s="62" t="inlineStr">
        <is>
          <t>f(DF_B)</t>
        </is>
      </c>
    </row>
    <row r="113">
      <c r="B113" s="83" t="n">
        <v>0</v>
      </c>
      <c r="C113" s="83" t="n">
        <v>1.5</v>
      </c>
      <c r="D113" s="83">
        <f>(B113+C113)/2</f>
        <v/>
      </c>
      <c r="E113" s="83">
        <f>IF($D113&lt;=0,0,$B$108*($D113/$B$108)^E$111)</f>
        <v/>
      </c>
      <c r="F113" s="83">
        <f>IF($D113&lt;=0,0,$B$108*($D113/$B$108)^F$111)</f>
        <v/>
      </c>
      <c r="G113" s="83">
        <f>IF($D113&lt;=0,0,$B$108*($D113/$B$108)^G$111)</f>
        <v/>
      </c>
      <c r="H113" s="83">
        <f>IF($D113&lt;=0,0,$B$108*($D113/$B$108)^H$111)</f>
        <v/>
      </c>
      <c r="I113" s="83" t="n">
        <v>0</v>
      </c>
      <c r="J113" s="83" t="n">
        <v>0</v>
      </c>
      <c r="K113" s="83" t="n">
        <v>0</v>
      </c>
      <c r="L113" s="83" t="n">
        <v>0</v>
      </c>
      <c r="M113" s="83" t="n">
        <v>0</v>
      </c>
      <c r="N113" s="83">
        <f>SUMPRODUCT($E$110:$M$110,$E113:$M113)</f>
        <v/>
      </c>
      <c r="O113" s="72">
        <f>($F$107-($B$107/100)*($D$108+N113))/(1+($B$107/100)*$D$107)-$D113</f>
        <v/>
      </c>
    </row>
    <row r="114">
      <c r="B114" s="83">
        <f>IF(O113&gt;0,D113,B113)</f>
        <v/>
      </c>
      <c r="C114" s="83">
        <f>IF(O113&gt;0,C113,D113)</f>
        <v/>
      </c>
      <c r="D114" s="83">
        <f>(B114+C114)/2</f>
        <v/>
      </c>
      <c r="E114" s="83">
        <f>IF($D114&lt;=0,0,$B$108*($D114/$B$108)^E$111)</f>
        <v/>
      </c>
      <c r="F114" s="83">
        <f>IF($D114&lt;=0,0,$B$108*($D114/$B$108)^F$111)</f>
        <v/>
      </c>
      <c r="G114" s="83">
        <f>IF($D114&lt;=0,0,$B$108*($D114/$B$108)^G$111)</f>
        <v/>
      </c>
      <c r="H114" s="83">
        <f>IF($D114&lt;=0,0,$B$108*($D114/$B$108)^H$111)</f>
        <v/>
      </c>
      <c r="I114" s="83" t="n">
        <v>0</v>
      </c>
      <c r="J114" s="83" t="n">
        <v>0</v>
      </c>
      <c r="K114" s="83" t="n">
        <v>0</v>
      </c>
      <c r="L114" s="83" t="n">
        <v>0</v>
      </c>
      <c r="M114" s="83" t="n">
        <v>0</v>
      </c>
      <c r="N114" s="83">
        <f>SUMPRODUCT($E$110:$M$110,$E114:$M114)</f>
        <v/>
      </c>
      <c r="O114" s="72">
        <f>($F$107-($B$107/100)*($D$108+N114))/(1+($B$107/100)*$D$107)-$D114</f>
        <v/>
      </c>
    </row>
    <row r="115">
      <c r="B115" s="83">
        <f>IF(O114&gt;0,D114,B114)</f>
        <v/>
      </c>
      <c r="C115" s="83">
        <f>IF(O114&gt;0,C114,D114)</f>
        <v/>
      </c>
      <c r="D115" s="83">
        <f>(B115+C115)/2</f>
        <v/>
      </c>
      <c r="E115" s="83">
        <f>IF($D115&lt;=0,0,$B$108*($D115/$B$108)^E$111)</f>
        <v/>
      </c>
      <c r="F115" s="83">
        <f>IF($D115&lt;=0,0,$B$108*($D115/$B$108)^F$111)</f>
        <v/>
      </c>
      <c r="G115" s="83">
        <f>IF($D115&lt;=0,0,$B$108*($D115/$B$108)^G$111)</f>
        <v/>
      </c>
      <c r="H115" s="83">
        <f>IF($D115&lt;=0,0,$B$108*($D115/$B$108)^H$111)</f>
        <v/>
      </c>
      <c r="I115" s="83" t="n">
        <v>0</v>
      </c>
      <c r="J115" s="83" t="n">
        <v>0</v>
      </c>
      <c r="K115" s="83" t="n">
        <v>0</v>
      </c>
      <c r="L115" s="83" t="n">
        <v>0</v>
      </c>
      <c r="M115" s="83" t="n">
        <v>0</v>
      </c>
      <c r="N115" s="83">
        <f>SUMPRODUCT($E$110:$M$110,$E115:$M115)</f>
        <v/>
      </c>
      <c r="O115" s="72">
        <f>($F$107-($B$107/100)*($D$108+N115))/(1+($B$107/100)*$D$107)-$D115</f>
        <v/>
      </c>
    </row>
    <row r="116">
      <c r="B116" s="83">
        <f>IF(O115&gt;0,D115,B115)</f>
        <v/>
      </c>
      <c r="C116" s="83">
        <f>IF(O115&gt;0,C115,D115)</f>
        <v/>
      </c>
      <c r="D116" s="83">
        <f>(B116+C116)/2</f>
        <v/>
      </c>
      <c r="E116" s="83">
        <f>IF($D116&lt;=0,0,$B$108*($D116/$B$108)^E$111)</f>
        <v/>
      </c>
      <c r="F116" s="83">
        <f>IF($D116&lt;=0,0,$B$108*($D116/$B$108)^F$111)</f>
        <v/>
      </c>
      <c r="G116" s="83">
        <f>IF($D116&lt;=0,0,$B$108*($D116/$B$108)^G$111)</f>
        <v/>
      </c>
      <c r="H116" s="83">
        <f>IF($D116&lt;=0,0,$B$108*($D116/$B$108)^H$111)</f>
        <v/>
      </c>
      <c r="I116" s="83" t="n">
        <v>0</v>
      </c>
      <c r="J116" s="83" t="n">
        <v>0</v>
      </c>
      <c r="K116" s="83" t="n">
        <v>0</v>
      </c>
      <c r="L116" s="83" t="n">
        <v>0</v>
      </c>
      <c r="M116" s="83" t="n">
        <v>0</v>
      </c>
      <c r="N116" s="83">
        <f>SUMPRODUCT($E$110:$M$110,$E116:$M116)</f>
        <v/>
      </c>
      <c r="O116" s="72">
        <f>($F$107-($B$107/100)*($D$108+N116))/(1+($B$107/100)*$D$107)-$D116</f>
        <v/>
      </c>
    </row>
    <row r="117">
      <c r="B117" s="83">
        <f>IF(O116&gt;0,D116,B116)</f>
        <v/>
      </c>
      <c r="C117" s="83">
        <f>IF(O116&gt;0,C116,D116)</f>
        <v/>
      </c>
      <c r="D117" s="83">
        <f>(B117+C117)/2</f>
        <v/>
      </c>
      <c r="E117" s="83">
        <f>IF($D117&lt;=0,0,$B$108*($D117/$B$108)^E$111)</f>
        <v/>
      </c>
      <c r="F117" s="83">
        <f>IF($D117&lt;=0,0,$B$108*($D117/$B$108)^F$111)</f>
        <v/>
      </c>
      <c r="G117" s="83">
        <f>IF($D117&lt;=0,0,$B$108*($D117/$B$108)^G$111)</f>
        <v/>
      </c>
      <c r="H117" s="83">
        <f>IF($D117&lt;=0,0,$B$108*($D117/$B$108)^H$111)</f>
        <v/>
      </c>
      <c r="I117" s="83" t="n">
        <v>0</v>
      </c>
      <c r="J117" s="83" t="n">
        <v>0</v>
      </c>
      <c r="K117" s="83" t="n">
        <v>0</v>
      </c>
      <c r="L117" s="83" t="n">
        <v>0</v>
      </c>
      <c r="M117" s="83" t="n">
        <v>0</v>
      </c>
      <c r="N117" s="83">
        <f>SUMPRODUCT($E$110:$M$110,$E117:$M117)</f>
        <v/>
      </c>
      <c r="O117" s="72">
        <f>($F$107-($B$107/100)*($D$108+N117))/(1+($B$107/100)*$D$107)-$D117</f>
        <v/>
      </c>
    </row>
    <row r="118">
      <c r="B118" s="83">
        <f>IF(O117&gt;0,D117,B117)</f>
        <v/>
      </c>
      <c r="C118" s="83">
        <f>IF(O117&gt;0,C117,D117)</f>
        <v/>
      </c>
      <c r="D118" s="83">
        <f>(B118+C118)/2</f>
        <v/>
      </c>
      <c r="E118" s="83">
        <f>IF($D118&lt;=0,0,$B$108*($D118/$B$108)^E$111)</f>
        <v/>
      </c>
      <c r="F118" s="83">
        <f>IF($D118&lt;=0,0,$B$108*($D118/$B$108)^F$111)</f>
        <v/>
      </c>
      <c r="G118" s="83">
        <f>IF($D118&lt;=0,0,$B$108*($D118/$B$108)^G$111)</f>
        <v/>
      </c>
      <c r="H118" s="83">
        <f>IF($D118&lt;=0,0,$B$108*($D118/$B$108)^H$111)</f>
        <v/>
      </c>
      <c r="I118" s="83" t="n">
        <v>0</v>
      </c>
      <c r="J118" s="83" t="n">
        <v>0</v>
      </c>
      <c r="K118" s="83" t="n">
        <v>0</v>
      </c>
      <c r="L118" s="83" t="n">
        <v>0</v>
      </c>
      <c r="M118" s="83" t="n">
        <v>0</v>
      </c>
      <c r="N118" s="83">
        <f>SUMPRODUCT($E$110:$M$110,$E118:$M118)</f>
        <v/>
      </c>
      <c r="O118" s="72">
        <f>($F$107-($B$107/100)*($D$108+N118))/(1+($B$107/100)*$D$107)-$D118</f>
        <v/>
      </c>
    </row>
    <row r="119">
      <c r="B119" s="83">
        <f>IF(O118&gt;0,D118,B118)</f>
        <v/>
      </c>
      <c r="C119" s="83">
        <f>IF(O118&gt;0,C118,D118)</f>
        <v/>
      </c>
      <c r="D119" s="83">
        <f>(B119+C119)/2</f>
        <v/>
      </c>
      <c r="E119" s="83">
        <f>IF($D119&lt;=0,0,$B$108*($D119/$B$108)^E$111)</f>
        <v/>
      </c>
      <c r="F119" s="83">
        <f>IF($D119&lt;=0,0,$B$108*($D119/$B$108)^F$111)</f>
        <v/>
      </c>
      <c r="G119" s="83">
        <f>IF($D119&lt;=0,0,$B$108*($D119/$B$108)^G$111)</f>
        <v/>
      </c>
      <c r="H119" s="83">
        <f>IF($D119&lt;=0,0,$B$108*($D119/$B$108)^H$111)</f>
        <v/>
      </c>
      <c r="I119" s="83" t="n">
        <v>0</v>
      </c>
      <c r="J119" s="83" t="n">
        <v>0</v>
      </c>
      <c r="K119" s="83" t="n">
        <v>0</v>
      </c>
      <c r="L119" s="83" t="n">
        <v>0</v>
      </c>
      <c r="M119" s="83" t="n">
        <v>0</v>
      </c>
      <c r="N119" s="83">
        <f>SUMPRODUCT($E$110:$M$110,$E119:$M119)</f>
        <v/>
      </c>
      <c r="O119" s="72">
        <f>($F$107-($B$107/100)*($D$108+N119))/(1+($B$107/100)*$D$107)-$D119</f>
        <v/>
      </c>
    </row>
    <row r="120">
      <c r="B120" s="83">
        <f>IF(O119&gt;0,D119,B119)</f>
        <v/>
      </c>
      <c r="C120" s="83">
        <f>IF(O119&gt;0,C119,D119)</f>
        <v/>
      </c>
      <c r="D120" s="83">
        <f>(B120+C120)/2</f>
        <v/>
      </c>
      <c r="E120" s="83">
        <f>IF($D120&lt;=0,0,$B$108*($D120/$B$108)^E$111)</f>
        <v/>
      </c>
      <c r="F120" s="83">
        <f>IF($D120&lt;=0,0,$B$108*($D120/$B$108)^F$111)</f>
        <v/>
      </c>
      <c r="G120" s="83">
        <f>IF($D120&lt;=0,0,$B$108*($D120/$B$108)^G$111)</f>
        <v/>
      </c>
      <c r="H120" s="83">
        <f>IF($D120&lt;=0,0,$B$108*($D120/$B$108)^H$111)</f>
        <v/>
      </c>
      <c r="I120" s="83" t="n">
        <v>0</v>
      </c>
      <c r="J120" s="83" t="n">
        <v>0</v>
      </c>
      <c r="K120" s="83" t="n">
        <v>0</v>
      </c>
      <c r="L120" s="83" t="n">
        <v>0</v>
      </c>
      <c r="M120" s="83" t="n">
        <v>0</v>
      </c>
      <c r="N120" s="83">
        <f>SUMPRODUCT($E$110:$M$110,$E120:$M120)</f>
        <v/>
      </c>
      <c r="O120" s="72">
        <f>($F$107-($B$107/100)*($D$108+N120))/(1+($B$107/100)*$D$107)-$D120</f>
        <v/>
      </c>
    </row>
    <row r="121">
      <c r="B121" s="83">
        <f>IF(O120&gt;0,D120,B120)</f>
        <v/>
      </c>
      <c r="C121" s="83">
        <f>IF(O120&gt;0,C120,D120)</f>
        <v/>
      </c>
      <c r="D121" s="83">
        <f>(B121+C121)/2</f>
        <v/>
      </c>
      <c r="E121" s="83">
        <f>IF($D121&lt;=0,0,$B$108*($D121/$B$108)^E$111)</f>
        <v/>
      </c>
      <c r="F121" s="83">
        <f>IF($D121&lt;=0,0,$B$108*($D121/$B$108)^F$111)</f>
        <v/>
      </c>
      <c r="G121" s="83">
        <f>IF($D121&lt;=0,0,$B$108*($D121/$B$108)^G$111)</f>
        <v/>
      </c>
      <c r="H121" s="83">
        <f>IF($D121&lt;=0,0,$B$108*($D121/$B$108)^H$111)</f>
        <v/>
      </c>
      <c r="I121" s="83" t="n">
        <v>0</v>
      </c>
      <c r="J121" s="83" t="n">
        <v>0</v>
      </c>
      <c r="K121" s="83" t="n">
        <v>0</v>
      </c>
      <c r="L121" s="83" t="n">
        <v>0</v>
      </c>
      <c r="M121" s="83" t="n">
        <v>0</v>
      </c>
      <c r="N121" s="83">
        <f>SUMPRODUCT($E$110:$M$110,$E121:$M121)</f>
        <v/>
      </c>
      <c r="O121" s="72">
        <f>($F$107-($B$107/100)*($D$108+N121))/(1+($B$107/100)*$D$107)-$D121</f>
        <v/>
      </c>
    </row>
    <row r="122">
      <c r="B122" s="83">
        <f>IF(O121&gt;0,D121,B121)</f>
        <v/>
      </c>
      <c r="C122" s="83">
        <f>IF(O121&gt;0,C121,D121)</f>
        <v/>
      </c>
      <c r="D122" s="83">
        <f>(B122+C122)/2</f>
        <v/>
      </c>
      <c r="E122" s="83">
        <f>IF($D122&lt;=0,0,$B$108*($D122/$B$108)^E$111)</f>
        <v/>
      </c>
      <c r="F122" s="83">
        <f>IF($D122&lt;=0,0,$B$108*($D122/$B$108)^F$111)</f>
        <v/>
      </c>
      <c r="G122" s="83">
        <f>IF($D122&lt;=0,0,$B$108*($D122/$B$108)^G$111)</f>
        <v/>
      </c>
      <c r="H122" s="83">
        <f>IF($D122&lt;=0,0,$B$108*($D122/$B$108)^H$111)</f>
        <v/>
      </c>
      <c r="I122" s="83" t="n">
        <v>0</v>
      </c>
      <c r="J122" s="83" t="n">
        <v>0</v>
      </c>
      <c r="K122" s="83" t="n">
        <v>0</v>
      </c>
      <c r="L122" s="83" t="n">
        <v>0</v>
      </c>
      <c r="M122" s="83" t="n">
        <v>0</v>
      </c>
      <c r="N122" s="83">
        <f>SUMPRODUCT($E$110:$M$110,$E122:$M122)</f>
        <v/>
      </c>
      <c r="O122" s="72">
        <f>($F$107-($B$107/100)*($D$108+N122))/(1+($B$107/100)*$D$107)-$D122</f>
        <v/>
      </c>
    </row>
    <row r="123">
      <c r="B123" s="83">
        <f>IF(O122&gt;0,D122,B122)</f>
        <v/>
      </c>
      <c r="C123" s="83">
        <f>IF(O122&gt;0,C122,D122)</f>
        <v/>
      </c>
      <c r="D123" s="83">
        <f>(B123+C123)/2</f>
        <v/>
      </c>
      <c r="E123" s="83">
        <f>IF($D123&lt;=0,0,$B$108*($D123/$B$108)^E$111)</f>
        <v/>
      </c>
      <c r="F123" s="83">
        <f>IF($D123&lt;=0,0,$B$108*($D123/$B$108)^F$111)</f>
        <v/>
      </c>
      <c r="G123" s="83">
        <f>IF($D123&lt;=0,0,$B$108*($D123/$B$108)^G$111)</f>
        <v/>
      </c>
      <c r="H123" s="83">
        <f>IF($D123&lt;=0,0,$B$108*($D123/$B$108)^H$111)</f>
        <v/>
      </c>
      <c r="I123" s="83" t="n">
        <v>0</v>
      </c>
      <c r="J123" s="83" t="n">
        <v>0</v>
      </c>
      <c r="K123" s="83" t="n">
        <v>0</v>
      </c>
      <c r="L123" s="83" t="n">
        <v>0</v>
      </c>
      <c r="M123" s="83" t="n">
        <v>0</v>
      </c>
      <c r="N123" s="83">
        <f>SUMPRODUCT($E$110:$M$110,$E123:$M123)</f>
        <v/>
      </c>
      <c r="O123" s="72">
        <f>($F$107-($B$107/100)*($D$108+N123))/(1+($B$107/100)*$D$107)-$D123</f>
        <v/>
      </c>
    </row>
    <row r="124">
      <c r="B124" s="83">
        <f>IF(O123&gt;0,D123,B123)</f>
        <v/>
      </c>
      <c r="C124" s="83">
        <f>IF(O123&gt;0,C123,D123)</f>
        <v/>
      </c>
      <c r="D124" s="83">
        <f>(B124+C124)/2</f>
        <v/>
      </c>
      <c r="E124" s="83">
        <f>IF($D124&lt;=0,0,$B$108*($D124/$B$108)^E$111)</f>
        <v/>
      </c>
      <c r="F124" s="83">
        <f>IF($D124&lt;=0,0,$B$108*($D124/$B$108)^F$111)</f>
        <v/>
      </c>
      <c r="G124" s="83">
        <f>IF($D124&lt;=0,0,$B$108*($D124/$B$108)^G$111)</f>
        <v/>
      </c>
      <c r="H124" s="83">
        <f>IF($D124&lt;=0,0,$B$108*($D124/$B$108)^H$111)</f>
        <v/>
      </c>
      <c r="I124" s="83" t="n">
        <v>0</v>
      </c>
      <c r="J124" s="83" t="n">
        <v>0</v>
      </c>
      <c r="K124" s="83" t="n">
        <v>0</v>
      </c>
      <c r="L124" s="83" t="n">
        <v>0</v>
      </c>
      <c r="M124" s="83" t="n">
        <v>0</v>
      </c>
      <c r="N124" s="83">
        <f>SUMPRODUCT($E$110:$M$110,$E124:$M124)</f>
        <v/>
      </c>
      <c r="O124" s="72">
        <f>($F$107-($B$107/100)*($D$108+N124))/(1+($B$107/100)*$D$107)-$D124</f>
        <v/>
      </c>
    </row>
    <row r="125">
      <c r="B125" s="83">
        <f>IF(O124&gt;0,D124,B124)</f>
        <v/>
      </c>
      <c r="C125" s="83">
        <f>IF(O124&gt;0,C124,D124)</f>
        <v/>
      </c>
      <c r="D125" s="83">
        <f>(B125+C125)/2</f>
        <v/>
      </c>
      <c r="E125" s="83">
        <f>IF($D125&lt;=0,0,$B$108*($D125/$B$108)^E$111)</f>
        <v/>
      </c>
      <c r="F125" s="83">
        <f>IF($D125&lt;=0,0,$B$108*($D125/$B$108)^F$111)</f>
        <v/>
      </c>
      <c r="G125" s="83">
        <f>IF($D125&lt;=0,0,$B$108*($D125/$B$108)^G$111)</f>
        <v/>
      </c>
      <c r="H125" s="83">
        <f>IF($D125&lt;=0,0,$B$108*($D125/$B$108)^H$111)</f>
        <v/>
      </c>
      <c r="I125" s="83" t="n">
        <v>0</v>
      </c>
      <c r="J125" s="83" t="n">
        <v>0</v>
      </c>
      <c r="K125" s="83" t="n">
        <v>0</v>
      </c>
      <c r="L125" s="83" t="n">
        <v>0</v>
      </c>
      <c r="M125" s="83" t="n">
        <v>0</v>
      </c>
      <c r="N125" s="83">
        <f>SUMPRODUCT($E$110:$M$110,$E125:$M125)</f>
        <v/>
      </c>
      <c r="O125" s="72">
        <f>($F$107-($B$107/100)*($D$108+N125))/(1+($B$107/100)*$D$107)-$D125</f>
        <v/>
      </c>
    </row>
    <row r="126">
      <c r="B126" s="83">
        <f>IF(O125&gt;0,D125,B125)</f>
        <v/>
      </c>
      <c r="C126" s="83">
        <f>IF(O125&gt;0,C125,D125)</f>
        <v/>
      </c>
      <c r="D126" s="83">
        <f>(B126+C126)/2</f>
        <v/>
      </c>
      <c r="E126" s="83">
        <f>IF($D126&lt;=0,0,$B$108*($D126/$B$108)^E$111)</f>
        <v/>
      </c>
      <c r="F126" s="83">
        <f>IF($D126&lt;=0,0,$B$108*($D126/$B$108)^F$111)</f>
        <v/>
      </c>
      <c r="G126" s="83">
        <f>IF($D126&lt;=0,0,$B$108*($D126/$B$108)^G$111)</f>
        <v/>
      </c>
      <c r="H126" s="83">
        <f>IF($D126&lt;=0,0,$B$108*($D126/$B$108)^H$111)</f>
        <v/>
      </c>
      <c r="I126" s="83" t="n">
        <v>0</v>
      </c>
      <c r="J126" s="83" t="n">
        <v>0</v>
      </c>
      <c r="K126" s="83" t="n">
        <v>0</v>
      </c>
      <c r="L126" s="83" t="n">
        <v>0</v>
      </c>
      <c r="M126" s="83" t="n">
        <v>0</v>
      </c>
      <c r="N126" s="83">
        <f>SUMPRODUCT($E$110:$M$110,$E126:$M126)</f>
        <v/>
      </c>
      <c r="O126" s="72">
        <f>($F$107-($B$107/100)*($D$108+N126))/(1+($B$107/100)*$D$107)-$D126</f>
        <v/>
      </c>
    </row>
    <row r="127">
      <c r="B127" s="83">
        <f>IF(O126&gt;0,D126,B126)</f>
        <v/>
      </c>
      <c r="C127" s="83">
        <f>IF(O126&gt;0,C126,D126)</f>
        <v/>
      </c>
      <c r="D127" s="83">
        <f>(B127+C127)/2</f>
        <v/>
      </c>
      <c r="E127" s="83">
        <f>IF($D127&lt;=0,0,$B$108*($D127/$B$108)^E$111)</f>
        <v/>
      </c>
      <c r="F127" s="83">
        <f>IF($D127&lt;=0,0,$B$108*($D127/$B$108)^F$111)</f>
        <v/>
      </c>
      <c r="G127" s="83">
        <f>IF($D127&lt;=0,0,$B$108*($D127/$B$108)^G$111)</f>
        <v/>
      </c>
      <c r="H127" s="83">
        <f>IF($D127&lt;=0,0,$B$108*($D127/$B$108)^H$111)</f>
        <v/>
      </c>
      <c r="I127" s="83" t="n">
        <v>0</v>
      </c>
      <c r="J127" s="83" t="n">
        <v>0</v>
      </c>
      <c r="K127" s="83" t="n">
        <v>0</v>
      </c>
      <c r="L127" s="83" t="n">
        <v>0</v>
      </c>
      <c r="M127" s="83" t="n">
        <v>0</v>
      </c>
      <c r="N127" s="83">
        <f>SUMPRODUCT($E$110:$M$110,$E127:$M127)</f>
        <v/>
      </c>
      <c r="O127" s="72">
        <f>($F$107-($B$107/100)*($D$108+N127))/(1+($B$107/100)*$D$107)-$D127</f>
        <v/>
      </c>
    </row>
    <row r="128">
      <c r="B128" s="83">
        <f>IF(O127&gt;0,D127,B127)</f>
        <v/>
      </c>
      <c r="C128" s="83">
        <f>IF(O127&gt;0,C127,D127)</f>
        <v/>
      </c>
      <c r="D128" s="83">
        <f>(B128+C128)/2</f>
        <v/>
      </c>
      <c r="E128" s="83">
        <f>IF($D128&lt;=0,0,$B$108*($D128/$B$108)^E$111)</f>
        <v/>
      </c>
      <c r="F128" s="83">
        <f>IF($D128&lt;=0,0,$B$108*($D128/$B$108)^F$111)</f>
        <v/>
      </c>
      <c r="G128" s="83">
        <f>IF($D128&lt;=0,0,$B$108*($D128/$B$108)^G$111)</f>
        <v/>
      </c>
      <c r="H128" s="83">
        <f>IF($D128&lt;=0,0,$B$108*($D128/$B$108)^H$111)</f>
        <v/>
      </c>
      <c r="I128" s="83" t="n">
        <v>0</v>
      </c>
      <c r="J128" s="83" t="n">
        <v>0</v>
      </c>
      <c r="K128" s="83" t="n">
        <v>0</v>
      </c>
      <c r="L128" s="83" t="n">
        <v>0</v>
      </c>
      <c r="M128" s="83" t="n">
        <v>0</v>
      </c>
      <c r="N128" s="83">
        <f>SUMPRODUCT($E$110:$M$110,$E128:$M128)</f>
        <v/>
      </c>
      <c r="O128" s="72">
        <f>($F$107-($B$107/100)*($D$108+N128))/(1+($B$107/100)*$D$107)-$D128</f>
        <v/>
      </c>
    </row>
    <row r="129">
      <c r="B129" s="83">
        <f>IF(O128&gt;0,D128,B128)</f>
        <v/>
      </c>
      <c r="C129" s="83">
        <f>IF(O128&gt;0,C128,D128)</f>
        <v/>
      </c>
      <c r="D129" s="83">
        <f>(B129+C129)/2</f>
        <v/>
      </c>
      <c r="E129" s="83">
        <f>IF($D129&lt;=0,0,$B$108*($D129/$B$108)^E$111)</f>
        <v/>
      </c>
      <c r="F129" s="83">
        <f>IF($D129&lt;=0,0,$B$108*($D129/$B$108)^F$111)</f>
        <v/>
      </c>
      <c r="G129" s="83">
        <f>IF($D129&lt;=0,0,$B$108*($D129/$B$108)^G$111)</f>
        <v/>
      </c>
      <c r="H129" s="83">
        <f>IF($D129&lt;=0,0,$B$108*($D129/$B$108)^H$111)</f>
        <v/>
      </c>
      <c r="I129" s="83" t="n">
        <v>0</v>
      </c>
      <c r="J129" s="83" t="n">
        <v>0</v>
      </c>
      <c r="K129" s="83" t="n">
        <v>0</v>
      </c>
      <c r="L129" s="83" t="n">
        <v>0</v>
      </c>
      <c r="M129" s="83" t="n">
        <v>0</v>
      </c>
      <c r="N129" s="83">
        <f>SUMPRODUCT($E$110:$M$110,$E129:$M129)</f>
        <v/>
      </c>
      <c r="O129" s="72">
        <f>($F$107-($B$107/100)*($D$108+N129))/(1+($B$107/100)*$D$107)-$D129</f>
        <v/>
      </c>
    </row>
    <row r="130">
      <c r="B130" s="83">
        <f>IF(O129&gt;0,D129,B129)</f>
        <v/>
      </c>
      <c r="C130" s="83">
        <f>IF(O129&gt;0,C129,D129)</f>
        <v/>
      </c>
      <c r="D130" s="83">
        <f>(B130+C130)/2</f>
        <v/>
      </c>
      <c r="E130" s="83">
        <f>IF($D130&lt;=0,0,$B$108*($D130/$B$108)^E$111)</f>
        <v/>
      </c>
      <c r="F130" s="83">
        <f>IF($D130&lt;=0,0,$B$108*($D130/$B$108)^F$111)</f>
        <v/>
      </c>
      <c r="G130" s="83">
        <f>IF($D130&lt;=0,0,$B$108*($D130/$B$108)^G$111)</f>
        <v/>
      </c>
      <c r="H130" s="83">
        <f>IF($D130&lt;=0,0,$B$108*($D130/$B$108)^H$111)</f>
        <v/>
      </c>
      <c r="I130" s="83" t="n">
        <v>0</v>
      </c>
      <c r="J130" s="83" t="n">
        <v>0</v>
      </c>
      <c r="K130" s="83" t="n">
        <v>0</v>
      </c>
      <c r="L130" s="83" t="n">
        <v>0</v>
      </c>
      <c r="M130" s="83" t="n">
        <v>0</v>
      </c>
      <c r="N130" s="83">
        <f>SUMPRODUCT($E$110:$M$110,$E130:$M130)</f>
        <v/>
      </c>
      <c r="O130" s="72">
        <f>($F$107-($B$107/100)*($D$108+N130))/(1+($B$107/100)*$D$107)-$D130</f>
        <v/>
      </c>
    </row>
    <row r="131">
      <c r="B131" s="83">
        <f>IF(O130&gt;0,D130,B130)</f>
        <v/>
      </c>
      <c r="C131" s="83">
        <f>IF(O130&gt;0,C130,D130)</f>
        <v/>
      </c>
      <c r="D131" s="83">
        <f>(B131+C131)/2</f>
        <v/>
      </c>
      <c r="E131" s="83">
        <f>IF($D131&lt;=0,0,$B$108*($D131/$B$108)^E$111)</f>
        <v/>
      </c>
      <c r="F131" s="83">
        <f>IF($D131&lt;=0,0,$B$108*($D131/$B$108)^F$111)</f>
        <v/>
      </c>
      <c r="G131" s="83">
        <f>IF($D131&lt;=0,0,$B$108*($D131/$B$108)^G$111)</f>
        <v/>
      </c>
      <c r="H131" s="83">
        <f>IF($D131&lt;=0,0,$B$108*($D131/$B$108)^H$111)</f>
        <v/>
      </c>
      <c r="I131" s="83" t="n">
        <v>0</v>
      </c>
      <c r="J131" s="83" t="n">
        <v>0</v>
      </c>
      <c r="K131" s="83" t="n">
        <v>0</v>
      </c>
      <c r="L131" s="83" t="n">
        <v>0</v>
      </c>
      <c r="M131" s="83" t="n">
        <v>0</v>
      </c>
      <c r="N131" s="83">
        <f>SUMPRODUCT($E$110:$M$110,$E131:$M131)</f>
        <v/>
      </c>
      <c r="O131" s="72">
        <f>($F$107-($B$107/100)*($D$108+N131))/(1+($B$107/100)*$D$107)-$D131</f>
        <v/>
      </c>
    </row>
    <row r="132">
      <c r="B132" s="83">
        <f>IF(O131&gt;0,D131,B131)</f>
        <v/>
      </c>
      <c r="C132" s="83">
        <f>IF(O131&gt;0,C131,D131)</f>
        <v/>
      </c>
      <c r="D132" s="83">
        <f>(B132+C132)/2</f>
        <v/>
      </c>
      <c r="E132" s="83">
        <f>IF($D132&lt;=0,0,$B$108*($D132/$B$108)^E$111)</f>
        <v/>
      </c>
      <c r="F132" s="83">
        <f>IF($D132&lt;=0,0,$B$108*($D132/$B$108)^F$111)</f>
        <v/>
      </c>
      <c r="G132" s="83">
        <f>IF($D132&lt;=0,0,$B$108*($D132/$B$108)^G$111)</f>
        <v/>
      </c>
      <c r="H132" s="83">
        <f>IF($D132&lt;=0,0,$B$108*($D132/$B$108)^H$111)</f>
        <v/>
      </c>
      <c r="I132" s="83" t="n">
        <v>0</v>
      </c>
      <c r="J132" s="83" t="n">
        <v>0</v>
      </c>
      <c r="K132" s="83" t="n">
        <v>0</v>
      </c>
      <c r="L132" s="83" t="n">
        <v>0</v>
      </c>
      <c r="M132" s="83" t="n">
        <v>0</v>
      </c>
      <c r="N132" s="83">
        <f>SUMPRODUCT($E$110:$M$110,$E132:$M132)</f>
        <v/>
      </c>
      <c r="O132" s="72">
        <f>($F$107-($B$107/100)*($D$108+N132))/(1+($B$107/100)*$D$107)-$D132</f>
        <v/>
      </c>
    </row>
    <row r="133">
      <c r="B133" s="83">
        <f>IF(O132&gt;0,D132,B132)</f>
        <v/>
      </c>
      <c r="C133" s="83">
        <f>IF(O132&gt;0,C132,D132)</f>
        <v/>
      </c>
      <c r="D133" s="83">
        <f>(B133+C133)/2</f>
        <v/>
      </c>
      <c r="E133" s="83">
        <f>IF($D133&lt;=0,0,$B$108*($D133/$B$108)^E$111)</f>
        <v/>
      </c>
      <c r="F133" s="83">
        <f>IF($D133&lt;=0,0,$B$108*($D133/$B$108)^F$111)</f>
        <v/>
      </c>
      <c r="G133" s="83">
        <f>IF($D133&lt;=0,0,$B$108*($D133/$B$108)^G$111)</f>
        <v/>
      </c>
      <c r="H133" s="83">
        <f>IF($D133&lt;=0,0,$B$108*($D133/$B$108)^H$111)</f>
        <v/>
      </c>
      <c r="I133" s="83" t="n">
        <v>0</v>
      </c>
      <c r="J133" s="83" t="n">
        <v>0</v>
      </c>
      <c r="K133" s="83" t="n">
        <v>0</v>
      </c>
      <c r="L133" s="83" t="n">
        <v>0</v>
      </c>
      <c r="M133" s="83" t="n">
        <v>0</v>
      </c>
      <c r="N133" s="83">
        <f>SUMPRODUCT($E$110:$M$110,$E133:$M133)</f>
        <v/>
      </c>
      <c r="O133" s="72">
        <f>($F$107-($B$107/100)*($D$108+N133))/(1+($B$107/100)*$D$107)-$D133</f>
        <v/>
      </c>
    </row>
    <row r="134">
      <c r="B134" s="83">
        <f>IF(O133&gt;0,D133,B133)</f>
        <v/>
      </c>
      <c r="C134" s="83">
        <f>IF(O133&gt;0,C133,D133)</f>
        <v/>
      </c>
      <c r="D134" s="83">
        <f>(B134+C134)/2</f>
        <v/>
      </c>
      <c r="E134" s="83">
        <f>IF($D134&lt;=0,0,$B$108*($D134/$B$108)^E$111)</f>
        <v/>
      </c>
      <c r="F134" s="83">
        <f>IF($D134&lt;=0,0,$B$108*($D134/$B$108)^F$111)</f>
        <v/>
      </c>
      <c r="G134" s="83">
        <f>IF($D134&lt;=0,0,$B$108*($D134/$B$108)^G$111)</f>
        <v/>
      </c>
      <c r="H134" s="83">
        <f>IF($D134&lt;=0,0,$B$108*($D134/$B$108)^H$111)</f>
        <v/>
      </c>
      <c r="I134" s="83" t="n">
        <v>0</v>
      </c>
      <c r="J134" s="83" t="n">
        <v>0</v>
      </c>
      <c r="K134" s="83" t="n">
        <v>0</v>
      </c>
      <c r="L134" s="83" t="n">
        <v>0</v>
      </c>
      <c r="M134" s="83" t="n">
        <v>0</v>
      </c>
      <c r="N134" s="83">
        <f>SUMPRODUCT($E$110:$M$110,$E134:$M134)</f>
        <v/>
      </c>
      <c r="O134" s="72">
        <f>($F$107-($B$107/100)*($D$108+N134))/(1+($B$107/100)*$D$107)-$D134</f>
        <v/>
      </c>
    </row>
    <row r="135">
      <c r="B135" s="83">
        <f>IF(O134&gt;0,D134,B134)</f>
        <v/>
      </c>
      <c r="C135" s="83">
        <f>IF(O134&gt;0,C134,D134)</f>
        <v/>
      </c>
      <c r="D135" s="83">
        <f>(B135+C135)/2</f>
        <v/>
      </c>
      <c r="E135" s="83">
        <f>IF($D135&lt;=0,0,$B$108*($D135/$B$108)^E$111)</f>
        <v/>
      </c>
      <c r="F135" s="83">
        <f>IF($D135&lt;=0,0,$B$108*($D135/$B$108)^F$111)</f>
        <v/>
      </c>
      <c r="G135" s="83">
        <f>IF($D135&lt;=0,0,$B$108*($D135/$B$108)^G$111)</f>
        <v/>
      </c>
      <c r="H135" s="83">
        <f>IF($D135&lt;=0,0,$B$108*($D135/$B$108)^H$111)</f>
        <v/>
      </c>
      <c r="I135" s="83" t="n">
        <v>0</v>
      </c>
      <c r="J135" s="83" t="n">
        <v>0</v>
      </c>
      <c r="K135" s="83" t="n">
        <v>0</v>
      </c>
      <c r="L135" s="83" t="n">
        <v>0</v>
      </c>
      <c r="M135" s="83" t="n">
        <v>0</v>
      </c>
      <c r="N135" s="83">
        <f>SUMPRODUCT($E$110:$M$110,$E135:$M135)</f>
        <v/>
      </c>
      <c r="O135" s="72">
        <f>($F$107-($B$107/100)*($D$108+N135))/(1+($B$107/100)*$D$107)-$D135</f>
        <v/>
      </c>
    </row>
    <row r="136">
      <c r="B136" s="83">
        <f>IF(O135&gt;0,D135,B135)</f>
        <v/>
      </c>
      <c r="C136" s="83">
        <f>IF(O135&gt;0,C135,D135)</f>
        <v/>
      </c>
      <c r="D136" s="83">
        <f>(B136+C136)/2</f>
        <v/>
      </c>
      <c r="E136" s="83">
        <f>IF($D136&lt;=0,0,$B$108*($D136/$B$108)^E$111)</f>
        <v/>
      </c>
      <c r="F136" s="83">
        <f>IF($D136&lt;=0,0,$B$108*($D136/$B$108)^F$111)</f>
        <v/>
      </c>
      <c r="G136" s="83">
        <f>IF($D136&lt;=0,0,$B$108*($D136/$B$108)^G$111)</f>
        <v/>
      </c>
      <c r="H136" s="83">
        <f>IF($D136&lt;=0,0,$B$108*($D136/$B$108)^H$111)</f>
        <v/>
      </c>
      <c r="I136" s="83" t="n">
        <v>0</v>
      </c>
      <c r="J136" s="83" t="n">
        <v>0</v>
      </c>
      <c r="K136" s="83" t="n">
        <v>0</v>
      </c>
      <c r="L136" s="83" t="n">
        <v>0</v>
      </c>
      <c r="M136" s="83" t="n">
        <v>0</v>
      </c>
      <c r="N136" s="83">
        <f>SUMPRODUCT($E$110:$M$110,$E136:$M136)</f>
        <v/>
      </c>
      <c r="O136" s="72">
        <f>($F$107-($B$107/100)*($D$108+N136))/(1+($B$107/100)*$D$107)-$D136</f>
        <v/>
      </c>
    </row>
    <row r="137">
      <c r="B137" s="83">
        <f>IF(O136&gt;0,D136,B136)</f>
        <v/>
      </c>
      <c r="C137" s="83">
        <f>IF(O136&gt;0,C136,D136)</f>
        <v/>
      </c>
      <c r="D137" s="83">
        <f>(B137+C137)/2</f>
        <v/>
      </c>
      <c r="E137" s="83">
        <f>IF($D137&lt;=0,0,$B$108*($D137/$B$108)^E$111)</f>
        <v/>
      </c>
      <c r="F137" s="83">
        <f>IF($D137&lt;=0,0,$B$108*($D137/$B$108)^F$111)</f>
        <v/>
      </c>
      <c r="G137" s="83">
        <f>IF($D137&lt;=0,0,$B$108*($D137/$B$108)^G$111)</f>
        <v/>
      </c>
      <c r="H137" s="83">
        <f>IF($D137&lt;=0,0,$B$108*($D137/$B$108)^H$111)</f>
        <v/>
      </c>
      <c r="I137" s="83" t="n">
        <v>0</v>
      </c>
      <c r="J137" s="83" t="n">
        <v>0</v>
      </c>
      <c r="K137" s="83" t="n">
        <v>0</v>
      </c>
      <c r="L137" s="83" t="n">
        <v>0</v>
      </c>
      <c r="M137" s="83" t="n">
        <v>0</v>
      </c>
      <c r="N137" s="83">
        <f>SUMPRODUCT($E$110:$M$110,$E137:$M137)</f>
        <v/>
      </c>
      <c r="O137" s="72">
        <f>($F$107-($B$107/100)*($D$108+N137))/(1+($B$107/100)*$D$107)-$D137</f>
        <v/>
      </c>
    </row>
    <row r="138">
      <c r="B138" s="83">
        <f>IF(O137&gt;0,D137,B137)</f>
        <v/>
      </c>
      <c r="C138" s="83">
        <f>IF(O137&gt;0,C137,D137)</f>
        <v/>
      </c>
      <c r="D138" s="83">
        <f>(B138+C138)/2</f>
        <v/>
      </c>
      <c r="E138" s="83">
        <f>IF($D138&lt;=0,0,$B$108*($D138/$B$108)^E$111)</f>
        <v/>
      </c>
      <c r="F138" s="83">
        <f>IF($D138&lt;=0,0,$B$108*($D138/$B$108)^F$111)</f>
        <v/>
      </c>
      <c r="G138" s="83">
        <f>IF($D138&lt;=0,0,$B$108*($D138/$B$108)^G$111)</f>
        <v/>
      </c>
      <c r="H138" s="83">
        <f>IF($D138&lt;=0,0,$B$108*($D138/$B$108)^H$111)</f>
        <v/>
      </c>
      <c r="I138" s="83" t="n">
        <v>0</v>
      </c>
      <c r="J138" s="83" t="n">
        <v>0</v>
      </c>
      <c r="K138" s="83" t="n">
        <v>0</v>
      </c>
      <c r="L138" s="83" t="n">
        <v>0</v>
      </c>
      <c r="M138" s="83" t="n">
        <v>0</v>
      </c>
      <c r="N138" s="83">
        <f>SUMPRODUCT($E$110:$M$110,$E138:$M138)</f>
        <v/>
      </c>
      <c r="O138" s="72">
        <f>($F$107-($B$107/100)*($D$108+N138))/(1+($B$107/100)*$D$107)-$D138</f>
        <v/>
      </c>
    </row>
    <row r="139">
      <c r="B139" s="83">
        <f>IF(O138&gt;0,D138,B138)</f>
        <v/>
      </c>
      <c r="C139" s="83">
        <f>IF(O138&gt;0,C138,D138)</f>
        <v/>
      </c>
      <c r="D139" s="83">
        <f>(B139+C139)/2</f>
        <v/>
      </c>
      <c r="E139" s="83">
        <f>IF($D139&lt;=0,0,$B$108*($D139/$B$108)^E$111)</f>
        <v/>
      </c>
      <c r="F139" s="83">
        <f>IF($D139&lt;=0,0,$B$108*($D139/$B$108)^F$111)</f>
        <v/>
      </c>
      <c r="G139" s="83">
        <f>IF($D139&lt;=0,0,$B$108*($D139/$B$108)^G$111)</f>
        <v/>
      </c>
      <c r="H139" s="83">
        <f>IF($D139&lt;=0,0,$B$108*($D139/$B$108)^H$111)</f>
        <v/>
      </c>
      <c r="I139" s="83" t="n">
        <v>0</v>
      </c>
      <c r="J139" s="83" t="n">
        <v>0</v>
      </c>
      <c r="K139" s="83" t="n">
        <v>0</v>
      </c>
      <c r="L139" s="83" t="n">
        <v>0</v>
      </c>
      <c r="M139" s="83" t="n">
        <v>0</v>
      </c>
      <c r="N139" s="83">
        <f>SUMPRODUCT($E$110:$M$110,$E139:$M139)</f>
        <v/>
      </c>
      <c r="O139" s="72">
        <f>($F$107-($B$107/100)*($D$108+N139))/(1+($B$107/100)*$D$107)-$D139</f>
        <v/>
      </c>
    </row>
    <row r="140">
      <c r="B140" s="83">
        <f>IF(O139&gt;0,D139,B139)</f>
        <v/>
      </c>
      <c r="C140" s="83">
        <f>IF(O139&gt;0,C139,D139)</f>
        <v/>
      </c>
      <c r="D140" s="83">
        <f>(B140+C140)/2</f>
        <v/>
      </c>
      <c r="E140" s="83">
        <f>IF($D140&lt;=0,0,$B$108*($D140/$B$108)^E$111)</f>
        <v/>
      </c>
      <c r="F140" s="83">
        <f>IF($D140&lt;=0,0,$B$108*($D140/$B$108)^F$111)</f>
        <v/>
      </c>
      <c r="G140" s="83">
        <f>IF($D140&lt;=0,0,$B$108*($D140/$B$108)^G$111)</f>
        <v/>
      </c>
      <c r="H140" s="83">
        <f>IF($D140&lt;=0,0,$B$108*($D140/$B$108)^H$111)</f>
        <v/>
      </c>
      <c r="I140" s="83" t="n">
        <v>0</v>
      </c>
      <c r="J140" s="83" t="n">
        <v>0</v>
      </c>
      <c r="K140" s="83" t="n">
        <v>0</v>
      </c>
      <c r="L140" s="83" t="n">
        <v>0</v>
      </c>
      <c r="M140" s="83" t="n">
        <v>0</v>
      </c>
      <c r="N140" s="83">
        <f>SUMPRODUCT($E$110:$M$110,$E140:$M140)</f>
        <v/>
      </c>
      <c r="O140" s="72">
        <f>($F$107-($B$107/100)*($D$108+N140))/(1+($B$107/100)*$D$107)-$D140</f>
        <v/>
      </c>
    </row>
    <row r="141">
      <c r="B141" s="83">
        <f>IF(O140&gt;0,D140,B140)</f>
        <v/>
      </c>
      <c r="C141" s="83">
        <f>IF(O140&gt;0,C140,D140)</f>
        <v/>
      </c>
      <c r="D141" s="83">
        <f>(B141+C141)/2</f>
        <v/>
      </c>
      <c r="E141" s="83">
        <f>IF($D141&lt;=0,0,$B$108*($D141/$B$108)^E$111)</f>
        <v/>
      </c>
      <c r="F141" s="83">
        <f>IF($D141&lt;=0,0,$B$108*($D141/$B$108)^F$111)</f>
        <v/>
      </c>
      <c r="G141" s="83">
        <f>IF($D141&lt;=0,0,$B$108*($D141/$B$108)^G$111)</f>
        <v/>
      </c>
      <c r="H141" s="83">
        <f>IF($D141&lt;=0,0,$B$108*($D141/$B$108)^H$111)</f>
        <v/>
      </c>
      <c r="I141" s="83" t="n">
        <v>0</v>
      </c>
      <c r="J141" s="83" t="n">
        <v>0</v>
      </c>
      <c r="K141" s="83" t="n">
        <v>0</v>
      </c>
      <c r="L141" s="83" t="n">
        <v>0</v>
      </c>
      <c r="M141" s="83" t="n">
        <v>0</v>
      </c>
      <c r="N141" s="83">
        <f>SUMPRODUCT($E$110:$M$110,$E141:$M141)</f>
        <v/>
      </c>
      <c r="O141" s="72">
        <f>($F$107-($B$107/100)*($D$108+N141))/(1+($B$107/100)*$D$107)-$D141</f>
        <v/>
      </c>
    </row>
    <row r="142">
      <c r="B142" s="83">
        <f>IF(O141&gt;0,D141,B141)</f>
        <v/>
      </c>
      <c r="C142" s="83">
        <f>IF(O141&gt;0,C141,D141)</f>
        <v/>
      </c>
      <c r="D142" s="83">
        <f>(B142+C142)/2</f>
        <v/>
      </c>
      <c r="E142" s="83">
        <f>IF($D142&lt;=0,0,$B$108*($D142/$B$108)^E$111)</f>
        <v/>
      </c>
      <c r="F142" s="83">
        <f>IF($D142&lt;=0,0,$B$108*($D142/$B$108)^F$111)</f>
        <v/>
      </c>
      <c r="G142" s="83">
        <f>IF($D142&lt;=0,0,$B$108*($D142/$B$108)^G$111)</f>
        <v/>
      </c>
      <c r="H142" s="83">
        <f>IF($D142&lt;=0,0,$B$108*($D142/$B$108)^H$111)</f>
        <v/>
      </c>
      <c r="I142" s="83" t="n">
        <v>0</v>
      </c>
      <c r="J142" s="83" t="n">
        <v>0</v>
      </c>
      <c r="K142" s="83" t="n">
        <v>0</v>
      </c>
      <c r="L142" s="83" t="n">
        <v>0</v>
      </c>
      <c r="M142" s="83" t="n">
        <v>0</v>
      </c>
      <c r="N142" s="83">
        <f>SUMPRODUCT($E$110:$M$110,$E142:$M142)</f>
        <v/>
      </c>
      <c r="O142" s="72">
        <f>($F$107-($B$107/100)*($D$108+N142))/(1+($B$107/100)*$D$107)-$D142</f>
        <v/>
      </c>
    </row>
    <row r="143">
      <c r="B143" s="83">
        <f>IF(O142&gt;0,D142,B142)</f>
        <v/>
      </c>
      <c r="C143" s="83">
        <f>IF(O142&gt;0,C142,D142)</f>
        <v/>
      </c>
      <c r="D143" s="83">
        <f>(B143+C143)/2</f>
        <v/>
      </c>
      <c r="E143" s="83">
        <f>IF($D143&lt;=0,0,$B$108*($D143/$B$108)^E$111)</f>
        <v/>
      </c>
      <c r="F143" s="83">
        <f>IF($D143&lt;=0,0,$B$108*($D143/$B$108)^F$111)</f>
        <v/>
      </c>
      <c r="G143" s="83">
        <f>IF($D143&lt;=0,0,$B$108*($D143/$B$108)^G$111)</f>
        <v/>
      </c>
      <c r="H143" s="83">
        <f>IF($D143&lt;=0,0,$B$108*($D143/$B$108)^H$111)</f>
        <v/>
      </c>
      <c r="I143" s="83" t="n">
        <v>0</v>
      </c>
      <c r="J143" s="83" t="n">
        <v>0</v>
      </c>
      <c r="K143" s="83" t="n">
        <v>0</v>
      </c>
      <c r="L143" s="83" t="n">
        <v>0</v>
      </c>
      <c r="M143" s="83" t="n">
        <v>0</v>
      </c>
      <c r="N143" s="83">
        <f>SUMPRODUCT($E$110:$M$110,$E143:$M143)</f>
        <v/>
      </c>
      <c r="O143" s="72">
        <f>($F$107-($B$107/100)*($D$108+N143))/(1+($B$107/100)*$D$107)-$D143</f>
        <v/>
      </c>
    </row>
    <row r="144">
      <c r="B144" s="83">
        <f>IF(O143&gt;0,D143,B143)</f>
        <v/>
      </c>
      <c r="C144" s="83">
        <f>IF(O143&gt;0,C143,D143)</f>
        <v/>
      </c>
      <c r="D144" s="83">
        <f>(B144+C144)/2</f>
        <v/>
      </c>
      <c r="E144" s="83">
        <f>IF($D144&lt;=0,0,$B$108*($D144/$B$108)^E$111)</f>
        <v/>
      </c>
      <c r="F144" s="83">
        <f>IF($D144&lt;=0,0,$B$108*($D144/$B$108)^F$111)</f>
        <v/>
      </c>
      <c r="G144" s="83">
        <f>IF($D144&lt;=0,0,$B$108*($D144/$B$108)^G$111)</f>
        <v/>
      </c>
      <c r="H144" s="83">
        <f>IF($D144&lt;=0,0,$B$108*($D144/$B$108)^H$111)</f>
        <v/>
      </c>
      <c r="I144" s="83" t="n">
        <v>0</v>
      </c>
      <c r="J144" s="83" t="n">
        <v>0</v>
      </c>
      <c r="K144" s="83" t="n">
        <v>0</v>
      </c>
      <c r="L144" s="83" t="n">
        <v>0</v>
      </c>
      <c r="M144" s="83" t="n">
        <v>0</v>
      </c>
      <c r="N144" s="83">
        <f>SUMPRODUCT($E$110:$M$110,$E144:$M144)</f>
        <v/>
      </c>
      <c r="O144" s="72">
        <f>($F$107-($B$107/100)*($D$108+N144))/(1+($B$107/100)*$D$107)-$D144</f>
        <v/>
      </c>
    </row>
    <row r="145">
      <c r="B145" s="83">
        <f>IF(O144&gt;0,D144,B144)</f>
        <v/>
      </c>
      <c r="C145" s="83">
        <f>IF(O144&gt;0,C144,D144)</f>
        <v/>
      </c>
      <c r="D145" s="83">
        <f>(B145+C145)/2</f>
        <v/>
      </c>
      <c r="E145" s="83">
        <f>IF($D145&lt;=0,0,$B$108*($D145/$B$108)^E$111)</f>
        <v/>
      </c>
      <c r="F145" s="83">
        <f>IF($D145&lt;=0,0,$B$108*($D145/$B$108)^F$111)</f>
        <v/>
      </c>
      <c r="G145" s="83">
        <f>IF($D145&lt;=0,0,$B$108*($D145/$B$108)^G$111)</f>
        <v/>
      </c>
      <c r="H145" s="83">
        <f>IF($D145&lt;=0,0,$B$108*($D145/$B$108)^H$111)</f>
        <v/>
      </c>
      <c r="I145" s="83" t="n">
        <v>0</v>
      </c>
      <c r="J145" s="83" t="n">
        <v>0</v>
      </c>
      <c r="K145" s="83" t="n">
        <v>0</v>
      </c>
      <c r="L145" s="83" t="n">
        <v>0</v>
      </c>
      <c r="M145" s="83" t="n">
        <v>0</v>
      </c>
      <c r="N145" s="83">
        <f>SUMPRODUCT($E$110:$M$110,$E145:$M145)</f>
        <v/>
      </c>
      <c r="O145" s="72">
        <f>($F$107-($B$107/100)*($D$108+N145))/(1+($B$107/100)*$D$107)-$D145</f>
        <v/>
      </c>
    </row>
    <row r="146">
      <c r="B146" s="83">
        <f>IF(O145&gt;0,D145,B145)</f>
        <v/>
      </c>
      <c r="C146" s="83">
        <f>IF(O145&gt;0,C145,D145)</f>
        <v/>
      </c>
      <c r="D146" s="83">
        <f>(B146+C146)/2</f>
        <v/>
      </c>
      <c r="E146" s="83">
        <f>IF($D146&lt;=0,0,$B$108*($D146/$B$108)^E$111)</f>
        <v/>
      </c>
      <c r="F146" s="83">
        <f>IF($D146&lt;=0,0,$B$108*($D146/$B$108)^F$111)</f>
        <v/>
      </c>
      <c r="G146" s="83">
        <f>IF($D146&lt;=0,0,$B$108*($D146/$B$108)^G$111)</f>
        <v/>
      </c>
      <c r="H146" s="83">
        <f>IF($D146&lt;=0,0,$B$108*($D146/$B$108)^H$111)</f>
        <v/>
      </c>
      <c r="I146" s="83" t="n">
        <v>0</v>
      </c>
      <c r="J146" s="83" t="n">
        <v>0</v>
      </c>
      <c r="K146" s="83" t="n">
        <v>0</v>
      </c>
      <c r="L146" s="83" t="n">
        <v>0</v>
      </c>
      <c r="M146" s="83" t="n">
        <v>0</v>
      </c>
      <c r="N146" s="83">
        <f>SUMPRODUCT($E$110:$M$110,$E146:$M146)</f>
        <v/>
      </c>
      <c r="O146" s="72">
        <f>($F$107-($B$107/100)*($D$108+N146))/(1+($B$107/100)*$D$107)-$D146</f>
        <v/>
      </c>
    </row>
    <row r="147">
      <c r="B147" s="83">
        <f>IF(O146&gt;0,D146,B146)</f>
        <v/>
      </c>
      <c r="C147" s="83">
        <f>IF(O146&gt;0,C146,D146)</f>
        <v/>
      </c>
      <c r="D147" s="83">
        <f>(B147+C147)/2</f>
        <v/>
      </c>
      <c r="E147" s="83">
        <f>IF($D147&lt;=0,0,$B$108*($D147/$B$108)^E$111)</f>
        <v/>
      </c>
      <c r="F147" s="83">
        <f>IF($D147&lt;=0,0,$B$108*($D147/$B$108)^F$111)</f>
        <v/>
      </c>
      <c r="G147" s="83">
        <f>IF($D147&lt;=0,0,$B$108*($D147/$B$108)^G$111)</f>
        <v/>
      </c>
      <c r="H147" s="83">
        <f>IF($D147&lt;=0,0,$B$108*($D147/$B$108)^H$111)</f>
        <v/>
      </c>
      <c r="I147" s="83" t="n">
        <v>0</v>
      </c>
      <c r="J147" s="83" t="n">
        <v>0</v>
      </c>
      <c r="K147" s="83" t="n">
        <v>0</v>
      </c>
      <c r="L147" s="83" t="n">
        <v>0</v>
      </c>
      <c r="M147" s="83" t="n">
        <v>0</v>
      </c>
      <c r="N147" s="83">
        <f>SUMPRODUCT($E$110:$M$110,$E147:$M147)</f>
        <v/>
      </c>
      <c r="O147" s="72">
        <f>($F$107-($B$107/100)*($D$108+N147))/(1+($B$107/100)*$D$107)-$D147</f>
        <v/>
      </c>
    </row>
    <row r="148">
      <c r="B148" s="83">
        <f>IF(O147&gt;0,D147,B147)</f>
        <v/>
      </c>
      <c r="C148" s="83">
        <f>IF(O147&gt;0,C147,D147)</f>
        <v/>
      </c>
      <c r="D148" s="83">
        <f>(B148+C148)/2</f>
        <v/>
      </c>
      <c r="E148" s="83">
        <f>IF($D148&lt;=0,0,$B$108*($D148/$B$108)^E$111)</f>
        <v/>
      </c>
      <c r="F148" s="83">
        <f>IF($D148&lt;=0,0,$B$108*($D148/$B$108)^F$111)</f>
        <v/>
      </c>
      <c r="G148" s="83">
        <f>IF($D148&lt;=0,0,$B$108*($D148/$B$108)^G$111)</f>
        <v/>
      </c>
      <c r="H148" s="83">
        <f>IF($D148&lt;=0,0,$B$108*($D148/$B$108)^H$111)</f>
        <v/>
      </c>
      <c r="I148" s="83" t="n">
        <v>0</v>
      </c>
      <c r="J148" s="83" t="n">
        <v>0</v>
      </c>
      <c r="K148" s="83" t="n">
        <v>0</v>
      </c>
      <c r="L148" s="83" t="n">
        <v>0</v>
      </c>
      <c r="M148" s="83" t="n">
        <v>0</v>
      </c>
      <c r="N148" s="83">
        <f>SUMPRODUCT($E$110:$M$110,$E148:$M148)</f>
        <v/>
      </c>
      <c r="O148" s="72">
        <f>($F$107-($B$107/100)*($D$108+N148))/(1+($B$107/100)*$D$107)-$D148</f>
        <v/>
      </c>
    </row>
    <row r="149">
      <c r="B149" s="83">
        <f>IF(O148&gt;0,D148,B148)</f>
        <v/>
      </c>
      <c r="C149" s="83">
        <f>IF(O148&gt;0,C148,D148)</f>
        <v/>
      </c>
      <c r="D149" s="83">
        <f>(B149+C149)/2</f>
        <v/>
      </c>
      <c r="E149" s="83">
        <f>IF($D149&lt;=0,0,$B$108*($D149/$B$108)^E$111)</f>
        <v/>
      </c>
      <c r="F149" s="83">
        <f>IF($D149&lt;=0,0,$B$108*($D149/$B$108)^F$111)</f>
        <v/>
      </c>
      <c r="G149" s="83">
        <f>IF($D149&lt;=0,0,$B$108*($D149/$B$108)^G$111)</f>
        <v/>
      </c>
      <c r="H149" s="83">
        <f>IF($D149&lt;=0,0,$B$108*($D149/$B$108)^H$111)</f>
        <v/>
      </c>
      <c r="I149" s="83" t="n">
        <v>0</v>
      </c>
      <c r="J149" s="83" t="n">
        <v>0</v>
      </c>
      <c r="K149" s="83" t="n">
        <v>0</v>
      </c>
      <c r="L149" s="83" t="n">
        <v>0</v>
      </c>
      <c r="M149" s="83" t="n">
        <v>0</v>
      </c>
      <c r="N149" s="83">
        <f>SUMPRODUCT($E$110:$M$110,$E149:$M149)</f>
        <v/>
      </c>
      <c r="O149" s="72">
        <f>($F$107-($B$107/100)*($D$108+N149))/(1+($B$107/100)*$D$107)-$D149</f>
        <v/>
      </c>
    </row>
    <row r="150">
      <c r="B150" s="83">
        <f>IF(O149&gt;0,D149,B149)</f>
        <v/>
      </c>
      <c r="C150" s="83">
        <f>IF(O149&gt;0,C149,D149)</f>
        <v/>
      </c>
      <c r="D150" s="83">
        <f>(B150+C150)/2</f>
        <v/>
      </c>
      <c r="E150" s="83">
        <f>IF($D150&lt;=0,0,$B$108*($D150/$B$108)^E$111)</f>
        <v/>
      </c>
      <c r="F150" s="83">
        <f>IF($D150&lt;=0,0,$B$108*($D150/$B$108)^F$111)</f>
        <v/>
      </c>
      <c r="G150" s="83">
        <f>IF($D150&lt;=0,0,$B$108*($D150/$B$108)^G$111)</f>
        <v/>
      </c>
      <c r="H150" s="83">
        <f>IF($D150&lt;=0,0,$B$108*($D150/$B$108)^H$111)</f>
        <v/>
      </c>
      <c r="I150" s="83" t="n">
        <v>0</v>
      </c>
      <c r="J150" s="83" t="n">
        <v>0</v>
      </c>
      <c r="K150" s="83" t="n">
        <v>0</v>
      </c>
      <c r="L150" s="83" t="n">
        <v>0</v>
      </c>
      <c r="M150" s="83" t="n">
        <v>0</v>
      </c>
      <c r="N150" s="83">
        <f>SUMPRODUCT($E$110:$M$110,$E150:$M150)</f>
        <v/>
      </c>
      <c r="O150" s="72">
        <f>($F$107-($B$107/100)*($D$108+N150))/(1+($B$107/100)*$D$107)-$D150</f>
        <v/>
      </c>
    </row>
    <row r="151">
      <c r="B151" s="83">
        <f>IF(O150&gt;0,D150,B150)</f>
        <v/>
      </c>
      <c r="C151" s="83">
        <f>IF(O150&gt;0,C150,D150)</f>
        <v/>
      </c>
      <c r="D151" s="83">
        <f>(B151+C151)/2</f>
        <v/>
      </c>
      <c r="E151" s="83">
        <f>IF($D151&lt;=0,0,$B$108*($D151/$B$108)^E$111)</f>
        <v/>
      </c>
      <c r="F151" s="83">
        <f>IF($D151&lt;=0,0,$B$108*($D151/$B$108)^F$111)</f>
        <v/>
      </c>
      <c r="G151" s="83">
        <f>IF($D151&lt;=0,0,$B$108*($D151/$B$108)^G$111)</f>
        <v/>
      </c>
      <c r="H151" s="83">
        <f>IF($D151&lt;=0,0,$B$108*($D151/$B$108)^H$111)</f>
        <v/>
      </c>
      <c r="I151" s="83" t="n">
        <v>0</v>
      </c>
      <c r="J151" s="83" t="n">
        <v>0</v>
      </c>
      <c r="K151" s="83" t="n">
        <v>0</v>
      </c>
      <c r="L151" s="83" t="n">
        <v>0</v>
      </c>
      <c r="M151" s="83" t="n">
        <v>0</v>
      </c>
      <c r="N151" s="83">
        <f>SUMPRODUCT($E$110:$M$110,$E151:$M151)</f>
        <v/>
      </c>
      <c r="O151" s="72">
        <f>($F$107-($B$107/100)*($D$108+N151))/(1+($B$107/100)*$D$107)-$D151</f>
        <v/>
      </c>
    </row>
    <row r="152">
      <c r="B152" s="83">
        <f>IF(O151&gt;0,D151,B151)</f>
        <v/>
      </c>
      <c r="C152" s="83">
        <f>IF(O151&gt;0,C151,D151)</f>
        <v/>
      </c>
      <c r="D152" s="83">
        <f>(B152+C152)/2</f>
        <v/>
      </c>
      <c r="E152" s="83">
        <f>IF($D152&lt;=0,0,$B$108*($D152/$B$108)^E$111)</f>
        <v/>
      </c>
      <c r="F152" s="83">
        <f>IF($D152&lt;=0,0,$B$108*($D152/$B$108)^F$111)</f>
        <v/>
      </c>
      <c r="G152" s="83">
        <f>IF($D152&lt;=0,0,$B$108*($D152/$B$108)^G$111)</f>
        <v/>
      </c>
      <c r="H152" s="83">
        <f>IF($D152&lt;=0,0,$B$108*($D152/$B$108)^H$111)</f>
        <v/>
      </c>
      <c r="I152" s="83" t="n">
        <v>0</v>
      </c>
      <c r="J152" s="83" t="n">
        <v>0</v>
      </c>
      <c r="K152" s="83" t="n">
        <v>0</v>
      </c>
      <c r="L152" s="83" t="n">
        <v>0</v>
      </c>
      <c r="M152" s="83" t="n">
        <v>0</v>
      </c>
      <c r="N152" s="83">
        <f>SUMPRODUCT($E$110:$M$110,$E152:$M152)</f>
        <v/>
      </c>
      <c r="O152" s="72">
        <f>($F$107-($B$107/100)*($D$108+N152))/(1+($B$107/100)*$D$107)-$D152</f>
        <v/>
      </c>
    </row>
    <row r="153">
      <c r="A153" s="67" t="inlineStr">
        <is>
          <t>DF(20Y) SOLVED</t>
        </is>
      </c>
      <c r="B153" s="81">
        <f>D152</f>
        <v/>
      </c>
      <c r="C153" s="67" t="inlineStr">
        <is>
          <t>resid</t>
        </is>
      </c>
      <c r="D153" s="72">
        <f>O152</f>
        <v/>
      </c>
      <c r="E153" s="67" t="inlineStr">
        <is>
          <t>zero %</t>
        </is>
      </c>
      <c r="F153" s="63">
        <f>-LN(B153)/$H$107*100</f>
        <v/>
      </c>
    </row>
    <row r="156">
      <c r="A156" s="73" t="inlineStr">
        <is>
          <t>PILLAR 25Y  —  Bootstrap row 47  —  anchor row 42  —  4 gap row(s)</t>
        </is>
      </c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74" t="n"/>
      <c r="N156" s="74" t="n"/>
      <c r="O156" s="74" t="n"/>
    </row>
    <row r="157">
      <c r="A157" s="67" t="inlineStr">
        <is>
          <t>S_B (%)</t>
        </is>
      </c>
      <c r="B157" s="75">
        <f>Bootstrap!$E$47</f>
        <v/>
      </c>
      <c r="C157" s="67" t="inlineStr">
        <is>
          <t>tau_B</t>
        </is>
      </c>
      <c r="D157" s="79">
        <f>Bootstrap!$F$47</f>
        <v/>
      </c>
      <c r="E157" s="67" t="inlineStr">
        <is>
          <t>DFspot</t>
        </is>
      </c>
      <c r="F157" s="82">
        <f>Bootstrap!$D$4</f>
        <v/>
      </c>
      <c r="G157" s="67" t="inlineStr">
        <is>
          <t>C_B</t>
        </is>
      </c>
      <c r="H157" s="79">
        <f>Bootstrap!$C$47</f>
        <v/>
      </c>
    </row>
    <row r="158">
      <c r="A158" s="67" t="inlineStr">
        <is>
          <t>DF_A (anchor)</t>
        </is>
      </c>
      <c r="B158" s="82">
        <f>Bootstrap!$H$42</f>
        <v/>
      </c>
      <c r="C158" s="67" t="inlineStr">
        <is>
          <t>A_anchor</t>
        </is>
      </c>
      <c r="D158" s="82">
        <f>SUM(Bootstrap!$I$8:$I$42)</f>
        <v/>
      </c>
      <c r="E158" s="67" t="inlineStr">
        <is>
          <t>C_A</t>
        </is>
      </c>
      <c r="F158" s="79">
        <f>Bootstrap!$C$42</f>
        <v/>
      </c>
    </row>
    <row r="159">
      <c r="A159" s="67" t="inlineStr">
        <is>
          <t>gap row</t>
        </is>
      </c>
      <c r="E159" s="78" t="n">
        <v>43</v>
      </c>
      <c r="F159" s="78" t="n">
        <v>44</v>
      </c>
      <c r="G159" s="78" t="n">
        <v>45</v>
      </c>
      <c r="H159" s="78" t="n">
        <v>46</v>
      </c>
      <c r="I159" s="78" t="inlineStr"/>
      <c r="J159" s="78" t="inlineStr"/>
      <c r="K159" s="78" t="inlineStr"/>
      <c r="L159" s="78" t="inlineStr"/>
      <c r="M159" s="78" t="inlineStr"/>
    </row>
    <row r="160">
      <c r="A160" s="67" t="inlineStr">
        <is>
          <t>tau_g</t>
        </is>
      </c>
      <c r="E160" s="79">
        <f>Bootstrap!$F$43</f>
        <v/>
      </c>
      <c r="F160" s="79">
        <f>Bootstrap!$F$44</f>
        <v/>
      </c>
      <c r="G160" s="79">
        <f>Bootstrap!$F$45</f>
        <v/>
      </c>
      <c r="H160" s="79">
        <f>Bootstrap!$F$46</f>
        <v/>
      </c>
      <c r="I160" s="80" t="n">
        <v>0</v>
      </c>
      <c r="J160" s="80" t="n">
        <v>0</v>
      </c>
      <c r="K160" s="80" t="n">
        <v>0</v>
      </c>
      <c r="L160" s="80" t="n">
        <v>0</v>
      </c>
      <c r="M160" s="80" t="n">
        <v>0</v>
      </c>
    </row>
    <row r="161">
      <c r="A161" s="67" t="inlineStr">
        <is>
          <t>weight w_g</t>
        </is>
      </c>
      <c r="E161" s="80">
        <f>(Bootstrap!$C$43-$F$158)/($H$157-$F$158)</f>
        <v/>
      </c>
      <c r="F161" s="80">
        <f>(Bootstrap!$C$44-$F$158)/($H$157-$F$158)</f>
        <v/>
      </c>
      <c r="G161" s="80">
        <f>(Bootstrap!$C$45-$F$158)/($H$157-$F$158)</f>
        <v/>
      </c>
      <c r="H161" s="80">
        <f>(Bootstrap!$C$46-$F$158)/($H$157-$F$158)</f>
        <v/>
      </c>
      <c r="I161" s="80" t="n">
        <v>0</v>
      </c>
      <c r="J161" s="80" t="n">
        <v>0</v>
      </c>
      <c r="K161" s="80" t="n">
        <v>0</v>
      </c>
      <c r="L161" s="80" t="n">
        <v>0</v>
      </c>
      <c r="M161" s="80" t="n">
        <v>0</v>
      </c>
    </row>
    <row r="162">
      <c r="A162" s="67" t="inlineStr">
        <is>
          <t>bisection</t>
        </is>
      </c>
      <c r="B162" s="62" t="inlineStr">
        <is>
          <t>lo</t>
        </is>
      </c>
      <c r="C162" s="62" t="inlineStr">
        <is>
          <t>hi</t>
        </is>
      </c>
      <c r="D162" s="62" t="inlineStr">
        <is>
          <t>DF_B trial</t>
        </is>
      </c>
      <c r="E162" s="62" t="inlineStr">
        <is>
          <t>DF_g -&gt;</t>
        </is>
      </c>
      <c r="N162" s="62" t="inlineStr">
        <is>
          <t>gap annuity</t>
        </is>
      </c>
      <c r="O162" s="62" t="inlineStr">
        <is>
          <t>f(DF_B)</t>
        </is>
      </c>
    </row>
    <row r="163">
      <c r="B163" s="83" t="n">
        <v>0</v>
      </c>
      <c r="C163" s="83" t="n">
        <v>1.5</v>
      </c>
      <c r="D163" s="83">
        <f>(B163+C163)/2</f>
        <v/>
      </c>
      <c r="E163" s="83">
        <f>IF($D163&lt;=0,0,$B$158*($D163/$B$158)^E$161)</f>
        <v/>
      </c>
      <c r="F163" s="83">
        <f>IF($D163&lt;=0,0,$B$158*($D163/$B$158)^F$161)</f>
        <v/>
      </c>
      <c r="G163" s="83">
        <f>IF($D163&lt;=0,0,$B$158*($D163/$B$158)^G$161)</f>
        <v/>
      </c>
      <c r="H163" s="83">
        <f>IF($D163&lt;=0,0,$B$158*($D163/$B$158)^H$161)</f>
        <v/>
      </c>
      <c r="I163" s="83" t="n">
        <v>0</v>
      </c>
      <c r="J163" s="83" t="n">
        <v>0</v>
      </c>
      <c r="K163" s="83" t="n">
        <v>0</v>
      </c>
      <c r="L163" s="83" t="n">
        <v>0</v>
      </c>
      <c r="M163" s="83" t="n">
        <v>0</v>
      </c>
      <c r="N163" s="83">
        <f>SUMPRODUCT($E$160:$M$160,$E163:$M163)</f>
        <v/>
      </c>
      <c r="O163" s="72">
        <f>($F$157-($B$157/100)*($D$158+N163))/(1+($B$157/100)*$D$157)-$D163</f>
        <v/>
      </c>
    </row>
    <row r="164">
      <c r="B164" s="83">
        <f>IF(O163&gt;0,D163,B163)</f>
        <v/>
      </c>
      <c r="C164" s="83">
        <f>IF(O163&gt;0,C163,D163)</f>
        <v/>
      </c>
      <c r="D164" s="83">
        <f>(B164+C164)/2</f>
        <v/>
      </c>
      <c r="E164" s="83">
        <f>IF($D164&lt;=0,0,$B$158*($D164/$B$158)^E$161)</f>
        <v/>
      </c>
      <c r="F164" s="83">
        <f>IF($D164&lt;=0,0,$B$158*($D164/$B$158)^F$161)</f>
        <v/>
      </c>
      <c r="G164" s="83">
        <f>IF($D164&lt;=0,0,$B$158*($D164/$B$158)^G$161)</f>
        <v/>
      </c>
      <c r="H164" s="83">
        <f>IF($D164&lt;=0,0,$B$158*($D164/$B$158)^H$161)</f>
        <v/>
      </c>
      <c r="I164" s="83" t="n">
        <v>0</v>
      </c>
      <c r="J164" s="83" t="n">
        <v>0</v>
      </c>
      <c r="K164" s="83" t="n">
        <v>0</v>
      </c>
      <c r="L164" s="83" t="n">
        <v>0</v>
      </c>
      <c r="M164" s="83" t="n">
        <v>0</v>
      </c>
      <c r="N164" s="83">
        <f>SUMPRODUCT($E$160:$M$160,$E164:$M164)</f>
        <v/>
      </c>
      <c r="O164" s="72">
        <f>($F$157-($B$157/100)*($D$158+N164))/(1+($B$157/100)*$D$157)-$D164</f>
        <v/>
      </c>
    </row>
    <row r="165">
      <c r="B165" s="83">
        <f>IF(O164&gt;0,D164,B164)</f>
        <v/>
      </c>
      <c r="C165" s="83">
        <f>IF(O164&gt;0,C164,D164)</f>
        <v/>
      </c>
      <c r="D165" s="83">
        <f>(B165+C165)/2</f>
        <v/>
      </c>
      <c r="E165" s="83">
        <f>IF($D165&lt;=0,0,$B$158*($D165/$B$158)^E$161)</f>
        <v/>
      </c>
      <c r="F165" s="83">
        <f>IF($D165&lt;=0,0,$B$158*($D165/$B$158)^F$161)</f>
        <v/>
      </c>
      <c r="G165" s="83">
        <f>IF($D165&lt;=0,0,$B$158*($D165/$B$158)^G$161)</f>
        <v/>
      </c>
      <c r="H165" s="83">
        <f>IF($D165&lt;=0,0,$B$158*($D165/$B$158)^H$161)</f>
        <v/>
      </c>
      <c r="I165" s="83" t="n">
        <v>0</v>
      </c>
      <c r="J165" s="83" t="n">
        <v>0</v>
      </c>
      <c r="K165" s="83" t="n">
        <v>0</v>
      </c>
      <c r="L165" s="83" t="n">
        <v>0</v>
      </c>
      <c r="M165" s="83" t="n">
        <v>0</v>
      </c>
      <c r="N165" s="83">
        <f>SUMPRODUCT($E$160:$M$160,$E165:$M165)</f>
        <v/>
      </c>
      <c r="O165" s="72">
        <f>($F$157-($B$157/100)*($D$158+N165))/(1+($B$157/100)*$D$157)-$D165</f>
        <v/>
      </c>
    </row>
    <row r="166">
      <c r="B166" s="83">
        <f>IF(O165&gt;0,D165,B165)</f>
        <v/>
      </c>
      <c r="C166" s="83">
        <f>IF(O165&gt;0,C165,D165)</f>
        <v/>
      </c>
      <c r="D166" s="83">
        <f>(B166+C166)/2</f>
        <v/>
      </c>
      <c r="E166" s="83">
        <f>IF($D166&lt;=0,0,$B$158*($D166/$B$158)^E$161)</f>
        <v/>
      </c>
      <c r="F166" s="83">
        <f>IF($D166&lt;=0,0,$B$158*($D166/$B$158)^F$161)</f>
        <v/>
      </c>
      <c r="G166" s="83">
        <f>IF($D166&lt;=0,0,$B$158*($D166/$B$158)^G$161)</f>
        <v/>
      </c>
      <c r="H166" s="83">
        <f>IF($D166&lt;=0,0,$B$158*($D166/$B$158)^H$161)</f>
        <v/>
      </c>
      <c r="I166" s="83" t="n">
        <v>0</v>
      </c>
      <c r="J166" s="83" t="n">
        <v>0</v>
      </c>
      <c r="K166" s="83" t="n">
        <v>0</v>
      </c>
      <c r="L166" s="83" t="n">
        <v>0</v>
      </c>
      <c r="M166" s="83" t="n">
        <v>0</v>
      </c>
      <c r="N166" s="83">
        <f>SUMPRODUCT($E$160:$M$160,$E166:$M166)</f>
        <v/>
      </c>
      <c r="O166" s="72">
        <f>($F$157-($B$157/100)*($D$158+N166))/(1+($B$157/100)*$D$157)-$D166</f>
        <v/>
      </c>
    </row>
    <row r="167">
      <c r="B167" s="83">
        <f>IF(O166&gt;0,D166,B166)</f>
        <v/>
      </c>
      <c r="C167" s="83">
        <f>IF(O166&gt;0,C166,D166)</f>
        <v/>
      </c>
      <c r="D167" s="83">
        <f>(B167+C167)/2</f>
        <v/>
      </c>
      <c r="E167" s="83">
        <f>IF($D167&lt;=0,0,$B$158*($D167/$B$158)^E$161)</f>
        <v/>
      </c>
      <c r="F167" s="83">
        <f>IF($D167&lt;=0,0,$B$158*($D167/$B$158)^F$161)</f>
        <v/>
      </c>
      <c r="G167" s="83">
        <f>IF($D167&lt;=0,0,$B$158*($D167/$B$158)^G$161)</f>
        <v/>
      </c>
      <c r="H167" s="83">
        <f>IF($D167&lt;=0,0,$B$158*($D167/$B$158)^H$161)</f>
        <v/>
      </c>
      <c r="I167" s="83" t="n">
        <v>0</v>
      </c>
      <c r="J167" s="83" t="n">
        <v>0</v>
      </c>
      <c r="K167" s="83" t="n">
        <v>0</v>
      </c>
      <c r="L167" s="83" t="n">
        <v>0</v>
      </c>
      <c r="M167" s="83" t="n">
        <v>0</v>
      </c>
      <c r="N167" s="83">
        <f>SUMPRODUCT($E$160:$M$160,$E167:$M167)</f>
        <v/>
      </c>
      <c r="O167" s="72">
        <f>($F$157-($B$157/100)*($D$158+N167))/(1+($B$157/100)*$D$157)-$D167</f>
        <v/>
      </c>
    </row>
    <row r="168">
      <c r="B168" s="83">
        <f>IF(O167&gt;0,D167,B167)</f>
        <v/>
      </c>
      <c r="C168" s="83">
        <f>IF(O167&gt;0,C167,D167)</f>
        <v/>
      </c>
      <c r="D168" s="83">
        <f>(B168+C168)/2</f>
        <v/>
      </c>
      <c r="E168" s="83">
        <f>IF($D168&lt;=0,0,$B$158*($D168/$B$158)^E$161)</f>
        <v/>
      </c>
      <c r="F168" s="83">
        <f>IF($D168&lt;=0,0,$B$158*($D168/$B$158)^F$161)</f>
        <v/>
      </c>
      <c r="G168" s="83">
        <f>IF($D168&lt;=0,0,$B$158*($D168/$B$158)^G$161)</f>
        <v/>
      </c>
      <c r="H168" s="83">
        <f>IF($D168&lt;=0,0,$B$158*($D168/$B$158)^H$161)</f>
        <v/>
      </c>
      <c r="I168" s="83" t="n">
        <v>0</v>
      </c>
      <c r="J168" s="83" t="n">
        <v>0</v>
      </c>
      <c r="K168" s="83" t="n">
        <v>0</v>
      </c>
      <c r="L168" s="83" t="n">
        <v>0</v>
      </c>
      <c r="M168" s="83" t="n">
        <v>0</v>
      </c>
      <c r="N168" s="83">
        <f>SUMPRODUCT($E$160:$M$160,$E168:$M168)</f>
        <v/>
      </c>
      <c r="O168" s="72">
        <f>($F$157-($B$157/100)*($D$158+N168))/(1+($B$157/100)*$D$157)-$D168</f>
        <v/>
      </c>
    </row>
    <row r="169">
      <c r="B169" s="83">
        <f>IF(O168&gt;0,D168,B168)</f>
        <v/>
      </c>
      <c r="C169" s="83">
        <f>IF(O168&gt;0,C168,D168)</f>
        <v/>
      </c>
      <c r="D169" s="83">
        <f>(B169+C169)/2</f>
        <v/>
      </c>
      <c r="E169" s="83">
        <f>IF($D169&lt;=0,0,$B$158*($D169/$B$158)^E$161)</f>
        <v/>
      </c>
      <c r="F169" s="83">
        <f>IF($D169&lt;=0,0,$B$158*($D169/$B$158)^F$161)</f>
        <v/>
      </c>
      <c r="G169" s="83">
        <f>IF($D169&lt;=0,0,$B$158*($D169/$B$158)^G$161)</f>
        <v/>
      </c>
      <c r="H169" s="83">
        <f>IF($D169&lt;=0,0,$B$158*($D169/$B$158)^H$161)</f>
        <v/>
      </c>
      <c r="I169" s="83" t="n">
        <v>0</v>
      </c>
      <c r="J169" s="83" t="n">
        <v>0</v>
      </c>
      <c r="K169" s="83" t="n">
        <v>0</v>
      </c>
      <c r="L169" s="83" t="n">
        <v>0</v>
      </c>
      <c r="M169" s="83" t="n">
        <v>0</v>
      </c>
      <c r="N169" s="83">
        <f>SUMPRODUCT($E$160:$M$160,$E169:$M169)</f>
        <v/>
      </c>
      <c r="O169" s="72">
        <f>($F$157-($B$157/100)*($D$158+N169))/(1+($B$157/100)*$D$157)-$D169</f>
        <v/>
      </c>
    </row>
    <row r="170">
      <c r="B170" s="83">
        <f>IF(O169&gt;0,D169,B169)</f>
        <v/>
      </c>
      <c r="C170" s="83">
        <f>IF(O169&gt;0,C169,D169)</f>
        <v/>
      </c>
      <c r="D170" s="83">
        <f>(B170+C170)/2</f>
        <v/>
      </c>
      <c r="E170" s="83">
        <f>IF($D170&lt;=0,0,$B$158*($D170/$B$158)^E$161)</f>
        <v/>
      </c>
      <c r="F170" s="83">
        <f>IF($D170&lt;=0,0,$B$158*($D170/$B$158)^F$161)</f>
        <v/>
      </c>
      <c r="G170" s="83">
        <f>IF($D170&lt;=0,0,$B$158*($D170/$B$158)^G$161)</f>
        <v/>
      </c>
      <c r="H170" s="83">
        <f>IF($D170&lt;=0,0,$B$158*($D170/$B$158)^H$161)</f>
        <v/>
      </c>
      <c r="I170" s="83" t="n">
        <v>0</v>
      </c>
      <c r="J170" s="83" t="n">
        <v>0</v>
      </c>
      <c r="K170" s="83" t="n">
        <v>0</v>
      </c>
      <c r="L170" s="83" t="n">
        <v>0</v>
      </c>
      <c r="M170" s="83" t="n">
        <v>0</v>
      </c>
      <c r="N170" s="83">
        <f>SUMPRODUCT($E$160:$M$160,$E170:$M170)</f>
        <v/>
      </c>
      <c r="O170" s="72">
        <f>($F$157-($B$157/100)*($D$158+N170))/(1+($B$157/100)*$D$157)-$D170</f>
        <v/>
      </c>
    </row>
    <row r="171">
      <c r="B171" s="83">
        <f>IF(O170&gt;0,D170,B170)</f>
        <v/>
      </c>
      <c r="C171" s="83">
        <f>IF(O170&gt;0,C170,D170)</f>
        <v/>
      </c>
      <c r="D171" s="83">
        <f>(B171+C171)/2</f>
        <v/>
      </c>
      <c r="E171" s="83">
        <f>IF($D171&lt;=0,0,$B$158*($D171/$B$158)^E$161)</f>
        <v/>
      </c>
      <c r="F171" s="83">
        <f>IF($D171&lt;=0,0,$B$158*($D171/$B$158)^F$161)</f>
        <v/>
      </c>
      <c r="G171" s="83">
        <f>IF($D171&lt;=0,0,$B$158*($D171/$B$158)^G$161)</f>
        <v/>
      </c>
      <c r="H171" s="83">
        <f>IF($D171&lt;=0,0,$B$158*($D171/$B$158)^H$161)</f>
        <v/>
      </c>
      <c r="I171" s="83" t="n">
        <v>0</v>
      </c>
      <c r="J171" s="83" t="n">
        <v>0</v>
      </c>
      <c r="K171" s="83" t="n">
        <v>0</v>
      </c>
      <c r="L171" s="83" t="n">
        <v>0</v>
      </c>
      <c r="M171" s="83" t="n">
        <v>0</v>
      </c>
      <c r="N171" s="83">
        <f>SUMPRODUCT($E$160:$M$160,$E171:$M171)</f>
        <v/>
      </c>
      <c r="O171" s="72">
        <f>($F$157-($B$157/100)*($D$158+N171))/(1+($B$157/100)*$D$157)-$D171</f>
        <v/>
      </c>
    </row>
    <row r="172">
      <c r="B172" s="83">
        <f>IF(O171&gt;0,D171,B171)</f>
        <v/>
      </c>
      <c r="C172" s="83">
        <f>IF(O171&gt;0,C171,D171)</f>
        <v/>
      </c>
      <c r="D172" s="83">
        <f>(B172+C172)/2</f>
        <v/>
      </c>
      <c r="E172" s="83">
        <f>IF($D172&lt;=0,0,$B$158*($D172/$B$158)^E$161)</f>
        <v/>
      </c>
      <c r="F172" s="83">
        <f>IF($D172&lt;=0,0,$B$158*($D172/$B$158)^F$161)</f>
        <v/>
      </c>
      <c r="G172" s="83">
        <f>IF($D172&lt;=0,0,$B$158*($D172/$B$158)^G$161)</f>
        <v/>
      </c>
      <c r="H172" s="83">
        <f>IF($D172&lt;=0,0,$B$158*($D172/$B$158)^H$161)</f>
        <v/>
      </c>
      <c r="I172" s="83" t="n">
        <v>0</v>
      </c>
      <c r="J172" s="83" t="n">
        <v>0</v>
      </c>
      <c r="K172" s="83" t="n">
        <v>0</v>
      </c>
      <c r="L172" s="83" t="n">
        <v>0</v>
      </c>
      <c r="M172" s="83" t="n">
        <v>0</v>
      </c>
      <c r="N172" s="83">
        <f>SUMPRODUCT($E$160:$M$160,$E172:$M172)</f>
        <v/>
      </c>
      <c r="O172" s="72">
        <f>($F$157-($B$157/100)*($D$158+N172))/(1+($B$157/100)*$D$157)-$D172</f>
        <v/>
      </c>
    </row>
    <row r="173">
      <c r="B173" s="83">
        <f>IF(O172&gt;0,D172,B172)</f>
        <v/>
      </c>
      <c r="C173" s="83">
        <f>IF(O172&gt;0,C172,D172)</f>
        <v/>
      </c>
      <c r="D173" s="83">
        <f>(B173+C173)/2</f>
        <v/>
      </c>
      <c r="E173" s="83">
        <f>IF($D173&lt;=0,0,$B$158*($D173/$B$158)^E$161)</f>
        <v/>
      </c>
      <c r="F173" s="83">
        <f>IF($D173&lt;=0,0,$B$158*($D173/$B$158)^F$161)</f>
        <v/>
      </c>
      <c r="G173" s="83">
        <f>IF($D173&lt;=0,0,$B$158*($D173/$B$158)^G$161)</f>
        <v/>
      </c>
      <c r="H173" s="83">
        <f>IF($D173&lt;=0,0,$B$158*($D173/$B$158)^H$161)</f>
        <v/>
      </c>
      <c r="I173" s="83" t="n">
        <v>0</v>
      </c>
      <c r="J173" s="83" t="n">
        <v>0</v>
      </c>
      <c r="K173" s="83" t="n">
        <v>0</v>
      </c>
      <c r="L173" s="83" t="n">
        <v>0</v>
      </c>
      <c r="M173" s="83" t="n">
        <v>0</v>
      </c>
      <c r="N173" s="83">
        <f>SUMPRODUCT($E$160:$M$160,$E173:$M173)</f>
        <v/>
      </c>
      <c r="O173" s="72">
        <f>($F$157-($B$157/100)*($D$158+N173))/(1+($B$157/100)*$D$157)-$D173</f>
        <v/>
      </c>
    </row>
    <row r="174">
      <c r="B174" s="83">
        <f>IF(O173&gt;0,D173,B173)</f>
        <v/>
      </c>
      <c r="C174" s="83">
        <f>IF(O173&gt;0,C173,D173)</f>
        <v/>
      </c>
      <c r="D174" s="83">
        <f>(B174+C174)/2</f>
        <v/>
      </c>
      <c r="E174" s="83">
        <f>IF($D174&lt;=0,0,$B$158*($D174/$B$158)^E$161)</f>
        <v/>
      </c>
      <c r="F174" s="83">
        <f>IF($D174&lt;=0,0,$B$158*($D174/$B$158)^F$161)</f>
        <v/>
      </c>
      <c r="G174" s="83">
        <f>IF($D174&lt;=0,0,$B$158*($D174/$B$158)^G$161)</f>
        <v/>
      </c>
      <c r="H174" s="83">
        <f>IF($D174&lt;=0,0,$B$158*($D174/$B$158)^H$161)</f>
        <v/>
      </c>
      <c r="I174" s="83" t="n">
        <v>0</v>
      </c>
      <c r="J174" s="83" t="n">
        <v>0</v>
      </c>
      <c r="K174" s="83" t="n">
        <v>0</v>
      </c>
      <c r="L174" s="83" t="n">
        <v>0</v>
      </c>
      <c r="M174" s="83" t="n">
        <v>0</v>
      </c>
      <c r="N174" s="83">
        <f>SUMPRODUCT($E$160:$M$160,$E174:$M174)</f>
        <v/>
      </c>
      <c r="O174" s="72">
        <f>($F$157-($B$157/100)*($D$158+N174))/(1+($B$157/100)*$D$157)-$D174</f>
        <v/>
      </c>
    </row>
    <row r="175">
      <c r="B175" s="83">
        <f>IF(O174&gt;0,D174,B174)</f>
        <v/>
      </c>
      <c r="C175" s="83">
        <f>IF(O174&gt;0,C174,D174)</f>
        <v/>
      </c>
      <c r="D175" s="83">
        <f>(B175+C175)/2</f>
        <v/>
      </c>
      <c r="E175" s="83">
        <f>IF($D175&lt;=0,0,$B$158*($D175/$B$158)^E$161)</f>
        <v/>
      </c>
      <c r="F175" s="83">
        <f>IF($D175&lt;=0,0,$B$158*($D175/$B$158)^F$161)</f>
        <v/>
      </c>
      <c r="G175" s="83">
        <f>IF($D175&lt;=0,0,$B$158*($D175/$B$158)^G$161)</f>
        <v/>
      </c>
      <c r="H175" s="83">
        <f>IF($D175&lt;=0,0,$B$158*($D175/$B$158)^H$161)</f>
        <v/>
      </c>
      <c r="I175" s="83" t="n">
        <v>0</v>
      </c>
      <c r="J175" s="83" t="n">
        <v>0</v>
      </c>
      <c r="K175" s="83" t="n">
        <v>0</v>
      </c>
      <c r="L175" s="83" t="n">
        <v>0</v>
      </c>
      <c r="M175" s="83" t="n">
        <v>0</v>
      </c>
      <c r="N175" s="83">
        <f>SUMPRODUCT($E$160:$M$160,$E175:$M175)</f>
        <v/>
      </c>
      <c r="O175" s="72">
        <f>($F$157-($B$157/100)*($D$158+N175))/(1+($B$157/100)*$D$157)-$D175</f>
        <v/>
      </c>
    </row>
    <row r="176">
      <c r="B176" s="83">
        <f>IF(O175&gt;0,D175,B175)</f>
        <v/>
      </c>
      <c r="C176" s="83">
        <f>IF(O175&gt;0,C175,D175)</f>
        <v/>
      </c>
      <c r="D176" s="83">
        <f>(B176+C176)/2</f>
        <v/>
      </c>
      <c r="E176" s="83">
        <f>IF($D176&lt;=0,0,$B$158*($D176/$B$158)^E$161)</f>
        <v/>
      </c>
      <c r="F176" s="83">
        <f>IF($D176&lt;=0,0,$B$158*($D176/$B$158)^F$161)</f>
        <v/>
      </c>
      <c r="G176" s="83">
        <f>IF($D176&lt;=0,0,$B$158*($D176/$B$158)^G$161)</f>
        <v/>
      </c>
      <c r="H176" s="83">
        <f>IF($D176&lt;=0,0,$B$158*($D176/$B$158)^H$161)</f>
        <v/>
      </c>
      <c r="I176" s="83" t="n">
        <v>0</v>
      </c>
      <c r="J176" s="83" t="n">
        <v>0</v>
      </c>
      <c r="K176" s="83" t="n">
        <v>0</v>
      </c>
      <c r="L176" s="83" t="n">
        <v>0</v>
      </c>
      <c r="M176" s="83" t="n">
        <v>0</v>
      </c>
      <c r="N176" s="83">
        <f>SUMPRODUCT($E$160:$M$160,$E176:$M176)</f>
        <v/>
      </c>
      <c r="O176" s="72">
        <f>($F$157-($B$157/100)*($D$158+N176))/(1+($B$157/100)*$D$157)-$D176</f>
        <v/>
      </c>
    </row>
    <row r="177">
      <c r="B177" s="83">
        <f>IF(O176&gt;0,D176,B176)</f>
        <v/>
      </c>
      <c r="C177" s="83">
        <f>IF(O176&gt;0,C176,D176)</f>
        <v/>
      </c>
      <c r="D177" s="83">
        <f>(B177+C177)/2</f>
        <v/>
      </c>
      <c r="E177" s="83">
        <f>IF($D177&lt;=0,0,$B$158*($D177/$B$158)^E$161)</f>
        <v/>
      </c>
      <c r="F177" s="83">
        <f>IF($D177&lt;=0,0,$B$158*($D177/$B$158)^F$161)</f>
        <v/>
      </c>
      <c r="G177" s="83">
        <f>IF($D177&lt;=0,0,$B$158*($D177/$B$158)^G$161)</f>
        <v/>
      </c>
      <c r="H177" s="83">
        <f>IF($D177&lt;=0,0,$B$158*($D177/$B$158)^H$161)</f>
        <v/>
      </c>
      <c r="I177" s="83" t="n">
        <v>0</v>
      </c>
      <c r="J177" s="83" t="n">
        <v>0</v>
      </c>
      <c r="K177" s="83" t="n">
        <v>0</v>
      </c>
      <c r="L177" s="83" t="n">
        <v>0</v>
      </c>
      <c r="M177" s="83" t="n">
        <v>0</v>
      </c>
      <c r="N177" s="83">
        <f>SUMPRODUCT($E$160:$M$160,$E177:$M177)</f>
        <v/>
      </c>
      <c r="O177" s="72">
        <f>($F$157-($B$157/100)*($D$158+N177))/(1+($B$157/100)*$D$157)-$D177</f>
        <v/>
      </c>
    </row>
    <row r="178">
      <c r="B178" s="83">
        <f>IF(O177&gt;0,D177,B177)</f>
        <v/>
      </c>
      <c r="C178" s="83">
        <f>IF(O177&gt;0,C177,D177)</f>
        <v/>
      </c>
      <c r="D178" s="83">
        <f>(B178+C178)/2</f>
        <v/>
      </c>
      <c r="E178" s="83">
        <f>IF($D178&lt;=0,0,$B$158*($D178/$B$158)^E$161)</f>
        <v/>
      </c>
      <c r="F178" s="83">
        <f>IF($D178&lt;=0,0,$B$158*($D178/$B$158)^F$161)</f>
        <v/>
      </c>
      <c r="G178" s="83">
        <f>IF($D178&lt;=0,0,$B$158*($D178/$B$158)^G$161)</f>
        <v/>
      </c>
      <c r="H178" s="83">
        <f>IF($D178&lt;=0,0,$B$158*($D178/$B$158)^H$161)</f>
        <v/>
      </c>
      <c r="I178" s="83" t="n">
        <v>0</v>
      </c>
      <c r="J178" s="83" t="n">
        <v>0</v>
      </c>
      <c r="K178" s="83" t="n">
        <v>0</v>
      </c>
      <c r="L178" s="83" t="n">
        <v>0</v>
      </c>
      <c r="M178" s="83" t="n">
        <v>0</v>
      </c>
      <c r="N178" s="83">
        <f>SUMPRODUCT($E$160:$M$160,$E178:$M178)</f>
        <v/>
      </c>
      <c r="O178" s="72">
        <f>($F$157-($B$157/100)*($D$158+N178))/(1+($B$157/100)*$D$157)-$D178</f>
        <v/>
      </c>
    </row>
    <row r="179">
      <c r="B179" s="83">
        <f>IF(O178&gt;0,D178,B178)</f>
        <v/>
      </c>
      <c r="C179" s="83">
        <f>IF(O178&gt;0,C178,D178)</f>
        <v/>
      </c>
      <c r="D179" s="83">
        <f>(B179+C179)/2</f>
        <v/>
      </c>
      <c r="E179" s="83">
        <f>IF($D179&lt;=0,0,$B$158*($D179/$B$158)^E$161)</f>
        <v/>
      </c>
      <c r="F179" s="83">
        <f>IF($D179&lt;=0,0,$B$158*($D179/$B$158)^F$161)</f>
        <v/>
      </c>
      <c r="G179" s="83">
        <f>IF($D179&lt;=0,0,$B$158*($D179/$B$158)^G$161)</f>
        <v/>
      </c>
      <c r="H179" s="83">
        <f>IF($D179&lt;=0,0,$B$158*($D179/$B$158)^H$161)</f>
        <v/>
      </c>
      <c r="I179" s="83" t="n">
        <v>0</v>
      </c>
      <c r="J179" s="83" t="n">
        <v>0</v>
      </c>
      <c r="K179" s="83" t="n">
        <v>0</v>
      </c>
      <c r="L179" s="83" t="n">
        <v>0</v>
      </c>
      <c r="M179" s="83" t="n">
        <v>0</v>
      </c>
      <c r="N179" s="83">
        <f>SUMPRODUCT($E$160:$M$160,$E179:$M179)</f>
        <v/>
      </c>
      <c r="O179" s="72">
        <f>($F$157-($B$157/100)*($D$158+N179))/(1+($B$157/100)*$D$157)-$D179</f>
        <v/>
      </c>
    </row>
    <row r="180">
      <c r="B180" s="83">
        <f>IF(O179&gt;0,D179,B179)</f>
        <v/>
      </c>
      <c r="C180" s="83">
        <f>IF(O179&gt;0,C179,D179)</f>
        <v/>
      </c>
      <c r="D180" s="83">
        <f>(B180+C180)/2</f>
        <v/>
      </c>
      <c r="E180" s="83">
        <f>IF($D180&lt;=0,0,$B$158*($D180/$B$158)^E$161)</f>
        <v/>
      </c>
      <c r="F180" s="83">
        <f>IF($D180&lt;=0,0,$B$158*($D180/$B$158)^F$161)</f>
        <v/>
      </c>
      <c r="G180" s="83">
        <f>IF($D180&lt;=0,0,$B$158*($D180/$B$158)^G$161)</f>
        <v/>
      </c>
      <c r="H180" s="83">
        <f>IF($D180&lt;=0,0,$B$158*($D180/$B$158)^H$161)</f>
        <v/>
      </c>
      <c r="I180" s="83" t="n">
        <v>0</v>
      </c>
      <c r="J180" s="83" t="n">
        <v>0</v>
      </c>
      <c r="K180" s="83" t="n">
        <v>0</v>
      </c>
      <c r="L180" s="83" t="n">
        <v>0</v>
      </c>
      <c r="M180" s="83" t="n">
        <v>0</v>
      </c>
      <c r="N180" s="83">
        <f>SUMPRODUCT($E$160:$M$160,$E180:$M180)</f>
        <v/>
      </c>
      <c r="O180" s="72">
        <f>($F$157-($B$157/100)*($D$158+N180))/(1+($B$157/100)*$D$157)-$D180</f>
        <v/>
      </c>
    </row>
    <row r="181">
      <c r="B181" s="83">
        <f>IF(O180&gt;0,D180,B180)</f>
        <v/>
      </c>
      <c r="C181" s="83">
        <f>IF(O180&gt;0,C180,D180)</f>
        <v/>
      </c>
      <c r="D181" s="83">
        <f>(B181+C181)/2</f>
        <v/>
      </c>
      <c r="E181" s="83">
        <f>IF($D181&lt;=0,0,$B$158*($D181/$B$158)^E$161)</f>
        <v/>
      </c>
      <c r="F181" s="83">
        <f>IF($D181&lt;=0,0,$B$158*($D181/$B$158)^F$161)</f>
        <v/>
      </c>
      <c r="G181" s="83">
        <f>IF($D181&lt;=0,0,$B$158*($D181/$B$158)^G$161)</f>
        <v/>
      </c>
      <c r="H181" s="83">
        <f>IF($D181&lt;=0,0,$B$158*($D181/$B$158)^H$161)</f>
        <v/>
      </c>
      <c r="I181" s="83" t="n">
        <v>0</v>
      </c>
      <c r="J181" s="83" t="n">
        <v>0</v>
      </c>
      <c r="K181" s="83" t="n">
        <v>0</v>
      </c>
      <c r="L181" s="83" t="n">
        <v>0</v>
      </c>
      <c r="M181" s="83" t="n">
        <v>0</v>
      </c>
      <c r="N181" s="83">
        <f>SUMPRODUCT($E$160:$M$160,$E181:$M181)</f>
        <v/>
      </c>
      <c r="O181" s="72">
        <f>($F$157-($B$157/100)*($D$158+N181))/(1+($B$157/100)*$D$157)-$D181</f>
        <v/>
      </c>
    </row>
    <row r="182">
      <c r="B182" s="83">
        <f>IF(O181&gt;0,D181,B181)</f>
        <v/>
      </c>
      <c r="C182" s="83">
        <f>IF(O181&gt;0,C181,D181)</f>
        <v/>
      </c>
      <c r="D182" s="83">
        <f>(B182+C182)/2</f>
        <v/>
      </c>
      <c r="E182" s="83">
        <f>IF($D182&lt;=0,0,$B$158*($D182/$B$158)^E$161)</f>
        <v/>
      </c>
      <c r="F182" s="83">
        <f>IF($D182&lt;=0,0,$B$158*($D182/$B$158)^F$161)</f>
        <v/>
      </c>
      <c r="G182" s="83">
        <f>IF($D182&lt;=0,0,$B$158*($D182/$B$158)^G$161)</f>
        <v/>
      </c>
      <c r="H182" s="83">
        <f>IF($D182&lt;=0,0,$B$158*($D182/$B$158)^H$161)</f>
        <v/>
      </c>
      <c r="I182" s="83" t="n">
        <v>0</v>
      </c>
      <c r="J182" s="83" t="n">
        <v>0</v>
      </c>
      <c r="K182" s="83" t="n">
        <v>0</v>
      </c>
      <c r="L182" s="83" t="n">
        <v>0</v>
      </c>
      <c r="M182" s="83" t="n">
        <v>0</v>
      </c>
      <c r="N182" s="83">
        <f>SUMPRODUCT($E$160:$M$160,$E182:$M182)</f>
        <v/>
      </c>
      <c r="O182" s="72">
        <f>($F$157-($B$157/100)*($D$158+N182))/(1+($B$157/100)*$D$157)-$D182</f>
        <v/>
      </c>
    </row>
    <row r="183">
      <c r="B183" s="83">
        <f>IF(O182&gt;0,D182,B182)</f>
        <v/>
      </c>
      <c r="C183" s="83">
        <f>IF(O182&gt;0,C182,D182)</f>
        <v/>
      </c>
      <c r="D183" s="83">
        <f>(B183+C183)/2</f>
        <v/>
      </c>
      <c r="E183" s="83">
        <f>IF($D183&lt;=0,0,$B$158*($D183/$B$158)^E$161)</f>
        <v/>
      </c>
      <c r="F183" s="83">
        <f>IF($D183&lt;=0,0,$B$158*($D183/$B$158)^F$161)</f>
        <v/>
      </c>
      <c r="G183" s="83">
        <f>IF($D183&lt;=0,0,$B$158*($D183/$B$158)^G$161)</f>
        <v/>
      </c>
      <c r="H183" s="83">
        <f>IF($D183&lt;=0,0,$B$158*($D183/$B$158)^H$161)</f>
        <v/>
      </c>
      <c r="I183" s="83" t="n">
        <v>0</v>
      </c>
      <c r="J183" s="83" t="n">
        <v>0</v>
      </c>
      <c r="K183" s="83" t="n">
        <v>0</v>
      </c>
      <c r="L183" s="83" t="n">
        <v>0</v>
      </c>
      <c r="M183" s="83" t="n">
        <v>0</v>
      </c>
      <c r="N183" s="83">
        <f>SUMPRODUCT($E$160:$M$160,$E183:$M183)</f>
        <v/>
      </c>
      <c r="O183" s="72">
        <f>($F$157-($B$157/100)*($D$158+N183))/(1+($B$157/100)*$D$157)-$D183</f>
        <v/>
      </c>
    </row>
    <row r="184">
      <c r="B184" s="83">
        <f>IF(O183&gt;0,D183,B183)</f>
        <v/>
      </c>
      <c r="C184" s="83">
        <f>IF(O183&gt;0,C183,D183)</f>
        <v/>
      </c>
      <c r="D184" s="83">
        <f>(B184+C184)/2</f>
        <v/>
      </c>
      <c r="E184" s="83">
        <f>IF($D184&lt;=0,0,$B$158*($D184/$B$158)^E$161)</f>
        <v/>
      </c>
      <c r="F184" s="83">
        <f>IF($D184&lt;=0,0,$B$158*($D184/$B$158)^F$161)</f>
        <v/>
      </c>
      <c r="G184" s="83">
        <f>IF($D184&lt;=0,0,$B$158*($D184/$B$158)^G$161)</f>
        <v/>
      </c>
      <c r="H184" s="83">
        <f>IF($D184&lt;=0,0,$B$158*($D184/$B$158)^H$161)</f>
        <v/>
      </c>
      <c r="I184" s="83" t="n">
        <v>0</v>
      </c>
      <c r="J184" s="83" t="n">
        <v>0</v>
      </c>
      <c r="K184" s="83" t="n">
        <v>0</v>
      </c>
      <c r="L184" s="83" t="n">
        <v>0</v>
      </c>
      <c r="M184" s="83" t="n">
        <v>0</v>
      </c>
      <c r="N184" s="83">
        <f>SUMPRODUCT($E$160:$M$160,$E184:$M184)</f>
        <v/>
      </c>
      <c r="O184" s="72">
        <f>($F$157-($B$157/100)*($D$158+N184))/(1+($B$157/100)*$D$157)-$D184</f>
        <v/>
      </c>
    </row>
    <row r="185">
      <c r="B185" s="83">
        <f>IF(O184&gt;0,D184,B184)</f>
        <v/>
      </c>
      <c r="C185" s="83">
        <f>IF(O184&gt;0,C184,D184)</f>
        <v/>
      </c>
      <c r="D185" s="83">
        <f>(B185+C185)/2</f>
        <v/>
      </c>
      <c r="E185" s="83">
        <f>IF($D185&lt;=0,0,$B$158*($D185/$B$158)^E$161)</f>
        <v/>
      </c>
      <c r="F185" s="83">
        <f>IF($D185&lt;=0,0,$B$158*($D185/$B$158)^F$161)</f>
        <v/>
      </c>
      <c r="G185" s="83">
        <f>IF($D185&lt;=0,0,$B$158*($D185/$B$158)^G$161)</f>
        <v/>
      </c>
      <c r="H185" s="83">
        <f>IF($D185&lt;=0,0,$B$158*($D185/$B$158)^H$161)</f>
        <v/>
      </c>
      <c r="I185" s="83" t="n">
        <v>0</v>
      </c>
      <c r="J185" s="83" t="n">
        <v>0</v>
      </c>
      <c r="K185" s="83" t="n">
        <v>0</v>
      </c>
      <c r="L185" s="83" t="n">
        <v>0</v>
      </c>
      <c r="M185" s="83" t="n">
        <v>0</v>
      </c>
      <c r="N185" s="83">
        <f>SUMPRODUCT($E$160:$M$160,$E185:$M185)</f>
        <v/>
      </c>
      <c r="O185" s="72">
        <f>($F$157-($B$157/100)*($D$158+N185))/(1+($B$157/100)*$D$157)-$D185</f>
        <v/>
      </c>
    </row>
    <row r="186">
      <c r="B186" s="83">
        <f>IF(O185&gt;0,D185,B185)</f>
        <v/>
      </c>
      <c r="C186" s="83">
        <f>IF(O185&gt;0,C185,D185)</f>
        <v/>
      </c>
      <c r="D186" s="83">
        <f>(B186+C186)/2</f>
        <v/>
      </c>
      <c r="E186" s="83">
        <f>IF($D186&lt;=0,0,$B$158*($D186/$B$158)^E$161)</f>
        <v/>
      </c>
      <c r="F186" s="83">
        <f>IF($D186&lt;=0,0,$B$158*($D186/$B$158)^F$161)</f>
        <v/>
      </c>
      <c r="G186" s="83">
        <f>IF($D186&lt;=0,0,$B$158*($D186/$B$158)^G$161)</f>
        <v/>
      </c>
      <c r="H186" s="83">
        <f>IF($D186&lt;=0,0,$B$158*($D186/$B$158)^H$161)</f>
        <v/>
      </c>
      <c r="I186" s="83" t="n">
        <v>0</v>
      </c>
      <c r="J186" s="83" t="n">
        <v>0</v>
      </c>
      <c r="K186" s="83" t="n">
        <v>0</v>
      </c>
      <c r="L186" s="83" t="n">
        <v>0</v>
      </c>
      <c r="M186" s="83" t="n">
        <v>0</v>
      </c>
      <c r="N186" s="83">
        <f>SUMPRODUCT($E$160:$M$160,$E186:$M186)</f>
        <v/>
      </c>
      <c r="O186" s="72">
        <f>($F$157-($B$157/100)*($D$158+N186))/(1+($B$157/100)*$D$157)-$D186</f>
        <v/>
      </c>
    </row>
    <row r="187">
      <c r="B187" s="83">
        <f>IF(O186&gt;0,D186,B186)</f>
        <v/>
      </c>
      <c r="C187" s="83">
        <f>IF(O186&gt;0,C186,D186)</f>
        <v/>
      </c>
      <c r="D187" s="83">
        <f>(B187+C187)/2</f>
        <v/>
      </c>
      <c r="E187" s="83">
        <f>IF($D187&lt;=0,0,$B$158*($D187/$B$158)^E$161)</f>
        <v/>
      </c>
      <c r="F187" s="83">
        <f>IF($D187&lt;=0,0,$B$158*($D187/$B$158)^F$161)</f>
        <v/>
      </c>
      <c r="G187" s="83">
        <f>IF($D187&lt;=0,0,$B$158*($D187/$B$158)^G$161)</f>
        <v/>
      </c>
      <c r="H187" s="83">
        <f>IF($D187&lt;=0,0,$B$158*($D187/$B$158)^H$161)</f>
        <v/>
      </c>
      <c r="I187" s="83" t="n">
        <v>0</v>
      </c>
      <c r="J187" s="83" t="n">
        <v>0</v>
      </c>
      <c r="K187" s="83" t="n">
        <v>0</v>
      </c>
      <c r="L187" s="83" t="n">
        <v>0</v>
      </c>
      <c r="M187" s="83" t="n">
        <v>0</v>
      </c>
      <c r="N187" s="83">
        <f>SUMPRODUCT($E$160:$M$160,$E187:$M187)</f>
        <v/>
      </c>
      <c r="O187" s="72">
        <f>($F$157-($B$157/100)*($D$158+N187))/(1+($B$157/100)*$D$157)-$D187</f>
        <v/>
      </c>
    </row>
    <row r="188">
      <c r="B188" s="83">
        <f>IF(O187&gt;0,D187,B187)</f>
        <v/>
      </c>
      <c r="C188" s="83">
        <f>IF(O187&gt;0,C187,D187)</f>
        <v/>
      </c>
      <c r="D188" s="83">
        <f>(B188+C188)/2</f>
        <v/>
      </c>
      <c r="E188" s="83">
        <f>IF($D188&lt;=0,0,$B$158*($D188/$B$158)^E$161)</f>
        <v/>
      </c>
      <c r="F188" s="83">
        <f>IF($D188&lt;=0,0,$B$158*($D188/$B$158)^F$161)</f>
        <v/>
      </c>
      <c r="G188" s="83">
        <f>IF($D188&lt;=0,0,$B$158*($D188/$B$158)^G$161)</f>
        <v/>
      </c>
      <c r="H188" s="83">
        <f>IF($D188&lt;=0,0,$B$158*($D188/$B$158)^H$161)</f>
        <v/>
      </c>
      <c r="I188" s="83" t="n">
        <v>0</v>
      </c>
      <c r="J188" s="83" t="n">
        <v>0</v>
      </c>
      <c r="K188" s="83" t="n">
        <v>0</v>
      </c>
      <c r="L188" s="83" t="n">
        <v>0</v>
      </c>
      <c r="M188" s="83" t="n">
        <v>0</v>
      </c>
      <c r="N188" s="83">
        <f>SUMPRODUCT($E$160:$M$160,$E188:$M188)</f>
        <v/>
      </c>
      <c r="O188" s="72">
        <f>($F$157-($B$157/100)*($D$158+N188))/(1+($B$157/100)*$D$157)-$D188</f>
        <v/>
      </c>
    </row>
    <row r="189">
      <c r="B189" s="83">
        <f>IF(O188&gt;0,D188,B188)</f>
        <v/>
      </c>
      <c r="C189" s="83">
        <f>IF(O188&gt;0,C188,D188)</f>
        <v/>
      </c>
      <c r="D189" s="83">
        <f>(B189+C189)/2</f>
        <v/>
      </c>
      <c r="E189" s="83">
        <f>IF($D189&lt;=0,0,$B$158*($D189/$B$158)^E$161)</f>
        <v/>
      </c>
      <c r="F189" s="83">
        <f>IF($D189&lt;=0,0,$B$158*($D189/$B$158)^F$161)</f>
        <v/>
      </c>
      <c r="G189" s="83">
        <f>IF($D189&lt;=0,0,$B$158*($D189/$B$158)^G$161)</f>
        <v/>
      </c>
      <c r="H189" s="83">
        <f>IF($D189&lt;=0,0,$B$158*($D189/$B$158)^H$161)</f>
        <v/>
      </c>
      <c r="I189" s="83" t="n">
        <v>0</v>
      </c>
      <c r="J189" s="83" t="n">
        <v>0</v>
      </c>
      <c r="K189" s="83" t="n">
        <v>0</v>
      </c>
      <c r="L189" s="83" t="n">
        <v>0</v>
      </c>
      <c r="M189" s="83" t="n">
        <v>0</v>
      </c>
      <c r="N189" s="83">
        <f>SUMPRODUCT($E$160:$M$160,$E189:$M189)</f>
        <v/>
      </c>
      <c r="O189" s="72">
        <f>($F$157-($B$157/100)*($D$158+N189))/(1+($B$157/100)*$D$157)-$D189</f>
        <v/>
      </c>
    </row>
    <row r="190">
      <c r="B190" s="83">
        <f>IF(O189&gt;0,D189,B189)</f>
        <v/>
      </c>
      <c r="C190" s="83">
        <f>IF(O189&gt;0,C189,D189)</f>
        <v/>
      </c>
      <c r="D190" s="83">
        <f>(B190+C190)/2</f>
        <v/>
      </c>
      <c r="E190" s="83">
        <f>IF($D190&lt;=0,0,$B$158*($D190/$B$158)^E$161)</f>
        <v/>
      </c>
      <c r="F190" s="83">
        <f>IF($D190&lt;=0,0,$B$158*($D190/$B$158)^F$161)</f>
        <v/>
      </c>
      <c r="G190" s="83">
        <f>IF($D190&lt;=0,0,$B$158*($D190/$B$158)^G$161)</f>
        <v/>
      </c>
      <c r="H190" s="83">
        <f>IF($D190&lt;=0,0,$B$158*($D190/$B$158)^H$161)</f>
        <v/>
      </c>
      <c r="I190" s="83" t="n">
        <v>0</v>
      </c>
      <c r="J190" s="83" t="n">
        <v>0</v>
      </c>
      <c r="K190" s="83" t="n">
        <v>0</v>
      </c>
      <c r="L190" s="83" t="n">
        <v>0</v>
      </c>
      <c r="M190" s="83" t="n">
        <v>0</v>
      </c>
      <c r="N190" s="83">
        <f>SUMPRODUCT($E$160:$M$160,$E190:$M190)</f>
        <v/>
      </c>
      <c r="O190" s="72">
        <f>($F$157-($B$157/100)*($D$158+N190))/(1+($B$157/100)*$D$157)-$D190</f>
        <v/>
      </c>
    </row>
    <row r="191">
      <c r="B191" s="83">
        <f>IF(O190&gt;0,D190,B190)</f>
        <v/>
      </c>
      <c r="C191" s="83">
        <f>IF(O190&gt;0,C190,D190)</f>
        <v/>
      </c>
      <c r="D191" s="83">
        <f>(B191+C191)/2</f>
        <v/>
      </c>
      <c r="E191" s="83">
        <f>IF($D191&lt;=0,0,$B$158*($D191/$B$158)^E$161)</f>
        <v/>
      </c>
      <c r="F191" s="83">
        <f>IF($D191&lt;=0,0,$B$158*($D191/$B$158)^F$161)</f>
        <v/>
      </c>
      <c r="G191" s="83">
        <f>IF($D191&lt;=0,0,$B$158*($D191/$B$158)^G$161)</f>
        <v/>
      </c>
      <c r="H191" s="83">
        <f>IF($D191&lt;=0,0,$B$158*($D191/$B$158)^H$161)</f>
        <v/>
      </c>
      <c r="I191" s="83" t="n">
        <v>0</v>
      </c>
      <c r="J191" s="83" t="n">
        <v>0</v>
      </c>
      <c r="K191" s="83" t="n">
        <v>0</v>
      </c>
      <c r="L191" s="83" t="n">
        <v>0</v>
      </c>
      <c r="M191" s="83" t="n">
        <v>0</v>
      </c>
      <c r="N191" s="83">
        <f>SUMPRODUCT($E$160:$M$160,$E191:$M191)</f>
        <v/>
      </c>
      <c r="O191" s="72">
        <f>($F$157-($B$157/100)*($D$158+N191))/(1+($B$157/100)*$D$157)-$D191</f>
        <v/>
      </c>
    </row>
    <row r="192">
      <c r="B192" s="83">
        <f>IF(O191&gt;0,D191,B191)</f>
        <v/>
      </c>
      <c r="C192" s="83">
        <f>IF(O191&gt;0,C191,D191)</f>
        <v/>
      </c>
      <c r="D192" s="83">
        <f>(B192+C192)/2</f>
        <v/>
      </c>
      <c r="E192" s="83">
        <f>IF($D192&lt;=0,0,$B$158*($D192/$B$158)^E$161)</f>
        <v/>
      </c>
      <c r="F192" s="83">
        <f>IF($D192&lt;=0,0,$B$158*($D192/$B$158)^F$161)</f>
        <v/>
      </c>
      <c r="G192" s="83">
        <f>IF($D192&lt;=0,0,$B$158*($D192/$B$158)^G$161)</f>
        <v/>
      </c>
      <c r="H192" s="83">
        <f>IF($D192&lt;=0,0,$B$158*($D192/$B$158)^H$161)</f>
        <v/>
      </c>
      <c r="I192" s="83" t="n">
        <v>0</v>
      </c>
      <c r="J192" s="83" t="n">
        <v>0</v>
      </c>
      <c r="K192" s="83" t="n">
        <v>0</v>
      </c>
      <c r="L192" s="83" t="n">
        <v>0</v>
      </c>
      <c r="M192" s="83" t="n">
        <v>0</v>
      </c>
      <c r="N192" s="83">
        <f>SUMPRODUCT($E$160:$M$160,$E192:$M192)</f>
        <v/>
      </c>
      <c r="O192" s="72">
        <f>($F$157-($B$157/100)*($D$158+N192))/(1+($B$157/100)*$D$157)-$D192</f>
        <v/>
      </c>
    </row>
    <row r="193">
      <c r="B193" s="83">
        <f>IF(O192&gt;0,D192,B192)</f>
        <v/>
      </c>
      <c r="C193" s="83">
        <f>IF(O192&gt;0,C192,D192)</f>
        <v/>
      </c>
      <c r="D193" s="83">
        <f>(B193+C193)/2</f>
        <v/>
      </c>
      <c r="E193" s="83">
        <f>IF($D193&lt;=0,0,$B$158*($D193/$B$158)^E$161)</f>
        <v/>
      </c>
      <c r="F193" s="83">
        <f>IF($D193&lt;=0,0,$B$158*($D193/$B$158)^F$161)</f>
        <v/>
      </c>
      <c r="G193" s="83">
        <f>IF($D193&lt;=0,0,$B$158*($D193/$B$158)^G$161)</f>
        <v/>
      </c>
      <c r="H193" s="83">
        <f>IF($D193&lt;=0,0,$B$158*($D193/$B$158)^H$161)</f>
        <v/>
      </c>
      <c r="I193" s="83" t="n">
        <v>0</v>
      </c>
      <c r="J193" s="83" t="n">
        <v>0</v>
      </c>
      <c r="K193" s="83" t="n">
        <v>0</v>
      </c>
      <c r="L193" s="83" t="n">
        <v>0</v>
      </c>
      <c r="M193" s="83" t="n">
        <v>0</v>
      </c>
      <c r="N193" s="83">
        <f>SUMPRODUCT($E$160:$M$160,$E193:$M193)</f>
        <v/>
      </c>
      <c r="O193" s="72">
        <f>($F$157-($B$157/100)*($D$158+N193))/(1+($B$157/100)*$D$157)-$D193</f>
        <v/>
      </c>
    </row>
    <row r="194">
      <c r="B194" s="83">
        <f>IF(O193&gt;0,D193,B193)</f>
        <v/>
      </c>
      <c r="C194" s="83">
        <f>IF(O193&gt;0,C193,D193)</f>
        <v/>
      </c>
      <c r="D194" s="83">
        <f>(B194+C194)/2</f>
        <v/>
      </c>
      <c r="E194" s="83">
        <f>IF($D194&lt;=0,0,$B$158*($D194/$B$158)^E$161)</f>
        <v/>
      </c>
      <c r="F194" s="83">
        <f>IF($D194&lt;=0,0,$B$158*($D194/$B$158)^F$161)</f>
        <v/>
      </c>
      <c r="G194" s="83">
        <f>IF($D194&lt;=0,0,$B$158*($D194/$B$158)^G$161)</f>
        <v/>
      </c>
      <c r="H194" s="83">
        <f>IF($D194&lt;=0,0,$B$158*($D194/$B$158)^H$161)</f>
        <v/>
      </c>
      <c r="I194" s="83" t="n">
        <v>0</v>
      </c>
      <c r="J194" s="83" t="n">
        <v>0</v>
      </c>
      <c r="K194" s="83" t="n">
        <v>0</v>
      </c>
      <c r="L194" s="83" t="n">
        <v>0</v>
      </c>
      <c r="M194" s="83" t="n">
        <v>0</v>
      </c>
      <c r="N194" s="83">
        <f>SUMPRODUCT($E$160:$M$160,$E194:$M194)</f>
        <v/>
      </c>
      <c r="O194" s="72">
        <f>($F$157-($B$157/100)*($D$158+N194))/(1+($B$157/100)*$D$157)-$D194</f>
        <v/>
      </c>
    </row>
    <row r="195">
      <c r="B195" s="83">
        <f>IF(O194&gt;0,D194,B194)</f>
        <v/>
      </c>
      <c r="C195" s="83">
        <f>IF(O194&gt;0,C194,D194)</f>
        <v/>
      </c>
      <c r="D195" s="83">
        <f>(B195+C195)/2</f>
        <v/>
      </c>
      <c r="E195" s="83">
        <f>IF($D195&lt;=0,0,$B$158*($D195/$B$158)^E$161)</f>
        <v/>
      </c>
      <c r="F195" s="83">
        <f>IF($D195&lt;=0,0,$B$158*($D195/$B$158)^F$161)</f>
        <v/>
      </c>
      <c r="G195" s="83">
        <f>IF($D195&lt;=0,0,$B$158*($D195/$B$158)^G$161)</f>
        <v/>
      </c>
      <c r="H195" s="83">
        <f>IF($D195&lt;=0,0,$B$158*($D195/$B$158)^H$161)</f>
        <v/>
      </c>
      <c r="I195" s="83" t="n">
        <v>0</v>
      </c>
      <c r="J195" s="83" t="n">
        <v>0</v>
      </c>
      <c r="K195" s="83" t="n">
        <v>0</v>
      </c>
      <c r="L195" s="83" t="n">
        <v>0</v>
      </c>
      <c r="M195" s="83" t="n">
        <v>0</v>
      </c>
      <c r="N195" s="83">
        <f>SUMPRODUCT($E$160:$M$160,$E195:$M195)</f>
        <v/>
      </c>
      <c r="O195" s="72">
        <f>($F$157-($B$157/100)*($D$158+N195))/(1+($B$157/100)*$D$157)-$D195</f>
        <v/>
      </c>
    </row>
    <row r="196">
      <c r="B196" s="83">
        <f>IF(O195&gt;0,D195,B195)</f>
        <v/>
      </c>
      <c r="C196" s="83">
        <f>IF(O195&gt;0,C195,D195)</f>
        <v/>
      </c>
      <c r="D196" s="83">
        <f>(B196+C196)/2</f>
        <v/>
      </c>
      <c r="E196" s="83">
        <f>IF($D196&lt;=0,0,$B$158*($D196/$B$158)^E$161)</f>
        <v/>
      </c>
      <c r="F196" s="83">
        <f>IF($D196&lt;=0,0,$B$158*($D196/$B$158)^F$161)</f>
        <v/>
      </c>
      <c r="G196" s="83">
        <f>IF($D196&lt;=0,0,$B$158*($D196/$B$158)^G$161)</f>
        <v/>
      </c>
      <c r="H196" s="83">
        <f>IF($D196&lt;=0,0,$B$158*($D196/$B$158)^H$161)</f>
        <v/>
      </c>
      <c r="I196" s="83" t="n">
        <v>0</v>
      </c>
      <c r="J196" s="83" t="n">
        <v>0</v>
      </c>
      <c r="K196" s="83" t="n">
        <v>0</v>
      </c>
      <c r="L196" s="83" t="n">
        <v>0</v>
      </c>
      <c r="M196" s="83" t="n">
        <v>0</v>
      </c>
      <c r="N196" s="83">
        <f>SUMPRODUCT($E$160:$M$160,$E196:$M196)</f>
        <v/>
      </c>
      <c r="O196" s="72">
        <f>($F$157-($B$157/100)*($D$158+N196))/(1+($B$157/100)*$D$157)-$D196</f>
        <v/>
      </c>
    </row>
    <row r="197">
      <c r="B197" s="83">
        <f>IF(O196&gt;0,D196,B196)</f>
        <v/>
      </c>
      <c r="C197" s="83">
        <f>IF(O196&gt;0,C196,D196)</f>
        <v/>
      </c>
      <c r="D197" s="83">
        <f>(B197+C197)/2</f>
        <v/>
      </c>
      <c r="E197" s="83">
        <f>IF($D197&lt;=0,0,$B$158*($D197/$B$158)^E$161)</f>
        <v/>
      </c>
      <c r="F197" s="83">
        <f>IF($D197&lt;=0,0,$B$158*($D197/$B$158)^F$161)</f>
        <v/>
      </c>
      <c r="G197" s="83">
        <f>IF($D197&lt;=0,0,$B$158*($D197/$B$158)^G$161)</f>
        <v/>
      </c>
      <c r="H197" s="83">
        <f>IF($D197&lt;=0,0,$B$158*($D197/$B$158)^H$161)</f>
        <v/>
      </c>
      <c r="I197" s="83" t="n">
        <v>0</v>
      </c>
      <c r="J197" s="83" t="n">
        <v>0</v>
      </c>
      <c r="K197" s="83" t="n">
        <v>0</v>
      </c>
      <c r="L197" s="83" t="n">
        <v>0</v>
      </c>
      <c r="M197" s="83" t="n">
        <v>0</v>
      </c>
      <c r="N197" s="83">
        <f>SUMPRODUCT($E$160:$M$160,$E197:$M197)</f>
        <v/>
      </c>
      <c r="O197" s="72">
        <f>($F$157-($B$157/100)*($D$158+N197))/(1+($B$157/100)*$D$157)-$D197</f>
        <v/>
      </c>
    </row>
    <row r="198">
      <c r="B198" s="83">
        <f>IF(O197&gt;0,D197,B197)</f>
        <v/>
      </c>
      <c r="C198" s="83">
        <f>IF(O197&gt;0,C197,D197)</f>
        <v/>
      </c>
      <c r="D198" s="83">
        <f>(B198+C198)/2</f>
        <v/>
      </c>
      <c r="E198" s="83">
        <f>IF($D198&lt;=0,0,$B$158*($D198/$B$158)^E$161)</f>
        <v/>
      </c>
      <c r="F198" s="83">
        <f>IF($D198&lt;=0,0,$B$158*($D198/$B$158)^F$161)</f>
        <v/>
      </c>
      <c r="G198" s="83">
        <f>IF($D198&lt;=0,0,$B$158*($D198/$B$158)^G$161)</f>
        <v/>
      </c>
      <c r="H198" s="83">
        <f>IF($D198&lt;=0,0,$B$158*($D198/$B$158)^H$161)</f>
        <v/>
      </c>
      <c r="I198" s="83" t="n">
        <v>0</v>
      </c>
      <c r="J198" s="83" t="n">
        <v>0</v>
      </c>
      <c r="K198" s="83" t="n">
        <v>0</v>
      </c>
      <c r="L198" s="83" t="n">
        <v>0</v>
      </c>
      <c r="M198" s="83" t="n">
        <v>0</v>
      </c>
      <c r="N198" s="83">
        <f>SUMPRODUCT($E$160:$M$160,$E198:$M198)</f>
        <v/>
      </c>
      <c r="O198" s="72">
        <f>($F$157-($B$157/100)*($D$158+N198))/(1+($B$157/100)*$D$157)-$D198</f>
        <v/>
      </c>
    </row>
    <row r="199">
      <c r="B199" s="83">
        <f>IF(O198&gt;0,D198,B198)</f>
        <v/>
      </c>
      <c r="C199" s="83">
        <f>IF(O198&gt;0,C198,D198)</f>
        <v/>
      </c>
      <c r="D199" s="83">
        <f>(B199+C199)/2</f>
        <v/>
      </c>
      <c r="E199" s="83">
        <f>IF($D199&lt;=0,0,$B$158*($D199/$B$158)^E$161)</f>
        <v/>
      </c>
      <c r="F199" s="83">
        <f>IF($D199&lt;=0,0,$B$158*($D199/$B$158)^F$161)</f>
        <v/>
      </c>
      <c r="G199" s="83">
        <f>IF($D199&lt;=0,0,$B$158*($D199/$B$158)^G$161)</f>
        <v/>
      </c>
      <c r="H199" s="83">
        <f>IF($D199&lt;=0,0,$B$158*($D199/$B$158)^H$161)</f>
        <v/>
      </c>
      <c r="I199" s="83" t="n">
        <v>0</v>
      </c>
      <c r="J199" s="83" t="n">
        <v>0</v>
      </c>
      <c r="K199" s="83" t="n">
        <v>0</v>
      </c>
      <c r="L199" s="83" t="n">
        <v>0</v>
      </c>
      <c r="M199" s="83" t="n">
        <v>0</v>
      </c>
      <c r="N199" s="83">
        <f>SUMPRODUCT($E$160:$M$160,$E199:$M199)</f>
        <v/>
      </c>
      <c r="O199" s="72">
        <f>($F$157-($B$157/100)*($D$158+N199))/(1+($B$157/100)*$D$157)-$D199</f>
        <v/>
      </c>
    </row>
    <row r="200">
      <c r="B200" s="83">
        <f>IF(O199&gt;0,D199,B199)</f>
        <v/>
      </c>
      <c r="C200" s="83">
        <f>IF(O199&gt;0,C199,D199)</f>
        <v/>
      </c>
      <c r="D200" s="83">
        <f>(B200+C200)/2</f>
        <v/>
      </c>
      <c r="E200" s="83">
        <f>IF($D200&lt;=0,0,$B$158*($D200/$B$158)^E$161)</f>
        <v/>
      </c>
      <c r="F200" s="83">
        <f>IF($D200&lt;=0,0,$B$158*($D200/$B$158)^F$161)</f>
        <v/>
      </c>
      <c r="G200" s="83">
        <f>IF($D200&lt;=0,0,$B$158*($D200/$B$158)^G$161)</f>
        <v/>
      </c>
      <c r="H200" s="83">
        <f>IF($D200&lt;=0,0,$B$158*($D200/$B$158)^H$161)</f>
        <v/>
      </c>
      <c r="I200" s="83" t="n">
        <v>0</v>
      </c>
      <c r="J200" s="83" t="n">
        <v>0</v>
      </c>
      <c r="K200" s="83" t="n">
        <v>0</v>
      </c>
      <c r="L200" s="83" t="n">
        <v>0</v>
      </c>
      <c r="M200" s="83" t="n">
        <v>0</v>
      </c>
      <c r="N200" s="83">
        <f>SUMPRODUCT($E$160:$M$160,$E200:$M200)</f>
        <v/>
      </c>
      <c r="O200" s="72">
        <f>($F$157-($B$157/100)*($D$158+N200))/(1+($B$157/100)*$D$157)-$D200</f>
        <v/>
      </c>
    </row>
    <row r="201">
      <c r="B201" s="83">
        <f>IF(O200&gt;0,D200,B200)</f>
        <v/>
      </c>
      <c r="C201" s="83">
        <f>IF(O200&gt;0,C200,D200)</f>
        <v/>
      </c>
      <c r="D201" s="83">
        <f>(B201+C201)/2</f>
        <v/>
      </c>
      <c r="E201" s="83">
        <f>IF($D201&lt;=0,0,$B$158*($D201/$B$158)^E$161)</f>
        <v/>
      </c>
      <c r="F201" s="83">
        <f>IF($D201&lt;=0,0,$B$158*($D201/$B$158)^F$161)</f>
        <v/>
      </c>
      <c r="G201" s="83">
        <f>IF($D201&lt;=0,0,$B$158*($D201/$B$158)^G$161)</f>
        <v/>
      </c>
      <c r="H201" s="83">
        <f>IF($D201&lt;=0,0,$B$158*($D201/$B$158)^H$161)</f>
        <v/>
      </c>
      <c r="I201" s="83" t="n">
        <v>0</v>
      </c>
      <c r="J201" s="83" t="n">
        <v>0</v>
      </c>
      <c r="K201" s="83" t="n">
        <v>0</v>
      </c>
      <c r="L201" s="83" t="n">
        <v>0</v>
      </c>
      <c r="M201" s="83" t="n">
        <v>0</v>
      </c>
      <c r="N201" s="83">
        <f>SUMPRODUCT($E$160:$M$160,$E201:$M201)</f>
        <v/>
      </c>
      <c r="O201" s="72">
        <f>($F$157-($B$157/100)*($D$158+N201))/(1+($B$157/100)*$D$157)-$D201</f>
        <v/>
      </c>
    </row>
    <row r="202">
      <c r="B202" s="83">
        <f>IF(O201&gt;0,D201,B201)</f>
        <v/>
      </c>
      <c r="C202" s="83">
        <f>IF(O201&gt;0,C201,D201)</f>
        <v/>
      </c>
      <c r="D202" s="83">
        <f>(B202+C202)/2</f>
        <v/>
      </c>
      <c r="E202" s="83">
        <f>IF($D202&lt;=0,0,$B$158*($D202/$B$158)^E$161)</f>
        <v/>
      </c>
      <c r="F202" s="83">
        <f>IF($D202&lt;=0,0,$B$158*($D202/$B$158)^F$161)</f>
        <v/>
      </c>
      <c r="G202" s="83">
        <f>IF($D202&lt;=0,0,$B$158*($D202/$B$158)^G$161)</f>
        <v/>
      </c>
      <c r="H202" s="83">
        <f>IF($D202&lt;=0,0,$B$158*($D202/$B$158)^H$161)</f>
        <v/>
      </c>
      <c r="I202" s="83" t="n">
        <v>0</v>
      </c>
      <c r="J202" s="83" t="n">
        <v>0</v>
      </c>
      <c r="K202" s="83" t="n">
        <v>0</v>
      </c>
      <c r="L202" s="83" t="n">
        <v>0</v>
      </c>
      <c r="M202" s="83" t="n">
        <v>0</v>
      </c>
      <c r="N202" s="83">
        <f>SUMPRODUCT($E$160:$M$160,$E202:$M202)</f>
        <v/>
      </c>
      <c r="O202" s="72">
        <f>($F$157-($B$157/100)*($D$158+N202))/(1+($B$157/100)*$D$157)-$D202</f>
        <v/>
      </c>
    </row>
    <row r="203">
      <c r="A203" s="67" t="inlineStr">
        <is>
          <t>DF(25Y) SOLVED</t>
        </is>
      </c>
      <c r="B203" s="81">
        <f>D202</f>
        <v/>
      </c>
      <c r="C203" s="67" t="inlineStr">
        <is>
          <t>resid</t>
        </is>
      </c>
      <c r="D203" s="72">
        <f>O202</f>
        <v/>
      </c>
      <c r="E203" s="67" t="inlineStr">
        <is>
          <t>zero %</t>
        </is>
      </c>
      <c r="F203" s="63">
        <f>-LN(B203)/$H$157*100</f>
        <v/>
      </c>
    </row>
    <row r="206">
      <c r="A206" s="73" t="inlineStr">
        <is>
          <t>PILLAR 30Y  —  Bootstrap row 52  —  anchor row 47  —  4 gap row(s)</t>
        </is>
      </c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74" t="n"/>
      <c r="N206" s="74" t="n"/>
      <c r="O206" s="74" t="n"/>
    </row>
    <row r="207">
      <c r="A207" s="67" t="inlineStr">
        <is>
          <t>S_B (%)</t>
        </is>
      </c>
      <c r="B207" s="75">
        <f>Bootstrap!$E$52</f>
        <v/>
      </c>
      <c r="C207" s="67" t="inlineStr">
        <is>
          <t>tau_B</t>
        </is>
      </c>
      <c r="D207" s="79">
        <f>Bootstrap!$F$52</f>
        <v/>
      </c>
      <c r="E207" s="67" t="inlineStr">
        <is>
          <t>DFspot</t>
        </is>
      </c>
      <c r="F207" s="82">
        <f>Bootstrap!$D$4</f>
        <v/>
      </c>
      <c r="G207" s="67" t="inlineStr">
        <is>
          <t>C_B</t>
        </is>
      </c>
      <c r="H207" s="79">
        <f>Bootstrap!$C$52</f>
        <v/>
      </c>
    </row>
    <row r="208">
      <c r="A208" s="67" t="inlineStr">
        <is>
          <t>DF_A (anchor)</t>
        </is>
      </c>
      <c r="B208" s="82">
        <f>Bootstrap!$H$47</f>
        <v/>
      </c>
      <c r="C208" s="67" t="inlineStr">
        <is>
          <t>A_anchor</t>
        </is>
      </c>
      <c r="D208" s="82">
        <f>SUM(Bootstrap!$I$8:$I$47)</f>
        <v/>
      </c>
      <c r="E208" s="67" t="inlineStr">
        <is>
          <t>C_A</t>
        </is>
      </c>
      <c r="F208" s="79">
        <f>Bootstrap!$C$47</f>
        <v/>
      </c>
    </row>
    <row r="209">
      <c r="A209" s="67" t="inlineStr">
        <is>
          <t>gap row</t>
        </is>
      </c>
      <c r="E209" s="78" t="n">
        <v>48</v>
      </c>
      <c r="F209" s="78" t="n">
        <v>49</v>
      </c>
      <c r="G209" s="78" t="n">
        <v>50</v>
      </c>
      <c r="H209" s="78" t="n">
        <v>51</v>
      </c>
      <c r="I209" s="78" t="inlineStr"/>
      <c r="J209" s="78" t="inlineStr"/>
      <c r="K209" s="78" t="inlineStr"/>
      <c r="L209" s="78" t="inlineStr"/>
      <c r="M209" s="78" t="inlineStr"/>
    </row>
    <row r="210">
      <c r="A210" s="67" t="inlineStr">
        <is>
          <t>tau_g</t>
        </is>
      </c>
      <c r="E210" s="79">
        <f>Bootstrap!$F$48</f>
        <v/>
      </c>
      <c r="F210" s="79">
        <f>Bootstrap!$F$49</f>
        <v/>
      </c>
      <c r="G210" s="79">
        <f>Bootstrap!$F$50</f>
        <v/>
      </c>
      <c r="H210" s="79">
        <f>Bootstrap!$F$51</f>
        <v/>
      </c>
      <c r="I210" s="80" t="n">
        <v>0</v>
      </c>
      <c r="J210" s="80" t="n">
        <v>0</v>
      </c>
      <c r="K210" s="80" t="n">
        <v>0</v>
      </c>
      <c r="L210" s="80" t="n">
        <v>0</v>
      </c>
      <c r="M210" s="80" t="n">
        <v>0</v>
      </c>
    </row>
    <row r="211">
      <c r="A211" s="67" t="inlineStr">
        <is>
          <t>weight w_g</t>
        </is>
      </c>
      <c r="E211" s="80">
        <f>(Bootstrap!$C$48-$F$208)/($H$207-$F$208)</f>
        <v/>
      </c>
      <c r="F211" s="80">
        <f>(Bootstrap!$C$49-$F$208)/($H$207-$F$208)</f>
        <v/>
      </c>
      <c r="G211" s="80">
        <f>(Bootstrap!$C$50-$F$208)/($H$207-$F$208)</f>
        <v/>
      </c>
      <c r="H211" s="80">
        <f>(Bootstrap!$C$51-$F$208)/($H$207-$F$208)</f>
        <v/>
      </c>
      <c r="I211" s="80" t="n">
        <v>0</v>
      </c>
      <c r="J211" s="80" t="n">
        <v>0</v>
      </c>
      <c r="K211" s="80" t="n">
        <v>0</v>
      </c>
      <c r="L211" s="80" t="n">
        <v>0</v>
      </c>
      <c r="M211" s="80" t="n">
        <v>0</v>
      </c>
    </row>
    <row r="212">
      <c r="A212" s="67" t="inlineStr">
        <is>
          <t>bisection</t>
        </is>
      </c>
      <c r="B212" s="62" t="inlineStr">
        <is>
          <t>lo</t>
        </is>
      </c>
      <c r="C212" s="62" t="inlineStr">
        <is>
          <t>hi</t>
        </is>
      </c>
      <c r="D212" s="62" t="inlineStr">
        <is>
          <t>DF_B trial</t>
        </is>
      </c>
      <c r="E212" s="62" t="inlineStr">
        <is>
          <t>DF_g -&gt;</t>
        </is>
      </c>
      <c r="N212" s="62" t="inlineStr">
        <is>
          <t>gap annuity</t>
        </is>
      </c>
      <c r="O212" s="62" t="inlineStr">
        <is>
          <t>f(DF_B)</t>
        </is>
      </c>
    </row>
    <row r="213">
      <c r="B213" s="83" t="n">
        <v>0</v>
      </c>
      <c r="C213" s="83" t="n">
        <v>1.5</v>
      </c>
      <c r="D213" s="83">
        <f>(B213+C213)/2</f>
        <v/>
      </c>
      <c r="E213" s="83">
        <f>IF($D213&lt;=0,0,$B$208*($D213/$B$208)^E$211)</f>
        <v/>
      </c>
      <c r="F213" s="83">
        <f>IF($D213&lt;=0,0,$B$208*($D213/$B$208)^F$211)</f>
        <v/>
      </c>
      <c r="G213" s="83">
        <f>IF($D213&lt;=0,0,$B$208*($D213/$B$208)^G$211)</f>
        <v/>
      </c>
      <c r="H213" s="83">
        <f>IF($D213&lt;=0,0,$B$208*($D213/$B$208)^H$211)</f>
        <v/>
      </c>
      <c r="I213" s="83" t="n">
        <v>0</v>
      </c>
      <c r="J213" s="83" t="n">
        <v>0</v>
      </c>
      <c r="K213" s="83" t="n">
        <v>0</v>
      </c>
      <c r="L213" s="83" t="n">
        <v>0</v>
      </c>
      <c r="M213" s="83" t="n">
        <v>0</v>
      </c>
      <c r="N213" s="83">
        <f>SUMPRODUCT($E$210:$M$210,$E213:$M213)</f>
        <v/>
      </c>
      <c r="O213" s="72">
        <f>($F$207-($B$207/100)*($D$208+N213))/(1+($B$207/100)*$D$207)-$D213</f>
        <v/>
      </c>
    </row>
    <row r="214">
      <c r="B214" s="83">
        <f>IF(O213&gt;0,D213,B213)</f>
        <v/>
      </c>
      <c r="C214" s="83">
        <f>IF(O213&gt;0,C213,D213)</f>
        <v/>
      </c>
      <c r="D214" s="83">
        <f>(B214+C214)/2</f>
        <v/>
      </c>
      <c r="E214" s="83">
        <f>IF($D214&lt;=0,0,$B$208*($D214/$B$208)^E$211)</f>
        <v/>
      </c>
      <c r="F214" s="83">
        <f>IF($D214&lt;=0,0,$B$208*($D214/$B$208)^F$211)</f>
        <v/>
      </c>
      <c r="G214" s="83">
        <f>IF($D214&lt;=0,0,$B$208*($D214/$B$208)^G$211)</f>
        <v/>
      </c>
      <c r="H214" s="83">
        <f>IF($D214&lt;=0,0,$B$208*($D214/$B$208)^H$211)</f>
        <v/>
      </c>
      <c r="I214" s="83" t="n">
        <v>0</v>
      </c>
      <c r="J214" s="83" t="n">
        <v>0</v>
      </c>
      <c r="K214" s="83" t="n">
        <v>0</v>
      </c>
      <c r="L214" s="83" t="n">
        <v>0</v>
      </c>
      <c r="M214" s="83" t="n">
        <v>0</v>
      </c>
      <c r="N214" s="83">
        <f>SUMPRODUCT($E$210:$M$210,$E214:$M214)</f>
        <v/>
      </c>
      <c r="O214" s="72">
        <f>($F$207-($B$207/100)*($D$208+N214))/(1+($B$207/100)*$D$207)-$D214</f>
        <v/>
      </c>
    </row>
    <row r="215">
      <c r="B215" s="83">
        <f>IF(O214&gt;0,D214,B214)</f>
        <v/>
      </c>
      <c r="C215" s="83">
        <f>IF(O214&gt;0,C214,D214)</f>
        <v/>
      </c>
      <c r="D215" s="83">
        <f>(B215+C215)/2</f>
        <v/>
      </c>
      <c r="E215" s="83">
        <f>IF($D215&lt;=0,0,$B$208*($D215/$B$208)^E$211)</f>
        <v/>
      </c>
      <c r="F215" s="83">
        <f>IF($D215&lt;=0,0,$B$208*($D215/$B$208)^F$211)</f>
        <v/>
      </c>
      <c r="G215" s="83">
        <f>IF($D215&lt;=0,0,$B$208*($D215/$B$208)^G$211)</f>
        <v/>
      </c>
      <c r="H215" s="83">
        <f>IF($D215&lt;=0,0,$B$208*($D215/$B$208)^H$211)</f>
        <v/>
      </c>
      <c r="I215" s="83" t="n">
        <v>0</v>
      </c>
      <c r="J215" s="83" t="n">
        <v>0</v>
      </c>
      <c r="K215" s="83" t="n">
        <v>0</v>
      </c>
      <c r="L215" s="83" t="n">
        <v>0</v>
      </c>
      <c r="M215" s="83" t="n">
        <v>0</v>
      </c>
      <c r="N215" s="83">
        <f>SUMPRODUCT($E$210:$M$210,$E215:$M215)</f>
        <v/>
      </c>
      <c r="O215" s="72">
        <f>($F$207-($B$207/100)*($D$208+N215))/(1+($B$207/100)*$D$207)-$D215</f>
        <v/>
      </c>
    </row>
    <row r="216">
      <c r="B216" s="83">
        <f>IF(O215&gt;0,D215,B215)</f>
        <v/>
      </c>
      <c r="C216" s="83">
        <f>IF(O215&gt;0,C215,D215)</f>
        <v/>
      </c>
      <c r="D216" s="83">
        <f>(B216+C216)/2</f>
        <v/>
      </c>
      <c r="E216" s="83">
        <f>IF($D216&lt;=0,0,$B$208*($D216/$B$208)^E$211)</f>
        <v/>
      </c>
      <c r="F216" s="83">
        <f>IF($D216&lt;=0,0,$B$208*($D216/$B$208)^F$211)</f>
        <v/>
      </c>
      <c r="G216" s="83">
        <f>IF($D216&lt;=0,0,$B$208*($D216/$B$208)^G$211)</f>
        <v/>
      </c>
      <c r="H216" s="83">
        <f>IF($D216&lt;=0,0,$B$208*($D216/$B$208)^H$211)</f>
        <v/>
      </c>
      <c r="I216" s="83" t="n">
        <v>0</v>
      </c>
      <c r="J216" s="83" t="n">
        <v>0</v>
      </c>
      <c r="K216" s="83" t="n">
        <v>0</v>
      </c>
      <c r="L216" s="83" t="n">
        <v>0</v>
      </c>
      <c r="M216" s="83" t="n">
        <v>0</v>
      </c>
      <c r="N216" s="83">
        <f>SUMPRODUCT($E$210:$M$210,$E216:$M216)</f>
        <v/>
      </c>
      <c r="O216" s="72">
        <f>($F$207-($B$207/100)*($D$208+N216))/(1+($B$207/100)*$D$207)-$D216</f>
        <v/>
      </c>
    </row>
    <row r="217">
      <c r="B217" s="83">
        <f>IF(O216&gt;0,D216,B216)</f>
        <v/>
      </c>
      <c r="C217" s="83">
        <f>IF(O216&gt;0,C216,D216)</f>
        <v/>
      </c>
      <c r="D217" s="83">
        <f>(B217+C217)/2</f>
        <v/>
      </c>
      <c r="E217" s="83">
        <f>IF($D217&lt;=0,0,$B$208*($D217/$B$208)^E$211)</f>
        <v/>
      </c>
      <c r="F217" s="83">
        <f>IF($D217&lt;=0,0,$B$208*($D217/$B$208)^F$211)</f>
        <v/>
      </c>
      <c r="G217" s="83">
        <f>IF($D217&lt;=0,0,$B$208*($D217/$B$208)^G$211)</f>
        <v/>
      </c>
      <c r="H217" s="83">
        <f>IF($D217&lt;=0,0,$B$208*($D217/$B$208)^H$211)</f>
        <v/>
      </c>
      <c r="I217" s="83" t="n">
        <v>0</v>
      </c>
      <c r="J217" s="83" t="n">
        <v>0</v>
      </c>
      <c r="K217" s="83" t="n">
        <v>0</v>
      </c>
      <c r="L217" s="83" t="n">
        <v>0</v>
      </c>
      <c r="M217" s="83" t="n">
        <v>0</v>
      </c>
      <c r="N217" s="83">
        <f>SUMPRODUCT($E$210:$M$210,$E217:$M217)</f>
        <v/>
      </c>
      <c r="O217" s="72">
        <f>($F$207-($B$207/100)*($D$208+N217))/(1+($B$207/100)*$D$207)-$D217</f>
        <v/>
      </c>
    </row>
    <row r="218">
      <c r="B218" s="83">
        <f>IF(O217&gt;0,D217,B217)</f>
        <v/>
      </c>
      <c r="C218" s="83">
        <f>IF(O217&gt;0,C217,D217)</f>
        <v/>
      </c>
      <c r="D218" s="83">
        <f>(B218+C218)/2</f>
        <v/>
      </c>
      <c r="E218" s="83">
        <f>IF($D218&lt;=0,0,$B$208*($D218/$B$208)^E$211)</f>
        <v/>
      </c>
      <c r="F218" s="83">
        <f>IF($D218&lt;=0,0,$B$208*($D218/$B$208)^F$211)</f>
        <v/>
      </c>
      <c r="G218" s="83">
        <f>IF($D218&lt;=0,0,$B$208*($D218/$B$208)^G$211)</f>
        <v/>
      </c>
      <c r="H218" s="83">
        <f>IF($D218&lt;=0,0,$B$208*($D218/$B$208)^H$211)</f>
        <v/>
      </c>
      <c r="I218" s="83" t="n">
        <v>0</v>
      </c>
      <c r="J218" s="83" t="n">
        <v>0</v>
      </c>
      <c r="K218" s="83" t="n">
        <v>0</v>
      </c>
      <c r="L218" s="83" t="n">
        <v>0</v>
      </c>
      <c r="M218" s="83" t="n">
        <v>0</v>
      </c>
      <c r="N218" s="83">
        <f>SUMPRODUCT($E$210:$M$210,$E218:$M218)</f>
        <v/>
      </c>
      <c r="O218" s="72">
        <f>($F$207-($B$207/100)*($D$208+N218))/(1+($B$207/100)*$D$207)-$D218</f>
        <v/>
      </c>
    </row>
    <row r="219">
      <c r="B219" s="83">
        <f>IF(O218&gt;0,D218,B218)</f>
        <v/>
      </c>
      <c r="C219" s="83">
        <f>IF(O218&gt;0,C218,D218)</f>
        <v/>
      </c>
      <c r="D219" s="83">
        <f>(B219+C219)/2</f>
        <v/>
      </c>
      <c r="E219" s="83">
        <f>IF($D219&lt;=0,0,$B$208*($D219/$B$208)^E$211)</f>
        <v/>
      </c>
      <c r="F219" s="83">
        <f>IF($D219&lt;=0,0,$B$208*($D219/$B$208)^F$211)</f>
        <v/>
      </c>
      <c r="G219" s="83">
        <f>IF($D219&lt;=0,0,$B$208*($D219/$B$208)^G$211)</f>
        <v/>
      </c>
      <c r="H219" s="83">
        <f>IF($D219&lt;=0,0,$B$208*($D219/$B$208)^H$211)</f>
        <v/>
      </c>
      <c r="I219" s="83" t="n">
        <v>0</v>
      </c>
      <c r="J219" s="83" t="n">
        <v>0</v>
      </c>
      <c r="K219" s="83" t="n">
        <v>0</v>
      </c>
      <c r="L219" s="83" t="n">
        <v>0</v>
      </c>
      <c r="M219" s="83" t="n">
        <v>0</v>
      </c>
      <c r="N219" s="83">
        <f>SUMPRODUCT($E$210:$M$210,$E219:$M219)</f>
        <v/>
      </c>
      <c r="O219" s="72">
        <f>($F$207-($B$207/100)*($D$208+N219))/(1+($B$207/100)*$D$207)-$D219</f>
        <v/>
      </c>
    </row>
    <row r="220">
      <c r="B220" s="83">
        <f>IF(O219&gt;0,D219,B219)</f>
        <v/>
      </c>
      <c r="C220" s="83">
        <f>IF(O219&gt;0,C219,D219)</f>
        <v/>
      </c>
      <c r="D220" s="83">
        <f>(B220+C220)/2</f>
        <v/>
      </c>
      <c r="E220" s="83">
        <f>IF($D220&lt;=0,0,$B$208*($D220/$B$208)^E$211)</f>
        <v/>
      </c>
      <c r="F220" s="83">
        <f>IF($D220&lt;=0,0,$B$208*($D220/$B$208)^F$211)</f>
        <v/>
      </c>
      <c r="G220" s="83">
        <f>IF($D220&lt;=0,0,$B$208*($D220/$B$208)^G$211)</f>
        <v/>
      </c>
      <c r="H220" s="83">
        <f>IF($D220&lt;=0,0,$B$208*($D220/$B$208)^H$211)</f>
        <v/>
      </c>
      <c r="I220" s="83" t="n">
        <v>0</v>
      </c>
      <c r="J220" s="83" t="n">
        <v>0</v>
      </c>
      <c r="K220" s="83" t="n">
        <v>0</v>
      </c>
      <c r="L220" s="83" t="n">
        <v>0</v>
      </c>
      <c r="M220" s="83" t="n">
        <v>0</v>
      </c>
      <c r="N220" s="83">
        <f>SUMPRODUCT($E$210:$M$210,$E220:$M220)</f>
        <v/>
      </c>
      <c r="O220" s="72">
        <f>($F$207-($B$207/100)*($D$208+N220))/(1+($B$207/100)*$D$207)-$D220</f>
        <v/>
      </c>
    </row>
    <row r="221">
      <c r="B221" s="83">
        <f>IF(O220&gt;0,D220,B220)</f>
        <v/>
      </c>
      <c r="C221" s="83">
        <f>IF(O220&gt;0,C220,D220)</f>
        <v/>
      </c>
      <c r="D221" s="83">
        <f>(B221+C221)/2</f>
        <v/>
      </c>
      <c r="E221" s="83">
        <f>IF($D221&lt;=0,0,$B$208*($D221/$B$208)^E$211)</f>
        <v/>
      </c>
      <c r="F221" s="83">
        <f>IF($D221&lt;=0,0,$B$208*($D221/$B$208)^F$211)</f>
        <v/>
      </c>
      <c r="G221" s="83">
        <f>IF($D221&lt;=0,0,$B$208*($D221/$B$208)^G$211)</f>
        <v/>
      </c>
      <c r="H221" s="83">
        <f>IF($D221&lt;=0,0,$B$208*($D221/$B$208)^H$211)</f>
        <v/>
      </c>
      <c r="I221" s="83" t="n">
        <v>0</v>
      </c>
      <c r="J221" s="83" t="n">
        <v>0</v>
      </c>
      <c r="K221" s="83" t="n">
        <v>0</v>
      </c>
      <c r="L221" s="83" t="n">
        <v>0</v>
      </c>
      <c r="M221" s="83" t="n">
        <v>0</v>
      </c>
      <c r="N221" s="83">
        <f>SUMPRODUCT($E$210:$M$210,$E221:$M221)</f>
        <v/>
      </c>
      <c r="O221" s="72">
        <f>($F$207-($B$207/100)*($D$208+N221))/(1+($B$207/100)*$D$207)-$D221</f>
        <v/>
      </c>
    </row>
    <row r="222">
      <c r="B222" s="83">
        <f>IF(O221&gt;0,D221,B221)</f>
        <v/>
      </c>
      <c r="C222" s="83">
        <f>IF(O221&gt;0,C221,D221)</f>
        <v/>
      </c>
      <c r="D222" s="83">
        <f>(B222+C222)/2</f>
        <v/>
      </c>
      <c r="E222" s="83">
        <f>IF($D222&lt;=0,0,$B$208*($D222/$B$208)^E$211)</f>
        <v/>
      </c>
      <c r="F222" s="83">
        <f>IF($D222&lt;=0,0,$B$208*($D222/$B$208)^F$211)</f>
        <v/>
      </c>
      <c r="G222" s="83">
        <f>IF($D222&lt;=0,0,$B$208*($D222/$B$208)^G$211)</f>
        <v/>
      </c>
      <c r="H222" s="83">
        <f>IF($D222&lt;=0,0,$B$208*($D222/$B$208)^H$211)</f>
        <v/>
      </c>
      <c r="I222" s="83" t="n">
        <v>0</v>
      </c>
      <c r="J222" s="83" t="n">
        <v>0</v>
      </c>
      <c r="K222" s="83" t="n">
        <v>0</v>
      </c>
      <c r="L222" s="83" t="n">
        <v>0</v>
      </c>
      <c r="M222" s="83" t="n">
        <v>0</v>
      </c>
      <c r="N222" s="83">
        <f>SUMPRODUCT($E$210:$M$210,$E222:$M222)</f>
        <v/>
      </c>
      <c r="O222" s="72">
        <f>($F$207-($B$207/100)*($D$208+N222))/(1+($B$207/100)*$D$207)-$D222</f>
        <v/>
      </c>
    </row>
    <row r="223">
      <c r="B223" s="83">
        <f>IF(O222&gt;0,D222,B222)</f>
        <v/>
      </c>
      <c r="C223" s="83">
        <f>IF(O222&gt;0,C222,D222)</f>
        <v/>
      </c>
      <c r="D223" s="83">
        <f>(B223+C223)/2</f>
        <v/>
      </c>
      <c r="E223" s="83">
        <f>IF($D223&lt;=0,0,$B$208*($D223/$B$208)^E$211)</f>
        <v/>
      </c>
      <c r="F223" s="83">
        <f>IF($D223&lt;=0,0,$B$208*($D223/$B$208)^F$211)</f>
        <v/>
      </c>
      <c r="G223" s="83">
        <f>IF($D223&lt;=0,0,$B$208*($D223/$B$208)^G$211)</f>
        <v/>
      </c>
      <c r="H223" s="83">
        <f>IF($D223&lt;=0,0,$B$208*($D223/$B$208)^H$211)</f>
        <v/>
      </c>
      <c r="I223" s="83" t="n">
        <v>0</v>
      </c>
      <c r="J223" s="83" t="n">
        <v>0</v>
      </c>
      <c r="K223" s="83" t="n">
        <v>0</v>
      </c>
      <c r="L223" s="83" t="n">
        <v>0</v>
      </c>
      <c r="M223" s="83" t="n">
        <v>0</v>
      </c>
      <c r="N223" s="83">
        <f>SUMPRODUCT($E$210:$M$210,$E223:$M223)</f>
        <v/>
      </c>
      <c r="O223" s="72">
        <f>($F$207-($B$207/100)*($D$208+N223))/(1+($B$207/100)*$D$207)-$D223</f>
        <v/>
      </c>
    </row>
    <row r="224">
      <c r="B224" s="83">
        <f>IF(O223&gt;0,D223,B223)</f>
        <v/>
      </c>
      <c r="C224" s="83">
        <f>IF(O223&gt;0,C223,D223)</f>
        <v/>
      </c>
      <c r="D224" s="83">
        <f>(B224+C224)/2</f>
        <v/>
      </c>
      <c r="E224" s="83">
        <f>IF($D224&lt;=0,0,$B$208*($D224/$B$208)^E$211)</f>
        <v/>
      </c>
      <c r="F224" s="83">
        <f>IF($D224&lt;=0,0,$B$208*($D224/$B$208)^F$211)</f>
        <v/>
      </c>
      <c r="G224" s="83">
        <f>IF($D224&lt;=0,0,$B$208*($D224/$B$208)^G$211)</f>
        <v/>
      </c>
      <c r="H224" s="83">
        <f>IF($D224&lt;=0,0,$B$208*($D224/$B$208)^H$211)</f>
        <v/>
      </c>
      <c r="I224" s="83" t="n">
        <v>0</v>
      </c>
      <c r="J224" s="83" t="n">
        <v>0</v>
      </c>
      <c r="K224" s="83" t="n">
        <v>0</v>
      </c>
      <c r="L224" s="83" t="n">
        <v>0</v>
      </c>
      <c r="M224" s="83" t="n">
        <v>0</v>
      </c>
      <c r="N224" s="83">
        <f>SUMPRODUCT($E$210:$M$210,$E224:$M224)</f>
        <v/>
      </c>
      <c r="O224" s="72">
        <f>($F$207-($B$207/100)*($D$208+N224))/(1+($B$207/100)*$D$207)-$D224</f>
        <v/>
      </c>
    </row>
    <row r="225">
      <c r="B225" s="83">
        <f>IF(O224&gt;0,D224,B224)</f>
        <v/>
      </c>
      <c r="C225" s="83">
        <f>IF(O224&gt;0,C224,D224)</f>
        <v/>
      </c>
      <c r="D225" s="83">
        <f>(B225+C225)/2</f>
        <v/>
      </c>
      <c r="E225" s="83">
        <f>IF($D225&lt;=0,0,$B$208*($D225/$B$208)^E$211)</f>
        <v/>
      </c>
      <c r="F225" s="83">
        <f>IF($D225&lt;=0,0,$B$208*($D225/$B$208)^F$211)</f>
        <v/>
      </c>
      <c r="G225" s="83">
        <f>IF($D225&lt;=0,0,$B$208*($D225/$B$208)^G$211)</f>
        <v/>
      </c>
      <c r="H225" s="83">
        <f>IF($D225&lt;=0,0,$B$208*($D225/$B$208)^H$211)</f>
        <v/>
      </c>
      <c r="I225" s="83" t="n">
        <v>0</v>
      </c>
      <c r="J225" s="83" t="n">
        <v>0</v>
      </c>
      <c r="K225" s="83" t="n">
        <v>0</v>
      </c>
      <c r="L225" s="83" t="n">
        <v>0</v>
      </c>
      <c r="M225" s="83" t="n">
        <v>0</v>
      </c>
      <c r="N225" s="83">
        <f>SUMPRODUCT($E$210:$M$210,$E225:$M225)</f>
        <v/>
      </c>
      <c r="O225" s="72">
        <f>($F$207-($B$207/100)*($D$208+N225))/(1+($B$207/100)*$D$207)-$D225</f>
        <v/>
      </c>
    </row>
    <row r="226">
      <c r="B226" s="83">
        <f>IF(O225&gt;0,D225,B225)</f>
        <v/>
      </c>
      <c r="C226" s="83">
        <f>IF(O225&gt;0,C225,D225)</f>
        <v/>
      </c>
      <c r="D226" s="83">
        <f>(B226+C226)/2</f>
        <v/>
      </c>
      <c r="E226" s="83">
        <f>IF($D226&lt;=0,0,$B$208*($D226/$B$208)^E$211)</f>
        <v/>
      </c>
      <c r="F226" s="83">
        <f>IF($D226&lt;=0,0,$B$208*($D226/$B$208)^F$211)</f>
        <v/>
      </c>
      <c r="G226" s="83">
        <f>IF($D226&lt;=0,0,$B$208*($D226/$B$208)^G$211)</f>
        <v/>
      </c>
      <c r="H226" s="83">
        <f>IF($D226&lt;=0,0,$B$208*($D226/$B$208)^H$211)</f>
        <v/>
      </c>
      <c r="I226" s="83" t="n">
        <v>0</v>
      </c>
      <c r="J226" s="83" t="n">
        <v>0</v>
      </c>
      <c r="K226" s="83" t="n">
        <v>0</v>
      </c>
      <c r="L226" s="83" t="n">
        <v>0</v>
      </c>
      <c r="M226" s="83" t="n">
        <v>0</v>
      </c>
      <c r="N226" s="83">
        <f>SUMPRODUCT($E$210:$M$210,$E226:$M226)</f>
        <v/>
      </c>
      <c r="O226" s="72">
        <f>($F$207-($B$207/100)*($D$208+N226))/(1+($B$207/100)*$D$207)-$D226</f>
        <v/>
      </c>
    </row>
    <row r="227">
      <c r="B227" s="83">
        <f>IF(O226&gt;0,D226,B226)</f>
        <v/>
      </c>
      <c r="C227" s="83">
        <f>IF(O226&gt;0,C226,D226)</f>
        <v/>
      </c>
      <c r="D227" s="83">
        <f>(B227+C227)/2</f>
        <v/>
      </c>
      <c r="E227" s="83">
        <f>IF($D227&lt;=0,0,$B$208*($D227/$B$208)^E$211)</f>
        <v/>
      </c>
      <c r="F227" s="83">
        <f>IF($D227&lt;=0,0,$B$208*($D227/$B$208)^F$211)</f>
        <v/>
      </c>
      <c r="G227" s="83">
        <f>IF($D227&lt;=0,0,$B$208*($D227/$B$208)^G$211)</f>
        <v/>
      </c>
      <c r="H227" s="83">
        <f>IF($D227&lt;=0,0,$B$208*($D227/$B$208)^H$211)</f>
        <v/>
      </c>
      <c r="I227" s="83" t="n">
        <v>0</v>
      </c>
      <c r="J227" s="83" t="n">
        <v>0</v>
      </c>
      <c r="K227" s="83" t="n">
        <v>0</v>
      </c>
      <c r="L227" s="83" t="n">
        <v>0</v>
      </c>
      <c r="M227" s="83" t="n">
        <v>0</v>
      </c>
      <c r="N227" s="83">
        <f>SUMPRODUCT($E$210:$M$210,$E227:$M227)</f>
        <v/>
      </c>
      <c r="O227" s="72">
        <f>($F$207-($B$207/100)*($D$208+N227))/(1+($B$207/100)*$D$207)-$D227</f>
        <v/>
      </c>
    </row>
    <row r="228">
      <c r="B228" s="83">
        <f>IF(O227&gt;0,D227,B227)</f>
        <v/>
      </c>
      <c r="C228" s="83">
        <f>IF(O227&gt;0,C227,D227)</f>
        <v/>
      </c>
      <c r="D228" s="83">
        <f>(B228+C228)/2</f>
        <v/>
      </c>
      <c r="E228" s="83">
        <f>IF($D228&lt;=0,0,$B$208*($D228/$B$208)^E$211)</f>
        <v/>
      </c>
      <c r="F228" s="83">
        <f>IF($D228&lt;=0,0,$B$208*($D228/$B$208)^F$211)</f>
        <v/>
      </c>
      <c r="G228" s="83">
        <f>IF($D228&lt;=0,0,$B$208*($D228/$B$208)^G$211)</f>
        <v/>
      </c>
      <c r="H228" s="83">
        <f>IF($D228&lt;=0,0,$B$208*($D228/$B$208)^H$211)</f>
        <v/>
      </c>
      <c r="I228" s="83" t="n">
        <v>0</v>
      </c>
      <c r="J228" s="83" t="n">
        <v>0</v>
      </c>
      <c r="K228" s="83" t="n">
        <v>0</v>
      </c>
      <c r="L228" s="83" t="n">
        <v>0</v>
      </c>
      <c r="M228" s="83" t="n">
        <v>0</v>
      </c>
      <c r="N228" s="83">
        <f>SUMPRODUCT($E$210:$M$210,$E228:$M228)</f>
        <v/>
      </c>
      <c r="O228" s="72">
        <f>($F$207-($B$207/100)*($D$208+N228))/(1+($B$207/100)*$D$207)-$D228</f>
        <v/>
      </c>
    </row>
    <row r="229">
      <c r="B229" s="83">
        <f>IF(O228&gt;0,D228,B228)</f>
        <v/>
      </c>
      <c r="C229" s="83">
        <f>IF(O228&gt;0,C228,D228)</f>
        <v/>
      </c>
      <c r="D229" s="83">
        <f>(B229+C229)/2</f>
        <v/>
      </c>
      <c r="E229" s="83">
        <f>IF($D229&lt;=0,0,$B$208*($D229/$B$208)^E$211)</f>
        <v/>
      </c>
      <c r="F229" s="83">
        <f>IF($D229&lt;=0,0,$B$208*($D229/$B$208)^F$211)</f>
        <v/>
      </c>
      <c r="G229" s="83">
        <f>IF($D229&lt;=0,0,$B$208*($D229/$B$208)^G$211)</f>
        <v/>
      </c>
      <c r="H229" s="83">
        <f>IF($D229&lt;=0,0,$B$208*($D229/$B$208)^H$211)</f>
        <v/>
      </c>
      <c r="I229" s="83" t="n">
        <v>0</v>
      </c>
      <c r="J229" s="83" t="n">
        <v>0</v>
      </c>
      <c r="K229" s="83" t="n">
        <v>0</v>
      </c>
      <c r="L229" s="83" t="n">
        <v>0</v>
      </c>
      <c r="M229" s="83" t="n">
        <v>0</v>
      </c>
      <c r="N229" s="83">
        <f>SUMPRODUCT($E$210:$M$210,$E229:$M229)</f>
        <v/>
      </c>
      <c r="O229" s="72">
        <f>($F$207-($B$207/100)*($D$208+N229))/(1+($B$207/100)*$D$207)-$D229</f>
        <v/>
      </c>
    </row>
    <row r="230">
      <c r="B230" s="83">
        <f>IF(O229&gt;0,D229,B229)</f>
        <v/>
      </c>
      <c r="C230" s="83">
        <f>IF(O229&gt;0,C229,D229)</f>
        <v/>
      </c>
      <c r="D230" s="83">
        <f>(B230+C230)/2</f>
        <v/>
      </c>
      <c r="E230" s="83">
        <f>IF($D230&lt;=0,0,$B$208*($D230/$B$208)^E$211)</f>
        <v/>
      </c>
      <c r="F230" s="83">
        <f>IF($D230&lt;=0,0,$B$208*($D230/$B$208)^F$211)</f>
        <v/>
      </c>
      <c r="G230" s="83">
        <f>IF($D230&lt;=0,0,$B$208*($D230/$B$208)^G$211)</f>
        <v/>
      </c>
      <c r="H230" s="83">
        <f>IF($D230&lt;=0,0,$B$208*($D230/$B$208)^H$211)</f>
        <v/>
      </c>
      <c r="I230" s="83" t="n">
        <v>0</v>
      </c>
      <c r="J230" s="83" t="n">
        <v>0</v>
      </c>
      <c r="K230" s="83" t="n">
        <v>0</v>
      </c>
      <c r="L230" s="83" t="n">
        <v>0</v>
      </c>
      <c r="M230" s="83" t="n">
        <v>0</v>
      </c>
      <c r="N230" s="83">
        <f>SUMPRODUCT($E$210:$M$210,$E230:$M230)</f>
        <v/>
      </c>
      <c r="O230" s="72">
        <f>($F$207-($B$207/100)*($D$208+N230))/(1+($B$207/100)*$D$207)-$D230</f>
        <v/>
      </c>
    </row>
    <row r="231">
      <c r="B231" s="83">
        <f>IF(O230&gt;0,D230,B230)</f>
        <v/>
      </c>
      <c r="C231" s="83">
        <f>IF(O230&gt;0,C230,D230)</f>
        <v/>
      </c>
      <c r="D231" s="83">
        <f>(B231+C231)/2</f>
        <v/>
      </c>
      <c r="E231" s="83">
        <f>IF($D231&lt;=0,0,$B$208*($D231/$B$208)^E$211)</f>
        <v/>
      </c>
      <c r="F231" s="83">
        <f>IF($D231&lt;=0,0,$B$208*($D231/$B$208)^F$211)</f>
        <v/>
      </c>
      <c r="G231" s="83">
        <f>IF($D231&lt;=0,0,$B$208*($D231/$B$208)^G$211)</f>
        <v/>
      </c>
      <c r="H231" s="83">
        <f>IF($D231&lt;=0,0,$B$208*($D231/$B$208)^H$211)</f>
        <v/>
      </c>
      <c r="I231" s="83" t="n">
        <v>0</v>
      </c>
      <c r="J231" s="83" t="n">
        <v>0</v>
      </c>
      <c r="K231" s="83" t="n">
        <v>0</v>
      </c>
      <c r="L231" s="83" t="n">
        <v>0</v>
      </c>
      <c r="M231" s="83" t="n">
        <v>0</v>
      </c>
      <c r="N231" s="83">
        <f>SUMPRODUCT($E$210:$M$210,$E231:$M231)</f>
        <v/>
      </c>
      <c r="O231" s="72">
        <f>($F$207-($B$207/100)*($D$208+N231))/(1+($B$207/100)*$D$207)-$D231</f>
        <v/>
      </c>
    </row>
    <row r="232">
      <c r="B232" s="83">
        <f>IF(O231&gt;0,D231,B231)</f>
        <v/>
      </c>
      <c r="C232" s="83">
        <f>IF(O231&gt;0,C231,D231)</f>
        <v/>
      </c>
      <c r="D232" s="83">
        <f>(B232+C232)/2</f>
        <v/>
      </c>
      <c r="E232" s="83">
        <f>IF($D232&lt;=0,0,$B$208*($D232/$B$208)^E$211)</f>
        <v/>
      </c>
      <c r="F232" s="83">
        <f>IF($D232&lt;=0,0,$B$208*($D232/$B$208)^F$211)</f>
        <v/>
      </c>
      <c r="G232" s="83">
        <f>IF($D232&lt;=0,0,$B$208*($D232/$B$208)^G$211)</f>
        <v/>
      </c>
      <c r="H232" s="83">
        <f>IF($D232&lt;=0,0,$B$208*($D232/$B$208)^H$211)</f>
        <v/>
      </c>
      <c r="I232" s="83" t="n">
        <v>0</v>
      </c>
      <c r="J232" s="83" t="n">
        <v>0</v>
      </c>
      <c r="K232" s="83" t="n">
        <v>0</v>
      </c>
      <c r="L232" s="83" t="n">
        <v>0</v>
      </c>
      <c r="M232" s="83" t="n">
        <v>0</v>
      </c>
      <c r="N232" s="83">
        <f>SUMPRODUCT($E$210:$M$210,$E232:$M232)</f>
        <v/>
      </c>
      <c r="O232" s="72">
        <f>($F$207-($B$207/100)*($D$208+N232))/(1+($B$207/100)*$D$207)-$D232</f>
        <v/>
      </c>
    </row>
    <row r="233">
      <c r="B233" s="83">
        <f>IF(O232&gt;0,D232,B232)</f>
        <v/>
      </c>
      <c r="C233" s="83">
        <f>IF(O232&gt;0,C232,D232)</f>
        <v/>
      </c>
      <c r="D233" s="83">
        <f>(B233+C233)/2</f>
        <v/>
      </c>
      <c r="E233" s="83">
        <f>IF($D233&lt;=0,0,$B$208*($D233/$B$208)^E$211)</f>
        <v/>
      </c>
      <c r="F233" s="83">
        <f>IF($D233&lt;=0,0,$B$208*($D233/$B$208)^F$211)</f>
        <v/>
      </c>
      <c r="G233" s="83">
        <f>IF($D233&lt;=0,0,$B$208*($D233/$B$208)^G$211)</f>
        <v/>
      </c>
      <c r="H233" s="83">
        <f>IF($D233&lt;=0,0,$B$208*($D233/$B$208)^H$211)</f>
        <v/>
      </c>
      <c r="I233" s="83" t="n">
        <v>0</v>
      </c>
      <c r="J233" s="83" t="n">
        <v>0</v>
      </c>
      <c r="K233" s="83" t="n">
        <v>0</v>
      </c>
      <c r="L233" s="83" t="n">
        <v>0</v>
      </c>
      <c r="M233" s="83" t="n">
        <v>0</v>
      </c>
      <c r="N233" s="83">
        <f>SUMPRODUCT($E$210:$M$210,$E233:$M233)</f>
        <v/>
      </c>
      <c r="O233" s="72">
        <f>($F$207-($B$207/100)*($D$208+N233))/(1+($B$207/100)*$D$207)-$D233</f>
        <v/>
      </c>
    </row>
    <row r="234">
      <c r="B234" s="83">
        <f>IF(O233&gt;0,D233,B233)</f>
        <v/>
      </c>
      <c r="C234" s="83">
        <f>IF(O233&gt;0,C233,D233)</f>
        <v/>
      </c>
      <c r="D234" s="83">
        <f>(B234+C234)/2</f>
        <v/>
      </c>
      <c r="E234" s="83">
        <f>IF($D234&lt;=0,0,$B$208*($D234/$B$208)^E$211)</f>
        <v/>
      </c>
      <c r="F234" s="83">
        <f>IF($D234&lt;=0,0,$B$208*($D234/$B$208)^F$211)</f>
        <v/>
      </c>
      <c r="G234" s="83">
        <f>IF($D234&lt;=0,0,$B$208*($D234/$B$208)^G$211)</f>
        <v/>
      </c>
      <c r="H234" s="83">
        <f>IF($D234&lt;=0,0,$B$208*($D234/$B$208)^H$211)</f>
        <v/>
      </c>
      <c r="I234" s="83" t="n">
        <v>0</v>
      </c>
      <c r="J234" s="83" t="n">
        <v>0</v>
      </c>
      <c r="K234" s="83" t="n">
        <v>0</v>
      </c>
      <c r="L234" s="83" t="n">
        <v>0</v>
      </c>
      <c r="M234" s="83" t="n">
        <v>0</v>
      </c>
      <c r="N234" s="83">
        <f>SUMPRODUCT($E$210:$M$210,$E234:$M234)</f>
        <v/>
      </c>
      <c r="O234" s="72">
        <f>($F$207-($B$207/100)*($D$208+N234))/(1+($B$207/100)*$D$207)-$D234</f>
        <v/>
      </c>
    </row>
    <row r="235">
      <c r="B235" s="83">
        <f>IF(O234&gt;0,D234,B234)</f>
        <v/>
      </c>
      <c r="C235" s="83">
        <f>IF(O234&gt;0,C234,D234)</f>
        <v/>
      </c>
      <c r="D235" s="83">
        <f>(B235+C235)/2</f>
        <v/>
      </c>
      <c r="E235" s="83">
        <f>IF($D235&lt;=0,0,$B$208*($D235/$B$208)^E$211)</f>
        <v/>
      </c>
      <c r="F235" s="83">
        <f>IF($D235&lt;=0,0,$B$208*($D235/$B$208)^F$211)</f>
        <v/>
      </c>
      <c r="G235" s="83">
        <f>IF($D235&lt;=0,0,$B$208*($D235/$B$208)^G$211)</f>
        <v/>
      </c>
      <c r="H235" s="83">
        <f>IF($D235&lt;=0,0,$B$208*($D235/$B$208)^H$211)</f>
        <v/>
      </c>
      <c r="I235" s="83" t="n">
        <v>0</v>
      </c>
      <c r="J235" s="83" t="n">
        <v>0</v>
      </c>
      <c r="K235" s="83" t="n">
        <v>0</v>
      </c>
      <c r="L235" s="83" t="n">
        <v>0</v>
      </c>
      <c r="M235" s="83" t="n">
        <v>0</v>
      </c>
      <c r="N235" s="83">
        <f>SUMPRODUCT($E$210:$M$210,$E235:$M235)</f>
        <v/>
      </c>
      <c r="O235" s="72">
        <f>($F$207-($B$207/100)*($D$208+N235))/(1+($B$207/100)*$D$207)-$D235</f>
        <v/>
      </c>
    </row>
    <row r="236">
      <c r="B236" s="83">
        <f>IF(O235&gt;0,D235,B235)</f>
        <v/>
      </c>
      <c r="C236" s="83">
        <f>IF(O235&gt;0,C235,D235)</f>
        <v/>
      </c>
      <c r="D236" s="83">
        <f>(B236+C236)/2</f>
        <v/>
      </c>
      <c r="E236" s="83">
        <f>IF($D236&lt;=0,0,$B$208*($D236/$B$208)^E$211)</f>
        <v/>
      </c>
      <c r="F236" s="83">
        <f>IF($D236&lt;=0,0,$B$208*($D236/$B$208)^F$211)</f>
        <v/>
      </c>
      <c r="G236" s="83">
        <f>IF($D236&lt;=0,0,$B$208*($D236/$B$208)^G$211)</f>
        <v/>
      </c>
      <c r="H236" s="83">
        <f>IF($D236&lt;=0,0,$B$208*($D236/$B$208)^H$211)</f>
        <v/>
      </c>
      <c r="I236" s="83" t="n">
        <v>0</v>
      </c>
      <c r="J236" s="83" t="n">
        <v>0</v>
      </c>
      <c r="K236" s="83" t="n">
        <v>0</v>
      </c>
      <c r="L236" s="83" t="n">
        <v>0</v>
      </c>
      <c r="M236" s="83" t="n">
        <v>0</v>
      </c>
      <c r="N236" s="83">
        <f>SUMPRODUCT($E$210:$M$210,$E236:$M236)</f>
        <v/>
      </c>
      <c r="O236" s="72">
        <f>($F$207-($B$207/100)*($D$208+N236))/(1+($B$207/100)*$D$207)-$D236</f>
        <v/>
      </c>
    </row>
    <row r="237">
      <c r="B237" s="83">
        <f>IF(O236&gt;0,D236,B236)</f>
        <v/>
      </c>
      <c r="C237" s="83">
        <f>IF(O236&gt;0,C236,D236)</f>
        <v/>
      </c>
      <c r="D237" s="83">
        <f>(B237+C237)/2</f>
        <v/>
      </c>
      <c r="E237" s="83">
        <f>IF($D237&lt;=0,0,$B$208*($D237/$B$208)^E$211)</f>
        <v/>
      </c>
      <c r="F237" s="83">
        <f>IF($D237&lt;=0,0,$B$208*($D237/$B$208)^F$211)</f>
        <v/>
      </c>
      <c r="G237" s="83">
        <f>IF($D237&lt;=0,0,$B$208*($D237/$B$208)^G$211)</f>
        <v/>
      </c>
      <c r="H237" s="83">
        <f>IF($D237&lt;=0,0,$B$208*($D237/$B$208)^H$211)</f>
        <v/>
      </c>
      <c r="I237" s="83" t="n">
        <v>0</v>
      </c>
      <c r="J237" s="83" t="n">
        <v>0</v>
      </c>
      <c r="K237" s="83" t="n">
        <v>0</v>
      </c>
      <c r="L237" s="83" t="n">
        <v>0</v>
      </c>
      <c r="M237" s="83" t="n">
        <v>0</v>
      </c>
      <c r="N237" s="83">
        <f>SUMPRODUCT($E$210:$M$210,$E237:$M237)</f>
        <v/>
      </c>
      <c r="O237" s="72">
        <f>($F$207-($B$207/100)*($D$208+N237))/(1+($B$207/100)*$D$207)-$D237</f>
        <v/>
      </c>
    </row>
    <row r="238">
      <c r="B238" s="83">
        <f>IF(O237&gt;0,D237,B237)</f>
        <v/>
      </c>
      <c r="C238" s="83">
        <f>IF(O237&gt;0,C237,D237)</f>
        <v/>
      </c>
      <c r="D238" s="83">
        <f>(B238+C238)/2</f>
        <v/>
      </c>
      <c r="E238" s="83">
        <f>IF($D238&lt;=0,0,$B$208*($D238/$B$208)^E$211)</f>
        <v/>
      </c>
      <c r="F238" s="83">
        <f>IF($D238&lt;=0,0,$B$208*($D238/$B$208)^F$211)</f>
        <v/>
      </c>
      <c r="G238" s="83">
        <f>IF($D238&lt;=0,0,$B$208*($D238/$B$208)^G$211)</f>
        <v/>
      </c>
      <c r="H238" s="83">
        <f>IF($D238&lt;=0,0,$B$208*($D238/$B$208)^H$211)</f>
        <v/>
      </c>
      <c r="I238" s="83" t="n">
        <v>0</v>
      </c>
      <c r="J238" s="83" t="n">
        <v>0</v>
      </c>
      <c r="K238" s="83" t="n">
        <v>0</v>
      </c>
      <c r="L238" s="83" t="n">
        <v>0</v>
      </c>
      <c r="M238" s="83" t="n">
        <v>0</v>
      </c>
      <c r="N238" s="83">
        <f>SUMPRODUCT($E$210:$M$210,$E238:$M238)</f>
        <v/>
      </c>
      <c r="O238" s="72">
        <f>($F$207-($B$207/100)*($D$208+N238))/(1+($B$207/100)*$D$207)-$D238</f>
        <v/>
      </c>
    </row>
    <row r="239">
      <c r="B239" s="83">
        <f>IF(O238&gt;0,D238,B238)</f>
        <v/>
      </c>
      <c r="C239" s="83">
        <f>IF(O238&gt;0,C238,D238)</f>
        <v/>
      </c>
      <c r="D239" s="83">
        <f>(B239+C239)/2</f>
        <v/>
      </c>
      <c r="E239" s="83">
        <f>IF($D239&lt;=0,0,$B$208*($D239/$B$208)^E$211)</f>
        <v/>
      </c>
      <c r="F239" s="83">
        <f>IF($D239&lt;=0,0,$B$208*($D239/$B$208)^F$211)</f>
        <v/>
      </c>
      <c r="G239" s="83">
        <f>IF($D239&lt;=0,0,$B$208*($D239/$B$208)^G$211)</f>
        <v/>
      </c>
      <c r="H239" s="83">
        <f>IF($D239&lt;=0,0,$B$208*($D239/$B$208)^H$211)</f>
        <v/>
      </c>
      <c r="I239" s="83" t="n">
        <v>0</v>
      </c>
      <c r="J239" s="83" t="n">
        <v>0</v>
      </c>
      <c r="K239" s="83" t="n">
        <v>0</v>
      </c>
      <c r="L239" s="83" t="n">
        <v>0</v>
      </c>
      <c r="M239" s="83" t="n">
        <v>0</v>
      </c>
      <c r="N239" s="83">
        <f>SUMPRODUCT($E$210:$M$210,$E239:$M239)</f>
        <v/>
      </c>
      <c r="O239" s="72">
        <f>($F$207-($B$207/100)*($D$208+N239))/(1+($B$207/100)*$D$207)-$D239</f>
        <v/>
      </c>
    </row>
    <row r="240">
      <c r="B240" s="83">
        <f>IF(O239&gt;0,D239,B239)</f>
        <v/>
      </c>
      <c r="C240" s="83">
        <f>IF(O239&gt;0,C239,D239)</f>
        <v/>
      </c>
      <c r="D240" s="83">
        <f>(B240+C240)/2</f>
        <v/>
      </c>
      <c r="E240" s="83">
        <f>IF($D240&lt;=0,0,$B$208*($D240/$B$208)^E$211)</f>
        <v/>
      </c>
      <c r="F240" s="83">
        <f>IF($D240&lt;=0,0,$B$208*($D240/$B$208)^F$211)</f>
        <v/>
      </c>
      <c r="G240" s="83">
        <f>IF($D240&lt;=0,0,$B$208*($D240/$B$208)^G$211)</f>
        <v/>
      </c>
      <c r="H240" s="83">
        <f>IF($D240&lt;=0,0,$B$208*($D240/$B$208)^H$211)</f>
        <v/>
      </c>
      <c r="I240" s="83" t="n">
        <v>0</v>
      </c>
      <c r="J240" s="83" t="n">
        <v>0</v>
      </c>
      <c r="K240" s="83" t="n">
        <v>0</v>
      </c>
      <c r="L240" s="83" t="n">
        <v>0</v>
      </c>
      <c r="M240" s="83" t="n">
        <v>0</v>
      </c>
      <c r="N240" s="83">
        <f>SUMPRODUCT($E$210:$M$210,$E240:$M240)</f>
        <v/>
      </c>
      <c r="O240" s="72">
        <f>($F$207-($B$207/100)*($D$208+N240))/(1+($B$207/100)*$D$207)-$D240</f>
        <v/>
      </c>
    </row>
    <row r="241">
      <c r="B241" s="83">
        <f>IF(O240&gt;0,D240,B240)</f>
        <v/>
      </c>
      <c r="C241" s="83">
        <f>IF(O240&gt;0,C240,D240)</f>
        <v/>
      </c>
      <c r="D241" s="83">
        <f>(B241+C241)/2</f>
        <v/>
      </c>
      <c r="E241" s="83">
        <f>IF($D241&lt;=0,0,$B$208*($D241/$B$208)^E$211)</f>
        <v/>
      </c>
      <c r="F241" s="83">
        <f>IF($D241&lt;=0,0,$B$208*($D241/$B$208)^F$211)</f>
        <v/>
      </c>
      <c r="G241" s="83">
        <f>IF($D241&lt;=0,0,$B$208*($D241/$B$208)^G$211)</f>
        <v/>
      </c>
      <c r="H241" s="83">
        <f>IF($D241&lt;=0,0,$B$208*($D241/$B$208)^H$211)</f>
        <v/>
      </c>
      <c r="I241" s="83" t="n">
        <v>0</v>
      </c>
      <c r="J241" s="83" t="n">
        <v>0</v>
      </c>
      <c r="K241" s="83" t="n">
        <v>0</v>
      </c>
      <c r="L241" s="83" t="n">
        <v>0</v>
      </c>
      <c r="M241" s="83" t="n">
        <v>0</v>
      </c>
      <c r="N241" s="83">
        <f>SUMPRODUCT($E$210:$M$210,$E241:$M241)</f>
        <v/>
      </c>
      <c r="O241" s="72">
        <f>($F$207-($B$207/100)*($D$208+N241))/(1+($B$207/100)*$D$207)-$D241</f>
        <v/>
      </c>
    </row>
    <row r="242">
      <c r="B242" s="83">
        <f>IF(O241&gt;0,D241,B241)</f>
        <v/>
      </c>
      <c r="C242" s="83">
        <f>IF(O241&gt;0,C241,D241)</f>
        <v/>
      </c>
      <c r="D242" s="83">
        <f>(B242+C242)/2</f>
        <v/>
      </c>
      <c r="E242" s="83">
        <f>IF($D242&lt;=0,0,$B$208*($D242/$B$208)^E$211)</f>
        <v/>
      </c>
      <c r="F242" s="83">
        <f>IF($D242&lt;=0,0,$B$208*($D242/$B$208)^F$211)</f>
        <v/>
      </c>
      <c r="G242" s="83">
        <f>IF($D242&lt;=0,0,$B$208*($D242/$B$208)^G$211)</f>
        <v/>
      </c>
      <c r="H242" s="83">
        <f>IF($D242&lt;=0,0,$B$208*($D242/$B$208)^H$211)</f>
        <v/>
      </c>
      <c r="I242" s="83" t="n">
        <v>0</v>
      </c>
      <c r="J242" s="83" t="n">
        <v>0</v>
      </c>
      <c r="K242" s="83" t="n">
        <v>0</v>
      </c>
      <c r="L242" s="83" t="n">
        <v>0</v>
      </c>
      <c r="M242" s="83" t="n">
        <v>0</v>
      </c>
      <c r="N242" s="83">
        <f>SUMPRODUCT($E$210:$M$210,$E242:$M242)</f>
        <v/>
      </c>
      <c r="O242" s="72">
        <f>($F$207-($B$207/100)*($D$208+N242))/(1+($B$207/100)*$D$207)-$D242</f>
        <v/>
      </c>
    </row>
    <row r="243">
      <c r="B243" s="83">
        <f>IF(O242&gt;0,D242,B242)</f>
        <v/>
      </c>
      <c r="C243" s="83">
        <f>IF(O242&gt;0,C242,D242)</f>
        <v/>
      </c>
      <c r="D243" s="83">
        <f>(B243+C243)/2</f>
        <v/>
      </c>
      <c r="E243" s="83">
        <f>IF($D243&lt;=0,0,$B$208*($D243/$B$208)^E$211)</f>
        <v/>
      </c>
      <c r="F243" s="83">
        <f>IF($D243&lt;=0,0,$B$208*($D243/$B$208)^F$211)</f>
        <v/>
      </c>
      <c r="G243" s="83">
        <f>IF($D243&lt;=0,0,$B$208*($D243/$B$208)^G$211)</f>
        <v/>
      </c>
      <c r="H243" s="83">
        <f>IF($D243&lt;=0,0,$B$208*($D243/$B$208)^H$211)</f>
        <v/>
      </c>
      <c r="I243" s="83" t="n">
        <v>0</v>
      </c>
      <c r="J243" s="83" t="n">
        <v>0</v>
      </c>
      <c r="K243" s="83" t="n">
        <v>0</v>
      </c>
      <c r="L243" s="83" t="n">
        <v>0</v>
      </c>
      <c r="M243" s="83" t="n">
        <v>0</v>
      </c>
      <c r="N243" s="83">
        <f>SUMPRODUCT($E$210:$M$210,$E243:$M243)</f>
        <v/>
      </c>
      <c r="O243" s="72">
        <f>($F$207-($B$207/100)*($D$208+N243))/(1+($B$207/100)*$D$207)-$D243</f>
        <v/>
      </c>
    </row>
    <row r="244">
      <c r="B244" s="83">
        <f>IF(O243&gt;0,D243,B243)</f>
        <v/>
      </c>
      <c r="C244" s="83">
        <f>IF(O243&gt;0,C243,D243)</f>
        <v/>
      </c>
      <c r="D244" s="83">
        <f>(B244+C244)/2</f>
        <v/>
      </c>
      <c r="E244" s="83">
        <f>IF($D244&lt;=0,0,$B$208*($D244/$B$208)^E$211)</f>
        <v/>
      </c>
      <c r="F244" s="83">
        <f>IF($D244&lt;=0,0,$B$208*($D244/$B$208)^F$211)</f>
        <v/>
      </c>
      <c r="G244" s="83">
        <f>IF($D244&lt;=0,0,$B$208*($D244/$B$208)^G$211)</f>
        <v/>
      </c>
      <c r="H244" s="83">
        <f>IF($D244&lt;=0,0,$B$208*($D244/$B$208)^H$211)</f>
        <v/>
      </c>
      <c r="I244" s="83" t="n">
        <v>0</v>
      </c>
      <c r="J244" s="83" t="n">
        <v>0</v>
      </c>
      <c r="K244" s="83" t="n">
        <v>0</v>
      </c>
      <c r="L244" s="83" t="n">
        <v>0</v>
      </c>
      <c r="M244" s="83" t="n">
        <v>0</v>
      </c>
      <c r="N244" s="83">
        <f>SUMPRODUCT($E$210:$M$210,$E244:$M244)</f>
        <v/>
      </c>
      <c r="O244" s="72">
        <f>($F$207-($B$207/100)*($D$208+N244))/(1+($B$207/100)*$D$207)-$D244</f>
        <v/>
      </c>
    </row>
    <row r="245">
      <c r="B245" s="83">
        <f>IF(O244&gt;0,D244,B244)</f>
        <v/>
      </c>
      <c r="C245" s="83">
        <f>IF(O244&gt;0,C244,D244)</f>
        <v/>
      </c>
      <c r="D245" s="83">
        <f>(B245+C245)/2</f>
        <v/>
      </c>
      <c r="E245" s="83">
        <f>IF($D245&lt;=0,0,$B$208*($D245/$B$208)^E$211)</f>
        <v/>
      </c>
      <c r="F245" s="83">
        <f>IF($D245&lt;=0,0,$B$208*($D245/$B$208)^F$211)</f>
        <v/>
      </c>
      <c r="G245" s="83">
        <f>IF($D245&lt;=0,0,$B$208*($D245/$B$208)^G$211)</f>
        <v/>
      </c>
      <c r="H245" s="83">
        <f>IF($D245&lt;=0,0,$B$208*($D245/$B$208)^H$211)</f>
        <v/>
      </c>
      <c r="I245" s="83" t="n">
        <v>0</v>
      </c>
      <c r="J245" s="83" t="n">
        <v>0</v>
      </c>
      <c r="K245" s="83" t="n">
        <v>0</v>
      </c>
      <c r="L245" s="83" t="n">
        <v>0</v>
      </c>
      <c r="M245" s="83" t="n">
        <v>0</v>
      </c>
      <c r="N245" s="83">
        <f>SUMPRODUCT($E$210:$M$210,$E245:$M245)</f>
        <v/>
      </c>
      <c r="O245" s="72">
        <f>($F$207-($B$207/100)*($D$208+N245))/(1+($B$207/100)*$D$207)-$D245</f>
        <v/>
      </c>
    </row>
    <row r="246">
      <c r="B246" s="83">
        <f>IF(O245&gt;0,D245,B245)</f>
        <v/>
      </c>
      <c r="C246" s="83">
        <f>IF(O245&gt;0,C245,D245)</f>
        <v/>
      </c>
      <c r="D246" s="83">
        <f>(B246+C246)/2</f>
        <v/>
      </c>
      <c r="E246" s="83">
        <f>IF($D246&lt;=0,0,$B$208*($D246/$B$208)^E$211)</f>
        <v/>
      </c>
      <c r="F246" s="83">
        <f>IF($D246&lt;=0,0,$B$208*($D246/$B$208)^F$211)</f>
        <v/>
      </c>
      <c r="G246" s="83">
        <f>IF($D246&lt;=0,0,$B$208*($D246/$B$208)^G$211)</f>
        <v/>
      </c>
      <c r="H246" s="83">
        <f>IF($D246&lt;=0,0,$B$208*($D246/$B$208)^H$211)</f>
        <v/>
      </c>
      <c r="I246" s="83" t="n">
        <v>0</v>
      </c>
      <c r="J246" s="83" t="n">
        <v>0</v>
      </c>
      <c r="K246" s="83" t="n">
        <v>0</v>
      </c>
      <c r="L246" s="83" t="n">
        <v>0</v>
      </c>
      <c r="M246" s="83" t="n">
        <v>0</v>
      </c>
      <c r="N246" s="83">
        <f>SUMPRODUCT($E$210:$M$210,$E246:$M246)</f>
        <v/>
      </c>
      <c r="O246" s="72">
        <f>($F$207-($B$207/100)*($D$208+N246))/(1+($B$207/100)*$D$207)-$D246</f>
        <v/>
      </c>
    </row>
    <row r="247">
      <c r="B247" s="83">
        <f>IF(O246&gt;0,D246,B246)</f>
        <v/>
      </c>
      <c r="C247" s="83">
        <f>IF(O246&gt;0,C246,D246)</f>
        <v/>
      </c>
      <c r="D247" s="83">
        <f>(B247+C247)/2</f>
        <v/>
      </c>
      <c r="E247" s="83">
        <f>IF($D247&lt;=0,0,$B$208*($D247/$B$208)^E$211)</f>
        <v/>
      </c>
      <c r="F247" s="83">
        <f>IF($D247&lt;=0,0,$B$208*($D247/$B$208)^F$211)</f>
        <v/>
      </c>
      <c r="G247" s="83">
        <f>IF($D247&lt;=0,0,$B$208*($D247/$B$208)^G$211)</f>
        <v/>
      </c>
      <c r="H247" s="83">
        <f>IF($D247&lt;=0,0,$B$208*($D247/$B$208)^H$211)</f>
        <v/>
      </c>
      <c r="I247" s="83" t="n">
        <v>0</v>
      </c>
      <c r="J247" s="83" t="n">
        <v>0</v>
      </c>
      <c r="K247" s="83" t="n">
        <v>0</v>
      </c>
      <c r="L247" s="83" t="n">
        <v>0</v>
      </c>
      <c r="M247" s="83" t="n">
        <v>0</v>
      </c>
      <c r="N247" s="83">
        <f>SUMPRODUCT($E$210:$M$210,$E247:$M247)</f>
        <v/>
      </c>
      <c r="O247" s="72">
        <f>($F$207-($B$207/100)*($D$208+N247))/(1+($B$207/100)*$D$207)-$D247</f>
        <v/>
      </c>
    </row>
    <row r="248">
      <c r="B248" s="83">
        <f>IF(O247&gt;0,D247,B247)</f>
        <v/>
      </c>
      <c r="C248" s="83">
        <f>IF(O247&gt;0,C247,D247)</f>
        <v/>
      </c>
      <c r="D248" s="83">
        <f>(B248+C248)/2</f>
        <v/>
      </c>
      <c r="E248" s="83">
        <f>IF($D248&lt;=0,0,$B$208*($D248/$B$208)^E$211)</f>
        <v/>
      </c>
      <c r="F248" s="83">
        <f>IF($D248&lt;=0,0,$B$208*($D248/$B$208)^F$211)</f>
        <v/>
      </c>
      <c r="G248" s="83">
        <f>IF($D248&lt;=0,0,$B$208*($D248/$B$208)^G$211)</f>
        <v/>
      </c>
      <c r="H248" s="83">
        <f>IF($D248&lt;=0,0,$B$208*($D248/$B$208)^H$211)</f>
        <v/>
      </c>
      <c r="I248" s="83" t="n">
        <v>0</v>
      </c>
      <c r="J248" s="83" t="n">
        <v>0</v>
      </c>
      <c r="K248" s="83" t="n">
        <v>0</v>
      </c>
      <c r="L248" s="83" t="n">
        <v>0</v>
      </c>
      <c r="M248" s="83" t="n">
        <v>0</v>
      </c>
      <c r="N248" s="83">
        <f>SUMPRODUCT($E$210:$M$210,$E248:$M248)</f>
        <v/>
      </c>
      <c r="O248" s="72">
        <f>($F$207-($B$207/100)*($D$208+N248))/(1+($B$207/100)*$D$207)-$D248</f>
        <v/>
      </c>
    </row>
    <row r="249">
      <c r="B249" s="83">
        <f>IF(O248&gt;0,D248,B248)</f>
        <v/>
      </c>
      <c r="C249" s="83">
        <f>IF(O248&gt;0,C248,D248)</f>
        <v/>
      </c>
      <c r="D249" s="83">
        <f>(B249+C249)/2</f>
        <v/>
      </c>
      <c r="E249" s="83">
        <f>IF($D249&lt;=0,0,$B$208*($D249/$B$208)^E$211)</f>
        <v/>
      </c>
      <c r="F249" s="83">
        <f>IF($D249&lt;=0,0,$B$208*($D249/$B$208)^F$211)</f>
        <v/>
      </c>
      <c r="G249" s="83">
        <f>IF($D249&lt;=0,0,$B$208*($D249/$B$208)^G$211)</f>
        <v/>
      </c>
      <c r="H249" s="83">
        <f>IF($D249&lt;=0,0,$B$208*($D249/$B$208)^H$211)</f>
        <v/>
      </c>
      <c r="I249" s="83" t="n">
        <v>0</v>
      </c>
      <c r="J249" s="83" t="n">
        <v>0</v>
      </c>
      <c r="K249" s="83" t="n">
        <v>0</v>
      </c>
      <c r="L249" s="83" t="n">
        <v>0</v>
      </c>
      <c r="M249" s="83" t="n">
        <v>0</v>
      </c>
      <c r="N249" s="83">
        <f>SUMPRODUCT($E$210:$M$210,$E249:$M249)</f>
        <v/>
      </c>
      <c r="O249" s="72">
        <f>($F$207-($B$207/100)*($D$208+N249))/(1+($B$207/100)*$D$207)-$D249</f>
        <v/>
      </c>
    </row>
    <row r="250">
      <c r="B250" s="83">
        <f>IF(O249&gt;0,D249,B249)</f>
        <v/>
      </c>
      <c r="C250" s="83">
        <f>IF(O249&gt;0,C249,D249)</f>
        <v/>
      </c>
      <c r="D250" s="83">
        <f>(B250+C250)/2</f>
        <v/>
      </c>
      <c r="E250" s="83">
        <f>IF($D250&lt;=0,0,$B$208*($D250/$B$208)^E$211)</f>
        <v/>
      </c>
      <c r="F250" s="83">
        <f>IF($D250&lt;=0,0,$B$208*($D250/$B$208)^F$211)</f>
        <v/>
      </c>
      <c r="G250" s="83">
        <f>IF($D250&lt;=0,0,$B$208*($D250/$B$208)^G$211)</f>
        <v/>
      </c>
      <c r="H250" s="83">
        <f>IF($D250&lt;=0,0,$B$208*($D250/$B$208)^H$211)</f>
        <v/>
      </c>
      <c r="I250" s="83" t="n">
        <v>0</v>
      </c>
      <c r="J250" s="83" t="n">
        <v>0</v>
      </c>
      <c r="K250" s="83" t="n">
        <v>0</v>
      </c>
      <c r="L250" s="83" t="n">
        <v>0</v>
      </c>
      <c r="M250" s="83" t="n">
        <v>0</v>
      </c>
      <c r="N250" s="83">
        <f>SUMPRODUCT($E$210:$M$210,$E250:$M250)</f>
        <v/>
      </c>
      <c r="O250" s="72">
        <f>($F$207-($B$207/100)*($D$208+N250))/(1+($B$207/100)*$D$207)-$D250</f>
        <v/>
      </c>
    </row>
    <row r="251">
      <c r="B251" s="83">
        <f>IF(O250&gt;0,D250,B250)</f>
        <v/>
      </c>
      <c r="C251" s="83">
        <f>IF(O250&gt;0,C250,D250)</f>
        <v/>
      </c>
      <c r="D251" s="83">
        <f>(B251+C251)/2</f>
        <v/>
      </c>
      <c r="E251" s="83">
        <f>IF($D251&lt;=0,0,$B$208*($D251/$B$208)^E$211)</f>
        <v/>
      </c>
      <c r="F251" s="83">
        <f>IF($D251&lt;=0,0,$B$208*($D251/$B$208)^F$211)</f>
        <v/>
      </c>
      <c r="G251" s="83">
        <f>IF($D251&lt;=0,0,$B$208*($D251/$B$208)^G$211)</f>
        <v/>
      </c>
      <c r="H251" s="83">
        <f>IF($D251&lt;=0,0,$B$208*($D251/$B$208)^H$211)</f>
        <v/>
      </c>
      <c r="I251" s="83" t="n">
        <v>0</v>
      </c>
      <c r="J251" s="83" t="n">
        <v>0</v>
      </c>
      <c r="K251" s="83" t="n">
        <v>0</v>
      </c>
      <c r="L251" s="83" t="n">
        <v>0</v>
      </c>
      <c r="M251" s="83" t="n">
        <v>0</v>
      </c>
      <c r="N251" s="83">
        <f>SUMPRODUCT($E$210:$M$210,$E251:$M251)</f>
        <v/>
      </c>
      <c r="O251" s="72">
        <f>($F$207-($B$207/100)*($D$208+N251))/(1+($B$207/100)*$D$207)-$D251</f>
        <v/>
      </c>
    </row>
    <row r="252">
      <c r="B252" s="83">
        <f>IF(O251&gt;0,D251,B251)</f>
        <v/>
      </c>
      <c r="C252" s="83">
        <f>IF(O251&gt;0,C251,D251)</f>
        <v/>
      </c>
      <c r="D252" s="83">
        <f>(B252+C252)/2</f>
        <v/>
      </c>
      <c r="E252" s="83">
        <f>IF($D252&lt;=0,0,$B$208*($D252/$B$208)^E$211)</f>
        <v/>
      </c>
      <c r="F252" s="83">
        <f>IF($D252&lt;=0,0,$B$208*($D252/$B$208)^F$211)</f>
        <v/>
      </c>
      <c r="G252" s="83">
        <f>IF($D252&lt;=0,0,$B$208*($D252/$B$208)^G$211)</f>
        <v/>
      </c>
      <c r="H252" s="83">
        <f>IF($D252&lt;=0,0,$B$208*($D252/$B$208)^H$211)</f>
        <v/>
      </c>
      <c r="I252" s="83" t="n">
        <v>0</v>
      </c>
      <c r="J252" s="83" t="n">
        <v>0</v>
      </c>
      <c r="K252" s="83" t="n">
        <v>0</v>
      </c>
      <c r="L252" s="83" t="n">
        <v>0</v>
      </c>
      <c r="M252" s="83" t="n">
        <v>0</v>
      </c>
      <c r="N252" s="83">
        <f>SUMPRODUCT($E$210:$M$210,$E252:$M252)</f>
        <v/>
      </c>
      <c r="O252" s="72">
        <f>($F$207-($B$207/100)*($D$208+N252))/(1+($B$207/100)*$D$207)-$D252</f>
        <v/>
      </c>
    </row>
    <row r="253">
      <c r="A253" s="67" t="inlineStr">
        <is>
          <t>DF(30Y) SOLVED</t>
        </is>
      </c>
      <c r="B253" s="81">
        <f>D252</f>
        <v/>
      </c>
      <c r="C253" s="67" t="inlineStr">
        <is>
          <t>resid</t>
        </is>
      </c>
      <c r="D253" s="72">
        <f>O252</f>
        <v/>
      </c>
      <c r="E253" s="67" t="inlineStr">
        <is>
          <t>zero %</t>
        </is>
      </c>
      <c r="F253" s="63">
        <f>-LN(B253)/$H$207*100</f>
        <v/>
      </c>
    </row>
    <row r="256">
      <c r="A256" s="73" t="inlineStr">
        <is>
          <t>PILLAR 40Y  —  Bootstrap row 62  —  anchor row 52  —  9 gap row(s)</t>
        </is>
      </c>
      <c r="B256" s="74" t="n"/>
      <c r="C256" s="74" t="n"/>
      <c r="D256" s="74" t="n"/>
      <c r="E256" s="74" t="n"/>
      <c r="F256" s="74" t="n"/>
      <c r="G256" s="74" t="n"/>
      <c r="H256" s="74" t="n"/>
      <c r="I256" s="74" t="n"/>
      <c r="J256" s="74" t="n"/>
      <c r="K256" s="74" t="n"/>
      <c r="L256" s="74" t="n"/>
      <c r="M256" s="74" t="n"/>
      <c r="N256" s="74" t="n"/>
      <c r="O256" s="74" t="n"/>
    </row>
    <row r="257">
      <c r="A257" s="67" t="inlineStr">
        <is>
          <t>S_B (%)</t>
        </is>
      </c>
      <c r="B257" s="75">
        <f>Bootstrap!$E$62</f>
        <v/>
      </c>
      <c r="C257" s="67" t="inlineStr">
        <is>
          <t>tau_B</t>
        </is>
      </c>
      <c r="D257" s="79">
        <f>Bootstrap!$F$62</f>
        <v/>
      </c>
      <c r="E257" s="67" t="inlineStr">
        <is>
          <t>DFspot</t>
        </is>
      </c>
      <c r="F257" s="82">
        <f>Bootstrap!$D$4</f>
        <v/>
      </c>
      <c r="G257" s="67" t="inlineStr">
        <is>
          <t>C_B</t>
        </is>
      </c>
      <c r="H257" s="79">
        <f>Bootstrap!$C$62</f>
        <v/>
      </c>
    </row>
    <row r="258">
      <c r="A258" s="67" t="inlineStr">
        <is>
          <t>DF_A (anchor)</t>
        </is>
      </c>
      <c r="B258" s="82">
        <f>Bootstrap!$H$52</f>
        <v/>
      </c>
      <c r="C258" s="67" t="inlineStr">
        <is>
          <t>A_anchor</t>
        </is>
      </c>
      <c r="D258" s="82">
        <f>SUM(Bootstrap!$I$8:$I$52)</f>
        <v/>
      </c>
      <c r="E258" s="67" t="inlineStr">
        <is>
          <t>C_A</t>
        </is>
      </c>
      <c r="F258" s="79">
        <f>Bootstrap!$C$52</f>
        <v/>
      </c>
    </row>
    <row r="259">
      <c r="A259" s="67" t="inlineStr">
        <is>
          <t>gap row</t>
        </is>
      </c>
      <c r="E259" s="78" t="n">
        <v>53</v>
      </c>
      <c r="F259" s="78" t="n">
        <v>54</v>
      </c>
      <c r="G259" s="78" t="n">
        <v>55</v>
      </c>
      <c r="H259" s="78" t="n">
        <v>56</v>
      </c>
      <c r="I259" s="78" t="n">
        <v>57</v>
      </c>
      <c r="J259" s="78" t="n">
        <v>58</v>
      </c>
      <c r="K259" s="78" t="n">
        <v>59</v>
      </c>
      <c r="L259" s="78" t="n">
        <v>60</v>
      </c>
      <c r="M259" s="78" t="n">
        <v>61</v>
      </c>
    </row>
    <row r="260">
      <c r="A260" s="67" t="inlineStr">
        <is>
          <t>tau_g</t>
        </is>
      </c>
      <c r="E260" s="79">
        <f>Bootstrap!$F$53</f>
        <v/>
      </c>
      <c r="F260" s="79">
        <f>Bootstrap!$F$54</f>
        <v/>
      </c>
      <c r="G260" s="79">
        <f>Bootstrap!$F$55</f>
        <v/>
      </c>
      <c r="H260" s="79">
        <f>Bootstrap!$F$56</f>
        <v/>
      </c>
      <c r="I260" s="79">
        <f>Bootstrap!$F$57</f>
        <v/>
      </c>
      <c r="J260" s="79">
        <f>Bootstrap!$F$58</f>
        <v/>
      </c>
      <c r="K260" s="79">
        <f>Bootstrap!$F$59</f>
        <v/>
      </c>
      <c r="L260" s="79">
        <f>Bootstrap!$F$60</f>
        <v/>
      </c>
      <c r="M260" s="79">
        <f>Bootstrap!$F$61</f>
        <v/>
      </c>
    </row>
    <row r="261">
      <c r="A261" s="67" t="inlineStr">
        <is>
          <t>weight w_g</t>
        </is>
      </c>
      <c r="E261" s="80">
        <f>(Bootstrap!$C$53-$F$258)/($H$257-$F$258)</f>
        <v/>
      </c>
      <c r="F261" s="80">
        <f>(Bootstrap!$C$54-$F$258)/($H$257-$F$258)</f>
        <v/>
      </c>
      <c r="G261" s="80">
        <f>(Bootstrap!$C$55-$F$258)/($H$257-$F$258)</f>
        <v/>
      </c>
      <c r="H261" s="80">
        <f>(Bootstrap!$C$56-$F$258)/($H$257-$F$258)</f>
        <v/>
      </c>
      <c r="I261" s="80">
        <f>(Bootstrap!$C$57-$F$258)/($H$257-$F$258)</f>
        <v/>
      </c>
      <c r="J261" s="80">
        <f>(Bootstrap!$C$58-$F$258)/($H$257-$F$258)</f>
        <v/>
      </c>
      <c r="K261" s="80">
        <f>(Bootstrap!$C$59-$F$258)/($H$257-$F$258)</f>
        <v/>
      </c>
      <c r="L261" s="80">
        <f>(Bootstrap!$C$60-$F$258)/($H$257-$F$258)</f>
        <v/>
      </c>
      <c r="M261" s="80">
        <f>(Bootstrap!$C$61-$F$258)/($H$257-$F$258)</f>
        <v/>
      </c>
    </row>
    <row r="262">
      <c r="A262" s="67" t="inlineStr">
        <is>
          <t>bisection</t>
        </is>
      </c>
      <c r="B262" s="62" t="inlineStr">
        <is>
          <t>lo</t>
        </is>
      </c>
      <c r="C262" s="62" t="inlineStr">
        <is>
          <t>hi</t>
        </is>
      </c>
      <c r="D262" s="62" t="inlineStr">
        <is>
          <t>DF_B trial</t>
        </is>
      </c>
      <c r="E262" s="62" t="inlineStr">
        <is>
          <t>DF_g -&gt;</t>
        </is>
      </c>
      <c r="N262" s="62" t="inlineStr">
        <is>
          <t>gap annuity</t>
        </is>
      </c>
      <c r="O262" s="62" t="inlineStr">
        <is>
          <t>f(DF_B)</t>
        </is>
      </c>
    </row>
    <row r="263">
      <c r="B263" s="83" t="n">
        <v>0</v>
      </c>
      <c r="C263" s="83" t="n">
        <v>1.5</v>
      </c>
      <c r="D263" s="83">
        <f>(B263+C263)/2</f>
        <v/>
      </c>
      <c r="E263" s="83">
        <f>IF($D263&lt;=0,0,$B$258*($D263/$B$258)^E$261)</f>
        <v/>
      </c>
      <c r="F263" s="83">
        <f>IF($D263&lt;=0,0,$B$258*($D263/$B$258)^F$261)</f>
        <v/>
      </c>
      <c r="G263" s="83">
        <f>IF($D263&lt;=0,0,$B$258*($D263/$B$258)^G$261)</f>
        <v/>
      </c>
      <c r="H263" s="83">
        <f>IF($D263&lt;=0,0,$B$258*($D263/$B$258)^H$261)</f>
        <v/>
      </c>
      <c r="I263" s="83">
        <f>IF($D263&lt;=0,0,$B$258*($D263/$B$258)^I$261)</f>
        <v/>
      </c>
      <c r="J263" s="83">
        <f>IF($D263&lt;=0,0,$B$258*($D263/$B$258)^J$261)</f>
        <v/>
      </c>
      <c r="K263" s="83">
        <f>IF($D263&lt;=0,0,$B$258*($D263/$B$258)^K$261)</f>
        <v/>
      </c>
      <c r="L263" s="83">
        <f>IF($D263&lt;=0,0,$B$258*($D263/$B$258)^L$261)</f>
        <v/>
      </c>
      <c r="M263" s="83">
        <f>IF($D263&lt;=0,0,$B$258*($D263/$B$258)^M$261)</f>
        <v/>
      </c>
      <c r="N263" s="83">
        <f>SUMPRODUCT($E$260:$M$260,$E263:$M263)</f>
        <v/>
      </c>
      <c r="O263" s="72">
        <f>($F$257-($B$257/100)*($D$258+N263))/(1+($B$257/100)*$D$257)-$D263</f>
        <v/>
      </c>
    </row>
    <row r="264">
      <c r="B264" s="83">
        <f>IF(O263&gt;0,D263,B263)</f>
        <v/>
      </c>
      <c r="C264" s="83">
        <f>IF(O263&gt;0,C263,D263)</f>
        <v/>
      </c>
      <c r="D264" s="83">
        <f>(B264+C264)/2</f>
        <v/>
      </c>
      <c r="E264" s="83">
        <f>IF($D264&lt;=0,0,$B$258*($D264/$B$258)^E$261)</f>
        <v/>
      </c>
      <c r="F264" s="83">
        <f>IF($D264&lt;=0,0,$B$258*($D264/$B$258)^F$261)</f>
        <v/>
      </c>
      <c r="G264" s="83">
        <f>IF($D264&lt;=0,0,$B$258*($D264/$B$258)^G$261)</f>
        <v/>
      </c>
      <c r="H264" s="83">
        <f>IF($D264&lt;=0,0,$B$258*($D264/$B$258)^H$261)</f>
        <v/>
      </c>
      <c r="I264" s="83">
        <f>IF($D264&lt;=0,0,$B$258*($D264/$B$258)^I$261)</f>
        <v/>
      </c>
      <c r="J264" s="83">
        <f>IF($D264&lt;=0,0,$B$258*($D264/$B$258)^J$261)</f>
        <v/>
      </c>
      <c r="K264" s="83">
        <f>IF($D264&lt;=0,0,$B$258*($D264/$B$258)^K$261)</f>
        <v/>
      </c>
      <c r="L264" s="83">
        <f>IF($D264&lt;=0,0,$B$258*($D264/$B$258)^L$261)</f>
        <v/>
      </c>
      <c r="M264" s="83">
        <f>IF($D264&lt;=0,0,$B$258*($D264/$B$258)^M$261)</f>
        <v/>
      </c>
      <c r="N264" s="83">
        <f>SUMPRODUCT($E$260:$M$260,$E264:$M264)</f>
        <v/>
      </c>
      <c r="O264" s="72">
        <f>($F$257-($B$257/100)*($D$258+N264))/(1+($B$257/100)*$D$257)-$D264</f>
        <v/>
      </c>
    </row>
    <row r="265">
      <c r="B265" s="83">
        <f>IF(O264&gt;0,D264,B264)</f>
        <v/>
      </c>
      <c r="C265" s="83">
        <f>IF(O264&gt;0,C264,D264)</f>
        <v/>
      </c>
      <c r="D265" s="83">
        <f>(B265+C265)/2</f>
        <v/>
      </c>
      <c r="E265" s="83">
        <f>IF($D265&lt;=0,0,$B$258*($D265/$B$258)^E$261)</f>
        <v/>
      </c>
      <c r="F265" s="83">
        <f>IF($D265&lt;=0,0,$B$258*($D265/$B$258)^F$261)</f>
        <v/>
      </c>
      <c r="G265" s="83">
        <f>IF($D265&lt;=0,0,$B$258*($D265/$B$258)^G$261)</f>
        <v/>
      </c>
      <c r="H265" s="83">
        <f>IF($D265&lt;=0,0,$B$258*($D265/$B$258)^H$261)</f>
        <v/>
      </c>
      <c r="I265" s="83">
        <f>IF($D265&lt;=0,0,$B$258*($D265/$B$258)^I$261)</f>
        <v/>
      </c>
      <c r="J265" s="83">
        <f>IF($D265&lt;=0,0,$B$258*($D265/$B$258)^J$261)</f>
        <v/>
      </c>
      <c r="K265" s="83">
        <f>IF($D265&lt;=0,0,$B$258*($D265/$B$258)^K$261)</f>
        <v/>
      </c>
      <c r="L265" s="83">
        <f>IF($D265&lt;=0,0,$B$258*($D265/$B$258)^L$261)</f>
        <v/>
      </c>
      <c r="M265" s="83">
        <f>IF($D265&lt;=0,0,$B$258*($D265/$B$258)^M$261)</f>
        <v/>
      </c>
      <c r="N265" s="83">
        <f>SUMPRODUCT($E$260:$M$260,$E265:$M265)</f>
        <v/>
      </c>
      <c r="O265" s="72">
        <f>($F$257-($B$257/100)*($D$258+N265))/(1+($B$257/100)*$D$257)-$D265</f>
        <v/>
      </c>
    </row>
    <row r="266">
      <c r="B266" s="83">
        <f>IF(O265&gt;0,D265,B265)</f>
        <v/>
      </c>
      <c r="C266" s="83">
        <f>IF(O265&gt;0,C265,D265)</f>
        <v/>
      </c>
      <c r="D266" s="83">
        <f>(B266+C266)/2</f>
        <v/>
      </c>
      <c r="E266" s="83">
        <f>IF($D266&lt;=0,0,$B$258*($D266/$B$258)^E$261)</f>
        <v/>
      </c>
      <c r="F266" s="83">
        <f>IF($D266&lt;=0,0,$B$258*($D266/$B$258)^F$261)</f>
        <v/>
      </c>
      <c r="G266" s="83">
        <f>IF($D266&lt;=0,0,$B$258*($D266/$B$258)^G$261)</f>
        <v/>
      </c>
      <c r="H266" s="83">
        <f>IF($D266&lt;=0,0,$B$258*($D266/$B$258)^H$261)</f>
        <v/>
      </c>
      <c r="I266" s="83">
        <f>IF($D266&lt;=0,0,$B$258*($D266/$B$258)^I$261)</f>
        <v/>
      </c>
      <c r="J266" s="83">
        <f>IF($D266&lt;=0,0,$B$258*($D266/$B$258)^J$261)</f>
        <v/>
      </c>
      <c r="K266" s="83">
        <f>IF($D266&lt;=0,0,$B$258*($D266/$B$258)^K$261)</f>
        <v/>
      </c>
      <c r="L266" s="83">
        <f>IF($D266&lt;=0,0,$B$258*($D266/$B$258)^L$261)</f>
        <v/>
      </c>
      <c r="M266" s="83">
        <f>IF($D266&lt;=0,0,$B$258*($D266/$B$258)^M$261)</f>
        <v/>
      </c>
      <c r="N266" s="83">
        <f>SUMPRODUCT($E$260:$M$260,$E266:$M266)</f>
        <v/>
      </c>
      <c r="O266" s="72">
        <f>($F$257-($B$257/100)*($D$258+N266))/(1+($B$257/100)*$D$257)-$D266</f>
        <v/>
      </c>
    </row>
    <row r="267">
      <c r="B267" s="83">
        <f>IF(O266&gt;0,D266,B266)</f>
        <v/>
      </c>
      <c r="C267" s="83">
        <f>IF(O266&gt;0,C266,D266)</f>
        <v/>
      </c>
      <c r="D267" s="83">
        <f>(B267+C267)/2</f>
        <v/>
      </c>
      <c r="E267" s="83">
        <f>IF($D267&lt;=0,0,$B$258*($D267/$B$258)^E$261)</f>
        <v/>
      </c>
      <c r="F267" s="83">
        <f>IF($D267&lt;=0,0,$B$258*($D267/$B$258)^F$261)</f>
        <v/>
      </c>
      <c r="G267" s="83">
        <f>IF($D267&lt;=0,0,$B$258*($D267/$B$258)^G$261)</f>
        <v/>
      </c>
      <c r="H267" s="83">
        <f>IF($D267&lt;=0,0,$B$258*($D267/$B$258)^H$261)</f>
        <v/>
      </c>
      <c r="I267" s="83">
        <f>IF($D267&lt;=0,0,$B$258*($D267/$B$258)^I$261)</f>
        <v/>
      </c>
      <c r="J267" s="83">
        <f>IF($D267&lt;=0,0,$B$258*($D267/$B$258)^J$261)</f>
        <v/>
      </c>
      <c r="K267" s="83">
        <f>IF($D267&lt;=0,0,$B$258*($D267/$B$258)^K$261)</f>
        <v/>
      </c>
      <c r="L267" s="83">
        <f>IF($D267&lt;=0,0,$B$258*($D267/$B$258)^L$261)</f>
        <v/>
      </c>
      <c r="M267" s="83">
        <f>IF($D267&lt;=0,0,$B$258*($D267/$B$258)^M$261)</f>
        <v/>
      </c>
      <c r="N267" s="83">
        <f>SUMPRODUCT($E$260:$M$260,$E267:$M267)</f>
        <v/>
      </c>
      <c r="O267" s="72">
        <f>($F$257-($B$257/100)*($D$258+N267))/(1+($B$257/100)*$D$257)-$D267</f>
        <v/>
      </c>
    </row>
    <row r="268">
      <c r="B268" s="83">
        <f>IF(O267&gt;0,D267,B267)</f>
        <v/>
      </c>
      <c r="C268" s="83">
        <f>IF(O267&gt;0,C267,D267)</f>
        <v/>
      </c>
      <c r="D268" s="83">
        <f>(B268+C268)/2</f>
        <v/>
      </c>
      <c r="E268" s="83">
        <f>IF($D268&lt;=0,0,$B$258*($D268/$B$258)^E$261)</f>
        <v/>
      </c>
      <c r="F268" s="83">
        <f>IF($D268&lt;=0,0,$B$258*($D268/$B$258)^F$261)</f>
        <v/>
      </c>
      <c r="G268" s="83">
        <f>IF($D268&lt;=0,0,$B$258*($D268/$B$258)^G$261)</f>
        <v/>
      </c>
      <c r="H268" s="83">
        <f>IF($D268&lt;=0,0,$B$258*($D268/$B$258)^H$261)</f>
        <v/>
      </c>
      <c r="I268" s="83">
        <f>IF($D268&lt;=0,0,$B$258*($D268/$B$258)^I$261)</f>
        <v/>
      </c>
      <c r="J268" s="83">
        <f>IF($D268&lt;=0,0,$B$258*($D268/$B$258)^J$261)</f>
        <v/>
      </c>
      <c r="K268" s="83">
        <f>IF($D268&lt;=0,0,$B$258*($D268/$B$258)^K$261)</f>
        <v/>
      </c>
      <c r="L268" s="83">
        <f>IF($D268&lt;=0,0,$B$258*($D268/$B$258)^L$261)</f>
        <v/>
      </c>
      <c r="M268" s="83">
        <f>IF($D268&lt;=0,0,$B$258*($D268/$B$258)^M$261)</f>
        <v/>
      </c>
      <c r="N268" s="83">
        <f>SUMPRODUCT($E$260:$M$260,$E268:$M268)</f>
        <v/>
      </c>
      <c r="O268" s="72">
        <f>($F$257-($B$257/100)*($D$258+N268))/(1+($B$257/100)*$D$257)-$D268</f>
        <v/>
      </c>
    </row>
    <row r="269">
      <c r="B269" s="83">
        <f>IF(O268&gt;0,D268,B268)</f>
        <v/>
      </c>
      <c r="C269" s="83">
        <f>IF(O268&gt;0,C268,D268)</f>
        <v/>
      </c>
      <c r="D269" s="83">
        <f>(B269+C269)/2</f>
        <v/>
      </c>
      <c r="E269" s="83">
        <f>IF($D269&lt;=0,0,$B$258*($D269/$B$258)^E$261)</f>
        <v/>
      </c>
      <c r="F269" s="83">
        <f>IF($D269&lt;=0,0,$B$258*($D269/$B$258)^F$261)</f>
        <v/>
      </c>
      <c r="G269" s="83">
        <f>IF($D269&lt;=0,0,$B$258*($D269/$B$258)^G$261)</f>
        <v/>
      </c>
      <c r="H269" s="83">
        <f>IF($D269&lt;=0,0,$B$258*($D269/$B$258)^H$261)</f>
        <v/>
      </c>
      <c r="I269" s="83">
        <f>IF($D269&lt;=0,0,$B$258*($D269/$B$258)^I$261)</f>
        <v/>
      </c>
      <c r="J269" s="83">
        <f>IF($D269&lt;=0,0,$B$258*($D269/$B$258)^J$261)</f>
        <v/>
      </c>
      <c r="K269" s="83">
        <f>IF($D269&lt;=0,0,$B$258*($D269/$B$258)^K$261)</f>
        <v/>
      </c>
      <c r="L269" s="83">
        <f>IF($D269&lt;=0,0,$B$258*($D269/$B$258)^L$261)</f>
        <v/>
      </c>
      <c r="M269" s="83">
        <f>IF($D269&lt;=0,0,$B$258*($D269/$B$258)^M$261)</f>
        <v/>
      </c>
      <c r="N269" s="83">
        <f>SUMPRODUCT($E$260:$M$260,$E269:$M269)</f>
        <v/>
      </c>
      <c r="O269" s="72">
        <f>($F$257-($B$257/100)*($D$258+N269))/(1+($B$257/100)*$D$257)-$D269</f>
        <v/>
      </c>
    </row>
    <row r="270">
      <c r="B270" s="83">
        <f>IF(O269&gt;0,D269,B269)</f>
        <v/>
      </c>
      <c r="C270" s="83">
        <f>IF(O269&gt;0,C269,D269)</f>
        <v/>
      </c>
      <c r="D270" s="83">
        <f>(B270+C270)/2</f>
        <v/>
      </c>
      <c r="E270" s="83">
        <f>IF($D270&lt;=0,0,$B$258*($D270/$B$258)^E$261)</f>
        <v/>
      </c>
      <c r="F270" s="83">
        <f>IF($D270&lt;=0,0,$B$258*($D270/$B$258)^F$261)</f>
        <v/>
      </c>
      <c r="G270" s="83">
        <f>IF($D270&lt;=0,0,$B$258*($D270/$B$258)^G$261)</f>
        <v/>
      </c>
      <c r="H270" s="83">
        <f>IF($D270&lt;=0,0,$B$258*($D270/$B$258)^H$261)</f>
        <v/>
      </c>
      <c r="I270" s="83">
        <f>IF($D270&lt;=0,0,$B$258*($D270/$B$258)^I$261)</f>
        <v/>
      </c>
      <c r="J270" s="83">
        <f>IF($D270&lt;=0,0,$B$258*($D270/$B$258)^J$261)</f>
        <v/>
      </c>
      <c r="K270" s="83">
        <f>IF($D270&lt;=0,0,$B$258*($D270/$B$258)^K$261)</f>
        <v/>
      </c>
      <c r="L270" s="83">
        <f>IF($D270&lt;=0,0,$B$258*($D270/$B$258)^L$261)</f>
        <v/>
      </c>
      <c r="M270" s="83">
        <f>IF($D270&lt;=0,0,$B$258*($D270/$B$258)^M$261)</f>
        <v/>
      </c>
      <c r="N270" s="83">
        <f>SUMPRODUCT($E$260:$M$260,$E270:$M270)</f>
        <v/>
      </c>
      <c r="O270" s="72">
        <f>($F$257-($B$257/100)*($D$258+N270))/(1+($B$257/100)*$D$257)-$D270</f>
        <v/>
      </c>
    </row>
    <row r="271">
      <c r="B271" s="83">
        <f>IF(O270&gt;0,D270,B270)</f>
        <v/>
      </c>
      <c r="C271" s="83">
        <f>IF(O270&gt;0,C270,D270)</f>
        <v/>
      </c>
      <c r="D271" s="83">
        <f>(B271+C271)/2</f>
        <v/>
      </c>
      <c r="E271" s="83">
        <f>IF($D271&lt;=0,0,$B$258*($D271/$B$258)^E$261)</f>
        <v/>
      </c>
      <c r="F271" s="83">
        <f>IF($D271&lt;=0,0,$B$258*($D271/$B$258)^F$261)</f>
        <v/>
      </c>
      <c r="G271" s="83">
        <f>IF($D271&lt;=0,0,$B$258*($D271/$B$258)^G$261)</f>
        <v/>
      </c>
      <c r="H271" s="83">
        <f>IF($D271&lt;=0,0,$B$258*($D271/$B$258)^H$261)</f>
        <v/>
      </c>
      <c r="I271" s="83">
        <f>IF($D271&lt;=0,0,$B$258*($D271/$B$258)^I$261)</f>
        <v/>
      </c>
      <c r="J271" s="83">
        <f>IF($D271&lt;=0,0,$B$258*($D271/$B$258)^J$261)</f>
        <v/>
      </c>
      <c r="K271" s="83">
        <f>IF($D271&lt;=0,0,$B$258*($D271/$B$258)^K$261)</f>
        <v/>
      </c>
      <c r="L271" s="83">
        <f>IF($D271&lt;=0,0,$B$258*($D271/$B$258)^L$261)</f>
        <v/>
      </c>
      <c r="M271" s="83">
        <f>IF($D271&lt;=0,0,$B$258*($D271/$B$258)^M$261)</f>
        <v/>
      </c>
      <c r="N271" s="83">
        <f>SUMPRODUCT($E$260:$M$260,$E271:$M271)</f>
        <v/>
      </c>
      <c r="O271" s="72">
        <f>($F$257-($B$257/100)*($D$258+N271))/(1+($B$257/100)*$D$257)-$D271</f>
        <v/>
      </c>
    </row>
    <row r="272">
      <c r="B272" s="83">
        <f>IF(O271&gt;0,D271,B271)</f>
        <v/>
      </c>
      <c r="C272" s="83">
        <f>IF(O271&gt;0,C271,D271)</f>
        <v/>
      </c>
      <c r="D272" s="83">
        <f>(B272+C272)/2</f>
        <v/>
      </c>
      <c r="E272" s="83">
        <f>IF($D272&lt;=0,0,$B$258*($D272/$B$258)^E$261)</f>
        <v/>
      </c>
      <c r="F272" s="83">
        <f>IF($D272&lt;=0,0,$B$258*($D272/$B$258)^F$261)</f>
        <v/>
      </c>
      <c r="G272" s="83">
        <f>IF($D272&lt;=0,0,$B$258*($D272/$B$258)^G$261)</f>
        <v/>
      </c>
      <c r="H272" s="83">
        <f>IF($D272&lt;=0,0,$B$258*($D272/$B$258)^H$261)</f>
        <v/>
      </c>
      <c r="I272" s="83">
        <f>IF($D272&lt;=0,0,$B$258*($D272/$B$258)^I$261)</f>
        <v/>
      </c>
      <c r="J272" s="83">
        <f>IF($D272&lt;=0,0,$B$258*($D272/$B$258)^J$261)</f>
        <v/>
      </c>
      <c r="K272" s="83">
        <f>IF($D272&lt;=0,0,$B$258*($D272/$B$258)^K$261)</f>
        <v/>
      </c>
      <c r="L272" s="83">
        <f>IF($D272&lt;=0,0,$B$258*($D272/$B$258)^L$261)</f>
        <v/>
      </c>
      <c r="M272" s="83">
        <f>IF($D272&lt;=0,0,$B$258*($D272/$B$258)^M$261)</f>
        <v/>
      </c>
      <c r="N272" s="83">
        <f>SUMPRODUCT($E$260:$M$260,$E272:$M272)</f>
        <v/>
      </c>
      <c r="O272" s="72">
        <f>($F$257-($B$257/100)*($D$258+N272))/(1+($B$257/100)*$D$257)-$D272</f>
        <v/>
      </c>
    </row>
    <row r="273">
      <c r="B273" s="83">
        <f>IF(O272&gt;0,D272,B272)</f>
        <v/>
      </c>
      <c r="C273" s="83">
        <f>IF(O272&gt;0,C272,D272)</f>
        <v/>
      </c>
      <c r="D273" s="83">
        <f>(B273+C273)/2</f>
        <v/>
      </c>
      <c r="E273" s="83">
        <f>IF($D273&lt;=0,0,$B$258*($D273/$B$258)^E$261)</f>
        <v/>
      </c>
      <c r="F273" s="83">
        <f>IF($D273&lt;=0,0,$B$258*($D273/$B$258)^F$261)</f>
        <v/>
      </c>
      <c r="G273" s="83">
        <f>IF($D273&lt;=0,0,$B$258*($D273/$B$258)^G$261)</f>
        <v/>
      </c>
      <c r="H273" s="83">
        <f>IF($D273&lt;=0,0,$B$258*($D273/$B$258)^H$261)</f>
        <v/>
      </c>
      <c r="I273" s="83">
        <f>IF($D273&lt;=0,0,$B$258*($D273/$B$258)^I$261)</f>
        <v/>
      </c>
      <c r="J273" s="83">
        <f>IF($D273&lt;=0,0,$B$258*($D273/$B$258)^J$261)</f>
        <v/>
      </c>
      <c r="K273" s="83">
        <f>IF($D273&lt;=0,0,$B$258*($D273/$B$258)^K$261)</f>
        <v/>
      </c>
      <c r="L273" s="83">
        <f>IF($D273&lt;=0,0,$B$258*($D273/$B$258)^L$261)</f>
        <v/>
      </c>
      <c r="M273" s="83">
        <f>IF($D273&lt;=0,0,$B$258*($D273/$B$258)^M$261)</f>
        <v/>
      </c>
      <c r="N273" s="83">
        <f>SUMPRODUCT($E$260:$M$260,$E273:$M273)</f>
        <v/>
      </c>
      <c r="O273" s="72">
        <f>($F$257-($B$257/100)*($D$258+N273))/(1+($B$257/100)*$D$257)-$D273</f>
        <v/>
      </c>
    </row>
    <row r="274">
      <c r="B274" s="83">
        <f>IF(O273&gt;0,D273,B273)</f>
        <v/>
      </c>
      <c r="C274" s="83">
        <f>IF(O273&gt;0,C273,D273)</f>
        <v/>
      </c>
      <c r="D274" s="83">
        <f>(B274+C274)/2</f>
        <v/>
      </c>
      <c r="E274" s="83">
        <f>IF($D274&lt;=0,0,$B$258*($D274/$B$258)^E$261)</f>
        <v/>
      </c>
      <c r="F274" s="83">
        <f>IF($D274&lt;=0,0,$B$258*($D274/$B$258)^F$261)</f>
        <v/>
      </c>
      <c r="G274" s="83">
        <f>IF($D274&lt;=0,0,$B$258*($D274/$B$258)^G$261)</f>
        <v/>
      </c>
      <c r="H274" s="83">
        <f>IF($D274&lt;=0,0,$B$258*($D274/$B$258)^H$261)</f>
        <v/>
      </c>
      <c r="I274" s="83">
        <f>IF($D274&lt;=0,0,$B$258*($D274/$B$258)^I$261)</f>
        <v/>
      </c>
      <c r="J274" s="83">
        <f>IF($D274&lt;=0,0,$B$258*($D274/$B$258)^J$261)</f>
        <v/>
      </c>
      <c r="K274" s="83">
        <f>IF($D274&lt;=0,0,$B$258*($D274/$B$258)^K$261)</f>
        <v/>
      </c>
      <c r="L274" s="83">
        <f>IF($D274&lt;=0,0,$B$258*($D274/$B$258)^L$261)</f>
        <v/>
      </c>
      <c r="M274" s="83">
        <f>IF($D274&lt;=0,0,$B$258*($D274/$B$258)^M$261)</f>
        <v/>
      </c>
      <c r="N274" s="83">
        <f>SUMPRODUCT($E$260:$M$260,$E274:$M274)</f>
        <v/>
      </c>
      <c r="O274" s="72">
        <f>($F$257-($B$257/100)*($D$258+N274))/(1+($B$257/100)*$D$257)-$D274</f>
        <v/>
      </c>
    </row>
    <row r="275">
      <c r="B275" s="83">
        <f>IF(O274&gt;0,D274,B274)</f>
        <v/>
      </c>
      <c r="C275" s="83">
        <f>IF(O274&gt;0,C274,D274)</f>
        <v/>
      </c>
      <c r="D275" s="83">
        <f>(B275+C275)/2</f>
        <v/>
      </c>
      <c r="E275" s="83">
        <f>IF($D275&lt;=0,0,$B$258*($D275/$B$258)^E$261)</f>
        <v/>
      </c>
      <c r="F275" s="83">
        <f>IF($D275&lt;=0,0,$B$258*($D275/$B$258)^F$261)</f>
        <v/>
      </c>
      <c r="G275" s="83">
        <f>IF($D275&lt;=0,0,$B$258*($D275/$B$258)^G$261)</f>
        <v/>
      </c>
      <c r="H275" s="83">
        <f>IF($D275&lt;=0,0,$B$258*($D275/$B$258)^H$261)</f>
        <v/>
      </c>
      <c r="I275" s="83">
        <f>IF($D275&lt;=0,0,$B$258*($D275/$B$258)^I$261)</f>
        <v/>
      </c>
      <c r="J275" s="83">
        <f>IF($D275&lt;=0,0,$B$258*($D275/$B$258)^J$261)</f>
        <v/>
      </c>
      <c r="K275" s="83">
        <f>IF($D275&lt;=0,0,$B$258*($D275/$B$258)^K$261)</f>
        <v/>
      </c>
      <c r="L275" s="83">
        <f>IF($D275&lt;=0,0,$B$258*($D275/$B$258)^L$261)</f>
        <v/>
      </c>
      <c r="M275" s="83">
        <f>IF($D275&lt;=0,0,$B$258*($D275/$B$258)^M$261)</f>
        <v/>
      </c>
      <c r="N275" s="83">
        <f>SUMPRODUCT($E$260:$M$260,$E275:$M275)</f>
        <v/>
      </c>
      <c r="O275" s="72">
        <f>($F$257-($B$257/100)*($D$258+N275))/(1+($B$257/100)*$D$257)-$D275</f>
        <v/>
      </c>
    </row>
    <row r="276">
      <c r="B276" s="83">
        <f>IF(O275&gt;0,D275,B275)</f>
        <v/>
      </c>
      <c r="C276" s="83">
        <f>IF(O275&gt;0,C275,D275)</f>
        <v/>
      </c>
      <c r="D276" s="83">
        <f>(B276+C276)/2</f>
        <v/>
      </c>
      <c r="E276" s="83">
        <f>IF($D276&lt;=0,0,$B$258*($D276/$B$258)^E$261)</f>
        <v/>
      </c>
      <c r="F276" s="83">
        <f>IF($D276&lt;=0,0,$B$258*($D276/$B$258)^F$261)</f>
        <v/>
      </c>
      <c r="G276" s="83">
        <f>IF($D276&lt;=0,0,$B$258*($D276/$B$258)^G$261)</f>
        <v/>
      </c>
      <c r="H276" s="83">
        <f>IF($D276&lt;=0,0,$B$258*($D276/$B$258)^H$261)</f>
        <v/>
      </c>
      <c r="I276" s="83">
        <f>IF($D276&lt;=0,0,$B$258*($D276/$B$258)^I$261)</f>
        <v/>
      </c>
      <c r="J276" s="83">
        <f>IF($D276&lt;=0,0,$B$258*($D276/$B$258)^J$261)</f>
        <v/>
      </c>
      <c r="K276" s="83">
        <f>IF($D276&lt;=0,0,$B$258*($D276/$B$258)^K$261)</f>
        <v/>
      </c>
      <c r="L276" s="83">
        <f>IF($D276&lt;=0,0,$B$258*($D276/$B$258)^L$261)</f>
        <v/>
      </c>
      <c r="M276" s="83">
        <f>IF($D276&lt;=0,0,$B$258*($D276/$B$258)^M$261)</f>
        <v/>
      </c>
      <c r="N276" s="83">
        <f>SUMPRODUCT($E$260:$M$260,$E276:$M276)</f>
        <v/>
      </c>
      <c r="O276" s="72">
        <f>($F$257-($B$257/100)*($D$258+N276))/(1+($B$257/100)*$D$257)-$D276</f>
        <v/>
      </c>
    </row>
    <row r="277">
      <c r="B277" s="83">
        <f>IF(O276&gt;0,D276,B276)</f>
        <v/>
      </c>
      <c r="C277" s="83">
        <f>IF(O276&gt;0,C276,D276)</f>
        <v/>
      </c>
      <c r="D277" s="83">
        <f>(B277+C277)/2</f>
        <v/>
      </c>
      <c r="E277" s="83">
        <f>IF($D277&lt;=0,0,$B$258*($D277/$B$258)^E$261)</f>
        <v/>
      </c>
      <c r="F277" s="83">
        <f>IF($D277&lt;=0,0,$B$258*($D277/$B$258)^F$261)</f>
        <v/>
      </c>
      <c r="G277" s="83">
        <f>IF($D277&lt;=0,0,$B$258*($D277/$B$258)^G$261)</f>
        <v/>
      </c>
      <c r="H277" s="83">
        <f>IF($D277&lt;=0,0,$B$258*($D277/$B$258)^H$261)</f>
        <v/>
      </c>
      <c r="I277" s="83">
        <f>IF($D277&lt;=0,0,$B$258*($D277/$B$258)^I$261)</f>
        <v/>
      </c>
      <c r="J277" s="83">
        <f>IF($D277&lt;=0,0,$B$258*($D277/$B$258)^J$261)</f>
        <v/>
      </c>
      <c r="K277" s="83">
        <f>IF($D277&lt;=0,0,$B$258*($D277/$B$258)^K$261)</f>
        <v/>
      </c>
      <c r="L277" s="83">
        <f>IF($D277&lt;=0,0,$B$258*($D277/$B$258)^L$261)</f>
        <v/>
      </c>
      <c r="M277" s="83">
        <f>IF($D277&lt;=0,0,$B$258*($D277/$B$258)^M$261)</f>
        <v/>
      </c>
      <c r="N277" s="83">
        <f>SUMPRODUCT($E$260:$M$260,$E277:$M277)</f>
        <v/>
      </c>
      <c r="O277" s="72">
        <f>($F$257-($B$257/100)*($D$258+N277))/(1+($B$257/100)*$D$257)-$D277</f>
        <v/>
      </c>
    </row>
    <row r="278">
      <c r="B278" s="83">
        <f>IF(O277&gt;0,D277,B277)</f>
        <v/>
      </c>
      <c r="C278" s="83">
        <f>IF(O277&gt;0,C277,D277)</f>
        <v/>
      </c>
      <c r="D278" s="83">
        <f>(B278+C278)/2</f>
        <v/>
      </c>
      <c r="E278" s="83">
        <f>IF($D278&lt;=0,0,$B$258*($D278/$B$258)^E$261)</f>
        <v/>
      </c>
      <c r="F278" s="83">
        <f>IF($D278&lt;=0,0,$B$258*($D278/$B$258)^F$261)</f>
        <v/>
      </c>
      <c r="G278" s="83">
        <f>IF($D278&lt;=0,0,$B$258*($D278/$B$258)^G$261)</f>
        <v/>
      </c>
      <c r="H278" s="83">
        <f>IF($D278&lt;=0,0,$B$258*($D278/$B$258)^H$261)</f>
        <v/>
      </c>
      <c r="I278" s="83">
        <f>IF($D278&lt;=0,0,$B$258*($D278/$B$258)^I$261)</f>
        <v/>
      </c>
      <c r="J278" s="83">
        <f>IF($D278&lt;=0,0,$B$258*($D278/$B$258)^J$261)</f>
        <v/>
      </c>
      <c r="K278" s="83">
        <f>IF($D278&lt;=0,0,$B$258*($D278/$B$258)^K$261)</f>
        <v/>
      </c>
      <c r="L278" s="83">
        <f>IF($D278&lt;=0,0,$B$258*($D278/$B$258)^L$261)</f>
        <v/>
      </c>
      <c r="M278" s="83">
        <f>IF($D278&lt;=0,0,$B$258*($D278/$B$258)^M$261)</f>
        <v/>
      </c>
      <c r="N278" s="83">
        <f>SUMPRODUCT($E$260:$M$260,$E278:$M278)</f>
        <v/>
      </c>
      <c r="O278" s="72">
        <f>($F$257-($B$257/100)*($D$258+N278))/(1+($B$257/100)*$D$257)-$D278</f>
        <v/>
      </c>
    </row>
    <row r="279">
      <c r="B279" s="83">
        <f>IF(O278&gt;0,D278,B278)</f>
        <v/>
      </c>
      <c r="C279" s="83">
        <f>IF(O278&gt;0,C278,D278)</f>
        <v/>
      </c>
      <c r="D279" s="83">
        <f>(B279+C279)/2</f>
        <v/>
      </c>
      <c r="E279" s="83">
        <f>IF($D279&lt;=0,0,$B$258*($D279/$B$258)^E$261)</f>
        <v/>
      </c>
      <c r="F279" s="83">
        <f>IF($D279&lt;=0,0,$B$258*($D279/$B$258)^F$261)</f>
        <v/>
      </c>
      <c r="G279" s="83">
        <f>IF($D279&lt;=0,0,$B$258*($D279/$B$258)^G$261)</f>
        <v/>
      </c>
      <c r="H279" s="83">
        <f>IF($D279&lt;=0,0,$B$258*($D279/$B$258)^H$261)</f>
        <v/>
      </c>
      <c r="I279" s="83">
        <f>IF($D279&lt;=0,0,$B$258*($D279/$B$258)^I$261)</f>
        <v/>
      </c>
      <c r="J279" s="83">
        <f>IF($D279&lt;=0,0,$B$258*($D279/$B$258)^J$261)</f>
        <v/>
      </c>
      <c r="K279" s="83">
        <f>IF($D279&lt;=0,0,$B$258*($D279/$B$258)^K$261)</f>
        <v/>
      </c>
      <c r="L279" s="83">
        <f>IF($D279&lt;=0,0,$B$258*($D279/$B$258)^L$261)</f>
        <v/>
      </c>
      <c r="M279" s="83">
        <f>IF($D279&lt;=0,0,$B$258*($D279/$B$258)^M$261)</f>
        <v/>
      </c>
      <c r="N279" s="83">
        <f>SUMPRODUCT($E$260:$M$260,$E279:$M279)</f>
        <v/>
      </c>
      <c r="O279" s="72">
        <f>($F$257-($B$257/100)*($D$258+N279))/(1+($B$257/100)*$D$257)-$D279</f>
        <v/>
      </c>
    </row>
    <row r="280">
      <c r="B280" s="83">
        <f>IF(O279&gt;0,D279,B279)</f>
        <v/>
      </c>
      <c r="C280" s="83">
        <f>IF(O279&gt;0,C279,D279)</f>
        <v/>
      </c>
      <c r="D280" s="83">
        <f>(B280+C280)/2</f>
        <v/>
      </c>
      <c r="E280" s="83">
        <f>IF($D280&lt;=0,0,$B$258*($D280/$B$258)^E$261)</f>
        <v/>
      </c>
      <c r="F280" s="83">
        <f>IF($D280&lt;=0,0,$B$258*($D280/$B$258)^F$261)</f>
        <v/>
      </c>
      <c r="G280" s="83">
        <f>IF($D280&lt;=0,0,$B$258*($D280/$B$258)^G$261)</f>
        <v/>
      </c>
      <c r="H280" s="83">
        <f>IF($D280&lt;=0,0,$B$258*($D280/$B$258)^H$261)</f>
        <v/>
      </c>
      <c r="I280" s="83">
        <f>IF($D280&lt;=0,0,$B$258*($D280/$B$258)^I$261)</f>
        <v/>
      </c>
      <c r="J280" s="83">
        <f>IF($D280&lt;=0,0,$B$258*($D280/$B$258)^J$261)</f>
        <v/>
      </c>
      <c r="K280" s="83">
        <f>IF($D280&lt;=0,0,$B$258*($D280/$B$258)^K$261)</f>
        <v/>
      </c>
      <c r="L280" s="83">
        <f>IF($D280&lt;=0,0,$B$258*($D280/$B$258)^L$261)</f>
        <v/>
      </c>
      <c r="M280" s="83">
        <f>IF($D280&lt;=0,0,$B$258*($D280/$B$258)^M$261)</f>
        <v/>
      </c>
      <c r="N280" s="83">
        <f>SUMPRODUCT($E$260:$M$260,$E280:$M280)</f>
        <v/>
      </c>
      <c r="O280" s="72">
        <f>($F$257-($B$257/100)*($D$258+N280))/(1+($B$257/100)*$D$257)-$D280</f>
        <v/>
      </c>
    </row>
    <row r="281">
      <c r="B281" s="83">
        <f>IF(O280&gt;0,D280,B280)</f>
        <v/>
      </c>
      <c r="C281" s="83">
        <f>IF(O280&gt;0,C280,D280)</f>
        <v/>
      </c>
      <c r="D281" s="83">
        <f>(B281+C281)/2</f>
        <v/>
      </c>
      <c r="E281" s="83">
        <f>IF($D281&lt;=0,0,$B$258*($D281/$B$258)^E$261)</f>
        <v/>
      </c>
      <c r="F281" s="83">
        <f>IF($D281&lt;=0,0,$B$258*($D281/$B$258)^F$261)</f>
        <v/>
      </c>
      <c r="G281" s="83">
        <f>IF($D281&lt;=0,0,$B$258*($D281/$B$258)^G$261)</f>
        <v/>
      </c>
      <c r="H281" s="83">
        <f>IF($D281&lt;=0,0,$B$258*($D281/$B$258)^H$261)</f>
        <v/>
      </c>
      <c r="I281" s="83">
        <f>IF($D281&lt;=0,0,$B$258*($D281/$B$258)^I$261)</f>
        <v/>
      </c>
      <c r="J281" s="83">
        <f>IF($D281&lt;=0,0,$B$258*($D281/$B$258)^J$261)</f>
        <v/>
      </c>
      <c r="K281" s="83">
        <f>IF($D281&lt;=0,0,$B$258*($D281/$B$258)^K$261)</f>
        <v/>
      </c>
      <c r="L281" s="83">
        <f>IF($D281&lt;=0,0,$B$258*($D281/$B$258)^L$261)</f>
        <v/>
      </c>
      <c r="M281" s="83">
        <f>IF($D281&lt;=0,0,$B$258*($D281/$B$258)^M$261)</f>
        <v/>
      </c>
      <c r="N281" s="83">
        <f>SUMPRODUCT($E$260:$M$260,$E281:$M281)</f>
        <v/>
      </c>
      <c r="O281" s="72">
        <f>($F$257-($B$257/100)*($D$258+N281))/(1+($B$257/100)*$D$257)-$D281</f>
        <v/>
      </c>
    </row>
    <row r="282">
      <c r="B282" s="83">
        <f>IF(O281&gt;0,D281,B281)</f>
        <v/>
      </c>
      <c r="C282" s="83">
        <f>IF(O281&gt;0,C281,D281)</f>
        <v/>
      </c>
      <c r="D282" s="83">
        <f>(B282+C282)/2</f>
        <v/>
      </c>
      <c r="E282" s="83">
        <f>IF($D282&lt;=0,0,$B$258*($D282/$B$258)^E$261)</f>
        <v/>
      </c>
      <c r="F282" s="83">
        <f>IF($D282&lt;=0,0,$B$258*($D282/$B$258)^F$261)</f>
        <v/>
      </c>
      <c r="G282" s="83">
        <f>IF($D282&lt;=0,0,$B$258*($D282/$B$258)^G$261)</f>
        <v/>
      </c>
      <c r="H282" s="83">
        <f>IF($D282&lt;=0,0,$B$258*($D282/$B$258)^H$261)</f>
        <v/>
      </c>
      <c r="I282" s="83">
        <f>IF($D282&lt;=0,0,$B$258*($D282/$B$258)^I$261)</f>
        <v/>
      </c>
      <c r="J282" s="83">
        <f>IF($D282&lt;=0,0,$B$258*($D282/$B$258)^J$261)</f>
        <v/>
      </c>
      <c r="K282" s="83">
        <f>IF($D282&lt;=0,0,$B$258*($D282/$B$258)^K$261)</f>
        <v/>
      </c>
      <c r="L282" s="83">
        <f>IF($D282&lt;=0,0,$B$258*($D282/$B$258)^L$261)</f>
        <v/>
      </c>
      <c r="M282" s="83">
        <f>IF($D282&lt;=0,0,$B$258*($D282/$B$258)^M$261)</f>
        <v/>
      </c>
      <c r="N282" s="83">
        <f>SUMPRODUCT($E$260:$M$260,$E282:$M282)</f>
        <v/>
      </c>
      <c r="O282" s="72">
        <f>($F$257-($B$257/100)*($D$258+N282))/(1+($B$257/100)*$D$257)-$D282</f>
        <v/>
      </c>
    </row>
    <row r="283">
      <c r="B283" s="83">
        <f>IF(O282&gt;0,D282,B282)</f>
        <v/>
      </c>
      <c r="C283" s="83">
        <f>IF(O282&gt;0,C282,D282)</f>
        <v/>
      </c>
      <c r="D283" s="83">
        <f>(B283+C283)/2</f>
        <v/>
      </c>
      <c r="E283" s="83">
        <f>IF($D283&lt;=0,0,$B$258*($D283/$B$258)^E$261)</f>
        <v/>
      </c>
      <c r="F283" s="83">
        <f>IF($D283&lt;=0,0,$B$258*($D283/$B$258)^F$261)</f>
        <v/>
      </c>
      <c r="G283" s="83">
        <f>IF($D283&lt;=0,0,$B$258*($D283/$B$258)^G$261)</f>
        <v/>
      </c>
      <c r="H283" s="83">
        <f>IF($D283&lt;=0,0,$B$258*($D283/$B$258)^H$261)</f>
        <v/>
      </c>
      <c r="I283" s="83">
        <f>IF($D283&lt;=0,0,$B$258*($D283/$B$258)^I$261)</f>
        <v/>
      </c>
      <c r="J283" s="83">
        <f>IF($D283&lt;=0,0,$B$258*($D283/$B$258)^J$261)</f>
        <v/>
      </c>
      <c r="K283" s="83">
        <f>IF($D283&lt;=0,0,$B$258*($D283/$B$258)^K$261)</f>
        <v/>
      </c>
      <c r="L283" s="83">
        <f>IF($D283&lt;=0,0,$B$258*($D283/$B$258)^L$261)</f>
        <v/>
      </c>
      <c r="M283" s="83">
        <f>IF($D283&lt;=0,0,$B$258*($D283/$B$258)^M$261)</f>
        <v/>
      </c>
      <c r="N283" s="83">
        <f>SUMPRODUCT($E$260:$M$260,$E283:$M283)</f>
        <v/>
      </c>
      <c r="O283" s="72">
        <f>($F$257-($B$257/100)*($D$258+N283))/(1+($B$257/100)*$D$257)-$D283</f>
        <v/>
      </c>
    </row>
    <row r="284">
      <c r="B284" s="83">
        <f>IF(O283&gt;0,D283,B283)</f>
        <v/>
      </c>
      <c r="C284" s="83">
        <f>IF(O283&gt;0,C283,D283)</f>
        <v/>
      </c>
      <c r="D284" s="83">
        <f>(B284+C284)/2</f>
        <v/>
      </c>
      <c r="E284" s="83">
        <f>IF($D284&lt;=0,0,$B$258*($D284/$B$258)^E$261)</f>
        <v/>
      </c>
      <c r="F284" s="83">
        <f>IF($D284&lt;=0,0,$B$258*($D284/$B$258)^F$261)</f>
        <v/>
      </c>
      <c r="G284" s="83">
        <f>IF($D284&lt;=0,0,$B$258*($D284/$B$258)^G$261)</f>
        <v/>
      </c>
      <c r="H284" s="83">
        <f>IF($D284&lt;=0,0,$B$258*($D284/$B$258)^H$261)</f>
        <v/>
      </c>
      <c r="I284" s="83">
        <f>IF($D284&lt;=0,0,$B$258*($D284/$B$258)^I$261)</f>
        <v/>
      </c>
      <c r="J284" s="83">
        <f>IF($D284&lt;=0,0,$B$258*($D284/$B$258)^J$261)</f>
        <v/>
      </c>
      <c r="K284" s="83">
        <f>IF($D284&lt;=0,0,$B$258*($D284/$B$258)^K$261)</f>
        <v/>
      </c>
      <c r="L284" s="83">
        <f>IF($D284&lt;=0,0,$B$258*($D284/$B$258)^L$261)</f>
        <v/>
      </c>
      <c r="M284" s="83">
        <f>IF($D284&lt;=0,0,$B$258*($D284/$B$258)^M$261)</f>
        <v/>
      </c>
      <c r="N284" s="83">
        <f>SUMPRODUCT($E$260:$M$260,$E284:$M284)</f>
        <v/>
      </c>
      <c r="O284" s="72">
        <f>($F$257-($B$257/100)*($D$258+N284))/(1+($B$257/100)*$D$257)-$D284</f>
        <v/>
      </c>
    </row>
    <row r="285">
      <c r="B285" s="83">
        <f>IF(O284&gt;0,D284,B284)</f>
        <v/>
      </c>
      <c r="C285" s="83">
        <f>IF(O284&gt;0,C284,D284)</f>
        <v/>
      </c>
      <c r="D285" s="83">
        <f>(B285+C285)/2</f>
        <v/>
      </c>
      <c r="E285" s="83">
        <f>IF($D285&lt;=0,0,$B$258*($D285/$B$258)^E$261)</f>
        <v/>
      </c>
      <c r="F285" s="83">
        <f>IF($D285&lt;=0,0,$B$258*($D285/$B$258)^F$261)</f>
        <v/>
      </c>
      <c r="G285" s="83">
        <f>IF($D285&lt;=0,0,$B$258*($D285/$B$258)^G$261)</f>
        <v/>
      </c>
      <c r="H285" s="83">
        <f>IF($D285&lt;=0,0,$B$258*($D285/$B$258)^H$261)</f>
        <v/>
      </c>
      <c r="I285" s="83">
        <f>IF($D285&lt;=0,0,$B$258*($D285/$B$258)^I$261)</f>
        <v/>
      </c>
      <c r="J285" s="83">
        <f>IF($D285&lt;=0,0,$B$258*($D285/$B$258)^J$261)</f>
        <v/>
      </c>
      <c r="K285" s="83">
        <f>IF($D285&lt;=0,0,$B$258*($D285/$B$258)^K$261)</f>
        <v/>
      </c>
      <c r="L285" s="83">
        <f>IF($D285&lt;=0,0,$B$258*($D285/$B$258)^L$261)</f>
        <v/>
      </c>
      <c r="M285" s="83">
        <f>IF($D285&lt;=0,0,$B$258*($D285/$B$258)^M$261)</f>
        <v/>
      </c>
      <c r="N285" s="83">
        <f>SUMPRODUCT($E$260:$M$260,$E285:$M285)</f>
        <v/>
      </c>
      <c r="O285" s="72">
        <f>($F$257-($B$257/100)*($D$258+N285))/(1+($B$257/100)*$D$257)-$D285</f>
        <v/>
      </c>
    </row>
    <row r="286">
      <c r="B286" s="83">
        <f>IF(O285&gt;0,D285,B285)</f>
        <v/>
      </c>
      <c r="C286" s="83">
        <f>IF(O285&gt;0,C285,D285)</f>
        <v/>
      </c>
      <c r="D286" s="83">
        <f>(B286+C286)/2</f>
        <v/>
      </c>
      <c r="E286" s="83">
        <f>IF($D286&lt;=0,0,$B$258*($D286/$B$258)^E$261)</f>
        <v/>
      </c>
      <c r="F286" s="83">
        <f>IF($D286&lt;=0,0,$B$258*($D286/$B$258)^F$261)</f>
        <v/>
      </c>
      <c r="G286" s="83">
        <f>IF($D286&lt;=0,0,$B$258*($D286/$B$258)^G$261)</f>
        <v/>
      </c>
      <c r="H286" s="83">
        <f>IF($D286&lt;=0,0,$B$258*($D286/$B$258)^H$261)</f>
        <v/>
      </c>
      <c r="I286" s="83">
        <f>IF($D286&lt;=0,0,$B$258*($D286/$B$258)^I$261)</f>
        <v/>
      </c>
      <c r="J286" s="83">
        <f>IF($D286&lt;=0,0,$B$258*($D286/$B$258)^J$261)</f>
        <v/>
      </c>
      <c r="K286" s="83">
        <f>IF($D286&lt;=0,0,$B$258*($D286/$B$258)^K$261)</f>
        <v/>
      </c>
      <c r="L286" s="83">
        <f>IF($D286&lt;=0,0,$B$258*($D286/$B$258)^L$261)</f>
        <v/>
      </c>
      <c r="M286" s="83">
        <f>IF($D286&lt;=0,0,$B$258*($D286/$B$258)^M$261)</f>
        <v/>
      </c>
      <c r="N286" s="83">
        <f>SUMPRODUCT($E$260:$M$260,$E286:$M286)</f>
        <v/>
      </c>
      <c r="O286" s="72">
        <f>($F$257-($B$257/100)*($D$258+N286))/(1+($B$257/100)*$D$257)-$D286</f>
        <v/>
      </c>
    </row>
    <row r="287">
      <c r="B287" s="83">
        <f>IF(O286&gt;0,D286,B286)</f>
        <v/>
      </c>
      <c r="C287" s="83">
        <f>IF(O286&gt;0,C286,D286)</f>
        <v/>
      </c>
      <c r="D287" s="83">
        <f>(B287+C287)/2</f>
        <v/>
      </c>
      <c r="E287" s="83">
        <f>IF($D287&lt;=0,0,$B$258*($D287/$B$258)^E$261)</f>
        <v/>
      </c>
      <c r="F287" s="83">
        <f>IF($D287&lt;=0,0,$B$258*($D287/$B$258)^F$261)</f>
        <v/>
      </c>
      <c r="G287" s="83">
        <f>IF($D287&lt;=0,0,$B$258*($D287/$B$258)^G$261)</f>
        <v/>
      </c>
      <c r="H287" s="83">
        <f>IF($D287&lt;=0,0,$B$258*($D287/$B$258)^H$261)</f>
        <v/>
      </c>
      <c r="I287" s="83">
        <f>IF($D287&lt;=0,0,$B$258*($D287/$B$258)^I$261)</f>
        <v/>
      </c>
      <c r="J287" s="83">
        <f>IF($D287&lt;=0,0,$B$258*($D287/$B$258)^J$261)</f>
        <v/>
      </c>
      <c r="K287" s="83">
        <f>IF($D287&lt;=0,0,$B$258*($D287/$B$258)^K$261)</f>
        <v/>
      </c>
      <c r="L287" s="83">
        <f>IF($D287&lt;=0,0,$B$258*($D287/$B$258)^L$261)</f>
        <v/>
      </c>
      <c r="M287" s="83">
        <f>IF($D287&lt;=0,0,$B$258*($D287/$B$258)^M$261)</f>
        <v/>
      </c>
      <c r="N287" s="83">
        <f>SUMPRODUCT($E$260:$M$260,$E287:$M287)</f>
        <v/>
      </c>
      <c r="O287" s="72">
        <f>($F$257-($B$257/100)*($D$258+N287))/(1+($B$257/100)*$D$257)-$D287</f>
        <v/>
      </c>
    </row>
    <row r="288">
      <c r="B288" s="83">
        <f>IF(O287&gt;0,D287,B287)</f>
        <v/>
      </c>
      <c r="C288" s="83">
        <f>IF(O287&gt;0,C287,D287)</f>
        <v/>
      </c>
      <c r="D288" s="83">
        <f>(B288+C288)/2</f>
        <v/>
      </c>
      <c r="E288" s="83">
        <f>IF($D288&lt;=0,0,$B$258*($D288/$B$258)^E$261)</f>
        <v/>
      </c>
      <c r="F288" s="83">
        <f>IF($D288&lt;=0,0,$B$258*($D288/$B$258)^F$261)</f>
        <v/>
      </c>
      <c r="G288" s="83">
        <f>IF($D288&lt;=0,0,$B$258*($D288/$B$258)^G$261)</f>
        <v/>
      </c>
      <c r="H288" s="83">
        <f>IF($D288&lt;=0,0,$B$258*($D288/$B$258)^H$261)</f>
        <v/>
      </c>
      <c r="I288" s="83">
        <f>IF($D288&lt;=0,0,$B$258*($D288/$B$258)^I$261)</f>
        <v/>
      </c>
      <c r="J288" s="83">
        <f>IF($D288&lt;=0,0,$B$258*($D288/$B$258)^J$261)</f>
        <v/>
      </c>
      <c r="K288" s="83">
        <f>IF($D288&lt;=0,0,$B$258*($D288/$B$258)^K$261)</f>
        <v/>
      </c>
      <c r="L288" s="83">
        <f>IF($D288&lt;=0,0,$B$258*($D288/$B$258)^L$261)</f>
        <v/>
      </c>
      <c r="M288" s="83">
        <f>IF($D288&lt;=0,0,$B$258*($D288/$B$258)^M$261)</f>
        <v/>
      </c>
      <c r="N288" s="83">
        <f>SUMPRODUCT($E$260:$M$260,$E288:$M288)</f>
        <v/>
      </c>
      <c r="O288" s="72">
        <f>($F$257-($B$257/100)*($D$258+N288))/(1+($B$257/100)*$D$257)-$D288</f>
        <v/>
      </c>
    </row>
    <row r="289">
      <c r="B289" s="83">
        <f>IF(O288&gt;0,D288,B288)</f>
        <v/>
      </c>
      <c r="C289" s="83">
        <f>IF(O288&gt;0,C288,D288)</f>
        <v/>
      </c>
      <c r="D289" s="83">
        <f>(B289+C289)/2</f>
        <v/>
      </c>
      <c r="E289" s="83">
        <f>IF($D289&lt;=0,0,$B$258*($D289/$B$258)^E$261)</f>
        <v/>
      </c>
      <c r="F289" s="83">
        <f>IF($D289&lt;=0,0,$B$258*($D289/$B$258)^F$261)</f>
        <v/>
      </c>
      <c r="G289" s="83">
        <f>IF($D289&lt;=0,0,$B$258*($D289/$B$258)^G$261)</f>
        <v/>
      </c>
      <c r="H289" s="83">
        <f>IF($D289&lt;=0,0,$B$258*($D289/$B$258)^H$261)</f>
        <v/>
      </c>
      <c r="I289" s="83">
        <f>IF($D289&lt;=0,0,$B$258*($D289/$B$258)^I$261)</f>
        <v/>
      </c>
      <c r="J289" s="83">
        <f>IF($D289&lt;=0,0,$B$258*($D289/$B$258)^J$261)</f>
        <v/>
      </c>
      <c r="K289" s="83">
        <f>IF($D289&lt;=0,0,$B$258*($D289/$B$258)^K$261)</f>
        <v/>
      </c>
      <c r="L289" s="83">
        <f>IF($D289&lt;=0,0,$B$258*($D289/$B$258)^L$261)</f>
        <v/>
      </c>
      <c r="M289" s="83">
        <f>IF($D289&lt;=0,0,$B$258*($D289/$B$258)^M$261)</f>
        <v/>
      </c>
      <c r="N289" s="83">
        <f>SUMPRODUCT($E$260:$M$260,$E289:$M289)</f>
        <v/>
      </c>
      <c r="O289" s="72">
        <f>($F$257-($B$257/100)*($D$258+N289))/(1+($B$257/100)*$D$257)-$D289</f>
        <v/>
      </c>
    </row>
    <row r="290">
      <c r="B290" s="83">
        <f>IF(O289&gt;0,D289,B289)</f>
        <v/>
      </c>
      <c r="C290" s="83">
        <f>IF(O289&gt;0,C289,D289)</f>
        <v/>
      </c>
      <c r="D290" s="83">
        <f>(B290+C290)/2</f>
        <v/>
      </c>
      <c r="E290" s="83">
        <f>IF($D290&lt;=0,0,$B$258*($D290/$B$258)^E$261)</f>
        <v/>
      </c>
      <c r="F290" s="83">
        <f>IF($D290&lt;=0,0,$B$258*($D290/$B$258)^F$261)</f>
        <v/>
      </c>
      <c r="G290" s="83">
        <f>IF($D290&lt;=0,0,$B$258*($D290/$B$258)^G$261)</f>
        <v/>
      </c>
      <c r="H290" s="83">
        <f>IF($D290&lt;=0,0,$B$258*($D290/$B$258)^H$261)</f>
        <v/>
      </c>
      <c r="I290" s="83">
        <f>IF($D290&lt;=0,0,$B$258*($D290/$B$258)^I$261)</f>
        <v/>
      </c>
      <c r="J290" s="83">
        <f>IF($D290&lt;=0,0,$B$258*($D290/$B$258)^J$261)</f>
        <v/>
      </c>
      <c r="K290" s="83">
        <f>IF($D290&lt;=0,0,$B$258*($D290/$B$258)^K$261)</f>
        <v/>
      </c>
      <c r="L290" s="83">
        <f>IF($D290&lt;=0,0,$B$258*($D290/$B$258)^L$261)</f>
        <v/>
      </c>
      <c r="M290" s="83">
        <f>IF($D290&lt;=0,0,$B$258*($D290/$B$258)^M$261)</f>
        <v/>
      </c>
      <c r="N290" s="83">
        <f>SUMPRODUCT($E$260:$M$260,$E290:$M290)</f>
        <v/>
      </c>
      <c r="O290" s="72">
        <f>($F$257-($B$257/100)*($D$258+N290))/(1+($B$257/100)*$D$257)-$D290</f>
        <v/>
      </c>
    </row>
    <row r="291">
      <c r="B291" s="83">
        <f>IF(O290&gt;0,D290,B290)</f>
        <v/>
      </c>
      <c r="C291" s="83">
        <f>IF(O290&gt;0,C290,D290)</f>
        <v/>
      </c>
      <c r="D291" s="83">
        <f>(B291+C291)/2</f>
        <v/>
      </c>
      <c r="E291" s="83">
        <f>IF($D291&lt;=0,0,$B$258*($D291/$B$258)^E$261)</f>
        <v/>
      </c>
      <c r="F291" s="83">
        <f>IF($D291&lt;=0,0,$B$258*($D291/$B$258)^F$261)</f>
        <v/>
      </c>
      <c r="G291" s="83">
        <f>IF($D291&lt;=0,0,$B$258*($D291/$B$258)^G$261)</f>
        <v/>
      </c>
      <c r="H291" s="83">
        <f>IF($D291&lt;=0,0,$B$258*($D291/$B$258)^H$261)</f>
        <v/>
      </c>
      <c r="I291" s="83">
        <f>IF($D291&lt;=0,0,$B$258*($D291/$B$258)^I$261)</f>
        <v/>
      </c>
      <c r="J291" s="83">
        <f>IF($D291&lt;=0,0,$B$258*($D291/$B$258)^J$261)</f>
        <v/>
      </c>
      <c r="K291" s="83">
        <f>IF($D291&lt;=0,0,$B$258*($D291/$B$258)^K$261)</f>
        <v/>
      </c>
      <c r="L291" s="83">
        <f>IF($D291&lt;=0,0,$B$258*($D291/$B$258)^L$261)</f>
        <v/>
      </c>
      <c r="M291" s="83">
        <f>IF($D291&lt;=0,0,$B$258*($D291/$B$258)^M$261)</f>
        <v/>
      </c>
      <c r="N291" s="83">
        <f>SUMPRODUCT($E$260:$M$260,$E291:$M291)</f>
        <v/>
      </c>
      <c r="O291" s="72">
        <f>($F$257-($B$257/100)*($D$258+N291))/(1+($B$257/100)*$D$257)-$D291</f>
        <v/>
      </c>
    </row>
    <row r="292">
      <c r="B292" s="83">
        <f>IF(O291&gt;0,D291,B291)</f>
        <v/>
      </c>
      <c r="C292" s="83">
        <f>IF(O291&gt;0,C291,D291)</f>
        <v/>
      </c>
      <c r="D292" s="83">
        <f>(B292+C292)/2</f>
        <v/>
      </c>
      <c r="E292" s="83">
        <f>IF($D292&lt;=0,0,$B$258*($D292/$B$258)^E$261)</f>
        <v/>
      </c>
      <c r="F292" s="83">
        <f>IF($D292&lt;=0,0,$B$258*($D292/$B$258)^F$261)</f>
        <v/>
      </c>
      <c r="G292" s="83">
        <f>IF($D292&lt;=0,0,$B$258*($D292/$B$258)^G$261)</f>
        <v/>
      </c>
      <c r="H292" s="83">
        <f>IF($D292&lt;=0,0,$B$258*($D292/$B$258)^H$261)</f>
        <v/>
      </c>
      <c r="I292" s="83">
        <f>IF($D292&lt;=0,0,$B$258*($D292/$B$258)^I$261)</f>
        <v/>
      </c>
      <c r="J292" s="83">
        <f>IF($D292&lt;=0,0,$B$258*($D292/$B$258)^J$261)</f>
        <v/>
      </c>
      <c r="K292" s="83">
        <f>IF($D292&lt;=0,0,$B$258*($D292/$B$258)^K$261)</f>
        <v/>
      </c>
      <c r="L292" s="83">
        <f>IF($D292&lt;=0,0,$B$258*($D292/$B$258)^L$261)</f>
        <v/>
      </c>
      <c r="M292" s="83">
        <f>IF($D292&lt;=0,0,$B$258*($D292/$B$258)^M$261)</f>
        <v/>
      </c>
      <c r="N292" s="83">
        <f>SUMPRODUCT($E$260:$M$260,$E292:$M292)</f>
        <v/>
      </c>
      <c r="O292" s="72">
        <f>($F$257-($B$257/100)*($D$258+N292))/(1+($B$257/100)*$D$257)-$D292</f>
        <v/>
      </c>
    </row>
    <row r="293">
      <c r="B293" s="83">
        <f>IF(O292&gt;0,D292,B292)</f>
        <v/>
      </c>
      <c r="C293" s="83">
        <f>IF(O292&gt;0,C292,D292)</f>
        <v/>
      </c>
      <c r="D293" s="83">
        <f>(B293+C293)/2</f>
        <v/>
      </c>
      <c r="E293" s="83">
        <f>IF($D293&lt;=0,0,$B$258*($D293/$B$258)^E$261)</f>
        <v/>
      </c>
      <c r="F293" s="83">
        <f>IF($D293&lt;=0,0,$B$258*($D293/$B$258)^F$261)</f>
        <v/>
      </c>
      <c r="G293" s="83">
        <f>IF($D293&lt;=0,0,$B$258*($D293/$B$258)^G$261)</f>
        <v/>
      </c>
      <c r="H293" s="83">
        <f>IF($D293&lt;=0,0,$B$258*($D293/$B$258)^H$261)</f>
        <v/>
      </c>
      <c r="I293" s="83">
        <f>IF($D293&lt;=0,0,$B$258*($D293/$B$258)^I$261)</f>
        <v/>
      </c>
      <c r="J293" s="83">
        <f>IF($D293&lt;=0,0,$B$258*($D293/$B$258)^J$261)</f>
        <v/>
      </c>
      <c r="K293" s="83">
        <f>IF($D293&lt;=0,0,$B$258*($D293/$B$258)^K$261)</f>
        <v/>
      </c>
      <c r="L293" s="83">
        <f>IF($D293&lt;=0,0,$B$258*($D293/$B$258)^L$261)</f>
        <v/>
      </c>
      <c r="M293" s="83">
        <f>IF($D293&lt;=0,0,$B$258*($D293/$B$258)^M$261)</f>
        <v/>
      </c>
      <c r="N293" s="83">
        <f>SUMPRODUCT($E$260:$M$260,$E293:$M293)</f>
        <v/>
      </c>
      <c r="O293" s="72">
        <f>($F$257-($B$257/100)*($D$258+N293))/(1+($B$257/100)*$D$257)-$D293</f>
        <v/>
      </c>
    </row>
    <row r="294">
      <c r="B294" s="83">
        <f>IF(O293&gt;0,D293,B293)</f>
        <v/>
      </c>
      <c r="C294" s="83">
        <f>IF(O293&gt;0,C293,D293)</f>
        <v/>
      </c>
      <c r="D294" s="83">
        <f>(B294+C294)/2</f>
        <v/>
      </c>
      <c r="E294" s="83">
        <f>IF($D294&lt;=0,0,$B$258*($D294/$B$258)^E$261)</f>
        <v/>
      </c>
      <c r="F294" s="83">
        <f>IF($D294&lt;=0,0,$B$258*($D294/$B$258)^F$261)</f>
        <v/>
      </c>
      <c r="G294" s="83">
        <f>IF($D294&lt;=0,0,$B$258*($D294/$B$258)^G$261)</f>
        <v/>
      </c>
      <c r="H294" s="83">
        <f>IF($D294&lt;=0,0,$B$258*($D294/$B$258)^H$261)</f>
        <v/>
      </c>
      <c r="I294" s="83">
        <f>IF($D294&lt;=0,0,$B$258*($D294/$B$258)^I$261)</f>
        <v/>
      </c>
      <c r="J294" s="83">
        <f>IF($D294&lt;=0,0,$B$258*($D294/$B$258)^J$261)</f>
        <v/>
      </c>
      <c r="K294" s="83">
        <f>IF($D294&lt;=0,0,$B$258*($D294/$B$258)^K$261)</f>
        <v/>
      </c>
      <c r="L294" s="83">
        <f>IF($D294&lt;=0,0,$B$258*($D294/$B$258)^L$261)</f>
        <v/>
      </c>
      <c r="M294" s="83">
        <f>IF($D294&lt;=0,0,$B$258*($D294/$B$258)^M$261)</f>
        <v/>
      </c>
      <c r="N294" s="83">
        <f>SUMPRODUCT($E$260:$M$260,$E294:$M294)</f>
        <v/>
      </c>
      <c r="O294" s="72">
        <f>($F$257-($B$257/100)*($D$258+N294))/(1+($B$257/100)*$D$257)-$D294</f>
        <v/>
      </c>
    </row>
    <row r="295">
      <c r="B295" s="83">
        <f>IF(O294&gt;0,D294,B294)</f>
        <v/>
      </c>
      <c r="C295" s="83">
        <f>IF(O294&gt;0,C294,D294)</f>
        <v/>
      </c>
      <c r="D295" s="83">
        <f>(B295+C295)/2</f>
        <v/>
      </c>
      <c r="E295" s="83">
        <f>IF($D295&lt;=0,0,$B$258*($D295/$B$258)^E$261)</f>
        <v/>
      </c>
      <c r="F295" s="83">
        <f>IF($D295&lt;=0,0,$B$258*($D295/$B$258)^F$261)</f>
        <v/>
      </c>
      <c r="G295" s="83">
        <f>IF($D295&lt;=0,0,$B$258*($D295/$B$258)^G$261)</f>
        <v/>
      </c>
      <c r="H295" s="83">
        <f>IF($D295&lt;=0,0,$B$258*($D295/$B$258)^H$261)</f>
        <v/>
      </c>
      <c r="I295" s="83">
        <f>IF($D295&lt;=0,0,$B$258*($D295/$B$258)^I$261)</f>
        <v/>
      </c>
      <c r="J295" s="83">
        <f>IF($D295&lt;=0,0,$B$258*($D295/$B$258)^J$261)</f>
        <v/>
      </c>
      <c r="K295" s="83">
        <f>IF($D295&lt;=0,0,$B$258*($D295/$B$258)^K$261)</f>
        <v/>
      </c>
      <c r="L295" s="83">
        <f>IF($D295&lt;=0,0,$B$258*($D295/$B$258)^L$261)</f>
        <v/>
      </c>
      <c r="M295" s="83">
        <f>IF($D295&lt;=0,0,$B$258*($D295/$B$258)^M$261)</f>
        <v/>
      </c>
      <c r="N295" s="83">
        <f>SUMPRODUCT($E$260:$M$260,$E295:$M295)</f>
        <v/>
      </c>
      <c r="O295" s="72">
        <f>($F$257-($B$257/100)*($D$258+N295))/(1+($B$257/100)*$D$257)-$D295</f>
        <v/>
      </c>
    </row>
    <row r="296">
      <c r="B296" s="83">
        <f>IF(O295&gt;0,D295,B295)</f>
        <v/>
      </c>
      <c r="C296" s="83">
        <f>IF(O295&gt;0,C295,D295)</f>
        <v/>
      </c>
      <c r="D296" s="83">
        <f>(B296+C296)/2</f>
        <v/>
      </c>
      <c r="E296" s="83">
        <f>IF($D296&lt;=0,0,$B$258*($D296/$B$258)^E$261)</f>
        <v/>
      </c>
      <c r="F296" s="83">
        <f>IF($D296&lt;=0,0,$B$258*($D296/$B$258)^F$261)</f>
        <v/>
      </c>
      <c r="G296" s="83">
        <f>IF($D296&lt;=0,0,$B$258*($D296/$B$258)^G$261)</f>
        <v/>
      </c>
      <c r="H296" s="83">
        <f>IF($D296&lt;=0,0,$B$258*($D296/$B$258)^H$261)</f>
        <v/>
      </c>
      <c r="I296" s="83">
        <f>IF($D296&lt;=0,0,$B$258*($D296/$B$258)^I$261)</f>
        <v/>
      </c>
      <c r="J296" s="83">
        <f>IF($D296&lt;=0,0,$B$258*($D296/$B$258)^J$261)</f>
        <v/>
      </c>
      <c r="K296" s="83">
        <f>IF($D296&lt;=0,0,$B$258*($D296/$B$258)^K$261)</f>
        <v/>
      </c>
      <c r="L296" s="83">
        <f>IF($D296&lt;=0,0,$B$258*($D296/$B$258)^L$261)</f>
        <v/>
      </c>
      <c r="M296" s="83">
        <f>IF($D296&lt;=0,0,$B$258*($D296/$B$258)^M$261)</f>
        <v/>
      </c>
      <c r="N296" s="83">
        <f>SUMPRODUCT($E$260:$M$260,$E296:$M296)</f>
        <v/>
      </c>
      <c r="O296" s="72">
        <f>($F$257-($B$257/100)*($D$258+N296))/(1+($B$257/100)*$D$257)-$D296</f>
        <v/>
      </c>
    </row>
    <row r="297">
      <c r="B297" s="83">
        <f>IF(O296&gt;0,D296,B296)</f>
        <v/>
      </c>
      <c r="C297" s="83">
        <f>IF(O296&gt;0,C296,D296)</f>
        <v/>
      </c>
      <c r="D297" s="83">
        <f>(B297+C297)/2</f>
        <v/>
      </c>
      <c r="E297" s="83">
        <f>IF($D297&lt;=0,0,$B$258*($D297/$B$258)^E$261)</f>
        <v/>
      </c>
      <c r="F297" s="83">
        <f>IF($D297&lt;=0,0,$B$258*($D297/$B$258)^F$261)</f>
        <v/>
      </c>
      <c r="G297" s="83">
        <f>IF($D297&lt;=0,0,$B$258*($D297/$B$258)^G$261)</f>
        <v/>
      </c>
      <c r="H297" s="83">
        <f>IF($D297&lt;=0,0,$B$258*($D297/$B$258)^H$261)</f>
        <v/>
      </c>
      <c r="I297" s="83">
        <f>IF($D297&lt;=0,0,$B$258*($D297/$B$258)^I$261)</f>
        <v/>
      </c>
      <c r="J297" s="83">
        <f>IF($D297&lt;=0,0,$B$258*($D297/$B$258)^J$261)</f>
        <v/>
      </c>
      <c r="K297" s="83">
        <f>IF($D297&lt;=0,0,$B$258*($D297/$B$258)^K$261)</f>
        <v/>
      </c>
      <c r="L297" s="83">
        <f>IF($D297&lt;=0,0,$B$258*($D297/$B$258)^L$261)</f>
        <v/>
      </c>
      <c r="M297" s="83">
        <f>IF($D297&lt;=0,0,$B$258*($D297/$B$258)^M$261)</f>
        <v/>
      </c>
      <c r="N297" s="83">
        <f>SUMPRODUCT($E$260:$M$260,$E297:$M297)</f>
        <v/>
      </c>
      <c r="O297" s="72">
        <f>($F$257-($B$257/100)*($D$258+N297))/(1+($B$257/100)*$D$257)-$D297</f>
        <v/>
      </c>
    </row>
    <row r="298">
      <c r="B298" s="83">
        <f>IF(O297&gt;0,D297,B297)</f>
        <v/>
      </c>
      <c r="C298" s="83">
        <f>IF(O297&gt;0,C297,D297)</f>
        <v/>
      </c>
      <c r="D298" s="83">
        <f>(B298+C298)/2</f>
        <v/>
      </c>
      <c r="E298" s="83">
        <f>IF($D298&lt;=0,0,$B$258*($D298/$B$258)^E$261)</f>
        <v/>
      </c>
      <c r="F298" s="83">
        <f>IF($D298&lt;=0,0,$B$258*($D298/$B$258)^F$261)</f>
        <v/>
      </c>
      <c r="G298" s="83">
        <f>IF($D298&lt;=0,0,$B$258*($D298/$B$258)^G$261)</f>
        <v/>
      </c>
      <c r="H298" s="83">
        <f>IF($D298&lt;=0,0,$B$258*($D298/$B$258)^H$261)</f>
        <v/>
      </c>
      <c r="I298" s="83">
        <f>IF($D298&lt;=0,0,$B$258*($D298/$B$258)^I$261)</f>
        <v/>
      </c>
      <c r="J298" s="83">
        <f>IF($D298&lt;=0,0,$B$258*($D298/$B$258)^J$261)</f>
        <v/>
      </c>
      <c r="K298" s="83">
        <f>IF($D298&lt;=0,0,$B$258*($D298/$B$258)^K$261)</f>
        <v/>
      </c>
      <c r="L298" s="83">
        <f>IF($D298&lt;=0,0,$B$258*($D298/$B$258)^L$261)</f>
        <v/>
      </c>
      <c r="M298" s="83">
        <f>IF($D298&lt;=0,0,$B$258*($D298/$B$258)^M$261)</f>
        <v/>
      </c>
      <c r="N298" s="83">
        <f>SUMPRODUCT($E$260:$M$260,$E298:$M298)</f>
        <v/>
      </c>
      <c r="O298" s="72">
        <f>($F$257-($B$257/100)*($D$258+N298))/(1+($B$257/100)*$D$257)-$D298</f>
        <v/>
      </c>
    </row>
    <row r="299">
      <c r="B299" s="83">
        <f>IF(O298&gt;0,D298,B298)</f>
        <v/>
      </c>
      <c r="C299" s="83">
        <f>IF(O298&gt;0,C298,D298)</f>
        <v/>
      </c>
      <c r="D299" s="83">
        <f>(B299+C299)/2</f>
        <v/>
      </c>
      <c r="E299" s="83">
        <f>IF($D299&lt;=0,0,$B$258*($D299/$B$258)^E$261)</f>
        <v/>
      </c>
      <c r="F299" s="83">
        <f>IF($D299&lt;=0,0,$B$258*($D299/$B$258)^F$261)</f>
        <v/>
      </c>
      <c r="G299" s="83">
        <f>IF($D299&lt;=0,0,$B$258*($D299/$B$258)^G$261)</f>
        <v/>
      </c>
      <c r="H299" s="83">
        <f>IF($D299&lt;=0,0,$B$258*($D299/$B$258)^H$261)</f>
        <v/>
      </c>
      <c r="I299" s="83">
        <f>IF($D299&lt;=0,0,$B$258*($D299/$B$258)^I$261)</f>
        <v/>
      </c>
      <c r="J299" s="83">
        <f>IF($D299&lt;=0,0,$B$258*($D299/$B$258)^J$261)</f>
        <v/>
      </c>
      <c r="K299" s="83">
        <f>IF($D299&lt;=0,0,$B$258*($D299/$B$258)^K$261)</f>
        <v/>
      </c>
      <c r="L299" s="83">
        <f>IF($D299&lt;=0,0,$B$258*($D299/$B$258)^L$261)</f>
        <v/>
      </c>
      <c r="M299" s="83">
        <f>IF($D299&lt;=0,0,$B$258*($D299/$B$258)^M$261)</f>
        <v/>
      </c>
      <c r="N299" s="83">
        <f>SUMPRODUCT($E$260:$M$260,$E299:$M299)</f>
        <v/>
      </c>
      <c r="O299" s="72">
        <f>($F$257-($B$257/100)*($D$258+N299))/(1+($B$257/100)*$D$257)-$D299</f>
        <v/>
      </c>
    </row>
    <row r="300">
      <c r="B300" s="83">
        <f>IF(O299&gt;0,D299,B299)</f>
        <v/>
      </c>
      <c r="C300" s="83">
        <f>IF(O299&gt;0,C299,D299)</f>
        <v/>
      </c>
      <c r="D300" s="83">
        <f>(B300+C300)/2</f>
        <v/>
      </c>
      <c r="E300" s="83">
        <f>IF($D300&lt;=0,0,$B$258*($D300/$B$258)^E$261)</f>
        <v/>
      </c>
      <c r="F300" s="83">
        <f>IF($D300&lt;=0,0,$B$258*($D300/$B$258)^F$261)</f>
        <v/>
      </c>
      <c r="G300" s="83">
        <f>IF($D300&lt;=0,0,$B$258*($D300/$B$258)^G$261)</f>
        <v/>
      </c>
      <c r="H300" s="83">
        <f>IF($D300&lt;=0,0,$B$258*($D300/$B$258)^H$261)</f>
        <v/>
      </c>
      <c r="I300" s="83">
        <f>IF($D300&lt;=0,0,$B$258*($D300/$B$258)^I$261)</f>
        <v/>
      </c>
      <c r="J300" s="83">
        <f>IF($D300&lt;=0,0,$B$258*($D300/$B$258)^J$261)</f>
        <v/>
      </c>
      <c r="K300" s="83">
        <f>IF($D300&lt;=0,0,$B$258*($D300/$B$258)^K$261)</f>
        <v/>
      </c>
      <c r="L300" s="83">
        <f>IF($D300&lt;=0,0,$B$258*($D300/$B$258)^L$261)</f>
        <v/>
      </c>
      <c r="M300" s="83">
        <f>IF($D300&lt;=0,0,$B$258*($D300/$B$258)^M$261)</f>
        <v/>
      </c>
      <c r="N300" s="83">
        <f>SUMPRODUCT($E$260:$M$260,$E300:$M300)</f>
        <v/>
      </c>
      <c r="O300" s="72">
        <f>($F$257-($B$257/100)*($D$258+N300))/(1+($B$257/100)*$D$257)-$D300</f>
        <v/>
      </c>
    </row>
    <row r="301">
      <c r="B301" s="83">
        <f>IF(O300&gt;0,D300,B300)</f>
        <v/>
      </c>
      <c r="C301" s="83">
        <f>IF(O300&gt;0,C300,D300)</f>
        <v/>
      </c>
      <c r="D301" s="83">
        <f>(B301+C301)/2</f>
        <v/>
      </c>
      <c r="E301" s="83">
        <f>IF($D301&lt;=0,0,$B$258*($D301/$B$258)^E$261)</f>
        <v/>
      </c>
      <c r="F301" s="83">
        <f>IF($D301&lt;=0,0,$B$258*($D301/$B$258)^F$261)</f>
        <v/>
      </c>
      <c r="G301" s="83">
        <f>IF($D301&lt;=0,0,$B$258*($D301/$B$258)^G$261)</f>
        <v/>
      </c>
      <c r="H301" s="83">
        <f>IF($D301&lt;=0,0,$B$258*($D301/$B$258)^H$261)</f>
        <v/>
      </c>
      <c r="I301" s="83">
        <f>IF($D301&lt;=0,0,$B$258*($D301/$B$258)^I$261)</f>
        <v/>
      </c>
      <c r="J301" s="83">
        <f>IF($D301&lt;=0,0,$B$258*($D301/$B$258)^J$261)</f>
        <v/>
      </c>
      <c r="K301" s="83">
        <f>IF($D301&lt;=0,0,$B$258*($D301/$B$258)^K$261)</f>
        <v/>
      </c>
      <c r="L301" s="83">
        <f>IF($D301&lt;=0,0,$B$258*($D301/$B$258)^L$261)</f>
        <v/>
      </c>
      <c r="M301" s="83">
        <f>IF($D301&lt;=0,0,$B$258*($D301/$B$258)^M$261)</f>
        <v/>
      </c>
      <c r="N301" s="83">
        <f>SUMPRODUCT($E$260:$M$260,$E301:$M301)</f>
        <v/>
      </c>
      <c r="O301" s="72">
        <f>($F$257-($B$257/100)*($D$258+N301))/(1+($B$257/100)*$D$257)-$D301</f>
        <v/>
      </c>
    </row>
    <row r="302">
      <c r="B302" s="83">
        <f>IF(O301&gt;0,D301,B301)</f>
        <v/>
      </c>
      <c r="C302" s="83">
        <f>IF(O301&gt;0,C301,D301)</f>
        <v/>
      </c>
      <c r="D302" s="83">
        <f>(B302+C302)/2</f>
        <v/>
      </c>
      <c r="E302" s="83">
        <f>IF($D302&lt;=0,0,$B$258*($D302/$B$258)^E$261)</f>
        <v/>
      </c>
      <c r="F302" s="83">
        <f>IF($D302&lt;=0,0,$B$258*($D302/$B$258)^F$261)</f>
        <v/>
      </c>
      <c r="G302" s="83">
        <f>IF($D302&lt;=0,0,$B$258*($D302/$B$258)^G$261)</f>
        <v/>
      </c>
      <c r="H302" s="83">
        <f>IF($D302&lt;=0,0,$B$258*($D302/$B$258)^H$261)</f>
        <v/>
      </c>
      <c r="I302" s="83">
        <f>IF($D302&lt;=0,0,$B$258*($D302/$B$258)^I$261)</f>
        <v/>
      </c>
      <c r="J302" s="83">
        <f>IF($D302&lt;=0,0,$B$258*($D302/$B$258)^J$261)</f>
        <v/>
      </c>
      <c r="K302" s="83">
        <f>IF($D302&lt;=0,0,$B$258*($D302/$B$258)^K$261)</f>
        <v/>
      </c>
      <c r="L302" s="83">
        <f>IF($D302&lt;=0,0,$B$258*($D302/$B$258)^L$261)</f>
        <v/>
      </c>
      <c r="M302" s="83">
        <f>IF($D302&lt;=0,0,$B$258*($D302/$B$258)^M$261)</f>
        <v/>
      </c>
      <c r="N302" s="83">
        <f>SUMPRODUCT($E$260:$M$260,$E302:$M302)</f>
        <v/>
      </c>
      <c r="O302" s="72">
        <f>($F$257-($B$257/100)*($D$258+N302))/(1+($B$257/100)*$D$257)-$D302</f>
        <v/>
      </c>
    </row>
    <row r="303">
      <c r="A303" s="67" t="inlineStr">
        <is>
          <t>DF(40Y) SOLVED</t>
        </is>
      </c>
      <c r="B303" s="81">
        <f>D302</f>
        <v/>
      </c>
      <c r="C303" s="67" t="inlineStr">
        <is>
          <t>resid</t>
        </is>
      </c>
      <c r="D303" s="72">
        <f>O302</f>
        <v/>
      </c>
      <c r="E303" s="67" t="inlineStr">
        <is>
          <t>zero %</t>
        </is>
      </c>
      <c r="F303" s="63">
        <f>-LN(B303)/$H$257*100</f>
        <v/>
      </c>
    </row>
    <row r="306">
      <c r="A306" s="73" t="inlineStr">
        <is>
          <t>PILLAR 50Y  —  Bootstrap row 72  —  anchor row 62  —  9 gap row(s)</t>
        </is>
      </c>
      <c r="B306" s="74" t="n"/>
      <c r="C306" s="74" t="n"/>
      <c r="D306" s="74" t="n"/>
      <c r="E306" s="74" t="n"/>
      <c r="F306" s="74" t="n"/>
      <c r="G306" s="74" t="n"/>
      <c r="H306" s="74" t="n"/>
      <c r="I306" s="74" t="n"/>
      <c r="J306" s="74" t="n"/>
      <c r="K306" s="74" t="n"/>
      <c r="L306" s="74" t="n"/>
      <c r="M306" s="74" t="n"/>
      <c r="N306" s="74" t="n"/>
      <c r="O306" s="74" t="n"/>
    </row>
    <row r="307">
      <c r="A307" s="67" t="inlineStr">
        <is>
          <t>S_B (%)</t>
        </is>
      </c>
      <c r="B307" s="75">
        <f>Bootstrap!$E$72</f>
        <v/>
      </c>
      <c r="C307" s="67" t="inlineStr">
        <is>
          <t>tau_B</t>
        </is>
      </c>
      <c r="D307" s="79">
        <f>Bootstrap!$F$72</f>
        <v/>
      </c>
      <c r="E307" s="67" t="inlineStr">
        <is>
          <t>DFspot</t>
        </is>
      </c>
      <c r="F307" s="82">
        <f>Bootstrap!$D$4</f>
        <v/>
      </c>
      <c r="G307" s="67" t="inlineStr">
        <is>
          <t>C_B</t>
        </is>
      </c>
      <c r="H307" s="79">
        <f>Bootstrap!$C$72</f>
        <v/>
      </c>
    </row>
    <row r="308">
      <c r="A308" s="67" t="inlineStr">
        <is>
          <t>DF_A (anchor)</t>
        </is>
      </c>
      <c r="B308" s="82">
        <f>Bootstrap!$H$62</f>
        <v/>
      </c>
      <c r="C308" s="67" t="inlineStr">
        <is>
          <t>A_anchor</t>
        </is>
      </c>
      <c r="D308" s="82">
        <f>SUM(Bootstrap!$I$8:$I$62)</f>
        <v/>
      </c>
      <c r="E308" s="67" t="inlineStr">
        <is>
          <t>C_A</t>
        </is>
      </c>
      <c r="F308" s="79">
        <f>Bootstrap!$C$62</f>
        <v/>
      </c>
    </row>
    <row r="309">
      <c r="A309" s="67" t="inlineStr">
        <is>
          <t>gap row</t>
        </is>
      </c>
      <c r="E309" s="78" t="n">
        <v>63</v>
      </c>
      <c r="F309" s="78" t="n">
        <v>64</v>
      </c>
      <c r="G309" s="78" t="n">
        <v>65</v>
      </c>
      <c r="H309" s="78" t="n">
        <v>66</v>
      </c>
      <c r="I309" s="78" t="n">
        <v>67</v>
      </c>
      <c r="J309" s="78" t="n">
        <v>68</v>
      </c>
      <c r="K309" s="78" t="n">
        <v>69</v>
      </c>
      <c r="L309" s="78" t="n">
        <v>70</v>
      </c>
      <c r="M309" s="78" t="n">
        <v>71</v>
      </c>
    </row>
    <row r="310">
      <c r="A310" s="67" t="inlineStr">
        <is>
          <t>tau_g</t>
        </is>
      </c>
      <c r="E310" s="79">
        <f>Bootstrap!$F$63</f>
        <v/>
      </c>
      <c r="F310" s="79">
        <f>Bootstrap!$F$64</f>
        <v/>
      </c>
      <c r="G310" s="79">
        <f>Bootstrap!$F$65</f>
        <v/>
      </c>
      <c r="H310" s="79">
        <f>Bootstrap!$F$66</f>
        <v/>
      </c>
      <c r="I310" s="79">
        <f>Bootstrap!$F$67</f>
        <v/>
      </c>
      <c r="J310" s="79">
        <f>Bootstrap!$F$68</f>
        <v/>
      </c>
      <c r="K310" s="79">
        <f>Bootstrap!$F$69</f>
        <v/>
      </c>
      <c r="L310" s="79">
        <f>Bootstrap!$F$70</f>
        <v/>
      </c>
      <c r="M310" s="79">
        <f>Bootstrap!$F$71</f>
        <v/>
      </c>
    </row>
    <row r="311">
      <c r="A311" s="67" t="inlineStr">
        <is>
          <t>weight w_g</t>
        </is>
      </c>
      <c r="E311" s="80">
        <f>(Bootstrap!$C$63-$F$308)/($H$307-$F$308)</f>
        <v/>
      </c>
      <c r="F311" s="80">
        <f>(Bootstrap!$C$64-$F$308)/($H$307-$F$308)</f>
        <v/>
      </c>
      <c r="G311" s="80">
        <f>(Bootstrap!$C$65-$F$308)/($H$307-$F$308)</f>
        <v/>
      </c>
      <c r="H311" s="80">
        <f>(Bootstrap!$C$66-$F$308)/($H$307-$F$308)</f>
        <v/>
      </c>
      <c r="I311" s="80">
        <f>(Bootstrap!$C$67-$F$308)/($H$307-$F$308)</f>
        <v/>
      </c>
      <c r="J311" s="80">
        <f>(Bootstrap!$C$68-$F$308)/($H$307-$F$308)</f>
        <v/>
      </c>
      <c r="K311" s="80">
        <f>(Bootstrap!$C$69-$F$308)/($H$307-$F$308)</f>
        <v/>
      </c>
      <c r="L311" s="80">
        <f>(Bootstrap!$C$70-$F$308)/($H$307-$F$308)</f>
        <v/>
      </c>
      <c r="M311" s="80">
        <f>(Bootstrap!$C$71-$F$308)/($H$307-$F$308)</f>
        <v/>
      </c>
    </row>
    <row r="312">
      <c r="A312" s="67" t="inlineStr">
        <is>
          <t>bisection</t>
        </is>
      </c>
      <c r="B312" s="62" t="inlineStr">
        <is>
          <t>lo</t>
        </is>
      </c>
      <c r="C312" s="62" t="inlineStr">
        <is>
          <t>hi</t>
        </is>
      </c>
      <c r="D312" s="62" t="inlineStr">
        <is>
          <t>DF_B trial</t>
        </is>
      </c>
      <c r="E312" s="62" t="inlineStr">
        <is>
          <t>DF_g -&gt;</t>
        </is>
      </c>
      <c r="N312" s="62" t="inlineStr">
        <is>
          <t>gap annuity</t>
        </is>
      </c>
      <c r="O312" s="62" t="inlineStr">
        <is>
          <t>f(DF_B)</t>
        </is>
      </c>
    </row>
    <row r="313">
      <c r="B313" s="83" t="n">
        <v>0</v>
      </c>
      <c r="C313" s="83" t="n">
        <v>1.5</v>
      </c>
      <c r="D313" s="83">
        <f>(B313+C313)/2</f>
        <v/>
      </c>
      <c r="E313" s="83">
        <f>IF($D313&lt;=0,0,$B$308*($D313/$B$308)^E$311)</f>
        <v/>
      </c>
      <c r="F313" s="83">
        <f>IF($D313&lt;=0,0,$B$308*($D313/$B$308)^F$311)</f>
        <v/>
      </c>
      <c r="G313" s="83">
        <f>IF($D313&lt;=0,0,$B$308*($D313/$B$308)^G$311)</f>
        <v/>
      </c>
      <c r="H313" s="83">
        <f>IF($D313&lt;=0,0,$B$308*($D313/$B$308)^H$311)</f>
        <v/>
      </c>
      <c r="I313" s="83">
        <f>IF($D313&lt;=0,0,$B$308*($D313/$B$308)^I$311)</f>
        <v/>
      </c>
      <c r="J313" s="83">
        <f>IF($D313&lt;=0,0,$B$308*($D313/$B$308)^J$311)</f>
        <v/>
      </c>
      <c r="K313" s="83">
        <f>IF($D313&lt;=0,0,$B$308*($D313/$B$308)^K$311)</f>
        <v/>
      </c>
      <c r="L313" s="83">
        <f>IF($D313&lt;=0,0,$B$308*($D313/$B$308)^L$311)</f>
        <v/>
      </c>
      <c r="M313" s="83">
        <f>IF($D313&lt;=0,0,$B$308*($D313/$B$308)^M$311)</f>
        <v/>
      </c>
      <c r="N313" s="83">
        <f>SUMPRODUCT($E$310:$M$310,$E313:$M313)</f>
        <v/>
      </c>
      <c r="O313" s="72">
        <f>($F$307-($B$307/100)*($D$308+N313))/(1+($B$307/100)*$D$307)-$D313</f>
        <v/>
      </c>
    </row>
    <row r="314">
      <c r="B314" s="83">
        <f>IF(O313&gt;0,D313,B313)</f>
        <v/>
      </c>
      <c r="C314" s="83">
        <f>IF(O313&gt;0,C313,D313)</f>
        <v/>
      </c>
      <c r="D314" s="83">
        <f>(B314+C314)/2</f>
        <v/>
      </c>
      <c r="E314" s="83">
        <f>IF($D314&lt;=0,0,$B$308*($D314/$B$308)^E$311)</f>
        <v/>
      </c>
      <c r="F314" s="83">
        <f>IF($D314&lt;=0,0,$B$308*($D314/$B$308)^F$311)</f>
        <v/>
      </c>
      <c r="G314" s="83">
        <f>IF($D314&lt;=0,0,$B$308*($D314/$B$308)^G$311)</f>
        <v/>
      </c>
      <c r="H314" s="83">
        <f>IF($D314&lt;=0,0,$B$308*($D314/$B$308)^H$311)</f>
        <v/>
      </c>
      <c r="I314" s="83">
        <f>IF($D314&lt;=0,0,$B$308*($D314/$B$308)^I$311)</f>
        <v/>
      </c>
      <c r="J314" s="83">
        <f>IF($D314&lt;=0,0,$B$308*($D314/$B$308)^J$311)</f>
        <v/>
      </c>
      <c r="K314" s="83">
        <f>IF($D314&lt;=0,0,$B$308*($D314/$B$308)^K$311)</f>
        <v/>
      </c>
      <c r="L314" s="83">
        <f>IF($D314&lt;=0,0,$B$308*($D314/$B$308)^L$311)</f>
        <v/>
      </c>
      <c r="M314" s="83">
        <f>IF($D314&lt;=0,0,$B$308*($D314/$B$308)^M$311)</f>
        <v/>
      </c>
      <c r="N314" s="83">
        <f>SUMPRODUCT($E$310:$M$310,$E314:$M314)</f>
        <v/>
      </c>
      <c r="O314" s="72">
        <f>($F$307-($B$307/100)*($D$308+N314))/(1+($B$307/100)*$D$307)-$D314</f>
        <v/>
      </c>
    </row>
    <row r="315">
      <c r="B315" s="83">
        <f>IF(O314&gt;0,D314,B314)</f>
        <v/>
      </c>
      <c r="C315" s="83">
        <f>IF(O314&gt;0,C314,D314)</f>
        <v/>
      </c>
      <c r="D315" s="83">
        <f>(B315+C315)/2</f>
        <v/>
      </c>
      <c r="E315" s="83">
        <f>IF($D315&lt;=0,0,$B$308*($D315/$B$308)^E$311)</f>
        <v/>
      </c>
      <c r="F315" s="83">
        <f>IF($D315&lt;=0,0,$B$308*($D315/$B$308)^F$311)</f>
        <v/>
      </c>
      <c r="G315" s="83">
        <f>IF($D315&lt;=0,0,$B$308*($D315/$B$308)^G$311)</f>
        <v/>
      </c>
      <c r="H315" s="83">
        <f>IF($D315&lt;=0,0,$B$308*($D315/$B$308)^H$311)</f>
        <v/>
      </c>
      <c r="I315" s="83">
        <f>IF($D315&lt;=0,0,$B$308*($D315/$B$308)^I$311)</f>
        <v/>
      </c>
      <c r="J315" s="83">
        <f>IF($D315&lt;=0,0,$B$308*($D315/$B$308)^J$311)</f>
        <v/>
      </c>
      <c r="K315" s="83">
        <f>IF($D315&lt;=0,0,$B$308*($D315/$B$308)^K$311)</f>
        <v/>
      </c>
      <c r="L315" s="83">
        <f>IF($D315&lt;=0,0,$B$308*($D315/$B$308)^L$311)</f>
        <v/>
      </c>
      <c r="M315" s="83">
        <f>IF($D315&lt;=0,0,$B$308*($D315/$B$308)^M$311)</f>
        <v/>
      </c>
      <c r="N315" s="83">
        <f>SUMPRODUCT($E$310:$M$310,$E315:$M315)</f>
        <v/>
      </c>
      <c r="O315" s="72">
        <f>($F$307-($B$307/100)*($D$308+N315))/(1+($B$307/100)*$D$307)-$D315</f>
        <v/>
      </c>
    </row>
    <row r="316">
      <c r="B316" s="83">
        <f>IF(O315&gt;0,D315,B315)</f>
        <v/>
      </c>
      <c r="C316" s="83">
        <f>IF(O315&gt;0,C315,D315)</f>
        <v/>
      </c>
      <c r="D316" s="83">
        <f>(B316+C316)/2</f>
        <v/>
      </c>
      <c r="E316" s="83">
        <f>IF($D316&lt;=0,0,$B$308*($D316/$B$308)^E$311)</f>
        <v/>
      </c>
      <c r="F316" s="83">
        <f>IF($D316&lt;=0,0,$B$308*($D316/$B$308)^F$311)</f>
        <v/>
      </c>
      <c r="G316" s="83">
        <f>IF($D316&lt;=0,0,$B$308*($D316/$B$308)^G$311)</f>
        <v/>
      </c>
      <c r="H316" s="83">
        <f>IF($D316&lt;=0,0,$B$308*($D316/$B$308)^H$311)</f>
        <v/>
      </c>
      <c r="I316" s="83">
        <f>IF($D316&lt;=0,0,$B$308*($D316/$B$308)^I$311)</f>
        <v/>
      </c>
      <c r="J316" s="83">
        <f>IF($D316&lt;=0,0,$B$308*($D316/$B$308)^J$311)</f>
        <v/>
      </c>
      <c r="K316" s="83">
        <f>IF($D316&lt;=0,0,$B$308*($D316/$B$308)^K$311)</f>
        <v/>
      </c>
      <c r="L316" s="83">
        <f>IF($D316&lt;=0,0,$B$308*($D316/$B$308)^L$311)</f>
        <v/>
      </c>
      <c r="M316" s="83">
        <f>IF($D316&lt;=0,0,$B$308*($D316/$B$308)^M$311)</f>
        <v/>
      </c>
      <c r="N316" s="83">
        <f>SUMPRODUCT($E$310:$M$310,$E316:$M316)</f>
        <v/>
      </c>
      <c r="O316" s="72">
        <f>($F$307-($B$307/100)*($D$308+N316))/(1+($B$307/100)*$D$307)-$D316</f>
        <v/>
      </c>
    </row>
    <row r="317">
      <c r="B317" s="83">
        <f>IF(O316&gt;0,D316,B316)</f>
        <v/>
      </c>
      <c r="C317" s="83">
        <f>IF(O316&gt;0,C316,D316)</f>
        <v/>
      </c>
      <c r="D317" s="83">
        <f>(B317+C317)/2</f>
        <v/>
      </c>
      <c r="E317" s="83">
        <f>IF($D317&lt;=0,0,$B$308*($D317/$B$308)^E$311)</f>
        <v/>
      </c>
      <c r="F317" s="83">
        <f>IF($D317&lt;=0,0,$B$308*($D317/$B$308)^F$311)</f>
        <v/>
      </c>
      <c r="G317" s="83">
        <f>IF($D317&lt;=0,0,$B$308*($D317/$B$308)^G$311)</f>
        <v/>
      </c>
      <c r="H317" s="83">
        <f>IF($D317&lt;=0,0,$B$308*($D317/$B$308)^H$311)</f>
        <v/>
      </c>
      <c r="I317" s="83">
        <f>IF($D317&lt;=0,0,$B$308*($D317/$B$308)^I$311)</f>
        <v/>
      </c>
      <c r="J317" s="83">
        <f>IF($D317&lt;=0,0,$B$308*($D317/$B$308)^J$311)</f>
        <v/>
      </c>
      <c r="K317" s="83">
        <f>IF($D317&lt;=0,0,$B$308*($D317/$B$308)^K$311)</f>
        <v/>
      </c>
      <c r="L317" s="83">
        <f>IF($D317&lt;=0,0,$B$308*($D317/$B$308)^L$311)</f>
        <v/>
      </c>
      <c r="M317" s="83">
        <f>IF($D317&lt;=0,0,$B$308*($D317/$B$308)^M$311)</f>
        <v/>
      </c>
      <c r="N317" s="83">
        <f>SUMPRODUCT($E$310:$M$310,$E317:$M317)</f>
        <v/>
      </c>
      <c r="O317" s="72">
        <f>($F$307-($B$307/100)*($D$308+N317))/(1+($B$307/100)*$D$307)-$D317</f>
        <v/>
      </c>
    </row>
    <row r="318">
      <c r="B318" s="83">
        <f>IF(O317&gt;0,D317,B317)</f>
        <v/>
      </c>
      <c r="C318" s="83">
        <f>IF(O317&gt;0,C317,D317)</f>
        <v/>
      </c>
      <c r="D318" s="83">
        <f>(B318+C318)/2</f>
        <v/>
      </c>
      <c r="E318" s="83">
        <f>IF($D318&lt;=0,0,$B$308*($D318/$B$308)^E$311)</f>
        <v/>
      </c>
      <c r="F318" s="83">
        <f>IF($D318&lt;=0,0,$B$308*($D318/$B$308)^F$311)</f>
        <v/>
      </c>
      <c r="G318" s="83">
        <f>IF($D318&lt;=0,0,$B$308*($D318/$B$308)^G$311)</f>
        <v/>
      </c>
      <c r="H318" s="83">
        <f>IF($D318&lt;=0,0,$B$308*($D318/$B$308)^H$311)</f>
        <v/>
      </c>
      <c r="I318" s="83">
        <f>IF($D318&lt;=0,0,$B$308*($D318/$B$308)^I$311)</f>
        <v/>
      </c>
      <c r="J318" s="83">
        <f>IF($D318&lt;=0,0,$B$308*($D318/$B$308)^J$311)</f>
        <v/>
      </c>
      <c r="K318" s="83">
        <f>IF($D318&lt;=0,0,$B$308*($D318/$B$308)^K$311)</f>
        <v/>
      </c>
      <c r="L318" s="83">
        <f>IF($D318&lt;=0,0,$B$308*($D318/$B$308)^L$311)</f>
        <v/>
      </c>
      <c r="M318" s="83">
        <f>IF($D318&lt;=0,0,$B$308*($D318/$B$308)^M$311)</f>
        <v/>
      </c>
      <c r="N318" s="83">
        <f>SUMPRODUCT($E$310:$M$310,$E318:$M318)</f>
        <v/>
      </c>
      <c r="O318" s="72">
        <f>($F$307-($B$307/100)*($D$308+N318))/(1+($B$307/100)*$D$307)-$D318</f>
        <v/>
      </c>
    </row>
    <row r="319">
      <c r="B319" s="83">
        <f>IF(O318&gt;0,D318,B318)</f>
        <v/>
      </c>
      <c r="C319" s="83">
        <f>IF(O318&gt;0,C318,D318)</f>
        <v/>
      </c>
      <c r="D319" s="83">
        <f>(B319+C319)/2</f>
        <v/>
      </c>
      <c r="E319" s="83">
        <f>IF($D319&lt;=0,0,$B$308*($D319/$B$308)^E$311)</f>
        <v/>
      </c>
      <c r="F319" s="83">
        <f>IF($D319&lt;=0,0,$B$308*($D319/$B$308)^F$311)</f>
        <v/>
      </c>
      <c r="G319" s="83">
        <f>IF($D319&lt;=0,0,$B$308*($D319/$B$308)^G$311)</f>
        <v/>
      </c>
      <c r="H319" s="83">
        <f>IF($D319&lt;=0,0,$B$308*($D319/$B$308)^H$311)</f>
        <v/>
      </c>
      <c r="I319" s="83">
        <f>IF($D319&lt;=0,0,$B$308*($D319/$B$308)^I$311)</f>
        <v/>
      </c>
      <c r="J319" s="83">
        <f>IF($D319&lt;=0,0,$B$308*($D319/$B$308)^J$311)</f>
        <v/>
      </c>
      <c r="K319" s="83">
        <f>IF($D319&lt;=0,0,$B$308*($D319/$B$308)^K$311)</f>
        <v/>
      </c>
      <c r="L319" s="83">
        <f>IF($D319&lt;=0,0,$B$308*($D319/$B$308)^L$311)</f>
        <v/>
      </c>
      <c r="M319" s="83">
        <f>IF($D319&lt;=0,0,$B$308*($D319/$B$308)^M$311)</f>
        <v/>
      </c>
      <c r="N319" s="83">
        <f>SUMPRODUCT($E$310:$M$310,$E319:$M319)</f>
        <v/>
      </c>
      <c r="O319" s="72">
        <f>($F$307-($B$307/100)*($D$308+N319))/(1+($B$307/100)*$D$307)-$D319</f>
        <v/>
      </c>
    </row>
    <row r="320">
      <c r="B320" s="83">
        <f>IF(O319&gt;0,D319,B319)</f>
        <v/>
      </c>
      <c r="C320" s="83">
        <f>IF(O319&gt;0,C319,D319)</f>
        <v/>
      </c>
      <c r="D320" s="83">
        <f>(B320+C320)/2</f>
        <v/>
      </c>
      <c r="E320" s="83">
        <f>IF($D320&lt;=0,0,$B$308*($D320/$B$308)^E$311)</f>
        <v/>
      </c>
      <c r="F320" s="83">
        <f>IF($D320&lt;=0,0,$B$308*($D320/$B$308)^F$311)</f>
        <v/>
      </c>
      <c r="G320" s="83">
        <f>IF($D320&lt;=0,0,$B$308*($D320/$B$308)^G$311)</f>
        <v/>
      </c>
      <c r="H320" s="83">
        <f>IF($D320&lt;=0,0,$B$308*($D320/$B$308)^H$311)</f>
        <v/>
      </c>
      <c r="I320" s="83">
        <f>IF($D320&lt;=0,0,$B$308*($D320/$B$308)^I$311)</f>
        <v/>
      </c>
      <c r="J320" s="83">
        <f>IF($D320&lt;=0,0,$B$308*($D320/$B$308)^J$311)</f>
        <v/>
      </c>
      <c r="K320" s="83">
        <f>IF($D320&lt;=0,0,$B$308*($D320/$B$308)^K$311)</f>
        <v/>
      </c>
      <c r="L320" s="83">
        <f>IF($D320&lt;=0,0,$B$308*($D320/$B$308)^L$311)</f>
        <v/>
      </c>
      <c r="M320" s="83">
        <f>IF($D320&lt;=0,0,$B$308*($D320/$B$308)^M$311)</f>
        <v/>
      </c>
      <c r="N320" s="83">
        <f>SUMPRODUCT($E$310:$M$310,$E320:$M320)</f>
        <v/>
      </c>
      <c r="O320" s="72">
        <f>($F$307-($B$307/100)*($D$308+N320))/(1+($B$307/100)*$D$307)-$D320</f>
        <v/>
      </c>
    </row>
    <row r="321">
      <c r="B321" s="83">
        <f>IF(O320&gt;0,D320,B320)</f>
        <v/>
      </c>
      <c r="C321" s="83">
        <f>IF(O320&gt;0,C320,D320)</f>
        <v/>
      </c>
      <c r="D321" s="83">
        <f>(B321+C321)/2</f>
        <v/>
      </c>
      <c r="E321" s="83">
        <f>IF($D321&lt;=0,0,$B$308*($D321/$B$308)^E$311)</f>
        <v/>
      </c>
      <c r="F321" s="83">
        <f>IF($D321&lt;=0,0,$B$308*($D321/$B$308)^F$311)</f>
        <v/>
      </c>
      <c r="G321" s="83">
        <f>IF($D321&lt;=0,0,$B$308*($D321/$B$308)^G$311)</f>
        <v/>
      </c>
      <c r="H321" s="83">
        <f>IF($D321&lt;=0,0,$B$308*($D321/$B$308)^H$311)</f>
        <v/>
      </c>
      <c r="I321" s="83">
        <f>IF($D321&lt;=0,0,$B$308*($D321/$B$308)^I$311)</f>
        <v/>
      </c>
      <c r="J321" s="83">
        <f>IF($D321&lt;=0,0,$B$308*($D321/$B$308)^J$311)</f>
        <v/>
      </c>
      <c r="K321" s="83">
        <f>IF($D321&lt;=0,0,$B$308*($D321/$B$308)^K$311)</f>
        <v/>
      </c>
      <c r="L321" s="83">
        <f>IF($D321&lt;=0,0,$B$308*($D321/$B$308)^L$311)</f>
        <v/>
      </c>
      <c r="M321" s="83">
        <f>IF($D321&lt;=0,0,$B$308*($D321/$B$308)^M$311)</f>
        <v/>
      </c>
      <c r="N321" s="83">
        <f>SUMPRODUCT($E$310:$M$310,$E321:$M321)</f>
        <v/>
      </c>
      <c r="O321" s="72">
        <f>($F$307-($B$307/100)*($D$308+N321))/(1+($B$307/100)*$D$307)-$D321</f>
        <v/>
      </c>
    </row>
    <row r="322">
      <c r="B322" s="83">
        <f>IF(O321&gt;0,D321,B321)</f>
        <v/>
      </c>
      <c r="C322" s="83">
        <f>IF(O321&gt;0,C321,D321)</f>
        <v/>
      </c>
      <c r="D322" s="83">
        <f>(B322+C322)/2</f>
        <v/>
      </c>
      <c r="E322" s="83">
        <f>IF($D322&lt;=0,0,$B$308*($D322/$B$308)^E$311)</f>
        <v/>
      </c>
      <c r="F322" s="83">
        <f>IF($D322&lt;=0,0,$B$308*($D322/$B$308)^F$311)</f>
        <v/>
      </c>
      <c r="G322" s="83">
        <f>IF($D322&lt;=0,0,$B$308*($D322/$B$308)^G$311)</f>
        <v/>
      </c>
      <c r="H322" s="83">
        <f>IF($D322&lt;=0,0,$B$308*($D322/$B$308)^H$311)</f>
        <v/>
      </c>
      <c r="I322" s="83">
        <f>IF($D322&lt;=0,0,$B$308*($D322/$B$308)^I$311)</f>
        <v/>
      </c>
      <c r="J322" s="83">
        <f>IF($D322&lt;=0,0,$B$308*($D322/$B$308)^J$311)</f>
        <v/>
      </c>
      <c r="K322" s="83">
        <f>IF($D322&lt;=0,0,$B$308*($D322/$B$308)^K$311)</f>
        <v/>
      </c>
      <c r="L322" s="83">
        <f>IF($D322&lt;=0,0,$B$308*($D322/$B$308)^L$311)</f>
        <v/>
      </c>
      <c r="M322" s="83">
        <f>IF($D322&lt;=0,0,$B$308*($D322/$B$308)^M$311)</f>
        <v/>
      </c>
      <c r="N322" s="83">
        <f>SUMPRODUCT($E$310:$M$310,$E322:$M322)</f>
        <v/>
      </c>
      <c r="O322" s="72">
        <f>($F$307-($B$307/100)*($D$308+N322))/(1+($B$307/100)*$D$307)-$D322</f>
        <v/>
      </c>
    </row>
    <row r="323">
      <c r="B323" s="83">
        <f>IF(O322&gt;0,D322,B322)</f>
        <v/>
      </c>
      <c r="C323" s="83">
        <f>IF(O322&gt;0,C322,D322)</f>
        <v/>
      </c>
      <c r="D323" s="83">
        <f>(B323+C323)/2</f>
        <v/>
      </c>
      <c r="E323" s="83">
        <f>IF($D323&lt;=0,0,$B$308*($D323/$B$308)^E$311)</f>
        <v/>
      </c>
      <c r="F323" s="83">
        <f>IF($D323&lt;=0,0,$B$308*($D323/$B$308)^F$311)</f>
        <v/>
      </c>
      <c r="G323" s="83">
        <f>IF($D323&lt;=0,0,$B$308*($D323/$B$308)^G$311)</f>
        <v/>
      </c>
      <c r="H323" s="83">
        <f>IF($D323&lt;=0,0,$B$308*($D323/$B$308)^H$311)</f>
        <v/>
      </c>
      <c r="I323" s="83">
        <f>IF($D323&lt;=0,0,$B$308*($D323/$B$308)^I$311)</f>
        <v/>
      </c>
      <c r="J323" s="83">
        <f>IF($D323&lt;=0,0,$B$308*($D323/$B$308)^J$311)</f>
        <v/>
      </c>
      <c r="K323" s="83">
        <f>IF($D323&lt;=0,0,$B$308*($D323/$B$308)^K$311)</f>
        <v/>
      </c>
      <c r="L323" s="83">
        <f>IF($D323&lt;=0,0,$B$308*($D323/$B$308)^L$311)</f>
        <v/>
      </c>
      <c r="M323" s="83">
        <f>IF($D323&lt;=0,0,$B$308*($D323/$B$308)^M$311)</f>
        <v/>
      </c>
      <c r="N323" s="83">
        <f>SUMPRODUCT($E$310:$M$310,$E323:$M323)</f>
        <v/>
      </c>
      <c r="O323" s="72">
        <f>($F$307-($B$307/100)*($D$308+N323))/(1+($B$307/100)*$D$307)-$D323</f>
        <v/>
      </c>
    </row>
    <row r="324">
      <c r="B324" s="83">
        <f>IF(O323&gt;0,D323,B323)</f>
        <v/>
      </c>
      <c r="C324" s="83">
        <f>IF(O323&gt;0,C323,D323)</f>
        <v/>
      </c>
      <c r="D324" s="83">
        <f>(B324+C324)/2</f>
        <v/>
      </c>
      <c r="E324" s="83">
        <f>IF($D324&lt;=0,0,$B$308*($D324/$B$308)^E$311)</f>
        <v/>
      </c>
      <c r="F324" s="83">
        <f>IF($D324&lt;=0,0,$B$308*($D324/$B$308)^F$311)</f>
        <v/>
      </c>
      <c r="G324" s="83">
        <f>IF($D324&lt;=0,0,$B$308*($D324/$B$308)^G$311)</f>
        <v/>
      </c>
      <c r="H324" s="83">
        <f>IF($D324&lt;=0,0,$B$308*($D324/$B$308)^H$311)</f>
        <v/>
      </c>
      <c r="I324" s="83">
        <f>IF($D324&lt;=0,0,$B$308*($D324/$B$308)^I$311)</f>
        <v/>
      </c>
      <c r="J324" s="83">
        <f>IF($D324&lt;=0,0,$B$308*($D324/$B$308)^J$311)</f>
        <v/>
      </c>
      <c r="K324" s="83">
        <f>IF($D324&lt;=0,0,$B$308*($D324/$B$308)^K$311)</f>
        <v/>
      </c>
      <c r="L324" s="83">
        <f>IF($D324&lt;=0,0,$B$308*($D324/$B$308)^L$311)</f>
        <v/>
      </c>
      <c r="M324" s="83">
        <f>IF($D324&lt;=0,0,$B$308*($D324/$B$308)^M$311)</f>
        <v/>
      </c>
      <c r="N324" s="83">
        <f>SUMPRODUCT($E$310:$M$310,$E324:$M324)</f>
        <v/>
      </c>
      <c r="O324" s="72">
        <f>($F$307-($B$307/100)*($D$308+N324))/(1+($B$307/100)*$D$307)-$D324</f>
        <v/>
      </c>
    </row>
    <row r="325">
      <c r="B325" s="83">
        <f>IF(O324&gt;0,D324,B324)</f>
        <v/>
      </c>
      <c r="C325" s="83">
        <f>IF(O324&gt;0,C324,D324)</f>
        <v/>
      </c>
      <c r="D325" s="83">
        <f>(B325+C325)/2</f>
        <v/>
      </c>
      <c r="E325" s="83">
        <f>IF($D325&lt;=0,0,$B$308*($D325/$B$308)^E$311)</f>
        <v/>
      </c>
      <c r="F325" s="83">
        <f>IF($D325&lt;=0,0,$B$308*($D325/$B$308)^F$311)</f>
        <v/>
      </c>
      <c r="G325" s="83">
        <f>IF($D325&lt;=0,0,$B$308*($D325/$B$308)^G$311)</f>
        <v/>
      </c>
      <c r="H325" s="83">
        <f>IF($D325&lt;=0,0,$B$308*($D325/$B$308)^H$311)</f>
        <v/>
      </c>
      <c r="I325" s="83">
        <f>IF($D325&lt;=0,0,$B$308*($D325/$B$308)^I$311)</f>
        <v/>
      </c>
      <c r="J325" s="83">
        <f>IF($D325&lt;=0,0,$B$308*($D325/$B$308)^J$311)</f>
        <v/>
      </c>
      <c r="K325" s="83">
        <f>IF($D325&lt;=0,0,$B$308*($D325/$B$308)^K$311)</f>
        <v/>
      </c>
      <c r="L325" s="83">
        <f>IF($D325&lt;=0,0,$B$308*($D325/$B$308)^L$311)</f>
        <v/>
      </c>
      <c r="M325" s="83">
        <f>IF($D325&lt;=0,0,$B$308*($D325/$B$308)^M$311)</f>
        <v/>
      </c>
      <c r="N325" s="83">
        <f>SUMPRODUCT($E$310:$M$310,$E325:$M325)</f>
        <v/>
      </c>
      <c r="O325" s="72">
        <f>($F$307-($B$307/100)*($D$308+N325))/(1+($B$307/100)*$D$307)-$D325</f>
        <v/>
      </c>
    </row>
    <row r="326">
      <c r="B326" s="83">
        <f>IF(O325&gt;0,D325,B325)</f>
        <v/>
      </c>
      <c r="C326" s="83">
        <f>IF(O325&gt;0,C325,D325)</f>
        <v/>
      </c>
      <c r="D326" s="83">
        <f>(B326+C326)/2</f>
        <v/>
      </c>
      <c r="E326" s="83">
        <f>IF($D326&lt;=0,0,$B$308*($D326/$B$308)^E$311)</f>
        <v/>
      </c>
      <c r="F326" s="83">
        <f>IF($D326&lt;=0,0,$B$308*($D326/$B$308)^F$311)</f>
        <v/>
      </c>
      <c r="G326" s="83">
        <f>IF($D326&lt;=0,0,$B$308*($D326/$B$308)^G$311)</f>
        <v/>
      </c>
      <c r="H326" s="83">
        <f>IF($D326&lt;=0,0,$B$308*($D326/$B$308)^H$311)</f>
        <v/>
      </c>
      <c r="I326" s="83">
        <f>IF($D326&lt;=0,0,$B$308*($D326/$B$308)^I$311)</f>
        <v/>
      </c>
      <c r="J326" s="83">
        <f>IF($D326&lt;=0,0,$B$308*($D326/$B$308)^J$311)</f>
        <v/>
      </c>
      <c r="K326" s="83">
        <f>IF($D326&lt;=0,0,$B$308*($D326/$B$308)^K$311)</f>
        <v/>
      </c>
      <c r="L326" s="83">
        <f>IF($D326&lt;=0,0,$B$308*($D326/$B$308)^L$311)</f>
        <v/>
      </c>
      <c r="M326" s="83">
        <f>IF($D326&lt;=0,0,$B$308*($D326/$B$308)^M$311)</f>
        <v/>
      </c>
      <c r="N326" s="83">
        <f>SUMPRODUCT($E$310:$M$310,$E326:$M326)</f>
        <v/>
      </c>
      <c r="O326" s="72">
        <f>($F$307-($B$307/100)*($D$308+N326))/(1+($B$307/100)*$D$307)-$D326</f>
        <v/>
      </c>
    </row>
    <row r="327">
      <c r="B327" s="83">
        <f>IF(O326&gt;0,D326,B326)</f>
        <v/>
      </c>
      <c r="C327" s="83">
        <f>IF(O326&gt;0,C326,D326)</f>
        <v/>
      </c>
      <c r="D327" s="83">
        <f>(B327+C327)/2</f>
        <v/>
      </c>
      <c r="E327" s="83">
        <f>IF($D327&lt;=0,0,$B$308*($D327/$B$308)^E$311)</f>
        <v/>
      </c>
      <c r="F327" s="83">
        <f>IF($D327&lt;=0,0,$B$308*($D327/$B$308)^F$311)</f>
        <v/>
      </c>
      <c r="G327" s="83">
        <f>IF($D327&lt;=0,0,$B$308*($D327/$B$308)^G$311)</f>
        <v/>
      </c>
      <c r="H327" s="83">
        <f>IF($D327&lt;=0,0,$B$308*($D327/$B$308)^H$311)</f>
        <v/>
      </c>
      <c r="I327" s="83">
        <f>IF($D327&lt;=0,0,$B$308*($D327/$B$308)^I$311)</f>
        <v/>
      </c>
      <c r="J327" s="83">
        <f>IF($D327&lt;=0,0,$B$308*($D327/$B$308)^J$311)</f>
        <v/>
      </c>
      <c r="K327" s="83">
        <f>IF($D327&lt;=0,0,$B$308*($D327/$B$308)^K$311)</f>
        <v/>
      </c>
      <c r="L327" s="83">
        <f>IF($D327&lt;=0,0,$B$308*($D327/$B$308)^L$311)</f>
        <v/>
      </c>
      <c r="M327" s="83">
        <f>IF($D327&lt;=0,0,$B$308*($D327/$B$308)^M$311)</f>
        <v/>
      </c>
      <c r="N327" s="83">
        <f>SUMPRODUCT($E$310:$M$310,$E327:$M327)</f>
        <v/>
      </c>
      <c r="O327" s="72">
        <f>($F$307-($B$307/100)*($D$308+N327))/(1+($B$307/100)*$D$307)-$D327</f>
        <v/>
      </c>
    </row>
    <row r="328">
      <c r="B328" s="83">
        <f>IF(O327&gt;0,D327,B327)</f>
        <v/>
      </c>
      <c r="C328" s="83">
        <f>IF(O327&gt;0,C327,D327)</f>
        <v/>
      </c>
      <c r="D328" s="83">
        <f>(B328+C328)/2</f>
        <v/>
      </c>
      <c r="E328" s="83">
        <f>IF($D328&lt;=0,0,$B$308*($D328/$B$308)^E$311)</f>
        <v/>
      </c>
      <c r="F328" s="83">
        <f>IF($D328&lt;=0,0,$B$308*($D328/$B$308)^F$311)</f>
        <v/>
      </c>
      <c r="G328" s="83">
        <f>IF($D328&lt;=0,0,$B$308*($D328/$B$308)^G$311)</f>
        <v/>
      </c>
      <c r="H328" s="83">
        <f>IF($D328&lt;=0,0,$B$308*($D328/$B$308)^H$311)</f>
        <v/>
      </c>
      <c r="I328" s="83">
        <f>IF($D328&lt;=0,0,$B$308*($D328/$B$308)^I$311)</f>
        <v/>
      </c>
      <c r="J328" s="83">
        <f>IF($D328&lt;=0,0,$B$308*($D328/$B$308)^J$311)</f>
        <v/>
      </c>
      <c r="K328" s="83">
        <f>IF($D328&lt;=0,0,$B$308*($D328/$B$308)^K$311)</f>
        <v/>
      </c>
      <c r="L328" s="83">
        <f>IF($D328&lt;=0,0,$B$308*($D328/$B$308)^L$311)</f>
        <v/>
      </c>
      <c r="M328" s="83">
        <f>IF($D328&lt;=0,0,$B$308*($D328/$B$308)^M$311)</f>
        <v/>
      </c>
      <c r="N328" s="83">
        <f>SUMPRODUCT($E$310:$M$310,$E328:$M328)</f>
        <v/>
      </c>
      <c r="O328" s="72">
        <f>($F$307-($B$307/100)*($D$308+N328))/(1+($B$307/100)*$D$307)-$D328</f>
        <v/>
      </c>
    </row>
    <row r="329">
      <c r="B329" s="83">
        <f>IF(O328&gt;0,D328,B328)</f>
        <v/>
      </c>
      <c r="C329" s="83">
        <f>IF(O328&gt;0,C328,D328)</f>
        <v/>
      </c>
      <c r="D329" s="83">
        <f>(B329+C329)/2</f>
        <v/>
      </c>
      <c r="E329" s="83">
        <f>IF($D329&lt;=0,0,$B$308*($D329/$B$308)^E$311)</f>
        <v/>
      </c>
      <c r="F329" s="83">
        <f>IF($D329&lt;=0,0,$B$308*($D329/$B$308)^F$311)</f>
        <v/>
      </c>
      <c r="G329" s="83">
        <f>IF($D329&lt;=0,0,$B$308*($D329/$B$308)^G$311)</f>
        <v/>
      </c>
      <c r="H329" s="83">
        <f>IF($D329&lt;=0,0,$B$308*($D329/$B$308)^H$311)</f>
        <v/>
      </c>
      <c r="I329" s="83">
        <f>IF($D329&lt;=0,0,$B$308*($D329/$B$308)^I$311)</f>
        <v/>
      </c>
      <c r="J329" s="83">
        <f>IF($D329&lt;=0,0,$B$308*($D329/$B$308)^J$311)</f>
        <v/>
      </c>
      <c r="K329" s="83">
        <f>IF($D329&lt;=0,0,$B$308*($D329/$B$308)^K$311)</f>
        <v/>
      </c>
      <c r="L329" s="83">
        <f>IF($D329&lt;=0,0,$B$308*($D329/$B$308)^L$311)</f>
        <v/>
      </c>
      <c r="M329" s="83">
        <f>IF($D329&lt;=0,0,$B$308*($D329/$B$308)^M$311)</f>
        <v/>
      </c>
      <c r="N329" s="83">
        <f>SUMPRODUCT($E$310:$M$310,$E329:$M329)</f>
        <v/>
      </c>
      <c r="O329" s="72">
        <f>($F$307-($B$307/100)*($D$308+N329))/(1+($B$307/100)*$D$307)-$D329</f>
        <v/>
      </c>
    </row>
    <row r="330">
      <c r="B330" s="83">
        <f>IF(O329&gt;0,D329,B329)</f>
        <v/>
      </c>
      <c r="C330" s="83">
        <f>IF(O329&gt;0,C329,D329)</f>
        <v/>
      </c>
      <c r="D330" s="83">
        <f>(B330+C330)/2</f>
        <v/>
      </c>
      <c r="E330" s="83">
        <f>IF($D330&lt;=0,0,$B$308*($D330/$B$308)^E$311)</f>
        <v/>
      </c>
      <c r="F330" s="83">
        <f>IF($D330&lt;=0,0,$B$308*($D330/$B$308)^F$311)</f>
        <v/>
      </c>
      <c r="G330" s="83">
        <f>IF($D330&lt;=0,0,$B$308*($D330/$B$308)^G$311)</f>
        <v/>
      </c>
      <c r="H330" s="83">
        <f>IF($D330&lt;=0,0,$B$308*($D330/$B$308)^H$311)</f>
        <v/>
      </c>
      <c r="I330" s="83">
        <f>IF($D330&lt;=0,0,$B$308*($D330/$B$308)^I$311)</f>
        <v/>
      </c>
      <c r="J330" s="83">
        <f>IF($D330&lt;=0,0,$B$308*($D330/$B$308)^J$311)</f>
        <v/>
      </c>
      <c r="K330" s="83">
        <f>IF($D330&lt;=0,0,$B$308*($D330/$B$308)^K$311)</f>
        <v/>
      </c>
      <c r="L330" s="83">
        <f>IF($D330&lt;=0,0,$B$308*($D330/$B$308)^L$311)</f>
        <v/>
      </c>
      <c r="M330" s="83">
        <f>IF($D330&lt;=0,0,$B$308*($D330/$B$308)^M$311)</f>
        <v/>
      </c>
      <c r="N330" s="83">
        <f>SUMPRODUCT($E$310:$M$310,$E330:$M330)</f>
        <v/>
      </c>
      <c r="O330" s="72">
        <f>($F$307-($B$307/100)*($D$308+N330))/(1+($B$307/100)*$D$307)-$D330</f>
        <v/>
      </c>
    </row>
    <row r="331">
      <c r="B331" s="83">
        <f>IF(O330&gt;0,D330,B330)</f>
        <v/>
      </c>
      <c r="C331" s="83">
        <f>IF(O330&gt;0,C330,D330)</f>
        <v/>
      </c>
      <c r="D331" s="83">
        <f>(B331+C331)/2</f>
        <v/>
      </c>
      <c r="E331" s="83">
        <f>IF($D331&lt;=0,0,$B$308*($D331/$B$308)^E$311)</f>
        <v/>
      </c>
      <c r="F331" s="83">
        <f>IF($D331&lt;=0,0,$B$308*($D331/$B$308)^F$311)</f>
        <v/>
      </c>
      <c r="G331" s="83">
        <f>IF($D331&lt;=0,0,$B$308*($D331/$B$308)^G$311)</f>
        <v/>
      </c>
      <c r="H331" s="83">
        <f>IF($D331&lt;=0,0,$B$308*($D331/$B$308)^H$311)</f>
        <v/>
      </c>
      <c r="I331" s="83">
        <f>IF($D331&lt;=0,0,$B$308*($D331/$B$308)^I$311)</f>
        <v/>
      </c>
      <c r="J331" s="83">
        <f>IF($D331&lt;=0,0,$B$308*($D331/$B$308)^J$311)</f>
        <v/>
      </c>
      <c r="K331" s="83">
        <f>IF($D331&lt;=0,0,$B$308*($D331/$B$308)^K$311)</f>
        <v/>
      </c>
      <c r="L331" s="83">
        <f>IF($D331&lt;=0,0,$B$308*($D331/$B$308)^L$311)</f>
        <v/>
      </c>
      <c r="M331" s="83">
        <f>IF($D331&lt;=0,0,$B$308*($D331/$B$308)^M$311)</f>
        <v/>
      </c>
      <c r="N331" s="83">
        <f>SUMPRODUCT($E$310:$M$310,$E331:$M331)</f>
        <v/>
      </c>
      <c r="O331" s="72">
        <f>($F$307-($B$307/100)*($D$308+N331))/(1+($B$307/100)*$D$307)-$D331</f>
        <v/>
      </c>
    </row>
    <row r="332">
      <c r="B332" s="83">
        <f>IF(O331&gt;0,D331,B331)</f>
        <v/>
      </c>
      <c r="C332" s="83">
        <f>IF(O331&gt;0,C331,D331)</f>
        <v/>
      </c>
      <c r="D332" s="83">
        <f>(B332+C332)/2</f>
        <v/>
      </c>
      <c r="E332" s="83">
        <f>IF($D332&lt;=0,0,$B$308*($D332/$B$308)^E$311)</f>
        <v/>
      </c>
      <c r="F332" s="83">
        <f>IF($D332&lt;=0,0,$B$308*($D332/$B$308)^F$311)</f>
        <v/>
      </c>
      <c r="G332" s="83">
        <f>IF($D332&lt;=0,0,$B$308*($D332/$B$308)^G$311)</f>
        <v/>
      </c>
      <c r="H332" s="83">
        <f>IF($D332&lt;=0,0,$B$308*($D332/$B$308)^H$311)</f>
        <v/>
      </c>
      <c r="I332" s="83">
        <f>IF($D332&lt;=0,0,$B$308*($D332/$B$308)^I$311)</f>
        <v/>
      </c>
      <c r="J332" s="83">
        <f>IF($D332&lt;=0,0,$B$308*($D332/$B$308)^J$311)</f>
        <v/>
      </c>
      <c r="K332" s="83">
        <f>IF($D332&lt;=0,0,$B$308*($D332/$B$308)^K$311)</f>
        <v/>
      </c>
      <c r="L332" s="83">
        <f>IF($D332&lt;=0,0,$B$308*($D332/$B$308)^L$311)</f>
        <v/>
      </c>
      <c r="M332" s="83">
        <f>IF($D332&lt;=0,0,$B$308*($D332/$B$308)^M$311)</f>
        <v/>
      </c>
      <c r="N332" s="83">
        <f>SUMPRODUCT($E$310:$M$310,$E332:$M332)</f>
        <v/>
      </c>
      <c r="O332" s="72">
        <f>($F$307-($B$307/100)*($D$308+N332))/(1+($B$307/100)*$D$307)-$D332</f>
        <v/>
      </c>
    </row>
    <row r="333">
      <c r="B333" s="83">
        <f>IF(O332&gt;0,D332,B332)</f>
        <v/>
      </c>
      <c r="C333" s="83">
        <f>IF(O332&gt;0,C332,D332)</f>
        <v/>
      </c>
      <c r="D333" s="83">
        <f>(B333+C333)/2</f>
        <v/>
      </c>
      <c r="E333" s="83">
        <f>IF($D333&lt;=0,0,$B$308*($D333/$B$308)^E$311)</f>
        <v/>
      </c>
      <c r="F333" s="83">
        <f>IF($D333&lt;=0,0,$B$308*($D333/$B$308)^F$311)</f>
        <v/>
      </c>
      <c r="G333" s="83">
        <f>IF($D333&lt;=0,0,$B$308*($D333/$B$308)^G$311)</f>
        <v/>
      </c>
      <c r="H333" s="83">
        <f>IF($D333&lt;=0,0,$B$308*($D333/$B$308)^H$311)</f>
        <v/>
      </c>
      <c r="I333" s="83">
        <f>IF($D333&lt;=0,0,$B$308*($D333/$B$308)^I$311)</f>
        <v/>
      </c>
      <c r="J333" s="83">
        <f>IF($D333&lt;=0,0,$B$308*($D333/$B$308)^J$311)</f>
        <v/>
      </c>
      <c r="K333" s="83">
        <f>IF($D333&lt;=0,0,$B$308*($D333/$B$308)^K$311)</f>
        <v/>
      </c>
      <c r="L333" s="83">
        <f>IF($D333&lt;=0,0,$B$308*($D333/$B$308)^L$311)</f>
        <v/>
      </c>
      <c r="M333" s="83">
        <f>IF($D333&lt;=0,0,$B$308*($D333/$B$308)^M$311)</f>
        <v/>
      </c>
      <c r="N333" s="83">
        <f>SUMPRODUCT($E$310:$M$310,$E333:$M333)</f>
        <v/>
      </c>
      <c r="O333" s="72">
        <f>($F$307-($B$307/100)*($D$308+N333))/(1+($B$307/100)*$D$307)-$D333</f>
        <v/>
      </c>
    </row>
    <row r="334">
      <c r="B334" s="83">
        <f>IF(O333&gt;0,D333,B333)</f>
        <v/>
      </c>
      <c r="C334" s="83">
        <f>IF(O333&gt;0,C333,D333)</f>
        <v/>
      </c>
      <c r="D334" s="83">
        <f>(B334+C334)/2</f>
        <v/>
      </c>
      <c r="E334" s="83">
        <f>IF($D334&lt;=0,0,$B$308*($D334/$B$308)^E$311)</f>
        <v/>
      </c>
      <c r="F334" s="83">
        <f>IF($D334&lt;=0,0,$B$308*($D334/$B$308)^F$311)</f>
        <v/>
      </c>
      <c r="G334" s="83">
        <f>IF($D334&lt;=0,0,$B$308*($D334/$B$308)^G$311)</f>
        <v/>
      </c>
      <c r="H334" s="83">
        <f>IF($D334&lt;=0,0,$B$308*($D334/$B$308)^H$311)</f>
        <v/>
      </c>
      <c r="I334" s="83">
        <f>IF($D334&lt;=0,0,$B$308*($D334/$B$308)^I$311)</f>
        <v/>
      </c>
      <c r="J334" s="83">
        <f>IF($D334&lt;=0,0,$B$308*($D334/$B$308)^J$311)</f>
        <v/>
      </c>
      <c r="K334" s="83">
        <f>IF($D334&lt;=0,0,$B$308*($D334/$B$308)^K$311)</f>
        <v/>
      </c>
      <c r="L334" s="83">
        <f>IF($D334&lt;=0,0,$B$308*($D334/$B$308)^L$311)</f>
        <v/>
      </c>
      <c r="M334" s="83">
        <f>IF($D334&lt;=0,0,$B$308*($D334/$B$308)^M$311)</f>
        <v/>
      </c>
      <c r="N334" s="83">
        <f>SUMPRODUCT($E$310:$M$310,$E334:$M334)</f>
        <v/>
      </c>
      <c r="O334" s="72">
        <f>($F$307-($B$307/100)*($D$308+N334))/(1+($B$307/100)*$D$307)-$D334</f>
        <v/>
      </c>
    </row>
    <row r="335">
      <c r="B335" s="83">
        <f>IF(O334&gt;0,D334,B334)</f>
        <v/>
      </c>
      <c r="C335" s="83">
        <f>IF(O334&gt;0,C334,D334)</f>
        <v/>
      </c>
      <c r="D335" s="83">
        <f>(B335+C335)/2</f>
        <v/>
      </c>
      <c r="E335" s="83">
        <f>IF($D335&lt;=0,0,$B$308*($D335/$B$308)^E$311)</f>
        <v/>
      </c>
      <c r="F335" s="83">
        <f>IF($D335&lt;=0,0,$B$308*($D335/$B$308)^F$311)</f>
        <v/>
      </c>
      <c r="G335" s="83">
        <f>IF($D335&lt;=0,0,$B$308*($D335/$B$308)^G$311)</f>
        <v/>
      </c>
      <c r="H335" s="83">
        <f>IF($D335&lt;=0,0,$B$308*($D335/$B$308)^H$311)</f>
        <v/>
      </c>
      <c r="I335" s="83">
        <f>IF($D335&lt;=0,0,$B$308*($D335/$B$308)^I$311)</f>
        <v/>
      </c>
      <c r="J335" s="83">
        <f>IF($D335&lt;=0,0,$B$308*($D335/$B$308)^J$311)</f>
        <v/>
      </c>
      <c r="K335" s="83">
        <f>IF($D335&lt;=0,0,$B$308*($D335/$B$308)^K$311)</f>
        <v/>
      </c>
      <c r="L335" s="83">
        <f>IF($D335&lt;=0,0,$B$308*($D335/$B$308)^L$311)</f>
        <v/>
      </c>
      <c r="M335" s="83">
        <f>IF($D335&lt;=0,0,$B$308*($D335/$B$308)^M$311)</f>
        <v/>
      </c>
      <c r="N335" s="83">
        <f>SUMPRODUCT($E$310:$M$310,$E335:$M335)</f>
        <v/>
      </c>
      <c r="O335" s="72">
        <f>($F$307-($B$307/100)*($D$308+N335))/(1+($B$307/100)*$D$307)-$D335</f>
        <v/>
      </c>
    </row>
    <row r="336">
      <c r="B336" s="83">
        <f>IF(O335&gt;0,D335,B335)</f>
        <v/>
      </c>
      <c r="C336" s="83">
        <f>IF(O335&gt;0,C335,D335)</f>
        <v/>
      </c>
      <c r="D336" s="83">
        <f>(B336+C336)/2</f>
        <v/>
      </c>
      <c r="E336" s="83">
        <f>IF($D336&lt;=0,0,$B$308*($D336/$B$308)^E$311)</f>
        <v/>
      </c>
      <c r="F336" s="83">
        <f>IF($D336&lt;=0,0,$B$308*($D336/$B$308)^F$311)</f>
        <v/>
      </c>
      <c r="G336" s="83">
        <f>IF($D336&lt;=0,0,$B$308*($D336/$B$308)^G$311)</f>
        <v/>
      </c>
      <c r="H336" s="83">
        <f>IF($D336&lt;=0,0,$B$308*($D336/$B$308)^H$311)</f>
        <v/>
      </c>
      <c r="I336" s="83">
        <f>IF($D336&lt;=0,0,$B$308*($D336/$B$308)^I$311)</f>
        <v/>
      </c>
      <c r="J336" s="83">
        <f>IF($D336&lt;=0,0,$B$308*($D336/$B$308)^J$311)</f>
        <v/>
      </c>
      <c r="K336" s="83">
        <f>IF($D336&lt;=0,0,$B$308*($D336/$B$308)^K$311)</f>
        <v/>
      </c>
      <c r="L336" s="83">
        <f>IF($D336&lt;=0,0,$B$308*($D336/$B$308)^L$311)</f>
        <v/>
      </c>
      <c r="M336" s="83">
        <f>IF($D336&lt;=0,0,$B$308*($D336/$B$308)^M$311)</f>
        <v/>
      </c>
      <c r="N336" s="83">
        <f>SUMPRODUCT($E$310:$M$310,$E336:$M336)</f>
        <v/>
      </c>
      <c r="O336" s="72">
        <f>($F$307-($B$307/100)*($D$308+N336))/(1+($B$307/100)*$D$307)-$D336</f>
        <v/>
      </c>
    </row>
    <row r="337">
      <c r="B337" s="83">
        <f>IF(O336&gt;0,D336,B336)</f>
        <v/>
      </c>
      <c r="C337" s="83">
        <f>IF(O336&gt;0,C336,D336)</f>
        <v/>
      </c>
      <c r="D337" s="83">
        <f>(B337+C337)/2</f>
        <v/>
      </c>
      <c r="E337" s="83">
        <f>IF($D337&lt;=0,0,$B$308*($D337/$B$308)^E$311)</f>
        <v/>
      </c>
      <c r="F337" s="83">
        <f>IF($D337&lt;=0,0,$B$308*($D337/$B$308)^F$311)</f>
        <v/>
      </c>
      <c r="G337" s="83">
        <f>IF($D337&lt;=0,0,$B$308*($D337/$B$308)^G$311)</f>
        <v/>
      </c>
      <c r="H337" s="83">
        <f>IF($D337&lt;=0,0,$B$308*($D337/$B$308)^H$311)</f>
        <v/>
      </c>
      <c r="I337" s="83">
        <f>IF($D337&lt;=0,0,$B$308*($D337/$B$308)^I$311)</f>
        <v/>
      </c>
      <c r="J337" s="83">
        <f>IF($D337&lt;=0,0,$B$308*($D337/$B$308)^J$311)</f>
        <v/>
      </c>
      <c r="K337" s="83">
        <f>IF($D337&lt;=0,0,$B$308*($D337/$B$308)^K$311)</f>
        <v/>
      </c>
      <c r="L337" s="83">
        <f>IF($D337&lt;=0,0,$B$308*($D337/$B$308)^L$311)</f>
        <v/>
      </c>
      <c r="M337" s="83">
        <f>IF($D337&lt;=0,0,$B$308*($D337/$B$308)^M$311)</f>
        <v/>
      </c>
      <c r="N337" s="83">
        <f>SUMPRODUCT($E$310:$M$310,$E337:$M337)</f>
        <v/>
      </c>
      <c r="O337" s="72">
        <f>($F$307-($B$307/100)*($D$308+N337))/(1+($B$307/100)*$D$307)-$D337</f>
        <v/>
      </c>
    </row>
    <row r="338">
      <c r="B338" s="83">
        <f>IF(O337&gt;0,D337,B337)</f>
        <v/>
      </c>
      <c r="C338" s="83">
        <f>IF(O337&gt;0,C337,D337)</f>
        <v/>
      </c>
      <c r="D338" s="83">
        <f>(B338+C338)/2</f>
        <v/>
      </c>
      <c r="E338" s="83">
        <f>IF($D338&lt;=0,0,$B$308*($D338/$B$308)^E$311)</f>
        <v/>
      </c>
      <c r="F338" s="83">
        <f>IF($D338&lt;=0,0,$B$308*($D338/$B$308)^F$311)</f>
        <v/>
      </c>
      <c r="G338" s="83">
        <f>IF($D338&lt;=0,0,$B$308*($D338/$B$308)^G$311)</f>
        <v/>
      </c>
      <c r="H338" s="83">
        <f>IF($D338&lt;=0,0,$B$308*($D338/$B$308)^H$311)</f>
        <v/>
      </c>
      <c r="I338" s="83">
        <f>IF($D338&lt;=0,0,$B$308*($D338/$B$308)^I$311)</f>
        <v/>
      </c>
      <c r="J338" s="83">
        <f>IF($D338&lt;=0,0,$B$308*($D338/$B$308)^J$311)</f>
        <v/>
      </c>
      <c r="K338" s="83">
        <f>IF($D338&lt;=0,0,$B$308*($D338/$B$308)^K$311)</f>
        <v/>
      </c>
      <c r="L338" s="83">
        <f>IF($D338&lt;=0,0,$B$308*($D338/$B$308)^L$311)</f>
        <v/>
      </c>
      <c r="M338" s="83">
        <f>IF($D338&lt;=0,0,$B$308*($D338/$B$308)^M$311)</f>
        <v/>
      </c>
      <c r="N338" s="83">
        <f>SUMPRODUCT($E$310:$M$310,$E338:$M338)</f>
        <v/>
      </c>
      <c r="O338" s="72">
        <f>($F$307-($B$307/100)*($D$308+N338))/(1+($B$307/100)*$D$307)-$D338</f>
        <v/>
      </c>
    </row>
    <row r="339">
      <c r="B339" s="83">
        <f>IF(O338&gt;0,D338,B338)</f>
        <v/>
      </c>
      <c r="C339" s="83">
        <f>IF(O338&gt;0,C338,D338)</f>
        <v/>
      </c>
      <c r="D339" s="83">
        <f>(B339+C339)/2</f>
        <v/>
      </c>
      <c r="E339" s="83">
        <f>IF($D339&lt;=0,0,$B$308*($D339/$B$308)^E$311)</f>
        <v/>
      </c>
      <c r="F339" s="83">
        <f>IF($D339&lt;=0,0,$B$308*($D339/$B$308)^F$311)</f>
        <v/>
      </c>
      <c r="G339" s="83">
        <f>IF($D339&lt;=0,0,$B$308*($D339/$B$308)^G$311)</f>
        <v/>
      </c>
      <c r="H339" s="83">
        <f>IF($D339&lt;=0,0,$B$308*($D339/$B$308)^H$311)</f>
        <v/>
      </c>
      <c r="I339" s="83">
        <f>IF($D339&lt;=0,0,$B$308*($D339/$B$308)^I$311)</f>
        <v/>
      </c>
      <c r="J339" s="83">
        <f>IF($D339&lt;=0,0,$B$308*($D339/$B$308)^J$311)</f>
        <v/>
      </c>
      <c r="K339" s="83">
        <f>IF($D339&lt;=0,0,$B$308*($D339/$B$308)^K$311)</f>
        <v/>
      </c>
      <c r="L339" s="83">
        <f>IF($D339&lt;=0,0,$B$308*($D339/$B$308)^L$311)</f>
        <v/>
      </c>
      <c r="M339" s="83">
        <f>IF($D339&lt;=0,0,$B$308*($D339/$B$308)^M$311)</f>
        <v/>
      </c>
      <c r="N339" s="83">
        <f>SUMPRODUCT($E$310:$M$310,$E339:$M339)</f>
        <v/>
      </c>
      <c r="O339" s="72">
        <f>($F$307-($B$307/100)*($D$308+N339))/(1+($B$307/100)*$D$307)-$D339</f>
        <v/>
      </c>
    </row>
    <row r="340">
      <c r="B340" s="83">
        <f>IF(O339&gt;0,D339,B339)</f>
        <v/>
      </c>
      <c r="C340" s="83">
        <f>IF(O339&gt;0,C339,D339)</f>
        <v/>
      </c>
      <c r="D340" s="83">
        <f>(B340+C340)/2</f>
        <v/>
      </c>
      <c r="E340" s="83">
        <f>IF($D340&lt;=0,0,$B$308*($D340/$B$308)^E$311)</f>
        <v/>
      </c>
      <c r="F340" s="83">
        <f>IF($D340&lt;=0,0,$B$308*($D340/$B$308)^F$311)</f>
        <v/>
      </c>
      <c r="G340" s="83">
        <f>IF($D340&lt;=0,0,$B$308*($D340/$B$308)^G$311)</f>
        <v/>
      </c>
      <c r="H340" s="83">
        <f>IF($D340&lt;=0,0,$B$308*($D340/$B$308)^H$311)</f>
        <v/>
      </c>
      <c r="I340" s="83">
        <f>IF($D340&lt;=0,0,$B$308*($D340/$B$308)^I$311)</f>
        <v/>
      </c>
      <c r="J340" s="83">
        <f>IF($D340&lt;=0,0,$B$308*($D340/$B$308)^J$311)</f>
        <v/>
      </c>
      <c r="K340" s="83">
        <f>IF($D340&lt;=0,0,$B$308*($D340/$B$308)^K$311)</f>
        <v/>
      </c>
      <c r="L340" s="83">
        <f>IF($D340&lt;=0,0,$B$308*($D340/$B$308)^L$311)</f>
        <v/>
      </c>
      <c r="M340" s="83">
        <f>IF($D340&lt;=0,0,$B$308*($D340/$B$308)^M$311)</f>
        <v/>
      </c>
      <c r="N340" s="83">
        <f>SUMPRODUCT($E$310:$M$310,$E340:$M340)</f>
        <v/>
      </c>
      <c r="O340" s="72">
        <f>($F$307-($B$307/100)*($D$308+N340))/(1+($B$307/100)*$D$307)-$D340</f>
        <v/>
      </c>
    </row>
    <row r="341">
      <c r="B341" s="83">
        <f>IF(O340&gt;0,D340,B340)</f>
        <v/>
      </c>
      <c r="C341" s="83">
        <f>IF(O340&gt;0,C340,D340)</f>
        <v/>
      </c>
      <c r="D341" s="83">
        <f>(B341+C341)/2</f>
        <v/>
      </c>
      <c r="E341" s="83">
        <f>IF($D341&lt;=0,0,$B$308*($D341/$B$308)^E$311)</f>
        <v/>
      </c>
      <c r="F341" s="83">
        <f>IF($D341&lt;=0,0,$B$308*($D341/$B$308)^F$311)</f>
        <v/>
      </c>
      <c r="G341" s="83">
        <f>IF($D341&lt;=0,0,$B$308*($D341/$B$308)^G$311)</f>
        <v/>
      </c>
      <c r="H341" s="83">
        <f>IF($D341&lt;=0,0,$B$308*($D341/$B$308)^H$311)</f>
        <v/>
      </c>
      <c r="I341" s="83">
        <f>IF($D341&lt;=0,0,$B$308*($D341/$B$308)^I$311)</f>
        <v/>
      </c>
      <c r="J341" s="83">
        <f>IF($D341&lt;=0,0,$B$308*($D341/$B$308)^J$311)</f>
        <v/>
      </c>
      <c r="K341" s="83">
        <f>IF($D341&lt;=0,0,$B$308*($D341/$B$308)^K$311)</f>
        <v/>
      </c>
      <c r="L341" s="83">
        <f>IF($D341&lt;=0,0,$B$308*($D341/$B$308)^L$311)</f>
        <v/>
      </c>
      <c r="M341" s="83">
        <f>IF($D341&lt;=0,0,$B$308*($D341/$B$308)^M$311)</f>
        <v/>
      </c>
      <c r="N341" s="83">
        <f>SUMPRODUCT($E$310:$M$310,$E341:$M341)</f>
        <v/>
      </c>
      <c r="O341" s="72">
        <f>($F$307-($B$307/100)*($D$308+N341))/(1+($B$307/100)*$D$307)-$D341</f>
        <v/>
      </c>
    </row>
    <row r="342">
      <c r="B342" s="83">
        <f>IF(O341&gt;0,D341,B341)</f>
        <v/>
      </c>
      <c r="C342" s="83">
        <f>IF(O341&gt;0,C341,D341)</f>
        <v/>
      </c>
      <c r="D342" s="83">
        <f>(B342+C342)/2</f>
        <v/>
      </c>
      <c r="E342" s="83">
        <f>IF($D342&lt;=0,0,$B$308*($D342/$B$308)^E$311)</f>
        <v/>
      </c>
      <c r="F342" s="83">
        <f>IF($D342&lt;=0,0,$B$308*($D342/$B$308)^F$311)</f>
        <v/>
      </c>
      <c r="G342" s="83">
        <f>IF($D342&lt;=0,0,$B$308*($D342/$B$308)^G$311)</f>
        <v/>
      </c>
      <c r="H342" s="83">
        <f>IF($D342&lt;=0,0,$B$308*($D342/$B$308)^H$311)</f>
        <v/>
      </c>
      <c r="I342" s="83">
        <f>IF($D342&lt;=0,0,$B$308*($D342/$B$308)^I$311)</f>
        <v/>
      </c>
      <c r="J342" s="83">
        <f>IF($D342&lt;=0,0,$B$308*($D342/$B$308)^J$311)</f>
        <v/>
      </c>
      <c r="K342" s="83">
        <f>IF($D342&lt;=0,0,$B$308*($D342/$B$308)^K$311)</f>
        <v/>
      </c>
      <c r="L342" s="83">
        <f>IF($D342&lt;=0,0,$B$308*($D342/$B$308)^L$311)</f>
        <v/>
      </c>
      <c r="M342" s="83">
        <f>IF($D342&lt;=0,0,$B$308*($D342/$B$308)^M$311)</f>
        <v/>
      </c>
      <c r="N342" s="83">
        <f>SUMPRODUCT($E$310:$M$310,$E342:$M342)</f>
        <v/>
      </c>
      <c r="O342" s="72">
        <f>($F$307-($B$307/100)*($D$308+N342))/(1+($B$307/100)*$D$307)-$D342</f>
        <v/>
      </c>
    </row>
    <row r="343">
      <c r="B343" s="83">
        <f>IF(O342&gt;0,D342,B342)</f>
        <v/>
      </c>
      <c r="C343" s="83">
        <f>IF(O342&gt;0,C342,D342)</f>
        <v/>
      </c>
      <c r="D343" s="83">
        <f>(B343+C343)/2</f>
        <v/>
      </c>
      <c r="E343" s="83">
        <f>IF($D343&lt;=0,0,$B$308*($D343/$B$308)^E$311)</f>
        <v/>
      </c>
      <c r="F343" s="83">
        <f>IF($D343&lt;=0,0,$B$308*($D343/$B$308)^F$311)</f>
        <v/>
      </c>
      <c r="G343" s="83">
        <f>IF($D343&lt;=0,0,$B$308*($D343/$B$308)^G$311)</f>
        <v/>
      </c>
      <c r="H343" s="83">
        <f>IF($D343&lt;=0,0,$B$308*($D343/$B$308)^H$311)</f>
        <v/>
      </c>
      <c r="I343" s="83">
        <f>IF($D343&lt;=0,0,$B$308*($D343/$B$308)^I$311)</f>
        <v/>
      </c>
      <c r="J343" s="83">
        <f>IF($D343&lt;=0,0,$B$308*($D343/$B$308)^J$311)</f>
        <v/>
      </c>
      <c r="K343" s="83">
        <f>IF($D343&lt;=0,0,$B$308*($D343/$B$308)^K$311)</f>
        <v/>
      </c>
      <c r="L343" s="83">
        <f>IF($D343&lt;=0,0,$B$308*($D343/$B$308)^L$311)</f>
        <v/>
      </c>
      <c r="M343" s="83">
        <f>IF($D343&lt;=0,0,$B$308*($D343/$B$308)^M$311)</f>
        <v/>
      </c>
      <c r="N343" s="83">
        <f>SUMPRODUCT($E$310:$M$310,$E343:$M343)</f>
        <v/>
      </c>
      <c r="O343" s="72">
        <f>($F$307-($B$307/100)*($D$308+N343))/(1+($B$307/100)*$D$307)-$D343</f>
        <v/>
      </c>
    </row>
    <row r="344">
      <c r="B344" s="83">
        <f>IF(O343&gt;0,D343,B343)</f>
        <v/>
      </c>
      <c r="C344" s="83">
        <f>IF(O343&gt;0,C343,D343)</f>
        <v/>
      </c>
      <c r="D344" s="83">
        <f>(B344+C344)/2</f>
        <v/>
      </c>
      <c r="E344" s="83">
        <f>IF($D344&lt;=0,0,$B$308*($D344/$B$308)^E$311)</f>
        <v/>
      </c>
      <c r="F344" s="83">
        <f>IF($D344&lt;=0,0,$B$308*($D344/$B$308)^F$311)</f>
        <v/>
      </c>
      <c r="G344" s="83">
        <f>IF($D344&lt;=0,0,$B$308*($D344/$B$308)^G$311)</f>
        <v/>
      </c>
      <c r="H344" s="83">
        <f>IF($D344&lt;=0,0,$B$308*($D344/$B$308)^H$311)</f>
        <v/>
      </c>
      <c r="I344" s="83">
        <f>IF($D344&lt;=0,0,$B$308*($D344/$B$308)^I$311)</f>
        <v/>
      </c>
      <c r="J344" s="83">
        <f>IF($D344&lt;=0,0,$B$308*($D344/$B$308)^J$311)</f>
        <v/>
      </c>
      <c r="K344" s="83">
        <f>IF($D344&lt;=0,0,$B$308*($D344/$B$308)^K$311)</f>
        <v/>
      </c>
      <c r="L344" s="83">
        <f>IF($D344&lt;=0,0,$B$308*($D344/$B$308)^L$311)</f>
        <v/>
      </c>
      <c r="M344" s="83">
        <f>IF($D344&lt;=0,0,$B$308*($D344/$B$308)^M$311)</f>
        <v/>
      </c>
      <c r="N344" s="83">
        <f>SUMPRODUCT($E$310:$M$310,$E344:$M344)</f>
        <v/>
      </c>
      <c r="O344" s="72">
        <f>($F$307-($B$307/100)*($D$308+N344))/(1+($B$307/100)*$D$307)-$D344</f>
        <v/>
      </c>
    </row>
    <row r="345">
      <c r="B345" s="83">
        <f>IF(O344&gt;0,D344,B344)</f>
        <v/>
      </c>
      <c r="C345" s="83">
        <f>IF(O344&gt;0,C344,D344)</f>
        <v/>
      </c>
      <c r="D345" s="83">
        <f>(B345+C345)/2</f>
        <v/>
      </c>
      <c r="E345" s="83">
        <f>IF($D345&lt;=0,0,$B$308*($D345/$B$308)^E$311)</f>
        <v/>
      </c>
      <c r="F345" s="83">
        <f>IF($D345&lt;=0,0,$B$308*($D345/$B$308)^F$311)</f>
        <v/>
      </c>
      <c r="G345" s="83">
        <f>IF($D345&lt;=0,0,$B$308*($D345/$B$308)^G$311)</f>
        <v/>
      </c>
      <c r="H345" s="83">
        <f>IF($D345&lt;=0,0,$B$308*($D345/$B$308)^H$311)</f>
        <v/>
      </c>
      <c r="I345" s="83">
        <f>IF($D345&lt;=0,0,$B$308*($D345/$B$308)^I$311)</f>
        <v/>
      </c>
      <c r="J345" s="83">
        <f>IF($D345&lt;=0,0,$B$308*($D345/$B$308)^J$311)</f>
        <v/>
      </c>
      <c r="K345" s="83">
        <f>IF($D345&lt;=0,0,$B$308*($D345/$B$308)^K$311)</f>
        <v/>
      </c>
      <c r="L345" s="83">
        <f>IF($D345&lt;=0,0,$B$308*($D345/$B$308)^L$311)</f>
        <v/>
      </c>
      <c r="M345" s="83">
        <f>IF($D345&lt;=0,0,$B$308*($D345/$B$308)^M$311)</f>
        <v/>
      </c>
      <c r="N345" s="83">
        <f>SUMPRODUCT($E$310:$M$310,$E345:$M345)</f>
        <v/>
      </c>
      <c r="O345" s="72">
        <f>($F$307-($B$307/100)*($D$308+N345))/(1+($B$307/100)*$D$307)-$D345</f>
        <v/>
      </c>
    </row>
    <row r="346">
      <c r="B346" s="83">
        <f>IF(O345&gt;0,D345,B345)</f>
        <v/>
      </c>
      <c r="C346" s="83">
        <f>IF(O345&gt;0,C345,D345)</f>
        <v/>
      </c>
      <c r="D346" s="83">
        <f>(B346+C346)/2</f>
        <v/>
      </c>
      <c r="E346" s="83">
        <f>IF($D346&lt;=0,0,$B$308*($D346/$B$308)^E$311)</f>
        <v/>
      </c>
      <c r="F346" s="83">
        <f>IF($D346&lt;=0,0,$B$308*($D346/$B$308)^F$311)</f>
        <v/>
      </c>
      <c r="G346" s="83">
        <f>IF($D346&lt;=0,0,$B$308*($D346/$B$308)^G$311)</f>
        <v/>
      </c>
      <c r="H346" s="83">
        <f>IF($D346&lt;=0,0,$B$308*($D346/$B$308)^H$311)</f>
        <v/>
      </c>
      <c r="I346" s="83">
        <f>IF($D346&lt;=0,0,$B$308*($D346/$B$308)^I$311)</f>
        <v/>
      </c>
      <c r="J346" s="83">
        <f>IF($D346&lt;=0,0,$B$308*($D346/$B$308)^J$311)</f>
        <v/>
      </c>
      <c r="K346" s="83">
        <f>IF($D346&lt;=0,0,$B$308*($D346/$B$308)^K$311)</f>
        <v/>
      </c>
      <c r="L346" s="83">
        <f>IF($D346&lt;=0,0,$B$308*($D346/$B$308)^L$311)</f>
        <v/>
      </c>
      <c r="M346" s="83">
        <f>IF($D346&lt;=0,0,$B$308*($D346/$B$308)^M$311)</f>
        <v/>
      </c>
      <c r="N346" s="83">
        <f>SUMPRODUCT($E$310:$M$310,$E346:$M346)</f>
        <v/>
      </c>
      <c r="O346" s="72">
        <f>($F$307-($B$307/100)*($D$308+N346))/(1+($B$307/100)*$D$307)-$D346</f>
        <v/>
      </c>
    </row>
    <row r="347">
      <c r="B347" s="83">
        <f>IF(O346&gt;0,D346,B346)</f>
        <v/>
      </c>
      <c r="C347" s="83">
        <f>IF(O346&gt;0,C346,D346)</f>
        <v/>
      </c>
      <c r="D347" s="83">
        <f>(B347+C347)/2</f>
        <v/>
      </c>
      <c r="E347" s="83">
        <f>IF($D347&lt;=0,0,$B$308*($D347/$B$308)^E$311)</f>
        <v/>
      </c>
      <c r="F347" s="83">
        <f>IF($D347&lt;=0,0,$B$308*($D347/$B$308)^F$311)</f>
        <v/>
      </c>
      <c r="G347" s="83">
        <f>IF($D347&lt;=0,0,$B$308*($D347/$B$308)^G$311)</f>
        <v/>
      </c>
      <c r="H347" s="83">
        <f>IF($D347&lt;=0,0,$B$308*($D347/$B$308)^H$311)</f>
        <v/>
      </c>
      <c r="I347" s="83">
        <f>IF($D347&lt;=0,0,$B$308*($D347/$B$308)^I$311)</f>
        <v/>
      </c>
      <c r="J347" s="83">
        <f>IF($D347&lt;=0,0,$B$308*($D347/$B$308)^J$311)</f>
        <v/>
      </c>
      <c r="K347" s="83">
        <f>IF($D347&lt;=0,0,$B$308*($D347/$B$308)^K$311)</f>
        <v/>
      </c>
      <c r="L347" s="83">
        <f>IF($D347&lt;=0,0,$B$308*($D347/$B$308)^L$311)</f>
        <v/>
      </c>
      <c r="M347" s="83">
        <f>IF($D347&lt;=0,0,$B$308*($D347/$B$308)^M$311)</f>
        <v/>
      </c>
      <c r="N347" s="83">
        <f>SUMPRODUCT($E$310:$M$310,$E347:$M347)</f>
        <v/>
      </c>
      <c r="O347" s="72">
        <f>($F$307-($B$307/100)*($D$308+N347))/(1+($B$307/100)*$D$307)-$D347</f>
        <v/>
      </c>
    </row>
    <row r="348">
      <c r="B348" s="83">
        <f>IF(O347&gt;0,D347,B347)</f>
        <v/>
      </c>
      <c r="C348" s="83">
        <f>IF(O347&gt;0,C347,D347)</f>
        <v/>
      </c>
      <c r="D348" s="83">
        <f>(B348+C348)/2</f>
        <v/>
      </c>
      <c r="E348" s="83">
        <f>IF($D348&lt;=0,0,$B$308*($D348/$B$308)^E$311)</f>
        <v/>
      </c>
      <c r="F348" s="83">
        <f>IF($D348&lt;=0,0,$B$308*($D348/$B$308)^F$311)</f>
        <v/>
      </c>
      <c r="G348" s="83">
        <f>IF($D348&lt;=0,0,$B$308*($D348/$B$308)^G$311)</f>
        <v/>
      </c>
      <c r="H348" s="83">
        <f>IF($D348&lt;=0,0,$B$308*($D348/$B$308)^H$311)</f>
        <v/>
      </c>
      <c r="I348" s="83">
        <f>IF($D348&lt;=0,0,$B$308*($D348/$B$308)^I$311)</f>
        <v/>
      </c>
      <c r="J348" s="83">
        <f>IF($D348&lt;=0,0,$B$308*($D348/$B$308)^J$311)</f>
        <v/>
      </c>
      <c r="K348" s="83">
        <f>IF($D348&lt;=0,0,$B$308*($D348/$B$308)^K$311)</f>
        <v/>
      </c>
      <c r="L348" s="83">
        <f>IF($D348&lt;=0,0,$B$308*($D348/$B$308)^L$311)</f>
        <v/>
      </c>
      <c r="M348" s="83">
        <f>IF($D348&lt;=0,0,$B$308*($D348/$B$308)^M$311)</f>
        <v/>
      </c>
      <c r="N348" s="83">
        <f>SUMPRODUCT($E$310:$M$310,$E348:$M348)</f>
        <v/>
      </c>
      <c r="O348" s="72">
        <f>($F$307-($B$307/100)*($D$308+N348))/(1+($B$307/100)*$D$307)-$D348</f>
        <v/>
      </c>
    </row>
    <row r="349">
      <c r="B349" s="83">
        <f>IF(O348&gt;0,D348,B348)</f>
        <v/>
      </c>
      <c r="C349" s="83">
        <f>IF(O348&gt;0,C348,D348)</f>
        <v/>
      </c>
      <c r="D349" s="83">
        <f>(B349+C349)/2</f>
        <v/>
      </c>
      <c r="E349" s="83">
        <f>IF($D349&lt;=0,0,$B$308*($D349/$B$308)^E$311)</f>
        <v/>
      </c>
      <c r="F349" s="83">
        <f>IF($D349&lt;=0,0,$B$308*($D349/$B$308)^F$311)</f>
        <v/>
      </c>
      <c r="G349" s="83">
        <f>IF($D349&lt;=0,0,$B$308*($D349/$B$308)^G$311)</f>
        <v/>
      </c>
      <c r="H349" s="83">
        <f>IF($D349&lt;=0,0,$B$308*($D349/$B$308)^H$311)</f>
        <v/>
      </c>
      <c r="I349" s="83">
        <f>IF($D349&lt;=0,0,$B$308*($D349/$B$308)^I$311)</f>
        <v/>
      </c>
      <c r="J349" s="83">
        <f>IF($D349&lt;=0,0,$B$308*($D349/$B$308)^J$311)</f>
        <v/>
      </c>
      <c r="K349" s="83">
        <f>IF($D349&lt;=0,0,$B$308*($D349/$B$308)^K$311)</f>
        <v/>
      </c>
      <c r="L349" s="83">
        <f>IF($D349&lt;=0,0,$B$308*($D349/$B$308)^L$311)</f>
        <v/>
      </c>
      <c r="M349" s="83">
        <f>IF($D349&lt;=0,0,$B$308*($D349/$B$308)^M$311)</f>
        <v/>
      </c>
      <c r="N349" s="83">
        <f>SUMPRODUCT($E$310:$M$310,$E349:$M349)</f>
        <v/>
      </c>
      <c r="O349" s="72">
        <f>($F$307-($B$307/100)*($D$308+N349))/(1+($B$307/100)*$D$307)-$D349</f>
        <v/>
      </c>
    </row>
    <row r="350">
      <c r="B350" s="83">
        <f>IF(O349&gt;0,D349,B349)</f>
        <v/>
      </c>
      <c r="C350" s="83">
        <f>IF(O349&gt;0,C349,D349)</f>
        <v/>
      </c>
      <c r="D350" s="83">
        <f>(B350+C350)/2</f>
        <v/>
      </c>
      <c r="E350" s="83">
        <f>IF($D350&lt;=0,0,$B$308*($D350/$B$308)^E$311)</f>
        <v/>
      </c>
      <c r="F350" s="83">
        <f>IF($D350&lt;=0,0,$B$308*($D350/$B$308)^F$311)</f>
        <v/>
      </c>
      <c r="G350" s="83">
        <f>IF($D350&lt;=0,0,$B$308*($D350/$B$308)^G$311)</f>
        <v/>
      </c>
      <c r="H350" s="83">
        <f>IF($D350&lt;=0,0,$B$308*($D350/$B$308)^H$311)</f>
        <v/>
      </c>
      <c r="I350" s="83">
        <f>IF($D350&lt;=0,0,$B$308*($D350/$B$308)^I$311)</f>
        <v/>
      </c>
      <c r="J350" s="83">
        <f>IF($D350&lt;=0,0,$B$308*($D350/$B$308)^J$311)</f>
        <v/>
      </c>
      <c r="K350" s="83">
        <f>IF($D350&lt;=0,0,$B$308*($D350/$B$308)^K$311)</f>
        <v/>
      </c>
      <c r="L350" s="83">
        <f>IF($D350&lt;=0,0,$B$308*($D350/$B$308)^L$311)</f>
        <v/>
      </c>
      <c r="M350" s="83">
        <f>IF($D350&lt;=0,0,$B$308*($D350/$B$308)^M$311)</f>
        <v/>
      </c>
      <c r="N350" s="83">
        <f>SUMPRODUCT($E$310:$M$310,$E350:$M350)</f>
        <v/>
      </c>
      <c r="O350" s="72">
        <f>($F$307-($B$307/100)*($D$308+N350))/(1+($B$307/100)*$D$307)-$D350</f>
        <v/>
      </c>
    </row>
    <row r="351">
      <c r="B351" s="83">
        <f>IF(O350&gt;0,D350,B350)</f>
        <v/>
      </c>
      <c r="C351" s="83">
        <f>IF(O350&gt;0,C350,D350)</f>
        <v/>
      </c>
      <c r="D351" s="83">
        <f>(B351+C351)/2</f>
        <v/>
      </c>
      <c r="E351" s="83">
        <f>IF($D351&lt;=0,0,$B$308*($D351/$B$308)^E$311)</f>
        <v/>
      </c>
      <c r="F351" s="83">
        <f>IF($D351&lt;=0,0,$B$308*($D351/$B$308)^F$311)</f>
        <v/>
      </c>
      <c r="G351" s="83">
        <f>IF($D351&lt;=0,0,$B$308*($D351/$B$308)^G$311)</f>
        <v/>
      </c>
      <c r="H351" s="83">
        <f>IF($D351&lt;=0,0,$B$308*($D351/$B$308)^H$311)</f>
        <v/>
      </c>
      <c r="I351" s="83">
        <f>IF($D351&lt;=0,0,$B$308*($D351/$B$308)^I$311)</f>
        <v/>
      </c>
      <c r="J351" s="83">
        <f>IF($D351&lt;=0,0,$B$308*($D351/$B$308)^J$311)</f>
        <v/>
      </c>
      <c r="K351" s="83">
        <f>IF($D351&lt;=0,0,$B$308*($D351/$B$308)^K$311)</f>
        <v/>
      </c>
      <c r="L351" s="83">
        <f>IF($D351&lt;=0,0,$B$308*($D351/$B$308)^L$311)</f>
        <v/>
      </c>
      <c r="M351" s="83">
        <f>IF($D351&lt;=0,0,$B$308*($D351/$B$308)^M$311)</f>
        <v/>
      </c>
      <c r="N351" s="83">
        <f>SUMPRODUCT($E$310:$M$310,$E351:$M351)</f>
        <v/>
      </c>
      <c r="O351" s="72">
        <f>($F$307-($B$307/100)*($D$308+N351))/(1+($B$307/100)*$D$307)-$D351</f>
        <v/>
      </c>
    </row>
    <row r="352">
      <c r="B352" s="83">
        <f>IF(O351&gt;0,D351,B351)</f>
        <v/>
      </c>
      <c r="C352" s="83">
        <f>IF(O351&gt;0,C351,D351)</f>
        <v/>
      </c>
      <c r="D352" s="83">
        <f>(B352+C352)/2</f>
        <v/>
      </c>
      <c r="E352" s="83">
        <f>IF($D352&lt;=0,0,$B$308*($D352/$B$308)^E$311)</f>
        <v/>
      </c>
      <c r="F352" s="83">
        <f>IF($D352&lt;=0,0,$B$308*($D352/$B$308)^F$311)</f>
        <v/>
      </c>
      <c r="G352" s="83">
        <f>IF($D352&lt;=0,0,$B$308*($D352/$B$308)^G$311)</f>
        <v/>
      </c>
      <c r="H352" s="83">
        <f>IF($D352&lt;=0,0,$B$308*($D352/$B$308)^H$311)</f>
        <v/>
      </c>
      <c r="I352" s="83">
        <f>IF($D352&lt;=0,0,$B$308*($D352/$B$308)^I$311)</f>
        <v/>
      </c>
      <c r="J352" s="83">
        <f>IF($D352&lt;=0,0,$B$308*($D352/$B$308)^J$311)</f>
        <v/>
      </c>
      <c r="K352" s="83">
        <f>IF($D352&lt;=0,0,$B$308*($D352/$B$308)^K$311)</f>
        <v/>
      </c>
      <c r="L352" s="83">
        <f>IF($D352&lt;=0,0,$B$308*($D352/$B$308)^L$311)</f>
        <v/>
      </c>
      <c r="M352" s="83">
        <f>IF($D352&lt;=0,0,$B$308*($D352/$B$308)^M$311)</f>
        <v/>
      </c>
      <c r="N352" s="83">
        <f>SUMPRODUCT($E$310:$M$310,$E352:$M352)</f>
        <v/>
      </c>
      <c r="O352" s="72">
        <f>($F$307-($B$307/100)*($D$308+N352))/(1+($B$307/100)*$D$307)-$D352</f>
        <v/>
      </c>
    </row>
    <row r="353">
      <c r="A353" s="67" t="inlineStr">
        <is>
          <t>DF(50Y) SOLVED</t>
        </is>
      </c>
      <c r="B353" s="81">
        <f>D352</f>
        <v/>
      </c>
      <c r="C353" s="67" t="inlineStr">
        <is>
          <t>resid</t>
        </is>
      </c>
      <c r="D353" s="72">
        <f>O352</f>
        <v/>
      </c>
      <c r="E353" s="67" t="inlineStr">
        <is>
          <t>zero %</t>
        </is>
      </c>
      <c r="F353" s="63">
        <f>-LN(B353)/$H$307*100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L73"/>
  <sheetViews>
    <sheetView showGridLines="0"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9" customWidth="1" min="4" max="4"/>
    <col width="13" customWidth="1" min="5" max="5"/>
    <col width="13" customWidth="1" min="6" max="6"/>
    <col width="12" customWidth="1" min="7" max="7"/>
    <col width="10" customWidth="1" min="8" max="8"/>
    <col width="11" customWidth="1" min="9" max="9"/>
    <col width="11" customWidth="1" min="10" max="10"/>
    <col width="13" customWidth="1" min="11" max="11"/>
    <col width="13" customWidth="1" min="12" max="12"/>
  </cols>
  <sheetData>
    <row r="1">
      <c r="A1" s="1" t="inlineStr">
        <is>
          <t>Fwd_Interp</t>
        </is>
      </c>
    </row>
    <row r="2">
      <c r="A2" s="2" t="inlineStr">
        <is>
          <t>Zhou 2002 forward interpolation — V1 piecewise-flat vs V2 piecewise-quadratic instantaneous forwards</t>
        </is>
      </c>
    </row>
    <row r="4" ht="70" customHeight="1">
      <c r="A4" s="9" t="inlineStr">
        <is>
          <t>Both variants reprice the pillar DFs IDENTICALLY (same segment integral ∫f = −ln(DF_i/DF_(i-1))). V1 (Flat fwd) holds the instantaneous forward CONSTANT over each segment → a step curve; simplest &amp; most stable — Lehman's default. V2 makes the forward piecewise-QUADRATIC f(x)=a+bx+cx², CONTINUOUS across pillars (adjacent segments share the Node fwd) while still repricing exactly. a,b,c are closed-form from (f_left=node at left pillar, f_right=node at right pillar, ∫f) — no solver needed. Node fwd = average of the two adjacent flat forwards. 'reprice check' = ∫quad − ∫f ≈ 0 confirms V2 preserves every DF. The difference is intra-segment: compare Flat fwd (V1) vs V2 fwd @ mid — largest across the wide long-end gaps (10Y→15Y→20Y→30Y), which is exactly what V2 smooths.</t>
        </is>
      </c>
    </row>
    <row r="5"/>
    <row r="6"/>
    <row r="7">
      <c r="A7" s="20" t="inlineStr">
        <is>
          <t>Pillar</t>
        </is>
      </c>
      <c r="B7" s="20" t="inlineStr">
        <is>
          <t>T (yrs)</t>
        </is>
      </c>
      <c r="C7" s="20" t="inlineStr">
        <is>
          <t>DF</t>
        </is>
      </c>
      <c r="D7" s="20" t="inlineStr">
        <is>
          <t>Δ (yrs)</t>
        </is>
      </c>
      <c r="E7" s="20" t="inlineStr">
        <is>
          <t>∫f (integral)</t>
        </is>
      </c>
      <c r="F7" s="20" t="inlineStr">
        <is>
          <t>Flat fwd (V1)</t>
        </is>
      </c>
      <c r="G7" s="20" t="inlineStr">
        <is>
          <t>Node fwd</t>
        </is>
      </c>
      <c r="H7" s="20" t="inlineStr">
        <is>
          <t>a</t>
        </is>
      </c>
      <c r="I7" s="20" t="inlineStr">
        <is>
          <t>b</t>
        </is>
      </c>
      <c r="J7" s="20" t="inlineStr">
        <is>
          <t>c</t>
        </is>
      </c>
      <c r="K7" s="20" t="inlineStr">
        <is>
          <t>V2 fwd @ mid</t>
        </is>
      </c>
      <c r="L7" s="20" t="inlineStr">
        <is>
          <t>reprice check</t>
        </is>
      </c>
    </row>
    <row r="8">
      <c r="A8" s="19" t="inlineStr">
        <is>
          <t>Spot</t>
        </is>
      </c>
      <c r="B8" s="50" t="n">
        <v>0</v>
      </c>
      <c r="C8" s="27" t="n">
        <v>1</v>
      </c>
      <c r="G8" s="51">
        <f>F9</f>
        <v/>
      </c>
    </row>
    <row r="9">
      <c r="A9" s="6">
        <f>'Bootstrap'!A8</f>
        <v/>
      </c>
      <c r="B9" s="28">
        <f>'Bootstrap'!C8</f>
        <v/>
      </c>
      <c r="C9" s="36">
        <f>'Bootstrap'!H8</f>
        <v/>
      </c>
      <c r="D9" s="28">
        <f>B9-B8</f>
        <v/>
      </c>
      <c r="E9" s="34">
        <f>-LN(C9/C8)</f>
        <v/>
      </c>
      <c r="F9" s="52">
        <f>E9/D9</f>
        <v/>
      </c>
      <c r="G9" s="52">
        <f>(F9+F10)/2</f>
        <v/>
      </c>
      <c r="H9" s="52">
        <f>G8</f>
        <v/>
      </c>
      <c r="I9" s="34">
        <f>(G9-G8)/D9-J9*D9</f>
        <v/>
      </c>
      <c r="J9" s="34">
        <f>3*(G9-G8)/D9^2-6*(E9-G8*D9)/D9^3</f>
        <v/>
      </c>
      <c r="K9" s="52">
        <f>H9+I9*D9/2+J9*D9^2/4</f>
        <v/>
      </c>
      <c r="L9" s="53">
        <f>H9*D9+I9*D9^2/2+J9*D9^3/3-E9</f>
        <v/>
      </c>
    </row>
    <row r="10">
      <c r="A10" s="6">
        <f>'Bootstrap'!A9</f>
        <v/>
      </c>
      <c r="B10" s="28">
        <f>'Bootstrap'!C9</f>
        <v/>
      </c>
      <c r="C10" s="36">
        <f>'Bootstrap'!H9</f>
        <v/>
      </c>
      <c r="D10" s="28">
        <f>B10-B9</f>
        <v/>
      </c>
      <c r="E10" s="34">
        <f>-LN(C10/C9)</f>
        <v/>
      </c>
      <c r="F10" s="52">
        <f>E10/D10</f>
        <v/>
      </c>
      <c r="G10" s="52">
        <f>(F10+F11)/2</f>
        <v/>
      </c>
      <c r="H10" s="52">
        <f>G9</f>
        <v/>
      </c>
      <c r="I10" s="34">
        <f>(G10-G9)/D10-J10*D10</f>
        <v/>
      </c>
      <c r="J10" s="34">
        <f>3*(G10-G9)/D10^2-6*(E10-G9*D10)/D10^3</f>
        <v/>
      </c>
      <c r="K10" s="52">
        <f>H10+I10*D10/2+J10*D10^2/4</f>
        <v/>
      </c>
      <c r="L10" s="53">
        <f>H10*D10+I10*D10^2/2+J10*D10^3/3-E10</f>
        <v/>
      </c>
    </row>
    <row r="11">
      <c r="A11" s="6">
        <f>'Bootstrap'!A10</f>
        <v/>
      </c>
      <c r="B11" s="28">
        <f>'Bootstrap'!C10</f>
        <v/>
      </c>
      <c r="C11" s="36">
        <f>'Bootstrap'!H10</f>
        <v/>
      </c>
      <c r="D11" s="28">
        <f>B11-B10</f>
        <v/>
      </c>
      <c r="E11" s="34">
        <f>-LN(C11/C10)</f>
        <v/>
      </c>
      <c r="F11" s="52">
        <f>E11/D11</f>
        <v/>
      </c>
      <c r="G11" s="52">
        <f>(F11+F12)/2</f>
        <v/>
      </c>
      <c r="H11" s="52">
        <f>G10</f>
        <v/>
      </c>
      <c r="I11" s="34">
        <f>(G11-G10)/D11-J11*D11</f>
        <v/>
      </c>
      <c r="J11" s="34">
        <f>3*(G11-G10)/D11^2-6*(E11-G10*D11)/D11^3</f>
        <v/>
      </c>
      <c r="K11" s="52">
        <f>H11+I11*D11/2+J11*D11^2/4</f>
        <v/>
      </c>
      <c r="L11" s="53">
        <f>H11*D11+I11*D11^2/2+J11*D11^3/3-E11</f>
        <v/>
      </c>
    </row>
    <row r="12">
      <c r="A12" s="6">
        <f>'Bootstrap'!A11</f>
        <v/>
      </c>
      <c r="B12" s="28">
        <f>'Bootstrap'!C11</f>
        <v/>
      </c>
      <c r="C12" s="36">
        <f>'Bootstrap'!H11</f>
        <v/>
      </c>
      <c r="D12" s="28">
        <f>B12-B11</f>
        <v/>
      </c>
      <c r="E12" s="34">
        <f>-LN(C12/C11)</f>
        <v/>
      </c>
      <c r="F12" s="52">
        <f>E12/D12</f>
        <v/>
      </c>
      <c r="G12" s="52">
        <f>(F12+F13)/2</f>
        <v/>
      </c>
      <c r="H12" s="52">
        <f>G11</f>
        <v/>
      </c>
      <c r="I12" s="34">
        <f>(G12-G11)/D12-J12*D12</f>
        <v/>
      </c>
      <c r="J12" s="34">
        <f>3*(G12-G11)/D12^2-6*(E12-G11*D12)/D12^3</f>
        <v/>
      </c>
      <c r="K12" s="52">
        <f>H12+I12*D12/2+J12*D12^2/4</f>
        <v/>
      </c>
      <c r="L12" s="53">
        <f>H12*D12+I12*D12^2/2+J12*D12^3/3-E12</f>
        <v/>
      </c>
    </row>
    <row r="13">
      <c r="A13" s="6">
        <f>'Bootstrap'!A12</f>
        <v/>
      </c>
      <c r="B13" s="28">
        <f>'Bootstrap'!C12</f>
        <v/>
      </c>
      <c r="C13" s="36">
        <f>'Bootstrap'!H12</f>
        <v/>
      </c>
      <c r="D13" s="28">
        <f>B13-B12</f>
        <v/>
      </c>
      <c r="E13" s="34">
        <f>-LN(C13/C12)</f>
        <v/>
      </c>
      <c r="F13" s="52">
        <f>E13/D13</f>
        <v/>
      </c>
      <c r="G13" s="52">
        <f>(F13+F14)/2</f>
        <v/>
      </c>
      <c r="H13" s="52">
        <f>G12</f>
        <v/>
      </c>
      <c r="I13" s="34">
        <f>(G13-G12)/D13-J13*D13</f>
        <v/>
      </c>
      <c r="J13" s="34">
        <f>3*(G13-G12)/D13^2-6*(E13-G12*D13)/D13^3</f>
        <v/>
      </c>
      <c r="K13" s="52">
        <f>H13+I13*D13/2+J13*D13^2/4</f>
        <v/>
      </c>
      <c r="L13" s="53">
        <f>H13*D13+I13*D13^2/2+J13*D13^3/3-E13</f>
        <v/>
      </c>
    </row>
    <row r="14">
      <c r="A14" s="6">
        <f>'Bootstrap'!A13</f>
        <v/>
      </c>
      <c r="B14" s="28">
        <f>'Bootstrap'!C13</f>
        <v/>
      </c>
      <c r="C14" s="36">
        <f>'Bootstrap'!H13</f>
        <v/>
      </c>
      <c r="D14" s="28">
        <f>B14-B13</f>
        <v/>
      </c>
      <c r="E14" s="34">
        <f>-LN(C14/C13)</f>
        <v/>
      </c>
      <c r="F14" s="52">
        <f>E14/D14</f>
        <v/>
      </c>
      <c r="G14" s="52">
        <f>(F14+F15)/2</f>
        <v/>
      </c>
      <c r="H14" s="52">
        <f>G13</f>
        <v/>
      </c>
      <c r="I14" s="34">
        <f>(G14-G13)/D14-J14*D14</f>
        <v/>
      </c>
      <c r="J14" s="34">
        <f>3*(G14-G13)/D14^2-6*(E14-G13*D14)/D14^3</f>
        <v/>
      </c>
      <c r="K14" s="52">
        <f>H14+I14*D14/2+J14*D14^2/4</f>
        <v/>
      </c>
      <c r="L14" s="53">
        <f>H14*D14+I14*D14^2/2+J14*D14^3/3-E14</f>
        <v/>
      </c>
    </row>
    <row r="15">
      <c r="A15" s="6">
        <f>'Bootstrap'!A14</f>
        <v/>
      </c>
      <c r="B15" s="28">
        <f>'Bootstrap'!C14</f>
        <v/>
      </c>
      <c r="C15" s="36">
        <f>'Bootstrap'!H14</f>
        <v/>
      </c>
      <c r="D15" s="28">
        <f>B15-B14</f>
        <v/>
      </c>
      <c r="E15" s="34">
        <f>-LN(C15/C14)</f>
        <v/>
      </c>
      <c r="F15" s="52">
        <f>E15/D15</f>
        <v/>
      </c>
      <c r="G15" s="52">
        <f>(F15+F16)/2</f>
        <v/>
      </c>
      <c r="H15" s="52">
        <f>G14</f>
        <v/>
      </c>
      <c r="I15" s="34">
        <f>(G15-G14)/D15-J15*D15</f>
        <v/>
      </c>
      <c r="J15" s="34">
        <f>3*(G15-G14)/D15^2-6*(E15-G14*D15)/D15^3</f>
        <v/>
      </c>
      <c r="K15" s="52">
        <f>H15+I15*D15/2+J15*D15^2/4</f>
        <v/>
      </c>
      <c r="L15" s="53">
        <f>H15*D15+I15*D15^2/2+J15*D15^3/3-E15</f>
        <v/>
      </c>
    </row>
    <row r="16">
      <c r="A16" s="6">
        <f>'Bootstrap'!A15</f>
        <v/>
      </c>
      <c r="B16" s="28">
        <f>'Bootstrap'!C15</f>
        <v/>
      </c>
      <c r="C16" s="36">
        <f>'Bootstrap'!H15</f>
        <v/>
      </c>
      <c r="D16" s="28">
        <f>B16-B15</f>
        <v/>
      </c>
      <c r="E16" s="34">
        <f>-LN(C16/C15)</f>
        <v/>
      </c>
      <c r="F16" s="52">
        <f>E16/D16</f>
        <v/>
      </c>
      <c r="G16" s="52">
        <f>(F16+F17)/2</f>
        <v/>
      </c>
      <c r="H16" s="52">
        <f>G15</f>
        <v/>
      </c>
      <c r="I16" s="34">
        <f>(G16-G15)/D16-J16*D16</f>
        <v/>
      </c>
      <c r="J16" s="34">
        <f>3*(G16-G15)/D16^2-6*(E16-G15*D16)/D16^3</f>
        <v/>
      </c>
      <c r="K16" s="52">
        <f>H16+I16*D16/2+J16*D16^2/4</f>
        <v/>
      </c>
      <c r="L16" s="53">
        <f>H16*D16+I16*D16^2/2+J16*D16^3/3-E16</f>
        <v/>
      </c>
    </row>
    <row r="17">
      <c r="A17" s="6">
        <f>'Bootstrap'!A16</f>
        <v/>
      </c>
      <c r="B17" s="28">
        <f>'Bootstrap'!C16</f>
        <v/>
      </c>
      <c r="C17" s="36">
        <f>'Bootstrap'!H16</f>
        <v/>
      </c>
      <c r="D17" s="28">
        <f>B17-B16</f>
        <v/>
      </c>
      <c r="E17" s="34">
        <f>-LN(C17/C16)</f>
        <v/>
      </c>
      <c r="F17" s="52">
        <f>E17/D17</f>
        <v/>
      </c>
      <c r="G17" s="52">
        <f>(F17+F18)/2</f>
        <v/>
      </c>
      <c r="H17" s="52">
        <f>G16</f>
        <v/>
      </c>
      <c r="I17" s="34">
        <f>(G17-G16)/D17-J17*D17</f>
        <v/>
      </c>
      <c r="J17" s="34">
        <f>3*(G17-G16)/D17^2-6*(E17-G16*D17)/D17^3</f>
        <v/>
      </c>
      <c r="K17" s="52">
        <f>H17+I17*D17/2+J17*D17^2/4</f>
        <v/>
      </c>
      <c r="L17" s="53">
        <f>H17*D17+I17*D17^2/2+J17*D17^3/3-E17</f>
        <v/>
      </c>
    </row>
    <row r="18">
      <c r="A18" s="6">
        <f>'Bootstrap'!A17</f>
        <v/>
      </c>
      <c r="B18" s="28">
        <f>'Bootstrap'!C17</f>
        <v/>
      </c>
      <c r="C18" s="36">
        <f>'Bootstrap'!H17</f>
        <v/>
      </c>
      <c r="D18" s="28">
        <f>B18-B17</f>
        <v/>
      </c>
      <c r="E18" s="34">
        <f>-LN(C18/C17)</f>
        <v/>
      </c>
      <c r="F18" s="52">
        <f>E18/D18</f>
        <v/>
      </c>
      <c r="G18" s="52">
        <f>(F18+F19)/2</f>
        <v/>
      </c>
      <c r="H18" s="52">
        <f>G17</f>
        <v/>
      </c>
      <c r="I18" s="34">
        <f>(G18-G17)/D18-J18*D18</f>
        <v/>
      </c>
      <c r="J18" s="34">
        <f>3*(G18-G17)/D18^2-6*(E18-G17*D18)/D18^3</f>
        <v/>
      </c>
      <c r="K18" s="52">
        <f>H18+I18*D18/2+J18*D18^2/4</f>
        <v/>
      </c>
      <c r="L18" s="53">
        <f>H18*D18+I18*D18^2/2+J18*D18^3/3-E18</f>
        <v/>
      </c>
    </row>
    <row r="19">
      <c r="A19" s="6">
        <f>'Bootstrap'!A18</f>
        <v/>
      </c>
      <c r="B19" s="28">
        <f>'Bootstrap'!C18</f>
        <v/>
      </c>
      <c r="C19" s="36">
        <f>'Bootstrap'!H18</f>
        <v/>
      </c>
      <c r="D19" s="28">
        <f>B19-B18</f>
        <v/>
      </c>
      <c r="E19" s="34">
        <f>-LN(C19/C18)</f>
        <v/>
      </c>
      <c r="F19" s="52">
        <f>E19/D19</f>
        <v/>
      </c>
      <c r="G19" s="52">
        <f>(F19+F20)/2</f>
        <v/>
      </c>
      <c r="H19" s="52">
        <f>G18</f>
        <v/>
      </c>
      <c r="I19" s="34">
        <f>(G19-G18)/D19-J19*D19</f>
        <v/>
      </c>
      <c r="J19" s="34">
        <f>3*(G19-G18)/D19^2-6*(E19-G18*D19)/D19^3</f>
        <v/>
      </c>
      <c r="K19" s="52">
        <f>H19+I19*D19/2+J19*D19^2/4</f>
        <v/>
      </c>
      <c r="L19" s="53">
        <f>H19*D19+I19*D19^2/2+J19*D19^3/3-E19</f>
        <v/>
      </c>
    </row>
    <row r="20">
      <c r="A20" s="6">
        <f>'Bootstrap'!A19</f>
        <v/>
      </c>
      <c r="B20" s="28">
        <f>'Bootstrap'!C19</f>
        <v/>
      </c>
      <c r="C20" s="36">
        <f>'Bootstrap'!H19</f>
        <v/>
      </c>
      <c r="D20" s="28">
        <f>B20-B19</f>
        <v/>
      </c>
      <c r="E20" s="34">
        <f>-LN(C20/C19)</f>
        <v/>
      </c>
      <c r="F20" s="52">
        <f>E20/D20</f>
        <v/>
      </c>
      <c r="G20" s="52">
        <f>(F20+F21)/2</f>
        <v/>
      </c>
      <c r="H20" s="52">
        <f>G19</f>
        <v/>
      </c>
      <c r="I20" s="34">
        <f>(G20-G19)/D20-J20*D20</f>
        <v/>
      </c>
      <c r="J20" s="34">
        <f>3*(G20-G19)/D20^2-6*(E20-G19*D20)/D20^3</f>
        <v/>
      </c>
      <c r="K20" s="52">
        <f>H20+I20*D20/2+J20*D20^2/4</f>
        <v/>
      </c>
      <c r="L20" s="53">
        <f>H20*D20+I20*D20^2/2+J20*D20^3/3-E20</f>
        <v/>
      </c>
    </row>
    <row r="21">
      <c r="A21" s="6">
        <f>'Bootstrap'!A20</f>
        <v/>
      </c>
      <c r="B21" s="28">
        <f>'Bootstrap'!C20</f>
        <v/>
      </c>
      <c r="C21" s="36">
        <f>'Bootstrap'!H20</f>
        <v/>
      </c>
      <c r="D21" s="28">
        <f>B21-B20</f>
        <v/>
      </c>
      <c r="E21" s="34">
        <f>-LN(C21/C20)</f>
        <v/>
      </c>
      <c r="F21" s="52">
        <f>E21/D21</f>
        <v/>
      </c>
      <c r="G21" s="52">
        <f>(F21+F22)/2</f>
        <v/>
      </c>
      <c r="H21" s="52">
        <f>G20</f>
        <v/>
      </c>
      <c r="I21" s="34">
        <f>(G21-G20)/D21-J21*D21</f>
        <v/>
      </c>
      <c r="J21" s="34">
        <f>3*(G21-G20)/D21^2-6*(E21-G20*D21)/D21^3</f>
        <v/>
      </c>
      <c r="K21" s="52">
        <f>H21+I21*D21/2+J21*D21^2/4</f>
        <v/>
      </c>
      <c r="L21" s="53">
        <f>H21*D21+I21*D21^2/2+J21*D21^3/3-E21</f>
        <v/>
      </c>
    </row>
    <row r="22">
      <c r="A22" s="6">
        <f>'Bootstrap'!A21</f>
        <v/>
      </c>
      <c r="B22" s="28">
        <f>'Bootstrap'!C21</f>
        <v/>
      </c>
      <c r="C22" s="36">
        <f>'Bootstrap'!H21</f>
        <v/>
      </c>
      <c r="D22" s="28">
        <f>B22-B21</f>
        <v/>
      </c>
      <c r="E22" s="34">
        <f>-LN(C22/C21)</f>
        <v/>
      </c>
      <c r="F22" s="52">
        <f>E22/D22</f>
        <v/>
      </c>
      <c r="G22" s="52">
        <f>(F22+F23)/2</f>
        <v/>
      </c>
      <c r="H22" s="52">
        <f>G21</f>
        <v/>
      </c>
      <c r="I22" s="34">
        <f>(G22-G21)/D22-J22*D22</f>
        <v/>
      </c>
      <c r="J22" s="34">
        <f>3*(G22-G21)/D22^2-6*(E22-G21*D22)/D22^3</f>
        <v/>
      </c>
      <c r="K22" s="52">
        <f>H22+I22*D22/2+J22*D22^2/4</f>
        <v/>
      </c>
      <c r="L22" s="53">
        <f>H22*D22+I22*D22^2/2+J22*D22^3/3-E22</f>
        <v/>
      </c>
    </row>
    <row r="23">
      <c r="A23" s="6">
        <f>'Bootstrap'!A22</f>
        <v/>
      </c>
      <c r="B23" s="28">
        <f>'Bootstrap'!C22</f>
        <v/>
      </c>
      <c r="C23" s="36">
        <f>'Bootstrap'!H22</f>
        <v/>
      </c>
      <c r="D23" s="28">
        <f>B23-B22</f>
        <v/>
      </c>
      <c r="E23" s="34">
        <f>-LN(C23/C22)</f>
        <v/>
      </c>
      <c r="F23" s="52">
        <f>E23/D23</f>
        <v/>
      </c>
      <c r="G23" s="52">
        <f>(F23+F24)/2</f>
        <v/>
      </c>
      <c r="H23" s="52">
        <f>G22</f>
        <v/>
      </c>
      <c r="I23" s="34">
        <f>(G23-G22)/D23-J23*D23</f>
        <v/>
      </c>
      <c r="J23" s="34">
        <f>3*(G23-G22)/D23^2-6*(E23-G22*D23)/D23^3</f>
        <v/>
      </c>
      <c r="K23" s="52">
        <f>H23+I23*D23/2+J23*D23^2/4</f>
        <v/>
      </c>
      <c r="L23" s="53">
        <f>H23*D23+I23*D23^2/2+J23*D23^3/3-E23</f>
        <v/>
      </c>
    </row>
    <row r="24">
      <c r="A24" s="6">
        <f>'Bootstrap'!A23</f>
        <v/>
      </c>
      <c r="B24" s="28">
        <f>'Bootstrap'!C23</f>
        <v/>
      </c>
      <c r="C24" s="36">
        <f>'Bootstrap'!H23</f>
        <v/>
      </c>
      <c r="D24" s="28">
        <f>B24-B23</f>
        <v/>
      </c>
      <c r="E24" s="34">
        <f>-LN(C24/C23)</f>
        <v/>
      </c>
      <c r="F24" s="52">
        <f>E24/D24</f>
        <v/>
      </c>
      <c r="G24" s="52">
        <f>(F24+F25)/2</f>
        <v/>
      </c>
      <c r="H24" s="52">
        <f>G23</f>
        <v/>
      </c>
      <c r="I24" s="34">
        <f>(G24-G23)/D24-J24*D24</f>
        <v/>
      </c>
      <c r="J24" s="34">
        <f>3*(G24-G23)/D24^2-6*(E24-G23*D24)/D24^3</f>
        <v/>
      </c>
      <c r="K24" s="52">
        <f>H24+I24*D24/2+J24*D24^2/4</f>
        <v/>
      </c>
      <c r="L24" s="53">
        <f>H24*D24+I24*D24^2/2+J24*D24^3/3-E24</f>
        <v/>
      </c>
    </row>
    <row r="25">
      <c r="A25" s="6">
        <f>'Bootstrap'!A24</f>
        <v/>
      </c>
      <c r="B25" s="28">
        <f>'Bootstrap'!C24</f>
        <v/>
      </c>
      <c r="C25" s="36">
        <f>'Bootstrap'!H24</f>
        <v/>
      </c>
      <c r="D25" s="28">
        <f>B25-B24</f>
        <v/>
      </c>
      <c r="E25" s="34">
        <f>-LN(C25/C24)</f>
        <v/>
      </c>
      <c r="F25" s="52">
        <f>E25/D25</f>
        <v/>
      </c>
      <c r="G25" s="52">
        <f>(F25+F26)/2</f>
        <v/>
      </c>
      <c r="H25" s="52">
        <f>G24</f>
        <v/>
      </c>
      <c r="I25" s="34">
        <f>(G25-G24)/D25-J25*D25</f>
        <v/>
      </c>
      <c r="J25" s="34">
        <f>3*(G25-G24)/D25^2-6*(E25-G24*D25)/D25^3</f>
        <v/>
      </c>
      <c r="K25" s="52">
        <f>H25+I25*D25/2+J25*D25^2/4</f>
        <v/>
      </c>
      <c r="L25" s="53">
        <f>H25*D25+I25*D25^2/2+J25*D25^3/3-E25</f>
        <v/>
      </c>
    </row>
    <row r="26">
      <c r="A26" s="6">
        <f>'Bootstrap'!A25</f>
        <v/>
      </c>
      <c r="B26" s="28">
        <f>'Bootstrap'!C25</f>
        <v/>
      </c>
      <c r="C26" s="36">
        <f>'Bootstrap'!H25</f>
        <v/>
      </c>
      <c r="D26" s="28">
        <f>B26-B25</f>
        <v/>
      </c>
      <c r="E26" s="34">
        <f>-LN(C26/C25)</f>
        <v/>
      </c>
      <c r="F26" s="52">
        <f>E26/D26</f>
        <v/>
      </c>
      <c r="G26" s="52">
        <f>(F26+F27)/2</f>
        <v/>
      </c>
      <c r="H26" s="52">
        <f>G25</f>
        <v/>
      </c>
      <c r="I26" s="34">
        <f>(G26-G25)/D26-J26*D26</f>
        <v/>
      </c>
      <c r="J26" s="34">
        <f>3*(G26-G25)/D26^2-6*(E26-G25*D26)/D26^3</f>
        <v/>
      </c>
      <c r="K26" s="52">
        <f>H26+I26*D26/2+J26*D26^2/4</f>
        <v/>
      </c>
      <c r="L26" s="53">
        <f>H26*D26+I26*D26^2/2+J26*D26^3/3-E26</f>
        <v/>
      </c>
    </row>
    <row r="27">
      <c r="A27" s="6">
        <f>'Bootstrap'!A26</f>
        <v/>
      </c>
      <c r="B27" s="28">
        <f>'Bootstrap'!C26</f>
        <v/>
      </c>
      <c r="C27" s="36">
        <f>'Bootstrap'!H26</f>
        <v/>
      </c>
      <c r="D27" s="28">
        <f>B27-B26</f>
        <v/>
      </c>
      <c r="E27" s="34">
        <f>-LN(C27/C26)</f>
        <v/>
      </c>
      <c r="F27" s="52">
        <f>E27/D27</f>
        <v/>
      </c>
      <c r="G27" s="52">
        <f>(F27+F28)/2</f>
        <v/>
      </c>
      <c r="H27" s="52">
        <f>G26</f>
        <v/>
      </c>
      <c r="I27" s="34">
        <f>(G27-G26)/D27-J27*D27</f>
        <v/>
      </c>
      <c r="J27" s="34">
        <f>3*(G27-G26)/D27^2-6*(E27-G26*D27)/D27^3</f>
        <v/>
      </c>
      <c r="K27" s="52">
        <f>H27+I27*D27/2+J27*D27^2/4</f>
        <v/>
      </c>
      <c r="L27" s="53">
        <f>H27*D27+I27*D27^2/2+J27*D27^3/3-E27</f>
        <v/>
      </c>
    </row>
    <row r="28">
      <c r="A28" s="6">
        <f>'Bootstrap'!A27</f>
        <v/>
      </c>
      <c r="B28" s="28">
        <f>'Bootstrap'!C27</f>
        <v/>
      </c>
      <c r="C28" s="36">
        <f>'Bootstrap'!H27</f>
        <v/>
      </c>
      <c r="D28" s="28">
        <f>B28-B27</f>
        <v/>
      </c>
      <c r="E28" s="34">
        <f>-LN(C28/C27)</f>
        <v/>
      </c>
      <c r="F28" s="52">
        <f>E28/D28</f>
        <v/>
      </c>
      <c r="G28" s="52">
        <f>(F28+F29)/2</f>
        <v/>
      </c>
      <c r="H28" s="52">
        <f>G27</f>
        <v/>
      </c>
      <c r="I28" s="34">
        <f>(G28-G27)/D28-J28*D28</f>
        <v/>
      </c>
      <c r="J28" s="34">
        <f>3*(G28-G27)/D28^2-6*(E28-G27*D28)/D28^3</f>
        <v/>
      </c>
      <c r="K28" s="52">
        <f>H28+I28*D28/2+J28*D28^2/4</f>
        <v/>
      </c>
      <c r="L28" s="53">
        <f>H28*D28+I28*D28^2/2+J28*D28^3/3-E28</f>
        <v/>
      </c>
    </row>
    <row r="29">
      <c r="A29" s="6">
        <f>'Bootstrap'!A28</f>
        <v/>
      </c>
      <c r="B29" s="28">
        <f>'Bootstrap'!C28</f>
        <v/>
      </c>
      <c r="C29" s="36">
        <f>'Bootstrap'!H28</f>
        <v/>
      </c>
      <c r="D29" s="28">
        <f>B29-B28</f>
        <v/>
      </c>
      <c r="E29" s="34">
        <f>-LN(C29/C28)</f>
        <v/>
      </c>
      <c r="F29" s="52">
        <f>E29/D29</f>
        <v/>
      </c>
      <c r="G29" s="52">
        <f>(F29+F30)/2</f>
        <v/>
      </c>
      <c r="H29" s="52">
        <f>G28</f>
        <v/>
      </c>
      <c r="I29" s="34">
        <f>(G29-G28)/D29-J29*D29</f>
        <v/>
      </c>
      <c r="J29" s="34">
        <f>3*(G29-G28)/D29^2-6*(E29-G28*D29)/D29^3</f>
        <v/>
      </c>
      <c r="K29" s="52">
        <f>H29+I29*D29/2+J29*D29^2/4</f>
        <v/>
      </c>
      <c r="L29" s="53">
        <f>H29*D29+I29*D29^2/2+J29*D29^3/3-E29</f>
        <v/>
      </c>
    </row>
    <row r="30">
      <c r="A30" s="6">
        <f>'Bootstrap'!A29</f>
        <v/>
      </c>
      <c r="B30" s="28">
        <f>'Bootstrap'!C29</f>
        <v/>
      </c>
      <c r="C30" s="36">
        <f>'Bootstrap'!H29</f>
        <v/>
      </c>
      <c r="D30" s="28">
        <f>B30-B29</f>
        <v/>
      </c>
      <c r="E30" s="34">
        <f>-LN(C30/C29)</f>
        <v/>
      </c>
      <c r="F30" s="52">
        <f>E30/D30</f>
        <v/>
      </c>
      <c r="G30" s="52">
        <f>(F30+F31)/2</f>
        <v/>
      </c>
      <c r="H30" s="52">
        <f>G29</f>
        <v/>
      </c>
      <c r="I30" s="34">
        <f>(G30-G29)/D30-J30*D30</f>
        <v/>
      </c>
      <c r="J30" s="34">
        <f>3*(G30-G29)/D30^2-6*(E30-G29*D30)/D30^3</f>
        <v/>
      </c>
      <c r="K30" s="52">
        <f>H30+I30*D30/2+J30*D30^2/4</f>
        <v/>
      </c>
      <c r="L30" s="53">
        <f>H30*D30+I30*D30^2/2+J30*D30^3/3-E30</f>
        <v/>
      </c>
    </row>
    <row r="31">
      <c r="A31" s="6">
        <f>'Bootstrap'!A30</f>
        <v/>
      </c>
      <c r="B31" s="28">
        <f>'Bootstrap'!C30</f>
        <v/>
      </c>
      <c r="C31" s="36">
        <f>'Bootstrap'!H30</f>
        <v/>
      </c>
      <c r="D31" s="28">
        <f>B31-B30</f>
        <v/>
      </c>
      <c r="E31" s="34">
        <f>-LN(C31/C30)</f>
        <v/>
      </c>
      <c r="F31" s="52">
        <f>E31/D31</f>
        <v/>
      </c>
      <c r="G31" s="52">
        <f>(F31+F32)/2</f>
        <v/>
      </c>
      <c r="H31" s="52">
        <f>G30</f>
        <v/>
      </c>
      <c r="I31" s="34">
        <f>(G31-G30)/D31-J31*D31</f>
        <v/>
      </c>
      <c r="J31" s="34">
        <f>3*(G31-G30)/D31^2-6*(E31-G30*D31)/D31^3</f>
        <v/>
      </c>
      <c r="K31" s="52">
        <f>H31+I31*D31/2+J31*D31^2/4</f>
        <v/>
      </c>
      <c r="L31" s="53">
        <f>H31*D31+I31*D31^2/2+J31*D31^3/3-E31</f>
        <v/>
      </c>
    </row>
    <row r="32">
      <c r="A32" s="6">
        <f>'Bootstrap'!A31</f>
        <v/>
      </c>
      <c r="B32" s="28">
        <f>'Bootstrap'!C31</f>
        <v/>
      </c>
      <c r="C32" s="36">
        <f>'Bootstrap'!H31</f>
        <v/>
      </c>
      <c r="D32" s="28">
        <f>B32-B31</f>
        <v/>
      </c>
      <c r="E32" s="34">
        <f>-LN(C32/C31)</f>
        <v/>
      </c>
      <c r="F32" s="52">
        <f>E32/D32</f>
        <v/>
      </c>
      <c r="G32" s="52">
        <f>(F32+F33)/2</f>
        <v/>
      </c>
      <c r="H32" s="52">
        <f>G31</f>
        <v/>
      </c>
      <c r="I32" s="34">
        <f>(G32-G31)/D32-J32*D32</f>
        <v/>
      </c>
      <c r="J32" s="34">
        <f>3*(G32-G31)/D32^2-6*(E32-G31*D32)/D32^3</f>
        <v/>
      </c>
      <c r="K32" s="52">
        <f>H32+I32*D32/2+J32*D32^2/4</f>
        <v/>
      </c>
      <c r="L32" s="53">
        <f>H32*D32+I32*D32^2/2+J32*D32^3/3-E32</f>
        <v/>
      </c>
    </row>
    <row r="33">
      <c r="A33" s="6">
        <f>'Bootstrap'!A32</f>
        <v/>
      </c>
      <c r="B33" s="28">
        <f>'Bootstrap'!C32</f>
        <v/>
      </c>
      <c r="C33" s="36">
        <f>'Bootstrap'!H32</f>
        <v/>
      </c>
      <c r="D33" s="28">
        <f>B33-B32</f>
        <v/>
      </c>
      <c r="E33" s="34">
        <f>-LN(C33/C32)</f>
        <v/>
      </c>
      <c r="F33" s="52">
        <f>E33/D33</f>
        <v/>
      </c>
      <c r="G33" s="52">
        <f>(F33+F34)/2</f>
        <v/>
      </c>
      <c r="H33" s="52">
        <f>G32</f>
        <v/>
      </c>
      <c r="I33" s="34">
        <f>(G33-G32)/D33-J33*D33</f>
        <v/>
      </c>
      <c r="J33" s="34">
        <f>3*(G33-G32)/D33^2-6*(E33-G32*D33)/D33^3</f>
        <v/>
      </c>
      <c r="K33" s="52">
        <f>H33+I33*D33/2+J33*D33^2/4</f>
        <v/>
      </c>
      <c r="L33" s="53">
        <f>H33*D33+I33*D33^2/2+J33*D33^3/3-E33</f>
        <v/>
      </c>
    </row>
    <row r="34">
      <c r="A34" s="6">
        <f>'Bootstrap'!A33</f>
        <v/>
      </c>
      <c r="B34" s="28">
        <f>'Bootstrap'!C33</f>
        <v/>
      </c>
      <c r="C34" s="36">
        <f>'Bootstrap'!H33</f>
        <v/>
      </c>
      <c r="D34" s="28">
        <f>B34-B33</f>
        <v/>
      </c>
      <c r="E34" s="34">
        <f>-LN(C34/C33)</f>
        <v/>
      </c>
      <c r="F34" s="52">
        <f>E34/D34</f>
        <v/>
      </c>
      <c r="G34" s="52">
        <f>(F34+F35)/2</f>
        <v/>
      </c>
      <c r="H34" s="52">
        <f>G33</f>
        <v/>
      </c>
      <c r="I34" s="34">
        <f>(G34-G33)/D34-J34*D34</f>
        <v/>
      </c>
      <c r="J34" s="34">
        <f>3*(G34-G33)/D34^2-6*(E34-G33*D34)/D34^3</f>
        <v/>
      </c>
      <c r="K34" s="52">
        <f>H34+I34*D34/2+J34*D34^2/4</f>
        <v/>
      </c>
      <c r="L34" s="53">
        <f>H34*D34+I34*D34^2/2+J34*D34^3/3-E34</f>
        <v/>
      </c>
    </row>
    <row r="35">
      <c r="A35" s="6">
        <f>'Bootstrap'!A34</f>
        <v/>
      </c>
      <c r="B35" s="28">
        <f>'Bootstrap'!C34</f>
        <v/>
      </c>
      <c r="C35" s="36">
        <f>'Bootstrap'!H34</f>
        <v/>
      </c>
      <c r="D35" s="28">
        <f>B35-B34</f>
        <v/>
      </c>
      <c r="E35" s="34">
        <f>-LN(C35/C34)</f>
        <v/>
      </c>
      <c r="F35" s="52">
        <f>E35/D35</f>
        <v/>
      </c>
      <c r="G35" s="52">
        <f>(F35+F36)/2</f>
        <v/>
      </c>
      <c r="H35" s="52">
        <f>G34</f>
        <v/>
      </c>
      <c r="I35" s="34">
        <f>(G35-G34)/D35-J35*D35</f>
        <v/>
      </c>
      <c r="J35" s="34">
        <f>3*(G35-G34)/D35^2-6*(E35-G34*D35)/D35^3</f>
        <v/>
      </c>
      <c r="K35" s="52">
        <f>H35+I35*D35/2+J35*D35^2/4</f>
        <v/>
      </c>
      <c r="L35" s="53">
        <f>H35*D35+I35*D35^2/2+J35*D35^3/3-E35</f>
        <v/>
      </c>
    </row>
    <row r="36">
      <c r="A36" s="6">
        <f>'Bootstrap'!A35</f>
        <v/>
      </c>
      <c r="B36" s="28">
        <f>'Bootstrap'!C35</f>
        <v/>
      </c>
      <c r="C36" s="36">
        <f>'Bootstrap'!H35</f>
        <v/>
      </c>
      <c r="D36" s="28">
        <f>B36-B35</f>
        <v/>
      </c>
      <c r="E36" s="34">
        <f>-LN(C36/C35)</f>
        <v/>
      </c>
      <c r="F36" s="52">
        <f>E36/D36</f>
        <v/>
      </c>
      <c r="G36" s="52">
        <f>(F36+F37)/2</f>
        <v/>
      </c>
      <c r="H36" s="52">
        <f>G35</f>
        <v/>
      </c>
      <c r="I36" s="34">
        <f>(G36-G35)/D36-J36*D36</f>
        <v/>
      </c>
      <c r="J36" s="34">
        <f>3*(G36-G35)/D36^2-6*(E36-G35*D36)/D36^3</f>
        <v/>
      </c>
      <c r="K36" s="52">
        <f>H36+I36*D36/2+J36*D36^2/4</f>
        <v/>
      </c>
      <c r="L36" s="53">
        <f>H36*D36+I36*D36^2/2+J36*D36^3/3-E36</f>
        <v/>
      </c>
    </row>
    <row r="37">
      <c r="A37" s="6">
        <f>'Bootstrap'!A36</f>
        <v/>
      </c>
      <c r="B37" s="28">
        <f>'Bootstrap'!C36</f>
        <v/>
      </c>
      <c r="C37" s="36">
        <f>'Bootstrap'!H36</f>
        <v/>
      </c>
      <c r="D37" s="28">
        <f>B37-B36</f>
        <v/>
      </c>
      <c r="E37" s="34">
        <f>-LN(C37/C36)</f>
        <v/>
      </c>
      <c r="F37" s="52">
        <f>E37/D37</f>
        <v/>
      </c>
      <c r="G37" s="52">
        <f>(F37+F38)/2</f>
        <v/>
      </c>
      <c r="H37" s="52">
        <f>G36</f>
        <v/>
      </c>
      <c r="I37" s="34">
        <f>(G37-G36)/D37-J37*D37</f>
        <v/>
      </c>
      <c r="J37" s="34">
        <f>3*(G37-G36)/D37^2-6*(E37-G36*D37)/D37^3</f>
        <v/>
      </c>
      <c r="K37" s="52">
        <f>H37+I37*D37/2+J37*D37^2/4</f>
        <v/>
      </c>
      <c r="L37" s="53">
        <f>H37*D37+I37*D37^2/2+J37*D37^3/3-E37</f>
        <v/>
      </c>
    </row>
    <row r="38">
      <c r="A38" s="6">
        <f>'Bootstrap'!A37</f>
        <v/>
      </c>
      <c r="B38" s="28">
        <f>'Bootstrap'!C37</f>
        <v/>
      </c>
      <c r="C38" s="36">
        <f>'Bootstrap'!H37</f>
        <v/>
      </c>
      <c r="D38" s="28">
        <f>B38-B37</f>
        <v/>
      </c>
      <c r="E38" s="34">
        <f>-LN(C38/C37)</f>
        <v/>
      </c>
      <c r="F38" s="52">
        <f>E38/D38</f>
        <v/>
      </c>
      <c r="G38" s="52">
        <f>(F38+F39)/2</f>
        <v/>
      </c>
      <c r="H38" s="52">
        <f>G37</f>
        <v/>
      </c>
      <c r="I38" s="34">
        <f>(G38-G37)/D38-J38*D38</f>
        <v/>
      </c>
      <c r="J38" s="34">
        <f>3*(G38-G37)/D38^2-6*(E38-G37*D38)/D38^3</f>
        <v/>
      </c>
      <c r="K38" s="52">
        <f>H38+I38*D38/2+J38*D38^2/4</f>
        <v/>
      </c>
      <c r="L38" s="53">
        <f>H38*D38+I38*D38^2/2+J38*D38^3/3-E38</f>
        <v/>
      </c>
    </row>
    <row r="39">
      <c r="A39" s="6">
        <f>'Bootstrap'!A38</f>
        <v/>
      </c>
      <c r="B39" s="28">
        <f>'Bootstrap'!C38</f>
        <v/>
      </c>
      <c r="C39" s="36">
        <f>'Bootstrap'!H38</f>
        <v/>
      </c>
      <c r="D39" s="28">
        <f>B39-B38</f>
        <v/>
      </c>
      <c r="E39" s="34">
        <f>-LN(C39/C38)</f>
        <v/>
      </c>
      <c r="F39" s="52">
        <f>E39/D39</f>
        <v/>
      </c>
      <c r="G39" s="52">
        <f>(F39+F40)/2</f>
        <v/>
      </c>
      <c r="H39" s="52">
        <f>G38</f>
        <v/>
      </c>
      <c r="I39" s="34">
        <f>(G39-G38)/D39-J39*D39</f>
        <v/>
      </c>
      <c r="J39" s="34">
        <f>3*(G39-G38)/D39^2-6*(E39-G38*D39)/D39^3</f>
        <v/>
      </c>
      <c r="K39" s="52">
        <f>H39+I39*D39/2+J39*D39^2/4</f>
        <v/>
      </c>
      <c r="L39" s="53">
        <f>H39*D39+I39*D39^2/2+J39*D39^3/3-E39</f>
        <v/>
      </c>
    </row>
    <row r="40">
      <c r="A40" s="6">
        <f>'Bootstrap'!A39</f>
        <v/>
      </c>
      <c r="B40" s="28">
        <f>'Bootstrap'!C39</f>
        <v/>
      </c>
      <c r="C40" s="36">
        <f>'Bootstrap'!H39</f>
        <v/>
      </c>
      <c r="D40" s="28">
        <f>B40-B39</f>
        <v/>
      </c>
      <c r="E40" s="34">
        <f>-LN(C40/C39)</f>
        <v/>
      </c>
      <c r="F40" s="52">
        <f>E40/D40</f>
        <v/>
      </c>
      <c r="G40" s="52">
        <f>(F40+F41)/2</f>
        <v/>
      </c>
      <c r="H40" s="52">
        <f>G39</f>
        <v/>
      </c>
      <c r="I40" s="34">
        <f>(G40-G39)/D40-J40*D40</f>
        <v/>
      </c>
      <c r="J40" s="34">
        <f>3*(G40-G39)/D40^2-6*(E40-G39*D40)/D40^3</f>
        <v/>
      </c>
      <c r="K40" s="52">
        <f>H40+I40*D40/2+J40*D40^2/4</f>
        <v/>
      </c>
      <c r="L40" s="53">
        <f>H40*D40+I40*D40^2/2+J40*D40^3/3-E40</f>
        <v/>
      </c>
    </row>
    <row r="41">
      <c r="A41" s="6">
        <f>'Bootstrap'!A40</f>
        <v/>
      </c>
      <c r="B41" s="28">
        <f>'Bootstrap'!C40</f>
        <v/>
      </c>
      <c r="C41" s="36">
        <f>'Bootstrap'!H40</f>
        <v/>
      </c>
      <c r="D41" s="28">
        <f>B41-B40</f>
        <v/>
      </c>
      <c r="E41" s="34">
        <f>-LN(C41/C40)</f>
        <v/>
      </c>
      <c r="F41" s="52">
        <f>E41/D41</f>
        <v/>
      </c>
      <c r="G41" s="52">
        <f>(F41+F42)/2</f>
        <v/>
      </c>
      <c r="H41" s="52">
        <f>G40</f>
        <v/>
      </c>
      <c r="I41" s="34">
        <f>(G41-G40)/D41-J41*D41</f>
        <v/>
      </c>
      <c r="J41" s="34">
        <f>3*(G41-G40)/D41^2-6*(E41-G40*D41)/D41^3</f>
        <v/>
      </c>
      <c r="K41" s="52">
        <f>H41+I41*D41/2+J41*D41^2/4</f>
        <v/>
      </c>
      <c r="L41" s="53">
        <f>H41*D41+I41*D41^2/2+J41*D41^3/3-E41</f>
        <v/>
      </c>
    </row>
    <row r="42">
      <c r="A42" s="6">
        <f>'Bootstrap'!A41</f>
        <v/>
      </c>
      <c r="B42" s="28">
        <f>'Bootstrap'!C41</f>
        <v/>
      </c>
      <c r="C42" s="36">
        <f>'Bootstrap'!H41</f>
        <v/>
      </c>
      <c r="D42" s="28">
        <f>B42-B41</f>
        <v/>
      </c>
      <c r="E42" s="34">
        <f>-LN(C42/C41)</f>
        <v/>
      </c>
      <c r="F42" s="52">
        <f>E42/D42</f>
        <v/>
      </c>
      <c r="G42" s="52">
        <f>(F42+F43)/2</f>
        <v/>
      </c>
      <c r="H42" s="52">
        <f>G41</f>
        <v/>
      </c>
      <c r="I42" s="34">
        <f>(G42-G41)/D42-J42*D42</f>
        <v/>
      </c>
      <c r="J42" s="34">
        <f>3*(G42-G41)/D42^2-6*(E42-G41*D42)/D42^3</f>
        <v/>
      </c>
      <c r="K42" s="52">
        <f>H42+I42*D42/2+J42*D42^2/4</f>
        <v/>
      </c>
      <c r="L42" s="53">
        <f>H42*D42+I42*D42^2/2+J42*D42^3/3-E42</f>
        <v/>
      </c>
    </row>
    <row r="43">
      <c r="A43" s="6">
        <f>'Bootstrap'!A42</f>
        <v/>
      </c>
      <c r="B43" s="28">
        <f>'Bootstrap'!C42</f>
        <v/>
      </c>
      <c r="C43" s="36">
        <f>'Bootstrap'!H42</f>
        <v/>
      </c>
      <c r="D43" s="28">
        <f>B43-B42</f>
        <v/>
      </c>
      <c r="E43" s="34">
        <f>-LN(C43/C42)</f>
        <v/>
      </c>
      <c r="F43" s="52">
        <f>E43/D43</f>
        <v/>
      </c>
      <c r="G43" s="52">
        <f>(F43+F44)/2</f>
        <v/>
      </c>
      <c r="H43" s="52">
        <f>G42</f>
        <v/>
      </c>
      <c r="I43" s="34">
        <f>(G43-G42)/D43-J43*D43</f>
        <v/>
      </c>
      <c r="J43" s="34">
        <f>3*(G43-G42)/D43^2-6*(E43-G42*D43)/D43^3</f>
        <v/>
      </c>
      <c r="K43" s="52">
        <f>H43+I43*D43/2+J43*D43^2/4</f>
        <v/>
      </c>
      <c r="L43" s="53">
        <f>H43*D43+I43*D43^2/2+J43*D43^3/3-E43</f>
        <v/>
      </c>
    </row>
    <row r="44">
      <c r="A44" s="6">
        <f>'Bootstrap'!A43</f>
        <v/>
      </c>
      <c r="B44" s="28">
        <f>'Bootstrap'!C43</f>
        <v/>
      </c>
      <c r="C44" s="36">
        <f>'Bootstrap'!H43</f>
        <v/>
      </c>
      <c r="D44" s="28">
        <f>B44-B43</f>
        <v/>
      </c>
      <c r="E44" s="34">
        <f>-LN(C44/C43)</f>
        <v/>
      </c>
      <c r="F44" s="52">
        <f>E44/D44</f>
        <v/>
      </c>
      <c r="G44" s="52">
        <f>(F44+F45)/2</f>
        <v/>
      </c>
      <c r="H44" s="52">
        <f>G43</f>
        <v/>
      </c>
      <c r="I44" s="34">
        <f>(G44-G43)/D44-J44*D44</f>
        <v/>
      </c>
      <c r="J44" s="34">
        <f>3*(G44-G43)/D44^2-6*(E44-G43*D44)/D44^3</f>
        <v/>
      </c>
      <c r="K44" s="52">
        <f>H44+I44*D44/2+J44*D44^2/4</f>
        <v/>
      </c>
      <c r="L44" s="53">
        <f>H44*D44+I44*D44^2/2+J44*D44^3/3-E44</f>
        <v/>
      </c>
    </row>
    <row r="45">
      <c r="A45" s="6">
        <f>'Bootstrap'!A44</f>
        <v/>
      </c>
      <c r="B45" s="28">
        <f>'Bootstrap'!C44</f>
        <v/>
      </c>
      <c r="C45" s="36">
        <f>'Bootstrap'!H44</f>
        <v/>
      </c>
      <c r="D45" s="28">
        <f>B45-B44</f>
        <v/>
      </c>
      <c r="E45" s="34">
        <f>-LN(C45/C44)</f>
        <v/>
      </c>
      <c r="F45" s="52">
        <f>E45/D45</f>
        <v/>
      </c>
      <c r="G45" s="52">
        <f>(F45+F46)/2</f>
        <v/>
      </c>
      <c r="H45" s="52">
        <f>G44</f>
        <v/>
      </c>
      <c r="I45" s="34">
        <f>(G45-G44)/D45-J45*D45</f>
        <v/>
      </c>
      <c r="J45" s="34">
        <f>3*(G45-G44)/D45^2-6*(E45-G44*D45)/D45^3</f>
        <v/>
      </c>
      <c r="K45" s="52">
        <f>H45+I45*D45/2+J45*D45^2/4</f>
        <v/>
      </c>
      <c r="L45" s="53">
        <f>H45*D45+I45*D45^2/2+J45*D45^3/3-E45</f>
        <v/>
      </c>
    </row>
    <row r="46">
      <c r="A46" s="6">
        <f>'Bootstrap'!A45</f>
        <v/>
      </c>
      <c r="B46" s="28">
        <f>'Bootstrap'!C45</f>
        <v/>
      </c>
      <c r="C46" s="36">
        <f>'Bootstrap'!H45</f>
        <v/>
      </c>
      <c r="D46" s="28">
        <f>B46-B45</f>
        <v/>
      </c>
      <c r="E46" s="34">
        <f>-LN(C46/C45)</f>
        <v/>
      </c>
      <c r="F46" s="52">
        <f>E46/D46</f>
        <v/>
      </c>
      <c r="G46" s="52">
        <f>(F46+F47)/2</f>
        <v/>
      </c>
      <c r="H46" s="52">
        <f>G45</f>
        <v/>
      </c>
      <c r="I46" s="34">
        <f>(G46-G45)/D46-J46*D46</f>
        <v/>
      </c>
      <c r="J46" s="34">
        <f>3*(G46-G45)/D46^2-6*(E46-G45*D46)/D46^3</f>
        <v/>
      </c>
      <c r="K46" s="52">
        <f>H46+I46*D46/2+J46*D46^2/4</f>
        <v/>
      </c>
      <c r="L46" s="53">
        <f>H46*D46+I46*D46^2/2+J46*D46^3/3-E46</f>
        <v/>
      </c>
    </row>
    <row r="47">
      <c r="A47" s="6">
        <f>'Bootstrap'!A46</f>
        <v/>
      </c>
      <c r="B47" s="28">
        <f>'Bootstrap'!C46</f>
        <v/>
      </c>
      <c r="C47" s="36">
        <f>'Bootstrap'!H46</f>
        <v/>
      </c>
      <c r="D47" s="28">
        <f>B47-B46</f>
        <v/>
      </c>
      <c r="E47" s="34">
        <f>-LN(C47/C46)</f>
        <v/>
      </c>
      <c r="F47" s="52">
        <f>E47/D47</f>
        <v/>
      </c>
      <c r="G47" s="52">
        <f>(F47+F48)/2</f>
        <v/>
      </c>
      <c r="H47" s="52">
        <f>G46</f>
        <v/>
      </c>
      <c r="I47" s="34">
        <f>(G47-G46)/D47-J47*D47</f>
        <v/>
      </c>
      <c r="J47" s="34">
        <f>3*(G47-G46)/D47^2-6*(E47-G46*D47)/D47^3</f>
        <v/>
      </c>
      <c r="K47" s="52">
        <f>H47+I47*D47/2+J47*D47^2/4</f>
        <v/>
      </c>
      <c r="L47" s="53">
        <f>H47*D47+I47*D47^2/2+J47*D47^3/3-E47</f>
        <v/>
      </c>
    </row>
    <row r="48">
      <c r="A48" s="6">
        <f>'Bootstrap'!A47</f>
        <v/>
      </c>
      <c r="B48" s="28">
        <f>'Bootstrap'!C47</f>
        <v/>
      </c>
      <c r="C48" s="36">
        <f>'Bootstrap'!H47</f>
        <v/>
      </c>
      <c r="D48" s="28">
        <f>B48-B47</f>
        <v/>
      </c>
      <c r="E48" s="34">
        <f>-LN(C48/C47)</f>
        <v/>
      </c>
      <c r="F48" s="52">
        <f>E48/D48</f>
        <v/>
      </c>
      <c r="G48" s="52">
        <f>(F48+F49)/2</f>
        <v/>
      </c>
      <c r="H48" s="52">
        <f>G47</f>
        <v/>
      </c>
      <c r="I48" s="34">
        <f>(G48-G47)/D48-J48*D48</f>
        <v/>
      </c>
      <c r="J48" s="34">
        <f>3*(G48-G47)/D48^2-6*(E48-G47*D48)/D48^3</f>
        <v/>
      </c>
      <c r="K48" s="52">
        <f>H48+I48*D48/2+J48*D48^2/4</f>
        <v/>
      </c>
      <c r="L48" s="53">
        <f>H48*D48+I48*D48^2/2+J48*D48^3/3-E48</f>
        <v/>
      </c>
    </row>
    <row r="49">
      <c r="A49" s="6">
        <f>'Bootstrap'!A48</f>
        <v/>
      </c>
      <c r="B49" s="28">
        <f>'Bootstrap'!C48</f>
        <v/>
      </c>
      <c r="C49" s="36">
        <f>'Bootstrap'!H48</f>
        <v/>
      </c>
      <c r="D49" s="28">
        <f>B49-B48</f>
        <v/>
      </c>
      <c r="E49" s="34">
        <f>-LN(C49/C48)</f>
        <v/>
      </c>
      <c r="F49" s="52">
        <f>E49/D49</f>
        <v/>
      </c>
      <c r="G49" s="52">
        <f>(F49+F50)/2</f>
        <v/>
      </c>
      <c r="H49" s="52">
        <f>G48</f>
        <v/>
      </c>
      <c r="I49" s="34">
        <f>(G49-G48)/D49-J49*D49</f>
        <v/>
      </c>
      <c r="J49" s="34">
        <f>3*(G49-G48)/D49^2-6*(E49-G48*D49)/D49^3</f>
        <v/>
      </c>
      <c r="K49" s="52">
        <f>H49+I49*D49/2+J49*D49^2/4</f>
        <v/>
      </c>
      <c r="L49" s="53">
        <f>H49*D49+I49*D49^2/2+J49*D49^3/3-E49</f>
        <v/>
      </c>
    </row>
    <row r="50">
      <c r="A50" s="6">
        <f>'Bootstrap'!A49</f>
        <v/>
      </c>
      <c r="B50" s="28">
        <f>'Bootstrap'!C49</f>
        <v/>
      </c>
      <c r="C50" s="36">
        <f>'Bootstrap'!H49</f>
        <v/>
      </c>
      <c r="D50" s="28">
        <f>B50-B49</f>
        <v/>
      </c>
      <c r="E50" s="34">
        <f>-LN(C50/C49)</f>
        <v/>
      </c>
      <c r="F50" s="52">
        <f>E50/D50</f>
        <v/>
      </c>
      <c r="G50" s="52">
        <f>(F50+F51)/2</f>
        <v/>
      </c>
      <c r="H50" s="52">
        <f>G49</f>
        <v/>
      </c>
      <c r="I50" s="34">
        <f>(G50-G49)/D50-J50*D50</f>
        <v/>
      </c>
      <c r="J50" s="34">
        <f>3*(G50-G49)/D50^2-6*(E50-G49*D50)/D50^3</f>
        <v/>
      </c>
      <c r="K50" s="52">
        <f>H50+I50*D50/2+J50*D50^2/4</f>
        <v/>
      </c>
      <c r="L50" s="53">
        <f>H50*D50+I50*D50^2/2+J50*D50^3/3-E50</f>
        <v/>
      </c>
    </row>
    <row r="51">
      <c r="A51" s="6">
        <f>'Bootstrap'!A50</f>
        <v/>
      </c>
      <c r="B51" s="28">
        <f>'Bootstrap'!C50</f>
        <v/>
      </c>
      <c r="C51" s="36">
        <f>'Bootstrap'!H50</f>
        <v/>
      </c>
      <c r="D51" s="28">
        <f>B51-B50</f>
        <v/>
      </c>
      <c r="E51" s="34">
        <f>-LN(C51/C50)</f>
        <v/>
      </c>
      <c r="F51" s="52">
        <f>E51/D51</f>
        <v/>
      </c>
      <c r="G51" s="52">
        <f>(F51+F52)/2</f>
        <v/>
      </c>
      <c r="H51" s="52">
        <f>G50</f>
        <v/>
      </c>
      <c r="I51" s="34">
        <f>(G51-G50)/D51-J51*D51</f>
        <v/>
      </c>
      <c r="J51" s="34">
        <f>3*(G51-G50)/D51^2-6*(E51-G50*D51)/D51^3</f>
        <v/>
      </c>
      <c r="K51" s="52">
        <f>H51+I51*D51/2+J51*D51^2/4</f>
        <v/>
      </c>
      <c r="L51" s="53">
        <f>H51*D51+I51*D51^2/2+J51*D51^3/3-E51</f>
        <v/>
      </c>
    </row>
    <row r="52">
      <c r="A52" s="6">
        <f>'Bootstrap'!A51</f>
        <v/>
      </c>
      <c r="B52" s="28">
        <f>'Bootstrap'!C51</f>
        <v/>
      </c>
      <c r="C52" s="36">
        <f>'Bootstrap'!H51</f>
        <v/>
      </c>
      <c r="D52" s="28">
        <f>B52-B51</f>
        <v/>
      </c>
      <c r="E52" s="34">
        <f>-LN(C52/C51)</f>
        <v/>
      </c>
      <c r="F52" s="52">
        <f>E52/D52</f>
        <v/>
      </c>
      <c r="G52" s="52">
        <f>(F52+F53)/2</f>
        <v/>
      </c>
      <c r="H52" s="52">
        <f>G51</f>
        <v/>
      </c>
      <c r="I52" s="34">
        <f>(G52-G51)/D52-J52*D52</f>
        <v/>
      </c>
      <c r="J52" s="34">
        <f>3*(G52-G51)/D52^2-6*(E52-G51*D52)/D52^3</f>
        <v/>
      </c>
      <c r="K52" s="52">
        <f>H52+I52*D52/2+J52*D52^2/4</f>
        <v/>
      </c>
      <c r="L52" s="53">
        <f>H52*D52+I52*D52^2/2+J52*D52^3/3-E52</f>
        <v/>
      </c>
    </row>
    <row r="53">
      <c r="A53" s="6">
        <f>'Bootstrap'!A52</f>
        <v/>
      </c>
      <c r="B53" s="28">
        <f>'Bootstrap'!C52</f>
        <v/>
      </c>
      <c r="C53" s="36">
        <f>'Bootstrap'!H52</f>
        <v/>
      </c>
      <c r="D53" s="28">
        <f>B53-B52</f>
        <v/>
      </c>
      <c r="E53" s="34">
        <f>-LN(C53/C52)</f>
        <v/>
      </c>
      <c r="F53" s="52">
        <f>E53/D53</f>
        <v/>
      </c>
      <c r="G53" s="52">
        <f>(F53+F54)/2</f>
        <v/>
      </c>
      <c r="H53" s="52">
        <f>G52</f>
        <v/>
      </c>
      <c r="I53" s="34">
        <f>(G53-G52)/D53-J53*D53</f>
        <v/>
      </c>
      <c r="J53" s="34">
        <f>3*(G53-G52)/D53^2-6*(E53-G52*D53)/D53^3</f>
        <v/>
      </c>
      <c r="K53" s="52">
        <f>H53+I53*D53/2+J53*D53^2/4</f>
        <v/>
      </c>
      <c r="L53" s="53">
        <f>H53*D53+I53*D53^2/2+J53*D53^3/3-E53</f>
        <v/>
      </c>
    </row>
    <row r="54">
      <c r="A54" s="6">
        <f>'Bootstrap'!A53</f>
        <v/>
      </c>
      <c r="B54" s="28">
        <f>'Bootstrap'!C53</f>
        <v/>
      </c>
      <c r="C54" s="36">
        <f>'Bootstrap'!H53</f>
        <v/>
      </c>
      <c r="D54" s="28">
        <f>B54-B53</f>
        <v/>
      </c>
      <c r="E54" s="34">
        <f>-LN(C54/C53)</f>
        <v/>
      </c>
      <c r="F54" s="52">
        <f>E54/D54</f>
        <v/>
      </c>
      <c r="G54" s="52">
        <f>(F54+F55)/2</f>
        <v/>
      </c>
      <c r="H54" s="52">
        <f>G53</f>
        <v/>
      </c>
      <c r="I54" s="34">
        <f>(G54-G53)/D54-J54*D54</f>
        <v/>
      </c>
      <c r="J54" s="34">
        <f>3*(G54-G53)/D54^2-6*(E54-G53*D54)/D54^3</f>
        <v/>
      </c>
      <c r="K54" s="52">
        <f>H54+I54*D54/2+J54*D54^2/4</f>
        <v/>
      </c>
      <c r="L54" s="53">
        <f>H54*D54+I54*D54^2/2+J54*D54^3/3-E54</f>
        <v/>
      </c>
    </row>
    <row r="55">
      <c r="A55" s="6">
        <f>'Bootstrap'!A54</f>
        <v/>
      </c>
      <c r="B55" s="28">
        <f>'Bootstrap'!C54</f>
        <v/>
      </c>
      <c r="C55" s="36">
        <f>'Bootstrap'!H54</f>
        <v/>
      </c>
      <c r="D55" s="28">
        <f>B55-B54</f>
        <v/>
      </c>
      <c r="E55" s="34">
        <f>-LN(C55/C54)</f>
        <v/>
      </c>
      <c r="F55" s="52">
        <f>E55/D55</f>
        <v/>
      </c>
      <c r="G55" s="52">
        <f>(F55+F56)/2</f>
        <v/>
      </c>
      <c r="H55" s="52">
        <f>G54</f>
        <v/>
      </c>
      <c r="I55" s="34">
        <f>(G55-G54)/D55-J55*D55</f>
        <v/>
      </c>
      <c r="J55" s="34">
        <f>3*(G55-G54)/D55^2-6*(E55-G54*D55)/D55^3</f>
        <v/>
      </c>
      <c r="K55" s="52">
        <f>H55+I55*D55/2+J55*D55^2/4</f>
        <v/>
      </c>
      <c r="L55" s="53">
        <f>H55*D55+I55*D55^2/2+J55*D55^3/3-E55</f>
        <v/>
      </c>
    </row>
    <row r="56">
      <c r="A56" s="6">
        <f>'Bootstrap'!A55</f>
        <v/>
      </c>
      <c r="B56" s="28">
        <f>'Bootstrap'!C55</f>
        <v/>
      </c>
      <c r="C56" s="36">
        <f>'Bootstrap'!H55</f>
        <v/>
      </c>
      <c r="D56" s="28">
        <f>B56-B55</f>
        <v/>
      </c>
      <c r="E56" s="34">
        <f>-LN(C56/C55)</f>
        <v/>
      </c>
      <c r="F56" s="52">
        <f>E56/D56</f>
        <v/>
      </c>
      <c r="G56" s="52">
        <f>(F56+F57)/2</f>
        <v/>
      </c>
      <c r="H56" s="52">
        <f>G55</f>
        <v/>
      </c>
      <c r="I56" s="34">
        <f>(G56-G55)/D56-J56*D56</f>
        <v/>
      </c>
      <c r="J56" s="34">
        <f>3*(G56-G55)/D56^2-6*(E56-G55*D56)/D56^3</f>
        <v/>
      </c>
      <c r="K56" s="52">
        <f>H56+I56*D56/2+J56*D56^2/4</f>
        <v/>
      </c>
      <c r="L56" s="53">
        <f>H56*D56+I56*D56^2/2+J56*D56^3/3-E56</f>
        <v/>
      </c>
    </row>
    <row r="57">
      <c r="A57" s="6">
        <f>'Bootstrap'!A56</f>
        <v/>
      </c>
      <c r="B57" s="28">
        <f>'Bootstrap'!C56</f>
        <v/>
      </c>
      <c r="C57" s="36">
        <f>'Bootstrap'!H56</f>
        <v/>
      </c>
      <c r="D57" s="28">
        <f>B57-B56</f>
        <v/>
      </c>
      <c r="E57" s="34">
        <f>-LN(C57/C56)</f>
        <v/>
      </c>
      <c r="F57" s="52">
        <f>E57/D57</f>
        <v/>
      </c>
      <c r="G57" s="52">
        <f>(F57+F58)/2</f>
        <v/>
      </c>
      <c r="H57" s="52">
        <f>G56</f>
        <v/>
      </c>
      <c r="I57" s="34">
        <f>(G57-G56)/D57-J57*D57</f>
        <v/>
      </c>
      <c r="J57" s="34">
        <f>3*(G57-G56)/D57^2-6*(E57-G56*D57)/D57^3</f>
        <v/>
      </c>
      <c r="K57" s="52">
        <f>H57+I57*D57/2+J57*D57^2/4</f>
        <v/>
      </c>
      <c r="L57" s="53">
        <f>H57*D57+I57*D57^2/2+J57*D57^3/3-E57</f>
        <v/>
      </c>
    </row>
    <row r="58">
      <c r="A58" s="6">
        <f>'Bootstrap'!A57</f>
        <v/>
      </c>
      <c r="B58" s="28">
        <f>'Bootstrap'!C57</f>
        <v/>
      </c>
      <c r="C58" s="36">
        <f>'Bootstrap'!H57</f>
        <v/>
      </c>
      <c r="D58" s="28">
        <f>B58-B57</f>
        <v/>
      </c>
      <c r="E58" s="34">
        <f>-LN(C58/C57)</f>
        <v/>
      </c>
      <c r="F58" s="52">
        <f>E58/D58</f>
        <v/>
      </c>
      <c r="G58" s="52">
        <f>(F58+F59)/2</f>
        <v/>
      </c>
      <c r="H58" s="52">
        <f>G57</f>
        <v/>
      </c>
      <c r="I58" s="34">
        <f>(G58-G57)/D58-J58*D58</f>
        <v/>
      </c>
      <c r="J58" s="34">
        <f>3*(G58-G57)/D58^2-6*(E58-G57*D58)/D58^3</f>
        <v/>
      </c>
      <c r="K58" s="52">
        <f>H58+I58*D58/2+J58*D58^2/4</f>
        <v/>
      </c>
      <c r="L58" s="53">
        <f>H58*D58+I58*D58^2/2+J58*D58^3/3-E58</f>
        <v/>
      </c>
    </row>
    <row r="59">
      <c r="A59" s="6">
        <f>'Bootstrap'!A58</f>
        <v/>
      </c>
      <c r="B59" s="28">
        <f>'Bootstrap'!C58</f>
        <v/>
      </c>
      <c r="C59" s="36">
        <f>'Bootstrap'!H58</f>
        <v/>
      </c>
      <c r="D59" s="28">
        <f>B59-B58</f>
        <v/>
      </c>
      <c r="E59" s="34">
        <f>-LN(C59/C58)</f>
        <v/>
      </c>
      <c r="F59" s="52">
        <f>E59/D59</f>
        <v/>
      </c>
      <c r="G59" s="52">
        <f>(F59+F60)/2</f>
        <v/>
      </c>
      <c r="H59" s="52">
        <f>G58</f>
        <v/>
      </c>
      <c r="I59" s="34">
        <f>(G59-G58)/D59-J59*D59</f>
        <v/>
      </c>
      <c r="J59" s="34">
        <f>3*(G59-G58)/D59^2-6*(E59-G58*D59)/D59^3</f>
        <v/>
      </c>
      <c r="K59" s="52">
        <f>H59+I59*D59/2+J59*D59^2/4</f>
        <v/>
      </c>
      <c r="L59" s="53">
        <f>H59*D59+I59*D59^2/2+J59*D59^3/3-E59</f>
        <v/>
      </c>
    </row>
    <row r="60">
      <c r="A60" s="6">
        <f>'Bootstrap'!A59</f>
        <v/>
      </c>
      <c r="B60" s="28">
        <f>'Bootstrap'!C59</f>
        <v/>
      </c>
      <c r="C60" s="36">
        <f>'Bootstrap'!H59</f>
        <v/>
      </c>
      <c r="D60" s="28">
        <f>B60-B59</f>
        <v/>
      </c>
      <c r="E60" s="34">
        <f>-LN(C60/C59)</f>
        <v/>
      </c>
      <c r="F60" s="52">
        <f>E60/D60</f>
        <v/>
      </c>
      <c r="G60" s="52">
        <f>(F60+F61)/2</f>
        <v/>
      </c>
      <c r="H60" s="52">
        <f>G59</f>
        <v/>
      </c>
      <c r="I60" s="34">
        <f>(G60-G59)/D60-J60*D60</f>
        <v/>
      </c>
      <c r="J60" s="34">
        <f>3*(G60-G59)/D60^2-6*(E60-G59*D60)/D60^3</f>
        <v/>
      </c>
      <c r="K60" s="52">
        <f>H60+I60*D60/2+J60*D60^2/4</f>
        <v/>
      </c>
      <c r="L60" s="53">
        <f>H60*D60+I60*D60^2/2+J60*D60^3/3-E60</f>
        <v/>
      </c>
    </row>
    <row r="61">
      <c r="A61" s="6">
        <f>'Bootstrap'!A60</f>
        <v/>
      </c>
      <c r="B61" s="28">
        <f>'Bootstrap'!C60</f>
        <v/>
      </c>
      <c r="C61" s="36">
        <f>'Bootstrap'!H60</f>
        <v/>
      </c>
      <c r="D61" s="28">
        <f>B61-B60</f>
        <v/>
      </c>
      <c r="E61" s="34">
        <f>-LN(C61/C60)</f>
        <v/>
      </c>
      <c r="F61" s="52">
        <f>E61/D61</f>
        <v/>
      </c>
      <c r="G61" s="52">
        <f>(F61+F62)/2</f>
        <v/>
      </c>
      <c r="H61" s="52">
        <f>G60</f>
        <v/>
      </c>
      <c r="I61" s="34">
        <f>(G61-G60)/D61-J61*D61</f>
        <v/>
      </c>
      <c r="J61" s="34">
        <f>3*(G61-G60)/D61^2-6*(E61-G60*D61)/D61^3</f>
        <v/>
      </c>
      <c r="K61" s="52">
        <f>H61+I61*D61/2+J61*D61^2/4</f>
        <v/>
      </c>
      <c r="L61" s="53">
        <f>H61*D61+I61*D61^2/2+J61*D61^3/3-E61</f>
        <v/>
      </c>
    </row>
    <row r="62">
      <c r="A62" s="6">
        <f>'Bootstrap'!A61</f>
        <v/>
      </c>
      <c r="B62" s="28">
        <f>'Bootstrap'!C61</f>
        <v/>
      </c>
      <c r="C62" s="36">
        <f>'Bootstrap'!H61</f>
        <v/>
      </c>
      <c r="D62" s="28">
        <f>B62-B61</f>
        <v/>
      </c>
      <c r="E62" s="34">
        <f>-LN(C62/C61)</f>
        <v/>
      </c>
      <c r="F62" s="52">
        <f>E62/D62</f>
        <v/>
      </c>
      <c r="G62" s="52">
        <f>(F62+F63)/2</f>
        <v/>
      </c>
      <c r="H62" s="52">
        <f>G61</f>
        <v/>
      </c>
      <c r="I62" s="34">
        <f>(G62-G61)/D62-J62*D62</f>
        <v/>
      </c>
      <c r="J62" s="34">
        <f>3*(G62-G61)/D62^2-6*(E62-G61*D62)/D62^3</f>
        <v/>
      </c>
      <c r="K62" s="52">
        <f>H62+I62*D62/2+J62*D62^2/4</f>
        <v/>
      </c>
      <c r="L62" s="53">
        <f>H62*D62+I62*D62^2/2+J62*D62^3/3-E62</f>
        <v/>
      </c>
    </row>
    <row r="63">
      <c r="A63" s="6">
        <f>'Bootstrap'!A62</f>
        <v/>
      </c>
      <c r="B63" s="28">
        <f>'Bootstrap'!C62</f>
        <v/>
      </c>
      <c r="C63" s="36">
        <f>'Bootstrap'!H62</f>
        <v/>
      </c>
      <c r="D63" s="28">
        <f>B63-B62</f>
        <v/>
      </c>
      <c r="E63" s="34">
        <f>-LN(C63/C62)</f>
        <v/>
      </c>
      <c r="F63" s="52">
        <f>E63/D63</f>
        <v/>
      </c>
      <c r="G63" s="52">
        <f>(F63+F64)/2</f>
        <v/>
      </c>
      <c r="H63" s="52">
        <f>G62</f>
        <v/>
      </c>
      <c r="I63" s="34">
        <f>(G63-G62)/D63-J63*D63</f>
        <v/>
      </c>
      <c r="J63" s="34">
        <f>3*(G63-G62)/D63^2-6*(E63-G62*D63)/D63^3</f>
        <v/>
      </c>
      <c r="K63" s="52">
        <f>H63+I63*D63/2+J63*D63^2/4</f>
        <v/>
      </c>
      <c r="L63" s="53">
        <f>H63*D63+I63*D63^2/2+J63*D63^3/3-E63</f>
        <v/>
      </c>
    </row>
    <row r="64">
      <c r="A64" s="6">
        <f>'Bootstrap'!A63</f>
        <v/>
      </c>
      <c r="B64" s="28">
        <f>'Bootstrap'!C63</f>
        <v/>
      </c>
      <c r="C64" s="36">
        <f>'Bootstrap'!H63</f>
        <v/>
      </c>
      <c r="D64" s="28">
        <f>B64-B63</f>
        <v/>
      </c>
      <c r="E64" s="34">
        <f>-LN(C64/C63)</f>
        <v/>
      </c>
      <c r="F64" s="52">
        <f>E64/D64</f>
        <v/>
      </c>
      <c r="G64" s="52">
        <f>(F64+F65)/2</f>
        <v/>
      </c>
      <c r="H64" s="52">
        <f>G63</f>
        <v/>
      </c>
      <c r="I64" s="34">
        <f>(G64-G63)/D64-J64*D64</f>
        <v/>
      </c>
      <c r="J64" s="34">
        <f>3*(G64-G63)/D64^2-6*(E64-G63*D64)/D64^3</f>
        <v/>
      </c>
      <c r="K64" s="52">
        <f>H64+I64*D64/2+J64*D64^2/4</f>
        <v/>
      </c>
      <c r="L64" s="53">
        <f>H64*D64+I64*D64^2/2+J64*D64^3/3-E64</f>
        <v/>
      </c>
    </row>
    <row r="65">
      <c r="A65" s="6">
        <f>'Bootstrap'!A64</f>
        <v/>
      </c>
      <c r="B65" s="28">
        <f>'Bootstrap'!C64</f>
        <v/>
      </c>
      <c r="C65" s="36">
        <f>'Bootstrap'!H64</f>
        <v/>
      </c>
      <c r="D65" s="28">
        <f>B65-B64</f>
        <v/>
      </c>
      <c r="E65" s="34">
        <f>-LN(C65/C64)</f>
        <v/>
      </c>
      <c r="F65" s="52">
        <f>E65/D65</f>
        <v/>
      </c>
      <c r="G65" s="52">
        <f>(F65+F66)/2</f>
        <v/>
      </c>
      <c r="H65" s="52">
        <f>G64</f>
        <v/>
      </c>
      <c r="I65" s="34">
        <f>(G65-G64)/D65-J65*D65</f>
        <v/>
      </c>
      <c r="J65" s="34">
        <f>3*(G65-G64)/D65^2-6*(E65-G64*D65)/D65^3</f>
        <v/>
      </c>
      <c r="K65" s="52">
        <f>H65+I65*D65/2+J65*D65^2/4</f>
        <v/>
      </c>
      <c r="L65" s="53">
        <f>H65*D65+I65*D65^2/2+J65*D65^3/3-E65</f>
        <v/>
      </c>
    </row>
    <row r="66">
      <c r="A66" s="6">
        <f>'Bootstrap'!A65</f>
        <v/>
      </c>
      <c r="B66" s="28">
        <f>'Bootstrap'!C65</f>
        <v/>
      </c>
      <c r="C66" s="36">
        <f>'Bootstrap'!H65</f>
        <v/>
      </c>
      <c r="D66" s="28">
        <f>B66-B65</f>
        <v/>
      </c>
      <c r="E66" s="34">
        <f>-LN(C66/C65)</f>
        <v/>
      </c>
      <c r="F66" s="52">
        <f>E66/D66</f>
        <v/>
      </c>
      <c r="G66" s="52">
        <f>(F66+F67)/2</f>
        <v/>
      </c>
      <c r="H66" s="52">
        <f>G65</f>
        <v/>
      </c>
      <c r="I66" s="34">
        <f>(G66-G65)/D66-J66*D66</f>
        <v/>
      </c>
      <c r="J66" s="34">
        <f>3*(G66-G65)/D66^2-6*(E66-G65*D66)/D66^3</f>
        <v/>
      </c>
      <c r="K66" s="52">
        <f>H66+I66*D66/2+J66*D66^2/4</f>
        <v/>
      </c>
      <c r="L66" s="53">
        <f>H66*D66+I66*D66^2/2+J66*D66^3/3-E66</f>
        <v/>
      </c>
    </row>
    <row r="67">
      <c r="A67" s="6">
        <f>'Bootstrap'!A66</f>
        <v/>
      </c>
      <c r="B67" s="28">
        <f>'Bootstrap'!C66</f>
        <v/>
      </c>
      <c r="C67" s="36">
        <f>'Bootstrap'!H66</f>
        <v/>
      </c>
      <c r="D67" s="28">
        <f>B67-B66</f>
        <v/>
      </c>
      <c r="E67" s="34">
        <f>-LN(C67/C66)</f>
        <v/>
      </c>
      <c r="F67" s="52">
        <f>E67/D67</f>
        <v/>
      </c>
      <c r="G67" s="52">
        <f>(F67+F68)/2</f>
        <v/>
      </c>
      <c r="H67" s="52">
        <f>G66</f>
        <v/>
      </c>
      <c r="I67" s="34">
        <f>(G67-G66)/D67-J67*D67</f>
        <v/>
      </c>
      <c r="J67" s="34">
        <f>3*(G67-G66)/D67^2-6*(E67-G66*D67)/D67^3</f>
        <v/>
      </c>
      <c r="K67" s="52">
        <f>H67+I67*D67/2+J67*D67^2/4</f>
        <v/>
      </c>
      <c r="L67" s="53">
        <f>H67*D67+I67*D67^2/2+J67*D67^3/3-E67</f>
        <v/>
      </c>
    </row>
    <row r="68">
      <c r="A68" s="6">
        <f>'Bootstrap'!A67</f>
        <v/>
      </c>
      <c r="B68" s="28">
        <f>'Bootstrap'!C67</f>
        <v/>
      </c>
      <c r="C68" s="36">
        <f>'Bootstrap'!H67</f>
        <v/>
      </c>
      <c r="D68" s="28">
        <f>B68-B67</f>
        <v/>
      </c>
      <c r="E68" s="34">
        <f>-LN(C68/C67)</f>
        <v/>
      </c>
      <c r="F68" s="52">
        <f>E68/D68</f>
        <v/>
      </c>
      <c r="G68" s="52">
        <f>(F68+F69)/2</f>
        <v/>
      </c>
      <c r="H68" s="52">
        <f>G67</f>
        <v/>
      </c>
      <c r="I68" s="34">
        <f>(G68-G67)/D68-J68*D68</f>
        <v/>
      </c>
      <c r="J68" s="34">
        <f>3*(G68-G67)/D68^2-6*(E68-G67*D68)/D68^3</f>
        <v/>
      </c>
      <c r="K68" s="52">
        <f>H68+I68*D68/2+J68*D68^2/4</f>
        <v/>
      </c>
      <c r="L68" s="53">
        <f>H68*D68+I68*D68^2/2+J68*D68^3/3-E68</f>
        <v/>
      </c>
    </row>
    <row r="69">
      <c r="A69" s="6">
        <f>'Bootstrap'!A68</f>
        <v/>
      </c>
      <c r="B69" s="28">
        <f>'Bootstrap'!C68</f>
        <v/>
      </c>
      <c r="C69" s="36">
        <f>'Bootstrap'!H68</f>
        <v/>
      </c>
      <c r="D69" s="28">
        <f>B69-B68</f>
        <v/>
      </c>
      <c r="E69" s="34">
        <f>-LN(C69/C68)</f>
        <v/>
      </c>
      <c r="F69" s="52">
        <f>E69/D69</f>
        <v/>
      </c>
      <c r="G69" s="52">
        <f>(F69+F70)/2</f>
        <v/>
      </c>
      <c r="H69" s="52">
        <f>G68</f>
        <v/>
      </c>
      <c r="I69" s="34">
        <f>(G69-G68)/D69-J69*D69</f>
        <v/>
      </c>
      <c r="J69" s="34">
        <f>3*(G69-G68)/D69^2-6*(E69-G68*D69)/D69^3</f>
        <v/>
      </c>
      <c r="K69" s="52">
        <f>H69+I69*D69/2+J69*D69^2/4</f>
        <v/>
      </c>
      <c r="L69" s="53">
        <f>H69*D69+I69*D69^2/2+J69*D69^3/3-E69</f>
        <v/>
      </c>
    </row>
    <row r="70">
      <c r="A70" s="6">
        <f>'Bootstrap'!A69</f>
        <v/>
      </c>
      <c r="B70" s="28">
        <f>'Bootstrap'!C69</f>
        <v/>
      </c>
      <c r="C70" s="36">
        <f>'Bootstrap'!H69</f>
        <v/>
      </c>
      <c r="D70" s="28">
        <f>B70-B69</f>
        <v/>
      </c>
      <c r="E70" s="34">
        <f>-LN(C70/C69)</f>
        <v/>
      </c>
      <c r="F70" s="52">
        <f>E70/D70</f>
        <v/>
      </c>
      <c r="G70" s="52">
        <f>(F70+F71)/2</f>
        <v/>
      </c>
      <c r="H70" s="52">
        <f>G69</f>
        <v/>
      </c>
      <c r="I70" s="34">
        <f>(G70-G69)/D70-J70*D70</f>
        <v/>
      </c>
      <c r="J70" s="34">
        <f>3*(G70-G69)/D70^2-6*(E70-G69*D70)/D70^3</f>
        <v/>
      </c>
      <c r="K70" s="52">
        <f>H70+I70*D70/2+J70*D70^2/4</f>
        <v/>
      </c>
      <c r="L70" s="53">
        <f>H70*D70+I70*D70^2/2+J70*D70^3/3-E70</f>
        <v/>
      </c>
    </row>
    <row r="71">
      <c r="A71" s="6">
        <f>'Bootstrap'!A70</f>
        <v/>
      </c>
      <c r="B71" s="28">
        <f>'Bootstrap'!C70</f>
        <v/>
      </c>
      <c r="C71" s="36">
        <f>'Bootstrap'!H70</f>
        <v/>
      </c>
      <c r="D71" s="28">
        <f>B71-B70</f>
        <v/>
      </c>
      <c r="E71" s="34">
        <f>-LN(C71/C70)</f>
        <v/>
      </c>
      <c r="F71" s="52">
        <f>E71/D71</f>
        <v/>
      </c>
      <c r="G71" s="52">
        <f>(F71+F72)/2</f>
        <v/>
      </c>
      <c r="H71" s="52">
        <f>G70</f>
        <v/>
      </c>
      <c r="I71" s="34">
        <f>(G71-G70)/D71-J71*D71</f>
        <v/>
      </c>
      <c r="J71" s="34">
        <f>3*(G71-G70)/D71^2-6*(E71-G70*D71)/D71^3</f>
        <v/>
      </c>
      <c r="K71" s="52">
        <f>H71+I71*D71/2+J71*D71^2/4</f>
        <v/>
      </c>
      <c r="L71" s="53">
        <f>H71*D71+I71*D71^2/2+J71*D71^3/3-E71</f>
        <v/>
      </c>
    </row>
    <row r="72">
      <c r="A72" s="6">
        <f>'Bootstrap'!A71</f>
        <v/>
      </c>
      <c r="B72" s="28">
        <f>'Bootstrap'!C71</f>
        <v/>
      </c>
      <c r="C72" s="36">
        <f>'Bootstrap'!H71</f>
        <v/>
      </c>
      <c r="D72" s="28">
        <f>B72-B71</f>
        <v/>
      </c>
      <c r="E72" s="34">
        <f>-LN(C72/C71)</f>
        <v/>
      </c>
      <c r="F72" s="52">
        <f>E72/D72</f>
        <v/>
      </c>
      <c r="G72" s="52">
        <f>(F72+F73)/2</f>
        <v/>
      </c>
      <c r="H72" s="52">
        <f>G71</f>
        <v/>
      </c>
      <c r="I72" s="34">
        <f>(G72-G71)/D72-J72*D72</f>
        <v/>
      </c>
      <c r="J72" s="34">
        <f>3*(G72-G71)/D72^2-6*(E72-G71*D72)/D72^3</f>
        <v/>
      </c>
      <c r="K72" s="52">
        <f>H72+I72*D72/2+J72*D72^2/4</f>
        <v/>
      </c>
      <c r="L72" s="53">
        <f>H72*D72+I72*D72^2/2+J72*D72^3/3-E72</f>
        <v/>
      </c>
    </row>
    <row r="73">
      <c r="A73" s="6">
        <f>'Bootstrap'!A72</f>
        <v/>
      </c>
      <c r="B73" s="28">
        <f>'Bootstrap'!C72</f>
        <v/>
      </c>
      <c r="C73" s="36">
        <f>'Bootstrap'!H72</f>
        <v/>
      </c>
      <c r="D73" s="28">
        <f>B73-B72</f>
        <v/>
      </c>
      <c r="E73" s="34">
        <f>-LN(C73/C72)</f>
        <v/>
      </c>
      <c r="F73" s="52">
        <f>E73/D73</f>
        <v/>
      </c>
      <c r="G73" s="52">
        <f>F73</f>
        <v/>
      </c>
      <c r="H73" s="52">
        <f>G72</f>
        <v/>
      </c>
      <c r="I73" s="34">
        <f>(G73-G72)/D73-J73*D73</f>
        <v/>
      </c>
      <c r="J73" s="34">
        <f>3*(G73-G72)/D73^2-6*(E73-G72*D73)/D73^3</f>
        <v/>
      </c>
      <c r="K73" s="52">
        <f>H73+I73*D73/2+J73*D73^2/4</f>
        <v/>
      </c>
      <c r="L73" s="53">
        <f>H73*D73+I73*D73^2/2+J73*D73^3/3-E73</f>
        <v/>
      </c>
    </row>
  </sheetData>
  <mergeCells count="1">
    <mergeCell ref="A4:L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7D32"/>
    <outlinePr summaryBelow="1" summaryRight="1"/>
    <pageSetUpPr/>
  </sheetPr>
  <dimension ref="A1:L73"/>
  <sheetViews>
    <sheetView showGridLines="0"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3" customWidth="1" min="4" max="4"/>
    <col width="13" customWidth="1" min="5" max="5"/>
    <col width="11" customWidth="1" min="6" max="6"/>
    <col width="14" customWidth="1" min="7" max="7"/>
    <col width="12" customWidth="1" min="8" max="8"/>
    <col width="13" customWidth="1" min="11" max="11"/>
    <col width="14" customWidth="1" min="12" max="12"/>
  </cols>
  <sheetData>
    <row r="1">
      <c r="A1" s="1" t="inlineStr">
        <is>
          <t>Curve_Interface</t>
        </is>
      </c>
    </row>
    <row r="2">
      <c r="A2" s="2" t="inlineStr">
        <is>
          <t>Shared discounting D(0,t): interpolates the SOFR Bootstrap curve to ANY date (piecewise-flat forward). One function used by both Swap_Pricer and the CDS module.</t>
        </is>
      </c>
    </row>
    <row r="4" ht="66" customHeight="1">
      <c r="A4" s="9" t="inlineStr">
        <is>
          <t>Piecewise-flat instantaneous-forward interpolation — the SOFR curve's own baseline method. For t in (T_prev, T_next]: f = −ln(D_next/D_prev)/(T_next−T_prev), then D(0,t) = D_prev·exp(−f·(t−T_prev)). The demo rows are the STANDARD quarterly CDS dates (20 Mar/Jun/Sep/Dec) out to 10Y — proving the curve returns a discount factor on every CDS payment date even though those dates don't coincide with the SOFR pillars. A CDS schedule just references this same formula, so any change to fixings/futures/OIS/interpolation flows straight through. Curve grid (spot + Bootstrap pillars) is in cols K:L.</t>
        </is>
      </c>
    </row>
    <row r="5"/>
    <row r="6">
      <c r="K6" s="13" t="inlineStr">
        <is>
          <t>Curve grid (from Bootstrap)</t>
        </is>
      </c>
    </row>
    <row r="7">
      <c r="A7" s="13" t="inlineStr">
        <is>
          <t>Valuation:</t>
        </is>
      </c>
      <c r="B7" s="47">
        <f>VAL_DATE</f>
        <v/>
      </c>
      <c r="C7" s="13" t="inlineStr">
        <is>
          <t>Spot:</t>
        </is>
      </c>
      <c r="D7" s="47">
        <f>Bootstrap!$B$4</f>
        <v/>
      </c>
      <c r="E7" s="13" t="inlineStr">
        <is>
          <t>1st CDS date:</t>
        </is>
      </c>
      <c r="F7" s="47">
        <f>IF(DATE(YEAR(VAL_DATE),CEILING(MONTH(VAL_DATE)/3,1)*3,20)&gt;=VAL_DATE,DATE(YEAR(VAL_DATE),CEILING(MONTH(VAL_DATE)/3,1)*3,20),EDATE(DATE(YEAR(VAL_DATE),CEILING(MONTH(VAL_DATE)/3,1)*3,20),3))</f>
        <v/>
      </c>
      <c r="I7" s="67" t="inlineStr">
        <is>
          <t>Interpolation</t>
        </is>
      </c>
      <c r="J7" s="68" t="inlineStr">
        <is>
          <t>Step-function forward (flat fwd)</t>
        </is>
      </c>
      <c r="K7" s="20" t="inlineStr">
        <is>
          <t>Date</t>
        </is>
      </c>
      <c r="L7" s="20" t="inlineStr">
        <is>
          <t>DF</t>
        </is>
      </c>
    </row>
    <row r="8">
      <c r="I8" s="67" t="inlineStr">
        <is>
          <t>VERIFIED default</t>
        </is>
      </c>
      <c r="J8" s="66" t="inlineStr">
        <is>
          <t>Step-function forward reproduces S490 (confirmed on screen: Step Forward (Cont)). Piecewise Linear (Simple) is 48x worse here. Only switch if the screen says so.</t>
        </is>
      </c>
      <c r="K8" s="86">
        <f>VAL_DATE</f>
        <v/>
      </c>
      <c r="L8" s="76" t="n">
        <v>1</v>
      </c>
    </row>
    <row r="9" ht="30" customHeight="1">
      <c r="A9" s="140" t="inlineStr">
        <is>
          <t>Coupon #</t>
        </is>
      </c>
      <c r="B9" s="140" t="inlineStr">
        <is>
          <t>Date</t>
        </is>
      </c>
      <c r="C9" s="140" t="inlineStr">
        <is>
          <t>Time from val (yrs)</t>
        </is>
      </c>
      <c r="D9" s="140" t="inlineStr">
        <is>
          <t>Prev SOFR pillar</t>
        </is>
      </c>
      <c r="E9" s="140" t="inlineStr">
        <is>
          <t>Next SOFR pillar</t>
        </is>
      </c>
      <c r="F9" s="140" t="inlineStr">
        <is>
          <t>Segment fwd (%)</t>
        </is>
      </c>
      <c r="G9" s="140" t="inlineStr">
        <is>
          <t>Interp DF  D(0,t)</t>
        </is>
      </c>
      <c r="H9" s="140" t="inlineStr">
        <is>
          <t>Interp zero (%)</t>
        </is>
      </c>
      <c r="K9" s="143">
        <f>Bootstrap!B8</f>
        <v/>
      </c>
      <c r="L9" s="144">
        <f>Bootstrap!H8</f>
        <v/>
      </c>
    </row>
    <row r="10">
      <c r="A10" s="43" t="n">
        <v>1</v>
      </c>
      <c r="B10" s="18">
        <f>EDATE($F$7,3*0)</f>
        <v/>
      </c>
      <c r="C10" s="34">
        <f>(B10-VAL_DATE)/365</f>
        <v/>
      </c>
      <c r="D10" s="18">
        <f>INDEX($K$8:$K$73,MATCH(B10,$K$8:$K$73,1))</f>
        <v/>
      </c>
      <c r="E10" s="18">
        <f>INDEX($K$8:$K$73,MATCH(B10,$K$8:$K$73,1)+1)</f>
        <v/>
      </c>
      <c r="F10" s="17">
        <f>-LN(INDEX($L$8:$L$73,MATCH(B10,$K$8:$K$73,1)+1)/INDEX($L$8:$L$73,MATCH(B10,$K$8:$K$73,1)))/((E10-D10)/365)*100</f>
        <v/>
      </c>
      <c r="G10" s="76">
        <f>IFERROR(IF($J$7="Piecewise Linear (Simple)",IF(((B10-VAL_DATE)/360)&lt;=0,1,1/(1+(IF(MAX((10&gt;0)*(D10-VAL_DATE)/360,0)&lt;=0,IF(((E10-VAL_DATE)/360)&lt;=0,0,(1/INDEX($L$8:$L$73,MATCH(B10,$K$8:$K$73,1)+1)-1)/((E10-VAL_DATE)/360)),IF(MAX((10&gt;0)*(D10-VAL_DATE)/360,0)&lt;=0,0,(1/INDEX($L$8:$L$73,MATCH(B10,$K$8:$K$73,1))-1)/MAX((10&gt;0)*(D10-VAL_DATE)/360,0)))+(IF(((E10-VAL_DATE)/360)&lt;=0,0,(1/INDEX($L$8:$L$73,MATCH(B10,$K$8:$K$73,1)+1)-1)/((E10-VAL_DATE)/360))-IF(MAX((10&gt;0)*(D10-VAL_DATE)/360,0)&lt;=0,IF(((E10-VAL_DATE)/360)&lt;=0,0,(1/INDEX($L$8:$L$73,MATCH(B10,$K$8:$K$73,1)+1)-1)/((E10-VAL_DATE)/360)),IF(MAX((10&gt;0)*(D10-VAL_DATE)/360,0)&lt;=0,0,(1/INDEX($L$8:$L$73,MATCH(B10,$K$8:$K$73,1))-1)/MAX((10&gt;0)*(D10-VAL_DATE)/360,0))))*IF(((E10-VAL_DATE)/360)-MAX((10&gt;0)*(D10-VAL_DATE)/360,0)=0,0,(((B10-VAL_DATE)/360)-MAX((10&gt;0)*(D10-VAL_DATE)/360,0))/(((E10-VAL_DATE)/360)-MAX((10&gt;0)*(D10-VAL_DATE)/360,0))))*((B10-VAL_DATE)/360))),INDEX($L$8:$L$73,MATCH(B10,$K$8:$K$73,1))*EXP(-(F10/100)*(B10-D10)/365)),"")</f>
        <v/>
      </c>
      <c r="H10" s="17">
        <f>-LN(G10)/C10*100</f>
        <v/>
      </c>
      <c r="I10" s="65" t="inlineStr">
        <is>
          <t>Method 1: DF=1/(1+r_s*t), r_s linear, ACT/360, flat outside the pillars.</t>
        </is>
      </c>
      <c r="K10" s="18">
        <f>Bootstrap!B9</f>
        <v/>
      </c>
      <c r="L10" s="36">
        <f>Bootstrap!H9</f>
        <v/>
      </c>
    </row>
    <row r="11">
      <c r="A11" s="43" t="n">
        <v>2</v>
      </c>
      <c r="B11" s="18">
        <f>EDATE($F$7,3*1)</f>
        <v/>
      </c>
      <c r="C11" s="34">
        <f>(B11-VAL_DATE)/365</f>
        <v/>
      </c>
      <c r="D11" s="18">
        <f>INDEX($K$8:$K$73,MATCH(B11,$K$8:$K$73,1))</f>
        <v/>
      </c>
      <c r="E11" s="18">
        <f>INDEX($K$8:$K$73,MATCH(B11,$K$8:$K$73,1)+1)</f>
        <v/>
      </c>
      <c r="F11" s="17">
        <f>-LN(INDEX($L$8:$L$73,MATCH(B11,$K$8:$K$73,1)+1)/INDEX($L$8:$L$73,MATCH(B11,$K$8:$K$73,1)))/((E11-D11)/365)*100</f>
        <v/>
      </c>
      <c r="G11" s="76">
        <f>IFERROR(IF($J$7="Piecewise Linear (Simple)",IF(((B11-VAL_DATE)/360)&lt;=0,1,1/(1+(IF(MAX((11&gt;0)*(D11-VAL_DATE)/360,0)&lt;=0,IF(((E11-VAL_DATE)/360)&lt;=0,0,(1/INDEX($L$8:$L$73,MATCH(B11,$K$8:$K$73,1)+1)-1)/((E11-VAL_DATE)/360)),IF(MAX((11&gt;0)*(D11-VAL_DATE)/360,0)&lt;=0,0,(1/INDEX($L$8:$L$73,MATCH(B11,$K$8:$K$73,1))-1)/MAX((11&gt;0)*(D11-VAL_DATE)/360,0)))+(IF(((E11-VAL_DATE)/360)&lt;=0,0,(1/INDEX($L$8:$L$73,MATCH(B11,$K$8:$K$73,1)+1)-1)/((E11-VAL_DATE)/360))-IF(MAX((11&gt;0)*(D11-VAL_DATE)/360,0)&lt;=0,IF(((E11-VAL_DATE)/360)&lt;=0,0,(1/INDEX($L$8:$L$73,MATCH(B11,$K$8:$K$73,1)+1)-1)/((E11-VAL_DATE)/360)),IF(MAX((11&gt;0)*(D11-VAL_DATE)/360,0)&lt;=0,0,(1/INDEX($L$8:$L$73,MATCH(B11,$K$8:$K$73,1))-1)/MAX((11&gt;0)*(D11-VAL_DATE)/360,0))))*IF(((E11-VAL_DATE)/360)-MAX((11&gt;0)*(D11-VAL_DATE)/360,0)=0,0,(((B11-VAL_DATE)/360)-MAX((11&gt;0)*(D11-VAL_DATE)/360,0))/(((E11-VAL_DATE)/360)-MAX((11&gt;0)*(D11-VAL_DATE)/360,0))))*((B11-VAL_DATE)/360))),INDEX($L$8:$L$73,MATCH(B11,$K$8:$K$73,1))*EXP(-(F11/100)*(B11-D11)/365)),"")</f>
        <v/>
      </c>
      <c r="H11" s="17">
        <f>-LN(G11)/C11*100</f>
        <v/>
      </c>
      <c r="I11" s="65" t="inlineStr">
        <is>
          <t>Method 3: flat forward between pillars = log-linear in DF.</t>
        </is>
      </c>
      <c r="K11" s="18">
        <f>Bootstrap!B10</f>
        <v/>
      </c>
      <c r="L11" s="36">
        <f>Bootstrap!H10</f>
        <v/>
      </c>
    </row>
    <row r="12">
      <c r="A12" s="43" t="n">
        <v>3</v>
      </c>
      <c r="B12" s="18">
        <f>EDATE($F$7,3*2)</f>
        <v/>
      </c>
      <c r="C12" s="34">
        <f>(B12-VAL_DATE)/365</f>
        <v/>
      </c>
      <c r="D12" s="18">
        <f>INDEX($K$8:$K$73,MATCH(B12,$K$8:$K$73,1))</f>
        <v/>
      </c>
      <c r="E12" s="18">
        <f>INDEX($K$8:$K$73,MATCH(B12,$K$8:$K$73,1)+1)</f>
        <v/>
      </c>
      <c r="F12" s="17">
        <f>-LN(INDEX($L$8:$L$73,MATCH(B12,$K$8:$K$73,1)+1)/INDEX($L$8:$L$73,MATCH(B12,$K$8:$K$73,1)))/((E12-D12)/365)*100</f>
        <v/>
      </c>
      <c r="G12" s="76">
        <f>IFERROR(IF($J$7="Piecewise Linear (Simple)",IF(((B12-VAL_DATE)/360)&lt;=0,1,1/(1+(IF(MAX((12&gt;0)*(D12-VAL_DATE)/360,0)&lt;=0,IF(((E12-VAL_DATE)/360)&lt;=0,0,(1/INDEX($L$8:$L$73,MATCH(B12,$K$8:$K$73,1)+1)-1)/((E12-VAL_DATE)/360)),IF(MAX((12&gt;0)*(D12-VAL_DATE)/360,0)&lt;=0,0,(1/INDEX($L$8:$L$73,MATCH(B12,$K$8:$K$73,1))-1)/MAX((12&gt;0)*(D12-VAL_DATE)/360,0)))+(IF(((E12-VAL_DATE)/360)&lt;=0,0,(1/INDEX($L$8:$L$73,MATCH(B12,$K$8:$K$73,1)+1)-1)/((E12-VAL_DATE)/360))-IF(MAX((12&gt;0)*(D12-VAL_DATE)/360,0)&lt;=0,IF(((E12-VAL_DATE)/360)&lt;=0,0,(1/INDEX($L$8:$L$73,MATCH(B12,$K$8:$K$73,1)+1)-1)/((E12-VAL_DATE)/360)),IF(MAX((12&gt;0)*(D12-VAL_DATE)/360,0)&lt;=0,0,(1/INDEX($L$8:$L$73,MATCH(B12,$K$8:$K$73,1))-1)/MAX((12&gt;0)*(D12-VAL_DATE)/360,0))))*IF(((E12-VAL_DATE)/360)-MAX((12&gt;0)*(D12-VAL_DATE)/360,0)=0,0,(((B12-VAL_DATE)/360)-MAX((12&gt;0)*(D12-VAL_DATE)/360,0))/(((E12-VAL_DATE)/360)-MAX((12&gt;0)*(D12-VAL_DATE)/360,0))))*((B12-VAL_DATE)/360))),INDEX($L$8:$L$73,MATCH(B12,$K$8:$K$73,1))*EXP(-(F12/100)*(B12-D12)/365)),"")</f>
        <v/>
      </c>
      <c r="H12" s="17">
        <f>-LN(G12)/C12*100</f>
        <v/>
      </c>
      <c r="I12" s="65" t="inlineStr">
        <is>
          <t>Identical at the pillars. They differ off-pillar, which is what CDS_Schedule looks up. ~0.07bp in a 2Y gap.</t>
        </is>
      </c>
      <c r="K12" s="18">
        <f>Bootstrap!B11</f>
        <v/>
      </c>
      <c r="L12" s="36">
        <f>Bootstrap!H11</f>
        <v/>
      </c>
    </row>
    <row r="13">
      <c r="A13" s="43" t="n">
        <v>4</v>
      </c>
      <c r="B13" s="18">
        <f>EDATE($F$7,3*3)</f>
        <v/>
      </c>
      <c r="C13" s="34">
        <f>(B13-VAL_DATE)/365</f>
        <v/>
      </c>
      <c r="D13" s="18">
        <f>INDEX($K$8:$K$73,MATCH(B13,$K$8:$K$73,1))</f>
        <v/>
      </c>
      <c r="E13" s="18">
        <f>INDEX($K$8:$K$73,MATCH(B13,$K$8:$K$73,1)+1)</f>
        <v/>
      </c>
      <c r="F13" s="17">
        <f>-LN(INDEX($L$8:$L$73,MATCH(B13,$K$8:$K$73,1)+1)/INDEX($L$8:$L$73,MATCH(B13,$K$8:$K$73,1)))/((E13-D13)/365)*100</f>
        <v/>
      </c>
      <c r="G13" s="76">
        <f>IFERROR(IF($J$7="Piecewise Linear (Simple)",IF(((B13-VAL_DATE)/360)&lt;=0,1,1/(1+(IF(MAX((13&gt;0)*(D13-VAL_DATE)/360,0)&lt;=0,IF(((E13-VAL_DATE)/360)&lt;=0,0,(1/INDEX($L$8:$L$73,MATCH(B13,$K$8:$K$73,1)+1)-1)/((E13-VAL_DATE)/360)),IF(MAX((13&gt;0)*(D13-VAL_DATE)/360,0)&lt;=0,0,(1/INDEX($L$8:$L$73,MATCH(B13,$K$8:$K$73,1))-1)/MAX((13&gt;0)*(D13-VAL_DATE)/360,0)))+(IF(((E13-VAL_DATE)/360)&lt;=0,0,(1/INDEX($L$8:$L$73,MATCH(B13,$K$8:$K$73,1)+1)-1)/((E13-VAL_DATE)/360))-IF(MAX((13&gt;0)*(D13-VAL_DATE)/360,0)&lt;=0,IF(((E13-VAL_DATE)/360)&lt;=0,0,(1/INDEX($L$8:$L$73,MATCH(B13,$K$8:$K$73,1)+1)-1)/((E13-VAL_DATE)/360)),IF(MAX((13&gt;0)*(D13-VAL_DATE)/360,0)&lt;=0,0,(1/INDEX($L$8:$L$73,MATCH(B13,$K$8:$K$73,1))-1)/MAX((13&gt;0)*(D13-VAL_DATE)/360,0))))*IF(((E13-VAL_DATE)/360)-MAX((13&gt;0)*(D13-VAL_DATE)/360,0)=0,0,(((B13-VAL_DATE)/360)-MAX((13&gt;0)*(D13-VAL_DATE)/360,0))/(((E13-VAL_DATE)/360)-MAX((13&gt;0)*(D13-VAL_DATE)/360,0))))*((B13-VAL_DATE)/360))),INDEX($L$8:$L$73,MATCH(B13,$K$8:$K$73,1))*EXP(-(F13/100)*(B13-D13)/365)),"")</f>
        <v/>
      </c>
      <c r="H13" s="17">
        <f>-LN(G13)/C13*100</f>
        <v/>
      </c>
      <c r="K13" s="18">
        <f>Bootstrap!B12</f>
        <v/>
      </c>
      <c r="L13" s="36">
        <f>Bootstrap!H12</f>
        <v/>
      </c>
    </row>
    <row r="14">
      <c r="A14" s="43" t="n">
        <v>5</v>
      </c>
      <c r="B14" s="18">
        <f>EDATE($F$7,3*4)</f>
        <v/>
      </c>
      <c r="C14" s="34">
        <f>(B14-VAL_DATE)/365</f>
        <v/>
      </c>
      <c r="D14" s="18">
        <f>INDEX($K$8:$K$73,MATCH(B14,$K$8:$K$73,1))</f>
        <v/>
      </c>
      <c r="E14" s="18">
        <f>INDEX($K$8:$K$73,MATCH(B14,$K$8:$K$73,1)+1)</f>
        <v/>
      </c>
      <c r="F14" s="17">
        <f>-LN(INDEX($L$8:$L$73,MATCH(B14,$K$8:$K$73,1)+1)/INDEX($L$8:$L$73,MATCH(B14,$K$8:$K$73,1)))/((E14-D14)/365)*100</f>
        <v/>
      </c>
      <c r="G14" s="76">
        <f>IFERROR(IF($J$7="Piecewise Linear (Simple)",IF(((B14-VAL_DATE)/360)&lt;=0,1,1/(1+(IF(MAX((14&gt;0)*(D14-VAL_DATE)/360,0)&lt;=0,IF(((E14-VAL_DATE)/360)&lt;=0,0,(1/INDEX($L$8:$L$73,MATCH(B14,$K$8:$K$73,1)+1)-1)/((E14-VAL_DATE)/360)),IF(MAX((14&gt;0)*(D14-VAL_DATE)/360,0)&lt;=0,0,(1/INDEX($L$8:$L$73,MATCH(B14,$K$8:$K$73,1))-1)/MAX((14&gt;0)*(D14-VAL_DATE)/360,0)))+(IF(((E14-VAL_DATE)/360)&lt;=0,0,(1/INDEX($L$8:$L$73,MATCH(B14,$K$8:$K$73,1)+1)-1)/((E14-VAL_DATE)/360))-IF(MAX((14&gt;0)*(D14-VAL_DATE)/360,0)&lt;=0,IF(((E14-VAL_DATE)/360)&lt;=0,0,(1/INDEX($L$8:$L$73,MATCH(B14,$K$8:$K$73,1)+1)-1)/((E14-VAL_DATE)/360)),IF(MAX((14&gt;0)*(D14-VAL_DATE)/360,0)&lt;=0,0,(1/INDEX($L$8:$L$73,MATCH(B14,$K$8:$K$73,1))-1)/MAX((14&gt;0)*(D14-VAL_DATE)/360,0))))*IF(((E14-VAL_DATE)/360)-MAX((14&gt;0)*(D14-VAL_DATE)/360,0)=0,0,(((B14-VAL_DATE)/360)-MAX((14&gt;0)*(D14-VAL_DATE)/360,0))/(((E14-VAL_DATE)/360)-MAX((14&gt;0)*(D14-VAL_DATE)/360,0))))*((B14-VAL_DATE)/360))),INDEX($L$8:$L$73,MATCH(B14,$K$8:$K$73,1))*EXP(-(F14/100)*(B14-D14)/365)),"")</f>
        <v/>
      </c>
      <c r="H14" s="17">
        <f>-LN(G14)/C14*100</f>
        <v/>
      </c>
      <c r="K14" s="18">
        <f>Bootstrap!B13</f>
        <v/>
      </c>
      <c r="L14" s="36">
        <f>Bootstrap!H13</f>
        <v/>
      </c>
    </row>
    <row r="15">
      <c r="A15" s="43" t="n">
        <v>6</v>
      </c>
      <c r="B15" s="18">
        <f>EDATE($F$7,3*5)</f>
        <v/>
      </c>
      <c r="C15" s="34">
        <f>(B15-VAL_DATE)/365</f>
        <v/>
      </c>
      <c r="D15" s="18">
        <f>INDEX($K$8:$K$73,MATCH(B15,$K$8:$K$73,1))</f>
        <v/>
      </c>
      <c r="E15" s="18">
        <f>INDEX($K$8:$K$73,MATCH(B15,$K$8:$K$73,1)+1)</f>
        <v/>
      </c>
      <c r="F15" s="17">
        <f>-LN(INDEX($L$8:$L$73,MATCH(B15,$K$8:$K$73,1)+1)/INDEX($L$8:$L$73,MATCH(B15,$K$8:$K$73,1)))/((E15-D15)/365)*100</f>
        <v/>
      </c>
      <c r="G15" s="76">
        <f>IFERROR(IF($J$7="Piecewise Linear (Simple)",IF(((B15-VAL_DATE)/360)&lt;=0,1,1/(1+(IF(MAX((15&gt;0)*(D15-VAL_DATE)/360,0)&lt;=0,IF(((E15-VAL_DATE)/360)&lt;=0,0,(1/INDEX($L$8:$L$73,MATCH(B15,$K$8:$K$73,1)+1)-1)/((E15-VAL_DATE)/360)),IF(MAX((15&gt;0)*(D15-VAL_DATE)/360,0)&lt;=0,0,(1/INDEX($L$8:$L$73,MATCH(B15,$K$8:$K$73,1))-1)/MAX((15&gt;0)*(D15-VAL_DATE)/360,0)))+(IF(((E15-VAL_DATE)/360)&lt;=0,0,(1/INDEX($L$8:$L$73,MATCH(B15,$K$8:$K$73,1)+1)-1)/((E15-VAL_DATE)/360))-IF(MAX((15&gt;0)*(D15-VAL_DATE)/360,0)&lt;=0,IF(((E15-VAL_DATE)/360)&lt;=0,0,(1/INDEX($L$8:$L$73,MATCH(B15,$K$8:$K$73,1)+1)-1)/((E15-VAL_DATE)/360)),IF(MAX((15&gt;0)*(D15-VAL_DATE)/360,0)&lt;=0,0,(1/INDEX($L$8:$L$73,MATCH(B15,$K$8:$K$73,1))-1)/MAX((15&gt;0)*(D15-VAL_DATE)/360,0))))*IF(((E15-VAL_DATE)/360)-MAX((15&gt;0)*(D15-VAL_DATE)/360,0)=0,0,(((B15-VAL_DATE)/360)-MAX((15&gt;0)*(D15-VAL_DATE)/360,0))/(((E15-VAL_DATE)/360)-MAX((15&gt;0)*(D15-VAL_DATE)/360,0))))*((B15-VAL_DATE)/360))),INDEX($L$8:$L$73,MATCH(B15,$K$8:$K$73,1))*EXP(-(F15/100)*(B15-D15)/365)),"")</f>
        <v/>
      </c>
      <c r="H15" s="17">
        <f>-LN(G15)/C15*100</f>
        <v/>
      </c>
      <c r="K15" s="18">
        <f>Bootstrap!B14</f>
        <v/>
      </c>
      <c r="L15" s="36">
        <f>Bootstrap!H14</f>
        <v/>
      </c>
    </row>
    <row r="16">
      <c r="A16" s="43" t="n">
        <v>7</v>
      </c>
      <c r="B16" s="18">
        <f>EDATE($F$7,3*6)</f>
        <v/>
      </c>
      <c r="C16" s="34">
        <f>(B16-VAL_DATE)/365</f>
        <v/>
      </c>
      <c r="D16" s="18">
        <f>INDEX($K$8:$K$73,MATCH(B16,$K$8:$K$73,1))</f>
        <v/>
      </c>
      <c r="E16" s="18">
        <f>INDEX($K$8:$K$73,MATCH(B16,$K$8:$K$73,1)+1)</f>
        <v/>
      </c>
      <c r="F16" s="17">
        <f>-LN(INDEX($L$8:$L$73,MATCH(B16,$K$8:$K$73,1)+1)/INDEX($L$8:$L$73,MATCH(B16,$K$8:$K$73,1)))/((E16-D16)/365)*100</f>
        <v/>
      </c>
      <c r="G16" s="76">
        <f>IFERROR(IF($J$7="Piecewise Linear (Simple)",IF(((B16-VAL_DATE)/360)&lt;=0,1,1/(1+(IF(MAX((16&gt;0)*(D16-VAL_DATE)/360,0)&lt;=0,IF(((E16-VAL_DATE)/360)&lt;=0,0,(1/INDEX($L$8:$L$73,MATCH(B16,$K$8:$K$73,1)+1)-1)/((E16-VAL_DATE)/360)),IF(MAX((16&gt;0)*(D16-VAL_DATE)/360,0)&lt;=0,0,(1/INDEX($L$8:$L$73,MATCH(B16,$K$8:$K$73,1))-1)/MAX((16&gt;0)*(D16-VAL_DATE)/360,0)))+(IF(((E16-VAL_DATE)/360)&lt;=0,0,(1/INDEX($L$8:$L$73,MATCH(B16,$K$8:$K$73,1)+1)-1)/((E16-VAL_DATE)/360))-IF(MAX((16&gt;0)*(D16-VAL_DATE)/360,0)&lt;=0,IF(((E16-VAL_DATE)/360)&lt;=0,0,(1/INDEX($L$8:$L$73,MATCH(B16,$K$8:$K$73,1)+1)-1)/((E16-VAL_DATE)/360)),IF(MAX((16&gt;0)*(D16-VAL_DATE)/360,0)&lt;=0,0,(1/INDEX($L$8:$L$73,MATCH(B16,$K$8:$K$73,1))-1)/MAX((16&gt;0)*(D16-VAL_DATE)/360,0))))*IF(((E16-VAL_DATE)/360)-MAX((16&gt;0)*(D16-VAL_DATE)/360,0)=0,0,(((B16-VAL_DATE)/360)-MAX((16&gt;0)*(D16-VAL_DATE)/360,0))/(((E16-VAL_DATE)/360)-MAX((16&gt;0)*(D16-VAL_DATE)/360,0))))*((B16-VAL_DATE)/360))),INDEX($L$8:$L$73,MATCH(B16,$K$8:$K$73,1))*EXP(-(F16/100)*(B16-D16)/365)),"")</f>
        <v/>
      </c>
      <c r="H16" s="17">
        <f>-LN(G16)/C16*100</f>
        <v/>
      </c>
      <c r="K16" s="18">
        <f>Bootstrap!B15</f>
        <v/>
      </c>
      <c r="L16" s="36">
        <f>Bootstrap!H15</f>
        <v/>
      </c>
    </row>
    <row r="17">
      <c r="A17" s="43" t="n">
        <v>8</v>
      </c>
      <c r="B17" s="18">
        <f>EDATE($F$7,3*7)</f>
        <v/>
      </c>
      <c r="C17" s="34">
        <f>(B17-VAL_DATE)/365</f>
        <v/>
      </c>
      <c r="D17" s="18">
        <f>INDEX($K$8:$K$73,MATCH(B17,$K$8:$K$73,1))</f>
        <v/>
      </c>
      <c r="E17" s="18">
        <f>INDEX($K$8:$K$73,MATCH(B17,$K$8:$K$73,1)+1)</f>
        <v/>
      </c>
      <c r="F17" s="17">
        <f>-LN(INDEX($L$8:$L$73,MATCH(B17,$K$8:$K$73,1)+1)/INDEX($L$8:$L$73,MATCH(B17,$K$8:$K$73,1)))/((E17-D17)/365)*100</f>
        <v/>
      </c>
      <c r="G17" s="76">
        <f>IFERROR(IF($J$7="Piecewise Linear (Simple)",IF(((B17-VAL_DATE)/360)&lt;=0,1,1/(1+(IF(MAX((17&gt;0)*(D17-VAL_DATE)/360,0)&lt;=0,IF(((E17-VAL_DATE)/360)&lt;=0,0,(1/INDEX($L$8:$L$73,MATCH(B17,$K$8:$K$73,1)+1)-1)/((E17-VAL_DATE)/360)),IF(MAX((17&gt;0)*(D17-VAL_DATE)/360,0)&lt;=0,0,(1/INDEX($L$8:$L$73,MATCH(B17,$K$8:$K$73,1))-1)/MAX((17&gt;0)*(D17-VAL_DATE)/360,0)))+(IF(((E17-VAL_DATE)/360)&lt;=0,0,(1/INDEX($L$8:$L$73,MATCH(B17,$K$8:$K$73,1)+1)-1)/((E17-VAL_DATE)/360))-IF(MAX((17&gt;0)*(D17-VAL_DATE)/360,0)&lt;=0,IF(((E17-VAL_DATE)/360)&lt;=0,0,(1/INDEX($L$8:$L$73,MATCH(B17,$K$8:$K$73,1)+1)-1)/((E17-VAL_DATE)/360)),IF(MAX((17&gt;0)*(D17-VAL_DATE)/360,0)&lt;=0,0,(1/INDEX($L$8:$L$73,MATCH(B17,$K$8:$K$73,1))-1)/MAX((17&gt;0)*(D17-VAL_DATE)/360,0))))*IF(((E17-VAL_DATE)/360)-MAX((17&gt;0)*(D17-VAL_DATE)/360,0)=0,0,(((B17-VAL_DATE)/360)-MAX((17&gt;0)*(D17-VAL_DATE)/360,0))/(((E17-VAL_DATE)/360)-MAX((17&gt;0)*(D17-VAL_DATE)/360,0))))*((B17-VAL_DATE)/360))),INDEX($L$8:$L$73,MATCH(B17,$K$8:$K$73,1))*EXP(-(F17/100)*(B17-D17)/365)),"")</f>
        <v/>
      </c>
      <c r="H17" s="17">
        <f>-LN(G17)/C17*100</f>
        <v/>
      </c>
      <c r="K17" s="18">
        <f>Bootstrap!B16</f>
        <v/>
      </c>
      <c r="L17" s="36">
        <f>Bootstrap!H16</f>
        <v/>
      </c>
    </row>
    <row r="18">
      <c r="A18" s="43" t="n">
        <v>9</v>
      </c>
      <c r="B18" s="18">
        <f>EDATE($F$7,3*8)</f>
        <v/>
      </c>
      <c r="C18" s="34">
        <f>(B18-VAL_DATE)/365</f>
        <v/>
      </c>
      <c r="D18" s="18">
        <f>INDEX($K$8:$K$73,MATCH(B18,$K$8:$K$73,1))</f>
        <v/>
      </c>
      <c r="E18" s="18">
        <f>INDEX($K$8:$K$73,MATCH(B18,$K$8:$K$73,1)+1)</f>
        <v/>
      </c>
      <c r="F18" s="17">
        <f>-LN(INDEX($L$8:$L$73,MATCH(B18,$K$8:$K$73,1)+1)/INDEX($L$8:$L$73,MATCH(B18,$K$8:$K$73,1)))/((E18-D18)/365)*100</f>
        <v/>
      </c>
      <c r="G18" s="76">
        <f>IFERROR(IF($J$7="Piecewise Linear (Simple)",IF(((B18-VAL_DATE)/360)&lt;=0,1,1/(1+(IF(MAX((18&gt;0)*(D18-VAL_DATE)/360,0)&lt;=0,IF(((E18-VAL_DATE)/360)&lt;=0,0,(1/INDEX($L$8:$L$73,MATCH(B18,$K$8:$K$73,1)+1)-1)/((E18-VAL_DATE)/360)),IF(MAX((18&gt;0)*(D18-VAL_DATE)/360,0)&lt;=0,0,(1/INDEX($L$8:$L$73,MATCH(B18,$K$8:$K$73,1))-1)/MAX((18&gt;0)*(D18-VAL_DATE)/360,0)))+(IF(((E18-VAL_DATE)/360)&lt;=0,0,(1/INDEX($L$8:$L$73,MATCH(B18,$K$8:$K$73,1)+1)-1)/((E18-VAL_DATE)/360))-IF(MAX((18&gt;0)*(D18-VAL_DATE)/360,0)&lt;=0,IF(((E18-VAL_DATE)/360)&lt;=0,0,(1/INDEX($L$8:$L$73,MATCH(B18,$K$8:$K$73,1)+1)-1)/((E18-VAL_DATE)/360)),IF(MAX((18&gt;0)*(D18-VAL_DATE)/360,0)&lt;=0,0,(1/INDEX($L$8:$L$73,MATCH(B18,$K$8:$K$73,1))-1)/MAX((18&gt;0)*(D18-VAL_DATE)/360,0))))*IF(((E18-VAL_DATE)/360)-MAX((18&gt;0)*(D18-VAL_DATE)/360,0)=0,0,(((B18-VAL_DATE)/360)-MAX((18&gt;0)*(D18-VAL_DATE)/360,0))/(((E18-VAL_DATE)/360)-MAX((18&gt;0)*(D18-VAL_DATE)/360,0))))*((B18-VAL_DATE)/360))),INDEX($L$8:$L$73,MATCH(B18,$K$8:$K$73,1))*EXP(-(F18/100)*(B18-D18)/365)),"")</f>
        <v/>
      </c>
      <c r="H18" s="17">
        <f>-LN(G18)/C18*100</f>
        <v/>
      </c>
      <c r="K18" s="18">
        <f>Bootstrap!B17</f>
        <v/>
      </c>
      <c r="L18" s="36">
        <f>Bootstrap!H17</f>
        <v/>
      </c>
    </row>
    <row r="19">
      <c r="A19" s="43" t="n">
        <v>10</v>
      </c>
      <c r="B19" s="18">
        <f>EDATE($F$7,3*9)</f>
        <v/>
      </c>
      <c r="C19" s="34">
        <f>(B19-VAL_DATE)/365</f>
        <v/>
      </c>
      <c r="D19" s="18">
        <f>INDEX($K$8:$K$73,MATCH(B19,$K$8:$K$73,1))</f>
        <v/>
      </c>
      <c r="E19" s="18">
        <f>INDEX($K$8:$K$73,MATCH(B19,$K$8:$K$73,1)+1)</f>
        <v/>
      </c>
      <c r="F19" s="17">
        <f>-LN(INDEX($L$8:$L$73,MATCH(B19,$K$8:$K$73,1)+1)/INDEX($L$8:$L$73,MATCH(B19,$K$8:$K$73,1)))/((E19-D19)/365)*100</f>
        <v/>
      </c>
      <c r="G19" s="76">
        <f>IFERROR(IF($J$7="Piecewise Linear (Simple)",IF(((B19-VAL_DATE)/360)&lt;=0,1,1/(1+(IF(MAX((19&gt;0)*(D19-VAL_DATE)/360,0)&lt;=0,IF(((E19-VAL_DATE)/360)&lt;=0,0,(1/INDEX($L$8:$L$73,MATCH(B19,$K$8:$K$73,1)+1)-1)/((E19-VAL_DATE)/360)),IF(MAX((19&gt;0)*(D19-VAL_DATE)/360,0)&lt;=0,0,(1/INDEX($L$8:$L$73,MATCH(B19,$K$8:$K$73,1))-1)/MAX((19&gt;0)*(D19-VAL_DATE)/360,0)))+(IF(((E19-VAL_DATE)/360)&lt;=0,0,(1/INDEX($L$8:$L$73,MATCH(B19,$K$8:$K$73,1)+1)-1)/((E19-VAL_DATE)/360))-IF(MAX((19&gt;0)*(D19-VAL_DATE)/360,0)&lt;=0,IF(((E19-VAL_DATE)/360)&lt;=0,0,(1/INDEX($L$8:$L$73,MATCH(B19,$K$8:$K$73,1)+1)-1)/((E19-VAL_DATE)/360)),IF(MAX((19&gt;0)*(D19-VAL_DATE)/360,0)&lt;=0,0,(1/INDEX($L$8:$L$73,MATCH(B19,$K$8:$K$73,1))-1)/MAX((19&gt;0)*(D19-VAL_DATE)/360,0))))*IF(((E19-VAL_DATE)/360)-MAX((19&gt;0)*(D19-VAL_DATE)/360,0)=0,0,(((B19-VAL_DATE)/360)-MAX((19&gt;0)*(D19-VAL_DATE)/360,0))/(((E19-VAL_DATE)/360)-MAX((19&gt;0)*(D19-VAL_DATE)/360,0))))*((B19-VAL_DATE)/360))),INDEX($L$8:$L$73,MATCH(B19,$K$8:$K$73,1))*EXP(-(F19/100)*(B19-D19)/365)),"")</f>
        <v/>
      </c>
      <c r="H19" s="17">
        <f>-LN(G19)/C19*100</f>
        <v/>
      </c>
      <c r="K19" s="18">
        <f>Bootstrap!B18</f>
        <v/>
      </c>
      <c r="L19" s="36">
        <f>Bootstrap!H18</f>
        <v/>
      </c>
    </row>
    <row r="20">
      <c r="A20" s="43" t="n">
        <v>11</v>
      </c>
      <c r="B20" s="18">
        <f>EDATE($F$7,3*10)</f>
        <v/>
      </c>
      <c r="C20" s="34">
        <f>(B20-VAL_DATE)/365</f>
        <v/>
      </c>
      <c r="D20" s="18">
        <f>INDEX($K$8:$K$73,MATCH(B20,$K$8:$K$73,1))</f>
        <v/>
      </c>
      <c r="E20" s="18">
        <f>INDEX($K$8:$K$73,MATCH(B20,$K$8:$K$73,1)+1)</f>
        <v/>
      </c>
      <c r="F20" s="17">
        <f>-LN(INDEX($L$8:$L$73,MATCH(B20,$K$8:$K$73,1)+1)/INDEX($L$8:$L$73,MATCH(B20,$K$8:$K$73,1)))/((E20-D20)/365)*100</f>
        <v/>
      </c>
      <c r="G20" s="76">
        <f>IFERROR(IF($J$7="Piecewise Linear (Simple)",IF(((B20-VAL_DATE)/360)&lt;=0,1,1/(1+(IF(MAX((20&gt;0)*(D20-VAL_DATE)/360,0)&lt;=0,IF(((E20-VAL_DATE)/360)&lt;=0,0,(1/INDEX($L$8:$L$73,MATCH(B20,$K$8:$K$73,1)+1)-1)/((E20-VAL_DATE)/360)),IF(MAX((20&gt;0)*(D20-VAL_DATE)/360,0)&lt;=0,0,(1/INDEX($L$8:$L$73,MATCH(B20,$K$8:$K$73,1))-1)/MAX((20&gt;0)*(D20-VAL_DATE)/360,0)))+(IF(((E20-VAL_DATE)/360)&lt;=0,0,(1/INDEX($L$8:$L$73,MATCH(B20,$K$8:$K$73,1)+1)-1)/((E20-VAL_DATE)/360))-IF(MAX((20&gt;0)*(D20-VAL_DATE)/360,0)&lt;=0,IF(((E20-VAL_DATE)/360)&lt;=0,0,(1/INDEX($L$8:$L$73,MATCH(B20,$K$8:$K$73,1)+1)-1)/((E20-VAL_DATE)/360)),IF(MAX((20&gt;0)*(D20-VAL_DATE)/360,0)&lt;=0,0,(1/INDEX($L$8:$L$73,MATCH(B20,$K$8:$K$73,1))-1)/MAX((20&gt;0)*(D20-VAL_DATE)/360,0))))*IF(((E20-VAL_DATE)/360)-MAX((20&gt;0)*(D20-VAL_DATE)/360,0)=0,0,(((B20-VAL_DATE)/360)-MAX((20&gt;0)*(D20-VAL_DATE)/360,0))/(((E20-VAL_DATE)/360)-MAX((20&gt;0)*(D20-VAL_DATE)/360,0))))*((B20-VAL_DATE)/360))),INDEX($L$8:$L$73,MATCH(B20,$K$8:$K$73,1))*EXP(-(F20/100)*(B20-D20)/365)),"")</f>
        <v/>
      </c>
      <c r="H20" s="17">
        <f>-LN(G20)/C20*100</f>
        <v/>
      </c>
      <c r="K20" s="18">
        <f>Bootstrap!B19</f>
        <v/>
      </c>
      <c r="L20" s="36">
        <f>Bootstrap!H19</f>
        <v/>
      </c>
    </row>
    <row r="21">
      <c r="A21" s="43" t="n">
        <v>12</v>
      </c>
      <c r="B21" s="18">
        <f>EDATE($F$7,3*11)</f>
        <v/>
      </c>
      <c r="C21" s="34">
        <f>(B21-VAL_DATE)/365</f>
        <v/>
      </c>
      <c r="D21" s="18">
        <f>INDEX($K$8:$K$73,MATCH(B21,$K$8:$K$73,1))</f>
        <v/>
      </c>
      <c r="E21" s="18">
        <f>INDEX($K$8:$K$73,MATCH(B21,$K$8:$K$73,1)+1)</f>
        <v/>
      </c>
      <c r="F21" s="17">
        <f>-LN(INDEX($L$8:$L$73,MATCH(B21,$K$8:$K$73,1)+1)/INDEX($L$8:$L$73,MATCH(B21,$K$8:$K$73,1)))/((E21-D21)/365)*100</f>
        <v/>
      </c>
      <c r="G21" s="76">
        <f>IFERROR(IF($J$7="Piecewise Linear (Simple)",IF(((B21-VAL_DATE)/360)&lt;=0,1,1/(1+(IF(MAX((21&gt;0)*(D21-VAL_DATE)/360,0)&lt;=0,IF(((E21-VAL_DATE)/360)&lt;=0,0,(1/INDEX($L$8:$L$73,MATCH(B21,$K$8:$K$73,1)+1)-1)/((E21-VAL_DATE)/360)),IF(MAX((21&gt;0)*(D21-VAL_DATE)/360,0)&lt;=0,0,(1/INDEX($L$8:$L$73,MATCH(B21,$K$8:$K$73,1))-1)/MAX((21&gt;0)*(D21-VAL_DATE)/360,0)))+(IF(((E21-VAL_DATE)/360)&lt;=0,0,(1/INDEX($L$8:$L$73,MATCH(B21,$K$8:$K$73,1)+1)-1)/((E21-VAL_DATE)/360))-IF(MAX((21&gt;0)*(D21-VAL_DATE)/360,0)&lt;=0,IF(((E21-VAL_DATE)/360)&lt;=0,0,(1/INDEX($L$8:$L$73,MATCH(B21,$K$8:$K$73,1)+1)-1)/((E21-VAL_DATE)/360)),IF(MAX((21&gt;0)*(D21-VAL_DATE)/360,0)&lt;=0,0,(1/INDEX($L$8:$L$73,MATCH(B21,$K$8:$K$73,1))-1)/MAX((21&gt;0)*(D21-VAL_DATE)/360,0))))*IF(((E21-VAL_DATE)/360)-MAX((21&gt;0)*(D21-VAL_DATE)/360,0)=0,0,(((B21-VAL_DATE)/360)-MAX((21&gt;0)*(D21-VAL_DATE)/360,0))/(((E21-VAL_DATE)/360)-MAX((21&gt;0)*(D21-VAL_DATE)/360,0))))*((B21-VAL_DATE)/360))),INDEX($L$8:$L$73,MATCH(B21,$K$8:$K$73,1))*EXP(-(F21/100)*(B21-D21)/365)),"")</f>
        <v/>
      </c>
      <c r="H21" s="17">
        <f>-LN(G21)/C21*100</f>
        <v/>
      </c>
      <c r="K21" s="18">
        <f>Bootstrap!B20</f>
        <v/>
      </c>
      <c r="L21" s="36">
        <f>Bootstrap!H20</f>
        <v/>
      </c>
    </row>
    <row r="22">
      <c r="A22" s="43" t="n">
        <v>13</v>
      </c>
      <c r="B22" s="18">
        <f>EDATE($F$7,3*12)</f>
        <v/>
      </c>
      <c r="C22" s="34">
        <f>(B22-VAL_DATE)/365</f>
        <v/>
      </c>
      <c r="D22" s="18">
        <f>INDEX($K$8:$K$73,MATCH(B22,$K$8:$K$73,1))</f>
        <v/>
      </c>
      <c r="E22" s="18">
        <f>INDEX($K$8:$K$73,MATCH(B22,$K$8:$K$73,1)+1)</f>
        <v/>
      </c>
      <c r="F22" s="17">
        <f>-LN(INDEX($L$8:$L$73,MATCH(B22,$K$8:$K$73,1)+1)/INDEX($L$8:$L$73,MATCH(B22,$K$8:$K$73,1)))/((E22-D22)/365)*100</f>
        <v/>
      </c>
      <c r="G22" s="76">
        <f>IFERROR(IF($J$7="Piecewise Linear (Simple)",IF(((B22-VAL_DATE)/360)&lt;=0,1,1/(1+(IF(MAX((22&gt;0)*(D22-VAL_DATE)/360,0)&lt;=0,IF(((E22-VAL_DATE)/360)&lt;=0,0,(1/INDEX($L$8:$L$73,MATCH(B22,$K$8:$K$73,1)+1)-1)/((E22-VAL_DATE)/360)),IF(MAX((22&gt;0)*(D22-VAL_DATE)/360,0)&lt;=0,0,(1/INDEX($L$8:$L$73,MATCH(B22,$K$8:$K$73,1))-1)/MAX((22&gt;0)*(D22-VAL_DATE)/360,0)))+(IF(((E22-VAL_DATE)/360)&lt;=0,0,(1/INDEX($L$8:$L$73,MATCH(B22,$K$8:$K$73,1)+1)-1)/((E22-VAL_DATE)/360))-IF(MAX((22&gt;0)*(D22-VAL_DATE)/360,0)&lt;=0,IF(((E22-VAL_DATE)/360)&lt;=0,0,(1/INDEX($L$8:$L$73,MATCH(B22,$K$8:$K$73,1)+1)-1)/((E22-VAL_DATE)/360)),IF(MAX((22&gt;0)*(D22-VAL_DATE)/360,0)&lt;=0,0,(1/INDEX($L$8:$L$73,MATCH(B22,$K$8:$K$73,1))-1)/MAX((22&gt;0)*(D22-VAL_DATE)/360,0))))*IF(((E22-VAL_DATE)/360)-MAX((22&gt;0)*(D22-VAL_DATE)/360,0)=0,0,(((B22-VAL_DATE)/360)-MAX((22&gt;0)*(D22-VAL_DATE)/360,0))/(((E22-VAL_DATE)/360)-MAX((22&gt;0)*(D22-VAL_DATE)/360,0))))*((B22-VAL_DATE)/360))),INDEX($L$8:$L$73,MATCH(B22,$K$8:$K$73,1))*EXP(-(F22/100)*(B22-D22)/365)),"")</f>
        <v/>
      </c>
      <c r="H22" s="17">
        <f>-LN(G22)/C22*100</f>
        <v/>
      </c>
      <c r="K22" s="18">
        <f>Bootstrap!B21</f>
        <v/>
      </c>
      <c r="L22" s="36">
        <f>Bootstrap!H21</f>
        <v/>
      </c>
    </row>
    <row r="23">
      <c r="A23" s="43" t="n">
        <v>14</v>
      </c>
      <c r="B23" s="18">
        <f>EDATE($F$7,3*13)</f>
        <v/>
      </c>
      <c r="C23" s="34">
        <f>(B23-VAL_DATE)/365</f>
        <v/>
      </c>
      <c r="D23" s="18">
        <f>INDEX($K$8:$K$73,MATCH(B23,$K$8:$K$73,1))</f>
        <v/>
      </c>
      <c r="E23" s="18">
        <f>INDEX($K$8:$K$73,MATCH(B23,$K$8:$K$73,1)+1)</f>
        <v/>
      </c>
      <c r="F23" s="17">
        <f>-LN(INDEX($L$8:$L$73,MATCH(B23,$K$8:$K$73,1)+1)/INDEX($L$8:$L$73,MATCH(B23,$K$8:$K$73,1)))/((E23-D23)/365)*100</f>
        <v/>
      </c>
      <c r="G23" s="76">
        <f>IFERROR(IF($J$7="Piecewise Linear (Simple)",IF(((B23-VAL_DATE)/360)&lt;=0,1,1/(1+(IF(MAX((23&gt;0)*(D23-VAL_DATE)/360,0)&lt;=0,IF(((E23-VAL_DATE)/360)&lt;=0,0,(1/INDEX($L$8:$L$73,MATCH(B23,$K$8:$K$73,1)+1)-1)/((E23-VAL_DATE)/360)),IF(MAX((23&gt;0)*(D23-VAL_DATE)/360,0)&lt;=0,0,(1/INDEX($L$8:$L$73,MATCH(B23,$K$8:$K$73,1))-1)/MAX((23&gt;0)*(D23-VAL_DATE)/360,0)))+(IF(((E23-VAL_DATE)/360)&lt;=0,0,(1/INDEX($L$8:$L$73,MATCH(B23,$K$8:$K$73,1)+1)-1)/((E23-VAL_DATE)/360))-IF(MAX((23&gt;0)*(D23-VAL_DATE)/360,0)&lt;=0,IF(((E23-VAL_DATE)/360)&lt;=0,0,(1/INDEX($L$8:$L$73,MATCH(B23,$K$8:$K$73,1)+1)-1)/((E23-VAL_DATE)/360)),IF(MAX((23&gt;0)*(D23-VAL_DATE)/360,0)&lt;=0,0,(1/INDEX($L$8:$L$73,MATCH(B23,$K$8:$K$73,1))-1)/MAX((23&gt;0)*(D23-VAL_DATE)/360,0))))*IF(((E23-VAL_DATE)/360)-MAX((23&gt;0)*(D23-VAL_DATE)/360,0)=0,0,(((B23-VAL_DATE)/360)-MAX((23&gt;0)*(D23-VAL_DATE)/360,0))/(((E23-VAL_DATE)/360)-MAX((23&gt;0)*(D23-VAL_DATE)/360,0))))*((B23-VAL_DATE)/360))),INDEX($L$8:$L$73,MATCH(B23,$K$8:$K$73,1))*EXP(-(F23/100)*(B23-D23)/365)),"")</f>
        <v/>
      </c>
      <c r="H23" s="17">
        <f>-LN(G23)/C23*100</f>
        <v/>
      </c>
      <c r="K23" s="18">
        <f>Bootstrap!B22</f>
        <v/>
      </c>
      <c r="L23" s="36">
        <f>Bootstrap!H22</f>
        <v/>
      </c>
    </row>
    <row r="24">
      <c r="A24" s="43" t="n">
        <v>15</v>
      </c>
      <c r="B24" s="18">
        <f>EDATE($F$7,3*14)</f>
        <v/>
      </c>
      <c r="C24" s="34">
        <f>(B24-VAL_DATE)/365</f>
        <v/>
      </c>
      <c r="D24" s="18">
        <f>INDEX($K$8:$K$73,MATCH(B24,$K$8:$K$73,1))</f>
        <v/>
      </c>
      <c r="E24" s="18">
        <f>INDEX($K$8:$K$73,MATCH(B24,$K$8:$K$73,1)+1)</f>
        <v/>
      </c>
      <c r="F24" s="17">
        <f>-LN(INDEX($L$8:$L$73,MATCH(B24,$K$8:$K$73,1)+1)/INDEX($L$8:$L$73,MATCH(B24,$K$8:$K$73,1)))/((E24-D24)/365)*100</f>
        <v/>
      </c>
      <c r="G24" s="76">
        <f>IFERROR(IF($J$7="Piecewise Linear (Simple)",IF(((B24-VAL_DATE)/360)&lt;=0,1,1/(1+(IF(MAX((24&gt;0)*(D24-VAL_DATE)/360,0)&lt;=0,IF(((E24-VAL_DATE)/360)&lt;=0,0,(1/INDEX($L$8:$L$73,MATCH(B24,$K$8:$K$73,1)+1)-1)/((E24-VAL_DATE)/360)),IF(MAX((24&gt;0)*(D24-VAL_DATE)/360,0)&lt;=0,0,(1/INDEX($L$8:$L$73,MATCH(B24,$K$8:$K$73,1))-1)/MAX((24&gt;0)*(D24-VAL_DATE)/360,0)))+(IF(((E24-VAL_DATE)/360)&lt;=0,0,(1/INDEX($L$8:$L$73,MATCH(B24,$K$8:$K$73,1)+1)-1)/((E24-VAL_DATE)/360))-IF(MAX((24&gt;0)*(D24-VAL_DATE)/360,0)&lt;=0,IF(((E24-VAL_DATE)/360)&lt;=0,0,(1/INDEX($L$8:$L$73,MATCH(B24,$K$8:$K$73,1)+1)-1)/((E24-VAL_DATE)/360)),IF(MAX((24&gt;0)*(D24-VAL_DATE)/360,0)&lt;=0,0,(1/INDEX($L$8:$L$73,MATCH(B24,$K$8:$K$73,1))-1)/MAX((24&gt;0)*(D24-VAL_DATE)/360,0))))*IF(((E24-VAL_DATE)/360)-MAX((24&gt;0)*(D24-VAL_DATE)/360,0)=0,0,(((B24-VAL_DATE)/360)-MAX((24&gt;0)*(D24-VAL_DATE)/360,0))/(((E24-VAL_DATE)/360)-MAX((24&gt;0)*(D24-VAL_DATE)/360,0))))*((B24-VAL_DATE)/360))),INDEX($L$8:$L$73,MATCH(B24,$K$8:$K$73,1))*EXP(-(F24/100)*(B24-D24)/365)),"")</f>
        <v/>
      </c>
      <c r="H24" s="17">
        <f>-LN(G24)/C24*100</f>
        <v/>
      </c>
      <c r="K24" s="18">
        <f>Bootstrap!B23</f>
        <v/>
      </c>
      <c r="L24" s="36">
        <f>Bootstrap!H23</f>
        <v/>
      </c>
    </row>
    <row r="25">
      <c r="A25" s="43" t="n">
        <v>16</v>
      </c>
      <c r="B25" s="18">
        <f>EDATE($F$7,3*15)</f>
        <v/>
      </c>
      <c r="C25" s="34">
        <f>(B25-VAL_DATE)/365</f>
        <v/>
      </c>
      <c r="D25" s="18">
        <f>INDEX($K$8:$K$73,MATCH(B25,$K$8:$K$73,1))</f>
        <v/>
      </c>
      <c r="E25" s="18">
        <f>INDEX($K$8:$K$73,MATCH(B25,$K$8:$K$73,1)+1)</f>
        <v/>
      </c>
      <c r="F25" s="17">
        <f>-LN(INDEX($L$8:$L$73,MATCH(B25,$K$8:$K$73,1)+1)/INDEX($L$8:$L$73,MATCH(B25,$K$8:$K$73,1)))/((E25-D25)/365)*100</f>
        <v/>
      </c>
      <c r="G25" s="76">
        <f>IFERROR(IF($J$7="Piecewise Linear (Simple)",IF(((B25-VAL_DATE)/360)&lt;=0,1,1/(1+(IF(MAX((25&gt;0)*(D25-VAL_DATE)/360,0)&lt;=0,IF(((E25-VAL_DATE)/360)&lt;=0,0,(1/INDEX($L$8:$L$73,MATCH(B25,$K$8:$K$73,1)+1)-1)/((E25-VAL_DATE)/360)),IF(MAX((25&gt;0)*(D25-VAL_DATE)/360,0)&lt;=0,0,(1/INDEX($L$8:$L$73,MATCH(B25,$K$8:$K$73,1))-1)/MAX((25&gt;0)*(D25-VAL_DATE)/360,0)))+(IF(((E25-VAL_DATE)/360)&lt;=0,0,(1/INDEX($L$8:$L$73,MATCH(B25,$K$8:$K$73,1)+1)-1)/((E25-VAL_DATE)/360))-IF(MAX((25&gt;0)*(D25-VAL_DATE)/360,0)&lt;=0,IF(((E25-VAL_DATE)/360)&lt;=0,0,(1/INDEX($L$8:$L$73,MATCH(B25,$K$8:$K$73,1)+1)-1)/((E25-VAL_DATE)/360)),IF(MAX((25&gt;0)*(D25-VAL_DATE)/360,0)&lt;=0,0,(1/INDEX($L$8:$L$73,MATCH(B25,$K$8:$K$73,1))-1)/MAX((25&gt;0)*(D25-VAL_DATE)/360,0))))*IF(((E25-VAL_DATE)/360)-MAX((25&gt;0)*(D25-VAL_DATE)/360,0)=0,0,(((B25-VAL_DATE)/360)-MAX((25&gt;0)*(D25-VAL_DATE)/360,0))/(((E25-VAL_DATE)/360)-MAX((25&gt;0)*(D25-VAL_DATE)/360,0))))*((B25-VAL_DATE)/360))),INDEX($L$8:$L$73,MATCH(B25,$K$8:$K$73,1))*EXP(-(F25/100)*(B25-D25)/365)),"")</f>
        <v/>
      </c>
      <c r="H25" s="17">
        <f>-LN(G25)/C25*100</f>
        <v/>
      </c>
      <c r="K25" s="18">
        <f>Bootstrap!B24</f>
        <v/>
      </c>
      <c r="L25" s="36">
        <f>Bootstrap!H24</f>
        <v/>
      </c>
    </row>
    <row r="26">
      <c r="A26" s="43" t="n">
        <v>17</v>
      </c>
      <c r="B26" s="18">
        <f>EDATE($F$7,3*16)</f>
        <v/>
      </c>
      <c r="C26" s="34">
        <f>(B26-VAL_DATE)/365</f>
        <v/>
      </c>
      <c r="D26" s="18">
        <f>INDEX($K$8:$K$73,MATCH(B26,$K$8:$K$73,1))</f>
        <v/>
      </c>
      <c r="E26" s="18">
        <f>INDEX($K$8:$K$73,MATCH(B26,$K$8:$K$73,1)+1)</f>
        <v/>
      </c>
      <c r="F26" s="17">
        <f>-LN(INDEX($L$8:$L$73,MATCH(B26,$K$8:$K$73,1)+1)/INDEX($L$8:$L$73,MATCH(B26,$K$8:$K$73,1)))/((E26-D26)/365)*100</f>
        <v/>
      </c>
      <c r="G26" s="76">
        <f>IFERROR(IF($J$7="Piecewise Linear (Simple)",IF(((B26-VAL_DATE)/360)&lt;=0,1,1/(1+(IF(MAX((26&gt;0)*(D26-VAL_DATE)/360,0)&lt;=0,IF(((E26-VAL_DATE)/360)&lt;=0,0,(1/INDEX($L$8:$L$73,MATCH(B26,$K$8:$K$73,1)+1)-1)/((E26-VAL_DATE)/360)),IF(MAX((26&gt;0)*(D26-VAL_DATE)/360,0)&lt;=0,0,(1/INDEX($L$8:$L$73,MATCH(B26,$K$8:$K$73,1))-1)/MAX((26&gt;0)*(D26-VAL_DATE)/360,0)))+(IF(((E26-VAL_DATE)/360)&lt;=0,0,(1/INDEX($L$8:$L$73,MATCH(B26,$K$8:$K$73,1)+1)-1)/((E26-VAL_DATE)/360))-IF(MAX((26&gt;0)*(D26-VAL_DATE)/360,0)&lt;=0,IF(((E26-VAL_DATE)/360)&lt;=0,0,(1/INDEX($L$8:$L$73,MATCH(B26,$K$8:$K$73,1)+1)-1)/((E26-VAL_DATE)/360)),IF(MAX((26&gt;0)*(D26-VAL_DATE)/360,0)&lt;=0,0,(1/INDEX($L$8:$L$73,MATCH(B26,$K$8:$K$73,1))-1)/MAX((26&gt;0)*(D26-VAL_DATE)/360,0))))*IF(((E26-VAL_DATE)/360)-MAX((26&gt;0)*(D26-VAL_DATE)/360,0)=0,0,(((B26-VAL_DATE)/360)-MAX((26&gt;0)*(D26-VAL_DATE)/360,0))/(((E26-VAL_DATE)/360)-MAX((26&gt;0)*(D26-VAL_DATE)/360,0))))*((B26-VAL_DATE)/360))),INDEX($L$8:$L$73,MATCH(B26,$K$8:$K$73,1))*EXP(-(F26/100)*(B26-D26)/365)),"")</f>
        <v/>
      </c>
      <c r="H26" s="17">
        <f>-LN(G26)/C26*100</f>
        <v/>
      </c>
      <c r="K26" s="18">
        <f>Bootstrap!B25</f>
        <v/>
      </c>
      <c r="L26" s="36">
        <f>Bootstrap!H25</f>
        <v/>
      </c>
    </row>
    <row r="27">
      <c r="A27" s="43" t="n">
        <v>18</v>
      </c>
      <c r="B27" s="18">
        <f>EDATE($F$7,3*17)</f>
        <v/>
      </c>
      <c r="C27" s="34">
        <f>(B27-VAL_DATE)/365</f>
        <v/>
      </c>
      <c r="D27" s="18">
        <f>INDEX($K$8:$K$73,MATCH(B27,$K$8:$K$73,1))</f>
        <v/>
      </c>
      <c r="E27" s="18">
        <f>INDEX($K$8:$K$73,MATCH(B27,$K$8:$K$73,1)+1)</f>
        <v/>
      </c>
      <c r="F27" s="17">
        <f>-LN(INDEX($L$8:$L$73,MATCH(B27,$K$8:$K$73,1)+1)/INDEX($L$8:$L$73,MATCH(B27,$K$8:$K$73,1)))/((E27-D27)/365)*100</f>
        <v/>
      </c>
      <c r="G27" s="76">
        <f>IFERROR(IF($J$7="Piecewise Linear (Simple)",IF(((B27-VAL_DATE)/360)&lt;=0,1,1/(1+(IF(MAX((27&gt;0)*(D27-VAL_DATE)/360,0)&lt;=0,IF(((E27-VAL_DATE)/360)&lt;=0,0,(1/INDEX($L$8:$L$73,MATCH(B27,$K$8:$K$73,1)+1)-1)/((E27-VAL_DATE)/360)),IF(MAX((27&gt;0)*(D27-VAL_DATE)/360,0)&lt;=0,0,(1/INDEX($L$8:$L$73,MATCH(B27,$K$8:$K$73,1))-1)/MAX((27&gt;0)*(D27-VAL_DATE)/360,0)))+(IF(((E27-VAL_DATE)/360)&lt;=0,0,(1/INDEX($L$8:$L$73,MATCH(B27,$K$8:$K$73,1)+1)-1)/((E27-VAL_DATE)/360))-IF(MAX((27&gt;0)*(D27-VAL_DATE)/360,0)&lt;=0,IF(((E27-VAL_DATE)/360)&lt;=0,0,(1/INDEX($L$8:$L$73,MATCH(B27,$K$8:$K$73,1)+1)-1)/((E27-VAL_DATE)/360)),IF(MAX((27&gt;0)*(D27-VAL_DATE)/360,0)&lt;=0,0,(1/INDEX($L$8:$L$73,MATCH(B27,$K$8:$K$73,1))-1)/MAX((27&gt;0)*(D27-VAL_DATE)/360,0))))*IF(((E27-VAL_DATE)/360)-MAX((27&gt;0)*(D27-VAL_DATE)/360,0)=0,0,(((B27-VAL_DATE)/360)-MAX((27&gt;0)*(D27-VAL_DATE)/360,0))/(((E27-VAL_DATE)/360)-MAX((27&gt;0)*(D27-VAL_DATE)/360,0))))*((B27-VAL_DATE)/360))),INDEX($L$8:$L$73,MATCH(B27,$K$8:$K$73,1))*EXP(-(F27/100)*(B27-D27)/365)),"")</f>
        <v/>
      </c>
      <c r="H27" s="17">
        <f>-LN(G27)/C27*100</f>
        <v/>
      </c>
      <c r="K27" s="18">
        <f>Bootstrap!B26</f>
        <v/>
      </c>
      <c r="L27" s="36">
        <f>Bootstrap!H26</f>
        <v/>
      </c>
    </row>
    <row r="28">
      <c r="A28" s="43" t="n">
        <v>19</v>
      </c>
      <c r="B28" s="18">
        <f>EDATE($F$7,3*18)</f>
        <v/>
      </c>
      <c r="C28" s="34">
        <f>(B28-VAL_DATE)/365</f>
        <v/>
      </c>
      <c r="D28" s="18">
        <f>INDEX($K$8:$K$73,MATCH(B28,$K$8:$K$73,1))</f>
        <v/>
      </c>
      <c r="E28" s="18">
        <f>INDEX($K$8:$K$73,MATCH(B28,$K$8:$K$73,1)+1)</f>
        <v/>
      </c>
      <c r="F28" s="17">
        <f>-LN(INDEX($L$8:$L$73,MATCH(B28,$K$8:$K$73,1)+1)/INDEX($L$8:$L$73,MATCH(B28,$K$8:$K$73,1)))/((E28-D28)/365)*100</f>
        <v/>
      </c>
      <c r="G28" s="76">
        <f>IFERROR(IF($J$7="Piecewise Linear (Simple)",IF(((B28-VAL_DATE)/360)&lt;=0,1,1/(1+(IF(MAX((28&gt;0)*(D28-VAL_DATE)/360,0)&lt;=0,IF(((E28-VAL_DATE)/360)&lt;=0,0,(1/INDEX($L$8:$L$73,MATCH(B28,$K$8:$K$73,1)+1)-1)/((E28-VAL_DATE)/360)),IF(MAX((28&gt;0)*(D28-VAL_DATE)/360,0)&lt;=0,0,(1/INDEX($L$8:$L$73,MATCH(B28,$K$8:$K$73,1))-1)/MAX((28&gt;0)*(D28-VAL_DATE)/360,0)))+(IF(((E28-VAL_DATE)/360)&lt;=0,0,(1/INDEX($L$8:$L$73,MATCH(B28,$K$8:$K$73,1)+1)-1)/((E28-VAL_DATE)/360))-IF(MAX((28&gt;0)*(D28-VAL_DATE)/360,0)&lt;=0,IF(((E28-VAL_DATE)/360)&lt;=0,0,(1/INDEX($L$8:$L$73,MATCH(B28,$K$8:$K$73,1)+1)-1)/((E28-VAL_DATE)/360)),IF(MAX((28&gt;0)*(D28-VAL_DATE)/360,0)&lt;=0,0,(1/INDEX($L$8:$L$73,MATCH(B28,$K$8:$K$73,1))-1)/MAX((28&gt;0)*(D28-VAL_DATE)/360,0))))*IF(((E28-VAL_DATE)/360)-MAX((28&gt;0)*(D28-VAL_DATE)/360,0)=0,0,(((B28-VAL_DATE)/360)-MAX((28&gt;0)*(D28-VAL_DATE)/360,0))/(((E28-VAL_DATE)/360)-MAX((28&gt;0)*(D28-VAL_DATE)/360,0))))*((B28-VAL_DATE)/360))),INDEX($L$8:$L$73,MATCH(B28,$K$8:$K$73,1))*EXP(-(F28/100)*(B28-D28)/365)),"")</f>
        <v/>
      </c>
      <c r="H28" s="17">
        <f>-LN(G28)/C28*100</f>
        <v/>
      </c>
      <c r="K28" s="18">
        <f>Bootstrap!B27</f>
        <v/>
      </c>
      <c r="L28" s="36">
        <f>Bootstrap!H27</f>
        <v/>
      </c>
    </row>
    <row r="29">
      <c r="A29" s="43" t="n">
        <v>20</v>
      </c>
      <c r="B29" s="18">
        <f>EDATE($F$7,3*19)</f>
        <v/>
      </c>
      <c r="C29" s="34">
        <f>(B29-VAL_DATE)/365</f>
        <v/>
      </c>
      <c r="D29" s="18">
        <f>INDEX($K$8:$K$73,MATCH(B29,$K$8:$K$73,1))</f>
        <v/>
      </c>
      <c r="E29" s="18">
        <f>INDEX($K$8:$K$73,MATCH(B29,$K$8:$K$73,1)+1)</f>
        <v/>
      </c>
      <c r="F29" s="17">
        <f>-LN(INDEX($L$8:$L$73,MATCH(B29,$K$8:$K$73,1)+1)/INDEX($L$8:$L$73,MATCH(B29,$K$8:$K$73,1)))/((E29-D29)/365)*100</f>
        <v/>
      </c>
      <c r="G29" s="76">
        <f>IFERROR(IF($J$7="Piecewise Linear (Simple)",IF(((B29-VAL_DATE)/360)&lt;=0,1,1/(1+(IF(MAX((29&gt;0)*(D29-VAL_DATE)/360,0)&lt;=0,IF(((E29-VAL_DATE)/360)&lt;=0,0,(1/INDEX($L$8:$L$73,MATCH(B29,$K$8:$K$73,1)+1)-1)/((E29-VAL_DATE)/360)),IF(MAX((29&gt;0)*(D29-VAL_DATE)/360,0)&lt;=0,0,(1/INDEX($L$8:$L$73,MATCH(B29,$K$8:$K$73,1))-1)/MAX((29&gt;0)*(D29-VAL_DATE)/360,0)))+(IF(((E29-VAL_DATE)/360)&lt;=0,0,(1/INDEX($L$8:$L$73,MATCH(B29,$K$8:$K$73,1)+1)-1)/((E29-VAL_DATE)/360))-IF(MAX((29&gt;0)*(D29-VAL_DATE)/360,0)&lt;=0,IF(((E29-VAL_DATE)/360)&lt;=0,0,(1/INDEX($L$8:$L$73,MATCH(B29,$K$8:$K$73,1)+1)-1)/((E29-VAL_DATE)/360)),IF(MAX((29&gt;0)*(D29-VAL_DATE)/360,0)&lt;=0,0,(1/INDEX($L$8:$L$73,MATCH(B29,$K$8:$K$73,1))-1)/MAX((29&gt;0)*(D29-VAL_DATE)/360,0))))*IF(((E29-VAL_DATE)/360)-MAX((29&gt;0)*(D29-VAL_DATE)/360,0)=0,0,(((B29-VAL_DATE)/360)-MAX((29&gt;0)*(D29-VAL_DATE)/360,0))/(((E29-VAL_DATE)/360)-MAX((29&gt;0)*(D29-VAL_DATE)/360,0))))*((B29-VAL_DATE)/360))),INDEX($L$8:$L$73,MATCH(B29,$K$8:$K$73,1))*EXP(-(F29/100)*(B29-D29)/365)),"")</f>
        <v/>
      </c>
      <c r="H29" s="17">
        <f>-LN(G29)/C29*100</f>
        <v/>
      </c>
      <c r="K29" s="18">
        <f>Bootstrap!B28</f>
        <v/>
      </c>
      <c r="L29" s="36">
        <f>Bootstrap!H28</f>
        <v/>
      </c>
    </row>
    <row r="30">
      <c r="A30" s="43" t="n">
        <v>21</v>
      </c>
      <c r="B30" s="18">
        <f>EDATE($F$7,3*20)</f>
        <v/>
      </c>
      <c r="C30" s="34">
        <f>(B30-VAL_DATE)/365</f>
        <v/>
      </c>
      <c r="D30" s="18">
        <f>INDEX($K$8:$K$73,MATCH(B30,$K$8:$K$73,1))</f>
        <v/>
      </c>
      <c r="E30" s="18">
        <f>INDEX($K$8:$K$73,MATCH(B30,$K$8:$K$73,1)+1)</f>
        <v/>
      </c>
      <c r="F30" s="17">
        <f>-LN(INDEX($L$8:$L$73,MATCH(B30,$K$8:$K$73,1)+1)/INDEX($L$8:$L$73,MATCH(B30,$K$8:$K$73,1)))/((E30-D30)/365)*100</f>
        <v/>
      </c>
      <c r="G30" s="76">
        <f>IFERROR(IF($J$7="Piecewise Linear (Simple)",IF(((B30-VAL_DATE)/360)&lt;=0,1,1/(1+(IF(MAX((30&gt;0)*(D30-VAL_DATE)/360,0)&lt;=0,IF(((E30-VAL_DATE)/360)&lt;=0,0,(1/INDEX($L$8:$L$73,MATCH(B30,$K$8:$K$73,1)+1)-1)/((E30-VAL_DATE)/360)),IF(MAX((30&gt;0)*(D30-VAL_DATE)/360,0)&lt;=0,0,(1/INDEX($L$8:$L$73,MATCH(B30,$K$8:$K$73,1))-1)/MAX((30&gt;0)*(D30-VAL_DATE)/360,0)))+(IF(((E30-VAL_DATE)/360)&lt;=0,0,(1/INDEX($L$8:$L$73,MATCH(B30,$K$8:$K$73,1)+1)-1)/((E30-VAL_DATE)/360))-IF(MAX((30&gt;0)*(D30-VAL_DATE)/360,0)&lt;=0,IF(((E30-VAL_DATE)/360)&lt;=0,0,(1/INDEX($L$8:$L$73,MATCH(B30,$K$8:$K$73,1)+1)-1)/((E30-VAL_DATE)/360)),IF(MAX((30&gt;0)*(D30-VAL_DATE)/360,0)&lt;=0,0,(1/INDEX($L$8:$L$73,MATCH(B30,$K$8:$K$73,1))-1)/MAX((30&gt;0)*(D30-VAL_DATE)/360,0))))*IF(((E30-VAL_DATE)/360)-MAX((30&gt;0)*(D30-VAL_DATE)/360,0)=0,0,(((B30-VAL_DATE)/360)-MAX((30&gt;0)*(D30-VAL_DATE)/360,0))/(((E30-VAL_DATE)/360)-MAX((30&gt;0)*(D30-VAL_DATE)/360,0))))*((B30-VAL_DATE)/360))),INDEX($L$8:$L$73,MATCH(B30,$K$8:$K$73,1))*EXP(-(F30/100)*(B30-D30)/365)),"")</f>
        <v/>
      </c>
      <c r="H30" s="17">
        <f>-LN(G30)/C30*100</f>
        <v/>
      </c>
      <c r="K30" s="18">
        <f>Bootstrap!B29</f>
        <v/>
      </c>
      <c r="L30" s="36">
        <f>Bootstrap!H29</f>
        <v/>
      </c>
    </row>
    <row r="31">
      <c r="A31" s="43" t="n">
        <v>22</v>
      </c>
      <c r="B31" s="18">
        <f>EDATE($F$7,3*21)</f>
        <v/>
      </c>
      <c r="C31" s="34">
        <f>(B31-VAL_DATE)/365</f>
        <v/>
      </c>
      <c r="D31" s="18">
        <f>INDEX($K$8:$K$73,MATCH(B31,$K$8:$K$73,1))</f>
        <v/>
      </c>
      <c r="E31" s="18">
        <f>INDEX($K$8:$K$73,MATCH(B31,$K$8:$K$73,1)+1)</f>
        <v/>
      </c>
      <c r="F31" s="17">
        <f>-LN(INDEX($L$8:$L$73,MATCH(B31,$K$8:$K$73,1)+1)/INDEX($L$8:$L$73,MATCH(B31,$K$8:$K$73,1)))/((E31-D31)/365)*100</f>
        <v/>
      </c>
      <c r="G31" s="76">
        <f>IFERROR(IF($J$7="Piecewise Linear (Simple)",IF(((B31-VAL_DATE)/360)&lt;=0,1,1/(1+(IF(MAX((31&gt;0)*(D31-VAL_DATE)/360,0)&lt;=0,IF(((E31-VAL_DATE)/360)&lt;=0,0,(1/INDEX($L$8:$L$73,MATCH(B31,$K$8:$K$73,1)+1)-1)/((E31-VAL_DATE)/360)),IF(MAX((31&gt;0)*(D31-VAL_DATE)/360,0)&lt;=0,0,(1/INDEX($L$8:$L$73,MATCH(B31,$K$8:$K$73,1))-1)/MAX((31&gt;0)*(D31-VAL_DATE)/360,0)))+(IF(((E31-VAL_DATE)/360)&lt;=0,0,(1/INDEX($L$8:$L$73,MATCH(B31,$K$8:$K$73,1)+1)-1)/((E31-VAL_DATE)/360))-IF(MAX((31&gt;0)*(D31-VAL_DATE)/360,0)&lt;=0,IF(((E31-VAL_DATE)/360)&lt;=0,0,(1/INDEX($L$8:$L$73,MATCH(B31,$K$8:$K$73,1)+1)-1)/((E31-VAL_DATE)/360)),IF(MAX((31&gt;0)*(D31-VAL_DATE)/360,0)&lt;=0,0,(1/INDEX($L$8:$L$73,MATCH(B31,$K$8:$K$73,1))-1)/MAX((31&gt;0)*(D31-VAL_DATE)/360,0))))*IF(((E31-VAL_DATE)/360)-MAX((31&gt;0)*(D31-VAL_DATE)/360,0)=0,0,(((B31-VAL_DATE)/360)-MAX((31&gt;0)*(D31-VAL_DATE)/360,0))/(((E31-VAL_DATE)/360)-MAX((31&gt;0)*(D31-VAL_DATE)/360,0))))*((B31-VAL_DATE)/360))),INDEX($L$8:$L$73,MATCH(B31,$K$8:$K$73,1))*EXP(-(F31/100)*(B31-D31)/365)),"")</f>
        <v/>
      </c>
      <c r="H31" s="17">
        <f>-LN(G31)/C31*100</f>
        <v/>
      </c>
      <c r="K31" s="18">
        <f>Bootstrap!B30</f>
        <v/>
      </c>
      <c r="L31" s="36">
        <f>Bootstrap!H30</f>
        <v/>
      </c>
    </row>
    <row r="32">
      <c r="A32" s="43" t="n">
        <v>23</v>
      </c>
      <c r="B32" s="18">
        <f>EDATE($F$7,3*22)</f>
        <v/>
      </c>
      <c r="C32" s="34">
        <f>(B32-VAL_DATE)/365</f>
        <v/>
      </c>
      <c r="D32" s="18">
        <f>INDEX($K$8:$K$73,MATCH(B32,$K$8:$K$73,1))</f>
        <v/>
      </c>
      <c r="E32" s="18">
        <f>INDEX($K$8:$K$73,MATCH(B32,$K$8:$K$73,1)+1)</f>
        <v/>
      </c>
      <c r="F32" s="17">
        <f>-LN(INDEX($L$8:$L$73,MATCH(B32,$K$8:$K$73,1)+1)/INDEX($L$8:$L$73,MATCH(B32,$K$8:$K$73,1)))/((E32-D32)/365)*100</f>
        <v/>
      </c>
      <c r="G32" s="76">
        <f>IFERROR(IF($J$7="Piecewise Linear (Simple)",IF(((B32-VAL_DATE)/360)&lt;=0,1,1/(1+(IF(MAX((32&gt;0)*(D32-VAL_DATE)/360,0)&lt;=0,IF(((E32-VAL_DATE)/360)&lt;=0,0,(1/INDEX($L$8:$L$73,MATCH(B32,$K$8:$K$73,1)+1)-1)/((E32-VAL_DATE)/360)),IF(MAX((32&gt;0)*(D32-VAL_DATE)/360,0)&lt;=0,0,(1/INDEX($L$8:$L$73,MATCH(B32,$K$8:$K$73,1))-1)/MAX((32&gt;0)*(D32-VAL_DATE)/360,0)))+(IF(((E32-VAL_DATE)/360)&lt;=0,0,(1/INDEX($L$8:$L$73,MATCH(B32,$K$8:$K$73,1)+1)-1)/((E32-VAL_DATE)/360))-IF(MAX((32&gt;0)*(D32-VAL_DATE)/360,0)&lt;=0,IF(((E32-VAL_DATE)/360)&lt;=0,0,(1/INDEX($L$8:$L$73,MATCH(B32,$K$8:$K$73,1)+1)-1)/((E32-VAL_DATE)/360)),IF(MAX((32&gt;0)*(D32-VAL_DATE)/360,0)&lt;=0,0,(1/INDEX($L$8:$L$73,MATCH(B32,$K$8:$K$73,1))-1)/MAX((32&gt;0)*(D32-VAL_DATE)/360,0))))*IF(((E32-VAL_DATE)/360)-MAX((32&gt;0)*(D32-VAL_DATE)/360,0)=0,0,(((B32-VAL_DATE)/360)-MAX((32&gt;0)*(D32-VAL_DATE)/360,0))/(((E32-VAL_DATE)/360)-MAX((32&gt;0)*(D32-VAL_DATE)/360,0))))*((B32-VAL_DATE)/360))),INDEX($L$8:$L$73,MATCH(B32,$K$8:$K$73,1))*EXP(-(F32/100)*(B32-D32)/365)),"")</f>
        <v/>
      </c>
      <c r="H32" s="17">
        <f>-LN(G32)/C32*100</f>
        <v/>
      </c>
      <c r="K32" s="18">
        <f>Bootstrap!B31</f>
        <v/>
      </c>
      <c r="L32" s="36">
        <f>Bootstrap!H31</f>
        <v/>
      </c>
    </row>
    <row r="33">
      <c r="A33" s="43" t="n">
        <v>24</v>
      </c>
      <c r="B33" s="18">
        <f>EDATE($F$7,3*23)</f>
        <v/>
      </c>
      <c r="C33" s="34">
        <f>(B33-VAL_DATE)/365</f>
        <v/>
      </c>
      <c r="D33" s="18">
        <f>INDEX($K$8:$K$73,MATCH(B33,$K$8:$K$73,1))</f>
        <v/>
      </c>
      <c r="E33" s="18">
        <f>INDEX($K$8:$K$73,MATCH(B33,$K$8:$K$73,1)+1)</f>
        <v/>
      </c>
      <c r="F33" s="17">
        <f>-LN(INDEX($L$8:$L$73,MATCH(B33,$K$8:$K$73,1)+1)/INDEX($L$8:$L$73,MATCH(B33,$K$8:$K$73,1)))/((E33-D33)/365)*100</f>
        <v/>
      </c>
      <c r="G33" s="76">
        <f>IFERROR(IF($J$7="Piecewise Linear (Simple)",IF(((B33-VAL_DATE)/360)&lt;=0,1,1/(1+(IF(MAX((33&gt;0)*(D33-VAL_DATE)/360,0)&lt;=0,IF(((E33-VAL_DATE)/360)&lt;=0,0,(1/INDEX($L$8:$L$73,MATCH(B33,$K$8:$K$73,1)+1)-1)/((E33-VAL_DATE)/360)),IF(MAX((33&gt;0)*(D33-VAL_DATE)/360,0)&lt;=0,0,(1/INDEX($L$8:$L$73,MATCH(B33,$K$8:$K$73,1))-1)/MAX((33&gt;0)*(D33-VAL_DATE)/360,0)))+(IF(((E33-VAL_DATE)/360)&lt;=0,0,(1/INDEX($L$8:$L$73,MATCH(B33,$K$8:$K$73,1)+1)-1)/((E33-VAL_DATE)/360))-IF(MAX((33&gt;0)*(D33-VAL_DATE)/360,0)&lt;=0,IF(((E33-VAL_DATE)/360)&lt;=0,0,(1/INDEX($L$8:$L$73,MATCH(B33,$K$8:$K$73,1)+1)-1)/((E33-VAL_DATE)/360)),IF(MAX((33&gt;0)*(D33-VAL_DATE)/360,0)&lt;=0,0,(1/INDEX($L$8:$L$73,MATCH(B33,$K$8:$K$73,1))-1)/MAX((33&gt;0)*(D33-VAL_DATE)/360,0))))*IF(((E33-VAL_DATE)/360)-MAX((33&gt;0)*(D33-VAL_DATE)/360,0)=0,0,(((B33-VAL_DATE)/360)-MAX((33&gt;0)*(D33-VAL_DATE)/360,0))/(((E33-VAL_DATE)/360)-MAX((33&gt;0)*(D33-VAL_DATE)/360,0))))*((B33-VAL_DATE)/360))),INDEX($L$8:$L$73,MATCH(B33,$K$8:$K$73,1))*EXP(-(F33/100)*(B33-D33)/365)),"")</f>
        <v/>
      </c>
      <c r="H33" s="17">
        <f>-LN(G33)/C33*100</f>
        <v/>
      </c>
      <c r="K33" s="18">
        <f>Bootstrap!B32</f>
        <v/>
      </c>
      <c r="L33" s="36">
        <f>Bootstrap!H32</f>
        <v/>
      </c>
    </row>
    <row r="34">
      <c r="A34" s="43" t="n">
        <v>25</v>
      </c>
      <c r="B34" s="18">
        <f>EDATE($F$7,3*24)</f>
        <v/>
      </c>
      <c r="C34" s="34">
        <f>(B34-VAL_DATE)/365</f>
        <v/>
      </c>
      <c r="D34" s="18">
        <f>INDEX($K$8:$K$73,MATCH(B34,$K$8:$K$73,1))</f>
        <v/>
      </c>
      <c r="E34" s="18">
        <f>INDEX($K$8:$K$73,MATCH(B34,$K$8:$K$73,1)+1)</f>
        <v/>
      </c>
      <c r="F34" s="17">
        <f>-LN(INDEX($L$8:$L$73,MATCH(B34,$K$8:$K$73,1)+1)/INDEX($L$8:$L$73,MATCH(B34,$K$8:$K$73,1)))/((E34-D34)/365)*100</f>
        <v/>
      </c>
      <c r="G34" s="76">
        <f>IFERROR(IF($J$7="Piecewise Linear (Simple)",IF(((B34-VAL_DATE)/360)&lt;=0,1,1/(1+(IF(MAX((34&gt;0)*(D34-VAL_DATE)/360,0)&lt;=0,IF(((E34-VAL_DATE)/360)&lt;=0,0,(1/INDEX($L$8:$L$73,MATCH(B34,$K$8:$K$73,1)+1)-1)/((E34-VAL_DATE)/360)),IF(MAX((34&gt;0)*(D34-VAL_DATE)/360,0)&lt;=0,0,(1/INDEX($L$8:$L$73,MATCH(B34,$K$8:$K$73,1))-1)/MAX((34&gt;0)*(D34-VAL_DATE)/360,0)))+(IF(((E34-VAL_DATE)/360)&lt;=0,0,(1/INDEX($L$8:$L$73,MATCH(B34,$K$8:$K$73,1)+1)-1)/((E34-VAL_DATE)/360))-IF(MAX((34&gt;0)*(D34-VAL_DATE)/360,0)&lt;=0,IF(((E34-VAL_DATE)/360)&lt;=0,0,(1/INDEX($L$8:$L$73,MATCH(B34,$K$8:$K$73,1)+1)-1)/((E34-VAL_DATE)/360)),IF(MAX((34&gt;0)*(D34-VAL_DATE)/360,0)&lt;=0,0,(1/INDEX($L$8:$L$73,MATCH(B34,$K$8:$K$73,1))-1)/MAX((34&gt;0)*(D34-VAL_DATE)/360,0))))*IF(((E34-VAL_DATE)/360)-MAX((34&gt;0)*(D34-VAL_DATE)/360,0)=0,0,(((B34-VAL_DATE)/360)-MAX((34&gt;0)*(D34-VAL_DATE)/360,0))/(((E34-VAL_DATE)/360)-MAX((34&gt;0)*(D34-VAL_DATE)/360,0))))*((B34-VAL_DATE)/360))),INDEX($L$8:$L$73,MATCH(B34,$K$8:$K$73,1))*EXP(-(F34/100)*(B34-D34)/365)),"")</f>
        <v/>
      </c>
      <c r="H34" s="17">
        <f>-LN(G34)/C34*100</f>
        <v/>
      </c>
      <c r="K34" s="18">
        <f>Bootstrap!B33</f>
        <v/>
      </c>
      <c r="L34" s="36">
        <f>Bootstrap!H33</f>
        <v/>
      </c>
    </row>
    <row r="35">
      <c r="A35" s="43" t="n">
        <v>26</v>
      </c>
      <c r="B35" s="18">
        <f>EDATE($F$7,3*25)</f>
        <v/>
      </c>
      <c r="C35" s="34">
        <f>(B35-VAL_DATE)/365</f>
        <v/>
      </c>
      <c r="D35" s="18">
        <f>INDEX($K$8:$K$73,MATCH(B35,$K$8:$K$73,1))</f>
        <v/>
      </c>
      <c r="E35" s="18">
        <f>INDEX($K$8:$K$73,MATCH(B35,$K$8:$K$73,1)+1)</f>
        <v/>
      </c>
      <c r="F35" s="17">
        <f>-LN(INDEX($L$8:$L$73,MATCH(B35,$K$8:$K$73,1)+1)/INDEX($L$8:$L$73,MATCH(B35,$K$8:$K$73,1)))/((E35-D35)/365)*100</f>
        <v/>
      </c>
      <c r="G35" s="76">
        <f>IFERROR(IF($J$7="Piecewise Linear (Simple)",IF(((B35-VAL_DATE)/360)&lt;=0,1,1/(1+(IF(MAX((35&gt;0)*(D35-VAL_DATE)/360,0)&lt;=0,IF(((E35-VAL_DATE)/360)&lt;=0,0,(1/INDEX($L$8:$L$73,MATCH(B35,$K$8:$K$73,1)+1)-1)/((E35-VAL_DATE)/360)),IF(MAX((35&gt;0)*(D35-VAL_DATE)/360,0)&lt;=0,0,(1/INDEX($L$8:$L$73,MATCH(B35,$K$8:$K$73,1))-1)/MAX((35&gt;0)*(D35-VAL_DATE)/360,0)))+(IF(((E35-VAL_DATE)/360)&lt;=0,0,(1/INDEX($L$8:$L$73,MATCH(B35,$K$8:$K$73,1)+1)-1)/((E35-VAL_DATE)/360))-IF(MAX((35&gt;0)*(D35-VAL_DATE)/360,0)&lt;=0,IF(((E35-VAL_DATE)/360)&lt;=0,0,(1/INDEX($L$8:$L$73,MATCH(B35,$K$8:$K$73,1)+1)-1)/((E35-VAL_DATE)/360)),IF(MAX((35&gt;0)*(D35-VAL_DATE)/360,0)&lt;=0,0,(1/INDEX($L$8:$L$73,MATCH(B35,$K$8:$K$73,1))-1)/MAX((35&gt;0)*(D35-VAL_DATE)/360,0))))*IF(((E35-VAL_DATE)/360)-MAX((35&gt;0)*(D35-VAL_DATE)/360,0)=0,0,(((B35-VAL_DATE)/360)-MAX((35&gt;0)*(D35-VAL_DATE)/360,0))/(((E35-VAL_DATE)/360)-MAX((35&gt;0)*(D35-VAL_DATE)/360,0))))*((B35-VAL_DATE)/360))),INDEX($L$8:$L$73,MATCH(B35,$K$8:$K$73,1))*EXP(-(F35/100)*(B35-D35)/365)),"")</f>
        <v/>
      </c>
      <c r="H35" s="17">
        <f>-LN(G35)/C35*100</f>
        <v/>
      </c>
      <c r="K35" s="18">
        <f>Bootstrap!B34</f>
        <v/>
      </c>
      <c r="L35" s="36">
        <f>Bootstrap!H34</f>
        <v/>
      </c>
    </row>
    <row r="36">
      <c r="A36" s="43" t="n">
        <v>27</v>
      </c>
      <c r="B36" s="18">
        <f>EDATE($F$7,3*26)</f>
        <v/>
      </c>
      <c r="C36" s="34">
        <f>(B36-VAL_DATE)/365</f>
        <v/>
      </c>
      <c r="D36" s="18">
        <f>INDEX($K$8:$K$73,MATCH(B36,$K$8:$K$73,1))</f>
        <v/>
      </c>
      <c r="E36" s="18">
        <f>INDEX($K$8:$K$73,MATCH(B36,$K$8:$K$73,1)+1)</f>
        <v/>
      </c>
      <c r="F36" s="17">
        <f>-LN(INDEX($L$8:$L$73,MATCH(B36,$K$8:$K$73,1)+1)/INDEX($L$8:$L$73,MATCH(B36,$K$8:$K$73,1)))/((E36-D36)/365)*100</f>
        <v/>
      </c>
      <c r="G36" s="76">
        <f>IFERROR(IF($J$7="Piecewise Linear (Simple)",IF(((B36-VAL_DATE)/360)&lt;=0,1,1/(1+(IF(MAX((36&gt;0)*(D36-VAL_DATE)/360,0)&lt;=0,IF(((E36-VAL_DATE)/360)&lt;=0,0,(1/INDEX($L$8:$L$73,MATCH(B36,$K$8:$K$73,1)+1)-1)/((E36-VAL_DATE)/360)),IF(MAX((36&gt;0)*(D36-VAL_DATE)/360,0)&lt;=0,0,(1/INDEX($L$8:$L$73,MATCH(B36,$K$8:$K$73,1))-1)/MAX((36&gt;0)*(D36-VAL_DATE)/360,0)))+(IF(((E36-VAL_DATE)/360)&lt;=0,0,(1/INDEX($L$8:$L$73,MATCH(B36,$K$8:$K$73,1)+1)-1)/((E36-VAL_DATE)/360))-IF(MAX((36&gt;0)*(D36-VAL_DATE)/360,0)&lt;=0,IF(((E36-VAL_DATE)/360)&lt;=0,0,(1/INDEX($L$8:$L$73,MATCH(B36,$K$8:$K$73,1)+1)-1)/((E36-VAL_DATE)/360)),IF(MAX((36&gt;0)*(D36-VAL_DATE)/360,0)&lt;=0,0,(1/INDEX($L$8:$L$73,MATCH(B36,$K$8:$K$73,1))-1)/MAX((36&gt;0)*(D36-VAL_DATE)/360,0))))*IF(((E36-VAL_DATE)/360)-MAX((36&gt;0)*(D36-VAL_DATE)/360,0)=0,0,(((B36-VAL_DATE)/360)-MAX((36&gt;0)*(D36-VAL_DATE)/360,0))/(((E36-VAL_DATE)/360)-MAX((36&gt;0)*(D36-VAL_DATE)/360,0))))*((B36-VAL_DATE)/360))),INDEX($L$8:$L$73,MATCH(B36,$K$8:$K$73,1))*EXP(-(F36/100)*(B36-D36)/365)),"")</f>
        <v/>
      </c>
      <c r="H36" s="17">
        <f>-LN(G36)/C36*100</f>
        <v/>
      </c>
      <c r="K36" s="18">
        <f>Bootstrap!B35</f>
        <v/>
      </c>
      <c r="L36" s="36">
        <f>Bootstrap!H35</f>
        <v/>
      </c>
    </row>
    <row r="37">
      <c r="A37" s="43" t="n">
        <v>28</v>
      </c>
      <c r="B37" s="18">
        <f>EDATE($F$7,3*27)</f>
        <v/>
      </c>
      <c r="C37" s="34">
        <f>(B37-VAL_DATE)/365</f>
        <v/>
      </c>
      <c r="D37" s="18">
        <f>INDEX($K$8:$K$73,MATCH(B37,$K$8:$K$73,1))</f>
        <v/>
      </c>
      <c r="E37" s="18">
        <f>INDEX($K$8:$K$73,MATCH(B37,$K$8:$K$73,1)+1)</f>
        <v/>
      </c>
      <c r="F37" s="17">
        <f>-LN(INDEX($L$8:$L$73,MATCH(B37,$K$8:$K$73,1)+1)/INDEX($L$8:$L$73,MATCH(B37,$K$8:$K$73,1)))/((E37-D37)/365)*100</f>
        <v/>
      </c>
      <c r="G37" s="76">
        <f>IFERROR(IF($J$7="Piecewise Linear (Simple)",IF(((B37-VAL_DATE)/360)&lt;=0,1,1/(1+(IF(MAX((37&gt;0)*(D37-VAL_DATE)/360,0)&lt;=0,IF(((E37-VAL_DATE)/360)&lt;=0,0,(1/INDEX($L$8:$L$73,MATCH(B37,$K$8:$K$73,1)+1)-1)/((E37-VAL_DATE)/360)),IF(MAX((37&gt;0)*(D37-VAL_DATE)/360,0)&lt;=0,0,(1/INDEX($L$8:$L$73,MATCH(B37,$K$8:$K$73,1))-1)/MAX((37&gt;0)*(D37-VAL_DATE)/360,0)))+(IF(((E37-VAL_DATE)/360)&lt;=0,0,(1/INDEX($L$8:$L$73,MATCH(B37,$K$8:$K$73,1)+1)-1)/((E37-VAL_DATE)/360))-IF(MAX((37&gt;0)*(D37-VAL_DATE)/360,0)&lt;=0,IF(((E37-VAL_DATE)/360)&lt;=0,0,(1/INDEX($L$8:$L$73,MATCH(B37,$K$8:$K$73,1)+1)-1)/((E37-VAL_DATE)/360)),IF(MAX((37&gt;0)*(D37-VAL_DATE)/360,0)&lt;=0,0,(1/INDEX($L$8:$L$73,MATCH(B37,$K$8:$K$73,1))-1)/MAX((37&gt;0)*(D37-VAL_DATE)/360,0))))*IF(((E37-VAL_DATE)/360)-MAX((37&gt;0)*(D37-VAL_DATE)/360,0)=0,0,(((B37-VAL_DATE)/360)-MAX((37&gt;0)*(D37-VAL_DATE)/360,0))/(((E37-VAL_DATE)/360)-MAX((37&gt;0)*(D37-VAL_DATE)/360,0))))*((B37-VAL_DATE)/360))),INDEX($L$8:$L$73,MATCH(B37,$K$8:$K$73,1))*EXP(-(F37/100)*(B37-D37)/365)),"")</f>
        <v/>
      </c>
      <c r="H37" s="17">
        <f>-LN(G37)/C37*100</f>
        <v/>
      </c>
      <c r="K37" s="18">
        <f>Bootstrap!B36</f>
        <v/>
      </c>
      <c r="L37" s="36">
        <f>Bootstrap!H36</f>
        <v/>
      </c>
    </row>
    <row r="38">
      <c r="A38" s="43" t="n">
        <v>29</v>
      </c>
      <c r="B38" s="18">
        <f>EDATE($F$7,3*28)</f>
        <v/>
      </c>
      <c r="C38" s="34">
        <f>(B38-VAL_DATE)/365</f>
        <v/>
      </c>
      <c r="D38" s="18">
        <f>INDEX($K$8:$K$73,MATCH(B38,$K$8:$K$73,1))</f>
        <v/>
      </c>
      <c r="E38" s="18">
        <f>INDEX($K$8:$K$73,MATCH(B38,$K$8:$K$73,1)+1)</f>
        <v/>
      </c>
      <c r="F38" s="17">
        <f>-LN(INDEX($L$8:$L$73,MATCH(B38,$K$8:$K$73,1)+1)/INDEX($L$8:$L$73,MATCH(B38,$K$8:$K$73,1)))/((E38-D38)/365)*100</f>
        <v/>
      </c>
      <c r="G38" s="76">
        <f>IFERROR(IF($J$7="Piecewise Linear (Simple)",IF(((B38-VAL_DATE)/360)&lt;=0,1,1/(1+(IF(MAX((38&gt;0)*(D38-VAL_DATE)/360,0)&lt;=0,IF(((E38-VAL_DATE)/360)&lt;=0,0,(1/INDEX($L$8:$L$73,MATCH(B38,$K$8:$K$73,1)+1)-1)/((E38-VAL_DATE)/360)),IF(MAX((38&gt;0)*(D38-VAL_DATE)/360,0)&lt;=0,0,(1/INDEX($L$8:$L$73,MATCH(B38,$K$8:$K$73,1))-1)/MAX((38&gt;0)*(D38-VAL_DATE)/360,0)))+(IF(((E38-VAL_DATE)/360)&lt;=0,0,(1/INDEX($L$8:$L$73,MATCH(B38,$K$8:$K$73,1)+1)-1)/((E38-VAL_DATE)/360))-IF(MAX((38&gt;0)*(D38-VAL_DATE)/360,0)&lt;=0,IF(((E38-VAL_DATE)/360)&lt;=0,0,(1/INDEX($L$8:$L$73,MATCH(B38,$K$8:$K$73,1)+1)-1)/((E38-VAL_DATE)/360)),IF(MAX((38&gt;0)*(D38-VAL_DATE)/360,0)&lt;=0,0,(1/INDEX($L$8:$L$73,MATCH(B38,$K$8:$K$73,1))-1)/MAX((38&gt;0)*(D38-VAL_DATE)/360,0))))*IF(((E38-VAL_DATE)/360)-MAX((38&gt;0)*(D38-VAL_DATE)/360,0)=0,0,(((B38-VAL_DATE)/360)-MAX((38&gt;0)*(D38-VAL_DATE)/360,0))/(((E38-VAL_DATE)/360)-MAX((38&gt;0)*(D38-VAL_DATE)/360,0))))*((B38-VAL_DATE)/360))),INDEX($L$8:$L$73,MATCH(B38,$K$8:$K$73,1))*EXP(-(F38/100)*(B38-D38)/365)),"")</f>
        <v/>
      </c>
      <c r="H38" s="17">
        <f>-LN(G38)/C38*100</f>
        <v/>
      </c>
      <c r="K38" s="18">
        <f>Bootstrap!B37</f>
        <v/>
      </c>
      <c r="L38" s="36">
        <f>Bootstrap!H37</f>
        <v/>
      </c>
    </row>
    <row r="39">
      <c r="A39" s="43" t="n">
        <v>30</v>
      </c>
      <c r="B39" s="18">
        <f>EDATE($F$7,3*29)</f>
        <v/>
      </c>
      <c r="C39" s="34">
        <f>(B39-VAL_DATE)/365</f>
        <v/>
      </c>
      <c r="D39" s="18">
        <f>INDEX($K$8:$K$73,MATCH(B39,$K$8:$K$73,1))</f>
        <v/>
      </c>
      <c r="E39" s="18">
        <f>INDEX($K$8:$K$73,MATCH(B39,$K$8:$K$73,1)+1)</f>
        <v/>
      </c>
      <c r="F39" s="17">
        <f>-LN(INDEX($L$8:$L$73,MATCH(B39,$K$8:$K$73,1)+1)/INDEX($L$8:$L$73,MATCH(B39,$K$8:$K$73,1)))/((E39-D39)/365)*100</f>
        <v/>
      </c>
      <c r="G39" s="76">
        <f>IFERROR(IF($J$7="Piecewise Linear (Simple)",IF(((B39-VAL_DATE)/360)&lt;=0,1,1/(1+(IF(MAX((39&gt;0)*(D39-VAL_DATE)/360,0)&lt;=0,IF(((E39-VAL_DATE)/360)&lt;=0,0,(1/INDEX($L$8:$L$73,MATCH(B39,$K$8:$K$73,1)+1)-1)/((E39-VAL_DATE)/360)),IF(MAX((39&gt;0)*(D39-VAL_DATE)/360,0)&lt;=0,0,(1/INDEX($L$8:$L$73,MATCH(B39,$K$8:$K$73,1))-1)/MAX((39&gt;0)*(D39-VAL_DATE)/360,0)))+(IF(((E39-VAL_DATE)/360)&lt;=0,0,(1/INDEX($L$8:$L$73,MATCH(B39,$K$8:$K$73,1)+1)-1)/((E39-VAL_DATE)/360))-IF(MAX((39&gt;0)*(D39-VAL_DATE)/360,0)&lt;=0,IF(((E39-VAL_DATE)/360)&lt;=0,0,(1/INDEX($L$8:$L$73,MATCH(B39,$K$8:$K$73,1)+1)-1)/((E39-VAL_DATE)/360)),IF(MAX((39&gt;0)*(D39-VAL_DATE)/360,0)&lt;=0,0,(1/INDEX($L$8:$L$73,MATCH(B39,$K$8:$K$73,1))-1)/MAX((39&gt;0)*(D39-VAL_DATE)/360,0))))*IF(((E39-VAL_DATE)/360)-MAX((39&gt;0)*(D39-VAL_DATE)/360,0)=0,0,(((B39-VAL_DATE)/360)-MAX((39&gt;0)*(D39-VAL_DATE)/360,0))/(((E39-VAL_DATE)/360)-MAX((39&gt;0)*(D39-VAL_DATE)/360,0))))*((B39-VAL_DATE)/360))),INDEX($L$8:$L$73,MATCH(B39,$K$8:$K$73,1))*EXP(-(F39/100)*(B39-D39)/365)),"")</f>
        <v/>
      </c>
      <c r="H39" s="17">
        <f>-LN(G39)/C39*100</f>
        <v/>
      </c>
      <c r="K39" s="18">
        <f>Bootstrap!B38</f>
        <v/>
      </c>
      <c r="L39" s="36">
        <f>Bootstrap!H38</f>
        <v/>
      </c>
    </row>
    <row r="40">
      <c r="A40" s="43" t="n">
        <v>31</v>
      </c>
      <c r="B40" s="18">
        <f>EDATE($F$7,3*30)</f>
        <v/>
      </c>
      <c r="C40" s="34">
        <f>(B40-VAL_DATE)/365</f>
        <v/>
      </c>
      <c r="D40" s="18">
        <f>INDEX($K$8:$K$73,MATCH(B40,$K$8:$K$73,1))</f>
        <v/>
      </c>
      <c r="E40" s="18">
        <f>INDEX($K$8:$K$73,MATCH(B40,$K$8:$K$73,1)+1)</f>
        <v/>
      </c>
      <c r="F40" s="17">
        <f>-LN(INDEX($L$8:$L$73,MATCH(B40,$K$8:$K$73,1)+1)/INDEX($L$8:$L$73,MATCH(B40,$K$8:$K$73,1)))/((E40-D40)/365)*100</f>
        <v/>
      </c>
      <c r="G40" s="76">
        <f>IFERROR(IF($J$7="Piecewise Linear (Simple)",IF(((B40-VAL_DATE)/360)&lt;=0,1,1/(1+(IF(MAX((40&gt;0)*(D40-VAL_DATE)/360,0)&lt;=0,IF(((E40-VAL_DATE)/360)&lt;=0,0,(1/INDEX($L$8:$L$73,MATCH(B40,$K$8:$K$73,1)+1)-1)/((E40-VAL_DATE)/360)),IF(MAX((40&gt;0)*(D40-VAL_DATE)/360,0)&lt;=0,0,(1/INDEX($L$8:$L$73,MATCH(B40,$K$8:$K$73,1))-1)/MAX((40&gt;0)*(D40-VAL_DATE)/360,0)))+(IF(((E40-VAL_DATE)/360)&lt;=0,0,(1/INDEX($L$8:$L$73,MATCH(B40,$K$8:$K$73,1)+1)-1)/((E40-VAL_DATE)/360))-IF(MAX((40&gt;0)*(D40-VAL_DATE)/360,0)&lt;=0,IF(((E40-VAL_DATE)/360)&lt;=0,0,(1/INDEX($L$8:$L$73,MATCH(B40,$K$8:$K$73,1)+1)-1)/((E40-VAL_DATE)/360)),IF(MAX((40&gt;0)*(D40-VAL_DATE)/360,0)&lt;=0,0,(1/INDEX($L$8:$L$73,MATCH(B40,$K$8:$K$73,1))-1)/MAX((40&gt;0)*(D40-VAL_DATE)/360,0))))*IF(((E40-VAL_DATE)/360)-MAX((40&gt;0)*(D40-VAL_DATE)/360,0)=0,0,(((B40-VAL_DATE)/360)-MAX((40&gt;0)*(D40-VAL_DATE)/360,0))/(((E40-VAL_DATE)/360)-MAX((40&gt;0)*(D40-VAL_DATE)/360,0))))*((B40-VAL_DATE)/360))),INDEX($L$8:$L$73,MATCH(B40,$K$8:$K$73,1))*EXP(-(F40/100)*(B40-D40)/365)),"")</f>
        <v/>
      </c>
      <c r="H40" s="17">
        <f>-LN(G40)/C40*100</f>
        <v/>
      </c>
      <c r="K40" s="18">
        <f>Bootstrap!B39</f>
        <v/>
      </c>
      <c r="L40" s="36">
        <f>Bootstrap!H39</f>
        <v/>
      </c>
    </row>
    <row r="41">
      <c r="A41" s="43" t="n">
        <v>32</v>
      </c>
      <c r="B41" s="18">
        <f>EDATE($F$7,3*31)</f>
        <v/>
      </c>
      <c r="C41" s="34">
        <f>(B41-VAL_DATE)/365</f>
        <v/>
      </c>
      <c r="D41" s="18">
        <f>INDEX($K$8:$K$73,MATCH(B41,$K$8:$K$73,1))</f>
        <v/>
      </c>
      <c r="E41" s="18">
        <f>INDEX($K$8:$K$73,MATCH(B41,$K$8:$K$73,1)+1)</f>
        <v/>
      </c>
      <c r="F41" s="17">
        <f>-LN(INDEX($L$8:$L$73,MATCH(B41,$K$8:$K$73,1)+1)/INDEX($L$8:$L$73,MATCH(B41,$K$8:$K$73,1)))/((E41-D41)/365)*100</f>
        <v/>
      </c>
      <c r="G41" s="76">
        <f>IFERROR(IF($J$7="Piecewise Linear (Simple)",IF(((B41-VAL_DATE)/360)&lt;=0,1,1/(1+(IF(MAX((41&gt;0)*(D41-VAL_DATE)/360,0)&lt;=0,IF(((E41-VAL_DATE)/360)&lt;=0,0,(1/INDEX($L$8:$L$73,MATCH(B41,$K$8:$K$73,1)+1)-1)/((E41-VAL_DATE)/360)),IF(MAX((41&gt;0)*(D41-VAL_DATE)/360,0)&lt;=0,0,(1/INDEX($L$8:$L$73,MATCH(B41,$K$8:$K$73,1))-1)/MAX((41&gt;0)*(D41-VAL_DATE)/360,0)))+(IF(((E41-VAL_DATE)/360)&lt;=0,0,(1/INDEX($L$8:$L$73,MATCH(B41,$K$8:$K$73,1)+1)-1)/((E41-VAL_DATE)/360))-IF(MAX((41&gt;0)*(D41-VAL_DATE)/360,0)&lt;=0,IF(((E41-VAL_DATE)/360)&lt;=0,0,(1/INDEX($L$8:$L$73,MATCH(B41,$K$8:$K$73,1)+1)-1)/((E41-VAL_DATE)/360)),IF(MAX((41&gt;0)*(D41-VAL_DATE)/360,0)&lt;=0,0,(1/INDEX($L$8:$L$73,MATCH(B41,$K$8:$K$73,1))-1)/MAX((41&gt;0)*(D41-VAL_DATE)/360,0))))*IF(((E41-VAL_DATE)/360)-MAX((41&gt;0)*(D41-VAL_DATE)/360,0)=0,0,(((B41-VAL_DATE)/360)-MAX((41&gt;0)*(D41-VAL_DATE)/360,0))/(((E41-VAL_DATE)/360)-MAX((41&gt;0)*(D41-VAL_DATE)/360,0))))*((B41-VAL_DATE)/360))),INDEX($L$8:$L$73,MATCH(B41,$K$8:$K$73,1))*EXP(-(F41/100)*(B41-D41)/365)),"")</f>
        <v/>
      </c>
      <c r="H41" s="17">
        <f>-LN(G41)/C41*100</f>
        <v/>
      </c>
      <c r="K41" s="47">
        <f>Bootstrap!B40</f>
        <v/>
      </c>
      <c r="L41" s="27">
        <f>Bootstrap!H40</f>
        <v/>
      </c>
    </row>
    <row r="42">
      <c r="A42" s="43" t="n">
        <v>33</v>
      </c>
      <c r="B42" s="18">
        <f>EDATE($F$7,3*32)</f>
        <v/>
      </c>
      <c r="C42" s="34">
        <f>(B42-VAL_DATE)/365</f>
        <v/>
      </c>
      <c r="D42" s="18">
        <f>INDEX($K$8:$K$73,MATCH(B42,$K$8:$K$73,1))</f>
        <v/>
      </c>
      <c r="E42" s="18">
        <f>INDEX($K$8:$K$73,MATCH(B42,$K$8:$K$73,1)+1)</f>
        <v/>
      </c>
      <c r="F42" s="17">
        <f>-LN(INDEX($L$8:$L$73,MATCH(B42,$K$8:$K$73,1)+1)/INDEX($L$8:$L$73,MATCH(B42,$K$8:$K$73,1)))/((E42-D42)/365)*100</f>
        <v/>
      </c>
      <c r="G42" s="76">
        <f>IFERROR(IF($J$7="Piecewise Linear (Simple)",IF(((B42-VAL_DATE)/360)&lt;=0,1,1/(1+(IF(MAX((42&gt;0)*(D42-VAL_DATE)/360,0)&lt;=0,IF(((E42-VAL_DATE)/360)&lt;=0,0,(1/INDEX($L$8:$L$73,MATCH(B42,$K$8:$K$73,1)+1)-1)/((E42-VAL_DATE)/360)),IF(MAX((42&gt;0)*(D42-VAL_DATE)/360,0)&lt;=0,0,(1/INDEX($L$8:$L$73,MATCH(B42,$K$8:$K$73,1))-1)/MAX((42&gt;0)*(D42-VAL_DATE)/360,0)))+(IF(((E42-VAL_DATE)/360)&lt;=0,0,(1/INDEX($L$8:$L$73,MATCH(B42,$K$8:$K$73,1)+1)-1)/((E42-VAL_DATE)/360))-IF(MAX((42&gt;0)*(D42-VAL_DATE)/360,0)&lt;=0,IF(((E42-VAL_DATE)/360)&lt;=0,0,(1/INDEX($L$8:$L$73,MATCH(B42,$K$8:$K$73,1)+1)-1)/((E42-VAL_DATE)/360)),IF(MAX((42&gt;0)*(D42-VAL_DATE)/360,0)&lt;=0,0,(1/INDEX($L$8:$L$73,MATCH(B42,$K$8:$K$73,1))-1)/MAX((42&gt;0)*(D42-VAL_DATE)/360,0))))*IF(((E42-VAL_DATE)/360)-MAX((42&gt;0)*(D42-VAL_DATE)/360,0)=0,0,(((B42-VAL_DATE)/360)-MAX((42&gt;0)*(D42-VAL_DATE)/360,0))/(((E42-VAL_DATE)/360)-MAX((42&gt;0)*(D42-VAL_DATE)/360,0))))*((B42-VAL_DATE)/360))),INDEX($L$8:$L$73,MATCH(B42,$K$8:$K$73,1))*EXP(-(F42/100)*(B42-D42)/365)),"")</f>
        <v/>
      </c>
      <c r="H42" s="17">
        <f>-LN(G42)/C42*100</f>
        <v/>
      </c>
      <c r="K42" s="47">
        <f>Bootstrap!B41</f>
        <v/>
      </c>
      <c r="L42" s="27">
        <f>Bootstrap!H41</f>
        <v/>
      </c>
    </row>
    <row r="43">
      <c r="A43" s="43" t="n">
        <v>34</v>
      </c>
      <c r="B43" s="18">
        <f>EDATE($F$7,3*33)</f>
        <v/>
      </c>
      <c r="C43" s="34">
        <f>(B43-VAL_DATE)/365</f>
        <v/>
      </c>
      <c r="D43" s="18">
        <f>INDEX($K$8:$K$73,MATCH(B43,$K$8:$K$73,1))</f>
        <v/>
      </c>
      <c r="E43" s="18">
        <f>INDEX($K$8:$K$73,MATCH(B43,$K$8:$K$73,1)+1)</f>
        <v/>
      </c>
      <c r="F43" s="17">
        <f>-LN(INDEX($L$8:$L$73,MATCH(B43,$K$8:$K$73,1)+1)/INDEX($L$8:$L$73,MATCH(B43,$K$8:$K$73,1)))/((E43-D43)/365)*100</f>
        <v/>
      </c>
      <c r="G43" s="76">
        <f>IFERROR(IF($J$7="Piecewise Linear (Simple)",IF(((B43-VAL_DATE)/360)&lt;=0,1,1/(1+(IF(MAX((43&gt;0)*(D43-VAL_DATE)/360,0)&lt;=0,IF(((E43-VAL_DATE)/360)&lt;=0,0,(1/INDEX($L$8:$L$73,MATCH(B43,$K$8:$K$73,1)+1)-1)/((E43-VAL_DATE)/360)),IF(MAX((43&gt;0)*(D43-VAL_DATE)/360,0)&lt;=0,0,(1/INDEX($L$8:$L$73,MATCH(B43,$K$8:$K$73,1))-1)/MAX((43&gt;0)*(D43-VAL_DATE)/360,0)))+(IF(((E43-VAL_DATE)/360)&lt;=0,0,(1/INDEX($L$8:$L$73,MATCH(B43,$K$8:$K$73,1)+1)-1)/((E43-VAL_DATE)/360))-IF(MAX((43&gt;0)*(D43-VAL_DATE)/360,0)&lt;=0,IF(((E43-VAL_DATE)/360)&lt;=0,0,(1/INDEX($L$8:$L$73,MATCH(B43,$K$8:$K$73,1)+1)-1)/((E43-VAL_DATE)/360)),IF(MAX((43&gt;0)*(D43-VAL_DATE)/360,0)&lt;=0,0,(1/INDEX($L$8:$L$73,MATCH(B43,$K$8:$K$73,1))-1)/MAX((43&gt;0)*(D43-VAL_DATE)/360,0))))*IF(((E43-VAL_DATE)/360)-MAX((43&gt;0)*(D43-VAL_DATE)/360,0)=0,0,(((B43-VAL_DATE)/360)-MAX((43&gt;0)*(D43-VAL_DATE)/360,0))/(((E43-VAL_DATE)/360)-MAX((43&gt;0)*(D43-VAL_DATE)/360,0))))*((B43-VAL_DATE)/360))),INDEX($L$8:$L$73,MATCH(B43,$K$8:$K$73,1))*EXP(-(F43/100)*(B43-D43)/365)),"")</f>
        <v/>
      </c>
      <c r="H43" s="17">
        <f>-LN(G43)/C43*100</f>
        <v/>
      </c>
      <c r="K43" s="47">
        <f>Bootstrap!B42</f>
        <v/>
      </c>
      <c r="L43" s="27">
        <f>Bootstrap!H42</f>
        <v/>
      </c>
    </row>
    <row r="44">
      <c r="A44" s="43" t="n">
        <v>35</v>
      </c>
      <c r="B44" s="18">
        <f>EDATE($F$7,3*34)</f>
        <v/>
      </c>
      <c r="C44" s="34">
        <f>(B44-VAL_DATE)/365</f>
        <v/>
      </c>
      <c r="D44" s="18">
        <f>INDEX($K$8:$K$73,MATCH(B44,$K$8:$K$73,1))</f>
        <v/>
      </c>
      <c r="E44" s="18">
        <f>INDEX($K$8:$K$73,MATCH(B44,$K$8:$K$73,1)+1)</f>
        <v/>
      </c>
      <c r="F44" s="17">
        <f>-LN(INDEX($L$8:$L$73,MATCH(B44,$K$8:$K$73,1)+1)/INDEX($L$8:$L$73,MATCH(B44,$K$8:$K$73,1)))/((E44-D44)/365)*100</f>
        <v/>
      </c>
      <c r="G44" s="76">
        <f>IFERROR(IF($J$7="Piecewise Linear (Simple)",IF(((B44-VAL_DATE)/360)&lt;=0,1,1/(1+(IF(MAX((44&gt;0)*(D44-VAL_DATE)/360,0)&lt;=0,IF(((E44-VAL_DATE)/360)&lt;=0,0,(1/INDEX($L$8:$L$73,MATCH(B44,$K$8:$K$73,1)+1)-1)/((E44-VAL_DATE)/360)),IF(MAX((44&gt;0)*(D44-VAL_DATE)/360,0)&lt;=0,0,(1/INDEX($L$8:$L$73,MATCH(B44,$K$8:$K$73,1))-1)/MAX((44&gt;0)*(D44-VAL_DATE)/360,0)))+(IF(((E44-VAL_DATE)/360)&lt;=0,0,(1/INDEX($L$8:$L$73,MATCH(B44,$K$8:$K$73,1)+1)-1)/((E44-VAL_DATE)/360))-IF(MAX((44&gt;0)*(D44-VAL_DATE)/360,0)&lt;=0,IF(((E44-VAL_DATE)/360)&lt;=0,0,(1/INDEX($L$8:$L$73,MATCH(B44,$K$8:$K$73,1)+1)-1)/((E44-VAL_DATE)/360)),IF(MAX((44&gt;0)*(D44-VAL_DATE)/360,0)&lt;=0,0,(1/INDEX($L$8:$L$73,MATCH(B44,$K$8:$K$73,1))-1)/MAX((44&gt;0)*(D44-VAL_DATE)/360,0))))*IF(((E44-VAL_DATE)/360)-MAX((44&gt;0)*(D44-VAL_DATE)/360,0)=0,0,(((B44-VAL_DATE)/360)-MAX((44&gt;0)*(D44-VAL_DATE)/360,0))/(((E44-VAL_DATE)/360)-MAX((44&gt;0)*(D44-VAL_DATE)/360,0))))*((B44-VAL_DATE)/360))),INDEX($L$8:$L$73,MATCH(B44,$K$8:$K$73,1))*EXP(-(F44/100)*(B44-D44)/365)),"")</f>
        <v/>
      </c>
      <c r="H44" s="17">
        <f>-LN(G44)/C44*100</f>
        <v/>
      </c>
      <c r="K44" s="47">
        <f>Bootstrap!B43</f>
        <v/>
      </c>
      <c r="L44" s="27">
        <f>Bootstrap!H43</f>
        <v/>
      </c>
    </row>
    <row r="45">
      <c r="A45" s="43" t="n">
        <v>36</v>
      </c>
      <c r="B45" s="18">
        <f>EDATE($F$7,3*35)</f>
        <v/>
      </c>
      <c r="C45" s="34">
        <f>(B45-VAL_DATE)/365</f>
        <v/>
      </c>
      <c r="D45" s="18">
        <f>INDEX($K$8:$K$73,MATCH(B45,$K$8:$K$73,1))</f>
        <v/>
      </c>
      <c r="E45" s="18">
        <f>INDEX($K$8:$K$73,MATCH(B45,$K$8:$K$73,1)+1)</f>
        <v/>
      </c>
      <c r="F45" s="17">
        <f>-LN(INDEX($L$8:$L$73,MATCH(B45,$K$8:$K$73,1)+1)/INDEX($L$8:$L$73,MATCH(B45,$K$8:$K$73,1)))/((E45-D45)/365)*100</f>
        <v/>
      </c>
      <c r="G45" s="76">
        <f>IFERROR(IF($J$7="Piecewise Linear (Simple)",IF(((B45-VAL_DATE)/360)&lt;=0,1,1/(1+(IF(MAX((45&gt;0)*(D45-VAL_DATE)/360,0)&lt;=0,IF(((E45-VAL_DATE)/360)&lt;=0,0,(1/INDEX($L$8:$L$73,MATCH(B45,$K$8:$K$73,1)+1)-1)/((E45-VAL_DATE)/360)),IF(MAX((45&gt;0)*(D45-VAL_DATE)/360,0)&lt;=0,0,(1/INDEX($L$8:$L$73,MATCH(B45,$K$8:$K$73,1))-1)/MAX((45&gt;0)*(D45-VAL_DATE)/360,0)))+(IF(((E45-VAL_DATE)/360)&lt;=0,0,(1/INDEX($L$8:$L$73,MATCH(B45,$K$8:$K$73,1)+1)-1)/((E45-VAL_DATE)/360))-IF(MAX((45&gt;0)*(D45-VAL_DATE)/360,0)&lt;=0,IF(((E45-VAL_DATE)/360)&lt;=0,0,(1/INDEX($L$8:$L$73,MATCH(B45,$K$8:$K$73,1)+1)-1)/((E45-VAL_DATE)/360)),IF(MAX((45&gt;0)*(D45-VAL_DATE)/360,0)&lt;=0,0,(1/INDEX($L$8:$L$73,MATCH(B45,$K$8:$K$73,1))-1)/MAX((45&gt;0)*(D45-VAL_DATE)/360,0))))*IF(((E45-VAL_DATE)/360)-MAX((45&gt;0)*(D45-VAL_DATE)/360,0)=0,0,(((B45-VAL_DATE)/360)-MAX((45&gt;0)*(D45-VAL_DATE)/360,0))/(((E45-VAL_DATE)/360)-MAX((45&gt;0)*(D45-VAL_DATE)/360,0))))*((B45-VAL_DATE)/360))),INDEX($L$8:$L$73,MATCH(B45,$K$8:$K$73,1))*EXP(-(F45/100)*(B45-D45)/365)),"")</f>
        <v/>
      </c>
      <c r="H45" s="17">
        <f>-LN(G45)/C45*100</f>
        <v/>
      </c>
      <c r="K45" s="47">
        <f>Bootstrap!B44</f>
        <v/>
      </c>
      <c r="L45" s="27">
        <f>Bootstrap!H44</f>
        <v/>
      </c>
    </row>
    <row r="46">
      <c r="A46" s="43" t="n">
        <v>37</v>
      </c>
      <c r="B46" s="18">
        <f>EDATE($F$7,3*36)</f>
        <v/>
      </c>
      <c r="C46" s="34">
        <f>(B46-VAL_DATE)/365</f>
        <v/>
      </c>
      <c r="D46" s="18">
        <f>INDEX($K$8:$K$73,MATCH(B46,$K$8:$K$73,1))</f>
        <v/>
      </c>
      <c r="E46" s="18">
        <f>INDEX($K$8:$K$73,MATCH(B46,$K$8:$K$73,1)+1)</f>
        <v/>
      </c>
      <c r="F46" s="17">
        <f>-LN(INDEX($L$8:$L$73,MATCH(B46,$K$8:$K$73,1)+1)/INDEX($L$8:$L$73,MATCH(B46,$K$8:$K$73,1)))/((E46-D46)/365)*100</f>
        <v/>
      </c>
      <c r="G46" s="76">
        <f>IFERROR(IF($J$7="Piecewise Linear (Simple)",IF(((B46-VAL_DATE)/360)&lt;=0,1,1/(1+(IF(MAX((46&gt;0)*(D46-VAL_DATE)/360,0)&lt;=0,IF(((E46-VAL_DATE)/360)&lt;=0,0,(1/INDEX($L$8:$L$73,MATCH(B46,$K$8:$K$73,1)+1)-1)/((E46-VAL_DATE)/360)),IF(MAX((46&gt;0)*(D46-VAL_DATE)/360,0)&lt;=0,0,(1/INDEX($L$8:$L$73,MATCH(B46,$K$8:$K$73,1))-1)/MAX((46&gt;0)*(D46-VAL_DATE)/360,0)))+(IF(((E46-VAL_DATE)/360)&lt;=0,0,(1/INDEX($L$8:$L$73,MATCH(B46,$K$8:$K$73,1)+1)-1)/((E46-VAL_DATE)/360))-IF(MAX((46&gt;0)*(D46-VAL_DATE)/360,0)&lt;=0,IF(((E46-VAL_DATE)/360)&lt;=0,0,(1/INDEX($L$8:$L$73,MATCH(B46,$K$8:$K$73,1)+1)-1)/((E46-VAL_DATE)/360)),IF(MAX((46&gt;0)*(D46-VAL_DATE)/360,0)&lt;=0,0,(1/INDEX($L$8:$L$73,MATCH(B46,$K$8:$K$73,1))-1)/MAX((46&gt;0)*(D46-VAL_DATE)/360,0))))*IF(((E46-VAL_DATE)/360)-MAX((46&gt;0)*(D46-VAL_DATE)/360,0)=0,0,(((B46-VAL_DATE)/360)-MAX((46&gt;0)*(D46-VAL_DATE)/360,0))/(((E46-VAL_DATE)/360)-MAX((46&gt;0)*(D46-VAL_DATE)/360,0))))*((B46-VAL_DATE)/360))),INDEX($L$8:$L$73,MATCH(B46,$K$8:$K$73,1))*EXP(-(F46/100)*(B46-D46)/365)),"")</f>
        <v/>
      </c>
      <c r="H46" s="17">
        <f>-LN(G46)/C46*100</f>
        <v/>
      </c>
      <c r="K46" s="47">
        <f>Bootstrap!B45</f>
        <v/>
      </c>
      <c r="L46" s="27">
        <f>Bootstrap!H45</f>
        <v/>
      </c>
    </row>
    <row r="47">
      <c r="A47" s="43" t="n">
        <v>38</v>
      </c>
      <c r="B47" s="18">
        <f>EDATE($F$7,3*37)</f>
        <v/>
      </c>
      <c r="C47" s="34">
        <f>(B47-VAL_DATE)/365</f>
        <v/>
      </c>
      <c r="D47" s="18">
        <f>INDEX($K$8:$K$73,MATCH(B47,$K$8:$K$73,1))</f>
        <v/>
      </c>
      <c r="E47" s="18">
        <f>INDEX($K$8:$K$73,MATCH(B47,$K$8:$K$73,1)+1)</f>
        <v/>
      </c>
      <c r="F47" s="17">
        <f>-LN(INDEX($L$8:$L$73,MATCH(B47,$K$8:$K$73,1)+1)/INDEX($L$8:$L$73,MATCH(B47,$K$8:$K$73,1)))/((E47-D47)/365)*100</f>
        <v/>
      </c>
      <c r="G47" s="76">
        <f>IFERROR(IF($J$7="Piecewise Linear (Simple)",IF(((B47-VAL_DATE)/360)&lt;=0,1,1/(1+(IF(MAX((47&gt;0)*(D47-VAL_DATE)/360,0)&lt;=0,IF(((E47-VAL_DATE)/360)&lt;=0,0,(1/INDEX($L$8:$L$73,MATCH(B47,$K$8:$K$73,1)+1)-1)/((E47-VAL_DATE)/360)),IF(MAX((47&gt;0)*(D47-VAL_DATE)/360,0)&lt;=0,0,(1/INDEX($L$8:$L$73,MATCH(B47,$K$8:$K$73,1))-1)/MAX((47&gt;0)*(D47-VAL_DATE)/360,0)))+(IF(((E47-VAL_DATE)/360)&lt;=0,0,(1/INDEX($L$8:$L$73,MATCH(B47,$K$8:$K$73,1)+1)-1)/((E47-VAL_DATE)/360))-IF(MAX((47&gt;0)*(D47-VAL_DATE)/360,0)&lt;=0,IF(((E47-VAL_DATE)/360)&lt;=0,0,(1/INDEX($L$8:$L$73,MATCH(B47,$K$8:$K$73,1)+1)-1)/((E47-VAL_DATE)/360)),IF(MAX((47&gt;0)*(D47-VAL_DATE)/360,0)&lt;=0,0,(1/INDEX($L$8:$L$73,MATCH(B47,$K$8:$K$73,1))-1)/MAX((47&gt;0)*(D47-VAL_DATE)/360,0))))*IF(((E47-VAL_DATE)/360)-MAX((47&gt;0)*(D47-VAL_DATE)/360,0)=0,0,(((B47-VAL_DATE)/360)-MAX((47&gt;0)*(D47-VAL_DATE)/360,0))/(((E47-VAL_DATE)/360)-MAX((47&gt;0)*(D47-VAL_DATE)/360,0))))*((B47-VAL_DATE)/360))),INDEX($L$8:$L$73,MATCH(B47,$K$8:$K$73,1))*EXP(-(F47/100)*(B47-D47)/365)),"")</f>
        <v/>
      </c>
      <c r="H47" s="17">
        <f>-LN(G47)/C47*100</f>
        <v/>
      </c>
      <c r="K47" s="47">
        <f>Bootstrap!B46</f>
        <v/>
      </c>
      <c r="L47" s="27">
        <f>Bootstrap!H46</f>
        <v/>
      </c>
    </row>
    <row r="48">
      <c r="A48" s="43" t="n">
        <v>39</v>
      </c>
      <c r="B48" s="18">
        <f>EDATE($F$7,3*38)</f>
        <v/>
      </c>
      <c r="C48" s="34">
        <f>(B48-VAL_DATE)/365</f>
        <v/>
      </c>
      <c r="D48" s="18">
        <f>INDEX($K$8:$K$73,MATCH(B48,$K$8:$K$73,1))</f>
        <v/>
      </c>
      <c r="E48" s="18">
        <f>INDEX($K$8:$K$73,MATCH(B48,$K$8:$K$73,1)+1)</f>
        <v/>
      </c>
      <c r="F48" s="17">
        <f>-LN(INDEX($L$8:$L$73,MATCH(B48,$K$8:$K$73,1)+1)/INDEX($L$8:$L$73,MATCH(B48,$K$8:$K$73,1)))/((E48-D48)/365)*100</f>
        <v/>
      </c>
      <c r="G48" s="76">
        <f>IFERROR(IF($J$7="Piecewise Linear (Simple)",IF(((B48-VAL_DATE)/360)&lt;=0,1,1/(1+(IF(MAX((48&gt;0)*(D48-VAL_DATE)/360,0)&lt;=0,IF(((E48-VAL_DATE)/360)&lt;=0,0,(1/INDEX($L$8:$L$73,MATCH(B48,$K$8:$K$73,1)+1)-1)/((E48-VAL_DATE)/360)),IF(MAX((48&gt;0)*(D48-VAL_DATE)/360,0)&lt;=0,0,(1/INDEX($L$8:$L$73,MATCH(B48,$K$8:$K$73,1))-1)/MAX((48&gt;0)*(D48-VAL_DATE)/360,0)))+(IF(((E48-VAL_DATE)/360)&lt;=0,0,(1/INDEX($L$8:$L$73,MATCH(B48,$K$8:$K$73,1)+1)-1)/((E48-VAL_DATE)/360))-IF(MAX((48&gt;0)*(D48-VAL_DATE)/360,0)&lt;=0,IF(((E48-VAL_DATE)/360)&lt;=0,0,(1/INDEX($L$8:$L$73,MATCH(B48,$K$8:$K$73,1)+1)-1)/((E48-VAL_DATE)/360)),IF(MAX((48&gt;0)*(D48-VAL_DATE)/360,0)&lt;=0,0,(1/INDEX($L$8:$L$73,MATCH(B48,$K$8:$K$73,1))-1)/MAX((48&gt;0)*(D48-VAL_DATE)/360,0))))*IF(((E48-VAL_DATE)/360)-MAX((48&gt;0)*(D48-VAL_DATE)/360,0)=0,0,(((B48-VAL_DATE)/360)-MAX((48&gt;0)*(D48-VAL_DATE)/360,0))/(((E48-VAL_DATE)/360)-MAX((48&gt;0)*(D48-VAL_DATE)/360,0))))*((B48-VAL_DATE)/360))),INDEX($L$8:$L$73,MATCH(B48,$K$8:$K$73,1))*EXP(-(F48/100)*(B48-D48)/365)),"")</f>
        <v/>
      </c>
      <c r="H48" s="17">
        <f>-LN(G48)/C48*100</f>
        <v/>
      </c>
      <c r="K48" s="47">
        <f>Bootstrap!B47</f>
        <v/>
      </c>
      <c r="L48" s="27">
        <f>Bootstrap!H47</f>
        <v/>
      </c>
    </row>
    <row r="49">
      <c r="A49" s="43" t="n">
        <v>40</v>
      </c>
      <c r="B49" s="18">
        <f>EDATE($F$7,3*39)</f>
        <v/>
      </c>
      <c r="C49" s="34">
        <f>(B49-VAL_DATE)/365</f>
        <v/>
      </c>
      <c r="D49" s="18">
        <f>INDEX($K$8:$K$73,MATCH(B49,$K$8:$K$73,1))</f>
        <v/>
      </c>
      <c r="E49" s="18">
        <f>INDEX($K$8:$K$73,MATCH(B49,$K$8:$K$73,1)+1)</f>
        <v/>
      </c>
      <c r="F49" s="17">
        <f>-LN(INDEX($L$8:$L$73,MATCH(B49,$K$8:$K$73,1)+1)/INDEX($L$8:$L$73,MATCH(B49,$K$8:$K$73,1)))/((E49-D49)/365)*100</f>
        <v/>
      </c>
      <c r="G49" s="76">
        <f>IFERROR(IF($J$7="Piecewise Linear (Simple)",IF(((B49-VAL_DATE)/360)&lt;=0,1,1/(1+(IF(MAX((49&gt;0)*(D49-VAL_DATE)/360,0)&lt;=0,IF(((E49-VAL_DATE)/360)&lt;=0,0,(1/INDEX($L$8:$L$73,MATCH(B49,$K$8:$K$73,1)+1)-1)/((E49-VAL_DATE)/360)),IF(MAX((49&gt;0)*(D49-VAL_DATE)/360,0)&lt;=0,0,(1/INDEX($L$8:$L$73,MATCH(B49,$K$8:$K$73,1))-1)/MAX((49&gt;0)*(D49-VAL_DATE)/360,0)))+(IF(((E49-VAL_DATE)/360)&lt;=0,0,(1/INDEX($L$8:$L$73,MATCH(B49,$K$8:$K$73,1)+1)-1)/((E49-VAL_DATE)/360))-IF(MAX((49&gt;0)*(D49-VAL_DATE)/360,0)&lt;=0,IF(((E49-VAL_DATE)/360)&lt;=0,0,(1/INDEX($L$8:$L$73,MATCH(B49,$K$8:$K$73,1)+1)-1)/((E49-VAL_DATE)/360)),IF(MAX((49&gt;0)*(D49-VAL_DATE)/360,0)&lt;=0,0,(1/INDEX($L$8:$L$73,MATCH(B49,$K$8:$K$73,1))-1)/MAX((49&gt;0)*(D49-VAL_DATE)/360,0))))*IF(((E49-VAL_DATE)/360)-MAX((49&gt;0)*(D49-VAL_DATE)/360,0)=0,0,(((B49-VAL_DATE)/360)-MAX((49&gt;0)*(D49-VAL_DATE)/360,0))/(((E49-VAL_DATE)/360)-MAX((49&gt;0)*(D49-VAL_DATE)/360,0))))*((B49-VAL_DATE)/360))),INDEX($L$8:$L$73,MATCH(B49,$K$8:$K$73,1))*EXP(-(F49/100)*(B49-D49)/365)),"")</f>
        <v/>
      </c>
      <c r="H49" s="17">
        <f>-LN(G49)/C49*100</f>
        <v/>
      </c>
      <c r="K49" s="47">
        <f>Bootstrap!B48</f>
        <v/>
      </c>
      <c r="L49" s="27">
        <f>Bootstrap!H48</f>
        <v/>
      </c>
    </row>
    <row r="50">
      <c r="K50" s="47">
        <f>Bootstrap!B49</f>
        <v/>
      </c>
      <c r="L50" s="27">
        <f>Bootstrap!H49</f>
        <v/>
      </c>
    </row>
    <row r="51">
      <c r="K51" s="47">
        <f>Bootstrap!B50</f>
        <v/>
      </c>
      <c r="L51" s="27">
        <f>Bootstrap!H50</f>
        <v/>
      </c>
    </row>
    <row r="52">
      <c r="K52" s="47">
        <f>Bootstrap!B51</f>
        <v/>
      </c>
      <c r="L52" s="27">
        <f>Bootstrap!H51</f>
        <v/>
      </c>
    </row>
    <row r="53">
      <c r="K53" s="47">
        <f>Bootstrap!B52</f>
        <v/>
      </c>
      <c r="L53" s="27">
        <f>Bootstrap!H52</f>
        <v/>
      </c>
    </row>
    <row r="54">
      <c r="K54" s="47">
        <f>Bootstrap!B53</f>
        <v/>
      </c>
      <c r="L54" s="27">
        <f>Bootstrap!H53</f>
        <v/>
      </c>
    </row>
    <row r="55">
      <c r="K55" s="47">
        <f>Bootstrap!B54</f>
        <v/>
      </c>
      <c r="L55" s="27">
        <f>Bootstrap!H54</f>
        <v/>
      </c>
    </row>
    <row r="56">
      <c r="K56" s="47">
        <f>Bootstrap!B55</f>
        <v/>
      </c>
      <c r="L56" s="27">
        <f>Bootstrap!H55</f>
        <v/>
      </c>
    </row>
    <row r="57">
      <c r="K57" s="47">
        <f>Bootstrap!B56</f>
        <v/>
      </c>
      <c r="L57" s="27">
        <f>Bootstrap!H56</f>
        <v/>
      </c>
    </row>
    <row r="58">
      <c r="K58" s="47">
        <f>Bootstrap!B57</f>
        <v/>
      </c>
      <c r="L58" s="27">
        <f>Bootstrap!H57</f>
        <v/>
      </c>
    </row>
    <row r="59">
      <c r="K59" s="47">
        <f>Bootstrap!B58</f>
        <v/>
      </c>
      <c r="L59" s="27">
        <f>Bootstrap!H58</f>
        <v/>
      </c>
    </row>
    <row r="60">
      <c r="K60" s="47">
        <f>Bootstrap!B59</f>
        <v/>
      </c>
      <c r="L60" s="27">
        <f>Bootstrap!H59</f>
        <v/>
      </c>
    </row>
    <row r="61">
      <c r="K61" s="47">
        <f>Bootstrap!B60</f>
        <v/>
      </c>
      <c r="L61" s="27">
        <f>Bootstrap!H60</f>
        <v/>
      </c>
    </row>
    <row r="62">
      <c r="K62" s="47">
        <f>Bootstrap!B61</f>
        <v/>
      </c>
      <c r="L62" s="27">
        <f>Bootstrap!H61</f>
        <v/>
      </c>
    </row>
    <row r="63">
      <c r="K63" s="47">
        <f>Bootstrap!B62</f>
        <v/>
      </c>
      <c r="L63" s="27">
        <f>Bootstrap!H62</f>
        <v/>
      </c>
    </row>
    <row r="64">
      <c r="K64" s="47">
        <f>Bootstrap!B63</f>
        <v/>
      </c>
      <c r="L64" s="27">
        <f>Bootstrap!H63</f>
        <v/>
      </c>
    </row>
    <row r="65">
      <c r="K65" s="47">
        <f>Bootstrap!B64</f>
        <v/>
      </c>
      <c r="L65" s="27">
        <f>Bootstrap!H64</f>
        <v/>
      </c>
    </row>
    <row r="66">
      <c r="K66" s="47">
        <f>Bootstrap!B65</f>
        <v/>
      </c>
      <c r="L66" s="27">
        <f>Bootstrap!H65</f>
        <v/>
      </c>
    </row>
    <row r="67">
      <c r="K67" s="47">
        <f>Bootstrap!B66</f>
        <v/>
      </c>
      <c r="L67" s="27">
        <f>Bootstrap!H66</f>
        <v/>
      </c>
    </row>
    <row r="68">
      <c r="K68" s="47">
        <f>Bootstrap!B67</f>
        <v/>
      </c>
      <c r="L68" s="27">
        <f>Bootstrap!H67</f>
        <v/>
      </c>
    </row>
    <row r="69">
      <c r="K69" s="47">
        <f>Bootstrap!B68</f>
        <v/>
      </c>
      <c r="L69" s="27">
        <f>Bootstrap!H68</f>
        <v/>
      </c>
    </row>
    <row r="70">
      <c r="K70" s="47">
        <f>Bootstrap!B69</f>
        <v/>
      </c>
      <c r="L70" s="27">
        <f>Bootstrap!H69</f>
        <v/>
      </c>
    </row>
    <row r="71">
      <c r="K71" s="47">
        <f>Bootstrap!B70</f>
        <v/>
      </c>
      <c r="L71" s="27">
        <f>Bootstrap!H70</f>
        <v/>
      </c>
    </row>
    <row r="72">
      <c r="K72" s="47">
        <f>Bootstrap!B71</f>
        <v/>
      </c>
      <c r="L72" s="27">
        <f>Bootstrap!H71</f>
        <v/>
      </c>
    </row>
    <row r="73">
      <c r="K73" s="47">
        <f>Bootstrap!B72</f>
        <v/>
      </c>
      <c r="L73" s="27">
        <f>Bootstrap!H72</f>
        <v/>
      </c>
    </row>
  </sheetData>
  <mergeCells count="2">
    <mergeCell ref="K6:L6"/>
    <mergeCell ref="A4:H6"/>
  </mergeCells>
  <dataValidations count="1">
    <dataValidation sqref="J7" showDropDown="0" showInputMessage="0" showErrorMessage="0" allowBlank="0" type="list">
      <formula1>"Step-function forward (flat fwd),Piecewise Linear (Simple)"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7D32"/>
    <outlinePr summaryBelow="1" summaryRight="1"/>
    <pageSetUpPr/>
  </sheetPr>
  <dimension ref="A1:N96"/>
  <sheetViews>
    <sheetView showGridLines="0" workbookViewId="0">
      <pane xSplit="1" ySplit="34" topLeftCell="B3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1" customWidth="1" min="4" max="4"/>
    <col width="14" customWidth="1" min="5" max="5"/>
    <col width="15" customWidth="1" min="6" max="6"/>
    <col width="15" customWidth="1" min="7" max="7"/>
    <col width="11" customWidth="1" min="8" max="8"/>
    <col width="2" customWidth="1" min="9" max="9"/>
    <col width="1" customWidth="1" min="10" max="10"/>
    <col width="14" customWidth="1" min="11" max="11"/>
    <col width="12" customWidth="1" min="12" max="12"/>
  </cols>
  <sheetData>
    <row r="1">
      <c r="A1" s="1" t="inlineStr">
        <is>
          <t>Swap_Pricer</t>
        </is>
      </c>
    </row>
    <row r="2">
      <c r="A2" s="2" t="inlineStr">
        <is>
          <t>Dynamic Fixed-vs-SOFR OIS valuation (SWPM-style), priced off the Bootstrap curve — every cell is live</t>
        </is>
      </c>
    </row>
    <row r="4">
      <c r="A4" s="4" t="inlineStr">
        <is>
          <t>DEAL — Fixed vs SOFR OIS   (yellow = inputs; everything else is computed)</t>
        </is>
      </c>
      <c r="K4" s="13" t="inlineStr">
        <is>
          <t>Discount curve (from Bootstrap)</t>
        </is>
      </c>
      <c r="N4" s="98" t="inlineStr">
        <is>
          <t>Do not write text into K or L. MATCH needs a strictly ascending date column; a stray label here flattened every DF past 17Y.</t>
        </is>
      </c>
    </row>
    <row r="5">
      <c r="A5" s="5" t="inlineStr">
        <is>
          <t>Direction (Leg 1 = Fixed)</t>
        </is>
      </c>
      <c r="B5" s="37" t="inlineStr">
        <is>
          <t>Receive fixed</t>
        </is>
      </c>
      <c r="C5" s="38" t="inlineStr">
        <is>
          <t>Type "Receive fixed" or "Pay fixed". Sets the sign of the net NPV.</t>
        </is>
      </c>
      <c r="K5" s="13" t="inlineStr">
        <is>
          <t>Curve date</t>
        </is>
      </c>
      <c r="L5" s="13" t="inlineStr">
        <is>
          <t>DF</t>
        </is>
      </c>
    </row>
    <row r="6">
      <c r="A6" s="5" t="inlineStr">
        <is>
          <t>Notional</t>
        </is>
      </c>
      <c r="B6" s="39" t="n">
        <v>10000000</v>
      </c>
      <c r="C6" s="38" t="inlineStr">
        <is>
          <t>Both legs, USD.</t>
        </is>
      </c>
      <c r="K6" s="86">
        <f>VAL_DATE</f>
        <v/>
      </c>
      <c r="L6" s="76" t="n">
        <v>1</v>
      </c>
    </row>
    <row r="7">
      <c r="A7" s="5" t="inlineStr">
        <is>
          <t>Currency</t>
        </is>
      </c>
      <c r="B7" s="6" t="inlineStr">
        <is>
          <t>USD</t>
        </is>
      </c>
      <c r="K7" s="18">
        <f>Bootstrap!B8</f>
        <v/>
      </c>
      <c r="L7" s="36">
        <f>Bootstrap!H8</f>
        <v/>
      </c>
    </row>
    <row r="8">
      <c r="A8" s="5" t="inlineStr">
        <is>
          <t>Effective date</t>
        </is>
      </c>
      <c r="B8" s="40">
        <f>Bootstrap!$B$4</f>
        <v/>
      </c>
      <c r="C8" s="38" t="inlineStr">
        <is>
          <t>Defaults to curve spot (T+2). Overtype for a forward-start swap.</t>
        </is>
      </c>
      <c r="K8" s="18">
        <f>Bootstrap!B9</f>
        <v/>
      </c>
      <c r="L8" s="36">
        <f>Bootstrap!H9</f>
        <v/>
      </c>
    </row>
    <row r="9">
      <c r="A9" s="5" t="inlineStr">
        <is>
          <t>Tenor (years)</t>
        </is>
      </c>
      <c r="B9" s="41" t="n">
        <v>1</v>
      </c>
      <c r="C9" s="38" t="inlineStr">
        <is>
          <t>Whole years; drives the annual coupon schedule below.</t>
        </is>
      </c>
      <c r="K9" s="18">
        <f>Bootstrap!B10</f>
        <v/>
      </c>
      <c r="L9" s="36">
        <f>Bootstrap!H10</f>
        <v/>
      </c>
    </row>
    <row r="10">
      <c r="A10" s="5" t="inlineStr">
        <is>
          <t>Maturity date</t>
        </is>
      </c>
      <c r="B10" s="112">
        <f>IF($B$17&lt;&gt;"",$B$17,IF(MONTH((EDATE($B$8,12*$B$9)+IF(WEEKDAY(EDATE($B$8,12*$B$9),2)=6,2,IF(WEEKDAY(EDATE($B$8,12*$B$9),2)=7,1,0))))&lt;&gt;MONTH(EDATE($B$8,12*$B$9)),(EDATE($B$8,12*$B$9)-IF(WEEKDAY(EDATE($B$8,12*$B$9),2)=6,1,IF(WEEKDAY(EDATE($B$8,12*$B$9),2)=7,2,0))),(EDATE($B$8,12*$B$9)+IF(WEEKDAY(EDATE($B$8,12*$B$9),2)=6,2,IF(WEEKDAY(EDATE($B$8,12*$B$9),2)=7,1,0)))))</f>
        <v/>
      </c>
      <c r="C10" s="38" t="inlineStr">
        <is>
          <t>Effective + Tenor.</t>
        </is>
      </c>
      <c r="K10" s="18">
        <f>Bootstrap!B11</f>
        <v/>
      </c>
      <c r="L10" s="36">
        <f>Bootstrap!H11</f>
        <v/>
      </c>
    </row>
    <row r="11">
      <c r="A11" s="5" t="inlineStr">
        <is>
          <t>Fixed coupon (%)</t>
        </is>
      </c>
      <c r="B11" s="42">
        <f>B25</f>
        <v/>
      </c>
      <c r="C11" s="38" t="inlineStr">
        <is>
          <t>Defaults to the Par coupon (row 25) → NPV ≈ 0. Overtype to value an off-market coupon.</t>
        </is>
      </c>
      <c r="K11" s="18">
        <f>Bootstrap!B12</f>
        <v/>
      </c>
      <c r="L11" s="36">
        <f>Bootstrap!H12</f>
        <v/>
      </c>
    </row>
    <row r="12">
      <c r="A12" s="5" t="inlineStr">
        <is>
          <t>Fixed pay frequency</t>
        </is>
      </c>
      <c r="B12" s="6" t="inlineStr">
        <is>
          <t>Annual</t>
        </is>
      </c>
      <c r="K12" s="18">
        <f>Bootstrap!B13</f>
        <v/>
      </c>
      <c r="L12" s="36">
        <f>Bootstrap!H13</f>
        <v/>
      </c>
    </row>
    <row r="13">
      <c r="A13" s="5" t="inlineStr">
        <is>
          <t>Fixed day count</t>
        </is>
      </c>
      <c r="B13" s="6" t="inlineStr">
        <is>
          <t>ACT/360</t>
        </is>
      </c>
      <c r="K13" s="18">
        <f>Bootstrap!B14</f>
        <v/>
      </c>
      <c r="L13" s="36">
        <f>Bootstrap!H14</f>
        <v/>
      </c>
    </row>
    <row r="14">
      <c r="A14" s="5" t="inlineStr">
        <is>
          <t>Float index</t>
        </is>
      </c>
      <c r="B14" s="6" t="inlineStr">
        <is>
          <t>SOFR (daily compounded, single-curve)</t>
        </is>
      </c>
      <c r="K14" s="18">
        <f>Bootstrap!B15</f>
        <v/>
      </c>
      <c r="L14" s="36">
        <f>Bootstrap!H15</f>
        <v/>
      </c>
    </row>
    <row r="15">
      <c r="A15" s="5" t="inlineStr">
        <is>
          <t>Curve / valuation date</t>
        </is>
      </c>
      <c r="B15" s="18">
        <f>VAL_DATE</f>
        <v/>
      </c>
      <c r="C15" s="38" t="inlineStr">
        <is>
          <t>Curve is discounted from spot = Bootstrap!B4.</t>
        </is>
      </c>
      <c r="K15" s="18">
        <f>Bootstrap!B16</f>
        <v/>
      </c>
      <c r="L15" s="36">
        <f>Bootstrap!H16</f>
        <v/>
      </c>
    </row>
    <row r="16">
      <c r="A16" s="5" t="inlineStr">
        <is>
          <t>Direction sign (+recv / −pay)</t>
        </is>
      </c>
      <c r="B16" s="43">
        <f>IF($B$5="Receive fixed",1,-1)</f>
        <v/>
      </c>
      <c r="K16" s="18">
        <f>Bootstrap!B17</f>
        <v/>
      </c>
      <c r="L16" s="36">
        <f>Bootstrap!H17</f>
        <v/>
      </c>
    </row>
    <row r="17">
      <c r="A17" s="94" t="inlineStr">
        <is>
          <t>Maturity override (blank = from tenor)</t>
        </is>
      </c>
      <c r="B17" s="111" t="n"/>
      <c r="C17" s="65" t="inlineStr">
        <is>
          <t>Type a date for an off-grid or sub-annual swap. Blank uses Tenor (years).</t>
        </is>
      </c>
      <c r="K17" s="18">
        <f>Bootstrap!B18</f>
        <v/>
      </c>
      <c r="L17" s="36">
        <f>Bootstrap!H18</f>
        <v/>
      </c>
    </row>
    <row r="18">
      <c r="A18" s="4" t="inlineStr">
        <is>
          <t>VALUATION RESULTS — single-curve OIS discounting</t>
        </is>
      </c>
      <c r="K18" s="18">
        <f>Bootstrap!B19</f>
        <v/>
      </c>
      <c r="L18" s="36">
        <f>Bootstrap!H19</f>
        <v/>
      </c>
    </row>
    <row r="19">
      <c r="A19" s="5" t="inlineStr">
        <is>
          <t>DF(effective)</t>
        </is>
      </c>
      <c r="B19" s="36">
        <f>IFERROR(IF(Curve_Interface!$J$7="Piecewise Linear (Simple)",IF((($B$8-VAL_DATE)/360)&lt;=0,1,1/(1+(IF(((INDEX($K$6:$K$71,MATCH($B$8,$K$6:$K$71,1))-VAL_DATE)/360)&lt;=0,IF(((INDEX($K$6:$K$71,MATCH($B$8,$K$6:$K$71,1)+1)-VAL_DATE)/360)&lt;=0,0,(1/INDEX($L$6:$L$71,MATCH($B$8,$K$6:$K$71,1)+1)-1)/((INDEX($K$6:$K$71,MATCH($B$8,$K$6:$K$71,1)+1)-VAL_DATE)/360)),(1/INDEX($L$6:$L$71,MATCH($B$8,$K$6:$K$71,1))-1)/((INDEX($K$6:$K$71,MATCH($B$8,$K$6:$K$71,1))-VAL_DATE)/360))+(IF(((INDEX($K$6:$K$71,MATCH($B$8,$K$6:$K$71,1)+1)-VAL_DATE)/360)&lt;=0,0,(1/INDEX($L$6:$L$71,MATCH($B$8,$K$6:$K$71,1)+1)-1)/((INDEX($K$6:$K$71,MATCH($B$8,$K$6:$K$71,1)+1)-VAL_DATE)/360))-IF(((INDEX($K$6:$K$71,MATCH($B$8,$K$6:$K$71,1))-VAL_DATE)/360)&lt;=0,IF(((INDEX($K$6:$K$71,MATCH($B$8,$K$6:$K$71,1)+1)-VAL_DATE)/360)&lt;=0,0,(1/INDEX($L$6:$L$71,MATCH($B$8,$K$6:$K$71,1)+1)-1)/((INDEX($K$6:$K$71,MATCH($B$8,$K$6:$K$71,1)+1)-VAL_DATE)/360)),(1/INDEX($L$6:$L$71,MATCH($B$8,$K$6:$K$71,1))-1)/((INDEX($K$6:$K$71,MATCH($B$8,$K$6:$K$71,1))-VAL_DATE)/360)))*IF(((INDEX($K$6:$K$71,MATCH($B$8,$K$6:$K$71,1)+1)-VAL_DATE)/360)-((INDEX($K$6:$K$71,MATCH($B$8,$K$6:$K$71,1))-VAL_DATE)/360)=0,0,((($B$8-VAL_DATE)/360)-((INDEX($K$6:$K$71,MATCH($B$8,$K$6:$K$71,1))-VAL_DATE)/360))/(((INDEX($K$6:$K$71,MATCH($B$8,$K$6:$K$71,1)+1)-VAL_DATE)/360)-((INDEX($K$6:$K$71,MATCH($B$8,$K$6:$K$71,1))-VAL_DATE)/360))))*(($B$8-VAL_DATE)/360))),INDEX($L$6:$L$71,MATCH($B$8,$K$6:$K$71,1))*(INDEX($L$6:$L$71,MATCH($B$8,$K$6:$K$71,1)+1)/INDEX($L$6:$L$71,MATCH($B$8,$K$6:$K$71,1)))^(($B$8-INDEX($K$6:$K$71,MATCH($B$8,$K$6:$K$71,1)))/(INDEX($K$6:$K$71,MATCH($B$8,$K$6:$K$71,1)+1)-INDEX($K$6:$K$71,MATCH($B$8,$K$6:$K$71,1))))),INDEX($L$6:$L$71,MATCH($B$8,$K$6:$K$71,1)))</f>
        <v/>
      </c>
      <c r="C19" s="38" t="inlineStr">
        <is>
          <t>Interpolated from the curve.</t>
        </is>
      </c>
      <c r="K19" s="18">
        <f>Bootstrap!B20</f>
        <v/>
      </c>
      <c r="L19" s="36">
        <f>Bootstrap!H20</f>
        <v/>
      </c>
    </row>
    <row r="20">
      <c r="A20" s="5" t="inlineStr">
        <is>
          <t>DF(maturity)</t>
        </is>
      </c>
      <c r="B20" s="36">
        <f>IFERROR(IF(Curve_Interface!$J$7="Piecewise Linear (Simple)",IF((($B$10-VAL_DATE)/360)&lt;=0,1,1/(1+(IF(((INDEX($K$6:$K$71,MATCH($B$10,$K$6:$K$71,1))-VAL_DATE)/360)&lt;=0,IF(((INDEX($K$6:$K$71,MATCH($B$10,$K$6:$K$71,1)+1)-VAL_DATE)/360)&lt;=0,0,(1/INDEX($L$6:$L$71,MATCH($B$10,$K$6:$K$71,1)+1)-1)/((INDEX($K$6:$K$71,MATCH($B$10,$K$6:$K$71,1)+1)-VAL_DATE)/360)),(1/INDEX($L$6:$L$71,MATCH($B$10,$K$6:$K$71,1))-1)/((INDEX($K$6:$K$71,MATCH($B$10,$K$6:$K$71,1))-VAL_DATE)/360))+(IF(((INDEX($K$6:$K$71,MATCH($B$10,$K$6:$K$71,1)+1)-VAL_DATE)/360)&lt;=0,0,(1/INDEX($L$6:$L$71,MATCH($B$10,$K$6:$K$71,1)+1)-1)/((INDEX($K$6:$K$71,MATCH($B$10,$K$6:$K$71,1)+1)-VAL_DATE)/360))-IF(((INDEX($K$6:$K$71,MATCH($B$10,$K$6:$K$71,1))-VAL_DATE)/360)&lt;=0,IF(((INDEX($K$6:$K$71,MATCH($B$10,$K$6:$K$71,1)+1)-VAL_DATE)/360)&lt;=0,0,(1/INDEX($L$6:$L$71,MATCH($B$10,$K$6:$K$71,1)+1)-1)/((INDEX($K$6:$K$71,MATCH($B$10,$K$6:$K$71,1)+1)-VAL_DATE)/360)),(1/INDEX($L$6:$L$71,MATCH($B$10,$K$6:$K$71,1))-1)/((INDEX($K$6:$K$71,MATCH($B$10,$K$6:$K$71,1))-VAL_DATE)/360)))*IF(((INDEX($K$6:$K$71,MATCH($B$10,$K$6:$K$71,1)+1)-VAL_DATE)/360)-((INDEX($K$6:$K$71,MATCH($B$10,$K$6:$K$71,1))-VAL_DATE)/360)=0,0,((($B$10-VAL_DATE)/360)-((INDEX($K$6:$K$71,MATCH($B$10,$K$6:$K$71,1))-VAL_DATE)/360))/(((INDEX($K$6:$K$71,MATCH($B$10,$K$6:$K$71,1)+1)-VAL_DATE)/360)-((INDEX($K$6:$K$71,MATCH($B$10,$K$6:$K$71,1))-VAL_DATE)/360))))*(($B$10-VAL_DATE)/360))),INDEX($L$6:$L$71,MATCH($B$10,$K$6:$K$71,1))*(INDEX($L$6:$L$71,MATCH($B$10,$K$6:$K$71,1)+1)/INDEX($L$6:$L$71,MATCH($B$10,$K$6:$K$71,1)))^(($B$10-INDEX($K$6:$K$71,MATCH($B$10,$K$6:$K$71,1)))/(INDEX($K$6:$K$71,MATCH($B$10,$K$6:$K$71,1)+1)-INDEX($K$6:$K$71,MATCH($B$10,$K$6:$K$71,1))))),INDEX($L$6:$L$71,MATCH($B$10,$K$6:$K$71,1)))</f>
        <v/>
      </c>
      <c r="K20" s="18">
        <f>Bootstrap!B21</f>
        <v/>
      </c>
      <c r="L20" s="36">
        <f>Bootstrap!H21</f>
        <v/>
      </c>
    </row>
    <row r="21">
      <c r="A21" s="5" t="inlineStr">
        <is>
          <t>Fixed annuity  Sum tau·DF</t>
        </is>
      </c>
      <c r="B21" s="34">
        <f>SUM(H36:H85)</f>
        <v/>
      </c>
      <c r="C21" s="38" t="inlineStr">
        <is>
          <t>Sum of tau·DF over the fixed coupon dates.</t>
        </is>
      </c>
      <c r="K21" s="18">
        <f>Bootstrap!B22</f>
        <v/>
      </c>
      <c r="L21" s="36">
        <f>Bootstrap!H22</f>
        <v/>
      </c>
    </row>
    <row r="22">
      <c r="A22" s="5" t="inlineStr">
        <is>
          <t>Fixed leg PV (coupons)</t>
        </is>
      </c>
      <c r="B22" s="44">
        <f>SUM(G36:G85)</f>
        <v/>
      </c>
      <c r="K22" s="18">
        <f>Bootstrap!B23</f>
        <v/>
      </c>
      <c r="L22" s="36">
        <f>Bootstrap!H23</f>
        <v/>
      </c>
    </row>
    <row r="23">
      <c r="A23" s="5" t="inlineStr">
        <is>
          <t>Float leg PV</t>
        </is>
      </c>
      <c r="B23" s="44">
        <f>B6*(B19-B20)</f>
        <v/>
      </c>
      <c r="C23" s="38" t="inlineStr">
        <is>
          <t>Single-curve SOFR float leg telescopes to N·(DF_eff − DF_mat).</t>
        </is>
      </c>
      <c r="K23" s="18">
        <f>Bootstrap!B24</f>
        <v/>
      </c>
      <c r="L23" s="36">
        <f>Bootstrap!H24</f>
        <v/>
      </c>
    </row>
    <row r="24">
      <c r="A24" s="5" t="inlineStr">
        <is>
          <t>Notional PV @ maturity</t>
        </is>
      </c>
      <c r="B24" s="44">
        <f>B6*B20</f>
        <v/>
      </c>
      <c r="C24" s="38" t="inlineStr">
        <is>
          <t>For the SWPM-style leg display only.</t>
        </is>
      </c>
      <c r="K24" s="18">
        <f>Bootstrap!B25</f>
        <v/>
      </c>
      <c r="L24" s="36">
        <f>Bootstrap!H25</f>
        <v/>
      </c>
    </row>
    <row r="25">
      <c r="A25" s="5" t="inlineStr">
        <is>
          <t>Par coupon (%)</t>
        </is>
      </c>
      <c r="B25" s="34">
        <f>(B19-B20)/B21*100</f>
        <v/>
      </c>
      <c r="C25" s="38" t="inlineStr">
        <is>
          <t>Coupon that sets NPV = 0:  (DF_eff − DF_mat) / annuity.</t>
        </is>
      </c>
      <c r="K25" s="18">
        <f>Bootstrap!B26</f>
        <v/>
      </c>
      <c r="L25" s="36">
        <f>Bootstrap!H26</f>
        <v/>
      </c>
    </row>
    <row r="26">
      <c r="A26" s="5" t="inlineStr">
        <is>
          <t>Leg 1 NPV  (fixed + notional)</t>
        </is>
      </c>
      <c r="B26" s="44">
        <f>B16*(B22+B24)</f>
        <v/>
      </c>
      <c r="C26" s="38" t="inlineStr">
        <is>
          <t>SWPM shows each leg incl. a notional redemption.</t>
        </is>
      </c>
      <c r="K26" s="18">
        <f>Bootstrap!B27</f>
        <v/>
      </c>
      <c r="L26" s="36">
        <f>Bootstrap!H27</f>
        <v/>
      </c>
    </row>
    <row r="27">
      <c r="A27" s="5" t="inlineStr">
        <is>
          <t>Leg 2 NPV  (float + notional)</t>
        </is>
      </c>
      <c r="B27" s="44">
        <f>-B16*(B23+B24)</f>
        <v/>
      </c>
      <c r="K27" s="18">
        <f>Bootstrap!B28</f>
        <v/>
      </c>
      <c r="L27" s="36">
        <f>Bootstrap!H28</f>
        <v/>
      </c>
    </row>
    <row r="28">
      <c r="A28" s="5" t="inlineStr">
        <is>
          <t>Net swap NPV</t>
        </is>
      </c>
      <c r="B28" s="45">
        <f>B26+B27</f>
        <v/>
      </c>
      <c r="C28" s="38" t="inlineStr">
        <is>
          <t>Fixed − Float (notionals cancel); ≈ 0 at par coupon.</t>
        </is>
      </c>
      <c r="K28" s="18">
        <f>Bootstrap!B29</f>
        <v/>
      </c>
      <c r="L28" s="36">
        <f>Bootstrap!H29</f>
        <v/>
      </c>
    </row>
    <row r="29">
      <c r="A29" s="5" t="inlineStr">
        <is>
          <t>PV01 / DV01  (per 1bp)</t>
        </is>
      </c>
      <c r="B29" s="44">
        <f>B6*B21*0.0001</f>
        <v/>
      </c>
      <c r="C29" s="38" t="inlineStr">
        <is>
          <t>Annuity × notional × 1bp.</t>
        </is>
      </c>
      <c r="K29" s="18">
        <f>Bootstrap!B30</f>
        <v/>
      </c>
      <c r="L29" s="36">
        <f>Bootstrap!H30</f>
        <v/>
      </c>
    </row>
    <row r="30">
      <c r="A30" s="5" t="inlineStr">
        <is>
          <t>Accrued (at inception)</t>
        </is>
      </c>
      <c r="B30" s="44" t="n">
        <v>0</v>
      </c>
      <c r="K30" s="18">
        <f>Bootstrap!B31</f>
        <v/>
      </c>
      <c r="L30" s="36">
        <f>Bootstrap!H31</f>
        <v/>
      </c>
    </row>
    <row r="31">
      <c r="K31" s="18">
        <f>Bootstrap!B32</f>
        <v/>
      </c>
      <c r="L31" s="36">
        <f>Bootstrap!H32</f>
        <v/>
      </c>
    </row>
    <row r="32" ht="44" customHeight="1">
      <c r="A32" s="9" t="inlineStr">
        <is>
          <t>Cross-check vs the SWPM screen: Par coupon and PV01 match (≈4.02%, ≈974 for a 10mm 1Y). SWPM's leg NPVs read ~9,995,534 rather than 10,000,000 because it discounts from curve date to a valuation date 2 business days after effective; here effective = spot so DF(effective) = 1 exactly. The net NPV, par coupon and DV01 are unaffected.</t>
        </is>
      </c>
      <c r="K32" s="18">
        <f>Bootstrap!B33</f>
        <v/>
      </c>
      <c r="L32" s="36">
        <f>Bootstrap!H33</f>
        <v/>
      </c>
    </row>
    <row r="33">
      <c r="K33" s="18">
        <f>Bootstrap!B34</f>
        <v/>
      </c>
      <c r="L33" s="36">
        <f>Bootstrap!H34</f>
        <v/>
      </c>
    </row>
    <row r="34">
      <c r="K34" s="18">
        <f>Bootstrap!B35</f>
        <v/>
      </c>
      <c r="L34" s="36">
        <f>Bootstrap!H35</f>
        <v/>
      </c>
    </row>
    <row r="35">
      <c r="A35" s="20" t="inlineStr">
        <is>
          <t>k</t>
        </is>
      </c>
      <c r="B35" s="20" t="inlineStr">
        <is>
          <t>Pay date</t>
        </is>
      </c>
      <c r="C35" s="20" t="inlineStr">
        <is>
          <t>Prev date</t>
        </is>
      </c>
      <c r="D35" s="20" t="inlineStr">
        <is>
          <t>tau ACT/360</t>
        </is>
      </c>
      <c r="E35" s="20" t="inlineStr">
        <is>
          <t>DF (interp)</t>
        </is>
      </c>
      <c r="F35" s="20" t="inlineStr">
        <is>
          <t>Coupon CF</t>
        </is>
      </c>
      <c r="G35" s="20" t="inlineStr">
        <is>
          <t>PV</t>
        </is>
      </c>
      <c r="H35" s="20" t="inlineStr">
        <is>
          <t>tau·DF</t>
        </is>
      </c>
      <c r="K35" s="18">
        <f>Bootstrap!B36</f>
        <v/>
      </c>
      <c r="L35" s="36">
        <f>Bootstrap!H36</f>
        <v/>
      </c>
    </row>
    <row r="36">
      <c r="A36" s="43">
        <f>ROW()-35</f>
        <v/>
      </c>
      <c r="B36" s="113">
        <f>IF(C36="","",MIN($B$10,IF(MONTH((EDATE($B$8,12*1)+IF(WEEKDAY(EDATE($B$8,12*1),2)=6,2,IF(WEEKDAY(EDATE($B$8,12*1),2)=7,1,0))))&lt;&gt;MONTH(EDATE($B$8,12*1)),(EDATE($B$8,12*1)-IF(WEEKDAY(EDATE($B$8,12*1),2)=6,1,IF(WEEKDAY(EDATE($B$8,12*1),2)=7,2,0))),(EDATE($B$8,12*1)+IF(WEEKDAY(EDATE($B$8,12*1),2)=6,2,IF(WEEKDAY(EDATE($B$8,12*1),2)=7,1,0))))))</f>
        <v/>
      </c>
      <c r="C36" s="113">
        <f>$B$8</f>
        <v/>
      </c>
      <c r="D36" s="114">
        <f>IF(C36="","",(B36-C36)/360)</f>
        <v/>
      </c>
      <c r="E36" s="115">
        <f>IF(C36="","",IFERROR(IF(Curve_Interface!$J$7="Piecewise Linear (Simple)",IF(((B36-VAL_DATE)/360)&lt;=0,1,1/(1+(IF(((INDEX($K$6:$K$71,MATCH(B36,$K$6:$K$71,1))-VAL_DATE)/360)&lt;=0,IF(((INDEX($K$6:$K$71,MATCH(B36,$K$6:$K$71,1)+1)-VAL_DATE)/360)&lt;=0,0,(1/INDEX($L$6:$L$71,MATCH(B36,$K$6:$K$71,1)+1)-1)/((INDEX($K$6:$K$71,MATCH(B36,$K$6:$K$71,1)+1)-VAL_DATE)/360)),(1/INDEX($L$6:$L$71,MATCH(B36,$K$6:$K$71,1))-1)/((INDEX($K$6:$K$71,MATCH(B36,$K$6:$K$71,1))-VAL_DATE)/360))+(IF(((INDEX($K$6:$K$71,MATCH(B36,$K$6:$K$71,1)+1)-VAL_DATE)/360)&lt;=0,0,(1/INDEX($L$6:$L$71,MATCH(B36,$K$6:$K$71,1)+1)-1)/((INDEX($K$6:$K$71,MATCH(B36,$K$6:$K$71,1)+1)-VAL_DATE)/360))-IF(((INDEX($K$6:$K$71,MATCH(B36,$K$6:$K$71,1))-VAL_DATE)/360)&lt;=0,IF(((INDEX($K$6:$K$71,MATCH(B36,$K$6:$K$71,1)+1)-VAL_DATE)/360)&lt;=0,0,(1/INDEX($L$6:$L$71,MATCH(B36,$K$6:$K$71,1)+1)-1)/((INDEX($K$6:$K$71,MATCH(B36,$K$6:$K$71,1)+1)-VAL_DATE)/360)),(1/INDEX($L$6:$L$71,MATCH(B36,$K$6:$K$71,1))-1)/((INDEX($K$6:$K$71,MATCH(B36,$K$6:$K$71,1))-VAL_DATE)/360)))*IF(((INDEX($K$6:$K$71,MATCH(B36,$K$6:$K$71,1)+1)-VAL_DATE)/360)-((INDEX($K$6:$K$71,MATCH(B36,$K$6:$K$71,1))-VAL_DATE)/360)=0,0,(((B36-VAL_DATE)/360)-((INDEX($K$6:$K$71,MATCH(B36,$K$6:$K$71,1))-VAL_DATE)/360))/(((INDEX($K$6:$K$71,MATCH(B36,$K$6:$K$71,1)+1)-VAL_DATE)/360)-((INDEX($K$6:$K$71,MATCH(B36,$K$6:$K$71,1))-VAL_DATE)/360))))*((B36-VAL_DATE)/360))),INDEX($L$6:$L$71,MATCH(B36,$K$6:$K$71,1))*(INDEX($L$6:$L$71,MATCH(B36,$K$6:$K$71,1)+1)/INDEX($L$6:$L$71,MATCH(B36,$K$6:$K$71,1)))^((B36-INDEX($K$6:$K$71,MATCH(B36,$K$6:$K$71,1)))/(INDEX($K$6:$K$71,MATCH(B36,$K$6:$K$71,1)+1)-INDEX($K$6:$K$71,MATCH(B36,$K$6:$K$71,1))))),INDEX($L$6:$L$71,MATCH(B36,$K$6:$K$71,1))))</f>
        <v/>
      </c>
      <c r="F36" s="116">
        <f>IF(C36="","",$B$6*$B$11/100*D36)</f>
        <v/>
      </c>
      <c r="G36" s="116">
        <f>IF(C36="","",F36*E36)</f>
        <v/>
      </c>
      <c r="H36" s="115">
        <f>IF(C36="","",D36*E36)</f>
        <v/>
      </c>
      <c r="K36" s="18">
        <f>Bootstrap!B37</f>
        <v/>
      </c>
      <c r="L36" s="36">
        <f>Bootstrap!H37</f>
        <v/>
      </c>
    </row>
    <row r="37">
      <c r="A37" s="43">
        <f>ROW()-35</f>
        <v/>
      </c>
      <c r="B37" s="113">
        <f>IF(C37="","",MIN($B$10,IF(MONTH((EDATE($B$8,12*2)+IF(WEEKDAY(EDATE($B$8,12*2),2)=6,2,IF(WEEKDAY(EDATE($B$8,12*2),2)=7,1,0))))&lt;&gt;MONTH(EDATE($B$8,12*2)),(EDATE($B$8,12*2)-IF(WEEKDAY(EDATE($B$8,12*2),2)=6,1,IF(WEEKDAY(EDATE($B$8,12*2),2)=7,2,0))),(EDATE($B$8,12*2)+IF(WEEKDAY(EDATE($B$8,12*2),2)=6,2,IF(WEEKDAY(EDATE($B$8,12*2),2)=7,1,0))))))</f>
        <v/>
      </c>
      <c r="C37" s="113">
        <f>IF(OR(B36="",B36&gt;=$B$10),"",B36)</f>
        <v/>
      </c>
      <c r="D37" s="114">
        <f>IF(C37="","",(B37-C37)/360)</f>
        <v/>
      </c>
      <c r="E37" s="115">
        <f>IF(C37="","",IFERROR(IF(Curve_Interface!$J$7="Piecewise Linear (Simple)",IF(((B37-VAL_DATE)/360)&lt;=0,1,1/(1+(IF(((INDEX($K$6:$K$71,MATCH(B37,$K$6:$K$71,1))-VAL_DATE)/360)&lt;=0,IF(((INDEX($K$6:$K$71,MATCH(B37,$K$6:$K$71,1)+1)-VAL_DATE)/360)&lt;=0,0,(1/INDEX($L$6:$L$71,MATCH(B37,$K$6:$K$71,1)+1)-1)/((INDEX($K$6:$K$71,MATCH(B37,$K$6:$K$71,1)+1)-VAL_DATE)/360)),(1/INDEX($L$6:$L$71,MATCH(B37,$K$6:$K$71,1))-1)/((INDEX($K$6:$K$71,MATCH(B37,$K$6:$K$71,1))-VAL_DATE)/360))+(IF(((INDEX($K$6:$K$71,MATCH(B37,$K$6:$K$71,1)+1)-VAL_DATE)/360)&lt;=0,0,(1/INDEX($L$6:$L$71,MATCH(B37,$K$6:$K$71,1)+1)-1)/((INDEX($K$6:$K$71,MATCH(B37,$K$6:$K$71,1)+1)-VAL_DATE)/360))-IF(((INDEX($K$6:$K$71,MATCH(B37,$K$6:$K$71,1))-VAL_DATE)/360)&lt;=0,IF(((INDEX($K$6:$K$71,MATCH(B37,$K$6:$K$71,1)+1)-VAL_DATE)/360)&lt;=0,0,(1/INDEX($L$6:$L$71,MATCH(B37,$K$6:$K$71,1)+1)-1)/((INDEX($K$6:$K$71,MATCH(B37,$K$6:$K$71,1)+1)-VAL_DATE)/360)),(1/INDEX($L$6:$L$71,MATCH(B37,$K$6:$K$71,1))-1)/((INDEX($K$6:$K$71,MATCH(B37,$K$6:$K$71,1))-VAL_DATE)/360)))*IF(((INDEX($K$6:$K$71,MATCH(B37,$K$6:$K$71,1)+1)-VAL_DATE)/360)-((INDEX($K$6:$K$71,MATCH(B37,$K$6:$K$71,1))-VAL_DATE)/360)=0,0,(((B37-VAL_DATE)/360)-((INDEX($K$6:$K$71,MATCH(B37,$K$6:$K$71,1))-VAL_DATE)/360))/(((INDEX($K$6:$K$71,MATCH(B37,$K$6:$K$71,1)+1)-VAL_DATE)/360)-((INDEX($K$6:$K$71,MATCH(B37,$K$6:$K$71,1))-VAL_DATE)/360))))*((B37-VAL_DATE)/360))),INDEX($L$6:$L$71,MATCH(B37,$K$6:$K$71,1))*(INDEX($L$6:$L$71,MATCH(B37,$K$6:$K$71,1)+1)/INDEX($L$6:$L$71,MATCH(B37,$K$6:$K$71,1)))^((B37-INDEX($K$6:$K$71,MATCH(B37,$K$6:$K$71,1)))/(INDEX($K$6:$K$71,MATCH(B37,$K$6:$K$71,1)+1)-INDEX($K$6:$K$71,MATCH(B37,$K$6:$K$71,1))))),INDEX($L$6:$L$71,MATCH(B37,$K$6:$K$71,1))))</f>
        <v/>
      </c>
      <c r="F37" s="116">
        <f>IF(C37="","",$B$6*$B$11/100*D37)</f>
        <v/>
      </c>
      <c r="G37" s="116">
        <f>IF(C37="","",F37*E37)</f>
        <v/>
      </c>
      <c r="H37" s="115">
        <f>IF(C37="","",D37*E37)</f>
        <v/>
      </c>
      <c r="K37" s="18">
        <f>Bootstrap!B38</f>
        <v/>
      </c>
      <c r="L37" s="36">
        <f>Bootstrap!H38</f>
        <v/>
      </c>
    </row>
    <row r="38">
      <c r="A38" s="43">
        <f>ROW()-35</f>
        <v/>
      </c>
      <c r="B38" s="113">
        <f>IF(C38="","",MIN($B$10,IF(MONTH((EDATE($B$8,12*3)+IF(WEEKDAY(EDATE($B$8,12*3),2)=6,2,IF(WEEKDAY(EDATE($B$8,12*3),2)=7,1,0))))&lt;&gt;MONTH(EDATE($B$8,12*3)),(EDATE($B$8,12*3)-IF(WEEKDAY(EDATE($B$8,12*3),2)=6,1,IF(WEEKDAY(EDATE($B$8,12*3),2)=7,2,0))),(EDATE($B$8,12*3)+IF(WEEKDAY(EDATE($B$8,12*3),2)=6,2,IF(WEEKDAY(EDATE($B$8,12*3),2)=7,1,0))))))</f>
        <v/>
      </c>
      <c r="C38" s="113">
        <f>IF(OR(B37="",B37&gt;=$B$10),"",B37)</f>
        <v/>
      </c>
      <c r="D38" s="114">
        <f>IF(C38="","",(B38-C38)/360)</f>
        <v/>
      </c>
      <c r="E38" s="115">
        <f>IF(C38="","",IFERROR(IF(Curve_Interface!$J$7="Piecewise Linear (Simple)",IF(((B38-VAL_DATE)/360)&lt;=0,1,1/(1+(IF(((INDEX($K$6:$K$71,MATCH(B38,$K$6:$K$71,1))-VAL_DATE)/360)&lt;=0,IF(((INDEX($K$6:$K$71,MATCH(B38,$K$6:$K$71,1)+1)-VAL_DATE)/360)&lt;=0,0,(1/INDEX($L$6:$L$71,MATCH(B38,$K$6:$K$71,1)+1)-1)/((INDEX($K$6:$K$71,MATCH(B38,$K$6:$K$71,1)+1)-VAL_DATE)/360)),(1/INDEX($L$6:$L$71,MATCH(B38,$K$6:$K$71,1))-1)/((INDEX($K$6:$K$71,MATCH(B38,$K$6:$K$71,1))-VAL_DATE)/360))+(IF(((INDEX($K$6:$K$71,MATCH(B38,$K$6:$K$71,1)+1)-VAL_DATE)/360)&lt;=0,0,(1/INDEX($L$6:$L$71,MATCH(B38,$K$6:$K$71,1)+1)-1)/((INDEX($K$6:$K$71,MATCH(B38,$K$6:$K$71,1)+1)-VAL_DATE)/360))-IF(((INDEX($K$6:$K$71,MATCH(B38,$K$6:$K$71,1))-VAL_DATE)/360)&lt;=0,IF(((INDEX($K$6:$K$71,MATCH(B38,$K$6:$K$71,1)+1)-VAL_DATE)/360)&lt;=0,0,(1/INDEX($L$6:$L$71,MATCH(B38,$K$6:$K$71,1)+1)-1)/((INDEX($K$6:$K$71,MATCH(B38,$K$6:$K$71,1)+1)-VAL_DATE)/360)),(1/INDEX($L$6:$L$71,MATCH(B38,$K$6:$K$71,1))-1)/((INDEX($K$6:$K$71,MATCH(B38,$K$6:$K$71,1))-VAL_DATE)/360)))*IF(((INDEX($K$6:$K$71,MATCH(B38,$K$6:$K$71,1)+1)-VAL_DATE)/360)-((INDEX($K$6:$K$71,MATCH(B38,$K$6:$K$71,1))-VAL_DATE)/360)=0,0,(((B38-VAL_DATE)/360)-((INDEX($K$6:$K$71,MATCH(B38,$K$6:$K$71,1))-VAL_DATE)/360))/(((INDEX($K$6:$K$71,MATCH(B38,$K$6:$K$71,1)+1)-VAL_DATE)/360)-((INDEX($K$6:$K$71,MATCH(B38,$K$6:$K$71,1))-VAL_DATE)/360))))*((B38-VAL_DATE)/360))),INDEX($L$6:$L$71,MATCH(B38,$K$6:$K$71,1))*(INDEX($L$6:$L$71,MATCH(B38,$K$6:$K$71,1)+1)/INDEX($L$6:$L$71,MATCH(B38,$K$6:$K$71,1)))^((B38-INDEX($K$6:$K$71,MATCH(B38,$K$6:$K$71,1)))/(INDEX($K$6:$K$71,MATCH(B38,$K$6:$K$71,1)+1)-INDEX($K$6:$K$71,MATCH(B38,$K$6:$K$71,1))))),INDEX($L$6:$L$71,MATCH(B38,$K$6:$K$71,1))))</f>
        <v/>
      </c>
      <c r="F38" s="116">
        <f>IF(C38="","",$B$6*$B$11/100*D38)</f>
        <v/>
      </c>
      <c r="G38" s="116">
        <f>IF(C38="","",F38*E38)</f>
        <v/>
      </c>
      <c r="H38" s="115">
        <f>IF(C38="","",D38*E38)</f>
        <v/>
      </c>
      <c r="K38" s="18">
        <f>Bootstrap!B39</f>
        <v/>
      </c>
      <c r="L38" s="36">
        <f>Bootstrap!H39</f>
        <v/>
      </c>
    </row>
    <row r="39">
      <c r="A39" s="43">
        <f>ROW()-35</f>
        <v/>
      </c>
      <c r="B39" s="113">
        <f>IF(C39="","",MIN($B$10,IF(MONTH((EDATE($B$8,12*4)+IF(WEEKDAY(EDATE($B$8,12*4),2)=6,2,IF(WEEKDAY(EDATE($B$8,12*4),2)=7,1,0))))&lt;&gt;MONTH(EDATE($B$8,12*4)),(EDATE($B$8,12*4)-IF(WEEKDAY(EDATE($B$8,12*4),2)=6,1,IF(WEEKDAY(EDATE($B$8,12*4),2)=7,2,0))),(EDATE($B$8,12*4)+IF(WEEKDAY(EDATE($B$8,12*4),2)=6,2,IF(WEEKDAY(EDATE($B$8,12*4),2)=7,1,0))))))</f>
        <v/>
      </c>
      <c r="C39" s="113">
        <f>IF(OR(B38="",B38&gt;=$B$10),"",B38)</f>
        <v/>
      </c>
      <c r="D39" s="114">
        <f>IF(C39="","",(B39-C39)/360)</f>
        <v/>
      </c>
      <c r="E39" s="115">
        <f>IF(C39="","",IFERROR(IF(Curve_Interface!$J$7="Piecewise Linear (Simple)",IF(((B39-VAL_DATE)/360)&lt;=0,1,1/(1+(IF(((INDEX($K$6:$K$71,MATCH(B39,$K$6:$K$71,1))-VAL_DATE)/360)&lt;=0,IF(((INDEX($K$6:$K$71,MATCH(B39,$K$6:$K$71,1)+1)-VAL_DATE)/360)&lt;=0,0,(1/INDEX($L$6:$L$71,MATCH(B39,$K$6:$K$71,1)+1)-1)/((INDEX($K$6:$K$71,MATCH(B39,$K$6:$K$71,1)+1)-VAL_DATE)/360)),(1/INDEX($L$6:$L$71,MATCH(B39,$K$6:$K$71,1))-1)/((INDEX($K$6:$K$71,MATCH(B39,$K$6:$K$71,1))-VAL_DATE)/360))+(IF(((INDEX($K$6:$K$71,MATCH(B39,$K$6:$K$71,1)+1)-VAL_DATE)/360)&lt;=0,0,(1/INDEX($L$6:$L$71,MATCH(B39,$K$6:$K$71,1)+1)-1)/((INDEX($K$6:$K$71,MATCH(B39,$K$6:$K$71,1)+1)-VAL_DATE)/360))-IF(((INDEX($K$6:$K$71,MATCH(B39,$K$6:$K$71,1))-VAL_DATE)/360)&lt;=0,IF(((INDEX($K$6:$K$71,MATCH(B39,$K$6:$K$71,1)+1)-VAL_DATE)/360)&lt;=0,0,(1/INDEX($L$6:$L$71,MATCH(B39,$K$6:$K$71,1)+1)-1)/((INDEX($K$6:$K$71,MATCH(B39,$K$6:$K$71,1)+1)-VAL_DATE)/360)),(1/INDEX($L$6:$L$71,MATCH(B39,$K$6:$K$71,1))-1)/((INDEX($K$6:$K$71,MATCH(B39,$K$6:$K$71,1))-VAL_DATE)/360)))*IF(((INDEX($K$6:$K$71,MATCH(B39,$K$6:$K$71,1)+1)-VAL_DATE)/360)-((INDEX($K$6:$K$71,MATCH(B39,$K$6:$K$71,1))-VAL_DATE)/360)=0,0,(((B39-VAL_DATE)/360)-((INDEX($K$6:$K$71,MATCH(B39,$K$6:$K$71,1))-VAL_DATE)/360))/(((INDEX($K$6:$K$71,MATCH(B39,$K$6:$K$71,1)+1)-VAL_DATE)/360)-((INDEX($K$6:$K$71,MATCH(B39,$K$6:$K$71,1))-VAL_DATE)/360))))*((B39-VAL_DATE)/360))),INDEX($L$6:$L$71,MATCH(B39,$K$6:$K$71,1))*(INDEX($L$6:$L$71,MATCH(B39,$K$6:$K$71,1)+1)/INDEX($L$6:$L$71,MATCH(B39,$K$6:$K$71,1)))^((B39-INDEX($K$6:$K$71,MATCH(B39,$K$6:$K$71,1)))/(INDEX($K$6:$K$71,MATCH(B39,$K$6:$K$71,1)+1)-INDEX($K$6:$K$71,MATCH(B39,$K$6:$K$71,1))))),INDEX($L$6:$L$71,MATCH(B39,$K$6:$K$71,1))))</f>
        <v/>
      </c>
      <c r="F39" s="116">
        <f>IF(C39="","",$B$6*$B$11/100*D39)</f>
        <v/>
      </c>
      <c r="G39" s="116">
        <f>IF(C39="","",F39*E39)</f>
        <v/>
      </c>
      <c r="H39" s="115">
        <f>IF(C39="","",D39*E39)</f>
        <v/>
      </c>
      <c r="K39" s="101">
        <f>Bootstrap!B40</f>
        <v/>
      </c>
      <c r="L39" s="27">
        <f>Bootstrap!H40</f>
        <v/>
      </c>
    </row>
    <row r="40">
      <c r="A40" s="43">
        <f>ROW()-35</f>
        <v/>
      </c>
      <c r="B40" s="113">
        <f>IF(C40="","",MIN($B$10,IF(MONTH((EDATE($B$8,12*5)+IF(WEEKDAY(EDATE($B$8,12*5),2)=6,2,IF(WEEKDAY(EDATE($B$8,12*5),2)=7,1,0))))&lt;&gt;MONTH(EDATE($B$8,12*5)),(EDATE($B$8,12*5)-IF(WEEKDAY(EDATE($B$8,12*5),2)=6,1,IF(WEEKDAY(EDATE($B$8,12*5),2)=7,2,0))),(EDATE($B$8,12*5)+IF(WEEKDAY(EDATE($B$8,12*5),2)=6,2,IF(WEEKDAY(EDATE($B$8,12*5),2)=7,1,0))))))</f>
        <v/>
      </c>
      <c r="C40" s="113">
        <f>IF(OR(B39="",B39&gt;=$B$10),"",B39)</f>
        <v/>
      </c>
      <c r="D40" s="114">
        <f>IF(C40="","",(B40-C40)/360)</f>
        <v/>
      </c>
      <c r="E40" s="115">
        <f>IF(C40="","",IFERROR(IF(Curve_Interface!$J$7="Piecewise Linear (Simple)",IF(((B40-VAL_DATE)/360)&lt;=0,1,1/(1+(IF(((INDEX($K$6:$K$71,MATCH(B40,$K$6:$K$71,1))-VAL_DATE)/360)&lt;=0,IF(((INDEX($K$6:$K$71,MATCH(B40,$K$6:$K$71,1)+1)-VAL_DATE)/360)&lt;=0,0,(1/INDEX($L$6:$L$71,MATCH(B40,$K$6:$K$71,1)+1)-1)/((INDEX($K$6:$K$71,MATCH(B40,$K$6:$K$71,1)+1)-VAL_DATE)/360)),(1/INDEX($L$6:$L$71,MATCH(B40,$K$6:$K$71,1))-1)/((INDEX($K$6:$K$71,MATCH(B40,$K$6:$K$71,1))-VAL_DATE)/360))+(IF(((INDEX($K$6:$K$71,MATCH(B40,$K$6:$K$71,1)+1)-VAL_DATE)/360)&lt;=0,0,(1/INDEX($L$6:$L$71,MATCH(B40,$K$6:$K$71,1)+1)-1)/((INDEX($K$6:$K$71,MATCH(B40,$K$6:$K$71,1)+1)-VAL_DATE)/360))-IF(((INDEX($K$6:$K$71,MATCH(B40,$K$6:$K$71,1))-VAL_DATE)/360)&lt;=0,IF(((INDEX($K$6:$K$71,MATCH(B40,$K$6:$K$71,1)+1)-VAL_DATE)/360)&lt;=0,0,(1/INDEX($L$6:$L$71,MATCH(B40,$K$6:$K$71,1)+1)-1)/((INDEX($K$6:$K$71,MATCH(B40,$K$6:$K$71,1)+1)-VAL_DATE)/360)),(1/INDEX($L$6:$L$71,MATCH(B40,$K$6:$K$71,1))-1)/((INDEX($K$6:$K$71,MATCH(B40,$K$6:$K$71,1))-VAL_DATE)/360)))*IF(((INDEX($K$6:$K$71,MATCH(B40,$K$6:$K$71,1)+1)-VAL_DATE)/360)-((INDEX($K$6:$K$71,MATCH(B40,$K$6:$K$71,1))-VAL_DATE)/360)=0,0,(((B40-VAL_DATE)/360)-((INDEX($K$6:$K$71,MATCH(B40,$K$6:$K$71,1))-VAL_DATE)/360))/(((INDEX($K$6:$K$71,MATCH(B40,$K$6:$K$71,1)+1)-VAL_DATE)/360)-((INDEX($K$6:$K$71,MATCH(B40,$K$6:$K$71,1))-VAL_DATE)/360))))*((B40-VAL_DATE)/360))),INDEX($L$6:$L$71,MATCH(B40,$K$6:$K$71,1))*(INDEX($L$6:$L$71,MATCH(B40,$K$6:$K$71,1)+1)/INDEX($L$6:$L$71,MATCH(B40,$K$6:$K$71,1)))^((B40-INDEX($K$6:$K$71,MATCH(B40,$K$6:$K$71,1)))/(INDEX($K$6:$K$71,MATCH(B40,$K$6:$K$71,1)+1)-INDEX($K$6:$K$71,MATCH(B40,$K$6:$K$71,1))))),INDEX($L$6:$L$71,MATCH(B40,$K$6:$K$71,1))))</f>
        <v/>
      </c>
      <c r="F40" s="116">
        <f>IF(C40="","",$B$6*$B$11/100*D40)</f>
        <v/>
      </c>
      <c r="G40" s="116">
        <f>IF(C40="","",F40*E40)</f>
        <v/>
      </c>
      <c r="H40" s="115">
        <f>IF(C40="","",D40*E40)</f>
        <v/>
      </c>
      <c r="K40" s="102">
        <f>Bootstrap!B41</f>
        <v/>
      </c>
      <c r="L40" s="27">
        <f>Bootstrap!H41</f>
        <v/>
      </c>
    </row>
    <row r="41">
      <c r="A41" s="43">
        <f>ROW()-35</f>
        <v/>
      </c>
      <c r="B41" s="113">
        <f>IF(C41="","",MIN($B$10,IF(MONTH((EDATE($B$8,12*6)+IF(WEEKDAY(EDATE($B$8,12*6),2)=6,2,IF(WEEKDAY(EDATE($B$8,12*6),2)=7,1,0))))&lt;&gt;MONTH(EDATE($B$8,12*6)),(EDATE($B$8,12*6)-IF(WEEKDAY(EDATE($B$8,12*6),2)=6,1,IF(WEEKDAY(EDATE($B$8,12*6),2)=7,2,0))),(EDATE($B$8,12*6)+IF(WEEKDAY(EDATE($B$8,12*6),2)=6,2,IF(WEEKDAY(EDATE($B$8,12*6),2)=7,1,0))))))</f>
        <v/>
      </c>
      <c r="C41" s="113">
        <f>IF(OR(B40="",B40&gt;=$B$10),"",B40)</f>
        <v/>
      </c>
      <c r="D41" s="114">
        <f>IF(C41="","",(B41-C41)/360)</f>
        <v/>
      </c>
      <c r="E41" s="115">
        <f>IF(C41="","",IFERROR(IF(Curve_Interface!$J$7="Piecewise Linear (Simple)",IF(((B41-VAL_DATE)/360)&lt;=0,1,1/(1+(IF(((INDEX($K$6:$K$71,MATCH(B41,$K$6:$K$71,1))-VAL_DATE)/360)&lt;=0,IF(((INDEX($K$6:$K$71,MATCH(B41,$K$6:$K$71,1)+1)-VAL_DATE)/360)&lt;=0,0,(1/INDEX($L$6:$L$71,MATCH(B41,$K$6:$K$71,1)+1)-1)/((INDEX($K$6:$K$71,MATCH(B41,$K$6:$K$71,1)+1)-VAL_DATE)/360)),(1/INDEX($L$6:$L$71,MATCH(B41,$K$6:$K$71,1))-1)/((INDEX($K$6:$K$71,MATCH(B41,$K$6:$K$71,1))-VAL_DATE)/360))+(IF(((INDEX($K$6:$K$71,MATCH(B41,$K$6:$K$71,1)+1)-VAL_DATE)/360)&lt;=0,0,(1/INDEX($L$6:$L$71,MATCH(B41,$K$6:$K$71,1)+1)-1)/((INDEX($K$6:$K$71,MATCH(B41,$K$6:$K$71,1)+1)-VAL_DATE)/360))-IF(((INDEX($K$6:$K$71,MATCH(B41,$K$6:$K$71,1))-VAL_DATE)/360)&lt;=0,IF(((INDEX($K$6:$K$71,MATCH(B41,$K$6:$K$71,1)+1)-VAL_DATE)/360)&lt;=0,0,(1/INDEX($L$6:$L$71,MATCH(B41,$K$6:$K$71,1)+1)-1)/((INDEX($K$6:$K$71,MATCH(B41,$K$6:$K$71,1)+1)-VAL_DATE)/360)),(1/INDEX($L$6:$L$71,MATCH(B41,$K$6:$K$71,1))-1)/((INDEX($K$6:$K$71,MATCH(B41,$K$6:$K$71,1))-VAL_DATE)/360)))*IF(((INDEX($K$6:$K$71,MATCH(B41,$K$6:$K$71,1)+1)-VAL_DATE)/360)-((INDEX($K$6:$K$71,MATCH(B41,$K$6:$K$71,1))-VAL_DATE)/360)=0,0,(((B41-VAL_DATE)/360)-((INDEX($K$6:$K$71,MATCH(B41,$K$6:$K$71,1))-VAL_DATE)/360))/(((INDEX($K$6:$K$71,MATCH(B41,$K$6:$K$71,1)+1)-VAL_DATE)/360)-((INDEX($K$6:$K$71,MATCH(B41,$K$6:$K$71,1))-VAL_DATE)/360))))*((B41-VAL_DATE)/360))),INDEX($L$6:$L$71,MATCH(B41,$K$6:$K$71,1))*(INDEX($L$6:$L$71,MATCH(B41,$K$6:$K$71,1)+1)/INDEX($L$6:$L$71,MATCH(B41,$K$6:$K$71,1)))^((B41-INDEX($K$6:$K$71,MATCH(B41,$K$6:$K$71,1)))/(INDEX($K$6:$K$71,MATCH(B41,$K$6:$K$71,1)+1)-INDEX($K$6:$K$71,MATCH(B41,$K$6:$K$71,1))))),INDEX($L$6:$L$71,MATCH(B41,$K$6:$K$71,1))))</f>
        <v/>
      </c>
      <c r="F41" s="116">
        <f>IF(C41="","",$B$6*$B$11/100*D41)</f>
        <v/>
      </c>
      <c r="G41" s="116">
        <f>IF(C41="","",F41*E41)</f>
        <v/>
      </c>
      <c r="H41" s="115">
        <f>IF(C41="","",D41*E41)</f>
        <v/>
      </c>
      <c r="K41" s="47">
        <f>Bootstrap!B42</f>
        <v/>
      </c>
      <c r="L41" s="27">
        <f>Bootstrap!H42</f>
        <v/>
      </c>
    </row>
    <row r="42">
      <c r="A42" s="43">
        <f>ROW()-35</f>
        <v/>
      </c>
      <c r="B42" s="113">
        <f>IF(C42="","",MIN($B$10,IF(MONTH((EDATE($B$8,12*7)+IF(WEEKDAY(EDATE($B$8,12*7),2)=6,2,IF(WEEKDAY(EDATE($B$8,12*7),2)=7,1,0))))&lt;&gt;MONTH(EDATE($B$8,12*7)),(EDATE($B$8,12*7)-IF(WEEKDAY(EDATE($B$8,12*7),2)=6,1,IF(WEEKDAY(EDATE($B$8,12*7),2)=7,2,0))),(EDATE($B$8,12*7)+IF(WEEKDAY(EDATE($B$8,12*7),2)=6,2,IF(WEEKDAY(EDATE($B$8,12*7),2)=7,1,0))))))</f>
        <v/>
      </c>
      <c r="C42" s="113">
        <f>IF(OR(B41="",B41&gt;=$B$10),"",B41)</f>
        <v/>
      </c>
      <c r="D42" s="114">
        <f>IF(C42="","",(B42-C42)/360)</f>
        <v/>
      </c>
      <c r="E42" s="115">
        <f>IF(C42="","",IFERROR(IF(Curve_Interface!$J$7="Piecewise Linear (Simple)",IF(((B42-VAL_DATE)/360)&lt;=0,1,1/(1+(IF(((INDEX($K$6:$K$71,MATCH(B42,$K$6:$K$71,1))-VAL_DATE)/360)&lt;=0,IF(((INDEX($K$6:$K$71,MATCH(B42,$K$6:$K$71,1)+1)-VAL_DATE)/360)&lt;=0,0,(1/INDEX($L$6:$L$71,MATCH(B42,$K$6:$K$71,1)+1)-1)/((INDEX($K$6:$K$71,MATCH(B42,$K$6:$K$71,1)+1)-VAL_DATE)/360)),(1/INDEX($L$6:$L$71,MATCH(B42,$K$6:$K$71,1))-1)/((INDEX($K$6:$K$71,MATCH(B42,$K$6:$K$71,1))-VAL_DATE)/360))+(IF(((INDEX($K$6:$K$71,MATCH(B42,$K$6:$K$71,1)+1)-VAL_DATE)/360)&lt;=0,0,(1/INDEX($L$6:$L$71,MATCH(B42,$K$6:$K$71,1)+1)-1)/((INDEX($K$6:$K$71,MATCH(B42,$K$6:$K$71,1)+1)-VAL_DATE)/360))-IF(((INDEX($K$6:$K$71,MATCH(B42,$K$6:$K$71,1))-VAL_DATE)/360)&lt;=0,IF(((INDEX($K$6:$K$71,MATCH(B42,$K$6:$K$71,1)+1)-VAL_DATE)/360)&lt;=0,0,(1/INDEX($L$6:$L$71,MATCH(B42,$K$6:$K$71,1)+1)-1)/((INDEX($K$6:$K$71,MATCH(B42,$K$6:$K$71,1)+1)-VAL_DATE)/360)),(1/INDEX($L$6:$L$71,MATCH(B42,$K$6:$K$71,1))-1)/((INDEX($K$6:$K$71,MATCH(B42,$K$6:$K$71,1))-VAL_DATE)/360)))*IF(((INDEX($K$6:$K$71,MATCH(B42,$K$6:$K$71,1)+1)-VAL_DATE)/360)-((INDEX($K$6:$K$71,MATCH(B42,$K$6:$K$71,1))-VAL_DATE)/360)=0,0,(((B42-VAL_DATE)/360)-((INDEX($K$6:$K$71,MATCH(B42,$K$6:$K$71,1))-VAL_DATE)/360))/(((INDEX($K$6:$K$71,MATCH(B42,$K$6:$K$71,1)+1)-VAL_DATE)/360)-((INDEX($K$6:$K$71,MATCH(B42,$K$6:$K$71,1))-VAL_DATE)/360))))*((B42-VAL_DATE)/360))),INDEX($L$6:$L$71,MATCH(B42,$K$6:$K$71,1))*(INDEX($L$6:$L$71,MATCH(B42,$K$6:$K$71,1)+1)/INDEX($L$6:$L$71,MATCH(B42,$K$6:$K$71,1)))^((B42-INDEX($K$6:$K$71,MATCH(B42,$K$6:$K$71,1)))/(INDEX($K$6:$K$71,MATCH(B42,$K$6:$K$71,1)+1)-INDEX($K$6:$K$71,MATCH(B42,$K$6:$K$71,1))))),INDEX($L$6:$L$71,MATCH(B42,$K$6:$K$71,1))))</f>
        <v/>
      </c>
      <c r="F42" s="116">
        <f>IF(C42="","",$B$6*$B$11/100*D42)</f>
        <v/>
      </c>
      <c r="G42" s="116">
        <f>IF(C42="","",F42*E42)</f>
        <v/>
      </c>
      <c r="H42" s="115">
        <f>IF(C42="","",D42*E42)</f>
        <v/>
      </c>
      <c r="K42" s="47">
        <f>Bootstrap!B43</f>
        <v/>
      </c>
      <c r="L42" s="27">
        <f>Bootstrap!H43</f>
        <v/>
      </c>
    </row>
    <row r="43">
      <c r="A43" s="43">
        <f>ROW()-35</f>
        <v/>
      </c>
      <c r="B43" s="113">
        <f>IF(C43="","",MIN($B$10,IF(MONTH((EDATE($B$8,12*8)+IF(WEEKDAY(EDATE($B$8,12*8),2)=6,2,IF(WEEKDAY(EDATE($B$8,12*8),2)=7,1,0))))&lt;&gt;MONTH(EDATE($B$8,12*8)),(EDATE($B$8,12*8)-IF(WEEKDAY(EDATE($B$8,12*8),2)=6,1,IF(WEEKDAY(EDATE($B$8,12*8),2)=7,2,0))),(EDATE($B$8,12*8)+IF(WEEKDAY(EDATE($B$8,12*8),2)=6,2,IF(WEEKDAY(EDATE($B$8,12*8),2)=7,1,0))))))</f>
        <v/>
      </c>
      <c r="C43" s="113">
        <f>IF(OR(B42="",B42&gt;=$B$10),"",B42)</f>
        <v/>
      </c>
      <c r="D43" s="114">
        <f>IF(C43="","",(B43-C43)/360)</f>
        <v/>
      </c>
      <c r="E43" s="115">
        <f>IF(C43="","",IFERROR(IF(Curve_Interface!$J$7="Piecewise Linear (Simple)",IF(((B43-VAL_DATE)/360)&lt;=0,1,1/(1+(IF(((INDEX($K$6:$K$71,MATCH(B43,$K$6:$K$71,1))-VAL_DATE)/360)&lt;=0,IF(((INDEX($K$6:$K$71,MATCH(B43,$K$6:$K$71,1)+1)-VAL_DATE)/360)&lt;=0,0,(1/INDEX($L$6:$L$71,MATCH(B43,$K$6:$K$71,1)+1)-1)/((INDEX($K$6:$K$71,MATCH(B43,$K$6:$K$71,1)+1)-VAL_DATE)/360)),(1/INDEX($L$6:$L$71,MATCH(B43,$K$6:$K$71,1))-1)/((INDEX($K$6:$K$71,MATCH(B43,$K$6:$K$71,1))-VAL_DATE)/360))+(IF(((INDEX($K$6:$K$71,MATCH(B43,$K$6:$K$71,1)+1)-VAL_DATE)/360)&lt;=0,0,(1/INDEX($L$6:$L$71,MATCH(B43,$K$6:$K$71,1)+1)-1)/((INDEX($K$6:$K$71,MATCH(B43,$K$6:$K$71,1)+1)-VAL_DATE)/360))-IF(((INDEX($K$6:$K$71,MATCH(B43,$K$6:$K$71,1))-VAL_DATE)/360)&lt;=0,IF(((INDEX($K$6:$K$71,MATCH(B43,$K$6:$K$71,1)+1)-VAL_DATE)/360)&lt;=0,0,(1/INDEX($L$6:$L$71,MATCH(B43,$K$6:$K$71,1)+1)-1)/((INDEX($K$6:$K$71,MATCH(B43,$K$6:$K$71,1)+1)-VAL_DATE)/360)),(1/INDEX($L$6:$L$71,MATCH(B43,$K$6:$K$71,1))-1)/((INDEX($K$6:$K$71,MATCH(B43,$K$6:$K$71,1))-VAL_DATE)/360)))*IF(((INDEX($K$6:$K$71,MATCH(B43,$K$6:$K$71,1)+1)-VAL_DATE)/360)-((INDEX($K$6:$K$71,MATCH(B43,$K$6:$K$71,1))-VAL_DATE)/360)=0,0,(((B43-VAL_DATE)/360)-((INDEX($K$6:$K$71,MATCH(B43,$K$6:$K$71,1))-VAL_DATE)/360))/(((INDEX($K$6:$K$71,MATCH(B43,$K$6:$K$71,1)+1)-VAL_DATE)/360)-((INDEX($K$6:$K$71,MATCH(B43,$K$6:$K$71,1))-VAL_DATE)/360))))*((B43-VAL_DATE)/360))),INDEX($L$6:$L$71,MATCH(B43,$K$6:$K$71,1))*(INDEX($L$6:$L$71,MATCH(B43,$K$6:$K$71,1)+1)/INDEX($L$6:$L$71,MATCH(B43,$K$6:$K$71,1)))^((B43-INDEX($K$6:$K$71,MATCH(B43,$K$6:$K$71,1)))/(INDEX($K$6:$K$71,MATCH(B43,$K$6:$K$71,1)+1)-INDEX($K$6:$K$71,MATCH(B43,$K$6:$K$71,1))))),INDEX($L$6:$L$71,MATCH(B43,$K$6:$K$71,1))))</f>
        <v/>
      </c>
      <c r="F43" s="116">
        <f>IF(C43="","",$B$6*$B$11/100*D43)</f>
        <v/>
      </c>
      <c r="G43" s="116">
        <f>IF(C43="","",F43*E43)</f>
        <v/>
      </c>
      <c r="H43" s="115">
        <f>IF(C43="","",D43*E43)</f>
        <v/>
      </c>
      <c r="K43" s="47">
        <f>Bootstrap!B44</f>
        <v/>
      </c>
      <c r="L43" s="27">
        <f>Bootstrap!H44</f>
        <v/>
      </c>
    </row>
    <row r="44">
      <c r="A44" s="43">
        <f>ROW()-35</f>
        <v/>
      </c>
      <c r="B44" s="113">
        <f>IF(C44="","",MIN($B$10,IF(MONTH((EDATE($B$8,12*9)+IF(WEEKDAY(EDATE($B$8,12*9),2)=6,2,IF(WEEKDAY(EDATE($B$8,12*9),2)=7,1,0))))&lt;&gt;MONTH(EDATE($B$8,12*9)),(EDATE($B$8,12*9)-IF(WEEKDAY(EDATE($B$8,12*9),2)=6,1,IF(WEEKDAY(EDATE($B$8,12*9),2)=7,2,0))),(EDATE($B$8,12*9)+IF(WEEKDAY(EDATE($B$8,12*9),2)=6,2,IF(WEEKDAY(EDATE($B$8,12*9),2)=7,1,0))))))</f>
        <v/>
      </c>
      <c r="C44" s="113">
        <f>IF(OR(B43="",B43&gt;=$B$10),"",B43)</f>
        <v/>
      </c>
      <c r="D44" s="114">
        <f>IF(C44="","",(B44-C44)/360)</f>
        <v/>
      </c>
      <c r="E44" s="115">
        <f>IF(C44="","",IFERROR(IF(Curve_Interface!$J$7="Piecewise Linear (Simple)",IF(((B44-VAL_DATE)/360)&lt;=0,1,1/(1+(IF(((INDEX($K$6:$K$71,MATCH(B44,$K$6:$K$71,1))-VAL_DATE)/360)&lt;=0,IF(((INDEX($K$6:$K$71,MATCH(B44,$K$6:$K$71,1)+1)-VAL_DATE)/360)&lt;=0,0,(1/INDEX($L$6:$L$71,MATCH(B44,$K$6:$K$71,1)+1)-1)/((INDEX($K$6:$K$71,MATCH(B44,$K$6:$K$71,1)+1)-VAL_DATE)/360)),(1/INDEX($L$6:$L$71,MATCH(B44,$K$6:$K$71,1))-1)/((INDEX($K$6:$K$71,MATCH(B44,$K$6:$K$71,1))-VAL_DATE)/360))+(IF(((INDEX($K$6:$K$71,MATCH(B44,$K$6:$K$71,1)+1)-VAL_DATE)/360)&lt;=0,0,(1/INDEX($L$6:$L$71,MATCH(B44,$K$6:$K$71,1)+1)-1)/((INDEX($K$6:$K$71,MATCH(B44,$K$6:$K$71,1)+1)-VAL_DATE)/360))-IF(((INDEX($K$6:$K$71,MATCH(B44,$K$6:$K$71,1))-VAL_DATE)/360)&lt;=0,IF(((INDEX($K$6:$K$71,MATCH(B44,$K$6:$K$71,1)+1)-VAL_DATE)/360)&lt;=0,0,(1/INDEX($L$6:$L$71,MATCH(B44,$K$6:$K$71,1)+1)-1)/((INDEX($K$6:$K$71,MATCH(B44,$K$6:$K$71,1)+1)-VAL_DATE)/360)),(1/INDEX($L$6:$L$71,MATCH(B44,$K$6:$K$71,1))-1)/((INDEX($K$6:$K$71,MATCH(B44,$K$6:$K$71,1))-VAL_DATE)/360)))*IF(((INDEX($K$6:$K$71,MATCH(B44,$K$6:$K$71,1)+1)-VAL_DATE)/360)-((INDEX($K$6:$K$71,MATCH(B44,$K$6:$K$71,1))-VAL_DATE)/360)=0,0,(((B44-VAL_DATE)/360)-((INDEX($K$6:$K$71,MATCH(B44,$K$6:$K$71,1))-VAL_DATE)/360))/(((INDEX($K$6:$K$71,MATCH(B44,$K$6:$K$71,1)+1)-VAL_DATE)/360)-((INDEX($K$6:$K$71,MATCH(B44,$K$6:$K$71,1))-VAL_DATE)/360))))*((B44-VAL_DATE)/360))),INDEX($L$6:$L$71,MATCH(B44,$K$6:$K$71,1))*(INDEX($L$6:$L$71,MATCH(B44,$K$6:$K$71,1)+1)/INDEX($L$6:$L$71,MATCH(B44,$K$6:$K$71,1)))^((B44-INDEX($K$6:$K$71,MATCH(B44,$K$6:$K$71,1)))/(INDEX($K$6:$K$71,MATCH(B44,$K$6:$K$71,1)+1)-INDEX($K$6:$K$71,MATCH(B44,$K$6:$K$71,1))))),INDEX($L$6:$L$71,MATCH(B44,$K$6:$K$71,1))))</f>
        <v/>
      </c>
      <c r="F44" s="116">
        <f>IF(C44="","",$B$6*$B$11/100*D44)</f>
        <v/>
      </c>
      <c r="G44" s="116">
        <f>IF(C44="","",F44*E44)</f>
        <v/>
      </c>
      <c r="H44" s="115">
        <f>IF(C44="","",D44*E44)</f>
        <v/>
      </c>
      <c r="K44" s="47">
        <f>Bootstrap!B45</f>
        <v/>
      </c>
      <c r="L44" s="27">
        <f>Bootstrap!H45</f>
        <v/>
      </c>
    </row>
    <row r="45">
      <c r="A45" s="43">
        <f>ROW()-35</f>
        <v/>
      </c>
      <c r="B45" s="113">
        <f>IF(C45="","",MIN($B$10,IF(MONTH((EDATE($B$8,12*10)+IF(WEEKDAY(EDATE($B$8,12*10),2)=6,2,IF(WEEKDAY(EDATE($B$8,12*10),2)=7,1,0))))&lt;&gt;MONTH(EDATE($B$8,12*10)),(EDATE($B$8,12*10)-IF(WEEKDAY(EDATE($B$8,12*10),2)=6,1,IF(WEEKDAY(EDATE($B$8,12*10),2)=7,2,0))),(EDATE($B$8,12*10)+IF(WEEKDAY(EDATE($B$8,12*10),2)=6,2,IF(WEEKDAY(EDATE($B$8,12*10),2)=7,1,0))))))</f>
        <v/>
      </c>
      <c r="C45" s="113">
        <f>IF(OR(B44="",B44&gt;=$B$10),"",B44)</f>
        <v/>
      </c>
      <c r="D45" s="114">
        <f>IF(C45="","",(B45-C45)/360)</f>
        <v/>
      </c>
      <c r="E45" s="115">
        <f>IF(C45="","",IFERROR(IF(Curve_Interface!$J$7="Piecewise Linear (Simple)",IF(((B45-VAL_DATE)/360)&lt;=0,1,1/(1+(IF(((INDEX($K$6:$K$71,MATCH(B45,$K$6:$K$71,1))-VAL_DATE)/360)&lt;=0,IF(((INDEX($K$6:$K$71,MATCH(B45,$K$6:$K$71,1)+1)-VAL_DATE)/360)&lt;=0,0,(1/INDEX($L$6:$L$71,MATCH(B45,$K$6:$K$71,1)+1)-1)/((INDEX($K$6:$K$71,MATCH(B45,$K$6:$K$71,1)+1)-VAL_DATE)/360)),(1/INDEX($L$6:$L$71,MATCH(B45,$K$6:$K$71,1))-1)/((INDEX($K$6:$K$71,MATCH(B45,$K$6:$K$71,1))-VAL_DATE)/360))+(IF(((INDEX($K$6:$K$71,MATCH(B45,$K$6:$K$71,1)+1)-VAL_DATE)/360)&lt;=0,0,(1/INDEX($L$6:$L$71,MATCH(B45,$K$6:$K$71,1)+1)-1)/((INDEX($K$6:$K$71,MATCH(B45,$K$6:$K$71,1)+1)-VAL_DATE)/360))-IF(((INDEX($K$6:$K$71,MATCH(B45,$K$6:$K$71,1))-VAL_DATE)/360)&lt;=0,IF(((INDEX($K$6:$K$71,MATCH(B45,$K$6:$K$71,1)+1)-VAL_DATE)/360)&lt;=0,0,(1/INDEX($L$6:$L$71,MATCH(B45,$K$6:$K$71,1)+1)-1)/((INDEX($K$6:$K$71,MATCH(B45,$K$6:$K$71,1)+1)-VAL_DATE)/360)),(1/INDEX($L$6:$L$71,MATCH(B45,$K$6:$K$71,1))-1)/((INDEX($K$6:$K$71,MATCH(B45,$K$6:$K$71,1))-VAL_DATE)/360)))*IF(((INDEX($K$6:$K$71,MATCH(B45,$K$6:$K$71,1)+1)-VAL_DATE)/360)-((INDEX($K$6:$K$71,MATCH(B45,$K$6:$K$71,1))-VAL_DATE)/360)=0,0,(((B45-VAL_DATE)/360)-((INDEX($K$6:$K$71,MATCH(B45,$K$6:$K$71,1))-VAL_DATE)/360))/(((INDEX($K$6:$K$71,MATCH(B45,$K$6:$K$71,1)+1)-VAL_DATE)/360)-((INDEX($K$6:$K$71,MATCH(B45,$K$6:$K$71,1))-VAL_DATE)/360))))*((B45-VAL_DATE)/360))),INDEX($L$6:$L$71,MATCH(B45,$K$6:$K$71,1))*(INDEX($L$6:$L$71,MATCH(B45,$K$6:$K$71,1)+1)/INDEX($L$6:$L$71,MATCH(B45,$K$6:$K$71,1)))^((B45-INDEX($K$6:$K$71,MATCH(B45,$K$6:$K$71,1)))/(INDEX($K$6:$K$71,MATCH(B45,$K$6:$K$71,1)+1)-INDEX($K$6:$K$71,MATCH(B45,$K$6:$K$71,1))))),INDEX($L$6:$L$71,MATCH(B45,$K$6:$K$71,1))))</f>
        <v/>
      </c>
      <c r="F45" s="116">
        <f>IF(C45="","",$B$6*$B$11/100*D45)</f>
        <v/>
      </c>
      <c r="G45" s="116">
        <f>IF(C45="","",F45*E45)</f>
        <v/>
      </c>
      <c r="H45" s="115">
        <f>IF(C45="","",D45*E45)</f>
        <v/>
      </c>
      <c r="K45" s="47">
        <f>Bootstrap!B46</f>
        <v/>
      </c>
      <c r="L45" s="27">
        <f>Bootstrap!H46</f>
        <v/>
      </c>
    </row>
    <row r="46">
      <c r="A46" s="43">
        <f>ROW()-35</f>
        <v/>
      </c>
      <c r="B46" s="113">
        <f>IF(C46="","",MIN($B$10,IF(MONTH((EDATE($B$8,12*11)+IF(WEEKDAY(EDATE($B$8,12*11),2)=6,2,IF(WEEKDAY(EDATE($B$8,12*11),2)=7,1,0))))&lt;&gt;MONTH(EDATE($B$8,12*11)),(EDATE($B$8,12*11)-IF(WEEKDAY(EDATE($B$8,12*11),2)=6,1,IF(WEEKDAY(EDATE($B$8,12*11),2)=7,2,0))),(EDATE($B$8,12*11)+IF(WEEKDAY(EDATE($B$8,12*11),2)=6,2,IF(WEEKDAY(EDATE($B$8,12*11),2)=7,1,0))))))</f>
        <v/>
      </c>
      <c r="C46" s="113">
        <f>IF(OR(B45="",B45&gt;=$B$10),"",B45)</f>
        <v/>
      </c>
      <c r="D46" s="114">
        <f>IF(C46="","",(B46-C46)/360)</f>
        <v/>
      </c>
      <c r="E46" s="115">
        <f>IF(C46="","",IFERROR(IF(Curve_Interface!$J$7="Piecewise Linear (Simple)",IF(((B46-VAL_DATE)/360)&lt;=0,1,1/(1+(IF(((INDEX($K$6:$K$71,MATCH(B46,$K$6:$K$71,1))-VAL_DATE)/360)&lt;=0,IF(((INDEX($K$6:$K$71,MATCH(B46,$K$6:$K$71,1)+1)-VAL_DATE)/360)&lt;=0,0,(1/INDEX($L$6:$L$71,MATCH(B46,$K$6:$K$71,1)+1)-1)/((INDEX($K$6:$K$71,MATCH(B46,$K$6:$K$71,1)+1)-VAL_DATE)/360)),(1/INDEX($L$6:$L$71,MATCH(B46,$K$6:$K$71,1))-1)/((INDEX($K$6:$K$71,MATCH(B46,$K$6:$K$71,1))-VAL_DATE)/360))+(IF(((INDEX($K$6:$K$71,MATCH(B46,$K$6:$K$71,1)+1)-VAL_DATE)/360)&lt;=0,0,(1/INDEX($L$6:$L$71,MATCH(B46,$K$6:$K$71,1)+1)-1)/((INDEX($K$6:$K$71,MATCH(B46,$K$6:$K$71,1)+1)-VAL_DATE)/360))-IF(((INDEX($K$6:$K$71,MATCH(B46,$K$6:$K$71,1))-VAL_DATE)/360)&lt;=0,IF(((INDEX($K$6:$K$71,MATCH(B46,$K$6:$K$71,1)+1)-VAL_DATE)/360)&lt;=0,0,(1/INDEX($L$6:$L$71,MATCH(B46,$K$6:$K$71,1)+1)-1)/((INDEX($K$6:$K$71,MATCH(B46,$K$6:$K$71,1)+1)-VAL_DATE)/360)),(1/INDEX($L$6:$L$71,MATCH(B46,$K$6:$K$71,1))-1)/((INDEX($K$6:$K$71,MATCH(B46,$K$6:$K$71,1))-VAL_DATE)/360)))*IF(((INDEX($K$6:$K$71,MATCH(B46,$K$6:$K$71,1)+1)-VAL_DATE)/360)-((INDEX($K$6:$K$71,MATCH(B46,$K$6:$K$71,1))-VAL_DATE)/360)=0,0,(((B46-VAL_DATE)/360)-((INDEX($K$6:$K$71,MATCH(B46,$K$6:$K$71,1))-VAL_DATE)/360))/(((INDEX($K$6:$K$71,MATCH(B46,$K$6:$K$71,1)+1)-VAL_DATE)/360)-((INDEX($K$6:$K$71,MATCH(B46,$K$6:$K$71,1))-VAL_DATE)/360))))*((B46-VAL_DATE)/360))),INDEX($L$6:$L$71,MATCH(B46,$K$6:$K$71,1))*(INDEX($L$6:$L$71,MATCH(B46,$K$6:$K$71,1)+1)/INDEX($L$6:$L$71,MATCH(B46,$K$6:$K$71,1)))^((B46-INDEX($K$6:$K$71,MATCH(B46,$K$6:$K$71,1)))/(INDEX($K$6:$K$71,MATCH(B46,$K$6:$K$71,1)+1)-INDEX($K$6:$K$71,MATCH(B46,$K$6:$K$71,1))))),INDEX($L$6:$L$71,MATCH(B46,$K$6:$K$71,1))))</f>
        <v/>
      </c>
      <c r="F46" s="116">
        <f>IF(C46="","",$B$6*$B$11/100*D46)</f>
        <v/>
      </c>
      <c r="G46" s="116">
        <f>IF(C46="","",F46*E46)</f>
        <v/>
      </c>
      <c r="H46" s="115">
        <f>IF(C46="","",D46*E46)</f>
        <v/>
      </c>
      <c r="K46" s="47">
        <f>Bootstrap!B47</f>
        <v/>
      </c>
      <c r="L46" s="27">
        <f>Bootstrap!H47</f>
        <v/>
      </c>
    </row>
    <row r="47">
      <c r="A47" s="43">
        <f>ROW()-35</f>
        <v/>
      </c>
      <c r="B47" s="113">
        <f>IF(C47="","",MIN($B$10,IF(MONTH((EDATE($B$8,12*12)+IF(WEEKDAY(EDATE($B$8,12*12),2)=6,2,IF(WEEKDAY(EDATE($B$8,12*12),2)=7,1,0))))&lt;&gt;MONTH(EDATE($B$8,12*12)),(EDATE($B$8,12*12)-IF(WEEKDAY(EDATE($B$8,12*12),2)=6,1,IF(WEEKDAY(EDATE($B$8,12*12),2)=7,2,0))),(EDATE($B$8,12*12)+IF(WEEKDAY(EDATE($B$8,12*12),2)=6,2,IF(WEEKDAY(EDATE($B$8,12*12),2)=7,1,0))))))</f>
        <v/>
      </c>
      <c r="C47" s="113">
        <f>IF(OR(B46="",B46&gt;=$B$10),"",B46)</f>
        <v/>
      </c>
      <c r="D47" s="114">
        <f>IF(C47="","",(B47-C47)/360)</f>
        <v/>
      </c>
      <c r="E47" s="115">
        <f>IF(C47="","",IFERROR(IF(Curve_Interface!$J$7="Piecewise Linear (Simple)",IF(((B47-VAL_DATE)/360)&lt;=0,1,1/(1+(IF(((INDEX($K$6:$K$71,MATCH(B47,$K$6:$K$71,1))-VAL_DATE)/360)&lt;=0,IF(((INDEX($K$6:$K$71,MATCH(B47,$K$6:$K$71,1)+1)-VAL_DATE)/360)&lt;=0,0,(1/INDEX($L$6:$L$71,MATCH(B47,$K$6:$K$71,1)+1)-1)/((INDEX($K$6:$K$71,MATCH(B47,$K$6:$K$71,1)+1)-VAL_DATE)/360)),(1/INDEX($L$6:$L$71,MATCH(B47,$K$6:$K$71,1))-1)/((INDEX($K$6:$K$71,MATCH(B47,$K$6:$K$71,1))-VAL_DATE)/360))+(IF(((INDEX($K$6:$K$71,MATCH(B47,$K$6:$K$71,1)+1)-VAL_DATE)/360)&lt;=0,0,(1/INDEX($L$6:$L$71,MATCH(B47,$K$6:$K$71,1)+1)-1)/((INDEX($K$6:$K$71,MATCH(B47,$K$6:$K$71,1)+1)-VAL_DATE)/360))-IF(((INDEX($K$6:$K$71,MATCH(B47,$K$6:$K$71,1))-VAL_DATE)/360)&lt;=0,IF(((INDEX($K$6:$K$71,MATCH(B47,$K$6:$K$71,1)+1)-VAL_DATE)/360)&lt;=0,0,(1/INDEX($L$6:$L$71,MATCH(B47,$K$6:$K$71,1)+1)-1)/((INDEX($K$6:$K$71,MATCH(B47,$K$6:$K$71,1)+1)-VAL_DATE)/360)),(1/INDEX($L$6:$L$71,MATCH(B47,$K$6:$K$71,1))-1)/((INDEX($K$6:$K$71,MATCH(B47,$K$6:$K$71,1))-VAL_DATE)/360)))*IF(((INDEX($K$6:$K$71,MATCH(B47,$K$6:$K$71,1)+1)-VAL_DATE)/360)-((INDEX($K$6:$K$71,MATCH(B47,$K$6:$K$71,1))-VAL_DATE)/360)=0,0,(((B47-VAL_DATE)/360)-((INDEX($K$6:$K$71,MATCH(B47,$K$6:$K$71,1))-VAL_DATE)/360))/(((INDEX($K$6:$K$71,MATCH(B47,$K$6:$K$71,1)+1)-VAL_DATE)/360)-((INDEX($K$6:$K$71,MATCH(B47,$K$6:$K$71,1))-VAL_DATE)/360))))*((B47-VAL_DATE)/360))),INDEX($L$6:$L$71,MATCH(B47,$K$6:$K$71,1))*(INDEX($L$6:$L$71,MATCH(B47,$K$6:$K$71,1)+1)/INDEX($L$6:$L$71,MATCH(B47,$K$6:$K$71,1)))^((B47-INDEX($K$6:$K$71,MATCH(B47,$K$6:$K$71,1)))/(INDEX($K$6:$K$71,MATCH(B47,$K$6:$K$71,1)+1)-INDEX($K$6:$K$71,MATCH(B47,$K$6:$K$71,1))))),INDEX($L$6:$L$71,MATCH(B47,$K$6:$K$71,1))))</f>
        <v/>
      </c>
      <c r="F47" s="116">
        <f>IF(C47="","",$B$6*$B$11/100*D47)</f>
        <v/>
      </c>
      <c r="G47" s="116">
        <f>IF(C47="","",F47*E47)</f>
        <v/>
      </c>
      <c r="H47" s="115">
        <f>IF(C47="","",D47*E47)</f>
        <v/>
      </c>
      <c r="K47" s="47">
        <f>Bootstrap!B48</f>
        <v/>
      </c>
      <c r="L47" s="27">
        <f>Bootstrap!H48</f>
        <v/>
      </c>
    </row>
    <row r="48">
      <c r="A48" s="43">
        <f>ROW()-35</f>
        <v/>
      </c>
      <c r="B48" s="113">
        <f>IF(C48="","",MIN($B$10,IF(MONTH((EDATE($B$8,12*13)+IF(WEEKDAY(EDATE($B$8,12*13),2)=6,2,IF(WEEKDAY(EDATE($B$8,12*13),2)=7,1,0))))&lt;&gt;MONTH(EDATE($B$8,12*13)),(EDATE($B$8,12*13)-IF(WEEKDAY(EDATE($B$8,12*13),2)=6,1,IF(WEEKDAY(EDATE($B$8,12*13),2)=7,2,0))),(EDATE($B$8,12*13)+IF(WEEKDAY(EDATE($B$8,12*13),2)=6,2,IF(WEEKDAY(EDATE($B$8,12*13),2)=7,1,0))))))</f>
        <v/>
      </c>
      <c r="C48" s="113">
        <f>IF(OR(B47="",B47&gt;=$B$10),"",B47)</f>
        <v/>
      </c>
      <c r="D48" s="114">
        <f>IF(C48="","",(B48-C48)/360)</f>
        <v/>
      </c>
      <c r="E48" s="115">
        <f>IF(C48="","",IFERROR(IF(Curve_Interface!$J$7="Piecewise Linear (Simple)",IF(((B48-VAL_DATE)/360)&lt;=0,1,1/(1+(IF(((INDEX($K$6:$K$71,MATCH(B48,$K$6:$K$71,1))-VAL_DATE)/360)&lt;=0,IF(((INDEX($K$6:$K$71,MATCH(B48,$K$6:$K$71,1)+1)-VAL_DATE)/360)&lt;=0,0,(1/INDEX($L$6:$L$71,MATCH(B48,$K$6:$K$71,1)+1)-1)/((INDEX($K$6:$K$71,MATCH(B48,$K$6:$K$71,1)+1)-VAL_DATE)/360)),(1/INDEX($L$6:$L$71,MATCH(B48,$K$6:$K$71,1))-1)/((INDEX($K$6:$K$71,MATCH(B48,$K$6:$K$71,1))-VAL_DATE)/360))+(IF(((INDEX($K$6:$K$71,MATCH(B48,$K$6:$K$71,1)+1)-VAL_DATE)/360)&lt;=0,0,(1/INDEX($L$6:$L$71,MATCH(B48,$K$6:$K$71,1)+1)-1)/((INDEX($K$6:$K$71,MATCH(B48,$K$6:$K$71,1)+1)-VAL_DATE)/360))-IF(((INDEX($K$6:$K$71,MATCH(B48,$K$6:$K$71,1))-VAL_DATE)/360)&lt;=0,IF(((INDEX($K$6:$K$71,MATCH(B48,$K$6:$K$71,1)+1)-VAL_DATE)/360)&lt;=0,0,(1/INDEX($L$6:$L$71,MATCH(B48,$K$6:$K$71,1)+1)-1)/((INDEX($K$6:$K$71,MATCH(B48,$K$6:$K$71,1)+1)-VAL_DATE)/360)),(1/INDEX($L$6:$L$71,MATCH(B48,$K$6:$K$71,1))-1)/((INDEX($K$6:$K$71,MATCH(B48,$K$6:$K$71,1))-VAL_DATE)/360)))*IF(((INDEX($K$6:$K$71,MATCH(B48,$K$6:$K$71,1)+1)-VAL_DATE)/360)-((INDEX($K$6:$K$71,MATCH(B48,$K$6:$K$71,1))-VAL_DATE)/360)=0,0,(((B48-VAL_DATE)/360)-((INDEX($K$6:$K$71,MATCH(B48,$K$6:$K$71,1))-VAL_DATE)/360))/(((INDEX($K$6:$K$71,MATCH(B48,$K$6:$K$71,1)+1)-VAL_DATE)/360)-((INDEX($K$6:$K$71,MATCH(B48,$K$6:$K$71,1))-VAL_DATE)/360))))*((B48-VAL_DATE)/360))),INDEX($L$6:$L$71,MATCH(B48,$K$6:$K$71,1))*(INDEX($L$6:$L$71,MATCH(B48,$K$6:$K$71,1)+1)/INDEX($L$6:$L$71,MATCH(B48,$K$6:$K$71,1)))^((B48-INDEX($K$6:$K$71,MATCH(B48,$K$6:$K$71,1)))/(INDEX($K$6:$K$71,MATCH(B48,$K$6:$K$71,1)+1)-INDEX($K$6:$K$71,MATCH(B48,$K$6:$K$71,1))))),INDEX($L$6:$L$71,MATCH(B48,$K$6:$K$71,1))))</f>
        <v/>
      </c>
      <c r="F48" s="116">
        <f>IF(C48="","",$B$6*$B$11/100*D48)</f>
        <v/>
      </c>
      <c r="G48" s="116">
        <f>IF(C48="","",F48*E48)</f>
        <v/>
      </c>
      <c r="H48" s="115">
        <f>IF(C48="","",D48*E48)</f>
        <v/>
      </c>
      <c r="K48" s="47">
        <f>Bootstrap!B49</f>
        <v/>
      </c>
      <c r="L48" s="27">
        <f>Bootstrap!H49</f>
        <v/>
      </c>
    </row>
    <row r="49">
      <c r="A49" s="43">
        <f>ROW()-35</f>
        <v/>
      </c>
      <c r="B49" s="113">
        <f>IF(C49="","",MIN($B$10,IF(MONTH((EDATE($B$8,12*14)+IF(WEEKDAY(EDATE($B$8,12*14),2)=6,2,IF(WEEKDAY(EDATE($B$8,12*14),2)=7,1,0))))&lt;&gt;MONTH(EDATE($B$8,12*14)),(EDATE($B$8,12*14)-IF(WEEKDAY(EDATE($B$8,12*14),2)=6,1,IF(WEEKDAY(EDATE($B$8,12*14),2)=7,2,0))),(EDATE($B$8,12*14)+IF(WEEKDAY(EDATE($B$8,12*14),2)=6,2,IF(WEEKDAY(EDATE($B$8,12*14),2)=7,1,0))))))</f>
        <v/>
      </c>
      <c r="C49" s="113">
        <f>IF(OR(B48="",B48&gt;=$B$10),"",B48)</f>
        <v/>
      </c>
      <c r="D49" s="114">
        <f>IF(C49="","",(B49-C49)/360)</f>
        <v/>
      </c>
      <c r="E49" s="115">
        <f>IF(C49="","",IFERROR(IF(Curve_Interface!$J$7="Piecewise Linear (Simple)",IF(((B49-VAL_DATE)/360)&lt;=0,1,1/(1+(IF(((INDEX($K$6:$K$71,MATCH(B49,$K$6:$K$71,1))-VAL_DATE)/360)&lt;=0,IF(((INDEX($K$6:$K$71,MATCH(B49,$K$6:$K$71,1)+1)-VAL_DATE)/360)&lt;=0,0,(1/INDEX($L$6:$L$71,MATCH(B49,$K$6:$K$71,1)+1)-1)/((INDEX($K$6:$K$71,MATCH(B49,$K$6:$K$71,1)+1)-VAL_DATE)/360)),(1/INDEX($L$6:$L$71,MATCH(B49,$K$6:$K$71,1))-1)/((INDEX($K$6:$K$71,MATCH(B49,$K$6:$K$71,1))-VAL_DATE)/360))+(IF(((INDEX($K$6:$K$71,MATCH(B49,$K$6:$K$71,1)+1)-VAL_DATE)/360)&lt;=0,0,(1/INDEX($L$6:$L$71,MATCH(B49,$K$6:$K$71,1)+1)-1)/((INDEX($K$6:$K$71,MATCH(B49,$K$6:$K$71,1)+1)-VAL_DATE)/360))-IF(((INDEX($K$6:$K$71,MATCH(B49,$K$6:$K$71,1))-VAL_DATE)/360)&lt;=0,IF(((INDEX($K$6:$K$71,MATCH(B49,$K$6:$K$71,1)+1)-VAL_DATE)/360)&lt;=0,0,(1/INDEX($L$6:$L$71,MATCH(B49,$K$6:$K$71,1)+1)-1)/((INDEX($K$6:$K$71,MATCH(B49,$K$6:$K$71,1)+1)-VAL_DATE)/360)),(1/INDEX($L$6:$L$71,MATCH(B49,$K$6:$K$71,1))-1)/((INDEX($K$6:$K$71,MATCH(B49,$K$6:$K$71,1))-VAL_DATE)/360)))*IF(((INDEX($K$6:$K$71,MATCH(B49,$K$6:$K$71,1)+1)-VAL_DATE)/360)-((INDEX($K$6:$K$71,MATCH(B49,$K$6:$K$71,1))-VAL_DATE)/360)=0,0,(((B49-VAL_DATE)/360)-((INDEX($K$6:$K$71,MATCH(B49,$K$6:$K$71,1))-VAL_DATE)/360))/(((INDEX($K$6:$K$71,MATCH(B49,$K$6:$K$71,1)+1)-VAL_DATE)/360)-((INDEX($K$6:$K$71,MATCH(B49,$K$6:$K$71,1))-VAL_DATE)/360))))*((B49-VAL_DATE)/360))),INDEX($L$6:$L$71,MATCH(B49,$K$6:$K$71,1))*(INDEX($L$6:$L$71,MATCH(B49,$K$6:$K$71,1)+1)/INDEX($L$6:$L$71,MATCH(B49,$K$6:$K$71,1)))^((B49-INDEX($K$6:$K$71,MATCH(B49,$K$6:$K$71,1)))/(INDEX($K$6:$K$71,MATCH(B49,$K$6:$K$71,1)+1)-INDEX($K$6:$K$71,MATCH(B49,$K$6:$K$71,1))))),INDEX($L$6:$L$71,MATCH(B49,$K$6:$K$71,1))))</f>
        <v/>
      </c>
      <c r="F49" s="116">
        <f>IF(C49="","",$B$6*$B$11/100*D49)</f>
        <v/>
      </c>
      <c r="G49" s="116">
        <f>IF(C49="","",F49*E49)</f>
        <v/>
      </c>
      <c r="H49" s="115">
        <f>IF(C49="","",D49*E49)</f>
        <v/>
      </c>
      <c r="K49" s="47">
        <f>Bootstrap!B50</f>
        <v/>
      </c>
      <c r="L49" s="27">
        <f>Bootstrap!H50</f>
        <v/>
      </c>
    </row>
    <row r="50">
      <c r="A50" s="43">
        <f>ROW()-35</f>
        <v/>
      </c>
      <c r="B50" s="113">
        <f>IF(C50="","",MIN($B$10,IF(MONTH((EDATE($B$8,12*15)+IF(WEEKDAY(EDATE($B$8,12*15),2)=6,2,IF(WEEKDAY(EDATE($B$8,12*15),2)=7,1,0))))&lt;&gt;MONTH(EDATE($B$8,12*15)),(EDATE($B$8,12*15)-IF(WEEKDAY(EDATE($B$8,12*15),2)=6,1,IF(WEEKDAY(EDATE($B$8,12*15),2)=7,2,0))),(EDATE($B$8,12*15)+IF(WEEKDAY(EDATE($B$8,12*15),2)=6,2,IF(WEEKDAY(EDATE($B$8,12*15),2)=7,1,0))))))</f>
        <v/>
      </c>
      <c r="C50" s="113">
        <f>IF(OR(B49="",B49&gt;=$B$10),"",B49)</f>
        <v/>
      </c>
      <c r="D50" s="114">
        <f>IF(C50="","",(B50-C50)/360)</f>
        <v/>
      </c>
      <c r="E50" s="115">
        <f>IF(C50="","",IFERROR(IF(Curve_Interface!$J$7="Piecewise Linear (Simple)",IF(((B50-VAL_DATE)/360)&lt;=0,1,1/(1+(IF(((INDEX($K$6:$K$71,MATCH(B50,$K$6:$K$71,1))-VAL_DATE)/360)&lt;=0,IF(((INDEX($K$6:$K$71,MATCH(B50,$K$6:$K$71,1)+1)-VAL_DATE)/360)&lt;=0,0,(1/INDEX($L$6:$L$71,MATCH(B50,$K$6:$K$71,1)+1)-1)/((INDEX($K$6:$K$71,MATCH(B50,$K$6:$K$71,1)+1)-VAL_DATE)/360)),(1/INDEX($L$6:$L$71,MATCH(B50,$K$6:$K$71,1))-1)/((INDEX($K$6:$K$71,MATCH(B50,$K$6:$K$71,1))-VAL_DATE)/360))+(IF(((INDEX($K$6:$K$71,MATCH(B50,$K$6:$K$71,1)+1)-VAL_DATE)/360)&lt;=0,0,(1/INDEX($L$6:$L$71,MATCH(B50,$K$6:$K$71,1)+1)-1)/((INDEX($K$6:$K$71,MATCH(B50,$K$6:$K$71,1)+1)-VAL_DATE)/360))-IF(((INDEX($K$6:$K$71,MATCH(B50,$K$6:$K$71,1))-VAL_DATE)/360)&lt;=0,IF(((INDEX($K$6:$K$71,MATCH(B50,$K$6:$K$71,1)+1)-VAL_DATE)/360)&lt;=0,0,(1/INDEX($L$6:$L$71,MATCH(B50,$K$6:$K$71,1)+1)-1)/((INDEX($K$6:$K$71,MATCH(B50,$K$6:$K$71,1)+1)-VAL_DATE)/360)),(1/INDEX($L$6:$L$71,MATCH(B50,$K$6:$K$71,1))-1)/((INDEX($K$6:$K$71,MATCH(B50,$K$6:$K$71,1))-VAL_DATE)/360)))*IF(((INDEX($K$6:$K$71,MATCH(B50,$K$6:$K$71,1)+1)-VAL_DATE)/360)-((INDEX($K$6:$K$71,MATCH(B50,$K$6:$K$71,1))-VAL_DATE)/360)=0,0,(((B50-VAL_DATE)/360)-((INDEX($K$6:$K$71,MATCH(B50,$K$6:$K$71,1))-VAL_DATE)/360))/(((INDEX($K$6:$K$71,MATCH(B50,$K$6:$K$71,1)+1)-VAL_DATE)/360)-((INDEX($K$6:$K$71,MATCH(B50,$K$6:$K$71,1))-VAL_DATE)/360))))*((B50-VAL_DATE)/360))),INDEX($L$6:$L$71,MATCH(B50,$K$6:$K$71,1))*(INDEX($L$6:$L$71,MATCH(B50,$K$6:$K$71,1)+1)/INDEX($L$6:$L$71,MATCH(B50,$K$6:$K$71,1)))^((B50-INDEX($K$6:$K$71,MATCH(B50,$K$6:$K$71,1)))/(INDEX($K$6:$K$71,MATCH(B50,$K$6:$K$71,1)+1)-INDEX($K$6:$K$71,MATCH(B50,$K$6:$K$71,1))))),INDEX($L$6:$L$71,MATCH(B50,$K$6:$K$71,1))))</f>
        <v/>
      </c>
      <c r="F50" s="116">
        <f>IF(C50="","",$B$6*$B$11/100*D50)</f>
        <v/>
      </c>
      <c r="G50" s="116">
        <f>IF(C50="","",F50*E50)</f>
        <v/>
      </c>
      <c r="H50" s="115">
        <f>IF(C50="","",D50*E50)</f>
        <v/>
      </c>
      <c r="K50" s="47">
        <f>Bootstrap!B51</f>
        <v/>
      </c>
      <c r="L50" s="27">
        <f>Bootstrap!H51</f>
        <v/>
      </c>
    </row>
    <row r="51">
      <c r="A51" s="43">
        <f>ROW()-35</f>
        <v/>
      </c>
      <c r="B51" s="113">
        <f>IF(C51="","",MIN($B$10,IF(MONTH((EDATE($B$8,12*16)+IF(WEEKDAY(EDATE($B$8,12*16),2)=6,2,IF(WEEKDAY(EDATE($B$8,12*16),2)=7,1,0))))&lt;&gt;MONTH(EDATE($B$8,12*16)),(EDATE($B$8,12*16)-IF(WEEKDAY(EDATE($B$8,12*16),2)=6,1,IF(WEEKDAY(EDATE($B$8,12*16),2)=7,2,0))),(EDATE($B$8,12*16)+IF(WEEKDAY(EDATE($B$8,12*16),2)=6,2,IF(WEEKDAY(EDATE($B$8,12*16),2)=7,1,0))))))</f>
        <v/>
      </c>
      <c r="C51" s="113">
        <f>IF(OR(B50="",B50&gt;=$B$10),"",B50)</f>
        <v/>
      </c>
      <c r="D51" s="114">
        <f>IF(C51="","",(B51-C51)/360)</f>
        <v/>
      </c>
      <c r="E51" s="115">
        <f>IF(C51="","",IFERROR(IF(Curve_Interface!$J$7="Piecewise Linear (Simple)",IF(((B51-VAL_DATE)/360)&lt;=0,1,1/(1+(IF(((INDEX($K$6:$K$71,MATCH(B51,$K$6:$K$71,1))-VAL_DATE)/360)&lt;=0,IF(((INDEX($K$6:$K$71,MATCH(B51,$K$6:$K$71,1)+1)-VAL_DATE)/360)&lt;=0,0,(1/INDEX($L$6:$L$71,MATCH(B51,$K$6:$K$71,1)+1)-1)/((INDEX($K$6:$K$71,MATCH(B51,$K$6:$K$71,1)+1)-VAL_DATE)/360)),(1/INDEX($L$6:$L$71,MATCH(B51,$K$6:$K$71,1))-1)/((INDEX($K$6:$K$71,MATCH(B51,$K$6:$K$71,1))-VAL_DATE)/360))+(IF(((INDEX($K$6:$K$71,MATCH(B51,$K$6:$K$71,1)+1)-VAL_DATE)/360)&lt;=0,0,(1/INDEX($L$6:$L$71,MATCH(B51,$K$6:$K$71,1)+1)-1)/((INDEX($K$6:$K$71,MATCH(B51,$K$6:$K$71,1)+1)-VAL_DATE)/360))-IF(((INDEX($K$6:$K$71,MATCH(B51,$K$6:$K$71,1))-VAL_DATE)/360)&lt;=0,IF(((INDEX($K$6:$K$71,MATCH(B51,$K$6:$K$71,1)+1)-VAL_DATE)/360)&lt;=0,0,(1/INDEX($L$6:$L$71,MATCH(B51,$K$6:$K$71,1)+1)-1)/((INDEX($K$6:$K$71,MATCH(B51,$K$6:$K$71,1)+1)-VAL_DATE)/360)),(1/INDEX($L$6:$L$71,MATCH(B51,$K$6:$K$71,1))-1)/((INDEX($K$6:$K$71,MATCH(B51,$K$6:$K$71,1))-VAL_DATE)/360)))*IF(((INDEX($K$6:$K$71,MATCH(B51,$K$6:$K$71,1)+1)-VAL_DATE)/360)-((INDEX($K$6:$K$71,MATCH(B51,$K$6:$K$71,1))-VAL_DATE)/360)=0,0,(((B51-VAL_DATE)/360)-((INDEX($K$6:$K$71,MATCH(B51,$K$6:$K$71,1))-VAL_DATE)/360))/(((INDEX($K$6:$K$71,MATCH(B51,$K$6:$K$71,1)+1)-VAL_DATE)/360)-((INDEX($K$6:$K$71,MATCH(B51,$K$6:$K$71,1))-VAL_DATE)/360))))*((B51-VAL_DATE)/360))),INDEX($L$6:$L$71,MATCH(B51,$K$6:$K$71,1))*(INDEX($L$6:$L$71,MATCH(B51,$K$6:$K$71,1)+1)/INDEX($L$6:$L$71,MATCH(B51,$K$6:$K$71,1)))^((B51-INDEX($K$6:$K$71,MATCH(B51,$K$6:$K$71,1)))/(INDEX($K$6:$K$71,MATCH(B51,$K$6:$K$71,1)+1)-INDEX($K$6:$K$71,MATCH(B51,$K$6:$K$71,1))))),INDEX($L$6:$L$71,MATCH(B51,$K$6:$K$71,1))))</f>
        <v/>
      </c>
      <c r="F51" s="116">
        <f>IF(C51="","",$B$6*$B$11/100*D51)</f>
        <v/>
      </c>
      <c r="G51" s="116">
        <f>IF(C51="","",F51*E51)</f>
        <v/>
      </c>
      <c r="H51" s="115">
        <f>IF(C51="","",D51*E51)</f>
        <v/>
      </c>
      <c r="K51" s="47">
        <f>Bootstrap!B52</f>
        <v/>
      </c>
      <c r="L51" s="27">
        <f>Bootstrap!H52</f>
        <v/>
      </c>
    </row>
    <row r="52">
      <c r="A52" s="43">
        <f>ROW()-35</f>
        <v/>
      </c>
      <c r="B52" s="113">
        <f>IF(C52="","",MIN($B$10,IF(MONTH((EDATE($B$8,12*17)+IF(WEEKDAY(EDATE($B$8,12*17),2)=6,2,IF(WEEKDAY(EDATE($B$8,12*17),2)=7,1,0))))&lt;&gt;MONTH(EDATE($B$8,12*17)),(EDATE($B$8,12*17)-IF(WEEKDAY(EDATE($B$8,12*17),2)=6,1,IF(WEEKDAY(EDATE($B$8,12*17),2)=7,2,0))),(EDATE($B$8,12*17)+IF(WEEKDAY(EDATE($B$8,12*17),2)=6,2,IF(WEEKDAY(EDATE($B$8,12*17),2)=7,1,0))))))</f>
        <v/>
      </c>
      <c r="C52" s="113">
        <f>IF(OR(B51="",B51&gt;=$B$10),"",B51)</f>
        <v/>
      </c>
      <c r="D52" s="114">
        <f>IF(C52="","",(B52-C52)/360)</f>
        <v/>
      </c>
      <c r="E52" s="115">
        <f>IF(C52="","",IFERROR(IF(Curve_Interface!$J$7="Piecewise Linear (Simple)",IF(((B52-VAL_DATE)/360)&lt;=0,1,1/(1+(IF(((INDEX($K$6:$K$71,MATCH(B52,$K$6:$K$71,1))-VAL_DATE)/360)&lt;=0,IF(((INDEX($K$6:$K$71,MATCH(B52,$K$6:$K$71,1)+1)-VAL_DATE)/360)&lt;=0,0,(1/INDEX($L$6:$L$71,MATCH(B52,$K$6:$K$71,1)+1)-1)/((INDEX($K$6:$K$71,MATCH(B52,$K$6:$K$71,1)+1)-VAL_DATE)/360)),(1/INDEX($L$6:$L$71,MATCH(B52,$K$6:$K$71,1))-1)/((INDEX($K$6:$K$71,MATCH(B52,$K$6:$K$71,1))-VAL_DATE)/360))+(IF(((INDEX($K$6:$K$71,MATCH(B52,$K$6:$K$71,1)+1)-VAL_DATE)/360)&lt;=0,0,(1/INDEX($L$6:$L$71,MATCH(B52,$K$6:$K$71,1)+1)-1)/((INDEX($K$6:$K$71,MATCH(B52,$K$6:$K$71,1)+1)-VAL_DATE)/360))-IF(((INDEX($K$6:$K$71,MATCH(B52,$K$6:$K$71,1))-VAL_DATE)/360)&lt;=0,IF(((INDEX($K$6:$K$71,MATCH(B52,$K$6:$K$71,1)+1)-VAL_DATE)/360)&lt;=0,0,(1/INDEX($L$6:$L$71,MATCH(B52,$K$6:$K$71,1)+1)-1)/((INDEX($K$6:$K$71,MATCH(B52,$K$6:$K$71,1)+1)-VAL_DATE)/360)),(1/INDEX($L$6:$L$71,MATCH(B52,$K$6:$K$71,1))-1)/((INDEX($K$6:$K$71,MATCH(B52,$K$6:$K$71,1))-VAL_DATE)/360)))*IF(((INDEX($K$6:$K$71,MATCH(B52,$K$6:$K$71,1)+1)-VAL_DATE)/360)-((INDEX($K$6:$K$71,MATCH(B52,$K$6:$K$71,1))-VAL_DATE)/360)=0,0,(((B52-VAL_DATE)/360)-((INDEX($K$6:$K$71,MATCH(B52,$K$6:$K$71,1))-VAL_DATE)/360))/(((INDEX($K$6:$K$71,MATCH(B52,$K$6:$K$71,1)+1)-VAL_DATE)/360)-((INDEX($K$6:$K$71,MATCH(B52,$K$6:$K$71,1))-VAL_DATE)/360))))*((B52-VAL_DATE)/360))),INDEX($L$6:$L$71,MATCH(B52,$K$6:$K$71,1))*(INDEX($L$6:$L$71,MATCH(B52,$K$6:$K$71,1)+1)/INDEX($L$6:$L$71,MATCH(B52,$K$6:$K$71,1)))^((B52-INDEX($K$6:$K$71,MATCH(B52,$K$6:$K$71,1)))/(INDEX($K$6:$K$71,MATCH(B52,$K$6:$K$71,1)+1)-INDEX($K$6:$K$71,MATCH(B52,$K$6:$K$71,1))))),INDEX($L$6:$L$71,MATCH(B52,$K$6:$K$71,1))))</f>
        <v/>
      </c>
      <c r="F52" s="116">
        <f>IF(C52="","",$B$6*$B$11/100*D52)</f>
        <v/>
      </c>
      <c r="G52" s="116">
        <f>IF(C52="","",F52*E52)</f>
        <v/>
      </c>
      <c r="H52" s="115">
        <f>IF(C52="","",D52*E52)</f>
        <v/>
      </c>
      <c r="K52" s="47">
        <f>Bootstrap!B53</f>
        <v/>
      </c>
      <c r="L52" s="27">
        <f>Bootstrap!H53</f>
        <v/>
      </c>
    </row>
    <row r="53">
      <c r="A53" s="43">
        <f>ROW()-35</f>
        <v/>
      </c>
      <c r="B53" s="113">
        <f>IF(C53="","",MIN($B$10,IF(MONTH((EDATE($B$8,12*18)+IF(WEEKDAY(EDATE($B$8,12*18),2)=6,2,IF(WEEKDAY(EDATE($B$8,12*18),2)=7,1,0))))&lt;&gt;MONTH(EDATE($B$8,12*18)),(EDATE($B$8,12*18)-IF(WEEKDAY(EDATE($B$8,12*18),2)=6,1,IF(WEEKDAY(EDATE($B$8,12*18),2)=7,2,0))),(EDATE($B$8,12*18)+IF(WEEKDAY(EDATE($B$8,12*18),2)=6,2,IF(WEEKDAY(EDATE($B$8,12*18),2)=7,1,0))))))</f>
        <v/>
      </c>
      <c r="C53" s="113">
        <f>IF(OR(B52="",B52&gt;=$B$10),"",B52)</f>
        <v/>
      </c>
      <c r="D53" s="114">
        <f>IF(C53="","",(B53-C53)/360)</f>
        <v/>
      </c>
      <c r="E53" s="115">
        <f>IF(C53="","",IFERROR(IF(Curve_Interface!$J$7="Piecewise Linear (Simple)",IF(((B53-VAL_DATE)/360)&lt;=0,1,1/(1+(IF(((INDEX($K$6:$K$71,MATCH(B53,$K$6:$K$71,1))-VAL_DATE)/360)&lt;=0,IF(((INDEX($K$6:$K$71,MATCH(B53,$K$6:$K$71,1)+1)-VAL_DATE)/360)&lt;=0,0,(1/INDEX($L$6:$L$71,MATCH(B53,$K$6:$K$71,1)+1)-1)/((INDEX($K$6:$K$71,MATCH(B53,$K$6:$K$71,1)+1)-VAL_DATE)/360)),(1/INDEX($L$6:$L$71,MATCH(B53,$K$6:$K$71,1))-1)/((INDEX($K$6:$K$71,MATCH(B53,$K$6:$K$71,1))-VAL_DATE)/360))+(IF(((INDEX($K$6:$K$71,MATCH(B53,$K$6:$K$71,1)+1)-VAL_DATE)/360)&lt;=0,0,(1/INDEX($L$6:$L$71,MATCH(B53,$K$6:$K$71,1)+1)-1)/((INDEX($K$6:$K$71,MATCH(B53,$K$6:$K$71,1)+1)-VAL_DATE)/360))-IF(((INDEX($K$6:$K$71,MATCH(B53,$K$6:$K$71,1))-VAL_DATE)/360)&lt;=0,IF(((INDEX($K$6:$K$71,MATCH(B53,$K$6:$K$71,1)+1)-VAL_DATE)/360)&lt;=0,0,(1/INDEX($L$6:$L$71,MATCH(B53,$K$6:$K$71,1)+1)-1)/((INDEX($K$6:$K$71,MATCH(B53,$K$6:$K$71,1)+1)-VAL_DATE)/360)),(1/INDEX($L$6:$L$71,MATCH(B53,$K$6:$K$71,1))-1)/((INDEX($K$6:$K$71,MATCH(B53,$K$6:$K$71,1))-VAL_DATE)/360)))*IF(((INDEX($K$6:$K$71,MATCH(B53,$K$6:$K$71,1)+1)-VAL_DATE)/360)-((INDEX($K$6:$K$71,MATCH(B53,$K$6:$K$71,1))-VAL_DATE)/360)=0,0,(((B53-VAL_DATE)/360)-((INDEX($K$6:$K$71,MATCH(B53,$K$6:$K$71,1))-VAL_DATE)/360))/(((INDEX($K$6:$K$71,MATCH(B53,$K$6:$K$71,1)+1)-VAL_DATE)/360)-((INDEX($K$6:$K$71,MATCH(B53,$K$6:$K$71,1))-VAL_DATE)/360))))*((B53-VAL_DATE)/360))),INDEX($L$6:$L$71,MATCH(B53,$K$6:$K$71,1))*(INDEX($L$6:$L$71,MATCH(B53,$K$6:$K$71,1)+1)/INDEX($L$6:$L$71,MATCH(B53,$K$6:$K$71,1)))^((B53-INDEX($K$6:$K$71,MATCH(B53,$K$6:$K$71,1)))/(INDEX($K$6:$K$71,MATCH(B53,$K$6:$K$71,1)+1)-INDEX($K$6:$K$71,MATCH(B53,$K$6:$K$71,1))))),INDEX($L$6:$L$71,MATCH(B53,$K$6:$K$71,1))))</f>
        <v/>
      </c>
      <c r="F53" s="116">
        <f>IF(C53="","",$B$6*$B$11/100*D53)</f>
        <v/>
      </c>
      <c r="G53" s="116">
        <f>IF(C53="","",F53*E53)</f>
        <v/>
      </c>
      <c r="H53" s="115">
        <f>IF(C53="","",D53*E53)</f>
        <v/>
      </c>
      <c r="K53" s="47">
        <f>Bootstrap!B54</f>
        <v/>
      </c>
      <c r="L53" s="27">
        <f>Bootstrap!H54</f>
        <v/>
      </c>
    </row>
    <row r="54">
      <c r="A54" s="43">
        <f>ROW()-35</f>
        <v/>
      </c>
      <c r="B54" s="113">
        <f>IF(C54="","",MIN($B$10,IF(MONTH((EDATE($B$8,12*19)+IF(WEEKDAY(EDATE($B$8,12*19),2)=6,2,IF(WEEKDAY(EDATE($B$8,12*19),2)=7,1,0))))&lt;&gt;MONTH(EDATE($B$8,12*19)),(EDATE($B$8,12*19)-IF(WEEKDAY(EDATE($B$8,12*19),2)=6,1,IF(WEEKDAY(EDATE($B$8,12*19),2)=7,2,0))),(EDATE($B$8,12*19)+IF(WEEKDAY(EDATE($B$8,12*19),2)=6,2,IF(WEEKDAY(EDATE($B$8,12*19),2)=7,1,0))))))</f>
        <v/>
      </c>
      <c r="C54" s="113">
        <f>IF(OR(B53="",B53&gt;=$B$10),"",B53)</f>
        <v/>
      </c>
      <c r="D54" s="114">
        <f>IF(C54="","",(B54-C54)/360)</f>
        <v/>
      </c>
      <c r="E54" s="115">
        <f>IF(C54="","",IFERROR(IF(Curve_Interface!$J$7="Piecewise Linear (Simple)",IF(((B54-VAL_DATE)/360)&lt;=0,1,1/(1+(IF(((INDEX($K$6:$K$71,MATCH(B54,$K$6:$K$71,1))-VAL_DATE)/360)&lt;=0,IF(((INDEX($K$6:$K$71,MATCH(B54,$K$6:$K$71,1)+1)-VAL_DATE)/360)&lt;=0,0,(1/INDEX($L$6:$L$71,MATCH(B54,$K$6:$K$71,1)+1)-1)/((INDEX($K$6:$K$71,MATCH(B54,$K$6:$K$71,1)+1)-VAL_DATE)/360)),(1/INDEX($L$6:$L$71,MATCH(B54,$K$6:$K$71,1))-1)/((INDEX($K$6:$K$71,MATCH(B54,$K$6:$K$71,1))-VAL_DATE)/360))+(IF(((INDEX($K$6:$K$71,MATCH(B54,$K$6:$K$71,1)+1)-VAL_DATE)/360)&lt;=0,0,(1/INDEX($L$6:$L$71,MATCH(B54,$K$6:$K$71,1)+1)-1)/((INDEX($K$6:$K$71,MATCH(B54,$K$6:$K$71,1)+1)-VAL_DATE)/360))-IF(((INDEX($K$6:$K$71,MATCH(B54,$K$6:$K$71,1))-VAL_DATE)/360)&lt;=0,IF(((INDEX($K$6:$K$71,MATCH(B54,$K$6:$K$71,1)+1)-VAL_DATE)/360)&lt;=0,0,(1/INDEX($L$6:$L$71,MATCH(B54,$K$6:$K$71,1)+1)-1)/((INDEX($K$6:$K$71,MATCH(B54,$K$6:$K$71,1)+1)-VAL_DATE)/360)),(1/INDEX($L$6:$L$71,MATCH(B54,$K$6:$K$71,1))-1)/((INDEX($K$6:$K$71,MATCH(B54,$K$6:$K$71,1))-VAL_DATE)/360)))*IF(((INDEX($K$6:$K$71,MATCH(B54,$K$6:$K$71,1)+1)-VAL_DATE)/360)-((INDEX($K$6:$K$71,MATCH(B54,$K$6:$K$71,1))-VAL_DATE)/360)=0,0,(((B54-VAL_DATE)/360)-((INDEX($K$6:$K$71,MATCH(B54,$K$6:$K$71,1))-VAL_DATE)/360))/(((INDEX($K$6:$K$71,MATCH(B54,$K$6:$K$71,1)+1)-VAL_DATE)/360)-((INDEX($K$6:$K$71,MATCH(B54,$K$6:$K$71,1))-VAL_DATE)/360))))*((B54-VAL_DATE)/360))),INDEX($L$6:$L$71,MATCH(B54,$K$6:$K$71,1))*(INDEX($L$6:$L$71,MATCH(B54,$K$6:$K$71,1)+1)/INDEX($L$6:$L$71,MATCH(B54,$K$6:$K$71,1)))^((B54-INDEX($K$6:$K$71,MATCH(B54,$K$6:$K$71,1)))/(INDEX($K$6:$K$71,MATCH(B54,$K$6:$K$71,1)+1)-INDEX($K$6:$K$71,MATCH(B54,$K$6:$K$71,1))))),INDEX($L$6:$L$71,MATCH(B54,$K$6:$K$71,1))))</f>
        <v/>
      </c>
      <c r="F54" s="116">
        <f>IF(C54="","",$B$6*$B$11/100*D54)</f>
        <v/>
      </c>
      <c r="G54" s="116">
        <f>IF(C54="","",F54*E54)</f>
        <v/>
      </c>
      <c r="H54" s="115">
        <f>IF(C54="","",D54*E54)</f>
        <v/>
      </c>
      <c r="K54" s="47">
        <f>Bootstrap!B55</f>
        <v/>
      </c>
      <c r="L54" s="27">
        <f>Bootstrap!H55</f>
        <v/>
      </c>
    </row>
    <row r="55">
      <c r="A55" s="43">
        <f>ROW()-35</f>
        <v/>
      </c>
      <c r="B55" s="113">
        <f>IF(C55="","",MIN($B$10,IF(MONTH((EDATE($B$8,12*20)+IF(WEEKDAY(EDATE($B$8,12*20),2)=6,2,IF(WEEKDAY(EDATE($B$8,12*20),2)=7,1,0))))&lt;&gt;MONTH(EDATE($B$8,12*20)),(EDATE($B$8,12*20)-IF(WEEKDAY(EDATE($B$8,12*20),2)=6,1,IF(WEEKDAY(EDATE($B$8,12*20),2)=7,2,0))),(EDATE($B$8,12*20)+IF(WEEKDAY(EDATE($B$8,12*20),2)=6,2,IF(WEEKDAY(EDATE($B$8,12*20),2)=7,1,0))))))</f>
        <v/>
      </c>
      <c r="C55" s="113">
        <f>IF(OR(B54="",B54&gt;=$B$10),"",B54)</f>
        <v/>
      </c>
      <c r="D55" s="114">
        <f>IF(C55="","",(B55-C55)/360)</f>
        <v/>
      </c>
      <c r="E55" s="115">
        <f>IF(C55="","",IFERROR(IF(Curve_Interface!$J$7="Piecewise Linear (Simple)",IF(((B55-VAL_DATE)/360)&lt;=0,1,1/(1+(IF(((INDEX($K$6:$K$71,MATCH(B55,$K$6:$K$71,1))-VAL_DATE)/360)&lt;=0,IF(((INDEX($K$6:$K$71,MATCH(B55,$K$6:$K$71,1)+1)-VAL_DATE)/360)&lt;=0,0,(1/INDEX($L$6:$L$71,MATCH(B55,$K$6:$K$71,1)+1)-1)/((INDEX($K$6:$K$71,MATCH(B55,$K$6:$K$71,1)+1)-VAL_DATE)/360)),(1/INDEX($L$6:$L$71,MATCH(B55,$K$6:$K$71,1))-1)/((INDEX($K$6:$K$71,MATCH(B55,$K$6:$K$71,1))-VAL_DATE)/360))+(IF(((INDEX($K$6:$K$71,MATCH(B55,$K$6:$K$71,1)+1)-VAL_DATE)/360)&lt;=0,0,(1/INDEX($L$6:$L$71,MATCH(B55,$K$6:$K$71,1)+1)-1)/((INDEX($K$6:$K$71,MATCH(B55,$K$6:$K$71,1)+1)-VAL_DATE)/360))-IF(((INDEX($K$6:$K$71,MATCH(B55,$K$6:$K$71,1))-VAL_DATE)/360)&lt;=0,IF(((INDEX($K$6:$K$71,MATCH(B55,$K$6:$K$71,1)+1)-VAL_DATE)/360)&lt;=0,0,(1/INDEX($L$6:$L$71,MATCH(B55,$K$6:$K$71,1)+1)-1)/((INDEX($K$6:$K$71,MATCH(B55,$K$6:$K$71,1)+1)-VAL_DATE)/360)),(1/INDEX($L$6:$L$71,MATCH(B55,$K$6:$K$71,1))-1)/((INDEX($K$6:$K$71,MATCH(B55,$K$6:$K$71,1))-VAL_DATE)/360)))*IF(((INDEX($K$6:$K$71,MATCH(B55,$K$6:$K$71,1)+1)-VAL_DATE)/360)-((INDEX($K$6:$K$71,MATCH(B55,$K$6:$K$71,1))-VAL_DATE)/360)=0,0,(((B55-VAL_DATE)/360)-((INDEX($K$6:$K$71,MATCH(B55,$K$6:$K$71,1))-VAL_DATE)/360))/(((INDEX($K$6:$K$71,MATCH(B55,$K$6:$K$71,1)+1)-VAL_DATE)/360)-((INDEX($K$6:$K$71,MATCH(B55,$K$6:$K$71,1))-VAL_DATE)/360))))*((B55-VAL_DATE)/360))),INDEX($L$6:$L$71,MATCH(B55,$K$6:$K$71,1))*(INDEX($L$6:$L$71,MATCH(B55,$K$6:$K$71,1)+1)/INDEX($L$6:$L$71,MATCH(B55,$K$6:$K$71,1)))^((B55-INDEX($K$6:$K$71,MATCH(B55,$K$6:$K$71,1)))/(INDEX($K$6:$K$71,MATCH(B55,$K$6:$K$71,1)+1)-INDEX($K$6:$K$71,MATCH(B55,$K$6:$K$71,1))))),INDEX($L$6:$L$71,MATCH(B55,$K$6:$K$71,1))))</f>
        <v/>
      </c>
      <c r="F55" s="116">
        <f>IF(C55="","",$B$6*$B$11/100*D55)</f>
        <v/>
      </c>
      <c r="G55" s="116">
        <f>IF(C55="","",F55*E55)</f>
        <v/>
      </c>
      <c r="H55" s="115">
        <f>IF(C55="","",D55*E55)</f>
        <v/>
      </c>
      <c r="K55" s="47">
        <f>Bootstrap!B56</f>
        <v/>
      </c>
      <c r="L55" s="27">
        <f>Bootstrap!H56</f>
        <v/>
      </c>
    </row>
    <row r="56">
      <c r="A56" s="43">
        <f>ROW()-35</f>
        <v/>
      </c>
      <c r="B56" s="113">
        <f>IF(C56="","",MIN($B$10,IF(MONTH((EDATE($B$8,12*21)+IF(WEEKDAY(EDATE($B$8,12*21),2)=6,2,IF(WEEKDAY(EDATE($B$8,12*21),2)=7,1,0))))&lt;&gt;MONTH(EDATE($B$8,12*21)),(EDATE($B$8,12*21)-IF(WEEKDAY(EDATE($B$8,12*21),2)=6,1,IF(WEEKDAY(EDATE($B$8,12*21),2)=7,2,0))),(EDATE($B$8,12*21)+IF(WEEKDAY(EDATE($B$8,12*21),2)=6,2,IF(WEEKDAY(EDATE($B$8,12*21),2)=7,1,0))))))</f>
        <v/>
      </c>
      <c r="C56" s="113">
        <f>IF(OR(B55="",B55&gt;=$B$10),"",B55)</f>
        <v/>
      </c>
      <c r="D56" s="114">
        <f>IF(C56="","",(B56-C56)/360)</f>
        <v/>
      </c>
      <c r="E56" s="115">
        <f>IF(C56="","",IFERROR(IF(Curve_Interface!$J$7="Piecewise Linear (Simple)",IF(((B56-VAL_DATE)/360)&lt;=0,1,1/(1+(IF(((INDEX($K$6:$K$71,MATCH(B56,$K$6:$K$71,1))-VAL_DATE)/360)&lt;=0,IF(((INDEX($K$6:$K$71,MATCH(B56,$K$6:$K$71,1)+1)-VAL_DATE)/360)&lt;=0,0,(1/INDEX($L$6:$L$71,MATCH(B56,$K$6:$K$71,1)+1)-1)/((INDEX($K$6:$K$71,MATCH(B56,$K$6:$K$71,1)+1)-VAL_DATE)/360)),(1/INDEX($L$6:$L$71,MATCH(B56,$K$6:$K$71,1))-1)/((INDEX($K$6:$K$71,MATCH(B56,$K$6:$K$71,1))-VAL_DATE)/360))+(IF(((INDEX($K$6:$K$71,MATCH(B56,$K$6:$K$71,1)+1)-VAL_DATE)/360)&lt;=0,0,(1/INDEX($L$6:$L$71,MATCH(B56,$K$6:$K$71,1)+1)-1)/((INDEX($K$6:$K$71,MATCH(B56,$K$6:$K$71,1)+1)-VAL_DATE)/360))-IF(((INDEX($K$6:$K$71,MATCH(B56,$K$6:$K$71,1))-VAL_DATE)/360)&lt;=0,IF(((INDEX($K$6:$K$71,MATCH(B56,$K$6:$K$71,1)+1)-VAL_DATE)/360)&lt;=0,0,(1/INDEX($L$6:$L$71,MATCH(B56,$K$6:$K$71,1)+1)-1)/((INDEX($K$6:$K$71,MATCH(B56,$K$6:$K$71,1)+1)-VAL_DATE)/360)),(1/INDEX($L$6:$L$71,MATCH(B56,$K$6:$K$71,1))-1)/((INDEX($K$6:$K$71,MATCH(B56,$K$6:$K$71,1))-VAL_DATE)/360)))*IF(((INDEX($K$6:$K$71,MATCH(B56,$K$6:$K$71,1)+1)-VAL_DATE)/360)-((INDEX($K$6:$K$71,MATCH(B56,$K$6:$K$71,1))-VAL_DATE)/360)=0,0,(((B56-VAL_DATE)/360)-((INDEX($K$6:$K$71,MATCH(B56,$K$6:$K$71,1))-VAL_DATE)/360))/(((INDEX($K$6:$K$71,MATCH(B56,$K$6:$K$71,1)+1)-VAL_DATE)/360)-((INDEX($K$6:$K$71,MATCH(B56,$K$6:$K$71,1))-VAL_DATE)/360))))*((B56-VAL_DATE)/360))),INDEX($L$6:$L$71,MATCH(B56,$K$6:$K$71,1))*(INDEX($L$6:$L$71,MATCH(B56,$K$6:$K$71,1)+1)/INDEX($L$6:$L$71,MATCH(B56,$K$6:$K$71,1)))^((B56-INDEX($K$6:$K$71,MATCH(B56,$K$6:$K$71,1)))/(INDEX($K$6:$K$71,MATCH(B56,$K$6:$K$71,1)+1)-INDEX($K$6:$K$71,MATCH(B56,$K$6:$K$71,1))))),INDEX($L$6:$L$71,MATCH(B56,$K$6:$K$71,1))))</f>
        <v/>
      </c>
      <c r="F56" s="116">
        <f>IF(C56="","",$B$6*$B$11/100*D56)</f>
        <v/>
      </c>
      <c r="G56" s="116">
        <f>IF(C56="","",F56*E56)</f>
        <v/>
      </c>
      <c r="H56" s="115">
        <f>IF(C56="","",D56*E56)</f>
        <v/>
      </c>
      <c r="K56" s="47">
        <f>Bootstrap!B57</f>
        <v/>
      </c>
      <c r="L56" s="27">
        <f>Bootstrap!H57</f>
        <v/>
      </c>
    </row>
    <row r="57">
      <c r="A57" s="43">
        <f>ROW()-35</f>
        <v/>
      </c>
      <c r="B57" s="113">
        <f>IF(C57="","",MIN($B$10,IF(MONTH((EDATE($B$8,12*22)+IF(WEEKDAY(EDATE($B$8,12*22),2)=6,2,IF(WEEKDAY(EDATE($B$8,12*22),2)=7,1,0))))&lt;&gt;MONTH(EDATE($B$8,12*22)),(EDATE($B$8,12*22)-IF(WEEKDAY(EDATE($B$8,12*22),2)=6,1,IF(WEEKDAY(EDATE($B$8,12*22),2)=7,2,0))),(EDATE($B$8,12*22)+IF(WEEKDAY(EDATE($B$8,12*22),2)=6,2,IF(WEEKDAY(EDATE($B$8,12*22),2)=7,1,0))))))</f>
        <v/>
      </c>
      <c r="C57" s="113">
        <f>IF(OR(B56="",B56&gt;=$B$10),"",B56)</f>
        <v/>
      </c>
      <c r="D57" s="114">
        <f>IF(C57="","",(B57-C57)/360)</f>
        <v/>
      </c>
      <c r="E57" s="115">
        <f>IF(C57="","",IFERROR(IF(Curve_Interface!$J$7="Piecewise Linear (Simple)",IF(((B57-VAL_DATE)/360)&lt;=0,1,1/(1+(IF(((INDEX($K$6:$K$71,MATCH(B57,$K$6:$K$71,1))-VAL_DATE)/360)&lt;=0,IF(((INDEX($K$6:$K$71,MATCH(B57,$K$6:$K$71,1)+1)-VAL_DATE)/360)&lt;=0,0,(1/INDEX($L$6:$L$71,MATCH(B57,$K$6:$K$71,1)+1)-1)/((INDEX($K$6:$K$71,MATCH(B57,$K$6:$K$71,1)+1)-VAL_DATE)/360)),(1/INDEX($L$6:$L$71,MATCH(B57,$K$6:$K$71,1))-1)/((INDEX($K$6:$K$71,MATCH(B57,$K$6:$K$71,1))-VAL_DATE)/360))+(IF(((INDEX($K$6:$K$71,MATCH(B57,$K$6:$K$71,1)+1)-VAL_DATE)/360)&lt;=0,0,(1/INDEX($L$6:$L$71,MATCH(B57,$K$6:$K$71,1)+1)-1)/((INDEX($K$6:$K$71,MATCH(B57,$K$6:$K$71,1)+1)-VAL_DATE)/360))-IF(((INDEX($K$6:$K$71,MATCH(B57,$K$6:$K$71,1))-VAL_DATE)/360)&lt;=0,IF(((INDEX($K$6:$K$71,MATCH(B57,$K$6:$K$71,1)+1)-VAL_DATE)/360)&lt;=0,0,(1/INDEX($L$6:$L$71,MATCH(B57,$K$6:$K$71,1)+1)-1)/((INDEX($K$6:$K$71,MATCH(B57,$K$6:$K$71,1)+1)-VAL_DATE)/360)),(1/INDEX($L$6:$L$71,MATCH(B57,$K$6:$K$71,1))-1)/((INDEX($K$6:$K$71,MATCH(B57,$K$6:$K$71,1))-VAL_DATE)/360)))*IF(((INDEX($K$6:$K$71,MATCH(B57,$K$6:$K$71,1)+1)-VAL_DATE)/360)-((INDEX($K$6:$K$71,MATCH(B57,$K$6:$K$71,1))-VAL_DATE)/360)=0,0,(((B57-VAL_DATE)/360)-((INDEX($K$6:$K$71,MATCH(B57,$K$6:$K$71,1))-VAL_DATE)/360))/(((INDEX($K$6:$K$71,MATCH(B57,$K$6:$K$71,1)+1)-VAL_DATE)/360)-((INDEX($K$6:$K$71,MATCH(B57,$K$6:$K$71,1))-VAL_DATE)/360))))*((B57-VAL_DATE)/360))),INDEX($L$6:$L$71,MATCH(B57,$K$6:$K$71,1))*(INDEX($L$6:$L$71,MATCH(B57,$K$6:$K$71,1)+1)/INDEX($L$6:$L$71,MATCH(B57,$K$6:$K$71,1)))^((B57-INDEX($K$6:$K$71,MATCH(B57,$K$6:$K$71,1)))/(INDEX($K$6:$K$71,MATCH(B57,$K$6:$K$71,1)+1)-INDEX($K$6:$K$71,MATCH(B57,$K$6:$K$71,1))))),INDEX($L$6:$L$71,MATCH(B57,$K$6:$K$71,1))))</f>
        <v/>
      </c>
      <c r="F57" s="116">
        <f>IF(C57="","",$B$6*$B$11/100*D57)</f>
        <v/>
      </c>
      <c r="G57" s="116">
        <f>IF(C57="","",F57*E57)</f>
        <v/>
      </c>
      <c r="H57" s="115">
        <f>IF(C57="","",D57*E57)</f>
        <v/>
      </c>
      <c r="K57" s="47">
        <f>Bootstrap!B58</f>
        <v/>
      </c>
      <c r="L57" s="27">
        <f>Bootstrap!H58</f>
        <v/>
      </c>
    </row>
    <row r="58">
      <c r="A58" s="43">
        <f>ROW()-35</f>
        <v/>
      </c>
      <c r="B58" s="113">
        <f>IF(C58="","",MIN($B$10,IF(MONTH((EDATE($B$8,12*23)+IF(WEEKDAY(EDATE($B$8,12*23),2)=6,2,IF(WEEKDAY(EDATE($B$8,12*23),2)=7,1,0))))&lt;&gt;MONTH(EDATE($B$8,12*23)),(EDATE($B$8,12*23)-IF(WEEKDAY(EDATE($B$8,12*23),2)=6,1,IF(WEEKDAY(EDATE($B$8,12*23),2)=7,2,0))),(EDATE($B$8,12*23)+IF(WEEKDAY(EDATE($B$8,12*23),2)=6,2,IF(WEEKDAY(EDATE($B$8,12*23),2)=7,1,0))))))</f>
        <v/>
      </c>
      <c r="C58" s="113">
        <f>IF(OR(B57="",B57&gt;=$B$10),"",B57)</f>
        <v/>
      </c>
      <c r="D58" s="114">
        <f>IF(C58="","",(B58-C58)/360)</f>
        <v/>
      </c>
      <c r="E58" s="115">
        <f>IF(C58="","",IFERROR(IF(Curve_Interface!$J$7="Piecewise Linear (Simple)",IF(((B58-VAL_DATE)/360)&lt;=0,1,1/(1+(IF(((INDEX($K$6:$K$71,MATCH(B58,$K$6:$K$71,1))-VAL_DATE)/360)&lt;=0,IF(((INDEX($K$6:$K$71,MATCH(B58,$K$6:$K$71,1)+1)-VAL_DATE)/360)&lt;=0,0,(1/INDEX($L$6:$L$71,MATCH(B58,$K$6:$K$71,1)+1)-1)/((INDEX($K$6:$K$71,MATCH(B58,$K$6:$K$71,1)+1)-VAL_DATE)/360)),(1/INDEX($L$6:$L$71,MATCH(B58,$K$6:$K$71,1))-1)/((INDEX($K$6:$K$71,MATCH(B58,$K$6:$K$71,1))-VAL_DATE)/360))+(IF(((INDEX($K$6:$K$71,MATCH(B58,$K$6:$K$71,1)+1)-VAL_DATE)/360)&lt;=0,0,(1/INDEX($L$6:$L$71,MATCH(B58,$K$6:$K$71,1)+1)-1)/((INDEX($K$6:$K$71,MATCH(B58,$K$6:$K$71,1)+1)-VAL_DATE)/360))-IF(((INDEX($K$6:$K$71,MATCH(B58,$K$6:$K$71,1))-VAL_DATE)/360)&lt;=0,IF(((INDEX($K$6:$K$71,MATCH(B58,$K$6:$K$71,1)+1)-VAL_DATE)/360)&lt;=0,0,(1/INDEX($L$6:$L$71,MATCH(B58,$K$6:$K$71,1)+1)-1)/((INDEX($K$6:$K$71,MATCH(B58,$K$6:$K$71,1)+1)-VAL_DATE)/360)),(1/INDEX($L$6:$L$71,MATCH(B58,$K$6:$K$71,1))-1)/((INDEX($K$6:$K$71,MATCH(B58,$K$6:$K$71,1))-VAL_DATE)/360)))*IF(((INDEX($K$6:$K$71,MATCH(B58,$K$6:$K$71,1)+1)-VAL_DATE)/360)-((INDEX($K$6:$K$71,MATCH(B58,$K$6:$K$71,1))-VAL_DATE)/360)=0,0,(((B58-VAL_DATE)/360)-((INDEX($K$6:$K$71,MATCH(B58,$K$6:$K$71,1))-VAL_DATE)/360))/(((INDEX($K$6:$K$71,MATCH(B58,$K$6:$K$71,1)+1)-VAL_DATE)/360)-((INDEX($K$6:$K$71,MATCH(B58,$K$6:$K$71,1))-VAL_DATE)/360))))*((B58-VAL_DATE)/360))),INDEX($L$6:$L$71,MATCH(B58,$K$6:$K$71,1))*(INDEX($L$6:$L$71,MATCH(B58,$K$6:$K$71,1)+1)/INDEX($L$6:$L$71,MATCH(B58,$K$6:$K$71,1)))^((B58-INDEX($K$6:$K$71,MATCH(B58,$K$6:$K$71,1)))/(INDEX($K$6:$K$71,MATCH(B58,$K$6:$K$71,1)+1)-INDEX($K$6:$K$71,MATCH(B58,$K$6:$K$71,1))))),INDEX($L$6:$L$71,MATCH(B58,$K$6:$K$71,1))))</f>
        <v/>
      </c>
      <c r="F58" s="116">
        <f>IF(C58="","",$B$6*$B$11/100*D58)</f>
        <v/>
      </c>
      <c r="G58" s="116">
        <f>IF(C58="","",F58*E58)</f>
        <v/>
      </c>
      <c r="H58" s="115">
        <f>IF(C58="","",D58*E58)</f>
        <v/>
      </c>
      <c r="K58" s="47">
        <f>Bootstrap!B59</f>
        <v/>
      </c>
      <c r="L58" s="27">
        <f>Bootstrap!H59</f>
        <v/>
      </c>
    </row>
    <row r="59">
      <c r="A59" s="43">
        <f>ROW()-35</f>
        <v/>
      </c>
      <c r="B59" s="113">
        <f>IF(C59="","",MIN($B$10,IF(MONTH((EDATE($B$8,12*24)+IF(WEEKDAY(EDATE($B$8,12*24),2)=6,2,IF(WEEKDAY(EDATE($B$8,12*24),2)=7,1,0))))&lt;&gt;MONTH(EDATE($B$8,12*24)),(EDATE($B$8,12*24)-IF(WEEKDAY(EDATE($B$8,12*24),2)=6,1,IF(WEEKDAY(EDATE($B$8,12*24),2)=7,2,0))),(EDATE($B$8,12*24)+IF(WEEKDAY(EDATE($B$8,12*24),2)=6,2,IF(WEEKDAY(EDATE($B$8,12*24),2)=7,1,0))))))</f>
        <v/>
      </c>
      <c r="C59" s="113">
        <f>IF(OR(B58="",B58&gt;=$B$10),"",B58)</f>
        <v/>
      </c>
      <c r="D59" s="114">
        <f>IF(C59="","",(B59-C59)/360)</f>
        <v/>
      </c>
      <c r="E59" s="115">
        <f>IF(C59="","",IFERROR(IF(Curve_Interface!$J$7="Piecewise Linear (Simple)",IF(((B59-VAL_DATE)/360)&lt;=0,1,1/(1+(IF(((INDEX($K$6:$K$71,MATCH(B59,$K$6:$K$71,1))-VAL_DATE)/360)&lt;=0,IF(((INDEX($K$6:$K$71,MATCH(B59,$K$6:$K$71,1)+1)-VAL_DATE)/360)&lt;=0,0,(1/INDEX($L$6:$L$71,MATCH(B59,$K$6:$K$71,1)+1)-1)/((INDEX($K$6:$K$71,MATCH(B59,$K$6:$K$71,1)+1)-VAL_DATE)/360)),(1/INDEX($L$6:$L$71,MATCH(B59,$K$6:$K$71,1))-1)/((INDEX($K$6:$K$71,MATCH(B59,$K$6:$K$71,1))-VAL_DATE)/360))+(IF(((INDEX($K$6:$K$71,MATCH(B59,$K$6:$K$71,1)+1)-VAL_DATE)/360)&lt;=0,0,(1/INDEX($L$6:$L$71,MATCH(B59,$K$6:$K$71,1)+1)-1)/((INDEX($K$6:$K$71,MATCH(B59,$K$6:$K$71,1)+1)-VAL_DATE)/360))-IF(((INDEX($K$6:$K$71,MATCH(B59,$K$6:$K$71,1))-VAL_DATE)/360)&lt;=0,IF(((INDEX($K$6:$K$71,MATCH(B59,$K$6:$K$71,1)+1)-VAL_DATE)/360)&lt;=0,0,(1/INDEX($L$6:$L$71,MATCH(B59,$K$6:$K$71,1)+1)-1)/((INDEX($K$6:$K$71,MATCH(B59,$K$6:$K$71,1)+1)-VAL_DATE)/360)),(1/INDEX($L$6:$L$71,MATCH(B59,$K$6:$K$71,1))-1)/((INDEX($K$6:$K$71,MATCH(B59,$K$6:$K$71,1))-VAL_DATE)/360)))*IF(((INDEX($K$6:$K$71,MATCH(B59,$K$6:$K$71,1)+1)-VAL_DATE)/360)-((INDEX($K$6:$K$71,MATCH(B59,$K$6:$K$71,1))-VAL_DATE)/360)=0,0,(((B59-VAL_DATE)/360)-((INDEX($K$6:$K$71,MATCH(B59,$K$6:$K$71,1))-VAL_DATE)/360))/(((INDEX($K$6:$K$71,MATCH(B59,$K$6:$K$71,1)+1)-VAL_DATE)/360)-((INDEX($K$6:$K$71,MATCH(B59,$K$6:$K$71,1))-VAL_DATE)/360))))*((B59-VAL_DATE)/360))),INDEX($L$6:$L$71,MATCH(B59,$K$6:$K$71,1))*(INDEX($L$6:$L$71,MATCH(B59,$K$6:$K$71,1)+1)/INDEX($L$6:$L$71,MATCH(B59,$K$6:$K$71,1)))^((B59-INDEX($K$6:$K$71,MATCH(B59,$K$6:$K$71,1)))/(INDEX($K$6:$K$71,MATCH(B59,$K$6:$K$71,1)+1)-INDEX($K$6:$K$71,MATCH(B59,$K$6:$K$71,1))))),INDEX($L$6:$L$71,MATCH(B59,$K$6:$K$71,1))))</f>
        <v/>
      </c>
      <c r="F59" s="116">
        <f>IF(C59="","",$B$6*$B$11/100*D59)</f>
        <v/>
      </c>
      <c r="G59" s="116">
        <f>IF(C59="","",F59*E59)</f>
        <v/>
      </c>
      <c r="H59" s="115">
        <f>IF(C59="","",D59*E59)</f>
        <v/>
      </c>
      <c r="K59" s="47">
        <f>Bootstrap!B60</f>
        <v/>
      </c>
      <c r="L59" s="27">
        <f>Bootstrap!H60</f>
        <v/>
      </c>
    </row>
    <row r="60">
      <c r="A60" s="43">
        <f>ROW()-35</f>
        <v/>
      </c>
      <c r="B60" s="113">
        <f>IF(C60="","",MIN($B$10,IF(MONTH((EDATE($B$8,12*25)+IF(WEEKDAY(EDATE($B$8,12*25),2)=6,2,IF(WEEKDAY(EDATE($B$8,12*25),2)=7,1,0))))&lt;&gt;MONTH(EDATE($B$8,12*25)),(EDATE($B$8,12*25)-IF(WEEKDAY(EDATE($B$8,12*25),2)=6,1,IF(WEEKDAY(EDATE($B$8,12*25),2)=7,2,0))),(EDATE($B$8,12*25)+IF(WEEKDAY(EDATE($B$8,12*25),2)=6,2,IF(WEEKDAY(EDATE($B$8,12*25),2)=7,1,0))))))</f>
        <v/>
      </c>
      <c r="C60" s="113">
        <f>IF(OR(B59="",B59&gt;=$B$10),"",B59)</f>
        <v/>
      </c>
      <c r="D60" s="114">
        <f>IF(C60="","",(B60-C60)/360)</f>
        <v/>
      </c>
      <c r="E60" s="115">
        <f>IF(C60="","",IFERROR(IF(Curve_Interface!$J$7="Piecewise Linear (Simple)",IF(((B60-VAL_DATE)/360)&lt;=0,1,1/(1+(IF(((INDEX($K$6:$K$71,MATCH(B60,$K$6:$K$71,1))-VAL_DATE)/360)&lt;=0,IF(((INDEX($K$6:$K$71,MATCH(B60,$K$6:$K$71,1)+1)-VAL_DATE)/360)&lt;=0,0,(1/INDEX($L$6:$L$71,MATCH(B60,$K$6:$K$71,1)+1)-1)/((INDEX($K$6:$K$71,MATCH(B60,$K$6:$K$71,1)+1)-VAL_DATE)/360)),(1/INDEX($L$6:$L$71,MATCH(B60,$K$6:$K$71,1))-1)/((INDEX($K$6:$K$71,MATCH(B60,$K$6:$K$71,1))-VAL_DATE)/360))+(IF(((INDEX($K$6:$K$71,MATCH(B60,$K$6:$K$71,1)+1)-VAL_DATE)/360)&lt;=0,0,(1/INDEX($L$6:$L$71,MATCH(B60,$K$6:$K$71,1)+1)-1)/((INDEX($K$6:$K$71,MATCH(B60,$K$6:$K$71,1)+1)-VAL_DATE)/360))-IF(((INDEX($K$6:$K$71,MATCH(B60,$K$6:$K$71,1))-VAL_DATE)/360)&lt;=0,IF(((INDEX($K$6:$K$71,MATCH(B60,$K$6:$K$71,1)+1)-VAL_DATE)/360)&lt;=0,0,(1/INDEX($L$6:$L$71,MATCH(B60,$K$6:$K$71,1)+1)-1)/((INDEX($K$6:$K$71,MATCH(B60,$K$6:$K$71,1)+1)-VAL_DATE)/360)),(1/INDEX($L$6:$L$71,MATCH(B60,$K$6:$K$71,1))-1)/((INDEX($K$6:$K$71,MATCH(B60,$K$6:$K$71,1))-VAL_DATE)/360)))*IF(((INDEX($K$6:$K$71,MATCH(B60,$K$6:$K$71,1)+1)-VAL_DATE)/360)-((INDEX($K$6:$K$71,MATCH(B60,$K$6:$K$71,1))-VAL_DATE)/360)=0,0,(((B60-VAL_DATE)/360)-((INDEX($K$6:$K$71,MATCH(B60,$K$6:$K$71,1))-VAL_DATE)/360))/(((INDEX($K$6:$K$71,MATCH(B60,$K$6:$K$71,1)+1)-VAL_DATE)/360)-((INDEX($K$6:$K$71,MATCH(B60,$K$6:$K$71,1))-VAL_DATE)/360))))*((B60-VAL_DATE)/360))),INDEX($L$6:$L$71,MATCH(B60,$K$6:$K$71,1))*(INDEX($L$6:$L$71,MATCH(B60,$K$6:$K$71,1)+1)/INDEX($L$6:$L$71,MATCH(B60,$K$6:$K$71,1)))^((B60-INDEX($K$6:$K$71,MATCH(B60,$K$6:$K$71,1)))/(INDEX($K$6:$K$71,MATCH(B60,$K$6:$K$71,1)+1)-INDEX($K$6:$K$71,MATCH(B60,$K$6:$K$71,1))))),INDEX($L$6:$L$71,MATCH(B60,$K$6:$K$71,1))))</f>
        <v/>
      </c>
      <c r="F60" s="116">
        <f>IF(C60="","",$B$6*$B$11/100*D60)</f>
        <v/>
      </c>
      <c r="G60" s="116">
        <f>IF(C60="","",F60*E60)</f>
        <v/>
      </c>
      <c r="H60" s="115">
        <f>IF(C60="","",D60*E60)</f>
        <v/>
      </c>
      <c r="K60" s="47">
        <f>Bootstrap!B61</f>
        <v/>
      </c>
      <c r="L60" s="27">
        <f>Bootstrap!H61</f>
        <v/>
      </c>
    </row>
    <row r="61">
      <c r="A61" s="43">
        <f>ROW()-35</f>
        <v/>
      </c>
      <c r="B61" s="113">
        <f>IF(C61="","",MIN($B$10,IF(MONTH((EDATE($B$8,12*26)+IF(WEEKDAY(EDATE($B$8,12*26),2)=6,2,IF(WEEKDAY(EDATE($B$8,12*26),2)=7,1,0))))&lt;&gt;MONTH(EDATE($B$8,12*26)),(EDATE($B$8,12*26)-IF(WEEKDAY(EDATE($B$8,12*26),2)=6,1,IF(WEEKDAY(EDATE($B$8,12*26),2)=7,2,0))),(EDATE($B$8,12*26)+IF(WEEKDAY(EDATE($B$8,12*26),2)=6,2,IF(WEEKDAY(EDATE($B$8,12*26),2)=7,1,0))))))</f>
        <v/>
      </c>
      <c r="C61" s="113">
        <f>IF(OR(B60="",B60&gt;=$B$10),"",B60)</f>
        <v/>
      </c>
      <c r="D61" s="114">
        <f>IF(C61="","",(B61-C61)/360)</f>
        <v/>
      </c>
      <c r="E61" s="115">
        <f>IF(C61="","",IFERROR(IF(Curve_Interface!$J$7="Piecewise Linear (Simple)",IF(((B61-VAL_DATE)/360)&lt;=0,1,1/(1+(IF(((INDEX($K$6:$K$71,MATCH(B61,$K$6:$K$71,1))-VAL_DATE)/360)&lt;=0,IF(((INDEX($K$6:$K$71,MATCH(B61,$K$6:$K$71,1)+1)-VAL_DATE)/360)&lt;=0,0,(1/INDEX($L$6:$L$71,MATCH(B61,$K$6:$K$71,1)+1)-1)/((INDEX($K$6:$K$71,MATCH(B61,$K$6:$K$71,1)+1)-VAL_DATE)/360)),(1/INDEX($L$6:$L$71,MATCH(B61,$K$6:$K$71,1))-1)/((INDEX($K$6:$K$71,MATCH(B61,$K$6:$K$71,1))-VAL_DATE)/360))+(IF(((INDEX($K$6:$K$71,MATCH(B61,$K$6:$K$71,1)+1)-VAL_DATE)/360)&lt;=0,0,(1/INDEX($L$6:$L$71,MATCH(B61,$K$6:$K$71,1)+1)-1)/((INDEX($K$6:$K$71,MATCH(B61,$K$6:$K$71,1)+1)-VAL_DATE)/360))-IF(((INDEX($K$6:$K$71,MATCH(B61,$K$6:$K$71,1))-VAL_DATE)/360)&lt;=0,IF(((INDEX($K$6:$K$71,MATCH(B61,$K$6:$K$71,1)+1)-VAL_DATE)/360)&lt;=0,0,(1/INDEX($L$6:$L$71,MATCH(B61,$K$6:$K$71,1)+1)-1)/((INDEX($K$6:$K$71,MATCH(B61,$K$6:$K$71,1)+1)-VAL_DATE)/360)),(1/INDEX($L$6:$L$71,MATCH(B61,$K$6:$K$71,1))-1)/((INDEX($K$6:$K$71,MATCH(B61,$K$6:$K$71,1))-VAL_DATE)/360)))*IF(((INDEX($K$6:$K$71,MATCH(B61,$K$6:$K$71,1)+1)-VAL_DATE)/360)-((INDEX($K$6:$K$71,MATCH(B61,$K$6:$K$71,1))-VAL_DATE)/360)=0,0,(((B61-VAL_DATE)/360)-((INDEX($K$6:$K$71,MATCH(B61,$K$6:$K$71,1))-VAL_DATE)/360))/(((INDEX($K$6:$K$71,MATCH(B61,$K$6:$K$71,1)+1)-VAL_DATE)/360)-((INDEX($K$6:$K$71,MATCH(B61,$K$6:$K$71,1))-VAL_DATE)/360))))*((B61-VAL_DATE)/360))),INDEX($L$6:$L$71,MATCH(B61,$K$6:$K$71,1))*(INDEX($L$6:$L$71,MATCH(B61,$K$6:$K$71,1)+1)/INDEX($L$6:$L$71,MATCH(B61,$K$6:$K$71,1)))^((B61-INDEX($K$6:$K$71,MATCH(B61,$K$6:$K$71,1)))/(INDEX($K$6:$K$71,MATCH(B61,$K$6:$K$71,1)+1)-INDEX($K$6:$K$71,MATCH(B61,$K$6:$K$71,1))))),INDEX($L$6:$L$71,MATCH(B61,$K$6:$K$71,1))))</f>
        <v/>
      </c>
      <c r="F61" s="116">
        <f>IF(C61="","",$B$6*$B$11/100*D61)</f>
        <v/>
      </c>
      <c r="G61" s="116">
        <f>IF(C61="","",F61*E61)</f>
        <v/>
      </c>
      <c r="H61" s="115">
        <f>IF(C61="","",D61*E61)</f>
        <v/>
      </c>
      <c r="K61" s="47">
        <f>Bootstrap!B62</f>
        <v/>
      </c>
      <c r="L61" s="27">
        <f>Bootstrap!H62</f>
        <v/>
      </c>
    </row>
    <row r="62">
      <c r="A62" s="43">
        <f>ROW()-35</f>
        <v/>
      </c>
      <c r="B62" s="113">
        <f>IF(C62="","",MIN($B$10,IF(MONTH((EDATE($B$8,12*27)+IF(WEEKDAY(EDATE($B$8,12*27),2)=6,2,IF(WEEKDAY(EDATE($B$8,12*27),2)=7,1,0))))&lt;&gt;MONTH(EDATE($B$8,12*27)),(EDATE($B$8,12*27)-IF(WEEKDAY(EDATE($B$8,12*27),2)=6,1,IF(WEEKDAY(EDATE($B$8,12*27),2)=7,2,0))),(EDATE($B$8,12*27)+IF(WEEKDAY(EDATE($B$8,12*27),2)=6,2,IF(WEEKDAY(EDATE($B$8,12*27),2)=7,1,0))))))</f>
        <v/>
      </c>
      <c r="C62" s="113">
        <f>IF(OR(B61="",B61&gt;=$B$10),"",B61)</f>
        <v/>
      </c>
      <c r="D62" s="114">
        <f>IF(C62="","",(B62-C62)/360)</f>
        <v/>
      </c>
      <c r="E62" s="115">
        <f>IF(C62="","",IFERROR(IF(Curve_Interface!$J$7="Piecewise Linear (Simple)",IF(((B62-VAL_DATE)/360)&lt;=0,1,1/(1+(IF(((INDEX($K$6:$K$71,MATCH(B62,$K$6:$K$71,1))-VAL_DATE)/360)&lt;=0,IF(((INDEX($K$6:$K$71,MATCH(B62,$K$6:$K$71,1)+1)-VAL_DATE)/360)&lt;=0,0,(1/INDEX($L$6:$L$71,MATCH(B62,$K$6:$K$71,1)+1)-1)/((INDEX($K$6:$K$71,MATCH(B62,$K$6:$K$71,1)+1)-VAL_DATE)/360)),(1/INDEX($L$6:$L$71,MATCH(B62,$K$6:$K$71,1))-1)/((INDEX($K$6:$K$71,MATCH(B62,$K$6:$K$71,1))-VAL_DATE)/360))+(IF(((INDEX($K$6:$K$71,MATCH(B62,$K$6:$K$71,1)+1)-VAL_DATE)/360)&lt;=0,0,(1/INDEX($L$6:$L$71,MATCH(B62,$K$6:$K$71,1)+1)-1)/((INDEX($K$6:$K$71,MATCH(B62,$K$6:$K$71,1)+1)-VAL_DATE)/360))-IF(((INDEX($K$6:$K$71,MATCH(B62,$K$6:$K$71,1))-VAL_DATE)/360)&lt;=0,IF(((INDEX($K$6:$K$71,MATCH(B62,$K$6:$K$71,1)+1)-VAL_DATE)/360)&lt;=0,0,(1/INDEX($L$6:$L$71,MATCH(B62,$K$6:$K$71,1)+1)-1)/((INDEX($K$6:$K$71,MATCH(B62,$K$6:$K$71,1)+1)-VAL_DATE)/360)),(1/INDEX($L$6:$L$71,MATCH(B62,$K$6:$K$71,1))-1)/((INDEX($K$6:$K$71,MATCH(B62,$K$6:$K$71,1))-VAL_DATE)/360)))*IF(((INDEX($K$6:$K$71,MATCH(B62,$K$6:$K$71,1)+1)-VAL_DATE)/360)-((INDEX($K$6:$K$71,MATCH(B62,$K$6:$K$71,1))-VAL_DATE)/360)=0,0,(((B62-VAL_DATE)/360)-((INDEX($K$6:$K$71,MATCH(B62,$K$6:$K$71,1))-VAL_DATE)/360))/(((INDEX($K$6:$K$71,MATCH(B62,$K$6:$K$71,1)+1)-VAL_DATE)/360)-((INDEX($K$6:$K$71,MATCH(B62,$K$6:$K$71,1))-VAL_DATE)/360))))*((B62-VAL_DATE)/360))),INDEX($L$6:$L$71,MATCH(B62,$K$6:$K$71,1))*(INDEX($L$6:$L$71,MATCH(B62,$K$6:$K$71,1)+1)/INDEX($L$6:$L$71,MATCH(B62,$K$6:$K$71,1)))^((B62-INDEX($K$6:$K$71,MATCH(B62,$K$6:$K$71,1)))/(INDEX($K$6:$K$71,MATCH(B62,$K$6:$K$71,1)+1)-INDEX($K$6:$K$71,MATCH(B62,$K$6:$K$71,1))))),INDEX($L$6:$L$71,MATCH(B62,$K$6:$K$71,1))))</f>
        <v/>
      </c>
      <c r="F62" s="116">
        <f>IF(C62="","",$B$6*$B$11/100*D62)</f>
        <v/>
      </c>
      <c r="G62" s="116">
        <f>IF(C62="","",F62*E62)</f>
        <v/>
      </c>
      <c r="H62" s="115">
        <f>IF(C62="","",D62*E62)</f>
        <v/>
      </c>
      <c r="K62" s="47">
        <f>Bootstrap!B63</f>
        <v/>
      </c>
      <c r="L62" s="27">
        <f>Bootstrap!H63</f>
        <v/>
      </c>
    </row>
    <row r="63">
      <c r="A63" s="43">
        <f>ROW()-35</f>
        <v/>
      </c>
      <c r="B63" s="113">
        <f>IF(C63="","",MIN($B$10,IF(MONTH((EDATE($B$8,12*28)+IF(WEEKDAY(EDATE($B$8,12*28),2)=6,2,IF(WEEKDAY(EDATE($B$8,12*28),2)=7,1,0))))&lt;&gt;MONTH(EDATE($B$8,12*28)),(EDATE($B$8,12*28)-IF(WEEKDAY(EDATE($B$8,12*28),2)=6,1,IF(WEEKDAY(EDATE($B$8,12*28),2)=7,2,0))),(EDATE($B$8,12*28)+IF(WEEKDAY(EDATE($B$8,12*28),2)=6,2,IF(WEEKDAY(EDATE($B$8,12*28),2)=7,1,0))))))</f>
        <v/>
      </c>
      <c r="C63" s="113">
        <f>IF(OR(B62="",B62&gt;=$B$10),"",B62)</f>
        <v/>
      </c>
      <c r="D63" s="114">
        <f>IF(C63="","",(B63-C63)/360)</f>
        <v/>
      </c>
      <c r="E63" s="115">
        <f>IF(C63="","",IFERROR(IF(Curve_Interface!$J$7="Piecewise Linear (Simple)",IF(((B63-VAL_DATE)/360)&lt;=0,1,1/(1+(IF(((INDEX($K$6:$K$71,MATCH(B63,$K$6:$K$71,1))-VAL_DATE)/360)&lt;=0,IF(((INDEX($K$6:$K$71,MATCH(B63,$K$6:$K$71,1)+1)-VAL_DATE)/360)&lt;=0,0,(1/INDEX($L$6:$L$71,MATCH(B63,$K$6:$K$71,1)+1)-1)/((INDEX($K$6:$K$71,MATCH(B63,$K$6:$K$71,1)+1)-VAL_DATE)/360)),(1/INDEX($L$6:$L$71,MATCH(B63,$K$6:$K$71,1))-1)/((INDEX($K$6:$K$71,MATCH(B63,$K$6:$K$71,1))-VAL_DATE)/360))+(IF(((INDEX($K$6:$K$71,MATCH(B63,$K$6:$K$71,1)+1)-VAL_DATE)/360)&lt;=0,0,(1/INDEX($L$6:$L$71,MATCH(B63,$K$6:$K$71,1)+1)-1)/((INDEX($K$6:$K$71,MATCH(B63,$K$6:$K$71,1)+1)-VAL_DATE)/360))-IF(((INDEX($K$6:$K$71,MATCH(B63,$K$6:$K$71,1))-VAL_DATE)/360)&lt;=0,IF(((INDEX($K$6:$K$71,MATCH(B63,$K$6:$K$71,1)+1)-VAL_DATE)/360)&lt;=0,0,(1/INDEX($L$6:$L$71,MATCH(B63,$K$6:$K$71,1)+1)-1)/((INDEX($K$6:$K$71,MATCH(B63,$K$6:$K$71,1)+1)-VAL_DATE)/360)),(1/INDEX($L$6:$L$71,MATCH(B63,$K$6:$K$71,1))-1)/((INDEX($K$6:$K$71,MATCH(B63,$K$6:$K$71,1))-VAL_DATE)/360)))*IF(((INDEX($K$6:$K$71,MATCH(B63,$K$6:$K$71,1)+1)-VAL_DATE)/360)-((INDEX($K$6:$K$71,MATCH(B63,$K$6:$K$71,1))-VAL_DATE)/360)=0,0,(((B63-VAL_DATE)/360)-((INDEX($K$6:$K$71,MATCH(B63,$K$6:$K$71,1))-VAL_DATE)/360))/(((INDEX($K$6:$K$71,MATCH(B63,$K$6:$K$71,1)+1)-VAL_DATE)/360)-((INDEX($K$6:$K$71,MATCH(B63,$K$6:$K$71,1))-VAL_DATE)/360))))*((B63-VAL_DATE)/360))),INDEX($L$6:$L$71,MATCH(B63,$K$6:$K$71,1))*(INDEX($L$6:$L$71,MATCH(B63,$K$6:$K$71,1)+1)/INDEX($L$6:$L$71,MATCH(B63,$K$6:$K$71,1)))^((B63-INDEX($K$6:$K$71,MATCH(B63,$K$6:$K$71,1)))/(INDEX($K$6:$K$71,MATCH(B63,$K$6:$K$71,1)+1)-INDEX($K$6:$K$71,MATCH(B63,$K$6:$K$71,1))))),INDEX($L$6:$L$71,MATCH(B63,$K$6:$K$71,1))))</f>
        <v/>
      </c>
      <c r="F63" s="116">
        <f>IF(C63="","",$B$6*$B$11/100*D63)</f>
        <v/>
      </c>
      <c r="G63" s="116">
        <f>IF(C63="","",F63*E63)</f>
        <v/>
      </c>
      <c r="H63" s="115">
        <f>IF(C63="","",D63*E63)</f>
        <v/>
      </c>
      <c r="K63" s="47">
        <f>Bootstrap!B64</f>
        <v/>
      </c>
      <c r="L63" s="27">
        <f>Bootstrap!H64</f>
        <v/>
      </c>
    </row>
    <row r="64">
      <c r="A64" s="43">
        <f>ROW()-35</f>
        <v/>
      </c>
      <c r="B64" s="113">
        <f>IF(C64="","",MIN($B$10,IF(MONTH((EDATE($B$8,12*29)+IF(WEEKDAY(EDATE($B$8,12*29),2)=6,2,IF(WEEKDAY(EDATE($B$8,12*29),2)=7,1,0))))&lt;&gt;MONTH(EDATE($B$8,12*29)),(EDATE($B$8,12*29)-IF(WEEKDAY(EDATE($B$8,12*29),2)=6,1,IF(WEEKDAY(EDATE($B$8,12*29),2)=7,2,0))),(EDATE($B$8,12*29)+IF(WEEKDAY(EDATE($B$8,12*29),2)=6,2,IF(WEEKDAY(EDATE($B$8,12*29),2)=7,1,0))))))</f>
        <v/>
      </c>
      <c r="C64" s="113">
        <f>IF(OR(B63="",B63&gt;=$B$10),"",B63)</f>
        <v/>
      </c>
      <c r="D64" s="114">
        <f>IF(C64="","",(B64-C64)/360)</f>
        <v/>
      </c>
      <c r="E64" s="115">
        <f>IF(C64="","",IFERROR(IF(Curve_Interface!$J$7="Piecewise Linear (Simple)",IF(((B64-VAL_DATE)/360)&lt;=0,1,1/(1+(IF(((INDEX($K$6:$K$71,MATCH(B64,$K$6:$K$71,1))-VAL_DATE)/360)&lt;=0,IF(((INDEX($K$6:$K$71,MATCH(B64,$K$6:$K$71,1)+1)-VAL_DATE)/360)&lt;=0,0,(1/INDEX($L$6:$L$71,MATCH(B64,$K$6:$K$71,1)+1)-1)/((INDEX($K$6:$K$71,MATCH(B64,$K$6:$K$71,1)+1)-VAL_DATE)/360)),(1/INDEX($L$6:$L$71,MATCH(B64,$K$6:$K$71,1))-1)/((INDEX($K$6:$K$71,MATCH(B64,$K$6:$K$71,1))-VAL_DATE)/360))+(IF(((INDEX($K$6:$K$71,MATCH(B64,$K$6:$K$71,1)+1)-VAL_DATE)/360)&lt;=0,0,(1/INDEX($L$6:$L$71,MATCH(B64,$K$6:$K$71,1)+1)-1)/((INDEX($K$6:$K$71,MATCH(B64,$K$6:$K$71,1)+1)-VAL_DATE)/360))-IF(((INDEX($K$6:$K$71,MATCH(B64,$K$6:$K$71,1))-VAL_DATE)/360)&lt;=0,IF(((INDEX($K$6:$K$71,MATCH(B64,$K$6:$K$71,1)+1)-VAL_DATE)/360)&lt;=0,0,(1/INDEX($L$6:$L$71,MATCH(B64,$K$6:$K$71,1)+1)-1)/((INDEX($K$6:$K$71,MATCH(B64,$K$6:$K$71,1)+1)-VAL_DATE)/360)),(1/INDEX($L$6:$L$71,MATCH(B64,$K$6:$K$71,1))-1)/((INDEX($K$6:$K$71,MATCH(B64,$K$6:$K$71,1))-VAL_DATE)/360)))*IF(((INDEX($K$6:$K$71,MATCH(B64,$K$6:$K$71,1)+1)-VAL_DATE)/360)-((INDEX($K$6:$K$71,MATCH(B64,$K$6:$K$71,1))-VAL_DATE)/360)=0,0,(((B64-VAL_DATE)/360)-((INDEX($K$6:$K$71,MATCH(B64,$K$6:$K$71,1))-VAL_DATE)/360))/(((INDEX($K$6:$K$71,MATCH(B64,$K$6:$K$71,1)+1)-VAL_DATE)/360)-((INDEX($K$6:$K$71,MATCH(B64,$K$6:$K$71,1))-VAL_DATE)/360))))*((B64-VAL_DATE)/360))),INDEX($L$6:$L$71,MATCH(B64,$K$6:$K$71,1))*(INDEX($L$6:$L$71,MATCH(B64,$K$6:$K$71,1)+1)/INDEX($L$6:$L$71,MATCH(B64,$K$6:$K$71,1)))^((B64-INDEX($K$6:$K$71,MATCH(B64,$K$6:$K$71,1)))/(INDEX($K$6:$K$71,MATCH(B64,$K$6:$K$71,1)+1)-INDEX($K$6:$K$71,MATCH(B64,$K$6:$K$71,1))))),INDEX($L$6:$L$71,MATCH(B64,$K$6:$K$71,1))))</f>
        <v/>
      </c>
      <c r="F64" s="116">
        <f>IF(C64="","",$B$6*$B$11/100*D64)</f>
        <v/>
      </c>
      <c r="G64" s="116">
        <f>IF(C64="","",F64*E64)</f>
        <v/>
      </c>
      <c r="H64" s="115">
        <f>IF(C64="","",D64*E64)</f>
        <v/>
      </c>
      <c r="K64" s="47">
        <f>Bootstrap!B65</f>
        <v/>
      </c>
      <c r="L64" s="27">
        <f>Bootstrap!H65</f>
        <v/>
      </c>
    </row>
    <row r="65">
      <c r="A65" s="43">
        <f>ROW()-35</f>
        <v/>
      </c>
      <c r="B65" s="113">
        <f>IF(C65="","",MIN($B$10,IF(MONTH((EDATE($B$8,12*30)+IF(WEEKDAY(EDATE($B$8,12*30),2)=6,2,IF(WEEKDAY(EDATE($B$8,12*30),2)=7,1,0))))&lt;&gt;MONTH(EDATE($B$8,12*30)),(EDATE($B$8,12*30)-IF(WEEKDAY(EDATE($B$8,12*30),2)=6,1,IF(WEEKDAY(EDATE($B$8,12*30),2)=7,2,0))),(EDATE($B$8,12*30)+IF(WEEKDAY(EDATE($B$8,12*30),2)=6,2,IF(WEEKDAY(EDATE($B$8,12*30),2)=7,1,0))))))</f>
        <v/>
      </c>
      <c r="C65" s="113">
        <f>IF(OR(B64="",B64&gt;=$B$10),"",B64)</f>
        <v/>
      </c>
      <c r="D65" s="114">
        <f>IF(C65="","",(B65-C65)/360)</f>
        <v/>
      </c>
      <c r="E65" s="115">
        <f>IF(C65="","",IFERROR(IF(Curve_Interface!$J$7="Piecewise Linear (Simple)",IF(((B65-VAL_DATE)/360)&lt;=0,1,1/(1+(IF(((INDEX($K$6:$K$71,MATCH(B65,$K$6:$K$71,1))-VAL_DATE)/360)&lt;=0,IF(((INDEX($K$6:$K$71,MATCH(B65,$K$6:$K$71,1)+1)-VAL_DATE)/360)&lt;=0,0,(1/INDEX($L$6:$L$71,MATCH(B65,$K$6:$K$71,1)+1)-1)/((INDEX($K$6:$K$71,MATCH(B65,$K$6:$K$71,1)+1)-VAL_DATE)/360)),(1/INDEX($L$6:$L$71,MATCH(B65,$K$6:$K$71,1))-1)/((INDEX($K$6:$K$71,MATCH(B65,$K$6:$K$71,1))-VAL_DATE)/360))+(IF(((INDEX($K$6:$K$71,MATCH(B65,$K$6:$K$71,1)+1)-VAL_DATE)/360)&lt;=0,0,(1/INDEX($L$6:$L$71,MATCH(B65,$K$6:$K$71,1)+1)-1)/((INDEX($K$6:$K$71,MATCH(B65,$K$6:$K$71,1)+1)-VAL_DATE)/360))-IF(((INDEX($K$6:$K$71,MATCH(B65,$K$6:$K$71,1))-VAL_DATE)/360)&lt;=0,IF(((INDEX($K$6:$K$71,MATCH(B65,$K$6:$K$71,1)+1)-VAL_DATE)/360)&lt;=0,0,(1/INDEX($L$6:$L$71,MATCH(B65,$K$6:$K$71,1)+1)-1)/((INDEX($K$6:$K$71,MATCH(B65,$K$6:$K$71,1)+1)-VAL_DATE)/360)),(1/INDEX($L$6:$L$71,MATCH(B65,$K$6:$K$71,1))-1)/((INDEX($K$6:$K$71,MATCH(B65,$K$6:$K$71,1))-VAL_DATE)/360)))*IF(((INDEX($K$6:$K$71,MATCH(B65,$K$6:$K$71,1)+1)-VAL_DATE)/360)-((INDEX($K$6:$K$71,MATCH(B65,$K$6:$K$71,1))-VAL_DATE)/360)=0,0,(((B65-VAL_DATE)/360)-((INDEX($K$6:$K$71,MATCH(B65,$K$6:$K$71,1))-VAL_DATE)/360))/(((INDEX($K$6:$K$71,MATCH(B65,$K$6:$K$71,1)+1)-VAL_DATE)/360)-((INDEX($K$6:$K$71,MATCH(B65,$K$6:$K$71,1))-VAL_DATE)/360))))*((B65-VAL_DATE)/360))),INDEX($L$6:$L$71,MATCH(B65,$K$6:$K$71,1))*(INDEX($L$6:$L$71,MATCH(B65,$K$6:$K$71,1)+1)/INDEX($L$6:$L$71,MATCH(B65,$K$6:$K$71,1)))^((B65-INDEX($K$6:$K$71,MATCH(B65,$K$6:$K$71,1)))/(INDEX($K$6:$K$71,MATCH(B65,$K$6:$K$71,1)+1)-INDEX($K$6:$K$71,MATCH(B65,$K$6:$K$71,1))))),INDEX($L$6:$L$71,MATCH(B65,$K$6:$K$71,1))))</f>
        <v/>
      </c>
      <c r="F65" s="116">
        <f>IF(C65="","",$B$6*$B$11/100*D65)</f>
        <v/>
      </c>
      <c r="G65" s="116">
        <f>IF(C65="","",F65*E65)</f>
        <v/>
      </c>
      <c r="H65" s="115">
        <f>IF(C65="","",D65*E65)</f>
        <v/>
      </c>
      <c r="K65" s="47">
        <f>Bootstrap!B66</f>
        <v/>
      </c>
      <c r="L65" s="27">
        <f>Bootstrap!H66</f>
        <v/>
      </c>
    </row>
    <row r="66">
      <c r="A66" s="43">
        <f>ROW()-35</f>
        <v/>
      </c>
      <c r="B66" s="113">
        <f>IF(C66="","",MIN($B$10,IF(MONTH((EDATE($B$8,12*31)+IF(WEEKDAY(EDATE($B$8,12*31),2)=6,2,IF(WEEKDAY(EDATE($B$8,12*31),2)=7,1,0))))&lt;&gt;MONTH(EDATE($B$8,12*31)),(EDATE($B$8,12*31)-IF(WEEKDAY(EDATE($B$8,12*31),2)=6,1,IF(WEEKDAY(EDATE($B$8,12*31),2)=7,2,0))),(EDATE($B$8,12*31)+IF(WEEKDAY(EDATE($B$8,12*31),2)=6,2,IF(WEEKDAY(EDATE($B$8,12*31),2)=7,1,0))))))</f>
        <v/>
      </c>
      <c r="C66" s="113">
        <f>IF(OR(B65="",B65&gt;=$B$10),"",B65)</f>
        <v/>
      </c>
      <c r="D66" s="114">
        <f>IF(C66="","",(B66-C66)/360)</f>
        <v/>
      </c>
      <c r="E66" s="115">
        <f>IF(C66="","",IFERROR(IF(Curve_Interface!$J$7="Piecewise Linear (Simple)",IF(((B66-VAL_DATE)/360)&lt;=0,1,1/(1+(IF(((INDEX($K$6:$K$71,MATCH(B66,$K$6:$K$71,1))-VAL_DATE)/360)&lt;=0,IF(((INDEX($K$6:$K$71,MATCH(B66,$K$6:$K$71,1)+1)-VAL_DATE)/360)&lt;=0,0,(1/INDEX($L$6:$L$71,MATCH(B66,$K$6:$K$71,1)+1)-1)/((INDEX($K$6:$K$71,MATCH(B66,$K$6:$K$71,1)+1)-VAL_DATE)/360)),(1/INDEX($L$6:$L$71,MATCH(B66,$K$6:$K$71,1))-1)/((INDEX($K$6:$K$71,MATCH(B66,$K$6:$K$71,1))-VAL_DATE)/360))+(IF(((INDEX($K$6:$K$71,MATCH(B66,$K$6:$K$71,1)+1)-VAL_DATE)/360)&lt;=0,0,(1/INDEX($L$6:$L$71,MATCH(B66,$K$6:$K$71,1)+1)-1)/((INDEX($K$6:$K$71,MATCH(B66,$K$6:$K$71,1)+1)-VAL_DATE)/360))-IF(((INDEX($K$6:$K$71,MATCH(B66,$K$6:$K$71,1))-VAL_DATE)/360)&lt;=0,IF(((INDEX($K$6:$K$71,MATCH(B66,$K$6:$K$71,1)+1)-VAL_DATE)/360)&lt;=0,0,(1/INDEX($L$6:$L$71,MATCH(B66,$K$6:$K$71,1)+1)-1)/((INDEX($K$6:$K$71,MATCH(B66,$K$6:$K$71,1)+1)-VAL_DATE)/360)),(1/INDEX($L$6:$L$71,MATCH(B66,$K$6:$K$71,1))-1)/((INDEX($K$6:$K$71,MATCH(B66,$K$6:$K$71,1))-VAL_DATE)/360)))*IF(((INDEX($K$6:$K$71,MATCH(B66,$K$6:$K$71,1)+1)-VAL_DATE)/360)-((INDEX($K$6:$K$71,MATCH(B66,$K$6:$K$71,1))-VAL_DATE)/360)=0,0,(((B66-VAL_DATE)/360)-((INDEX($K$6:$K$71,MATCH(B66,$K$6:$K$71,1))-VAL_DATE)/360))/(((INDEX($K$6:$K$71,MATCH(B66,$K$6:$K$71,1)+1)-VAL_DATE)/360)-((INDEX($K$6:$K$71,MATCH(B66,$K$6:$K$71,1))-VAL_DATE)/360))))*((B66-VAL_DATE)/360))),INDEX($L$6:$L$71,MATCH(B66,$K$6:$K$71,1))*(INDEX($L$6:$L$71,MATCH(B66,$K$6:$K$71,1)+1)/INDEX($L$6:$L$71,MATCH(B66,$K$6:$K$71,1)))^((B66-INDEX($K$6:$K$71,MATCH(B66,$K$6:$K$71,1)))/(INDEX($K$6:$K$71,MATCH(B66,$K$6:$K$71,1)+1)-INDEX($K$6:$K$71,MATCH(B66,$K$6:$K$71,1))))),INDEX($L$6:$L$71,MATCH(B66,$K$6:$K$71,1))))</f>
        <v/>
      </c>
      <c r="F66" s="116">
        <f>IF(C66="","",$B$6*$B$11/100*D66)</f>
        <v/>
      </c>
      <c r="G66" s="116">
        <f>IF(C66="","",F66*E66)</f>
        <v/>
      </c>
      <c r="H66" s="115">
        <f>IF(C66="","",D66*E66)</f>
        <v/>
      </c>
      <c r="K66" s="47">
        <f>Bootstrap!B67</f>
        <v/>
      </c>
      <c r="L66" s="27">
        <f>Bootstrap!H67</f>
        <v/>
      </c>
    </row>
    <row r="67">
      <c r="A67" s="43">
        <f>ROW()-35</f>
        <v/>
      </c>
      <c r="B67" s="113">
        <f>IF(C67="","",MIN($B$10,IF(MONTH((EDATE($B$8,12*32)+IF(WEEKDAY(EDATE($B$8,12*32),2)=6,2,IF(WEEKDAY(EDATE($B$8,12*32),2)=7,1,0))))&lt;&gt;MONTH(EDATE($B$8,12*32)),(EDATE($B$8,12*32)-IF(WEEKDAY(EDATE($B$8,12*32),2)=6,1,IF(WEEKDAY(EDATE($B$8,12*32),2)=7,2,0))),(EDATE($B$8,12*32)+IF(WEEKDAY(EDATE($B$8,12*32),2)=6,2,IF(WEEKDAY(EDATE($B$8,12*32),2)=7,1,0))))))</f>
        <v/>
      </c>
      <c r="C67" s="113">
        <f>IF(OR(B66="",B66&gt;=$B$10),"",B66)</f>
        <v/>
      </c>
      <c r="D67" s="114">
        <f>IF(C67="","",(B67-C67)/360)</f>
        <v/>
      </c>
      <c r="E67" s="115">
        <f>IF(C67="","",IFERROR(IF(Curve_Interface!$J$7="Piecewise Linear (Simple)",IF(((B67-VAL_DATE)/360)&lt;=0,1,1/(1+(IF(((INDEX($K$6:$K$71,MATCH(B67,$K$6:$K$71,1))-VAL_DATE)/360)&lt;=0,IF(((INDEX($K$6:$K$71,MATCH(B67,$K$6:$K$71,1)+1)-VAL_DATE)/360)&lt;=0,0,(1/INDEX($L$6:$L$71,MATCH(B67,$K$6:$K$71,1)+1)-1)/((INDEX($K$6:$K$71,MATCH(B67,$K$6:$K$71,1)+1)-VAL_DATE)/360)),(1/INDEX($L$6:$L$71,MATCH(B67,$K$6:$K$71,1))-1)/((INDEX($K$6:$K$71,MATCH(B67,$K$6:$K$71,1))-VAL_DATE)/360))+(IF(((INDEX($K$6:$K$71,MATCH(B67,$K$6:$K$71,1)+1)-VAL_DATE)/360)&lt;=0,0,(1/INDEX($L$6:$L$71,MATCH(B67,$K$6:$K$71,1)+1)-1)/((INDEX($K$6:$K$71,MATCH(B67,$K$6:$K$71,1)+1)-VAL_DATE)/360))-IF(((INDEX($K$6:$K$71,MATCH(B67,$K$6:$K$71,1))-VAL_DATE)/360)&lt;=0,IF(((INDEX($K$6:$K$71,MATCH(B67,$K$6:$K$71,1)+1)-VAL_DATE)/360)&lt;=0,0,(1/INDEX($L$6:$L$71,MATCH(B67,$K$6:$K$71,1)+1)-1)/((INDEX($K$6:$K$71,MATCH(B67,$K$6:$K$71,1)+1)-VAL_DATE)/360)),(1/INDEX($L$6:$L$71,MATCH(B67,$K$6:$K$71,1))-1)/((INDEX($K$6:$K$71,MATCH(B67,$K$6:$K$71,1))-VAL_DATE)/360)))*IF(((INDEX($K$6:$K$71,MATCH(B67,$K$6:$K$71,1)+1)-VAL_DATE)/360)-((INDEX($K$6:$K$71,MATCH(B67,$K$6:$K$71,1))-VAL_DATE)/360)=0,0,(((B67-VAL_DATE)/360)-((INDEX($K$6:$K$71,MATCH(B67,$K$6:$K$71,1))-VAL_DATE)/360))/(((INDEX($K$6:$K$71,MATCH(B67,$K$6:$K$71,1)+1)-VAL_DATE)/360)-((INDEX($K$6:$K$71,MATCH(B67,$K$6:$K$71,1))-VAL_DATE)/360))))*((B67-VAL_DATE)/360))),INDEX($L$6:$L$71,MATCH(B67,$K$6:$K$71,1))*(INDEX($L$6:$L$71,MATCH(B67,$K$6:$K$71,1)+1)/INDEX($L$6:$L$71,MATCH(B67,$K$6:$K$71,1)))^((B67-INDEX($K$6:$K$71,MATCH(B67,$K$6:$K$71,1)))/(INDEX($K$6:$K$71,MATCH(B67,$K$6:$K$71,1)+1)-INDEX($K$6:$K$71,MATCH(B67,$K$6:$K$71,1))))),INDEX($L$6:$L$71,MATCH(B67,$K$6:$K$71,1))))</f>
        <v/>
      </c>
      <c r="F67" s="116">
        <f>IF(C67="","",$B$6*$B$11/100*D67)</f>
        <v/>
      </c>
      <c r="G67" s="116">
        <f>IF(C67="","",F67*E67)</f>
        <v/>
      </c>
      <c r="H67" s="115">
        <f>IF(C67="","",D67*E67)</f>
        <v/>
      </c>
      <c r="K67" s="47">
        <f>Bootstrap!B68</f>
        <v/>
      </c>
      <c r="L67" s="27">
        <f>Bootstrap!H68</f>
        <v/>
      </c>
    </row>
    <row r="68">
      <c r="A68" s="43">
        <f>ROW()-35</f>
        <v/>
      </c>
      <c r="B68" s="113">
        <f>IF(C68="","",MIN($B$10,IF(MONTH((EDATE($B$8,12*33)+IF(WEEKDAY(EDATE($B$8,12*33),2)=6,2,IF(WEEKDAY(EDATE($B$8,12*33),2)=7,1,0))))&lt;&gt;MONTH(EDATE($B$8,12*33)),(EDATE($B$8,12*33)-IF(WEEKDAY(EDATE($B$8,12*33),2)=6,1,IF(WEEKDAY(EDATE($B$8,12*33),2)=7,2,0))),(EDATE($B$8,12*33)+IF(WEEKDAY(EDATE($B$8,12*33),2)=6,2,IF(WEEKDAY(EDATE($B$8,12*33),2)=7,1,0))))))</f>
        <v/>
      </c>
      <c r="C68" s="113">
        <f>IF(OR(B67="",B67&gt;=$B$10),"",B67)</f>
        <v/>
      </c>
      <c r="D68" s="114">
        <f>IF(C68="","",(B68-C68)/360)</f>
        <v/>
      </c>
      <c r="E68" s="115">
        <f>IF(C68="","",IFERROR(IF(Curve_Interface!$J$7="Piecewise Linear (Simple)",IF(((B68-VAL_DATE)/360)&lt;=0,1,1/(1+(IF(((INDEX($K$6:$K$71,MATCH(B68,$K$6:$K$71,1))-VAL_DATE)/360)&lt;=0,IF(((INDEX($K$6:$K$71,MATCH(B68,$K$6:$K$71,1)+1)-VAL_DATE)/360)&lt;=0,0,(1/INDEX($L$6:$L$71,MATCH(B68,$K$6:$K$71,1)+1)-1)/((INDEX($K$6:$K$71,MATCH(B68,$K$6:$K$71,1)+1)-VAL_DATE)/360)),(1/INDEX($L$6:$L$71,MATCH(B68,$K$6:$K$71,1))-1)/((INDEX($K$6:$K$71,MATCH(B68,$K$6:$K$71,1))-VAL_DATE)/360))+(IF(((INDEX($K$6:$K$71,MATCH(B68,$K$6:$K$71,1)+1)-VAL_DATE)/360)&lt;=0,0,(1/INDEX($L$6:$L$71,MATCH(B68,$K$6:$K$71,1)+1)-1)/((INDEX($K$6:$K$71,MATCH(B68,$K$6:$K$71,1)+1)-VAL_DATE)/360))-IF(((INDEX($K$6:$K$71,MATCH(B68,$K$6:$K$71,1))-VAL_DATE)/360)&lt;=0,IF(((INDEX($K$6:$K$71,MATCH(B68,$K$6:$K$71,1)+1)-VAL_DATE)/360)&lt;=0,0,(1/INDEX($L$6:$L$71,MATCH(B68,$K$6:$K$71,1)+1)-1)/((INDEX($K$6:$K$71,MATCH(B68,$K$6:$K$71,1)+1)-VAL_DATE)/360)),(1/INDEX($L$6:$L$71,MATCH(B68,$K$6:$K$71,1))-1)/((INDEX($K$6:$K$71,MATCH(B68,$K$6:$K$71,1))-VAL_DATE)/360)))*IF(((INDEX($K$6:$K$71,MATCH(B68,$K$6:$K$71,1)+1)-VAL_DATE)/360)-((INDEX($K$6:$K$71,MATCH(B68,$K$6:$K$71,1))-VAL_DATE)/360)=0,0,(((B68-VAL_DATE)/360)-((INDEX($K$6:$K$71,MATCH(B68,$K$6:$K$71,1))-VAL_DATE)/360))/(((INDEX($K$6:$K$71,MATCH(B68,$K$6:$K$71,1)+1)-VAL_DATE)/360)-((INDEX($K$6:$K$71,MATCH(B68,$K$6:$K$71,1))-VAL_DATE)/360))))*((B68-VAL_DATE)/360))),INDEX($L$6:$L$71,MATCH(B68,$K$6:$K$71,1))*(INDEX($L$6:$L$71,MATCH(B68,$K$6:$K$71,1)+1)/INDEX($L$6:$L$71,MATCH(B68,$K$6:$K$71,1)))^((B68-INDEX($K$6:$K$71,MATCH(B68,$K$6:$K$71,1)))/(INDEX($K$6:$K$71,MATCH(B68,$K$6:$K$71,1)+1)-INDEX($K$6:$K$71,MATCH(B68,$K$6:$K$71,1))))),INDEX($L$6:$L$71,MATCH(B68,$K$6:$K$71,1))))</f>
        <v/>
      </c>
      <c r="F68" s="116">
        <f>IF(C68="","",$B$6*$B$11/100*D68)</f>
        <v/>
      </c>
      <c r="G68" s="116">
        <f>IF(C68="","",F68*E68)</f>
        <v/>
      </c>
      <c r="H68" s="115">
        <f>IF(C68="","",D68*E68)</f>
        <v/>
      </c>
      <c r="K68" s="47">
        <f>Bootstrap!B69</f>
        <v/>
      </c>
      <c r="L68" s="27">
        <f>Bootstrap!H69</f>
        <v/>
      </c>
    </row>
    <row r="69">
      <c r="A69" s="43">
        <f>ROW()-35</f>
        <v/>
      </c>
      <c r="B69" s="113">
        <f>IF(C69="","",MIN($B$10,IF(MONTH((EDATE($B$8,12*34)+IF(WEEKDAY(EDATE($B$8,12*34),2)=6,2,IF(WEEKDAY(EDATE($B$8,12*34),2)=7,1,0))))&lt;&gt;MONTH(EDATE($B$8,12*34)),(EDATE($B$8,12*34)-IF(WEEKDAY(EDATE($B$8,12*34),2)=6,1,IF(WEEKDAY(EDATE($B$8,12*34),2)=7,2,0))),(EDATE($B$8,12*34)+IF(WEEKDAY(EDATE($B$8,12*34),2)=6,2,IF(WEEKDAY(EDATE($B$8,12*34),2)=7,1,0))))))</f>
        <v/>
      </c>
      <c r="C69" s="113">
        <f>IF(OR(B68="",B68&gt;=$B$10),"",B68)</f>
        <v/>
      </c>
      <c r="D69" s="114">
        <f>IF(C69="","",(B69-C69)/360)</f>
        <v/>
      </c>
      <c r="E69" s="115">
        <f>IF(C69="","",IFERROR(IF(Curve_Interface!$J$7="Piecewise Linear (Simple)",IF(((B69-VAL_DATE)/360)&lt;=0,1,1/(1+(IF(((INDEX($K$6:$K$71,MATCH(B69,$K$6:$K$71,1))-VAL_DATE)/360)&lt;=0,IF(((INDEX($K$6:$K$71,MATCH(B69,$K$6:$K$71,1)+1)-VAL_DATE)/360)&lt;=0,0,(1/INDEX($L$6:$L$71,MATCH(B69,$K$6:$K$71,1)+1)-1)/((INDEX($K$6:$K$71,MATCH(B69,$K$6:$K$71,1)+1)-VAL_DATE)/360)),(1/INDEX($L$6:$L$71,MATCH(B69,$K$6:$K$71,1))-1)/((INDEX($K$6:$K$71,MATCH(B69,$K$6:$K$71,1))-VAL_DATE)/360))+(IF(((INDEX($K$6:$K$71,MATCH(B69,$K$6:$K$71,1)+1)-VAL_DATE)/360)&lt;=0,0,(1/INDEX($L$6:$L$71,MATCH(B69,$K$6:$K$71,1)+1)-1)/((INDEX($K$6:$K$71,MATCH(B69,$K$6:$K$71,1)+1)-VAL_DATE)/360))-IF(((INDEX($K$6:$K$71,MATCH(B69,$K$6:$K$71,1))-VAL_DATE)/360)&lt;=0,IF(((INDEX($K$6:$K$71,MATCH(B69,$K$6:$K$71,1)+1)-VAL_DATE)/360)&lt;=0,0,(1/INDEX($L$6:$L$71,MATCH(B69,$K$6:$K$71,1)+1)-1)/((INDEX($K$6:$K$71,MATCH(B69,$K$6:$K$71,1)+1)-VAL_DATE)/360)),(1/INDEX($L$6:$L$71,MATCH(B69,$K$6:$K$71,1))-1)/((INDEX($K$6:$K$71,MATCH(B69,$K$6:$K$71,1))-VAL_DATE)/360)))*IF(((INDEX($K$6:$K$71,MATCH(B69,$K$6:$K$71,1)+1)-VAL_DATE)/360)-((INDEX($K$6:$K$71,MATCH(B69,$K$6:$K$71,1))-VAL_DATE)/360)=0,0,(((B69-VAL_DATE)/360)-((INDEX($K$6:$K$71,MATCH(B69,$K$6:$K$71,1))-VAL_DATE)/360))/(((INDEX($K$6:$K$71,MATCH(B69,$K$6:$K$71,1)+1)-VAL_DATE)/360)-((INDEX($K$6:$K$71,MATCH(B69,$K$6:$K$71,1))-VAL_DATE)/360))))*((B69-VAL_DATE)/360))),INDEX($L$6:$L$71,MATCH(B69,$K$6:$K$71,1))*(INDEX($L$6:$L$71,MATCH(B69,$K$6:$K$71,1)+1)/INDEX($L$6:$L$71,MATCH(B69,$K$6:$K$71,1)))^((B69-INDEX($K$6:$K$71,MATCH(B69,$K$6:$K$71,1)))/(INDEX($K$6:$K$71,MATCH(B69,$K$6:$K$71,1)+1)-INDEX($K$6:$K$71,MATCH(B69,$K$6:$K$71,1))))),INDEX($L$6:$L$71,MATCH(B69,$K$6:$K$71,1))))</f>
        <v/>
      </c>
      <c r="F69" s="116">
        <f>IF(C69="","",$B$6*$B$11/100*D69)</f>
        <v/>
      </c>
      <c r="G69" s="116">
        <f>IF(C69="","",F69*E69)</f>
        <v/>
      </c>
      <c r="H69" s="115">
        <f>IF(C69="","",D69*E69)</f>
        <v/>
      </c>
      <c r="K69" s="47">
        <f>Bootstrap!B70</f>
        <v/>
      </c>
      <c r="L69" s="27">
        <f>Bootstrap!H70</f>
        <v/>
      </c>
    </row>
    <row r="70">
      <c r="A70" s="43">
        <f>ROW()-35</f>
        <v/>
      </c>
      <c r="B70" s="113">
        <f>IF(C70="","",MIN($B$10,IF(MONTH((EDATE($B$8,12*35)+IF(WEEKDAY(EDATE($B$8,12*35),2)=6,2,IF(WEEKDAY(EDATE($B$8,12*35),2)=7,1,0))))&lt;&gt;MONTH(EDATE($B$8,12*35)),(EDATE($B$8,12*35)-IF(WEEKDAY(EDATE($B$8,12*35),2)=6,1,IF(WEEKDAY(EDATE($B$8,12*35),2)=7,2,0))),(EDATE($B$8,12*35)+IF(WEEKDAY(EDATE($B$8,12*35),2)=6,2,IF(WEEKDAY(EDATE($B$8,12*35),2)=7,1,0))))))</f>
        <v/>
      </c>
      <c r="C70" s="113">
        <f>IF(OR(B69="",B69&gt;=$B$10),"",B69)</f>
        <v/>
      </c>
      <c r="D70" s="114">
        <f>IF(C70="","",(B70-C70)/360)</f>
        <v/>
      </c>
      <c r="E70" s="115">
        <f>IF(C70="","",IFERROR(IF(Curve_Interface!$J$7="Piecewise Linear (Simple)",IF(((B70-VAL_DATE)/360)&lt;=0,1,1/(1+(IF(((INDEX($K$6:$K$71,MATCH(B70,$K$6:$K$71,1))-VAL_DATE)/360)&lt;=0,IF(((INDEX($K$6:$K$71,MATCH(B70,$K$6:$K$71,1)+1)-VAL_DATE)/360)&lt;=0,0,(1/INDEX($L$6:$L$71,MATCH(B70,$K$6:$K$71,1)+1)-1)/((INDEX($K$6:$K$71,MATCH(B70,$K$6:$K$71,1)+1)-VAL_DATE)/360)),(1/INDEX($L$6:$L$71,MATCH(B70,$K$6:$K$71,1))-1)/((INDEX($K$6:$K$71,MATCH(B70,$K$6:$K$71,1))-VAL_DATE)/360))+(IF(((INDEX($K$6:$K$71,MATCH(B70,$K$6:$K$71,1)+1)-VAL_DATE)/360)&lt;=0,0,(1/INDEX($L$6:$L$71,MATCH(B70,$K$6:$K$71,1)+1)-1)/((INDEX($K$6:$K$71,MATCH(B70,$K$6:$K$71,1)+1)-VAL_DATE)/360))-IF(((INDEX($K$6:$K$71,MATCH(B70,$K$6:$K$71,1))-VAL_DATE)/360)&lt;=0,IF(((INDEX($K$6:$K$71,MATCH(B70,$K$6:$K$71,1)+1)-VAL_DATE)/360)&lt;=0,0,(1/INDEX($L$6:$L$71,MATCH(B70,$K$6:$K$71,1)+1)-1)/((INDEX($K$6:$K$71,MATCH(B70,$K$6:$K$71,1)+1)-VAL_DATE)/360)),(1/INDEX($L$6:$L$71,MATCH(B70,$K$6:$K$71,1))-1)/((INDEX($K$6:$K$71,MATCH(B70,$K$6:$K$71,1))-VAL_DATE)/360)))*IF(((INDEX($K$6:$K$71,MATCH(B70,$K$6:$K$71,1)+1)-VAL_DATE)/360)-((INDEX($K$6:$K$71,MATCH(B70,$K$6:$K$71,1))-VAL_DATE)/360)=0,0,(((B70-VAL_DATE)/360)-((INDEX($K$6:$K$71,MATCH(B70,$K$6:$K$71,1))-VAL_DATE)/360))/(((INDEX($K$6:$K$71,MATCH(B70,$K$6:$K$71,1)+1)-VAL_DATE)/360)-((INDEX($K$6:$K$71,MATCH(B70,$K$6:$K$71,1))-VAL_DATE)/360))))*((B70-VAL_DATE)/360))),INDEX($L$6:$L$71,MATCH(B70,$K$6:$K$71,1))*(INDEX($L$6:$L$71,MATCH(B70,$K$6:$K$71,1)+1)/INDEX($L$6:$L$71,MATCH(B70,$K$6:$K$71,1)))^((B70-INDEX($K$6:$K$71,MATCH(B70,$K$6:$K$71,1)))/(INDEX($K$6:$K$71,MATCH(B70,$K$6:$K$71,1)+1)-INDEX($K$6:$K$71,MATCH(B70,$K$6:$K$71,1))))),INDEX($L$6:$L$71,MATCH(B70,$K$6:$K$71,1))))</f>
        <v/>
      </c>
      <c r="F70" s="116">
        <f>IF(C70="","",$B$6*$B$11/100*D70)</f>
        <v/>
      </c>
      <c r="G70" s="116">
        <f>IF(C70="","",F70*E70)</f>
        <v/>
      </c>
      <c r="H70" s="115">
        <f>IF(C70="","",D70*E70)</f>
        <v/>
      </c>
      <c r="K70" s="47">
        <f>Bootstrap!B71</f>
        <v/>
      </c>
      <c r="L70" s="27">
        <f>Bootstrap!H71</f>
        <v/>
      </c>
    </row>
    <row r="71">
      <c r="A71" s="43">
        <f>ROW()-35</f>
        <v/>
      </c>
      <c r="B71" s="113">
        <f>IF(C71="","",MIN($B$10,IF(MONTH((EDATE($B$8,12*36)+IF(WEEKDAY(EDATE($B$8,12*36),2)=6,2,IF(WEEKDAY(EDATE($B$8,12*36),2)=7,1,0))))&lt;&gt;MONTH(EDATE($B$8,12*36)),(EDATE($B$8,12*36)-IF(WEEKDAY(EDATE($B$8,12*36),2)=6,1,IF(WEEKDAY(EDATE($B$8,12*36),2)=7,2,0))),(EDATE($B$8,12*36)+IF(WEEKDAY(EDATE($B$8,12*36),2)=6,2,IF(WEEKDAY(EDATE($B$8,12*36),2)=7,1,0))))))</f>
        <v/>
      </c>
      <c r="C71" s="113">
        <f>IF(OR(B70="",B70&gt;=$B$10),"",B70)</f>
        <v/>
      </c>
      <c r="D71" s="114">
        <f>IF(C71="","",(B71-C71)/360)</f>
        <v/>
      </c>
      <c r="E71" s="115">
        <f>IF(C71="","",IFERROR(IF(Curve_Interface!$J$7="Piecewise Linear (Simple)",IF(((B71-VAL_DATE)/360)&lt;=0,1,1/(1+(IF(((INDEX($K$6:$K$71,MATCH(B71,$K$6:$K$71,1))-VAL_DATE)/360)&lt;=0,IF(((INDEX($K$6:$K$71,MATCH(B71,$K$6:$K$71,1)+1)-VAL_DATE)/360)&lt;=0,0,(1/INDEX($L$6:$L$71,MATCH(B71,$K$6:$K$71,1)+1)-1)/((INDEX($K$6:$K$71,MATCH(B71,$K$6:$K$71,1)+1)-VAL_DATE)/360)),(1/INDEX($L$6:$L$71,MATCH(B71,$K$6:$K$71,1))-1)/((INDEX($K$6:$K$71,MATCH(B71,$K$6:$K$71,1))-VAL_DATE)/360))+(IF(((INDEX($K$6:$K$71,MATCH(B71,$K$6:$K$71,1)+1)-VAL_DATE)/360)&lt;=0,0,(1/INDEX($L$6:$L$71,MATCH(B71,$K$6:$K$71,1)+1)-1)/((INDEX($K$6:$K$71,MATCH(B71,$K$6:$K$71,1)+1)-VAL_DATE)/360))-IF(((INDEX($K$6:$K$71,MATCH(B71,$K$6:$K$71,1))-VAL_DATE)/360)&lt;=0,IF(((INDEX($K$6:$K$71,MATCH(B71,$K$6:$K$71,1)+1)-VAL_DATE)/360)&lt;=0,0,(1/INDEX($L$6:$L$71,MATCH(B71,$K$6:$K$71,1)+1)-1)/((INDEX($K$6:$K$71,MATCH(B71,$K$6:$K$71,1)+1)-VAL_DATE)/360)),(1/INDEX($L$6:$L$71,MATCH(B71,$K$6:$K$71,1))-1)/((INDEX($K$6:$K$71,MATCH(B71,$K$6:$K$71,1))-VAL_DATE)/360)))*IF(((INDEX($K$6:$K$71,MATCH(B71,$K$6:$K$71,1)+1)-VAL_DATE)/360)-((INDEX($K$6:$K$71,MATCH(B71,$K$6:$K$71,1))-VAL_DATE)/360)=0,0,(((B71-VAL_DATE)/360)-((INDEX($K$6:$K$71,MATCH(B71,$K$6:$K$71,1))-VAL_DATE)/360))/(((INDEX($K$6:$K$71,MATCH(B71,$K$6:$K$71,1)+1)-VAL_DATE)/360)-((INDEX($K$6:$K$71,MATCH(B71,$K$6:$K$71,1))-VAL_DATE)/360))))*((B71-VAL_DATE)/360))),INDEX($L$6:$L$71,MATCH(B71,$K$6:$K$71,1))*(INDEX($L$6:$L$71,MATCH(B71,$K$6:$K$71,1)+1)/INDEX($L$6:$L$71,MATCH(B71,$K$6:$K$71,1)))^((B71-INDEX($K$6:$K$71,MATCH(B71,$K$6:$K$71,1)))/(INDEX($K$6:$K$71,MATCH(B71,$K$6:$K$71,1)+1)-INDEX($K$6:$K$71,MATCH(B71,$K$6:$K$71,1))))),INDEX($L$6:$L$71,MATCH(B71,$K$6:$K$71,1))))</f>
        <v/>
      </c>
      <c r="F71" s="116">
        <f>IF(C71="","",$B$6*$B$11/100*D71)</f>
        <v/>
      </c>
      <c r="G71" s="116">
        <f>IF(C71="","",F71*E71)</f>
        <v/>
      </c>
      <c r="H71" s="115">
        <f>IF(C71="","",D71*E71)</f>
        <v/>
      </c>
      <c r="K71" s="47">
        <f>Bootstrap!B72</f>
        <v/>
      </c>
      <c r="L71" s="27">
        <f>Bootstrap!H72</f>
        <v/>
      </c>
    </row>
    <row r="72">
      <c r="A72" s="43">
        <f>ROW()-35</f>
        <v/>
      </c>
      <c r="B72" s="113">
        <f>IF(C72="","",MIN($B$10,IF(MONTH((EDATE($B$8,12*37)+IF(WEEKDAY(EDATE($B$8,12*37),2)=6,2,IF(WEEKDAY(EDATE($B$8,12*37),2)=7,1,0))))&lt;&gt;MONTH(EDATE($B$8,12*37)),(EDATE($B$8,12*37)-IF(WEEKDAY(EDATE($B$8,12*37),2)=6,1,IF(WEEKDAY(EDATE($B$8,12*37),2)=7,2,0))),(EDATE($B$8,12*37)+IF(WEEKDAY(EDATE($B$8,12*37),2)=6,2,IF(WEEKDAY(EDATE($B$8,12*37),2)=7,1,0))))))</f>
        <v/>
      </c>
      <c r="C72" s="113">
        <f>IF(OR(B71="",B71&gt;=$B$10),"",B71)</f>
        <v/>
      </c>
      <c r="D72" s="114">
        <f>IF(C72="","",(B72-C72)/360)</f>
        <v/>
      </c>
      <c r="E72" s="115">
        <f>IF(C72="","",IFERROR(IF(Curve_Interface!$J$7="Piecewise Linear (Simple)",IF(((B72-VAL_DATE)/360)&lt;=0,1,1/(1+(IF(((INDEX($K$6:$K$71,MATCH(B72,$K$6:$K$71,1))-VAL_DATE)/360)&lt;=0,IF(((INDEX($K$6:$K$71,MATCH(B72,$K$6:$K$71,1)+1)-VAL_DATE)/360)&lt;=0,0,(1/INDEX($L$6:$L$71,MATCH(B72,$K$6:$K$71,1)+1)-1)/((INDEX($K$6:$K$71,MATCH(B72,$K$6:$K$71,1)+1)-VAL_DATE)/360)),(1/INDEX($L$6:$L$71,MATCH(B72,$K$6:$K$71,1))-1)/((INDEX($K$6:$K$71,MATCH(B72,$K$6:$K$71,1))-VAL_DATE)/360))+(IF(((INDEX($K$6:$K$71,MATCH(B72,$K$6:$K$71,1)+1)-VAL_DATE)/360)&lt;=0,0,(1/INDEX($L$6:$L$71,MATCH(B72,$K$6:$K$71,1)+1)-1)/((INDEX($K$6:$K$71,MATCH(B72,$K$6:$K$71,1)+1)-VAL_DATE)/360))-IF(((INDEX($K$6:$K$71,MATCH(B72,$K$6:$K$71,1))-VAL_DATE)/360)&lt;=0,IF(((INDEX($K$6:$K$71,MATCH(B72,$K$6:$K$71,1)+1)-VAL_DATE)/360)&lt;=0,0,(1/INDEX($L$6:$L$71,MATCH(B72,$K$6:$K$71,1)+1)-1)/((INDEX($K$6:$K$71,MATCH(B72,$K$6:$K$71,1)+1)-VAL_DATE)/360)),(1/INDEX($L$6:$L$71,MATCH(B72,$K$6:$K$71,1))-1)/((INDEX($K$6:$K$71,MATCH(B72,$K$6:$K$71,1))-VAL_DATE)/360)))*IF(((INDEX($K$6:$K$71,MATCH(B72,$K$6:$K$71,1)+1)-VAL_DATE)/360)-((INDEX($K$6:$K$71,MATCH(B72,$K$6:$K$71,1))-VAL_DATE)/360)=0,0,(((B72-VAL_DATE)/360)-((INDEX($K$6:$K$71,MATCH(B72,$K$6:$K$71,1))-VAL_DATE)/360))/(((INDEX($K$6:$K$71,MATCH(B72,$K$6:$K$71,1)+1)-VAL_DATE)/360)-((INDEX($K$6:$K$71,MATCH(B72,$K$6:$K$71,1))-VAL_DATE)/360))))*((B72-VAL_DATE)/360))),INDEX($L$6:$L$71,MATCH(B72,$K$6:$K$71,1))*(INDEX($L$6:$L$71,MATCH(B72,$K$6:$K$71,1)+1)/INDEX($L$6:$L$71,MATCH(B72,$K$6:$K$71,1)))^((B72-INDEX($K$6:$K$71,MATCH(B72,$K$6:$K$71,1)))/(INDEX($K$6:$K$71,MATCH(B72,$K$6:$K$71,1)+1)-INDEX($K$6:$K$71,MATCH(B72,$K$6:$K$71,1))))),INDEX($L$6:$L$71,MATCH(B72,$K$6:$K$71,1))))</f>
        <v/>
      </c>
      <c r="F72" s="116">
        <f>IF(C72="","",$B$6*$B$11/100*D72)</f>
        <v/>
      </c>
      <c r="G72" s="116">
        <f>IF(C72="","",F72*E72)</f>
        <v/>
      </c>
      <c r="H72" s="115">
        <f>IF(C72="","",D72*E72)</f>
        <v/>
      </c>
    </row>
    <row r="73">
      <c r="A73" s="43">
        <f>ROW()-35</f>
        <v/>
      </c>
      <c r="B73" s="113">
        <f>IF(C73="","",MIN($B$10,IF(MONTH((EDATE($B$8,12*38)+IF(WEEKDAY(EDATE($B$8,12*38),2)=6,2,IF(WEEKDAY(EDATE($B$8,12*38),2)=7,1,0))))&lt;&gt;MONTH(EDATE($B$8,12*38)),(EDATE($B$8,12*38)-IF(WEEKDAY(EDATE($B$8,12*38),2)=6,1,IF(WEEKDAY(EDATE($B$8,12*38),2)=7,2,0))),(EDATE($B$8,12*38)+IF(WEEKDAY(EDATE($B$8,12*38),2)=6,2,IF(WEEKDAY(EDATE($B$8,12*38),2)=7,1,0))))))</f>
        <v/>
      </c>
      <c r="C73" s="113">
        <f>IF(OR(B72="",B72&gt;=$B$10),"",B72)</f>
        <v/>
      </c>
      <c r="D73" s="114">
        <f>IF(C73="","",(B73-C73)/360)</f>
        <v/>
      </c>
      <c r="E73" s="115">
        <f>IF(C73="","",IFERROR(IF(Curve_Interface!$J$7="Piecewise Linear (Simple)",IF(((B73-VAL_DATE)/360)&lt;=0,1,1/(1+(IF(((INDEX($K$6:$K$71,MATCH(B73,$K$6:$K$71,1))-VAL_DATE)/360)&lt;=0,IF(((INDEX($K$6:$K$71,MATCH(B73,$K$6:$K$71,1)+1)-VAL_DATE)/360)&lt;=0,0,(1/INDEX($L$6:$L$71,MATCH(B73,$K$6:$K$71,1)+1)-1)/((INDEX($K$6:$K$71,MATCH(B73,$K$6:$K$71,1)+1)-VAL_DATE)/360)),(1/INDEX($L$6:$L$71,MATCH(B73,$K$6:$K$71,1))-1)/((INDEX($K$6:$K$71,MATCH(B73,$K$6:$K$71,1))-VAL_DATE)/360))+(IF(((INDEX($K$6:$K$71,MATCH(B73,$K$6:$K$71,1)+1)-VAL_DATE)/360)&lt;=0,0,(1/INDEX($L$6:$L$71,MATCH(B73,$K$6:$K$71,1)+1)-1)/((INDEX($K$6:$K$71,MATCH(B73,$K$6:$K$71,1)+1)-VAL_DATE)/360))-IF(((INDEX($K$6:$K$71,MATCH(B73,$K$6:$K$71,1))-VAL_DATE)/360)&lt;=0,IF(((INDEX($K$6:$K$71,MATCH(B73,$K$6:$K$71,1)+1)-VAL_DATE)/360)&lt;=0,0,(1/INDEX($L$6:$L$71,MATCH(B73,$K$6:$K$71,1)+1)-1)/((INDEX($K$6:$K$71,MATCH(B73,$K$6:$K$71,1)+1)-VAL_DATE)/360)),(1/INDEX($L$6:$L$71,MATCH(B73,$K$6:$K$71,1))-1)/((INDEX($K$6:$K$71,MATCH(B73,$K$6:$K$71,1))-VAL_DATE)/360)))*IF(((INDEX($K$6:$K$71,MATCH(B73,$K$6:$K$71,1)+1)-VAL_DATE)/360)-((INDEX($K$6:$K$71,MATCH(B73,$K$6:$K$71,1))-VAL_DATE)/360)=0,0,(((B73-VAL_DATE)/360)-((INDEX($K$6:$K$71,MATCH(B73,$K$6:$K$71,1))-VAL_DATE)/360))/(((INDEX($K$6:$K$71,MATCH(B73,$K$6:$K$71,1)+1)-VAL_DATE)/360)-((INDEX($K$6:$K$71,MATCH(B73,$K$6:$K$71,1))-VAL_DATE)/360))))*((B73-VAL_DATE)/360))),INDEX($L$6:$L$71,MATCH(B73,$K$6:$K$71,1))*(INDEX($L$6:$L$71,MATCH(B73,$K$6:$K$71,1)+1)/INDEX($L$6:$L$71,MATCH(B73,$K$6:$K$71,1)))^((B73-INDEX($K$6:$K$71,MATCH(B73,$K$6:$K$71,1)))/(INDEX($K$6:$K$71,MATCH(B73,$K$6:$K$71,1)+1)-INDEX($K$6:$K$71,MATCH(B73,$K$6:$K$71,1))))),INDEX($L$6:$L$71,MATCH(B73,$K$6:$K$71,1))))</f>
        <v/>
      </c>
      <c r="F73" s="116">
        <f>IF(C73="","",$B$6*$B$11/100*D73)</f>
        <v/>
      </c>
      <c r="G73" s="116">
        <f>IF(C73="","",F73*E73)</f>
        <v/>
      </c>
      <c r="H73" s="115">
        <f>IF(C73="","",D73*E73)</f>
        <v/>
      </c>
    </row>
    <row r="74">
      <c r="A74" s="43">
        <f>ROW()-35</f>
        <v/>
      </c>
      <c r="B74" s="113">
        <f>IF(C74="","",MIN($B$10,IF(MONTH((EDATE($B$8,12*39)+IF(WEEKDAY(EDATE($B$8,12*39),2)=6,2,IF(WEEKDAY(EDATE($B$8,12*39),2)=7,1,0))))&lt;&gt;MONTH(EDATE($B$8,12*39)),(EDATE($B$8,12*39)-IF(WEEKDAY(EDATE($B$8,12*39),2)=6,1,IF(WEEKDAY(EDATE($B$8,12*39),2)=7,2,0))),(EDATE($B$8,12*39)+IF(WEEKDAY(EDATE($B$8,12*39),2)=6,2,IF(WEEKDAY(EDATE($B$8,12*39),2)=7,1,0))))))</f>
        <v/>
      </c>
      <c r="C74" s="113">
        <f>IF(OR(B73="",B73&gt;=$B$10),"",B73)</f>
        <v/>
      </c>
      <c r="D74" s="114">
        <f>IF(C74="","",(B74-C74)/360)</f>
        <v/>
      </c>
      <c r="E74" s="115">
        <f>IF(C74="","",IFERROR(IF(Curve_Interface!$J$7="Piecewise Linear (Simple)",IF(((B74-VAL_DATE)/360)&lt;=0,1,1/(1+(IF(((INDEX($K$6:$K$71,MATCH(B74,$K$6:$K$71,1))-VAL_DATE)/360)&lt;=0,IF(((INDEX($K$6:$K$71,MATCH(B74,$K$6:$K$71,1)+1)-VAL_DATE)/360)&lt;=0,0,(1/INDEX($L$6:$L$71,MATCH(B74,$K$6:$K$71,1)+1)-1)/((INDEX($K$6:$K$71,MATCH(B74,$K$6:$K$71,1)+1)-VAL_DATE)/360)),(1/INDEX($L$6:$L$71,MATCH(B74,$K$6:$K$71,1))-1)/((INDEX($K$6:$K$71,MATCH(B74,$K$6:$K$71,1))-VAL_DATE)/360))+(IF(((INDEX($K$6:$K$71,MATCH(B74,$K$6:$K$71,1)+1)-VAL_DATE)/360)&lt;=0,0,(1/INDEX($L$6:$L$71,MATCH(B74,$K$6:$K$71,1)+1)-1)/((INDEX($K$6:$K$71,MATCH(B74,$K$6:$K$71,1)+1)-VAL_DATE)/360))-IF(((INDEX($K$6:$K$71,MATCH(B74,$K$6:$K$71,1))-VAL_DATE)/360)&lt;=0,IF(((INDEX($K$6:$K$71,MATCH(B74,$K$6:$K$71,1)+1)-VAL_DATE)/360)&lt;=0,0,(1/INDEX($L$6:$L$71,MATCH(B74,$K$6:$K$71,1)+1)-1)/((INDEX($K$6:$K$71,MATCH(B74,$K$6:$K$71,1)+1)-VAL_DATE)/360)),(1/INDEX($L$6:$L$71,MATCH(B74,$K$6:$K$71,1))-1)/((INDEX($K$6:$K$71,MATCH(B74,$K$6:$K$71,1))-VAL_DATE)/360)))*IF(((INDEX($K$6:$K$71,MATCH(B74,$K$6:$K$71,1)+1)-VAL_DATE)/360)-((INDEX($K$6:$K$71,MATCH(B74,$K$6:$K$71,1))-VAL_DATE)/360)=0,0,(((B74-VAL_DATE)/360)-((INDEX($K$6:$K$71,MATCH(B74,$K$6:$K$71,1))-VAL_DATE)/360))/(((INDEX($K$6:$K$71,MATCH(B74,$K$6:$K$71,1)+1)-VAL_DATE)/360)-((INDEX($K$6:$K$71,MATCH(B74,$K$6:$K$71,1))-VAL_DATE)/360))))*((B74-VAL_DATE)/360))),INDEX($L$6:$L$71,MATCH(B74,$K$6:$K$71,1))*(INDEX($L$6:$L$71,MATCH(B74,$K$6:$K$71,1)+1)/INDEX($L$6:$L$71,MATCH(B74,$K$6:$K$71,1)))^((B74-INDEX($K$6:$K$71,MATCH(B74,$K$6:$K$71,1)))/(INDEX($K$6:$K$71,MATCH(B74,$K$6:$K$71,1)+1)-INDEX($K$6:$K$71,MATCH(B74,$K$6:$K$71,1))))),INDEX($L$6:$L$71,MATCH(B74,$K$6:$K$71,1))))</f>
        <v/>
      </c>
      <c r="F74" s="116">
        <f>IF(C74="","",$B$6*$B$11/100*D74)</f>
        <v/>
      </c>
      <c r="G74" s="116">
        <f>IF(C74="","",F74*E74)</f>
        <v/>
      </c>
      <c r="H74" s="115">
        <f>IF(C74="","",D74*E74)</f>
        <v/>
      </c>
    </row>
    <row r="75">
      <c r="A75" s="43">
        <f>ROW()-35</f>
        <v/>
      </c>
      <c r="B75" s="113">
        <f>IF(C75="","",MIN($B$10,IF(MONTH((EDATE($B$8,12*40)+IF(WEEKDAY(EDATE($B$8,12*40),2)=6,2,IF(WEEKDAY(EDATE($B$8,12*40),2)=7,1,0))))&lt;&gt;MONTH(EDATE($B$8,12*40)),(EDATE($B$8,12*40)-IF(WEEKDAY(EDATE($B$8,12*40),2)=6,1,IF(WEEKDAY(EDATE($B$8,12*40),2)=7,2,0))),(EDATE($B$8,12*40)+IF(WEEKDAY(EDATE($B$8,12*40),2)=6,2,IF(WEEKDAY(EDATE($B$8,12*40),2)=7,1,0))))))</f>
        <v/>
      </c>
      <c r="C75" s="113">
        <f>IF(OR(B74="",B74&gt;=$B$10),"",B74)</f>
        <v/>
      </c>
      <c r="D75" s="114">
        <f>IF(C75="","",(B75-C75)/360)</f>
        <v/>
      </c>
      <c r="E75" s="115">
        <f>IF(C75="","",IFERROR(IF(Curve_Interface!$J$7="Piecewise Linear (Simple)",IF(((B75-VAL_DATE)/360)&lt;=0,1,1/(1+(IF(((INDEX($K$6:$K$71,MATCH(B75,$K$6:$K$71,1))-VAL_DATE)/360)&lt;=0,IF(((INDEX($K$6:$K$71,MATCH(B75,$K$6:$K$71,1)+1)-VAL_DATE)/360)&lt;=0,0,(1/INDEX($L$6:$L$71,MATCH(B75,$K$6:$K$71,1)+1)-1)/((INDEX($K$6:$K$71,MATCH(B75,$K$6:$K$71,1)+1)-VAL_DATE)/360)),(1/INDEX($L$6:$L$71,MATCH(B75,$K$6:$K$71,1))-1)/((INDEX($K$6:$K$71,MATCH(B75,$K$6:$K$71,1))-VAL_DATE)/360))+(IF(((INDEX($K$6:$K$71,MATCH(B75,$K$6:$K$71,1)+1)-VAL_DATE)/360)&lt;=0,0,(1/INDEX($L$6:$L$71,MATCH(B75,$K$6:$K$71,1)+1)-1)/((INDEX($K$6:$K$71,MATCH(B75,$K$6:$K$71,1)+1)-VAL_DATE)/360))-IF(((INDEX($K$6:$K$71,MATCH(B75,$K$6:$K$71,1))-VAL_DATE)/360)&lt;=0,IF(((INDEX($K$6:$K$71,MATCH(B75,$K$6:$K$71,1)+1)-VAL_DATE)/360)&lt;=0,0,(1/INDEX($L$6:$L$71,MATCH(B75,$K$6:$K$71,1)+1)-1)/((INDEX($K$6:$K$71,MATCH(B75,$K$6:$K$71,1)+1)-VAL_DATE)/360)),(1/INDEX($L$6:$L$71,MATCH(B75,$K$6:$K$71,1))-1)/((INDEX($K$6:$K$71,MATCH(B75,$K$6:$K$71,1))-VAL_DATE)/360)))*IF(((INDEX($K$6:$K$71,MATCH(B75,$K$6:$K$71,1)+1)-VAL_DATE)/360)-((INDEX($K$6:$K$71,MATCH(B75,$K$6:$K$71,1))-VAL_DATE)/360)=0,0,(((B75-VAL_DATE)/360)-((INDEX($K$6:$K$71,MATCH(B75,$K$6:$K$71,1))-VAL_DATE)/360))/(((INDEX($K$6:$K$71,MATCH(B75,$K$6:$K$71,1)+1)-VAL_DATE)/360)-((INDEX($K$6:$K$71,MATCH(B75,$K$6:$K$71,1))-VAL_DATE)/360))))*((B75-VAL_DATE)/360))),INDEX($L$6:$L$71,MATCH(B75,$K$6:$K$71,1))*(INDEX($L$6:$L$71,MATCH(B75,$K$6:$K$71,1)+1)/INDEX($L$6:$L$71,MATCH(B75,$K$6:$K$71,1)))^((B75-INDEX($K$6:$K$71,MATCH(B75,$K$6:$K$71,1)))/(INDEX($K$6:$K$71,MATCH(B75,$K$6:$K$71,1)+1)-INDEX($K$6:$K$71,MATCH(B75,$K$6:$K$71,1))))),INDEX($L$6:$L$71,MATCH(B75,$K$6:$K$71,1))))</f>
        <v/>
      </c>
      <c r="F75" s="116">
        <f>IF(C75="","",$B$6*$B$11/100*D75)</f>
        <v/>
      </c>
      <c r="G75" s="116">
        <f>IF(C75="","",F75*E75)</f>
        <v/>
      </c>
      <c r="H75" s="115">
        <f>IF(C75="","",D75*E75)</f>
        <v/>
      </c>
    </row>
    <row r="76">
      <c r="A76" s="43">
        <f>ROW()-35</f>
        <v/>
      </c>
      <c r="B76" s="113">
        <f>IF(C76="","",MIN($B$10,IF(MONTH((EDATE($B$8,12*41)+IF(WEEKDAY(EDATE($B$8,12*41),2)=6,2,IF(WEEKDAY(EDATE($B$8,12*41),2)=7,1,0))))&lt;&gt;MONTH(EDATE($B$8,12*41)),(EDATE($B$8,12*41)-IF(WEEKDAY(EDATE($B$8,12*41),2)=6,1,IF(WEEKDAY(EDATE($B$8,12*41),2)=7,2,0))),(EDATE($B$8,12*41)+IF(WEEKDAY(EDATE($B$8,12*41),2)=6,2,IF(WEEKDAY(EDATE($B$8,12*41),2)=7,1,0))))))</f>
        <v/>
      </c>
      <c r="C76" s="113">
        <f>IF(OR(B75="",B75&gt;=$B$10),"",B75)</f>
        <v/>
      </c>
      <c r="D76" s="114">
        <f>IF(C76="","",(B76-C76)/360)</f>
        <v/>
      </c>
      <c r="E76" s="115">
        <f>IF(C76="","",IFERROR(IF(Curve_Interface!$J$7="Piecewise Linear (Simple)",IF(((B76-VAL_DATE)/360)&lt;=0,1,1/(1+(IF(((INDEX($K$6:$K$71,MATCH(B76,$K$6:$K$71,1))-VAL_DATE)/360)&lt;=0,IF(((INDEX($K$6:$K$71,MATCH(B76,$K$6:$K$71,1)+1)-VAL_DATE)/360)&lt;=0,0,(1/INDEX($L$6:$L$71,MATCH(B76,$K$6:$K$71,1)+1)-1)/((INDEX($K$6:$K$71,MATCH(B76,$K$6:$K$71,1)+1)-VAL_DATE)/360)),(1/INDEX($L$6:$L$71,MATCH(B76,$K$6:$K$71,1))-1)/((INDEX($K$6:$K$71,MATCH(B76,$K$6:$K$71,1))-VAL_DATE)/360))+(IF(((INDEX($K$6:$K$71,MATCH(B76,$K$6:$K$71,1)+1)-VAL_DATE)/360)&lt;=0,0,(1/INDEX($L$6:$L$71,MATCH(B76,$K$6:$K$71,1)+1)-1)/((INDEX($K$6:$K$71,MATCH(B76,$K$6:$K$71,1)+1)-VAL_DATE)/360))-IF(((INDEX($K$6:$K$71,MATCH(B76,$K$6:$K$71,1))-VAL_DATE)/360)&lt;=0,IF(((INDEX($K$6:$K$71,MATCH(B76,$K$6:$K$71,1)+1)-VAL_DATE)/360)&lt;=0,0,(1/INDEX($L$6:$L$71,MATCH(B76,$K$6:$K$71,1)+1)-1)/((INDEX($K$6:$K$71,MATCH(B76,$K$6:$K$71,1)+1)-VAL_DATE)/360)),(1/INDEX($L$6:$L$71,MATCH(B76,$K$6:$K$71,1))-1)/((INDEX($K$6:$K$71,MATCH(B76,$K$6:$K$71,1))-VAL_DATE)/360)))*IF(((INDEX($K$6:$K$71,MATCH(B76,$K$6:$K$71,1)+1)-VAL_DATE)/360)-((INDEX($K$6:$K$71,MATCH(B76,$K$6:$K$71,1))-VAL_DATE)/360)=0,0,(((B76-VAL_DATE)/360)-((INDEX($K$6:$K$71,MATCH(B76,$K$6:$K$71,1))-VAL_DATE)/360))/(((INDEX($K$6:$K$71,MATCH(B76,$K$6:$K$71,1)+1)-VAL_DATE)/360)-((INDEX($K$6:$K$71,MATCH(B76,$K$6:$K$71,1))-VAL_DATE)/360))))*((B76-VAL_DATE)/360))),INDEX($L$6:$L$71,MATCH(B76,$K$6:$K$71,1))*(INDEX($L$6:$L$71,MATCH(B76,$K$6:$K$71,1)+1)/INDEX($L$6:$L$71,MATCH(B76,$K$6:$K$71,1)))^((B76-INDEX($K$6:$K$71,MATCH(B76,$K$6:$K$71,1)))/(INDEX($K$6:$K$71,MATCH(B76,$K$6:$K$71,1)+1)-INDEX($K$6:$K$71,MATCH(B76,$K$6:$K$71,1))))),INDEX($L$6:$L$71,MATCH(B76,$K$6:$K$71,1))))</f>
        <v/>
      </c>
      <c r="F76" s="116">
        <f>IF(C76="","",$B$6*$B$11/100*D76)</f>
        <v/>
      </c>
      <c r="G76" s="116">
        <f>IF(C76="","",F76*E76)</f>
        <v/>
      </c>
      <c r="H76" s="115">
        <f>IF(C76="","",D76*E76)</f>
        <v/>
      </c>
    </row>
    <row r="77">
      <c r="A77" s="43">
        <f>ROW()-35</f>
        <v/>
      </c>
      <c r="B77" s="113">
        <f>IF(C77="","",MIN($B$10,IF(MONTH((EDATE($B$8,12*42)+IF(WEEKDAY(EDATE($B$8,12*42),2)=6,2,IF(WEEKDAY(EDATE($B$8,12*42),2)=7,1,0))))&lt;&gt;MONTH(EDATE($B$8,12*42)),(EDATE($B$8,12*42)-IF(WEEKDAY(EDATE($B$8,12*42),2)=6,1,IF(WEEKDAY(EDATE($B$8,12*42),2)=7,2,0))),(EDATE($B$8,12*42)+IF(WEEKDAY(EDATE($B$8,12*42),2)=6,2,IF(WEEKDAY(EDATE($B$8,12*42),2)=7,1,0))))))</f>
        <v/>
      </c>
      <c r="C77" s="113">
        <f>IF(OR(B76="",B76&gt;=$B$10),"",B76)</f>
        <v/>
      </c>
      <c r="D77" s="114">
        <f>IF(C77="","",(B77-C77)/360)</f>
        <v/>
      </c>
      <c r="E77" s="115">
        <f>IF(C77="","",IFERROR(IF(Curve_Interface!$J$7="Piecewise Linear (Simple)",IF(((B77-VAL_DATE)/360)&lt;=0,1,1/(1+(IF(((INDEX($K$6:$K$71,MATCH(B77,$K$6:$K$71,1))-VAL_DATE)/360)&lt;=0,IF(((INDEX($K$6:$K$71,MATCH(B77,$K$6:$K$71,1)+1)-VAL_DATE)/360)&lt;=0,0,(1/INDEX($L$6:$L$71,MATCH(B77,$K$6:$K$71,1)+1)-1)/((INDEX($K$6:$K$71,MATCH(B77,$K$6:$K$71,1)+1)-VAL_DATE)/360)),(1/INDEX($L$6:$L$71,MATCH(B77,$K$6:$K$71,1))-1)/((INDEX($K$6:$K$71,MATCH(B77,$K$6:$K$71,1))-VAL_DATE)/360))+(IF(((INDEX($K$6:$K$71,MATCH(B77,$K$6:$K$71,1)+1)-VAL_DATE)/360)&lt;=0,0,(1/INDEX($L$6:$L$71,MATCH(B77,$K$6:$K$71,1)+1)-1)/((INDEX($K$6:$K$71,MATCH(B77,$K$6:$K$71,1)+1)-VAL_DATE)/360))-IF(((INDEX($K$6:$K$71,MATCH(B77,$K$6:$K$71,1))-VAL_DATE)/360)&lt;=0,IF(((INDEX($K$6:$K$71,MATCH(B77,$K$6:$K$71,1)+1)-VAL_DATE)/360)&lt;=0,0,(1/INDEX($L$6:$L$71,MATCH(B77,$K$6:$K$71,1)+1)-1)/((INDEX($K$6:$K$71,MATCH(B77,$K$6:$K$71,1)+1)-VAL_DATE)/360)),(1/INDEX($L$6:$L$71,MATCH(B77,$K$6:$K$71,1))-1)/((INDEX($K$6:$K$71,MATCH(B77,$K$6:$K$71,1))-VAL_DATE)/360)))*IF(((INDEX($K$6:$K$71,MATCH(B77,$K$6:$K$71,1)+1)-VAL_DATE)/360)-((INDEX($K$6:$K$71,MATCH(B77,$K$6:$K$71,1))-VAL_DATE)/360)=0,0,(((B77-VAL_DATE)/360)-((INDEX($K$6:$K$71,MATCH(B77,$K$6:$K$71,1))-VAL_DATE)/360))/(((INDEX($K$6:$K$71,MATCH(B77,$K$6:$K$71,1)+1)-VAL_DATE)/360)-((INDEX($K$6:$K$71,MATCH(B77,$K$6:$K$71,1))-VAL_DATE)/360))))*((B77-VAL_DATE)/360))),INDEX($L$6:$L$71,MATCH(B77,$K$6:$K$71,1))*(INDEX($L$6:$L$71,MATCH(B77,$K$6:$K$71,1)+1)/INDEX($L$6:$L$71,MATCH(B77,$K$6:$K$71,1)))^((B77-INDEX($K$6:$K$71,MATCH(B77,$K$6:$K$71,1)))/(INDEX($K$6:$K$71,MATCH(B77,$K$6:$K$71,1)+1)-INDEX($K$6:$K$71,MATCH(B77,$K$6:$K$71,1))))),INDEX($L$6:$L$71,MATCH(B77,$K$6:$K$71,1))))</f>
        <v/>
      </c>
      <c r="F77" s="116">
        <f>IF(C77="","",$B$6*$B$11/100*D77)</f>
        <v/>
      </c>
      <c r="G77" s="116">
        <f>IF(C77="","",F77*E77)</f>
        <v/>
      </c>
      <c r="H77" s="115">
        <f>IF(C77="","",D77*E77)</f>
        <v/>
      </c>
    </row>
    <row r="78">
      <c r="A78" s="43">
        <f>ROW()-35</f>
        <v/>
      </c>
      <c r="B78" s="113">
        <f>IF(C78="","",MIN($B$10,IF(MONTH((EDATE($B$8,12*43)+IF(WEEKDAY(EDATE($B$8,12*43),2)=6,2,IF(WEEKDAY(EDATE($B$8,12*43),2)=7,1,0))))&lt;&gt;MONTH(EDATE($B$8,12*43)),(EDATE($B$8,12*43)-IF(WEEKDAY(EDATE($B$8,12*43),2)=6,1,IF(WEEKDAY(EDATE($B$8,12*43),2)=7,2,0))),(EDATE($B$8,12*43)+IF(WEEKDAY(EDATE($B$8,12*43),2)=6,2,IF(WEEKDAY(EDATE($B$8,12*43),2)=7,1,0))))))</f>
        <v/>
      </c>
      <c r="C78" s="113">
        <f>IF(OR(B77="",B77&gt;=$B$10),"",B77)</f>
        <v/>
      </c>
      <c r="D78" s="114">
        <f>IF(C78="","",(B78-C78)/360)</f>
        <v/>
      </c>
      <c r="E78" s="115">
        <f>IF(C78="","",IFERROR(IF(Curve_Interface!$J$7="Piecewise Linear (Simple)",IF(((B78-VAL_DATE)/360)&lt;=0,1,1/(1+(IF(((INDEX($K$6:$K$71,MATCH(B78,$K$6:$K$71,1))-VAL_DATE)/360)&lt;=0,IF(((INDEX($K$6:$K$71,MATCH(B78,$K$6:$K$71,1)+1)-VAL_DATE)/360)&lt;=0,0,(1/INDEX($L$6:$L$71,MATCH(B78,$K$6:$K$71,1)+1)-1)/((INDEX($K$6:$K$71,MATCH(B78,$K$6:$K$71,1)+1)-VAL_DATE)/360)),(1/INDEX($L$6:$L$71,MATCH(B78,$K$6:$K$71,1))-1)/((INDEX($K$6:$K$71,MATCH(B78,$K$6:$K$71,1))-VAL_DATE)/360))+(IF(((INDEX($K$6:$K$71,MATCH(B78,$K$6:$K$71,1)+1)-VAL_DATE)/360)&lt;=0,0,(1/INDEX($L$6:$L$71,MATCH(B78,$K$6:$K$71,1)+1)-1)/((INDEX($K$6:$K$71,MATCH(B78,$K$6:$K$71,1)+1)-VAL_DATE)/360))-IF(((INDEX($K$6:$K$71,MATCH(B78,$K$6:$K$71,1))-VAL_DATE)/360)&lt;=0,IF(((INDEX($K$6:$K$71,MATCH(B78,$K$6:$K$71,1)+1)-VAL_DATE)/360)&lt;=0,0,(1/INDEX($L$6:$L$71,MATCH(B78,$K$6:$K$71,1)+1)-1)/((INDEX($K$6:$K$71,MATCH(B78,$K$6:$K$71,1)+1)-VAL_DATE)/360)),(1/INDEX($L$6:$L$71,MATCH(B78,$K$6:$K$71,1))-1)/((INDEX($K$6:$K$71,MATCH(B78,$K$6:$K$71,1))-VAL_DATE)/360)))*IF(((INDEX($K$6:$K$71,MATCH(B78,$K$6:$K$71,1)+1)-VAL_DATE)/360)-((INDEX($K$6:$K$71,MATCH(B78,$K$6:$K$71,1))-VAL_DATE)/360)=0,0,(((B78-VAL_DATE)/360)-((INDEX($K$6:$K$71,MATCH(B78,$K$6:$K$71,1))-VAL_DATE)/360))/(((INDEX($K$6:$K$71,MATCH(B78,$K$6:$K$71,1)+1)-VAL_DATE)/360)-((INDEX($K$6:$K$71,MATCH(B78,$K$6:$K$71,1))-VAL_DATE)/360))))*((B78-VAL_DATE)/360))),INDEX($L$6:$L$71,MATCH(B78,$K$6:$K$71,1))*(INDEX($L$6:$L$71,MATCH(B78,$K$6:$K$71,1)+1)/INDEX($L$6:$L$71,MATCH(B78,$K$6:$K$71,1)))^((B78-INDEX($K$6:$K$71,MATCH(B78,$K$6:$K$71,1)))/(INDEX($K$6:$K$71,MATCH(B78,$K$6:$K$71,1)+1)-INDEX($K$6:$K$71,MATCH(B78,$K$6:$K$71,1))))),INDEX($L$6:$L$71,MATCH(B78,$K$6:$K$71,1))))</f>
        <v/>
      </c>
      <c r="F78" s="116">
        <f>IF(C78="","",$B$6*$B$11/100*D78)</f>
        <v/>
      </c>
      <c r="G78" s="116">
        <f>IF(C78="","",F78*E78)</f>
        <v/>
      </c>
      <c r="H78" s="115">
        <f>IF(C78="","",D78*E78)</f>
        <v/>
      </c>
    </row>
    <row r="79">
      <c r="A79" s="43">
        <f>ROW()-35</f>
        <v/>
      </c>
      <c r="B79" s="113">
        <f>IF(C79="","",MIN($B$10,IF(MONTH((EDATE($B$8,12*44)+IF(WEEKDAY(EDATE($B$8,12*44),2)=6,2,IF(WEEKDAY(EDATE($B$8,12*44),2)=7,1,0))))&lt;&gt;MONTH(EDATE($B$8,12*44)),(EDATE($B$8,12*44)-IF(WEEKDAY(EDATE($B$8,12*44),2)=6,1,IF(WEEKDAY(EDATE($B$8,12*44),2)=7,2,0))),(EDATE($B$8,12*44)+IF(WEEKDAY(EDATE($B$8,12*44),2)=6,2,IF(WEEKDAY(EDATE($B$8,12*44),2)=7,1,0))))))</f>
        <v/>
      </c>
      <c r="C79" s="113">
        <f>IF(OR(B78="",B78&gt;=$B$10),"",B78)</f>
        <v/>
      </c>
      <c r="D79" s="114">
        <f>IF(C79="","",(B79-C79)/360)</f>
        <v/>
      </c>
      <c r="E79" s="115">
        <f>IF(C79="","",IFERROR(IF(Curve_Interface!$J$7="Piecewise Linear (Simple)",IF(((B79-VAL_DATE)/360)&lt;=0,1,1/(1+(IF(((INDEX($K$6:$K$71,MATCH(B79,$K$6:$K$71,1))-VAL_DATE)/360)&lt;=0,IF(((INDEX($K$6:$K$71,MATCH(B79,$K$6:$K$71,1)+1)-VAL_DATE)/360)&lt;=0,0,(1/INDEX($L$6:$L$71,MATCH(B79,$K$6:$K$71,1)+1)-1)/((INDEX($K$6:$K$71,MATCH(B79,$K$6:$K$71,1)+1)-VAL_DATE)/360)),(1/INDEX($L$6:$L$71,MATCH(B79,$K$6:$K$71,1))-1)/((INDEX($K$6:$K$71,MATCH(B79,$K$6:$K$71,1))-VAL_DATE)/360))+(IF(((INDEX($K$6:$K$71,MATCH(B79,$K$6:$K$71,1)+1)-VAL_DATE)/360)&lt;=0,0,(1/INDEX($L$6:$L$71,MATCH(B79,$K$6:$K$71,1)+1)-1)/((INDEX($K$6:$K$71,MATCH(B79,$K$6:$K$71,1)+1)-VAL_DATE)/360))-IF(((INDEX($K$6:$K$71,MATCH(B79,$K$6:$K$71,1))-VAL_DATE)/360)&lt;=0,IF(((INDEX($K$6:$K$71,MATCH(B79,$K$6:$K$71,1)+1)-VAL_DATE)/360)&lt;=0,0,(1/INDEX($L$6:$L$71,MATCH(B79,$K$6:$K$71,1)+1)-1)/((INDEX($K$6:$K$71,MATCH(B79,$K$6:$K$71,1)+1)-VAL_DATE)/360)),(1/INDEX($L$6:$L$71,MATCH(B79,$K$6:$K$71,1))-1)/((INDEX($K$6:$K$71,MATCH(B79,$K$6:$K$71,1))-VAL_DATE)/360)))*IF(((INDEX($K$6:$K$71,MATCH(B79,$K$6:$K$71,1)+1)-VAL_DATE)/360)-((INDEX($K$6:$K$71,MATCH(B79,$K$6:$K$71,1))-VAL_DATE)/360)=0,0,(((B79-VAL_DATE)/360)-((INDEX($K$6:$K$71,MATCH(B79,$K$6:$K$71,1))-VAL_DATE)/360))/(((INDEX($K$6:$K$71,MATCH(B79,$K$6:$K$71,1)+1)-VAL_DATE)/360)-((INDEX($K$6:$K$71,MATCH(B79,$K$6:$K$71,1))-VAL_DATE)/360))))*((B79-VAL_DATE)/360))),INDEX($L$6:$L$71,MATCH(B79,$K$6:$K$71,1))*(INDEX($L$6:$L$71,MATCH(B79,$K$6:$K$71,1)+1)/INDEX($L$6:$L$71,MATCH(B79,$K$6:$K$71,1)))^((B79-INDEX($K$6:$K$71,MATCH(B79,$K$6:$K$71,1)))/(INDEX($K$6:$K$71,MATCH(B79,$K$6:$K$71,1)+1)-INDEX($K$6:$K$71,MATCH(B79,$K$6:$K$71,1))))),INDEX($L$6:$L$71,MATCH(B79,$K$6:$K$71,1))))</f>
        <v/>
      </c>
      <c r="F79" s="116">
        <f>IF(C79="","",$B$6*$B$11/100*D79)</f>
        <v/>
      </c>
      <c r="G79" s="116">
        <f>IF(C79="","",F79*E79)</f>
        <v/>
      </c>
      <c r="H79" s="115">
        <f>IF(C79="","",D79*E79)</f>
        <v/>
      </c>
    </row>
    <row r="80">
      <c r="A80" s="43">
        <f>ROW()-35</f>
        <v/>
      </c>
      <c r="B80" s="113">
        <f>IF(C80="","",MIN($B$10,IF(MONTH((EDATE($B$8,12*45)+IF(WEEKDAY(EDATE($B$8,12*45),2)=6,2,IF(WEEKDAY(EDATE($B$8,12*45),2)=7,1,0))))&lt;&gt;MONTH(EDATE($B$8,12*45)),(EDATE($B$8,12*45)-IF(WEEKDAY(EDATE($B$8,12*45),2)=6,1,IF(WEEKDAY(EDATE($B$8,12*45),2)=7,2,0))),(EDATE($B$8,12*45)+IF(WEEKDAY(EDATE($B$8,12*45),2)=6,2,IF(WEEKDAY(EDATE($B$8,12*45),2)=7,1,0))))))</f>
        <v/>
      </c>
      <c r="C80" s="113">
        <f>IF(OR(B79="",B79&gt;=$B$10),"",B79)</f>
        <v/>
      </c>
      <c r="D80" s="114">
        <f>IF(C80="","",(B80-C80)/360)</f>
        <v/>
      </c>
      <c r="E80" s="115">
        <f>IF(C80="","",IFERROR(IF(Curve_Interface!$J$7="Piecewise Linear (Simple)",IF(((B80-VAL_DATE)/360)&lt;=0,1,1/(1+(IF(((INDEX($K$6:$K$71,MATCH(B80,$K$6:$K$71,1))-VAL_DATE)/360)&lt;=0,IF(((INDEX($K$6:$K$71,MATCH(B80,$K$6:$K$71,1)+1)-VAL_DATE)/360)&lt;=0,0,(1/INDEX($L$6:$L$71,MATCH(B80,$K$6:$K$71,1)+1)-1)/((INDEX($K$6:$K$71,MATCH(B80,$K$6:$K$71,1)+1)-VAL_DATE)/360)),(1/INDEX($L$6:$L$71,MATCH(B80,$K$6:$K$71,1))-1)/((INDEX($K$6:$K$71,MATCH(B80,$K$6:$K$71,1))-VAL_DATE)/360))+(IF(((INDEX($K$6:$K$71,MATCH(B80,$K$6:$K$71,1)+1)-VAL_DATE)/360)&lt;=0,0,(1/INDEX($L$6:$L$71,MATCH(B80,$K$6:$K$71,1)+1)-1)/((INDEX($K$6:$K$71,MATCH(B80,$K$6:$K$71,1)+1)-VAL_DATE)/360))-IF(((INDEX($K$6:$K$71,MATCH(B80,$K$6:$K$71,1))-VAL_DATE)/360)&lt;=0,IF(((INDEX($K$6:$K$71,MATCH(B80,$K$6:$K$71,1)+1)-VAL_DATE)/360)&lt;=0,0,(1/INDEX($L$6:$L$71,MATCH(B80,$K$6:$K$71,1)+1)-1)/((INDEX($K$6:$K$71,MATCH(B80,$K$6:$K$71,1)+1)-VAL_DATE)/360)),(1/INDEX($L$6:$L$71,MATCH(B80,$K$6:$K$71,1))-1)/((INDEX($K$6:$K$71,MATCH(B80,$K$6:$K$71,1))-VAL_DATE)/360)))*IF(((INDEX($K$6:$K$71,MATCH(B80,$K$6:$K$71,1)+1)-VAL_DATE)/360)-((INDEX($K$6:$K$71,MATCH(B80,$K$6:$K$71,1))-VAL_DATE)/360)=0,0,(((B80-VAL_DATE)/360)-((INDEX($K$6:$K$71,MATCH(B80,$K$6:$K$71,1))-VAL_DATE)/360))/(((INDEX($K$6:$K$71,MATCH(B80,$K$6:$K$71,1)+1)-VAL_DATE)/360)-((INDEX($K$6:$K$71,MATCH(B80,$K$6:$K$71,1))-VAL_DATE)/360))))*((B80-VAL_DATE)/360))),INDEX($L$6:$L$71,MATCH(B80,$K$6:$K$71,1))*(INDEX($L$6:$L$71,MATCH(B80,$K$6:$K$71,1)+1)/INDEX($L$6:$L$71,MATCH(B80,$K$6:$K$71,1)))^((B80-INDEX($K$6:$K$71,MATCH(B80,$K$6:$K$71,1)))/(INDEX($K$6:$K$71,MATCH(B80,$K$6:$K$71,1)+1)-INDEX($K$6:$K$71,MATCH(B80,$K$6:$K$71,1))))),INDEX($L$6:$L$71,MATCH(B80,$K$6:$K$71,1))))</f>
        <v/>
      </c>
      <c r="F80" s="116">
        <f>IF(C80="","",$B$6*$B$11/100*D80)</f>
        <v/>
      </c>
      <c r="G80" s="116">
        <f>IF(C80="","",F80*E80)</f>
        <v/>
      </c>
      <c r="H80" s="115">
        <f>IF(C80="","",D80*E80)</f>
        <v/>
      </c>
    </row>
    <row r="81">
      <c r="A81" s="43">
        <f>ROW()-35</f>
        <v/>
      </c>
      <c r="B81" s="113">
        <f>IF(C81="","",MIN($B$10,IF(MONTH((EDATE($B$8,12*46)+IF(WEEKDAY(EDATE($B$8,12*46),2)=6,2,IF(WEEKDAY(EDATE($B$8,12*46),2)=7,1,0))))&lt;&gt;MONTH(EDATE($B$8,12*46)),(EDATE($B$8,12*46)-IF(WEEKDAY(EDATE($B$8,12*46),2)=6,1,IF(WEEKDAY(EDATE($B$8,12*46),2)=7,2,0))),(EDATE($B$8,12*46)+IF(WEEKDAY(EDATE($B$8,12*46),2)=6,2,IF(WEEKDAY(EDATE($B$8,12*46),2)=7,1,0))))))</f>
        <v/>
      </c>
      <c r="C81" s="113">
        <f>IF(OR(B80="",B80&gt;=$B$10),"",B80)</f>
        <v/>
      </c>
      <c r="D81" s="114">
        <f>IF(C81="","",(B81-C81)/360)</f>
        <v/>
      </c>
      <c r="E81" s="115">
        <f>IF(C81="","",IFERROR(IF(Curve_Interface!$J$7="Piecewise Linear (Simple)",IF(((B81-VAL_DATE)/360)&lt;=0,1,1/(1+(IF(((INDEX($K$6:$K$71,MATCH(B81,$K$6:$K$71,1))-VAL_DATE)/360)&lt;=0,IF(((INDEX($K$6:$K$71,MATCH(B81,$K$6:$K$71,1)+1)-VAL_DATE)/360)&lt;=0,0,(1/INDEX($L$6:$L$71,MATCH(B81,$K$6:$K$71,1)+1)-1)/((INDEX($K$6:$K$71,MATCH(B81,$K$6:$K$71,1)+1)-VAL_DATE)/360)),(1/INDEX($L$6:$L$71,MATCH(B81,$K$6:$K$71,1))-1)/((INDEX($K$6:$K$71,MATCH(B81,$K$6:$K$71,1))-VAL_DATE)/360))+(IF(((INDEX($K$6:$K$71,MATCH(B81,$K$6:$K$71,1)+1)-VAL_DATE)/360)&lt;=0,0,(1/INDEX($L$6:$L$71,MATCH(B81,$K$6:$K$71,1)+1)-1)/((INDEX($K$6:$K$71,MATCH(B81,$K$6:$K$71,1)+1)-VAL_DATE)/360))-IF(((INDEX($K$6:$K$71,MATCH(B81,$K$6:$K$71,1))-VAL_DATE)/360)&lt;=0,IF(((INDEX($K$6:$K$71,MATCH(B81,$K$6:$K$71,1)+1)-VAL_DATE)/360)&lt;=0,0,(1/INDEX($L$6:$L$71,MATCH(B81,$K$6:$K$71,1)+1)-1)/((INDEX($K$6:$K$71,MATCH(B81,$K$6:$K$71,1)+1)-VAL_DATE)/360)),(1/INDEX($L$6:$L$71,MATCH(B81,$K$6:$K$71,1))-1)/((INDEX($K$6:$K$71,MATCH(B81,$K$6:$K$71,1))-VAL_DATE)/360)))*IF(((INDEX($K$6:$K$71,MATCH(B81,$K$6:$K$71,1)+1)-VAL_DATE)/360)-((INDEX($K$6:$K$71,MATCH(B81,$K$6:$K$71,1))-VAL_DATE)/360)=0,0,(((B81-VAL_DATE)/360)-((INDEX($K$6:$K$71,MATCH(B81,$K$6:$K$71,1))-VAL_DATE)/360))/(((INDEX($K$6:$K$71,MATCH(B81,$K$6:$K$71,1)+1)-VAL_DATE)/360)-((INDEX($K$6:$K$71,MATCH(B81,$K$6:$K$71,1))-VAL_DATE)/360))))*((B81-VAL_DATE)/360))),INDEX($L$6:$L$71,MATCH(B81,$K$6:$K$71,1))*(INDEX($L$6:$L$71,MATCH(B81,$K$6:$K$71,1)+1)/INDEX($L$6:$L$71,MATCH(B81,$K$6:$K$71,1)))^((B81-INDEX($K$6:$K$71,MATCH(B81,$K$6:$K$71,1)))/(INDEX($K$6:$K$71,MATCH(B81,$K$6:$K$71,1)+1)-INDEX($K$6:$K$71,MATCH(B81,$K$6:$K$71,1))))),INDEX($L$6:$L$71,MATCH(B81,$K$6:$K$71,1))))</f>
        <v/>
      </c>
      <c r="F81" s="116">
        <f>IF(C81="","",$B$6*$B$11/100*D81)</f>
        <v/>
      </c>
      <c r="G81" s="116">
        <f>IF(C81="","",F81*E81)</f>
        <v/>
      </c>
      <c r="H81" s="115">
        <f>IF(C81="","",D81*E81)</f>
        <v/>
      </c>
    </row>
    <row r="82">
      <c r="A82" s="43">
        <f>ROW()-35</f>
        <v/>
      </c>
      <c r="B82" s="113">
        <f>IF(C82="","",MIN($B$10,IF(MONTH((EDATE($B$8,12*47)+IF(WEEKDAY(EDATE($B$8,12*47),2)=6,2,IF(WEEKDAY(EDATE($B$8,12*47),2)=7,1,0))))&lt;&gt;MONTH(EDATE($B$8,12*47)),(EDATE($B$8,12*47)-IF(WEEKDAY(EDATE($B$8,12*47),2)=6,1,IF(WEEKDAY(EDATE($B$8,12*47),2)=7,2,0))),(EDATE($B$8,12*47)+IF(WEEKDAY(EDATE($B$8,12*47),2)=6,2,IF(WEEKDAY(EDATE($B$8,12*47),2)=7,1,0))))))</f>
        <v/>
      </c>
      <c r="C82" s="113">
        <f>IF(OR(B81="",B81&gt;=$B$10),"",B81)</f>
        <v/>
      </c>
      <c r="D82" s="114">
        <f>IF(C82="","",(B82-C82)/360)</f>
        <v/>
      </c>
      <c r="E82" s="115">
        <f>IF(C82="","",IFERROR(IF(Curve_Interface!$J$7="Piecewise Linear (Simple)",IF(((B82-VAL_DATE)/360)&lt;=0,1,1/(1+(IF(((INDEX($K$6:$K$71,MATCH(B82,$K$6:$K$71,1))-VAL_DATE)/360)&lt;=0,IF(((INDEX($K$6:$K$71,MATCH(B82,$K$6:$K$71,1)+1)-VAL_DATE)/360)&lt;=0,0,(1/INDEX($L$6:$L$71,MATCH(B82,$K$6:$K$71,1)+1)-1)/((INDEX($K$6:$K$71,MATCH(B82,$K$6:$K$71,1)+1)-VAL_DATE)/360)),(1/INDEX($L$6:$L$71,MATCH(B82,$K$6:$K$71,1))-1)/((INDEX($K$6:$K$71,MATCH(B82,$K$6:$K$71,1))-VAL_DATE)/360))+(IF(((INDEX($K$6:$K$71,MATCH(B82,$K$6:$K$71,1)+1)-VAL_DATE)/360)&lt;=0,0,(1/INDEX($L$6:$L$71,MATCH(B82,$K$6:$K$71,1)+1)-1)/((INDEX($K$6:$K$71,MATCH(B82,$K$6:$K$71,1)+1)-VAL_DATE)/360))-IF(((INDEX($K$6:$K$71,MATCH(B82,$K$6:$K$71,1))-VAL_DATE)/360)&lt;=0,IF(((INDEX($K$6:$K$71,MATCH(B82,$K$6:$K$71,1)+1)-VAL_DATE)/360)&lt;=0,0,(1/INDEX($L$6:$L$71,MATCH(B82,$K$6:$K$71,1)+1)-1)/((INDEX($K$6:$K$71,MATCH(B82,$K$6:$K$71,1)+1)-VAL_DATE)/360)),(1/INDEX($L$6:$L$71,MATCH(B82,$K$6:$K$71,1))-1)/((INDEX($K$6:$K$71,MATCH(B82,$K$6:$K$71,1))-VAL_DATE)/360)))*IF(((INDEX($K$6:$K$71,MATCH(B82,$K$6:$K$71,1)+1)-VAL_DATE)/360)-((INDEX($K$6:$K$71,MATCH(B82,$K$6:$K$71,1))-VAL_DATE)/360)=0,0,(((B82-VAL_DATE)/360)-((INDEX($K$6:$K$71,MATCH(B82,$K$6:$K$71,1))-VAL_DATE)/360))/(((INDEX($K$6:$K$71,MATCH(B82,$K$6:$K$71,1)+1)-VAL_DATE)/360)-((INDEX($K$6:$K$71,MATCH(B82,$K$6:$K$71,1))-VAL_DATE)/360))))*((B82-VAL_DATE)/360))),INDEX($L$6:$L$71,MATCH(B82,$K$6:$K$71,1))*(INDEX($L$6:$L$71,MATCH(B82,$K$6:$K$71,1)+1)/INDEX($L$6:$L$71,MATCH(B82,$K$6:$K$71,1)))^((B82-INDEX($K$6:$K$71,MATCH(B82,$K$6:$K$71,1)))/(INDEX($K$6:$K$71,MATCH(B82,$K$6:$K$71,1)+1)-INDEX($K$6:$K$71,MATCH(B82,$K$6:$K$71,1))))),INDEX($L$6:$L$71,MATCH(B82,$K$6:$K$71,1))))</f>
        <v/>
      </c>
      <c r="F82" s="116">
        <f>IF(C82="","",$B$6*$B$11/100*D82)</f>
        <v/>
      </c>
      <c r="G82" s="116">
        <f>IF(C82="","",F82*E82)</f>
        <v/>
      </c>
      <c r="H82" s="115">
        <f>IF(C82="","",D82*E82)</f>
        <v/>
      </c>
    </row>
    <row r="83">
      <c r="A83" s="43">
        <f>ROW()-35</f>
        <v/>
      </c>
      <c r="B83" s="113">
        <f>IF(C83="","",MIN($B$10,IF(MONTH((EDATE($B$8,12*48)+IF(WEEKDAY(EDATE($B$8,12*48),2)=6,2,IF(WEEKDAY(EDATE($B$8,12*48),2)=7,1,0))))&lt;&gt;MONTH(EDATE($B$8,12*48)),(EDATE($B$8,12*48)-IF(WEEKDAY(EDATE($B$8,12*48),2)=6,1,IF(WEEKDAY(EDATE($B$8,12*48),2)=7,2,0))),(EDATE($B$8,12*48)+IF(WEEKDAY(EDATE($B$8,12*48),2)=6,2,IF(WEEKDAY(EDATE($B$8,12*48),2)=7,1,0))))))</f>
        <v/>
      </c>
      <c r="C83" s="113">
        <f>IF(OR(B82="",B82&gt;=$B$10),"",B82)</f>
        <v/>
      </c>
      <c r="D83" s="114">
        <f>IF(C83="","",(B83-C83)/360)</f>
        <v/>
      </c>
      <c r="E83" s="115">
        <f>IF(C83="","",IFERROR(IF(Curve_Interface!$J$7="Piecewise Linear (Simple)",IF(((B83-VAL_DATE)/360)&lt;=0,1,1/(1+(IF(((INDEX($K$6:$K$71,MATCH(B83,$K$6:$K$71,1))-VAL_DATE)/360)&lt;=0,IF(((INDEX($K$6:$K$71,MATCH(B83,$K$6:$K$71,1)+1)-VAL_DATE)/360)&lt;=0,0,(1/INDEX($L$6:$L$71,MATCH(B83,$K$6:$K$71,1)+1)-1)/((INDEX($K$6:$K$71,MATCH(B83,$K$6:$K$71,1)+1)-VAL_DATE)/360)),(1/INDEX($L$6:$L$71,MATCH(B83,$K$6:$K$71,1))-1)/((INDEX($K$6:$K$71,MATCH(B83,$K$6:$K$71,1))-VAL_DATE)/360))+(IF(((INDEX($K$6:$K$71,MATCH(B83,$K$6:$K$71,1)+1)-VAL_DATE)/360)&lt;=0,0,(1/INDEX($L$6:$L$71,MATCH(B83,$K$6:$K$71,1)+1)-1)/((INDEX($K$6:$K$71,MATCH(B83,$K$6:$K$71,1)+1)-VAL_DATE)/360))-IF(((INDEX($K$6:$K$71,MATCH(B83,$K$6:$K$71,1))-VAL_DATE)/360)&lt;=0,IF(((INDEX($K$6:$K$71,MATCH(B83,$K$6:$K$71,1)+1)-VAL_DATE)/360)&lt;=0,0,(1/INDEX($L$6:$L$71,MATCH(B83,$K$6:$K$71,1)+1)-1)/((INDEX($K$6:$K$71,MATCH(B83,$K$6:$K$71,1)+1)-VAL_DATE)/360)),(1/INDEX($L$6:$L$71,MATCH(B83,$K$6:$K$71,1))-1)/((INDEX($K$6:$K$71,MATCH(B83,$K$6:$K$71,1))-VAL_DATE)/360)))*IF(((INDEX($K$6:$K$71,MATCH(B83,$K$6:$K$71,1)+1)-VAL_DATE)/360)-((INDEX($K$6:$K$71,MATCH(B83,$K$6:$K$71,1))-VAL_DATE)/360)=0,0,(((B83-VAL_DATE)/360)-((INDEX($K$6:$K$71,MATCH(B83,$K$6:$K$71,1))-VAL_DATE)/360))/(((INDEX($K$6:$K$71,MATCH(B83,$K$6:$K$71,1)+1)-VAL_DATE)/360)-((INDEX($K$6:$K$71,MATCH(B83,$K$6:$K$71,1))-VAL_DATE)/360))))*((B83-VAL_DATE)/360))),INDEX($L$6:$L$71,MATCH(B83,$K$6:$K$71,1))*(INDEX($L$6:$L$71,MATCH(B83,$K$6:$K$71,1)+1)/INDEX($L$6:$L$71,MATCH(B83,$K$6:$K$71,1)))^((B83-INDEX($K$6:$K$71,MATCH(B83,$K$6:$K$71,1)))/(INDEX($K$6:$K$71,MATCH(B83,$K$6:$K$71,1)+1)-INDEX($K$6:$K$71,MATCH(B83,$K$6:$K$71,1))))),INDEX($L$6:$L$71,MATCH(B83,$K$6:$K$71,1))))</f>
        <v/>
      </c>
      <c r="F83" s="116">
        <f>IF(C83="","",$B$6*$B$11/100*D83)</f>
        <v/>
      </c>
      <c r="G83" s="116">
        <f>IF(C83="","",F83*E83)</f>
        <v/>
      </c>
      <c r="H83" s="115">
        <f>IF(C83="","",D83*E83)</f>
        <v/>
      </c>
    </row>
    <row r="84">
      <c r="A84" s="43">
        <f>ROW()-35</f>
        <v/>
      </c>
      <c r="B84" s="113">
        <f>IF(C84="","",MIN($B$10,IF(MONTH((EDATE($B$8,12*49)+IF(WEEKDAY(EDATE($B$8,12*49),2)=6,2,IF(WEEKDAY(EDATE($B$8,12*49),2)=7,1,0))))&lt;&gt;MONTH(EDATE($B$8,12*49)),(EDATE($B$8,12*49)-IF(WEEKDAY(EDATE($B$8,12*49),2)=6,1,IF(WEEKDAY(EDATE($B$8,12*49),2)=7,2,0))),(EDATE($B$8,12*49)+IF(WEEKDAY(EDATE($B$8,12*49),2)=6,2,IF(WEEKDAY(EDATE($B$8,12*49),2)=7,1,0))))))</f>
        <v/>
      </c>
      <c r="C84" s="113">
        <f>IF(OR(B83="",B83&gt;=$B$10),"",B83)</f>
        <v/>
      </c>
      <c r="D84" s="114">
        <f>IF(C84="","",(B84-C84)/360)</f>
        <v/>
      </c>
      <c r="E84" s="115">
        <f>IF(C84="","",IFERROR(IF(Curve_Interface!$J$7="Piecewise Linear (Simple)",IF(((B84-VAL_DATE)/360)&lt;=0,1,1/(1+(IF(((INDEX($K$6:$K$71,MATCH(B84,$K$6:$K$71,1))-VAL_DATE)/360)&lt;=0,IF(((INDEX($K$6:$K$71,MATCH(B84,$K$6:$K$71,1)+1)-VAL_DATE)/360)&lt;=0,0,(1/INDEX($L$6:$L$71,MATCH(B84,$K$6:$K$71,1)+1)-1)/((INDEX($K$6:$K$71,MATCH(B84,$K$6:$K$71,1)+1)-VAL_DATE)/360)),(1/INDEX($L$6:$L$71,MATCH(B84,$K$6:$K$71,1))-1)/((INDEX($K$6:$K$71,MATCH(B84,$K$6:$K$71,1))-VAL_DATE)/360))+(IF(((INDEX($K$6:$K$71,MATCH(B84,$K$6:$K$71,1)+1)-VAL_DATE)/360)&lt;=0,0,(1/INDEX($L$6:$L$71,MATCH(B84,$K$6:$K$71,1)+1)-1)/((INDEX($K$6:$K$71,MATCH(B84,$K$6:$K$71,1)+1)-VAL_DATE)/360))-IF(((INDEX($K$6:$K$71,MATCH(B84,$K$6:$K$71,1))-VAL_DATE)/360)&lt;=0,IF(((INDEX($K$6:$K$71,MATCH(B84,$K$6:$K$71,1)+1)-VAL_DATE)/360)&lt;=0,0,(1/INDEX($L$6:$L$71,MATCH(B84,$K$6:$K$71,1)+1)-1)/((INDEX($K$6:$K$71,MATCH(B84,$K$6:$K$71,1)+1)-VAL_DATE)/360)),(1/INDEX($L$6:$L$71,MATCH(B84,$K$6:$K$71,1))-1)/((INDEX($K$6:$K$71,MATCH(B84,$K$6:$K$71,1))-VAL_DATE)/360)))*IF(((INDEX($K$6:$K$71,MATCH(B84,$K$6:$K$71,1)+1)-VAL_DATE)/360)-((INDEX($K$6:$K$71,MATCH(B84,$K$6:$K$71,1))-VAL_DATE)/360)=0,0,(((B84-VAL_DATE)/360)-((INDEX($K$6:$K$71,MATCH(B84,$K$6:$K$71,1))-VAL_DATE)/360))/(((INDEX($K$6:$K$71,MATCH(B84,$K$6:$K$71,1)+1)-VAL_DATE)/360)-((INDEX($K$6:$K$71,MATCH(B84,$K$6:$K$71,1))-VAL_DATE)/360))))*((B84-VAL_DATE)/360))),INDEX($L$6:$L$71,MATCH(B84,$K$6:$K$71,1))*(INDEX($L$6:$L$71,MATCH(B84,$K$6:$K$71,1)+1)/INDEX($L$6:$L$71,MATCH(B84,$K$6:$K$71,1)))^((B84-INDEX($K$6:$K$71,MATCH(B84,$K$6:$K$71,1)))/(INDEX($K$6:$K$71,MATCH(B84,$K$6:$K$71,1)+1)-INDEX($K$6:$K$71,MATCH(B84,$K$6:$K$71,1))))),INDEX($L$6:$L$71,MATCH(B84,$K$6:$K$71,1))))</f>
        <v/>
      </c>
      <c r="F84" s="116">
        <f>IF(C84="","",$B$6*$B$11/100*D84)</f>
        <v/>
      </c>
      <c r="G84" s="116">
        <f>IF(C84="","",F84*E84)</f>
        <v/>
      </c>
      <c r="H84" s="115">
        <f>IF(C84="","",D84*E84)</f>
        <v/>
      </c>
    </row>
    <row r="85">
      <c r="A85" s="43">
        <f>ROW()-35</f>
        <v/>
      </c>
      <c r="B85" s="113">
        <f>IF(C85="","",MIN($B$10,IF(MONTH((EDATE($B$8,12*50)+IF(WEEKDAY(EDATE($B$8,12*50),2)=6,2,IF(WEEKDAY(EDATE($B$8,12*50),2)=7,1,0))))&lt;&gt;MONTH(EDATE($B$8,12*50)),(EDATE($B$8,12*50)-IF(WEEKDAY(EDATE($B$8,12*50),2)=6,1,IF(WEEKDAY(EDATE($B$8,12*50),2)=7,2,0))),(EDATE($B$8,12*50)+IF(WEEKDAY(EDATE($B$8,12*50),2)=6,2,IF(WEEKDAY(EDATE($B$8,12*50),2)=7,1,0))))))</f>
        <v/>
      </c>
      <c r="C85" s="113">
        <f>IF(OR(B84="",B84&gt;=$B$10),"",B84)</f>
        <v/>
      </c>
      <c r="D85" s="114">
        <f>IF(C85="","",(B85-C85)/360)</f>
        <v/>
      </c>
      <c r="E85" s="115">
        <f>IF(C85="","",IFERROR(IF(Curve_Interface!$J$7="Piecewise Linear (Simple)",IF(((B85-VAL_DATE)/360)&lt;=0,1,1/(1+(IF(((INDEX($K$6:$K$71,MATCH(B85,$K$6:$K$71,1))-VAL_DATE)/360)&lt;=0,IF(((INDEX($K$6:$K$71,MATCH(B85,$K$6:$K$71,1)+1)-VAL_DATE)/360)&lt;=0,0,(1/INDEX($L$6:$L$71,MATCH(B85,$K$6:$K$71,1)+1)-1)/((INDEX($K$6:$K$71,MATCH(B85,$K$6:$K$71,1)+1)-VAL_DATE)/360)),(1/INDEX($L$6:$L$71,MATCH(B85,$K$6:$K$71,1))-1)/((INDEX($K$6:$K$71,MATCH(B85,$K$6:$K$71,1))-VAL_DATE)/360))+(IF(((INDEX($K$6:$K$71,MATCH(B85,$K$6:$K$71,1)+1)-VAL_DATE)/360)&lt;=0,0,(1/INDEX($L$6:$L$71,MATCH(B85,$K$6:$K$71,1)+1)-1)/((INDEX($K$6:$K$71,MATCH(B85,$K$6:$K$71,1)+1)-VAL_DATE)/360))-IF(((INDEX($K$6:$K$71,MATCH(B85,$K$6:$K$71,1))-VAL_DATE)/360)&lt;=0,IF(((INDEX($K$6:$K$71,MATCH(B85,$K$6:$K$71,1)+1)-VAL_DATE)/360)&lt;=0,0,(1/INDEX($L$6:$L$71,MATCH(B85,$K$6:$K$71,1)+1)-1)/((INDEX($K$6:$K$71,MATCH(B85,$K$6:$K$71,1)+1)-VAL_DATE)/360)),(1/INDEX($L$6:$L$71,MATCH(B85,$K$6:$K$71,1))-1)/((INDEX($K$6:$K$71,MATCH(B85,$K$6:$K$71,1))-VAL_DATE)/360)))*IF(((INDEX($K$6:$K$71,MATCH(B85,$K$6:$K$71,1)+1)-VAL_DATE)/360)-((INDEX($K$6:$K$71,MATCH(B85,$K$6:$K$71,1))-VAL_DATE)/360)=0,0,(((B85-VAL_DATE)/360)-((INDEX($K$6:$K$71,MATCH(B85,$K$6:$K$71,1))-VAL_DATE)/360))/(((INDEX($K$6:$K$71,MATCH(B85,$K$6:$K$71,1)+1)-VAL_DATE)/360)-((INDEX($K$6:$K$71,MATCH(B85,$K$6:$K$71,1))-VAL_DATE)/360))))*((B85-VAL_DATE)/360))),INDEX($L$6:$L$71,MATCH(B85,$K$6:$K$71,1))*(INDEX($L$6:$L$71,MATCH(B85,$K$6:$K$71,1)+1)/INDEX($L$6:$L$71,MATCH(B85,$K$6:$K$71,1)))^((B85-INDEX($K$6:$K$71,MATCH(B85,$K$6:$K$71,1)))/(INDEX($K$6:$K$71,MATCH(B85,$K$6:$K$71,1)+1)-INDEX($K$6:$K$71,MATCH(B85,$K$6:$K$71,1))))),INDEX($L$6:$L$71,MATCH(B85,$K$6:$K$71,1))))</f>
        <v/>
      </c>
      <c r="F85" s="116">
        <f>IF(C85="","",$B$6*$B$11/100*D85)</f>
        <v/>
      </c>
      <c r="G85" s="116">
        <f>IF(C85="","",F85*E85)</f>
        <v/>
      </c>
      <c r="H85" s="115">
        <f>IF(C85="","",D85*E85)</f>
        <v/>
      </c>
    </row>
    <row r="88">
      <c r="A88" s="67" t="inlineStr">
        <is>
          <t>SWPM CROSS-CHECK</t>
        </is>
      </c>
    </row>
    <row r="89">
      <c r="A89" s="65" t="inlineStr">
        <is>
          <t>SWPM Fixed vs SOFR, 10mm, curve date 07/21/26, valuation 07/23/26. Reproduce with Effective 07/23/2026, Maturity override 07/30/2026, Coupon 3.63840.</t>
        </is>
      </c>
    </row>
    <row r="90">
      <c r="A90" s="62" t="inlineStr">
        <is>
          <t>Measure</t>
        </is>
      </c>
      <c r="B90" s="62" t="inlineStr">
        <is>
          <t>SWPM screen</t>
        </is>
      </c>
      <c r="C90" s="62" t="inlineStr">
        <is>
          <t>This sheet</t>
        </is>
      </c>
      <c r="D90" s="62" t="inlineStr">
        <is>
          <t>Diff</t>
        </is>
      </c>
    </row>
    <row r="91">
      <c r="A91" s="94" t="inlineStr">
        <is>
          <t>Par coupon (%)</t>
        </is>
      </c>
      <c r="B91" s="69" t="n">
        <v>3.6384</v>
      </c>
      <c r="C91" s="117">
        <f>B25</f>
        <v/>
      </c>
      <c r="D91" s="80">
        <f>C91-B91</f>
        <v/>
      </c>
    </row>
    <row r="92">
      <c r="A92" s="94" t="inlineStr">
        <is>
          <t>Net swap NPV</t>
        </is>
      </c>
      <c r="B92" s="118" t="n">
        <v>0</v>
      </c>
      <c r="C92" s="119">
        <f>B28</f>
        <v/>
      </c>
      <c r="D92" s="120">
        <f>C92-B92</f>
        <v/>
      </c>
    </row>
    <row r="93">
      <c r="A93" s="94" t="inlineStr">
        <is>
          <t>Accrued</t>
        </is>
      </c>
      <c r="B93" s="118" t="n">
        <v>0</v>
      </c>
      <c r="C93" s="119">
        <f>B30</f>
        <v/>
      </c>
      <c r="D93" s="120">
        <f>C93-B93</f>
        <v/>
      </c>
    </row>
    <row r="94">
      <c r="A94" s="94" t="inlineStr">
        <is>
          <t>PV01 / DV01 (1bp)</t>
        </is>
      </c>
      <c r="B94" s="121" t="n">
        <v>19.42</v>
      </c>
      <c r="C94" s="122">
        <f>B29</f>
        <v/>
      </c>
      <c r="D94" s="89">
        <f>C94-B94</f>
        <v/>
      </c>
    </row>
    <row r="96">
      <c r="A96" s="65" t="inlineStr">
        <is>
          <t>Leg NPVs not compared: SWPM discounts curve date to a separate valuation date, so its leg PVs are on a different basis. See row 32.</t>
        </is>
      </c>
    </row>
  </sheetData>
  <mergeCells count="19">
    <mergeCell ref="C23:I23"/>
    <mergeCell ref="C8:I8"/>
    <mergeCell ref="A18:I18"/>
    <mergeCell ref="C19:I19"/>
    <mergeCell ref="C28:I28"/>
    <mergeCell ref="C6:I6"/>
    <mergeCell ref="C24:I24"/>
    <mergeCell ref="C15:I15"/>
    <mergeCell ref="A4:I4"/>
    <mergeCell ref="C5:I5"/>
    <mergeCell ref="C26:I26"/>
    <mergeCell ref="C29:I29"/>
    <mergeCell ref="C10:I10"/>
    <mergeCell ref="C25:I25"/>
    <mergeCell ref="C9:I9"/>
    <mergeCell ref="C21:I21"/>
    <mergeCell ref="A32:I33"/>
    <mergeCell ref="K4:L4"/>
    <mergeCell ref="C11:I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E7D32"/>
    <outlinePr summaryBelow="1" summaryRight="1"/>
    <pageSetUpPr/>
  </sheetPr>
  <dimension ref="A1:Y84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2" customWidth="1" min="4" max="4"/>
    <col width="10" customWidth="1" min="5" max="5"/>
    <col width="13" customWidth="1" min="6" max="6"/>
    <col width="14" customWidth="1" min="7" max="7"/>
    <col width="14" customWidth="1" min="12" max="12"/>
    <col width="12" customWidth="1" min="13" max="13"/>
    <col width="12" customWidth="1" min="14" max="14"/>
    <col width="11" customWidth="1" min="15" max="15"/>
    <col width="13" customWidth="1" min="16" max="16"/>
    <col width="15" customWidth="1" min="17" max="17"/>
    <col width="10" customWidth="1" min="18" max="18"/>
  </cols>
  <sheetData>
    <row r="1">
      <c r="A1" s="1" t="inlineStr">
        <is>
          <t>Bloomberg_S490_Validation</t>
        </is>
      </c>
    </row>
    <row r="2">
      <c r="A2" s="2" t="inlineStr">
        <is>
          <t>Bloomberg's own USD SOFR curve (S490 / YCSW0490 Index) — benchmark for your bootstrap, not an input</t>
        </is>
      </c>
      <c r="H2" s="67" t="inlineStr">
        <is>
          <t>LIVE BENCHMARK — BDS dump controls</t>
        </is>
      </c>
    </row>
    <row r="3">
      <c r="H3" s="94" t="inlineStr">
        <is>
          <t>Dump col holding MATURITY DATE</t>
        </is>
      </c>
      <c r="I3" s="95" t="n">
        <v>1</v>
      </c>
    </row>
    <row r="4">
      <c r="A4" s="13" t="inlineStr">
        <is>
          <t>Curve name:</t>
        </is>
      </c>
      <c r="B4" s="19">
        <f>IFERROR(BDP(S490_TKR,"NAME"),"ERROR PLZ FIX")</f>
        <v/>
      </c>
      <c r="H4" s="94" t="inlineStr">
        <is>
          <t>Dump col holding ZERO RATE</t>
        </is>
      </c>
      <c r="I4" s="95" t="n">
        <v>5</v>
      </c>
    </row>
    <row r="5">
      <c r="A5" s="13" t="inlineStr">
        <is>
          <t>Curve date:</t>
        </is>
      </c>
      <c r="B5" s="48">
        <f>VAL_DATE</f>
        <v/>
      </c>
      <c r="H5" s="94" t="inlineStr">
        <is>
          <t>Zero units (1 = pct, 100 = decimal)</t>
        </is>
      </c>
      <c r="I5" s="96" t="n">
        <v>1</v>
      </c>
    </row>
    <row r="6" ht="40" customHeight="1">
      <c r="A6" s="70" t="inlineStr">
        <is>
          <t>Column D pulls Bloomberg's own S490 zero curve live from the BDS dump and falls back to the manual paste in column G. Column E is your bootstrap minus Bloomberg, in bp — single digits = agreement.</t>
        </is>
      </c>
      <c r="H6" s="66" t="inlineStr">
        <is>
          <t>Verify I3/I4/I5 against the dump at J12. Defaults are a guess at the schema.</t>
        </is>
      </c>
      <c r="L6" s="65" t="inlineStr">
        <is>
          <t>32 pillars hard-coded</t>
        </is>
      </c>
      <c r="V6" s="67" t="inlineStr">
        <is>
          <t>S490 SCREEN SNAPSHOT (curve date 07/21/2026)</t>
        </is>
      </c>
    </row>
    <row r="7" ht="30" customHeight="1">
      <c r="A7" s="140" t="inlineStr">
        <is>
          <t>Tenor</t>
        </is>
      </c>
      <c r="B7" s="140" t="inlineStr">
        <is>
          <t>Maturity</t>
        </is>
      </c>
      <c r="C7" s="140" t="inlineStr">
        <is>
          <t>Your zero (%)</t>
        </is>
      </c>
      <c r="D7" s="141" t="inlineStr">
        <is>
          <t>S490 zero (%) — live</t>
        </is>
      </c>
      <c r="E7" s="140" t="inlineStr">
        <is>
          <t>Δz (bp)</t>
        </is>
      </c>
      <c r="F7" s="141" t="inlineStr">
        <is>
          <t>Source</t>
        </is>
      </c>
      <c r="G7" s="141" t="inlineStr">
        <is>
          <t>S490 zero (%) &lt;- S490_Snapshot</t>
        </is>
      </c>
      <c r="H7" s="67" t="inlineStr">
        <is>
          <t>Raw CURVE_TENOR_RATES dump (spills right and down from J12)</t>
        </is>
      </c>
      <c r="M7" s="141" t="inlineStr">
        <is>
          <t>DF (screen)</t>
        </is>
      </c>
      <c r="N7" s="141" t="inlineStr">
        <is>
          <t>DF (model)</t>
        </is>
      </c>
      <c r="O7" s="141" t="inlineStr">
        <is>
          <t>DF diff</t>
        </is>
      </c>
      <c r="P7" s="141" t="inlineStr">
        <is>
          <t>Par S dynamic (%)</t>
        </is>
      </c>
      <c r="Q7" s="141" t="inlineStr">
        <is>
          <t>Par S hard-coded (%)</t>
        </is>
      </c>
      <c r="R7" s="141" t="inlineStr">
        <is>
          <t>d (bp)</t>
        </is>
      </c>
      <c r="V7" s="65" t="inlineStr">
        <is>
          <t>The Bloomberg Curve Analysis column, transcribed from the screen. Columns G/M below look up this block by maturity date, so it stays correct if rows move. Only valid while VAL_DATE = 07/21/2026.</t>
        </is>
      </c>
    </row>
    <row r="8">
      <c r="A8" s="6">
        <f>Bootstrap!A8</f>
        <v/>
      </c>
      <c r="B8" s="18">
        <f>Bootstrap!B8</f>
        <v/>
      </c>
      <c r="C8" s="17">
        <f>Bootstrap!J8</f>
        <v/>
      </c>
      <c r="D8" s="133">
        <f>IFERROR(INDEX($J$12:$T$82,MATCH(B8,INDEX($J$12:$T$82,0,$I$3),0),$I$4)*$I$5,IF(ISNUMBER(G8),G8,""))</f>
        <v/>
      </c>
      <c r="E8" s="89">
        <f>IF(ISNUMBER(L8),(C8-L8)*100,"")</f>
        <v/>
      </c>
      <c r="F8" s="93">
        <f>IF(ISNUMBER(IFERROR(INDEX($J$12:$T$82,MATCH(B8,INDEX($J$12:$T$82,0,$I$3),0),$I$4)*$I$5,"")),"BDS live",IF(ISNUMBER(G8),"manual paste","-"))</f>
        <v/>
      </c>
      <c r="G8" s="133">
        <f>IFERROR(INDEX(S490_Snapshot!$D$7:$D$38,MATCH(B8,S490_Snapshot!$A$7:$A$38,0)),"")</f>
        <v/>
      </c>
      <c r="H8" s="65" t="inlineStr">
        <is>
          <t>Dump lives at J12. A second copy here would spill into it.</t>
        </is>
      </c>
      <c r="L8" s="64" t="n">
        <v>3.68682</v>
      </c>
      <c r="M8" s="80">
        <f>IFERROR(INDEX(S490_Snapshot!$E$7:$E$38,MATCH(B8,S490_Snapshot!$A$7:$A$38,0)),"")</f>
        <v/>
      </c>
      <c r="N8" s="80">
        <f>IF(M8="","",Bootstrap!H8)</f>
        <v/>
      </c>
      <c r="O8" s="72">
        <f>IF(M8="","",N8-M8)</f>
        <v/>
      </c>
      <c r="P8" s="63">
        <f>IF(ISNUMBER(Bootstrap!E8),Bootstrap!E8,"")</f>
        <v/>
      </c>
      <c r="Q8" s="63">
        <f>IF(ISNUMBER(Bootstrap!X8),Bootstrap!X8,"")</f>
        <v/>
      </c>
      <c r="R8" s="89">
        <f>IF(OR(P8="",Q8=""),"",(P8-Q8)*100)</f>
        <v/>
      </c>
      <c r="V8" s="62" t="inlineStr">
        <is>
          <t>Date</t>
        </is>
      </c>
      <c r="W8" s="62" t="inlineStr">
        <is>
          <t>Market rate</t>
        </is>
      </c>
      <c r="X8" s="62" t="inlineStr">
        <is>
          <t>Zero (screen)</t>
        </is>
      </c>
      <c r="Y8" s="62" t="inlineStr">
        <is>
          <t>DF (screen)</t>
        </is>
      </c>
    </row>
    <row r="9">
      <c r="A9" s="6">
        <f>Bootstrap!A9</f>
        <v/>
      </c>
      <c r="B9" s="18">
        <f>Bootstrap!B9</f>
        <v/>
      </c>
      <c r="C9" s="17">
        <f>Bootstrap!J9</f>
        <v/>
      </c>
      <c r="D9" s="133">
        <f>IFERROR(INDEX($J$12:$T$82,MATCH(B9,INDEX($J$12:$T$82,0,$I$3),0),$I$4)*$I$5,IF(ISNUMBER(G9),G9,""))</f>
        <v/>
      </c>
      <c r="E9" s="89">
        <f>IF(ISNUMBER(L9),(C9-L9)*100,"")</f>
        <v/>
      </c>
      <c r="F9" s="93">
        <f>IF(ISNUMBER(IFERROR(INDEX($J$12:$T$82,MATCH(B9,INDEX($J$12:$T$82,0,$I$3),0),$I$4)*$I$5,"")),"BDS live",IF(ISNUMBER(G9),"manual paste","-"))</f>
        <v/>
      </c>
      <c r="G9" s="133">
        <f>IFERROR(INDEX(S490_Snapshot!$D$7:$D$38,MATCH(B9,S490_Snapshot!$A$7:$A$38,0)),"")</f>
        <v/>
      </c>
      <c r="L9" s="64" t="n">
        <v>3.71731</v>
      </c>
      <c r="M9" s="80">
        <f>IFERROR(INDEX(S490_Snapshot!$E$7:$E$38,MATCH(B9,S490_Snapshot!$A$7:$A$38,0)),"")</f>
        <v/>
      </c>
      <c r="N9" s="80">
        <f>IF(M9="","",Bootstrap!H9)</f>
        <v/>
      </c>
      <c r="O9" s="72">
        <f>IF(M9="","",N9-M9)</f>
        <v/>
      </c>
      <c r="P9" s="63">
        <f>IF(ISNUMBER(Bootstrap!E9),Bootstrap!E9,"")</f>
        <v/>
      </c>
      <c r="Q9" s="63">
        <f>IF(ISNUMBER(Bootstrap!X9),Bootstrap!X9,"")</f>
        <v/>
      </c>
      <c r="R9" s="89">
        <f>IF(OR(P9="",Q9=""),"",(P9-Q9)*100)</f>
        <v/>
      </c>
      <c r="V9" s="88" t="n">
        <v>46233</v>
      </c>
      <c r="W9" s="85" t="n">
        <v>3.63</v>
      </c>
      <c r="X9" s="85" t="n">
        <v>3.67912</v>
      </c>
      <c r="Y9" s="69" t="n">
        <v>0.999093</v>
      </c>
    </row>
    <row r="10">
      <c r="A10" s="6">
        <f>Bootstrap!A10</f>
        <v/>
      </c>
      <c r="B10" s="18">
        <f>Bootstrap!B10</f>
        <v/>
      </c>
      <c r="C10" s="17">
        <f>Bootstrap!J10</f>
        <v/>
      </c>
      <c r="D10" s="133">
        <f>IFERROR(INDEX($J$12:$T$82,MATCH(B10,INDEX($J$12:$T$82,0,$I$3),0),$I$4)*$I$5,IF(ISNUMBER(G10),G10,""))</f>
        <v/>
      </c>
      <c r="E10" s="89">
        <f>IF(ISNUMBER(L10),(C10-L10)*100,"")</f>
        <v/>
      </c>
      <c r="F10" s="93">
        <f>IF(ISNUMBER(IFERROR(INDEX($J$12:$T$82,MATCH(B10,INDEX($J$12:$T$82,0,$I$3),0),$I$4)*$I$5,"")),"BDS live",IF(ISNUMBER(G10),"manual paste","-"))</f>
        <v/>
      </c>
      <c r="G10" s="133">
        <f>IFERROR(INDEX(S490_Snapshot!$D$7:$D$38,MATCH(B10,S490_Snapshot!$A$7:$A$38,0)),"")</f>
        <v/>
      </c>
      <c r="L10" s="64" t="n">
        <v>3.73043</v>
      </c>
      <c r="M10" s="80">
        <f>IFERROR(INDEX(S490_Snapshot!$E$7:$E$38,MATCH(B10,S490_Snapshot!$A$7:$A$38,0)),"")</f>
        <v/>
      </c>
      <c r="N10" s="80">
        <f>IF(M10="","",Bootstrap!H10)</f>
        <v/>
      </c>
      <c r="O10" s="72">
        <f>IF(M10="","",N10-M10)</f>
        <v/>
      </c>
      <c r="P10" s="63">
        <f>IF(ISNUMBER(Bootstrap!E10),Bootstrap!E10,"")</f>
        <v/>
      </c>
      <c r="Q10" s="63">
        <f>IF(ISNUMBER(Bootstrap!X10),Bootstrap!X10,"")</f>
        <v/>
      </c>
      <c r="R10" s="89">
        <f>IF(OR(P10="",Q10=""),"",(P10-Q10)*100)</f>
        <v/>
      </c>
      <c r="V10" s="88" t="n">
        <v>46240</v>
      </c>
      <c r="W10" s="85" t="n">
        <v>3.672</v>
      </c>
      <c r="X10" s="85" t="n">
        <v>3.71519</v>
      </c>
      <c r="Y10" s="69" t="n">
        <v>0.998373</v>
      </c>
    </row>
    <row r="11">
      <c r="A11" s="6">
        <f>Bootstrap!A11</f>
        <v/>
      </c>
      <c r="B11" s="18">
        <f>Bootstrap!B11</f>
        <v/>
      </c>
      <c r="C11" s="17">
        <f>Bootstrap!J11</f>
        <v/>
      </c>
      <c r="D11" s="133">
        <f>IFERROR(INDEX($J$12:$T$82,MATCH(B11,INDEX($J$12:$T$82,0,$I$3),0),$I$4)*$I$5,IF(ISNUMBER(G11),G11,""))</f>
        <v/>
      </c>
      <c r="E11" s="89">
        <f>IF(ISNUMBER(L11),(C11-L11)*100,"")</f>
        <v/>
      </c>
      <c r="F11" s="93">
        <f>IF(ISNUMBER(IFERROR(INDEX($J$12:$T$82,MATCH(B11,INDEX($J$12:$T$82,0,$I$3),0),$I$4)*$I$5,"")),"BDS live",IF(ISNUMBER(G11),"manual paste","-"))</f>
        <v/>
      </c>
      <c r="G11" s="133">
        <f>IFERROR(INDEX(S490_Snapshot!$D$7:$D$38,MATCH(B11,S490_Snapshot!$A$7:$A$38,0)),"")</f>
        <v/>
      </c>
      <c r="L11" s="64" t="n">
        <v>3.73852</v>
      </c>
      <c r="M11" s="80">
        <f>IFERROR(INDEX(S490_Snapshot!$E$7:$E$38,MATCH(B11,S490_Snapshot!$A$7:$A$38,0)),"")</f>
        <v/>
      </c>
      <c r="N11" s="80">
        <f>IF(M11="","",Bootstrap!H11)</f>
        <v/>
      </c>
      <c r="O11" s="72">
        <f>IF(M11="","",N11-M11)</f>
        <v/>
      </c>
      <c r="P11" s="63">
        <f>IF(ISNUMBER(Bootstrap!E11),Bootstrap!E11,"")</f>
        <v/>
      </c>
      <c r="Q11" s="63">
        <f>IF(ISNUMBER(Bootstrap!X11),Bootstrap!X11,"")</f>
        <v/>
      </c>
      <c r="R11" s="89">
        <f>IF(OR(P11="",Q11=""),"",(P11-Q11)*100)</f>
        <v/>
      </c>
      <c r="V11" s="88" t="n">
        <v>46247</v>
      </c>
      <c r="W11" s="85" t="n">
        <v>3.6699</v>
      </c>
      <c r="X11" s="85" t="n">
        <v>3.71361</v>
      </c>
      <c r="Y11" s="69" t="n">
        <v>0.997663</v>
      </c>
    </row>
    <row r="12">
      <c r="A12" s="6">
        <f>Bootstrap!A12</f>
        <v/>
      </c>
      <c r="B12" s="18">
        <f>Bootstrap!B12</f>
        <v/>
      </c>
      <c r="C12" s="17">
        <f>Bootstrap!J12</f>
        <v/>
      </c>
      <c r="D12" s="133">
        <f>IFERROR(INDEX($J$12:$T$82,MATCH(B12,INDEX($J$12:$T$82,0,$I$3),0),$I$4)*$I$5,IF(ISNUMBER(G12),G12,""))</f>
        <v/>
      </c>
      <c r="E12" s="89">
        <f>IF(ISNUMBER(L12),(C12-L12)*100,"")</f>
        <v/>
      </c>
      <c r="F12" s="93">
        <f>IF(ISNUMBER(IFERROR(INDEX($J$12:$T$82,MATCH(B12,INDEX($J$12:$T$82,0,$I$3),0),$I$4)*$I$5,"")),"BDS live",IF(ISNUMBER(G12),"manual paste","-"))</f>
        <v/>
      </c>
      <c r="G12" s="133">
        <f>IFERROR(INDEX(S490_Snapshot!$D$7:$D$38,MATCH(B12,S490_Snapshot!$A$7:$A$38,0)),"")</f>
        <v/>
      </c>
      <c r="J12" s="93">
        <f>BDS(S490_TKR,"CURVE_TENOR_RATES")</f>
        <v/>
      </c>
      <c r="L12" s="64" t="n">
        <v>3.75985</v>
      </c>
      <c r="M12" s="80">
        <f>IFERROR(INDEX(S490_Snapshot!$E$7:$E$38,MATCH(B12,S490_Snapshot!$A$7:$A$38,0)),"")</f>
        <v/>
      </c>
      <c r="N12" s="80">
        <f>IF(M12="","",Bootstrap!H12)</f>
        <v/>
      </c>
      <c r="O12" s="72">
        <f>IF(M12="","",N12-M12)</f>
        <v/>
      </c>
      <c r="P12" s="63">
        <f>IF(ISNUMBER(Bootstrap!E12),Bootstrap!E12,"")</f>
        <v/>
      </c>
      <c r="Q12" s="63">
        <f>IF(ISNUMBER(Bootstrap!X12),Bootstrap!X12,"")</f>
        <v/>
      </c>
      <c r="R12" s="89">
        <f>IF(OR(P12="",Q12=""),"",(P12-Q12)*100)</f>
        <v/>
      </c>
      <c r="V12" s="88" t="n">
        <v>46258</v>
      </c>
      <c r="W12" s="85" t="n">
        <v>3.6789</v>
      </c>
      <c r="X12" s="85" t="n">
        <v>3.72127</v>
      </c>
      <c r="Y12" s="69" t="n">
        <v>0.99654</v>
      </c>
    </row>
    <row r="13">
      <c r="A13" s="6">
        <f>Bootstrap!A13</f>
        <v/>
      </c>
      <c r="B13" s="18">
        <f>Bootstrap!B13</f>
        <v/>
      </c>
      <c r="C13" s="17">
        <f>Bootstrap!J13</f>
        <v/>
      </c>
      <c r="D13" s="133">
        <f>IFERROR(INDEX($J$12:$T$82,MATCH(B13,INDEX($J$12:$T$82,0,$I$3),0),$I$4)*$I$5,IF(ISNUMBER(G13),G13,""))</f>
        <v/>
      </c>
      <c r="E13" s="89">
        <f>IF(ISNUMBER(L13),(C13-L13)*100,"")</f>
        <v/>
      </c>
      <c r="F13" s="93">
        <f>IF(ISNUMBER(IFERROR(INDEX($J$12:$T$82,MATCH(B13,INDEX($J$12:$T$82,0,$I$3),0),$I$4)*$I$5,"")),"BDS live",IF(ISNUMBER(G13),"manual paste","-"))</f>
        <v/>
      </c>
      <c r="G13" s="133">
        <f>IFERROR(INDEX(S490_Snapshot!$D$7:$D$38,MATCH(B13,S490_Snapshot!$A$7:$A$38,0)),"")</f>
        <v/>
      </c>
      <c r="L13" s="64" t="n">
        <v>3.80673</v>
      </c>
      <c r="M13" s="80">
        <f>IFERROR(INDEX(S490_Snapshot!$E$7:$E$38,MATCH(B13,S490_Snapshot!$A$7:$A$38,0)),"")</f>
        <v/>
      </c>
      <c r="N13" s="80">
        <f>IF(M13="","",Bootstrap!H13)</f>
        <v/>
      </c>
      <c r="O13" s="72">
        <f>IF(M13="","",N13-M13)</f>
        <v/>
      </c>
      <c r="P13" s="63">
        <f>IF(ISNUMBER(Bootstrap!E13),Bootstrap!E13,"")</f>
        <v/>
      </c>
      <c r="Q13" s="63">
        <f>IF(ISNUMBER(Bootstrap!X13),Bootstrap!X13,"")</f>
        <v/>
      </c>
      <c r="R13" s="89">
        <f>IF(OR(P13="",Q13=""),"",(P13-Q13)*100)</f>
        <v/>
      </c>
      <c r="V13" s="88" t="n">
        <v>46288</v>
      </c>
      <c r="W13" s="85" t="n">
        <v>3.70344</v>
      </c>
      <c r="X13" s="85" t="n">
        <v>3.74096</v>
      </c>
      <c r="Y13" s="69" t="n">
        <v>0.993462</v>
      </c>
    </row>
    <row r="14">
      <c r="A14" s="6">
        <f>Bootstrap!A14</f>
        <v/>
      </c>
      <c r="B14" s="18">
        <f>Bootstrap!B14</f>
        <v/>
      </c>
      <c r="C14" s="17">
        <f>Bootstrap!J14</f>
        <v/>
      </c>
      <c r="D14" s="133">
        <f>IFERROR(INDEX($J$12:$T$82,MATCH(B14,INDEX($J$12:$T$82,0,$I$3),0),$I$4)*$I$5,IF(ISNUMBER(G14),G14,""))</f>
        <v/>
      </c>
      <c r="E14" s="89">
        <f>IF(ISNUMBER(L14),(C14-L14)*100,"")</f>
        <v/>
      </c>
      <c r="F14" s="93">
        <f>IF(ISNUMBER(IFERROR(INDEX($J$12:$T$82,MATCH(B14,INDEX($J$12:$T$82,0,$I$3),0),$I$4)*$I$5,"")),"BDS live",IF(ISNUMBER(G14),"manual paste","-"))</f>
        <v/>
      </c>
      <c r="G14" s="133">
        <f>IFERROR(INDEX(S490_Snapshot!$D$7:$D$38,MATCH(B14,S490_Snapshot!$A$7:$A$38,0)),"")</f>
        <v/>
      </c>
      <c r="L14" s="64" t="n">
        <v>3.84626</v>
      </c>
      <c r="M14" s="80">
        <f>IFERROR(INDEX(S490_Snapshot!$E$7:$E$38,MATCH(B14,S490_Snapshot!$A$7:$A$38,0)),"")</f>
        <v/>
      </c>
      <c r="N14" s="80">
        <f>IF(M14="","",Bootstrap!H14)</f>
        <v/>
      </c>
      <c r="O14" s="72">
        <f>IF(M14="","",N14-M14)</f>
        <v/>
      </c>
      <c r="P14" s="63">
        <f>IF(ISNUMBER(Bootstrap!E14),Bootstrap!E14,"")</f>
        <v/>
      </c>
      <c r="Q14" s="63">
        <f>IF(ISNUMBER(Bootstrap!X14),Bootstrap!X14,"")</f>
        <v/>
      </c>
      <c r="R14" s="89">
        <f>IF(OR(P14="",Q14=""),"",(P14-Q14)*100)</f>
        <v/>
      </c>
      <c r="V14" s="88" t="n">
        <v>46318</v>
      </c>
      <c r="W14" s="85" t="n">
        <v>3.75285</v>
      </c>
      <c r="X14" s="85" t="n">
        <v>3.78455</v>
      </c>
      <c r="Y14" s="69" t="n">
        <v>0.990301</v>
      </c>
    </row>
    <row r="15">
      <c r="A15" s="6">
        <f>Bootstrap!A15</f>
        <v/>
      </c>
      <c r="B15" s="18">
        <f>Bootstrap!B15</f>
        <v/>
      </c>
      <c r="C15" s="17">
        <f>Bootstrap!J15</f>
        <v/>
      </c>
      <c r="D15" s="133">
        <f>IFERROR(INDEX($J$12:$T$82,MATCH(B15,INDEX($J$12:$T$82,0,$I$3),0),$I$4)*$I$5,IF(ISNUMBER(G15),G15,""))</f>
        <v/>
      </c>
      <c r="E15" s="89">
        <f>IF(ISNUMBER(L15),(C15-L15)*100,"")</f>
        <v/>
      </c>
      <c r="F15" s="93">
        <f>IF(ISNUMBER(IFERROR(INDEX($J$12:$T$82,MATCH(B15,INDEX($J$12:$T$82,0,$I$3),0),$I$4)*$I$5,"")),"BDS live",IF(ISNUMBER(G15),"manual paste","-"))</f>
        <v/>
      </c>
      <c r="G15" s="133">
        <f>IFERROR(INDEX(S490_Snapshot!$D$7:$D$38,MATCH(B15,S490_Snapshot!$A$7:$A$38,0)),"")</f>
        <v/>
      </c>
      <c r="L15" s="64" t="n">
        <v>3.88151</v>
      </c>
      <c r="M15" s="80">
        <f>IFERROR(INDEX(S490_Snapshot!$E$7:$E$38,MATCH(B15,S490_Snapshot!$A$7:$A$38,0)),"")</f>
        <v/>
      </c>
      <c r="N15" s="80">
        <f>IF(M15="","",Bootstrap!H15)</f>
        <v/>
      </c>
      <c r="O15" s="72">
        <f>IF(M15="","",N15-M15)</f>
        <v/>
      </c>
      <c r="P15" s="63">
        <f>IF(ISNUMBER(Bootstrap!E15),Bootstrap!E15,"")</f>
        <v/>
      </c>
      <c r="Q15" s="63">
        <f>IF(ISNUMBER(Bootstrap!X15),Bootstrap!X15,"")</f>
        <v/>
      </c>
      <c r="R15" s="89">
        <f>IF(OR(P15="",Q15=""),"",(P15-Q15)*100)</f>
        <v/>
      </c>
      <c r="V15" s="88" t="n">
        <v>46349</v>
      </c>
      <c r="W15" s="85" t="n">
        <v>3.79575</v>
      </c>
      <c r="X15" s="85" t="n">
        <v>3.82141</v>
      </c>
      <c r="Y15" s="69" t="n">
        <v>0.986998</v>
      </c>
    </row>
    <row r="16">
      <c r="A16" s="6">
        <f>Bootstrap!A16</f>
        <v/>
      </c>
      <c r="B16" s="18">
        <f>Bootstrap!B16</f>
        <v/>
      </c>
      <c r="C16" s="17">
        <f>Bootstrap!J16</f>
        <v/>
      </c>
      <c r="D16" s="133">
        <f>IFERROR(INDEX($J$12:$T$82,MATCH(B16,INDEX($J$12:$T$82,0,$I$3),0),$I$4)*$I$5,IF(ISNUMBER(G16),G16,""))</f>
        <v/>
      </c>
      <c r="E16" s="89">
        <f>IF(ISNUMBER(L16),(C16-L16)*100,"")</f>
        <v/>
      </c>
      <c r="F16" s="93">
        <f>IF(ISNUMBER(IFERROR(INDEX($J$12:$T$82,MATCH(B16,INDEX($J$12:$T$82,0,$I$3),0),$I$4)*$I$5,"")),"BDS live",IF(ISNUMBER(G16),"manual paste","-"))</f>
        <v/>
      </c>
      <c r="G16" s="133">
        <f>IFERROR(INDEX(S490_Snapshot!$D$7:$D$38,MATCH(B16,S490_Snapshot!$A$7:$A$38,0)),"")</f>
        <v/>
      </c>
      <c r="L16" s="64" t="n">
        <v>3.9203</v>
      </c>
      <c r="M16" s="80">
        <f>IFERROR(INDEX(S490_Snapshot!$E$7:$E$38,MATCH(B16,S490_Snapshot!$A$7:$A$38,0)),"")</f>
        <v/>
      </c>
      <c r="N16" s="80">
        <f>IF(M16="","",Bootstrap!H16)</f>
        <v/>
      </c>
      <c r="O16" s="72">
        <f>IF(M16="","",N16-M16)</f>
        <v/>
      </c>
      <c r="P16" s="63">
        <f>IF(ISNUMBER(Bootstrap!E16),Bootstrap!E16,"")</f>
        <v/>
      </c>
      <c r="Q16" s="63">
        <f>IF(ISNUMBER(Bootstrap!X16),Bootstrap!X16,"")</f>
        <v/>
      </c>
      <c r="R16" s="89">
        <f>IF(OR(P16="",Q16=""),"",(P16-Q16)*100)</f>
        <v/>
      </c>
      <c r="V16" s="88" t="n">
        <v>46379</v>
      </c>
      <c r="W16" s="85" t="n">
        <v>3.83435</v>
      </c>
      <c r="X16" s="85" t="n">
        <v>3.85398</v>
      </c>
      <c r="Y16" s="69" t="n">
        <v>0.9837669999999999</v>
      </c>
    </row>
    <row r="17">
      <c r="A17" s="6">
        <f>Bootstrap!A17</f>
        <v/>
      </c>
      <c r="B17" s="18">
        <f>Bootstrap!B17</f>
        <v/>
      </c>
      <c r="C17" s="17">
        <f>Bootstrap!J17</f>
        <v/>
      </c>
      <c r="D17" s="133">
        <f>IFERROR(INDEX($J$12:$T$82,MATCH(B17,INDEX($J$12:$T$82,0,$I$3),0),$I$4)*$I$5,IF(ISNUMBER(G17),G17,""))</f>
        <v/>
      </c>
      <c r="E17" s="89">
        <f>IF(ISNUMBER(L17),(C17-L17)*100,"")</f>
        <v/>
      </c>
      <c r="F17" s="93">
        <f>IF(ISNUMBER(IFERROR(INDEX($J$12:$T$82,MATCH(B17,INDEX($J$12:$T$82,0,$I$3),0),$I$4)*$I$5,"")),"BDS live",IF(ISNUMBER(G17),"manual paste","-"))</f>
        <v/>
      </c>
      <c r="G17" s="133">
        <f>IFERROR(INDEX(S490_Snapshot!$D$7:$D$38,MATCH(B17,S490_Snapshot!$A$7:$A$38,0)),"")</f>
        <v/>
      </c>
      <c r="L17" s="64" t="n">
        <v>3.94751</v>
      </c>
      <c r="M17" s="80">
        <f>IFERROR(INDEX(S490_Snapshot!$E$7:$E$38,MATCH(B17,S490_Snapshot!$A$7:$A$38,0)),"")</f>
        <v/>
      </c>
      <c r="N17" s="80">
        <f>IF(M17="","",Bootstrap!H17)</f>
        <v/>
      </c>
      <c r="O17" s="72">
        <f>IF(M17="","",N17-M17)</f>
        <v/>
      </c>
      <c r="P17" s="63">
        <f>IF(ISNUMBER(Bootstrap!E17),Bootstrap!E17,"")</f>
        <v/>
      </c>
      <c r="Q17" s="63">
        <f>IF(ISNUMBER(Bootstrap!X17),Bootstrap!X17,"")</f>
        <v/>
      </c>
      <c r="R17" s="89">
        <f>IF(OR(P17="",Q17=""),"",(P17-Q17)*100)</f>
        <v/>
      </c>
      <c r="V17" s="88" t="n">
        <v>46412</v>
      </c>
      <c r="W17" s="85" t="n">
        <v>3.87725</v>
      </c>
      <c r="X17" s="85" t="n">
        <v>3.88998</v>
      </c>
      <c r="Y17" s="69" t="n">
        <v>0.980163</v>
      </c>
    </row>
    <row r="18">
      <c r="A18" s="6">
        <f>Bootstrap!A18</f>
        <v/>
      </c>
      <c r="B18" s="18">
        <f>Bootstrap!B18</f>
        <v/>
      </c>
      <c r="C18" s="17">
        <f>Bootstrap!J18</f>
        <v/>
      </c>
      <c r="D18" s="133">
        <f>IFERROR(INDEX($J$12:$T$82,MATCH(B18,INDEX($J$12:$T$82,0,$I$3),0),$I$4)*$I$5,IF(ISNUMBER(G18),G18,""))</f>
        <v/>
      </c>
      <c r="E18" s="89">
        <f>IF(ISNUMBER(L18),(C18-L18)*100,"")</f>
        <v/>
      </c>
      <c r="F18" s="93">
        <f>IF(ISNUMBER(IFERROR(INDEX($J$12:$T$82,MATCH(B18,INDEX($J$12:$T$82,0,$I$3),0),$I$4)*$I$5,"")),"BDS live",IF(ISNUMBER(G18),"manual paste","-"))</f>
        <v/>
      </c>
      <c r="G18" s="133">
        <f>IFERROR(INDEX(S490_Snapshot!$D$7:$D$38,MATCH(B18,S490_Snapshot!$A$7:$A$38,0)),"")</f>
        <v/>
      </c>
      <c r="L18" s="64" t="n">
        <v>3.96958</v>
      </c>
      <c r="M18" s="80">
        <f>IFERROR(INDEX(S490_Snapshot!$E$7:$E$38,MATCH(B18,S490_Snapshot!$A$7:$A$38,0)),"")</f>
        <v/>
      </c>
      <c r="N18" s="80">
        <f>IF(M18="","",Bootstrap!H18)</f>
        <v/>
      </c>
      <c r="O18" s="72">
        <f>IF(M18="","",N18-M18)</f>
        <v/>
      </c>
      <c r="P18" s="63">
        <f>IF(ISNUMBER(Bootstrap!E18),Bootstrap!E18,"")</f>
        <v/>
      </c>
      <c r="Q18" s="63">
        <f>IF(ISNUMBER(Bootstrap!X18),Bootstrap!X18,"")</f>
        <v/>
      </c>
      <c r="R18" s="89">
        <f>IF(OR(P18="",Q18=""),"",(P18-Q18)*100)</f>
        <v/>
      </c>
      <c r="V18" s="88" t="n">
        <v>46441</v>
      </c>
      <c r="W18" s="85" t="n">
        <v>3.9082</v>
      </c>
      <c r="X18" s="85" t="n">
        <v>3.91475</v>
      </c>
      <c r="Y18" s="69" t="n">
        <v>0.9769949999999999</v>
      </c>
    </row>
    <row r="19">
      <c r="A19" s="6">
        <f>Bootstrap!A19</f>
        <v/>
      </c>
      <c r="B19" s="18">
        <f>Bootstrap!B19</f>
        <v/>
      </c>
      <c r="C19" s="17">
        <f>Bootstrap!J19</f>
        <v/>
      </c>
      <c r="D19" s="133">
        <f>IFERROR(INDEX($J$12:$T$82,MATCH(B19,INDEX($J$12:$T$82,0,$I$3),0),$I$4)*$I$5,IF(ISNUMBER(G19),G19,""))</f>
        <v/>
      </c>
      <c r="E19" s="89">
        <f>IF(ISNUMBER(L19),(C19-L19)*100,"")</f>
        <v/>
      </c>
      <c r="F19" s="93">
        <f>IF(ISNUMBER(IFERROR(INDEX($J$12:$T$82,MATCH(B19,INDEX($J$12:$T$82,0,$I$3),0),$I$4)*$I$5,"")),"BDS live",IF(ISNUMBER(G19),"manual paste","-"))</f>
        <v/>
      </c>
      <c r="G19" s="133">
        <f>IFERROR(INDEX(S490_Snapshot!$D$7:$D$38,MATCH(B19,S490_Snapshot!$A$7:$A$38,0)),"")</f>
        <v/>
      </c>
      <c r="L19" s="64" t="n">
        <v>3.9935</v>
      </c>
      <c r="M19" s="80">
        <f>IFERROR(INDEX(S490_Snapshot!$E$7:$E$38,MATCH(B19,S490_Snapshot!$A$7:$A$38,0)),"")</f>
        <v/>
      </c>
      <c r="N19" s="80">
        <f>IF(M19="","",Bootstrap!H19)</f>
        <v/>
      </c>
      <c r="O19" s="72">
        <f>IF(M19="","",N19-M19)</f>
        <v/>
      </c>
      <c r="P19" s="63">
        <f>IF(ISNUMBER(Bootstrap!E19),Bootstrap!E19,"")</f>
        <v/>
      </c>
      <c r="Q19" s="63">
        <f>IF(ISNUMBER(Bootstrap!X19),Bootstrap!X19,"")</f>
        <v/>
      </c>
      <c r="R19" s="89">
        <f>IF(OR(P19="",Q19=""),"",(P19-Q19)*100)</f>
        <v/>
      </c>
      <c r="V19" s="88" t="n">
        <v>46469</v>
      </c>
      <c r="W19" s="85" t="n">
        <v>3.9345</v>
      </c>
      <c r="X19" s="85" t="n">
        <v>3.93499</v>
      </c>
      <c r="Y19" s="69" t="n">
        <v>0.973933</v>
      </c>
    </row>
    <row r="20">
      <c r="A20" s="6">
        <f>Bootstrap!A20</f>
        <v/>
      </c>
      <c r="B20" s="18">
        <f>Bootstrap!B20</f>
        <v/>
      </c>
      <c r="C20" s="17">
        <f>Bootstrap!J20</f>
        <v/>
      </c>
      <c r="D20" s="133">
        <f>IFERROR(INDEX($J$12:$T$82,MATCH(B20,INDEX($J$12:$T$82,0,$I$3),0),$I$4)*$I$5,IF(ISNUMBER(G20),G20,""))</f>
        <v/>
      </c>
      <c r="E20" s="89">
        <f>IF(ISNUMBER(L20),(C20-L20)*100,"")</f>
        <v/>
      </c>
      <c r="F20" s="93">
        <f>IF(ISNUMBER(IFERROR(INDEX($J$12:$T$82,MATCH(B20,INDEX($J$12:$T$82,0,$I$3),0),$I$4)*$I$5,"")),"BDS live",IF(ISNUMBER(G20),"manual paste","-"))</f>
        <v/>
      </c>
      <c r="G20" s="133">
        <f>IFERROR(INDEX(S490_Snapshot!$D$7:$D$38,MATCH(B20,S490_Snapshot!$A$7:$A$38,0)),"")</f>
        <v/>
      </c>
      <c r="L20" s="64" t="n">
        <v>4.0143</v>
      </c>
      <c r="M20" s="80">
        <f>IFERROR(INDEX(S490_Snapshot!$E$7:$E$38,MATCH(B20,S490_Snapshot!$A$7:$A$38,0)),"")</f>
        <v/>
      </c>
      <c r="N20" s="80">
        <f>IF(M20="","",Bootstrap!H20)</f>
        <v/>
      </c>
      <c r="O20" s="72">
        <f>IF(M20="","",N20-M20)</f>
        <v/>
      </c>
      <c r="P20" s="63">
        <f>IF(ISNUMBER(Bootstrap!E20),Bootstrap!E20,"")</f>
        <v/>
      </c>
      <c r="Q20" s="63">
        <f>IF(ISNUMBER(Bootstrap!X20),Bootstrap!X20,"")</f>
        <v/>
      </c>
      <c r="R20" s="89">
        <f>IF(OR(P20="",Q20=""),"",(P20-Q20)*100)</f>
        <v/>
      </c>
      <c r="V20" s="88" t="n">
        <v>46500</v>
      </c>
      <c r="W20" s="85" t="n">
        <v>3.96295</v>
      </c>
      <c r="X20" s="85" t="n">
        <v>3.95656</v>
      </c>
      <c r="Y20" s="69" t="n">
        <v>0.970525</v>
      </c>
    </row>
    <row r="21">
      <c r="A21" s="6">
        <f>Bootstrap!A21</f>
        <v/>
      </c>
      <c r="B21" s="18">
        <f>Bootstrap!B21</f>
        <v/>
      </c>
      <c r="C21" s="17">
        <f>Bootstrap!J21</f>
        <v/>
      </c>
      <c r="D21" s="133">
        <f>IFERROR(INDEX($J$12:$T$82,MATCH(B21,INDEX($J$12:$T$82,0,$I$3),0),$I$4)*$I$5,IF(ISNUMBER(G21),G21,""))</f>
        <v/>
      </c>
      <c r="E21" s="89">
        <f>IF(ISNUMBER(L21),(C21-L21)*100,"")</f>
        <v/>
      </c>
      <c r="F21" s="93">
        <f>IF(ISNUMBER(IFERROR(INDEX($J$12:$T$82,MATCH(B21,INDEX($J$12:$T$82,0,$I$3),0),$I$4)*$I$5,"")),"BDS live",IF(ISNUMBER(G21),"manual paste","-"))</f>
        <v/>
      </c>
      <c r="G21" s="133">
        <f>IFERROR(INDEX(S490_Snapshot!$D$7:$D$38,MATCH(B21,S490_Snapshot!$A$7:$A$38,0)),"")</f>
        <v/>
      </c>
      <c r="L21" s="64" t="n">
        <v>4.03096</v>
      </c>
      <c r="M21" s="80">
        <f>IFERROR(INDEX(S490_Snapshot!$E$7:$E$38,MATCH(B21,S490_Snapshot!$A$7:$A$38,0)),"")</f>
        <v/>
      </c>
      <c r="N21" s="80">
        <f>IF(M21="","",Bootstrap!H21)</f>
        <v/>
      </c>
      <c r="O21" s="72">
        <f>IF(M21="","",N21-M21)</f>
        <v/>
      </c>
      <c r="P21" s="63">
        <f>IF(ISNUMBER(Bootstrap!E21),Bootstrap!E21,"")</f>
        <v/>
      </c>
      <c r="Q21" s="63">
        <f>IF(ISNUMBER(Bootstrap!X21),Bootstrap!X21,"")</f>
        <v/>
      </c>
      <c r="R21" s="89">
        <f>IF(OR(P21="",Q21=""),"",(P21-Q21)*100)</f>
        <v/>
      </c>
      <c r="V21" s="88" t="n">
        <v>46531</v>
      </c>
      <c r="W21" s="85" t="n">
        <v>3.9886</v>
      </c>
      <c r="X21" s="85" t="n">
        <v>3.97523</v>
      </c>
      <c r="Y21" s="69" t="n">
        <v>0.967117</v>
      </c>
    </row>
    <row r="22">
      <c r="A22" s="6">
        <f>Bootstrap!A22</f>
        <v/>
      </c>
      <c r="B22" s="18">
        <f>Bootstrap!B22</f>
        <v/>
      </c>
      <c r="C22" s="17">
        <f>Bootstrap!J22</f>
        <v/>
      </c>
      <c r="D22" s="133">
        <f>IFERROR(INDEX($J$12:$T$82,MATCH(B22,INDEX($J$12:$T$82,0,$I$3),0),$I$4)*$I$5,IF(ISNUMBER(G22),G22,""))</f>
        <v/>
      </c>
      <c r="E22" s="89">
        <f>IF(ISNUMBER(L22),(C22-L22)*100,"")</f>
        <v/>
      </c>
      <c r="F22" s="93">
        <f>IF(ISNUMBER(IFERROR(INDEX($J$12:$T$82,MATCH(B22,INDEX($J$12:$T$82,0,$I$3),0),$I$4)*$I$5,"")),"BDS live",IF(ISNUMBER(G22),"manual paste","-"))</f>
        <v/>
      </c>
      <c r="G22" s="133">
        <f>IFERROR(INDEX(S490_Snapshot!$D$7:$D$38,MATCH(B22,S490_Snapshot!$A$7:$A$38,0)),"")</f>
        <v/>
      </c>
      <c r="L22" s="64" t="n">
        <v>4.04476</v>
      </c>
      <c r="M22" s="80">
        <f>IFERROR(INDEX(S490_Snapshot!$E$7:$E$38,MATCH(B22,S490_Snapshot!$A$7:$A$38,0)),"")</f>
        <v/>
      </c>
      <c r="N22" s="80">
        <f>IF(M22="","",Bootstrap!H22)</f>
        <v/>
      </c>
      <c r="O22" s="72">
        <f>IF(M22="","",N22-M22)</f>
        <v/>
      </c>
      <c r="P22" s="63">
        <f>IF(ISNUMBER(Bootstrap!E22),Bootstrap!E22,"")</f>
        <v/>
      </c>
      <c r="Q22" s="63">
        <f>IF(ISNUMBER(Bootstrap!X22),Bootstrap!X22,"")</f>
        <v/>
      </c>
      <c r="R22" s="89">
        <f>IF(OR(P22="",Q22=""),"",(P22-Q22)*100)</f>
        <v/>
      </c>
      <c r="V22" s="88" t="n">
        <v>46561</v>
      </c>
      <c r="W22" s="85" t="n">
        <v>4.01085</v>
      </c>
      <c r="X22" s="85" t="n">
        <v>3.99064</v>
      </c>
      <c r="Y22" s="69" t="n">
        <v>0.963825</v>
      </c>
    </row>
    <row r="23">
      <c r="A23" s="6">
        <f>Bootstrap!A23</f>
        <v/>
      </c>
      <c r="B23" s="18">
        <f>Bootstrap!B23</f>
        <v/>
      </c>
      <c r="C23" s="17">
        <f>Bootstrap!J23</f>
        <v/>
      </c>
      <c r="D23" s="133">
        <f>IFERROR(INDEX($J$12:$T$82,MATCH(B23,INDEX($J$12:$T$82,0,$I$3),0),$I$4)*$I$5,IF(ISNUMBER(G23),G23,""))</f>
        <v/>
      </c>
      <c r="E23" s="89">
        <f>IF(ISNUMBER(L23),(C23-L23)*100,"")</f>
        <v/>
      </c>
      <c r="F23" s="93">
        <f>IF(ISNUMBER(IFERROR(INDEX($J$12:$T$82,MATCH(B23,INDEX($J$12:$T$82,0,$I$3),0),$I$4)*$I$5,"")),"BDS live",IF(ISNUMBER(G23),"manual paste","-"))</f>
        <v/>
      </c>
      <c r="G23" s="133">
        <f>IFERROR(INDEX(S490_Snapshot!$D$7:$D$38,MATCH(B23,S490_Snapshot!$A$7:$A$38,0)),"")</f>
        <v/>
      </c>
      <c r="L23" s="64" t="n">
        <v>4.07772</v>
      </c>
      <c r="M23" s="80">
        <f>IFERROR(INDEX(S490_Snapshot!$E$7:$E$38,MATCH(B23,S490_Snapshot!$A$7:$A$38,0)),"")</f>
        <v/>
      </c>
      <c r="N23" s="80">
        <f>IF(M23="","",Bootstrap!H23)</f>
        <v/>
      </c>
      <c r="O23" s="72">
        <f>IF(M23="","",N23-M23)</f>
        <v/>
      </c>
      <c r="P23" s="63">
        <f>IF(ISNUMBER(Bootstrap!E23),Bootstrap!E23,"")</f>
        <v/>
      </c>
      <c r="Q23" s="63">
        <f>IF(ISNUMBER(Bootstrap!X23),Bootstrap!X23,"")</f>
        <v/>
      </c>
      <c r="R23" s="89">
        <f>IF(OR(P23="",Q23=""),"",(P23-Q23)*100)</f>
        <v/>
      </c>
      <c r="V23" s="88" t="n">
        <v>46591</v>
      </c>
      <c r="W23" s="85" t="n">
        <v>4.0303</v>
      </c>
      <c r="X23" s="85" t="n">
        <v>4.00322</v>
      </c>
      <c r="Y23" s="69" t="n">
        <v>0.960548</v>
      </c>
    </row>
    <row r="24">
      <c r="A24" s="6">
        <f>Bootstrap!A24</f>
        <v/>
      </c>
      <c r="B24" s="18">
        <f>Bootstrap!B24</f>
        <v/>
      </c>
      <c r="C24" s="17">
        <f>Bootstrap!J24</f>
        <v/>
      </c>
      <c r="D24" s="133">
        <f>IFERROR(INDEX($J$12:$T$82,MATCH(B24,INDEX($J$12:$T$82,0,$I$3),0),$I$4)*$I$5,IF(ISNUMBER(G24),G24,""))</f>
        <v/>
      </c>
      <c r="E24" s="89">
        <f>IF(ISNUMBER(L24),(C24-L24)*100,"")</f>
        <v/>
      </c>
      <c r="F24" s="93">
        <f>IF(ISNUMBER(IFERROR(INDEX($J$12:$T$82,MATCH(B24,INDEX($J$12:$T$82,0,$I$3),0),$I$4)*$I$5,"")),"BDS live",IF(ISNUMBER(G24),"manual paste","-"))</f>
        <v/>
      </c>
      <c r="G24" s="133">
        <f>IFERROR(INDEX(S490_Snapshot!$D$7:$D$38,MATCH(B24,S490_Snapshot!$A$7:$A$38,0)),"")</f>
        <v/>
      </c>
      <c r="L24" s="64" t="n">
        <v>4.06872</v>
      </c>
      <c r="M24" s="80">
        <f>IFERROR(INDEX(S490_Snapshot!$E$7:$E$38,MATCH(B24,S490_Snapshot!$A$7:$A$38,0)),"")</f>
        <v/>
      </c>
      <c r="N24" s="80">
        <f>IF(M24="","",Bootstrap!H24)</f>
        <v/>
      </c>
      <c r="O24" s="72">
        <f>IF(M24="","",N24-M24)</f>
        <v/>
      </c>
      <c r="P24" s="63">
        <f>IF(ISNUMBER(Bootstrap!E24),Bootstrap!E24,"")</f>
        <v/>
      </c>
      <c r="Q24" s="63">
        <f>IF(ISNUMBER(Bootstrap!X24),Bootstrap!X24,"")</f>
        <v/>
      </c>
      <c r="R24" s="89">
        <f>IF(OR(P24="",Q24=""),"",(P24-Q24)*100)</f>
        <v/>
      </c>
      <c r="V24" s="88" t="n">
        <v>46776</v>
      </c>
      <c r="W24" s="85" t="n">
        <v>4.04559</v>
      </c>
      <c r="X24" s="85" t="n">
        <v>4.03332</v>
      </c>
      <c r="Y24" s="69" t="n">
        <v>0.9408260000000001</v>
      </c>
    </row>
    <row r="25">
      <c r="A25" s="6">
        <f>Bootstrap!A25</f>
        <v/>
      </c>
      <c r="B25" s="18">
        <f>Bootstrap!B25</f>
        <v/>
      </c>
      <c r="C25" s="17">
        <f>Bootstrap!J25</f>
        <v/>
      </c>
      <c r="D25" s="133">
        <f>IFERROR(INDEX($J$12:$T$82,MATCH(B25,INDEX($J$12:$T$82,0,$I$3),0),$I$4)*$I$5,IF(ISNUMBER(G25),G25,""))</f>
        <v/>
      </c>
      <c r="E25" s="89">
        <f>IF(ISNUMBER(L25),(C25-L25)*100,"")</f>
        <v/>
      </c>
      <c r="F25" s="93">
        <f>IF(ISNUMBER(IFERROR(INDEX($J$12:$T$82,MATCH(B25,INDEX($J$12:$T$82,0,$I$3),0),$I$4)*$I$5,"")),"BDS live",IF(ISNUMBER(G25),"manual paste","-"))</f>
        <v/>
      </c>
      <c r="G25" s="133">
        <f>IFERROR(INDEX(S490_Snapshot!$D$7:$D$38,MATCH(B25,S490_Snapshot!$A$7:$A$38,0)),"")</f>
        <v/>
      </c>
      <c r="L25" s="64" t="n">
        <v>4.0488</v>
      </c>
      <c r="M25" s="80">
        <f>IFERROR(INDEX(S490_Snapshot!$E$7:$E$38,MATCH(B25,S490_Snapshot!$A$7:$A$38,0)),"")</f>
        <v/>
      </c>
      <c r="N25" s="80">
        <f>IF(M25="","",Bootstrap!H25)</f>
        <v/>
      </c>
      <c r="O25" s="72">
        <f>IF(M25="","",N25-M25)</f>
        <v/>
      </c>
      <c r="P25" s="63">
        <f>IF(ISNUMBER(Bootstrap!E25),Bootstrap!E25,"")</f>
        <v/>
      </c>
      <c r="Q25" s="63">
        <f>IF(ISNUMBER(Bootstrap!X25),Bootstrap!X25,"")</f>
        <v/>
      </c>
      <c r="R25" s="89">
        <f>IF(OR(P25="",Q25=""),"",(P25-Q25)*100)</f>
        <v/>
      </c>
      <c r="V25" s="88" t="n">
        <v>46958</v>
      </c>
      <c r="W25" s="85" t="n">
        <v>4.0511</v>
      </c>
      <c r="X25" s="85" t="n">
        <v>4.0245</v>
      </c>
      <c r="Y25" s="69" t="n">
        <v>0.922257</v>
      </c>
    </row>
    <row r="26">
      <c r="A26" s="6">
        <f>Bootstrap!A26</f>
        <v/>
      </c>
      <c r="B26" s="18">
        <f>Bootstrap!B26</f>
        <v/>
      </c>
      <c r="C26" s="17">
        <f>Bootstrap!J26</f>
        <v/>
      </c>
      <c r="D26" s="133">
        <f>IFERROR(INDEX($J$12:$T$82,MATCH(B26,INDEX($J$12:$T$82,0,$I$3),0),$I$4)*$I$5,IF(ISNUMBER(G26),G26,""))</f>
        <v/>
      </c>
      <c r="E26" s="89">
        <f>IF(ISNUMBER(L26),(C26-L26)*100,"")</f>
        <v/>
      </c>
      <c r="F26" s="93">
        <f>IF(ISNUMBER(IFERROR(INDEX($J$12:$T$82,MATCH(B26,INDEX($J$12:$T$82,0,$I$3),0),$I$4)*$I$5,"")),"BDS live",IF(ISNUMBER(G26),"manual paste","-"))</f>
        <v/>
      </c>
      <c r="G26" s="133">
        <f>IFERROR(INDEX(S490_Snapshot!$D$7:$D$38,MATCH(B26,S490_Snapshot!$A$7:$A$38,0)),"")</f>
        <v/>
      </c>
      <c r="L26" s="64" t="n">
        <v>4.03876</v>
      </c>
      <c r="M26" s="80">
        <f>IFERROR(INDEX(S490_Snapshot!$E$7:$E$38,MATCH(B26,S490_Snapshot!$A$7:$A$38,0)),"")</f>
        <v/>
      </c>
      <c r="N26" s="80">
        <f>IF(M26="","",Bootstrap!H26)</f>
        <v/>
      </c>
      <c r="O26" s="72">
        <f>IF(M26="","",N26-M26)</f>
        <v/>
      </c>
      <c r="P26" s="63">
        <f>IF(ISNUMBER(Bootstrap!E26),Bootstrap!E26,"")</f>
        <v/>
      </c>
      <c r="Q26" s="63">
        <f>IF(ISNUMBER(Bootstrap!X26),Bootstrap!X26,"")</f>
        <v/>
      </c>
      <c r="R26" s="89">
        <f>IF(OR(P26="",Q26=""),"",(P26-Q26)*100)</f>
        <v/>
      </c>
      <c r="V26" s="88" t="n">
        <v>47322</v>
      </c>
      <c r="W26" s="85" t="n">
        <v>4.03145</v>
      </c>
      <c r="X26" s="85" t="n">
        <v>4.00493</v>
      </c>
      <c r="Y26" s="69" t="n">
        <v>0.886497</v>
      </c>
    </row>
    <row r="27">
      <c r="A27" s="6">
        <f>Bootstrap!A27</f>
        <v/>
      </c>
      <c r="B27" s="18">
        <f>Bootstrap!B27</f>
        <v/>
      </c>
      <c r="C27" s="17">
        <f>Bootstrap!J27</f>
        <v/>
      </c>
      <c r="D27" s="133">
        <f>IFERROR(INDEX($J$12:$T$82,MATCH(B27,INDEX($J$12:$T$82,0,$I$3),0),$I$4)*$I$5,IF(ISNUMBER(G27),G27,""))</f>
        <v/>
      </c>
      <c r="E27" s="89">
        <f>IF(ISNUMBER(L27),(C27-L27)*100,"")</f>
        <v/>
      </c>
      <c r="F27" s="93">
        <f>IF(ISNUMBER(IFERROR(INDEX($J$12:$T$82,MATCH(B27,INDEX($J$12:$T$82,0,$I$3),0),$I$4)*$I$5,"")),"BDS live",IF(ISNUMBER(G27),"manual paste","-"))</f>
        <v/>
      </c>
      <c r="G27" s="133">
        <f>IFERROR(INDEX(S490_Snapshot!$D$7:$D$38,MATCH(B27,S490_Snapshot!$A$7:$A$38,0)),"")</f>
        <v/>
      </c>
      <c r="L27" s="64" t="n">
        <v>4.0443</v>
      </c>
      <c r="M27" s="80">
        <f>IFERROR(INDEX(S490_Snapshot!$E$7:$E$38,MATCH(B27,S490_Snapshot!$A$7:$A$38,0)),"")</f>
        <v/>
      </c>
      <c r="N27" s="80">
        <f>IF(M27="","",Bootstrap!H27)</f>
        <v/>
      </c>
      <c r="O27" s="72">
        <f>IF(M27="","",N27-M27)</f>
        <v/>
      </c>
      <c r="P27" s="63">
        <f>IF(ISNUMBER(Bootstrap!E27),Bootstrap!E27,"")</f>
        <v/>
      </c>
      <c r="Q27" s="63">
        <f>IF(ISNUMBER(Bootstrap!X27),Bootstrap!X27,"")</f>
        <v/>
      </c>
      <c r="R27" s="89">
        <f>IF(OR(P27="",Q27=""),"",(P27-Q27)*100)</f>
        <v/>
      </c>
      <c r="V27" s="88" t="n">
        <v>47687</v>
      </c>
      <c r="W27" s="85" t="n">
        <v>4.0236</v>
      </c>
      <c r="X27" s="85" t="n">
        <v>3.99711</v>
      </c>
      <c r="Y27" s="69" t="n">
        <v>0.851962</v>
      </c>
    </row>
    <row r="28">
      <c r="A28" s="6">
        <f>Bootstrap!A28</f>
        <v/>
      </c>
      <c r="B28" s="18">
        <f>Bootstrap!B28</f>
        <v/>
      </c>
      <c r="C28" s="17">
        <f>Bootstrap!J28</f>
        <v/>
      </c>
      <c r="D28" s="133">
        <f>IFERROR(INDEX($J$12:$T$82,MATCH(B28,INDEX($J$12:$T$82,0,$I$3),0),$I$4)*$I$5,IF(ISNUMBER(G28),G28,""))</f>
        <v/>
      </c>
      <c r="E28" s="89">
        <f>IF(ISNUMBER(L28),(C28-L28)*100,"")</f>
        <v/>
      </c>
      <c r="F28" s="93">
        <f>IF(ISNUMBER(IFERROR(INDEX($J$12:$T$82,MATCH(B28,INDEX($J$12:$T$82,0,$I$3),0),$I$4)*$I$5,"")),"BDS live",IF(ISNUMBER(G28),"manual paste","-"))</f>
        <v/>
      </c>
      <c r="G28" s="133">
        <f>IFERROR(INDEX(S490_Snapshot!$D$7:$D$38,MATCH(B28,S490_Snapshot!$A$7:$A$38,0)),"")</f>
        <v/>
      </c>
      <c r="L28" s="64" t="n">
        <v>4.0634</v>
      </c>
      <c r="M28" s="80">
        <f>IFERROR(INDEX(S490_Snapshot!$E$7:$E$38,MATCH(B28,S490_Snapshot!$A$7:$A$38,0)),"")</f>
        <v/>
      </c>
      <c r="N28" s="80">
        <f>IF(M28="","",Bootstrap!H28)</f>
        <v/>
      </c>
      <c r="O28" s="72">
        <f>IF(M28="","",N28-M28)</f>
        <v/>
      </c>
      <c r="P28" s="63">
        <f>IF(ISNUMBER(Bootstrap!E28),Bootstrap!E28,"")</f>
        <v/>
      </c>
      <c r="Q28" s="63">
        <f>IF(ISNUMBER(Bootstrap!X28),Bootstrap!X28,"")</f>
        <v/>
      </c>
      <c r="R28" s="89">
        <f>IF(OR(P28="",Q28=""),"",(P28-Q28)*100)</f>
        <v/>
      </c>
      <c r="V28" s="88" t="n">
        <v>48052</v>
      </c>
      <c r="W28" s="85" t="n">
        <v>4.0314</v>
      </c>
      <c r="X28" s="85" t="n">
        <v>4.00561</v>
      </c>
      <c r="Y28" s="69" t="n">
        <v>0.818232</v>
      </c>
    </row>
    <row r="29">
      <c r="A29" s="6">
        <f>Bootstrap!A29</f>
        <v/>
      </c>
      <c r="B29" s="18">
        <f>Bootstrap!B29</f>
        <v/>
      </c>
      <c r="C29" s="17">
        <f>Bootstrap!J29</f>
        <v/>
      </c>
      <c r="D29" s="133">
        <f>IFERROR(INDEX($J$12:$T$82,MATCH(B29,INDEX($J$12:$T$82,0,$I$3),0),$I$4)*$I$5,IF(ISNUMBER(G29),G29,""))</f>
        <v/>
      </c>
      <c r="E29" s="89">
        <f>IF(ISNUMBER(L29),(C29-L29)*100,"")</f>
        <v/>
      </c>
      <c r="F29" s="93">
        <f>IF(ISNUMBER(IFERROR(INDEX($J$12:$T$82,MATCH(B29,INDEX($J$12:$T$82,0,$I$3),0),$I$4)*$I$5,"")),"BDS live",IF(ISNUMBER(G29),"manual paste","-"))</f>
        <v/>
      </c>
      <c r="G29" s="133">
        <f>IFERROR(INDEX(S490_Snapshot!$D$7:$D$38,MATCH(B29,S490_Snapshot!$A$7:$A$38,0)),"")</f>
        <v/>
      </c>
      <c r="L29" s="64" t="n">
        <v>4.0891</v>
      </c>
      <c r="M29" s="80">
        <f>IFERROR(INDEX(S490_Snapshot!$E$7:$E$38,MATCH(B29,S490_Snapshot!$A$7:$A$38,0)),"")</f>
        <v/>
      </c>
      <c r="N29" s="80">
        <f>IF(M29="","",Bootstrap!H29)</f>
        <v/>
      </c>
      <c r="O29" s="72">
        <f>IF(M29="","",N29-M29)</f>
        <v/>
      </c>
      <c r="P29" s="63">
        <f>IF(ISNUMBER(Bootstrap!E29),Bootstrap!E29,"")</f>
        <v/>
      </c>
      <c r="Q29" s="63">
        <f>IF(ISNUMBER(Bootstrap!X29),Bootstrap!X29,"")</f>
        <v/>
      </c>
      <c r="R29" s="89">
        <f>IF(OR(P29="",Q29=""),"",(P29-Q29)*100)</f>
        <v/>
      </c>
      <c r="V29" s="88" t="n">
        <v>48418</v>
      </c>
      <c r="W29" s="85" t="n">
        <v>4.05176</v>
      </c>
      <c r="X29" s="85" t="n">
        <v>4.02762</v>
      </c>
      <c r="Y29" s="69" t="n">
        <v>0.784979</v>
      </c>
    </row>
    <row r="30">
      <c r="A30" s="6">
        <f>Bootstrap!A30</f>
        <v/>
      </c>
      <c r="B30" s="18">
        <f>Bootstrap!B30</f>
        <v/>
      </c>
      <c r="C30" s="17">
        <f>Bootstrap!J30</f>
        <v/>
      </c>
      <c r="D30" s="133">
        <f>IFERROR(INDEX($J$12:$T$82,MATCH(B30,INDEX($J$12:$T$82,0,$I$3),0),$I$4)*$I$5,IF(ISNUMBER(G30),G30,""))</f>
        <v/>
      </c>
      <c r="E30" s="89">
        <f>IF(ISNUMBER(L30),(C30-L30)*100,"")</f>
        <v/>
      </c>
      <c r="F30" s="93">
        <f>IF(ISNUMBER(IFERROR(INDEX($J$12:$T$82,MATCH(B30,INDEX($J$12:$T$82,0,$I$3),0),$I$4)*$I$5,"")),"BDS live",IF(ISNUMBER(G30),"manual paste","-"))</f>
        <v/>
      </c>
      <c r="G30" s="133">
        <f>IFERROR(INDEX(S490_Snapshot!$D$7:$D$38,MATCH(B30,S490_Snapshot!$A$7:$A$38,0)),"")</f>
        <v/>
      </c>
      <c r="L30" s="64" t="n">
        <v>4.11874</v>
      </c>
      <c r="M30" s="80">
        <f>IFERROR(INDEX(S490_Snapshot!$E$7:$E$38,MATCH(B30,S490_Snapshot!$A$7:$A$38,0)),"")</f>
        <v/>
      </c>
      <c r="N30" s="80">
        <f>IF(M30="","",Bootstrap!H30)</f>
        <v/>
      </c>
      <c r="O30" s="72">
        <f>IF(M30="","",N30-M30)</f>
        <v/>
      </c>
      <c r="P30" s="63">
        <f>IF(ISNUMBER(Bootstrap!E30),Bootstrap!E30,"")</f>
        <v/>
      </c>
      <c r="Q30" s="63">
        <f>IF(ISNUMBER(Bootstrap!X30),Bootstrap!X30,"")</f>
        <v/>
      </c>
      <c r="R30" s="89">
        <f>IF(OR(P30="",Q30=""),"",(P30-Q30)*100)</f>
        <v/>
      </c>
      <c r="V30" s="88" t="n">
        <v>48785</v>
      </c>
      <c r="W30" s="85" t="n">
        <v>4.07793</v>
      </c>
      <c r="X30" s="85" t="n">
        <v>4.05617</v>
      </c>
      <c r="Y30" s="69" t="n">
        <v>0.752316</v>
      </c>
    </row>
    <row r="31">
      <c r="A31" s="6">
        <f>Bootstrap!A31</f>
        <v/>
      </c>
      <c r="B31" s="18">
        <f>Bootstrap!B31</f>
        <v/>
      </c>
      <c r="C31" s="17">
        <f>Bootstrap!J31</f>
        <v/>
      </c>
      <c r="D31" s="133">
        <f>IFERROR(INDEX($J$12:$T$82,MATCH(B31,INDEX($J$12:$T$82,0,$I$3),0),$I$4)*$I$5,IF(ISNUMBER(G31),G31,""))</f>
        <v/>
      </c>
      <c r="E31" s="89">
        <f>IF(ISNUMBER(L31),(C31-L31)*100,"")</f>
        <v/>
      </c>
      <c r="F31" s="93">
        <f>IF(ISNUMBER(IFERROR(INDEX($J$12:$T$82,MATCH(B31,INDEX($J$12:$T$82,0,$I$3),0),$I$4)*$I$5,"")),"BDS live",IF(ISNUMBER(G31),"manual paste","-"))</f>
        <v/>
      </c>
      <c r="G31" s="133">
        <f>IFERROR(INDEX(S490_Snapshot!$D$7:$D$38,MATCH(B31,S490_Snapshot!$A$7:$A$38,0)),"")</f>
        <v/>
      </c>
      <c r="L31" s="64" t="n">
        <v>4.15198</v>
      </c>
      <c r="M31" s="80">
        <f>IFERROR(INDEX(S490_Snapshot!$E$7:$E$38,MATCH(B31,S490_Snapshot!$A$7:$A$38,0)),"")</f>
        <v/>
      </c>
      <c r="N31" s="80">
        <f>IF(M31="","",Bootstrap!H31)</f>
        <v/>
      </c>
      <c r="O31" s="72">
        <f>IF(M31="","",N31-M31)</f>
        <v/>
      </c>
      <c r="P31" s="63">
        <f>IF(ISNUMBER(Bootstrap!E31),Bootstrap!E31,"")</f>
        <v/>
      </c>
      <c r="Q31" s="63">
        <f>IF(ISNUMBER(Bootstrap!X31),Bootstrap!X31,"")</f>
        <v/>
      </c>
      <c r="R31" s="89">
        <f>IF(OR(P31="",Q31=""),"",(P31-Q31)*100)</f>
        <v/>
      </c>
      <c r="V31" s="88" t="n">
        <v>49149</v>
      </c>
      <c r="W31" s="85" t="n">
        <v>4.10695</v>
      </c>
      <c r="X31" s="85" t="n">
        <v>4.08837</v>
      </c>
      <c r="Y31" s="69" t="n">
        <v>0.72063</v>
      </c>
    </row>
    <row r="32">
      <c r="A32" s="6">
        <f>Bootstrap!A32</f>
        <v/>
      </c>
      <c r="B32" s="18">
        <f>Bootstrap!B32</f>
        <v/>
      </c>
      <c r="C32" s="17">
        <f>Bootstrap!J32</f>
        <v/>
      </c>
      <c r="D32" s="133">
        <f>IFERROR(INDEX($J$12:$T$82,MATCH(B32,INDEX($J$12:$T$82,0,$I$3),0),$I$4)*$I$5,IF(ISNUMBER(G32),G32,""))</f>
        <v/>
      </c>
      <c r="E32" s="89">
        <f>IF(ISNUMBER(L32),(C32-L32)*100,"")</f>
        <v/>
      </c>
      <c r="F32" s="93">
        <f>IF(ISNUMBER(IFERROR(INDEX($J$12:$T$82,MATCH(B32,INDEX($J$12:$T$82,0,$I$3),0),$I$4)*$I$5,"")),"BDS live",IF(ISNUMBER(G32),"manual paste","-"))</f>
        <v/>
      </c>
      <c r="G32" s="133">
        <f>IFERROR(INDEX(S490_Snapshot!$D$7:$D$38,MATCH(B32,S490_Snapshot!$A$7:$A$38,0)),"")</f>
        <v/>
      </c>
      <c r="L32" s="64" t="n">
        <v>4.18778</v>
      </c>
      <c r="M32" s="80">
        <f>IFERROR(INDEX(S490_Snapshot!$E$7:$E$38,MATCH(B32,S490_Snapshot!$A$7:$A$38,0)),"")</f>
        <v/>
      </c>
      <c r="N32" s="80">
        <f>IF(M32="","",Bootstrap!H32)</f>
        <v/>
      </c>
      <c r="O32" s="72">
        <f>IF(M32="","",N32-M32)</f>
        <v/>
      </c>
      <c r="P32" s="63">
        <f>IF(ISNUMBER(Bootstrap!E32),Bootstrap!E32,"")</f>
        <v/>
      </c>
      <c r="Q32" s="63">
        <f>IF(ISNUMBER(Bootstrap!X32),Bootstrap!X32,"")</f>
        <v/>
      </c>
      <c r="R32" s="89">
        <f>IF(OR(P32="",Q32=""),"",(P32-Q32)*100)</f>
        <v/>
      </c>
      <c r="V32" s="88" t="n">
        <v>49513</v>
      </c>
      <c r="W32" s="85" t="n">
        <v>4.13825</v>
      </c>
      <c r="X32" s="85" t="n">
        <v>4.12361</v>
      </c>
      <c r="Y32" s="69" t="n">
        <v>0.689646</v>
      </c>
    </row>
    <row r="33">
      <c r="A33" s="6">
        <f>Bootstrap!A33</f>
        <v/>
      </c>
      <c r="B33" s="18">
        <f>Bootstrap!B33</f>
        <v/>
      </c>
      <c r="C33" s="17">
        <f>Bootstrap!J33</f>
        <v/>
      </c>
      <c r="D33" s="133">
        <f>IFERROR(INDEX($J$12:$T$82,MATCH(B33,INDEX($J$12:$T$82,0,$I$3),0),$I$4)*$I$5,IF(ISNUMBER(G33),G33,""))</f>
        <v/>
      </c>
      <c r="E33" s="89">
        <f>IF(ISNUMBER(L33),(C33-L33)*100,"")</f>
        <v/>
      </c>
      <c r="F33" s="93">
        <f>IF(ISNUMBER(IFERROR(INDEX($J$12:$T$82,MATCH(B33,INDEX($J$12:$T$82,0,$I$3),0),$I$4)*$I$5,"")),"BDS live",IF(ISNUMBER(G33),"manual paste","-"))</f>
        <v/>
      </c>
      <c r="G33" s="133">
        <f>IFERROR(INDEX(S490_Snapshot!$D$7:$D$38,MATCH(B33,S490_Snapshot!$A$7:$A$38,0)),"")</f>
        <v/>
      </c>
      <c r="L33" s="94" t="n"/>
      <c r="M33" s="80">
        <f>IFERROR(INDEX(S490_Snapshot!$E$7:$E$38,MATCH(B33,S490_Snapshot!$A$7:$A$38,0)),"")</f>
        <v/>
      </c>
      <c r="N33" s="80">
        <f>IF(M33="","",Bootstrap!H33)</f>
        <v/>
      </c>
      <c r="O33" s="72">
        <f>IF(M33="","",N33-M33)</f>
        <v/>
      </c>
      <c r="P33" s="63">
        <f>IF(ISNUMBER(Bootstrap!E33),Bootstrap!E33,"")</f>
        <v/>
      </c>
      <c r="Q33" s="63">
        <f>IF(ISNUMBER(Bootstrap!X33),Bootstrap!X33,"")</f>
        <v/>
      </c>
      <c r="R33" s="89">
        <f>IF(OR(P33="",Q33=""),"",(P33-Q33)*100)</f>
        <v/>
      </c>
      <c r="V33" s="88" t="n">
        <v>49879</v>
      </c>
      <c r="W33" s="85" t="n">
        <v>4.17165</v>
      </c>
      <c r="X33" s="85" t="n">
        <v>4.1618</v>
      </c>
      <c r="Y33" s="69" t="n">
        <v>0.659186</v>
      </c>
    </row>
    <row r="34">
      <c r="A34" s="6">
        <f>Bootstrap!A34</f>
        <v/>
      </c>
      <c r="B34" s="18">
        <f>Bootstrap!B34</f>
        <v/>
      </c>
      <c r="C34" s="17">
        <f>Bootstrap!J34</f>
        <v/>
      </c>
      <c r="D34" s="133">
        <f>IFERROR(INDEX($J$12:$T$82,MATCH(B34,INDEX($J$12:$T$82,0,$I$3),0),$I$4)*$I$5,IF(ISNUMBER(G34),G34,""))</f>
        <v/>
      </c>
      <c r="E34" s="89">
        <f>IF(ISNUMBER(L34),(C34-L34)*100,"")</f>
        <v/>
      </c>
      <c r="F34" s="93">
        <f>IF(ISNUMBER(IFERROR(INDEX($J$12:$T$82,MATCH(B34,INDEX($J$12:$T$82,0,$I$3),0),$I$4)*$I$5,"")),"BDS live",IF(ISNUMBER(G34),"manual paste","-"))</f>
        <v/>
      </c>
      <c r="G34" s="133">
        <f>IFERROR(INDEX(S490_Snapshot!$D$7:$D$38,MATCH(B34,S490_Snapshot!$A$7:$A$38,0)),"")</f>
        <v/>
      </c>
      <c r="L34" s="64" t="n">
        <v>4.26298</v>
      </c>
      <c r="M34" s="80">
        <f>IFERROR(INDEX(S490_Snapshot!$E$7:$E$38,MATCH(B34,S490_Snapshot!$A$7:$A$38,0)),"")</f>
        <v/>
      </c>
      <c r="N34" s="80">
        <f>IF(M34="","",Bootstrap!H34)</f>
        <v/>
      </c>
      <c r="O34" s="72">
        <f>IF(M34="","",N34-M34)</f>
        <v/>
      </c>
      <c r="P34" s="63">
        <f>IF(ISNUMBER(Bootstrap!E34),Bootstrap!E34,"")</f>
        <v/>
      </c>
      <c r="Q34" s="63">
        <f>IF(ISNUMBER(Bootstrap!X34),Bootstrap!X34,"")</f>
        <v/>
      </c>
      <c r="R34" s="89">
        <f>IF(OR(P34="",Q34=""),"",(P34-Q34)*100)</f>
        <v/>
      </c>
      <c r="V34" s="88" t="n">
        <v>50609</v>
      </c>
      <c r="W34" s="85" t="n">
        <v>4.23854</v>
      </c>
      <c r="X34" s="85" t="n">
        <v>4.24016</v>
      </c>
      <c r="Y34" s="69" t="n">
        <v>0.6008559999999999</v>
      </c>
    </row>
    <row r="35">
      <c r="A35" s="6">
        <f>Bootstrap!A35</f>
        <v/>
      </c>
      <c r="B35" s="18">
        <f>Bootstrap!B35</f>
        <v/>
      </c>
      <c r="C35" s="17">
        <f>Bootstrap!J35</f>
        <v/>
      </c>
      <c r="D35" s="133">
        <f>IFERROR(INDEX($J$12:$T$82,MATCH(B35,INDEX($J$12:$T$82,0,$I$3),0),$I$4)*$I$5,IF(ISNUMBER(G35),G35,""))</f>
        <v/>
      </c>
      <c r="E35" s="89">
        <f>IF(ISNUMBER(L35),(C35-L35)*100,"")</f>
        <v/>
      </c>
      <c r="F35" s="93">
        <f>IF(ISNUMBER(IFERROR(INDEX($J$12:$T$82,MATCH(B35,INDEX($J$12:$T$82,0,$I$3),0),$I$4)*$I$5,"")),"BDS live",IF(ISNUMBER(G35),"manual paste","-"))</f>
        <v/>
      </c>
      <c r="G35" s="133">
        <f>IFERROR(INDEX(S490_Snapshot!$D$7:$D$38,MATCH(B35,S490_Snapshot!$A$7:$A$38,0)),"")</f>
        <v/>
      </c>
      <c r="L35" s="94" t="n"/>
      <c r="M35" s="80">
        <f>IFERROR(INDEX(S490_Snapshot!$E$7:$E$38,MATCH(B35,S490_Snapshot!$A$7:$A$38,0)),"")</f>
        <v/>
      </c>
      <c r="N35" s="80">
        <f>IF(M35="","",Bootstrap!H35)</f>
        <v/>
      </c>
      <c r="O35" s="72">
        <f>IF(M35="","",N35-M35)</f>
        <v/>
      </c>
      <c r="P35" s="63">
        <f>IF(ISNUMBER(Bootstrap!E35),Bootstrap!E35,"")</f>
        <v/>
      </c>
      <c r="Q35" s="63">
        <f>IF(ISNUMBER(Bootstrap!X35),Bootstrap!X35,"")</f>
        <v/>
      </c>
      <c r="R35" s="89">
        <f>IF(OR(P35="",Q35=""),"",(P35-Q35)*100)</f>
        <v/>
      </c>
      <c r="V35" s="88" t="n">
        <v>51705</v>
      </c>
      <c r="W35" s="85" t="n">
        <v>4.32638</v>
      </c>
      <c r="X35" s="85" t="n">
        <v>4.34698</v>
      </c>
      <c r="Y35" s="69" t="n">
        <v>0.520606</v>
      </c>
    </row>
    <row r="36">
      <c r="A36" s="6">
        <f>Bootstrap!A36</f>
        <v/>
      </c>
      <c r="B36" s="18">
        <f>Bootstrap!B36</f>
        <v/>
      </c>
      <c r="C36" s="17">
        <f>Bootstrap!J36</f>
        <v/>
      </c>
      <c r="D36" s="133">
        <f>IFERROR(INDEX($J$12:$T$82,MATCH(B36,INDEX($J$12:$T$82,0,$I$3),0),$I$4)*$I$5,IF(ISNUMBER(G36),G36,""))</f>
        <v/>
      </c>
      <c r="E36" s="89">
        <f>IF(ISNUMBER(L36),(C36-L36)*100,"")</f>
        <v/>
      </c>
      <c r="F36" s="93">
        <f>IF(ISNUMBER(IFERROR(INDEX($J$12:$T$82,MATCH(B36,INDEX($J$12:$T$82,0,$I$3),0),$I$4)*$I$5,"")),"BDS live",IF(ISNUMBER(G36),"manual paste","-"))</f>
        <v/>
      </c>
      <c r="G36" s="133">
        <f>IFERROR(INDEX(S490_Snapshot!$D$7:$D$38,MATCH(B36,S490_Snapshot!$A$7:$A$38,0)),"")</f>
        <v/>
      </c>
      <c r="L36" s="94" t="n"/>
      <c r="M36" s="80">
        <f>IFERROR(INDEX(S490_Snapshot!$E$7:$E$38,MATCH(B36,S490_Snapshot!$A$7:$A$38,0)),"")</f>
        <v/>
      </c>
      <c r="N36" s="80">
        <f>IF(M36="","",Bootstrap!H36)</f>
        <v/>
      </c>
      <c r="O36" s="72">
        <f>IF(M36="","",N36-M36)</f>
        <v/>
      </c>
      <c r="P36" s="63">
        <f>IF(ISNUMBER(Bootstrap!E36),Bootstrap!E36,"")</f>
        <v/>
      </c>
      <c r="Q36" s="63">
        <f>IF(ISNUMBER(Bootstrap!X36),Bootstrap!X36,"")</f>
        <v/>
      </c>
      <c r="R36" s="89">
        <f>IF(OR(P36="",Q36=""),"",(P36-Q36)*100)</f>
        <v/>
      </c>
      <c r="V36" s="88" t="n">
        <v>53531</v>
      </c>
      <c r="W36" s="85" t="n">
        <v>4.4013</v>
      </c>
      <c r="X36" s="85" t="n">
        <v>4.43911</v>
      </c>
      <c r="Y36" s="69" t="n">
        <v>0.411201</v>
      </c>
    </row>
    <row r="37">
      <c r="A37" s="6">
        <f>Bootstrap!A37</f>
        <v/>
      </c>
      <c r="B37" s="18">
        <f>Bootstrap!B37</f>
        <v/>
      </c>
      <c r="C37" s="17">
        <f>Bootstrap!J37</f>
        <v/>
      </c>
      <c r="D37" s="133">
        <f>IFERROR(INDEX($J$12:$T$82,MATCH(B37,INDEX($J$12:$T$82,0,$I$3),0),$I$4)*$I$5,IF(ISNUMBER(G37),G37,""))</f>
        <v/>
      </c>
      <c r="E37" s="89">
        <f>IF(ISNUMBER(L37),(C37-L37)*100,"")</f>
        <v/>
      </c>
      <c r="F37" s="93">
        <f>IF(ISNUMBER(IFERROR(INDEX($J$12:$T$82,MATCH(B37,INDEX($J$12:$T$82,0,$I$3),0),$I$4)*$I$5,"")),"BDS live",IF(ISNUMBER(G37),"manual paste","-"))</f>
        <v/>
      </c>
      <c r="G37" s="133">
        <f>IFERROR(INDEX(S490_Snapshot!$D$7:$D$38,MATCH(B37,S490_Snapshot!$A$7:$A$38,0)),"")</f>
        <v/>
      </c>
      <c r="L37" s="64" t="n">
        <v>4.36615</v>
      </c>
      <c r="M37" s="80">
        <f>IFERROR(INDEX(S490_Snapshot!$E$7:$E$38,MATCH(B37,S490_Snapshot!$A$7:$A$38,0)),"")</f>
        <v/>
      </c>
      <c r="N37" s="80">
        <f>IF(M37="","",Bootstrap!H37)</f>
        <v/>
      </c>
      <c r="O37" s="72">
        <f>IF(M37="","",N37-M37)</f>
        <v/>
      </c>
      <c r="P37" s="63">
        <f>IF(ISNUMBER(Bootstrap!E37),Bootstrap!E37,"")</f>
        <v/>
      </c>
      <c r="Q37" s="63">
        <f>IF(ISNUMBER(Bootstrap!X37),Bootstrap!X37,"")</f>
        <v/>
      </c>
      <c r="R37" s="89">
        <f>IF(OR(P37="",Q37=""),"",(P37-Q37)*100)</f>
        <v/>
      </c>
      <c r="V37" s="88" t="n">
        <v>55358</v>
      </c>
      <c r="W37" s="85" t="n">
        <v>4.40005</v>
      </c>
      <c r="X37" s="85" t="n">
        <v>4.42239</v>
      </c>
      <c r="Y37" s="69" t="n">
        <v>0.330652</v>
      </c>
    </row>
    <row r="38">
      <c r="A38" s="6">
        <f>Bootstrap!A38</f>
        <v/>
      </c>
      <c r="B38" s="18">
        <f>Bootstrap!B38</f>
        <v/>
      </c>
      <c r="C38" s="17">
        <f>Bootstrap!J38</f>
        <v/>
      </c>
      <c r="D38" s="133">
        <f>IFERROR(INDEX($J$12:$T$82,MATCH(B38,INDEX($J$12:$T$82,0,$I$3),0),$I$4)*$I$5,IF(ISNUMBER(G38),G38,""))</f>
        <v/>
      </c>
      <c r="E38" s="89">
        <f>IF(ISNUMBER(L38),(C38-L38)*100,"")</f>
        <v/>
      </c>
      <c r="F38" s="93">
        <f>IF(ISNUMBER(IFERROR(INDEX($J$12:$T$82,MATCH(B38,INDEX($J$12:$T$82,0,$I$3),0),$I$4)*$I$5,"")),"BDS live",IF(ISNUMBER(G38),"manual paste","-"))</f>
        <v/>
      </c>
      <c r="G38" s="133">
        <f>IFERROR(INDEX(S490_Snapshot!$D$7:$D$38,MATCH(B38,S490_Snapshot!$A$7:$A$38,0)),"")</f>
        <v/>
      </c>
      <c r="L38" s="94" t="n"/>
      <c r="M38" s="80">
        <f>IFERROR(INDEX(S490_Snapshot!$E$7:$E$38,MATCH(B38,S490_Snapshot!$A$7:$A$38,0)),"")</f>
        <v/>
      </c>
      <c r="N38" s="80">
        <f>IF(M38="","",Bootstrap!H38)</f>
        <v/>
      </c>
      <c r="O38" s="72">
        <f>IF(M38="","",N38-M38)</f>
        <v/>
      </c>
      <c r="P38" s="63">
        <f>IF(ISNUMBER(Bootstrap!E38),Bootstrap!E38,"")</f>
        <v/>
      </c>
      <c r="Q38" s="63">
        <f>IF(ISNUMBER(Bootstrap!X38),Bootstrap!X38,"")</f>
        <v/>
      </c>
      <c r="R38" s="89">
        <f>IF(OR(P38="",Q38=""),"",(P38-Q38)*100)</f>
        <v/>
      </c>
      <c r="V38" s="88" t="n">
        <v>57185</v>
      </c>
      <c r="W38" s="85" t="n">
        <v>4.36277</v>
      </c>
      <c r="X38" s="85" t="n">
        <v>4.34509</v>
      </c>
      <c r="Y38" s="69" t="n">
        <v>0.271217</v>
      </c>
    </row>
    <row r="39">
      <c r="A39" s="6">
        <f>Bootstrap!A39</f>
        <v/>
      </c>
      <c r="B39" s="18">
        <f>Bootstrap!B39</f>
        <v/>
      </c>
      <c r="C39" s="17">
        <f>Bootstrap!J39</f>
        <v/>
      </c>
      <c r="D39" s="133">
        <f>IFERROR(INDEX($J$12:$T$82,MATCH(B39,INDEX($J$12:$T$82,0,$I$3),0),$I$4)*$I$5,IF(ISNUMBER(G39),G39,""))</f>
        <v/>
      </c>
      <c r="E39" s="89">
        <f>IF(ISNUMBER(L39),(C39-L39)*100,"")</f>
        <v/>
      </c>
      <c r="F39" s="93">
        <f>IF(ISNUMBER(IFERROR(INDEX($J$12:$T$82,MATCH(B39,INDEX($J$12:$T$82,0,$I$3),0),$I$4)*$I$5,"")),"BDS live",IF(ISNUMBER(G39),"manual paste","-"))</f>
        <v/>
      </c>
      <c r="G39" s="133">
        <f>IFERROR(INDEX(S490_Snapshot!$D$7:$D$38,MATCH(B39,S490_Snapshot!$A$7:$A$38,0)),"")</f>
        <v/>
      </c>
      <c r="L39" s="94" t="n"/>
      <c r="M39" s="80">
        <f>IFERROR(INDEX(S490_Snapshot!$E$7:$E$38,MATCH(B39,S490_Snapshot!$A$7:$A$38,0)),"")</f>
        <v/>
      </c>
      <c r="N39" s="80">
        <f>IF(M39="","",Bootstrap!H39)</f>
        <v/>
      </c>
      <c r="O39" s="72">
        <f>IF(M39="","",N39-M39)</f>
        <v/>
      </c>
      <c r="P39" s="63">
        <f>IF(ISNUMBER(Bootstrap!E39),Bootstrap!E39,"")</f>
        <v/>
      </c>
      <c r="Q39" s="63">
        <f>IF(ISNUMBER(Bootstrap!X39),Bootstrap!X39,"")</f>
        <v/>
      </c>
      <c r="R39" s="89">
        <f>IF(OR(P39="",Q39=""),"",(P39-Q39)*100)</f>
        <v/>
      </c>
      <c r="V39" s="88" t="n">
        <v>60836</v>
      </c>
      <c r="W39" s="85" t="n">
        <v>4.2436</v>
      </c>
      <c r="X39" s="85" t="n">
        <v>4.10058</v>
      </c>
      <c r="Y39" s="69" t="n">
        <v>0.193674</v>
      </c>
    </row>
    <row r="40">
      <c r="A40" s="6">
        <f>Bootstrap!A40</f>
        <v/>
      </c>
      <c r="B40" s="18">
        <f>Bootstrap!B40</f>
        <v/>
      </c>
      <c r="C40" s="17">
        <f>Bootstrap!J40</f>
        <v/>
      </c>
      <c r="D40" s="133">
        <f>IFERROR(INDEX($J$12:$T$82,MATCH(B40,INDEX($J$12:$T$82,0,$I$3),0),$I$4)*$I$5,IF(ISNUMBER(G40),G40,""))</f>
        <v/>
      </c>
      <c r="E40" s="89">
        <f>IF(ISNUMBER(L40),(C40-L40)*100,"")</f>
        <v/>
      </c>
      <c r="F40" s="93">
        <f>IF(ISNUMBER(IFERROR(INDEX($J$12:$T$82,MATCH(B40,INDEX($J$12:$T$82,0,$I$3),0),$I$4)*$I$5,"")),"BDS live",IF(ISNUMBER(G40),"manual paste","-"))</f>
        <v/>
      </c>
      <c r="G40" s="133">
        <f>IFERROR(INDEX(S490_Snapshot!$D$7:$D$38,MATCH(B40,S490_Snapshot!$A$7:$A$38,0)),"")</f>
        <v/>
      </c>
      <c r="L40" s="94" t="n"/>
      <c r="M40" s="80">
        <f>IFERROR(INDEX(S490_Snapshot!$E$7:$E$38,MATCH(B40,S490_Snapshot!$A$7:$A$38,0)),"")</f>
        <v/>
      </c>
      <c r="N40" s="80">
        <f>IF(M40="","",Bootstrap!H40)</f>
        <v/>
      </c>
      <c r="O40" s="72">
        <f>IF(M40="","",N40-M40)</f>
        <v/>
      </c>
      <c r="P40" s="63">
        <f>IF(ISNUMBER(Bootstrap!E40),Bootstrap!E40,"")</f>
        <v/>
      </c>
      <c r="Q40" s="63">
        <f>IF(ISNUMBER(Bootstrap!X40),Bootstrap!X40,"")</f>
        <v/>
      </c>
      <c r="R40" s="89">
        <f>IF(OR(P40="",Q40=""),"",(P40-Q40)*100)</f>
        <v/>
      </c>
      <c r="V40" s="88" t="n">
        <v>64489</v>
      </c>
      <c r="W40" s="85" t="n">
        <v>4.11027</v>
      </c>
      <c r="X40" s="85" t="n">
        <v>3.80584</v>
      </c>
      <c r="Y40" s="69" t="n">
        <v>0.148899</v>
      </c>
    </row>
    <row r="41">
      <c r="A41" s="6">
        <f>Bootstrap!A41</f>
        <v/>
      </c>
      <c r="B41" s="18">
        <f>Bootstrap!B41</f>
        <v/>
      </c>
      <c r="C41" s="17">
        <f>Bootstrap!J41</f>
        <v/>
      </c>
      <c r="D41" s="133">
        <f>IFERROR(INDEX($J$12:$T$82,MATCH(B41,INDEX($J$12:$T$82,0,$I$3),0),$I$4)*$I$5,IF(ISNUMBER(G41),G41,""))</f>
        <v/>
      </c>
      <c r="E41" s="89">
        <f>IF(ISNUMBER(L41),(C41-L41)*100,"")</f>
        <v/>
      </c>
      <c r="F41" s="93">
        <f>IF(ISNUMBER(IFERROR(INDEX($J$12:$T$82,MATCH(B41,INDEX($J$12:$T$82,0,$I$3),0),$I$4)*$I$5,"")),"BDS live",IF(ISNUMBER(G41),"manual paste","-"))</f>
        <v/>
      </c>
      <c r="G41" s="133">
        <f>IFERROR(INDEX(S490_Snapshot!$D$7:$D$38,MATCH(B41,S490_Snapshot!$A$7:$A$38,0)),"")</f>
        <v/>
      </c>
      <c r="L41" s="94" t="n"/>
      <c r="M41" s="80">
        <f>IFERROR(INDEX(S490_Snapshot!$E$7:$E$38,MATCH(B41,S490_Snapshot!$A$7:$A$38,0)),"")</f>
        <v/>
      </c>
      <c r="N41" s="80">
        <f>IF(M41="","",Bootstrap!H41)</f>
        <v/>
      </c>
      <c r="O41" s="72">
        <f>IF(M41="","",N41-M41)</f>
        <v/>
      </c>
      <c r="P41" s="63">
        <f>IF(ISNUMBER(Bootstrap!E41),Bootstrap!E41,"")</f>
        <v/>
      </c>
      <c r="Q41" s="63">
        <f>IF(ISNUMBER(Bootstrap!X41),Bootstrap!X41,"")</f>
        <v/>
      </c>
      <c r="R41" s="89">
        <f>IF(OR(P41="",Q41=""),"",(P41-Q41)*100)</f>
        <v/>
      </c>
    </row>
    <row r="42">
      <c r="A42" s="6">
        <f>Bootstrap!A42</f>
        <v/>
      </c>
      <c r="B42" s="18">
        <f>Bootstrap!B42</f>
        <v/>
      </c>
      <c r="C42" s="17">
        <f>Bootstrap!J42</f>
        <v/>
      </c>
      <c r="D42" s="133">
        <f>IFERROR(INDEX($J$12:$T$82,MATCH(B42,INDEX($J$12:$T$82,0,$I$3),0),$I$4)*$I$5,IF(ISNUMBER(G42),G42,""))</f>
        <v/>
      </c>
      <c r="E42" s="89">
        <f>IF(ISNUMBER(L42),(C42-L42)*100,"")</f>
        <v/>
      </c>
      <c r="F42" s="93">
        <f>IF(ISNUMBER(IFERROR(INDEX($J$12:$T$82,MATCH(B42,INDEX($J$12:$T$82,0,$I$3),0),$I$4)*$I$5,"")),"BDS live",IF(ISNUMBER(G42),"manual paste","-"))</f>
        <v/>
      </c>
      <c r="G42" s="133">
        <f>IFERROR(INDEX(S490_Snapshot!$D$7:$D$38,MATCH(B42,S490_Snapshot!$A$7:$A$38,0)),"")</f>
        <v/>
      </c>
      <c r="L42" s="64" t="n">
        <v>4.45385</v>
      </c>
      <c r="M42" s="80">
        <f>IFERROR(INDEX(S490_Snapshot!$E$7:$E$38,MATCH(B42,S490_Snapshot!$A$7:$A$38,0)),"")</f>
        <v/>
      </c>
      <c r="N42" s="80">
        <f>IF(M42="","",Bootstrap!H42)</f>
        <v/>
      </c>
      <c r="O42" s="72">
        <f>IF(M42="","",N42-M42)</f>
        <v/>
      </c>
      <c r="P42" s="63">
        <f>IF(ISNUMBER(Bootstrap!E42),Bootstrap!E42,"")</f>
        <v/>
      </c>
      <c r="Q42" s="63">
        <f>IF(ISNUMBER(Bootstrap!X42),Bootstrap!X42,"")</f>
        <v/>
      </c>
      <c r="R42" s="89">
        <f>IF(OR(P42="",Q42=""),"",(P42-Q42)*100)</f>
        <v/>
      </c>
    </row>
    <row r="43">
      <c r="A43" s="6">
        <f>Bootstrap!A43</f>
        <v/>
      </c>
      <c r="B43" s="18">
        <f>Bootstrap!B43</f>
        <v/>
      </c>
      <c r="C43" s="17">
        <f>Bootstrap!J43</f>
        <v/>
      </c>
      <c r="D43" s="133">
        <f>IFERROR(INDEX($J$12:$T$82,MATCH(B43,INDEX($J$12:$T$82,0,$I$3),0),$I$4)*$I$5,IF(ISNUMBER(G43),G43,""))</f>
        <v/>
      </c>
      <c r="E43" s="89">
        <f>IF(ISNUMBER(L43),(C43-L43)*100,"")</f>
        <v/>
      </c>
      <c r="F43" s="93">
        <f>IF(ISNUMBER(IFERROR(INDEX($J$12:$T$82,MATCH(B43,INDEX($J$12:$T$82,0,$I$3),0),$I$4)*$I$5,"")),"BDS live",IF(ISNUMBER(G43),"manual paste","-"))</f>
        <v/>
      </c>
      <c r="G43" s="133">
        <f>IFERROR(INDEX(S490_Snapshot!$D$7:$D$38,MATCH(B43,S490_Snapshot!$A$7:$A$38,0)),"")</f>
        <v/>
      </c>
      <c r="L43" s="94" t="n"/>
      <c r="M43" s="80">
        <f>IFERROR(INDEX(S490_Snapshot!$E$7:$E$38,MATCH(B43,S490_Snapshot!$A$7:$A$38,0)),"")</f>
        <v/>
      </c>
      <c r="N43" s="80">
        <f>IF(M43="","",Bootstrap!H43)</f>
        <v/>
      </c>
      <c r="O43" s="72">
        <f>IF(M43="","",N43-M43)</f>
        <v/>
      </c>
      <c r="P43" s="63">
        <f>IF(ISNUMBER(Bootstrap!E43),Bootstrap!E43,"")</f>
        <v/>
      </c>
      <c r="Q43" s="63">
        <f>IF(ISNUMBER(Bootstrap!X43),Bootstrap!X43,"")</f>
        <v/>
      </c>
      <c r="R43" s="89">
        <f>IF(OR(P43="",Q43=""),"",(P43-Q43)*100)</f>
        <v/>
      </c>
    </row>
    <row r="44">
      <c r="A44" s="6">
        <f>Bootstrap!A44</f>
        <v/>
      </c>
      <c r="B44" s="18">
        <f>Bootstrap!B44</f>
        <v/>
      </c>
      <c r="C44" s="17">
        <f>Bootstrap!J44</f>
        <v/>
      </c>
      <c r="D44" s="133">
        <f>IFERROR(INDEX($J$12:$T$82,MATCH(B44,INDEX($J$12:$T$82,0,$I$3),0),$I$4)*$I$5,IF(ISNUMBER(G44),G44,""))</f>
        <v/>
      </c>
      <c r="E44" s="89">
        <f>IF(ISNUMBER(L44),(C44-L44)*100,"")</f>
        <v/>
      </c>
      <c r="F44" s="93">
        <f>IF(ISNUMBER(IFERROR(INDEX($J$12:$T$82,MATCH(B44,INDEX($J$12:$T$82,0,$I$3),0),$I$4)*$I$5,"")),"BDS live",IF(ISNUMBER(G44),"manual paste","-"))</f>
        <v/>
      </c>
      <c r="G44" s="133">
        <f>IFERROR(INDEX(S490_Snapshot!$D$7:$D$38,MATCH(B44,S490_Snapshot!$A$7:$A$38,0)),"")</f>
        <v/>
      </c>
      <c r="L44" s="94" t="n"/>
      <c r="M44" s="80">
        <f>IFERROR(INDEX(S490_Snapshot!$E$7:$E$38,MATCH(B44,S490_Snapshot!$A$7:$A$38,0)),"")</f>
        <v/>
      </c>
      <c r="N44" s="80">
        <f>IF(M44="","",Bootstrap!H44)</f>
        <v/>
      </c>
      <c r="O44" s="72">
        <f>IF(M44="","",N44-M44)</f>
        <v/>
      </c>
      <c r="P44" s="63">
        <f>IF(ISNUMBER(Bootstrap!E44),Bootstrap!E44,"")</f>
        <v/>
      </c>
      <c r="Q44" s="63">
        <f>IF(ISNUMBER(Bootstrap!X44),Bootstrap!X44,"")</f>
        <v/>
      </c>
      <c r="R44" s="89">
        <f>IF(OR(P44="",Q44=""),"",(P44-Q44)*100)</f>
        <v/>
      </c>
    </row>
    <row r="45">
      <c r="A45" s="6">
        <f>Bootstrap!A45</f>
        <v/>
      </c>
      <c r="B45" s="18">
        <f>Bootstrap!B45</f>
        <v/>
      </c>
      <c r="C45" s="17">
        <f>Bootstrap!J45</f>
        <v/>
      </c>
      <c r="D45" s="133">
        <f>IFERROR(INDEX($J$12:$T$82,MATCH(B45,INDEX($J$12:$T$82,0,$I$3),0),$I$4)*$I$5,IF(ISNUMBER(G45),G45,""))</f>
        <v/>
      </c>
      <c r="E45" s="89">
        <f>IF(ISNUMBER(L45),(C45-L45)*100,"")</f>
        <v/>
      </c>
      <c r="F45" s="93">
        <f>IF(ISNUMBER(IFERROR(INDEX($J$12:$T$82,MATCH(B45,INDEX($J$12:$T$82,0,$I$3),0),$I$4)*$I$5,"")),"BDS live",IF(ISNUMBER(G45),"manual paste","-"))</f>
        <v/>
      </c>
      <c r="G45" s="133">
        <f>IFERROR(INDEX(S490_Snapshot!$D$7:$D$38,MATCH(B45,S490_Snapshot!$A$7:$A$38,0)),"")</f>
        <v/>
      </c>
      <c r="L45" s="94" t="n"/>
      <c r="M45" s="80">
        <f>IFERROR(INDEX(S490_Snapshot!$E$7:$E$38,MATCH(B45,S490_Snapshot!$A$7:$A$38,0)),"")</f>
        <v/>
      </c>
      <c r="N45" s="80">
        <f>IF(M45="","",Bootstrap!H45)</f>
        <v/>
      </c>
      <c r="O45" s="72">
        <f>IF(M45="","",N45-M45)</f>
        <v/>
      </c>
      <c r="P45" s="63">
        <f>IF(ISNUMBER(Bootstrap!E45),Bootstrap!E45,"")</f>
        <v/>
      </c>
      <c r="Q45" s="63">
        <f>IF(ISNUMBER(Bootstrap!X45),Bootstrap!X45,"")</f>
        <v/>
      </c>
      <c r="R45" s="89">
        <f>IF(OR(P45="",Q45=""),"",(P45-Q45)*100)</f>
        <v/>
      </c>
    </row>
    <row r="46">
      <c r="A46" s="6">
        <f>Bootstrap!A46</f>
        <v/>
      </c>
      <c r="B46" s="18">
        <f>Bootstrap!B46</f>
        <v/>
      </c>
      <c r="C46" s="17">
        <f>Bootstrap!J46</f>
        <v/>
      </c>
      <c r="D46" s="133">
        <f>IFERROR(INDEX($J$12:$T$82,MATCH(B46,INDEX($J$12:$T$82,0,$I$3),0),$I$4)*$I$5,IF(ISNUMBER(G46),G46,""))</f>
        <v/>
      </c>
      <c r="E46" s="89">
        <f>IF(ISNUMBER(L46),(C46-L46)*100,"")</f>
        <v/>
      </c>
      <c r="F46" s="93">
        <f>IF(ISNUMBER(IFERROR(INDEX($J$12:$T$82,MATCH(B46,INDEX($J$12:$T$82,0,$I$3),0),$I$4)*$I$5,"")),"BDS live",IF(ISNUMBER(G46),"manual paste","-"))</f>
        <v/>
      </c>
      <c r="G46" s="133">
        <f>IFERROR(INDEX(S490_Snapshot!$D$7:$D$38,MATCH(B46,S490_Snapshot!$A$7:$A$38,0)),"")</f>
        <v/>
      </c>
      <c r="L46" s="94" t="n"/>
      <c r="M46" s="80">
        <f>IFERROR(INDEX(S490_Snapshot!$E$7:$E$38,MATCH(B46,S490_Snapshot!$A$7:$A$38,0)),"")</f>
        <v/>
      </c>
      <c r="N46" s="80">
        <f>IF(M46="","",Bootstrap!H46)</f>
        <v/>
      </c>
      <c r="O46" s="72">
        <f>IF(M46="","",N46-M46)</f>
        <v/>
      </c>
      <c r="P46" s="63">
        <f>IF(ISNUMBER(Bootstrap!E46),Bootstrap!E46,"")</f>
        <v/>
      </c>
      <c r="Q46" s="63">
        <f>IF(ISNUMBER(Bootstrap!X46),Bootstrap!X46,"")</f>
        <v/>
      </c>
      <c r="R46" s="89">
        <f>IF(OR(P46="",Q46=""),"",(P46-Q46)*100)</f>
        <v/>
      </c>
    </row>
    <row r="47">
      <c r="A47" s="6">
        <f>Bootstrap!A47</f>
        <v/>
      </c>
      <c r="B47" s="18">
        <f>Bootstrap!B47</f>
        <v/>
      </c>
      <c r="C47" s="17">
        <f>Bootstrap!J47</f>
        <v/>
      </c>
      <c r="D47" s="133">
        <f>IFERROR(INDEX($J$12:$T$82,MATCH(B47,INDEX($J$12:$T$82,0,$I$3),0),$I$4)*$I$5,IF(ISNUMBER(G47),G47,""))</f>
        <v/>
      </c>
      <c r="E47" s="89">
        <f>IF(ISNUMBER(L47),(C47-L47)*100,"")</f>
        <v/>
      </c>
      <c r="F47" s="93">
        <f>IF(ISNUMBER(IFERROR(INDEX($J$12:$T$82,MATCH(B47,INDEX($J$12:$T$82,0,$I$3),0),$I$4)*$I$5,"")),"BDS live",IF(ISNUMBER(G47),"manual paste","-"))</f>
        <v/>
      </c>
      <c r="G47" s="133">
        <f>IFERROR(INDEX(S490_Snapshot!$D$7:$D$38,MATCH(B47,S490_Snapshot!$A$7:$A$38,0)),"")</f>
        <v/>
      </c>
      <c r="L47" s="64" t="n">
        <v>4.4337</v>
      </c>
      <c r="M47" s="80">
        <f>IFERROR(INDEX(S490_Snapshot!$E$7:$E$38,MATCH(B47,S490_Snapshot!$A$7:$A$38,0)),"")</f>
        <v/>
      </c>
      <c r="N47" s="80">
        <f>IF(M47="","",Bootstrap!H47)</f>
        <v/>
      </c>
      <c r="O47" s="72">
        <f>IF(M47="","",N47-M47)</f>
        <v/>
      </c>
      <c r="P47" s="63">
        <f>IF(ISNUMBER(Bootstrap!E47),Bootstrap!E47,"")</f>
        <v/>
      </c>
      <c r="Q47" s="63">
        <f>IF(ISNUMBER(Bootstrap!X47),Bootstrap!X47,"")</f>
        <v/>
      </c>
      <c r="R47" s="89">
        <f>IF(OR(P47="",Q47=""),"",(P47-Q47)*100)</f>
        <v/>
      </c>
    </row>
    <row r="48">
      <c r="A48" s="6">
        <f>Bootstrap!A48</f>
        <v/>
      </c>
      <c r="B48" s="18">
        <f>Bootstrap!B48</f>
        <v/>
      </c>
      <c r="C48" s="17">
        <f>Bootstrap!J48</f>
        <v/>
      </c>
      <c r="D48" s="133">
        <f>IFERROR(INDEX($J$12:$T$82,MATCH(B48,INDEX($J$12:$T$82,0,$I$3),0),$I$4)*$I$5,IF(ISNUMBER(G48),G48,""))</f>
        <v/>
      </c>
      <c r="E48" s="89">
        <f>IF(ISNUMBER(L48),(C48-L48)*100,"")</f>
        <v/>
      </c>
      <c r="F48" s="93">
        <f>IF(ISNUMBER(IFERROR(INDEX($J$12:$T$82,MATCH(B48,INDEX($J$12:$T$82,0,$I$3),0),$I$4)*$I$5,"")),"BDS live",IF(ISNUMBER(G48),"manual paste","-"))</f>
        <v/>
      </c>
      <c r="G48" s="133">
        <f>IFERROR(INDEX(S490_Snapshot!$D$7:$D$38,MATCH(B48,S490_Snapshot!$A$7:$A$38,0)),"")</f>
        <v/>
      </c>
      <c r="L48" s="94" t="n"/>
      <c r="M48" s="80">
        <f>IFERROR(INDEX(S490_Snapshot!$E$7:$E$38,MATCH(B48,S490_Snapshot!$A$7:$A$38,0)),"")</f>
        <v/>
      </c>
      <c r="N48" s="80">
        <f>IF(M48="","",Bootstrap!H48)</f>
        <v/>
      </c>
      <c r="O48" s="72">
        <f>IF(M48="","",N48-M48)</f>
        <v/>
      </c>
      <c r="P48" s="63">
        <f>IF(ISNUMBER(Bootstrap!E48),Bootstrap!E48,"")</f>
        <v/>
      </c>
      <c r="Q48" s="63">
        <f>IF(ISNUMBER(Bootstrap!X48),Bootstrap!X48,"")</f>
        <v/>
      </c>
      <c r="R48" s="89">
        <f>IF(OR(P48="",Q48=""),"",(P48-Q48)*100)</f>
        <v/>
      </c>
    </row>
    <row r="49">
      <c r="A49" s="6">
        <f>Bootstrap!A49</f>
        <v/>
      </c>
      <c r="B49" s="18">
        <f>Bootstrap!B49</f>
        <v/>
      </c>
      <c r="C49" s="17">
        <f>Bootstrap!J49</f>
        <v/>
      </c>
      <c r="D49" s="133">
        <f>IFERROR(INDEX($J$12:$T$82,MATCH(B49,INDEX($J$12:$T$82,0,$I$3),0),$I$4)*$I$5,IF(ISNUMBER(G49),G49,""))</f>
        <v/>
      </c>
      <c r="E49" s="89">
        <f>IF(ISNUMBER(L49),(C49-L49)*100,"")</f>
        <v/>
      </c>
      <c r="F49" s="93">
        <f>IF(ISNUMBER(IFERROR(INDEX($J$12:$T$82,MATCH(B49,INDEX($J$12:$T$82,0,$I$3),0),$I$4)*$I$5,"")),"BDS live",IF(ISNUMBER(G49),"manual paste","-"))</f>
        <v/>
      </c>
      <c r="G49" s="133">
        <f>IFERROR(INDEX(S490_Snapshot!$D$7:$D$38,MATCH(B49,S490_Snapshot!$A$7:$A$38,0)),"")</f>
        <v/>
      </c>
      <c r="L49" s="94" t="n"/>
      <c r="M49" s="80">
        <f>IFERROR(INDEX(S490_Snapshot!$E$7:$E$38,MATCH(B49,S490_Snapshot!$A$7:$A$38,0)),"")</f>
        <v/>
      </c>
      <c r="N49" s="80">
        <f>IF(M49="","",Bootstrap!H49)</f>
        <v/>
      </c>
      <c r="O49" s="72">
        <f>IF(M49="","",N49-M49)</f>
        <v/>
      </c>
      <c r="P49" s="63">
        <f>IF(ISNUMBER(Bootstrap!E49),Bootstrap!E49,"")</f>
        <v/>
      </c>
      <c r="Q49" s="63">
        <f>IF(ISNUMBER(Bootstrap!X49),Bootstrap!X49,"")</f>
        <v/>
      </c>
      <c r="R49" s="89">
        <f>IF(OR(P49="",Q49=""),"",(P49-Q49)*100)</f>
        <v/>
      </c>
    </row>
    <row r="50">
      <c r="A50" s="6">
        <f>Bootstrap!A50</f>
        <v/>
      </c>
      <c r="B50" s="18">
        <f>Bootstrap!B50</f>
        <v/>
      </c>
      <c r="C50" s="17">
        <f>Bootstrap!J50</f>
        <v/>
      </c>
      <c r="D50" s="133">
        <f>IFERROR(INDEX($J$12:$T$82,MATCH(B50,INDEX($J$12:$T$82,0,$I$3),0),$I$4)*$I$5,IF(ISNUMBER(G50),G50,""))</f>
        <v/>
      </c>
      <c r="E50" s="89">
        <f>IF(ISNUMBER(L50),(C50-L50)*100,"")</f>
        <v/>
      </c>
      <c r="F50" s="93">
        <f>IF(ISNUMBER(IFERROR(INDEX($J$12:$T$82,MATCH(B50,INDEX($J$12:$T$82,0,$I$3),0),$I$4)*$I$5,"")),"BDS live",IF(ISNUMBER(G50),"manual paste","-"))</f>
        <v/>
      </c>
      <c r="G50" s="133">
        <f>IFERROR(INDEX(S490_Snapshot!$D$7:$D$38,MATCH(B50,S490_Snapshot!$A$7:$A$38,0)),"")</f>
        <v/>
      </c>
      <c r="L50" s="94" t="n"/>
      <c r="M50" s="80">
        <f>IFERROR(INDEX(S490_Snapshot!$E$7:$E$38,MATCH(B50,S490_Snapshot!$A$7:$A$38,0)),"")</f>
        <v/>
      </c>
      <c r="N50" s="80">
        <f>IF(M50="","",Bootstrap!H50)</f>
        <v/>
      </c>
      <c r="O50" s="72">
        <f>IF(M50="","",N50-M50)</f>
        <v/>
      </c>
      <c r="P50" s="63">
        <f>IF(ISNUMBER(Bootstrap!E50),Bootstrap!E50,"")</f>
        <v/>
      </c>
      <c r="Q50" s="63">
        <f>IF(ISNUMBER(Bootstrap!X50),Bootstrap!X50,"")</f>
        <v/>
      </c>
      <c r="R50" s="89">
        <f>IF(OR(P50="",Q50=""),"",(P50-Q50)*100)</f>
        <v/>
      </c>
    </row>
    <row r="51">
      <c r="A51" s="6">
        <f>Bootstrap!A51</f>
        <v/>
      </c>
      <c r="B51" s="18">
        <f>Bootstrap!B51</f>
        <v/>
      </c>
      <c r="C51" s="17">
        <f>Bootstrap!J51</f>
        <v/>
      </c>
      <c r="D51" s="133">
        <f>IFERROR(INDEX($J$12:$T$82,MATCH(B51,INDEX($J$12:$T$82,0,$I$3),0),$I$4)*$I$5,IF(ISNUMBER(G51),G51,""))</f>
        <v/>
      </c>
      <c r="E51" s="89">
        <f>IF(ISNUMBER(L51),(C51-L51)*100,"")</f>
        <v/>
      </c>
      <c r="F51" s="93">
        <f>IF(ISNUMBER(IFERROR(INDEX($J$12:$T$82,MATCH(B51,INDEX($J$12:$T$82,0,$I$3),0),$I$4)*$I$5,"")),"BDS live",IF(ISNUMBER(G51),"manual paste","-"))</f>
        <v/>
      </c>
      <c r="G51" s="133">
        <f>IFERROR(INDEX(S490_Snapshot!$D$7:$D$38,MATCH(B51,S490_Snapshot!$A$7:$A$38,0)),"")</f>
        <v/>
      </c>
      <c r="L51" s="94" t="n"/>
      <c r="M51" s="80">
        <f>IFERROR(INDEX(S490_Snapshot!$E$7:$E$38,MATCH(B51,S490_Snapshot!$A$7:$A$38,0)),"")</f>
        <v/>
      </c>
      <c r="N51" s="80">
        <f>IF(M51="","",Bootstrap!H51)</f>
        <v/>
      </c>
      <c r="O51" s="72">
        <f>IF(M51="","",N51-M51)</f>
        <v/>
      </c>
      <c r="P51" s="63">
        <f>IF(ISNUMBER(Bootstrap!E51),Bootstrap!E51,"")</f>
        <v/>
      </c>
      <c r="Q51" s="63">
        <f>IF(ISNUMBER(Bootstrap!X51),Bootstrap!X51,"")</f>
        <v/>
      </c>
      <c r="R51" s="89">
        <f>IF(OR(P51="",Q51=""),"",(P51-Q51)*100)</f>
        <v/>
      </c>
    </row>
    <row r="52">
      <c r="A52" s="6">
        <f>Bootstrap!A52</f>
        <v/>
      </c>
      <c r="B52" s="18">
        <f>Bootstrap!B52</f>
        <v/>
      </c>
      <c r="C52" s="17">
        <f>Bootstrap!J52</f>
        <v/>
      </c>
      <c r="D52" s="133">
        <f>IFERROR(INDEX($J$12:$T$82,MATCH(B52,INDEX($J$12:$T$82,0,$I$3),0),$I$4)*$I$5,IF(ISNUMBER(G52),G52,""))</f>
        <v/>
      </c>
      <c r="E52" s="89">
        <f>IF(ISNUMBER(L52),(C52-L52)*100,"")</f>
        <v/>
      </c>
      <c r="F52" s="93">
        <f>IF(ISNUMBER(IFERROR(INDEX($J$12:$T$82,MATCH(B52,INDEX($J$12:$T$82,0,$I$3),0),$I$4)*$I$5,"")),"BDS live",IF(ISNUMBER(G52),"manual paste","-"))</f>
        <v/>
      </c>
      <c r="G52" s="133">
        <f>IFERROR(INDEX(S490_Snapshot!$D$7:$D$38,MATCH(B52,S490_Snapshot!$A$7:$A$38,0)),"")</f>
        <v/>
      </c>
      <c r="L52" s="64" t="n">
        <v>4.35343</v>
      </c>
      <c r="M52" s="80">
        <f>IFERROR(INDEX(S490_Snapshot!$E$7:$E$38,MATCH(B52,S490_Snapshot!$A$7:$A$38,0)),"")</f>
        <v/>
      </c>
      <c r="N52" s="80">
        <f>IF(M52="","",Bootstrap!H52)</f>
        <v/>
      </c>
      <c r="O52" s="72">
        <f>IF(M52="","",N52-M52)</f>
        <v/>
      </c>
      <c r="P52" s="63">
        <f>IF(ISNUMBER(Bootstrap!E52),Bootstrap!E52,"")</f>
        <v/>
      </c>
      <c r="Q52" s="63">
        <f>IF(ISNUMBER(Bootstrap!X52),Bootstrap!X52,"")</f>
        <v/>
      </c>
      <c r="R52" s="89">
        <f>IF(OR(P52="",Q52=""),"",(P52-Q52)*100)</f>
        <v/>
      </c>
    </row>
    <row r="53">
      <c r="A53" s="6">
        <f>Bootstrap!A53</f>
        <v/>
      </c>
      <c r="B53" s="18">
        <f>Bootstrap!B53</f>
        <v/>
      </c>
      <c r="C53" s="17">
        <f>Bootstrap!J53</f>
        <v/>
      </c>
      <c r="D53" s="133">
        <f>IFERROR(INDEX($J$12:$T$82,MATCH(B53,INDEX($J$12:$T$82,0,$I$3),0),$I$4)*$I$5,IF(ISNUMBER(G53),G53,""))</f>
        <v/>
      </c>
      <c r="E53" s="89">
        <f>IF(ISNUMBER(L53),(C53-L53)*100,"")</f>
        <v/>
      </c>
      <c r="F53" s="93">
        <f>IF(ISNUMBER(IFERROR(INDEX($J$12:$T$82,MATCH(B53,INDEX($J$12:$T$82,0,$I$3),0),$I$4)*$I$5,"")),"BDS live",IF(ISNUMBER(G53),"manual paste","-"))</f>
        <v/>
      </c>
      <c r="G53" s="133">
        <f>IFERROR(INDEX(S490_Snapshot!$D$7:$D$38,MATCH(B53,S490_Snapshot!$A$7:$A$38,0)),"")</f>
        <v/>
      </c>
      <c r="L53" s="94" t="n"/>
      <c r="M53" s="80">
        <f>IFERROR(INDEX(S490_Snapshot!$E$7:$E$38,MATCH(B53,S490_Snapshot!$A$7:$A$38,0)),"")</f>
        <v/>
      </c>
      <c r="N53" s="80">
        <f>IF(M53="","",Bootstrap!H53)</f>
        <v/>
      </c>
      <c r="O53" s="72">
        <f>IF(M53="","",N53-M53)</f>
        <v/>
      </c>
      <c r="P53" s="63">
        <f>IF(ISNUMBER(Bootstrap!E53),Bootstrap!E53,"")</f>
        <v/>
      </c>
      <c r="Q53" s="63">
        <f>IF(ISNUMBER(Bootstrap!X53),Bootstrap!X53,"")</f>
        <v/>
      </c>
      <c r="R53" s="89">
        <f>IF(OR(P53="",Q53=""),"",(P53-Q53)*100)</f>
        <v/>
      </c>
    </row>
    <row r="54">
      <c r="A54" s="6">
        <f>Bootstrap!A54</f>
        <v/>
      </c>
      <c r="B54" s="18">
        <f>Bootstrap!B54</f>
        <v/>
      </c>
      <c r="C54" s="17">
        <f>Bootstrap!J54</f>
        <v/>
      </c>
      <c r="D54" s="133">
        <f>IFERROR(INDEX($J$12:$T$82,MATCH(B54,INDEX($J$12:$T$82,0,$I$3),0),$I$4)*$I$5,IF(ISNUMBER(G54),G54,""))</f>
        <v/>
      </c>
      <c r="E54" s="89">
        <f>IF(ISNUMBER(L54),(C54-L54)*100,"")</f>
        <v/>
      </c>
      <c r="F54" s="93">
        <f>IF(ISNUMBER(IFERROR(INDEX($J$12:$T$82,MATCH(B54,INDEX($J$12:$T$82,0,$I$3),0),$I$4)*$I$5,"")),"BDS live",IF(ISNUMBER(G54),"manual paste","-"))</f>
        <v/>
      </c>
      <c r="G54" s="133">
        <f>IFERROR(INDEX(S490_Snapshot!$D$7:$D$38,MATCH(B54,S490_Snapshot!$A$7:$A$38,0)),"")</f>
        <v/>
      </c>
      <c r="L54" s="94" t="n"/>
      <c r="M54" s="80">
        <f>IFERROR(INDEX(S490_Snapshot!$E$7:$E$38,MATCH(B54,S490_Snapshot!$A$7:$A$38,0)),"")</f>
        <v/>
      </c>
      <c r="N54" s="80">
        <f>IF(M54="","",Bootstrap!H54)</f>
        <v/>
      </c>
      <c r="O54" s="72">
        <f>IF(M54="","",N54-M54)</f>
        <v/>
      </c>
      <c r="P54" s="63">
        <f>IF(ISNUMBER(Bootstrap!E54),Bootstrap!E54,"")</f>
        <v/>
      </c>
      <c r="Q54" s="63">
        <f>IF(ISNUMBER(Bootstrap!X54),Bootstrap!X54,"")</f>
        <v/>
      </c>
      <c r="R54" s="89">
        <f>IF(OR(P54="",Q54=""),"",(P54-Q54)*100)</f>
        <v/>
      </c>
    </row>
    <row r="55">
      <c r="A55" s="6">
        <f>Bootstrap!A55</f>
        <v/>
      </c>
      <c r="B55" s="18">
        <f>Bootstrap!B55</f>
        <v/>
      </c>
      <c r="C55" s="17">
        <f>Bootstrap!J55</f>
        <v/>
      </c>
      <c r="D55" s="133">
        <f>IFERROR(INDEX($J$12:$T$82,MATCH(B55,INDEX($J$12:$T$82,0,$I$3),0),$I$4)*$I$5,IF(ISNUMBER(G55),G55,""))</f>
        <v/>
      </c>
      <c r="E55" s="89">
        <f>IF(ISNUMBER(L55),(C55-L55)*100,"")</f>
        <v/>
      </c>
      <c r="F55" s="93">
        <f>IF(ISNUMBER(IFERROR(INDEX($J$12:$T$82,MATCH(B55,INDEX($J$12:$T$82,0,$I$3),0),$I$4)*$I$5,"")),"BDS live",IF(ISNUMBER(G55),"manual paste","-"))</f>
        <v/>
      </c>
      <c r="G55" s="133">
        <f>IFERROR(INDEX(S490_Snapshot!$D$7:$D$38,MATCH(B55,S490_Snapshot!$A$7:$A$38,0)),"")</f>
        <v/>
      </c>
      <c r="L55" s="94" t="n"/>
      <c r="M55" s="80">
        <f>IFERROR(INDEX(S490_Snapshot!$E$7:$E$38,MATCH(B55,S490_Snapshot!$A$7:$A$38,0)),"")</f>
        <v/>
      </c>
      <c r="N55" s="80">
        <f>IF(M55="","",Bootstrap!H55)</f>
        <v/>
      </c>
      <c r="O55" s="72">
        <f>IF(M55="","",N55-M55)</f>
        <v/>
      </c>
      <c r="P55" s="63">
        <f>IF(ISNUMBER(Bootstrap!E55),Bootstrap!E55,"")</f>
        <v/>
      </c>
      <c r="Q55" s="63">
        <f>IF(ISNUMBER(Bootstrap!X55),Bootstrap!X55,"")</f>
        <v/>
      </c>
      <c r="R55" s="89">
        <f>IF(OR(P55="",Q55=""),"",(P55-Q55)*100)</f>
        <v/>
      </c>
    </row>
    <row r="56">
      <c r="A56" s="6">
        <f>Bootstrap!A56</f>
        <v/>
      </c>
      <c r="B56" s="18">
        <f>Bootstrap!B56</f>
        <v/>
      </c>
      <c r="C56" s="17">
        <f>Bootstrap!J56</f>
        <v/>
      </c>
      <c r="D56" s="133">
        <f>IFERROR(INDEX($J$12:$T$82,MATCH(B56,INDEX($J$12:$T$82,0,$I$3),0),$I$4)*$I$5,IF(ISNUMBER(G56),G56,""))</f>
        <v/>
      </c>
      <c r="E56" s="89">
        <f>IF(ISNUMBER(L56),(C56-L56)*100,"")</f>
        <v/>
      </c>
      <c r="F56" s="93">
        <f>IF(ISNUMBER(IFERROR(INDEX($J$12:$T$82,MATCH(B56,INDEX($J$12:$T$82,0,$I$3),0),$I$4)*$I$5,"")),"BDS live",IF(ISNUMBER(G56),"manual paste","-"))</f>
        <v/>
      </c>
      <c r="G56" s="133">
        <f>IFERROR(INDEX(S490_Snapshot!$D$7:$D$38,MATCH(B56,S490_Snapshot!$A$7:$A$38,0)),"")</f>
        <v/>
      </c>
      <c r="L56" s="94" t="n"/>
      <c r="M56" s="80">
        <f>IFERROR(INDEX(S490_Snapshot!$E$7:$E$38,MATCH(B56,S490_Snapshot!$A$7:$A$38,0)),"")</f>
        <v/>
      </c>
      <c r="N56" s="80">
        <f>IF(M56="","",Bootstrap!H56)</f>
        <v/>
      </c>
      <c r="O56" s="72">
        <f>IF(M56="","",N56-M56)</f>
        <v/>
      </c>
      <c r="P56" s="63">
        <f>IF(ISNUMBER(Bootstrap!E56),Bootstrap!E56,"")</f>
        <v/>
      </c>
      <c r="Q56" s="63">
        <f>IF(ISNUMBER(Bootstrap!X56),Bootstrap!X56,"")</f>
        <v/>
      </c>
      <c r="R56" s="89">
        <f>IF(OR(P56="",Q56=""),"",(P56-Q56)*100)</f>
        <v/>
      </c>
    </row>
    <row r="57">
      <c r="A57" s="6">
        <f>Bootstrap!A57</f>
        <v/>
      </c>
      <c r="B57" s="18">
        <f>Bootstrap!B57</f>
        <v/>
      </c>
      <c r="C57" s="17">
        <f>Bootstrap!J57</f>
        <v/>
      </c>
      <c r="D57" s="133">
        <f>IFERROR(INDEX($J$12:$T$82,MATCH(B57,INDEX($J$12:$T$82,0,$I$3),0),$I$4)*$I$5,IF(ISNUMBER(G57),G57,""))</f>
        <v/>
      </c>
      <c r="E57" s="89">
        <f>IF(ISNUMBER(L57),(C57-L57)*100,"")</f>
        <v/>
      </c>
      <c r="F57" s="93">
        <f>IF(ISNUMBER(IFERROR(INDEX($J$12:$T$82,MATCH(B57,INDEX($J$12:$T$82,0,$I$3),0),$I$4)*$I$5,"")),"BDS live",IF(ISNUMBER(G57),"manual paste","-"))</f>
        <v/>
      </c>
      <c r="G57" s="133">
        <f>IFERROR(INDEX(S490_Snapshot!$D$7:$D$38,MATCH(B57,S490_Snapshot!$A$7:$A$38,0)),"")</f>
        <v/>
      </c>
      <c r="L57" s="94" t="n"/>
      <c r="M57" s="80">
        <f>IFERROR(INDEX(S490_Snapshot!$E$7:$E$38,MATCH(B57,S490_Snapshot!$A$7:$A$38,0)),"")</f>
        <v/>
      </c>
      <c r="N57" s="80">
        <f>IF(M57="","",Bootstrap!H57)</f>
        <v/>
      </c>
      <c r="O57" s="72">
        <f>IF(M57="","",N57-M57)</f>
        <v/>
      </c>
      <c r="P57" s="63">
        <f>IF(ISNUMBER(Bootstrap!E57),Bootstrap!E57,"")</f>
        <v/>
      </c>
      <c r="Q57" s="63">
        <f>IF(ISNUMBER(Bootstrap!X57),Bootstrap!X57,"")</f>
        <v/>
      </c>
      <c r="R57" s="89">
        <f>IF(OR(P57="",Q57=""),"",(P57-Q57)*100)</f>
        <v/>
      </c>
    </row>
    <row r="58">
      <c r="A58" s="6">
        <f>Bootstrap!A58</f>
        <v/>
      </c>
      <c r="B58" s="18">
        <f>Bootstrap!B58</f>
        <v/>
      </c>
      <c r="C58" s="17">
        <f>Bootstrap!J58</f>
        <v/>
      </c>
      <c r="D58" s="133">
        <f>IFERROR(INDEX($J$12:$T$82,MATCH(B58,INDEX($J$12:$T$82,0,$I$3),0),$I$4)*$I$5,IF(ISNUMBER(G58),G58,""))</f>
        <v/>
      </c>
      <c r="E58" s="89">
        <f>IF(ISNUMBER(L58),(C58-L58)*100,"")</f>
        <v/>
      </c>
      <c r="F58" s="93">
        <f>IF(ISNUMBER(IFERROR(INDEX($J$12:$T$82,MATCH(B58,INDEX($J$12:$T$82,0,$I$3),0),$I$4)*$I$5,"")),"BDS live",IF(ISNUMBER(G58),"manual paste","-"))</f>
        <v/>
      </c>
      <c r="G58" s="133">
        <f>IFERROR(INDEX(S490_Snapshot!$D$7:$D$38,MATCH(B58,S490_Snapshot!$A$7:$A$38,0)),"")</f>
        <v/>
      </c>
      <c r="L58" s="94" t="n"/>
      <c r="M58" s="80">
        <f>IFERROR(INDEX(S490_Snapshot!$E$7:$E$38,MATCH(B58,S490_Snapshot!$A$7:$A$38,0)),"")</f>
        <v/>
      </c>
      <c r="N58" s="80">
        <f>IF(M58="","",Bootstrap!H58)</f>
        <v/>
      </c>
      <c r="O58" s="72">
        <f>IF(M58="","",N58-M58)</f>
        <v/>
      </c>
      <c r="P58" s="63">
        <f>IF(ISNUMBER(Bootstrap!E58),Bootstrap!E58,"")</f>
        <v/>
      </c>
      <c r="Q58" s="63">
        <f>IF(ISNUMBER(Bootstrap!X58),Bootstrap!X58,"")</f>
        <v/>
      </c>
      <c r="R58" s="89">
        <f>IF(OR(P58="",Q58=""),"",(P58-Q58)*100)</f>
        <v/>
      </c>
    </row>
    <row r="59">
      <c r="A59" s="6">
        <f>Bootstrap!A59</f>
        <v/>
      </c>
      <c r="B59" s="18">
        <f>Bootstrap!B59</f>
        <v/>
      </c>
      <c r="C59" s="17">
        <f>Bootstrap!J59</f>
        <v/>
      </c>
      <c r="D59" s="133">
        <f>IFERROR(INDEX($J$12:$T$82,MATCH(B59,INDEX($J$12:$T$82,0,$I$3),0),$I$4)*$I$5,IF(ISNUMBER(G59),G59,""))</f>
        <v/>
      </c>
      <c r="E59" s="89">
        <f>IF(ISNUMBER(L59),(C59-L59)*100,"")</f>
        <v/>
      </c>
      <c r="F59" s="93">
        <f>IF(ISNUMBER(IFERROR(INDEX($J$12:$T$82,MATCH(B59,INDEX($J$12:$T$82,0,$I$3),0),$I$4)*$I$5,"")),"BDS live",IF(ISNUMBER(G59),"manual paste","-"))</f>
        <v/>
      </c>
      <c r="G59" s="133">
        <f>IFERROR(INDEX(S490_Snapshot!$D$7:$D$38,MATCH(B59,S490_Snapshot!$A$7:$A$38,0)),"")</f>
        <v/>
      </c>
      <c r="L59" s="94" t="n"/>
      <c r="M59" s="80">
        <f>IFERROR(INDEX(S490_Snapshot!$E$7:$E$38,MATCH(B59,S490_Snapshot!$A$7:$A$38,0)),"")</f>
        <v/>
      </c>
      <c r="N59" s="80">
        <f>IF(M59="","",Bootstrap!H59)</f>
        <v/>
      </c>
      <c r="O59" s="72">
        <f>IF(M59="","",N59-M59)</f>
        <v/>
      </c>
      <c r="P59" s="63">
        <f>IF(ISNUMBER(Bootstrap!E59),Bootstrap!E59,"")</f>
        <v/>
      </c>
      <c r="Q59" s="63">
        <f>IF(ISNUMBER(Bootstrap!X59),Bootstrap!X59,"")</f>
        <v/>
      </c>
      <c r="R59" s="89">
        <f>IF(OR(P59="",Q59=""),"",(P59-Q59)*100)</f>
        <v/>
      </c>
    </row>
    <row r="60">
      <c r="A60" s="6">
        <f>Bootstrap!A60</f>
        <v/>
      </c>
      <c r="B60" s="18">
        <f>Bootstrap!B60</f>
        <v/>
      </c>
      <c r="C60" s="17">
        <f>Bootstrap!J60</f>
        <v/>
      </c>
      <c r="D60" s="133">
        <f>IFERROR(INDEX($J$12:$T$82,MATCH(B60,INDEX($J$12:$T$82,0,$I$3),0),$I$4)*$I$5,IF(ISNUMBER(G60),G60,""))</f>
        <v/>
      </c>
      <c r="E60" s="89">
        <f>IF(ISNUMBER(L60),(C60-L60)*100,"")</f>
        <v/>
      </c>
      <c r="F60" s="93">
        <f>IF(ISNUMBER(IFERROR(INDEX($J$12:$T$82,MATCH(B60,INDEX($J$12:$T$82,0,$I$3),0),$I$4)*$I$5,"")),"BDS live",IF(ISNUMBER(G60),"manual paste","-"))</f>
        <v/>
      </c>
      <c r="G60" s="133">
        <f>IFERROR(INDEX(S490_Snapshot!$D$7:$D$38,MATCH(B60,S490_Snapshot!$A$7:$A$38,0)),"")</f>
        <v/>
      </c>
      <c r="L60" s="94" t="n"/>
      <c r="M60" s="80">
        <f>IFERROR(INDEX(S490_Snapshot!$E$7:$E$38,MATCH(B60,S490_Snapshot!$A$7:$A$38,0)),"")</f>
        <v/>
      </c>
      <c r="N60" s="80">
        <f>IF(M60="","",Bootstrap!H60)</f>
        <v/>
      </c>
      <c r="O60" s="72">
        <f>IF(M60="","",N60-M60)</f>
        <v/>
      </c>
      <c r="P60" s="63">
        <f>IF(ISNUMBER(Bootstrap!E60),Bootstrap!E60,"")</f>
        <v/>
      </c>
      <c r="Q60" s="63">
        <f>IF(ISNUMBER(Bootstrap!X60),Bootstrap!X60,"")</f>
        <v/>
      </c>
      <c r="R60" s="89">
        <f>IF(OR(P60="",Q60=""),"",(P60-Q60)*100)</f>
        <v/>
      </c>
    </row>
    <row r="61">
      <c r="A61" s="6">
        <f>Bootstrap!A61</f>
        <v/>
      </c>
      <c r="B61" s="18">
        <f>Bootstrap!B61</f>
        <v/>
      </c>
      <c r="C61" s="17">
        <f>Bootstrap!J61</f>
        <v/>
      </c>
      <c r="D61" s="133">
        <f>IFERROR(INDEX($J$12:$T$82,MATCH(B61,INDEX($J$12:$T$82,0,$I$3),0),$I$4)*$I$5,IF(ISNUMBER(G61),G61,""))</f>
        <v/>
      </c>
      <c r="E61" s="89">
        <f>IF(ISNUMBER(L61),(C61-L61)*100,"")</f>
        <v/>
      </c>
      <c r="F61" s="93">
        <f>IF(ISNUMBER(IFERROR(INDEX($J$12:$T$82,MATCH(B61,INDEX($J$12:$T$82,0,$I$3),0),$I$4)*$I$5,"")),"BDS live",IF(ISNUMBER(G61),"manual paste","-"))</f>
        <v/>
      </c>
      <c r="G61" s="133">
        <f>IFERROR(INDEX(S490_Snapshot!$D$7:$D$38,MATCH(B61,S490_Snapshot!$A$7:$A$38,0)),"")</f>
        <v/>
      </c>
      <c r="L61" s="94" t="n"/>
      <c r="M61" s="80">
        <f>IFERROR(INDEX(S490_Snapshot!$E$7:$E$38,MATCH(B61,S490_Snapshot!$A$7:$A$38,0)),"")</f>
        <v/>
      </c>
      <c r="N61" s="80">
        <f>IF(M61="","",Bootstrap!H61)</f>
        <v/>
      </c>
      <c r="O61" s="72">
        <f>IF(M61="","",N61-M61)</f>
        <v/>
      </c>
      <c r="P61" s="63">
        <f>IF(ISNUMBER(Bootstrap!E61),Bootstrap!E61,"")</f>
        <v/>
      </c>
      <c r="Q61" s="63">
        <f>IF(ISNUMBER(Bootstrap!X61),Bootstrap!X61,"")</f>
        <v/>
      </c>
      <c r="R61" s="89">
        <f>IF(OR(P61="",Q61=""),"",(P61-Q61)*100)</f>
        <v/>
      </c>
    </row>
    <row r="62">
      <c r="A62" s="6">
        <f>Bootstrap!A62</f>
        <v/>
      </c>
      <c r="B62" s="18">
        <f>Bootstrap!B62</f>
        <v/>
      </c>
      <c r="C62" s="17">
        <f>Bootstrap!J62</f>
        <v/>
      </c>
      <c r="D62" s="133">
        <f>IFERROR(INDEX($J$12:$T$82,MATCH(B62,INDEX($J$12:$T$82,0,$I$3),0),$I$4)*$I$5,IF(ISNUMBER(G62),G62,""))</f>
        <v/>
      </c>
      <c r="E62" s="89">
        <f>IF(ISNUMBER(L62),(C62-L62)*100,"")</f>
        <v/>
      </c>
      <c r="F62" s="93">
        <f>IF(ISNUMBER(IFERROR(INDEX($J$12:$T$82,MATCH(B62,INDEX($J$12:$T$82,0,$I$3),0),$I$4)*$I$5,"")),"BDS live",IF(ISNUMBER(G62),"manual paste","-"))</f>
        <v/>
      </c>
      <c r="G62" s="133">
        <f>IFERROR(INDEX(S490_Snapshot!$D$7:$D$38,MATCH(B62,S490_Snapshot!$A$7:$A$38,0)),"")</f>
        <v/>
      </c>
      <c r="L62" s="64" t="n">
        <v>4.10984</v>
      </c>
      <c r="M62" s="80">
        <f>IFERROR(INDEX(S490_Snapshot!$E$7:$E$38,MATCH(B62,S490_Snapshot!$A$7:$A$38,0)),"")</f>
        <v/>
      </c>
      <c r="N62" s="80">
        <f>IF(M62="","",Bootstrap!H62)</f>
        <v/>
      </c>
      <c r="O62" s="72">
        <f>IF(M62="","",N62-M62)</f>
        <v/>
      </c>
      <c r="P62" s="63">
        <f>IF(ISNUMBER(Bootstrap!E62),Bootstrap!E62,"")</f>
        <v/>
      </c>
      <c r="Q62" s="63">
        <f>IF(ISNUMBER(Bootstrap!X62),Bootstrap!X62,"")</f>
        <v/>
      </c>
      <c r="R62" s="89">
        <f>IF(OR(P62="",Q62=""),"",(P62-Q62)*100)</f>
        <v/>
      </c>
    </row>
    <row r="63">
      <c r="A63" s="6">
        <f>Bootstrap!A63</f>
        <v/>
      </c>
      <c r="B63" s="18">
        <f>Bootstrap!B63</f>
        <v/>
      </c>
      <c r="C63" s="17">
        <f>Bootstrap!J63</f>
        <v/>
      </c>
      <c r="D63" s="133">
        <f>IFERROR(INDEX($J$12:$T$82,MATCH(B63,INDEX($J$12:$T$82,0,$I$3),0),$I$4)*$I$5,IF(ISNUMBER(G63),G63,""))</f>
        <v/>
      </c>
      <c r="E63" s="89">
        <f>IF(ISNUMBER(L63),(C63-L63)*100,"")</f>
        <v/>
      </c>
      <c r="F63" s="93">
        <f>IF(ISNUMBER(IFERROR(INDEX($J$12:$T$82,MATCH(B63,INDEX($J$12:$T$82,0,$I$3),0),$I$4)*$I$5,"")),"BDS live",IF(ISNUMBER(G63),"manual paste","-"))</f>
        <v/>
      </c>
      <c r="G63" s="133">
        <f>IFERROR(INDEX(S490_Snapshot!$D$7:$D$38,MATCH(B63,S490_Snapshot!$A$7:$A$38,0)),"")</f>
        <v/>
      </c>
      <c r="L63" s="94" t="n"/>
      <c r="M63" s="80">
        <f>IFERROR(INDEX(S490_Snapshot!$E$7:$E$38,MATCH(B63,S490_Snapshot!$A$7:$A$38,0)),"")</f>
        <v/>
      </c>
      <c r="N63" s="80">
        <f>IF(M63="","",Bootstrap!H63)</f>
        <v/>
      </c>
      <c r="O63" s="72">
        <f>IF(M63="","",N63-M63)</f>
        <v/>
      </c>
      <c r="P63" s="63">
        <f>IF(ISNUMBER(Bootstrap!E63),Bootstrap!E63,"")</f>
        <v/>
      </c>
      <c r="Q63" s="63">
        <f>IF(ISNUMBER(Bootstrap!X63),Bootstrap!X63,"")</f>
        <v/>
      </c>
      <c r="R63" s="89">
        <f>IF(OR(P63="",Q63=""),"",(P63-Q63)*100)</f>
        <v/>
      </c>
    </row>
    <row r="64">
      <c r="A64" s="6">
        <f>Bootstrap!A64</f>
        <v/>
      </c>
      <c r="B64" s="18">
        <f>Bootstrap!B64</f>
        <v/>
      </c>
      <c r="C64" s="17">
        <f>Bootstrap!J64</f>
        <v/>
      </c>
      <c r="D64" s="133">
        <f>IFERROR(INDEX($J$12:$T$82,MATCH(B64,INDEX($J$12:$T$82,0,$I$3),0),$I$4)*$I$5,IF(ISNUMBER(G64),G64,""))</f>
        <v/>
      </c>
      <c r="E64" s="89">
        <f>IF(ISNUMBER(L64),(C64-L64)*100,"")</f>
        <v/>
      </c>
      <c r="F64" s="93">
        <f>IF(ISNUMBER(IFERROR(INDEX($J$12:$T$82,MATCH(B64,INDEX($J$12:$T$82,0,$I$3),0),$I$4)*$I$5,"")),"BDS live",IF(ISNUMBER(G64),"manual paste","-"))</f>
        <v/>
      </c>
      <c r="G64" s="133">
        <f>IFERROR(INDEX(S490_Snapshot!$D$7:$D$38,MATCH(B64,S490_Snapshot!$A$7:$A$38,0)),"")</f>
        <v/>
      </c>
      <c r="L64" s="94" t="n"/>
      <c r="M64" s="80">
        <f>IFERROR(INDEX(S490_Snapshot!$E$7:$E$38,MATCH(B64,S490_Snapshot!$A$7:$A$38,0)),"")</f>
        <v/>
      </c>
      <c r="N64" s="80">
        <f>IF(M64="","",Bootstrap!H64)</f>
        <v/>
      </c>
      <c r="O64" s="72">
        <f>IF(M64="","",N64-M64)</f>
        <v/>
      </c>
      <c r="P64" s="63">
        <f>IF(ISNUMBER(Bootstrap!E64),Bootstrap!E64,"")</f>
        <v/>
      </c>
      <c r="Q64" s="63">
        <f>IF(ISNUMBER(Bootstrap!X64),Bootstrap!X64,"")</f>
        <v/>
      </c>
      <c r="R64" s="89">
        <f>IF(OR(P64="",Q64=""),"",(P64-Q64)*100)</f>
        <v/>
      </c>
    </row>
    <row r="65">
      <c r="A65" s="6">
        <f>Bootstrap!A65</f>
        <v/>
      </c>
      <c r="B65" s="18">
        <f>Bootstrap!B65</f>
        <v/>
      </c>
      <c r="C65" s="17">
        <f>Bootstrap!J65</f>
        <v/>
      </c>
      <c r="D65" s="133">
        <f>IFERROR(INDEX($J$12:$T$82,MATCH(B65,INDEX($J$12:$T$82,0,$I$3),0),$I$4)*$I$5,IF(ISNUMBER(G65),G65,""))</f>
        <v/>
      </c>
      <c r="E65" s="89">
        <f>IF(ISNUMBER(L65),(C65-L65)*100,"")</f>
        <v/>
      </c>
      <c r="F65" s="93">
        <f>IF(ISNUMBER(IFERROR(INDEX($J$12:$T$82,MATCH(B65,INDEX($J$12:$T$82,0,$I$3),0),$I$4)*$I$5,"")),"BDS live",IF(ISNUMBER(G65),"manual paste","-"))</f>
        <v/>
      </c>
      <c r="G65" s="133">
        <f>IFERROR(INDEX(S490_Snapshot!$D$7:$D$38,MATCH(B65,S490_Snapshot!$A$7:$A$38,0)),"")</f>
        <v/>
      </c>
      <c r="L65" s="94" t="n"/>
      <c r="M65" s="80">
        <f>IFERROR(INDEX(S490_Snapshot!$E$7:$E$38,MATCH(B65,S490_Snapshot!$A$7:$A$38,0)),"")</f>
        <v/>
      </c>
      <c r="N65" s="80">
        <f>IF(M65="","",Bootstrap!H65)</f>
        <v/>
      </c>
      <c r="O65" s="72">
        <f>IF(M65="","",N65-M65)</f>
        <v/>
      </c>
      <c r="P65" s="63">
        <f>IF(ISNUMBER(Bootstrap!E65),Bootstrap!E65,"")</f>
        <v/>
      </c>
      <c r="Q65" s="63">
        <f>IF(ISNUMBER(Bootstrap!X65),Bootstrap!X65,"")</f>
        <v/>
      </c>
      <c r="R65" s="89">
        <f>IF(OR(P65="",Q65=""),"",(P65-Q65)*100)</f>
        <v/>
      </c>
    </row>
    <row r="66">
      <c r="A66" s="6">
        <f>Bootstrap!A66</f>
        <v/>
      </c>
      <c r="B66" s="18">
        <f>Bootstrap!B66</f>
        <v/>
      </c>
      <c r="C66" s="17">
        <f>Bootstrap!J66</f>
        <v/>
      </c>
      <c r="D66" s="133">
        <f>IFERROR(INDEX($J$12:$T$82,MATCH(B66,INDEX($J$12:$T$82,0,$I$3),0),$I$4)*$I$5,IF(ISNUMBER(G66),G66,""))</f>
        <v/>
      </c>
      <c r="E66" s="89">
        <f>IF(ISNUMBER(L66),(C66-L66)*100,"")</f>
        <v/>
      </c>
      <c r="F66" s="93">
        <f>IF(ISNUMBER(IFERROR(INDEX($J$12:$T$82,MATCH(B66,INDEX($J$12:$T$82,0,$I$3),0),$I$4)*$I$5,"")),"BDS live",IF(ISNUMBER(G66),"manual paste","-"))</f>
        <v/>
      </c>
      <c r="G66" s="133">
        <f>IFERROR(INDEX(S490_Snapshot!$D$7:$D$38,MATCH(B66,S490_Snapshot!$A$7:$A$38,0)),"")</f>
        <v/>
      </c>
      <c r="L66" s="94" t="n"/>
      <c r="M66" s="80">
        <f>IFERROR(INDEX(S490_Snapshot!$E$7:$E$38,MATCH(B66,S490_Snapshot!$A$7:$A$38,0)),"")</f>
        <v/>
      </c>
      <c r="N66" s="80">
        <f>IF(M66="","",Bootstrap!H66)</f>
        <v/>
      </c>
      <c r="O66" s="72">
        <f>IF(M66="","",N66-M66)</f>
        <v/>
      </c>
      <c r="P66" s="63">
        <f>IF(ISNUMBER(Bootstrap!E66),Bootstrap!E66,"")</f>
        <v/>
      </c>
      <c r="Q66" s="63">
        <f>IF(ISNUMBER(Bootstrap!X66),Bootstrap!X66,"")</f>
        <v/>
      </c>
      <c r="R66" s="89">
        <f>IF(OR(P66="",Q66=""),"",(P66-Q66)*100)</f>
        <v/>
      </c>
    </row>
    <row r="67">
      <c r="A67" s="6">
        <f>Bootstrap!A67</f>
        <v/>
      </c>
      <c r="B67" s="18">
        <f>Bootstrap!B67</f>
        <v/>
      </c>
      <c r="C67" s="17">
        <f>Bootstrap!J67</f>
        <v/>
      </c>
      <c r="D67" s="133">
        <f>IFERROR(INDEX($J$12:$T$82,MATCH(B67,INDEX($J$12:$T$82,0,$I$3),0),$I$4)*$I$5,IF(ISNUMBER(G67),G67,""))</f>
        <v/>
      </c>
      <c r="E67" s="89">
        <f>IF(ISNUMBER(L67),(C67-L67)*100,"")</f>
        <v/>
      </c>
      <c r="F67" s="93">
        <f>IF(ISNUMBER(IFERROR(INDEX($J$12:$T$82,MATCH(B67,INDEX($J$12:$T$82,0,$I$3),0),$I$4)*$I$5,"")),"BDS live",IF(ISNUMBER(G67),"manual paste","-"))</f>
        <v/>
      </c>
      <c r="G67" s="133">
        <f>IFERROR(INDEX(S490_Snapshot!$D$7:$D$38,MATCH(B67,S490_Snapshot!$A$7:$A$38,0)),"")</f>
        <v/>
      </c>
      <c r="L67" s="94" t="n"/>
      <c r="M67" s="80">
        <f>IFERROR(INDEX(S490_Snapshot!$E$7:$E$38,MATCH(B67,S490_Snapshot!$A$7:$A$38,0)),"")</f>
        <v/>
      </c>
      <c r="N67" s="80">
        <f>IF(M67="","",Bootstrap!H67)</f>
        <v/>
      </c>
      <c r="O67" s="72">
        <f>IF(M67="","",N67-M67)</f>
        <v/>
      </c>
      <c r="P67" s="63">
        <f>IF(ISNUMBER(Bootstrap!E67),Bootstrap!E67,"")</f>
        <v/>
      </c>
      <c r="Q67" s="63">
        <f>IF(ISNUMBER(Bootstrap!X67),Bootstrap!X67,"")</f>
        <v/>
      </c>
      <c r="R67" s="89">
        <f>IF(OR(P67="",Q67=""),"",(P67-Q67)*100)</f>
        <v/>
      </c>
    </row>
    <row r="68">
      <c r="A68" s="6">
        <f>Bootstrap!A68</f>
        <v/>
      </c>
      <c r="B68" s="18">
        <f>Bootstrap!B68</f>
        <v/>
      </c>
      <c r="C68" s="17">
        <f>Bootstrap!J68</f>
        <v/>
      </c>
      <c r="D68" s="133">
        <f>IFERROR(INDEX($J$12:$T$82,MATCH(B68,INDEX($J$12:$T$82,0,$I$3),0),$I$4)*$I$5,IF(ISNUMBER(G68),G68,""))</f>
        <v/>
      </c>
      <c r="E68" s="89">
        <f>IF(ISNUMBER(L68),(C68-L68)*100,"")</f>
        <v/>
      </c>
      <c r="F68" s="93">
        <f>IF(ISNUMBER(IFERROR(INDEX($J$12:$T$82,MATCH(B68,INDEX($J$12:$T$82,0,$I$3),0),$I$4)*$I$5,"")),"BDS live",IF(ISNUMBER(G68),"manual paste","-"))</f>
        <v/>
      </c>
      <c r="G68" s="133">
        <f>IFERROR(INDEX(S490_Snapshot!$D$7:$D$38,MATCH(B68,S490_Snapshot!$A$7:$A$38,0)),"")</f>
        <v/>
      </c>
      <c r="L68" s="94" t="n"/>
      <c r="M68" s="80">
        <f>IFERROR(INDEX(S490_Snapshot!$E$7:$E$38,MATCH(B68,S490_Snapshot!$A$7:$A$38,0)),"")</f>
        <v/>
      </c>
      <c r="N68" s="80">
        <f>IF(M68="","",Bootstrap!H68)</f>
        <v/>
      </c>
      <c r="O68" s="72">
        <f>IF(M68="","",N68-M68)</f>
        <v/>
      </c>
      <c r="P68" s="63">
        <f>IF(ISNUMBER(Bootstrap!E68),Bootstrap!E68,"")</f>
        <v/>
      </c>
      <c r="Q68" s="63">
        <f>IF(ISNUMBER(Bootstrap!X68),Bootstrap!X68,"")</f>
        <v/>
      </c>
      <c r="R68" s="89">
        <f>IF(OR(P68="",Q68=""),"",(P68-Q68)*100)</f>
        <v/>
      </c>
    </row>
    <row r="69">
      <c r="A69" s="6">
        <f>Bootstrap!A69</f>
        <v/>
      </c>
      <c r="B69" s="18">
        <f>Bootstrap!B69</f>
        <v/>
      </c>
      <c r="C69" s="17">
        <f>Bootstrap!J69</f>
        <v/>
      </c>
      <c r="D69" s="133">
        <f>IFERROR(INDEX($J$12:$T$82,MATCH(B69,INDEX($J$12:$T$82,0,$I$3),0),$I$4)*$I$5,IF(ISNUMBER(G69),G69,""))</f>
        <v/>
      </c>
      <c r="E69" s="89">
        <f>IF(ISNUMBER(L69),(C69-L69)*100,"")</f>
        <v/>
      </c>
      <c r="F69" s="93">
        <f>IF(ISNUMBER(IFERROR(INDEX($J$12:$T$82,MATCH(B69,INDEX($J$12:$T$82,0,$I$3),0),$I$4)*$I$5,"")),"BDS live",IF(ISNUMBER(G69),"manual paste","-"))</f>
        <v/>
      </c>
      <c r="G69" s="133">
        <f>IFERROR(INDEX(S490_Snapshot!$D$7:$D$38,MATCH(B69,S490_Snapshot!$A$7:$A$38,0)),"")</f>
        <v/>
      </c>
      <c r="L69" s="94" t="n"/>
      <c r="M69" s="80">
        <f>IFERROR(INDEX(S490_Snapshot!$E$7:$E$38,MATCH(B69,S490_Snapshot!$A$7:$A$38,0)),"")</f>
        <v/>
      </c>
      <c r="N69" s="80">
        <f>IF(M69="","",Bootstrap!H69)</f>
        <v/>
      </c>
      <c r="O69" s="72">
        <f>IF(M69="","",N69-M69)</f>
        <v/>
      </c>
      <c r="P69" s="63">
        <f>IF(ISNUMBER(Bootstrap!E69),Bootstrap!E69,"")</f>
        <v/>
      </c>
      <c r="Q69" s="63">
        <f>IF(ISNUMBER(Bootstrap!X69),Bootstrap!X69,"")</f>
        <v/>
      </c>
      <c r="R69" s="89">
        <f>IF(OR(P69="",Q69=""),"",(P69-Q69)*100)</f>
        <v/>
      </c>
    </row>
    <row r="70">
      <c r="A70" s="6">
        <f>Bootstrap!A70</f>
        <v/>
      </c>
      <c r="B70" s="18">
        <f>Bootstrap!B70</f>
        <v/>
      </c>
      <c r="C70" s="17">
        <f>Bootstrap!J70</f>
        <v/>
      </c>
      <c r="D70" s="133">
        <f>IFERROR(INDEX($J$12:$T$82,MATCH(B70,INDEX($J$12:$T$82,0,$I$3),0),$I$4)*$I$5,IF(ISNUMBER(G70),G70,""))</f>
        <v/>
      </c>
      <c r="E70" s="89">
        <f>IF(ISNUMBER(L70),(C70-L70)*100,"")</f>
        <v/>
      </c>
      <c r="F70" s="93">
        <f>IF(ISNUMBER(IFERROR(INDEX($J$12:$T$82,MATCH(B70,INDEX($J$12:$T$82,0,$I$3),0),$I$4)*$I$5,"")),"BDS live",IF(ISNUMBER(G70),"manual paste","-"))</f>
        <v/>
      </c>
      <c r="G70" s="133">
        <f>IFERROR(INDEX(S490_Snapshot!$D$7:$D$38,MATCH(B70,S490_Snapshot!$A$7:$A$38,0)),"")</f>
        <v/>
      </c>
      <c r="L70" s="94" t="n"/>
      <c r="M70" s="80">
        <f>IFERROR(INDEX(S490_Snapshot!$E$7:$E$38,MATCH(B70,S490_Snapshot!$A$7:$A$38,0)),"")</f>
        <v/>
      </c>
      <c r="N70" s="80">
        <f>IF(M70="","",Bootstrap!H70)</f>
        <v/>
      </c>
      <c r="O70" s="72">
        <f>IF(M70="","",N70-M70)</f>
        <v/>
      </c>
      <c r="P70" s="63">
        <f>IF(ISNUMBER(Bootstrap!E70),Bootstrap!E70,"")</f>
        <v/>
      </c>
      <c r="Q70" s="63">
        <f>IF(ISNUMBER(Bootstrap!X70),Bootstrap!X70,"")</f>
        <v/>
      </c>
      <c r="R70" s="89">
        <f>IF(OR(P70="",Q70=""),"",(P70-Q70)*100)</f>
        <v/>
      </c>
    </row>
    <row r="71">
      <c r="A71" s="6">
        <f>Bootstrap!A71</f>
        <v/>
      </c>
      <c r="B71" s="18">
        <f>Bootstrap!B71</f>
        <v/>
      </c>
      <c r="C71" s="17">
        <f>Bootstrap!J71</f>
        <v/>
      </c>
      <c r="D71" s="133">
        <f>IFERROR(INDEX($J$12:$T$82,MATCH(B71,INDEX($J$12:$T$82,0,$I$3),0),$I$4)*$I$5,IF(ISNUMBER(G71),G71,""))</f>
        <v/>
      </c>
      <c r="E71" s="89">
        <f>IF(ISNUMBER(L71),(C71-L71)*100,"")</f>
        <v/>
      </c>
      <c r="F71" s="93">
        <f>IF(ISNUMBER(IFERROR(INDEX($J$12:$T$82,MATCH(B71,INDEX($J$12:$T$82,0,$I$3),0),$I$4)*$I$5,"")),"BDS live",IF(ISNUMBER(G71),"manual paste","-"))</f>
        <v/>
      </c>
      <c r="G71" s="133">
        <f>IFERROR(INDEX(S490_Snapshot!$D$7:$D$38,MATCH(B71,S490_Snapshot!$A$7:$A$38,0)),"")</f>
        <v/>
      </c>
      <c r="L71" s="94" t="n"/>
      <c r="M71" s="80">
        <f>IFERROR(INDEX(S490_Snapshot!$E$7:$E$38,MATCH(B71,S490_Snapshot!$A$7:$A$38,0)),"")</f>
        <v/>
      </c>
      <c r="N71" s="80">
        <f>IF(M71="","",Bootstrap!H71)</f>
        <v/>
      </c>
      <c r="O71" s="72">
        <f>IF(M71="","",N71-M71)</f>
        <v/>
      </c>
      <c r="P71" s="63">
        <f>IF(ISNUMBER(Bootstrap!E71),Bootstrap!E71,"")</f>
        <v/>
      </c>
      <c r="Q71" s="63">
        <f>IF(ISNUMBER(Bootstrap!X71),Bootstrap!X71,"")</f>
        <v/>
      </c>
      <c r="R71" s="89">
        <f>IF(OR(P71="",Q71=""),"",(P71-Q71)*100)</f>
        <v/>
      </c>
    </row>
    <row r="72">
      <c r="A72" s="6">
        <f>Bootstrap!A72</f>
        <v/>
      </c>
      <c r="B72" s="18">
        <f>Bootstrap!B72</f>
        <v/>
      </c>
      <c r="C72" s="17">
        <f>Bootstrap!J72</f>
        <v/>
      </c>
      <c r="D72" s="133">
        <f>IFERROR(INDEX($J$12:$T$82,MATCH(B72,INDEX($J$12:$T$82,0,$I$3),0),$I$4)*$I$5,IF(ISNUMBER(G72),G72,""))</f>
        <v/>
      </c>
      <c r="E72" s="89">
        <f>IF(ISNUMBER(L72),(C72-L72)*100,"")</f>
        <v/>
      </c>
      <c r="F72" s="93">
        <f>IF(ISNUMBER(IFERROR(INDEX($J$12:$T$82,MATCH(B72,INDEX($J$12:$T$82,0,$I$3),0),$I$4)*$I$5,"")),"BDS live",IF(ISNUMBER(G72),"manual paste","-"))</f>
        <v/>
      </c>
      <c r="G72" s="133">
        <f>IFERROR(INDEX(S490_Snapshot!$D$7:$D$38,MATCH(B72,S490_Snapshot!$A$7:$A$38,0)),"")</f>
        <v/>
      </c>
      <c r="L72" s="64" t="n">
        <v>3.81556</v>
      </c>
      <c r="M72" s="80">
        <f>IFERROR(INDEX(S490_Snapshot!$E$7:$E$38,MATCH(B72,S490_Snapshot!$A$7:$A$38,0)),"")</f>
        <v/>
      </c>
      <c r="N72" s="80">
        <f>IF(M72="","",Bootstrap!H72)</f>
        <v/>
      </c>
      <c r="O72" s="72">
        <f>IF(M72="","",N72-M72)</f>
        <v/>
      </c>
      <c r="P72" s="63">
        <f>IF(ISNUMBER(Bootstrap!E72),Bootstrap!E72,"")</f>
        <v/>
      </c>
      <c r="Q72" s="63">
        <f>IF(ISNUMBER(Bootstrap!X72),Bootstrap!X72,"")</f>
        <v/>
      </c>
      <c r="R72" s="89">
        <f>IF(OR(P72="",Q72=""),"",(P72-Q72)*100)</f>
        <v/>
      </c>
    </row>
    <row r="74">
      <c r="A74" s="67" t="inlineStr">
        <is>
          <t>Pillars matched to the frozen target</t>
        </is>
      </c>
      <c r="C74" s="87">
        <f>COUNT(L8:L72)&amp;" / 32"</f>
        <v/>
      </c>
    </row>
    <row r="75">
      <c r="A75" s="67" t="inlineStr">
        <is>
          <t>Max |d zero| vs frozen S490 (bp)</t>
        </is>
      </c>
      <c r="C75" s="90">
        <f>MAX(MAX(E8:E72),-MIN(E8:E72))</f>
        <v/>
      </c>
      <c r="D75" s="65" t="inlineStr">
        <is>
          <t>Array formula — Ctrl+Shift+Enter in older Excel.</t>
        </is>
      </c>
    </row>
    <row r="76">
      <c r="A76" s="67" t="inlineStr">
        <is>
          <t>Max |DF diff| vs screen</t>
        </is>
      </c>
      <c r="C76" s="91">
        <f>MAX(MAX(O8:O72),-MIN(O8:O72))</f>
        <v/>
      </c>
    </row>
    <row r="77">
      <c r="A77" s="66" t="inlineStr">
        <is>
          <t>If 'matched' reads 0 / 65 the column offsets in I3/I4 are wrong for this dump's schema — read the preview at J10 and correct them. A wrong offset produces plausible but meaningless diffs.</t>
        </is>
      </c>
    </row>
    <row r="78">
      <c r="A78" s="65" t="inlineStr">
        <is>
          <t>Col L = frozen S490 zeros, hard-coded 07/21/26. Col E compares our bootstrap to it. D (live BDS) and G (snapshot) are secondary.</t>
        </is>
      </c>
    </row>
    <row r="80">
      <c r="A80" s="67" t="inlineStr">
        <is>
          <t>Input check: par rates</t>
        </is>
      </c>
      <c r="C80" s="87">
        <f>COUNT(R8:R72)&amp;" pillars"</f>
        <v/>
      </c>
    </row>
    <row r="81">
      <c r="A81" s="67" t="inlineStr">
        <is>
          <t>Max |d| dynamic vs hard-coded (bp)</t>
        </is>
      </c>
      <c r="C81" s="90">
        <f>IF(COUNT(R8:R72)=0,"",MAX(MAX(R8:R72),-MIN(R8:R72)))</f>
        <v/>
      </c>
    </row>
    <row r="82">
      <c r="A82" s="67" t="inlineStr">
        <is>
          <t>Mean d (bp)</t>
        </is>
      </c>
      <c r="C82" s="90">
        <f>IF(COUNT(R8:R72)=0,"",AVERAGE(R8:R72))</f>
        <v/>
      </c>
    </row>
    <row r="84">
      <c r="A84" s="65" t="inlineStr">
        <is>
          <t>P/Q/R compare the INPUT. L/E compare the OUTPUT. A non-zero mean in C82 means the live pull has drifted from the frozen capture, so the output diff in E is measuring against a different market.</t>
        </is>
      </c>
    </row>
  </sheetData>
  <mergeCells count="3">
    <mergeCell ref="H7:L7"/>
    <mergeCell ref="A6:E6"/>
    <mergeCell ref="B4:E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E7D32"/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Curve visuals</t>
        </is>
      </c>
    </row>
    <row r="2">
      <c r="A2" s="16" t="inlineStr">
        <is>
          <t>Charts read live from the Bootstrap and Fwd_Interp tabs — they populate once Bloomberg fills the data. Bootstrap columns: T (C), Discount factor (H), Zero (J); Fwd_Interp: T (B), flat fwd V1 (F), quadratic V2 (K).</t>
        </is>
      </c>
    </row>
  </sheetData>
  <mergeCells count="1"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6A1B9A"/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7" customWidth="1" min="3" max="3"/>
    <col width="13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5" max="15"/>
    <col width="11" customWidth="1" min="16" max="16"/>
    <col width="13" customWidth="1" min="17" max="17"/>
    <col width="14" customWidth="1" min="18" max="18"/>
    <col width="13" customWidth="1" min="19" max="19"/>
    <col width="13" customWidth="1" min="20" max="20"/>
    <col width="14" customWidth="1" min="21" max="21"/>
    <col width="11" customWidth="1" min="22" max="22"/>
    <col width="13" customWidth="1" min="23" max="23"/>
    <col width="14" customWidth="1" min="24" max="24"/>
    <col width="13" customWidth="1" min="25" max="25"/>
    <col width="12" customWidth="1" min="26" max="26"/>
    <col width="12" customWidth="1" min="27" max="27"/>
    <col width="14" customWidth="1" min="28" max="28"/>
    <col width="10" customWidth="1" min="29" max="29"/>
    <col width="18" customWidth="1" min="32" max="32"/>
    <col width="11" customWidth="1" min="33" max="33"/>
    <col width="18" customWidth="1" min="34" max="34"/>
    <col width="11" customWidth="1" min="35" max="35"/>
    <col width="18" customWidth="1" min="36" max="36"/>
    <col width="11" customWidth="1" min="37" max="37"/>
    <col width="18" customWidth="1" min="38" max="38"/>
    <col width="11" customWidth="1" min="39" max="39"/>
    <col width="18" customWidth="1" min="40" max="40"/>
    <col width="11" customWidth="1" min="41" max="41"/>
    <col width="18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</cols>
  <sheetData>
    <row r="1">
      <c r="A1" s="123" t="inlineStr">
        <is>
          <t>CDS_Entities — names pulled from Bloomberg</t>
        </is>
      </c>
    </row>
    <row r="2">
      <c r="A2" s="65" t="inlineStr">
        <is>
          <t>One row per name. Blue/yellow cells are typed in from the terminal. CDS_Parameters!B27 selects which row prices.</t>
        </is>
      </c>
      <c r="AE2" s="65" t="inlineStr">
        <is>
          <t>Type a ticker in col B and the row populates. Cols H:M show what is in use: the live pull when it resolves. To hard-code instead, overwrite H:M directly.</t>
        </is>
      </c>
      <c r="AR2" s="65" t="inlineStr">
        <is>
          <t>Guaranteed numeric. CDS_Quotes reads THIS, never H:M directly - an empty string here propagates into the hazard chain and takes out the module.</t>
        </is>
      </c>
    </row>
    <row r="3">
      <c r="A3" s="65" t="inlineStr">
        <is>
          <t>Spreads H:M are T3 (term structure). O:AC are T4 (the CDSW screen for that name) and are the acceptance test — see TEST_CASES.md.</t>
        </is>
      </c>
      <c r="H3" s="67" t="inlineStr">
        <is>
          <t>TERM STRUCTURE (T3)</t>
        </is>
      </c>
      <c r="O3" s="67" t="inlineStr">
        <is>
          <t>CDSW SCREEN CAPTURE (T4)</t>
        </is>
      </c>
      <c r="AE3" s="67" t="inlineStr">
        <is>
          <t>DYNAMIC PULL — Help Desk H#1330731572</t>
        </is>
      </c>
      <c r="AR3" s="67" t="inlineStr">
        <is>
          <t>IN USE  =  live if it resolved, else manual, else 0</t>
        </is>
      </c>
    </row>
    <row r="4" ht="30" customHeight="1">
      <c r="A4" s="141" t="inlineStr">
        <is>
          <t>Entity name</t>
        </is>
      </c>
      <c r="B4" s="141" t="inlineStr">
        <is>
          <t>Ticker (BDP)</t>
        </is>
      </c>
      <c r="C4" s="141" t="inlineStr">
        <is>
          <t>Ccy</t>
        </is>
      </c>
      <c r="D4" s="141" t="inlineStr">
        <is>
          <t>Seniority</t>
        </is>
      </c>
      <c r="E4" s="141" t="inlineStr">
        <is>
          <t>Clause</t>
        </is>
      </c>
      <c r="F4" s="141" t="inlineStr">
        <is>
          <t>Recovery</t>
        </is>
      </c>
      <c r="G4" s="141" t="inlineStr">
        <is>
          <t>Captured</t>
        </is>
      </c>
      <c r="H4" s="145" t="inlineStr">
        <is>
          <t>1Y bp (manual)</t>
        </is>
      </c>
      <c r="I4" s="145" t="inlineStr">
        <is>
          <t>2Y bp (manual)</t>
        </is>
      </c>
      <c r="J4" s="145" t="inlineStr">
        <is>
          <t>3Y bp (manual)</t>
        </is>
      </c>
      <c r="K4" s="145" t="inlineStr">
        <is>
          <t>5Y bp (manual)</t>
        </is>
      </c>
      <c r="L4" s="145" t="inlineStr">
        <is>
          <t>7Y bp (manual)</t>
        </is>
      </c>
      <c r="M4" s="145" t="inlineStr">
        <is>
          <t>10Y bp (manual)</t>
        </is>
      </c>
      <c r="O4" s="146" t="inlineStr">
        <is>
          <t>Notional</t>
        </is>
      </c>
      <c r="P4" s="146" t="inlineStr">
        <is>
          <t>Coupon bp</t>
        </is>
      </c>
      <c r="Q4" s="146" t="inlineStr">
        <is>
          <t>Maturity</t>
        </is>
      </c>
      <c r="R4" s="146" t="inlineStr">
        <is>
          <t>Traded sprd bp</t>
        </is>
      </c>
      <c r="S4" s="146" t="inlineStr">
        <is>
          <t>Pts upfront</t>
        </is>
      </c>
      <c r="T4" s="146" t="inlineStr">
        <is>
          <t>Price</t>
        </is>
      </c>
      <c r="U4" s="146" t="inlineStr">
        <is>
          <t>Principal</t>
        </is>
      </c>
      <c r="V4" s="146" t="inlineStr">
        <is>
          <t>Accr days</t>
        </is>
      </c>
      <c r="W4" s="146" t="inlineStr">
        <is>
          <t>Accrued</t>
        </is>
      </c>
      <c r="X4" s="146" t="inlineStr">
        <is>
          <t>Cash amount</t>
        </is>
      </c>
      <c r="Y4" s="146" t="inlineStr">
        <is>
          <t>Spread DV01</t>
        </is>
      </c>
      <c r="Z4" s="146" t="inlineStr">
        <is>
          <t>IR DV01</t>
        </is>
      </c>
      <c r="AA4" s="146" t="inlineStr">
        <is>
          <t>Rec risk 1%</t>
        </is>
      </c>
      <c r="AB4" s="146" t="inlineStr">
        <is>
          <t>Def exposure</t>
        </is>
      </c>
      <c r="AC4" s="146" t="inlineStr">
        <is>
          <t>Prob 5Y</t>
        </is>
      </c>
      <c r="AE4" s="141" t="inlineStr">
        <is>
          <t>Step 1 ticker</t>
        </is>
      </c>
      <c r="AF4" s="141" t="inlineStr">
        <is>
          <t>1Y ticker</t>
        </is>
      </c>
      <c r="AG4" s="141" t="inlineStr">
        <is>
          <t>1Y bp live</t>
        </is>
      </c>
      <c r="AH4" s="141" t="inlineStr">
        <is>
          <t>2Y ticker</t>
        </is>
      </c>
      <c r="AI4" s="141" t="inlineStr">
        <is>
          <t>2Y bp live</t>
        </is>
      </c>
      <c r="AJ4" s="141" t="inlineStr">
        <is>
          <t>3Y ticker</t>
        </is>
      </c>
      <c r="AK4" s="141" t="inlineStr">
        <is>
          <t>3Y bp live</t>
        </is>
      </c>
      <c r="AL4" s="141" t="inlineStr">
        <is>
          <t>5Y ticker</t>
        </is>
      </c>
      <c r="AM4" s="141" t="inlineStr">
        <is>
          <t>5Y bp live</t>
        </is>
      </c>
      <c r="AN4" s="141" t="inlineStr">
        <is>
          <t>7Y ticker</t>
        </is>
      </c>
      <c r="AO4" s="141" t="inlineStr">
        <is>
          <t>7Y bp live</t>
        </is>
      </c>
      <c r="AP4" s="141" t="inlineStr">
        <is>
          <t>10Y ticker</t>
        </is>
      </c>
      <c r="AQ4" s="141" t="inlineStr">
        <is>
          <t>10Y bp live</t>
        </is>
      </c>
      <c r="AR4" s="141" t="inlineStr">
        <is>
          <t>1Y used</t>
        </is>
      </c>
      <c r="AS4" s="141" t="inlineStr">
        <is>
          <t>2Y used</t>
        </is>
      </c>
      <c r="AT4" s="141" t="inlineStr">
        <is>
          <t>3Y used</t>
        </is>
      </c>
      <c r="AU4" s="141" t="inlineStr">
        <is>
          <t>5Y used</t>
        </is>
      </c>
      <c r="AV4" s="141" t="inlineStr">
        <is>
          <t>7Y used</t>
        </is>
      </c>
      <c r="AW4" s="141" t="inlineStr">
        <is>
          <t>10Y used</t>
        </is>
      </c>
    </row>
    <row r="5">
      <c r="A5" s="68" t="inlineStr">
        <is>
          <t>China CITIC Bank Intl</t>
        </is>
      </c>
      <c r="B5" s="68" t="inlineStr"/>
      <c r="C5" s="68" t="inlineStr">
        <is>
          <t>USD</t>
        </is>
      </c>
      <c r="D5" s="68" t="inlineStr">
        <is>
          <t>Senior</t>
        </is>
      </c>
      <c r="E5" s="68" t="inlineStr">
        <is>
          <t>CR14</t>
        </is>
      </c>
      <c r="F5" s="147" t="n">
        <v>0.4</v>
      </c>
      <c r="G5" s="111" t="n">
        <v>46224</v>
      </c>
      <c r="H5" s="64" t="n"/>
      <c r="I5" s="64" t="n"/>
      <c r="J5" s="64" t="n"/>
      <c r="K5" s="64" t="n">
        <v>55.1514</v>
      </c>
      <c r="L5" s="64" t="n"/>
      <c r="M5" s="64" t="n"/>
      <c r="O5" s="118" t="n">
        <v>10000000</v>
      </c>
      <c r="P5" s="64" t="n">
        <v>100</v>
      </c>
      <c r="Q5" s="111" t="n">
        <v>48019</v>
      </c>
      <c r="R5" s="64" t="n">
        <v>55.1514</v>
      </c>
      <c r="S5" s="148" t="n">
        <v>-1.97596265</v>
      </c>
      <c r="T5" s="148" t="n">
        <v>101.97596265</v>
      </c>
      <c r="U5" s="118" t="n">
        <v>-197597</v>
      </c>
      <c r="V5" s="95" t="n">
        <v>30</v>
      </c>
      <c r="W5" s="118" t="n">
        <v>-8333</v>
      </c>
      <c r="X5" s="118" t="n">
        <v>-205930</v>
      </c>
      <c r="Y5" s="118" t="n">
        <v>4482.41</v>
      </c>
      <c r="Z5" s="118" t="n">
        <v>47.71</v>
      </c>
      <c r="AA5" s="118" t="n">
        <v>72</v>
      </c>
      <c r="AB5" s="118" t="n">
        <v>6197596</v>
      </c>
      <c r="AC5" s="64" t="n">
        <v>0.0446</v>
      </c>
      <c r="AF5" s="93">
        <f>IFERROR(BDP($B5,"CDS_SPREAD_TICKER_1Y"),"")</f>
        <v/>
      </c>
      <c r="AG5" s="63">
        <f>IFERROR(BDP(AF5&amp;" BEST Curncy","PX_LAST")+0,"")</f>
        <v/>
      </c>
      <c r="AH5" s="93">
        <f>IFERROR(BDP($B5,"CDS_SPREAD_TICKER_2Y"),"")</f>
        <v/>
      </c>
      <c r="AI5" s="63">
        <f>IFERROR(BDP(AH5&amp;" BEST Curncy","PX_LAST")+0,"")</f>
        <v/>
      </c>
      <c r="AJ5" s="93">
        <f>IFERROR(BDP($B5,"CDS_SPREAD_TICKER_3Y"),"")</f>
        <v/>
      </c>
      <c r="AK5" s="63">
        <f>IFERROR(BDP(AJ5&amp;" BEST Curncy","PX_LAST")+0,"")</f>
        <v/>
      </c>
      <c r="AL5" s="93">
        <f>IFERROR(BDP($B5,"CDS_SPREAD_TICKER_5Y"),"")</f>
        <v/>
      </c>
      <c r="AM5" s="63">
        <f>IFERROR(BDP(AL5&amp;" BEST Curncy","PX_LAST")+0,"")</f>
        <v/>
      </c>
      <c r="AN5" s="93">
        <f>IFERROR(BDP($B5,"CDS_SPREAD_TICKER_7Y"),"")</f>
        <v/>
      </c>
      <c r="AO5" s="63">
        <f>IFERROR(BDP(AN5&amp;" BEST Curncy","PX_LAST")+0,"")</f>
        <v/>
      </c>
      <c r="AP5" s="93">
        <f>IFERROR(BDP($B5,"CDS_SPREAD_TICKER_10Y"),"")</f>
        <v/>
      </c>
      <c r="AQ5" s="63">
        <f>IFERROR(BDP(AP5&amp;" BEST Curncy","PX_LAST")+0,"")</f>
        <v/>
      </c>
      <c r="AR5" s="133">
        <f>IF(ISNUMBER(AG5),AG5,IF(ISNUMBER(H5),H5,0))</f>
        <v/>
      </c>
      <c r="AS5" s="133">
        <f>IF(ISNUMBER(AI5),AI5,IF(ISNUMBER(I5),I5,0))</f>
        <v/>
      </c>
      <c r="AT5" s="133">
        <f>IF(ISNUMBER(AK5),AK5,IF(ISNUMBER(J5),J5,0))</f>
        <v/>
      </c>
      <c r="AU5" s="133">
        <f>IF(ISNUMBER(AM5),AM5,IF(ISNUMBER(K5),K5,0))</f>
        <v/>
      </c>
      <c r="AV5" s="133">
        <f>IF(ISNUMBER(AO5),AO5,IF(ISNUMBER(L5),L5,0))</f>
        <v/>
      </c>
      <c r="AW5" s="133">
        <f>IF(ISNUMBER(AQ5),AQ5,IF(ISNUMBER(M5),M5,0))</f>
        <v/>
      </c>
    </row>
    <row r="6">
      <c r="A6" s="68" t="inlineStr">
        <is>
          <t>DEMO curve (not market)</t>
        </is>
      </c>
      <c r="B6" s="68" t="n"/>
      <c r="C6" s="68" t="inlineStr">
        <is>
          <t>USD</t>
        </is>
      </c>
      <c r="D6" s="68" t="inlineStr">
        <is>
          <t>Senior</t>
        </is>
      </c>
      <c r="E6" s="68" t="inlineStr">
        <is>
          <t>CR14</t>
        </is>
      </c>
      <c r="F6" s="147" t="n">
        <v>0.4</v>
      </c>
      <c r="G6" s="111" t="n"/>
      <c r="H6" s="64" t="n">
        <v>40</v>
      </c>
      <c r="I6" s="64" t="n">
        <v>55</v>
      </c>
      <c r="J6" s="64" t="n">
        <v>70</v>
      </c>
      <c r="K6" s="64" t="n">
        <v>95</v>
      </c>
      <c r="L6" s="64" t="n">
        <v>115</v>
      </c>
      <c r="M6" s="64" t="n">
        <v>135</v>
      </c>
      <c r="O6" s="118" t="n"/>
      <c r="P6" s="64" t="n"/>
      <c r="Q6" s="111" t="n"/>
      <c r="R6" s="64" t="n"/>
      <c r="S6" s="148" t="n"/>
      <c r="T6" s="148" t="n"/>
      <c r="U6" s="118" t="n"/>
      <c r="V6" s="95" t="n"/>
      <c r="W6" s="118" t="n"/>
      <c r="X6" s="118" t="n"/>
      <c r="Y6" s="118" t="n"/>
      <c r="Z6" s="118" t="n"/>
      <c r="AA6" s="118" t="n"/>
      <c r="AB6" s="118" t="n"/>
      <c r="AC6" s="64" t="n"/>
      <c r="AF6" s="93">
        <f>IFERROR(BDP($B6,"CDS_SPREAD_TICKER_1Y"),"")</f>
        <v/>
      </c>
      <c r="AG6" s="63">
        <f>IFERROR(BDP(AF6&amp;" BEST Curncy","PX_LAST")+0,"")</f>
        <v/>
      </c>
      <c r="AH6" s="93">
        <f>IFERROR(BDP($B6,"CDS_SPREAD_TICKER_2Y"),"")</f>
        <v/>
      </c>
      <c r="AI6" s="63">
        <f>IFERROR(BDP(AH6&amp;" BEST Curncy","PX_LAST")+0,"")</f>
        <v/>
      </c>
      <c r="AJ6" s="93">
        <f>IFERROR(BDP($B6,"CDS_SPREAD_TICKER_3Y"),"")</f>
        <v/>
      </c>
      <c r="AK6" s="63">
        <f>IFERROR(BDP(AJ6&amp;" BEST Curncy","PX_LAST")+0,"")</f>
        <v/>
      </c>
      <c r="AL6" s="93">
        <f>IFERROR(BDP($B6,"CDS_SPREAD_TICKER_5Y"),"")</f>
        <v/>
      </c>
      <c r="AM6" s="63">
        <f>IFERROR(BDP(AL6&amp;" BEST Curncy","PX_LAST")+0,"")</f>
        <v/>
      </c>
      <c r="AN6" s="93">
        <f>IFERROR(BDP($B6,"CDS_SPREAD_TICKER_7Y"),"")</f>
        <v/>
      </c>
      <c r="AO6" s="63">
        <f>IFERROR(BDP(AN6&amp;" BEST Curncy","PX_LAST")+0,"")</f>
        <v/>
      </c>
      <c r="AP6" s="93">
        <f>IFERROR(BDP($B6,"CDS_SPREAD_TICKER_10Y"),"")</f>
        <v/>
      </c>
      <c r="AQ6" s="63">
        <f>IFERROR(BDP(AP6&amp;" BEST Curncy","PX_LAST")+0,"")</f>
        <v/>
      </c>
      <c r="AR6" s="133">
        <f>IF(ISNUMBER(AG6),AG6,IF(ISNUMBER(H6),H6,0))</f>
        <v/>
      </c>
      <c r="AS6" s="133">
        <f>IF(ISNUMBER(AI6),AI6,IF(ISNUMBER(I6),I6,0))</f>
        <v/>
      </c>
      <c r="AT6" s="133">
        <f>IF(ISNUMBER(AK6),AK6,IF(ISNUMBER(J6),J6,0))</f>
        <v/>
      </c>
      <c r="AU6" s="133">
        <f>IF(ISNUMBER(AM6),AM6,IF(ISNUMBER(K6),K6,0))</f>
        <v/>
      </c>
      <c r="AV6" s="133">
        <f>IF(ISNUMBER(AO6),AO6,IF(ISNUMBER(L6),L6,0))</f>
        <v/>
      </c>
      <c r="AW6" s="133">
        <f>IF(ISNUMBER(AQ6),AQ6,IF(ISNUMBER(M6),M6,0))</f>
        <v/>
      </c>
    </row>
    <row r="7">
      <c r="A7" s="68" t="n"/>
      <c r="B7" s="68" t="n"/>
      <c r="C7" s="68" t="n"/>
      <c r="D7" s="68" t="n"/>
      <c r="E7" s="68" t="n"/>
      <c r="F7" s="147" t="n"/>
      <c r="G7" s="111" t="n"/>
      <c r="H7" s="64" t="n"/>
      <c r="I7" s="64" t="n"/>
      <c r="J7" s="64" t="n"/>
      <c r="K7" s="64" t="n"/>
      <c r="L7" s="64" t="n"/>
      <c r="M7" s="64" t="n"/>
      <c r="O7" s="118" t="n"/>
      <c r="P7" s="64" t="n"/>
      <c r="Q7" s="111" t="n"/>
      <c r="R7" s="64" t="n"/>
      <c r="S7" s="148" t="n"/>
      <c r="T7" s="148" t="n"/>
      <c r="U7" s="118" t="n"/>
      <c r="V7" s="95" t="n"/>
      <c r="W7" s="118" t="n"/>
      <c r="X7" s="118" t="n"/>
      <c r="Y7" s="118" t="n"/>
      <c r="Z7" s="118" t="n"/>
      <c r="AA7" s="118" t="n"/>
      <c r="AB7" s="118" t="n"/>
      <c r="AC7" s="64" t="n"/>
      <c r="AF7" s="93">
        <f>IFERROR(BDP($B7,"CDS_SPREAD_TICKER_1Y"),"")</f>
        <v/>
      </c>
      <c r="AG7" s="63">
        <f>IFERROR(BDP(AF7&amp;" BEST Curncy","PX_LAST")+0,"")</f>
        <v/>
      </c>
      <c r="AH7" s="93">
        <f>IFERROR(BDP($B7,"CDS_SPREAD_TICKER_2Y"),"")</f>
        <v/>
      </c>
      <c r="AI7" s="63">
        <f>IFERROR(BDP(AH7&amp;" BEST Curncy","PX_LAST")+0,"")</f>
        <v/>
      </c>
      <c r="AJ7" s="93">
        <f>IFERROR(BDP($B7,"CDS_SPREAD_TICKER_3Y"),"")</f>
        <v/>
      </c>
      <c r="AK7" s="63">
        <f>IFERROR(BDP(AJ7&amp;" BEST Curncy","PX_LAST")+0,"")</f>
        <v/>
      </c>
      <c r="AL7" s="93">
        <f>IFERROR(BDP($B7,"CDS_SPREAD_TICKER_5Y"),"")</f>
        <v/>
      </c>
      <c r="AM7" s="63">
        <f>IFERROR(BDP(AL7&amp;" BEST Curncy","PX_LAST")+0,"")</f>
        <v/>
      </c>
      <c r="AN7" s="93">
        <f>IFERROR(BDP($B7,"CDS_SPREAD_TICKER_7Y"),"")</f>
        <v/>
      </c>
      <c r="AO7" s="63">
        <f>IFERROR(BDP(AN7&amp;" BEST Curncy","PX_LAST")+0,"")</f>
        <v/>
      </c>
      <c r="AP7" s="93">
        <f>IFERROR(BDP($B7,"CDS_SPREAD_TICKER_10Y"),"")</f>
        <v/>
      </c>
      <c r="AQ7" s="63">
        <f>IFERROR(BDP(AP7&amp;" BEST Curncy","PX_LAST")+0,"")</f>
        <v/>
      </c>
      <c r="AR7" s="133">
        <f>IF(ISNUMBER(AG7),AG7,IF(ISNUMBER(H7),H7,0))</f>
        <v/>
      </c>
      <c r="AS7" s="133">
        <f>IF(ISNUMBER(AI7),AI7,IF(ISNUMBER(I7),I7,0))</f>
        <v/>
      </c>
      <c r="AT7" s="133">
        <f>IF(ISNUMBER(AK7),AK7,IF(ISNUMBER(J7),J7,0))</f>
        <v/>
      </c>
      <c r="AU7" s="133">
        <f>IF(ISNUMBER(AM7),AM7,IF(ISNUMBER(K7),K7,0))</f>
        <v/>
      </c>
      <c r="AV7" s="133">
        <f>IF(ISNUMBER(AO7),AO7,IF(ISNUMBER(L7),L7,0))</f>
        <v/>
      </c>
      <c r="AW7" s="133">
        <f>IF(ISNUMBER(AQ7),AQ7,IF(ISNUMBER(M7),M7,0))</f>
        <v/>
      </c>
    </row>
    <row r="8">
      <c r="A8" s="68" t="n"/>
      <c r="B8" s="68" t="n"/>
      <c r="C8" s="68" t="n"/>
      <c r="D8" s="68" t="n"/>
      <c r="E8" s="68" t="n"/>
      <c r="F8" s="147" t="n"/>
      <c r="G8" s="111" t="n"/>
      <c r="H8" s="64" t="n"/>
      <c r="I8" s="64" t="n"/>
      <c r="J8" s="64" t="n"/>
      <c r="K8" s="64" t="n"/>
      <c r="L8" s="64" t="n"/>
      <c r="M8" s="64" t="n"/>
      <c r="O8" s="118" t="n"/>
      <c r="P8" s="64" t="n"/>
      <c r="Q8" s="111" t="n"/>
      <c r="R8" s="64" t="n"/>
      <c r="S8" s="148" t="n"/>
      <c r="T8" s="148" t="n"/>
      <c r="U8" s="118" t="n"/>
      <c r="V8" s="95" t="n"/>
      <c r="W8" s="118" t="n"/>
      <c r="X8" s="118" t="n"/>
      <c r="Y8" s="118" t="n"/>
      <c r="Z8" s="118" t="n"/>
      <c r="AA8" s="118" t="n"/>
      <c r="AB8" s="118" t="n"/>
      <c r="AC8" s="64" t="n"/>
      <c r="AF8" s="93">
        <f>IFERROR(BDP($B8,"CDS_SPREAD_TICKER_1Y"),"")</f>
        <v/>
      </c>
      <c r="AG8" s="63">
        <f>IFERROR(BDP(AF8&amp;" BEST Curncy","PX_LAST")+0,"")</f>
        <v/>
      </c>
      <c r="AH8" s="93">
        <f>IFERROR(BDP($B8,"CDS_SPREAD_TICKER_2Y"),"")</f>
        <v/>
      </c>
      <c r="AI8" s="63">
        <f>IFERROR(BDP(AH8&amp;" BEST Curncy","PX_LAST")+0,"")</f>
        <v/>
      </c>
      <c r="AJ8" s="93">
        <f>IFERROR(BDP($B8,"CDS_SPREAD_TICKER_3Y"),"")</f>
        <v/>
      </c>
      <c r="AK8" s="63">
        <f>IFERROR(BDP(AJ8&amp;" BEST Curncy","PX_LAST")+0,"")</f>
        <v/>
      </c>
      <c r="AL8" s="93">
        <f>IFERROR(BDP($B8,"CDS_SPREAD_TICKER_5Y"),"")</f>
        <v/>
      </c>
      <c r="AM8" s="63">
        <f>IFERROR(BDP(AL8&amp;" BEST Curncy","PX_LAST")+0,"")</f>
        <v/>
      </c>
      <c r="AN8" s="93">
        <f>IFERROR(BDP($B8,"CDS_SPREAD_TICKER_7Y"),"")</f>
        <v/>
      </c>
      <c r="AO8" s="63">
        <f>IFERROR(BDP(AN8&amp;" BEST Curncy","PX_LAST")+0,"")</f>
        <v/>
      </c>
      <c r="AP8" s="93">
        <f>IFERROR(BDP($B8,"CDS_SPREAD_TICKER_10Y"),"")</f>
        <v/>
      </c>
      <c r="AQ8" s="63">
        <f>IFERROR(BDP(AP8&amp;" BEST Curncy","PX_LAST")+0,"")</f>
        <v/>
      </c>
      <c r="AR8" s="133">
        <f>IF(ISNUMBER(AG8),AG8,IF(ISNUMBER(H8),H8,0))</f>
        <v/>
      </c>
      <c r="AS8" s="133">
        <f>IF(ISNUMBER(AI8),AI8,IF(ISNUMBER(I8),I8,0))</f>
        <v/>
      </c>
      <c r="AT8" s="133">
        <f>IF(ISNUMBER(AK8),AK8,IF(ISNUMBER(J8),J8,0))</f>
        <v/>
      </c>
      <c r="AU8" s="133">
        <f>IF(ISNUMBER(AM8),AM8,IF(ISNUMBER(K8),K8,0))</f>
        <v/>
      </c>
      <c r="AV8" s="133">
        <f>IF(ISNUMBER(AO8),AO8,IF(ISNUMBER(L8),L8,0))</f>
        <v/>
      </c>
      <c r="AW8" s="133">
        <f>IF(ISNUMBER(AQ8),AQ8,IF(ISNUMBER(M8),M8,0))</f>
        <v/>
      </c>
    </row>
    <row r="9">
      <c r="A9" s="68" t="n"/>
      <c r="B9" s="68" t="n"/>
      <c r="C9" s="68" t="n"/>
      <c r="D9" s="68" t="n"/>
      <c r="E9" s="68" t="n"/>
      <c r="F9" s="147" t="n"/>
      <c r="G9" s="111" t="n"/>
      <c r="H9" s="64" t="n"/>
      <c r="I9" s="64" t="n"/>
      <c r="J9" s="64" t="n"/>
      <c r="K9" s="64" t="n"/>
      <c r="L9" s="64" t="n"/>
      <c r="M9" s="64" t="n"/>
      <c r="O9" s="118" t="n"/>
      <c r="P9" s="64" t="n"/>
      <c r="Q9" s="111" t="n"/>
      <c r="R9" s="64" t="n"/>
      <c r="S9" s="148" t="n"/>
      <c r="T9" s="148" t="n"/>
      <c r="U9" s="118" t="n"/>
      <c r="V9" s="95" t="n"/>
      <c r="W9" s="118" t="n"/>
      <c r="X9" s="118" t="n"/>
      <c r="Y9" s="118" t="n"/>
      <c r="Z9" s="118" t="n"/>
      <c r="AA9" s="118" t="n"/>
      <c r="AB9" s="118" t="n"/>
      <c r="AC9" s="64" t="n"/>
      <c r="AF9" s="93">
        <f>IFERROR(BDP($B9,"CDS_SPREAD_TICKER_1Y"),"")</f>
        <v/>
      </c>
      <c r="AG9" s="63">
        <f>IFERROR(BDP(AF9&amp;" BEST Curncy","PX_LAST")+0,"")</f>
        <v/>
      </c>
      <c r="AH9" s="93">
        <f>IFERROR(BDP($B9,"CDS_SPREAD_TICKER_2Y"),"")</f>
        <v/>
      </c>
      <c r="AI9" s="63">
        <f>IFERROR(BDP(AH9&amp;" BEST Curncy","PX_LAST")+0,"")</f>
        <v/>
      </c>
      <c r="AJ9" s="93">
        <f>IFERROR(BDP($B9,"CDS_SPREAD_TICKER_3Y"),"")</f>
        <v/>
      </c>
      <c r="AK9" s="63">
        <f>IFERROR(BDP(AJ9&amp;" BEST Curncy","PX_LAST")+0,"")</f>
        <v/>
      </c>
      <c r="AL9" s="93">
        <f>IFERROR(BDP($B9,"CDS_SPREAD_TICKER_5Y"),"")</f>
        <v/>
      </c>
      <c r="AM9" s="63">
        <f>IFERROR(BDP(AL9&amp;" BEST Curncy","PX_LAST")+0,"")</f>
        <v/>
      </c>
      <c r="AN9" s="93">
        <f>IFERROR(BDP($B9,"CDS_SPREAD_TICKER_7Y"),"")</f>
        <v/>
      </c>
      <c r="AO9" s="63">
        <f>IFERROR(BDP(AN9&amp;" BEST Curncy","PX_LAST")+0,"")</f>
        <v/>
      </c>
      <c r="AP9" s="93">
        <f>IFERROR(BDP($B9,"CDS_SPREAD_TICKER_10Y"),"")</f>
        <v/>
      </c>
      <c r="AQ9" s="63">
        <f>IFERROR(BDP(AP9&amp;" BEST Curncy","PX_LAST")+0,"")</f>
        <v/>
      </c>
      <c r="AR9" s="133">
        <f>IF(ISNUMBER(AG9),AG9,IF(ISNUMBER(H9),H9,0))</f>
        <v/>
      </c>
      <c r="AS9" s="133">
        <f>IF(ISNUMBER(AI9),AI9,IF(ISNUMBER(I9),I9,0))</f>
        <v/>
      </c>
      <c r="AT9" s="133">
        <f>IF(ISNUMBER(AK9),AK9,IF(ISNUMBER(J9),J9,0))</f>
        <v/>
      </c>
      <c r="AU9" s="133">
        <f>IF(ISNUMBER(AM9),AM9,IF(ISNUMBER(K9),K9,0))</f>
        <v/>
      </c>
      <c r="AV9" s="133">
        <f>IF(ISNUMBER(AO9),AO9,IF(ISNUMBER(L9),L9,0))</f>
        <v/>
      </c>
      <c r="AW9" s="133">
        <f>IF(ISNUMBER(AQ9),AQ9,IF(ISNUMBER(M9),M9,0))</f>
        <v/>
      </c>
    </row>
    <row r="10">
      <c r="A10" s="68" t="n"/>
      <c r="B10" s="68" t="n"/>
      <c r="C10" s="68" t="n"/>
      <c r="D10" s="68" t="n"/>
      <c r="E10" s="68" t="n"/>
      <c r="F10" s="147" t="n"/>
      <c r="G10" s="111" t="n"/>
      <c r="H10" s="64" t="n"/>
      <c r="I10" s="64" t="n"/>
      <c r="J10" s="64" t="n"/>
      <c r="K10" s="64" t="n"/>
      <c r="L10" s="64" t="n"/>
      <c r="M10" s="64" t="n"/>
      <c r="O10" s="118" t="n"/>
      <c r="P10" s="64" t="n"/>
      <c r="Q10" s="111" t="n"/>
      <c r="R10" s="64" t="n"/>
      <c r="S10" s="148" t="n"/>
      <c r="T10" s="148" t="n"/>
      <c r="U10" s="118" t="n"/>
      <c r="V10" s="95" t="n"/>
      <c r="W10" s="118" t="n"/>
      <c r="X10" s="118" t="n"/>
      <c r="Y10" s="118" t="n"/>
      <c r="Z10" s="118" t="n"/>
      <c r="AA10" s="118" t="n"/>
      <c r="AB10" s="118" t="n"/>
      <c r="AC10" s="64" t="n"/>
      <c r="AF10" s="93">
        <f>IFERROR(BDP($B10,"CDS_SPREAD_TICKER_1Y"),"")</f>
        <v/>
      </c>
      <c r="AG10" s="63">
        <f>IFERROR(BDP(AF10&amp;" BEST Curncy","PX_LAST")+0,"")</f>
        <v/>
      </c>
      <c r="AH10" s="93">
        <f>IFERROR(BDP($B10,"CDS_SPREAD_TICKER_2Y"),"")</f>
        <v/>
      </c>
      <c r="AI10" s="63">
        <f>IFERROR(BDP(AH10&amp;" BEST Curncy","PX_LAST")+0,"")</f>
        <v/>
      </c>
      <c r="AJ10" s="93">
        <f>IFERROR(BDP($B10,"CDS_SPREAD_TICKER_3Y"),"")</f>
        <v/>
      </c>
      <c r="AK10" s="63">
        <f>IFERROR(BDP(AJ10&amp;" BEST Curncy","PX_LAST")+0,"")</f>
        <v/>
      </c>
      <c r="AL10" s="93">
        <f>IFERROR(BDP($B10,"CDS_SPREAD_TICKER_5Y"),"")</f>
        <v/>
      </c>
      <c r="AM10" s="63">
        <f>IFERROR(BDP(AL10&amp;" BEST Curncy","PX_LAST")+0,"")</f>
        <v/>
      </c>
      <c r="AN10" s="93">
        <f>IFERROR(BDP($B10,"CDS_SPREAD_TICKER_7Y"),"")</f>
        <v/>
      </c>
      <c r="AO10" s="63">
        <f>IFERROR(BDP(AN10&amp;" BEST Curncy","PX_LAST")+0,"")</f>
        <v/>
      </c>
      <c r="AP10" s="93">
        <f>IFERROR(BDP($B10,"CDS_SPREAD_TICKER_10Y"),"")</f>
        <v/>
      </c>
      <c r="AQ10" s="63">
        <f>IFERROR(BDP(AP10&amp;" BEST Curncy","PX_LAST")+0,"")</f>
        <v/>
      </c>
      <c r="AR10" s="133">
        <f>IF(ISNUMBER(AG10),AG10,IF(ISNUMBER(H10),H10,0))</f>
        <v/>
      </c>
      <c r="AS10" s="133">
        <f>IF(ISNUMBER(AI10),AI10,IF(ISNUMBER(I10),I10,0))</f>
        <v/>
      </c>
      <c r="AT10" s="133">
        <f>IF(ISNUMBER(AK10),AK10,IF(ISNUMBER(J10),J10,0))</f>
        <v/>
      </c>
      <c r="AU10" s="133">
        <f>IF(ISNUMBER(AM10),AM10,IF(ISNUMBER(K10),K10,0))</f>
        <v/>
      </c>
      <c r="AV10" s="133">
        <f>IF(ISNUMBER(AO10),AO10,IF(ISNUMBER(L10),L10,0))</f>
        <v/>
      </c>
      <c r="AW10" s="133">
        <f>IF(ISNUMBER(AQ10),AQ10,IF(ISNUMBER(M10),M10,0))</f>
        <v/>
      </c>
    </row>
    <row r="11">
      <c r="A11" s="68" t="n"/>
      <c r="B11" s="68" t="n"/>
      <c r="C11" s="68" t="n"/>
      <c r="D11" s="68" t="n"/>
      <c r="E11" s="68" t="n"/>
      <c r="F11" s="147" t="n"/>
      <c r="G11" s="111" t="n"/>
      <c r="H11" s="64" t="n"/>
      <c r="I11" s="64" t="n"/>
      <c r="J11" s="64" t="n"/>
      <c r="K11" s="64" t="n"/>
      <c r="L11" s="64" t="n"/>
      <c r="M11" s="64" t="n"/>
      <c r="O11" s="118" t="n"/>
      <c r="P11" s="64" t="n"/>
      <c r="Q11" s="111" t="n"/>
      <c r="R11" s="64" t="n"/>
      <c r="S11" s="148" t="n"/>
      <c r="T11" s="148" t="n"/>
      <c r="U11" s="118" t="n"/>
      <c r="V11" s="95" t="n"/>
      <c r="W11" s="118" t="n"/>
      <c r="X11" s="118" t="n"/>
      <c r="Y11" s="118" t="n"/>
      <c r="Z11" s="118" t="n"/>
      <c r="AA11" s="118" t="n"/>
      <c r="AB11" s="118" t="n"/>
      <c r="AC11" s="64" t="n"/>
      <c r="AF11" s="93">
        <f>IFERROR(BDP($B11,"CDS_SPREAD_TICKER_1Y"),"")</f>
        <v/>
      </c>
      <c r="AG11" s="63">
        <f>IFERROR(BDP(AF11&amp;" BEST Curncy","PX_LAST")+0,"")</f>
        <v/>
      </c>
      <c r="AH11" s="93">
        <f>IFERROR(BDP($B11,"CDS_SPREAD_TICKER_2Y"),"")</f>
        <v/>
      </c>
      <c r="AI11" s="63">
        <f>IFERROR(BDP(AH11&amp;" BEST Curncy","PX_LAST")+0,"")</f>
        <v/>
      </c>
      <c r="AJ11" s="93">
        <f>IFERROR(BDP($B11,"CDS_SPREAD_TICKER_3Y"),"")</f>
        <v/>
      </c>
      <c r="AK11" s="63">
        <f>IFERROR(BDP(AJ11&amp;" BEST Curncy","PX_LAST")+0,"")</f>
        <v/>
      </c>
      <c r="AL11" s="93">
        <f>IFERROR(BDP($B11,"CDS_SPREAD_TICKER_5Y"),"")</f>
        <v/>
      </c>
      <c r="AM11" s="63">
        <f>IFERROR(BDP(AL11&amp;" BEST Curncy","PX_LAST")+0,"")</f>
        <v/>
      </c>
      <c r="AN11" s="93">
        <f>IFERROR(BDP($B11,"CDS_SPREAD_TICKER_7Y"),"")</f>
        <v/>
      </c>
      <c r="AO11" s="63">
        <f>IFERROR(BDP(AN11&amp;" BEST Curncy","PX_LAST")+0,"")</f>
        <v/>
      </c>
      <c r="AP11" s="93">
        <f>IFERROR(BDP($B11,"CDS_SPREAD_TICKER_10Y"),"")</f>
        <v/>
      </c>
      <c r="AQ11" s="63">
        <f>IFERROR(BDP(AP11&amp;" BEST Curncy","PX_LAST")+0,"")</f>
        <v/>
      </c>
      <c r="AR11" s="133">
        <f>IF(ISNUMBER(AG11),AG11,IF(ISNUMBER(H11),H11,0))</f>
        <v/>
      </c>
      <c r="AS11" s="133">
        <f>IF(ISNUMBER(AI11),AI11,IF(ISNUMBER(I11),I11,0))</f>
        <v/>
      </c>
      <c r="AT11" s="133">
        <f>IF(ISNUMBER(AK11),AK11,IF(ISNUMBER(J11),J11,0))</f>
        <v/>
      </c>
      <c r="AU11" s="133">
        <f>IF(ISNUMBER(AM11),AM11,IF(ISNUMBER(K11),K11,0))</f>
        <v/>
      </c>
      <c r="AV11" s="133">
        <f>IF(ISNUMBER(AO11),AO11,IF(ISNUMBER(L11),L11,0))</f>
        <v/>
      </c>
      <c r="AW11" s="133">
        <f>IF(ISNUMBER(AQ11),AQ11,IF(ISNUMBER(M11),M11,0))</f>
        <v/>
      </c>
    </row>
    <row r="12">
      <c r="A12" s="68" t="n"/>
      <c r="B12" s="68" t="n"/>
      <c r="C12" s="68" t="n"/>
      <c r="D12" s="68" t="n"/>
      <c r="E12" s="68" t="n"/>
      <c r="F12" s="147" t="n"/>
      <c r="G12" s="111" t="n"/>
      <c r="H12" s="64" t="n"/>
      <c r="I12" s="64" t="n"/>
      <c r="J12" s="64" t="n"/>
      <c r="K12" s="64" t="n"/>
      <c r="L12" s="64" t="n"/>
      <c r="M12" s="64" t="n"/>
      <c r="O12" s="118" t="n"/>
      <c r="P12" s="64" t="n"/>
      <c r="Q12" s="111" t="n"/>
      <c r="R12" s="64" t="n"/>
      <c r="S12" s="148" t="n"/>
      <c r="T12" s="148" t="n"/>
      <c r="U12" s="118" t="n"/>
      <c r="V12" s="95" t="n"/>
      <c r="W12" s="118" t="n"/>
      <c r="X12" s="118" t="n"/>
      <c r="Y12" s="118" t="n"/>
      <c r="Z12" s="118" t="n"/>
      <c r="AA12" s="118" t="n"/>
      <c r="AB12" s="118" t="n"/>
      <c r="AC12" s="64" t="n"/>
      <c r="AF12" s="93">
        <f>IFERROR(BDP($B12,"CDS_SPREAD_TICKER_1Y"),"")</f>
        <v/>
      </c>
      <c r="AG12" s="63">
        <f>IFERROR(BDP(AF12&amp;" BEST Curncy","PX_LAST")+0,"")</f>
        <v/>
      </c>
      <c r="AH12" s="93">
        <f>IFERROR(BDP($B12,"CDS_SPREAD_TICKER_2Y"),"")</f>
        <v/>
      </c>
      <c r="AI12" s="63">
        <f>IFERROR(BDP(AH12&amp;" BEST Curncy","PX_LAST")+0,"")</f>
        <v/>
      </c>
      <c r="AJ12" s="93">
        <f>IFERROR(BDP($B12,"CDS_SPREAD_TICKER_3Y"),"")</f>
        <v/>
      </c>
      <c r="AK12" s="63">
        <f>IFERROR(BDP(AJ12&amp;" BEST Curncy","PX_LAST")+0,"")</f>
        <v/>
      </c>
      <c r="AL12" s="93">
        <f>IFERROR(BDP($B12,"CDS_SPREAD_TICKER_5Y"),"")</f>
        <v/>
      </c>
      <c r="AM12" s="63">
        <f>IFERROR(BDP(AL12&amp;" BEST Curncy","PX_LAST")+0,"")</f>
        <v/>
      </c>
      <c r="AN12" s="93">
        <f>IFERROR(BDP($B12,"CDS_SPREAD_TICKER_7Y"),"")</f>
        <v/>
      </c>
      <c r="AO12" s="63">
        <f>IFERROR(BDP(AN12&amp;" BEST Curncy","PX_LAST")+0,"")</f>
        <v/>
      </c>
      <c r="AP12" s="93">
        <f>IFERROR(BDP($B12,"CDS_SPREAD_TICKER_10Y"),"")</f>
        <v/>
      </c>
      <c r="AQ12" s="63">
        <f>IFERROR(BDP(AP12&amp;" BEST Curncy","PX_LAST")+0,"")</f>
        <v/>
      </c>
      <c r="AR12" s="133">
        <f>IF(ISNUMBER(AG12),AG12,IF(ISNUMBER(H12),H12,0))</f>
        <v/>
      </c>
      <c r="AS12" s="133">
        <f>IF(ISNUMBER(AI12),AI12,IF(ISNUMBER(I12),I12,0))</f>
        <v/>
      </c>
      <c r="AT12" s="133">
        <f>IF(ISNUMBER(AK12),AK12,IF(ISNUMBER(J12),J12,0))</f>
        <v/>
      </c>
      <c r="AU12" s="133">
        <f>IF(ISNUMBER(AM12),AM12,IF(ISNUMBER(K12),K12,0))</f>
        <v/>
      </c>
      <c r="AV12" s="133">
        <f>IF(ISNUMBER(AO12),AO12,IF(ISNUMBER(L12),L12,0))</f>
        <v/>
      </c>
      <c r="AW12" s="133">
        <f>IF(ISNUMBER(AQ12),AQ12,IF(ISNUMBER(M12),M12,0))</f>
        <v/>
      </c>
    </row>
    <row r="13">
      <c r="A13" s="68" t="n"/>
      <c r="B13" s="68" t="n"/>
      <c r="C13" s="68" t="n"/>
      <c r="D13" s="68" t="n"/>
      <c r="E13" s="68" t="n"/>
      <c r="F13" s="147" t="n"/>
      <c r="G13" s="111" t="n"/>
      <c r="H13" s="64" t="n"/>
      <c r="I13" s="64" t="n"/>
      <c r="J13" s="64" t="n"/>
      <c r="K13" s="64" t="n"/>
      <c r="L13" s="64" t="n"/>
      <c r="M13" s="64" t="n"/>
      <c r="O13" s="118" t="n"/>
      <c r="P13" s="64" t="n"/>
      <c r="Q13" s="111" t="n"/>
      <c r="R13" s="64" t="n"/>
      <c r="S13" s="148" t="n"/>
      <c r="T13" s="148" t="n"/>
      <c r="U13" s="118" t="n"/>
      <c r="V13" s="95" t="n"/>
      <c r="W13" s="118" t="n"/>
      <c r="X13" s="118" t="n"/>
      <c r="Y13" s="118" t="n"/>
      <c r="Z13" s="118" t="n"/>
      <c r="AA13" s="118" t="n"/>
      <c r="AB13" s="118" t="n"/>
      <c r="AC13" s="64" t="n"/>
      <c r="AF13" s="93">
        <f>IFERROR(BDP($B13,"CDS_SPREAD_TICKER_1Y"),"")</f>
        <v/>
      </c>
      <c r="AG13" s="63">
        <f>IFERROR(BDP(AF13&amp;" BEST Curncy","PX_LAST")+0,"")</f>
        <v/>
      </c>
      <c r="AH13" s="93">
        <f>IFERROR(BDP($B13,"CDS_SPREAD_TICKER_2Y"),"")</f>
        <v/>
      </c>
      <c r="AI13" s="63">
        <f>IFERROR(BDP(AH13&amp;" BEST Curncy","PX_LAST")+0,"")</f>
        <v/>
      </c>
      <c r="AJ13" s="93">
        <f>IFERROR(BDP($B13,"CDS_SPREAD_TICKER_3Y"),"")</f>
        <v/>
      </c>
      <c r="AK13" s="63">
        <f>IFERROR(BDP(AJ13&amp;" BEST Curncy","PX_LAST")+0,"")</f>
        <v/>
      </c>
      <c r="AL13" s="93">
        <f>IFERROR(BDP($B13,"CDS_SPREAD_TICKER_5Y"),"")</f>
        <v/>
      </c>
      <c r="AM13" s="63">
        <f>IFERROR(BDP(AL13&amp;" BEST Curncy","PX_LAST")+0,"")</f>
        <v/>
      </c>
      <c r="AN13" s="93">
        <f>IFERROR(BDP($B13,"CDS_SPREAD_TICKER_7Y"),"")</f>
        <v/>
      </c>
      <c r="AO13" s="63">
        <f>IFERROR(BDP(AN13&amp;" BEST Curncy","PX_LAST")+0,"")</f>
        <v/>
      </c>
      <c r="AP13" s="93">
        <f>IFERROR(BDP($B13,"CDS_SPREAD_TICKER_10Y"),"")</f>
        <v/>
      </c>
      <c r="AQ13" s="63">
        <f>IFERROR(BDP(AP13&amp;" BEST Curncy","PX_LAST")+0,"")</f>
        <v/>
      </c>
      <c r="AR13" s="133">
        <f>IF(ISNUMBER(AG13),AG13,IF(ISNUMBER(H13),H13,0))</f>
        <v/>
      </c>
      <c r="AS13" s="133">
        <f>IF(ISNUMBER(AI13),AI13,IF(ISNUMBER(I13),I13,0))</f>
        <v/>
      </c>
      <c r="AT13" s="133">
        <f>IF(ISNUMBER(AK13),AK13,IF(ISNUMBER(J13),J13,0))</f>
        <v/>
      </c>
      <c r="AU13" s="133">
        <f>IF(ISNUMBER(AM13),AM13,IF(ISNUMBER(K13),K13,0))</f>
        <v/>
      </c>
      <c r="AV13" s="133">
        <f>IF(ISNUMBER(AO13),AO13,IF(ISNUMBER(L13),L13,0))</f>
        <v/>
      </c>
      <c r="AW13" s="133">
        <f>IF(ISNUMBER(AQ13),AQ13,IF(ISNUMBER(M13),M13,0))</f>
        <v/>
      </c>
    </row>
    <row r="14">
      <c r="A14" s="68" t="n"/>
      <c r="B14" s="68" t="n"/>
      <c r="C14" s="68" t="n"/>
      <c r="D14" s="68" t="n"/>
      <c r="E14" s="68" t="n"/>
      <c r="F14" s="147" t="n"/>
      <c r="G14" s="111" t="n"/>
      <c r="H14" s="64" t="n"/>
      <c r="I14" s="64" t="n"/>
      <c r="J14" s="64" t="n"/>
      <c r="K14" s="64" t="n"/>
      <c r="L14" s="64" t="n"/>
      <c r="M14" s="64" t="n"/>
      <c r="O14" s="118" t="n"/>
      <c r="P14" s="64" t="n"/>
      <c r="Q14" s="111" t="n"/>
      <c r="R14" s="64" t="n"/>
      <c r="S14" s="148" t="n"/>
      <c r="T14" s="148" t="n"/>
      <c r="U14" s="118" t="n"/>
      <c r="V14" s="95" t="n"/>
      <c r="W14" s="118" t="n"/>
      <c r="X14" s="118" t="n"/>
      <c r="Y14" s="118" t="n"/>
      <c r="Z14" s="118" t="n"/>
      <c r="AA14" s="118" t="n"/>
      <c r="AB14" s="118" t="n"/>
      <c r="AC14" s="64" t="n"/>
      <c r="AF14" s="93">
        <f>IFERROR(BDP($B14,"CDS_SPREAD_TICKER_1Y"),"")</f>
        <v/>
      </c>
      <c r="AG14" s="63">
        <f>IFERROR(BDP(AF14&amp;" BEST Curncy","PX_LAST")+0,"")</f>
        <v/>
      </c>
      <c r="AH14" s="93">
        <f>IFERROR(BDP($B14,"CDS_SPREAD_TICKER_2Y"),"")</f>
        <v/>
      </c>
      <c r="AI14" s="63">
        <f>IFERROR(BDP(AH14&amp;" BEST Curncy","PX_LAST")+0,"")</f>
        <v/>
      </c>
      <c r="AJ14" s="93">
        <f>IFERROR(BDP($B14,"CDS_SPREAD_TICKER_3Y"),"")</f>
        <v/>
      </c>
      <c r="AK14" s="63">
        <f>IFERROR(BDP(AJ14&amp;" BEST Curncy","PX_LAST")+0,"")</f>
        <v/>
      </c>
      <c r="AL14" s="93">
        <f>IFERROR(BDP($B14,"CDS_SPREAD_TICKER_5Y"),"")</f>
        <v/>
      </c>
      <c r="AM14" s="63">
        <f>IFERROR(BDP(AL14&amp;" BEST Curncy","PX_LAST")+0,"")</f>
        <v/>
      </c>
      <c r="AN14" s="93">
        <f>IFERROR(BDP($B14,"CDS_SPREAD_TICKER_7Y"),"")</f>
        <v/>
      </c>
      <c r="AO14" s="63">
        <f>IFERROR(BDP(AN14&amp;" BEST Curncy","PX_LAST")+0,"")</f>
        <v/>
      </c>
      <c r="AP14" s="93">
        <f>IFERROR(BDP($B14,"CDS_SPREAD_TICKER_10Y"),"")</f>
        <v/>
      </c>
      <c r="AQ14" s="63">
        <f>IFERROR(BDP(AP14&amp;" BEST Curncy","PX_LAST")+0,"")</f>
        <v/>
      </c>
      <c r="AR14" s="133">
        <f>IF(ISNUMBER(AG14),AG14,IF(ISNUMBER(H14),H14,0))</f>
        <v/>
      </c>
      <c r="AS14" s="133">
        <f>IF(ISNUMBER(AI14),AI14,IF(ISNUMBER(I14),I14,0))</f>
        <v/>
      </c>
      <c r="AT14" s="133">
        <f>IF(ISNUMBER(AK14),AK14,IF(ISNUMBER(J14),J14,0))</f>
        <v/>
      </c>
      <c r="AU14" s="133">
        <f>IF(ISNUMBER(AM14),AM14,IF(ISNUMBER(K14),K14,0))</f>
        <v/>
      </c>
      <c r="AV14" s="133">
        <f>IF(ISNUMBER(AO14),AO14,IF(ISNUMBER(L14),L14,0))</f>
        <v/>
      </c>
      <c r="AW14" s="133">
        <f>IF(ISNUMBER(AQ14),AQ14,IF(ISNUMBER(M14),M14,0))</f>
        <v/>
      </c>
    </row>
    <row r="16">
      <c r="A16" s="66" t="inlineStr">
        <is>
          <t>Row 5 is the reference screen already on file. Only its 5Y spread is known — the rest of its term structure was never captured, which is exactly what T3 is for. Its CDSW outputs ARE known and are the target to hit.</t>
        </is>
      </c>
    </row>
    <row r="17">
      <c r="A17" s="66" t="inlineStr">
        <is>
          <t>Row 5 is the pending real case: only its 5Y spread is known, so its strip fails - a 0/0/0/55/0/0 term structure is not strippable, which is the D8 condition. That is correct behaviour, not a fault. Row 6 is a DEMO curve so the module has something sane to run on until the real term structure arrives.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A1B9A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</cols>
  <sheetData>
    <row r="1">
      <c r="A1" s="1" t="inlineStr">
        <is>
          <t>CDS_Parameters</t>
        </is>
      </c>
    </row>
    <row r="2">
      <c r="A2" s="2" t="inlineStr">
        <is>
          <t>Credit-default-swap assumptions (recovery is an INPUT, not bootstrapped)</t>
        </is>
      </c>
    </row>
    <row r="4">
      <c r="A4" s="5" t="inlineStr">
        <is>
          <t>Valuation date</t>
        </is>
      </c>
      <c r="B4" s="18">
        <f>VAL_DATE</f>
        <v/>
      </c>
      <c r="C4" s="16" t="inlineStr">
        <is>
          <t>Linked to the Parameters/Instructions tab.</t>
        </is>
      </c>
    </row>
    <row r="5">
      <c r="A5" s="5" t="inlineStr">
        <is>
          <t>1st CDS date (roll)</t>
        </is>
      </c>
      <c r="B5" s="18">
        <f>'Curve_Interface'!$F$7</f>
        <v/>
      </c>
      <c r="C5" s="16" t="inlineStr">
        <is>
          <t>Next 20 Mar/Jun/Sep/Dec.</t>
        </is>
      </c>
    </row>
    <row r="6">
      <c r="A6" s="5" t="inlineStr">
        <is>
          <t>Currency</t>
        </is>
      </c>
      <c r="B6" s="6" t="inlineStr">
        <is>
          <t>USD</t>
        </is>
      </c>
    </row>
    <row r="7">
      <c r="A7" s="5" t="inlineStr">
        <is>
          <t>Reference entity</t>
        </is>
      </c>
      <c r="B7" s="37" t="inlineStr">
        <is>
          <t>EXAMPLE CORP</t>
        </is>
      </c>
      <c r="C7" s="16" t="inlineStr">
        <is>
          <t>Type your reference entity.</t>
        </is>
      </c>
    </row>
    <row r="8">
      <c r="A8" s="5" t="inlineStr">
        <is>
          <t>Recovery rate R</t>
        </is>
      </c>
      <c r="B8" s="54" t="n">
        <v>0.4</v>
      </c>
      <c r="C8" s="16" t="inlineStr">
        <is>
          <t>Assumed. Changing R re-fits every hazard.</t>
        </is>
      </c>
    </row>
    <row r="9">
      <c r="A9" s="5" t="inlineStr">
        <is>
          <t>Notional</t>
        </is>
      </c>
      <c r="B9" s="39" t="n">
        <v>10000000</v>
      </c>
    </row>
    <row r="10">
      <c r="A10" s="5" t="inlineStr">
        <is>
          <t>Standard coupon (bp)</t>
        </is>
      </c>
      <c r="B10" s="41" t="n">
        <v>100</v>
      </c>
      <c r="C10" s="16" t="inlineStr">
        <is>
          <t>Fixed running coupon (IG=100, HY=500).</t>
        </is>
      </c>
    </row>
    <row r="11">
      <c r="A11" s="5" t="inlineStr">
        <is>
          <t>Premium frequency</t>
        </is>
      </c>
      <c r="B11" s="6" t="inlineStr">
        <is>
          <t>Quarterly</t>
        </is>
      </c>
    </row>
    <row r="12">
      <c r="A12" s="5" t="inlineStr">
        <is>
          <t>Premium day count</t>
        </is>
      </c>
      <c r="B12" s="6" t="inlineStr">
        <is>
          <t>ACT/360</t>
        </is>
      </c>
    </row>
    <row r="13">
      <c r="A13" s="5" t="inlineStr">
        <is>
          <t>Hazard interpolation</t>
        </is>
      </c>
      <c r="B13" s="6" t="inlineStr">
        <is>
          <t>Piecewise-constant</t>
        </is>
      </c>
    </row>
    <row r="14">
      <c r="A14" s="5" t="inlineStr">
        <is>
          <t>Discount curve</t>
        </is>
      </c>
      <c r="B14" s="6" t="inlineStr">
        <is>
          <t>SOFR OIS (Curve_Interface)</t>
        </is>
      </c>
    </row>
    <row r="15">
      <c r="A15" s="5" t="inlineStr">
        <is>
          <t>Protection direction</t>
        </is>
      </c>
      <c r="B15" s="37" t="inlineStr">
        <is>
          <t>Buy protection</t>
        </is>
      </c>
      <c r="C15" s="16" t="inlineStr">
        <is>
          <t>"Buy protection" or "Sell protection".</t>
        </is>
      </c>
    </row>
    <row r="16">
      <c r="A16" s="5" t="inlineStr">
        <is>
          <t>Accrual-on-default</t>
        </is>
      </c>
      <c r="B16" s="6" t="inlineStr">
        <is>
          <t>Included (midpoint approx.)</t>
        </is>
      </c>
    </row>
    <row r="17">
      <c r="A17" s="67" t="inlineStr">
        <is>
          <t>Hazard mode</t>
        </is>
      </c>
      <c r="B17" s="68" t="inlineStr">
        <is>
          <t>Bootstrap from CDS curve</t>
        </is>
      </c>
      <c r="C17" s="65" t="inlineStr">
        <is>
          <t>Bootstrap fits the term structure to CDS_Quotes; Flat overrides every tenor with B18.</t>
        </is>
      </c>
    </row>
    <row r="18">
      <c r="A18" s="67" t="inlineStr">
        <is>
          <t>Flat hazard rate</t>
        </is>
      </c>
      <c r="B18" s="69" t="n">
        <v>0.015</v>
      </c>
      <c r="C18" s="65" t="inlineStr">
        <is>
          <t>Continuously-compounded intensity. Credit-triangle guide: S/(1-R).</t>
        </is>
      </c>
    </row>
    <row r="19">
      <c r="A19" s="67" t="inlineStr">
        <is>
          <t>Reference entity ticker</t>
        </is>
      </c>
      <c r="B19" s="68" t="inlineStr">
        <is>
          <t>HSBA LN Equity</t>
        </is>
      </c>
      <c r="C19" s="65" t="inlineStr">
        <is>
          <t>Drives the CDS_SPREAD_TICKER_nY lookups on CDS_Quotes.</t>
        </is>
      </c>
    </row>
    <row r="20">
      <c r="A20" s="67" t="inlineStr">
        <is>
          <t>SETTLEMENT / ACCRUAL  (white paper p.6-7)</t>
        </is>
      </c>
    </row>
    <row r="21">
      <c r="A21" s="94" t="inlineStr">
        <is>
          <t>Settlement date T_s</t>
        </is>
      </c>
      <c r="B21" s="128">
        <f>CDS_Parameters!$B$4+3+IF(WEEKDAY(CDS_Parameters!$B$4,2)&gt;=3,2,0)</f>
        <v/>
      </c>
      <c r="C21" s="65" t="inlineStr">
        <is>
          <t>T + 3 business days (p.6). 07/21/26 -&gt; 07/24/26, matching the screen.</t>
        </is>
      </c>
    </row>
    <row r="22">
      <c r="A22" s="94" t="inlineStr">
        <is>
          <t>D(T_s)</t>
        </is>
      </c>
      <c r="B22" s="129">
        <f>IFERROR(INDEX('Curve_Interface'!$L$8:$L$73,MATCH($B$21,'Curve_Interface'!$K$8:$K$73,1))*(INDEX('Curve_Interface'!$L$8:$L$73,MATCH($B$21,'Curve_Interface'!$K$8:$K$73,1)+1)/INDEX('Curve_Interface'!$L$8:$L$73,MATCH($B$21,'Curve_Interface'!$K$8:$K$73,1)))^(($B$21-INDEX('Curve_Interface'!$K$8:$K$73,MATCH($B$21,'Curve_Interface'!$K$8:$K$73,1)))/(INDEX('Curve_Interface'!$K$8:$K$73,MATCH($B$21,'Curve_Interface'!$K$8:$K$73,1)+1)-INDEX('Curve_Interface'!$K$8:$K$73,MATCH($B$21,'Curve_Interface'!$K$8:$K$73,1)))),INDEX('Curve_Interface'!$L$8:$L$73,MATCH($B$21,'Curve_Interface'!$K$8:$K$73,1)))</f>
        <v/>
      </c>
      <c r="C22" s="65" t="inlineStr">
        <is>
          <t>Discount factor at settlement, off Curve_Interface. The DF component.</t>
        </is>
      </c>
    </row>
    <row r="23">
      <c r="A23" s="94" t="inlineStr">
        <is>
          <t>Accrual start T_0</t>
        </is>
      </c>
      <c r="B23" s="128">
        <f>IF(MONTH((EDATE($B$5,-3)+IF(WEEKDAY(EDATE($B$5,-3),2)=6,2,IF(WEEKDAY(EDATE($B$5,-3),2)=7,1,0))))&lt;&gt;MONTH(EDATE($B$5,-3)),(EDATE($B$5,-3)-IF(WEEKDAY(EDATE($B$5,-3),2)=6,1,IF(WEEKDAY(EDATE($B$5,-3),2)=7,2,0))),(EDATE($B$5,-3)+IF(WEEKDAY(EDATE($B$5,-3),2)=6,2,IF(WEEKDAY(EDATE($B$5,-3),2)=7,1,0))))</f>
        <v/>
      </c>
      <c r="C23" s="65" t="inlineStr">
        <is>
          <t>Previous IMM roll, business-day adjusted.</t>
        </is>
      </c>
    </row>
    <row r="24">
      <c r="A24" s="94" t="inlineStr">
        <is>
          <t>Accrued days</t>
        </is>
      </c>
      <c r="B24" s="130">
        <f>MAX(0,CDS_Parameters!$B$4-$B$23+1)</f>
        <v/>
      </c>
      <c r="C24" s="65" t="inlineStr">
        <is>
          <t>Includes the pricing date (p.7): one more than the daycount difference.</t>
        </is>
      </c>
    </row>
    <row r="25">
      <c r="A25" s="94" t="inlineStr">
        <is>
          <t>Accrual fraction D0 (ACT/360)</t>
        </is>
      </c>
      <c r="B25" s="71">
        <f>$B$24/360</f>
        <v/>
      </c>
    </row>
    <row r="26">
      <c r="A26" s="94" t="inlineStr">
        <is>
          <t>PV01 netting term  D0 * D(T_s)</t>
        </is>
      </c>
      <c r="B26" s="71">
        <f>$B$25*$B$22</f>
        <v/>
      </c>
      <c r="C26" s="65" t="inlineStr">
        <is>
          <t>Subtracted from the premium leg in (3.3). ~0.083 against RPV01 ~4.4, so it moves the stripped hazards by roughly 2%.</t>
        </is>
      </c>
    </row>
    <row r="27">
      <c r="A27" s="67" t="inlineStr">
        <is>
          <t>Active entity</t>
        </is>
      </c>
      <c r="B27" s="68" t="inlineStr">
        <is>
          <t>DEMO curve (not market)</t>
        </is>
      </c>
      <c r="C27" s="65" t="inlineStr">
        <is>
          <t>Picks a row on CDS_Entities. Spreads, recovery and the CDSW targets all follow.</t>
        </is>
      </c>
    </row>
    <row r="28">
      <c r="A28" s="94" t="inlineStr">
        <is>
          <t>row on CDS_Entities</t>
        </is>
      </c>
      <c r="B28" s="130">
        <f>IFERROR(MATCH($B$27,CDS_Entities!$A$5:$A$14,0),0)</f>
        <v/>
      </c>
    </row>
    <row r="29">
      <c r="A29" s="94" t="inlineStr">
        <is>
          <t>Recovery from that row</t>
        </is>
      </c>
      <c r="B29" s="149">
        <f>IFERROR(INDEX(CDS_Entities!$F$5:$F$14,$B$28),"")</f>
        <v/>
      </c>
      <c r="C29" s="65" t="inlineStr">
        <is>
          <t>Type it into B8 to use it; left manual so a mis-selection cannot silently reprice the book.</t>
        </is>
      </c>
    </row>
  </sheetData>
  <mergeCells count="6">
    <mergeCell ref="C10:H10"/>
    <mergeCell ref="C5:H5"/>
    <mergeCell ref="C8:H8"/>
    <mergeCell ref="C4:H4"/>
    <mergeCell ref="C7:H7"/>
    <mergeCell ref="C15:H15"/>
  </mergeCells>
  <dataValidations count="2">
    <dataValidation sqref="B17" showDropDown="0" showInputMessage="0" showErrorMessage="0" allowBlank="0" type="list">
      <formula1>"Bootstrap from CDS curve,Flat hazard rate"</formula1>
    </dataValidation>
    <dataValidation sqref="B27" showDropDown="0" showInputMessage="0" showErrorMessage="0" allowBlank="1" type="list">
      <formula1>=CDS_Entities!$A$5:$A$14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A1B9A"/>
    <outlinePr summaryBelow="1" summaryRight="1"/>
    <pageSetUpPr/>
  </sheetPr>
  <dimension ref="A1:K19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24" customWidth="1" min="4" max="4"/>
    <col width="15" customWidth="1" min="5" max="5"/>
    <col width="15" customWidth="1" min="6" max="6"/>
    <col width="15" customWidth="1" min="7" max="7"/>
    <col width="17" customWidth="1" min="8" max="8"/>
    <col width="40" customWidth="1" min="9" max="9"/>
    <col width="82" customWidth="1" min="11" max="11"/>
  </cols>
  <sheetData>
    <row r="1">
      <c r="A1" s="1" t="inlineStr">
        <is>
          <t>CDS_Quotes</t>
        </is>
      </c>
    </row>
    <row r="2">
      <c r="A2" s="65" t="inlineStr">
        <is>
          <t>Step 1 (col D) resolves each tenor's CDS ticker from CDS_Parameters!B19; step 2 (col F) quotes it. Col E used only when BDP fails.</t>
        </is>
      </c>
    </row>
    <row r="3">
      <c r="K3" s="136" t="inlineStr">
        <is>
          <t>BLOOMBERG HELP DESK H#1330731572</t>
        </is>
      </c>
    </row>
    <row r="4" ht="30" customHeight="1">
      <c r="A4" s="9" t="inlineStr">
        <is>
          <t>Enter each tenor's Bloomberg CDS ticker in col D (e.g. the entity's par-spread series); Market spread = BDP(ticker,"PX_LAST") when it resolves, else the yellow Manual spread so the module still runs. Do NOT mix seniorities, currencies, or restructuring clauses.</t>
        </is>
      </c>
      <c r="K4" s="137" t="inlineStr">
        <is>
          <t>The documented two-step pull, implemented verbatim:</t>
        </is>
      </c>
    </row>
    <row r="5">
      <c r="K5" s="138" t="inlineStr">
        <is>
          <t xml:space="preserve">  step 1  col D = BDP( &lt;entity&gt;, "CDS_SPREAD_TICKER_nY" )   -&gt; ticker</t>
        </is>
      </c>
    </row>
    <row r="6" ht="30" customHeight="1">
      <c r="A6" s="140" t="inlineStr">
        <is>
          <t>Tenor</t>
        </is>
      </c>
      <c r="B6" s="140" t="inlineStr">
        <is>
          <t>Tenor (yrs)</t>
        </is>
      </c>
      <c r="C6" s="140" t="inlineStr">
        <is>
          <t>Maturity</t>
        </is>
      </c>
      <c r="D6" s="141" t="inlineStr">
        <is>
          <t>CDS ticker (step 1, live)</t>
        </is>
      </c>
      <c r="E6" s="140" t="inlineStr">
        <is>
          <t>Manual spread (bp)</t>
        </is>
      </c>
      <c r="F6" s="140" t="inlineStr">
        <is>
          <t>Market spread (bp)</t>
        </is>
      </c>
      <c r="G6" s="140" t="inlineStr">
        <is>
          <t>Approx hazard s/(1-R)</t>
        </is>
      </c>
      <c r="H6" s="141" t="inlineStr">
        <is>
          <t>Quote source in use</t>
        </is>
      </c>
      <c r="K6" s="138" t="inlineStr">
        <is>
          <t xml:space="preserve">  step 2  col F = BDP( &lt;ticker&gt; &amp; " BEST Curncy", "PX_LAST" )</t>
        </is>
      </c>
    </row>
    <row r="7">
      <c r="A7" s="6" t="inlineStr">
        <is>
          <t>1Y</t>
        </is>
      </c>
      <c r="B7" s="43" t="n">
        <v>1</v>
      </c>
      <c r="C7" s="18">
        <f>EDATE('Curve_Interface'!$F$7,3*(4-1))</f>
        <v/>
      </c>
      <c r="D7" s="87">
        <f>IFERROR(BDP(CDS_Parameters!$B$19,"CDS_SPREAD_TICKER_1Y"),"")</f>
        <v/>
      </c>
      <c r="E7" s="133">
        <f>IFERROR(INDEX(CDS_Entities!$AR$5:$AR$14,CDS_Parameters!$B$28),0)</f>
        <v/>
      </c>
      <c r="F7" s="63">
        <f>IFERROR(BDP(D7&amp;" BEST Curncy","PX_LAST")+0,IFERROR(BDP(D7&amp;" BEST Curncy","PX_MID")+0,E7))</f>
        <v/>
      </c>
      <c r="G7" s="36">
        <f>(F7/10000)/(1-CDS_Parameters!$B$8)</f>
        <v/>
      </c>
      <c r="H7" s="93">
        <f>IF(ISNUMBER(IFERROR(BDP(D7&amp;" BEST Curncy","PX_LAST")+0,"")),"BDP live","MANUAL (demo)")</f>
        <v/>
      </c>
      <c r="K7" s="137" t="n"/>
    </row>
    <row r="8">
      <c r="A8" s="6" t="inlineStr">
        <is>
          <t>2Y</t>
        </is>
      </c>
      <c r="B8" s="43" t="n">
        <v>2</v>
      </c>
      <c r="C8" s="18">
        <f>EDATE('Curve_Interface'!$F$7,3*(8-1))</f>
        <v/>
      </c>
      <c r="D8" s="87">
        <f>IFERROR(BDP(CDS_Parameters!$B$19,"CDS_SPREAD_TICKER_2Y"),"")</f>
        <v/>
      </c>
      <c r="E8" s="133">
        <f>IFERROR(INDEX(CDS_Entities!$AS$5:$AS$14,CDS_Parameters!$B$28),0)</f>
        <v/>
      </c>
      <c r="F8" s="63">
        <f>IFERROR(BDP(D8&amp;" BEST Curncy","PX_LAST")+0,IFERROR(BDP(D8&amp;" BEST Curncy","PX_MID")+0,E8))</f>
        <v/>
      </c>
      <c r="G8" s="36">
        <f>(F8/10000)/(1-CDS_Parameters!$B$8)</f>
        <v/>
      </c>
      <c r="H8" s="93">
        <f>IF(ISNUMBER(IFERROR(BDP(D8&amp;" BEST Curncy","PX_LAST")+0,"")),"BDP live","MANUAL (demo)")</f>
        <v/>
      </c>
      <c r="I8" s="66" t="inlineStr">
        <is>
          <t>tenor not in the Help Desk list (1Y/3Y/5Y/7Y/10Y) - CDS_SPREAD_TICKER_2Y may not be a valid field</t>
        </is>
      </c>
      <c r="K8" s="139" t="inlineStr">
        <is>
          <t>Their tenors are 1Y 3Y 5Y 7Y 10Y. The 2Y row is ours -</t>
        </is>
      </c>
    </row>
    <row r="9">
      <c r="A9" s="6" t="inlineStr">
        <is>
          <t>3Y</t>
        </is>
      </c>
      <c r="B9" s="43" t="n">
        <v>3</v>
      </c>
      <c r="C9" s="18">
        <f>EDATE('Curve_Interface'!$F$7,3*(12-1))</f>
        <v/>
      </c>
      <c r="D9" s="87">
        <f>IFERROR(BDP(CDS_Parameters!$B$19,"CDS_SPREAD_TICKER_3Y"),"")</f>
        <v/>
      </c>
      <c r="E9" s="133">
        <f>IFERROR(INDEX(CDS_Entities!$AT$5:$AT$14,CDS_Parameters!$B$28),0)</f>
        <v/>
      </c>
      <c r="F9" s="63">
        <f>IFERROR(BDP(D9&amp;" BEST Curncy","PX_LAST")+0,IFERROR(BDP(D9&amp;" BEST Curncy","PX_MID")+0,E9))</f>
        <v/>
      </c>
      <c r="G9" s="36">
        <f>(F9/10000)/(1-CDS_Parameters!$B$8)</f>
        <v/>
      </c>
      <c r="H9" s="93">
        <f>IF(ISNUMBER(IFERROR(BDP(D9&amp;" BEST Curncy","PX_LAST")+0,"")),"BDP live","MANUAL (demo)")</f>
        <v/>
      </c>
      <c r="K9" s="139" t="inlineStr">
        <is>
          <t>CDS_SPREAD_TICKER_2Y may not be a valid field; that row is flagged.</t>
        </is>
      </c>
    </row>
    <row r="10">
      <c r="A10" s="6" t="inlineStr">
        <is>
          <t>5Y</t>
        </is>
      </c>
      <c r="B10" s="43" t="n">
        <v>5</v>
      </c>
      <c r="C10" s="18">
        <f>EDATE('Curve_Interface'!$F$7,3*(20-1))</f>
        <v/>
      </c>
      <c r="D10" s="87">
        <f>IFERROR(BDP(CDS_Parameters!$B$19,"CDS_SPREAD_TICKER_5Y"),"")</f>
        <v/>
      </c>
      <c r="E10" s="133">
        <f>IFERROR(INDEX(CDS_Entities!$AU$5:$AU$14,CDS_Parameters!$B$28),0)</f>
        <v/>
      </c>
      <c r="F10" s="63">
        <f>IFERROR(BDP(D10&amp;" BEST Curncy","PX_LAST")+0,IFERROR(BDP(D10&amp;" BEST Curncy","PX_MID")+0,E10))</f>
        <v/>
      </c>
      <c r="G10" s="36">
        <f>(F10/10000)/(1-CDS_Parameters!$B$8)</f>
        <v/>
      </c>
      <c r="H10" s="93">
        <f>IF(ISNUMBER(IFERROR(BDP(D10&amp;" BEST Curncy","PX_LAST")+0,"")),"BDP live","MANUAL (demo)")</f>
        <v/>
      </c>
      <c r="K10" s="137" t="n"/>
    </row>
    <row r="11">
      <c r="A11" s="6" t="inlineStr">
        <is>
          <t>7Y</t>
        </is>
      </c>
      <c r="B11" s="43" t="n">
        <v>7</v>
      </c>
      <c r="C11" s="18">
        <f>EDATE('Curve_Interface'!$F$7,3*(28-1))</f>
        <v/>
      </c>
      <c r="D11" s="87">
        <f>IFERROR(BDP(CDS_Parameters!$B$19,"CDS_SPREAD_TICKER_7Y"),"")</f>
        <v/>
      </c>
      <c r="E11" s="133">
        <f>IFERROR(INDEX(CDS_Entities!$AV$5:$AV$14,CDS_Parameters!$B$28),0)</f>
        <v/>
      </c>
      <c r="F11" s="63">
        <f>IFERROR(BDP(D11&amp;" BEST Curncy","PX_LAST")+0,IFERROR(BDP(D11&amp;" BEST Curncy","PX_MID")+0,E11))</f>
        <v/>
      </c>
      <c r="G11" s="36">
        <f>(F11/10000)/(1-CDS_Parameters!$B$8)</f>
        <v/>
      </c>
      <c r="H11" s="93">
        <f>IF(ISNUMBER(IFERROR(BDP(D11&amp;" BEST Curncy","PX_LAST")+0,"")),"BDP live","MANUAL (demo)")</f>
        <v/>
      </c>
      <c r="K11" s="137" t="inlineStr">
        <is>
          <t>step 3  they suggest Hazard = S/(1-R), shown in col G.</t>
        </is>
      </c>
    </row>
    <row r="12">
      <c r="A12" s="6" t="inlineStr">
        <is>
          <t>10Y</t>
        </is>
      </c>
      <c r="B12" s="43" t="n">
        <v>10</v>
      </c>
      <c r="C12" s="18">
        <f>EDATE('Curve_Interface'!$F$7,3*(40-1))</f>
        <v/>
      </c>
      <c r="D12" s="87">
        <f>IFERROR(BDP(CDS_Parameters!$B$19,"CDS_SPREAD_TICKER_10Y"),"")</f>
        <v/>
      </c>
      <c r="E12" s="133">
        <f>IFERROR(INDEX(CDS_Entities!$AW$5:$AW$14,CDS_Parameters!$B$28),0)</f>
        <v/>
      </c>
      <c r="F12" s="63">
        <f>IFERROR(BDP(D12&amp;" BEST Curncy","PX_LAST")+0,IFERROR(BDP(D12&amp;" BEST Curncy","PX_MID")+0,E12))</f>
        <v/>
      </c>
      <c r="G12" s="36">
        <f>(F12/10000)/(1-CDS_Parameters!$B$8)</f>
        <v/>
      </c>
      <c r="H12" s="93">
        <f>IF(ISNUMBER(IFERROR(BDP(D12&amp;" BEST Curncy","PX_LAST")+0,"")),"BDP live","MANUAL (demo)")</f>
        <v/>
      </c>
      <c r="K12" s="139" t="inlineStr">
        <is>
          <t xml:space="preserve">        Exact only for a flat curve. We bootstrap instead, which their</t>
        </is>
      </c>
    </row>
    <row r="13">
      <c r="K13" s="139" t="inlineStr">
        <is>
          <t xml:space="preserve">        own note says to do:</t>
        </is>
      </c>
    </row>
    <row r="14">
      <c r="A14" s="66" t="inlineStr">
        <is>
          <t>Manual spreads in col E are DEMO values, not market. Col H shows which source each tenor is using. Replace col E or connect a terminal before using any CDS output.</t>
        </is>
      </c>
      <c r="K14" s="139" t="inlineStr">
        <is>
          <t xml:space="preserve">        "Bloomberg does not provide a direct zero-coupon CDS spread</t>
        </is>
      </c>
    </row>
    <row r="15">
      <c r="K15" s="139" t="inlineStr">
        <is>
          <t xml:space="preserve">         output by maturity as an exportable field... you would</t>
        </is>
      </c>
    </row>
    <row r="16">
      <c r="A16" s="65" t="inlineStr">
        <is>
          <t>Help Desk H#1330731572. Step 1 BDP(ticker,"CDS_SPREAD_TICKER_nY"); step 2 BDP(returned&amp;" BEST Curncy","PX_LAST"). Tenors 1Y/3Y/5Y/7Y/10Y.</t>
        </is>
      </c>
      <c r="K16" s="139" t="inlineStr">
        <is>
          <t xml:space="preserve">         bootstrap the hazard-rate curve using the par spreads and an</t>
        </is>
      </c>
    </row>
    <row r="17">
      <c r="A17" s="66" t="inlineStr">
        <is>
          <t>No Bloomberg export exists for zero-coupon CDS spreads or bootstrapped hazard rates (Help Desk). The credit curve has no external ground truth, unlike the SOFR curve.</t>
        </is>
      </c>
      <c r="K17" s="139" t="inlineStr">
        <is>
          <t xml:space="preserve">         assumed recovery rate."</t>
        </is>
      </c>
    </row>
    <row r="18">
      <c r="A18" s="65" t="inlineStr">
        <is>
          <t>Bloomberg suggest the credit triangle, hazard = S/(1-R). Exact only for a flat curve. Hazard_Solver bootstraps properly; CDS_Validation 13-18 compares the two.</t>
        </is>
      </c>
    </row>
    <row r="19">
      <c r="A19" s="65" t="inlineStr">
        <is>
          <t>Col E reads CDS_Entities in-use (AR:AW) for the active row: live pull when it resolves, else the manual spread, else 0. Always numeric.</t>
        </is>
      </c>
    </row>
  </sheetData>
  <mergeCells count="1">
    <mergeCell ref="A4:G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6A1B9A"/>
    <outlinePr summaryBelow="1" summaryRight="1"/>
    <pageSetUpPr/>
  </sheetPr>
  <dimension ref="A1:L12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2" customWidth="1" min="10" max="10"/>
    <col width="13" customWidth="1" min="12" max="12"/>
  </cols>
  <sheetData>
    <row r="1">
      <c r="A1" s="1" t="inlineStr">
        <is>
          <t>Hazard_Bootstrap</t>
        </is>
      </c>
    </row>
    <row r="2">
      <c r="A2" s="65" t="inlineStr">
        <is>
          <t>Piecewise-constant hazard. Col D solved live by Hazard_Solver, no Goal Seek. CDS_Parameters!B17 switches to a flat hazard.</t>
        </is>
      </c>
    </row>
    <row r="4" ht="40" customHeight="1">
      <c r="A4" s="70" t="inlineStr">
        <is>
          <t>Maturity by maturity: hold earlier hazards fixed, solve the current segment so model spread = market. Col J (repricing error) stays ~0 as inputs move.</t>
        </is>
      </c>
    </row>
    <row r="5"/>
    <row r="6" ht="30" customHeight="1">
      <c r="A6" s="140" t="inlineStr">
        <is>
          <t>Tenor</t>
        </is>
      </c>
      <c r="B6" s="140" t="inlineStr">
        <is>
          <t>Maturity</t>
        </is>
      </c>
      <c r="C6" s="140" t="inlineStr">
        <is>
          <t>Market spread (bp)</t>
        </is>
      </c>
      <c r="D6" s="140" t="inlineStr">
        <is>
          <t>Hazard lambda (solve)</t>
        </is>
      </c>
      <c r="E6" s="140" t="inlineStr">
        <is>
          <t>Cum. survival Q(T)</t>
        </is>
      </c>
      <c r="F6" s="140" t="inlineStr">
        <is>
          <t>Cum. default 1-Q</t>
        </is>
      </c>
      <c r="G6" s="140" t="inlineStr">
        <is>
          <t>RPV01 (risky annuity)</t>
        </is>
      </c>
      <c r="H6" s="140" t="inlineStr">
        <is>
          <t>Protection PV factor</t>
        </is>
      </c>
      <c r="I6" s="140" t="inlineStr">
        <is>
          <t>Model spread (bp)</t>
        </is>
      </c>
      <c r="J6" s="140" t="inlineStr">
        <is>
          <t>Repricing error (bp)</t>
        </is>
      </c>
      <c r="L6" s="140" t="inlineStr">
        <is>
          <t>Solver resid</t>
        </is>
      </c>
    </row>
    <row r="7">
      <c r="A7" s="6" t="inlineStr">
        <is>
          <t>1Y</t>
        </is>
      </c>
      <c r="B7" s="18">
        <f>CDS_Quotes!C7</f>
        <v/>
      </c>
      <c r="C7" s="17">
        <f>CDS_Quotes!F7</f>
        <v/>
      </c>
      <c r="D7" s="71">
        <f>IF(CDS_Parameters!$B$17="Flat hazard rate",CDS_Parameters!$B$18,Hazard_Solver!$B$46)</f>
        <v/>
      </c>
      <c r="E7" s="34">
        <f>INDEX(CDS_Schedule!$K$7:$K$46,MATCH(B7,CDS_Schedule!$C$7:$C$46,1))</f>
        <v/>
      </c>
      <c r="F7" s="34">
        <f>1-E7</f>
        <v/>
      </c>
      <c r="G7" s="34">
        <f>SUMIF(CDS_Schedule!$C$7:$C$46,"&lt;="&amp;B7,CDS_Schedule!$M$7:$M$46)+SUMIF(CDS_Schedule!$C$7:$C$46,"&lt;="&amp;B7,CDS_Schedule!$N$7:$N$46)</f>
        <v/>
      </c>
      <c r="H7" s="36">
        <f>SUMIF(CDS_Schedule!$C$7:$C$46,"&lt;="&amp;B7,CDS_Schedule!$O$7:$O$46)</f>
        <v/>
      </c>
      <c r="I7" s="131">
        <f>(1-CDS_Parameters!$B$8)*H7/(G7-CDS_Parameters!$B$26)*10000</f>
        <v/>
      </c>
      <c r="J7" s="53">
        <f>I7-C7</f>
        <v/>
      </c>
      <c r="L7" s="72">
        <f>Hazard_Solver!$D$46</f>
        <v/>
      </c>
    </row>
    <row r="8">
      <c r="A8" s="6" t="inlineStr">
        <is>
          <t>2Y</t>
        </is>
      </c>
      <c r="B8" s="18">
        <f>CDS_Quotes!C8</f>
        <v/>
      </c>
      <c r="C8" s="17">
        <f>CDS_Quotes!F8</f>
        <v/>
      </c>
      <c r="D8" s="71">
        <f>IF(CDS_Parameters!$B$17="Flat hazard rate",CDS_Parameters!$B$18,Hazard_Solver!$B$89)</f>
        <v/>
      </c>
      <c r="E8" s="34">
        <f>INDEX(CDS_Schedule!$K$7:$K$46,MATCH(B8,CDS_Schedule!$C$7:$C$46,1))</f>
        <v/>
      </c>
      <c r="F8" s="34">
        <f>1-E8</f>
        <v/>
      </c>
      <c r="G8" s="34">
        <f>SUMIF(CDS_Schedule!$C$7:$C$46,"&lt;="&amp;B8,CDS_Schedule!$M$7:$M$46)+SUMIF(CDS_Schedule!$C$7:$C$46,"&lt;="&amp;B8,CDS_Schedule!$N$7:$N$46)</f>
        <v/>
      </c>
      <c r="H8" s="36">
        <f>SUMIF(CDS_Schedule!$C$7:$C$46,"&lt;="&amp;B8,CDS_Schedule!$O$7:$O$46)</f>
        <v/>
      </c>
      <c r="I8" s="131">
        <f>(1-CDS_Parameters!$B$8)*H8/(G8-CDS_Parameters!$B$26)*10000</f>
        <v/>
      </c>
      <c r="J8" s="53">
        <f>I8-C8</f>
        <v/>
      </c>
      <c r="L8" s="72">
        <f>Hazard_Solver!$D$89</f>
        <v/>
      </c>
    </row>
    <row r="9">
      <c r="A9" s="6" t="inlineStr">
        <is>
          <t>3Y</t>
        </is>
      </c>
      <c r="B9" s="18">
        <f>CDS_Quotes!C9</f>
        <v/>
      </c>
      <c r="C9" s="17">
        <f>CDS_Quotes!F9</f>
        <v/>
      </c>
      <c r="D9" s="71">
        <f>IF(CDS_Parameters!$B$17="Flat hazard rate",CDS_Parameters!$B$18,Hazard_Solver!$B$132)</f>
        <v/>
      </c>
      <c r="E9" s="34">
        <f>INDEX(CDS_Schedule!$K$7:$K$46,MATCH(B9,CDS_Schedule!$C$7:$C$46,1))</f>
        <v/>
      </c>
      <c r="F9" s="34">
        <f>1-E9</f>
        <v/>
      </c>
      <c r="G9" s="34">
        <f>SUMIF(CDS_Schedule!$C$7:$C$46,"&lt;="&amp;B9,CDS_Schedule!$M$7:$M$46)+SUMIF(CDS_Schedule!$C$7:$C$46,"&lt;="&amp;B9,CDS_Schedule!$N$7:$N$46)</f>
        <v/>
      </c>
      <c r="H9" s="36">
        <f>SUMIF(CDS_Schedule!$C$7:$C$46,"&lt;="&amp;B9,CDS_Schedule!$O$7:$O$46)</f>
        <v/>
      </c>
      <c r="I9" s="131">
        <f>(1-CDS_Parameters!$B$8)*H9/(G9-CDS_Parameters!$B$26)*10000</f>
        <v/>
      </c>
      <c r="J9" s="53">
        <f>I9-C9</f>
        <v/>
      </c>
      <c r="L9" s="72">
        <f>Hazard_Solver!$D$132</f>
        <v/>
      </c>
    </row>
    <row r="10">
      <c r="A10" s="6" t="inlineStr">
        <is>
          <t>5Y</t>
        </is>
      </c>
      <c r="B10" s="18">
        <f>CDS_Quotes!C10</f>
        <v/>
      </c>
      <c r="C10" s="17">
        <f>CDS_Quotes!F10</f>
        <v/>
      </c>
      <c r="D10" s="71">
        <f>IF(CDS_Parameters!$B$17="Flat hazard rate",CDS_Parameters!$B$18,Hazard_Solver!$B$175)</f>
        <v/>
      </c>
      <c r="E10" s="34">
        <f>INDEX(CDS_Schedule!$K$7:$K$46,MATCH(B10,CDS_Schedule!$C$7:$C$46,1))</f>
        <v/>
      </c>
      <c r="F10" s="34">
        <f>1-E10</f>
        <v/>
      </c>
      <c r="G10" s="34">
        <f>SUMIF(CDS_Schedule!$C$7:$C$46,"&lt;="&amp;B10,CDS_Schedule!$M$7:$M$46)+SUMIF(CDS_Schedule!$C$7:$C$46,"&lt;="&amp;B10,CDS_Schedule!$N$7:$N$46)</f>
        <v/>
      </c>
      <c r="H10" s="36">
        <f>SUMIF(CDS_Schedule!$C$7:$C$46,"&lt;="&amp;B10,CDS_Schedule!$O$7:$O$46)</f>
        <v/>
      </c>
      <c r="I10" s="131">
        <f>(1-CDS_Parameters!$B$8)*H10/(G10-CDS_Parameters!$B$26)*10000</f>
        <v/>
      </c>
      <c r="J10" s="53">
        <f>I10-C10</f>
        <v/>
      </c>
      <c r="L10" s="72">
        <f>Hazard_Solver!$D$175</f>
        <v/>
      </c>
    </row>
    <row r="11">
      <c r="A11" s="6" t="inlineStr">
        <is>
          <t>7Y</t>
        </is>
      </c>
      <c r="B11" s="18">
        <f>CDS_Quotes!C11</f>
        <v/>
      </c>
      <c r="C11" s="17">
        <f>CDS_Quotes!F11</f>
        <v/>
      </c>
      <c r="D11" s="71">
        <f>IF(CDS_Parameters!$B$17="Flat hazard rate",CDS_Parameters!$B$18,Hazard_Solver!$B$218)</f>
        <v/>
      </c>
      <c r="E11" s="34">
        <f>INDEX(CDS_Schedule!$K$7:$K$46,MATCH(B11,CDS_Schedule!$C$7:$C$46,1))</f>
        <v/>
      </c>
      <c r="F11" s="34">
        <f>1-E11</f>
        <v/>
      </c>
      <c r="G11" s="34">
        <f>SUMIF(CDS_Schedule!$C$7:$C$46,"&lt;="&amp;B11,CDS_Schedule!$M$7:$M$46)+SUMIF(CDS_Schedule!$C$7:$C$46,"&lt;="&amp;B11,CDS_Schedule!$N$7:$N$46)</f>
        <v/>
      </c>
      <c r="H11" s="36">
        <f>SUMIF(CDS_Schedule!$C$7:$C$46,"&lt;="&amp;B11,CDS_Schedule!$O$7:$O$46)</f>
        <v/>
      </c>
      <c r="I11" s="131">
        <f>(1-CDS_Parameters!$B$8)*H11/(G11-CDS_Parameters!$B$26)*10000</f>
        <v/>
      </c>
      <c r="J11" s="53">
        <f>I11-C11</f>
        <v/>
      </c>
      <c r="L11" s="72">
        <f>Hazard_Solver!$D$218</f>
        <v/>
      </c>
    </row>
    <row r="12">
      <c r="A12" s="6" t="inlineStr">
        <is>
          <t>10Y</t>
        </is>
      </c>
      <c r="B12" s="18">
        <f>CDS_Quotes!C12</f>
        <v/>
      </c>
      <c r="C12" s="17">
        <f>CDS_Quotes!F12</f>
        <v/>
      </c>
      <c r="D12" s="71">
        <f>IF(CDS_Parameters!$B$17="Flat hazard rate",CDS_Parameters!$B$18,Hazard_Solver!$B$261)</f>
        <v/>
      </c>
      <c r="E12" s="34">
        <f>INDEX(CDS_Schedule!$K$7:$K$46,MATCH(B12,CDS_Schedule!$C$7:$C$46,1))</f>
        <v/>
      </c>
      <c r="F12" s="34">
        <f>1-E12</f>
        <v/>
      </c>
      <c r="G12" s="34">
        <f>SUMIF(CDS_Schedule!$C$7:$C$46,"&lt;="&amp;B12,CDS_Schedule!$M$7:$M$46)+SUMIF(CDS_Schedule!$C$7:$C$46,"&lt;="&amp;B12,CDS_Schedule!$N$7:$N$46)</f>
        <v/>
      </c>
      <c r="H12" s="36">
        <f>SUMIF(CDS_Schedule!$C$7:$C$46,"&lt;="&amp;B12,CDS_Schedule!$O$7:$O$46)</f>
        <v/>
      </c>
      <c r="I12" s="131">
        <f>(1-CDS_Parameters!$B$8)*H12/(G12-CDS_Parameters!$B$26)*10000</f>
        <v/>
      </c>
      <c r="J12" s="53">
        <f>I12-C12</f>
        <v/>
      </c>
      <c r="L12" s="72">
        <f>Hazard_Solver!$D$261</f>
        <v/>
      </c>
    </row>
  </sheetData>
  <mergeCells count="1">
    <mergeCell ref="A4:J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6A1B9A"/>
    <outlinePr summaryBelow="1" summaryRight="1"/>
    <pageSetUpPr/>
  </sheetPr>
  <dimension ref="A1:V26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80" customWidth="1" min="22" max="22"/>
  </cols>
  <sheetData>
    <row r="1">
      <c r="A1" s="67" t="inlineStr">
        <is>
          <t>Hazard_Solver</t>
        </is>
      </c>
    </row>
    <row r="2">
      <c r="A2" s="65" t="inlineStr">
        <is>
          <t>Solves each piecewise-constant hazard by bisection in cells. Replaces Goal Seek; refits live as spreads, recovery or the SOFR curve move.</t>
        </is>
      </c>
    </row>
    <row r="3">
      <c r="A3" s="65" t="inlineStr">
        <is>
          <t>Reads only the hazard-independent columns of CDS_Schedule (D alpha, E dt, G DF_end, H DF_mid), so no circular reference.</t>
        </is>
      </c>
      <c r="V3" s="136" t="inlineStr">
        <is>
          <t>WHAT THIS SHEET SOLVES</t>
        </is>
      </c>
    </row>
    <row r="4">
      <c r="A4" s="65" t="inlineStr">
        <is>
          <t>Bracket [0, 3], 30 bisection steps -&gt; resolution ~3e-9.</t>
        </is>
      </c>
      <c r="V4" s="137" t="inlineStr">
        <is>
          <t>For each tenor k, find h_k so the model par spread equals the quote.</t>
        </is>
      </c>
    </row>
    <row r="5">
      <c r="A5" s="65" t="inlineStr">
        <is>
          <t>Objective is (3.3): protection leg minus S x PV01, where PV01 is the premium leg NET of accrued interest x D(T_s) (CDS_Parameters!$B$26).</t>
        </is>
      </c>
      <c r="V5" s="137" t="n"/>
    </row>
    <row r="6">
      <c r="A6" s="73" t="inlineStr">
        <is>
          <t>TENOR 1Y   —   periods 1-4   —   solve lambda1</t>
        </is>
      </c>
      <c r="B6" s="74" t="n"/>
      <c r="C6" s="74" t="n"/>
      <c r="D6" s="74" t="n"/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V6" s="138" t="inlineStr">
        <is>
          <t>(3.3)  S = Protection / ( Premium - AccruedInterest*D(T_s) )  at C=1bp</t>
        </is>
      </c>
    </row>
    <row r="7">
      <c r="A7" s="67" t="inlineStr">
        <is>
          <t>market S (bp)</t>
        </is>
      </c>
      <c r="B7" s="75">
        <f>Hazard_Bootstrap!$C$7</f>
        <v/>
      </c>
      <c r="C7" s="67" t="inlineStr">
        <is>
          <t>S (dec)</t>
        </is>
      </c>
      <c r="D7" s="76">
        <f>B7/10000</f>
        <v/>
      </c>
      <c r="E7" s="67" t="inlineStr">
        <is>
          <t>recovery R</t>
        </is>
      </c>
      <c r="F7" s="77">
        <f>CDS_Parameters!$B$8</f>
        <v/>
      </c>
      <c r="V7" s="137" t="n"/>
    </row>
    <row r="8">
      <c r="A8" s="67" t="inlineStr">
        <is>
          <t>Q(start)</t>
        </is>
      </c>
      <c r="B8" s="76">
        <f>1</f>
        <v/>
      </c>
      <c r="C8" s="67" t="inlineStr">
        <is>
          <t>ProtFixed</t>
        </is>
      </c>
      <c r="D8" s="76">
        <f>0</f>
        <v/>
      </c>
      <c r="E8" s="67" t="inlineStr">
        <is>
          <t>RPV01Fixed</t>
        </is>
      </c>
      <c r="F8" s="76">
        <f>0</f>
        <v/>
      </c>
      <c r="V8" s="137" t="inlineStr">
        <is>
          <t>as a root:</t>
        </is>
      </c>
    </row>
    <row r="9">
      <c r="A9" s="67" t="inlineStr">
        <is>
          <t>period</t>
        </is>
      </c>
      <c r="F9" s="78" t="n">
        <v>1</v>
      </c>
      <c r="G9" s="78" t="n">
        <v>2</v>
      </c>
      <c r="H9" s="78" t="n">
        <v>3</v>
      </c>
      <c r="I9" s="78" t="n">
        <v>4</v>
      </c>
      <c r="J9" s="78" t="inlineStr"/>
      <c r="K9" s="78" t="inlineStr"/>
      <c r="L9" s="78" t="inlineStr"/>
      <c r="M9" s="78" t="inlineStr"/>
      <c r="N9" s="78" t="inlineStr"/>
      <c r="O9" s="78" t="inlineStr"/>
      <c r="P9" s="78" t="inlineStr"/>
      <c r="Q9" s="78" t="inlineStr"/>
      <c r="V9" s="138" t="inlineStr">
        <is>
          <t xml:space="preserve">  f(h) = (1-R)*ProtCum(h) - S*( RPV01Cum(h) - D0*D(T_s) )</t>
        </is>
      </c>
    </row>
    <row r="10">
      <c r="A10" s="67" t="inlineStr">
        <is>
          <t>alpha 360</t>
        </is>
      </c>
      <c r="F10" s="79">
        <f>CDS_Schedule!$D$7</f>
        <v/>
      </c>
      <c r="G10" s="79">
        <f>CDS_Schedule!$D$8</f>
        <v/>
      </c>
      <c r="H10" s="79">
        <f>CDS_Schedule!$D$9</f>
        <v/>
      </c>
      <c r="I10" s="79">
        <f>CDS_Schedule!$D$10</f>
        <v/>
      </c>
      <c r="J10" s="80" t="n">
        <v>0</v>
      </c>
      <c r="K10" s="80" t="n">
        <v>0</v>
      </c>
      <c r="L10" s="80" t="n">
        <v>0</v>
      </c>
      <c r="M10" s="80" t="n">
        <v>0</v>
      </c>
      <c r="N10" s="80" t="n">
        <v>0</v>
      </c>
      <c r="O10" s="80" t="n">
        <v>0</v>
      </c>
      <c r="P10" s="80" t="n">
        <v>0</v>
      </c>
      <c r="Q10" s="80" t="n">
        <v>0</v>
      </c>
      <c r="V10" s="138" t="inlineStr">
        <is>
          <t xml:space="preserve">  ProtCum  = ProtFixed  + SUM Z(mid)*dPD          over this segment</t>
        </is>
      </c>
    </row>
    <row r="11">
      <c r="A11" s="67" t="inlineStr">
        <is>
          <t>dt 365</t>
        </is>
      </c>
      <c r="F11" s="79">
        <f>CDS_Schedule!$E$7</f>
        <v/>
      </c>
      <c r="G11" s="79">
        <f>CDS_Schedule!$E$8</f>
        <v/>
      </c>
      <c r="H11" s="79">
        <f>CDS_Schedule!$E$9</f>
        <v/>
      </c>
      <c r="I11" s="79">
        <f>CDS_Schedule!$E$10</f>
        <v/>
      </c>
      <c r="J11" s="80" t="n">
        <v>0</v>
      </c>
      <c r="K11" s="80" t="n">
        <v>0</v>
      </c>
      <c r="L11" s="80" t="n">
        <v>0</v>
      </c>
      <c r="M11" s="80" t="n">
        <v>0</v>
      </c>
      <c r="N11" s="80" t="n">
        <v>0</v>
      </c>
      <c r="O11" s="80" t="n">
        <v>0</v>
      </c>
      <c r="P11" s="80" t="n">
        <v>0</v>
      </c>
      <c r="Q11" s="80" t="n">
        <v>0</v>
      </c>
      <c r="V11" s="138" t="inlineStr">
        <is>
          <t xml:space="preserve">  RPV01Cum = RPV01Fixed + SUM alpha*Z(end)*Q</t>
        </is>
      </c>
    </row>
    <row r="12">
      <c r="A12" s="67" t="inlineStr">
        <is>
          <t>DF(end)</t>
        </is>
      </c>
      <c r="F12" s="79">
        <f>CDS_Schedule!$G$7</f>
        <v/>
      </c>
      <c r="G12" s="79">
        <f>CDS_Schedule!$G$8</f>
        <v/>
      </c>
      <c r="H12" s="79">
        <f>CDS_Schedule!$G$9</f>
        <v/>
      </c>
      <c r="I12" s="79">
        <f>CDS_Schedule!$G$10</f>
        <v/>
      </c>
      <c r="J12" s="80" t="n">
        <v>0</v>
      </c>
      <c r="K12" s="80" t="n">
        <v>0</v>
      </c>
      <c r="L12" s="80" t="n">
        <v>0</v>
      </c>
      <c r="M12" s="80" t="n">
        <v>0</v>
      </c>
      <c r="N12" s="80" t="n">
        <v>0</v>
      </c>
      <c r="O12" s="80" t="n">
        <v>0</v>
      </c>
      <c r="P12" s="80" t="n">
        <v>0</v>
      </c>
      <c r="Q12" s="80" t="n">
        <v>0</v>
      </c>
      <c r="V12" s="138" t="inlineStr">
        <is>
          <t xml:space="preserve">                        + (1/2) SUM alpha*Z(mid)*dPD</t>
        </is>
      </c>
    </row>
    <row r="13">
      <c r="A13" s="67" t="inlineStr">
        <is>
          <t>DF(mid)</t>
        </is>
      </c>
      <c r="F13" s="79">
        <f>CDS_Schedule!$H$7</f>
        <v/>
      </c>
      <c r="G13" s="79">
        <f>CDS_Schedule!$H$8</f>
        <v/>
      </c>
      <c r="H13" s="79">
        <f>CDS_Schedule!$H$9</f>
        <v/>
      </c>
      <c r="I13" s="79">
        <f>CDS_Schedule!$H$10</f>
        <v/>
      </c>
      <c r="J13" s="80" t="n">
        <v>0</v>
      </c>
      <c r="K13" s="80" t="n">
        <v>0</v>
      </c>
      <c r="L13" s="80" t="n">
        <v>0</v>
      </c>
      <c r="M13" s="80" t="n">
        <v>0</v>
      </c>
      <c r="N13" s="80" t="n">
        <v>0</v>
      </c>
      <c r="O13" s="80" t="n">
        <v>0</v>
      </c>
      <c r="P13" s="80" t="n">
        <v>0</v>
      </c>
      <c r="Q13" s="80" t="n">
        <v>0</v>
      </c>
      <c r="V13" s="137" t="n"/>
    </row>
    <row r="14">
      <c r="A14" s="67" t="inlineStr">
        <is>
          <t>cum dt in seg</t>
        </is>
      </c>
      <c r="F14" s="80">
        <f>0+F11</f>
        <v/>
      </c>
      <c r="G14" s="80">
        <f>F14+G11</f>
        <v/>
      </c>
      <c r="H14" s="80">
        <f>G14+H11</f>
        <v/>
      </c>
      <c r="I14" s="80">
        <f>H14+I11</f>
        <v/>
      </c>
      <c r="J14" s="80">
        <f>I14+J11</f>
        <v/>
      </c>
      <c r="K14" s="80">
        <f>J14+K11</f>
        <v/>
      </c>
      <c r="L14" s="80">
        <f>K14+L11</f>
        <v/>
      </c>
      <c r="M14" s="80">
        <f>L14+M11</f>
        <v/>
      </c>
      <c r="N14" s="80">
        <f>M14+N11</f>
        <v/>
      </c>
      <c r="O14" s="80">
        <f>N14+O11</f>
        <v/>
      </c>
      <c r="P14" s="80">
        <f>O14+P11</f>
        <v/>
      </c>
      <c r="Q14" s="80">
        <f>P14+Q11</f>
        <v/>
      </c>
      <c r="V14" s="139" t="inlineStr">
        <is>
          <t>ProtFixed / RPV01Fixed carry in from the shorter tenors, already solved.</t>
        </is>
      </c>
    </row>
    <row r="15">
      <c r="A15" s="67" t="inlineStr">
        <is>
          <t>bisection</t>
        </is>
      </c>
      <c r="B15" s="62" t="inlineStr">
        <is>
          <t>lo</t>
        </is>
      </c>
      <c r="C15" s="62" t="inlineStr">
        <is>
          <t>hi</t>
        </is>
      </c>
      <c r="D15" s="62" t="inlineStr">
        <is>
          <t>lambda trial</t>
        </is>
      </c>
      <c r="E15" s="62" t="inlineStr">
        <is>
          <t>Q(start)</t>
        </is>
      </c>
      <c r="R15" s="62" t="inlineStr">
        <is>
          <t>ProtSeg</t>
        </is>
      </c>
      <c r="S15" s="62" t="inlineStr">
        <is>
          <t>RPV01Seg</t>
        </is>
      </c>
      <c r="T15" s="62" t="inlineStr">
        <is>
          <t>f(lambda)</t>
        </is>
      </c>
      <c r="V15" s="139" t="inlineStr">
        <is>
          <t>That carry IS the bootstrap: only h_k is unknown on each block.</t>
        </is>
      </c>
    </row>
    <row r="16">
      <c r="B16" s="76" t="n">
        <v>0</v>
      </c>
      <c r="C16" s="76" t="n">
        <v>3</v>
      </c>
      <c r="D16" s="76">
        <f>(B16+C16)/2</f>
        <v/>
      </c>
      <c r="E16" s="76">
        <f>$B$8</f>
        <v/>
      </c>
      <c r="F16" s="76">
        <f>$B$8*EXP(-$D16*F$14)</f>
        <v/>
      </c>
      <c r="G16" s="76">
        <f>$B$8*EXP(-$D16*G$14)</f>
        <v/>
      </c>
      <c r="H16" s="76">
        <f>$B$8*EXP(-$D16*H$14)</f>
        <v/>
      </c>
      <c r="I16" s="76">
        <f>$B$8*EXP(-$D16*I$14)</f>
        <v/>
      </c>
      <c r="J16" s="76">
        <f>I16</f>
        <v/>
      </c>
      <c r="K16" s="76">
        <f>J16</f>
        <v/>
      </c>
      <c r="L16" s="76">
        <f>K16</f>
        <v/>
      </c>
      <c r="M16" s="76">
        <f>L16</f>
        <v/>
      </c>
      <c r="N16" s="76">
        <f>M16</f>
        <v/>
      </c>
      <c r="O16" s="76">
        <f>N16</f>
        <v/>
      </c>
      <c r="P16" s="76">
        <f>O16</f>
        <v/>
      </c>
      <c r="Q16" s="76">
        <f>P16</f>
        <v/>
      </c>
      <c r="R16" s="76">
        <f>SUMPRODUCT($F$13:$Q$13,$E16:$P16-$F16:$Q16)</f>
        <v/>
      </c>
      <c r="S16" s="76">
        <f>SUMPRODUCT($F$10:$Q$10,$F$12:$Q$12,$F16:$Q16)+0.5*SUMPRODUCT($F$10:$Q$10,$F$13:$Q$13,$E16:$P16-$F16:$Q16)</f>
        <v/>
      </c>
      <c r="T16" s="76">
        <f>(1-$F$7)*($D$8+R16)-$D$7*(($F$8+S16)-CDS_Parameters!$B$26)</f>
        <v/>
      </c>
      <c r="V16" s="137" t="n"/>
    </row>
    <row r="17">
      <c r="B17" s="76">
        <f>IF(T16&lt;0,D16,B16)</f>
        <v/>
      </c>
      <c r="C17" s="76">
        <f>IF(T16&lt;0,C16,D16)</f>
        <v/>
      </c>
      <c r="D17" s="76">
        <f>(B17+C17)/2</f>
        <v/>
      </c>
      <c r="E17" s="76">
        <f>$B$8</f>
        <v/>
      </c>
      <c r="F17" s="76">
        <f>$B$8*EXP(-$D17*F$14)</f>
        <v/>
      </c>
      <c r="G17" s="76">
        <f>$B$8*EXP(-$D17*G$14)</f>
        <v/>
      </c>
      <c r="H17" s="76">
        <f>$B$8*EXP(-$D17*H$14)</f>
        <v/>
      </c>
      <c r="I17" s="76">
        <f>$B$8*EXP(-$D17*I$14)</f>
        <v/>
      </c>
      <c r="J17" s="76">
        <f>I17</f>
        <v/>
      </c>
      <c r="K17" s="76">
        <f>J17</f>
        <v/>
      </c>
      <c r="L17" s="76">
        <f>K17</f>
        <v/>
      </c>
      <c r="M17" s="76">
        <f>L17</f>
        <v/>
      </c>
      <c r="N17" s="76">
        <f>M17</f>
        <v/>
      </c>
      <c r="O17" s="76">
        <f>N17</f>
        <v/>
      </c>
      <c r="P17" s="76">
        <f>O17</f>
        <v/>
      </c>
      <c r="Q17" s="76">
        <f>P17</f>
        <v/>
      </c>
      <c r="R17" s="76">
        <f>SUMPRODUCT($F$13:$Q$13,$E17:$P17-$F17:$Q17)</f>
        <v/>
      </c>
      <c r="S17" s="76">
        <f>SUMPRODUCT($F$10:$Q$10,$F$12:$Q$12,$F17:$Q17)+0.5*SUMPRODUCT($F$10:$Q$10,$F$13:$Q$13,$E17:$P17-$F17:$Q17)</f>
        <v/>
      </c>
      <c r="T17" s="76">
        <f>(1-$F$7)*($D$8+R17)-$D$7*(($F$8+S17)-CDS_Parameters!$B$26)</f>
        <v/>
      </c>
      <c r="V17" s="138" t="inlineStr">
        <is>
          <t>survival  Q(t) = Q(t_k-1) * exp(-h_k*(t - t_k-1))          B-Model p.5</t>
        </is>
      </c>
    </row>
    <row r="18">
      <c r="B18" s="76">
        <f>IF(T17&lt;0,D17,B17)</f>
        <v/>
      </c>
      <c r="C18" s="76">
        <f>IF(T17&lt;0,C17,D17)</f>
        <v/>
      </c>
      <c r="D18" s="76">
        <f>(B18+C18)/2</f>
        <v/>
      </c>
      <c r="E18" s="76">
        <f>$B$8</f>
        <v/>
      </c>
      <c r="F18" s="76">
        <f>$B$8*EXP(-$D18*F$14)</f>
        <v/>
      </c>
      <c r="G18" s="76">
        <f>$B$8*EXP(-$D18*G$14)</f>
        <v/>
      </c>
      <c r="H18" s="76">
        <f>$B$8*EXP(-$D18*H$14)</f>
        <v/>
      </c>
      <c r="I18" s="76">
        <f>$B$8*EXP(-$D18*I$14)</f>
        <v/>
      </c>
      <c r="J18" s="76">
        <f>I18</f>
        <v/>
      </c>
      <c r="K18" s="76">
        <f>J18</f>
        <v/>
      </c>
      <c r="L18" s="76">
        <f>K18</f>
        <v/>
      </c>
      <c r="M18" s="76">
        <f>L18</f>
        <v/>
      </c>
      <c r="N18" s="76">
        <f>M18</f>
        <v/>
      </c>
      <c r="O18" s="76">
        <f>N18</f>
        <v/>
      </c>
      <c r="P18" s="76">
        <f>O18</f>
        <v/>
      </c>
      <c r="Q18" s="76">
        <f>P18</f>
        <v/>
      </c>
      <c r="R18" s="76">
        <f>SUMPRODUCT($F$13:$Q$13,$E18:$P18-$F18:$Q18)</f>
        <v/>
      </c>
      <c r="S18" s="76">
        <f>SUMPRODUCT($F$10:$Q$10,$F$12:$Q$12,$F18:$Q18)+0.5*SUMPRODUCT($F$10:$Q$10,$F$13:$Q$13,$E18:$P18-$F18:$Q18)</f>
        <v/>
      </c>
      <c r="T18" s="76">
        <f>(1-$F$7)*($D$8+R18)-$D$7*(($F$8+S18)-CDS_Parameters!$B$26)</f>
        <v/>
      </c>
      <c r="V18" s="137" t="inlineStr">
        <is>
          <t>method    1-D root search per maturity, earlier hazards held</t>
        </is>
      </c>
    </row>
    <row r="19">
      <c r="B19" s="76">
        <f>IF(T18&lt;0,D18,B18)</f>
        <v/>
      </c>
      <c r="C19" s="76">
        <f>IF(T18&lt;0,C18,D18)</f>
        <v/>
      </c>
      <c r="D19" s="76">
        <f>(B19+C19)/2</f>
        <v/>
      </c>
      <c r="E19" s="76">
        <f>$B$8</f>
        <v/>
      </c>
      <c r="F19" s="76">
        <f>$B$8*EXP(-$D19*F$14)</f>
        <v/>
      </c>
      <c r="G19" s="76">
        <f>$B$8*EXP(-$D19*G$14)</f>
        <v/>
      </c>
      <c r="H19" s="76">
        <f>$B$8*EXP(-$D19*H$14)</f>
        <v/>
      </c>
      <c r="I19" s="76">
        <f>$B$8*EXP(-$D19*I$14)</f>
        <v/>
      </c>
      <c r="J19" s="76">
        <f>I19</f>
        <v/>
      </c>
      <c r="K19" s="76">
        <f>J19</f>
        <v/>
      </c>
      <c r="L19" s="76">
        <f>K19</f>
        <v/>
      </c>
      <c r="M19" s="76">
        <f>L19</f>
        <v/>
      </c>
      <c r="N19" s="76">
        <f>M19</f>
        <v/>
      </c>
      <c r="O19" s="76">
        <f>N19</f>
        <v/>
      </c>
      <c r="P19" s="76">
        <f>O19</f>
        <v/>
      </c>
      <c r="Q19" s="76">
        <f>P19</f>
        <v/>
      </c>
      <c r="R19" s="76">
        <f>SUMPRODUCT($F$13:$Q$13,$E19:$P19-$F19:$Q19)</f>
        <v/>
      </c>
      <c r="S19" s="76">
        <f>SUMPRODUCT($F$10:$Q$10,$F$12:$Q$12,$F19:$Q19)+0.5*SUMPRODUCT($F$10:$Q$10,$F$13:$Q$13,$E19:$P19-$F19:$Q19)</f>
        <v/>
      </c>
      <c r="T19" s="76">
        <f>(1-$F$7)*($D$8+R19)-$D$7*(($F$8+S19)-CDS_Parameters!$B$26)</f>
        <v/>
      </c>
      <c r="V19" s="139" t="inlineStr">
        <is>
          <t xml:space="preserve">          B-Model S4 p.8 ; O-T S9, footnote 8 names bisection</t>
        </is>
      </c>
    </row>
    <row r="20">
      <c r="B20" s="76">
        <f>IF(T19&lt;0,D19,B19)</f>
        <v/>
      </c>
      <c r="C20" s="76">
        <f>IF(T19&lt;0,C19,D19)</f>
        <v/>
      </c>
      <c r="D20" s="76">
        <f>(B20+C20)/2</f>
        <v/>
      </c>
      <c r="E20" s="76">
        <f>$B$8</f>
        <v/>
      </c>
      <c r="F20" s="76">
        <f>$B$8*EXP(-$D20*F$14)</f>
        <v/>
      </c>
      <c r="G20" s="76">
        <f>$B$8*EXP(-$D20*G$14)</f>
        <v/>
      </c>
      <c r="H20" s="76">
        <f>$B$8*EXP(-$D20*H$14)</f>
        <v/>
      </c>
      <c r="I20" s="76">
        <f>$B$8*EXP(-$D20*I$14)</f>
        <v/>
      </c>
      <c r="J20" s="76">
        <f>I20</f>
        <v/>
      </c>
      <c r="K20" s="76">
        <f>J20</f>
        <v/>
      </c>
      <c r="L20" s="76">
        <f>K20</f>
        <v/>
      </c>
      <c r="M20" s="76">
        <f>L20</f>
        <v/>
      </c>
      <c r="N20" s="76">
        <f>M20</f>
        <v/>
      </c>
      <c r="O20" s="76">
        <f>N20</f>
        <v/>
      </c>
      <c r="P20" s="76">
        <f>O20</f>
        <v/>
      </c>
      <c r="Q20" s="76">
        <f>P20</f>
        <v/>
      </c>
      <c r="R20" s="76">
        <f>SUMPRODUCT($F$13:$Q$13,$E20:$P20-$F20:$Q20)</f>
        <v/>
      </c>
      <c r="S20" s="76">
        <f>SUMPRODUCT($F$10:$Q$10,$F$12:$Q$12,$F20:$Q20)+0.5*SUMPRODUCT($F$10:$Q$10,$F$13:$Q$13,$E20:$P20-$F20:$Q20)</f>
        <v/>
      </c>
      <c r="T20" s="76">
        <f>(1-$F$7)*($D$8+R20)-$D$7*(($F$8+S20)-CDS_Parameters!$B$26)</f>
        <v/>
      </c>
      <c r="V20" s="137" t="inlineStr">
        <is>
          <t>bracket   [0,3], 30 halvings -&gt; ~3e-9.  h &gt;= 0 is hard (p.8)</t>
        </is>
      </c>
    </row>
    <row r="21">
      <c r="B21" s="76">
        <f>IF(T20&lt;0,D20,B20)</f>
        <v/>
      </c>
      <c r="C21" s="76">
        <f>IF(T20&lt;0,C20,D20)</f>
        <v/>
      </c>
      <c r="D21" s="76">
        <f>(B21+C21)/2</f>
        <v/>
      </c>
      <c r="E21" s="76">
        <f>$B$8</f>
        <v/>
      </c>
      <c r="F21" s="76">
        <f>$B$8*EXP(-$D21*F$14)</f>
        <v/>
      </c>
      <c r="G21" s="76">
        <f>$B$8*EXP(-$D21*G$14)</f>
        <v/>
      </c>
      <c r="H21" s="76">
        <f>$B$8*EXP(-$D21*H$14)</f>
        <v/>
      </c>
      <c r="I21" s="76">
        <f>$B$8*EXP(-$D21*I$14)</f>
        <v/>
      </c>
      <c r="J21" s="76">
        <f>I21</f>
        <v/>
      </c>
      <c r="K21" s="76">
        <f>J21</f>
        <v/>
      </c>
      <c r="L21" s="76">
        <f>K21</f>
        <v/>
      </c>
      <c r="M21" s="76">
        <f>L21</f>
        <v/>
      </c>
      <c r="N21" s="76">
        <f>M21</f>
        <v/>
      </c>
      <c r="O21" s="76">
        <f>N21</f>
        <v/>
      </c>
      <c r="P21" s="76">
        <f>O21</f>
        <v/>
      </c>
      <c r="Q21" s="76">
        <f>P21</f>
        <v/>
      </c>
      <c r="R21" s="76">
        <f>SUMPRODUCT($F$13:$Q$13,$E21:$P21-$F21:$Q21)</f>
        <v/>
      </c>
      <c r="S21" s="76">
        <f>SUMPRODUCT($F$10:$Q$10,$F$12:$Q$12,$F21:$Q21)+0.5*SUMPRODUCT($F$10:$Q$10,$F$13:$Q$13,$E21:$P21-$F21:$Q21)</f>
        <v/>
      </c>
      <c r="T21" s="76">
        <f>(1-$F$7)*($D$8+R21)-$D$7*(($F$8+S21)-CDS_Parameters!$B$26)</f>
        <v/>
      </c>
    </row>
    <row r="22">
      <c r="B22" s="76">
        <f>IF(T21&lt;0,D21,B21)</f>
        <v/>
      </c>
      <c r="C22" s="76">
        <f>IF(T21&lt;0,C21,D21)</f>
        <v/>
      </c>
      <c r="D22" s="76">
        <f>(B22+C22)/2</f>
        <v/>
      </c>
      <c r="E22" s="76">
        <f>$B$8</f>
        <v/>
      </c>
      <c r="F22" s="76">
        <f>$B$8*EXP(-$D22*F$14)</f>
        <v/>
      </c>
      <c r="G22" s="76">
        <f>$B$8*EXP(-$D22*G$14)</f>
        <v/>
      </c>
      <c r="H22" s="76">
        <f>$B$8*EXP(-$D22*H$14)</f>
        <v/>
      </c>
      <c r="I22" s="76">
        <f>$B$8*EXP(-$D22*I$14)</f>
        <v/>
      </c>
      <c r="J22" s="76">
        <f>I22</f>
        <v/>
      </c>
      <c r="K22" s="76">
        <f>J22</f>
        <v/>
      </c>
      <c r="L22" s="76">
        <f>K22</f>
        <v/>
      </c>
      <c r="M22" s="76">
        <f>L22</f>
        <v/>
      </c>
      <c r="N22" s="76">
        <f>M22</f>
        <v/>
      </c>
      <c r="O22" s="76">
        <f>N22</f>
        <v/>
      </c>
      <c r="P22" s="76">
        <f>O22</f>
        <v/>
      </c>
      <c r="Q22" s="76">
        <f>P22</f>
        <v/>
      </c>
      <c r="R22" s="76">
        <f>SUMPRODUCT($F$13:$Q$13,$E22:$P22-$F22:$Q22)</f>
        <v/>
      </c>
      <c r="S22" s="76">
        <f>SUMPRODUCT($F$10:$Q$10,$F$12:$Q$12,$F22:$Q22)+0.5*SUMPRODUCT($F$10:$Q$10,$F$13:$Q$13,$E22:$P22-$F22:$Q22)</f>
        <v/>
      </c>
      <c r="T22" s="76">
        <f>(1-$F$7)*($D$8+R22)-$D$7*(($F$8+S22)-CDS_Parameters!$B$26)</f>
        <v/>
      </c>
    </row>
    <row r="23">
      <c r="B23" s="76">
        <f>IF(T22&lt;0,D22,B22)</f>
        <v/>
      </c>
      <c r="C23" s="76">
        <f>IF(T22&lt;0,C22,D22)</f>
        <v/>
      </c>
      <c r="D23" s="76">
        <f>(B23+C23)/2</f>
        <v/>
      </c>
      <c r="E23" s="76">
        <f>$B$8</f>
        <v/>
      </c>
      <c r="F23" s="76">
        <f>$B$8*EXP(-$D23*F$14)</f>
        <v/>
      </c>
      <c r="G23" s="76">
        <f>$B$8*EXP(-$D23*G$14)</f>
        <v/>
      </c>
      <c r="H23" s="76">
        <f>$B$8*EXP(-$D23*H$14)</f>
        <v/>
      </c>
      <c r="I23" s="76">
        <f>$B$8*EXP(-$D23*I$14)</f>
        <v/>
      </c>
      <c r="J23" s="76">
        <f>I23</f>
        <v/>
      </c>
      <c r="K23" s="76">
        <f>J23</f>
        <v/>
      </c>
      <c r="L23" s="76">
        <f>K23</f>
        <v/>
      </c>
      <c r="M23" s="76">
        <f>L23</f>
        <v/>
      </c>
      <c r="N23" s="76">
        <f>M23</f>
        <v/>
      </c>
      <c r="O23" s="76">
        <f>N23</f>
        <v/>
      </c>
      <c r="P23" s="76">
        <f>O23</f>
        <v/>
      </c>
      <c r="Q23" s="76">
        <f>P23</f>
        <v/>
      </c>
      <c r="R23" s="76">
        <f>SUMPRODUCT($F$13:$Q$13,$E23:$P23-$F23:$Q23)</f>
        <v/>
      </c>
      <c r="S23" s="76">
        <f>SUMPRODUCT($F$10:$Q$10,$F$12:$Q$12,$F23:$Q23)+0.5*SUMPRODUCT($F$10:$Q$10,$F$13:$Q$13,$E23:$P23-$F23:$Q23)</f>
        <v/>
      </c>
      <c r="T23" s="76">
        <f>(1-$F$7)*($D$8+R23)-$D$7*(($F$8+S23)-CDS_Parameters!$B$26)</f>
        <v/>
      </c>
    </row>
    <row r="24">
      <c r="B24" s="76">
        <f>IF(T23&lt;0,D23,B23)</f>
        <v/>
      </c>
      <c r="C24" s="76">
        <f>IF(T23&lt;0,C23,D23)</f>
        <v/>
      </c>
      <c r="D24" s="76">
        <f>(B24+C24)/2</f>
        <v/>
      </c>
      <c r="E24" s="76">
        <f>$B$8</f>
        <v/>
      </c>
      <c r="F24" s="76">
        <f>$B$8*EXP(-$D24*F$14)</f>
        <v/>
      </c>
      <c r="G24" s="76">
        <f>$B$8*EXP(-$D24*G$14)</f>
        <v/>
      </c>
      <c r="H24" s="76">
        <f>$B$8*EXP(-$D24*H$14)</f>
        <v/>
      </c>
      <c r="I24" s="76">
        <f>$B$8*EXP(-$D24*I$14)</f>
        <v/>
      </c>
      <c r="J24" s="76">
        <f>I24</f>
        <v/>
      </c>
      <c r="K24" s="76">
        <f>J24</f>
        <v/>
      </c>
      <c r="L24" s="76">
        <f>K24</f>
        <v/>
      </c>
      <c r="M24" s="76">
        <f>L24</f>
        <v/>
      </c>
      <c r="N24" s="76">
        <f>M24</f>
        <v/>
      </c>
      <c r="O24" s="76">
        <f>N24</f>
        <v/>
      </c>
      <c r="P24" s="76">
        <f>O24</f>
        <v/>
      </c>
      <c r="Q24" s="76">
        <f>P24</f>
        <v/>
      </c>
      <c r="R24" s="76">
        <f>SUMPRODUCT($F$13:$Q$13,$E24:$P24-$F24:$Q24)</f>
        <v/>
      </c>
      <c r="S24" s="76">
        <f>SUMPRODUCT($F$10:$Q$10,$F$12:$Q$12,$F24:$Q24)+0.5*SUMPRODUCT($F$10:$Q$10,$F$13:$Q$13,$E24:$P24-$F24:$Q24)</f>
        <v/>
      </c>
      <c r="T24" s="76">
        <f>(1-$F$7)*($D$8+R24)-$D$7*(($F$8+S24)-CDS_Parameters!$B$26)</f>
        <v/>
      </c>
    </row>
    <row r="25">
      <c r="B25" s="76">
        <f>IF(T24&lt;0,D24,B24)</f>
        <v/>
      </c>
      <c r="C25" s="76">
        <f>IF(T24&lt;0,C24,D24)</f>
        <v/>
      </c>
      <c r="D25" s="76">
        <f>(B25+C25)/2</f>
        <v/>
      </c>
      <c r="E25" s="76">
        <f>$B$8</f>
        <v/>
      </c>
      <c r="F25" s="76">
        <f>$B$8*EXP(-$D25*F$14)</f>
        <v/>
      </c>
      <c r="G25" s="76">
        <f>$B$8*EXP(-$D25*G$14)</f>
        <v/>
      </c>
      <c r="H25" s="76">
        <f>$B$8*EXP(-$D25*H$14)</f>
        <v/>
      </c>
      <c r="I25" s="76">
        <f>$B$8*EXP(-$D25*I$14)</f>
        <v/>
      </c>
      <c r="J25" s="76">
        <f>I25</f>
        <v/>
      </c>
      <c r="K25" s="76">
        <f>J25</f>
        <v/>
      </c>
      <c r="L25" s="76">
        <f>K25</f>
        <v/>
      </c>
      <c r="M25" s="76">
        <f>L25</f>
        <v/>
      </c>
      <c r="N25" s="76">
        <f>M25</f>
        <v/>
      </c>
      <c r="O25" s="76">
        <f>N25</f>
        <v/>
      </c>
      <c r="P25" s="76">
        <f>O25</f>
        <v/>
      </c>
      <c r="Q25" s="76">
        <f>P25</f>
        <v/>
      </c>
      <c r="R25" s="76">
        <f>SUMPRODUCT($F$13:$Q$13,$E25:$P25-$F25:$Q25)</f>
        <v/>
      </c>
      <c r="S25" s="76">
        <f>SUMPRODUCT($F$10:$Q$10,$F$12:$Q$12,$F25:$Q25)+0.5*SUMPRODUCT($F$10:$Q$10,$F$13:$Q$13,$E25:$P25-$F25:$Q25)</f>
        <v/>
      </c>
      <c r="T25" s="76">
        <f>(1-$F$7)*($D$8+R25)-$D$7*(($F$8+S25)-CDS_Parameters!$B$26)</f>
        <v/>
      </c>
    </row>
    <row r="26">
      <c r="B26" s="76">
        <f>IF(T25&lt;0,D25,B25)</f>
        <v/>
      </c>
      <c r="C26" s="76">
        <f>IF(T25&lt;0,C25,D25)</f>
        <v/>
      </c>
      <c r="D26" s="76">
        <f>(B26+C26)/2</f>
        <v/>
      </c>
      <c r="E26" s="76">
        <f>$B$8</f>
        <v/>
      </c>
      <c r="F26" s="76">
        <f>$B$8*EXP(-$D26*F$14)</f>
        <v/>
      </c>
      <c r="G26" s="76">
        <f>$B$8*EXP(-$D26*G$14)</f>
        <v/>
      </c>
      <c r="H26" s="76">
        <f>$B$8*EXP(-$D26*H$14)</f>
        <v/>
      </c>
      <c r="I26" s="76">
        <f>$B$8*EXP(-$D26*I$14)</f>
        <v/>
      </c>
      <c r="J26" s="76">
        <f>I26</f>
        <v/>
      </c>
      <c r="K26" s="76">
        <f>J26</f>
        <v/>
      </c>
      <c r="L26" s="76">
        <f>K26</f>
        <v/>
      </c>
      <c r="M26" s="76">
        <f>L26</f>
        <v/>
      </c>
      <c r="N26" s="76">
        <f>M26</f>
        <v/>
      </c>
      <c r="O26" s="76">
        <f>N26</f>
        <v/>
      </c>
      <c r="P26" s="76">
        <f>O26</f>
        <v/>
      </c>
      <c r="Q26" s="76">
        <f>P26</f>
        <v/>
      </c>
      <c r="R26" s="76">
        <f>SUMPRODUCT($F$13:$Q$13,$E26:$P26-$F26:$Q26)</f>
        <v/>
      </c>
      <c r="S26" s="76">
        <f>SUMPRODUCT($F$10:$Q$10,$F$12:$Q$12,$F26:$Q26)+0.5*SUMPRODUCT($F$10:$Q$10,$F$13:$Q$13,$E26:$P26-$F26:$Q26)</f>
        <v/>
      </c>
      <c r="T26" s="76">
        <f>(1-$F$7)*($D$8+R26)-$D$7*(($F$8+S26)-CDS_Parameters!$B$26)</f>
        <v/>
      </c>
    </row>
    <row r="27">
      <c r="B27" s="76">
        <f>IF(T26&lt;0,D26,B26)</f>
        <v/>
      </c>
      <c r="C27" s="76">
        <f>IF(T26&lt;0,C26,D26)</f>
        <v/>
      </c>
      <c r="D27" s="76">
        <f>(B27+C27)/2</f>
        <v/>
      </c>
      <c r="E27" s="76">
        <f>$B$8</f>
        <v/>
      </c>
      <c r="F27" s="76">
        <f>$B$8*EXP(-$D27*F$14)</f>
        <v/>
      </c>
      <c r="G27" s="76">
        <f>$B$8*EXP(-$D27*G$14)</f>
        <v/>
      </c>
      <c r="H27" s="76">
        <f>$B$8*EXP(-$D27*H$14)</f>
        <v/>
      </c>
      <c r="I27" s="76">
        <f>$B$8*EXP(-$D27*I$14)</f>
        <v/>
      </c>
      <c r="J27" s="76">
        <f>I27</f>
        <v/>
      </c>
      <c r="K27" s="76">
        <f>J27</f>
        <v/>
      </c>
      <c r="L27" s="76">
        <f>K27</f>
        <v/>
      </c>
      <c r="M27" s="76">
        <f>L27</f>
        <v/>
      </c>
      <c r="N27" s="76">
        <f>M27</f>
        <v/>
      </c>
      <c r="O27" s="76">
        <f>N27</f>
        <v/>
      </c>
      <c r="P27" s="76">
        <f>O27</f>
        <v/>
      </c>
      <c r="Q27" s="76">
        <f>P27</f>
        <v/>
      </c>
      <c r="R27" s="76">
        <f>SUMPRODUCT($F$13:$Q$13,$E27:$P27-$F27:$Q27)</f>
        <v/>
      </c>
      <c r="S27" s="76">
        <f>SUMPRODUCT($F$10:$Q$10,$F$12:$Q$12,$F27:$Q27)+0.5*SUMPRODUCT($F$10:$Q$10,$F$13:$Q$13,$E27:$P27-$F27:$Q27)</f>
        <v/>
      </c>
      <c r="T27" s="76">
        <f>(1-$F$7)*($D$8+R27)-$D$7*(($F$8+S27)-CDS_Parameters!$B$26)</f>
        <v/>
      </c>
    </row>
    <row r="28">
      <c r="B28" s="76">
        <f>IF(T27&lt;0,D27,B27)</f>
        <v/>
      </c>
      <c r="C28" s="76">
        <f>IF(T27&lt;0,C27,D27)</f>
        <v/>
      </c>
      <c r="D28" s="76">
        <f>(B28+C28)/2</f>
        <v/>
      </c>
      <c r="E28" s="76">
        <f>$B$8</f>
        <v/>
      </c>
      <c r="F28" s="76">
        <f>$B$8*EXP(-$D28*F$14)</f>
        <v/>
      </c>
      <c r="G28" s="76">
        <f>$B$8*EXP(-$D28*G$14)</f>
        <v/>
      </c>
      <c r="H28" s="76">
        <f>$B$8*EXP(-$D28*H$14)</f>
        <v/>
      </c>
      <c r="I28" s="76">
        <f>$B$8*EXP(-$D28*I$14)</f>
        <v/>
      </c>
      <c r="J28" s="76">
        <f>I28</f>
        <v/>
      </c>
      <c r="K28" s="76">
        <f>J28</f>
        <v/>
      </c>
      <c r="L28" s="76">
        <f>K28</f>
        <v/>
      </c>
      <c r="M28" s="76">
        <f>L28</f>
        <v/>
      </c>
      <c r="N28" s="76">
        <f>M28</f>
        <v/>
      </c>
      <c r="O28" s="76">
        <f>N28</f>
        <v/>
      </c>
      <c r="P28" s="76">
        <f>O28</f>
        <v/>
      </c>
      <c r="Q28" s="76">
        <f>P28</f>
        <v/>
      </c>
      <c r="R28" s="76">
        <f>SUMPRODUCT($F$13:$Q$13,$E28:$P28-$F28:$Q28)</f>
        <v/>
      </c>
      <c r="S28" s="76">
        <f>SUMPRODUCT($F$10:$Q$10,$F$12:$Q$12,$F28:$Q28)+0.5*SUMPRODUCT($F$10:$Q$10,$F$13:$Q$13,$E28:$P28-$F28:$Q28)</f>
        <v/>
      </c>
      <c r="T28" s="76">
        <f>(1-$F$7)*($D$8+R28)-$D$7*(($F$8+S28)-CDS_Parameters!$B$26)</f>
        <v/>
      </c>
    </row>
    <row r="29">
      <c r="B29" s="76">
        <f>IF(T28&lt;0,D28,B28)</f>
        <v/>
      </c>
      <c r="C29" s="76">
        <f>IF(T28&lt;0,C28,D28)</f>
        <v/>
      </c>
      <c r="D29" s="76">
        <f>(B29+C29)/2</f>
        <v/>
      </c>
      <c r="E29" s="76">
        <f>$B$8</f>
        <v/>
      </c>
      <c r="F29" s="76">
        <f>$B$8*EXP(-$D29*F$14)</f>
        <v/>
      </c>
      <c r="G29" s="76">
        <f>$B$8*EXP(-$D29*G$14)</f>
        <v/>
      </c>
      <c r="H29" s="76">
        <f>$B$8*EXP(-$D29*H$14)</f>
        <v/>
      </c>
      <c r="I29" s="76">
        <f>$B$8*EXP(-$D29*I$14)</f>
        <v/>
      </c>
      <c r="J29" s="76">
        <f>I29</f>
        <v/>
      </c>
      <c r="K29" s="76">
        <f>J29</f>
        <v/>
      </c>
      <c r="L29" s="76">
        <f>K29</f>
        <v/>
      </c>
      <c r="M29" s="76">
        <f>L29</f>
        <v/>
      </c>
      <c r="N29" s="76">
        <f>M29</f>
        <v/>
      </c>
      <c r="O29" s="76">
        <f>N29</f>
        <v/>
      </c>
      <c r="P29" s="76">
        <f>O29</f>
        <v/>
      </c>
      <c r="Q29" s="76">
        <f>P29</f>
        <v/>
      </c>
      <c r="R29" s="76">
        <f>SUMPRODUCT($F$13:$Q$13,$E29:$P29-$F29:$Q29)</f>
        <v/>
      </c>
      <c r="S29" s="76">
        <f>SUMPRODUCT($F$10:$Q$10,$F$12:$Q$12,$F29:$Q29)+0.5*SUMPRODUCT($F$10:$Q$10,$F$13:$Q$13,$E29:$P29-$F29:$Q29)</f>
        <v/>
      </c>
      <c r="T29" s="76">
        <f>(1-$F$7)*($D$8+R29)-$D$7*(($F$8+S29)-CDS_Parameters!$B$26)</f>
        <v/>
      </c>
    </row>
    <row r="30">
      <c r="B30" s="76">
        <f>IF(T29&lt;0,D29,B29)</f>
        <v/>
      </c>
      <c r="C30" s="76">
        <f>IF(T29&lt;0,C29,D29)</f>
        <v/>
      </c>
      <c r="D30" s="76">
        <f>(B30+C30)/2</f>
        <v/>
      </c>
      <c r="E30" s="76">
        <f>$B$8</f>
        <v/>
      </c>
      <c r="F30" s="76">
        <f>$B$8*EXP(-$D30*F$14)</f>
        <v/>
      </c>
      <c r="G30" s="76">
        <f>$B$8*EXP(-$D30*G$14)</f>
        <v/>
      </c>
      <c r="H30" s="76">
        <f>$B$8*EXP(-$D30*H$14)</f>
        <v/>
      </c>
      <c r="I30" s="76">
        <f>$B$8*EXP(-$D30*I$14)</f>
        <v/>
      </c>
      <c r="J30" s="76">
        <f>I30</f>
        <v/>
      </c>
      <c r="K30" s="76">
        <f>J30</f>
        <v/>
      </c>
      <c r="L30" s="76">
        <f>K30</f>
        <v/>
      </c>
      <c r="M30" s="76">
        <f>L30</f>
        <v/>
      </c>
      <c r="N30" s="76">
        <f>M30</f>
        <v/>
      </c>
      <c r="O30" s="76">
        <f>N30</f>
        <v/>
      </c>
      <c r="P30" s="76">
        <f>O30</f>
        <v/>
      </c>
      <c r="Q30" s="76">
        <f>P30</f>
        <v/>
      </c>
      <c r="R30" s="76">
        <f>SUMPRODUCT($F$13:$Q$13,$E30:$P30-$F30:$Q30)</f>
        <v/>
      </c>
      <c r="S30" s="76">
        <f>SUMPRODUCT($F$10:$Q$10,$F$12:$Q$12,$F30:$Q30)+0.5*SUMPRODUCT($F$10:$Q$10,$F$13:$Q$13,$E30:$P30-$F30:$Q30)</f>
        <v/>
      </c>
      <c r="T30" s="76">
        <f>(1-$F$7)*($D$8+R30)-$D$7*(($F$8+S30)-CDS_Parameters!$B$26)</f>
        <v/>
      </c>
    </row>
    <row r="31">
      <c r="B31" s="76">
        <f>IF(T30&lt;0,D30,B30)</f>
        <v/>
      </c>
      <c r="C31" s="76">
        <f>IF(T30&lt;0,C30,D30)</f>
        <v/>
      </c>
      <c r="D31" s="76">
        <f>(B31+C31)/2</f>
        <v/>
      </c>
      <c r="E31" s="76">
        <f>$B$8</f>
        <v/>
      </c>
      <c r="F31" s="76">
        <f>$B$8*EXP(-$D31*F$14)</f>
        <v/>
      </c>
      <c r="G31" s="76">
        <f>$B$8*EXP(-$D31*G$14)</f>
        <v/>
      </c>
      <c r="H31" s="76">
        <f>$B$8*EXP(-$D31*H$14)</f>
        <v/>
      </c>
      <c r="I31" s="76">
        <f>$B$8*EXP(-$D31*I$14)</f>
        <v/>
      </c>
      <c r="J31" s="76">
        <f>I31</f>
        <v/>
      </c>
      <c r="K31" s="76">
        <f>J31</f>
        <v/>
      </c>
      <c r="L31" s="76">
        <f>K31</f>
        <v/>
      </c>
      <c r="M31" s="76">
        <f>L31</f>
        <v/>
      </c>
      <c r="N31" s="76">
        <f>M31</f>
        <v/>
      </c>
      <c r="O31" s="76">
        <f>N31</f>
        <v/>
      </c>
      <c r="P31" s="76">
        <f>O31</f>
        <v/>
      </c>
      <c r="Q31" s="76">
        <f>P31</f>
        <v/>
      </c>
      <c r="R31" s="76">
        <f>SUMPRODUCT($F$13:$Q$13,$E31:$P31-$F31:$Q31)</f>
        <v/>
      </c>
      <c r="S31" s="76">
        <f>SUMPRODUCT($F$10:$Q$10,$F$12:$Q$12,$F31:$Q31)+0.5*SUMPRODUCT($F$10:$Q$10,$F$13:$Q$13,$E31:$P31-$F31:$Q31)</f>
        <v/>
      </c>
      <c r="T31" s="76">
        <f>(1-$F$7)*($D$8+R31)-$D$7*(($F$8+S31)-CDS_Parameters!$B$26)</f>
        <v/>
      </c>
    </row>
    <row r="32">
      <c r="B32" s="76">
        <f>IF(T31&lt;0,D31,B31)</f>
        <v/>
      </c>
      <c r="C32" s="76">
        <f>IF(T31&lt;0,C31,D31)</f>
        <v/>
      </c>
      <c r="D32" s="76">
        <f>(B32+C32)/2</f>
        <v/>
      </c>
      <c r="E32" s="76">
        <f>$B$8</f>
        <v/>
      </c>
      <c r="F32" s="76">
        <f>$B$8*EXP(-$D32*F$14)</f>
        <v/>
      </c>
      <c r="G32" s="76">
        <f>$B$8*EXP(-$D32*G$14)</f>
        <v/>
      </c>
      <c r="H32" s="76">
        <f>$B$8*EXP(-$D32*H$14)</f>
        <v/>
      </c>
      <c r="I32" s="76">
        <f>$B$8*EXP(-$D32*I$14)</f>
        <v/>
      </c>
      <c r="J32" s="76">
        <f>I32</f>
        <v/>
      </c>
      <c r="K32" s="76">
        <f>J32</f>
        <v/>
      </c>
      <c r="L32" s="76">
        <f>K32</f>
        <v/>
      </c>
      <c r="M32" s="76">
        <f>L32</f>
        <v/>
      </c>
      <c r="N32" s="76">
        <f>M32</f>
        <v/>
      </c>
      <c r="O32" s="76">
        <f>N32</f>
        <v/>
      </c>
      <c r="P32" s="76">
        <f>O32</f>
        <v/>
      </c>
      <c r="Q32" s="76">
        <f>P32</f>
        <v/>
      </c>
      <c r="R32" s="76">
        <f>SUMPRODUCT($F$13:$Q$13,$E32:$P32-$F32:$Q32)</f>
        <v/>
      </c>
      <c r="S32" s="76">
        <f>SUMPRODUCT($F$10:$Q$10,$F$12:$Q$12,$F32:$Q32)+0.5*SUMPRODUCT($F$10:$Q$10,$F$13:$Q$13,$E32:$P32-$F32:$Q32)</f>
        <v/>
      </c>
      <c r="T32" s="76">
        <f>(1-$F$7)*($D$8+R32)-$D$7*(($F$8+S32)-CDS_Parameters!$B$26)</f>
        <v/>
      </c>
    </row>
    <row r="33">
      <c r="B33" s="76">
        <f>IF(T32&lt;0,D32,B32)</f>
        <v/>
      </c>
      <c r="C33" s="76">
        <f>IF(T32&lt;0,C32,D32)</f>
        <v/>
      </c>
      <c r="D33" s="76">
        <f>(B33+C33)/2</f>
        <v/>
      </c>
      <c r="E33" s="76">
        <f>$B$8</f>
        <v/>
      </c>
      <c r="F33" s="76">
        <f>$B$8*EXP(-$D33*F$14)</f>
        <v/>
      </c>
      <c r="G33" s="76">
        <f>$B$8*EXP(-$D33*G$14)</f>
        <v/>
      </c>
      <c r="H33" s="76">
        <f>$B$8*EXP(-$D33*H$14)</f>
        <v/>
      </c>
      <c r="I33" s="76">
        <f>$B$8*EXP(-$D33*I$14)</f>
        <v/>
      </c>
      <c r="J33" s="76">
        <f>I33</f>
        <v/>
      </c>
      <c r="K33" s="76">
        <f>J33</f>
        <v/>
      </c>
      <c r="L33" s="76">
        <f>K33</f>
        <v/>
      </c>
      <c r="M33" s="76">
        <f>L33</f>
        <v/>
      </c>
      <c r="N33" s="76">
        <f>M33</f>
        <v/>
      </c>
      <c r="O33" s="76">
        <f>N33</f>
        <v/>
      </c>
      <c r="P33" s="76">
        <f>O33</f>
        <v/>
      </c>
      <c r="Q33" s="76">
        <f>P33</f>
        <v/>
      </c>
      <c r="R33" s="76">
        <f>SUMPRODUCT($F$13:$Q$13,$E33:$P33-$F33:$Q33)</f>
        <v/>
      </c>
      <c r="S33" s="76">
        <f>SUMPRODUCT($F$10:$Q$10,$F$12:$Q$12,$F33:$Q33)+0.5*SUMPRODUCT($F$10:$Q$10,$F$13:$Q$13,$E33:$P33-$F33:$Q33)</f>
        <v/>
      </c>
      <c r="T33" s="76">
        <f>(1-$F$7)*($D$8+R33)-$D$7*(($F$8+S33)-CDS_Parameters!$B$26)</f>
        <v/>
      </c>
    </row>
    <row r="34">
      <c r="B34" s="76">
        <f>IF(T33&lt;0,D33,B33)</f>
        <v/>
      </c>
      <c r="C34" s="76">
        <f>IF(T33&lt;0,C33,D33)</f>
        <v/>
      </c>
      <c r="D34" s="76">
        <f>(B34+C34)/2</f>
        <v/>
      </c>
      <c r="E34" s="76">
        <f>$B$8</f>
        <v/>
      </c>
      <c r="F34" s="76">
        <f>$B$8*EXP(-$D34*F$14)</f>
        <v/>
      </c>
      <c r="G34" s="76">
        <f>$B$8*EXP(-$D34*G$14)</f>
        <v/>
      </c>
      <c r="H34" s="76">
        <f>$B$8*EXP(-$D34*H$14)</f>
        <v/>
      </c>
      <c r="I34" s="76">
        <f>$B$8*EXP(-$D34*I$14)</f>
        <v/>
      </c>
      <c r="J34" s="76">
        <f>I34</f>
        <v/>
      </c>
      <c r="K34" s="76">
        <f>J34</f>
        <v/>
      </c>
      <c r="L34" s="76">
        <f>K34</f>
        <v/>
      </c>
      <c r="M34" s="76">
        <f>L34</f>
        <v/>
      </c>
      <c r="N34" s="76">
        <f>M34</f>
        <v/>
      </c>
      <c r="O34" s="76">
        <f>N34</f>
        <v/>
      </c>
      <c r="P34" s="76">
        <f>O34</f>
        <v/>
      </c>
      <c r="Q34" s="76">
        <f>P34</f>
        <v/>
      </c>
      <c r="R34" s="76">
        <f>SUMPRODUCT($F$13:$Q$13,$E34:$P34-$F34:$Q34)</f>
        <v/>
      </c>
      <c r="S34" s="76">
        <f>SUMPRODUCT($F$10:$Q$10,$F$12:$Q$12,$F34:$Q34)+0.5*SUMPRODUCT($F$10:$Q$10,$F$13:$Q$13,$E34:$P34-$F34:$Q34)</f>
        <v/>
      </c>
      <c r="T34" s="76">
        <f>(1-$F$7)*($D$8+R34)-$D$7*(($F$8+S34)-CDS_Parameters!$B$26)</f>
        <v/>
      </c>
    </row>
    <row r="35">
      <c r="B35" s="76">
        <f>IF(T34&lt;0,D34,B34)</f>
        <v/>
      </c>
      <c r="C35" s="76">
        <f>IF(T34&lt;0,C34,D34)</f>
        <v/>
      </c>
      <c r="D35" s="76">
        <f>(B35+C35)/2</f>
        <v/>
      </c>
      <c r="E35" s="76">
        <f>$B$8</f>
        <v/>
      </c>
      <c r="F35" s="76">
        <f>$B$8*EXP(-$D35*F$14)</f>
        <v/>
      </c>
      <c r="G35" s="76">
        <f>$B$8*EXP(-$D35*G$14)</f>
        <v/>
      </c>
      <c r="H35" s="76">
        <f>$B$8*EXP(-$D35*H$14)</f>
        <v/>
      </c>
      <c r="I35" s="76">
        <f>$B$8*EXP(-$D35*I$14)</f>
        <v/>
      </c>
      <c r="J35" s="76">
        <f>I35</f>
        <v/>
      </c>
      <c r="K35" s="76">
        <f>J35</f>
        <v/>
      </c>
      <c r="L35" s="76">
        <f>K35</f>
        <v/>
      </c>
      <c r="M35" s="76">
        <f>L35</f>
        <v/>
      </c>
      <c r="N35" s="76">
        <f>M35</f>
        <v/>
      </c>
      <c r="O35" s="76">
        <f>N35</f>
        <v/>
      </c>
      <c r="P35" s="76">
        <f>O35</f>
        <v/>
      </c>
      <c r="Q35" s="76">
        <f>P35</f>
        <v/>
      </c>
      <c r="R35" s="76">
        <f>SUMPRODUCT($F$13:$Q$13,$E35:$P35-$F35:$Q35)</f>
        <v/>
      </c>
      <c r="S35" s="76">
        <f>SUMPRODUCT($F$10:$Q$10,$F$12:$Q$12,$F35:$Q35)+0.5*SUMPRODUCT($F$10:$Q$10,$F$13:$Q$13,$E35:$P35-$F35:$Q35)</f>
        <v/>
      </c>
      <c r="T35" s="76">
        <f>(1-$F$7)*($D$8+R35)-$D$7*(($F$8+S35)-CDS_Parameters!$B$26)</f>
        <v/>
      </c>
    </row>
    <row r="36">
      <c r="B36" s="76">
        <f>IF(T35&lt;0,D35,B35)</f>
        <v/>
      </c>
      <c r="C36" s="76">
        <f>IF(T35&lt;0,C35,D35)</f>
        <v/>
      </c>
      <c r="D36" s="76">
        <f>(B36+C36)/2</f>
        <v/>
      </c>
      <c r="E36" s="76">
        <f>$B$8</f>
        <v/>
      </c>
      <c r="F36" s="76">
        <f>$B$8*EXP(-$D36*F$14)</f>
        <v/>
      </c>
      <c r="G36" s="76">
        <f>$B$8*EXP(-$D36*G$14)</f>
        <v/>
      </c>
      <c r="H36" s="76">
        <f>$B$8*EXP(-$D36*H$14)</f>
        <v/>
      </c>
      <c r="I36" s="76">
        <f>$B$8*EXP(-$D36*I$14)</f>
        <v/>
      </c>
      <c r="J36" s="76">
        <f>I36</f>
        <v/>
      </c>
      <c r="K36" s="76">
        <f>J36</f>
        <v/>
      </c>
      <c r="L36" s="76">
        <f>K36</f>
        <v/>
      </c>
      <c r="M36" s="76">
        <f>L36</f>
        <v/>
      </c>
      <c r="N36" s="76">
        <f>M36</f>
        <v/>
      </c>
      <c r="O36" s="76">
        <f>N36</f>
        <v/>
      </c>
      <c r="P36" s="76">
        <f>O36</f>
        <v/>
      </c>
      <c r="Q36" s="76">
        <f>P36</f>
        <v/>
      </c>
      <c r="R36" s="76">
        <f>SUMPRODUCT($F$13:$Q$13,$E36:$P36-$F36:$Q36)</f>
        <v/>
      </c>
      <c r="S36" s="76">
        <f>SUMPRODUCT($F$10:$Q$10,$F$12:$Q$12,$F36:$Q36)+0.5*SUMPRODUCT($F$10:$Q$10,$F$13:$Q$13,$E36:$P36-$F36:$Q36)</f>
        <v/>
      </c>
      <c r="T36" s="76">
        <f>(1-$F$7)*($D$8+R36)-$D$7*(($F$8+S36)-CDS_Parameters!$B$26)</f>
        <v/>
      </c>
    </row>
    <row r="37">
      <c r="B37" s="76">
        <f>IF(T36&lt;0,D36,B36)</f>
        <v/>
      </c>
      <c r="C37" s="76">
        <f>IF(T36&lt;0,C36,D36)</f>
        <v/>
      </c>
      <c r="D37" s="76">
        <f>(B37+C37)/2</f>
        <v/>
      </c>
      <c r="E37" s="76">
        <f>$B$8</f>
        <v/>
      </c>
      <c r="F37" s="76">
        <f>$B$8*EXP(-$D37*F$14)</f>
        <v/>
      </c>
      <c r="G37" s="76">
        <f>$B$8*EXP(-$D37*G$14)</f>
        <v/>
      </c>
      <c r="H37" s="76">
        <f>$B$8*EXP(-$D37*H$14)</f>
        <v/>
      </c>
      <c r="I37" s="76">
        <f>$B$8*EXP(-$D37*I$14)</f>
        <v/>
      </c>
      <c r="J37" s="76">
        <f>I37</f>
        <v/>
      </c>
      <c r="K37" s="76">
        <f>J37</f>
        <v/>
      </c>
      <c r="L37" s="76">
        <f>K37</f>
        <v/>
      </c>
      <c r="M37" s="76">
        <f>L37</f>
        <v/>
      </c>
      <c r="N37" s="76">
        <f>M37</f>
        <v/>
      </c>
      <c r="O37" s="76">
        <f>N37</f>
        <v/>
      </c>
      <c r="P37" s="76">
        <f>O37</f>
        <v/>
      </c>
      <c r="Q37" s="76">
        <f>P37</f>
        <v/>
      </c>
      <c r="R37" s="76">
        <f>SUMPRODUCT($F$13:$Q$13,$E37:$P37-$F37:$Q37)</f>
        <v/>
      </c>
      <c r="S37" s="76">
        <f>SUMPRODUCT($F$10:$Q$10,$F$12:$Q$12,$F37:$Q37)+0.5*SUMPRODUCT($F$10:$Q$10,$F$13:$Q$13,$E37:$P37-$F37:$Q37)</f>
        <v/>
      </c>
      <c r="T37" s="76">
        <f>(1-$F$7)*($D$8+R37)-$D$7*(($F$8+S37)-CDS_Parameters!$B$26)</f>
        <v/>
      </c>
    </row>
    <row r="38">
      <c r="B38" s="76">
        <f>IF(T37&lt;0,D37,B37)</f>
        <v/>
      </c>
      <c r="C38" s="76">
        <f>IF(T37&lt;0,C37,D37)</f>
        <v/>
      </c>
      <c r="D38" s="76">
        <f>(B38+C38)/2</f>
        <v/>
      </c>
      <c r="E38" s="76">
        <f>$B$8</f>
        <v/>
      </c>
      <c r="F38" s="76">
        <f>$B$8*EXP(-$D38*F$14)</f>
        <v/>
      </c>
      <c r="G38" s="76">
        <f>$B$8*EXP(-$D38*G$14)</f>
        <v/>
      </c>
      <c r="H38" s="76">
        <f>$B$8*EXP(-$D38*H$14)</f>
        <v/>
      </c>
      <c r="I38" s="76">
        <f>$B$8*EXP(-$D38*I$14)</f>
        <v/>
      </c>
      <c r="J38" s="76">
        <f>I38</f>
        <v/>
      </c>
      <c r="K38" s="76">
        <f>J38</f>
        <v/>
      </c>
      <c r="L38" s="76">
        <f>K38</f>
        <v/>
      </c>
      <c r="M38" s="76">
        <f>L38</f>
        <v/>
      </c>
      <c r="N38" s="76">
        <f>M38</f>
        <v/>
      </c>
      <c r="O38" s="76">
        <f>N38</f>
        <v/>
      </c>
      <c r="P38" s="76">
        <f>O38</f>
        <v/>
      </c>
      <c r="Q38" s="76">
        <f>P38</f>
        <v/>
      </c>
      <c r="R38" s="76">
        <f>SUMPRODUCT($F$13:$Q$13,$E38:$P38-$F38:$Q38)</f>
        <v/>
      </c>
      <c r="S38" s="76">
        <f>SUMPRODUCT($F$10:$Q$10,$F$12:$Q$12,$F38:$Q38)+0.5*SUMPRODUCT($F$10:$Q$10,$F$13:$Q$13,$E38:$P38-$F38:$Q38)</f>
        <v/>
      </c>
      <c r="T38" s="76">
        <f>(1-$F$7)*($D$8+R38)-$D$7*(($F$8+S38)-CDS_Parameters!$B$26)</f>
        <v/>
      </c>
    </row>
    <row r="39">
      <c r="B39" s="76">
        <f>IF(T38&lt;0,D38,B38)</f>
        <v/>
      </c>
      <c r="C39" s="76">
        <f>IF(T38&lt;0,C38,D38)</f>
        <v/>
      </c>
      <c r="D39" s="76">
        <f>(B39+C39)/2</f>
        <v/>
      </c>
      <c r="E39" s="76">
        <f>$B$8</f>
        <v/>
      </c>
      <c r="F39" s="76">
        <f>$B$8*EXP(-$D39*F$14)</f>
        <v/>
      </c>
      <c r="G39" s="76">
        <f>$B$8*EXP(-$D39*G$14)</f>
        <v/>
      </c>
      <c r="H39" s="76">
        <f>$B$8*EXP(-$D39*H$14)</f>
        <v/>
      </c>
      <c r="I39" s="76">
        <f>$B$8*EXP(-$D39*I$14)</f>
        <v/>
      </c>
      <c r="J39" s="76">
        <f>I39</f>
        <v/>
      </c>
      <c r="K39" s="76">
        <f>J39</f>
        <v/>
      </c>
      <c r="L39" s="76">
        <f>K39</f>
        <v/>
      </c>
      <c r="M39" s="76">
        <f>L39</f>
        <v/>
      </c>
      <c r="N39" s="76">
        <f>M39</f>
        <v/>
      </c>
      <c r="O39" s="76">
        <f>N39</f>
        <v/>
      </c>
      <c r="P39" s="76">
        <f>O39</f>
        <v/>
      </c>
      <c r="Q39" s="76">
        <f>P39</f>
        <v/>
      </c>
      <c r="R39" s="76">
        <f>SUMPRODUCT($F$13:$Q$13,$E39:$P39-$F39:$Q39)</f>
        <v/>
      </c>
      <c r="S39" s="76">
        <f>SUMPRODUCT($F$10:$Q$10,$F$12:$Q$12,$F39:$Q39)+0.5*SUMPRODUCT($F$10:$Q$10,$F$13:$Q$13,$E39:$P39-$F39:$Q39)</f>
        <v/>
      </c>
      <c r="T39" s="76">
        <f>(1-$F$7)*($D$8+R39)-$D$7*(($F$8+S39)-CDS_Parameters!$B$26)</f>
        <v/>
      </c>
    </row>
    <row r="40">
      <c r="B40" s="76">
        <f>IF(T39&lt;0,D39,B39)</f>
        <v/>
      </c>
      <c r="C40" s="76">
        <f>IF(T39&lt;0,C39,D39)</f>
        <v/>
      </c>
      <c r="D40" s="76">
        <f>(B40+C40)/2</f>
        <v/>
      </c>
      <c r="E40" s="76">
        <f>$B$8</f>
        <v/>
      </c>
      <c r="F40" s="76">
        <f>$B$8*EXP(-$D40*F$14)</f>
        <v/>
      </c>
      <c r="G40" s="76">
        <f>$B$8*EXP(-$D40*G$14)</f>
        <v/>
      </c>
      <c r="H40" s="76">
        <f>$B$8*EXP(-$D40*H$14)</f>
        <v/>
      </c>
      <c r="I40" s="76">
        <f>$B$8*EXP(-$D40*I$14)</f>
        <v/>
      </c>
      <c r="J40" s="76">
        <f>I40</f>
        <v/>
      </c>
      <c r="K40" s="76">
        <f>J40</f>
        <v/>
      </c>
      <c r="L40" s="76">
        <f>K40</f>
        <v/>
      </c>
      <c r="M40" s="76">
        <f>L40</f>
        <v/>
      </c>
      <c r="N40" s="76">
        <f>M40</f>
        <v/>
      </c>
      <c r="O40" s="76">
        <f>N40</f>
        <v/>
      </c>
      <c r="P40" s="76">
        <f>O40</f>
        <v/>
      </c>
      <c r="Q40" s="76">
        <f>P40</f>
        <v/>
      </c>
      <c r="R40" s="76">
        <f>SUMPRODUCT($F$13:$Q$13,$E40:$P40-$F40:$Q40)</f>
        <v/>
      </c>
      <c r="S40" s="76">
        <f>SUMPRODUCT($F$10:$Q$10,$F$12:$Q$12,$F40:$Q40)+0.5*SUMPRODUCT($F$10:$Q$10,$F$13:$Q$13,$E40:$P40-$F40:$Q40)</f>
        <v/>
      </c>
      <c r="T40" s="76">
        <f>(1-$F$7)*($D$8+R40)-$D$7*(($F$8+S40)-CDS_Parameters!$B$26)</f>
        <v/>
      </c>
    </row>
    <row r="41">
      <c r="B41" s="76">
        <f>IF(T40&lt;0,D40,B40)</f>
        <v/>
      </c>
      <c r="C41" s="76">
        <f>IF(T40&lt;0,C40,D40)</f>
        <v/>
      </c>
      <c r="D41" s="76">
        <f>(B41+C41)/2</f>
        <v/>
      </c>
      <c r="E41" s="76">
        <f>$B$8</f>
        <v/>
      </c>
      <c r="F41" s="76">
        <f>$B$8*EXP(-$D41*F$14)</f>
        <v/>
      </c>
      <c r="G41" s="76">
        <f>$B$8*EXP(-$D41*G$14)</f>
        <v/>
      </c>
      <c r="H41" s="76">
        <f>$B$8*EXP(-$D41*H$14)</f>
        <v/>
      </c>
      <c r="I41" s="76">
        <f>$B$8*EXP(-$D41*I$14)</f>
        <v/>
      </c>
      <c r="J41" s="76">
        <f>I41</f>
        <v/>
      </c>
      <c r="K41" s="76">
        <f>J41</f>
        <v/>
      </c>
      <c r="L41" s="76">
        <f>K41</f>
        <v/>
      </c>
      <c r="M41" s="76">
        <f>L41</f>
        <v/>
      </c>
      <c r="N41" s="76">
        <f>M41</f>
        <v/>
      </c>
      <c r="O41" s="76">
        <f>N41</f>
        <v/>
      </c>
      <c r="P41" s="76">
        <f>O41</f>
        <v/>
      </c>
      <c r="Q41" s="76">
        <f>P41</f>
        <v/>
      </c>
      <c r="R41" s="76">
        <f>SUMPRODUCT($F$13:$Q$13,$E41:$P41-$F41:$Q41)</f>
        <v/>
      </c>
      <c r="S41" s="76">
        <f>SUMPRODUCT($F$10:$Q$10,$F$12:$Q$12,$F41:$Q41)+0.5*SUMPRODUCT($F$10:$Q$10,$F$13:$Q$13,$E41:$P41-$F41:$Q41)</f>
        <v/>
      </c>
      <c r="T41" s="76">
        <f>(1-$F$7)*($D$8+R41)-$D$7*(($F$8+S41)-CDS_Parameters!$B$26)</f>
        <v/>
      </c>
    </row>
    <row r="42">
      <c r="B42" s="76">
        <f>IF(T41&lt;0,D41,B41)</f>
        <v/>
      </c>
      <c r="C42" s="76">
        <f>IF(T41&lt;0,C41,D41)</f>
        <v/>
      </c>
      <c r="D42" s="76">
        <f>(B42+C42)/2</f>
        <v/>
      </c>
      <c r="E42" s="76">
        <f>$B$8</f>
        <v/>
      </c>
      <c r="F42" s="76">
        <f>$B$8*EXP(-$D42*F$14)</f>
        <v/>
      </c>
      <c r="G42" s="76">
        <f>$B$8*EXP(-$D42*G$14)</f>
        <v/>
      </c>
      <c r="H42" s="76">
        <f>$B$8*EXP(-$D42*H$14)</f>
        <v/>
      </c>
      <c r="I42" s="76">
        <f>$B$8*EXP(-$D42*I$14)</f>
        <v/>
      </c>
      <c r="J42" s="76">
        <f>I42</f>
        <v/>
      </c>
      <c r="K42" s="76">
        <f>J42</f>
        <v/>
      </c>
      <c r="L42" s="76">
        <f>K42</f>
        <v/>
      </c>
      <c r="M42" s="76">
        <f>L42</f>
        <v/>
      </c>
      <c r="N42" s="76">
        <f>M42</f>
        <v/>
      </c>
      <c r="O42" s="76">
        <f>N42</f>
        <v/>
      </c>
      <c r="P42" s="76">
        <f>O42</f>
        <v/>
      </c>
      <c r="Q42" s="76">
        <f>P42</f>
        <v/>
      </c>
      <c r="R42" s="76">
        <f>SUMPRODUCT($F$13:$Q$13,$E42:$P42-$F42:$Q42)</f>
        <v/>
      </c>
      <c r="S42" s="76">
        <f>SUMPRODUCT($F$10:$Q$10,$F$12:$Q$12,$F42:$Q42)+0.5*SUMPRODUCT($F$10:$Q$10,$F$13:$Q$13,$E42:$P42-$F42:$Q42)</f>
        <v/>
      </c>
      <c r="T42" s="76">
        <f>(1-$F$7)*($D$8+R42)-$D$7*(($F$8+S42)-CDS_Parameters!$B$26)</f>
        <v/>
      </c>
    </row>
    <row r="43">
      <c r="B43" s="76">
        <f>IF(T42&lt;0,D42,B42)</f>
        <v/>
      </c>
      <c r="C43" s="76">
        <f>IF(T42&lt;0,C42,D42)</f>
        <v/>
      </c>
      <c r="D43" s="76">
        <f>(B43+C43)/2</f>
        <v/>
      </c>
      <c r="E43" s="76">
        <f>$B$8</f>
        <v/>
      </c>
      <c r="F43" s="76">
        <f>$B$8*EXP(-$D43*F$14)</f>
        <v/>
      </c>
      <c r="G43" s="76">
        <f>$B$8*EXP(-$D43*G$14)</f>
        <v/>
      </c>
      <c r="H43" s="76">
        <f>$B$8*EXP(-$D43*H$14)</f>
        <v/>
      </c>
      <c r="I43" s="76">
        <f>$B$8*EXP(-$D43*I$14)</f>
        <v/>
      </c>
      <c r="J43" s="76">
        <f>I43</f>
        <v/>
      </c>
      <c r="K43" s="76">
        <f>J43</f>
        <v/>
      </c>
      <c r="L43" s="76">
        <f>K43</f>
        <v/>
      </c>
      <c r="M43" s="76">
        <f>L43</f>
        <v/>
      </c>
      <c r="N43" s="76">
        <f>M43</f>
        <v/>
      </c>
      <c r="O43" s="76">
        <f>N43</f>
        <v/>
      </c>
      <c r="P43" s="76">
        <f>O43</f>
        <v/>
      </c>
      <c r="Q43" s="76">
        <f>P43</f>
        <v/>
      </c>
      <c r="R43" s="76">
        <f>SUMPRODUCT($F$13:$Q$13,$E43:$P43-$F43:$Q43)</f>
        <v/>
      </c>
      <c r="S43" s="76">
        <f>SUMPRODUCT($F$10:$Q$10,$F$12:$Q$12,$F43:$Q43)+0.5*SUMPRODUCT($F$10:$Q$10,$F$13:$Q$13,$E43:$P43-$F43:$Q43)</f>
        <v/>
      </c>
      <c r="T43" s="76">
        <f>(1-$F$7)*($D$8+R43)-$D$7*(($F$8+S43)-CDS_Parameters!$B$26)</f>
        <v/>
      </c>
    </row>
    <row r="44">
      <c r="B44" s="76">
        <f>IF(T43&lt;0,D43,B43)</f>
        <v/>
      </c>
      <c r="C44" s="76">
        <f>IF(T43&lt;0,C43,D43)</f>
        <v/>
      </c>
      <c r="D44" s="76">
        <f>(B44+C44)/2</f>
        <v/>
      </c>
      <c r="E44" s="76">
        <f>$B$8</f>
        <v/>
      </c>
      <c r="F44" s="76">
        <f>$B$8*EXP(-$D44*F$14)</f>
        <v/>
      </c>
      <c r="G44" s="76">
        <f>$B$8*EXP(-$D44*G$14)</f>
        <v/>
      </c>
      <c r="H44" s="76">
        <f>$B$8*EXP(-$D44*H$14)</f>
        <v/>
      </c>
      <c r="I44" s="76">
        <f>$B$8*EXP(-$D44*I$14)</f>
        <v/>
      </c>
      <c r="J44" s="76">
        <f>I44</f>
        <v/>
      </c>
      <c r="K44" s="76">
        <f>J44</f>
        <v/>
      </c>
      <c r="L44" s="76">
        <f>K44</f>
        <v/>
      </c>
      <c r="M44" s="76">
        <f>L44</f>
        <v/>
      </c>
      <c r="N44" s="76">
        <f>M44</f>
        <v/>
      </c>
      <c r="O44" s="76">
        <f>N44</f>
        <v/>
      </c>
      <c r="P44" s="76">
        <f>O44</f>
        <v/>
      </c>
      <c r="Q44" s="76">
        <f>P44</f>
        <v/>
      </c>
      <c r="R44" s="76">
        <f>SUMPRODUCT($F$13:$Q$13,$E44:$P44-$F44:$Q44)</f>
        <v/>
      </c>
      <c r="S44" s="76">
        <f>SUMPRODUCT($F$10:$Q$10,$F$12:$Q$12,$F44:$Q44)+0.5*SUMPRODUCT($F$10:$Q$10,$F$13:$Q$13,$E44:$P44-$F44:$Q44)</f>
        <v/>
      </c>
      <c r="T44" s="76">
        <f>(1-$F$7)*($D$8+R44)-$D$7*(($F$8+S44)-CDS_Parameters!$B$26)</f>
        <v/>
      </c>
    </row>
    <row r="45">
      <c r="B45" s="76">
        <f>IF(T44&lt;0,D44,B44)</f>
        <v/>
      </c>
      <c r="C45" s="76">
        <f>IF(T44&lt;0,C44,D44)</f>
        <v/>
      </c>
      <c r="D45" s="76">
        <f>(B45+C45)/2</f>
        <v/>
      </c>
      <c r="E45" s="76">
        <f>$B$8</f>
        <v/>
      </c>
      <c r="F45" s="76">
        <f>$B$8*EXP(-$D45*F$14)</f>
        <v/>
      </c>
      <c r="G45" s="76">
        <f>$B$8*EXP(-$D45*G$14)</f>
        <v/>
      </c>
      <c r="H45" s="76">
        <f>$B$8*EXP(-$D45*H$14)</f>
        <v/>
      </c>
      <c r="I45" s="76">
        <f>$B$8*EXP(-$D45*I$14)</f>
        <v/>
      </c>
      <c r="J45" s="76">
        <f>I45</f>
        <v/>
      </c>
      <c r="K45" s="76">
        <f>J45</f>
        <v/>
      </c>
      <c r="L45" s="76">
        <f>K45</f>
        <v/>
      </c>
      <c r="M45" s="76">
        <f>L45</f>
        <v/>
      </c>
      <c r="N45" s="76">
        <f>M45</f>
        <v/>
      </c>
      <c r="O45" s="76">
        <f>N45</f>
        <v/>
      </c>
      <c r="P45" s="76">
        <f>O45</f>
        <v/>
      </c>
      <c r="Q45" s="76">
        <f>P45</f>
        <v/>
      </c>
      <c r="R45" s="76">
        <f>SUMPRODUCT($F$13:$Q$13,$E45:$P45-$F45:$Q45)</f>
        <v/>
      </c>
      <c r="S45" s="76">
        <f>SUMPRODUCT($F$10:$Q$10,$F$12:$Q$12,$F45:$Q45)+0.5*SUMPRODUCT($F$10:$Q$10,$F$13:$Q$13,$E45:$P45-$F45:$Q45)</f>
        <v/>
      </c>
      <c r="T45" s="76">
        <f>(1-$F$7)*($D$8+R45)-$D$7*(($F$8+S45)-CDS_Parameters!$B$26)</f>
        <v/>
      </c>
    </row>
    <row r="46">
      <c r="A46" s="67" t="inlineStr">
        <is>
          <t>lambda1 SOLVED</t>
        </is>
      </c>
      <c r="B46" s="71">
        <f>D45</f>
        <v/>
      </c>
      <c r="C46" s="67" t="inlineStr">
        <is>
          <t>resid</t>
        </is>
      </c>
      <c r="D46" s="72">
        <f>T45</f>
        <v/>
      </c>
      <c r="E46" s="67" t="inlineStr">
        <is>
          <t>Q(T_k)</t>
        </is>
      </c>
      <c r="F46" s="76">
        <f>Q45</f>
        <v/>
      </c>
      <c r="G46" s="67" t="inlineStr">
        <is>
          <t>ProtCum</t>
        </is>
      </c>
      <c r="H46" s="76">
        <f>$D$8+R45</f>
        <v/>
      </c>
      <c r="I46" s="67" t="inlineStr">
        <is>
          <t>RPV01Cum</t>
        </is>
      </c>
      <c r="J46" s="76">
        <f>$F$8+S45</f>
        <v/>
      </c>
      <c r="K46" s="67" t="inlineStr">
        <is>
          <t>model S (bp)</t>
        </is>
      </c>
      <c r="L46" s="63">
        <f>IFERROR((1-$F$7)*H46/J46*10000,0)</f>
        <v/>
      </c>
    </row>
    <row r="49">
      <c r="A49" s="73" t="inlineStr">
        <is>
          <t>TENOR 2Y   —   periods 5-8   —   solve lambda2</t>
        </is>
      </c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</row>
    <row r="50">
      <c r="A50" s="67" t="inlineStr">
        <is>
          <t>market S (bp)</t>
        </is>
      </c>
      <c r="B50" s="75">
        <f>Hazard_Bootstrap!$C$8</f>
        <v/>
      </c>
      <c r="C50" s="67" t="inlineStr">
        <is>
          <t>S (dec)</t>
        </is>
      </c>
      <c r="D50" s="76">
        <f>B50/10000</f>
        <v/>
      </c>
      <c r="E50" s="67" t="inlineStr">
        <is>
          <t>recovery R</t>
        </is>
      </c>
      <c r="F50" s="77">
        <f>CDS_Parameters!$B$8</f>
        <v/>
      </c>
    </row>
    <row r="51">
      <c r="A51" s="67" t="inlineStr">
        <is>
          <t>Q(start)</t>
        </is>
      </c>
      <c r="B51" s="76">
        <f>$F$46</f>
        <v/>
      </c>
      <c r="C51" s="67" t="inlineStr">
        <is>
          <t>ProtFixed</t>
        </is>
      </c>
      <c r="D51" s="76">
        <f>$H$46</f>
        <v/>
      </c>
      <c r="E51" s="67" t="inlineStr">
        <is>
          <t>RPV01Fixed</t>
        </is>
      </c>
      <c r="F51" s="76">
        <f>$J$46</f>
        <v/>
      </c>
    </row>
    <row r="52">
      <c r="A52" s="67" t="inlineStr">
        <is>
          <t>period</t>
        </is>
      </c>
      <c r="F52" s="78" t="n">
        <v>5</v>
      </c>
      <c r="G52" s="78" t="n">
        <v>6</v>
      </c>
      <c r="H52" s="78" t="n">
        <v>7</v>
      </c>
      <c r="I52" s="78" t="n">
        <v>8</v>
      </c>
      <c r="J52" s="78" t="inlineStr"/>
      <c r="K52" s="78" t="inlineStr"/>
      <c r="L52" s="78" t="inlineStr"/>
      <c r="M52" s="78" t="inlineStr"/>
      <c r="N52" s="78" t="inlineStr"/>
      <c r="O52" s="78" t="inlineStr"/>
      <c r="P52" s="78" t="inlineStr"/>
      <c r="Q52" s="78" t="inlineStr"/>
    </row>
    <row r="53">
      <c r="A53" s="67" t="inlineStr">
        <is>
          <t>alpha 360</t>
        </is>
      </c>
      <c r="F53" s="79">
        <f>CDS_Schedule!$D$11</f>
        <v/>
      </c>
      <c r="G53" s="79">
        <f>CDS_Schedule!$D$12</f>
        <v/>
      </c>
      <c r="H53" s="79">
        <f>CDS_Schedule!$D$13</f>
        <v/>
      </c>
      <c r="I53" s="79">
        <f>CDS_Schedule!$D$14</f>
        <v/>
      </c>
      <c r="J53" s="80" t="n">
        <v>0</v>
      </c>
      <c r="K53" s="80" t="n">
        <v>0</v>
      </c>
      <c r="L53" s="80" t="n">
        <v>0</v>
      </c>
      <c r="M53" s="80" t="n">
        <v>0</v>
      </c>
      <c r="N53" s="80" t="n">
        <v>0</v>
      </c>
      <c r="O53" s="80" t="n">
        <v>0</v>
      </c>
      <c r="P53" s="80" t="n">
        <v>0</v>
      </c>
      <c r="Q53" s="80" t="n">
        <v>0</v>
      </c>
    </row>
    <row r="54">
      <c r="A54" s="67" t="inlineStr">
        <is>
          <t>dt 365</t>
        </is>
      </c>
      <c r="F54" s="79">
        <f>CDS_Schedule!$E$11</f>
        <v/>
      </c>
      <c r="G54" s="79">
        <f>CDS_Schedule!$E$12</f>
        <v/>
      </c>
      <c r="H54" s="79">
        <f>CDS_Schedule!$E$13</f>
        <v/>
      </c>
      <c r="I54" s="79">
        <f>CDS_Schedule!$E$14</f>
        <v/>
      </c>
      <c r="J54" s="80" t="n">
        <v>0</v>
      </c>
      <c r="K54" s="80" t="n">
        <v>0</v>
      </c>
      <c r="L54" s="80" t="n">
        <v>0</v>
      </c>
      <c r="M54" s="80" t="n">
        <v>0</v>
      </c>
      <c r="N54" s="80" t="n">
        <v>0</v>
      </c>
      <c r="O54" s="80" t="n">
        <v>0</v>
      </c>
      <c r="P54" s="80" t="n">
        <v>0</v>
      </c>
      <c r="Q54" s="80" t="n">
        <v>0</v>
      </c>
    </row>
    <row r="55">
      <c r="A55" s="67" t="inlineStr">
        <is>
          <t>DF(end)</t>
        </is>
      </c>
      <c r="F55" s="79">
        <f>CDS_Schedule!$G$11</f>
        <v/>
      </c>
      <c r="G55" s="79">
        <f>CDS_Schedule!$G$12</f>
        <v/>
      </c>
      <c r="H55" s="79">
        <f>CDS_Schedule!$G$13</f>
        <v/>
      </c>
      <c r="I55" s="79">
        <f>CDS_Schedule!$G$14</f>
        <v/>
      </c>
      <c r="J55" s="80" t="n">
        <v>0</v>
      </c>
      <c r="K55" s="80" t="n">
        <v>0</v>
      </c>
      <c r="L55" s="80" t="n">
        <v>0</v>
      </c>
      <c r="M55" s="80" t="n">
        <v>0</v>
      </c>
      <c r="N55" s="80" t="n">
        <v>0</v>
      </c>
      <c r="O55" s="80" t="n">
        <v>0</v>
      </c>
      <c r="P55" s="80" t="n">
        <v>0</v>
      </c>
      <c r="Q55" s="80" t="n">
        <v>0</v>
      </c>
    </row>
    <row r="56">
      <c r="A56" s="67" t="inlineStr">
        <is>
          <t>DF(mid)</t>
        </is>
      </c>
      <c r="F56" s="79">
        <f>CDS_Schedule!$H$11</f>
        <v/>
      </c>
      <c r="G56" s="79">
        <f>CDS_Schedule!$H$12</f>
        <v/>
      </c>
      <c r="H56" s="79">
        <f>CDS_Schedule!$H$13</f>
        <v/>
      </c>
      <c r="I56" s="79">
        <f>CDS_Schedule!$H$14</f>
        <v/>
      </c>
      <c r="J56" s="80" t="n">
        <v>0</v>
      </c>
      <c r="K56" s="80" t="n">
        <v>0</v>
      </c>
      <c r="L56" s="80" t="n">
        <v>0</v>
      </c>
      <c r="M56" s="80" t="n">
        <v>0</v>
      </c>
      <c r="N56" s="80" t="n">
        <v>0</v>
      </c>
      <c r="O56" s="80" t="n">
        <v>0</v>
      </c>
      <c r="P56" s="80" t="n">
        <v>0</v>
      </c>
      <c r="Q56" s="80" t="n">
        <v>0</v>
      </c>
    </row>
    <row r="57">
      <c r="A57" s="67" t="inlineStr">
        <is>
          <t>cum dt in seg</t>
        </is>
      </c>
      <c r="F57" s="80">
        <f>0+F54</f>
        <v/>
      </c>
      <c r="G57" s="80">
        <f>F57+G54</f>
        <v/>
      </c>
      <c r="H57" s="80">
        <f>G57+H54</f>
        <v/>
      </c>
      <c r="I57" s="80">
        <f>H57+I54</f>
        <v/>
      </c>
      <c r="J57" s="80">
        <f>I57+J54</f>
        <v/>
      </c>
      <c r="K57" s="80">
        <f>J57+K54</f>
        <v/>
      </c>
      <c r="L57" s="80">
        <f>K57+L54</f>
        <v/>
      </c>
      <c r="M57" s="80">
        <f>L57+M54</f>
        <v/>
      </c>
      <c r="N57" s="80">
        <f>M57+N54</f>
        <v/>
      </c>
      <c r="O57" s="80">
        <f>N57+O54</f>
        <v/>
      </c>
      <c r="P57" s="80">
        <f>O57+P54</f>
        <v/>
      </c>
      <c r="Q57" s="80">
        <f>P57+Q54</f>
        <v/>
      </c>
    </row>
    <row r="58">
      <c r="A58" s="67" t="inlineStr">
        <is>
          <t>bisection</t>
        </is>
      </c>
      <c r="B58" s="62" t="inlineStr">
        <is>
          <t>lo</t>
        </is>
      </c>
      <c r="C58" s="62" t="inlineStr">
        <is>
          <t>hi</t>
        </is>
      </c>
      <c r="D58" s="62" t="inlineStr">
        <is>
          <t>lambda trial</t>
        </is>
      </c>
      <c r="E58" s="62" t="inlineStr">
        <is>
          <t>Q(start)</t>
        </is>
      </c>
      <c r="R58" s="62" t="inlineStr">
        <is>
          <t>ProtSeg</t>
        </is>
      </c>
      <c r="S58" s="62" t="inlineStr">
        <is>
          <t>RPV01Seg</t>
        </is>
      </c>
      <c r="T58" s="62" t="inlineStr">
        <is>
          <t>f(lambda)</t>
        </is>
      </c>
    </row>
    <row r="59">
      <c r="B59" s="76" t="n">
        <v>0</v>
      </c>
      <c r="C59" s="76" t="n">
        <v>3</v>
      </c>
      <c r="D59" s="76">
        <f>(B59+C59)/2</f>
        <v/>
      </c>
      <c r="E59" s="76">
        <f>$B$51</f>
        <v/>
      </c>
      <c r="F59" s="76">
        <f>$B$51*EXP(-$D59*F$57)</f>
        <v/>
      </c>
      <c r="G59" s="76">
        <f>$B$51*EXP(-$D59*G$57)</f>
        <v/>
      </c>
      <c r="H59" s="76">
        <f>$B$51*EXP(-$D59*H$57)</f>
        <v/>
      </c>
      <c r="I59" s="76">
        <f>$B$51*EXP(-$D59*I$57)</f>
        <v/>
      </c>
      <c r="J59" s="76">
        <f>I59</f>
        <v/>
      </c>
      <c r="K59" s="76">
        <f>J59</f>
        <v/>
      </c>
      <c r="L59" s="76">
        <f>K59</f>
        <v/>
      </c>
      <c r="M59" s="76">
        <f>L59</f>
        <v/>
      </c>
      <c r="N59" s="76">
        <f>M59</f>
        <v/>
      </c>
      <c r="O59" s="76">
        <f>N59</f>
        <v/>
      </c>
      <c r="P59" s="76">
        <f>O59</f>
        <v/>
      </c>
      <c r="Q59" s="76">
        <f>P59</f>
        <v/>
      </c>
      <c r="R59" s="76">
        <f>SUMPRODUCT($F$56:$Q$56,$E59:$P59-$F59:$Q59)</f>
        <v/>
      </c>
      <c r="S59" s="76">
        <f>SUMPRODUCT($F$53:$Q$53,$F$55:$Q$55,$F59:$Q59)+0.5*SUMPRODUCT($F$53:$Q$53,$F$56:$Q$56,$E59:$P59-$F59:$Q59)</f>
        <v/>
      </c>
      <c r="T59" s="76">
        <f>(1-$F$50)*($D$51+R59)-$D$50*(($F$51+S59)-CDS_Parameters!$B$26)</f>
        <v/>
      </c>
    </row>
    <row r="60">
      <c r="B60" s="76">
        <f>IF(T59&lt;0,D59,B59)</f>
        <v/>
      </c>
      <c r="C60" s="76">
        <f>IF(T59&lt;0,C59,D59)</f>
        <v/>
      </c>
      <c r="D60" s="76">
        <f>(B60+C60)/2</f>
        <v/>
      </c>
      <c r="E60" s="76">
        <f>$B$51</f>
        <v/>
      </c>
      <c r="F60" s="76">
        <f>$B$51*EXP(-$D60*F$57)</f>
        <v/>
      </c>
      <c r="G60" s="76">
        <f>$B$51*EXP(-$D60*G$57)</f>
        <v/>
      </c>
      <c r="H60" s="76">
        <f>$B$51*EXP(-$D60*H$57)</f>
        <v/>
      </c>
      <c r="I60" s="76">
        <f>$B$51*EXP(-$D60*I$57)</f>
        <v/>
      </c>
      <c r="J60" s="76">
        <f>I60</f>
        <v/>
      </c>
      <c r="K60" s="76">
        <f>J60</f>
        <v/>
      </c>
      <c r="L60" s="76">
        <f>K60</f>
        <v/>
      </c>
      <c r="M60" s="76">
        <f>L60</f>
        <v/>
      </c>
      <c r="N60" s="76">
        <f>M60</f>
        <v/>
      </c>
      <c r="O60" s="76">
        <f>N60</f>
        <v/>
      </c>
      <c r="P60" s="76">
        <f>O60</f>
        <v/>
      </c>
      <c r="Q60" s="76">
        <f>P60</f>
        <v/>
      </c>
      <c r="R60" s="76">
        <f>SUMPRODUCT($F$56:$Q$56,$E60:$P60-$F60:$Q60)</f>
        <v/>
      </c>
      <c r="S60" s="76">
        <f>SUMPRODUCT($F$53:$Q$53,$F$55:$Q$55,$F60:$Q60)+0.5*SUMPRODUCT($F$53:$Q$53,$F$56:$Q$56,$E60:$P60-$F60:$Q60)</f>
        <v/>
      </c>
      <c r="T60" s="76">
        <f>(1-$F$50)*($D$51+R60)-$D$50*(($F$51+S60)-CDS_Parameters!$B$26)</f>
        <v/>
      </c>
    </row>
    <row r="61">
      <c r="B61" s="76">
        <f>IF(T60&lt;0,D60,B60)</f>
        <v/>
      </c>
      <c r="C61" s="76">
        <f>IF(T60&lt;0,C60,D60)</f>
        <v/>
      </c>
      <c r="D61" s="76">
        <f>(B61+C61)/2</f>
        <v/>
      </c>
      <c r="E61" s="76">
        <f>$B$51</f>
        <v/>
      </c>
      <c r="F61" s="76">
        <f>$B$51*EXP(-$D61*F$57)</f>
        <v/>
      </c>
      <c r="G61" s="76">
        <f>$B$51*EXP(-$D61*G$57)</f>
        <v/>
      </c>
      <c r="H61" s="76">
        <f>$B$51*EXP(-$D61*H$57)</f>
        <v/>
      </c>
      <c r="I61" s="76">
        <f>$B$51*EXP(-$D61*I$57)</f>
        <v/>
      </c>
      <c r="J61" s="76">
        <f>I61</f>
        <v/>
      </c>
      <c r="K61" s="76">
        <f>J61</f>
        <v/>
      </c>
      <c r="L61" s="76">
        <f>K61</f>
        <v/>
      </c>
      <c r="M61" s="76">
        <f>L61</f>
        <v/>
      </c>
      <c r="N61" s="76">
        <f>M61</f>
        <v/>
      </c>
      <c r="O61" s="76">
        <f>N61</f>
        <v/>
      </c>
      <c r="P61" s="76">
        <f>O61</f>
        <v/>
      </c>
      <c r="Q61" s="76">
        <f>P61</f>
        <v/>
      </c>
      <c r="R61" s="76">
        <f>SUMPRODUCT($F$56:$Q$56,$E61:$P61-$F61:$Q61)</f>
        <v/>
      </c>
      <c r="S61" s="76">
        <f>SUMPRODUCT($F$53:$Q$53,$F$55:$Q$55,$F61:$Q61)+0.5*SUMPRODUCT($F$53:$Q$53,$F$56:$Q$56,$E61:$P61-$F61:$Q61)</f>
        <v/>
      </c>
      <c r="T61" s="76">
        <f>(1-$F$50)*($D$51+R61)-$D$50*(($F$51+S61)-CDS_Parameters!$B$26)</f>
        <v/>
      </c>
    </row>
    <row r="62">
      <c r="B62" s="76">
        <f>IF(T61&lt;0,D61,B61)</f>
        <v/>
      </c>
      <c r="C62" s="76">
        <f>IF(T61&lt;0,C61,D61)</f>
        <v/>
      </c>
      <c r="D62" s="76">
        <f>(B62+C62)/2</f>
        <v/>
      </c>
      <c r="E62" s="76">
        <f>$B$51</f>
        <v/>
      </c>
      <c r="F62" s="76">
        <f>$B$51*EXP(-$D62*F$57)</f>
        <v/>
      </c>
      <c r="G62" s="76">
        <f>$B$51*EXP(-$D62*G$57)</f>
        <v/>
      </c>
      <c r="H62" s="76">
        <f>$B$51*EXP(-$D62*H$57)</f>
        <v/>
      </c>
      <c r="I62" s="76">
        <f>$B$51*EXP(-$D62*I$57)</f>
        <v/>
      </c>
      <c r="J62" s="76">
        <f>I62</f>
        <v/>
      </c>
      <c r="K62" s="76">
        <f>J62</f>
        <v/>
      </c>
      <c r="L62" s="76">
        <f>K62</f>
        <v/>
      </c>
      <c r="M62" s="76">
        <f>L62</f>
        <v/>
      </c>
      <c r="N62" s="76">
        <f>M62</f>
        <v/>
      </c>
      <c r="O62" s="76">
        <f>N62</f>
        <v/>
      </c>
      <c r="P62" s="76">
        <f>O62</f>
        <v/>
      </c>
      <c r="Q62" s="76">
        <f>P62</f>
        <v/>
      </c>
      <c r="R62" s="76">
        <f>SUMPRODUCT($F$56:$Q$56,$E62:$P62-$F62:$Q62)</f>
        <v/>
      </c>
      <c r="S62" s="76">
        <f>SUMPRODUCT($F$53:$Q$53,$F$55:$Q$55,$F62:$Q62)+0.5*SUMPRODUCT($F$53:$Q$53,$F$56:$Q$56,$E62:$P62-$F62:$Q62)</f>
        <v/>
      </c>
      <c r="T62" s="76">
        <f>(1-$F$50)*($D$51+R62)-$D$50*(($F$51+S62)-CDS_Parameters!$B$26)</f>
        <v/>
      </c>
    </row>
    <row r="63">
      <c r="B63" s="76">
        <f>IF(T62&lt;0,D62,B62)</f>
        <v/>
      </c>
      <c r="C63" s="76">
        <f>IF(T62&lt;0,C62,D62)</f>
        <v/>
      </c>
      <c r="D63" s="76">
        <f>(B63+C63)/2</f>
        <v/>
      </c>
      <c r="E63" s="76">
        <f>$B$51</f>
        <v/>
      </c>
      <c r="F63" s="76">
        <f>$B$51*EXP(-$D63*F$57)</f>
        <v/>
      </c>
      <c r="G63" s="76">
        <f>$B$51*EXP(-$D63*G$57)</f>
        <v/>
      </c>
      <c r="H63" s="76">
        <f>$B$51*EXP(-$D63*H$57)</f>
        <v/>
      </c>
      <c r="I63" s="76">
        <f>$B$51*EXP(-$D63*I$57)</f>
        <v/>
      </c>
      <c r="J63" s="76">
        <f>I63</f>
        <v/>
      </c>
      <c r="K63" s="76">
        <f>J63</f>
        <v/>
      </c>
      <c r="L63" s="76">
        <f>K63</f>
        <v/>
      </c>
      <c r="M63" s="76">
        <f>L63</f>
        <v/>
      </c>
      <c r="N63" s="76">
        <f>M63</f>
        <v/>
      </c>
      <c r="O63" s="76">
        <f>N63</f>
        <v/>
      </c>
      <c r="P63" s="76">
        <f>O63</f>
        <v/>
      </c>
      <c r="Q63" s="76">
        <f>P63</f>
        <v/>
      </c>
      <c r="R63" s="76">
        <f>SUMPRODUCT($F$56:$Q$56,$E63:$P63-$F63:$Q63)</f>
        <v/>
      </c>
      <c r="S63" s="76">
        <f>SUMPRODUCT($F$53:$Q$53,$F$55:$Q$55,$F63:$Q63)+0.5*SUMPRODUCT($F$53:$Q$53,$F$56:$Q$56,$E63:$P63-$F63:$Q63)</f>
        <v/>
      </c>
      <c r="T63" s="76">
        <f>(1-$F$50)*($D$51+R63)-$D$50*(($F$51+S63)-CDS_Parameters!$B$26)</f>
        <v/>
      </c>
    </row>
    <row r="64">
      <c r="B64" s="76">
        <f>IF(T63&lt;0,D63,B63)</f>
        <v/>
      </c>
      <c r="C64" s="76">
        <f>IF(T63&lt;0,C63,D63)</f>
        <v/>
      </c>
      <c r="D64" s="76">
        <f>(B64+C64)/2</f>
        <v/>
      </c>
      <c r="E64" s="76">
        <f>$B$51</f>
        <v/>
      </c>
      <c r="F64" s="76">
        <f>$B$51*EXP(-$D64*F$57)</f>
        <v/>
      </c>
      <c r="G64" s="76">
        <f>$B$51*EXP(-$D64*G$57)</f>
        <v/>
      </c>
      <c r="H64" s="76">
        <f>$B$51*EXP(-$D64*H$57)</f>
        <v/>
      </c>
      <c r="I64" s="76">
        <f>$B$51*EXP(-$D64*I$57)</f>
        <v/>
      </c>
      <c r="J64" s="76">
        <f>I64</f>
        <v/>
      </c>
      <c r="K64" s="76">
        <f>J64</f>
        <v/>
      </c>
      <c r="L64" s="76">
        <f>K64</f>
        <v/>
      </c>
      <c r="M64" s="76">
        <f>L64</f>
        <v/>
      </c>
      <c r="N64" s="76">
        <f>M64</f>
        <v/>
      </c>
      <c r="O64" s="76">
        <f>N64</f>
        <v/>
      </c>
      <c r="P64" s="76">
        <f>O64</f>
        <v/>
      </c>
      <c r="Q64" s="76">
        <f>P64</f>
        <v/>
      </c>
      <c r="R64" s="76">
        <f>SUMPRODUCT($F$56:$Q$56,$E64:$P64-$F64:$Q64)</f>
        <v/>
      </c>
      <c r="S64" s="76">
        <f>SUMPRODUCT($F$53:$Q$53,$F$55:$Q$55,$F64:$Q64)+0.5*SUMPRODUCT($F$53:$Q$53,$F$56:$Q$56,$E64:$P64-$F64:$Q64)</f>
        <v/>
      </c>
      <c r="T64" s="76">
        <f>(1-$F$50)*($D$51+R64)-$D$50*(($F$51+S64)-CDS_Parameters!$B$26)</f>
        <v/>
      </c>
    </row>
    <row r="65">
      <c r="B65" s="76">
        <f>IF(T64&lt;0,D64,B64)</f>
        <v/>
      </c>
      <c r="C65" s="76">
        <f>IF(T64&lt;0,C64,D64)</f>
        <v/>
      </c>
      <c r="D65" s="76">
        <f>(B65+C65)/2</f>
        <v/>
      </c>
      <c r="E65" s="76">
        <f>$B$51</f>
        <v/>
      </c>
      <c r="F65" s="76">
        <f>$B$51*EXP(-$D65*F$57)</f>
        <v/>
      </c>
      <c r="G65" s="76">
        <f>$B$51*EXP(-$D65*G$57)</f>
        <v/>
      </c>
      <c r="H65" s="76">
        <f>$B$51*EXP(-$D65*H$57)</f>
        <v/>
      </c>
      <c r="I65" s="76">
        <f>$B$51*EXP(-$D65*I$57)</f>
        <v/>
      </c>
      <c r="J65" s="76">
        <f>I65</f>
        <v/>
      </c>
      <c r="K65" s="76">
        <f>J65</f>
        <v/>
      </c>
      <c r="L65" s="76">
        <f>K65</f>
        <v/>
      </c>
      <c r="M65" s="76">
        <f>L65</f>
        <v/>
      </c>
      <c r="N65" s="76">
        <f>M65</f>
        <v/>
      </c>
      <c r="O65" s="76">
        <f>N65</f>
        <v/>
      </c>
      <c r="P65" s="76">
        <f>O65</f>
        <v/>
      </c>
      <c r="Q65" s="76">
        <f>P65</f>
        <v/>
      </c>
      <c r="R65" s="76">
        <f>SUMPRODUCT($F$56:$Q$56,$E65:$P65-$F65:$Q65)</f>
        <v/>
      </c>
      <c r="S65" s="76">
        <f>SUMPRODUCT($F$53:$Q$53,$F$55:$Q$55,$F65:$Q65)+0.5*SUMPRODUCT($F$53:$Q$53,$F$56:$Q$56,$E65:$P65-$F65:$Q65)</f>
        <v/>
      </c>
      <c r="T65" s="76">
        <f>(1-$F$50)*($D$51+R65)-$D$50*(($F$51+S65)-CDS_Parameters!$B$26)</f>
        <v/>
      </c>
    </row>
    <row r="66">
      <c r="B66" s="76">
        <f>IF(T65&lt;0,D65,B65)</f>
        <v/>
      </c>
      <c r="C66" s="76">
        <f>IF(T65&lt;0,C65,D65)</f>
        <v/>
      </c>
      <c r="D66" s="76">
        <f>(B66+C66)/2</f>
        <v/>
      </c>
      <c r="E66" s="76">
        <f>$B$51</f>
        <v/>
      </c>
      <c r="F66" s="76">
        <f>$B$51*EXP(-$D66*F$57)</f>
        <v/>
      </c>
      <c r="G66" s="76">
        <f>$B$51*EXP(-$D66*G$57)</f>
        <v/>
      </c>
      <c r="H66" s="76">
        <f>$B$51*EXP(-$D66*H$57)</f>
        <v/>
      </c>
      <c r="I66" s="76">
        <f>$B$51*EXP(-$D66*I$57)</f>
        <v/>
      </c>
      <c r="J66" s="76">
        <f>I66</f>
        <v/>
      </c>
      <c r="K66" s="76">
        <f>J66</f>
        <v/>
      </c>
      <c r="L66" s="76">
        <f>K66</f>
        <v/>
      </c>
      <c r="M66" s="76">
        <f>L66</f>
        <v/>
      </c>
      <c r="N66" s="76">
        <f>M66</f>
        <v/>
      </c>
      <c r="O66" s="76">
        <f>N66</f>
        <v/>
      </c>
      <c r="P66" s="76">
        <f>O66</f>
        <v/>
      </c>
      <c r="Q66" s="76">
        <f>P66</f>
        <v/>
      </c>
      <c r="R66" s="76">
        <f>SUMPRODUCT($F$56:$Q$56,$E66:$P66-$F66:$Q66)</f>
        <v/>
      </c>
      <c r="S66" s="76">
        <f>SUMPRODUCT($F$53:$Q$53,$F$55:$Q$55,$F66:$Q66)+0.5*SUMPRODUCT($F$53:$Q$53,$F$56:$Q$56,$E66:$P66-$F66:$Q66)</f>
        <v/>
      </c>
      <c r="T66" s="76">
        <f>(1-$F$50)*($D$51+R66)-$D$50*(($F$51+S66)-CDS_Parameters!$B$26)</f>
        <v/>
      </c>
    </row>
    <row r="67">
      <c r="B67" s="76">
        <f>IF(T66&lt;0,D66,B66)</f>
        <v/>
      </c>
      <c r="C67" s="76">
        <f>IF(T66&lt;0,C66,D66)</f>
        <v/>
      </c>
      <c r="D67" s="76">
        <f>(B67+C67)/2</f>
        <v/>
      </c>
      <c r="E67" s="76">
        <f>$B$51</f>
        <v/>
      </c>
      <c r="F67" s="76">
        <f>$B$51*EXP(-$D67*F$57)</f>
        <v/>
      </c>
      <c r="G67" s="76">
        <f>$B$51*EXP(-$D67*G$57)</f>
        <v/>
      </c>
      <c r="H67" s="76">
        <f>$B$51*EXP(-$D67*H$57)</f>
        <v/>
      </c>
      <c r="I67" s="76">
        <f>$B$51*EXP(-$D67*I$57)</f>
        <v/>
      </c>
      <c r="J67" s="76">
        <f>I67</f>
        <v/>
      </c>
      <c r="K67" s="76">
        <f>J67</f>
        <v/>
      </c>
      <c r="L67" s="76">
        <f>K67</f>
        <v/>
      </c>
      <c r="M67" s="76">
        <f>L67</f>
        <v/>
      </c>
      <c r="N67" s="76">
        <f>M67</f>
        <v/>
      </c>
      <c r="O67" s="76">
        <f>N67</f>
        <v/>
      </c>
      <c r="P67" s="76">
        <f>O67</f>
        <v/>
      </c>
      <c r="Q67" s="76">
        <f>P67</f>
        <v/>
      </c>
      <c r="R67" s="76">
        <f>SUMPRODUCT($F$56:$Q$56,$E67:$P67-$F67:$Q67)</f>
        <v/>
      </c>
      <c r="S67" s="76">
        <f>SUMPRODUCT($F$53:$Q$53,$F$55:$Q$55,$F67:$Q67)+0.5*SUMPRODUCT($F$53:$Q$53,$F$56:$Q$56,$E67:$P67-$F67:$Q67)</f>
        <v/>
      </c>
      <c r="T67" s="76">
        <f>(1-$F$50)*($D$51+R67)-$D$50*(($F$51+S67)-CDS_Parameters!$B$26)</f>
        <v/>
      </c>
    </row>
    <row r="68">
      <c r="B68" s="76">
        <f>IF(T67&lt;0,D67,B67)</f>
        <v/>
      </c>
      <c r="C68" s="76">
        <f>IF(T67&lt;0,C67,D67)</f>
        <v/>
      </c>
      <c r="D68" s="76">
        <f>(B68+C68)/2</f>
        <v/>
      </c>
      <c r="E68" s="76">
        <f>$B$51</f>
        <v/>
      </c>
      <c r="F68" s="76">
        <f>$B$51*EXP(-$D68*F$57)</f>
        <v/>
      </c>
      <c r="G68" s="76">
        <f>$B$51*EXP(-$D68*G$57)</f>
        <v/>
      </c>
      <c r="H68" s="76">
        <f>$B$51*EXP(-$D68*H$57)</f>
        <v/>
      </c>
      <c r="I68" s="76">
        <f>$B$51*EXP(-$D68*I$57)</f>
        <v/>
      </c>
      <c r="J68" s="76">
        <f>I68</f>
        <v/>
      </c>
      <c r="K68" s="76">
        <f>J68</f>
        <v/>
      </c>
      <c r="L68" s="76">
        <f>K68</f>
        <v/>
      </c>
      <c r="M68" s="76">
        <f>L68</f>
        <v/>
      </c>
      <c r="N68" s="76">
        <f>M68</f>
        <v/>
      </c>
      <c r="O68" s="76">
        <f>N68</f>
        <v/>
      </c>
      <c r="P68" s="76">
        <f>O68</f>
        <v/>
      </c>
      <c r="Q68" s="76">
        <f>P68</f>
        <v/>
      </c>
      <c r="R68" s="76">
        <f>SUMPRODUCT($F$56:$Q$56,$E68:$P68-$F68:$Q68)</f>
        <v/>
      </c>
      <c r="S68" s="76">
        <f>SUMPRODUCT($F$53:$Q$53,$F$55:$Q$55,$F68:$Q68)+0.5*SUMPRODUCT($F$53:$Q$53,$F$56:$Q$56,$E68:$P68-$F68:$Q68)</f>
        <v/>
      </c>
      <c r="T68" s="76">
        <f>(1-$F$50)*($D$51+R68)-$D$50*(($F$51+S68)-CDS_Parameters!$B$26)</f>
        <v/>
      </c>
    </row>
    <row r="69">
      <c r="B69" s="76">
        <f>IF(T68&lt;0,D68,B68)</f>
        <v/>
      </c>
      <c r="C69" s="76">
        <f>IF(T68&lt;0,C68,D68)</f>
        <v/>
      </c>
      <c r="D69" s="76">
        <f>(B69+C69)/2</f>
        <v/>
      </c>
      <c r="E69" s="76">
        <f>$B$51</f>
        <v/>
      </c>
      <c r="F69" s="76">
        <f>$B$51*EXP(-$D69*F$57)</f>
        <v/>
      </c>
      <c r="G69" s="76">
        <f>$B$51*EXP(-$D69*G$57)</f>
        <v/>
      </c>
      <c r="H69" s="76">
        <f>$B$51*EXP(-$D69*H$57)</f>
        <v/>
      </c>
      <c r="I69" s="76">
        <f>$B$51*EXP(-$D69*I$57)</f>
        <v/>
      </c>
      <c r="J69" s="76">
        <f>I69</f>
        <v/>
      </c>
      <c r="K69" s="76">
        <f>J69</f>
        <v/>
      </c>
      <c r="L69" s="76">
        <f>K69</f>
        <v/>
      </c>
      <c r="M69" s="76">
        <f>L69</f>
        <v/>
      </c>
      <c r="N69" s="76">
        <f>M69</f>
        <v/>
      </c>
      <c r="O69" s="76">
        <f>N69</f>
        <v/>
      </c>
      <c r="P69" s="76">
        <f>O69</f>
        <v/>
      </c>
      <c r="Q69" s="76">
        <f>P69</f>
        <v/>
      </c>
      <c r="R69" s="76">
        <f>SUMPRODUCT($F$56:$Q$56,$E69:$P69-$F69:$Q69)</f>
        <v/>
      </c>
      <c r="S69" s="76">
        <f>SUMPRODUCT($F$53:$Q$53,$F$55:$Q$55,$F69:$Q69)+0.5*SUMPRODUCT($F$53:$Q$53,$F$56:$Q$56,$E69:$P69-$F69:$Q69)</f>
        <v/>
      </c>
      <c r="T69" s="76">
        <f>(1-$F$50)*($D$51+R69)-$D$50*(($F$51+S69)-CDS_Parameters!$B$26)</f>
        <v/>
      </c>
    </row>
    <row r="70">
      <c r="B70" s="76">
        <f>IF(T69&lt;0,D69,B69)</f>
        <v/>
      </c>
      <c r="C70" s="76">
        <f>IF(T69&lt;0,C69,D69)</f>
        <v/>
      </c>
      <c r="D70" s="76">
        <f>(B70+C70)/2</f>
        <v/>
      </c>
      <c r="E70" s="76">
        <f>$B$51</f>
        <v/>
      </c>
      <c r="F70" s="76">
        <f>$B$51*EXP(-$D70*F$57)</f>
        <v/>
      </c>
      <c r="G70" s="76">
        <f>$B$51*EXP(-$D70*G$57)</f>
        <v/>
      </c>
      <c r="H70" s="76">
        <f>$B$51*EXP(-$D70*H$57)</f>
        <v/>
      </c>
      <c r="I70" s="76">
        <f>$B$51*EXP(-$D70*I$57)</f>
        <v/>
      </c>
      <c r="J70" s="76">
        <f>I70</f>
        <v/>
      </c>
      <c r="K70" s="76">
        <f>J70</f>
        <v/>
      </c>
      <c r="L70" s="76">
        <f>K70</f>
        <v/>
      </c>
      <c r="M70" s="76">
        <f>L70</f>
        <v/>
      </c>
      <c r="N70" s="76">
        <f>M70</f>
        <v/>
      </c>
      <c r="O70" s="76">
        <f>N70</f>
        <v/>
      </c>
      <c r="P70" s="76">
        <f>O70</f>
        <v/>
      </c>
      <c r="Q70" s="76">
        <f>P70</f>
        <v/>
      </c>
      <c r="R70" s="76">
        <f>SUMPRODUCT($F$56:$Q$56,$E70:$P70-$F70:$Q70)</f>
        <v/>
      </c>
      <c r="S70" s="76">
        <f>SUMPRODUCT($F$53:$Q$53,$F$55:$Q$55,$F70:$Q70)+0.5*SUMPRODUCT($F$53:$Q$53,$F$56:$Q$56,$E70:$P70-$F70:$Q70)</f>
        <v/>
      </c>
      <c r="T70" s="76">
        <f>(1-$F$50)*($D$51+R70)-$D$50*(($F$51+S70)-CDS_Parameters!$B$26)</f>
        <v/>
      </c>
    </row>
    <row r="71">
      <c r="B71" s="76">
        <f>IF(T70&lt;0,D70,B70)</f>
        <v/>
      </c>
      <c r="C71" s="76">
        <f>IF(T70&lt;0,C70,D70)</f>
        <v/>
      </c>
      <c r="D71" s="76">
        <f>(B71+C71)/2</f>
        <v/>
      </c>
      <c r="E71" s="76">
        <f>$B$51</f>
        <v/>
      </c>
      <c r="F71" s="76">
        <f>$B$51*EXP(-$D71*F$57)</f>
        <v/>
      </c>
      <c r="G71" s="76">
        <f>$B$51*EXP(-$D71*G$57)</f>
        <v/>
      </c>
      <c r="H71" s="76">
        <f>$B$51*EXP(-$D71*H$57)</f>
        <v/>
      </c>
      <c r="I71" s="76">
        <f>$B$51*EXP(-$D71*I$57)</f>
        <v/>
      </c>
      <c r="J71" s="76">
        <f>I71</f>
        <v/>
      </c>
      <c r="K71" s="76">
        <f>J71</f>
        <v/>
      </c>
      <c r="L71" s="76">
        <f>K71</f>
        <v/>
      </c>
      <c r="M71" s="76">
        <f>L71</f>
        <v/>
      </c>
      <c r="N71" s="76">
        <f>M71</f>
        <v/>
      </c>
      <c r="O71" s="76">
        <f>N71</f>
        <v/>
      </c>
      <c r="P71" s="76">
        <f>O71</f>
        <v/>
      </c>
      <c r="Q71" s="76">
        <f>P71</f>
        <v/>
      </c>
      <c r="R71" s="76">
        <f>SUMPRODUCT($F$56:$Q$56,$E71:$P71-$F71:$Q71)</f>
        <v/>
      </c>
      <c r="S71" s="76">
        <f>SUMPRODUCT($F$53:$Q$53,$F$55:$Q$55,$F71:$Q71)+0.5*SUMPRODUCT($F$53:$Q$53,$F$56:$Q$56,$E71:$P71-$F71:$Q71)</f>
        <v/>
      </c>
      <c r="T71" s="76">
        <f>(1-$F$50)*($D$51+R71)-$D$50*(($F$51+S71)-CDS_Parameters!$B$26)</f>
        <v/>
      </c>
    </row>
    <row r="72">
      <c r="B72" s="76">
        <f>IF(T71&lt;0,D71,B71)</f>
        <v/>
      </c>
      <c r="C72" s="76">
        <f>IF(T71&lt;0,C71,D71)</f>
        <v/>
      </c>
      <c r="D72" s="76">
        <f>(B72+C72)/2</f>
        <v/>
      </c>
      <c r="E72" s="76">
        <f>$B$51</f>
        <v/>
      </c>
      <c r="F72" s="76">
        <f>$B$51*EXP(-$D72*F$57)</f>
        <v/>
      </c>
      <c r="G72" s="76">
        <f>$B$51*EXP(-$D72*G$57)</f>
        <v/>
      </c>
      <c r="H72" s="76">
        <f>$B$51*EXP(-$D72*H$57)</f>
        <v/>
      </c>
      <c r="I72" s="76">
        <f>$B$51*EXP(-$D72*I$57)</f>
        <v/>
      </c>
      <c r="J72" s="76">
        <f>I72</f>
        <v/>
      </c>
      <c r="K72" s="76">
        <f>J72</f>
        <v/>
      </c>
      <c r="L72" s="76">
        <f>K72</f>
        <v/>
      </c>
      <c r="M72" s="76">
        <f>L72</f>
        <v/>
      </c>
      <c r="N72" s="76">
        <f>M72</f>
        <v/>
      </c>
      <c r="O72" s="76">
        <f>N72</f>
        <v/>
      </c>
      <c r="P72" s="76">
        <f>O72</f>
        <v/>
      </c>
      <c r="Q72" s="76">
        <f>P72</f>
        <v/>
      </c>
      <c r="R72" s="76">
        <f>SUMPRODUCT($F$56:$Q$56,$E72:$P72-$F72:$Q72)</f>
        <v/>
      </c>
      <c r="S72" s="76">
        <f>SUMPRODUCT($F$53:$Q$53,$F$55:$Q$55,$F72:$Q72)+0.5*SUMPRODUCT($F$53:$Q$53,$F$56:$Q$56,$E72:$P72-$F72:$Q72)</f>
        <v/>
      </c>
      <c r="T72" s="76">
        <f>(1-$F$50)*($D$51+R72)-$D$50*(($F$51+S72)-CDS_Parameters!$B$26)</f>
        <v/>
      </c>
    </row>
    <row r="73">
      <c r="B73" s="76">
        <f>IF(T72&lt;0,D72,B72)</f>
        <v/>
      </c>
      <c r="C73" s="76">
        <f>IF(T72&lt;0,C72,D72)</f>
        <v/>
      </c>
      <c r="D73" s="76">
        <f>(B73+C73)/2</f>
        <v/>
      </c>
      <c r="E73" s="76">
        <f>$B$51</f>
        <v/>
      </c>
      <c r="F73" s="76">
        <f>$B$51*EXP(-$D73*F$57)</f>
        <v/>
      </c>
      <c r="G73" s="76">
        <f>$B$51*EXP(-$D73*G$57)</f>
        <v/>
      </c>
      <c r="H73" s="76">
        <f>$B$51*EXP(-$D73*H$57)</f>
        <v/>
      </c>
      <c r="I73" s="76">
        <f>$B$51*EXP(-$D73*I$57)</f>
        <v/>
      </c>
      <c r="J73" s="76">
        <f>I73</f>
        <v/>
      </c>
      <c r="K73" s="76">
        <f>J73</f>
        <v/>
      </c>
      <c r="L73" s="76">
        <f>K73</f>
        <v/>
      </c>
      <c r="M73" s="76">
        <f>L73</f>
        <v/>
      </c>
      <c r="N73" s="76">
        <f>M73</f>
        <v/>
      </c>
      <c r="O73" s="76">
        <f>N73</f>
        <v/>
      </c>
      <c r="P73" s="76">
        <f>O73</f>
        <v/>
      </c>
      <c r="Q73" s="76">
        <f>P73</f>
        <v/>
      </c>
      <c r="R73" s="76">
        <f>SUMPRODUCT($F$56:$Q$56,$E73:$P73-$F73:$Q73)</f>
        <v/>
      </c>
      <c r="S73" s="76">
        <f>SUMPRODUCT($F$53:$Q$53,$F$55:$Q$55,$F73:$Q73)+0.5*SUMPRODUCT($F$53:$Q$53,$F$56:$Q$56,$E73:$P73-$F73:$Q73)</f>
        <v/>
      </c>
      <c r="T73" s="76">
        <f>(1-$F$50)*($D$51+R73)-$D$50*(($F$51+S73)-CDS_Parameters!$B$26)</f>
        <v/>
      </c>
    </row>
    <row r="74">
      <c r="B74" s="76">
        <f>IF(T73&lt;0,D73,B73)</f>
        <v/>
      </c>
      <c r="C74" s="76">
        <f>IF(T73&lt;0,C73,D73)</f>
        <v/>
      </c>
      <c r="D74" s="76">
        <f>(B74+C74)/2</f>
        <v/>
      </c>
      <c r="E74" s="76">
        <f>$B$51</f>
        <v/>
      </c>
      <c r="F74" s="76">
        <f>$B$51*EXP(-$D74*F$57)</f>
        <v/>
      </c>
      <c r="G74" s="76">
        <f>$B$51*EXP(-$D74*G$57)</f>
        <v/>
      </c>
      <c r="H74" s="76">
        <f>$B$51*EXP(-$D74*H$57)</f>
        <v/>
      </c>
      <c r="I74" s="76">
        <f>$B$51*EXP(-$D74*I$57)</f>
        <v/>
      </c>
      <c r="J74" s="76">
        <f>I74</f>
        <v/>
      </c>
      <c r="K74" s="76">
        <f>J74</f>
        <v/>
      </c>
      <c r="L74" s="76">
        <f>K74</f>
        <v/>
      </c>
      <c r="M74" s="76">
        <f>L74</f>
        <v/>
      </c>
      <c r="N74" s="76">
        <f>M74</f>
        <v/>
      </c>
      <c r="O74" s="76">
        <f>N74</f>
        <v/>
      </c>
      <c r="P74" s="76">
        <f>O74</f>
        <v/>
      </c>
      <c r="Q74" s="76">
        <f>P74</f>
        <v/>
      </c>
      <c r="R74" s="76">
        <f>SUMPRODUCT($F$56:$Q$56,$E74:$P74-$F74:$Q74)</f>
        <v/>
      </c>
      <c r="S74" s="76">
        <f>SUMPRODUCT($F$53:$Q$53,$F$55:$Q$55,$F74:$Q74)+0.5*SUMPRODUCT($F$53:$Q$53,$F$56:$Q$56,$E74:$P74-$F74:$Q74)</f>
        <v/>
      </c>
      <c r="T74" s="76">
        <f>(1-$F$50)*($D$51+R74)-$D$50*(($F$51+S74)-CDS_Parameters!$B$26)</f>
        <v/>
      </c>
    </row>
    <row r="75">
      <c r="B75" s="76">
        <f>IF(T74&lt;0,D74,B74)</f>
        <v/>
      </c>
      <c r="C75" s="76">
        <f>IF(T74&lt;0,C74,D74)</f>
        <v/>
      </c>
      <c r="D75" s="76">
        <f>(B75+C75)/2</f>
        <v/>
      </c>
      <c r="E75" s="76">
        <f>$B$51</f>
        <v/>
      </c>
      <c r="F75" s="76">
        <f>$B$51*EXP(-$D75*F$57)</f>
        <v/>
      </c>
      <c r="G75" s="76">
        <f>$B$51*EXP(-$D75*G$57)</f>
        <v/>
      </c>
      <c r="H75" s="76">
        <f>$B$51*EXP(-$D75*H$57)</f>
        <v/>
      </c>
      <c r="I75" s="76">
        <f>$B$51*EXP(-$D75*I$57)</f>
        <v/>
      </c>
      <c r="J75" s="76">
        <f>I75</f>
        <v/>
      </c>
      <c r="K75" s="76">
        <f>J75</f>
        <v/>
      </c>
      <c r="L75" s="76">
        <f>K75</f>
        <v/>
      </c>
      <c r="M75" s="76">
        <f>L75</f>
        <v/>
      </c>
      <c r="N75" s="76">
        <f>M75</f>
        <v/>
      </c>
      <c r="O75" s="76">
        <f>N75</f>
        <v/>
      </c>
      <c r="P75" s="76">
        <f>O75</f>
        <v/>
      </c>
      <c r="Q75" s="76">
        <f>P75</f>
        <v/>
      </c>
      <c r="R75" s="76">
        <f>SUMPRODUCT($F$56:$Q$56,$E75:$P75-$F75:$Q75)</f>
        <v/>
      </c>
      <c r="S75" s="76">
        <f>SUMPRODUCT($F$53:$Q$53,$F$55:$Q$55,$F75:$Q75)+0.5*SUMPRODUCT($F$53:$Q$53,$F$56:$Q$56,$E75:$P75-$F75:$Q75)</f>
        <v/>
      </c>
      <c r="T75" s="76">
        <f>(1-$F$50)*($D$51+R75)-$D$50*(($F$51+S75)-CDS_Parameters!$B$26)</f>
        <v/>
      </c>
    </row>
    <row r="76">
      <c r="B76" s="76">
        <f>IF(T75&lt;0,D75,B75)</f>
        <v/>
      </c>
      <c r="C76" s="76">
        <f>IF(T75&lt;0,C75,D75)</f>
        <v/>
      </c>
      <c r="D76" s="76">
        <f>(B76+C76)/2</f>
        <v/>
      </c>
      <c r="E76" s="76">
        <f>$B$51</f>
        <v/>
      </c>
      <c r="F76" s="76">
        <f>$B$51*EXP(-$D76*F$57)</f>
        <v/>
      </c>
      <c r="G76" s="76">
        <f>$B$51*EXP(-$D76*G$57)</f>
        <v/>
      </c>
      <c r="H76" s="76">
        <f>$B$51*EXP(-$D76*H$57)</f>
        <v/>
      </c>
      <c r="I76" s="76">
        <f>$B$51*EXP(-$D76*I$57)</f>
        <v/>
      </c>
      <c r="J76" s="76">
        <f>I76</f>
        <v/>
      </c>
      <c r="K76" s="76">
        <f>J76</f>
        <v/>
      </c>
      <c r="L76" s="76">
        <f>K76</f>
        <v/>
      </c>
      <c r="M76" s="76">
        <f>L76</f>
        <v/>
      </c>
      <c r="N76" s="76">
        <f>M76</f>
        <v/>
      </c>
      <c r="O76" s="76">
        <f>N76</f>
        <v/>
      </c>
      <c r="P76" s="76">
        <f>O76</f>
        <v/>
      </c>
      <c r="Q76" s="76">
        <f>P76</f>
        <v/>
      </c>
      <c r="R76" s="76">
        <f>SUMPRODUCT($F$56:$Q$56,$E76:$P76-$F76:$Q76)</f>
        <v/>
      </c>
      <c r="S76" s="76">
        <f>SUMPRODUCT($F$53:$Q$53,$F$55:$Q$55,$F76:$Q76)+0.5*SUMPRODUCT($F$53:$Q$53,$F$56:$Q$56,$E76:$P76-$F76:$Q76)</f>
        <v/>
      </c>
      <c r="T76" s="76">
        <f>(1-$F$50)*($D$51+R76)-$D$50*(($F$51+S76)-CDS_Parameters!$B$26)</f>
        <v/>
      </c>
    </row>
    <row r="77">
      <c r="B77" s="76">
        <f>IF(T76&lt;0,D76,B76)</f>
        <v/>
      </c>
      <c r="C77" s="76">
        <f>IF(T76&lt;0,C76,D76)</f>
        <v/>
      </c>
      <c r="D77" s="76">
        <f>(B77+C77)/2</f>
        <v/>
      </c>
      <c r="E77" s="76">
        <f>$B$51</f>
        <v/>
      </c>
      <c r="F77" s="76">
        <f>$B$51*EXP(-$D77*F$57)</f>
        <v/>
      </c>
      <c r="G77" s="76">
        <f>$B$51*EXP(-$D77*G$57)</f>
        <v/>
      </c>
      <c r="H77" s="76">
        <f>$B$51*EXP(-$D77*H$57)</f>
        <v/>
      </c>
      <c r="I77" s="76">
        <f>$B$51*EXP(-$D77*I$57)</f>
        <v/>
      </c>
      <c r="J77" s="76">
        <f>I77</f>
        <v/>
      </c>
      <c r="K77" s="76">
        <f>J77</f>
        <v/>
      </c>
      <c r="L77" s="76">
        <f>K77</f>
        <v/>
      </c>
      <c r="M77" s="76">
        <f>L77</f>
        <v/>
      </c>
      <c r="N77" s="76">
        <f>M77</f>
        <v/>
      </c>
      <c r="O77" s="76">
        <f>N77</f>
        <v/>
      </c>
      <c r="P77" s="76">
        <f>O77</f>
        <v/>
      </c>
      <c r="Q77" s="76">
        <f>P77</f>
        <v/>
      </c>
      <c r="R77" s="76">
        <f>SUMPRODUCT($F$56:$Q$56,$E77:$P77-$F77:$Q77)</f>
        <v/>
      </c>
      <c r="S77" s="76">
        <f>SUMPRODUCT($F$53:$Q$53,$F$55:$Q$55,$F77:$Q77)+0.5*SUMPRODUCT($F$53:$Q$53,$F$56:$Q$56,$E77:$P77-$F77:$Q77)</f>
        <v/>
      </c>
      <c r="T77" s="76">
        <f>(1-$F$50)*($D$51+R77)-$D$50*(($F$51+S77)-CDS_Parameters!$B$26)</f>
        <v/>
      </c>
    </row>
    <row r="78">
      <c r="B78" s="76">
        <f>IF(T77&lt;0,D77,B77)</f>
        <v/>
      </c>
      <c r="C78" s="76">
        <f>IF(T77&lt;0,C77,D77)</f>
        <v/>
      </c>
      <c r="D78" s="76">
        <f>(B78+C78)/2</f>
        <v/>
      </c>
      <c r="E78" s="76">
        <f>$B$51</f>
        <v/>
      </c>
      <c r="F78" s="76">
        <f>$B$51*EXP(-$D78*F$57)</f>
        <v/>
      </c>
      <c r="G78" s="76">
        <f>$B$51*EXP(-$D78*G$57)</f>
        <v/>
      </c>
      <c r="H78" s="76">
        <f>$B$51*EXP(-$D78*H$57)</f>
        <v/>
      </c>
      <c r="I78" s="76">
        <f>$B$51*EXP(-$D78*I$57)</f>
        <v/>
      </c>
      <c r="J78" s="76">
        <f>I78</f>
        <v/>
      </c>
      <c r="K78" s="76">
        <f>J78</f>
        <v/>
      </c>
      <c r="L78" s="76">
        <f>K78</f>
        <v/>
      </c>
      <c r="M78" s="76">
        <f>L78</f>
        <v/>
      </c>
      <c r="N78" s="76">
        <f>M78</f>
        <v/>
      </c>
      <c r="O78" s="76">
        <f>N78</f>
        <v/>
      </c>
      <c r="P78" s="76">
        <f>O78</f>
        <v/>
      </c>
      <c r="Q78" s="76">
        <f>P78</f>
        <v/>
      </c>
      <c r="R78" s="76">
        <f>SUMPRODUCT($F$56:$Q$56,$E78:$P78-$F78:$Q78)</f>
        <v/>
      </c>
      <c r="S78" s="76">
        <f>SUMPRODUCT($F$53:$Q$53,$F$55:$Q$55,$F78:$Q78)+0.5*SUMPRODUCT($F$53:$Q$53,$F$56:$Q$56,$E78:$P78-$F78:$Q78)</f>
        <v/>
      </c>
      <c r="T78" s="76">
        <f>(1-$F$50)*($D$51+R78)-$D$50*(($F$51+S78)-CDS_Parameters!$B$26)</f>
        <v/>
      </c>
    </row>
    <row r="79">
      <c r="B79" s="76">
        <f>IF(T78&lt;0,D78,B78)</f>
        <v/>
      </c>
      <c r="C79" s="76">
        <f>IF(T78&lt;0,C78,D78)</f>
        <v/>
      </c>
      <c r="D79" s="76">
        <f>(B79+C79)/2</f>
        <v/>
      </c>
      <c r="E79" s="76">
        <f>$B$51</f>
        <v/>
      </c>
      <c r="F79" s="76">
        <f>$B$51*EXP(-$D79*F$57)</f>
        <v/>
      </c>
      <c r="G79" s="76">
        <f>$B$51*EXP(-$D79*G$57)</f>
        <v/>
      </c>
      <c r="H79" s="76">
        <f>$B$51*EXP(-$D79*H$57)</f>
        <v/>
      </c>
      <c r="I79" s="76">
        <f>$B$51*EXP(-$D79*I$57)</f>
        <v/>
      </c>
      <c r="J79" s="76">
        <f>I79</f>
        <v/>
      </c>
      <c r="K79" s="76">
        <f>J79</f>
        <v/>
      </c>
      <c r="L79" s="76">
        <f>K79</f>
        <v/>
      </c>
      <c r="M79" s="76">
        <f>L79</f>
        <v/>
      </c>
      <c r="N79" s="76">
        <f>M79</f>
        <v/>
      </c>
      <c r="O79" s="76">
        <f>N79</f>
        <v/>
      </c>
      <c r="P79" s="76">
        <f>O79</f>
        <v/>
      </c>
      <c r="Q79" s="76">
        <f>P79</f>
        <v/>
      </c>
      <c r="R79" s="76">
        <f>SUMPRODUCT($F$56:$Q$56,$E79:$P79-$F79:$Q79)</f>
        <v/>
      </c>
      <c r="S79" s="76">
        <f>SUMPRODUCT($F$53:$Q$53,$F$55:$Q$55,$F79:$Q79)+0.5*SUMPRODUCT($F$53:$Q$53,$F$56:$Q$56,$E79:$P79-$F79:$Q79)</f>
        <v/>
      </c>
      <c r="T79" s="76">
        <f>(1-$F$50)*($D$51+R79)-$D$50*(($F$51+S79)-CDS_Parameters!$B$26)</f>
        <v/>
      </c>
    </row>
    <row r="80">
      <c r="B80" s="76">
        <f>IF(T79&lt;0,D79,B79)</f>
        <v/>
      </c>
      <c r="C80" s="76">
        <f>IF(T79&lt;0,C79,D79)</f>
        <v/>
      </c>
      <c r="D80" s="76">
        <f>(B80+C80)/2</f>
        <v/>
      </c>
      <c r="E80" s="76">
        <f>$B$51</f>
        <v/>
      </c>
      <c r="F80" s="76">
        <f>$B$51*EXP(-$D80*F$57)</f>
        <v/>
      </c>
      <c r="G80" s="76">
        <f>$B$51*EXP(-$D80*G$57)</f>
        <v/>
      </c>
      <c r="H80" s="76">
        <f>$B$51*EXP(-$D80*H$57)</f>
        <v/>
      </c>
      <c r="I80" s="76">
        <f>$B$51*EXP(-$D80*I$57)</f>
        <v/>
      </c>
      <c r="J80" s="76">
        <f>I80</f>
        <v/>
      </c>
      <c r="K80" s="76">
        <f>J80</f>
        <v/>
      </c>
      <c r="L80" s="76">
        <f>K80</f>
        <v/>
      </c>
      <c r="M80" s="76">
        <f>L80</f>
        <v/>
      </c>
      <c r="N80" s="76">
        <f>M80</f>
        <v/>
      </c>
      <c r="O80" s="76">
        <f>N80</f>
        <v/>
      </c>
      <c r="P80" s="76">
        <f>O80</f>
        <v/>
      </c>
      <c r="Q80" s="76">
        <f>P80</f>
        <v/>
      </c>
      <c r="R80" s="76">
        <f>SUMPRODUCT($F$56:$Q$56,$E80:$P80-$F80:$Q80)</f>
        <v/>
      </c>
      <c r="S80" s="76">
        <f>SUMPRODUCT($F$53:$Q$53,$F$55:$Q$55,$F80:$Q80)+0.5*SUMPRODUCT($F$53:$Q$53,$F$56:$Q$56,$E80:$P80-$F80:$Q80)</f>
        <v/>
      </c>
      <c r="T80" s="76">
        <f>(1-$F$50)*($D$51+R80)-$D$50*(($F$51+S80)-CDS_Parameters!$B$26)</f>
        <v/>
      </c>
    </row>
    <row r="81">
      <c r="B81" s="76">
        <f>IF(T80&lt;0,D80,B80)</f>
        <v/>
      </c>
      <c r="C81" s="76">
        <f>IF(T80&lt;0,C80,D80)</f>
        <v/>
      </c>
      <c r="D81" s="76">
        <f>(B81+C81)/2</f>
        <v/>
      </c>
      <c r="E81" s="76">
        <f>$B$51</f>
        <v/>
      </c>
      <c r="F81" s="76">
        <f>$B$51*EXP(-$D81*F$57)</f>
        <v/>
      </c>
      <c r="G81" s="76">
        <f>$B$51*EXP(-$D81*G$57)</f>
        <v/>
      </c>
      <c r="H81" s="76">
        <f>$B$51*EXP(-$D81*H$57)</f>
        <v/>
      </c>
      <c r="I81" s="76">
        <f>$B$51*EXP(-$D81*I$57)</f>
        <v/>
      </c>
      <c r="J81" s="76">
        <f>I81</f>
        <v/>
      </c>
      <c r="K81" s="76">
        <f>J81</f>
        <v/>
      </c>
      <c r="L81" s="76">
        <f>K81</f>
        <v/>
      </c>
      <c r="M81" s="76">
        <f>L81</f>
        <v/>
      </c>
      <c r="N81" s="76">
        <f>M81</f>
        <v/>
      </c>
      <c r="O81" s="76">
        <f>N81</f>
        <v/>
      </c>
      <c r="P81" s="76">
        <f>O81</f>
        <v/>
      </c>
      <c r="Q81" s="76">
        <f>P81</f>
        <v/>
      </c>
      <c r="R81" s="76">
        <f>SUMPRODUCT($F$56:$Q$56,$E81:$P81-$F81:$Q81)</f>
        <v/>
      </c>
      <c r="S81" s="76">
        <f>SUMPRODUCT($F$53:$Q$53,$F$55:$Q$55,$F81:$Q81)+0.5*SUMPRODUCT($F$53:$Q$53,$F$56:$Q$56,$E81:$P81-$F81:$Q81)</f>
        <v/>
      </c>
      <c r="T81" s="76">
        <f>(1-$F$50)*($D$51+R81)-$D$50*(($F$51+S81)-CDS_Parameters!$B$26)</f>
        <v/>
      </c>
    </row>
    <row r="82">
      <c r="B82" s="76">
        <f>IF(T81&lt;0,D81,B81)</f>
        <v/>
      </c>
      <c r="C82" s="76">
        <f>IF(T81&lt;0,C81,D81)</f>
        <v/>
      </c>
      <c r="D82" s="76">
        <f>(B82+C82)/2</f>
        <v/>
      </c>
      <c r="E82" s="76">
        <f>$B$51</f>
        <v/>
      </c>
      <c r="F82" s="76">
        <f>$B$51*EXP(-$D82*F$57)</f>
        <v/>
      </c>
      <c r="G82" s="76">
        <f>$B$51*EXP(-$D82*G$57)</f>
        <v/>
      </c>
      <c r="H82" s="76">
        <f>$B$51*EXP(-$D82*H$57)</f>
        <v/>
      </c>
      <c r="I82" s="76">
        <f>$B$51*EXP(-$D82*I$57)</f>
        <v/>
      </c>
      <c r="J82" s="76">
        <f>I82</f>
        <v/>
      </c>
      <c r="K82" s="76">
        <f>J82</f>
        <v/>
      </c>
      <c r="L82" s="76">
        <f>K82</f>
        <v/>
      </c>
      <c r="M82" s="76">
        <f>L82</f>
        <v/>
      </c>
      <c r="N82" s="76">
        <f>M82</f>
        <v/>
      </c>
      <c r="O82" s="76">
        <f>N82</f>
        <v/>
      </c>
      <c r="P82" s="76">
        <f>O82</f>
        <v/>
      </c>
      <c r="Q82" s="76">
        <f>P82</f>
        <v/>
      </c>
      <c r="R82" s="76">
        <f>SUMPRODUCT($F$56:$Q$56,$E82:$P82-$F82:$Q82)</f>
        <v/>
      </c>
      <c r="S82" s="76">
        <f>SUMPRODUCT($F$53:$Q$53,$F$55:$Q$55,$F82:$Q82)+0.5*SUMPRODUCT($F$53:$Q$53,$F$56:$Q$56,$E82:$P82-$F82:$Q82)</f>
        <v/>
      </c>
      <c r="T82" s="76">
        <f>(1-$F$50)*($D$51+R82)-$D$50*(($F$51+S82)-CDS_Parameters!$B$26)</f>
        <v/>
      </c>
    </row>
    <row r="83">
      <c r="B83" s="76">
        <f>IF(T82&lt;0,D82,B82)</f>
        <v/>
      </c>
      <c r="C83" s="76">
        <f>IF(T82&lt;0,C82,D82)</f>
        <v/>
      </c>
      <c r="D83" s="76">
        <f>(B83+C83)/2</f>
        <v/>
      </c>
      <c r="E83" s="76">
        <f>$B$51</f>
        <v/>
      </c>
      <c r="F83" s="76">
        <f>$B$51*EXP(-$D83*F$57)</f>
        <v/>
      </c>
      <c r="G83" s="76">
        <f>$B$51*EXP(-$D83*G$57)</f>
        <v/>
      </c>
      <c r="H83" s="76">
        <f>$B$51*EXP(-$D83*H$57)</f>
        <v/>
      </c>
      <c r="I83" s="76">
        <f>$B$51*EXP(-$D83*I$57)</f>
        <v/>
      </c>
      <c r="J83" s="76">
        <f>I83</f>
        <v/>
      </c>
      <c r="K83" s="76">
        <f>J83</f>
        <v/>
      </c>
      <c r="L83" s="76">
        <f>K83</f>
        <v/>
      </c>
      <c r="M83" s="76">
        <f>L83</f>
        <v/>
      </c>
      <c r="N83" s="76">
        <f>M83</f>
        <v/>
      </c>
      <c r="O83" s="76">
        <f>N83</f>
        <v/>
      </c>
      <c r="P83" s="76">
        <f>O83</f>
        <v/>
      </c>
      <c r="Q83" s="76">
        <f>P83</f>
        <v/>
      </c>
      <c r="R83" s="76">
        <f>SUMPRODUCT($F$56:$Q$56,$E83:$P83-$F83:$Q83)</f>
        <v/>
      </c>
      <c r="S83" s="76">
        <f>SUMPRODUCT($F$53:$Q$53,$F$55:$Q$55,$F83:$Q83)+0.5*SUMPRODUCT($F$53:$Q$53,$F$56:$Q$56,$E83:$P83-$F83:$Q83)</f>
        <v/>
      </c>
      <c r="T83" s="76">
        <f>(1-$F$50)*($D$51+R83)-$D$50*(($F$51+S83)-CDS_Parameters!$B$26)</f>
        <v/>
      </c>
    </row>
    <row r="84">
      <c r="B84" s="76">
        <f>IF(T83&lt;0,D83,B83)</f>
        <v/>
      </c>
      <c r="C84" s="76">
        <f>IF(T83&lt;0,C83,D83)</f>
        <v/>
      </c>
      <c r="D84" s="76">
        <f>(B84+C84)/2</f>
        <v/>
      </c>
      <c r="E84" s="76">
        <f>$B$51</f>
        <v/>
      </c>
      <c r="F84" s="76">
        <f>$B$51*EXP(-$D84*F$57)</f>
        <v/>
      </c>
      <c r="G84" s="76">
        <f>$B$51*EXP(-$D84*G$57)</f>
        <v/>
      </c>
      <c r="H84" s="76">
        <f>$B$51*EXP(-$D84*H$57)</f>
        <v/>
      </c>
      <c r="I84" s="76">
        <f>$B$51*EXP(-$D84*I$57)</f>
        <v/>
      </c>
      <c r="J84" s="76">
        <f>I84</f>
        <v/>
      </c>
      <c r="K84" s="76">
        <f>J84</f>
        <v/>
      </c>
      <c r="L84" s="76">
        <f>K84</f>
        <v/>
      </c>
      <c r="M84" s="76">
        <f>L84</f>
        <v/>
      </c>
      <c r="N84" s="76">
        <f>M84</f>
        <v/>
      </c>
      <c r="O84" s="76">
        <f>N84</f>
        <v/>
      </c>
      <c r="P84" s="76">
        <f>O84</f>
        <v/>
      </c>
      <c r="Q84" s="76">
        <f>P84</f>
        <v/>
      </c>
      <c r="R84" s="76">
        <f>SUMPRODUCT($F$56:$Q$56,$E84:$P84-$F84:$Q84)</f>
        <v/>
      </c>
      <c r="S84" s="76">
        <f>SUMPRODUCT($F$53:$Q$53,$F$55:$Q$55,$F84:$Q84)+0.5*SUMPRODUCT($F$53:$Q$53,$F$56:$Q$56,$E84:$P84-$F84:$Q84)</f>
        <v/>
      </c>
      <c r="T84" s="76">
        <f>(1-$F$50)*($D$51+R84)-$D$50*(($F$51+S84)-CDS_Parameters!$B$26)</f>
        <v/>
      </c>
    </row>
    <row r="85">
      <c r="B85" s="76">
        <f>IF(T84&lt;0,D84,B84)</f>
        <v/>
      </c>
      <c r="C85" s="76">
        <f>IF(T84&lt;0,C84,D84)</f>
        <v/>
      </c>
      <c r="D85" s="76">
        <f>(B85+C85)/2</f>
        <v/>
      </c>
      <c r="E85" s="76">
        <f>$B$51</f>
        <v/>
      </c>
      <c r="F85" s="76">
        <f>$B$51*EXP(-$D85*F$57)</f>
        <v/>
      </c>
      <c r="G85" s="76">
        <f>$B$51*EXP(-$D85*G$57)</f>
        <v/>
      </c>
      <c r="H85" s="76">
        <f>$B$51*EXP(-$D85*H$57)</f>
        <v/>
      </c>
      <c r="I85" s="76">
        <f>$B$51*EXP(-$D85*I$57)</f>
        <v/>
      </c>
      <c r="J85" s="76">
        <f>I85</f>
        <v/>
      </c>
      <c r="K85" s="76">
        <f>J85</f>
        <v/>
      </c>
      <c r="L85" s="76">
        <f>K85</f>
        <v/>
      </c>
      <c r="M85" s="76">
        <f>L85</f>
        <v/>
      </c>
      <c r="N85" s="76">
        <f>M85</f>
        <v/>
      </c>
      <c r="O85" s="76">
        <f>N85</f>
        <v/>
      </c>
      <c r="P85" s="76">
        <f>O85</f>
        <v/>
      </c>
      <c r="Q85" s="76">
        <f>P85</f>
        <v/>
      </c>
      <c r="R85" s="76">
        <f>SUMPRODUCT($F$56:$Q$56,$E85:$P85-$F85:$Q85)</f>
        <v/>
      </c>
      <c r="S85" s="76">
        <f>SUMPRODUCT($F$53:$Q$53,$F$55:$Q$55,$F85:$Q85)+0.5*SUMPRODUCT($F$53:$Q$53,$F$56:$Q$56,$E85:$P85-$F85:$Q85)</f>
        <v/>
      </c>
      <c r="T85" s="76">
        <f>(1-$F$50)*($D$51+R85)-$D$50*(($F$51+S85)-CDS_Parameters!$B$26)</f>
        <v/>
      </c>
    </row>
    <row r="86">
      <c r="B86" s="76">
        <f>IF(T85&lt;0,D85,B85)</f>
        <v/>
      </c>
      <c r="C86" s="76">
        <f>IF(T85&lt;0,C85,D85)</f>
        <v/>
      </c>
      <c r="D86" s="76">
        <f>(B86+C86)/2</f>
        <v/>
      </c>
      <c r="E86" s="76">
        <f>$B$51</f>
        <v/>
      </c>
      <c r="F86" s="76">
        <f>$B$51*EXP(-$D86*F$57)</f>
        <v/>
      </c>
      <c r="G86" s="76">
        <f>$B$51*EXP(-$D86*G$57)</f>
        <v/>
      </c>
      <c r="H86" s="76">
        <f>$B$51*EXP(-$D86*H$57)</f>
        <v/>
      </c>
      <c r="I86" s="76">
        <f>$B$51*EXP(-$D86*I$57)</f>
        <v/>
      </c>
      <c r="J86" s="76">
        <f>I86</f>
        <v/>
      </c>
      <c r="K86" s="76">
        <f>J86</f>
        <v/>
      </c>
      <c r="L86" s="76">
        <f>K86</f>
        <v/>
      </c>
      <c r="M86" s="76">
        <f>L86</f>
        <v/>
      </c>
      <c r="N86" s="76">
        <f>M86</f>
        <v/>
      </c>
      <c r="O86" s="76">
        <f>N86</f>
        <v/>
      </c>
      <c r="P86" s="76">
        <f>O86</f>
        <v/>
      </c>
      <c r="Q86" s="76">
        <f>P86</f>
        <v/>
      </c>
      <c r="R86" s="76">
        <f>SUMPRODUCT($F$56:$Q$56,$E86:$P86-$F86:$Q86)</f>
        <v/>
      </c>
      <c r="S86" s="76">
        <f>SUMPRODUCT($F$53:$Q$53,$F$55:$Q$55,$F86:$Q86)+0.5*SUMPRODUCT($F$53:$Q$53,$F$56:$Q$56,$E86:$P86-$F86:$Q86)</f>
        <v/>
      </c>
      <c r="T86" s="76">
        <f>(1-$F$50)*($D$51+R86)-$D$50*(($F$51+S86)-CDS_Parameters!$B$26)</f>
        <v/>
      </c>
    </row>
    <row r="87">
      <c r="B87" s="76">
        <f>IF(T86&lt;0,D86,B86)</f>
        <v/>
      </c>
      <c r="C87" s="76">
        <f>IF(T86&lt;0,C86,D86)</f>
        <v/>
      </c>
      <c r="D87" s="76">
        <f>(B87+C87)/2</f>
        <v/>
      </c>
      <c r="E87" s="76">
        <f>$B$51</f>
        <v/>
      </c>
      <c r="F87" s="76">
        <f>$B$51*EXP(-$D87*F$57)</f>
        <v/>
      </c>
      <c r="G87" s="76">
        <f>$B$51*EXP(-$D87*G$57)</f>
        <v/>
      </c>
      <c r="H87" s="76">
        <f>$B$51*EXP(-$D87*H$57)</f>
        <v/>
      </c>
      <c r="I87" s="76">
        <f>$B$51*EXP(-$D87*I$57)</f>
        <v/>
      </c>
      <c r="J87" s="76">
        <f>I87</f>
        <v/>
      </c>
      <c r="K87" s="76">
        <f>J87</f>
        <v/>
      </c>
      <c r="L87" s="76">
        <f>K87</f>
        <v/>
      </c>
      <c r="M87" s="76">
        <f>L87</f>
        <v/>
      </c>
      <c r="N87" s="76">
        <f>M87</f>
        <v/>
      </c>
      <c r="O87" s="76">
        <f>N87</f>
        <v/>
      </c>
      <c r="P87" s="76">
        <f>O87</f>
        <v/>
      </c>
      <c r="Q87" s="76">
        <f>P87</f>
        <v/>
      </c>
      <c r="R87" s="76">
        <f>SUMPRODUCT($F$56:$Q$56,$E87:$P87-$F87:$Q87)</f>
        <v/>
      </c>
      <c r="S87" s="76">
        <f>SUMPRODUCT($F$53:$Q$53,$F$55:$Q$55,$F87:$Q87)+0.5*SUMPRODUCT($F$53:$Q$53,$F$56:$Q$56,$E87:$P87-$F87:$Q87)</f>
        <v/>
      </c>
      <c r="T87" s="76">
        <f>(1-$F$50)*($D$51+R87)-$D$50*(($F$51+S87)-CDS_Parameters!$B$26)</f>
        <v/>
      </c>
    </row>
    <row r="88">
      <c r="B88" s="76">
        <f>IF(T87&lt;0,D87,B87)</f>
        <v/>
      </c>
      <c r="C88" s="76">
        <f>IF(T87&lt;0,C87,D87)</f>
        <v/>
      </c>
      <c r="D88" s="76">
        <f>(B88+C88)/2</f>
        <v/>
      </c>
      <c r="E88" s="76">
        <f>$B$51</f>
        <v/>
      </c>
      <c r="F88" s="76">
        <f>$B$51*EXP(-$D88*F$57)</f>
        <v/>
      </c>
      <c r="G88" s="76">
        <f>$B$51*EXP(-$D88*G$57)</f>
        <v/>
      </c>
      <c r="H88" s="76">
        <f>$B$51*EXP(-$D88*H$57)</f>
        <v/>
      </c>
      <c r="I88" s="76">
        <f>$B$51*EXP(-$D88*I$57)</f>
        <v/>
      </c>
      <c r="J88" s="76">
        <f>I88</f>
        <v/>
      </c>
      <c r="K88" s="76">
        <f>J88</f>
        <v/>
      </c>
      <c r="L88" s="76">
        <f>K88</f>
        <v/>
      </c>
      <c r="M88" s="76">
        <f>L88</f>
        <v/>
      </c>
      <c r="N88" s="76">
        <f>M88</f>
        <v/>
      </c>
      <c r="O88" s="76">
        <f>N88</f>
        <v/>
      </c>
      <c r="P88" s="76">
        <f>O88</f>
        <v/>
      </c>
      <c r="Q88" s="76">
        <f>P88</f>
        <v/>
      </c>
      <c r="R88" s="76">
        <f>SUMPRODUCT($F$56:$Q$56,$E88:$P88-$F88:$Q88)</f>
        <v/>
      </c>
      <c r="S88" s="76">
        <f>SUMPRODUCT($F$53:$Q$53,$F$55:$Q$55,$F88:$Q88)+0.5*SUMPRODUCT($F$53:$Q$53,$F$56:$Q$56,$E88:$P88-$F88:$Q88)</f>
        <v/>
      </c>
      <c r="T88" s="76">
        <f>(1-$F$50)*($D$51+R88)-$D$50*(($F$51+S88)-CDS_Parameters!$B$26)</f>
        <v/>
      </c>
    </row>
    <row r="89">
      <c r="A89" s="67" t="inlineStr">
        <is>
          <t>lambda2 SOLVED</t>
        </is>
      </c>
      <c r="B89" s="71">
        <f>D88</f>
        <v/>
      </c>
      <c r="C89" s="67" t="inlineStr">
        <is>
          <t>resid</t>
        </is>
      </c>
      <c r="D89" s="72">
        <f>T88</f>
        <v/>
      </c>
      <c r="E89" s="67" t="inlineStr">
        <is>
          <t>Q(T_k)</t>
        </is>
      </c>
      <c r="F89" s="76">
        <f>Q88</f>
        <v/>
      </c>
      <c r="G89" s="67" t="inlineStr">
        <is>
          <t>ProtCum</t>
        </is>
      </c>
      <c r="H89" s="76">
        <f>$D$51+R88</f>
        <v/>
      </c>
      <c r="I89" s="67" t="inlineStr">
        <is>
          <t>RPV01Cum</t>
        </is>
      </c>
      <c r="J89" s="76">
        <f>$F$51+S88</f>
        <v/>
      </c>
      <c r="K89" s="67" t="inlineStr">
        <is>
          <t>model S (bp)</t>
        </is>
      </c>
      <c r="L89" s="63">
        <f>IFERROR((1-$F$50)*H89/J89*10000,0)</f>
        <v/>
      </c>
    </row>
    <row r="92">
      <c r="A92" s="73" t="inlineStr">
        <is>
          <t>TENOR 3Y   —   periods 9-12   —   solve lambda3</t>
        </is>
      </c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n"/>
      <c r="Q92" s="74" t="n"/>
      <c r="R92" s="74" t="n"/>
      <c r="S92" s="74" t="n"/>
      <c r="T92" s="74" t="n"/>
    </row>
    <row r="93">
      <c r="A93" s="67" t="inlineStr">
        <is>
          <t>market S (bp)</t>
        </is>
      </c>
      <c r="B93" s="75">
        <f>Hazard_Bootstrap!$C$9</f>
        <v/>
      </c>
      <c r="C93" s="67" t="inlineStr">
        <is>
          <t>S (dec)</t>
        </is>
      </c>
      <c r="D93" s="76">
        <f>B93/10000</f>
        <v/>
      </c>
      <c r="E93" s="67" t="inlineStr">
        <is>
          <t>recovery R</t>
        </is>
      </c>
      <c r="F93" s="77">
        <f>CDS_Parameters!$B$8</f>
        <v/>
      </c>
    </row>
    <row r="94">
      <c r="A94" s="67" t="inlineStr">
        <is>
          <t>Q(start)</t>
        </is>
      </c>
      <c r="B94" s="76">
        <f>$F$89</f>
        <v/>
      </c>
      <c r="C94" s="67" t="inlineStr">
        <is>
          <t>ProtFixed</t>
        </is>
      </c>
      <c r="D94" s="76">
        <f>$H$89</f>
        <v/>
      </c>
      <c r="E94" s="67" t="inlineStr">
        <is>
          <t>RPV01Fixed</t>
        </is>
      </c>
      <c r="F94" s="76">
        <f>$J$89</f>
        <v/>
      </c>
    </row>
    <row r="95">
      <c r="A95" s="67" t="inlineStr">
        <is>
          <t>period</t>
        </is>
      </c>
      <c r="F95" s="78" t="n">
        <v>9</v>
      </c>
      <c r="G95" s="78" t="n">
        <v>10</v>
      </c>
      <c r="H95" s="78" t="n">
        <v>11</v>
      </c>
      <c r="I95" s="78" t="n">
        <v>12</v>
      </c>
      <c r="J95" s="78" t="inlineStr"/>
      <c r="K95" s="78" t="inlineStr"/>
      <c r="L95" s="78" t="inlineStr"/>
      <c r="M95" s="78" t="inlineStr"/>
      <c r="N95" s="78" t="inlineStr"/>
      <c r="O95" s="78" t="inlineStr"/>
      <c r="P95" s="78" t="inlineStr"/>
      <c r="Q95" s="78" t="inlineStr"/>
    </row>
    <row r="96">
      <c r="A96" s="67" t="inlineStr">
        <is>
          <t>alpha 360</t>
        </is>
      </c>
      <c r="F96" s="79">
        <f>CDS_Schedule!$D$15</f>
        <v/>
      </c>
      <c r="G96" s="79">
        <f>CDS_Schedule!$D$16</f>
        <v/>
      </c>
      <c r="H96" s="79">
        <f>CDS_Schedule!$D$17</f>
        <v/>
      </c>
      <c r="I96" s="79">
        <f>CDS_Schedule!$D$18</f>
        <v/>
      </c>
      <c r="J96" s="80" t="n">
        <v>0</v>
      </c>
      <c r="K96" s="80" t="n">
        <v>0</v>
      </c>
      <c r="L96" s="80" t="n">
        <v>0</v>
      </c>
      <c r="M96" s="80" t="n">
        <v>0</v>
      </c>
      <c r="N96" s="80" t="n">
        <v>0</v>
      </c>
      <c r="O96" s="80" t="n">
        <v>0</v>
      </c>
      <c r="P96" s="80" t="n">
        <v>0</v>
      </c>
      <c r="Q96" s="80" t="n">
        <v>0</v>
      </c>
    </row>
    <row r="97">
      <c r="A97" s="67" t="inlineStr">
        <is>
          <t>dt 365</t>
        </is>
      </c>
      <c r="F97" s="79">
        <f>CDS_Schedule!$E$15</f>
        <v/>
      </c>
      <c r="G97" s="79">
        <f>CDS_Schedule!$E$16</f>
        <v/>
      </c>
      <c r="H97" s="79">
        <f>CDS_Schedule!$E$17</f>
        <v/>
      </c>
      <c r="I97" s="79">
        <f>CDS_Schedule!$E$18</f>
        <v/>
      </c>
      <c r="J97" s="80" t="n">
        <v>0</v>
      </c>
      <c r="K97" s="80" t="n">
        <v>0</v>
      </c>
      <c r="L97" s="80" t="n">
        <v>0</v>
      </c>
      <c r="M97" s="80" t="n">
        <v>0</v>
      </c>
      <c r="N97" s="80" t="n">
        <v>0</v>
      </c>
      <c r="O97" s="80" t="n">
        <v>0</v>
      </c>
      <c r="P97" s="80" t="n">
        <v>0</v>
      </c>
      <c r="Q97" s="80" t="n">
        <v>0</v>
      </c>
    </row>
    <row r="98">
      <c r="A98" s="67" t="inlineStr">
        <is>
          <t>DF(end)</t>
        </is>
      </c>
      <c r="F98" s="79">
        <f>CDS_Schedule!$G$15</f>
        <v/>
      </c>
      <c r="G98" s="79">
        <f>CDS_Schedule!$G$16</f>
        <v/>
      </c>
      <c r="H98" s="79">
        <f>CDS_Schedule!$G$17</f>
        <v/>
      </c>
      <c r="I98" s="79">
        <f>CDS_Schedule!$G$18</f>
        <v/>
      </c>
      <c r="J98" s="80" t="n">
        <v>0</v>
      </c>
      <c r="K98" s="80" t="n">
        <v>0</v>
      </c>
      <c r="L98" s="80" t="n">
        <v>0</v>
      </c>
      <c r="M98" s="80" t="n">
        <v>0</v>
      </c>
      <c r="N98" s="80" t="n">
        <v>0</v>
      </c>
      <c r="O98" s="80" t="n">
        <v>0</v>
      </c>
      <c r="P98" s="80" t="n">
        <v>0</v>
      </c>
      <c r="Q98" s="80" t="n">
        <v>0</v>
      </c>
    </row>
    <row r="99">
      <c r="A99" s="67" t="inlineStr">
        <is>
          <t>DF(mid)</t>
        </is>
      </c>
      <c r="F99" s="79">
        <f>CDS_Schedule!$H$15</f>
        <v/>
      </c>
      <c r="G99" s="79">
        <f>CDS_Schedule!$H$16</f>
        <v/>
      </c>
      <c r="H99" s="79">
        <f>CDS_Schedule!$H$17</f>
        <v/>
      </c>
      <c r="I99" s="79">
        <f>CDS_Schedule!$H$18</f>
        <v/>
      </c>
      <c r="J99" s="80" t="n">
        <v>0</v>
      </c>
      <c r="K99" s="80" t="n">
        <v>0</v>
      </c>
      <c r="L99" s="80" t="n">
        <v>0</v>
      </c>
      <c r="M99" s="80" t="n">
        <v>0</v>
      </c>
      <c r="N99" s="80" t="n">
        <v>0</v>
      </c>
      <c r="O99" s="80" t="n">
        <v>0</v>
      </c>
      <c r="P99" s="80" t="n">
        <v>0</v>
      </c>
      <c r="Q99" s="80" t="n">
        <v>0</v>
      </c>
    </row>
    <row r="100">
      <c r="A100" s="67" t="inlineStr">
        <is>
          <t>cum dt in seg</t>
        </is>
      </c>
      <c r="F100" s="80">
        <f>0+F97</f>
        <v/>
      </c>
      <c r="G100" s="80">
        <f>F100+G97</f>
        <v/>
      </c>
      <c r="H100" s="80">
        <f>G100+H97</f>
        <v/>
      </c>
      <c r="I100" s="80">
        <f>H100+I97</f>
        <v/>
      </c>
      <c r="J100" s="80">
        <f>I100+J97</f>
        <v/>
      </c>
      <c r="K100" s="80">
        <f>J100+K97</f>
        <v/>
      </c>
      <c r="L100" s="80">
        <f>K100+L97</f>
        <v/>
      </c>
      <c r="M100" s="80">
        <f>L100+M97</f>
        <v/>
      </c>
      <c r="N100" s="80">
        <f>M100+N97</f>
        <v/>
      </c>
      <c r="O100" s="80">
        <f>N100+O97</f>
        <v/>
      </c>
      <c r="P100" s="80">
        <f>O100+P97</f>
        <v/>
      </c>
      <c r="Q100" s="80">
        <f>P100+Q97</f>
        <v/>
      </c>
    </row>
    <row r="101">
      <c r="A101" s="67" t="inlineStr">
        <is>
          <t>bisection</t>
        </is>
      </c>
      <c r="B101" s="62" t="inlineStr">
        <is>
          <t>lo</t>
        </is>
      </c>
      <c r="C101" s="62" t="inlineStr">
        <is>
          <t>hi</t>
        </is>
      </c>
      <c r="D101" s="62" t="inlineStr">
        <is>
          <t>lambda trial</t>
        </is>
      </c>
      <c r="E101" s="62" t="inlineStr">
        <is>
          <t>Q(start)</t>
        </is>
      </c>
      <c r="R101" s="62" t="inlineStr">
        <is>
          <t>ProtSeg</t>
        </is>
      </c>
      <c r="S101" s="62" t="inlineStr">
        <is>
          <t>RPV01Seg</t>
        </is>
      </c>
      <c r="T101" s="62" t="inlineStr">
        <is>
          <t>f(lambda)</t>
        </is>
      </c>
    </row>
    <row r="102">
      <c r="B102" s="76" t="n">
        <v>0</v>
      </c>
      <c r="C102" s="76" t="n">
        <v>3</v>
      </c>
      <c r="D102" s="76">
        <f>(B102+C102)/2</f>
        <v/>
      </c>
      <c r="E102" s="76">
        <f>$B$94</f>
        <v/>
      </c>
      <c r="F102" s="76">
        <f>$B$94*EXP(-$D102*F$100)</f>
        <v/>
      </c>
      <c r="G102" s="76">
        <f>$B$94*EXP(-$D102*G$100)</f>
        <v/>
      </c>
      <c r="H102" s="76">
        <f>$B$94*EXP(-$D102*H$100)</f>
        <v/>
      </c>
      <c r="I102" s="76">
        <f>$B$94*EXP(-$D102*I$100)</f>
        <v/>
      </c>
      <c r="J102" s="76">
        <f>I102</f>
        <v/>
      </c>
      <c r="K102" s="76">
        <f>J102</f>
        <v/>
      </c>
      <c r="L102" s="76">
        <f>K102</f>
        <v/>
      </c>
      <c r="M102" s="76">
        <f>L102</f>
        <v/>
      </c>
      <c r="N102" s="76">
        <f>M102</f>
        <v/>
      </c>
      <c r="O102" s="76">
        <f>N102</f>
        <v/>
      </c>
      <c r="P102" s="76">
        <f>O102</f>
        <v/>
      </c>
      <c r="Q102" s="76">
        <f>P102</f>
        <v/>
      </c>
      <c r="R102" s="76">
        <f>SUMPRODUCT($F$99:$Q$99,$E102:$P102-$F102:$Q102)</f>
        <v/>
      </c>
      <c r="S102" s="76">
        <f>SUMPRODUCT($F$96:$Q$96,$F$98:$Q$98,$F102:$Q102)+0.5*SUMPRODUCT($F$96:$Q$96,$F$99:$Q$99,$E102:$P102-$F102:$Q102)</f>
        <v/>
      </c>
      <c r="T102" s="76">
        <f>(1-$F$93)*($D$94+R102)-$D$93*(($F$94+S102)-CDS_Parameters!$B$26)</f>
        <v/>
      </c>
    </row>
    <row r="103">
      <c r="B103" s="76">
        <f>IF(T102&lt;0,D102,B102)</f>
        <v/>
      </c>
      <c r="C103" s="76">
        <f>IF(T102&lt;0,C102,D102)</f>
        <v/>
      </c>
      <c r="D103" s="76">
        <f>(B103+C103)/2</f>
        <v/>
      </c>
      <c r="E103" s="76">
        <f>$B$94</f>
        <v/>
      </c>
      <c r="F103" s="76">
        <f>$B$94*EXP(-$D103*F$100)</f>
        <v/>
      </c>
      <c r="G103" s="76">
        <f>$B$94*EXP(-$D103*G$100)</f>
        <v/>
      </c>
      <c r="H103" s="76">
        <f>$B$94*EXP(-$D103*H$100)</f>
        <v/>
      </c>
      <c r="I103" s="76">
        <f>$B$94*EXP(-$D103*I$100)</f>
        <v/>
      </c>
      <c r="J103" s="76">
        <f>I103</f>
        <v/>
      </c>
      <c r="K103" s="76">
        <f>J103</f>
        <v/>
      </c>
      <c r="L103" s="76">
        <f>K103</f>
        <v/>
      </c>
      <c r="M103" s="76">
        <f>L103</f>
        <v/>
      </c>
      <c r="N103" s="76">
        <f>M103</f>
        <v/>
      </c>
      <c r="O103" s="76">
        <f>N103</f>
        <v/>
      </c>
      <c r="P103" s="76">
        <f>O103</f>
        <v/>
      </c>
      <c r="Q103" s="76">
        <f>P103</f>
        <v/>
      </c>
      <c r="R103" s="76">
        <f>SUMPRODUCT($F$99:$Q$99,$E103:$P103-$F103:$Q103)</f>
        <v/>
      </c>
      <c r="S103" s="76">
        <f>SUMPRODUCT($F$96:$Q$96,$F$98:$Q$98,$F103:$Q103)+0.5*SUMPRODUCT($F$96:$Q$96,$F$99:$Q$99,$E103:$P103-$F103:$Q103)</f>
        <v/>
      </c>
      <c r="T103" s="76">
        <f>(1-$F$93)*($D$94+R103)-$D$93*(($F$94+S103)-CDS_Parameters!$B$26)</f>
        <v/>
      </c>
    </row>
    <row r="104">
      <c r="B104" s="76">
        <f>IF(T103&lt;0,D103,B103)</f>
        <v/>
      </c>
      <c r="C104" s="76">
        <f>IF(T103&lt;0,C103,D103)</f>
        <v/>
      </c>
      <c r="D104" s="76">
        <f>(B104+C104)/2</f>
        <v/>
      </c>
      <c r="E104" s="76">
        <f>$B$94</f>
        <v/>
      </c>
      <c r="F104" s="76">
        <f>$B$94*EXP(-$D104*F$100)</f>
        <v/>
      </c>
      <c r="G104" s="76">
        <f>$B$94*EXP(-$D104*G$100)</f>
        <v/>
      </c>
      <c r="H104" s="76">
        <f>$B$94*EXP(-$D104*H$100)</f>
        <v/>
      </c>
      <c r="I104" s="76">
        <f>$B$94*EXP(-$D104*I$100)</f>
        <v/>
      </c>
      <c r="J104" s="76">
        <f>I104</f>
        <v/>
      </c>
      <c r="K104" s="76">
        <f>J104</f>
        <v/>
      </c>
      <c r="L104" s="76">
        <f>K104</f>
        <v/>
      </c>
      <c r="M104" s="76">
        <f>L104</f>
        <v/>
      </c>
      <c r="N104" s="76">
        <f>M104</f>
        <v/>
      </c>
      <c r="O104" s="76">
        <f>N104</f>
        <v/>
      </c>
      <c r="P104" s="76">
        <f>O104</f>
        <v/>
      </c>
      <c r="Q104" s="76">
        <f>P104</f>
        <v/>
      </c>
      <c r="R104" s="76">
        <f>SUMPRODUCT($F$99:$Q$99,$E104:$P104-$F104:$Q104)</f>
        <v/>
      </c>
      <c r="S104" s="76">
        <f>SUMPRODUCT($F$96:$Q$96,$F$98:$Q$98,$F104:$Q104)+0.5*SUMPRODUCT($F$96:$Q$96,$F$99:$Q$99,$E104:$P104-$F104:$Q104)</f>
        <v/>
      </c>
      <c r="T104" s="76">
        <f>(1-$F$93)*($D$94+R104)-$D$93*(($F$94+S104)-CDS_Parameters!$B$26)</f>
        <v/>
      </c>
    </row>
    <row r="105">
      <c r="B105" s="76">
        <f>IF(T104&lt;0,D104,B104)</f>
        <v/>
      </c>
      <c r="C105" s="76">
        <f>IF(T104&lt;0,C104,D104)</f>
        <v/>
      </c>
      <c r="D105" s="76">
        <f>(B105+C105)/2</f>
        <v/>
      </c>
      <c r="E105" s="76">
        <f>$B$94</f>
        <v/>
      </c>
      <c r="F105" s="76">
        <f>$B$94*EXP(-$D105*F$100)</f>
        <v/>
      </c>
      <c r="G105" s="76">
        <f>$B$94*EXP(-$D105*G$100)</f>
        <v/>
      </c>
      <c r="H105" s="76">
        <f>$B$94*EXP(-$D105*H$100)</f>
        <v/>
      </c>
      <c r="I105" s="76">
        <f>$B$94*EXP(-$D105*I$100)</f>
        <v/>
      </c>
      <c r="J105" s="76">
        <f>I105</f>
        <v/>
      </c>
      <c r="K105" s="76">
        <f>J105</f>
        <v/>
      </c>
      <c r="L105" s="76">
        <f>K105</f>
        <v/>
      </c>
      <c r="M105" s="76">
        <f>L105</f>
        <v/>
      </c>
      <c r="N105" s="76">
        <f>M105</f>
        <v/>
      </c>
      <c r="O105" s="76">
        <f>N105</f>
        <v/>
      </c>
      <c r="P105" s="76">
        <f>O105</f>
        <v/>
      </c>
      <c r="Q105" s="76">
        <f>P105</f>
        <v/>
      </c>
      <c r="R105" s="76">
        <f>SUMPRODUCT($F$99:$Q$99,$E105:$P105-$F105:$Q105)</f>
        <v/>
      </c>
      <c r="S105" s="76">
        <f>SUMPRODUCT($F$96:$Q$96,$F$98:$Q$98,$F105:$Q105)+0.5*SUMPRODUCT($F$96:$Q$96,$F$99:$Q$99,$E105:$P105-$F105:$Q105)</f>
        <v/>
      </c>
      <c r="T105" s="76">
        <f>(1-$F$93)*($D$94+R105)-$D$93*(($F$94+S105)-CDS_Parameters!$B$26)</f>
        <v/>
      </c>
    </row>
    <row r="106">
      <c r="B106" s="76">
        <f>IF(T105&lt;0,D105,B105)</f>
        <v/>
      </c>
      <c r="C106" s="76">
        <f>IF(T105&lt;0,C105,D105)</f>
        <v/>
      </c>
      <c r="D106" s="76">
        <f>(B106+C106)/2</f>
        <v/>
      </c>
      <c r="E106" s="76">
        <f>$B$94</f>
        <v/>
      </c>
      <c r="F106" s="76">
        <f>$B$94*EXP(-$D106*F$100)</f>
        <v/>
      </c>
      <c r="G106" s="76">
        <f>$B$94*EXP(-$D106*G$100)</f>
        <v/>
      </c>
      <c r="H106" s="76">
        <f>$B$94*EXP(-$D106*H$100)</f>
        <v/>
      </c>
      <c r="I106" s="76">
        <f>$B$94*EXP(-$D106*I$100)</f>
        <v/>
      </c>
      <c r="J106" s="76">
        <f>I106</f>
        <v/>
      </c>
      <c r="K106" s="76">
        <f>J106</f>
        <v/>
      </c>
      <c r="L106" s="76">
        <f>K106</f>
        <v/>
      </c>
      <c r="M106" s="76">
        <f>L106</f>
        <v/>
      </c>
      <c r="N106" s="76">
        <f>M106</f>
        <v/>
      </c>
      <c r="O106" s="76">
        <f>N106</f>
        <v/>
      </c>
      <c r="P106" s="76">
        <f>O106</f>
        <v/>
      </c>
      <c r="Q106" s="76">
        <f>P106</f>
        <v/>
      </c>
      <c r="R106" s="76">
        <f>SUMPRODUCT($F$99:$Q$99,$E106:$P106-$F106:$Q106)</f>
        <v/>
      </c>
      <c r="S106" s="76">
        <f>SUMPRODUCT($F$96:$Q$96,$F$98:$Q$98,$F106:$Q106)+0.5*SUMPRODUCT($F$96:$Q$96,$F$99:$Q$99,$E106:$P106-$F106:$Q106)</f>
        <v/>
      </c>
      <c r="T106" s="76">
        <f>(1-$F$93)*($D$94+R106)-$D$93*(($F$94+S106)-CDS_Parameters!$B$26)</f>
        <v/>
      </c>
    </row>
    <row r="107">
      <c r="B107" s="76">
        <f>IF(T106&lt;0,D106,B106)</f>
        <v/>
      </c>
      <c r="C107" s="76">
        <f>IF(T106&lt;0,C106,D106)</f>
        <v/>
      </c>
      <c r="D107" s="76">
        <f>(B107+C107)/2</f>
        <v/>
      </c>
      <c r="E107" s="76">
        <f>$B$94</f>
        <v/>
      </c>
      <c r="F107" s="76">
        <f>$B$94*EXP(-$D107*F$100)</f>
        <v/>
      </c>
      <c r="G107" s="76">
        <f>$B$94*EXP(-$D107*G$100)</f>
        <v/>
      </c>
      <c r="H107" s="76">
        <f>$B$94*EXP(-$D107*H$100)</f>
        <v/>
      </c>
      <c r="I107" s="76">
        <f>$B$94*EXP(-$D107*I$100)</f>
        <v/>
      </c>
      <c r="J107" s="76">
        <f>I107</f>
        <v/>
      </c>
      <c r="K107" s="76">
        <f>J107</f>
        <v/>
      </c>
      <c r="L107" s="76">
        <f>K107</f>
        <v/>
      </c>
      <c r="M107" s="76">
        <f>L107</f>
        <v/>
      </c>
      <c r="N107" s="76">
        <f>M107</f>
        <v/>
      </c>
      <c r="O107" s="76">
        <f>N107</f>
        <v/>
      </c>
      <c r="P107" s="76">
        <f>O107</f>
        <v/>
      </c>
      <c r="Q107" s="76">
        <f>P107</f>
        <v/>
      </c>
      <c r="R107" s="76">
        <f>SUMPRODUCT($F$99:$Q$99,$E107:$P107-$F107:$Q107)</f>
        <v/>
      </c>
      <c r="S107" s="76">
        <f>SUMPRODUCT($F$96:$Q$96,$F$98:$Q$98,$F107:$Q107)+0.5*SUMPRODUCT($F$96:$Q$96,$F$99:$Q$99,$E107:$P107-$F107:$Q107)</f>
        <v/>
      </c>
      <c r="T107" s="76">
        <f>(1-$F$93)*($D$94+R107)-$D$93*(($F$94+S107)-CDS_Parameters!$B$26)</f>
        <v/>
      </c>
    </row>
    <row r="108">
      <c r="B108" s="76">
        <f>IF(T107&lt;0,D107,B107)</f>
        <v/>
      </c>
      <c r="C108" s="76">
        <f>IF(T107&lt;0,C107,D107)</f>
        <v/>
      </c>
      <c r="D108" s="76">
        <f>(B108+C108)/2</f>
        <v/>
      </c>
      <c r="E108" s="76">
        <f>$B$94</f>
        <v/>
      </c>
      <c r="F108" s="76">
        <f>$B$94*EXP(-$D108*F$100)</f>
        <v/>
      </c>
      <c r="G108" s="76">
        <f>$B$94*EXP(-$D108*G$100)</f>
        <v/>
      </c>
      <c r="H108" s="76">
        <f>$B$94*EXP(-$D108*H$100)</f>
        <v/>
      </c>
      <c r="I108" s="76">
        <f>$B$94*EXP(-$D108*I$100)</f>
        <v/>
      </c>
      <c r="J108" s="76">
        <f>I108</f>
        <v/>
      </c>
      <c r="K108" s="76">
        <f>J108</f>
        <v/>
      </c>
      <c r="L108" s="76">
        <f>K108</f>
        <v/>
      </c>
      <c r="M108" s="76">
        <f>L108</f>
        <v/>
      </c>
      <c r="N108" s="76">
        <f>M108</f>
        <v/>
      </c>
      <c r="O108" s="76">
        <f>N108</f>
        <v/>
      </c>
      <c r="P108" s="76">
        <f>O108</f>
        <v/>
      </c>
      <c r="Q108" s="76">
        <f>P108</f>
        <v/>
      </c>
      <c r="R108" s="76">
        <f>SUMPRODUCT($F$99:$Q$99,$E108:$P108-$F108:$Q108)</f>
        <v/>
      </c>
      <c r="S108" s="76">
        <f>SUMPRODUCT($F$96:$Q$96,$F$98:$Q$98,$F108:$Q108)+0.5*SUMPRODUCT($F$96:$Q$96,$F$99:$Q$99,$E108:$P108-$F108:$Q108)</f>
        <v/>
      </c>
      <c r="T108" s="76">
        <f>(1-$F$93)*($D$94+R108)-$D$93*(($F$94+S108)-CDS_Parameters!$B$26)</f>
        <v/>
      </c>
    </row>
    <row r="109">
      <c r="B109" s="76">
        <f>IF(T108&lt;0,D108,B108)</f>
        <v/>
      </c>
      <c r="C109" s="76">
        <f>IF(T108&lt;0,C108,D108)</f>
        <v/>
      </c>
      <c r="D109" s="76">
        <f>(B109+C109)/2</f>
        <v/>
      </c>
      <c r="E109" s="76">
        <f>$B$94</f>
        <v/>
      </c>
      <c r="F109" s="76">
        <f>$B$94*EXP(-$D109*F$100)</f>
        <v/>
      </c>
      <c r="G109" s="76">
        <f>$B$94*EXP(-$D109*G$100)</f>
        <v/>
      </c>
      <c r="H109" s="76">
        <f>$B$94*EXP(-$D109*H$100)</f>
        <v/>
      </c>
      <c r="I109" s="76">
        <f>$B$94*EXP(-$D109*I$100)</f>
        <v/>
      </c>
      <c r="J109" s="76">
        <f>I109</f>
        <v/>
      </c>
      <c r="K109" s="76">
        <f>J109</f>
        <v/>
      </c>
      <c r="L109" s="76">
        <f>K109</f>
        <v/>
      </c>
      <c r="M109" s="76">
        <f>L109</f>
        <v/>
      </c>
      <c r="N109" s="76">
        <f>M109</f>
        <v/>
      </c>
      <c r="O109" s="76">
        <f>N109</f>
        <v/>
      </c>
      <c r="P109" s="76">
        <f>O109</f>
        <v/>
      </c>
      <c r="Q109" s="76">
        <f>P109</f>
        <v/>
      </c>
      <c r="R109" s="76">
        <f>SUMPRODUCT($F$99:$Q$99,$E109:$P109-$F109:$Q109)</f>
        <v/>
      </c>
      <c r="S109" s="76">
        <f>SUMPRODUCT($F$96:$Q$96,$F$98:$Q$98,$F109:$Q109)+0.5*SUMPRODUCT($F$96:$Q$96,$F$99:$Q$99,$E109:$P109-$F109:$Q109)</f>
        <v/>
      </c>
      <c r="T109" s="76">
        <f>(1-$F$93)*($D$94+R109)-$D$93*(($F$94+S109)-CDS_Parameters!$B$26)</f>
        <v/>
      </c>
    </row>
    <row r="110">
      <c r="B110" s="76">
        <f>IF(T109&lt;0,D109,B109)</f>
        <v/>
      </c>
      <c r="C110" s="76">
        <f>IF(T109&lt;0,C109,D109)</f>
        <v/>
      </c>
      <c r="D110" s="76">
        <f>(B110+C110)/2</f>
        <v/>
      </c>
      <c r="E110" s="76">
        <f>$B$94</f>
        <v/>
      </c>
      <c r="F110" s="76">
        <f>$B$94*EXP(-$D110*F$100)</f>
        <v/>
      </c>
      <c r="G110" s="76">
        <f>$B$94*EXP(-$D110*G$100)</f>
        <v/>
      </c>
      <c r="H110" s="76">
        <f>$B$94*EXP(-$D110*H$100)</f>
        <v/>
      </c>
      <c r="I110" s="76">
        <f>$B$94*EXP(-$D110*I$100)</f>
        <v/>
      </c>
      <c r="J110" s="76">
        <f>I110</f>
        <v/>
      </c>
      <c r="K110" s="76">
        <f>J110</f>
        <v/>
      </c>
      <c r="L110" s="76">
        <f>K110</f>
        <v/>
      </c>
      <c r="M110" s="76">
        <f>L110</f>
        <v/>
      </c>
      <c r="N110" s="76">
        <f>M110</f>
        <v/>
      </c>
      <c r="O110" s="76">
        <f>N110</f>
        <v/>
      </c>
      <c r="P110" s="76">
        <f>O110</f>
        <v/>
      </c>
      <c r="Q110" s="76">
        <f>P110</f>
        <v/>
      </c>
      <c r="R110" s="76">
        <f>SUMPRODUCT($F$99:$Q$99,$E110:$P110-$F110:$Q110)</f>
        <v/>
      </c>
      <c r="S110" s="76">
        <f>SUMPRODUCT($F$96:$Q$96,$F$98:$Q$98,$F110:$Q110)+0.5*SUMPRODUCT($F$96:$Q$96,$F$99:$Q$99,$E110:$P110-$F110:$Q110)</f>
        <v/>
      </c>
      <c r="T110" s="76">
        <f>(1-$F$93)*($D$94+R110)-$D$93*(($F$94+S110)-CDS_Parameters!$B$26)</f>
        <v/>
      </c>
    </row>
    <row r="111">
      <c r="B111" s="76">
        <f>IF(T110&lt;0,D110,B110)</f>
        <v/>
      </c>
      <c r="C111" s="76">
        <f>IF(T110&lt;0,C110,D110)</f>
        <v/>
      </c>
      <c r="D111" s="76">
        <f>(B111+C111)/2</f>
        <v/>
      </c>
      <c r="E111" s="76">
        <f>$B$94</f>
        <v/>
      </c>
      <c r="F111" s="76">
        <f>$B$94*EXP(-$D111*F$100)</f>
        <v/>
      </c>
      <c r="G111" s="76">
        <f>$B$94*EXP(-$D111*G$100)</f>
        <v/>
      </c>
      <c r="H111" s="76">
        <f>$B$94*EXP(-$D111*H$100)</f>
        <v/>
      </c>
      <c r="I111" s="76">
        <f>$B$94*EXP(-$D111*I$100)</f>
        <v/>
      </c>
      <c r="J111" s="76">
        <f>I111</f>
        <v/>
      </c>
      <c r="K111" s="76">
        <f>J111</f>
        <v/>
      </c>
      <c r="L111" s="76">
        <f>K111</f>
        <v/>
      </c>
      <c r="M111" s="76">
        <f>L111</f>
        <v/>
      </c>
      <c r="N111" s="76">
        <f>M111</f>
        <v/>
      </c>
      <c r="O111" s="76">
        <f>N111</f>
        <v/>
      </c>
      <c r="P111" s="76">
        <f>O111</f>
        <v/>
      </c>
      <c r="Q111" s="76">
        <f>P111</f>
        <v/>
      </c>
      <c r="R111" s="76">
        <f>SUMPRODUCT($F$99:$Q$99,$E111:$P111-$F111:$Q111)</f>
        <v/>
      </c>
      <c r="S111" s="76">
        <f>SUMPRODUCT($F$96:$Q$96,$F$98:$Q$98,$F111:$Q111)+0.5*SUMPRODUCT($F$96:$Q$96,$F$99:$Q$99,$E111:$P111-$F111:$Q111)</f>
        <v/>
      </c>
      <c r="T111" s="76">
        <f>(1-$F$93)*($D$94+R111)-$D$93*(($F$94+S111)-CDS_Parameters!$B$26)</f>
        <v/>
      </c>
    </row>
    <row r="112">
      <c r="B112" s="76">
        <f>IF(T111&lt;0,D111,B111)</f>
        <v/>
      </c>
      <c r="C112" s="76">
        <f>IF(T111&lt;0,C111,D111)</f>
        <v/>
      </c>
      <c r="D112" s="76">
        <f>(B112+C112)/2</f>
        <v/>
      </c>
      <c r="E112" s="76">
        <f>$B$94</f>
        <v/>
      </c>
      <c r="F112" s="76">
        <f>$B$94*EXP(-$D112*F$100)</f>
        <v/>
      </c>
      <c r="G112" s="76">
        <f>$B$94*EXP(-$D112*G$100)</f>
        <v/>
      </c>
      <c r="H112" s="76">
        <f>$B$94*EXP(-$D112*H$100)</f>
        <v/>
      </c>
      <c r="I112" s="76">
        <f>$B$94*EXP(-$D112*I$100)</f>
        <v/>
      </c>
      <c r="J112" s="76">
        <f>I112</f>
        <v/>
      </c>
      <c r="K112" s="76">
        <f>J112</f>
        <v/>
      </c>
      <c r="L112" s="76">
        <f>K112</f>
        <v/>
      </c>
      <c r="M112" s="76">
        <f>L112</f>
        <v/>
      </c>
      <c r="N112" s="76">
        <f>M112</f>
        <v/>
      </c>
      <c r="O112" s="76">
        <f>N112</f>
        <v/>
      </c>
      <c r="P112" s="76">
        <f>O112</f>
        <v/>
      </c>
      <c r="Q112" s="76">
        <f>P112</f>
        <v/>
      </c>
      <c r="R112" s="76">
        <f>SUMPRODUCT($F$99:$Q$99,$E112:$P112-$F112:$Q112)</f>
        <v/>
      </c>
      <c r="S112" s="76">
        <f>SUMPRODUCT($F$96:$Q$96,$F$98:$Q$98,$F112:$Q112)+0.5*SUMPRODUCT($F$96:$Q$96,$F$99:$Q$99,$E112:$P112-$F112:$Q112)</f>
        <v/>
      </c>
      <c r="T112" s="76">
        <f>(1-$F$93)*($D$94+R112)-$D$93*(($F$94+S112)-CDS_Parameters!$B$26)</f>
        <v/>
      </c>
    </row>
    <row r="113">
      <c r="B113" s="76">
        <f>IF(T112&lt;0,D112,B112)</f>
        <v/>
      </c>
      <c r="C113" s="76">
        <f>IF(T112&lt;0,C112,D112)</f>
        <v/>
      </c>
      <c r="D113" s="76">
        <f>(B113+C113)/2</f>
        <v/>
      </c>
      <c r="E113" s="76">
        <f>$B$94</f>
        <v/>
      </c>
      <c r="F113" s="76">
        <f>$B$94*EXP(-$D113*F$100)</f>
        <v/>
      </c>
      <c r="G113" s="76">
        <f>$B$94*EXP(-$D113*G$100)</f>
        <v/>
      </c>
      <c r="H113" s="76">
        <f>$B$94*EXP(-$D113*H$100)</f>
        <v/>
      </c>
      <c r="I113" s="76">
        <f>$B$94*EXP(-$D113*I$100)</f>
        <v/>
      </c>
      <c r="J113" s="76">
        <f>I113</f>
        <v/>
      </c>
      <c r="K113" s="76">
        <f>J113</f>
        <v/>
      </c>
      <c r="L113" s="76">
        <f>K113</f>
        <v/>
      </c>
      <c r="M113" s="76">
        <f>L113</f>
        <v/>
      </c>
      <c r="N113" s="76">
        <f>M113</f>
        <v/>
      </c>
      <c r="O113" s="76">
        <f>N113</f>
        <v/>
      </c>
      <c r="P113" s="76">
        <f>O113</f>
        <v/>
      </c>
      <c r="Q113" s="76">
        <f>P113</f>
        <v/>
      </c>
      <c r="R113" s="76">
        <f>SUMPRODUCT($F$99:$Q$99,$E113:$P113-$F113:$Q113)</f>
        <v/>
      </c>
      <c r="S113" s="76">
        <f>SUMPRODUCT($F$96:$Q$96,$F$98:$Q$98,$F113:$Q113)+0.5*SUMPRODUCT($F$96:$Q$96,$F$99:$Q$99,$E113:$P113-$F113:$Q113)</f>
        <v/>
      </c>
      <c r="T113" s="76">
        <f>(1-$F$93)*($D$94+R113)-$D$93*(($F$94+S113)-CDS_Parameters!$B$26)</f>
        <v/>
      </c>
    </row>
    <row r="114">
      <c r="B114" s="76">
        <f>IF(T113&lt;0,D113,B113)</f>
        <v/>
      </c>
      <c r="C114" s="76">
        <f>IF(T113&lt;0,C113,D113)</f>
        <v/>
      </c>
      <c r="D114" s="76">
        <f>(B114+C114)/2</f>
        <v/>
      </c>
      <c r="E114" s="76">
        <f>$B$94</f>
        <v/>
      </c>
      <c r="F114" s="76">
        <f>$B$94*EXP(-$D114*F$100)</f>
        <v/>
      </c>
      <c r="G114" s="76">
        <f>$B$94*EXP(-$D114*G$100)</f>
        <v/>
      </c>
      <c r="H114" s="76">
        <f>$B$94*EXP(-$D114*H$100)</f>
        <v/>
      </c>
      <c r="I114" s="76">
        <f>$B$94*EXP(-$D114*I$100)</f>
        <v/>
      </c>
      <c r="J114" s="76">
        <f>I114</f>
        <v/>
      </c>
      <c r="K114" s="76">
        <f>J114</f>
        <v/>
      </c>
      <c r="L114" s="76">
        <f>K114</f>
        <v/>
      </c>
      <c r="M114" s="76">
        <f>L114</f>
        <v/>
      </c>
      <c r="N114" s="76">
        <f>M114</f>
        <v/>
      </c>
      <c r="O114" s="76">
        <f>N114</f>
        <v/>
      </c>
      <c r="P114" s="76">
        <f>O114</f>
        <v/>
      </c>
      <c r="Q114" s="76">
        <f>P114</f>
        <v/>
      </c>
      <c r="R114" s="76">
        <f>SUMPRODUCT($F$99:$Q$99,$E114:$P114-$F114:$Q114)</f>
        <v/>
      </c>
      <c r="S114" s="76">
        <f>SUMPRODUCT($F$96:$Q$96,$F$98:$Q$98,$F114:$Q114)+0.5*SUMPRODUCT($F$96:$Q$96,$F$99:$Q$99,$E114:$P114-$F114:$Q114)</f>
        <v/>
      </c>
      <c r="T114" s="76">
        <f>(1-$F$93)*($D$94+R114)-$D$93*(($F$94+S114)-CDS_Parameters!$B$26)</f>
        <v/>
      </c>
    </row>
    <row r="115">
      <c r="B115" s="76">
        <f>IF(T114&lt;0,D114,B114)</f>
        <v/>
      </c>
      <c r="C115" s="76">
        <f>IF(T114&lt;0,C114,D114)</f>
        <v/>
      </c>
      <c r="D115" s="76">
        <f>(B115+C115)/2</f>
        <v/>
      </c>
      <c r="E115" s="76">
        <f>$B$94</f>
        <v/>
      </c>
      <c r="F115" s="76">
        <f>$B$94*EXP(-$D115*F$100)</f>
        <v/>
      </c>
      <c r="G115" s="76">
        <f>$B$94*EXP(-$D115*G$100)</f>
        <v/>
      </c>
      <c r="H115" s="76">
        <f>$B$94*EXP(-$D115*H$100)</f>
        <v/>
      </c>
      <c r="I115" s="76">
        <f>$B$94*EXP(-$D115*I$100)</f>
        <v/>
      </c>
      <c r="J115" s="76">
        <f>I115</f>
        <v/>
      </c>
      <c r="K115" s="76">
        <f>J115</f>
        <v/>
      </c>
      <c r="L115" s="76">
        <f>K115</f>
        <v/>
      </c>
      <c r="M115" s="76">
        <f>L115</f>
        <v/>
      </c>
      <c r="N115" s="76">
        <f>M115</f>
        <v/>
      </c>
      <c r="O115" s="76">
        <f>N115</f>
        <v/>
      </c>
      <c r="P115" s="76">
        <f>O115</f>
        <v/>
      </c>
      <c r="Q115" s="76">
        <f>P115</f>
        <v/>
      </c>
      <c r="R115" s="76">
        <f>SUMPRODUCT($F$99:$Q$99,$E115:$P115-$F115:$Q115)</f>
        <v/>
      </c>
      <c r="S115" s="76">
        <f>SUMPRODUCT($F$96:$Q$96,$F$98:$Q$98,$F115:$Q115)+0.5*SUMPRODUCT($F$96:$Q$96,$F$99:$Q$99,$E115:$P115-$F115:$Q115)</f>
        <v/>
      </c>
      <c r="T115" s="76">
        <f>(1-$F$93)*($D$94+R115)-$D$93*(($F$94+S115)-CDS_Parameters!$B$26)</f>
        <v/>
      </c>
    </row>
    <row r="116">
      <c r="B116" s="76">
        <f>IF(T115&lt;0,D115,B115)</f>
        <v/>
      </c>
      <c r="C116" s="76">
        <f>IF(T115&lt;0,C115,D115)</f>
        <v/>
      </c>
      <c r="D116" s="76">
        <f>(B116+C116)/2</f>
        <v/>
      </c>
      <c r="E116" s="76">
        <f>$B$94</f>
        <v/>
      </c>
      <c r="F116" s="76">
        <f>$B$94*EXP(-$D116*F$100)</f>
        <v/>
      </c>
      <c r="G116" s="76">
        <f>$B$94*EXP(-$D116*G$100)</f>
        <v/>
      </c>
      <c r="H116" s="76">
        <f>$B$94*EXP(-$D116*H$100)</f>
        <v/>
      </c>
      <c r="I116" s="76">
        <f>$B$94*EXP(-$D116*I$100)</f>
        <v/>
      </c>
      <c r="J116" s="76">
        <f>I116</f>
        <v/>
      </c>
      <c r="K116" s="76">
        <f>J116</f>
        <v/>
      </c>
      <c r="L116" s="76">
        <f>K116</f>
        <v/>
      </c>
      <c r="M116" s="76">
        <f>L116</f>
        <v/>
      </c>
      <c r="N116" s="76">
        <f>M116</f>
        <v/>
      </c>
      <c r="O116" s="76">
        <f>N116</f>
        <v/>
      </c>
      <c r="P116" s="76">
        <f>O116</f>
        <v/>
      </c>
      <c r="Q116" s="76">
        <f>P116</f>
        <v/>
      </c>
      <c r="R116" s="76">
        <f>SUMPRODUCT($F$99:$Q$99,$E116:$P116-$F116:$Q116)</f>
        <v/>
      </c>
      <c r="S116" s="76">
        <f>SUMPRODUCT($F$96:$Q$96,$F$98:$Q$98,$F116:$Q116)+0.5*SUMPRODUCT($F$96:$Q$96,$F$99:$Q$99,$E116:$P116-$F116:$Q116)</f>
        <v/>
      </c>
      <c r="T116" s="76">
        <f>(1-$F$93)*($D$94+R116)-$D$93*(($F$94+S116)-CDS_Parameters!$B$26)</f>
        <v/>
      </c>
    </row>
    <row r="117">
      <c r="B117" s="76">
        <f>IF(T116&lt;0,D116,B116)</f>
        <v/>
      </c>
      <c r="C117" s="76">
        <f>IF(T116&lt;0,C116,D116)</f>
        <v/>
      </c>
      <c r="D117" s="76">
        <f>(B117+C117)/2</f>
        <v/>
      </c>
      <c r="E117" s="76">
        <f>$B$94</f>
        <v/>
      </c>
      <c r="F117" s="76">
        <f>$B$94*EXP(-$D117*F$100)</f>
        <v/>
      </c>
      <c r="G117" s="76">
        <f>$B$94*EXP(-$D117*G$100)</f>
        <v/>
      </c>
      <c r="H117" s="76">
        <f>$B$94*EXP(-$D117*H$100)</f>
        <v/>
      </c>
      <c r="I117" s="76">
        <f>$B$94*EXP(-$D117*I$100)</f>
        <v/>
      </c>
      <c r="J117" s="76">
        <f>I117</f>
        <v/>
      </c>
      <c r="K117" s="76">
        <f>J117</f>
        <v/>
      </c>
      <c r="L117" s="76">
        <f>K117</f>
        <v/>
      </c>
      <c r="M117" s="76">
        <f>L117</f>
        <v/>
      </c>
      <c r="N117" s="76">
        <f>M117</f>
        <v/>
      </c>
      <c r="O117" s="76">
        <f>N117</f>
        <v/>
      </c>
      <c r="P117" s="76">
        <f>O117</f>
        <v/>
      </c>
      <c r="Q117" s="76">
        <f>P117</f>
        <v/>
      </c>
      <c r="R117" s="76">
        <f>SUMPRODUCT($F$99:$Q$99,$E117:$P117-$F117:$Q117)</f>
        <v/>
      </c>
      <c r="S117" s="76">
        <f>SUMPRODUCT($F$96:$Q$96,$F$98:$Q$98,$F117:$Q117)+0.5*SUMPRODUCT($F$96:$Q$96,$F$99:$Q$99,$E117:$P117-$F117:$Q117)</f>
        <v/>
      </c>
      <c r="T117" s="76">
        <f>(1-$F$93)*($D$94+R117)-$D$93*(($F$94+S117)-CDS_Parameters!$B$26)</f>
        <v/>
      </c>
    </row>
    <row r="118">
      <c r="B118" s="76">
        <f>IF(T117&lt;0,D117,B117)</f>
        <v/>
      </c>
      <c r="C118" s="76">
        <f>IF(T117&lt;0,C117,D117)</f>
        <v/>
      </c>
      <c r="D118" s="76">
        <f>(B118+C118)/2</f>
        <v/>
      </c>
      <c r="E118" s="76">
        <f>$B$94</f>
        <v/>
      </c>
      <c r="F118" s="76">
        <f>$B$94*EXP(-$D118*F$100)</f>
        <v/>
      </c>
      <c r="G118" s="76">
        <f>$B$94*EXP(-$D118*G$100)</f>
        <v/>
      </c>
      <c r="H118" s="76">
        <f>$B$94*EXP(-$D118*H$100)</f>
        <v/>
      </c>
      <c r="I118" s="76">
        <f>$B$94*EXP(-$D118*I$100)</f>
        <v/>
      </c>
      <c r="J118" s="76">
        <f>I118</f>
        <v/>
      </c>
      <c r="K118" s="76">
        <f>J118</f>
        <v/>
      </c>
      <c r="L118" s="76">
        <f>K118</f>
        <v/>
      </c>
      <c r="M118" s="76">
        <f>L118</f>
        <v/>
      </c>
      <c r="N118" s="76">
        <f>M118</f>
        <v/>
      </c>
      <c r="O118" s="76">
        <f>N118</f>
        <v/>
      </c>
      <c r="P118" s="76">
        <f>O118</f>
        <v/>
      </c>
      <c r="Q118" s="76">
        <f>P118</f>
        <v/>
      </c>
      <c r="R118" s="76">
        <f>SUMPRODUCT($F$99:$Q$99,$E118:$P118-$F118:$Q118)</f>
        <v/>
      </c>
      <c r="S118" s="76">
        <f>SUMPRODUCT($F$96:$Q$96,$F$98:$Q$98,$F118:$Q118)+0.5*SUMPRODUCT($F$96:$Q$96,$F$99:$Q$99,$E118:$P118-$F118:$Q118)</f>
        <v/>
      </c>
      <c r="T118" s="76">
        <f>(1-$F$93)*($D$94+R118)-$D$93*(($F$94+S118)-CDS_Parameters!$B$26)</f>
        <v/>
      </c>
    </row>
    <row r="119">
      <c r="B119" s="76">
        <f>IF(T118&lt;0,D118,B118)</f>
        <v/>
      </c>
      <c r="C119" s="76">
        <f>IF(T118&lt;0,C118,D118)</f>
        <v/>
      </c>
      <c r="D119" s="76">
        <f>(B119+C119)/2</f>
        <v/>
      </c>
      <c r="E119" s="76">
        <f>$B$94</f>
        <v/>
      </c>
      <c r="F119" s="76">
        <f>$B$94*EXP(-$D119*F$100)</f>
        <v/>
      </c>
      <c r="G119" s="76">
        <f>$B$94*EXP(-$D119*G$100)</f>
        <v/>
      </c>
      <c r="H119" s="76">
        <f>$B$94*EXP(-$D119*H$100)</f>
        <v/>
      </c>
      <c r="I119" s="76">
        <f>$B$94*EXP(-$D119*I$100)</f>
        <v/>
      </c>
      <c r="J119" s="76">
        <f>I119</f>
        <v/>
      </c>
      <c r="K119" s="76">
        <f>J119</f>
        <v/>
      </c>
      <c r="L119" s="76">
        <f>K119</f>
        <v/>
      </c>
      <c r="M119" s="76">
        <f>L119</f>
        <v/>
      </c>
      <c r="N119" s="76">
        <f>M119</f>
        <v/>
      </c>
      <c r="O119" s="76">
        <f>N119</f>
        <v/>
      </c>
      <c r="P119" s="76">
        <f>O119</f>
        <v/>
      </c>
      <c r="Q119" s="76">
        <f>P119</f>
        <v/>
      </c>
      <c r="R119" s="76">
        <f>SUMPRODUCT($F$99:$Q$99,$E119:$P119-$F119:$Q119)</f>
        <v/>
      </c>
      <c r="S119" s="76">
        <f>SUMPRODUCT($F$96:$Q$96,$F$98:$Q$98,$F119:$Q119)+0.5*SUMPRODUCT($F$96:$Q$96,$F$99:$Q$99,$E119:$P119-$F119:$Q119)</f>
        <v/>
      </c>
      <c r="T119" s="76">
        <f>(1-$F$93)*($D$94+R119)-$D$93*(($F$94+S119)-CDS_Parameters!$B$26)</f>
        <v/>
      </c>
    </row>
    <row r="120">
      <c r="B120" s="76">
        <f>IF(T119&lt;0,D119,B119)</f>
        <v/>
      </c>
      <c r="C120" s="76">
        <f>IF(T119&lt;0,C119,D119)</f>
        <v/>
      </c>
      <c r="D120" s="76">
        <f>(B120+C120)/2</f>
        <v/>
      </c>
      <c r="E120" s="76">
        <f>$B$94</f>
        <v/>
      </c>
      <c r="F120" s="76">
        <f>$B$94*EXP(-$D120*F$100)</f>
        <v/>
      </c>
      <c r="G120" s="76">
        <f>$B$94*EXP(-$D120*G$100)</f>
        <v/>
      </c>
      <c r="H120" s="76">
        <f>$B$94*EXP(-$D120*H$100)</f>
        <v/>
      </c>
      <c r="I120" s="76">
        <f>$B$94*EXP(-$D120*I$100)</f>
        <v/>
      </c>
      <c r="J120" s="76">
        <f>I120</f>
        <v/>
      </c>
      <c r="K120" s="76">
        <f>J120</f>
        <v/>
      </c>
      <c r="L120" s="76">
        <f>K120</f>
        <v/>
      </c>
      <c r="M120" s="76">
        <f>L120</f>
        <v/>
      </c>
      <c r="N120" s="76">
        <f>M120</f>
        <v/>
      </c>
      <c r="O120" s="76">
        <f>N120</f>
        <v/>
      </c>
      <c r="P120" s="76">
        <f>O120</f>
        <v/>
      </c>
      <c r="Q120" s="76">
        <f>P120</f>
        <v/>
      </c>
      <c r="R120" s="76">
        <f>SUMPRODUCT($F$99:$Q$99,$E120:$P120-$F120:$Q120)</f>
        <v/>
      </c>
      <c r="S120" s="76">
        <f>SUMPRODUCT($F$96:$Q$96,$F$98:$Q$98,$F120:$Q120)+0.5*SUMPRODUCT($F$96:$Q$96,$F$99:$Q$99,$E120:$P120-$F120:$Q120)</f>
        <v/>
      </c>
      <c r="T120" s="76">
        <f>(1-$F$93)*($D$94+R120)-$D$93*(($F$94+S120)-CDS_Parameters!$B$26)</f>
        <v/>
      </c>
    </row>
    <row r="121">
      <c r="B121" s="76">
        <f>IF(T120&lt;0,D120,B120)</f>
        <v/>
      </c>
      <c r="C121" s="76">
        <f>IF(T120&lt;0,C120,D120)</f>
        <v/>
      </c>
      <c r="D121" s="76">
        <f>(B121+C121)/2</f>
        <v/>
      </c>
      <c r="E121" s="76">
        <f>$B$94</f>
        <v/>
      </c>
      <c r="F121" s="76">
        <f>$B$94*EXP(-$D121*F$100)</f>
        <v/>
      </c>
      <c r="G121" s="76">
        <f>$B$94*EXP(-$D121*G$100)</f>
        <v/>
      </c>
      <c r="H121" s="76">
        <f>$B$94*EXP(-$D121*H$100)</f>
        <v/>
      </c>
      <c r="I121" s="76">
        <f>$B$94*EXP(-$D121*I$100)</f>
        <v/>
      </c>
      <c r="J121" s="76">
        <f>I121</f>
        <v/>
      </c>
      <c r="K121" s="76">
        <f>J121</f>
        <v/>
      </c>
      <c r="L121" s="76">
        <f>K121</f>
        <v/>
      </c>
      <c r="M121" s="76">
        <f>L121</f>
        <v/>
      </c>
      <c r="N121" s="76">
        <f>M121</f>
        <v/>
      </c>
      <c r="O121" s="76">
        <f>N121</f>
        <v/>
      </c>
      <c r="P121" s="76">
        <f>O121</f>
        <v/>
      </c>
      <c r="Q121" s="76">
        <f>P121</f>
        <v/>
      </c>
      <c r="R121" s="76">
        <f>SUMPRODUCT($F$99:$Q$99,$E121:$P121-$F121:$Q121)</f>
        <v/>
      </c>
      <c r="S121" s="76">
        <f>SUMPRODUCT($F$96:$Q$96,$F$98:$Q$98,$F121:$Q121)+0.5*SUMPRODUCT($F$96:$Q$96,$F$99:$Q$99,$E121:$P121-$F121:$Q121)</f>
        <v/>
      </c>
      <c r="T121" s="76">
        <f>(1-$F$93)*($D$94+R121)-$D$93*(($F$94+S121)-CDS_Parameters!$B$26)</f>
        <v/>
      </c>
    </row>
    <row r="122">
      <c r="B122" s="76">
        <f>IF(T121&lt;0,D121,B121)</f>
        <v/>
      </c>
      <c r="C122" s="76">
        <f>IF(T121&lt;0,C121,D121)</f>
        <v/>
      </c>
      <c r="D122" s="76">
        <f>(B122+C122)/2</f>
        <v/>
      </c>
      <c r="E122" s="76">
        <f>$B$94</f>
        <v/>
      </c>
      <c r="F122" s="76">
        <f>$B$94*EXP(-$D122*F$100)</f>
        <v/>
      </c>
      <c r="G122" s="76">
        <f>$B$94*EXP(-$D122*G$100)</f>
        <v/>
      </c>
      <c r="H122" s="76">
        <f>$B$94*EXP(-$D122*H$100)</f>
        <v/>
      </c>
      <c r="I122" s="76">
        <f>$B$94*EXP(-$D122*I$100)</f>
        <v/>
      </c>
      <c r="J122" s="76">
        <f>I122</f>
        <v/>
      </c>
      <c r="K122" s="76">
        <f>J122</f>
        <v/>
      </c>
      <c r="L122" s="76">
        <f>K122</f>
        <v/>
      </c>
      <c r="M122" s="76">
        <f>L122</f>
        <v/>
      </c>
      <c r="N122" s="76">
        <f>M122</f>
        <v/>
      </c>
      <c r="O122" s="76">
        <f>N122</f>
        <v/>
      </c>
      <c r="P122" s="76">
        <f>O122</f>
        <v/>
      </c>
      <c r="Q122" s="76">
        <f>P122</f>
        <v/>
      </c>
      <c r="R122" s="76">
        <f>SUMPRODUCT($F$99:$Q$99,$E122:$P122-$F122:$Q122)</f>
        <v/>
      </c>
      <c r="S122" s="76">
        <f>SUMPRODUCT($F$96:$Q$96,$F$98:$Q$98,$F122:$Q122)+0.5*SUMPRODUCT($F$96:$Q$96,$F$99:$Q$99,$E122:$P122-$F122:$Q122)</f>
        <v/>
      </c>
      <c r="T122" s="76">
        <f>(1-$F$93)*($D$94+R122)-$D$93*(($F$94+S122)-CDS_Parameters!$B$26)</f>
        <v/>
      </c>
    </row>
    <row r="123">
      <c r="B123" s="76">
        <f>IF(T122&lt;0,D122,B122)</f>
        <v/>
      </c>
      <c r="C123" s="76">
        <f>IF(T122&lt;0,C122,D122)</f>
        <v/>
      </c>
      <c r="D123" s="76">
        <f>(B123+C123)/2</f>
        <v/>
      </c>
      <c r="E123" s="76">
        <f>$B$94</f>
        <v/>
      </c>
      <c r="F123" s="76">
        <f>$B$94*EXP(-$D123*F$100)</f>
        <v/>
      </c>
      <c r="G123" s="76">
        <f>$B$94*EXP(-$D123*G$100)</f>
        <v/>
      </c>
      <c r="H123" s="76">
        <f>$B$94*EXP(-$D123*H$100)</f>
        <v/>
      </c>
      <c r="I123" s="76">
        <f>$B$94*EXP(-$D123*I$100)</f>
        <v/>
      </c>
      <c r="J123" s="76">
        <f>I123</f>
        <v/>
      </c>
      <c r="K123" s="76">
        <f>J123</f>
        <v/>
      </c>
      <c r="L123" s="76">
        <f>K123</f>
        <v/>
      </c>
      <c r="M123" s="76">
        <f>L123</f>
        <v/>
      </c>
      <c r="N123" s="76">
        <f>M123</f>
        <v/>
      </c>
      <c r="O123" s="76">
        <f>N123</f>
        <v/>
      </c>
      <c r="P123" s="76">
        <f>O123</f>
        <v/>
      </c>
      <c r="Q123" s="76">
        <f>P123</f>
        <v/>
      </c>
      <c r="R123" s="76">
        <f>SUMPRODUCT($F$99:$Q$99,$E123:$P123-$F123:$Q123)</f>
        <v/>
      </c>
      <c r="S123" s="76">
        <f>SUMPRODUCT($F$96:$Q$96,$F$98:$Q$98,$F123:$Q123)+0.5*SUMPRODUCT($F$96:$Q$96,$F$99:$Q$99,$E123:$P123-$F123:$Q123)</f>
        <v/>
      </c>
      <c r="T123" s="76">
        <f>(1-$F$93)*($D$94+R123)-$D$93*(($F$94+S123)-CDS_Parameters!$B$26)</f>
        <v/>
      </c>
    </row>
    <row r="124">
      <c r="B124" s="76">
        <f>IF(T123&lt;0,D123,B123)</f>
        <v/>
      </c>
      <c r="C124" s="76">
        <f>IF(T123&lt;0,C123,D123)</f>
        <v/>
      </c>
      <c r="D124" s="76">
        <f>(B124+C124)/2</f>
        <v/>
      </c>
      <c r="E124" s="76">
        <f>$B$94</f>
        <v/>
      </c>
      <c r="F124" s="76">
        <f>$B$94*EXP(-$D124*F$100)</f>
        <v/>
      </c>
      <c r="G124" s="76">
        <f>$B$94*EXP(-$D124*G$100)</f>
        <v/>
      </c>
      <c r="H124" s="76">
        <f>$B$94*EXP(-$D124*H$100)</f>
        <v/>
      </c>
      <c r="I124" s="76">
        <f>$B$94*EXP(-$D124*I$100)</f>
        <v/>
      </c>
      <c r="J124" s="76">
        <f>I124</f>
        <v/>
      </c>
      <c r="K124" s="76">
        <f>J124</f>
        <v/>
      </c>
      <c r="L124" s="76">
        <f>K124</f>
        <v/>
      </c>
      <c r="M124" s="76">
        <f>L124</f>
        <v/>
      </c>
      <c r="N124" s="76">
        <f>M124</f>
        <v/>
      </c>
      <c r="O124" s="76">
        <f>N124</f>
        <v/>
      </c>
      <c r="P124" s="76">
        <f>O124</f>
        <v/>
      </c>
      <c r="Q124" s="76">
        <f>P124</f>
        <v/>
      </c>
      <c r="R124" s="76">
        <f>SUMPRODUCT($F$99:$Q$99,$E124:$P124-$F124:$Q124)</f>
        <v/>
      </c>
      <c r="S124" s="76">
        <f>SUMPRODUCT($F$96:$Q$96,$F$98:$Q$98,$F124:$Q124)+0.5*SUMPRODUCT($F$96:$Q$96,$F$99:$Q$99,$E124:$P124-$F124:$Q124)</f>
        <v/>
      </c>
      <c r="T124" s="76">
        <f>(1-$F$93)*($D$94+R124)-$D$93*(($F$94+S124)-CDS_Parameters!$B$26)</f>
        <v/>
      </c>
    </row>
    <row r="125">
      <c r="B125" s="76">
        <f>IF(T124&lt;0,D124,B124)</f>
        <v/>
      </c>
      <c r="C125" s="76">
        <f>IF(T124&lt;0,C124,D124)</f>
        <v/>
      </c>
      <c r="D125" s="76">
        <f>(B125+C125)/2</f>
        <v/>
      </c>
      <c r="E125" s="76">
        <f>$B$94</f>
        <v/>
      </c>
      <c r="F125" s="76">
        <f>$B$94*EXP(-$D125*F$100)</f>
        <v/>
      </c>
      <c r="G125" s="76">
        <f>$B$94*EXP(-$D125*G$100)</f>
        <v/>
      </c>
      <c r="H125" s="76">
        <f>$B$94*EXP(-$D125*H$100)</f>
        <v/>
      </c>
      <c r="I125" s="76">
        <f>$B$94*EXP(-$D125*I$100)</f>
        <v/>
      </c>
      <c r="J125" s="76">
        <f>I125</f>
        <v/>
      </c>
      <c r="K125" s="76">
        <f>J125</f>
        <v/>
      </c>
      <c r="L125" s="76">
        <f>K125</f>
        <v/>
      </c>
      <c r="M125" s="76">
        <f>L125</f>
        <v/>
      </c>
      <c r="N125" s="76">
        <f>M125</f>
        <v/>
      </c>
      <c r="O125" s="76">
        <f>N125</f>
        <v/>
      </c>
      <c r="P125" s="76">
        <f>O125</f>
        <v/>
      </c>
      <c r="Q125" s="76">
        <f>P125</f>
        <v/>
      </c>
      <c r="R125" s="76">
        <f>SUMPRODUCT($F$99:$Q$99,$E125:$P125-$F125:$Q125)</f>
        <v/>
      </c>
      <c r="S125" s="76">
        <f>SUMPRODUCT($F$96:$Q$96,$F$98:$Q$98,$F125:$Q125)+0.5*SUMPRODUCT($F$96:$Q$96,$F$99:$Q$99,$E125:$P125-$F125:$Q125)</f>
        <v/>
      </c>
      <c r="T125" s="76">
        <f>(1-$F$93)*($D$94+R125)-$D$93*(($F$94+S125)-CDS_Parameters!$B$26)</f>
        <v/>
      </c>
    </row>
    <row r="126">
      <c r="B126" s="76">
        <f>IF(T125&lt;0,D125,B125)</f>
        <v/>
      </c>
      <c r="C126" s="76">
        <f>IF(T125&lt;0,C125,D125)</f>
        <v/>
      </c>
      <c r="D126" s="76">
        <f>(B126+C126)/2</f>
        <v/>
      </c>
      <c r="E126" s="76">
        <f>$B$94</f>
        <v/>
      </c>
      <c r="F126" s="76">
        <f>$B$94*EXP(-$D126*F$100)</f>
        <v/>
      </c>
      <c r="G126" s="76">
        <f>$B$94*EXP(-$D126*G$100)</f>
        <v/>
      </c>
      <c r="H126" s="76">
        <f>$B$94*EXP(-$D126*H$100)</f>
        <v/>
      </c>
      <c r="I126" s="76">
        <f>$B$94*EXP(-$D126*I$100)</f>
        <v/>
      </c>
      <c r="J126" s="76">
        <f>I126</f>
        <v/>
      </c>
      <c r="K126" s="76">
        <f>J126</f>
        <v/>
      </c>
      <c r="L126" s="76">
        <f>K126</f>
        <v/>
      </c>
      <c r="M126" s="76">
        <f>L126</f>
        <v/>
      </c>
      <c r="N126" s="76">
        <f>M126</f>
        <v/>
      </c>
      <c r="O126" s="76">
        <f>N126</f>
        <v/>
      </c>
      <c r="P126" s="76">
        <f>O126</f>
        <v/>
      </c>
      <c r="Q126" s="76">
        <f>P126</f>
        <v/>
      </c>
      <c r="R126" s="76">
        <f>SUMPRODUCT($F$99:$Q$99,$E126:$P126-$F126:$Q126)</f>
        <v/>
      </c>
      <c r="S126" s="76">
        <f>SUMPRODUCT($F$96:$Q$96,$F$98:$Q$98,$F126:$Q126)+0.5*SUMPRODUCT($F$96:$Q$96,$F$99:$Q$99,$E126:$P126-$F126:$Q126)</f>
        <v/>
      </c>
      <c r="T126" s="76">
        <f>(1-$F$93)*($D$94+R126)-$D$93*(($F$94+S126)-CDS_Parameters!$B$26)</f>
        <v/>
      </c>
    </row>
    <row r="127">
      <c r="B127" s="76">
        <f>IF(T126&lt;0,D126,B126)</f>
        <v/>
      </c>
      <c r="C127" s="76">
        <f>IF(T126&lt;0,C126,D126)</f>
        <v/>
      </c>
      <c r="D127" s="76">
        <f>(B127+C127)/2</f>
        <v/>
      </c>
      <c r="E127" s="76">
        <f>$B$94</f>
        <v/>
      </c>
      <c r="F127" s="76">
        <f>$B$94*EXP(-$D127*F$100)</f>
        <v/>
      </c>
      <c r="G127" s="76">
        <f>$B$94*EXP(-$D127*G$100)</f>
        <v/>
      </c>
      <c r="H127" s="76">
        <f>$B$94*EXP(-$D127*H$100)</f>
        <v/>
      </c>
      <c r="I127" s="76">
        <f>$B$94*EXP(-$D127*I$100)</f>
        <v/>
      </c>
      <c r="J127" s="76">
        <f>I127</f>
        <v/>
      </c>
      <c r="K127" s="76">
        <f>J127</f>
        <v/>
      </c>
      <c r="L127" s="76">
        <f>K127</f>
        <v/>
      </c>
      <c r="M127" s="76">
        <f>L127</f>
        <v/>
      </c>
      <c r="N127" s="76">
        <f>M127</f>
        <v/>
      </c>
      <c r="O127" s="76">
        <f>N127</f>
        <v/>
      </c>
      <c r="P127" s="76">
        <f>O127</f>
        <v/>
      </c>
      <c r="Q127" s="76">
        <f>P127</f>
        <v/>
      </c>
      <c r="R127" s="76">
        <f>SUMPRODUCT($F$99:$Q$99,$E127:$P127-$F127:$Q127)</f>
        <v/>
      </c>
      <c r="S127" s="76">
        <f>SUMPRODUCT($F$96:$Q$96,$F$98:$Q$98,$F127:$Q127)+0.5*SUMPRODUCT($F$96:$Q$96,$F$99:$Q$99,$E127:$P127-$F127:$Q127)</f>
        <v/>
      </c>
      <c r="T127" s="76">
        <f>(1-$F$93)*($D$94+R127)-$D$93*(($F$94+S127)-CDS_Parameters!$B$26)</f>
        <v/>
      </c>
    </row>
    <row r="128">
      <c r="B128" s="76">
        <f>IF(T127&lt;0,D127,B127)</f>
        <v/>
      </c>
      <c r="C128" s="76">
        <f>IF(T127&lt;0,C127,D127)</f>
        <v/>
      </c>
      <c r="D128" s="76">
        <f>(B128+C128)/2</f>
        <v/>
      </c>
      <c r="E128" s="76">
        <f>$B$94</f>
        <v/>
      </c>
      <c r="F128" s="76">
        <f>$B$94*EXP(-$D128*F$100)</f>
        <v/>
      </c>
      <c r="G128" s="76">
        <f>$B$94*EXP(-$D128*G$100)</f>
        <v/>
      </c>
      <c r="H128" s="76">
        <f>$B$94*EXP(-$D128*H$100)</f>
        <v/>
      </c>
      <c r="I128" s="76">
        <f>$B$94*EXP(-$D128*I$100)</f>
        <v/>
      </c>
      <c r="J128" s="76">
        <f>I128</f>
        <v/>
      </c>
      <c r="K128" s="76">
        <f>J128</f>
        <v/>
      </c>
      <c r="L128" s="76">
        <f>K128</f>
        <v/>
      </c>
      <c r="M128" s="76">
        <f>L128</f>
        <v/>
      </c>
      <c r="N128" s="76">
        <f>M128</f>
        <v/>
      </c>
      <c r="O128" s="76">
        <f>N128</f>
        <v/>
      </c>
      <c r="P128" s="76">
        <f>O128</f>
        <v/>
      </c>
      <c r="Q128" s="76">
        <f>P128</f>
        <v/>
      </c>
      <c r="R128" s="76">
        <f>SUMPRODUCT($F$99:$Q$99,$E128:$P128-$F128:$Q128)</f>
        <v/>
      </c>
      <c r="S128" s="76">
        <f>SUMPRODUCT($F$96:$Q$96,$F$98:$Q$98,$F128:$Q128)+0.5*SUMPRODUCT($F$96:$Q$96,$F$99:$Q$99,$E128:$P128-$F128:$Q128)</f>
        <v/>
      </c>
      <c r="T128" s="76">
        <f>(1-$F$93)*($D$94+R128)-$D$93*(($F$94+S128)-CDS_Parameters!$B$26)</f>
        <v/>
      </c>
    </row>
    <row r="129">
      <c r="B129" s="76">
        <f>IF(T128&lt;0,D128,B128)</f>
        <v/>
      </c>
      <c r="C129" s="76">
        <f>IF(T128&lt;0,C128,D128)</f>
        <v/>
      </c>
      <c r="D129" s="76">
        <f>(B129+C129)/2</f>
        <v/>
      </c>
      <c r="E129" s="76">
        <f>$B$94</f>
        <v/>
      </c>
      <c r="F129" s="76">
        <f>$B$94*EXP(-$D129*F$100)</f>
        <v/>
      </c>
      <c r="G129" s="76">
        <f>$B$94*EXP(-$D129*G$100)</f>
        <v/>
      </c>
      <c r="H129" s="76">
        <f>$B$94*EXP(-$D129*H$100)</f>
        <v/>
      </c>
      <c r="I129" s="76">
        <f>$B$94*EXP(-$D129*I$100)</f>
        <v/>
      </c>
      <c r="J129" s="76">
        <f>I129</f>
        <v/>
      </c>
      <c r="K129" s="76">
        <f>J129</f>
        <v/>
      </c>
      <c r="L129" s="76">
        <f>K129</f>
        <v/>
      </c>
      <c r="M129" s="76">
        <f>L129</f>
        <v/>
      </c>
      <c r="N129" s="76">
        <f>M129</f>
        <v/>
      </c>
      <c r="O129" s="76">
        <f>N129</f>
        <v/>
      </c>
      <c r="P129" s="76">
        <f>O129</f>
        <v/>
      </c>
      <c r="Q129" s="76">
        <f>P129</f>
        <v/>
      </c>
      <c r="R129" s="76">
        <f>SUMPRODUCT($F$99:$Q$99,$E129:$P129-$F129:$Q129)</f>
        <v/>
      </c>
      <c r="S129" s="76">
        <f>SUMPRODUCT($F$96:$Q$96,$F$98:$Q$98,$F129:$Q129)+0.5*SUMPRODUCT($F$96:$Q$96,$F$99:$Q$99,$E129:$P129-$F129:$Q129)</f>
        <v/>
      </c>
      <c r="T129" s="76">
        <f>(1-$F$93)*($D$94+R129)-$D$93*(($F$94+S129)-CDS_Parameters!$B$26)</f>
        <v/>
      </c>
    </row>
    <row r="130">
      <c r="B130" s="76">
        <f>IF(T129&lt;0,D129,B129)</f>
        <v/>
      </c>
      <c r="C130" s="76">
        <f>IF(T129&lt;0,C129,D129)</f>
        <v/>
      </c>
      <c r="D130" s="76">
        <f>(B130+C130)/2</f>
        <v/>
      </c>
      <c r="E130" s="76">
        <f>$B$94</f>
        <v/>
      </c>
      <c r="F130" s="76">
        <f>$B$94*EXP(-$D130*F$100)</f>
        <v/>
      </c>
      <c r="G130" s="76">
        <f>$B$94*EXP(-$D130*G$100)</f>
        <v/>
      </c>
      <c r="H130" s="76">
        <f>$B$94*EXP(-$D130*H$100)</f>
        <v/>
      </c>
      <c r="I130" s="76">
        <f>$B$94*EXP(-$D130*I$100)</f>
        <v/>
      </c>
      <c r="J130" s="76">
        <f>I130</f>
        <v/>
      </c>
      <c r="K130" s="76">
        <f>J130</f>
        <v/>
      </c>
      <c r="L130" s="76">
        <f>K130</f>
        <v/>
      </c>
      <c r="M130" s="76">
        <f>L130</f>
        <v/>
      </c>
      <c r="N130" s="76">
        <f>M130</f>
        <v/>
      </c>
      <c r="O130" s="76">
        <f>N130</f>
        <v/>
      </c>
      <c r="P130" s="76">
        <f>O130</f>
        <v/>
      </c>
      <c r="Q130" s="76">
        <f>P130</f>
        <v/>
      </c>
      <c r="R130" s="76">
        <f>SUMPRODUCT($F$99:$Q$99,$E130:$P130-$F130:$Q130)</f>
        <v/>
      </c>
      <c r="S130" s="76">
        <f>SUMPRODUCT($F$96:$Q$96,$F$98:$Q$98,$F130:$Q130)+0.5*SUMPRODUCT($F$96:$Q$96,$F$99:$Q$99,$E130:$P130-$F130:$Q130)</f>
        <v/>
      </c>
      <c r="T130" s="76">
        <f>(1-$F$93)*($D$94+R130)-$D$93*(($F$94+S130)-CDS_Parameters!$B$26)</f>
        <v/>
      </c>
    </row>
    <row r="131">
      <c r="B131" s="76">
        <f>IF(T130&lt;0,D130,B130)</f>
        <v/>
      </c>
      <c r="C131" s="76">
        <f>IF(T130&lt;0,C130,D130)</f>
        <v/>
      </c>
      <c r="D131" s="76">
        <f>(B131+C131)/2</f>
        <v/>
      </c>
      <c r="E131" s="76">
        <f>$B$94</f>
        <v/>
      </c>
      <c r="F131" s="76">
        <f>$B$94*EXP(-$D131*F$100)</f>
        <v/>
      </c>
      <c r="G131" s="76">
        <f>$B$94*EXP(-$D131*G$100)</f>
        <v/>
      </c>
      <c r="H131" s="76">
        <f>$B$94*EXP(-$D131*H$100)</f>
        <v/>
      </c>
      <c r="I131" s="76">
        <f>$B$94*EXP(-$D131*I$100)</f>
        <v/>
      </c>
      <c r="J131" s="76">
        <f>I131</f>
        <v/>
      </c>
      <c r="K131" s="76">
        <f>J131</f>
        <v/>
      </c>
      <c r="L131" s="76">
        <f>K131</f>
        <v/>
      </c>
      <c r="M131" s="76">
        <f>L131</f>
        <v/>
      </c>
      <c r="N131" s="76">
        <f>M131</f>
        <v/>
      </c>
      <c r="O131" s="76">
        <f>N131</f>
        <v/>
      </c>
      <c r="P131" s="76">
        <f>O131</f>
        <v/>
      </c>
      <c r="Q131" s="76">
        <f>P131</f>
        <v/>
      </c>
      <c r="R131" s="76">
        <f>SUMPRODUCT($F$99:$Q$99,$E131:$P131-$F131:$Q131)</f>
        <v/>
      </c>
      <c r="S131" s="76">
        <f>SUMPRODUCT($F$96:$Q$96,$F$98:$Q$98,$F131:$Q131)+0.5*SUMPRODUCT($F$96:$Q$96,$F$99:$Q$99,$E131:$P131-$F131:$Q131)</f>
        <v/>
      </c>
      <c r="T131" s="76">
        <f>(1-$F$93)*($D$94+R131)-$D$93*(($F$94+S131)-CDS_Parameters!$B$26)</f>
        <v/>
      </c>
    </row>
    <row r="132">
      <c r="A132" s="67" t="inlineStr">
        <is>
          <t>lambda3 SOLVED</t>
        </is>
      </c>
      <c r="B132" s="71">
        <f>D131</f>
        <v/>
      </c>
      <c r="C132" s="67" t="inlineStr">
        <is>
          <t>resid</t>
        </is>
      </c>
      <c r="D132" s="72">
        <f>T131</f>
        <v/>
      </c>
      <c r="E132" s="67" t="inlineStr">
        <is>
          <t>Q(T_k)</t>
        </is>
      </c>
      <c r="F132" s="76">
        <f>Q131</f>
        <v/>
      </c>
      <c r="G132" s="67" t="inlineStr">
        <is>
          <t>ProtCum</t>
        </is>
      </c>
      <c r="H132" s="76">
        <f>$D$94+R131</f>
        <v/>
      </c>
      <c r="I132" s="67" t="inlineStr">
        <is>
          <t>RPV01Cum</t>
        </is>
      </c>
      <c r="J132" s="76">
        <f>$F$94+S131</f>
        <v/>
      </c>
      <c r="K132" s="67" t="inlineStr">
        <is>
          <t>model S (bp)</t>
        </is>
      </c>
      <c r="L132" s="63">
        <f>IFERROR((1-$F$93)*H132/J132*10000,0)</f>
        <v/>
      </c>
    </row>
    <row r="135">
      <c r="A135" s="73" t="inlineStr">
        <is>
          <t>TENOR 5Y   —   periods 13-20   —   solve lambda4</t>
        </is>
      </c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74" t="n"/>
      <c r="N135" s="74" t="n"/>
      <c r="O135" s="74" t="n"/>
      <c r="P135" s="74" t="n"/>
      <c r="Q135" s="74" t="n"/>
      <c r="R135" s="74" t="n"/>
      <c r="S135" s="74" t="n"/>
      <c r="T135" s="74" t="n"/>
    </row>
    <row r="136">
      <c r="A136" s="67" t="inlineStr">
        <is>
          <t>market S (bp)</t>
        </is>
      </c>
      <c r="B136" s="75">
        <f>Hazard_Bootstrap!$C$10</f>
        <v/>
      </c>
      <c r="C136" s="67" t="inlineStr">
        <is>
          <t>S (dec)</t>
        </is>
      </c>
      <c r="D136" s="76">
        <f>B136/10000</f>
        <v/>
      </c>
      <c r="E136" s="67" t="inlineStr">
        <is>
          <t>recovery R</t>
        </is>
      </c>
      <c r="F136" s="77">
        <f>CDS_Parameters!$B$8</f>
        <v/>
      </c>
    </row>
    <row r="137">
      <c r="A137" s="67" t="inlineStr">
        <is>
          <t>Q(start)</t>
        </is>
      </c>
      <c r="B137" s="76">
        <f>$F$132</f>
        <v/>
      </c>
      <c r="C137" s="67" t="inlineStr">
        <is>
          <t>ProtFixed</t>
        </is>
      </c>
      <c r="D137" s="76">
        <f>$H$132</f>
        <v/>
      </c>
      <c r="E137" s="67" t="inlineStr">
        <is>
          <t>RPV01Fixed</t>
        </is>
      </c>
      <c r="F137" s="76">
        <f>$J$132</f>
        <v/>
      </c>
    </row>
    <row r="138">
      <c r="A138" s="67" t="inlineStr">
        <is>
          <t>period</t>
        </is>
      </c>
      <c r="F138" s="78" t="n">
        <v>13</v>
      </c>
      <c r="G138" s="78" t="n">
        <v>14</v>
      </c>
      <c r="H138" s="78" t="n">
        <v>15</v>
      </c>
      <c r="I138" s="78" t="n">
        <v>16</v>
      </c>
      <c r="J138" s="78" t="n">
        <v>17</v>
      </c>
      <c r="K138" s="78" t="n">
        <v>18</v>
      </c>
      <c r="L138" s="78" t="n">
        <v>19</v>
      </c>
      <c r="M138" s="78" t="n">
        <v>20</v>
      </c>
      <c r="N138" s="78" t="inlineStr"/>
      <c r="O138" s="78" t="inlineStr"/>
      <c r="P138" s="78" t="inlineStr"/>
      <c r="Q138" s="78" t="inlineStr"/>
    </row>
    <row r="139">
      <c r="A139" s="67" t="inlineStr">
        <is>
          <t>alpha 360</t>
        </is>
      </c>
      <c r="F139" s="79">
        <f>CDS_Schedule!$D$19</f>
        <v/>
      </c>
      <c r="G139" s="79">
        <f>CDS_Schedule!$D$20</f>
        <v/>
      </c>
      <c r="H139" s="79">
        <f>CDS_Schedule!$D$21</f>
        <v/>
      </c>
      <c r="I139" s="79">
        <f>CDS_Schedule!$D$22</f>
        <v/>
      </c>
      <c r="J139" s="79">
        <f>CDS_Schedule!$D$23</f>
        <v/>
      </c>
      <c r="K139" s="79">
        <f>CDS_Schedule!$D$24</f>
        <v/>
      </c>
      <c r="L139" s="79">
        <f>CDS_Schedule!$D$25</f>
        <v/>
      </c>
      <c r="M139" s="79">
        <f>CDS_Schedule!$D$26</f>
        <v/>
      </c>
      <c r="N139" s="80" t="n">
        <v>0</v>
      </c>
      <c r="O139" s="80" t="n">
        <v>0</v>
      </c>
      <c r="P139" s="80" t="n">
        <v>0</v>
      </c>
      <c r="Q139" s="80" t="n">
        <v>0</v>
      </c>
    </row>
    <row r="140">
      <c r="A140" s="67" t="inlineStr">
        <is>
          <t>dt 365</t>
        </is>
      </c>
      <c r="F140" s="79">
        <f>CDS_Schedule!$E$19</f>
        <v/>
      </c>
      <c r="G140" s="79">
        <f>CDS_Schedule!$E$20</f>
        <v/>
      </c>
      <c r="H140" s="79">
        <f>CDS_Schedule!$E$21</f>
        <v/>
      </c>
      <c r="I140" s="79">
        <f>CDS_Schedule!$E$22</f>
        <v/>
      </c>
      <c r="J140" s="79">
        <f>CDS_Schedule!$E$23</f>
        <v/>
      </c>
      <c r="K140" s="79">
        <f>CDS_Schedule!$E$24</f>
        <v/>
      </c>
      <c r="L140" s="79">
        <f>CDS_Schedule!$E$25</f>
        <v/>
      </c>
      <c r="M140" s="79">
        <f>CDS_Schedule!$E$26</f>
        <v/>
      </c>
      <c r="N140" s="80" t="n">
        <v>0</v>
      </c>
      <c r="O140" s="80" t="n">
        <v>0</v>
      </c>
      <c r="P140" s="80" t="n">
        <v>0</v>
      </c>
      <c r="Q140" s="80" t="n">
        <v>0</v>
      </c>
    </row>
    <row r="141">
      <c r="A141" s="67" t="inlineStr">
        <is>
          <t>DF(end)</t>
        </is>
      </c>
      <c r="F141" s="79">
        <f>CDS_Schedule!$G$19</f>
        <v/>
      </c>
      <c r="G141" s="79">
        <f>CDS_Schedule!$G$20</f>
        <v/>
      </c>
      <c r="H141" s="79">
        <f>CDS_Schedule!$G$21</f>
        <v/>
      </c>
      <c r="I141" s="79">
        <f>CDS_Schedule!$G$22</f>
        <v/>
      </c>
      <c r="J141" s="79">
        <f>CDS_Schedule!$G$23</f>
        <v/>
      </c>
      <c r="K141" s="79">
        <f>CDS_Schedule!$G$24</f>
        <v/>
      </c>
      <c r="L141" s="79">
        <f>CDS_Schedule!$G$25</f>
        <v/>
      </c>
      <c r="M141" s="79">
        <f>CDS_Schedule!$G$26</f>
        <v/>
      </c>
      <c r="N141" s="80" t="n">
        <v>0</v>
      </c>
      <c r="O141" s="80" t="n">
        <v>0</v>
      </c>
      <c r="P141" s="80" t="n">
        <v>0</v>
      </c>
      <c r="Q141" s="80" t="n">
        <v>0</v>
      </c>
    </row>
    <row r="142">
      <c r="A142" s="67" t="inlineStr">
        <is>
          <t>DF(mid)</t>
        </is>
      </c>
      <c r="F142" s="79">
        <f>CDS_Schedule!$H$19</f>
        <v/>
      </c>
      <c r="G142" s="79">
        <f>CDS_Schedule!$H$20</f>
        <v/>
      </c>
      <c r="H142" s="79">
        <f>CDS_Schedule!$H$21</f>
        <v/>
      </c>
      <c r="I142" s="79">
        <f>CDS_Schedule!$H$22</f>
        <v/>
      </c>
      <c r="J142" s="79">
        <f>CDS_Schedule!$H$23</f>
        <v/>
      </c>
      <c r="K142" s="79">
        <f>CDS_Schedule!$H$24</f>
        <v/>
      </c>
      <c r="L142" s="79">
        <f>CDS_Schedule!$H$25</f>
        <v/>
      </c>
      <c r="M142" s="79">
        <f>CDS_Schedule!$H$26</f>
        <v/>
      </c>
      <c r="N142" s="80" t="n">
        <v>0</v>
      </c>
      <c r="O142" s="80" t="n">
        <v>0</v>
      </c>
      <c r="P142" s="80" t="n">
        <v>0</v>
      </c>
      <c r="Q142" s="80" t="n">
        <v>0</v>
      </c>
    </row>
    <row r="143">
      <c r="A143" s="67" t="inlineStr">
        <is>
          <t>cum dt in seg</t>
        </is>
      </c>
      <c r="F143" s="80">
        <f>0+F140</f>
        <v/>
      </c>
      <c r="G143" s="80">
        <f>F143+G140</f>
        <v/>
      </c>
      <c r="H143" s="80">
        <f>G143+H140</f>
        <v/>
      </c>
      <c r="I143" s="80">
        <f>H143+I140</f>
        <v/>
      </c>
      <c r="J143" s="80">
        <f>I143+J140</f>
        <v/>
      </c>
      <c r="K143" s="80">
        <f>J143+K140</f>
        <v/>
      </c>
      <c r="L143" s="80">
        <f>K143+L140</f>
        <v/>
      </c>
      <c r="M143" s="80">
        <f>L143+M140</f>
        <v/>
      </c>
      <c r="N143" s="80">
        <f>M143+N140</f>
        <v/>
      </c>
      <c r="O143" s="80">
        <f>N143+O140</f>
        <v/>
      </c>
      <c r="P143" s="80">
        <f>O143+P140</f>
        <v/>
      </c>
      <c r="Q143" s="80">
        <f>P143+Q140</f>
        <v/>
      </c>
    </row>
    <row r="144">
      <c r="A144" s="67" t="inlineStr">
        <is>
          <t>bisection</t>
        </is>
      </c>
      <c r="B144" s="62" t="inlineStr">
        <is>
          <t>lo</t>
        </is>
      </c>
      <c r="C144" s="62" t="inlineStr">
        <is>
          <t>hi</t>
        </is>
      </c>
      <c r="D144" s="62" t="inlineStr">
        <is>
          <t>lambda trial</t>
        </is>
      </c>
      <c r="E144" s="62" t="inlineStr">
        <is>
          <t>Q(start)</t>
        </is>
      </c>
      <c r="R144" s="62" t="inlineStr">
        <is>
          <t>ProtSeg</t>
        </is>
      </c>
      <c r="S144" s="62" t="inlineStr">
        <is>
          <t>RPV01Seg</t>
        </is>
      </c>
      <c r="T144" s="62" t="inlineStr">
        <is>
          <t>f(lambda)</t>
        </is>
      </c>
    </row>
    <row r="145">
      <c r="B145" s="76" t="n">
        <v>0</v>
      </c>
      <c r="C145" s="76" t="n">
        <v>3</v>
      </c>
      <c r="D145" s="76">
        <f>(B145+C145)/2</f>
        <v/>
      </c>
      <c r="E145" s="76">
        <f>$B$137</f>
        <v/>
      </c>
      <c r="F145" s="76">
        <f>$B$137*EXP(-$D145*F$143)</f>
        <v/>
      </c>
      <c r="G145" s="76">
        <f>$B$137*EXP(-$D145*G$143)</f>
        <v/>
      </c>
      <c r="H145" s="76">
        <f>$B$137*EXP(-$D145*H$143)</f>
        <v/>
      </c>
      <c r="I145" s="76">
        <f>$B$137*EXP(-$D145*I$143)</f>
        <v/>
      </c>
      <c r="J145" s="76">
        <f>$B$137*EXP(-$D145*J$143)</f>
        <v/>
      </c>
      <c r="K145" s="76">
        <f>$B$137*EXP(-$D145*K$143)</f>
        <v/>
      </c>
      <c r="L145" s="76">
        <f>$B$137*EXP(-$D145*L$143)</f>
        <v/>
      </c>
      <c r="M145" s="76">
        <f>$B$137*EXP(-$D145*M$143)</f>
        <v/>
      </c>
      <c r="N145" s="76">
        <f>M145</f>
        <v/>
      </c>
      <c r="O145" s="76">
        <f>N145</f>
        <v/>
      </c>
      <c r="P145" s="76">
        <f>O145</f>
        <v/>
      </c>
      <c r="Q145" s="76">
        <f>P145</f>
        <v/>
      </c>
      <c r="R145" s="76">
        <f>SUMPRODUCT($F$142:$Q$142,$E145:$P145-$F145:$Q145)</f>
        <v/>
      </c>
      <c r="S145" s="76">
        <f>SUMPRODUCT($F$139:$Q$139,$F$141:$Q$141,$F145:$Q145)+0.5*SUMPRODUCT($F$139:$Q$139,$F$142:$Q$142,$E145:$P145-$F145:$Q145)</f>
        <v/>
      </c>
      <c r="T145" s="76">
        <f>(1-$F$136)*($D$137+R145)-$D$136*(($F$137+S145)-CDS_Parameters!$B$26)</f>
        <v/>
      </c>
    </row>
    <row r="146">
      <c r="B146" s="76">
        <f>IF(T145&lt;0,D145,B145)</f>
        <v/>
      </c>
      <c r="C146" s="76">
        <f>IF(T145&lt;0,C145,D145)</f>
        <v/>
      </c>
      <c r="D146" s="76">
        <f>(B146+C146)/2</f>
        <v/>
      </c>
      <c r="E146" s="76">
        <f>$B$137</f>
        <v/>
      </c>
      <c r="F146" s="76">
        <f>$B$137*EXP(-$D146*F$143)</f>
        <v/>
      </c>
      <c r="G146" s="76">
        <f>$B$137*EXP(-$D146*G$143)</f>
        <v/>
      </c>
      <c r="H146" s="76">
        <f>$B$137*EXP(-$D146*H$143)</f>
        <v/>
      </c>
      <c r="I146" s="76">
        <f>$B$137*EXP(-$D146*I$143)</f>
        <v/>
      </c>
      <c r="J146" s="76">
        <f>$B$137*EXP(-$D146*J$143)</f>
        <v/>
      </c>
      <c r="K146" s="76">
        <f>$B$137*EXP(-$D146*K$143)</f>
        <v/>
      </c>
      <c r="L146" s="76">
        <f>$B$137*EXP(-$D146*L$143)</f>
        <v/>
      </c>
      <c r="M146" s="76">
        <f>$B$137*EXP(-$D146*M$143)</f>
        <v/>
      </c>
      <c r="N146" s="76">
        <f>M146</f>
        <v/>
      </c>
      <c r="O146" s="76">
        <f>N146</f>
        <v/>
      </c>
      <c r="P146" s="76">
        <f>O146</f>
        <v/>
      </c>
      <c r="Q146" s="76">
        <f>P146</f>
        <v/>
      </c>
      <c r="R146" s="76">
        <f>SUMPRODUCT($F$142:$Q$142,$E146:$P146-$F146:$Q146)</f>
        <v/>
      </c>
      <c r="S146" s="76">
        <f>SUMPRODUCT($F$139:$Q$139,$F$141:$Q$141,$F146:$Q146)+0.5*SUMPRODUCT($F$139:$Q$139,$F$142:$Q$142,$E146:$P146-$F146:$Q146)</f>
        <v/>
      </c>
      <c r="T146" s="76">
        <f>(1-$F$136)*($D$137+R146)-$D$136*(($F$137+S146)-CDS_Parameters!$B$26)</f>
        <v/>
      </c>
    </row>
    <row r="147">
      <c r="B147" s="76">
        <f>IF(T146&lt;0,D146,B146)</f>
        <v/>
      </c>
      <c r="C147" s="76">
        <f>IF(T146&lt;0,C146,D146)</f>
        <v/>
      </c>
      <c r="D147" s="76">
        <f>(B147+C147)/2</f>
        <v/>
      </c>
      <c r="E147" s="76">
        <f>$B$137</f>
        <v/>
      </c>
      <c r="F147" s="76">
        <f>$B$137*EXP(-$D147*F$143)</f>
        <v/>
      </c>
      <c r="G147" s="76">
        <f>$B$137*EXP(-$D147*G$143)</f>
        <v/>
      </c>
      <c r="H147" s="76">
        <f>$B$137*EXP(-$D147*H$143)</f>
        <v/>
      </c>
      <c r="I147" s="76">
        <f>$B$137*EXP(-$D147*I$143)</f>
        <v/>
      </c>
      <c r="J147" s="76">
        <f>$B$137*EXP(-$D147*J$143)</f>
        <v/>
      </c>
      <c r="K147" s="76">
        <f>$B$137*EXP(-$D147*K$143)</f>
        <v/>
      </c>
      <c r="L147" s="76">
        <f>$B$137*EXP(-$D147*L$143)</f>
        <v/>
      </c>
      <c r="M147" s="76">
        <f>$B$137*EXP(-$D147*M$143)</f>
        <v/>
      </c>
      <c r="N147" s="76">
        <f>M147</f>
        <v/>
      </c>
      <c r="O147" s="76">
        <f>N147</f>
        <v/>
      </c>
      <c r="P147" s="76">
        <f>O147</f>
        <v/>
      </c>
      <c r="Q147" s="76">
        <f>P147</f>
        <v/>
      </c>
      <c r="R147" s="76">
        <f>SUMPRODUCT($F$142:$Q$142,$E147:$P147-$F147:$Q147)</f>
        <v/>
      </c>
      <c r="S147" s="76">
        <f>SUMPRODUCT($F$139:$Q$139,$F$141:$Q$141,$F147:$Q147)+0.5*SUMPRODUCT($F$139:$Q$139,$F$142:$Q$142,$E147:$P147-$F147:$Q147)</f>
        <v/>
      </c>
      <c r="T147" s="76">
        <f>(1-$F$136)*($D$137+R147)-$D$136*(($F$137+S147)-CDS_Parameters!$B$26)</f>
        <v/>
      </c>
    </row>
    <row r="148">
      <c r="B148" s="76">
        <f>IF(T147&lt;0,D147,B147)</f>
        <v/>
      </c>
      <c r="C148" s="76">
        <f>IF(T147&lt;0,C147,D147)</f>
        <v/>
      </c>
      <c r="D148" s="76">
        <f>(B148+C148)/2</f>
        <v/>
      </c>
      <c r="E148" s="76">
        <f>$B$137</f>
        <v/>
      </c>
      <c r="F148" s="76">
        <f>$B$137*EXP(-$D148*F$143)</f>
        <v/>
      </c>
      <c r="G148" s="76">
        <f>$B$137*EXP(-$D148*G$143)</f>
        <v/>
      </c>
      <c r="H148" s="76">
        <f>$B$137*EXP(-$D148*H$143)</f>
        <v/>
      </c>
      <c r="I148" s="76">
        <f>$B$137*EXP(-$D148*I$143)</f>
        <v/>
      </c>
      <c r="J148" s="76">
        <f>$B$137*EXP(-$D148*J$143)</f>
        <v/>
      </c>
      <c r="K148" s="76">
        <f>$B$137*EXP(-$D148*K$143)</f>
        <v/>
      </c>
      <c r="L148" s="76">
        <f>$B$137*EXP(-$D148*L$143)</f>
        <v/>
      </c>
      <c r="M148" s="76">
        <f>$B$137*EXP(-$D148*M$143)</f>
        <v/>
      </c>
      <c r="N148" s="76">
        <f>M148</f>
        <v/>
      </c>
      <c r="O148" s="76">
        <f>N148</f>
        <v/>
      </c>
      <c r="P148" s="76">
        <f>O148</f>
        <v/>
      </c>
      <c r="Q148" s="76">
        <f>P148</f>
        <v/>
      </c>
      <c r="R148" s="76">
        <f>SUMPRODUCT($F$142:$Q$142,$E148:$P148-$F148:$Q148)</f>
        <v/>
      </c>
      <c r="S148" s="76">
        <f>SUMPRODUCT($F$139:$Q$139,$F$141:$Q$141,$F148:$Q148)+0.5*SUMPRODUCT($F$139:$Q$139,$F$142:$Q$142,$E148:$P148-$F148:$Q148)</f>
        <v/>
      </c>
      <c r="T148" s="76">
        <f>(1-$F$136)*($D$137+R148)-$D$136*(($F$137+S148)-CDS_Parameters!$B$26)</f>
        <v/>
      </c>
    </row>
    <row r="149">
      <c r="B149" s="76">
        <f>IF(T148&lt;0,D148,B148)</f>
        <v/>
      </c>
      <c r="C149" s="76">
        <f>IF(T148&lt;0,C148,D148)</f>
        <v/>
      </c>
      <c r="D149" s="76">
        <f>(B149+C149)/2</f>
        <v/>
      </c>
      <c r="E149" s="76">
        <f>$B$137</f>
        <v/>
      </c>
      <c r="F149" s="76">
        <f>$B$137*EXP(-$D149*F$143)</f>
        <v/>
      </c>
      <c r="G149" s="76">
        <f>$B$137*EXP(-$D149*G$143)</f>
        <v/>
      </c>
      <c r="H149" s="76">
        <f>$B$137*EXP(-$D149*H$143)</f>
        <v/>
      </c>
      <c r="I149" s="76">
        <f>$B$137*EXP(-$D149*I$143)</f>
        <v/>
      </c>
      <c r="J149" s="76">
        <f>$B$137*EXP(-$D149*J$143)</f>
        <v/>
      </c>
      <c r="K149" s="76">
        <f>$B$137*EXP(-$D149*K$143)</f>
        <v/>
      </c>
      <c r="L149" s="76">
        <f>$B$137*EXP(-$D149*L$143)</f>
        <v/>
      </c>
      <c r="M149" s="76">
        <f>$B$137*EXP(-$D149*M$143)</f>
        <v/>
      </c>
      <c r="N149" s="76">
        <f>M149</f>
        <v/>
      </c>
      <c r="O149" s="76">
        <f>N149</f>
        <v/>
      </c>
      <c r="P149" s="76">
        <f>O149</f>
        <v/>
      </c>
      <c r="Q149" s="76">
        <f>P149</f>
        <v/>
      </c>
      <c r="R149" s="76">
        <f>SUMPRODUCT($F$142:$Q$142,$E149:$P149-$F149:$Q149)</f>
        <v/>
      </c>
      <c r="S149" s="76">
        <f>SUMPRODUCT($F$139:$Q$139,$F$141:$Q$141,$F149:$Q149)+0.5*SUMPRODUCT($F$139:$Q$139,$F$142:$Q$142,$E149:$P149-$F149:$Q149)</f>
        <v/>
      </c>
      <c r="T149" s="76">
        <f>(1-$F$136)*($D$137+R149)-$D$136*(($F$137+S149)-CDS_Parameters!$B$26)</f>
        <v/>
      </c>
    </row>
    <row r="150">
      <c r="B150" s="76">
        <f>IF(T149&lt;0,D149,B149)</f>
        <v/>
      </c>
      <c r="C150" s="76">
        <f>IF(T149&lt;0,C149,D149)</f>
        <v/>
      </c>
      <c r="D150" s="76">
        <f>(B150+C150)/2</f>
        <v/>
      </c>
      <c r="E150" s="76">
        <f>$B$137</f>
        <v/>
      </c>
      <c r="F150" s="76">
        <f>$B$137*EXP(-$D150*F$143)</f>
        <v/>
      </c>
      <c r="G150" s="76">
        <f>$B$137*EXP(-$D150*G$143)</f>
        <v/>
      </c>
      <c r="H150" s="76">
        <f>$B$137*EXP(-$D150*H$143)</f>
        <v/>
      </c>
      <c r="I150" s="76">
        <f>$B$137*EXP(-$D150*I$143)</f>
        <v/>
      </c>
      <c r="J150" s="76">
        <f>$B$137*EXP(-$D150*J$143)</f>
        <v/>
      </c>
      <c r="K150" s="76">
        <f>$B$137*EXP(-$D150*K$143)</f>
        <v/>
      </c>
      <c r="L150" s="76">
        <f>$B$137*EXP(-$D150*L$143)</f>
        <v/>
      </c>
      <c r="M150" s="76">
        <f>$B$137*EXP(-$D150*M$143)</f>
        <v/>
      </c>
      <c r="N150" s="76">
        <f>M150</f>
        <v/>
      </c>
      <c r="O150" s="76">
        <f>N150</f>
        <v/>
      </c>
      <c r="P150" s="76">
        <f>O150</f>
        <v/>
      </c>
      <c r="Q150" s="76">
        <f>P150</f>
        <v/>
      </c>
      <c r="R150" s="76">
        <f>SUMPRODUCT($F$142:$Q$142,$E150:$P150-$F150:$Q150)</f>
        <v/>
      </c>
      <c r="S150" s="76">
        <f>SUMPRODUCT($F$139:$Q$139,$F$141:$Q$141,$F150:$Q150)+0.5*SUMPRODUCT($F$139:$Q$139,$F$142:$Q$142,$E150:$P150-$F150:$Q150)</f>
        <v/>
      </c>
      <c r="T150" s="76">
        <f>(1-$F$136)*($D$137+R150)-$D$136*(($F$137+S150)-CDS_Parameters!$B$26)</f>
        <v/>
      </c>
    </row>
    <row r="151">
      <c r="B151" s="76">
        <f>IF(T150&lt;0,D150,B150)</f>
        <v/>
      </c>
      <c r="C151" s="76">
        <f>IF(T150&lt;0,C150,D150)</f>
        <v/>
      </c>
      <c r="D151" s="76">
        <f>(B151+C151)/2</f>
        <v/>
      </c>
      <c r="E151" s="76">
        <f>$B$137</f>
        <v/>
      </c>
      <c r="F151" s="76">
        <f>$B$137*EXP(-$D151*F$143)</f>
        <v/>
      </c>
      <c r="G151" s="76">
        <f>$B$137*EXP(-$D151*G$143)</f>
        <v/>
      </c>
      <c r="H151" s="76">
        <f>$B$137*EXP(-$D151*H$143)</f>
        <v/>
      </c>
      <c r="I151" s="76">
        <f>$B$137*EXP(-$D151*I$143)</f>
        <v/>
      </c>
      <c r="J151" s="76">
        <f>$B$137*EXP(-$D151*J$143)</f>
        <v/>
      </c>
      <c r="K151" s="76">
        <f>$B$137*EXP(-$D151*K$143)</f>
        <v/>
      </c>
      <c r="L151" s="76">
        <f>$B$137*EXP(-$D151*L$143)</f>
        <v/>
      </c>
      <c r="M151" s="76">
        <f>$B$137*EXP(-$D151*M$143)</f>
        <v/>
      </c>
      <c r="N151" s="76">
        <f>M151</f>
        <v/>
      </c>
      <c r="O151" s="76">
        <f>N151</f>
        <v/>
      </c>
      <c r="P151" s="76">
        <f>O151</f>
        <v/>
      </c>
      <c r="Q151" s="76">
        <f>P151</f>
        <v/>
      </c>
      <c r="R151" s="76">
        <f>SUMPRODUCT($F$142:$Q$142,$E151:$P151-$F151:$Q151)</f>
        <v/>
      </c>
      <c r="S151" s="76">
        <f>SUMPRODUCT($F$139:$Q$139,$F$141:$Q$141,$F151:$Q151)+0.5*SUMPRODUCT($F$139:$Q$139,$F$142:$Q$142,$E151:$P151-$F151:$Q151)</f>
        <v/>
      </c>
      <c r="T151" s="76">
        <f>(1-$F$136)*($D$137+R151)-$D$136*(($F$137+S151)-CDS_Parameters!$B$26)</f>
        <v/>
      </c>
    </row>
    <row r="152">
      <c r="B152" s="76">
        <f>IF(T151&lt;0,D151,B151)</f>
        <v/>
      </c>
      <c r="C152" s="76">
        <f>IF(T151&lt;0,C151,D151)</f>
        <v/>
      </c>
      <c r="D152" s="76">
        <f>(B152+C152)/2</f>
        <v/>
      </c>
      <c r="E152" s="76">
        <f>$B$137</f>
        <v/>
      </c>
      <c r="F152" s="76">
        <f>$B$137*EXP(-$D152*F$143)</f>
        <v/>
      </c>
      <c r="G152" s="76">
        <f>$B$137*EXP(-$D152*G$143)</f>
        <v/>
      </c>
      <c r="H152" s="76">
        <f>$B$137*EXP(-$D152*H$143)</f>
        <v/>
      </c>
      <c r="I152" s="76">
        <f>$B$137*EXP(-$D152*I$143)</f>
        <v/>
      </c>
      <c r="J152" s="76">
        <f>$B$137*EXP(-$D152*J$143)</f>
        <v/>
      </c>
      <c r="K152" s="76">
        <f>$B$137*EXP(-$D152*K$143)</f>
        <v/>
      </c>
      <c r="L152" s="76">
        <f>$B$137*EXP(-$D152*L$143)</f>
        <v/>
      </c>
      <c r="M152" s="76">
        <f>$B$137*EXP(-$D152*M$143)</f>
        <v/>
      </c>
      <c r="N152" s="76">
        <f>M152</f>
        <v/>
      </c>
      <c r="O152" s="76">
        <f>N152</f>
        <v/>
      </c>
      <c r="P152" s="76">
        <f>O152</f>
        <v/>
      </c>
      <c r="Q152" s="76">
        <f>P152</f>
        <v/>
      </c>
      <c r="R152" s="76">
        <f>SUMPRODUCT($F$142:$Q$142,$E152:$P152-$F152:$Q152)</f>
        <v/>
      </c>
      <c r="S152" s="76">
        <f>SUMPRODUCT($F$139:$Q$139,$F$141:$Q$141,$F152:$Q152)+0.5*SUMPRODUCT($F$139:$Q$139,$F$142:$Q$142,$E152:$P152-$F152:$Q152)</f>
        <v/>
      </c>
      <c r="T152" s="76">
        <f>(1-$F$136)*($D$137+R152)-$D$136*(($F$137+S152)-CDS_Parameters!$B$26)</f>
        <v/>
      </c>
    </row>
    <row r="153">
      <c r="B153" s="76">
        <f>IF(T152&lt;0,D152,B152)</f>
        <v/>
      </c>
      <c r="C153" s="76">
        <f>IF(T152&lt;0,C152,D152)</f>
        <v/>
      </c>
      <c r="D153" s="76">
        <f>(B153+C153)/2</f>
        <v/>
      </c>
      <c r="E153" s="76">
        <f>$B$137</f>
        <v/>
      </c>
      <c r="F153" s="76">
        <f>$B$137*EXP(-$D153*F$143)</f>
        <v/>
      </c>
      <c r="G153" s="76">
        <f>$B$137*EXP(-$D153*G$143)</f>
        <v/>
      </c>
      <c r="H153" s="76">
        <f>$B$137*EXP(-$D153*H$143)</f>
        <v/>
      </c>
      <c r="I153" s="76">
        <f>$B$137*EXP(-$D153*I$143)</f>
        <v/>
      </c>
      <c r="J153" s="76">
        <f>$B$137*EXP(-$D153*J$143)</f>
        <v/>
      </c>
      <c r="K153" s="76">
        <f>$B$137*EXP(-$D153*K$143)</f>
        <v/>
      </c>
      <c r="L153" s="76">
        <f>$B$137*EXP(-$D153*L$143)</f>
        <v/>
      </c>
      <c r="M153" s="76">
        <f>$B$137*EXP(-$D153*M$143)</f>
        <v/>
      </c>
      <c r="N153" s="76">
        <f>M153</f>
        <v/>
      </c>
      <c r="O153" s="76">
        <f>N153</f>
        <v/>
      </c>
      <c r="P153" s="76">
        <f>O153</f>
        <v/>
      </c>
      <c r="Q153" s="76">
        <f>P153</f>
        <v/>
      </c>
      <c r="R153" s="76">
        <f>SUMPRODUCT($F$142:$Q$142,$E153:$P153-$F153:$Q153)</f>
        <v/>
      </c>
      <c r="S153" s="76">
        <f>SUMPRODUCT($F$139:$Q$139,$F$141:$Q$141,$F153:$Q153)+0.5*SUMPRODUCT($F$139:$Q$139,$F$142:$Q$142,$E153:$P153-$F153:$Q153)</f>
        <v/>
      </c>
      <c r="T153" s="76">
        <f>(1-$F$136)*($D$137+R153)-$D$136*(($F$137+S153)-CDS_Parameters!$B$26)</f>
        <v/>
      </c>
    </row>
    <row r="154">
      <c r="B154" s="76">
        <f>IF(T153&lt;0,D153,B153)</f>
        <v/>
      </c>
      <c r="C154" s="76">
        <f>IF(T153&lt;0,C153,D153)</f>
        <v/>
      </c>
      <c r="D154" s="76">
        <f>(B154+C154)/2</f>
        <v/>
      </c>
      <c r="E154" s="76">
        <f>$B$137</f>
        <v/>
      </c>
      <c r="F154" s="76">
        <f>$B$137*EXP(-$D154*F$143)</f>
        <v/>
      </c>
      <c r="G154" s="76">
        <f>$B$137*EXP(-$D154*G$143)</f>
        <v/>
      </c>
      <c r="H154" s="76">
        <f>$B$137*EXP(-$D154*H$143)</f>
        <v/>
      </c>
      <c r="I154" s="76">
        <f>$B$137*EXP(-$D154*I$143)</f>
        <v/>
      </c>
      <c r="J154" s="76">
        <f>$B$137*EXP(-$D154*J$143)</f>
        <v/>
      </c>
      <c r="K154" s="76">
        <f>$B$137*EXP(-$D154*K$143)</f>
        <v/>
      </c>
      <c r="L154" s="76">
        <f>$B$137*EXP(-$D154*L$143)</f>
        <v/>
      </c>
      <c r="M154" s="76">
        <f>$B$137*EXP(-$D154*M$143)</f>
        <v/>
      </c>
      <c r="N154" s="76">
        <f>M154</f>
        <v/>
      </c>
      <c r="O154" s="76">
        <f>N154</f>
        <v/>
      </c>
      <c r="P154" s="76">
        <f>O154</f>
        <v/>
      </c>
      <c r="Q154" s="76">
        <f>P154</f>
        <v/>
      </c>
      <c r="R154" s="76">
        <f>SUMPRODUCT($F$142:$Q$142,$E154:$P154-$F154:$Q154)</f>
        <v/>
      </c>
      <c r="S154" s="76">
        <f>SUMPRODUCT($F$139:$Q$139,$F$141:$Q$141,$F154:$Q154)+0.5*SUMPRODUCT($F$139:$Q$139,$F$142:$Q$142,$E154:$P154-$F154:$Q154)</f>
        <v/>
      </c>
      <c r="T154" s="76">
        <f>(1-$F$136)*($D$137+R154)-$D$136*(($F$137+S154)-CDS_Parameters!$B$26)</f>
        <v/>
      </c>
    </row>
    <row r="155">
      <c r="B155" s="76">
        <f>IF(T154&lt;0,D154,B154)</f>
        <v/>
      </c>
      <c r="C155" s="76">
        <f>IF(T154&lt;0,C154,D154)</f>
        <v/>
      </c>
      <c r="D155" s="76">
        <f>(B155+C155)/2</f>
        <v/>
      </c>
      <c r="E155" s="76">
        <f>$B$137</f>
        <v/>
      </c>
      <c r="F155" s="76">
        <f>$B$137*EXP(-$D155*F$143)</f>
        <v/>
      </c>
      <c r="G155" s="76">
        <f>$B$137*EXP(-$D155*G$143)</f>
        <v/>
      </c>
      <c r="H155" s="76">
        <f>$B$137*EXP(-$D155*H$143)</f>
        <v/>
      </c>
      <c r="I155" s="76">
        <f>$B$137*EXP(-$D155*I$143)</f>
        <v/>
      </c>
      <c r="J155" s="76">
        <f>$B$137*EXP(-$D155*J$143)</f>
        <v/>
      </c>
      <c r="K155" s="76">
        <f>$B$137*EXP(-$D155*K$143)</f>
        <v/>
      </c>
      <c r="L155" s="76">
        <f>$B$137*EXP(-$D155*L$143)</f>
        <v/>
      </c>
      <c r="M155" s="76">
        <f>$B$137*EXP(-$D155*M$143)</f>
        <v/>
      </c>
      <c r="N155" s="76">
        <f>M155</f>
        <v/>
      </c>
      <c r="O155" s="76">
        <f>N155</f>
        <v/>
      </c>
      <c r="P155" s="76">
        <f>O155</f>
        <v/>
      </c>
      <c r="Q155" s="76">
        <f>P155</f>
        <v/>
      </c>
      <c r="R155" s="76">
        <f>SUMPRODUCT($F$142:$Q$142,$E155:$P155-$F155:$Q155)</f>
        <v/>
      </c>
      <c r="S155" s="76">
        <f>SUMPRODUCT($F$139:$Q$139,$F$141:$Q$141,$F155:$Q155)+0.5*SUMPRODUCT($F$139:$Q$139,$F$142:$Q$142,$E155:$P155-$F155:$Q155)</f>
        <v/>
      </c>
      <c r="T155" s="76">
        <f>(1-$F$136)*($D$137+R155)-$D$136*(($F$137+S155)-CDS_Parameters!$B$26)</f>
        <v/>
      </c>
    </row>
    <row r="156">
      <c r="B156" s="76">
        <f>IF(T155&lt;0,D155,B155)</f>
        <v/>
      </c>
      <c r="C156" s="76">
        <f>IF(T155&lt;0,C155,D155)</f>
        <v/>
      </c>
      <c r="D156" s="76">
        <f>(B156+C156)/2</f>
        <v/>
      </c>
      <c r="E156" s="76">
        <f>$B$137</f>
        <v/>
      </c>
      <c r="F156" s="76">
        <f>$B$137*EXP(-$D156*F$143)</f>
        <v/>
      </c>
      <c r="G156" s="76">
        <f>$B$137*EXP(-$D156*G$143)</f>
        <v/>
      </c>
      <c r="H156" s="76">
        <f>$B$137*EXP(-$D156*H$143)</f>
        <v/>
      </c>
      <c r="I156" s="76">
        <f>$B$137*EXP(-$D156*I$143)</f>
        <v/>
      </c>
      <c r="J156" s="76">
        <f>$B$137*EXP(-$D156*J$143)</f>
        <v/>
      </c>
      <c r="K156" s="76">
        <f>$B$137*EXP(-$D156*K$143)</f>
        <v/>
      </c>
      <c r="L156" s="76">
        <f>$B$137*EXP(-$D156*L$143)</f>
        <v/>
      </c>
      <c r="M156" s="76">
        <f>$B$137*EXP(-$D156*M$143)</f>
        <v/>
      </c>
      <c r="N156" s="76">
        <f>M156</f>
        <v/>
      </c>
      <c r="O156" s="76">
        <f>N156</f>
        <v/>
      </c>
      <c r="P156" s="76">
        <f>O156</f>
        <v/>
      </c>
      <c r="Q156" s="76">
        <f>P156</f>
        <v/>
      </c>
      <c r="R156" s="76">
        <f>SUMPRODUCT($F$142:$Q$142,$E156:$P156-$F156:$Q156)</f>
        <v/>
      </c>
      <c r="S156" s="76">
        <f>SUMPRODUCT($F$139:$Q$139,$F$141:$Q$141,$F156:$Q156)+0.5*SUMPRODUCT($F$139:$Q$139,$F$142:$Q$142,$E156:$P156-$F156:$Q156)</f>
        <v/>
      </c>
      <c r="T156" s="76">
        <f>(1-$F$136)*($D$137+R156)-$D$136*(($F$137+S156)-CDS_Parameters!$B$26)</f>
        <v/>
      </c>
    </row>
    <row r="157">
      <c r="B157" s="76">
        <f>IF(T156&lt;0,D156,B156)</f>
        <v/>
      </c>
      <c r="C157" s="76">
        <f>IF(T156&lt;0,C156,D156)</f>
        <v/>
      </c>
      <c r="D157" s="76">
        <f>(B157+C157)/2</f>
        <v/>
      </c>
      <c r="E157" s="76">
        <f>$B$137</f>
        <v/>
      </c>
      <c r="F157" s="76">
        <f>$B$137*EXP(-$D157*F$143)</f>
        <v/>
      </c>
      <c r="G157" s="76">
        <f>$B$137*EXP(-$D157*G$143)</f>
        <v/>
      </c>
      <c r="H157" s="76">
        <f>$B$137*EXP(-$D157*H$143)</f>
        <v/>
      </c>
      <c r="I157" s="76">
        <f>$B$137*EXP(-$D157*I$143)</f>
        <v/>
      </c>
      <c r="J157" s="76">
        <f>$B$137*EXP(-$D157*J$143)</f>
        <v/>
      </c>
      <c r="K157" s="76">
        <f>$B$137*EXP(-$D157*K$143)</f>
        <v/>
      </c>
      <c r="L157" s="76">
        <f>$B$137*EXP(-$D157*L$143)</f>
        <v/>
      </c>
      <c r="M157" s="76">
        <f>$B$137*EXP(-$D157*M$143)</f>
        <v/>
      </c>
      <c r="N157" s="76">
        <f>M157</f>
        <v/>
      </c>
      <c r="O157" s="76">
        <f>N157</f>
        <v/>
      </c>
      <c r="P157" s="76">
        <f>O157</f>
        <v/>
      </c>
      <c r="Q157" s="76">
        <f>P157</f>
        <v/>
      </c>
      <c r="R157" s="76">
        <f>SUMPRODUCT($F$142:$Q$142,$E157:$P157-$F157:$Q157)</f>
        <v/>
      </c>
      <c r="S157" s="76">
        <f>SUMPRODUCT($F$139:$Q$139,$F$141:$Q$141,$F157:$Q157)+0.5*SUMPRODUCT($F$139:$Q$139,$F$142:$Q$142,$E157:$P157-$F157:$Q157)</f>
        <v/>
      </c>
      <c r="T157" s="76">
        <f>(1-$F$136)*($D$137+R157)-$D$136*(($F$137+S157)-CDS_Parameters!$B$26)</f>
        <v/>
      </c>
    </row>
    <row r="158">
      <c r="B158" s="76">
        <f>IF(T157&lt;0,D157,B157)</f>
        <v/>
      </c>
      <c r="C158" s="76">
        <f>IF(T157&lt;0,C157,D157)</f>
        <v/>
      </c>
      <c r="D158" s="76">
        <f>(B158+C158)/2</f>
        <v/>
      </c>
      <c r="E158" s="76">
        <f>$B$137</f>
        <v/>
      </c>
      <c r="F158" s="76">
        <f>$B$137*EXP(-$D158*F$143)</f>
        <v/>
      </c>
      <c r="G158" s="76">
        <f>$B$137*EXP(-$D158*G$143)</f>
        <v/>
      </c>
      <c r="H158" s="76">
        <f>$B$137*EXP(-$D158*H$143)</f>
        <v/>
      </c>
      <c r="I158" s="76">
        <f>$B$137*EXP(-$D158*I$143)</f>
        <v/>
      </c>
      <c r="J158" s="76">
        <f>$B$137*EXP(-$D158*J$143)</f>
        <v/>
      </c>
      <c r="K158" s="76">
        <f>$B$137*EXP(-$D158*K$143)</f>
        <v/>
      </c>
      <c r="L158" s="76">
        <f>$B$137*EXP(-$D158*L$143)</f>
        <v/>
      </c>
      <c r="M158" s="76">
        <f>$B$137*EXP(-$D158*M$143)</f>
        <v/>
      </c>
      <c r="N158" s="76">
        <f>M158</f>
        <v/>
      </c>
      <c r="O158" s="76">
        <f>N158</f>
        <v/>
      </c>
      <c r="P158" s="76">
        <f>O158</f>
        <v/>
      </c>
      <c r="Q158" s="76">
        <f>P158</f>
        <v/>
      </c>
      <c r="R158" s="76">
        <f>SUMPRODUCT($F$142:$Q$142,$E158:$P158-$F158:$Q158)</f>
        <v/>
      </c>
      <c r="S158" s="76">
        <f>SUMPRODUCT($F$139:$Q$139,$F$141:$Q$141,$F158:$Q158)+0.5*SUMPRODUCT($F$139:$Q$139,$F$142:$Q$142,$E158:$P158-$F158:$Q158)</f>
        <v/>
      </c>
      <c r="T158" s="76">
        <f>(1-$F$136)*($D$137+R158)-$D$136*(($F$137+S158)-CDS_Parameters!$B$26)</f>
        <v/>
      </c>
    </row>
    <row r="159">
      <c r="B159" s="76">
        <f>IF(T158&lt;0,D158,B158)</f>
        <v/>
      </c>
      <c r="C159" s="76">
        <f>IF(T158&lt;0,C158,D158)</f>
        <v/>
      </c>
      <c r="D159" s="76">
        <f>(B159+C159)/2</f>
        <v/>
      </c>
      <c r="E159" s="76">
        <f>$B$137</f>
        <v/>
      </c>
      <c r="F159" s="76">
        <f>$B$137*EXP(-$D159*F$143)</f>
        <v/>
      </c>
      <c r="G159" s="76">
        <f>$B$137*EXP(-$D159*G$143)</f>
        <v/>
      </c>
      <c r="H159" s="76">
        <f>$B$137*EXP(-$D159*H$143)</f>
        <v/>
      </c>
      <c r="I159" s="76">
        <f>$B$137*EXP(-$D159*I$143)</f>
        <v/>
      </c>
      <c r="J159" s="76">
        <f>$B$137*EXP(-$D159*J$143)</f>
        <v/>
      </c>
      <c r="K159" s="76">
        <f>$B$137*EXP(-$D159*K$143)</f>
        <v/>
      </c>
      <c r="L159" s="76">
        <f>$B$137*EXP(-$D159*L$143)</f>
        <v/>
      </c>
      <c r="M159" s="76">
        <f>$B$137*EXP(-$D159*M$143)</f>
        <v/>
      </c>
      <c r="N159" s="76">
        <f>M159</f>
        <v/>
      </c>
      <c r="O159" s="76">
        <f>N159</f>
        <v/>
      </c>
      <c r="P159" s="76">
        <f>O159</f>
        <v/>
      </c>
      <c r="Q159" s="76">
        <f>P159</f>
        <v/>
      </c>
      <c r="R159" s="76">
        <f>SUMPRODUCT($F$142:$Q$142,$E159:$P159-$F159:$Q159)</f>
        <v/>
      </c>
      <c r="S159" s="76">
        <f>SUMPRODUCT($F$139:$Q$139,$F$141:$Q$141,$F159:$Q159)+0.5*SUMPRODUCT($F$139:$Q$139,$F$142:$Q$142,$E159:$P159-$F159:$Q159)</f>
        <v/>
      </c>
      <c r="T159" s="76">
        <f>(1-$F$136)*($D$137+R159)-$D$136*(($F$137+S159)-CDS_Parameters!$B$26)</f>
        <v/>
      </c>
    </row>
    <row r="160">
      <c r="B160" s="76">
        <f>IF(T159&lt;0,D159,B159)</f>
        <v/>
      </c>
      <c r="C160" s="76">
        <f>IF(T159&lt;0,C159,D159)</f>
        <v/>
      </c>
      <c r="D160" s="76">
        <f>(B160+C160)/2</f>
        <v/>
      </c>
      <c r="E160" s="76">
        <f>$B$137</f>
        <v/>
      </c>
      <c r="F160" s="76">
        <f>$B$137*EXP(-$D160*F$143)</f>
        <v/>
      </c>
      <c r="G160" s="76">
        <f>$B$137*EXP(-$D160*G$143)</f>
        <v/>
      </c>
      <c r="H160" s="76">
        <f>$B$137*EXP(-$D160*H$143)</f>
        <v/>
      </c>
      <c r="I160" s="76">
        <f>$B$137*EXP(-$D160*I$143)</f>
        <v/>
      </c>
      <c r="J160" s="76">
        <f>$B$137*EXP(-$D160*J$143)</f>
        <v/>
      </c>
      <c r="K160" s="76">
        <f>$B$137*EXP(-$D160*K$143)</f>
        <v/>
      </c>
      <c r="L160" s="76">
        <f>$B$137*EXP(-$D160*L$143)</f>
        <v/>
      </c>
      <c r="M160" s="76">
        <f>$B$137*EXP(-$D160*M$143)</f>
        <v/>
      </c>
      <c r="N160" s="76">
        <f>M160</f>
        <v/>
      </c>
      <c r="O160" s="76">
        <f>N160</f>
        <v/>
      </c>
      <c r="P160" s="76">
        <f>O160</f>
        <v/>
      </c>
      <c r="Q160" s="76">
        <f>P160</f>
        <v/>
      </c>
      <c r="R160" s="76">
        <f>SUMPRODUCT($F$142:$Q$142,$E160:$P160-$F160:$Q160)</f>
        <v/>
      </c>
      <c r="S160" s="76">
        <f>SUMPRODUCT($F$139:$Q$139,$F$141:$Q$141,$F160:$Q160)+0.5*SUMPRODUCT($F$139:$Q$139,$F$142:$Q$142,$E160:$P160-$F160:$Q160)</f>
        <v/>
      </c>
      <c r="T160" s="76">
        <f>(1-$F$136)*($D$137+R160)-$D$136*(($F$137+S160)-CDS_Parameters!$B$26)</f>
        <v/>
      </c>
    </row>
    <row r="161">
      <c r="B161" s="76">
        <f>IF(T160&lt;0,D160,B160)</f>
        <v/>
      </c>
      <c r="C161" s="76">
        <f>IF(T160&lt;0,C160,D160)</f>
        <v/>
      </c>
      <c r="D161" s="76">
        <f>(B161+C161)/2</f>
        <v/>
      </c>
      <c r="E161" s="76">
        <f>$B$137</f>
        <v/>
      </c>
      <c r="F161" s="76">
        <f>$B$137*EXP(-$D161*F$143)</f>
        <v/>
      </c>
      <c r="G161" s="76">
        <f>$B$137*EXP(-$D161*G$143)</f>
        <v/>
      </c>
      <c r="H161" s="76">
        <f>$B$137*EXP(-$D161*H$143)</f>
        <v/>
      </c>
      <c r="I161" s="76">
        <f>$B$137*EXP(-$D161*I$143)</f>
        <v/>
      </c>
      <c r="J161" s="76">
        <f>$B$137*EXP(-$D161*J$143)</f>
        <v/>
      </c>
      <c r="K161" s="76">
        <f>$B$137*EXP(-$D161*K$143)</f>
        <v/>
      </c>
      <c r="L161" s="76">
        <f>$B$137*EXP(-$D161*L$143)</f>
        <v/>
      </c>
      <c r="M161" s="76">
        <f>$B$137*EXP(-$D161*M$143)</f>
        <v/>
      </c>
      <c r="N161" s="76">
        <f>M161</f>
        <v/>
      </c>
      <c r="O161" s="76">
        <f>N161</f>
        <v/>
      </c>
      <c r="P161" s="76">
        <f>O161</f>
        <v/>
      </c>
      <c r="Q161" s="76">
        <f>P161</f>
        <v/>
      </c>
      <c r="R161" s="76">
        <f>SUMPRODUCT($F$142:$Q$142,$E161:$P161-$F161:$Q161)</f>
        <v/>
      </c>
      <c r="S161" s="76">
        <f>SUMPRODUCT($F$139:$Q$139,$F$141:$Q$141,$F161:$Q161)+0.5*SUMPRODUCT($F$139:$Q$139,$F$142:$Q$142,$E161:$P161-$F161:$Q161)</f>
        <v/>
      </c>
      <c r="T161" s="76">
        <f>(1-$F$136)*($D$137+R161)-$D$136*(($F$137+S161)-CDS_Parameters!$B$26)</f>
        <v/>
      </c>
    </row>
    <row r="162">
      <c r="B162" s="76">
        <f>IF(T161&lt;0,D161,B161)</f>
        <v/>
      </c>
      <c r="C162" s="76">
        <f>IF(T161&lt;0,C161,D161)</f>
        <v/>
      </c>
      <c r="D162" s="76">
        <f>(B162+C162)/2</f>
        <v/>
      </c>
      <c r="E162" s="76">
        <f>$B$137</f>
        <v/>
      </c>
      <c r="F162" s="76">
        <f>$B$137*EXP(-$D162*F$143)</f>
        <v/>
      </c>
      <c r="G162" s="76">
        <f>$B$137*EXP(-$D162*G$143)</f>
        <v/>
      </c>
      <c r="H162" s="76">
        <f>$B$137*EXP(-$D162*H$143)</f>
        <v/>
      </c>
      <c r="I162" s="76">
        <f>$B$137*EXP(-$D162*I$143)</f>
        <v/>
      </c>
      <c r="J162" s="76">
        <f>$B$137*EXP(-$D162*J$143)</f>
        <v/>
      </c>
      <c r="K162" s="76">
        <f>$B$137*EXP(-$D162*K$143)</f>
        <v/>
      </c>
      <c r="L162" s="76">
        <f>$B$137*EXP(-$D162*L$143)</f>
        <v/>
      </c>
      <c r="M162" s="76">
        <f>$B$137*EXP(-$D162*M$143)</f>
        <v/>
      </c>
      <c r="N162" s="76">
        <f>M162</f>
        <v/>
      </c>
      <c r="O162" s="76">
        <f>N162</f>
        <v/>
      </c>
      <c r="P162" s="76">
        <f>O162</f>
        <v/>
      </c>
      <c r="Q162" s="76">
        <f>P162</f>
        <v/>
      </c>
      <c r="R162" s="76">
        <f>SUMPRODUCT($F$142:$Q$142,$E162:$P162-$F162:$Q162)</f>
        <v/>
      </c>
      <c r="S162" s="76">
        <f>SUMPRODUCT($F$139:$Q$139,$F$141:$Q$141,$F162:$Q162)+0.5*SUMPRODUCT($F$139:$Q$139,$F$142:$Q$142,$E162:$P162-$F162:$Q162)</f>
        <v/>
      </c>
      <c r="T162" s="76">
        <f>(1-$F$136)*($D$137+R162)-$D$136*(($F$137+S162)-CDS_Parameters!$B$26)</f>
        <v/>
      </c>
    </row>
    <row r="163">
      <c r="B163" s="76">
        <f>IF(T162&lt;0,D162,B162)</f>
        <v/>
      </c>
      <c r="C163" s="76">
        <f>IF(T162&lt;0,C162,D162)</f>
        <v/>
      </c>
      <c r="D163" s="76">
        <f>(B163+C163)/2</f>
        <v/>
      </c>
      <c r="E163" s="76">
        <f>$B$137</f>
        <v/>
      </c>
      <c r="F163" s="76">
        <f>$B$137*EXP(-$D163*F$143)</f>
        <v/>
      </c>
      <c r="G163" s="76">
        <f>$B$137*EXP(-$D163*G$143)</f>
        <v/>
      </c>
      <c r="H163" s="76">
        <f>$B$137*EXP(-$D163*H$143)</f>
        <v/>
      </c>
      <c r="I163" s="76">
        <f>$B$137*EXP(-$D163*I$143)</f>
        <v/>
      </c>
      <c r="J163" s="76">
        <f>$B$137*EXP(-$D163*J$143)</f>
        <v/>
      </c>
      <c r="K163" s="76">
        <f>$B$137*EXP(-$D163*K$143)</f>
        <v/>
      </c>
      <c r="L163" s="76">
        <f>$B$137*EXP(-$D163*L$143)</f>
        <v/>
      </c>
      <c r="M163" s="76">
        <f>$B$137*EXP(-$D163*M$143)</f>
        <v/>
      </c>
      <c r="N163" s="76">
        <f>M163</f>
        <v/>
      </c>
      <c r="O163" s="76">
        <f>N163</f>
        <v/>
      </c>
      <c r="P163" s="76">
        <f>O163</f>
        <v/>
      </c>
      <c r="Q163" s="76">
        <f>P163</f>
        <v/>
      </c>
      <c r="R163" s="76">
        <f>SUMPRODUCT($F$142:$Q$142,$E163:$P163-$F163:$Q163)</f>
        <v/>
      </c>
      <c r="S163" s="76">
        <f>SUMPRODUCT($F$139:$Q$139,$F$141:$Q$141,$F163:$Q163)+0.5*SUMPRODUCT($F$139:$Q$139,$F$142:$Q$142,$E163:$P163-$F163:$Q163)</f>
        <v/>
      </c>
      <c r="T163" s="76">
        <f>(1-$F$136)*($D$137+R163)-$D$136*(($F$137+S163)-CDS_Parameters!$B$26)</f>
        <v/>
      </c>
    </row>
    <row r="164">
      <c r="B164" s="76">
        <f>IF(T163&lt;0,D163,B163)</f>
        <v/>
      </c>
      <c r="C164" s="76">
        <f>IF(T163&lt;0,C163,D163)</f>
        <v/>
      </c>
      <c r="D164" s="76">
        <f>(B164+C164)/2</f>
        <v/>
      </c>
      <c r="E164" s="76">
        <f>$B$137</f>
        <v/>
      </c>
      <c r="F164" s="76">
        <f>$B$137*EXP(-$D164*F$143)</f>
        <v/>
      </c>
      <c r="G164" s="76">
        <f>$B$137*EXP(-$D164*G$143)</f>
        <v/>
      </c>
      <c r="H164" s="76">
        <f>$B$137*EXP(-$D164*H$143)</f>
        <v/>
      </c>
      <c r="I164" s="76">
        <f>$B$137*EXP(-$D164*I$143)</f>
        <v/>
      </c>
      <c r="J164" s="76">
        <f>$B$137*EXP(-$D164*J$143)</f>
        <v/>
      </c>
      <c r="K164" s="76">
        <f>$B$137*EXP(-$D164*K$143)</f>
        <v/>
      </c>
      <c r="L164" s="76">
        <f>$B$137*EXP(-$D164*L$143)</f>
        <v/>
      </c>
      <c r="M164" s="76">
        <f>$B$137*EXP(-$D164*M$143)</f>
        <v/>
      </c>
      <c r="N164" s="76">
        <f>M164</f>
        <v/>
      </c>
      <c r="O164" s="76">
        <f>N164</f>
        <v/>
      </c>
      <c r="P164" s="76">
        <f>O164</f>
        <v/>
      </c>
      <c r="Q164" s="76">
        <f>P164</f>
        <v/>
      </c>
      <c r="R164" s="76">
        <f>SUMPRODUCT($F$142:$Q$142,$E164:$P164-$F164:$Q164)</f>
        <v/>
      </c>
      <c r="S164" s="76">
        <f>SUMPRODUCT($F$139:$Q$139,$F$141:$Q$141,$F164:$Q164)+0.5*SUMPRODUCT($F$139:$Q$139,$F$142:$Q$142,$E164:$P164-$F164:$Q164)</f>
        <v/>
      </c>
      <c r="T164" s="76">
        <f>(1-$F$136)*($D$137+R164)-$D$136*(($F$137+S164)-CDS_Parameters!$B$26)</f>
        <v/>
      </c>
    </row>
    <row r="165">
      <c r="B165" s="76">
        <f>IF(T164&lt;0,D164,B164)</f>
        <v/>
      </c>
      <c r="C165" s="76">
        <f>IF(T164&lt;0,C164,D164)</f>
        <v/>
      </c>
      <c r="D165" s="76">
        <f>(B165+C165)/2</f>
        <v/>
      </c>
      <c r="E165" s="76">
        <f>$B$137</f>
        <v/>
      </c>
      <c r="F165" s="76">
        <f>$B$137*EXP(-$D165*F$143)</f>
        <v/>
      </c>
      <c r="G165" s="76">
        <f>$B$137*EXP(-$D165*G$143)</f>
        <v/>
      </c>
      <c r="H165" s="76">
        <f>$B$137*EXP(-$D165*H$143)</f>
        <v/>
      </c>
      <c r="I165" s="76">
        <f>$B$137*EXP(-$D165*I$143)</f>
        <v/>
      </c>
      <c r="J165" s="76">
        <f>$B$137*EXP(-$D165*J$143)</f>
        <v/>
      </c>
      <c r="K165" s="76">
        <f>$B$137*EXP(-$D165*K$143)</f>
        <v/>
      </c>
      <c r="L165" s="76">
        <f>$B$137*EXP(-$D165*L$143)</f>
        <v/>
      </c>
      <c r="M165" s="76">
        <f>$B$137*EXP(-$D165*M$143)</f>
        <v/>
      </c>
      <c r="N165" s="76">
        <f>M165</f>
        <v/>
      </c>
      <c r="O165" s="76">
        <f>N165</f>
        <v/>
      </c>
      <c r="P165" s="76">
        <f>O165</f>
        <v/>
      </c>
      <c r="Q165" s="76">
        <f>P165</f>
        <v/>
      </c>
      <c r="R165" s="76">
        <f>SUMPRODUCT($F$142:$Q$142,$E165:$P165-$F165:$Q165)</f>
        <v/>
      </c>
      <c r="S165" s="76">
        <f>SUMPRODUCT($F$139:$Q$139,$F$141:$Q$141,$F165:$Q165)+0.5*SUMPRODUCT($F$139:$Q$139,$F$142:$Q$142,$E165:$P165-$F165:$Q165)</f>
        <v/>
      </c>
      <c r="T165" s="76">
        <f>(1-$F$136)*($D$137+R165)-$D$136*(($F$137+S165)-CDS_Parameters!$B$26)</f>
        <v/>
      </c>
    </row>
    <row r="166">
      <c r="B166" s="76">
        <f>IF(T165&lt;0,D165,B165)</f>
        <v/>
      </c>
      <c r="C166" s="76">
        <f>IF(T165&lt;0,C165,D165)</f>
        <v/>
      </c>
      <c r="D166" s="76">
        <f>(B166+C166)/2</f>
        <v/>
      </c>
      <c r="E166" s="76">
        <f>$B$137</f>
        <v/>
      </c>
      <c r="F166" s="76">
        <f>$B$137*EXP(-$D166*F$143)</f>
        <v/>
      </c>
      <c r="G166" s="76">
        <f>$B$137*EXP(-$D166*G$143)</f>
        <v/>
      </c>
      <c r="H166" s="76">
        <f>$B$137*EXP(-$D166*H$143)</f>
        <v/>
      </c>
      <c r="I166" s="76">
        <f>$B$137*EXP(-$D166*I$143)</f>
        <v/>
      </c>
      <c r="J166" s="76">
        <f>$B$137*EXP(-$D166*J$143)</f>
        <v/>
      </c>
      <c r="K166" s="76">
        <f>$B$137*EXP(-$D166*K$143)</f>
        <v/>
      </c>
      <c r="L166" s="76">
        <f>$B$137*EXP(-$D166*L$143)</f>
        <v/>
      </c>
      <c r="M166" s="76">
        <f>$B$137*EXP(-$D166*M$143)</f>
        <v/>
      </c>
      <c r="N166" s="76">
        <f>M166</f>
        <v/>
      </c>
      <c r="O166" s="76">
        <f>N166</f>
        <v/>
      </c>
      <c r="P166" s="76">
        <f>O166</f>
        <v/>
      </c>
      <c r="Q166" s="76">
        <f>P166</f>
        <v/>
      </c>
      <c r="R166" s="76">
        <f>SUMPRODUCT($F$142:$Q$142,$E166:$P166-$F166:$Q166)</f>
        <v/>
      </c>
      <c r="S166" s="76">
        <f>SUMPRODUCT($F$139:$Q$139,$F$141:$Q$141,$F166:$Q166)+0.5*SUMPRODUCT($F$139:$Q$139,$F$142:$Q$142,$E166:$P166-$F166:$Q166)</f>
        <v/>
      </c>
      <c r="T166" s="76">
        <f>(1-$F$136)*($D$137+R166)-$D$136*(($F$137+S166)-CDS_Parameters!$B$26)</f>
        <v/>
      </c>
    </row>
    <row r="167">
      <c r="B167" s="76">
        <f>IF(T166&lt;0,D166,B166)</f>
        <v/>
      </c>
      <c r="C167" s="76">
        <f>IF(T166&lt;0,C166,D166)</f>
        <v/>
      </c>
      <c r="D167" s="76">
        <f>(B167+C167)/2</f>
        <v/>
      </c>
      <c r="E167" s="76">
        <f>$B$137</f>
        <v/>
      </c>
      <c r="F167" s="76">
        <f>$B$137*EXP(-$D167*F$143)</f>
        <v/>
      </c>
      <c r="G167" s="76">
        <f>$B$137*EXP(-$D167*G$143)</f>
        <v/>
      </c>
      <c r="H167" s="76">
        <f>$B$137*EXP(-$D167*H$143)</f>
        <v/>
      </c>
      <c r="I167" s="76">
        <f>$B$137*EXP(-$D167*I$143)</f>
        <v/>
      </c>
      <c r="J167" s="76">
        <f>$B$137*EXP(-$D167*J$143)</f>
        <v/>
      </c>
      <c r="K167" s="76">
        <f>$B$137*EXP(-$D167*K$143)</f>
        <v/>
      </c>
      <c r="L167" s="76">
        <f>$B$137*EXP(-$D167*L$143)</f>
        <v/>
      </c>
      <c r="M167" s="76">
        <f>$B$137*EXP(-$D167*M$143)</f>
        <v/>
      </c>
      <c r="N167" s="76">
        <f>M167</f>
        <v/>
      </c>
      <c r="O167" s="76">
        <f>N167</f>
        <v/>
      </c>
      <c r="P167" s="76">
        <f>O167</f>
        <v/>
      </c>
      <c r="Q167" s="76">
        <f>P167</f>
        <v/>
      </c>
      <c r="R167" s="76">
        <f>SUMPRODUCT($F$142:$Q$142,$E167:$P167-$F167:$Q167)</f>
        <v/>
      </c>
      <c r="S167" s="76">
        <f>SUMPRODUCT($F$139:$Q$139,$F$141:$Q$141,$F167:$Q167)+0.5*SUMPRODUCT($F$139:$Q$139,$F$142:$Q$142,$E167:$P167-$F167:$Q167)</f>
        <v/>
      </c>
      <c r="T167" s="76">
        <f>(1-$F$136)*($D$137+R167)-$D$136*(($F$137+S167)-CDS_Parameters!$B$26)</f>
        <v/>
      </c>
    </row>
    <row r="168">
      <c r="B168" s="76">
        <f>IF(T167&lt;0,D167,B167)</f>
        <v/>
      </c>
      <c r="C168" s="76">
        <f>IF(T167&lt;0,C167,D167)</f>
        <v/>
      </c>
      <c r="D168" s="76">
        <f>(B168+C168)/2</f>
        <v/>
      </c>
      <c r="E168" s="76">
        <f>$B$137</f>
        <v/>
      </c>
      <c r="F168" s="76">
        <f>$B$137*EXP(-$D168*F$143)</f>
        <v/>
      </c>
      <c r="G168" s="76">
        <f>$B$137*EXP(-$D168*G$143)</f>
        <v/>
      </c>
      <c r="H168" s="76">
        <f>$B$137*EXP(-$D168*H$143)</f>
        <v/>
      </c>
      <c r="I168" s="76">
        <f>$B$137*EXP(-$D168*I$143)</f>
        <v/>
      </c>
      <c r="J168" s="76">
        <f>$B$137*EXP(-$D168*J$143)</f>
        <v/>
      </c>
      <c r="K168" s="76">
        <f>$B$137*EXP(-$D168*K$143)</f>
        <v/>
      </c>
      <c r="L168" s="76">
        <f>$B$137*EXP(-$D168*L$143)</f>
        <v/>
      </c>
      <c r="M168" s="76">
        <f>$B$137*EXP(-$D168*M$143)</f>
        <v/>
      </c>
      <c r="N168" s="76">
        <f>M168</f>
        <v/>
      </c>
      <c r="O168" s="76">
        <f>N168</f>
        <v/>
      </c>
      <c r="P168" s="76">
        <f>O168</f>
        <v/>
      </c>
      <c r="Q168" s="76">
        <f>P168</f>
        <v/>
      </c>
      <c r="R168" s="76">
        <f>SUMPRODUCT($F$142:$Q$142,$E168:$P168-$F168:$Q168)</f>
        <v/>
      </c>
      <c r="S168" s="76">
        <f>SUMPRODUCT($F$139:$Q$139,$F$141:$Q$141,$F168:$Q168)+0.5*SUMPRODUCT($F$139:$Q$139,$F$142:$Q$142,$E168:$P168-$F168:$Q168)</f>
        <v/>
      </c>
      <c r="T168" s="76">
        <f>(1-$F$136)*($D$137+R168)-$D$136*(($F$137+S168)-CDS_Parameters!$B$26)</f>
        <v/>
      </c>
    </row>
    <row r="169">
      <c r="B169" s="76">
        <f>IF(T168&lt;0,D168,B168)</f>
        <v/>
      </c>
      <c r="C169" s="76">
        <f>IF(T168&lt;0,C168,D168)</f>
        <v/>
      </c>
      <c r="D169" s="76">
        <f>(B169+C169)/2</f>
        <v/>
      </c>
      <c r="E169" s="76">
        <f>$B$137</f>
        <v/>
      </c>
      <c r="F169" s="76">
        <f>$B$137*EXP(-$D169*F$143)</f>
        <v/>
      </c>
      <c r="G169" s="76">
        <f>$B$137*EXP(-$D169*G$143)</f>
        <v/>
      </c>
      <c r="H169" s="76">
        <f>$B$137*EXP(-$D169*H$143)</f>
        <v/>
      </c>
      <c r="I169" s="76">
        <f>$B$137*EXP(-$D169*I$143)</f>
        <v/>
      </c>
      <c r="J169" s="76">
        <f>$B$137*EXP(-$D169*J$143)</f>
        <v/>
      </c>
      <c r="K169" s="76">
        <f>$B$137*EXP(-$D169*K$143)</f>
        <v/>
      </c>
      <c r="L169" s="76">
        <f>$B$137*EXP(-$D169*L$143)</f>
        <v/>
      </c>
      <c r="M169" s="76">
        <f>$B$137*EXP(-$D169*M$143)</f>
        <v/>
      </c>
      <c r="N169" s="76">
        <f>M169</f>
        <v/>
      </c>
      <c r="O169" s="76">
        <f>N169</f>
        <v/>
      </c>
      <c r="P169" s="76">
        <f>O169</f>
        <v/>
      </c>
      <c r="Q169" s="76">
        <f>P169</f>
        <v/>
      </c>
      <c r="R169" s="76">
        <f>SUMPRODUCT($F$142:$Q$142,$E169:$P169-$F169:$Q169)</f>
        <v/>
      </c>
      <c r="S169" s="76">
        <f>SUMPRODUCT($F$139:$Q$139,$F$141:$Q$141,$F169:$Q169)+0.5*SUMPRODUCT($F$139:$Q$139,$F$142:$Q$142,$E169:$P169-$F169:$Q169)</f>
        <v/>
      </c>
      <c r="T169" s="76">
        <f>(1-$F$136)*($D$137+R169)-$D$136*(($F$137+S169)-CDS_Parameters!$B$26)</f>
        <v/>
      </c>
    </row>
    <row r="170">
      <c r="B170" s="76">
        <f>IF(T169&lt;0,D169,B169)</f>
        <v/>
      </c>
      <c r="C170" s="76">
        <f>IF(T169&lt;0,C169,D169)</f>
        <v/>
      </c>
      <c r="D170" s="76">
        <f>(B170+C170)/2</f>
        <v/>
      </c>
      <c r="E170" s="76">
        <f>$B$137</f>
        <v/>
      </c>
      <c r="F170" s="76">
        <f>$B$137*EXP(-$D170*F$143)</f>
        <v/>
      </c>
      <c r="G170" s="76">
        <f>$B$137*EXP(-$D170*G$143)</f>
        <v/>
      </c>
      <c r="H170" s="76">
        <f>$B$137*EXP(-$D170*H$143)</f>
        <v/>
      </c>
      <c r="I170" s="76">
        <f>$B$137*EXP(-$D170*I$143)</f>
        <v/>
      </c>
      <c r="J170" s="76">
        <f>$B$137*EXP(-$D170*J$143)</f>
        <v/>
      </c>
      <c r="K170" s="76">
        <f>$B$137*EXP(-$D170*K$143)</f>
        <v/>
      </c>
      <c r="L170" s="76">
        <f>$B$137*EXP(-$D170*L$143)</f>
        <v/>
      </c>
      <c r="M170" s="76">
        <f>$B$137*EXP(-$D170*M$143)</f>
        <v/>
      </c>
      <c r="N170" s="76">
        <f>M170</f>
        <v/>
      </c>
      <c r="O170" s="76">
        <f>N170</f>
        <v/>
      </c>
      <c r="P170" s="76">
        <f>O170</f>
        <v/>
      </c>
      <c r="Q170" s="76">
        <f>P170</f>
        <v/>
      </c>
      <c r="R170" s="76">
        <f>SUMPRODUCT($F$142:$Q$142,$E170:$P170-$F170:$Q170)</f>
        <v/>
      </c>
      <c r="S170" s="76">
        <f>SUMPRODUCT($F$139:$Q$139,$F$141:$Q$141,$F170:$Q170)+0.5*SUMPRODUCT($F$139:$Q$139,$F$142:$Q$142,$E170:$P170-$F170:$Q170)</f>
        <v/>
      </c>
      <c r="T170" s="76">
        <f>(1-$F$136)*($D$137+R170)-$D$136*(($F$137+S170)-CDS_Parameters!$B$26)</f>
        <v/>
      </c>
    </row>
    <row r="171">
      <c r="B171" s="76">
        <f>IF(T170&lt;0,D170,B170)</f>
        <v/>
      </c>
      <c r="C171" s="76">
        <f>IF(T170&lt;0,C170,D170)</f>
        <v/>
      </c>
      <c r="D171" s="76">
        <f>(B171+C171)/2</f>
        <v/>
      </c>
      <c r="E171" s="76">
        <f>$B$137</f>
        <v/>
      </c>
      <c r="F171" s="76">
        <f>$B$137*EXP(-$D171*F$143)</f>
        <v/>
      </c>
      <c r="G171" s="76">
        <f>$B$137*EXP(-$D171*G$143)</f>
        <v/>
      </c>
      <c r="H171" s="76">
        <f>$B$137*EXP(-$D171*H$143)</f>
        <v/>
      </c>
      <c r="I171" s="76">
        <f>$B$137*EXP(-$D171*I$143)</f>
        <v/>
      </c>
      <c r="J171" s="76">
        <f>$B$137*EXP(-$D171*J$143)</f>
        <v/>
      </c>
      <c r="K171" s="76">
        <f>$B$137*EXP(-$D171*K$143)</f>
        <v/>
      </c>
      <c r="L171" s="76">
        <f>$B$137*EXP(-$D171*L$143)</f>
        <v/>
      </c>
      <c r="M171" s="76">
        <f>$B$137*EXP(-$D171*M$143)</f>
        <v/>
      </c>
      <c r="N171" s="76">
        <f>M171</f>
        <v/>
      </c>
      <c r="O171" s="76">
        <f>N171</f>
        <v/>
      </c>
      <c r="P171" s="76">
        <f>O171</f>
        <v/>
      </c>
      <c r="Q171" s="76">
        <f>P171</f>
        <v/>
      </c>
      <c r="R171" s="76">
        <f>SUMPRODUCT($F$142:$Q$142,$E171:$P171-$F171:$Q171)</f>
        <v/>
      </c>
      <c r="S171" s="76">
        <f>SUMPRODUCT($F$139:$Q$139,$F$141:$Q$141,$F171:$Q171)+0.5*SUMPRODUCT($F$139:$Q$139,$F$142:$Q$142,$E171:$P171-$F171:$Q171)</f>
        <v/>
      </c>
      <c r="T171" s="76">
        <f>(1-$F$136)*($D$137+R171)-$D$136*(($F$137+S171)-CDS_Parameters!$B$26)</f>
        <v/>
      </c>
    </row>
    <row r="172">
      <c r="B172" s="76">
        <f>IF(T171&lt;0,D171,B171)</f>
        <v/>
      </c>
      <c r="C172" s="76">
        <f>IF(T171&lt;0,C171,D171)</f>
        <v/>
      </c>
      <c r="D172" s="76">
        <f>(B172+C172)/2</f>
        <v/>
      </c>
      <c r="E172" s="76">
        <f>$B$137</f>
        <v/>
      </c>
      <c r="F172" s="76">
        <f>$B$137*EXP(-$D172*F$143)</f>
        <v/>
      </c>
      <c r="G172" s="76">
        <f>$B$137*EXP(-$D172*G$143)</f>
        <v/>
      </c>
      <c r="H172" s="76">
        <f>$B$137*EXP(-$D172*H$143)</f>
        <v/>
      </c>
      <c r="I172" s="76">
        <f>$B$137*EXP(-$D172*I$143)</f>
        <v/>
      </c>
      <c r="J172" s="76">
        <f>$B$137*EXP(-$D172*J$143)</f>
        <v/>
      </c>
      <c r="K172" s="76">
        <f>$B$137*EXP(-$D172*K$143)</f>
        <v/>
      </c>
      <c r="L172" s="76">
        <f>$B$137*EXP(-$D172*L$143)</f>
        <v/>
      </c>
      <c r="M172" s="76">
        <f>$B$137*EXP(-$D172*M$143)</f>
        <v/>
      </c>
      <c r="N172" s="76">
        <f>M172</f>
        <v/>
      </c>
      <c r="O172" s="76">
        <f>N172</f>
        <v/>
      </c>
      <c r="P172" s="76">
        <f>O172</f>
        <v/>
      </c>
      <c r="Q172" s="76">
        <f>P172</f>
        <v/>
      </c>
      <c r="R172" s="76">
        <f>SUMPRODUCT($F$142:$Q$142,$E172:$P172-$F172:$Q172)</f>
        <v/>
      </c>
      <c r="S172" s="76">
        <f>SUMPRODUCT($F$139:$Q$139,$F$141:$Q$141,$F172:$Q172)+0.5*SUMPRODUCT($F$139:$Q$139,$F$142:$Q$142,$E172:$P172-$F172:$Q172)</f>
        <v/>
      </c>
      <c r="T172" s="76">
        <f>(1-$F$136)*($D$137+R172)-$D$136*(($F$137+S172)-CDS_Parameters!$B$26)</f>
        <v/>
      </c>
    </row>
    <row r="173">
      <c r="B173" s="76">
        <f>IF(T172&lt;0,D172,B172)</f>
        <v/>
      </c>
      <c r="C173" s="76">
        <f>IF(T172&lt;0,C172,D172)</f>
        <v/>
      </c>
      <c r="D173" s="76">
        <f>(B173+C173)/2</f>
        <v/>
      </c>
      <c r="E173" s="76">
        <f>$B$137</f>
        <v/>
      </c>
      <c r="F173" s="76">
        <f>$B$137*EXP(-$D173*F$143)</f>
        <v/>
      </c>
      <c r="G173" s="76">
        <f>$B$137*EXP(-$D173*G$143)</f>
        <v/>
      </c>
      <c r="H173" s="76">
        <f>$B$137*EXP(-$D173*H$143)</f>
        <v/>
      </c>
      <c r="I173" s="76">
        <f>$B$137*EXP(-$D173*I$143)</f>
        <v/>
      </c>
      <c r="J173" s="76">
        <f>$B$137*EXP(-$D173*J$143)</f>
        <v/>
      </c>
      <c r="K173" s="76">
        <f>$B$137*EXP(-$D173*K$143)</f>
        <v/>
      </c>
      <c r="L173" s="76">
        <f>$B$137*EXP(-$D173*L$143)</f>
        <v/>
      </c>
      <c r="M173" s="76">
        <f>$B$137*EXP(-$D173*M$143)</f>
        <v/>
      </c>
      <c r="N173" s="76">
        <f>M173</f>
        <v/>
      </c>
      <c r="O173" s="76">
        <f>N173</f>
        <v/>
      </c>
      <c r="P173" s="76">
        <f>O173</f>
        <v/>
      </c>
      <c r="Q173" s="76">
        <f>P173</f>
        <v/>
      </c>
      <c r="R173" s="76">
        <f>SUMPRODUCT($F$142:$Q$142,$E173:$P173-$F173:$Q173)</f>
        <v/>
      </c>
      <c r="S173" s="76">
        <f>SUMPRODUCT($F$139:$Q$139,$F$141:$Q$141,$F173:$Q173)+0.5*SUMPRODUCT($F$139:$Q$139,$F$142:$Q$142,$E173:$P173-$F173:$Q173)</f>
        <v/>
      </c>
      <c r="T173" s="76">
        <f>(1-$F$136)*($D$137+R173)-$D$136*(($F$137+S173)-CDS_Parameters!$B$26)</f>
        <v/>
      </c>
    </row>
    <row r="174">
      <c r="B174" s="76">
        <f>IF(T173&lt;0,D173,B173)</f>
        <v/>
      </c>
      <c r="C174" s="76">
        <f>IF(T173&lt;0,C173,D173)</f>
        <v/>
      </c>
      <c r="D174" s="76">
        <f>(B174+C174)/2</f>
        <v/>
      </c>
      <c r="E174" s="76">
        <f>$B$137</f>
        <v/>
      </c>
      <c r="F174" s="76">
        <f>$B$137*EXP(-$D174*F$143)</f>
        <v/>
      </c>
      <c r="G174" s="76">
        <f>$B$137*EXP(-$D174*G$143)</f>
        <v/>
      </c>
      <c r="H174" s="76">
        <f>$B$137*EXP(-$D174*H$143)</f>
        <v/>
      </c>
      <c r="I174" s="76">
        <f>$B$137*EXP(-$D174*I$143)</f>
        <v/>
      </c>
      <c r="J174" s="76">
        <f>$B$137*EXP(-$D174*J$143)</f>
        <v/>
      </c>
      <c r="K174" s="76">
        <f>$B$137*EXP(-$D174*K$143)</f>
        <v/>
      </c>
      <c r="L174" s="76">
        <f>$B$137*EXP(-$D174*L$143)</f>
        <v/>
      </c>
      <c r="M174" s="76">
        <f>$B$137*EXP(-$D174*M$143)</f>
        <v/>
      </c>
      <c r="N174" s="76">
        <f>M174</f>
        <v/>
      </c>
      <c r="O174" s="76">
        <f>N174</f>
        <v/>
      </c>
      <c r="P174" s="76">
        <f>O174</f>
        <v/>
      </c>
      <c r="Q174" s="76">
        <f>P174</f>
        <v/>
      </c>
      <c r="R174" s="76">
        <f>SUMPRODUCT($F$142:$Q$142,$E174:$P174-$F174:$Q174)</f>
        <v/>
      </c>
      <c r="S174" s="76">
        <f>SUMPRODUCT($F$139:$Q$139,$F$141:$Q$141,$F174:$Q174)+0.5*SUMPRODUCT($F$139:$Q$139,$F$142:$Q$142,$E174:$P174-$F174:$Q174)</f>
        <v/>
      </c>
      <c r="T174" s="76">
        <f>(1-$F$136)*($D$137+R174)-$D$136*(($F$137+S174)-CDS_Parameters!$B$26)</f>
        <v/>
      </c>
    </row>
    <row r="175">
      <c r="A175" s="67" t="inlineStr">
        <is>
          <t>lambda4 SOLVED</t>
        </is>
      </c>
      <c r="B175" s="71">
        <f>D174</f>
        <v/>
      </c>
      <c r="C175" s="67" t="inlineStr">
        <is>
          <t>resid</t>
        </is>
      </c>
      <c r="D175" s="72">
        <f>T174</f>
        <v/>
      </c>
      <c r="E175" s="67" t="inlineStr">
        <is>
          <t>Q(T_k)</t>
        </is>
      </c>
      <c r="F175" s="76">
        <f>Q174</f>
        <v/>
      </c>
      <c r="G175" s="67" t="inlineStr">
        <is>
          <t>ProtCum</t>
        </is>
      </c>
      <c r="H175" s="76">
        <f>$D$137+R174</f>
        <v/>
      </c>
      <c r="I175" s="67" t="inlineStr">
        <is>
          <t>RPV01Cum</t>
        </is>
      </c>
      <c r="J175" s="76">
        <f>$F$137+S174</f>
        <v/>
      </c>
      <c r="K175" s="67" t="inlineStr">
        <is>
          <t>model S (bp)</t>
        </is>
      </c>
      <c r="L175" s="63">
        <f>IFERROR((1-$F$136)*H175/J175*10000,0)</f>
        <v/>
      </c>
    </row>
    <row r="178">
      <c r="A178" s="73" t="inlineStr">
        <is>
          <t>TENOR 7Y   —   periods 21-28   —   solve lambda5</t>
        </is>
      </c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</row>
    <row r="179">
      <c r="A179" s="67" t="inlineStr">
        <is>
          <t>market S (bp)</t>
        </is>
      </c>
      <c r="B179" s="75">
        <f>Hazard_Bootstrap!$C$11</f>
        <v/>
      </c>
      <c r="C179" s="67" t="inlineStr">
        <is>
          <t>S (dec)</t>
        </is>
      </c>
      <c r="D179" s="76">
        <f>B179/10000</f>
        <v/>
      </c>
      <c r="E179" s="67" t="inlineStr">
        <is>
          <t>recovery R</t>
        </is>
      </c>
      <c r="F179" s="77">
        <f>CDS_Parameters!$B$8</f>
        <v/>
      </c>
    </row>
    <row r="180">
      <c r="A180" s="67" t="inlineStr">
        <is>
          <t>Q(start)</t>
        </is>
      </c>
      <c r="B180" s="76">
        <f>$F$175</f>
        <v/>
      </c>
      <c r="C180" s="67" t="inlineStr">
        <is>
          <t>ProtFixed</t>
        </is>
      </c>
      <c r="D180" s="76">
        <f>$H$175</f>
        <v/>
      </c>
      <c r="E180" s="67" t="inlineStr">
        <is>
          <t>RPV01Fixed</t>
        </is>
      </c>
      <c r="F180" s="76">
        <f>$J$175</f>
        <v/>
      </c>
    </row>
    <row r="181">
      <c r="A181" s="67" t="inlineStr">
        <is>
          <t>period</t>
        </is>
      </c>
      <c r="F181" s="78" t="n">
        <v>21</v>
      </c>
      <c r="G181" s="78" t="n">
        <v>22</v>
      </c>
      <c r="H181" s="78" t="n">
        <v>23</v>
      </c>
      <c r="I181" s="78" t="n">
        <v>24</v>
      </c>
      <c r="J181" s="78" t="n">
        <v>25</v>
      </c>
      <c r="K181" s="78" t="n">
        <v>26</v>
      </c>
      <c r="L181" s="78" t="n">
        <v>27</v>
      </c>
      <c r="M181" s="78" t="n">
        <v>28</v>
      </c>
      <c r="N181" s="78" t="inlineStr"/>
      <c r="O181" s="78" t="inlineStr"/>
      <c r="P181" s="78" t="inlineStr"/>
      <c r="Q181" s="78" t="inlineStr"/>
    </row>
    <row r="182">
      <c r="A182" s="67" t="inlineStr">
        <is>
          <t>alpha 360</t>
        </is>
      </c>
      <c r="F182" s="79">
        <f>CDS_Schedule!$D$27</f>
        <v/>
      </c>
      <c r="G182" s="79">
        <f>CDS_Schedule!$D$28</f>
        <v/>
      </c>
      <c r="H182" s="79">
        <f>CDS_Schedule!$D$29</f>
        <v/>
      </c>
      <c r="I182" s="79">
        <f>CDS_Schedule!$D$30</f>
        <v/>
      </c>
      <c r="J182" s="79">
        <f>CDS_Schedule!$D$31</f>
        <v/>
      </c>
      <c r="K182" s="79">
        <f>CDS_Schedule!$D$32</f>
        <v/>
      </c>
      <c r="L182" s="79">
        <f>CDS_Schedule!$D$33</f>
        <v/>
      </c>
      <c r="M182" s="79">
        <f>CDS_Schedule!$D$34</f>
        <v/>
      </c>
      <c r="N182" s="80" t="n">
        <v>0</v>
      </c>
      <c r="O182" s="80" t="n">
        <v>0</v>
      </c>
      <c r="P182" s="80" t="n">
        <v>0</v>
      </c>
      <c r="Q182" s="80" t="n">
        <v>0</v>
      </c>
    </row>
    <row r="183">
      <c r="A183" s="67" t="inlineStr">
        <is>
          <t>dt 365</t>
        </is>
      </c>
      <c r="F183" s="79">
        <f>CDS_Schedule!$E$27</f>
        <v/>
      </c>
      <c r="G183" s="79">
        <f>CDS_Schedule!$E$28</f>
        <v/>
      </c>
      <c r="H183" s="79">
        <f>CDS_Schedule!$E$29</f>
        <v/>
      </c>
      <c r="I183" s="79">
        <f>CDS_Schedule!$E$30</f>
        <v/>
      </c>
      <c r="J183" s="79">
        <f>CDS_Schedule!$E$31</f>
        <v/>
      </c>
      <c r="K183" s="79">
        <f>CDS_Schedule!$E$32</f>
        <v/>
      </c>
      <c r="L183" s="79">
        <f>CDS_Schedule!$E$33</f>
        <v/>
      </c>
      <c r="M183" s="79">
        <f>CDS_Schedule!$E$34</f>
        <v/>
      </c>
      <c r="N183" s="80" t="n">
        <v>0</v>
      </c>
      <c r="O183" s="80" t="n">
        <v>0</v>
      </c>
      <c r="P183" s="80" t="n">
        <v>0</v>
      </c>
      <c r="Q183" s="80" t="n">
        <v>0</v>
      </c>
    </row>
    <row r="184">
      <c r="A184" s="67" t="inlineStr">
        <is>
          <t>DF(end)</t>
        </is>
      </c>
      <c r="F184" s="79">
        <f>CDS_Schedule!$G$27</f>
        <v/>
      </c>
      <c r="G184" s="79">
        <f>CDS_Schedule!$G$28</f>
        <v/>
      </c>
      <c r="H184" s="79">
        <f>CDS_Schedule!$G$29</f>
        <v/>
      </c>
      <c r="I184" s="79">
        <f>CDS_Schedule!$G$30</f>
        <v/>
      </c>
      <c r="J184" s="79">
        <f>CDS_Schedule!$G$31</f>
        <v/>
      </c>
      <c r="K184" s="79">
        <f>CDS_Schedule!$G$32</f>
        <v/>
      </c>
      <c r="L184" s="79">
        <f>CDS_Schedule!$G$33</f>
        <v/>
      </c>
      <c r="M184" s="79">
        <f>CDS_Schedule!$G$34</f>
        <v/>
      </c>
      <c r="N184" s="80" t="n">
        <v>0</v>
      </c>
      <c r="O184" s="80" t="n">
        <v>0</v>
      </c>
      <c r="P184" s="80" t="n">
        <v>0</v>
      </c>
      <c r="Q184" s="80" t="n">
        <v>0</v>
      </c>
    </row>
    <row r="185">
      <c r="A185" s="67" t="inlineStr">
        <is>
          <t>DF(mid)</t>
        </is>
      </c>
      <c r="F185" s="79">
        <f>CDS_Schedule!$H$27</f>
        <v/>
      </c>
      <c r="G185" s="79">
        <f>CDS_Schedule!$H$28</f>
        <v/>
      </c>
      <c r="H185" s="79">
        <f>CDS_Schedule!$H$29</f>
        <v/>
      </c>
      <c r="I185" s="79">
        <f>CDS_Schedule!$H$30</f>
        <v/>
      </c>
      <c r="J185" s="79">
        <f>CDS_Schedule!$H$31</f>
        <v/>
      </c>
      <c r="K185" s="79">
        <f>CDS_Schedule!$H$32</f>
        <v/>
      </c>
      <c r="L185" s="79">
        <f>CDS_Schedule!$H$33</f>
        <v/>
      </c>
      <c r="M185" s="79">
        <f>CDS_Schedule!$H$34</f>
        <v/>
      </c>
      <c r="N185" s="80" t="n">
        <v>0</v>
      </c>
      <c r="O185" s="80" t="n">
        <v>0</v>
      </c>
      <c r="P185" s="80" t="n">
        <v>0</v>
      </c>
      <c r="Q185" s="80" t="n">
        <v>0</v>
      </c>
    </row>
    <row r="186">
      <c r="A186" s="67" t="inlineStr">
        <is>
          <t>cum dt in seg</t>
        </is>
      </c>
      <c r="F186" s="80">
        <f>0+F183</f>
        <v/>
      </c>
      <c r="G186" s="80">
        <f>F186+G183</f>
        <v/>
      </c>
      <c r="H186" s="80">
        <f>G186+H183</f>
        <v/>
      </c>
      <c r="I186" s="80">
        <f>H186+I183</f>
        <v/>
      </c>
      <c r="J186" s="80">
        <f>I186+J183</f>
        <v/>
      </c>
      <c r="K186" s="80">
        <f>J186+K183</f>
        <v/>
      </c>
      <c r="L186" s="80">
        <f>K186+L183</f>
        <v/>
      </c>
      <c r="M186" s="80">
        <f>L186+M183</f>
        <v/>
      </c>
      <c r="N186" s="80">
        <f>M186+N183</f>
        <v/>
      </c>
      <c r="O186" s="80">
        <f>N186+O183</f>
        <v/>
      </c>
      <c r="P186" s="80">
        <f>O186+P183</f>
        <v/>
      </c>
      <c r="Q186" s="80">
        <f>P186+Q183</f>
        <v/>
      </c>
    </row>
    <row r="187">
      <c r="A187" s="67" t="inlineStr">
        <is>
          <t>bisection</t>
        </is>
      </c>
      <c r="B187" s="62" t="inlineStr">
        <is>
          <t>lo</t>
        </is>
      </c>
      <c r="C187" s="62" t="inlineStr">
        <is>
          <t>hi</t>
        </is>
      </c>
      <c r="D187" s="62" t="inlineStr">
        <is>
          <t>lambda trial</t>
        </is>
      </c>
      <c r="E187" s="62" t="inlineStr">
        <is>
          <t>Q(start)</t>
        </is>
      </c>
      <c r="R187" s="62" t="inlineStr">
        <is>
          <t>ProtSeg</t>
        </is>
      </c>
      <c r="S187" s="62" t="inlineStr">
        <is>
          <t>RPV01Seg</t>
        </is>
      </c>
      <c r="T187" s="62" t="inlineStr">
        <is>
          <t>f(lambda)</t>
        </is>
      </c>
    </row>
    <row r="188">
      <c r="B188" s="76" t="n">
        <v>0</v>
      </c>
      <c r="C188" s="76" t="n">
        <v>3</v>
      </c>
      <c r="D188" s="76">
        <f>(B188+C188)/2</f>
        <v/>
      </c>
      <c r="E188" s="76">
        <f>$B$180</f>
        <v/>
      </c>
      <c r="F188" s="76">
        <f>$B$180*EXP(-$D188*F$186)</f>
        <v/>
      </c>
      <c r="G188" s="76">
        <f>$B$180*EXP(-$D188*G$186)</f>
        <v/>
      </c>
      <c r="H188" s="76">
        <f>$B$180*EXP(-$D188*H$186)</f>
        <v/>
      </c>
      <c r="I188" s="76">
        <f>$B$180*EXP(-$D188*I$186)</f>
        <v/>
      </c>
      <c r="J188" s="76">
        <f>$B$180*EXP(-$D188*J$186)</f>
        <v/>
      </c>
      <c r="K188" s="76">
        <f>$B$180*EXP(-$D188*K$186)</f>
        <v/>
      </c>
      <c r="L188" s="76">
        <f>$B$180*EXP(-$D188*L$186)</f>
        <v/>
      </c>
      <c r="M188" s="76">
        <f>$B$180*EXP(-$D188*M$186)</f>
        <v/>
      </c>
      <c r="N188" s="76">
        <f>M188</f>
        <v/>
      </c>
      <c r="O188" s="76">
        <f>N188</f>
        <v/>
      </c>
      <c r="P188" s="76">
        <f>O188</f>
        <v/>
      </c>
      <c r="Q188" s="76">
        <f>P188</f>
        <v/>
      </c>
      <c r="R188" s="76">
        <f>SUMPRODUCT($F$185:$Q$185,$E188:$P188-$F188:$Q188)</f>
        <v/>
      </c>
      <c r="S188" s="76">
        <f>SUMPRODUCT($F$182:$Q$182,$F$184:$Q$184,$F188:$Q188)+0.5*SUMPRODUCT($F$182:$Q$182,$F$185:$Q$185,$E188:$P188-$F188:$Q188)</f>
        <v/>
      </c>
      <c r="T188" s="76">
        <f>(1-$F$179)*($D$180+R188)-$D$179*(($F$180+S188)-CDS_Parameters!$B$26)</f>
        <v/>
      </c>
    </row>
    <row r="189">
      <c r="B189" s="76">
        <f>IF(T188&lt;0,D188,B188)</f>
        <v/>
      </c>
      <c r="C189" s="76">
        <f>IF(T188&lt;0,C188,D188)</f>
        <v/>
      </c>
      <c r="D189" s="76">
        <f>(B189+C189)/2</f>
        <v/>
      </c>
      <c r="E189" s="76">
        <f>$B$180</f>
        <v/>
      </c>
      <c r="F189" s="76">
        <f>$B$180*EXP(-$D189*F$186)</f>
        <v/>
      </c>
      <c r="G189" s="76">
        <f>$B$180*EXP(-$D189*G$186)</f>
        <v/>
      </c>
      <c r="H189" s="76">
        <f>$B$180*EXP(-$D189*H$186)</f>
        <v/>
      </c>
      <c r="I189" s="76">
        <f>$B$180*EXP(-$D189*I$186)</f>
        <v/>
      </c>
      <c r="J189" s="76">
        <f>$B$180*EXP(-$D189*J$186)</f>
        <v/>
      </c>
      <c r="K189" s="76">
        <f>$B$180*EXP(-$D189*K$186)</f>
        <v/>
      </c>
      <c r="L189" s="76">
        <f>$B$180*EXP(-$D189*L$186)</f>
        <v/>
      </c>
      <c r="M189" s="76">
        <f>$B$180*EXP(-$D189*M$186)</f>
        <v/>
      </c>
      <c r="N189" s="76">
        <f>M189</f>
        <v/>
      </c>
      <c r="O189" s="76">
        <f>N189</f>
        <v/>
      </c>
      <c r="P189" s="76">
        <f>O189</f>
        <v/>
      </c>
      <c r="Q189" s="76">
        <f>P189</f>
        <v/>
      </c>
      <c r="R189" s="76">
        <f>SUMPRODUCT($F$185:$Q$185,$E189:$P189-$F189:$Q189)</f>
        <v/>
      </c>
      <c r="S189" s="76">
        <f>SUMPRODUCT($F$182:$Q$182,$F$184:$Q$184,$F189:$Q189)+0.5*SUMPRODUCT($F$182:$Q$182,$F$185:$Q$185,$E189:$P189-$F189:$Q189)</f>
        <v/>
      </c>
      <c r="T189" s="76">
        <f>(1-$F$179)*($D$180+R189)-$D$179*(($F$180+S189)-CDS_Parameters!$B$26)</f>
        <v/>
      </c>
    </row>
    <row r="190">
      <c r="B190" s="76">
        <f>IF(T189&lt;0,D189,B189)</f>
        <v/>
      </c>
      <c r="C190" s="76">
        <f>IF(T189&lt;0,C189,D189)</f>
        <v/>
      </c>
      <c r="D190" s="76">
        <f>(B190+C190)/2</f>
        <v/>
      </c>
      <c r="E190" s="76">
        <f>$B$180</f>
        <v/>
      </c>
      <c r="F190" s="76">
        <f>$B$180*EXP(-$D190*F$186)</f>
        <v/>
      </c>
      <c r="G190" s="76">
        <f>$B$180*EXP(-$D190*G$186)</f>
        <v/>
      </c>
      <c r="H190" s="76">
        <f>$B$180*EXP(-$D190*H$186)</f>
        <v/>
      </c>
      <c r="I190" s="76">
        <f>$B$180*EXP(-$D190*I$186)</f>
        <v/>
      </c>
      <c r="J190" s="76">
        <f>$B$180*EXP(-$D190*J$186)</f>
        <v/>
      </c>
      <c r="K190" s="76">
        <f>$B$180*EXP(-$D190*K$186)</f>
        <v/>
      </c>
      <c r="L190" s="76">
        <f>$B$180*EXP(-$D190*L$186)</f>
        <v/>
      </c>
      <c r="M190" s="76">
        <f>$B$180*EXP(-$D190*M$186)</f>
        <v/>
      </c>
      <c r="N190" s="76">
        <f>M190</f>
        <v/>
      </c>
      <c r="O190" s="76">
        <f>N190</f>
        <v/>
      </c>
      <c r="P190" s="76">
        <f>O190</f>
        <v/>
      </c>
      <c r="Q190" s="76">
        <f>P190</f>
        <v/>
      </c>
      <c r="R190" s="76">
        <f>SUMPRODUCT($F$185:$Q$185,$E190:$P190-$F190:$Q190)</f>
        <v/>
      </c>
      <c r="S190" s="76">
        <f>SUMPRODUCT($F$182:$Q$182,$F$184:$Q$184,$F190:$Q190)+0.5*SUMPRODUCT($F$182:$Q$182,$F$185:$Q$185,$E190:$P190-$F190:$Q190)</f>
        <v/>
      </c>
      <c r="T190" s="76">
        <f>(1-$F$179)*($D$180+R190)-$D$179*(($F$180+S190)-CDS_Parameters!$B$26)</f>
        <v/>
      </c>
    </row>
    <row r="191">
      <c r="B191" s="76">
        <f>IF(T190&lt;0,D190,B190)</f>
        <v/>
      </c>
      <c r="C191" s="76">
        <f>IF(T190&lt;0,C190,D190)</f>
        <v/>
      </c>
      <c r="D191" s="76">
        <f>(B191+C191)/2</f>
        <v/>
      </c>
      <c r="E191" s="76">
        <f>$B$180</f>
        <v/>
      </c>
      <c r="F191" s="76">
        <f>$B$180*EXP(-$D191*F$186)</f>
        <v/>
      </c>
      <c r="G191" s="76">
        <f>$B$180*EXP(-$D191*G$186)</f>
        <v/>
      </c>
      <c r="H191" s="76">
        <f>$B$180*EXP(-$D191*H$186)</f>
        <v/>
      </c>
      <c r="I191" s="76">
        <f>$B$180*EXP(-$D191*I$186)</f>
        <v/>
      </c>
      <c r="J191" s="76">
        <f>$B$180*EXP(-$D191*J$186)</f>
        <v/>
      </c>
      <c r="K191" s="76">
        <f>$B$180*EXP(-$D191*K$186)</f>
        <v/>
      </c>
      <c r="L191" s="76">
        <f>$B$180*EXP(-$D191*L$186)</f>
        <v/>
      </c>
      <c r="M191" s="76">
        <f>$B$180*EXP(-$D191*M$186)</f>
        <v/>
      </c>
      <c r="N191" s="76">
        <f>M191</f>
        <v/>
      </c>
      <c r="O191" s="76">
        <f>N191</f>
        <v/>
      </c>
      <c r="P191" s="76">
        <f>O191</f>
        <v/>
      </c>
      <c r="Q191" s="76">
        <f>P191</f>
        <v/>
      </c>
      <c r="R191" s="76">
        <f>SUMPRODUCT($F$185:$Q$185,$E191:$P191-$F191:$Q191)</f>
        <v/>
      </c>
      <c r="S191" s="76">
        <f>SUMPRODUCT($F$182:$Q$182,$F$184:$Q$184,$F191:$Q191)+0.5*SUMPRODUCT($F$182:$Q$182,$F$185:$Q$185,$E191:$P191-$F191:$Q191)</f>
        <v/>
      </c>
      <c r="T191" s="76">
        <f>(1-$F$179)*($D$180+R191)-$D$179*(($F$180+S191)-CDS_Parameters!$B$26)</f>
        <v/>
      </c>
    </row>
    <row r="192">
      <c r="B192" s="76">
        <f>IF(T191&lt;0,D191,B191)</f>
        <v/>
      </c>
      <c r="C192" s="76">
        <f>IF(T191&lt;0,C191,D191)</f>
        <v/>
      </c>
      <c r="D192" s="76">
        <f>(B192+C192)/2</f>
        <v/>
      </c>
      <c r="E192" s="76">
        <f>$B$180</f>
        <v/>
      </c>
      <c r="F192" s="76">
        <f>$B$180*EXP(-$D192*F$186)</f>
        <v/>
      </c>
      <c r="G192" s="76">
        <f>$B$180*EXP(-$D192*G$186)</f>
        <v/>
      </c>
      <c r="H192" s="76">
        <f>$B$180*EXP(-$D192*H$186)</f>
        <v/>
      </c>
      <c r="I192" s="76">
        <f>$B$180*EXP(-$D192*I$186)</f>
        <v/>
      </c>
      <c r="J192" s="76">
        <f>$B$180*EXP(-$D192*J$186)</f>
        <v/>
      </c>
      <c r="K192" s="76">
        <f>$B$180*EXP(-$D192*K$186)</f>
        <v/>
      </c>
      <c r="L192" s="76">
        <f>$B$180*EXP(-$D192*L$186)</f>
        <v/>
      </c>
      <c r="M192" s="76">
        <f>$B$180*EXP(-$D192*M$186)</f>
        <v/>
      </c>
      <c r="N192" s="76">
        <f>M192</f>
        <v/>
      </c>
      <c r="O192" s="76">
        <f>N192</f>
        <v/>
      </c>
      <c r="P192" s="76">
        <f>O192</f>
        <v/>
      </c>
      <c r="Q192" s="76">
        <f>P192</f>
        <v/>
      </c>
      <c r="R192" s="76">
        <f>SUMPRODUCT($F$185:$Q$185,$E192:$P192-$F192:$Q192)</f>
        <v/>
      </c>
      <c r="S192" s="76">
        <f>SUMPRODUCT($F$182:$Q$182,$F$184:$Q$184,$F192:$Q192)+0.5*SUMPRODUCT($F$182:$Q$182,$F$185:$Q$185,$E192:$P192-$F192:$Q192)</f>
        <v/>
      </c>
      <c r="T192" s="76">
        <f>(1-$F$179)*($D$180+R192)-$D$179*(($F$180+S192)-CDS_Parameters!$B$26)</f>
        <v/>
      </c>
    </row>
    <row r="193">
      <c r="B193" s="76">
        <f>IF(T192&lt;0,D192,B192)</f>
        <v/>
      </c>
      <c r="C193" s="76">
        <f>IF(T192&lt;0,C192,D192)</f>
        <v/>
      </c>
      <c r="D193" s="76">
        <f>(B193+C193)/2</f>
        <v/>
      </c>
      <c r="E193" s="76">
        <f>$B$180</f>
        <v/>
      </c>
      <c r="F193" s="76">
        <f>$B$180*EXP(-$D193*F$186)</f>
        <v/>
      </c>
      <c r="G193" s="76">
        <f>$B$180*EXP(-$D193*G$186)</f>
        <v/>
      </c>
      <c r="H193" s="76">
        <f>$B$180*EXP(-$D193*H$186)</f>
        <v/>
      </c>
      <c r="I193" s="76">
        <f>$B$180*EXP(-$D193*I$186)</f>
        <v/>
      </c>
      <c r="J193" s="76">
        <f>$B$180*EXP(-$D193*J$186)</f>
        <v/>
      </c>
      <c r="K193" s="76">
        <f>$B$180*EXP(-$D193*K$186)</f>
        <v/>
      </c>
      <c r="L193" s="76">
        <f>$B$180*EXP(-$D193*L$186)</f>
        <v/>
      </c>
      <c r="M193" s="76">
        <f>$B$180*EXP(-$D193*M$186)</f>
        <v/>
      </c>
      <c r="N193" s="76">
        <f>M193</f>
        <v/>
      </c>
      <c r="O193" s="76">
        <f>N193</f>
        <v/>
      </c>
      <c r="P193" s="76">
        <f>O193</f>
        <v/>
      </c>
      <c r="Q193" s="76">
        <f>P193</f>
        <v/>
      </c>
      <c r="R193" s="76">
        <f>SUMPRODUCT($F$185:$Q$185,$E193:$P193-$F193:$Q193)</f>
        <v/>
      </c>
      <c r="S193" s="76">
        <f>SUMPRODUCT($F$182:$Q$182,$F$184:$Q$184,$F193:$Q193)+0.5*SUMPRODUCT($F$182:$Q$182,$F$185:$Q$185,$E193:$P193-$F193:$Q193)</f>
        <v/>
      </c>
      <c r="T193" s="76">
        <f>(1-$F$179)*($D$180+R193)-$D$179*(($F$180+S193)-CDS_Parameters!$B$26)</f>
        <v/>
      </c>
    </row>
    <row r="194">
      <c r="B194" s="76">
        <f>IF(T193&lt;0,D193,B193)</f>
        <v/>
      </c>
      <c r="C194" s="76">
        <f>IF(T193&lt;0,C193,D193)</f>
        <v/>
      </c>
      <c r="D194" s="76">
        <f>(B194+C194)/2</f>
        <v/>
      </c>
      <c r="E194" s="76">
        <f>$B$180</f>
        <v/>
      </c>
      <c r="F194" s="76">
        <f>$B$180*EXP(-$D194*F$186)</f>
        <v/>
      </c>
      <c r="G194" s="76">
        <f>$B$180*EXP(-$D194*G$186)</f>
        <v/>
      </c>
      <c r="H194" s="76">
        <f>$B$180*EXP(-$D194*H$186)</f>
        <v/>
      </c>
      <c r="I194" s="76">
        <f>$B$180*EXP(-$D194*I$186)</f>
        <v/>
      </c>
      <c r="J194" s="76">
        <f>$B$180*EXP(-$D194*J$186)</f>
        <v/>
      </c>
      <c r="K194" s="76">
        <f>$B$180*EXP(-$D194*K$186)</f>
        <v/>
      </c>
      <c r="L194" s="76">
        <f>$B$180*EXP(-$D194*L$186)</f>
        <v/>
      </c>
      <c r="M194" s="76">
        <f>$B$180*EXP(-$D194*M$186)</f>
        <v/>
      </c>
      <c r="N194" s="76">
        <f>M194</f>
        <v/>
      </c>
      <c r="O194" s="76">
        <f>N194</f>
        <v/>
      </c>
      <c r="P194" s="76">
        <f>O194</f>
        <v/>
      </c>
      <c r="Q194" s="76">
        <f>P194</f>
        <v/>
      </c>
      <c r="R194" s="76">
        <f>SUMPRODUCT($F$185:$Q$185,$E194:$P194-$F194:$Q194)</f>
        <v/>
      </c>
      <c r="S194" s="76">
        <f>SUMPRODUCT($F$182:$Q$182,$F$184:$Q$184,$F194:$Q194)+0.5*SUMPRODUCT($F$182:$Q$182,$F$185:$Q$185,$E194:$P194-$F194:$Q194)</f>
        <v/>
      </c>
      <c r="T194" s="76">
        <f>(1-$F$179)*($D$180+R194)-$D$179*(($F$180+S194)-CDS_Parameters!$B$26)</f>
        <v/>
      </c>
    </row>
    <row r="195">
      <c r="B195" s="76">
        <f>IF(T194&lt;0,D194,B194)</f>
        <v/>
      </c>
      <c r="C195" s="76">
        <f>IF(T194&lt;0,C194,D194)</f>
        <v/>
      </c>
      <c r="D195" s="76">
        <f>(B195+C195)/2</f>
        <v/>
      </c>
      <c r="E195" s="76">
        <f>$B$180</f>
        <v/>
      </c>
      <c r="F195" s="76">
        <f>$B$180*EXP(-$D195*F$186)</f>
        <v/>
      </c>
      <c r="G195" s="76">
        <f>$B$180*EXP(-$D195*G$186)</f>
        <v/>
      </c>
      <c r="H195" s="76">
        <f>$B$180*EXP(-$D195*H$186)</f>
        <v/>
      </c>
      <c r="I195" s="76">
        <f>$B$180*EXP(-$D195*I$186)</f>
        <v/>
      </c>
      <c r="J195" s="76">
        <f>$B$180*EXP(-$D195*J$186)</f>
        <v/>
      </c>
      <c r="K195" s="76">
        <f>$B$180*EXP(-$D195*K$186)</f>
        <v/>
      </c>
      <c r="L195" s="76">
        <f>$B$180*EXP(-$D195*L$186)</f>
        <v/>
      </c>
      <c r="M195" s="76">
        <f>$B$180*EXP(-$D195*M$186)</f>
        <v/>
      </c>
      <c r="N195" s="76">
        <f>M195</f>
        <v/>
      </c>
      <c r="O195" s="76">
        <f>N195</f>
        <v/>
      </c>
      <c r="P195" s="76">
        <f>O195</f>
        <v/>
      </c>
      <c r="Q195" s="76">
        <f>P195</f>
        <v/>
      </c>
      <c r="R195" s="76">
        <f>SUMPRODUCT($F$185:$Q$185,$E195:$P195-$F195:$Q195)</f>
        <v/>
      </c>
      <c r="S195" s="76">
        <f>SUMPRODUCT($F$182:$Q$182,$F$184:$Q$184,$F195:$Q195)+0.5*SUMPRODUCT($F$182:$Q$182,$F$185:$Q$185,$E195:$P195-$F195:$Q195)</f>
        <v/>
      </c>
      <c r="T195" s="76">
        <f>(1-$F$179)*($D$180+R195)-$D$179*(($F$180+S195)-CDS_Parameters!$B$26)</f>
        <v/>
      </c>
    </row>
    <row r="196">
      <c r="B196" s="76">
        <f>IF(T195&lt;0,D195,B195)</f>
        <v/>
      </c>
      <c r="C196" s="76">
        <f>IF(T195&lt;0,C195,D195)</f>
        <v/>
      </c>
      <c r="D196" s="76">
        <f>(B196+C196)/2</f>
        <v/>
      </c>
      <c r="E196" s="76">
        <f>$B$180</f>
        <v/>
      </c>
      <c r="F196" s="76">
        <f>$B$180*EXP(-$D196*F$186)</f>
        <v/>
      </c>
      <c r="G196" s="76">
        <f>$B$180*EXP(-$D196*G$186)</f>
        <v/>
      </c>
      <c r="H196" s="76">
        <f>$B$180*EXP(-$D196*H$186)</f>
        <v/>
      </c>
      <c r="I196" s="76">
        <f>$B$180*EXP(-$D196*I$186)</f>
        <v/>
      </c>
      <c r="J196" s="76">
        <f>$B$180*EXP(-$D196*J$186)</f>
        <v/>
      </c>
      <c r="K196" s="76">
        <f>$B$180*EXP(-$D196*K$186)</f>
        <v/>
      </c>
      <c r="L196" s="76">
        <f>$B$180*EXP(-$D196*L$186)</f>
        <v/>
      </c>
      <c r="M196" s="76">
        <f>$B$180*EXP(-$D196*M$186)</f>
        <v/>
      </c>
      <c r="N196" s="76">
        <f>M196</f>
        <v/>
      </c>
      <c r="O196" s="76">
        <f>N196</f>
        <v/>
      </c>
      <c r="P196" s="76">
        <f>O196</f>
        <v/>
      </c>
      <c r="Q196" s="76">
        <f>P196</f>
        <v/>
      </c>
      <c r="R196" s="76">
        <f>SUMPRODUCT($F$185:$Q$185,$E196:$P196-$F196:$Q196)</f>
        <v/>
      </c>
      <c r="S196" s="76">
        <f>SUMPRODUCT($F$182:$Q$182,$F$184:$Q$184,$F196:$Q196)+0.5*SUMPRODUCT($F$182:$Q$182,$F$185:$Q$185,$E196:$P196-$F196:$Q196)</f>
        <v/>
      </c>
      <c r="T196" s="76">
        <f>(1-$F$179)*($D$180+R196)-$D$179*(($F$180+S196)-CDS_Parameters!$B$26)</f>
        <v/>
      </c>
    </row>
    <row r="197">
      <c r="B197" s="76">
        <f>IF(T196&lt;0,D196,B196)</f>
        <v/>
      </c>
      <c r="C197" s="76">
        <f>IF(T196&lt;0,C196,D196)</f>
        <v/>
      </c>
      <c r="D197" s="76">
        <f>(B197+C197)/2</f>
        <v/>
      </c>
      <c r="E197" s="76">
        <f>$B$180</f>
        <v/>
      </c>
      <c r="F197" s="76">
        <f>$B$180*EXP(-$D197*F$186)</f>
        <v/>
      </c>
      <c r="G197" s="76">
        <f>$B$180*EXP(-$D197*G$186)</f>
        <v/>
      </c>
      <c r="H197" s="76">
        <f>$B$180*EXP(-$D197*H$186)</f>
        <v/>
      </c>
      <c r="I197" s="76">
        <f>$B$180*EXP(-$D197*I$186)</f>
        <v/>
      </c>
      <c r="J197" s="76">
        <f>$B$180*EXP(-$D197*J$186)</f>
        <v/>
      </c>
      <c r="K197" s="76">
        <f>$B$180*EXP(-$D197*K$186)</f>
        <v/>
      </c>
      <c r="L197" s="76">
        <f>$B$180*EXP(-$D197*L$186)</f>
        <v/>
      </c>
      <c r="M197" s="76">
        <f>$B$180*EXP(-$D197*M$186)</f>
        <v/>
      </c>
      <c r="N197" s="76">
        <f>M197</f>
        <v/>
      </c>
      <c r="O197" s="76">
        <f>N197</f>
        <v/>
      </c>
      <c r="P197" s="76">
        <f>O197</f>
        <v/>
      </c>
      <c r="Q197" s="76">
        <f>P197</f>
        <v/>
      </c>
      <c r="R197" s="76">
        <f>SUMPRODUCT($F$185:$Q$185,$E197:$P197-$F197:$Q197)</f>
        <v/>
      </c>
      <c r="S197" s="76">
        <f>SUMPRODUCT($F$182:$Q$182,$F$184:$Q$184,$F197:$Q197)+0.5*SUMPRODUCT($F$182:$Q$182,$F$185:$Q$185,$E197:$P197-$F197:$Q197)</f>
        <v/>
      </c>
      <c r="T197" s="76">
        <f>(1-$F$179)*($D$180+R197)-$D$179*(($F$180+S197)-CDS_Parameters!$B$26)</f>
        <v/>
      </c>
    </row>
    <row r="198">
      <c r="B198" s="76">
        <f>IF(T197&lt;0,D197,B197)</f>
        <v/>
      </c>
      <c r="C198" s="76">
        <f>IF(T197&lt;0,C197,D197)</f>
        <v/>
      </c>
      <c r="D198" s="76">
        <f>(B198+C198)/2</f>
        <v/>
      </c>
      <c r="E198" s="76">
        <f>$B$180</f>
        <v/>
      </c>
      <c r="F198" s="76">
        <f>$B$180*EXP(-$D198*F$186)</f>
        <v/>
      </c>
      <c r="G198" s="76">
        <f>$B$180*EXP(-$D198*G$186)</f>
        <v/>
      </c>
      <c r="H198" s="76">
        <f>$B$180*EXP(-$D198*H$186)</f>
        <v/>
      </c>
      <c r="I198" s="76">
        <f>$B$180*EXP(-$D198*I$186)</f>
        <v/>
      </c>
      <c r="J198" s="76">
        <f>$B$180*EXP(-$D198*J$186)</f>
        <v/>
      </c>
      <c r="K198" s="76">
        <f>$B$180*EXP(-$D198*K$186)</f>
        <v/>
      </c>
      <c r="L198" s="76">
        <f>$B$180*EXP(-$D198*L$186)</f>
        <v/>
      </c>
      <c r="M198" s="76">
        <f>$B$180*EXP(-$D198*M$186)</f>
        <v/>
      </c>
      <c r="N198" s="76">
        <f>M198</f>
        <v/>
      </c>
      <c r="O198" s="76">
        <f>N198</f>
        <v/>
      </c>
      <c r="P198" s="76">
        <f>O198</f>
        <v/>
      </c>
      <c r="Q198" s="76">
        <f>P198</f>
        <v/>
      </c>
      <c r="R198" s="76">
        <f>SUMPRODUCT($F$185:$Q$185,$E198:$P198-$F198:$Q198)</f>
        <v/>
      </c>
      <c r="S198" s="76">
        <f>SUMPRODUCT($F$182:$Q$182,$F$184:$Q$184,$F198:$Q198)+0.5*SUMPRODUCT($F$182:$Q$182,$F$185:$Q$185,$E198:$P198-$F198:$Q198)</f>
        <v/>
      </c>
      <c r="T198" s="76">
        <f>(1-$F$179)*($D$180+R198)-$D$179*(($F$180+S198)-CDS_Parameters!$B$26)</f>
        <v/>
      </c>
    </row>
    <row r="199">
      <c r="B199" s="76">
        <f>IF(T198&lt;0,D198,B198)</f>
        <v/>
      </c>
      <c r="C199" s="76">
        <f>IF(T198&lt;0,C198,D198)</f>
        <v/>
      </c>
      <c r="D199" s="76">
        <f>(B199+C199)/2</f>
        <v/>
      </c>
      <c r="E199" s="76">
        <f>$B$180</f>
        <v/>
      </c>
      <c r="F199" s="76">
        <f>$B$180*EXP(-$D199*F$186)</f>
        <v/>
      </c>
      <c r="G199" s="76">
        <f>$B$180*EXP(-$D199*G$186)</f>
        <v/>
      </c>
      <c r="H199" s="76">
        <f>$B$180*EXP(-$D199*H$186)</f>
        <v/>
      </c>
      <c r="I199" s="76">
        <f>$B$180*EXP(-$D199*I$186)</f>
        <v/>
      </c>
      <c r="J199" s="76">
        <f>$B$180*EXP(-$D199*J$186)</f>
        <v/>
      </c>
      <c r="K199" s="76">
        <f>$B$180*EXP(-$D199*K$186)</f>
        <v/>
      </c>
      <c r="L199" s="76">
        <f>$B$180*EXP(-$D199*L$186)</f>
        <v/>
      </c>
      <c r="M199" s="76">
        <f>$B$180*EXP(-$D199*M$186)</f>
        <v/>
      </c>
      <c r="N199" s="76">
        <f>M199</f>
        <v/>
      </c>
      <c r="O199" s="76">
        <f>N199</f>
        <v/>
      </c>
      <c r="P199" s="76">
        <f>O199</f>
        <v/>
      </c>
      <c r="Q199" s="76">
        <f>P199</f>
        <v/>
      </c>
      <c r="R199" s="76">
        <f>SUMPRODUCT($F$185:$Q$185,$E199:$P199-$F199:$Q199)</f>
        <v/>
      </c>
      <c r="S199" s="76">
        <f>SUMPRODUCT($F$182:$Q$182,$F$184:$Q$184,$F199:$Q199)+0.5*SUMPRODUCT($F$182:$Q$182,$F$185:$Q$185,$E199:$P199-$F199:$Q199)</f>
        <v/>
      </c>
      <c r="T199" s="76">
        <f>(1-$F$179)*($D$180+R199)-$D$179*(($F$180+S199)-CDS_Parameters!$B$26)</f>
        <v/>
      </c>
    </row>
    <row r="200">
      <c r="B200" s="76">
        <f>IF(T199&lt;0,D199,B199)</f>
        <v/>
      </c>
      <c r="C200" s="76">
        <f>IF(T199&lt;0,C199,D199)</f>
        <v/>
      </c>
      <c r="D200" s="76">
        <f>(B200+C200)/2</f>
        <v/>
      </c>
      <c r="E200" s="76">
        <f>$B$180</f>
        <v/>
      </c>
      <c r="F200" s="76">
        <f>$B$180*EXP(-$D200*F$186)</f>
        <v/>
      </c>
      <c r="G200" s="76">
        <f>$B$180*EXP(-$D200*G$186)</f>
        <v/>
      </c>
      <c r="H200" s="76">
        <f>$B$180*EXP(-$D200*H$186)</f>
        <v/>
      </c>
      <c r="I200" s="76">
        <f>$B$180*EXP(-$D200*I$186)</f>
        <v/>
      </c>
      <c r="J200" s="76">
        <f>$B$180*EXP(-$D200*J$186)</f>
        <v/>
      </c>
      <c r="K200" s="76">
        <f>$B$180*EXP(-$D200*K$186)</f>
        <v/>
      </c>
      <c r="L200" s="76">
        <f>$B$180*EXP(-$D200*L$186)</f>
        <v/>
      </c>
      <c r="M200" s="76">
        <f>$B$180*EXP(-$D200*M$186)</f>
        <v/>
      </c>
      <c r="N200" s="76">
        <f>M200</f>
        <v/>
      </c>
      <c r="O200" s="76">
        <f>N200</f>
        <v/>
      </c>
      <c r="P200" s="76">
        <f>O200</f>
        <v/>
      </c>
      <c r="Q200" s="76">
        <f>P200</f>
        <v/>
      </c>
      <c r="R200" s="76">
        <f>SUMPRODUCT($F$185:$Q$185,$E200:$P200-$F200:$Q200)</f>
        <v/>
      </c>
      <c r="S200" s="76">
        <f>SUMPRODUCT($F$182:$Q$182,$F$184:$Q$184,$F200:$Q200)+0.5*SUMPRODUCT($F$182:$Q$182,$F$185:$Q$185,$E200:$P200-$F200:$Q200)</f>
        <v/>
      </c>
      <c r="T200" s="76">
        <f>(1-$F$179)*($D$180+R200)-$D$179*(($F$180+S200)-CDS_Parameters!$B$26)</f>
        <v/>
      </c>
    </row>
    <row r="201">
      <c r="B201" s="76">
        <f>IF(T200&lt;0,D200,B200)</f>
        <v/>
      </c>
      <c r="C201" s="76">
        <f>IF(T200&lt;0,C200,D200)</f>
        <v/>
      </c>
      <c r="D201" s="76">
        <f>(B201+C201)/2</f>
        <v/>
      </c>
      <c r="E201" s="76">
        <f>$B$180</f>
        <v/>
      </c>
      <c r="F201" s="76">
        <f>$B$180*EXP(-$D201*F$186)</f>
        <v/>
      </c>
      <c r="G201" s="76">
        <f>$B$180*EXP(-$D201*G$186)</f>
        <v/>
      </c>
      <c r="H201" s="76">
        <f>$B$180*EXP(-$D201*H$186)</f>
        <v/>
      </c>
      <c r="I201" s="76">
        <f>$B$180*EXP(-$D201*I$186)</f>
        <v/>
      </c>
      <c r="J201" s="76">
        <f>$B$180*EXP(-$D201*J$186)</f>
        <v/>
      </c>
      <c r="K201" s="76">
        <f>$B$180*EXP(-$D201*K$186)</f>
        <v/>
      </c>
      <c r="L201" s="76">
        <f>$B$180*EXP(-$D201*L$186)</f>
        <v/>
      </c>
      <c r="M201" s="76">
        <f>$B$180*EXP(-$D201*M$186)</f>
        <v/>
      </c>
      <c r="N201" s="76">
        <f>M201</f>
        <v/>
      </c>
      <c r="O201" s="76">
        <f>N201</f>
        <v/>
      </c>
      <c r="P201" s="76">
        <f>O201</f>
        <v/>
      </c>
      <c r="Q201" s="76">
        <f>P201</f>
        <v/>
      </c>
      <c r="R201" s="76">
        <f>SUMPRODUCT($F$185:$Q$185,$E201:$P201-$F201:$Q201)</f>
        <v/>
      </c>
      <c r="S201" s="76">
        <f>SUMPRODUCT($F$182:$Q$182,$F$184:$Q$184,$F201:$Q201)+0.5*SUMPRODUCT($F$182:$Q$182,$F$185:$Q$185,$E201:$P201-$F201:$Q201)</f>
        <v/>
      </c>
      <c r="T201" s="76">
        <f>(1-$F$179)*($D$180+R201)-$D$179*(($F$180+S201)-CDS_Parameters!$B$26)</f>
        <v/>
      </c>
    </row>
    <row r="202">
      <c r="B202" s="76">
        <f>IF(T201&lt;0,D201,B201)</f>
        <v/>
      </c>
      <c r="C202" s="76">
        <f>IF(T201&lt;0,C201,D201)</f>
        <v/>
      </c>
      <c r="D202" s="76">
        <f>(B202+C202)/2</f>
        <v/>
      </c>
      <c r="E202" s="76">
        <f>$B$180</f>
        <v/>
      </c>
      <c r="F202" s="76">
        <f>$B$180*EXP(-$D202*F$186)</f>
        <v/>
      </c>
      <c r="G202" s="76">
        <f>$B$180*EXP(-$D202*G$186)</f>
        <v/>
      </c>
      <c r="H202" s="76">
        <f>$B$180*EXP(-$D202*H$186)</f>
        <v/>
      </c>
      <c r="I202" s="76">
        <f>$B$180*EXP(-$D202*I$186)</f>
        <v/>
      </c>
      <c r="J202" s="76">
        <f>$B$180*EXP(-$D202*J$186)</f>
        <v/>
      </c>
      <c r="K202" s="76">
        <f>$B$180*EXP(-$D202*K$186)</f>
        <v/>
      </c>
      <c r="L202" s="76">
        <f>$B$180*EXP(-$D202*L$186)</f>
        <v/>
      </c>
      <c r="M202" s="76">
        <f>$B$180*EXP(-$D202*M$186)</f>
        <v/>
      </c>
      <c r="N202" s="76">
        <f>M202</f>
        <v/>
      </c>
      <c r="O202" s="76">
        <f>N202</f>
        <v/>
      </c>
      <c r="P202" s="76">
        <f>O202</f>
        <v/>
      </c>
      <c r="Q202" s="76">
        <f>P202</f>
        <v/>
      </c>
      <c r="R202" s="76">
        <f>SUMPRODUCT($F$185:$Q$185,$E202:$P202-$F202:$Q202)</f>
        <v/>
      </c>
      <c r="S202" s="76">
        <f>SUMPRODUCT($F$182:$Q$182,$F$184:$Q$184,$F202:$Q202)+0.5*SUMPRODUCT($F$182:$Q$182,$F$185:$Q$185,$E202:$P202-$F202:$Q202)</f>
        <v/>
      </c>
      <c r="T202" s="76">
        <f>(1-$F$179)*($D$180+R202)-$D$179*(($F$180+S202)-CDS_Parameters!$B$26)</f>
        <v/>
      </c>
    </row>
    <row r="203">
      <c r="B203" s="76">
        <f>IF(T202&lt;0,D202,B202)</f>
        <v/>
      </c>
      <c r="C203" s="76">
        <f>IF(T202&lt;0,C202,D202)</f>
        <v/>
      </c>
      <c r="D203" s="76">
        <f>(B203+C203)/2</f>
        <v/>
      </c>
      <c r="E203" s="76">
        <f>$B$180</f>
        <v/>
      </c>
      <c r="F203" s="76">
        <f>$B$180*EXP(-$D203*F$186)</f>
        <v/>
      </c>
      <c r="G203" s="76">
        <f>$B$180*EXP(-$D203*G$186)</f>
        <v/>
      </c>
      <c r="H203" s="76">
        <f>$B$180*EXP(-$D203*H$186)</f>
        <v/>
      </c>
      <c r="I203" s="76">
        <f>$B$180*EXP(-$D203*I$186)</f>
        <v/>
      </c>
      <c r="J203" s="76">
        <f>$B$180*EXP(-$D203*J$186)</f>
        <v/>
      </c>
      <c r="K203" s="76">
        <f>$B$180*EXP(-$D203*K$186)</f>
        <v/>
      </c>
      <c r="L203" s="76">
        <f>$B$180*EXP(-$D203*L$186)</f>
        <v/>
      </c>
      <c r="M203" s="76">
        <f>$B$180*EXP(-$D203*M$186)</f>
        <v/>
      </c>
      <c r="N203" s="76">
        <f>M203</f>
        <v/>
      </c>
      <c r="O203" s="76">
        <f>N203</f>
        <v/>
      </c>
      <c r="P203" s="76">
        <f>O203</f>
        <v/>
      </c>
      <c r="Q203" s="76">
        <f>P203</f>
        <v/>
      </c>
      <c r="R203" s="76">
        <f>SUMPRODUCT($F$185:$Q$185,$E203:$P203-$F203:$Q203)</f>
        <v/>
      </c>
      <c r="S203" s="76">
        <f>SUMPRODUCT($F$182:$Q$182,$F$184:$Q$184,$F203:$Q203)+0.5*SUMPRODUCT($F$182:$Q$182,$F$185:$Q$185,$E203:$P203-$F203:$Q203)</f>
        <v/>
      </c>
      <c r="T203" s="76">
        <f>(1-$F$179)*($D$180+R203)-$D$179*(($F$180+S203)-CDS_Parameters!$B$26)</f>
        <v/>
      </c>
    </row>
    <row r="204">
      <c r="B204" s="76">
        <f>IF(T203&lt;0,D203,B203)</f>
        <v/>
      </c>
      <c r="C204" s="76">
        <f>IF(T203&lt;0,C203,D203)</f>
        <v/>
      </c>
      <c r="D204" s="76">
        <f>(B204+C204)/2</f>
        <v/>
      </c>
      <c r="E204" s="76">
        <f>$B$180</f>
        <v/>
      </c>
      <c r="F204" s="76">
        <f>$B$180*EXP(-$D204*F$186)</f>
        <v/>
      </c>
      <c r="G204" s="76">
        <f>$B$180*EXP(-$D204*G$186)</f>
        <v/>
      </c>
      <c r="H204" s="76">
        <f>$B$180*EXP(-$D204*H$186)</f>
        <v/>
      </c>
      <c r="I204" s="76">
        <f>$B$180*EXP(-$D204*I$186)</f>
        <v/>
      </c>
      <c r="J204" s="76">
        <f>$B$180*EXP(-$D204*J$186)</f>
        <v/>
      </c>
      <c r="K204" s="76">
        <f>$B$180*EXP(-$D204*K$186)</f>
        <v/>
      </c>
      <c r="L204" s="76">
        <f>$B$180*EXP(-$D204*L$186)</f>
        <v/>
      </c>
      <c r="M204" s="76">
        <f>$B$180*EXP(-$D204*M$186)</f>
        <v/>
      </c>
      <c r="N204" s="76">
        <f>M204</f>
        <v/>
      </c>
      <c r="O204" s="76">
        <f>N204</f>
        <v/>
      </c>
      <c r="P204" s="76">
        <f>O204</f>
        <v/>
      </c>
      <c r="Q204" s="76">
        <f>P204</f>
        <v/>
      </c>
      <c r="R204" s="76">
        <f>SUMPRODUCT($F$185:$Q$185,$E204:$P204-$F204:$Q204)</f>
        <v/>
      </c>
      <c r="S204" s="76">
        <f>SUMPRODUCT($F$182:$Q$182,$F$184:$Q$184,$F204:$Q204)+0.5*SUMPRODUCT($F$182:$Q$182,$F$185:$Q$185,$E204:$P204-$F204:$Q204)</f>
        <v/>
      </c>
      <c r="T204" s="76">
        <f>(1-$F$179)*($D$180+R204)-$D$179*(($F$180+S204)-CDS_Parameters!$B$26)</f>
        <v/>
      </c>
    </row>
    <row r="205">
      <c r="B205" s="76">
        <f>IF(T204&lt;0,D204,B204)</f>
        <v/>
      </c>
      <c r="C205" s="76">
        <f>IF(T204&lt;0,C204,D204)</f>
        <v/>
      </c>
      <c r="D205" s="76">
        <f>(B205+C205)/2</f>
        <v/>
      </c>
      <c r="E205" s="76">
        <f>$B$180</f>
        <v/>
      </c>
      <c r="F205" s="76">
        <f>$B$180*EXP(-$D205*F$186)</f>
        <v/>
      </c>
      <c r="G205" s="76">
        <f>$B$180*EXP(-$D205*G$186)</f>
        <v/>
      </c>
      <c r="H205" s="76">
        <f>$B$180*EXP(-$D205*H$186)</f>
        <v/>
      </c>
      <c r="I205" s="76">
        <f>$B$180*EXP(-$D205*I$186)</f>
        <v/>
      </c>
      <c r="J205" s="76">
        <f>$B$180*EXP(-$D205*J$186)</f>
        <v/>
      </c>
      <c r="K205" s="76">
        <f>$B$180*EXP(-$D205*K$186)</f>
        <v/>
      </c>
      <c r="L205" s="76">
        <f>$B$180*EXP(-$D205*L$186)</f>
        <v/>
      </c>
      <c r="M205" s="76">
        <f>$B$180*EXP(-$D205*M$186)</f>
        <v/>
      </c>
      <c r="N205" s="76">
        <f>M205</f>
        <v/>
      </c>
      <c r="O205" s="76">
        <f>N205</f>
        <v/>
      </c>
      <c r="P205" s="76">
        <f>O205</f>
        <v/>
      </c>
      <c r="Q205" s="76">
        <f>P205</f>
        <v/>
      </c>
      <c r="R205" s="76">
        <f>SUMPRODUCT($F$185:$Q$185,$E205:$P205-$F205:$Q205)</f>
        <v/>
      </c>
      <c r="S205" s="76">
        <f>SUMPRODUCT($F$182:$Q$182,$F$184:$Q$184,$F205:$Q205)+0.5*SUMPRODUCT($F$182:$Q$182,$F$185:$Q$185,$E205:$P205-$F205:$Q205)</f>
        <v/>
      </c>
      <c r="T205" s="76">
        <f>(1-$F$179)*($D$180+R205)-$D$179*(($F$180+S205)-CDS_Parameters!$B$26)</f>
        <v/>
      </c>
    </row>
    <row r="206">
      <c r="B206" s="76">
        <f>IF(T205&lt;0,D205,B205)</f>
        <v/>
      </c>
      <c r="C206" s="76">
        <f>IF(T205&lt;0,C205,D205)</f>
        <v/>
      </c>
      <c r="D206" s="76">
        <f>(B206+C206)/2</f>
        <v/>
      </c>
      <c r="E206" s="76">
        <f>$B$180</f>
        <v/>
      </c>
      <c r="F206" s="76">
        <f>$B$180*EXP(-$D206*F$186)</f>
        <v/>
      </c>
      <c r="G206" s="76">
        <f>$B$180*EXP(-$D206*G$186)</f>
        <v/>
      </c>
      <c r="H206" s="76">
        <f>$B$180*EXP(-$D206*H$186)</f>
        <v/>
      </c>
      <c r="I206" s="76">
        <f>$B$180*EXP(-$D206*I$186)</f>
        <v/>
      </c>
      <c r="J206" s="76">
        <f>$B$180*EXP(-$D206*J$186)</f>
        <v/>
      </c>
      <c r="K206" s="76">
        <f>$B$180*EXP(-$D206*K$186)</f>
        <v/>
      </c>
      <c r="L206" s="76">
        <f>$B$180*EXP(-$D206*L$186)</f>
        <v/>
      </c>
      <c r="M206" s="76">
        <f>$B$180*EXP(-$D206*M$186)</f>
        <v/>
      </c>
      <c r="N206" s="76">
        <f>M206</f>
        <v/>
      </c>
      <c r="O206" s="76">
        <f>N206</f>
        <v/>
      </c>
      <c r="P206" s="76">
        <f>O206</f>
        <v/>
      </c>
      <c r="Q206" s="76">
        <f>P206</f>
        <v/>
      </c>
      <c r="R206" s="76">
        <f>SUMPRODUCT($F$185:$Q$185,$E206:$P206-$F206:$Q206)</f>
        <v/>
      </c>
      <c r="S206" s="76">
        <f>SUMPRODUCT($F$182:$Q$182,$F$184:$Q$184,$F206:$Q206)+0.5*SUMPRODUCT($F$182:$Q$182,$F$185:$Q$185,$E206:$P206-$F206:$Q206)</f>
        <v/>
      </c>
      <c r="T206" s="76">
        <f>(1-$F$179)*($D$180+R206)-$D$179*(($F$180+S206)-CDS_Parameters!$B$26)</f>
        <v/>
      </c>
    </row>
    <row r="207">
      <c r="B207" s="76">
        <f>IF(T206&lt;0,D206,B206)</f>
        <v/>
      </c>
      <c r="C207" s="76">
        <f>IF(T206&lt;0,C206,D206)</f>
        <v/>
      </c>
      <c r="D207" s="76">
        <f>(B207+C207)/2</f>
        <v/>
      </c>
      <c r="E207" s="76">
        <f>$B$180</f>
        <v/>
      </c>
      <c r="F207" s="76">
        <f>$B$180*EXP(-$D207*F$186)</f>
        <v/>
      </c>
      <c r="G207" s="76">
        <f>$B$180*EXP(-$D207*G$186)</f>
        <v/>
      </c>
      <c r="H207" s="76">
        <f>$B$180*EXP(-$D207*H$186)</f>
        <v/>
      </c>
      <c r="I207" s="76">
        <f>$B$180*EXP(-$D207*I$186)</f>
        <v/>
      </c>
      <c r="J207" s="76">
        <f>$B$180*EXP(-$D207*J$186)</f>
        <v/>
      </c>
      <c r="K207" s="76">
        <f>$B$180*EXP(-$D207*K$186)</f>
        <v/>
      </c>
      <c r="L207" s="76">
        <f>$B$180*EXP(-$D207*L$186)</f>
        <v/>
      </c>
      <c r="M207" s="76">
        <f>$B$180*EXP(-$D207*M$186)</f>
        <v/>
      </c>
      <c r="N207" s="76">
        <f>M207</f>
        <v/>
      </c>
      <c r="O207" s="76">
        <f>N207</f>
        <v/>
      </c>
      <c r="P207" s="76">
        <f>O207</f>
        <v/>
      </c>
      <c r="Q207" s="76">
        <f>P207</f>
        <v/>
      </c>
      <c r="R207" s="76">
        <f>SUMPRODUCT($F$185:$Q$185,$E207:$P207-$F207:$Q207)</f>
        <v/>
      </c>
      <c r="S207" s="76">
        <f>SUMPRODUCT($F$182:$Q$182,$F$184:$Q$184,$F207:$Q207)+0.5*SUMPRODUCT($F$182:$Q$182,$F$185:$Q$185,$E207:$P207-$F207:$Q207)</f>
        <v/>
      </c>
      <c r="T207" s="76">
        <f>(1-$F$179)*($D$180+R207)-$D$179*(($F$180+S207)-CDS_Parameters!$B$26)</f>
        <v/>
      </c>
    </row>
    <row r="208">
      <c r="B208" s="76">
        <f>IF(T207&lt;0,D207,B207)</f>
        <v/>
      </c>
      <c r="C208" s="76">
        <f>IF(T207&lt;0,C207,D207)</f>
        <v/>
      </c>
      <c r="D208" s="76">
        <f>(B208+C208)/2</f>
        <v/>
      </c>
      <c r="E208" s="76">
        <f>$B$180</f>
        <v/>
      </c>
      <c r="F208" s="76">
        <f>$B$180*EXP(-$D208*F$186)</f>
        <v/>
      </c>
      <c r="G208" s="76">
        <f>$B$180*EXP(-$D208*G$186)</f>
        <v/>
      </c>
      <c r="H208" s="76">
        <f>$B$180*EXP(-$D208*H$186)</f>
        <v/>
      </c>
      <c r="I208" s="76">
        <f>$B$180*EXP(-$D208*I$186)</f>
        <v/>
      </c>
      <c r="J208" s="76">
        <f>$B$180*EXP(-$D208*J$186)</f>
        <v/>
      </c>
      <c r="K208" s="76">
        <f>$B$180*EXP(-$D208*K$186)</f>
        <v/>
      </c>
      <c r="L208" s="76">
        <f>$B$180*EXP(-$D208*L$186)</f>
        <v/>
      </c>
      <c r="M208" s="76">
        <f>$B$180*EXP(-$D208*M$186)</f>
        <v/>
      </c>
      <c r="N208" s="76">
        <f>M208</f>
        <v/>
      </c>
      <c r="O208" s="76">
        <f>N208</f>
        <v/>
      </c>
      <c r="P208" s="76">
        <f>O208</f>
        <v/>
      </c>
      <c r="Q208" s="76">
        <f>P208</f>
        <v/>
      </c>
      <c r="R208" s="76">
        <f>SUMPRODUCT($F$185:$Q$185,$E208:$P208-$F208:$Q208)</f>
        <v/>
      </c>
      <c r="S208" s="76">
        <f>SUMPRODUCT($F$182:$Q$182,$F$184:$Q$184,$F208:$Q208)+0.5*SUMPRODUCT($F$182:$Q$182,$F$185:$Q$185,$E208:$P208-$F208:$Q208)</f>
        <v/>
      </c>
      <c r="T208" s="76">
        <f>(1-$F$179)*($D$180+R208)-$D$179*(($F$180+S208)-CDS_Parameters!$B$26)</f>
        <v/>
      </c>
    </row>
    <row r="209">
      <c r="B209" s="76">
        <f>IF(T208&lt;0,D208,B208)</f>
        <v/>
      </c>
      <c r="C209" s="76">
        <f>IF(T208&lt;0,C208,D208)</f>
        <v/>
      </c>
      <c r="D209" s="76">
        <f>(B209+C209)/2</f>
        <v/>
      </c>
      <c r="E209" s="76">
        <f>$B$180</f>
        <v/>
      </c>
      <c r="F209" s="76">
        <f>$B$180*EXP(-$D209*F$186)</f>
        <v/>
      </c>
      <c r="G209" s="76">
        <f>$B$180*EXP(-$D209*G$186)</f>
        <v/>
      </c>
      <c r="H209" s="76">
        <f>$B$180*EXP(-$D209*H$186)</f>
        <v/>
      </c>
      <c r="I209" s="76">
        <f>$B$180*EXP(-$D209*I$186)</f>
        <v/>
      </c>
      <c r="J209" s="76">
        <f>$B$180*EXP(-$D209*J$186)</f>
        <v/>
      </c>
      <c r="K209" s="76">
        <f>$B$180*EXP(-$D209*K$186)</f>
        <v/>
      </c>
      <c r="L209" s="76">
        <f>$B$180*EXP(-$D209*L$186)</f>
        <v/>
      </c>
      <c r="M209" s="76">
        <f>$B$180*EXP(-$D209*M$186)</f>
        <v/>
      </c>
      <c r="N209" s="76">
        <f>M209</f>
        <v/>
      </c>
      <c r="O209" s="76">
        <f>N209</f>
        <v/>
      </c>
      <c r="P209" s="76">
        <f>O209</f>
        <v/>
      </c>
      <c r="Q209" s="76">
        <f>P209</f>
        <v/>
      </c>
      <c r="R209" s="76">
        <f>SUMPRODUCT($F$185:$Q$185,$E209:$P209-$F209:$Q209)</f>
        <v/>
      </c>
      <c r="S209" s="76">
        <f>SUMPRODUCT($F$182:$Q$182,$F$184:$Q$184,$F209:$Q209)+0.5*SUMPRODUCT($F$182:$Q$182,$F$185:$Q$185,$E209:$P209-$F209:$Q209)</f>
        <v/>
      </c>
      <c r="T209" s="76">
        <f>(1-$F$179)*($D$180+R209)-$D$179*(($F$180+S209)-CDS_Parameters!$B$26)</f>
        <v/>
      </c>
    </row>
    <row r="210">
      <c r="B210" s="76">
        <f>IF(T209&lt;0,D209,B209)</f>
        <v/>
      </c>
      <c r="C210" s="76">
        <f>IF(T209&lt;0,C209,D209)</f>
        <v/>
      </c>
      <c r="D210" s="76">
        <f>(B210+C210)/2</f>
        <v/>
      </c>
      <c r="E210" s="76">
        <f>$B$180</f>
        <v/>
      </c>
      <c r="F210" s="76">
        <f>$B$180*EXP(-$D210*F$186)</f>
        <v/>
      </c>
      <c r="G210" s="76">
        <f>$B$180*EXP(-$D210*G$186)</f>
        <v/>
      </c>
      <c r="H210" s="76">
        <f>$B$180*EXP(-$D210*H$186)</f>
        <v/>
      </c>
      <c r="I210" s="76">
        <f>$B$180*EXP(-$D210*I$186)</f>
        <v/>
      </c>
      <c r="J210" s="76">
        <f>$B$180*EXP(-$D210*J$186)</f>
        <v/>
      </c>
      <c r="K210" s="76">
        <f>$B$180*EXP(-$D210*K$186)</f>
        <v/>
      </c>
      <c r="L210" s="76">
        <f>$B$180*EXP(-$D210*L$186)</f>
        <v/>
      </c>
      <c r="M210" s="76">
        <f>$B$180*EXP(-$D210*M$186)</f>
        <v/>
      </c>
      <c r="N210" s="76">
        <f>M210</f>
        <v/>
      </c>
      <c r="O210" s="76">
        <f>N210</f>
        <v/>
      </c>
      <c r="P210" s="76">
        <f>O210</f>
        <v/>
      </c>
      <c r="Q210" s="76">
        <f>P210</f>
        <v/>
      </c>
      <c r="R210" s="76">
        <f>SUMPRODUCT($F$185:$Q$185,$E210:$P210-$F210:$Q210)</f>
        <v/>
      </c>
      <c r="S210" s="76">
        <f>SUMPRODUCT($F$182:$Q$182,$F$184:$Q$184,$F210:$Q210)+0.5*SUMPRODUCT($F$182:$Q$182,$F$185:$Q$185,$E210:$P210-$F210:$Q210)</f>
        <v/>
      </c>
      <c r="T210" s="76">
        <f>(1-$F$179)*($D$180+R210)-$D$179*(($F$180+S210)-CDS_Parameters!$B$26)</f>
        <v/>
      </c>
    </row>
    <row r="211">
      <c r="B211" s="76">
        <f>IF(T210&lt;0,D210,B210)</f>
        <v/>
      </c>
      <c r="C211" s="76">
        <f>IF(T210&lt;0,C210,D210)</f>
        <v/>
      </c>
      <c r="D211" s="76">
        <f>(B211+C211)/2</f>
        <v/>
      </c>
      <c r="E211" s="76">
        <f>$B$180</f>
        <v/>
      </c>
      <c r="F211" s="76">
        <f>$B$180*EXP(-$D211*F$186)</f>
        <v/>
      </c>
      <c r="G211" s="76">
        <f>$B$180*EXP(-$D211*G$186)</f>
        <v/>
      </c>
      <c r="H211" s="76">
        <f>$B$180*EXP(-$D211*H$186)</f>
        <v/>
      </c>
      <c r="I211" s="76">
        <f>$B$180*EXP(-$D211*I$186)</f>
        <v/>
      </c>
      <c r="J211" s="76">
        <f>$B$180*EXP(-$D211*J$186)</f>
        <v/>
      </c>
      <c r="K211" s="76">
        <f>$B$180*EXP(-$D211*K$186)</f>
        <v/>
      </c>
      <c r="L211" s="76">
        <f>$B$180*EXP(-$D211*L$186)</f>
        <v/>
      </c>
      <c r="M211" s="76">
        <f>$B$180*EXP(-$D211*M$186)</f>
        <v/>
      </c>
      <c r="N211" s="76">
        <f>M211</f>
        <v/>
      </c>
      <c r="O211" s="76">
        <f>N211</f>
        <v/>
      </c>
      <c r="P211" s="76">
        <f>O211</f>
        <v/>
      </c>
      <c r="Q211" s="76">
        <f>P211</f>
        <v/>
      </c>
      <c r="R211" s="76">
        <f>SUMPRODUCT($F$185:$Q$185,$E211:$P211-$F211:$Q211)</f>
        <v/>
      </c>
      <c r="S211" s="76">
        <f>SUMPRODUCT($F$182:$Q$182,$F$184:$Q$184,$F211:$Q211)+0.5*SUMPRODUCT($F$182:$Q$182,$F$185:$Q$185,$E211:$P211-$F211:$Q211)</f>
        <v/>
      </c>
      <c r="T211" s="76">
        <f>(1-$F$179)*($D$180+R211)-$D$179*(($F$180+S211)-CDS_Parameters!$B$26)</f>
        <v/>
      </c>
    </row>
    <row r="212">
      <c r="B212" s="76">
        <f>IF(T211&lt;0,D211,B211)</f>
        <v/>
      </c>
      <c r="C212" s="76">
        <f>IF(T211&lt;0,C211,D211)</f>
        <v/>
      </c>
      <c r="D212" s="76">
        <f>(B212+C212)/2</f>
        <v/>
      </c>
      <c r="E212" s="76">
        <f>$B$180</f>
        <v/>
      </c>
      <c r="F212" s="76">
        <f>$B$180*EXP(-$D212*F$186)</f>
        <v/>
      </c>
      <c r="G212" s="76">
        <f>$B$180*EXP(-$D212*G$186)</f>
        <v/>
      </c>
      <c r="H212" s="76">
        <f>$B$180*EXP(-$D212*H$186)</f>
        <v/>
      </c>
      <c r="I212" s="76">
        <f>$B$180*EXP(-$D212*I$186)</f>
        <v/>
      </c>
      <c r="J212" s="76">
        <f>$B$180*EXP(-$D212*J$186)</f>
        <v/>
      </c>
      <c r="K212" s="76">
        <f>$B$180*EXP(-$D212*K$186)</f>
        <v/>
      </c>
      <c r="L212" s="76">
        <f>$B$180*EXP(-$D212*L$186)</f>
        <v/>
      </c>
      <c r="M212" s="76">
        <f>$B$180*EXP(-$D212*M$186)</f>
        <v/>
      </c>
      <c r="N212" s="76">
        <f>M212</f>
        <v/>
      </c>
      <c r="O212" s="76">
        <f>N212</f>
        <v/>
      </c>
      <c r="P212" s="76">
        <f>O212</f>
        <v/>
      </c>
      <c r="Q212" s="76">
        <f>P212</f>
        <v/>
      </c>
      <c r="R212" s="76">
        <f>SUMPRODUCT($F$185:$Q$185,$E212:$P212-$F212:$Q212)</f>
        <v/>
      </c>
      <c r="S212" s="76">
        <f>SUMPRODUCT($F$182:$Q$182,$F$184:$Q$184,$F212:$Q212)+0.5*SUMPRODUCT($F$182:$Q$182,$F$185:$Q$185,$E212:$P212-$F212:$Q212)</f>
        <v/>
      </c>
      <c r="T212" s="76">
        <f>(1-$F$179)*($D$180+R212)-$D$179*(($F$180+S212)-CDS_Parameters!$B$26)</f>
        <v/>
      </c>
    </row>
    <row r="213">
      <c r="B213" s="76">
        <f>IF(T212&lt;0,D212,B212)</f>
        <v/>
      </c>
      <c r="C213" s="76">
        <f>IF(T212&lt;0,C212,D212)</f>
        <v/>
      </c>
      <c r="D213" s="76">
        <f>(B213+C213)/2</f>
        <v/>
      </c>
      <c r="E213" s="76">
        <f>$B$180</f>
        <v/>
      </c>
      <c r="F213" s="76">
        <f>$B$180*EXP(-$D213*F$186)</f>
        <v/>
      </c>
      <c r="G213" s="76">
        <f>$B$180*EXP(-$D213*G$186)</f>
        <v/>
      </c>
      <c r="H213" s="76">
        <f>$B$180*EXP(-$D213*H$186)</f>
        <v/>
      </c>
      <c r="I213" s="76">
        <f>$B$180*EXP(-$D213*I$186)</f>
        <v/>
      </c>
      <c r="J213" s="76">
        <f>$B$180*EXP(-$D213*J$186)</f>
        <v/>
      </c>
      <c r="K213" s="76">
        <f>$B$180*EXP(-$D213*K$186)</f>
        <v/>
      </c>
      <c r="L213" s="76">
        <f>$B$180*EXP(-$D213*L$186)</f>
        <v/>
      </c>
      <c r="M213" s="76">
        <f>$B$180*EXP(-$D213*M$186)</f>
        <v/>
      </c>
      <c r="N213" s="76">
        <f>M213</f>
        <v/>
      </c>
      <c r="O213" s="76">
        <f>N213</f>
        <v/>
      </c>
      <c r="P213" s="76">
        <f>O213</f>
        <v/>
      </c>
      <c r="Q213" s="76">
        <f>P213</f>
        <v/>
      </c>
      <c r="R213" s="76">
        <f>SUMPRODUCT($F$185:$Q$185,$E213:$P213-$F213:$Q213)</f>
        <v/>
      </c>
      <c r="S213" s="76">
        <f>SUMPRODUCT($F$182:$Q$182,$F$184:$Q$184,$F213:$Q213)+0.5*SUMPRODUCT($F$182:$Q$182,$F$185:$Q$185,$E213:$P213-$F213:$Q213)</f>
        <v/>
      </c>
      <c r="T213" s="76">
        <f>(1-$F$179)*($D$180+R213)-$D$179*(($F$180+S213)-CDS_Parameters!$B$26)</f>
        <v/>
      </c>
    </row>
    <row r="214">
      <c r="B214" s="76">
        <f>IF(T213&lt;0,D213,B213)</f>
        <v/>
      </c>
      <c r="C214" s="76">
        <f>IF(T213&lt;0,C213,D213)</f>
        <v/>
      </c>
      <c r="D214" s="76">
        <f>(B214+C214)/2</f>
        <v/>
      </c>
      <c r="E214" s="76">
        <f>$B$180</f>
        <v/>
      </c>
      <c r="F214" s="76">
        <f>$B$180*EXP(-$D214*F$186)</f>
        <v/>
      </c>
      <c r="G214" s="76">
        <f>$B$180*EXP(-$D214*G$186)</f>
        <v/>
      </c>
      <c r="H214" s="76">
        <f>$B$180*EXP(-$D214*H$186)</f>
        <v/>
      </c>
      <c r="I214" s="76">
        <f>$B$180*EXP(-$D214*I$186)</f>
        <v/>
      </c>
      <c r="J214" s="76">
        <f>$B$180*EXP(-$D214*J$186)</f>
        <v/>
      </c>
      <c r="K214" s="76">
        <f>$B$180*EXP(-$D214*K$186)</f>
        <v/>
      </c>
      <c r="L214" s="76">
        <f>$B$180*EXP(-$D214*L$186)</f>
        <v/>
      </c>
      <c r="M214" s="76">
        <f>$B$180*EXP(-$D214*M$186)</f>
        <v/>
      </c>
      <c r="N214" s="76">
        <f>M214</f>
        <v/>
      </c>
      <c r="O214" s="76">
        <f>N214</f>
        <v/>
      </c>
      <c r="P214" s="76">
        <f>O214</f>
        <v/>
      </c>
      <c r="Q214" s="76">
        <f>P214</f>
        <v/>
      </c>
      <c r="R214" s="76">
        <f>SUMPRODUCT($F$185:$Q$185,$E214:$P214-$F214:$Q214)</f>
        <v/>
      </c>
      <c r="S214" s="76">
        <f>SUMPRODUCT($F$182:$Q$182,$F$184:$Q$184,$F214:$Q214)+0.5*SUMPRODUCT($F$182:$Q$182,$F$185:$Q$185,$E214:$P214-$F214:$Q214)</f>
        <v/>
      </c>
      <c r="T214" s="76">
        <f>(1-$F$179)*($D$180+R214)-$D$179*(($F$180+S214)-CDS_Parameters!$B$26)</f>
        <v/>
      </c>
    </row>
    <row r="215">
      <c r="B215" s="76">
        <f>IF(T214&lt;0,D214,B214)</f>
        <v/>
      </c>
      <c r="C215" s="76">
        <f>IF(T214&lt;0,C214,D214)</f>
        <v/>
      </c>
      <c r="D215" s="76">
        <f>(B215+C215)/2</f>
        <v/>
      </c>
      <c r="E215" s="76">
        <f>$B$180</f>
        <v/>
      </c>
      <c r="F215" s="76">
        <f>$B$180*EXP(-$D215*F$186)</f>
        <v/>
      </c>
      <c r="G215" s="76">
        <f>$B$180*EXP(-$D215*G$186)</f>
        <v/>
      </c>
      <c r="H215" s="76">
        <f>$B$180*EXP(-$D215*H$186)</f>
        <v/>
      </c>
      <c r="I215" s="76">
        <f>$B$180*EXP(-$D215*I$186)</f>
        <v/>
      </c>
      <c r="J215" s="76">
        <f>$B$180*EXP(-$D215*J$186)</f>
        <v/>
      </c>
      <c r="K215" s="76">
        <f>$B$180*EXP(-$D215*K$186)</f>
        <v/>
      </c>
      <c r="L215" s="76">
        <f>$B$180*EXP(-$D215*L$186)</f>
        <v/>
      </c>
      <c r="M215" s="76">
        <f>$B$180*EXP(-$D215*M$186)</f>
        <v/>
      </c>
      <c r="N215" s="76">
        <f>M215</f>
        <v/>
      </c>
      <c r="O215" s="76">
        <f>N215</f>
        <v/>
      </c>
      <c r="P215" s="76">
        <f>O215</f>
        <v/>
      </c>
      <c r="Q215" s="76">
        <f>P215</f>
        <v/>
      </c>
      <c r="R215" s="76">
        <f>SUMPRODUCT($F$185:$Q$185,$E215:$P215-$F215:$Q215)</f>
        <v/>
      </c>
      <c r="S215" s="76">
        <f>SUMPRODUCT($F$182:$Q$182,$F$184:$Q$184,$F215:$Q215)+0.5*SUMPRODUCT($F$182:$Q$182,$F$185:$Q$185,$E215:$P215-$F215:$Q215)</f>
        <v/>
      </c>
      <c r="T215" s="76">
        <f>(1-$F$179)*($D$180+R215)-$D$179*(($F$180+S215)-CDS_Parameters!$B$26)</f>
        <v/>
      </c>
    </row>
    <row r="216">
      <c r="B216" s="76">
        <f>IF(T215&lt;0,D215,B215)</f>
        <v/>
      </c>
      <c r="C216" s="76">
        <f>IF(T215&lt;0,C215,D215)</f>
        <v/>
      </c>
      <c r="D216" s="76">
        <f>(B216+C216)/2</f>
        <v/>
      </c>
      <c r="E216" s="76">
        <f>$B$180</f>
        <v/>
      </c>
      <c r="F216" s="76">
        <f>$B$180*EXP(-$D216*F$186)</f>
        <v/>
      </c>
      <c r="G216" s="76">
        <f>$B$180*EXP(-$D216*G$186)</f>
        <v/>
      </c>
      <c r="H216" s="76">
        <f>$B$180*EXP(-$D216*H$186)</f>
        <v/>
      </c>
      <c r="I216" s="76">
        <f>$B$180*EXP(-$D216*I$186)</f>
        <v/>
      </c>
      <c r="J216" s="76">
        <f>$B$180*EXP(-$D216*J$186)</f>
        <v/>
      </c>
      <c r="K216" s="76">
        <f>$B$180*EXP(-$D216*K$186)</f>
        <v/>
      </c>
      <c r="L216" s="76">
        <f>$B$180*EXP(-$D216*L$186)</f>
        <v/>
      </c>
      <c r="M216" s="76">
        <f>$B$180*EXP(-$D216*M$186)</f>
        <v/>
      </c>
      <c r="N216" s="76">
        <f>M216</f>
        <v/>
      </c>
      <c r="O216" s="76">
        <f>N216</f>
        <v/>
      </c>
      <c r="P216" s="76">
        <f>O216</f>
        <v/>
      </c>
      <c r="Q216" s="76">
        <f>P216</f>
        <v/>
      </c>
      <c r="R216" s="76">
        <f>SUMPRODUCT($F$185:$Q$185,$E216:$P216-$F216:$Q216)</f>
        <v/>
      </c>
      <c r="S216" s="76">
        <f>SUMPRODUCT($F$182:$Q$182,$F$184:$Q$184,$F216:$Q216)+0.5*SUMPRODUCT($F$182:$Q$182,$F$185:$Q$185,$E216:$P216-$F216:$Q216)</f>
        <v/>
      </c>
      <c r="T216" s="76">
        <f>(1-$F$179)*($D$180+R216)-$D$179*(($F$180+S216)-CDS_Parameters!$B$26)</f>
        <v/>
      </c>
    </row>
    <row r="217">
      <c r="B217" s="76">
        <f>IF(T216&lt;0,D216,B216)</f>
        <v/>
      </c>
      <c r="C217" s="76">
        <f>IF(T216&lt;0,C216,D216)</f>
        <v/>
      </c>
      <c r="D217" s="76">
        <f>(B217+C217)/2</f>
        <v/>
      </c>
      <c r="E217" s="76">
        <f>$B$180</f>
        <v/>
      </c>
      <c r="F217" s="76">
        <f>$B$180*EXP(-$D217*F$186)</f>
        <v/>
      </c>
      <c r="G217" s="76">
        <f>$B$180*EXP(-$D217*G$186)</f>
        <v/>
      </c>
      <c r="H217" s="76">
        <f>$B$180*EXP(-$D217*H$186)</f>
        <v/>
      </c>
      <c r="I217" s="76">
        <f>$B$180*EXP(-$D217*I$186)</f>
        <v/>
      </c>
      <c r="J217" s="76">
        <f>$B$180*EXP(-$D217*J$186)</f>
        <v/>
      </c>
      <c r="K217" s="76">
        <f>$B$180*EXP(-$D217*K$186)</f>
        <v/>
      </c>
      <c r="L217" s="76">
        <f>$B$180*EXP(-$D217*L$186)</f>
        <v/>
      </c>
      <c r="M217" s="76">
        <f>$B$180*EXP(-$D217*M$186)</f>
        <v/>
      </c>
      <c r="N217" s="76">
        <f>M217</f>
        <v/>
      </c>
      <c r="O217" s="76">
        <f>N217</f>
        <v/>
      </c>
      <c r="P217" s="76">
        <f>O217</f>
        <v/>
      </c>
      <c r="Q217" s="76">
        <f>P217</f>
        <v/>
      </c>
      <c r="R217" s="76">
        <f>SUMPRODUCT($F$185:$Q$185,$E217:$P217-$F217:$Q217)</f>
        <v/>
      </c>
      <c r="S217" s="76">
        <f>SUMPRODUCT($F$182:$Q$182,$F$184:$Q$184,$F217:$Q217)+0.5*SUMPRODUCT($F$182:$Q$182,$F$185:$Q$185,$E217:$P217-$F217:$Q217)</f>
        <v/>
      </c>
      <c r="T217" s="76">
        <f>(1-$F$179)*($D$180+R217)-$D$179*(($F$180+S217)-CDS_Parameters!$B$26)</f>
        <v/>
      </c>
    </row>
    <row r="218">
      <c r="A218" s="67" t="inlineStr">
        <is>
          <t>lambda5 SOLVED</t>
        </is>
      </c>
      <c r="B218" s="71">
        <f>D217</f>
        <v/>
      </c>
      <c r="C218" s="67" t="inlineStr">
        <is>
          <t>resid</t>
        </is>
      </c>
      <c r="D218" s="72">
        <f>T217</f>
        <v/>
      </c>
      <c r="E218" s="67" t="inlineStr">
        <is>
          <t>Q(T_k)</t>
        </is>
      </c>
      <c r="F218" s="76">
        <f>Q217</f>
        <v/>
      </c>
      <c r="G218" s="67" t="inlineStr">
        <is>
          <t>ProtCum</t>
        </is>
      </c>
      <c r="H218" s="76">
        <f>$D$180+R217</f>
        <v/>
      </c>
      <c r="I218" s="67" t="inlineStr">
        <is>
          <t>RPV01Cum</t>
        </is>
      </c>
      <c r="J218" s="76">
        <f>$F$180+S217</f>
        <v/>
      </c>
      <c r="K218" s="67" t="inlineStr">
        <is>
          <t>model S (bp)</t>
        </is>
      </c>
      <c r="L218" s="63">
        <f>IFERROR((1-$F$179)*H218/J218*10000,0)</f>
        <v/>
      </c>
    </row>
    <row r="221">
      <c r="A221" s="73" t="inlineStr">
        <is>
          <t>TENOR 10Y   —   periods 29-40   —   solve lambda6</t>
        </is>
      </c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74" t="n"/>
      <c r="N221" s="74" t="n"/>
      <c r="O221" s="74" t="n"/>
      <c r="P221" s="74" t="n"/>
      <c r="Q221" s="74" t="n"/>
      <c r="R221" s="74" t="n"/>
      <c r="S221" s="74" t="n"/>
      <c r="T221" s="74" t="n"/>
    </row>
    <row r="222">
      <c r="A222" s="67" t="inlineStr">
        <is>
          <t>market S (bp)</t>
        </is>
      </c>
      <c r="B222" s="75">
        <f>Hazard_Bootstrap!$C$12</f>
        <v/>
      </c>
      <c r="C222" s="67" t="inlineStr">
        <is>
          <t>S (dec)</t>
        </is>
      </c>
      <c r="D222" s="76">
        <f>B222/10000</f>
        <v/>
      </c>
      <c r="E222" s="67" t="inlineStr">
        <is>
          <t>recovery R</t>
        </is>
      </c>
      <c r="F222" s="77">
        <f>CDS_Parameters!$B$8</f>
        <v/>
      </c>
    </row>
    <row r="223">
      <c r="A223" s="67" t="inlineStr">
        <is>
          <t>Q(start)</t>
        </is>
      </c>
      <c r="B223" s="76">
        <f>$F$218</f>
        <v/>
      </c>
      <c r="C223" s="67" t="inlineStr">
        <is>
          <t>ProtFixed</t>
        </is>
      </c>
      <c r="D223" s="76">
        <f>$H$218</f>
        <v/>
      </c>
      <c r="E223" s="67" t="inlineStr">
        <is>
          <t>RPV01Fixed</t>
        </is>
      </c>
      <c r="F223" s="76">
        <f>$J$218</f>
        <v/>
      </c>
    </row>
    <row r="224">
      <c r="A224" s="67" t="inlineStr">
        <is>
          <t>period</t>
        </is>
      </c>
      <c r="F224" s="78" t="n">
        <v>29</v>
      </c>
      <c r="G224" s="78" t="n">
        <v>30</v>
      </c>
      <c r="H224" s="78" t="n">
        <v>31</v>
      </c>
      <c r="I224" s="78" t="n">
        <v>32</v>
      </c>
      <c r="J224" s="78" t="n">
        <v>33</v>
      </c>
      <c r="K224" s="78" t="n">
        <v>34</v>
      </c>
      <c r="L224" s="78" t="n">
        <v>35</v>
      </c>
      <c r="M224" s="78" t="n">
        <v>36</v>
      </c>
      <c r="N224" s="78" t="n">
        <v>37</v>
      </c>
      <c r="O224" s="78" t="n">
        <v>38</v>
      </c>
      <c r="P224" s="78" t="n">
        <v>39</v>
      </c>
      <c r="Q224" s="78" t="n">
        <v>40</v>
      </c>
    </row>
    <row r="225">
      <c r="A225" s="67" t="inlineStr">
        <is>
          <t>alpha 360</t>
        </is>
      </c>
      <c r="F225" s="79">
        <f>CDS_Schedule!$D$35</f>
        <v/>
      </c>
      <c r="G225" s="79">
        <f>CDS_Schedule!$D$36</f>
        <v/>
      </c>
      <c r="H225" s="79">
        <f>CDS_Schedule!$D$37</f>
        <v/>
      </c>
      <c r="I225" s="79">
        <f>CDS_Schedule!$D$38</f>
        <v/>
      </c>
      <c r="J225" s="79">
        <f>CDS_Schedule!$D$39</f>
        <v/>
      </c>
      <c r="K225" s="79">
        <f>CDS_Schedule!$D$40</f>
        <v/>
      </c>
      <c r="L225" s="79">
        <f>CDS_Schedule!$D$41</f>
        <v/>
      </c>
      <c r="M225" s="79">
        <f>CDS_Schedule!$D$42</f>
        <v/>
      </c>
      <c r="N225" s="79">
        <f>CDS_Schedule!$D$43</f>
        <v/>
      </c>
      <c r="O225" s="79">
        <f>CDS_Schedule!$D$44</f>
        <v/>
      </c>
      <c r="P225" s="79">
        <f>CDS_Schedule!$D$45</f>
        <v/>
      </c>
      <c r="Q225" s="79">
        <f>CDS_Schedule!$D$46</f>
        <v/>
      </c>
    </row>
    <row r="226">
      <c r="A226" s="67" t="inlineStr">
        <is>
          <t>dt 365</t>
        </is>
      </c>
      <c r="F226" s="79">
        <f>CDS_Schedule!$E$35</f>
        <v/>
      </c>
      <c r="G226" s="79">
        <f>CDS_Schedule!$E$36</f>
        <v/>
      </c>
      <c r="H226" s="79">
        <f>CDS_Schedule!$E$37</f>
        <v/>
      </c>
      <c r="I226" s="79">
        <f>CDS_Schedule!$E$38</f>
        <v/>
      </c>
      <c r="J226" s="79">
        <f>CDS_Schedule!$E$39</f>
        <v/>
      </c>
      <c r="K226" s="79">
        <f>CDS_Schedule!$E$40</f>
        <v/>
      </c>
      <c r="L226" s="79">
        <f>CDS_Schedule!$E$41</f>
        <v/>
      </c>
      <c r="M226" s="79">
        <f>CDS_Schedule!$E$42</f>
        <v/>
      </c>
      <c r="N226" s="79">
        <f>CDS_Schedule!$E$43</f>
        <v/>
      </c>
      <c r="O226" s="79">
        <f>CDS_Schedule!$E$44</f>
        <v/>
      </c>
      <c r="P226" s="79">
        <f>CDS_Schedule!$E$45</f>
        <v/>
      </c>
      <c r="Q226" s="79">
        <f>CDS_Schedule!$E$46</f>
        <v/>
      </c>
    </row>
    <row r="227">
      <c r="A227" s="67" t="inlineStr">
        <is>
          <t>DF(end)</t>
        </is>
      </c>
      <c r="F227" s="79">
        <f>CDS_Schedule!$G$35</f>
        <v/>
      </c>
      <c r="G227" s="79">
        <f>CDS_Schedule!$G$36</f>
        <v/>
      </c>
      <c r="H227" s="79">
        <f>CDS_Schedule!$G$37</f>
        <v/>
      </c>
      <c r="I227" s="79">
        <f>CDS_Schedule!$G$38</f>
        <v/>
      </c>
      <c r="J227" s="79">
        <f>CDS_Schedule!$G$39</f>
        <v/>
      </c>
      <c r="K227" s="79">
        <f>CDS_Schedule!$G$40</f>
        <v/>
      </c>
      <c r="L227" s="79">
        <f>CDS_Schedule!$G$41</f>
        <v/>
      </c>
      <c r="M227" s="79">
        <f>CDS_Schedule!$G$42</f>
        <v/>
      </c>
      <c r="N227" s="79">
        <f>CDS_Schedule!$G$43</f>
        <v/>
      </c>
      <c r="O227" s="79">
        <f>CDS_Schedule!$G$44</f>
        <v/>
      </c>
      <c r="P227" s="79">
        <f>CDS_Schedule!$G$45</f>
        <v/>
      </c>
      <c r="Q227" s="79">
        <f>CDS_Schedule!$G$46</f>
        <v/>
      </c>
    </row>
    <row r="228">
      <c r="A228" s="67" t="inlineStr">
        <is>
          <t>DF(mid)</t>
        </is>
      </c>
      <c r="F228" s="79">
        <f>CDS_Schedule!$H$35</f>
        <v/>
      </c>
      <c r="G228" s="79">
        <f>CDS_Schedule!$H$36</f>
        <v/>
      </c>
      <c r="H228" s="79">
        <f>CDS_Schedule!$H$37</f>
        <v/>
      </c>
      <c r="I228" s="79">
        <f>CDS_Schedule!$H$38</f>
        <v/>
      </c>
      <c r="J228" s="79">
        <f>CDS_Schedule!$H$39</f>
        <v/>
      </c>
      <c r="K228" s="79">
        <f>CDS_Schedule!$H$40</f>
        <v/>
      </c>
      <c r="L228" s="79">
        <f>CDS_Schedule!$H$41</f>
        <v/>
      </c>
      <c r="M228" s="79">
        <f>CDS_Schedule!$H$42</f>
        <v/>
      </c>
      <c r="N228" s="79">
        <f>CDS_Schedule!$H$43</f>
        <v/>
      </c>
      <c r="O228" s="79">
        <f>CDS_Schedule!$H$44</f>
        <v/>
      </c>
      <c r="P228" s="79">
        <f>CDS_Schedule!$H$45</f>
        <v/>
      </c>
      <c r="Q228" s="79">
        <f>CDS_Schedule!$H$46</f>
        <v/>
      </c>
    </row>
    <row r="229">
      <c r="A229" s="67" t="inlineStr">
        <is>
          <t>cum dt in seg</t>
        </is>
      </c>
      <c r="F229" s="80">
        <f>0+F226</f>
        <v/>
      </c>
      <c r="G229" s="80">
        <f>F229+G226</f>
        <v/>
      </c>
      <c r="H229" s="80">
        <f>G229+H226</f>
        <v/>
      </c>
      <c r="I229" s="80">
        <f>H229+I226</f>
        <v/>
      </c>
      <c r="J229" s="80">
        <f>I229+J226</f>
        <v/>
      </c>
      <c r="K229" s="80">
        <f>J229+K226</f>
        <v/>
      </c>
      <c r="L229" s="80">
        <f>K229+L226</f>
        <v/>
      </c>
      <c r="M229" s="80">
        <f>L229+M226</f>
        <v/>
      </c>
      <c r="N229" s="80">
        <f>M229+N226</f>
        <v/>
      </c>
      <c r="O229" s="80">
        <f>N229+O226</f>
        <v/>
      </c>
      <c r="P229" s="80">
        <f>O229+P226</f>
        <v/>
      </c>
      <c r="Q229" s="80">
        <f>P229+Q226</f>
        <v/>
      </c>
    </row>
    <row r="230">
      <c r="A230" s="67" t="inlineStr">
        <is>
          <t>bisection</t>
        </is>
      </c>
      <c r="B230" s="62" t="inlineStr">
        <is>
          <t>lo</t>
        </is>
      </c>
      <c r="C230" s="62" t="inlineStr">
        <is>
          <t>hi</t>
        </is>
      </c>
      <c r="D230" s="62" t="inlineStr">
        <is>
          <t>lambda trial</t>
        </is>
      </c>
      <c r="E230" s="62" t="inlineStr">
        <is>
          <t>Q(start)</t>
        </is>
      </c>
      <c r="R230" s="62" t="inlineStr">
        <is>
          <t>ProtSeg</t>
        </is>
      </c>
      <c r="S230" s="62" t="inlineStr">
        <is>
          <t>RPV01Seg</t>
        </is>
      </c>
      <c r="T230" s="62" t="inlineStr">
        <is>
          <t>f(lambda)</t>
        </is>
      </c>
    </row>
    <row r="231">
      <c r="B231" s="76" t="n">
        <v>0</v>
      </c>
      <c r="C231" s="76" t="n">
        <v>3</v>
      </c>
      <c r="D231" s="76">
        <f>(B231+C231)/2</f>
        <v/>
      </c>
      <c r="E231" s="76">
        <f>$B$223</f>
        <v/>
      </c>
      <c r="F231" s="76">
        <f>$B$223*EXP(-$D231*F$229)</f>
        <v/>
      </c>
      <c r="G231" s="76">
        <f>$B$223*EXP(-$D231*G$229)</f>
        <v/>
      </c>
      <c r="H231" s="76">
        <f>$B$223*EXP(-$D231*H$229)</f>
        <v/>
      </c>
      <c r="I231" s="76">
        <f>$B$223*EXP(-$D231*I$229)</f>
        <v/>
      </c>
      <c r="J231" s="76">
        <f>$B$223*EXP(-$D231*J$229)</f>
        <v/>
      </c>
      <c r="K231" s="76">
        <f>$B$223*EXP(-$D231*K$229)</f>
        <v/>
      </c>
      <c r="L231" s="76">
        <f>$B$223*EXP(-$D231*L$229)</f>
        <v/>
      </c>
      <c r="M231" s="76">
        <f>$B$223*EXP(-$D231*M$229)</f>
        <v/>
      </c>
      <c r="N231" s="76">
        <f>$B$223*EXP(-$D231*N$229)</f>
        <v/>
      </c>
      <c r="O231" s="76">
        <f>$B$223*EXP(-$D231*O$229)</f>
        <v/>
      </c>
      <c r="P231" s="76">
        <f>$B$223*EXP(-$D231*P$229)</f>
        <v/>
      </c>
      <c r="Q231" s="76">
        <f>$B$223*EXP(-$D231*Q$229)</f>
        <v/>
      </c>
      <c r="R231" s="76">
        <f>SUMPRODUCT($F$228:$Q$228,$E231:$P231-$F231:$Q231)</f>
        <v/>
      </c>
      <c r="S231" s="76">
        <f>SUMPRODUCT($F$225:$Q$225,$F$227:$Q$227,$F231:$Q231)+0.5*SUMPRODUCT($F$225:$Q$225,$F$228:$Q$228,$E231:$P231-$F231:$Q231)</f>
        <v/>
      </c>
      <c r="T231" s="76">
        <f>(1-$F$222)*($D$223+R231)-$D$222*(($F$223+S231)-CDS_Parameters!$B$26)</f>
        <v/>
      </c>
    </row>
    <row r="232">
      <c r="B232" s="76">
        <f>IF(T231&lt;0,D231,B231)</f>
        <v/>
      </c>
      <c r="C232" s="76">
        <f>IF(T231&lt;0,C231,D231)</f>
        <v/>
      </c>
      <c r="D232" s="76">
        <f>(B232+C232)/2</f>
        <v/>
      </c>
      <c r="E232" s="76">
        <f>$B$223</f>
        <v/>
      </c>
      <c r="F232" s="76">
        <f>$B$223*EXP(-$D232*F$229)</f>
        <v/>
      </c>
      <c r="G232" s="76">
        <f>$B$223*EXP(-$D232*G$229)</f>
        <v/>
      </c>
      <c r="H232" s="76">
        <f>$B$223*EXP(-$D232*H$229)</f>
        <v/>
      </c>
      <c r="I232" s="76">
        <f>$B$223*EXP(-$D232*I$229)</f>
        <v/>
      </c>
      <c r="J232" s="76">
        <f>$B$223*EXP(-$D232*J$229)</f>
        <v/>
      </c>
      <c r="K232" s="76">
        <f>$B$223*EXP(-$D232*K$229)</f>
        <v/>
      </c>
      <c r="L232" s="76">
        <f>$B$223*EXP(-$D232*L$229)</f>
        <v/>
      </c>
      <c r="M232" s="76">
        <f>$B$223*EXP(-$D232*M$229)</f>
        <v/>
      </c>
      <c r="N232" s="76">
        <f>$B$223*EXP(-$D232*N$229)</f>
        <v/>
      </c>
      <c r="O232" s="76">
        <f>$B$223*EXP(-$D232*O$229)</f>
        <v/>
      </c>
      <c r="P232" s="76">
        <f>$B$223*EXP(-$D232*P$229)</f>
        <v/>
      </c>
      <c r="Q232" s="76">
        <f>$B$223*EXP(-$D232*Q$229)</f>
        <v/>
      </c>
      <c r="R232" s="76">
        <f>SUMPRODUCT($F$228:$Q$228,$E232:$P232-$F232:$Q232)</f>
        <v/>
      </c>
      <c r="S232" s="76">
        <f>SUMPRODUCT($F$225:$Q$225,$F$227:$Q$227,$F232:$Q232)+0.5*SUMPRODUCT($F$225:$Q$225,$F$228:$Q$228,$E232:$P232-$F232:$Q232)</f>
        <v/>
      </c>
      <c r="T232" s="76">
        <f>(1-$F$222)*($D$223+R232)-$D$222*(($F$223+S232)-CDS_Parameters!$B$26)</f>
        <v/>
      </c>
    </row>
    <row r="233">
      <c r="B233" s="76">
        <f>IF(T232&lt;0,D232,B232)</f>
        <v/>
      </c>
      <c r="C233" s="76">
        <f>IF(T232&lt;0,C232,D232)</f>
        <v/>
      </c>
      <c r="D233" s="76">
        <f>(B233+C233)/2</f>
        <v/>
      </c>
      <c r="E233" s="76">
        <f>$B$223</f>
        <v/>
      </c>
      <c r="F233" s="76">
        <f>$B$223*EXP(-$D233*F$229)</f>
        <v/>
      </c>
      <c r="G233" s="76">
        <f>$B$223*EXP(-$D233*G$229)</f>
        <v/>
      </c>
      <c r="H233" s="76">
        <f>$B$223*EXP(-$D233*H$229)</f>
        <v/>
      </c>
      <c r="I233" s="76">
        <f>$B$223*EXP(-$D233*I$229)</f>
        <v/>
      </c>
      <c r="J233" s="76">
        <f>$B$223*EXP(-$D233*J$229)</f>
        <v/>
      </c>
      <c r="K233" s="76">
        <f>$B$223*EXP(-$D233*K$229)</f>
        <v/>
      </c>
      <c r="L233" s="76">
        <f>$B$223*EXP(-$D233*L$229)</f>
        <v/>
      </c>
      <c r="M233" s="76">
        <f>$B$223*EXP(-$D233*M$229)</f>
        <v/>
      </c>
      <c r="N233" s="76">
        <f>$B$223*EXP(-$D233*N$229)</f>
        <v/>
      </c>
      <c r="O233" s="76">
        <f>$B$223*EXP(-$D233*O$229)</f>
        <v/>
      </c>
      <c r="P233" s="76">
        <f>$B$223*EXP(-$D233*P$229)</f>
        <v/>
      </c>
      <c r="Q233" s="76">
        <f>$B$223*EXP(-$D233*Q$229)</f>
        <v/>
      </c>
      <c r="R233" s="76">
        <f>SUMPRODUCT($F$228:$Q$228,$E233:$P233-$F233:$Q233)</f>
        <v/>
      </c>
      <c r="S233" s="76">
        <f>SUMPRODUCT($F$225:$Q$225,$F$227:$Q$227,$F233:$Q233)+0.5*SUMPRODUCT($F$225:$Q$225,$F$228:$Q$228,$E233:$P233-$F233:$Q233)</f>
        <v/>
      </c>
      <c r="T233" s="76">
        <f>(1-$F$222)*($D$223+R233)-$D$222*(($F$223+S233)-CDS_Parameters!$B$26)</f>
        <v/>
      </c>
    </row>
    <row r="234">
      <c r="B234" s="76">
        <f>IF(T233&lt;0,D233,B233)</f>
        <v/>
      </c>
      <c r="C234" s="76">
        <f>IF(T233&lt;0,C233,D233)</f>
        <v/>
      </c>
      <c r="D234" s="76">
        <f>(B234+C234)/2</f>
        <v/>
      </c>
      <c r="E234" s="76">
        <f>$B$223</f>
        <v/>
      </c>
      <c r="F234" s="76">
        <f>$B$223*EXP(-$D234*F$229)</f>
        <v/>
      </c>
      <c r="G234" s="76">
        <f>$B$223*EXP(-$D234*G$229)</f>
        <v/>
      </c>
      <c r="H234" s="76">
        <f>$B$223*EXP(-$D234*H$229)</f>
        <v/>
      </c>
      <c r="I234" s="76">
        <f>$B$223*EXP(-$D234*I$229)</f>
        <v/>
      </c>
      <c r="J234" s="76">
        <f>$B$223*EXP(-$D234*J$229)</f>
        <v/>
      </c>
      <c r="K234" s="76">
        <f>$B$223*EXP(-$D234*K$229)</f>
        <v/>
      </c>
      <c r="L234" s="76">
        <f>$B$223*EXP(-$D234*L$229)</f>
        <v/>
      </c>
      <c r="M234" s="76">
        <f>$B$223*EXP(-$D234*M$229)</f>
        <v/>
      </c>
      <c r="N234" s="76">
        <f>$B$223*EXP(-$D234*N$229)</f>
        <v/>
      </c>
      <c r="O234" s="76">
        <f>$B$223*EXP(-$D234*O$229)</f>
        <v/>
      </c>
      <c r="P234" s="76">
        <f>$B$223*EXP(-$D234*P$229)</f>
        <v/>
      </c>
      <c r="Q234" s="76">
        <f>$B$223*EXP(-$D234*Q$229)</f>
        <v/>
      </c>
      <c r="R234" s="76">
        <f>SUMPRODUCT($F$228:$Q$228,$E234:$P234-$F234:$Q234)</f>
        <v/>
      </c>
      <c r="S234" s="76">
        <f>SUMPRODUCT($F$225:$Q$225,$F$227:$Q$227,$F234:$Q234)+0.5*SUMPRODUCT($F$225:$Q$225,$F$228:$Q$228,$E234:$P234-$F234:$Q234)</f>
        <v/>
      </c>
      <c r="T234" s="76">
        <f>(1-$F$222)*($D$223+R234)-$D$222*(($F$223+S234)-CDS_Parameters!$B$26)</f>
        <v/>
      </c>
    </row>
    <row r="235">
      <c r="B235" s="76">
        <f>IF(T234&lt;0,D234,B234)</f>
        <v/>
      </c>
      <c r="C235" s="76">
        <f>IF(T234&lt;0,C234,D234)</f>
        <v/>
      </c>
      <c r="D235" s="76">
        <f>(B235+C235)/2</f>
        <v/>
      </c>
      <c r="E235" s="76">
        <f>$B$223</f>
        <v/>
      </c>
      <c r="F235" s="76">
        <f>$B$223*EXP(-$D235*F$229)</f>
        <v/>
      </c>
      <c r="G235" s="76">
        <f>$B$223*EXP(-$D235*G$229)</f>
        <v/>
      </c>
      <c r="H235" s="76">
        <f>$B$223*EXP(-$D235*H$229)</f>
        <v/>
      </c>
      <c r="I235" s="76">
        <f>$B$223*EXP(-$D235*I$229)</f>
        <v/>
      </c>
      <c r="J235" s="76">
        <f>$B$223*EXP(-$D235*J$229)</f>
        <v/>
      </c>
      <c r="K235" s="76">
        <f>$B$223*EXP(-$D235*K$229)</f>
        <v/>
      </c>
      <c r="L235" s="76">
        <f>$B$223*EXP(-$D235*L$229)</f>
        <v/>
      </c>
      <c r="M235" s="76">
        <f>$B$223*EXP(-$D235*M$229)</f>
        <v/>
      </c>
      <c r="N235" s="76">
        <f>$B$223*EXP(-$D235*N$229)</f>
        <v/>
      </c>
      <c r="O235" s="76">
        <f>$B$223*EXP(-$D235*O$229)</f>
        <v/>
      </c>
      <c r="P235" s="76">
        <f>$B$223*EXP(-$D235*P$229)</f>
        <v/>
      </c>
      <c r="Q235" s="76">
        <f>$B$223*EXP(-$D235*Q$229)</f>
        <v/>
      </c>
      <c r="R235" s="76">
        <f>SUMPRODUCT($F$228:$Q$228,$E235:$P235-$F235:$Q235)</f>
        <v/>
      </c>
      <c r="S235" s="76">
        <f>SUMPRODUCT($F$225:$Q$225,$F$227:$Q$227,$F235:$Q235)+0.5*SUMPRODUCT($F$225:$Q$225,$F$228:$Q$228,$E235:$P235-$F235:$Q235)</f>
        <v/>
      </c>
      <c r="T235" s="76">
        <f>(1-$F$222)*($D$223+R235)-$D$222*(($F$223+S235)-CDS_Parameters!$B$26)</f>
        <v/>
      </c>
    </row>
    <row r="236">
      <c r="B236" s="76">
        <f>IF(T235&lt;0,D235,B235)</f>
        <v/>
      </c>
      <c r="C236" s="76">
        <f>IF(T235&lt;0,C235,D235)</f>
        <v/>
      </c>
      <c r="D236" s="76">
        <f>(B236+C236)/2</f>
        <v/>
      </c>
      <c r="E236" s="76">
        <f>$B$223</f>
        <v/>
      </c>
      <c r="F236" s="76">
        <f>$B$223*EXP(-$D236*F$229)</f>
        <v/>
      </c>
      <c r="G236" s="76">
        <f>$B$223*EXP(-$D236*G$229)</f>
        <v/>
      </c>
      <c r="H236" s="76">
        <f>$B$223*EXP(-$D236*H$229)</f>
        <v/>
      </c>
      <c r="I236" s="76">
        <f>$B$223*EXP(-$D236*I$229)</f>
        <v/>
      </c>
      <c r="J236" s="76">
        <f>$B$223*EXP(-$D236*J$229)</f>
        <v/>
      </c>
      <c r="K236" s="76">
        <f>$B$223*EXP(-$D236*K$229)</f>
        <v/>
      </c>
      <c r="L236" s="76">
        <f>$B$223*EXP(-$D236*L$229)</f>
        <v/>
      </c>
      <c r="M236" s="76">
        <f>$B$223*EXP(-$D236*M$229)</f>
        <v/>
      </c>
      <c r="N236" s="76">
        <f>$B$223*EXP(-$D236*N$229)</f>
        <v/>
      </c>
      <c r="O236" s="76">
        <f>$B$223*EXP(-$D236*O$229)</f>
        <v/>
      </c>
      <c r="P236" s="76">
        <f>$B$223*EXP(-$D236*P$229)</f>
        <v/>
      </c>
      <c r="Q236" s="76">
        <f>$B$223*EXP(-$D236*Q$229)</f>
        <v/>
      </c>
      <c r="R236" s="76">
        <f>SUMPRODUCT($F$228:$Q$228,$E236:$P236-$F236:$Q236)</f>
        <v/>
      </c>
      <c r="S236" s="76">
        <f>SUMPRODUCT($F$225:$Q$225,$F$227:$Q$227,$F236:$Q236)+0.5*SUMPRODUCT($F$225:$Q$225,$F$228:$Q$228,$E236:$P236-$F236:$Q236)</f>
        <v/>
      </c>
      <c r="T236" s="76">
        <f>(1-$F$222)*($D$223+R236)-$D$222*(($F$223+S236)-CDS_Parameters!$B$26)</f>
        <v/>
      </c>
    </row>
    <row r="237">
      <c r="B237" s="76">
        <f>IF(T236&lt;0,D236,B236)</f>
        <v/>
      </c>
      <c r="C237" s="76">
        <f>IF(T236&lt;0,C236,D236)</f>
        <v/>
      </c>
      <c r="D237" s="76">
        <f>(B237+C237)/2</f>
        <v/>
      </c>
      <c r="E237" s="76">
        <f>$B$223</f>
        <v/>
      </c>
      <c r="F237" s="76">
        <f>$B$223*EXP(-$D237*F$229)</f>
        <v/>
      </c>
      <c r="G237" s="76">
        <f>$B$223*EXP(-$D237*G$229)</f>
        <v/>
      </c>
      <c r="H237" s="76">
        <f>$B$223*EXP(-$D237*H$229)</f>
        <v/>
      </c>
      <c r="I237" s="76">
        <f>$B$223*EXP(-$D237*I$229)</f>
        <v/>
      </c>
      <c r="J237" s="76">
        <f>$B$223*EXP(-$D237*J$229)</f>
        <v/>
      </c>
      <c r="K237" s="76">
        <f>$B$223*EXP(-$D237*K$229)</f>
        <v/>
      </c>
      <c r="L237" s="76">
        <f>$B$223*EXP(-$D237*L$229)</f>
        <v/>
      </c>
      <c r="M237" s="76">
        <f>$B$223*EXP(-$D237*M$229)</f>
        <v/>
      </c>
      <c r="N237" s="76">
        <f>$B$223*EXP(-$D237*N$229)</f>
        <v/>
      </c>
      <c r="O237" s="76">
        <f>$B$223*EXP(-$D237*O$229)</f>
        <v/>
      </c>
      <c r="P237" s="76">
        <f>$B$223*EXP(-$D237*P$229)</f>
        <v/>
      </c>
      <c r="Q237" s="76">
        <f>$B$223*EXP(-$D237*Q$229)</f>
        <v/>
      </c>
      <c r="R237" s="76">
        <f>SUMPRODUCT($F$228:$Q$228,$E237:$P237-$F237:$Q237)</f>
        <v/>
      </c>
      <c r="S237" s="76">
        <f>SUMPRODUCT($F$225:$Q$225,$F$227:$Q$227,$F237:$Q237)+0.5*SUMPRODUCT($F$225:$Q$225,$F$228:$Q$228,$E237:$P237-$F237:$Q237)</f>
        <v/>
      </c>
      <c r="T237" s="76">
        <f>(1-$F$222)*($D$223+R237)-$D$222*(($F$223+S237)-CDS_Parameters!$B$26)</f>
        <v/>
      </c>
    </row>
    <row r="238">
      <c r="B238" s="76">
        <f>IF(T237&lt;0,D237,B237)</f>
        <v/>
      </c>
      <c r="C238" s="76">
        <f>IF(T237&lt;0,C237,D237)</f>
        <v/>
      </c>
      <c r="D238" s="76">
        <f>(B238+C238)/2</f>
        <v/>
      </c>
      <c r="E238" s="76">
        <f>$B$223</f>
        <v/>
      </c>
      <c r="F238" s="76">
        <f>$B$223*EXP(-$D238*F$229)</f>
        <v/>
      </c>
      <c r="G238" s="76">
        <f>$B$223*EXP(-$D238*G$229)</f>
        <v/>
      </c>
      <c r="H238" s="76">
        <f>$B$223*EXP(-$D238*H$229)</f>
        <v/>
      </c>
      <c r="I238" s="76">
        <f>$B$223*EXP(-$D238*I$229)</f>
        <v/>
      </c>
      <c r="J238" s="76">
        <f>$B$223*EXP(-$D238*J$229)</f>
        <v/>
      </c>
      <c r="K238" s="76">
        <f>$B$223*EXP(-$D238*K$229)</f>
        <v/>
      </c>
      <c r="L238" s="76">
        <f>$B$223*EXP(-$D238*L$229)</f>
        <v/>
      </c>
      <c r="M238" s="76">
        <f>$B$223*EXP(-$D238*M$229)</f>
        <v/>
      </c>
      <c r="N238" s="76">
        <f>$B$223*EXP(-$D238*N$229)</f>
        <v/>
      </c>
      <c r="O238" s="76">
        <f>$B$223*EXP(-$D238*O$229)</f>
        <v/>
      </c>
      <c r="P238" s="76">
        <f>$B$223*EXP(-$D238*P$229)</f>
        <v/>
      </c>
      <c r="Q238" s="76">
        <f>$B$223*EXP(-$D238*Q$229)</f>
        <v/>
      </c>
      <c r="R238" s="76">
        <f>SUMPRODUCT($F$228:$Q$228,$E238:$P238-$F238:$Q238)</f>
        <v/>
      </c>
      <c r="S238" s="76">
        <f>SUMPRODUCT($F$225:$Q$225,$F$227:$Q$227,$F238:$Q238)+0.5*SUMPRODUCT($F$225:$Q$225,$F$228:$Q$228,$E238:$P238-$F238:$Q238)</f>
        <v/>
      </c>
      <c r="T238" s="76">
        <f>(1-$F$222)*($D$223+R238)-$D$222*(($F$223+S238)-CDS_Parameters!$B$26)</f>
        <v/>
      </c>
    </row>
    <row r="239">
      <c r="B239" s="76">
        <f>IF(T238&lt;0,D238,B238)</f>
        <v/>
      </c>
      <c r="C239" s="76">
        <f>IF(T238&lt;0,C238,D238)</f>
        <v/>
      </c>
      <c r="D239" s="76">
        <f>(B239+C239)/2</f>
        <v/>
      </c>
      <c r="E239" s="76">
        <f>$B$223</f>
        <v/>
      </c>
      <c r="F239" s="76">
        <f>$B$223*EXP(-$D239*F$229)</f>
        <v/>
      </c>
      <c r="G239" s="76">
        <f>$B$223*EXP(-$D239*G$229)</f>
        <v/>
      </c>
      <c r="H239" s="76">
        <f>$B$223*EXP(-$D239*H$229)</f>
        <v/>
      </c>
      <c r="I239" s="76">
        <f>$B$223*EXP(-$D239*I$229)</f>
        <v/>
      </c>
      <c r="J239" s="76">
        <f>$B$223*EXP(-$D239*J$229)</f>
        <v/>
      </c>
      <c r="K239" s="76">
        <f>$B$223*EXP(-$D239*K$229)</f>
        <v/>
      </c>
      <c r="L239" s="76">
        <f>$B$223*EXP(-$D239*L$229)</f>
        <v/>
      </c>
      <c r="M239" s="76">
        <f>$B$223*EXP(-$D239*M$229)</f>
        <v/>
      </c>
      <c r="N239" s="76">
        <f>$B$223*EXP(-$D239*N$229)</f>
        <v/>
      </c>
      <c r="O239" s="76">
        <f>$B$223*EXP(-$D239*O$229)</f>
        <v/>
      </c>
      <c r="P239" s="76">
        <f>$B$223*EXP(-$D239*P$229)</f>
        <v/>
      </c>
      <c r="Q239" s="76">
        <f>$B$223*EXP(-$D239*Q$229)</f>
        <v/>
      </c>
      <c r="R239" s="76">
        <f>SUMPRODUCT($F$228:$Q$228,$E239:$P239-$F239:$Q239)</f>
        <v/>
      </c>
      <c r="S239" s="76">
        <f>SUMPRODUCT($F$225:$Q$225,$F$227:$Q$227,$F239:$Q239)+0.5*SUMPRODUCT($F$225:$Q$225,$F$228:$Q$228,$E239:$P239-$F239:$Q239)</f>
        <v/>
      </c>
      <c r="T239" s="76">
        <f>(1-$F$222)*($D$223+R239)-$D$222*(($F$223+S239)-CDS_Parameters!$B$26)</f>
        <v/>
      </c>
    </row>
    <row r="240">
      <c r="B240" s="76">
        <f>IF(T239&lt;0,D239,B239)</f>
        <v/>
      </c>
      <c r="C240" s="76">
        <f>IF(T239&lt;0,C239,D239)</f>
        <v/>
      </c>
      <c r="D240" s="76">
        <f>(B240+C240)/2</f>
        <v/>
      </c>
      <c r="E240" s="76">
        <f>$B$223</f>
        <v/>
      </c>
      <c r="F240" s="76">
        <f>$B$223*EXP(-$D240*F$229)</f>
        <v/>
      </c>
      <c r="G240" s="76">
        <f>$B$223*EXP(-$D240*G$229)</f>
        <v/>
      </c>
      <c r="H240" s="76">
        <f>$B$223*EXP(-$D240*H$229)</f>
        <v/>
      </c>
      <c r="I240" s="76">
        <f>$B$223*EXP(-$D240*I$229)</f>
        <v/>
      </c>
      <c r="J240" s="76">
        <f>$B$223*EXP(-$D240*J$229)</f>
        <v/>
      </c>
      <c r="K240" s="76">
        <f>$B$223*EXP(-$D240*K$229)</f>
        <v/>
      </c>
      <c r="L240" s="76">
        <f>$B$223*EXP(-$D240*L$229)</f>
        <v/>
      </c>
      <c r="M240" s="76">
        <f>$B$223*EXP(-$D240*M$229)</f>
        <v/>
      </c>
      <c r="N240" s="76">
        <f>$B$223*EXP(-$D240*N$229)</f>
        <v/>
      </c>
      <c r="O240" s="76">
        <f>$B$223*EXP(-$D240*O$229)</f>
        <v/>
      </c>
      <c r="P240" s="76">
        <f>$B$223*EXP(-$D240*P$229)</f>
        <v/>
      </c>
      <c r="Q240" s="76">
        <f>$B$223*EXP(-$D240*Q$229)</f>
        <v/>
      </c>
      <c r="R240" s="76">
        <f>SUMPRODUCT($F$228:$Q$228,$E240:$P240-$F240:$Q240)</f>
        <v/>
      </c>
      <c r="S240" s="76">
        <f>SUMPRODUCT($F$225:$Q$225,$F$227:$Q$227,$F240:$Q240)+0.5*SUMPRODUCT($F$225:$Q$225,$F$228:$Q$228,$E240:$P240-$F240:$Q240)</f>
        <v/>
      </c>
      <c r="T240" s="76">
        <f>(1-$F$222)*($D$223+R240)-$D$222*(($F$223+S240)-CDS_Parameters!$B$26)</f>
        <v/>
      </c>
    </row>
    <row r="241">
      <c r="B241" s="76">
        <f>IF(T240&lt;0,D240,B240)</f>
        <v/>
      </c>
      <c r="C241" s="76">
        <f>IF(T240&lt;0,C240,D240)</f>
        <v/>
      </c>
      <c r="D241" s="76">
        <f>(B241+C241)/2</f>
        <v/>
      </c>
      <c r="E241" s="76">
        <f>$B$223</f>
        <v/>
      </c>
      <c r="F241" s="76">
        <f>$B$223*EXP(-$D241*F$229)</f>
        <v/>
      </c>
      <c r="G241" s="76">
        <f>$B$223*EXP(-$D241*G$229)</f>
        <v/>
      </c>
      <c r="H241" s="76">
        <f>$B$223*EXP(-$D241*H$229)</f>
        <v/>
      </c>
      <c r="I241" s="76">
        <f>$B$223*EXP(-$D241*I$229)</f>
        <v/>
      </c>
      <c r="J241" s="76">
        <f>$B$223*EXP(-$D241*J$229)</f>
        <v/>
      </c>
      <c r="K241" s="76">
        <f>$B$223*EXP(-$D241*K$229)</f>
        <v/>
      </c>
      <c r="L241" s="76">
        <f>$B$223*EXP(-$D241*L$229)</f>
        <v/>
      </c>
      <c r="M241" s="76">
        <f>$B$223*EXP(-$D241*M$229)</f>
        <v/>
      </c>
      <c r="N241" s="76">
        <f>$B$223*EXP(-$D241*N$229)</f>
        <v/>
      </c>
      <c r="O241" s="76">
        <f>$B$223*EXP(-$D241*O$229)</f>
        <v/>
      </c>
      <c r="P241" s="76">
        <f>$B$223*EXP(-$D241*P$229)</f>
        <v/>
      </c>
      <c r="Q241" s="76">
        <f>$B$223*EXP(-$D241*Q$229)</f>
        <v/>
      </c>
      <c r="R241" s="76">
        <f>SUMPRODUCT($F$228:$Q$228,$E241:$P241-$F241:$Q241)</f>
        <v/>
      </c>
      <c r="S241" s="76">
        <f>SUMPRODUCT($F$225:$Q$225,$F$227:$Q$227,$F241:$Q241)+0.5*SUMPRODUCT($F$225:$Q$225,$F$228:$Q$228,$E241:$P241-$F241:$Q241)</f>
        <v/>
      </c>
      <c r="T241" s="76">
        <f>(1-$F$222)*($D$223+R241)-$D$222*(($F$223+S241)-CDS_Parameters!$B$26)</f>
        <v/>
      </c>
    </row>
    <row r="242">
      <c r="B242" s="76">
        <f>IF(T241&lt;0,D241,B241)</f>
        <v/>
      </c>
      <c r="C242" s="76">
        <f>IF(T241&lt;0,C241,D241)</f>
        <v/>
      </c>
      <c r="D242" s="76">
        <f>(B242+C242)/2</f>
        <v/>
      </c>
      <c r="E242" s="76">
        <f>$B$223</f>
        <v/>
      </c>
      <c r="F242" s="76">
        <f>$B$223*EXP(-$D242*F$229)</f>
        <v/>
      </c>
      <c r="G242" s="76">
        <f>$B$223*EXP(-$D242*G$229)</f>
        <v/>
      </c>
      <c r="H242" s="76">
        <f>$B$223*EXP(-$D242*H$229)</f>
        <v/>
      </c>
      <c r="I242" s="76">
        <f>$B$223*EXP(-$D242*I$229)</f>
        <v/>
      </c>
      <c r="J242" s="76">
        <f>$B$223*EXP(-$D242*J$229)</f>
        <v/>
      </c>
      <c r="K242" s="76">
        <f>$B$223*EXP(-$D242*K$229)</f>
        <v/>
      </c>
      <c r="L242" s="76">
        <f>$B$223*EXP(-$D242*L$229)</f>
        <v/>
      </c>
      <c r="M242" s="76">
        <f>$B$223*EXP(-$D242*M$229)</f>
        <v/>
      </c>
      <c r="N242" s="76">
        <f>$B$223*EXP(-$D242*N$229)</f>
        <v/>
      </c>
      <c r="O242" s="76">
        <f>$B$223*EXP(-$D242*O$229)</f>
        <v/>
      </c>
      <c r="P242" s="76">
        <f>$B$223*EXP(-$D242*P$229)</f>
        <v/>
      </c>
      <c r="Q242" s="76">
        <f>$B$223*EXP(-$D242*Q$229)</f>
        <v/>
      </c>
      <c r="R242" s="76">
        <f>SUMPRODUCT($F$228:$Q$228,$E242:$P242-$F242:$Q242)</f>
        <v/>
      </c>
      <c r="S242" s="76">
        <f>SUMPRODUCT($F$225:$Q$225,$F$227:$Q$227,$F242:$Q242)+0.5*SUMPRODUCT($F$225:$Q$225,$F$228:$Q$228,$E242:$P242-$F242:$Q242)</f>
        <v/>
      </c>
      <c r="T242" s="76">
        <f>(1-$F$222)*($D$223+R242)-$D$222*(($F$223+S242)-CDS_Parameters!$B$26)</f>
        <v/>
      </c>
    </row>
    <row r="243">
      <c r="B243" s="76">
        <f>IF(T242&lt;0,D242,B242)</f>
        <v/>
      </c>
      <c r="C243" s="76">
        <f>IF(T242&lt;0,C242,D242)</f>
        <v/>
      </c>
      <c r="D243" s="76">
        <f>(B243+C243)/2</f>
        <v/>
      </c>
      <c r="E243" s="76">
        <f>$B$223</f>
        <v/>
      </c>
      <c r="F243" s="76">
        <f>$B$223*EXP(-$D243*F$229)</f>
        <v/>
      </c>
      <c r="G243" s="76">
        <f>$B$223*EXP(-$D243*G$229)</f>
        <v/>
      </c>
      <c r="H243" s="76">
        <f>$B$223*EXP(-$D243*H$229)</f>
        <v/>
      </c>
      <c r="I243" s="76">
        <f>$B$223*EXP(-$D243*I$229)</f>
        <v/>
      </c>
      <c r="J243" s="76">
        <f>$B$223*EXP(-$D243*J$229)</f>
        <v/>
      </c>
      <c r="K243" s="76">
        <f>$B$223*EXP(-$D243*K$229)</f>
        <v/>
      </c>
      <c r="L243" s="76">
        <f>$B$223*EXP(-$D243*L$229)</f>
        <v/>
      </c>
      <c r="M243" s="76">
        <f>$B$223*EXP(-$D243*M$229)</f>
        <v/>
      </c>
      <c r="N243" s="76">
        <f>$B$223*EXP(-$D243*N$229)</f>
        <v/>
      </c>
      <c r="O243" s="76">
        <f>$B$223*EXP(-$D243*O$229)</f>
        <v/>
      </c>
      <c r="P243" s="76">
        <f>$B$223*EXP(-$D243*P$229)</f>
        <v/>
      </c>
      <c r="Q243" s="76">
        <f>$B$223*EXP(-$D243*Q$229)</f>
        <v/>
      </c>
      <c r="R243" s="76">
        <f>SUMPRODUCT($F$228:$Q$228,$E243:$P243-$F243:$Q243)</f>
        <v/>
      </c>
      <c r="S243" s="76">
        <f>SUMPRODUCT($F$225:$Q$225,$F$227:$Q$227,$F243:$Q243)+0.5*SUMPRODUCT($F$225:$Q$225,$F$228:$Q$228,$E243:$P243-$F243:$Q243)</f>
        <v/>
      </c>
      <c r="T243" s="76">
        <f>(1-$F$222)*($D$223+R243)-$D$222*(($F$223+S243)-CDS_Parameters!$B$26)</f>
        <v/>
      </c>
    </row>
    <row r="244">
      <c r="B244" s="76">
        <f>IF(T243&lt;0,D243,B243)</f>
        <v/>
      </c>
      <c r="C244" s="76">
        <f>IF(T243&lt;0,C243,D243)</f>
        <v/>
      </c>
      <c r="D244" s="76">
        <f>(B244+C244)/2</f>
        <v/>
      </c>
      <c r="E244" s="76">
        <f>$B$223</f>
        <v/>
      </c>
      <c r="F244" s="76">
        <f>$B$223*EXP(-$D244*F$229)</f>
        <v/>
      </c>
      <c r="G244" s="76">
        <f>$B$223*EXP(-$D244*G$229)</f>
        <v/>
      </c>
      <c r="H244" s="76">
        <f>$B$223*EXP(-$D244*H$229)</f>
        <v/>
      </c>
      <c r="I244" s="76">
        <f>$B$223*EXP(-$D244*I$229)</f>
        <v/>
      </c>
      <c r="J244" s="76">
        <f>$B$223*EXP(-$D244*J$229)</f>
        <v/>
      </c>
      <c r="K244" s="76">
        <f>$B$223*EXP(-$D244*K$229)</f>
        <v/>
      </c>
      <c r="L244" s="76">
        <f>$B$223*EXP(-$D244*L$229)</f>
        <v/>
      </c>
      <c r="M244" s="76">
        <f>$B$223*EXP(-$D244*M$229)</f>
        <v/>
      </c>
      <c r="N244" s="76">
        <f>$B$223*EXP(-$D244*N$229)</f>
        <v/>
      </c>
      <c r="O244" s="76">
        <f>$B$223*EXP(-$D244*O$229)</f>
        <v/>
      </c>
      <c r="P244" s="76">
        <f>$B$223*EXP(-$D244*P$229)</f>
        <v/>
      </c>
      <c r="Q244" s="76">
        <f>$B$223*EXP(-$D244*Q$229)</f>
        <v/>
      </c>
      <c r="R244" s="76">
        <f>SUMPRODUCT($F$228:$Q$228,$E244:$P244-$F244:$Q244)</f>
        <v/>
      </c>
      <c r="S244" s="76">
        <f>SUMPRODUCT($F$225:$Q$225,$F$227:$Q$227,$F244:$Q244)+0.5*SUMPRODUCT($F$225:$Q$225,$F$228:$Q$228,$E244:$P244-$F244:$Q244)</f>
        <v/>
      </c>
      <c r="T244" s="76">
        <f>(1-$F$222)*($D$223+R244)-$D$222*(($F$223+S244)-CDS_Parameters!$B$26)</f>
        <v/>
      </c>
    </row>
    <row r="245">
      <c r="B245" s="76">
        <f>IF(T244&lt;0,D244,B244)</f>
        <v/>
      </c>
      <c r="C245" s="76">
        <f>IF(T244&lt;0,C244,D244)</f>
        <v/>
      </c>
      <c r="D245" s="76">
        <f>(B245+C245)/2</f>
        <v/>
      </c>
      <c r="E245" s="76">
        <f>$B$223</f>
        <v/>
      </c>
      <c r="F245" s="76">
        <f>$B$223*EXP(-$D245*F$229)</f>
        <v/>
      </c>
      <c r="G245" s="76">
        <f>$B$223*EXP(-$D245*G$229)</f>
        <v/>
      </c>
      <c r="H245" s="76">
        <f>$B$223*EXP(-$D245*H$229)</f>
        <v/>
      </c>
      <c r="I245" s="76">
        <f>$B$223*EXP(-$D245*I$229)</f>
        <v/>
      </c>
      <c r="J245" s="76">
        <f>$B$223*EXP(-$D245*J$229)</f>
        <v/>
      </c>
      <c r="K245" s="76">
        <f>$B$223*EXP(-$D245*K$229)</f>
        <v/>
      </c>
      <c r="L245" s="76">
        <f>$B$223*EXP(-$D245*L$229)</f>
        <v/>
      </c>
      <c r="M245" s="76">
        <f>$B$223*EXP(-$D245*M$229)</f>
        <v/>
      </c>
      <c r="N245" s="76">
        <f>$B$223*EXP(-$D245*N$229)</f>
        <v/>
      </c>
      <c r="O245" s="76">
        <f>$B$223*EXP(-$D245*O$229)</f>
        <v/>
      </c>
      <c r="P245" s="76">
        <f>$B$223*EXP(-$D245*P$229)</f>
        <v/>
      </c>
      <c r="Q245" s="76">
        <f>$B$223*EXP(-$D245*Q$229)</f>
        <v/>
      </c>
      <c r="R245" s="76">
        <f>SUMPRODUCT($F$228:$Q$228,$E245:$P245-$F245:$Q245)</f>
        <v/>
      </c>
      <c r="S245" s="76">
        <f>SUMPRODUCT($F$225:$Q$225,$F$227:$Q$227,$F245:$Q245)+0.5*SUMPRODUCT($F$225:$Q$225,$F$228:$Q$228,$E245:$P245-$F245:$Q245)</f>
        <v/>
      </c>
      <c r="T245" s="76">
        <f>(1-$F$222)*($D$223+R245)-$D$222*(($F$223+S245)-CDS_Parameters!$B$26)</f>
        <v/>
      </c>
    </row>
    <row r="246">
      <c r="B246" s="76">
        <f>IF(T245&lt;0,D245,B245)</f>
        <v/>
      </c>
      <c r="C246" s="76">
        <f>IF(T245&lt;0,C245,D245)</f>
        <v/>
      </c>
      <c r="D246" s="76">
        <f>(B246+C246)/2</f>
        <v/>
      </c>
      <c r="E246" s="76">
        <f>$B$223</f>
        <v/>
      </c>
      <c r="F246" s="76">
        <f>$B$223*EXP(-$D246*F$229)</f>
        <v/>
      </c>
      <c r="G246" s="76">
        <f>$B$223*EXP(-$D246*G$229)</f>
        <v/>
      </c>
      <c r="H246" s="76">
        <f>$B$223*EXP(-$D246*H$229)</f>
        <v/>
      </c>
      <c r="I246" s="76">
        <f>$B$223*EXP(-$D246*I$229)</f>
        <v/>
      </c>
      <c r="J246" s="76">
        <f>$B$223*EXP(-$D246*J$229)</f>
        <v/>
      </c>
      <c r="K246" s="76">
        <f>$B$223*EXP(-$D246*K$229)</f>
        <v/>
      </c>
      <c r="L246" s="76">
        <f>$B$223*EXP(-$D246*L$229)</f>
        <v/>
      </c>
      <c r="M246" s="76">
        <f>$B$223*EXP(-$D246*M$229)</f>
        <v/>
      </c>
      <c r="N246" s="76">
        <f>$B$223*EXP(-$D246*N$229)</f>
        <v/>
      </c>
      <c r="O246" s="76">
        <f>$B$223*EXP(-$D246*O$229)</f>
        <v/>
      </c>
      <c r="P246" s="76">
        <f>$B$223*EXP(-$D246*P$229)</f>
        <v/>
      </c>
      <c r="Q246" s="76">
        <f>$B$223*EXP(-$D246*Q$229)</f>
        <v/>
      </c>
      <c r="R246" s="76">
        <f>SUMPRODUCT($F$228:$Q$228,$E246:$P246-$F246:$Q246)</f>
        <v/>
      </c>
      <c r="S246" s="76">
        <f>SUMPRODUCT($F$225:$Q$225,$F$227:$Q$227,$F246:$Q246)+0.5*SUMPRODUCT($F$225:$Q$225,$F$228:$Q$228,$E246:$P246-$F246:$Q246)</f>
        <v/>
      </c>
      <c r="T246" s="76">
        <f>(1-$F$222)*($D$223+R246)-$D$222*(($F$223+S246)-CDS_Parameters!$B$26)</f>
        <v/>
      </c>
    </row>
    <row r="247">
      <c r="B247" s="76">
        <f>IF(T246&lt;0,D246,B246)</f>
        <v/>
      </c>
      <c r="C247" s="76">
        <f>IF(T246&lt;0,C246,D246)</f>
        <v/>
      </c>
      <c r="D247" s="76">
        <f>(B247+C247)/2</f>
        <v/>
      </c>
      <c r="E247" s="76">
        <f>$B$223</f>
        <v/>
      </c>
      <c r="F247" s="76">
        <f>$B$223*EXP(-$D247*F$229)</f>
        <v/>
      </c>
      <c r="G247" s="76">
        <f>$B$223*EXP(-$D247*G$229)</f>
        <v/>
      </c>
      <c r="H247" s="76">
        <f>$B$223*EXP(-$D247*H$229)</f>
        <v/>
      </c>
      <c r="I247" s="76">
        <f>$B$223*EXP(-$D247*I$229)</f>
        <v/>
      </c>
      <c r="J247" s="76">
        <f>$B$223*EXP(-$D247*J$229)</f>
        <v/>
      </c>
      <c r="K247" s="76">
        <f>$B$223*EXP(-$D247*K$229)</f>
        <v/>
      </c>
      <c r="L247" s="76">
        <f>$B$223*EXP(-$D247*L$229)</f>
        <v/>
      </c>
      <c r="M247" s="76">
        <f>$B$223*EXP(-$D247*M$229)</f>
        <v/>
      </c>
      <c r="N247" s="76">
        <f>$B$223*EXP(-$D247*N$229)</f>
        <v/>
      </c>
      <c r="O247" s="76">
        <f>$B$223*EXP(-$D247*O$229)</f>
        <v/>
      </c>
      <c r="P247" s="76">
        <f>$B$223*EXP(-$D247*P$229)</f>
        <v/>
      </c>
      <c r="Q247" s="76">
        <f>$B$223*EXP(-$D247*Q$229)</f>
        <v/>
      </c>
      <c r="R247" s="76">
        <f>SUMPRODUCT($F$228:$Q$228,$E247:$P247-$F247:$Q247)</f>
        <v/>
      </c>
      <c r="S247" s="76">
        <f>SUMPRODUCT($F$225:$Q$225,$F$227:$Q$227,$F247:$Q247)+0.5*SUMPRODUCT($F$225:$Q$225,$F$228:$Q$228,$E247:$P247-$F247:$Q247)</f>
        <v/>
      </c>
      <c r="T247" s="76">
        <f>(1-$F$222)*($D$223+R247)-$D$222*(($F$223+S247)-CDS_Parameters!$B$26)</f>
        <v/>
      </c>
    </row>
    <row r="248">
      <c r="B248" s="76">
        <f>IF(T247&lt;0,D247,B247)</f>
        <v/>
      </c>
      <c r="C248" s="76">
        <f>IF(T247&lt;0,C247,D247)</f>
        <v/>
      </c>
      <c r="D248" s="76">
        <f>(B248+C248)/2</f>
        <v/>
      </c>
      <c r="E248" s="76">
        <f>$B$223</f>
        <v/>
      </c>
      <c r="F248" s="76">
        <f>$B$223*EXP(-$D248*F$229)</f>
        <v/>
      </c>
      <c r="G248" s="76">
        <f>$B$223*EXP(-$D248*G$229)</f>
        <v/>
      </c>
      <c r="H248" s="76">
        <f>$B$223*EXP(-$D248*H$229)</f>
        <v/>
      </c>
      <c r="I248" s="76">
        <f>$B$223*EXP(-$D248*I$229)</f>
        <v/>
      </c>
      <c r="J248" s="76">
        <f>$B$223*EXP(-$D248*J$229)</f>
        <v/>
      </c>
      <c r="K248" s="76">
        <f>$B$223*EXP(-$D248*K$229)</f>
        <v/>
      </c>
      <c r="L248" s="76">
        <f>$B$223*EXP(-$D248*L$229)</f>
        <v/>
      </c>
      <c r="M248" s="76">
        <f>$B$223*EXP(-$D248*M$229)</f>
        <v/>
      </c>
      <c r="N248" s="76">
        <f>$B$223*EXP(-$D248*N$229)</f>
        <v/>
      </c>
      <c r="O248" s="76">
        <f>$B$223*EXP(-$D248*O$229)</f>
        <v/>
      </c>
      <c r="P248" s="76">
        <f>$B$223*EXP(-$D248*P$229)</f>
        <v/>
      </c>
      <c r="Q248" s="76">
        <f>$B$223*EXP(-$D248*Q$229)</f>
        <v/>
      </c>
      <c r="R248" s="76">
        <f>SUMPRODUCT($F$228:$Q$228,$E248:$P248-$F248:$Q248)</f>
        <v/>
      </c>
      <c r="S248" s="76">
        <f>SUMPRODUCT($F$225:$Q$225,$F$227:$Q$227,$F248:$Q248)+0.5*SUMPRODUCT($F$225:$Q$225,$F$228:$Q$228,$E248:$P248-$F248:$Q248)</f>
        <v/>
      </c>
      <c r="T248" s="76">
        <f>(1-$F$222)*($D$223+R248)-$D$222*(($F$223+S248)-CDS_Parameters!$B$26)</f>
        <v/>
      </c>
    </row>
    <row r="249">
      <c r="B249" s="76">
        <f>IF(T248&lt;0,D248,B248)</f>
        <v/>
      </c>
      <c r="C249" s="76">
        <f>IF(T248&lt;0,C248,D248)</f>
        <v/>
      </c>
      <c r="D249" s="76">
        <f>(B249+C249)/2</f>
        <v/>
      </c>
      <c r="E249" s="76">
        <f>$B$223</f>
        <v/>
      </c>
      <c r="F249" s="76">
        <f>$B$223*EXP(-$D249*F$229)</f>
        <v/>
      </c>
      <c r="G249" s="76">
        <f>$B$223*EXP(-$D249*G$229)</f>
        <v/>
      </c>
      <c r="H249" s="76">
        <f>$B$223*EXP(-$D249*H$229)</f>
        <v/>
      </c>
      <c r="I249" s="76">
        <f>$B$223*EXP(-$D249*I$229)</f>
        <v/>
      </c>
      <c r="J249" s="76">
        <f>$B$223*EXP(-$D249*J$229)</f>
        <v/>
      </c>
      <c r="K249" s="76">
        <f>$B$223*EXP(-$D249*K$229)</f>
        <v/>
      </c>
      <c r="L249" s="76">
        <f>$B$223*EXP(-$D249*L$229)</f>
        <v/>
      </c>
      <c r="M249" s="76">
        <f>$B$223*EXP(-$D249*M$229)</f>
        <v/>
      </c>
      <c r="N249" s="76">
        <f>$B$223*EXP(-$D249*N$229)</f>
        <v/>
      </c>
      <c r="O249" s="76">
        <f>$B$223*EXP(-$D249*O$229)</f>
        <v/>
      </c>
      <c r="P249" s="76">
        <f>$B$223*EXP(-$D249*P$229)</f>
        <v/>
      </c>
      <c r="Q249" s="76">
        <f>$B$223*EXP(-$D249*Q$229)</f>
        <v/>
      </c>
      <c r="R249" s="76">
        <f>SUMPRODUCT($F$228:$Q$228,$E249:$P249-$F249:$Q249)</f>
        <v/>
      </c>
      <c r="S249" s="76">
        <f>SUMPRODUCT($F$225:$Q$225,$F$227:$Q$227,$F249:$Q249)+0.5*SUMPRODUCT($F$225:$Q$225,$F$228:$Q$228,$E249:$P249-$F249:$Q249)</f>
        <v/>
      </c>
      <c r="T249" s="76">
        <f>(1-$F$222)*($D$223+R249)-$D$222*(($F$223+S249)-CDS_Parameters!$B$26)</f>
        <v/>
      </c>
    </row>
    <row r="250">
      <c r="B250" s="76">
        <f>IF(T249&lt;0,D249,B249)</f>
        <v/>
      </c>
      <c r="C250" s="76">
        <f>IF(T249&lt;0,C249,D249)</f>
        <v/>
      </c>
      <c r="D250" s="76">
        <f>(B250+C250)/2</f>
        <v/>
      </c>
      <c r="E250" s="76">
        <f>$B$223</f>
        <v/>
      </c>
      <c r="F250" s="76">
        <f>$B$223*EXP(-$D250*F$229)</f>
        <v/>
      </c>
      <c r="G250" s="76">
        <f>$B$223*EXP(-$D250*G$229)</f>
        <v/>
      </c>
      <c r="H250" s="76">
        <f>$B$223*EXP(-$D250*H$229)</f>
        <v/>
      </c>
      <c r="I250" s="76">
        <f>$B$223*EXP(-$D250*I$229)</f>
        <v/>
      </c>
      <c r="J250" s="76">
        <f>$B$223*EXP(-$D250*J$229)</f>
        <v/>
      </c>
      <c r="K250" s="76">
        <f>$B$223*EXP(-$D250*K$229)</f>
        <v/>
      </c>
      <c r="L250" s="76">
        <f>$B$223*EXP(-$D250*L$229)</f>
        <v/>
      </c>
      <c r="M250" s="76">
        <f>$B$223*EXP(-$D250*M$229)</f>
        <v/>
      </c>
      <c r="N250" s="76">
        <f>$B$223*EXP(-$D250*N$229)</f>
        <v/>
      </c>
      <c r="O250" s="76">
        <f>$B$223*EXP(-$D250*O$229)</f>
        <v/>
      </c>
      <c r="P250" s="76">
        <f>$B$223*EXP(-$D250*P$229)</f>
        <v/>
      </c>
      <c r="Q250" s="76">
        <f>$B$223*EXP(-$D250*Q$229)</f>
        <v/>
      </c>
      <c r="R250" s="76">
        <f>SUMPRODUCT($F$228:$Q$228,$E250:$P250-$F250:$Q250)</f>
        <v/>
      </c>
      <c r="S250" s="76">
        <f>SUMPRODUCT($F$225:$Q$225,$F$227:$Q$227,$F250:$Q250)+0.5*SUMPRODUCT($F$225:$Q$225,$F$228:$Q$228,$E250:$P250-$F250:$Q250)</f>
        <v/>
      </c>
      <c r="T250" s="76">
        <f>(1-$F$222)*($D$223+R250)-$D$222*(($F$223+S250)-CDS_Parameters!$B$26)</f>
        <v/>
      </c>
    </row>
    <row r="251">
      <c r="B251" s="76">
        <f>IF(T250&lt;0,D250,B250)</f>
        <v/>
      </c>
      <c r="C251" s="76">
        <f>IF(T250&lt;0,C250,D250)</f>
        <v/>
      </c>
      <c r="D251" s="76">
        <f>(B251+C251)/2</f>
        <v/>
      </c>
      <c r="E251" s="76">
        <f>$B$223</f>
        <v/>
      </c>
      <c r="F251" s="76">
        <f>$B$223*EXP(-$D251*F$229)</f>
        <v/>
      </c>
      <c r="G251" s="76">
        <f>$B$223*EXP(-$D251*G$229)</f>
        <v/>
      </c>
      <c r="H251" s="76">
        <f>$B$223*EXP(-$D251*H$229)</f>
        <v/>
      </c>
      <c r="I251" s="76">
        <f>$B$223*EXP(-$D251*I$229)</f>
        <v/>
      </c>
      <c r="J251" s="76">
        <f>$B$223*EXP(-$D251*J$229)</f>
        <v/>
      </c>
      <c r="K251" s="76">
        <f>$B$223*EXP(-$D251*K$229)</f>
        <v/>
      </c>
      <c r="L251" s="76">
        <f>$B$223*EXP(-$D251*L$229)</f>
        <v/>
      </c>
      <c r="M251" s="76">
        <f>$B$223*EXP(-$D251*M$229)</f>
        <v/>
      </c>
      <c r="N251" s="76">
        <f>$B$223*EXP(-$D251*N$229)</f>
        <v/>
      </c>
      <c r="O251" s="76">
        <f>$B$223*EXP(-$D251*O$229)</f>
        <v/>
      </c>
      <c r="P251" s="76">
        <f>$B$223*EXP(-$D251*P$229)</f>
        <v/>
      </c>
      <c r="Q251" s="76">
        <f>$B$223*EXP(-$D251*Q$229)</f>
        <v/>
      </c>
      <c r="R251" s="76">
        <f>SUMPRODUCT($F$228:$Q$228,$E251:$P251-$F251:$Q251)</f>
        <v/>
      </c>
      <c r="S251" s="76">
        <f>SUMPRODUCT($F$225:$Q$225,$F$227:$Q$227,$F251:$Q251)+0.5*SUMPRODUCT($F$225:$Q$225,$F$228:$Q$228,$E251:$P251-$F251:$Q251)</f>
        <v/>
      </c>
      <c r="T251" s="76">
        <f>(1-$F$222)*($D$223+R251)-$D$222*(($F$223+S251)-CDS_Parameters!$B$26)</f>
        <v/>
      </c>
    </row>
    <row r="252">
      <c r="B252" s="76">
        <f>IF(T251&lt;0,D251,B251)</f>
        <v/>
      </c>
      <c r="C252" s="76">
        <f>IF(T251&lt;0,C251,D251)</f>
        <v/>
      </c>
      <c r="D252" s="76">
        <f>(B252+C252)/2</f>
        <v/>
      </c>
      <c r="E252" s="76">
        <f>$B$223</f>
        <v/>
      </c>
      <c r="F252" s="76">
        <f>$B$223*EXP(-$D252*F$229)</f>
        <v/>
      </c>
      <c r="G252" s="76">
        <f>$B$223*EXP(-$D252*G$229)</f>
        <v/>
      </c>
      <c r="H252" s="76">
        <f>$B$223*EXP(-$D252*H$229)</f>
        <v/>
      </c>
      <c r="I252" s="76">
        <f>$B$223*EXP(-$D252*I$229)</f>
        <v/>
      </c>
      <c r="J252" s="76">
        <f>$B$223*EXP(-$D252*J$229)</f>
        <v/>
      </c>
      <c r="K252" s="76">
        <f>$B$223*EXP(-$D252*K$229)</f>
        <v/>
      </c>
      <c r="L252" s="76">
        <f>$B$223*EXP(-$D252*L$229)</f>
        <v/>
      </c>
      <c r="M252" s="76">
        <f>$B$223*EXP(-$D252*M$229)</f>
        <v/>
      </c>
      <c r="N252" s="76">
        <f>$B$223*EXP(-$D252*N$229)</f>
        <v/>
      </c>
      <c r="O252" s="76">
        <f>$B$223*EXP(-$D252*O$229)</f>
        <v/>
      </c>
      <c r="P252" s="76">
        <f>$B$223*EXP(-$D252*P$229)</f>
        <v/>
      </c>
      <c r="Q252" s="76">
        <f>$B$223*EXP(-$D252*Q$229)</f>
        <v/>
      </c>
      <c r="R252" s="76">
        <f>SUMPRODUCT($F$228:$Q$228,$E252:$P252-$F252:$Q252)</f>
        <v/>
      </c>
      <c r="S252" s="76">
        <f>SUMPRODUCT($F$225:$Q$225,$F$227:$Q$227,$F252:$Q252)+0.5*SUMPRODUCT($F$225:$Q$225,$F$228:$Q$228,$E252:$P252-$F252:$Q252)</f>
        <v/>
      </c>
      <c r="T252" s="76">
        <f>(1-$F$222)*($D$223+R252)-$D$222*(($F$223+S252)-CDS_Parameters!$B$26)</f>
        <v/>
      </c>
    </row>
    <row r="253">
      <c r="B253" s="76">
        <f>IF(T252&lt;0,D252,B252)</f>
        <v/>
      </c>
      <c r="C253" s="76">
        <f>IF(T252&lt;0,C252,D252)</f>
        <v/>
      </c>
      <c r="D253" s="76">
        <f>(B253+C253)/2</f>
        <v/>
      </c>
      <c r="E253" s="76">
        <f>$B$223</f>
        <v/>
      </c>
      <c r="F253" s="76">
        <f>$B$223*EXP(-$D253*F$229)</f>
        <v/>
      </c>
      <c r="G253" s="76">
        <f>$B$223*EXP(-$D253*G$229)</f>
        <v/>
      </c>
      <c r="H253" s="76">
        <f>$B$223*EXP(-$D253*H$229)</f>
        <v/>
      </c>
      <c r="I253" s="76">
        <f>$B$223*EXP(-$D253*I$229)</f>
        <v/>
      </c>
      <c r="J253" s="76">
        <f>$B$223*EXP(-$D253*J$229)</f>
        <v/>
      </c>
      <c r="K253" s="76">
        <f>$B$223*EXP(-$D253*K$229)</f>
        <v/>
      </c>
      <c r="L253" s="76">
        <f>$B$223*EXP(-$D253*L$229)</f>
        <v/>
      </c>
      <c r="M253" s="76">
        <f>$B$223*EXP(-$D253*M$229)</f>
        <v/>
      </c>
      <c r="N253" s="76">
        <f>$B$223*EXP(-$D253*N$229)</f>
        <v/>
      </c>
      <c r="O253" s="76">
        <f>$B$223*EXP(-$D253*O$229)</f>
        <v/>
      </c>
      <c r="P253" s="76">
        <f>$B$223*EXP(-$D253*P$229)</f>
        <v/>
      </c>
      <c r="Q253" s="76">
        <f>$B$223*EXP(-$D253*Q$229)</f>
        <v/>
      </c>
      <c r="R253" s="76">
        <f>SUMPRODUCT($F$228:$Q$228,$E253:$P253-$F253:$Q253)</f>
        <v/>
      </c>
      <c r="S253" s="76">
        <f>SUMPRODUCT($F$225:$Q$225,$F$227:$Q$227,$F253:$Q253)+0.5*SUMPRODUCT($F$225:$Q$225,$F$228:$Q$228,$E253:$P253-$F253:$Q253)</f>
        <v/>
      </c>
      <c r="T253" s="76">
        <f>(1-$F$222)*($D$223+R253)-$D$222*(($F$223+S253)-CDS_Parameters!$B$26)</f>
        <v/>
      </c>
    </row>
    <row r="254">
      <c r="B254" s="76">
        <f>IF(T253&lt;0,D253,B253)</f>
        <v/>
      </c>
      <c r="C254" s="76">
        <f>IF(T253&lt;0,C253,D253)</f>
        <v/>
      </c>
      <c r="D254" s="76">
        <f>(B254+C254)/2</f>
        <v/>
      </c>
      <c r="E254" s="76">
        <f>$B$223</f>
        <v/>
      </c>
      <c r="F254" s="76">
        <f>$B$223*EXP(-$D254*F$229)</f>
        <v/>
      </c>
      <c r="G254" s="76">
        <f>$B$223*EXP(-$D254*G$229)</f>
        <v/>
      </c>
      <c r="H254" s="76">
        <f>$B$223*EXP(-$D254*H$229)</f>
        <v/>
      </c>
      <c r="I254" s="76">
        <f>$B$223*EXP(-$D254*I$229)</f>
        <v/>
      </c>
      <c r="J254" s="76">
        <f>$B$223*EXP(-$D254*J$229)</f>
        <v/>
      </c>
      <c r="K254" s="76">
        <f>$B$223*EXP(-$D254*K$229)</f>
        <v/>
      </c>
      <c r="L254" s="76">
        <f>$B$223*EXP(-$D254*L$229)</f>
        <v/>
      </c>
      <c r="M254" s="76">
        <f>$B$223*EXP(-$D254*M$229)</f>
        <v/>
      </c>
      <c r="N254" s="76">
        <f>$B$223*EXP(-$D254*N$229)</f>
        <v/>
      </c>
      <c r="O254" s="76">
        <f>$B$223*EXP(-$D254*O$229)</f>
        <v/>
      </c>
      <c r="P254" s="76">
        <f>$B$223*EXP(-$D254*P$229)</f>
        <v/>
      </c>
      <c r="Q254" s="76">
        <f>$B$223*EXP(-$D254*Q$229)</f>
        <v/>
      </c>
      <c r="R254" s="76">
        <f>SUMPRODUCT($F$228:$Q$228,$E254:$P254-$F254:$Q254)</f>
        <v/>
      </c>
      <c r="S254" s="76">
        <f>SUMPRODUCT($F$225:$Q$225,$F$227:$Q$227,$F254:$Q254)+0.5*SUMPRODUCT($F$225:$Q$225,$F$228:$Q$228,$E254:$P254-$F254:$Q254)</f>
        <v/>
      </c>
      <c r="T254" s="76">
        <f>(1-$F$222)*($D$223+R254)-$D$222*(($F$223+S254)-CDS_Parameters!$B$26)</f>
        <v/>
      </c>
    </row>
    <row r="255">
      <c r="B255" s="76">
        <f>IF(T254&lt;0,D254,B254)</f>
        <v/>
      </c>
      <c r="C255" s="76">
        <f>IF(T254&lt;0,C254,D254)</f>
        <v/>
      </c>
      <c r="D255" s="76">
        <f>(B255+C255)/2</f>
        <v/>
      </c>
      <c r="E255" s="76">
        <f>$B$223</f>
        <v/>
      </c>
      <c r="F255" s="76">
        <f>$B$223*EXP(-$D255*F$229)</f>
        <v/>
      </c>
      <c r="G255" s="76">
        <f>$B$223*EXP(-$D255*G$229)</f>
        <v/>
      </c>
      <c r="H255" s="76">
        <f>$B$223*EXP(-$D255*H$229)</f>
        <v/>
      </c>
      <c r="I255" s="76">
        <f>$B$223*EXP(-$D255*I$229)</f>
        <v/>
      </c>
      <c r="J255" s="76">
        <f>$B$223*EXP(-$D255*J$229)</f>
        <v/>
      </c>
      <c r="K255" s="76">
        <f>$B$223*EXP(-$D255*K$229)</f>
        <v/>
      </c>
      <c r="L255" s="76">
        <f>$B$223*EXP(-$D255*L$229)</f>
        <v/>
      </c>
      <c r="M255" s="76">
        <f>$B$223*EXP(-$D255*M$229)</f>
        <v/>
      </c>
      <c r="N255" s="76">
        <f>$B$223*EXP(-$D255*N$229)</f>
        <v/>
      </c>
      <c r="O255" s="76">
        <f>$B$223*EXP(-$D255*O$229)</f>
        <v/>
      </c>
      <c r="P255" s="76">
        <f>$B$223*EXP(-$D255*P$229)</f>
        <v/>
      </c>
      <c r="Q255" s="76">
        <f>$B$223*EXP(-$D255*Q$229)</f>
        <v/>
      </c>
      <c r="R255" s="76">
        <f>SUMPRODUCT($F$228:$Q$228,$E255:$P255-$F255:$Q255)</f>
        <v/>
      </c>
      <c r="S255" s="76">
        <f>SUMPRODUCT($F$225:$Q$225,$F$227:$Q$227,$F255:$Q255)+0.5*SUMPRODUCT($F$225:$Q$225,$F$228:$Q$228,$E255:$P255-$F255:$Q255)</f>
        <v/>
      </c>
      <c r="T255" s="76">
        <f>(1-$F$222)*($D$223+R255)-$D$222*(($F$223+S255)-CDS_Parameters!$B$26)</f>
        <v/>
      </c>
    </row>
    <row r="256">
      <c r="B256" s="76">
        <f>IF(T255&lt;0,D255,B255)</f>
        <v/>
      </c>
      <c r="C256" s="76">
        <f>IF(T255&lt;0,C255,D255)</f>
        <v/>
      </c>
      <c r="D256" s="76">
        <f>(B256+C256)/2</f>
        <v/>
      </c>
      <c r="E256" s="76">
        <f>$B$223</f>
        <v/>
      </c>
      <c r="F256" s="76">
        <f>$B$223*EXP(-$D256*F$229)</f>
        <v/>
      </c>
      <c r="G256" s="76">
        <f>$B$223*EXP(-$D256*G$229)</f>
        <v/>
      </c>
      <c r="H256" s="76">
        <f>$B$223*EXP(-$D256*H$229)</f>
        <v/>
      </c>
      <c r="I256" s="76">
        <f>$B$223*EXP(-$D256*I$229)</f>
        <v/>
      </c>
      <c r="J256" s="76">
        <f>$B$223*EXP(-$D256*J$229)</f>
        <v/>
      </c>
      <c r="K256" s="76">
        <f>$B$223*EXP(-$D256*K$229)</f>
        <v/>
      </c>
      <c r="L256" s="76">
        <f>$B$223*EXP(-$D256*L$229)</f>
        <v/>
      </c>
      <c r="M256" s="76">
        <f>$B$223*EXP(-$D256*M$229)</f>
        <v/>
      </c>
      <c r="N256" s="76">
        <f>$B$223*EXP(-$D256*N$229)</f>
        <v/>
      </c>
      <c r="O256" s="76">
        <f>$B$223*EXP(-$D256*O$229)</f>
        <v/>
      </c>
      <c r="P256" s="76">
        <f>$B$223*EXP(-$D256*P$229)</f>
        <v/>
      </c>
      <c r="Q256" s="76">
        <f>$B$223*EXP(-$D256*Q$229)</f>
        <v/>
      </c>
      <c r="R256" s="76">
        <f>SUMPRODUCT($F$228:$Q$228,$E256:$P256-$F256:$Q256)</f>
        <v/>
      </c>
      <c r="S256" s="76">
        <f>SUMPRODUCT($F$225:$Q$225,$F$227:$Q$227,$F256:$Q256)+0.5*SUMPRODUCT($F$225:$Q$225,$F$228:$Q$228,$E256:$P256-$F256:$Q256)</f>
        <v/>
      </c>
      <c r="T256" s="76">
        <f>(1-$F$222)*($D$223+R256)-$D$222*(($F$223+S256)-CDS_Parameters!$B$26)</f>
        <v/>
      </c>
    </row>
    <row r="257">
      <c r="B257" s="76">
        <f>IF(T256&lt;0,D256,B256)</f>
        <v/>
      </c>
      <c r="C257" s="76">
        <f>IF(T256&lt;0,C256,D256)</f>
        <v/>
      </c>
      <c r="D257" s="76">
        <f>(B257+C257)/2</f>
        <v/>
      </c>
      <c r="E257" s="76">
        <f>$B$223</f>
        <v/>
      </c>
      <c r="F257" s="76">
        <f>$B$223*EXP(-$D257*F$229)</f>
        <v/>
      </c>
      <c r="G257" s="76">
        <f>$B$223*EXP(-$D257*G$229)</f>
        <v/>
      </c>
      <c r="H257" s="76">
        <f>$B$223*EXP(-$D257*H$229)</f>
        <v/>
      </c>
      <c r="I257" s="76">
        <f>$B$223*EXP(-$D257*I$229)</f>
        <v/>
      </c>
      <c r="J257" s="76">
        <f>$B$223*EXP(-$D257*J$229)</f>
        <v/>
      </c>
      <c r="K257" s="76">
        <f>$B$223*EXP(-$D257*K$229)</f>
        <v/>
      </c>
      <c r="L257" s="76">
        <f>$B$223*EXP(-$D257*L$229)</f>
        <v/>
      </c>
      <c r="M257" s="76">
        <f>$B$223*EXP(-$D257*M$229)</f>
        <v/>
      </c>
      <c r="N257" s="76">
        <f>$B$223*EXP(-$D257*N$229)</f>
        <v/>
      </c>
      <c r="O257" s="76">
        <f>$B$223*EXP(-$D257*O$229)</f>
        <v/>
      </c>
      <c r="P257" s="76">
        <f>$B$223*EXP(-$D257*P$229)</f>
        <v/>
      </c>
      <c r="Q257" s="76">
        <f>$B$223*EXP(-$D257*Q$229)</f>
        <v/>
      </c>
      <c r="R257" s="76">
        <f>SUMPRODUCT($F$228:$Q$228,$E257:$P257-$F257:$Q257)</f>
        <v/>
      </c>
      <c r="S257" s="76">
        <f>SUMPRODUCT($F$225:$Q$225,$F$227:$Q$227,$F257:$Q257)+0.5*SUMPRODUCT($F$225:$Q$225,$F$228:$Q$228,$E257:$P257-$F257:$Q257)</f>
        <v/>
      </c>
      <c r="T257" s="76">
        <f>(1-$F$222)*($D$223+R257)-$D$222*(($F$223+S257)-CDS_Parameters!$B$26)</f>
        <v/>
      </c>
    </row>
    <row r="258">
      <c r="B258" s="76">
        <f>IF(T257&lt;0,D257,B257)</f>
        <v/>
      </c>
      <c r="C258" s="76">
        <f>IF(T257&lt;0,C257,D257)</f>
        <v/>
      </c>
      <c r="D258" s="76">
        <f>(B258+C258)/2</f>
        <v/>
      </c>
      <c r="E258" s="76">
        <f>$B$223</f>
        <v/>
      </c>
      <c r="F258" s="76">
        <f>$B$223*EXP(-$D258*F$229)</f>
        <v/>
      </c>
      <c r="G258" s="76">
        <f>$B$223*EXP(-$D258*G$229)</f>
        <v/>
      </c>
      <c r="H258" s="76">
        <f>$B$223*EXP(-$D258*H$229)</f>
        <v/>
      </c>
      <c r="I258" s="76">
        <f>$B$223*EXP(-$D258*I$229)</f>
        <v/>
      </c>
      <c r="J258" s="76">
        <f>$B$223*EXP(-$D258*J$229)</f>
        <v/>
      </c>
      <c r="K258" s="76">
        <f>$B$223*EXP(-$D258*K$229)</f>
        <v/>
      </c>
      <c r="L258" s="76">
        <f>$B$223*EXP(-$D258*L$229)</f>
        <v/>
      </c>
      <c r="M258" s="76">
        <f>$B$223*EXP(-$D258*M$229)</f>
        <v/>
      </c>
      <c r="N258" s="76">
        <f>$B$223*EXP(-$D258*N$229)</f>
        <v/>
      </c>
      <c r="O258" s="76">
        <f>$B$223*EXP(-$D258*O$229)</f>
        <v/>
      </c>
      <c r="P258" s="76">
        <f>$B$223*EXP(-$D258*P$229)</f>
        <v/>
      </c>
      <c r="Q258" s="76">
        <f>$B$223*EXP(-$D258*Q$229)</f>
        <v/>
      </c>
      <c r="R258" s="76">
        <f>SUMPRODUCT($F$228:$Q$228,$E258:$P258-$F258:$Q258)</f>
        <v/>
      </c>
      <c r="S258" s="76">
        <f>SUMPRODUCT($F$225:$Q$225,$F$227:$Q$227,$F258:$Q258)+0.5*SUMPRODUCT($F$225:$Q$225,$F$228:$Q$228,$E258:$P258-$F258:$Q258)</f>
        <v/>
      </c>
      <c r="T258" s="76">
        <f>(1-$F$222)*($D$223+R258)-$D$222*(($F$223+S258)-CDS_Parameters!$B$26)</f>
        <v/>
      </c>
    </row>
    <row r="259">
      <c r="B259" s="76">
        <f>IF(T258&lt;0,D258,B258)</f>
        <v/>
      </c>
      <c r="C259" s="76">
        <f>IF(T258&lt;0,C258,D258)</f>
        <v/>
      </c>
      <c r="D259" s="76">
        <f>(B259+C259)/2</f>
        <v/>
      </c>
      <c r="E259" s="76">
        <f>$B$223</f>
        <v/>
      </c>
      <c r="F259" s="76">
        <f>$B$223*EXP(-$D259*F$229)</f>
        <v/>
      </c>
      <c r="G259" s="76">
        <f>$B$223*EXP(-$D259*G$229)</f>
        <v/>
      </c>
      <c r="H259" s="76">
        <f>$B$223*EXP(-$D259*H$229)</f>
        <v/>
      </c>
      <c r="I259" s="76">
        <f>$B$223*EXP(-$D259*I$229)</f>
        <v/>
      </c>
      <c r="J259" s="76">
        <f>$B$223*EXP(-$D259*J$229)</f>
        <v/>
      </c>
      <c r="K259" s="76">
        <f>$B$223*EXP(-$D259*K$229)</f>
        <v/>
      </c>
      <c r="L259" s="76">
        <f>$B$223*EXP(-$D259*L$229)</f>
        <v/>
      </c>
      <c r="M259" s="76">
        <f>$B$223*EXP(-$D259*M$229)</f>
        <v/>
      </c>
      <c r="N259" s="76">
        <f>$B$223*EXP(-$D259*N$229)</f>
        <v/>
      </c>
      <c r="O259" s="76">
        <f>$B$223*EXP(-$D259*O$229)</f>
        <v/>
      </c>
      <c r="P259" s="76">
        <f>$B$223*EXP(-$D259*P$229)</f>
        <v/>
      </c>
      <c r="Q259" s="76">
        <f>$B$223*EXP(-$D259*Q$229)</f>
        <v/>
      </c>
      <c r="R259" s="76">
        <f>SUMPRODUCT($F$228:$Q$228,$E259:$P259-$F259:$Q259)</f>
        <v/>
      </c>
      <c r="S259" s="76">
        <f>SUMPRODUCT($F$225:$Q$225,$F$227:$Q$227,$F259:$Q259)+0.5*SUMPRODUCT($F$225:$Q$225,$F$228:$Q$228,$E259:$P259-$F259:$Q259)</f>
        <v/>
      </c>
      <c r="T259" s="76">
        <f>(1-$F$222)*($D$223+R259)-$D$222*(($F$223+S259)-CDS_Parameters!$B$26)</f>
        <v/>
      </c>
    </row>
    <row r="260">
      <c r="B260" s="76">
        <f>IF(T259&lt;0,D259,B259)</f>
        <v/>
      </c>
      <c r="C260" s="76">
        <f>IF(T259&lt;0,C259,D259)</f>
        <v/>
      </c>
      <c r="D260" s="76">
        <f>(B260+C260)/2</f>
        <v/>
      </c>
      <c r="E260" s="76">
        <f>$B$223</f>
        <v/>
      </c>
      <c r="F260" s="76">
        <f>$B$223*EXP(-$D260*F$229)</f>
        <v/>
      </c>
      <c r="G260" s="76">
        <f>$B$223*EXP(-$D260*G$229)</f>
        <v/>
      </c>
      <c r="H260" s="76">
        <f>$B$223*EXP(-$D260*H$229)</f>
        <v/>
      </c>
      <c r="I260" s="76">
        <f>$B$223*EXP(-$D260*I$229)</f>
        <v/>
      </c>
      <c r="J260" s="76">
        <f>$B$223*EXP(-$D260*J$229)</f>
        <v/>
      </c>
      <c r="K260" s="76">
        <f>$B$223*EXP(-$D260*K$229)</f>
        <v/>
      </c>
      <c r="L260" s="76">
        <f>$B$223*EXP(-$D260*L$229)</f>
        <v/>
      </c>
      <c r="M260" s="76">
        <f>$B$223*EXP(-$D260*M$229)</f>
        <v/>
      </c>
      <c r="N260" s="76">
        <f>$B$223*EXP(-$D260*N$229)</f>
        <v/>
      </c>
      <c r="O260" s="76">
        <f>$B$223*EXP(-$D260*O$229)</f>
        <v/>
      </c>
      <c r="P260" s="76">
        <f>$B$223*EXP(-$D260*P$229)</f>
        <v/>
      </c>
      <c r="Q260" s="76">
        <f>$B$223*EXP(-$D260*Q$229)</f>
        <v/>
      </c>
      <c r="R260" s="76">
        <f>SUMPRODUCT($F$228:$Q$228,$E260:$P260-$F260:$Q260)</f>
        <v/>
      </c>
      <c r="S260" s="76">
        <f>SUMPRODUCT($F$225:$Q$225,$F$227:$Q$227,$F260:$Q260)+0.5*SUMPRODUCT($F$225:$Q$225,$F$228:$Q$228,$E260:$P260-$F260:$Q260)</f>
        <v/>
      </c>
      <c r="T260" s="76">
        <f>(1-$F$222)*($D$223+R260)-$D$222*(($F$223+S260)-CDS_Parameters!$B$26)</f>
        <v/>
      </c>
    </row>
    <row r="261">
      <c r="A261" s="67" t="inlineStr">
        <is>
          <t>lambda6 SOLVED</t>
        </is>
      </c>
      <c r="B261" s="71">
        <f>D260</f>
        <v/>
      </c>
      <c r="C261" s="67" t="inlineStr">
        <is>
          <t>resid</t>
        </is>
      </c>
      <c r="D261" s="72">
        <f>T260</f>
        <v/>
      </c>
      <c r="E261" s="67" t="inlineStr">
        <is>
          <t>Q(T_k)</t>
        </is>
      </c>
      <c r="F261" s="76">
        <f>Q260</f>
        <v/>
      </c>
      <c r="G261" s="67" t="inlineStr">
        <is>
          <t>ProtCum</t>
        </is>
      </c>
      <c r="H261" s="76">
        <f>$D$223+R260</f>
        <v/>
      </c>
      <c r="I261" s="67" t="inlineStr">
        <is>
          <t>RPV01Cum</t>
        </is>
      </c>
      <c r="J261" s="76">
        <f>$F$223+S260</f>
        <v/>
      </c>
      <c r="K261" s="67" t="inlineStr">
        <is>
          <t>model S (bp)</t>
        </is>
      </c>
      <c r="L261" s="63">
        <f>IFERROR((1-$F$222)*H261/J261*10000,0)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6A1B9A"/>
    <outlinePr summaryBelow="1" summaryRight="1"/>
    <pageSetUpPr/>
  </sheetPr>
  <dimension ref="A1:Q46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1" customWidth="1" min="4" max="4"/>
    <col width="11" customWidth="1" min="5" max="5"/>
    <col width="10" customWidth="1" min="6" max="6"/>
    <col width="12" customWidth="1" min="7" max="7"/>
    <col width="12" customWidth="1" min="8" max="8"/>
    <col width="11" customWidth="1" min="9" max="9"/>
    <col width="12" customWidth="1" min="10" max="10"/>
    <col width="12" customWidth="1" min="11" max="11"/>
    <col width="11" customWidth="1" min="12" max="12"/>
    <col width="13" customWidth="1" min="13" max="13"/>
    <col width="13" customWidth="1" min="14" max="14"/>
    <col width="13" customWidth="1" min="15" max="15"/>
    <col width="78" customWidth="1" min="17" max="17"/>
  </cols>
  <sheetData>
    <row r="1">
      <c r="A1" s="1" t="inlineStr">
        <is>
          <t>CDS_Schedule</t>
        </is>
      </c>
    </row>
    <row r="2">
      <c r="A2" s="2" t="inlineStr">
        <is>
          <t>Quarterly premium &amp; default schedule to 10Y. DF from the shared SOFR curve; survival from the hazard curve.</t>
        </is>
      </c>
    </row>
    <row r="3">
      <c r="Q3" s="136" t="inlineStr">
        <is>
          <t>WHAT EACH COLUMN COMPUTES</t>
        </is>
      </c>
    </row>
    <row r="4" ht="42" customHeight="1">
      <c r="A4" s="9" t="inlineStr">
        <is>
          <t>Each row is one quarterly coupon period. DF(end)/DF(mid) interpolate the SOFR Curve_Interface; hazard is the piecewise-constant Hazard_Bootstrap lambda for the segment (by pay date); Q(end)=Q(prev)*exp(-hazard*dt). Premium factor = alpha*DF*Q ; Accrual factor = (alpha/2)*DF(mid)*deltaPD ; Protection factor = DF(mid)*deltaPD. Front period is a stub from valuation to the first roll.</t>
        </is>
      </c>
      <c r="Q4" s="139" t="inlineStr">
        <is>
          <t>Z(.) is the bootstrapped SOFR curve via Curve_Interface (B-Model p.6).</t>
        </is>
      </c>
    </row>
    <row r="5">
      <c r="P5" s="65" t="inlineStr">
        <is>
          <t>DF(end)/DF(mid) honour the interpolation selector at Curve_Interface!J7. Default is step-function forward, which is the method verified against the S490 screen.</t>
        </is>
      </c>
      <c r="Q5" s="137" t="n"/>
    </row>
    <row r="6" ht="30" customHeight="1">
      <c r="A6" s="140" t="inlineStr">
        <is>
          <t>Period</t>
        </is>
      </c>
      <c r="B6" s="140" t="inlineStr">
        <is>
          <t>Accrual start</t>
        </is>
      </c>
      <c r="C6" s="140" t="inlineStr">
        <is>
          <t>Pay date</t>
        </is>
      </c>
      <c r="D6" s="140" t="inlineStr">
        <is>
          <t>alpha ACT/360</t>
        </is>
      </c>
      <c r="E6" s="140" t="inlineStr">
        <is>
          <t>dt ACT/365</t>
        </is>
      </c>
      <c r="F6" s="140" t="inlineStr">
        <is>
          <t>T (yrs)</t>
        </is>
      </c>
      <c r="G6" s="140" t="inlineStr">
        <is>
          <t>DF(end)</t>
        </is>
      </c>
      <c r="H6" s="140" t="inlineStr">
        <is>
          <t>DF(mid)</t>
        </is>
      </c>
      <c r="I6" s="140" t="inlineStr">
        <is>
          <t>hazard</t>
        </is>
      </c>
      <c r="J6" s="140" t="inlineStr">
        <is>
          <t>Q(prev)</t>
        </is>
      </c>
      <c r="K6" s="140" t="inlineStr">
        <is>
          <t>Q(end)</t>
        </is>
      </c>
      <c r="L6" s="140" t="inlineStr">
        <is>
          <t>delta PD</t>
        </is>
      </c>
      <c r="M6" s="140" t="inlineStr">
        <is>
          <t>Premium factor</t>
        </is>
      </c>
      <c r="N6" s="140" t="inlineStr">
        <is>
          <t>Accrual factor</t>
        </is>
      </c>
      <c r="O6" s="140" t="inlineStr">
        <is>
          <t>Protection factor</t>
        </is>
      </c>
      <c r="Q6" s="137" t="inlineStr">
        <is>
          <t>col I   hazard h_i, piecewise-constant, picked by pay date</t>
        </is>
      </c>
    </row>
    <row r="7">
      <c r="A7" s="43" t="n">
        <v>1</v>
      </c>
      <c r="B7" s="18">
        <f>VAL_DATE</f>
        <v/>
      </c>
      <c r="C7" s="18">
        <f>EDATE('Curve_Interface'!$F$7,3*0)</f>
        <v/>
      </c>
      <c r="D7" s="34">
        <f>(C7-B7)/360</f>
        <v/>
      </c>
      <c r="E7" s="34">
        <f>(C7-B7)/365</f>
        <v/>
      </c>
      <c r="F7" s="34">
        <f>(C7-VAL_DATE)/365</f>
        <v/>
      </c>
      <c r="G7" s="36">
        <f>IFERROR(IF(Curve_Interface!$J$7="Piecewise Linear (Simple)",IF(((C7-VAL_DATE)/360)&lt;=0,1,1/(1+(IF(((INDEX('Curve_Interface'!$K$8:$K$73,MATCH(C7,'Curve_Interface'!$K$8:$K$73,1))-VAL_DATE)/360)&lt;=0,IF(((INDEX('Curve_Interface'!$K$8:$K$73,MATCH(C7,'Curve_Interface'!$K$8:$K$73,1)+1)-VAL_DATE)/360)&lt;=0,0,(1/INDEX('Curve_Interface'!$L$8:$L$73,MATCH(C7,'Curve_Interface'!$K$8:$K$73,1)+1)-1)/((INDEX('Curve_Interface'!$K$8:$K$73,MATCH(C7,'Curve_Interface'!$K$8:$K$73,1)+1)-VAL_DATE)/360)),(1/INDEX('Curve_Interface'!$L$8:$L$73,MATCH(C7,'Curve_Interface'!$K$8:$K$73,1))-1)/((INDEX('Curve_Interface'!$K$8:$K$73,MATCH(C7,'Curve_Interface'!$K$8:$K$73,1))-VAL_DATE)/360))+(IF(((INDEX('Curve_Interface'!$K$8:$K$73,MATCH(C7,'Curve_Interface'!$K$8:$K$73,1)+1)-VAL_DATE)/360)&lt;=0,0,(1/INDEX('Curve_Interface'!$L$8:$L$73,MATCH(C7,'Curve_Interface'!$K$8:$K$73,1)+1)-1)/((INDEX('Curve_Interface'!$K$8:$K$73,MATCH(C7,'Curve_Interface'!$K$8:$K$73,1)+1)-VAL_DATE)/360))-IF(((INDEX('Curve_Interface'!$K$8:$K$73,MATCH(C7,'Curve_Interface'!$K$8:$K$73,1))-VAL_DATE)/360)&lt;=0,IF(((INDEX('Curve_Interface'!$K$8:$K$73,MATCH(C7,'Curve_Interface'!$K$8:$K$73,1)+1)-VAL_DATE)/360)&lt;=0,0,(1/INDEX('Curve_Interface'!$L$8:$L$73,MATCH(C7,'Curve_Interface'!$K$8:$K$73,1)+1)-1)/((INDEX('Curve_Interface'!$K$8:$K$73,MATCH(C7,'Curve_Interface'!$K$8:$K$73,1)+1)-VAL_DATE)/360)),(1/INDEX('Curve_Interface'!$L$8:$L$73,MATCH(C7,'Curve_Interface'!$K$8:$K$73,1))-1)/((INDEX('Curve_Interface'!$K$8:$K$73,MATCH(C7,'Curve_Interface'!$K$8:$K$73,1))-VAL_DATE)/360)))*IF(((INDEX('Curve_Interface'!$K$8:$K$73,MATCH(C7,'Curve_Interface'!$K$8:$K$73,1)+1)-VAL_DATE)/360)-((INDEX('Curve_Interface'!$K$8:$K$73,MATCH(C7,'Curve_Interface'!$K$8:$K$73,1))-VAL_DATE)/360)=0,0,(((C7-VAL_DATE)/360)-((INDEX('Curve_Interface'!$K$8:$K$73,MATCH(C7,'Curve_Interface'!$K$8:$K$73,1))-VAL_DATE)/360))/(((INDEX('Curve_Interface'!$K$8:$K$73,MATCH(C7,'Curve_Interface'!$K$8:$K$73,1)+1)-VAL_DATE)/360)-((INDEX('Curve_Interface'!$K$8:$K$73,MATCH(C7,'Curve_Interface'!$K$8:$K$73,1))-VAL_DATE)/360))))*((C7-VAL_DATE)/360))),INDEX('Curve_Interface'!$L$8:$L$73,MATCH(C7,'Curve_Interface'!$K$8:$K$73,1))*(INDEX('Curve_Interface'!$L$8:$L$73,MATCH(C7,'Curve_Interface'!$K$8:$K$73,1)+1)/INDEX('Curve_Interface'!$L$8:$L$73,MATCH(C7,'Curve_Interface'!$K$8:$K$73,1)))^((C7-INDEX('Curve_Interface'!$K$8:$K$73,MATCH(C7,'Curve_Interface'!$K$8:$K$73,1)))/(INDEX('Curve_Interface'!$K$8:$K$73,MATCH(C7,'Curve_Interface'!$K$8:$K$73,1)+1)-INDEX('Curve_Interface'!$K$8:$K$73,MATCH(C7,'Curve_Interface'!$K$8:$K$73,1))))),INDEX('Curve_Interface'!$L$8:$L$73,MATCH(C7,'Curve_Interface'!$K$8:$K$73,1)))</f>
        <v/>
      </c>
      <c r="H7" s="36">
        <f>IFERROR(IF(Curve_Interface!$J$7="Piecewise Linear (Simple)",IF((((B7+C7)/2-VAL_DATE)/360)&lt;=0,1,1/(1+(IF(((INDEX('Curve_Interface'!$K$8:$K$73,MATCH((B7+C7)/2,'Curve_Interface'!$K$8:$K$73,1))-VAL_DATE)/360)&lt;=0,IF(((INDEX('Curve_Interface'!$K$8:$K$73,MATCH((B7+C7)/2,'Curve_Interface'!$K$8:$K$73,1)+1)-VAL_DATE)/360)&lt;=0,0,(1/INDEX('Curve_Interface'!$L$8:$L$73,MATCH((B7+C7)/2,'Curve_Interface'!$K$8:$K$73,1)+1)-1)/((INDEX('Curve_Interface'!$K$8:$K$73,MATCH((B7+C7)/2,'Curve_Interface'!$K$8:$K$73,1)+1)-VAL_DATE)/360)),(1/INDEX('Curve_Interface'!$L$8:$L$73,MATCH((B7+C7)/2,'Curve_Interface'!$K$8:$K$73,1))-1)/((INDEX('Curve_Interface'!$K$8:$K$73,MATCH((B7+C7)/2,'Curve_Interface'!$K$8:$K$73,1))-VAL_DATE)/360))+(IF(((INDEX('Curve_Interface'!$K$8:$K$73,MATCH((B7+C7)/2,'Curve_Interface'!$K$8:$K$73,1)+1)-VAL_DATE)/360)&lt;=0,0,(1/INDEX('Curve_Interface'!$L$8:$L$73,MATCH((B7+C7)/2,'Curve_Interface'!$K$8:$K$73,1)+1)-1)/((INDEX('Curve_Interface'!$K$8:$K$73,MATCH((B7+C7)/2,'Curve_Interface'!$K$8:$K$73,1)+1)-VAL_DATE)/360))-IF(((INDEX('Curve_Interface'!$K$8:$K$73,MATCH((B7+C7)/2,'Curve_Interface'!$K$8:$K$73,1))-VAL_DATE)/360)&lt;=0,IF(((INDEX('Curve_Interface'!$K$8:$K$73,MATCH((B7+C7)/2,'Curve_Interface'!$K$8:$K$73,1)+1)-VAL_DATE)/360)&lt;=0,0,(1/INDEX('Curve_Interface'!$L$8:$L$73,MATCH((B7+C7)/2,'Curve_Interface'!$K$8:$K$73,1)+1)-1)/((INDEX('Curve_Interface'!$K$8:$K$73,MATCH((B7+C7)/2,'Curve_Interface'!$K$8:$K$73,1)+1)-VAL_DATE)/360)),(1/INDEX('Curve_Interface'!$L$8:$L$73,MATCH((B7+C7)/2,'Curve_Interface'!$K$8:$K$73,1))-1)/((INDEX('Curve_Interface'!$K$8:$K$73,MATCH((B7+C7)/2,'Curve_Interface'!$K$8:$K$73,1))-VAL_DATE)/360)))*IF(((INDEX('Curve_Interface'!$K$8:$K$73,MATCH((B7+C7)/2,'Curve_Interface'!$K$8:$K$73,1)+1)-VAL_DATE)/360)-((INDEX('Curve_Interface'!$K$8:$K$73,MATCH((B7+C7)/2,'Curve_Interface'!$K$8:$K$73,1))-VAL_DATE)/360)=0,0,((((B7+C7)/2-VAL_DATE)/360)-((INDEX('Curve_Interface'!$K$8:$K$73,MATCH((B7+C7)/2,'Curve_Interface'!$K$8:$K$73,1))-VAL_DATE)/360))/(((INDEX('Curve_Interface'!$K$8:$K$73,MATCH((B7+C7)/2,'Curve_Interface'!$K$8:$K$73,1)+1)-VAL_DATE)/360)-((INDEX('Curve_Interface'!$K$8:$K$73,MATCH((B7+C7)/2,'Curve_Interface'!$K$8:$K$73,1))-VAL_DATE)/360))))*(((B7+C7)/2-VAL_DATE)/360))),INDEX('Curve_Interface'!$L$8:$L$73,MATCH((B7+C7)/2,'Curve_Interface'!$K$8:$K$73,1))*(INDEX('Curve_Interface'!$L$8:$L$73,MATCH((B7+C7)/2,'Curve_Interface'!$K$8:$K$73,1)+1)/INDEX('Curve_Interface'!$L$8:$L$73,MATCH((B7+C7)/2,'Curve_Interface'!$K$8:$K$73,1)))^(((B7+C7)/2-INDEX('Curve_Interface'!$K$8:$K$73,MATCH((B7+C7)/2,'Curve_Interface'!$K$8:$K$73,1)))/(INDEX('Curve_Interface'!$K$8:$K$73,MATCH((B7+C7)/2,'Curve_Interface'!$K$8:$K$73,1)+1)-INDEX('Curve_Interface'!$K$8:$K$73,MATCH((B7+C7)/2,'Curve_Interface'!$K$8:$K$73,1))))),INDEX('Curve_Interface'!$L$8:$L$73,MATCH((B7+C7)/2,'Curve_Interface'!$K$8:$K$73,1)))</f>
        <v/>
      </c>
      <c r="I7" s="36">
        <f>INDEX(Hazard_Bootstrap!$D$7:$D$12,MIN(COUNTIF(Hazard_Bootstrap!$B$7:$B$12,"&lt;"&amp;C7)+1,6))</f>
        <v/>
      </c>
      <c r="J7" s="36">
        <f>1</f>
        <v/>
      </c>
      <c r="K7" s="36">
        <f>J7*EXP(-I7*E7)</f>
        <v/>
      </c>
      <c r="L7" s="36">
        <f>J7-K7</f>
        <v/>
      </c>
      <c r="M7" s="36">
        <f>D7*G7*K7</f>
        <v/>
      </c>
      <c r="N7" s="36">
        <f>(D7/2)*H7*L7</f>
        <v/>
      </c>
      <c r="O7" s="36">
        <f>H7*L7</f>
        <v/>
      </c>
      <c r="Q7" s="138" t="inlineStr">
        <is>
          <t>col K   Q(t_i) = Q(t_i-1) * exp(-h_i * dt_i)                B-Model p.5</t>
        </is>
      </c>
    </row>
    <row r="8">
      <c r="A8" s="43" t="n">
        <v>2</v>
      </c>
      <c r="B8" s="18">
        <f>C7</f>
        <v/>
      </c>
      <c r="C8" s="18">
        <f>EDATE('Curve_Interface'!$F$7,3*1)</f>
        <v/>
      </c>
      <c r="D8" s="34">
        <f>(C8-B8)/360</f>
        <v/>
      </c>
      <c r="E8" s="34">
        <f>(C8-B8)/365</f>
        <v/>
      </c>
      <c r="F8" s="34">
        <f>(C8-VAL_DATE)/365</f>
        <v/>
      </c>
      <c r="G8" s="36">
        <f>IFERROR(IF(Curve_Interface!$J$7="Piecewise Linear (Simple)",IF(((C8-VAL_DATE)/360)&lt;=0,1,1/(1+(IF(((INDEX('Curve_Interface'!$K$8:$K$73,MATCH(C8,'Curve_Interface'!$K$8:$K$73,1))-VAL_DATE)/360)&lt;=0,IF(((INDEX('Curve_Interface'!$K$8:$K$73,MATCH(C8,'Curve_Interface'!$K$8:$K$73,1)+1)-VAL_DATE)/360)&lt;=0,0,(1/INDEX('Curve_Interface'!$L$8:$L$73,MATCH(C8,'Curve_Interface'!$K$8:$K$73,1)+1)-1)/((INDEX('Curve_Interface'!$K$8:$K$73,MATCH(C8,'Curve_Interface'!$K$8:$K$73,1)+1)-VAL_DATE)/360)),(1/INDEX('Curve_Interface'!$L$8:$L$73,MATCH(C8,'Curve_Interface'!$K$8:$K$73,1))-1)/((INDEX('Curve_Interface'!$K$8:$K$73,MATCH(C8,'Curve_Interface'!$K$8:$K$73,1))-VAL_DATE)/360))+(IF(((INDEX('Curve_Interface'!$K$8:$K$73,MATCH(C8,'Curve_Interface'!$K$8:$K$73,1)+1)-VAL_DATE)/360)&lt;=0,0,(1/INDEX('Curve_Interface'!$L$8:$L$73,MATCH(C8,'Curve_Interface'!$K$8:$K$73,1)+1)-1)/((INDEX('Curve_Interface'!$K$8:$K$73,MATCH(C8,'Curve_Interface'!$K$8:$K$73,1)+1)-VAL_DATE)/360))-IF(((INDEX('Curve_Interface'!$K$8:$K$73,MATCH(C8,'Curve_Interface'!$K$8:$K$73,1))-VAL_DATE)/360)&lt;=0,IF(((INDEX('Curve_Interface'!$K$8:$K$73,MATCH(C8,'Curve_Interface'!$K$8:$K$73,1)+1)-VAL_DATE)/360)&lt;=0,0,(1/INDEX('Curve_Interface'!$L$8:$L$73,MATCH(C8,'Curve_Interface'!$K$8:$K$73,1)+1)-1)/((INDEX('Curve_Interface'!$K$8:$K$73,MATCH(C8,'Curve_Interface'!$K$8:$K$73,1)+1)-VAL_DATE)/360)),(1/INDEX('Curve_Interface'!$L$8:$L$73,MATCH(C8,'Curve_Interface'!$K$8:$K$73,1))-1)/((INDEX('Curve_Interface'!$K$8:$K$73,MATCH(C8,'Curve_Interface'!$K$8:$K$73,1))-VAL_DATE)/360)))*IF(((INDEX('Curve_Interface'!$K$8:$K$73,MATCH(C8,'Curve_Interface'!$K$8:$K$73,1)+1)-VAL_DATE)/360)-((INDEX('Curve_Interface'!$K$8:$K$73,MATCH(C8,'Curve_Interface'!$K$8:$K$73,1))-VAL_DATE)/360)=0,0,(((C8-VAL_DATE)/360)-((INDEX('Curve_Interface'!$K$8:$K$73,MATCH(C8,'Curve_Interface'!$K$8:$K$73,1))-VAL_DATE)/360))/(((INDEX('Curve_Interface'!$K$8:$K$73,MATCH(C8,'Curve_Interface'!$K$8:$K$73,1)+1)-VAL_DATE)/360)-((INDEX('Curve_Interface'!$K$8:$K$73,MATCH(C8,'Curve_Interface'!$K$8:$K$73,1))-VAL_DATE)/360))))*((C8-VAL_DATE)/360))),INDEX('Curve_Interface'!$L$8:$L$73,MATCH(C8,'Curve_Interface'!$K$8:$K$73,1))*(INDEX('Curve_Interface'!$L$8:$L$73,MATCH(C8,'Curve_Interface'!$K$8:$K$73,1)+1)/INDEX('Curve_Interface'!$L$8:$L$73,MATCH(C8,'Curve_Interface'!$K$8:$K$73,1)))^((C8-INDEX('Curve_Interface'!$K$8:$K$73,MATCH(C8,'Curve_Interface'!$K$8:$K$73,1)))/(INDEX('Curve_Interface'!$K$8:$K$73,MATCH(C8,'Curve_Interface'!$K$8:$K$73,1)+1)-INDEX('Curve_Interface'!$K$8:$K$73,MATCH(C8,'Curve_Interface'!$K$8:$K$73,1))))),INDEX('Curve_Interface'!$L$8:$L$73,MATCH(C8,'Curve_Interface'!$K$8:$K$73,1)))</f>
        <v/>
      </c>
      <c r="H8" s="36">
        <f>IFERROR(IF(Curve_Interface!$J$7="Piecewise Linear (Simple)",IF((((B8+C8)/2-VAL_DATE)/360)&lt;=0,1,1/(1+(IF(((INDEX('Curve_Interface'!$K$8:$K$73,MATCH((B8+C8)/2,'Curve_Interface'!$K$8:$K$73,1))-VAL_DATE)/360)&lt;=0,IF(((INDEX('Curve_Interface'!$K$8:$K$73,MATCH((B8+C8)/2,'Curve_Interface'!$K$8:$K$73,1)+1)-VAL_DATE)/360)&lt;=0,0,(1/INDEX('Curve_Interface'!$L$8:$L$73,MATCH((B8+C8)/2,'Curve_Interface'!$K$8:$K$73,1)+1)-1)/((INDEX('Curve_Interface'!$K$8:$K$73,MATCH((B8+C8)/2,'Curve_Interface'!$K$8:$K$73,1)+1)-VAL_DATE)/360)),(1/INDEX('Curve_Interface'!$L$8:$L$73,MATCH((B8+C8)/2,'Curve_Interface'!$K$8:$K$73,1))-1)/((INDEX('Curve_Interface'!$K$8:$K$73,MATCH((B8+C8)/2,'Curve_Interface'!$K$8:$K$73,1))-VAL_DATE)/360))+(IF(((INDEX('Curve_Interface'!$K$8:$K$73,MATCH((B8+C8)/2,'Curve_Interface'!$K$8:$K$73,1)+1)-VAL_DATE)/360)&lt;=0,0,(1/INDEX('Curve_Interface'!$L$8:$L$73,MATCH((B8+C8)/2,'Curve_Interface'!$K$8:$K$73,1)+1)-1)/((INDEX('Curve_Interface'!$K$8:$K$73,MATCH((B8+C8)/2,'Curve_Interface'!$K$8:$K$73,1)+1)-VAL_DATE)/360))-IF(((INDEX('Curve_Interface'!$K$8:$K$73,MATCH((B8+C8)/2,'Curve_Interface'!$K$8:$K$73,1))-VAL_DATE)/360)&lt;=0,IF(((INDEX('Curve_Interface'!$K$8:$K$73,MATCH((B8+C8)/2,'Curve_Interface'!$K$8:$K$73,1)+1)-VAL_DATE)/360)&lt;=0,0,(1/INDEX('Curve_Interface'!$L$8:$L$73,MATCH((B8+C8)/2,'Curve_Interface'!$K$8:$K$73,1)+1)-1)/((INDEX('Curve_Interface'!$K$8:$K$73,MATCH((B8+C8)/2,'Curve_Interface'!$K$8:$K$73,1)+1)-VAL_DATE)/360)),(1/INDEX('Curve_Interface'!$L$8:$L$73,MATCH((B8+C8)/2,'Curve_Interface'!$K$8:$K$73,1))-1)/((INDEX('Curve_Interface'!$K$8:$K$73,MATCH((B8+C8)/2,'Curve_Interface'!$K$8:$K$73,1))-VAL_DATE)/360)))*IF(((INDEX('Curve_Interface'!$K$8:$K$73,MATCH((B8+C8)/2,'Curve_Interface'!$K$8:$K$73,1)+1)-VAL_DATE)/360)-((INDEX('Curve_Interface'!$K$8:$K$73,MATCH((B8+C8)/2,'Curve_Interface'!$K$8:$K$73,1))-VAL_DATE)/360)=0,0,((((B8+C8)/2-VAL_DATE)/360)-((INDEX('Curve_Interface'!$K$8:$K$73,MATCH((B8+C8)/2,'Curve_Interface'!$K$8:$K$73,1))-VAL_DATE)/360))/(((INDEX('Curve_Interface'!$K$8:$K$73,MATCH((B8+C8)/2,'Curve_Interface'!$K$8:$K$73,1)+1)-VAL_DATE)/360)-((INDEX('Curve_Interface'!$K$8:$K$73,MATCH((B8+C8)/2,'Curve_Interface'!$K$8:$K$73,1))-VAL_DATE)/360))))*(((B8+C8)/2-VAL_DATE)/360))),INDEX('Curve_Interface'!$L$8:$L$73,MATCH((B8+C8)/2,'Curve_Interface'!$K$8:$K$73,1))*(INDEX('Curve_Interface'!$L$8:$L$73,MATCH((B8+C8)/2,'Curve_Interface'!$K$8:$K$73,1)+1)/INDEX('Curve_Interface'!$L$8:$L$73,MATCH((B8+C8)/2,'Curve_Interface'!$K$8:$K$73,1)))^(((B8+C8)/2-INDEX('Curve_Interface'!$K$8:$K$73,MATCH((B8+C8)/2,'Curve_Interface'!$K$8:$K$73,1)))/(INDEX('Curve_Interface'!$K$8:$K$73,MATCH((B8+C8)/2,'Curve_Interface'!$K$8:$K$73,1)+1)-INDEX('Curve_Interface'!$K$8:$K$73,MATCH((B8+C8)/2,'Curve_Interface'!$K$8:$K$73,1))))),INDEX('Curve_Interface'!$L$8:$L$73,MATCH((B8+C8)/2,'Curve_Interface'!$K$8:$K$73,1)))</f>
        <v/>
      </c>
      <c r="I8" s="36">
        <f>INDEX(Hazard_Bootstrap!$D$7:$D$12,MIN(COUNTIF(Hazard_Bootstrap!$B$7:$B$12,"&lt;"&amp;C8)+1,6))</f>
        <v/>
      </c>
      <c r="J8" s="36">
        <f>K7</f>
        <v/>
      </c>
      <c r="K8" s="36">
        <f>J8*EXP(-I8*E8)</f>
        <v/>
      </c>
      <c r="L8" s="36">
        <f>J8-K8</f>
        <v/>
      </c>
      <c r="M8" s="36">
        <f>D8*G8*K8</f>
        <v/>
      </c>
      <c r="N8" s="36">
        <f>(D8/2)*H8*L8</f>
        <v/>
      </c>
      <c r="O8" s="36">
        <f>H8*L8</f>
        <v/>
      </c>
      <c r="Q8" s="138" t="inlineStr">
        <is>
          <t>col L   dPD    = Q(t_i-1) - Q(t_i)</t>
        </is>
      </c>
    </row>
    <row r="9">
      <c r="A9" s="43" t="n">
        <v>3</v>
      </c>
      <c r="B9" s="18">
        <f>C8</f>
        <v/>
      </c>
      <c r="C9" s="18">
        <f>EDATE('Curve_Interface'!$F$7,3*2)</f>
        <v/>
      </c>
      <c r="D9" s="34">
        <f>(C9-B9)/360</f>
        <v/>
      </c>
      <c r="E9" s="34">
        <f>(C9-B9)/365</f>
        <v/>
      </c>
      <c r="F9" s="34">
        <f>(C9-VAL_DATE)/365</f>
        <v/>
      </c>
      <c r="G9" s="36">
        <f>IFERROR(IF(Curve_Interface!$J$7="Piecewise Linear (Simple)",IF(((C9-VAL_DATE)/360)&lt;=0,1,1/(1+(IF(((INDEX('Curve_Interface'!$K$8:$K$73,MATCH(C9,'Curve_Interface'!$K$8:$K$73,1))-VAL_DATE)/360)&lt;=0,IF(((INDEX('Curve_Interface'!$K$8:$K$73,MATCH(C9,'Curve_Interface'!$K$8:$K$73,1)+1)-VAL_DATE)/360)&lt;=0,0,(1/INDEX('Curve_Interface'!$L$8:$L$73,MATCH(C9,'Curve_Interface'!$K$8:$K$73,1)+1)-1)/((INDEX('Curve_Interface'!$K$8:$K$73,MATCH(C9,'Curve_Interface'!$K$8:$K$73,1)+1)-VAL_DATE)/360)),(1/INDEX('Curve_Interface'!$L$8:$L$73,MATCH(C9,'Curve_Interface'!$K$8:$K$73,1))-1)/((INDEX('Curve_Interface'!$K$8:$K$73,MATCH(C9,'Curve_Interface'!$K$8:$K$73,1))-VAL_DATE)/360))+(IF(((INDEX('Curve_Interface'!$K$8:$K$73,MATCH(C9,'Curve_Interface'!$K$8:$K$73,1)+1)-VAL_DATE)/360)&lt;=0,0,(1/INDEX('Curve_Interface'!$L$8:$L$73,MATCH(C9,'Curve_Interface'!$K$8:$K$73,1)+1)-1)/((INDEX('Curve_Interface'!$K$8:$K$73,MATCH(C9,'Curve_Interface'!$K$8:$K$73,1)+1)-VAL_DATE)/360))-IF(((INDEX('Curve_Interface'!$K$8:$K$73,MATCH(C9,'Curve_Interface'!$K$8:$K$73,1))-VAL_DATE)/360)&lt;=0,IF(((INDEX('Curve_Interface'!$K$8:$K$73,MATCH(C9,'Curve_Interface'!$K$8:$K$73,1)+1)-VAL_DATE)/360)&lt;=0,0,(1/INDEX('Curve_Interface'!$L$8:$L$73,MATCH(C9,'Curve_Interface'!$K$8:$K$73,1)+1)-1)/((INDEX('Curve_Interface'!$K$8:$K$73,MATCH(C9,'Curve_Interface'!$K$8:$K$73,1)+1)-VAL_DATE)/360)),(1/INDEX('Curve_Interface'!$L$8:$L$73,MATCH(C9,'Curve_Interface'!$K$8:$K$73,1))-1)/((INDEX('Curve_Interface'!$K$8:$K$73,MATCH(C9,'Curve_Interface'!$K$8:$K$73,1))-VAL_DATE)/360)))*IF(((INDEX('Curve_Interface'!$K$8:$K$73,MATCH(C9,'Curve_Interface'!$K$8:$K$73,1)+1)-VAL_DATE)/360)-((INDEX('Curve_Interface'!$K$8:$K$73,MATCH(C9,'Curve_Interface'!$K$8:$K$73,1))-VAL_DATE)/360)=0,0,(((C9-VAL_DATE)/360)-((INDEX('Curve_Interface'!$K$8:$K$73,MATCH(C9,'Curve_Interface'!$K$8:$K$73,1))-VAL_DATE)/360))/(((INDEX('Curve_Interface'!$K$8:$K$73,MATCH(C9,'Curve_Interface'!$K$8:$K$73,1)+1)-VAL_DATE)/360)-((INDEX('Curve_Interface'!$K$8:$K$73,MATCH(C9,'Curve_Interface'!$K$8:$K$73,1))-VAL_DATE)/360))))*((C9-VAL_DATE)/360))),INDEX('Curve_Interface'!$L$8:$L$73,MATCH(C9,'Curve_Interface'!$K$8:$K$73,1))*(INDEX('Curve_Interface'!$L$8:$L$73,MATCH(C9,'Curve_Interface'!$K$8:$K$73,1)+1)/INDEX('Curve_Interface'!$L$8:$L$73,MATCH(C9,'Curve_Interface'!$K$8:$K$73,1)))^((C9-INDEX('Curve_Interface'!$K$8:$K$73,MATCH(C9,'Curve_Interface'!$K$8:$K$73,1)))/(INDEX('Curve_Interface'!$K$8:$K$73,MATCH(C9,'Curve_Interface'!$K$8:$K$73,1)+1)-INDEX('Curve_Interface'!$K$8:$K$73,MATCH(C9,'Curve_Interface'!$K$8:$K$73,1))))),INDEX('Curve_Interface'!$L$8:$L$73,MATCH(C9,'Curve_Interface'!$K$8:$K$73,1)))</f>
        <v/>
      </c>
      <c r="H9" s="36">
        <f>IFERROR(IF(Curve_Interface!$J$7="Piecewise Linear (Simple)",IF((((B9+C9)/2-VAL_DATE)/360)&lt;=0,1,1/(1+(IF(((INDEX('Curve_Interface'!$K$8:$K$73,MATCH((B9+C9)/2,'Curve_Interface'!$K$8:$K$73,1))-VAL_DATE)/360)&lt;=0,IF(((INDEX('Curve_Interface'!$K$8:$K$73,MATCH((B9+C9)/2,'Curve_Interface'!$K$8:$K$73,1)+1)-VAL_DATE)/360)&lt;=0,0,(1/INDEX('Curve_Interface'!$L$8:$L$73,MATCH((B9+C9)/2,'Curve_Interface'!$K$8:$K$73,1)+1)-1)/((INDEX('Curve_Interface'!$K$8:$K$73,MATCH((B9+C9)/2,'Curve_Interface'!$K$8:$K$73,1)+1)-VAL_DATE)/360)),(1/INDEX('Curve_Interface'!$L$8:$L$73,MATCH((B9+C9)/2,'Curve_Interface'!$K$8:$K$73,1))-1)/((INDEX('Curve_Interface'!$K$8:$K$73,MATCH((B9+C9)/2,'Curve_Interface'!$K$8:$K$73,1))-VAL_DATE)/360))+(IF(((INDEX('Curve_Interface'!$K$8:$K$73,MATCH((B9+C9)/2,'Curve_Interface'!$K$8:$K$73,1)+1)-VAL_DATE)/360)&lt;=0,0,(1/INDEX('Curve_Interface'!$L$8:$L$73,MATCH((B9+C9)/2,'Curve_Interface'!$K$8:$K$73,1)+1)-1)/((INDEX('Curve_Interface'!$K$8:$K$73,MATCH((B9+C9)/2,'Curve_Interface'!$K$8:$K$73,1)+1)-VAL_DATE)/360))-IF(((INDEX('Curve_Interface'!$K$8:$K$73,MATCH((B9+C9)/2,'Curve_Interface'!$K$8:$K$73,1))-VAL_DATE)/360)&lt;=0,IF(((INDEX('Curve_Interface'!$K$8:$K$73,MATCH((B9+C9)/2,'Curve_Interface'!$K$8:$K$73,1)+1)-VAL_DATE)/360)&lt;=0,0,(1/INDEX('Curve_Interface'!$L$8:$L$73,MATCH((B9+C9)/2,'Curve_Interface'!$K$8:$K$73,1)+1)-1)/((INDEX('Curve_Interface'!$K$8:$K$73,MATCH((B9+C9)/2,'Curve_Interface'!$K$8:$K$73,1)+1)-VAL_DATE)/360)),(1/INDEX('Curve_Interface'!$L$8:$L$73,MATCH((B9+C9)/2,'Curve_Interface'!$K$8:$K$73,1))-1)/((INDEX('Curve_Interface'!$K$8:$K$73,MATCH((B9+C9)/2,'Curve_Interface'!$K$8:$K$73,1))-VAL_DATE)/360)))*IF(((INDEX('Curve_Interface'!$K$8:$K$73,MATCH((B9+C9)/2,'Curve_Interface'!$K$8:$K$73,1)+1)-VAL_DATE)/360)-((INDEX('Curve_Interface'!$K$8:$K$73,MATCH((B9+C9)/2,'Curve_Interface'!$K$8:$K$73,1))-VAL_DATE)/360)=0,0,((((B9+C9)/2-VAL_DATE)/360)-((INDEX('Curve_Interface'!$K$8:$K$73,MATCH((B9+C9)/2,'Curve_Interface'!$K$8:$K$73,1))-VAL_DATE)/360))/(((INDEX('Curve_Interface'!$K$8:$K$73,MATCH((B9+C9)/2,'Curve_Interface'!$K$8:$K$73,1)+1)-VAL_DATE)/360)-((INDEX('Curve_Interface'!$K$8:$K$73,MATCH((B9+C9)/2,'Curve_Interface'!$K$8:$K$73,1))-VAL_DATE)/360))))*(((B9+C9)/2-VAL_DATE)/360))),INDEX('Curve_Interface'!$L$8:$L$73,MATCH((B9+C9)/2,'Curve_Interface'!$K$8:$K$73,1))*(INDEX('Curve_Interface'!$L$8:$L$73,MATCH((B9+C9)/2,'Curve_Interface'!$K$8:$K$73,1)+1)/INDEX('Curve_Interface'!$L$8:$L$73,MATCH((B9+C9)/2,'Curve_Interface'!$K$8:$K$73,1)))^(((B9+C9)/2-INDEX('Curve_Interface'!$K$8:$K$73,MATCH((B9+C9)/2,'Curve_Interface'!$K$8:$K$73,1)))/(INDEX('Curve_Interface'!$K$8:$K$73,MATCH((B9+C9)/2,'Curve_Interface'!$K$8:$K$73,1)+1)-INDEX('Curve_Interface'!$K$8:$K$73,MATCH((B9+C9)/2,'Curve_Interface'!$K$8:$K$73,1))))),INDEX('Curve_Interface'!$L$8:$L$73,MATCH((B9+C9)/2,'Curve_Interface'!$K$8:$K$73,1)))</f>
        <v/>
      </c>
      <c r="I9" s="36">
        <f>INDEX(Hazard_Bootstrap!$D$7:$D$12,MIN(COUNTIF(Hazard_Bootstrap!$B$7:$B$12,"&lt;"&amp;C9)+1,6))</f>
        <v/>
      </c>
      <c r="J9" s="36">
        <f>K8</f>
        <v/>
      </c>
      <c r="K9" s="36">
        <f>J9*EXP(-I9*E9)</f>
        <v/>
      </c>
      <c r="L9" s="36">
        <f>J9-K9</f>
        <v/>
      </c>
      <c r="M9" s="36">
        <f>D9*G9*K9</f>
        <v/>
      </c>
      <c r="N9" s="36">
        <f>(D9/2)*H9*L9</f>
        <v/>
      </c>
      <c r="O9" s="36">
        <f>H9*L9</f>
        <v/>
      </c>
      <c r="Q9" s="137" t="n"/>
    </row>
    <row r="10">
      <c r="A10" s="43" t="n">
        <v>4</v>
      </c>
      <c r="B10" s="18">
        <f>C9</f>
        <v/>
      </c>
      <c r="C10" s="18">
        <f>EDATE('Curve_Interface'!$F$7,3*3)</f>
        <v/>
      </c>
      <c r="D10" s="34">
        <f>(C10-B10)/360</f>
        <v/>
      </c>
      <c r="E10" s="34">
        <f>(C10-B10)/365</f>
        <v/>
      </c>
      <c r="F10" s="34">
        <f>(C10-VAL_DATE)/365</f>
        <v/>
      </c>
      <c r="G10" s="36">
        <f>IFERROR(IF(Curve_Interface!$J$7="Piecewise Linear (Simple)",IF(((C10-VAL_DATE)/360)&lt;=0,1,1/(1+(IF(((INDEX('Curve_Interface'!$K$8:$K$73,MATCH(C10,'Curve_Interface'!$K$8:$K$73,1))-VAL_DATE)/360)&lt;=0,IF(((INDEX('Curve_Interface'!$K$8:$K$73,MATCH(C10,'Curve_Interface'!$K$8:$K$73,1)+1)-VAL_DATE)/360)&lt;=0,0,(1/INDEX('Curve_Interface'!$L$8:$L$73,MATCH(C10,'Curve_Interface'!$K$8:$K$73,1)+1)-1)/((INDEX('Curve_Interface'!$K$8:$K$73,MATCH(C10,'Curve_Interface'!$K$8:$K$73,1)+1)-VAL_DATE)/360)),(1/INDEX('Curve_Interface'!$L$8:$L$73,MATCH(C10,'Curve_Interface'!$K$8:$K$73,1))-1)/((INDEX('Curve_Interface'!$K$8:$K$73,MATCH(C10,'Curve_Interface'!$K$8:$K$73,1))-VAL_DATE)/360))+(IF(((INDEX('Curve_Interface'!$K$8:$K$73,MATCH(C10,'Curve_Interface'!$K$8:$K$73,1)+1)-VAL_DATE)/360)&lt;=0,0,(1/INDEX('Curve_Interface'!$L$8:$L$73,MATCH(C10,'Curve_Interface'!$K$8:$K$73,1)+1)-1)/((INDEX('Curve_Interface'!$K$8:$K$73,MATCH(C10,'Curve_Interface'!$K$8:$K$73,1)+1)-VAL_DATE)/360))-IF(((INDEX('Curve_Interface'!$K$8:$K$73,MATCH(C10,'Curve_Interface'!$K$8:$K$73,1))-VAL_DATE)/360)&lt;=0,IF(((INDEX('Curve_Interface'!$K$8:$K$73,MATCH(C10,'Curve_Interface'!$K$8:$K$73,1)+1)-VAL_DATE)/360)&lt;=0,0,(1/INDEX('Curve_Interface'!$L$8:$L$73,MATCH(C10,'Curve_Interface'!$K$8:$K$73,1)+1)-1)/((INDEX('Curve_Interface'!$K$8:$K$73,MATCH(C10,'Curve_Interface'!$K$8:$K$73,1)+1)-VAL_DATE)/360)),(1/INDEX('Curve_Interface'!$L$8:$L$73,MATCH(C10,'Curve_Interface'!$K$8:$K$73,1))-1)/((INDEX('Curve_Interface'!$K$8:$K$73,MATCH(C10,'Curve_Interface'!$K$8:$K$73,1))-VAL_DATE)/360)))*IF(((INDEX('Curve_Interface'!$K$8:$K$73,MATCH(C10,'Curve_Interface'!$K$8:$K$73,1)+1)-VAL_DATE)/360)-((INDEX('Curve_Interface'!$K$8:$K$73,MATCH(C10,'Curve_Interface'!$K$8:$K$73,1))-VAL_DATE)/360)=0,0,(((C10-VAL_DATE)/360)-((INDEX('Curve_Interface'!$K$8:$K$73,MATCH(C10,'Curve_Interface'!$K$8:$K$73,1))-VAL_DATE)/360))/(((INDEX('Curve_Interface'!$K$8:$K$73,MATCH(C10,'Curve_Interface'!$K$8:$K$73,1)+1)-VAL_DATE)/360)-((INDEX('Curve_Interface'!$K$8:$K$73,MATCH(C10,'Curve_Interface'!$K$8:$K$73,1))-VAL_DATE)/360))))*((C10-VAL_DATE)/360))),INDEX('Curve_Interface'!$L$8:$L$73,MATCH(C10,'Curve_Interface'!$K$8:$K$73,1))*(INDEX('Curve_Interface'!$L$8:$L$73,MATCH(C10,'Curve_Interface'!$K$8:$K$73,1)+1)/INDEX('Curve_Interface'!$L$8:$L$73,MATCH(C10,'Curve_Interface'!$K$8:$K$73,1)))^((C10-INDEX('Curve_Interface'!$K$8:$K$73,MATCH(C10,'Curve_Interface'!$K$8:$K$73,1)))/(INDEX('Curve_Interface'!$K$8:$K$73,MATCH(C10,'Curve_Interface'!$K$8:$K$73,1)+1)-INDEX('Curve_Interface'!$K$8:$K$73,MATCH(C10,'Curve_Interface'!$K$8:$K$73,1))))),INDEX('Curve_Interface'!$L$8:$L$73,MATCH(C10,'Curve_Interface'!$K$8:$K$73,1)))</f>
        <v/>
      </c>
      <c r="H10" s="36">
        <f>IFERROR(IF(Curve_Interface!$J$7="Piecewise Linear (Simple)",IF((((B10+C10)/2-VAL_DATE)/360)&lt;=0,1,1/(1+(IF(((INDEX('Curve_Interface'!$K$8:$K$73,MATCH((B10+C10)/2,'Curve_Interface'!$K$8:$K$73,1))-VAL_DATE)/360)&lt;=0,IF(((INDEX('Curve_Interface'!$K$8:$K$73,MATCH((B10+C10)/2,'Curve_Interface'!$K$8:$K$73,1)+1)-VAL_DATE)/360)&lt;=0,0,(1/INDEX('Curve_Interface'!$L$8:$L$73,MATCH((B10+C10)/2,'Curve_Interface'!$K$8:$K$73,1)+1)-1)/((INDEX('Curve_Interface'!$K$8:$K$73,MATCH((B10+C10)/2,'Curve_Interface'!$K$8:$K$73,1)+1)-VAL_DATE)/360)),(1/INDEX('Curve_Interface'!$L$8:$L$73,MATCH((B10+C10)/2,'Curve_Interface'!$K$8:$K$73,1))-1)/((INDEX('Curve_Interface'!$K$8:$K$73,MATCH((B10+C10)/2,'Curve_Interface'!$K$8:$K$73,1))-VAL_DATE)/360))+(IF(((INDEX('Curve_Interface'!$K$8:$K$73,MATCH((B10+C10)/2,'Curve_Interface'!$K$8:$K$73,1)+1)-VAL_DATE)/360)&lt;=0,0,(1/INDEX('Curve_Interface'!$L$8:$L$73,MATCH((B10+C10)/2,'Curve_Interface'!$K$8:$K$73,1)+1)-1)/((INDEX('Curve_Interface'!$K$8:$K$73,MATCH((B10+C10)/2,'Curve_Interface'!$K$8:$K$73,1)+1)-VAL_DATE)/360))-IF(((INDEX('Curve_Interface'!$K$8:$K$73,MATCH((B10+C10)/2,'Curve_Interface'!$K$8:$K$73,1))-VAL_DATE)/360)&lt;=0,IF(((INDEX('Curve_Interface'!$K$8:$K$73,MATCH((B10+C10)/2,'Curve_Interface'!$K$8:$K$73,1)+1)-VAL_DATE)/360)&lt;=0,0,(1/INDEX('Curve_Interface'!$L$8:$L$73,MATCH((B10+C10)/2,'Curve_Interface'!$K$8:$K$73,1)+1)-1)/((INDEX('Curve_Interface'!$K$8:$K$73,MATCH((B10+C10)/2,'Curve_Interface'!$K$8:$K$73,1)+1)-VAL_DATE)/360)),(1/INDEX('Curve_Interface'!$L$8:$L$73,MATCH((B10+C10)/2,'Curve_Interface'!$K$8:$K$73,1))-1)/((INDEX('Curve_Interface'!$K$8:$K$73,MATCH((B10+C10)/2,'Curve_Interface'!$K$8:$K$73,1))-VAL_DATE)/360)))*IF(((INDEX('Curve_Interface'!$K$8:$K$73,MATCH((B10+C10)/2,'Curve_Interface'!$K$8:$K$73,1)+1)-VAL_DATE)/360)-((INDEX('Curve_Interface'!$K$8:$K$73,MATCH((B10+C10)/2,'Curve_Interface'!$K$8:$K$73,1))-VAL_DATE)/360)=0,0,((((B10+C10)/2-VAL_DATE)/360)-((INDEX('Curve_Interface'!$K$8:$K$73,MATCH((B10+C10)/2,'Curve_Interface'!$K$8:$K$73,1))-VAL_DATE)/360))/(((INDEX('Curve_Interface'!$K$8:$K$73,MATCH((B10+C10)/2,'Curve_Interface'!$K$8:$K$73,1)+1)-VAL_DATE)/360)-((INDEX('Curve_Interface'!$K$8:$K$73,MATCH((B10+C10)/2,'Curve_Interface'!$K$8:$K$73,1))-VAL_DATE)/360))))*(((B10+C10)/2-VAL_DATE)/360))),INDEX('Curve_Interface'!$L$8:$L$73,MATCH((B10+C10)/2,'Curve_Interface'!$K$8:$K$73,1))*(INDEX('Curve_Interface'!$L$8:$L$73,MATCH((B10+C10)/2,'Curve_Interface'!$K$8:$K$73,1)+1)/INDEX('Curve_Interface'!$L$8:$L$73,MATCH((B10+C10)/2,'Curve_Interface'!$K$8:$K$73,1)))^(((B10+C10)/2-INDEX('Curve_Interface'!$K$8:$K$73,MATCH((B10+C10)/2,'Curve_Interface'!$K$8:$K$73,1)))/(INDEX('Curve_Interface'!$K$8:$K$73,MATCH((B10+C10)/2,'Curve_Interface'!$K$8:$K$73,1)+1)-INDEX('Curve_Interface'!$K$8:$K$73,MATCH((B10+C10)/2,'Curve_Interface'!$K$8:$K$73,1))))),INDEX('Curve_Interface'!$L$8:$L$73,MATCH((B10+C10)/2,'Curve_Interface'!$K$8:$K$73,1)))</f>
        <v/>
      </c>
      <c r="I10" s="36">
        <f>INDEX(Hazard_Bootstrap!$D$7:$D$12,MIN(COUNTIF(Hazard_Bootstrap!$B$7:$B$12,"&lt;"&amp;C10)+1,6))</f>
        <v/>
      </c>
      <c r="J10" s="36">
        <f>K9</f>
        <v/>
      </c>
      <c r="K10" s="36">
        <f>J10*EXP(-I10*E10)</f>
        <v/>
      </c>
      <c r="L10" s="36">
        <f>J10-K10</f>
        <v/>
      </c>
      <c r="M10" s="36">
        <f>D10*G10*K10</f>
        <v/>
      </c>
      <c r="N10" s="36">
        <f>(D10/2)*H10*L10</f>
        <v/>
      </c>
      <c r="O10" s="36">
        <f>H10*L10</f>
        <v/>
      </c>
      <c r="Q10" s="137" t="inlineStr">
        <is>
          <t>col M   premium factor                          (3.4) / O-T (5) 1st term</t>
        </is>
      </c>
    </row>
    <row r="11">
      <c r="A11" s="43" t="n">
        <v>5</v>
      </c>
      <c r="B11" s="18">
        <f>C10</f>
        <v/>
      </c>
      <c r="C11" s="18">
        <f>EDATE('Curve_Interface'!$F$7,3*4)</f>
        <v/>
      </c>
      <c r="D11" s="34">
        <f>(C11-B11)/360</f>
        <v/>
      </c>
      <c r="E11" s="34">
        <f>(C11-B11)/365</f>
        <v/>
      </c>
      <c r="F11" s="34">
        <f>(C11-VAL_DATE)/365</f>
        <v/>
      </c>
      <c r="G11" s="36">
        <f>IFERROR(IF(Curve_Interface!$J$7="Piecewise Linear (Simple)",IF(((C11-VAL_DATE)/360)&lt;=0,1,1/(1+(IF(((INDEX('Curve_Interface'!$K$8:$K$73,MATCH(C11,'Curve_Interface'!$K$8:$K$73,1))-VAL_DATE)/360)&lt;=0,IF(((INDEX('Curve_Interface'!$K$8:$K$73,MATCH(C11,'Curve_Interface'!$K$8:$K$73,1)+1)-VAL_DATE)/360)&lt;=0,0,(1/INDEX('Curve_Interface'!$L$8:$L$73,MATCH(C11,'Curve_Interface'!$K$8:$K$73,1)+1)-1)/((INDEX('Curve_Interface'!$K$8:$K$73,MATCH(C11,'Curve_Interface'!$K$8:$K$73,1)+1)-VAL_DATE)/360)),(1/INDEX('Curve_Interface'!$L$8:$L$73,MATCH(C11,'Curve_Interface'!$K$8:$K$73,1))-1)/((INDEX('Curve_Interface'!$K$8:$K$73,MATCH(C11,'Curve_Interface'!$K$8:$K$73,1))-VAL_DATE)/360))+(IF(((INDEX('Curve_Interface'!$K$8:$K$73,MATCH(C11,'Curve_Interface'!$K$8:$K$73,1)+1)-VAL_DATE)/360)&lt;=0,0,(1/INDEX('Curve_Interface'!$L$8:$L$73,MATCH(C11,'Curve_Interface'!$K$8:$K$73,1)+1)-1)/((INDEX('Curve_Interface'!$K$8:$K$73,MATCH(C11,'Curve_Interface'!$K$8:$K$73,1)+1)-VAL_DATE)/360))-IF(((INDEX('Curve_Interface'!$K$8:$K$73,MATCH(C11,'Curve_Interface'!$K$8:$K$73,1))-VAL_DATE)/360)&lt;=0,IF(((INDEX('Curve_Interface'!$K$8:$K$73,MATCH(C11,'Curve_Interface'!$K$8:$K$73,1)+1)-VAL_DATE)/360)&lt;=0,0,(1/INDEX('Curve_Interface'!$L$8:$L$73,MATCH(C11,'Curve_Interface'!$K$8:$K$73,1)+1)-1)/((INDEX('Curve_Interface'!$K$8:$K$73,MATCH(C11,'Curve_Interface'!$K$8:$K$73,1)+1)-VAL_DATE)/360)),(1/INDEX('Curve_Interface'!$L$8:$L$73,MATCH(C11,'Curve_Interface'!$K$8:$K$73,1))-1)/((INDEX('Curve_Interface'!$K$8:$K$73,MATCH(C11,'Curve_Interface'!$K$8:$K$73,1))-VAL_DATE)/360)))*IF(((INDEX('Curve_Interface'!$K$8:$K$73,MATCH(C11,'Curve_Interface'!$K$8:$K$73,1)+1)-VAL_DATE)/360)-((INDEX('Curve_Interface'!$K$8:$K$73,MATCH(C11,'Curve_Interface'!$K$8:$K$73,1))-VAL_DATE)/360)=0,0,(((C11-VAL_DATE)/360)-((INDEX('Curve_Interface'!$K$8:$K$73,MATCH(C11,'Curve_Interface'!$K$8:$K$73,1))-VAL_DATE)/360))/(((INDEX('Curve_Interface'!$K$8:$K$73,MATCH(C11,'Curve_Interface'!$K$8:$K$73,1)+1)-VAL_DATE)/360)-((INDEX('Curve_Interface'!$K$8:$K$73,MATCH(C11,'Curve_Interface'!$K$8:$K$73,1))-VAL_DATE)/360))))*((C11-VAL_DATE)/360))),INDEX('Curve_Interface'!$L$8:$L$73,MATCH(C11,'Curve_Interface'!$K$8:$K$73,1))*(INDEX('Curve_Interface'!$L$8:$L$73,MATCH(C11,'Curve_Interface'!$K$8:$K$73,1)+1)/INDEX('Curve_Interface'!$L$8:$L$73,MATCH(C11,'Curve_Interface'!$K$8:$K$73,1)))^((C11-INDEX('Curve_Interface'!$K$8:$K$73,MATCH(C11,'Curve_Interface'!$K$8:$K$73,1)))/(INDEX('Curve_Interface'!$K$8:$K$73,MATCH(C11,'Curve_Interface'!$K$8:$K$73,1)+1)-INDEX('Curve_Interface'!$K$8:$K$73,MATCH(C11,'Curve_Interface'!$K$8:$K$73,1))))),INDEX('Curve_Interface'!$L$8:$L$73,MATCH(C11,'Curve_Interface'!$K$8:$K$73,1)))</f>
        <v/>
      </c>
      <c r="H11" s="36">
        <f>IFERROR(IF(Curve_Interface!$J$7="Piecewise Linear (Simple)",IF((((B11+C11)/2-VAL_DATE)/360)&lt;=0,1,1/(1+(IF(((INDEX('Curve_Interface'!$K$8:$K$73,MATCH((B11+C11)/2,'Curve_Interface'!$K$8:$K$73,1))-VAL_DATE)/360)&lt;=0,IF(((INDEX('Curve_Interface'!$K$8:$K$73,MATCH((B11+C11)/2,'Curve_Interface'!$K$8:$K$73,1)+1)-VAL_DATE)/360)&lt;=0,0,(1/INDEX('Curve_Interface'!$L$8:$L$73,MATCH((B11+C11)/2,'Curve_Interface'!$K$8:$K$73,1)+1)-1)/((INDEX('Curve_Interface'!$K$8:$K$73,MATCH((B11+C11)/2,'Curve_Interface'!$K$8:$K$73,1)+1)-VAL_DATE)/360)),(1/INDEX('Curve_Interface'!$L$8:$L$73,MATCH((B11+C11)/2,'Curve_Interface'!$K$8:$K$73,1))-1)/((INDEX('Curve_Interface'!$K$8:$K$73,MATCH((B11+C11)/2,'Curve_Interface'!$K$8:$K$73,1))-VAL_DATE)/360))+(IF(((INDEX('Curve_Interface'!$K$8:$K$73,MATCH((B11+C11)/2,'Curve_Interface'!$K$8:$K$73,1)+1)-VAL_DATE)/360)&lt;=0,0,(1/INDEX('Curve_Interface'!$L$8:$L$73,MATCH((B11+C11)/2,'Curve_Interface'!$K$8:$K$73,1)+1)-1)/((INDEX('Curve_Interface'!$K$8:$K$73,MATCH((B11+C11)/2,'Curve_Interface'!$K$8:$K$73,1)+1)-VAL_DATE)/360))-IF(((INDEX('Curve_Interface'!$K$8:$K$73,MATCH((B11+C11)/2,'Curve_Interface'!$K$8:$K$73,1))-VAL_DATE)/360)&lt;=0,IF(((INDEX('Curve_Interface'!$K$8:$K$73,MATCH((B11+C11)/2,'Curve_Interface'!$K$8:$K$73,1)+1)-VAL_DATE)/360)&lt;=0,0,(1/INDEX('Curve_Interface'!$L$8:$L$73,MATCH((B11+C11)/2,'Curve_Interface'!$K$8:$K$73,1)+1)-1)/((INDEX('Curve_Interface'!$K$8:$K$73,MATCH((B11+C11)/2,'Curve_Interface'!$K$8:$K$73,1)+1)-VAL_DATE)/360)),(1/INDEX('Curve_Interface'!$L$8:$L$73,MATCH((B11+C11)/2,'Curve_Interface'!$K$8:$K$73,1))-1)/((INDEX('Curve_Interface'!$K$8:$K$73,MATCH((B11+C11)/2,'Curve_Interface'!$K$8:$K$73,1))-VAL_DATE)/360)))*IF(((INDEX('Curve_Interface'!$K$8:$K$73,MATCH((B11+C11)/2,'Curve_Interface'!$K$8:$K$73,1)+1)-VAL_DATE)/360)-((INDEX('Curve_Interface'!$K$8:$K$73,MATCH((B11+C11)/2,'Curve_Interface'!$K$8:$K$73,1))-VAL_DATE)/360)=0,0,((((B11+C11)/2-VAL_DATE)/360)-((INDEX('Curve_Interface'!$K$8:$K$73,MATCH((B11+C11)/2,'Curve_Interface'!$K$8:$K$73,1))-VAL_DATE)/360))/(((INDEX('Curve_Interface'!$K$8:$K$73,MATCH((B11+C11)/2,'Curve_Interface'!$K$8:$K$73,1)+1)-VAL_DATE)/360)-((INDEX('Curve_Interface'!$K$8:$K$73,MATCH((B11+C11)/2,'Curve_Interface'!$K$8:$K$73,1))-VAL_DATE)/360))))*(((B11+C11)/2-VAL_DATE)/360))),INDEX('Curve_Interface'!$L$8:$L$73,MATCH((B11+C11)/2,'Curve_Interface'!$K$8:$K$73,1))*(INDEX('Curve_Interface'!$L$8:$L$73,MATCH((B11+C11)/2,'Curve_Interface'!$K$8:$K$73,1)+1)/INDEX('Curve_Interface'!$L$8:$L$73,MATCH((B11+C11)/2,'Curve_Interface'!$K$8:$K$73,1)))^(((B11+C11)/2-INDEX('Curve_Interface'!$K$8:$K$73,MATCH((B11+C11)/2,'Curve_Interface'!$K$8:$K$73,1)))/(INDEX('Curve_Interface'!$K$8:$K$73,MATCH((B11+C11)/2,'Curve_Interface'!$K$8:$K$73,1)+1)-INDEX('Curve_Interface'!$K$8:$K$73,MATCH((B11+C11)/2,'Curve_Interface'!$K$8:$K$73,1))))),INDEX('Curve_Interface'!$L$8:$L$73,MATCH((B11+C11)/2,'Curve_Interface'!$K$8:$K$73,1)))</f>
        <v/>
      </c>
      <c r="I11" s="36">
        <f>INDEX(Hazard_Bootstrap!$D$7:$D$12,MIN(COUNTIF(Hazard_Bootstrap!$B$7:$B$12,"&lt;"&amp;C11)+1,6))</f>
        <v/>
      </c>
      <c r="J11" s="36">
        <f>K10</f>
        <v/>
      </c>
      <c r="K11" s="36">
        <f>J11*EXP(-I11*E11)</f>
        <v/>
      </c>
      <c r="L11" s="36">
        <f>J11-K11</f>
        <v/>
      </c>
      <c r="M11" s="36">
        <f>D11*G11*K11</f>
        <v/>
      </c>
      <c r="N11" s="36">
        <f>(D11/2)*H11*L11</f>
        <v/>
      </c>
      <c r="O11" s="36">
        <f>H11*L11</f>
        <v/>
      </c>
      <c r="Q11" s="138" t="inlineStr">
        <is>
          <t xml:space="preserve">        alpha_i * Z(t_i) * Q(t_i)</t>
        </is>
      </c>
    </row>
    <row r="12">
      <c r="A12" s="43" t="n">
        <v>6</v>
      </c>
      <c r="B12" s="18">
        <f>C11</f>
        <v/>
      </c>
      <c r="C12" s="18">
        <f>EDATE('Curve_Interface'!$F$7,3*5)</f>
        <v/>
      </c>
      <c r="D12" s="34">
        <f>(C12-B12)/360</f>
        <v/>
      </c>
      <c r="E12" s="34">
        <f>(C12-B12)/365</f>
        <v/>
      </c>
      <c r="F12" s="34">
        <f>(C12-VAL_DATE)/365</f>
        <v/>
      </c>
      <c r="G12" s="36">
        <f>IFERROR(IF(Curve_Interface!$J$7="Piecewise Linear (Simple)",IF(((C12-VAL_DATE)/360)&lt;=0,1,1/(1+(IF(((INDEX('Curve_Interface'!$K$8:$K$73,MATCH(C12,'Curve_Interface'!$K$8:$K$73,1))-VAL_DATE)/360)&lt;=0,IF(((INDEX('Curve_Interface'!$K$8:$K$73,MATCH(C12,'Curve_Interface'!$K$8:$K$73,1)+1)-VAL_DATE)/360)&lt;=0,0,(1/INDEX('Curve_Interface'!$L$8:$L$73,MATCH(C12,'Curve_Interface'!$K$8:$K$73,1)+1)-1)/((INDEX('Curve_Interface'!$K$8:$K$73,MATCH(C12,'Curve_Interface'!$K$8:$K$73,1)+1)-VAL_DATE)/360)),(1/INDEX('Curve_Interface'!$L$8:$L$73,MATCH(C12,'Curve_Interface'!$K$8:$K$73,1))-1)/((INDEX('Curve_Interface'!$K$8:$K$73,MATCH(C12,'Curve_Interface'!$K$8:$K$73,1))-VAL_DATE)/360))+(IF(((INDEX('Curve_Interface'!$K$8:$K$73,MATCH(C12,'Curve_Interface'!$K$8:$K$73,1)+1)-VAL_DATE)/360)&lt;=0,0,(1/INDEX('Curve_Interface'!$L$8:$L$73,MATCH(C12,'Curve_Interface'!$K$8:$K$73,1)+1)-1)/((INDEX('Curve_Interface'!$K$8:$K$73,MATCH(C12,'Curve_Interface'!$K$8:$K$73,1)+1)-VAL_DATE)/360))-IF(((INDEX('Curve_Interface'!$K$8:$K$73,MATCH(C12,'Curve_Interface'!$K$8:$K$73,1))-VAL_DATE)/360)&lt;=0,IF(((INDEX('Curve_Interface'!$K$8:$K$73,MATCH(C12,'Curve_Interface'!$K$8:$K$73,1)+1)-VAL_DATE)/360)&lt;=0,0,(1/INDEX('Curve_Interface'!$L$8:$L$73,MATCH(C12,'Curve_Interface'!$K$8:$K$73,1)+1)-1)/((INDEX('Curve_Interface'!$K$8:$K$73,MATCH(C12,'Curve_Interface'!$K$8:$K$73,1)+1)-VAL_DATE)/360)),(1/INDEX('Curve_Interface'!$L$8:$L$73,MATCH(C12,'Curve_Interface'!$K$8:$K$73,1))-1)/((INDEX('Curve_Interface'!$K$8:$K$73,MATCH(C12,'Curve_Interface'!$K$8:$K$73,1))-VAL_DATE)/360)))*IF(((INDEX('Curve_Interface'!$K$8:$K$73,MATCH(C12,'Curve_Interface'!$K$8:$K$73,1)+1)-VAL_DATE)/360)-((INDEX('Curve_Interface'!$K$8:$K$73,MATCH(C12,'Curve_Interface'!$K$8:$K$73,1))-VAL_DATE)/360)=0,0,(((C12-VAL_DATE)/360)-((INDEX('Curve_Interface'!$K$8:$K$73,MATCH(C12,'Curve_Interface'!$K$8:$K$73,1))-VAL_DATE)/360))/(((INDEX('Curve_Interface'!$K$8:$K$73,MATCH(C12,'Curve_Interface'!$K$8:$K$73,1)+1)-VAL_DATE)/360)-((INDEX('Curve_Interface'!$K$8:$K$73,MATCH(C12,'Curve_Interface'!$K$8:$K$73,1))-VAL_DATE)/360))))*((C12-VAL_DATE)/360))),INDEX('Curve_Interface'!$L$8:$L$73,MATCH(C12,'Curve_Interface'!$K$8:$K$73,1))*(INDEX('Curve_Interface'!$L$8:$L$73,MATCH(C12,'Curve_Interface'!$K$8:$K$73,1)+1)/INDEX('Curve_Interface'!$L$8:$L$73,MATCH(C12,'Curve_Interface'!$K$8:$K$73,1)))^((C12-INDEX('Curve_Interface'!$K$8:$K$73,MATCH(C12,'Curve_Interface'!$K$8:$K$73,1)))/(INDEX('Curve_Interface'!$K$8:$K$73,MATCH(C12,'Curve_Interface'!$K$8:$K$73,1)+1)-INDEX('Curve_Interface'!$K$8:$K$73,MATCH(C12,'Curve_Interface'!$K$8:$K$73,1))))),INDEX('Curve_Interface'!$L$8:$L$73,MATCH(C12,'Curve_Interface'!$K$8:$K$73,1)))</f>
        <v/>
      </c>
      <c r="H12" s="36">
        <f>IFERROR(IF(Curve_Interface!$J$7="Piecewise Linear (Simple)",IF((((B12+C12)/2-VAL_DATE)/360)&lt;=0,1,1/(1+(IF(((INDEX('Curve_Interface'!$K$8:$K$73,MATCH((B12+C12)/2,'Curve_Interface'!$K$8:$K$73,1))-VAL_DATE)/360)&lt;=0,IF(((INDEX('Curve_Interface'!$K$8:$K$73,MATCH((B12+C12)/2,'Curve_Interface'!$K$8:$K$73,1)+1)-VAL_DATE)/360)&lt;=0,0,(1/INDEX('Curve_Interface'!$L$8:$L$73,MATCH((B12+C12)/2,'Curve_Interface'!$K$8:$K$73,1)+1)-1)/((INDEX('Curve_Interface'!$K$8:$K$73,MATCH((B12+C12)/2,'Curve_Interface'!$K$8:$K$73,1)+1)-VAL_DATE)/360)),(1/INDEX('Curve_Interface'!$L$8:$L$73,MATCH((B12+C12)/2,'Curve_Interface'!$K$8:$K$73,1))-1)/((INDEX('Curve_Interface'!$K$8:$K$73,MATCH((B12+C12)/2,'Curve_Interface'!$K$8:$K$73,1))-VAL_DATE)/360))+(IF(((INDEX('Curve_Interface'!$K$8:$K$73,MATCH((B12+C12)/2,'Curve_Interface'!$K$8:$K$73,1)+1)-VAL_DATE)/360)&lt;=0,0,(1/INDEX('Curve_Interface'!$L$8:$L$73,MATCH((B12+C12)/2,'Curve_Interface'!$K$8:$K$73,1)+1)-1)/((INDEX('Curve_Interface'!$K$8:$K$73,MATCH((B12+C12)/2,'Curve_Interface'!$K$8:$K$73,1)+1)-VAL_DATE)/360))-IF(((INDEX('Curve_Interface'!$K$8:$K$73,MATCH((B12+C12)/2,'Curve_Interface'!$K$8:$K$73,1))-VAL_DATE)/360)&lt;=0,IF(((INDEX('Curve_Interface'!$K$8:$K$73,MATCH((B12+C12)/2,'Curve_Interface'!$K$8:$K$73,1)+1)-VAL_DATE)/360)&lt;=0,0,(1/INDEX('Curve_Interface'!$L$8:$L$73,MATCH((B12+C12)/2,'Curve_Interface'!$K$8:$K$73,1)+1)-1)/((INDEX('Curve_Interface'!$K$8:$K$73,MATCH((B12+C12)/2,'Curve_Interface'!$K$8:$K$73,1)+1)-VAL_DATE)/360)),(1/INDEX('Curve_Interface'!$L$8:$L$73,MATCH((B12+C12)/2,'Curve_Interface'!$K$8:$K$73,1))-1)/((INDEX('Curve_Interface'!$K$8:$K$73,MATCH((B12+C12)/2,'Curve_Interface'!$K$8:$K$73,1))-VAL_DATE)/360)))*IF(((INDEX('Curve_Interface'!$K$8:$K$73,MATCH((B12+C12)/2,'Curve_Interface'!$K$8:$K$73,1)+1)-VAL_DATE)/360)-((INDEX('Curve_Interface'!$K$8:$K$73,MATCH((B12+C12)/2,'Curve_Interface'!$K$8:$K$73,1))-VAL_DATE)/360)=0,0,((((B12+C12)/2-VAL_DATE)/360)-((INDEX('Curve_Interface'!$K$8:$K$73,MATCH((B12+C12)/2,'Curve_Interface'!$K$8:$K$73,1))-VAL_DATE)/360))/(((INDEX('Curve_Interface'!$K$8:$K$73,MATCH((B12+C12)/2,'Curve_Interface'!$K$8:$K$73,1)+1)-VAL_DATE)/360)-((INDEX('Curve_Interface'!$K$8:$K$73,MATCH((B12+C12)/2,'Curve_Interface'!$K$8:$K$73,1))-VAL_DATE)/360))))*(((B12+C12)/2-VAL_DATE)/360))),INDEX('Curve_Interface'!$L$8:$L$73,MATCH((B12+C12)/2,'Curve_Interface'!$K$8:$K$73,1))*(INDEX('Curve_Interface'!$L$8:$L$73,MATCH((B12+C12)/2,'Curve_Interface'!$K$8:$K$73,1)+1)/INDEX('Curve_Interface'!$L$8:$L$73,MATCH((B12+C12)/2,'Curve_Interface'!$K$8:$K$73,1)))^(((B12+C12)/2-INDEX('Curve_Interface'!$K$8:$K$73,MATCH((B12+C12)/2,'Curve_Interface'!$K$8:$K$73,1)))/(INDEX('Curve_Interface'!$K$8:$K$73,MATCH((B12+C12)/2,'Curve_Interface'!$K$8:$K$73,1)+1)-INDEX('Curve_Interface'!$K$8:$K$73,MATCH((B12+C12)/2,'Curve_Interface'!$K$8:$K$73,1))))),INDEX('Curve_Interface'!$L$8:$L$73,MATCH((B12+C12)/2,'Curve_Interface'!$K$8:$K$73,1)))</f>
        <v/>
      </c>
      <c r="I12" s="36">
        <f>INDEX(Hazard_Bootstrap!$D$7:$D$12,MIN(COUNTIF(Hazard_Bootstrap!$B$7:$B$12,"&lt;"&amp;C12)+1,6))</f>
        <v/>
      </c>
      <c r="J12" s="36">
        <f>K11</f>
        <v/>
      </c>
      <c r="K12" s="36">
        <f>J12*EXP(-I12*E12)</f>
        <v/>
      </c>
      <c r="L12" s="36">
        <f>J12-K12</f>
        <v/>
      </c>
      <c r="M12" s="36">
        <f>D12*G12*K12</f>
        <v/>
      </c>
      <c r="N12" s="36">
        <f>(D12/2)*H12*L12</f>
        <v/>
      </c>
      <c r="O12" s="36">
        <f>H12*L12</f>
        <v/>
      </c>
      <c r="Q12" s="138" t="inlineStr">
        <is>
          <t xml:space="preserve">        Coupons-in-Survival = A*C*SUM alpha_i Z(t_i) Q(t_i)</t>
        </is>
      </c>
    </row>
    <row r="13">
      <c r="A13" s="43" t="n">
        <v>7</v>
      </c>
      <c r="B13" s="18">
        <f>C12</f>
        <v/>
      </c>
      <c r="C13" s="18">
        <f>EDATE('Curve_Interface'!$F$7,3*6)</f>
        <v/>
      </c>
      <c r="D13" s="34">
        <f>(C13-B13)/360</f>
        <v/>
      </c>
      <c r="E13" s="34">
        <f>(C13-B13)/365</f>
        <v/>
      </c>
      <c r="F13" s="34">
        <f>(C13-VAL_DATE)/365</f>
        <v/>
      </c>
      <c r="G13" s="36">
        <f>IFERROR(IF(Curve_Interface!$J$7="Piecewise Linear (Simple)",IF(((C13-VAL_DATE)/360)&lt;=0,1,1/(1+(IF(((INDEX('Curve_Interface'!$K$8:$K$73,MATCH(C13,'Curve_Interface'!$K$8:$K$73,1))-VAL_DATE)/360)&lt;=0,IF(((INDEX('Curve_Interface'!$K$8:$K$73,MATCH(C13,'Curve_Interface'!$K$8:$K$73,1)+1)-VAL_DATE)/360)&lt;=0,0,(1/INDEX('Curve_Interface'!$L$8:$L$73,MATCH(C13,'Curve_Interface'!$K$8:$K$73,1)+1)-1)/((INDEX('Curve_Interface'!$K$8:$K$73,MATCH(C13,'Curve_Interface'!$K$8:$K$73,1)+1)-VAL_DATE)/360)),(1/INDEX('Curve_Interface'!$L$8:$L$73,MATCH(C13,'Curve_Interface'!$K$8:$K$73,1))-1)/((INDEX('Curve_Interface'!$K$8:$K$73,MATCH(C13,'Curve_Interface'!$K$8:$K$73,1))-VAL_DATE)/360))+(IF(((INDEX('Curve_Interface'!$K$8:$K$73,MATCH(C13,'Curve_Interface'!$K$8:$K$73,1)+1)-VAL_DATE)/360)&lt;=0,0,(1/INDEX('Curve_Interface'!$L$8:$L$73,MATCH(C13,'Curve_Interface'!$K$8:$K$73,1)+1)-1)/((INDEX('Curve_Interface'!$K$8:$K$73,MATCH(C13,'Curve_Interface'!$K$8:$K$73,1)+1)-VAL_DATE)/360))-IF(((INDEX('Curve_Interface'!$K$8:$K$73,MATCH(C13,'Curve_Interface'!$K$8:$K$73,1))-VAL_DATE)/360)&lt;=0,IF(((INDEX('Curve_Interface'!$K$8:$K$73,MATCH(C13,'Curve_Interface'!$K$8:$K$73,1)+1)-VAL_DATE)/360)&lt;=0,0,(1/INDEX('Curve_Interface'!$L$8:$L$73,MATCH(C13,'Curve_Interface'!$K$8:$K$73,1)+1)-1)/((INDEX('Curve_Interface'!$K$8:$K$73,MATCH(C13,'Curve_Interface'!$K$8:$K$73,1)+1)-VAL_DATE)/360)),(1/INDEX('Curve_Interface'!$L$8:$L$73,MATCH(C13,'Curve_Interface'!$K$8:$K$73,1))-1)/((INDEX('Curve_Interface'!$K$8:$K$73,MATCH(C13,'Curve_Interface'!$K$8:$K$73,1))-VAL_DATE)/360)))*IF(((INDEX('Curve_Interface'!$K$8:$K$73,MATCH(C13,'Curve_Interface'!$K$8:$K$73,1)+1)-VAL_DATE)/360)-((INDEX('Curve_Interface'!$K$8:$K$73,MATCH(C13,'Curve_Interface'!$K$8:$K$73,1))-VAL_DATE)/360)=0,0,(((C13-VAL_DATE)/360)-((INDEX('Curve_Interface'!$K$8:$K$73,MATCH(C13,'Curve_Interface'!$K$8:$K$73,1))-VAL_DATE)/360))/(((INDEX('Curve_Interface'!$K$8:$K$73,MATCH(C13,'Curve_Interface'!$K$8:$K$73,1)+1)-VAL_DATE)/360)-((INDEX('Curve_Interface'!$K$8:$K$73,MATCH(C13,'Curve_Interface'!$K$8:$K$73,1))-VAL_DATE)/360))))*((C13-VAL_DATE)/360))),INDEX('Curve_Interface'!$L$8:$L$73,MATCH(C13,'Curve_Interface'!$K$8:$K$73,1))*(INDEX('Curve_Interface'!$L$8:$L$73,MATCH(C13,'Curve_Interface'!$K$8:$K$73,1)+1)/INDEX('Curve_Interface'!$L$8:$L$73,MATCH(C13,'Curve_Interface'!$K$8:$K$73,1)))^((C13-INDEX('Curve_Interface'!$K$8:$K$73,MATCH(C13,'Curve_Interface'!$K$8:$K$73,1)))/(INDEX('Curve_Interface'!$K$8:$K$73,MATCH(C13,'Curve_Interface'!$K$8:$K$73,1)+1)-INDEX('Curve_Interface'!$K$8:$K$73,MATCH(C13,'Curve_Interface'!$K$8:$K$73,1))))),INDEX('Curve_Interface'!$L$8:$L$73,MATCH(C13,'Curve_Interface'!$K$8:$K$73,1)))</f>
        <v/>
      </c>
      <c r="H13" s="36">
        <f>IFERROR(IF(Curve_Interface!$J$7="Piecewise Linear (Simple)",IF((((B13+C13)/2-VAL_DATE)/360)&lt;=0,1,1/(1+(IF(((INDEX('Curve_Interface'!$K$8:$K$73,MATCH((B13+C13)/2,'Curve_Interface'!$K$8:$K$73,1))-VAL_DATE)/360)&lt;=0,IF(((INDEX('Curve_Interface'!$K$8:$K$73,MATCH((B13+C13)/2,'Curve_Interface'!$K$8:$K$73,1)+1)-VAL_DATE)/360)&lt;=0,0,(1/INDEX('Curve_Interface'!$L$8:$L$73,MATCH((B13+C13)/2,'Curve_Interface'!$K$8:$K$73,1)+1)-1)/((INDEX('Curve_Interface'!$K$8:$K$73,MATCH((B13+C13)/2,'Curve_Interface'!$K$8:$K$73,1)+1)-VAL_DATE)/360)),(1/INDEX('Curve_Interface'!$L$8:$L$73,MATCH((B13+C13)/2,'Curve_Interface'!$K$8:$K$73,1))-1)/((INDEX('Curve_Interface'!$K$8:$K$73,MATCH((B13+C13)/2,'Curve_Interface'!$K$8:$K$73,1))-VAL_DATE)/360))+(IF(((INDEX('Curve_Interface'!$K$8:$K$73,MATCH((B13+C13)/2,'Curve_Interface'!$K$8:$K$73,1)+1)-VAL_DATE)/360)&lt;=0,0,(1/INDEX('Curve_Interface'!$L$8:$L$73,MATCH((B13+C13)/2,'Curve_Interface'!$K$8:$K$73,1)+1)-1)/((INDEX('Curve_Interface'!$K$8:$K$73,MATCH((B13+C13)/2,'Curve_Interface'!$K$8:$K$73,1)+1)-VAL_DATE)/360))-IF(((INDEX('Curve_Interface'!$K$8:$K$73,MATCH((B13+C13)/2,'Curve_Interface'!$K$8:$K$73,1))-VAL_DATE)/360)&lt;=0,IF(((INDEX('Curve_Interface'!$K$8:$K$73,MATCH((B13+C13)/2,'Curve_Interface'!$K$8:$K$73,1)+1)-VAL_DATE)/360)&lt;=0,0,(1/INDEX('Curve_Interface'!$L$8:$L$73,MATCH((B13+C13)/2,'Curve_Interface'!$K$8:$K$73,1)+1)-1)/((INDEX('Curve_Interface'!$K$8:$K$73,MATCH((B13+C13)/2,'Curve_Interface'!$K$8:$K$73,1)+1)-VAL_DATE)/360)),(1/INDEX('Curve_Interface'!$L$8:$L$73,MATCH((B13+C13)/2,'Curve_Interface'!$K$8:$K$73,1))-1)/((INDEX('Curve_Interface'!$K$8:$K$73,MATCH((B13+C13)/2,'Curve_Interface'!$K$8:$K$73,1))-VAL_DATE)/360)))*IF(((INDEX('Curve_Interface'!$K$8:$K$73,MATCH((B13+C13)/2,'Curve_Interface'!$K$8:$K$73,1)+1)-VAL_DATE)/360)-((INDEX('Curve_Interface'!$K$8:$K$73,MATCH((B13+C13)/2,'Curve_Interface'!$K$8:$K$73,1))-VAL_DATE)/360)=0,0,((((B13+C13)/2-VAL_DATE)/360)-((INDEX('Curve_Interface'!$K$8:$K$73,MATCH((B13+C13)/2,'Curve_Interface'!$K$8:$K$73,1))-VAL_DATE)/360))/(((INDEX('Curve_Interface'!$K$8:$K$73,MATCH((B13+C13)/2,'Curve_Interface'!$K$8:$K$73,1)+1)-VAL_DATE)/360)-((INDEX('Curve_Interface'!$K$8:$K$73,MATCH((B13+C13)/2,'Curve_Interface'!$K$8:$K$73,1))-VAL_DATE)/360))))*(((B13+C13)/2-VAL_DATE)/360))),INDEX('Curve_Interface'!$L$8:$L$73,MATCH((B13+C13)/2,'Curve_Interface'!$K$8:$K$73,1))*(INDEX('Curve_Interface'!$L$8:$L$73,MATCH((B13+C13)/2,'Curve_Interface'!$K$8:$K$73,1)+1)/INDEX('Curve_Interface'!$L$8:$L$73,MATCH((B13+C13)/2,'Curve_Interface'!$K$8:$K$73,1)))^(((B13+C13)/2-INDEX('Curve_Interface'!$K$8:$K$73,MATCH((B13+C13)/2,'Curve_Interface'!$K$8:$K$73,1)))/(INDEX('Curve_Interface'!$K$8:$K$73,MATCH((B13+C13)/2,'Curve_Interface'!$K$8:$K$73,1)+1)-INDEX('Curve_Interface'!$K$8:$K$73,MATCH((B13+C13)/2,'Curve_Interface'!$K$8:$K$73,1))))),INDEX('Curve_Interface'!$L$8:$L$73,MATCH((B13+C13)/2,'Curve_Interface'!$K$8:$K$73,1)))</f>
        <v/>
      </c>
      <c r="I13" s="36">
        <f>INDEX(Hazard_Bootstrap!$D$7:$D$12,MIN(COUNTIF(Hazard_Bootstrap!$B$7:$B$12,"&lt;"&amp;C13)+1,6))</f>
        <v/>
      </c>
      <c r="J13" s="36">
        <f>K12</f>
        <v/>
      </c>
      <c r="K13" s="36">
        <f>J13*EXP(-I13*E13)</f>
        <v/>
      </c>
      <c r="L13" s="36">
        <f>J13-K13</f>
        <v/>
      </c>
      <c r="M13" s="36">
        <f>D13*G13*K13</f>
        <v/>
      </c>
      <c r="N13" s="36">
        <f>(D13/2)*H13*L13</f>
        <v/>
      </c>
      <c r="O13" s="36">
        <f>H13*L13</f>
        <v/>
      </c>
      <c r="Q13" s="137" t="n"/>
    </row>
    <row r="14">
      <c r="A14" s="43" t="n">
        <v>8</v>
      </c>
      <c r="B14" s="18">
        <f>C13</f>
        <v/>
      </c>
      <c r="C14" s="18">
        <f>EDATE('Curve_Interface'!$F$7,3*7)</f>
        <v/>
      </c>
      <c r="D14" s="34">
        <f>(C14-B14)/360</f>
        <v/>
      </c>
      <c r="E14" s="34">
        <f>(C14-B14)/365</f>
        <v/>
      </c>
      <c r="F14" s="34">
        <f>(C14-VAL_DATE)/365</f>
        <v/>
      </c>
      <c r="G14" s="36">
        <f>IFERROR(IF(Curve_Interface!$J$7="Piecewise Linear (Simple)",IF(((C14-VAL_DATE)/360)&lt;=0,1,1/(1+(IF(((INDEX('Curve_Interface'!$K$8:$K$73,MATCH(C14,'Curve_Interface'!$K$8:$K$73,1))-VAL_DATE)/360)&lt;=0,IF(((INDEX('Curve_Interface'!$K$8:$K$73,MATCH(C14,'Curve_Interface'!$K$8:$K$73,1)+1)-VAL_DATE)/360)&lt;=0,0,(1/INDEX('Curve_Interface'!$L$8:$L$73,MATCH(C14,'Curve_Interface'!$K$8:$K$73,1)+1)-1)/((INDEX('Curve_Interface'!$K$8:$K$73,MATCH(C14,'Curve_Interface'!$K$8:$K$73,1)+1)-VAL_DATE)/360)),(1/INDEX('Curve_Interface'!$L$8:$L$73,MATCH(C14,'Curve_Interface'!$K$8:$K$73,1))-1)/((INDEX('Curve_Interface'!$K$8:$K$73,MATCH(C14,'Curve_Interface'!$K$8:$K$73,1))-VAL_DATE)/360))+(IF(((INDEX('Curve_Interface'!$K$8:$K$73,MATCH(C14,'Curve_Interface'!$K$8:$K$73,1)+1)-VAL_DATE)/360)&lt;=0,0,(1/INDEX('Curve_Interface'!$L$8:$L$73,MATCH(C14,'Curve_Interface'!$K$8:$K$73,1)+1)-1)/((INDEX('Curve_Interface'!$K$8:$K$73,MATCH(C14,'Curve_Interface'!$K$8:$K$73,1)+1)-VAL_DATE)/360))-IF(((INDEX('Curve_Interface'!$K$8:$K$73,MATCH(C14,'Curve_Interface'!$K$8:$K$73,1))-VAL_DATE)/360)&lt;=0,IF(((INDEX('Curve_Interface'!$K$8:$K$73,MATCH(C14,'Curve_Interface'!$K$8:$K$73,1)+1)-VAL_DATE)/360)&lt;=0,0,(1/INDEX('Curve_Interface'!$L$8:$L$73,MATCH(C14,'Curve_Interface'!$K$8:$K$73,1)+1)-1)/((INDEX('Curve_Interface'!$K$8:$K$73,MATCH(C14,'Curve_Interface'!$K$8:$K$73,1)+1)-VAL_DATE)/360)),(1/INDEX('Curve_Interface'!$L$8:$L$73,MATCH(C14,'Curve_Interface'!$K$8:$K$73,1))-1)/((INDEX('Curve_Interface'!$K$8:$K$73,MATCH(C14,'Curve_Interface'!$K$8:$K$73,1))-VAL_DATE)/360)))*IF(((INDEX('Curve_Interface'!$K$8:$K$73,MATCH(C14,'Curve_Interface'!$K$8:$K$73,1)+1)-VAL_DATE)/360)-((INDEX('Curve_Interface'!$K$8:$K$73,MATCH(C14,'Curve_Interface'!$K$8:$K$73,1))-VAL_DATE)/360)=0,0,(((C14-VAL_DATE)/360)-((INDEX('Curve_Interface'!$K$8:$K$73,MATCH(C14,'Curve_Interface'!$K$8:$K$73,1))-VAL_DATE)/360))/(((INDEX('Curve_Interface'!$K$8:$K$73,MATCH(C14,'Curve_Interface'!$K$8:$K$73,1)+1)-VAL_DATE)/360)-((INDEX('Curve_Interface'!$K$8:$K$73,MATCH(C14,'Curve_Interface'!$K$8:$K$73,1))-VAL_DATE)/360))))*((C14-VAL_DATE)/360))),INDEX('Curve_Interface'!$L$8:$L$73,MATCH(C14,'Curve_Interface'!$K$8:$K$73,1))*(INDEX('Curve_Interface'!$L$8:$L$73,MATCH(C14,'Curve_Interface'!$K$8:$K$73,1)+1)/INDEX('Curve_Interface'!$L$8:$L$73,MATCH(C14,'Curve_Interface'!$K$8:$K$73,1)))^((C14-INDEX('Curve_Interface'!$K$8:$K$73,MATCH(C14,'Curve_Interface'!$K$8:$K$73,1)))/(INDEX('Curve_Interface'!$K$8:$K$73,MATCH(C14,'Curve_Interface'!$K$8:$K$73,1)+1)-INDEX('Curve_Interface'!$K$8:$K$73,MATCH(C14,'Curve_Interface'!$K$8:$K$73,1))))),INDEX('Curve_Interface'!$L$8:$L$73,MATCH(C14,'Curve_Interface'!$K$8:$K$73,1)))</f>
        <v/>
      </c>
      <c r="H14" s="36">
        <f>IFERROR(IF(Curve_Interface!$J$7="Piecewise Linear (Simple)",IF((((B14+C14)/2-VAL_DATE)/360)&lt;=0,1,1/(1+(IF(((INDEX('Curve_Interface'!$K$8:$K$73,MATCH((B14+C14)/2,'Curve_Interface'!$K$8:$K$73,1))-VAL_DATE)/360)&lt;=0,IF(((INDEX('Curve_Interface'!$K$8:$K$73,MATCH((B14+C14)/2,'Curve_Interface'!$K$8:$K$73,1)+1)-VAL_DATE)/360)&lt;=0,0,(1/INDEX('Curve_Interface'!$L$8:$L$73,MATCH((B14+C14)/2,'Curve_Interface'!$K$8:$K$73,1)+1)-1)/((INDEX('Curve_Interface'!$K$8:$K$73,MATCH((B14+C14)/2,'Curve_Interface'!$K$8:$K$73,1)+1)-VAL_DATE)/360)),(1/INDEX('Curve_Interface'!$L$8:$L$73,MATCH((B14+C14)/2,'Curve_Interface'!$K$8:$K$73,1))-1)/((INDEX('Curve_Interface'!$K$8:$K$73,MATCH((B14+C14)/2,'Curve_Interface'!$K$8:$K$73,1))-VAL_DATE)/360))+(IF(((INDEX('Curve_Interface'!$K$8:$K$73,MATCH((B14+C14)/2,'Curve_Interface'!$K$8:$K$73,1)+1)-VAL_DATE)/360)&lt;=0,0,(1/INDEX('Curve_Interface'!$L$8:$L$73,MATCH((B14+C14)/2,'Curve_Interface'!$K$8:$K$73,1)+1)-1)/((INDEX('Curve_Interface'!$K$8:$K$73,MATCH((B14+C14)/2,'Curve_Interface'!$K$8:$K$73,1)+1)-VAL_DATE)/360))-IF(((INDEX('Curve_Interface'!$K$8:$K$73,MATCH((B14+C14)/2,'Curve_Interface'!$K$8:$K$73,1))-VAL_DATE)/360)&lt;=0,IF(((INDEX('Curve_Interface'!$K$8:$K$73,MATCH((B14+C14)/2,'Curve_Interface'!$K$8:$K$73,1)+1)-VAL_DATE)/360)&lt;=0,0,(1/INDEX('Curve_Interface'!$L$8:$L$73,MATCH((B14+C14)/2,'Curve_Interface'!$K$8:$K$73,1)+1)-1)/((INDEX('Curve_Interface'!$K$8:$K$73,MATCH((B14+C14)/2,'Curve_Interface'!$K$8:$K$73,1)+1)-VAL_DATE)/360)),(1/INDEX('Curve_Interface'!$L$8:$L$73,MATCH((B14+C14)/2,'Curve_Interface'!$K$8:$K$73,1))-1)/((INDEX('Curve_Interface'!$K$8:$K$73,MATCH((B14+C14)/2,'Curve_Interface'!$K$8:$K$73,1))-VAL_DATE)/360)))*IF(((INDEX('Curve_Interface'!$K$8:$K$73,MATCH((B14+C14)/2,'Curve_Interface'!$K$8:$K$73,1)+1)-VAL_DATE)/360)-((INDEX('Curve_Interface'!$K$8:$K$73,MATCH((B14+C14)/2,'Curve_Interface'!$K$8:$K$73,1))-VAL_DATE)/360)=0,0,((((B14+C14)/2-VAL_DATE)/360)-((INDEX('Curve_Interface'!$K$8:$K$73,MATCH((B14+C14)/2,'Curve_Interface'!$K$8:$K$73,1))-VAL_DATE)/360))/(((INDEX('Curve_Interface'!$K$8:$K$73,MATCH((B14+C14)/2,'Curve_Interface'!$K$8:$K$73,1)+1)-VAL_DATE)/360)-((INDEX('Curve_Interface'!$K$8:$K$73,MATCH((B14+C14)/2,'Curve_Interface'!$K$8:$K$73,1))-VAL_DATE)/360))))*(((B14+C14)/2-VAL_DATE)/360))),INDEX('Curve_Interface'!$L$8:$L$73,MATCH((B14+C14)/2,'Curve_Interface'!$K$8:$K$73,1))*(INDEX('Curve_Interface'!$L$8:$L$73,MATCH((B14+C14)/2,'Curve_Interface'!$K$8:$K$73,1)+1)/INDEX('Curve_Interface'!$L$8:$L$73,MATCH((B14+C14)/2,'Curve_Interface'!$K$8:$K$73,1)))^(((B14+C14)/2-INDEX('Curve_Interface'!$K$8:$K$73,MATCH((B14+C14)/2,'Curve_Interface'!$K$8:$K$73,1)))/(INDEX('Curve_Interface'!$K$8:$K$73,MATCH((B14+C14)/2,'Curve_Interface'!$K$8:$K$73,1)+1)-INDEX('Curve_Interface'!$K$8:$K$73,MATCH((B14+C14)/2,'Curve_Interface'!$K$8:$K$73,1))))),INDEX('Curve_Interface'!$L$8:$L$73,MATCH((B14+C14)/2,'Curve_Interface'!$K$8:$K$73,1)))</f>
        <v/>
      </c>
      <c r="I14" s="36">
        <f>INDEX(Hazard_Bootstrap!$D$7:$D$12,MIN(COUNTIF(Hazard_Bootstrap!$B$7:$B$12,"&lt;"&amp;C14)+1,6))</f>
        <v/>
      </c>
      <c r="J14" s="36">
        <f>K13</f>
        <v/>
      </c>
      <c r="K14" s="36">
        <f>J14*EXP(-I14*E14)</f>
        <v/>
      </c>
      <c r="L14" s="36">
        <f>J14-K14</f>
        <v/>
      </c>
      <c r="M14" s="36">
        <f>D14*G14*K14</f>
        <v/>
      </c>
      <c r="N14" s="36">
        <f>(D14/2)*H14*L14</f>
        <v/>
      </c>
      <c r="O14" s="36">
        <f>H14*L14</f>
        <v/>
      </c>
      <c r="Q14" s="137" t="inlineStr">
        <is>
          <t>col N   accrual-on-default factor               (3.5) / O-T (5) 2nd term</t>
        </is>
      </c>
    </row>
    <row r="15">
      <c r="A15" s="43" t="n">
        <v>9</v>
      </c>
      <c r="B15" s="18">
        <f>C14</f>
        <v/>
      </c>
      <c r="C15" s="18">
        <f>EDATE('Curve_Interface'!$F$7,3*8)</f>
        <v/>
      </c>
      <c r="D15" s="34">
        <f>(C15-B15)/360</f>
        <v/>
      </c>
      <c r="E15" s="34">
        <f>(C15-B15)/365</f>
        <v/>
      </c>
      <c r="F15" s="34">
        <f>(C15-VAL_DATE)/365</f>
        <v/>
      </c>
      <c r="G15" s="36">
        <f>IFERROR(IF(Curve_Interface!$J$7="Piecewise Linear (Simple)",IF(((C15-VAL_DATE)/360)&lt;=0,1,1/(1+(IF(((INDEX('Curve_Interface'!$K$8:$K$73,MATCH(C15,'Curve_Interface'!$K$8:$K$73,1))-VAL_DATE)/360)&lt;=0,IF(((INDEX('Curve_Interface'!$K$8:$K$73,MATCH(C15,'Curve_Interface'!$K$8:$K$73,1)+1)-VAL_DATE)/360)&lt;=0,0,(1/INDEX('Curve_Interface'!$L$8:$L$73,MATCH(C15,'Curve_Interface'!$K$8:$K$73,1)+1)-1)/((INDEX('Curve_Interface'!$K$8:$K$73,MATCH(C15,'Curve_Interface'!$K$8:$K$73,1)+1)-VAL_DATE)/360)),(1/INDEX('Curve_Interface'!$L$8:$L$73,MATCH(C15,'Curve_Interface'!$K$8:$K$73,1))-1)/((INDEX('Curve_Interface'!$K$8:$K$73,MATCH(C15,'Curve_Interface'!$K$8:$K$73,1))-VAL_DATE)/360))+(IF(((INDEX('Curve_Interface'!$K$8:$K$73,MATCH(C15,'Curve_Interface'!$K$8:$K$73,1)+1)-VAL_DATE)/360)&lt;=0,0,(1/INDEX('Curve_Interface'!$L$8:$L$73,MATCH(C15,'Curve_Interface'!$K$8:$K$73,1)+1)-1)/((INDEX('Curve_Interface'!$K$8:$K$73,MATCH(C15,'Curve_Interface'!$K$8:$K$73,1)+1)-VAL_DATE)/360))-IF(((INDEX('Curve_Interface'!$K$8:$K$73,MATCH(C15,'Curve_Interface'!$K$8:$K$73,1))-VAL_DATE)/360)&lt;=0,IF(((INDEX('Curve_Interface'!$K$8:$K$73,MATCH(C15,'Curve_Interface'!$K$8:$K$73,1)+1)-VAL_DATE)/360)&lt;=0,0,(1/INDEX('Curve_Interface'!$L$8:$L$73,MATCH(C15,'Curve_Interface'!$K$8:$K$73,1)+1)-1)/((INDEX('Curve_Interface'!$K$8:$K$73,MATCH(C15,'Curve_Interface'!$K$8:$K$73,1)+1)-VAL_DATE)/360)),(1/INDEX('Curve_Interface'!$L$8:$L$73,MATCH(C15,'Curve_Interface'!$K$8:$K$73,1))-1)/((INDEX('Curve_Interface'!$K$8:$K$73,MATCH(C15,'Curve_Interface'!$K$8:$K$73,1))-VAL_DATE)/360)))*IF(((INDEX('Curve_Interface'!$K$8:$K$73,MATCH(C15,'Curve_Interface'!$K$8:$K$73,1)+1)-VAL_DATE)/360)-((INDEX('Curve_Interface'!$K$8:$K$73,MATCH(C15,'Curve_Interface'!$K$8:$K$73,1))-VAL_DATE)/360)=0,0,(((C15-VAL_DATE)/360)-((INDEX('Curve_Interface'!$K$8:$K$73,MATCH(C15,'Curve_Interface'!$K$8:$K$73,1))-VAL_DATE)/360))/(((INDEX('Curve_Interface'!$K$8:$K$73,MATCH(C15,'Curve_Interface'!$K$8:$K$73,1)+1)-VAL_DATE)/360)-((INDEX('Curve_Interface'!$K$8:$K$73,MATCH(C15,'Curve_Interface'!$K$8:$K$73,1))-VAL_DATE)/360))))*((C15-VAL_DATE)/360))),INDEX('Curve_Interface'!$L$8:$L$73,MATCH(C15,'Curve_Interface'!$K$8:$K$73,1))*(INDEX('Curve_Interface'!$L$8:$L$73,MATCH(C15,'Curve_Interface'!$K$8:$K$73,1)+1)/INDEX('Curve_Interface'!$L$8:$L$73,MATCH(C15,'Curve_Interface'!$K$8:$K$73,1)))^((C15-INDEX('Curve_Interface'!$K$8:$K$73,MATCH(C15,'Curve_Interface'!$K$8:$K$73,1)))/(INDEX('Curve_Interface'!$K$8:$K$73,MATCH(C15,'Curve_Interface'!$K$8:$K$73,1)+1)-INDEX('Curve_Interface'!$K$8:$K$73,MATCH(C15,'Curve_Interface'!$K$8:$K$73,1))))),INDEX('Curve_Interface'!$L$8:$L$73,MATCH(C15,'Curve_Interface'!$K$8:$K$73,1)))</f>
        <v/>
      </c>
      <c r="H15" s="36">
        <f>IFERROR(IF(Curve_Interface!$J$7="Piecewise Linear (Simple)",IF((((B15+C15)/2-VAL_DATE)/360)&lt;=0,1,1/(1+(IF(((INDEX('Curve_Interface'!$K$8:$K$73,MATCH((B15+C15)/2,'Curve_Interface'!$K$8:$K$73,1))-VAL_DATE)/360)&lt;=0,IF(((INDEX('Curve_Interface'!$K$8:$K$73,MATCH((B15+C15)/2,'Curve_Interface'!$K$8:$K$73,1)+1)-VAL_DATE)/360)&lt;=0,0,(1/INDEX('Curve_Interface'!$L$8:$L$73,MATCH((B15+C15)/2,'Curve_Interface'!$K$8:$K$73,1)+1)-1)/((INDEX('Curve_Interface'!$K$8:$K$73,MATCH((B15+C15)/2,'Curve_Interface'!$K$8:$K$73,1)+1)-VAL_DATE)/360)),(1/INDEX('Curve_Interface'!$L$8:$L$73,MATCH((B15+C15)/2,'Curve_Interface'!$K$8:$K$73,1))-1)/((INDEX('Curve_Interface'!$K$8:$K$73,MATCH((B15+C15)/2,'Curve_Interface'!$K$8:$K$73,1))-VAL_DATE)/360))+(IF(((INDEX('Curve_Interface'!$K$8:$K$73,MATCH((B15+C15)/2,'Curve_Interface'!$K$8:$K$73,1)+1)-VAL_DATE)/360)&lt;=0,0,(1/INDEX('Curve_Interface'!$L$8:$L$73,MATCH((B15+C15)/2,'Curve_Interface'!$K$8:$K$73,1)+1)-1)/((INDEX('Curve_Interface'!$K$8:$K$73,MATCH((B15+C15)/2,'Curve_Interface'!$K$8:$K$73,1)+1)-VAL_DATE)/360))-IF(((INDEX('Curve_Interface'!$K$8:$K$73,MATCH((B15+C15)/2,'Curve_Interface'!$K$8:$K$73,1))-VAL_DATE)/360)&lt;=0,IF(((INDEX('Curve_Interface'!$K$8:$K$73,MATCH((B15+C15)/2,'Curve_Interface'!$K$8:$K$73,1)+1)-VAL_DATE)/360)&lt;=0,0,(1/INDEX('Curve_Interface'!$L$8:$L$73,MATCH((B15+C15)/2,'Curve_Interface'!$K$8:$K$73,1)+1)-1)/((INDEX('Curve_Interface'!$K$8:$K$73,MATCH((B15+C15)/2,'Curve_Interface'!$K$8:$K$73,1)+1)-VAL_DATE)/360)),(1/INDEX('Curve_Interface'!$L$8:$L$73,MATCH((B15+C15)/2,'Curve_Interface'!$K$8:$K$73,1))-1)/((INDEX('Curve_Interface'!$K$8:$K$73,MATCH((B15+C15)/2,'Curve_Interface'!$K$8:$K$73,1))-VAL_DATE)/360)))*IF(((INDEX('Curve_Interface'!$K$8:$K$73,MATCH((B15+C15)/2,'Curve_Interface'!$K$8:$K$73,1)+1)-VAL_DATE)/360)-((INDEX('Curve_Interface'!$K$8:$K$73,MATCH((B15+C15)/2,'Curve_Interface'!$K$8:$K$73,1))-VAL_DATE)/360)=0,0,((((B15+C15)/2-VAL_DATE)/360)-((INDEX('Curve_Interface'!$K$8:$K$73,MATCH((B15+C15)/2,'Curve_Interface'!$K$8:$K$73,1))-VAL_DATE)/360))/(((INDEX('Curve_Interface'!$K$8:$K$73,MATCH((B15+C15)/2,'Curve_Interface'!$K$8:$K$73,1)+1)-VAL_DATE)/360)-((INDEX('Curve_Interface'!$K$8:$K$73,MATCH((B15+C15)/2,'Curve_Interface'!$K$8:$K$73,1))-VAL_DATE)/360))))*(((B15+C15)/2-VAL_DATE)/360))),INDEX('Curve_Interface'!$L$8:$L$73,MATCH((B15+C15)/2,'Curve_Interface'!$K$8:$K$73,1))*(INDEX('Curve_Interface'!$L$8:$L$73,MATCH((B15+C15)/2,'Curve_Interface'!$K$8:$K$73,1)+1)/INDEX('Curve_Interface'!$L$8:$L$73,MATCH((B15+C15)/2,'Curve_Interface'!$K$8:$K$73,1)))^(((B15+C15)/2-INDEX('Curve_Interface'!$K$8:$K$73,MATCH((B15+C15)/2,'Curve_Interface'!$K$8:$K$73,1)))/(INDEX('Curve_Interface'!$K$8:$K$73,MATCH((B15+C15)/2,'Curve_Interface'!$K$8:$K$73,1)+1)-INDEX('Curve_Interface'!$K$8:$K$73,MATCH((B15+C15)/2,'Curve_Interface'!$K$8:$K$73,1))))),INDEX('Curve_Interface'!$L$8:$L$73,MATCH((B15+C15)/2,'Curve_Interface'!$K$8:$K$73,1)))</f>
        <v/>
      </c>
      <c r="I15" s="36">
        <f>INDEX(Hazard_Bootstrap!$D$7:$D$12,MIN(COUNTIF(Hazard_Bootstrap!$B$7:$B$12,"&lt;"&amp;C15)+1,6))</f>
        <v/>
      </c>
      <c r="J15" s="36">
        <f>K14</f>
        <v/>
      </c>
      <c r="K15" s="36">
        <f>J15*EXP(-I15*E15)</f>
        <v/>
      </c>
      <c r="L15" s="36">
        <f>J15-K15</f>
        <v/>
      </c>
      <c r="M15" s="36">
        <f>D15*G15*K15</f>
        <v/>
      </c>
      <c r="N15" s="36">
        <f>(D15/2)*H15*L15</f>
        <v/>
      </c>
      <c r="O15" s="36">
        <f>H15*L15</f>
        <v/>
      </c>
      <c r="Q15" s="138" t="inlineStr">
        <is>
          <t xml:space="preserve">        (alpha_i/2) * Z(mid_i) * dPD_i</t>
        </is>
      </c>
    </row>
    <row r="16">
      <c r="A16" s="43" t="n">
        <v>10</v>
      </c>
      <c r="B16" s="18">
        <f>C15</f>
        <v/>
      </c>
      <c r="C16" s="18">
        <f>EDATE('Curve_Interface'!$F$7,3*9)</f>
        <v/>
      </c>
      <c r="D16" s="34">
        <f>(C16-B16)/360</f>
        <v/>
      </c>
      <c r="E16" s="34">
        <f>(C16-B16)/365</f>
        <v/>
      </c>
      <c r="F16" s="34">
        <f>(C16-VAL_DATE)/365</f>
        <v/>
      </c>
      <c r="G16" s="36">
        <f>IFERROR(IF(Curve_Interface!$J$7="Piecewise Linear (Simple)",IF(((C16-VAL_DATE)/360)&lt;=0,1,1/(1+(IF(((INDEX('Curve_Interface'!$K$8:$K$73,MATCH(C16,'Curve_Interface'!$K$8:$K$73,1))-VAL_DATE)/360)&lt;=0,IF(((INDEX('Curve_Interface'!$K$8:$K$73,MATCH(C16,'Curve_Interface'!$K$8:$K$73,1)+1)-VAL_DATE)/360)&lt;=0,0,(1/INDEX('Curve_Interface'!$L$8:$L$73,MATCH(C16,'Curve_Interface'!$K$8:$K$73,1)+1)-1)/((INDEX('Curve_Interface'!$K$8:$K$73,MATCH(C16,'Curve_Interface'!$K$8:$K$73,1)+1)-VAL_DATE)/360)),(1/INDEX('Curve_Interface'!$L$8:$L$73,MATCH(C16,'Curve_Interface'!$K$8:$K$73,1))-1)/((INDEX('Curve_Interface'!$K$8:$K$73,MATCH(C16,'Curve_Interface'!$K$8:$K$73,1))-VAL_DATE)/360))+(IF(((INDEX('Curve_Interface'!$K$8:$K$73,MATCH(C16,'Curve_Interface'!$K$8:$K$73,1)+1)-VAL_DATE)/360)&lt;=0,0,(1/INDEX('Curve_Interface'!$L$8:$L$73,MATCH(C16,'Curve_Interface'!$K$8:$K$73,1)+1)-1)/((INDEX('Curve_Interface'!$K$8:$K$73,MATCH(C16,'Curve_Interface'!$K$8:$K$73,1)+1)-VAL_DATE)/360))-IF(((INDEX('Curve_Interface'!$K$8:$K$73,MATCH(C16,'Curve_Interface'!$K$8:$K$73,1))-VAL_DATE)/360)&lt;=0,IF(((INDEX('Curve_Interface'!$K$8:$K$73,MATCH(C16,'Curve_Interface'!$K$8:$K$73,1)+1)-VAL_DATE)/360)&lt;=0,0,(1/INDEX('Curve_Interface'!$L$8:$L$73,MATCH(C16,'Curve_Interface'!$K$8:$K$73,1)+1)-1)/((INDEX('Curve_Interface'!$K$8:$K$73,MATCH(C16,'Curve_Interface'!$K$8:$K$73,1)+1)-VAL_DATE)/360)),(1/INDEX('Curve_Interface'!$L$8:$L$73,MATCH(C16,'Curve_Interface'!$K$8:$K$73,1))-1)/((INDEX('Curve_Interface'!$K$8:$K$73,MATCH(C16,'Curve_Interface'!$K$8:$K$73,1))-VAL_DATE)/360)))*IF(((INDEX('Curve_Interface'!$K$8:$K$73,MATCH(C16,'Curve_Interface'!$K$8:$K$73,1)+1)-VAL_DATE)/360)-((INDEX('Curve_Interface'!$K$8:$K$73,MATCH(C16,'Curve_Interface'!$K$8:$K$73,1))-VAL_DATE)/360)=0,0,(((C16-VAL_DATE)/360)-((INDEX('Curve_Interface'!$K$8:$K$73,MATCH(C16,'Curve_Interface'!$K$8:$K$73,1))-VAL_DATE)/360))/(((INDEX('Curve_Interface'!$K$8:$K$73,MATCH(C16,'Curve_Interface'!$K$8:$K$73,1)+1)-VAL_DATE)/360)-((INDEX('Curve_Interface'!$K$8:$K$73,MATCH(C16,'Curve_Interface'!$K$8:$K$73,1))-VAL_DATE)/360))))*((C16-VAL_DATE)/360))),INDEX('Curve_Interface'!$L$8:$L$73,MATCH(C16,'Curve_Interface'!$K$8:$K$73,1))*(INDEX('Curve_Interface'!$L$8:$L$73,MATCH(C16,'Curve_Interface'!$K$8:$K$73,1)+1)/INDEX('Curve_Interface'!$L$8:$L$73,MATCH(C16,'Curve_Interface'!$K$8:$K$73,1)))^((C16-INDEX('Curve_Interface'!$K$8:$K$73,MATCH(C16,'Curve_Interface'!$K$8:$K$73,1)))/(INDEX('Curve_Interface'!$K$8:$K$73,MATCH(C16,'Curve_Interface'!$K$8:$K$73,1)+1)-INDEX('Curve_Interface'!$K$8:$K$73,MATCH(C16,'Curve_Interface'!$K$8:$K$73,1))))),INDEX('Curve_Interface'!$L$8:$L$73,MATCH(C16,'Curve_Interface'!$K$8:$K$73,1)))</f>
        <v/>
      </c>
      <c r="H16" s="36">
        <f>IFERROR(IF(Curve_Interface!$J$7="Piecewise Linear (Simple)",IF((((B16+C16)/2-VAL_DATE)/360)&lt;=0,1,1/(1+(IF(((INDEX('Curve_Interface'!$K$8:$K$73,MATCH((B16+C16)/2,'Curve_Interface'!$K$8:$K$73,1))-VAL_DATE)/360)&lt;=0,IF(((INDEX('Curve_Interface'!$K$8:$K$73,MATCH((B16+C16)/2,'Curve_Interface'!$K$8:$K$73,1)+1)-VAL_DATE)/360)&lt;=0,0,(1/INDEX('Curve_Interface'!$L$8:$L$73,MATCH((B16+C16)/2,'Curve_Interface'!$K$8:$K$73,1)+1)-1)/((INDEX('Curve_Interface'!$K$8:$K$73,MATCH((B16+C16)/2,'Curve_Interface'!$K$8:$K$73,1)+1)-VAL_DATE)/360)),(1/INDEX('Curve_Interface'!$L$8:$L$73,MATCH((B16+C16)/2,'Curve_Interface'!$K$8:$K$73,1))-1)/((INDEX('Curve_Interface'!$K$8:$K$73,MATCH((B16+C16)/2,'Curve_Interface'!$K$8:$K$73,1))-VAL_DATE)/360))+(IF(((INDEX('Curve_Interface'!$K$8:$K$73,MATCH((B16+C16)/2,'Curve_Interface'!$K$8:$K$73,1)+1)-VAL_DATE)/360)&lt;=0,0,(1/INDEX('Curve_Interface'!$L$8:$L$73,MATCH((B16+C16)/2,'Curve_Interface'!$K$8:$K$73,1)+1)-1)/((INDEX('Curve_Interface'!$K$8:$K$73,MATCH((B16+C16)/2,'Curve_Interface'!$K$8:$K$73,1)+1)-VAL_DATE)/360))-IF(((INDEX('Curve_Interface'!$K$8:$K$73,MATCH((B16+C16)/2,'Curve_Interface'!$K$8:$K$73,1))-VAL_DATE)/360)&lt;=0,IF(((INDEX('Curve_Interface'!$K$8:$K$73,MATCH((B16+C16)/2,'Curve_Interface'!$K$8:$K$73,1)+1)-VAL_DATE)/360)&lt;=0,0,(1/INDEX('Curve_Interface'!$L$8:$L$73,MATCH((B16+C16)/2,'Curve_Interface'!$K$8:$K$73,1)+1)-1)/((INDEX('Curve_Interface'!$K$8:$K$73,MATCH((B16+C16)/2,'Curve_Interface'!$K$8:$K$73,1)+1)-VAL_DATE)/360)),(1/INDEX('Curve_Interface'!$L$8:$L$73,MATCH((B16+C16)/2,'Curve_Interface'!$K$8:$K$73,1))-1)/((INDEX('Curve_Interface'!$K$8:$K$73,MATCH((B16+C16)/2,'Curve_Interface'!$K$8:$K$73,1))-VAL_DATE)/360)))*IF(((INDEX('Curve_Interface'!$K$8:$K$73,MATCH((B16+C16)/2,'Curve_Interface'!$K$8:$K$73,1)+1)-VAL_DATE)/360)-((INDEX('Curve_Interface'!$K$8:$K$73,MATCH((B16+C16)/2,'Curve_Interface'!$K$8:$K$73,1))-VAL_DATE)/360)=0,0,((((B16+C16)/2-VAL_DATE)/360)-((INDEX('Curve_Interface'!$K$8:$K$73,MATCH((B16+C16)/2,'Curve_Interface'!$K$8:$K$73,1))-VAL_DATE)/360))/(((INDEX('Curve_Interface'!$K$8:$K$73,MATCH((B16+C16)/2,'Curve_Interface'!$K$8:$K$73,1)+1)-VAL_DATE)/360)-((INDEX('Curve_Interface'!$K$8:$K$73,MATCH((B16+C16)/2,'Curve_Interface'!$K$8:$K$73,1))-VAL_DATE)/360))))*(((B16+C16)/2-VAL_DATE)/360))),INDEX('Curve_Interface'!$L$8:$L$73,MATCH((B16+C16)/2,'Curve_Interface'!$K$8:$K$73,1))*(INDEX('Curve_Interface'!$L$8:$L$73,MATCH((B16+C16)/2,'Curve_Interface'!$K$8:$K$73,1)+1)/INDEX('Curve_Interface'!$L$8:$L$73,MATCH((B16+C16)/2,'Curve_Interface'!$K$8:$K$73,1)))^(((B16+C16)/2-INDEX('Curve_Interface'!$K$8:$K$73,MATCH((B16+C16)/2,'Curve_Interface'!$K$8:$K$73,1)))/(INDEX('Curve_Interface'!$K$8:$K$73,MATCH((B16+C16)/2,'Curve_Interface'!$K$8:$K$73,1)+1)-INDEX('Curve_Interface'!$K$8:$K$73,MATCH((B16+C16)/2,'Curve_Interface'!$K$8:$K$73,1))))),INDEX('Curve_Interface'!$L$8:$L$73,MATCH((B16+C16)/2,'Curve_Interface'!$K$8:$K$73,1)))</f>
        <v/>
      </c>
      <c r="I16" s="36">
        <f>INDEX(Hazard_Bootstrap!$D$7:$D$12,MIN(COUNTIF(Hazard_Bootstrap!$B$7:$B$12,"&lt;"&amp;C16)+1,6))</f>
        <v/>
      </c>
      <c r="J16" s="36">
        <f>K15</f>
        <v/>
      </c>
      <c r="K16" s="36">
        <f>J16*EXP(-I16*E16)</f>
        <v/>
      </c>
      <c r="L16" s="36">
        <f>J16-K16</f>
        <v/>
      </c>
      <c r="M16" s="36">
        <f>D16*G16*K16</f>
        <v/>
      </c>
      <c r="N16" s="36">
        <f>(D16/2)*H16*L16</f>
        <v/>
      </c>
      <c r="O16" s="36">
        <f>H16*L16</f>
        <v/>
      </c>
      <c r="Q16" s="138" t="inlineStr">
        <is>
          <t xml:space="preserve">        = A*C*INT Delta(T_n(t),t) (-dp_s/dt) D(t) dt</t>
        </is>
      </c>
    </row>
    <row r="17">
      <c r="A17" s="43" t="n">
        <v>11</v>
      </c>
      <c r="B17" s="18">
        <f>C16</f>
        <v/>
      </c>
      <c r="C17" s="18">
        <f>EDATE('Curve_Interface'!$F$7,3*10)</f>
        <v/>
      </c>
      <c r="D17" s="34">
        <f>(C17-B17)/360</f>
        <v/>
      </c>
      <c r="E17" s="34">
        <f>(C17-B17)/365</f>
        <v/>
      </c>
      <c r="F17" s="34">
        <f>(C17-VAL_DATE)/365</f>
        <v/>
      </c>
      <c r="G17" s="36">
        <f>IFERROR(IF(Curve_Interface!$J$7="Piecewise Linear (Simple)",IF(((C17-VAL_DATE)/360)&lt;=0,1,1/(1+(IF(((INDEX('Curve_Interface'!$K$8:$K$73,MATCH(C17,'Curve_Interface'!$K$8:$K$73,1))-VAL_DATE)/360)&lt;=0,IF(((INDEX('Curve_Interface'!$K$8:$K$73,MATCH(C17,'Curve_Interface'!$K$8:$K$73,1)+1)-VAL_DATE)/360)&lt;=0,0,(1/INDEX('Curve_Interface'!$L$8:$L$73,MATCH(C17,'Curve_Interface'!$K$8:$K$73,1)+1)-1)/((INDEX('Curve_Interface'!$K$8:$K$73,MATCH(C17,'Curve_Interface'!$K$8:$K$73,1)+1)-VAL_DATE)/360)),(1/INDEX('Curve_Interface'!$L$8:$L$73,MATCH(C17,'Curve_Interface'!$K$8:$K$73,1))-1)/((INDEX('Curve_Interface'!$K$8:$K$73,MATCH(C17,'Curve_Interface'!$K$8:$K$73,1))-VAL_DATE)/360))+(IF(((INDEX('Curve_Interface'!$K$8:$K$73,MATCH(C17,'Curve_Interface'!$K$8:$K$73,1)+1)-VAL_DATE)/360)&lt;=0,0,(1/INDEX('Curve_Interface'!$L$8:$L$73,MATCH(C17,'Curve_Interface'!$K$8:$K$73,1)+1)-1)/((INDEX('Curve_Interface'!$K$8:$K$73,MATCH(C17,'Curve_Interface'!$K$8:$K$73,1)+1)-VAL_DATE)/360))-IF(((INDEX('Curve_Interface'!$K$8:$K$73,MATCH(C17,'Curve_Interface'!$K$8:$K$73,1))-VAL_DATE)/360)&lt;=0,IF(((INDEX('Curve_Interface'!$K$8:$K$73,MATCH(C17,'Curve_Interface'!$K$8:$K$73,1)+1)-VAL_DATE)/360)&lt;=0,0,(1/INDEX('Curve_Interface'!$L$8:$L$73,MATCH(C17,'Curve_Interface'!$K$8:$K$73,1)+1)-1)/((INDEX('Curve_Interface'!$K$8:$K$73,MATCH(C17,'Curve_Interface'!$K$8:$K$73,1)+1)-VAL_DATE)/360)),(1/INDEX('Curve_Interface'!$L$8:$L$73,MATCH(C17,'Curve_Interface'!$K$8:$K$73,1))-1)/((INDEX('Curve_Interface'!$K$8:$K$73,MATCH(C17,'Curve_Interface'!$K$8:$K$73,1))-VAL_DATE)/360)))*IF(((INDEX('Curve_Interface'!$K$8:$K$73,MATCH(C17,'Curve_Interface'!$K$8:$K$73,1)+1)-VAL_DATE)/360)-((INDEX('Curve_Interface'!$K$8:$K$73,MATCH(C17,'Curve_Interface'!$K$8:$K$73,1))-VAL_DATE)/360)=0,0,(((C17-VAL_DATE)/360)-((INDEX('Curve_Interface'!$K$8:$K$73,MATCH(C17,'Curve_Interface'!$K$8:$K$73,1))-VAL_DATE)/360))/(((INDEX('Curve_Interface'!$K$8:$K$73,MATCH(C17,'Curve_Interface'!$K$8:$K$73,1)+1)-VAL_DATE)/360)-((INDEX('Curve_Interface'!$K$8:$K$73,MATCH(C17,'Curve_Interface'!$K$8:$K$73,1))-VAL_DATE)/360))))*((C17-VAL_DATE)/360))),INDEX('Curve_Interface'!$L$8:$L$73,MATCH(C17,'Curve_Interface'!$K$8:$K$73,1))*(INDEX('Curve_Interface'!$L$8:$L$73,MATCH(C17,'Curve_Interface'!$K$8:$K$73,1)+1)/INDEX('Curve_Interface'!$L$8:$L$73,MATCH(C17,'Curve_Interface'!$K$8:$K$73,1)))^((C17-INDEX('Curve_Interface'!$K$8:$K$73,MATCH(C17,'Curve_Interface'!$K$8:$K$73,1)))/(INDEX('Curve_Interface'!$K$8:$K$73,MATCH(C17,'Curve_Interface'!$K$8:$K$73,1)+1)-INDEX('Curve_Interface'!$K$8:$K$73,MATCH(C17,'Curve_Interface'!$K$8:$K$73,1))))),INDEX('Curve_Interface'!$L$8:$L$73,MATCH(C17,'Curve_Interface'!$K$8:$K$73,1)))</f>
        <v/>
      </c>
      <c r="H17" s="36">
        <f>IFERROR(IF(Curve_Interface!$J$7="Piecewise Linear (Simple)",IF((((B17+C17)/2-VAL_DATE)/360)&lt;=0,1,1/(1+(IF(((INDEX('Curve_Interface'!$K$8:$K$73,MATCH((B17+C17)/2,'Curve_Interface'!$K$8:$K$73,1))-VAL_DATE)/360)&lt;=0,IF(((INDEX('Curve_Interface'!$K$8:$K$73,MATCH((B17+C17)/2,'Curve_Interface'!$K$8:$K$73,1)+1)-VAL_DATE)/360)&lt;=0,0,(1/INDEX('Curve_Interface'!$L$8:$L$73,MATCH((B17+C17)/2,'Curve_Interface'!$K$8:$K$73,1)+1)-1)/((INDEX('Curve_Interface'!$K$8:$K$73,MATCH((B17+C17)/2,'Curve_Interface'!$K$8:$K$73,1)+1)-VAL_DATE)/360)),(1/INDEX('Curve_Interface'!$L$8:$L$73,MATCH((B17+C17)/2,'Curve_Interface'!$K$8:$K$73,1))-1)/((INDEX('Curve_Interface'!$K$8:$K$73,MATCH((B17+C17)/2,'Curve_Interface'!$K$8:$K$73,1))-VAL_DATE)/360))+(IF(((INDEX('Curve_Interface'!$K$8:$K$73,MATCH((B17+C17)/2,'Curve_Interface'!$K$8:$K$73,1)+1)-VAL_DATE)/360)&lt;=0,0,(1/INDEX('Curve_Interface'!$L$8:$L$73,MATCH((B17+C17)/2,'Curve_Interface'!$K$8:$K$73,1)+1)-1)/((INDEX('Curve_Interface'!$K$8:$K$73,MATCH((B17+C17)/2,'Curve_Interface'!$K$8:$K$73,1)+1)-VAL_DATE)/360))-IF(((INDEX('Curve_Interface'!$K$8:$K$73,MATCH((B17+C17)/2,'Curve_Interface'!$K$8:$K$73,1))-VAL_DATE)/360)&lt;=0,IF(((INDEX('Curve_Interface'!$K$8:$K$73,MATCH((B17+C17)/2,'Curve_Interface'!$K$8:$K$73,1)+1)-VAL_DATE)/360)&lt;=0,0,(1/INDEX('Curve_Interface'!$L$8:$L$73,MATCH((B17+C17)/2,'Curve_Interface'!$K$8:$K$73,1)+1)-1)/((INDEX('Curve_Interface'!$K$8:$K$73,MATCH((B17+C17)/2,'Curve_Interface'!$K$8:$K$73,1)+1)-VAL_DATE)/360)),(1/INDEX('Curve_Interface'!$L$8:$L$73,MATCH((B17+C17)/2,'Curve_Interface'!$K$8:$K$73,1))-1)/((INDEX('Curve_Interface'!$K$8:$K$73,MATCH((B17+C17)/2,'Curve_Interface'!$K$8:$K$73,1))-VAL_DATE)/360)))*IF(((INDEX('Curve_Interface'!$K$8:$K$73,MATCH((B17+C17)/2,'Curve_Interface'!$K$8:$K$73,1)+1)-VAL_DATE)/360)-((INDEX('Curve_Interface'!$K$8:$K$73,MATCH((B17+C17)/2,'Curve_Interface'!$K$8:$K$73,1))-VAL_DATE)/360)=0,0,((((B17+C17)/2-VAL_DATE)/360)-((INDEX('Curve_Interface'!$K$8:$K$73,MATCH((B17+C17)/2,'Curve_Interface'!$K$8:$K$73,1))-VAL_DATE)/360))/(((INDEX('Curve_Interface'!$K$8:$K$73,MATCH((B17+C17)/2,'Curve_Interface'!$K$8:$K$73,1)+1)-VAL_DATE)/360)-((INDEX('Curve_Interface'!$K$8:$K$73,MATCH((B17+C17)/2,'Curve_Interface'!$K$8:$K$73,1))-VAL_DATE)/360))))*(((B17+C17)/2-VAL_DATE)/360))),INDEX('Curve_Interface'!$L$8:$L$73,MATCH((B17+C17)/2,'Curve_Interface'!$K$8:$K$73,1))*(INDEX('Curve_Interface'!$L$8:$L$73,MATCH((B17+C17)/2,'Curve_Interface'!$K$8:$K$73,1)+1)/INDEX('Curve_Interface'!$L$8:$L$73,MATCH((B17+C17)/2,'Curve_Interface'!$K$8:$K$73,1)))^(((B17+C17)/2-INDEX('Curve_Interface'!$K$8:$K$73,MATCH((B17+C17)/2,'Curve_Interface'!$K$8:$K$73,1)))/(INDEX('Curve_Interface'!$K$8:$K$73,MATCH((B17+C17)/2,'Curve_Interface'!$K$8:$K$73,1)+1)-INDEX('Curve_Interface'!$K$8:$K$73,MATCH((B17+C17)/2,'Curve_Interface'!$K$8:$K$73,1))))),INDEX('Curve_Interface'!$L$8:$L$73,MATCH((B17+C17)/2,'Curve_Interface'!$K$8:$K$73,1)))</f>
        <v/>
      </c>
      <c r="I17" s="36">
        <f>INDEX(Hazard_Bootstrap!$D$7:$D$12,MIN(COUNTIF(Hazard_Bootstrap!$B$7:$B$12,"&lt;"&amp;C17)+1,6))</f>
        <v/>
      </c>
      <c r="J17" s="36">
        <f>K16</f>
        <v/>
      </c>
      <c r="K17" s="36">
        <f>J17*EXP(-I17*E17)</f>
        <v/>
      </c>
      <c r="L17" s="36">
        <f>J17-K17</f>
        <v/>
      </c>
      <c r="M17" s="36">
        <f>D17*G17*K17</f>
        <v/>
      </c>
      <c r="N17" s="36">
        <f>(D17/2)*H17*L17</f>
        <v/>
      </c>
      <c r="O17" s="36">
        <f>H17*L17</f>
        <v/>
      </c>
      <c r="Q17" s="139" t="inlineStr">
        <is>
          <t xml:space="preserve">        Z at the MIDPOINT, not the pay date: (3.5) integrates D(t) at</t>
        </is>
      </c>
    </row>
    <row r="18">
      <c r="A18" s="43" t="n">
        <v>12</v>
      </c>
      <c r="B18" s="18">
        <f>C17</f>
        <v/>
      </c>
      <c r="C18" s="18">
        <f>EDATE('Curve_Interface'!$F$7,3*11)</f>
        <v/>
      </c>
      <c r="D18" s="34">
        <f>(C18-B18)/360</f>
        <v/>
      </c>
      <c r="E18" s="34">
        <f>(C18-B18)/365</f>
        <v/>
      </c>
      <c r="F18" s="34">
        <f>(C18-VAL_DATE)/365</f>
        <v/>
      </c>
      <c r="G18" s="36">
        <f>IFERROR(IF(Curve_Interface!$J$7="Piecewise Linear (Simple)",IF(((C18-VAL_DATE)/360)&lt;=0,1,1/(1+(IF(((INDEX('Curve_Interface'!$K$8:$K$73,MATCH(C18,'Curve_Interface'!$K$8:$K$73,1))-VAL_DATE)/360)&lt;=0,IF(((INDEX('Curve_Interface'!$K$8:$K$73,MATCH(C18,'Curve_Interface'!$K$8:$K$73,1)+1)-VAL_DATE)/360)&lt;=0,0,(1/INDEX('Curve_Interface'!$L$8:$L$73,MATCH(C18,'Curve_Interface'!$K$8:$K$73,1)+1)-1)/((INDEX('Curve_Interface'!$K$8:$K$73,MATCH(C18,'Curve_Interface'!$K$8:$K$73,1)+1)-VAL_DATE)/360)),(1/INDEX('Curve_Interface'!$L$8:$L$73,MATCH(C18,'Curve_Interface'!$K$8:$K$73,1))-1)/((INDEX('Curve_Interface'!$K$8:$K$73,MATCH(C18,'Curve_Interface'!$K$8:$K$73,1))-VAL_DATE)/360))+(IF(((INDEX('Curve_Interface'!$K$8:$K$73,MATCH(C18,'Curve_Interface'!$K$8:$K$73,1)+1)-VAL_DATE)/360)&lt;=0,0,(1/INDEX('Curve_Interface'!$L$8:$L$73,MATCH(C18,'Curve_Interface'!$K$8:$K$73,1)+1)-1)/((INDEX('Curve_Interface'!$K$8:$K$73,MATCH(C18,'Curve_Interface'!$K$8:$K$73,1)+1)-VAL_DATE)/360))-IF(((INDEX('Curve_Interface'!$K$8:$K$73,MATCH(C18,'Curve_Interface'!$K$8:$K$73,1))-VAL_DATE)/360)&lt;=0,IF(((INDEX('Curve_Interface'!$K$8:$K$73,MATCH(C18,'Curve_Interface'!$K$8:$K$73,1)+1)-VAL_DATE)/360)&lt;=0,0,(1/INDEX('Curve_Interface'!$L$8:$L$73,MATCH(C18,'Curve_Interface'!$K$8:$K$73,1)+1)-1)/((INDEX('Curve_Interface'!$K$8:$K$73,MATCH(C18,'Curve_Interface'!$K$8:$K$73,1)+1)-VAL_DATE)/360)),(1/INDEX('Curve_Interface'!$L$8:$L$73,MATCH(C18,'Curve_Interface'!$K$8:$K$73,1))-1)/((INDEX('Curve_Interface'!$K$8:$K$73,MATCH(C18,'Curve_Interface'!$K$8:$K$73,1))-VAL_DATE)/360)))*IF(((INDEX('Curve_Interface'!$K$8:$K$73,MATCH(C18,'Curve_Interface'!$K$8:$K$73,1)+1)-VAL_DATE)/360)-((INDEX('Curve_Interface'!$K$8:$K$73,MATCH(C18,'Curve_Interface'!$K$8:$K$73,1))-VAL_DATE)/360)=0,0,(((C18-VAL_DATE)/360)-((INDEX('Curve_Interface'!$K$8:$K$73,MATCH(C18,'Curve_Interface'!$K$8:$K$73,1))-VAL_DATE)/360))/(((INDEX('Curve_Interface'!$K$8:$K$73,MATCH(C18,'Curve_Interface'!$K$8:$K$73,1)+1)-VAL_DATE)/360)-((INDEX('Curve_Interface'!$K$8:$K$73,MATCH(C18,'Curve_Interface'!$K$8:$K$73,1))-VAL_DATE)/360))))*((C18-VAL_DATE)/360))),INDEX('Curve_Interface'!$L$8:$L$73,MATCH(C18,'Curve_Interface'!$K$8:$K$73,1))*(INDEX('Curve_Interface'!$L$8:$L$73,MATCH(C18,'Curve_Interface'!$K$8:$K$73,1)+1)/INDEX('Curve_Interface'!$L$8:$L$73,MATCH(C18,'Curve_Interface'!$K$8:$K$73,1)))^((C18-INDEX('Curve_Interface'!$K$8:$K$73,MATCH(C18,'Curve_Interface'!$K$8:$K$73,1)))/(INDEX('Curve_Interface'!$K$8:$K$73,MATCH(C18,'Curve_Interface'!$K$8:$K$73,1)+1)-INDEX('Curve_Interface'!$K$8:$K$73,MATCH(C18,'Curve_Interface'!$K$8:$K$73,1))))),INDEX('Curve_Interface'!$L$8:$L$73,MATCH(C18,'Curve_Interface'!$K$8:$K$73,1)))</f>
        <v/>
      </c>
      <c r="H18" s="36">
        <f>IFERROR(IF(Curve_Interface!$J$7="Piecewise Linear (Simple)",IF((((B18+C18)/2-VAL_DATE)/360)&lt;=0,1,1/(1+(IF(((INDEX('Curve_Interface'!$K$8:$K$73,MATCH((B18+C18)/2,'Curve_Interface'!$K$8:$K$73,1))-VAL_DATE)/360)&lt;=0,IF(((INDEX('Curve_Interface'!$K$8:$K$73,MATCH((B18+C18)/2,'Curve_Interface'!$K$8:$K$73,1)+1)-VAL_DATE)/360)&lt;=0,0,(1/INDEX('Curve_Interface'!$L$8:$L$73,MATCH((B18+C18)/2,'Curve_Interface'!$K$8:$K$73,1)+1)-1)/((INDEX('Curve_Interface'!$K$8:$K$73,MATCH((B18+C18)/2,'Curve_Interface'!$K$8:$K$73,1)+1)-VAL_DATE)/360)),(1/INDEX('Curve_Interface'!$L$8:$L$73,MATCH((B18+C18)/2,'Curve_Interface'!$K$8:$K$73,1))-1)/((INDEX('Curve_Interface'!$K$8:$K$73,MATCH((B18+C18)/2,'Curve_Interface'!$K$8:$K$73,1))-VAL_DATE)/360))+(IF(((INDEX('Curve_Interface'!$K$8:$K$73,MATCH((B18+C18)/2,'Curve_Interface'!$K$8:$K$73,1)+1)-VAL_DATE)/360)&lt;=0,0,(1/INDEX('Curve_Interface'!$L$8:$L$73,MATCH((B18+C18)/2,'Curve_Interface'!$K$8:$K$73,1)+1)-1)/((INDEX('Curve_Interface'!$K$8:$K$73,MATCH((B18+C18)/2,'Curve_Interface'!$K$8:$K$73,1)+1)-VAL_DATE)/360))-IF(((INDEX('Curve_Interface'!$K$8:$K$73,MATCH((B18+C18)/2,'Curve_Interface'!$K$8:$K$73,1))-VAL_DATE)/360)&lt;=0,IF(((INDEX('Curve_Interface'!$K$8:$K$73,MATCH((B18+C18)/2,'Curve_Interface'!$K$8:$K$73,1)+1)-VAL_DATE)/360)&lt;=0,0,(1/INDEX('Curve_Interface'!$L$8:$L$73,MATCH((B18+C18)/2,'Curve_Interface'!$K$8:$K$73,1)+1)-1)/((INDEX('Curve_Interface'!$K$8:$K$73,MATCH((B18+C18)/2,'Curve_Interface'!$K$8:$K$73,1)+1)-VAL_DATE)/360)),(1/INDEX('Curve_Interface'!$L$8:$L$73,MATCH((B18+C18)/2,'Curve_Interface'!$K$8:$K$73,1))-1)/((INDEX('Curve_Interface'!$K$8:$K$73,MATCH((B18+C18)/2,'Curve_Interface'!$K$8:$K$73,1))-VAL_DATE)/360)))*IF(((INDEX('Curve_Interface'!$K$8:$K$73,MATCH((B18+C18)/2,'Curve_Interface'!$K$8:$K$73,1)+1)-VAL_DATE)/360)-((INDEX('Curve_Interface'!$K$8:$K$73,MATCH((B18+C18)/2,'Curve_Interface'!$K$8:$K$73,1))-VAL_DATE)/360)=0,0,((((B18+C18)/2-VAL_DATE)/360)-((INDEX('Curve_Interface'!$K$8:$K$73,MATCH((B18+C18)/2,'Curve_Interface'!$K$8:$K$73,1))-VAL_DATE)/360))/(((INDEX('Curve_Interface'!$K$8:$K$73,MATCH((B18+C18)/2,'Curve_Interface'!$K$8:$K$73,1)+1)-VAL_DATE)/360)-((INDEX('Curve_Interface'!$K$8:$K$73,MATCH((B18+C18)/2,'Curve_Interface'!$K$8:$K$73,1))-VAL_DATE)/360))))*(((B18+C18)/2-VAL_DATE)/360))),INDEX('Curve_Interface'!$L$8:$L$73,MATCH((B18+C18)/2,'Curve_Interface'!$K$8:$K$73,1))*(INDEX('Curve_Interface'!$L$8:$L$73,MATCH((B18+C18)/2,'Curve_Interface'!$K$8:$K$73,1)+1)/INDEX('Curve_Interface'!$L$8:$L$73,MATCH((B18+C18)/2,'Curve_Interface'!$K$8:$K$73,1)))^(((B18+C18)/2-INDEX('Curve_Interface'!$K$8:$K$73,MATCH((B18+C18)/2,'Curve_Interface'!$K$8:$K$73,1)))/(INDEX('Curve_Interface'!$K$8:$K$73,MATCH((B18+C18)/2,'Curve_Interface'!$K$8:$K$73,1)+1)-INDEX('Curve_Interface'!$K$8:$K$73,MATCH((B18+C18)/2,'Curve_Interface'!$K$8:$K$73,1))))),INDEX('Curve_Interface'!$L$8:$L$73,MATCH((B18+C18)/2,'Curve_Interface'!$K$8:$K$73,1)))</f>
        <v/>
      </c>
      <c r="I18" s="36">
        <f>INDEX(Hazard_Bootstrap!$D$7:$D$12,MIN(COUNTIF(Hazard_Bootstrap!$B$7:$B$12,"&lt;"&amp;C18)+1,6))</f>
        <v/>
      </c>
      <c r="J18" s="36">
        <f>K17</f>
        <v/>
      </c>
      <c r="K18" s="36">
        <f>J18*EXP(-I18*E18)</f>
        <v/>
      </c>
      <c r="L18" s="36">
        <f>J18-K18</f>
        <v/>
      </c>
      <c r="M18" s="36">
        <f>D18*G18*K18</f>
        <v/>
      </c>
      <c r="N18" s="36">
        <f>(D18/2)*H18*L18</f>
        <v/>
      </c>
      <c r="O18" s="36">
        <f>H18*L18</f>
        <v/>
      </c>
      <c r="Q18" s="139" t="inlineStr">
        <is>
          <t xml:space="preserve">        the default time. Z(mid) is 140x closer to it than O-T's Z(t_n).</t>
        </is>
      </c>
    </row>
    <row r="19">
      <c r="A19" s="43" t="n">
        <v>13</v>
      </c>
      <c r="B19" s="18">
        <f>C18</f>
        <v/>
      </c>
      <c r="C19" s="18">
        <f>EDATE('Curve_Interface'!$F$7,3*12)</f>
        <v/>
      </c>
      <c r="D19" s="34">
        <f>(C19-B19)/360</f>
        <v/>
      </c>
      <c r="E19" s="34">
        <f>(C19-B19)/365</f>
        <v/>
      </c>
      <c r="F19" s="34">
        <f>(C19-VAL_DATE)/365</f>
        <v/>
      </c>
      <c r="G19" s="36">
        <f>IFERROR(IF(Curve_Interface!$J$7="Piecewise Linear (Simple)",IF(((C19-VAL_DATE)/360)&lt;=0,1,1/(1+(IF(((INDEX('Curve_Interface'!$K$8:$K$73,MATCH(C19,'Curve_Interface'!$K$8:$K$73,1))-VAL_DATE)/360)&lt;=0,IF(((INDEX('Curve_Interface'!$K$8:$K$73,MATCH(C19,'Curve_Interface'!$K$8:$K$73,1)+1)-VAL_DATE)/360)&lt;=0,0,(1/INDEX('Curve_Interface'!$L$8:$L$73,MATCH(C19,'Curve_Interface'!$K$8:$K$73,1)+1)-1)/((INDEX('Curve_Interface'!$K$8:$K$73,MATCH(C19,'Curve_Interface'!$K$8:$K$73,1)+1)-VAL_DATE)/360)),(1/INDEX('Curve_Interface'!$L$8:$L$73,MATCH(C19,'Curve_Interface'!$K$8:$K$73,1))-1)/((INDEX('Curve_Interface'!$K$8:$K$73,MATCH(C19,'Curve_Interface'!$K$8:$K$73,1))-VAL_DATE)/360))+(IF(((INDEX('Curve_Interface'!$K$8:$K$73,MATCH(C19,'Curve_Interface'!$K$8:$K$73,1)+1)-VAL_DATE)/360)&lt;=0,0,(1/INDEX('Curve_Interface'!$L$8:$L$73,MATCH(C19,'Curve_Interface'!$K$8:$K$73,1)+1)-1)/((INDEX('Curve_Interface'!$K$8:$K$73,MATCH(C19,'Curve_Interface'!$K$8:$K$73,1)+1)-VAL_DATE)/360))-IF(((INDEX('Curve_Interface'!$K$8:$K$73,MATCH(C19,'Curve_Interface'!$K$8:$K$73,1))-VAL_DATE)/360)&lt;=0,IF(((INDEX('Curve_Interface'!$K$8:$K$73,MATCH(C19,'Curve_Interface'!$K$8:$K$73,1)+1)-VAL_DATE)/360)&lt;=0,0,(1/INDEX('Curve_Interface'!$L$8:$L$73,MATCH(C19,'Curve_Interface'!$K$8:$K$73,1)+1)-1)/((INDEX('Curve_Interface'!$K$8:$K$73,MATCH(C19,'Curve_Interface'!$K$8:$K$73,1)+1)-VAL_DATE)/360)),(1/INDEX('Curve_Interface'!$L$8:$L$73,MATCH(C19,'Curve_Interface'!$K$8:$K$73,1))-1)/((INDEX('Curve_Interface'!$K$8:$K$73,MATCH(C19,'Curve_Interface'!$K$8:$K$73,1))-VAL_DATE)/360)))*IF(((INDEX('Curve_Interface'!$K$8:$K$73,MATCH(C19,'Curve_Interface'!$K$8:$K$73,1)+1)-VAL_DATE)/360)-((INDEX('Curve_Interface'!$K$8:$K$73,MATCH(C19,'Curve_Interface'!$K$8:$K$73,1))-VAL_DATE)/360)=0,0,(((C19-VAL_DATE)/360)-((INDEX('Curve_Interface'!$K$8:$K$73,MATCH(C19,'Curve_Interface'!$K$8:$K$73,1))-VAL_DATE)/360))/(((INDEX('Curve_Interface'!$K$8:$K$73,MATCH(C19,'Curve_Interface'!$K$8:$K$73,1)+1)-VAL_DATE)/360)-((INDEX('Curve_Interface'!$K$8:$K$73,MATCH(C19,'Curve_Interface'!$K$8:$K$73,1))-VAL_DATE)/360))))*((C19-VAL_DATE)/360))),INDEX('Curve_Interface'!$L$8:$L$73,MATCH(C19,'Curve_Interface'!$K$8:$K$73,1))*(INDEX('Curve_Interface'!$L$8:$L$73,MATCH(C19,'Curve_Interface'!$K$8:$K$73,1)+1)/INDEX('Curve_Interface'!$L$8:$L$73,MATCH(C19,'Curve_Interface'!$K$8:$K$73,1)))^((C19-INDEX('Curve_Interface'!$K$8:$K$73,MATCH(C19,'Curve_Interface'!$K$8:$K$73,1)))/(INDEX('Curve_Interface'!$K$8:$K$73,MATCH(C19,'Curve_Interface'!$K$8:$K$73,1)+1)-INDEX('Curve_Interface'!$K$8:$K$73,MATCH(C19,'Curve_Interface'!$K$8:$K$73,1))))),INDEX('Curve_Interface'!$L$8:$L$73,MATCH(C19,'Curve_Interface'!$K$8:$K$73,1)))</f>
        <v/>
      </c>
      <c r="H19" s="36">
        <f>IFERROR(IF(Curve_Interface!$J$7="Piecewise Linear (Simple)",IF((((B19+C19)/2-VAL_DATE)/360)&lt;=0,1,1/(1+(IF(((INDEX('Curve_Interface'!$K$8:$K$73,MATCH((B19+C19)/2,'Curve_Interface'!$K$8:$K$73,1))-VAL_DATE)/360)&lt;=0,IF(((INDEX('Curve_Interface'!$K$8:$K$73,MATCH((B19+C19)/2,'Curve_Interface'!$K$8:$K$73,1)+1)-VAL_DATE)/360)&lt;=0,0,(1/INDEX('Curve_Interface'!$L$8:$L$73,MATCH((B19+C19)/2,'Curve_Interface'!$K$8:$K$73,1)+1)-1)/((INDEX('Curve_Interface'!$K$8:$K$73,MATCH((B19+C19)/2,'Curve_Interface'!$K$8:$K$73,1)+1)-VAL_DATE)/360)),(1/INDEX('Curve_Interface'!$L$8:$L$73,MATCH((B19+C19)/2,'Curve_Interface'!$K$8:$K$73,1))-1)/((INDEX('Curve_Interface'!$K$8:$K$73,MATCH((B19+C19)/2,'Curve_Interface'!$K$8:$K$73,1))-VAL_DATE)/360))+(IF(((INDEX('Curve_Interface'!$K$8:$K$73,MATCH((B19+C19)/2,'Curve_Interface'!$K$8:$K$73,1)+1)-VAL_DATE)/360)&lt;=0,0,(1/INDEX('Curve_Interface'!$L$8:$L$73,MATCH((B19+C19)/2,'Curve_Interface'!$K$8:$K$73,1)+1)-1)/((INDEX('Curve_Interface'!$K$8:$K$73,MATCH((B19+C19)/2,'Curve_Interface'!$K$8:$K$73,1)+1)-VAL_DATE)/360))-IF(((INDEX('Curve_Interface'!$K$8:$K$73,MATCH((B19+C19)/2,'Curve_Interface'!$K$8:$K$73,1))-VAL_DATE)/360)&lt;=0,IF(((INDEX('Curve_Interface'!$K$8:$K$73,MATCH((B19+C19)/2,'Curve_Interface'!$K$8:$K$73,1)+1)-VAL_DATE)/360)&lt;=0,0,(1/INDEX('Curve_Interface'!$L$8:$L$73,MATCH((B19+C19)/2,'Curve_Interface'!$K$8:$K$73,1)+1)-1)/((INDEX('Curve_Interface'!$K$8:$K$73,MATCH((B19+C19)/2,'Curve_Interface'!$K$8:$K$73,1)+1)-VAL_DATE)/360)),(1/INDEX('Curve_Interface'!$L$8:$L$73,MATCH((B19+C19)/2,'Curve_Interface'!$K$8:$K$73,1))-1)/((INDEX('Curve_Interface'!$K$8:$K$73,MATCH((B19+C19)/2,'Curve_Interface'!$K$8:$K$73,1))-VAL_DATE)/360)))*IF(((INDEX('Curve_Interface'!$K$8:$K$73,MATCH((B19+C19)/2,'Curve_Interface'!$K$8:$K$73,1)+1)-VAL_DATE)/360)-((INDEX('Curve_Interface'!$K$8:$K$73,MATCH((B19+C19)/2,'Curve_Interface'!$K$8:$K$73,1))-VAL_DATE)/360)=0,0,((((B19+C19)/2-VAL_DATE)/360)-((INDEX('Curve_Interface'!$K$8:$K$73,MATCH((B19+C19)/2,'Curve_Interface'!$K$8:$K$73,1))-VAL_DATE)/360))/(((INDEX('Curve_Interface'!$K$8:$K$73,MATCH((B19+C19)/2,'Curve_Interface'!$K$8:$K$73,1)+1)-VAL_DATE)/360)-((INDEX('Curve_Interface'!$K$8:$K$73,MATCH((B19+C19)/2,'Curve_Interface'!$K$8:$K$73,1))-VAL_DATE)/360))))*(((B19+C19)/2-VAL_DATE)/360))),INDEX('Curve_Interface'!$L$8:$L$73,MATCH((B19+C19)/2,'Curve_Interface'!$K$8:$K$73,1))*(INDEX('Curve_Interface'!$L$8:$L$73,MATCH((B19+C19)/2,'Curve_Interface'!$K$8:$K$73,1)+1)/INDEX('Curve_Interface'!$L$8:$L$73,MATCH((B19+C19)/2,'Curve_Interface'!$K$8:$K$73,1)))^(((B19+C19)/2-INDEX('Curve_Interface'!$K$8:$K$73,MATCH((B19+C19)/2,'Curve_Interface'!$K$8:$K$73,1)))/(INDEX('Curve_Interface'!$K$8:$K$73,MATCH((B19+C19)/2,'Curve_Interface'!$K$8:$K$73,1)+1)-INDEX('Curve_Interface'!$K$8:$K$73,MATCH((B19+C19)/2,'Curve_Interface'!$K$8:$K$73,1))))),INDEX('Curve_Interface'!$L$8:$L$73,MATCH((B19+C19)/2,'Curve_Interface'!$K$8:$K$73,1)))</f>
        <v/>
      </c>
      <c r="I19" s="36">
        <f>INDEX(Hazard_Bootstrap!$D$7:$D$12,MIN(COUNTIF(Hazard_Bootstrap!$B$7:$B$12,"&lt;"&amp;C19)+1,6))</f>
        <v/>
      </c>
      <c r="J19" s="36">
        <f>K18</f>
        <v/>
      </c>
      <c r="K19" s="36">
        <f>J19*EXP(-I19*E19)</f>
        <v/>
      </c>
      <c r="L19" s="36">
        <f>J19-K19</f>
        <v/>
      </c>
      <c r="M19" s="36">
        <f>D19*G19*K19</f>
        <v/>
      </c>
      <c r="N19" s="36">
        <f>(D19/2)*H19*L19</f>
        <v/>
      </c>
      <c r="O19" s="36">
        <f>H19*L19</f>
        <v/>
      </c>
      <c r="Q19" s="139" t="inlineStr">
        <is>
          <t xml:space="preserve">        See CLAUDE.md D5.</t>
        </is>
      </c>
    </row>
    <row r="20">
      <c r="A20" s="43" t="n">
        <v>14</v>
      </c>
      <c r="B20" s="18">
        <f>C19</f>
        <v/>
      </c>
      <c r="C20" s="18">
        <f>EDATE('Curve_Interface'!$F$7,3*13)</f>
        <v/>
      </c>
      <c r="D20" s="34">
        <f>(C20-B20)/360</f>
        <v/>
      </c>
      <c r="E20" s="34">
        <f>(C20-B20)/365</f>
        <v/>
      </c>
      <c r="F20" s="34">
        <f>(C20-VAL_DATE)/365</f>
        <v/>
      </c>
      <c r="G20" s="36">
        <f>IFERROR(IF(Curve_Interface!$J$7="Piecewise Linear (Simple)",IF(((C20-VAL_DATE)/360)&lt;=0,1,1/(1+(IF(((INDEX('Curve_Interface'!$K$8:$K$73,MATCH(C20,'Curve_Interface'!$K$8:$K$73,1))-VAL_DATE)/360)&lt;=0,IF(((INDEX('Curve_Interface'!$K$8:$K$73,MATCH(C20,'Curve_Interface'!$K$8:$K$73,1)+1)-VAL_DATE)/360)&lt;=0,0,(1/INDEX('Curve_Interface'!$L$8:$L$73,MATCH(C20,'Curve_Interface'!$K$8:$K$73,1)+1)-1)/((INDEX('Curve_Interface'!$K$8:$K$73,MATCH(C20,'Curve_Interface'!$K$8:$K$73,1)+1)-VAL_DATE)/360)),(1/INDEX('Curve_Interface'!$L$8:$L$73,MATCH(C20,'Curve_Interface'!$K$8:$K$73,1))-1)/((INDEX('Curve_Interface'!$K$8:$K$73,MATCH(C20,'Curve_Interface'!$K$8:$K$73,1))-VAL_DATE)/360))+(IF(((INDEX('Curve_Interface'!$K$8:$K$73,MATCH(C20,'Curve_Interface'!$K$8:$K$73,1)+1)-VAL_DATE)/360)&lt;=0,0,(1/INDEX('Curve_Interface'!$L$8:$L$73,MATCH(C20,'Curve_Interface'!$K$8:$K$73,1)+1)-1)/((INDEX('Curve_Interface'!$K$8:$K$73,MATCH(C20,'Curve_Interface'!$K$8:$K$73,1)+1)-VAL_DATE)/360))-IF(((INDEX('Curve_Interface'!$K$8:$K$73,MATCH(C20,'Curve_Interface'!$K$8:$K$73,1))-VAL_DATE)/360)&lt;=0,IF(((INDEX('Curve_Interface'!$K$8:$K$73,MATCH(C20,'Curve_Interface'!$K$8:$K$73,1)+1)-VAL_DATE)/360)&lt;=0,0,(1/INDEX('Curve_Interface'!$L$8:$L$73,MATCH(C20,'Curve_Interface'!$K$8:$K$73,1)+1)-1)/((INDEX('Curve_Interface'!$K$8:$K$73,MATCH(C20,'Curve_Interface'!$K$8:$K$73,1)+1)-VAL_DATE)/360)),(1/INDEX('Curve_Interface'!$L$8:$L$73,MATCH(C20,'Curve_Interface'!$K$8:$K$73,1))-1)/((INDEX('Curve_Interface'!$K$8:$K$73,MATCH(C20,'Curve_Interface'!$K$8:$K$73,1))-VAL_DATE)/360)))*IF(((INDEX('Curve_Interface'!$K$8:$K$73,MATCH(C20,'Curve_Interface'!$K$8:$K$73,1)+1)-VAL_DATE)/360)-((INDEX('Curve_Interface'!$K$8:$K$73,MATCH(C20,'Curve_Interface'!$K$8:$K$73,1))-VAL_DATE)/360)=0,0,(((C20-VAL_DATE)/360)-((INDEX('Curve_Interface'!$K$8:$K$73,MATCH(C20,'Curve_Interface'!$K$8:$K$73,1))-VAL_DATE)/360))/(((INDEX('Curve_Interface'!$K$8:$K$73,MATCH(C20,'Curve_Interface'!$K$8:$K$73,1)+1)-VAL_DATE)/360)-((INDEX('Curve_Interface'!$K$8:$K$73,MATCH(C20,'Curve_Interface'!$K$8:$K$73,1))-VAL_DATE)/360))))*((C20-VAL_DATE)/360))),INDEX('Curve_Interface'!$L$8:$L$73,MATCH(C20,'Curve_Interface'!$K$8:$K$73,1))*(INDEX('Curve_Interface'!$L$8:$L$73,MATCH(C20,'Curve_Interface'!$K$8:$K$73,1)+1)/INDEX('Curve_Interface'!$L$8:$L$73,MATCH(C20,'Curve_Interface'!$K$8:$K$73,1)))^((C20-INDEX('Curve_Interface'!$K$8:$K$73,MATCH(C20,'Curve_Interface'!$K$8:$K$73,1)))/(INDEX('Curve_Interface'!$K$8:$K$73,MATCH(C20,'Curve_Interface'!$K$8:$K$73,1)+1)-INDEX('Curve_Interface'!$K$8:$K$73,MATCH(C20,'Curve_Interface'!$K$8:$K$73,1))))),INDEX('Curve_Interface'!$L$8:$L$73,MATCH(C20,'Curve_Interface'!$K$8:$K$73,1)))</f>
        <v/>
      </c>
      <c r="H20" s="36">
        <f>IFERROR(IF(Curve_Interface!$J$7="Piecewise Linear (Simple)",IF((((B20+C20)/2-VAL_DATE)/360)&lt;=0,1,1/(1+(IF(((INDEX('Curve_Interface'!$K$8:$K$73,MATCH((B20+C20)/2,'Curve_Interface'!$K$8:$K$73,1))-VAL_DATE)/360)&lt;=0,IF(((INDEX('Curve_Interface'!$K$8:$K$73,MATCH((B20+C20)/2,'Curve_Interface'!$K$8:$K$73,1)+1)-VAL_DATE)/360)&lt;=0,0,(1/INDEX('Curve_Interface'!$L$8:$L$73,MATCH((B20+C20)/2,'Curve_Interface'!$K$8:$K$73,1)+1)-1)/((INDEX('Curve_Interface'!$K$8:$K$73,MATCH((B20+C20)/2,'Curve_Interface'!$K$8:$K$73,1)+1)-VAL_DATE)/360)),(1/INDEX('Curve_Interface'!$L$8:$L$73,MATCH((B20+C20)/2,'Curve_Interface'!$K$8:$K$73,1))-1)/((INDEX('Curve_Interface'!$K$8:$K$73,MATCH((B20+C20)/2,'Curve_Interface'!$K$8:$K$73,1))-VAL_DATE)/360))+(IF(((INDEX('Curve_Interface'!$K$8:$K$73,MATCH((B20+C20)/2,'Curve_Interface'!$K$8:$K$73,1)+1)-VAL_DATE)/360)&lt;=0,0,(1/INDEX('Curve_Interface'!$L$8:$L$73,MATCH((B20+C20)/2,'Curve_Interface'!$K$8:$K$73,1)+1)-1)/((INDEX('Curve_Interface'!$K$8:$K$73,MATCH((B20+C20)/2,'Curve_Interface'!$K$8:$K$73,1)+1)-VAL_DATE)/360))-IF(((INDEX('Curve_Interface'!$K$8:$K$73,MATCH((B20+C20)/2,'Curve_Interface'!$K$8:$K$73,1))-VAL_DATE)/360)&lt;=0,IF(((INDEX('Curve_Interface'!$K$8:$K$73,MATCH((B20+C20)/2,'Curve_Interface'!$K$8:$K$73,1)+1)-VAL_DATE)/360)&lt;=0,0,(1/INDEX('Curve_Interface'!$L$8:$L$73,MATCH((B20+C20)/2,'Curve_Interface'!$K$8:$K$73,1)+1)-1)/((INDEX('Curve_Interface'!$K$8:$K$73,MATCH((B20+C20)/2,'Curve_Interface'!$K$8:$K$73,1)+1)-VAL_DATE)/360)),(1/INDEX('Curve_Interface'!$L$8:$L$73,MATCH((B20+C20)/2,'Curve_Interface'!$K$8:$K$73,1))-1)/((INDEX('Curve_Interface'!$K$8:$K$73,MATCH((B20+C20)/2,'Curve_Interface'!$K$8:$K$73,1))-VAL_DATE)/360)))*IF(((INDEX('Curve_Interface'!$K$8:$K$73,MATCH((B20+C20)/2,'Curve_Interface'!$K$8:$K$73,1)+1)-VAL_DATE)/360)-((INDEX('Curve_Interface'!$K$8:$K$73,MATCH((B20+C20)/2,'Curve_Interface'!$K$8:$K$73,1))-VAL_DATE)/360)=0,0,((((B20+C20)/2-VAL_DATE)/360)-((INDEX('Curve_Interface'!$K$8:$K$73,MATCH((B20+C20)/2,'Curve_Interface'!$K$8:$K$73,1))-VAL_DATE)/360))/(((INDEX('Curve_Interface'!$K$8:$K$73,MATCH((B20+C20)/2,'Curve_Interface'!$K$8:$K$73,1)+1)-VAL_DATE)/360)-((INDEX('Curve_Interface'!$K$8:$K$73,MATCH((B20+C20)/2,'Curve_Interface'!$K$8:$K$73,1))-VAL_DATE)/360))))*(((B20+C20)/2-VAL_DATE)/360))),INDEX('Curve_Interface'!$L$8:$L$73,MATCH((B20+C20)/2,'Curve_Interface'!$K$8:$K$73,1))*(INDEX('Curve_Interface'!$L$8:$L$73,MATCH((B20+C20)/2,'Curve_Interface'!$K$8:$K$73,1)+1)/INDEX('Curve_Interface'!$L$8:$L$73,MATCH((B20+C20)/2,'Curve_Interface'!$K$8:$K$73,1)))^(((B20+C20)/2-INDEX('Curve_Interface'!$K$8:$K$73,MATCH((B20+C20)/2,'Curve_Interface'!$K$8:$K$73,1)))/(INDEX('Curve_Interface'!$K$8:$K$73,MATCH((B20+C20)/2,'Curve_Interface'!$K$8:$K$73,1)+1)-INDEX('Curve_Interface'!$K$8:$K$73,MATCH((B20+C20)/2,'Curve_Interface'!$K$8:$K$73,1))))),INDEX('Curve_Interface'!$L$8:$L$73,MATCH((B20+C20)/2,'Curve_Interface'!$K$8:$K$73,1)))</f>
        <v/>
      </c>
      <c r="I20" s="36">
        <f>INDEX(Hazard_Bootstrap!$D$7:$D$12,MIN(COUNTIF(Hazard_Bootstrap!$B$7:$B$12,"&lt;"&amp;C20)+1,6))</f>
        <v/>
      </c>
      <c r="J20" s="36">
        <f>K19</f>
        <v/>
      </c>
      <c r="K20" s="36">
        <f>J20*EXP(-I20*E20)</f>
        <v/>
      </c>
      <c r="L20" s="36">
        <f>J20-K20</f>
        <v/>
      </c>
      <c r="M20" s="36">
        <f>D20*G20*K20</f>
        <v/>
      </c>
      <c r="N20" s="36">
        <f>(D20/2)*H20*L20</f>
        <v/>
      </c>
      <c r="O20" s="36">
        <f>H20*L20</f>
        <v/>
      </c>
      <c r="Q20" s="137" t="n"/>
    </row>
    <row r="21">
      <c r="A21" s="43" t="n">
        <v>15</v>
      </c>
      <c r="B21" s="18">
        <f>C20</f>
        <v/>
      </c>
      <c r="C21" s="18">
        <f>EDATE('Curve_Interface'!$F$7,3*14)</f>
        <v/>
      </c>
      <c r="D21" s="34">
        <f>(C21-B21)/360</f>
        <v/>
      </c>
      <c r="E21" s="34">
        <f>(C21-B21)/365</f>
        <v/>
      </c>
      <c r="F21" s="34">
        <f>(C21-VAL_DATE)/365</f>
        <v/>
      </c>
      <c r="G21" s="36">
        <f>IFERROR(IF(Curve_Interface!$J$7="Piecewise Linear (Simple)",IF(((C21-VAL_DATE)/360)&lt;=0,1,1/(1+(IF(((INDEX('Curve_Interface'!$K$8:$K$73,MATCH(C21,'Curve_Interface'!$K$8:$K$73,1))-VAL_DATE)/360)&lt;=0,IF(((INDEX('Curve_Interface'!$K$8:$K$73,MATCH(C21,'Curve_Interface'!$K$8:$K$73,1)+1)-VAL_DATE)/360)&lt;=0,0,(1/INDEX('Curve_Interface'!$L$8:$L$73,MATCH(C21,'Curve_Interface'!$K$8:$K$73,1)+1)-1)/((INDEX('Curve_Interface'!$K$8:$K$73,MATCH(C21,'Curve_Interface'!$K$8:$K$73,1)+1)-VAL_DATE)/360)),(1/INDEX('Curve_Interface'!$L$8:$L$73,MATCH(C21,'Curve_Interface'!$K$8:$K$73,1))-1)/((INDEX('Curve_Interface'!$K$8:$K$73,MATCH(C21,'Curve_Interface'!$K$8:$K$73,1))-VAL_DATE)/360))+(IF(((INDEX('Curve_Interface'!$K$8:$K$73,MATCH(C21,'Curve_Interface'!$K$8:$K$73,1)+1)-VAL_DATE)/360)&lt;=0,0,(1/INDEX('Curve_Interface'!$L$8:$L$73,MATCH(C21,'Curve_Interface'!$K$8:$K$73,1)+1)-1)/((INDEX('Curve_Interface'!$K$8:$K$73,MATCH(C21,'Curve_Interface'!$K$8:$K$73,1)+1)-VAL_DATE)/360))-IF(((INDEX('Curve_Interface'!$K$8:$K$73,MATCH(C21,'Curve_Interface'!$K$8:$K$73,1))-VAL_DATE)/360)&lt;=0,IF(((INDEX('Curve_Interface'!$K$8:$K$73,MATCH(C21,'Curve_Interface'!$K$8:$K$73,1)+1)-VAL_DATE)/360)&lt;=0,0,(1/INDEX('Curve_Interface'!$L$8:$L$73,MATCH(C21,'Curve_Interface'!$K$8:$K$73,1)+1)-1)/((INDEX('Curve_Interface'!$K$8:$K$73,MATCH(C21,'Curve_Interface'!$K$8:$K$73,1)+1)-VAL_DATE)/360)),(1/INDEX('Curve_Interface'!$L$8:$L$73,MATCH(C21,'Curve_Interface'!$K$8:$K$73,1))-1)/((INDEX('Curve_Interface'!$K$8:$K$73,MATCH(C21,'Curve_Interface'!$K$8:$K$73,1))-VAL_DATE)/360)))*IF(((INDEX('Curve_Interface'!$K$8:$K$73,MATCH(C21,'Curve_Interface'!$K$8:$K$73,1)+1)-VAL_DATE)/360)-((INDEX('Curve_Interface'!$K$8:$K$73,MATCH(C21,'Curve_Interface'!$K$8:$K$73,1))-VAL_DATE)/360)=0,0,(((C21-VAL_DATE)/360)-((INDEX('Curve_Interface'!$K$8:$K$73,MATCH(C21,'Curve_Interface'!$K$8:$K$73,1))-VAL_DATE)/360))/(((INDEX('Curve_Interface'!$K$8:$K$73,MATCH(C21,'Curve_Interface'!$K$8:$K$73,1)+1)-VAL_DATE)/360)-((INDEX('Curve_Interface'!$K$8:$K$73,MATCH(C21,'Curve_Interface'!$K$8:$K$73,1))-VAL_DATE)/360))))*((C21-VAL_DATE)/360))),INDEX('Curve_Interface'!$L$8:$L$73,MATCH(C21,'Curve_Interface'!$K$8:$K$73,1))*(INDEX('Curve_Interface'!$L$8:$L$73,MATCH(C21,'Curve_Interface'!$K$8:$K$73,1)+1)/INDEX('Curve_Interface'!$L$8:$L$73,MATCH(C21,'Curve_Interface'!$K$8:$K$73,1)))^((C21-INDEX('Curve_Interface'!$K$8:$K$73,MATCH(C21,'Curve_Interface'!$K$8:$K$73,1)))/(INDEX('Curve_Interface'!$K$8:$K$73,MATCH(C21,'Curve_Interface'!$K$8:$K$73,1)+1)-INDEX('Curve_Interface'!$K$8:$K$73,MATCH(C21,'Curve_Interface'!$K$8:$K$73,1))))),INDEX('Curve_Interface'!$L$8:$L$73,MATCH(C21,'Curve_Interface'!$K$8:$K$73,1)))</f>
        <v/>
      </c>
      <c r="H21" s="36">
        <f>IFERROR(IF(Curve_Interface!$J$7="Piecewise Linear (Simple)",IF((((B21+C21)/2-VAL_DATE)/360)&lt;=0,1,1/(1+(IF(((INDEX('Curve_Interface'!$K$8:$K$73,MATCH((B21+C21)/2,'Curve_Interface'!$K$8:$K$73,1))-VAL_DATE)/360)&lt;=0,IF(((INDEX('Curve_Interface'!$K$8:$K$73,MATCH((B21+C21)/2,'Curve_Interface'!$K$8:$K$73,1)+1)-VAL_DATE)/360)&lt;=0,0,(1/INDEX('Curve_Interface'!$L$8:$L$73,MATCH((B21+C21)/2,'Curve_Interface'!$K$8:$K$73,1)+1)-1)/((INDEX('Curve_Interface'!$K$8:$K$73,MATCH((B21+C21)/2,'Curve_Interface'!$K$8:$K$73,1)+1)-VAL_DATE)/360)),(1/INDEX('Curve_Interface'!$L$8:$L$73,MATCH((B21+C21)/2,'Curve_Interface'!$K$8:$K$73,1))-1)/((INDEX('Curve_Interface'!$K$8:$K$73,MATCH((B21+C21)/2,'Curve_Interface'!$K$8:$K$73,1))-VAL_DATE)/360))+(IF(((INDEX('Curve_Interface'!$K$8:$K$73,MATCH((B21+C21)/2,'Curve_Interface'!$K$8:$K$73,1)+1)-VAL_DATE)/360)&lt;=0,0,(1/INDEX('Curve_Interface'!$L$8:$L$73,MATCH((B21+C21)/2,'Curve_Interface'!$K$8:$K$73,1)+1)-1)/((INDEX('Curve_Interface'!$K$8:$K$73,MATCH((B21+C21)/2,'Curve_Interface'!$K$8:$K$73,1)+1)-VAL_DATE)/360))-IF(((INDEX('Curve_Interface'!$K$8:$K$73,MATCH((B21+C21)/2,'Curve_Interface'!$K$8:$K$73,1))-VAL_DATE)/360)&lt;=0,IF(((INDEX('Curve_Interface'!$K$8:$K$73,MATCH((B21+C21)/2,'Curve_Interface'!$K$8:$K$73,1)+1)-VAL_DATE)/360)&lt;=0,0,(1/INDEX('Curve_Interface'!$L$8:$L$73,MATCH((B21+C21)/2,'Curve_Interface'!$K$8:$K$73,1)+1)-1)/((INDEX('Curve_Interface'!$K$8:$K$73,MATCH((B21+C21)/2,'Curve_Interface'!$K$8:$K$73,1)+1)-VAL_DATE)/360)),(1/INDEX('Curve_Interface'!$L$8:$L$73,MATCH((B21+C21)/2,'Curve_Interface'!$K$8:$K$73,1))-1)/((INDEX('Curve_Interface'!$K$8:$K$73,MATCH((B21+C21)/2,'Curve_Interface'!$K$8:$K$73,1))-VAL_DATE)/360)))*IF(((INDEX('Curve_Interface'!$K$8:$K$73,MATCH((B21+C21)/2,'Curve_Interface'!$K$8:$K$73,1)+1)-VAL_DATE)/360)-((INDEX('Curve_Interface'!$K$8:$K$73,MATCH((B21+C21)/2,'Curve_Interface'!$K$8:$K$73,1))-VAL_DATE)/360)=0,0,((((B21+C21)/2-VAL_DATE)/360)-((INDEX('Curve_Interface'!$K$8:$K$73,MATCH((B21+C21)/2,'Curve_Interface'!$K$8:$K$73,1))-VAL_DATE)/360))/(((INDEX('Curve_Interface'!$K$8:$K$73,MATCH((B21+C21)/2,'Curve_Interface'!$K$8:$K$73,1)+1)-VAL_DATE)/360)-((INDEX('Curve_Interface'!$K$8:$K$73,MATCH((B21+C21)/2,'Curve_Interface'!$K$8:$K$73,1))-VAL_DATE)/360))))*(((B21+C21)/2-VAL_DATE)/360))),INDEX('Curve_Interface'!$L$8:$L$73,MATCH((B21+C21)/2,'Curve_Interface'!$K$8:$K$73,1))*(INDEX('Curve_Interface'!$L$8:$L$73,MATCH((B21+C21)/2,'Curve_Interface'!$K$8:$K$73,1)+1)/INDEX('Curve_Interface'!$L$8:$L$73,MATCH((B21+C21)/2,'Curve_Interface'!$K$8:$K$73,1)))^(((B21+C21)/2-INDEX('Curve_Interface'!$K$8:$K$73,MATCH((B21+C21)/2,'Curve_Interface'!$K$8:$K$73,1)))/(INDEX('Curve_Interface'!$K$8:$K$73,MATCH((B21+C21)/2,'Curve_Interface'!$K$8:$K$73,1)+1)-INDEX('Curve_Interface'!$K$8:$K$73,MATCH((B21+C21)/2,'Curve_Interface'!$K$8:$K$73,1))))),INDEX('Curve_Interface'!$L$8:$L$73,MATCH((B21+C21)/2,'Curve_Interface'!$K$8:$K$73,1)))</f>
        <v/>
      </c>
      <c r="I21" s="36">
        <f>INDEX(Hazard_Bootstrap!$D$7:$D$12,MIN(COUNTIF(Hazard_Bootstrap!$B$7:$B$12,"&lt;"&amp;C21)+1,6))</f>
        <v/>
      </c>
      <c r="J21" s="36">
        <f>K20</f>
        <v/>
      </c>
      <c r="K21" s="36">
        <f>J21*EXP(-I21*E21)</f>
        <v/>
      </c>
      <c r="L21" s="36">
        <f>J21-K21</f>
        <v/>
      </c>
      <c r="M21" s="36">
        <f>D21*G21*K21</f>
        <v/>
      </c>
      <c r="N21" s="36">
        <f>(D21/2)*H21*L21</f>
        <v/>
      </c>
      <c r="O21" s="36">
        <f>H21*L21</f>
        <v/>
      </c>
      <c r="Q21" s="137" t="inlineStr">
        <is>
          <t>col O   protection factor                       (3.6) / O-T (7)</t>
        </is>
      </c>
    </row>
    <row r="22">
      <c r="A22" s="43" t="n">
        <v>16</v>
      </c>
      <c r="B22" s="18">
        <f>C21</f>
        <v/>
      </c>
      <c r="C22" s="18">
        <f>EDATE('Curve_Interface'!$F$7,3*15)</f>
        <v/>
      </c>
      <c r="D22" s="34">
        <f>(C22-B22)/360</f>
        <v/>
      </c>
      <c r="E22" s="34">
        <f>(C22-B22)/365</f>
        <v/>
      </c>
      <c r="F22" s="34">
        <f>(C22-VAL_DATE)/365</f>
        <v/>
      </c>
      <c r="G22" s="36">
        <f>IFERROR(IF(Curve_Interface!$J$7="Piecewise Linear (Simple)",IF(((C22-VAL_DATE)/360)&lt;=0,1,1/(1+(IF(((INDEX('Curve_Interface'!$K$8:$K$73,MATCH(C22,'Curve_Interface'!$K$8:$K$73,1))-VAL_DATE)/360)&lt;=0,IF(((INDEX('Curve_Interface'!$K$8:$K$73,MATCH(C22,'Curve_Interface'!$K$8:$K$73,1)+1)-VAL_DATE)/360)&lt;=0,0,(1/INDEX('Curve_Interface'!$L$8:$L$73,MATCH(C22,'Curve_Interface'!$K$8:$K$73,1)+1)-1)/((INDEX('Curve_Interface'!$K$8:$K$73,MATCH(C22,'Curve_Interface'!$K$8:$K$73,1)+1)-VAL_DATE)/360)),(1/INDEX('Curve_Interface'!$L$8:$L$73,MATCH(C22,'Curve_Interface'!$K$8:$K$73,1))-1)/((INDEX('Curve_Interface'!$K$8:$K$73,MATCH(C22,'Curve_Interface'!$K$8:$K$73,1))-VAL_DATE)/360))+(IF(((INDEX('Curve_Interface'!$K$8:$K$73,MATCH(C22,'Curve_Interface'!$K$8:$K$73,1)+1)-VAL_DATE)/360)&lt;=0,0,(1/INDEX('Curve_Interface'!$L$8:$L$73,MATCH(C22,'Curve_Interface'!$K$8:$K$73,1)+1)-1)/((INDEX('Curve_Interface'!$K$8:$K$73,MATCH(C22,'Curve_Interface'!$K$8:$K$73,1)+1)-VAL_DATE)/360))-IF(((INDEX('Curve_Interface'!$K$8:$K$73,MATCH(C22,'Curve_Interface'!$K$8:$K$73,1))-VAL_DATE)/360)&lt;=0,IF(((INDEX('Curve_Interface'!$K$8:$K$73,MATCH(C22,'Curve_Interface'!$K$8:$K$73,1)+1)-VAL_DATE)/360)&lt;=0,0,(1/INDEX('Curve_Interface'!$L$8:$L$73,MATCH(C22,'Curve_Interface'!$K$8:$K$73,1)+1)-1)/((INDEX('Curve_Interface'!$K$8:$K$73,MATCH(C22,'Curve_Interface'!$K$8:$K$73,1)+1)-VAL_DATE)/360)),(1/INDEX('Curve_Interface'!$L$8:$L$73,MATCH(C22,'Curve_Interface'!$K$8:$K$73,1))-1)/((INDEX('Curve_Interface'!$K$8:$K$73,MATCH(C22,'Curve_Interface'!$K$8:$K$73,1))-VAL_DATE)/360)))*IF(((INDEX('Curve_Interface'!$K$8:$K$73,MATCH(C22,'Curve_Interface'!$K$8:$K$73,1)+1)-VAL_DATE)/360)-((INDEX('Curve_Interface'!$K$8:$K$73,MATCH(C22,'Curve_Interface'!$K$8:$K$73,1))-VAL_DATE)/360)=0,0,(((C22-VAL_DATE)/360)-((INDEX('Curve_Interface'!$K$8:$K$73,MATCH(C22,'Curve_Interface'!$K$8:$K$73,1))-VAL_DATE)/360))/(((INDEX('Curve_Interface'!$K$8:$K$73,MATCH(C22,'Curve_Interface'!$K$8:$K$73,1)+1)-VAL_DATE)/360)-((INDEX('Curve_Interface'!$K$8:$K$73,MATCH(C22,'Curve_Interface'!$K$8:$K$73,1))-VAL_DATE)/360))))*((C22-VAL_DATE)/360))),INDEX('Curve_Interface'!$L$8:$L$73,MATCH(C22,'Curve_Interface'!$K$8:$K$73,1))*(INDEX('Curve_Interface'!$L$8:$L$73,MATCH(C22,'Curve_Interface'!$K$8:$K$73,1)+1)/INDEX('Curve_Interface'!$L$8:$L$73,MATCH(C22,'Curve_Interface'!$K$8:$K$73,1)))^((C22-INDEX('Curve_Interface'!$K$8:$K$73,MATCH(C22,'Curve_Interface'!$K$8:$K$73,1)))/(INDEX('Curve_Interface'!$K$8:$K$73,MATCH(C22,'Curve_Interface'!$K$8:$K$73,1)+1)-INDEX('Curve_Interface'!$K$8:$K$73,MATCH(C22,'Curve_Interface'!$K$8:$K$73,1))))),INDEX('Curve_Interface'!$L$8:$L$73,MATCH(C22,'Curve_Interface'!$K$8:$K$73,1)))</f>
        <v/>
      </c>
      <c r="H22" s="36">
        <f>IFERROR(IF(Curve_Interface!$J$7="Piecewise Linear (Simple)",IF((((B22+C22)/2-VAL_DATE)/360)&lt;=0,1,1/(1+(IF(((INDEX('Curve_Interface'!$K$8:$K$73,MATCH((B22+C22)/2,'Curve_Interface'!$K$8:$K$73,1))-VAL_DATE)/360)&lt;=0,IF(((INDEX('Curve_Interface'!$K$8:$K$73,MATCH((B22+C22)/2,'Curve_Interface'!$K$8:$K$73,1)+1)-VAL_DATE)/360)&lt;=0,0,(1/INDEX('Curve_Interface'!$L$8:$L$73,MATCH((B22+C22)/2,'Curve_Interface'!$K$8:$K$73,1)+1)-1)/((INDEX('Curve_Interface'!$K$8:$K$73,MATCH((B22+C22)/2,'Curve_Interface'!$K$8:$K$73,1)+1)-VAL_DATE)/360)),(1/INDEX('Curve_Interface'!$L$8:$L$73,MATCH((B22+C22)/2,'Curve_Interface'!$K$8:$K$73,1))-1)/((INDEX('Curve_Interface'!$K$8:$K$73,MATCH((B22+C22)/2,'Curve_Interface'!$K$8:$K$73,1))-VAL_DATE)/360))+(IF(((INDEX('Curve_Interface'!$K$8:$K$73,MATCH((B22+C22)/2,'Curve_Interface'!$K$8:$K$73,1)+1)-VAL_DATE)/360)&lt;=0,0,(1/INDEX('Curve_Interface'!$L$8:$L$73,MATCH((B22+C22)/2,'Curve_Interface'!$K$8:$K$73,1)+1)-1)/((INDEX('Curve_Interface'!$K$8:$K$73,MATCH((B22+C22)/2,'Curve_Interface'!$K$8:$K$73,1)+1)-VAL_DATE)/360))-IF(((INDEX('Curve_Interface'!$K$8:$K$73,MATCH((B22+C22)/2,'Curve_Interface'!$K$8:$K$73,1))-VAL_DATE)/360)&lt;=0,IF(((INDEX('Curve_Interface'!$K$8:$K$73,MATCH((B22+C22)/2,'Curve_Interface'!$K$8:$K$73,1)+1)-VAL_DATE)/360)&lt;=0,0,(1/INDEX('Curve_Interface'!$L$8:$L$73,MATCH((B22+C22)/2,'Curve_Interface'!$K$8:$K$73,1)+1)-1)/((INDEX('Curve_Interface'!$K$8:$K$73,MATCH((B22+C22)/2,'Curve_Interface'!$K$8:$K$73,1)+1)-VAL_DATE)/360)),(1/INDEX('Curve_Interface'!$L$8:$L$73,MATCH((B22+C22)/2,'Curve_Interface'!$K$8:$K$73,1))-1)/((INDEX('Curve_Interface'!$K$8:$K$73,MATCH((B22+C22)/2,'Curve_Interface'!$K$8:$K$73,1))-VAL_DATE)/360)))*IF(((INDEX('Curve_Interface'!$K$8:$K$73,MATCH((B22+C22)/2,'Curve_Interface'!$K$8:$K$73,1)+1)-VAL_DATE)/360)-((INDEX('Curve_Interface'!$K$8:$K$73,MATCH((B22+C22)/2,'Curve_Interface'!$K$8:$K$73,1))-VAL_DATE)/360)=0,0,((((B22+C22)/2-VAL_DATE)/360)-((INDEX('Curve_Interface'!$K$8:$K$73,MATCH((B22+C22)/2,'Curve_Interface'!$K$8:$K$73,1))-VAL_DATE)/360))/(((INDEX('Curve_Interface'!$K$8:$K$73,MATCH((B22+C22)/2,'Curve_Interface'!$K$8:$K$73,1)+1)-VAL_DATE)/360)-((INDEX('Curve_Interface'!$K$8:$K$73,MATCH((B22+C22)/2,'Curve_Interface'!$K$8:$K$73,1))-VAL_DATE)/360))))*(((B22+C22)/2-VAL_DATE)/360))),INDEX('Curve_Interface'!$L$8:$L$73,MATCH((B22+C22)/2,'Curve_Interface'!$K$8:$K$73,1))*(INDEX('Curve_Interface'!$L$8:$L$73,MATCH((B22+C22)/2,'Curve_Interface'!$K$8:$K$73,1)+1)/INDEX('Curve_Interface'!$L$8:$L$73,MATCH((B22+C22)/2,'Curve_Interface'!$K$8:$K$73,1)))^(((B22+C22)/2-INDEX('Curve_Interface'!$K$8:$K$73,MATCH((B22+C22)/2,'Curve_Interface'!$K$8:$K$73,1)))/(INDEX('Curve_Interface'!$K$8:$K$73,MATCH((B22+C22)/2,'Curve_Interface'!$K$8:$K$73,1)+1)-INDEX('Curve_Interface'!$K$8:$K$73,MATCH((B22+C22)/2,'Curve_Interface'!$K$8:$K$73,1))))),INDEX('Curve_Interface'!$L$8:$L$73,MATCH((B22+C22)/2,'Curve_Interface'!$K$8:$K$73,1)))</f>
        <v/>
      </c>
      <c r="I22" s="36">
        <f>INDEX(Hazard_Bootstrap!$D$7:$D$12,MIN(COUNTIF(Hazard_Bootstrap!$B$7:$B$12,"&lt;"&amp;C22)+1,6))</f>
        <v/>
      </c>
      <c r="J22" s="36">
        <f>K21</f>
        <v/>
      </c>
      <c r="K22" s="36">
        <f>J22*EXP(-I22*E22)</f>
        <v/>
      </c>
      <c r="L22" s="36">
        <f>J22-K22</f>
        <v/>
      </c>
      <c r="M22" s="36">
        <f>D22*G22*K22</f>
        <v/>
      </c>
      <c r="N22" s="36">
        <f>(D22/2)*H22*L22</f>
        <v/>
      </c>
      <c r="O22" s="36">
        <f>H22*L22</f>
        <v/>
      </c>
      <c r="Q22" s="138" t="inlineStr">
        <is>
          <t xml:space="preserve">        Z(mid_i) * dPD_i</t>
        </is>
      </c>
    </row>
    <row r="23">
      <c r="A23" s="43" t="n">
        <v>17</v>
      </c>
      <c r="B23" s="18">
        <f>C22</f>
        <v/>
      </c>
      <c r="C23" s="18">
        <f>EDATE('Curve_Interface'!$F$7,3*16)</f>
        <v/>
      </c>
      <c r="D23" s="34">
        <f>(C23-B23)/360</f>
        <v/>
      </c>
      <c r="E23" s="34">
        <f>(C23-B23)/365</f>
        <v/>
      </c>
      <c r="F23" s="34">
        <f>(C23-VAL_DATE)/365</f>
        <v/>
      </c>
      <c r="G23" s="36">
        <f>IFERROR(IF(Curve_Interface!$J$7="Piecewise Linear (Simple)",IF(((C23-VAL_DATE)/360)&lt;=0,1,1/(1+(IF(((INDEX('Curve_Interface'!$K$8:$K$73,MATCH(C23,'Curve_Interface'!$K$8:$K$73,1))-VAL_DATE)/360)&lt;=0,IF(((INDEX('Curve_Interface'!$K$8:$K$73,MATCH(C23,'Curve_Interface'!$K$8:$K$73,1)+1)-VAL_DATE)/360)&lt;=0,0,(1/INDEX('Curve_Interface'!$L$8:$L$73,MATCH(C23,'Curve_Interface'!$K$8:$K$73,1)+1)-1)/((INDEX('Curve_Interface'!$K$8:$K$73,MATCH(C23,'Curve_Interface'!$K$8:$K$73,1)+1)-VAL_DATE)/360)),(1/INDEX('Curve_Interface'!$L$8:$L$73,MATCH(C23,'Curve_Interface'!$K$8:$K$73,1))-1)/((INDEX('Curve_Interface'!$K$8:$K$73,MATCH(C23,'Curve_Interface'!$K$8:$K$73,1))-VAL_DATE)/360))+(IF(((INDEX('Curve_Interface'!$K$8:$K$73,MATCH(C23,'Curve_Interface'!$K$8:$K$73,1)+1)-VAL_DATE)/360)&lt;=0,0,(1/INDEX('Curve_Interface'!$L$8:$L$73,MATCH(C23,'Curve_Interface'!$K$8:$K$73,1)+1)-1)/((INDEX('Curve_Interface'!$K$8:$K$73,MATCH(C23,'Curve_Interface'!$K$8:$K$73,1)+1)-VAL_DATE)/360))-IF(((INDEX('Curve_Interface'!$K$8:$K$73,MATCH(C23,'Curve_Interface'!$K$8:$K$73,1))-VAL_DATE)/360)&lt;=0,IF(((INDEX('Curve_Interface'!$K$8:$K$73,MATCH(C23,'Curve_Interface'!$K$8:$K$73,1)+1)-VAL_DATE)/360)&lt;=0,0,(1/INDEX('Curve_Interface'!$L$8:$L$73,MATCH(C23,'Curve_Interface'!$K$8:$K$73,1)+1)-1)/((INDEX('Curve_Interface'!$K$8:$K$73,MATCH(C23,'Curve_Interface'!$K$8:$K$73,1)+1)-VAL_DATE)/360)),(1/INDEX('Curve_Interface'!$L$8:$L$73,MATCH(C23,'Curve_Interface'!$K$8:$K$73,1))-1)/((INDEX('Curve_Interface'!$K$8:$K$73,MATCH(C23,'Curve_Interface'!$K$8:$K$73,1))-VAL_DATE)/360)))*IF(((INDEX('Curve_Interface'!$K$8:$K$73,MATCH(C23,'Curve_Interface'!$K$8:$K$73,1)+1)-VAL_DATE)/360)-((INDEX('Curve_Interface'!$K$8:$K$73,MATCH(C23,'Curve_Interface'!$K$8:$K$73,1))-VAL_DATE)/360)=0,0,(((C23-VAL_DATE)/360)-((INDEX('Curve_Interface'!$K$8:$K$73,MATCH(C23,'Curve_Interface'!$K$8:$K$73,1))-VAL_DATE)/360))/(((INDEX('Curve_Interface'!$K$8:$K$73,MATCH(C23,'Curve_Interface'!$K$8:$K$73,1)+1)-VAL_DATE)/360)-((INDEX('Curve_Interface'!$K$8:$K$73,MATCH(C23,'Curve_Interface'!$K$8:$K$73,1))-VAL_DATE)/360))))*((C23-VAL_DATE)/360))),INDEX('Curve_Interface'!$L$8:$L$73,MATCH(C23,'Curve_Interface'!$K$8:$K$73,1))*(INDEX('Curve_Interface'!$L$8:$L$73,MATCH(C23,'Curve_Interface'!$K$8:$K$73,1)+1)/INDEX('Curve_Interface'!$L$8:$L$73,MATCH(C23,'Curve_Interface'!$K$8:$K$73,1)))^((C23-INDEX('Curve_Interface'!$K$8:$K$73,MATCH(C23,'Curve_Interface'!$K$8:$K$73,1)))/(INDEX('Curve_Interface'!$K$8:$K$73,MATCH(C23,'Curve_Interface'!$K$8:$K$73,1)+1)-INDEX('Curve_Interface'!$K$8:$K$73,MATCH(C23,'Curve_Interface'!$K$8:$K$73,1))))),INDEX('Curve_Interface'!$L$8:$L$73,MATCH(C23,'Curve_Interface'!$K$8:$K$73,1)))</f>
        <v/>
      </c>
      <c r="H23" s="36">
        <f>IFERROR(IF(Curve_Interface!$J$7="Piecewise Linear (Simple)",IF((((B23+C23)/2-VAL_DATE)/360)&lt;=0,1,1/(1+(IF(((INDEX('Curve_Interface'!$K$8:$K$73,MATCH((B23+C23)/2,'Curve_Interface'!$K$8:$K$73,1))-VAL_DATE)/360)&lt;=0,IF(((INDEX('Curve_Interface'!$K$8:$K$73,MATCH((B23+C23)/2,'Curve_Interface'!$K$8:$K$73,1)+1)-VAL_DATE)/360)&lt;=0,0,(1/INDEX('Curve_Interface'!$L$8:$L$73,MATCH((B23+C23)/2,'Curve_Interface'!$K$8:$K$73,1)+1)-1)/((INDEX('Curve_Interface'!$K$8:$K$73,MATCH((B23+C23)/2,'Curve_Interface'!$K$8:$K$73,1)+1)-VAL_DATE)/360)),(1/INDEX('Curve_Interface'!$L$8:$L$73,MATCH((B23+C23)/2,'Curve_Interface'!$K$8:$K$73,1))-1)/((INDEX('Curve_Interface'!$K$8:$K$73,MATCH((B23+C23)/2,'Curve_Interface'!$K$8:$K$73,1))-VAL_DATE)/360))+(IF(((INDEX('Curve_Interface'!$K$8:$K$73,MATCH((B23+C23)/2,'Curve_Interface'!$K$8:$K$73,1)+1)-VAL_DATE)/360)&lt;=0,0,(1/INDEX('Curve_Interface'!$L$8:$L$73,MATCH((B23+C23)/2,'Curve_Interface'!$K$8:$K$73,1)+1)-1)/((INDEX('Curve_Interface'!$K$8:$K$73,MATCH((B23+C23)/2,'Curve_Interface'!$K$8:$K$73,1)+1)-VAL_DATE)/360))-IF(((INDEX('Curve_Interface'!$K$8:$K$73,MATCH((B23+C23)/2,'Curve_Interface'!$K$8:$K$73,1))-VAL_DATE)/360)&lt;=0,IF(((INDEX('Curve_Interface'!$K$8:$K$73,MATCH((B23+C23)/2,'Curve_Interface'!$K$8:$K$73,1)+1)-VAL_DATE)/360)&lt;=0,0,(1/INDEX('Curve_Interface'!$L$8:$L$73,MATCH((B23+C23)/2,'Curve_Interface'!$K$8:$K$73,1)+1)-1)/((INDEX('Curve_Interface'!$K$8:$K$73,MATCH((B23+C23)/2,'Curve_Interface'!$K$8:$K$73,1)+1)-VAL_DATE)/360)),(1/INDEX('Curve_Interface'!$L$8:$L$73,MATCH((B23+C23)/2,'Curve_Interface'!$K$8:$K$73,1))-1)/((INDEX('Curve_Interface'!$K$8:$K$73,MATCH((B23+C23)/2,'Curve_Interface'!$K$8:$K$73,1))-VAL_DATE)/360)))*IF(((INDEX('Curve_Interface'!$K$8:$K$73,MATCH((B23+C23)/2,'Curve_Interface'!$K$8:$K$73,1)+1)-VAL_DATE)/360)-((INDEX('Curve_Interface'!$K$8:$K$73,MATCH((B23+C23)/2,'Curve_Interface'!$K$8:$K$73,1))-VAL_DATE)/360)=0,0,((((B23+C23)/2-VAL_DATE)/360)-((INDEX('Curve_Interface'!$K$8:$K$73,MATCH((B23+C23)/2,'Curve_Interface'!$K$8:$K$73,1))-VAL_DATE)/360))/(((INDEX('Curve_Interface'!$K$8:$K$73,MATCH((B23+C23)/2,'Curve_Interface'!$K$8:$K$73,1)+1)-VAL_DATE)/360)-((INDEX('Curve_Interface'!$K$8:$K$73,MATCH((B23+C23)/2,'Curve_Interface'!$K$8:$K$73,1))-VAL_DATE)/360))))*(((B23+C23)/2-VAL_DATE)/360))),INDEX('Curve_Interface'!$L$8:$L$73,MATCH((B23+C23)/2,'Curve_Interface'!$K$8:$K$73,1))*(INDEX('Curve_Interface'!$L$8:$L$73,MATCH((B23+C23)/2,'Curve_Interface'!$K$8:$K$73,1)+1)/INDEX('Curve_Interface'!$L$8:$L$73,MATCH((B23+C23)/2,'Curve_Interface'!$K$8:$K$73,1)))^(((B23+C23)/2-INDEX('Curve_Interface'!$K$8:$K$73,MATCH((B23+C23)/2,'Curve_Interface'!$K$8:$K$73,1)))/(INDEX('Curve_Interface'!$K$8:$K$73,MATCH((B23+C23)/2,'Curve_Interface'!$K$8:$K$73,1)+1)-INDEX('Curve_Interface'!$K$8:$K$73,MATCH((B23+C23)/2,'Curve_Interface'!$K$8:$K$73,1))))),INDEX('Curve_Interface'!$L$8:$L$73,MATCH((B23+C23)/2,'Curve_Interface'!$K$8:$K$73,1)))</f>
        <v/>
      </c>
      <c r="I23" s="36">
        <f>INDEX(Hazard_Bootstrap!$D$7:$D$12,MIN(COUNTIF(Hazard_Bootstrap!$B$7:$B$12,"&lt;"&amp;C23)+1,6))</f>
        <v/>
      </c>
      <c r="J23" s="36">
        <f>K22</f>
        <v/>
      </c>
      <c r="K23" s="36">
        <f>J23*EXP(-I23*E23)</f>
        <v/>
      </c>
      <c r="L23" s="36">
        <f>J23-K23</f>
        <v/>
      </c>
      <c r="M23" s="36">
        <f>D23*G23*K23</f>
        <v/>
      </c>
      <c r="N23" s="36">
        <f>(D23/2)*H23*L23</f>
        <v/>
      </c>
      <c r="O23" s="36">
        <f>H23*L23</f>
        <v/>
      </c>
      <c r="Q23" s="138" t="inlineStr">
        <is>
          <t xml:space="preserve">        Protection Leg = A(1-R) * INT (-dp_s/dt) D(t) dt</t>
        </is>
      </c>
    </row>
    <row r="24">
      <c r="A24" s="43" t="n">
        <v>18</v>
      </c>
      <c r="B24" s="18">
        <f>C23</f>
        <v/>
      </c>
      <c r="C24" s="18">
        <f>EDATE('Curve_Interface'!$F$7,3*17)</f>
        <v/>
      </c>
      <c r="D24" s="34">
        <f>(C24-B24)/360</f>
        <v/>
      </c>
      <c r="E24" s="34">
        <f>(C24-B24)/365</f>
        <v/>
      </c>
      <c r="F24" s="34">
        <f>(C24-VAL_DATE)/365</f>
        <v/>
      </c>
      <c r="G24" s="36">
        <f>IFERROR(IF(Curve_Interface!$J$7="Piecewise Linear (Simple)",IF(((C24-VAL_DATE)/360)&lt;=0,1,1/(1+(IF(((INDEX('Curve_Interface'!$K$8:$K$73,MATCH(C24,'Curve_Interface'!$K$8:$K$73,1))-VAL_DATE)/360)&lt;=0,IF(((INDEX('Curve_Interface'!$K$8:$K$73,MATCH(C24,'Curve_Interface'!$K$8:$K$73,1)+1)-VAL_DATE)/360)&lt;=0,0,(1/INDEX('Curve_Interface'!$L$8:$L$73,MATCH(C24,'Curve_Interface'!$K$8:$K$73,1)+1)-1)/((INDEX('Curve_Interface'!$K$8:$K$73,MATCH(C24,'Curve_Interface'!$K$8:$K$73,1)+1)-VAL_DATE)/360)),(1/INDEX('Curve_Interface'!$L$8:$L$73,MATCH(C24,'Curve_Interface'!$K$8:$K$73,1))-1)/((INDEX('Curve_Interface'!$K$8:$K$73,MATCH(C24,'Curve_Interface'!$K$8:$K$73,1))-VAL_DATE)/360))+(IF(((INDEX('Curve_Interface'!$K$8:$K$73,MATCH(C24,'Curve_Interface'!$K$8:$K$73,1)+1)-VAL_DATE)/360)&lt;=0,0,(1/INDEX('Curve_Interface'!$L$8:$L$73,MATCH(C24,'Curve_Interface'!$K$8:$K$73,1)+1)-1)/((INDEX('Curve_Interface'!$K$8:$K$73,MATCH(C24,'Curve_Interface'!$K$8:$K$73,1)+1)-VAL_DATE)/360))-IF(((INDEX('Curve_Interface'!$K$8:$K$73,MATCH(C24,'Curve_Interface'!$K$8:$K$73,1))-VAL_DATE)/360)&lt;=0,IF(((INDEX('Curve_Interface'!$K$8:$K$73,MATCH(C24,'Curve_Interface'!$K$8:$K$73,1)+1)-VAL_DATE)/360)&lt;=0,0,(1/INDEX('Curve_Interface'!$L$8:$L$73,MATCH(C24,'Curve_Interface'!$K$8:$K$73,1)+1)-1)/((INDEX('Curve_Interface'!$K$8:$K$73,MATCH(C24,'Curve_Interface'!$K$8:$K$73,1)+1)-VAL_DATE)/360)),(1/INDEX('Curve_Interface'!$L$8:$L$73,MATCH(C24,'Curve_Interface'!$K$8:$K$73,1))-1)/((INDEX('Curve_Interface'!$K$8:$K$73,MATCH(C24,'Curve_Interface'!$K$8:$K$73,1))-VAL_DATE)/360)))*IF(((INDEX('Curve_Interface'!$K$8:$K$73,MATCH(C24,'Curve_Interface'!$K$8:$K$73,1)+1)-VAL_DATE)/360)-((INDEX('Curve_Interface'!$K$8:$K$73,MATCH(C24,'Curve_Interface'!$K$8:$K$73,1))-VAL_DATE)/360)=0,0,(((C24-VAL_DATE)/360)-((INDEX('Curve_Interface'!$K$8:$K$73,MATCH(C24,'Curve_Interface'!$K$8:$K$73,1))-VAL_DATE)/360))/(((INDEX('Curve_Interface'!$K$8:$K$73,MATCH(C24,'Curve_Interface'!$K$8:$K$73,1)+1)-VAL_DATE)/360)-((INDEX('Curve_Interface'!$K$8:$K$73,MATCH(C24,'Curve_Interface'!$K$8:$K$73,1))-VAL_DATE)/360))))*((C24-VAL_DATE)/360))),INDEX('Curve_Interface'!$L$8:$L$73,MATCH(C24,'Curve_Interface'!$K$8:$K$73,1))*(INDEX('Curve_Interface'!$L$8:$L$73,MATCH(C24,'Curve_Interface'!$K$8:$K$73,1)+1)/INDEX('Curve_Interface'!$L$8:$L$73,MATCH(C24,'Curve_Interface'!$K$8:$K$73,1)))^((C24-INDEX('Curve_Interface'!$K$8:$K$73,MATCH(C24,'Curve_Interface'!$K$8:$K$73,1)))/(INDEX('Curve_Interface'!$K$8:$K$73,MATCH(C24,'Curve_Interface'!$K$8:$K$73,1)+1)-INDEX('Curve_Interface'!$K$8:$K$73,MATCH(C24,'Curve_Interface'!$K$8:$K$73,1))))),INDEX('Curve_Interface'!$L$8:$L$73,MATCH(C24,'Curve_Interface'!$K$8:$K$73,1)))</f>
        <v/>
      </c>
      <c r="H24" s="36">
        <f>IFERROR(IF(Curve_Interface!$J$7="Piecewise Linear (Simple)",IF((((B24+C24)/2-VAL_DATE)/360)&lt;=0,1,1/(1+(IF(((INDEX('Curve_Interface'!$K$8:$K$73,MATCH((B24+C24)/2,'Curve_Interface'!$K$8:$K$73,1))-VAL_DATE)/360)&lt;=0,IF(((INDEX('Curve_Interface'!$K$8:$K$73,MATCH((B24+C24)/2,'Curve_Interface'!$K$8:$K$73,1)+1)-VAL_DATE)/360)&lt;=0,0,(1/INDEX('Curve_Interface'!$L$8:$L$73,MATCH((B24+C24)/2,'Curve_Interface'!$K$8:$K$73,1)+1)-1)/((INDEX('Curve_Interface'!$K$8:$K$73,MATCH((B24+C24)/2,'Curve_Interface'!$K$8:$K$73,1)+1)-VAL_DATE)/360)),(1/INDEX('Curve_Interface'!$L$8:$L$73,MATCH((B24+C24)/2,'Curve_Interface'!$K$8:$K$73,1))-1)/((INDEX('Curve_Interface'!$K$8:$K$73,MATCH((B24+C24)/2,'Curve_Interface'!$K$8:$K$73,1))-VAL_DATE)/360))+(IF(((INDEX('Curve_Interface'!$K$8:$K$73,MATCH((B24+C24)/2,'Curve_Interface'!$K$8:$K$73,1)+1)-VAL_DATE)/360)&lt;=0,0,(1/INDEX('Curve_Interface'!$L$8:$L$73,MATCH((B24+C24)/2,'Curve_Interface'!$K$8:$K$73,1)+1)-1)/((INDEX('Curve_Interface'!$K$8:$K$73,MATCH((B24+C24)/2,'Curve_Interface'!$K$8:$K$73,1)+1)-VAL_DATE)/360))-IF(((INDEX('Curve_Interface'!$K$8:$K$73,MATCH((B24+C24)/2,'Curve_Interface'!$K$8:$K$73,1))-VAL_DATE)/360)&lt;=0,IF(((INDEX('Curve_Interface'!$K$8:$K$73,MATCH((B24+C24)/2,'Curve_Interface'!$K$8:$K$73,1)+1)-VAL_DATE)/360)&lt;=0,0,(1/INDEX('Curve_Interface'!$L$8:$L$73,MATCH((B24+C24)/2,'Curve_Interface'!$K$8:$K$73,1)+1)-1)/((INDEX('Curve_Interface'!$K$8:$K$73,MATCH((B24+C24)/2,'Curve_Interface'!$K$8:$K$73,1)+1)-VAL_DATE)/360)),(1/INDEX('Curve_Interface'!$L$8:$L$73,MATCH((B24+C24)/2,'Curve_Interface'!$K$8:$K$73,1))-1)/((INDEX('Curve_Interface'!$K$8:$K$73,MATCH((B24+C24)/2,'Curve_Interface'!$K$8:$K$73,1))-VAL_DATE)/360)))*IF(((INDEX('Curve_Interface'!$K$8:$K$73,MATCH((B24+C24)/2,'Curve_Interface'!$K$8:$K$73,1)+1)-VAL_DATE)/360)-((INDEX('Curve_Interface'!$K$8:$K$73,MATCH((B24+C24)/2,'Curve_Interface'!$K$8:$K$73,1))-VAL_DATE)/360)=0,0,((((B24+C24)/2-VAL_DATE)/360)-((INDEX('Curve_Interface'!$K$8:$K$73,MATCH((B24+C24)/2,'Curve_Interface'!$K$8:$K$73,1))-VAL_DATE)/360))/(((INDEX('Curve_Interface'!$K$8:$K$73,MATCH((B24+C24)/2,'Curve_Interface'!$K$8:$K$73,1)+1)-VAL_DATE)/360)-((INDEX('Curve_Interface'!$K$8:$K$73,MATCH((B24+C24)/2,'Curve_Interface'!$K$8:$K$73,1))-VAL_DATE)/360))))*(((B24+C24)/2-VAL_DATE)/360))),INDEX('Curve_Interface'!$L$8:$L$73,MATCH((B24+C24)/2,'Curve_Interface'!$K$8:$K$73,1))*(INDEX('Curve_Interface'!$L$8:$L$73,MATCH((B24+C24)/2,'Curve_Interface'!$K$8:$K$73,1)+1)/INDEX('Curve_Interface'!$L$8:$L$73,MATCH((B24+C24)/2,'Curve_Interface'!$K$8:$K$73,1)))^(((B24+C24)/2-INDEX('Curve_Interface'!$K$8:$K$73,MATCH((B24+C24)/2,'Curve_Interface'!$K$8:$K$73,1)))/(INDEX('Curve_Interface'!$K$8:$K$73,MATCH((B24+C24)/2,'Curve_Interface'!$K$8:$K$73,1)+1)-INDEX('Curve_Interface'!$K$8:$K$73,MATCH((B24+C24)/2,'Curve_Interface'!$K$8:$K$73,1))))),INDEX('Curve_Interface'!$L$8:$L$73,MATCH((B24+C24)/2,'Curve_Interface'!$K$8:$K$73,1)))</f>
        <v/>
      </c>
      <c r="I24" s="36">
        <f>INDEX(Hazard_Bootstrap!$D$7:$D$12,MIN(COUNTIF(Hazard_Bootstrap!$B$7:$B$12,"&lt;"&amp;C24)+1,6))</f>
        <v/>
      </c>
      <c r="J24" s="36">
        <f>K23</f>
        <v/>
      </c>
      <c r="K24" s="36">
        <f>J24*EXP(-I24*E24)</f>
        <v/>
      </c>
      <c r="L24" s="36">
        <f>J24-K24</f>
        <v/>
      </c>
      <c r="M24" s="36">
        <f>D24*G24*K24</f>
        <v/>
      </c>
      <c r="N24" s="36">
        <f>(D24/2)*H24*L24</f>
        <v/>
      </c>
      <c r="O24" s="36">
        <f>H24*L24</f>
        <v/>
      </c>
    </row>
    <row r="25">
      <c r="A25" s="43" t="n">
        <v>19</v>
      </c>
      <c r="B25" s="18">
        <f>C24</f>
        <v/>
      </c>
      <c r="C25" s="18">
        <f>EDATE('Curve_Interface'!$F$7,3*18)</f>
        <v/>
      </c>
      <c r="D25" s="34">
        <f>(C25-B25)/360</f>
        <v/>
      </c>
      <c r="E25" s="34">
        <f>(C25-B25)/365</f>
        <v/>
      </c>
      <c r="F25" s="34">
        <f>(C25-VAL_DATE)/365</f>
        <v/>
      </c>
      <c r="G25" s="36">
        <f>IFERROR(IF(Curve_Interface!$J$7="Piecewise Linear (Simple)",IF(((C25-VAL_DATE)/360)&lt;=0,1,1/(1+(IF(((INDEX('Curve_Interface'!$K$8:$K$73,MATCH(C25,'Curve_Interface'!$K$8:$K$73,1))-VAL_DATE)/360)&lt;=0,IF(((INDEX('Curve_Interface'!$K$8:$K$73,MATCH(C25,'Curve_Interface'!$K$8:$K$73,1)+1)-VAL_DATE)/360)&lt;=0,0,(1/INDEX('Curve_Interface'!$L$8:$L$73,MATCH(C25,'Curve_Interface'!$K$8:$K$73,1)+1)-1)/((INDEX('Curve_Interface'!$K$8:$K$73,MATCH(C25,'Curve_Interface'!$K$8:$K$73,1)+1)-VAL_DATE)/360)),(1/INDEX('Curve_Interface'!$L$8:$L$73,MATCH(C25,'Curve_Interface'!$K$8:$K$73,1))-1)/((INDEX('Curve_Interface'!$K$8:$K$73,MATCH(C25,'Curve_Interface'!$K$8:$K$73,1))-VAL_DATE)/360))+(IF(((INDEX('Curve_Interface'!$K$8:$K$73,MATCH(C25,'Curve_Interface'!$K$8:$K$73,1)+1)-VAL_DATE)/360)&lt;=0,0,(1/INDEX('Curve_Interface'!$L$8:$L$73,MATCH(C25,'Curve_Interface'!$K$8:$K$73,1)+1)-1)/((INDEX('Curve_Interface'!$K$8:$K$73,MATCH(C25,'Curve_Interface'!$K$8:$K$73,1)+1)-VAL_DATE)/360))-IF(((INDEX('Curve_Interface'!$K$8:$K$73,MATCH(C25,'Curve_Interface'!$K$8:$K$73,1))-VAL_DATE)/360)&lt;=0,IF(((INDEX('Curve_Interface'!$K$8:$K$73,MATCH(C25,'Curve_Interface'!$K$8:$K$73,1)+1)-VAL_DATE)/360)&lt;=0,0,(1/INDEX('Curve_Interface'!$L$8:$L$73,MATCH(C25,'Curve_Interface'!$K$8:$K$73,1)+1)-1)/((INDEX('Curve_Interface'!$K$8:$K$73,MATCH(C25,'Curve_Interface'!$K$8:$K$73,1)+1)-VAL_DATE)/360)),(1/INDEX('Curve_Interface'!$L$8:$L$73,MATCH(C25,'Curve_Interface'!$K$8:$K$73,1))-1)/((INDEX('Curve_Interface'!$K$8:$K$73,MATCH(C25,'Curve_Interface'!$K$8:$K$73,1))-VAL_DATE)/360)))*IF(((INDEX('Curve_Interface'!$K$8:$K$73,MATCH(C25,'Curve_Interface'!$K$8:$K$73,1)+1)-VAL_DATE)/360)-((INDEX('Curve_Interface'!$K$8:$K$73,MATCH(C25,'Curve_Interface'!$K$8:$K$73,1))-VAL_DATE)/360)=0,0,(((C25-VAL_DATE)/360)-((INDEX('Curve_Interface'!$K$8:$K$73,MATCH(C25,'Curve_Interface'!$K$8:$K$73,1))-VAL_DATE)/360))/(((INDEX('Curve_Interface'!$K$8:$K$73,MATCH(C25,'Curve_Interface'!$K$8:$K$73,1)+1)-VAL_DATE)/360)-((INDEX('Curve_Interface'!$K$8:$K$73,MATCH(C25,'Curve_Interface'!$K$8:$K$73,1))-VAL_DATE)/360))))*((C25-VAL_DATE)/360))),INDEX('Curve_Interface'!$L$8:$L$73,MATCH(C25,'Curve_Interface'!$K$8:$K$73,1))*(INDEX('Curve_Interface'!$L$8:$L$73,MATCH(C25,'Curve_Interface'!$K$8:$K$73,1)+1)/INDEX('Curve_Interface'!$L$8:$L$73,MATCH(C25,'Curve_Interface'!$K$8:$K$73,1)))^((C25-INDEX('Curve_Interface'!$K$8:$K$73,MATCH(C25,'Curve_Interface'!$K$8:$K$73,1)))/(INDEX('Curve_Interface'!$K$8:$K$73,MATCH(C25,'Curve_Interface'!$K$8:$K$73,1)+1)-INDEX('Curve_Interface'!$K$8:$K$73,MATCH(C25,'Curve_Interface'!$K$8:$K$73,1))))),INDEX('Curve_Interface'!$L$8:$L$73,MATCH(C25,'Curve_Interface'!$K$8:$K$73,1)))</f>
        <v/>
      </c>
      <c r="H25" s="36">
        <f>IFERROR(IF(Curve_Interface!$J$7="Piecewise Linear (Simple)",IF((((B25+C25)/2-VAL_DATE)/360)&lt;=0,1,1/(1+(IF(((INDEX('Curve_Interface'!$K$8:$K$73,MATCH((B25+C25)/2,'Curve_Interface'!$K$8:$K$73,1))-VAL_DATE)/360)&lt;=0,IF(((INDEX('Curve_Interface'!$K$8:$K$73,MATCH((B25+C25)/2,'Curve_Interface'!$K$8:$K$73,1)+1)-VAL_DATE)/360)&lt;=0,0,(1/INDEX('Curve_Interface'!$L$8:$L$73,MATCH((B25+C25)/2,'Curve_Interface'!$K$8:$K$73,1)+1)-1)/((INDEX('Curve_Interface'!$K$8:$K$73,MATCH((B25+C25)/2,'Curve_Interface'!$K$8:$K$73,1)+1)-VAL_DATE)/360)),(1/INDEX('Curve_Interface'!$L$8:$L$73,MATCH((B25+C25)/2,'Curve_Interface'!$K$8:$K$73,1))-1)/((INDEX('Curve_Interface'!$K$8:$K$73,MATCH((B25+C25)/2,'Curve_Interface'!$K$8:$K$73,1))-VAL_DATE)/360))+(IF(((INDEX('Curve_Interface'!$K$8:$K$73,MATCH((B25+C25)/2,'Curve_Interface'!$K$8:$K$73,1)+1)-VAL_DATE)/360)&lt;=0,0,(1/INDEX('Curve_Interface'!$L$8:$L$73,MATCH((B25+C25)/2,'Curve_Interface'!$K$8:$K$73,1)+1)-1)/((INDEX('Curve_Interface'!$K$8:$K$73,MATCH((B25+C25)/2,'Curve_Interface'!$K$8:$K$73,1)+1)-VAL_DATE)/360))-IF(((INDEX('Curve_Interface'!$K$8:$K$73,MATCH((B25+C25)/2,'Curve_Interface'!$K$8:$K$73,1))-VAL_DATE)/360)&lt;=0,IF(((INDEX('Curve_Interface'!$K$8:$K$73,MATCH((B25+C25)/2,'Curve_Interface'!$K$8:$K$73,1)+1)-VAL_DATE)/360)&lt;=0,0,(1/INDEX('Curve_Interface'!$L$8:$L$73,MATCH((B25+C25)/2,'Curve_Interface'!$K$8:$K$73,1)+1)-1)/((INDEX('Curve_Interface'!$K$8:$K$73,MATCH((B25+C25)/2,'Curve_Interface'!$K$8:$K$73,1)+1)-VAL_DATE)/360)),(1/INDEX('Curve_Interface'!$L$8:$L$73,MATCH((B25+C25)/2,'Curve_Interface'!$K$8:$K$73,1))-1)/((INDEX('Curve_Interface'!$K$8:$K$73,MATCH((B25+C25)/2,'Curve_Interface'!$K$8:$K$73,1))-VAL_DATE)/360)))*IF(((INDEX('Curve_Interface'!$K$8:$K$73,MATCH((B25+C25)/2,'Curve_Interface'!$K$8:$K$73,1)+1)-VAL_DATE)/360)-((INDEX('Curve_Interface'!$K$8:$K$73,MATCH((B25+C25)/2,'Curve_Interface'!$K$8:$K$73,1))-VAL_DATE)/360)=0,0,((((B25+C25)/2-VAL_DATE)/360)-((INDEX('Curve_Interface'!$K$8:$K$73,MATCH((B25+C25)/2,'Curve_Interface'!$K$8:$K$73,1))-VAL_DATE)/360))/(((INDEX('Curve_Interface'!$K$8:$K$73,MATCH((B25+C25)/2,'Curve_Interface'!$K$8:$K$73,1)+1)-VAL_DATE)/360)-((INDEX('Curve_Interface'!$K$8:$K$73,MATCH((B25+C25)/2,'Curve_Interface'!$K$8:$K$73,1))-VAL_DATE)/360))))*(((B25+C25)/2-VAL_DATE)/360))),INDEX('Curve_Interface'!$L$8:$L$73,MATCH((B25+C25)/2,'Curve_Interface'!$K$8:$K$73,1))*(INDEX('Curve_Interface'!$L$8:$L$73,MATCH((B25+C25)/2,'Curve_Interface'!$K$8:$K$73,1)+1)/INDEX('Curve_Interface'!$L$8:$L$73,MATCH((B25+C25)/2,'Curve_Interface'!$K$8:$K$73,1)))^(((B25+C25)/2-INDEX('Curve_Interface'!$K$8:$K$73,MATCH((B25+C25)/2,'Curve_Interface'!$K$8:$K$73,1)))/(INDEX('Curve_Interface'!$K$8:$K$73,MATCH((B25+C25)/2,'Curve_Interface'!$K$8:$K$73,1)+1)-INDEX('Curve_Interface'!$K$8:$K$73,MATCH((B25+C25)/2,'Curve_Interface'!$K$8:$K$73,1))))),INDEX('Curve_Interface'!$L$8:$L$73,MATCH((B25+C25)/2,'Curve_Interface'!$K$8:$K$73,1)))</f>
        <v/>
      </c>
      <c r="I25" s="36">
        <f>INDEX(Hazard_Bootstrap!$D$7:$D$12,MIN(COUNTIF(Hazard_Bootstrap!$B$7:$B$12,"&lt;"&amp;C25)+1,6))</f>
        <v/>
      </c>
      <c r="J25" s="36">
        <f>K24</f>
        <v/>
      </c>
      <c r="K25" s="36">
        <f>J25*EXP(-I25*E25)</f>
        <v/>
      </c>
      <c r="L25" s="36">
        <f>J25-K25</f>
        <v/>
      </c>
      <c r="M25" s="36">
        <f>D25*G25*K25</f>
        <v/>
      </c>
      <c r="N25" s="36">
        <f>(D25/2)*H25*L25</f>
        <v/>
      </c>
      <c r="O25" s="36">
        <f>H25*L25</f>
        <v/>
      </c>
    </row>
    <row r="26">
      <c r="A26" s="43" t="n">
        <v>20</v>
      </c>
      <c r="B26" s="18">
        <f>C25</f>
        <v/>
      </c>
      <c r="C26" s="18">
        <f>EDATE('Curve_Interface'!$F$7,3*19)</f>
        <v/>
      </c>
      <c r="D26" s="34">
        <f>(C26-B26)/360</f>
        <v/>
      </c>
      <c r="E26" s="34">
        <f>(C26-B26)/365</f>
        <v/>
      </c>
      <c r="F26" s="34">
        <f>(C26-VAL_DATE)/365</f>
        <v/>
      </c>
      <c r="G26" s="36">
        <f>IFERROR(IF(Curve_Interface!$J$7="Piecewise Linear (Simple)",IF(((C26-VAL_DATE)/360)&lt;=0,1,1/(1+(IF(((INDEX('Curve_Interface'!$K$8:$K$73,MATCH(C26,'Curve_Interface'!$K$8:$K$73,1))-VAL_DATE)/360)&lt;=0,IF(((INDEX('Curve_Interface'!$K$8:$K$73,MATCH(C26,'Curve_Interface'!$K$8:$K$73,1)+1)-VAL_DATE)/360)&lt;=0,0,(1/INDEX('Curve_Interface'!$L$8:$L$73,MATCH(C26,'Curve_Interface'!$K$8:$K$73,1)+1)-1)/((INDEX('Curve_Interface'!$K$8:$K$73,MATCH(C26,'Curve_Interface'!$K$8:$K$73,1)+1)-VAL_DATE)/360)),(1/INDEX('Curve_Interface'!$L$8:$L$73,MATCH(C26,'Curve_Interface'!$K$8:$K$73,1))-1)/((INDEX('Curve_Interface'!$K$8:$K$73,MATCH(C26,'Curve_Interface'!$K$8:$K$73,1))-VAL_DATE)/360))+(IF(((INDEX('Curve_Interface'!$K$8:$K$73,MATCH(C26,'Curve_Interface'!$K$8:$K$73,1)+1)-VAL_DATE)/360)&lt;=0,0,(1/INDEX('Curve_Interface'!$L$8:$L$73,MATCH(C26,'Curve_Interface'!$K$8:$K$73,1)+1)-1)/((INDEX('Curve_Interface'!$K$8:$K$73,MATCH(C26,'Curve_Interface'!$K$8:$K$73,1)+1)-VAL_DATE)/360))-IF(((INDEX('Curve_Interface'!$K$8:$K$73,MATCH(C26,'Curve_Interface'!$K$8:$K$73,1))-VAL_DATE)/360)&lt;=0,IF(((INDEX('Curve_Interface'!$K$8:$K$73,MATCH(C26,'Curve_Interface'!$K$8:$K$73,1)+1)-VAL_DATE)/360)&lt;=0,0,(1/INDEX('Curve_Interface'!$L$8:$L$73,MATCH(C26,'Curve_Interface'!$K$8:$K$73,1)+1)-1)/((INDEX('Curve_Interface'!$K$8:$K$73,MATCH(C26,'Curve_Interface'!$K$8:$K$73,1)+1)-VAL_DATE)/360)),(1/INDEX('Curve_Interface'!$L$8:$L$73,MATCH(C26,'Curve_Interface'!$K$8:$K$73,1))-1)/((INDEX('Curve_Interface'!$K$8:$K$73,MATCH(C26,'Curve_Interface'!$K$8:$K$73,1))-VAL_DATE)/360)))*IF(((INDEX('Curve_Interface'!$K$8:$K$73,MATCH(C26,'Curve_Interface'!$K$8:$K$73,1)+1)-VAL_DATE)/360)-((INDEX('Curve_Interface'!$K$8:$K$73,MATCH(C26,'Curve_Interface'!$K$8:$K$73,1))-VAL_DATE)/360)=0,0,(((C26-VAL_DATE)/360)-((INDEX('Curve_Interface'!$K$8:$K$73,MATCH(C26,'Curve_Interface'!$K$8:$K$73,1))-VAL_DATE)/360))/(((INDEX('Curve_Interface'!$K$8:$K$73,MATCH(C26,'Curve_Interface'!$K$8:$K$73,1)+1)-VAL_DATE)/360)-((INDEX('Curve_Interface'!$K$8:$K$73,MATCH(C26,'Curve_Interface'!$K$8:$K$73,1))-VAL_DATE)/360))))*((C26-VAL_DATE)/360))),INDEX('Curve_Interface'!$L$8:$L$73,MATCH(C26,'Curve_Interface'!$K$8:$K$73,1))*(INDEX('Curve_Interface'!$L$8:$L$73,MATCH(C26,'Curve_Interface'!$K$8:$K$73,1)+1)/INDEX('Curve_Interface'!$L$8:$L$73,MATCH(C26,'Curve_Interface'!$K$8:$K$73,1)))^((C26-INDEX('Curve_Interface'!$K$8:$K$73,MATCH(C26,'Curve_Interface'!$K$8:$K$73,1)))/(INDEX('Curve_Interface'!$K$8:$K$73,MATCH(C26,'Curve_Interface'!$K$8:$K$73,1)+1)-INDEX('Curve_Interface'!$K$8:$K$73,MATCH(C26,'Curve_Interface'!$K$8:$K$73,1))))),INDEX('Curve_Interface'!$L$8:$L$73,MATCH(C26,'Curve_Interface'!$K$8:$K$73,1)))</f>
        <v/>
      </c>
      <c r="H26" s="36">
        <f>IFERROR(IF(Curve_Interface!$J$7="Piecewise Linear (Simple)",IF((((B26+C26)/2-VAL_DATE)/360)&lt;=0,1,1/(1+(IF(((INDEX('Curve_Interface'!$K$8:$K$73,MATCH((B26+C26)/2,'Curve_Interface'!$K$8:$K$73,1))-VAL_DATE)/360)&lt;=0,IF(((INDEX('Curve_Interface'!$K$8:$K$73,MATCH((B26+C26)/2,'Curve_Interface'!$K$8:$K$73,1)+1)-VAL_DATE)/360)&lt;=0,0,(1/INDEX('Curve_Interface'!$L$8:$L$73,MATCH((B26+C26)/2,'Curve_Interface'!$K$8:$K$73,1)+1)-1)/((INDEX('Curve_Interface'!$K$8:$K$73,MATCH((B26+C26)/2,'Curve_Interface'!$K$8:$K$73,1)+1)-VAL_DATE)/360)),(1/INDEX('Curve_Interface'!$L$8:$L$73,MATCH((B26+C26)/2,'Curve_Interface'!$K$8:$K$73,1))-1)/((INDEX('Curve_Interface'!$K$8:$K$73,MATCH((B26+C26)/2,'Curve_Interface'!$K$8:$K$73,1))-VAL_DATE)/360))+(IF(((INDEX('Curve_Interface'!$K$8:$K$73,MATCH((B26+C26)/2,'Curve_Interface'!$K$8:$K$73,1)+1)-VAL_DATE)/360)&lt;=0,0,(1/INDEX('Curve_Interface'!$L$8:$L$73,MATCH((B26+C26)/2,'Curve_Interface'!$K$8:$K$73,1)+1)-1)/((INDEX('Curve_Interface'!$K$8:$K$73,MATCH((B26+C26)/2,'Curve_Interface'!$K$8:$K$73,1)+1)-VAL_DATE)/360))-IF(((INDEX('Curve_Interface'!$K$8:$K$73,MATCH((B26+C26)/2,'Curve_Interface'!$K$8:$K$73,1))-VAL_DATE)/360)&lt;=0,IF(((INDEX('Curve_Interface'!$K$8:$K$73,MATCH((B26+C26)/2,'Curve_Interface'!$K$8:$K$73,1)+1)-VAL_DATE)/360)&lt;=0,0,(1/INDEX('Curve_Interface'!$L$8:$L$73,MATCH((B26+C26)/2,'Curve_Interface'!$K$8:$K$73,1)+1)-1)/((INDEX('Curve_Interface'!$K$8:$K$73,MATCH((B26+C26)/2,'Curve_Interface'!$K$8:$K$73,1)+1)-VAL_DATE)/360)),(1/INDEX('Curve_Interface'!$L$8:$L$73,MATCH((B26+C26)/2,'Curve_Interface'!$K$8:$K$73,1))-1)/((INDEX('Curve_Interface'!$K$8:$K$73,MATCH((B26+C26)/2,'Curve_Interface'!$K$8:$K$73,1))-VAL_DATE)/360)))*IF(((INDEX('Curve_Interface'!$K$8:$K$73,MATCH((B26+C26)/2,'Curve_Interface'!$K$8:$K$73,1)+1)-VAL_DATE)/360)-((INDEX('Curve_Interface'!$K$8:$K$73,MATCH((B26+C26)/2,'Curve_Interface'!$K$8:$K$73,1))-VAL_DATE)/360)=0,0,((((B26+C26)/2-VAL_DATE)/360)-((INDEX('Curve_Interface'!$K$8:$K$73,MATCH((B26+C26)/2,'Curve_Interface'!$K$8:$K$73,1))-VAL_DATE)/360))/(((INDEX('Curve_Interface'!$K$8:$K$73,MATCH((B26+C26)/2,'Curve_Interface'!$K$8:$K$73,1)+1)-VAL_DATE)/360)-((INDEX('Curve_Interface'!$K$8:$K$73,MATCH((B26+C26)/2,'Curve_Interface'!$K$8:$K$73,1))-VAL_DATE)/360))))*(((B26+C26)/2-VAL_DATE)/360))),INDEX('Curve_Interface'!$L$8:$L$73,MATCH((B26+C26)/2,'Curve_Interface'!$K$8:$K$73,1))*(INDEX('Curve_Interface'!$L$8:$L$73,MATCH((B26+C26)/2,'Curve_Interface'!$K$8:$K$73,1)+1)/INDEX('Curve_Interface'!$L$8:$L$73,MATCH((B26+C26)/2,'Curve_Interface'!$K$8:$K$73,1)))^(((B26+C26)/2-INDEX('Curve_Interface'!$K$8:$K$73,MATCH((B26+C26)/2,'Curve_Interface'!$K$8:$K$73,1)))/(INDEX('Curve_Interface'!$K$8:$K$73,MATCH((B26+C26)/2,'Curve_Interface'!$K$8:$K$73,1)+1)-INDEX('Curve_Interface'!$K$8:$K$73,MATCH((B26+C26)/2,'Curve_Interface'!$K$8:$K$73,1))))),INDEX('Curve_Interface'!$L$8:$L$73,MATCH((B26+C26)/2,'Curve_Interface'!$K$8:$K$73,1)))</f>
        <v/>
      </c>
      <c r="I26" s="36">
        <f>INDEX(Hazard_Bootstrap!$D$7:$D$12,MIN(COUNTIF(Hazard_Bootstrap!$B$7:$B$12,"&lt;"&amp;C26)+1,6))</f>
        <v/>
      </c>
      <c r="J26" s="36">
        <f>K25</f>
        <v/>
      </c>
      <c r="K26" s="36">
        <f>J26*EXP(-I26*E26)</f>
        <v/>
      </c>
      <c r="L26" s="36">
        <f>J26-K26</f>
        <v/>
      </c>
      <c r="M26" s="36">
        <f>D26*G26*K26</f>
        <v/>
      </c>
      <c r="N26" s="36">
        <f>(D26/2)*H26*L26</f>
        <v/>
      </c>
      <c r="O26" s="36">
        <f>H26*L26</f>
        <v/>
      </c>
    </row>
    <row r="27">
      <c r="A27" s="43" t="n">
        <v>21</v>
      </c>
      <c r="B27" s="18">
        <f>C26</f>
        <v/>
      </c>
      <c r="C27" s="18">
        <f>EDATE('Curve_Interface'!$F$7,3*20)</f>
        <v/>
      </c>
      <c r="D27" s="34">
        <f>(C27-B27)/360</f>
        <v/>
      </c>
      <c r="E27" s="34">
        <f>(C27-B27)/365</f>
        <v/>
      </c>
      <c r="F27" s="34">
        <f>(C27-VAL_DATE)/365</f>
        <v/>
      </c>
      <c r="G27" s="36">
        <f>IFERROR(IF(Curve_Interface!$J$7="Piecewise Linear (Simple)",IF(((C27-VAL_DATE)/360)&lt;=0,1,1/(1+(IF(((INDEX('Curve_Interface'!$K$8:$K$73,MATCH(C27,'Curve_Interface'!$K$8:$K$73,1))-VAL_DATE)/360)&lt;=0,IF(((INDEX('Curve_Interface'!$K$8:$K$73,MATCH(C27,'Curve_Interface'!$K$8:$K$73,1)+1)-VAL_DATE)/360)&lt;=0,0,(1/INDEX('Curve_Interface'!$L$8:$L$73,MATCH(C27,'Curve_Interface'!$K$8:$K$73,1)+1)-1)/((INDEX('Curve_Interface'!$K$8:$K$73,MATCH(C27,'Curve_Interface'!$K$8:$K$73,1)+1)-VAL_DATE)/360)),(1/INDEX('Curve_Interface'!$L$8:$L$73,MATCH(C27,'Curve_Interface'!$K$8:$K$73,1))-1)/((INDEX('Curve_Interface'!$K$8:$K$73,MATCH(C27,'Curve_Interface'!$K$8:$K$73,1))-VAL_DATE)/360))+(IF(((INDEX('Curve_Interface'!$K$8:$K$73,MATCH(C27,'Curve_Interface'!$K$8:$K$73,1)+1)-VAL_DATE)/360)&lt;=0,0,(1/INDEX('Curve_Interface'!$L$8:$L$73,MATCH(C27,'Curve_Interface'!$K$8:$K$73,1)+1)-1)/((INDEX('Curve_Interface'!$K$8:$K$73,MATCH(C27,'Curve_Interface'!$K$8:$K$73,1)+1)-VAL_DATE)/360))-IF(((INDEX('Curve_Interface'!$K$8:$K$73,MATCH(C27,'Curve_Interface'!$K$8:$K$73,1))-VAL_DATE)/360)&lt;=0,IF(((INDEX('Curve_Interface'!$K$8:$K$73,MATCH(C27,'Curve_Interface'!$K$8:$K$73,1)+1)-VAL_DATE)/360)&lt;=0,0,(1/INDEX('Curve_Interface'!$L$8:$L$73,MATCH(C27,'Curve_Interface'!$K$8:$K$73,1)+1)-1)/((INDEX('Curve_Interface'!$K$8:$K$73,MATCH(C27,'Curve_Interface'!$K$8:$K$73,1)+1)-VAL_DATE)/360)),(1/INDEX('Curve_Interface'!$L$8:$L$73,MATCH(C27,'Curve_Interface'!$K$8:$K$73,1))-1)/((INDEX('Curve_Interface'!$K$8:$K$73,MATCH(C27,'Curve_Interface'!$K$8:$K$73,1))-VAL_DATE)/360)))*IF(((INDEX('Curve_Interface'!$K$8:$K$73,MATCH(C27,'Curve_Interface'!$K$8:$K$73,1)+1)-VAL_DATE)/360)-((INDEX('Curve_Interface'!$K$8:$K$73,MATCH(C27,'Curve_Interface'!$K$8:$K$73,1))-VAL_DATE)/360)=0,0,(((C27-VAL_DATE)/360)-((INDEX('Curve_Interface'!$K$8:$K$73,MATCH(C27,'Curve_Interface'!$K$8:$K$73,1))-VAL_DATE)/360))/(((INDEX('Curve_Interface'!$K$8:$K$73,MATCH(C27,'Curve_Interface'!$K$8:$K$73,1)+1)-VAL_DATE)/360)-((INDEX('Curve_Interface'!$K$8:$K$73,MATCH(C27,'Curve_Interface'!$K$8:$K$73,1))-VAL_DATE)/360))))*((C27-VAL_DATE)/360))),INDEX('Curve_Interface'!$L$8:$L$73,MATCH(C27,'Curve_Interface'!$K$8:$K$73,1))*(INDEX('Curve_Interface'!$L$8:$L$73,MATCH(C27,'Curve_Interface'!$K$8:$K$73,1)+1)/INDEX('Curve_Interface'!$L$8:$L$73,MATCH(C27,'Curve_Interface'!$K$8:$K$73,1)))^((C27-INDEX('Curve_Interface'!$K$8:$K$73,MATCH(C27,'Curve_Interface'!$K$8:$K$73,1)))/(INDEX('Curve_Interface'!$K$8:$K$73,MATCH(C27,'Curve_Interface'!$K$8:$K$73,1)+1)-INDEX('Curve_Interface'!$K$8:$K$73,MATCH(C27,'Curve_Interface'!$K$8:$K$73,1))))),INDEX('Curve_Interface'!$L$8:$L$73,MATCH(C27,'Curve_Interface'!$K$8:$K$73,1)))</f>
        <v/>
      </c>
      <c r="H27" s="36">
        <f>IFERROR(IF(Curve_Interface!$J$7="Piecewise Linear (Simple)",IF((((B27+C27)/2-VAL_DATE)/360)&lt;=0,1,1/(1+(IF(((INDEX('Curve_Interface'!$K$8:$K$73,MATCH((B27+C27)/2,'Curve_Interface'!$K$8:$K$73,1))-VAL_DATE)/360)&lt;=0,IF(((INDEX('Curve_Interface'!$K$8:$K$73,MATCH((B27+C27)/2,'Curve_Interface'!$K$8:$K$73,1)+1)-VAL_DATE)/360)&lt;=0,0,(1/INDEX('Curve_Interface'!$L$8:$L$73,MATCH((B27+C27)/2,'Curve_Interface'!$K$8:$K$73,1)+1)-1)/((INDEX('Curve_Interface'!$K$8:$K$73,MATCH((B27+C27)/2,'Curve_Interface'!$K$8:$K$73,1)+1)-VAL_DATE)/360)),(1/INDEX('Curve_Interface'!$L$8:$L$73,MATCH((B27+C27)/2,'Curve_Interface'!$K$8:$K$73,1))-1)/((INDEX('Curve_Interface'!$K$8:$K$73,MATCH((B27+C27)/2,'Curve_Interface'!$K$8:$K$73,1))-VAL_DATE)/360))+(IF(((INDEX('Curve_Interface'!$K$8:$K$73,MATCH((B27+C27)/2,'Curve_Interface'!$K$8:$K$73,1)+1)-VAL_DATE)/360)&lt;=0,0,(1/INDEX('Curve_Interface'!$L$8:$L$73,MATCH((B27+C27)/2,'Curve_Interface'!$K$8:$K$73,1)+1)-1)/((INDEX('Curve_Interface'!$K$8:$K$73,MATCH((B27+C27)/2,'Curve_Interface'!$K$8:$K$73,1)+1)-VAL_DATE)/360))-IF(((INDEX('Curve_Interface'!$K$8:$K$73,MATCH((B27+C27)/2,'Curve_Interface'!$K$8:$K$73,1))-VAL_DATE)/360)&lt;=0,IF(((INDEX('Curve_Interface'!$K$8:$K$73,MATCH((B27+C27)/2,'Curve_Interface'!$K$8:$K$73,1)+1)-VAL_DATE)/360)&lt;=0,0,(1/INDEX('Curve_Interface'!$L$8:$L$73,MATCH((B27+C27)/2,'Curve_Interface'!$K$8:$K$73,1)+1)-1)/((INDEX('Curve_Interface'!$K$8:$K$73,MATCH((B27+C27)/2,'Curve_Interface'!$K$8:$K$73,1)+1)-VAL_DATE)/360)),(1/INDEX('Curve_Interface'!$L$8:$L$73,MATCH((B27+C27)/2,'Curve_Interface'!$K$8:$K$73,1))-1)/((INDEX('Curve_Interface'!$K$8:$K$73,MATCH((B27+C27)/2,'Curve_Interface'!$K$8:$K$73,1))-VAL_DATE)/360)))*IF(((INDEX('Curve_Interface'!$K$8:$K$73,MATCH((B27+C27)/2,'Curve_Interface'!$K$8:$K$73,1)+1)-VAL_DATE)/360)-((INDEX('Curve_Interface'!$K$8:$K$73,MATCH((B27+C27)/2,'Curve_Interface'!$K$8:$K$73,1))-VAL_DATE)/360)=0,0,((((B27+C27)/2-VAL_DATE)/360)-((INDEX('Curve_Interface'!$K$8:$K$73,MATCH((B27+C27)/2,'Curve_Interface'!$K$8:$K$73,1))-VAL_DATE)/360))/(((INDEX('Curve_Interface'!$K$8:$K$73,MATCH((B27+C27)/2,'Curve_Interface'!$K$8:$K$73,1)+1)-VAL_DATE)/360)-((INDEX('Curve_Interface'!$K$8:$K$73,MATCH((B27+C27)/2,'Curve_Interface'!$K$8:$K$73,1))-VAL_DATE)/360))))*(((B27+C27)/2-VAL_DATE)/360))),INDEX('Curve_Interface'!$L$8:$L$73,MATCH((B27+C27)/2,'Curve_Interface'!$K$8:$K$73,1))*(INDEX('Curve_Interface'!$L$8:$L$73,MATCH((B27+C27)/2,'Curve_Interface'!$K$8:$K$73,1)+1)/INDEX('Curve_Interface'!$L$8:$L$73,MATCH((B27+C27)/2,'Curve_Interface'!$K$8:$K$73,1)))^(((B27+C27)/2-INDEX('Curve_Interface'!$K$8:$K$73,MATCH((B27+C27)/2,'Curve_Interface'!$K$8:$K$73,1)))/(INDEX('Curve_Interface'!$K$8:$K$73,MATCH((B27+C27)/2,'Curve_Interface'!$K$8:$K$73,1)+1)-INDEX('Curve_Interface'!$K$8:$K$73,MATCH((B27+C27)/2,'Curve_Interface'!$K$8:$K$73,1))))),INDEX('Curve_Interface'!$L$8:$L$73,MATCH((B27+C27)/2,'Curve_Interface'!$K$8:$K$73,1)))</f>
        <v/>
      </c>
      <c r="I27" s="36">
        <f>INDEX(Hazard_Bootstrap!$D$7:$D$12,MIN(COUNTIF(Hazard_Bootstrap!$B$7:$B$12,"&lt;"&amp;C27)+1,6))</f>
        <v/>
      </c>
      <c r="J27" s="36">
        <f>K26</f>
        <v/>
      </c>
      <c r="K27" s="36">
        <f>J27*EXP(-I27*E27)</f>
        <v/>
      </c>
      <c r="L27" s="36">
        <f>J27-K27</f>
        <v/>
      </c>
      <c r="M27" s="36">
        <f>D27*G27*K27</f>
        <v/>
      </c>
      <c r="N27" s="36">
        <f>(D27/2)*H27*L27</f>
        <v/>
      </c>
      <c r="O27" s="36">
        <f>H27*L27</f>
        <v/>
      </c>
    </row>
    <row r="28">
      <c r="A28" s="43" t="n">
        <v>22</v>
      </c>
      <c r="B28" s="18">
        <f>C27</f>
        <v/>
      </c>
      <c r="C28" s="18">
        <f>EDATE('Curve_Interface'!$F$7,3*21)</f>
        <v/>
      </c>
      <c r="D28" s="34">
        <f>(C28-B28)/360</f>
        <v/>
      </c>
      <c r="E28" s="34">
        <f>(C28-B28)/365</f>
        <v/>
      </c>
      <c r="F28" s="34">
        <f>(C28-VAL_DATE)/365</f>
        <v/>
      </c>
      <c r="G28" s="36">
        <f>IFERROR(IF(Curve_Interface!$J$7="Piecewise Linear (Simple)",IF(((C28-VAL_DATE)/360)&lt;=0,1,1/(1+(IF(((INDEX('Curve_Interface'!$K$8:$K$73,MATCH(C28,'Curve_Interface'!$K$8:$K$73,1))-VAL_DATE)/360)&lt;=0,IF(((INDEX('Curve_Interface'!$K$8:$K$73,MATCH(C28,'Curve_Interface'!$K$8:$K$73,1)+1)-VAL_DATE)/360)&lt;=0,0,(1/INDEX('Curve_Interface'!$L$8:$L$73,MATCH(C28,'Curve_Interface'!$K$8:$K$73,1)+1)-1)/((INDEX('Curve_Interface'!$K$8:$K$73,MATCH(C28,'Curve_Interface'!$K$8:$K$73,1)+1)-VAL_DATE)/360)),(1/INDEX('Curve_Interface'!$L$8:$L$73,MATCH(C28,'Curve_Interface'!$K$8:$K$73,1))-1)/((INDEX('Curve_Interface'!$K$8:$K$73,MATCH(C28,'Curve_Interface'!$K$8:$K$73,1))-VAL_DATE)/360))+(IF(((INDEX('Curve_Interface'!$K$8:$K$73,MATCH(C28,'Curve_Interface'!$K$8:$K$73,1)+1)-VAL_DATE)/360)&lt;=0,0,(1/INDEX('Curve_Interface'!$L$8:$L$73,MATCH(C28,'Curve_Interface'!$K$8:$K$73,1)+1)-1)/((INDEX('Curve_Interface'!$K$8:$K$73,MATCH(C28,'Curve_Interface'!$K$8:$K$73,1)+1)-VAL_DATE)/360))-IF(((INDEX('Curve_Interface'!$K$8:$K$73,MATCH(C28,'Curve_Interface'!$K$8:$K$73,1))-VAL_DATE)/360)&lt;=0,IF(((INDEX('Curve_Interface'!$K$8:$K$73,MATCH(C28,'Curve_Interface'!$K$8:$K$73,1)+1)-VAL_DATE)/360)&lt;=0,0,(1/INDEX('Curve_Interface'!$L$8:$L$73,MATCH(C28,'Curve_Interface'!$K$8:$K$73,1)+1)-1)/((INDEX('Curve_Interface'!$K$8:$K$73,MATCH(C28,'Curve_Interface'!$K$8:$K$73,1)+1)-VAL_DATE)/360)),(1/INDEX('Curve_Interface'!$L$8:$L$73,MATCH(C28,'Curve_Interface'!$K$8:$K$73,1))-1)/((INDEX('Curve_Interface'!$K$8:$K$73,MATCH(C28,'Curve_Interface'!$K$8:$K$73,1))-VAL_DATE)/360)))*IF(((INDEX('Curve_Interface'!$K$8:$K$73,MATCH(C28,'Curve_Interface'!$K$8:$K$73,1)+1)-VAL_DATE)/360)-((INDEX('Curve_Interface'!$K$8:$K$73,MATCH(C28,'Curve_Interface'!$K$8:$K$73,1))-VAL_DATE)/360)=0,0,(((C28-VAL_DATE)/360)-((INDEX('Curve_Interface'!$K$8:$K$73,MATCH(C28,'Curve_Interface'!$K$8:$K$73,1))-VAL_DATE)/360))/(((INDEX('Curve_Interface'!$K$8:$K$73,MATCH(C28,'Curve_Interface'!$K$8:$K$73,1)+1)-VAL_DATE)/360)-((INDEX('Curve_Interface'!$K$8:$K$73,MATCH(C28,'Curve_Interface'!$K$8:$K$73,1))-VAL_DATE)/360))))*((C28-VAL_DATE)/360))),INDEX('Curve_Interface'!$L$8:$L$73,MATCH(C28,'Curve_Interface'!$K$8:$K$73,1))*(INDEX('Curve_Interface'!$L$8:$L$73,MATCH(C28,'Curve_Interface'!$K$8:$K$73,1)+1)/INDEX('Curve_Interface'!$L$8:$L$73,MATCH(C28,'Curve_Interface'!$K$8:$K$73,1)))^((C28-INDEX('Curve_Interface'!$K$8:$K$73,MATCH(C28,'Curve_Interface'!$K$8:$K$73,1)))/(INDEX('Curve_Interface'!$K$8:$K$73,MATCH(C28,'Curve_Interface'!$K$8:$K$73,1)+1)-INDEX('Curve_Interface'!$K$8:$K$73,MATCH(C28,'Curve_Interface'!$K$8:$K$73,1))))),INDEX('Curve_Interface'!$L$8:$L$73,MATCH(C28,'Curve_Interface'!$K$8:$K$73,1)))</f>
        <v/>
      </c>
      <c r="H28" s="36">
        <f>IFERROR(IF(Curve_Interface!$J$7="Piecewise Linear (Simple)",IF((((B28+C28)/2-VAL_DATE)/360)&lt;=0,1,1/(1+(IF(((INDEX('Curve_Interface'!$K$8:$K$73,MATCH((B28+C28)/2,'Curve_Interface'!$K$8:$K$73,1))-VAL_DATE)/360)&lt;=0,IF(((INDEX('Curve_Interface'!$K$8:$K$73,MATCH((B28+C28)/2,'Curve_Interface'!$K$8:$K$73,1)+1)-VAL_DATE)/360)&lt;=0,0,(1/INDEX('Curve_Interface'!$L$8:$L$73,MATCH((B28+C28)/2,'Curve_Interface'!$K$8:$K$73,1)+1)-1)/((INDEX('Curve_Interface'!$K$8:$K$73,MATCH((B28+C28)/2,'Curve_Interface'!$K$8:$K$73,1)+1)-VAL_DATE)/360)),(1/INDEX('Curve_Interface'!$L$8:$L$73,MATCH((B28+C28)/2,'Curve_Interface'!$K$8:$K$73,1))-1)/((INDEX('Curve_Interface'!$K$8:$K$73,MATCH((B28+C28)/2,'Curve_Interface'!$K$8:$K$73,1))-VAL_DATE)/360))+(IF(((INDEX('Curve_Interface'!$K$8:$K$73,MATCH((B28+C28)/2,'Curve_Interface'!$K$8:$K$73,1)+1)-VAL_DATE)/360)&lt;=0,0,(1/INDEX('Curve_Interface'!$L$8:$L$73,MATCH((B28+C28)/2,'Curve_Interface'!$K$8:$K$73,1)+1)-1)/((INDEX('Curve_Interface'!$K$8:$K$73,MATCH((B28+C28)/2,'Curve_Interface'!$K$8:$K$73,1)+1)-VAL_DATE)/360))-IF(((INDEX('Curve_Interface'!$K$8:$K$73,MATCH((B28+C28)/2,'Curve_Interface'!$K$8:$K$73,1))-VAL_DATE)/360)&lt;=0,IF(((INDEX('Curve_Interface'!$K$8:$K$73,MATCH((B28+C28)/2,'Curve_Interface'!$K$8:$K$73,1)+1)-VAL_DATE)/360)&lt;=0,0,(1/INDEX('Curve_Interface'!$L$8:$L$73,MATCH((B28+C28)/2,'Curve_Interface'!$K$8:$K$73,1)+1)-1)/((INDEX('Curve_Interface'!$K$8:$K$73,MATCH((B28+C28)/2,'Curve_Interface'!$K$8:$K$73,1)+1)-VAL_DATE)/360)),(1/INDEX('Curve_Interface'!$L$8:$L$73,MATCH((B28+C28)/2,'Curve_Interface'!$K$8:$K$73,1))-1)/((INDEX('Curve_Interface'!$K$8:$K$73,MATCH((B28+C28)/2,'Curve_Interface'!$K$8:$K$73,1))-VAL_DATE)/360)))*IF(((INDEX('Curve_Interface'!$K$8:$K$73,MATCH((B28+C28)/2,'Curve_Interface'!$K$8:$K$73,1)+1)-VAL_DATE)/360)-((INDEX('Curve_Interface'!$K$8:$K$73,MATCH((B28+C28)/2,'Curve_Interface'!$K$8:$K$73,1))-VAL_DATE)/360)=0,0,((((B28+C28)/2-VAL_DATE)/360)-((INDEX('Curve_Interface'!$K$8:$K$73,MATCH((B28+C28)/2,'Curve_Interface'!$K$8:$K$73,1))-VAL_DATE)/360))/(((INDEX('Curve_Interface'!$K$8:$K$73,MATCH((B28+C28)/2,'Curve_Interface'!$K$8:$K$73,1)+1)-VAL_DATE)/360)-((INDEX('Curve_Interface'!$K$8:$K$73,MATCH((B28+C28)/2,'Curve_Interface'!$K$8:$K$73,1))-VAL_DATE)/360))))*(((B28+C28)/2-VAL_DATE)/360))),INDEX('Curve_Interface'!$L$8:$L$73,MATCH((B28+C28)/2,'Curve_Interface'!$K$8:$K$73,1))*(INDEX('Curve_Interface'!$L$8:$L$73,MATCH((B28+C28)/2,'Curve_Interface'!$K$8:$K$73,1)+1)/INDEX('Curve_Interface'!$L$8:$L$73,MATCH((B28+C28)/2,'Curve_Interface'!$K$8:$K$73,1)))^(((B28+C28)/2-INDEX('Curve_Interface'!$K$8:$K$73,MATCH((B28+C28)/2,'Curve_Interface'!$K$8:$K$73,1)))/(INDEX('Curve_Interface'!$K$8:$K$73,MATCH((B28+C28)/2,'Curve_Interface'!$K$8:$K$73,1)+1)-INDEX('Curve_Interface'!$K$8:$K$73,MATCH((B28+C28)/2,'Curve_Interface'!$K$8:$K$73,1))))),INDEX('Curve_Interface'!$L$8:$L$73,MATCH((B28+C28)/2,'Curve_Interface'!$K$8:$K$73,1)))</f>
        <v/>
      </c>
      <c r="I28" s="36">
        <f>INDEX(Hazard_Bootstrap!$D$7:$D$12,MIN(COUNTIF(Hazard_Bootstrap!$B$7:$B$12,"&lt;"&amp;C28)+1,6))</f>
        <v/>
      </c>
      <c r="J28" s="36">
        <f>K27</f>
        <v/>
      </c>
      <c r="K28" s="36">
        <f>J28*EXP(-I28*E28)</f>
        <v/>
      </c>
      <c r="L28" s="36">
        <f>J28-K28</f>
        <v/>
      </c>
      <c r="M28" s="36">
        <f>D28*G28*K28</f>
        <v/>
      </c>
      <c r="N28" s="36">
        <f>(D28/2)*H28*L28</f>
        <v/>
      </c>
      <c r="O28" s="36">
        <f>H28*L28</f>
        <v/>
      </c>
    </row>
    <row r="29">
      <c r="A29" s="43" t="n">
        <v>23</v>
      </c>
      <c r="B29" s="18">
        <f>C28</f>
        <v/>
      </c>
      <c r="C29" s="18">
        <f>EDATE('Curve_Interface'!$F$7,3*22)</f>
        <v/>
      </c>
      <c r="D29" s="34">
        <f>(C29-B29)/360</f>
        <v/>
      </c>
      <c r="E29" s="34">
        <f>(C29-B29)/365</f>
        <v/>
      </c>
      <c r="F29" s="34">
        <f>(C29-VAL_DATE)/365</f>
        <v/>
      </c>
      <c r="G29" s="36">
        <f>IFERROR(IF(Curve_Interface!$J$7="Piecewise Linear (Simple)",IF(((C29-VAL_DATE)/360)&lt;=0,1,1/(1+(IF(((INDEX('Curve_Interface'!$K$8:$K$73,MATCH(C29,'Curve_Interface'!$K$8:$K$73,1))-VAL_DATE)/360)&lt;=0,IF(((INDEX('Curve_Interface'!$K$8:$K$73,MATCH(C29,'Curve_Interface'!$K$8:$K$73,1)+1)-VAL_DATE)/360)&lt;=0,0,(1/INDEX('Curve_Interface'!$L$8:$L$73,MATCH(C29,'Curve_Interface'!$K$8:$K$73,1)+1)-1)/((INDEX('Curve_Interface'!$K$8:$K$73,MATCH(C29,'Curve_Interface'!$K$8:$K$73,1)+1)-VAL_DATE)/360)),(1/INDEX('Curve_Interface'!$L$8:$L$73,MATCH(C29,'Curve_Interface'!$K$8:$K$73,1))-1)/((INDEX('Curve_Interface'!$K$8:$K$73,MATCH(C29,'Curve_Interface'!$K$8:$K$73,1))-VAL_DATE)/360))+(IF(((INDEX('Curve_Interface'!$K$8:$K$73,MATCH(C29,'Curve_Interface'!$K$8:$K$73,1)+1)-VAL_DATE)/360)&lt;=0,0,(1/INDEX('Curve_Interface'!$L$8:$L$73,MATCH(C29,'Curve_Interface'!$K$8:$K$73,1)+1)-1)/((INDEX('Curve_Interface'!$K$8:$K$73,MATCH(C29,'Curve_Interface'!$K$8:$K$73,1)+1)-VAL_DATE)/360))-IF(((INDEX('Curve_Interface'!$K$8:$K$73,MATCH(C29,'Curve_Interface'!$K$8:$K$73,1))-VAL_DATE)/360)&lt;=0,IF(((INDEX('Curve_Interface'!$K$8:$K$73,MATCH(C29,'Curve_Interface'!$K$8:$K$73,1)+1)-VAL_DATE)/360)&lt;=0,0,(1/INDEX('Curve_Interface'!$L$8:$L$73,MATCH(C29,'Curve_Interface'!$K$8:$K$73,1)+1)-1)/((INDEX('Curve_Interface'!$K$8:$K$73,MATCH(C29,'Curve_Interface'!$K$8:$K$73,1)+1)-VAL_DATE)/360)),(1/INDEX('Curve_Interface'!$L$8:$L$73,MATCH(C29,'Curve_Interface'!$K$8:$K$73,1))-1)/((INDEX('Curve_Interface'!$K$8:$K$73,MATCH(C29,'Curve_Interface'!$K$8:$K$73,1))-VAL_DATE)/360)))*IF(((INDEX('Curve_Interface'!$K$8:$K$73,MATCH(C29,'Curve_Interface'!$K$8:$K$73,1)+1)-VAL_DATE)/360)-((INDEX('Curve_Interface'!$K$8:$K$73,MATCH(C29,'Curve_Interface'!$K$8:$K$73,1))-VAL_DATE)/360)=0,0,(((C29-VAL_DATE)/360)-((INDEX('Curve_Interface'!$K$8:$K$73,MATCH(C29,'Curve_Interface'!$K$8:$K$73,1))-VAL_DATE)/360))/(((INDEX('Curve_Interface'!$K$8:$K$73,MATCH(C29,'Curve_Interface'!$K$8:$K$73,1)+1)-VAL_DATE)/360)-((INDEX('Curve_Interface'!$K$8:$K$73,MATCH(C29,'Curve_Interface'!$K$8:$K$73,1))-VAL_DATE)/360))))*((C29-VAL_DATE)/360))),INDEX('Curve_Interface'!$L$8:$L$73,MATCH(C29,'Curve_Interface'!$K$8:$K$73,1))*(INDEX('Curve_Interface'!$L$8:$L$73,MATCH(C29,'Curve_Interface'!$K$8:$K$73,1)+1)/INDEX('Curve_Interface'!$L$8:$L$73,MATCH(C29,'Curve_Interface'!$K$8:$K$73,1)))^((C29-INDEX('Curve_Interface'!$K$8:$K$73,MATCH(C29,'Curve_Interface'!$K$8:$K$73,1)))/(INDEX('Curve_Interface'!$K$8:$K$73,MATCH(C29,'Curve_Interface'!$K$8:$K$73,1)+1)-INDEX('Curve_Interface'!$K$8:$K$73,MATCH(C29,'Curve_Interface'!$K$8:$K$73,1))))),INDEX('Curve_Interface'!$L$8:$L$73,MATCH(C29,'Curve_Interface'!$K$8:$K$73,1)))</f>
        <v/>
      </c>
      <c r="H29" s="36">
        <f>IFERROR(IF(Curve_Interface!$J$7="Piecewise Linear (Simple)",IF((((B29+C29)/2-VAL_DATE)/360)&lt;=0,1,1/(1+(IF(((INDEX('Curve_Interface'!$K$8:$K$73,MATCH((B29+C29)/2,'Curve_Interface'!$K$8:$K$73,1))-VAL_DATE)/360)&lt;=0,IF(((INDEX('Curve_Interface'!$K$8:$K$73,MATCH((B29+C29)/2,'Curve_Interface'!$K$8:$K$73,1)+1)-VAL_DATE)/360)&lt;=0,0,(1/INDEX('Curve_Interface'!$L$8:$L$73,MATCH((B29+C29)/2,'Curve_Interface'!$K$8:$K$73,1)+1)-1)/((INDEX('Curve_Interface'!$K$8:$K$73,MATCH((B29+C29)/2,'Curve_Interface'!$K$8:$K$73,1)+1)-VAL_DATE)/360)),(1/INDEX('Curve_Interface'!$L$8:$L$73,MATCH((B29+C29)/2,'Curve_Interface'!$K$8:$K$73,1))-1)/((INDEX('Curve_Interface'!$K$8:$K$73,MATCH((B29+C29)/2,'Curve_Interface'!$K$8:$K$73,1))-VAL_DATE)/360))+(IF(((INDEX('Curve_Interface'!$K$8:$K$73,MATCH((B29+C29)/2,'Curve_Interface'!$K$8:$K$73,1)+1)-VAL_DATE)/360)&lt;=0,0,(1/INDEX('Curve_Interface'!$L$8:$L$73,MATCH((B29+C29)/2,'Curve_Interface'!$K$8:$K$73,1)+1)-1)/((INDEX('Curve_Interface'!$K$8:$K$73,MATCH((B29+C29)/2,'Curve_Interface'!$K$8:$K$73,1)+1)-VAL_DATE)/360))-IF(((INDEX('Curve_Interface'!$K$8:$K$73,MATCH((B29+C29)/2,'Curve_Interface'!$K$8:$K$73,1))-VAL_DATE)/360)&lt;=0,IF(((INDEX('Curve_Interface'!$K$8:$K$73,MATCH((B29+C29)/2,'Curve_Interface'!$K$8:$K$73,1)+1)-VAL_DATE)/360)&lt;=0,0,(1/INDEX('Curve_Interface'!$L$8:$L$73,MATCH((B29+C29)/2,'Curve_Interface'!$K$8:$K$73,1)+1)-1)/((INDEX('Curve_Interface'!$K$8:$K$73,MATCH((B29+C29)/2,'Curve_Interface'!$K$8:$K$73,1)+1)-VAL_DATE)/360)),(1/INDEX('Curve_Interface'!$L$8:$L$73,MATCH((B29+C29)/2,'Curve_Interface'!$K$8:$K$73,1))-1)/((INDEX('Curve_Interface'!$K$8:$K$73,MATCH((B29+C29)/2,'Curve_Interface'!$K$8:$K$73,1))-VAL_DATE)/360)))*IF(((INDEX('Curve_Interface'!$K$8:$K$73,MATCH((B29+C29)/2,'Curve_Interface'!$K$8:$K$73,1)+1)-VAL_DATE)/360)-((INDEX('Curve_Interface'!$K$8:$K$73,MATCH((B29+C29)/2,'Curve_Interface'!$K$8:$K$73,1))-VAL_DATE)/360)=0,0,((((B29+C29)/2-VAL_DATE)/360)-((INDEX('Curve_Interface'!$K$8:$K$73,MATCH((B29+C29)/2,'Curve_Interface'!$K$8:$K$73,1))-VAL_DATE)/360))/(((INDEX('Curve_Interface'!$K$8:$K$73,MATCH((B29+C29)/2,'Curve_Interface'!$K$8:$K$73,1)+1)-VAL_DATE)/360)-((INDEX('Curve_Interface'!$K$8:$K$73,MATCH((B29+C29)/2,'Curve_Interface'!$K$8:$K$73,1))-VAL_DATE)/360))))*(((B29+C29)/2-VAL_DATE)/360))),INDEX('Curve_Interface'!$L$8:$L$73,MATCH((B29+C29)/2,'Curve_Interface'!$K$8:$K$73,1))*(INDEX('Curve_Interface'!$L$8:$L$73,MATCH((B29+C29)/2,'Curve_Interface'!$K$8:$K$73,1)+1)/INDEX('Curve_Interface'!$L$8:$L$73,MATCH((B29+C29)/2,'Curve_Interface'!$K$8:$K$73,1)))^(((B29+C29)/2-INDEX('Curve_Interface'!$K$8:$K$73,MATCH((B29+C29)/2,'Curve_Interface'!$K$8:$K$73,1)))/(INDEX('Curve_Interface'!$K$8:$K$73,MATCH((B29+C29)/2,'Curve_Interface'!$K$8:$K$73,1)+1)-INDEX('Curve_Interface'!$K$8:$K$73,MATCH((B29+C29)/2,'Curve_Interface'!$K$8:$K$73,1))))),INDEX('Curve_Interface'!$L$8:$L$73,MATCH((B29+C29)/2,'Curve_Interface'!$K$8:$K$73,1)))</f>
        <v/>
      </c>
      <c r="I29" s="36">
        <f>INDEX(Hazard_Bootstrap!$D$7:$D$12,MIN(COUNTIF(Hazard_Bootstrap!$B$7:$B$12,"&lt;"&amp;C29)+1,6))</f>
        <v/>
      </c>
      <c r="J29" s="36">
        <f>K28</f>
        <v/>
      </c>
      <c r="K29" s="36">
        <f>J29*EXP(-I29*E29)</f>
        <v/>
      </c>
      <c r="L29" s="36">
        <f>J29-K29</f>
        <v/>
      </c>
      <c r="M29" s="36">
        <f>D29*G29*K29</f>
        <v/>
      </c>
      <c r="N29" s="36">
        <f>(D29/2)*H29*L29</f>
        <v/>
      </c>
      <c r="O29" s="36">
        <f>H29*L29</f>
        <v/>
      </c>
    </row>
    <row r="30">
      <c r="A30" s="43" t="n">
        <v>24</v>
      </c>
      <c r="B30" s="18">
        <f>C29</f>
        <v/>
      </c>
      <c r="C30" s="18">
        <f>EDATE('Curve_Interface'!$F$7,3*23)</f>
        <v/>
      </c>
      <c r="D30" s="34">
        <f>(C30-B30)/360</f>
        <v/>
      </c>
      <c r="E30" s="34">
        <f>(C30-B30)/365</f>
        <v/>
      </c>
      <c r="F30" s="34">
        <f>(C30-VAL_DATE)/365</f>
        <v/>
      </c>
      <c r="G30" s="36">
        <f>IFERROR(IF(Curve_Interface!$J$7="Piecewise Linear (Simple)",IF(((C30-VAL_DATE)/360)&lt;=0,1,1/(1+(IF(((INDEX('Curve_Interface'!$K$8:$K$73,MATCH(C30,'Curve_Interface'!$K$8:$K$73,1))-VAL_DATE)/360)&lt;=0,IF(((INDEX('Curve_Interface'!$K$8:$K$73,MATCH(C30,'Curve_Interface'!$K$8:$K$73,1)+1)-VAL_DATE)/360)&lt;=0,0,(1/INDEX('Curve_Interface'!$L$8:$L$73,MATCH(C30,'Curve_Interface'!$K$8:$K$73,1)+1)-1)/((INDEX('Curve_Interface'!$K$8:$K$73,MATCH(C30,'Curve_Interface'!$K$8:$K$73,1)+1)-VAL_DATE)/360)),(1/INDEX('Curve_Interface'!$L$8:$L$73,MATCH(C30,'Curve_Interface'!$K$8:$K$73,1))-1)/((INDEX('Curve_Interface'!$K$8:$K$73,MATCH(C30,'Curve_Interface'!$K$8:$K$73,1))-VAL_DATE)/360))+(IF(((INDEX('Curve_Interface'!$K$8:$K$73,MATCH(C30,'Curve_Interface'!$K$8:$K$73,1)+1)-VAL_DATE)/360)&lt;=0,0,(1/INDEX('Curve_Interface'!$L$8:$L$73,MATCH(C30,'Curve_Interface'!$K$8:$K$73,1)+1)-1)/((INDEX('Curve_Interface'!$K$8:$K$73,MATCH(C30,'Curve_Interface'!$K$8:$K$73,1)+1)-VAL_DATE)/360))-IF(((INDEX('Curve_Interface'!$K$8:$K$73,MATCH(C30,'Curve_Interface'!$K$8:$K$73,1))-VAL_DATE)/360)&lt;=0,IF(((INDEX('Curve_Interface'!$K$8:$K$73,MATCH(C30,'Curve_Interface'!$K$8:$K$73,1)+1)-VAL_DATE)/360)&lt;=0,0,(1/INDEX('Curve_Interface'!$L$8:$L$73,MATCH(C30,'Curve_Interface'!$K$8:$K$73,1)+1)-1)/((INDEX('Curve_Interface'!$K$8:$K$73,MATCH(C30,'Curve_Interface'!$K$8:$K$73,1)+1)-VAL_DATE)/360)),(1/INDEX('Curve_Interface'!$L$8:$L$73,MATCH(C30,'Curve_Interface'!$K$8:$K$73,1))-1)/((INDEX('Curve_Interface'!$K$8:$K$73,MATCH(C30,'Curve_Interface'!$K$8:$K$73,1))-VAL_DATE)/360)))*IF(((INDEX('Curve_Interface'!$K$8:$K$73,MATCH(C30,'Curve_Interface'!$K$8:$K$73,1)+1)-VAL_DATE)/360)-((INDEX('Curve_Interface'!$K$8:$K$73,MATCH(C30,'Curve_Interface'!$K$8:$K$73,1))-VAL_DATE)/360)=0,0,(((C30-VAL_DATE)/360)-((INDEX('Curve_Interface'!$K$8:$K$73,MATCH(C30,'Curve_Interface'!$K$8:$K$73,1))-VAL_DATE)/360))/(((INDEX('Curve_Interface'!$K$8:$K$73,MATCH(C30,'Curve_Interface'!$K$8:$K$73,1)+1)-VAL_DATE)/360)-((INDEX('Curve_Interface'!$K$8:$K$73,MATCH(C30,'Curve_Interface'!$K$8:$K$73,1))-VAL_DATE)/360))))*((C30-VAL_DATE)/360))),INDEX('Curve_Interface'!$L$8:$L$73,MATCH(C30,'Curve_Interface'!$K$8:$K$73,1))*(INDEX('Curve_Interface'!$L$8:$L$73,MATCH(C30,'Curve_Interface'!$K$8:$K$73,1)+1)/INDEX('Curve_Interface'!$L$8:$L$73,MATCH(C30,'Curve_Interface'!$K$8:$K$73,1)))^((C30-INDEX('Curve_Interface'!$K$8:$K$73,MATCH(C30,'Curve_Interface'!$K$8:$K$73,1)))/(INDEX('Curve_Interface'!$K$8:$K$73,MATCH(C30,'Curve_Interface'!$K$8:$K$73,1)+1)-INDEX('Curve_Interface'!$K$8:$K$73,MATCH(C30,'Curve_Interface'!$K$8:$K$73,1))))),INDEX('Curve_Interface'!$L$8:$L$73,MATCH(C30,'Curve_Interface'!$K$8:$K$73,1)))</f>
        <v/>
      </c>
      <c r="H30" s="36">
        <f>IFERROR(IF(Curve_Interface!$J$7="Piecewise Linear (Simple)",IF((((B30+C30)/2-VAL_DATE)/360)&lt;=0,1,1/(1+(IF(((INDEX('Curve_Interface'!$K$8:$K$73,MATCH((B30+C30)/2,'Curve_Interface'!$K$8:$K$73,1))-VAL_DATE)/360)&lt;=0,IF(((INDEX('Curve_Interface'!$K$8:$K$73,MATCH((B30+C30)/2,'Curve_Interface'!$K$8:$K$73,1)+1)-VAL_DATE)/360)&lt;=0,0,(1/INDEX('Curve_Interface'!$L$8:$L$73,MATCH((B30+C30)/2,'Curve_Interface'!$K$8:$K$73,1)+1)-1)/((INDEX('Curve_Interface'!$K$8:$K$73,MATCH((B30+C30)/2,'Curve_Interface'!$K$8:$K$73,1)+1)-VAL_DATE)/360)),(1/INDEX('Curve_Interface'!$L$8:$L$73,MATCH((B30+C30)/2,'Curve_Interface'!$K$8:$K$73,1))-1)/((INDEX('Curve_Interface'!$K$8:$K$73,MATCH((B30+C30)/2,'Curve_Interface'!$K$8:$K$73,1))-VAL_DATE)/360))+(IF(((INDEX('Curve_Interface'!$K$8:$K$73,MATCH((B30+C30)/2,'Curve_Interface'!$K$8:$K$73,1)+1)-VAL_DATE)/360)&lt;=0,0,(1/INDEX('Curve_Interface'!$L$8:$L$73,MATCH((B30+C30)/2,'Curve_Interface'!$K$8:$K$73,1)+1)-1)/((INDEX('Curve_Interface'!$K$8:$K$73,MATCH((B30+C30)/2,'Curve_Interface'!$K$8:$K$73,1)+1)-VAL_DATE)/360))-IF(((INDEX('Curve_Interface'!$K$8:$K$73,MATCH((B30+C30)/2,'Curve_Interface'!$K$8:$K$73,1))-VAL_DATE)/360)&lt;=0,IF(((INDEX('Curve_Interface'!$K$8:$K$73,MATCH((B30+C30)/2,'Curve_Interface'!$K$8:$K$73,1)+1)-VAL_DATE)/360)&lt;=0,0,(1/INDEX('Curve_Interface'!$L$8:$L$73,MATCH((B30+C30)/2,'Curve_Interface'!$K$8:$K$73,1)+1)-1)/((INDEX('Curve_Interface'!$K$8:$K$73,MATCH((B30+C30)/2,'Curve_Interface'!$K$8:$K$73,1)+1)-VAL_DATE)/360)),(1/INDEX('Curve_Interface'!$L$8:$L$73,MATCH((B30+C30)/2,'Curve_Interface'!$K$8:$K$73,1))-1)/((INDEX('Curve_Interface'!$K$8:$K$73,MATCH((B30+C30)/2,'Curve_Interface'!$K$8:$K$73,1))-VAL_DATE)/360)))*IF(((INDEX('Curve_Interface'!$K$8:$K$73,MATCH((B30+C30)/2,'Curve_Interface'!$K$8:$K$73,1)+1)-VAL_DATE)/360)-((INDEX('Curve_Interface'!$K$8:$K$73,MATCH((B30+C30)/2,'Curve_Interface'!$K$8:$K$73,1))-VAL_DATE)/360)=0,0,((((B30+C30)/2-VAL_DATE)/360)-((INDEX('Curve_Interface'!$K$8:$K$73,MATCH((B30+C30)/2,'Curve_Interface'!$K$8:$K$73,1))-VAL_DATE)/360))/(((INDEX('Curve_Interface'!$K$8:$K$73,MATCH((B30+C30)/2,'Curve_Interface'!$K$8:$K$73,1)+1)-VAL_DATE)/360)-((INDEX('Curve_Interface'!$K$8:$K$73,MATCH((B30+C30)/2,'Curve_Interface'!$K$8:$K$73,1))-VAL_DATE)/360))))*(((B30+C30)/2-VAL_DATE)/360))),INDEX('Curve_Interface'!$L$8:$L$73,MATCH((B30+C30)/2,'Curve_Interface'!$K$8:$K$73,1))*(INDEX('Curve_Interface'!$L$8:$L$73,MATCH((B30+C30)/2,'Curve_Interface'!$K$8:$K$73,1)+1)/INDEX('Curve_Interface'!$L$8:$L$73,MATCH((B30+C30)/2,'Curve_Interface'!$K$8:$K$73,1)))^(((B30+C30)/2-INDEX('Curve_Interface'!$K$8:$K$73,MATCH((B30+C30)/2,'Curve_Interface'!$K$8:$K$73,1)))/(INDEX('Curve_Interface'!$K$8:$K$73,MATCH((B30+C30)/2,'Curve_Interface'!$K$8:$K$73,1)+1)-INDEX('Curve_Interface'!$K$8:$K$73,MATCH((B30+C30)/2,'Curve_Interface'!$K$8:$K$73,1))))),INDEX('Curve_Interface'!$L$8:$L$73,MATCH((B30+C30)/2,'Curve_Interface'!$K$8:$K$73,1)))</f>
        <v/>
      </c>
      <c r="I30" s="36">
        <f>INDEX(Hazard_Bootstrap!$D$7:$D$12,MIN(COUNTIF(Hazard_Bootstrap!$B$7:$B$12,"&lt;"&amp;C30)+1,6))</f>
        <v/>
      </c>
      <c r="J30" s="36">
        <f>K29</f>
        <v/>
      </c>
      <c r="K30" s="36">
        <f>J30*EXP(-I30*E30)</f>
        <v/>
      </c>
      <c r="L30" s="36">
        <f>J30-K30</f>
        <v/>
      </c>
      <c r="M30" s="36">
        <f>D30*G30*K30</f>
        <v/>
      </c>
      <c r="N30" s="36">
        <f>(D30/2)*H30*L30</f>
        <v/>
      </c>
      <c r="O30" s="36">
        <f>H30*L30</f>
        <v/>
      </c>
    </row>
    <row r="31">
      <c r="A31" s="43" t="n">
        <v>25</v>
      </c>
      <c r="B31" s="18">
        <f>C30</f>
        <v/>
      </c>
      <c r="C31" s="18">
        <f>EDATE('Curve_Interface'!$F$7,3*24)</f>
        <v/>
      </c>
      <c r="D31" s="34">
        <f>(C31-B31)/360</f>
        <v/>
      </c>
      <c r="E31" s="34">
        <f>(C31-B31)/365</f>
        <v/>
      </c>
      <c r="F31" s="34">
        <f>(C31-VAL_DATE)/365</f>
        <v/>
      </c>
      <c r="G31" s="36">
        <f>IFERROR(IF(Curve_Interface!$J$7="Piecewise Linear (Simple)",IF(((C31-VAL_DATE)/360)&lt;=0,1,1/(1+(IF(((INDEX('Curve_Interface'!$K$8:$K$73,MATCH(C31,'Curve_Interface'!$K$8:$K$73,1))-VAL_DATE)/360)&lt;=0,IF(((INDEX('Curve_Interface'!$K$8:$K$73,MATCH(C31,'Curve_Interface'!$K$8:$K$73,1)+1)-VAL_DATE)/360)&lt;=0,0,(1/INDEX('Curve_Interface'!$L$8:$L$73,MATCH(C31,'Curve_Interface'!$K$8:$K$73,1)+1)-1)/((INDEX('Curve_Interface'!$K$8:$K$73,MATCH(C31,'Curve_Interface'!$K$8:$K$73,1)+1)-VAL_DATE)/360)),(1/INDEX('Curve_Interface'!$L$8:$L$73,MATCH(C31,'Curve_Interface'!$K$8:$K$73,1))-1)/((INDEX('Curve_Interface'!$K$8:$K$73,MATCH(C31,'Curve_Interface'!$K$8:$K$73,1))-VAL_DATE)/360))+(IF(((INDEX('Curve_Interface'!$K$8:$K$73,MATCH(C31,'Curve_Interface'!$K$8:$K$73,1)+1)-VAL_DATE)/360)&lt;=0,0,(1/INDEX('Curve_Interface'!$L$8:$L$73,MATCH(C31,'Curve_Interface'!$K$8:$K$73,1)+1)-1)/((INDEX('Curve_Interface'!$K$8:$K$73,MATCH(C31,'Curve_Interface'!$K$8:$K$73,1)+1)-VAL_DATE)/360))-IF(((INDEX('Curve_Interface'!$K$8:$K$73,MATCH(C31,'Curve_Interface'!$K$8:$K$73,1))-VAL_DATE)/360)&lt;=0,IF(((INDEX('Curve_Interface'!$K$8:$K$73,MATCH(C31,'Curve_Interface'!$K$8:$K$73,1)+1)-VAL_DATE)/360)&lt;=0,0,(1/INDEX('Curve_Interface'!$L$8:$L$73,MATCH(C31,'Curve_Interface'!$K$8:$K$73,1)+1)-1)/((INDEX('Curve_Interface'!$K$8:$K$73,MATCH(C31,'Curve_Interface'!$K$8:$K$73,1)+1)-VAL_DATE)/360)),(1/INDEX('Curve_Interface'!$L$8:$L$73,MATCH(C31,'Curve_Interface'!$K$8:$K$73,1))-1)/((INDEX('Curve_Interface'!$K$8:$K$73,MATCH(C31,'Curve_Interface'!$K$8:$K$73,1))-VAL_DATE)/360)))*IF(((INDEX('Curve_Interface'!$K$8:$K$73,MATCH(C31,'Curve_Interface'!$K$8:$K$73,1)+1)-VAL_DATE)/360)-((INDEX('Curve_Interface'!$K$8:$K$73,MATCH(C31,'Curve_Interface'!$K$8:$K$73,1))-VAL_DATE)/360)=0,0,(((C31-VAL_DATE)/360)-((INDEX('Curve_Interface'!$K$8:$K$73,MATCH(C31,'Curve_Interface'!$K$8:$K$73,1))-VAL_DATE)/360))/(((INDEX('Curve_Interface'!$K$8:$K$73,MATCH(C31,'Curve_Interface'!$K$8:$K$73,1)+1)-VAL_DATE)/360)-((INDEX('Curve_Interface'!$K$8:$K$73,MATCH(C31,'Curve_Interface'!$K$8:$K$73,1))-VAL_DATE)/360))))*((C31-VAL_DATE)/360))),INDEX('Curve_Interface'!$L$8:$L$73,MATCH(C31,'Curve_Interface'!$K$8:$K$73,1))*(INDEX('Curve_Interface'!$L$8:$L$73,MATCH(C31,'Curve_Interface'!$K$8:$K$73,1)+1)/INDEX('Curve_Interface'!$L$8:$L$73,MATCH(C31,'Curve_Interface'!$K$8:$K$73,1)))^((C31-INDEX('Curve_Interface'!$K$8:$K$73,MATCH(C31,'Curve_Interface'!$K$8:$K$73,1)))/(INDEX('Curve_Interface'!$K$8:$K$73,MATCH(C31,'Curve_Interface'!$K$8:$K$73,1)+1)-INDEX('Curve_Interface'!$K$8:$K$73,MATCH(C31,'Curve_Interface'!$K$8:$K$73,1))))),INDEX('Curve_Interface'!$L$8:$L$73,MATCH(C31,'Curve_Interface'!$K$8:$K$73,1)))</f>
        <v/>
      </c>
      <c r="H31" s="36">
        <f>IFERROR(IF(Curve_Interface!$J$7="Piecewise Linear (Simple)",IF((((B31+C31)/2-VAL_DATE)/360)&lt;=0,1,1/(1+(IF(((INDEX('Curve_Interface'!$K$8:$K$73,MATCH((B31+C31)/2,'Curve_Interface'!$K$8:$K$73,1))-VAL_DATE)/360)&lt;=0,IF(((INDEX('Curve_Interface'!$K$8:$K$73,MATCH((B31+C31)/2,'Curve_Interface'!$K$8:$K$73,1)+1)-VAL_DATE)/360)&lt;=0,0,(1/INDEX('Curve_Interface'!$L$8:$L$73,MATCH((B31+C31)/2,'Curve_Interface'!$K$8:$K$73,1)+1)-1)/((INDEX('Curve_Interface'!$K$8:$K$73,MATCH((B31+C31)/2,'Curve_Interface'!$K$8:$K$73,1)+1)-VAL_DATE)/360)),(1/INDEX('Curve_Interface'!$L$8:$L$73,MATCH((B31+C31)/2,'Curve_Interface'!$K$8:$K$73,1))-1)/((INDEX('Curve_Interface'!$K$8:$K$73,MATCH((B31+C31)/2,'Curve_Interface'!$K$8:$K$73,1))-VAL_DATE)/360))+(IF(((INDEX('Curve_Interface'!$K$8:$K$73,MATCH((B31+C31)/2,'Curve_Interface'!$K$8:$K$73,1)+1)-VAL_DATE)/360)&lt;=0,0,(1/INDEX('Curve_Interface'!$L$8:$L$73,MATCH((B31+C31)/2,'Curve_Interface'!$K$8:$K$73,1)+1)-1)/((INDEX('Curve_Interface'!$K$8:$K$73,MATCH((B31+C31)/2,'Curve_Interface'!$K$8:$K$73,1)+1)-VAL_DATE)/360))-IF(((INDEX('Curve_Interface'!$K$8:$K$73,MATCH((B31+C31)/2,'Curve_Interface'!$K$8:$K$73,1))-VAL_DATE)/360)&lt;=0,IF(((INDEX('Curve_Interface'!$K$8:$K$73,MATCH((B31+C31)/2,'Curve_Interface'!$K$8:$K$73,1)+1)-VAL_DATE)/360)&lt;=0,0,(1/INDEX('Curve_Interface'!$L$8:$L$73,MATCH((B31+C31)/2,'Curve_Interface'!$K$8:$K$73,1)+1)-1)/((INDEX('Curve_Interface'!$K$8:$K$73,MATCH((B31+C31)/2,'Curve_Interface'!$K$8:$K$73,1)+1)-VAL_DATE)/360)),(1/INDEX('Curve_Interface'!$L$8:$L$73,MATCH((B31+C31)/2,'Curve_Interface'!$K$8:$K$73,1))-1)/((INDEX('Curve_Interface'!$K$8:$K$73,MATCH((B31+C31)/2,'Curve_Interface'!$K$8:$K$73,1))-VAL_DATE)/360)))*IF(((INDEX('Curve_Interface'!$K$8:$K$73,MATCH((B31+C31)/2,'Curve_Interface'!$K$8:$K$73,1)+1)-VAL_DATE)/360)-((INDEX('Curve_Interface'!$K$8:$K$73,MATCH((B31+C31)/2,'Curve_Interface'!$K$8:$K$73,1))-VAL_DATE)/360)=0,0,((((B31+C31)/2-VAL_DATE)/360)-((INDEX('Curve_Interface'!$K$8:$K$73,MATCH((B31+C31)/2,'Curve_Interface'!$K$8:$K$73,1))-VAL_DATE)/360))/(((INDEX('Curve_Interface'!$K$8:$K$73,MATCH((B31+C31)/2,'Curve_Interface'!$K$8:$K$73,1)+1)-VAL_DATE)/360)-((INDEX('Curve_Interface'!$K$8:$K$73,MATCH((B31+C31)/2,'Curve_Interface'!$K$8:$K$73,1))-VAL_DATE)/360))))*(((B31+C31)/2-VAL_DATE)/360))),INDEX('Curve_Interface'!$L$8:$L$73,MATCH((B31+C31)/2,'Curve_Interface'!$K$8:$K$73,1))*(INDEX('Curve_Interface'!$L$8:$L$73,MATCH((B31+C31)/2,'Curve_Interface'!$K$8:$K$73,1)+1)/INDEX('Curve_Interface'!$L$8:$L$73,MATCH((B31+C31)/2,'Curve_Interface'!$K$8:$K$73,1)))^(((B31+C31)/2-INDEX('Curve_Interface'!$K$8:$K$73,MATCH((B31+C31)/2,'Curve_Interface'!$K$8:$K$73,1)))/(INDEX('Curve_Interface'!$K$8:$K$73,MATCH((B31+C31)/2,'Curve_Interface'!$K$8:$K$73,1)+1)-INDEX('Curve_Interface'!$K$8:$K$73,MATCH((B31+C31)/2,'Curve_Interface'!$K$8:$K$73,1))))),INDEX('Curve_Interface'!$L$8:$L$73,MATCH((B31+C31)/2,'Curve_Interface'!$K$8:$K$73,1)))</f>
        <v/>
      </c>
      <c r="I31" s="36">
        <f>INDEX(Hazard_Bootstrap!$D$7:$D$12,MIN(COUNTIF(Hazard_Bootstrap!$B$7:$B$12,"&lt;"&amp;C31)+1,6))</f>
        <v/>
      </c>
      <c r="J31" s="36">
        <f>K30</f>
        <v/>
      </c>
      <c r="K31" s="36">
        <f>J31*EXP(-I31*E31)</f>
        <v/>
      </c>
      <c r="L31" s="36">
        <f>J31-K31</f>
        <v/>
      </c>
      <c r="M31" s="36">
        <f>D31*G31*K31</f>
        <v/>
      </c>
      <c r="N31" s="36">
        <f>(D31/2)*H31*L31</f>
        <v/>
      </c>
      <c r="O31" s="36">
        <f>H31*L31</f>
        <v/>
      </c>
    </row>
    <row r="32">
      <c r="A32" s="43" t="n">
        <v>26</v>
      </c>
      <c r="B32" s="18">
        <f>C31</f>
        <v/>
      </c>
      <c r="C32" s="18">
        <f>EDATE('Curve_Interface'!$F$7,3*25)</f>
        <v/>
      </c>
      <c r="D32" s="34">
        <f>(C32-B32)/360</f>
        <v/>
      </c>
      <c r="E32" s="34">
        <f>(C32-B32)/365</f>
        <v/>
      </c>
      <c r="F32" s="34">
        <f>(C32-VAL_DATE)/365</f>
        <v/>
      </c>
      <c r="G32" s="36">
        <f>IFERROR(IF(Curve_Interface!$J$7="Piecewise Linear (Simple)",IF(((C32-VAL_DATE)/360)&lt;=0,1,1/(1+(IF(((INDEX('Curve_Interface'!$K$8:$K$73,MATCH(C32,'Curve_Interface'!$K$8:$K$73,1))-VAL_DATE)/360)&lt;=0,IF(((INDEX('Curve_Interface'!$K$8:$K$73,MATCH(C32,'Curve_Interface'!$K$8:$K$73,1)+1)-VAL_DATE)/360)&lt;=0,0,(1/INDEX('Curve_Interface'!$L$8:$L$73,MATCH(C32,'Curve_Interface'!$K$8:$K$73,1)+1)-1)/((INDEX('Curve_Interface'!$K$8:$K$73,MATCH(C32,'Curve_Interface'!$K$8:$K$73,1)+1)-VAL_DATE)/360)),(1/INDEX('Curve_Interface'!$L$8:$L$73,MATCH(C32,'Curve_Interface'!$K$8:$K$73,1))-1)/((INDEX('Curve_Interface'!$K$8:$K$73,MATCH(C32,'Curve_Interface'!$K$8:$K$73,1))-VAL_DATE)/360))+(IF(((INDEX('Curve_Interface'!$K$8:$K$73,MATCH(C32,'Curve_Interface'!$K$8:$K$73,1)+1)-VAL_DATE)/360)&lt;=0,0,(1/INDEX('Curve_Interface'!$L$8:$L$73,MATCH(C32,'Curve_Interface'!$K$8:$K$73,1)+1)-1)/((INDEX('Curve_Interface'!$K$8:$K$73,MATCH(C32,'Curve_Interface'!$K$8:$K$73,1)+1)-VAL_DATE)/360))-IF(((INDEX('Curve_Interface'!$K$8:$K$73,MATCH(C32,'Curve_Interface'!$K$8:$K$73,1))-VAL_DATE)/360)&lt;=0,IF(((INDEX('Curve_Interface'!$K$8:$K$73,MATCH(C32,'Curve_Interface'!$K$8:$K$73,1)+1)-VAL_DATE)/360)&lt;=0,0,(1/INDEX('Curve_Interface'!$L$8:$L$73,MATCH(C32,'Curve_Interface'!$K$8:$K$73,1)+1)-1)/((INDEX('Curve_Interface'!$K$8:$K$73,MATCH(C32,'Curve_Interface'!$K$8:$K$73,1)+1)-VAL_DATE)/360)),(1/INDEX('Curve_Interface'!$L$8:$L$73,MATCH(C32,'Curve_Interface'!$K$8:$K$73,1))-1)/((INDEX('Curve_Interface'!$K$8:$K$73,MATCH(C32,'Curve_Interface'!$K$8:$K$73,1))-VAL_DATE)/360)))*IF(((INDEX('Curve_Interface'!$K$8:$K$73,MATCH(C32,'Curve_Interface'!$K$8:$K$73,1)+1)-VAL_DATE)/360)-((INDEX('Curve_Interface'!$K$8:$K$73,MATCH(C32,'Curve_Interface'!$K$8:$K$73,1))-VAL_DATE)/360)=0,0,(((C32-VAL_DATE)/360)-((INDEX('Curve_Interface'!$K$8:$K$73,MATCH(C32,'Curve_Interface'!$K$8:$K$73,1))-VAL_DATE)/360))/(((INDEX('Curve_Interface'!$K$8:$K$73,MATCH(C32,'Curve_Interface'!$K$8:$K$73,1)+1)-VAL_DATE)/360)-((INDEX('Curve_Interface'!$K$8:$K$73,MATCH(C32,'Curve_Interface'!$K$8:$K$73,1))-VAL_DATE)/360))))*((C32-VAL_DATE)/360))),INDEX('Curve_Interface'!$L$8:$L$73,MATCH(C32,'Curve_Interface'!$K$8:$K$73,1))*(INDEX('Curve_Interface'!$L$8:$L$73,MATCH(C32,'Curve_Interface'!$K$8:$K$73,1)+1)/INDEX('Curve_Interface'!$L$8:$L$73,MATCH(C32,'Curve_Interface'!$K$8:$K$73,1)))^((C32-INDEX('Curve_Interface'!$K$8:$K$73,MATCH(C32,'Curve_Interface'!$K$8:$K$73,1)))/(INDEX('Curve_Interface'!$K$8:$K$73,MATCH(C32,'Curve_Interface'!$K$8:$K$73,1)+1)-INDEX('Curve_Interface'!$K$8:$K$73,MATCH(C32,'Curve_Interface'!$K$8:$K$73,1))))),INDEX('Curve_Interface'!$L$8:$L$73,MATCH(C32,'Curve_Interface'!$K$8:$K$73,1)))</f>
        <v/>
      </c>
      <c r="H32" s="36">
        <f>IFERROR(IF(Curve_Interface!$J$7="Piecewise Linear (Simple)",IF((((B32+C32)/2-VAL_DATE)/360)&lt;=0,1,1/(1+(IF(((INDEX('Curve_Interface'!$K$8:$K$73,MATCH((B32+C32)/2,'Curve_Interface'!$K$8:$K$73,1))-VAL_DATE)/360)&lt;=0,IF(((INDEX('Curve_Interface'!$K$8:$K$73,MATCH((B32+C32)/2,'Curve_Interface'!$K$8:$K$73,1)+1)-VAL_DATE)/360)&lt;=0,0,(1/INDEX('Curve_Interface'!$L$8:$L$73,MATCH((B32+C32)/2,'Curve_Interface'!$K$8:$K$73,1)+1)-1)/((INDEX('Curve_Interface'!$K$8:$K$73,MATCH((B32+C32)/2,'Curve_Interface'!$K$8:$K$73,1)+1)-VAL_DATE)/360)),(1/INDEX('Curve_Interface'!$L$8:$L$73,MATCH((B32+C32)/2,'Curve_Interface'!$K$8:$K$73,1))-1)/((INDEX('Curve_Interface'!$K$8:$K$73,MATCH((B32+C32)/2,'Curve_Interface'!$K$8:$K$73,1))-VAL_DATE)/360))+(IF(((INDEX('Curve_Interface'!$K$8:$K$73,MATCH((B32+C32)/2,'Curve_Interface'!$K$8:$K$73,1)+1)-VAL_DATE)/360)&lt;=0,0,(1/INDEX('Curve_Interface'!$L$8:$L$73,MATCH((B32+C32)/2,'Curve_Interface'!$K$8:$K$73,1)+1)-1)/((INDEX('Curve_Interface'!$K$8:$K$73,MATCH((B32+C32)/2,'Curve_Interface'!$K$8:$K$73,1)+1)-VAL_DATE)/360))-IF(((INDEX('Curve_Interface'!$K$8:$K$73,MATCH((B32+C32)/2,'Curve_Interface'!$K$8:$K$73,1))-VAL_DATE)/360)&lt;=0,IF(((INDEX('Curve_Interface'!$K$8:$K$73,MATCH((B32+C32)/2,'Curve_Interface'!$K$8:$K$73,1)+1)-VAL_DATE)/360)&lt;=0,0,(1/INDEX('Curve_Interface'!$L$8:$L$73,MATCH((B32+C32)/2,'Curve_Interface'!$K$8:$K$73,1)+1)-1)/((INDEX('Curve_Interface'!$K$8:$K$73,MATCH((B32+C32)/2,'Curve_Interface'!$K$8:$K$73,1)+1)-VAL_DATE)/360)),(1/INDEX('Curve_Interface'!$L$8:$L$73,MATCH((B32+C32)/2,'Curve_Interface'!$K$8:$K$73,1))-1)/((INDEX('Curve_Interface'!$K$8:$K$73,MATCH((B32+C32)/2,'Curve_Interface'!$K$8:$K$73,1))-VAL_DATE)/360)))*IF(((INDEX('Curve_Interface'!$K$8:$K$73,MATCH((B32+C32)/2,'Curve_Interface'!$K$8:$K$73,1)+1)-VAL_DATE)/360)-((INDEX('Curve_Interface'!$K$8:$K$73,MATCH((B32+C32)/2,'Curve_Interface'!$K$8:$K$73,1))-VAL_DATE)/360)=0,0,((((B32+C32)/2-VAL_DATE)/360)-((INDEX('Curve_Interface'!$K$8:$K$73,MATCH((B32+C32)/2,'Curve_Interface'!$K$8:$K$73,1))-VAL_DATE)/360))/(((INDEX('Curve_Interface'!$K$8:$K$73,MATCH((B32+C32)/2,'Curve_Interface'!$K$8:$K$73,1)+1)-VAL_DATE)/360)-((INDEX('Curve_Interface'!$K$8:$K$73,MATCH((B32+C32)/2,'Curve_Interface'!$K$8:$K$73,1))-VAL_DATE)/360))))*(((B32+C32)/2-VAL_DATE)/360))),INDEX('Curve_Interface'!$L$8:$L$73,MATCH((B32+C32)/2,'Curve_Interface'!$K$8:$K$73,1))*(INDEX('Curve_Interface'!$L$8:$L$73,MATCH((B32+C32)/2,'Curve_Interface'!$K$8:$K$73,1)+1)/INDEX('Curve_Interface'!$L$8:$L$73,MATCH((B32+C32)/2,'Curve_Interface'!$K$8:$K$73,1)))^(((B32+C32)/2-INDEX('Curve_Interface'!$K$8:$K$73,MATCH((B32+C32)/2,'Curve_Interface'!$K$8:$K$73,1)))/(INDEX('Curve_Interface'!$K$8:$K$73,MATCH((B32+C32)/2,'Curve_Interface'!$K$8:$K$73,1)+1)-INDEX('Curve_Interface'!$K$8:$K$73,MATCH((B32+C32)/2,'Curve_Interface'!$K$8:$K$73,1))))),INDEX('Curve_Interface'!$L$8:$L$73,MATCH((B32+C32)/2,'Curve_Interface'!$K$8:$K$73,1)))</f>
        <v/>
      </c>
      <c r="I32" s="36">
        <f>INDEX(Hazard_Bootstrap!$D$7:$D$12,MIN(COUNTIF(Hazard_Bootstrap!$B$7:$B$12,"&lt;"&amp;C32)+1,6))</f>
        <v/>
      </c>
      <c r="J32" s="36">
        <f>K31</f>
        <v/>
      </c>
      <c r="K32" s="36">
        <f>J32*EXP(-I32*E32)</f>
        <v/>
      </c>
      <c r="L32" s="36">
        <f>J32-K32</f>
        <v/>
      </c>
      <c r="M32" s="36">
        <f>D32*G32*K32</f>
        <v/>
      </c>
      <c r="N32" s="36">
        <f>(D32/2)*H32*L32</f>
        <v/>
      </c>
      <c r="O32" s="36">
        <f>H32*L32</f>
        <v/>
      </c>
    </row>
    <row r="33">
      <c r="A33" s="43" t="n">
        <v>27</v>
      </c>
      <c r="B33" s="18">
        <f>C32</f>
        <v/>
      </c>
      <c r="C33" s="18">
        <f>EDATE('Curve_Interface'!$F$7,3*26)</f>
        <v/>
      </c>
      <c r="D33" s="34">
        <f>(C33-B33)/360</f>
        <v/>
      </c>
      <c r="E33" s="34">
        <f>(C33-B33)/365</f>
        <v/>
      </c>
      <c r="F33" s="34">
        <f>(C33-VAL_DATE)/365</f>
        <v/>
      </c>
      <c r="G33" s="36">
        <f>IFERROR(IF(Curve_Interface!$J$7="Piecewise Linear (Simple)",IF(((C33-VAL_DATE)/360)&lt;=0,1,1/(1+(IF(((INDEX('Curve_Interface'!$K$8:$K$73,MATCH(C33,'Curve_Interface'!$K$8:$K$73,1))-VAL_DATE)/360)&lt;=0,IF(((INDEX('Curve_Interface'!$K$8:$K$73,MATCH(C33,'Curve_Interface'!$K$8:$K$73,1)+1)-VAL_DATE)/360)&lt;=0,0,(1/INDEX('Curve_Interface'!$L$8:$L$73,MATCH(C33,'Curve_Interface'!$K$8:$K$73,1)+1)-1)/((INDEX('Curve_Interface'!$K$8:$K$73,MATCH(C33,'Curve_Interface'!$K$8:$K$73,1)+1)-VAL_DATE)/360)),(1/INDEX('Curve_Interface'!$L$8:$L$73,MATCH(C33,'Curve_Interface'!$K$8:$K$73,1))-1)/((INDEX('Curve_Interface'!$K$8:$K$73,MATCH(C33,'Curve_Interface'!$K$8:$K$73,1))-VAL_DATE)/360))+(IF(((INDEX('Curve_Interface'!$K$8:$K$73,MATCH(C33,'Curve_Interface'!$K$8:$K$73,1)+1)-VAL_DATE)/360)&lt;=0,0,(1/INDEX('Curve_Interface'!$L$8:$L$73,MATCH(C33,'Curve_Interface'!$K$8:$K$73,1)+1)-1)/((INDEX('Curve_Interface'!$K$8:$K$73,MATCH(C33,'Curve_Interface'!$K$8:$K$73,1)+1)-VAL_DATE)/360))-IF(((INDEX('Curve_Interface'!$K$8:$K$73,MATCH(C33,'Curve_Interface'!$K$8:$K$73,1))-VAL_DATE)/360)&lt;=0,IF(((INDEX('Curve_Interface'!$K$8:$K$73,MATCH(C33,'Curve_Interface'!$K$8:$K$73,1)+1)-VAL_DATE)/360)&lt;=0,0,(1/INDEX('Curve_Interface'!$L$8:$L$73,MATCH(C33,'Curve_Interface'!$K$8:$K$73,1)+1)-1)/((INDEX('Curve_Interface'!$K$8:$K$73,MATCH(C33,'Curve_Interface'!$K$8:$K$73,1)+1)-VAL_DATE)/360)),(1/INDEX('Curve_Interface'!$L$8:$L$73,MATCH(C33,'Curve_Interface'!$K$8:$K$73,1))-1)/((INDEX('Curve_Interface'!$K$8:$K$73,MATCH(C33,'Curve_Interface'!$K$8:$K$73,1))-VAL_DATE)/360)))*IF(((INDEX('Curve_Interface'!$K$8:$K$73,MATCH(C33,'Curve_Interface'!$K$8:$K$73,1)+1)-VAL_DATE)/360)-((INDEX('Curve_Interface'!$K$8:$K$73,MATCH(C33,'Curve_Interface'!$K$8:$K$73,1))-VAL_DATE)/360)=0,0,(((C33-VAL_DATE)/360)-((INDEX('Curve_Interface'!$K$8:$K$73,MATCH(C33,'Curve_Interface'!$K$8:$K$73,1))-VAL_DATE)/360))/(((INDEX('Curve_Interface'!$K$8:$K$73,MATCH(C33,'Curve_Interface'!$K$8:$K$73,1)+1)-VAL_DATE)/360)-((INDEX('Curve_Interface'!$K$8:$K$73,MATCH(C33,'Curve_Interface'!$K$8:$K$73,1))-VAL_DATE)/360))))*((C33-VAL_DATE)/360))),INDEX('Curve_Interface'!$L$8:$L$73,MATCH(C33,'Curve_Interface'!$K$8:$K$73,1))*(INDEX('Curve_Interface'!$L$8:$L$73,MATCH(C33,'Curve_Interface'!$K$8:$K$73,1)+1)/INDEX('Curve_Interface'!$L$8:$L$73,MATCH(C33,'Curve_Interface'!$K$8:$K$73,1)))^((C33-INDEX('Curve_Interface'!$K$8:$K$73,MATCH(C33,'Curve_Interface'!$K$8:$K$73,1)))/(INDEX('Curve_Interface'!$K$8:$K$73,MATCH(C33,'Curve_Interface'!$K$8:$K$73,1)+1)-INDEX('Curve_Interface'!$K$8:$K$73,MATCH(C33,'Curve_Interface'!$K$8:$K$73,1))))),INDEX('Curve_Interface'!$L$8:$L$73,MATCH(C33,'Curve_Interface'!$K$8:$K$73,1)))</f>
        <v/>
      </c>
      <c r="H33" s="36">
        <f>IFERROR(IF(Curve_Interface!$J$7="Piecewise Linear (Simple)",IF((((B33+C33)/2-VAL_DATE)/360)&lt;=0,1,1/(1+(IF(((INDEX('Curve_Interface'!$K$8:$K$73,MATCH((B33+C33)/2,'Curve_Interface'!$K$8:$K$73,1))-VAL_DATE)/360)&lt;=0,IF(((INDEX('Curve_Interface'!$K$8:$K$73,MATCH((B33+C33)/2,'Curve_Interface'!$K$8:$K$73,1)+1)-VAL_DATE)/360)&lt;=0,0,(1/INDEX('Curve_Interface'!$L$8:$L$73,MATCH((B33+C33)/2,'Curve_Interface'!$K$8:$K$73,1)+1)-1)/((INDEX('Curve_Interface'!$K$8:$K$73,MATCH((B33+C33)/2,'Curve_Interface'!$K$8:$K$73,1)+1)-VAL_DATE)/360)),(1/INDEX('Curve_Interface'!$L$8:$L$73,MATCH((B33+C33)/2,'Curve_Interface'!$K$8:$K$73,1))-1)/((INDEX('Curve_Interface'!$K$8:$K$73,MATCH((B33+C33)/2,'Curve_Interface'!$K$8:$K$73,1))-VAL_DATE)/360))+(IF(((INDEX('Curve_Interface'!$K$8:$K$73,MATCH((B33+C33)/2,'Curve_Interface'!$K$8:$K$73,1)+1)-VAL_DATE)/360)&lt;=0,0,(1/INDEX('Curve_Interface'!$L$8:$L$73,MATCH((B33+C33)/2,'Curve_Interface'!$K$8:$K$73,1)+1)-1)/((INDEX('Curve_Interface'!$K$8:$K$73,MATCH((B33+C33)/2,'Curve_Interface'!$K$8:$K$73,1)+1)-VAL_DATE)/360))-IF(((INDEX('Curve_Interface'!$K$8:$K$73,MATCH((B33+C33)/2,'Curve_Interface'!$K$8:$K$73,1))-VAL_DATE)/360)&lt;=0,IF(((INDEX('Curve_Interface'!$K$8:$K$73,MATCH((B33+C33)/2,'Curve_Interface'!$K$8:$K$73,1)+1)-VAL_DATE)/360)&lt;=0,0,(1/INDEX('Curve_Interface'!$L$8:$L$73,MATCH((B33+C33)/2,'Curve_Interface'!$K$8:$K$73,1)+1)-1)/((INDEX('Curve_Interface'!$K$8:$K$73,MATCH((B33+C33)/2,'Curve_Interface'!$K$8:$K$73,1)+1)-VAL_DATE)/360)),(1/INDEX('Curve_Interface'!$L$8:$L$73,MATCH((B33+C33)/2,'Curve_Interface'!$K$8:$K$73,1))-1)/((INDEX('Curve_Interface'!$K$8:$K$73,MATCH((B33+C33)/2,'Curve_Interface'!$K$8:$K$73,1))-VAL_DATE)/360)))*IF(((INDEX('Curve_Interface'!$K$8:$K$73,MATCH((B33+C33)/2,'Curve_Interface'!$K$8:$K$73,1)+1)-VAL_DATE)/360)-((INDEX('Curve_Interface'!$K$8:$K$73,MATCH((B33+C33)/2,'Curve_Interface'!$K$8:$K$73,1))-VAL_DATE)/360)=0,0,((((B33+C33)/2-VAL_DATE)/360)-((INDEX('Curve_Interface'!$K$8:$K$73,MATCH((B33+C33)/2,'Curve_Interface'!$K$8:$K$73,1))-VAL_DATE)/360))/(((INDEX('Curve_Interface'!$K$8:$K$73,MATCH((B33+C33)/2,'Curve_Interface'!$K$8:$K$73,1)+1)-VAL_DATE)/360)-((INDEX('Curve_Interface'!$K$8:$K$73,MATCH((B33+C33)/2,'Curve_Interface'!$K$8:$K$73,1))-VAL_DATE)/360))))*(((B33+C33)/2-VAL_DATE)/360))),INDEX('Curve_Interface'!$L$8:$L$73,MATCH((B33+C33)/2,'Curve_Interface'!$K$8:$K$73,1))*(INDEX('Curve_Interface'!$L$8:$L$73,MATCH((B33+C33)/2,'Curve_Interface'!$K$8:$K$73,1)+1)/INDEX('Curve_Interface'!$L$8:$L$73,MATCH((B33+C33)/2,'Curve_Interface'!$K$8:$K$73,1)))^(((B33+C33)/2-INDEX('Curve_Interface'!$K$8:$K$73,MATCH((B33+C33)/2,'Curve_Interface'!$K$8:$K$73,1)))/(INDEX('Curve_Interface'!$K$8:$K$73,MATCH((B33+C33)/2,'Curve_Interface'!$K$8:$K$73,1)+1)-INDEX('Curve_Interface'!$K$8:$K$73,MATCH((B33+C33)/2,'Curve_Interface'!$K$8:$K$73,1))))),INDEX('Curve_Interface'!$L$8:$L$73,MATCH((B33+C33)/2,'Curve_Interface'!$K$8:$K$73,1)))</f>
        <v/>
      </c>
      <c r="I33" s="36">
        <f>INDEX(Hazard_Bootstrap!$D$7:$D$12,MIN(COUNTIF(Hazard_Bootstrap!$B$7:$B$12,"&lt;"&amp;C33)+1,6))</f>
        <v/>
      </c>
      <c r="J33" s="36">
        <f>K32</f>
        <v/>
      </c>
      <c r="K33" s="36">
        <f>J33*EXP(-I33*E33)</f>
        <v/>
      </c>
      <c r="L33" s="36">
        <f>J33-K33</f>
        <v/>
      </c>
      <c r="M33" s="36">
        <f>D33*G33*K33</f>
        <v/>
      </c>
      <c r="N33" s="36">
        <f>(D33/2)*H33*L33</f>
        <v/>
      </c>
      <c r="O33" s="36">
        <f>H33*L33</f>
        <v/>
      </c>
    </row>
    <row r="34">
      <c r="A34" s="43" t="n">
        <v>28</v>
      </c>
      <c r="B34" s="18">
        <f>C33</f>
        <v/>
      </c>
      <c r="C34" s="18">
        <f>EDATE('Curve_Interface'!$F$7,3*27)</f>
        <v/>
      </c>
      <c r="D34" s="34">
        <f>(C34-B34)/360</f>
        <v/>
      </c>
      <c r="E34" s="34">
        <f>(C34-B34)/365</f>
        <v/>
      </c>
      <c r="F34" s="34">
        <f>(C34-VAL_DATE)/365</f>
        <v/>
      </c>
      <c r="G34" s="36">
        <f>IFERROR(IF(Curve_Interface!$J$7="Piecewise Linear (Simple)",IF(((C34-VAL_DATE)/360)&lt;=0,1,1/(1+(IF(((INDEX('Curve_Interface'!$K$8:$K$73,MATCH(C34,'Curve_Interface'!$K$8:$K$73,1))-VAL_DATE)/360)&lt;=0,IF(((INDEX('Curve_Interface'!$K$8:$K$73,MATCH(C34,'Curve_Interface'!$K$8:$K$73,1)+1)-VAL_DATE)/360)&lt;=0,0,(1/INDEX('Curve_Interface'!$L$8:$L$73,MATCH(C34,'Curve_Interface'!$K$8:$K$73,1)+1)-1)/((INDEX('Curve_Interface'!$K$8:$K$73,MATCH(C34,'Curve_Interface'!$K$8:$K$73,1)+1)-VAL_DATE)/360)),(1/INDEX('Curve_Interface'!$L$8:$L$73,MATCH(C34,'Curve_Interface'!$K$8:$K$73,1))-1)/((INDEX('Curve_Interface'!$K$8:$K$73,MATCH(C34,'Curve_Interface'!$K$8:$K$73,1))-VAL_DATE)/360))+(IF(((INDEX('Curve_Interface'!$K$8:$K$73,MATCH(C34,'Curve_Interface'!$K$8:$K$73,1)+1)-VAL_DATE)/360)&lt;=0,0,(1/INDEX('Curve_Interface'!$L$8:$L$73,MATCH(C34,'Curve_Interface'!$K$8:$K$73,1)+1)-1)/((INDEX('Curve_Interface'!$K$8:$K$73,MATCH(C34,'Curve_Interface'!$K$8:$K$73,1)+1)-VAL_DATE)/360))-IF(((INDEX('Curve_Interface'!$K$8:$K$73,MATCH(C34,'Curve_Interface'!$K$8:$K$73,1))-VAL_DATE)/360)&lt;=0,IF(((INDEX('Curve_Interface'!$K$8:$K$73,MATCH(C34,'Curve_Interface'!$K$8:$K$73,1)+1)-VAL_DATE)/360)&lt;=0,0,(1/INDEX('Curve_Interface'!$L$8:$L$73,MATCH(C34,'Curve_Interface'!$K$8:$K$73,1)+1)-1)/((INDEX('Curve_Interface'!$K$8:$K$73,MATCH(C34,'Curve_Interface'!$K$8:$K$73,1)+1)-VAL_DATE)/360)),(1/INDEX('Curve_Interface'!$L$8:$L$73,MATCH(C34,'Curve_Interface'!$K$8:$K$73,1))-1)/((INDEX('Curve_Interface'!$K$8:$K$73,MATCH(C34,'Curve_Interface'!$K$8:$K$73,1))-VAL_DATE)/360)))*IF(((INDEX('Curve_Interface'!$K$8:$K$73,MATCH(C34,'Curve_Interface'!$K$8:$K$73,1)+1)-VAL_DATE)/360)-((INDEX('Curve_Interface'!$K$8:$K$73,MATCH(C34,'Curve_Interface'!$K$8:$K$73,1))-VAL_DATE)/360)=0,0,(((C34-VAL_DATE)/360)-((INDEX('Curve_Interface'!$K$8:$K$73,MATCH(C34,'Curve_Interface'!$K$8:$K$73,1))-VAL_DATE)/360))/(((INDEX('Curve_Interface'!$K$8:$K$73,MATCH(C34,'Curve_Interface'!$K$8:$K$73,1)+1)-VAL_DATE)/360)-((INDEX('Curve_Interface'!$K$8:$K$73,MATCH(C34,'Curve_Interface'!$K$8:$K$73,1))-VAL_DATE)/360))))*((C34-VAL_DATE)/360))),INDEX('Curve_Interface'!$L$8:$L$73,MATCH(C34,'Curve_Interface'!$K$8:$K$73,1))*(INDEX('Curve_Interface'!$L$8:$L$73,MATCH(C34,'Curve_Interface'!$K$8:$K$73,1)+1)/INDEX('Curve_Interface'!$L$8:$L$73,MATCH(C34,'Curve_Interface'!$K$8:$K$73,1)))^((C34-INDEX('Curve_Interface'!$K$8:$K$73,MATCH(C34,'Curve_Interface'!$K$8:$K$73,1)))/(INDEX('Curve_Interface'!$K$8:$K$73,MATCH(C34,'Curve_Interface'!$K$8:$K$73,1)+1)-INDEX('Curve_Interface'!$K$8:$K$73,MATCH(C34,'Curve_Interface'!$K$8:$K$73,1))))),INDEX('Curve_Interface'!$L$8:$L$73,MATCH(C34,'Curve_Interface'!$K$8:$K$73,1)))</f>
        <v/>
      </c>
      <c r="H34" s="36">
        <f>IFERROR(IF(Curve_Interface!$J$7="Piecewise Linear (Simple)",IF((((B34+C34)/2-VAL_DATE)/360)&lt;=0,1,1/(1+(IF(((INDEX('Curve_Interface'!$K$8:$K$73,MATCH((B34+C34)/2,'Curve_Interface'!$K$8:$K$73,1))-VAL_DATE)/360)&lt;=0,IF(((INDEX('Curve_Interface'!$K$8:$K$73,MATCH((B34+C34)/2,'Curve_Interface'!$K$8:$K$73,1)+1)-VAL_DATE)/360)&lt;=0,0,(1/INDEX('Curve_Interface'!$L$8:$L$73,MATCH((B34+C34)/2,'Curve_Interface'!$K$8:$K$73,1)+1)-1)/((INDEX('Curve_Interface'!$K$8:$K$73,MATCH((B34+C34)/2,'Curve_Interface'!$K$8:$K$73,1)+1)-VAL_DATE)/360)),(1/INDEX('Curve_Interface'!$L$8:$L$73,MATCH((B34+C34)/2,'Curve_Interface'!$K$8:$K$73,1))-1)/((INDEX('Curve_Interface'!$K$8:$K$73,MATCH((B34+C34)/2,'Curve_Interface'!$K$8:$K$73,1))-VAL_DATE)/360))+(IF(((INDEX('Curve_Interface'!$K$8:$K$73,MATCH((B34+C34)/2,'Curve_Interface'!$K$8:$K$73,1)+1)-VAL_DATE)/360)&lt;=0,0,(1/INDEX('Curve_Interface'!$L$8:$L$73,MATCH((B34+C34)/2,'Curve_Interface'!$K$8:$K$73,1)+1)-1)/((INDEX('Curve_Interface'!$K$8:$K$73,MATCH((B34+C34)/2,'Curve_Interface'!$K$8:$K$73,1)+1)-VAL_DATE)/360))-IF(((INDEX('Curve_Interface'!$K$8:$K$73,MATCH((B34+C34)/2,'Curve_Interface'!$K$8:$K$73,1))-VAL_DATE)/360)&lt;=0,IF(((INDEX('Curve_Interface'!$K$8:$K$73,MATCH((B34+C34)/2,'Curve_Interface'!$K$8:$K$73,1)+1)-VAL_DATE)/360)&lt;=0,0,(1/INDEX('Curve_Interface'!$L$8:$L$73,MATCH((B34+C34)/2,'Curve_Interface'!$K$8:$K$73,1)+1)-1)/((INDEX('Curve_Interface'!$K$8:$K$73,MATCH((B34+C34)/2,'Curve_Interface'!$K$8:$K$73,1)+1)-VAL_DATE)/360)),(1/INDEX('Curve_Interface'!$L$8:$L$73,MATCH((B34+C34)/2,'Curve_Interface'!$K$8:$K$73,1))-1)/((INDEX('Curve_Interface'!$K$8:$K$73,MATCH((B34+C34)/2,'Curve_Interface'!$K$8:$K$73,1))-VAL_DATE)/360)))*IF(((INDEX('Curve_Interface'!$K$8:$K$73,MATCH((B34+C34)/2,'Curve_Interface'!$K$8:$K$73,1)+1)-VAL_DATE)/360)-((INDEX('Curve_Interface'!$K$8:$K$73,MATCH((B34+C34)/2,'Curve_Interface'!$K$8:$K$73,1))-VAL_DATE)/360)=0,0,((((B34+C34)/2-VAL_DATE)/360)-((INDEX('Curve_Interface'!$K$8:$K$73,MATCH((B34+C34)/2,'Curve_Interface'!$K$8:$K$73,1))-VAL_DATE)/360))/(((INDEX('Curve_Interface'!$K$8:$K$73,MATCH((B34+C34)/2,'Curve_Interface'!$K$8:$K$73,1)+1)-VAL_DATE)/360)-((INDEX('Curve_Interface'!$K$8:$K$73,MATCH((B34+C34)/2,'Curve_Interface'!$K$8:$K$73,1))-VAL_DATE)/360))))*(((B34+C34)/2-VAL_DATE)/360))),INDEX('Curve_Interface'!$L$8:$L$73,MATCH((B34+C34)/2,'Curve_Interface'!$K$8:$K$73,1))*(INDEX('Curve_Interface'!$L$8:$L$73,MATCH((B34+C34)/2,'Curve_Interface'!$K$8:$K$73,1)+1)/INDEX('Curve_Interface'!$L$8:$L$73,MATCH((B34+C34)/2,'Curve_Interface'!$K$8:$K$73,1)))^(((B34+C34)/2-INDEX('Curve_Interface'!$K$8:$K$73,MATCH((B34+C34)/2,'Curve_Interface'!$K$8:$K$73,1)))/(INDEX('Curve_Interface'!$K$8:$K$73,MATCH((B34+C34)/2,'Curve_Interface'!$K$8:$K$73,1)+1)-INDEX('Curve_Interface'!$K$8:$K$73,MATCH((B34+C34)/2,'Curve_Interface'!$K$8:$K$73,1))))),INDEX('Curve_Interface'!$L$8:$L$73,MATCH((B34+C34)/2,'Curve_Interface'!$K$8:$K$73,1)))</f>
        <v/>
      </c>
      <c r="I34" s="36">
        <f>INDEX(Hazard_Bootstrap!$D$7:$D$12,MIN(COUNTIF(Hazard_Bootstrap!$B$7:$B$12,"&lt;"&amp;C34)+1,6))</f>
        <v/>
      </c>
      <c r="J34" s="36">
        <f>K33</f>
        <v/>
      </c>
      <c r="K34" s="36">
        <f>J34*EXP(-I34*E34)</f>
        <v/>
      </c>
      <c r="L34" s="36">
        <f>J34-K34</f>
        <v/>
      </c>
      <c r="M34" s="36">
        <f>D34*G34*K34</f>
        <v/>
      </c>
      <c r="N34" s="36">
        <f>(D34/2)*H34*L34</f>
        <v/>
      </c>
      <c r="O34" s="36">
        <f>H34*L34</f>
        <v/>
      </c>
    </row>
    <row r="35">
      <c r="A35" s="43" t="n">
        <v>29</v>
      </c>
      <c r="B35" s="18">
        <f>C34</f>
        <v/>
      </c>
      <c r="C35" s="18">
        <f>EDATE('Curve_Interface'!$F$7,3*28)</f>
        <v/>
      </c>
      <c r="D35" s="34">
        <f>(C35-B35)/360</f>
        <v/>
      </c>
      <c r="E35" s="34">
        <f>(C35-B35)/365</f>
        <v/>
      </c>
      <c r="F35" s="34">
        <f>(C35-VAL_DATE)/365</f>
        <v/>
      </c>
      <c r="G35" s="36">
        <f>IFERROR(IF(Curve_Interface!$J$7="Piecewise Linear (Simple)",IF(((C35-VAL_DATE)/360)&lt;=0,1,1/(1+(IF(((INDEX('Curve_Interface'!$K$8:$K$73,MATCH(C35,'Curve_Interface'!$K$8:$K$73,1))-VAL_DATE)/360)&lt;=0,IF(((INDEX('Curve_Interface'!$K$8:$K$73,MATCH(C35,'Curve_Interface'!$K$8:$K$73,1)+1)-VAL_DATE)/360)&lt;=0,0,(1/INDEX('Curve_Interface'!$L$8:$L$73,MATCH(C35,'Curve_Interface'!$K$8:$K$73,1)+1)-1)/((INDEX('Curve_Interface'!$K$8:$K$73,MATCH(C35,'Curve_Interface'!$K$8:$K$73,1)+1)-VAL_DATE)/360)),(1/INDEX('Curve_Interface'!$L$8:$L$73,MATCH(C35,'Curve_Interface'!$K$8:$K$73,1))-1)/((INDEX('Curve_Interface'!$K$8:$K$73,MATCH(C35,'Curve_Interface'!$K$8:$K$73,1))-VAL_DATE)/360))+(IF(((INDEX('Curve_Interface'!$K$8:$K$73,MATCH(C35,'Curve_Interface'!$K$8:$K$73,1)+1)-VAL_DATE)/360)&lt;=0,0,(1/INDEX('Curve_Interface'!$L$8:$L$73,MATCH(C35,'Curve_Interface'!$K$8:$K$73,1)+1)-1)/((INDEX('Curve_Interface'!$K$8:$K$73,MATCH(C35,'Curve_Interface'!$K$8:$K$73,1)+1)-VAL_DATE)/360))-IF(((INDEX('Curve_Interface'!$K$8:$K$73,MATCH(C35,'Curve_Interface'!$K$8:$K$73,1))-VAL_DATE)/360)&lt;=0,IF(((INDEX('Curve_Interface'!$K$8:$K$73,MATCH(C35,'Curve_Interface'!$K$8:$K$73,1)+1)-VAL_DATE)/360)&lt;=0,0,(1/INDEX('Curve_Interface'!$L$8:$L$73,MATCH(C35,'Curve_Interface'!$K$8:$K$73,1)+1)-1)/((INDEX('Curve_Interface'!$K$8:$K$73,MATCH(C35,'Curve_Interface'!$K$8:$K$73,1)+1)-VAL_DATE)/360)),(1/INDEX('Curve_Interface'!$L$8:$L$73,MATCH(C35,'Curve_Interface'!$K$8:$K$73,1))-1)/((INDEX('Curve_Interface'!$K$8:$K$73,MATCH(C35,'Curve_Interface'!$K$8:$K$73,1))-VAL_DATE)/360)))*IF(((INDEX('Curve_Interface'!$K$8:$K$73,MATCH(C35,'Curve_Interface'!$K$8:$K$73,1)+1)-VAL_DATE)/360)-((INDEX('Curve_Interface'!$K$8:$K$73,MATCH(C35,'Curve_Interface'!$K$8:$K$73,1))-VAL_DATE)/360)=0,0,(((C35-VAL_DATE)/360)-((INDEX('Curve_Interface'!$K$8:$K$73,MATCH(C35,'Curve_Interface'!$K$8:$K$73,1))-VAL_DATE)/360))/(((INDEX('Curve_Interface'!$K$8:$K$73,MATCH(C35,'Curve_Interface'!$K$8:$K$73,1)+1)-VAL_DATE)/360)-((INDEX('Curve_Interface'!$K$8:$K$73,MATCH(C35,'Curve_Interface'!$K$8:$K$73,1))-VAL_DATE)/360))))*((C35-VAL_DATE)/360))),INDEX('Curve_Interface'!$L$8:$L$73,MATCH(C35,'Curve_Interface'!$K$8:$K$73,1))*(INDEX('Curve_Interface'!$L$8:$L$73,MATCH(C35,'Curve_Interface'!$K$8:$K$73,1)+1)/INDEX('Curve_Interface'!$L$8:$L$73,MATCH(C35,'Curve_Interface'!$K$8:$K$73,1)))^((C35-INDEX('Curve_Interface'!$K$8:$K$73,MATCH(C35,'Curve_Interface'!$K$8:$K$73,1)))/(INDEX('Curve_Interface'!$K$8:$K$73,MATCH(C35,'Curve_Interface'!$K$8:$K$73,1)+1)-INDEX('Curve_Interface'!$K$8:$K$73,MATCH(C35,'Curve_Interface'!$K$8:$K$73,1))))),INDEX('Curve_Interface'!$L$8:$L$73,MATCH(C35,'Curve_Interface'!$K$8:$K$73,1)))</f>
        <v/>
      </c>
      <c r="H35" s="36">
        <f>IFERROR(IF(Curve_Interface!$J$7="Piecewise Linear (Simple)",IF((((B35+C35)/2-VAL_DATE)/360)&lt;=0,1,1/(1+(IF(((INDEX('Curve_Interface'!$K$8:$K$73,MATCH((B35+C35)/2,'Curve_Interface'!$K$8:$K$73,1))-VAL_DATE)/360)&lt;=0,IF(((INDEX('Curve_Interface'!$K$8:$K$73,MATCH((B35+C35)/2,'Curve_Interface'!$K$8:$K$73,1)+1)-VAL_DATE)/360)&lt;=0,0,(1/INDEX('Curve_Interface'!$L$8:$L$73,MATCH((B35+C35)/2,'Curve_Interface'!$K$8:$K$73,1)+1)-1)/((INDEX('Curve_Interface'!$K$8:$K$73,MATCH((B35+C35)/2,'Curve_Interface'!$K$8:$K$73,1)+1)-VAL_DATE)/360)),(1/INDEX('Curve_Interface'!$L$8:$L$73,MATCH((B35+C35)/2,'Curve_Interface'!$K$8:$K$73,1))-1)/((INDEX('Curve_Interface'!$K$8:$K$73,MATCH((B35+C35)/2,'Curve_Interface'!$K$8:$K$73,1))-VAL_DATE)/360))+(IF(((INDEX('Curve_Interface'!$K$8:$K$73,MATCH((B35+C35)/2,'Curve_Interface'!$K$8:$K$73,1)+1)-VAL_DATE)/360)&lt;=0,0,(1/INDEX('Curve_Interface'!$L$8:$L$73,MATCH((B35+C35)/2,'Curve_Interface'!$K$8:$K$73,1)+1)-1)/((INDEX('Curve_Interface'!$K$8:$K$73,MATCH((B35+C35)/2,'Curve_Interface'!$K$8:$K$73,1)+1)-VAL_DATE)/360))-IF(((INDEX('Curve_Interface'!$K$8:$K$73,MATCH((B35+C35)/2,'Curve_Interface'!$K$8:$K$73,1))-VAL_DATE)/360)&lt;=0,IF(((INDEX('Curve_Interface'!$K$8:$K$73,MATCH((B35+C35)/2,'Curve_Interface'!$K$8:$K$73,1)+1)-VAL_DATE)/360)&lt;=0,0,(1/INDEX('Curve_Interface'!$L$8:$L$73,MATCH((B35+C35)/2,'Curve_Interface'!$K$8:$K$73,1)+1)-1)/((INDEX('Curve_Interface'!$K$8:$K$73,MATCH((B35+C35)/2,'Curve_Interface'!$K$8:$K$73,1)+1)-VAL_DATE)/360)),(1/INDEX('Curve_Interface'!$L$8:$L$73,MATCH((B35+C35)/2,'Curve_Interface'!$K$8:$K$73,1))-1)/((INDEX('Curve_Interface'!$K$8:$K$73,MATCH((B35+C35)/2,'Curve_Interface'!$K$8:$K$73,1))-VAL_DATE)/360)))*IF(((INDEX('Curve_Interface'!$K$8:$K$73,MATCH((B35+C35)/2,'Curve_Interface'!$K$8:$K$73,1)+1)-VAL_DATE)/360)-((INDEX('Curve_Interface'!$K$8:$K$73,MATCH((B35+C35)/2,'Curve_Interface'!$K$8:$K$73,1))-VAL_DATE)/360)=0,0,((((B35+C35)/2-VAL_DATE)/360)-((INDEX('Curve_Interface'!$K$8:$K$73,MATCH((B35+C35)/2,'Curve_Interface'!$K$8:$K$73,1))-VAL_DATE)/360))/(((INDEX('Curve_Interface'!$K$8:$K$73,MATCH((B35+C35)/2,'Curve_Interface'!$K$8:$K$73,1)+1)-VAL_DATE)/360)-((INDEX('Curve_Interface'!$K$8:$K$73,MATCH((B35+C35)/2,'Curve_Interface'!$K$8:$K$73,1))-VAL_DATE)/360))))*(((B35+C35)/2-VAL_DATE)/360))),INDEX('Curve_Interface'!$L$8:$L$73,MATCH((B35+C35)/2,'Curve_Interface'!$K$8:$K$73,1))*(INDEX('Curve_Interface'!$L$8:$L$73,MATCH((B35+C35)/2,'Curve_Interface'!$K$8:$K$73,1)+1)/INDEX('Curve_Interface'!$L$8:$L$73,MATCH((B35+C35)/2,'Curve_Interface'!$K$8:$K$73,1)))^(((B35+C35)/2-INDEX('Curve_Interface'!$K$8:$K$73,MATCH((B35+C35)/2,'Curve_Interface'!$K$8:$K$73,1)))/(INDEX('Curve_Interface'!$K$8:$K$73,MATCH((B35+C35)/2,'Curve_Interface'!$K$8:$K$73,1)+1)-INDEX('Curve_Interface'!$K$8:$K$73,MATCH((B35+C35)/2,'Curve_Interface'!$K$8:$K$73,1))))),INDEX('Curve_Interface'!$L$8:$L$73,MATCH((B35+C35)/2,'Curve_Interface'!$K$8:$K$73,1)))</f>
        <v/>
      </c>
      <c r="I35" s="36">
        <f>INDEX(Hazard_Bootstrap!$D$7:$D$12,MIN(COUNTIF(Hazard_Bootstrap!$B$7:$B$12,"&lt;"&amp;C35)+1,6))</f>
        <v/>
      </c>
      <c r="J35" s="36">
        <f>K34</f>
        <v/>
      </c>
      <c r="K35" s="36">
        <f>J35*EXP(-I35*E35)</f>
        <v/>
      </c>
      <c r="L35" s="36">
        <f>J35-K35</f>
        <v/>
      </c>
      <c r="M35" s="36">
        <f>D35*G35*K35</f>
        <v/>
      </c>
      <c r="N35" s="36">
        <f>(D35/2)*H35*L35</f>
        <v/>
      </c>
      <c r="O35" s="36">
        <f>H35*L35</f>
        <v/>
      </c>
    </row>
    <row r="36">
      <c r="A36" s="43" t="n">
        <v>30</v>
      </c>
      <c r="B36" s="18">
        <f>C35</f>
        <v/>
      </c>
      <c r="C36" s="18">
        <f>EDATE('Curve_Interface'!$F$7,3*29)</f>
        <v/>
      </c>
      <c r="D36" s="34">
        <f>(C36-B36)/360</f>
        <v/>
      </c>
      <c r="E36" s="34">
        <f>(C36-B36)/365</f>
        <v/>
      </c>
      <c r="F36" s="34">
        <f>(C36-VAL_DATE)/365</f>
        <v/>
      </c>
      <c r="G36" s="36">
        <f>IFERROR(IF(Curve_Interface!$J$7="Piecewise Linear (Simple)",IF(((C36-VAL_DATE)/360)&lt;=0,1,1/(1+(IF(((INDEX('Curve_Interface'!$K$8:$K$73,MATCH(C36,'Curve_Interface'!$K$8:$K$73,1))-VAL_DATE)/360)&lt;=0,IF(((INDEX('Curve_Interface'!$K$8:$K$73,MATCH(C36,'Curve_Interface'!$K$8:$K$73,1)+1)-VAL_DATE)/360)&lt;=0,0,(1/INDEX('Curve_Interface'!$L$8:$L$73,MATCH(C36,'Curve_Interface'!$K$8:$K$73,1)+1)-1)/((INDEX('Curve_Interface'!$K$8:$K$73,MATCH(C36,'Curve_Interface'!$K$8:$K$73,1)+1)-VAL_DATE)/360)),(1/INDEX('Curve_Interface'!$L$8:$L$73,MATCH(C36,'Curve_Interface'!$K$8:$K$73,1))-1)/((INDEX('Curve_Interface'!$K$8:$K$73,MATCH(C36,'Curve_Interface'!$K$8:$K$73,1))-VAL_DATE)/360))+(IF(((INDEX('Curve_Interface'!$K$8:$K$73,MATCH(C36,'Curve_Interface'!$K$8:$K$73,1)+1)-VAL_DATE)/360)&lt;=0,0,(1/INDEX('Curve_Interface'!$L$8:$L$73,MATCH(C36,'Curve_Interface'!$K$8:$K$73,1)+1)-1)/((INDEX('Curve_Interface'!$K$8:$K$73,MATCH(C36,'Curve_Interface'!$K$8:$K$73,1)+1)-VAL_DATE)/360))-IF(((INDEX('Curve_Interface'!$K$8:$K$73,MATCH(C36,'Curve_Interface'!$K$8:$K$73,1))-VAL_DATE)/360)&lt;=0,IF(((INDEX('Curve_Interface'!$K$8:$K$73,MATCH(C36,'Curve_Interface'!$K$8:$K$73,1)+1)-VAL_DATE)/360)&lt;=0,0,(1/INDEX('Curve_Interface'!$L$8:$L$73,MATCH(C36,'Curve_Interface'!$K$8:$K$73,1)+1)-1)/((INDEX('Curve_Interface'!$K$8:$K$73,MATCH(C36,'Curve_Interface'!$K$8:$K$73,1)+1)-VAL_DATE)/360)),(1/INDEX('Curve_Interface'!$L$8:$L$73,MATCH(C36,'Curve_Interface'!$K$8:$K$73,1))-1)/((INDEX('Curve_Interface'!$K$8:$K$73,MATCH(C36,'Curve_Interface'!$K$8:$K$73,1))-VAL_DATE)/360)))*IF(((INDEX('Curve_Interface'!$K$8:$K$73,MATCH(C36,'Curve_Interface'!$K$8:$K$73,1)+1)-VAL_DATE)/360)-((INDEX('Curve_Interface'!$K$8:$K$73,MATCH(C36,'Curve_Interface'!$K$8:$K$73,1))-VAL_DATE)/360)=0,0,(((C36-VAL_DATE)/360)-((INDEX('Curve_Interface'!$K$8:$K$73,MATCH(C36,'Curve_Interface'!$K$8:$K$73,1))-VAL_DATE)/360))/(((INDEX('Curve_Interface'!$K$8:$K$73,MATCH(C36,'Curve_Interface'!$K$8:$K$73,1)+1)-VAL_DATE)/360)-((INDEX('Curve_Interface'!$K$8:$K$73,MATCH(C36,'Curve_Interface'!$K$8:$K$73,1))-VAL_DATE)/360))))*((C36-VAL_DATE)/360))),INDEX('Curve_Interface'!$L$8:$L$73,MATCH(C36,'Curve_Interface'!$K$8:$K$73,1))*(INDEX('Curve_Interface'!$L$8:$L$73,MATCH(C36,'Curve_Interface'!$K$8:$K$73,1)+1)/INDEX('Curve_Interface'!$L$8:$L$73,MATCH(C36,'Curve_Interface'!$K$8:$K$73,1)))^((C36-INDEX('Curve_Interface'!$K$8:$K$73,MATCH(C36,'Curve_Interface'!$K$8:$K$73,1)))/(INDEX('Curve_Interface'!$K$8:$K$73,MATCH(C36,'Curve_Interface'!$K$8:$K$73,1)+1)-INDEX('Curve_Interface'!$K$8:$K$73,MATCH(C36,'Curve_Interface'!$K$8:$K$73,1))))),INDEX('Curve_Interface'!$L$8:$L$73,MATCH(C36,'Curve_Interface'!$K$8:$K$73,1)))</f>
        <v/>
      </c>
      <c r="H36" s="36">
        <f>IFERROR(IF(Curve_Interface!$J$7="Piecewise Linear (Simple)",IF((((B36+C36)/2-VAL_DATE)/360)&lt;=0,1,1/(1+(IF(((INDEX('Curve_Interface'!$K$8:$K$73,MATCH((B36+C36)/2,'Curve_Interface'!$K$8:$K$73,1))-VAL_DATE)/360)&lt;=0,IF(((INDEX('Curve_Interface'!$K$8:$K$73,MATCH((B36+C36)/2,'Curve_Interface'!$K$8:$K$73,1)+1)-VAL_DATE)/360)&lt;=0,0,(1/INDEX('Curve_Interface'!$L$8:$L$73,MATCH((B36+C36)/2,'Curve_Interface'!$K$8:$K$73,1)+1)-1)/((INDEX('Curve_Interface'!$K$8:$K$73,MATCH((B36+C36)/2,'Curve_Interface'!$K$8:$K$73,1)+1)-VAL_DATE)/360)),(1/INDEX('Curve_Interface'!$L$8:$L$73,MATCH((B36+C36)/2,'Curve_Interface'!$K$8:$K$73,1))-1)/((INDEX('Curve_Interface'!$K$8:$K$73,MATCH((B36+C36)/2,'Curve_Interface'!$K$8:$K$73,1))-VAL_DATE)/360))+(IF(((INDEX('Curve_Interface'!$K$8:$K$73,MATCH((B36+C36)/2,'Curve_Interface'!$K$8:$K$73,1)+1)-VAL_DATE)/360)&lt;=0,0,(1/INDEX('Curve_Interface'!$L$8:$L$73,MATCH((B36+C36)/2,'Curve_Interface'!$K$8:$K$73,1)+1)-1)/((INDEX('Curve_Interface'!$K$8:$K$73,MATCH((B36+C36)/2,'Curve_Interface'!$K$8:$K$73,1)+1)-VAL_DATE)/360))-IF(((INDEX('Curve_Interface'!$K$8:$K$73,MATCH((B36+C36)/2,'Curve_Interface'!$K$8:$K$73,1))-VAL_DATE)/360)&lt;=0,IF(((INDEX('Curve_Interface'!$K$8:$K$73,MATCH((B36+C36)/2,'Curve_Interface'!$K$8:$K$73,1)+1)-VAL_DATE)/360)&lt;=0,0,(1/INDEX('Curve_Interface'!$L$8:$L$73,MATCH((B36+C36)/2,'Curve_Interface'!$K$8:$K$73,1)+1)-1)/((INDEX('Curve_Interface'!$K$8:$K$73,MATCH((B36+C36)/2,'Curve_Interface'!$K$8:$K$73,1)+1)-VAL_DATE)/360)),(1/INDEX('Curve_Interface'!$L$8:$L$73,MATCH((B36+C36)/2,'Curve_Interface'!$K$8:$K$73,1))-1)/((INDEX('Curve_Interface'!$K$8:$K$73,MATCH((B36+C36)/2,'Curve_Interface'!$K$8:$K$73,1))-VAL_DATE)/360)))*IF(((INDEX('Curve_Interface'!$K$8:$K$73,MATCH((B36+C36)/2,'Curve_Interface'!$K$8:$K$73,1)+1)-VAL_DATE)/360)-((INDEX('Curve_Interface'!$K$8:$K$73,MATCH((B36+C36)/2,'Curve_Interface'!$K$8:$K$73,1))-VAL_DATE)/360)=0,0,((((B36+C36)/2-VAL_DATE)/360)-((INDEX('Curve_Interface'!$K$8:$K$73,MATCH((B36+C36)/2,'Curve_Interface'!$K$8:$K$73,1))-VAL_DATE)/360))/(((INDEX('Curve_Interface'!$K$8:$K$73,MATCH((B36+C36)/2,'Curve_Interface'!$K$8:$K$73,1)+1)-VAL_DATE)/360)-((INDEX('Curve_Interface'!$K$8:$K$73,MATCH((B36+C36)/2,'Curve_Interface'!$K$8:$K$73,1))-VAL_DATE)/360))))*(((B36+C36)/2-VAL_DATE)/360))),INDEX('Curve_Interface'!$L$8:$L$73,MATCH((B36+C36)/2,'Curve_Interface'!$K$8:$K$73,1))*(INDEX('Curve_Interface'!$L$8:$L$73,MATCH((B36+C36)/2,'Curve_Interface'!$K$8:$K$73,1)+1)/INDEX('Curve_Interface'!$L$8:$L$73,MATCH((B36+C36)/2,'Curve_Interface'!$K$8:$K$73,1)))^(((B36+C36)/2-INDEX('Curve_Interface'!$K$8:$K$73,MATCH((B36+C36)/2,'Curve_Interface'!$K$8:$K$73,1)))/(INDEX('Curve_Interface'!$K$8:$K$73,MATCH((B36+C36)/2,'Curve_Interface'!$K$8:$K$73,1)+1)-INDEX('Curve_Interface'!$K$8:$K$73,MATCH((B36+C36)/2,'Curve_Interface'!$K$8:$K$73,1))))),INDEX('Curve_Interface'!$L$8:$L$73,MATCH((B36+C36)/2,'Curve_Interface'!$K$8:$K$73,1)))</f>
        <v/>
      </c>
      <c r="I36" s="36">
        <f>INDEX(Hazard_Bootstrap!$D$7:$D$12,MIN(COUNTIF(Hazard_Bootstrap!$B$7:$B$12,"&lt;"&amp;C36)+1,6))</f>
        <v/>
      </c>
      <c r="J36" s="36">
        <f>K35</f>
        <v/>
      </c>
      <c r="K36" s="36">
        <f>J36*EXP(-I36*E36)</f>
        <v/>
      </c>
      <c r="L36" s="36">
        <f>J36-K36</f>
        <v/>
      </c>
      <c r="M36" s="36">
        <f>D36*G36*K36</f>
        <v/>
      </c>
      <c r="N36" s="36">
        <f>(D36/2)*H36*L36</f>
        <v/>
      </c>
      <c r="O36" s="36">
        <f>H36*L36</f>
        <v/>
      </c>
    </row>
    <row r="37">
      <c r="A37" s="43" t="n">
        <v>31</v>
      </c>
      <c r="B37" s="18">
        <f>C36</f>
        <v/>
      </c>
      <c r="C37" s="18">
        <f>EDATE('Curve_Interface'!$F$7,3*30)</f>
        <v/>
      </c>
      <c r="D37" s="34">
        <f>(C37-B37)/360</f>
        <v/>
      </c>
      <c r="E37" s="34">
        <f>(C37-B37)/365</f>
        <v/>
      </c>
      <c r="F37" s="34">
        <f>(C37-VAL_DATE)/365</f>
        <v/>
      </c>
      <c r="G37" s="36">
        <f>IFERROR(IF(Curve_Interface!$J$7="Piecewise Linear (Simple)",IF(((C37-VAL_DATE)/360)&lt;=0,1,1/(1+(IF(((INDEX('Curve_Interface'!$K$8:$K$73,MATCH(C37,'Curve_Interface'!$K$8:$K$73,1))-VAL_DATE)/360)&lt;=0,IF(((INDEX('Curve_Interface'!$K$8:$K$73,MATCH(C37,'Curve_Interface'!$K$8:$K$73,1)+1)-VAL_DATE)/360)&lt;=0,0,(1/INDEX('Curve_Interface'!$L$8:$L$73,MATCH(C37,'Curve_Interface'!$K$8:$K$73,1)+1)-1)/((INDEX('Curve_Interface'!$K$8:$K$73,MATCH(C37,'Curve_Interface'!$K$8:$K$73,1)+1)-VAL_DATE)/360)),(1/INDEX('Curve_Interface'!$L$8:$L$73,MATCH(C37,'Curve_Interface'!$K$8:$K$73,1))-1)/((INDEX('Curve_Interface'!$K$8:$K$73,MATCH(C37,'Curve_Interface'!$K$8:$K$73,1))-VAL_DATE)/360))+(IF(((INDEX('Curve_Interface'!$K$8:$K$73,MATCH(C37,'Curve_Interface'!$K$8:$K$73,1)+1)-VAL_DATE)/360)&lt;=0,0,(1/INDEX('Curve_Interface'!$L$8:$L$73,MATCH(C37,'Curve_Interface'!$K$8:$K$73,1)+1)-1)/((INDEX('Curve_Interface'!$K$8:$K$73,MATCH(C37,'Curve_Interface'!$K$8:$K$73,1)+1)-VAL_DATE)/360))-IF(((INDEX('Curve_Interface'!$K$8:$K$73,MATCH(C37,'Curve_Interface'!$K$8:$K$73,1))-VAL_DATE)/360)&lt;=0,IF(((INDEX('Curve_Interface'!$K$8:$K$73,MATCH(C37,'Curve_Interface'!$K$8:$K$73,1)+1)-VAL_DATE)/360)&lt;=0,0,(1/INDEX('Curve_Interface'!$L$8:$L$73,MATCH(C37,'Curve_Interface'!$K$8:$K$73,1)+1)-1)/((INDEX('Curve_Interface'!$K$8:$K$73,MATCH(C37,'Curve_Interface'!$K$8:$K$73,1)+1)-VAL_DATE)/360)),(1/INDEX('Curve_Interface'!$L$8:$L$73,MATCH(C37,'Curve_Interface'!$K$8:$K$73,1))-1)/((INDEX('Curve_Interface'!$K$8:$K$73,MATCH(C37,'Curve_Interface'!$K$8:$K$73,1))-VAL_DATE)/360)))*IF(((INDEX('Curve_Interface'!$K$8:$K$73,MATCH(C37,'Curve_Interface'!$K$8:$K$73,1)+1)-VAL_DATE)/360)-((INDEX('Curve_Interface'!$K$8:$K$73,MATCH(C37,'Curve_Interface'!$K$8:$K$73,1))-VAL_DATE)/360)=0,0,(((C37-VAL_DATE)/360)-((INDEX('Curve_Interface'!$K$8:$K$73,MATCH(C37,'Curve_Interface'!$K$8:$K$73,1))-VAL_DATE)/360))/(((INDEX('Curve_Interface'!$K$8:$K$73,MATCH(C37,'Curve_Interface'!$K$8:$K$73,1)+1)-VAL_DATE)/360)-((INDEX('Curve_Interface'!$K$8:$K$73,MATCH(C37,'Curve_Interface'!$K$8:$K$73,1))-VAL_DATE)/360))))*((C37-VAL_DATE)/360))),INDEX('Curve_Interface'!$L$8:$L$73,MATCH(C37,'Curve_Interface'!$K$8:$K$73,1))*(INDEX('Curve_Interface'!$L$8:$L$73,MATCH(C37,'Curve_Interface'!$K$8:$K$73,1)+1)/INDEX('Curve_Interface'!$L$8:$L$73,MATCH(C37,'Curve_Interface'!$K$8:$K$73,1)))^((C37-INDEX('Curve_Interface'!$K$8:$K$73,MATCH(C37,'Curve_Interface'!$K$8:$K$73,1)))/(INDEX('Curve_Interface'!$K$8:$K$73,MATCH(C37,'Curve_Interface'!$K$8:$K$73,1)+1)-INDEX('Curve_Interface'!$K$8:$K$73,MATCH(C37,'Curve_Interface'!$K$8:$K$73,1))))),INDEX('Curve_Interface'!$L$8:$L$73,MATCH(C37,'Curve_Interface'!$K$8:$K$73,1)))</f>
        <v/>
      </c>
      <c r="H37" s="36">
        <f>IFERROR(IF(Curve_Interface!$J$7="Piecewise Linear (Simple)",IF((((B37+C37)/2-VAL_DATE)/360)&lt;=0,1,1/(1+(IF(((INDEX('Curve_Interface'!$K$8:$K$73,MATCH((B37+C37)/2,'Curve_Interface'!$K$8:$K$73,1))-VAL_DATE)/360)&lt;=0,IF(((INDEX('Curve_Interface'!$K$8:$K$73,MATCH((B37+C37)/2,'Curve_Interface'!$K$8:$K$73,1)+1)-VAL_DATE)/360)&lt;=0,0,(1/INDEX('Curve_Interface'!$L$8:$L$73,MATCH((B37+C37)/2,'Curve_Interface'!$K$8:$K$73,1)+1)-1)/((INDEX('Curve_Interface'!$K$8:$K$73,MATCH((B37+C37)/2,'Curve_Interface'!$K$8:$K$73,1)+1)-VAL_DATE)/360)),(1/INDEX('Curve_Interface'!$L$8:$L$73,MATCH((B37+C37)/2,'Curve_Interface'!$K$8:$K$73,1))-1)/((INDEX('Curve_Interface'!$K$8:$K$73,MATCH((B37+C37)/2,'Curve_Interface'!$K$8:$K$73,1))-VAL_DATE)/360))+(IF(((INDEX('Curve_Interface'!$K$8:$K$73,MATCH((B37+C37)/2,'Curve_Interface'!$K$8:$K$73,1)+1)-VAL_DATE)/360)&lt;=0,0,(1/INDEX('Curve_Interface'!$L$8:$L$73,MATCH((B37+C37)/2,'Curve_Interface'!$K$8:$K$73,1)+1)-1)/((INDEX('Curve_Interface'!$K$8:$K$73,MATCH((B37+C37)/2,'Curve_Interface'!$K$8:$K$73,1)+1)-VAL_DATE)/360))-IF(((INDEX('Curve_Interface'!$K$8:$K$73,MATCH((B37+C37)/2,'Curve_Interface'!$K$8:$K$73,1))-VAL_DATE)/360)&lt;=0,IF(((INDEX('Curve_Interface'!$K$8:$K$73,MATCH((B37+C37)/2,'Curve_Interface'!$K$8:$K$73,1)+1)-VAL_DATE)/360)&lt;=0,0,(1/INDEX('Curve_Interface'!$L$8:$L$73,MATCH((B37+C37)/2,'Curve_Interface'!$K$8:$K$73,1)+1)-1)/((INDEX('Curve_Interface'!$K$8:$K$73,MATCH((B37+C37)/2,'Curve_Interface'!$K$8:$K$73,1)+1)-VAL_DATE)/360)),(1/INDEX('Curve_Interface'!$L$8:$L$73,MATCH((B37+C37)/2,'Curve_Interface'!$K$8:$K$73,1))-1)/((INDEX('Curve_Interface'!$K$8:$K$73,MATCH((B37+C37)/2,'Curve_Interface'!$K$8:$K$73,1))-VAL_DATE)/360)))*IF(((INDEX('Curve_Interface'!$K$8:$K$73,MATCH((B37+C37)/2,'Curve_Interface'!$K$8:$K$73,1)+1)-VAL_DATE)/360)-((INDEX('Curve_Interface'!$K$8:$K$73,MATCH((B37+C37)/2,'Curve_Interface'!$K$8:$K$73,1))-VAL_DATE)/360)=0,0,((((B37+C37)/2-VAL_DATE)/360)-((INDEX('Curve_Interface'!$K$8:$K$73,MATCH((B37+C37)/2,'Curve_Interface'!$K$8:$K$73,1))-VAL_DATE)/360))/(((INDEX('Curve_Interface'!$K$8:$K$73,MATCH((B37+C37)/2,'Curve_Interface'!$K$8:$K$73,1)+1)-VAL_DATE)/360)-((INDEX('Curve_Interface'!$K$8:$K$73,MATCH((B37+C37)/2,'Curve_Interface'!$K$8:$K$73,1))-VAL_DATE)/360))))*(((B37+C37)/2-VAL_DATE)/360))),INDEX('Curve_Interface'!$L$8:$L$73,MATCH((B37+C37)/2,'Curve_Interface'!$K$8:$K$73,1))*(INDEX('Curve_Interface'!$L$8:$L$73,MATCH((B37+C37)/2,'Curve_Interface'!$K$8:$K$73,1)+1)/INDEX('Curve_Interface'!$L$8:$L$73,MATCH((B37+C37)/2,'Curve_Interface'!$K$8:$K$73,1)))^(((B37+C37)/2-INDEX('Curve_Interface'!$K$8:$K$73,MATCH((B37+C37)/2,'Curve_Interface'!$K$8:$K$73,1)))/(INDEX('Curve_Interface'!$K$8:$K$73,MATCH((B37+C37)/2,'Curve_Interface'!$K$8:$K$73,1)+1)-INDEX('Curve_Interface'!$K$8:$K$73,MATCH((B37+C37)/2,'Curve_Interface'!$K$8:$K$73,1))))),INDEX('Curve_Interface'!$L$8:$L$73,MATCH((B37+C37)/2,'Curve_Interface'!$K$8:$K$73,1)))</f>
        <v/>
      </c>
      <c r="I37" s="36">
        <f>INDEX(Hazard_Bootstrap!$D$7:$D$12,MIN(COUNTIF(Hazard_Bootstrap!$B$7:$B$12,"&lt;"&amp;C37)+1,6))</f>
        <v/>
      </c>
      <c r="J37" s="36">
        <f>K36</f>
        <v/>
      </c>
      <c r="K37" s="36">
        <f>J37*EXP(-I37*E37)</f>
        <v/>
      </c>
      <c r="L37" s="36">
        <f>J37-K37</f>
        <v/>
      </c>
      <c r="M37" s="36">
        <f>D37*G37*K37</f>
        <v/>
      </c>
      <c r="N37" s="36">
        <f>(D37/2)*H37*L37</f>
        <v/>
      </c>
      <c r="O37" s="36">
        <f>H37*L37</f>
        <v/>
      </c>
    </row>
    <row r="38">
      <c r="A38" s="43" t="n">
        <v>32</v>
      </c>
      <c r="B38" s="18">
        <f>C37</f>
        <v/>
      </c>
      <c r="C38" s="18">
        <f>EDATE('Curve_Interface'!$F$7,3*31)</f>
        <v/>
      </c>
      <c r="D38" s="34">
        <f>(C38-B38)/360</f>
        <v/>
      </c>
      <c r="E38" s="34">
        <f>(C38-B38)/365</f>
        <v/>
      </c>
      <c r="F38" s="34">
        <f>(C38-VAL_DATE)/365</f>
        <v/>
      </c>
      <c r="G38" s="36">
        <f>IFERROR(IF(Curve_Interface!$J$7="Piecewise Linear (Simple)",IF(((C38-VAL_DATE)/360)&lt;=0,1,1/(1+(IF(((INDEX('Curve_Interface'!$K$8:$K$73,MATCH(C38,'Curve_Interface'!$K$8:$K$73,1))-VAL_DATE)/360)&lt;=0,IF(((INDEX('Curve_Interface'!$K$8:$K$73,MATCH(C38,'Curve_Interface'!$K$8:$K$73,1)+1)-VAL_DATE)/360)&lt;=0,0,(1/INDEX('Curve_Interface'!$L$8:$L$73,MATCH(C38,'Curve_Interface'!$K$8:$K$73,1)+1)-1)/((INDEX('Curve_Interface'!$K$8:$K$73,MATCH(C38,'Curve_Interface'!$K$8:$K$73,1)+1)-VAL_DATE)/360)),(1/INDEX('Curve_Interface'!$L$8:$L$73,MATCH(C38,'Curve_Interface'!$K$8:$K$73,1))-1)/((INDEX('Curve_Interface'!$K$8:$K$73,MATCH(C38,'Curve_Interface'!$K$8:$K$73,1))-VAL_DATE)/360))+(IF(((INDEX('Curve_Interface'!$K$8:$K$73,MATCH(C38,'Curve_Interface'!$K$8:$K$73,1)+1)-VAL_DATE)/360)&lt;=0,0,(1/INDEX('Curve_Interface'!$L$8:$L$73,MATCH(C38,'Curve_Interface'!$K$8:$K$73,1)+1)-1)/((INDEX('Curve_Interface'!$K$8:$K$73,MATCH(C38,'Curve_Interface'!$K$8:$K$73,1)+1)-VAL_DATE)/360))-IF(((INDEX('Curve_Interface'!$K$8:$K$73,MATCH(C38,'Curve_Interface'!$K$8:$K$73,1))-VAL_DATE)/360)&lt;=0,IF(((INDEX('Curve_Interface'!$K$8:$K$73,MATCH(C38,'Curve_Interface'!$K$8:$K$73,1)+1)-VAL_DATE)/360)&lt;=0,0,(1/INDEX('Curve_Interface'!$L$8:$L$73,MATCH(C38,'Curve_Interface'!$K$8:$K$73,1)+1)-1)/((INDEX('Curve_Interface'!$K$8:$K$73,MATCH(C38,'Curve_Interface'!$K$8:$K$73,1)+1)-VAL_DATE)/360)),(1/INDEX('Curve_Interface'!$L$8:$L$73,MATCH(C38,'Curve_Interface'!$K$8:$K$73,1))-1)/((INDEX('Curve_Interface'!$K$8:$K$73,MATCH(C38,'Curve_Interface'!$K$8:$K$73,1))-VAL_DATE)/360)))*IF(((INDEX('Curve_Interface'!$K$8:$K$73,MATCH(C38,'Curve_Interface'!$K$8:$K$73,1)+1)-VAL_DATE)/360)-((INDEX('Curve_Interface'!$K$8:$K$73,MATCH(C38,'Curve_Interface'!$K$8:$K$73,1))-VAL_DATE)/360)=0,0,(((C38-VAL_DATE)/360)-((INDEX('Curve_Interface'!$K$8:$K$73,MATCH(C38,'Curve_Interface'!$K$8:$K$73,1))-VAL_DATE)/360))/(((INDEX('Curve_Interface'!$K$8:$K$73,MATCH(C38,'Curve_Interface'!$K$8:$K$73,1)+1)-VAL_DATE)/360)-((INDEX('Curve_Interface'!$K$8:$K$73,MATCH(C38,'Curve_Interface'!$K$8:$K$73,1))-VAL_DATE)/360))))*((C38-VAL_DATE)/360))),INDEX('Curve_Interface'!$L$8:$L$73,MATCH(C38,'Curve_Interface'!$K$8:$K$73,1))*(INDEX('Curve_Interface'!$L$8:$L$73,MATCH(C38,'Curve_Interface'!$K$8:$K$73,1)+1)/INDEX('Curve_Interface'!$L$8:$L$73,MATCH(C38,'Curve_Interface'!$K$8:$K$73,1)))^((C38-INDEX('Curve_Interface'!$K$8:$K$73,MATCH(C38,'Curve_Interface'!$K$8:$K$73,1)))/(INDEX('Curve_Interface'!$K$8:$K$73,MATCH(C38,'Curve_Interface'!$K$8:$K$73,1)+1)-INDEX('Curve_Interface'!$K$8:$K$73,MATCH(C38,'Curve_Interface'!$K$8:$K$73,1))))),INDEX('Curve_Interface'!$L$8:$L$73,MATCH(C38,'Curve_Interface'!$K$8:$K$73,1)))</f>
        <v/>
      </c>
      <c r="H38" s="36">
        <f>IFERROR(IF(Curve_Interface!$J$7="Piecewise Linear (Simple)",IF((((B38+C38)/2-VAL_DATE)/360)&lt;=0,1,1/(1+(IF(((INDEX('Curve_Interface'!$K$8:$K$73,MATCH((B38+C38)/2,'Curve_Interface'!$K$8:$K$73,1))-VAL_DATE)/360)&lt;=0,IF(((INDEX('Curve_Interface'!$K$8:$K$73,MATCH((B38+C38)/2,'Curve_Interface'!$K$8:$K$73,1)+1)-VAL_DATE)/360)&lt;=0,0,(1/INDEX('Curve_Interface'!$L$8:$L$73,MATCH((B38+C38)/2,'Curve_Interface'!$K$8:$K$73,1)+1)-1)/((INDEX('Curve_Interface'!$K$8:$K$73,MATCH((B38+C38)/2,'Curve_Interface'!$K$8:$K$73,1)+1)-VAL_DATE)/360)),(1/INDEX('Curve_Interface'!$L$8:$L$73,MATCH((B38+C38)/2,'Curve_Interface'!$K$8:$K$73,1))-1)/((INDEX('Curve_Interface'!$K$8:$K$73,MATCH((B38+C38)/2,'Curve_Interface'!$K$8:$K$73,1))-VAL_DATE)/360))+(IF(((INDEX('Curve_Interface'!$K$8:$K$73,MATCH((B38+C38)/2,'Curve_Interface'!$K$8:$K$73,1)+1)-VAL_DATE)/360)&lt;=0,0,(1/INDEX('Curve_Interface'!$L$8:$L$73,MATCH((B38+C38)/2,'Curve_Interface'!$K$8:$K$73,1)+1)-1)/((INDEX('Curve_Interface'!$K$8:$K$73,MATCH((B38+C38)/2,'Curve_Interface'!$K$8:$K$73,1)+1)-VAL_DATE)/360))-IF(((INDEX('Curve_Interface'!$K$8:$K$73,MATCH((B38+C38)/2,'Curve_Interface'!$K$8:$K$73,1))-VAL_DATE)/360)&lt;=0,IF(((INDEX('Curve_Interface'!$K$8:$K$73,MATCH((B38+C38)/2,'Curve_Interface'!$K$8:$K$73,1)+1)-VAL_DATE)/360)&lt;=0,0,(1/INDEX('Curve_Interface'!$L$8:$L$73,MATCH((B38+C38)/2,'Curve_Interface'!$K$8:$K$73,1)+1)-1)/((INDEX('Curve_Interface'!$K$8:$K$73,MATCH((B38+C38)/2,'Curve_Interface'!$K$8:$K$73,1)+1)-VAL_DATE)/360)),(1/INDEX('Curve_Interface'!$L$8:$L$73,MATCH((B38+C38)/2,'Curve_Interface'!$K$8:$K$73,1))-1)/((INDEX('Curve_Interface'!$K$8:$K$73,MATCH((B38+C38)/2,'Curve_Interface'!$K$8:$K$73,1))-VAL_DATE)/360)))*IF(((INDEX('Curve_Interface'!$K$8:$K$73,MATCH((B38+C38)/2,'Curve_Interface'!$K$8:$K$73,1)+1)-VAL_DATE)/360)-((INDEX('Curve_Interface'!$K$8:$K$73,MATCH((B38+C38)/2,'Curve_Interface'!$K$8:$K$73,1))-VAL_DATE)/360)=0,0,((((B38+C38)/2-VAL_DATE)/360)-((INDEX('Curve_Interface'!$K$8:$K$73,MATCH((B38+C38)/2,'Curve_Interface'!$K$8:$K$73,1))-VAL_DATE)/360))/(((INDEX('Curve_Interface'!$K$8:$K$73,MATCH((B38+C38)/2,'Curve_Interface'!$K$8:$K$73,1)+1)-VAL_DATE)/360)-((INDEX('Curve_Interface'!$K$8:$K$73,MATCH((B38+C38)/2,'Curve_Interface'!$K$8:$K$73,1))-VAL_DATE)/360))))*(((B38+C38)/2-VAL_DATE)/360))),INDEX('Curve_Interface'!$L$8:$L$73,MATCH((B38+C38)/2,'Curve_Interface'!$K$8:$K$73,1))*(INDEX('Curve_Interface'!$L$8:$L$73,MATCH((B38+C38)/2,'Curve_Interface'!$K$8:$K$73,1)+1)/INDEX('Curve_Interface'!$L$8:$L$73,MATCH((B38+C38)/2,'Curve_Interface'!$K$8:$K$73,1)))^(((B38+C38)/2-INDEX('Curve_Interface'!$K$8:$K$73,MATCH((B38+C38)/2,'Curve_Interface'!$K$8:$K$73,1)))/(INDEX('Curve_Interface'!$K$8:$K$73,MATCH((B38+C38)/2,'Curve_Interface'!$K$8:$K$73,1)+1)-INDEX('Curve_Interface'!$K$8:$K$73,MATCH((B38+C38)/2,'Curve_Interface'!$K$8:$K$73,1))))),INDEX('Curve_Interface'!$L$8:$L$73,MATCH((B38+C38)/2,'Curve_Interface'!$K$8:$K$73,1)))</f>
        <v/>
      </c>
      <c r="I38" s="36">
        <f>INDEX(Hazard_Bootstrap!$D$7:$D$12,MIN(COUNTIF(Hazard_Bootstrap!$B$7:$B$12,"&lt;"&amp;C38)+1,6))</f>
        <v/>
      </c>
      <c r="J38" s="36">
        <f>K37</f>
        <v/>
      </c>
      <c r="K38" s="36">
        <f>J38*EXP(-I38*E38)</f>
        <v/>
      </c>
      <c r="L38" s="36">
        <f>J38-K38</f>
        <v/>
      </c>
      <c r="M38" s="36">
        <f>D38*G38*K38</f>
        <v/>
      </c>
      <c r="N38" s="36">
        <f>(D38/2)*H38*L38</f>
        <v/>
      </c>
      <c r="O38" s="36">
        <f>H38*L38</f>
        <v/>
      </c>
    </row>
    <row r="39">
      <c r="A39" s="43" t="n">
        <v>33</v>
      </c>
      <c r="B39" s="18">
        <f>C38</f>
        <v/>
      </c>
      <c r="C39" s="18">
        <f>EDATE('Curve_Interface'!$F$7,3*32)</f>
        <v/>
      </c>
      <c r="D39" s="34">
        <f>(C39-B39)/360</f>
        <v/>
      </c>
      <c r="E39" s="34">
        <f>(C39-B39)/365</f>
        <v/>
      </c>
      <c r="F39" s="34">
        <f>(C39-VAL_DATE)/365</f>
        <v/>
      </c>
      <c r="G39" s="36">
        <f>IFERROR(IF(Curve_Interface!$J$7="Piecewise Linear (Simple)",IF(((C39-VAL_DATE)/360)&lt;=0,1,1/(1+(IF(((INDEX('Curve_Interface'!$K$8:$K$73,MATCH(C39,'Curve_Interface'!$K$8:$K$73,1))-VAL_DATE)/360)&lt;=0,IF(((INDEX('Curve_Interface'!$K$8:$K$73,MATCH(C39,'Curve_Interface'!$K$8:$K$73,1)+1)-VAL_DATE)/360)&lt;=0,0,(1/INDEX('Curve_Interface'!$L$8:$L$73,MATCH(C39,'Curve_Interface'!$K$8:$K$73,1)+1)-1)/((INDEX('Curve_Interface'!$K$8:$K$73,MATCH(C39,'Curve_Interface'!$K$8:$K$73,1)+1)-VAL_DATE)/360)),(1/INDEX('Curve_Interface'!$L$8:$L$73,MATCH(C39,'Curve_Interface'!$K$8:$K$73,1))-1)/((INDEX('Curve_Interface'!$K$8:$K$73,MATCH(C39,'Curve_Interface'!$K$8:$K$73,1))-VAL_DATE)/360))+(IF(((INDEX('Curve_Interface'!$K$8:$K$73,MATCH(C39,'Curve_Interface'!$K$8:$K$73,1)+1)-VAL_DATE)/360)&lt;=0,0,(1/INDEX('Curve_Interface'!$L$8:$L$73,MATCH(C39,'Curve_Interface'!$K$8:$K$73,1)+1)-1)/((INDEX('Curve_Interface'!$K$8:$K$73,MATCH(C39,'Curve_Interface'!$K$8:$K$73,1)+1)-VAL_DATE)/360))-IF(((INDEX('Curve_Interface'!$K$8:$K$73,MATCH(C39,'Curve_Interface'!$K$8:$K$73,1))-VAL_DATE)/360)&lt;=0,IF(((INDEX('Curve_Interface'!$K$8:$K$73,MATCH(C39,'Curve_Interface'!$K$8:$K$73,1)+1)-VAL_DATE)/360)&lt;=0,0,(1/INDEX('Curve_Interface'!$L$8:$L$73,MATCH(C39,'Curve_Interface'!$K$8:$K$73,1)+1)-1)/((INDEX('Curve_Interface'!$K$8:$K$73,MATCH(C39,'Curve_Interface'!$K$8:$K$73,1)+1)-VAL_DATE)/360)),(1/INDEX('Curve_Interface'!$L$8:$L$73,MATCH(C39,'Curve_Interface'!$K$8:$K$73,1))-1)/((INDEX('Curve_Interface'!$K$8:$K$73,MATCH(C39,'Curve_Interface'!$K$8:$K$73,1))-VAL_DATE)/360)))*IF(((INDEX('Curve_Interface'!$K$8:$K$73,MATCH(C39,'Curve_Interface'!$K$8:$K$73,1)+1)-VAL_DATE)/360)-((INDEX('Curve_Interface'!$K$8:$K$73,MATCH(C39,'Curve_Interface'!$K$8:$K$73,1))-VAL_DATE)/360)=0,0,(((C39-VAL_DATE)/360)-((INDEX('Curve_Interface'!$K$8:$K$73,MATCH(C39,'Curve_Interface'!$K$8:$K$73,1))-VAL_DATE)/360))/(((INDEX('Curve_Interface'!$K$8:$K$73,MATCH(C39,'Curve_Interface'!$K$8:$K$73,1)+1)-VAL_DATE)/360)-((INDEX('Curve_Interface'!$K$8:$K$73,MATCH(C39,'Curve_Interface'!$K$8:$K$73,1))-VAL_DATE)/360))))*((C39-VAL_DATE)/360))),INDEX('Curve_Interface'!$L$8:$L$73,MATCH(C39,'Curve_Interface'!$K$8:$K$73,1))*(INDEX('Curve_Interface'!$L$8:$L$73,MATCH(C39,'Curve_Interface'!$K$8:$K$73,1)+1)/INDEX('Curve_Interface'!$L$8:$L$73,MATCH(C39,'Curve_Interface'!$K$8:$K$73,1)))^((C39-INDEX('Curve_Interface'!$K$8:$K$73,MATCH(C39,'Curve_Interface'!$K$8:$K$73,1)))/(INDEX('Curve_Interface'!$K$8:$K$73,MATCH(C39,'Curve_Interface'!$K$8:$K$73,1)+1)-INDEX('Curve_Interface'!$K$8:$K$73,MATCH(C39,'Curve_Interface'!$K$8:$K$73,1))))),INDEX('Curve_Interface'!$L$8:$L$73,MATCH(C39,'Curve_Interface'!$K$8:$K$73,1)))</f>
        <v/>
      </c>
      <c r="H39" s="36">
        <f>IFERROR(IF(Curve_Interface!$J$7="Piecewise Linear (Simple)",IF((((B39+C39)/2-VAL_DATE)/360)&lt;=0,1,1/(1+(IF(((INDEX('Curve_Interface'!$K$8:$K$73,MATCH((B39+C39)/2,'Curve_Interface'!$K$8:$K$73,1))-VAL_DATE)/360)&lt;=0,IF(((INDEX('Curve_Interface'!$K$8:$K$73,MATCH((B39+C39)/2,'Curve_Interface'!$K$8:$K$73,1)+1)-VAL_DATE)/360)&lt;=0,0,(1/INDEX('Curve_Interface'!$L$8:$L$73,MATCH((B39+C39)/2,'Curve_Interface'!$K$8:$K$73,1)+1)-1)/((INDEX('Curve_Interface'!$K$8:$K$73,MATCH((B39+C39)/2,'Curve_Interface'!$K$8:$K$73,1)+1)-VAL_DATE)/360)),(1/INDEX('Curve_Interface'!$L$8:$L$73,MATCH((B39+C39)/2,'Curve_Interface'!$K$8:$K$73,1))-1)/((INDEX('Curve_Interface'!$K$8:$K$73,MATCH((B39+C39)/2,'Curve_Interface'!$K$8:$K$73,1))-VAL_DATE)/360))+(IF(((INDEX('Curve_Interface'!$K$8:$K$73,MATCH((B39+C39)/2,'Curve_Interface'!$K$8:$K$73,1)+1)-VAL_DATE)/360)&lt;=0,0,(1/INDEX('Curve_Interface'!$L$8:$L$73,MATCH((B39+C39)/2,'Curve_Interface'!$K$8:$K$73,1)+1)-1)/((INDEX('Curve_Interface'!$K$8:$K$73,MATCH((B39+C39)/2,'Curve_Interface'!$K$8:$K$73,1)+1)-VAL_DATE)/360))-IF(((INDEX('Curve_Interface'!$K$8:$K$73,MATCH((B39+C39)/2,'Curve_Interface'!$K$8:$K$73,1))-VAL_DATE)/360)&lt;=0,IF(((INDEX('Curve_Interface'!$K$8:$K$73,MATCH((B39+C39)/2,'Curve_Interface'!$K$8:$K$73,1)+1)-VAL_DATE)/360)&lt;=0,0,(1/INDEX('Curve_Interface'!$L$8:$L$73,MATCH((B39+C39)/2,'Curve_Interface'!$K$8:$K$73,1)+1)-1)/((INDEX('Curve_Interface'!$K$8:$K$73,MATCH((B39+C39)/2,'Curve_Interface'!$K$8:$K$73,1)+1)-VAL_DATE)/360)),(1/INDEX('Curve_Interface'!$L$8:$L$73,MATCH((B39+C39)/2,'Curve_Interface'!$K$8:$K$73,1))-1)/((INDEX('Curve_Interface'!$K$8:$K$73,MATCH((B39+C39)/2,'Curve_Interface'!$K$8:$K$73,1))-VAL_DATE)/360)))*IF(((INDEX('Curve_Interface'!$K$8:$K$73,MATCH((B39+C39)/2,'Curve_Interface'!$K$8:$K$73,1)+1)-VAL_DATE)/360)-((INDEX('Curve_Interface'!$K$8:$K$73,MATCH((B39+C39)/2,'Curve_Interface'!$K$8:$K$73,1))-VAL_DATE)/360)=0,0,((((B39+C39)/2-VAL_DATE)/360)-((INDEX('Curve_Interface'!$K$8:$K$73,MATCH((B39+C39)/2,'Curve_Interface'!$K$8:$K$73,1))-VAL_DATE)/360))/(((INDEX('Curve_Interface'!$K$8:$K$73,MATCH((B39+C39)/2,'Curve_Interface'!$K$8:$K$73,1)+1)-VAL_DATE)/360)-((INDEX('Curve_Interface'!$K$8:$K$73,MATCH((B39+C39)/2,'Curve_Interface'!$K$8:$K$73,1))-VAL_DATE)/360))))*(((B39+C39)/2-VAL_DATE)/360))),INDEX('Curve_Interface'!$L$8:$L$73,MATCH((B39+C39)/2,'Curve_Interface'!$K$8:$K$73,1))*(INDEX('Curve_Interface'!$L$8:$L$73,MATCH((B39+C39)/2,'Curve_Interface'!$K$8:$K$73,1)+1)/INDEX('Curve_Interface'!$L$8:$L$73,MATCH((B39+C39)/2,'Curve_Interface'!$K$8:$K$73,1)))^(((B39+C39)/2-INDEX('Curve_Interface'!$K$8:$K$73,MATCH((B39+C39)/2,'Curve_Interface'!$K$8:$K$73,1)))/(INDEX('Curve_Interface'!$K$8:$K$73,MATCH((B39+C39)/2,'Curve_Interface'!$K$8:$K$73,1)+1)-INDEX('Curve_Interface'!$K$8:$K$73,MATCH((B39+C39)/2,'Curve_Interface'!$K$8:$K$73,1))))),INDEX('Curve_Interface'!$L$8:$L$73,MATCH((B39+C39)/2,'Curve_Interface'!$K$8:$K$73,1)))</f>
        <v/>
      </c>
      <c r="I39" s="36">
        <f>INDEX(Hazard_Bootstrap!$D$7:$D$12,MIN(COUNTIF(Hazard_Bootstrap!$B$7:$B$12,"&lt;"&amp;C39)+1,6))</f>
        <v/>
      </c>
      <c r="J39" s="36">
        <f>K38</f>
        <v/>
      </c>
      <c r="K39" s="36">
        <f>J39*EXP(-I39*E39)</f>
        <v/>
      </c>
      <c r="L39" s="36">
        <f>J39-K39</f>
        <v/>
      </c>
      <c r="M39" s="36">
        <f>D39*G39*K39</f>
        <v/>
      </c>
      <c r="N39" s="36">
        <f>(D39/2)*H39*L39</f>
        <v/>
      </c>
      <c r="O39" s="36">
        <f>H39*L39</f>
        <v/>
      </c>
    </row>
    <row r="40">
      <c r="A40" s="43" t="n">
        <v>34</v>
      </c>
      <c r="B40" s="18">
        <f>C39</f>
        <v/>
      </c>
      <c r="C40" s="18">
        <f>EDATE('Curve_Interface'!$F$7,3*33)</f>
        <v/>
      </c>
      <c r="D40" s="34">
        <f>(C40-B40)/360</f>
        <v/>
      </c>
      <c r="E40" s="34">
        <f>(C40-B40)/365</f>
        <v/>
      </c>
      <c r="F40" s="34">
        <f>(C40-VAL_DATE)/365</f>
        <v/>
      </c>
      <c r="G40" s="36">
        <f>IFERROR(IF(Curve_Interface!$J$7="Piecewise Linear (Simple)",IF(((C40-VAL_DATE)/360)&lt;=0,1,1/(1+(IF(((INDEX('Curve_Interface'!$K$8:$K$73,MATCH(C40,'Curve_Interface'!$K$8:$K$73,1))-VAL_DATE)/360)&lt;=0,IF(((INDEX('Curve_Interface'!$K$8:$K$73,MATCH(C40,'Curve_Interface'!$K$8:$K$73,1)+1)-VAL_DATE)/360)&lt;=0,0,(1/INDEX('Curve_Interface'!$L$8:$L$73,MATCH(C40,'Curve_Interface'!$K$8:$K$73,1)+1)-1)/((INDEX('Curve_Interface'!$K$8:$K$73,MATCH(C40,'Curve_Interface'!$K$8:$K$73,1)+1)-VAL_DATE)/360)),(1/INDEX('Curve_Interface'!$L$8:$L$73,MATCH(C40,'Curve_Interface'!$K$8:$K$73,1))-1)/((INDEX('Curve_Interface'!$K$8:$K$73,MATCH(C40,'Curve_Interface'!$K$8:$K$73,1))-VAL_DATE)/360))+(IF(((INDEX('Curve_Interface'!$K$8:$K$73,MATCH(C40,'Curve_Interface'!$K$8:$K$73,1)+1)-VAL_DATE)/360)&lt;=0,0,(1/INDEX('Curve_Interface'!$L$8:$L$73,MATCH(C40,'Curve_Interface'!$K$8:$K$73,1)+1)-1)/((INDEX('Curve_Interface'!$K$8:$K$73,MATCH(C40,'Curve_Interface'!$K$8:$K$73,1)+1)-VAL_DATE)/360))-IF(((INDEX('Curve_Interface'!$K$8:$K$73,MATCH(C40,'Curve_Interface'!$K$8:$K$73,1))-VAL_DATE)/360)&lt;=0,IF(((INDEX('Curve_Interface'!$K$8:$K$73,MATCH(C40,'Curve_Interface'!$K$8:$K$73,1)+1)-VAL_DATE)/360)&lt;=0,0,(1/INDEX('Curve_Interface'!$L$8:$L$73,MATCH(C40,'Curve_Interface'!$K$8:$K$73,1)+1)-1)/((INDEX('Curve_Interface'!$K$8:$K$73,MATCH(C40,'Curve_Interface'!$K$8:$K$73,1)+1)-VAL_DATE)/360)),(1/INDEX('Curve_Interface'!$L$8:$L$73,MATCH(C40,'Curve_Interface'!$K$8:$K$73,1))-1)/((INDEX('Curve_Interface'!$K$8:$K$73,MATCH(C40,'Curve_Interface'!$K$8:$K$73,1))-VAL_DATE)/360)))*IF(((INDEX('Curve_Interface'!$K$8:$K$73,MATCH(C40,'Curve_Interface'!$K$8:$K$73,1)+1)-VAL_DATE)/360)-((INDEX('Curve_Interface'!$K$8:$K$73,MATCH(C40,'Curve_Interface'!$K$8:$K$73,1))-VAL_DATE)/360)=0,0,(((C40-VAL_DATE)/360)-((INDEX('Curve_Interface'!$K$8:$K$73,MATCH(C40,'Curve_Interface'!$K$8:$K$73,1))-VAL_DATE)/360))/(((INDEX('Curve_Interface'!$K$8:$K$73,MATCH(C40,'Curve_Interface'!$K$8:$K$73,1)+1)-VAL_DATE)/360)-((INDEX('Curve_Interface'!$K$8:$K$73,MATCH(C40,'Curve_Interface'!$K$8:$K$73,1))-VAL_DATE)/360))))*((C40-VAL_DATE)/360))),INDEX('Curve_Interface'!$L$8:$L$73,MATCH(C40,'Curve_Interface'!$K$8:$K$73,1))*(INDEX('Curve_Interface'!$L$8:$L$73,MATCH(C40,'Curve_Interface'!$K$8:$K$73,1)+1)/INDEX('Curve_Interface'!$L$8:$L$73,MATCH(C40,'Curve_Interface'!$K$8:$K$73,1)))^((C40-INDEX('Curve_Interface'!$K$8:$K$73,MATCH(C40,'Curve_Interface'!$K$8:$K$73,1)))/(INDEX('Curve_Interface'!$K$8:$K$73,MATCH(C40,'Curve_Interface'!$K$8:$K$73,1)+1)-INDEX('Curve_Interface'!$K$8:$K$73,MATCH(C40,'Curve_Interface'!$K$8:$K$73,1))))),INDEX('Curve_Interface'!$L$8:$L$73,MATCH(C40,'Curve_Interface'!$K$8:$K$73,1)))</f>
        <v/>
      </c>
      <c r="H40" s="36">
        <f>IFERROR(IF(Curve_Interface!$J$7="Piecewise Linear (Simple)",IF((((B40+C40)/2-VAL_DATE)/360)&lt;=0,1,1/(1+(IF(((INDEX('Curve_Interface'!$K$8:$K$73,MATCH((B40+C40)/2,'Curve_Interface'!$K$8:$K$73,1))-VAL_DATE)/360)&lt;=0,IF(((INDEX('Curve_Interface'!$K$8:$K$73,MATCH((B40+C40)/2,'Curve_Interface'!$K$8:$K$73,1)+1)-VAL_DATE)/360)&lt;=0,0,(1/INDEX('Curve_Interface'!$L$8:$L$73,MATCH((B40+C40)/2,'Curve_Interface'!$K$8:$K$73,1)+1)-1)/((INDEX('Curve_Interface'!$K$8:$K$73,MATCH((B40+C40)/2,'Curve_Interface'!$K$8:$K$73,1)+1)-VAL_DATE)/360)),(1/INDEX('Curve_Interface'!$L$8:$L$73,MATCH((B40+C40)/2,'Curve_Interface'!$K$8:$K$73,1))-1)/((INDEX('Curve_Interface'!$K$8:$K$73,MATCH((B40+C40)/2,'Curve_Interface'!$K$8:$K$73,1))-VAL_DATE)/360))+(IF(((INDEX('Curve_Interface'!$K$8:$K$73,MATCH((B40+C40)/2,'Curve_Interface'!$K$8:$K$73,1)+1)-VAL_DATE)/360)&lt;=0,0,(1/INDEX('Curve_Interface'!$L$8:$L$73,MATCH((B40+C40)/2,'Curve_Interface'!$K$8:$K$73,1)+1)-1)/((INDEX('Curve_Interface'!$K$8:$K$73,MATCH((B40+C40)/2,'Curve_Interface'!$K$8:$K$73,1)+1)-VAL_DATE)/360))-IF(((INDEX('Curve_Interface'!$K$8:$K$73,MATCH((B40+C40)/2,'Curve_Interface'!$K$8:$K$73,1))-VAL_DATE)/360)&lt;=0,IF(((INDEX('Curve_Interface'!$K$8:$K$73,MATCH((B40+C40)/2,'Curve_Interface'!$K$8:$K$73,1)+1)-VAL_DATE)/360)&lt;=0,0,(1/INDEX('Curve_Interface'!$L$8:$L$73,MATCH((B40+C40)/2,'Curve_Interface'!$K$8:$K$73,1)+1)-1)/((INDEX('Curve_Interface'!$K$8:$K$73,MATCH((B40+C40)/2,'Curve_Interface'!$K$8:$K$73,1)+1)-VAL_DATE)/360)),(1/INDEX('Curve_Interface'!$L$8:$L$73,MATCH((B40+C40)/2,'Curve_Interface'!$K$8:$K$73,1))-1)/((INDEX('Curve_Interface'!$K$8:$K$73,MATCH((B40+C40)/2,'Curve_Interface'!$K$8:$K$73,1))-VAL_DATE)/360)))*IF(((INDEX('Curve_Interface'!$K$8:$K$73,MATCH((B40+C40)/2,'Curve_Interface'!$K$8:$K$73,1)+1)-VAL_DATE)/360)-((INDEX('Curve_Interface'!$K$8:$K$73,MATCH((B40+C40)/2,'Curve_Interface'!$K$8:$K$73,1))-VAL_DATE)/360)=0,0,((((B40+C40)/2-VAL_DATE)/360)-((INDEX('Curve_Interface'!$K$8:$K$73,MATCH((B40+C40)/2,'Curve_Interface'!$K$8:$K$73,1))-VAL_DATE)/360))/(((INDEX('Curve_Interface'!$K$8:$K$73,MATCH((B40+C40)/2,'Curve_Interface'!$K$8:$K$73,1)+1)-VAL_DATE)/360)-((INDEX('Curve_Interface'!$K$8:$K$73,MATCH((B40+C40)/2,'Curve_Interface'!$K$8:$K$73,1))-VAL_DATE)/360))))*(((B40+C40)/2-VAL_DATE)/360))),INDEX('Curve_Interface'!$L$8:$L$73,MATCH((B40+C40)/2,'Curve_Interface'!$K$8:$K$73,1))*(INDEX('Curve_Interface'!$L$8:$L$73,MATCH((B40+C40)/2,'Curve_Interface'!$K$8:$K$73,1)+1)/INDEX('Curve_Interface'!$L$8:$L$73,MATCH((B40+C40)/2,'Curve_Interface'!$K$8:$K$73,1)))^(((B40+C40)/2-INDEX('Curve_Interface'!$K$8:$K$73,MATCH((B40+C40)/2,'Curve_Interface'!$K$8:$K$73,1)))/(INDEX('Curve_Interface'!$K$8:$K$73,MATCH((B40+C40)/2,'Curve_Interface'!$K$8:$K$73,1)+1)-INDEX('Curve_Interface'!$K$8:$K$73,MATCH((B40+C40)/2,'Curve_Interface'!$K$8:$K$73,1))))),INDEX('Curve_Interface'!$L$8:$L$73,MATCH((B40+C40)/2,'Curve_Interface'!$K$8:$K$73,1)))</f>
        <v/>
      </c>
      <c r="I40" s="36">
        <f>INDEX(Hazard_Bootstrap!$D$7:$D$12,MIN(COUNTIF(Hazard_Bootstrap!$B$7:$B$12,"&lt;"&amp;C40)+1,6))</f>
        <v/>
      </c>
      <c r="J40" s="36">
        <f>K39</f>
        <v/>
      </c>
      <c r="K40" s="36">
        <f>J40*EXP(-I40*E40)</f>
        <v/>
      </c>
      <c r="L40" s="36">
        <f>J40-K40</f>
        <v/>
      </c>
      <c r="M40" s="36">
        <f>D40*G40*K40</f>
        <v/>
      </c>
      <c r="N40" s="36">
        <f>(D40/2)*H40*L40</f>
        <v/>
      </c>
      <c r="O40" s="36">
        <f>H40*L40</f>
        <v/>
      </c>
    </row>
    <row r="41">
      <c r="A41" s="43" t="n">
        <v>35</v>
      </c>
      <c r="B41" s="18">
        <f>C40</f>
        <v/>
      </c>
      <c r="C41" s="18">
        <f>EDATE('Curve_Interface'!$F$7,3*34)</f>
        <v/>
      </c>
      <c r="D41" s="34">
        <f>(C41-B41)/360</f>
        <v/>
      </c>
      <c r="E41" s="34">
        <f>(C41-B41)/365</f>
        <v/>
      </c>
      <c r="F41" s="34">
        <f>(C41-VAL_DATE)/365</f>
        <v/>
      </c>
      <c r="G41" s="36">
        <f>IFERROR(IF(Curve_Interface!$J$7="Piecewise Linear (Simple)",IF(((C41-VAL_DATE)/360)&lt;=0,1,1/(1+(IF(((INDEX('Curve_Interface'!$K$8:$K$73,MATCH(C41,'Curve_Interface'!$K$8:$K$73,1))-VAL_DATE)/360)&lt;=0,IF(((INDEX('Curve_Interface'!$K$8:$K$73,MATCH(C41,'Curve_Interface'!$K$8:$K$73,1)+1)-VAL_DATE)/360)&lt;=0,0,(1/INDEX('Curve_Interface'!$L$8:$L$73,MATCH(C41,'Curve_Interface'!$K$8:$K$73,1)+1)-1)/((INDEX('Curve_Interface'!$K$8:$K$73,MATCH(C41,'Curve_Interface'!$K$8:$K$73,1)+1)-VAL_DATE)/360)),(1/INDEX('Curve_Interface'!$L$8:$L$73,MATCH(C41,'Curve_Interface'!$K$8:$K$73,1))-1)/((INDEX('Curve_Interface'!$K$8:$K$73,MATCH(C41,'Curve_Interface'!$K$8:$K$73,1))-VAL_DATE)/360))+(IF(((INDEX('Curve_Interface'!$K$8:$K$73,MATCH(C41,'Curve_Interface'!$K$8:$K$73,1)+1)-VAL_DATE)/360)&lt;=0,0,(1/INDEX('Curve_Interface'!$L$8:$L$73,MATCH(C41,'Curve_Interface'!$K$8:$K$73,1)+1)-1)/((INDEX('Curve_Interface'!$K$8:$K$73,MATCH(C41,'Curve_Interface'!$K$8:$K$73,1)+1)-VAL_DATE)/360))-IF(((INDEX('Curve_Interface'!$K$8:$K$73,MATCH(C41,'Curve_Interface'!$K$8:$K$73,1))-VAL_DATE)/360)&lt;=0,IF(((INDEX('Curve_Interface'!$K$8:$K$73,MATCH(C41,'Curve_Interface'!$K$8:$K$73,1)+1)-VAL_DATE)/360)&lt;=0,0,(1/INDEX('Curve_Interface'!$L$8:$L$73,MATCH(C41,'Curve_Interface'!$K$8:$K$73,1)+1)-1)/((INDEX('Curve_Interface'!$K$8:$K$73,MATCH(C41,'Curve_Interface'!$K$8:$K$73,1)+1)-VAL_DATE)/360)),(1/INDEX('Curve_Interface'!$L$8:$L$73,MATCH(C41,'Curve_Interface'!$K$8:$K$73,1))-1)/((INDEX('Curve_Interface'!$K$8:$K$73,MATCH(C41,'Curve_Interface'!$K$8:$K$73,1))-VAL_DATE)/360)))*IF(((INDEX('Curve_Interface'!$K$8:$K$73,MATCH(C41,'Curve_Interface'!$K$8:$K$73,1)+1)-VAL_DATE)/360)-((INDEX('Curve_Interface'!$K$8:$K$73,MATCH(C41,'Curve_Interface'!$K$8:$K$73,1))-VAL_DATE)/360)=0,0,(((C41-VAL_DATE)/360)-((INDEX('Curve_Interface'!$K$8:$K$73,MATCH(C41,'Curve_Interface'!$K$8:$K$73,1))-VAL_DATE)/360))/(((INDEX('Curve_Interface'!$K$8:$K$73,MATCH(C41,'Curve_Interface'!$K$8:$K$73,1)+1)-VAL_DATE)/360)-((INDEX('Curve_Interface'!$K$8:$K$73,MATCH(C41,'Curve_Interface'!$K$8:$K$73,1))-VAL_DATE)/360))))*((C41-VAL_DATE)/360))),INDEX('Curve_Interface'!$L$8:$L$73,MATCH(C41,'Curve_Interface'!$K$8:$K$73,1))*(INDEX('Curve_Interface'!$L$8:$L$73,MATCH(C41,'Curve_Interface'!$K$8:$K$73,1)+1)/INDEX('Curve_Interface'!$L$8:$L$73,MATCH(C41,'Curve_Interface'!$K$8:$K$73,1)))^((C41-INDEX('Curve_Interface'!$K$8:$K$73,MATCH(C41,'Curve_Interface'!$K$8:$K$73,1)))/(INDEX('Curve_Interface'!$K$8:$K$73,MATCH(C41,'Curve_Interface'!$K$8:$K$73,1)+1)-INDEX('Curve_Interface'!$K$8:$K$73,MATCH(C41,'Curve_Interface'!$K$8:$K$73,1))))),INDEX('Curve_Interface'!$L$8:$L$73,MATCH(C41,'Curve_Interface'!$K$8:$K$73,1)))</f>
        <v/>
      </c>
      <c r="H41" s="36">
        <f>IFERROR(IF(Curve_Interface!$J$7="Piecewise Linear (Simple)",IF((((B41+C41)/2-VAL_DATE)/360)&lt;=0,1,1/(1+(IF(((INDEX('Curve_Interface'!$K$8:$K$73,MATCH((B41+C41)/2,'Curve_Interface'!$K$8:$K$73,1))-VAL_DATE)/360)&lt;=0,IF(((INDEX('Curve_Interface'!$K$8:$K$73,MATCH((B41+C41)/2,'Curve_Interface'!$K$8:$K$73,1)+1)-VAL_DATE)/360)&lt;=0,0,(1/INDEX('Curve_Interface'!$L$8:$L$73,MATCH((B41+C41)/2,'Curve_Interface'!$K$8:$K$73,1)+1)-1)/((INDEX('Curve_Interface'!$K$8:$K$73,MATCH((B41+C41)/2,'Curve_Interface'!$K$8:$K$73,1)+1)-VAL_DATE)/360)),(1/INDEX('Curve_Interface'!$L$8:$L$73,MATCH((B41+C41)/2,'Curve_Interface'!$K$8:$K$73,1))-1)/((INDEX('Curve_Interface'!$K$8:$K$73,MATCH((B41+C41)/2,'Curve_Interface'!$K$8:$K$73,1))-VAL_DATE)/360))+(IF(((INDEX('Curve_Interface'!$K$8:$K$73,MATCH((B41+C41)/2,'Curve_Interface'!$K$8:$K$73,1)+1)-VAL_DATE)/360)&lt;=0,0,(1/INDEX('Curve_Interface'!$L$8:$L$73,MATCH((B41+C41)/2,'Curve_Interface'!$K$8:$K$73,1)+1)-1)/((INDEX('Curve_Interface'!$K$8:$K$73,MATCH((B41+C41)/2,'Curve_Interface'!$K$8:$K$73,1)+1)-VAL_DATE)/360))-IF(((INDEX('Curve_Interface'!$K$8:$K$73,MATCH((B41+C41)/2,'Curve_Interface'!$K$8:$K$73,1))-VAL_DATE)/360)&lt;=0,IF(((INDEX('Curve_Interface'!$K$8:$K$73,MATCH((B41+C41)/2,'Curve_Interface'!$K$8:$K$73,1)+1)-VAL_DATE)/360)&lt;=0,0,(1/INDEX('Curve_Interface'!$L$8:$L$73,MATCH((B41+C41)/2,'Curve_Interface'!$K$8:$K$73,1)+1)-1)/((INDEX('Curve_Interface'!$K$8:$K$73,MATCH((B41+C41)/2,'Curve_Interface'!$K$8:$K$73,1)+1)-VAL_DATE)/360)),(1/INDEX('Curve_Interface'!$L$8:$L$73,MATCH((B41+C41)/2,'Curve_Interface'!$K$8:$K$73,1))-1)/((INDEX('Curve_Interface'!$K$8:$K$73,MATCH((B41+C41)/2,'Curve_Interface'!$K$8:$K$73,1))-VAL_DATE)/360)))*IF(((INDEX('Curve_Interface'!$K$8:$K$73,MATCH((B41+C41)/2,'Curve_Interface'!$K$8:$K$73,1)+1)-VAL_DATE)/360)-((INDEX('Curve_Interface'!$K$8:$K$73,MATCH((B41+C41)/2,'Curve_Interface'!$K$8:$K$73,1))-VAL_DATE)/360)=0,0,((((B41+C41)/2-VAL_DATE)/360)-((INDEX('Curve_Interface'!$K$8:$K$73,MATCH((B41+C41)/2,'Curve_Interface'!$K$8:$K$73,1))-VAL_DATE)/360))/(((INDEX('Curve_Interface'!$K$8:$K$73,MATCH((B41+C41)/2,'Curve_Interface'!$K$8:$K$73,1)+1)-VAL_DATE)/360)-((INDEX('Curve_Interface'!$K$8:$K$73,MATCH((B41+C41)/2,'Curve_Interface'!$K$8:$K$73,1))-VAL_DATE)/360))))*(((B41+C41)/2-VAL_DATE)/360))),INDEX('Curve_Interface'!$L$8:$L$73,MATCH((B41+C41)/2,'Curve_Interface'!$K$8:$K$73,1))*(INDEX('Curve_Interface'!$L$8:$L$73,MATCH((B41+C41)/2,'Curve_Interface'!$K$8:$K$73,1)+1)/INDEX('Curve_Interface'!$L$8:$L$73,MATCH((B41+C41)/2,'Curve_Interface'!$K$8:$K$73,1)))^(((B41+C41)/2-INDEX('Curve_Interface'!$K$8:$K$73,MATCH((B41+C41)/2,'Curve_Interface'!$K$8:$K$73,1)))/(INDEX('Curve_Interface'!$K$8:$K$73,MATCH((B41+C41)/2,'Curve_Interface'!$K$8:$K$73,1)+1)-INDEX('Curve_Interface'!$K$8:$K$73,MATCH((B41+C41)/2,'Curve_Interface'!$K$8:$K$73,1))))),INDEX('Curve_Interface'!$L$8:$L$73,MATCH((B41+C41)/2,'Curve_Interface'!$K$8:$K$73,1)))</f>
        <v/>
      </c>
      <c r="I41" s="36">
        <f>INDEX(Hazard_Bootstrap!$D$7:$D$12,MIN(COUNTIF(Hazard_Bootstrap!$B$7:$B$12,"&lt;"&amp;C41)+1,6))</f>
        <v/>
      </c>
      <c r="J41" s="36">
        <f>K40</f>
        <v/>
      </c>
      <c r="K41" s="36">
        <f>J41*EXP(-I41*E41)</f>
        <v/>
      </c>
      <c r="L41" s="36">
        <f>J41-K41</f>
        <v/>
      </c>
      <c r="M41" s="36">
        <f>D41*G41*K41</f>
        <v/>
      </c>
      <c r="N41" s="36">
        <f>(D41/2)*H41*L41</f>
        <v/>
      </c>
      <c r="O41" s="36">
        <f>H41*L41</f>
        <v/>
      </c>
    </row>
    <row r="42">
      <c r="A42" s="43" t="n">
        <v>36</v>
      </c>
      <c r="B42" s="18">
        <f>C41</f>
        <v/>
      </c>
      <c r="C42" s="18">
        <f>EDATE('Curve_Interface'!$F$7,3*35)</f>
        <v/>
      </c>
      <c r="D42" s="34">
        <f>(C42-B42)/360</f>
        <v/>
      </c>
      <c r="E42" s="34">
        <f>(C42-B42)/365</f>
        <v/>
      </c>
      <c r="F42" s="34">
        <f>(C42-VAL_DATE)/365</f>
        <v/>
      </c>
      <c r="G42" s="36">
        <f>IFERROR(IF(Curve_Interface!$J$7="Piecewise Linear (Simple)",IF(((C42-VAL_DATE)/360)&lt;=0,1,1/(1+(IF(((INDEX('Curve_Interface'!$K$8:$K$73,MATCH(C42,'Curve_Interface'!$K$8:$K$73,1))-VAL_DATE)/360)&lt;=0,IF(((INDEX('Curve_Interface'!$K$8:$K$73,MATCH(C42,'Curve_Interface'!$K$8:$K$73,1)+1)-VAL_DATE)/360)&lt;=0,0,(1/INDEX('Curve_Interface'!$L$8:$L$73,MATCH(C42,'Curve_Interface'!$K$8:$K$73,1)+1)-1)/((INDEX('Curve_Interface'!$K$8:$K$73,MATCH(C42,'Curve_Interface'!$K$8:$K$73,1)+1)-VAL_DATE)/360)),(1/INDEX('Curve_Interface'!$L$8:$L$73,MATCH(C42,'Curve_Interface'!$K$8:$K$73,1))-1)/((INDEX('Curve_Interface'!$K$8:$K$73,MATCH(C42,'Curve_Interface'!$K$8:$K$73,1))-VAL_DATE)/360))+(IF(((INDEX('Curve_Interface'!$K$8:$K$73,MATCH(C42,'Curve_Interface'!$K$8:$K$73,1)+1)-VAL_DATE)/360)&lt;=0,0,(1/INDEX('Curve_Interface'!$L$8:$L$73,MATCH(C42,'Curve_Interface'!$K$8:$K$73,1)+1)-1)/((INDEX('Curve_Interface'!$K$8:$K$73,MATCH(C42,'Curve_Interface'!$K$8:$K$73,1)+1)-VAL_DATE)/360))-IF(((INDEX('Curve_Interface'!$K$8:$K$73,MATCH(C42,'Curve_Interface'!$K$8:$K$73,1))-VAL_DATE)/360)&lt;=0,IF(((INDEX('Curve_Interface'!$K$8:$K$73,MATCH(C42,'Curve_Interface'!$K$8:$K$73,1)+1)-VAL_DATE)/360)&lt;=0,0,(1/INDEX('Curve_Interface'!$L$8:$L$73,MATCH(C42,'Curve_Interface'!$K$8:$K$73,1)+1)-1)/((INDEX('Curve_Interface'!$K$8:$K$73,MATCH(C42,'Curve_Interface'!$K$8:$K$73,1)+1)-VAL_DATE)/360)),(1/INDEX('Curve_Interface'!$L$8:$L$73,MATCH(C42,'Curve_Interface'!$K$8:$K$73,1))-1)/((INDEX('Curve_Interface'!$K$8:$K$73,MATCH(C42,'Curve_Interface'!$K$8:$K$73,1))-VAL_DATE)/360)))*IF(((INDEX('Curve_Interface'!$K$8:$K$73,MATCH(C42,'Curve_Interface'!$K$8:$K$73,1)+1)-VAL_DATE)/360)-((INDEX('Curve_Interface'!$K$8:$K$73,MATCH(C42,'Curve_Interface'!$K$8:$K$73,1))-VAL_DATE)/360)=0,0,(((C42-VAL_DATE)/360)-((INDEX('Curve_Interface'!$K$8:$K$73,MATCH(C42,'Curve_Interface'!$K$8:$K$73,1))-VAL_DATE)/360))/(((INDEX('Curve_Interface'!$K$8:$K$73,MATCH(C42,'Curve_Interface'!$K$8:$K$73,1)+1)-VAL_DATE)/360)-((INDEX('Curve_Interface'!$K$8:$K$73,MATCH(C42,'Curve_Interface'!$K$8:$K$73,1))-VAL_DATE)/360))))*((C42-VAL_DATE)/360))),INDEX('Curve_Interface'!$L$8:$L$73,MATCH(C42,'Curve_Interface'!$K$8:$K$73,1))*(INDEX('Curve_Interface'!$L$8:$L$73,MATCH(C42,'Curve_Interface'!$K$8:$K$73,1)+1)/INDEX('Curve_Interface'!$L$8:$L$73,MATCH(C42,'Curve_Interface'!$K$8:$K$73,1)))^((C42-INDEX('Curve_Interface'!$K$8:$K$73,MATCH(C42,'Curve_Interface'!$K$8:$K$73,1)))/(INDEX('Curve_Interface'!$K$8:$K$73,MATCH(C42,'Curve_Interface'!$K$8:$K$73,1)+1)-INDEX('Curve_Interface'!$K$8:$K$73,MATCH(C42,'Curve_Interface'!$K$8:$K$73,1))))),INDEX('Curve_Interface'!$L$8:$L$73,MATCH(C42,'Curve_Interface'!$K$8:$K$73,1)))</f>
        <v/>
      </c>
      <c r="H42" s="36">
        <f>IFERROR(IF(Curve_Interface!$J$7="Piecewise Linear (Simple)",IF((((B42+C42)/2-VAL_DATE)/360)&lt;=0,1,1/(1+(IF(((INDEX('Curve_Interface'!$K$8:$K$73,MATCH((B42+C42)/2,'Curve_Interface'!$K$8:$K$73,1))-VAL_DATE)/360)&lt;=0,IF(((INDEX('Curve_Interface'!$K$8:$K$73,MATCH((B42+C42)/2,'Curve_Interface'!$K$8:$K$73,1)+1)-VAL_DATE)/360)&lt;=0,0,(1/INDEX('Curve_Interface'!$L$8:$L$73,MATCH((B42+C42)/2,'Curve_Interface'!$K$8:$K$73,1)+1)-1)/((INDEX('Curve_Interface'!$K$8:$K$73,MATCH((B42+C42)/2,'Curve_Interface'!$K$8:$K$73,1)+1)-VAL_DATE)/360)),(1/INDEX('Curve_Interface'!$L$8:$L$73,MATCH((B42+C42)/2,'Curve_Interface'!$K$8:$K$73,1))-1)/((INDEX('Curve_Interface'!$K$8:$K$73,MATCH((B42+C42)/2,'Curve_Interface'!$K$8:$K$73,1))-VAL_DATE)/360))+(IF(((INDEX('Curve_Interface'!$K$8:$K$73,MATCH((B42+C42)/2,'Curve_Interface'!$K$8:$K$73,1)+1)-VAL_DATE)/360)&lt;=0,0,(1/INDEX('Curve_Interface'!$L$8:$L$73,MATCH((B42+C42)/2,'Curve_Interface'!$K$8:$K$73,1)+1)-1)/((INDEX('Curve_Interface'!$K$8:$K$73,MATCH((B42+C42)/2,'Curve_Interface'!$K$8:$K$73,1)+1)-VAL_DATE)/360))-IF(((INDEX('Curve_Interface'!$K$8:$K$73,MATCH((B42+C42)/2,'Curve_Interface'!$K$8:$K$73,1))-VAL_DATE)/360)&lt;=0,IF(((INDEX('Curve_Interface'!$K$8:$K$73,MATCH((B42+C42)/2,'Curve_Interface'!$K$8:$K$73,1)+1)-VAL_DATE)/360)&lt;=0,0,(1/INDEX('Curve_Interface'!$L$8:$L$73,MATCH((B42+C42)/2,'Curve_Interface'!$K$8:$K$73,1)+1)-1)/((INDEX('Curve_Interface'!$K$8:$K$73,MATCH((B42+C42)/2,'Curve_Interface'!$K$8:$K$73,1)+1)-VAL_DATE)/360)),(1/INDEX('Curve_Interface'!$L$8:$L$73,MATCH((B42+C42)/2,'Curve_Interface'!$K$8:$K$73,1))-1)/((INDEX('Curve_Interface'!$K$8:$K$73,MATCH((B42+C42)/2,'Curve_Interface'!$K$8:$K$73,1))-VAL_DATE)/360)))*IF(((INDEX('Curve_Interface'!$K$8:$K$73,MATCH((B42+C42)/2,'Curve_Interface'!$K$8:$K$73,1)+1)-VAL_DATE)/360)-((INDEX('Curve_Interface'!$K$8:$K$73,MATCH((B42+C42)/2,'Curve_Interface'!$K$8:$K$73,1))-VAL_DATE)/360)=0,0,((((B42+C42)/2-VAL_DATE)/360)-((INDEX('Curve_Interface'!$K$8:$K$73,MATCH((B42+C42)/2,'Curve_Interface'!$K$8:$K$73,1))-VAL_DATE)/360))/(((INDEX('Curve_Interface'!$K$8:$K$73,MATCH((B42+C42)/2,'Curve_Interface'!$K$8:$K$73,1)+1)-VAL_DATE)/360)-((INDEX('Curve_Interface'!$K$8:$K$73,MATCH((B42+C42)/2,'Curve_Interface'!$K$8:$K$73,1))-VAL_DATE)/360))))*(((B42+C42)/2-VAL_DATE)/360))),INDEX('Curve_Interface'!$L$8:$L$73,MATCH((B42+C42)/2,'Curve_Interface'!$K$8:$K$73,1))*(INDEX('Curve_Interface'!$L$8:$L$73,MATCH((B42+C42)/2,'Curve_Interface'!$K$8:$K$73,1)+1)/INDEX('Curve_Interface'!$L$8:$L$73,MATCH((B42+C42)/2,'Curve_Interface'!$K$8:$K$73,1)))^(((B42+C42)/2-INDEX('Curve_Interface'!$K$8:$K$73,MATCH((B42+C42)/2,'Curve_Interface'!$K$8:$K$73,1)))/(INDEX('Curve_Interface'!$K$8:$K$73,MATCH((B42+C42)/2,'Curve_Interface'!$K$8:$K$73,1)+1)-INDEX('Curve_Interface'!$K$8:$K$73,MATCH((B42+C42)/2,'Curve_Interface'!$K$8:$K$73,1))))),INDEX('Curve_Interface'!$L$8:$L$73,MATCH((B42+C42)/2,'Curve_Interface'!$K$8:$K$73,1)))</f>
        <v/>
      </c>
      <c r="I42" s="36">
        <f>INDEX(Hazard_Bootstrap!$D$7:$D$12,MIN(COUNTIF(Hazard_Bootstrap!$B$7:$B$12,"&lt;"&amp;C42)+1,6))</f>
        <v/>
      </c>
      <c r="J42" s="36">
        <f>K41</f>
        <v/>
      </c>
      <c r="K42" s="36">
        <f>J42*EXP(-I42*E42)</f>
        <v/>
      </c>
      <c r="L42" s="36">
        <f>J42-K42</f>
        <v/>
      </c>
      <c r="M42" s="36">
        <f>D42*G42*K42</f>
        <v/>
      </c>
      <c r="N42" s="36">
        <f>(D42/2)*H42*L42</f>
        <v/>
      </c>
      <c r="O42" s="36">
        <f>H42*L42</f>
        <v/>
      </c>
    </row>
    <row r="43">
      <c r="A43" s="43" t="n">
        <v>37</v>
      </c>
      <c r="B43" s="18">
        <f>C42</f>
        <v/>
      </c>
      <c r="C43" s="18">
        <f>EDATE('Curve_Interface'!$F$7,3*36)</f>
        <v/>
      </c>
      <c r="D43" s="34">
        <f>(C43-B43)/360</f>
        <v/>
      </c>
      <c r="E43" s="34">
        <f>(C43-B43)/365</f>
        <v/>
      </c>
      <c r="F43" s="34">
        <f>(C43-VAL_DATE)/365</f>
        <v/>
      </c>
      <c r="G43" s="36">
        <f>IFERROR(IF(Curve_Interface!$J$7="Piecewise Linear (Simple)",IF(((C43-VAL_DATE)/360)&lt;=0,1,1/(1+(IF(((INDEX('Curve_Interface'!$K$8:$K$73,MATCH(C43,'Curve_Interface'!$K$8:$K$73,1))-VAL_DATE)/360)&lt;=0,IF(((INDEX('Curve_Interface'!$K$8:$K$73,MATCH(C43,'Curve_Interface'!$K$8:$K$73,1)+1)-VAL_DATE)/360)&lt;=0,0,(1/INDEX('Curve_Interface'!$L$8:$L$73,MATCH(C43,'Curve_Interface'!$K$8:$K$73,1)+1)-1)/((INDEX('Curve_Interface'!$K$8:$K$73,MATCH(C43,'Curve_Interface'!$K$8:$K$73,1)+1)-VAL_DATE)/360)),(1/INDEX('Curve_Interface'!$L$8:$L$73,MATCH(C43,'Curve_Interface'!$K$8:$K$73,1))-1)/((INDEX('Curve_Interface'!$K$8:$K$73,MATCH(C43,'Curve_Interface'!$K$8:$K$73,1))-VAL_DATE)/360))+(IF(((INDEX('Curve_Interface'!$K$8:$K$73,MATCH(C43,'Curve_Interface'!$K$8:$K$73,1)+1)-VAL_DATE)/360)&lt;=0,0,(1/INDEX('Curve_Interface'!$L$8:$L$73,MATCH(C43,'Curve_Interface'!$K$8:$K$73,1)+1)-1)/((INDEX('Curve_Interface'!$K$8:$K$73,MATCH(C43,'Curve_Interface'!$K$8:$K$73,1)+1)-VAL_DATE)/360))-IF(((INDEX('Curve_Interface'!$K$8:$K$73,MATCH(C43,'Curve_Interface'!$K$8:$K$73,1))-VAL_DATE)/360)&lt;=0,IF(((INDEX('Curve_Interface'!$K$8:$K$73,MATCH(C43,'Curve_Interface'!$K$8:$K$73,1)+1)-VAL_DATE)/360)&lt;=0,0,(1/INDEX('Curve_Interface'!$L$8:$L$73,MATCH(C43,'Curve_Interface'!$K$8:$K$73,1)+1)-1)/((INDEX('Curve_Interface'!$K$8:$K$73,MATCH(C43,'Curve_Interface'!$K$8:$K$73,1)+1)-VAL_DATE)/360)),(1/INDEX('Curve_Interface'!$L$8:$L$73,MATCH(C43,'Curve_Interface'!$K$8:$K$73,1))-1)/((INDEX('Curve_Interface'!$K$8:$K$73,MATCH(C43,'Curve_Interface'!$K$8:$K$73,1))-VAL_DATE)/360)))*IF(((INDEX('Curve_Interface'!$K$8:$K$73,MATCH(C43,'Curve_Interface'!$K$8:$K$73,1)+1)-VAL_DATE)/360)-((INDEX('Curve_Interface'!$K$8:$K$73,MATCH(C43,'Curve_Interface'!$K$8:$K$73,1))-VAL_DATE)/360)=0,0,(((C43-VAL_DATE)/360)-((INDEX('Curve_Interface'!$K$8:$K$73,MATCH(C43,'Curve_Interface'!$K$8:$K$73,1))-VAL_DATE)/360))/(((INDEX('Curve_Interface'!$K$8:$K$73,MATCH(C43,'Curve_Interface'!$K$8:$K$73,1)+1)-VAL_DATE)/360)-((INDEX('Curve_Interface'!$K$8:$K$73,MATCH(C43,'Curve_Interface'!$K$8:$K$73,1))-VAL_DATE)/360))))*((C43-VAL_DATE)/360))),INDEX('Curve_Interface'!$L$8:$L$73,MATCH(C43,'Curve_Interface'!$K$8:$K$73,1))*(INDEX('Curve_Interface'!$L$8:$L$73,MATCH(C43,'Curve_Interface'!$K$8:$K$73,1)+1)/INDEX('Curve_Interface'!$L$8:$L$73,MATCH(C43,'Curve_Interface'!$K$8:$K$73,1)))^((C43-INDEX('Curve_Interface'!$K$8:$K$73,MATCH(C43,'Curve_Interface'!$K$8:$K$73,1)))/(INDEX('Curve_Interface'!$K$8:$K$73,MATCH(C43,'Curve_Interface'!$K$8:$K$73,1)+1)-INDEX('Curve_Interface'!$K$8:$K$73,MATCH(C43,'Curve_Interface'!$K$8:$K$73,1))))),INDEX('Curve_Interface'!$L$8:$L$73,MATCH(C43,'Curve_Interface'!$K$8:$K$73,1)))</f>
        <v/>
      </c>
      <c r="H43" s="36">
        <f>IFERROR(IF(Curve_Interface!$J$7="Piecewise Linear (Simple)",IF((((B43+C43)/2-VAL_DATE)/360)&lt;=0,1,1/(1+(IF(((INDEX('Curve_Interface'!$K$8:$K$73,MATCH((B43+C43)/2,'Curve_Interface'!$K$8:$K$73,1))-VAL_DATE)/360)&lt;=0,IF(((INDEX('Curve_Interface'!$K$8:$K$73,MATCH((B43+C43)/2,'Curve_Interface'!$K$8:$K$73,1)+1)-VAL_DATE)/360)&lt;=0,0,(1/INDEX('Curve_Interface'!$L$8:$L$73,MATCH((B43+C43)/2,'Curve_Interface'!$K$8:$K$73,1)+1)-1)/((INDEX('Curve_Interface'!$K$8:$K$73,MATCH((B43+C43)/2,'Curve_Interface'!$K$8:$K$73,1)+1)-VAL_DATE)/360)),(1/INDEX('Curve_Interface'!$L$8:$L$73,MATCH((B43+C43)/2,'Curve_Interface'!$K$8:$K$73,1))-1)/((INDEX('Curve_Interface'!$K$8:$K$73,MATCH((B43+C43)/2,'Curve_Interface'!$K$8:$K$73,1))-VAL_DATE)/360))+(IF(((INDEX('Curve_Interface'!$K$8:$K$73,MATCH((B43+C43)/2,'Curve_Interface'!$K$8:$K$73,1)+1)-VAL_DATE)/360)&lt;=0,0,(1/INDEX('Curve_Interface'!$L$8:$L$73,MATCH((B43+C43)/2,'Curve_Interface'!$K$8:$K$73,1)+1)-1)/((INDEX('Curve_Interface'!$K$8:$K$73,MATCH((B43+C43)/2,'Curve_Interface'!$K$8:$K$73,1)+1)-VAL_DATE)/360))-IF(((INDEX('Curve_Interface'!$K$8:$K$73,MATCH((B43+C43)/2,'Curve_Interface'!$K$8:$K$73,1))-VAL_DATE)/360)&lt;=0,IF(((INDEX('Curve_Interface'!$K$8:$K$73,MATCH((B43+C43)/2,'Curve_Interface'!$K$8:$K$73,1)+1)-VAL_DATE)/360)&lt;=0,0,(1/INDEX('Curve_Interface'!$L$8:$L$73,MATCH((B43+C43)/2,'Curve_Interface'!$K$8:$K$73,1)+1)-1)/((INDEX('Curve_Interface'!$K$8:$K$73,MATCH((B43+C43)/2,'Curve_Interface'!$K$8:$K$73,1)+1)-VAL_DATE)/360)),(1/INDEX('Curve_Interface'!$L$8:$L$73,MATCH((B43+C43)/2,'Curve_Interface'!$K$8:$K$73,1))-1)/((INDEX('Curve_Interface'!$K$8:$K$73,MATCH((B43+C43)/2,'Curve_Interface'!$K$8:$K$73,1))-VAL_DATE)/360)))*IF(((INDEX('Curve_Interface'!$K$8:$K$73,MATCH((B43+C43)/2,'Curve_Interface'!$K$8:$K$73,1)+1)-VAL_DATE)/360)-((INDEX('Curve_Interface'!$K$8:$K$73,MATCH((B43+C43)/2,'Curve_Interface'!$K$8:$K$73,1))-VAL_DATE)/360)=0,0,((((B43+C43)/2-VAL_DATE)/360)-((INDEX('Curve_Interface'!$K$8:$K$73,MATCH((B43+C43)/2,'Curve_Interface'!$K$8:$K$73,1))-VAL_DATE)/360))/(((INDEX('Curve_Interface'!$K$8:$K$73,MATCH((B43+C43)/2,'Curve_Interface'!$K$8:$K$73,1)+1)-VAL_DATE)/360)-((INDEX('Curve_Interface'!$K$8:$K$73,MATCH((B43+C43)/2,'Curve_Interface'!$K$8:$K$73,1))-VAL_DATE)/360))))*(((B43+C43)/2-VAL_DATE)/360))),INDEX('Curve_Interface'!$L$8:$L$73,MATCH((B43+C43)/2,'Curve_Interface'!$K$8:$K$73,1))*(INDEX('Curve_Interface'!$L$8:$L$73,MATCH((B43+C43)/2,'Curve_Interface'!$K$8:$K$73,1)+1)/INDEX('Curve_Interface'!$L$8:$L$73,MATCH((B43+C43)/2,'Curve_Interface'!$K$8:$K$73,1)))^(((B43+C43)/2-INDEX('Curve_Interface'!$K$8:$K$73,MATCH((B43+C43)/2,'Curve_Interface'!$K$8:$K$73,1)))/(INDEX('Curve_Interface'!$K$8:$K$73,MATCH((B43+C43)/2,'Curve_Interface'!$K$8:$K$73,1)+1)-INDEX('Curve_Interface'!$K$8:$K$73,MATCH((B43+C43)/2,'Curve_Interface'!$K$8:$K$73,1))))),INDEX('Curve_Interface'!$L$8:$L$73,MATCH((B43+C43)/2,'Curve_Interface'!$K$8:$K$73,1)))</f>
        <v/>
      </c>
      <c r="I43" s="36">
        <f>INDEX(Hazard_Bootstrap!$D$7:$D$12,MIN(COUNTIF(Hazard_Bootstrap!$B$7:$B$12,"&lt;"&amp;C43)+1,6))</f>
        <v/>
      </c>
      <c r="J43" s="36">
        <f>K42</f>
        <v/>
      </c>
      <c r="K43" s="36">
        <f>J43*EXP(-I43*E43)</f>
        <v/>
      </c>
      <c r="L43" s="36">
        <f>J43-K43</f>
        <v/>
      </c>
      <c r="M43" s="36">
        <f>D43*G43*K43</f>
        <v/>
      </c>
      <c r="N43" s="36">
        <f>(D43/2)*H43*L43</f>
        <v/>
      </c>
      <c r="O43" s="36">
        <f>H43*L43</f>
        <v/>
      </c>
    </row>
    <row r="44">
      <c r="A44" s="43" t="n">
        <v>38</v>
      </c>
      <c r="B44" s="18">
        <f>C43</f>
        <v/>
      </c>
      <c r="C44" s="18">
        <f>EDATE('Curve_Interface'!$F$7,3*37)</f>
        <v/>
      </c>
      <c r="D44" s="34">
        <f>(C44-B44)/360</f>
        <v/>
      </c>
      <c r="E44" s="34">
        <f>(C44-B44)/365</f>
        <v/>
      </c>
      <c r="F44" s="34">
        <f>(C44-VAL_DATE)/365</f>
        <v/>
      </c>
      <c r="G44" s="36">
        <f>IFERROR(IF(Curve_Interface!$J$7="Piecewise Linear (Simple)",IF(((C44-VAL_DATE)/360)&lt;=0,1,1/(1+(IF(((INDEX('Curve_Interface'!$K$8:$K$73,MATCH(C44,'Curve_Interface'!$K$8:$K$73,1))-VAL_DATE)/360)&lt;=0,IF(((INDEX('Curve_Interface'!$K$8:$K$73,MATCH(C44,'Curve_Interface'!$K$8:$K$73,1)+1)-VAL_DATE)/360)&lt;=0,0,(1/INDEX('Curve_Interface'!$L$8:$L$73,MATCH(C44,'Curve_Interface'!$K$8:$K$73,1)+1)-1)/((INDEX('Curve_Interface'!$K$8:$K$73,MATCH(C44,'Curve_Interface'!$K$8:$K$73,1)+1)-VAL_DATE)/360)),(1/INDEX('Curve_Interface'!$L$8:$L$73,MATCH(C44,'Curve_Interface'!$K$8:$K$73,1))-1)/((INDEX('Curve_Interface'!$K$8:$K$73,MATCH(C44,'Curve_Interface'!$K$8:$K$73,1))-VAL_DATE)/360))+(IF(((INDEX('Curve_Interface'!$K$8:$K$73,MATCH(C44,'Curve_Interface'!$K$8:$K$73,1)+1)-VAL_DATE)/360)&lt;=0,0,(1/INDEX('Curve_Interface'!$L$8:$L$73,MATCH(C44,'Curve_Interface'!$K$8:$K$73,1)+1)-1)/((INDEX('Curve_Interface'!$K$8:$K$73,MATCH(C44,'Curve_Interface'!$K$8:$K$73,1)+1)-VAL_DATE)/360))-IF(((INDEX('Curve_Interface'!$K$8:$K$73,MATCH(C44,'Curve_Interface'!$K$8:$K$73,1))-VAL_DATE)/360)&lt;=0,IF(((INDEX('Curve_Interface'!$K$8:$K$73,MATCH(C44,'Curve_Interface'!$K$8:$K$73,1)+1)-VAL_DATE)/360)&lt;=0,0,(1/INDEX('Curve_Interface'!$L$8:$L$73,MATCH(C44,'Curve_Interface'!$K$8:$K$73,1)+1)-1)/((INDEX('Curve_Interface'!$K$8:$K$73,MATCH(C44,'Curve_Interface'!$K$8:$K$73,1)+1)-VAL_DATE)/360)),(1/INDEX('Curve_Interface'!$L$8:$L$73,MATCH(C44,'Curve_Interface'!$K$8:$K$73,1))-1)/((INDEX('Curve_Interface'!$K$8:$K$73,MATCH(C44,'Curve_Interface'!$K$8:$K$73,1))-VAL_DATE)/360)))*IF(((INDEX('Curve_Interface'!$K$8:$K$73,MATCH(C44,'Curve_Interface'!$K$8:$K$73,1)+1)-VAL_DATE)/360)-((INDEX('Curve_Interface'!$K$8:$K$73,MATCH(C44,'Curve_Interface'!$K$8:$K$73,1))-VAL_DATE)/360)=0,0,(((C44-VAL_DATE)/360)-((INDEX('Curve_Interface'!$K$8:$K$73,MATCH(C44,'Curve_Interface'!$K$8:$K$73,1))-VAL_DATE)/360))/(((INDEX('Curve_Interface'!$K$8:$K$73,MATCH(C44,'Curve_Interface'!$K$8:$K$73,1)+1)-VAL_DATE)/360)-((INDEX('Curve_Interface'!$K$8:$K$73,MATCH(C44,'Curve_Interface'!$K$8:$K$73,1))-VAL_DATE)/360))))*((C44-VAL_DATE)/360))),INDEX('Curve_Interface'!$L$8:$L$73,MATCH(C44,'Curve_Interface'!$K$8:$K$73,1))*(INDEX('Curve_Interface'!$L$8:$L$73,MATCH(C44,'Curve_Interface'!$K$8:$K$73,1)+1)/INDEX('Curve_Interface'!$L$8:$L$73,MATCH(C44,'Curve_Interface'!$K$8:$K$73,1)))^((C44-INDEX('Curve_Interface'!$K$8:$K$73,MATCH(C44,'Curve_Interface'!$K$8:$K$73,1)))/(INDEX('Curve_Interface'!$K$8:$K$73,MATCH(C44,'Curve_Interface'!$K$8:$K$73,1)+1)-INDEX('Curve_Interface'!$K$8:$K$73,MATCH(C44,'Curve_Interface'!$K$8:$K$73,1))))),INDEX('Curve_Interface'!$L$8:$L$73,MATCH(C44,'Curve_Interface'!$K$8:$K$73,1)))</f>
        <v/>
      </c>
      <c r="H44" s="36">
        <f>IFERROR(IF(Curve_Interface!$J$7="Piecewise Linear (Simple)",IF((((B44+C44)/2-VAL_DATE)/360)&lt;=0,1,1/(1+(IF(((INDEX('Curve_Interface'!$K$8:$K$73,MATCH((B44+C44)/2,'Curve_Interface'!$K$8:$K$73,1))-VAL_DATE)/360)&lt;=0,IF(((INDEX('Curve_Interface'!$K$8:$K$73,MATCH((B44+C44)/2,'Curve_Interface'!$K$8:$K$73,1)+1)-VAL_DATE)/360)&lt;=0,0,(1/INDEX('Curve_Interface'!$L$8:$L$73,MATCH((B44+C44)/2,'Curve_Interface'!$K$8:$K$73,1)+1)-1)/((INDEX('Curve_Interface'!$K$8:$K$73,MATCH((B44+C44)/2,'Curve_Interface'!$K$8:$K$73,1)+1)-VAL_DATE)/360)),(1/INDEX('Curve_Interface'!$L$8:$L$73,MATCH((B44+C44)/2,'Curve_Interface'!$K$8:$K$73,1))-1)/((INDEX('Curve_Interface'!$K$8:$K$73,MATCH((B44+C44)/2,'Curve_Interface'!$K$8:$K$73,1))-VAL_DATE)/360))+(IF(((INDEX('Curve_Interface'!$K$8:$K$73,MATCH((B44+C44)/2,'Curve_Interface'!$K$8:$K$73,1)+1)-VAL_DATE)/360)&lt;=0,0,(1/INDEX('Curve_Interface'!$L$8:$L$73,MATCH((B44+C44)/2,'Curve_Interface'!$K$8:$K$73,1)+1)-1)/((INDEX('Curve_Interface'!$K$8:$K$73,MATCH((B44+C44)/2,'Curve_Interface'!$K$8:$K$73,1)+1)-VAL_DATE)/360))-IF(((INDEX('Curve_Interface'!$K$8:$K$73,MATCH((B44+C44)/2,'Curve_Interface'!$K$8:$K$73,1))-VAL_DATE)/360)&lt;=0,IF(((INDEX('Curve_Interface'!$K$8:$K$73,MATCH((B44+C44)/2,'Curve_Interface'!$K$8:$K$73,1)+1)-VAL_DATE)/360)&lt;=0,0,(1/INDEX('Curve_Interface'!$L$8:$L$73,MATCH((B44+C44)/2,'Curve_Interface'!$K$8:$K$73,1)+1)-1)/((INDEX('Curve_Interface'!$K$8:$K$73,MATCH((B44+C44)/2,'Curve_Interface'!$K$8:$K$73,1)+1)-VAL_DATE)/360)),(1/INDEX('Curve_Interface'!$L$8:$L$73,MATCH((B44+C44)/2,'Curve_Interface'!$K$8:$K$73,1))-1)/((INDEX('Curve_Interface'!$K$8:$K$73,MATCH((B44+C44)/2,'Curve_Interface'!$K$8:$K$73,1))-VAL_DATE)/360)))*IF(((INDEX('Curve_Interface'!$K$8:$K$73,MATCH((B44+C44)/2,'Curve_Interface'!$K$8:$K$73,1)+1)-VAL_DATE)/360)-((INDEX('Curve_Interface'!$K$8:$K$73,MATCH((B44+C44)/2,'Curve_Interface'!$K$8:$K$73,1))-VAL_DATE)/360)=0,0,((((B44+C44)/2-VAL_DATE)/360)-((INDEX('Curve_Interface'!$K$8:$K$73,MATCH((B44+C44)/2,'Curve_Interface'!$K$8:$K$73,1))-VAL_DATE)/360))/(((INDEX('Curve_Interface'!$K$8:$K$73,MATCH((B44+C44)/2,'Curve_Interface'!$K$8:$K$73,1)+1)-VAL_DATE)/360)-((INDEX('Curve_Interface'!$K$8:$K$73,MATCH((B44+C44)/2,'Curve_Interface'!$K$8:$K$73,1))-VAL_DATE)/360))))*(((B44+C44)/2-VAL_DATE)/360))),INDEX('Curve_Interface'!$L$8:$L$73,MATCH((B44+C44)/2,'Curve_Interface'!$K$8:$K$73,1))*(INDEX('Curve_Interface'!$L$8:$L$73,MATCH((B44+C44)/2,'Curve_Interface'!$K$8:$K$73,1)+1)/INDEX('Curve_Interface'!$L$8:$L$73,MATCH((B44+C44)/2,'Curve_Interface'!$K$8:$K$73,1)))^(((B44+C44)/2-INDEX('Curve_Interface'!$K$8:$K$73,MATCH((B44+C44)/2,'Curve_Interface'!$K$8:$K$73,1)))/(INDEX('Curve_Interface'!$K$8:$K$73,MATCH((B44+C44)/2,'Curve_Interface'!$K$8:$K$73,1)+1)-INDEX('Curve_Interface'!$K$8:$K$73,MATCH((B44+C44)/2,'Curve_Interface'!$K$8:$K$73,1))))),INDEX('Curve_Interface'!$L$8:$L$73,MATCH((B44+C44)/2,'Curve_Interface'!$K$8:$K$73,1)))</f>
        <v/>
      </c>
      <c r="I44" s="36">
        <f>INDEX(Hazard_Bootstrap!$D$7:$D$12,MIN(COUNTIF(Hazard_Bootstrap!$B$7:$B$12,"&lt;"&amp;C44)+1,6))</f>
        <v/>
      </c>
      <c r="J44" s="36">
        <f>K43</f>
        <v/>
      </c>
      <c r="K44" s="36">
        <f>J44*EXP(-I44*E44)</f>
        <v/>
      </c>
      <c r="L44" s="36">
        <f>J44-K44</f>
        <v/>
      </c>
      <c r="M44" s="36">
        <f>D44*G44*K44</f>
        <v/>
      </c>
      <c r="N44" s="36">
        <f>(D44/2)*H44*L44</f>
        <v/>
      </c>
      <c r="O44" s="36">
        <f>H44*L44</f>
        <v/>
      </c>
    </row>
    <row r="45">
      <c r="A45" s="43" t="n">
        <v>39</v>
      </c>
      <c r="B45" s="18">
        <f>C44</f>
        <v/>
      </c>
      <c r="C45" s="18">
        <f>EDATE('Curve_Interface'!$F$7,3*38)</f>
        <v/>
      </c>
      <c r="D45" s="34">
        <f>(C45-B45)/360</f>
        <v/>
      </c>
      <c r="E45" s="34">
        <f>(C45-B45)/365</f>
        <v/>
      </c>
      <c r="F45" s="34">
        <f>(C45-VAL_DATE)/365</f>
        <v/>
      </c>
      <c r="G45" s="36">
        <f>IFERROR(IF(Curve_Interface!$J$7="Piecewise Linear (Simple)",IF(((C45-VAL_DATE)/360)&lt;=0,1,1/(1+(IF(((INDEX('Curve_Interface'!$K$8:$K$73,MATCH(C45,'Curve_Interface'!$K$8:$K$73,1))-VAL_DATE)/360)&lt;=0,IF(((INDEX('Curve_Interface'!$K$8:$K$73,MATCH(C45,'Curve_Interface'!$K$8:$K$73,1)+1)-VAL_DATE)/360)&lt;=0,0,(1/INDEX('Curve_Interface'!$L$8:$L$73,MATCH(C45,'Curve_Interface'!$K$8:$K$73,1)+1)-1)/((INDEX('Curve_Interface'!$K$8:$K$73,MATCH(C45,'Curve_Interface'!$K$8:$K$73,1)+1)-VAL_DATE)/360)),(1/INDEX('Curve_Interface'!$L$8:$L$73,MATCH(C45,'Curve_Interface'!$K$8:$K$73,1))-1)/((INDEX('Curve_Interface'!$K$8:$K$73,MATCH(C45,'Curve_Interface'!$K$8:$K$73,1))-VAL_DATE)/360))+(IF(((INDEX('Curve_Interface'!$K$8:$K$73,MATCH(C45,'Curve_Interface'!$K$8:$K$73,1)+1)-VAL_DATE)/360)&lt;=0,0,(1/INDEX('Curve_Interface'!$L$8:$L$73,MATCH(C45,'Curve_Interface'!$K$8:$K$73,1)+1)-1)/((INDEX('Curve_Interface'!$K$8:$K$73,MATCH(C45,'Curve_Interface'!$K$8:$K$73,1)+1)-VAL_DATE)/360))-IF(((INDEX('Curve_Interface'!$K$8:$K$73,MATCH(C45,'Curve_Interface'!$K$8:$K$73,1))-VAL_DATE)/360)&lt;=0,IF(((INDEX('Curve_Interface'!$K$8:$K$73,MATCH(C45,'Curve_Interface'!$K$8:$K$73,1)+1)-VAL_DATE)/360)&lt;=0,0,(1/INDEX('Curve_Interface'!$L$8:$L$73,MATCH(C45,'Curve_Interface'!$K$8:$K$73,1)+1)-1)/((INDEX('Curve_Interface'!$K$8:$K$73,MATCH(C45,'Curve_Interface'!$K$8:$K$73,1)+1)-VAL_DATE)/360)),(1/INDEX('Curve_Interface'!$L$8:$L$73,MATCH(C45,'Curve_Interface'!$K$8:$K$73,1))-1)/((INDEX('Curve_Interface'!$K$8:$K$73,MATCH(C45,'Curve_Interface'!$K$8:$K$73,1))-VAL_DATE)/360)))*IF(((INDEX('Curve_Interface'!$K$8:$K$73,MATCH(C45,'Curve_Interface'!$K$8:$K$73,1)+1)-VAL_DATE)/360)-((INDEX('Curve_Interface'!$K$8:$K$73,MATCH(C45,'Curve_Interface'!$K$8:$K$73,1))-VAL_DATE)/360)=0,0,(((C45-VAL_DATE)/360)-((INDEX('Curve_Interface'!$K$8:$K$73,MATCH(C45,'Curve_Interface'!$K$8:$K$73,1))-VAL_DATE)/360))/(((INDEX('Curve_Interface'!$K$8:$K$73,MATCH(C45,'Curve_Interface'!$K$8:$K$73,1)+1)-VAL_DATE)/360)-((INDEX('Curve_Interface'!$K$8:$K$73,MATCH(C45,'Curve_Interface'!$K$8:$K$73,1))-VAL_DATE)/360))))*((C45-VAL_DATE)/360))),INDEX('Curve_Interface'!$L$8:$L$73,MATCH(C45,'Curve_Interface'!$K$8:$K$73,1))*(INDEX('Curve_Interface'!$L$8:$L$73,MATCH(C45,'Curve_Interface'!$K$8:$K$73,1)+1)/INDEX('Curve_Interface'!$L$8:$L$73,MATCH(C45,'Curve_Interface'!$K$8:$K$73,1)))^((C45-INDEX('Curve_Interface'!$K$8:$K$73,MATCH(C45,'Curve_Interface'!$K$8:$K$73,1)))/(INDEX('Curve_Interface'!$K$8:$K$73,MATCH(C45,'Curve_Interface'!$K$8:$K$73,1)+1)-INDEX('Curve_Interface'!$K$8:$K$73,MATCH(C45,'Curve_Interface'!$K$8:$K$73,1))))),INDEX('Curve_Interface'!$L$8:$L$73,MATCH(C45,'Curve_Interface'!$K$8:$K$73,1)))</f>
        <v/>
      </c>
      <c r="H45" s="36">
        <f>IFERROR(IF(Curve_Interface!$J$7="Piecewise Linear (Simple)",IF((((B45+C45)/2-VAL_DATE)/360)&lt;=0,1,1/(1+(IF(((INDEX('Curve_Interface'!$K$8:$K$73,MATCH((B45+C45)/2,'Curve_Interface'!$K$8:$K$73,1))-VAL_DATE)/360)&lt;=0,IF(((INDEX('Curve_Interface'!$K$8:$K$73,MATCH((B45+C45)/2,'Curve_Interface'!$K$8:$K$73,1)+1)-VAL_DATE)/360)&lt;=0,0,(1/INDEX('Curve_Interface'!$L$8:$L$73,MATCH((B45+C45)/2,'Curve_Interface'!$K$8:$K$73,1)+1)-1)/((INDEX('Curve_Interface'!$K$8:$K$73,MATCH((B45+C45)/2,'Curve_Interface'!$K$8:$K$73,1)+1)-VAL_DATE)/360)),(1/INDEX('Curve_Interface'!$L$8:$L$73,MATCH((B45+C45)/2,'Curve_Interface'!$K$8:$K$73,1))-1)/((INDEX('Curve_Interface'!$K$8:$K$73,MATCH((B45+C45)/2,'Curve_Interface'!$K$8:$K$73,1))-VAL_DATE)/360))+(IF(((INDEX('Curve_Interface'!$K$8:$K$73,MATCH((B45+C45)/2,'Curve_Interface'!$K$8:$K$73,1)+1)-VAL_DATE)/360)&lt;=0,0,(1/INDEX('Curve_Interface'!$L$8:$L$73,MATCH((B45+C45)/2,'Curve_Interface'!$K$8:$K$73,1)+1)-1)/((INDEX('Curve_Interface'!$K$8:$K$73,MATCH((B45+C45)/2,'Curve_Interface'!$K$8:$K$73,1)+1)-VAL_DATE)/360))-IF(((INDEX('Curve_Interface'!$K$8:$K$73,MATCH((B45+C45)/2,'Curve_Interface'!$K$8:$K$73,1))-VAL_DATE)/360)&lt;=0,IF(((INDEX('Curve_Interface'!$K$8:$K$73,MATCH((B45+C45)/2,'Curve_Interface'!$K$8:$K$73,1)+1)-VAL_DATE)/360)&lt;=0,0,(1/INDEX('Curve_Interface'!$L$8:$L$73,MATCH((B45+C45)/2,'Curve_Interface'!$K$8:$K$73,1)+1)-1)/((INDEX('Curve_Interface'!$K$8:$K$73,MATCH((B45+C45)/2,'Curve_Interface'!$K$8:$K$73,1)+1)-VAL_DATE)/360)),(1/INDEX('Curve_Interface'!$L$8:$L$73,MATCH((B45+C45)/2,'Curve_Interface'!$K$8:$K$73,1))-1)/((INDEX('Curve_Interface'!$K$8:$K$73,MATCH((B45+C45)/2,'Curve_Interface'!$K$8:$K$73,1))-VAL_DATE)/360)))*IF(((INDEX('Curve_Interface'!$K$8:$K$73,MATCH((B45+C45)/2,'Curve_Interface'!$K$8:$K$73,1)+1)-VAL_DATE)/360)-((INDEX('Curve_Interface'!$K$8:$K$73,MATCH((B45+C45)/2,'Curve_Interface'!$K$8:$K$73,1))-VAL_DATE)/360)=0,0,((((B45+C45)/2-VAL_DATE)/360)-((INDEX('Curve_Interface'!$K$8:$K$73,MATCH((B45+C45)/2,'Curve_Interface'!$K$8:$K$73,1))-VAL_DATE)/360))/(((INDEX('Curve_Interface'!$K$8:$K$73,MATCH((B45+C45)/2,'Curve_Interface'!$K$8:$K$73,1)+1)-VAL_DATE)/360)-((INDEX('Curve_Interface'!$K$8:$K$73,MATCH((B45+C45)/2,'Curve_Interface'!$K$8:$K$73,1))-VAL_DATE)/360))))*(((B45+C45)/2-VAL_DATE)/360))),INDEX('Curve_Interface'!$L$8:$L$73,MATCH((B45+C45)/2,'Curve_Interface'!$K$8:$K$73,1))*(INDEX('Curve_Interface'!$L$8:$L$73,MATCH((B45+C45)/2,'Curve_Interface'!$K$8:$K$73,1)+1)/INDEX('Curve_Interface'!$L$8:$L$73,MATCH((B45+C45)/2,'Curve_Interface'!$K$8:$K$73,1)))^(((B45+C45)/2-INDEX('Curve_Interface'!$K$8:$K$73,MATCH((B45+C45)/2,'Curve_Interface'!$K$8:$K$73,1)))/(INDEX('Curve_Interface'!$K$8:$K$73,MATCH((B45+C45)/2,'Curve_Interface'!$K$8:$K$73,1)+1)-INDEX('Curve_Interface'!$K$8:$K$73,MATCH((B45+C45)/2,'Curve_Interface'!$K$8:$K$73,1))))),INDEX('Curve_Interface'!$L$8:$L$73,MATCH((B45+C45)/2,'Curve_Interface'!$K$8:$K$73,1)))</f>
        <v/>
      </c>
      <c r="I45" s="36">
        <f>INDEX(Hazard_Bootstrap!$D$7:$D$12,MIN(COUNTIF(Hazard_Bootstrap!$B$7:$B$12,"&lt;"&amp;C45)+1,6))</f>
        <v/>
      </c>
      <c r="J45" s="36">
        <f>K44</f>
        <v/>
      </c>
      <c r="K45" s="36">
        <f>J45*EXP(-I45*E45)</f>
        <v/>
      </c>
      <c r="L45" s="36">
        <f>J45-K45</f>
        <v/>
      </c>
      <c r="M45" s="36">
        <f>D45*G45*K45</f>
        <v/>
      </c>
      <c r="N45" s="36">
        <f>(D45/2)*H45*L45</f>
        <v/>
      </c>
      <c r="O45" s="36">
        <f>H45*L45</f>
        <v/>
      </c>
    </row>
    <row r="46">
      <c r="A46" s="43" t="n">
        <v>40</v>
      </c>
      <c r="B46" s="18">
        <f>C45</f>
        <v/>
      </c>
      <c r="C46" s="18">
        <f>EDATE('Curve_Interface'!$F$7,3*39)</f>
        <v/>
      </c>
      <c r="D46" s="34">
        <f>(C46-B46)/360</f>
        <v/>
      </c>
      <c r="E46" s="34">
        <f>(C46-B46)/365</f>
        <v/>
      </c>
      <c r="F46" s="34">
        <f>(C46-VAL_DATE)/365</f>
        <v/>
      </c>
      <c r="G46" s="36">
        <f>IFERROR(IF(Curve_Interface!$J$7="Piecewise Linear (Simple)",IF(((C46-VAL_DATE)/360)&lt;=0,1,1/(1+(IF(((INDEX('Curve_Interface'!$K$8:$K$73,MATCH(C46,'Curve_Interface'!$K$8:$K$73,1))-VAL_DATE)/360)&lt;=0,IF(((INDEX('Curve_Interface'!$K$8:$K$73,MATCH(C46,'Curve_Interface'!$K$8:$K$73,1)+1)-VAL_DATE)/360)&lt;=0,0,(1/INDEX('Curve_Interface'!$L$8:$L$73,MATCH(C46,'Curve_Interface'!$K$8:$K$73,1)+1)-1)/((INDEX('Curve_Interface'!$K$8:$K$73,MATCH(C46,'Curve_Interface'!$K$8:$K$73,1)+1)-VAL_DATE)/360)),(1/INDEX('Curve_Interface'!$L$8:$L$73,MATCH(C46,'Curve_Interface'!$K$8:$K$73,1))-1)/((INDEX('Curve_Interface'!$K$8:$K$73,MATCH(C46,'Curve_Interface'!$K$8:$K$73,1))-VAL_DATE)/360))+(IF(((INDEX('Curve_Interface'!$K$8:$K$73,MATCH(C46,'Curve_Interface'!$K$8:$K$73,1)+1)-VAL_DATE)/360)&lt;=0,0,(1/INDEX('Curve_Interface'!$L$8:$L$73,MATCH(C46,'Curve_Interface'!$K$8:$K$73,1)+1)-1)/((INDEX('Curve_Interface'!$K$8:$K$73,MATCH(C46,'Curve_Interface'!$K$8:$K$73,1)+1)-VAL_DATE)/360))-IF(((INDEX('Curve_Interface'!$K$8:$K$73,MATCH(C46,'Curve_Interface'!$K$8:$K$73,1))-VAL_DATE)/360)&lt;=0,IF(((INDEX('Curve_Interface'!$K$8:$K$73,MATCH(C46,'Curve_Interface'!$K$8:$K$73,1)+1)-VAL_DATE)/360)&lt;=0,0,(1/INDEX('Curve_Interface'!$L$8:$L$73,MATCH(C46,'Curve_Interface'!$K$8:$K$73,1)+1)-1)/((INDEX('Curve_Interface'!$K$8:$K$73,MATCH(C46,'Curve_Interface'!$K$8:$K$73,1)+1)-VAL_DATE)/360)),(1/INDEX('Curve_Interface'!$L$8:$L$73,MATCH(C46,'Curve_Interface'!$K$8:$K$73,1))-1)/((INDEX('Curve_Interface'!$K$8:$K$73,MATCH(C46,'Curve_Interface'!$K$8:$K$73,1))-VAL_DATE)/360)))*IF(((INDEX('Curve_Interface'!$K$8:$K$73,MATCH(C46,'Curve_Interface'!$K$8:$K$73,1)+1)-VAL_DATE)/360)-((INDEX('Curve_Interface'!$K$8:$K$73,MATCH(C46,'Curve_Interface'!$K$8:$K$73,1))-VAL_DATE)/360)=0,0,(((C46-VAL_DATE)/360)-((INDEX('Curve_Interface'!$K$8:$K$73,MATCH(C46,'Curve_Interface'!$K$8:$K$73,1))-VAL_DATE)/360))/(((INDEX('Curve_Interface'!$K$8:$K$73,MATCH(C46,'Curve_Interface'!$K$8:$K$73,1)+1)-VAL_DATE)/360)-((INDEX('Curve_Interface'!$K$8:$K$73,MATCH(C46,'Curve_Interface'!$K$8:$K$73,1))-VAL_DATE)/360))))*((C46-VAL_DATE)/360))),INDEX('Curve_Interface'!$L$8:$L$73,MATCH(C46,'Curve_Interface'!$K$8:$K$73,1))*(INDEX('Curve_Interface'!$L$8:$L$73,MATCH(C46,'Curve_Interface'!$K$8:$K$73,1)+1)/INDEX('Curve_Interface'!$L$8:$L$73,MATCH(C46,'Curve_Interface'!$K$8:$K$73,1)))^((C46-INDEX('Curve_Interface'!$K$8:$K$73,MATCH(C46,'Curve_Interface'!$K$8:$K$73,1)))/(INDEX('Curve_Interface'!$K$8:$K$73,MATCH(C46,'Curve_Interface'!$K$8:$K$73,1)+1)-INDEX('Curve_Interface'!$K$8:$K$73,MATCH(C46,'Curve_Interface'!$K$8:$K$73,1))))),INDEX('Curve_Interface'!$L$8:$L$73,MATCH(C46,'Curve_Interface'!$K$8:$K$73,1)))</f>
        <v/>
      </c>
      <c r="H46" s="36">
        <f>IFERROR(IF(Curve_Interface!$J$7="Piecewise Linear (Simple)",IF((((B46+C46)/2-VAL_DATE)/360)&lt;=0,1,1/(1+(IF(((INDEX('Curve_Interface'!$K$8:$K$73,MATCH((B46+C46)/2,'Curve_Interface'!$K$8:$K$73,1))-VAL_DATE)/360)&lt;=0,IF(((INDEX('Curve_Interface'!$K$8:$K$73,MATCH((B46+C46)/2,'Curve_Interface'!$K$8:$K$73,1)+1)-VAL_DATE)/360)&lt;=0,0,(1/INDEX('Curve_Interface'!$L$8:$L$73,MATCH((B46+C46)/2,'Curve_Interface'!$K$8:$K$73,1)+1)-1)/((INDEX('Curve_Interface'!$K$8:$K$73,MATCH((B46+C46)/2,'Curve_Interface'!$K$8:$K$73,1)+1)-VAL_DATE)/360)),(1/INDEX('Curve_Interface'!$L$8:$L$73,MATCH((B46+C46)/2,'Curve_Interface'!$K$8:$K$73,1))-1)/((INDEX('Curve_Interface'!$K$8:$K$73,MATCH((B46+C46)/2,'Curve_Interface'!$K$8:$K$73,1))-VAL_DATE)/360))+(IF(((INDEX('Curve_Interface'!$K$8:$K$73,MATCH((B46+C46)/2,'Curve_Interface'!$K$8:$K$73,1)+1)-VAL_DATE)/360)&lt;=0,0,(1/INDEX('Curve_Interface'!$L$8:$L$73,MATCH((B46+C46)/2,'Curve_Interface'!$K$8:$K$73,1)+1)-1)/((INDEX('Curve_Interface'!$K$8:$K$73,MATCH((B46+C46)/2,'Curve_Interface'!$K$8:$K$73,1)+1)-VAL_DATE)/360))-IF(((INDEX('Curve_Interface'!$K$8:$K$73,MATCH((B46+C46)/2,'Curve_Interface'!$K$8:$K$73,1))-VAL_DATE)/360)&lt;=0,IF(((INDEX('Curve_Interface'!$K$8:$K$73,MATCH((B46+C46)/2,'Curve_Interface'!$K$8:$K$73,1)+1)-VAL_DATE)/360)&lt;=0,0,(1/INDEX('Curve_Interface'!$L$8:$L$73,MATCH((B46+C46)/2,'Curve_Interface'!$K$8:$K$73,1)+1)-1)/((INDEX('Curve_Interface'!$K$8:$K$73,MATCH((B46+C46)/2,'Curve_Interface'!$K$8:$K$73,1)+1)-VAL_DATE)/360)),(1/INDEX('Curve_Interface'!$L$8:$L$73,MATCH((B46+C46)/2,'Curve_Interface'!$K$8:$K$73,1))-1)/((INDEX('Curve_Interface'!$K$8:$K$73,MATCH((B46+C46)/2,'Curve_Interface'!$K$8:$K$73,1))-VAL_DATE)/360)))*IF(((INDEX('Curve_Interface'!$K$8:$K$73,MATCH((B46+C46)/2,'Curve_Interface'!$K$8:$K$73,1)+1)-VAL_DATE)/360)-((INDEX('Curve_Interface'!$K$8:$K$73,MATCH((B46+C46)/2,'Curve_Interface'!$K$8:$K$73,1))-VAL_DATE)/360)=0,0,((((B46+C46)/2-VAL_DATE)/360)-((INDEX('Curve_Interface'!$K$8:$K$73,MATCH((B46+C46)/2,'Curve_Interface'!$K$8:$K$73,1))-VAL_DATE)/360))/(((INDEX('Curve_Interface'!$K$8:$K$73,MATCH((B46+C46)/2,'Curve_Interface'!$K$8:$K$73,1)+1)-VAL_DATE)/360)-((INDEX('Curve_Interface'!$K$8:$K$73,MATCH((B46+C46)/2,'Curve_Interface'!$K$8:$K$73,1))-VAL_DATE)/360))))*(((B46+C46)/2-VAL_DATE)/360))),INDEX('Curve_Interface'!$L$8:$L$73,MATCH((B46+C46)/2,'Curve_Interface'!$K$8:$K$73,1))*(INDEX('Curve_Interface'!$L$8:$L$73,MATCH((B46+C46)/2,'Curve_Interface'!$K$8:$K$73,1)+1)/INDEX('Curve_Interface'!$L$8:$L$73,MATCH((B46+C46)/2,'Curve_Interface'!$K$8:$K$73,1)))^(((B46+C46)/2-INDEX('Curve_Interface'!$K$8:$K$73,MATCH((B46+C46)/2,'Curve_Interface'!$K$8:$K$73,1)))/(INDEX('Curve_Interface'!$K$8:$K$73,MATCH((B46+C46)/2,'Curve_Interface'!$K$8:$K$73,1)+1)-INDEX('Curve_Interface'!$K$8:$K$73,MATCH((B46+C46)/2,'Curve_Interface'!$K$8:$K$73,1))))),INDEX('Curve_Interface'!$L$8:$L$73,MATCH((B46+C46)/2,'Curve_Interface'!$K$8:$K$73,1)))</f>
        <v/>
      </c>
      <c r="I46" s="36">
        <f>INDEX(Hazard_Bootstrap!$D$7:$D$12,MIN(COUNTIF(Hazard_Bootstrap!$B$7:$B$12,"&lt;"&amp;C46)+1,6))</f>
        <v/>
      </c>
      <c r="J46" s="36">
        <f>K45</f>
        <v/>
      </c>
      <c r="K46" s="36">
        <f>J46*EXP(-I46*E46)</f>
        <v/>
      </c>
      <c r="L46" s="36">
        <f>J46-K46</f>
        <v/>
      </c>
      <c r="M46" s="36">
        <f>D46*G46*K46</f>
        <v/>
      </c>
      <c r="N46" s="36">
        <f>(D46/2)*H46*L46</f>
        <v/>
      </c>
      <c r="O46" s="36">
        <f>H46*L46</f>
        <v/>
      </c>
    </row>
  </sheetData>
  <mergeCells count="1">
    <mergeCell ref="A4:O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6A1B9A"/>
    <outlinePr summaryBelow="1" summaryRight="1"/>
    <pageSetUpPr/>
  </sheetPr>
  <dimension ref="A1:J5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78" customWidth="1" min="10" max="10"/>
  </cols>
  <sheetData>
    <row r="1">
      <c r="A1" s="1" t="inlineStr">
        <is>
          <t>CDS_Pricer</t>
        </is>
      </c>
    </row>
    <row r="2">
      <c r="A2" s="2" t="inlineStr">
        <is>
          <t>Price a CDS off the SOFR + hazard curves (protection − premium legs)</t>
        </is>
      </c>
    </row>
    <row r="3">
      <c r="J3" s="136" t="inlineStr">
        <is>
          <t>PRICING EQUATIONS</t>
        </is>
      </c>
    </row>
    <row r="4">
      <c r="A4" s="5" t="inlineStr">
        <is>
          <t>Notional</t>
        </is>
      </c>
      <c r="B4" s="21">
        <f>CDS_Parameters!$B$9</f>
        <v/>
      </c>
      <c r="J4" s="138" t="inlineStr">
        <is>
          <t>(3.1)  Market Value = Protection Leg - Premium Leg</t>
        </is>
      </c>
    </row>
    <row r="5">
      <c r="A5" s="5" t="inlineStr">
        <is>
          <t>Recovery R</t>
        </is>
      </c>
      <c r="B5" s="58">
        <f>CDS_Parameters!$B$8</f>
        <v/>
      </c>
      <c r="J5" s="139" t="inlineStr">
        <is>
          <t xml:space="preserve">       both discounted to the pricing date T</t>
        </is>
      </c>
    </row>
    <row r="6">
      <c r="A6" s="5" t="inlineStr">
        <is>
          <t>Contractual coupon (bp)</t>
        </is>
      </c>
      <c r="B6" s="41">
        <f>CDS_Parameters!$B$10</f>
        <v/>
      </c>
      <c r="C6" s="16" t="inlineStr">
        <is>
          <t>Overtype to price an off-market coupon.</t>
        </is>
      </c>
      <c r="J6" s="138" t="inlineStr">
        <is>
          <t>(3.2)  Upfront      = Market Value / D(T_s) + Accrued Interest</t>
        </is>
      </c>
    </row>
    <row r="7">
      <c r="A7" s="5" t="inlineStr">
        <is>
          <t>Maturity (tenor yrs)</t>
        </is>
      </c>
      <c r="B7" s="41" t="n">
        <v>5</v>
      </c>
      <c r="J7" s="138" t="inlineStr">
        <is>
          <t>(3.3)  Par spread S = Protection / (Premium - AI*D(T_s))   at C=1bp</t>
        </is>
      </c>
    </row>
    <row r="8">
      <c r="A8" s="5" t="inlineStr">
        <is>
          <t>Maturity date</t>
        </is>
      </c>
      <c r="B8" s="18">
        <f>EDATE('Curve_Interface'!$F$7,3*(4*B7-1))</f>
        <v/>
      </c>
      <c r="J8" s="137" t="n"/>
    </row>
    <row r="9">
      <c r="A9" s="5" t="inlineStr">
        <is>
          <t>Direction</t>
        </is>
      </c>
      <c r="B9" s="6">
        <f>CDS_Parameters!$B$15</f>
        <v/>
      </c>
      <c r="J9" s="138" t="inlineStr">
        <is>
          <t>O-T (1b)  MTM = +/- [ S(t_V,t_N) - S(t_0,t_N) ] * RPV01</t>
        </is>
      </c>
    </row>
    <row r="10">
      <c r="A10" s="11" t="n"/>
      <c r="B10" s="11" t="n"/>
      <c r="J10" s="139" t="inlineStr">
        <is>
          <t xml:space="preserve">          equivalent form, + for long protection</t>
        </is>
      </c>
    </row>
    <row r="11">
      <c r="A11" s="59" t="inlineStr">
        <is>
          <t>RESULTS</t>
        </is>
      </c>
      <c r="B11" s="11" t="n"/>
      <c r="J11" s="137" t="n"/>
    </row>
    <row r="12">
      <c r="A12" s="5" t="inlineStr">
        <is>
          <t>RPV01 (risky annuity)</t>
        </is>
      </c>
      <c r="B12" s="17">
        <f>SUMIF(CDS_Schedule!$C$7:$C$46,"&lt;="&amp;B8,CDS_Schedule!$M$7:$M$46)+SUMIF(CDS_Schedule!$C$7:$C$46,"&lt;="&amp;B8,CDS_Schedule!$N$7:$N$46)</f>
        <v/>
      </c>
      <c r="C12" s="16" t="inlineStr">
        <is>
          <t>Scheduled + accrual-on-default.</t>
        </is>
      </c>
      <c r="J12" s="138" t="inlineStr">
        <is>
          <t>Accrued Interest = A * C * D0,   D0 = accrued days / 360</t>
        </is>
      </c>
    </row>
    <row r="13">
      <c r="A13" s="5" t="inlineStr">
        <is>
          <t>Protection PV</t>
        </is>
      </c>
      <c r="B13" s="44">
        <f>B4*(1-B5)*SUMIF(CDS_Schedule!$C$7:$C$46,"&lt;="&amp;B8,CDS_Schedule!$O$7:$O$46)</f>
        <v/>
      </c>
      <c r="J13" s="139" t="inlineStr">
        <is>
          <t>accrued days include the pricing date (p.7)</t>
        </is>
      </c>
    </row>
    <row r="14">
      <c r="A14" s="5" t="inlineStr">
        <is>
          <t>Premium PV (@ coupon)</t>
        </is>
      </c>
      <c r="B14" s="44">
        <f>B4*(B6/10000)*B12</f>
        <v/>
      </c>
      <c r="J14" s="139" t="inlineStr">
        <is>
          <t>T_s = T + 3 business days (p.6)</t>
        </is>
      </c>
    </row>
    <row r="15">
      <c r="A15" s="132" t="inlineStr">
        <is>
          <t>Par spread (bp)  (3.3)</t>
        </is>
      </c>
      <c r="B15" s="133">
        <f>(1-B5)*SUMIF(CDS_Schedule!$C$7:$C$46,"&lt;="&amp;B8,CDS_Schedule!$O$7:$O$46)/(B12-CDS_Parameters!$B$26)*10000</f>
        <v/>
      </c>
      <c r="C15" s="65" t="inlineStr">
        <is>
          <t>Protection / (RPV01 net of accrued interest x D(T_s)).</t>
        </is>
      </c>
      <c r="J15" s="137" t="n"/>
    </row>
    <row r="16">
      <c r="A16" s="5" t="inlineStr">
        <is>
          <t>PV — protection buyer</t>
        </is>
      </c>
      <c r="B16" s="44">
        <f>B13-B14</f>
        <v/>
      </c>
      <c r="C16" s="16" t="inlineStr">
        <is>
          <t>Protection − Premium.</t>
        </is>
      </c>
      <c r="J16" s="139" t="inlineStr">
        <is>
          <t>Upfront is identically 0 when C = S. That is the check that accrued</t>
        </is>
      </c>
    </row>
    <row r="17">
      <c r="A17" s="5" t="inlineStr">
        <is>
          <t>PV to your direction</t>
        </is>
      </c>
      <c r="B17" s="44">
        <f>IF(B9="Buy protection",B13-B14,B14-B13)</f>
        <v/>
      </c>
      <c r="J17" s="139" t="inlineStr">
        <is>
          <t>interest enters with a + sign, which the wording alone does not settle.</t>
        </is>
      </c>
    </row>
    <row r="18">
      <c r="A18" s="5" t="inlineStr">
        <is>
          <t>Upfront (% notional)</t>
        </is>
      </c>
      <c r="B18" s="60">
        <f>B17/B4*100</f>
        <v/>
      </c>
    </row>
    <row r="19">
      <c r="A19" s="132" t="inlineStr">
        <is>
          <t>PV01  (premium leg net of AI, per 1bp)</t>
        </is>
      </c>
      <c r="B19" s="120">
        <f>B4*(B12-CDS_Parameters!$B$26)*0.0001</f>
        <v/>
      </c>
    </row>
    <row r="20">
      <c r="A20" s="94" t="inlineStr">
        <is>
          <t>Market Value  (3.1)</t>
        </is>
      </c>
      <c r="B20" s="119">
        <f>B13-B14</f>
        <v/>
      </c>
      <c r="C20" s="65" t="inlineStr">
        <is>
          <t>Protection leg minus premium leg, both to the pricing date.</t>
        </is>
      </c>
    </row>
    <row r="21">
      <c r="A21" s="4" t="inlineStr">
        <is>
          <t>RISK MEASURES (analytic, first-order)</t>
        </is>
      </c>
    </row>
    <row r="22">
      <c r="A22" s="5" t="inlineStr">
        <is>
          <t>CS01  (per +1bp spread)</t>
        </is>
      </c>
      <c r="B22" s="44">
        <f>B4*B12*0.0001</f>
        <v/>
      </c>
      <c r="C22" s="16" t="inlineStr">
        <is>
          <t>Spread DV01 = Notional*RPV01*1bp.</t>
        </is>
      </c>
    </row>
    <row r="23">
      <c r="A23" s="5" t="inlineStr">
        <is>
          <t>IR01 / DV01  (per +1bp SOFR)</t>
        </is>
      </c>
      <c r="B23" s="44">
        <f>-(B4*(1-B5)*SUMPRODUCT((CDS_Schedule!$C$7:$C$46&lt;=B8)*CDS_Schedule!$O$7:$O$46*CDS_Schedule!$F$7:$F$46)-B4*(B6/10000)*SUMPRODUCT((CDS_Schedule!$C$7:$C$46&lt;=B8)*(CDS_Schedule!$M$7:$M$46+CDS_Schedule!$N$7:$N$46)*CDS_Schedule!$F$7:$F$46))*0.0001</f>
        <v/>
      </c>
      <c r="C23" s="16" t="inlineStr">
        <is>
          <t>Net-leg dollar duration x 1bp (small for CDS).</t>
        </is>
      </c>
    </row>
    <row r="24">
      <c r="A24" s="5" t="inlineStr">
        <is>
          <t>Rec01  (per +1% recovery)</t>
        </is>
      </c>
      <c r="B24" s="44">
        <f>-B4*SUMIF(CDS_Schedule!$C$7:$C$46,"&lt;="&amp;B8,CDS_Schedule!$O$7:$O$46)*0.01</f>
        <v/>
      </c>
      <c r="C24" s="16" t="inlineStr">
        <is>
          <t>Sticky-hazard (hazards held; proper Rec01 re-fits spreads).</t>
        </is>
      </c>
    </row>
    <row r="25">
      <c r="A25" s="5" t="inlineStr">
        <is>
          <t>Jump-to-default (immediate)</t>
        </is>
      </c>
      <c r="B25" s="45">
        <f>IF(B9="Buy protection",B4*(1-B5),-B4*(1-B5))-B17</f>
        <v/>
      </c>
      <c r="C25" s="16" t="inlineStr">
        <is>
          <t>Default-now P&amp;L to your direction: LGD payout - current PV.</t>
        </is>
      </c>
    </row>
    <row r="26">
      <c r="A26" s="94" t="inlineStr">
        <is>
          <t>Accrued Interest  A*C*D0</t>
        </is>
      </c>
      <c r="B26" s="120">
        <f>B4*(B6/10000)*CDS_Parameters!$B$25</f>
        <v/>
      </c>
    </row>
    <row r="27">
      <c r="A27" s="67" t="inlineStr">
        <is>
          <t>Upfront  (3.2)</t>
        </is>
      </c>
      <c r="B27" s="119">
        <f>B20/CDS_Parameters!$B$22+B26</f>
        <v/>
      </c>
      <c r="C27" s="65" t="inlineStr">
        <is>
          <t>Market Value / D(T_s) + Accrued Interest. Identically zero when C = S.</t>
        </is>
      </c>
    </row>
    <row r="28">
      <c r="A28" s="67" t="inlineStr">
        <is>
          <t>CDSW SCREEN OUTPUT</t>
        </is>
      </c>
    </row>
    <row r="29">
      <c r="A29" s="65" t="inlineStr">
        <is>
          <t>Settlement figures in CDSW order. S = par spread from the curve (B15), C = contractual coupon (B6).</t>
        </is>
      </c>
    </row>
    <row r="30">
      <c r="A30" s="94" t="inlineStr">
        <is>
          <t>1st accrual start</t>
        </is>
      </c>
      <c r="B30" s="86">
        <f>IF(MONTH((EDATE(CDS_Parameters!$B$5,-3)+IF(WEEKDAY(EDATE(CDS_Parameters!$B$5,-3),2)=6,2,IF(WEEKDAY(EDATE(CDS_Parameters!$B$5,-3),2)=7,1,0))))&lt;&gt;MONTH(EDATE(CDS_Parameters!$B$5,-3)),(EDATE(CDS_Parameters!$B$5,-3)-IF(WEEKDAY(EDATE(CDS_Parameters!$B$5,-3),2)=6,1,IF(WEEKDAY(EDATE(CDS_Parameters!$B$5,-3),2)=7,2,0))),(EDATE(CDS_Parameters!$B$5,-3)+IF(WEEKDAY(EDATE(CDS_Parameters!$B$5,-3),2)=6,2,IF(WEEKDAY(EDATE(CDS_Parameters!$B$5,-3),2)=7,1,0))))</f>
        <v/>
      </c>
      <c r="C30" s="65" t="inlineStr">
        <is>
          <t>Previous IMM roll, business-day adjusted. 20 Jun 2026 is a Saturday, so the screen shows 06/22/26.</t>
        </is>
      </c>
    </row>
    <row r="31">
      <c r="A31" s="67" t="inlineStr">
        <is>
          <t>Points upfront</t>
        </is>
      </c>
      <c r="B31" s="71">
        <f>(($B$15/10000)-CDS_Parameters!$B$10/10000)*$B$12*100</f>
        <v/>
      </c>
      <c r="C31" s="65" t="inlineStr">
        <is>
          <t>(S - C) * RPV01 * 100, protection buyer.</t>
        </is>
      </c>
    </row>
    <row r="32">
      <c r="A32" s="67" t="inlineStr">
        <is>
          <t>Price</t>
        </is>
      </c>
      <c r="B32" s="71">
        <f>100-B31</f>
        <v/>
      </c>
      <c r="C32" s="65" t="inlineStr">
        <is>
          <t>100 - points upfront.</t>
        </is>
      </c>
    </row>
    <row r="33">
      <c r="A33" s="94" t="inlineStr">
        <is>
          <t>Principal</t>
        </is>
      </c>
      <c r="B33" s="103">
        <f>IF(CDS_Parameters!$B$15="Buy protection",1,-1)*(($B$15/10000)-CDS_Parameters!$B$10/10000)*$B$12*CDS_Parameters!$B$9</f>
        <v/>
      </c>
      <c r="C33" s="65" t="inlineStr">
        <is>
          <t>Clean upfront in cash.</t>
        </is>
      </c>
    </row>
    <row r="34">
      <c r="A34" s="94" t="inlineStr">
        <is>
          <t>Accrued days</t>
        </is>
      </c>
      <c r="B34" s="104">
        <f>MAX(0,CDS_Parameters!$B$4-B30+1)</f>
        <v/>
      </c>
      <c r="C34" s="65" t="inlineStr">
        <is>
          <t>ISDA counts both endpoints.</t>
        </is>
      </c>
    </row>
    <row r="35">
      <c r="A35" s="94" t="inlineStr">
        <is>
          <t>Accrued</t>
        </is>
      </c>
      <c r="B35" s="103">
        <f>-IF(CDS_Parameters!$B$15="Buy protection",1,-1)*CDS_Parameters!$B$10/10000*CDS_Parameters!$B$9*B34/360</f>
        <v/>
      </c>
      <c r="C35" s="65" t="inlineStr">
        <is>
          <t>Coupon * notional * days/360.</t>
        </is>
      </c>
    </row>
    <row r="36">
      <c r="A36" s="67" t="inlineStr">
        <is>
          <t>Cash Amount</t>
        </is>
      </c>
      <c r="B36" s="105">
        <f>B33+B35</f>
        <v/>
      </c>
      <c r="C36" s="65" t="inlineStr">
        <is>
          <t>Principal + accrued.</t>
        </is>
      </c>
    </row>
    <row r="37">
      <c r="A37" s="94" t="inlineStr">
        <is>
          <t>Default Exposure</t>
        </is>
      </c>
      <c r="B37" s="103">
        <f>(1-CDS_Parameters!$B$8)*CDS_Parameters!$B$9-B33</f>
        <v/>
      </c>
      <c r="C37" s="65" t="inlineStr">
        <is>
          <t>(1-R) * notional less the principal already paid.</t>
        </is>
      </c>
    </row>
    <row r="38">
      <c r="A38" s="66" t="inlineStr">
        <is>
          <t>Upfront (3.2) above is the paper's total. How it splits into CDSW's Principal / Accrued / Cash is NOT given by the paper - that mapping is unverified and awaits a live screen check.</t>
        </is>
      </c>
    </row>
    <row r="39">
      <c r="A39" s="65" t="inlineStr">
        <is>
          <t>CDSW reference (CINDBK 5Y, 07/21/26): pts upfront -1.97596265, price 101.97596265, principal -197,597, accrued -8,333 (30d), cash -205,930, def exp 6,197,596. Targets for a like-for-like trade; the demo spreads here are not that entity.</t>
        </is>
      </c>
    </row>
    <row r="41">
      <c r="A41" s="67" t="inlineStr">
        <is>
          <t>MODEL vs CAPTURED CDSW  (active entity)</t>
        </is>
      </c>
    </row>
    <row r="42">
      <c r="A42" s="65" t="inlineStr">
        <is>
          <t>Blank until the CDSW capture is typed into CDS_Entities. This is the acceptance test for the module.</t>
        </is>
      </c>
    </row>
    <row r="43">
      <c r="A43" s="141" t="inlineStr">
        <is>
          <t>Measure</t>
        </is>
      </c>
      <c r="B43" s="141" t="inlineStr">
        <is>
          <t>CDSW captured</t>
        </is>
      </c>
      <c r="C43" s="141" t="inlineStr">
        <is>
          <t>Model</t>
        </is>
      </c>
      <c r="D43" s="141" t="inlineStr">
        <is>
          <t>Diff</t>
        </is>
      </c>
    </row>
    <row r="44">
      <c r="A44" s="94" t="inlineStr">
        <is>
          <t>Points upfront</t>
        </is>
      </c>
      <c r="B44" s="87">
        <f>IFERROR(INDEX(CDS_Entities!$S$5:$S$14,CDS_Parameters!$B$28),"")</f>
        <v/>
      </c>
      <c r="C44" s="93">
        <f>B31</f>
        <v/>
      </c>
      <c r="D44" s="93">
        <f>IF(OR(B44="",NOT(ISNUMBER(B44))),"",C44-B44)</f>
        <v/>
      </c>
    </row>
    <row r="45">
      <c r="A45" s="94" t="inlineStr">
        <is>
          <t>Price</t>
        </is>
      </c>
      <c r="B45" s="87">
        <f>IFERROR(INDEX(CDS_Entities!$T$5:$T$14,CDS_Parameters!$B$28),"")</f>
        <v/>
      </c>
      <c r="C45" s="93">
        <f>B32</f>
        <v/>
      </c>
      <c r="D45" s="93">
        <f>IF(OR(B45="",NOT(ISNUMBER(B45))),"",C45-B45)</f>
        <v/>
      </c>
    </row>
    <row r="46">
      <c r="A46" s="94" t="inlineStr">
        <is>
          <t>Principal</t>
        </is>
      </c>
      <c r="B46" s="87">
        <f>IFERROR(INDEX(CDS_Entities!$U$5:$U$14,CDS_Parameters!$B$28),"")</f>
        <v/>
      </c>
      <c r="C46" s="93">
        <f>B33</f>
        <v/>
      </c>
      <c r="D46" s="93">
        <f>IF(OR(B46="",NOT(ISNUMBER(B46))),"",C46-B46)</f>
        <v/>
      </c>
    </row>
    <row r="47">
      <c r="A47" s="94" t="inlineStr">
        <is>
          <t>Accrued days</t>
        </is>
      </c>
      <c r="B47" s="87">
        <f>IFERROR(INDEX(CDS_Entities!$V$5:$V$14,CDS_Parameters!$B$28),"")</f>
        <v/>
      </c>
      <c r="C47" s="93">
        <f>B34</f>
        <v/>
      </c>
      <c r="D47" s="93">
        <f>IF(OR(B47="",NOT(ISNUMBER(B47))),"",C47-B47)</f>
        <v/>
      </c>
    </row>
    <row r="48">
      <c r="A48" s="94" t="inlineStr">
        <is>
          <t>Accrued</t>
        </is>
      </c>
      <c r="B48" s="87">
        <f>IFERROR(INDEX(CDS_Entities!$W$5:$W$14,CDS_Parameters!$B$28),"")</f>
        <v/>
      </c>
      <c r="C48" s="93">
        <f>B35</f>
        <v/>
      </c>
      <c r="D48" s="93">
        <f>IF(OR(B48="",NOT(ISNUMBER(B48))),"",C48-B48)</f>
        <v/>
      </c>
    </row>
    <row r="49">
      <c r="A49" s="94" t="inlineStr">
        <is>
          <t>Cash amount</t>
        </is>
      </c>
      <c r="B49" s="87">
        <f>IFERROR(INDEX(CDS_Entities!$X$5:$X$14,CDS_Parameters!$B$28),"")</f>
        <v/>
      </c>
      <c r="C49" s="93">
        <f>B36</f>
        <v/>
      </c>
      <c r="D49" s="93">
        <f>IF(OR(B49="",NOT(ISNUMBER(B49))),"",C49-B49)</f>
        <v/>
      </c>
    </row>
    <row r="50">
      <c r="A50" s="94" t="inlineStr">
        <is>
          <t>Def exposure</t>
        </is>
      </c>
      <c r="B50" s="87">
        <f>IFERROR(INDEX(CDS_Entities!$AB$5:$AB$14,CDS_Parameters!$B$28),"")</f>
        <v/>
      </c>
      <c r="C50" s="93">
        <f>B37</f>
        <v/>
      </c>
      <c r="D50" s="93">
        <f>IF(OR(B50="",NOT(ISNUMBER(B50))),"",C50-B50)</f>
        <v/>
      </c>
    </row>
  </sheetData>
  <mergeCells count="9">
    <mergeCell ref="C25:H25"/>
    <mergeCell ref="C6:H6"/>
    <mergeCell ref="C24:H24"/>
    <mergeCell ref="C16:H16"/>
    <mergeCell ref="A21:H21"/>
    <mergeCell ref="C22:H22"/>
    <mergeCell ref="C23:H23"/>
    <mergeCell ref="C12:H12"/>
    <mergeCell ref="C15:H1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6A1B9A"/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CDS_Validation</t>
        </is>
      </c>
    </row>
    <row r="2">
      <c r="A2" s="2" t="inlineStr">
        <is>
          <t>Internal checks + the flat-curve approximation s ≈ (1-R)·lambda</t>
        </is>
      </c>
    </row>
    <row r="4">
      <c r="A4" s="13" t="inlineStr">
        <is>
          <t>Check</t>
        </is>
      </c>
      <c r="B4" s="13" t="inlineStr">
        <is>
          <t>Value</t>
        </is>
      </c>
      <c r="C4" s="13" t="inlineStr">
        <is>
          <t>Target</t>
        </is>
      </c>
    </row>
    <row r="5">
      <c r="A5" s="19" t="inlineStr">
        <is>
          <t>Q(0) = 1</t>
        </is>
      </c>
      <c r="B5" s="61">
        <f>CDS_Schedule!J7</f>
        <v/>
      </c>
      <c r="C5" s="16" t="inlineStr">
        <is>
          <t>1 (exact)</t>
        </is>
      </c>
    </row>
    <row r="6">
      <c r="A6" s="19" t="inlineStr">
        <is>
          <t>Survival monotone (min ΔPD ≥ 0)</t>
        </is>
      </c>
      <c r="B6" s="61">
        <f>MIN(CDS_Schedule!$L$7:$L$46)</f>
        <v/>
      </c>
      <c r="C6" s="16" t="inlineStr">
        <is>
          <t>≥ 0 ✓</t>
        </is>
      </c>
    </row>
    <row r="7">
      <c r="A7" s="19" t="inlineStr">
        <is>
          <t>All hazards ≥ 0</t>
        </is>
      </c>
      <c r="B7" s="61">
        <f>MIN(Hazard_Bootstrap!$D$7:$D$12)</f>
        <v/>
      </c>
      <c r="C7" s="16" t="inlineStr">
        <is>
          <t>≥ 0 ✓</t>
        </is>
      </c>
    </row>
    <row r="8">
      <c r="A8" s="19" t="inlineStr">
        <is>
          <t>Q(T) in (0,1]</t>
        </is>
      </c>
      <c r="B8" s="61">
        <f>AND(MIN(CDS_Schedule!$K$7:$K$46)&gt;0,MAX(CDS_Schedule!$K$7:$K$46)&lt;=1)</f>
        <v/>
      </c>
      <c r="C8" s="16" t="inlineStr">
        <is>
          <t>TRUE ✓</t>
        </is>
      </c>
    </row>
    <row r="9">
      <c r="A9" s="19" t="inlineStr">
        <is>
          <t>Max |repricing error| (bp)</t>
        </is>
      </c>
      <c r="B9" s="61">
        <f>MAX(ABS(Hazard_Bootstrap!$J$7:$J$12))</f>
        <v/>
      </c>
      <c r="C9" s="16" t="inlineStr">
        <is>
          <t>→0 after Goal Seek (&lt;0.01)</t>
        </is>
      </c>
    </row>
    <row r="11">
      <c r="A11" s="4" t="inlineStr">
        <is>
          <t>Approx check:  lambda ≈ s/(1-R)   (exact only for a flat curve)</t>
        </is>
      </c>
    </row>
    <row r="12">
      <c r="A12" s="13" t="inlineStr">
        <is>
          <t>Tenor</t>
        </is>
      </c>
      <c r="B12" s="13" t="inlineStr">
        <is>
          <t>Bootstrapped lambda</t>
        </is>
      </c>
      <c r="C12" s="13" t="inlineStr">
        <is>
          <t>s/(1-R)</t>
        </is>
      </c>
      <c r="D12" s="13" t="inlineStr">
        <is>
          <t>diff</t>
        </is>
      </c>
    </row>
    <row r="13">
      <c r="A13" s="19" t="inlineStr">
        <is>
          <t>1Y</t>
        </is>
      </c>
      <c r="B13" s="51">
        <f>Hazard_Bootstrap!D7</f>
        <v/>
      </c>
      <c r="C13" s="51">
        <f>CDS_Quotes!G7</f>
        <v/>
      </c>
      <c r="D13" s="51">
        <f>B13-C13</f>
        <v/>
      </c>
    </row>
    <row r="14">
      <c r="A14" s="19" t="inlineStr">
        <is>
          <t>2Y</t>
        </is>
      </c>
      <c r="B14" s="51">
        <f>Hazard_Bootstrap!D8</f>
        <v/>
      </c>
      <c r="C14" s="51">
        <f>CDS_Quotes!G8</f>
        <v/>
      </c>
      <c r="D14" s="51">
        <f>B14-C14</f>
        <v/>
      </c>
    </row>
    <row r="15">
      <c r="A15" s="19" t="inlineStr">
        <is>
          <t>3Y</t>
        </is>
      </c>
      <c r="B15" s="51">
        <f>Hazard_Bootstrap!D9</f>
        <v/>
      </c>
      <c r="C15" s="51">
        <f>CDS_Quotes!G9</f>
        <v/>
      </c>
      <c r="D15" s="51">
        <f>B15-C15</f>
        <v/>
      </c>
    </row>
    <row r="16">
      <c r="A16" s="19" t="inlineStr">
        <is>
          <t>5Y</t>
        </is>
      </c>
      <c r="B16" s="51">
        <f>Hazard_Bootstrap!D10</f>
        <v/>
      </c>
      <c r="C16" s="51">
        <f>CDS_Quotes!G10</f>
        <v/>
      </c>
      <c r="D16" s="51">
        <f>B16-C16</f>
        <v/>
      </c>
    </row>
    <row r="17">
      <c r="A17" s="19" t="inlineStr">
        <is>
          <t>7Y</t>
        </is>
      </c>
      <c r="B17" s="51">
        <f>Hazard_Bootstrap!D11</f>
        <v/>
      </c>
      <c r="C17" s="51">
        <f>CDS_Quotes!G11</f>
        <v/>
      </c>
      <c r="D17" s="51">
        <f>B17-C17</f>
        <v/>
      </c>
    </row>
    <row r="18">
      <c r="A18" s="19" t="inlineStr">
        <is>
          <t>10Y</t>
        </is>
      </c>
      <c r="B18" s="51">
        <f>Hazard_Bootstrap!D12</f>
        <v/>
      </c>
      <c r="C18" s="51">
        <f>CDS_Quotes!G12</f>
        <v/>
      </c>
      <c r="D18" s="51">
        <f>B18-C18</f>
        <v/>
      </c>
    </row>
    <row r="20">
      <c r="A20" s="66" t="inlineStr">
        <is>
          <t>Internal consistency only: these confirm the curve reprices its own inputs, not that it agrees with Bloomberg. No hazard-rate export exists. Compare CDSW output for a known trade.</t>
        </is>
      </c>
    </row>
  </sheetData>
  <mergeCells count="1"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2026-07-21T11:56:58Z</dcterms:created>
  <dcterms:modified xmlns:dcterms="http://purl.org/dc/terms/" xmlns:xsi="http://www.w3.org/2001/XMLSchema-instance" xsi:type="dcterms:W3CDTF">2026-07-22T09:17:00Z</dcterms:modified>
</cp:coreProperties>
</file>