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Client Pricing" sheetId="10" state="visible" r:id="rId10"/>
    <sheet xmlns:r="http://schemas.openxmlformats.org/officeDocument/2006/relationships" name="SWPM" sheetId="11" state="visible" r:id="rId11"/>
    <sheet xmlns:r="http://schemas.openxmlformats.org/officeDocument/2006/relationships" name="Swap_Check" sheetId="12" state="visible" r:id="rId12"/>
    <sheet xmlns:r="http://schemas.openxmlformats.org/officeDocument/2006/relationships" name="Sheet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  <font>
      <name val="Calibri"/>
      <b val="1"/>
      <color rgb="00006100"/>
      <sz val="13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  <xf numFmtId="0" fontId="8" fillId="3" borderId="0" pivotButton="0" quotePrefix="0" xfId="0"/>
    <xf numFmtId="0" fontId="0" fillId="3" borderId="0" pivotButton="0" quotePrefix="0" xfId="0"/>
    <xf numFmtId="170" fontId="0" fillId="3" borderId="0" pivotButton="0" quotePrefix="0" xfId="0"/>
    <xf numFmtId="168" fontId="0" fillId="0" borderId="0" pivotButton="0" quotePrefix="0" xfId="0"/>
    <xf numFmtId="3" fontId="34" fillId="2" borderId="0" pivotButton="0" quotePrefix="0" xfId="0"/>
    <xf numFmtId="168" fontId="35" fillId="4" borderId="0" pivotButton="0" quotePrefix="0" xfId="0"/>
    <xf numFmtId="165" fontId="34" fillId="2" borderId="1" pivotButton="0" quotePrefix="0" xfId="0"/>
    <xf numFmtId="3" fontId="26" fillId="2" borderId="0" pivotButton="0" quotePrefix="0" xfId="0"/>
    <xf numFmtId="2" fontId="3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6" customWidth="1" min="7" max="7"/>
    <col width="10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</cols>
  <sheetData>
    <row r="1">
      <c r="A1" s="1" t="inlineStr">
        <is>
          <t>Hedging the trade</t>
        </is>
      </c>
    </row>
    <row r="3">
      <c r="A3" s="51" t="inlineStr">
        <is>
          <t>Tenor</t>
        </is>
      </c>
      <c r="B3" s="51" t="inlineStr">
        <is>
          <t>dv01</t>
        </is>
      </c>
    </row>
    <row r="4">
      <c r="A4" t="inlineStr">
        <is>
          <t>2D</t>
        </is>
      </c>
      <c r="B4" s="55">
        <f>'KRD-v3'!B8</f>
        <v/>
      </c>
      <c r="E4" t="inlineStr">
        <is>
          <t>y1 exposure</t>
        </is>
      </c>
      <c r="F4" s="55">
        <f>$B$8+$B$9+$B$10+$B$11</f>
        <v/>
      </c>
    </row>
    <row r="5">
      <c r="A5" t="inlineStr">
        <is>
          <t>1W</t>
        </is>
      </c>
      <c r="B5" s="55">
        <f>'KRD-v3'!B9</f>
        <v/>
      </c>
      <c r="E5" t="inlineStr">
        <is>
          <t>y4-y10 exposure</t>
        </is>
      </c>
      <c r="F5" s="55">
        <f>$B$14+$B$15+$B$16+$B$17</f>
        <v/>
      </c>
    </row>
    <row r="6">
      <c r="A6" t="inlineStr">
        <is>
          <t>1M</t>
        </is>
      </c>
      <c r="B6" s="55">
        <f>'KRD-v3'!B10</f>
        <v/>
      </c>
    </row>
    <row r="7">
      <c r="A7" t="inlineStr">
        <is>
          <t>2M</t>
        </is>
      </c>
      <c r="B7" s="55">
        <f>'KRD-v3'!B11</f>
        <v/>
      </c>
    </row>
    <row r="8">
      <c r="A8" t="inlineStr">
        <is>
          <t>3M</t>
        </is>
      </c>
      <c r="B8" s="55">
        <f>'KRD-v3'!B12</f>
        <v/>
      </c>
      <c r="E8" t="inlineStr">
        <is>
          <t>Original Trade</t>
        </is>
      </c>
      <c r="F8" s="79" t="inlineStr">
        <is>
          <t>HSBC pay Float 3m CD, Q/A365</t>
        </is>
      </c>
    </row>
    <row r="9">
      <c r="A9" t="inlineStr">
        <is>
          <t>6M</t>
        </is>
      </c>
      <c r="B9" s="55">
        <f>'KRD-v3'!B13</f>
        <v/>
      </c>
      <c r="F9" s="7" t="inlineStr">
        <is>
          <t>fixed leg -&gt; back-end risk</t>
        </is>
      </c>
    </row>
    <row r="10">
      <c r="A10" t="inlineStr">
        <is>
          <t>9M</t>
        </is>
      </c>
      <c r="B10" s="55">
        <f>'KRD-v3'!B14</f>
        <v/>
      </c>
    </row>
    <row r="11">
      <c r="A11" t="inlineStr">
        <is>
          <t>1Y</t>
        </is>
      </c>
      <c r="B11" s="55">
        <f>'KRD-v3'!B15</f>
        <v/>
      </c>
    </row>
    <row r="12">
      <c r="A12" t="inlineStr">
        <is>
          <t>2Y</t>
        </is>
      </c>
      <c r="B12" s="55">
        <f>'KRD-v3'!B16</f>
        <v/>
      </c>
    </row>
    <row r="13">
      <c r="A13" t="inlineStr">
        <is>
          <t>3Y</t>
        </is>
      </c>
      <c r="B13" s="55">
        <f>'KRD-v3'!B17</f>
        <v/>
      </c>
    </row>
    <row r="14">
      <c r="A14" t="inlineStr">
        <is>
          <t>4Y</t>
        </is>
      </c>
      <c r="B14" s="55">
        <f>'KRD-v3'!B18</f>
        <v/>
      </c>
    </row>
    <row r="15">
      <c r="A15" t="inlineStr">
        <is>
          <t>5Y</t>
        </is>
      </c>
      <c r="B15" s="55">
        <f>'KRD-v3'!B19</f>
        <v/>
      </c>
    </row>
    <row r="16">
      <c r="A16" t="inlineStr">
        <is>
          <t>7Y</t>
        </is>
      </c>
      <c r="B16" s="55">
        <f>'KRD-v3'!B20</f>
        <v/>
      </c>
    </row>
    <row r="17">
      <c r="A17" t="inlineStr">
        <is>
          <t>10Y</t>
        </is>
      </c>
      <c r="B17" s="55">
        <f>'KRD-v3'!B21</f>
        <v/>
      </c>
    </row>
    <row r="18">
      <c r="A18" t="inlineStr">
        <is>
          <t>12Y</t>
        </is>
      </c>
      <c r="B18" s="55">
        <f>'KRD-v3'!B22</f>
        <v/>
      </c>
    </row>
    <row r="19">
      <c r="A19" t="inlineStr">
        <is>
          <t>15Y</t>
        </is>
      </c>
      <c r="B19" s="55">
        <f>'KRD-v3'!B23</f>
        <v/>
      </c>
    </row>
    <row r="20">
      <c r="A20" t="inlineStr">
        <is>
          <t>20Y</t>
        </is>
      </c>
      <c r="B20" s="55">
        <f>'KRD-v3'!B24</f>
        <v/>
      </c>
    </row>
    <row r="21">
      <c r="A21" t="inlineStr">
        <is>
          <t>25Y</t>
        </is>
      </c>
      <c r="B21" s="55">
        <f>'KRD-v3'!B25</f>
        <v/>
      </c>
    </row>
    <row r="22">
      <c r="A22" t="inlineStr">
        <is>
          <t>30Y</t>
        </is>
      </c>
      <c r="B22" s="55">
        <f>'KRD-v3'!B26</f>
        <v/>
      </c>
    </row>
    <row r="23">
      <c r="A23" s="79" t="inlineStr">
        <is>
          <t>TOTAL</t>
        </is>
      </c>
      <c r="B23" s="87">
        <f>'KRD-v3'!B27</f>
        <v/>
      </c>
    </row>
    <row r="27">
      <c r="A27" s="112" t="inlineStr">
        <is>
          <t>1 · The risk</t>
        </is>
      </c>
      <c r="B27" s="113" t="n"/>
      <c r="C27" s="113" t="n"/>
      <c r="D27" s="113" t="n"/>
      <c r="E27" s="113" t="n"/>
      <c r="F27" s="113" t="n"/>
    </row>
    <row r="28">
      <c r="A28" s="79" t="inlineStr">
        <is>
          <t>Net DV01</t>
        </is>
      </c>
      <c r="B28" s="107">
        <f>$B$23</f>
        <v/>
      </c>
      <c r="C28" s="7" t="inlineStr">
        <is>
          <t>KRW per bp, net receiver</t>
        </is>
      </c>
    </row>
    <row r="29">
      <c r="A29" s="79" t="inlineStr">
        <is>
          <t>Front 1Y–3Y</t>
        </is>
      </c>
      <c r="B29" s="108">
        <f>$B$11+$B$12+$B$13</f>
        <v/>
      </c>
      <c r="C29" s="7" t="inlineStr">
        <is>
          <t>long (positive), pays if rates rise</t>
        </is>
      </c>
    </row>
    <row r="30">
      <c r="A30" s="79" t="inlineStr">
        <is>
          <t>Back 4Y–10Y</t>
        </is>
      </c>
      <c r="B30" s="109">
        <f>$B$14+$B$15+$B$16+$B$17</f>
        <v/>
      </c>
      <c r="C30" s="7" t="inlineStr">
        <is>
          <t>short (negative), concentrated at 10Y</t>
        </is>
      </c>
    </row>
    <row r="31">
      <c r="A31" s="79" t="inlineStr">
        <is>
          <t>Sub-1Y (3M/6M/9M)</t>
        </is>
      </c>
      <c r="B31" s="74">
        <f>$B$8+$B$9+$B$10</f>
        <v/>
      </c>
      <c r="C31" s="7" t="inlineStr">
        <is>
          <t>miniscule</t>
        </is>
      </c>
    </row>
    <row r="33">
      <c r="A33" s="112" t="inlineStr">
        <is>
          <t>2 · Strategy</t>
        </is>
      </c>
      <c r="B33" s="113" t="n"/>
      <c r="C33" s="113" t="n"/>
      <c r="D33" s="113" t="n"/>
      <c r="E33" s="113" t="n"/>
      <c r="F33" s="113" t="n"/>
    </row>
    <row r="36">
      <c r="A36" s="83" t="inlineStr">
        <is>
          <t>Receive fixed front-end; Pay Fixed for long end; Short-end not worth hedging — doesn't even cover b/a</t>
        </is>
      </c>
    </row>
    <row r="38">
      <c r="A38" s="112" t="inlineStr">
        <is>
          <t>3 · The trades  --&gt;  4 swaps?</t>
        </is>
      </c>
      <c r="B38" s="113" t="n"/>
      <c r="C38" s="113" t="n"/>
      <c r="D38" s="113" t="n"/>
      <c r="E38" s="113" t="n"/>
      <c r="F38" s="113" t="n"/>
      <c r="H38" s="79" t="inlineStr">
        <is>
          <t>Benchmark annuity (curve)</t>
        </is>
      </c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(KRW)</t>
        </is>
      </c>
      <c r="F39" s="50" t="inlineStr">
        <is>
          <t>Annuity SUM(DF*Tau)</t>
        </is>
      </c>
      <c r="H39" s="51" t="inlineStr">
        <is>
          <t>Tenor</t>
        </is>
      </c>
      <c r="I39" s="51" t="inlineStr">
        <is>
          <t>T</t>
        </is>
      </c>
      <c r="J39" s="51" t="inlineStr">
        <is>
          <t>Annuity</t>
        </is>
      </c>
    </row>
    <row r="40">
      <c r="A40" s="84" t="inlineStr">
        <is>
          <t>2Y</t>
        </is>
      </c>
      <c r="B40" s="84">
        <f>IF(E40&gt;0,"Receive fixed","Pay fixed")</f>
        <v/>
      </c>
      <c r="C40" s="110">
        <f>ABS(E40/(F40*0.0001))/1000000000</f>
        <v/>
      </c>
      <c r="D40" s="4" t="inlineStr">
        <is>
          <t>1Y + 2Y</t>
        </is>
      </c>
      <c r="E40" s="41">
        <f>$B$11+$B$12</f>
        <v/>
      </c>
      <c r="F40" s="86">
        <f>Quotes!$B$2*SUMIF(Bootstrap!$B$3:$B$122,"&lt;="&amp;2,Bootstrap!$D$3:$D$122)</f>
        <v/>
      </c>
      <c r="H40" t="inlineStr">
        <is>
          <t>2Y</t>
        </is>
      </c>
      <c r="I40" t="n">
        <v>2</v>
      </c>
      <c r="J40" s="75">
        <f>Quotes!$B$2*SUMIF(Bootstrap!$B$3:$B$122,"&lt;="&amp;I40,Bootstrap!$D$3:$D$122)</f>
        <v/>
      </c>
    </row>
    <row r="41">
      <c r="A41" s="84" t="inlineStr">
        <is>
          <t>3Y</t>
        </is>
      </c>
      <c r="B41" s="84">
        <f>IF(E41&gt;0,"Receive fixed","Pay fixed")</f>
        <v/>
      </c>
      <c r="C41" s="110">
        <f>ABS(E41/(F41*0.0001))/1000000000</f>
        <v/>
      </c>
      <c r="D41" s="4" t="inlineStr">
        <is>
          <t>3Y</t>
        </is>
      </c>
      <c r="E41" s="41">
        <f>$B$13</f>
        <v/>
      </c>
      <c r="F41" s="86">
        <f>Quotes!$B$2*SUMIF(Bootstrap!$B$3:$B$122,"&lt;="&amp;3,Bootstrap!$D$3:$D$122)</f>
        <v/>
      </c>
      <c r="H41" t="inlineStr">
        <is>
          <t>3Y</t>
        </is>
      </c>
      <c r="I41" t="n">
        <v>3</v>
      </c>
      <c r="J41" s="75">
        <f>Quotes!$B$2*SUMIF(Bootstrap!$B$3:$B$122,"&lt;="&amp;I41,Bootstrap!$D$3:$D$122)</f>
        <v/>
      </c>
    </row>
    <row r="42">
      <c r="A42" s="84" t="inlineStr">
        <is>
          <t>5Y</t>
        </is>
      </c>
      <c r="B42" s="84">
        <f>IF(E42&gt;0,"Receive fixed","Pay fixed")</f>
        <v/>
      </c>
      <c r="C42" s="110">
        <f>ABS(E42/(F42*0.0001))/1000000000</f>
        <v/>
      </c>
      <c r="D42" s="4" t="inlineStr">
        <is>
          <t>4Y + 5Y</t>
        </is>
      </c>
      <c r="E42" s="41">
        <f>$B$14+$B$15</f>
        <v/>
      </c>
      <c r="F42" s="86">
        <f>Quotes!$B$2*SUMIF(Bootstrap!$B$3:$B$122,"&lt;="&amp;5,Bootstrap!$D$3:$D$122)</f>
        <v/>
      </c>
      <c r="H42" t="inlineStr">
        <is>
          <t>5Y</t>
        </is>
      </c>
      <c r="I42" t="n">
        <v>5</v>
      </c>
      <c r="J42" s="75">
        <f>Quotes!$B$2*SUMIF(Bootstrap!$B$3:$B$122,"&lt;="&amp;I42,Bootstrap!$D$3:$D$122)</f>
        <v/>
      </c>
    </row>
    <row r="43">
      <c r="A43" s="84" t="inlineStr">
        <is>
          <t>10Y</t>
        </is>
      </c>
      <c r="B43" s="84">
        <f>IF(E43&gt;0,"Receive fixed","Pay fixed")</f>
        <v/>
      </c>
      <c r="C43" s="110">
        <f>ABS(E43/(F43*0.0001))/1000000000</f>
        <v/>
      </c>
      <c r="D43" s="4" t="inlineStr">
        <is>
          <t>7Y + 10Y</t>
        </is>
      </c>
      <c r="E43" s="41">
        <f>$B$16+$B$17</f>
        <v/>
      </c>
      <c r="F43" s="86">
        <f>Quotes!$B$2*SUMIF(Bootstrap!$B$3:$B$122,"&lt;="&amp;10,Bootstrap!$D$3:$D$122)</f>
        <v/>
      </c>
      <c r="H43" t="inlineStr">
        <is>
          <t>7Y</t>
        </is>
      </c>
      <c r="I43" t="n">
        <v>7</v>
      </c>
      <c r="J43" s="75">
        <f>Quotes!$B$2*SUMIF(Bootstrap!$B$3:$B$122,"&lt;="&amp;I43,Bootstrap!$D$3:$D$122)</f>
        <v/>
      </c>
    </row>
    <row r="44">
      <c r="A44" s="112" t="inlineStr">
        <is>
          <t>4 · Hedge Cost Analysis</t>
        </is>
      </c>
      <c r="B44" s="113" t="n"/>
      <c r="C44" s="113" t="n"/>
      <c r="D44" s="113" t="n"/>
      <c r="E44" s="113" t="n"/>
      <c r="F44" s="113" t="n"/>
      <c r="G44" s="113" t="n"/>
      <c r="H44" s="113" t="inlineStr">
        <is>
          <t>10Y</t>
        </is>
      </c>
      <c r="I44" s="113" t="n">
        <v>10</v>
      </c>
      <c r="J44" s="114">
        <f>Quotes!$B$2*SUMIF(Bootstrap!$B$3:$B$122,"&lt;="&amp;I44,Bootstrap!$D$3:$D$122)</f>
        <v/>
      </c>
      <c r="K44" s="113" t="n"/>
      <c r="L44" s="113" t="n"/>
      <c r="M44" s="113" t="n"/>
    </row>
    <row r="45">
      <c r="A45" s="50" t="inlineStr">
        <is>
          <t>Tenor</t>
        </is>
      </c>
      <c r="B45" s="50" t="inlineStr">
        <is>
          <t>Ticker (edit)</t>
        </is>
      </c>
      <c r="C45" s="50" t="inlineStr">
        <is>
          <t>Bid</t>
        </is>
      </c>
      <c r="D45" s="50" t="inlineStr">
        <is>
          <t>Ask</t>
        </is>
      </c>
      <c r="E45" s="50" t="inlineStr">
        <is>
          <t>Spread (bp)</t>
        </is>
      </c>
      <c r="F45" s="50" t="inlineStr">
        <is>
          <t>Avg spr 1M (bp)</t>
        </is>
      </c>
      <c r="G45" s="50" t="inlineStr">
        <is>
          <t>DV01 (KRW)</t>
        </is>
      </c>
      <c r="H45" s="50" t="inlineStr">
        <is>
          <t>Annuity</t>
        </is>
      </c>
      <c r="I45" s="50" t="inlineStr">
        <is>
          <t>Notl (bn)</t>
        </is>
      </c>
      <c r="J45" s="50" t="inlineStr">
        <is>
          <t>Cost (KRW)</t>
        </is>
      </c>
      <c r="K45" s="50" t="inlineStr">
        <is>
          <t>Break-even (bp)</t>
        </is>
      </c>
      <c r="L45" s="50" t="inlineStr">
        <is>
          <t>Vol USDmm</t>
        </is>
      </c>
      <c r="M45" s="50" t="inlineStr">
        <is>
          <t>Verdict</t>
        </is>
      </c>
    </row>
    <row r="46">
      <c r="A46" s="84" t="inlineStr">
        <is>
          <t>2Y</t>
        </is>
      </c>
      <c r="B46" s="104" t="inlineStr">
        <is>
          <t>KWSWNI2 BGN Curncy</t>
        </is>
      </c>
      <c r="C46" s="9">
        <f>IFERROR(BDP(B46,"PX_BID"),"n/a")</f>
        <v/>
      </c>
      <c r="D46" s="9">
        <f>IFERROR(BDP(B46,"PX_ASK"),"n/a")</f>
        <v/>
      </c>
      <c r="E46" s="6">
        <f>IFERROR((D46-C46)*100,"n/a")</f>
        <v/>
      </c>
      <c r="F46" s="6">
        <f>IFERROR((AVERAGE(BDH(B46,"PX_ASK",TEXT(TODAY()-30,"yyyymmdd"),TEXT(TODAY(),"yyyymmdd"),"Dts=H"))-AVERAGE(BDH(B46,"PX_BID",TEXT(TODAY()-30,"yyyymmdd"),TEXT(TODAY(),"yyyymmdd"),"Dts=H")))*100,"n/a")</f>
        <v/>
      </c>
      <c r="G46" s="41">
        <f>$E$40</f>
        <v/>
      </c>
      <c r="H46" s="86">
        <f>$F$40</f>
        <v/>
      </c>
      <c r="I46" s="93">
        <f>$C$40</f>
        <v/>
      </c>
      <c r="J46" s="41">
        <f>IFERROR(I46*1000000000*H46*(E46/2)*0.0001,"n/a")</f>
        <v/>
      </c>
      <c r="K46" s="6">
        <f>IFERROR(J46/ABS(G46),"n/a")</f>
        <v/>
      </c>
      <c r="L46" s="104" t="n">
        <v>0</v>
      </c>
      <c r="M46" s="94">
        <f>IFERROR(IF(K46&lt;1,"TRADE","SKIP"),"SKIP")</f>
        <v/>
      </c>
    </row>
    <row r="47">
      <c r="A47" s="84" t="inlineStr">
        <is>
          <t>3Y</t>
        </is>
      </c>
      <c r="B47" s="104" t="inlineStr">
        <is>
          <t>KWSWNI3 BGN Curncy</t>
        </is>
      </c>
      <c r="C47" s="9">
        <f>IFERROR(BDP(B47,"PX_BID"),"n/a")</f>
        <v/>
      </c>
      <c r="D47" s="9">
        <f>IFERROR(BDP(B47,"PX_ASK"),"n/a")</f>
        <v/>
      </c>
      <c r="E47" s="6">
        <f>IFERROR((D47-C47)*100,"n/a")</f>
        <v/>
      </c>
      <c r="F47" s="6">
        <f>IFERROR((AVERAGE(BDH(B47,"PX_ASK",TEXT(TODAY()-30,"yyyymmdd"),TEXT(TODAY(),"yyyymmdd"),"Dts=H"))-AVERAGE(BDH(B47,"PX_BID",TEXT(TODAY()-30,"yyyymmdd"),TEXT(TODAY(),"yyyymmdd"),"Dts=H")))*100,"n/a")</f>
        <v/>
      </c>
      <c r="G47" s="41">
        <f>$E$41</f>
        <v/>
      </c>
      <c r="H47" s="86">
        <f>$F$41</f>
        <v/>
      </c>
      <c r="I47" s="93">
        <f>$C$41</f>
        <v/>
      </c>
      <c r="J47" s="41">
        <f>IFERROR(I47*1000000000*H47*(E47/2)*0.0001,"n/a")</f>
        <v/>
      </c>
      <c r="K47" s="6">
        <f>IFERROR(J47/ABS(G47),"n/a")</f>
        <v/>
      </c>
      <c r="L47" s="104" t="n">
        <v>0</v>
      </c>
      <c r="M47" s="94">
        <f>IFERROR(IF(K47&lt;1,"TRADE","SKIP"),"SKIP")</f>
        <v/>
      </c>
    </row>
    <row r="48">
      <c r="A48" s="84" t="inlineStr">
        <is>
          <t>5Y</t>
        </is>
      </c>
      <c r="B48" s="104" t="inlineStr">
        <is>
          <t>KWSWNI5 BGN Curncy</t>
        </is>
      </c>
      <c r="C48" s="9">
        <f>IFERROR(BDP(B48,"PX_BID"),"n/a")</f>
        <v/>
      </c>
      <c r="D48" s="9">
        <f>IFERROR(BDP(B48,"PX_ASK"),"n/a")</f>
        <v/>
      </c>
      <c r="E48" s="6">
        <f>IFERROR((D48-C48)*100,"n/a")</f>
        <v/>
      </c>
      <c r="F48" s="6">
        <f>IFERROR((AVERAGE(BDH(B48,"PX_ASK",TEXT(TODAY()-30,"yyyymmdd"),TEXT(TODAY(),"yyyymmdd"),"Dts=H"))-AVERAGE(BDH(B48,"PX_BID",TEXT(TODAY()-30,"yyyymmdd"),TEXT(TODAY(),"yyyymmdd"),"Dts=H")))*100,"n/a")</f>
        <v/>
      </c>
      <c r="G48" s="41">
        <f>$E$42</f>
        <v/>
      </c>
      <c r="H48" s="86">
        <f>$F$42</f>
        <v/>
      </c>
      <c r="I48" s="93">
        <f>$C$42</f>
        <v/>
      </c>
      <c r="J48" s="41">
        <f>IFERROR(I48*1000000000*H48*(E48/2)*0.0001,"n/a")</f>
        <v/>
      </c>
      <c r="K48" s="6">
        <f>IFERROR(J48/ABS(G48),"n/a")</f>
        <v/>
      </c>
      <c r="L48" s="104" t="n">
        <v>0</v>
      </c>
      <c r="M48" s="94">
        <f>IFERROR(IF(K48&lt;1,"TRADE","SKIP"),"SKIP")</f>
        <v/>
      </c>
    </row>
    <row r="49">
      <c r="A49" s="84" t="inlineStr">
        <is>
          <t>10Y</t>
        </is>
      </c>
      <c r="B49" s="104" t="inlineStr">
        <is>
          <t>KWSWNI10 BGN Curncy</t>
        </is>
      </c>
      <c r="C49" s="9">
        <f>IFERROR(BDP(B49,"PX_BID"),"n/a")</f>
        <v/>
      </c>
      <c r="D49" s="9">
        <f>IFERROR(BDP(B49,"PX_ASK"),"n/a")</f>
        <v/>
      </c>
      <c r="E49" s="6">
        <f>IFERROR((D49-C49)*100,"n/a")</f>
        <v/>
      </c>
      <c r="F49" s="6">
        <f>IFERROR((AVERAGE(BDH(B49,"PX_ASK",TEXT(TODAY()-30,"yyyymmdd"),TEXT(TODAY(),"yyyymmdd"),"Dts=H"))-AVERAGE(BDH(B49,"PX_BID",TEXT(TODAY()-30,"yyyymmdd"),TEXT(TODAY(),"yyyymmdd"),"Dts=H")))*100,"n/a")</f>
        <v/>
      </c>
      <c r="G49" s="41">
        <f>$E$43</f>
        <v/>
      </c>
      <c r="H49" s="86">
        <f>$F$43</f>
        <v/>
      </c>
      <c r="I49" s="93">
        <f>$C$43</f>
        <v/>
      </c>
      <c r="J49" s="41">
        <f>IFERROR(I49*1000000000*H49*(E49/2)*0.0001,"n/a")</f>
        <v/>
      </c>
      <c r="K49" s="6">
        <f>IFERROR(J49/ABS(G49),"n/a")</f>
        <v/>
      </c>
      <c r="L49" s="104" t="n">
        <v>0</v>
      </c>
      <c r="M49" s="94">
        <f>IFERROR(IF(K49&lt;1,"TRADE","SKIP"),"SKIP")</f>
        <v/>
      </c>
    </row>
    <row r="50">
      <c r="A50" s="95" t="inlineStr">
        <is>
          <t>7Y split</t>
        </is>
      </c>
      <c r="B50" s="104" t="inlineStr">
        <is>
          <t>KWSWNI7 BGN Curncy</t>
        </is>
      </c>
      <c r="C50" s="97">
        <f>IFERROR(BDP(B50,"PX_BID"),"n/a")</f>
        <v/>
      </c>
      <c r="D50" s="97">
        <f>IFERROR(BDP(B50,"PX_ASK"),"n/a")</f>
        <v/>
      </c>
      <c r="E50" s="105">
        <f>IFERROR((D50-C50)*100,"n/a")</f>
        <v/>
      </c>
      <c r="F50" s="105">
        <f>IFERROR((AVERAGE(BDH(B50,"PX_ASK",TEXT(TODAY()-30,"yyyymmdd"),TEXT(TODAY(),"yyyymmdd"),"Dts=H"))-AVERAGE(BDH(B50,"PX_BID",TEXT(TODAY()-30,"yyyymmdd"),TEXT(TODAY(),"yyyymmdd"),"Dts=H")))*100,"n/a")</f>
        <v/>
      </c>
      <c r="G50" s="99">
        <f>$B$16</f>
        <v/>
      </c>
      <c r="H50" s="100">
        <f>Quotes!$B$2*SUMIF(Bootstrap!$B$3:$B$122,"&lt;="&amp;7,Bootstrap!$D$3:$D$122)</f>
        <v/>
      </c>
      <c r="I50" s="101">
        <f>ABS(G50/(H50*0.0001))/1000000000</f>
        <v/>
      </c>
      <c r="J50" s="99">
        <f>IFERROR(I50*1000000000*H50*(E50/2)*0.0001,"n/a")</f>
        <v/>
      </c>
      <c r="K50" s="105">
        <f>IFERROR(J50/ABS(G50),"n/a")</f>
        <v/>
      </c>
      <c r="L50" s="104" t="n">
        <v>0</v>
      </c>
      <c r="M50" s="102">
        <f>IFERROR(IF(K50&lt;1,"TRADE","SKIP"),"SKIP")</f>
        <v/>
      </c>
    </row>
    <row r="51">
      <c r="A51" s="95" t="inlineStr">
        <is>
          <t>Dust 3-9M</t>
        </is>
      </c>
      <c r="B51" s="104" t="inlineStr">
        <is>
          <t>(front=CD/FRA, GC S205)</t>
        </is>
      </c>
      <c r="C51" s="97">
        <f>IFERROR(BDP(B51,"PX_BID"),"n/a")</f>
        <v/>
      </c>
      <c r="D51" s="97">
        <f>IFERROR(BDP(B51,"PX_ASK"),"n/a")</f>
        <v/>
      </c>
      <c r="E51" s="105">
        <f>IFERROR((D51-C51)*100,"n/a")</f>
        <v/>
      </c>
      <c r="F51" s="105">
        <f>IFERROR((AVERAGE(BDH(B51,"PX_ASK",TEXT(TODAY()-30,"yyyymmdd"),TEXT(TODAY(),"yyyymmdd"),"Dts=H"))-AVERAGE(BDH(B51,"PX_BID",TEXT(TODAY()-30,"yyyymmdd"),TEXT(TODAY(),"yyyymmdd"),"Dts=H")))*100,"n/a")</f>
        <v/>
      </c>
      <c r="G51" s="99">
        <f>$B$8+$B$9+$B$10</f>
        <v/>
      </c>
      <c r="H51" s="100">
        <f>Quotes!$B$2*SUMIF(Bootstrap!$B$3:$B$122,"&lt;="&amp;1,Bootstrap!$D$3:$D$122)</f>
        <v/>
      </c>
      <c r="I51" s="101">
        <f>ABS(G51/(H51*0.0001))/1000000000</f>
        <v/>
      </c>
      <c r="J51" s="99">
        <f>IFERROR(I51*1000000000*H51*(E51/2)*0.0001,"n/a")</f>
        <v/>
      </c>
      <c r="K51" s="105">
        <f>IFERROR(J51/ABS(G51),"n/a")</f>
        <v/>
      </c>
      <c r="L51" s="104" t="n">
        <v>0</v>
      </c>
      <c r="M51" s="102" t="inlineStr">
        <is>
          <t>SKIP</t>
        </is>
      </c>
    </row>
    <row r="52">
      <c r="A52" s="7" t="inlineStr">
        <is>
          <t>Break-even (bp) = cost / DV01 ≈ half the bid/offer. &lt;1bp -&gt; TRADE. Cross-check SDRV volume.</t>
        </is>
      </c>
    </row>
    <row r="53">
      <c r="A53" s="103" t="inlineStr">
        <is>
          <t>Commands: GC S205 &lt;GO&gt; (tickers) · SDRV &lt;GO&gt; Rates&gt;IRS/FRA&gt;KRW (volume) · SDR &lt;GO&gt; (trades).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4" customWidth="1" min="3" max="3"/>
    <col width="10" customWidth="1" min="4" max="4"/>
    <col width="12" customWidth="1" min="5" max="5"/>
    <col width="15" customWidth="1" min="6" max="6"/>
    <col width="10" customWidth="1" min="7" max="7"/>
    <col width="16" customWidth="1" min="8" max="8"/>
  </cols>
  <sheetData>
    <row r="1">
      <c r="A1" s="92" t="inlineStr">
        <is>
          <t>Client Pricing — fixed rate to show the client</t>
        </is>
      </c>
    </row>
    <row r="2">
      <c r="A2" s="7" t="inlineStr">
        <is>
          <t>Paste Kevin's two-way quotes below (yellow). Notionals/annuity link to Hedge; par &amp; DV01 to Amort-Set-up. Client pays fixed -&gt; mark up from mid.</t>
        </is>
      </c>
    </row>
    <row r="4">
      <c r="A4" s="30" t="inlineStr">
        <is>
          <t>1 · Market quotes  (input — paste Kevin's two-way)</t>
        </is>
      </c>
      <c r="B4" s="31" t="n"/>
      <c r="C4" s="31" t="n"/>
      <c r="D4" s="31" t="n"/>
      <c r="E4" s="31" t="n"/>
      <c r="F4" s="31" t="n"/>
      <c r="G4" s="31" t="n"/>
      <c r="H4" s="31" t="n"/>
    </row>
    <row r="5">
      <c r="A5" s="50" t="inlineStr">
        <is>
          <t>Tenor</t>
        </is>
      </c>
      <c r="B5" s="50" t="inlineStr">
        <is>
          <t>Pay (offer)</t>
        </is>
      </c>
      <c r="C5" s="50" t="inlineStr">
        <is>
          <t>Receive (bid)</t>
        </is>
      </c>
      <c r="D5" s="50" t="inlineStr">
        <is>
          <t>Mid</t>
        </is>
      </c>
      <c r="E5" s="50" t="inlineStr">
        <is>
          <t>Spread (bp)</t>
        </is>
      </c>
      <c r="F5" s="50" t="inlineStr">
        <is>
          <t>Hedge notl (bn)</t>
        </is>
      </c>
      <c r="G5" s="50" t="inlineStr">
        <is>
          <t>Annuity</t>
        </is>
      </c>
      <c r="H5" s="50" t="inlineStr">
        <is>
          <t>Hedge cost (KRW)</t>
        </is>
      </c>
    </row>
    <row r="6">
      <c r="A6" s="84" t="inlineStr">
        <is>
          <t>2Y</t>
        </is>
      </c>
      <c r="B6" s="118" t="n">
        <v>3.83</v>
      </c>
      <c r="C6" s="118" t="n">
        <v>3.81</v>
      </c>
      <c r="D6" s="9">
        <f>(B6+C6)/2</f>
        <v/>
      </c>
      <c r="E6" s="6">
        <f>(B6-C6)*100</f>
        <v/>
      </c>
      <c r="F6" s="90">
        <f>Hedge!C40</f>
        <v/>
      </c>
      <c r="G6" s="86">
        <f>Hedge!F40</f>
        <v/>
      </c>
      <c r="H6" s="41">
        <f>F6*1000000000*G6*(E6/2)*0.0001</f>
        <v/>
      </c>
    </row>
    <row r="7">
      <c r="A7" s="84" t="inlineStr">
        <is>
          <t>3Y</t>
        </is>
      </c>
      <c r="B7" s="118" t="n">
        <v>3.98</v>
      </c>
      <c r="C7" s="118" t="n">
        <v>3.95</v>
      </c>
      <c r="D7" s="9">
        <f>(B7+C7)/2</f>
        <v/>
      </c>
      <c r="E7" s="6">
        <f>(B7-C7)*100</f>
        <v/>
      </c>
      <c r="F7" s="90">
        <f>Hedge!C41</f>
        <v/>
      </c>
      <c r="G7" s="86">
        <f>Hedge!F41</f>
        <v/>
      </c>
      <c r="H7" s="41">
        <f>F7*1000000000*G7*(E7/2)*0.0001</f>
        <v/>
      </c>
    </row>
    <row r="8">
      <c r="A8" s="84" t="inlineStr">
        <is>
          <t>5Y</t>
        </is>
      </c>
      <c r="B8" s="118" t="n">
        <v>4.09</v>
      </c>
      <c r="C8" s="118" t="n">
        <v>4.06</v>
      </c>
      <c r="D8" s="9">
        <f>(B8+C8)/2</f>
        <v/>
      </c>
      <c r="E8" s="6">
        <f>(B8-C8)*100</f>
        <v/>
      </c>
      <c r="F8" s="90">
        <f>Hedge!C42</f>
        <v/>
      </c>
      <c r="G8" s="86">
        <f>Hedge!F42</f>
        <v/>
      </c>
      <c r="H8" s="41">
        <f>F8*1000000000*G8*(E8/2)*0.0001</f>
        <v/>
      </c>
    </row>
    <row r="9">
      <c r="A9" s="84" t="inlineStr">
        <is>
          <t>10Y</t>
        </is>
      </c>
      <c r="B9" s="118" t="n">
        <v>4.22</v>
      </c>
      <c r="C9" s="118" t="n">
        <v>4.18</v>
      </c>
      <c r="D9" s="9">
        <f>(B9+C9)/2</f>
        <v/>
      </c>
      <c r="E9" s="6">
        <f>(B9-C9)*100</f>
        <v/>
      </c>
      <c r="F9" s="90">
        <f>Hedge!C43</f>
        <v/>
      </c>
      <c r="G9" s="86">
        <f>Hedge!F43</f>
        <v/>
      </c>
      <c r="H9" s="41">
        <f>F9*1000000000*G9*(E9/2)*0.0001</f>
        <v/>
      </c>
    </row>
    <row r="10">
      <c r="A10" s="79" t="inlineStr">
        <is>
          <t>TOTAL hedge cost</t>
        </is>
      </c>
      <c r="H10" s="119">
        <f>SUM(H6:H9)</f>
        <v/>
      </c>
    </row>
    <row r="12">
      <c r="A12" s="30" t="inlineStr">
        <is>
          <t>2 · Pricing inputs  (linked)</t>
        </is>
      </c>
      <c r="B12" s="31" t="n"/>
      <c r="C12" s="31" t="n"/>
    </row>
    <row r="13">
      <c r="A13" s="79" t="inlineStr">
        <is>
          <t>Mid par — amortiser (full curve)</t>
        </is>
      </c>
      <c r="C13" s="115">
        <f>'Amort-Set-up'!$B$12</f>
        <v/>
      </c>
    </row>
    <row r="14">
      <c r="A14" s="79" t="inlineStr">
        <is>
          <t>Client DV01 (KRW / bp)</t>
        </is>
      </c>
      <c r="C14" s="55">
        <f>Quotes!$B$2*SUMPRODUCT('Amort-Set-up'!$E$20:$E$59,'Amort-Set-up'!$D$20:$D$59)*0.0001</f>
        <v/>
      </c>
    </row>
    <row r="15">
      <c r="A15" s="79" t="inlineStr">
        <is>
          <t>Total hedge cost (KRW)</t>
        </is>
      </c>
      <c r="C15" s="55">
        <f>H10</f>
        <v/>
      </c>
    </row>
    <row r="16">
      <c r="A16" s="79" t="inlineStr">
        <is>
          <t>USD / KRW   (input, or =BDP)</t>
        </is>
      </c>
      <c r="C16" s="120" t="n">
        <v>1380</v>
      </c>
    </row>
    <row r="17">
      <c r="A17" s="79" t="inlineStr">
        <is>
          <t>Target revenue (USD)</t>
        </is>
      </c>
      <c r="C17" s="116" t="n">
        <v>300000</v>
      </c>
    </row>
    <row r="19">
      <c r="A19" s="30" t="inlineStr">
        <is>
          <t>3 · Conversion to bp</t>
        </is>
      </c>
      <c r="B19" s="31" t="n"/>
      <c r="C19" s="31" t="n"/>
    </row>
    <row r="20">
      <c r="A20" s="79" t="inlineStr">
        <is>
          <t>Hedging cost (bp)</t>
        </is>
      </c>
      <c r="C20" s="70">
        <f>C15/C14</f>
        <v/>
      </c>
    </row>
    <row r="21">
      <c r="A21" s="79" t="inlineStr">
        <is>
          <t>Target revenue (bp)</t>
        </is>
      </c>
      <c r="C21" s="70">
        <f>(C17*C16)/C14</f>
        <v/>
      </c>
    </row>
    <row r="23">
      <c r="A23" s="30" t="inlineStr">
        <is>
          <t>4 · Rate to show the client</t>
        </is>
      </c>
      <c r="B23" s="31" t="n"/>
      <c r="C23" s="31" t="n"/>
    </row>
    <row r="24">
      <c r="A24" s="79" t="inlineStr">
        <is>
          <t>(a) after hedging cost</t>
        </is>
      </c>
      <c r="C24" s="117">
        <f>C13+C20*0.0001</f>
        <v/>
      </c>
    </row>
    <row r="25">
      <c r="A25" s="79" t="inlineStr">
        <is>
          <t>(b) after hedging cost + target revenue</t>
        </is>
      </c>
      <c r="C25" s="117">
        <f>C13+(C20+C21)*0.0001</f>
        <v/>
      </c>
    </row>
    <row r="27">
      <c r="A27" s="7" t="inlineStr">
        <is>
          <t>Yellow = inputs. Client pays fixed, so both rates are ABOVE mid. Cost uses HALF the bid/offer (cross once).</t>
        </is>
      </c>
    </row>
    <row r="28">
      <c r="A28" s="103" t="inlineStr">
        <is>
          <t>Links: notional/annuity &lt;- Hedge!C40:F43 · par &lt;- Amort-Set-up!B12 · DV01 &lt;- Amort-Set-up notionals x DF. FX: set =BDP("USDKRW BGN Curncy","PX_LAST").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2026-07-24T09:45:15Z</dcterms:modified>
</cp:coreProperties>
</file>