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otes" sheetId="1" state="visible" r:id="rId1"/>
    <sheet xmlns:r="http://schemas.openxmlformats.org/officeDocument/2006/relationships" name="Interpolation" sheetId="2" state="visible" r:id="rId2"/>
    <sheet xmlns:r="http://schemas.openxmlformats.org/officeDocument/2006/relationships" name="Bootstrap" sheetId="3" state="visible" r:id="rId3"/>
    <sheet xmlns:r="http://schemas.openxmlformats.org/officeDocument/2006/relationships" name="Move_Me" sheetId="4" state="visible" r:id="rId4"/>
    <sheet xmlns:r="http://schemas.openxmlformats.org/officeDocument/2006/relationships" name="Amort-Set-up" sheetId="5" state="visible" r:id="rId5"/>
    <sheet xmlns:r="http://schemas.openxmlformats.org/officeDocument/2006/relationships" name="KRD" sheetId="6" state="visible" r:id="rId6"/>
    <sheet xmlns:r="http://schemas.openxmlformats.org/officeDocument/2006/relationships" name="KRD-v2" sheetId="7" state="visible" r:id="rId7"/>
    <sheet xmlns:r="http://schemas.openxmlformats.org/officeDocument/2006/relationships" name="KRD-v3" sheetId="8" state="visible" r:id="rId8"/>
    <sheet xmlns:r="http://schemas.openxmlformats.org/officeDocument/2006/relationships" name="Hedge" sheetId="9" state="visible" r:id="rId9"/>
    <sheet xmlns:r="http://schemas.openxmlformats.org/officeDocument/2006/relationships" name="SWPM" sheetId="10" state="visible" r:id="rId10"/>
    <sheet xmlns:r="http://schemas.openxmlformats.org/officeDocument/2006/relationships" name="Swap_Check" sheetId="11" state="visible" r:id="rId11"/>
    <sheet xmlns:r="http://schemas.openxmlformats.org/officeDocument/2006/relationships" name="Sheet1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00%"/>
    <numFmt numFmtId="165" formatCode="0.000"/>
    <numFmt numFmtId="166" formatCode="0.00000000"/>
    <numFmt numFmtId="167" formatCode="mm/dd/yyyy"/>
    <numFmt numFmtId="168" formatCode="0.0000%"/>
    <numFmt numFmtId="169" formatCode="0.000000"/>
    <numFmt numFmtId="170" formatCode="0.0000"/>
    <numFmt numFmtId="171" formatCode="0.00000"/>
    <numFmt numFmtId="172" formatCode="#,##0.0"/>
  </numFmts>
  <fonts count="30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1"/>
    </font>
    <font>
      <name val="Calibri"/>
      <color rgb="000000FF"/>
      <sz val="11"/>
    </font>
    <font>
      <name val="Calibri"/>
      <color rgb="00808080"/>
      <sz val="9"/>
    </font>
    <font>
      <name val="Calibri"/>
      <b val="1"/>
      <color rgb="00FFFFFF"/>
      <sz val="10"/>
    </font>
    <font>
      <name val="Calibri"/>
      <color rgb="00008000"/>
      <sz val="10"/>
    </font>
    <font>
      <name val="Calibri"/>
      <b val="1"/>
      <color rgb="00008000"/>
      <sz val="12"/>
    </font>
    <font>
      <name val="Calibri"/>
      <b val="1"/>
      <color rgb="00FFFFFF"/>
      <sz val="11"/>
    </font>
    <font>
      <name val="Calibri"/>
      <b val="1"/>
      <color rgb="00008000"/>
      <sz val="13"/>
    </font>
    <font>
      <name val="Calibri"/>
      <i val="1"/>
      <color rgb="00C00000"/>
      <sz val="9"/>
    </font>
    <font>
      <name val="Calibri"/>
      <color rgb="00808080"/>
      <sz val="10"/>
    </font>
    <font>
      <name val="Calibri"/>
      <b val="1"/>
      <color rgb="00C00000"/>
      <sz val="11"/>
    </font>
    <font>
      <name val="Calibri"/>
      <color rgb="00008000"/>
      <sz val="9"/>
    </font>
    <font>
      <name val="Calibri"/>
      <b val="1"/>
      <color rgb="00FFFFFF"/>
      <sz val="9"/>
    </font>
    <font>
      <name val="Calibri"/>
      <b val="1"/>
      <color rgb="00008000"/>
      <sz val="9"/>
    </font>
    <font>
      <name val="Calibri"/>
      <b val="1"/>
      <color rgb="00C00000"/>
      <sz val="10"/>
    </font>
    <font>
      <name val="Calibri"/>
      <b val="1"/>
      <color rgb="00000000"/>
      <sz val="14"/>
    </font>
    <font>
      <name val="Calibri"/>
      <color rgb="00000000"/>
      <sz val="11"/>
    </font>
    <font>
      <name val="Calibri"/>
      <b val="1"/>
      <color rgb="00C00000"/>
      <sz val="12"/>
    </font>
    <font>
      <name val="Calibri"/>
      <b val="1"/>
      <color rgb="00000000"/>
      <sz val="11"/>
    </font>
    <font>
      <name val="Calibri"/>
      <color rgb="00C00000"/>
      <sz val="10"/>
    </font>
    <font>
      <name val="Calibri"/>
      <i val="1"/>
      <color rgb="00808080"/>
      <sz val="8"/>
    </font>
    <font>
      <name val="Calibri"/>
      <b val="1"/>
      <color rgb="001F3864"/>
      <sz val="8"/>
    </font>
    <font>
      <name val="Calibri"/>
      <color rgb="00008000"/>
      <sz val="11"/>
    </font>
    <font>
      <name val="Calibri"/>
      <b val="1"/>
      <color rgb="001F3864"/>
      <sz val="15"/>
    </font>
    <font>
      <name val="Calibri"/>
      <b val="1"/>
      <sz val="10"/>
    </font>
    <font>
      <name val="Calibri"/>
      <b val="1"/>
      <color rgb="009C0006"/>
      <sz val="11"/>
    </font>
    <font>
      <name val="Calibri"/>
      <b val="1"/>
      <color rgb="00006100"/>
      <sz val="11"/>
    </font>
    <font>
      <name val="Calibri"/>
      <sz val="10"/>
    </font>
  </fonts>
  <fills count="10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00000"/>
      </patternFill>
    </fill>
    <fill>
      <patternFill patternType="solid">
        <fgColor rgb="00E2EFDA"/>
      </patternFill>
    </fill>
    <fill>
      <patternFill patternType="solid">
        <fgColor rgb="004472C4"/>
      </patternFill>
    </fill>
    <fill>
      <patternFill patternType="solid">
        <fgColor rgb="00FCE4D6"/>
      </patternFill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164" fontId="3" fillId="2" borderId="1" pivotButton="0" quotePrefix="0" xfId="0"/>
    <xf numFmtId="2" fontId="0" fillId="0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wrapText="1"/>
    </xf>
    <xf numFmtId="165" fontId="0" fillId="0" borderId="1" pivotButton="0" quotePrefix="0" xfId="0"/>
    <xf numFmtId="164" fontId="6" fillId="4" borderId="1" pivotButton="0" quotePrefix="0" xfId="0"/>
    <xf numFmtId="0" fontId="5" fillId="5" borderId="1" applyAlignment="1" pivotButton="0" quotePrefix="0" xfId="0">
      <alignment horizontal="center"/>
    </xf>
    <xf numFmtId="164" fontId="0" fillId="0" borderId="1" pivotButton="0" quotePrefix="0" xfId="0"/>
    <xf numFmtId="166" fontId="6" fillId="4" borderId="1" pivotButton="0" quotePrefix="0" xfId="0"/>
    <xf numFmtId="167" fontId="3" fillId="2" borderId="1" pivotButton="0" quotePrefix="0" xfId="0"/>
    <xf numFmtId="167" fontId="0" fillId="0" borderId="1" pivotButton="0" quotePrefix="0" xfId="0"/>
    <xf numFmtId="167" fontId="3" fillId="2" borderId="1" pivotButton="0" quotePrefix="0" xfId="0"/>
    <xf numFmtId="167" fontId="0" fillId="0" borderId="1" pivotButton="0" quotePrefix="0" xfId="0"/>
    <xf numFmtId="168" fontId="3" fillId="2" borderId="1" pivotButton="0" quotePrefix="0" xfId="0"/>
    <xf numFmtId="0" fontId="6" fillId="0" borderId="1" pivotButton="0" quotePrefix="0" xfId="0"/>
    <xf numFmtId="0" fontId="5" fillId="5" borderId="1" applyAlignment="1" pivotButton="0" quotePrefix="0" xfId="0">
      <alignment horizontal="center" wrapText="1"/>
    </xf>
    <xf numFmtId="2" fontId="6" fillId="0" borderId="1" pivotButton="0" quotePrefix="0" xfId="0"/>
    <xf numFmtId="167" fontId="6" fillId="0" borderId="1" pivotButton="0" quotePrefix="0" xfId="0"/>
    <xf numFmtId="166" fontId="6" fillId="0" borderId="1" pivotButton="0" quotePrefix="0" xfId="0"/>
    <xf numFmtId="168" fontId="6" fillId="0" borderId="1" pivotButton="0" quotePrefix="0" xfId="0"/>
    <xf numFmtId="169" fontId="0" fillId="0" borderId="1" pivotButton="0" quotePrefix="0" xfId="0"/>
    <xf numFmtId="169" fontId="6" fillId="6" borderId="1" pivotButton="0" quotePrefix="0" xfId="0"/>
    <xf numFmtId="166" fontId="6" fillId="6" borderId="1" pivotButton="0" quotePrefix="0" xfId="0"/>
    <xf numFmtId="168" fontId="7" fillId="6" borderId="1" pivotButton="0" quotePrefix="0" xfId="0"/>
    <xf numFmtId="170" fontId="6" fillId="0" borderId="1" pivotButton="0" quotePrefix="0" xfId="0"/>
    <xf numFmtId="0" fontId="8" fillId="7" borderId="0" pivotButton="0" quotePrefix="0" xfId="0"/>
    <xf numFmtId="0" fontId="0" fillId="7" borderId="0" pivotButton="0" quotePrefix="0" xfId="0"/>
    <xf numFmtId="3" fontId="3" fillId="2" borderId="1" pivotButton="0" quotePrefix="0" xfId="0"/>
    <xf numFmtId="49" fontId="6" fillId="4" borderId="1" pivotButton="0" quotePrefix="0" xfId="0"/>
    <xf numFmtId="49" fontId="3" fillId="2" borderId="1" pivotButton="0" quotePrefix="0" xfId="0"/>
    <xf numFmtId="167" fontId="6" fillId="4" borderId="1" pivotButton="0" quotePrefix="0" xfId="0"/>
    <xf numFmtId="1" fontId="3" fillId="2" borderId="1" pivotButton="0" quotePrefix="0" xfId="0"/>
    <xf numFmtId="3" fontId="6" fillId="6" borderId="1" pivotButton="0" quotePrefix="0" xfId="0"/>
    <xf numFmtId="3" fontId="9" fillId="6" borderId="1" pivotButton="0" quotePrefix="0" xfId="0"/>
    <xf numFmtId="168" fontId="6" fillId="6" borderId="1" pivotButton="0" quotePrefix="0" xfId="0"/>
    <xf numFmtId="170" fontId="6" fillId="6" borderId="1" pivotButton="0" quotePrefix="0" xfId="0"/>
    <xf numFmtId="3" fontId="0" fillId="0" borderId="1" pivotButton="0" quotePrefix="0" xfId="0"/>
    <xf numFmtId="167" fontId="6" fillId="0" borderId="0" pivotButton="0" quotePrefix="0" xfId="0"/>
    <xf numFmtId="0" fontId="6" fillId="0" borderId="0" pivotButton="0" quotePrefix="0" xfId="0"/>
    <xf numFmtId="3" fontId="7" fillId="6" borderId="1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168" fontId="13" fillId="0" borderId="0" pivotButton="0" quotePrefix="0" xfId="0"/>
    <xf numFmtId="0" fontId="13" fillId="0" borderId="0" pivotButton="0" quotePrefix="0" xfId="0"/>
    <xf numFmtId="0" fontId="14" fillId="5" borderId="1" pivotButton="0" quotePrefix="0" xfId="0"/>
    <xf numFmtId="0" fontId="14" fillId="5" borderId="0" pivotButton="0" quotePrefix="0" xfId="0"/>
    <xf numFmtId="166" fontId="13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3" fontId="0" fillId="0" borderId="0" pivotButton="0" quotePrefix="0" xfId="0"/>
    <xf numFmtId="3" fontId="16" fillId="6" borderId="0" pivotButton="0" quotePrefix="0" xfId="0"/>
    <xf numFmtId="3" fontId="15" fillId="6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3" fillId="8" borderId="0" pivotButton="0" quotePrefix="0" xfId="0"/>
    <xf numFmtId="0" fontId="5" fillId="0" borderId="0" pivotButton="0" quotePrefix="0" xfId="0"/>
    <xf numFmtId="171" fontId="0" fillId="0" borderId="0" pivotButton="0" quotePrefix="0" xfId="0"/>
    <xf numFmtId="3" fontId="24" fillId="6" borderId="1" pivotButton="0" quotePrefix="0" xfId="0"/>
    <xf numFmtId="3" fontId="6" fillId="0" borderId="1" pivotButton="0" quotePrefix="0" xfId="0"/>
    <xf numFmtId="0" fontId="2" fillId="0" borderId="1" pivotButton="0" quotePrefix="0" xfId="0"/>
    <xf numFmtId="3" fontId="2" fillId="6" borderId="1" pivotButton="0" quotePrefix="0" xfId="0"/>
    <xf numFmtId="2" fontId="0" fillId="0" borderId="0" pivotButton="0" quotePrefix="0" xfId="0"/>
    <xf numFmtId="164" fontId="2" fillId="6" borderId="0" pivotButton="0" quotePrefix="0" xfId="0"/>
    <xf numFmtId="169" fontId="0" fillId="0" borderId="0" pivotButton="0" quotePrefix="0" xfId="0"/>
    <xf numFmtId="164" fontId="4" fillId="0" borderId="0" pivotButton="0" quotePrefix="0" xfId="0"/>
    <xf numFmtId="3" fontId="4" fillId="0" borderId="0" pivotButton="0" quotePrefix="0" xfId="0"/>
    <xf numFmtId="170" fontId="0" fillId="0" borderId="0" pivotButton="0" quotePrefix="0" xfId="0"/>
    <xf numFmtId="172" fontId="6" fillId="0" borderId="0" pivotButton="0" quotePrefix="0" xfId="0"/>
    <xf numFmtId="3" fontId="2" fillId="6" borderId="0" pivotButton="0" quotePrefix="0" xfId="0"/>
    <xf numFmtId="0" fontId="25" fillId="0" borderId="0" pivotButton="0" quotePrefix="0" xfId="0"/>
    <xf numFmtId="0" fontId="26" fillId="0" borderId="0" pivotButton="0" quotePrefix="0" xfId="0"/>
    <xf numFmtId="3" fontId="27" fillId="6" borderId="0" pivotButton="0" quotePrefix="0" xfId="0"/>
    <xf numFmtId="3" fontId="28" fillId="0" borderId="0" pivotButton="0" quotePrefix="0" xfId="0"/>
    <xf numFmtId="3" fontId="27" fillId="0" borderId="0" pivotButton="0" quotePrefix="0" xfId="0"/>
    <xf numFmtId="0" fontId="29" fillId="0" borderId="0" pivotButton="0" quotePrefix="0" xfId="0"/>
    <xf numFmtId="0" fontId="26" fillId="0" borderId="1" pivotButton="0" quotePrefix="0" xfId="0"/>
    <xf numFmtId="172" fontId="28" fillId="9" borderId="1" pivotButton="0" quotePrefix="0" xfId="0"/>
    <xf numFmtId="170" fontId="0" fillId="0" borderId="1" pivotButton="0" quotePrefix="0" xfId="0"/>
    <xf numFmtId="3" fontId="26" fillId="6" borderId="0" pivotButton="0" quotePrefix="0" xfId="0"/>
    <xf numFmtId="172" fontId="28" fillId="0" borderId="1" pivotButton="0" quotePrefix="0" xfId="0"/>
    <xf numFmtId="0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8" customWidth="1" min="3" max="3"/>
  </cols>
  <sheetData>
    <row r="1">
      <c r="A1" s="1" t="inlineStr">
        <is>
          <t>KWR IRS</t>
        </is>
      </c>
    </row>
    <row r="2">
      <c r="A2" s="2" t="inlineStr">
        <is>
          <t>tau (time gap)</t>
        </is>
      </c>
      <c r="B2" s="3" t="n">
        <v>0.25</v>
      </c>
      <c r="D2" s="2" t="inlineStr">
        <is>
          <t>curve date</t>
        </is>
      </c>
      <c r="E2" s="16" t="n">
        <v>46226</v>
      </c>
    </row>
    <row r="4">
      <c r="A4" s="2" t="inlineStr">
        <is>
          <t>Tenors</t>
        </is>
      </c>
      <c r="B4" s="2" t="inlineStr">
        <is>
          <t>Coupon</t>
        </is>
      </c>
      <c r="C4" s="2" t="inlineStr">
        <is>
          <t>Year</t>
        </is>
      </c>
    </row>
    <row r="5">
      <c r="A5" s="4" t="inlineStr">
        <is>
          <t>3Mo</t>
        </is>
      </c>
      <c r="B5" s="5" t="n">
        <v>0.0291</v>
      </c>
      <c r="C5" s="6" t="n">
        <v>0.25</v>
      </c>
    </row>
    <row r="6">
      <c r="A6" s="4" t="inlineStr">
        <is>
          <t>6Mo</t>
        </is>
      </c>
      <c r="B6" s="5" t="n">
        <v>0.03125</v>
      </c>
      <c r="C6" s="6" t="n">
        <v>0.5</v>
      </c>
    </row>
    <row r="7">
      <c r="A7" s="4" t="inlineStr">
        <is>
          <t>9Mo</t>
        </is>
      </c>
      <c r="B7" s="5" t="n">
        <v>0.03315</v>
      </c>
      <c r="C7" s="6" t="n">
        <v>0.75</v>
      </c>
    </row>
    <row r="8">
      <c r="A8" s="4" t="inlineStr">
        <is>
          <t>1Yr</t>
        </is>
      </c>
      <c r="B8" s="5" t="n">
        <v>0.034675</v>
      </c>
      <c r="C8" s="6" t="n">
        <v>1</v>
      </c>
    </row>
    <row r="9">
      <c r="A9" s="4" t="inlineStr">
        <is>
          <t>2Yr</t>
        </is>
      </c>
      <c r="B9" s="5" t="n">
        <v>0.03825</v>
      </c>
      <c r="C9" s="6" t="n">
        <v>2</v>
      </c>
    </row>
    <row r="10">
      <c r="A10" s="4" t="inlineStr">
        <is>
          <t>3Yr</t>
        </is>
      </c>
      <c r="B10" s="5" t="n">
        <v>0.03965</v>
      </c>
      <c r="C10" s="6" t="n">
        <v>3</v>
      </c>
    </row>
    <row r="11">
      <c r="A11" s="4" t="inlineStr">
        <is>
          <t>4Yr</t>
        </is>
      </c>
      <c r="B11" s="5" t="n">
        <v>0.04029</v>
      </c>
      <c r="C11" s="6" t="n">
        <v>4</v>
      </c>
    </row>
    <row r="12">
      <c r="A12" s="4" t="inlineStr">
        <is>
          <t>5Yr</t>
        </is>
      </c>
      <c r="B12" s="5" t="n">
        <v>0.040775</v>
      </c>
      <c r="C12" s="6" t="n">
        <v>5</v>
      </c>
    </row>
    <row r="13">
      <c r="A13" s="4" t="inlineStr">
        <is>
          <t>7Yr</t>
        </is>
      </c>
      <c r="B13" s="5" t="n">
        <v>0.041425</v>
      </c>
      <c r="C13" s="6" t="n">
        <v>7</v>
      </c>
    </row>
    <row r="14">
      <c r="A14" s="4" t="inlineStr">
        <is>
          <t>8Yr</t>
        </is>
      </c>
      <c r="B14" s="5" t="n">
        <v>0.04165</v>
      </c>
      <c r="C14" s="6" t="n">
        <v>8</v>
      </c>
    </row>
    <row r="15">
      <c r="A15" s="4" t="inlineStr">
        <is>
          <t>9Yr</t>
        </is>
      </c>
      <c r="B15" s="5" t="n">
        <v>0.04185</v>
      </c>
      <c r="C15" s="6" t="n">
        <v>9</v>
      </c>
    </row>
    <row r="16">
      <c r="A16" s="4" t="inlineStr">
        <is>
          <t>10Yr</t>
        </is>
      </c>
      <c r="B16" s="5" t="n">
        <v>0.042</v>
      </c>
      <c r="C16" s="6" t="n">
        <v>10</v>
      </c>
    </row>
    <row r="17">
      <c r="A17" s="4" t="inlineStr">
        <is>
          <t>15Yr</t>
        </is>
      </c>
      <c r="B17" s="5" t="n">
        <v>0.041775</v>
      </c>
      <c r="C17" s="6" t="n">
        <v>15</v>
      </c>
    </row>
    <row r="18">
      <c r="A18" s="4" t="inlineStr">
        <is>
          <t>20Yr</t>
        </is>
      </c>
      <c r="B18" s="5" t="n">
        <v>0.04075</v>
      </c>
      <c r="C18" s="6" t="n">
        <v>20</v>
      </c>
    </row>
    <row r="19">
      <c r="A19" s="4" t="inlineStr">
        <is>
          <t>30Yr</t>
        </is>
      </c>
      <c r="B19" s="5" t="n">
        <v>0.03845000000000001</v>
      </c>
      <c r="C19" s="6" t="n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8" customWidth="1" min="4" max="4"/>
    <col width="34" customWidth="1" min="5" max="5"/>
    <col width="8" customWidth="1" min="6" max="6"/>
    <col width="8" customWidth="1" min="7" max="7"/>
  </cols>
  <sheetData>
    <row r="1">
      <c r="B1" s="7" t="inlineStr">
        <is>
          <t>Interpolate between</t>
        </is>
      </c>
      <c r="C1" s="7" t="inlineStr">
        <is>
          <t>these two</t>
        </is>
      </c>
    </row>
    <row r="2">
      <c r="A2" s="8" t="inlineStr">
        <is>
          <t>Year</t>
        </is>
      </c>
      <c r="B2" s="8" t="inlineStr">
        <is>
          <t>lo tenor yr</t>
        </is>
      </c>
      <c r="C2" s="8" t="inlineStr">
        <is>
          <t>hi tenor yr</t>
        </is>
      </c>
      <c r="D2" s="8" t="inlineStr">
        <is>
          <t>weight</t>
        </is>
      </c>
      <c r="E2" s="8" t="inlineStr">
        <is>
          <t>Swap Rate % (interpolating between)</t>
        </is>
      </c>
      <c r="F2" s="8" t="inlineStr">
        <is>
          <t>source</t>
        </is>
      </c>
      <c r="G2" s="8" t="inlineStr">
        <is>
          <t>Helper</t>
        </is>
      </c>
    </row>
    <row r="3">
      <c r="A3" s="6" t="n">
        <v>0.25</v>
      </c>
      <c r="B3" s="6">
        <f>INDEX(Quotes!$C$5:$C$19,$G3)</f>
        <v/>
      </c>
      <c r="C3" s="6">
        <f>INDEX(Quotes!$C$5:$C$19,MIN($G3+1,15))</f>
        <v/>
      </c>
      <c r="D3" s="9">
        <f>IF($C3=$B3,0,($A3-$B3)/($C3-$B3))</f>
        <v/>
      </c>
      <c r="E3" s="10">
        <f>INDEX(Quotes!$B$5:$B$19,$G3)+$D3*(INDEX(Quotes!$B$5:$B$19,MIN($G3+1,15))-INDEX(Quotes!$B$5:$B$19,$G3))</f>
        <v/>
      </c>
      <c r="F3" s="4">
        <f>IF(COUNTIF(Quotes!$C$5:$C$19,$A3)&gt;0,"quote","interp")</f>
        <v/>
      </c>
      <c r="G3" s="4">
        <f>MATCH($A3,Quotes!$C$5:$C$19,1)</f>
        <v/>
      </c>
    </row>
    <row r="4">
      <c r="A4" s="6" t="n">
        <v>0.5</v>
      </c>
      <c r="B4" s="6">
        <f>INDEX(Quotes!$C$5:$C$19,$G4)</f>
        <v/>
      </c>
      <c r="C4" s="6">
        <f>INDEX(Quotes!$C$5:$C$19,MIN($G4+1,15))</f>
        <v/>
      </c>
      <c r="D4" s="9">
        <f>IF($C4=$B4,0,($A4-$B4)/($C4-$B4))</f>
        <v/>
      </c>
      <c r="E4" s="10">
        <f>INDEX(Quotes!$B$5:$B$19,$G4)+$D4*(INDEX(Quotes!$B$5:$B$19,MIN($G4+1,15))-INDEX(Quotes!$B$5:$B$19,$G4))</f>
        <v/>
      </c>
      <c r="F4" s="4">
        <f>IF(COUNTIF(Quotes!$C$5:$C$19,$A4)&gt;0,"quote","interp")</f>
        <v/>
      </c>
      <c r="G4" s="4">
        <f>MATCH($A4,Quotes!$C$5:$C$19,1)</f>
        <v/>
      </c>
    </row>
    <row r="5">
      <c r="A5" s="6" t="n">
        <v>0.75</v>
      </c>
      <c r="B5" s="6">
        <f>INDEX(Quotes!$C$5:$C$19,$G5)</f>
        <v/>
      </c>
      <c r="C5" s="6">
        <f>INDEX(Quotes!$C$5:$C$19,MIN($G5+1,15))</f>
        <v/>
      </c>
      <c r="D5" s="9">
        <f>IF($C5=$B5,0,($A5-$B5)/($C5-$B5))</f>
        <v/>
      </c>
      <c r="E5" s="10">
        <f>INDEX(Quotes!$B$5:$B$19,$G5)+$D5*(INDEX(Quotes!$B$5:$B$19,MIN($G5+1,15))-INDEX(Quotes!$B$5:$B$19,$G5))</f>
        <v/>
      </c>
      <c r="F5" s="4">
        <f>IF(COUNTIF(Quotes!$C$5:$C$19,$A5)&gt;0,"quote","interp")</f>
        <v/>
      </c>
      <c r="G5" s="4">
        <f>MATCH($A5,Quotes!$C$5:$C$19,1)</f>
        <v/>
      </c>
    </row>
    <row r="6">
      <c r="A6" s="6" t="n">
        <v>1</v>
      </c>
      <c r="B6" s="6">
        <f>INDEX(Quotes!$C$5:$C$19,$G6)</f>
        <v/>
      </c>
      <c r="C6" s="6">
        <f>INDEX(Quotes!$C$5:$C$19,MIN($G6+1,15))</f>
        <v/>
      </c>
      <c r="D6" s="9">
        <f>IF($C6=$B6,0,($A6-$B6)/($C6-$B6))</f>
        <v/>
      </c>
      <c r="E6" s="10">
        <f>INDEX(Quotes!$B$5:$B$19,$G6)+$D6*(INDEX(Quotes!$B$5:$B$19,MIN($G6+1,15))-INDEX(Quotes!$B$5:$B$19,$G6))</f>
        <v/>
      </c>
      <c r="F6" s="4">
        <f>IF(COUNTIF(Quotes!$C$5:$C$19,$A6)&gt;0,"quote","interp")</f>
        <v/>
      </c>
      <c r="G6" s="4">
        <f>MATCH($A6,Quotes!$C$5:$C$19,1)</f>
        <v/>
      </c>
    </row>
    <row r="7">
      <c r="A7" s="6" t="n">
        <v>1.25</v>
      </c>
      <c r="B7" s="6">
        <f>INDEX(Quotes!$C$5:$C$19,$G7)</f>
        <v/>
      </c>
      <c r="C7" s="6">
        <f>INDEX(Quotes!$C$5:$C$19,MIN($G7+1,15))</f>
        <v/>
      </c>
      <c r="D7" s="9">
        <f>IF($C7=$B7,0,($A7-$B7)/($C7-$B7))</f>
        <v/>
      </c>
      <c r="E7" s="10">
        <f>INDEX(Quotes!$B$5:$B$19,$G7)+$D7*(INDEX(Quotes!$B$5:$B$19,MIN($G7+1,15))-INDEX(Quotes!$B$5:$B$19,$G7))</f>
        <v/>
      </c>
      <c r="F7" s="4">
        <f>IF(COUNTIF(Quotes!$C$5:$C$19,$A7)&gt;0,"quote","interp")</f>
        <v/>
      </c>
      <c r="G7" s="4">
        <f>MATCH($A7,Quotes!$C$5:$C$19,1)</f>
        <v/>
      </c>
    </row>
    <row r="8">
      <c r="A8" s="6" t="n">
        <v>1.5</v>
      </c>
      <c r="B8" s="6">
        <f>INDEX(Quotes!$C$5:$C$19,$G8)</f>
        <v/>
      </c>
      <c r="C8" s="6">
        <f>INDEX(Quotes!$C$5:$C$19,MIN($G8+1,15))</f>
        <v/>
      </c>
      <c r="D8" s="9">
        <f>IF($C8=$B8,0,($A8-$B8)/($C8-$B8))</f>
        <v/>
      </c>
      <c r="E8" s="10">
        <f>INDEX(Quotes!$B$5:$B$19,$G8)+$D8*(INDEX(Quotes!$B$5:$B$19,MIN($G8+1,15))-INDEX(Quotes!$B$5:$B$19,$G8))</f>
        <v/>
      </c>
      <c r="F8" s="4">
        <f>IF(COUNTIF(Quotes!$C$5:$C$19,$A8)&gt;0,"quote","interp")</f>
        <v/>
      </c>
      <c r="G8" s="4">
        <f>MATCH($A8,Quotes!$C$5:$C$19,1)</f>
        <v/>
      </c>
    </row>
    <row r="9">
      <c r="A9" s="6" t="n">
        <v>1.75</v>
      </c>
      <c r="B9" s="6">
        <f>INDEX(Quotes!$C$5:$C$19,$G9)</f>
        <v/>
      </c>
      <c r="C9" s="6">
        <f>INDEX(Quotes!$C$5:$C$19,MIN($G9+1,15))</f>
        <v/>
      </c>
      <c r="D9" s="9">
        <f>IF($C9=$B9,0,($A9-$B9)/($C9-$B9))</f>
        <v/>
      </c>
      <c r="E9" s="10">
        <f>INDEX(Quotes!$B$5:$B$19,$G9)+$D9*(INDEX(Quotes!$B$5:$B$19,MIN($G9+1,15))-INDEX(Quotes!$B$5:$B$19,$G9))</f>
        <v/>
      </c>
      <c r="F9" s="4">
        <f>IF(COUNTIF(Quotes!$C$5:$C$19,$A9)&gt;0,"quote","interp")</f>
        <v/>
      </c>
      <c r="G9" s="4">
        <f>MATCH($A9,Quotes!$C$5:$C$19,1)</f>
        <v/>
      </c>
    </row>
    <row r="10">
      <c r="A10" s="6" t="n">
        <v>2</v>
      </c>
      <c r="B10" s="6">
        <f>INDEX(Quotes!$C$5:$C$19,$G10)</f>
        <v/>
      </c>
      <c r="C10" s="6">
        <f>INDEX(Quotes!$C$5:$C$19,MIN($G10+1,15))</f>
        <v/>
      </c>
      <c r="D10" s="9">
        <f>IF($C10=$B10,0,($A10-$B10)/($C10-$B10))</f>
        <v/>
      </c>
      <c r="E10" s="10">
        <f>INDEX(Quotes!$B$5:$B$19,$G10)+$D10*(INDEX(Quotes!$B$5:$B$19,MIN($G10+1,15))-INDEX(Quotes!$B$5:$B$19,$G10))</f>
        <v/>
      </c>
      <c r="F10" s="4">
        <f>IF(COUNTIF(Quotes!$C$5:$C$19,$A10)&gt;0,"quote","interp")</f>
        <v/>
      </c>
      <c r="G10" s="4">
        <f>MATCH($A10,Quotes!$C$5:$C$19,1)</f>
        <v/>
      </c>
    </row>
    <row r="11">
      <c r="A11" s="6" t="n">
        <v>2.25</v>
      </c>
      <c r="B11" s="6">
        <f>INDEX(Quotes!$C$5:$C$19,$G11)</f>
        <v/>
      </c>
      <c r="C11" s="6">
        <f>INDEX(Quotes!$C$5:$C$19,MIN($G11+1,15))</f>
        <v/>
      </c>
      <c r="D11" s="9">
        <f>IF($C11=$B11,0,($A11-$B11)/($C11-$B11))</f>
        <v/>
      </c>
      <c r="E11" s="10">
        <f>INDEX(Quotes!$B$5:$B$19,$G11)+$D11*(INDEX(Quotes!$B$5:$B$19,MIN($G11+1,15))-INDEX(Quotes!$B$5:$B$19,$G11))</f>
        <v/>
      </c>
      <c r="F11" s="4">
        <f>IF(COUNTIF(Quotes!$C$5:$C$19,$A11)&gt;0,"quote","interp")</f>
        <v/>
      </c>
      <c r="G11" s="4">
        <f>MATCH($A11,Quotes!$C$5:$C$19,1)</f>
        <v/>
      </c>
    </row>
    <row r="12">
      <c r="A12" s="6" t="n">
        <v>2.5</v>
      </c>
      <c r="B12" s="6">
        <f>INDEX(Quotes!$C$5:$C$19,$G12)</f>
        <v/>
      </c>
      <c r="C12" s="6">
        <f>INDEX(Quotes!$C$5:$C$19,MIN($G12+1,15))</f>
        <v/>
      </c>
      <c r="D12" s="9">
        <f>IF($C12=$B12,0,($A12-$B12)/($C12-$B12))</f>
        <v/>
      </c>
      <c r="E12" s="10">
        <f>INDEX(Quotes!$B$5:$B$19,$G12)+$D12*(INDEX(Quotes!$B$5:$B$19,MIN($G12+1,15))-INDEX(Quotes!$B$5:$B$19,$G12))</f>
        <v/>
      </c>
      <c r="F12" s="4">
        <f>IF(COUNTIF(Quotes!$C$5:$C$19,$A12)&gt;0,"quote","interp")</f>
        <v/>
      </c>
      <c r="G12" s="4">
        <f>MATCH($A12,Quotes!$C$5:$C$19,1)</f>
        <v/>
      </c>
    </row>
    <row r="13">
      <c r="A13" s="6" t="n">
        <v>2.75</v>
      </c>
      <c r="B13" s="6">
        <f>INDEX(Quotes!$C$5:$C$19,$G13)</f>
        <v/>
      </c>
      <c r="C13" s="6">
        <f>INDEX(Quotes!$C$5:$C$19,MIN($G13+1,15))</f>
        <v/>
      </c>
      <c r="D13" s="9">
        <f>IF($C13=$B13,0,($A13-$B13)/($C13-$B13))</f>
        <v/>
      </c>
      <c r="E13" s="10">
        <f>INDEX(Quotes!$B$5:$B$19,$G13)+$D13*(INDEX(Quotes!$B$5:$B$19,MIN($G13+1,15))-INDEX(Quotes!$B$5:$B$19,$G13))</f>
        <v/>
      </c>
      <c r="F13" s="4">
        <f>IF(COUNTIF(Quotes!$C$5:$C$19,$A13)&gt;0,"quote","interp")</f>
        <v/>
      </c>
      <c r="G13" s="4">
        <f>MATCH($A13,Quotes!$C$5:$C$19,1)</f>
        <v/>
      </c>
    </row>
    <row r="14">
      <c r="A14" s="6" t="n">
        <v>3</v>
      </c>
      <c r="B14" s="6">
        <f>INDEX(Quotes!$C$5:$C$19,$G14)</f>
        <v/>
      </c>
      <c r="C14" s="6">
        <f>INDEX(Quotes!$C$5:$C$19,MIN($G14+1,15))</f>
        <v/>
      </c>
      <c r="D14" s="9">
        <f>IF($C14=$B14,0,($A14-$B14)/($C14-$B14))</f>
        <v/>
      </c>
      <c r="E14" s="10">
        <f>INDEX(Quotes!$B$5:$B$19,$G14)+$D14*(INDEX(Quotes!$B$5:$B$19,MIN($G14+1,15))-INDEX(Quotes!$B$5:$B$19,$G14))</f>
        <v/>
      </c>
      <c r="F14" s="4">
        <f>IF(COUNTIF(Quotes!$C$5:$C$19,$A14)&gt;0,"quote","interp")</f>
        <v/>
      </c>
      <c r="G14" s="4">
        <f>MATCH($A14,Quotes!$C$5:$C$19,1)</f>
        <v/>
      </c>
    </row>
    <row r="15">
      <c r="A15" s="6" t="n">
        <v>3.25</v>
      </c>
      <c r="B15" s="6">
        <f>INDEX(Quotes!$C$5:$C$19,$G15)</f>
        <v/>
      </c>
      <c r="C15" s="6">
        <f>INDEX(Quotes!$C$5:$C$19,MIN($G15+1,15))</f>
        <v/>
      </c>
      <c r="D15" s="9">
        <f>IF($C15=$B15,0,($A15-$B15)/($C15-$B15))</f>
        <v/>
      </c>
      <c r="E15" s="10">
        <f>INDEX(Quotes!$B$5:$B$19,$G15)+$D15*(INDEX(Quotes!$B$5:$B$19,MIN($G15+1,15))-INDEX(Quotes!$B$5:$B$19,$G15))</f>
        <v/>
      </c>
      <c r="F15" s="4">
        <f>IF(COUNTIF(Quotes!$C$5:$C$19,$A15)&gt;0,"quote","interp")</f>
        <v/>
      </c>
      <c r="G15" s="4">
        <f>MATCH($A15,Quotes!$C$5:$C$19,1)</f>
        <v/>
      </c>
    </row>
    <row r="16">
      <c r="A16" s="6" t="n">
        <v>3.5</v>
      </c>
      <c r="B16" s="6">
        <f>INDEX(Quotes!$C$5:$C$19,$G16)</f>
        <v/>
      </c>
      <c r="C16" s="6">
        <f>INDEX(Quotes!$C$5:$C$19,MIN($G16+1,15))</f>
        <v/>
      </c>
      <c r="D16" s="9">
        <f>IF($C16=$B16,0,($A16-$B16)/($C16-$B16))</f>
        <v/>
      </c>
      <c r="E16" s="10">
        <f>INDEX(Quotes!$B$5:$B$19,$G16)+$D16*(INDEX(Quotes!$B$5:$B$19,MIN($G16+1,15))-INDEX(Quotes!$B$5:$B$19,$G16))</f>
        <v/>
      </c>
      <c r="F16" s="4">
        <f>IF(COUNTIF(Quotes!$C$5:$C$19,$A16)&gt;0,"quote","interp")</f>
        <v/>
      </c>
      <c r="G16" s="4">
        <f>MATCH($A16,Quotes!$C$5:$C$19,1)</f>
        <v/>
      </c>
    </row>
    <row r="17">
      <c r="A17" s="6" t="n">
        <v>3.75</v>
      </c>
      <c r="B17" s="6">
        <f>INDEX(Quotes!$C$5:$C$19,$G17)</f>
        <v/>
      </c>
      <c r="C17" s="6">
        <f>INDEX(Quotes!$C$5:$C$19,MIN($G17+1,15))</f>
        <v/>
      </c>
      <c r="D17" s="9">
        <f>IF($C17=$B17,0,($A17-$B17)/($C17-$B17))</f>
        <v/>
      </c>
      <c r="E17" s="10">
        <f>INDEX(Quotes!$B$5:$B$19,$G17)+$D17*(INDEX(Quotes!$B$5:$B$19,MIN($G17+1,15))-INDEX(Quotes!$B$5:$B$19,$G17))</f>
        <v/>
      </c>
      <c r="F17" s="4">
        <f>IF(COUNTIF(Quotes!$C$5:$C$19,$A17)&gt;0,"quote","interp")</f>
        <v/>
      </c>
      <c r="G17" s="4">
        <f>MATCH($A17,Quotes!$C$5:$C$19,1)</f>
        <v/>
      </c>
    </row>
    <row r="18">
      <c r="A18" s="6" t="n">
        <v>4</v>
      </c>
      <c r="B18" s="6">
        <f>INDEX(Quotes!$C$5:$C$19,$G18)</f>
        <v/>
      </c>
      <c r="C18" s="6">
        <f>INDEX(Quotes!$C$5:$C$19,MIN($G18+1,15))</f>
        <v/>
      </c>
      <c r="D18" s="9">
        <f>IF($C18=$B18,0,($A18-$B18)/($C18-$B18))</f>
        <v/>
      </c>
      <c r="E18" s="10">
        <f>INDEX(Quotes!$B$5:$B$19,$G18)+$D18*(INDEX(Quotes!$B$5:$B$19,MIN($G18+1,15))-INDEX(Quotes!$B$5:$B$19,$G18))</f>
        <v/>
      </c>
      <c r="F18" s="4">
        <f>IF(COUNTIF(Quotes!$C$5:$C$19,$A18)&gt;0,"quote","interp")</f>
        <v/>
      </c>
      <c r="G18" s="4">
        <f>MATCH($A18,Quotes!$C$5:$C$19,1)</f>
        <v/>
      </c>
    </row>
    <row r="19">
      <c r="A19" s="6" t="n">
        <v>4.25</v>
      </c>
      <c r="B19" s="6">
        <f>INDEX(Quotes!$C$5:$C$19,$G19)</f>
        <v/>
      </c>
      <c r="C19" s="6">
        <f>INDEX(Quotes!$C$5:$C$19,MIN($G19+1,15))</f>
        <v/>
      </c>
      <c r="D19" s="9">
        <f>IF($C19=$B19,0,($A19-$B19)/($C19-$B19))</f>
        <v/>
      </c>
      <c r="E19" s="10">
        <f>INDEX(Quotes!$B$5:$B$19,$G19)+$D19*(INDEX(Quotes!$B$5:$B$19,MIN($G19+1,15))-INDEX(Quotes!$B$5:$B$19,$G19))</f>
        <v/>
      </c>
      <c r="F19" s="4">
        <f>IF(COUNTIF(Quotes!$C$5:$C$19,$A19)&gt;0,"quote","interp")</f>
        <v/>
      </c>
      <c r="G19" s="4">
        <f>MATCH($A19,Quotes!$C$5:$C$19,1)</f>
        <v/>
      </c>
    </row>
    <row r="20">
      <c r="A20" s="6" t="n">
        <v>4.5</v>
      </c>
      <c r="B20" s="6">
        <f>INDEX(Quotes!$C$5:$C$19,$G20)</f>
        <v/>
      </c>
      <c r="C20" s="6">
        <f>INDEX(Quotes!$C$5:$C$19,MIN($G20+1,15))</f>
        <v/>
      </c>
      <c r="D20" s="9">
        <f>IF($C20=$B20,0,($A20-$B20)/($C20-$B20))</f>
        <v/>
      </c>
      <c r="E20" s="10">
        <f>INDEX(Quotes!$B$5:$B$19,$G20)+$D20*(INDEX(Quotes!$B$5:$B$19,MIN($G20+1,15))-INDEX(Quotes!$B$5:$B$19,$G20))</f>
        <v/>
      </c>
      <c r="F20" s="4">
        <f>IF(COUNTIF(Quotes!$C$5:$C$19,$A20)&gt;0,"quote","interp")</f>
        <v/>
      </c>
      <c r="G20" s="4">
        <f>MATCH($A20,Quotes!$C$5:$C$19,1)</f>
        <v/>
      </c>
    </row>
    <row r="21">
      <c r="A21" s="6" t="n">
        <v>4.75</v>
      </c>
      <c r="B21" s="6">
        <f>INDEX(Quotes!$C$5:$C$19,$G21)</f>
        <v/>
      </c>
      <c r="C21" s="6">
        <f>INDEX(Quotes!$C$5:$C$19,MIN($G21+1,15))</f>
        <v/>
      </c>
      <c r="D21" s="9">
        <f>IF($C21=$B21,0,($A21-$B21)/($C21-$B21))</f>
        <v/>
      </c>
      <c r="E21" s="10">
        <f>INDEX(Quotes!$B$5:$B$19,$G21)+$D21*(INDEX(Quotes!$B$5:$B$19,MIN($G21+1,15))-INDEX(Quotes!$B$5:$B$19,$G21))</f>
        <v/>
      </c>
      <c r="F21" s="4">
        <f>IF(COUNTIF(Quotes!$C$5:$C$19,$A21)&gt;0,"quote","interp")</f>
        <v/>
      </c>
      <c r="G21" s="4">
        <f>MATCH($A21,Quotes!$C$5:$C$19,1)</f>
        <v/>
      </c>
    </row>
    <row r="22">
      <c r="A22" s="6" t="n">
        <v>5</v>
      </c>
      <c r="B22" s="6">
        <f>INDEX(Quotes!$C$5:$C$19,$G22)</f>
        <v/>
      </c>
      <c r="C22" s="6">
        <f>INDEX(Quotes!$C$5:$C$19,MIN($G22+1,15))</f>
        <v/>
      </c>
      <c r="D22" s="9">
        <f>IF($C22=$B22,0,($A22-$B22)/($C22-$B22))</f>
        <v/>
      </c>
      <c r="E22" s="10">
        <f>INDEX(Quotes!$B$5:$B$19,$G22)+$D22*(INDEX(Quotes!$B$5:$B$19,MIN($G22+1,15))-INDEX(Quotes!$B$5:$B$19,$G22))</f>
        <v/>
      </c>
      <c r="F22" s="4">
        <f>IF(COUNTIF(Quotes!$C$5:$C$19,$A22)&gt;0,"quote","interp")</f>
        <v/>
      </c>
      <c r="G22" s="4">
        <f>MATCH($A22,Quotes!$C$5:$C$19,1)</f>
        <v/>
      </c>
    </row>
    <row r="23">
      <c r="A23" s="6" t="n">
        <v>5.25</v>
      </c>
      <c r="B23" s="6">
        <f>INDEX(Quotes!$C$5:$C$19,$G23)</f>
        <v/>
      </c>
      <c r="C23" s="6">
        <f>INDEX(Quotes!$C$5:$C$19,MIN($G23+1,15))</f>
        <v/>
      </c>
      <c r="D23" s="9">
        <f>IF($C23=$B23,0,($A23-$B23)/($C23-$B23))</f>
        <v/>
      </c>
      <c r="E23" s="10">
        <f>INDEX(Quotes!$B$5:$B$19,$G23)+$D23*(INDEX(Quotes!$B$5:$B$19,MIN($G23+1,15))-INDEX(Quotes!$B$5:$B$19,$G23))</f>
        <v/>
      </c>
      <c r="F23" s="4">
        <f>IF(COUNTIF(Quotes!$C$5:$C$19,$A23)&gt;0,"quote","interp")</f>
        <v/>
      </c>
      <c r="G23" s="4">
        <f>MATCH($A23,Quotes!$C$5:$C$19,1)</f>
        <v/>
      </c>
    </row>
    <row r="24">
      <c r="A24" s="6" t="n">
        <v>5.5</v>
      </c>
      <c r="B24" s="6">
        <f>INDEX(Quotes!$C$5:$C$19,$G24)</f>
        <v/>
      </c>
      <c r="C24" s="6">
        <f>INDEX(Quotes!$C$5:$C$19,MIN($G24+1,15))</f>
        <v/>
      </c>
      <c r="D24" s="9">
        <f>IF($C24=$B24,0,($A24-$B24)/($C24-$B24))</f>
        <v/>
      </c>
      <c r="E24" s="10">
        <f>INDEX(Quotes!$B$5:$B$19,$G24)+$D24*(INDEX(Quotes!$B$5:$B$19,MIN($G24+1,15))-INDEX(Quotes!$B$5:$B$19,$G24))</f>
        <v/>
      </c>
      <c r="F24" s="4">
        <f>IF(COUNTIF(Quotes!$C$5:$C$19,$A24)&gt;0,"quote","interp")</f>
        <v/>
      </c>
      <c r="G24" s="4">
        <f>MATCH($A24,Quotes!$C$5:$C$19,1)</f>
        <v/>
      </c>
    </row>
    <row r="25">
      <c r="A25" s="6" t="n">
        <v>5.75</v>
      </c>
      <c r="B25" s="6">
        <f>INDEX(Quotes!$C$5:$C$19,$G25)</f>
        <v/>
      </c>
      <c r="C25" s="6">
        <f>INDEX(Quotes!$C$5:$C$19,MIN($G25+1,15))</f>
        <v/>
      </c>
      <c r="D25" s="9">
        <f>IF($C25=$B25,0,($A25-$B25)/($C25-$B25))</f>
        <v/>
      </c>
      <c r="E25" s="10">
        <f>INDEX(Quotes!$B$5:$B$19,$G25)+$D25*(INDEX(Quotes!$B$5:$B$19,MIN($G25+1,15))-INDEX(Quotes!$B$5:$B$19,$G25))</f>
        <v/>
      </c>
      <c r="F25" s="4">
        <f>IF(COUNTIF(Quotes!$C$5:$C$19,$A25)&gt;0,"quote","interp")</f>
        <v/>
      </c>
      <c r="G25" s="4">
        <f>MATCH($A25,Quotes!$C$5:$C$19,1)</f>
        <v/>
      </c>
    </row>
    <row r="26">
      <c r="A26" s="6" t="n">
        <v>6</v>
      </c>
      <c r="B26" s="6">
        <f>INDEX(Quotes!$C$5:$C$19,$G26)</f>
        <v/>
      </c>
      <c r="C26" s="6">
        <f>INDEX(Quotes!$C$5:$C$19,MIN($G26+1,15))</f>
        <v/>
      </c>
      <c r="D26" s="9">
        <f>IF($C26=$B26,0,($A26-$B26)/($C26-$B26))</f>
        <v/>
      </c>
      <c r="E26" s="10">
        <f>INDEX(Quotes!$B$5:$B$19,$G26)+$D26*(INDEX(Quotes!$B$5:$B$19,MIN($G26+1,15))-INDEX(Quotes!$B$5:$B$19,$G26))</f>
        <v/>
      </c>
      <c r="F26" s="4">
        <f>IF(COUNTIF(Quotes!$C$5:$C$19,$A26)&gt;0,"quote","interp")</f>
        <v/>
      </c>
      <c r="G26" s="4">
        <f>MATCH($A26,Quotes!$C$5:$C$19,1)</f>
        <v/>
      </c>
    </row>
    <row r="27">
      <c r="A27" s="6" t="n">
        <v>6.25</v>
      </c>
      <c r="B27" s="6">
        <f>INDEX(Quotes!$C$5:$C$19,$G27)</f>
        <v/>
      </c>
      <c r="C27" s="6">
        <f>INDEX(Quotes!$C$5:$C$19,MIN($G27+1,15))</f>
        <v/>
      </c>
      <c r="D27" s="9">
        <f>IF($C27=$B27,0,($A27-$B27)/($C27-$B27))</f>
        <v/>
      </c>
      <c r="E27" s="10">
        <f>INDEX(Quotes!$B$5:$B$19,$G27)+$D27*(INDEX(Quotes!$B$5:$B$19,MIN($G27+1,15))-INDEX(Quotes!$B$5:$B$19,$G27))</f>
        <v/>
      </c>
      <c r="F27" s="4">
        <f>IF(COUNTIF(Quotes!$C$5:$C$19,$A27)&gt;0,"quote","interp")</f>
        <v/>
      </c>
      <c r="G27" s="4">
        <f>MATCH($A27,Quotes!$C$5:$C$19,1)</f>
        <v/>
      </c>
    </row>
    <row r="28">
      <c r="A28" s="6" t="n">
        <v>6.5</v>
      </c>
      <c r="B28" s="6">
        <f>INDEX(Quotes!$C$5:$C$19,$G28)</f>
        <v/>
      </c>
      <c r="C28" s="6">
        <f>INDEX(Quotes!$C$5:$C$19,MIN($G28+1,15))</f>
        <v/>
      </c>
      <c r="D28" s="9">
        <f>IF($C28=$B28,0,($A28-$B28)/($C28-$B28))</f>
        <v/>
      </c>
      <c r="E28" s="10">
        <f>INDEX(Quotes!$B$5:$B$19,$G28)+$D28*(INDEX(Quotes!$B$5:$B$19,MIN($G28+1,15))-INDEX(Quotes!$B$5:$B$19,$G28))</f>
        <v/>
      </c>
      <c r="F28" s="4">
        <f>IF(COUNTIF(Quotes!$C$5:$C$19,$A28)&gt;0,"quote","interp")</f>
        <v/>
      </c>
      <c r="G28" s="4">
        <f>MATCH($A28,Quotes!$C$5:$C$19,1)</f>
        <v/>
      </c>
    </row>
    <row r="29">
      <c r="A29" s="6" t="n">
        <v>6.75</v>
      </c>
      <c r="B29" s="6">
        <f>INDEX(Quotes!$C$5:$C$19,$G29)</f>
        <v/>
      </c>
      <c r="C29" s="6">
        <f>INDEX(Quotes!$C$5:$C$19,MIN($G29+1,15))</f>
        <v/>
      </c>
      <c r="D29" s="9">
        <f>IF($C29=$B29,0,($A29-$B29)/($C29-$B29))</f>
        <v/>
      </c>
      <c r="E29" s="10">
        <f>INDEX(Quotes!$B$5:$B$19,$G29)+$D29*(INDEX(Quotes!$B$5:$B$19,MIN($G29+1,15))-INDEX(Quotes!$B$5:$B$19,$G29))</f>
        <v/>
      </c>
      <c r="F29" s="4">
        <f>IF(COUNTIF(Quotes!$C$5:$C$19,$A29)&gt;0,"quote","interp")</f>
        <v/>
      </c>
      <c r="G29" s="4">
        <f>MATCH($A29,Quotes!$C$5:$C$19,1)</f>
        <v/>
      </c>
    </row>
    <row r="30">
      <c r="A30" s="6" t="n">
        <v>7</v>
      </c>
      <c r="B30" s="6">
        <f>INDEX(Quotes!$C$5:$C$19,$G30)</f>
        <v/>
      </c>
      <c r="C30" s="6">
        <f>INDEX(Quotes!$C$5:$C$19,MIN($G30+1,15))</f>
        <v/>
      </c>
      <c r="D30" s="9">
        <f>IF($C30=$B30,0,($A30-$B30)/($C30-$B30))</f>
        <v/>
      </c>
      <c r="E30" s="10">
        <f>INDEX(Quotes!$B$5:$B$19,$G30)+$D30*(INDEX(Quotes!$B$5:$B$19,MIN($G30+1,15))-INDEX(Quotes!$B$5:$B$19,$G30))</f>
        <v/>
      </c>
      <c r="F30" s="4">
        <f>IF(COUNTIF(Quotes!$C$5:$C$19,$A30)&gt;0,"quote","interp")</f>
        <v/>
      </c>
      <c r="G30" s="4">
        <f>MATCH($A30,Quotes!$C$5:$C$19,1)</f>
        <v/>
      </c>
    </row>
    <row r="31">
      <c r="A31" s="6" t="n">
        <v>7.25</v>
      </c>
      <c r="B31" s="6">
        <f>INDEX(Quotes!$C$5:$C$19,$G31)</f>
        <v/>
      </c>
      <c r="C31" s="6">
        <f>INDEX(Quotes!$C$5:$C$19,MIN($G31+1,15))</f>
        <v/>
      </c>
      <c r="D31" s="9">
        <f>IF($C31=$B31,0,($A31-$B31)/($C31-$B31))</f>
        <v/>
      </c>
      <c r="E31" s="10">
        <f>INDEX(Quotes!$B$5:$B$19,$G31)+$D31*(INDEX(Quotes!$B$5:$B$19,MIN($G31+1,15))-INDEX(Quotes!$B$5:$B$19,$G31))</f>
        <v/>
      </c>
      <c r="F31" s="4">
        <f>IF(COUNTIF(Quotes!$C$5:$C$19,$A31)&gt;0,"quote","interp")</f>
        <v/>
      </c>
      <c r="G31" s="4">
        <f>MATCH($A31,Quotes!$C$5:$C$19,1)</f>
        <v/>
      </c>
    </row>
    <row r="32">
      <c r="A32" s="6" t="n">
        <v>7.5</v>
      </c>
      <c r="B32" s="6">
        <f>INDEX(Quotes!$C$5:$C$19,$G32)</f>
        <v/>
      </c>
      <c r="C32" s="6">
        <f>INDEX(Quotes!$C$5:$C$19,MIN($G32+1,15))</f>
        <v/>
      </c>
      <c r="D32" s="9">
        <f>IF($C32=$B32,0,($A32-$B32)/($C32-$B32))</f>
        <v/>
      </c>
      <c r="E32" s="10">
        <f>INDEX(Quotes!$B$5:$B$19,$G32)+$D32*(INDEX(Quotes!$B$5:$B$19,MIN($G32+1,15))-INDEX(Quotes!$B$5:$B$19,$G32))</f>
        <v/>
      </c>
      <c r="F32" s="4">
        <f>IF(COUNTIF(Quotes!$C$5:$C$19,$A32)&gt;0,"quote","interp")</f>
        <v/>
      </c>
      <c r="G32" s="4">
        <f>MATCH($A32,Quotes!$C$5:$C$19,1)</f>
        <v/>
      </c>
    </row>
    <row r="33">
      <c r="A33" s="6" t="n">
        <v>7.75</v>
      </c>
      <c r="B33" s="6">
        <f>INDEX(Quotes!$C$5:$C$19,$G33)</f>
        <v/>
      </c>
      <c r="C33" s="6">
        <f>INDEX(Quotes!$C$5:$C$19,MIN($G33+1,15))</f>
        <v/>
      </c>
      <c r="D33" s="9">
        <f>IF($C33=$B33,0,($A33-$B33)/($C33-$B33))</f>
        <v/>
      </c>
      <c r="E33" s="10">
        <f>INDEX(Quotes!$B$5:$B$19,$G33)+$D33*(INDEX(Quotes!$B$5:$B$19,MIN($G33+1,15))-INDEX(Quotes!$B$5:$B$19,$G33))</f>
        <v/>
      </c>
      <c r="F33" s="4">
        <f>IF(COUNTIF(Quotes!$C$5:$C$19,$A33)&gt;0,"quote","interp")</f>
        <v/>
      </c>
      <c r="G33" s="4">
        <f>MATCH($A33,Quotes!$C$5:$C$19,1)</f>
        <v/>
      </c>
    </row>
    <row r="34">
      <c r="A34" s="6" t="n">
        <v>8</v>
      </c>
      <c r="B34" s="6">
        <f>INDEX(Quotes!$C$5:$C$19,$G34)</f>
        <v/>
      </c>
      <c r="C34" s="6">
        <f>INDEX(Quotes!$C$5:$C$19,MIN($G34+1,15))</f>
        <v/>
      </c>
      <c r="D34" s="9">
        <f>IF($C34=$B34,0,($A34-$B34)/($C34-$B34))</f>
        <v/>
      </c>
      <c r="E34" s="10">
        <f>INDEX(Quotes!$B$5:$B$19,$G34)+$D34*(INDEX(Quotes!$B$5:$B$19,MIN($G34+1,15))-INDEX(Quotes!$B$5:$B$19,$G34))</f>
        <v/>
      </c>
      <c r="F34" s="4">
        <f>IF(COUNTIF(Quotes!$C$5:$C$19,$A34)&gt;0,"quote","interp")</f>
        <v/>
      </c>
      <c r="G34" s="4">
        <f>MATCH($A34,Quotes!$C$5:$C$19,1)</f>
        <v/>
      </c>
    </row>
    <row r="35">
      <c r="A35" s="6" t="n">
        <v>8.25</v>
      </c>
      <c r="B35" s="6">
        <f>INDEX(Quotes!$C$5:$C$19,$G35)</f>
        <v/>
      </c>
      <c r="C35" s="6">
        <f>INDEX(Quotes!$C$5:$C$19,MIN($G35+1,15))</f>
        <v/>
      </c>
      <c r="D35" s="9">
        <f>IF($C35=$B35,0,($A35-$B35)/($C35-$B35))</f>
        <v/>
      </c>
      <c r="E35" s="10">
        <f>INDEX(Quotes!$B$5:$B$19,$G35)+$D35*(INDEX(Quotes!$B$5:$B$19,MIN($G35+1,15))-INDEX(Quotes!$B$5:$B$19,$G35))</f>
        <v/>
      </c>
      <c r="F35" s="4">
        <f>IF(COUNTIF(Quotes!$C$5:$C$19,$A35)&gt;0,"quote","interp")</f>
        <v/>
      </c>
      <c r="G35" s="4">
        <f>MATCH($A35,Quotes!$C$5:$C$19,1)</f>
        <v/>
      </c>
    </row>
    <row r="36">
      <c r="A36" s="6" t="n">
        <v>8.5</v>
      </c>
      <c r="B36" s="6">
        <f>INDEX(Quotes!$C$5:$C$19,$G36)</f>
        <v/>
      </c>
      <c r="C36" s="6">
        <f>INDEX(Quotes!$C$5:$C$19,MIN($G36+1,15))</f>
        <v/>
      </c>
      <c r="D36" s="9">
        <f>IF($C36=$B36,0,($A36-$B36)/($C36-$B36))</f>
        <v/>
      </c>
      <c r="E36" s="10">
        <f>INDEX(Quotes!$B$5:$B$19,$G36)+$D36*(INDEX(Quotes!$B$5:$B$19,MIN($G36+1,15))-INDEX(Quotes!$B$5:$B$19,$G36))</f>
        <v/>
      </c>
      <c r="F36" s="4">
        <f>IF(COUNTIF(Quotes!$C$5:$C$19,$A36)&gt;0,"quote","interp")</f>
        <v/>
      </c>
      <c r="G36" s="4">
        <f>MATCH($A36,Quotes!$C$5:$C$19,1)</f>
        <v/>
      </c>
    </row>
    <row r="37">
      <c r="A37" s="6" t="n">
        <v>8.75</v>
      </c>
      <c r="B37" s="6">
        <f>INDEX(Quotes!$C$5:$C$19,$G37)</f>
        <v/>
      </c>
      <c r="C37" s="6">
        <f>INDEX(Quotes!$C$5:$C$19,MIN($G37+1,15))</f>
        <v/>
      </c>
      <c r="D37" s="9">
        <f>IF($C37=$B37,0,($A37-$B37)/($C37-$B37))</f>
        <v/>
      </c>
      <c r="E37" s="10">
        <f>INDEX(Quotes!$B$5:$B$19,$G37)+$D37*(INDEX(Quotes!$B$5:$B$19,MIN($G37+1,15))-INDEX(Quotes!$B$5:$B$19,$G37))</f>
        <v/>
      </c>
      <c r="F37" s="4">
        <f>IF(COUNTIF(Quotes!$C$5:$C$19,$A37)&gt;0,"quote","interp")</f>
        <v/>
      </c>
      <c r="G37" s="4">
        <f>MATCH($A37,Quotes!$C$5:$C$19,1)</f>
        <v/>
      </c>
    </row>
    <row r="38">
      <c r="A38" s="6" t="n">
        <v>9</v>
      </c>
      <c r="B38" s="6">
        <f>INDEX(Quotes!$C$5:$C$19,$G38)</f>
        <v/>
      </c>
      <c r="C38" s="6">
        <f>INDEX(Quotes!$C$5:$C$19,MIN($G38+1,15))</f>
        <v/>
      </c>
      <c r="D38" s="9">
        <f>IF($C38=$B38,0,($A38-$B38)/($C38-$B38))</f>
        <v/>
      </c>
      <c r="E38" s="10">
        <f>INDEX(Quotes!$B$5:$B$19,$G38)+$D38*(INDEX(Quotes!$B$5:$B$19,MIN($G38+1,15))-INDEX(Quotes!$B$5:$B$19,$G38))</f>
        <v/>
      </c>
      <c r="F38" s="4">
        <f>IF(COUNTIF(Quotes!$C$5:$C$19,$A38)&gt;0,"quote","interp")</f>
        <v/>
      </c>
      <c r="G38" s="4">
        <f>MATCH($A38,Quotes!$C$5:$C$19,1)</f>
        <v/>
      </c>
    </row>
    <row r="39">
      <c r="A39" s="6" t="n">
        <v>9.25</v>
      </c>
      <c r="B39" s="6">
        <f>INDEX(Quotes!$C$5:$C$19,$G39)</f>
        <v/>
      </c>
      <c r="C39" s="6">
        <f>INDEX(Quotes!$C$5:$C$19,MIN($G39+1,15))</f>
        <v/>
      </c>
      <c r="D39" s="9">
        <f>IF($C39=$B39,0,($A39-$B39)/($C39-$B39))</f>
        <v/>
      </c>
      <c r="E39" s="10">
        <f>INDEX(Quotes!$B$5:$B$19,$G39)+$D39*(INDEX(Quotes!$B$5:$B$19,MIN($G39+1,15))-INDEX(Quotes!$B$5:$B$19,$G39))</f>
        <v/>
      </c>
      <c r="F39" s="4">
        <f>IF(COUNTIF(Quotes!$C$5:$C$19,$A39)&gt;0,"quote","interp")</f>
        <v/>
      </c>
      <c r="G39" s="4">
        <f>MATCH($A39,Quotes!$C$5:$C$19,1)</f>
        <v/>
      </c>
    </row>
    <row r="40">
      <c r="A40" s="6" t="n">
        <v>9.5</v>
      </c>
      <c r="B40" s="6">
        <f>INDEX(Quotes!$C$5:$C$19,$G40)</f>
        <v/>
      </c>
      <c r="C40" s="6">
        <f>INDEX(Quotes!$C$5:$C$19,MIN($G40+1,15))</f>
        <v/>
      </c>
      <c r="D40" s="9">
        <f>IF($C40=$B40,0,($A40-$B40)/($C40-$B40))</f>
        <v/>
      </c>
      <c r="E40" s="10">
        <f>INDEX(Quotes!$B$5:$B$19,$G40)+$D40*(INDEX(Quotes!$B$5:$B$19,MIN($G40+1,15))-INDEX(Quotes!$B$5:$B$19,$G40))</f>
        <v/>
      </c>
      <c r="F40" s="4">
        <f>IF(COUNTIF(Quotes!$C$5:$C$19,$A40)&gt;0,"quote","interp")</f>
        <v/>
      </c>
      <c r="G40" s="4">
        <f>MATCH($A40,Quotes!$C$5:$C$19,1)</f>
        <v/>
      </c>
    </row>
    <row r="41">
      <c r="A41" s="6" t="n">
        <v>9.75</v>
      </c>
      <c r="B41" s="6">
        <f>INDEX(Quotes!$C$5:$C$19,$G41)</f>
        <v/>
      </c>
      <c r="C41" s="6">
        <f>INDEX(Quotes!$C$5:$C$19,MIN($G41+1,15))</f>
        <v/>
      </c>
      <c r="D41" s="9">
        <f>IF($C41=$B41,0,($A41-$B41)/($C41-$B41))</f>
        <v/>
      </c>
      <c r="E41" s="10">
        <f>INDEX(Quotes!$B$5:$B$19,$G41)+$D41*(INDEX(Quotes!$B$5:$B$19,MIN($G41+1,15))-INDEX(Quotes!$B$5:$B$19,$G41))</f>
        <v/>
      </c>
      <c r="F41" s="4">
        <f>IF(COUNTIF(Quotes!$C$5:$C$19,$A41)&gt;0,"quote","interp")</f>
        <v/>
      </c>
      <c r="G41" s="4">
        <f>MATCH($A41,Quotes!$C$5:$C$19,1)</f>
        <v/>
      </c>
    </row>
    <row r="42">
      <c r="A42" s="6" t="n">
        <v>10</v>
      </c>
      <c r="B42" s="6">
        <f>INDEX(Quotes!$C$5:$C$19,$G42)</f>
        <v/>
      </c>
      <c r="C42" s="6">
        <f>INDEX(Quotes!$C$5:$C$19,MIN($G42+1,15))</f>
        <v/>
      </c>
      <c r="D42" s="9">
        <f>IF($C42=$B42,0,($A42-$B42)/($C42-$B42))</f>
        <v/>
      </c>
      <c r="E42" s="10">
        <f>INDEX(Quotes!$B$5:$B$19,$G42)+$D42*(INDEX(Quotes!$B$5:$B$19,MIN($G42+1,15))-INDEX(Quotes!$B$5:$B$19,$G42))</f>
        <v/>
      </c>
      <c r="F42" s="4">
        <f>IF(COUNTIF(Quotes!$C$5:$C$19,$A42)&gt;0,"quote","interp")</f>
        <v/>
      </c>
      <c r="G42" s="4">
        <f>MATCH($A42,Quotes!$C$5:$C$19,1)</f>
        <v/>
      </c>
    </row>
    <row r="43">
      <c r="A43" s="6" t="n">
        <v>10.25</v>
      </c>
      <c r="B43" s="6">
        <f>INDEX(Quotes!$C$5:$C$19,$G43)</f>
        <v/>
      </c>
      <c r="C43" s="6">
        <f>INDEX(Quotes!$C$5:$C$19,MIN($G43+1,15))</f>
        <v/>
      </c>
      <c r="D43" s="9">
        <f>IF($C43=$B43,0,($A43-$B43)/($C43-$B43))</f>
        <v/>
      </c>
      <c r="E43" s="10">
        <f>INDEX(Quotes!$B$5:$B$19,$G43)+$D43*(INDEX(Quotes!$B$5:$B$19,MIN($G43+1,15))-INDEX(Quotes!$B$5:$B$19,$G43))</f>
        <v/>
      </c>
      <c r="F43" s="4">
        <f>IF(COUNTIF(Quotes!$C$5:$C$19,$A43)&gt;0,"quote","interp")</f>
        <v/>
      </c>
      <c r="G43" s="4">
        <f>MATCH($A43,Quotes!$C$5:$C$19,1)</f>
        <v/>
      </c>
    </row>
    <row r="44">
      <c r="A44" s="6" t="n">
        <v>10.5</v>
      </c>
      <c r="B44" s="6">
        <f>INDEX(Quotes!$C$5:$C$19,$G44)</f>
        <v/>
      </c>
      <c r="C44" s="6">
        <f>INDEX(Quotes!$C$5:$C$19,MIN($G44+1,15))</f>
        <v/>
      </c>
      <c r="D44" s="9">
        <f>IF($C44=$B44,0,($A44-$B44)/($C44-$B44))</f>
        <v/>
      </c>
      <c r="E44" s="10">
        <f>INDEX(Quotes!$B$5:$B$19,$G44)+$D44*(INDEX(Quotes!$B$5:$B$19,MIN($G44+1,15))-INDEX(Quotes!$B$5:$B$19,$G44))</f>
        <v/>
      </c>
      <c r="F44" s="4">
        <f>IF(COUNTIF(Quotes!$C$5:$C$19,$A44)&gt;0,"quote","interp")</f>
        <v/>
      </c>
      <c r="G44" s="4">
        <f>MATCH($A44,Quotes!$C$5:$C$19,1)</f>
        <v/>
      </c>
    </row>
    <row r="45">
      <c r="A45" s="6" t="n">
        <v>10.75</v>
      </c>
      <c r="B45" s="6">
        <f>INDEX(Quotes!$C$5:$C$19,$G45)</f>
        <v/>
      </c>
      <c r="C45" s="6">
        <f>INDEX(Quotes!$C$5:$C$19,MIN($G45+1,15))</f>
        <v/>
      </c>
      <c r="D45" s="9">
        <f>IF($C45=$B45,0,($A45-$B45)/($C45-$B45))</f>
        <v/>
      </c>
      <c r="E45" s="10">
        <f>INDEX(Quotes!$B$5:$B$19,$G45)+$D45*(INDEX(Quotes!$B$5:$B$19,MIN($G45+1,15))-INDEX(Quotes!$B$5:$B$19,$G45))</f>
        <v/>
      </c>
      <c r="F45" s="4">
        <f>IF(COUNTIF(Quotes!$C$5:$C$19,$A45)&gt;0,"quote","interp")</f>
        <v/>
      </c>
      <c r="G45" s="4">
        <f>MATCH($A45,Quotes!$C$5:$C$19,1)</f>
        <v/>
      </c>
    </row>
    <row r="46">
      <c r="A46" s="6" t="n">
        <v>11</v>
      </c>
      <c r="B46" s="6">
        <f>INDEX(Quotes!$C$5:$C$19,$G46)</f>
        <v/>
      </c>
      <c r="C46" s="6">
        <f>INDEX(Quotes!$C$5:$C$19,MIN($G46+1,15))</f>
        <v/>
      </c>
      <c r="D46" s="9">
        <f>IF($C46=$B46,0,($A46-$B46)/($C46-$B46))</f>
        <v/>
      </c>
      <c r="E46" s="10">
        <f>INDEX(Quotes!$B$5:$B$19,$G46)+$D46*(INDEX(Quotes!$B$5:$B$19,MIN($G46+1,15))-INDEX(Quotes!$B$5:$B$19,$G46))</f>
        <v/>
      </c>
      <c r="F46" s="4">
        <f>IF(COUNTIF(Quotes!$C$5:$C$19,$A46)&gt;0,"quote","interp")</f>
        <v/>
      </c>
      <c r="G46" s="4">
        <f>MATCH($A46,Quotes!$C$5:$C$19,1)</f>
        <v/>
      </c>
    </row>
    <row r="47">
      <c r="A47" s="6" t="n">
        <v>11.25</v>
      </c>
      <c r="B47" s="6">
        <f>INDEX(Quotes!$C$5:$C$19,$G47)</f>
        <v/>
      </c>
      <c r="C47" s="6">
        <f>INDEX(Quotes!$C$5:$C$19,MIN($G47+1,15))</f>
        <v/>
      </c>
      <c r="D47" s="9">
        <f>IF($C47=$B47,0,($A47-$B47)/($C47-$B47))</f>
        <v/>
      </c>
      <c r="E47" s="10">
        <f>INDEX(Quotes!$B$5:$B$19,$G47)+$D47*(INDEX(Quotes!$B$5:$B$19,MIN($G47+1,15))-INDEX(Quotes!$B$5:$B$19,$G47))</f>
        <v/>
      </c>
      <c r="F47" s="4">
        <f>IF(COUNTIF(Quotes!$C$5:$C$19,$A47)&gt;0,"quote","interp")</f>
        <v/>
      </c>
      <c r="G47" s="4">
        <f>MATCH($A47,Quotes!$C$5:$C$19,1)</f>
        <v/>
      </c>
    </row>
    <row r="48">
      <c r="A48" s="6" t="n">
        <v>11.5</v>
      </c>
      <c r="B48" s="6">
        <f>INDEX(Quotes!$C$5:$C$19,$G48)</f>
        <v/>
      </c>
      <c r="C48" s="6">
        <f>INDEX(Quotes!$C$5:$C$19,MIN($G48+1,15))</f>
        <v/>
      </c>
      <c r="D48" s="9">
        <f>IF($C48=$B48,0,($A48-$B48)/($C48-$B48))</f>
        <v/>
      </c>
      <c r="E48" s="10">
        <f>INDEX(Quotes!$B$5:$B$19,$G48)+$D48*(INDEX(Quotes!$B$5:$B$19,MIN($G48+1,15))-INDEX(Quotes!$B$5:$B$19,$G48))</f>
        <v/>
      </c>
      <c r="F48" s="4">
        <f>IF(COUNTIF(Quotes!$C$5:$C$19,$A48)&gt;0,"quote","interp")</f>
        <v/>
      </c>
      <c r="G48" s="4">
        <f>MATCH($A48,Quotes!$C$5:$C$19,1)</f>
        <v/>
      </c>
    </row>
    <row r="49">
      <c r="A49" s="6" t="n">
        <v>11.75</v>
      </c>
      <c r="B49" s="6">
        <f>INDEX(Quotes!$C$5:$C$19,$G49)</f>
        <v/>
      </c>
      <c r="C49" s="6">
        <f>INDEX(Quotes!$C$5:$C$19,MIN($G49+1,15))</f>
        <v/>
      </c>
      <c r="D49" s="9">
        <f>IF($C49=$B49,0,($A49-$B49)/($C49-$B49))</f>
        <v/>
      </c>
      <c r="E49" s="10">
        <f>INDEX(Quotes!$B$5:$B$19,$G49)+$D49*(INDEX(Quotes!$B$5:$B$19,MIN($G49+1,15))-INDEX(Quotes!$B$5:$B$19,$G49))</f>
        <v/>
      </c>
      <c r="F49" s="4">
        <f>IF(COUNTIF(Quotes!$C$5:$C$19,$A49)&gt;0,"quote","interp")</f>
        <v/>
      </c>
      <c r="G49" s="4">
        <f>MATCH($A49,Quotes!$C$5:$C$19,1)</f>
        <v/>
      </c>
    </row>
    <row r="50">
      <c r="A50" s="6" t="n">
        <v>12</v>
      </c>
      <c r="B50" s="6">
        <f>INDEX(Quotes!$C$5:$C$19,$G50)</f>
        <v/>
      </c>
      <c r="C50" s="6">
        <f>INDEX(Quotes!$C$5:$C$19,MIN($G50+1,15))</f>
        <v/>
      </c>
      <c r="D50" s="9">
        <f>IF($C50=$B50,0,($A50-$B50)/($C50-$B50))</f>
        <v/>
      </c>
      <c r="E50" s="10">
        <f>INDEX(Quotes!$B$5:$B$19,$G50)+$D50*(INDEX(Quotes!$B$5:$B$19,MIN($G50+1,15))-INDEX(Quotes!$B$5:$B$19,$G50))</f>
        <v/>
      </c>
      <c r="F50" s="4">
        <f>IF(COUNTIF(Quotes!$C$5:$C$19,$A50)&gt;0,"quote","interp")</f>
        <v/>
      </c>
      <c r="G50" s="4">
        <f>MATCH($A50,Quotes!$C$5:$C$19,1)</f>
        <v/>
      </c>
    </row>
    <row r="51">
      <c r="A51" s="6" t="n">
        <v>12.25</v>
      </c>
      <c r="B51" s="6">
        <f>INDEX(Quotes!$C$5:$C$19,$G51)</f>
        <v/>
      </c>
      <c r="C51" s="6">
        <f>INDEX(Quotes!$C$5:$C$19,MIN($G51+1,15))</f>
        <v/>
      </c>
      <c r="D51" s="9">
        <f>IF($C51=$B51,0,($A51-$B51)/($C51-$B51))</f>
        <v/>
      </c>
      <c r="E51" s="10">
        <f>INDEX(Quotes!$B$5:$B$19,$G51)+$D51*(INDEX(Quotes!$B$5:$B$19,MIN($G51+1,15))-INDEX(Quotes!$B$5:$B$19,$G51))</f>
        <v/>
      </c>
      <c r="F51" s="4">
        <f>IF(COUNTIF(Quotes!$C$5:$C$19,$A51)&gt;0,"quote","interp")</f>
        <v/>
      </c>
      <c r="G51" s="4">
        <f>MATCH($A51,Quotes!$C$5:$C$19,1)</f>
        <v/>
      </c>
    </row>
    <row r="52">
      <c r="A52" s="6" t="n">
        <v>12.5</v>
      </c>
      <c r="B52" s="6">
        <f>INDEX(Quotes!$C$5:$C$19,$G52)</f>
        <v/>
      </c>
      <c r="C52" s="6">
        <f>INDEX(Quotes!$C$5:$C$19,MIN($G52+1,15))</f>
        <v/>
      </c>
      <c r="D52" s="9">
        <f>IF($C52=$B52,0,($A52-$B52)/($C52-$B52))</f>
        <v/>
      </c>
      <c r="E52" s="10">
        <f>INDEX(Quotes!$B$5:$B$19,$G52)+$D52*(INDEX(Quotes!$B$5:$B$19,MIN($G52+1,15))-INDEX(Quotes!$B$5:$B$19,$G52))</f>
        <v/>
      </c>
      <c r="F52" s="4">
        <f>IF(COUNTIF(Quotes!$C$5:$C$19,$A52)&gt;0,"quote","interp")</f>
        <v/>
      </c>
      <c r="G52" s="4">
        <f>MATCH($A52,Quotes!$C$5:$C$19,1)</f>
        <v/>
      </c>
    </row>
    <row r="53">
      <c r="A53" s="6" t="n">
        <v>12.75</v>
      </c>
      <c r="B53" s="6">
        <f>INDEX(Quotes!$C$5:$C$19,$G53)</f>
        <v/>
      </c>
      <c r="C53" s="6">
        <f>INDEX(Quotes!$C$5:$C$19,MIN($G53+1,15))</f>
        <v/>
      </c>
      <c r="D53" s="9">
        <f>IF($C53=$B53,0,($A53-$B53)/($C53-$B53))</f>
        <v/>
      </c>
      <c r="E53" s="10">
        <f>INDEX(Quotes!$B$5:$B$19,$G53)+$D53*(INDEX(Quotes!$B$5:$B$19,MIN($G53+1,15))-INDEX(Quotes!$B$5:$B$19,$G53))</f>
        <v/>
      </c>
      <c r="F53" s="4">
        <f>IF(COUNTIF(Quotes!$C$5:$C$19,$A53)&gt;0,"quote","interp")</f>
        <v/>
      </c>
      <c r="G53" s="4">
        <f>MATCH($A53,Quotes!$C$5:$C$19,1)</f>
        <v/>
      </c>
    </row>
    <row r="54">
      <c r="A54" s="6" t="n">
        <v>13</v>
      </c>
      <c r="B54" s="6">
        <f>INDEX(Quotes!$C$5:$C$19,$G54)</f>
        <v/>
      </c>
      <c r="C54" s="6">
        <f>INDEX(Quotes!$C$5:$C$19,MIN($G54+1,15))</f>
        <v/>
      </c>
      <c r="D54" s="9">
        <f>IF($C54=$B54,0,($A54-$B54)/($C54-$B54))</f>
        <v/>
      </c>
      <c r="E54" s="10">
        <f>INDEX(Quotes!$B$5:$B$19,$G54)+$D54*(INDEX(Quotes!$B$5:$B$19,MIN($G54+1,15))-INDEX(Quotes!$B$5:$B$19,$G54))</f>
        <v/>
      </c>
      <c r="F54" s="4">
        <f>IF(COUNTIF(Quotes!$C$5:$C$19,$A54)&gt;0,"quote","interp")</f>
        <v/>
      </c>
      <c r="G54" s="4">
        <f>MATCH($A54,Quotes!$C$5:$C$19,1)</f>
        <v/>
      </c>
    </row>
    <row r="55">
      <c r="A55" s="6" t="n">
        <v>13.25</v>
      </c>
      <c r="B55" s="6">
        <f>INDEX(Quotes!$C$5:$C$19,$G55)</f>
        <v/>
      </c>
      <c r="C55" s="6">
        <f>INDEX(Quotes!$C$5:$C$19,MIN($G55+1,15))</f>
        <v/>
      </c>
      <c r="D55" s="9">
        <f>IF($C55=$B55,0,($A55-$B55)/($C55-$B55))</f>
        <v/>
      </c>
      <c r="E55" s="10">
        <f>INDEX(Quotes!$B$5:$B$19,$G55)+$D55*(INDEX(Quotes!$B$5:$B$19,MIN($G55+1,15))-INDEX(Quotes!$B$5:$B$19,$G55))</f>
        <v/>
      </c>
      <c r="F55" s="4">
        <f>IF(COUNTIF(Quotes!$C$5:$C$19,$A55)&gt;0,"quote","interp")</f>
        <v/>
      </c>
      <c r="G55" s="4">
        <f>MATCH($A55,Quotes!$C$5:$C$19,1)</f>
        <v/>
      </c>
    </row>
    <row r="56">
      <c r="A56" s="6" t="n">
        <v>13.5</v>
      </c>
      <c r="B56" s="6">
        <f>INDEX(Quotes!$C$5:$C$19,$G56)</f>
        <v/>
      </c>
      <c r="C56" s="6">
        <f>INDEX(Quotes!$C$5:$C$19,MIN($G56+1,15))</f>
        <v/>
      </c>
      <c r="D56" s="9">
        <f>IF($C56=$B56,0,($A56-$B56)/($C56-$B56))</f>
        <v/>
      </c>
      <c r="E56" s="10">
        <f>INDEX(Quotes!$B$5:$B$19,$G56)+$D56*(INDEX(Quotes!$B$5:$B$19,MIN($G56+1,15))-INDEX(Quotes!$B$5:$B$19,$G56))</f>
        <v/>
      </c>
      <c r="F56" s="4">
        <f>IF(COUNTIF(Quotes!$C$5:$C$19,$A56)&gt;0,"quote","interp")</f>
        <v/>
      </c>
      <c r="G56" s="4">
        <f>MATCH($A56,Quotes!$C$5:$C$19,1)</f>
        <v/>
      </c>
    </row>
    <row r="57">
      <c r="A57" s="6" t="n">
        <v>13.75</v>
      </c>
      <c r="B57" s="6">
        <f>INDEX(Quotes!$C$5:$C$19,$G57)</f>
        <v/>
      </c>
      <c r="C57" s="6">
        <f>INDEX(Quotes!$C$5:$C$19,MIN($G57+1,15))</f>
        <v/>
      </c>
      <c r="D57" s="9">
        <f>IF($C57=$B57,0,($A57-$B57)/($C57-$B57))</f>
        <v/>
      </c>
      <c r="E57" s="10">
        <f>INDEX(Quotes!$B$5:$B$19,$G57)+$D57*(INDEX(Quotes!$B$5:$B$19,MIN($G57+1,15))-INDEX(Quotes!$B$5:$B$19,$G57))</f>
        <v/>
      </c>
      <c r="F57" s="4">
        <f>IF(COUNTIF(Quotes!$C$5:$C$19,$A57)&gt;0,"quote","interp")</f>
        <v/>
      </c>
      <c r="G57" s="4">
        <f>MATCH($A57,Quotes!$C$5:$C$19,1)</f>
        <v/>
      </c>
    </row>
    <row r="58">
      <c r="A58" s="6" t="n">
        <v>14</v>
      </c>
      <c r="B58" s="6">
        <f>INDEX(Quotes!$C$5:$C$19,$G58)</f>
        <v/>
      </c>
      <c r="C58" s="6">
        <f>INDEX(Quotes!$C$5:$C$19,MIN($G58+1,15))</f>
        <v/>
      </c>
      <c r="D58" s="9">
        <f>IF($C58=$B58,0,($A58-$B58)/($C58-$B58))</f>
        <v/>
      </c>
      <c r="E58" s="10">
        <f>INDEX(Quotes!$B$5:$B$19,$G58)+$D58*(INDEX(Quotes!$B$5:$B$19,MIN($G58+1,15))-INDEX(Quotes!$B$5:$B$19,$G58))</f>
        <v/>
      </c>
      <c r="F58" s="4">
        <f>IF(COUNTIF(Quotes!$C$5:$C$19,$A58)&gt;0,"quote","interp")</f>
        <v/>
      </c>
      <c r="G58" s="4">
        <f>MATCH($A58,Quotes!$C$5:$C$19,1)</f>
        <v/>
      </c>
    </row>
    <row r="59">
      <c r="A59" s="6" t="n">
        <v>14.25</v>
      </c>
      <c r="B59" s="6">
        <f>INDEX(Quotes!$C$5:$C$19,$G59)</f>
        <v/>
      </c>
      <c r="C59" s="6">
        <f>INDEX(Quotes!$C$5:$C$19,MIN($G59+1,15))</f>
        <v/>
      </c>
      <c r="D59" s="9">
        <f>IF($C59=$B59,0,($A59-$B59)/($C59-$B59))</f>
        <v/>
      </c>
      <c r="E59" s="10">
        <f>INDEX(Quotes!$B$5:$B$19,$G59)+$D59*(INDEX(Quotes!$B$5:$B$19,MIN($G59+1,15))-INDEX(Quotes!$B$5:$B$19,$G59))</f>
        <v/>
      </c>
      <c r="F59" s="4">
        <f>IF(COUNTIF(Quotes!$C$5:$C$19,$A59)&gt;0,"quote","interp")</f>
        <v/>
      </c>
      <c r="G59" s="4">
        <f>MATCH($A59,Quotes!$C$5:$C$19,1)</f>
        <v/>
      </c>
    </row>
    <row r="60">
      <c r="A60" s="6" t="n">
        <v>14.5</v>
      </c>
      <c r="B60" s="6">
        <f>INDEX(Quotes!$C$5:$C$19,$G60)</f>
        <v/>
      </c>
      <c r="C60" s="6">
        <f>INDEX(Quotes!$C$5:$C$19,MIN($G60+1,15))</f>
        <v/>
      </c>
      <c r="D60" s="9">
        <f>IF($C60=$B60,0,($A60-$B60)/($C60-$B60))</f>
        <v/>
      </c>
      <c r="E60" s="10">
        <f>INDEX(Quotes!$B$5:$B$19,$G60)+$D60*(INDEX(Quotes!$B$5:$B$19,MIN($G60+1,15))-INDEX(Quotes!$B$5:$B$19,$G60))</f>
        <v/>
      </c>
      <c r="F60" s="4">
        <f>IF(COUNTIF(Quotes!$C$5:$C$19,$A60)&gt;0,"quote","interp")</f>
        <v/>
      </c>
      <c r="G60" s="4">
        <f>MATCH($A60,Quotes!$C$5:$C$19,1)</f>
        <v/>
      </c>
    </row>
    <row r="61">
      <c r="A61" s="6" t="n">
        <v>14.75</v>
      </c>
      <c r="B61" s="6">
        <f>INDEX(Quotes!$C$5:$C$19,$G61)</f>
        <v/>
      </c>
      <c r="C61" s="6">
        <f>INDEX(Quotes!$C$5:$C$19,MIN($G61+1,15))</f>
        <v/>
      </c>
      <c r="D61" s="9">
        <f>IF($C61=$B61,0,($A61-$B61)/($C61-$B61))</f>
        <v/>
      </c>
      <c r="E61" s="10">
        <f>INDEX(Quotes!$B$5:$B$19,$G61)+$D61*(INDEX(Quotes!$B$5:$B$19,MIN($G61+1,15))-INDEX(Quotes!$B$5:$B$19,$G61))</f>
        <v/>
      </c>
      <c r="F61" s="4">
        <f>IF(COUNTIF(Quotes!$C$5:$C$19,$A61)&gt;0,"quote","interp")</f>
        <v/>
      </c>
      <c r="G61" s="4">
        <f>MATCH($A61,Quotes!$C$5:$C$19,1)</f>
        <v/>
      </c>
    </row>
    <row r="62">
      <c r="A62" s="6" t="n">
        <v>15</v>
      </c>
      <c r="B62" s="6">
        <f>INDEX(Quotes!$C$5:$C$19,$G62)</f>
        <v/>
      </c>
      <c r="C62" s="6">
        <f>INDEX(Quotes!$C$5:$C$19,MIN($G62+1,15))</f>
        <v/>
      </c>
      <c r="D62" s="9">
        <f>IF($C62=$B62,0,($A62-$B62)/($C62-$B62))</f>
        <v/>
      </c>
      <c r="E62" s="10">
        <f>INDEX(Quotes!$B$5:$B$19,$G62)+$D62*(INDEX(Quotes!$B$5:$B$19,MIN($G62+1,15))-INDEX(Quotes!$B$5:$B$19,$G62))</f>
        <v/>
      </c>
      <c r="F62" s="4">
        <f>IF(COUNTIF(Quotes!$C$5:$C$19,$A62)&gt;0,"quote","interp")</f>
        <v/>
      </c>
      <c r="G62" s="4">
        <f>MATCH($A62,Quotes!$C$5:$C$19,1)</f>
        <v/>
      </c>
    </row>
    <row r="63">
      <c r="A63" s="6" t="n">
        <v>15.25</v>
      </c>
      <c r="B63" s="6">
        <f>INDEX(Quotes!$C$5:$C$19,$G63)</f>
        <v/>
      </c>
      <c r="C63" s="6">
        <f>INDEX(Quotes!$C$5:$C$19,MIN($G63+1,15))</f>
        <v/>
      </c>
      <c r="D63" s="9">
        <f>IF($C63=$B63,0,($A63-$B63)/($C63-$B63))</f>
        <v/>
      </c>
      <c r="E63" s="10">
        <f>INDEX(Quotes!$B$5:$B$19,$G63)+$D63*(INDEX(Quotes!$B$5:$B$19,MIN($G63+1,15))-INDEX(Quotes!$B$5:$B$19,$G63))</f>
        <v/>
      </c>
      <c r="F63" s="4">
        <f>IF(COUNTIF(Quotes!$C$5:$C$19,$A63)&gt;0,"quote","interp")</f>
        <v/>
      </c>
      <c r="G63" s="4">
        <f>MATCH($A63,Quotes!$C$5:$C$19,1)</f>
        <v/>
      </c>
    </row>
    <row r="64">
      <c r="A64" s="6" t="n">
        <v>15.5</v>
      </c>
      <c r="B64" s="6">
        <f>INDEX(Quotes!$C$5:$C$19,$G64)</f>
        <v/>
      </c>
      <c r="C64" s="6">
        <f>INDEX(Quotes!$C$5:$C$19,MIN($G64+1,15))</f>
        <v/>
      </c>
      <c r="D64" s="9">
        <f>IF($C64=$B64,0,($A64-$B64)/($C64-$B64))</f>
        <v/>
      </c>
      <c r="E64" s="10">
        <f>INDEX(Quotes!$B$5:$B$19,$G64)+$D64*(INDEX(Quotes!$B$5:$B$19,MIN($G64+1,15))-INDEX(Quotes!$B$5:$B$19,$G64))</f>
        <v/>
      </c>
      <c r="F64" s="4">
        <f>IF(COUNTIF(Quotes!$C$5:$C$19,$A64)&gt;0,"quote","interp")</f>
        <v/>
      </c>
      <c r="G64" s="4">
        <f>MATCH($A64,Quotes!$C$5:$C$19,1)</f>
        <v/>
      </c>
    </row>
    <row r="65">
      <c r="A65" s="6" t="n">
        <v>15.75</v>
      </c>
      <c r="B65" s="6">
        <f>INDEX(Quotes!$C$5:$C$19,$G65)</f>
        <v/>
      </c>
      <c r="C65" s="6">
        <f>INDEX(Quotes!$C$5:$C$19,MIN($G65+1,15))</f>
        <v/>
      </c>
      <c r="D65" s="9">
        <f>IF($C65=$B65,0,($A65-$B65)/($C65-$B65))</f>
        <v/>
      </c>
      <c r="E65" s="10">
        <f>INDEX(Quotes!$B$5:$B$19,$G65)+$D65*(INDEX(Quotes!$B$5:$B$19,MIN($G65+1,15))-INDEX(Quotes!$B$5:$B$19,$G65))</f>
        <v/>
      </c>
      <c r="F65" s="4">
        <f>IF(COUNTIF(Quotes!$C$5:$C$19,$A65)&gt;0,"quote","interp")</f>
        <v/>
      </c>
      <c r="G65" s="4">
        <f>MATCH($A65,Quotes!$C$5:$C$19,1)</f>
        <v/>
      </c>
    </row>
    <row r="66">
      <c r="A66" s="6" t="n">
        <v>16</v>
      </c>
      <c r="B66" s="6">
        <f>INDEX(Quotes!$C$5:$C$19,$G66)</f>
        <v/>
      </c>
      <c r="C66" s="6">
        <f>INDEX(Quotes!$C$5:$C$19,MIN($G66+1,15))</f>
        <v/>
      </c>
      <c r="D66" s="9">
        <f>IF($C66=$B66,0,($A66-$B66)/($C66-$B66))</f>
        <v/>
      </c>
      <c r="E66" s="10">
        <f>INDEX(Quotes!$B$5:$B$19,$G66)+$D66*(INDEX(Quotes!$B$5:$B$19,MIN($G66+1,15))-INDEX(Quotes!$B$5:$B$19,$G66))</f>
        <v/>
      </c>
      <c r="F66" s="4">
        <f>IF(COUNTIF(Quotes!$C$5:$C$19,$A66)&gt;0,"quote","interp")</f>
        <v/>
      </c>
      <c r="G66" s="4">
        <f>MATCH($A66,Quotes!$C$5:$C$19,1)</f>
        <v/>
      </c>
    </row>
    <row r="67">
      <c r="A67" s="6" t="n">
        <v>16.25</v>
      </c>
      <c r="B67" s="6">
        <f>INDEX(Quotes!$C$5:$C$19,$G67)</f>
        <v/>
      </c>
      <c r="C67" s="6">
        <f>INDEX(Quotes!$C$5:$C$19,MIN($G67+1,15))</f>
        <v/>
      </c>
      <c r="D67" s="9">
        <f>IF($C67=$B67,0,($A67-$B67)/($C67-$B67))</f>
        <v/>
      </c>
      <c r="E67" s="10">
        <f>INDEX(Quotes!$B$5:$B$19,$G67)+$D67*(INDEX(Quotes!$B$5:$B$19,MIN($G67+1,15))-INDEX(Quotes!$B$5:$B$19,$G67))</f>
        <v/>
      </c>
      <c r="F67" s="4">
        <f>IF(COUNTIF(Quotes!$C$5:$C$19,$A67)&gt;0,"quote","interp")</f>
        <v/>
      </c>
      <c r="G67" s="4">
        <f>MATCH($A67,Quotes!$C$5:$C$19,1)</f>
        <v/>
      </c>
    </row>
    <row r="68">
      <c r="A68" s="6" t="n">
        <v>16.5</v>
      </c>
      <c r="B68" s="6">
        <f>INDEX(Quotes!$C$5:$C$19,$G68)</f>
        <v/>
      </c>
      <c r="C68" s="6">
        <f>INDEX(Quotes!$C$5:$C$19,MIN($G68+1,15))</f>
        <v/>
      </c>
      <c r="D68" s="9">
        <f>IF($C68=$B68,0,($A68-$B68)/($C68-$B68))</f>
        <v/>
      </c>
      <c r="E68" s="10">
        <f>INDEX(Quotes!$B$5:$B$19,$G68)+$D68*(INDEX(Quotes!$B$5:$B$19,MIN($G68+1,15))-INDEX(Quotes!$B$5:$B$19,$G68))</f>
        <v/>
      </c>
      <c r="F68" s="4">
        <f>IF(COUNTIF(Quotes!$C$5:$C$19,$A68)&gt;0,"quote","interp")</f>
        <v/>
      </c>
      <c r="G68" s="4">
        <f>MATCH($A68,Quotes!$C$5:$C$19,1)</f>
        <v/>
      </c>
    </row>
    <row r="69">
      <c r="A69" s="6" t="n">
        <v>16.75</v>
      </c>
      <c r="B69" s="6">
        <f>INDEX(Quotes!$C$5:$C$19,$G69)</f>
        <v/>
      </c>
      <c r="C69" s="6">
        <f>INDEX(Quotes!$C$5:$C$19,MIN($G69+1,15))</f>
        <v/>
      </c>
      <c r="D69" s="9">
        <f>IF($C69=$B69,0,($A69-$B69)/($C69-$B69))</f>
        <v/>
      </c>
      <c r="E69" s="10">
        <f>INDEX(Quotes!$B$5:$B$19,$G69)+$D69*(INDEX(Quotes!$B$5:$B$19,MIN($G69+1,15))-INDEX(Quotes!$B$5:$B$19,$G69))</f>
        <v/>
      </c>
      <c r="F69" s="4">
        <f>IF(COUNTIF(Quotes!$C$5:$C$19,$A69)&gt;0,"quote","interp")</f>
        <v/>
      </c>
      <c r="G69" s="4">
        <f>MATCH($A69,Quotes!$C$5:$C$19,1)</f>
        <v/>
      </c>
    </row>
    <row r="70">
      <c r="A70" s="6" t="n">
        <v>17</v>
      </c>
      <c r="B70" s="6">
        <f>INDEX(Quotes!$C$5:$C$19,$G70)</f>
        <v/>
      </c>
      <c r="C70" s="6">
        <f>INDEX(Quotes!$C$5:$C$19,MIN($G70+1,15))</f>
        <v/>
      </c>
      <c r="D70" s="9">
        <f>IF($C70=$B70,0,($A70-$B70)/($C70-$B70))</f>
        <v/>
      </c>
      <c r="E70" s="10">
        <f>INDEX(Quotes!$B$5:$B$19,$G70)+$D70*(INDEX(Quotes!$B$5:$B$19,MIN($G70+1,15))-INDEX(Quotes!$B$5:$B$19,$G70))</f>
        <v/>
      </c>
      <c r="F70" s="4">
        <f>IF(COUNTIF(Quotes!$C$5:$C$19,$A70)&gt;0,"quote","interp")</f>
        <v/>
      </c>
      <c r="G70" s="4">
        <f>MATCH($A70,Quotes!$C$5:$C$19,1)</f>
        <v/>
      </c>
    </row>
    <row r="71">
      <c r="A71" s="6" t="n">
        <v>17.25</v>
      </c>
      <c r="B71" s="6">
        <f>INDEX(Quotes!$C$5:$C$19,$G71)</f>
        <v/>
      </c>
      <c r="C71" s="6">
        <f>INDEX(Quotes!$C$5:$C$19,MIN($G71+1,15))</f>
        <v/>
      </c>
      <c r="D71" s="9">
        <f>IF($C71=$B71,0,($A71-$B71)/($C71-$B71))</f>
        <v/>
      </c>
      <c r="E71" s="10">
        <f>INDEX(Quotes!$B$5:$B$19,$G71)+$D71*(INDEX(Quotes!$B$5:$B$19,MIN($G71+1,15))-INDEX(Quotes!$B$5:$B$19,$G71))</f>
        <v/>
      </c>
      <c r="F71" s="4">
        <f>IF(COUNTIF(Quotes!$C$5:$C$19,$A71)&gt;0,"quote","interp")</f>
        <v/>
      </c>
      <c r="G71" s="4">
        <f>MATCH($A71,Quotes!$C$5:$C$19,1)</f>
        <v/>
      </c>
    </row>
    <row r="72">
      <c r="A72" s="6" t="n">
        <v>17.5</v>
      </c>
      <c r="B72" s="6">
        <f>INDEX(Quotes!$C$5:$C$19,$G72)</f>
        <v/>
      </c>
      <c r="C72" s="6">
        <f>INDEX(Quotes!$C$5:$C$19,MIN($G72+1,15))</f>
        <v/>
      </c>
      <c r="D72" s="9">
        <f>IF($C72=$B72,0,($A72-$B72)/($C72-$B72))</f>
        <v/>
      </c>
      <c r="E72" s="10">
        <f>INDEX(Quotes!$B$5:$B$19,$G72)+$D72*(INDEX(Quotes!$B$5:$B$19,MIN($G72+1,15))-INDEX(Quotes!$B$5:$B$19,$G72))</f>
        <v/>
      </c>
      <c r="F72" s="4">
        <f>IF(COUNTIF(Quotes!$C$5:$C$19,$A72)&gt;0,"quote","interp")</f>
        <v/>
      </c>
      <c r="G72" s="4">
        <f>MATCH($A72,Quotes!$C$5:$C$19,1)</f>
        <v/>
      </c>
    </row>
    <row r="73">
      <c r="A73" s="6" t="n">
        <v>17.75</v>
      </c>
      <c r="B73" s="6">
        <f>INDEX(Quotes!$C$5:$C$19,$G73)</f>
        <v/>
      </c>
      <c r="C73" s="6">
        <f>INDEX(Quotes!$C$5:$C$19,MIN($G73+1,15))</f>
        <v/>
      </c>
      <c r="D73" s="9">
        <f>IF($C73=$B73,0,($A73-$B73)/($C73-$B73))</f>
        <v/>
      </c>
      <c r="E73" s="10">
        <f>INDEX(Quotes!$B$5:$B$19,$G73)+$D73*(INDEX(Quotes!$B$5:$B$19,MIN($G73+1,15))-INDEX(Quotes!$B$5:$B$19,$G73))</f>
        <v/>
      </c>
      <c r="F73" s="4">
        <f>IF(COUNTIF(Quotes!$C$5:$C$19,$A73)&gt;0,"quote","interp")</f>
        <v/>
      </c>
      <c r="G73" s="4">
        <f>MATCH($A73,Quotes!$C$5:$C$19,1)</f>
        <v/>
      </c>
    </row>
    <row r="74">
      <c r="A74" s="6" t="n">
        <v>18</v>
      </c>
      <c r="B74" s="6">
        <f>INDEX(Quotes!$C$5:$C$19,$G74)</f>
        <v/>
      </c>
      <c r="C74" s="6">
        <f>INDEX(Quotes!$C$5:$C$19,MIN($G74+1,15))</f>
        <v/>
      </c>
      <c r="D74" s="9">
        <f>IF($C74=$B74,0,($A74-$B74)/($C74-$B74))</f>
        <v/>
      </c>
      <c r="E74" s="10">
        <f>INDEX(Quotes!$B$5:$B$19,$G74)+$D74*(INDEX(Quotes!$B$5:$B$19,MIN($G74+1,15))-INDEX(Quotes!$B$5:$B$19,$G74))</f>
        <v/>
      </c>
      <c r="F74" s="4">
        <f>IF(COUNTIF(Quotes!$C$5:$C$19,$A74)&gt;0,"quote","interp")</f>
        <v/>
      </c>
      <c r="G74" s="4">
        <f>MATCH($A74,Quotes!$C$5:$C$19,1)</f>
        <v/>
      </c>
    </row>
    <row r="75">
      <c r="A75" s="6" t="n">
        <v>18.25</v>
      </c>
      <c r="B75" s="6">
        <f>INDEX(Quotes!$C$5:$C$19,$G75)</f>
        <v/>
      </c>
      <c r="C75" s="6">
        <f>INDEX(Quotes!$C$5:$C$19,MIN($G75+1,15))</f>
        <v/>
      </c>
      <c r="D75" s="9">
        <f>IF($C75=$B75,0,($A75-$B75)/($C75-$B75))</f>
        <v/>
      </c>
      <c r="E75" s="10">
        <f>INDEX(Quotes!$B$5:$B$19,$G75)+$D75*(INDEX(Quotes!$B$5:$B$19,MIN($G75+1,15))-INDEX(Quotes!$B$5:$B$19,$G75))</f>
        <v/>
      </c>
      <c r="F75" s="4">
        <f>IF(COUNTIF(Quotes!$C$5:$C$19,$A75)&gt;0,"quote","interp")</f>
        <v/>
      </c>
      <c r="G75" s="4">
        <f>MATCH($A75,Quotes!$C$5:$C$19,1)</f>
        <v/>
      </c>
    </row>
    <row r="76">
      <c r="A76" s="6" t="n">
        <v>18.5</v>
      </c>
      <c r="B76" s="6">
        <f>INDEX(Quotes!$C$5:$C$19,$G76)</f>
        <v/>
      </c>
      <c r="C76" s="6">
        <f>INDEX(Quotes!$C$5:$C$19,MIN($G76+1,15))</f>
        <v/>
      </c>
      <c r="D76" s="9">
        <f>IF($C76=$B76,0,($A76-$B76)/($C76-$B76))</f>
        <v/>
      </c>
      <c r="E76" s="10">
        <f>INDEX(Quotes!$B$5:$B$19,$G76)+$D76*(INDEX(Quotes!$B$5:$B$19,MIN($G76+1,15))-INDEX(Quotes!$B$5:$B$19,$G76))</f>
        <v/>
      </c>
      <c r="F76" s="4">
        <f>IF(COUNTIF(Quotes!$C$5:$C$19,$A76)&gt;0,"quote","interp")</f>
        <v/>
      </c>
      <c r="G76" s="4">
        <f>MATCH($A76,Quotes!$C$5:$C$19,1)</f>
        <v/>
      </c>
    </row>
    <row r="77">
      <c r="A77" s="6" t="n">
        <v>18.75</v>
      </c>
      <c r="B77" s="6">
        <f>INDEX(Quotes!$C$5:$C$19,$G77)</f>
        <v/>
      </c>
      <c r="C77" s="6">
        <f>INDEX(Quotes!$C$5:$C$19,MIN($G77+1,15))</f>
        <v/>
      </c>
      <c r="D77" s="9">
        <f>IF($C77=$B77,0,($A77-$B77)/($C77-$B77))</f>
        <v/>
      </c>
      <c r="E77" s="10">
        <f>INDEX(Quotes!$B$5:$B$19,$G77)+$D77*(INDEX(Quotes!$B$5:$B$19,MIN($G77+1,15))-INDEX(Quotes!$B$5:$B$19,$G77))</f>
        <v/>
      </c>
      <c r="F77" s="4">
        <f>IF(COUNTIF(Quotes!$C$5:$C$19,$A77)&gt;0,"quote","interp")</f>
        <v/>
      </c>
      <c r="G77" s="4">
        <f>MATCH($A77,Quotes!$C$5:$C$19,1)</f>
        <v/>
      </c>
    </row>
    <row r="78">
      <c r="A78" s="6" t="n">
        <v>19</v>
      </c>
      <c r="B78" s="6">
        <f>INDEX(Quotes!$C$5:$C$19,$G78)</f>
        <v/>
      </c>
      <c r="C78" s="6">
        <f>INDEX(Quotes!$C$5:$C$19,MIN($G78+1,15))</f>
        <v/>
      </c>
      <c r="D78" s="9">
        <f>IF($C78=$B78,0,($A78-$B78)/($C78-$B78))</f>
        <v/>
      </c>
      <c r="E78" s="10">
        <f>INDEX(Quotes!$B$5:$B$19,$G78)+$D78*(INDEX(Quotes!$B$5:$B$19,MIN($G78+1,15))-INDEX(Quotes!$B$5:$B$19,$G78))</f>
        <v/>
      </c>
      <c r="F78" s="4">
        <f>IF(COUNTIF(Quotes!$C$5:$C$19,$A78)&gt;0,"quote","interp")</f>
        <v/>
      </c>
      <c r="G78" s="4">
        <f>MATCH($A78,Quotes!$C$5:$C$19,1)</f>
        <v/>
      </c>
    </row>
    <row r="79">
      <c r="A79" s="6" t="n">
        <v>19.25</v>
      </c>
      <c r="B79" s="6">
        <f>INDEX(Quotes!$C$5:$C$19,$G79)</f>
        <v/>
      </c>
      <c r="C79" s="6">
        <f>INDEX(Quotes!$C$5:$C$19,MIN($G79+1,15))</f>
        <v/>
      </c>
      <c r="D79" s="9">
        <f>IF($C79=$B79,0,($A79-$B79)/($C79-$B79))</f>
        <v/>
      </c>
      <c r="E79" s="10">
        <f>INDEX(Quotes!$B$5:$B$19,$G79)+$D79*(INDEX(Quotes!$B$5:$B$19,MIN($G79+1,15))-INDEX(Quotes!$B$5:$B$19,$G79))</f>
        <v/>
      </c>
      <c r="F79" s="4">
        <f>IF(COUNTIF(Quotes!$C$5:$C$19,$A79)&gt;0,"quote","interp")</f>
        <v/>
      </c>
      <c r="G79" s="4">
        <f>MATCH($A79,Quotes!$C$5:$C$19,1)</f>
        <v/>
      </c>
    </row>
    <row r="80">
      <c r="A80" s="6" t="n">
        <v>19.5</v>
      </c>
      <c r="B80" s="6">
        <f>INDEX(Quotes!$C$5:$C$19,$G80)</f>
        <v/>
      </c>
      <c r="C80" s="6">
        <f>INDEX(Quotes!$C$5:$C$19,MIN($G80+1,15))</f>
        <v/>
      </c>
      <c r="D80" s="9">
        <f>IF($C80=$B80,0,($A80-$B80)/($C80-$B80))</f>
        <v/>
      </c>
      <c r="E80" s="10">
        <f>INDEX(Quotes!$B$5:$B$19,$G80)+$D80*(INDEX(Quotes!$B$5:$B$19,MIN($G80+1,15))-INDEX(Quotes!$B$5:$B$19,$G80))</f>
        <v/>
      </c>
      <c r="F80" s="4">
        <f>IF(COUNTIF(Quotes!$C$5:$C$19,$A80)&gt;0,"quote","interp")</f>
        <v/>
      </c>
      <c r="G80" s="4">
        <f>MATCH($A80,Quotes!$C$5:$C$19,1)</f>
        <v/>
      </c>
    </row>
    <row r="81">
      <c r="A81" s="6" t="n">
        <v>19.75</v>
      </c>
      <c r="B81" s="6">
        <f>INDEX(Quotes!$C$5:$C$19,$G81)</f>
        <v/>
      </c>
      <c r="C81" s="6">
        <f>INDEX(Quotes!$C$5:$C$19,MIN($G81+1,15))</f>
        <v/>
      </c>
      <c r="D81" s="9">
        <f>IF($C81=$B81,0,($A81-$B81)/($C81-$B81))</f>
        <v/>
      </c>
      <c r="E81" s="10">
        <f>INDEX(Quotes!$B$5:$B$19,$G81)+$D81*(INDEX(Quotes!$B$5:$B$19,MIN($G81+1,15))-INDEX(Quotes!$B$5:$B$19,$G81))</f>
        <v/>
      </c>
      <c r="F81" s="4">
        <f>IF(COUNTIF(Quotes!$C$5:$C$19,$A81)&gt;0,"quote","interp")</f>
        <v/>
      </c>
      <c r="G81" s="4">
        <f>MATCH($A81,Quotes!$C$5:$C$19,1)</f>
        <v/>
      </c>
    </row>
    <row r="82">
      <c r="A82" s="6" t="n">
        <v>20</v>
      </c>
      <c r="B82" s="6">
        <f>INDEX(Quotes!$C$5:$C$19,$G82)</f>
        <v/>
      </c>
      <c r="C82" s="6">
        <f>INDEX(Quotes!$C$5:$C$19,MIN($G82+1,15))</f>
        <v/>
      </c>
      <c r="D82" s="9">
        <f>IF($C82=$B82,0,($A82-$B82)/($C82-$B82))</f>
        <v/>
      </c>
      <c r="E82" s="10">
        <f>INDEX(Quotes!$B$5:$B$19,$G82)+$D82*(INDEX(Quotes!$B$5:$B$19,MIN($G82+1,15))-INDEX(Quotes!$B$5:$B$19,$G82))</f>
        <v/>
      </c>
      <c r="F82" s="4">
        <f>IF(COUNTIF(Quotes!$C$5:$C$19,$A82)&gt;0,"quote","interp")</f>
        <v/>
      </c>
      <c r="G82" s="4">
        <f>MATCH($A82,Quotes!$C$5:$C$19,1)</f>
        <v/>
      </c>
    </row>
    <row r="83">
      <c r="A83" s="6" t="n">
        <v>20.25</v>
      </c>
      <c r="B83" s="6">
        <f>INDEX(Quotes!$C$5:$C$19,$G83)</f>
        <v/>
      </c>
      <c r="C83" s="6">
        <f>INDEX(Quotes!$C$5:$C$19,MIN($G83+1,15))</f>
        <v/>
      </c>
      <c r="D83" s="9">
        <f>IF($C83=$B83,0,($A83-$B83)/($C83-$B83))</f>
        <v/>
      </c>
      <c r="E83" s="10">
        <f>INDEX(Quotes!$B$5:$B$19,$G83)+$D83*(INDEX(Quotes!$B$5:$B$19,MIN($G83+1,15))-INDEX(Quotes!$B$5:$B$19,$G83))</f>
        <v/>
      </c>
      <c r="F83" s="4">
        <f>IF(COUNTIF(Quotes!$C$5:$C$19,$A83)&gt;0,"quote","interp")</f>
        <v/>
      </c>
      <c r="G83" s="4">
        <f>MATCH($A83,Quotes!$C$5:$C$19,1)</f>
        <v/>
      </c>
    </row>
    <row r="84">
      <c r="A84" s="6" t="n">
        <v>20.5</v>
      </c>
      <c r="B84" s="6">
        <f>INDEX(Quotes!$C$5:$C$19,$G84)</f>
        <v/>
      </c>
      <c r="C84" s="6">
        <f>INDEX(Quotes!$C$5:$C$19,MIN($G84+1,15))</f>
        <v/>
      </c>
      <c r="D84" s="9">
        <f>IF($C84=$B84,0,($A84-$B84)/($C84-$B84))</f>
        <v/>
      </c>
      <c r="E84" s="10">
        <f>INDEX(Quotes!$B$5:$B$19,$G84)+$D84*(INDEX(Quotes!$B$5:$B$19,MIN($G84+1,15))-INDEX(Quotes!$B$5:$B$19,$G84))</f>
        <v/>
      </c>
      <c r="F84" s="4">
        <f>IF(COUNTIF(Quotes!$C$5:$C$19,$A84)&gt;0,"quote","interp")</f>
        <v/>
      </c>
      <c r="G84" s="4">
        <f>MATCH($A84,Quotes!$C$5:$C$19,1)</f>
        <v/>
      </c>
    </row>
    <row r="85">
      <c r="A85" s="6" t="n">
        <v>20.75</v>
      </c>
      <c r="B85" s="6">
        <f>INDEX(Quotes!$C$5:$C$19,$G85)</f>
        <v/>
      </c>
      <c r="C85" s="6">
        <f>INDEX(Quotes!$C$5:$C$19,MIN($G85+1,15))</f>
        <v/>
      </c>
      <c r="D85" s="9">
        <f>IF($C85=$B85,0,($A85-$B85)/($C85-$B85))</f>
        <v/>
      </c>
      <c r="E85" s="10">
        <f>INDEX(Quotes!$B$5:$B$19,$G85)+$D85*(INDEX(Quotes!$B$5:$B$19,MIN($G85+1,15))-INDEX(Quotes!$B$5:$B$19,$G85))</f>
        <v/>
      </c>
      <c r="F85" s="4">
        <f>IF(COUNTIF(Quotes!$C$5:$C$19,$A85)&gt;0,"quote","interp")</f>
        <v/>
      </c>
      <c r="G85" s="4">
        <f>MATCH($A85,Quotes!$C$5:$C$19,1)</f>
        <v/>
      </c>
    </row>
    <row r="86">
      <c r="A86" s="6" t="n">
        <v>21</v>
      </c>
      <c r="B86" s="6">
        <f>INDEX(Quotes!$C$5:$C$19,$G86)</f>
        <v/>
      </c>
      <c r="C86" s="6">
        <f>INDEX(Quotes!$C$5:$C$19,MIN($G86+1,15))</f>
        <v/>
      </c>
      <c r="D86" s="9">
        <f>IF($C86=$B86,0,($A86-$B86)/($C86-$B86))</f>
        <v/>
      </c>
      <c r="E86" s="10">
        <f>INDEX(Quotes!$B$5:$B$19,$G86)+$D86*(INDEX(Quotes!$B$5:$B$19,MIN($G86+1,15))-INDEX(Quotes!$B$5:$B$19,$G86))</f>
        <v/>
      </c>
      <c r="F86" s="4">
        <f>IF(COUNTIF(Quotes!$C$5:$C$19,$A86)&gt;0,"quote","interp")</f>
        <v/>
      </c>
      <c r="G86" s="4">
        <f>MATCH($A86,Quotes!$C$5:$C$19,1)</f>
        <v/>
      </c>
    </row>
    <row r="87">
      <c r="A87" s="6" t="n">
        <v>21.25</v>
      </c>
      <c r="B87" s="6">
        <f>INDEX(Quotes!$C$5:$C$19,$G87)</f>
        <v/>
      </c>
      <c r="C87" s="6">
        <f>INDEX(Quotes!$C$5:$C$19,MIN($G87+1,15))</f>
        <v/>
      </c>
      <c r="D87" s="9">
        <f>IF($C87=$B87,0,($A87-$B87)/($C87-$B87))</f>
        <v/>
      </c>
      <c r="E87" s="10">
        <f>INDEX(Quotes!$B$5:$B$19,$G87)+$D87*(INDEX(Quotes!$B$5:$B$19,MIN($G87+1,15))-INDEX(Quotes!$B$5:$B$19,$G87))</f>
        <v/>
      </c>
      <c r="F87" s="4">
        <f>IF(COUNTIF(Quotes!$C$5:$C$19,$A87)&gt;0,"quote","interp")</f>
        <v/>
      </c>
      <c r="G87" s="4">
        <f>MATCH($A87,Quotes!$C$5:$C$19,1)</f>
        <v/>
      </c>
    </row>
    <row r="88">
      <c r="A88" s="6" t="n">
        <v>21.5</v>
      </c>
      <c r="B88" s="6">
        <f>INDEX(Quotes!$C$5:$C$19,$G88)</f>
        <v/>
      </c>
      <c r="C88" s="6">
        <f>INDEX(Quotes!$C$5:$C$19,MIN($G88+1,15))</f>
        <v/>
      </c>
      <c r="D88" s="9">
        <f>IF($C88=$B88,0,($A88-$B88)/($C88-$B88))</f>
        <v/>
      </c>
      <c r="E88" s="10">
        <f>INDEX(Quotes!$B$5:$B$19,$G88)+$D88*(INDEX(Quotes!$B$5:$B$19,MIN($G88+1,15))-INDEX(Quotes!$B$5:$B$19,$G88))</f>
        <v/>
      </c>
      <c r="F88" s="4">
        <f>IF(COUNTIF(Quotes!$C$5:$C$19,$A88)&gt;0,"quote","interp")</f>
        <v/>
      </c>
      <c r="G88" s="4">
        <f>MATCH($A88,Quotes!$C$5:$C$19,1)</f>
        <v/>
      </c>
    </row>
    <row r="89">
      <c r="A89" s="6" t="n">
        <v>21.75</v>
      </c>
      <c r="B89" s="6">
        <f>INDEX(Quotes!$C$5:$C$19,$G89)</f>
        <v/>
      </c>
      <c r="C89" s="6">
        <f>INDEX(Quotes!$C$5:$C$19,MIN($G89+1,15))</f>
        <v/>
      </c>
      <c r="D89" s="9">
        <f>IF($C89=$B89,0,($A89-$B89)/($C89-$B89))</f>
        <v/>
      </c>
      <c r="E89" s="10">
        <f>INDEX(Quotes!$B$5:$B$19,$G89)+$D89*(INDEX(Quotes!$B$5:$B$19,MIN($G89+1,15))-INDEX(Quotes!$B$5:$B$19,$G89))</f>
        <v/>
      </c>
      <c r="F89" s="4">
        <f>IF(COUNTIF(Quotes!$C$5:$C$19,$A89)&gt;0,"quote","interp")</f>
        <v/>
      </c>
      <c r="G89" s="4">
        <f>MATCH($A89,Quotes!$C$5:$C$19,1)</f>
        <v/>
      </c>
    </row>
    <row r="90">
      <c r="A90" s="6" t="n">
        <v>22</v>
      </c>
      <c r="B90" s="6">
        <f>INDEX(Quotes!$C$5:$C$19,$G90)</f>
        <v/>
      </c>
      <c r="C90" s="6">
        <f>INDEX(Quotes!$C$5:$C$19,MIN($G90+1,15))</f>
        <v/>
      </c>
      <c r="D90" s="9">
        <f>IF($C90=$B90,0,($A90-$B90)/($C90-$B90))</f>
        <v/>
      </c>
      <c r="E90" s="10">
        <f>INDEX(Quotes!$B$5:$B$19,$G90)+$D90*(INDEX(Quotes!$B$5:$B$19,MIN($G90+1,15))-INDEX(Quotes!$B$5:$B$19,$G90))</f>
        <v/>
      </c>
      <c r="F90" s="4">
        <f>IF(COUNTIF(Quotes!$C$5:$C$19,$A90)&gt;0,"quote","interp")</f>
        <v/>
      </c>
      <c r="G90" s="4">
        <f>MATCH($A90,Quotes!$C$5:$C$19,1)</f>
        <v/>
      </c>
    </row>
    <row r="91">
      <c r="A91" s="6" t="n">
        <v>22.25</v>
      </c>
      <c r="B91" s="6">
        <f>INDEX(Quotes!$C$5:$C$19,$G91)</f>
        <v/>
      </c>
      <c r="C91" s="6">
        <f>INDEX(Quotes!$C$5:$C$19,MIN($G91+1,15))</f>
        <v/>
      </c>
      <c r="D91" s="9">
        <f>IF($C91=$B91,0,($A91-$B91)/($C91-$B91))</f>
        <v/>
      </c>
      <c r="E91" s="10">
        <f>INDEX(Quotes!$B$5:$B$19,$G91)+$D91*(INDEX(Quotes!$B$5:$B$19,MIN($G91+1,15))-INDEX(Quotes!$B$5:$B$19,$G91))</f>
        <v/>
      </c>
      <c r="F91" s="4">
        <f>IF(COUNTIF(Quotes!$C$5:$C$19,$A91)&gt;0,"quote","interp")</f>
        <v/>
      </c>
      <c r="G91" s="4">
        <f>MATCH($A91,Quotes!$C$5:$C$19,1)</f>
        <v/>
      </c>
    </row>
    <row r="92">
      <c r="A92" s="6" t="n">
        <v>22.5</v>
      </c>
      <c r="B92" s="6">
        <f>INDEX(Quotes!$C$5:$C$19,$G92)</f>
        <v/>
      </c>
      <c r="C92" s="6">
        <f>INDEX(Quotes!$C$5:$C$19,MIN($G92+1,15))</f>
        <v/>
      </c>
      <c r="D92" s="9">
        <f>IF($C92=$B92,0,($A92-$B92)/($C92-$B92))</f>
        <v/>
      </c>
      <c r="E92" s="10">
        <f>INDEX(Quotes!$B$5:$B$19,$G92)+$D92*(INDEX(Quotes!$B$5:$B$19,MIN($G92+1,15))-INDEX(Quotes!$B$5:$B$19,$G92))</f>
        <v/>
      </c>
      <c r="F92" s="4">
        <f>IF(COUNTIF(Quotes!$C$5:$C$19,$A92)&gt;0,"quote","interp")</f>
        <v/>
      </c>
      <c r="G92" s="4">
        <f>MATCH($A92,Quotes!$C$5:$C$19,1)</f>
        <v/>
      </c>
    </row>
    <row r="93">
      <c r="A93" s="6" t="n">
        <v>22.75</v>
      </c>
      <c r="B93" s="6">
        <f>INDEX(Quotes!$C$5:$C$19,$G93)</f>
        <v/>
      </c>
      <c r="C93" s="6">
        <f>INDEX(Quotes!$C$5:$C$19,MIN($G93+1,15))</f>
        <v/>
      </c>
      <c r="D93" s="9">
        <f>IF($C93=$B93,0,($A93-$B93)/($C93-$B93))</f>
        <v/>
      </c>
      <c r="E93" s="10">
        <f>INDEX(Quotes!$B$5:$B$19,$G93)+$D93*(INDEX(Quotes!$B$5:$B$19,MIN($G93+1,15))-INDEX(Quotes!$B$5:$B$19,$G93))</f>
        <v/>
      </c>
      <c r="F93" s="4">
        <f>IF(COUNTIF(Quotes!$C$5:$C$19,$A93)&gt;0,"quote","interp")</f>
        <v/>
      </c>
      <c r="G93" s="4">
        <f>MATCH($A93,Quotes!$C$5:$C$19,1)</f>
        <v/>
      </c>
    </row>
    <row r="94">
      <c r="A94" s="6" t="n">
        <v>23</v>
      </c>
      <c r="B94" s="6">
        <f>INDEX(Quotes!$C$5:$C$19,$G94)</f>
        <v/>
      </c>
      <c r="C94" s="6">
        <f>INDEX(Quotes!$C$5:$C$19,MIN($G94+1,15))</f>
        <v/>
      </c>
      <c r="D94" s="9">
        <f>IF($C94=$B94,0,($A94-$B94)/($C94-$B94))</f>
        <v/>
      </c>
      <c r="E94" s="10">
        <f>INDEX(Quotes!$B$5:$B$19,$G94)+$D94*(INDEX(Quotes!$B$5:$B$19,MIN($G94+1,15))-INDEX(Quotes!$B$5:$B$19,$G94))</f>
        <v/>
      </c>
      <c r="F94" s="4">
        <f>IF(COUNTIF(Quotes!$C$5:$C$19,$A94)&gt;0,"quote","interp")</f>
        <v/>
      </c>
      <c r="G94" s="4">
        <f>MATCH($A94,Quotes!$C$5:$C$19,1)</f>
        <v/>
      </c>
    </row>
    <row r="95">
      <c r="A95" s="6" t="n">
        <v>23.25</v>
      </c>
      <c r="B95" s="6">
        <f>INDEX(Quotes!$C$5:$C$19,$G95)</f>
        <v/>
      </c>
      <c r="C95" s="6">
        <f>INDEX(Quotes!$C$5:$C$19,MIN($G95+1,15))</f>
        <v/>
      </c>
      <c r="D95" s="9">
        <f>IF($C95=$B95,0,($A95-$B95)/($C95-$B95))</f>
        <v/>
      </c>
      <c r="E95" s="10">
        <f>INDEX(Quotes!$B$5:$B$19,$G95)+$D95*(INDEX(Quotes!$B$5:$B$19,MIN($G95+1,15))-INDEX(Quotes!$B$5:$B$19,$G95))</f>
        <v/>
      </c>
      <c r="F95" s="4">
        <f>IF(COUNTIF(Quotes!$C$5:$C$19,$A95)&gt;0,"quote","interp")</f>
        <v/>
      </c>
      <c r="G95" s="4">
        <f>MATCH($A95,Quotes!$C$5:$C$19,1)</f>
        <v/>
      </c>
    </row>
    <row r="96">
      <c r="A96" s="6" t="n">
        <v>23.5</v>
      </c>
      <c r="B96" s="6">
        <f>INDEX(Quotes!$C$5:$C$19,$G96)</f>
        <v/>
      </c>
      <c r="C96" s="6">
        <f>INDEX(Quotes!$C$5:$C$19,MIN($G96+1,15))</f>
        <v/>
      </c>
      <c r="D96" s="9">
        <f>IF($C96=$B96,0,($A96-$B96)/($C96-$B96))</f>
        <v/>
      </c>
      <c r="E96" s="10">
        <f>INDEX(Quotes!$B$5:$B$19,$G96)+$D96*(INDEX(Quotes!$B$5:$B$19,MIN($G96+1,15))-INDEX(Quotes!$B$5:$B$19,$G96))</f>
        <v/>
      </c>
      <c r="F96" s="4">
        <f>IF(COUNTIF(Quotes!$C$5:$C$19,$A96)&gt;0,"quote","interp")</f>
        <v/>
      </c>
      <c r="G96" s="4">
        <f>MATCH($A96,Quotes!$C$5:$C$19,1)</f>
        <v/>
      </c>
    </row>
    <row r="97">
      <c r="A97" s="6" t="n">
        <v>23.75</v>
      </c>
      <c r="B97" s="6">
        <f>INDEX(Quotes!$C$5:$C$19,$G97)</f>
        <v/>
      </c>
      <c r="C97" s="6">
        <f>INDEX(Quotes!$C$5:$C$19,MIN($G97+1,15))</f>
        <v/>
      </c>
      <c r="D97" s="9">
        <f>IF($C97=$B97,0,($A97-$B97)/($C97-$B97))</f>
        <v/>
      </c>
      <c r="E97" s="10">
        <f>INDEX(Quotes!$B$5:$B$19,$G97)+$D97*(INDEX(Quotes!$B$5:$B$19,MIN($G97+1,15))-INDEX(Quotes!$B$5:$B$19,$G97))</f>
        <v/>
      </c>
      <c r="F97" s="4">
        <f>IF(COUNTIF(Quotes!$C$5:$C$19,$A97)&gt;0,"quote","interp")</f>
        <v/>
      </c>
      <c r="G97" s="4">
        <f>MATCH($A97,Quotes!$C$5:$C$19,1)</f>
        <v/>
      </c>
    </row>
    <row r="98">
      <c r="A98" s="6" t="n">
        <v>24</v>
      </c>
      <c r="B98" s="6">
        <f>INDEX(Quotes!$C$5:$C$19,$G98)</f>
        <v/>
      </c>
      <c r="C98" s="6">
        <f>INDEX(Quotes!$C$5:$C$19,MIN($G98+1,15))</f>
        <v/>
      </c>
      <c r="D98" s="9">
        <f>IF($C98=$B98,0,($A98-$B98)/($C98-$B98))</f>
        <v/>
      </c>
      <c r="E98" s="10">
        <f>INDEX(Quotes!$B$5:$B$19,$G98)+$D98*(INDEX(Quotes!$B$5:$B$19,MIN($G98+1,15))-INDEX(Quotes!$B$5:$B$19,$G98))</f>
        <v/>
      </c>
      <c r="F98" s="4">
        <f>IF(COUNTIF(Quotes!$C$5:$C$19,$A98)&gt;0,"quote","interp")</f>
        <v/>
      </c>
      <c r="G98" s="4">
        <f>MATCH($A98,Quotes!$C$5:$C$19,1)</f>
        <v/>
      </c>
    </row>
    <row r="99">
      <c r="A99" s="6" t="n">
        <v>24.25</v>
      </c>
      <c r="B99" s="6">
        <f>INDEX(Quotes!$C$5:$C$19,$G99)</f>
        <v/>
      </c>
      <c r="C99" s="6">
        <f>INDEX(Quotes!$C$5:$C$19,MIN($G99+1,15))</f>
        <v/>
      </c>
      <c r="D99" s="9">
        <f>IF($C99=$B99,0,($A99-$B99)/($C99-$B99))</f>
        <v/>
      </c>
      <c r="E99" s="10">
        <f>INDEX(Quotes!$B$5:$B$19,$G99)+$D99*(INDEX(Quotes!$B$5:$B$19,MIN($G99+1,15))-INDEX(Quotes!$B$5:$B$19,$G99))</f>
        <v/>
      </c>
      <c r="F99" s="4">
        <f>IF(COUNTIF(Quotes!$C$5:$C$19,$A99)&gt;0,"quote","interp")</f>
        <v/>
      </c>
      <c r="G99" s="4">
        <f>MATCH($A99,Quotes!$C$5:$C$19,1)</f>
        <v/>
      </c>
    </row>
    <row r="100">
      <c r="A100" s="6" t="n">
        <v>24.5</v>
      </c>
      <c r="B100" s="6">
        <f>INDEX(Quotes!$C$5:$C$19,$G100)</f>
        <v/>
      </c>
      <c r="C100" s="6">
        <f>INDEX(Quotes!$C$5:$C$19,MIN($G100+1,15))</f>
        <v/>
      </c>
      <c r="D100" s="9">
        <f>IF($C100=$B100,0,($A100-$B100)/($C100-$B100))</f>
        <v/>
      </c>
      <c r="E100" s="10">
        <f>INDEX(Quotes!$B$5:$B$19,$G100)+$D100*(INDEX(Quotes!$B$5:$B$19,MIN($G100+1,15))-INDEX(Quotes!$B$5:$B$19,$G100))</f>
        <v/>
      </c>
      <c r="F100" s="4">
        <f>IF(COUNTIF(Quotes!$C$5:$C$19,$A100)&gt;0,"quote","interp")</f>
        <v/>
      </c>
      <c r="G100" s="4">
        <f>MATCH($A100,Quotes!$C$5:$C$19,1)</f>
        <v/>
      </c>
    </row>
    <row r="101">
      <c r="A101" s="6" t="n">
        <v>24.75</v>
      </c>
      <c r="B101" s="6">
        <f>INDEX(Quotes!$C$5:$C$19,$G101)</f>
        <v/>
      </c>
      <c r="C101" s="6">
        <f>INDEX(Quotes!$C$5:$C$19,MIN($G101+1,15))</f>
        <v/>
      </c>
      <c r="D101" s="9">
        <f>IF($C101=$B101,0,($A101-$B101)/($C101-$B101))</f>
        <v/>
      </c>
      <c r="E101" s="10">
        <f>INDEX(Quotes!$B$5:$B$19,$G101)+$D101*(INDEX(Quotes!$B$5:$B$19,MIN($G101+1,15))-INDEX(Quotes!$B$5:$B$19,$G101))</f>
        <v/>
      </c>
      <c r="F101" s="4">
        <f>IF(COUNTIF(Quotes!$C$5:$C$19,$A101)&gt;0,"quote","interp")</f>
        <v/>
      </c>
      <c r="G101" s="4">
        <f>MATCH($A101,Quotes!$C$5:$C$19,1)</f>
        <v/>
      </c>
    </row>
    <row r="102">
      <c r="A102" s="6" t="n">
        <v>25</v>
      </c>
      <c r="B102" s="6">
        <f>INDEX(Quotes!$C$5:$C$19,$G102)</f>
        <v/>
      </c>
      <c r="C102" s="6">
        <f>INDEX(Quotes!$C$5:$C$19,MIN($G102+1,15))</f>
        <v/>
      </c>
      <c r="D102" s="9">
        <f>IF($C102=$B102,0,($A102-$B102)/($C102-$B102))</f>
        <v/>
      </c>
      <c r="E102" s="10">
        <f>INDEX(Quotes!$B$5:$B$19,$G102)+$D102*(INDEX(Quotes!$B$5:$B$19,MIN($G102+1,15))-INDEX(Quotes!$B$5:$B$19,$G102))</f>
        <v/>
      </c>
      <c r="F102" s="4">
        <f>IF(COUNTIF(Quotes!$C$5:$C$19,$A102)&gt;0,"quote","interp")</f>
        <v/>
      </c>
      <c r="G102" s="4">
        <f>MATCH($A102,Quotes!$C$5:$C$19,1)</f>
        <v/>
      </c>
    </row>
    <row r="103">
      <c r="A103" s="6" t="n">
        <v>25.25</v>
      </c>
      <c r="B103" s="6">
        <f>INDEX(Quotes!$C$5:$C$19,$G103)</f>
        <v/>
      </c>
      <c r="C103" s="6">
        <f>INDEX(Quotes!$C$5:$C$19,MIN($G103+1,15))</f>
        <v/>
      </c>
      <c r="D103" s="9">
        <f>IF($C103=$B103,0,($A103-$B103)/($C103-$B103))</f>
        <v/>
      </c>
      <c r="E103" s="10">
        <f>INDEX(Quotes!$B$5:$B$19,$G103)+$D103*(INDEX(Quotes!$B$5:$B$19,MIN($G103+1,15))-INDEX(Quotes!$B$5:$B$19,$G103))</f>
        <v/>
      </c>
      <c r="F103" s="4">
        <f>IF(COUNTIF(Quotes!$C$5:$C$19,$A103)&gt;0,"quote","interp")</f>
        <v/>
      </c>
      <c r="G103" s="4">
        <f>MATCH($A103,Quotes!$C$5:$C$19,1)</f>
        <v/>
      </c>
    </row>
    <row r="104">
      <c r="A104" s="6" t="n">
        <v>25.5</v>
      </c>
      <c r="B104" s="6">
        <f>INDEX(Quotes!$C$5:$C$19,$G104)</f>
        <v/>
      </c>
      <c r="C104" s="6">
        <f>INDEX(Quotes!$C$5:$C$19,MIN($G104+1,15))</f>
        <v/>
      </c>
      <c r="D104" s="9">
        <f>IF($C104=$B104,0,($A104-$B104)/($C104-$B104))</f>
        <v/>
      </c>
      <c r="E104" s="10">
        <f>INDEX(Quotes!$B$5:$B$19,$G104)+$D104*(INDEX(Quotes!$B$5:$B$19,MIN($G104+1,15))-INDEX(Quotes!$B$5:$B$19,$G104))</f>
        <v/>
      </c>
      <c r="F104" s="4">
        <f>IF(COUNTIF(Quotes!$C$5:$C$19,$A104)&gt;0,"quote","interp")</f>
        <v/>
      </c>
      <c r="G104" s="4">
        <f>MATCH($A104,Quotes!$C$5:$C$19,1)</f>
        <v/>
      </c>
    </row>
    <row r="105">
      <c r="A105" s="6" t="n">
        <v>25.75</v>
      </c>
      <c r="B105" s="6">
        <f>INDEX(Quotes!$C$5:$C$19,$G105)</f>
        <v/>
      </c>
      <c r="C105" s="6">
        <f>INDEX(Quotes!$C$5:$C$19,MIN($G105+1,15))</f>
        <v/>
      </c>
      <c r="D105" s="9">
        <f>IF($C105=$B105,0,($A105-$B105)/($C105-$B105))</f>
        <v/>
      </c>
      <c r="E105" s="10">
        <f>INDEX(Quotes!$B$5:$B$19,$G105)+$D105*(INDEX(Quotes!$B$5:$B$19,MIN($G105+1,15))-INDEX(Quotes!$B$5:$B$19,$G105))</f>
        <v/>
      </c>
      <c r="F105" s="4">
        <f>IF(COUNTIF(Quotes!$C$5:$C$19,$A105)&gt;0,"quote","interp")</f>
        <v/>
      </c>
      <c r="G105" s="4">
        <f>MATCH($A105,Quotes!$C$5:$C$19,1)</f>
        <v/>
      </c>
    </row>
    <row r="106">
      <c r="A106" s="6" t="n">
        <v>26</v>
      </c>
      <c r="B106" s="6">
        <f>INDEX(Quotes!$C$5:$C$19,$G106)</f>
        <v/>
      </c>
      <c r="C106" s="6">
        <f>INDEX(Quotes!$C$5:$C$19,MIN($G106+1,15))</f>
        <v/>
      </c>
      <c r="D106" s="9">
        <f>IF($C106=$B106,0,($A106-$B106)/($C106-$B106))</f>
        <v/>
      </c>
      <c r="E106" s="10">
        <f>INDEX(Quotes!$B$5:$B$19,$G106)+$D106*(INDEX(Quotes!$B$5:$B$19,MIN($G106+1,15))-INDEX(Quotes!$B$5:$B$19,$G106))</f>
        <v/>
      </c>
      <c r="F106" s="4">
        <f>IF(COUNTIF(Quotes!$C$5:$C$19,$A106)&gt;0,"quote","interp")</f>
        <v/>
      </c>
      <c r="G106" s="4">
        <f>MATCH($A106,Quotes!$C$5:$C$19,1)</f>
        <v/>
      </c>
    </row>
    <row r="107">
      <c r="A107" s="6" t="n">
        <v>26.25</v>
      </c>
      <c r="B107" s="6">
        <f>INDEX(Quotes!$C$5:$C$19,$G107)</f>
        <v/>
      </c>
      <c r="C107" s="6">
        <f>INDEX(Quotes!$C$5:$C$19,MIN($G107+1,15))</f>
        <v/>
      </c>
      <c r="D107" s="9">
        <f>IF($C107=$B107,0,($A107-$B107)/($C107-$B107))</f>
        <v/>
      </c>
      <c r="E107" s="10">
        <f>INDEX(Quotes!$B$5:$B$19,$G107)+$D107*(INDEX(Quotes!$B$5:$B$19,MIN($G107+1,15))-INDEX(Quotes!$B$5:$B$19,$G107))</f>
        <v/>
      </c>
      <c r="F107" s="4">
        <f>IF(COUNTIF(Quotes!$C$5:$C$19,$A107)&gt;0,"quote","interp")</f>
        <v/>
      </c>
      <c r="G107" s="4">
        <f>MATCH($A107,Quotes!$C$5:$C$19,1)</f>
        <v/>
      </c>
    </row>
    <row r="108">
      <c r="A108" s="6" t="n">
        <v>26.5</v>
      </c>
      <c r="B108" s="6">
        <f>INDEX(Quotes!$C$5:$C$19,$G108)</f>
        <v/>
      </c>
      <c r="C108" s="6">
        <f>INDEX(Quotes!$C$5:$C$19,MIN($G108+1,15))</f>
        <v/>
      </c>
      <c r="D108" s="9">
        <f>IF($C108=$B108,0,($A108-$B108)/($C108-$B108))</f>
        <v/>
      </c>
      <c r="E108" s="10">
        <f>INDEX(Quotes!$B$5:$B$19,$G108)+$D108*(INDEX(Quotes!$B$5:$B$19,MIN($G108+1,15))-INDEX(Quotes!$B$5:$B$19,$G108))</f>
        <v/>
      </c>
      <c r="F108" s="4">
        <f>IF(COUNTIF(Quotes!$C$5:$C$19,$A108)&gt;0,"quote","interp")</f>
        <v/>
      </c>
      <c r="G108" s="4">
        <f>MATCH($A108,Quotes!$C$5:$C$19,1)</f>
        <v/>
      </c>
    </row>
    <row r="109">
      <c r="A109" s="6" t="n">
        <v>26.75</v>
      </c>
      <c r="B109" s="6">
        <f>INDEX(Quotes!$C$5:$C$19,$G109)</f>
        <v/>
      </c>
      <c r="C109" s="6">
        <f>INDEX(Quotes!$C$5:$C$19,MIN($G109+1,15))</f>
        <v/>
      </c>
      <c r="D109" s="9">
        <f>IF($C109=$B109,0,($A109-$B109)/($C109-$B109))</f>
        <v/>
      </c>
      <c r="E109" s="10">
        <f>INDEX(Quotes!$B$5:$B$19,$G109)+$D109*(INDEX(Quotes!$B$5:$B$19,MIN($G109+1,15))-INDEX(Quotes!$B$5:$B$19,$G109))</f>
        <v/>
      </c>
      <c r="F109" s="4">
        <f>IF(COUNTIF(Quotes!$C$5:$C$19,$A109)&gt;0,"quote","interp")</f>
        <v/>
      </c>
      <c r="G109" s="4">
        <f>MATCH($A109,Quotes!$C$5:$C$19,1)</f>
        <v/>
      </c>
    </row>
    <row r="110">
      <c r="A110" s="6" t="n">
        <v>27</v>
      </c>
      <c r="B110" s="6">
        <f>INDEX(Quotes!$C$5:$C$19,$G110)</f>
        <v/>
      </c>
      <c r="C110" s="6">
        <f>INDEX(Quotes!$C$5:$C$19,MIN($G110+1,15))</f>
        <v/>
      </c>
      <c r="D110" s="9">
        <f>IF($C110=$B110,0,($A110-$B110)/($C110-$B110))</f>
        <v/>
      </c>
      <c r="E110" s="10">
        <f>INDEX(Quotes!$B$5:$B$19,$G110)+$D110*(INDEX(Quotes!$B$5:$B$19,MIN($G110+1,15))-INDEX(Quotes!$B$5:$B$19,$G110))</f>
        <v/>
      </c>
      <c r="F110" s="4">
        <f>IF(COUNTIF(Quotes!$C$5:$C$19,$A110)&gt;0,"quote","interp")</f>
        <v/>
      </c>
      <c r="G110" s="4">
        <f>MATCH($A110,Quotes!$C$5:$C$19,1)</f>
        <v/>
      </c>
    </row>
    <row r="111">
      <c r="A111" s="6" t="n">
        <v>27.25</v>
      </c>
      <c r="B111" s="6">
        <f>INDEX(Quotes!$C$5:$C$19,$G111)</f>
        <v/>
      </c>
      <c r="C111" s="6">
        <f>INDEX(Quotes!$C$5:$C$19,MIN($G111+1,15))</f>
        <v/>
      </c>
      <c r="D111" s="9">
        <f>IF($C111=$B111,0,($A111-$B111)/($C111-$B111))</f>
        <v/>
      </c>
      <c r="E111" s="10">
        <f>INDEX(Quotes!$B$5:$B$19,$G111)+$D111*(INDEX(Quotes!$B$5:$B$19,MIN($G111+1,15))-INDEX(Quotes!$B$5:$B$19,$G111))</f>
        <v/>
      </c>
      <c r="F111" s="4">
        <f>IF(COUNTIF(Quotes!$C$5:$C$19,$A111)&gt;0,"quote","interp")</f>
        <v/>
      </c>
      <c r="G111" s="4">
        <f>MATCH($A111,Quotes!$C$5:$C$19,1)</f>
        <v/>
      </c>
    </row>
    <row r="112">
      <c r="A112" s="6" t="n">
        <v>27.5</v>
      </c>
      <c r="B112" s="6">
        <f>INDEX(Quotes!$C$5:$C$19,$G112)</f>
        <v/>
      </c>
      <c r="C112" s="6">
        <f>INDEX(Quotes!$C$5:$C$19,MIN($G112+1,15))</f>
        <v/>
      </c>
      <c r="D112" s="9">
        <f>IF($C112=$B112,0,($A112-$B112)/($C112-$B112))</f>
        <v/>
      </c>
      <c r="E112" s="10">
        <f>INDEX(Quotes!$B$5:$B$19,$G112)+$D112*(INDEX(Quotes!$B$5:$B$19,MIN($G112+1,15))-INDEX(Quotes!$B$5:$B$19,$G112))</f>
        <v/>
      </c>
      <c r="F112" s="4">
        <f>IF(COUNTIF(Quotes!$C$5:$C$19,$A112)&gt;0,"quote","interp")</f>
        <v/>
      </c>
      <c r="G112" s="4">
        <f>MATCH($A112,Quotes!$C$5:$C$19,1)</f>
        <v/>
      </c>
    </row>
    <row r="113">
      <c r="A113" s="6" t="n">
        <v>27.75</v>
      </c>
      <c r="B113" s="6">
        <f>INDEX(Quotes!$C$5:$C$19,$G113)</f>
        <v/>
      </c>
      <c r="C113" s="6">
        <f>INDEX(Quotes!$C$5:$C$19,MIN($G113+1,15))</f>
        <v/>
      </c>
      <c r="D113" s="9">
        <f>IF($C113=$B113,0,($A113-$B113)/($C113-$B113))</f>
        <v/>
      </c>
      <c r="E113" s="10">
        <f>INDEX(Quotes!$B$5:$B$19,$G113)+$D113*(INDEX(Quotes!$B$5:$B$19,MIN($G113+1,15))-INDEX(Quotes!$B$5:$B$19,$G113))</f>
        <v/>
      </c>
      <c r="F113" s="4">
        <f>IF(COUNTIF(Quotes!$C$5:$C$19,$A113)&gt;0,"quote","interp")</f>
        <v/>
      </c>
      <c r="G113" s="4">
        <f>MATCH($A113,Quotes!$C$5:$C$19,1)</f>
        <v/>
      </c>
    </row>
    <row r="114">
      <c r="A114" s="6" t="n">
        <v>28</v>
      </c>
      <c r="B114" s="6">
        <f>INDEX(Quotes!$C$5:$C$19,$G114)</f>
        <v/>
      </c>
      <c r="C114" s="6">
        <f>INDEX(Quotes!$C$5:$C$19,MIN($G114+1,15))</f>
        <v/>
      </c>
      <c r="D114" s="9">
        <f>IF($C114=$B114,0,($A114-$B114)/($C114-$B114))</f>
        <v/>
      </c>
      <c r="E114" s="10">
        <f>INDEX(Quotes!$B$5:$B$19,$G114)+$D114*(INDEX(Quotes!$B$5:$B$19,MIN($G114+1,15))-INDEX(Quotes!$B$5:$B$19,$G114))</f>
        <v/>
      </c>
      <c r="F114" s="4">
        <f>IF(COUNTIF(Quotes!$C$5:$C$19,$A114)&gt;0,"quote","interp")</f>
        <v/>
      </c>
      <c r="G114" s="4">
        <f>MATCH($A114,Quotes!$C$5:$C$19,1)</f>
        <v/>
      </c>
    </row>
    <row r="115">
      <c r="A115" s="6" t="n">
        <v>28.25</v>
      </c>
      <c r="B115" s="6">
        <f>INDEX(Quotes!$C$5:$C$19,$G115)</f>
        <v/>
      </c>
      <c r="C115" s="6">
        <f>INDEX(Quotes!$C$5:$C$19,MIN($G115+1,15))</f>
        <v/>
      </c>
      <c r="D115" s="9">
        <f>IF($C115=$B115,0,($A115-$B115)/($C115-$B115))</f>
        <v/>
      </c>
      <c r="E115" s="10">
        <f>INDEX(Quotes!$B$5:$B$19,$G115)+$D115*(INDEX(Quotes!$B$5:$B$19,MIN($G115+1,15))-INDEX(Quotes!$B$5:$B$19,$G115))</f>
        <v/>
      </c>
      <c r="F115" s="4">
        <f>IF(COUNTIF(Quotes!$C$5:$C$19,$A115)&gt;0,"quote","interp")</f>
        <v/>
      </c>
      <c r="G115" s="4">
        <f>MATCH($A115,Quotes!$C$5:$C$19,1)</f>
        <v/>
      </c>
    </row>
    <row r="116">
      <c r="A116" s="6" t="n">
        <v>28.5</v>
      </c>
      <c r="B116" s="6">
        <f>INDEX(Quotes!$C$5:$C$19,$G116)</f>
        <v/>
      </c>
      <c r="C116" s="6">
        <f>INDEX(Quotes!$C$5:$C$19,MIN($G116+1,15))</f>
        <v/>
      </c>
      <c r="D116" s="9">
        <f>IF($C116=$B116,0,($A116-$B116)/($C116-$B116))</f>
        <v/>
      </c>
      <c r="E116" s="10">
        <f>INDEX(Quotes!$B$5:$B$19,$G116)+$D116*(INDEX(Quotes!$B$5:$B$19,MIN($G116+1,15))-INDEX(Quotes!$B$5:$B$19,$G116))</f>
        <v/>
      </c>
      <c r="F116" s="4">
        <f>IF(COUNTIF(Quotes!$C$5:$C$19,$A116)&gt;0,"quote","interp")</f>
        <v/>
      </c>
      <c r="G116" s="4">
        <f>MATCH($A116,Quotes!$C$5:$C$19,1)</f>
        <v/>
      </c>
    </row>
    <row r="117">
      <c r="A117" s="6" t="n">
        <v>28.75</v>
      </c>
      <c r="B117" s="6">
        <f>INDEX(Quotes!$C$5:$C$19,$G117)</f>
        <v/>
      </c>
      <c r="C117" s="6">
        <f>INDEX(Quotes!$C$5:$C$19,MIN($G117+1,15))</f>
        <v/>
      </c>
      <c r="D117" s="9">
        <f>IF($C117=$B117,0,($A117-$B117)/($C117-$B117))</f>
        <v/>
      </c>
      <c r="E117" s="10">
        <f>INDEX(Quotes!$B$5:$B$19,$G117)+$D117*(INDEX(Quotes!$B$5:$B$19,MIN($G117+1,15))-INDEX(Quotes!$B$5:$B$19,$G117))</f>
        <v/>
      </c>
      <c r="F117" s="4">
        <f>IF(COUNTIF(Quotes!$C$5:$C$19,$A117)&gt;0,"quote","interp")</f>
        <v/>
      </c>
      <c r="G117" s="4">
        <f>MATCH($A117,Quotes!$C$5:$C$19,1)</f>
        <v/>
      </c>
    </row>
    <row r="118">
      <c r="A118" s="6" t="n">
        <v>29</v>
      </c>
      <c r="B118" s="6">
        <f>INDEX(Quotes!$C$5:$C$19,$G118)</f>
        <v/>
      </c>
      <c r="C118" s="6">
        <f>INDEX(Quotes!$C$5:$C$19,MIN($G118+1,15))</f>
        <v/>
      </c>
      <c r="D118" s="9">
        <f>IF($C118=$B118,0,($A118-$B118)/($C118-$B118))</f>
        <v/>
      </c>
      <c r="E118" s="10">
        <f>INDEX(Quotes!$B$5:$B$19,$G118)+$D118*(INDEX(Quotes!$B$5:$B$19,MIN($G118+1,15))-INDEX(Quotes!$B$5:$B$19,$G118))</f>
        <v/>
      </c>
      <c r="F118" s="4">
        <f>IF(COUNTIF(Quotes!$C$5:$C$19,$A118)&gt;0,"quote","interp")</f>
        <v/>
      </c>
      <c r="G118" s="4">
        <f>MATCH($A118,Quotes!$C$5:$C$19,1)</f>
        <v/>
      </c>
    </row>
    <row r="119">
      <c r="A119" s="6" t="n">
        <v>29.25</v>
      </c>
      <c r="B119" s="6">
        <f>INDEX(Quotes!$C$5:$C$19,$G119)</f>
        <v/>
      </c>
      <c r="C119" s="6">
        <f>INDEX(Quotes!$C$5:$C$19,MIN($G119+1,15))</f>
        <v/>
      </c>
      <c r="D119" s="9">
        <f>IF($C119=$B119,0,($A119-$B119)/($C119-$B119))</f>
        <v/>
      </c>
      <c r="E119" s="10">
        <f>INDEX(Quotes!$B$5:$B$19,$G119)+$D119*(INDEX(Quotes!$B$5:$B$19,MIN($G119+1,15))-INDEX(Quotes!$B$5:$B$19,$G119))</f>
        <v/>
      </c>
      <c r="F119" s="4">
        <f>IF(COUNTIF(Quotes!$C$5:$C$19,$A119)&gt;0,"quote","interp")</f>
        <v/>
      </c>
      <c r="G119" s="4">
        <f>MATCH($A119,Quotes!$C$5:$C$19,1)</f>
        <v/>
      </c>
    </row>
    <row r="120">
      <c r="A120" s="6" t="n">
        <v>29.5</v>
      </c>
      <c r="B120" s="6">
        <f>INDEX(Quotes!$C$5:$C$19,$G120)</f>
        <v/>
      </c>
      <c r="C120" s="6">
        <f>INDEX(Quotes!$C$5:$C$19,MIN($G120+1,15))</f>
        <v/>
      </c>
      <c r="D120" s="9">
        <f>IF($C120=$B120,0,($A120-$B120)/($C120-$B120))</f>
        <v/>
      </c>
      <c r="E120" s="10">
        <f>INDEX(Quotes!$B$5:$B$19,$G120)+$D120*(INDEX(Quotes!$B$5:$B$19,MIN($G120+1,15))-INDEX(Quotes!$B$5:$B$19,$G120))</f>
        <v/>
      </c>
      <c r="F120" s="4">
        <f>IF(COUNTIF(Quotes!$C$5:$C$19,$A120)&gt;0,"quote","interp")</f>
        <v/>
      </c>
      <c r="G120" s="4">
        <f>MATCH($A120,Quotes!$C$5:$C$19,1)</f>
        <v/>
      </c>
    </row>
    <row r="121">
      <c r="A121" s="6" t="n">
        <v>29.75</v>
      </c>
      <c r="B121" s="6">
        <f>INDEX(Quotes!$C$5:$C$19,$G121)</f>
        <v/>
      </c>
      <c r="C121" s="6">
        <f>INDEX(Quotes!$C$5:$C$19,MIN($G121+1,15))</f>
        <v/>
      </c>
      <c r="D121" s="9">
        <f>IF($C121=$B121,0,($A121-$B121)/($C121-$B121))</f>
        <v/>
      </c>
      <c r="E121" s="10">
        <f>INDEX(Quotes!$B$5:$B$19,$G121)+$D121*(INDEX(Quotes!$B$5:$B$19,MIN($G121+1,15))-INDEX(Quotes!$B$5:$B$19,$G121))</f>
        <v/>
      </c>
      <c r="F121" s="4">
        <f>IF(COUNTIF(Quotes!$C$5:$C$19,$A121)&gt;0,"quote","interp")</f>
        <v/>
      </c>
      <c r="G121" s="4">
        <f>MATCH($A121,Quotes!$C$5:$C$19,1)</f>
        <v/>
      </c>
    </row>
    <row r="122">
      <c r="A122" s="6" t="n">
        <v>30</v>
      </c>
      <c r="B122" s="6">
        <f>INDEX(Quotes!$C$5:$C$19,$G122)</f>
        <v/>
      </c>
      <c r="C122" s="6">
        <f>INDEX(Quotes!$C$5:$C$19,MIN($G122+1,15))</f>
        <v/>
      </c>
      <c r="D122" s="9">
        <f>IF($C122=$B122,0,($A122-$B122)/($C122-$B122))</f>
        <v/>
      </c>
      <c r="E122" s="10">
        <f>INDEX(Quotes!$B$5:$B$19,$G122)+$D122*(INDEX(Quotes!$B$5:$B$19,MIN($G122+1,15))-INDEX(Quotes!$B$5:$B$19,$G122))</f>
        <v/>
      </c>
      <c r="F122" s="4">
        <f>IF(COUNTIF(Quotes!$C$5:$C$19,$A122)&gt;0,"quote","interp")</f>
        <v/>
      </c>
      <c r="G122" s="4">
        <f>MATCH($A122,Quotes!$C$5:$C$19,1)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F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14" customWidth="1" min="4" max="4"/>
    <col width="9" customWidth="1" min="5" max="5"/>
    <col width="10" customWidth="1" min="6" max="6"/>
  </cols>
  <sheetData>
    <row r="2">
      <c r="A2" s="11" t="inlineStr">
        <is>
          <t>Date</t>
        </is>
      </c>
      <c r="B2" s="11" t="inlineStr">
        <is>
          <t>Year</t>
        </is>
      </c>
      <c r="C2" s="11" t="inlineStr">
        <is>
          <t>Swap %</t>
        </is>
      </c>
      <c r="D2" s="11" t="inlineStr">
        <is>
          <t>DF</t>
        </is>
      </c>
      <c r="E2" s="11" t="inlineStr">
        <is>
          <t>Zero %</t>
        </is>
      </c>
      <c r="F2" s="11" t="inlineStr">
        <is>
          <t>Future %</t>
        </is>
      </c>
    </row>
    <row r="3">
      <c r="A3" s="17">
        <f>EDATE(Quotes!$E$2,3*1)</f>
        <v/>
      </c>
      <c r="B3" s="6">
        <f>Interpolation!A3</f>
        <v/>
      </c>
      <c r="C3" s="12">
        <f>Interpolation!E3</f>
        <v/>
      </c>
      <c r="D3" s="13">
        <f>1/(1+C3*Quotes!$B$2)</f>
        <v/>
      </c>
      <c r="E3" s="10">
        <f>(1/D3-1)/B3</f>
        <v/>
      </c>
      <c r="F3" s="10">
        <f>(1/D3-1)/Quotes!$B$2</f>
        <v/>
      </c>
    </row>
    <row r="4">
      <c r="A4" s="17">
        <f>EDATE(Quotes!$E$2,3*2)</f>
        <v/>
      </c>
      <c r="B4" s="6">
        <f>Interpolation!A4</f>
        <v/>
      </c>
      <c r="C4" s="12">
        <f>Interpolation!E4</f>
        <v/>
      </c>
      <c r="D4" s="13">
        <f>(1-C4*Quotes!$B$2*SUM($D$3:D3))/(1+C4*Quotes!$B$2)</f>
        <v/>
      </c>
      <c r="E4" s="10">
        <f>(1/D4-1)/B4</f>
        <v/>
      </c>
      <c r="F4" s="10">
        <f>(D3/D4-1)/Quotes!$B$2</f>
        <v/>
      </c>
    </row>
    <row r="5">
      <c r="A5" s="17">
        <f>EDATE(Quotes!$E$2,3*3)</f>
        <v/>
      </c>
      <c r="B5" s="6">
        <f>Interpolation!A5</f>
        <v/>
      </c>
      <c r="C5" s="12">
        <f>Interpolation!E5</f>
        <v/>
      </c>
      <c r="D5" s="13">
        <f>(1-C5*Quotes!$B$2*SUM($D$3:D4))/(1+C5*Quotes!$B$2)</f>
        <v/>
      </c>
      <c r="E5" s="10">
        <f>(1/D5-1)/B5</f>
        <v/>
      </c>
      <c r="F5" s="10">
        <f>(D4/D5-1)/Quotes!$B$2</f>
        <v/>
      </c>
    </row>
    <row r="6">
      <c r="A6" s="17">
        <f>EDATE(Quotes!$E$2,3*4)</f>
        <v/>
      </c>
      <c r="B6" s="6">
        <f>Interpolation!A6</f>
        <v/>
      </c>
      <c r="C6" s="12">
        <f>Interpolation!E6</f>
        <v/>
      </c>
      <c r="D6" s="13">
        <f>(1-C6*Quotes!$B$2*SUM($D$3:D5))/(1+C6*Quotes!$B$2)</f>
        <v/>
      </c>
      <c r="E6" s="10">
        <f>(1/D6-1)/B6</f>
        <v/>
      </c>
      <c r="F6" s="10">
        <f>(D5/D6-1)/Quotes!$B$2</f>
        <v/>
      </c>
    </row>
    <row r="7">
      <c r="A7" s="17">
        <f>EDATE(Quotes!$E$2,3*5)</f>
        <v/>
      </c>
      <c r="B7" s="6">
        <f>Interpolation!A7</f>
        <v/>
      </c>
      <c r="C7" s="12">
        <f>Interpolation!E7</f>
        <v/>
      </c>
      <c r="D7" s="13">
        <f>(1-C7*Quotes!$B$2*SUM($D$3:D6))/(1+C7*Quotes!$B$2)</f>
        <v/>
      </c>
      <c r="E7" s="10">
        <f>(1/D7-1)/B7</f>
        <v/>
      </c>
      <c r="F7" s="10">
        <f>(D6/D7-1)/Quotes!$B$2</f>
        <v/>
      </c>
    </row>
    <row r="8">
      <c r="A8" s="17">
        <f>EDATE(Quotes!$E$2,3*6)</f>
        <v/>
      </c>
      <c r="B8" s="6">
        <f>Interpolation!A8</f>
        <v/>
      </c>
      <c r="C8" s="12">
        <f>Interpolation!E8</f>
        <v/>
      </c>
      <c r="D8" s="13">
        <f>(1-C8*Quotes!$B$2*SUM($D$3:D7))/(1+C8*Quotes!$B$2)</f>
        <v/>
      </c>
      <c r="E8" s="10">
        <f>(1/D8-1)/B8</f>
        <v/>
      </c>
      <c r="F8" s="10">
        <f>(D7/D8-1)/Quotes!$B$2</f>
        <v/>
      </c>
    </row>
    <row r="9">
      <c r="A9" s="17">
        <f>EDATE(Quotes!$E$2,3*7)</f>
        <v/>
      </c>
      <c r="B9" s="6">
        <f>Interpolation!A9</f>
        <v/>
      </c>
      <c r="C9" s="12">
        <f>Interpolation!E9</f>
        <v/>
      </c>
      <c r="D9" s="13">
        <f>(1-C9*Quotes!$B$2*SUM($D$3:D8))/(1+C9*Quotes!$B$2)</f>
        <v/>
      </c>
      <c r="E9" s="10">
        <f>(1/D9-1)/B9</f>
        <v/>
      </c>
      <c r="F9" s="10">
        <f>(D8/D9-1)/Quotes!$B$2</f>
        <v/>
      </c>
    </row>
    <row r="10">
      <c r="A10" s="17">
        <f>EDATE(Quotes!$E$2,3*8)</f>
        <v/>
      </c>
      <c r="B10" s="6">
        <f>Interpolation!A10</f>
        <v/>
      </c>
      <c r="C10" s="12">
        <f>Interpolation!E10</f>
        <v/>
      </c>
      <c r="D10" s="13">
        <f>(1-C10*Quotes!$B$2*SUM($D$3:D9))/(1+C10*Quotes!$B$2)</f>
        <v/>
      </c>
      <c r="E10" s="10">
        <f>(1/D10-1)/B10</f>
        <v/>
      </c>
      <c r="F10" s="10">
        <f>(D9/D10-1)/Quotes!$B$2</f>
        <v/>
      </c>
    </row>
    <row r="11">
      <c r="A11" s="17">
        <f>EDATE(Quotes!$E$2,3*9)</f>
        <v/>
      </c>
      <c r="B11" s="6">
        <f>Interpolation!A11</f>
        <v/>
      </c>
      <c r="C11" s="12">
        <f>Interpolation!E11</f>
        <v/>
      </c>
      <c r="D11" s="13">
        <f>(1-C11*Quotes!$B$2*SUM($D$3:D10))/(1+C11*Quotes!$B$2)</f>
        <v/>
      </c>
      <c r="E11" s="10">
        <f>(1/D11-1)/B11</f>
        <v/>
      </c>
      <c r="F11" s="10">
        <f>(D10/D11-1)/Quotes!$B$2</f>
        <v/>
      </c>
    </row>
    <row r="12">
      <c r="A12" s="17">
        <f>EDATE(Quotes!$E$2,3*10)</f>
        <v/>
      </c>
      <c r="B12" s="6">
        <f>Interpolation!A12</f>
        <v/>
      </c>
      <c r="C12" s="12">
        <f>Interpolation!E12</f>
        <v/>
      </c>
      <c r="D12" s="13">
        <f>(1-C12*Quotes!$B$2*SUM($D$3:D11))/(1+C12*Quotes!$B$2)</f>
        <v/>
      </c>
      <c r="E12" s="10">
        <f>(1/D12-1)/B12</f>
        <v/>
      </c>
      <c r="F12" s="10">
        <f>(D11/D12-1)/Quotes!$B$2</f>
        <v/>
      </c>
    </row>
    <row r="13">
      <c r="A13" s="17">
        <f>EDATE(Quotes!$E$2,3*11)</f>
        <v/>
      </c>
      <c r="B13" s="6">
        <f>Interpolation!A13</f>
        <v/>
      </c>
      <c r="C13" s="12">
        <f>Interpolation!E13</f>
        <v/>
      </c>
      <c r="D13" s="13">
        <f>(1-C13*Quotes!$B$2*SUM($D$3:D12))/(1+C13*Quotes!$B$2)</f>
        <v/>
      </c>
      <c r="E13" s="10">
        <f>(1/D13-1)/B13</f>
        <v/>
      </c>
      <c r="F13" s="10">
        <f>(D12/D13-1)/Quotes!$B$2</f>
        <v/>
      </c>
    </row>
    <row r="14">
      <c r="A14" s="17">
        <f>EDATE(Quotes!$E$2,3*12)</f>
        <v/>
      </c>
      <c r="B14" s="6">
        <f>Interpolation!A14</f>
        <v/>
      </c>
      <c r="C14" s="12">
        <f>Interpolation!E14</f>
        <v/>
      </c>
      <c r="D14" s="13">
        <f>(1-C14*Quotes!$B$2*SUM($D$3:D13))/(1+C14*Quotes!$B$2)</f>
        <v/>
      </c>
      <c r="E14" s="10">
        <f>(1/D14-1)/B14</f>
        <v/>
      </c>
      <c r="F14" s="10">
        <f>(D13/D14-1)/Quotes!$B$2</f>
        <v/>
      </c>
    </row>
    <row r="15">
      <c r="A15" s="17">
        <f>EDATE(Quotes!$E$2,3*13)</f>
        <v/>
      </c>
      <c r="B15" s="6">
        <f>Interpolation!A15</f>
        <v/>
      </c>
      <c r="C15" s="12">
        <f>Interpolation!E15</f>
        <v/>
      </c>
      <c r="D15" s="13">
        <f>(1-C15*Quotes!$B$2*SUM($D$3:D14))/(1+C15*Quotes!$B$2)</f>
        <v/>
      </c>
      <c r="E15" s="10">
        <f>(1/D15-1)/B15</f>
        <v/>
      </c>
      <c r="F15" s="10">
        <f>(D14/D15-1)/Quotes!$B$2</f>
        <v/>
      </c>
    </row>
    <row r="16">
      <c r="A16" s="17">
        <f>EDATE(Quotes!$E$2,3*14)</f>
        <v/>
      </c>
      <c r="B16" s="6">
        <f>Interpolation!A16</f>
        <v/>
      </c>
      <c r="C16" s="12">
        <f>Interpolation!E16</f>
        <v/>
      </c>
      <c r="D16" s="13">
        <f>(1-C16*Quotes!$B$2*SUM($D$3:D15))/(1+C16*Quotes!$B$2)</f>
        <v/>
      </c>
      <c r="E16" s="10">
        <f>(1/D16-1)/B16</f>
        <v/>
      </c>
      <c r="F16" s="10">
        <f>(D15/D16-1)/Quotes!$B$2</f>
        <v/>
      </c>
    </row>
    <row r="17">
      <c r="A17" s="17">
        <f>EDATE(Quotes!$E$2,3*15)</f>
        <v/>
      </c>
      <c r="B17" s="6">
        <f>Interpolation!A17</f>
        <v/>
      </c>
      <c r="C17" s="12">
        <f>Interpolation!E17</f>
        <v/>
      </c>
      <c r="D17" s="13">
        <f>(1-C17*Quotes!$B$2*SUM($D$3:D16))/(1+C17*Quotes!$B$2)</f>
        <v/>
      </c>
      <c r="E17" s="10">
        <f>(1/D17-1)/B17</f>
        <v/>
      </c>
      <c r="F17" s="10">
        <f>(D16/D17-1)/Quotes!$B$2</f>
        <v/>
      </c>
    </row>
    <row r="18">
      <c r="A18" s="17">
        <f>EDATE(Quotes!$E$2,3*16)</f>
        <v/>
      </c>
      <c r="B18" s="6">
        <f>Interpolation!A18</f>
        <v/>
      </c>
      <c r="C18" s="12">
        <f>Interpolation!E18</f>
        <v/>
      </c>
      <c r="D18" s="13">
        <f>(1-C18*Quotes!$B$2*SUM($D$3:D17))/(1+C18*Quotes!$B$2)</f>
        <v/>
      </c>
      <c r="E18" s="10">
        <f>(1/D18-1)/B18</f>
        <v/>
      </c>
      <c r="F18" s="10">
        <f>(D17/D18-1)/Quotes!$B$2</f>
        <v/>
      </c>
    </row>
    <row r="19">
      <c r="A19" s="17">
        <f>EDATE(Quotes!$E$2,3*17)</f>
        <v/>
      </c>
      <c r="B19" s="6">
        <f>Interpolation!A19</f>
        <v/>
      </c>
      <c r="C19" s="12">
        <f>Interpolation!E19</f>
        <v/>
      </c>
      <c r="D19" s="13">
        <f>(1-C19*Quotes!$B$2*SUM($D$3:D18))/(1+C19*Quotes!$B$2)</f>
        <v/>
      </c>
      <c r="E19" s="10">
        <f>(1/D19-1)/B19</f>
        <v/>
      </c>
      <c r="F19" s="10">
        <f>(D18/D19-1)/Quotes!$B$2</f>
        <v/>
      </c>
    </row>
    <row r="20">
      <c r="A20" s="17">
        <f>EDATE(Quotes!$E$2,3*18)</f>
        <v/>
      </c>
      <c r="B20" s="6">
        <f>Interpolation!A20</f>
        <v/>
      </c>
      <c r="C20" s="12">
        <f>Interpolation!E20</f>
        <v/>
      </c>
      <c r="D20" s="13">
        <f>(1-C20*Quotes!$B$2*SUM($D$3:D19))/(1+C20*Quotes!$B$2)</f>
        <v/>
      </c>
      <c r="E20" s="10">
        <f>(1/D20-1)/B20</f>
        <v/>
      </c>
      <c r="F20" s="10">
        <f>(D19/D20-1)/Quotes!$B$2</f>
        <v/>
      </c>
    </row>
    <row r="21">
      <c r="A21" s="17">
        <f>EDATE(Quotes!$E$2,3*19)</f>
        <v/>
      </c>
      <c r="B21" s="6">
        <f>Interpolation!A21</f>
        <v/>
      </c>
      <c r="C21" s="12">
        <f>Interpolation!E21</f>
        <v/>
      </c>
      <c r="D21" s="13">
        <f>(1-C21*Quotes!$B$2*SUM($D$3:D20))/(1+C21*Quotes!$B$2)</f>
        <v/>
      </c>
      <c r="E21" s="10">
        <f>(1/D21-1)/B21</f>
        <v/>
      </c>
      <c r="F21" s="10">
        <f>(D20/D21-1)/Quotes!$B$2</f>
        <v/>
      </c>
    </row>
    <row r="22">
      <c r="A22" s="17">
        <f>EDATE(Quotes!$E$2,3*20)</f>
        <v/>
      </c>
      <c r="B22" s="6">
        <f>Interpolation!A22</f>
        <v/>
      </c>
      <c r="C22" s="12">
        <f>Interpolation!E22</f>
        <v/>
      </c>
      <c r="D22" s="13">
        <f>(1-C22*Quotes!$B$2*SUM($D$3:D21))/(1+C22*Quotes!$B$2)</f>
        <v/>
      </c>
      <c r="E22" s="10">
        <f>(1/D22-1)/B22</f>
        <v/>
      </c>
      <c r="F22" s="10">
        <f>(D21/D22-1)/Quotes!$B$2</f>
        <v/>
      </c>
    </row>
    <row r="23">
      <c r="A23" s="17">
        <f>EDATE(Quotes!$E$2,3*21)</f>
        <v/>
      </c>
      <c r="B23" s="6">
        <f>Interpolation!A23</f>
        <v/>
      </c>
      <c r="C23" s="12">
        <f>Interpolation!E23</f>
        <v/>
      </c>
      <c r="D23" s="13">
        <f>(1-C23*Quotes!$B$2*SUM($D$3:D22))/(1+C23*Quotes!$B$2)</f>
        <v/>
      </c>
      <c r="E23" s="10">
        <f>(1/D23-1)/B23</f>
        <v/>
      </c>
      <c r="F23" s="10">
        <f>(D22/D23-1)/Quotes!$B$2</f>
        <v/>
      </c>
    </row>
    <row r="24">
      <c r="A24" s="17">
        <f>EDATE(Quotes!$E$2,3*22)</f>
        <v/>
      </c>
      <c r="B24" s="6">
        <f>Interpolation!A24</f>
        <v/>
      </c>
      <c r="C24" s="12">
        <f>Interpolation!E24</f>
        <v/>
      </c>
      <c r="D24" s="13">
        <f>(1-C24*Quotes!$B$2*SUM($D$3:D23))/(1+C24*Quotes!$B$2)</f>
        <v/>
      </c>
      <c r="E24" s="10">
        <f>(1/D24-1)/B24</f>
        <v/>
      </c>
      <c r="F24" s="10">
        <f>(D23/D24-1)/Quotes!$B$2</f>
        <v/>
      </c>
    </row>
    <row r="25">
      <c r="A25" s="17">
        <f>EDATE(Quotes!$E$2,3*23)</f>
        <v/>
      </c>
      <c r="B25" s="6">
        <f>Interpolation!A25</f>
        <v/>
      </c>
      <c r="C25" s="12">
        <f>Interpolation!E25</f>
        <v/>
      </c>
      <c r="D25" s="13">
        <f>(1-C25*Quotes!$B$2*SUM($D$3:D24))/(1+C25*Quotes!$B$2)</f>
        <v/>
      </c>
      <c r="E25" s="10">
        <f>(1/D25-1)/B25</f>
        <v/>
      </c>
      <c r="F25" s="10">
        <f>(D24/D25-1)/Quotes!$B$2</f>
        <v/>
      </c>
    </row>
    <row r="26">
      <c r="A26" s="17">
        <f>EDATE(Quotes!$E$2,3*24)</f>
        <v/>
      </c>
      <c r="B26" s="6">
        <f>Interpolation!A26</f>
        <v/>
      </c>
      <c r="C26" s="12">
        <f>Interpolation!E26</f>
        <v/>
      </c>
      <c r="D26" s="13">
        <f>(1-C26*Quotes!$B$2*SUM($D$3:D25))/(1+C26*Quotes!$B$2)</f>
        <v/>
      </c>
      <c r="E26" s="10">
        <f>(1/D26-1)/B26</f>
        <v/>
      </c>
      <c r="F26" s="10">
        <f>(D25/D26-1)/Quotes!$B$2</f>
        <v/>
      </c>
    </row>
    <row r="27">
      <c r="A27" s="17">
        <f>EDATE(Quotes!$E$2,3*25)</f>
        <v/>
      </c>
      <c r="B27" s="6">
        <f>Interpolation!A27</f>
        <v/>
      </c>
      <c r="C27" s="12">
        <f>Interpolation!E27</f>
        <v/>
      </c>
      <c r="D27" s="13">
        <f>(1-C27*Quotes!$B$2*SUM($D$3:D26))/(1+C27*Quotes!$B$2)</f>
        <v/>
      </c>
      <c r="E27" s="10">
        <f>(1/D27-1)/B27</f>
        <v/>
      </c>
      <c r="F27" s="10">
        <f>(D26/D27-1)/Quotes!$B$2</f>
        <v/>
      </c>
    </row>
    <row r="28">
      <c r="A28" s="17">
        <f>EDATE(Quotes!$E$2,3*26)</f>
        <v/>
      </c>
      <c r="B28" s="6">
        <f>Interpolation!A28</f>
        <v/>
      </c>
      <c r="C28" s="12">
        <f>Interpolation!E28</f>
        <v/>
      </c>
      <c r="D28" s="13">
        <f>(1-C28*Quotes!$B$2*SUM($D$3:D27))/(1+C28*Quotes!$B$2)</f>
        <v/>
      </c>
      <c r="E28" s="10">
        <f>(1/D28-1)/B28</f>
        <v/>
      </c>
      <c r="F28" s="10">
        <f>(D27/D28-1)/Quotes!$B$2</f>
        <v/>
      </c>
    </row>
    <row r="29">
      <c r="A29" s="17">
        <f>EDATE(Quotes!$E$2,3*27)</f>
        <v/>
      </c>
      <c r="B29" s="6">
        <f>Interpolation!A29</f>
        <v/>
      </c>
      <c r="C29" s="12">
        <f>Interpolation!E29</f>
        <v/>
      </c>
      <c r="D29" s="13">
        <f>(1-C29*Quotes!$B$2*SUM($D$3:D28))/(1+C29*Quotes!$B$2)</f>
        <v/>
      </c>
      <c r="E29" s="10">
        <f>(1/D29-1)/B29</f>
        <v/>
      </c>
      <c r="F29" s="10">
        <f>(D28/D29-1)/Quotes!$B$2</f>
        <v/>
      </c>
    </row>
    <row r="30">
      <c r="A30" s="17">
        <f>EDATE(Quotes!$E$2,3*28)</f>
        <v/>
      </c>
      <c r="B30" s="6">
        <f>Interpolation!A30</f>
        <v/>
      </c>
      <c r="C30" s="12">
        <f>Interpolation!E30</f>
        <v/>
      </c>
      <c r="D30" s="13">
        <f>(1-C30*Quotes!$B$2*SUM($D$3:D29))/(1+C30*Quotes!$B$2)</f>
        <v/>
      </c>
      <c r="E30" s="10">
        <f>(1/D30-1)/B30</f>
        <v/>
      </c>
      <c r="F30" s="10">
        <f>(D29/D30-1)/Quotes!$B$2</f>
        <v/>
      </c>
    </row>
    <row r="31">
      <c r="A31" s="17">
        <f>EDATE(Quotes!$E$2,3*29)</f>
        <v/>
      </c>
      <c r="B31" s="6">
        <f>Interpolation!A31</f>
        <v/>
      </c>
      <c r="C31" s="12">
        <f>Interpolation!E31</f>
        <v/>
      </c>
      <c r="D31" s="13">
        <f>(1-C31*Quotes!$B$2*SUM($D$3:D30))/(1+C31*Quotes!$B$2)</f>
        <v/>
      </c>
      <c r="E31" s="10">
        <f>(1/D31-1)/B31</f>
        <v/>
      </c>
      <c r="F31" s="10">
        <f>(D30/D31-1)/Quotes!$B$2</f>
        <v/>
      </c>
    </row>
    <row r="32">
      <c r="A32" s="17">
        <f>EDATE(Quotes!$E$2,3*30)</f>
        <v/>
      </c>
      <c r="B32" s="6">
        <f>Interpolation!A32</f>
        <v/>
      </c>
      <c r="C32" s="12">
        <f>Interpolation!E32</f>
        <v/>
      </c>
      <c r="D32" s="13">
        <f>(1-C32*Quotes!$B$2*SUM($D$3:D31))/(1+C32*Quotes!$B$2)</f>
        <v/>
      </c>
      <c r="E32" s="10">
        <f>(1/D32-1)/B32</f>
        <v/>
      </c>
      <c r="F32" s="10">
        <f>(D31/D32-1)/Quotes!$B$2</f>
        <v/>
      </c>
    </row>
    <row r="33">
      <c r="A33" s="17">
        <f>EDATE(Quotes!$E$2,3*31)</f>
        <v/>
      </c>
      <c r="B33" s="6">
        <f>Interpolation!A33</f>
        <v/>
      </c>
      <c r="C33" s="12">
        <f>Interpolation!E33</f>
        <v/>
      </c>
      <c r="D33" s="13">
        <f>(1-C33*Quotes!$B$2*SUM($D$3:D32))/(1+C33*Quotes!$B$2)</f>
        <v/>
      </c>
      <c r="E33" s="10">
        <f>(1/D33-1)/B33</f>
        <v/>
      </c>
      <c r="F33" s="10">
        <f>(D32/D33-1)/Quotes!$B$2</f>
        <v/>
      </c>
    </row>
    <row r="34">
      <c r="A34" s="17">
        <f>EDATE(Quotes!$E$2,3*32)</f>
        <v/>
      </c>
      <c r="B34" s="6">
        <f>Interpolation!A34</f>
        <v/>
      </c>
      <c r="C34" s="12">
        <f>Interpolation!E34</f>
        <v/>
      </c>
      <c r="D34" s="13">
        <f>(1-C34*Quotes!$B$2*SUM($D$3:D33))/(1+C34*Quotes!$B$2)</f>
        <v/>
      </c>
      <c r="E34" s="10">
        <f>(1/D34-1)/B34</f>
        <v/>
      </c>
      <c r="F34" s="10">
        <f>(D33/D34-1)/Quotes!$B$2</f>
        <v/>
      </c>
    </row>
    <row r="35">
      <c r="A35" s="17">
        <f>EDATE(Quotes!$E$2,3*33)</f>
        <v/>
      </c>
      <c r="B35" s="6">
        <f>Interpolation!A35</f>
        <v/>
      </c>
      <c r="C35" s="12">
        <f>Interpolation!E35</f>
        <v/>
      </c>
      <c r="D35" s="13">
        <f>(1-C35*Quotes!$B$2*SUM($D$3:D34))/(1+C35*Quotes!$B$2)</f>
        <v/>
      </c>
      <c r="E35" s="10">
        <f>(1/D35-1)/B35</f>
        <v/>
      </c>
      <c r="F35" s="10">
        <f>(D34/D35-1)/Quotes!$B$2</f>
        <v/>
      </c>
    </row>
    <row r="36">
      <c r="A36" s="17">
        <f>EDATE(Quotes!$E$2,3*34)</f>
        <v/>
      </c>
      <c r="B36" s="6">
        <f>Interpolation!A36</f>
        <v/>
      </c>
      <c r="C36" s="12">
        <f>Interpolation!E36</f>
        <v/>
      </c>
      <c r="D36" s="13">
        <f>(1-C36*Quotes!$B$2*SUM($D$3:D35))/(1+C36*Quotes!$B$2)</f>
        <v/>
      </c>
      <c r="E36" s="10">
        <f>(1/D36-1)/B36</f>
        <v/>
      </c>
      <c r="F36" s="10">
        <f>(D35/D36-1)/Quotes!$B$2</f>
        <v/>
      </c>
    </row>
    <row r="37">
      <c r="A37" s="17">
        <f>EDATE(Quotes!$E$2,3*35)</f>
        <v/>
      </c>
      <c r="B37" s="6">
        <f>Interpolation!A37</f>
        <v/>
      </c>
      <c r="C37" s="12">
        <f>Interpolation!E37</f>
        <v/>
      </c>
      <c r="D37" s="13">
        <f>(1-C37*Quotes!$B$2*SUM($D$3:D36))/(1+C37*Quotes!$B$2)</f>
        <v/>
      </c>
      <c r="E37" s="10">
        <f>(1/D37-1)/B37</f>
        <v/>
      </c>
      <c r="F37" s="10">
        <f>(D36/D37-1)/Quotes!$B$2</f>
        <v/>
      </c>
    </row>
    <row r="38">
      <c r="A38" s="17">
        <f>EDATE(Quotes!$E$2,3*36)</f>
        <v/>
      </c>
      <c r="B38" s="6">
        <f>Interpolation!A38</f>
        <v/>
      </c>
      <c r="C38" s="12">
        <f>Interpolation!E38</f>
        <v/>
      </c>
      <c r="D38" s="13">
        <f>(1-C38*Quotes!$B$2*SUM($D$3:D37))/(1+C38*Quotes!$B$2)</f>
        <v/>
      </c>
      <c r="E38" s="10">
        <f>(1/D38-1)/B38</f>
        <v/>
      </c>
      <c r="F38" s="10">
        <f>(D37/D38-1)/Quotes!$B$2</f>
        <v/>
      </c>
    </row>
    <row r="39">
      <c r="A39" s="17">
        <f>EDATE(Quotes!$E$2,3*37)</f>
        <v/>
      </c>
      <c r="B39" s="6">
        <f>Interpolation!A39</f>
        <v/>
      </c>
      <c r="C39" s="12">
        <f>Interpolation!E39</f>
        <v/>
      </c>
      <c r="D39" s="13">
        <f>(1-C39*Quotes!$B$2*SUM($D$3:D38))/(1+C39*Quotes!$B$2)</f>
        <v/>
      </c>
      <c r="E39" s="10">
        <f>(1/D39-1)/B39</f>
        <v/>
      </c>
      <c r="F39" s="10">
        <f>(D38/D39-1)/Quotes!$B$2</f>
        <v/>
      </c>
    </row>
    <row r="40">
      <c r="A40" s="17">
        <f>EDATE(Quotes!$E$2,3*38)</f>
        <v/>
      </c>
      <c r="B40" s="6">
        <f>Interpolation!A40</f>
        <v/>
      </c>
      <c r="C40" s="12">
        <f>Interpolation!E40</f>
        <v/>
      </c>
      <c r="D40" s="13">
        <f>(1-C40*Quotes!$B$2*SUM($D$3:D39))/(1+C40*Quotes!$B$2)</f>
        <v/>
      </c>
      <c r="E40" s="10">
        <f>(1/D40-1)/B40</f>
        <v/>
      </c>
      <c r="F40" s="10">
        <f>(D39/D40-1)/Quotes!$B$2</f>
        <v/>
      </c>
    </row>
    <row r="41">
      <c r="A41" s="17">
        <f>EDATE(Quotes!$E$2,3*39)</f>
        <v/>
      </c>
      <c r="B41" s="6">
        <f>Interpolation!A41</f>
        <v/>
      </c>
      <c r="C41" s="12">
        <f>Interpolation!E41</f>
        <v/>
      </c>
      <c r="D41" s="13">
        <f>(1-C41*Quotes!$B$2*SUM($D$3:D40))/(1+C41*Quotes!$B$2)</f>
        <v/>
      </c>
      <c r="E41" s="10">
        <f>(1/D41-1)/B41</f>
        <v/>
      </c>
      <c r="F41" s="10">
        <f>(D40/D41-1)/Quotes!$B$2</f>
        <v/>
      </c>
    </row>
    <row r="42">
      <c r="A42" s="17">
        <f>EDATE(Quotes!$E$2,3*40)</f>
        <v/>
      </c>
      <c r="B42" s="6">
        <f>Interpolation!A42</f>
        <v/>
      </c>
      <c r="C42" s="12">
        <f>Interpolation!E42</f>
        <v/>
      </c>
      <c r="D42" s="13">
        <f>(1-C42*Quotes!$B$2*SUM($D$3:D41))/(1+C42*Quotes!$B$2)</f>
        <v/>
      </c>
      <c r="E42" s="10">
        <f>(1/D42-1)/B42</f>
        <v/>
      </c>
      <c r="F42" s="10">
        <f>(D41/D42-1)/Quotes!$B$2</f>
        <v/>
      </c>
    </row>
    <row r="43">
      <c r="A43" s="17">
        <f>EDATE(Quotes!$E$2,3*41)</f>
        <v/>
      </c>
      <c r="B43" s="6">
        <f>Interpolation!A43</f>
        <v/>
      </c>
      <c r="C43" s="12">
        <f>Interpolation!E43</f>
        <v/>
      </c>
      <c r="D43" s="13">
        <f>(1-C43*Quotes!$B$2*SUM($D$3:D42))/(1+C43*Quotes!$B$2)</f>
        <v/>
      </c>
      <c r="E43" s="10">
        <f>(1/D43-1)/B43</f>
        <v/>
      </c>
      <c r="F43" s="10">
        <f>(D42/D43-1)/Quotes!$B$2</f>
        <v/>
      </c>
    </row>
    <row r="44">
      <c r="A44" s="17">
        <f>EDATE(Quotes!$E$2,3*42)</f>
        <v/>
      </c>
      <c r="B44" s="6">
        <f>Interpolation!A44</f>
        <v/>
      </c>
      <c r="C44" s="12">
        <f>Interpolation!E44</f>
        <v/>
      </c>
      <c r="D44" s="13">
        <f>(1-C44*Quotes!$B$2*SUM($D$3:D43))/(1+C44*Quotes!$B$2)</f>
        <v/>
      </c>
      <c r="E44" s="10">
        <f>(1/D44-1)/B44</f>
        <v/>
      </c>
      <c r="F44" s="10">
        <f>(D43/D44-1)/Quotes!$B$2</f>
        <v/>
      </c>
    </row>
    <row r="45">
      <c r="A45" s="17">
        <f>EDATE(Quotes!$E$2,3*43)</f>
        <v/>
      </c>
      <c r="B45" s="6">
        <f>Interpolation!A45</f>
        <v/>
      </c>
      <c r="C45" s="12">
        <f>Interpolation!E45</f>
        <v/>
      </c>
      <c r="D45" s="13">
        <f>(1-C45*Quotes!$B$2*SUM($D$3:D44))/(1+C45*Quotes!$B$2)</f>
        <v/>
      </c>
      <c r="E45" s="10">
        <f>(1/D45-1)/B45</f>
        <v/>
      </c>
      <c r="F45" s="10">
        <f>(D44/D45-1)/Quotes!$B$2</f>
        <v/>
      </c>
    </row>
    <row r="46">
      <c r="A46" s="17">
        <f>EDATE(Quotes!$E$2,3*44)</f>
        <v/>
      </c>
      <c r="B46" s="6">
        <f>Interpolation!A46</f>
        <v/>
      </c>
      <c r="C46" s="12">
        <f>Interpolation!E46</f>
        <v/>
      </c>
      <c r="D46" s="13">
        <f>(1-C46*Quotes!$B$2*SUM($D$3:D45))/(1+C46*Quotes!$B$2)</f>
        <v/>
      </c>
      <c r="E46" s="10">
        <f>(1/D46-1)/B46</f>
        <v/>
      </c>
      <c r="F46" s="10">
        <f>(D45/D46-1)/Quotes!$B$2</f>
        <v/>
      </c>
    </row>
    <row r="47">
      <c r="A47" s="17">
        <f>EDATE(Quotes!$E$2,3*45)</f>
        <v/>
      </c>
      <c r="B47" s="6">
        <f>Interpolation!A47</f>
        <v/>
      </c>
      <c r="C47" s="12">
        <f>Interpolation!E47</f>
        <v/>
      </c>
      <c r="D47" s="13">
        <f>(1-C47*Quotes!$B$2*SUM($D$3:D46))/(1+C47*Quotes!$B$2)</f>
        <v/>
      </c>
      <c r="E47" s="10">
        <f>(1/D47-1)/B47</f>
        <v/>
      </c>
      <c r="F47" s="10">
        <f>(D46/D47-1)/Quotes!$B$2</f>
        <v/>
      </c>
    </row>
    <row r="48">
      <c r="A48" s="17">
        <f>EDATE(Quotes!$E$2,3*46)</f>
        <v/>
      </c>
      <c r="B48" s="6">
        <f>Interpolation!A48</f>
        <v/>
      </c>
      <c r="C48" s="12">
        <f>Interpolation!E48</f>
        <v/>
      </c>
      <c r="D48" s="13">
        <f>(1-C48*Quotes!$B$2*SUM($D$3:D47))/(1+C48*Quotes!$B$2)</f>
        <v/>
      </c>
      <c r="E48" s="10">
        <f>(1/D48-1)/B48</f>
        <v/>
      </c>
      <c r="F48" s="10">
        <f>(D47/D48-1)/Quotes!$B$2</f>
        <v/>
      </c>
    </row>
    <row r="49">
      <c r="A49" s="17">
        <f>EDATE(Quotes!$E$2,3*47)</f>
        <v/>
      </c>
      <c r="B49" s="6">
        <f>Interpolation!A49</f>
        <v/>
      </c>
      <c r="C49" s="12">
        <f>Interpolation!E49</f>
        <v/>
      </c>
      <c r="D49" s="13">
        <f>(1-C49*Quotes!$B$2*SUM($D$3:D48))/(1+C49*Quotes!$B$2)</f>
        <v/>
      </c>
      <c r="E49" s="10">
        <f>(1/D49-1)/B49</f>
        <v/>
      </c>
      <c r="F49" s="10">
        <f>(D48/D49-1)/Quotes!$B$2</f>
        <v/>
      </c>
    </row>
    <row r="50">
      <c r="A50" s="17">
        <f>EDATE(Quotes!$E$2,3*48)</f>
        <v/>
      </c>
      <c r="B50" s="6">
        <f>Interpolation!A50</f>
        <v/>
      </c>
      <c r="C50" s="12">
        <f>Interpolation!E50</f>
        <v/>
      </c>
      <c r="D50" s="13">
        <f>(1-C50*Quotes!$B$2*SUM($D$3:D49))/(1+C50*Quotes!$B$2)</f>
        <v/>
      </c>
      <c r="E50" s="10">
        <f>(1/D50-1)/B50</f>
        <v/>
      </c>
      <c r="F50" s="10">
        <f>(D49/D50-1)/Quotes!$B$2</f>
        <v/>
      </c>
    </row>
    <row r="51">
      <c r="A51" s="17">
        <f>EDATE(Quotes!$E$2,3*49)</f>
        <v/>
      </c>
      <c r="B51" s="6">
        <f>Interpolation!A51</f>
        <v/>
      </c>
      <c r="C51" s="12">
        <f>Interpolation!E51</f>
        <v/>
      </c>
      <c r="D51" s="13">
        <f>(1-C51*Quotes!$B$2*SUM($D$3:D50))/(1+C51*Quotes!$B$2)</f>
        <v/>
      </c>
      <c r="E51" s="10">
        <f>(1/D51-1)/B51</f>
        <v/>
      </c>
      <c r="F51" s="10">
        <f>(D50/D51-1)/Quotes!$B$2</f>
        <v/>
      </c>
    </row>
    <row r="52">
      <c r="A52" s="17">
        <f>EDATE(Quotes!$E$2,3*50)</f>
        <v/>
      </c>
      <c r="B52" s="6">
        <f>Interpolation!A52</f>
        <v/>
      </c>
      <c r="C52" s="12">
        <f>Interpolation!E52</f>
        <v/>
      </c>
      <c r="D52" s="13">
        <f>(1-C52*Quotes!$B$2*SUM($D$3:D51))/(1+C52*Quotes!$B$2)</f>
        <v/>
      </c>
      <c r="E52" s="10">
        <f>(1/D52-1)/B52</f>
        <v/>
      </c>
      <c r="F52" s="10">
        <f>(D51/D52-1)/Quotes!$B$2</f>
        <v/>
      </c>
    </row>
    <row r="53">
      <c r="A53" s="17">
        <f>EDATE(Quotes!$E$2,3*51)</f>
        <v/>
      </c>
      <c r="B53" s="6">
        <f>Interpolation!A53</f>
        <v/>
      </c>
      <c r="C53" s="12">
        <f>Interpolation!E53</f>
        <v/>
      </c>
      <c r="D53" s="13">
        <f>(1-C53*Quotes!$B$2*SUM($D$3:D52))/(1+C53*Quotes!$B$2)</f>
        <v/>
      </c>
      <c r="E53" s="10">
        <f>(1/D53-1)/B53</f>
        <v/>
      </c>
      <c r="F53" s="10">
        <f>(D52/D53-1)/Quotes!$B$2</f>
        <v/>
      </c>
    </row>
    <row r="54">
      <c r="A54" s="17">
        <f>EDATE(Quotes!$E$2,3*52)</f>
        <v/>
      </c>
      <c r="B54" s="6">
        <f>Interpolation!A54</f>
        <v/>
      </c>
      <c r="C54" s="12">
        <f>Interpolation!E54</f>
        <v/>
      </c>
      <c r="D54" s="13">
        <f>(1-C54*Quotes!$B$2*SUM($D$3:D53))/(1+C54*Quotes!$B$2)</f>
        <v/>
      </c>
      <c r="E54" s="10">
        <f>(1/D54-1)/B54</f>
        <v/>
      </c>
      <c r="F54" s="10">
        <f>(D53/D54-1)/Quotes!$B$2</f>
        <v/>
      </c>
    </row>
    <row r="55">
      <c r="A55" s="17">
        <f>EDATE(Quotes!$E$2,3*53)</f>
        <v/>
      </c>
      <c r="B55" s="6">
        <f>Interpolation!A55</f>
        <v/>
      </c>
      <c r="C55" s="12">
        <f>Interpolation!E55</f>
        <v/>
      </c>
      <c r="D55" s="13">
        <f>(1-C55*Quotes!$B$2*SUM($D$3:D54))/(1+C55*Quotes!$B$2)</f>
        <v/>
      </c>
      <c r="E55" s="10">
        <f>(1/D55-1)/B55</f>
        <v/>
      </c>
      <c r="F55" s="10">
        <f>(D54/D55-1)/Quotes!$B$2</f>
        <v/>
      </c>
    </row>
    <row r="56">
      <c r="A56" s="17">
        <f>EDATE(Quotes!$E$2,3*54)</f>
        <v/>
      </c>
      <c r="B56" s="6">
        <f>Interpolation!A56</f>
        <v/>
      </c>
      <c r="C56" s="12">
        <f>Interpolation!E56</f>
        <v/>
      </c>
      <c r="D56" s="13">
        <f>(1-C56*Quotes!$B$2*SUM($D$3:D55))/(1+C56*Quotes!$B$2)</f>
        <v/>
      </c>
      <c r="E56" s="10">
        <f>(1/D56-1)/B56</f>
        <v/>
      </c>
      <c r="F56" s="10">
        <f>(D55/D56-1)/Quotes!$B$2</f>
        <v/>
      </c>
    </row>
    <row r="57">
      <c r="A57" s="17">
        <f>EDATE(Quotes!$E$2,3*55)</f>
        <v/>
      </c>
      <c r="B57" s="6">
        <f>Interpolation!A57</f>
        <v/>
      </c>
      <c r="C57" s="12">
        <f>Interpolation!E57</f>
        <v/>
      </c>
      <c r="D57" s="13">
        <f>(1-C57*Quotes!$B$2*SUM($D$3:D56))/(1+C57*Quotes!$B$2)</f>
        <v/>
      </c>
      <c r="E57" s="10">
        <f>(1/D57-1)/B57</f>
        <v/>
      </c>
      <c r="F57" s="10">
        <f>(D56/D57-1)/Quotes!$B$2</f>
        <v/>
      </c>
    </row>
    <row r="58">
      <c r="A58" s="17">
        <f>EDATE(Quotes!$E$2,3*56)</f>
        <v/>
      </c>
      <c r="B58" s="6">
        <f>Interpolation!A58</f>
        <v/>
      </c>
      <c r="C58" s="12">
        <f>Interpolation!E58</f>
        <v/>
      </c>
      <c r="D58" s="13">
        <f>(1-C58*Quotes!$B$2*SUM($D$3:D57))/(1+C58*Quotes!$B$2)</f>
        <v/>
      </c>
      <c r="E58" s="10">
        <f>(1/D58-1)/B58</f>
        <v/>
      </c>
      <c r="F58" s="10">
        <f>(D57/D58-1)/Quotes!$B$2</f>
        <v/>
      </c>
    </row>
    <row r="59">
      <c r="A59" s="17">
        <f>EDATE(Quotes!$E$2,3*57)</f>
        <v/>
      </c>
      <c r="B59" s="6">
        <f>Interpolation!A59</f>
        <v/>
      </c>
      <c r="C59" s="12">
        <f>Interpolation!E59</f>
        <v/>
      </c>
      <c r="D59" s="13">
        <f>(1-C59*Quotes!$B$2*SUM($D$3:D58))/(1+C59*Quotes!$B$2)</f>
        <v/>
      </c>
      <c r="E59" s="10">
        <f>(1/D59-1)/B59</f>
        <v/>
      </c>
      <c r="F59" s="10">
        <f>(D58/D59-1)/Quotes!$B$2</f>
        <v/>
      </c>
    </row>
    <row r="60">
      <c r="A60" s="17">
        <f>EDATE(Quotes!$E$2,3*58)</f>
        <v/>
      </c>
      <c r="B60" s="6">
        <f>Interpolation!A60</f>
        <v/>
      </c>
      <c r="C60" s="12">
        <f>Interpolation!E60</f>
        <v/>
      </c>
      <c r="D60" s="13">
        <f>(1-C60*Quotes!$B$2*SUM($D$3:D59))/(1+C60*Quotes!$B$2)</f>
        <v/>
      </c>
      <c r="E60" s="10">
        <f>(1/D60-1)/B60</f>
        <v/>
      </c>
      <c r="F60" s="10">
        <f>(D59/D60-1)/Quotes!$B$2</f>
        <v/>
      </c>
    </row>
    <row r="61">
      <c r="A61" s="17">
        <f>EDATE(Quotes!$E$2,3*59)</f>
        <v/>
      </c>
      <c r="B61" s="6">
        <f>Interpolation!A61</f>
        <v/>
      </c>
      <c r="C61" s="12">
        <f>Interpolation!E61</f>
        <v/>
      </c>
      <c r="D61" s="13">
        <f>(1-C61*Quotes!$B$2*SUM($D$3:D60))/(1+C61*Quotes!$B$2)</f>
        <v/>
      </c>
      <c r="E61" s="10">
        <f>(1/D61-1)/B61</f>
        <v/>
      </c>
      <c r="F61" s="10">
        <f>(D60/D61-1)/Quotes!$B$2</f>
        <v/>
      </c>
    </row>
    <row r="62">
      <c r="A62" s="17">
        <f>EDATE(Quotes!$E$2,3*60)</f>
        <v/>
      </c>
      <c r="B62" s="6">
        <f>Interpolation!A62</f>
        <v/>
      </c>
      <c r="C62" s="12">
        <f>Interpolation!E62</f>
        <v/>
      </c>
      <c r="D62" s="13">
        <f>(1-C62*Quotes!$B$2*SUM($D$3:D61))/(1+C62*Quotes!$B$2)</f>
        <v/>
      </c>
      <c r="E62" s="10">
        <f>(1/D62-1)/B62</f>
        <v/>
      </c>
      <c r="F62" s="10">
        <f>(D61/D62-1)/Quotes!$B$2</f>
        <v/>
      </c>
    </row>
    <row r="63">
      <c r="A63" s="17">
        <f>EDATE(Quotes!$E$2,3*61)</f>
        <v/>
      </c>
      <c r="B63" s="6">
        <f>Interpolation!A63</f>
        <v/>
      </c>
      <c r="C63" s="12">
        <f>Interpolation!E63</f>
        <v/>
      </c>
      <c r="D63" s="13">
        <f>(1-C63*Quotes!$B$2*SUM($D$3:D62))/(1+C63*Quotes!$B$2)</f>
        <v/>
      </c>
      <c r="E63" s="10">
        <f>(1/D63-1)/B63</f>
        <v/>
      </c>
      <c r="F63" s="10">
        <f>(D62/D63-1)/Quotes!$B$2</f>
        <v/>
      </c>
    </row>
    <row r="64">
      <c r="A64" s="17">
        <f>EDATE(Quotes!$E$2,3*62)</f>
        <v/>
      </c>
      <c r="B64" s="6">
        <f>Interpolation!A64</f>
        <v/>
      </c>
      <c r="C64" s="12">
        <f>Interpolation!E64</f>
        <v/>
      </c>
      <c r="D64" s="13">
        <f>(1-C64*Quotes!$B$2*SUM($D$3:D63))/(1+C64*Quotes!$B$2)</f>
        <v/>
      </c>
      <c r="E64" s="10">
        <f>(1/D64-1)/B64</f>
        <v/>
      </c>
      <c r="F64" s="10">
        <f>(D63/D64-1)/Quotes!$B$2</f>
        <v/>
      </c>
    </row>
    <row r="65">
      <c r="A65" s="17">
        <f>EDATE(Quotes!$E$2,3*63)</f>
        <v/>
      </c>
      <c r="B65" s="6">
        <f>Interpolation!A65</f>
        <v/>
      </c>
      <c r="C65" s="12">
        <f>Interpolation!E65</f>
        <v/>
      </c>
      <c r="D65" s="13">
        <f>(1-C65*Quotes!$B$2*SUM($D$3:D64))/(1+C65*Quotes!$B$2)</f>
        <v/>
      </c>
      <c r="E65" s="10">
        <f>(1/D65-1)/B65</f>
        <v/>
      </c>
      <c r="F65" s="10">
        <f>(D64/D65-1)/Quotes!$B$2</f>
        <v/>
      </c>
    </row>
    <row r="66">
      <c r="A66" s="17">
        <f>EDATE(Quotes!$E$2,3*64)</f>
        <v/>
      </c>
      <c r="B66" s="6">
        <f>Interpolation!A66</f>
        <v/>
      </c>
      <c r="C66" s="12">
        <f>Interpolation!E66</f>
        <v/>
      </c>
      <c r="D66" s="13">
        <f>(1-C66*Quotes!$B$2*SUM($D$3:D65))/(1+C66*Quotes!$B$2)</f>
        <v/>
      </c>
      <c r="E66" s="10">
        <f>(1/D66-1)/B66</f>
        <v/>
      </c>
      <c r="F66" s="10">
        <f>(D65/D66-1)/Quotes!$B$2</f>
        <v/>
      </c>
    </row>
    <row r="67">
      <c r="A67" s="17">
        <f>EDATE(Quotes!$E$2,3*65)</f>
        <v/>
      </c>
      <c r="B67" s="6">
        <f>Interpolation!A67</f>
        <v/>
      </c>
      <c r="C67" s="12">
        <f>Interpolation!E67</f>
        <v/>
      </c>
      <c r="D67" s="13">
        <f>(1-C67*Quotes!$B$2*SUM($D$3:D66))/(1+C67*Quotes!$B$2)</f>
        <v/>
      </c>
      <c r="E67" s="10">
        <f>(1/D67-1)/B67</f>
        <v/>
      </c>
      <c r="F67" s="10">
        <f>(D66/D67-1)/Quotes!$B$2</f>
        <v/>
      </c>
    </row>
    <row r="68">
      <c r="A68" s="17">
        <f>EDATE(Quotes!$E$2,3*66)</f>
        <v/>
      </c>
      <c r="B68" s="6">
        <f>Interpolation!A68</f>
        <v/>
      </c>
      <c r="C68" s="12">
        <f>Interpolation!E68</f>
        <v/>
      </c>
      <c r="D68" s="13">
        <f>(1-C68*Quotes!$B$2*SUM($D$3:D67))/(1+C68*Quotes!$B$2)</f>
        <v/>
      </c>
      <c r="E68" s="10">
        <f>(1/D68-1)/B68</f>
        <v/>
      </c>
      <c r="F68" s="10">
        <f>(D67/D68-1)/Quotes!$B$2</f>
        <v/>
      </c>
    </row>
    <row r="69">
      <c r="A69" s="17">
        <f>EDATE(Quotes!$E$2,3*67)</f>
        <v/>
      </c>
      <c r="B69" s="6">
        <f>Interpolation!A69</f>
        <v/>
      </c>
      <c r="C69" s="12">
        <f>Interpolation!E69</f>
        <v/>
      </c>
      <c r="D69" s="13">
        <f>(1-C69*Quotes!$B$2*SUM($D$3:D68))/(1+C69*Quotes!$B$2)</f>
        <v/>
      </c>
      <c r="E69" s="10">
        <f>(1/D69-1)/B69</f>
        <v/>
      </c>
      <c r="F69" s="10">
        <f>(D68/D69-1)/Quotes!$B$2</f>
        <v/>
      </c>
    </row>
    <row r="70">
      <c r="A70" s="17">
        <f>EDATE(Quotes!$E$2,3*68)</f>
        <v/>
      </c>
      <c r="B70" s="6">
        <f>Interpolation!A70</f>
        <v/>
      </c>
      <c r="C70" s="12">
        <f>Interpolation!E70</f>
        <v/>
      </c>
      <c r="D70" s="13">
        <f>(1-C70*Quotes!$B$2*SUM($D$3:D69))/(1+C70*Quotes!$B$2)</f>
        <v/>
      </c>
      <c r="E70" s="10">
        <f>(1/D70-1)/B70</f>
        <v/>
      </c>
      <c r="F70" s="10">
        <f>(D69/D70-1)/Quotes!$B$2</f>
        <v/>
      </c>
    </row>
    <row r="71">
      <c r="A71" s="17">
        <f>EDATE(Quotes!$E$2,3*69)</f>
        <v/>
      </c>
      <c r="B71" s="6">
        <f>Interpolation!A71</f>
        <v/>
      </c>
      <c r="C71" s="12">
        <f>Interpolation!E71</f>
        <v/>
      </c>
      <c r="D71" s="13">
        <f>(1-C71*Quotes!$B$2*SUM($D$3:D70))/(1+C71*Quotes!$B$2)</f>
        <v/>
      </c>
      <c r="E71" s="10">
        <f>(1/D71-1)/B71</f>
        <v/>
      </c>
      <c r="F71" s="10">
        <f>(D70/D71-1)/Quotes!$B$2</f>
        <v/>
      </c>
    </row>
    <row r="72">
      <c r="A72" s="17">
        <f>EDATE(Quotes!$E$2,3*70)</f>
        <v/>
      </c>
      <c r="B72" s="6">
        <f>Interpolation!A72</f>
        <v/>
      </c>
      <c r="C72" s="12">
        <f>Interpolation!E72</f>
        <v/>
      </c>
      <c r="D72" s="13">
        <f>(1-C72*Quotes!$B$2*SUM($D$3:D71))/(1+C72*Quotes!$B$2)</f>
        <v/>
      </c>
      <c r="E72" s="10">
        <f>(1/D72-1)/B72</f>
        <v/>
      </c>
      <c r="F72" s="10">
        <f>(D71/D72-1)/Quotes!$B$2</f>
        <v/>
      </c>
    </row>
    <row r="73">
      <c r="A73" s="17">
        <f>EDATE(Quotes!$E$2,3*71)</f>
        <v/>
      </c>
      <c r="B73" s="6">
        <f>Interpolation!A73</f>
        <v/>
      </c>
      <c r="C73" s="12">
        <f>Interpolation!E73</f>
        <v/>
      </c>
      <c r="D73" s="13">
        <f>(1-C73*Quotes!$B$2*SUM($D$3:D72))/(1+C73*Quotes!$B$2)</f>
        <v/>
      </c>
      <c r="E73" s="10">
        <f>(1/D73-1)/B73</f>
        <v/>
      </c>
      <c r="F73" s="10">
        <f>(D72/D73-1)/Quotes!$B$2</f>
        <v/>
      </c>
    </row>
    <row r="74">
      <c r="A74" s="17">
        <f>EDATE(Quotes!$E$2,3*72)</f>
        <v/>
      </c>
      <c r="B74" s="6">
        <f>Interpolation!A74</f>
        <v/>
      </c>
      <c r="C74" s="12">
        <f>Interpolation!E74</f>
        <v/>
      </c>
      <c r="D74" s="13">
        <f>(1-C74*Quotes!$B$2*SUM($D$3:D73))/(1+C74*Quotes!$B$2)</f>
        <v/>
      </c>
      <c r="E74" s="10">
        <f>(1/D74-1)/B74</f>
        <v/>
      </c>
      <c r="F74" s="10">
        <f>(D73/D74-1)/Quotes!$B$2</f>
        <v/>
      </c>
    </row>
    <row r="75">
      <c r="A75" s="17">
        <f>EDATE(Quotes!$E$2,3*73)</f>
        <v/>
      </c>
      <c r="B75" s="6">
        <f>Interpolation!A75</f>
        <v/>
      </c>
      <c r="C75" s="12">
        <f>Interpolation!E75</f>
        <v/>
      </c>
      <c r="D75" s="13">
        <f>(1-C75*Quotes!$B$2*SUM($D$3:D74))/(1+C75*Quotes!$B$2)</f>
        <v/>
      </c>
      <c r="E75" s="10">
        <f>(1/D75-1)/B75</f>
        <v/>
      </c>
      <c r="F75" s="10">
        <f>(D74/D75-1)/Quotes!$B$2</f>
        <v/>
      </c>
    </row>
    <row r="76">
      <c r="A76" s="17">
        <f>EDATE(Quotes!$E$2,3*74)</f>
        <v/>
      </c>
      <c r="B76" s="6">
        <f>Interpolation!A76</f>
        <v/>
      </c>
      <c r="C76" s="12">
        <f>Interpolation!E76</f>
        <v/>
      </c>
      <c r="D76" s="13">
        <f>(1-C76*Quotes!$B$2*SUM($D$3:D75))/(1+C76*Quotes!$B$2)</f>
        <v/>
      </c>
      <c r="E76" s="10">
        <f>(1/D76-1)/B76</f>
        <v/>
      </c>
      <c r="F76" s="10">
        <f>(D75/D76-1)/Quotes!$B$2</f>
        <v/>
      </c>
    </row>
    <row r="77">
      <c r="A77" s="17">
        <f>EDATE(Quotes!$E$2,3*75)</f>
        <v/>
      </c>
      <c r="B77" s="6">
        <f>Interpolation!A77</f>
        <v/>
      </c>
      <c r="C77" s="12">
        <f>Interpolation!E77</f>
        <v/>
      </c>
      <c r="D77" s="13">
        <f>(1-C77*Quotes!$B$2*SUM($D$3:D76))/(1+C77*Quotes!$B$2)</f>
        <v/>
      </c>
      <c r="E77" s="10">
        <f>(1/D77-1)/B77</f>
        <v/>
      </c>
      <c r="F77" s="10">
        <f>(D76/D77-1)/Quotes!$B$2</f>
        <v/>
      </c>
    </row>
    <row r="78">
      <c r="A78" s="17">
        <f>EDATE(Quotes!$E$2,3*76)</f>
        <v/>
      </c>
      <c r="B78" s="6">
        <f>Interpolation!A78</f>
        <v/>
      </c>
      <c r="C78" s="12">
        <f>Interpolation!E78</f>
        <v/>
      </c>
      <c r="D78" s="13">
        <f>(1-C78*Quotes!$B$2*SUM($D$3:D77))/(1+C78*Quotes!$B$2)</f>
        <v/>
      </c>
      <c r="E78" s="10">
        <f>(1/D78-1)/B78</f>
        <v/>
      </c>
      <c r="F78" s="10">
        <f>(D77/D78-1)/Quotes!$B$2</f>
        <v/>
      </c>
    </row>
    <row r="79">
      <c r="A79" s="17">
        <f>EDATE(Quotes!$E$2,3*77)</f>
        <v/>
      </c>
      <c r="B79" s="6">
        <f>Interpolation!A79</f>
        <v/>
      </c>
      <c r="C79" s="12">
        <f>Interpolation!E79</f>
        <v/>
      </c>
      <c r="D79" s="13">
        <f>(1-C79*Quotes!$B$2*SUM($D$3:D78))/(1+C79*Quotes!$B$2)</f>
        <v/>
      </c>
      <c r="E79" s="10">
        <f>(1/D79-1)/B79</f>
        <v/>
      </c>
      <c r="F79" s="10">
        <f>(D78/D79-1)/Quotes!$B$2</f>
        <v/>
      </c>
    </row>
    <row r="80">
      <c r="A80" s="17">
        <f>EDATE(Quotes!$E$2,3*78)</f>
        <v/>
      </c>
      <c r="B80" s="6">
        <f>Interpolation!A80</f>
        <v/>
      </c>
      <c r="C80" s="12">
        <f>Interpolation!E80</f>
        <v/>
      </c>
      <c r="D80" s="13">
        <f>(1-C80*Quotes!$B$2*SUM($D$3:D79))/(1+C80*Quotes!$B$2)</f>
        <v/>
      </c>
      <c r="E80" s="10">
        <f>(1/D80-1)/B80</f>
        <v/>
      </c>
      <c r="F80" s="10">
        <f>(D79/D80-1)/Quotes!$B$2</f>
        <v/>
      </c>
    </row>
    <row r="81">
      <c r="A81" s="17">
        <f>EDATE(Quotes!$E$2,3*79)</f>
        <v/>
      </c>
      <c r="B81" s="6">
        <f>Interpolation!A81</f>
        <v/>
      </c>
      <c r="C81" s="12">
        <f>Interpolation!E81</f>
        <v/>
      </c>
      <c r="D81" s="13">
        <f>(1-C81*Quotes!$B$2*SUM($D$3:D80))/(1+C81*Quotes!$B$2)</f>
        <v/>
      </c>
      <c r="E81" s="10">
        <f>(1/D81-1)/B81</f>
        <v/>
      </c>
      <c r="F81" s="10">
        <f>(D80/D81-1)/Quotes!$B$2</f>
        <v/>
      </c>
    </row>
    <row r="82">
      <c r="A82" s="17">
        <f>EDATE(Quotes!$E$2,3*80)</f>
        <v/>
      </c>
      <c r="B82" s="6">
        <f>Interpolation!A82</f>
        <v/>
      </c>
      <c r="C82" s="12">
        <f>Interpolation!E82</f>
        <v/>
      </c>
      <c r="D82" s="13">
        <f>(1-C82*Quotes!$B$2*SUM($D$3:D81))/(1+C82*Quotes!$B$2)</f>
        <v/>
      </c>
      <c r="E82" s="10">
        <f>(1/D82-1)/B82</f>
        <v/>
      </c>
      <c r="F82" s="10">
        <f>(D81/D82-1)/Quotes!$B$2</f>
        <v/>
      </c>
    </row>
    <row r="83">
      <c r="A83" s="17">
        <f>EDATE(Quotes!$E$2,3*81)</f>
        <v/>
      </c>
      <c r="B83" s="6">
        <f>Interpolation!A83</f>
        <v/>
      </c>
      <c r="C83" s="12">
        <f>Interpolation!E83</f>
        <v/>
      </c>
      <c r="D83" s="13">
        <f>(1-C83*Quotes!$B$2*SUM($D$3:D82))/(1+C83*Quotes!$B$2)</f>
        <v/>
      </c>
      <c r="E83" s="10">
        <f>(1/D83-1)/B83</f>
        <v/>
      </c>
      <c r="F83" s="10">
        <f>(D82/D83-1)/Quotes!$B$2</f>
        <v/>
      </c>
    </row>
    <row r="84">
      <c r="A84" s="17">
        <f>EDATE(Quotes!$E$2,3*82)</f>
        <v/>
      </c>
      <c r="B84" s="6">
        <f>Interpolation!A84</f>
        <v/>
      </c>
      <c r="C84" s="12">
        <f>Interpolation!E84</f>
        <v/>
      </c>
      <c r="D84" s="13">
        <f>(1-C84*Quotes!$B$2*SUM($D$3:D83))/(1+C84*Quotes!$B$2)</f>
        <v/>
      </c>
      <c r="E84" s="10">
        <f>(1/D84-1)/B84</f>
        <v/>
      </c>
      <c r="F84" s="10">
        <f>(D83/D84-1)/Quotes!$B$2</f>
        <v/>
      </c>
    </row>
    <row r="85">
      <c r="A85" s="17">
        <f>EDATE(Quotes!$E$2,3*83)</f>
        <v/>
      </c>
      <c r="B85" s="6">
        <f>Interpolation!A85</f>
        <v/>
      </c>
      <c r="C85" s="12">
        <f>Interpolation!E85</f>
        <v/>
      </c>
      <c r="D85" s="13">
        <f>(1-C85*Quotes!$B$2*SUM($D$3:D84))/(1+C85*Quotes!$B$2)</f>
        <v/>
      </c>
      <c r="E85" s="10">
        <f>(1/D85-1)/B85</f>
        <v/>
      </c>
      <c r="F85" s="10">
        <f>(D84/D85-1)/Quotes!$B$2</f>
        <v/>
      </c>
    </row>
    <row r="86">
      <c r="A86" s="17">
        <f>EDATE(Quotes!$E$2,3*84)</f>
        <v/>
      </c>
      <c r="B86" s="6">
        <f>Interpolation!A86</f>
        <v/>
      </c>
      <c r="C86" s="12">
        <f>Interpolation!E86</f>
        <v/>
      </c>
      <c r="D86" s="13">
        <f>(1-C86*Quotes!$B$2*SUM($D$3:D85))/(1+C86*Quotes!$B$2)</f>
        <v/>
      </c>
      <c r="E86" s="10">
        <f>(1/D86-1)/B86</f>
        <v/>
      </c>
      <c r="F86" s="10">
        <f>(D85/D86-1)/Quotes!$B$2</f>
        <v/>
      </c>
    </row>
    <row r="87">
      <c r="A87" s="17">
        <f>EDATE(Quotes!$E$2,3*85)</f>
        <v/>
      </c>
      <c r="B87" s="6">
        <f>Interpolation!A87</f>
        <v/>
      </c>
      <c r="C87" s="12">
        <f>Interpolation!E87</f>
        <v/>
      </c>
      <c r="D87" s="13">
        <f>(1-C87*Quotes!$B$2*SUM($D$3:D86))/(1+C87*Quotes!$B$2)</f>
        <v/>
      </c>
      <c r="E87" s="10">
        <f>(1/D87-1)/B87</f>
        <v/>
      </c>
      <c r="F87" s="10">
        <f>(D86/D87-1)/Quotes!$B$2</f>
        <v/>
      </c>
    </row>
    <row r="88">
      <c r="A88" s="17">
        <f>EDATE(Quotes!$E$2,3*86)</f>
        <v/>
      </c>
      <c r="B88" s="6">
        <f>Interpolation!A88</f>
        <v/>
      </c>
      <c r="C88" s="12">
        <f>Interpolation!E88</f>
        <v/>
      </c>
      <c r="D88" s="13">
        <f>(1-C88*Quotes!$B$2*SUM($D$3:D87))/(1+C88*Quotes!$B$2)</f>
        <v/>
      </c>
      <c r="E88" s="10">
        <f>(1/D88-1)/B88</f>
        <v/>
      </c>
      <c r="F88" s="10">
        <f>(D87/D88-1)/Quotes!$B$2</f>
        <v/>
      </c>
    </row>
    <row r="89">
      <c r="A89" s="17">
        <f>EDATE(Quotes!$E$2,3*87)</f>
        <v/>
      </c>
      <c r="B89" s="6">
        <f>Interpolation!A89</f>
        <v/>
      </c>
      <c r="C89" s="12">
        <f>Interpolation!E89</f>
        <v/>
      </c>
      <c r="D89" s="13">
        <f>(1-C89*Quotes!$B$2*SUM($D$3:D88))/(1+C89*Quotes!$B$2)</f>
        <v/>
      </c>
      <c r="E89" s="10">
        <f>(1/D89-1)/B89</f>
        <v/>
      </c>
      <c r="F89" s="10">
        <f>(D88/D89-1)/Quotes!$B$2</f>
        <v/>
      </c>
    </row>
    <row r="90">
      <c r="A90" s="17">
        <f>EDATE(Quotes!$E$2,3*88)</f>
        <v/>
      </c>
      <c r="B90" s="6">
        <f>Interpolation!A90</f>
        <v/>
      </c>
      <c r="C90" s="12">
        <f>Interpolation!E90</f>
        <v/>
      </c>
      <c r="D90" s="13">
        <f>(1-C90*Quotes!$B$2*SUM($D$3:D89))/(1+C90*Quotes!$B$2)</f>
        <v/>
      </c>
      <c r="E90" s="10">
        <f>(1/D90-1)/B90</f>
        <v/>
      </c>
      <c r="F90" s="10">
        <f>(D89/D90-1)/Quotes!$B$2</f>
        <v/>
      </c>
    </row>
    <row r="91">
      <c r="A91" s="17">
        <f>EDATE(Quotes!$E$2,3*89)</f>
        <v/>
      </c>
      <c r="B91" s="6">
        <f>Interpolation!A91</f>
        <v/>
      </c>
      <c r="C91" s="12">
        <f>Interpolation!E91</f>
        <v/>
      </c>
      <c r="D91" s="13">
        <f>(1-C91*Quotes!$B$2*SUM($D$3:D90))/(1+C91*Quotes!$B$2)</f>
        <v/>
      </c>
      <c r="E91" s="10">
        <f>(1/D91-1)/B91</f>
        <v/>
      </c>
      <c r="F91" s="10">
        <f>(D90/D91-1)/Quotes!$B$2</f>
        <v/>
      </c>
    </row>
    <row r="92">
      <c r="A92" s="17">
        <f>EDATE(Quotes!$E$2,3*90)</f>
        <v/>
      </c>
      <c r="B92" s="6">
        <f>Interpolation!A92</f>
        <v/>
      </c>
      <c r="C92" s="12">
        <f>Interpolation!E92</f>
        <v/>
      </c>
      <c r="D92" s="13">
        <f>(1-C92*Quotes!$B$2*SUM($D$3:D91))/(1+C92*Quotes!$B$2)</f>
        <v/>
      </c>
      <c r="E92" s="10">
        <f>(1/D92-1)/B92</f>
        <v/>
      </c>
      <c r="F92" s="10">
        <f>(D91/D92-1)/Quotes!$B$2</f>
        <v/>
      </c>
    </row>
    <row r="93">
      <c r="A93" s="17">
        <f>EDATE(Quotes!$E$2,3*91)</f>
        <v/>
      </c>
      <c r="B93" s="6">
        <f>Interpolation!A93</f>
        <v/>
      </c>
      <c r="C93" s="12">
        <f>Interpolation!E93</f>
        <v/>
      </c>
      <c r="D93" s="13">
        <f>(1-C93*Quotes!$B$2*SUM($D$3:D92))/(1+C93*Quotes!$B$2)</f>
        <v/>
      </c>
      <c r="E93" s="10">
        <f>(1/D93-1)/B93</f>
        <v/>
      </c>
      <c r="F93" s="10">
        <f>(D92/D93-1)/Quotes!$B$2</f>
        <v/>
      </c>
    </row>
    <row r="94">
      <c r="A94" s="17">
        <f>EDATE(Quotes!$E$2,3*92)</f>
        <v/>
      </c>
      <c r="B94" s="6">
        <f>Interpolation!A94</f>
        <v/>
      </c>
      <c r="C94" s="12">
        <f>Interpolation!E94</f>
        <v/>
      </c>
      <c r="D94" s="13">
        <f>(1-C94*Quotes!$B$2*SUM($D$3:D93))/(1+C94*Quotes!$B$2)</f>
        <v/>
      </c>
      <c r="E94" s="10">
        <f>(1/D94-1)/B94</f>
        <v/>
      </c>
      <c r="F94" s="10">
        <f>(D93/D94-1)/Quotes!$B$2</f>
        <v/>
      </c>
    </row>
    <row r="95">
      <c r="A95" s="17">
        <f>EDATE(Quotes!$E$2,3*93)</f>
        <v/>
      </c>
      <c r="B95" s="6">
        <f>Interpolation!A95</f>
        <v/>
      </c>
      <c r="C95" s="12">
        <f>Interpolation!E95</f>
        <v/>
      </c>
      <c r="D95" s="13">
        <f>(1-C95*Quotes!$B$2*SUM($D$3:D94))/(1+C95*Quotes!$B$2)</f>
        <v/>
      </c>
      <c r="E95" s="10">
        <f>(1/D95-1)/B95</f>
        <v/>
      </c>
      <c r="F95" s="10">
        <f>(D94/D95-1)/Quotes!$B$2</f>
        <v/>
      </c>
    </row>
    <row r="96">
      <c r="A96" s="17">
        <f>EDATE(Quotes!$E$2,3*94)</f>
        <v/>
      </c>
      <c r="B96" s="6">
        <f>Interpolation!A96</f>
        <v/>
      </c>
      <c r="C96" s="12">
        <f>Interpolation!E96</f>
        <v/>
      </c>
      <c r="D96" s="13">
        <f>(1-C96*Quotes!$B$2*SUM($D$3:D95))/(1+C96*Quotes!$B$2)</f>
        <v/>
      </c>
      <c r="E96" s="10">
        <f>(1/D96-1)/B96</f>
        <v/>
      </c>
      <c r="F96" s="10">
        <f>(D95/D96-1)/Quotes!$B$2</f>
        <v/>
      </c>
    </row>
    <row r="97">
      <c r="A97" s="17">
        <f>EDATE(Quotes!$E$2,3*95)</f>
        <v/>
      </c>
      <c r="B97" s="6">
        <f>Interpolation!A97</f>
        <v/>
      </c>
      <c r="C97" s="12">
        <f>Interpolation!E97</f>
        <v/>
      </c>
      <c r="D97" s="13">
        <f>(1-C97*Quotes!$B$2*SUM($D$3:D96))/(1+C97*Quotes!$B$2)</f>
        <v/>
      </c>
      <c r="E97" s="10">
        <f>(1/D97-1)/B97</f>
        <v/>
      </c>
      <c r="F97" s="10">
        <f>(D96/D97-1)/Quotes!$B$2</f>
        <v/>
      </c>
    </row>
    <row r="98">
      <c r="A98" s="17">
        <f>EDATE(Quotes!$E$2,3*96)</f>
        <v/>
      </c>
      <c r="B98" s="6">
        <f>Interpolation!A98</f>
        <v/>
      </c>
      <c r="C98" s="12">
        <f>Interpolation!E98</f>
        <v/>
      </c>
      <c r="D98" s="13">
        <f>(1-C98*Quotes!$B$2*SUM($D$3:D97))/(1+C98*Quotes!$B$2)</f>
        <v/>
      </c>
      <c r="E98" s="10">
        <f>(1/D98-1)/B98</f>
        <v/>
      </c>
      <c r="F98" s="10">
        <f>(D97/D98-1)/Quotes!$B$2</f>
        <v/>
      </c>
    </row>
    <row r="99">
      <c r="A99" s="17">
        <f>EDATE(Quotes!$E$2,3*97)</f>
        <v/>
      </c>
      <c r="B99" s="6">
        <f>Interpolation!A99</f>
        <v/>
      </c>
      <c r="C99" s="12">
        <f>Interpolation!E99</f>
        <v/>
      </c>
      <c r="D99" s="13">
        <f>(1-C99*Quotes!$B$2*SUM($D$3:D98))/(1+C99*Quotes!$B$2)</f>
        <v/>
      </c>
      <c r="E99" s="10">
        <f>(1/D99-1)/B99</f>
        <v/>
      </c>
      <c r="F99" s="10">
        <f>(D98/D99-1)/Quotes!$B$2</f>
        <v/>
      </c>
    </row>
    <row r="100">
      <c r="A100" s="17">
        <f>EDATE(Quotes!$E$2,3*98)</f>
        <v/>
      </c>
      <c r="B100" s="6">
        <f>Interpolation!A100</f>
        <v/>
      </c>
      <c r="C100" s="12">
        <f>Interpolation!E100</f>
        <v/>
      </c>
      <c r="D100" s="13">
        <f>(1-C100*Quotes!$B$2*SUM($D$3:D99))/(1+C100*Quotes!$B$2)</f>
        <v/>
      </c>
      <c r="E100" s="10">
        <f>(1/D100-1)/B100</f>
        <v/>
      </c>
      <c r="F100" s="10">
        <f>(D99/D100-1)/Quotes!$B$2</f>
        <v/>
      </c>
    </row>
    <row r="101">
      <c r="A101" s="17">
        <f>EDATE(Quotes!$E$2,3*99)</f>
        <v/>
      </c>
      <c r="B101" s="6">
        <f>Interpolation!A101</f>
        <v/>
      </c>
      <c r="C101" s="12">
        <f>Interpolation!E101</f>
        <v/>
      </c>
      <c r="D101" s="13">
        <f>(1-C101*Quotes!$B$2*SUM($D$3:D100))/(1+C101*Quotes!$B$2)</f>
        <v/>
      </c>
      <c r="E101" s="10">
        <f>(1/D101-1)/B101</f>
        <v/>
      </c>
      <c r="F101" s="10">
        <f>(D100/D101-1)/Quotes!$B$2</f>
        <v/>
      </c>
    </row>
    <row r="102">
      <c r="A102" s="17">
        <f>EDATE(Quotes!$E$2,3*100)</f>
        <v/>
      </c>
      <c r="B102" s="6">
        <f>Interpolation!A102</f>
        <v/>
      </c>
      <c r="C102" s="12">
        <f>Interpolation!E102</f>
        <v/>
      </c>
      <c r="D102" s="13">
        <f>(1-C102*Quotes!$B$2*SUM($D$3:D101))/(1+C102*Quotes!$B$2)</f>
        <v/>
      </c>
      <c r="E102" s="10">
        <f>(1/D102-1)/B102</f>
        <v/>
      </c>
      <c r="F102" s="10">
        <f>(D101/D102-1)/Quotes!$B$2</f>
        <v/>
      </c>
    </row>
    <row r="103">
      <c r="A103" s="17">
        <f>EDATE(Quotes!$E$2,3*101)</f>
        <v/>
      </c>
      <c r="B103" s="6">
        <f>Interpolation!A103</f>
        <v/>
      </c>
      <c r="C103" s="12">
        <f>Interpolation!E103</f>
        <v/>
      </c>
      <c r="D103" s="13">
        <f>(1-C103*Quotes!$B$2*SUM($D$3:D102))/(1+C103*Quotes!$B$2)</f>
        <v/>
      </c>
      <c r="E103" s="10">
        <f>(1/D103-1)/B103</f>
        <v/>
      </c>
      <c r="F103" s="10">
        <f>(D102/D103-1)/Quotes!$B$2</f>
        <v/>
      </c>
    </row>
    <row r="104">
      <c r="A104" s="17">
        <f>EDATE(Quotes!$E$2,3*102)</f>
        <v/>
      </c>
      <c r="B104" s="6">
        <f>Interpolation!A104</f>
        <v/>
      </c>
      <c r="C104" s="12">
        <f>Interpolation!E104</f>
        <v/>
      </c>
      <c r="D104" s="13">
        <f>(1-C104*Quotes!$B$2*SUM($D$3:D103))/(1+C104*Quotes!$B$2)</f>
        <v/>
      </c>
      <c r="E104" s="10">
        <f>(1/D104-1)/B104</f>
        <v/>
      </c>
      <c r="F104" s="10">
        <f>(D103/D104-1)/Quotes!$B$2</f>
        <v/>
      </c>
    </row>
    <row r="105">
      <c r="A105" s="17">
        <f>EDATE(Quotes!$E$2,3*103)</f>
        <v/>
      </c>
      <c r="B105" s="6">
        <f>Interpolation!A105</f>
        <v/>
      </c>
      <c r="C105" s="12">
        <f>Interpolation!E105</f>
        <v/>
      </c>
      <c r="D105" s="13">
        <f>(1-C105*Quotes!$B$2*SUM($D$3:D104))/(1+C105*Quotes!$B$2)</f>
        <v/>
      </c>
      <c r="E105" s="10">
        <f>(1/D105-1)/B105</f>
        <v/>
      </c>
      <c r="F105" s="10">
        <f>(D104/D105-1)/Quotes!$B$2</f>
        <v/>
      </c>
    </row>
    <row r="106">
      <c r="A106" s="17">
        <f>EDATE(Quotes!$E$2,3*104)</f>
        <v/>
      </c>
      <c r="B106" s="6">
        <f>Interpolation!A106</f>
        <v/>
      </c>
      <c r="C106" s="12">
        <f>Interpolation!E106</f>
        <v/>
      </c>
      <c r="D106" s="13">
        <f>(1-C106*Quotes!$B$2*SUM($D$3:D105))/(1+C106*Quotes!$B$2)</f>
        <v/>
      </c>
      <c r="E106" s="10">
        <f>(1/D106-1)/B106</f>
        <v/>
      </c>
      <c r="F106" s="10">
        <f>(D105/D106-1)/Quotes!$B$2</f>
        <v/>
      </c>
    </row>
    <row r="107">
      <c r="A107" s="17">
        <f>EDATE(Quotes!$E$2,3*105)</f>
        <v/>
      </c>
      <c r="B107" s="6">
        <f>Interpolation!A107</f>
        <v/>
      </c>
      <c r="C107" s="12">
        <f>Interpolation!E107</f>
        <v/>
      </c>
      <c r="D107" s="13">
        <f>(1-C107*Quotes!$B$2*SUM($D$3:D106))/(1+C107*Quotes!$B$2)</f>
        <v/>
      </c>
      <c r="E107" s="10">
        <f>(1/D107-1)/B107</f>
        <v/>
      </c>
      <c r="F107" s="10">
        <f>(D106/D107-1)/Quotes!$B$2</f>
        <v/>
      </c>
    </row>
    <row r="108">
      <c r="A108" s="17">
        <f>EDATE(Quotes!$E$2,3*106)</f>
        <v/>
      </c>
      <c r="B108" s="6">
        <f>Interpolation!A108</f>
        <v/>
      </c>
      <c r="C108" s="12">
        <f>Interpolation!E108</f>
        <v/>
      </c>
      <c r="D108" s="13">
        <f>(1-C108*Quotes!$B$2*SUM($D$3:D107))/(1+C108*Quotes!$B$2)</f>
        <v/>
      </c>
      <c r="E108" s="10">
        <f>(1/D108-1)/B108</f>
        <v/>
      </c>
      <c r="F108" s="10">
        <f>(D107/D108-1)/Quotes!$B$2</f>
        <v/>
      </c>
    </row>
    <row r="109">
      <c r="A109" s="17">
        <f>EDATE(Quotes!$E$2,3*107)</f>
        <v/>
      </c>
      <c r="B109" s="6">
        <f>Interpolation!A109</f>
        <v/>
      </c>
      <c r="C109" s="12">
        <f>Interpolation!E109</f>
        <v/>
      </c>
      <c r="D109" s="13">
        <f>(1-C109*Quotes!$B$2*SUM($D$3:D108))/(1+C109*Quotes!$B$2)</f>
        <v/>
      </c>
      <c r="E109" s="10">
        <f>(1/D109-1)/B109</f>
        <v/>
      </c>
      <c r="F109" s="10">
        <f>(D108/D109-1)/Quotes!$B$2</f>
        <v/>
      </c>
    </row>
    <row r="110">
      <c r="A110" s="17">
        <f>EDATE(Quotes!$E$2,3*108)</f>
        <v/>
      </c>
      <c r="B110" s="6">
        <f>Interpolation!A110</f>
        <v/>
      </c>
      <c r="C110" s="12">
        <f>Interpolation!E110</f>
        <v/>
      </c>
      <c r="D110" s="13">
        <f>(1-C110*Quotes!$B$2*SUM($D$3:D109))/(1+C110*Quotes!$B$2)</f>
        <v/>
      </c>
      <c r="E110" s="10">
        <f>(1/D110-1)/B110</f>
        <v/>
      </c>
      <c r="F110" s="10">
        <f>(D109/D110-1)/Quotes!$B$2</f>
        <v/>
      </c>
    </row>
    <row r="111">
      <c r="A111" s="17">
        <f>EDATE(Quotes!$E$2,3*109)</f>
        <v/>
      </c>
      <c r="B111" s="6">
        <f>Interpolation!A111</f>
        <v/>
      </c>
      <c r="C111" s="12">
        <f>Interpolation!E111</f>
        <v/>
      </c>
      <c r="D111" s="13">
        <f>(1-C111*Quotes!$B$2*SUM($D$3:D110))/(1+C111*Quotes!$B$2)</f>
        <v/>
      </c>
      <c r="E111" s="10">
        <f>(1/D111-1)/B111</f>
        <v/>
      </c>
      <c r="F111" s="10">
        <f>(D110/D111-1)/Quotes!$B$2</f>
        <v/>
      </c>
    </row>
    <row r="112">
      <c r="A112" s="17">
        <f>EDATE(Quotes!$E$2,3*110)</f>
        <v/>
      </c>
      <c r="B112" s="6">
        <f>Interpolation!A112</f>
        <v/>
      </c>
      <c r="C112" s="12">
        <f>Interpolation!E112</f>
        <v/>
      </c>
      <c r="D112" s="13">
        <f>(1-C112*Quotes!$B$2*SUM($D$3:D111))/(1+C112*Quotes!$B$2)</f>
        <v/>
      </c>
      <c r="E112" s="10">
        <f>(1/D112-1)/B112</f>
        <v/>
      </c>
      <c r="F112" s="10">
        <f>(D111/D112-1)/Quotes!$B$2</f>
        <v/>
      </c>
    </row>
    <row r="113">
      <c r="A113" s="17">
        <f>EDATE(Quotes!$E$2,3*111)</f>
        <v/>
      </c>
      <c r="B113" s="6">
        <f>Interpolation!A113</f>
        <v/>
      </c>
      <c r="C113" s="12">
        <f>Interpolation!E113</f>
        <v/>
      </c>
      <c r="D113" s="13">
        <f>(1-C113*Quotes!$B$2*SUM($D$3:D112))/(1+C113*Quotes!$B$2)</f>
        <v/>
      </c>
      <c r="E113" s="10">
        <f>(1/D113-1)/B113</f>
        <v/>
      </c>
      <c r="F113" s="10">
        <f>(D112/D113-1)/Quotes!$B$2</f>
        <v/>
      </c>
    </row>
    <row r="114">
      <c r="A114" s="17">
        <f>EDATE(Quotes!$E$2,3*112)</f>
        <v/>
      </c>
      <c r="B114" s="6">
        <f>Interpolation!A114</f>
        <v/>
      </c>
      <c r="C114" s="12">
        <f>Interpolation!E114</f>
        <v/>
      </c>
      <c r="D114" s="13">
        <f>(1-C114*Quotes!$B$2*SUM($D$3:D113))/(1+C114*Quotes!$B$2)</f>
        <v/>
      </c>
      <c r="E114" s="10">
        <f>(1/D114-1)/B114</f>
        <v/>
      </c>
      <c r="F114" s="10">
        <f>(D113/D114-1)/Quotes!$B$2</f>
        <v/>
      </c>
    </row>
    <row r="115">
      <c r="A115" s="17">
        <f>EDATE(Quotes!$E$2,3*113)</f>
        <v/>
      </c>
      <c r="B115" s="6">
        <f>Interpolation!A115</f>
        <v/>
      </c>
      <c r="C115" s="12">
        <f>Interpolation!E115</f>
        <v/>
      </c>
      <c r="D115" s="13">
        <f>(1-C115*Quotes!$B$2*SUM($D$3:D114))/(1+C115*Quotes!$B$2)</f>
        <v/>
      </c>
      <c r="E115" s="10">
        <f>(1/D115-1)/B115</f>
        <v/>
      </c>
      <c r="F115" s="10">
        <f>(D114/D115-1)/Quotes!$B$2</f>
        <v/>
      </c>
    </row>
    <row r="116">
      <c r="A116" s="17">
        <f>EDATE(Quotes!$E$2,3*114)</f>
        <v/>
      </c>
      <c r="B116" s="6">
        <f>Interpolation!A116</f>
        <v/>
      </c>
      <c r="C116" s="12">
        <f>Interpolation!E116</f>
        <v/>
      </c>
      <c r="D116" s="13">
        <f>(1-C116*Quotes!$B$2*SUM($D$3:D115))/(1+C116*Quotes!$B$2)</f>
        <v/>
      </c>
      <c r="E116" s="10">
        <f>(1/D116-1)/B116</f>
        <v/>
      </c>
      <c r="F116" s="10">
        <f>(D115/D116-1)/Quotes!$B$2</f>
        <v/>
      </c>
    </row>
    <row r="117">
      <c r="A117" s="17">
        <f>EDATE(Quotes!$E$2,3*115)</f>
        <v/>
      </c>
      <c r="B117" s="6">
        <f>Interpolation!A117</f>
        <v/>
      </c>
      <c r="C117" s="12">
        <f>Interpolation!E117</f>
        <v/>
      </c>
      <c r="D117" s="13">
        <f>(1-C117*Quotes!$B$2*SUM($D$3:D116))/(1+C117*Quotes!$B$2)</f>
        <v/>
      </c>
      <c r="E117" s="10">
        <f>(1/D117-1)/B117</f>
        <v/>
      </c>
      <c r="F117" s="10">
        <f>(D116/D117-1)/Quotes!$B$2</f>
        <v/>
      </c>
    </row>
    <row r="118">
      <c r="A118" s="17">
        <f>EDATE(Quotes!$E$2,3*116)</f>
        <v/>
      </c>
      <c r="B118" s="6">
        <f>Interpolation!A118</f>
        <v/>
      </c>
      <c r="C118" s="12">
        <f>Interpolation!E118</f>
        <v/>
      </c>
      <c r="D118" s="13">
        <f>(1-C118*Quotes!$B$2*SUM($D$3:D117))/(1+C118*Quotes!$B$2)</f>
        <v/>
      </c>
      <c r="E118" s="10">
        <f>(1/D118-1)/B118</f>
        <v/>
      </c>
      <c r="F118" s="10">
        <f>(D117/D118-1)/Quotes!$B$2</f>
        <v/>
      </c>
    </row>
    <row r="119">
      <c r="A119" s="17">
        <f>EDATE(Quotes!$E$2,3*117)</f>
        <v/>
      </c>
      <c r="B119" s="6">
        <f>Interpolation!A119</f>
        <v/>
      </c>
      <c r="C119" s="12">
        <f>Interpolation!E119</f>
        <v/>
      </c>
      <c r="D119" s="13">
        <f>(1-C119*Quotes!$B$2*SUM($D$3:D118))/(1+C119*Quotes!$B$2)</f>
        <v/>
      </c>
      <c r="E119" s="10">
        <f>(1/D119-1)/B119</f>
        <v/>
      </c>
      <c r="F119" s="10">
        <f>(D118/D119-1)/Quotes!$B$2</f>
        <v/>
      </c>
    </row>
    <row r="120">
      <c r="A120" s="17">
        <f>EDATE(Quotes!$E$2,3*118)</f>
        <v/>
      </c>
      <c r="B120" s="6">
        <f>Interpolation!A120</f>
        <v/>
      </c>
      <c r="C120" s="12">
        <f>Interpolation!E120</f>
        <v/>
      </c>
      <c r="D120" s="13">
        <f>(1-C120*Quotes!$B$2*SUM($D$3:D119))/(1+C120*Quotes!$B$2)</f>
        <v/>
      </c>
      <c r="E120" s="10">
        <f>(1/D120-1)/B120</f>
        <v/>
      </c>
      <c r="F120" s="10">
        <f>(D119/D120-1)/Quotes!$B$2</f>
        <v/>
      </c>
    </row>
    <row r="121">
      <c r="A121" s="17">
        <f>EDATE(Quotes!$E$2,3*119)</f>
        <v/>
      </c>
      <c r="B121" s="6">
        <f>Interpolation!A121</f>
        <v/>
      </c>
      <c r="C121" s="12">
        <f>Interpolation!E121</f>
        <v/>
      </c>
      <c r="D121" s="13">
        <f>(1-C121*Quotes!$B$2*SUM($D$3:D120))/(1+C121*Quotes!$B$2)</f>
        <v/>
      </c>
      <c r="E121" s="10">
        <f>(1/D121-1)/B121</f>
        <v/>
      </c>
      <c r="F121" s="10">
        <f>(D120/D121-1)/Quotes!$B$2</f>
        <v/>
      </c>
    </row>
    <row r="122">
      <c r="A122" s="17">
        <f>EDATE(Quotes!$E$2,3*120)</f>
        <v/>
      </c>
      <c r="B122" s="6">
        <f>Interpolation!A122</f>
        <v/>
      </c>
      <c r="C122" s="12">
        <f>Interpolation!E122</f>
        <v/>
      </c>
      <c r="D122" s="13">
        <f>(1-C122*Quotes!$B$2*SUM($D$3:D121))/(1+C122*Quotes!$B$2)</f>
        <v/>
      </c>
      <c r="E122" s="10">
        <f>(1/D122-1)/B122</f>
        <v/>
      </c>
      <c r="F122" s="10">
        <f>(D121/D122-1)/Quotes!$B$2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58" t="inlineStr">
        <is>
          <t>Moving KRD into your master (KRW-IRS_FINAL)</t>
        </is>
      </c>
    </row>
    <row r="2">
      <c r="A2" s="46" t="inlineStr"/>
    </row>
    <row r="3">
      <c r="A3" s="59" t="inlineStr">
        <is>
          <t>KRD uses only plain sheet references - Quotes! and Amort-Set-up! - no named ranges.</t>
        </is>
      </c>
    </row>
    <row r="4">
      <c r="A4" s="46" t="inlineStr"/>
    </row>
    <row r="5">
      <c r="A5" s="61" t="inlineStr">
        <is>
          <t>1. Right-click the KRD tab in this file &gt; Move or Copy &gt; To book: KRW-IRS_FINAL.</t>
        </is>
      </c>
    </row>
    <row r="6">
      <c r="A6" s="61" t="inlineStr">
        <is>
          <t>2. On the moved sheet: Ctrl+H, Look in Formulas.</t>
        </is>
      </c>
    </row>
    <row r="7">
      <c r="A7" s="47" t="inlineStr">
        <is>
          <t xml:space="preserve">      Find:    [KRW_IRS_Bootstrap_Book1.xlsx]</t>
        </is>
      </c>
    </row>
    <row r="8">
      <c r="A8" s="47" t="inlineStr">
        <is>
          <t xml:space="preserve">      Replace: (leave empty)  -&gt;  Replace All</t>
        </is>
      </c>
    </row>
    <row r="9">
      <c r="A9" s="61" t="inlineStr">
        <is>
          <t>3. Delete your empty KRD tab, rename the moved one to KRD.</t>
        </is>
      </c>
    </row>
    <row r="10">
      <c r="A10" s="46" t="inlineStr"/>
    </row>
    <row r="11">
      <c r="A11" s="46" t="inlineStr">
        <is>
          <t>That is it - Quotes and Amort-Set-up already exist in your master, so the references bind.</t>
        </is>
      </c>
    </row>
    <row r="12">
      <c r="A12" s="46" t="inlineStr">
        <is>
          <t>Base scenario NPV = 0 confirms it lined up. Buckets are on row 69; DV01 is their sum.</t>
        </is>
      </c>
    </row>
    <row r="13">
      <c r="A13" s="46" t="inlineStr"/>
    </row>
    <row r="14">
      <c r="A14" s="62" t="inlineStr">
        <is>
          <t>Note: this KRD uses flat tau=0.25, matching your Amort-Set-up now. If you switch the swap</t>
        </is>
      </c>
    </row>
    <row r="15">
      <c r="A15" s="62" t="inlineStr">
        <is>
          <t>to exact A/365 later, the KRD tau (E4) should follow, or base NPV drifts off 0.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13" customWidth="1" min="4" max="4"/>
    <col width="18" customWidth="1" min="5" max="5"/>
    <col width="11" customWidth="1" min="6" max="6"/>
    <col width="16" customWidth="1" min="7" max="7"/>
    <col width="16" customWidth="1" min="8" max="8"/>
    <col width="2" customWidth="1" min="9" max="9"/>
    <col width="16" customWidth="1" min="10" max="10"/>
    <col width="16" customWidth="1" min="11" max="11"/>
  </cols>
  <sheetData>
    <row r="1">
      <c r="A1" s="1" t="inlineStr">
        <is>
          <t>Amortising IRS — client loan hedge</t>
        </is>
      </c>
    </row>
    <row r="2">
      <c r="A2" s="7" t="inlineStr">
        <is>
          <t>HSBC receives fixed, pays 3m CD float, quarterly, notional per the loan schedule. Fixed rate solved so NPV = 0 at start. Float projected from the curve's forwards.</t>
        </is>
      </c>
    </row>
    <row r="4">
      <c r="A4" s="30" t="inlineStr">
        <is>
          <t>DEAL</t>
        </is>
      </c>
      <c r="B4" s="31" t="n"/>
      <c r="C4" s="31" t="n"/>
      <c r="D4" s="31" t="n"/>
    </row>
    <row r="5">
      <c r="A5" s="2" t="inlineStr">
        <is>
          <t>Start</t>
        </is>
      </c>
      <c r="B5" s="42">
        <f>DATE(2026,7,27)</f>
        <v/>
      </c>
    </row>
    <row r="6">
      <c r="A6" s="2" t="inlineStr">
        <is>
          <t>End</t>
        </is>
      </c>
      <c r="B6" s="42">
        <f>DATE(2036,7,27)</f>
        <v/>
      </c>
    </row>
    <row r="7">
      <c r="A7" s="2" t="inlineStr">
        <is>
          <t>HSBC</t>
        </is>
      </c>
      <c r="B7" s="43" t="inlineStr">
        <is>
          <t>Receive Fixed / Pay Float</t>
        </is>
      </c>
    </row>
    <row r="8">
      <c r="A8" s="2" t="inlineStr">
        <is>
          <t>Freq / Day count</t>
        </is>
      </c>
      <c r="B8" s="43" t="inlineStr">
        <is>
          <t>Quarterly / ACT365 (tau=0.25)</t>
        </is>
      </c>
    </row>
    <row r="9">
      <c r="A9" s="2" t="inlineStr">
        <is>
          <t>tau</t>
        </is>
      </c>
      <c r="B9" s="19">
        <f>Quotes!$B$2</f>
        <v/>
      </c>
    </row>
    <row r="11">
      <c r="A11" s="2" t="inlineStr">
        <is>
          <t>Solved par fixed rate</t>
        </is>
      </c>
      <c r="B11" s="28">
        <f>SUMPRODUCT($E$20:$E$59,$F$20:$F$59,$D$20:$D$59)/SUMPRODUCT($E$20:$E$59,$D$20:$D$59)</f>
        <v/>
      </c>
      <c r="C11" s="7" t="inlineStr">
        <is>
          <t>notional-weighted par - the fair fixed rate (Kevins ???%)</t>
        </is>
      </c>
    </row>
    <row r="12">
      <c r="A12" s="2" t="inlineStr">
        <is>
          <t>Trade fixed rate</t>
        </is>
      </c>
      <c r="B12" s="18">
        <f>B11</f>
        <v/>
      </c>
      <c r="C12" s="7" t="inlineStr">
        <is>
          <t>freeze this (paste value) before delta, so it stays fixed as the curve bumps</t>
        </is>
      </c>
    </row>
    <row r="14">
      <c r="A14" s="30" t="inlineStr">
        <is>
          <t>RESULTS</t>
        </is>
      </c>
      <c r="B14" s="31" t="n"/>
      <c r="C14" s="31" t="n"/>
      <c r="D14" s="31" t="n"/>
    </row>
    <row r="15">
      <c r="A15" s="2" t="inlineStr">
        <is>
          <t>Fixed leg PV</t>
        </is>
      </c>
      <c r="B15" s="37">
        <f>SUM($J$20:$J$59)</f>
        <v/>
      </c>
    </row>
    <row r="16">
      <c r="A16" s="2" t="inlineStr">
        <is>
          <t>Float leg PV</t>
        </is>
      </c>
      <c r="B16" s="37">
        <f>SUM($K$20:$K$59)</f>
        <v/>
      </c>
    </row>
    <row r="17">
      <c r="A17" s="2" t="inlineStr">
        <is>
          <t>NPV (HSBC, recv fixed)</t>
        </is>
      </c>
      <c r="B17" s="44">
        <f>B15-B16</f>
        <v/>
      </c>
      <c r="C17" s="7" t="inlineStr">
        <is>
          <t>0 at the solved rate; non-zero once the trade rate is frozen and the curve moves</t>
        </is>
      </c>
    </row>
    <row r="19">
      <c r="A19" s="20" t="inlineStr">
        <is>
          <t>Period</t>
        </is>
      </c>
      <c r="B19" s="20" t="inlineStr">
        <is>
          <t>Start</t>
        </is>
      </c>
      <c r="C19" s="20" t="inlineStr">
        <is>
          <t>End</t>
        </is>
      </c>
      <c r="D19" s="20" t="inlineStr">
        <is>
          <t>DF</t>
        </is>
      </c>
      <c r="E19" s="20" t="inlineStr">
        <is>
          <t>Notional</t>
        </is>
      </c>
      <c r="F19" s="20" t="inlineStr">
        <is>
          <t>Forward %</t>
        </is>
      </c>
      <c r="G19" s="20" t="inlineStr">
        <is>
          <t>Fixed CF</t>
        </is>
      </c>
      <c r="H19" s="20" t="inlineStr">
        <is>
          <t>Float CF</t>
        </is>
      </c>
      <c r="I19" s="64" t="inlineStr">
        <is>
          <t>tau (A/365)</t>
        </is>
      </c>
      <c r="J19" s="20" t="inlineStr">
        <is>
          <t>PV fixed</t>
        </is>
      </c>
      <c r="K19" s="20" t="inlineStr">
        <is>
          <t>PV float</t>
        </is>
      </c>
    </row>
    <row r="20">
      <c r="A20" s="4" t="n">
        <v>1</v>
      </c>
      <c r="B20" s="22">
        <f>EDATE($B$5,3*0)</f>
        <v/>
      </c>
      <c r="C20" s="22">
        <f>EDATE($B$5,3*1)</f>
        <v/>
      </c>
      <c r="D20" s="23">
        <f>Bootstrap!D3</f>
        <v/>
      </c>
      <c r="E20" s="32" t="n">
        <v>10000000000</v>
      </c>
      <c r="F20" s="24">
        <f>Bootstrap!F3</f>
        <v/>
      </c>
      <c r="G20" s="41">
        <f>E20*$B$12*$B$9</f>
        <v/>
      </c>
      <c r="H20" s="41">
        <f>E20*F20*$B$9</f>
        <v/>
      </c>
      <c r="I20" s="65">
        <f>(C20-B20)/365</f>
        <v/>
      </c>
      <c r="J20" s="41">
        <f>G20*D20</f>
        <v/>
      </c>
      <c r="K20" s="41">
        <f>H20*D20</f>
        <v/>
      </c>
    </row>
    <row r="21">
      <c r="A21" s="4" t="n">
        <v>2</v>
      </c>
      <c r="B21" s="22">
        <f>EDATE($B$5,3*1)</f>
        <v/>
      </c>
      <c r="C21" s="22">
        <f>EDATE($B$5,3*2)</f>
        <v/>
      </c>
      <c r="D21" s="23">
        <f>Bootstrap!D4</f>
        <v/>
      </c>
      <c r="E21" s="32" t="n">
        <v>10000000000</v>
      </c>
      <c r="F21" s="24">
        <f>Bootstrap!F4</f>
        <v/>
      </c>
      <c r="G21" s="41">
        <f>E21*$B$12*$B$9</f>
        <v/>
      </c>
      <c r="H21" s="41">
        <f>E21*F21*$B$9</f>
        <v/>
      </c>
      <c r="I21" s="65">
        <f>(C21-B21)/365</f>
        <v/>
      </c>
      <c r="J21" s="41">
        <f>G21*D21</f>
        <v/>
      </c>
      <c r="K21" s="41">
        <f>H21*D21</f>
        <v/>
      </c>
    </row>
    <row r="22">
      <c r="A22" s="4" t="n">
        <v>3</v>
      </c>
      <c r="B22" s="22">
        <f>EDATE($B$5,3*2)</f>
        <v/>
      </c>
      <c r="C22" s="22">
        <f>EDATE($B$5,3*3)</f>
        <v/>
      </c>
      <c r="D22" s="23">
        <f>Bootstrap!D5</f>
        <v/>
      </c>
      <c r="E22" s="32" t="n">
        <v>10000000000</v>
      </c>
      <c r="F22" s="24">
        <f>Bootstrap!F5</f>
        <v/>
      </c>
      <c r="G22" s="41">
        <f>E22*$B$12*$B$9</f>
        <v/>
      </c>
      <c r="H22" s="41">
        <f>E22*F22*$B$9</f>
        <v/>
      </c>
      <c r="I22" s="65">
        <f>(C22-B22)/365</f>
        <v/>
      </c>
      <c r="J22" s="41">
        <f>G22*D22</f>
        <v/>
      </c>
      <c r="K22" s="41">
        <f>H22*D22</f>
        <v/>
      </c>
    </row>
    <row r="23">
      <c r="A23" s="4" t="n">
        <v>4</v>
      </c>
      <c r="B23" s="22">
        <f>EDATE($B$5,3*3)</f>
        <v/>
      </c>
      <c r="C23" s="22">
        <f>EDATE($B$5,3*4)</f>
        <v/>
      </c>
      <c r="D23" s="23">
        <f>Bootstrap!D6</f>
        <v/>
      </c>
      <c r="E23" s="32" t="n">
        <v>10000000000</v>
      </c>
      <c r="F23" s="24">
        <f>Bootstrap!F6</f>
        <v/>
      </c>
      <c r="G23" s="41">
        <f>E23*$B$12*$B$9</f>
        <v/>
      </c>
      <c r="H23" s="41">
        <f>E23*F23*$B$9</f>
        <v/>
      </c>
      <c r="I23" s="65">
        <f>(C23-B23)/365</f>
        <v/>
      </c>
      <c r="J23" s="41">
        <f>G23*D23</f>
        <v/>
      </c>
      <c r="K23" s="41">
        <f>H23*D23</f>
        <v/>
      </c>
    </row>
    <row r="24">
      <c r="A24" s="4" t="n">
        <v>5</v>
      </c>
      <c r="B24" s="22">
        <f>EDATE($B$5,3*4)</f>
        <v/>
      </c>
      <c r="C24" s="22">
        <f>EDATE($B$5,3*5)</f>
        <v/>
      </c>
      <c r="D24" s="23">
        <f>Bootstrap!D7</f>
        <v/>
      </c>
      <c r="E24" s="32" t="n">
        <v>30000000000</v>
      </c>
      <c r="F24" s="24">
        <f>Bootstrap!F7</f>
        <v/>
      </c>
      <c r="G24" s="41">
        <f>E24*$B$12*$B$9</f>
        <v/>
      </c>
      <c r="H24" s="41">
        <f>E24*F24*$B$9</f>
        <v/>
      </c>
      <c r="I24" s="65">
        <f>(C24-B24)/365</f>
        <v/>
      </c>
      <c r="J24" s="41">
        <f>G24*D24</f>
        <v/>
      </c>
      <c r="K24" s="41">
        <f>H24*D24</f>
        <v/>
      </c>
    </row>
    <row r="25">
      <c r="A25" s="4" t="n">
        <v>6</v>
      </c>
      <c r="B25" s="22">
        <f>EDATE($B$5,3*5)</f>
        <v/>
      </c>
      <c r="C25" s="22">
        <f>EDATE($B$5,3*6)</f>
        <v/>
      </c>
      <c r="D25" s="23">
        <f>Bootstrap!D8</f>
        <v/>
      </c>
      <c r="E25" s="32" t="n">
        <v>30000000000</v>
      </c>
      <c r="F25" s="24">
        <f>Bootstrap!F8</f>
        <v/>
      </c>
      <c r="G25" s="41">
        <f>E25*$B$12*$B$9</f>
        <v/>
      </c>
      <c r="H25" s="41">
        <f>E25*F25*$B$9</f>
        <v/>
      </c>
      <c r="I25" s="65">
        <f>(C25-B25)/365</f>
        <v/>
      </c>
      <c r="J25" s="41">
        <f>G25*D25</f>
        <v/>
      </c>
      <c r="K25" s="41">
        <f>H25*D25</f>
        <v/>
      </c>
    </row>
    <row r="26">
      <c r="A26" s="4" t="n">
        <v>7</v>
      </c>
      <c r="B26" s="22">
        <f>EDATE($B$5,3*6)</f>
        <v/>
      </c>
      <c r="C26" s="22">
        <f>EDATE($B$5,3*7)</f>
        <v/>
      </c>
      <c r="D26" s="23">
        <f>Bootstrap!D9</f>
        <v/>
      </c>
      <c r="E26" s="32" t="n">
        <v>30000000000</v>
      </c>
      <c r="F26" s="24">
        <f>Bootstrap!F9</f>
        <v/>
      </c>
      <c r="G26" s="41">
        <f>E26*$B$12*$B$9</f>
        <v/>
      </c>
      <c r="H26" s="41">
        <f>E26*F26*$B$9</f>
        <v/>
      </c>
      <c r="I26" s="65">
        <f>(C26-B26)/365</f>
        <v/>
      </c>
      <c r="J26" s="41">
        <f>G26*D26</f>
        <v/>
      </c>
      <c r="K26" s="41">
        <f>H26*D26</f>
        <v/>
      </c>
    </row>
    <row r="27">
      <c r="A27" s="4" t="n">
        <v>8</v>
      </c>
      <c r="B27" s="22">
        <f>EDATE($B$5,3*7)</f>
        <v/>
      </c>
      <c r="C27" s="22">
        <f>EDATE($B$5,3*8)</f>
        <v/>
      </c>
      <c r="D27" s="23">
        <f>Bootstrap!D10</f>
        <v/>
      </c>
      <c r="E27" s="32" t="n">
        <v>30000000000</v>
      </c>
      <c r="F27" s="24">
        <f>Bootstrap!F10</f>
        <v/>
      </c>
      <c r="G27" s="41">
        <f>E27*$B$12*$B$9</f>
        <v/>
      </c>
      <c r="H27" s="41">
        <f>E27*F27*$B$9</f>
        <v/>
      </c>
      <c r="I27" s="65">
        <f>(C27-B27)/365</f>
        <v/>
      </c>
      <c r="J27" s="41">
        <f>G27*D27</f>
        <v/>
      </c>
      <c r="K27" s="41">
        <f>H27*D27</f>
        <v/>
      </c>
    </row>
    <row r="28">
      <c r="A28" s="4" t="n">
        <v>9</v>
      </c>
      <c r="B28" s="22">
        <f>EDATE($B$5,3*8)</f>
        <v/>
      </c>
      <c r="C28" s="22">
        <f>EDATE($B$5,3*9)</f>
        <v/>
      </c>
      <c r="D28" s="23">
        <f>Bootstrap!D11</f>
        <v/>
      </c>
      <c r="E28" s="32" t="n">
        <v>60000000000</v>
      </c>
      <c r="F28" s="24">
        <f>Bootstrap!F11</f>
        <v/>
      </c>
      <c r="G28" s="41">
        <f>E28*$B$12*$B$9</f>
        <v/>
      </c>
      <c r="H28" s="41">
        <f>E28*F28*$B$9</f>
        <v/>
      </c>
      <c r="I28" s="65">
        <f>(C28-B28)/365</f>
        <v/>
      </c>
      <c r="J28" s="41">
        <f>G28*D28</f>
        <v/>
      </c>
      <c r="K28" s="41">
        <f>H28*D28</f>
        <v/>
      </c>
    </row>
    <row r="29">
      <c r="A29" s="4" t="n">
        <v>10</v>
      </c>
      <c r="B29" s="22">
        <f>EDATE($B$5,3*9)</f>
        <v/>
      </c>
      <c r="C29" s="22">
        <f>EDATE($B$5,3*10)</f>
        <v/>
      </c>
      <c r="D29" s="23">
        <f>Bootstrap!D12</f>
        <v/>
      </c>
      <c r="E29" s="32" t="n">
        <v>60000000000</v>
      </c>
      <c r="F29" s="24">
        <f>Bootstrap!F12</f>
        <v/>
      </c>
      <c r="G29" s="41">
        <f>E29*$B$12*$B$9</f>
        <v/>
      </c>
      <c r="H29" s="41">
        <f>E29*F29*$B$9</f>
        <v/>
      </c>
      <c r="I29" s="65">
        <f>(C29-B29)/365</f>
        <v/>
      </c>
      <c r="J29" s="41">
        <f>G29*D29</f>
        <v/>
      </c>
      <c r="K29" s="41">
        <f>H29*D29</f>
        <v/>
      </c>
    </row>
    <row r="30">
      <c r="A30" s="4" t="n">
        <v>11</v>
      </c>
      <c r="B30" s="22">
        <f>EDATE($B$5,3*10)</f>
        <v/>
      </c>
      <c r="C30" s="22">
        <f>EDATE($B$5,3*11)</f>
        <v/>
      </c>
      <c r="D30" s="23">
        <f>Bootstrap!D13</f>
        <v/>
      </c>
      <c r="E30" s="32" t="n">
        <v>60000000000</v>
      </c>
      <c r="F30" s="24">
        <f>Bootstrap!F13</f>
        <v/>
      </c>
      <c r="G30" s="41">
        <f>E30*$B$12*$B$9</f>
        <v/>
      </c>
      <c r="H30" s="41">
        <f>E30*F30*$B$9</f>
        <v/>
      </c>
      <c r="I30" s="65">
        <f>(C30-B30)/365</f>
        <v/>
      </c>
      <c r="J30" s="41">
        <f>G30*D30</f>
        <v/>
      </c>
      <c r="K30" s="41">
        <f>H30*D30</f>
        <v/>
      </c>
    </row>
    <row r="31">
      <c r="A31" s="4" t="n">
        <v>12</v>
      </c>
      <c r="B31" s="22">
        <f>EDATE($B$5,3*11)</f>
        <v/>
      </c>
      <c r="C31" s="22">
        <f>EDATE($B$5,3*12)</f>
        <v/>
      </c>
      <c r="D31" s="23">
        <f>Bootstrap!D14</f>
        <v/>
      </c>
      <c r="E31" s="32" t="n">
        <v>60000000000</v>
      </c>
      <c r="F31" s="24">
        <f>Bootstrap!F14</f>
        <v/>
      </c>
      <c r="G31" s="41">
        <f>E31*$B$12*$B$9</f>
        <v/>
      </c>
      <c r="H31" s="41">
        <f>E31*F31*$B$9</f>
        <v/>
      </c>
      <c r="I31" s="65">
        <f>(C31-B31)/365</f>
        <v/>
      </c>
      <c r="J31" s="41">
        <f>G31*D31</f>
        <v/>
      </c>
      <c r="K31" s="41">
        <f>H31*D31</f>
        <v/>
      </c>
    </row>
    <row r="32">
      <c r="A32" s="4" t="n">
        <v>13</v>
      </c>
      <c r="B32" s="22">
        <f>EDATE($B$5,3*12)</f>
        <v/>
      </c>
      <c r="C32" s="22">
        <f>EDATE($B$5,3*13)</f>
        <v/>
      </c>
      <c r="D32" s="23">
        <f>Bootstrap!D15</f>
        <v/>
      </c>
      <c r="E32" s="32" t="n">
        <v>100000000000</v>
      </c>
      <c r="F32" s="24">
        <f>Bootstrap!F15</f>
        <v/>
      </c>
      <c r="G32" s="41">
        <f>E32*$B$12*$B$9</f>
        <v/>
      </c>
      <c r="H32" s="41">
        <f>E32*F32*$B$9</f>
        <v/>
      </c>
      <c r="I32" s="65">
        <f>(C32-B32)/365</f>
        <v/>
      </c>
      <c r="J32" s="41">
        <f>G32*D32</f>
        <v/>
      </c>
      <c r="K32" s="41">
        <f>H32*D32</f>
        <v/>
      </c>
    </row>
    <row r="33">
      <c r="A33" s="4" t="n">
        <v>14</v>
      </c>
      <c r="B33" s="22">
        <f>EDATE($B$5,3*13)</f>
        <v/>
      </c>
      <c r="C33" s="22">
        <f>EDATE($B$5,3*14)</f>
        <v/>
      </c>
      <c r="D33" s="23">
        <f>Bootstrap!D16</f>
        <v/>
      </c>
      <c r="E33" s="32" t="n">
        <v>100000000000</v>
      </c>
      <c r="F33" s="24">
        <f>Bootstrap!F16</f>
        <v/>
      </c>
      <c r="G33" s="41">
        <f>E33*$B$12*$B$9</f>
        <v/>
      </c>
      <c r="H33" s="41">
        <f>E33*F33*$B$9</f>
        <v/>
      </c>
      <c r="I33" s="65">
        <f>(C33-B33)/365</f>
        <v/>
      </c>
      <c r="J33" s="41">
        <f>G33*D33</f>
        <v/>
      </c>
      <c r="K33" s="41">
        <f>H33*D33</f>
        <v/>
      </c>
    </row>
    <row r="34">
      <c r="A34" s="4" t="n">
        <v>15</v>
      </c>
      <c r="B34" s="22">
        <f>EDATE($B$5,3*14)</f>
        <v/>
      </c>
      <c r="C34" s="22">
        <f>EDATE($B$5,3*15)</f>
        <v/>
      </c>
      <c r="D34" s="23">
        <f>Bootstrap!D17</f>
        <v/>
      </c>
      <c r="E34" s="32" t="n">
        <v>100000000000</v>
      </c>
      <c r="F34" s="24">
        <f>Bootstrap!F17</f>
        <v/>
      </c>
      <c r="G34" s="41">
        <f>E34*$B$12*$B$9</f>
        <v/>
      </c>
      <c r="H34" s="41">
        <f>E34*F34*$B$9</f>
        <v/>
      </c>
      <c r="I34" s="65">
        <f>(C34-B34)/365</f>
        <v/>
      </c>
      <c r="J34" s="41">
        <f>G34*D34</f>
        <v/>
      </c>
      <c r="K34" s="41">
        <f>H34*D34</f>
        <v/>
      </c>
    </row>
    <row r="35">
      <c r="A35" s="4" t="n">
        <v>16</v>
      </c>
      <c r="B35" s="22">
        <f>EDATE($B$5,3*15)</f>
        <v/>
      </c>
      <c r="C35" s="22">
        <f>EDATE($B$5,3*16)</f>
        <v/>
      </c>
      <c r="D35" s="23">
        <f>Bootstrap!D18</f>
        <v/>
      </c>
      <c r="E35" s="32" t="n">
        <v>100000000000</v>
      </c>
      <c r="F35" s="24">
        <f>Bootstrap!F18</f>
        <v/>
      </c>
      <c r="G35" s="41">
        <f>E35*$B$12*$B$9</f>
        <v/>
      </c>
      <c r="H35" s="41">
        <f>E35*F35*$B$9</f>
        <v/>
      </c>
      <c r="I35" s="65">
        <f>(C35-B35)/365</f>
        <v/>
      </c>
      <c r="J35" s="41">
        <f>G35*D35</f>
        <v/>
      </c>
      <c r="K35" s="41">
        <f>H35*D35</f>
        <v/>
      </c>
    </row>
    <row r="36">
      <c r="A36" s="4" t="n">
        <v>17</v>
      </c>
      <c r="B36" s="22">
        <f>EDATE($B$5,3*16)</f>
        <v/>
      </c>
      <c r="C36" s="22">
        <f>EDATE($B$5,3*17)</f>
        <v/>
      </c>
      <c r="D36" s="23">
        <f>Bootstrap!D19</f>
        <v/>
      </c>
      <c r="E36" s="32" t="n">
        <v>80000000000</v>
      </c>
      <c r="F36" s="24">
        <f>Bootstrap!F19</f>
        <v/>
      </c>
      <c r="G36" s="41">
        <f>E36*$B$12*$B$9</f>
        <v/>
      </c>
      <c r="H36" s="41">
        <f>E36*F36*$B$9</f>
        <v/>
      </c>
      <c r="I36" s="65">
        <f>(C36-B36)/365</f>
        <v/>
      </c>
      <c r="J36" s="41">
        <f>G36*D36</f>
        <v/>
      </c>
      <c r="K36" s="41">
        <f>H36*D36</f>
        <v/>
      </c>
    </row>
    <row r="37">
      <c r="A37" s="4" t="n">
        <v>18</v>
      </c>
      <c r="B37" s="22">
        <f>EDATE($B$5,3*17)</f>
        <v/>
      </c>
      <c r="C37" s="22">
        <f>EDATE($B$5,3*18)</f>
        <v/>
      </c>
      <c r="D37" s="23">
        <f>Bootstrap!D20</f>
        <v/>
      </c>
      <c r="E37" s="32" t="n">
        <v>80000000000</v>
      </c>
      <c r="F37" s="24">
        <f>Bootstrap!F20</f>
        <v/>
      </c>
      <c r="G37" s="41">
        <f>E37*$B$12*$B$9</f>
        <v/>
      </c>
      <c r="H37" s="41">
        <f>E37*F37*$B$9</f>
        <v/>
      </c>
      <c r="I37" s="65">
        <f>(C37-B37)/365</f>
        <v/>
      </c>
      <c r="J37" s="41">
        <f>G37*D37</f>
        <v/>
      </c>
      <c r="K37" s="41">
        <f>H37*D37</f>
        <v/>
      </c>
    </row>
    <row r="38">
      <c r="A38" s="4" t="n">
        <v>19</v>
      </c>
      <c r="B38" s="22">
        <f>EDATE($B$5,3*18)</f>
        <v/>
      </c>
      <c r="C38" s="22">
        <f>EDATE($B$5,3*19)</f>
        <v/>
      </c>
      <c r="D38" s="23">
        <f>Bootstrap!D21</f>
        <v/>
      </c>
      <c r="E38" s="32" t="n">
        <v>80000000000</v>
      </c>
      <c r="F38" s="24">
        <f>Bootstrap!F21</f>
        <v/>
      </c>
      <c r="G38" s="41">
        <f>E38*$B$12*$B$9</f>
        <v/>
      </c>
      <c r="H38" s="41">
        <f>E38*F38*$B$9</f>
        <v/>
      </c>
      <c r="I38" s="65">
        <f>(C38-B38)/365</f>
        <v/>
      </c>
      <c r="J38" s="41">
        <f>G38*D38</f>
        <v/>
      </c>
      <c r="K38" s="41">
        <f>H38*D38</f>
        <v/>
      </c>
    </row>
    <row r="39">
      <c r="A39" s="4" t="n">
        <v>20</v>
      </c>
      <c r="B39" s="22">
        <f>EDATE($B$5,3*19)</f>
        <v/>
      </c>
      <c r="C39" s="22">
        <f>EDATE($B$5,3*20)</f>
        <v/>
      </c>
      <c r="D39" s="23">
        <f>Bootstrap!D22</f>
        <v/>
      </c>
      <c r="E39" s="32" t="n">
        <v>80000000000</v>
      </c>
      <c r="F39" s="24">
        <f>Bootstrap!F22</f>
        <v/>
      </c>
      <c r="G39" s="41">
        <f>E39*$B$12*$B$9</f>
        <v/>
      </c>
      <c r="H39" s="41">
        <f>E39*F39*$B$9</f>
        <v/>
      </c>
      <c r="I39" s="65">
        <f>(C39-B39)/365</f>
        <v/>
      </c>
      <c r="J39" s="41">
        <f>G39*D39</f>
        <v/>
      </c>
      <c r="K39" s="41">
        <f>H39*D39</f>
        <v/>
      </c>
    </row>
    <row r="40">
      <c r="A40" s="4" t="n">
        <v>21</v>
      </c>
      <c r="B40" s="22">
        <f>EDATE($B$5,3*20)</f>
        <v/>
      </c>
      <c r="C40" s="22">
        <f>EDATE($B$5,3*21)</f>
        <v/>
      </c>
      <c r="D40" s="23">
        <f>Bootstrap!D23</f>
        <v/>
      </c>
      <c r="E40" s="32" t="n">
        <v>60000000000</v>
      </c>
      <c r="F40" s="24">
        <f>Bootstrap!F23</f>
        <v/>
      </c>
      <c r="G40" s="41">
        <f>E40*$B$12*$B$9</f>
        <v/>
      </c>
      <c r="H40" s="41">
        <f>E40*F40*$B$9</f>
        <v/>
      </c>
      <c r="I40" s="65">
        <f>(C40-B40)/365</f>
        <v/>
      </c>
      <c r="J40" s="41">
        <f>G40*D40</f>
        <v/>
      </c>
      <c r="K40" s="41">
        <f>H40*D40</f>
        <v/>
      </c>
    </row>
    <row r="41">
      <c r="A41" s="4" t="n">
        <v>22</v>
      </c>
      <c r="B41" s="22">
        <f>EDATE($B$5,3*21)</f>
        <v/>
      </c>
      <c r="C41" s="22">
        <f>EDATE($B$5,3*22)</f>
        <v/>
      </c>
      <c r="D41" s="23">
        <f>Bootstrap!D24</f>
        <v/>
      </c>
      <c r="E41" s="32" t="n">
        <v>60000000000</v>
      </c>
      <c r="F41" s="24">
        <f>Bootstrap!F24</f>
        <v/>
      </c>
      <c r="G41" s="41">
        <f>E41*$B$12*$B$9</f>
        <v/>
      </c>
      <c r="H41" s="41">
        <f>E41*F41*$B$9</f>
        <v/>
      </c>
      <c r="I41" s="65">
        <f>(C41-B41)/365</f>
        <v/>
      </c>
      <c r="J41" s="41">
        <f>G41*D41</f>
        <v/>
      </c>
      <c r="K41" s="41">
        <f>H41*D41</f>
        <v/>
      </c>
    </row>
    <row r="42">
      <c r="A42" s="4" t="n">
        <v>23</v>
      </c>
      <c r="B42" s="22">
        <f>EDATE($B$5,3*22)</f>
        <v/>
      </c>
      <c r="C42" s="22">
        <f>EDATE($B$5,3*23)</f>
        <v/>
      </c>
      <c r="D42" s="23">
        <f>Bootstrap!D25</f>
        <v/>
      </c>
      <c r="E42" s="32" t="n">
        <v>60000000000</v>
      </c>
      <c r="F42" s="24">
        <f>Bootstrap!F25</f>
        <v/>
      </c>
      <c r="G42" s="41">
        <f>E42*$B$12*$B$9</f>
        <v/>
      </c>
      <c r="H42" s="41">
        <f>E42*F42*$B$9</f>
        <v/>
      </c>
      <c r="I42" s="65">
        <f>(C42-B42)/365</f>
        <v/>
      </c>
      <c r="J42" s="41">
        <f>G42*D42</f>
        <v/>
      </c>
      <c r="K42" s="41">
        <f>H42*D42</f>
        <v/>
      </c>
    </row>
    <row r="43">
      <c r="A43" s="4" t="n">
        <v>24</v>
      </c>
      <c r="B43" s="22">
        <f>EDATE($B$5,3*23)</f>
        <v/>
      </c>
      <c r="C43" s="22">
        <f>EDATE($B$5,3*24)</f>
        <v/>
      </c>
      <c r="D43" s="23">
        <f>Bootstrap!D26</f>
        <v/>
      </c>
      <c r="E43" s="32" t="n">
        <v>60000000000</v>
      </c>
      <c r="F43" s="24">
        <f>Bootstrap!F26</f>
        <v/>
      </c>
      <c r="G43" s="41">
        <f>E43*$B$12*$B$9</f>
        <v/>
      </c>
      <c r="H43" s="41">
        <f>E43*F43*$B$9</f>
        <v/>
      </c>
      <c r="I43" s="65">
        <f>(C43-B43)/365</f>
        <v/>
      </c>
      <c r="J43" s="41">
        <f>G43*D43</f>
        <v/>
      </c>
      <c r="K43" s="41">
        <f>H43*D43</f>
        <v/>
      </c>
    </row>
    <row r="44">
      <c r="A44" s="4" t="n">
        <v>25</v>
      </c>
      <c r="B44" s="22">
        <f>EDATE($B$5,3*24)</f>
        <v/>
      </c>
      <c r="C44" s="22">
        <f>EDATE($B$5,3*25)</f>
        <v/>
      </c>
      <c r="D44" s="23">
        <f>Bootstrap!D27</f>
        <v/>
      </c>
      <c r="E44" s="32" t="n">
        <v>50000000000</v>
      </c>
      <c r="F44" s="24">
        <f>Bootstrap!F27</f>
        <v/>
      </c>
      <c r="G44" s="41">
        <f>E44*$B$12*$B$9</f>
        <v/>
      </c>
      <c r="H44" s="41">
        <f>E44*F44*$B$9</f>
        <v/>
      </c>
      <c r="I44" s="65">
        <f>(C44-B44)/365</f>
        <v/>
      </c>
      <c r="J44" s="41">
        <f>G44*D44</f>
        <v/>
      </c>
      <c r="K44" s="41">
        <f>H44*D44</f>
        <v/>
      </c>
    </row>
    <row r="45">
      <c r="A45" s="4" t="n">
        <v>26</v>
      </c>
      <c r="B45" s="22">
        <f>EDATE($B$5,3*25)</f>
        <v/>
      </c>
      <c r="C45" s="22">
        <f>EDATE($B$5,3*26)</f>
        <v/>
      </c>
      <c r="D45" s="23">
        <f>Bootstrap!D28</f>
        <v/>
      </c>
      <c r="E45" s="32" t="n">
        <v>50000000000</v>
      </c>
      <c r="F45" s="24">
        <f>Bootstrap!F28</f>
        <v/>
      </c>
      <c r="G45" s="41">
        <f>E45*$B$12*$B$9</f>
        <v/>
      </c>
      <c r="H45" s="41">
        <f>E45*F45*$B$9</f>
        <v/>
      </c>
      <c r="I45" s="65">
        <f>(C45-B45)/365</f>
        <v/>
      </c>
      <c r="J45" s="41">
        <f>G45*D45</f>
        <v/>
      </c>
      <c r="K45" s="41">
        <f>H45*D45</f>
        <v/>
      </c>
    </row>
    <row r="46">
      <c r="A46" s="4" t="n">
        <v>27</v>
      </c>
      <c r="B46" s="22">
        <f>EDATE($B$5,3*26)</f>
        <v/>
      </c>
      <c r="C46" s="22">
        <f>EDATE($B$5,3*27)</f>
        <v/>
      </c>
      <c r="D46" s="23">
        <f>Bootstrap!D29</f>
        <v/>
      </c>
      <c r="E46" s="32" t="n">
        <v>50000000000</v>
      </c>
      <c r="F46" s="24">
        <f>Bootstrap!F29</f>
        <v/>
      </c>
      <c r="G46" s="41">
        <f>E46*$B$12*$B$9</f>
        <v/>
      </c>
      <c r="H46" s="41">
        <f>E46*F46*$B$9</f>
        <v/>
      </c>
      <c r="I46" s="65">
        <f>(C46-B46)/365</f>
        <v/>
      </c>
      <c r="J46" s="41">
        <f>G46*D46</f>
        <v/>
      </c>
      <c r="K46" s="41">
        <f>H46*D46</f>
        <v/>
      </c>
    </row>
    <row r="47">
      <c r="A47" s="4" t="n">
        <v>28</v>
      </c>
      <c r="B47" s="22">
        <f>EDATE($B$5,3*27)</f>
        <v/>
      </c>
      <c r="C47" s="22">
        <f>EDATE($B$5,3*28)</f>
        <v/>
      </c>
      <c r="D47" s="23">
        <f>Bootstrap!D30</f>
        <v/>
      </c>
      <c r="E47" s="32" t="n">
        <v>50000000000</v>
      </c>
      <c r="F47" s="24">
        <f>Bootstrap!F30</f>
        <v/>
      </c>
      <c r="G47" s="41">
        <f>E47*$B$12*$B$9</f>
        <v/>
      </c>
      <c r="H47" s="41">
        <f>E47*F47*$B$9</f>
        <v/>
      </c>
      <c r="I47" s="65">
        <f>(C47-B47)/365</f>
        <v/>
      </c>
      <c r="J47" s="41">
        <f>G47*D47</f>
        <v/>
      </c>
      <c r="K47" s="41">
        <f>H47*D47</f>
        <v/>
      </c>
    </row>
    <row r="48">
      <c r="A48" s="4" t="n">
        <v>29</v>
      </c>
      <c r="B48" s="22">
        <f>EDATE($B$5,3*28)</f>
        <v/>
      </c>
      <c r="C48" s="22">
        <f>EDATE($B$5,3*29)</f>
        <v/>
      </c>
      <c r="D48" s="23">
        <f>Bootstrap!D31</f>
        <v/>
      </c>
      <c r="E48" s="32" t="n">
        <v>50000000000</v>
      </c>
      <c r="F48" s="24">
        <f>Bootstrap!F31</f>
        <v/>
      </c>
      <c r="G48" s="41">
        <f>E48*$B$12*$B$9</f>
        <v/>
      </c>
      <c r="H48" s="41">
        <f>E48*F48*$B$9</f>
        <v/>
      </c>
      <c r="I48" s="65">
        <f>(C48-B48)/365</f>
        <v/>
      </c>
      <c r="J48" s="41">
        <f>G48*D48</f>
        <v/>
      </c>
      <c r="K48" s="41">
        <f>H48*D48</f>
        <v/>
      </c>
    </row>
    <row r="49">
      <c r="A49" s="4" t="n">
        <v>30</v>
      </c>
      <c r="B49" s="22">
        <f>EDATE($B$5,3*29)</f>
        <v/>
      </c>
      <c r="C49" s="22">
        <f>EDATE($B$5,3*30)</f>
        <v/>
      </c>
      <c r="D49" s="23">
        <f>Bootstrap!D32</f>
        <v/>
      </c>
      <c r="E49" s="32" t="n">
        <v>50000000000</v>
      </c>
      <c r="F49" s="24">
        <f>Bootstrap!F32</f>
        <v/>
      </c>
      <c r="G49" s="41">
        <f>E49*$B$12*$B$9</f>
        <v/>
      </c>
      <c r="H49" s="41">
        <f>E49*F49*$B$9</f>
        <v/>
      </c>
      <c r="I49" s="65">
        <f>(C49-B49)/365</f>
        <v/>
      </c>
      <c r="J49" s="41">
        <f>G49*D49</f>
        <v/>
      </c>
      <c r="K49" s="41">
        <f>H49*D49</f>
        <v/>
      </c>
    </row>
    <row r="50">
      <c r="A50" s="4" t="n">
        <v>31</v>
      </c>
      <c r="B50" s="22">
        <f>EDATE($B$5,3*30)</f>
        <v/>
      </c>
      <c r="C50" s="22">
        <f>EDATE($B$5,3*31)</f>
        <v/>
      </c>
      <c r="D50" s="23">
        <f>Bootstrap!D33</f>
        <v/>
      </c>
      <c r="E50" s="32" t="n">
        <v>50000000000</v>
      </c>
      <c r="F50" s="24">
        <f>Bootstrap!F33</f>
        <v/>
      </c>
      <c r="G50" s="41">
        <f>E50*$B$12*$B$9</f>
        <v/>
      </c>
      <c r="H50" s="41">
        <f>E50*F50*$B$9</f>
        <v/>
      </c>
      <c r="I50" s="65">
        <f>(C50-B50)/365</f>
        <v/>
      </c>
      <c r="J50" s="41">
        <f>G50*D50</f>
        <v/>
      </c>
      <c r="K50" s="41">
        <f>H50*D50</f>
        <v/>
      </c>
    </row>
    <row r="51">
      <c r="A51" s="4" t="n">
        <v>32</v>
      </c>
      <c r="B51" s="22">
        <f>EDATE($B$5,3*31)</f>
        <v/>
      </c>
      <c r="C51" s="22">
        <f>EDATE($B$5,3*32)</f>
        <v/>
      </c>
      <c r="D51" s="23">
        <f>Bootstrap!D34</f>
        <v/>
      </c>
      <c r="E51" s="32" t="n">
        <v>50000000000</v>
      </c>
      <c r="F51" s="24">
        <f>Bootstrap!F34</f>
        <v/>
      </c>
      <c r="G51" s="41">
        <f>E51*$B$12*$B$9</f>
        <v/>
      </c>
      <c r="H51" s="41">
        <f>E51*F51*$B$9</f>
        <v/>
      </c>
      <c r="I51" s="65">
        <f>(C51-B51)/365</f>
        <v/>
      </c>
      <c r="J51" s="41">
        <f>G51*D51</f>
        <v/>
      </c>
      <c r="K51" s="41">
        <f>H51*D51</f>
        <v/>
      </c>
    </row>
    <row r="52">
      <c r="A52" s="4" t="n">
        <v>33</v>
      </c>
      <c r="B52" s="22">
        <f>EDATE($B$5,3*32)</f>
        <v/>
      </c>
      <c r="C52" s="22">
        <f>EDATE($B$5,3*33)</f>
        <v/>
      </c>
      <c r="D52" s="23">
        <f>Bootstrap!D35</f>
        <v/>
      </c>
      <c r="E52" s="32" t="n">
        <v>40000000000</v>
      </c>
      <c r="F52" s="24">
        <f>Bootstrap!F35</f>
        <v/>
      </c>
      <c r="G52" s="41">
        <f>E52*$B$12*$B$9</f>
        <v/>
      </c>
      <c r="H52" s="41">
        <f>E52*F52*$B$9</f>
        <v/>
      </c>
      <c r="I52" s="65">
        <f>(C52-B52)/365</f>
        <v/>
      </c>
      <c r="J52" s="41">
        <f>G52*D52</f>
        <v/>
      </c>
      <c r="K52" s="41">
        <f>H52*D52</f>
        <v/>
      </c>
    </row>
    <row r="53">
      <c r="A53" s="4" t="n">
        <v>34</v>
      </c>
      <c r="B53" s="22">
        <f>EDATE($B$5,3*33)</f>
        <v/>
      </c>
      <c r="C53" s="22">
        <f>EDATE($B$5,3*34)</f>
        <v/>
      </c>
      <c r="D53" s="23">
        <f>Bootstrap!D36</f>
        <v/>
      </c>
      <c r="E53" s="32" t="n">
        <v>40000000000</v>
      </c>
      <c r="F53" s="24">
        <f>Bootstrap!F36</f>
        <v/>
      </c>
      <c r="G53" s="41">
        <f>E53*$B$12*$B$9</f>
        <v/>
      </c>
      <c r="H53" s="41">
        <f>E53*F53*$B$9</f>
        <v/>
      </c>
      <c r="I53" s="65">
        <f>(C53-B53)/365</f>
        <v/>
      </c>
      <c r="J53" s="41">
        <f>G53*D53</f>
        <v/>
      </c>
      <c r="K53" s="41">
        <f>H53*D53</f>
        <v/>
      </c>
    </row>
    <row r="54">
      <c r="A54" s="4" t="n">
        <v>35</v>
      </c>
      <c r="B54" s="22">
        <f>EDATE($B$5,3*34)</f>
        <v/>
      </c>
      <c r="C54" s="22">
        <f>EDATE($B$5,3*35)</f>
        <v/>
      </c>
      <c r="D54" s="23">
        <f>Bootstrap!D37</f>
        <v/>
      </c>
      <c r="E54" s="32" t="n">
        <v>40000000000</v>
      </c>
      <c r="F54" s="24">
        <f>Bootstrap!F37</f>
        <v/>
      </c>
      <c r="G54" s="41">
        <f>E54*$B$12*$B$9</f>
        <v/>
      </c>
      <c r="H54" s="41">
        <f>E54*F54*$B$9</f>
        <v/>
      </c>
      <c r="I54" s="65">
        <f>(C54-B54)/365</f>
        <v/>
      </c>
      <c r="J54" s="41">
        <f>G54*D54</f>
        <v/>
      </c>
      <c r="K54" s="41">
        <f>H54*D54</f>
        <v/>
      </c>
    </row>
    <row r="55">
      <c r="A55" s="4" t="n">
        <v>36</v>
      </c>
      <c r="B55" s="22">
        <f>EDATE($B$5,3*35)</f>
        <v/>
      </c>
      <c r="C55" s="22">
        <f>EDATE($B$5,3*36)</f>
        <v/>
      </c>
      <c r="D55" s="23">
        <f>Bootstrap!D38</f>
        <v/>
      </c>
      <c r="E55" s="32" t="n">
        <v>40000000000</v>
      </c>
      <c r="F55" s="24">
        <f>Bootstrap!F38</f>
        <v/>
      </c>
      <c r="G55" s="41">
        <f>E55*$B$12*$B$9</f>
        <v/>
      </c>
      <c r="H55" s="41">
        <f>E55*F55*$B$9</f>
        <v/>
      </c>
      <c r="I55" s="65">
        <f>(C55-B55)/365</f>
        <v/>
      </c>
      <c r="J55" s="41">
        <f>G55*D55</f>
        <v/>
      </c>
      <c r="K55" s="41">
        <f>H55*D55</f>
        <v/>
      </c>
    </row>
    <row r="56">
      <c r="A56" s="4" t="n">
        <v>37</v>
      </c>
      <c r="B56" s="22">
        <f>EDATE($B$5,3*36)</f>
        <v/>
      </c>
      <c r="C56" s="22">
        <f>EDATE($B$5,3*37)</f>
        <v/>
      </c>
      <c r="D56" s="23">
        <f>Bootstrap!D39</f>
        <v/>
      </c>
      <c r="E56" s="32" t="n">
        <v>40000000000</v>
      </c>
      <c r="F56" s="24">
        <f>Bootstrap!F39</f>
        <v/>
      </c>
      <c r="G56" s="41">
        <f>E56*$B$12*$B$9</f>
        <v/>
      </c>
      <c r="H56" s="41">
        <f>E56*F56*$B$9</f>
        <v/>
      </c>
      <c r="I56" s="65">
        <f>(C56-B56)/365</f>
        <v/>
      </c>
      <c r="J56" s="41">
        <f>G56*D56</f>
        <v/>
      </c>
      <c r="K56" s="41">
        <f>H56*D56</f>
        <v/>
      </c>
    </row>
    <row r="57">
      <c r="A57" s="4" t="n">
        <v>38</v>
      </c>
      <c r="B57" s="22">
        <f>EDATE($B$5,3*37)</f>
        <v/>
      </c>
      <c r="C57" s="22">
        <f>EDATE($B$5,3*38)</f>
        <v/>
      </c>
      <c r="D57" s="23">
        <f>Bootstrap!D40</f>
        <v/>
      </c>
      <c r="E57" s="32" t="n">
        <v>40000000000</v>
      </c>
      <c r="F57" s="24">
        <f>Bootstrap!F40</f>
        <v/>
      </c>
      <c r="G57" s="41">
        <f>E57*$B$12*$B$9</f>
        <v/>
      </c>
      <c r="H57" s="41">
        <f>E57*F57*$B$9</f>
        <v/>
      </c>
      <c r="I57" s="65">
        <f>(C57-B57)/365</f>
        <v/>
      </c>
      <c r="J57" s="41">
        <f>G57*D57</f>
        <v/>
      </c>
      <c r="K57" s="41">
        <f>H57*D57</f>
        <v/>
      </c>
    </row>
    <row r="58">
      <c r="A58" s="4" t="n">
        <v>39</v>
      </c>
      <c r="B58" s="22">
        <f>EDATE($B$5,3*38)</f>
        <v/>
      </c>
      <c r="C58" s="22">
        <f>EDATE($B$5,3*39)</f>
        <v/>
      </c>
      <c r="D58" s="23">
        <f>Bootstrap!D41</f>
        <v/>
      </c>
      <c r="E58" s="32" t="n">
        <v>40000000000</v>
      </c>
      <c r="F58" s="24">
        <f>Bootstrap!F41</f>
        <v/>
      </c>
      <c r="G58" s="41">
        <f>E58*$B$12*$B$9</f>
        <v/>
      </c>
      <c r="H58" s="41">
        <f>E58*F58*$B$9</f>
        <v/>
      </c>
      <c r="I58" s="65">
        <f>(C58-B58)/365</f>
        <v/>
      </c>
      <c r="J58" s="41">
        <f>G58*D58</f>
        <v/>
      </c>
      <c r="K58" s="41">
        <f>H58*D58</f>
        <v/>
      </c>
    </row>
    <row r="59">
      <c r="A59" s="4" t="n">
        <v>40</v>
      </c>
      <c r="B59" s="22">
        <f>EDATE($B$5,3*39)</f>
        <v/>
      </c>
      <c r="C59" s="22">
        <f>EDATE($B$5,3*40)</f>
        <v/>
      </c>
      <c r="D59" s="23">
        <f>Bootstrap!D42</f>
        <v/>
      </c>
      <c r="E59" s="32" t="n">
        <v>40000000000</v>
      </c>
      <c r="F59" s="24">
        <f>Bootstrap!F42</f>
        <v/>
      </c>
      <c r="G59" s="41">
        <f>E59*$B$12*$B$9</f>
        <v/>
      </c>
      <c r="H59" s="41">
        <f>E59*F59*$B$9</f>
        <v/>
      </c>
      <c r="I59" s="65">
        <f>(C59-B59)/365</f>
        <v/>
      </c>
      <c r="J59" s="41">
        <f>G59*D59</f>
        <v/>
      </c>
      <c r="K59" s="41">
        <f>H59*D59</f>
        <v/>
      </c>
    </row>
    <row r="61">
      <c r="E61" s="45" t="inlineStr">
        <is>
          <t>PLACEHOLDER notionals — paste Kevin's exact schedule into E20:E59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ySplit="24" topLeftCell="A25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</cols>
  <sheetData>
    <row r="1">
      <c r="A1" s="1" t="inlineStr">
        <is>
          <t>Bucketed key-rate delta - live, no macro</t>
        </is>
      </c>
    </row>
    <row r="2">
      <c r="A2" s="7" t="inlineStr">
        <is>
          <t>Each scenario column is a full curve with ONE quote +1bp: re-interpolated, re-bootstrapped, swap re-priced. Delta = scenario NPV minus base. Buckets sum to the parallel DV01.</t>
        </is>
      </c>
    </row>
    <row r="3">
      <c r="A3" s="2" t="inlineStr">
        <is>
          <t>Trade fixed rate (frozen, base par):</t>
        </is>
      </c>
      <c r="D3" s="48">
        <f>'Amort-Set-up'!$B$12</f>
        <v/>
      </c>
    </row>
    <row r="4">
      <c r="A4" s="2" t="inlineStr">
        <is>
          <t>tau:</t>
        </is>
      </c>
      <c r="E4" s="49">
        <f>Quotes!$B$2</f>
        <v/>
      </c>
    </row>
    <row r="5">
      <c r="A5" s="2" t="inlineStr">
        <is>
          <t>QUOTE MATRIX (base + 1bp bumps)</t>
        </is>
      </c>
    </row>
    <row r="6">
      <c r="A6" s="50" t="inlineStr">
        <is>
          <t>Tenor</t>
        </is>
      </c>
      <c r="B6" s="50" t="inlineStr">
        <is>
          <t>Year</t>
        </is>
      </c>
      <c r="C6" s="50" t="inlineStr">
        <is>
          <t>Base</t>
        </is>
      </c>
      <c r="D6" s="50" t="inlineStr">
        <is>
          <t>base</t>
        </is>
      </c>
      <c r="E6" s="50" t="inlineStr">
        <is>
          <t>+1bp</t>
        </is>
      </c>
      <c r="F6" s="50" t="inlineStr">
        <is>
          <t>+1bp</t>
        </is>
      </c>
      <c r="G6" s="50" t="inlineStr">
        <is>
          <t>+1bp</t>
        </is>
      </c>
      <c r="H6" s="50" t="inlineStr">
        <is>
          <t>+1bp</t>
        </is>
      </c>
      <c r="I6" s="50" t="inlineStr">
        <is>
          <t>+1bp</t>
        </is>
      </c>
      <c r="J6" s="50" t="inlineStr">
        <is>
          <t>+1bp</t>
        </is>
      </c>
      <c r="K6" s="50" t="inlineStr">
        <is>
          <t>+1bp</t>
        </is>
      </c>
      <c r="L6" s="50" t="inlineStr">
        <is>
          <t>+1bp</t>
        </is>
      </c>
      <c r="M6" s="50" t="inlineStr">
        <is>
          <t>+1bp</t>
        </is>
      </c>
      <c r="N6" s="50" t="inlineStr">
        <is>
          <t>+1bp</t>
        </is>
      </c>
      <c r="O6" s="50" t="inlineStr">
        <is>
          <t>+1bp</t>
        </is>
      </c>
      <c r="P6" s="50" t="inlineStr">
        <is>
          <t>+1bp</t>
        </is>
      </c>
    </row>
    <row r="7">
      <c r="A7" s="4">
        <f>Quotes!A5</f>
        <v/>
      </c>
      <c r="B7" s="6">
        <f>Quotes!C5</f>
        <v/>
      </c>
      <c r="C7" s="12">
        <f>Quotes!B5</f>
        <v/>
      </c>
      <c r="D7" s="12">
        <f>$C7</f>
        <v/>
      </c>
      <c r="E7" s="12">
        <f>$C7+0.0001</f>
        <v/>
      </c>
      <c r="F7" s="12">
        <f>$C7</f>
        <v/>
      </c>
      <c r="G7" s="12">
        <f>$C7</f>
        <v/>
      </c>
      <c r="H7" s="12">
        <f>$C7</f>
        <v/>
      </c>
      <c r="I7" s="12">
        <f>$C7</f>
        <v/>
      </c>
      <c r="J7" s="12">
        <f>$C7</f>
        <v/>
      </c>
      <c r="K7" s="12">
        <f>$C7</f>
        <v/>
      </c>
      <c r="L7" s="12">
        <f>$C7</f>
        <v/>
      </c>
      <c r="M7" s="12">
        <f>$C7</f>
        <v/>
      </c>
      <c r="N7" s="12">
        <f>$C7</f>
        <v/>
      </c>
      <c r="O7" s="12">
        <f>$C7</f>
        <v/>
      </c>
      <c r="P7" s="12">
        <f>$C7</f>
        <v/>
      </c>
    </row>
    <row r="8">
      <c r="A8" s="4">
        <f>Quotes!A6</f>
        <v/>
      </c>
      <c r="B8" s="6">
        <f>Quotes!C6</f>
        <v/>
      </c>
      <c r="C8" s="12">
        <f>Quotes!B6</f>
        <v/>
      </c>
      <c r="D8" s="12">
        <f>$C8</f>
        <v/>
      </c>
      <c r="E8" s="12">
        <f>$C8</f>
        <v/>
      </c>
      <c r="F8" s="12">
        <f>$C8+0.0001</f>
        <v/>
      </c>
      <c r="G8" s="12">
        <f>$C8</f>
        <v/>
      </c>
      <c r="H8" s="12">
        <f>$C8</f>
        <v/>
      </c>
      <c r="I8" s="12">
        <f>$C8</f>
        <v/>
      </c>
      <c r="J8" s="12">
        <f>$C8</f>
        <v/>
      </c>
      <c r="K8" s="12">
        <f>$C8</f>
        <v/>
      </c>
      <c r="L8" s="12">
        <f>$C8</f>
        <v/>
      </c>
      <c r="M8" s="12">
        <f>$C8</f>
        <v/>
      </c>
      <c r="N8" s="12">
        <f>$C8</f>
        <v/>
      </c>
      <c r="O8" s="12">
        <f>$C8</f>
        <v/>
      </c>
      <c r="P8" s="12">
        <f>$C8</f>
        <v/>
      </c>
    </row>
    <row r="9">
      <c r="A9" s="4">
        <f>Quotes!A7</f>
        <v/>
      </c>
      <c r="B9" s="6">
        <f>Quotes!C7</f>
        <v/>
      </c>
      <c r="C9" s="12">
        <f>Quotes!B7</f>
        <v/>
      </c>
      <c r="D9" s="12">
        <f>$C9</f>
        <v/>
      </c>
      <c r="E9" s="12">
        <f>$C9</f>
        <v/>
      </c>
      <c r="F9" s="12">
        <f>$C9</f>
        <v/>
      </c>
      <c r="G9" s="12">
        <f>$C9+0.0001</f>
        <v/>
      </c>
      <c r="H9" s="12">
        <f>$C9</f>
        <v/>
      </c>
      <c r="I9" s="12">
        <f>$C9</f>
        <v/>
      </c>
      <c r="J9" s="12">
        <f>$C9</f>
        <v/>
      </c>
      <c r="K9" s="12">
        <f>$C9</f>
        <v/>
      </c>
      <c r="L9" s="12">
        <f>$C9</f>
        <v/>
      </c>
      <c r="M9" s="12">
        <f>$C9</f>
        <v/>
      </c>
      <c r="N9" s="12">
        <f>$C9</f>
        <v/>
      </c>
      <c r="O9" s="12">
        <f>$C9</f>
        <v/>
      </c>
      <c r="P9" s="12">
        <f>$C9</f>
        <v/>
      </c>
    </row>
    <row r="10">
      <c r="A10" s="4">
        <f>Quotes!A8</f>
        <v/>
      </c>
      <c r="B10" s="6">
        <f>Quotes!C8</f>
        <v/>
      </c>
      <c r="C10" s="12">
        <f>Quotes!B8</f>
        <v/>
      </c>
      <c r="D10" s="12">
        <f>$C10</f>
        <v/>
      </c>
      <c r="E10" s="12">
        <f>$C10</f>
        <v/>
      </c>
      <c r="F10" s="12">
        <f>$C10</f>
        <v/>
      </c>
      <c r="G10" s="12">
        <f>$C10</f>
        <v/>
      </c>
      <c r="H10" s="12">
        <f>$C10+0.0001</f>
        <v/>
      </c>
      <c r="I10" s="12">
        <f>$C10</f>
        <v/>
      </c>
      <c r="J10" s="12">
        <f>$C10</f>
        <v/>
      </c>
      <c r="K10" s="12">
        <f>$C10</f>
        <v/>
      </c>
      <c r="L10" s="12">
        <f>$C10</f>
        <v/>
      </c>
      <c r="M10" s="12">
        <f>$C10</f>
        <v/>
      </c>
      <c r="N10" s="12">
        <f>$C10</f>
        <v/>
      </c>
      <c r="O10" s="12">
        <f>$C10</f>
        <v/>
      </c>
      <c r="P10" s="12">
        <f>$C10</f>
        <v/>
      </c>
    </row>
    <row r="11">
      <c r="A11" s="4">
        <f>Quotes!A9</f>
        <v/>
      </c>
      <c r="B11" s="6">
        <f>Quotes!C9</f>
        <v/>
      </c>
      <c r="C11" s="12">
        <f>Quotes!B9</f>
        <v/>
      </c>
      <c r="D11" s="12">
        <f>$C11</f>
        <v/>
      </c>
      <c r="E11" s="12">
        <f>$C11</f>
        <v/>
      </c>
      <c r="F11" s="12">
        <f>$C11</f>
        <v/>
      </c>
      <c r="G11" s="12">
        <f>$C11</f>
        <v/>
      </c>
      <c r="H11" s="12">
        <f>$C11</f>
        <v/>
      </c>
      <c r="I11" s="12">
        <f>$C11+0.0001</f>
        <v/>
      </c>
      <c r="J11" s="12">
        <f>$C11</f>
        <v/>
      </c>
      <c r="K11" s="12">
        <f>$C11</f>
        <v/>
      </c>
      <c r="L11" s="12">
        <f>$C11</f>
        <v/>
      </c>
      <c r="M11" s="12">
        <f>$C11</f>
        <v/>
      </c>
      <c r="N11" s="12">
        <f>$C11</f>
        <v/>
      </c>
      <c r="O11" s="12">
        <f>$C11</f>
        <v/>
      </c>
      <c r="P11" s="12">
        <f>$C11</f>
        <v/>
      </c>
    </row>
    <row r="12">
      <c r="A12" s="4">
        <f>Quotes!A10</f>
        <v/>
      </c>
      <c r="B12" s="6">
        <f>Quotes!C10</f>
        <v/>
      </c>
      <c r="C12" s="12">
        <f>Quotes!B10</f>
        <v/>
      </c>
      <c r="D12" s="12">
        <f>$C12</f>
        <v/>
      </c>
      <c r="E12" s="12">
        <f>$C12</f>
        <v/>
      </c>
      <c r="F12" s="12">
        <f>$C12</f>
        <v/>
      </c>
      <c r="G12" s="12">
        <f>$C12</f>
        <v/>
      </c>
      <c r="H12" s="12">
        <f>$C12</f>
        <v/>
      </c>
      <c r="I12" s="12">
        <f>$C12</f>
        <v/>
      </c>
      <c r="J12" s="12">
        <f>$C12+0.0001</f>
        <v/>
      </c>
      <c r="K12" s="12">
        <f>$C12</f>
        <v/>
      </c>
      <c r="L12" s="12">
        <f>$C12</f>
        <v/>
      </c>
      <c r="M12" s="12">
        <f>$C12</f>
        <v/>
      </c>
      <c r="N12" s="12">
        <f>$C12</f>
        <v/>
      </c>
      <c r="O12" s="12">
        <f>$C12</f>
        <v/>
      </c>
      <c r="P12" s="12">
        <f>$C12</f>
        <v/>
      </c>
    </row>
    <row r="13">
      <c r="A13" s="4">
        <f>Quotes!A11</f>
        <v/>
      </c>
      <c r="B13" s="6">
        <f>Quotes!C11</f>
        <v/>
      </c>
      <c r="C13" s="12">
        <f>Quotes!B11</f>
        <v/>
      </c>
      <c r="D13" s="12">
        <f>$C13</f>
        <v/>
      </c>
      <c r="E13" s="12">
        <f>$C13</f>
        <v/>
      </c>
      <c r="F13" s="12">
        <f>$C13</f>
        <v/>
      </c>
      <c r="G13" s="12">
        <f>$C13</f>
        <v/>
      </c>
      <c r="H13" s="12">
        <f>$C13</f>
        <v/>
      </c>
      <c r="I13" s="12">
        <f>$C13</f>
        <v/>
      </c>
      <c r="J13" s="12">
        <f>$C13</f>
        <v/>
      </c>
      <c r="K13" s="12">
        <f>$C13+0.0001</f>
        <v/>
      </c>
      <c r="L13" s="12">
        <f>$C13</f>
        <v/>
      </c>
      <c r="M13" s="12">
        <f>$C13</f>
        <v/>
      </c>
      <c r="N13" s="12">
        <f>$C13</f>
        <v/>
      </c>
      <c r="O13" s="12">
        <f>$C13</f>
        <v/>
      </c>
      <c r="P13" s="12">
        <f>$C13</f>
        <v/>
      </c>
    </row>
    <row r="14">
      <c r="A14" s="4">
        <f>Quotes!A12</f>
        <v/>
      </c>
      <c r="B14" s="6">
        <f>Quotes!C12</f>
        <v/>
      </c>
      <c r="C14" s="12">
        <f>Quotes!B12</f>
        <v/>
      </c>
      <c r="D14" s="12">
        <f>$C14</f>
        <v/>
      </c>
      <c r="E14" s="12">
        <f>$C14</f>
        <v/>
      </c>
      <c r="F14" s="12">
        <f>$C14</f>
        <v/>
      </c>
      <c r="G14" s="12">
        <f>$C14</f>
        <v/>
      </c>
      <c r="H14" s="12">
        <f>$C14</f>
        <v/>
      </c>
      <c r="I14" s="12">
        <f>$C14</f>
        <v/>
      </c>
      <c r="J14" s="12">
        <f>$C14</f>
        <v/>
      </c>
      <c r="K14" s="12">
        <f>$C14</f>
        <v/>
      </c>
      <c r="L14" s="12">
        <f>$C14+0.0001</f>
        <v/>
      </c>
      <c r="M14" s="12">
        <f>$C14</f>
        <v/>
      </c>
      <c r="N14" s="12">
        <f>$C14</f>
        <v/>
      </c>
      <c r="O14" s="12">
        <f>$C14</f>
        <v/>
      </c>
      <c r="P14" s="12">
        <f>$C14</f>
        <v/>
      </c>
    </row>
    <row r="15">
      <c r="A15" s="4">
        <f>Quotes!A13</f>
        <v/>
      </c>
      <c r="B15" s="6">
        <f>Quotes!C13</f>
        <v/>
      </c>
      <c r="C15" s="12">
        <f>Quotes!B13</f>
        <v/>
      </c>
      <c r="D15" s="12">
        <f>$C15</f>
        <v/>
      </c>
      <c r="E15" s="12">
        <f>$C15</f>
        <v/>
      </c>
      <c r="F15" s="12">
        <f>$C15</f>
        <v/>
      </c>
      <c r="G15" s="12">
        <f>$C15</f>
        <v/>
      </c>
      <c r="H15" s="12">
        <f>$C15</f>
        <v/>
      </c>
      <c r="I15" s="12">
        <f>$C15</f>
        <v/>
      </c>
      <c r="J15" s="12">
        <f>$C15</f>
        <v/>
      </c>
      <c r="K15" s="12">
        <f>$C15</f>
        <v/>
      </c>
      <c r="L15" s="12">
        <f>$C15</f>
        <v/>
      </c>
      <c r="M15" s="12">
        <f>$C15+0.0001</f>
        <v/>
      </c>
      <c r="N15" s="12">
        <f>$C15</f>
        <v/>
      </c>
      <c r="O15" s="12">
        <f>$C15</f>
        <v/>
      </c>
      <c r="P15" s="12">
        <f>$C15</f>
        <v/>
      </c>
    </row>
    <row r="16">
      <c r="A16" s="4">
        <f>Quotes!A14</f>
        <v/>
      </c>
      <c r="B16" s="6">
        <f>Quotes!C14</f>
        <v/>
      </c>
      <c r="C16" s="12">
        <f>Quotes!B14</f>
        <v/>
      </c>
      <c r="D16" s="12">
        <f>$C16</f>
        <v/>
      </c>
      <c r="E16" s="12">
        <f>$C16</f>
        <v/>
      </c>
      <c r="F16" s="12">
        <f>$C16</f>
        <v/>
      </c>
      <c r="G16" s="12">
        <f>$C16</f>
        <v/>
      </c>
      <c r="H16" s="12">
        <f>$C16</f>
        <v/>
      </c>
      <c r="I16" s="12">
        <f>$C16</f>
        <v/>
      </c>
      <c r="J16" s="12">
        <f>$C16</f>
        <v/>
      </c>
      <c r="K16" s="12">
        <f>$C16</f>
        <v/>
      </c>
      <c r="L16" s="12">
        <f>$C16</f>
        <v/>
      </c>
      <c r="M16" s="12">
        <f>$C16</f>
        <v/>
      </c>
      <c r="N16" s="12">
        <f>$C16+0.0001</f>
        <v/>
      </c>
      <c r="O16" s="12">
        <f>$C16</f>
        <v/>
      </c>
      <c r="P16" s="12">
        <f>$C16</f>
        <v/>
      </c>
    </row>
    <row r="17">
      <c r="A17" s="4">
        <f>Quotes!A15</f>
        <v/>
      </c>
      <c r="B17" s="6">
        <f>Quotes!C15</f>
        <v/>
      </c>
      <c r="C17" s="12">
        <f>Quotes!B15</f>
        <v/>
      </c>
      <c r="D17" s="12">
        <f>$C17</f>
        <v/>
      </c>
      <c r="E17" s="12">
        <f>$C17</f>
        <v/>
      </c>
      <c r="F17" s="12">
        <f>$C17</f>
        <v/>
      </c>
      <c r="G17" s="12">
        <f>$C17</f>
        <v/>
      </c>
      <c r="H17" s="12">
        <f>$C17</f>
        <v/>
      </c>
      <c r="I17" s="12">
        <f>$C17</f>
        <v/>
      </c>
      <c r="J17" s="12">
        <f>$C17</f>
        <v/>
      </c>
      <c r="K17" s="12">
        <f>$C17</f>
        <v/>
      </c>
      <c r="L17" s="12">
        <f>$C17</f>
        <v/>
      </c>
      <c r="M17" s="12">
        <f>$C17</f>
        <v/>
      </c>
      <c r="N17" s="12">
        <f>$C17</f>
        <v/>
      </c>
      <c r="O17" s="12">
        <f>$C17+0.0001</f>
        <v/>
      </c>
      <c r="P17" s="12">
        <f>$C17</f>
        <v/>
      </c>
    </row>
    <row r="18">
      <c r="A18" s="4">
        <f>Quotes!A16</f>
        <v/>
      </c>
      <c r="B18" s="6">
        <f>Quotes!C16</f>
        <v/>
      </c>
      <c r="C18" s="12">
        <f>Quotes!B16</f>
        <v/>
      </c>
      <c r="D18" s="12">
        <f>$C18</f>
        <v/>
      </c>
      <c r="E18" s="12">
        <f>$C18</f>
        <v/>
      </c>
      <c r="F18" s="12">
        <f>$C18</f>
        <v/>
      </c>
      <c r="G18" s="12">
        <f>$C18</f>
        <v/>
      </c>
      <c r="H18" s="12">
        <f>$C18</f>
        <v/>
      </c>
      <c r="I18" s="12">
        <f>$C18</f>
        <v/>
      </c>
      <c r="J18" s="12">
        <f>$C18</f>
        <v/>
      </c>
      <c r="K18" s="12">
        <f>$C18</f>
        <v/>
      </c>
      <c r="L18" s="12">
        <f>$C18</f>
        <v/>
      </c>
      <c r="M18" s="12">
        <f>$C18</f>
        <v/>
      </c>
      <c r="N18" s="12">
        <f>$C18</f>
        <v/>
      </c>
      <c r="O18" s="12">
        <f>$C18</f>
        <v/>
      </c>
      <c r="P18" s="12">
        <f>$C18+0.0001</f>
        <v/>
      </c>
    </row>
    <row r="19">
      <c r="A19" s="4">
        <f>Quotes!A17</f>
        <v/>
      </c>
      <c r="B19" s="6">
        <f>Quotes!C17</f>
        <v/>
      </c>
      <c r="C19" s="12">
        <f>Quotes!B17</f>
        <v/>
      </c>
      <c r="D19" s="12">
        <f>$C19</f>
        <v/>
      </c>
      <c r="E19" s="12">
        <f>$C19</f>
        <v/>
      </c>
      <c r="F19" s="12">
        <f>$C19</f>
        <v/>
      </c>
      <c r="G19" s="12">
        <f>$C19</f>
        <v/>
      </c>
      <c r="H19" s="12">
        <f>$C19</f>
        <v/>
      </c>
      <c r="I19" s="12">
        <f>$C19</f>
        <v/>
      </c>
      <c r="J19" s="12">
        <f>$C19</f>
        <v/>
      </c>
      <c r="K19" s="12">
        <f>$C19</f>
        <v/>
      </c>
      <c r="L19" s="12">
        <f>$C19</f>
        <v/>
      </c>
      <c r="M19" s="12">
        <f>$C19</f>
        <v/>
      </c>
      <c r="N19" s="12">
        <f>$C19</f>
        <v/>
      </c>
      <c r="O19" s="12">
        <f>$C19</f>
        <v/>
      </c>
      <c r="P19" s="12">
        <f>$C19</f>
        <v/>
      </c>
    </row>
    <row r="20">
      <c r="A20" s="4">
        <f>Quotes!A18</f>
        <v/>
      </c>
      <c r="B20" s="6">
        <f>Quotes!C18</f>
        <v/>
      </c>
      <c r="C20" s="12">
        <f>Quotes!B18</f>
        <v/>
      </c>
      <c r="D20" s="12">
        <f>$C20</f>
        <v/>
      </c>
      <c r="E20" s="12">
        <f>$C20</f>
        <v/>
      </c>
      <c r="F20" s="12">
        <f>$C20</f>
        <v/>
      </c>
      <c r="G20" s="12">
        <f>$C20</f>
        <v/>
      </c>
      <c r="H20" s="12">
        <f>$C20</f>
        <v/>
      </c>
      <c r="I20" s="12">
        <f>$C20</f>
        <v/>
      </c>
      <c r="J20" s="12">
        <f>$C20</f>
        <v/>
      </c>
      <c r="K20" s="12">
        <f>$C20</f>
        <v/>
      </c>
      <c r="L20" s="12">
        <f>$C20</f>
        <v/>
      </c>
      <c r="M20" s="12">
        <f>$C20</f>
        <v/>
      </c>
      <c r="N20" s="12">
        <f>$C20</f>
        <v/>
      </c>
      <c r="O20" s="12">
        <f>$C20</f>
        <v/>
      </c>
      <c r="P20" s="12">
        <f>$C20</f>
        <v/>
      </c>
    </row>
    <row r="21">
      <c r="A21" s="4">
        <f>Quotes!A19</f>
        <v/>
      </c>
      <c r="B21" s="6">
        <f>Quotes!C19</f>
        <v/>
      </c>
      <c r="C21" s="12">
        <f>Quotes!B19</f>
        <v/>
      </c>
      <c r="D21" s="12">
        <f>$C21</f>
        <v/>
      </c>
      <c r="E21" s="12">
        <f>$C21</f>
        <v/>
      </c>
      <c r="F21" s="12">
        <f>$C21</f>
        <v/>
      </c>
      <c r="G21" s="12">
        <f>$C21</f>
        <v/>
      </c>
      <c r="H21" s="12">
        <f>$C21</f>
        <v/>
      </c>
      <c r="I21" s="12">
        <f>$C21</f>
        <v/>
      </c>
      <c r="J21" s="12">
        <f>$C21</f>
        <v/>
      </c>
      <c r="K21" s="12">
        <f>$C21</f>
        <v/>
      </c>
      <c r="L21" s="12">
        <f>$C21</f>
        <v/>
      </c>
      <c r="M21" s="12">
        <f>$C21</f>
        <v/>
      </c>
      <c r="N21" s="12">
        <f>$C21</f>
        <v/>
      </c>
      <c r="O21" s="12">
        <f>$C21</f>
        <v/>
      </c>
      <c r="P21" s="12">
        <f>$C21</f>
        <v/>
      </c>
    </row>
    <row r="23">
      <c r="A23" s="2" t="inlineStr">
        <is>
          <t>SCHEDULE / PARALLEL CURVES  (F:R rates | T:AF DFs, one column per scenario)</t>
        </is>
      </c>
      <c r="F23" s="63">
        <f>"base"</f>
        <v/>
      </c>
      <c r="G23" s="63">
        <f>"+1bp "&amp;$A7</f>
        <v/>
      </c>
      <c r="H23" s="63">
        <f>"+1bp "&amp;$A8</f>
        <v/>
      </c>
      <c r="I23" s="63">
        <f>"+1bp "&amp;$A9</f>
        <v/>
      </c>
      <c r="J23" s="63">
        <f>"+1bp "&amp;$A10</f>
        <v/>
      </c>
      <c r="K23" s="63">
        <f>"+1bp "&amp;$A11</f>
        <v/>
      </c>
      <c r="L23" s="63">
        <f>"+1bp "&amp;$A12</f>
        <v/>
      </c>
      <c r="M23" s="63">
        <f>"+1bp "&amp;$A13</f>
        <v/>
      </c>
      <c r="N23" s="63">
        <f>"+1bp "&amp;$A14</f>
        <v/>
      </c>
      <c r="O23" s="63">
        <f>"+1bp "&amp;$A15</f>
        <v/>
      </c>
      <c r="P23" s="63">
        <f>"+1bp "&amp;$A16</f>
        <v/>
      </c>
      <c r="Q23" s="63">
        <f>"+1bp "&amp;$A17</f>
        <v/>
      </c>
      <c r="R23" s="63">
        <f>"+1bp "&amp;$A18</f>
        <v/>
      </c>
      <c r="T23" s="63">
        <f>"base"</f>
        <v/>
      </c>
      <c r="U23" s="63">
        <f>"+1bp "&amp;$A7</f>
        <v/>
      </c>
      <c r="V23" s="63">
        <f>"+1bp "&amp;$A8</f>
        <v/>
      </c>
      <c r="W23" s="63">
        <f>"+1bp "&amp;$A9</f>
        <v/>
      </c>
      <c r="X23" s="63">
        <f>"+1bp "&amp;$A10</f>
        <v/>
      </c>
      <c r="Y23" s="63">
        <f>"+1bp "&amp;$A11</f>
        <v/>
      </c>
      <c r="Z23" s="63">
        <f>"+1bp "&amp;$A12</f>
        <v/>
      </c>
      <c r="AA23" s="63">
        <f>"+1bp "&amp;$A13</f>
        <v/>
      </c>
      <c r="AB23" s="63">
        <f>"+1bp "&amp;$A14</f>
        <v/>
      </c>
      <c r="AC23" s="63">
        <f>"+1bp "&amp;$A15</f>
        <v/>
      </c>
      <c r="AD23" s="63">
        <f>"+1bp "&amp;$A16</f>
        <v/>
      </c>
      <c r="AE23" s="63">
        <f>"+1bp "&amp;$A17</f>
        <v/>
      </c>
      <c r="AF23" s="63">
        <f>"+1bp "&amp;$A18</f>
        <v/>
      </c>
    </row>
    <row r="24">
      <c r="A24" s="50" t="inlineStr">
        <is>
          <t>Qtr</t>
        </is>
      </c>
      <c r="B24" s="50" t="inlineStr">
        <is>
          <t>Year</t>
        </is>
      </c>
      <c r="C24" s="50" t="inlineStr">
        <is>
          <t>m</t>
        </is>
      </c>
      <c r="D24" s="50" t="inlineStr">
        <is>
          <t>w</t>
        </is>
      </c>
      <c r="E24" s="50" t="inlineStr">
        <is>
          <t>Notional</t>
        </is>
      </c>
      <c r="F24" s="51" t="n">
        <v>1</v>
      </c>
      <c r="G24" s="51" t="n">
        <v>2</v>
      </c>
      <c r="H24" s="51" t="n">
        <v>3</v>
      </c>
      <c r="I24" s="51" t="n">
        <v>4</v>
      </c>
      <c r="J24" s="51" t="n">
        <v>5</v>
      </c>
      <c r="K24" s="51" t="n">
        <v>6</v>
      </c>
      <c r="L24" s="51" t="n">
        <v>7</v>
      </c>
      <c r="M24" s="51" t="n">
        <v>8</v>
      </c>
      <c r="N24" s="51" t="n">
        <v>9</v>
      </c>
      <c r="O24" s="51" t="n">
        <v>10</v>
      </c>
      <c r="P24" s="51" t="n">
        <v>11</v>
      </c>
      <c r="Q24" s="51" t="n">
        <v>12</v>
      </c>
      <c r="R24" s="51" t="n">
        <v>13</v>
      </c>
      <c r="T24" s="52" t="n">
        <v>1</v>
      </c>
      <c r="U24" s="52" t="n">
        <v>1</v>
      </c>
      <c r="V24" s="52" t="n">
        <v>1</v>
      </c>
      <c r="W24" s="52" t="n">
        <v>1</v>
      </c>
      <c r="X24" s="52" t="n">
        <v>1</v>
      </c>
      <c r="Y24" s="52" t="n">
        <v>1</v>
      </c>
      <c r="Z24" s="52" t="n">
        <v>1</v>
      </c>
      <c r="AA24" s="52" t="n">
        <v>1</v>
      </c>
      <c r="AB24" s="52" t="n">
        <v>1</v>
      </c>
      <c r="AC24" s="52" t="n">
        <v>1</v>
      </c>
      <c r="AD24" s="52" t="n">
        <v>1</v>
      </c>
      <c r="AE24" s="52" t="n">
        <v>1</v>
      </c>
      <c r="AF24" s="52" t="n">
        <v>1</v>
      </c>
    </row>
    <row r="25">
      <c r="A25" s="4" t="n">
        <v>1</v>
      </c>
      <c r="B25" s="6">
        <f>A25*0.25</f>
        <v/>
      </c>
      <c r="C25" s="4">
        <f>MIN(MATCH(B25,$B$7:$B$21,1),14)</f>
        <v/>
      </c>
      <c r="D25" s="9">
        <f>(B25-INDEX($B$7:$B$21,C25))/(INDEX($B$7:$B$21,C25+1)-INDEX($B$7:$B$21,C25))</f>
        <v/>
      </c>
      <c r="E25" s="41">
        <f>'Amort-Set-up'!E20</f>
        <v/>
      </c>
      <c r="F25" s="53">
        <f>INDEX($D$7:$P$21,$C25,F$24)+$D25*(INDEX($D$7:$P$21,$C25+1,F$24)-INDEX($D$7:$P$21,$C25,F$24))</f>
        <v/>
      </c>
      <c r="G25" s="53">
        <f>INDEX($D$7:$P$21,$C25,G$24)+$D25*(INDEX($D$7:$P$21,$C25+1,G$24)-INDEX($D$7:$P$21,$C25,G$24))</f>
        <v/>
      </c>
      <c r="H25" s="53">
        <f>INDEX($D$7:$P$21,$C25,H$24)+$D25*(INDEX($D$7:$P$21,$C25+1,H$24)-INDEX($D$7:$P$21,$C25,H$24))</f>
        <v/>
      </c>
      <c r="I25" s="53">
        <f>INDEX($D$7:$P$21,$C25,I$24)+$D25*(INDEX($D$7:$P$21,$C25+1,I$24)-INDEX($D$7:$P$21,$C25,I$24))</f>
        <v/>
      </c>
      <c r="J25" s="53">
        <f>INDEX($D$7:$P$21,$C25,J$24)+$D25*(INDEX($D$7:$P$21,$C25+1,J$24)-INDEX($D$7:$P$21,$C25,J$24))</f>
        <v/>
      </c>
      <c r="K25" s="53">
        <f>INDEX($D$7:$P$21,$C25,K$24)+$D25*(INDEX($D$7:$P$21,$C25+1,K$24)-INDEX($D$7:$P$21,$C25,K$24))</f>
        <v/>
      </c>
      <c r="L25" s="53">
        <f>INDEX($D$7:$P$21,$C25,L$24)+$D25*(INDEX($D$7:$P$21,$C25+1,L$24)-INDEX($D$7:$P$21,$C25,L$24))</f>
        <v/>
      </c>
      <c r="M25" s="53">
        <f>INDEX($D$7:$P$21,$C25,M$24)+$D25*(INDEX($D$7:$P$21,$C25+1,M$24)-INDEX($D$7:$P$21,$C25,M$24))</f>
        <v/>
      </c>
      <c r="N25" s="53">
        <f>INDEX($D$7:$P$21,$C25,N$24)+$D25*(INDEX($D$7:$P$21,$C25+1,N$24)-INDEX($D$7:$P$21,$C25,N$24))</f>
        <v/>
      </c>
      <c r="O25" s="53">
        <f>INDEX($D$7:$P$21,$C25,O$24)+$D25*(INDEX($D$7:$P$21,$C25+1,O$24)-INDEX($D$7:$P$21,$C25,O$24))</f>
        <v/>
      </c>
      <c r="P25" s="53">
        <f>INDEX($D$7:$P$21,$C25,P$24)+$D25*(INDEX($D$7:$P$21,$C25+1,P$24)-INDEX($D$7:$P$21,$C25,P$24))</f>
        <v/>
      </c>
      <c r="Q25" s="53">
        <f>INDEX($D$7:$P$21,$C25,Q$24)+$D25*(INDEX($D$7:$P$21,$C25+1,Q$24)-INDEX($D$7:$P$21,$C25,Q$24))</f>
        <v/>
      </c>
      <c r="R25" s="53">
        <f>INDEX($D$7:$P$21,$C25,R$24)+$D25*(INDEX($D$7:$P$21,$C25+1,R$24)-INDEX($D$7:$P$21,$C25,R$24))</f>
        <v/>
      </c>
      <c r="T25" s="54">
        <f>1/(1+F25*$E$4)</f>
        <v/>
      </c>
      <c r="U25" s="54">
        <f>1/(1+G25*$E$4)</f>
        <v/>
      </c>
      <c r="V25" s="54">
        <f>1/(1+H25*$E$4)</f>
        <v/>
      </c>
      <c r="W25" s="54">
        <f>1/(1+I25*$E$4)</f>
        <v/>
      </c>
      <c r="X25" s="54">
        <f>1/(1+J25*$E$4)</f>
        <v/>
      </c>
      <c r="Y25" s="54">
        <f>1/(1+K25*$E$4)</f>
        <v/>
      </c>
      <c r="Z25" s="54">
        <f>1/(1+L25*$E$4)</f>
        <v/>
      </c>
      <c r="AA25" s="54">
        <f>1/(1+M25*$E$4)</f>
        <v/>
      </c>
      <c r="AB25" s="54">
        <f>1/(1+N25*$E$4)</f>
        <v/>
      </c>
      <c r="AC25" s="54">
        <f>1/(1+O25*$E$4)</f>
        <v/>
      </c>
      <c r="AD25" s="54">
        <f>1/(1+P25*$E$4)</f>
        <v/>
      </c>
      <c r="AE25" s="54">
        <f>1/(1+Q25*$E$4)</f>
        <v/>
      </c>
      <c r="AF25" s="54">
        <f>1/(1+R25*$E$4)</f>
        <v/>
      </c>
    </row>
    <row r="26">
      <c r="A26" s="4" t="n">
        <v>2</v>
      </c>
      <c r="B26" s="6">
        <f>A26*0.25</f>
        <v/>
      </c>
      <c r="C26" s="4">
        <f>MIN(MATCH(B26,$B$7:$B$21,1),14)</f>
        <v/>
      </c>
      <c r="D26" s="9">
        <f>(B26-INDEX($B$7:$B$21,C26))/(INDEX($B$7:$B$21,C26+1)-INDEX($B$7:$B$21,C26))</f>
        <v/>
      </c>
      <c r="E26" s="41">
        <f>'Amort-Set-up'!E21</f>
        <v/>
      </c>
      <c r="F26" s="53">
        <f>INDEX($D$7:$P$21,$C26,F$24)+$D26*(INDEX($D$7:$P$21,$C26+1,F$24)-INDEX($D$7:$P$21,$C26,F$24))</f>
        <v/>
      </c>
      <c r="G26" s="53">
        <f>INDEX($D$7:$P$21,$C26,G$24)+$D26*(INDEX($D$7:$P$21,$C26+1,G$24)-INDEX($D$7:$P$21,$C26,G$24))</f>
        <v/>
      </c>
      <c r="H26" s="53">
        <f>INDEX($D$7:$P$21,$C26,H$24)+$D26*(INDEX($D$7:$P$21,$C26+1,H$24)-INDEX($D$7:$P$21,$C26,H$24))</f>
        <v/>
      </c>
      <c r="I26" s="53">
        <f>INDEX($D$7:$P$21,$C26,I$24)+$D26*(INDEX($D$7:$P$21,$C26+1,I$24)-INDEX($D$7:$P$21,$C26,I$24))</f>
        <v/>
      </c>
      <c r="J26" s="53">
        <f>INDEX($D$7:$P$21,$C26,J$24)+$D26*(INDEX($D$7:$P$21,$C26+1,J$24)-INDEX($D$7:$P$21,$C26,J$24))</f>
        <v/>
      </c>
      <c r="K26" s="53">
        <f>INDEX($D$7:$P$21,$C26,K$24)+$D26*(INDEX($D$7:$P$21,$C26+1,K$24)-INDEX($D$7:$P$21,$C26,K$24))</f>
        <v/>
      </c>
      <c r="L26" s="53">
        <f>INDEX($D$7:$P$21,$C26,L$24)+$D26*(INDEX($D$7:$P$21,$C26+1,L$24)-INDEX($D$7:$P$21,$C26,L$24))</f>
        <v/>
      </c>
      <c r="M26" s="53">
        <f>INDEX($D$7:$P$21,$C26,M$24)+$D26*(INDEX($D$7:$P$21,$C26+1,M$24)-INDEX($D$7:$P$21,$C26,M$24))</f>
        <v/>
      </c>
      <c r="N26" s="53">
        <f>INDEX($D$7:$P$21,$C26,N$24)+$D26*(INDEX($D$7:$P$21,$C26+1,N$24)-INDEX($D$7:$P$21,$C26,N$24))</f>
        <v/>
      </c>
      <c r="O26" s="53">
        <f>INDEX($D$7:$P$21,$C26,O$24)+$D26*(INDEX($D$7:$P$21,$C26+1,O$24)-INDEX($D$7:$P$21,$C26,O$24))</f>
        <v/>
      </c>
      <c r="P26" s="53">
        <f>INDEX($D$7:$P$21,$C26,P$24)+$D26*(INDEX($D$7:$P$21,$C26+1,P$24)-INDEX($D$7:$P$21,$C26,P$24))</f>
        <v/>
      </c>
      <c r="Q26" s="53">
        <f>INDEX($D$7:$P$21,$C26,Q$24)+$D26*(INDEX($D$7:$P$21,$C26+1,Q$24)-INDEX($D$7:$P$21,$C26,Q$24))</f>
        <v/>
      </c>
      <c r="R26" s="53">
        <f>INDEX($D$7:$P$21,$C26,R$24)+$D26*(INDEX($D$7:$P$21,$C26+1,R$24)-INDEX($D$7:$P$21,$C26,R$24))</f>
        <v/>
      </c>
      <c r="T26" s="54">
        <f>(1-F26*$E$4*SUM(T$25:T25))/(1+F26*$E$4)</f>
        <v/>
      </c>
      <c r="U26" s="54">
        <f>(1-G26*$E$4*SUM(U$25:U25))/(1+G26*$E$4)</f>
        <v/>
      </c>
      <c r="V26" s="54">
        <f>(1-H26*$E$4*SUM(V$25:V25))/(1+H26*$E$4)</f>
        <v/>
      </c>
      <c r="W26" s="54">
        <f>(1-I26*$E$4*SUM(W$25:W25))/(1+I26*$E$4)</f>
        <v/>
      </c>
      <c r="X26" s="54">
        <f>(1-J26*$E$4*SUM(X$25:X25))/(1+J26*$E$4)</f>
        <v/>
      </c>
      <c r="Y26" s="54">
        <f>(1-K26*$E$4*SUM(Y$25:Y25))/(1+K26*$E$4)</f>
        <v/>
      </c>
      <c r="Z26" s="54">
        <f>(1-L26*$E$4*SUM(Z$25:Z25))/(1+L26*$E$4)</f>
        <v/>
      </c>
      <c r="AA26" s="54">
        <f>(1-M26*$E$4*SUM(AA$25:AA25))/(1+M26*$E$4)</f>
        <v/>
      </c>
      <c r="AB26" s="54">
        <f>(1-N26*$E$4*SUM(AB$25:AB25))/(1+N26*$E$4)</f>
        <v/>
      </c>
      <c r="AC26" s="54">
        <f>(1-O26*$E$4*SUM(AC$25:AC25))/(1+O26*$E$4)</f>
        <v/>
      </c>
      <c r="AD26" s="54">
        <f>(1-P26*$E$4*SUM(AD$25:AD25))/(1+P26*$E$4)</f>
        <v/>
      </c>
      <c r="AE26" s="54">
        <f>(1-Q26*$E$4*SUM(AE$25:AE25))/(1+Q26*$E$4)</f>
        <v/>
      </c>
      <c r="AF26" s="54">
        <f>(1-R26*$E$4*SUM(AF$25:AF25))/(1+R26*$E$4)</f>
        <v/>
      </c>
    </row>
    <row r="27">
      <c r="A27" s="4" t="n">
        <v>3</v>
      </c>
      <c r="B27" s="6">
        <f>A27*0.25</f>
        <v/>
      </c>
      <c r="C27" s="4">
        <f>MIN(MATCH(B27,$B$7:$B$21,1),14)</f>
        <v/>
      </c>
      <c r="D27" s="9">
        <f>(B27-INDEX($B$7:$B$21,C27))/(INDEX($B$7:$B$21,C27+1)-INDEX($B$7:$B$21,C27))</f>
        <v/>
      </c>
      <c r="E27" s="41">
        <f>'Amort-Set-up'!E22</f>
        <v/>
      </c>
      <c r="F27" s="53">
        <f>INDEX($D$7:$P$21,$C27,F$24)+$D27*(INDEX($D$7:$P$21,$C27+1,F$24)-INDEX($D$7:$P$21,$C27,F$24))</f>
        <v/>
      </c>
      <c r="G27" s="53">
        <f>INDEX($D$7:$P$21,$C27,G$24)+$D27*(INDEX($D$7:$P$21,$C27+1,G$24)-INDEX($D$7:$P$21,$C27,G$24))</f>
        <v/>
      </c>
      <c r="H27" s="53">
        <f>INDEX($D$7:$P$21,$C27,H$24)+$D27*(INDEX($D$7:$P$21,$C27+1,H$24)-INDEX($D$7:$P$21,$C27,H$24))</f>
        <v/>
      </c>
      <c r="I27" s="53">
        <f>INDEX($D$7:$P$21,$C27,I$24)+$D27*(INDEX($D$7:$P$21,$C27+1,I$24)-INDEX($D$7:$P$21,$C27,I$24))</f>
        <v/>
      </c>
      <c r="J27" s="53">
        <f>INDEX($D$7:$P$21,$C27,J$24)+$D27*(INDEX($D$7:$P$21,$C27+1,J$24)-INDEX($D$7:$P$21,$C27,J$24))</f>
        <v/>
      </c>
      <c r="K27" s="53">
        <f>INDEX($D$7:$P$21,$C27,K$24)+$D27*(INDEX($D$7:$P$21,$C27+1,K$24)-INDEX($D$7:$P$21,$C27,K$24))</f>
        <v/>
      </c>
      <c r="L27" s="53">
        <f>INDEX($D$7:$P$21,$C27,L$24)+$D27*(INDEX($D$7:$P$21,$C27+1,L$24)-INDEX($D$7:$P$21,$C27,L$24))</f>
        <v/>
      </c>
      <c r="M27" s="53">
        <f>INDEX($D$7:$P$21,$C27,M$24)+$D27*(INDEX($D$7:$P$21,$C27+1,M$24)-INDEX($D$7:$P$21,$C27,M$24))</f>
        <v/>
      </c>
      <c r="N27" s="53">
        <f>INDEX($D$7:$P$21,$C27,N$24)+$D27*(INDEX($D$7:$P$21,$C27+1,N$24)-INDEX($D$7:$P$21,$C27,N$24))</f>
        <v/>
      </c>
      <c r="O27" s="53">
        <f>INDEX($D$7:$P$21,$C27,O$24)+$D27*(INDEX($D$7:$P$21,$C27+1,O$24)-INDEX($D$7:$P$21,$C27,O$24))</f>
        <v/>
      </c>
      <c r="P27" s="53">
        <f>INDEX($D$7:$P$21,$C27,P$24)+$D27*(INDEX($D$7:$P$21,$C27+1,P$24)-INDEX($D$7:$P$21,$C27,P$24))</f>
        <v/>
      </c>
      <c r="Q27" s="53">
        <f>INDEX($D$7:$P$21,$C27,Q$24)+$D27*(INDEX($D$7:$P$21,$C27+1,Q$24)-INDEX($D$7:$P$21,$C27,Q$24))</f>
        <v/>
      </c>
      <c r="R27" s="53">
        <f>INDEX($D$7:$P$21,$C27,R$24)+$D27*(INDEX($D$7:$P$21,$C27+1,R$24)-INDEX($D$7:$P$21,$C27,R$24))</f>
        <v/>
      </c>
      <c r="T27" s="54">
        <f>(1-F27*$E$4*SUM(T$25:T26))/(1+F27*$E$4)</f>
        <v/>
      </c>
      <c r="U27" s="54">
        <f>(1-G27*$E$4*SUM(U$25:U26))/(1+G27*$E$4)</f>
        <v/>
      </c>
      <c r="V27" s="54">
        <f>(1-H27*$E$4*SUM(V$25:V26))/(1+H27*$E$4)</f>
        <v/>
      </c>
      <c r="W27" s="54">
        <f>(1-I27*$E$4*SUM(W$25:W26))/(1+I27*$E$4)</f>
        <v/>
      </c>
      <c r="X27" s="54">
        <f>(1-J27*$E$4*SUM(X$25:X26))/(1+J27*$E$4)</f>
        <v/>
      </c>
      <c r="Y27" s="54">
        <f>(1-K27*$E$4*SUM(Y$25:Y26))/(1+K27*$E$4)</f>
        <v/>
      </c>
      <c r="Z27" s="54">
        <f>(1-L27*$E$4*SUM(Z$25:Z26))/(1+L27*$E$4)</f>
        <v/>
      </c>
      <c r="AA27" s="54">
        <f>(1-M27*$E$4*SUM(AA$25:AA26))/(1+M27*$E$4)</f>
        <v/>
      </c>
      <c r="AB27" s="54">
        <f>(1-N27*$E$4*SUM(AB$25:AB26))/(1+N27*$E$4)</f>
        <v/>
      </c>
      <c r="AC27" s="54">
        <f>(1-O27*$E$4*SUM(AC$25:AC26))/(1+O27*$E$4)</f>
        <v/>
      </c>
      <c r="AD27" s="54">
        <f>(1-P27*$E$4*SUM(AD$25:AD26))/(1+P27*$E$4)</f>
        <v/>
      </c>
      <c r="AE27" s="54">
        <f>(1-Q27*$E$4*SUM(AE$25:AE26))/(1+Q27*$E$4)</f>
        <v/>
      </c>
      <c r="AF27" s="54">
        <f>(1-R27*$E$4*SUM(AF$25:AF26))/(1+R27*$E$4)</f>
        <v/>
      </c>
    </row>
    <row r="28">
      <c r="A28" s="4" t="n">
        <v>4</v>
      </c>
      <c r="B28" s="6">
        <f>A28*0.25</f>
        <v/>
      </c>
      <c r="C28" s="4">
        <f>MIN(MATCH(B28,$B$7:$B$21,1),14)</f>
        <v/>
      </c>
      <c r="D28" s="9">
        <f>(B28-INDEX($B$7:$B$21,C28))/(INDEX($B$7:$B$21,C28+1)-INDEX($B$7:$B$21,C28))</f>
        <v/>
      </c>
      <c r="E28" s="41">
        <f>'Amort-Set-up'!E23</f>
        <v/>
      </c>
      <c r="F28" s="53">
        <f>INDEX($D$7:$P$21,$C28,F$24)+$D28*(INDEX($D$7:$P$21,$C28+1,F$24)-INDEX($D$7:$P$21,$C28,F$24))</f>
        <v/>
      </c>
      <c r="G28" s="53">
        <f>INDEX($D$7:$P$21,$C28,G$24)+$D28*(INDEX($D$7:$P$21,$C28+1,G$24)-INDEX($D$7:$P$21,$C28,G$24))</f>
        <v/>
      </c>
      <c r="H28" s="53">
        <f>INDEX($D$7:$P$21,$C28,H$24)+$D28*(INDEX($D$7:$P$21,$C28+1,H$24)-INDEX($D$7:$P$21,$C28,H$24))</f>
        <v/>
      </c>
      <c r="I28" s="53">
        <f>INDEX($D$7:$P$21,$C28,I$24)+$D28*(INDEX($D$7:$P$21,$C28+1,I$24)-INDEX($D$7:$P$21,$C28,I$24))</f>
        <v/>
      </c>
      <c r="J28" s="53">
        <f>INDEX($D$7:$P$21,$C28,J$24)+$D28*(INDEX($D$7:$P$21,$C28+1,J$24)-INDEX($D$7:$P$21,$C28,J$24))</f>
        <v/>
      </c>
      <c r="K28" s="53">
        <f>INDEX($D$7:$P$21,$C28,K$24)+$D28*(INDEX($D$7:$P$21,$C28+1,K$24)-INDEX($D$7:$P$21,$C28,K$24))</f>
        <v/>
      </c>
      <c r="L28" s="53">
        <f>INDEX($D$7:$P$21,$C28,L$24)+$D28*(INDEX($D$7:$P$21,$C28+1,L$24)-INDEX($D$7:$P$21,$C28,L$24))</f>
        <v/>
      </c>
      <c r="M28" s="53">
        <f>INDEX($D$7:$P$21,$C28,M$24)+$D28*(INDEX($D$7:$P$21,$C28+1,M$24)-INDEX($D$7:$P$21,$C28,M$24))</f>
        <v/>
      </c>
      <c r="N28" s="53">
        <f>INDEX($D$7:$P$21,$C28,N$24)+$D28*(INDEX($D$7:$P$21,$C28+1,N$24)-INDEX($D$7:$P$21,$C28,N$24))</f>
        <v/>
      </c>
      <c r="O28" s="53">
        <f>INDEX($D$7:$P$21,$C28,O$24)+$D28*(INDEX($D$7:$P$21,$C28+1,O$24)-INDEX($D$7:$P$21,$C28,O$24))</f>
        <v/>
      </c>
      <c r="P28" s="53">
        <f>INDEX($D$7:$P$21,$C28,P$24)+$D28*(INDEX($D$7:$P$21,$C28+1,P$24)-INDEX($D$7:$P$21,$C28,P$24))</f>
        <v/>
      </c>
      <c r="Q28" s="53">
        <f>INDEX($D$7:$P$21,$C28,Q$24)+$D28*(INDEX($D$7:$P$21,$C28+1,Q$24)-INDEX($D$7:$P$21,$C28,Q$24))</f>
        <v/>
      </c>
      <c r="R28" s="53">
        <f>INDEX($D$7:$P$21,$C28,R$24)+$D28*(INDEX($D$7:$P$21,$C28+1,R$24)-INDEX($D$7:$P$21,$C28,R$24))</f>
        <v/>
      </c>
      <c r="T28" s="54">
        <f>(1-F28*$E$4*SUM(T$25:T27))/(1+F28*$E$4)</f>
        <v/>
      </c>
      <c r="U28" s="54">
        <f>(1-G28*$E$4*SUM(U$25:U27))/(1+G28*$E$4)</f>
        <v/>
      </c>
      <c r="V28" s="54">
        <f>(1-H28*$E$4*SUM(V$25:V27))/(1+H28*$E$4)</f>
        <v/>
      </c>
      <c r="W28" s="54">
        <f>(1-I28*$E$4*SUM(W$25:W27))/(1+I28*$E$4)</f>
        <v/>
      </c>
      <c r="X28" s="54">
        <f>(1-J28*$E$4*SUM(X$25:X27))/(1+J28*$E$4)</f>
        <v/>
      </c>
      <c r="Y28" s="54">
        <f>(1-K28*$E$4*SUM(Y$25:Y27))/(1+K28*$E$4)</f>
        <v/>
      </c>
      <c r="Z28" s="54">
        <f>(1-L28*$E$4*SUM(Z$25:Z27))/(1+L28*$E$4)</f>
        <v/>
      </c>
      <c r="AA28" s="54">
        <f>(1-M28*$E$4*SUM(AA$25:AA27))/(1+M28*$E$4)</f>
        <v/>
      </c>
      <c r="AB28" s="54">
        <f>(1-N28*$E$4*SUM(AB$25:AB27))/(1+N28*$E$4)</f>
        <v/>
      </c>
      <c r="AC28" s="54">
        <f>(1-O28*$E$4*SUM(AC$25:AC27))/(1+O28*$E$4)</f>
        <v/>
      </c>
      <c r="AD28" s="54">
        <f>(1-P28*$E$4*SUM(AD$25:AD27))/(1+P28*$E$4)</f>
        <v/>
      </c>
      <c r="AE28" s="54">
        <f>(1-Q28*$E$4*SUM(AE$25:AE27))/(1+Q28*$E$4)</f>
        <v/>
      </c>
      <c r="AF28" s="54">
        <f>(1-R28*$E$4*SUM(AF$25:AF27))/(1+R28*$E$4)</f>
        <v/>
      </c>
    </row>
    <row r="29">
      <c r="A29" s="4" t="n">
        <v>5</v>
      </c>
      <c r="B29" s="6">
        <f>A29*0.25</f>
        <v/>
      </c>
      <c r="C29" s="4">
        <f>MIN(MATCH(B29,$B$7:$B$21,1),14)</f>
        <v/>
      </c>
      <c r="D29" s="9">
        <f>(B29-INDEX($B$7:$B$21,C29))/(INDEX($B$7:$B$21,C29+1)-INDEX($B$7:$B$21,C29))</f>
        <v/>
      </c>
      <c r="E29" s="41">
        <f>'Amort-Set-up'!E24</f>
        <v/>
      </c>
      <c r="F29" s="53">
        <f>INDEX($D$7:$P$21,$C29,F$24)+$D29*(INDEX($D$7:$P$21,$C29+1,F$24)-INDEX($D$7:$P$21,$C29,F$24))</f>
        <v/>
      </c>
      <c r="G29" s="53">
        <f>INDEX($D$7:$P$21,$C29,G$24)+$D29*(INDEX($D$7:$P$21,$C29+1,G$24)-INDEX($D$7:$P$21,$C29,G$24))</f>
        <v/>
      </c>
      <c r="H29" s="53">
        <f>INDEX($D$7:$P$21,$C29,H$24)+$D29*(INDEX($D$7:$P$21,$C29+1,H$24)-INDEX($D$7:$P$21,$C29,H$24))</f>
        <v/>
      </c>
      <c r="I29" s="53">
        <f>INDEX($D$7:$P$21,$C29,I$24)+$D29*(INDEX($D$7:$P$21,$C29+1,I$24)-INDEX($D$7:$P$21,$C29,I$24))</f>
        <v/>
      </c>
      <c r="J29" s="53">
        <f>INDEX($D$7:$P$21,$C29,J$24)+$D29*(INDEX($D$7:$P$21,$C29+1,J$24)-INDEX($D$7:$P$21,$C29,J$24))</f>
        <v/>
      </c>
      <c r="K29" s="53">
        <f>INDEX($D$7:$P$21,$C29,K$24)+$D29*(INDEX($D$7:$P$21,$C29+1,K$24)-INDEX($D$7:$P$21,$C29,K$24))</f>
        <v/>
      </c>
      <c r="L29" s="53">
        <f>INDEX($D$7:$P$21,$C29,L$24)+$D29*(INDEX($D$7:$P$21,$C29+1,L$24)-INDEX($D$7:$P$21,$C29,L$24))</f>
        <v/>
      </c>
      <c r="M29" s="53">
        <f>INDEX($D$7:$P$21,$C29,M$24)+$D29*(INDEX($D$7:$P$21,$C29+1,M$24)-INDEX($D$7:$P$21,$C29,M$24))</f>
        <v/>
      </c>
      <c r="N29" s="53">
        <f>INDEX($D$7:$P$21,$C29,N$24)+$D29*(INDEX($D$7:$P$21,$C29+1,N$24)-INDEX($D$7:$P$21,$C29,N$24))</f>
        <v/>
      </c>
      <c r="O29" s="53">
        <f>INDEX($D$7:$P$21,$C29,O$24)+$D29*(INDEX($D$7:$P$21,$C29+1,O$24)-INDEX($D$7:$P$21,$C29,O$24))</f>
        <v/>
      </c>
      <c r="P29" s="53">
        <f>INDEX($D$7:$P$21,$C29,P$24)+$D29*(INDEX($D$7:$P$21,$C29+1,P$24)-INDEX($D$7:$P$21,$C29,P$24))</f>
        <v/>
      </c>
      <c r="Q29" s="53">
        <f>INDEX($D$7:$P$21,$C29,Q$24)+$D29*(INDEX($D$7:$P$21,$C29+1,Q$24)-INDEX($D$7:$P$21,$C29,Q$24))</f>
        <v/>
      </c>
      <c r="R29" s="53">
        <f>INDEX($D$7:$P$21,$C29,R$24)+$D29*(INDEX($D$7:$P$21,$C29+1,R$24)-INDEX($D$7:$P$21,$C29,R$24))</f>
        <v/>
      </c>
      <c r="T29" s="54">
        <f>(1-F29*$E$4*SUM(T$25:T28))/(1+F29*$E$4)</f>
        <v/>
      </c>
      <c r="U29" s="54">
        <f>(1-G29*$E$4*SUM(U$25:U28))/(1+G29*$E$4)</f>
        <v/>
      </c>
      <c r="V29" s="54">
        <f>(1-H29*$E$4*SUM(V$25:V28))/(1+H29*$E$4)</f>
        <v/>
      </c>
      <c r="W29" s="54">
        <f>(1-I29*$E$4*SUM(W$25:W28))/(1+I29*$E$4)</f>
        <v/>
      </c>
      <c r="X29" s="54">
        <f>(1-J29*$E$4*SUM(X$25:X28))/(1+J29*$E$4)</f>
        <v/>
      </c>
      <c r="Y29" s="54">
        <f>(1-K29*$E$4*SUM(Y$25:Y28))/(1+K29*$E$4)</f>
        <v/>
      </c>
      <c r="Z29" s="54">
        <f>(1-L29*$E$4*SUM(Z$25:Z28))/(1+L29*$E$4)</f>
        <v/>
      </c>
      <c r="AA29" s="54">
        <f>(1-M29*$E$4*SUM(AA$25:AA28))/(1+M29*$E$4)</f>
        <v/>
      </c>
      <c r="AB29" s="54">
        <f>(1-N29*$E$4*SUM(AB$25:AB28))/(1+N29*$E$4)</f>
        <v/>
      </c>
      <c r="AC29" s="54">
        <f>(1-O29*$E$4*SUM(AC$25:AC28))/(1+O29*$E$4)</f>
        <v/>
      </c>
      <c r="AD29" s="54">
        <f>(1-P29*$E$4*SUM(AD$25:AD28))/(1+P29*$E$4)</f>
        <v/>
      </c>
      <c r="AE29" s="54">
        <f>(1-Q29*$E$4*SUM(AE$25:AE28))/(1+Q29*$E$4)</f>
        <v/>
      </c>
      <c r="AF29" s="54">
        <f>(1-R29*$E$4*SUM(AF$25:AF28))/(1+R29*$E$4)</f>
        <v/>
      </c>
    </row>
    <row r="30">
      <c r="A30" s="4" t="n">
        <v>6</v>
      </c>
      <c r="B30" s="6">
        <f>A30*0.25</f>
        <v/>
      </c>
      <c r="C30" s="4">
        <f>MIN(MATCH(B30,$B$7:$B$21,1),14)</f>
        <v/>
      </c>
      <c r="D30" s="9">
        <f>(B30-INDEX($B$7:$B$21,C30))/(INDEX($B$7:$B$21,C30+1)-INDEX($B$7:$B$21,C30))</f>
        <v/>
      </c>
      <c r="E30" s="41">
        <f>'Amort-Set-up'!E25</f>
        <v/>
      </c>
      <c r="F30" s="53">
        <f>INDEX($D$7:$P$21,$C30,F$24)+$D30*(INDEX($D$7:$P$21,$C30+1,F$24)-INDEX($D$7:$P$21,$C30,F$24))</f>
        <v/>
      </c>
      <c r="G30" s="53">
        <f>INDEX($D$7:$P$21,$C30,G$24)+$D30*(INDEX($D$7:$P$21,$C30+1,G$24)-INDEX($D$7:$P$21,$C30,G$24))</f>
        <v/>
      </c>
      <c r="H30" s="53">
        <f>INDEX($D$7:$P$21,$C30,H$24)+$D30*(INDEX($D$7:$P$21,$C30+1,H$24)-INDEX($D$7:$P$21,$C30,H$24))</f>
        <v/>
      </c>
      <c r="I30" s="53">
        <f>INDEX($D$7:$P$21,$C30,I$24)+$D30*(INDEX($D$7:$P$21,$C30+1,I$24)-INDEX($D$7:$P$21,$C30,I$24))</f>
        <v/>
      </c>
      <c r="J30" s="53">
        <f>INDEX($D$7:$P$21,$C30,J$24)+$D30*(INDEX($D$7:$P$21,$C30+1,J$24)-INDEX($D$7:$P$21,$C30,J$24))</f>
        <v/>
      </c>
      <c r="K30" s="53">
        <f>INDEX($D$7:$P$21,$C30,K$24)+$D30*(INDEX($D$7:$P$21,$C30+1,K$24)-INDEX($D$7:$P$21,$C30,K$24))</f>
        <v/>
      </c>
      <c r="L30" s="53">
        <f>INDEX($D$7:$P$21,$C30,L$24)+$D30*(INDEX($D$7:$P$21,$C30+1,L$24)-INDEX($D$7:$P$21,$C30,L$24))</f>
        <v/>
      </c>
      <c r="M30" s="53">
        <f>INDEX($D$7:$P$21,$C30,M$24)+$D30*(INDEX($D$7:$P$21,$C30+1,M$24)-INDEX($D$7:$P$21,$C30,M$24))</f>
        <v/>
      </c>
      <c r="N30" s="53">
        <f>INDEX($D$7:$P$21,$C30,N$24)+$D30*(INDEX($D$7:$P$21,$C30+1,N$24)-INDEX($D$7:$P$21,$C30,N$24))</f>
        <v/>
      </c>
      <c r="O30" s="53">
        <f>INDEX($D$7:$P$21,$C30,O$24)+$D30*(INDEX($D$7:$P$21,$C30+1,O$24)-INDEX($D$7:$P$21,$C30,O$24))</f>
        <v/>
      </c>
      <c r="P30" s="53">
        <f>INDEX($D$7:$P$21,$C30,P$24)+$D30*(INDEX($D$7:$P$21,$C30+1,P$24)-INDEX($D$7:$P$21,$C30,P$24))</f>
        <v/>
      </c>
      <c r="Q30" s="53">
        <f>INDEX($D$7:$P$21,$C30,Q$24)+$D30*(INDEX($D$7:$P$21,$C30+1,Q$24)-INDEX($D$7:$P$21,$C30,Q$24))</f>
        <v/>
      </c>
      <c r="R30" s="53">
        <f>INDEX($D$7:$P$21,$C30,R$24)+$D30*(INDEX($D$7:$P$21,$C30+1,R$24)-INDEX($D$7:$P$21,$C30,R$24))</f>
        <v/>
      </c>
      <c r="T30" s="54">
        <f>(1-F30*$E$4*SUM(T$25:T29))/(1+F30*$E$4)</f>
        <v/>
      </c>
      <c r="U30" s="54">
        <f>(1-G30*$E$4*SUM(U$25:U29))/(1+G30*$E$4)</f>
        <v/>
      </c>
      <c r="V30" s="54">
        <f>(1-H30*$E$4*SUM(V$25:V29))/(1+H30*$E$4)</f>
        <v/>
      </c>
      <c r="W30" s="54">
        <f>(1-I30*$E$4*SUM(W$25:W29))/(1+I30*$E$4)</f>
        <v/>
      </c>
      <c r="X30" s="54">
        <f>(1-J30*$E$4*SUM(X$25:X29))/(1+J30*$E$4)</f>
        <v/>
      </c>
      <c r="Y30" s="54">
        <f>(1-K30*$E$4*SUM(Y$25:Y29))/(1+K30*$E$4)</f>
        <v/>
      </c>
      <c r="Z30" s="54">
        <f>(1-L30*$E$4*SUM(Z$25:Z29))/(1+L30*$E$4)</f>
        <v/>
      </c>
      <c r="AA30" s="54">
        <f>(1-M30*$E$4*SUM(AA$25:AA29))/(1+M30*$E$4)</f>
        <v/>
      </c>
      <c r="AB30" s="54">
        <f>(1-N30*$E$4*SUM(AB$25:AB29))/(1+N30*$E$4)</f>
        <v/>
      </c>
      <c r="AC30" s="54">
        <f>(1-O30*$E$4*SUM(AC$25:AC29))/(1+O30*$E$4)</f>
        <v/>
      </c>
      <c r="AD30" s="54">
        <f>(1-P30*$E$4*SUM(AD$25:AD29))/(1+P30*$E$4)</f>
        <v/>
      </c>
      <c r="AE30" s="54">
        <f>(1-Q30*$E$4*SUM(AE$25:AE29))/(1+Q30*$E$4)</f>
        <v/>
      </c>
      <c r="AF30" s="54">
        <f>(1-R30*$E$4*SUM(AF$25:AF29))/(1+R30*$E$4)</f>
        <v/>
      </c>
    </row>
    <row r="31">
      <c r="A31" s="4" t="n">
        <v>7</v>
      </c>
      <c r="B31" s="6">
        <f>A31*0.25</f>
        <v/>
      </c>
      <c r="C31" s="4">
        <f>MIN(MATCH(B31,$B$7:$B$21,1),14)</f>
        <v/>
      </c>
      <c r="D31" s="9">
        <f>(B31-INDEX($B$7:$B$21,C31))/(INDEX($B$7:$B$21,C31+1)-INDEX($B$7:$B$21,C31))</f>
        <v/>
      </c>
      <c r="E31" s="41">
        <f>'Amort-Set-up'!E26</f>
        <v/>
      </c>
      <c r="F31" s="53">
        <f>INDEX($D$7:$P$21,$C31,F$24)+$D31*(INDEX($D$7:$P$21,$C31+1,F$24)-INDEX($D$7:$P$21,$C31,F$24))</f>
        <v/>
      </c>
      <c r="G31" s="53">
        <f>INDEX($D$7:$P$21,$C31,G$24)+$D31*(INDEX($D$7:$P$21,$C31+1,G$24)-INDEX($D$7:$P$21,$C31,G$24))</f>
        <v/>
      </c>
      <c r="H31" s="53">
        <f>INDEX($D$7:$P$21,$C31,H$24)+$D31*(INDEX($D$7:$P$21,$C31+1,H$24)-INDEX($D$7:$P$21,$C31,H$24))</f>
        <v/>
      </c>
      <c r="I31" s="53">
        <f>INDEX($D$7:$P$21,$C31,I$24)+$D31*(INDEX($D$7:$P$21,$C31+1,I$24)-INDEX($D$7:$P$21,$C31,I$24))</f>
        <v/>
      </c>
      <c r="J31" s="53">
        <f>INDEX($D$7:$P$21,$C31,J$24)+$D31*(INDEX($D$7:$P$21,$C31+1,J$24)-INDEX($D$7:$P$21,$C31,J$24))</f>
        <v/>
      </c>
      <c r="K31" s="53">
        <f>INDEX($D$7:$P$21,$C31,K$24)+$D31*(INDEX($D$7:$P$21,$C31+1,K$24)-INDEX($D$7:$P$21,$C31,K$24))</f>
        <v/>
      </c>
      <c r="L31" s="53">
        <f>INDEX($D$7:$P$21,$C31,L$24)+$D31*(INDEX($D$7:$P$21,$C31+1,L$24)-INDEX($D$7:$P$21,$C31,L$24))</f>
        <v/>
      </c>
      <c r="M31" s="53">
        <f>INDEX($D$7:$P$21,$C31,M$24)+$D31*(INDEX($D$7:$P$21,$C31+1,M$24)-INDEX($D$7:$P$21,$C31,M$24))</f>
        <v/>
      </c>
      <c r="N31" s="53">
        <f>INDEX($D$7:$P$21,$C31,N$24)+$D31*(INDEX($D$7:$P$21,$C31+1,N$24)-INDEX($D$7:$P$21,$C31,N$24))</f>
        <v/>
      </c>
      <c r="O31" s="53">
        <f>INDEX($D$7:$P$21,$C31,O$24)+$D31*(INDEX($D$7:$P$21,$C31+1,O$24)-INDEX($D$7:$P$21,$C31,O$24))</f>
        <v/>
      </c>
      <c r="P31" s="53">
        <f>INDEX($D$7:$P$21,$C31,P$24)+$D31*(INDEX($D$7:$P$21,$C31+1,P$24)-INDEX($D$7:$P$21,$C31,P$24))</f>
        <v/>
      </c>
      <c r="Q31" s="53">
        <f>INDEX($D$7:$P$21,$C31,Q$24)+$D31*(INDEX($D$7:$P$21,$C31+1,Q$24)-INDEX($D$7:$P$21,$C31,Q$24))</f>
        <v/>
      </c>
      <c r="R31" s="53">
        <f>INDEX($D$7:$P$21,$C31,R$24)+$D31*(INDEX($D$7:$P$21,$C31+1,R$24)-INDEX($D$7:$P$21,$C31,R$24))</f>
        <v/>
      </c>
      <c r="T31" s="54">
        <f>(1-F31*$E$4*SUM(T$25:T30))/(1+F31*$E$4)</f>
        <v/>
      </c>
      <c r="U31" s="54">
        <f>(1-G31*$E$4*SUM(U$25:U30))/(1+G31*$E$4)</f>
        <v/>
      </c>
      <c r="V31" s="54">
        <f>(1-H31*$E$4*SUM(V$25:V30))/(1+H31*$E$4)</f>
        <v/>
      </c>
      <c r="W31" s="54">
        <f>(1-I31*$E$4*SUM(W$25:W30))/(1+I31*$E$4)</f>
        <v/>
      </c>
      <c r="X31" s="54">
        <f>(1-J31*$E$4*SUM(X$25:X30))/(1+J31*$E$4)</f>
        <v/>
      </c>
      <c r="Y31" s="54">
        <f>(1-K31*$E$4*SUM(Y$25:Y30))/(1+K31*$E$4)</f>
        <v/>
      </c>
      <c r="Z31" s="54">
        <f>(1-L31*$E$4*SUM(Z$25:Z30))/(1+L31*$E$4)</f>
        <v/>
      </c>
      <c r="AA31" s="54">
        <f>(1-M31*$E$4*SUM(AA$25:AA30))/(1+M31*$E$4)</f>
        <v/>
      </c>
      <c r="AB31" s="54">
        <f>(1-N31*$E$4*SUM(AB$25:AB30))/(1+N31*$E$4)</f>
        <v/>
      </c>
      <c r="AC31" s="54">
        <f>(1-O31*$E$4*SUM(AC$25:AC30))/(1+O31*$E$4)</f>
        <v/>
      </c>
      <c r="AD31" s="54">
        <f>(1-P31*$E$4*SUM(AD$25:AD30))/(1+P31*$E$4)</f>
        <v/>
      </c>
      <c r="AE31" s="54">
        <f>(1-Q31*$E$4*SUM(AE$25:AE30))/(1+Q31*$E$4)</f>
        <v/>
      </c>
      <c r="AF31" s="54">
        <f>(1-R31*$E$4*SUM(AF$25:AF30))/(1+R31*$E$4)</f>
        <v/>
      </c>
    </row>
    <row r="32">
      <c r="A32" s="4" t="n">
        <v>8</v>
      </c>
      <c r="B32" s="6">
        <f>A32*0.25</f>
        <v/>
      </c>
      <c r="C32" s="4">
        <f>MIN(MATCH(B32,$B$7:$B$21,1),14)</f>
        <v/>
      </c>
      <c r="D32" s="9">
        <f>(B32-INDEX($B$7:$B$21,C32))/(INDEX($B$7:$B$21,C32+1)-INDEX($B$7:$B$21,C32))</f>
        <v/>
      </c>
      <c r="E32" s="41">
        <f>'Amort-Set-up'!E27</f>
        <v/>
      </c>
      <c r="F32" s="53">
        <f>INDEX($D$7:$P$21,$C32,F$24)+$D32*(INDEX($D$7:$P$21,$C32+1,F$24)-INDEX($D$7:$P$21,$C32,F$24))</f>
        <v/>
      </c>
      <c r="G32" s="53">
        <f>INDEX($D$7:$P$21,$C32,G$24)+$D32*(INDEX($D$7:$P$21,$C32+1,G$24)-INDEX($D$7:$P$21,$C32,G$24))</f>
        <v/>
      </c>
      <c r="H32" s="53">
        <f>INDEX($D$7:$P$21,$C32,H$24)+$D32*(INDEX($D$7:$P$21,$C32+1,H$24)-INDEX($D$7:$P$21,$C32,H$24))</f>
        <v/>
      </c>
      <c r="I32" s="53">
        <f>INDEX($D$7:$P$21,$C32,I$24)+$D32*(INDEX($D$7:$P$21,$C32+1,I$24)-INDEX($D$7:$P$21,$C32,I$24))</f>
        <v/>
      </c>
      <c r="J32" s="53">
        <f>INDEX($D$7:$P$21,$C32,J$24)+$D32*(INDEX($D$7:$P$21,$C32+1,J$24)-INDEX($D$7:$P$21,$C32,J$24))</f>
        <v/>
      </c>
      <c r="K32" s="53">
        <f>INDEX($D$7:$P$21,$C32,K$24)+$D32*(INDEX($D$7:$P$21,$C32+1,K$24)-INDEX($D$7:$P$21,$C32,K$24))</f>
        <v/>
      </c>
      <c r="L32" s="53">
        <f>INDEX($D$7:$P$21,$C32,L$24)+$D32*(INDEX($D$7:$P$21,$C32+1,L$24)-INDEX($D$7:$P$21,$C32,L$24))</f>
        <v/>
      </c>
      <c r="M32" s="53">
        <f>INDEX($D$7:$P$21,$C32,M$24)+$D32*(INDEX($D$7:$P$21,$C32+1,M$24)-INDEX($D$7:$P$21,$C32,M$24))</f>
        <v/>
      </c>
      <c r="N32" s="53">
        <f>INDEX($D$7:$P$21,$C32,N$24)+$D32*(INDEX($D$7:$P$21,$C32+1,N$24)-INDEX($D$7:$P$21,$C32,N$24))</f>
        <v/>
      </c>
      <c r="O32" s="53">
        <f>INDEX($D$7:$P$21,$C32,O$24)+$D32*(INDEX($D$7:$P$21,$C32+1,O$24)-INDEX($D$7:$P$21,$C32,O$24))</f>
        <v/>
      </c>
      <c r="P32" s="53">
        <f>INDEX($D$7:$P$21,$C32,P$24)+$D32*(INDEX($D$7:$P$21,$C32+1,P$24)-INDEX($D$7:$P$21,$C32,P$24))</f>
        <v/>
      </c>
      <c r="Q32" s="53">
        <f>INDEX($D$7:$P$21,$C32,Q$24)+$D32*(INDEX($D$7:$P$21,$C32+1,Q$24)-INDEX($D$7:$P$21,$C32,Q$24))</f>
        <v/>
      </c>
      <c r="R32" s="53">
        <f>INDEX($D$7:$P$21,$C32,R$24)+$D32*(INDEX($D$7:$P$21,$C32+1,R$24)-INDEX($D$7:$P$21,$C32,R$24))</f>
        <v/>
      </c>
      <c r="T32" s="54">
        <f>(1-F32*$E$4*SUM(T$25:T31))/(1+F32*$E$4)</f>
        <v/>
      </c>
      <c r="U32" s="54">
        <f>(1-G32*$E$4*SUM(U$25:U31))/(1+G32*$E$4)</f>
        <v/>
      </c>
      <c r="V32" s="54">
        <f>(1-H32*$E$4*SUM(V$25:V31))/(1+H32*$E$4)</f>
        <v/>
      </c>
      <c r="W32" s="54">
        <f>(1-I32*$E$4*SUM(W$25:W31))/(1+I32*$E$4)</f>
        <v/>
      </c>
      <c r="X32" s="54">
        <f>(1-J32*$E$4*SUM(X$25:X31))/(1+J32*$E$4)</f>
        <v/>
      </c>
      <c r="Y32" s="54">
        <f>(1-K32*$E$4*SUM(Y$25:Y31))/(1+K32*$E$4)</f>
        <v/>
      </c>
      <c r="Z32" s="54">
        <f>(1-L32*$E$4*SUM(Z$25:Z31))/(1+L32*$E$4)</f>
        <v/>
      </c>
      <c r="AA32" s="54">
        <f>(1-M32*$E$4*SUM(AA$25:AA31))/(1+M32*$E$4)</f>
        <v/>
      </c>
      <c r="AB32" s="54">
        <f>(1-N32*$E$4*SUM(AB$25:AB31))/(1+N32*$E$4)</f>
        <v/>
      </c>
      <c r="AC32" s="54">
        <f>(1-O32*$E$4*SUM(AC$25:AC31))/(1+O32*$E$4)</f>
        <v/>
      </c>
      <c r="AD32" s="54">
        <f>(1-P32*$E$4*SUM(AD$25:AD31))/(1+P32*$E$4)</f>
        <v/>
      </c>
      <c r="AE32" s="54">
        <f>(1-Q32*$E$4*SUM(AE$25:AE31))/(1+Q32*$E$4)</f>
        <v/>
      </c>
      <c r="AF32" s="54">
        <f>(1-R32*$E$4*SUM(AF$25:AF31))/(1+R32*$E$4)</f>
        <v/>
      </c>
    </row>
    <row r="33">
      <c r="A33" s="4" t="n">
        <v>9</v>
      </c>
      <c r="B33" s="6">
        <f>A33*0.25</f>
        <v/>
      </c>
      <c r="C33" s="4">
        <f>MIN(MATCH(B33,$B$7:$B$21,1),14)</f>
        <v/>
      </c>
      <c r="D33" s="9">
        <f>(B33-INDEX($B$7:$B$21,C33))/(INDEX($B$7:$B$21,C33+1)-INDEX($B$7:$B$21,C33))</f>
        <v/>
      </c>
      <c r="E33" s="41">
        <f>'Amort-Set-up'!E28</f>
        <v/>
      </c>
      <c r="F33" s="53">
        <f>INDEX($D$7:$P$21,$C33,F$24)+$D33*(INDEX($D$7:$P$21,$C33+1,F$24)-INDEX($D$7:$P$21,$C33,F$24))</f>
        <v/>
      </c>
      <c r="G33" s="53">
        <f>INDEX($D$7:$P$21,$C33,G$24)+$D33*(INDEX($D$7:$P$21,$C33+1,G$24)-INDEX($D$7:$P$21,$C33,G$24))</f>
        <v/>
      </c>
      <c r="H33" s="53">
        <f>INDEX($D$7:$P$21,$C33,H$24)+$D33*(INDEX($D$7:$P$21,$C33+1,H$24)-INDEX($D$7:$P$21,$C33,H$24))</f>
        <v/>
      </c>
      <c r="I33" s="53">
        <f>INDEX($D$7:$P$21,$C33,I$24)+$D33*(INDEX($D$7:$P$21,$C33+1,I$24)-INDEX($D$7:$P$21,$C33,I$24))</f>
        <v/>
      </c>
      <c r="J33" s="53">
        <f>INDEX($D$7:$P$21,$C33,J$24)+$D33*(INDEX($D$7:$P$21,$C33+1,J$24)-INDEX($D$7:$P$21,$C33,J$24))</f>
        <v/>
      </c>
      <c r="K33" s="53">
        <f>INDEX($D$7:$P$21,$C33,K$24)+$D33*(INDEX($D$7:$P$21,$C33+1,K$24)-INDEX($D$7:$P$21,$C33,K$24))</f>
        <v/>
      </c>
      <c r="L33" s="53">
        <f>INDEX($D$7:$P$21,$C33,L$24)+$D33*(INDEX($D$7:$P$21,$C33+1,L$24)-INDEX($D$7:$P$21,$C33,L$24))</f>
        <v/>
      </c>
      <c r="M33" s="53">
        <f>INDEX($D$7:$P$21,$C33,M$24)+$D33*(INDEX($D$7:$P$21,$C33+1,M$24)-INDEX($D$7:$P$21,$C33,M$24))</f>
        <v/>
      </c>
      <c r="N33" s="53">
        <f>INDEX($D$7:$P$21,$C33,N$24)+$D33*(INDEX($D$7:$P$21,$C33+1,N$24)-INDEX($D$7:$P$21,$C33,N$24))</f>
        <v/>
      </c>
      <c r="O33" s="53">
        <f>INDEX($D$7:$P$21,$C33,O$24)+$D33*(INDEX($D$7:$P$21,$C33+1,O$24)-INDEX($D$7:$P$21,$C33,O$24))</f>
        <v/>
      </c>
      <c r="P33" s="53">
        <f>INDEX($D$7:$P$21,$C33,P$24)+$D33*(INDEX($D$7:$P$21,$C33+1,P$24)-INDEX($D$7:$P$21,$C33,P$24))</f>
        <v/>
      </c>
      <c r="Q33" s="53">
        <f>INDEX($D$7:$P$21,$C33,Q$24)+$D33*(INDEX($D$7:$P$21,$C33+1,Q$24)-INDEX($D$7:$P$21,$C33,Q$24))</f>
        <v/>
      </c>
      <c r="R33" s="53">
        <f>INDEX($D$7:$P$21,$C33,R$24)+$D33*(INDEX($D$7:$P$21,$C33+1,R$24)-INDEX($D$7:$P$21,$C33,R$24))</f>
        <v/>
      </c>
      <c r="T33" s="54">
        <f>(1-F33*$E$4*SUM(T$25:T32))/(1+F33*$E$4)</f>
        <v/>
      </c>
      <c r="U33" s="54">
        <f>(1-G33*$E$4*SUM(U$25:U32))/(1+G33*$E$4)</f>
        <v/>
      </c>
      <c r="V33" s="54">
        <f>(1-H33*$E$4*SUM(V$25:V32))/(1+H33*$E$4)</f>
        <v/>
      </c>
      <c r="W33" s="54">
        <f>(1-I33*$E$4*SUM(W$25:W32))/(1+I33*$E$4)</f>
        <v/>
      </c>
      <c r="X33" s="54">
        <f>(1-J33*$E$4*SUM(X$25:X32))/(1+J33*$E$4)</f>
        <v/>
      </c>
      <c r="Y33" s="54">
        <f>(1-K33*$E$4*SUM(Y$25:Y32))/(1+K33*$E$4)</f>
        <v/>
      </c>
      <c r="Z33" s="54">
        <f>(1-L33*$E$4*SUM(Z$25:Z32))/(1+L33*$E$4)</f>
        <v/>
      </c>
      <c r="AA33" s="54">
        <f>(1-M33*$E$4*SUM(AA$25:AA32))/(1+M33*$E$4)</f>
        <v/>
      </c>
      <c r="AB33" s="54">
        <f>(1-N33*$E$4*SUM(AB$25:AB32))/(1+N33*$E$4)</f>
        <v/>
      </c>
      <c r="AC33" s="54">
        <f>(1-O33*$E$4*SUM(AC$25:AC32))/(1+O33*$E$4)</f>
        <v/>
      </c>
      <c r="AD33" s="54">
        <f>(1-P33*$E$4*SUM(AD$25:AD32))/(1+P33*$E$4)</f>
        <v/>
      </c>
      <c r="AE33" s="54">
        <f>(1-Q33*$E$4*SUM(AE$25:AE32))/(1+Q33*$E$4)</f>
        <v/>
      </c>
      <c r="AF33" s="54">
        <f>(1-R33*$E$4*SUM(AF$25:AF32))/(1+R33*$E$4)</f>
        <v/>
      </c>
    </row>
    <row r="34">
      <c r="A34" s="4" t="n">
        <v>10</v>
      </c>
      <c r="B34" s="6">
        <f>A34*0.25</f>
        <v/>
      </c>
      <c r="C34" s="4">
        <f>MIN(MATCH(B34,$B$7:$B$21,1),14)</f>
        <v/>
      </c>
      <c r="D34" s="9">
        <f>(B34-INDEX($B$7:$B$21,C34))/(INDEX($B$7:$B$21,C34+1)-INDEX($B$7:$B$21,C34))</f>
        <v/>
      </c>
      <c r="E34" s="41">
        <f>'Amort-Set-up'!E29</f>
        <v/>
      </c>
      <c r="F34" s="53">
        <f>INDEX($D$7:$P$21,$C34,F$24)+$D34*(INDEX($D$7:$P$21,$C34+1,F$24)-INDEX($D$7:$P$21,$C34,F$24))</f>
        <v/>
      </c>
      <c r="G34" s="53">
        <f>INDEX($D$7:$P$21,$C34,G$24)+$D34*(INDEX($D$7:$P$21,$C34+1,G$24)-INDEX($D$7:$P$21,$C34,G$24))</f>
        <v/>
      </c>
      <c r="H34" s="53">
        <f>INDEX($D$7:$P$21,$C34,H$24)+$D34*(INDEX($D$7:$P$21,$C34+1,H$24)-INDEX($D$7:$P$21,$C34,H$24))</f>
        <v/>
      </c>
      <c r="I34" s="53">
        <f>INDEX($D$7:$P$21,$C34,I$24)+$D34*(INDEX($D$7:$P$21,$C34+1,I$24)-INDEX($D$7:$P$21,$C34,I$24))</f>
        <v/>
      </c>
      <c r="J34" s="53">
        <f>INDEX($D$7:$P$21,$C34,J$24)+$D34*(INDEX($D$7:$P$21,$C34+1,J$24)-INDEX($D$7:$P$21,$C34,J$24))</f>
        <v/>
      </c>
      <c r="K34" s="53">
        <f>INDEX($D$7:$P$21,$C34,K$24)+$D34*(INDEX($D$7:$P$21,$C34+1,K$24)-INDEX($D$7:$P$21,$C34,K$24))</f>
        <v/>
      </c>
      <c r="L34" s="53">
        <f>INDEX($D$7:$P$21,$C34,L$24)+$D34*(INDEX($D$7:$P$21,$C34+1,L$24)-INDEX($D$7:$P$21,$C34,L$24))</f>
        <v/>
      </c>
      <c r="M34" s="53">
        <f>INDEX($D$7:$P$21,$C34,M$24)+$D34*(INDEX($D$7:$P$21,$C34+1,M$24)-INDEX($D$7:$P$21,$C34,M$24))</f>
        <v/>
      </c>
      <c r="N34" s="53">
        <f>INDEX($D$7:$P$21,$C34,N$24)+$D34*(INDEX($D$7:$P$21,$C34+1,N$24)-INDEX($D$7:$P$21,$C34,N$24))</f>
        <v/>
      </c>
      <c r="O34" s="53">
        <f>INDEX($D$7:$P$21,$C34,O$24)+$D34*(INDEX($D$7:$P$21,$C34+1,O$24)-INDEX($D$7:$P$21,$C34,O$24))</f>
        <v/>
      </c>
      <c r="P34" s="53">
        <f>INDEX($D$7:$P$21,$C34,P$24)+$D34*(INDEX($D$7:$P$21,$C34+1,P$24)-INDEX($D$7:$P$21,$C34,P$24))</f>
        <v/>
      </c>
      <c r="Q34" s="53">
        <f>INDEX($D$7:$P$21,$C34,Q$24)+$D34*(INDEX($D$7:$P$21,$C34+1,Q$24)-INDEX($D$7:$P$21,$C34,Q$24))</f>
        <v/>
      </c>
      <c r="R34" s="53">
        <f>INDEX($D$7:$P$21,$C34,R$24)+$D34*(INDEX($D$7:$P$21,$C34+1,R$24)-INDEX($D$7:$P$21,$C34,R$24))</f>
        <v/>
      </c>
      <c r="T34" s="54">
        <f>(1-F34*$E$4*SUM(T$25:T33))/(1+F34*$E$4)</f>
        <v/>
      </c>
      <c r="U34" s="54">
        <f>(1-G34*$E$4*SUM(U$25:U33))/(1+G34*$E$4)</f>
        <v/>
      </c>
      <c r="V34" s="54">
        <f>(1-H34*$E$4*SUM(V$25:V33))/(1+H34*$E$4)</f>
        <v/>
      </c>
      <c r="W34" s="54">
        <f>(1-I34*$E$4*SUM(W$25:W33))/(1+I34*$E$4)</f>
        <v/>
      </c>
      <c r="X34" s="54">
        <f>(1-J34*$E$4*SUM(X$25:X33))/(1+J34*$E$4)</f>
        <v/>
      </c>
      <c r="Y34" s="54">
        <f>(1-K34*$E$4*SUM(Y$25:Y33))/(1+K34*$E$4)</f>
        <v/>
      </c>
      <c r="Z34" s="54">
        <f>(1-L34*$E$4*SUM(Z$25:Z33))/(1+L34*$E$4)</f>
        <v/>
      </c>
      <c r="AA34" s="54">
        <f>(1-M34*$E$4*SUM(AA$25:AA33))/(1+M34*$E$4)</f>
        <v/>
      </c>
      <c r="AB34" s="54">
        <f>(1-N34*$E$4*SUM(AB$25:AB33))/(1+N34*$E$4)</f>
        <v/>
      </c>
      <c r="AC34" s="54">
        <f>(1-O34*$E$4*SUM(AC$25:AC33))/(1+O34*$E$4)</f>
        <v/>
      </c>
      <c r="AD34" s="54">
        <f>(1-P34*$E$4*SUM(AD$25:AD33))/(1+P34*$E$4)</f>
        <v/>
      </c>
      <c r="AE34" s="54">
        <f>(1-Q34*$E$4*SUM(AE$25:AE33))/(1+Q34*$E$4)</f>
        <v/>
      </c>
      <c r="AF34" s="54">
        <f>(1-R34*$E$4*SUM(AF$25:AF33))/(1+R34*$E$4)</f>
        <v/>
      </c>
    </row>
    <row r="35">
      <c r="A35" s="4" t="n">
        <v>11</v>
      </c>
      <c r="B35" s="6">
        <f>A35*0.25</f>
        <v/>
      </c>
      <c r="C35" s="4">
        <f>MIN(MATCH(B35,$B$7:$B$21,1),14)</f>
        <v/>
      </c>
      <c r="D35" s="9">
        <f>(B35-INDEX($B$7:$B$21,C35))/(INDEX($B$7:$B$21,C35+1)-INDEX($B$7:$B$21,C35))</f>
        <v/>
      </c>
      <c r="E35" s="41">
        <f>'Amort-Set-up'!E30</f>
        <v/>
      </c>
      <c r="F35" s="53">
        <f>INDEX($D$7:$P$21,$C35,F$24)+$D35*(INDEX($D$7:$P$21,$C35+1,F$24)-INDEX($D$7:$P$21,$C35,F$24))</f>
        <v/>
      </c>
      <c r="G35" s="53">
        <f>INDEX($D$7:$P$21,$C35,G$24)+$D35*(INDEX($D$7:$P$21,$C35+1,G$24)-INDEX($D$7:$P$21,$C35,G$24))</f>
        <v/>
      </c>
      <c r="H35" s="53">
        <f>INDEX($D$7:$P$21,$C35,H$24)+$D35*(INDEX($D$7:$P$21,$C35+1,H$24)-INDEX($D$7:$P$21,$C35,H$24))</f>
        <v/>
      </c>
      <c r="I35" s="53">
        <f>INDEX($D$7:$P$21,$C35,I$24)+$D35*(INDEX($D$7:$P$21,$C35+1,I$24)-INDEX($D$7:$P$21,$C35,I$24))</f>
        <v/>
      </c>
      <c r="J35" s="53">
        <f>INDEX($D$7:$P$21,$C35,J$24)+$D35*(INDEX($D$7:$P$21,$C35+1,J$24)-INDEX($D$7:$P$21,$C35,J$24))</f>
        <v/>
      </c>
      <c r="K35" s="53">
        <f>INDEX($D$7:$P$21,$C35,K$24)+$D35*(INDEX($D$7:$P$21,$C35+1,K$24)-INDEX($D$7:$P$21,$C35,K$24))</f>
        <v/>
      </c>
      <c r="L35" s="53">
        <f>INDEX($D$7:$P$21,$C35,L$24)+$D35*(INDEX($D$7:$P$21,$C35+1,L$24)-INDEX($D$7:$P$21,$C35,L$24))</f>
        <v/>
      </c>
      <c r="M35" s="53">
        <f>INDEX($D$7:$P$21,$C35,M$24)+$D35*(INDEX($D$7:$P$21,$C35+1,M$24)-INDEX($D$7:$P$21,$C35,M$24))</f>
        <v/>
      </c>
      <c r="N35" s="53">
        <f>INDEX($D$7:$P$21,$C35,N$24)+$D35*(INDEX($D$7:$P$21,$C35+1,N$24)-INDEX($D$7:$P$21,$C35,N$24))</f>
        <v/>
      </c>
      <c r="O35" s="53">
        <f>INDEX($D$7:$P$21,$C35,O$24)+$D35*(INDEX($D$7:$P$21,$C35+1,O$24)-INDEX($D$7:$P$21,$C35,O$24))</f>
        <v/>
      </c>
      <c r="P35" s="53">
        <f>INDEX($D$7:$P$21,$C35,P$24)+$D35*(INDEX($D$7:$P$21,$C35+1,P$24)-INDEX($D$7:$P$21,$C35,P$24))</f>
        <v/>
      </c>
      <c r="Q35" s="53">
        <f>INDEX($D$7:$P$21,$C35,Q$24)+$D35*(INDEX($D$7:$P$21,$C35+1,Q$24)-INDEX($D$7:$P$21,$C35,Q$24))</f>
        <v/>
      </c>
      <c r="R35" s="53">
        <f>INDEX($D$7:$P$21,$C35,R$24)+$D35*(INDEX($D$7:$P$21,$C35+1,R$24)-INDEX($D$7:$P$21,$C35,R$24))</f>
        <v/>
      </c>
      <c r="T35" s="54">
        <f>(1-F35*$E$4*SUM(T$25:T34))/(1+F35*$E$4)</f>
        <v/>
      </c>
      <c r="U35" s="54">
        <f>(1-G35*$E$4*SUM(U$25:U34))/(1+G35*$E$4)</f>
        <v/>
      </c>
      <c r="V35" s="54">
        <f>(1-H35*$E$4*SUM(V$25:V34))/(1+H35*$E$4)</f>
        <v/>
      </c>
      <c r="W35" s="54">
        <f>(1-I35*$E$4*SUM(W$25:W34))/(1+I35*$E$4)</f>
        <v/>
      </c>
      <c r="X35" s="54">
        <f>(1-J35*$E$4*SUM(X$25:X34))/(1+J35*$E$4)</f>
        <v/>
      </c>
      <c r="Y35" s="54">
        <f>(1-K35*$E$4*SUM(Y$25:Y34))/(1+K35*$E$4)</f>
        <v/>
      </c>
      <c r="Z35" s="54">
        <f>(1-L35*$E$4*SUM(Z$25:Z34))/(1+L35*$E$4)</f>
        <v/>
      </c>
      <c r="AA35" s="54">
        <f>(1-M35*$E$4*SUM(AA$25:AA34))/(1+M35*$E$4)</f>
        <v/>
      </c>
      <c r="AB35" s="54">
        <f>(1-N35*$E$4*SUM(AB$25:AB34))/(1+N35*$E$4)</f>
        <v/>
      </c>
      <c r="AC35" s="54">
        <f>(1-O35*$E$4*SUM(AC$25:AC34))/(1+O35*$E$4)</f>
        <v/>
      </c>
      <c r="AD35" s="54">
        <f>(1-P35*$E$4*SUM(AD$25:AD34))/(1+P35*$E$4)</f>
        <v/>
      </c>
      <c r="AE35" s="54">
        <f>(1-Q35*$E$4*SUM(AE$25:AE34))/(1+Q35*$E$4)</f>
        <v/>
      </c>
      <c r="AF35" s="54">
        <f>(1-R35*$E$4*SUM(AF$25:AF34))/(1+R35*$E$4)</f>
        <v/>
      </c>
    </row>
    <row r="36">
      <c r="A36" s="4" t="n">
        <v>12</v>
      </c>
      <c r="B36" s="6">
        <f>A36*0.25</f>
        <v/>
      </c>
      <c r="C36" s="4">
        <f>MIN(MATCH(B36,$B$7:$B$21,1),14)</f>
        <v/>
      </c>
      <c r="D36" s="9">
        <f>(B36-INDEX($B$7:$B$21,C36))/(INDEX($B$7:$B$21,C36+1)-INDEX($B$7:$B$21,C36))</f>
        <v/>
      </c>
      <c r="E36" s="41">
        <f>'Amort-Set-up'!E31</f>
        <v/>
      </c>
      <c r="F36" s="53">
        <f>INDEX($D$7:$P$21,$C36,F$24)+$D36*(INDEX($D$7:$P$21,$C36+1,F$24)-INDEX($D$7:$P$21,$C36,F$24))</f>
        <v/>
      </c>
      <c r="G36" s="53">
        <f>INDEX($D$7:$P$21,$C36,G$24)+$D36*(INDEX($D$7:$P$21,$C36+1,G$24)-INDEX($D$7:$P$21,$C36,G$24))</f>
        <v/>
      </c>
      <c r="H36" s="53">
        <f>INDEX($D$7:$P$21,$C36,H$24)+$D36*(INDEX($D$7:$P$21,$C36+1,H$24)-INDEX($D$7:$P$21,$C36,H$24))</f>
        <v/>
      </c>
      <c r="I36" s="53">
        <f>INDEX($D$7:$P$21,$C36,I$24)+$D36*(INDEX($D$7:$P$21,$C36+1,I$24)-INDEX($D$7:$P$21,$C36,I$24))</f>
        <v/>
      </c>
      <c r="J36" s="53">
        <f>INDEX($D$7:$P$21,$C36,J$24)+$D36*(INDEX($D$7:$P$21,$C36+1,J$24)-INDEX($D$7:$P$21,$C36,J$24))</f>
        <v/>
      </c>
      <c r="K36" s="53">
        <f>INDEX($D$7:$P$21,$C36,K$24)+$D36*(INDEX($D$7:$P$21,$C36+1,K$24)-INDEX($D$7:$P$21,$C36,K$24))</f>
        <v/>
      </c>
      <c r="L36" s="53">
        <f>INDEX($D$7:$P$21,$C36,L$24)+$D36*(INDEX($D$7:$P$21,$C36+1,L$24)-INDEX($D$7:$P$21,$C36,L$24))</f>
        <v/>
      </c>
      <c r="M36" s="53">
        <f>INDEX($D$7:$P$21,$C36,M$24)+$D36*(INDEX($D$7:$P$21,$C36+1,M$24)-INDEX($D$7:$P$21,$C36,M$24))</f>
        <v/>
      </c>
      <c r="N36" s="53">
        <f>INDEX($D$7:$P$21,$C36,N$24)+$D36*(INDEX($D$7:$P$21,$C36+1,N$24)-INDEX($D$7:$P$21,$C36,N$24))</f>
        <v/>
      </c>
      <c r="O36" s="53">
        <f>INDEX($D$7:$P$21,$C36,O$24)+$D36*(INDEX($D$7:$P$21,$C36+1,O$24)-INDEX($D$7:$P$21,$C36,O$24))</f>
        <v/>
      </c>
      <c r="P36" s="53">
        <f>INDEX($D$7:$P$21,$C36,P$24)+$D36*(INDEX($D$7:$P$21,$C36+1,P$24)-INDEX($D$7:$P$21,$C36,P$24))</f>
        <v/>
      </c>
      <c r="Q36" s="53">
        <f>INDEX($D$7:$P$21,$C36,Q$24)+$D36*(INDEX($D$7:$P$21,$C36+1,Q$24)-INDEX($D$7:$P$21,$C36,Q$24))</f>
        <v/>
      </c>
      <c r="R36" s="53">
        <f>INDEX($D$7:$P$21,$C36,R$24)+$D36*(INDEX($D$7:$P$21,$C36+1,R$24)-INDEX($D$7:$P$21,$C36,R$24))</f>
        <v/>
      </c>
      <c r="T36" s="54">
        <f>(1-F36*$E$4*SUM(T$25:T35))/(1+F36*$E$4)</f>
        <v/>
      </c>
      <c r="U36" s="54">
        <f>(1-G36*$E$4*SUM(U$25:U35))/(1+G36*$E$4)</f>
        <v/>
      </c>
      <c r="V36" s="54">
        <f>(1-H36*$E$4*SUM(V$25:V35))/(1+H36*$E$4)</f>
        <v/>
      </c>
      <c r="W36" s="54">
        <f>(1-I36*$E$4*SUM(W$25:W35))/(1+I36*$E$4)</f>
        <v/>
      </c>
      <c r="X36" s="54">
        <f>(1-J36*$E$4*SUM(X$25:X35))/(1+J36*$E$4)</f>
        <v/>
      </c>
      <c r="Y36" s="54">
        <f>(1-K36*$E$4*SUM(Y$25:Y35))/(1+K36*$E$4)</f>
        <v/>
      </c>
      <c r="Z36" s="54">
        <f>(1-L36*$E$4*SUM(Z$25:Z35))/(1+L36*$E$4)</f>
        <v/>
      </c>
      <c r="AA36" s="54">
        <f>(1-M36*$E$4*SUM(AA$25:AA35))/(1+M36*$E$4)</f>
        <v/>
      </c>
      <c r="AB36" s="54">
        <f>(1-N36*$E$4*SUM(AB$25:AB35))/(1+N36*$E$4)</f>
        <v/>
      </c>
      <c r="AC36" s="54">
        <f>(1-O36*$E$4*SUM(AC$25:AC35))/(1+O36*$E$4)</f>
        <v/>
      </c>
      <c r="AD36" s="54">
        <f>(1-P36*$E$4*SUM(AD$25:AD35))/(1+P36*$E$4)</f>
        <v/>
      </c>
      <c r="AE36" s="54">
        <f>(1-Q36*$E$4*SUM(AE$25:AE35))/(1+Q36*$E$4)</f>
        <v/>
      </c>
      <c r="AF36" s="54">
        <f>(1-R36*$E$4*SUM(AF$25:AF35))/(1+R36*$E$4)</f>
        <v/>
      </c>
    </row>
    <row r="37">
      <c r="A37" s="4" t="n">
        <v>13</v>
      </c>
      <c r="B37" s="6">
        <f>A37*0.25</f>
        <v/>
      </c>
      <c r="C37" s="4">
        <f>MIN(MATCH(B37,$B$7:$B$21,1),14)</f>
        <v/>
      </c>
      <c r="D37" s="9">
        <f>(B37-INDEX($B$7:$B$21,C37))/(INDEX($B$7:$B$21,C37+1)-INDEX($B$7:$B$21,C37))</f>
        <v/>
      </c>
      <c r="E37" s="41">
        <f>'Amort-Set-up'!E32</f>
        <v/>
      </c>
      <c r="F37" s="53">
        <f>INDEX($D$7:$P$21,$C37,F$24)+$D37*(INDEX($D$7:$P$21,$C37+1,F$24)-INDEX($D$7:$P$21,$C37,F$24))</f>
        <v/>
      </c>
      <c r="G37" s="53">
        <f>INDEX($D$7:$P$21,$C37,G$24)+$D37*(INDEX($D$7:$P$21,$C37+1,G$24)-INDEX($D$7:$P$21,$C37,G$24))</f>
        <v/>
      </c>
      <c r="H37" s="53">
        <f>INDEX($D$7:$P$21,$C37,H$24)+$D37*(INDEX($D$7:$P$21,$C37+1,H$24)-INDEX($D$7:$P$21,$C37,H$24))</f>
        <v/>
      </c>
      <c r="I37" s="53">
        <f>INDEX($D$7:$P$21,$C37,I$24)+$D37*(INDEX($D$7:$P$21,$C37+1,I$24)-INDEX($D$7:$P$21,$C37,I$24))</f>
        <v/>
      </c>
      <c r="J37" s="53">
        <f>INDEX($D$7:$P$21,$C37,J$24)+$D37*(INDEX($D$7:$P$21,$C37+1,J$24)-INDEX($D$7:$P$21,$C37,J$24))</f>
        <v/>
      </c>
      <c r="K37" s="53">
        <f>INDEX($D$7:$P$21,$C37,K$24)+$D37*(INDEX($D$7:$P$21,$C37+1,K$24)-INDEX($D$7:$P$21,$C37,K$24))</f>
        <v/>
      </c>
      <c r="L37" s="53">
        <f>INDEX($D$7:$P$21,$C37,L$24)+$D37*(INDEX($D$7:$P$21,$C37+1,L$24)-INDEX($D$7:$P$21,$C37,L$24))</f>
        <v/>
      </c>
      <c r="M37" s="53">
        <f>INDEX($D$7:$P$21,$C37,M$24)+$D37*(INDEX($D$7:$P$21,$C37+1,M$24)-INDEX($D$7:$P$21,$C37,M$24))</f>
        <v/>
      </c>
      <c r="N37" s="53">
        <f>INDEX($D$7:$P$21,$C37,N$24)+$D37*(INDEX($D$7:$P$21,$C37+1,N$24)-INDEX($D$7:$P$21,$C37,N$24))</f>
        <v/>
      </c>
      <c r="O37" s="53">
        <f>INDEX($D$7:$P$21,$C37,O$24)+$D37*(INDEX($D$7:$P$21,$C37+1,O$24)-INDEX($D$7:$P$21,$C37,O$24))</f>
        <v/>
      </c>
      <c r="P37" s="53">
        <f>INDEX($D$7:$P$21,$C37,P$24)+$D37*(INDEX($D$7:$P$21,$C37+1,P$24)-INDEX($D$7:$P$21,$C37,P$24))</f>
        <v/>
      </c>
      <c r="Q37" s="53">
        <f>INDEX($D$7:$P$21,$C37,Q$24)+$D37*(INDEX($D$7:$P$21,$C37+1,Q$24)-INDEX($D$7:$P$21,$C37,Q$24))</f>
        <v/>
      </c>
      <c r="R37" s="53">
        <f>INDEX($D$7:$P$21,$C37,R$24)+$D37*(INDEX($D$7:$P$21,$C37+1,R$24)-INDEX($D$7:$P$21,$C37,R$24))</f>
        <v/>
      </c>
      <c r="T37" s="54">
        <f>(1-F37*$E$4*SUM(T$25:T36))/(1+F37*$E$4)</f>
        <v/>
      </c>
      <c r="U37" s="54">
        <f>(1-G37*$E$4*SUM(U$25:U36))/(1+G37*$E$4)</f>
        <v/>
      </c>
      <c r="V37" s="54">
        <f>(1-H37*$E$4*SUM(V$25:V36))/(1+H37*$E$4)</f>
        <v/>
      </c>
      <c r="W37" s="54">
        <f>(1-I37*$E$4*SUM(W$25:W36))/(1+I37*$E$4)</f>
        <v/>
      </c>
      <c r="X37" s="54">
        <f>(1-J37*$E$4*SUM(X$25:X36))/(1+J37*$E$4)</f>
        <v/>
      </c>
      <c r="Y37" s="54">
        <f>(1-K37*$E$4*SUM(Y$25:Y36))/(1+K37*$E$4)</f>
        <v/>
      </c>
      <c r="Z37" s="54">
        <f>(1-L37*$E$4*SUM(Z$25:Z36))/(1+L37*$E$4)</f>
        <v/>
      </c>
      <c r="AA37" s="54">
        <f>(1-M37*$E$4*SUM(AA$25:AA36))/(1+M37*$E$4)</f>
        <v/>
      </c>
      <c r="AB37" s="54">
        <f>(1-N37*$E$4*SUM(AB$25:AB36))/(1+N37*$E$4)</f>
        <v/>
      </c>
      <c r="AC37" s="54">
        <f>(1-O37*$E$4*SUM(AC$25:AC36))/(1+O37*$E$4)</f>
        <v/>
      </c>
      <c r="AD37" s="54">
        <f>(1-P37*$E$4*SUM(AD$25:AD36))/(1+P37*$E$4)</f>
        <v/>
      </c>
      <c r="AE37" s="54">
        <f>(1-Q37*$E$4*SUM(AE$25:AE36))/(1+Q37*$E$4)</f>
        <v/>
      </c>
      <c r="AF37" s="54">
        <f>(1-R37*$E$4*SUM(AF$25:AF36))/(1+R37*$E$4)</f>
        <v/>
      </c>
    </row>
    <row r="38">
      <c r="A38" s="4" t="n">
        <v>14</v>
      </c>
      <c r="B38" s="6">
        <f>A38*0.25</f>
        <v/>
      </c>
      <c r="C38" s="4">
        <f>MIN(MATCH(B38,$B$7:$B$21,1),14)</f>
        <v/>
      </c>
      <c r="D38" s="9">
        <f>(B38-INDEX($B$7:$B$21,C38))/(INDEX($B$7:$B$21,C38+1)-INDEX($B$7:$B$21,C38))</f>
        <v/>
      </c>
      <c r="E38" s="41">
        <f>'Amort-Set-up'!E33</f>
        <v/>
      </c>
      <c r="F38" s="53">
        <f>INDEX($D$7:$P$21,$C38,F$24)+$D38*(INDEX($D$7:$P$21,$C38+1,F$24)-INDEX($D$7:$P$21,$C38,F$24))</f>
        <v/>
      </c>
      <c r="G38" s="53">
        <f>INDEX($D$7:$P$21,$C38,G$24)+$D38*(INDEX($D$7:$P$21,$C38+1,G$24)-INDEX($D$7:$P$21,$C38,G$24))</f>
        <v/>
      </c>
      <c r="H38" s="53">
        <f>INDEX($D$7:$P$21,$C38,H$24)+$D38*(INDEX($D$7:$P$21,$C38+1,H$24)-INDEX($D$7:$P$21,$C38,H$24))</f>
        <v/>
      </c>
      <c r="I38" s="53">
        <f>INDEX($D$7:$P$21,$C38,I$24)+$D38*(INDEX($D$7:$P$21,$C38+1,I$24)-INDEX($D$7:$P$21,$C38,I$24))</f>
        <v/>
      </c>
      <c r="J38" s="53">
        <f>INDEX($D$7:$P$21,$C38,J$24)+$D38*(INDEX($D$7:$P$21,$C38+1,J$24)-INDEX($D$7:$P$21,$C38,J$24))</f>
        <v/>
      </c>
      <c r="K38" s="53">
        <f>INDEX($D$7:$P$21,$C38,K$24)+$D38*(INDEX($D$7:$P$21,$C38+1,K$24)-INDEX($D$7:$P$21,$C38,K$24))</f>
        <v/>
      </c>
      <c r="L38" s="53">
        <f>INDEX($D$7:$P$21,$C38,L$24)+$D38*(INDEX($D$7:$P$21,$C38+1,L$24)-INDEX($D$7:$P$21,$C38,L$24))</f>
        <v/>
      </c>
      <c r="M38" s="53">
        <f>INDEX($D$7:$P$21,$C38,M$24)+$D38*(INDEX($D$7:$P$21,$C38+1,M$24)-INDEX($D$7:$P$21,$C38,M$24))</f>
        <v/>
      </c>
      <c r="N38" s="53">
        <f>INDEX($D$7:$P$21,$C38,N$24)+$D38*(INDEX($D$7:$P$21,$C38+1,N$24)-INDEX($D$7:$P$21,$C38,N$24))</f>
        <v/>
      </c>
      <c r="O38" s="53">
        <f>INDEX($D$7:$P$21,$C38,O$24)+$D38*(INDEX($D$7:$P$21,$C38+1,O$24)-INDEX($D$7:$P$21,$C38,O$24))</f>
        <v/>
      </c>
      <c r="P38" s="53">
        <f>INDEX($D$7:$P$21,$C38,P$24)+$D38*(INDEX($D$7:$P$21,$C38+1,P$24)-INDEX($D$7:$P$21,$C38,P$24))</f>
        <v/>
      </c>
      <c r="Q38" s="53">
        <f>INDEX($D$7:$P$21,$C38,Q$24)+$D38*(INDEX($D$7:$P$21,$C38+1,Q$24)-INDEX($D$7:$P$21,$C38,Q$24))</f>
        <v/>
      </c>
      <c r="R38" s="53">
        <f>INDEX($D$7:$P$21,$C38,R$24)+$D38*(INDEX($D$7:$P$21,$C38+1,R$24)-INDEX($D$7:$P$21,$C38,R$24))</f>
        <v/>
      </c>
      <c r="T38" s="54">
        <f>(1-F38*$E$4*SUM(T$25:T37))/(1+F38*$E$4)</f>
        <v/>
      </c>
      <c r="U38" s="54">
        <f>(1-G38*$E$4*SUM(U$25:U37))/(1+G38*$E$4)</f>
        <v/>
      </c>
      <c r="V38" s="54">
        <f>(1-H38*$E$4*SUM(V$25:V37))/(1+H38*$E$4)</f>
        <v/>
      </c>
      <c r="W38" s="54">
        <f>(1-I38*$E$4*SUM(W$25:W37))/(1+I38*$E$4)</f>
        <v/>
      </c>
      <c r="X38" s="54">
        <f>(1-J38*$E$4*SUM(X$25:X37))/(1+J38*$E$4)</f>
        <v/>
      </c>
      <c r="Y38" s="54">
        <f>(1-K38*$E$4*SUM(Y$25:Y37))/(1+K38*$E$4)</f>
        <v/>
      </c>
      <c r="Z38" s="54">
        <f>(1-L38*$E$4*SUM(Z$25:Z37))/(1+L38*$E$4)</f>
        <v/>
      </c>
      <c r="AA38" s="54">
        <f>(1-M38*$E$4*SUM(AA$25:AA37))/(1+M38*$E$4)</f>
        <v/>
      </c>
      <c r="AB38" s="54">
        <f>(1-N38*$E$4*SUM(AB$25:AB37))/(1+N38*$E$4)</f>
        <v/>
      </c>
      <c r="AC38" s="54">
        <f>(1-O38*$E$4*SUM(AC$25:AC37))/(1+O38*$E$4)</f>
        <v/>
      </c>
      <c r="AD38" s="54">
        <f>(1-P38*$E$4*SUM(AD$25:AD37))/(1+P38*$E$4)</f>
        <v/>
      </c>
      <c r="AE38" s="54">
        <f>(1-Q38*$E$4*SUM(AE$25:AE37))/(1+Q38*$E$4)</f>
        <v/>
      </c>
      <c r="AF38" s="54">
        <f>(1-R38*$E$4*SUM(AF$25:AF37))/(1+R38*$E$4)</f>
        <v/>
      </c>
    </row>
    <row r="39">
      <c r="A39" s="4" t="n">
        <v>15</v>
      </c>
      <c r="B39" s="6">
        <f>A39*0.25</f>
        <v/>
      </c>
      <c r="C39" s="4">
        <f>MIN(MATCH(B39,$B$7:$B$21,1),14)</f>
        <v/>
      </c>
      <c r="D39" s="9">
        <f>(B39-INDEX($B$7:$B$21,C39))/(INDEX($B$7:$B$21,C39+1)-INDEX($B$7:$B$21,C39))</f>
        <v/>
      </c>
      <c r="E39" s="41">
        <f>'Amort-Set-up'!E34</f>
        <v/>
      </c>
      <c r="F39" s="53">
        <f>INDEX($D$7:$P$21,$C39,F$24)+$D39*(INDEX($D$7:$P$21,$C39+1,F$24)-INDEX($D$7:$P$21,$C39,F$24))</f>
        <v/>
      </c>
      <c r="G39" s="53">
        <f>INDEX($D$7:$P$21,$C39,G$24)+$D39*(INDEX($D$7:$P$21,$C39+1,G$24)-INDEX($D$7:$P$21,$C39,G$24))</f>
        <v/>
      </c>
      <c r="H39" s="53">
        <f>INDEX($D$7:$P$21,$C39,H$24)+$D39*(INDEX($D$7:$P$21,$C39+1,H$24)-INDEX($D$7:$P$21,$C39,H$24))</f>
        <v/>
      </c>
      <c r="I39" s="53">
        <f>INDEX($D$7:$P$21,$C39,I$24)+$D39*(INDEX($D$7:$P$21,$C39+1,I$24)-INDEX($D$7:$P$21,$C39,I$24))</f>
        <v/>
      </c>
      <c r="J39" s="53">
        <f>INDEX($D$7:$P$21,$C39,J$24)+$D39*(INDEX($D$7:$P$21,$C39+1,J$24)-INDEX($D$7:$P$21,$C39,J$24))</f>
        <v/>
      </c>
      <c r="K39" s="53">
        <f>INDEX($D$7:$P$21,$C39,K$24)+$D39*(INDEX($D$7:$P$21,$C39+1,K$24)-INDEX($D$7:$P$21,$C39,K$24))</f>
        <v/>
      </c>
      <c r="L39" s="53">
        <f>INDEX($D$7:$P$21,$C39,L$24)+$D39*(INDEX($D$7:$P$21,$C39+1,L$24)-INDEX($D$7:$P$21,$C39,L$24))</f>
        <v/>
      </c>
      <c r="M39" s="53">
        <f>INDEX($D$7:$P$21,$C39,M$24)+$D39*(INDEX($D$7:$P$21,$C39+1,M$24)-INDEX($D$7:$P$21,$C39,M$24))</f>
        <v/>
      </c>
      <c r="N39" s="53">
        <f>INDEX($D$7:$P$21,$C39,N$24)+$D39*(INDEX($D$7:$P$21,$C39+1,N$24)-INDEX($D$7:$P$21,$C39,N$24))</f>
        <v/>
      </c>
      <c r="O39" s="53">
        <f>INDEX($D$7:$P$21,$C39,O$24)+$D39*(INDEX($D$7:$P$21,$C39+1,O$24)-INDEX($D$7:$P$21,$C39,O$24))</f>
        <v/>
      </c>
      <c r="P39" s="53">
        <f>INDEX($D$7:$P$21,$C39,P$24)+$D39*(INDEX($D$7:$P$21,$C39+1,P$24)-INDEX($D$7:$P$21,$C39,P$24))</f>
        <v/>
      </c>
      <c r="Q39" s="53">
        <f>INDEX($D$7:$P$21,$C39,Q$24)+$D39*(INDEX($D$7:$P$21,$C39+1,Q$24)-INDEX($D$7:$P$21,$C39,Q$24))</f>
        <v/>
      </c>
      <c r="R39" s="53">
        <f>INDEX($D$7:$P$21,$C39,R$24)+$D39*(INDEX($D$7:$P$21,$C39+1,R$24)-INDEX($D$7:$P$21,$C39,R$24))</f>
        <v/>
      </c>
      <c r="T39" s="54">
        <f>(1-F39*$E$4*SUM(T$25:T38))/(1+F39*$E$4)</f>
        <v/>
      </c>
      <c r="U39" s="54">
        <f>(1-G39*$E$4*SUM(U$25:U38))/(1+G39*$E$4)</f>
        <v/>
      </c>
      <c r="V39" s="54">
        <f>(1-H39*$E$4*SUM(V$25:V38))/(1+H39*$E$4)</f>
        <v/>
      </c>
      <c r="W39" s="54">
        <f>(1-I39*$E$4*SUM(W$25:W38))/(1+I39*$E$4)</f>
        <v/>
      </c>
      <c r="X39" s="54">
        <f>(1-J39*$E$4*SUM(X$25:X38))/(1+J39*$E$4)</f>
        <v/>
      </c>
      <c r="Y39" s="54">
        <f>(1-K39*$E$4*SUM(Y$25:Y38))/(1+K39*$E$4)</f>
        <v/>
      </c>
      <c r="Z39" s="54">
        <f>(1-L39*$E$4*SUM(Z$25:Z38))/(1+L39*$E$4)</f>
        <v/>
      </c>
      <c r="AA39" s="54">
        <f>(1-M39*$E$4*SUM(AA$25:AA38))/(1+M39*$E$4)</f>
        <v/>
      </c>
      <c r="AB39" s="54">
        <f>(1-N39*$E$4*SUM(AB$25:AB38))/(1+N39*$E$4)</f>
        <v/>
      </c>
      <c r="AC39" s="54">
        <f>(1-O39*$E$4*SUM(AC$25:AC38))/(1+O39*$E$4)</f>
        <v/>
      </c>
      <c r="AD39" s="54">
        <f>(1-P39*$E$4*SUM(AD$25:AD38))/(1+P39*$E$4)</f>
        <v/>
      </c>
      <c r="AE39" s="54">
        <f>(1-Q39*$E$4*SUM(AE$25:AE38))/(1+Q39*$E$4)</f>
        <v/>
      </c>
      <c r="AF39" s="54">
        <f>(1-R39*$E$4*SUM(AF$25:AF38))/(1+R39*$E$4)</f>
        <v/>
      </c>
    </row>
    <row r="40">
      <c r="A40" s="4" t="n">
        <v>16</v>
      </c>
      <c r="B40" s="6">
        <f>A40*0.25</f>
        <v/>
      </c>
      <c r="C40" s="4">
        <f>MIN(MATCH(B40,$B$7:$B$21,1),14)</f>
        <v/>
      </c>
      <c r="D40" s="9">
        <f>(B40-INDEX($B$7:$B$21,C40))/(INDEX($B$7:$B$21,C40+1)-INDEX($B$7:$B$21,C40))</f>
        <v/>
      </c>
      <c r="E40" s="41">
        <f>'Amort-Set-up'!E35</f>
        <v/>
      </c>
      <c r="F40" s="53">
        <f>INDEX($D$7:$P$21,$C40,F$24)+$D40*(INDEX($D$7:$P$21,$C40+1,F$24)-INDEX($D$7:$P$21,$C40,F$24))</f>
        <v/>
      </c>
      <c r="G40" s="53">
        <f>INDEX($D$7:$P$21,$C40,G$24)+$D40*(INDEX($D$7:$P$21,$C40+1,G$24)-INDEX($D$7:$P$21,$C40,G$24))</f>
        <v/>
      </c>
      <c r="H40" s="53">
        <f>INDEX($D$7:$P$21,$C40,H$24)+$D40*(INDEX($D$7:$P$21,$C40+1,H$24)-INDEX($D$7:$P$21,$C40,H$24))</f>
        <v/>
      </c>
      <c r="I40" s="53">
        <f>INDEX($D$7:$P$21,$C40,I$24)+$D40*(INDEX($D$7:$P$21,$C40+1,I$24)-INDEX($D$7:$P$21,$C40,I$24))</f>
        <v/>
      </c>
      <c r="J40" s="53">
        <f>INDEX($D$7:$P$21,$C40,J$24)+$D40*(INDEX($D$7:$P$21,$C40+1,J$24)-INDEX($D$7:$P$21,$C40,J$24))</f>
        <v/>
      </c>
      <c r="K40" s="53">
        <f>INDEX($D$7:$P$21,$C40,K$24)+$D40*(INDEX($D$7:$P$21,$C40+1,K$24)-INDEX($D$7:$P$21,$C40,K$24))</f>
        <v/>
      </c>
      <c r="L40" s="53">
        <f>INDEX($D$7:$P$21,$C40,L$24)+$D40*(INDEX($D$7:$P$21,$C40+1,L$24)-INDEX($D$7:$P$21,$C40,L$24))</f>
        <v/>
      </c>
      <c r="M40" s="53">
        <f>INDEX($D$7:$P$21,$C40,M$24)+$D40*(INDEX($D$7:$P$21,$C40+1,M$24)-INDEX($D$7:$P$21,$C40,M$24))</f>
        <v/>
      </c>
      <c r="N40" s="53">
        <f>INDEX($D$7:$P$21,$C40,N$24)+$D40*(INDEX($D$7:$P$21,$C40+1,N$24)-INDEX($D$7:$P$21,$C40,N$24))</f>
        <v/>
      </c>
      <c r="O40" s="53">
        <f>INDEX($D$7:$P$21,$C40,O$24)+$D40*(INDEX($D$7:$P$21,$C40+1,O$24)-INDEX($D$7:$P$21,$C40,O$24))</f>
        <v/>
      </c>
      <c r="P40" s="53">
        <f>INDEX($D$7:$P$21,$C40,P$24)+$D40*(INDEX($D$7:$P$21,$C40+1,P$24)-INDEX($D$7:$P$21,$C40,P$24))</f>
        <v/>
      </c>
      <c r="Q40" s="53">
        <f>INDEX($D$7:$P$21,$C40,Q$24)+$D40*(INDEX($D$7:$P$21,$C40+1,Q$24)-INDEX($D$7:$P$21,$C40,Q$24))</f>
        <v/>
      </c>
      <c r="R40" s="53">
        <f>INDEX($D$7:$P$21,$C40,R$24)+$D40*(INDEX($D$7:$P$21,$C40+1,R$24)-INDEX($D$7:$P$21,$C40,R$24))</f>
        <v/>
      </c>
      <c r="T40" s="54">
        <f>(1-F40*$E$4*SUM(T$25:T39))/(1+F40*$E$4)</f>
        <v/>
      </c>
      <c r="U40" s="54">
        <f>(1-G40*$E$4*SUM(U$25:U39))/(1+G40*$E$4)</f>
        <v/>
      </c>
      <c r="V40" s="54">
        <f>(1-H40*$E$4*SUM(V$25:V39))/(1+H40*$E$4)</f>
        <v/>
      </c>
      <c r="W40" s="54">
        <f>(1-I40*$E$4*SUM(W$25:W39))/(1+I40*$E$4)</f>
        <v/>
      </c>
      <c r="X40" s="54">
        <f>(1-J40*$E$4*SUM(X$25:X39))/(1+J40*$E$4)</f>
        <v/>
      </c>
      <c r="Y40" s="54">
        <f>(1-K40*$E$4*SUM(Y$25:Y39))/(1+K40*$E$4)</f>
        <v/>
      </c>
      <c r="Z40" s="54">
        <f>(1-L40*$E$4*SUM(Z$25:Z39))/(1+L40*$E$4)</f>
        <v/>
      </c>
      <c r="AA40" s="54">
        <f>(1-M40*$E$4*SUM(AA$25:AA39))/(1+M40*$E$4)</f>
        <v/>
      </c>
      <c r="AB40" s="54">
        <f>(1-N40*$E$4*SUM(AB$25:AB39))/(1+N40*$E$4)</f>
        <v/>
      </c>
      <c r="AC40" s="54">
        <f>(1-O40*$E$4*SUM(AC$25:AC39))/(1+O40*$E$4)</f>
        <v/>
      </c>
      <c r="AD40" s="54">
        <f>(1-P40*$E$4*SUM(AD$25:AD39))/(1+P40*$E$4)</f>
        <v/>
      </c>
      <c r="AE40" s="54">
        <f>(1-Q40*$E$4*SUM(AE$25:AE39))/(1+Q40*$E$4)</f>
        <v/>
      </c>
      <c r="AF40" s="54">
        <f>(1-R40*$E$4*SUM(AF$25:AF39))/(1+R40*$E$4)</f>
        <v/>
      </c>
    </row>
    <row r="41">
      <c r="A41" s="4" t="n">
        <v>17</v>
      </c>
      <c r="B41" s="6">
        <f>A41*0.25</f>
        <v/>
      </c>
      <c r="C41" s="4">
        <f>MIN(MATCH(B41,$B$7:$B$21,1),14)</f>
        <v/>
      </c>
      <c r="D41" s="9">
        <f>(B41-INDEX($B$7:$B$21,C41))/(INDEX($B$7:$B$21,C41+1)-INDEX($B$7:$B$21,C41))</f>
        <v/>
      </c>
      <c r="E41" s="41">
        <f>'Amort-Set-up'!E36</f>
        <v/>
      </c>
      <c r="F41" s="53">
        <f>INDEX($D$7:$P$21,$C41,F$24)+$D41*(INDEX($D$7:$P$21,$C41+1,F$24)-INDEX($D$7:$P$21,$C41,F$24))</f>
        <v/>
      </c>
      <c r="G41" s="53">
        <f>INDEX($D$7:$P$21,$C41,G$24)+$D41*(INDEX($D$7:$P$21,$C41+1,G$24)-INDEX($D$7:$P$21,$C41,G$24))</f>
        <v/>
      </c>
      <c r="H41" s="53">
        <f>INDEX($D$7:$P$21,$C41,H$24)+$D41*(INDEX($D$7:$P$21,$C41+1,H$24)-INDEX($D$7:$P$21,$C41,H$24))</f>
        <v/>
      </c>
      <c r="I41" s="53">
        <f>INDEX($D$7:$P$21,$C41,I$24)+$D41*(INDEX($D$7:$P$21,$C41+1,I$24)-INDEX($D$7:$P$21,$C41,I$24))</f>
        <v/>
      </c>
      <c r="J41" s="53">
        <f>INDEX($D$7:$P$21,$C41,J$24)+$D41*(INDEX($D$7:$P$21,$C41+1,J$24)-INDEX($D$7:$P$21,$C41,J$24))</f>
        <v/>
      </c>
      <c r="K41" s="53">
        <f>INDEX($D$7:$P$21,$C41,K$24)+$D41*(INDEX($D$7:$P$21,$C41+1,K$24)-INDEX($D$7:$P$21,$C41,K$24))</f>
        <v/>
      </c>
      <c r="L41" s="53">
        <f>INDEX($D$7:$P$21,$C41,L$24)+$D41*(INDEX($D$7:$P$21,$C41+1,L$24)-INDEX($D$7:$P$21,$C41,L$24))</f>
        <v/>
      </c>
      <c r="M41" s="53">
        <f>INDEX($D$7:$P$21,$C41,M$24)+$D41*(INDEX($D$7:$P$21,$C41+1,M$24)-INDEX($D$7:$P$21,$C41,M$24))</f>
        <v/>
      </c>
      <c r="N41" s="53">
        <f>INDEX($D$7:$P$21,$C41,N$24)+$D41*(INDEX($D$7:$P$21,$C41+1,N$24)-INDEX($D$7:$P$21,$C41,N$24))</f>
        <v/>
      </c>
      <c r="O41" s="53">
        <f>INDEX($D$7:$P$21,$C41,O$24)+$D41*(INDEX($D$7:$P$21,$C41+1,O$24)-INDEX($D$7:$P$21,$C41,O$24))</f>
        <v/>
      </c>
      <c r="P41" s="53">
        <f>INDEX($D$7:$P$21,$C41,P$24)+$D41*(INDEX($D$7:$P$21,$C41+1,P$24)-INDEX($D$7:$P$21,$C41,P$24))</f>
        <v/>
      </c>
      <c r="Q41" s="53">
        <f>INDEX($D$7:$P$21,$C41,Q$24)+$D41*(INDEX($D$7:$P$21,$C41+1,Q$24)-INDEX($D$7:$P$21,$C41,Q$24))</f>
        <v/>
      </c>
      <c r="R41" s="53">
        <f>INDEX($D$7:$P$21,$C41,R$24)+$D41*(INDEX($D$7:$P$21,$C41+1,R$24)-INDEX($D$7:$P$21,$C41,R$24))</f>
        <v/>
      </c>
      <c r="T41" s="54">
        <f>(1-F41*$E$4*SUM(T$25:T40))/(1+F41*$E$4)</f>
        <v/>
      </c>
      <c r="U41" s="54">
        <f>(1-G41*$E$4*SUM(U$25:U40))/(1+G41*$E$4)</f>
        <v/>
      </c>
      <c r="V41" s="54">
        <f>(1-H41*$E$4*SUM(V$25:V40))/(1+H41*$E$4)</f>
        <v/>
      </c>
      <c r="W41" s="54">
        <f>(1-I41*$E$4*SUM(W$25:W40))/(1+I41*$E$4)</f>
        <v/>
      </c>
      <c r="X41" s="54">
        <f>(1-J41*$E$4*SUM(X$25:X40))/(1+J41*$E$4)</f>
        <v/>
      </c>
      <c r="Y41" s="54">
        <f>(1-K41*$E$4*SUM(Y$25:Y40))/(1+K41*$E$4)</f>
        <v/>
      </c>
      <c r="Z41" s="54">
        <f>(1-L41*$E$4*SUM(Z$25:Z40))/(1+L41*$E$4)</f>
        <v/>
      </c>
      <c r="AA41" s="54">
        <f>(1-M41*$E$4*SUM(AA$25:AA40))/(1+M41*$E$4)</f>
        <v/>
      </c>
      <c r="AB41" s="54">
        <f>(1-N41*$E$4*SUM(AB$25:AB40))/(1+N41*$E$4)</f>
        <v/>
      </c>
      <c r="AC41" s="54">
        <f>(1-O41*$E$4*SUM(AC$25:AC40))/(1+O41*$E$4)</f>
        <v/>
      </c>
      <c r="AD41" s="54">
        <f>(1-P41*$E$4*SUM(AD$25:AD40))/(1+P41*$E$4)</f>
        <v/>
      </c>
      <c r="AE41" s="54">
        <f>(1-Q41*$E$4*SUM(AE$25:AE40))/(1+Q41*$E$4)</f>
        <v/>
      </c>
      <c r="AF41" s="54">
        <f>(1-R41*$E$4*SUM(AF$25:AF40))/(1+R41*$E$4)</f>
        <v/>
      </c>
    </row>
    <row r="42">
      <c r="A42" s="4" t="n">
        <v>18</v>
      </c>
      <c r="B42" s="6">
        <f>A42*0.25</f>
        <v/>
      </c>
      <c r="C42" s="4">
        <f>MIN(MATCH(B42,$B$7:$B$21,1),14)</f>
        <v/>
      </c>
      <c r="D42" s="9">
        <f>(B42-INDEX($B$7:$B$21,C42))/(INDEX($B$7:$B$21,C42+1)-INDEX($B$7:$B$21,C42))</f>
        <v/>
      </c>
      <c r="E42" s="41">
        <f>'Amort-Set-up'!E37</f>
        <v/>
      </c>
      <c r="F42" s="53">
        <f>INDEX($D$7:$P$21,$C42,F$24)+$D42*(INDEX($D$7:$P$21,$C42+1,F$24)-INDEX($D$7:$P$21,$C42,F$24))</f>
        <v/>
      </c>
      <c r="G42" s="53">
        <f>INDEX($D$7:$P$21,$C42,G$24)+$D42*(INDEX($D$7:$P$21,$C42+1,G$24)-INDEX($D$7:$P$21,$C42,G$24))</f>
        <v/>
      </c>
      <c r="H42" s="53">
        <f>INDEX($D$7:$P$21,$C42,H$24)+$D42*(INDEX($D$7:$P$21,$C42+1,H$24)-INDEX($D$7:$P$21,$C42,H$24))</f>
        <v/>
      </c>
      <c r="I42" s="53">
        <f>INDEX($D$7:$P$21,$C42,I$24)+$D42*(INDEX($D$7:$P$21,$C42+1,I$24)-INDEX($D$7:$P$21,$C42,I$24))</f>
        <v/>
      </c>
      <c r="J42" s="53">
        <f>INDEX($D$7:$P$21,$C42,J$24)+$D42*(INDEX($D$7:$P$21,$C42+1,J$24)-INDEX($D$7:$P$21,$C42,J$24))</f>
        <v/>
      </c>
      <c r="K42" s="53">
        <f>INDEX($D$7:$P$21,$C42,K$24)+$D42*(INDEX($D$7:$P$21,$C42+1,K$24)-INDEX($D$7:$P$21,$C42,K$24))</f>
        <v/>
      </c>
      <c r="L42" s="53">
        <f>INDEX($D$7:$P$21,$C42,L$24)+$D42*(INDEX($D$7:$P$21,$C42+1,L$24)-INDEX($D$7:$P$21,$C42,L$24))</f>
        <v/>
      </c>
      <c r="M42" s="53">
        <f>INDEX($D$7:$P$21,$C42,M$24)+$D42*(INDEX($D$7:$P$21,$C42+1,M$24)-INDEX($D$7:$P$21,$C42,M$24))</f>
        <v/>
      </c>
      <c r="N42" s="53">
        <f>INDEX($D$7:$P$21,$C42,N$24)+$D42*(INDEX($D$7:$P$21,$C42+1,N$24)-INDEX($D$7:$P$21,$C42,N$24))</f>
        <v/>
      </c>
      <c r="O42" s="53">
        <f>INDEX($D$7:$P$21,$C42,O$24)+$D42*(INDEX($D$7:$P$21,$C42+1,O$24)-INDEX($D$7:$P$21,$C42,O$24))</f>
        <v/>
      </c>
      <c r="P42" s="53">
        <f>INDEX($D$7:$P$21,$C42,P$24)+$D42*(INDEX($D$7:$P$21,$C42+1,P$24)-INDEX($D$7:$P$21,$C42,P$24))</f>
        <v/>
      </c>
      <c r="Q42" s="53">
        <f>INDEX($D$7:$P$21,$C42,Q$24)+$D42*(INDEX($D$7:$P$21,$C42+1,Q$24)-INDEX($D$7:$P$21,$C42,Q$24))</f>
        <v/>
      </c>
      <c r="R42" s="53">
        <f>INDEX($D$7:$P$21,$C42,R$24)+$D42*(INDEX($D$7:$P$21,$C42+1,R$24)-INDEX($D$7:$P$21,$C42,R$24))</f>
        <v/>
      </c>
      <c r="T42" s="54">
        <f>(1-F42*$E$4*SUM(T$25:T41))/(1+F42*$E$4)</f>
        <v/>
      </c>
      <c r="U42" s="54">
        <f>(1-G42*$E$4*SUM(U$25:U41))/(1+G42*$E$4)</f>
        <v/>
      </c>
      <c r="V42" s="54">
        <f>(1-H42*$E$4*SUM(V$25:V41))/(1+H42*$E$4)</f>
        <v/>
      </c>
      <c r="W42" s="54">
        <f>(1-I42*$E$4*SUM(W$25:W41))/(1+I42*$E$4)</f>
        <v/>
      </c>
      <c r="X42" s="54">
        <f>(1-J42*$E$4*SUM(X$25:X41))/(1+J42*$E$4)</f>
        <v/>
      </c>
      <c r="Y42" s="54">
        <f>(1-K42*$E$4*SUM(Y$25:Y41))/(1+K42*$E$4)</f>
        <v/>
      </c>
      <c r="Z42" s="54">
        <f>(1-L42*$E$4*SUM(Z$25:Z41))/(1+L42*$E$4)</f>
        <v/>
      </c>
      <c r="AA42" s="54">
        <f>(1-M42*$E$4*SUM(AA$25:AA41))/(1+M42*$E$4)</f>
        <v/>
      </c>
      <c r="AB42" s="54">
        <f>(1-N42*$E$4*SUM(AB$25:AB41))/(1+N42*$E$4)</f>
        <v/>
      </c>
      <c r="AC42" s="54">
        <f>(1-O42*$E$4*SUM(AC$25:AC41))/(1+O42*$E$4)</f>
        <v/>
      </c>
      <c r="AD42" s="54">
        <f>(1-P42*$E$4*SUM(AD$25:AD41))/(1+P42*$E$4)</f>
        <v/>
      </c>
      <c r="AE42" s="54">
        <f>(1-Q42*$E$4*SUM(AE$25:AE41))/(1+Q42*$E$4)</f>
        <v/>
      </c>
      <c r="AF42" s="54">
        <f>(1-R42*$E$4*SUM(AF$25:AF41))/(1+R42*$E$4)</f>
        <v/>
      </c>
    </row>
    <row r="43">
      <c r="A43" s="4" t="n">
        <v>19</v>
      </c>
      <c r="B43" s="6">
        <f>A43*0.25</f>
        <v/>
      </c>
      <c r="C43" s="4">
        <f>MIN(MATCH(B43,$B$7:$B$21,1),14)</f>
        <v/>
      </c>
      <c r="D43" s="9">
        <f>(B43-INDEX($B$7:$B$21,C43))/(INDEX($B$7:$B$21,C43+1)-INDEX($B$7:$B$21,C43))</f>
        <v/>
      </c>
      <c r="E43" s="41">
        <f>'Amort-Set-up'!E38</f>
        <v/>
      </c>
      <c r="F43" s="53">
        <f>INDEX($D$7:$P$21,$C43,F$24)+$D43*(INDEX($D$7:$P$21,$C43+1,F$24)-INDEX($D$7:$P$21,$C43,F$24))</f>
        <v/>
      </c>
      <c r="G43" s="53">
        <f>INDEX($D$7:$P$21,$C43,G$24)+$D43*(INDEX($D$7:$P$21,$C43+1,G$24)-INDEX($D$7:$P$21,$C43,G$24))</f>
        <v/>
      </c>
      <c r="H43" s="53">
        <f>INDEX($D$7:$P$21,$C43,H$24)+$D43*(INDEX($D$7:$P$21,$C43+1,H$24)-INDEX($D$7:$P$21,$C43,H$24))</f>
        <v/>
      </c>
      <c r="I43" s="53">
        <f>INDEX($D$7:$P$21,$C43,I$24)+$D43*(INDEX($D$7:$P$21,$C43+1,I$24)-INDEX($D$7:$P$21,$C43,I$24))</f>
        <v/>
      </c>
      <c r="J43" s="53">
        <f>INDEX($D$7:$P$21,$C43,J$24)+$D43*(INDEX($D$7:$P$21,$C43+1,J$24)-INDEX($D$7:$P$21,$C43,J$24))</f>
        <v/>
      </c>
      <c r="K43" s="53">
        <f>INDEX($D$7:$P$21,$C43,K$24)+$D43*(INDEX($D$7:$P$21,$C43+1,K$24)-INDEX($D$7:$P$21,$C43,K$24))</f>
        <v/>
      </c>
      <c r="L43" s="53">
        <f>INDEX($D$7:$P$21,$C43,L$24)+$D43*(INDEX($D$7:$P$21,$C43+1,L$24)-INDEX($D$7:$P$21,$C43,L$24))</f>
        <v/>
      </c>
      <c r="M43" s="53">
        <f>INDEX($D$7:$P$21,$C43,M$24)+$D43*(INDEX($D$7:$P$21,$C43+1,M$24)-INDEX($D$7:$P$21,$C43,M$24))</f>
        <v/>
      </c>
      <c r="N43" s="53">
        <f>INDEX($D$7:$P$21,$C43,N$24)+$D43*(INDEX($D$7:$P$21,$C43+1,N$24)-INDEX($D$7:$P$21,$C43,N$24))</f>
        <v/>
      </c>
      <c r="O43" s="53">
        <f>INDEX($D$7:$P$21,$C43,O$24)+$D43*(INDEX($D$7:$P$21,$C43+1,O$24)-INDEX($D$7:$P$21,$C43,O$24))</f>
        <v/>
      </c>
      <c r="P43" s="53">
        <f>INDEX($D$7:$P$21,$C43,P$24)+$D43*(INDEX($D$7:$P$21,$C43+1,P$24)-INDEX($D$7:$P$21,$C43,P$24))</f>
        <v/>
      </c>
      <c r="Q43" s="53">
        <f>INDEX($D$7:$P$21,$C43,Q$24)+$D43*(INDEX($D$7:$P$21,$C43+1,Q$24)-INDEX($D$7:$P$21,$C43,Q$24))</f>
        <v/>
      </c>
      <c r="R43" s="53">
        <f>INDEX($D$7:$P$21,$C43,R$24)+$D43*(INDEX($D$7:$P$21,$C43+1,R$24)-INDEX($D$7:$P$21,$C43,R$24))</f>
        <v/>
      </c>
      <c r="T43" s="54">
        <f>(1-F43*$E$4*SUM(T$25:T42))/(1+F43*$E$4)</f>
        <v/>
      </c>
      <c r="U43" s="54">
        <f>(1-G43*$E$4*SUM(U$25:U42))/(1+G43*$E$4)</f>
        <v/>
      </c>
      <c r="V43" s="54">
        <f>(1-H43*$E$4*SUM(V$25:V42))/(1+H43*$E$4)</f>
        <v/>
      </c>
      <c r="W43" s="54">
        <f>(1-I43*$E$4*SUM(W$25:W42))/(1+I43*$E$4)</f>
        <v/>
      </c>
      <c r="X43" s="54">
        <f>(1-J43*$E$4*SUM(X$25:X42))/(1+J43*$E$4)</f>
        <v/>
      </c>
      <c r="Y43" s="54">
        <f>(1-K43*$E$4*SUM(Y$25:Y42))/(1+K43*$E$4)</f>
        <v/>
      </c>
      <c r="Z43" s="54">
        <f>(1-L43*$E$4*SUM(Z$25:Z42))/(1+L43*$E$4)</f>
        <v/>
      </c>
      <c r="AA43" s="54">
        <f>(1-M43*$E$4*SUM(AA$25:AA42))/(1+M43*$E$4)</f>
        <v/>
      </c>
      <c r="AB43" s="54">
        <f>(1-N43*$E$4*SUM(AB$25:AB42))/(1+N43*$E$4)</f>
        <v/>
      </c>
      <c r="AC43" s="54">
        <f>(1-O43*$E$4*SUM(AC$25:AC42))/(1+O43*$E$4)</f>
        <v/>
      </c>
      <c r="AD43" s="54">
        <f>(1-P43*$E$4*SUM(AD$25:AD42))/(1+P43*$E$4)</f>
        <v/>
      </c>
      <c r="AE43" s="54">
        <f>(1-Q43*$E$4*SUM(AE$25:AE42))/(1+Q43*$E$4)</f>
        <v/>
      </c>
      <c r="AF43" s="54">
        <f>(1-R43*$E$4*SUM(AF$25:AF42))/(1+R43*$E$4)</f>
        <v/>
      </c>
    </row>
    <row r="44">
      <c r="A44" s="4" t="n">
        <v>20</v>
      </c>
      <c r="B44" s="6">
        <f>A44*0.25</f>
        <v/>
      </c>
      <c r="C44" s="4">
        <f>MIN(MATCH(B44,$B$7:$B$21,1),14)</f>
        <v/>
      </c>
      <c r="D44" s="9">
        <f>(B44-INDEX($B$7:$B$21,C44))/(INDEX($B$7:$B$21,C44+1)-INDEX($B$7:$B$21,C44))</f>
        <v/>
      </c>
      <c r="E44" s="41">
        <f>'Amort-Set-up'!E39</f>
        <v/>
      </c>
      <c r="F44" s="53">
        <f>INDEX($D$7:$P$21,$C44,F$24)+$D44*(INDEX($D$7:$P$21,$C44+1,F$24)-INDEX($D$7:$P$21,$C44,F$24))</f>
        <v/>
      </c>
      <c r="G44" s="53">
        <f>INDEX($D$7:$P$21,$C44,G$24)+$D44*(INDEX($D$7:$P$21,$C44+1,G$24)-INDEX($D$7:$P$21,$C44,G$24))</f>
        <v/>
      </c>
      <c r="H44" s="53">
        <f>INDEX($D$7:$P$21,$C44,H$24)+$D44*(INDEX($D$7:$P$21,$C44+1,H$24)-INDEX($D$7:$P$21,$C44,H$24))</f>
        <v/>
      </c>
      <c r="I44" s="53">
        <f>INDEX($D$7:$P$21,$C44,I$24)+$D44*(INDEX($D$7:$P$21,$C44+1,I$24)-INDEX($D$7:$P$21,$C44,I$24))</f>
        <v/>
      </c>
      <c r="J44" s="53">
        <f>INDEX($D$7:$P$21,$C44,J$24)+$D44*(INDEX($D$7:$P$21,$C44+1,J$24)-INDEX($D$7:$P$21,$C44,J$24))</f>
        <v/>
      </c>
      <c r="K44" s="53">
        <f>INDEX($D$7:$P$21,$C44,K$24)+$D44*(INDEX($D$7:$P$21,$C44+1,K$24)-INDEX($D$7:$P$21,$C44,K$24))</f>
        <v/>
      </c>
      <c r="L44" s="53">
        <f>INDEX($D$7:$P$21,$C44,L$24)+$D44*(INDEX($D$7:$P$21,$C44+1,L$24)-INDEX($D$7:$P$21,$C44,L$24))</f>
        <v/>
      </c>
      <c r="M44" s="53">
        <f>INDEX($D$7:$P$21,$C44,M$24)+$D44*(INDEX($D$7:$P$21,$C44+1,M$24)-INDEX($D$7:$P$21,$C44,M$24))</f>
        <v/>
      </c>
      <c r="N44" s="53">
        <f>INDEX($D$7:$P$21,$C44,N$24)+$D44*(INDEX($D$7:$P$21,$C44+1,N$24)-INDEX($D$7:$P$21,$C44,N$24))</f>
        <v/>
      </c>
      <c r="O44" s="53">
        <f>INDEX($D$7:$P$21,$C44,O$24)+$D44*(INDEX($D$7:$P$21,$C44+1,O$24)-INDEX($D$7:$P$21,$C44,O$24))</f>
        <v/>
      </c>
      <c r="P44" s="53">
        <f>INDEX($D$7:$P$21,$C44,P$24)+$D44*(INDEX($D$7:$P$21,$C44+1,P$24)-INDEX($D$7:$P$21,$C44,P$24))</f>
        <v/>
      </c>
      <c r="Q44" s="53">
        <f>INDEX($D$7:$P$21,$C44,Q$24)+$D44*(INDEX($D$7:$P$21,$C44+1,Q$24)-INDEX($D$7:$P$21,$C44,Q$24))</f>
        <v/>
      </c>
      <c r="R44" s="53">
        <f>INDEX($D$7:$P$21,$C44,R$24)+$D44*(INDEX($D$7:$P$21,$C44+1,R$24)-INDEX($D$7:$P$21,$C44,R$24))</f>
        <v/>
      </c>
      <c r="T44" s="54">
        <f>(1-F44*$E$4*SUM(T$25:T43))/(1+F44*$E$4)</f>
        <v/>
      </c>
      <c r="U44" s="54">
        <f>(1-G44*$E$4*SUM(U$25:U43))/(1+G44*$E$4)</f>
        <v/>
      </c>
      <c r="V44" s="54">
        <f>(1-H44*$E$4*SUM(V$25:V43))/(1+H44*$E$4)</f>
        <v/>
      </c>
      <c r="W44" s="54">
        <f>(1-I44*$E$4*SUM(W$25:W43))/(1+I44*$E$4)</f>
        <v/>
      </c>
      <c r="X44" s="54">
        <f>(1-J44*$E$4*SUM(X$25:X43))/(1+J44*$E$4)</f>
        <v/>
      </c>
      <c r="Y44" s="54">
        <f>(1-K44*$E$4*SUM(Y$25:Y43))/(1+K44*$E$4)</f>
        <v/>
      </c>
      <c r="Z44" s="54">
        <f>(1-L44*$E$4*SUM(Z$25:Z43))/(1+L44*$E$4)</f>
        <v/>
      </c>
      <c r="AA44" s="54">
        <f>(1-M44*$E$4*SUM(AA$25:AA43))/(1+M44*$E$4)</f>
        <v/>
      </c>
      <c r="AB44" s="54">
        <f>(1-N44*$E$4*SUM(AB$25:AB43))/(1+N44*$E$4)</f>
        <v/>
      </c>
      <c r="AC44" s="54">
        <f>(1-O44*$E$4*SUM(AC$25:AC43))/(1+O44*$E$4)</f>
        <v/>
      </c>
      <c r="AD44" s="54">
        <f>(1-P44*$E$4*SUM(AD$25:AD43))/(1+P44*$E$4)</f>
        <v/>
      </c>
      <c r="AE44" s="54">
        <f>(1-Q44*$E$4*SUM(AE$25:AE43))/(1+Q44*$E$4)</f>
        <v/>
      </c>
      <c r="AF44" s="54">
        <f>(1-R44*$E$4*SUM(AF$25:AF43))/(1+R44*$E$4)</f>
        <v/>
      </c>
    </row>
    <row r="45">
      <c r="A45" s="4" t="n">
        <v>21</v>
      </c>
      <c r="B45" s="6">
        <f>A45*0.25</f>
        <v/>
      </c>
      <c r="C45" s="4">
        <f>MIN(MATCH(B45,$B$7:$B$21,1),14)</f>
        <v/>
      </c>
      <c r="D45" s="9">
        <f>(B45-INDEX($B$7:$B$21,C45))/(INDEX($B$7:$B$21,C45+1)-INDEX($B$7:$B$21,C45))</f>
        <v/>
      </c>
      <c r="E45" s="41">
        <f>'Amort-Set-up'!E40</f>
        <v/>
      </c>
      <c r="F45" s="53">
        <f>INDEX($D$7:$P$21,$C45,F$24)+$D45*(INDEX($D$7:$P$21,$C45+1,F$24)-INDEX($D$7:$P$21,$C45,F$24))</f>
        <v/>
      </c>
      <c r="G45" s="53">
        <f>INDEX($D$7:$P$21,$C45,G$24)+$D45*(INDEX($D$7:$P$21,$C45+1,G$24)-INDEX($D$7:$P$21,$C45,G$24))</f>
        <v/>
      </c>
      <c r="H45" s="53">
        <f>INDEX($D$7:$P$21,$C45,H$24)+$D45*(INDEX($D$7:$P$21,$C45+1,H$24)-INDEX($D$7:$P$21,$C45,H$24))</f>
        <v/>
      </c>
      <c r="I45" s="53">
        <f>INDEX($D$7:$P$21,$C45,I$24)+$D45*(INDEX($D$7:$P$21,$C45+1,I$24)-INDEX($D$7:$P$21,$C45,I$24))</f>
        <v/>
      </c>
      <c r="J45" s="53">
        <f>INDEX($D$7:$P$21,$C45,J$24)+$D45*(INDEX($D$7:$P$21,$C45+1,J$24)-INDEX($D$7:$P$21,$C45,J$24))</f>
        <v/>
      </c>
      <c r="K45" s="53">
        <f>INDEX($D$7:$P$21,$C45,K$24)+$D45*(INDEX($D$7:$P$21,$C45+1,K$24)-INDEX($D$7:$P$21,$C45,K$24))</f>
        <v/>
      </c>
      <c r="L45" s="53">
        <f>INDEX($D$7:$P$21,$C45,L$24)+$D45*(INDEX($D$7:$P$21,$C45+1,L$24)-INDEX($D$7:$P$21,$C45,L$24))</f>
        <v/>
      </c>
      <c r="M45" s="53">
        <f>INDEX($D$7:$P$21,$C45,M$24)+$D45*(INDEX($D$7:$P$21,$C45+1,M$24)-INDEX($D$7:$P$21,$C45,M$24))</f>
        <v/>
      </c>
      <c r="N45" s="53">
        <f>INDEX($D$7:$P$21,$C45,N$24)+$D45*(INDEX($D$7:$P$21,$C45+1,N$24)-INDEX($D$7:$P$21,$C45,N$24))</f>
        <v/>
      </c>
      <c r="O45" s="53">
        <f>INDEX($D$7:$P$21,$C45,O$24)+$D45*(INDEX($D$7:$P$21,$C45+1,O$24)-INDEX($D$7:$P$21,$C45,O$24))</f>
        <v/>
      </c>
      <c r="P45" s="53">
        <f>INDEX($D$7:$P$21,$C45,P$24)+$D45*(INDEX($D$7:$P$21,$C45+1,P$24)-INDEX($D$7:$P$21,$C45,P$24))</f>
        <v/>
      </c>
      <c r="Q45" s="53">
        <f>INDEX($D$7:$P$21,$C45,Q$24)+$D45*(INDEX($D$7:$P$21,$C45+1,Q$24)-INDEX($D$7:$P$21,$C45,Q$24))</f>
        <v/>
      </c>
      <c r="R45" s="53">
        <f>INDEX($D$7:$P$21,$C45,R$24)+$D45*(INDEX($D$7:$P$21,$C45+1,R$24)-INDEX($D$7:$P$21,$C45,R$24))</f>
        <v/>
      </c>
      <c r="T45" s="54">
        <f>(1-F45*$E$4*SUM(T$25:T44))/(1+F45*$E$4)</f>
        <v/>
      </c>
      <c r="U45" s="54">
        <f>(1-G45*$E$4*SUM(U$25:U44))/(1+G45*$E$4)</f>
        <v/>
      </c>
      <c r="V45" s="54">
        <f>(1-H45*$E$4*SUM(V$25:V44))/(1+H45*$E$4)</f>
        <v/>
      </c>
      <c r="W45" s="54">
        <f>(1-I45*$E$4*SUM(W$25:W44))/(1+I45*$E$4)</f>
        <v/>
      </c>
      <c r="X45" s="54">
        <f>(1-J45*$E$4*SUM(X$25:X44))/(1+J45*$E$4)</f>
        <v/>
      </c>
      <c r="Y45" s="54">
        <f>(1-K45*$E$4*SUM(Y$25:Y44))/(1+K45*$E$4)</f>
        <v/>
      </c>
      <c r="Z45" s="54">
        <f>(1-L45*$E$4*SUM(Z$25:Z44))/(1+L45*$E$4)</f>
        <v/>
      </c>
      <c r="AA45" s="54">
        <f>(1-M45*$E$4*SUM(AA$25:AA44))/(1+M45*$E$4)</f>
        <v/>
      </c>
      <c r="AB45" s="54">
        <f>(1-N45*$E$4*SUM(AB$25:AB44))/(1+N45*$E$4)</f>
        <v/>
      </c>
      <c r="AC45" s="54">
        <f>(1-O45*$E$4*SUM(AC$25:AC44))/(1+O45*$E$4)</f>
        <v/>
      </c>
      <c r="AD45" s="54">
        <f>(1-P45*$E$4*SUM(AD$25:AD44))/(1+P45*$E$4)</f>
        <v/>
      </c>
      <c r="AE45" s="54">
        <f>(1-Q45*$E$4*SUM(AE$25:AE44))/(1+Q45*$E$4)</f>
        <v/>
      </c>
      <c r="AF45" s="54">
        <f>(1-R45*$E$4*SUM(AF$25:AF44))/(1+R45*$E$4)</f>
        <v/>
      </c>
    </row>
    <row r="46">
      <c r="A46" s="4" t="n">
        <v>22</v>
      </c>
      <c r="B46" s="6">
        <f>A46*0.25</f>
        <v/>
      </c>
      <c r="C46" s="4">
        <f>MIN(MATCH(B46,$B$7:$B$21,1),14)</f>
        <v/>
      </c>
      <c r="D46" s="9">
        <f>(B46-INDEX($B$7:$B$21,C46))/(INDEX($B$7:$B$21,C46+1)-INDEX($B$7:$B$21,C46))</f>
        <v/>
      </c>
      <c r="E46" s="41">
        <f>'Amort-Set-up'!E41</f>
        <v/>
      </c>
      <c r="F46" s="53">
        <f>INDEX($D$7:$P$21,$C46,F$24)+$D46*(INDEX($D$7:$P$21,$C46+1,F$24)-INDEX($D$7:$P$21,$C46,F$24))</f>
        <v/>
      </c>
      <c r="G46" s="53">
        <f>INDEX($D$7:$P$21,$C46,G$24)+$D46*(INDEX($D$7:$P$21,$C46+1,G$24)-INDEX($D$7:$P$21,$C46,G$24))</f>
        <v/>
      </c>
      <c r="H46" s="53">
        <f>INDEX($D$7:$P$21,$C46,H$24)+$D46*(INDEX($D$7:$P$21,$C46+1,H$24)-INDEX($D$7:$P$21,$C46,H$24))</f>
        <v/>
      </c>
      <c r="I46" s="53">
        <f>INDEX($D$7:$P$21,$C46,I$24)+$D46*(INDEX($D$7:$P$21,$C46+1,I$24)-INDEX($D$7:$P$21,$C46,I$24))</f>
        <v/>
      </c>
      <c r="J46" s="53">
        <f>INDEX($D$7:$P$21,$C46,J$24)+$D46*(INDEX($D$7:$P$21,$C46+1,J$24)-INDEX($D$7:$P$21,$C46,J$24))</f>
        <v/>
      </c>
      <c r="K46" s="53">
        <f>INDEX($D$7:$P$21,$C46,K$24)+$D46*(INDEX($D$7:$P$21,$C46+1,K$24)-INDEX($D$7:$P$21,$C46,K$24))</f>
        <v/>
      </c>
      <c r="L46" s="53">
        <f>INDEX($D$7:$P$21,$C46,L$24)+$D46*(INDEX($D$7:$P$21,$C46+1,L$24)-INDEX($D$7:$P$21,$C46,L$24))</f>
        <v/>
      </c>
      <c r="M46" s="53">
        <f>INDEX($D$7:$P$21,$C46,M$24)+$D46*(INDEX($D$7:$P$21,$C46+1,M$24)-INDEX($D$7:$P$21,$C46,M$24))</f>
        <v/>
      </c>
      <c r="N46" s="53">
        <f>INDEX($D$7:$P$21,$C46,N$24)+$D46*(INDEX($D$7:$P$21,$C46+1,N$24)-INDEX($D$7:$P$21,$C46,N$24))</f>
        <v/>
      </c>
      <c r="O46" s="53">
        <f>INDEX($D$7:$P$21,$C46,O$24)+$D46*(INDEX($D$7:$P$21,$C46+1,O$24)-INDEX($D$7:$P$21,$C46,O$24))</f>
        <v/>
      </c>
      <c r="P46" s="53">
        <f>INDEX($D$7:$P$21,$C46,P$24)+$D46*(INDEX($D$7:$P$21,$C46+1,P$24)-INDEX($D$7:$P$21,$C46,P$24))</f>
        <v/>
      </c>
      <c r="Q46" s="53">
        <f>INDEX($D$7:$P$21,$C46,Q$24)+$D46*(INDEX($D$7:$P$21,$C46+1,Q$24)-INDEX($D$7:$P$21,$C46,Q$24))</f>
        <v/>
      </c>
      <c r="R46" s="53">
        <f>INDEX($D$7:$P$21,$C46,R$24)+$D46*(INDEX($D$7:$P$21,$C46+1,R$24)-INDEX($D$7:$P$21,$C46,R$24))</f>
        <v/>
      </c>
      <c r="T46" s="54">
        <f>(1-F46*$E$4*SUM(T$25:T45))/(1+F46*$E$4)</f>
        <v/>
      </c>
      <c r="U46" s="54">
        <f>(1-G46*$E$4*SUM(U$25:U45))/(1+G46*$E$4)</f>
        <v/>
      </c>
      <c r="V46" s="54">
        <f>(1-H46*$E$4*SUM(V$25:V45))/(1+H46*$E$4)</f>
        <v/>
      </c>
      <c r="W46" s="54">
        <f>(1-I46*$E$4*SUM(W$25:W45))/(1+I46*$E$4)</f>
        <v/>
      </c>
      <c r="X46" s="54">
        <f>(1-J46*$E$4*SUM(X$25:X45))/(1+J46*$E$4)</f>
        <v/>
      </c>
      <c r="Y46" s="54">
        <f>(1-K46*$E$4*SUM(Y$25:Y45))/(1+K46*$E$4)</f>
        <v/>
      </c>
      <c r="Z46" s="54">
        <f>(1-L46*$E$4*SUM(Z$25:Z45))/(1+L46*$E$4)</f>
        <v/>
      </c>
      <c r="AA46" s="54">
        <f>(1-M46*$E$4*SUM(AA$25:AA45))/(1+M46*$E$4)</f>
        <v/>
      </c>
      <c r="AB46" s="54">
        <f>(1-N46*$E$4*SUM(AB$25:AB45))/(1+N46*$E$4)</f>
        <v/>
      </c>
      <c r="AC46" s="54">
        <f>(1-O46*$E$4*SUM(AC$25:AC45))/(1+O46*$E$4)</f>
        <v/>
      </c>
      <c r="AD46" s="54">
        <f>(1-P46*$E$4*SUM(AD$25:AD45))/(1+P46*$E$4)</f>
        <v/>
      </c>
      <c r="AE46" s="54">
        <f>(1-Q46*$E$4*SUM(AE$25:AE45))/(1+Q46*$E$4)</f>
        <v/>
      </c>
      <c r="AF46" s="54">
        <f>(1-R46*$E$4*SUM(AF$25:AF45))/(1+R46*$E$4)</f>
        <v/>
      </c>
    </row>
    <row r="47">
      <c r="A47" s="4" t="n">
        <v>23</v>
      </c>
      <c r="B47" s="6">
        <f>A47*0.25</f>
        <v/>
      </c>
      <c r="C47" s="4">
        <f>MIN(MATCH(B47,$B$7:$B$21,1),14)</f>
        <v/>
      </c>
      <c r="D47" s="9">
        <f>(B47-INDEX($B$7:$B$21,C47))/(INDEX($B$7:$B$21,C47+1)-INDEX($B$7:$B$21,C47))</f>
        <v/>
      </c>
      <c r="E47" s="41">
        <f>'Amort-Set-up'!E42</f>
        <v/>
      </c>
      <c r="F47" s="53">
        <f>INDEX($D$7:$P$21,$C47,F$24)+$D47*(INDEX($D$7:$P$21,$C47+1,F$24)-INDEX($D$7:$P$21,$C47,F$24))</f>
        <v/>
      </c>
      <c r="G47" s="53">
        <f>INDEX($D$7:$P$21,$C47,G$24)+$D47*(INDEX($D$7:$P$21,$C47+1,G$24)-INDEX($D$7:$P$21,$C47,G$24))</f>
        <v/>
      </c>
      <c r="H47" s="53">
        <f>INDEX($D$7:$P$21,$C47,H$24)+$D47*(INDEX($D$7:$P$21,$C47+1,H$24)-INDEX($D$7:$P$21,$C47,H$24))</f>
        <v/>
      </c>
      <c r="I47" s="53">
        <f>INDEX($D$7:$P$21,$C47,I$24)+$D47*(INDEX($D$7:$P$21,$C47+1,I$24)-INDEX($D$7:$P$21,$C47,I$24))</f>
        <v/>
      </c>
      <c r="J47" s="53">
        <f>INDEX($D$7:$P$21,$C47,J$24)+$D47*(INDEX($D$7:$P$21,$C47+1,J$24)-INDEX($D$7:$P$21,$C47,J$24))</f>
        <v/>
      </c>
      <c r="K47" s="53">
        <f>INDEX($D$7:$P$21,$C47,K$24)+$D47*(INDEX($D$7:$P$21,$C47+1,K$24)-INDEX($D$7:$P$21,$C47,K$24))</f>
        <v/>
      </c>
      <c r="L47" s="53">
        <f>INDEX($D$7:$P$21,$C47,L$24)+$D47*(INDEX($D$7:$P$21,$C47+1,L$24)-INDEX($D$7:$P$21,$C47,L$24))</f>
        <v/>
      </c>
      <c r="M47" s="53">
        <f>INDEX($D$7:$P$21,$C47,M$24)+$D47*(INDEX($D$7:$P$21,$C47+1,M$24)-INDEX($D$7:$P$21,$C47,M$24))</f>
        <v/>
      </c>
      <c r="N47" s="53">
        <f>INDEX($D$7:$P$21,$C47,N$24)+$D47*(INDEX($D$7:$P$21,$C47+1,N$24)-INDEX($D$7:$P$21,$C47,N$24))</f>
        <v/>
      </c>
      <c r="O47" s="53">
        <f>INDEX($D$7:$P$21,$C47,O$24)+$D47*(INDEX($D$7:$P$21,$C47+1,O$24)-INDEX($D$7:$P$21,$C47,O$24))</f>
        <v/>
      </c>
      <c r="P47" s="53">
        <f>INDEX($D$7:$P$21,$C47,P$24)+$D47*(INDEX($D$7:$P$21,$C47+1,P$24)-INDEX($D$7:$P$21,$C47,P$24))</f>
        <v/>
      </c>
      <c r="Q47" s="53">
        <f>INDEX($D$7:$P$21,$C47,Q$24)+$D47*(INDEX($D$7:$P$21,$C47+1,Q$24)-INDEX($D$7:$P$21,$C47,Q$24))</f>
        <v/>
      </c>
      <c r="R47" s="53">
        <f>INDEX($D$7:$P$21,$C47,R$24)+$D47*(INDEX($D$7:$P$21,$C47+1,R$24)-INDEX($D$7:$P$21,$C47,R$24))</f>
        <v/>
      </c>
      <c r="T47" s="54">
        <f>(1-F47*$E$4*SUM(T$25:T46))/(1+F47*$E$4)</f>
        <v/>
      </c>
      <c r="U47" s="54">
        <f>(1-G47*$E$4*SUM(U$25:U46))/(1+G47*$E$4)</f>
        <v/>
      </c>
      <c r="V47" s="54">
        <f>(1-H47*$E$4*SUM(V$25:V46))/(1+H47*$E$4)</f>
        <v/>
      </c>
      <c r="W47" s="54">
        <f>(1-I47*$E$4*SUM(W$25:W46))/(1+I47*$E$4)</f>
        <v/>
      </c>
      <c r="X47" s="54">
        <f>(1-J47*$E$4*SUM(X$25:X46))/(1+J47*$E$4)</f>
        <v/>
      </c>
      <c r="Y47" s="54">
        <f>(1-K47*$E$4*SUM(Y$25:Y46))/(1+K47*$E$4)</f>
        <v/>
      </c>
      <c r="Z47" s="54">
        <f>(1-L47*$E$4*SUM(Z$25:Z46))/(1+L47*$E$4)</f>
        <v/>
      </c>
      <c r="AA47" s="54">
        <f>(1-M47*$E$4*SUM(AA$25:AA46))/(1+M47*$E$4)</f>
        <v/>
      </c>
      <c r="AB47" s="54">
        <f>(1-N47*$E$4*SUM(AB$25:AB46))/(1+N47*$E$4)</f>
        <v/>
      </c>
      <c r="AC47" s="54">
        <f>(1-O47*$E$4*SUM(AC$25:AC46))/(1+O47*$E$4)</f>
        <v/>
      </c>
      <c r="AD47" s="54">
        <f>(1-P47*$E$4*SUM(AD$25:AD46))/(1+P47*$E$4)</f>
        <v/>
      </c>
      <c r="AE47" s="54">
        <f>(1-Q47*$E$4*SUM(AE$25:AE46))/(1+Q47*$E$4)</f>
        <v/>
      </c>
      <c r="AF47" s="54">
        <f>(1-R47*$E$4*SUM(AF$25:AF46))/(1+R47*$E$4)</f>
        <v/>
      </c>
    </row>
    <row r="48">
      <c r="A48" s="4" t="n">
        <v>24</v>
      </c>
      <c r="B48" s="6">
        <f>A48*0.25</f>
        <v/>
      </c>
      <c r="C48" s="4">
        <f>MIN(MATCH(B48,$B$7:$B$21,1),14)</f>
        <v/>
      </c>
      <c r="D48" s="9">
        <f>(B48-INDEX($B$7:$B$21,C48))/(INDEX($B$7:$B$21,C48+1)-INDEX($B$7:$B$21,C48))</f>
        <v/>
      </c>
      <c r="E48" s="41">
        <f>'Amort-Set-up'!E43</f>
        <v/>
      </c>
      <c r="F48" s="53">
        <f>INDEX($D$7:$P$21,$C48,F$24)+$D48*(INDEX($D$7:$P$21,$C48+1,F$24)-INDEX($D$7:$P$21,$C48,F$24))</f>
        <v/>
      </c>
      <c r="G48" s="53">
        <f>INDEX($D$7:$P$21,$C48,G$24)+$D48*(INDEX($D$7:$P$21,$C48+1,G$24)-INDEX($D$7:$P$21,$C48,G$24))</f>
        <v/>
      </c>
      <c r="H48" s="53">
        <f>INDEX($D$7:$P$21,$C48,H$24)+$D48*(INDEX($D$7:$P$21,$C48+1,H$24)-INDEX($D$7:$P$21,$C48,H$24))</f>
        <v/>
      </c>
      <c r="I48" s="53">
        <f>INDEX($D$7:$P$21,$C48,I$24)+$D48*(INDEX($D$7:$P$21,$C48+1,I$24)-INDEX($D$7:$P$21,$C48,I$24))</f>
        <v/>
      </c>
      <c r="J48" s="53">
        <f>INDEX($D$7:$P$21,$C48,J$24)+$D48*(INDEX($D$7:$P$21,$C48+1,J$24)-INDEX($D$7:$P$21,$C48,J$24))</f>
        <v/>
      </c>
      <c r="K48" s="53">
        <f>INDEX($D$7:$P$21,$C48,K$24)+$D48*(INDEX($D$7:$P$21,$C48+1,K$24)-INDEX($D$7:$P$21,$C48,K$24))</f>
        <v/>
      </c>
      <c r="L48" s="53">
        <f>INDEX($D$7:$P$21,$C48,L$24)+$D48*(INDEX($D$7:$P$21,$C48+1,L$24)-INDEX($D$7:$P$21,$C48,L$24))</f>
        <v/>
      </c>
      <c r="M48" s="53">
        <f>INDEX($D$7:$P$21,$C48,M$24)+$D48*(INDEX($D$7:$P$21,$C48+1,M$24)-INDEX($D$7:$P$21,$C48,M$24))</f>
        <v/>
      </c>
      <c r="N48" s="53">
        <f>INDEX($D$7:$P$21,$C48,N$24)+$D48*(INDEX($D$7:$P$21,$C48+1,N$24)-INDEX($D$7:$P$21,$C48,N$24))</f>
        <v/>
      </c>
      <c r="O48" s="53">
        <f>INDEX($D$7:$P$21,$C48,O$24)+$D48*(INDEX($D$7:$P$21,$C48+1,O$24)-INDEX($D$7:$P$21,$C48,O$24))</f>
        <v/>
      </c>
      <c r="P48" s="53">
        <f>INDEX($D$7:$P$21,$C48,P$24)+$D48*(INDEX($D$7:$P$21,$C48+1,P$24)-INDEX($D$7:$P$21,$C48,P$24))</f>
        <v/>
      </c>
      <c r="Q48" s="53">
        <f>INDEX($D$7:$P$21,$C48,Q$24)+$D48*(INDEX($D$7:$P$21,$C48+1,Q$24)-INDEX($D$7:$P$21,$C48,Q$24))</f>
        <v/>
      </c>
      <c r="R48" s="53">
        <f>INDEX($D$7:$P$21,$C48,R$24)+$D48*(INDEX($D$7:$P$21,$C48+1,R$24)-INDEX($D$7:$P$21,$C48,R$24))</f>
        <v/>
      </c>
      <c r="T48" s="54">
        <f>(1-F48*$E$4*SUM(T$25:T47))/(1+F48*$E$4)</f>
        <v/>
      </c>
      <c r="U48" s="54">
        <f>(1-G48*$E$4*SUM(U$25:U47))/(1+G48*$E$4)</f>
        <v/>
      </c>
      <c r="V48" s="54">
        <f>(1-H48*$E$4*SUM(V$25:V47))/(1+H48*$E$4)</f>
        <v/>
      </c>
      <c r="W48" s="54">
        <f>(1-I48*$E$4*SUM(W$25:W47))/(1+I48*$E$4)</f>
        <v/>
      </c>
      <c r="X48" s="54">
        <f>(1-J48*$E$4*SUM(X$25:X47))/(1+J48*$E$4)</f>
        <v/>
      </c>
      <c r="Y48" s="54">
        <f>(1-K48*$E$4*SUM(Y$25:Y47))/(1+K48*$E$4)</f>
        <v/>
      </c>
      <c r="Z48" s="54">
        <f>(1-L48*$E$4*SUM(Z$25:Z47))/(1+L48*$E$4)</f>
        <v/>
      </c>
      <c r="AA48" s="54">
        <f>(1-M48*$E$4*SUM(AA$25:AA47))/(1+M48*$E$4)</f>
        <v/>
      </c>
      <c r="AB48" s="54">
        <f>(1-N48*$E$4*SUM(AB$25:AB47))/(1+N48*$E$4)</f>
        <v/>
      </c>
      <c r="AC48" s="54">
        <f>(1-O48*$E$4*SUM(AC$25:AC47))/(1+O48*$E$4)</f>
        <v/>
      </c>
      <c r="AD48" s="54">
        <f>(1-P48*$E$4*SUM(AD$25:AD47))/(1+P48*$E$4)</f>
        <v/>
      </c>
      <c r="AE48" s="54">
        <f>(1-Q48*$E$4*SUM(AE$25:AE47))/(1+Q48*$E$4)</f>
        <v/>
      </c>
      <c r="AF48" s="54">
        <f>(1-R48*$E$4*SUM(AF$25:AF47))/(1+R48*$E$4)</f>
        <v/>
      </c>
    </row>
    <row r="49">
      <c r="A49" s="4" t="n">
        <v>25</v>
      </c>
      <c r="B49" s="6">
        <f>A49*0.25</f>
        <v/>
      </c>
      <c r="C49" s="4">
        <f>MIN(MATCH(B49,$B$7:$B$21,1),14)</f>
        <v/>
      </c>
      <c r="D49" s="9">
        <f>(B49-INDEX($B$7:$B$21,C49))/(INDEX($B$7:$B$21,C49+1)-INDEX($B$7:$B$21,C49))</f>
        <v/>
      </c>
      <c r="E49" s="41">
        <f>'Amort-Set-up'!E44</f>
        <v/>
      </c>
      <c r="F49" s="53">
        <f>INDEX($D$7:$P$21,$C49,F$24)+$D49*(INDEX($D$7:$P$21,$C49+1,F$24)-INDEX($D$7:$P$21,$C49,F$24))</f>
        <v/>
      </c>
      <c r="G49" s="53">
        <f>INDEX($D$7:$P$21,$C49,G$24)+$D49*(INDEX($D$7:$P$21,$C49+1,G$24)-INDEX($D$7:$P$21,$C49,G$24))</f>
        <v/>
      </c>
      <c r="H49" s="53">
        <f>INDEX($D$7:$P$21,$C49,H$24)+$D49*(INDEX($D$7:$P$21,$C49+1,H$24)-INDEX($D$7:$P$21,$C49,H$24))</f>
        <v/>
      </c>
      <c r="I49" s="53">
        <f>INDEX($D$7:$P$21,$C49,I$24)+$D49*(INDEX($D$7:$P$21,$C49+1,I$24)-INDEX($D$7:$P$21,$C49,I$24))</f>
        <v/>
      </c>
      <c r="J49" s="53">
        <f>INDEX($D$7:$P$21,$C49,J$24)+$D49*(INDEX($D$7:$P$21,$C49+1,J$24)-INDEX($D$7:$P$21,$C49,J$24))</f>
        <v/>
      </c>
      <c r="K49" s="53">
        <f>INDEX($D$7:$P$21,$C49,K$24)+$D49*(INDEX($D$7:$P$21,$C49+1,K$24)-INDEX($D$7:$P$21,$C49,K$24))</f>
        <v/>
      </c>
      <c r="L49" s="53">
        <f>INDEX($D$7:$P$21,$C49,L$24)+$D49*(INDEX($D$7:$P$21,$C49+1,L$24)-INDEX($D$7:$P$21,$C49,L$24))</f>
        <v/>
      </c>
      <c r="M49" s="53">
        <f>INDEX($D$7:$P$21,$C49,M$24)+$D49*(INDEX($D$7:$P$21,$C49+1,M$24)-INDEX($D$7:$P$21,$C49,M$24))</f>
        <v/>
      </c>
      <c r="N49" s="53">
        <f>INDEX($D$7:$P$21,$C49,N$24)+$D49*(INDEX($D$7:$P$21,$C49+1,N$24)-INDEX($D$7:$P$21,$C49,N$24))</f>
        <v/>
      </c>
      <c r="O49" s="53">
        <f>INDEX($D$7:$P$21,$C49,O$24)+$D49*(INDEX($D$7:$P$21,$C49+1,O$24)-INDEX($D$7:$P$21,$C49,O$24))</f>
        <v/>
      </c>
      <c r="P49" s="53">
        <f>INDEX($D$7:$P$21,$C49,P$24)+$D49*(INDEX($D$7:$P$21,$C49+1,P$24)-INDEX($D$7:$P$21,$C49,P$24))</f>
        <v/>
      </c>
      <c r="Q49" s="53">
        <f>INDEX($D$7:$P$21,$C49,Q$24)+$D49*(INDEX($D$7:$P$21,$C49+1,Q$24)-INDEX($D$7:$P$21,$C49,Q$24))</f>
        <v/>
      </c>
      <c r="R49" s="53">
        <f>INDEX($D$7:$P$21,$C49,R$24)+$D49*(INDEX($D$7:$P$21,$C49+1,R$24)-INDEX($D$7:$P$21,$C49,R$24))</f>
        <v/>
      </c>
      <c r="T49" s="54">
        <f>(1-F49*$E$4*SUM(T$25:T48))/(1+F49*$E$4)</f>
        <v/>
      </c>
      <c r="U49" s="54">
        <f>(1-G49*$E$4*SUM(U$25:U48))/(1+G49*$E$4)</f>
        <v/>
      </c>
      <c r="V49" s="54">
        <f>(1-H49*$E$4*SUM(V$25:V48))/(1+H49*$E$4)</f>
        <v/>
      </c>
      <c r="W49" s="54">
        <f>(1-I49*$E$4*SUM(W$25:W48))/(1+I49*$E$4)</f>
        <v/>
      </c>
      <c r="X49" s="54">
        <f>(1-J49*$E$4*SUM(X$25:X48))/(1+J49*$E$4)</f>
        <v/>
      </c>
      <c r="Y49" s="54">
        <f>(1-K49*$E$4*SUM(Y$25:Y48))/(1+K49*$E$4)</f>
        <v/>
      </c>
      <c r="Z49" s="54">
        <f>(1-L49*$E$4*SUM(Z$25:Z48))/(1+L49*$E$4)</f>
        <v/>
      </c>
      <c r="AA49" s="54">
        <f>(1-M49*$E$4*SUM(AA$25:AA48))/(1+M49*$E$4)</f>
        <v/>
      </c>
      <c r="AB49" s="54">
        <f>(1-N49*$E$4*SUM(AB$25:AB48))/(1+N49*$E$4)</f>
        <v/>
      </c>
      <c r="AC49" s="54">
        <f>(1-O49*$E$4*SUM(AC$25:AC48))/(1+O49*$E$4)</f>
        <v/>
      </c>
      <c r="AD49" s="54">
        <f>(1-P49*$E$4*SUM(AD$25:AD48))/(1+P49*$E$4)</f>
        <v/>
      </c>
      <c r="AE49" s="54">
        <f>(1-Q49*$E$4*SUM(AE$25:AE48))/(1+Q49*$E$4)</f>
        <v/>
      </c>
      <c r="AF49" s="54">
        <f>(1-R49*$E$4*SUM(AF$25:AF48))/(1+R49*$E$4)</f>
        <v/>
      </c>
    </row>
    <row r="50">
      <c r="A50" s="4" t="n">
        <v>26</v>
      </c>
      <c r="B50" s="6">
        <f>A50*0.25</f>
        <v/>
      </c>
      <c r="C50" s="4">
        <f>MIN(MATCH(B50,$B$7:$B$21,1),14)</f>
        <v/>
      </c>
      <c r="D50" s="9">
        <f>(B50-INDEX($B$7:$B$21,C50))/(INDEX($B$7:$B$21,C50+1)-INDEX($B$7:$B$21,C50))</f>
        <v/>
      </c>
      <c r="E50" s="41">
        <f>'Amort-Set-up'!E45</f>
        <v/>
      </c>
      <c r="F50" s="53">
        <f>INDEX($D$7:$P$21,$C50,F$24)+$D50*(INDEX($D$7:$P$21,$C50+1,F$24)-INDEX($D$7:$P$21,$C50,F$24))</f>
        <v/>
      </c>
      <c r="G50" s="53">
        <f>INDEX($D$7:$P$21,$C50,G$24)+$D50*(INDEX($D$7:$P$21,$C50+1,G$24)-INDEX($D$7:$P$21,$C50,G$24))</f>
        <v/>
      </c>
      <c r="H50" s="53">
        <f>INDEX($D$7:$P$21,$C50,H$24)+$D50*(INDEX($D$7:$P$21,$C50+1,H$24)-INDEX($D$7:$P$21,$C50,H$24))</f>
        <v/>
      </c>
      <c r="I50" s="53">
        <f>INDEX($D$7:$P$21,$C50,I$24)+$D50*(INDEX($D$7:$P$21,$C50+1,I$24)-INDEX($D$7:$P$21,$C50,I$24))</f>
        <v/>
      </c>
      <c r="J50" s="53">
        <f>INDEX($D$7:$P$21,$C50,J$24)+$D50*(INDEX($D$7:$P$21,$C50+1,J$24)-INDEX($D$7:$P$21,$C50,J$24))</f>
        <v/>
      </c>
      <c r="K50" s="53">
        <f>INDEX($D$7:$P$21,$C50,K$24)+$D50*(INDEX($D$7:$P$21,$C50+1,K$24)-INDEX($D$7:$P$21,$C50,K$24))</f>
        <v/>
      </c>
      <c r="L50" s="53">
        <f>INDEX($D$7:$P$21,$C50,L$24)+$D50*(INDEX($D$7:$P$21,$C50+1,L$24)-INDEX($D$7:$P$21,$C50,L$24))</f>
        <v/>
      </c>
      <c r="M50" s="53">
        <f>INDEX($D$7:$P$21,$C50,M$24)+$D50*(INDEX($D$7:$P$21,$C50+1,M$24)-INDEX($D$7:$P$21,$C50,M$24))</f>
        <v/>
      </c>
      <c r="N50" s="53">
        <f>INDEX($D$7:$P$21,$C50,N$24)+$D50*(INDEX($D$7:$P$21,$C50+1,N$24)-INDEX($D$7:$P$21,$C50,N$24))</f>
        <v/>
      </c>
      <c r="O50" s="53">
        <f>INDEX($D$7:$P$21,$C50,O$24)+$D50*(INDEX($D$7:$P$21,$C50+1,O$24)-INDEX($D$7:$P$21,$C50,O$24))</f>
        <v/>
      </c>
      <c r="P50" s="53">
        <f>INDEX($D$7:$P$21,$C50,P$24)+$D50*(INDEX($D$7:$P$21,$C50+1,P$24)-INDEX($D$7:$P$21,$C50,P$24))</f>
        <v/>
      </c>
      <c r="Q50" s="53">
        <f>INDEX($D$7:$P$21,$C50,Q$24)+$D50*(INDEX($D$7:$P$21,$C50+1,Q$24)-INDEX($D$7:$P$21,$C50,Q$24))</f>
        <v/>
      </c>
      <c r="R50" s="53">
        <f>INDEX($D$7:$P$21,$C50,R$24)+$D50*(INDEX($D$7:$P$21,$C50+1,R$24)-INDEX($D$7:$P$21,$C50,R$24))</f>
        <v/>
      </c>
      <c r="T50" s="54">
        <f>(1-F50*$E$4*SUM(T$25:T49))/(1+F50*$E$4)</f>
        <v/>
      </c>
      <c r="U50" s="54">
        <f>(1-G50*$E$4*SUM(U$25:U49))/(1+G50*$E$4)</f>
        <v/>
      </c>
      <c r="V50" s="54">
        <f>(1-H50*$E$4*SUM(V$25:V49))/(1+H50*$E$4)</f>
        <v/>
      </c>
      <c r="W50" s="54">
        <f>(1-I50*$E$4*SUM(W$25:W49))/(1+I50*$E$4)</f>
        <v/>
      </c>
      <c r="X50" s="54">
        <f>(1-J50*$E$4*SUM(X$25:X49))/(1+J50*$E$4)</f>
        <v/>
      </c>
      <c r="Y50" s="54">
        <f>(1-K50*$E$4*SUM(Y$25:Y49))/(1+K50*$E$4)</f>
        <v/>
      </c>
      <c r="Z50" s="54">
        <f>(1-L50*$E$4*SUM(Z$25:Z49))/(1+L50*$E$4)</f>
        <v/>
      </c>
      <c r="AA50" s="54">
        <f>(1-M50*$E$4*SUM(AA$25:AA49))/(1+M50*$E$4)</f>
        <v/>
      </c>
      <c r="AB50" s="54">
        <f>(1-N50*$E$4*SUM(AB$25:AB49))/(1+N50*$E$4)</f>
        <v/>
      </c>
      <c r="AC50" s="54">
        <f>(1-O50*$E$4*SUM(AC$25:AC49))/(1+O50*$E$4)</f>
        <v/>
      </c>
      <c r="AD50" s="54">
        <f>(1-P50*$E$4*SUM(AD$25:AD49))/(1+P50*$E$4)</f>
        <v/>
      </c>
      <c r="AE50" s="54">
        <f>(1-Q50*$E$4*SUM(AE$25:AE49))/(1+Q50*$E$4)</f>
        <v/>
      </c>
      <c r="AF50" s="54">
        <f>(1-R50*$E$4*SUM(AF$25:AF49))/(1+R50*$E$4)</f>
        <v/>
      </c>
    </row>
    <row r="51">
      <c r="A51" s="4" t="n">
        <v>27</v>
      </c>
      <c r="B51" s="6">
        <f>A51*0.25</f>
        <v/>
      </c>
      <c r="C51" s="4">
        <f>MIN(MATCH(B51,$B$7:$B$21,1),14)</f>
        <v/>
      </c>
      <c r="D51" s="9">
        <f>(B51-INDEX($B$7:$B$21,C51))/(INDEX($B$7:$B$21,C51+1)-INDEX($B$7:$B$21,C51))</f>
        <v/>
      </c>
      <c r="E51" s="41">
        <f>'Amort-Set-up'!E46</f>
        <v/>
      </c>
      <c r="F51" s="53">
        <f>INDEX($D$7:$P$21,$C51,F$24)+$D51*(INDEX($D$7:$P$21,$C51+1,F$24)-INDEX($D$7:$P$21,$C51,F$24))</f>
        <v/>
      </c>
      <c r="G51" s="53">
        <f>INDEX($D$7:$P$21,$C51,G$24)+$D51*(INDEX($D$7:$P$21,$C51+1,G$24)-INDEX($D$7:$P$21,$C51,G$24))</f>
        <v/>
      </c>
      <c r="H51" s="53">
        <f>INDEX($D$7:$P$21,$C51,H$24)+$D51*(INDEX($D$7:$P$21,$C51+1,H$24)-INDEX($D$7:$P$21,$C51,H$24))</f>
        <v/>
      </c>
      <c r="I51" s="53">
        <f>INDEX($D$7:$P$21,$C51,I$24)+$D51*(INDEX($D$7:$P$21,$C51+1,I$24)-INDEX($D$7:$P$21,$C51,I$24))</f>
        <v/>
      </c>
      <c r="J51" s="53">
        <f>INDEX($D$7:$P$21,$C51,J$24)+$D51*(INDEX($D$7:$P$21,$C51+1,J$24)-INDEX($D$7:$P$21,$C51,J$24))</f>
        <v/>
      </c>
      <c r="K51" s="53">
        <f>INDEX($D$7:$P$21,$C51,K$24)+$D51*(INDEX($D$7:$P$21,$C51+1,K$24)-INDEX($D$7:$P$21,$C51,K$24))</f>
        <v/>
      </c>
      <c r="L51" s="53">
        <f>INDEX($D$7:$P$21,$C51,L$24)+$D51*(INDEX($D$7:$P$21,$C51+1,L$24)-INDEX($D$7:$P$21,$C51,L$24))</f>
        <v/>
      </c>
      <c r="M51" s="53">
        <f>INDEX($D$7:$P$21,$C51,M$24)+$D51*(INDEX($D$7:$P$21,$C51+1,M$24)-INDEX($D$7:$P$21,$C51,M$24))</f>
        <v/>
      </c>
      <c r="N51" s="53">
        <f>INDEX($D$7:$P$21,$C51,N$24)+$D51*(INDEX($D$7:$P$21,$C51+1,N$24)-INDEX($D$7:$P$21,$C51,N$24))</f>
        <v/>
      </c>
      <c r="O51" s="53">
        <f>INDEX($D$7:$P$21,$C51,O$24)+$D51*(INDEX($D$7:$P$21,$C51+1,O$24)-INDEX($D$7:$P$21,$C51,O$24))</f>
        <v/>
      </c>
      <c r="P51" s="53">
        <f>INDEX($D$7:$P$21,$C51,P$24)+$D51*(INDEX($D$7:$P$21,$C51+1,P$24)-INDEX($D$7:$P$21,$C51,P$24))</f>
        <v/>
      </c>
      <c r="Q51" s="53">
        <f>INDEX($D$7:$P$21,$C51,Q$24)+$D51*(INDEX($D$7:$P$21,$C51+1,Q$24)-INDEX($D$7:$P$21,$C51,Q$24))</f>
        <v/>
      </c>
      <c r="R51" s="53">
        <f>INDEX($D$7:$P$21,$C51,R$24)+$D51*(INDEX($D$7:$P$21,$C51+1,R$24)-INDEX($D$7:$P$21,$C51,R$24))</f>
        <v/>
      </c>
      <c r="T51" s="54">
        <f>(1-F51*$E$4*SUM(T$25:T50))/(1+F51*$E$4)</f>
        <v/>
      </c>
      <c r="U51" s="54">
        <f>(1-G51*$E$4*SUM(U$25:U50))/(1+G51*$E$4)</f>
        <v/>
      </c>
      <c r="V51" s="54">
        <f>(1-H51*$E$4*SUM(V$25:V50))/(1+H51*$E$4)</f>
        <v/>
      </c>
      <c r="W51" s="54">
        <f>(1-I51*$E$4*SUM(W$25:W50))/(1+I51*$E$4)</f>
        <v/>
      </c>
      <c r="X51" s="54">
        <f>(1-J51*$E$4*SUM(X$25:X50))/(1+J51*$E$4)</f>
        <v/>
      </c>
      <c r="Y51" s="54">
        <f>(1-K51*$E$4*SUM(Y$25:Y50))/(1+K51*$E$4)</f>
        <v/>
      </c>
      <c r="Z51" s="54">
        <f>(1-L51*$E$4*SUM(Z$25:Z50))/(1+L51*$E$4)</f>
        <v/>
      </c>
      <c r="AA51" s="54">
        <f>(1-M51*$E$4*SUM(AA$25:AA50))/(1+M51*$E$4)</f>
        <v/>
      </c>
      <c r="AB51" s="54">
        <f>(1-N51*$E$4*SUM(AB$25:AB50))/(1+N51*$E$4)</f>
        <v/>
      </c>
      <c r="AC51" s="54">
        <f>(1-O51*$E$4*SUM(AC$25:AC50))/(1+O51*$E$4)</f>
        <v/>
      </c>
      <c r="AD51" s="54">
        <f>(1-P51*$E$4*SUM(AD$25:AD50))/(1+P51*$E$4)</f>
        <v/>
      </c>
      <c r="AE51" s="54">
        <f>(1-Q51*$E$4*SUM(AE$25:AE50))/(1+Q51*$E$4)</f>
        <v/>
      </c>
      <c r="AF51" s="54">
        <f>(1-R51*$E$4*SUM(AF$25:AF50))/(1+R51*$E$4)</f>
        <v/>
      </c>
    </row>
    <row r="52">
      <c r="A52" s="4" t="n">
        <v>28</v>
      </c>
      <c r="B52" s="6">
        <f>A52*0.25</f>
        <v/>
      </c>
      <c r="C52" s="4">
        <f>MIN(MATCH(B52,$B$7:$B$21,1),14)</f>
        <v/>
      </c>
      <c r="D52" s="9">
        <f>(B52-INDEX($B$7:$B$21,C52))/(INDEX($B$7:$B$21,C52+1)-INDEX($B$7:$B$21,C52))</f>
        <v/>
      </c>
      <c r="E52" s="41">
        <f>'Amort-Set-up'!E47</f>
        <v/>
      </c>
      <c r="F52" s="53">
        <f>INDEX($D$7:$P$21,$C52,F$24)+$D52*(INDEX($D$7:$P$21,$C52+1,F$24)-INDEX($D$7:$P$21,$C52,F$24))</f>
        <v/>
      </c>
      <c r="G52" s="53">
        <f>INDEX($D$7:$P$21,$C52,G$24)+$D52*(INDEX($D$7:$P$21,$C52+1,G$24)-INDEX($D$7:$P$21,$C52,G$24))</f>
        <v/>
      </c>
      <c r="H52" s="53">
        <f>INDEX($D$7:$P$21,$C52,H$24)+$D52*(INDEX($D$7:$P$21,$C52+1,H$24)-INDEX($D$7:$P$21,$C52,H$24))</f>
        <v/>
      </c>
      <c r="I52" s="53">
        <f>INDEX($D$7:$P$21,$C52,I$24)+$D52*(INDEX($D$7:$P$21,$C52+1,I$24)-INDEX($D$7:$P$21,$C52,I$24))</f>
        <v/>
      </c>
      <c r="J52" s="53">
        <f>INDEX($D$7:$P$21,$C52,J$24)+$D52*(INDEX($D$7:$P$21,$C52+1,J$24)-INDEX($D$7:$P$21,$C52,J$24))</f>
        <v/>
      </c>
      <c r="K52" s="53">
        <f>INDEX($D$7:$P$21,$C52,K$24)+$D52*(INDEX($D$7:$P$21,$C52+1,K$24)-INDEX($D$7:$P$21,$C52,K$24))</f>
        <v/>
      </c>
      <c r="L52" s="53">
        <f>INDEX($D$7:$P$21,$C52,L$24)+$D52*(INDEX($D$7:$P$21,$C52+1,L$24)-INDEX($D$7:$P$21,$C52,L$24))</f>
        <v/>
      </c>
      <c r="M52" s="53">
        <f>INDEX($D$7:$P$21,$C52,M$24)+$D52*(INDEX($D$7:$P$21,$C52+1,M$24)-INDEX($D$7:$P$21,$C52,M$24))</f>
        <v/>
      </c>
      <c r="N52" s="53">
        <f>INDEX($D$7:$P$21,$C52,N$24)+$D52*(INDEX($D$7:$P$21,$C52+1,N$24)-INDEX($D$7:$P$21,$C52,N$24))</f>
        <v/>
      </c>
      <c r="O52" s="53">
        <f>INDEX($D$7:$P$21,$C52,O$24)+$D52*(INDEX($D$7:$P$21,$C52+1,O$24)-INDEX($D$7:$P$21,$C52,O$24))</f>
        <v/>
      </c>
      <c r="P52" s="53">
        <f>INDEX($D$7:$P$21,$C52,P$24)+$D52*(INDEX($D$7:$P$21,$C52+1,P$24)-INDEX($D$7:$P$21,$C52,P$24))</f>
        <v/>
      </c>
      <c r="Q52" s="53">
        <f>INDEX($D$7:$P$21,$C52,Q$24)+$D52*(INDEX($D$7:$P$21,$C52+1,Q$24)-INDEX($D$7:$P$21,$C52,Q$24))</f>
        <v/>
      </c>
      <c r="R52" s="53">
        <f>INDEX($D$7:$P$21,$C52,R$24)+$D52*(INDEX($D$7:$P$21,$C52+1,R$24)-INDEX($D$7:$P$21,$C52,R$24))</f>
        <v/>
      </c>
      <c r="T52" s="54">
        <f>(1-F52*$E$4*SUM(T$25:T51))/(1+F52*$E$4)</f>
        <v/>
      </c>
      <c r="U52" s="54">
        <f>(1-G52*$E$4*SUM(U$25:U51))/(1+G52*$E$4)</f>
        <v/>
      </c>
      <c r="V52" s="54">
        <f>(1-H52*$E$4*SUM(V$25:V51))/(1+H52*$E$4)</f>
        <v/>
      </c>
      <c r="W52" s="54">
        <f>(1-I52*$E$4*SUM(W$25:W51))/(1+I52*$E$4)</f>
        <v/>
      </c>
      <c r="X52" s="54">
        <f>(1-J52*$E$4*SUM(X$25:X51))/(1+J52*$E$4)</f>
        <v/>
      </c>
      <c r="Y52" s="54">
        <f>(1-K52*$E$4*SUM(Y$25:Y51))/(1+K52*$E$4)</f>
        <v/>
      </c>
      <c r="Z52" s="54">
        <f>(1-L52*$E$4*SUM(Z$25:Z51))/(1+L52*$E$4)</f>
        <v/>
      </c>
      <c r="AA52" s="54">
        <f>(1-M52*$E$4*SUM(AA$25:AA51))/(1+M52*$E$4)</f>
        <v/>
      </c>
      <c r="AB52" s="54">
        <f>(1-N52*$E$4*SUM(AB$25:AB51))/(1+N52*$E$4)</f>
        <v/>
      </c>
      <c r="AC52" s="54">
        <f>(1-O52*$E$4*SUM(AC$25:AC51))/(1+O52*$E$4)</f>
        <v/>
      </c>
      <c r="AD52" s="54">
        <f>(1-P52*$E$4*SUM(AD$25:AD51))/(1+P52*$E$4)</f>
        <v/>
      </c>
      <c r="AE52" s="54">
        <f>(1-Q52*$E$4*SUM(AE$25:AE51))/(1+Q52*$E$4)</f>
        <v/>
      </c>
      <c r="AF52" s="54">
        <f>(1-R52*$E$4*SUM(AF$25:AF51))/(1+R52*$E$4)</f>
        <v/>
      </c>
    </row>
    <row r="53">
      <c r="A53" s="4" t="n">
        <v>29</v>
      </c>
      <c r="B53" s="6">
        <f>A53*0.25</f>
        <v/>
      </c>
      <c r="C53" s="4">
        <f>MIN(MATCH(B53,$B$7:$B$21,1),14)</f>
        <v/>
      </c>
      <c r="D53" s="9">
        <f>(B53-INDEX($B$7:$B$21,C53))/(INDEX($B$7:$B$21,C53+1)-INDEX($B$7:$B$21,C53))</f>
        <v/>
      </c>
      <c r="E53" s="41">
        <f>'Amort-Set-up'!E48</f>
        <v/>
      </c>
      <c r="F53" s="53">
        <f>INDEX($D$7:$P$21,$C53,F$24)+$D53*(INDEX($D$7:$P$21,$C53+1,F$24)-INDEX($D$7:$P$21,$C53,F$24))</f>
        <v/>
      </c>
      <c r="G53" s="53">
        <f>INDEX($D$7:$P$21,$C53,G$24)+$D53*(INDEX($D$7:$P$21,$C53+1,G$24)-INDEX($D$7:$P$21,$C53,G$24))</f>
        <v/>
      </c>
      <c r="H53" s="53">
        <f>INDEX($D$7:$P$21,$C53,H$24)+$D53*(INDEX($D$7:$P$21,$C53+1,H$24)-INDEX($D$7:$P$21,$C53,H$24))</f>
        <v/>
      </c>
      <c r="I53" s="53">
        <f>INDEX($D$7:$P$21,$C53,I$24)+$D53*(INDEX($D$7:$P$21,$C53+1,I$24)-INDEX($D$7:$P$21,$C53,I$24))</f>
        <v/>
      </c>
      <c r="J53" s="53">
        <f>INDEX($D$7:$P$21,$C53,J$24)+$D53*(INDEX($D$7:$P$21,$C53+1,J$24)-INDEX($D$7:$P$21,$C53,J$24))</f>
        <v/>
      </c>
      <c r="K53" s="53">
        <f>INDEX($D$7:$P$21,$C53,K$24)+$D53*(INDEX($D$7:$P$21,$C53+1,K$24)-INDEX($D$7:$P$21,$C53,K$24))</f>
        <v/>
      </c>
      <c r="L53" s="53">
        <f>INDEX($D$7:$P$21,$C53,L$24)+$D53*(INDEX($D$7:$P$21,$C53+1,L$24)-INDEX($D$7:$P$21,$C53,L$24))</f>
        <v/>
      </c>
      <c r="M53" s="53">
        <f>INDEX($D$7:$P$21,$C53,M$24)+$D53*(INDEX($D$7:$P$21,$C53+1,M$24)-INDEX($D$7:$P$21,$C53,M$24))</f>
        <v/>
      </c>
      <c r="N53" s="53">
        <f>INDEX($D$7:$P$21,$C53,N$24)+$D53*(INDEX($D$7:$P$21,$C53+1,N$24)-INDEX($D$7:$P$21,$C53,N$24))</f>
        <v/>
      </c>
      <c r="O53" s="53">
        <f>INDEX($D$7:$P$21,$C53,O$24)+$D53*(INDEX($D$7:$P$21,$C53+1,O$24)-INDEX($D$7:$P$21,$C53,O$24))</f>
        <v/>
      </c>
      <c r="P53" s="53">
        <f>INDEX($D$7:$P$21,$C53,P$24)+$D53*(INDEX($D$7:$P$21,$C53+1,P$24)-INDEX($D$7:$P$21,$C53,P$24))</f>
        <v/>
      </c>
      <c r="Q53" s="53">
        <f>INDEX($D$7:$P$21,$C53,Q$24)+$D53*(INDEX($D$7:$P$21,$C53+1,Q$24)-INDEX($D$7:$P$21,$C53,Q$24))</f>
        <v/>
      </c>
      <c r="R53" s="53">
        <f>INDEX($D$7:$P$21,$C53,R$24)+$D53*(INDEX($D$7:$P$21,$C53+1,R$24)-INDEX($D$7:$P$21,$C53,R$24))</f>
        <v/>
      </c>
      <c r="T53" s="54">
        <f>(1-F53*$E$4*SUM(T$25:T52))/(1+F53*$E$4)</f>
        <v/>
      </c>
      <c r="U53" s="54">
        <f>(1-G53*$E$4*SUM(U$25:U52))/(1+G53*$E$4)</f>
        <v/>
      </c>
      <c r="V53" s="54">
        <f>(1-H53*$E$4*SUM(V$25:V52))/(1+H53*$E$4)</f>
        <v/>
      </c>
      <c r="W53" s="54">
        <f>(1-I53*$E$4*SUM(W$25:W52))/(1+I53*$E$4)</f>
        <v/>
      </c>
      <c r="X53" s="54">
        <f>(1-J53*$E$4*SUM(X$25:X52))/(1+J53*$E$4)</f>
        <v/>
      </c>
      <c r="Y53" s="54">
        <f>(1-K53*$E$4*SUM(Y$25:Y52))/(1+K53*$E$4)</f>
        <v/>
      </c>
      <c r="Z53" s="54">
        <f>(1-L53*$E$4*SUM(Z$25:Z52))/(1+L53*$E$4)</f>
        <v/>
      </c>
      <c r="AA53" s="54">
        <f>(1-M53*$E$4*SUM(AA$25:AA52))/(1+M53*$E$4)</f>
        <v/>
      </c>
      <c r="AB53" s="54">
        <f>(1-N53*$E$4*SUM(AB$25:AB52))/(1+N53*$E$4)</f>
        <v/>
      </c>
      <c r="AC53" s="54">
        <f>(1-O53*$E$4*SUM(AC$25:AC52))/(1+O53*$E$4)</f>
        <v/>
      </c>
      <c r="AD53" s="54">
        <f>(1-P53*$E$4*SUM(AD$25:AD52))/(1+P53*$E$4)</f>
        <v/>
      </c>
      <c r="AE53" s="54">
        <f>(1-Q53*$E$4*SUM(AE$25:AE52))/(1+Q53*$E$4)</f>
        <v/>
      </c>
      <c r="AF53" s="54">
        <f>(1-R53*$E$4*SUM(AF$25:AF52))/(1+R53*$E$4)</f>
        <v/>
      </c>
    </row>
    <row r="54">
      <c r="A54" s="4" t="n">
        <v>30</v>
      </c>
      <c r="B54" s="6">
        <f>A54*0.25</f>
        <v/>
      </c>
      <c r="C54" s="4">
        <f>MIN(MATCH(B54,$B$7:$B$21,1),14)</f>
        <v/>
      </c>
      <c r="D54" s="9">
        <f>(B54-INDEX($B$7:$B$21,C54))/(INDEX($B$7:$B$21,C54+1)-INDEX($B$7:$B$21,C54))</f>
        <v/>
      </c>
      <c r="E54" s="41">
        <f>'Amort-Set-up'!E49</f>
        <v/>
      </c>
      <c r="F54" s="53">
        <f>INDEX($D$7:$P$21,$C54,F$24)+$D54*(INDEX($D$7:$P$21,$C54+1,F$24)-INDEX($D$7:$P$21,$C54,F$24))</f>
        <v/>
      </c>
      <c r="G54" s="53">
        <f>INDEX($D$7:$P$21,$C54,G$24)+$D54*(INDEX($D$7:$P$21,$C54+1,G$24)-INDEX($D$7:$P$21,$C54,G$24))</f>
        <v/>
      </c>
      <c r="H54" s="53">
        <f>INDEX($D$7:$P$21,$C54,H$24)+$D54*(INDEX($D$7:$P$21,$C54+1,H$24)-INDEX($D$7:$P$21,$C54,H$24))</f>
        <v/>
      </c>
      <c r="I54" s="53">
        <f>INDEX($D$7:$P$21,$C54,I$24)+$D54*(INDEX($D$7:$P$21,$C54+1,I$24)-INDEX($D$7:$P$21,$C54,I$24))</f>
        <v/>
      </c>
      <c r="J54" s="53">
        <f>INDEX($D$7:$P$21,$C54,J$24)+$D54*(INDEX($D$7:$P$21,$C54+1,J$24)-INDEX($D$7:$P$21,$C54,J$24))</f>
        <v/>
      </c>
      <c r="K54" s="53">
        <f>INDEX($D$7:$P$21,$C54,K$24)+$D54*(INDEX($D$7:$P$21,$C54+1,K$24)-INDEX($D$7:$P$21,$C54,K$24))</f>
        <v/>
      </c>
      <c r="L54" s="53">
        <f>INDEX($D$7:$P$21,$C54,L$24)+$D54*(INDEX($D$7:$P$21,$C54+1,L$24)-INDEX($D$7:$P$21,$C54,L$24))</f>
        <v/>
      </c>
      <c r="M54" s="53">
        <f>INDEX($D$7:$P$21,$C54,M$24)+$D54*(INDEX($D$7:$P$21,$C54+1,M$24)-INDEX($D$7:$P$21,$C54,M$24))</f>
        <v/>
      </c>
      <c r="N54" s="53">
        <f>INDEX($D$7:$P$21,$C54,N$24)+$D54*(INDEX($D$7:$P$21,$C54+1,N$24)-INDEX($D$7:$P$21,$C54,N$24))</f>
        <v/>
      </c>
      <c r="O54" s="53">
        <f>INDEX($D$7:$P$21,$C54,O$24)+$D54*(INDEX($D$7:$P$21,$C54+1,O$24)-INDEX($D$7:$P$21,$C54,O$24))</f>
        <v/>
      </c>
      <c r="P54" s="53">
        <f>INDEX($D$7:$P$21,$C54,P$24)+$D54*(INDEX($D$7:$P$21,$C54+1,P$24)-INDEX($D$7:$P$21,$C54,P$24))</f>
        <v/>
      </c>
      <c r="Q54" s="53">
        <f>INDEX($D$7:$P$21,$C54,Q$24)+$D54*(INDEX($D$7:$P$21,$C54+1,Q$24)-INDEX($D$7:$P$21,$C54,Q$24))</f>
        <v/>
      </c>
      <c r="R54" s="53">
        <f>INDEX($D$7:$P$21,$C54,R$24)+$D54*(INDEX($D$7:$P$21,$C54+1,R$24)-INDEX($D$7:$P$21,$C54,R$24))</f>
        <v/>
      </c>
      <c r="T54" s="54">
        <f>(1-F54*$E$4*SUM(T$25:T53))/(1+F54*$E$4)</f>
        <v/>
      </c>
      <c r="U54" s="54">
        <f>(1-G54*$E$4*SUM(U$25:U53))/(1+G54*$E$4)</f>
        <v/>
      </c>
      <c r="V54" s="54">
        <f>(1-H54*$E$4*SUM(V$25:V53))/(1+H54*$E$4)</f>
        <v/>
      </c>
      <c r="W54" s="54">
        <f>(1-I54*$E$4*SUM(W$25:W53))/(1+I54*$E$4)</f>
        <v/>
      </c>
      <c r="X54" s="54">
        <f>(1-J54*$E$4*SUM(X$25:X53))/(1+J54*$E$4)</f>
        <v/>
      </c>
      <c r="Y54" s="54">
        <f>(1-K54*$E$4*SUM(Y$25:Y53))/(1+K54*$E$4)</f>
        <v/>
      </c>
      <c r="Z54" s="54">
        <f>(1-L54*$E$4*SUM(Z$25:Z53))/(1+L54*$E$4)</f>
        <v/>
      </c>
      <c r="AA54" s="54">
        <f>(1-M54*$E$4*SUM(AA$25:AA53))/(1+M54*$E$4)</f>
        <v/>
      </c>
      <c r="AB54" s="54">
        <f>(1-N54*$E$4*SUM(AB$25:AB53))/(1+N54*$E$4)</f>
        <v/>
      </c>
      <c r="AC54" s="54">
        <f>(1-O54*$E$4*SUM(AC$25:AC53))/(1+O54*$E$4)</f>
        <v/>
      </c>
      <c r="AD54" s="54">
        <f>(1-P54*$E$4*SUM(AD$25:AD53))/(1+P54*$E$4)</f>
        <v/>
      </c>
      <c r="AE54" s="54">
        <f>(1-Q54*$E$4*SUM(AE$25:AE53))/(1+Q54*$E$4)</f>
        <v/>
      </c>
      <c r="AF54" s="54">
        <f>(1-R54*$E$4*SUM(AF$25:AF53))/(1+R54*$E$4)</f>
        <v/>
      </c>
    </row>
    <row r="55">
      <c r="A55" s="4" t="n">
        <v>31</v>
      </c>
      <c r="B55" s="6">
        <f>A55*0.25</f>
        <v/>
      </c>
      <c r="C55" s="4">
        <f>MIN(MATCH(B55,$B$7:$B$21,1),14)</f>
        <v/>
      </c>
      <c r="D55" s="9">
        <f>(B55-INDEX($B$7:$B$21,C55))/(INDEX($B$7:$B$21,C55+1)-INDEX($B$7:$B$21,C55))</f>
        <v/>
      </c>
      <c r="E55" s="41">
        <f>'Amort-Set-up'!E50</f>
        <v/>
      </c>
      <c r="F55" s="53">
        <f>INDEX($D$7:$P$21,$C55,F$24)+$D55*(INDEX($D$7:$P$21,$C55+1,F$24)-INDEX($D$7:$P$21,$C55,F$24))</f>
        <v/>
      </c>
      <c r="G55" s="53">
        <f>INDEX($D$7:$P$21,$C55,G$24)+$D55*(INDEX($D$7:$P$21,$C55+1,G$24)-INDEX($D$7:$P$21,$C55,G$24))</f>
        <v/>
      </c>
      <c r="H55" s="53">
        <f>INDEX($D$7:$P$21,$C55,H$24)+$D55*(INDEX($D$7:$P$21,$C55+1,H$24)-INDEX($D$7:$P$21,$C55,H$24))</f>
        <v/>
      </c>
      <c r="I55" s="53">
        <f>INDEX($D$7:$P$21,$C55,I$24)+$D55*(INDEX($D$7:$P$21,$C55+1,I$24)-INDEX($D$7:$P$21,$C55,I$24))</f>
        <v/>
      </c>
      <c r="J55" s="53">
        <f>INDEX($D$7:$P$21,$C55,J$24)+$D55*(INDEX($D$7:$P$21,$C55+1,J$24)-INDEX($D$7:$P$21,$C55,J$24))</f>
        <v/>
      </c>
      <c r="K55" s="53">
        <f>INDEX($D$7:$P$21,$C55,K$24)+$D55*(INDEX($D$7:$P$21,$C55+1,K$24)-INDEX($D$7:$P$21,$C55,K$24))</f>
        <v/>
      </c>
      <c r="L55" s="53">
        <f>INDEX($D$7:$P$21,$C55,L$24)+$D55*(INDEX($D$7:$P$21,$C55+1,L$24)-INDEX($D$7:$P$21,$C55,L$24))</f>
        <v/>
      </c>
      <c r="M55" s="53">
        <f>INDEX($D$7:$P$21,$C55,M$24)+$D55*(INDEX($D$7:$P$21,$C55+1,M$24)-INDEX($D$7:$P$21,$C55,M$24))</f>
        <v/>
      </c>
      <c r="N55" s="53">
        <f>INDEX($D$7:$P$21,$C55,N$24)+$D55*(INDEX($D$7:$P$21,$C55+1,N$24)-INDEX($D$7:$P$21,$C55,N$24))</f>
        <v/>
      </c>
      <c r="O55" s="53">
        <f>INDEX($D$7:$P$21,$C55,O$24)+$D55*(INDEX($D$7:$P$21,$C55+1,O$24)-INDEX($D$7:$P$21,$C55,O$24))</f>
        <v/>
      </c>
      <c r="P55" s="53">
        <f>INDEX($D$7:$P$21,$C55,P$24)+$D55*(INDEX($D$7:$P$21,$C55+1,P$24)-INDEX($D$7:$P$21,$C55,P$24))</f>
        <v/>
      </c>
      <c r="Q55" s="53">
        <f>INDEX($D$7:$P$21,$C55,Q$24)+$D55*(INDEX($D$7:$P$21,$C55+1,Q$24)-INDEX($D$7:$P$21,$C55,Q$24))</f>
        <v/>
      </c>
      <c r="R55" s="53">
        <f>INDEX($D$7:$P$21,$C55,R$24)+$D55*(INDEX($D$7:$P$21,$C55+1,R$24)-INDEX($D$7:$P$21,$C55,R$24))</f>
        <v/>
      </c>
      <c r="T55" s="54">
        <f>(1-F55*$E$4*SUM(T$25:T54))/(1+F55*$E$4)</f>
        <v/>
      </c>
      <c r="U55" s="54">
        <f>(1-G55*$E$4*SUM(U$25:U54))/(1+G55*$E$4)</f>
        <v/>
      </c>
      <c r="V55" s="54">
        <f>(1-H55*$E$4*SUM(V$25:V54))/(1+H55*$E$4)</f>
        <v/>
      </c>
      <c r="W55" s="54">
        <f>(1-I55*$E$4*SUM(W$25:W54))/(1+I55*$E$4)</f>
        <v/>
      </c>
      <c r="X55" s="54">
        <f>(1-J55*$E$4*SUM(X$25:X54))/(1+J55*$E$4)</f>
        <v/>
      </c>
      <c r="Y55" s="54">
        <f>(1-K55*$E$4*SUM(Y$25:Y54))/(1+K55*$E$4)</f>
        <v/>
      </c>
      <c r="Z55" s="54">
        <f>(1-L55*$E$4*SUM(Z$25:Z54))/(1+L55*$E$4)</f>
        <v/>
      </c>
      <c r="AA55" s="54">
        <f>(1-M55*$E$4*SUM(AA$25:AA54))/(1+M55*$E$4)</f>
        <v/>
      </c>
      <c r="AB55" s="54">
        <f>(1-N55*$E$4*SUM(AB$25:AB54))/(1+N55*$E$4)</f>
        <v/>
      </c>
      <c r="AC55" s="54">
        <f>(1-O55*$E$4*SUM(AC$25:AC54))/(1+O55*$E$4)</f>
        <v/>
      </c>
      <c r="AD55" s="54">
        <f>(1-P55*$E$4*SUM(AD$25:AD54))/(1+P55*$E$4)</f>
        <v/>
      </c>
      <c r="AE55" s="54">
        <f>(1-Q55*$E$4*SUM(AE$25:AE54))/(1+Q55*$E$4)</f>
        <v/>
      </c>
      <c r="AF55" s="54">
        <f>(1-R55*$E$4*SUM(AF$25:AF54))/(1+R55*$E$4)</f>
        <v/>
      </c>
    </row>
    <row r="56">
      <c r="A56" s="4" t="n">
        <v>32</v>
      </c>
      <c r="B56" s="6">
        <f>A56*0.25</f>
        <v/>
      </c>
      <c r="C56" s="4">
        <f>MIN(MATCH(B56,$B$7:$B$21,1),14)</f>
        <v/>
      </c>
      <c r="D56" s="9">
        <f>(B56-INDEX($B$7:$B$21,C56))/(INDEX($B$7:$B$21,C56+1)-INDEX($B$7:$B$21,C56))</f>
        <v/>
      </c>
      <c r="E56" s="41">
        <f>'Amort-Set-up'!E51</f>
        <v/>
      </c>
      <c r="F56" s="53">
        <f>INDEX($D$7:$P$21,$C56,F$24)+$D56*(INDEX($D$7:$P$21,$C56+1,F$24)-INDEX($D$7:$P$21,$C56,F$24))</f>
        <v/>
      </c>
      <c r="G56" s="53">
        <f>INDEX($D$7:$P$21,$C56,G$24)+$D56*(INDEX($D$7:$P$21,$C56+1,G$24)-INDEX($D$7:$P$21,$C56,G$24))</f>
        <v/>
      </c>
      <c r="H56" s="53">
        <f>INDEX($D$7:$P$21,$C56,H$24)+$D56*(INDEX($D$7:$P$21,$C56+1,H$24)-INDEX($D$7:$P$21,$C56,H$24))</f>
        <v/>
      </c>
      <c r="I56" s="53">
        <f>INDEX($D$7:$P$21,$C56,I$24)+$D56*(INDEX($D$7:$P$21,$C56+1,I$24)-INDEX($D$7:$P$21,$C56,I$24))</f>
        <v/>
      </c>
      <c r="J56" s="53">
        <f>INDEX($D$7:$P$21,$C56,J$24)+$D56*(INDEX($D$7:$P$21,$C56+1,J$24)-INDEX($D$7:$P$21,$C56,J$24))</f>
        <v/>
      </c>
      <c r="K56" s="53">
        <f>INDEX($D$7:$P$21,$C56,K$24)+$D56*(INDEX($D$7:$P$21,$C56+1,K$24)-INDEX($D$7:$P$21,$C56,K$24))</f>
        <v/>
      </c>
      <c r="L56" s="53">
        <f>INDEX($D$7:$P$21,$C56,L$24)+$D56*(INDEX($D$7:$P$21,$C56+1,L$24)-INDEX($D$7:$P$21,$C56,L$24))</f>
        <v/>
      </c>
      <c r="M56" s="53">
        <f>INDEX($D$7:$P$21,$C56,M$24)+$D56*(INDEX($D$7:$P$21,$C56+1,M$24)-INDEX($D$7:$P$21,$C56,M$24))</f>
        <v/>
      </c>
      <c r="N56" s="53">
        <f>INDEX($D$7:$P$21,$C56,N$24)+$D56*(INDEX($D$7:$P$21,$C56+1,N$24)-INDEX($D$7:$P$21,$C56,N$24))</f>
        <v/>
      </c>
      <c r="O56" s="53">
        <f>INDEX($D$7:$P$21,$C56,O$24)+$D56*(INDEX($D$7:$P$21,$C56+1,O$24)-INDEX($D$7:$P$21,$C56,O$24))</f>
        <v/>
      </c>
      <c r="P56" s="53">
        <f>INDEX($D$7:$P$21,$C56,P$24)+$D56*(INDEX($D$7:$P$21,$C56+1,P$24)-INDEX($D$7:$P$21,$C56,P$24))</f>
        <v/>
      </c>
      <c r="Q56" s="53">
        <f>INDEX($D$7:$P$21,$C56,Q$24)+$D56*(INDEX($D$7:$P$21,$C56+1,Q$24)-INDEX($D$7:$P$21,$C56,Q$24))</f>
        <v/>
      </c>
      <c r="R56" s="53">
        <f>INDEX($D$7:$P$21,$C56,R$24)+$D56*(INDEX($D$7:$P$21,$C56+1,R$24)-INDEX($D$7:$P$21,$C56,R$24))</f>
        <v/>
      </c>
      <c r="T56" s="54">
        <f>(1-F56*$E$4*SUM(T$25:T55))/(1+F56*$E$4)</f>
        <v/>
      </c>
      <c r="U56" s="54">
        <f>(1-G56*$E$4*SUM(U$25:U55))/(1+G56*$E$4)</f>
        <v/>
      </c>
      <c r="V56" s="54">
        <f>(1-H56*$E$4*SUM(V$25:V55))/(1+H56*$E$4)</f>
        <v/>
      </c>
      <c r="W56" s="54">
        <f>(1-I56*$E$4*SUM(W$25:W55))/(1+I56*$E$4)</f>
        <v/>
      </c>
      <c r="X56" s="54">
        <f>(1-J56*$E$4*SUM(X$25:X55))/(1+J56*$E$4)</f>
        <v/>
      </c>
      <c r="Y56" s="54">
        <f>(1-K56*$E$4*SUM(Y$25:Y55))/(1+K56*$E$4)</f>
        <v/>
      </c>
      <c r="Z56" s="54">
        <f>(1-L56*$E$4*SUM(Z$25:Z55))/(1+L56*$E$4)</f>
        <v/>
      </c>
      <c r="AA56" s="54">
        <f>(1-M56*$E$4*SUM(AA$25:AA55))/(1+M56*$E$4)</f>
        <v/>
      </c>
      <c r="AB56" s="54">
        <f>(1-N56*$E$4*SUM(AB$25:AB55))/(1+N56*$E$4)</f>
        <v/>
      </c>
      <c r="AC56" s="54">
        <f>(1-O56*$E$4*SUM(AC$25:AC55))/(1+O56*$E$4)</f>
        <v/>
      </c>
      <c r="AD56" s="54">
        <f>(1-P56*$E$4*SUM(AD$25:AD55))/(1+P56*$E$4)</f>
        <v/>
      </c>
      <c r="AE56" s="54">
        <f>(1-Q56*$E$4*SUM(AE$25:AE55))/(1+Q56*$E$4)</f>
        <v/>
      </c>
      <c r="AF56" s="54">
        <f>(1-R56*$E$4*SUM(AF$25:AF55))/(1+R56*$E$4)</f>
        <v/>
      </c>
    </row>
    <row r="57">
      <c r="A57" s="4" t="n">
        <v>33</v>
      </c>
      <c r="B57" s="6">
        <f>A57*0.25</f>
        <v/>
      </c>
      <c r="C57" s="4">
        <f>MIN(MATCH(B57,$B$7:$B$21,1),14)</f>
        <v/>
      </c>
      <c r="D57" s="9">
        <f>(B57-INDEX($B$7:$B$21,C57))/(INDEX($B$7:$B$21,C57+1)-INDEX($B$7:$B$21,C57))</f>
        <v/>
      </c>
      <c r="E57" s="41">
        <f>'Amort-Set-up'!E52</f>
        <v/>
      </c>
      <c r="F57" s="53">
        <f>INDEX($D$7:$P$21,$C57,F$24)+$D57*(INDEX($D$7:$P$21,$C57+1,F$24)-INDEX($D$7:$P$21,$C57,F$24))</f>
        <v/>
      </c>
      <c r="G57" s="53">
        <f>INDEX($D$7:$P$21,$C57,G$24)+$D57*(INDEX($D$7:$P$21,$C57+1,G$24)-INDEX($D$7:$P$21,$C57,G$24))</f>
        <v/>
      </c>
      <c r="H57" s="53">
        <f>INDEX($D$7:$P$21,$C57,H$24)+$D57*(INDEX($D$7:$P$21,$C57+1,H$24)-INDEX($D$7:$P$21,$C57,H$24))</f>
        <v/>
      </c>
      <c r="I57" s="53">
        <f>INDEX($D$7:$P$21,$C57,I$24)+$D57*(INDEX($D$7:$P$21,$C57+1,I$24)-INDEX($D$7:$P$21,$C57,I$24))</f>
        <v/>
      </c>
      <c r="J57" s="53">
        <f>INDEX($D$7:$P$21,$C57,J$24)+$D57*(INDEX($D$7:$P$21,$C57+1,J$24)-INDEX($D$7:$P$21,$C57,J$24))</f>
        <v/>
      </c>
      <c r="K57" s="53">
        <f>INDEX($D$7:$P$21,$C57,K$24)+$D57*(INDEX($D$7:$P$21,$C57+1,K$24)-INDEX($D$7:$P$21,$C57,K$24))</f>
        <v/>
      </c>
      <c r="L57" s="53">
        <f>INDEX($D$7:$P$21,$C57,L$24)+$D57*(INDEX($D$7:$P$21,$C57+1,L$24)-INDEX($D$7:$P$21,$C57,L$24))</f>
        <v/>
      </c>
      <c r="M57" s="53">
        <f>INDEX($D$7:$P$21,$C57,M$24)+$D57*(INDEX($D$7:$P$21,$C57+1,M$24)-INDEX($D$7:$P$21,$C57,M$24))</f>
        <v/>
      </c>
      <c r="N57" s="53">
        <f>INDEX($D$7:$P$21,$C57,N$24)+$D57*(INDEX($D$7:$P$21,$C57+1,N$24)-INDEX($D$7:$P$21,$C57,N$24))</f>
        <v/>
      </c>
      <c r="O57" s="53">
        <f>INDEX($D$7:$P$21,$C57,O$24)+$D57*(INDEX($D$7:$P$21,$C57+1,O$24)-INDEX($D$7:$P$21,$C57,O$24))</f>
        <v/>
      </c>
      <c r="P57" s="53">
        <f>INDEX($D$7:$P$21,$C57,P$24)+$D57*(INDEX($D$7:$P$21,$C57+1,P$24)-INDEX($D$7:$P$21,$C57,P$24))</f>
        <v/>
      </c>
      <c r="Q57" s="53">
        <f>INDEX($D$7:$P$21,$C57,Q$24)+$D57*(INDEX($D$7:$P$21,$C57+1,Q$24)-INDEX($D$7:$P$21,$C57,Q$24))</f>
        <v/>
      </c>
      <c r="R57" s="53">
        <f>INDEX($D$7:$P$21,$C57,R$24)+$D57*(INDEX($D$7:$P$21,$C57+1,R$24)-INDEX($D$7:$P$21,$C57,R$24))</f>
        <v/>
      </c>
      <c r="T57" s="54">
        <f>(1-F57*$E$4*SUM(T$25:T56))/(1+F57*$E$4)</f>
        <v/>
      </c>
      <c r="U57" s="54">
        <f>(1-G57*$E$4*SUM(U$25:U56))/(1+G57*$E$4)</f>
        <v/>
      </c>
      <c r="V57" s="54">
        <f>(1-H57*$E$4*SUM(V$25:V56))/(1+H57*$E$4)</f>
        <v/>
      </c>
      <c r="W57" s="54">
        <f>(1-I57*$E$4*SUM(W$25:W56))/(1+I57*$E$4)</f>
        <v/>
      </c>
      <c r="X57" s="54">
        <f>(1-J57*$E$4*SUM(X$25:X56))/(1+J57*$E$4)</f>
        <v/>
      </c>
      <c r="Y57" s="54">
        <f>(1-K57*$E$4*SUM(Y$25:Y56))/(1+K57*$E$4)</f>
        <v/>
      </c>
      <c r="Z57" s="54">
        <f>(1-L57*$E$4*SUM(Z$25:Z56))/(1+L57*$E$4)</f>
        <v/>
      </c>
      <c r="AA57" s="54">
        <f>(1-M57*$E$4*SUM(AA$25:AA56))/(1+M57*$E$4)</f>
        <v/>
      </c>
      <c r="AB57" s="54">
        <f>(1-N57*$E$4*SUM(AB$25:AB56))/(1+N57*$E$4)</f>
        <v/>
      </c>
      <c r="AC57" s="54">
        <f>(1-O57*$E$4*SUM(AC$25:AC56))/(1+O57*$E$4)</f>
        <v/>
      </c>
      <c r="AD57" s="54">
        <f>(1-P57*$E$4*SUM(AD$25:AD56))/(1+P57*$E$4)</f>
        <v/>
      </c>
      <c r="AE57" s="54">
        <f>(1-Q57*$E$4*SUM(AE$25:AE56))/(1+Q57*$E$4)</f>
        <v/>
      </c>
      <c r="AF57" s="54">
        <f>(1-R57*$E$4*SUM(AF$25:AF56))/(1+R57*$E$4)</f>
        <v/>
      </c>
    </row>
    <row r="58">
      <c r="A58" s="4" t="n">
        <v>34</v>
      </c>
      <c r="B58" s="6">
        <f>A58*0.25</f>
        <v/>
      </c>
      <c r="C58" s="4">
        <f>MIN(MATCH(B58,$B$7:$B$21,1),14)</f>
        <v/>
      </c>
      <c r="D58" s="9">
        <f>(B58-INDEX($B$7:$B$21,C58))/(INDEX($B$7:$B$21,C58+1)-INDEX($B$7:$B$21,C58))</f>
        <v/>
      </c>
      <c r="E58" s="41">
        <f>'Amort-Set-up'!E53</f>
        <v/>
      </c>
      <c r="F58" s="53">
        <f>INDEX($D$7:$P$21,$C58,F$24)+$D58*(INDEX($D$7:$P$21,$C58+1,F$24)-INDEX($D$7:$P$21,$C58,F$24))</f>
        <v/>
      </c>
      <c r="G58" s="53">
        <f>INDEX($D$7:$P$21,$C58,G$24)+$D58*(INDEX($D$7:$P$21,$C58+1,G$24)-INDEX($D$7:$P$21,$C58,G$24))</f>
        <v/>
      </c>
      <c r="H58" s="53">
        <f>INDEX($D$7:$P$21,$C58,H$24)+$D58*(INDEX($D$7:$P$21,$C58+1,H$24)-INDEX($D$7:$P$21,$C58,H$24))</f>
        <v/>
      </c>
      <c r="I58" s="53">
        <f>INDEX($D$7:$P$21,$C58,I$24)+$D58*(INDEX($D$7:$P$21,$C58+1,I$24)-INDEX($D$7:$P$21,$C58,I$24))</f>
        <v/>
      </c>
      <c r="J58" s="53">
        <f>INDEX($D$7:$P$21,$C58,J$24)+$D58*(INDEX($D$7:$P$21,$C58+1,J$24)-INDEX($D$7:$P$21,$C58,J$24))</f>
        <v/>
      </c>
      <c r="K58" s="53">
        <f>INDEX($D$7:$P$21,$C58,K$24)+$D58*(INDEX($D$7:$P$21,$C58+1,K$24)-INDEX($D$7:$P$21,$C58,K$24))</f>
        <v/>
      </c>
      <c r="L58" s="53">
        <f>INDEX($D$7:$P$21,$C58,L$24)+$D58*(INDEX($D$7:$P$21,$C58+1,L$24)-INDEX($D$7:$P$21,$C58,L$24))</f>
        <v/>
      </c>
      <c r="M58" s="53">
        <f>INDEX($D$7:$P$21,$C58,M$24)+$D58*(INDEX($D$7:$P$21,$C58+1,M$24)-INDEX($D$7:$P$21,$C58,M$24))</f>
        <v/>
      </c>
      <c r="N58" s="53">
        <f>INDEX($D$7:$P$21,$C58,N$24)+$D58*(INDEX($D$7:$P$21,$C58+1,N$24)-INDEX($D$7:$P$21,$C58,N$24))</f>
        <v/>
      </c>
      <c r="O58" s="53">
        <f>INDEX($D$7:$P$21,$C58,O$24)+$D58*(INDEX($D$7:$P$21,$C58+1,O$24)-INDEX($D$7:$P$21,$C58,O$24))</f>
        <v/>
      </c>
      <c r="P58" s="53">
        <f>INDEX($D$7:$P$21,$C58,P$24)+$D58*(INDEX($D$7:$P$21,$C58+1,P$24)-INDEX($D$7:$P$21,$C58,P$24))</f>
        <v/>
      </c>
      <c r="Q58" s="53">
        <f>INDEX($D$7:$P$21,$C58,Q$24)+$D58*(INDEX($D$7:$P$21,$C58+1,Q$24)-INDEX($D$7:$P$21,$C58,Q$24))</f>
        <v/>
      </c>
      <c r="R58" s="53">
        <f>INDEX($D$7:$P$21,$C58,R$24)+$D58*(INDEX($D$7:$P$21,$C58+1,R$24)-INDEX($D$7:$P$21,$C58,R$24))</f>
        <v/>
      </c>
      <c r="T58" s="54">
        <f>(1-F58*$E$4*SUM(T$25:T57))/(1+F58*$E$4)</f>
        <v/>
      </c>
      <c r="U58" s="54">
        <f>(1-G58*$E$4*SUM(U$25:U57))/(1+G58*$E$4)</f>
        <v/>
      </c>
      <c r="V58" s="54">
        <f>(1-H58*$E$4*SUM(V$25:V57))/(1+H58*$E$4)</f>
        <v/>
      </c>
      <c r="W58" s="54">
        <f>(1-I58*$E$4*SUM(W$25:W57))/(1+I58*$E$4)</f>
        <v/>
      </c>
      <c r="X58" s="54">
        <f>(1-J58*$E$4*SUM(X$25:X57))/(1+J58*$E$4)</f>
        <v/>
      </c>
      <c r="Y58" s="54">
        <f>(1-K58*$E$4*SUM(Y$25:Y57))/(1+K58*$E$4)</f>
        <v/>
      </c>
      <c r="Z58" s="54">
        <f>(1-L58*$E$4*SUM(Z$25:Z57))/(1+L58*$E$4)</f>
        <v/>
      </c>
      <c r="AA58" s="54">
        <f>(1-M58*$E$4*SUM(AA$25:AA57))/(1+M58*$E$4)</f>
        <v/>
      </c>
      <c r="AB58" s="54">
        <f>(1-N58*$E$4*SUM(AB$25:AB57))/(1+N58*$E$4)</f>
        <v/>
      </c>
      <c r="AC58" s="54">
        <f>(1-O58*$E$4*SUM(AC$25:AC57))/(1+O58*$E$4)</f>
        <v/>
      </c>
      <c r="AD58" s="54">
        <f>(1-P58*$E$4*SUM(AD$25:AD57))/(1+P58*$E$4)</f>
        <v/>
      </c>
      <c r="AE58" s="54">
        <f>(1-Q58*$E$4*SUM(AE$25:AE57))/(1+Q58*$E$4)</f>
        <v/>
      </c>
      <c r="AF58" s="54">
        <f>(1-R58*$E$4*SUM(AF$25:AF57))/(1+R58*$E$4)</f>
        <v/>
      </c>
    </row>
    <row r="59">
      <c r="A59" s="4" t="n">
        <v>35</v>
      </c>
      <c r="B59" s="6">
        <f>A59*0.25</f>
        <v/>
      </c>
      <c r="C59" s="4">
        <f>MIN(MATCH(B59,$B$7:$B$21,1),14)</f>
        <v/>
      </c>
      <c r="D59" s="9">
        <f>(B59-INDEX($B$7:$B$21,C59))/(INDEX($B$7:$B$21,C59+1)-INDEX($B$7:$B$21,C59))</f>
        <v/>
      </c>
      <c r="E59" s="41">
        <f>'Amort-Set-up'!E54</f>
        <v/>
      </c>
      <c r="F59" s="53">
        <f>INDEX($D$7:$P$21,$C59,F$24)+$D59*(INDEX($D$7:$P$21,$C59+1,F$24)-INDEX($D$7:$P$21,$C59,F$24))</f>
        <v/>
      </c>
      <c r="G59" s="53">
        <f>INDEX($D$7:$P$21,$C59,G$24)+$D59*(INDEX($D$7:$P$21,$C59+1,G$24)-INDEX($D$7:$P$21,$C59,G$24))</f>
        <v/>
      </c>
      <c r="H59" s="53">
        <f>INDEX($D$7:$P$21,$C59,H$24)+$D59*(INDEX($D$7:$P$21,$C59+1,H$24)-INDEX($D$7:$P$21,$C59,H$24))</f>
        <v/>
      </c>
      <c r="I59" s="53">
        <f>INDEX($D$7:$P$21,$C59,I$24)+$D59*(INDEX($D$7:$P$21,$C59+1,I$24)-INDEX($D$7:$P$21,$C59,I$24))</f>
        <v/>
      </c>
      <c r="J59" s="53">
        <f>INDEX($D$7:$P$21,$C59,J$24)+$D59*(INDEX($D$7:$P$21,$C59+1,J$24)-INDEX($D$7:$P$21,$C59,J$24))</f>
        <v/>
      </c>
      <c r="K59" s="53">
        <f>INDEX($D$7:$P$21,$C59,K$24)+$D59*(INDEX($D$7:$P$21,$C59+1,K$24)-INDEX($D$7:$P$21,$C59,K$24))</f>
        <v/>
      </c>
      <c r="L59" s="53">
        <f>INDEX($D$7:$P$21,$C59,L$24)+$D59*(INDEX($D$7:$P$21,$C59+1,L$24)-INDEX($D$7:$P$21,$C59,L$24))</f>
        <v/>
      </c>
      <c r="M59" s="53">
        <f>INDEX($D$7:$P$21,$C59,M$24)+$D59*(INDEX($D$7:$P$21,$C59+1,M$24)-INDEX($D$7:$P$21,$C59,M$24))</f>
        <v/>
      </c>
      <c r="N59" s="53">
        <f>INDEX($D$7:$P$21,$C59,N$24)+$D59*(INDEX($D$7:$P$21,$C59+1,N$24)-INDEX($D$7:$P$21,$C59,N$24))</f>
        <v/>
      </c>
      <c r="O59" s="53">
        <f>INDEX($D$7:$P$21,$C59,O$24)+$D59*(INDEX($D$7:$P$21,$C59+1,O$24)-INDEX($D$7:$P$21,$C59,O$24))</f>
        <v/>
      </c>
      <c r="P59" s="53">
        <f>INDEX($D$7:$P$21,$C59,P$24)+$D59*(INDEX($D$7:$P$21,$C59+1,P$24)-INDEX($D$7:$P$21,$C59,P$24))</f>
        <v/>
      </c>
      <c r="Q59" s="53">
        <f>INDEX($D$7:$P$21,$C59,Q$24)+$D59*(INDEX($D$7:$P$21,$C59+1,Q$24)-INDEX($D$7:$P$21,$C59,Q$24))</f>
        <v/>
      </c>
      <c r="R59" s="53">
        <f>INDEX($D$7:$P$21,$C59,R$24)+$D59*(INDEX($D$7:$P$21,$C59+1,R$24)-INDEX($D$7:$P$21,$C59,R$24))</f>
        <v/>
      </c>
      <c r="T59" s="54">
        <f>(1-F59*$E$4*SUM(T$25:T58))/(1+F59*$E$4)</f>
        <v/>
      </c>
      <c r="U59" s="54">
        <f>(1-G59*$E$4*SUM(U$25:U58))/(1+G59*$E$4)</f>
        <v/>
      </c>
      <c r="V59" s="54">
        <f>(1-H59*$E$4*SUM(V$25:V58))/(1+H59*$E$4)</f>
        <v/>
      </c>
      <c r="W59" s="54">
        <f>(1-I59*$E$4*SUM(W$25:W58))/(1+I59*$E$4)</f>
        <v/>
      </c>
      <c r="X59" s="54">
        <f>(1-J59*$E$4*SUM(X$25:X58))/(1+J59*$E$4)</f>
        <v/>
      </c>
      <c r="Y59" s="54">
        <f>(1-K59*$E$4*SUM(Y$25:Y58))/(1+K59*$E$4)</f>
        <v/>
      </c>
      <c r="Z59" s="54">
        <f>(1-L59*$E$4*SUM(Z$25:Z58))/(1+L59*$E$4)</f>
        <v/>
      </c>
      <c r="AA59" s="54">
        <f>(1-M59*$E$4*SUM(AA$25:AA58))/(1+M59*$E$4)</f>
        <v/>
      </c>
      <c r="AB59" s="54">
        <f>(1-N59*$E$4*SUM(AB$25:AB58))/(1+N59*$E$4)</f>
        <v/>
      </c>
      <c r="AC59" s="54">
        <f>(1-O59*$E$4*SUM(AC$25:AC58))/(1+O59*$E$4)</f>
        <v/>
      </c>
      <c r="AD59" s="54">
        <f>(1-P59*$E$4*SUM(AD$25:AD58))/(1+P59*$E$4)</f>
        <v/>
      </c>
      <c r="AE59" s="54">
        <f>(1-Q59*$E$4*SUM(AE$25:AE58))/(1+Q59*$E$4)</f>
        <v/>
      </c>
      <c r="AF59" s="54">
        <f>(1-R59*$E$4*SUM(AF$25:AF58))/(1+R59*$E$4)</f>
        <v/>
      </c>
    </row>
    <row r="60">
      <c r="A60" s="4" t="n">
        <v>36</v>
      </c>
      <c r="B60" s="6">
        <f>A60*0.25</f>
        <v/>
      </c>
      <c r="C60" s="4">
        <f>MIN(MATCH(B60,$B$7:$B$21,1),14)</f>
        <v/>
      </c>
      <c r="D60" s="9">
        <f>(B60-INDEX($B$7:$B$21,C60))/(INDEX($B$7:$B$21,C60+1)-INDEX($B$7:$B$21,C60))</f>
        <v/>
      </c>
      <c r="E60" s="41">
        <f>'Amort-Set-up'!E55</f>
        <v/>
      </c>
      <c r="F60" s="53">
        <f>INDEX($D$7:$P$21,$C60,F$24)+$D60*(INDEX($D$7:$P$21,$C60+1,F$24)-INDEX($D$7:$P$21,$C60,F$24))</f>
        <v/>
      </c>
      <c r="G60" s="53">
        <f>INDEX($D$7:$P$21,$C60,G$24)+$D60*(INDEX($D$7:$P$21,$C60+1,G$24)-INDEX($D$7:$P$21,$C60,G$24))</f>
        <v/>
      </c>
      <c r="H60" s="53">
        <f>INDEX($D$7:$P$21,$C60,H$24)+$D60*(INDEX($D$7:$P$21,$C60+1,H$24)-INDEX($D$7:$P$21,$C60,H$24))</f>
        <v/>
      </c>
      <c r="I60" s="53">
        <f>INDEX($D$7:$P$21,$C60,I$24)+$D60*(INDEX($D$7:$P$21,$C60+1,I$24)-INDEX($D$7:$P$21,$C60,I$24))</f>
        <v/>
      </c>
      <c r="J60" s="53">
        <f>INDEX($D$7:$P$21,$C60,J$24)+$D60*(INDEX($D$7:$P$21,$C60+1,J$24)-INDEX($D$7:$P$21,$C60,J$24))</f>
        <v/>
      </c>
      <c r="K60" s="53">
        <f>INDEX($D$7:$P$21,$C60,K$24)+$D60*(INDEX($D$7:$P$21,$C60+1,K$24)-INDEX($D$7:$P$21,$C60,K$24))</f>
        <v/>
      </c>
      <c r="L60" s="53">
        <f>INDEX($D$7:$P$21,$C60,L$24)+$D60*(INDEX($D$7:$P$21,$C60+1,L$24)-INDEX($D$7:$P$21,$C60,L$24))</f>
        <v/>
      </c>
      <c r="M60" s="53">
        <f>INDEX($D$7:$P$21,$C60,M$24)+$D60*(INDEX($D$7:$P$21,$C60+1,M$24)-INDEX($D$7:$P$21,$C60,M$24))</f>
        <v/>
      </c>
      <c r="N60" s="53">
        <f>INDEX($D$7:$P$21,$C60,N$24)+$D60*(INDEX($D$7:$P$21,$C60+1,N$24)-INDEX($D$7:$P$21,$C60,N$24))</f>
        <v/>
      </c>
      <c r="O60" s="53">
        <f>INDEX($D$7:$P$21,$C60,O$24)+$D60*(INDEX($D$7:$P$21,$C60+1,O$24)-INDEX($D$7:$P$21,$C60,O$24))</f>
        <v/>
      </c>
      <c r="P60" s="53">
        <f>INDEX($D$7:$P$21,$C60,P$24)+$D60*(INDEX($D$7:$P$21,$C60+1,P$24)-INDEX($D$7:$P$21,$C60,P$24))</f>
        <v/>
      </c>
      <c r="Q60" s="53">
        <f>INDEX($D$7:$P$21,$C60,Q$24)+$D60*(INDEX($D$7:$P$21,$C60+1,Q$24)-INDEX($D$7:$P$21,$C60,Q$24))</f>
        <v/>
      </c>
      <c r="R60" s="53">
        <f>INDEX($D$7:$P$21,$C60,R$24)+$D60*(INDEX($D$7:$P$21,$C60+1,R$24)-INDEX($D$7:$P$21,$C60,R$24))</f>
        <v/>
      </c>
      <c r="T60" s="54">
        <f>(1-F60*$E$4*SUM(T$25:T59))/(1+F60*$E$4)</f>
        <v/>
      </c>
      <c r="U60" s="54">
        <f>(1-G60*$E$4*SUM(U$25:U59))/(1+G60*$E$4)</f>
        <v/>
      </c>
      <c r="V60" s="54">
        <f>(1-H60*$E$4*SUM(V$25:V59))/(1+H60*$E$4)</f>
        <v/>
      </c>
      <c r="W60" s="54">
        <f>(1-I60*$E$4*SUM(W$25:W59))/(1+I60*$E$4)</f>
        <v/>
      </c>
      <c r="X60" s="54">
        <f>(1-J60*$E$4*SUM(X$25:X59))/(1+J60*$E$4)</f>
        <v/>
      </c>
      <c r="Y60" s="54">
        <f>(1-K60*$E$4*SUM(Y$25:Y59))/(1+K60*$E$4)</f>
        <v/>
      </c>
      <c r="Z60" s="54">
        <f>(1-L60*$E$4*SUM(Z$25:Z59))/(1+L60*$E$4)</f>
        <v/>
      </c>
      <c r="AA60" s="54">
        <f>(1-M60*$E$4*SUM(AA$25:AA59))/(1+M60*$E$4)</f>
        <v/>
      </c>
      <c r="AB60" s="54">
        <f>(1-N60*$E$4*SUM(AB$25:AB59))/(1+N60*$E$4)</f>
        <v/>
      </c>
      <c r="AC60" s="54">
        <f>(1-O60*$E$4*SUM(AC$25:AC59))/(1+O60*$E$4)</f>
        <v/>
      </c>
      <c r="AD60" s="54">
        <f>(1-P60*$E$4*SUM(AD$25:AD59))/(1+P60*$E$4)</f>
        <v/>
      </c>
      <c r="AE60" s="54">
        <f>(1-Q60*$E$4*SUM(AE$25:AE59))/(1+Q60*$E$4)</f>
        <v/>
      </c>
      <c r="AF60" s="54">
        <f>(1-R60*$E$4*SUM(AF$25:AF59))/(1+R60*$E$4)</f>
        <v/>
      </c>
    </row>
    <row r="61">
      <c r="A61" s="4" t="n">
        <v>37</v>
      </c>
      <c r="B61" s="6">
        <f>A61*0.25</f>
        <v/>
      </c>
      <c r="C61" s="4">
        <f>MIN(MATCH(B61,$B$7:$B$21,1),14)</f>
        <v/>
      </c>
      <c r="D61" s="9">
        <f>(B61-INDEX($B$7:$B$21,C61))/(INDEX($B$7:$B$21,C61+1)-INDEX($B$7:$B$21,C61))</f>
        <v/>
      </c>
      <c r="E61" s="41">
        <f>'Amort-Set-up'!E56</f>
        <v/>
      </c>
      <c r="F61" s="53">
        <f>INDEX($D$7:$P$21,$C61,F$24)+$D61*(INDEX($D$7:$P$21,$C61+1,F$24)-INDEX($D$7:$P$21,$C61,F$24))</f>
        <v/>
      </c>
      <c r="G61" s="53">
        <f>INDEX($D$7:$P$21,$C61,G$24)+$D61*(INDEX($D$7:$P$21,$C61+1,G$24)-INDEX($D$7:$P$21,$C61,G$24))</f>
        <v/>
      </c>
      <c r="H61" s="53">
        <f>INDEX($D$7:$P$21,$C61,H$24)+$D61*(INDEX($D$7:$P$21,$C61+1,H$24)-INDEX($D$7:$P$21,$C61,H$24))</f>
        <v/>
      </c>
      <c r="I61" s="53">
        <f>INDEX($D$7:$P$21,$C61,I$24)+$D61*(INDEX($D$7:$P$21,$C61+1,I$24)-INDEX($D$7:$P$21,$C61,I$24))</f>
        <v/>
      </c>
      <c r="J61" s="53">
        <f>INDEX($D$7:$P$21,$C61,J$24)+$D61*(INDEX($D$7:$P$21,$C61+1,J$24)-INDEX($D$7:$P$21,$C61,J$24))</f>
        <v/>
      </c>
      <c r="K61" s="53">
        <f>INDEX($D$7:$P$21,$C61,K$24)+$D61*(INDEX($D$7:$P$21,$C61+1,K$24)-INDEX($D$7:$P$21,$C61,K$24))</f>
        <v/>
      </c>
      <c r="L61" s="53">
        <f>INDEX($D$7:$P$21,$C61,L$24)+$D61*(INDEX($D$7:$P$21,$C61+1,L$24)-INDEX($D$7:$P$21,$C61,L$24))</f>
        <v/>
      </c>
      <c r="M61" s="53">
        <f>INDEX($D$7:$P$21,$C61,M$24)+$D61*(INDEX($D$7:$P$21,$C61+1,M$24)-INDEX($D$7:$P$21,$C61,M$24))</f>
        <v/>
      </c>
      <c r="N61" s="53">
        <f>INDEX($D$7:$P$21,$C61,N$24)+$D61*(INDEX($D$7:$P$21,$C61+1,N$24)-INDEX($D$7:$P$21,$C61,N$24))</f>
        <v/>
      </c>
      <c r="O61" s="53">
        <f>INDEX($D$7:$P$21,$C61,O$24)+$D61*(INDEX($D$7:$P$21,$C61+1,O$24)-INDEX($D$7:$P$21,$C61,O$24))</f>
        <v/>
      </c>
      <c r="P61" s="53">
        <f>INDEX($D$7:$P$21,$C61,P$24)+$D61*(INDEX($D$7:$P$21,$C61+1,P$24)-INDEX($D$7:$P$21,$C61,P$24))</f>
        <v/>
      </c>
      <c r="Q61" s="53">
        <f>INDEX($D$7:$P$21,$C61,Q$24)+$D61*(INDEX($D$7:$P$21,$C61+1,Q$24)-INDEX($D$7:$P$21,$C61,Q$24))</f>
        <v/>
      </c>
      <c r="R61" s="53">
        <f>INDEX($D$7:$P$21,$C61,R$24)+$D61*(INDEX($D$7:$P$21,$C61+1,R$24)-INDEX($D$7:$P$21,$C61,R$24))</f>
        <v/>
      </c>
      <c r="T61" s="54">
        <f>(1-F61*$E$4*SUM(T$25:T60))/(1+F61*$E$4)</f>
        <v/>
      </c>
      <c r="U61" s="54">
        <f>(1-G61*$E$4*SUM(U$25:U60))/(1+G61*$E$4)</f>
        <v/>
      </c>
      <c r="V61" s="54">
        <f>(1-H61*$E$4*SUM(V$25:V60))/(1+H61*$E$4)</f>
        <v/>
      </c>
      <c r="W61" s="54">
        <f>(1-I61*$E$4*SUM(W$25:W60))/(1+I61*$E$4)</f>
        <v/>
      </c>
      <c r="X61" s="54">
        <f>(1-J61*$E$4*SUM(X$25:X60))/(1+J61*$E$4)</f>
        <v/>
      </c>
      <c r="Y61" s="54">
        <f>(1-K61*$E$4*SUM(Y$25:Y60))/(1+K61*$E$4)</f>
        <v/>
      </c>
      <c r="Z61" s="54">
        <f>(1-L61*$E$4*SUM(Z$25:Z60))/(1+L61*$E$4)</f>
        <v/>
      </c>
      <c r="AA61" s="54">
        <f>(1-M61*$E$4*SUM(AA$25:AA60))/(1+M61*$E$4)</f>
        <v/>
      </c>
      <c r="AB61" s="54">
        <f>(1-N61*$E$4*SUM(AB$25:AB60))/(1+N61*$E$4)</f>
        <v/>
      </c>
      <c r="AC61" s="54">
        <f>(1-O61*$E$4*SUM(AC$25:AC60))/(1+O61*$E$4)</f>
        <v/>
      </c>
      <c r="AD61" s="54">
        <f>(1-P61*$E$4*SUM(AD$25:AD60))/(1+P61*$E$4)</f>
        <v/>
      </c>
      <c r="AE61" s="54">
        <f>(1-Q61*$E$4*SUM(AE$25:AE60))/(1+Q61*$E$4)</f>
        <v/>
      </c>
      <c r="AF61" s="54">
        <f>(1-R61*$E$4*SUM(AF$25:AF60))/(1+R61*$E$4)</f>
        <v/>
      </c>
    </row>
    <row r="62">
      <c r="A62" s="4" t="n">
        <v>38</v>
      </c>
      <c r="B62" s="6">
        <f>A62*0.25</f>
        <v/>
      </c>
      <c r="C62" s="4">
        <f>MIN(MATCH(B62,$B$7:$B$21,1),14)</f>
        <v/>
      </c>
      <c r="D62" s="9">
        <f>(B62-INDEX($B$7:$B$21,C62))/(INDEX($B$7:$B$21,C62+1)-INDEX($B$7:$B$21,C62))</f>
        <v/>
      </c>
      <c r="E62" s="41">
        <f>'Amort-Set-up'!E57</f>
        <v/>
      </c>
      <c r="F62" s="53">
        <f>INDEX($D$7:$P$21,$C62,F$24)+$D62*(INDEX($D$7:$P$21,$C62+1,F$24)-INDEX($D$7:$P$21,$C62,F$24))</f>
        <v/>
      </c>
      <c r="G62" s="53">
        <f>INDEX($D$7:$P$21,$C62,G$24)+$D62*(INDEX($D$7:$P$21,$C62+1,G$24)-INDEX($D$7:$P$21,$C62,G$24))</f>
        <v/>
      </c>
      <c r="H62" s="53">
        <f>INDEX($D$7:$P$21,$C62,H$24)+$D62*(INDEX($D$7:$P$21,$C62+1,H$24)-INDEX($D$7:$P$21,$C62,H$24))</f>
        <v/>
      </c>
      <c r="I62" s="53">
        <f>INDEX($D$7:$P$21,$C62,I$24)+$D62*(INDEX($D$7:$P$21,$C62+1,I$24)-INDEX($D$7:$P$21,$C62,I$24))</f>
        <v/>
      </c>
      <c r="J62" s="53">
        <f>INDEX($D$7:$P$21,$C62,J$24)+$D62*(INDEX($D$7:$P$21,$C62+1,J$24)-INDEX($D$7:$P$21,$C62,J$24))</f>
        <v/>
      </c>
      <c r="K62" s="53">
        <f>INDEX($D$7:$P$21,$C62,K$24)+$D62*(INDEX($D$7:$P$21,$C62+1,K$24)-INDEX($D$7:$P$21,$C62,K$24))</f>
        <v/>
      </c>
      <c r="L62" s="53">
        <f>INDEX($D$7:$P$21,$C62,L$24)+$D62*(INDEX($D$7:$P$21,$C62+1,L$24)-INDEX($D$7:$P$21,$C62,L$24))</f>
        <v/>
      </c>
      <c r="M62" s="53">
        <f>INDEX($D$7:$P$21,$C62,M$24)+$D62*(INDEX($D$7:$P$21,$C62+1,M$24)-INDEX($D$7:$P$21,$C62,M$24))</f>
        <v/>
      </c>
      <c r="N62" s="53">
        <f>INDEX($D$7:$P$21,$C62,N$24)+$D62*(INDEX($D$7:$P$21,$C62+1,N$24)-INDEX($D$7:$P$21,$C62,N$24))</f>
        <v/>
      </c>
      <c r="O62" s="53">
        <f>INDEX($D$7:$P$21,$C62,O$24)+$D62*(INDEX($D$7:$P$21,$C62+1,O$24)-INDEX($D$7:$P$21,$C62,O$24))</f>
        <v/>
      </c>
      <c r="P62" s="53">
        <f>INDEX($D$7:$P$21,$C62,P$24)+$D62*(INDEX($D$7:$P$21,$C62+1,P$24)-INDEX($D$7:$P$21,$C62,P$24))</f>
        <v/>
      </c>
      <c r="Q62" s="53">
        <f>INDEX($D$7:$P$21,$C62,Q$24)+$D62*(INDEX($D$7:$P$21,$C62+1,Q$24)-INDEX($D$7:$P$21,$C62,Q$24))</f>
        <v/>
      </c>
      <c r="R62" s="53">
        <f>INDEX($D$7:$P$21,$C62,R$24)+$D62*(INDEX($D$7:$P$21,$C62+1,R$24)-INDEX($D$7:$P$21,$C62,R$24))</f>
        <v/>
      </c>
      <c r="T62" s="54">
        <f>(1-F62*$E$4*SUM(T$25:T61))/(1+F62*$E$4)</f>
        <v/>
      </c>
      <c r="U62" s="54">
        <f>(1-G62*$E$4*SUM(U$25:U61))/(1+G62*$E$4)</f>
        <v/>
      </c>
      <c r="V62" s="54">
        <f>(1-H62*$E$4*SUM(V$25:V61))/(1+H62*$E$4)</f>
        <v/>
      </c>
      <c r="W62" s="54">
        <f>(1-I62*$E$4*SUM(W$25:W61))/(1+I62*$E$4)</f>
        <v/>
      </c>
      <c r="X62" s="54">
        <f>(1-J62*$E$4*SUM(X$25:X61))/(1+J62*$E$4)</f>
        <v/>
      </c>
      <c r="Y62" s="54">
        <f>(1-K62*$E$4*SUM(Y$25:Y61))/(1+K62*$E$4)</f>
        <v/>
      </c>
      <c r="Z62" s="54">
        <f>(1-L62*$E$4*SUM(Z$25:Z61))/(1+L62*$E$4)</f>
        <v/>
      </c>
      <c r="AA62" s="54">
        <f>(1-M62*$E$4*SUM(AA$25:AA61))/(1+M62*$E$4)</f>
        <v/>
      </c>
      <c r="AB62" s="54">
        <f>(1-N62*$E$4*SUM(AB$25:AB61))/(1+N62*$E$4)</f>
        <v/>
      </c>
      <c r="AC62" s="54">
        <f>(1-O62*$E$4*SUM(AC$25:AC61))/(1+O62*$E$4)</f>
        <v/>
      </c>
      <c r="AD62" s="54">
        <f>(1-P62*$E$4*SUM(AD$25:AD61))/(1+P62*$E$4)</f>
        <v/>
      </c>
      <c r="AE62" s="54">
        <f>(1-Q62*$E$4*SUM(AE$25:AE61))/(1+Q62*$E$4)</f>
        <v/>
      </c>
      <c r="AF62" s="54">
        <f>(1-R62*$E$4*SUM(AF$25:AF61))/(1+R62*$E$4)</f>
        <v/>
      </c>
    </row>
    <row r="63">
      <c r="A63" s="4" t="n">
        <v>39</v>
      </c>
      <c r="B63" s="6">
        <f>A63*0.25</f>
        <v/>
      </c>
      <c r="C63" s="4">
        <f>MIN(MATCH(B63,$B$7:$B$21,1),14)</f>
        <v/>
      </c>
      <c r="D63" s="9">
        <f>(B63-INDEX($B$7:$B$21,C63))/(INDEX($B$7:$B$21,C63+1)-INDEX($B$7:$B$21,C63))</f>
        <v/>
      </c>
      <c r="E63" s="41">
        <f>'Amort-Set-up'!E58</f>
        <v/>
      </c>
      <c r="F63" s="53">
        <f>INDEX($D$7:$P$21,$C63,F$24)+$D63*(INDEX($D$7:$P$21,$C63+1,F$24)-INDEX($D$7:$P$21,$C63,F$24))</f>
        <v/>
      </c>
      <c r="G63" s="53">
        <f>INDEX($D$7:$P$21,$C63,G$24)+$D63*(INDEX($D$7:$P$21,$C63+1,G$24)-INDEX($D$7:$P$21,$C63,G$24))</f>
        <v/>
      </c>
      <c r="H63" s="53">
        <f>INDEX($D$7:$P$21,$C63,H$24)+$D63*(INDEX($D$7:$P$21,$C63+1,H$24)-INDEX($D$7:$P$21,$C63,H$24))</f>
        <v/>
      </c>
      <c r="I63" s="53">
        <f>INDEX($D$7:$P$21,$C63,I$24)+$D63*(INDEX($D$7:$P$21,$C63+1,I$24)-INDEX($D$7:$P$21,$C63,I$24))</f>
        <v/>
      </c>
      <c r="J63" s="53">
        <f>INDEX($D$7:$P$21,$C63,J$24)+$D63*(INDEX($D$7:$P$21,$C63+1,J$24)-INDEX($D$7:$P$21,$C63,J$24))</f>
        <v/>
      </c>
      <c r="K63" s="53">
        <f>INDEX($D$7:$P$21,$C63,K$24)+$D63*(INDEX($D$7:$P$21,$C63+1,K$24)-INDEX($D$7:$P$21,$C63,K$24))</f>
        <v/>
      </c>
      <c r="L63" s="53">
        <f>INDEX($D$7:$P$21,$C63,L$24)+$D63*(INDEX($D$7:$P$21,$C63+1,L$24)-INDEX($D$7:$P$21,$C63,L$24))</f>
        <v/>
      </c>
      <c r="M63" s="53">
        <f>INDEX($D$7:$P$21,$C63,M$24)+$D63*(INDEX($D$7:$P$21,$C63+1,M$24)-INDEX($D$7:$P$21,$C63,M$24))</f>
        <v/>
      </c>
      <c r="N63" s="53">
        <f>INDEX($D$7:$P$21,$C63,N$24)+$D63*(INDEX($D$7:$P$21,$C63+1,N$24)-INDEX($D$7:$P$21,$C63,N$24))</f>
        <v/>
      </c>
      <c r="O63" s="53">
        <f>INDEX($D$7:$P$21,$C63,O$24)+$D63*(INDEX($D$7:$P$21,$C63+1,O$24)-INDEX($D$7:$P$21,$C63,O$24))</f>
        <v/>
      </c>
      <c r="P63" s="53">
        <f>INDEX($D$7:$P$21,$C63,P$24)+$D63*(INDEX($D$7:$P$21,$C63+1,P$24)-INDEX($D$7:$P$21,$C63,P$24))</f>
        <v/>
      </c>
      <c r="Q63" s="53">
        <f>INDEX($D$7:$P$21,$C63,Q$24)+$D63*(INDEX($D$7:$P$21,$C63+1,Q$24)-INDEX($D$7:$P$21,$C63,Q$24))</f>
        <v/>
      </c>
      <c r="R63" s="53">
        <f>INDEX($D$7:$P$21,$C63,R$24)+$D63*(INDEX($D$7:$P$21,$C63+1,R$24)-INDEX($D$7:$P$21,$C63,R$24))</f>
        <v/>
      </c>
      <c r="T63" s="54">
        <f>(1-F63*$E$4*SUM(T$25:T62))/(1+F63*$E$4)</f>
        <v/>
      </c>
      <c r="U63" s="54">
        <f>(1-G63*$E$4*SUM(U$25:U62))/(1+G63*$E$4)</f>
        <v/>
      </c>
      <c r="V63" s="54">
        <f>(1-H63*$E$4*SUM(V$25:V62))/(1+H63*$E$4)</f>
        <v/>
      </c>
      <c r="W63" s="54">
        <f>(1-I63*$E$4*SUM(W$25:W62))/(1+I63*$E$4)</f>
        <v/>
      </c>
      <c r="X63" s="54">
        <f>(1-J63*$E$4*SUM(X$25:X62))/(1+J63*$E$4)</f>
        <v/>
      </c>
      <c r="Y63" s="54">
        <f>(1-K63*$E$4*SUM(Y$25:Y62))/(1+K63*$E$4)</f>
        <v/>
      </c>
      <c r="Z63" s="54">
        <f>(1-L63*$E$4*SUM(Z$25:Z62))/(1+L63*$E$4)</f>
        <v/>
      </c>
      <c r="AA63" s="54">
        <f>(1-M63*$E$4*SUM(AA$25:AA62))/(1+M63*$E$4)</f>
        <v/>
      </c>
      <c r="AB63" s="54">
        <f>(1-N63*$E$4*SUM(AB$25:AB62))/(1+N63*$E$4)</f>
        <v/>
      </c>
      <c r="AC63" s="54">
        <f>(1-O63*$E$4*SUM(AC$25:AC62))/(1+O63*$E$4)</f>
        <v/>
      </c>
      <c r="AD63" s="54">
        <f>(1-P63*$E$4*SUM(AD$25:AD62))/(1+P63*$E$4)</f>
        <v/>
      </c>
      <c r="AE63" s="54">
        <f>(1-Q63*$E$4*SUM(AE$25:AE62))/(1+Q63*$E$4)</f>
        <v/>
      </c>
      <c r="AF63" s="54">
        <f>(1-R63*$E$4*SUM(AF$25:AF62))/(1+R63*$E$4)</f>
        <v/>
      </c>
    </row>
    <row r="64">
      <c r="A64" s="4" t="n">
        <v>40</v>
      </c>
      <c r="B64" s="6">
        <f>A64*0.25</f>
        <v/>
      </c>
      <c r="C64" s="4">
        <f>MIN(MATCH(B64,$B$7:$B$21,1),14)</f>
        <v/>
      </c>
      <c r="D64" s="9">
        <f>(B64-INDEX($B$7:$B$21,C64))/(INDEX($B$7:$B$21,C64+1)-INDEX($B$7:$B$21,C64))</f>
        <v/>
      </c>
      <c r="E64" s="41">
        <f>'Amort-Set-up'!E59</f>
        <v/>
      </c>
      <c r="F64" s="53">
        <f>INDEX($D$7:$P$21,$C64,F$24)+$D64*(INDEX($D$7:$P$21,$C64+1,F$24)-INDEX($D$7:$P$21,$C64,F$24))</f>
        <v/>
      </c>
      <c r="G64" s="53">
        <f>INDEX($D$7:$P$21,$C64,G$24)+$D64*(INDEX($D$7:$P$21,$C64+1,G$24)-INDEX($D$7:$P$21,$C64,G$24))</f>
        <v/>
      </c>
      <c r="H64" s="53">
        <f>INDEX($D$7:$P$21,$C64,H$24)+$D64*(INDEX($D$7:$P$21,$C64+1,H$24)-INDEX($D$7:$P$21,$C64,H$24))</f>
        <v/>
      </c>
      <c r="I64" s="53">
        <f>INDEX($D$7:$P$21,$C64,I$24)+$D64*(INDEX($D$7:$P$21,$C64+1,I$24)-INDEX($D$7:$P$21,$C64,I$24))</f>
        <v/>
      </c>
      <c r="J64" s="53">
        <f>INDEX($D$7:$P$21,$C64,J$24)+$D64*(INDEX($D$7:$P$21,$C64+1,J$24)-INDEX($D$7:$P$21,$C64,J$24))</f>
        <v/>
      </c>
      <c r="K64" s="53">
        <f>INDEX($D$7:$P$21,$C64,K$24)+$D64*(INDEX($D$7:$P$21,$C64+1,K$24)-INDEX($D$7:$P$21,$C64,K$24))</f>
        <v/>
      </c>
      <c r="L64" s="53">
        <f>INDEX($D$7:$P$21,$C64,L$24)+$D64*(INDEX($D$7:$P$21,$C64+1,L$24)-INDEX($D$7:$P$21,$C64,L$24))</f>
        <v/>
      </c>
      <c r="M64" s="53">
        <f>INDEX($D$7:$P$21,$C64,M$24)+$D64*(INDEX($D$7:$P$21,$C64+1,M$24)-INDEX($D$7:$P$21,$C64,M$24))</f>
        <v/>
      </c>
      <c r="N64" s="53">
        <f>INDEX($D$7:$P$21,$C64,N$24)+$D64*(INDEX($D$7:$P$21,$C64+1,N$24)-INDEX($D$7:$P$21,$C64,N$24))</f>
        <v/>
      </c>
      <c r="O64" s="53">
        <f>INDEX($D$7:$P$21,$C64,O$24)+$D64*(INDEX($D$7:$P$21,$C64+1,O$24)-INDEX($D$7:$P$21,$C64,O$24))</f>
        <v/>
      </c>
      <c r="P64" s="53">
        <f>INDEX($D$7:$P$21,$C64,P$24)+$D64*(INDEX($D$7:$P$21,$C64+1,P$24)-INDEX($D$7:$P$21,$C64,P$24))</f>
        <v/>
      </c>
      <c r="Q64" s="53">
        <f>INDEX($D$7:$P$21,$C64,Q$24)+$D64*(INDEX($D$7:$P$21,$C64+1,Q$24)-INDEX($D$7:$P$21,$C64,Q$24))</f>
        <v/>
      </c>
      <c r="R64" s="53">
        <f>INDEX($D$7:$P$21,$C64,R$24)+$D64*(INDEX($D$7:$P$21,$C64+1,R$24)-INDEX($D$7:$P$21,$C64,R$24))</f>
        <v/>
      </c>
      <c r="T64" s="54">
        <f>(1-F64*$E$4*SUM(T$25:T63))/(1+F64*$E$4)</f>
        <v/>
      </c>
      <c r="U64" s="54">
        <f>(1-G64*$E$4*SUM(U$25:U63))/(1+G64*$E$4)</f>
        <v/>
      </c>
      <c r="V64" s="54">
        <f>(1-H64*$E$4*SUM(V$25:V63))/(1+H64*$E$4)</f>
        <v/>
      </c>
      <c r="W64" s="54">
        <f>(1-I64*$E$4*SUM(W$25:W63))/(1+I64*$E$4)</f>
        <v/>
      </c>
      <c r="X64" s="54">
        <f>(1-J64*$E$4*SUM(X$25:X63))/(1+J64*$E$4)</f>
        <v/>
      </c>
      <c r="Y64" s="54">
        <f>(1-K64*$E$4*SUM(Y$25:Y63))/(1+K64*$E$4)</f>
        <v/>
      </c>
      <c r="Z64" s="54">
        <f>(1-L64*$E$4*SUM(Z$25:Z63))/(1+L64*$E$4)</f>
        <v/>
      </c>
      <c r="AA64" s="54">
        <f>(1-M64*$E$4*SUM(AA$25:AA63))/(1+M64*$E$4)</f>
        <v/>
      </c>
      <c r="AB64" s="54">
        <f>(1-N64*$E$4*SUM(AB$25:AB63))/(1+N64*$E$4)</f>
        <v/>
      </c>
      <c r="AC64" s="54">
        <f>(1-O64*$E$4*SUM(AC$25:AC63))/(1+O64*$E$4)</f>
        <v/>
      </c>
      <c r="AD64" s="54">
        <f>(1-P64*$E$4*SUM(AD$25:AD63))/(1+P64*$E$4)</f>
        <v/>
      </c>
      <c r="AE64" s="54">
        <f>(1-Q64*$E$4*SUM(AE$25:AE63))/(1+Q64*$E$4)</f>
        <v/>
      </c>
      <c r="AF64" s="54">
        <f>(1-R64*$E$4*SUM(AF$25:AF63))/(1+R64*$E$4)</f>
        <v/>
      </c>
    </row>
    <row r="66">
      <c r="A66" s="2" t="inlineStr">
        <is>
          <t>Fixed PV</t>
        </is>
      </c>
      <c r="B66" s="66">
        <f>T66</f>
        <v/>
      </c>
      <c r="T66" s="55">
        <f>$D$3*$E$4*SUMPRODUCT($E$25:$E$64,T$25:T$64)</f>
        <v/>
      </c>
      <c r="U66" s="55">
        <f>$D$3*$E$4*SUMPRODUCT($E$25:$E$64,U$25:U$64)</f>
        <v/>
      </c>
      <c r="V66" s="55">
        <f>$D$3*$E$4*SUMPRODUCT($E$25:$E$64,V$25:V$64)</f>
        <v/>
      </c>
      <c r="W66" s="55">
        <f>$D$3*$E$4*SUMPRODUCT($E$25:$E$64,W$25:W$64)</f>
        <v/>
      </c>
      <c r="X66" s="55">
        <f>$D$3*$E$4*SUMPRODUCT($E$25:$E$64,X$25:X$64)</f>
        <v/>
      </c>
      <c r="Y66" s="55">
        <f>$D$3*$E$4*SUMPRODUCT($E$25:$E$64,Y$25:Y$64)</f>
        <v/>
      </c>
      <c r="Z66" s="55">
        <f>$D$3*$E$4*SUMPRODUCT($E$25:$E$64,Z$25:Z$64)</f>
        <v/>
      </c>
      <c r="AA66" s="55">
        <f>$D$3*$E$4*SUMPRODUCT($E$25:$E$64,AA$25:AA$64)</f>
        <v/>
      </c>
      <c r="AB66" s="55">
        <f>$D$3*$E$4*SUMPRODUCT($E$25:$E$64,AB$25:AB$64)</f>
        <v/>
      </c>
      <c r="AC66" s="55">
        <f>$D$3*$E$4*SUMPRODUCT($E$25:$E$64,AC$25:AC$64)</f>
        <v/>
      </c>
      <c r="AD66" s="55">
        <f>$D$3*$E$4*SUMPRODUCT($E$25:$E$64,AD$25:AD$64)</f>
        <v/>
      </c>
      <c r="AE66" s="55">
        <f>$D$3*$E$4*SUMPRODUCT($E$25:$E$64,AE$25:AE$64)</f>
        <v/>
      </c>
      <c r="AF66" s="55">
        <f>$D$3*$E$4*SUMPRODUCT($E$25:$E$64,AF$25:AF$64)</f>
        <v/>
      </c>
    </row>
    <row r="67">
      <c r="A67" s="2" t="inlineStr">
        <is>
          <t>Float PV</t>
        </is>
      </c>
      <c r="B67" s="66">
        <f>T67</f>
        <v/>
      </c>
      <c r="T67" s="55">
        <f>SUMPRODUCT($E$25:$E$64,T$24:T$63-T$25:T$64)</f>
        <v/>
      </c>
      <c r="U67" s="55">
        <f>SUMPRODUCT($E$25:$E$64,U$24:U$63-U$25:U$64)</f>
        <v/>
      </c>
      <c r="V67" s="55">
        <f>SUMPRODUCT($E$25:$E$64,V$24:V$63-V$25:V$64)</f>
        <v/>
      </c>
      <c r="W67" s="55">
        <f>SUMPRODUCT($E$25:$E$64,W$24:W$63-W$25:W$64)</f>
        <v/>
      </c>
      <c r="X67" s="55">
        <f>SUMPRODUCT($E$25:$E$64,X$24:X$63-X$25:X$64)</f>
        <v/>
      </c>
      <c r="Y67" s="55">
        <f>SUMPRODUCT($E$25:$E$64,Y$24:Y$63-Y$25:Y$64)</f>
        <v/>
      </c>
      <c r="Z67" s="55">
        <f>SUMPRODUCT($E$25:$E$64,Z$24:Z$63-Z$25:Z$64)</f>
        <v/>
      </c>
      <c r="AA67" s="55">
        <f>SUMPRODUCT($E$25:$E$64,AA$24:AA$63-AA$25:AA$64)</f>
        <v/>
      </c>
      <c r="AB67" s="55">
        <f>SUMPRODUCT($E$25:$E$64,AB$24:AB$63-AB$25:AB$64)</f>
        <v/>
      </c>
      <c r="AC67" s="55">
        <f>SUMPRODUCT($E$25:$E$64,AC$24:AC$63-AC$25:AC$64)</f>
        <v/>
      </c>
      <c r="AD67" s="55">
        <f>SUMPRODUCT($E$25:$E$64,AD$24:AD$63-AD$25:AD$64)</f>
        <v/>
      </c>
      <c r="AE67" s="55">
        <f>SUMPRODUCT($E$25:$E$64,AE$24:AE$63-AE$25:AE$64)</f>
        <v/>
      </c>
      <c r="AF67" s="55">
        <f>SUMPRODUCT($E$25:$E$64,AF$24:AF$63-AF$25:AF$64)</f>
        <v/>
      </c>
    </row>
    <row r="68">
      <c r="A68" s="2" t="inlineStr">
        <is>
          <t>NPV</t>
        </is>
      </c>
      <c r="B68" s="44">
        <f>T68</f>
        <v/>
      </c>
      <c r="C68" s="7" t="inlineStr">
        <is>
          <t>base NPV (=0 at par)</t>
        </is>
      </c>
      <c r="T68" s="55">
        <f>T66-T67</f>
        <v/>
      </c>
      <c r="U68" s="55">
        <f>U66-U67</f>
        <v/>
      </c>
      <c r="V68" s="55">
        <f>V66-V67</f>
        <v/>
      </c>
      <c r="W68" s="55">
        <f>W66-W67</f>
        <v/>
      </c>
      <c r="X68" s="55">
        <f>X66-X67</f>
        <v/>
      </c>
      <c r="Y68" s="55">
        <f>Y66-Y67</f>
        <v/>
      </c>
      <c r="Z68" s="55">
        <f>Z66-Z67</f>
        <v/>
      </c>
      <c r="AA68" s="55">
        <f>AA66-AA67</f>
        <v/>
      </c>
      <c r="AB68" s="55">
        <f>AB66-AB67</f>
        <v/>
      </c>
      <c r="AC68" s="55">
        <f>AC66-AC67</f>
        <v/>
      </c>
      <c r="AD68" s="55">
        <f>AD66-AD67</f>
        <v/>
      </c>
      <c r="AE68" s="55">
        <f>AE66-AE67</f>
        <v/>
      </c>
      <c r="AF68" s="55">
        <f>AF66-AF67</f>
        <v/>
      </c>
    </row>
    <row r="69">
      <c r="A69" s="2" t="inlineStr">
        <is>
          <t>DELTA (vs base)</t>
        </is>
      </c>
      <c r="B69" s="2" t="inlineStr">
        <is>
          <t>sum -&gt;</t>
        </is>
      </c>
      <c r="C69" s="56">
        <f>SUM(U69:AF69)</f>
        <v/>
      </c>
      <c r="T69" s="57">
        <f>T68-$T68</f>
        <v/>
      </c>
      <c r="U69" s="57">
        <f>U68-$T68</f>
        <v/>
      </c>
      <c r="V69" s="57">
        <f>V68-$T68</f>
        <v/>
      </c>
      <c r="W69" s="57">
        <f>W68-$T68</f>
        <v/>
      </c>
      <c r="X69" s="57">
        <f>X68-$T68</f>
        <v/>
      </c>
      <c r="Y69" s="57">
        <f>Y68-$T68</f>
        <v/>
      </c>
      <c r="Z69" s="57">
        <f>Z68-$T68</f>
        <v/>
      </c>
      <c r="AA69" s="57">
        <f>AA68-$T68</f>
        <v/>
      </c>
      <c r="AB69" s="57">
        <f>AB68-$T68</f>
        <v/>
      </c>
      <c r="AC69" s="57">
        <f>AC68-$T68</f>
        <v/>
      </c>
      <c r="AD69" s="57">
        <f>AD68-$T68</f>
        <v/>
      </c>
      <c r="AE69" s="57">
        <f>AE68-$T68</f>
        <v/>
      </c>
      <c r="AF69" s="57">
        <f>AF68-$T68</f>
        <v/>
      </c>
    </row>
    <row r="70">
      <c r="A70" s="7" t="inlineStr">
        <is>
          <t>bumped tenor</t>
        </is>
      </c>
      <c r="U70" s="7">
        <f>$A7</f>
        <v/>
      </c>
      <c r="V70" s="7">
        <f>$A8</f>
        <v/>
      </c>
      <c r="W70" s="7">
        <f>$A9</f>
        <v/>
      </c>
      <c r="X70" s="7">
        <f>$A10</f>
        <v/>
      </c>
      <c r="Y70" s="7">
        <f>$A11</f>
        <v/>
      </c>
      <c r="Z70" s="7">
        <f>$A12</f>
        <v/>
      </c>
      <c r="AA70" s="7">
        <f>$A13</f>
        <v/>
      </c>
      <c r="AB70" s="7">
        <f>$A14</f>
        <v/>
      </c>
      <c r="AC70" s="7">
        <f>$A15</f>
        <v/>
      </c>
      <c r="AD70" s="7">
        <f>$A16</f>
        <v/>
      </c>
      <c r="AE70" s="7">
        <f>$A17</f>
        <v/>
      </c>
      <c r="AF70" s="7">
        <f>$A18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L10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10" customWidth="1" min="4" max="4"/>
    <col width="16" customWidth="1" min="5" max="5"/>
  </cols>
  <sheetData>
    <row r="1">
      <c r="A1" s="1" t="inlineStr">
        <is>
          <t>KRD-v2 — delta in Kevin's format (front nodes bumped live)</t>
        </is>
      </c>
    </row>
    <row r="2">
      <c r="A2" s="7" t="inlineStr">
        <is>
          <t>Bump each tenor 1bp, re-bootstrap, re-price, read the NPV change. 2D/1W/1M/2M are real bump columns here — they compute 0 because the first cashflow is at 3M. Kevin's grid (8Y/9Y dropped). Links only to Quotes and Amort-Set-up.</t>
        </is>
      </c>
    </row>
    <row r="4">
      <c r="A4" s="2" t="inlineStr">
        <is>
          <t>OUTPUT  (send to Kevin)</t>
        </is>
      </c>
    </row>
    <row r="5">
      <c r="A5" s="50" t="inlineStr">
        <is>
          <t>Tenor</t>
        </is>
      </c>
      <c r="B5" s="50" t="inlineStr">
        <is>
          <t>dv01</t>
        </is>
      </c>
    </row>
    <row r="6">
      <c r="A6" s="4" t="inlineStr">
        <is>
          <t>2D</t>
        </is>
      </c>
      <c r="B6" s="67">
        <f>Y$99</f>
        <v/>
      </c>
    </row>
    <row r="7">
      <c r="A7" s="4" t="inlineStr">
        <is>
          <t>1W</t>
        </is>
      </c>
      <c r="B7" s="67">
        <f>Z$99</f>
        <v/>
      </c>
    </row>
    <row r="8">
      <c r="A8" s="4" t="inlineStr">
        <is>
          <t>1M</t>
        </is>
      </c>
      <c r="B8" s="67">
        <f>AA$99</f>
        <v/>
      </c>
    </row>
    <row r="9">
      <c r="A9" s="4" t="inlineStr">
        <is>
          <t>2M</t>
        </is>
      </c>
      <c r="B9" s="67">
        <f>AB$99</f>
        <v/>
      </c>
    </row>
    <row r="10">
      <c r="A10" s="4" t="inlineStr">
        <is>
          <t>3M</t>
        </is>
      </c>
      <c r="B10" s="67">
        <f>AC$99</f>
        <v/>
      </c>
    </row>
    <row r="11">
      <c r="A11" s="4" t="inlineStr">
        <is>
          <t>6M</t>
        </is>
      </c>
      <c r="B11" s="67">
        <f>AD$99</f>
        <v/>
      </c>
    </row>
    <row r="12">
      <c r="A12" s="4" t="inlineStr">
        <is>
          <t>9M</t>
        </is>
      </c>
      <c r="B12" s="67">
        <f>AE$99</f>
        <v/>
      </c>
    </row>
    <row r="13">
      <c r="A13" s="4" t="inlineStr">
        <is>
          <t>1Y</t>
        </is>
      </c>
      <c r="B13" s="67">
        <f>AF$99</f>
        <v/>
      </c>
    </row>
    <row r="14">
      <c r="A14" s="4" t="inlineStr">
        <is>
          <t>2Y</t>
        </is>
      </c>
      <c r="B14" s="67">
        <f>AG$99</f>
        <v/>
      </c>
    </row>
    <row r="15">
      <c r="A15" s="4" t="inlineStr">
        <is>
          <t>3Y</t>
        </is>
      </c>
      <c r="B15" s="67">
        <f>AH$99</f>
        <v/>
      </c>
    </row>
    <row r="16">
      <c r="A16" s="4" t="inlineStr">
        <is>
          <t>4Y</t>
        </is>
      </c>
      <c r="B16" s="67">
        <f>AI$99</f>
        <v/>
      </c>
    </row>
    <row r="17">
      <c r="A17" s="4" t="inlineStr">
        <is>
          <t>5Y</t>
        </is>
      </c>
      <c r="B17" s="67">
        <f>AJ$99</f>
        <v/>
      </c>
    </row>
    <row r="18">
      <c r="A18" s="4" t="inlineStr">
        <is>
          <t>7Y</t>
        </is>
      </c>
      <c r="B18" s="67">
        <f>AK$99</f>
        <v/>
      </c>
    </row>
    <row r="19">
      <c r="A19" s="4" t="inlineStr">
        <is>
          <t>10Y</t>
        </is>
      </c>
      <c r="B19" s="67">
        <f>AL$99</f>
        <v/>
      </c>
    </row>
    <row r="20">
      <c r="A20" s="4" t="inlineStr">
        <is>
          <t>12Y</t>
        </is>
      </c>
      <c r="B20" s="67" t="n">
        <v>0</v>
      </c>
    </row>
    <row r="21">
      <c r="A21" s="4" t="inlineStr">
        <is>
          <t>15Y</t>
        </is>
      </c>
      <c r="B21" s="67" t="n">
        <v>0</v>
      </c>
    </row>
    <row r="22">
      <c r="A22" s="4" t="inlineStr">
        <is>
          <t>20Y</t>
        </is>
      </c>
      <c r="B22" s="67" t="n">
        <v>0</v>
      </c>
    </row>
    <row r="23">
      <c r="A23" s="4" t="inlineStr">
        <is>
          <t>25Y</t>
        </is>
      </c>
      <c r="B23" s="67" t="n">
        <v>0</v>
      </c>
    </row>
    <row r="24">
      <c r="A24" s="4" t="inlineStr">
        <is>
          <t>30Y</t>
        </is>
      </c>
      <c r="B24" s="67" t="n">
        <v>0</v>
      </c>
    </row>
    <row r="25">
      <c r="A25" s="68" t="inlineStr">
        <is>
          <t>TOTAL</t>
        </is>
      </c>
      <c r="B25" s="69">
        <f>SUM(B6:B24)</f>
        <v/>
      </c>
    </row>
    <row r="27">
      <c r="A27" s="7" t="inlineStr">
        <is>
          <t>2D/1W/1M/2M are live bumps and land on 0 — swap's first cashflow is at 3M, so the sub-3M curve is never touched. 12Y-30Y are 0: swap matures at 10Y.</t>
        </is>
      </c>
    </row>
    <row r="28">
      <c r="A28" s="2" t="inlineStr">
        <is>
          <t>WORKING (proof)</t>
        </is>
      </c>
    </row>
    <row r="29">
      <c r="A29" s="51" t="inlineStr">
        <is>
          <t>Tenor</t>
        </is>
      </c>
      <c r="B29" s="51" t="inlineStr">
        <is>
          <t>Year</t>
        </is>
      </c>
      <c r="C29" s="51" t="inlineStr">
        <is>
          <t>Base</t>
        </is>
      </c>
    </row>
    <row r="30">
      <c r="A30" t="inlineStr">
        <is>
          <t>2D</t>
        </is>
      </c>
      <c r="B30" s="72" t="n">
        <v>0.005479</v>
      </c>
      <c r="C30" s="53">
        <f>Quotes!$B$5</f>
        <v/>
      </c>
      <c r="D30" s="53">
        <f>$C30</f>
        <v/>
      </c>
      <c r="E30" s="53">
        <f>$C30+0.0001</f>
        <v/>
      </c>
      <c r="F30" s="53">
        <f>$C30</f>
        <v/>
      </c>
      <c r="G30" s="53">
        <f>$C30</f>
        <v/>
      </c>
      <c r="H30" s="53">
        <f>$C30</f>
        <v/>
      </c>
      <c r="I30" s="53">
        <f>$C30</f>
        <v/>
      </c>
      <c r="J30" s="53">
        <f>$C30</f>
        <v/>
      </c>
      <c r="K30" s="53">
        <f>$C30</f>
        <v/>
      </c>
      <c r="L30" s="53">
        <f>$C30</f>
        <v/>
      </c>
      <c r="M30" s="53">
        <f>$C30</f>
        <v/>
      </c>
      <c r="N30" s="53">
        <f>$C30</f>
        <v/>
      </c>
      <c r="O30" s="53">
        <f>$C30</f>
        <v/>
      </c>
      <c r="P30" s="53">
        <f>$C30</f>
        <v/>
      </c>
      <c r="Q30" s="53">
        <f>$C30</f>
        <v/>
      </c>
      <c r="R30" s="53">
        <f>$C30</f>
        <v/>
      </c>
    </row>
    <row r="31">
      <c r="A31" t="inlineStr">
        <is>
          <t>1W</t>
        </is>
      </c>
      <c r="B31" s="72" t="n">
        <v>0.019178</v>
      </c>
      <c r="C31" s="53">
        <f>Quotes!$B$5</f>
        <v/>
      </c>
      <c r="D31" s="53">
        <f>$C31</f>
        <v/>
      </c>
      <c r="E31" s="53">
        <f>$C31</f>
        <v/>
      </c>
      <c r="F31" s="53">
        <f>$C31+0.0001</f>
        <v/>
      </c>
      <c r="G31" s="53">
        <f>$C31</f>
        <v/>
      </c>
      <c r="H31" s="53">
        <f>$C31</f>
        <v/>
      </c>
      <c r="I31" s="53">
        <f>$C31</f>
        <v/>
      </c>
      <c r="J31" s="53">
        <f>$C31</f>
        <v/>
      </c>
      <c r="K31" s="53">
        <f>$C31</f>
        <v/>
      </c>
      <c r="L31" s="53">
        <f>$C31</f>
        <v/>
      </c>
      <c r="M31" s="53">
        <f>$C31</f>
        <v/>
      </c>
      <c r="N31" s="53">
        <f>$C31</f>
        <v/>
      </c>
      <c r="O31" s="53">
        <f>$C31</f>
        <v/>
      </c>
      <c r="P31" s="53">
        <f>$C31</f>
        <v/>
      </c>
      <c r="Q31" s="53">
        <f>$C31</f>
        <v/>
      </c>
      <c r="R31" s="53">
        <f>$C31</f>
        <v/>
      </c>
    </row>
    <row r="32">
      <c r="A32" t="inlineStr">
        <is>
          <t>1M</t>
        </is>
      </c>
      <c r="B32" s="72" t="n">
        <v>0.083333</v>
      </c>
      <c r="C32" s="53">
        <f>Quotes!$B$5</f>
        <v/>
      </c>
      <c r="D32" s="53">
        <f>$C32</f>
        <v/>
      </c>
      <c r="E32" s="53">
        <f>$C32</f>
        <v/>
      </c>
      <c r="F32" s="53">
        <f>$C32</f>
        <v/>
      </c>
      <c r="G32" s="53">
        <f>$C32+0.0001</f>
        <v/>
      </c>
      <c r="H32" s="53">
        <f>$C32</f>
        <v/>
      </c>
      <c r="I32" s="53">
        <f>$C32</f>
        <v/>
      </c>
      <c r="J32" s="53">
        <f>$C32</f>
        <v/>
      </c>
      <c r="K32" s="53">
        <f>$C32</f>
        <v/>
      </c>
      <c r="L32" s="53">
        <f>$C32</f>
        <v/>
      </c>
      <c r="M32" s="53">
        <f>$C32</f>
        <v/>
      </c>
      <c r="N32" s="53">
        <f>$C32</f>
        <v/>
      </c>
      <c r="O32" s="53">
        <f>$C32</f>
        <v/>
      </c>
      <c r="P32" s="53">
        <f>$C32</f>
        <v/>
      </c>
      <c r="Q32" s="53">
        <f>$C32</f>
        <v/>
      </c>
      <c r="R32" s="53">
        <f>$C32</f>
        <v/>
      </c>
    </row>
    <row r="33">
      <c r="A33" t="inlineStr">
        <is>
          <t>2M</t>
        </is>
      </c>
      <c r="B33" s="72" t="n">
        <v>0.166667</v>
      </c>
      <c r="C33" s="53">
        <f>Quotes!$B$5</f>
        <v/>
      </c>
      <c r="D33" s="53">
        <f>$C33</f>
        <v/>
      </c>
      <c r="E33" s="53">
        <f>$C33</f>
        <v/>
      </c>
      <c r="F33" s="53">
        <f>$C33</f>
        <v/>
      </c>
      <c r="G33" s="53">
        <f>$C33</f>
        <v/>
      </c>
      <c r="H33" s="53">
        <f>$C33+0.0001</f>
        <v/>
      </c>
      <c r="I33" s="53">
        <f>$C33</f>
        <v/>
      </c>
      <c r="J33" s="53">
        <f>$C33</f>
        <v/>
      </c>
      <c r="K33" s="53">
        <f>$C33</f>
        <v/>
      </c>
      <c r="L33" s="53">
        <f>$C33</f>
        <v/>
      </c>
      <c r="M33" s="53">
        <f>$C33</f>
        <v/>
      </c>
      <c r="N33" s="53">
        <f>$C33</f>
        <v/>
      </c>
      <c r="O33" s="53">
        <f>$C33</f>
        <v/>
      </c>
      <c r="P33" s="53">
        <f>$C33</f>
        <v/>
      </c>
      <c r="Q33" s="53">
        <f>$C33</f>
        <v/>
      </c>
      <c r="R33" s="53">
        <f>$C33</f>
        <v/>
      </c>
    </row>
    <row r="34">
      <c r="A34">
        <f>Quotes!A5</f>
        <v/>
      </c>
      <c r="B34" s="70">
        <f>Quotes!C5</f>
        <v/>
      </c>
      <c r="C34" s="53">
        <f>Quotes!B5</f>
        <v/>
      </c>
      <c r="D34" s="53">
        <f>$C34</f>
        <v/>
      </c>
      <c r="E34" s="53">
        <f>$C34</f>
        <v/>
      </c>
      <c r="F34" s="53">
        <f>$C34</f>
        <v/>
      </c>
      <c r="G34" s="53">
        <f>$C34</f>
        <v/>
      </c>
      <c r="H34" s="53">
        <f>$C34</f>
        <v/>
      </c>
      <c r="I34" s="53">
        <f>$C34+0.0001</f>
        <v/>
      </c>
      <c r="J34" s="53">
        <f>$C34</f>
        <v/>
      </c>
      <c r="K34" s="53">
        <f>$C34</f>
        <v/>
      </c>
      <c r="L34" s="53">
        <f>$C34</f>
        <v/>
      </c>
      <c r="M34" s="53">
        <f>$C34</f>
        <v/>
      </c>
      <c r="N34" s="53">
        <f>$C34</f>
        <v/>
      </c>
      <c r="O34" s="53">
        <f>$C34</f>
        <v/>
      </c>
      <c r="P34" s="53">
        <f>$C34</f>
        <v/>
      </c>
      <c r="Q34" s="53">
        <f>$C34</f>
        <v/>
      </c>
      <c r="R34" s="53">
        <f>$C34</f>
        <v/>
      </c>
    </row>
    <row r="35">
      <c r="A35">
        <f>Quotes!A6</f>
        <v/>
      </c>
      <c r="B35" s="70">
        <f>Quotes!C6</f>
        <v/>
      </c>
      <c r="C35" s="53">
        <f>Quotes!B6</f>
        <v/>
      </c>
      <c r="D35" s="53">
        <f>$C35</f>
        <v/>
      </c>
      <c r="E35" s="53">
        <f>$C35</f>
        <v/>
      </c>
      <c r="F35" s="53">
        <f>$C35</f>
        <v/>
      </c>
      <c r="G35" s="53">
        <f>$C35</f>
        <v/>
      </c>
      <c r="H35" s="53">
        <f>$C35</f>
        <v/>
      </c>
      <c r="I35" s="53">
        <f>$C35</f>
        <v/>
      </c>
      <c r="J35" s="53">
        <f>$C35+0.0001</f>
        <v/>
      </c>
      <c r="K35" s="53">
        <f>$C35</f>
        <v/>
      </c>
      <c r="L35" s="53">
        <f>$C35</f>
        <v/>
      </c>
      <c r="M35" s="53">
        <f>$C35</f>
        <v/>
      </c>
      <c r="N35" s="53">
        <f>$C35</f>
        <v/>
      </c>
      <c r="O35" s="53">
        <f>$C35</f>
        <v/>
      </c>
      <c r="P35" s="53">
        <f>$C35</f>
        <v/>
      </c>
      <c r="Q35" s="53">
        <f>$C35</f>
        <v/>
      </c>
      <c r="R35" s="53">
        <f>$C35</f>
        <v/>
      </c>
    </row>
    <row r="36">
      <c r="A36">
        <f>Quotes!A7</f>
        <v/>
      </c>
      <c r="B36" s="70">
        <f>Quotes!C7</f>
        <v/>
      </c>
      <c r="C36" s="53">
        <f>Quotes!B7</f>
        <v/>
      </c>
      <c r="D36" s="53">
        <f>$C36</f>
        <v/>
      </c>
      <c r="E36" s="53">
        <f>$C36</f>
        <v/>
      </c>
      <c r="F36" s="53">
        <f>$C36</f>
        <v/>
      </c>
      <c r="G36" s="53">
        <f>$C36</f>
        <v/>
      </c>
      <c r="H36" s="53">
        <f>$C36</f>
        <v/>
      </c>
      <c r="I36" s="53">
        <f>$C36</f>
        <v/>
      </c>
      <c r="J36" s="53">
        <f>$C36</f>
        <v/>
      </c>
      <c r="K36" s="53">
        <f>$C36+0.0001</f>
        <v/>
      </c>
      <c r="L36" s="53">
        <f>$C36</f>
        <v/>
      </c>
      <c r="M36" s="53">
        <f>$C36</f>
        <v/>
      </c>
      <c r="N36" s="53">
        <f>$C36</f>
        <v/>
      </c>
      <c r="O36" s="53">
        <f>$C36</f>
        <v/>
      </c>
      <c r="P36" s="53">
        <f>$C36</f>
        <v/>
      </c>
      <c r="Q36" s="53">
        <f>$C36</f>
        <v/>
      </c>
      <c r="R36" s="53">
        <f>$C36</f>
        <v/>
      </c>
    </row>
    <row r="37">
      <c r="A37">
        <f>Quotes!A8</f>
        <v/>
      </c>
      <c r="B37" s="70">
        <f>Quotes!C8</f>
        <v/>
      </c>
      <c r="C37" s="53">
        <f>Quotes!B8</f>
        <v/>
      </c>
      <c r="D37" s="53">
        <f>$C37</f>
        <v/>
      </c>
      <c r="E37" s="53">
        <f>$C37</f>
        <v/>
      </c>
      <c r="F37" s="53">
        <f>$C37</f>
        <v/>
      </c>
      <c r="G37" s="53">
        <f>$C37</f>
        <v/>
      </c>
      <c r="H37" s="53">
        <f>$C37</f>
        <v/>
      </c>
      <c r="I37" s="53">
        <f>$C37</f>
        <v/>
      </c>
      <c r="J37" s="53">
        <f>$C37</f>
        <v/>
      </c>
      <c r="K37" s="53">
        <f>$C37</f>
        <v/>
      </c>
      <c r="L37" s="53">
        <f>$C37+0.0001</f>
        <v/>
      </c>
      <c r="M37" s="53">
        <f>$C37</f>
        <v/>
      </c>
      <c r="N37" s="53">
        <f>$C37</f>
        <v/>
      </c>
      <c r="O37" s="53">
        <f>$C37</f>
        <v/>
      </c>
      <c r="P37" s="53">
        <f>$C37</f>
        <v/>
      </c>
      <c r="Q37" s="53">
        <f>$C37</f>
        <v/>
      </c>
      <c r="R37" s="53">
        <f>$C37</f>
        <v/>
      </c>
    </row>
    <row r="38">
      <c r="A38">
        <f>Quotes!A9</f>
        <v/>
      </c>
      <c r="B38" s="70">
        <f>Quotes!C9</f>
        <v/>
      </c>
      <c r="C38" s="53">
        <f>Quotes!B9</f>
        <v/>
      </c>
      <c r="D38" s="53">
        <f>$C38</f>
        <v/>
      </c>
      <c r="E38" s="53">
        <f>$C38</f>
        <v/>
      </c>
      <c r="F38" s="53">
        <f>$C38</f>
        <v/>
      </c>
      <c r="G38" s="53">
        <f>$C38</f>
        <v/>
      </c>
      <c r="H38" s="53">
        <f>$C38</f>
        <v/>
      </c>
      <c r="I38" s="53">
        <f>$C38</f>
        <v/>
      </c>
      <c r="J38" s="53">
        <f>$C38</f>
        <v/>
      </c>
      <c r="K38" s="53">
        <f>$C38</f>
        <v/>
      </c>
      <c r="L38" s="53">
        <f>$C38</f>
        <v/>
      </c>
      <c r="M38" s="53">
        <f>$C38+0.0001</f>
        <v/>
      </c>
      <c r="N38" s="53">
        <f>$C38</f>
        <v/>
      </c>
      <c r="O38" s="53">
        <f>$C38</f>
        <v/>
      </c>
      <c r="P38" s="53">
        <f>$C38</f>
        <v/>
      </c>
      <c r="Q38" s="53">
        <f>$C38</f>
        <v/>
      </c>
      <c r="R38" s="53">
        <f>$C38</f>
        <v/>
      </c>
    </row>
    <row r="39">
      <c r="A39">
        <f>Quotes!A10</f>
        <v/>
      </c>
      <c r="B39" s="70">
        <f>Quotes!C10</f>
        <v/>
      </c>
      <c r="C39" s="53">
        <f>Quotes!B10</f>
        <v/>
      </c>
      <c r="D39" s="53">
        <f>$C39</f>
        <v/>
      </c>
      <c r="E39" s="53">
        <f>$C39</f>
        <v/>
      </c>
      <c r="F39" s="53">
        <f>$C39</f>
        <v/>
      </c>
      <c r="G39" s="53">
        <f>$C39</f>
        <v/>
      </c>
      <c r="H39" s="53">
        <f>$C39</f>
        <v/>
      </c>
      <c r="I39" s="53">
        <f>$C39</f>
        <v/>
      </c>
      <c r="J39" s="53">
        <f>$C39</f>
        <v/>
      </c>
      <c r="K39" s="53">
        <f>$C39</f>
        <v/>
      </c>
      <c r="L39" s="53">
        <f>$C39</f>
        <v/>
      </c>
      <c r="M39" s="53">
        <f>$C39</f>
        <v/>
      </c>
      <c r="N39" s="53">
        <f>$C39+0.0001</f>
        <v/>
      </c>
      <c r="O39" s="53">
        <f>$C39</f>
        <v/>
      </c>
      <c r="P39" s="53">
        <f>$C39</f>
        <v/>
      </c>
      <c r="Q39" s="53">
        <f>$C39</f>
        <v/>
      </c>
      <c r="R39" s="53">
        <f>$C39</f>
        <v/>
      </c>
    </row>
    <row r="40">
      <c r="A40">
        <f>Quotes!A11</f>
        <v/>
      </c>
      <c r="B40" s="70">
        <f>Quotes!C11</f>
        <v/>
      </c>
      <c r="C40" s="53">
        <f>Quotes!B11</f>
        <v/>
      </c>
      <c r="D40" s="53">
        <f>$C40</f>
        <v/>
      </c>
      <c r="E40" s="53">
        <f>$C40</f>
        <v/>
      </c>
      <c r="F40" s="53">
        <f>$C40</f>
        <v/>
      </c>
      <c r="G40" s="53">
        <f>$C40</f>
        <v/>
      </c>
      <c r="H40" s="53">
        <f>$C40</f>
        <v/>
      </c>
      <c r="I40" s="53">
        <f>$C40</f>
        <v/>
      </c>
      <c r="J40" s="53">
        <f>$C40</f>
        <v/>
      </c>
      <c r="K40" s="53">
        <f>$C40</f>
        <v/>
      </c>
      <c r="L40" s="53">
        <f>$C40</f>
        <v/>
      </c>
      <c r="M40" s="53">
        <f>$C40</f>
        <v/>
      </c>
      <c r="N40" s="53">
        <f>$C40</f>
        <v/>
      </c>
      <c r="O40" s="53">
        <f>$C40+0.0001</f>
        <v/>
      </c>
      <c r="P40" s="53">
        <f>$C40</f>
        <v/>
      </c>
      <c r="Q40" s="53">
        <f>$C40</f>
        <v/>
      </c>
      <c r="R40" s="53">
        <f>$C40</f>
        <v/>
      </c>
    </row>
    <row r="41">
      <c r="A41">
        <f>Quotes!A12</f>
        <v/>
      </c>
      <c r="B41" s="70">
        <f>Quotes!C12</f>
        <v/>
      </c>
      <c r="C41" s="53">
        <f>Quotes!B12</f>
        <v/>
      </c>
      <c r="D41" s="53">
        <f>$C41</f>
        <v/>
      </c>
      <c r="E41" s="53">
        <f>$C41</f>
        <v/>
      </c>
      <c r="F41" s="53">
        <f>$C41</f>
        <v/>
      </c>
      <c r="G41" s="53">
        <f>$C41</f>
        <v/>
      </c>
      <c r="H41" s="53">
        <f>$C41</f>
        <v/>
      </c>
      <c r="I41" s="53">
        <f>$C41</f>
        <v/>
      </c>
      <c r="J41" s="53">
        <f>$C41</f>
        <v/>
      </c>
      <c r="K41" s="53">
        <f>$C41</f>
        <v/>
      </c>
      <c r="L41" s="53">
        <f>$C41</f>
        <v/>
      </c>
      <c r="M41" s="53">
        <f>$C41</f>
        <v/>
      </c>
      <c r="N41" s="53">
        <f>$C41</f>
        <v/>
      </c>
      <c r="O41" s="53">
        <f>$C41</f>
        <v/>
      </c>
      <c r="P41" s="53">
        <f>$C41+0.0001</f>
        <v/>
      </c>
      <c r="Q41" s="53">
        <f>$C41</f>
        <v/>
      </c>
      <c r="R41" s="53">
        <f>$C41</f>
        <v/>
      </c>
    </row>
    <row r="42">
      <c r="A42">
        <f>Quotes!A13</f>
        <v/>
      </c>
      <c r="B42" s="70">
        <f>Quotes!C13</f>
        <v/>
      </c>
      <c r="C42" s="53">
        <f>Quotes!B13</f>
        <v/>
      </c>
      <c r="D42" s="53">
        <f>$C42</f>
        <v/>
      </c>
      <c r="E42" s="53">
        <f>$C42</f>
        <v/>
      </c>
      <c r="F42" s="53">
        <f>$C42</f>
        <v/>
      </c>
      <c r="G42" s="53">
        <f>$C42</f>
        <v/>
      </c>
      <c r="H42" s="53">
        <f>$C42</f>
        <v/>
      </c>
      <c r="I42" s="53">
        <f>$C42</f>
        <v/>
      </c>
      <c r="J42" s="53">
        <f>$C42</f>
        <v/>
      </c>
      <c r="K42" s="53">
        <f>$C42</f>
        <v/>
      </c>
      <c r="L42" s="53">
        <f>$C42</f>
        <v/>
      </c>
      <c r="M42" s="53">
        <f>$C42</f>
        <v/>
      </c>
      <c r="N42" s="53">
        <f>$C42</f>
        <v/>
      </c>
      <c r="O42" s="53">
        <f>$C42</f>
        <v/>
      </c>
      <c r="P42" s="53">
        <f>$C42</f>
        <v/>
      </c>
      <c r="Q42" s="53">
        <f>$C42+0.0001</f>
        <v/>
      </c>
      <c r="R42" s="53">
        <f>$C42</f>
        <v/>
      </c>
    </row>
    <row r="43">
      <c r="A43">
        <f>Quotes!A16</f>
        <v/>
      </c>
      <c r="B43" s="70">
        <f>Quotes!C16</f>
        <v/>
      </c>
      <c r="C43" s="53">
        <f>Quotes!B16</f>
        <v/>
      </c>
      <c r="D43" s="53">
        <f>$C43</f>
        <v/>
      </c>
      <c r="E43" s="53">
        <f>$C43</f>
        <v/>
      </c>
      <c r="F43" s="53">
        <f>$C43</f>
        <v/>
      </c>
      <c r="G43" s="53">
        <f>$C43</f>
        <v/>
      </c>
      <c r="H43" s="53">
        <f>$C43</f>
        <v/>
      </c>
      <c r="I43" s="53">
        <f>$C43</f>
        <v/>
      </c>
      <c r="J43" s="53">
        <f>$C43</f>
        <v/>
      </c>
      <c r="K43" s="53">
        <f>$C43</f>
        <v/>
      </c>
      <c r="L43" s="53">
        <f>$C43</f>
        <v/>
      </c>
      <c r="M43" s="53">
        <f>$C43</f>
        <v/>
      </c>
      <c r="N43" s="53">
        <f>$C43</f>
        <v/>
      </c>
      <c r="O43" s="53">
        <f>$C43</f>
        <v/>
      </c>
      <c r="P43" s="53">
        <f>$C43</f>
        <v/>
      </c>
      <c r="Q43" s="53">
        <f>$C43</f>
        <v/>
      </c>
      <c r="R43" s="53">
        <f>$C43+0.0001</f>
        <v/>
      </c>
    </row>
    <row r="44">
      <c r="A44">
        <f>Quotes!A17</f>
        <v/>
      </c>
      <c r="B44" s="70">
        <f>Quotes!C17</f>
        <v/>
      </c>
      <c r="C44" s="53">
        <f>Quotes!B17</f>
        <v/>
      </c>
      <c r="D44" s="53">
        <f>$C44</f>
        <v/>
      </c>
      <c r="E44" s="53">
        <f>$C44</f>
        <v/>
      </c>
      <c r="F44" s="53">
        <f>$C44</f>
        <v/>
      </c>
      <c r="G44" s="53">
        <f>$C44</f>
        <v/>
      </c>
      <c r="H44" s="53">
        <f>$C44</f>
        <v/>
      </c>
      <c r="I44" s="53">
        <f>$C44</f>
        <v/>
      </c>
      <c r="J44" s="53">
        <f>$C44</f>
        <v/>
      </c>
      <c r="K44" s="53">
        <f>$C44</f>
        <v/>
      </c>
      <c r="L44" s="53">
        <f>$C44</f>
        <v/>
      </c>
      <c r="M44" s="53">
        <f>$C44</f>
        <v/>
      </c>
      <c r="N44" s="53">
        <f>$C44</f>
        <v/>
      </c>
      <c r="O44" s="53">
        <f>$C44</f>
        <v/>
      </c>
      <c r="P44" s="53">
        <f>$C44</f>
        <v/>
      </c>
      <c r="Q44" s="53">
        <f>$C44</f>
        <v/>
      </c>
      <c r="R44" s="53">
        <f>$C44</f>
        <v/>
      </c>
    </row>
    <row r="45">
      <c r="A45">
        <f>Quotes!A18</f>
        <v/>
      </c>
      <c r="B45" s="70">
        <f>Quotes!C18</f>
        <v/>
      </c>
      <c r="C45" s="53">
        <f>Quotes!B18</f>
        <v/>
      </c>
      <c r="D45" s="53">
        <f>$C45</f>
        <v/>
      </c>
      <c r="E45" s="53">
        <f>$C45</f>
        <v/>
      </c>
      <c r="F45" s="53">
        <f>$C45</f>
        <v/>
      </c>
      <c r="G45" s="53">
        <f>$C45</f>
        <v/>
      </c>
      <c r="H45" s="53">
        <f>$C45</f>
        <v/>
      </c>
      <c r="I45" s="53">
        <f>$C45</f>
        <v/>
      </c>
      <c r="J45" s="53">
        <f>$C45</f>
        <v/>
      </c>
      <c r="K45" s="53">
        <f>$C45</f>
        <v/>
      </c>
      <c r="L45" s="53">
        <f>$C45</f>
        <v/>
      </c>
      <c r="M45" s="53">
        <f>$C45</f>
        <v/>
      </c>
      <c r="N45" s="53">
        <f>$C45</f>
        <v/>
      </c>
      <c r="O45" s="53">
        <f>$C45</f>
        <v/>
      </c>
      <c r="P45" s="53">
        <f>$C45</f>
        <v/>
      </c>
      <c r="Q45" s="53">
        <f>$C45</f>
        <v/>
      </c>
      <c r="R45" s="53">
        <f>$C45</f>
        <v/>
      </c>
    </row>
    <row r="46">
      <c r="A46">
        <f>Quotes!A19</f>
        <v/>
      </c>
      <c r="B46" s="70">
        <f>Quotes!C19</f>
        <v/>
      </c>
      <c r="C46" s="53">
        <f>Quotes!B19</f>
        <v/>
      </c>
      <c r="D46" s="53">
        <f>$C46</f>
        <v/>
      </c>
      <c r="E46" s="53">
        <f>$C46</f>
        <v/>
      </c>
      <c r="F46" s="53">
        <f>$C46</f>
        <v/>
      </c>
      <c r="G46" s="53">
        <f>$C46</f>
        <v/>
      </c>
      <c r="H46" s="53">
        <f>$C46</f>
        <v/>
      </c>
      <c r="I46" s="53">
        <f>$C46</f>
        <v/>
      </c>
      <c r="J46" s="53">
        <f>$C46</f>
        <v/>
      </c>
      <c r="K46" s="53">
        <f>$C46</f>
        <v/>
      </c>
      <c r="L46" s="53">
        <f>$C46</f>
        <v/>
      </c>
      <c r="M46" s="53">
        <f>$C46</f>
        <v/>
      </c>
      <c r="N46" s="53">
        <f>$C46</f>
        <v/>
      </c>
      <c r="O46" s="53">
        <f>$C46</f>
        <v/>
      </c>
      <c r="P46" s="53">
        <f>$C46</f>
        <v/>
      </c>
      <c r="Q46" s="53">
        <f>$C46</f>
        <v/>
      </c>
      <c r="R46" s="53">
        <f>$C46</f>
        <v/>
      </c>
    </row>
    <row r="50">
      <c r="A50" s="51" t="inlineStr">
        <is>
          <t>Qtr</t>
        </is>
      </c>
      <c r="B50" s="51" t="inlineStr">
        <is>
          <t>Year</t>
        </is>
      </c>
      <c r="C50" s="51" t="inlineStr">
        <is>
          <t>m</t>
        </is>
      </c>
      <c r="D50" s="51" t="inlineStr">
        <is>
          <t>w</t>
        </is>
      </c>
      <c r="E50" s="51" t="inlineStr">
        <is>
          <t>Notional</t>
        </is>
      </c>
      <c r="G50" t="n">
        <v>1</v>
      </c>
      <c r="H50" t="n">
        <v>2</v>
      </c>
      <c r="I50" t="n">
        <v>3</v>
      </c>
      <c r="J50" t="n">
        <v>4</v>
      </c>
      <c r="K50" t="n">
        <v>5</v>
      </c>
      <c r="L50" t="n">
        <v>6</v>
      </c>
      <c r="M50" t="n">
        <v>7</v>
      </c>
      <c r="N50" t="n">
        <v>8</v>
      </c>
      <c r="O50" t="n">
        <v>9</v>
      </c>
      <c r="P50" t="n">
        <v>10</v>
      </c>
      <c r="Q50" t="n">
        <v>11</v>
      </c>
      <c r="R50" t="n">
        <v>12</v>
      </c>
      <c r="S50" t="n">
        <v>13</v>
      </c>
      <c r="T50" t="n">
        <v>14</v>
      </c>
      <c r="U50" t="n">
        <v>15</v>
      </c>
      <c r="X50" s="54" t="n">
        <v>1</v>
      </c>
      <c r="Y50" s="54" t="n">
        <v>1</v>
      </c>
      <c r="Z50" s="54" t="n">
        <v>1</v>
      </c>
      <c r="AA50" s="54" t="n">
        <v>1</v>
      </c>
      <c r="AB50" s="54" t="n">
        <v>1</v>
      </c>
      <c r="AC50" s="54" t="n">
        <v>1</v>
      </c>
      <c r="AD50" s="54" t="n">
        <v>1</v>
      </c>
      <c r="AE50" s="54" t="n">
        <v>1</v>
      </c>
      <c r="AF50" s="54" t="n">
        <v>1</v>
      </c>
      <c r="AG50" s="54" t="n">
        <v>1</v>
      </c>
      <c r="AH50" s="54" t="n">
        <v>1</v>
      </c>
      <c r="AI50" s="54" t="n">
        <v>1</v>
      </c>
      <c r="AJ50" s="54" t="n">
        <v>1</v>
      </c>
      <c r="AK50" s="54" t="n">
        <v>1</v>
      </c>
      <c r="AL50" s="54" t="n">
        <v>1</v>
      </c>
    </row>
    <row r="51">
      <c r="A51" t="n">
        <v>1</v>
      </c>
      <c r="B51" s="70">
        <f>A51*0.25</f>
        <v/>
      </c>
      <c r="C51">
        <f>MIN(MATCH(B51,$B$30:$B$46,1),16)</f>
        <v/>
      </c>
      <c r="D51">
        <f>(B51-INDEX($B$30:$B$46,C51))/(INDEX($B$30:$B$46,C51+1)-INDEX($B$30:$B$46,C51))</f>
        <v/>
      </c>
      <c r="E51" s="55">
        <f>'Amort-Set-up'!E20</f>
        <v/>
      </c>
      <c r="G51" s="53">
        <f>INDEX($D$30:$R$46,$C51,G$50)+$D51*(INDEX($D$30:$R$46,$C51+1,G$50)-INDEX($D$30:$R$46,$C51,G$50))</f>
        <v/>
      </c>
      <c r="H51" s="53">
        <f>INDEX($D$30:$R$46,$C51,H$50)+$D51*(INDEX($D$30:$R$46,$C51+1,H$50)-INDEX($D$30:$R$46,$C51,H$50))</f>
        <v/>
      </c>
      <c r="I51" s="53">
        <f>INDEX($D$30:$R$46,$C51,I$50)+$D51*(INDEX($D$30:$R$46,$C51+1,I$50)-INDEX($D$30:$R$46,$C51,I$50))</f>
        <v/>
      </c>
      <c r="J51" s="53">
        <f>INDEX($D$30:$R$46,$C51,J$50)+$D51*(INDEX($D$30:$R$46,$C51+1,J$50)-INDEX($D$30:$R$46,$C51,J$50))</f>
        <v/>
      </c>
      <c r="K51" s="53">
        <f>INDEX($D$30:$R$46,$C51,K$50)+$D51*(INDEX($D$30:$R$46,$C51+1,K$50)-INDEX($D$30:$R$46,$C51,K$50))</f>
        <v/>
      </c>
      <c r="L51" s="53">
        <f>INDEX($D$30:$R$46,$C51,L$50)+$D51*(INDEX($D$30:$R$46,$C51+1,L$50)-INDEX($D$30:$R$46,$C51,L$50))</f>
        <v/>
      </c>
      <c r="M51" s="53">
        <f>INDEX($D$30:$R$46,$C51,M$50)+$D51*(INDEX($D$30:$R$46,$C51+1,M$50)-INDEX($D$30:$R$46,$C51,M$50))</f>
        <v/>
      </c>
      <c r="N51" s="53">
        <f>INDEX($D$30:$R$46,$C51,N$50)+$D51*(INDEX($D$30:$R$46,$C51+1,N$50)-INDEX($D$30:$R$46,$C51,N$50))</f>
        <v/>
      </c>
      <c r="O51" s="53">
        <f>INDEX($D$30:$R$46,$C51,O$50)+$D51*(INDEX($D$30:$R$46,$C51+1,O$50)-INDEX($D$30:$R$46,$C51,O$50))</f>
        <v/>
      </c>
      <c r="P51" s="53">
        <f>INDEX($D$30:$R$46,$C51,P$50)+$D51*(INDEX($D$30:$R$46,$C51+1,P$50)-INDEX($D$30:$R$46,$C51,P$50))</f>
        <v/>
      </c>
      <c r="Q51" s="53">
        <f>INDEX($D$30:$R$46,$C51,Q$50)+$D51*(INDEX($D$30:$R$46,$C51+1,Q$50)-INDEX($D$30:$R$46,$C51,Q$50))</f>
        <v/>
      </c>
      <c r="R51" s="53">
        <f>INDEX($D$30:$R$46,$C51,R$50)+$D51*(INDEX($D$30:$R$46,$C51+1,R$50)-INDEX($D$30:$R$46,$C51,R$50))</f>
        <v/>
      </c>
      <c r="S51" s="53">
        <f>INDEX($D$30:$R$46,$C51,S$50)+$D51*(INDEX($D$30:$R$46,$C51+1,S$50)-INDEX($D$30:$R$46,$C51,S$50))</f>
        <v/>
      </c>
      <c r="T51" s="53">
        <f>INDEX($D$30:$R$46,$C51,T$50)+$D51*(INDEX($D$30:$R$46,$C51+1,T$50)-INDEX($D$30:$R$46,$C51,T$50))</f>
        <v/>
      </c>
      <c r="U51" s="53">
        <f>INDEX($D$30:$R$46,$C51,U$50)+$D51*(INDEX($D$30:$R$46,$C51+1,U$50)-INDEX($D$30:$R$46,$C51,U$50))</f>
        <v/>
      </c>
      <c r="X51" s="54">
        <f>1/(1+G51*Quotes!$B$2)</f>
        <v/>
      </c>
      <c r="Y51" s="54">
        <f>1/(1+H51*Quotes!$B$2)</f>
        <v/>
      </c>
      <c r="Z51" s="54">
        <f>1/(1+I51*Quotes!$B$2)</f>
        <v/>
      </c>
      <c r="AA51" s="54">
        <f>1/(1+J51*Quotes!$B$2)</f>
        <v/>
      </c>
      <c r="AB51" s="54">
        <f>1/(1+K51*Quotes!$B$2)</f>
        <v/>
      </c>
      <c r="AC51" s="54">
        <f>1/(1+L51*Quotes!$B$2)</f>
        <v/>
      </c>
      <c r="AD51" s="54">
        <f>1/(1+M51*Quotes!$B$2)</f>
        <v/>
      </c>
      <c r="AE51" s="54">
        <f>1/(1+N51*Quotes!$B$2)</f>
        <v/>
      </c>
      <c r="AF51" s="54">
        <f>1/(1+O51*Quotes!$B$2)</f>
        <v/>
      </c>
      <c r="AG51" s="54">
        <f>1/(1+P51*Quotes!$B$2)</f>
        <v/>
      </c>
      <c r="AH51" s="54">
        <f>1/(1+Q51*Quotes!$B$2)</f>
        <v/>
      </c>
      <c r="AI51" s="54">
        <f>1/(1+R51*Quotes!$B$2)</f>
        <v/>
      </c>
      <c r="AJ51" s="54">
        <f>1/(1+S51*Quotes!$B$2)</f>
        <v/>
      </c>
      <c r="AK51" s="54">
        <f>1/(1+T51*Quotes!$B$2)</f>
        <v/>
      </c>
      <c r="AL51" s="54">
        <f>1/(1+U51*Quotes!$B$2)</f>
        <v/>
      </c>
    </row>
    <row r="52">
      <c r="A52" t="n">
        <v>2</v>
      </c>
      <c r="B52" s="70">
        <f>A52*0.25</f>
        <v/>
      </c>
      <c r="C52">
        <f>MIN(MATCH(B52,$B$30:$B$46,1),16)</f>
        <v/>
      </c>
      <c r="D52">
        <f>(B52-INDEX($B$30:$B$46,C52))/(INDEX($B$30:$B$46,C52+1)-INDEX($B$30:$B$46,C52))</f>
        <v/>
      </c>
      <c r="E52" s="55">
        <f>'Amort-Set-up'!E21</f>
        <v/>
      </c>
      <c r="G52" s="53">
        <f>INDEX($D$30:$R$46,$C52,G$50)+$D52*(INDEX($D$30:$R$46,$C52+1,G$50)-INDEX($D$30:$R$46,$C52,G$50))</f>
        <v/>
      </c>
      <c r="H52" s="53">
        <f>INDEX($D$30:$R$46,$C52,H$50)+$D52*(INDEX($D$30:$R$46,$C52+1,H$50)-INDEX($D$30:$R$46,$C52,H$50))</f>
        <v/>
      </c>
      <c r="I52" s="53">
        <f>INDEX($D$30:$R$46,$C52,I$50)+$D52*(INDEX($D$30:$R$46,$C52+1,I$50)-INDEX($D$30:$R$46,$C52,I$50))</f>
        <v/>
      </c>
      <c r="J52" s="53">
        <f>INDEX($D$30:$R$46,$C52,J$50)+$D52*(INDEX($D$30:$R$46,$C52+1,J$50)-INDEX($D$30:$R$46,$C52,J$50))</f>
        <v/>
      </c>
      <c r="K52" s="53">
        <f>INDEX($D$30:$R$46,$C52,K$50)+$D52*(INDEX($D$30:$R$46,$C52+1,K$50)-INDEX($D$30:$R$46,$C52,K$50))</f>
        <v/>
      </c>
      <c r="L52" s="53">
        <f>INDEX($D$30:$R$46,$C52,L$50)+$D52*(INDEX($D$30:$R$46,$C52+1,L$50)-INDEX($D$30:$R$46,$C52,L$50))</f>
        <v/>
      </c>
      <c r="M52" s="53">
        <f>INDEX($D$30:$R$46,$C52,M$50)+$D52*(INDEX($D$30:$R$46,$C52+1,M$50)-INDEX($D$30:$R$46,$C52,M$50))</f>
        <v/>
      </c>
      <c r="N52" s="53">
        <f>INDEX($D$30:$R$46,$C52,N$50)+$D52*(INDEX($D$30:$R$46,$C52+1,N$50)-INDEX($D$30:$R$46,$C52,N$50))</f>
        <v/>
      </c>
      <c r="O52" s="53">
        <f>INDEX($D$30:$R$46,$C52,O$50)+$D52*(INDEX($D$30:$R$46,$C52+1,O$50)-INDEX($D$30:$R$46,$C52,O$50))</f>
        <v/>
      </c>
      <c r="P52" s="53">
        <f>INDEX($D$30:$R$46,$C52,P$50)+$D52*(INDEX($D$30:$R$46,$C52+1,P$50)-INDEX($D$30:$R$46,$C52,P$50))</f>
        <v/>
      </c>
      <c r="Q52" s="53">
        <f>INDEX($D$30:$R$46,$C52,Q$50)+$D52*(INDEX($D$30:$R$46,$C52+1,Q$50)-INDEX($D$30:$R$46,$C52,Q$50))</f>
        <v/>
      </c>
      <c r="R52" s="53">
        <f>INDEX($D$30:$R$46,$C52,R$50)+$D52*(INDEX($D$30:$R$46,$C52+1,R$50)-INDEX($D$30:$R$46,$C52,R$50))</f>
        <v/>
      </c>
      <c r="S52" s="53">
        <f>INDEX($D$30:$R$46,$C52,S$50)+$D52*(INDEX($D$30:$R$46,$C52+1,S$50)-INDEX($D$30:$R$46,$C52,S$50))</f>
        <v/>
      </c>
      <c r="T52" s="53">
        <f>INDEX($D$30:$R$46,$C52,T$50)+$D52*(INDEX($D$30:$R$46,$C52+1,T$50)-INDEX($D$30:$R$46,$C52,T$50))</f>
        <v/>
      </c>
      <c r="U52" s="53">
        <f>INDEX($D$30:$R$46,$C52,U$50)+$D52*(INDEX($D$30:$R$46,$C52+1,U$50)-INDEX($D$30:$R$46,$C52,U$50))</f>
        <v/>
      </c>
      <c r="X52" s="54">
        <f>(1-G52*Quotes!$B$2*SUM(X$51:X51))/(1+G52*Quotes!$B$2)</f>
        <v/>
      </c>
      <c r="Y52" s="54">
        <f>(1-H52*Quotes!$B$2*SUM(Y$51:Y51))/(1+H52*Quotes!$B$2)</f>
        <v/>
      </c>
      <c r="Z52" s="54">
        <f>(1-I52*Quotes!$B$2*SUM(Z$51:Z51))/(1+I52*Quotes!$B$2)</f>
        <v/>
      </c>
      <c r="AA52" s="54">
        <f>(1-J52*Quotes!$B$2*SUM(AA$51:AA51))/(1+J52*Quotes!$B$2)</f>
        <v/>
      </c>
      <c r="AB52" s="54">
        <f>(1-K52*Quotes!$B$2*SUM(AB$51:AB51))/(1+K52*Quotes!$B$2)</f>
        <v/>
      </c>
      <c r="AC52" s="54">
        <f>(1-L52*Quotes!$B$2*SUM(AC$51:AC51))/(1+L52*Quotes!$B$2)</f>
        <v/>
      </c>
      <c r="AD52" s="54">
        <f>(1-M52*Quotes!$B$2*SUM(AD$51:AD51))/(1+M52*Quotes!$B$2)</f>
        <v/>
      </c>
      <c r="AE52" s="54">
        <f>(1-N52*Quotes!$B$2*SUM(AE$51:AE51))/(1+N52*Quotes!$B$2)</f>
        <v/>
      </c>
      <c r="AF52" s="54">
        <f>(1-O52*Quotes!$B$2*SUM(AF$51:AF51))/(1+O52*Quotes!$B$2)</f>
        <v/>
      </c>
      <c r="AG52" s="54">
        <f>(1-P52*Quotes!$B$2*SUM(AG$51:AG51))/(1+P52*Quotes!$B$2)</f>
        <v/>
      </c>
      <c r="AH52" s="54">
        <f>(1-Q52*Quotes!$B$2*SUM(AH$51:AH51))/(1+Q52*Quotes!$B$2)</f>
        <v/>
      </c>
      <c r="AI52" s="54">
        <f>(1-R52*Quotes!$B$2*SUM(AI$51:AI51))/(1+R52*Quotes!$B$2)</f>
        <v/>
      </c>
      <c r="AJ52" s="54">
        <f>(1-S52*Quotes!$B$2*SUM(AJ$51:AJ51))/(1+S52*Quotes!$B$2)</f>
        <v/>
      </c>
      <c r="AK52" s="54">
        <f>(1-T52*Quotes!$B$2*SUM(AK$51:AK51))/(1+T52*Quotes!$B$2)</f>
        <v/>
      </c>
      <c r="AL52" s="54">
        <f>(1-U52*Quotes!$B$2*SUM(AL$51:AL51))/(1+U52*Quotes!$B$2)</f>
        <v/>
      </c>
    </row>
    <row r="53">
      <c r="A53" t="n">
        <v>3</v>
      </c>
      <c r="B53" s="70">
        <f>A53*0.25</f>
        <v/>
      </c>
      <c r="C53">
        <f>MIN(MATCH(B53,$B$30:$B$46,1),16)</f>
        <v/>
      </c>
      <c r="D53">
        <f>(B53-INDEX($B$30:$B$46,C53))/(INDEX($B$30:$B$46,C53+1)-INDEX($B$30:$B$46,C53))</f>
        <v/>
      </c>
      <c r="E53" s="55">
        <f>'Amort-Set-up'!E22</f>
        <v/>
      </c>
      <c r="G53" s="53">
        <f>INDEX($D$30:$R$46,$C53,G$50)+$D53*(INDEX($D$30:$R$46,$C53+1,G$50)-INDEX($D$30:$R$46,$C53,G$50))</f>
        <v/>
      </c>
      <c r="H53" s="53">
        <f>INDEX($D$30:$R$46,$C53,H$50)+$D53*(INDEX($D$30:$R$46,$C53+1,H$50)-INDEX($D$30:$R$46,$C53,H$50))</f>
        <v/>
      </c>
      <c r="I53" s="53">
        <f>INDEX($D$30:$R$46,$C53,I$50)+$D53*(INDEX($D$30:$R$46,$C53+1,I$50)-INDEX($D$30:$R$46,$C53,I$50))</f>
        <v/>
      </c>
      <c r="J53" s="53">
        <f>INDEX($D$30:$R$46,$C53,J$50)+$D53*(INDEX($D$30:$R$46,$C53+1,J$50)-INDEX($D$30:$R$46,$C53,J$50))</f>
        <v/>
      </c>
      <c r="K53" s="53">
        <f>INDEX($D$30:$R$46,$C53,K$50)+$D53*(INDEX($D$30:$R$46,$C53+1,K$50)-INDEX($D$30:$R$46,$C53,K$50))</f>
        <v/>
      </c>
      <c r="L53" s="53">
        <f>INDEX($D$30:$R$46,$C53,L$50)+$D53*(INDEX($D$30:$R$46,$C53+1,L$50)-INDEX($D$30:$R$46,$C53,L$50))</f>
        <v/>
      </c>
      <c r="M53" s="53">
        <f>INDEX($D$30:$R$46,$C53,M$50)+$D53*(INDEX($D$30:$R$46,$C53+1,M$50)-INDEX($D$30:$R$46,$C53,M$50))</f>
        <v/>
      </c>
      <c r="N53" s="53">
        <f>INDEX($D$30:$R$46,$C53,N$50)+$D53*(INDEX($D$30:$R$46,$C53+1,N$50)-INDEX($D$30:$R$46,$C53,N$50))</f>
        <v/>
      </c>
      <c r="O53" s="53">
        <f>INDEX($D$30:$R$46,$C53,O$50)+$D53*(INDEX($D$30:$R$46,$C53+1,O$50)-INDEX($D$30:$R$46,$C53,O$50))</f>
        <v/>
      </c>
      <c r="P53" s="53">
        <f>INDEX($D$30:$R$46,$C53,P$50)+$D53*(INDEX($D$30:$R$46,$C53+1,P$50)-INDEX($D$30:$R$46,$C53,P$50))</f>
        <v/>
      </c>
      <c r="Q53" s="53">
        <f>INDEX($D$30:$R$46,$C53,Q$50)+$D53*(INDEX($D$30:$R$46,$C53+1,Q$50)-INDEX($D$30:$R$46,$C53,Q$50))</f>
        <v/>
      </c>
      <c r="R53" s="53">
        <f>INDEX($D$30:$R$46,$C53,R$50)+$D53*(INDEX($D$30:$R$46,$C53+1,R$50)-INDEX($D$30:$R$46,$C53,R$50))</f>
        <v/>
      </c>
      <c r="S53" s="53">
        <f>INDEX($D$30:$R$46,$C53,S$50)+$D53*(INDEX($D$30:$R$46,$C53+1,S$50)-INDEX($D$30:$R$46,$C53,S$50))</f>
        <v/>
      </c>
      <c r="T53" s="53">
        <f>INDEX($D$30:$R$46,$C53,T$50)+$D53*(INDEX($D$30:$R$46,$C53+1,T$50)-INDEX($D$30:$R$46,$C53,T$50))</f>
        <v/>
      </c>
      <c r="U53" s="53">
        <f>INDEX($D$30:$R$46,$C53,U$50)+$D53*(INDEX($D$30:$R$46,$C53+1,U$50)-INDEX($D$30:$R$46,$C53,U$50))</f>
        <v/>
      </c>
      <c r="X53" s="54">
        <f>(1-G53*Quotes!$B$2*SUM(X$51:X52))/(1+G53*Quotes!$B$2)</f>
        <v/>
      </c>
      <c r="Y53" s="54">
        <f>(1-H53*Quotes!$B$2*SUM(Y$51:Y52))/(1+H53*Quotes!$B$2)</f>
        <v/>
      </c>
      <c r="Z53" s="54">
        <f>(1-I53*Quotes!$B$2*SUM(Z$51:Z52))/(1+I53*Quotes!$B$2)</f>
        <v/>
      </c>
      <c r="AA53" s="54">
        <f>(1-J53*Quotes!$B$2*SUM(AA$51:AA52))/(1+J53*Quotes!$B$2)</f>
        <v/>
      </c>
      <c r="AB53" s="54">
        <f>(1-K53*Quotes!$B$2*SUM(AB$51:AB52))/(1+K53*Quotes!$B$2)</f>
        <v/>
      </c>
      <c r="AC53" s="54">
        <f>(1-L53*Quotes!$B$2*SUM(AC$51:AC52))/(1+L53*Quotes!$B$2)</f>
        <v/>
      </c>
      <c r="AD53" s="54">
        <f>(1-M53*Quotes!$B$2*SUM(AD$51:AD52))/(1+M53*Quotes!$B$2)</f>
        <v/>
      </c>
      <c r="AE53" s="54">
        <f>(1-N53*Quotes!$B$2*SUM(AE$51:AE52))/(1+N53*Quotes!$B$2)</f>
        <v/>
      </c>
      <c r="AF53" s="54">
        <f>(1-O53*Quotes!$B$2*SUM(AF$51:AF52))/(1+O53*Quotes!$B$2)</f>
        <v/>
      </c>
      <c r="AG53" s="54">
        <f>(1-P53*Quotes!$B$2*SUM(AG$51:AG52))/(1+P53*Quotes!$B$2)</f>
        <v/>
      </c>
      <c r="AH53" s="54">
        <f>(1-Q53*Quotes!$B$2*SUM(AH$51:AH52))/(1+Q53*Quotes!$B$2)</f>
        <v/>
      </c>
      <c r="AI53" s="54">
        <f>(1-R53*Quotes!$B$2*SUM(AI$51:AI52))/(1+R53*Quotes!$B$2)</f>
        <v/>
      </c>
      <c r="AJ53" s="54">
        <f>(1-S53*Quotes!$B$2*SUM(AJ$51:AJ52))/(1+S53*Quotes!$B$2)</f>
        <v/>
      </c>
      <c r="AK53" s="54">
        <f>(1-T53*Quotes!$B$2*SUM(AK$51:AK52))/(1+T53*Quotes!$B$2)</f>
        <v/>
      </c>
      <c r="AL53" s="54">
        <f>(1-U53*Quotes!$B$2*SUM(AL$51:AL52))/(1+U53*Quotes!$B$2)</f>
        <v/>
      </c>
    </row>
    <row r="54">
      <c r="A54" t="n">
        <v>4</v>
      </c>
      <c r="B54" s="70">
        <f>A54*0.25</f>
        <v/>
      </c>
      <c r="C54">
        <f>MIN(MATCH(B54,$B$30:$B$46,1),16)</f>
        <v/>
      </c>
      <c r="D54">
        <f>(B54-INDEX($B$30:$B$46,C54))/(INDEX($B$30:$B$46,C54+1)-INDEX($B$30:$B$46,C54))</f>
        <v/>
      </c>
      <c r="E54" s="55">
        <f>'Amort-Set-up'!E23</f>
        <v/>
      </c>
      <c r="G54" s="53">
        <f>INDEX($D$30:$R$46,$C54,G$50)+$D54*(INDEX($D$30:$R$46,$C54+1,G$50)-INDEX($D$30:$R$46,$C54,G$50))</f>
        <v/>
      </c>
      <c r="H54" s="53">
        <f>INDEX($D$30:$R$46,$C54,H$50)+$D54*(INDEX($D$30:$R$46,$C54+1,H$50)-INDEX($D$30:$R$46,$C54,H$50))</f>
        <v/>
      </c>
      <c r="I54" s="53">
        <f>INDEX($D$30:$R$46,$C54,I$50)+$D54*(INDEX($D$30:$R$46,$C54+1,I$50)-INDEX($D$30:$R$46,$C54,I$50))</f>
        <v/>
      </c>
      <c r="J54" s="53">
        <f>INDEX($D$30:$R$46,$C54,J$50)+$D54*(INDEX($D$30:$R$46,$C54+1,J$50)-INDEX($D$30:$R$46,$C54,J$50))</f>
        <v/>
      </c>
      <c r="K54" s="53">
        <f>INDEX($D$30:$R$46,$C54,K$50)+$D54*(INDEX($D$30:$R$46,$C54+1,K$50)-INDEX($D$30:$R$46,$C54,K$50))</f>
        <v/>
      </c>
      <c r="L54" s="53">
        <f>INDEX($D$30:$R$46,$C54,L$50)+$D54*(INDEX($D$30:$R$46,$C54+1,L$50)-INDEX($D$30:$R$46,$C54,L$50))</f>
        <v/>
      </c>
      <c r="M54" s="53">
        <f>INDEX($D$30:$R$46,$C54,M$50)+$D54*(INDEX($D$30:$R$46,$C54+1,M$50)-INDEX($D$30:$R$46,$C54,M$50))</f>
        <v/>
      </c>
      <c r="N54" s="53">
        <f>INDEX($D$30:$R$46,$C54,N$50)+$D54*(INDEX($D$30:$R$46,$C54+1,N$50)-INDEX($D$30:$R$46,$C54,N$50))</f>
        <v/>
      </c>
      <c r="O54" s="53">
        <f>INDEX($D$30:$R$46,$C54,O$50)+$D54*(INDEX($D$30:$R$46,$C54+1,O$50)-INDEX($D$30:$R$46,$C54,O$50))</f>
        <v/>
      </c>
      <c r="P54" s="53">
        <f>INDEX($D$30:$R$46,$C54,P$50)+$D54*(INDEX($D$30:$R$46,$C54+1,P$50)-INDEX($D$30:$R$46,$C54,P$50))</f>
        <v/>
      </c>
      <c r="Q54" s="53">
        <f>INDEX($D$30:$R$46,$C54,Q$50)+$D54*(INDEX($D$30:$R$46,$C54+1,Q$50)-INDEX($D$30:$R$46,$C54,Q$50))</f>
        <v/>
      </c>
      <c r="R54" s="53">
        <f>INDEX($D$30:$R$46,$C54,R$50)+$D54*(INDEX($D$30:$R$46,$C54+1,R$50)-INDEX($D$30:$R$46,$C54,R$50))</f>
        <v/>
      </c>
      <c r="S54" s="53">
        <f>INDEX($D$30:$R$46,$C54,S$50)+$D54*(INDEX($D$30:$R$46,$C54+1,S$50)-INDEX($D$30:$R$46,$C54,S$50))</f>
        <v/>
      </c>
      <c r="T54" s="53">
        <f>INDEX($D$30:$R$46,$C54,T$50)+$D54*(INDEX($D$30:$R$46,$C54+1,T$50)-INDEX($D$30:$R$46,$C54,T$50))</f>
        <v/>
      </c>
      <c r="U54" s="53">
        <f>INDEX($D$30:$R$46,$C54,U$50)+$D54*(INDEX($D$30:$R$46,$C54+1,U$50)-INDEX($D$30:$R$46,$C54,U$50))</f>
        <v/>
      </c>
      <c r="X54" s="54">
        <f>(1-G54*Quotes!$B$2*SUM(X$51:X53))/(1+G54*Quotes!$B$2)</f>
        <v/>
      </c>
      <c r="Y54" s="54">
        <f>(1-H54*Quotes!$B$2*SUM(Y$51:Y53))/(1+H54*Quotes!$B$2)</f>
        <v/>
      </c>
      <c r="Z54" s="54">
        <f>(1-I54*Quotes!$B$2*SUM(Z$51:Z53))/(1+I54*Quotes!$B$2)</f>
        <v/>
      </c>
      <c r="AA54" s="54">
        <f>(1-J54*Quotes!$B$2*SUM(AA$51:AA53))/(1+J54*Quotes!$B$2)</f>
        <v/>
      </c>
      <c r="AB54" s="54">
        <f>(1-K54*Quotes!$B$2*SUM(AB$51:AB53))/(1+K54*Quotes!$B$2)</f>
        <v/>
      </c>
      <c r="AC54" s="54">
        <f>(1-L54*Quotes!$B$2*SUM(AC$51:AC53))/(1+L54*Quotes!$B$2)</f>
        <v/>
      </c>
      <c r="AD54" s="54">
        <f>(1-M54*Quotes!$B$2*SUM(AD$51:AD53))/(1+M54*Quotes!$B$2)</f>
        <v/>
      </c>
      <c r="AE54" s="54">
        <f>(1-N54*Quotes!$B$2*SUM(AE$51:AE53))/(1+N54*Quotes!$B$2)</f>
        <v/>
      </c>
      <c r="AF54" s="54">
        <f>(1-O54*Quotes!$B$2*SUM(AF$51:AF53))/(1+O54*Quotes!$B$2)</f>
        <v/>
      </c>
      <c r="AG54" s="54">
        <f>(1-P54*Quotes!$B$2*SUM(AG$51:AG53))/(1+P54*Quotes!$B$2)</f>
        <v/>
      </c>
      <c r="AH54" s="54">
        <f>(1-Q54*Quotes!$B$2*SUM(AH$51:AH53))/(1+Q54*Quotes!$B$2)</f>
        <v/>
      </c>
      <c r="AI54" s="54">
        <f>(1-R54*Quotes!$B$2*SUM(AI$51:AI53))/(1+R54*Quotes!$B$2)</f>
        <v/>
      </c>
      <c r="AJ54" s="54">
        <f>(1-S54*Quotes!$B$2*SUM(AJ$51:AJ53))/(1+S54*Quotes!$B$2)</f>
        <v/>
      </c>
      <c r="AK54" s="54">
        <f>(1-T54*Quotes!$B$2*SUM(AK$51:AK53))/(1+T54*Quotes!$B$2)</f>
        <v/>
      </c>
      <c r="AL54" s="54">
        <f>(1-U54*Quotes!$B$2*SUM(AL$51:AL53))/(1+U54*Quotes!$B$2)</f>
        <v/>
      </c>
    </row>
    <row r="55">
      <c r="A55" t="n">
        <v>5</v>
      </c>
      <c r="B55" s="70">
        <f>A55*0.25</f>
        <v/>
      </c>
      <c r="C55">
        <f>MIN(MATCH(B55,$B$30:$B$46,1),16)</f>
        <v/>
      </c>
      <c r="D55">
        <f>(B55-INDEX($B$30:$B$46,C55))/(INDEX($B$30:$B$46,C55+1)-INDEX($B$30:$B$46,C55))</f>
        <v/>
      </c>
      <c r="E55" s="55">
        <f>'Amort-Set-up'!E24</f>
        <v/>
      </c>
      <c r="G55" s="53">
        <f>INDEX($D$30:$R$46,$C55,G$50)+$D55*(INDEX($D$30:$R$46,$C55+1,G$50)-INDEX($D$30:$R$46,$C55,G$50))</f>
        <v/>
      </c>
      <c r="H55" s="53">
        <f>INDEX($D$30:$R$46,$C55,H$50)+$D55*(INDEX($D$30:$R$46,$C55+1,H$50)-INDEX($D$30:$R$46,$C55,H$50))</f>
        <v/>
      </c>
      <c r="I55" s="53">
        <f>INDEX($D$30:$R$46,$C55,I$50)+$D55*(INDEX($D$30:$R$46,$C55+1,I$50)-INDEX($D$30:$R$46,$C55,I$50))</f>
        <v/>
      </c>
      <c r="J55" s="53">
        <f>INDEX($D$30:$R$46,$C55,J$50)+$D55*(INDEX($D$30:$R$46,$C55+1,J$50)-INDEX($D$30:$R$46,$C55,J$50))</f>
        <v/>
      </c>
      <c r="K55" s="53">
        <f>INDEX($D$30:$R$46,$C55,K$50)+$D55*(INDEX($D$30:$R$46,$C55+1,K$50)-INDEX($D$30:$R$46,$C55,K$50))</f>
        <v/>
      </c>
      <c r="L55" s="53">
        <f>INDEX($D$30:$R$46,$C55,L$50)+$D55*(INDEX($D$30:$R$46,$C55+1,L$50)-INDEX($D$30:$R$46,$C55,L$50))</f>
        <v/>
      </c>
      <c r="M55" s="53">
        <f>INDEX($D$30:$R$46,$C55,M$50)+$D55*(INDEX($D$30:$R$46,$C55+1,M$50)-INDEX($D$30:$R$46,$C55,M$50))</f>
        <v/>
      </c>
      <c r="N55" s="53">
        <f>INDEX($D$30:$R$46,$C55,N$50)+$D55*(INDEX($D$30:$R$46,$C55+1,N$50)-INDEX($D$30:$R$46,$C55,N$50))</f>
        <v/>
      </c>
      <c r="O55" s="53">
        <f>INDEX($D$30:$R$46,$C55,O$50)+$D55*(INDEX($D$30:$R$46,$C55+1,O$50)-INDEX($D$30:$R$46,$C55,O$50))</f>
        <v/>
      </c>
      <c r="P55" s="53">
        <f>INDEX($D$30:$R$46,$C55,P$50)+$D55*(INDEX($D$30:$R$46,$C55+1,P$50)-INDEX($D$30:$R$46,$C55,P$50))</f>
        <v/>
      </c>
      <c r="Q55" s="53">
        <f>INDEX($D$30:$R$46,$C55,Q$50)+$D55*(INDEX($D$30:$R$46,$C55+1,Q$50)-INDEX($D$30:$R$46,$C55,Q$50))</f>
        <v/>
      </c>
      <c r="R55" s="53">
        <f>INDEX($D$30:$R$46,$C55,R$50)+$D55*(INDEX($D$30:$R$46,$C55+1,R$50)-INDEX($D$30:$R$46,$C55,R$50))</f>
        <v/>
      </c>
      <c r="S55" s="53">
        <f>INDEX($D$30:$R$46,$C55,S$50)+$D55*(INDEX($D$30:$R$46,$C55+1,S$50)-INDEX($D$30:$R$46,$C55,S$50))</f>
        <v/>
      </c>
      <c r="T55" s="53">
        <f>INDEX($D$30:$R$46,$C55,T$50)+$D55*(INDEX($D$30:$R$46,$C55+1,T$50)-INDEX($D$30:$R$46,$C55,T$50))</f>
        <v/>
      </c>
      <c r="U55" s="53">
        <f>INDEX($D$30:$R$46,$C55,U$50)+$D55*(INDEX($D$30:$R$46,$C55+1,U$50)-INDEX($D$30:$R$46,$C55,U$50))</f>
        <v/>
      </c>
      <c r="X55" s="54">
        <f>(1-G55*Quotes!$B$2*SUM(X$51:X54))/(1+G55*Quotes!$B$2)</f>
        <v/>
      </c>
      <c r="Y55" s="54">
        <f>(1-H55*Quotes!$B$2*SUM(Y$51:Y54))/(1+H55*Quotes!$B$2)</f>
        <v/>
      </c>
      <c r="Z55" s="54">
        <f>(1-I55*Quotes!$B$2*SUM(Z$51:Z54))/(1+I55*Quotes!$B$2)</f>
        <v/>
      </c>
      <c r="AA55" s="54">
        <f>(1-J55*Quotes!$B$2*SUM(AA$51:AA54))/(1+J55*Quotes!$B$2)</f>
        <v/>
      </c>
      <c r="AB55" s="54">
        <f>(1-K55*Quotes!$B$2*SUM(AB$51:AB54))/(1+K55*Quotes!$B$2)</f>
        <v/>
      </c>
      <c r="AC55" s="54">
        <f>(1-L55*Quotes!$B$2*SUM(AC$51:AC54))/(1+L55*Quotes!$B$2)</f>
        <v/>
      </c>
      <c r="AD55" s="54">
        <f>(1-M55*Quotes!$B$2*SUM(AD$51:AD54))/(1+M55*Quotes!$B$2)</f>
        <v/>
      </c>
      <c r="AE55" s="54">
        <f>(1-N55*Quotes!$B$2*SUM(AE$51:AE54))/(1+N55*Quotes!$B$2)</f>
        <v/>
      </c>
      <c r="AF55" s="54">
        <f>(1-O55*Quotes!$B$2*SUM(AF$51:AF54))/(1+O55*Quotes!$B$2)</f>
        <v/>
      </c>
      <c r="AG55" s="54">
        <f>(1-P55*Quotes!$B$2*SUM(AG$51:AG54))/(1+P55*Quotes!$B$2)</f>
        <v/>
      </c>
      <c r="AH55" s="54">
        <f>(1-Q55*Quotes!$B$2*SUM(AH$51:AH54))/(1+Q55*Quotes!$B$2)</f>
        <v/>
      </c>
      <c r="AI55" s="54">
        <f>(1-R55*Quotes!$B$2*SUM(AI$51:AI54))/(1+R55*Quotes!$B$2)</f>
        <v/>
      </c>
      <c r="AJ55" s="54">
        <f>(1-S55*Quotes!$B$2*SUM(AJ$51:AJ54))/(1+S55*Quotes!$B$2)</f>
        <v/>
      </c>
      <c r="AK55" s="54">
        <f>(1-T55*Quotes!$B$2*SUM(AK$51:AK54))/(1+T55*Quotes!$B$2)</f>
        <v/>
      </c>
      <c r="AL55" s="54">
        <f>(1-U55*Quotes!$B$2*SUM(AL$51:AL54))/(1+U55*Quotes!$B$2)</f>
        <v/>
      </c>
    </row>
    <row r="56">
      <c r="A56" t="n">
        <v>6</v>
      </c>
      <c r="B56" s="70">
        <f>A56*0.25</f>
        <v/>
      </c>
      <c r="C56">
        <f>MIN(MATCH(B56,$B$30:$B$46,1),16)</f>
        <v/>
      </c>
      <c r="D56">
        <f>(B56-INDEX($B$30:$B$46,C56))/(INDEX($B$30:$B$46,C56+1)-INDEX($B$30:$B$46,C56))</f>
        <v/>
      </c>
      <c r="E56" s="55">
        <f>'Amort-Set-up'!E25</f>
        <v/>
      </c>
      <c r="G56" s="53">
        <f>INDEX($D$30:$R$46,$C56,G$50)+$D56*(INDEX($D$30:$R$46,$C56+1,G$50)-INDEX($D$30:$R$46,$C56,G$50))</f>
        <v/>
      </c>
      <c r="H56" s="53">
        <f>INDEX($D$30:$R$46,$C56,H$50)+$D56*(INDEX($D$30:$R$46,$C56+1,H$50)-INDEX($D$30:$R$46,$C56,H$50))</f>
        <v/>
      </c>
      <c r="I56" s="53">
        <f>INDEX($D$30:$R$46,$C56,I$50)+$D56*(INDEX($D$30:$R$46,$C56+1,I$50)-INDEX($D$30:$R$46,$C56,I$50))</f>
        <v/>
      </c>
      <c r="J56" s="53">
        <f>INDEX($D$30:$R$46,$C56,J$50)+$D56*(INDEX($D$30:$R$46,$C56+1,J$50)-INDEX($D$30:$R$46,$C56,J$50))</f>
        <v/>
      </c>
      <c r="K56" s="53">
        <f>INDEX($D$30:$R$46,$C56,K$50)+$D56*(INDEX($D$30:$R$46,$C56+1,K$50)-INDEX($D$30:$R$46,$C56,K$50))</f>
        <v/>
      </c>
      <c r="L56" s="53">
        <f>INDEX($D$30:$R$46,$C56,L$50)+$D56*(INDEX($D$30:$R$46,$C56+1,L$50)-INDEX($D$30:$R$46,$C56,L$50))</f>
        <v/>
      </c>
      <c r="M56" s="53">
        <f>INDEX($D$30:$R$46,$C56,M$50)+$D56*(INDEX($D$30:$R$46,$C56+1,M$50)-INDEX($D$30:$R$46,$C56,M$50))</f>
        <v/>
      </c>
      <c r="N56" s="53">
        <f>INDEX($D$30:$R$46,$C56,N$50)+$D56*(INDEX($D$30:$R$46,$C56+1,N$50)-INDEX($D$30:$R$46,$C56,N$50))</f>
        <v/>
      </c>
      <c r="O56" s="53">
        <f>INDEX($D$30:$R$46,$C56,O$50)+$D56*(INDEX($D$30:$R$46,$C56+1,O$50)-INDEX($D$30:$R$46,$C56,O$50))</f>
        <v/>
      </c>
      <c r="P56" s="53">
        <f>INDEX($D$30:$R$46,$C56,P$50)+$D56*(INDEX($D$30:$R$46,$C56+1,P$50)-INDEX($D$30:$R$46,$C56,P$50))</f>
        <v/>
      </c>
      <c r="Q56" s="53">
        <f>INDEX($D$30:$R$46,$C56,Q$50)+$D56*(INDEX($D$30:$R$46,$C56+1,Q$50)-INDEX($D$30:$R$46,$C56,Q$50))</f>
        <v/>
      </c>
      <c r="R56" s="53">
        <f>INDEX($D$30:$R$46,$C56,R$50)+$D56*(INDEX($D$30:$R$46,$C56+1,R$50)-INDEX($D$30:$R$46,$C56,R$50))</f>
        <v/>
      </c>
      <c r="S56" s="53">
        <f>INDEX($D$30:$R$46,$C56,S$50)+$D56*(INDEX($D$30:$R$46,$C56+1,S$50)-INDEX($D$30:$R$46,$C56,S$50))</f>
        <v/>
      </c>
      <c r="T56" s="53">
        <f>INDEX($D$30:$R$46,$C56,T$50)+$D56*(INDEX($D$30:$R$46,$C56+1,T$50)-INDEX($D$30:$R$46,$C56,T$50))</f>
        <v/>
      </c>
      <c r="U56" s="53">
        <f>INDEX($D$30:$R$46,$C56,U$50)+$D56*(INDEX($D$30:$R$46,$C56+1,U$50)-INDEX($D$30:$R$46,$C56,U$50))</f>
        <v/>
      </c>
      <c r="X56" s="54">
        <f>(1-G56*Quotes!$B$2*SUM(X$51:X55))/(1+G56*Quotes!$B$2)</f>
        <v/>
      </c>
      <c r="Y56" s="54">
        <f>(1-H56*Quotes!$B$2*SUM(Y$51:Y55))/(1+H56*Quotes!$B$2)</f>
        <v/>
      </c>
      <c r="Z56" s="54">
        <f>(1-I56*Quotes!$B$2*SUM(Z$51:Z55))/(1+I56*Quotes!$B$2)</f>
        <v/>
      </c>
      <c r="AA56" s="54">
        <f>(1-J56*Quotes!$B$2*SUM(AA$51:AA55))/(1+J56*Quotes!$B$2)</f>
        <v/>
      </c>
      <c r="AB56" s="54">
        <f>(1-K56*Quotes!$B$2*SUM(AB$51:AB55))/(1+K56*Quotes!$B$2)</f>
        <v/>
      </c>
      <c r="AC56" s="54">
        <f>(1-L56*Quotes!$B$2*SUM(AC$51:AC55))/(1+L56*Quotes!$B$2)</f>
        <v/>
      </c>
      <c r="AD56" s="54">
        <f>(1-M56*Quotes!$B$2*SUM(AD$51:AD55))/(1+M56*Quotes!$B$2)</f>
        <v/>
      </c>
      <c r="AE56" s="54">
        <f>(1-N56*Quotes!$B$2*SUM(AE$51:AE55))/(1+N56*Quotes!$B$2)</f>
        <v/>
      </c>
      <c r="AF56" s="54">
        <f>(1-O56*Quotes!$B$2*SUM(AF$51:AF55))/(1+O56*Quotes!$B$2)</f>
        <v/>
      </c>
      <c r="AG56" s="54">
        <f>(1-P56*Quotes!$B$2*SUM(AG$51:AG55))/(1+P56*Quotes!$B$2)</f>
        <v/>
      </c>
      <c r="AH56" s="54">
        <f>(1-Q56*Quotes!$B$2*SUM(AH$51:AH55))/(1+Q56*Quotes!$B$2)</f>
        <v/>
      </c>
      <c r="AI56" s="54">
        <f>(1-R56*Quotes!$B$2*SUM(AI$51:AI55))/(1+R56*Quotes!$B$2)</f>
        <v/>
      </c>
      <c r="AJ56" s="54">
        <f>(1-S56*Quotes!$B$2*SUM(AJ$51:AJ55))/(1+S56*Quotes!$B$2)</f>
        <v/>
      </c>
      <c r="AK56" s="54">
        <f>(1-T56*Quotes!$B$2*SUM(AK$51:AK55))/(1+T56*Quotes!$B$2)</f>
        <v/>
      </c>
      <c r="AL56" s="54">
        <f>(1-U56*Quotes!$B$2*SUM(AL$51:AL55))/(1+U56*Quotes!$B$2)</f>
        <v/>
      </c>
    </row>
    <row r="57">
      <c r="A57" t="n">
        <v>7</v>
      </c>
      <c r="B57" s="70">
        <f>A57*0.25</f>
        <v/>
      </c>
      <c r="C57">
        <f>MIN(MATCH(B57,$B$30:$B$46,1),16)</f>
        <v/>
      </c>
      <c r="D57">
        <f>(B57-INDEX($B$30:$B$46,C57))/(INDEX($B$30:$B$46,C57+1)-INDEX($B$30:$B$46,C57))</f>
        <v/>
      </c>
      <c r="E57" s="55">
        <f>'Amort-Set-up'!E26</f>
        <v/>
      </c>
      <c r="G57" s="53">
        <f>INDEX($D$30:$R$46,$C57,G$50)+$D57*(INDEX($D$30:$R$46,$C57+1,G$50)-INDEX($D$30:$R$46,$C57,G$50))</f>
        <v/>
      </c>
      <c r="H57" s="53">
        <f>INDEX($D$30:$R$46,$C57,H$50)+$D57*(INDEX($D$30:$R$46,$C57+1,H$50)-INDEX($D$30:$R$46,$C57,H$50))</f>
        <v/>
      </c>
      <c r="I57" s="53">
        <f>INDEX($D$30:$R$46,$C57,I$50)+$D57*(INDEX($D$30:$R$46,$C57+1,I$50)-INDEX($D$30:$R$46,$C57,I$50))</f>
        <v/>
      </c>
      <c r="J57" s="53">
        <f>INDEX($D$30:$R$46,$C57,J$50)+$D57*(INDEX($D$30:$R$46,$C57+1,J$50)-INDEX($D$30:$R$46,$C57,J$50))</f>
        <v/>
      </c>
      <c r="K57" s="53">
        <f>INDEX($D$30:$R$46,$C57,K$50)+$D57*(INDEX($D$30:$R$46,$C57+1,K$50)-INDEX($D$30:$R$46,$C57,K$50))</f>
        <v/>
      </c>
      <c r="L57" s="53">
        <f>INDEX($D$30:$R$46,$C57,L$50)+$D57*(INDEX($D$30:$R$46,$C57+1,L$50)-INDEX($D$30:$R$46,$C57,L$50))</f>
        <v/>
      </c>
      <c r="M57" s="53">
        <f>INDEX($D$30:$R$46,$C57,M$50)+$D57*(INDEX($D$30:$R$46,$C57+1,M$50)-INDEX($D$30:$R$46,$C57,M$50))</f>
        <v/>
      </c>
      <c r="N57" s="53">
        <f>INDEX($D$30:$R$46,$C57,N$50)+$D57*(INDEX($D$30:$R$46,$C57+1,N$50)-INDEX($D$30:$R$46,$C57,N$50))</f>
        <v/>
      </c>
      <c r="O57" s="53">
        <f>INDEX($D$30:$R$46,$C57,O$50)+$D57*(INDEX($D$30:$R$46,$C57+1,O$50)-INDEX($D$30:$R$46,$C57,O$50))</f>
        <v/>
      </c>
      <c r="P57" s="53">
        <f>INDEX($D$30:$R$46,$C57,P$50)+$D57*(INDEX($D$30:$R$46,$C57+1,P$50)-INDEX($D$30:$R$46,$C57,P$50))</f>
        <v/>
      </c>
      <c r="Q57" s="53">
        <f>INDEX($D$30:$R$46,$C57,Q$50)+$D57*(INDEX($D$30:$R$46,$C57+1,Q$50)-INDEX($D$30:$R$46,$C57,Q$50))</f>
        <v/>
      </c>
      <c r="R57" s="53">
        <f>INDEX($D$30:$R$46,$C57,R$50)+$D57*(INDEX($D$30:$R$46,$C57+1,R$50)-INDEX($D$30:$R$46,$C57,R$50))</f>
        <v/>
      </c>
      <c r="S57" s="53">
        <f>INDEX($D$30:$R$46,$C57,S$50)+$D57*(INDEX($D$30:$R$46,$C57+1,S$50)-INDEX($D$30:$R$46,$C57,S$50))</f>
        <v/>
      </c>
      <c r="T57" s="53">
        <f>INDEX($D$30:$R$46,$C57,T$50)+$D57*(INDEX($D$30:$R$46,$C57+1,T$50)-INDEX($D$30:$R$46,$C57,T$50))</f>
        <v/>
      </c>
      <c r="U57" s="53">
        <f>INDEX($D$30:$R$46,$C57,U$50)+$D57*(INDEX($D$30:$R$46,$C57+1,U$50)-INDEX($D$30:$R$46,$C57,U$50))</f>
        <v/>
      </c>
      <c r="X57" s="54">
        <f>(1-G57*Quotes!$B$2*SUM(X$51:X56))/(1+G57*Quotes!$B$2)</f>
        <v/>
      </c>
      <c r="Y57" s="54">
        <f>(1-H57*Quotes!$B$2*SUM(Y$51:Y56))/(1+H57*Quotes!$B$2)</f>
        <v/>
      </c>
      <c r="Z57" s="54">
        <f>(1-I57*Quotes!$B$2*SUM(Z$51:Z56))/(1+I57*Quotes!$B$2)</f>
        <v/>
      </c>
      <c r="AA57" s="54">
        <f>(1-J57*Quotes!$B$2*SUM(AA$51:AA56))/(1+J57*Quotes!$B$2)</f>
        <v/>
      </c>
      <c r="AB57" s="54">
        <f>(1-K57*Quotes!$B$2*SUM(AB$51:AB56))/(1+K57*Quotes!$B$2)</f>
        <v/>
      </c>
      <c r="AC57" s="54">
        <f>(1-L57*Quotes!$B$2*SUM(AC$51:AC56))/(1+L57*Quotes!$B$2)</f>
        <v/>
      </c>
      <c r="AD57" s="54">
        <f>(1-M57*Quotes!$B$2*SUM(AD$51:AD56))/(1+M57*Quotes!$B$2)</f>
        <v/>
      </c>
      <c r="AE57" s="54">
        <f>(1-N57*Quotes!$B$2*SUM(AE$51:AE56))/(1+N57*Quotes!$B$2)</f>
        <v/>
      </c>
      <c r="AF57" s="54">
        <f>(1-O57*Quotes!$B$2*SUM(AF$51:AF56))/(1+O57*Quotes!$B$2)</f>
        <v/>
      </c>
      <c r="AG57" s="54">
        <f>(1-P57*Quotes!$B$2*SUM(AG$51:AG56))/(1+P57*Quotes!$B$2)</f>
        <v/>
      </c>
      <c r="AH57" s="54">
        <f>(1-Q57*Quotes!$B$2*SUM(AH$51:AH56))/(1+Q57*Quotes!$B$2)</f>
        <v/>
      </c>
      <c r="AI57" s="54">
        <f>(1-R57*Quotes!$B$2*SUM(AI$51:AI56))/(1+R57*Quotes!$B$2)</f>
        <v/>
      </c>
      <c r="AJ57" s="54">
        <f>(1-S57*Quotes!$B$2*SUM(AJ$51:AJ56))/(1+S57*Quotes!$B$2)</f>
        <v/>
      </c>
      <c r="AK57" s="54">
        <f>(1-T57*Quotes!$B$2*SUM(AK$51:AK56))/(1+T57*Quotes!$B$2)</f>
        <v/>
      </c>
      <c r="AL57" s="54">
        <f>(1-U57*Quotes!$B$2*SUM(AL$51:AL56))/(1+U57*Quotes!$B$2)</f>
        <v/>
      </c>
    </row>
    <row r="58">
      <c r="A58" t="n">
        <v>8</v>
      </c>
      <c r="B58" s="70">
        <f>A58*0.25</f>
        <v/>
      </c>
      <c r="C58">
        <f>MIN(MATCH(B58,$B$30:$B$46,1),16)</f>
        <v/>
      </c>
      <c r="D58">
        <f>(B58-INDEX($B$30:$B$46,C58))/(INDEX($B$30:$B$46,C58+1)-INDEX($B$30:$B$46,C58))</f>
        <v/>
      </c>
      <c r="E58" s="55">
        <f>'Amort-Set-up'!E27</f>
        <v/>
      </c>
      <c r="G58" s="53">
        <f>INDEX($D$30:$R$46,$C58,G$50)+$D58*(INDEX($D$30:$R$46,$C58+1,G$50)-INDEX($D$30:$R$46,$C58,G$50))</f>
        <v/>
      </c>
      <c r="H58" s="53">
        <f>INDEX($D$30:$R$46,$C58,H$50)+$D58*(INDEX($D$30:$R$46,$C58+1,H$50)-INDEX($D$30:$R$46,$C58,H$50))</f>
        <v/>
      </c>
      <c r="I58" s="53">
        <f>INDEX($D$30:$R$46,$C58,I$50)+$D58*(INDEX($D$30:$R$46,$C58+1,I$50)-INDEX($D$30:$R$46,$C58,I$50))</f>
        <v/>
      </c>
      <c r="J58" s="53">
        <f>INDEX($D$30:$R$46,$C58,J$50)+$D58*(INDEX($D$30:$R$46,$C58+1,J$50)-INDEX($D$30:$R$46,$C58,J$50))</f>
        <v/>
      </c>
      <c r="K58" s="53">
        <f>INDEX($D$30:$R$46,$C58,K$50)+$D58*(INDEX($D$30:$R$46,$C58+1,K$50)-INDEX($D$30:$R$46,$C58,K$50))</f>
        <v/>
      </c>
      <c r="L58" s="53">
        <f>INDEX($D$30:$R$46,$C58,L$50)+$D58*(INDEX($D$30:$R$46,$C58+1,L$50)-INDEX($D$30:$R$46,$C58,L$50))</f>
        <v/>
      </c>
      <c r="M58" s="53">
        <f>INDEX($D$30:$R$46,$C58,M$50)+$D58*(INDEX($D$30:$R$46,$C58+1,M$50)-INDEX($D$30:$R$46,$C58,M$50))</f>
        <v/>
      </c>
      <c r="N58" s="53">
        <f>INDEX($D$30:$R$46,$C58,N$50)+$D58*(INDEX($D$30:$R$46,$C58+1,N$50)-INDEX($D$30:$R$46,$C58,N$50))</f>
        <v/>
      </c>
      <c r="O58" s="53">
        <f>INDEX($D$30:$R$46,$C58,O$50)+$D58*(INDEX($D$30:$R$46,$C58+1,O$50)-INDEX($D$30:$R$46,$C58,O$50))</f>
        <v/>
      </c>
      <c r="P58" s="53">
        <f>INDEX($D$30:$R$46,$C58,P$50)+$D58*(INDEX($D$30:$R$46,$C58+1,P$50)-INDEX($D$30:$R$46,$C58,P$50))</f>
        <v/>
      </c>
      <c r="Q58" s="53">
        <f>INDEX($D$30:$R$46,$C58,Q$50)+$D58*(INDEX($D$30:$R$46,$C58+1,Q$50)-INDEX($D$30:$R$46,$C58,Q$50))</f>
        <v/>
      </c>
      <c r="R58" s="53">
        <f>INDEX($D$30:$R$46,$C58,R$50)+$D58*(INDEX($D$30:$R$46,$C58+1,R$50)-INDEX($D$30:$R$46,$C58,R$50))</f>
        <v/>
      </c>
      <c r="S58" s="53">
        <f>INDEX($D$30:$R$46,$C58,S$50)+$D58*(INDEX($D$30:$R$46,$C58+1,S$50)-INDEX($D$30:$R$46,$C58,S$50))</f>
        <v/>
      </c>
      <c r="T58" s="53">
        <f>INDEX($D$30:$R$46,$C58,T$50)+$D58*(INDEX($D$30:$R$46,$C58+1,T$50)-INDEX($D$30:$R$46,$C58,T$50))</f>
        <v/>
      </c>
      <c r="U58" s="53">
        <f>INDEX($D$30:$R$46,$C58,U$50)+$D58*(INDEX($D$30:$R$46,$C58+1,U$50)-INDEX($D$30:$R$46,$C58,U$50))</f>
        <v/>
      </c>
      <c r="X58" s="54">
        <f>(1-G58*Quotes!$B$2*SUM(X$51:X57))/(1+G58*Quotes!$B$2)</f>
        <v/>
      </c>
      <c r="Y58" s="54">
        <f>(1-H58*Quotes!$B$2*SUM(Y$51:Y57))/(1+H58*Quotes!$B$2)</f>
        <v/>
      </c>
      <c r="Z58" s="54">
        <f>(1-I58*Quotes!$B$2*SUM(Z$51:Z57))/(1+I58*Quotes!$B$2)</f>
        <v/>
      </c>
      <c r="AA58" s="54">
        <f>(1-J58*Quotes!$B$2*SUM(AA$51:AA57))/(1+J58*Quotes!$B$2)</f>
        <v/>
      </c>
      <c r="AB58" s="54">
        <f>(1-K58*Quotes!$B$2*SUM(AB$51:AB57))/(1+K58*Quotes!$B$2)</f>
        <v/>
      </c>
      <c r="AC58" s="54">
        <f>(1-L58*Quotes!$B$2*SUM(AC$51:AC57))/(1+L58*Quotes!$B$2)</f>
        <v/>
      </c>
      <c r="AD58" s="54">
        <f>(1-M58*Quotes!$B$2*SUM(AD$51:AD57))/(1+M58*Quotes!$B$2)</f>
        <v/>
      </c>
      <c r="AE58" s="54">
        <f>(1-N58*Quotes!$B$2*SUM(AE$51:AE57))/(1+N58*Quotes!$B$2)</f>
        <v/>
      </c>
      <c r="AF58" s="54">
        <f>(1-O58*Quotes!$B$2*SUM(AF$51:AF57))/(1+O58*Quotes!$B$2)</f>
        <v/>
      </c>
      <c r="AG58" s="54">
        <f>(1-P58*Quotes!$B$2*SUM(AG$51:AG57))/(1+P58*Quotes!$B$2)</f>
        <v/>
      </c>
      <c r="AH58" s="54">
        <f>(1-Q58*Quotes!$B$2*SUM(AH$51:AH57))/(1+Q58*Quotes!$B$2)</f>
        <v/>
      </c>
      <c r="AI58" s="54">
        <f>(1-R58*Quotes!$B$2*SUM(AI$51:AI57))/(1+R58*Quotes!$B$2)</f>
        <v/>
      </c>
      <c r="AJ58" s="54">
        <f>(1-S58*Quotes!$B$2*SUM(AJ$51:AJ57))/(1+S58*Quotes!$B$2)</f>
        <v/>
      </c>
      <c r="AK58" s="54">
        <f>(1-T58*Quotes!$B$2*SUM(AK$51:AK57))/(1+T58*Quotes!$B$2)</f>
        <v/>
      </c>
      <c r="AL58" s="54">
        <f>(1-U58*Quotes!$B$2*SUM(AL$51:AL57))/(1+U58*Quotes!$B$2)</f>
        <v/>
      </c>
    </row>
    <row r="59">
      <c r="A59" t="n">
        <v>9</v>
      </c>
      <c r="B59" s="70">
        <f>A59*0.25</f>
        <v/>
      </c>
      <c r="C59">
        <f>MIN(MATCH(B59,$B$30:$B$46,1),16)</f>
        <v/>
      </c>
      <c r="D59">
        <f>(B59-INDEX($B$30:$B$46,C59))/(INDEX($B$30:$B$46,C59+1)-INDEX($B$30:$B$46,C59))</f>
        <v/>
      </c>
      <c r="E59" s="55">
        <f>'Amort-Set-up'!E28</f>
        <v/>
      </c>
      <c r="G59" s="53">
        <f>INDEX($D$30:$R$46,$C59,G$50)+$D59*(INDEX($D$30:$R$46,$C59+1,G$50)-INDEX($D$30:$R$46,$C59,G$50))</f>
        <v/>
      </c>
      <c r="H59" s="53">
        <f>INDEX($D$30:$R$46,$C59,H$50)+$D59*(INDEX($D$30:$R$46,$C59+1,H$50)-INDEX($D$30:$R$46,$C59,H$50))</f>
        <v/>
      </c>
      <c r="I59" s="53">
        <f>INDEX($D$30:$R$46,$C59,I$50)+$D59*(INDEX($D$30:$R$46,$C59+1,I$50)-INDEX($D$30:$R$46,$C59,I$50))</f>
        <v/>
      </c>
      <c r="J59" s="53">
        <f>INDEX($D$30:$R$46,$C59,J$50)+$D59*(INDEX($D$30:$R$46,$C59+1,J$50)-INDEX($D$30:$R$46,$C59,J$50))</f>
        <v/>
      </c>
      <c r="K59" s="53">
        <f>INDEX($D$30:$R$46,$C59,K$50)+$D59*(INDEX($D$30:$R$46,$C59+1,K$50)-INDEX($D$30:$R$46,$C59,K$50))</f>
        <v/>
      </c>
      <c r="L59" s="53">
        <f>INDEX($D$30:$R$46,$C59,L$50)+$D59*(INDEX($D$30:$R$46,$C59+1,L$50)-INDEX($D$30:$R$46,$C59,L$50))</f>
        <v/>
      </c>
      <c r="M59" s="53">
        <f>INDEX($D$30:$R$46,$C59,M$50)+$D59*(INDEX($D$30:$R$46,$C59+1,M$50)-INDEX($D$30:$R$46,$C59,M$50))</f>
        <v/>
      </c>
      <c r="N59" s="53">
        <f>INDEX($D$30:$R$46,$C59,N$50)+$D59*(INDEX($D$30:$R$46,$C59+1,N$50)-INDEX($D$30:$R$46,$C59,N$50))</f>
        <v/>
      </c>
      <c r="O59" s="53">
        <f>INDEX($D$30:$R$46,$C59,O$50)+$D59*(INDEX($D$30:$R$46,$C59+1,O$50)-INDEX($D$30:$R$46,$C59,O$50))</f>
        <v/>
      </c>
      <c r="P59" s="53">
        <f>INDEX($D$30:$R$46,$C59,P$50)+$D59*(INDEX($D$30:$R$46,$C59+1,P$50)-INDEX($D$30:$R$46,$C59,P$50))</f>
        <v/>
      </c>
      <c r="Q59" s="53">
        <f>INDEX($D$30:$R$46,$C59,Q$50)+$D59*(INDEX($D$30:$R$46,$C59+1,Q$50)-INDEX($D$30:$R$46,$C59,Q$50))</f>
        <v/>
      </c>
      <c r="R59" s="53">
        <f>INDEX($D$30:$R$46,$C59,R$50)+$D59*(INDEX($D$30:$R$46,$C59+1,R$50)-INDEX($D$30:$R$46,$C59,R$50))</f>
        <v/>
      </c>
      <c r="S59" s="53">
        <f>INDEX($D$30:$R$46,$C59,S$50)+$D59*(INDEX($D$30:$R$46,$C59+1,S$50)-INDEX($D$30:$R$46,$C59,S$50))</f>
        <v/>
      </c>
      <c r="T59" s="53">
        <f>INDEX($D$30:$R$46,$C59,T$50)+$D59*(INDEX($D$30:$R$46,$C59+1,T$50)-INDEX($D$30:$R$46,$C59,T$50))</f>
        <v/>
      </c>
      <c r="U59" s="53">
        <f>INDEX($D$30:$R$46,$C59,U$50)+$D59*(INDEX($D$30:$R$46,$C59+1,U$50)-INDEX($D$30:$R$46,$C59,U$50))</f>
        <v/>
      </c>
      <c r="X59" s="54">
        <f>(1-G59*Quotes!$B$2*SUM(X$51:X58))/(1+G59*Quotes!$B$2)</f>
        <v/>
      </c>
      <c r="Y59" s="54">
        <f>(1-H59*Quotes!$B$2*SUM(Y$51:Y58))/(1+H59*Quotes!$B$2)</f>
        <v/>
      </c>
      <c r="Z59" s="54">
        <f>(1-I59*Quotes!$B$2*SUM(Z$51:Z58))/(1+I59*Quotes!$B$2)</f>
        <v/>
      </c>
      <c r="AA59" s="54">
        <f>(1-J59*Quotes!$B$2*SUM(AA$51:AA58))/(1+J59*Quotes!$B$2)</f>
        <v/>
      </c>
      <c r="AB59" s="54">
        <f>(1-K59*Quotes!$B$2*SUM(AB$51:AB58))/(1+K59*Quotes!$B$2)</f>
        <v/>
      </c>
      <c r="AC59" s="54">
        <f>(1-L59*Quotes!$B$2*SUM(AC$51:AC58))/(1+L59*Quotes!$B$2)</f>
        <v/>
      </c>
      <c r="AD59" s="54">
        <f>(1-M59*Quotes!$B$2*SUM(AD$51:AD58))/(1+M59*Quotes!$B$2)</f>
        <v/>
      </c>
      <c r="AE59" s="54">
        <f>(1-N59*Quotes!$B$2*SUM(AE$51:AE58))/(1+N59*Quotes!$B$2)</f>
        <v/>
      </c>
      <c r="AF59" s="54">
        <f>(1-O59*Quotes!$B$2*SUM(AF$51:AF58))/(1+O59*Quotes!$B$2)</f>
        <v/>
      </c>
      <c r="AG59" s="54">
        <f>(1-P59*Quotes!$B$2*SUM(AG$51:AG58))/(1+P59*Quotes!$B$2)</f>
        <v/>
      </c>
      <c r="AH59" s="54">
        <f>(1-Q59*Quotes!$B$2*SUM(AH$51:AH58))/(1+Q59*Quotes!$B$2)</f>
        <v/>
      </c>
      <c r="AI59" s="54">
        <f>(1-R59*Quotes!$B$2*SUM(AI$51:AI58))/(1+R59*Quotes!$B$2)</f>
        <v/>
      </c>
      <c r="AJ59" s="54">
        <f>(1-S59*Quotes!$B$2*SUM(AJ$51:AJ58))/(1+S59*Quotes!$B$2)</f>
        <v/>
      </c>
      <c r="AK59" s="54">
        <f>(1-T59*Quotes!$B$2*SUM(AK$51:AK58))/(1+T59*Quotes!$B$2)</f>
        <v/>
      </c>
      <c r="AL59" s="54">
        <f>(1-U59*Quotes!$B$2*SUM(AL$51:AL58))/(1+U59*Quotes!$B$2)</f>
        <v/>
      </c>
    </row>
    <row r="60">
      <c r="A60" t="n">
        <v>10</v>
      </c>
      <c r="B60" s="70">
        <f>A60*0.25</f>
        <v/>
      </c>
      <c r="C60">
        <f>MIN(MATCH(B60,$B$30:$B$46,1),16)</f>
        <v/>
      </c>
      <c r="D60">
        <f>(B60-INDEX($B$30:$B$46,C60))/(INDEX($B$30:$B$46,C60+1)-INDEX($B$30:$B$46,C60))</f>
        <v/>
      </c>
      <c r="E60" s="55">
        <f>'Amort-Set-up'!E29</f>
        <v/>
      </c>
      <c r="G60" s="53">
        <f>INDEX($D$30:$R$46,$C60,G$50)+$D60*(INDEX($D$30:$R$46,$C60+1,G$50)-INDEX($D$30:$R$46,$C60,G$50))</f>
        <v/>
      </c>
      <c r="H60" s="53">
        <f>INDEX($D$30:$R$46,$C60,H$50)+$D60*(INDEX($D$30:$R$46,$C60+1,H$50)-INDEX($D$30:$R$46,$C60,H$50))</f>
        <v/>
      </c>
      <c r="I60" s="53">
        <f>INDEX($D$30:$R$46,$C60,I$50)+$D60*(INDEX($D$30:$R$46,$C60+1,I$50)-INDEX($D$30:$R$46,$C60,I$50))</f>
        <v/>
      </c>
      <c r="J60" s="53">
        <f>INDEX($D$30:$R$46,$C60,J$50)+$D60*(INDEX($D$30:$R$46,$C60+1,J$50)-INDEX($D$30:$R$46,$C60,J$50))</f>
        <v/>
      </c>
      <c r="K60" s="53">
        <f>INDEX($D$30:$R$46,$C60,K$50)+$D60*(INDEX($D$30:$R$46,$C60+1,K$50)-INDEX($D$30:$R$46,$C60,K$50))</f>
        <v/>
      </c>
      <c r="L60" s="53">
        <f>INDEX($D$30:$R$46,$C60,L$50)+$D60*(INDEX($D$30:$R$46,$C60+1,L$50)-INDEX($D$30:$R$46,$C60,L$50))</f>
        <v/>
      </c>
      <c r="M60" s="53">
        <f>INDEX($D$30:$R$46,$C60,M$50)+$D60*(INDEX($D$30:$R$46,$C60+1,M$50)-INDEX($D$30:$R$46,$C60,M$50))</f>
        <v/>
      </c>
      <c r="N60" s="53">
        <f>INDEX($D$30:$R$46,$C60,N$50)+$D60*(INDEX($D$30:$R$46,$C60+1,N$50)-INDEX($D$30:$R$46,$C60,N$50))</f>
        <v/>
      </c>
      <c r="O60" s="53">
        <f>INDEX($D$30:$R$46,$C60,O$50)+$D60*(INDEX($D$30:$R$46,$C60+1,O$50)-INDEX($D$30:$R$46,$C60,O$50))</f>
        <v/>
      </c>
      <c r="P60" s="53">
        <f>INDEX($D$30:$R$46,$C60,P$50)+$D60*(INDEX($D$30:$R$46,$C60+1,P$50)-INDEX($D$30:$R$46,$C60,P$50))</f>
        <v/>
      </c>
      <c r="Q60" s="53">
        <f>INDEX($D$30:$R$46,$C60,Q$50)+$D60*(INDEX($D$30:$R$46,$C60+1,Q$50)-INDEX($D$30:$R$46,$C60,Q$50))</f>
        <v/>
      </c>
      <c r="R60" s="53">
        <f>INDEX($D$30:$R$46,$C60,R$50)+$D60*(INDEX($D$30:$R$46,$C60+1,R$50)-INDEX($D$30:$R$46,$C60,R$50))</f>
        <v/>
      </c>
      <c r="S60" s="53">
        <f>INDEX($D$30:$R$46,$C60,S$50)+$D60*(INDEX($D$30:$R$46,$C60+1,S$50)-INDEX($D$30:$R$46,$C60,S$50))</f>
        <v/>
      </c>
      <c r="T60" s="53">
        <f>INDEX($D$30:$R$46,$C60,T$50)+$D60*(INDEX($D$30:$R$46,$C60+1,T$50)-INDEX($D$30:$R$46,$C60,T$50))</f>
        <v/>
      </c>
      <c r="U60" s="53">
        <f>INDEX($D$30:$R$46,$C60,U$50)+$D60*(INDEX($D$30:$R$46,$C60+1,U$50)-INDEX($D$30:$R$46,$C60,U$50))</f>
        <v/>
      </c>
      <c r="X60" s="54">
        <f>(1-G60*Quotes!$B$2*SUM(X$51:X59))/(1+G60*Quotes!$B$2)</f>
        <v/>
      </c>
      <c r="Y60" s="54">
        <f>(1-H60*Quotes!$B$2*SUM(Y$51:Y59))/(1+H60*Quotes!$B$2)</f>
        <v/>
      </c>
      <c r="Z60" s="54">
        <f>(1-I60*Quotes!$B$2*SUM(Z$51:Z59))/(1+I60*Quotes!$B$2)</f>
        <v/>
      </c>
      <c r="AA60" s="54">
        <f>(1-J60*Quotes!$B$2*SUM(AA$51:AA59))/(1+J60*Quotes!$B$2)</f>
        <v/>
      </c>
      <c r="AB60" s="54">
        <f>(1-K60*Quotes!$B$2*SUM(AB$51:AB59))/(1+K60*Quotes!$B$2)</f>
        <v/>
      </c>
      <c r="AC60" s="54">
        <f>(1-L60*Quotes!$B$2*SUM(AC$51:AC59))/(1+L60*Quotes!$B$2)</f>
        <v/>
      </c>
      <c r="AD60" s="54">
        <f>(1-M60*Quotes!$B$2*SUM(AD$51:AD59))/(1+M60*Quotes!$B$2)</f>
        <v/>
      </c>
      <c r="AE60" s="54">
        <f>(1-N60*Quotes!$B$2*SUM(AE$51:AE59))/(1+N60*Quotes!$B$2)</f>
        <v/>
      </c>
      <c r="AF60" s="54">
        <f>(1-O60*Quotes!$B$2*SUM(AF$51:AF59))/(1+O60*Quotes!$B$2)</f>
        <v/>
      </c>
      <c r="AG60" s="54">
        <f>(1-P60*Quotes!$B$2*SUM(AG$51:AG59))/(1+P60*Quotes!$B$2)</f>
        <v/>
      </c>
      <c r="AH60" s="54">
        <f>(1-Q60*Quotes!$B$2*SUM(AH$51:AH59))/(1+Q60*Quotes!$B$2)</f>
        <v/>
      </c>
      <c r="AI60" s="54">
        <f>(1-R60*Quotes!$B$2*SUM(AI$51:AI59))/(1+R60*Quotes!$B$2)</f>
        <v/>
      </c>
      <c r="AJ60" s="54">
        <f>(1-S60*Quotes!$B$2*SUM(AJ$51:AJ59))/(1+S60*Quotes!$B$2)</f>
        <v/>
      </c>
      <c r="AK60" s="54">
        <f>(1-T60*Quotes!$B$2*SUM(AK$51:AK59))/(1+T60*Quotes!$B$2)</f>
        <v/>
      </c>
      <c r="AL60" s="54">
        <f>(1-U60*Quotes!$B$2*SUM(AL$51:AL59))/(1+U60*Quotes!$B$2)</f>
        <v/>
      </c>
    </row>
    <row r="61">
      <c r="A61" t="n">
        <v>11</v>
      </c>
      <c r="B61" s="70">
        <f>A61*0.25</f>
        <v/>
      </c>
      <c r="C61">
        <f>MIN(MATCH(B61,$B$30:$B$46,1),16)</f>
        <v/>
      </c>
      <c r="D61">
        <f>(B61-INDEX($B$30:$B$46,C61))/(INDEX($B$30:$B$46,C61+1)-INDEX($B$30:$B$46,C61))</f>
        <v/>
      </c>
      <c r="E61" s="55">
        <f>'Amort-Set-up'!E30</f>
        <v/>
      </c>
      <c r="G61" s="53">
        <f>INDEX($D$30:$R$46,$C61,G$50)+$D61*(INDEX($D$30:$R$46,$C61+1,G$50)-INDEX($D$30:$R$46,$C61,G$50))</f>
        <v/>
      </c>
      <c r="H61" s="53">
        <f>INDEX($D$30:$R$46,$C61,H$50)+$D61*(INDEX($D$30:$R$46,$C61+1,H$50)-INDEX($D$30:$R$46,$C61,H$50))</f>
        <v/>
      </c>
      <c r="I61" s="53">
        <f>INDEX($D$30:$R$46,$C61,I$50)+$D61*(INDEX($D$30:$R$46,$C61+1,I$50)-INDEX($D$30:$R$46,$C61,I$50))</f>
        <v/>
      </c>
      <c r="J61" s="53">
        <f>INDEX($D$30:$R$46,$C61,J$50)+$D61*(INDEX($D$30:$R$46,$C61+1,J$50)-INDEX($D$30:$R$46,$C61,J$50))</f>
        <v/>
      </c>
      <c r="K61" s="53">
        <f>INDEX($D$30:$R$46,$C61,K$50)+$D61*(INDEX($D$30:$R$46,$C61+1,K$50)-INDEX($D$30:$R$46,$C61,K$50))</f>
        <v/>
      </c>
      <c r="L61" s="53">
        <f>INDEX($D$30:$R$46,$C61,L$50)+$D61*(INDEX($D$30:$R$46,$C61+1,L$50)-INDEX($D$30:$R$46,$C61,L$50))</f>
        <v/>
      </c>
      <c r="M61" s="53">
        <f>INDEX($D$30:$R$46,$C61,M$50)+$D61*(INDEX($D$30:$R$46,$C61+1,M$50)-INDEX($D$30:$R$46,$C61,M$50))</f>
        <v/>
      </c>
      <c r="N61" s="53">
        <f>INDEX($D$30:$R$46,$C61,N$50)+$D61*(INDEX($D$30:$R$46,$C61+1,N$50)-INDEX($D$30:$R$46,$C61,N$50))</f>
        <v/>
      </c>
      <c r="O61" s="53">
        <f>INDEX($D$30:$R$46,$C61,O$50)+$D61*(INDEX($D$30:$R$46,$C61+1,O$50)-INDEX($D$30:$R$46,$C61,O$50))</f>
        <v/>
      </c>
      <c r="P61" s="53">
        <f>INDEX($D$30:$R$46,$C61,P$50)+$D61*(INDEX($D$30:$R$46,$C61+1,P$50)-INDEX($D$30:$R$46,$C61,P$50))</f>
        <v/>
      </c>
      <c r="Q61" s="53">
        <f>INDEX($D$30:$R$46,$C61,Q$50)+$D61*(INDEX($D$30:$R$46,$C61+1,Q$50)-INDEX($D$30:$R$46,$C61,Q$50))</f>
        <v/>
      </c>
      <c r="R61" s="53">
        <f>INDEX($D$30:$R$46,$C61,R$50)+$D61*(INDEX($D$30:$R$46,$C61+1,R$50)-INDEX($D$30:$R$46,$C61,R$50))</f>
        <v/>
      </c>
      <c r="S61" s="53">
        <f>INDEX($D$30:$R$46,$C61,S$50)+$D61*(INDEX($D$30:$R$46,$C61+1,S$50)-INDEX($D$30:$R$46,$C61,S$50))</f>
        <v/>
      </c>
      <c r="T61" s="53">
        <f>INDEX($D$30:$R$46,$C61,T$50)+$D61*(INDEX($D$30:$R$46,$C61+1,T$50)-INDEX($D$30:$R$46,$C61,T$50))</f>
        <v/>
      </c>
      <c r="U61" s="53">
        <f>INDEX($D$30:$R$46,$C61,U$50)+$D61*(INDEX($D$30:$R$46,$C61+1,U$50)-INDEX($D$30:$R$46,$C61,U$50))</f>
        <v/>
      </c>
      <c r="X61" s="54">
        <f>(1-G61*Quotes!$B$2*SUM(X$51:X60))/(1+G61*Quotes!$B$2)</f>
        <v/>
      </c>
      <c r="Y61" s="54">
        <f>(1-H61*Quotes!$B$2*SUM(Y$51:Y60))/(1+H61*Quotes!$B$2)</f>
        <v/>
      </c>
      <c r="Z61" s="54">
        <f>(1-I61*Quotes!$B$2*SUM(Z$51:Z60))/(1+I61*Quotes!$B$2)</f>
        <v/>
      </c>
      <c r="AA61" s="54">
        <f>(1-J61*Quotes!$B$2*SUM(AA$51:AA60))/(1+J61*Quotes!$B$2)</f>
        <v/>
      </c>
      <c r="AB61" s="54">
        <f>(1-K61*Quotes!$B$2*SUM(AB$51:AB60))/(1+K61*Quotes!$B$2)</f>
        <v/>
      </c>
      <c r="AC61" s="54">
        <f>(1-L61*Quotes!$B$2*SUM(AC$51:AC60))/(1+L61*Quotes!$B$2)</f>
        <v/>
      </c>
      <c r="AD61" s="54">
        <f>(1-M61*Quotes!$B$2*SUM(AD$51:AD60))/(1+M61*Quotes!$B$2)</f>
        <v/>
      </c>
      <c r="AE61" s="54">
        <f>(1-N61*Quotes!$B$2*SUM(AE$51:AE60))/(1+N61*Quotes!$B$2)</f>
        <v/>
      </c>
      <c r="AF61" s="54">
        <f>(1-O61*Quotes!$B$2*SUM(AF$51:AF60))/(1+O61*Quotes!$B$2)</f>
        <v/>
      </c>
      <c r="AG61" s="54">
        <f>(1-P61*Quotes!$B$2*SUM(AG$51:AG60))/(1+P61*Quotes!$B$2)</f>
        <v/>
      </c>
      <c r="AH61" s="54">
        <f>(1-Q61*Quotes!$B$2*SUM(AH$51:AH60))/(1+Q61*Quotes!$B$2)</f>
        <v/>
      </c>
      <c r="AI61" s="54">
        <f>(1-R61*Quotes!$B$2*SUM(AI$51:AI60))/(1+R61*Quotes!$B$2)</f>
        <v/>
      </c>
      <c r="AJ61" s="54">
        <f>(1-S61*Quotes!$B$2*SUM(AJ$51:AJ60))/(1+S61*Quotes!$B$2)</f>
        <v/>
      </c>
      <c r="AK61" s="54">
        <f>(1-T61*Quotes!$B$2*SUM(AK$51:AK60))/(1+T61*Quotes!$B$2)</f>
        <v/>
      </c>
      <c r="AL61" s="54">
        <f>(1-U61*Quotes!$B$2*SUM(AL$51:AL60))/(1+U61*Quotes!$B$2)</f>
        <v/>
      </c>
    </row>
    <row r="62">
      <c r="A62" t="n">
        <v>12</v>
      </c>
      <c r="B62" s="70">
        <f>A62*0.25</f>
        <v/>
      </c>
      <c r="C62">
        <f>MIN(MATCH(B62,$B$30:$B$46,1),16)</f>
        <v/>
      </c>
      <c r="D62">
        <f>(B62-INDEX($B$30:$B$46,C62))/(INDEX($B$30:$B$46,C62+1)-INDEX($B$30:$B$46,C62))</f>
        <v/>
      </c>
      <c r="E62" s="55">
        <f>'Amort-Set-up'!E31</f>
        <v/>
      </c>
      <c r="G62" s="53">
        <f>INDEX($D$30:$R$46,$C62,G$50)+$D62*(INDEX($D$30:$R$46,$C62+1,G$50)-INDEX($D$30:$R$46,$C62,G$50))</f>
        <v/>
      </c>
      <c r="H62" s="53">
        <f>INDEX($D$30:$R$46,$C62,H$50)+$D62*(INDEX($D$30:$R$46,$C62+1,H$50)-INDEX($D$30:$R$46,$C62,H$50))</f>
        <v/>
      </c>
      <c r="I62" s="53">
        <f>INDEX($D$30:$R$46,$C62,I$50)+$D62*(INDEX($D$30:$R$46,$C62+1,I$50)-INDEX($D$30:$R$46,$C62,I$50))</f>
        <v/>
      </c>
      <c r="J62" s="53">
        <f>INDEX($D$30:$R$46,$C62,J$50)+$D62*(INDEX($D$30:$R$46,$C62+1,J$50)-INDEX($D$30:$R$46,$C62,J$50))</f>
        <v/>
      </c>
      <c r="K62" s="53">
        <f>INDEX($D$30:$R$46,$C62,K$50)+$D62*(INDEX($D$30:$R$46,$C62+1,K$50)-INDEX($D$30:$R$46,$C62,K$50))</f>
        <v/>
      </c>
      <c r="L62" s="53">
        <f>INDEX($D$30:$R$46,$C62,L$50)+$D62*(INDEX($D$30:$R$46,$C62+1,L$50)-INDEX($D$30:$R$46,$C62,L$50))</f>
        <v/>
      </c>
      <c r="M62" s="53">
        <f>INDEX($D$30:$R$46,$C62,M$50)+$D62*(INDEX($D$30:$R$46,$C62+1,M$50)-INDEX($D$30:$R$46,$C62,M$50))</f>
        <v/>
      </c>
      <c r="N62" s="53">
        <f>INDEX($D$30:$R$46,$C62,N$50)+$D62*(INDEX($D$30:$R$46,$C62+1,N$50)-INDEX($D$30:$R$46,$C62,N$50))</f>
        <v/>
      </c>
      <c r="O62" s="53">
        <f>INDEX($D$30:$R$46,$C62,O$50)+$D62*(INDEX($D$30:$R$46,$C62+1,O$50)-INDEX($D$30:$R$46,$C62,O$50))</f>
        <v/>
      </c>
      <c r="P62" s="53">
        <f>INDEX($D$30:$R$46,$C62,P$50)+$D62*(INDEX($D$30:$R$46,$C62+1,P$50)-INDEX($D$30:$R$46,$C62,P$50))</f>
        <v/>
      </c>
      <c r="Q62" s="53">
        <f>INDEX($D$30:$R$46,$C62,Q$50)+$D62*(INDEX($D$30:$R$46,$C62+1,Q$50)-INDEX($D$30:$R$46,$C62,Q$50))</f>
        <v/>
      </c>
      <c r="R62" s="53">
        <f>INDEX($D$30:$R$46,$C62,R$50)+$D62*(INDEX($D$30:$R$46,$C62+1,R$50)-INDEX($D$30:$R$46,$C62,R$50))</f>
        <v/>
      </c>
      <c r="S62" s="53">
        <f>INDEX($D$30:$R$46,$C62,S$50)+$D62*(INDEX($D$30:$R$46,$C62+1,S$50)-INDEX($D$30:$R$46,$C62,S$50))</f>
        <v/>
      </c>
      <c r="T62" s="53">
        <f>INDEX($D$30:$R$46,$C62,T$50)+$D62*(INDEX($D$30:$R$46,$C62+1,T$50)-INDEX($D$30:$R$46,$C62,T$50))</f>
        <v/>
      </c>
      <c r="U62" s="53">
        <f>INDEX($D$30:$R$46,$C62,U$50)+$D62*(INDEX($D$30:$R$46,$C62+1,U$50)-INDEX($D$30:$R$46,$C62,U$50))</f>
        <v/>
      </c>
      <c r="X62" s="54">
        <f>(1-G62*Quotes!$B$2*SUM(X$51:X61))/(1+G62*Quotes!$B$2)</f>
        <v/>
      </c>
      <c r="Y62" s="54">
        <f>(1-H62*Quotes!$B$2*SUM(Y$51:Y61))/(1+H62*Quotes!$B$2)</f>
        <v/>
      </c>
      <c r="Z62" s="54">
        <f>(1-I62*Quotes!$B$2*SUM(Z$51:Z61))/(1+I62*Quotes!$B$2)</f>
        <v/>
      </c>
      <c r="AA62" s="54">
        <f>(1-J62*Quotes!$B$2*SUM(AA$51:AA61))/(1+J62*Quotes!$B$2)</f>
        <v/>
      </c>
      <c r="AB62" s="54">
        <f>(1-K62*Quotes!$B$2*SUM(AB$51:AB61))/(1+K62*Quotes!$B$2)</f>
        <v/>
      </c>
      <c r="AC62" s="54">
        <f>(1-L62*Quotes!$B$2*SUM(AC$51:AC61))/(1+L62*Quotes!$B$2)</f>
        <v/>
      </c>
      <c r="AD62" s="54">
        <f>(1-M62*Quotes!$B$2*SUM(AD$51:AD61))/(1+M62*Quotes!$B$2)</f>
        <v/>
      </c>
      <c r="AE62" s="54">
        <f>(1-N62*Quotes!$B$2*SUM(AE$51:AE61))/(1+N62*Quotes!$B$2)</f>
        <v/>
      </c>
      <c r="AF62" s="54">
        <f>(1-O62*Quotes!$B$2*SUM(AF$51:AF61))/(1+O62*Quotes!$B$2)</f>
        <v/>
      </c>
      <c r="AG62" s="54">
        <f>(1-P62*Quotes!$B$2*SUM(AG$51:AG61))/(1+P62*Quotes!$B$2)</f>
        <v/>
      </c>
      <c r="AH62" s="54">
        <f>(1-Q62*Quotes!$B$2*SUM(AH$51:AH61))/(1+Q62*Quotes!$B$2)</f>
        <v/>
      </c>
      <c r="AI62" s="54">
        <f>(1-R62*Quotes!$B$2*SUM(AI$51:AI61))/(1+R62*Quotes!$B$2)</f>
        <v/>
      </c>
      <c r="AJ62" s="54">
        <f>(1-S62*Quotes!$B$2*SUM(AJ$51:AJ61))/(1+S62*Quotes!$B$2)</f>
        <v/>
      </c>
      <c r="AK62" s="54">
        <f>(1-T62*Quotes!$B$2*SUM(AK$51:AK61))/(1+T62*Quotes!$B$2)</f>
        <v/>
      </c>
      <c r="AL62" s="54">
        <f>(1-U62*Quotes!$B$2*SUM(AL$51:AL61))/(1+U62*Quotes!$B$2)</f>
        <v/>
      </c>
    </row>
    <row r="63">
      <c r="A63" t="n">
        <v>13</v>
      </c>
      <c r="B63" s="70">
        <f>A63*0.25</f>
        <v/>
      </c>
      <c r="C63">
        <f>MIN(MATCH(B63,$B$30:$B$46,1),16)</f>
        <v/>
      </c>
      <c r="D63">
        <f>(B63-INDEX($B$30:$B$46,C63))/(INDEX($B$30:$B$46,C63+1)-INDEX($B$30:$B$46,C63))</f>
        <v/>
      </c>
      <c r="E63" s="55">
        <f>'Amort-Set-up'!E32</f>
        <v/>
      </c>
      <c r="G63" s="53">
        <f>INDEX($D$30:$R$46,$C63,G$50)+$D63*(INDEX($D$30:$R$46,$C63+1,G$50)-INDEX($D$30:$R$46,$C63,G$50))</f>
        <v/>
      </c>
      <c r="H63" s="53">
        <f>INDEX($D$30:$R$46,$C63,H$50)+$D63*(INDEX($D$30:$R$46,$C63+1,H$50)-INDEX($D$30:$R$46,$C63,H$50))</f>
        <v/>
      </c>
      <c r="I63" s="53">
        <f>INDEX($D$30:$R$46,$C63,I$50)+$D63*(INDEX($D$30:$R$46,$C63+1,I$50)-INDEX($D$30:$R$46,$C63,I$50))</f>
        <v/>
      </c>
      <c r="J63" s="53">
        <f>INDEX($D$30:$R$46,$C63,J$50)+$D63*(INDEX($D$30:$R$46,$C63+1,J$50)-INDEX($D$30:$R$46,$C63,J$50))</f>
        <v/>
      </c>
      <c r="K63" s="53">
        <f>INDEX($D$30:$R$46,$C63,K$50)+$D63*(INDEX($D$30:$R$46,$C63+1,K$50)-INDEX($D$30:$R$46,$C63,K$50))</f>
        <v/>
      </c>
      <c r="L63" s="53">
        <f>INDEX($D$30:$R$46,$C63,L$50)+$D63*(INDEX($D$30:$R$46,$C63+1,L$50)-INDEX($D$30:$R$46,$C63,L$50))</f>
        <v/>
      </c>
      <c r="M63" s="53">
        <f>INDEX($D$30:$R$46,$C63,M$50)+$D63*(INDEX($D$30:$R$46,$C63+1,M$50)-INDEX($D$30:$R$46,$C63,M$50))</f>
        <v/>
      </c>
      <c r="N63" s="53">
        <f>INDEX($D$30:$R$46,$C63,N$50)+$D63*(INDEX($D$30:$R$46,$C63+1,N$50)-INDEX($D$30:$R$46,$C63,N$50))</f>
        <v/>
      </c>
      <c r="O63" s="53">
        <f>INDEX($D$30:$R$46,$C63,O$50)+$D63*(INDEX($D$30:$R$46,$C63+1,O$50)-INDEX($D$30:$R$46,$C63,O$50))</f>
        <v/>
      </c>
      <c r="P63" s="53">
        <f>INDEX($D$30:$R$46,$C63,P$50)+$D63*(INDEX($D$30:$R$46,$C63+1,P$50)-INDEX($D$30:$R$46,$C63,P$50))</f>
        <v/>
      </c>
      <c r="Q63" s="53">
        <f>INDEX($D$30:$R$46,$C63,Q$50)+$D63*(INDEX($D$30:$R$46,$C63+1,Q$50)-INDEX($D$30:$R$46,$C63,Q$50))</f>
        <v/>
      </c>
      <c r="R63" s="53">
        <f>INDEX($D$30:$R$46,$C63,R$50)+$D63*(INDEX($D$30:$R$46,$C63+1,R$50)-INDEX($D$30:$R$46,$C63,R$50))</f>
        <v/>
      </c>
      <c r="S63" s="53">
        <f>INDEX($D$30:$R$46,$C63,S$50)+$D63*(INDEX($D$30:$R$46,$C63+1,S$50)-INDEX($D$30:$R$46,$C63,S$50))</f>
        <v/>
      </c>
      <c r="T63" s="53">
        <f>INDEX($D$30:$R$46,$C63,T$50)+$D63*(INDEX($D$30:$R$46,$C63+1,T$50)-INDEX($D$30:$R$46,$C63,T$50))</f>
        <v/>
      </c>
      <c r="U63" s="53">
        <f>INDEX($D$30:$R$46,$C63,U$50)+$D63*(INDEX($D$30:$R$46,$C63+1,U$50)-INDEX($D$30:$R$46,$C63,U$50))</f>
        <v/>
      </c>
      <c r="X63" s="54">
        <f>(1-G63*Quotes!$B$2*SUM(X$51:X62))/(1+G63*Quotes!$B$2)</f>
        <v/>
      </c>
      <c r="Y63" s="54">
        <f>(1-H63*Quotes!$B$2*SUM(Y$51:Y62))/(1+H63*Quotes!$B$2)</f>
        <v/>
      </c>
      <c r="Z63" s="54">
        <f>(1-I63*Quotes!$B$2*SUM(Z$51:Z62))/(1+I63*Quotes!$B$2)</f>
        <v/>
      </c>
      <c r="AA63" s="54">
        <f>(1-J63*Quotes!$B$2*SUM(AA$51:AA62))/(1+J63*Quotes!$B$2)</f>
        <v/>
      </c>
      <c r="AB63" s="54">
        <f>(1-K63*Quotes!$B$2*SUM(AB$51:AB62))/(1+K63*Quotes!$B$2)</f>
        <v/>
      </c>
      <c r="AC63" s="54">
        <f>(1-L63*Quotes!$B$2*SUM(AC$51:AC62))/(1+L63*Quotes!$B$2)</f>
        <v/>
      </c>
      <c r="AD63" s="54">
        <f>(1-M63*Quotes!$B$2*SUM(AD$51:AD62))/(1+M63*Quotes!$B$2)</f>
        <v/>
      </c>
      <c r="AE63" s="54">
        <f>(1-N63*Quotes!$B$2*SUM(AE$51:AE62))/(1+N63*Quotes!$B$2)</f>
        <v/>
      </c>
      <c r="AF63" s="54">
        <f>(1-O63*Quotes!$B$2*SUM(AF$51:AF62))/(1+O63*Quotes!$B$2)</f>
        <v/>
      </c>
      <c r="AG63" s="54">
        <f>(1-P63*Quotes!$B$2*SUM(AG$51:AG62))/(1+P63*Quotes!$B$2)</f>
        <v/>
      </c>
      <c r="AH63" s="54">
        <f>(1-Q63*Quotes!$B$2*SUM(AH$51:AH62))/(1+Q63*Quotes!$B$2)</f>
        <v/>
      </c>
      <c r="AI63" s="54">
        <f>(1-R63*Quotes!$B$2*SUM(AI$51:AI62))/(1+R63*Quotes!$B$2)</f>
        <v/>
      </c>
      <c r="AJ63" s="54">
        <f>(1-S63*Quotes!$B$2*SUM(AJ$51:AJ62))/(1+S63*Quotes!$B$2)</f>
        <v/>
      </c>
      <c r="AK63" s="54">
        <f>(1-T63*Quotes!$B$2*SUM(AK$51:AK62))/(1+T63*Quotes!$B$2)</f>
        <v/>
      </c>
      <c r="AL63" s="54">
        <f>(1-U63*Quotes!$B$2*SUM(AL$51:AL62))/(1+U63*Quotes!$B$2)</f>
        <v/>
      </c>
    </row>
    <row r="64">
      <c r="A64" t="n">
        <v>14</v>
      </c>
      <c r="B64" s="70">
        <f>A64*0.25</f>
        <v/>
      </c>
      <c r="C64">
        <f>MIN(MATCH(B64,$B$30:$B$46,1),16)</f>
        <v/>
      </c>
      <c r="D64">
        <f>(B64-INDEX($B$30:$B$46,C64))/(INDEX($B$30:$B$46,C64+1)-INDEX($B$30:$B$46,C64))</f>
        <v/>
      </c>
      <c r="E64" s="55">
        <f>'Amort-Set-up'!E33</f>
        <v/>
      </c>
      <c r="G64" s="53">
        <f>INDEX($D$30:$R$46,$C64,G$50)+$D64*(INDEX($D$30:$R$46,$C64+1,G$50)-INDEX($D$30:$R$46,$C64,G$50))</f>
        <v/>
      </c>
      <c r="H64" s="53">
        <f>INDEX($D$30:$R$46,$C64,H$50)+$D64*(INDEX($D$30:$R$46,$C64+1,H$50)-INDEX($D$30:$R$46,$C64,H$50))</f>
        <v/>
      </c>
      <c r="I64" s="53">
        <f>INDEX($D$30:$R$46,$C64,I$50)+$D64*(INDEX($D$30:$R$46,$C64+1,I$50)-INDEX($D$30:$R$46,$C64,I$50))</f>
        <v/>
      </c>
      <c r="J64" s="53">
        <f>INDEX($D$30:$R$46,$C64,J$50)+$D64*(INDEX($D$30:$R$46,$C64+1,J$50)-INDEX($D$30:$R$46,$C64,J$50))</f>
        <v/>
      </c>
      <c r="K64" s="53">
        <f>INDEX($D$30:$R$46,$C64,K$50)+$D64*(INDEX($D$30:$R$46,$C64+1,K$50)-INDEX($D$30:$R$46,$C64,K$50))</f>
        <v/>
      </c>
      <c r="L64" s="53">
        <f>INDEX($D$30:$R$46,$C64,L$50)+$D64*(INDEX($D$30:$R$46,$C64+1,L$50)-INDEX($D$30:$R$46,$C64,L$50))</f>
        <v/>
      </c>
      <c r="M64" s="53">
        <f>INDEX($D$30:$R$46,$C64,M$50)+$D64*(INDEX($D$30:$R$46,$C64+1,M$50)-INDEX($D$30:$R$46,$C64,M$50))</f>
        <v/>
      </c>
      <c r="N64" s="53">
        <f>INDEX($D$30:$R$46,$C64,N$50)+$D64*(INDEX($D$30:$R$46,$C64+1,N$50)-INDEX($D$30:$R$46,$C64,N$50))</f>
        <v/>
      </c>
      <c r="O64" s="53">
        <f>INDEX($D$30:$R$46,$C64,O$50)+$D64*(INDEX($D$30:$R$46,$C64+1,O$50)-INDEX($D$30:$R$46,$C64,O$50))</f>
        <v/>
      </c>
      <c r="P64" s="53">
        <f>INDEX($D$30:$R$46,$C64,P$50)+$D64*(INDEX($D$30:$R$46,$C64+1,P$50)-INDEX($D$30:$R$46,$C64,P$50))</f>
        <v/>
      </c>
      <c r="Q64" s="53">
        <f>INDEX($D$30:$R$46,$C64,Q$50)+$D64*(INDEX($D$30:$R$46,$C64+1,Q$50)-INDEX($D$30:$R$46,$C64,Q$50))</f>
        <v/>
      </c>
      <c r="R64" s="53">
        <f>INDEX($D$30:$R$46,$C64,R$50)+$D64*(INDEX($D$30:$R$46,$C64+1,R$50)-INDEX($D$30:$R$46,$C64,R$50))</f>
        <v/>
      </c>
      <c r="S64" s="53">
        <f>INDEX($D$30:$R$46,$C64,S$50)+$D64*(INDEX($D$30:$R$46,$C64+1,S$50)-INDEX($D$30:$R$46,$C64,S$50))</f>
        <v/>
      </c>
      <c r="T64" s="53">
        <f>INDEX($D$30:$R$46,$C64,T$50)+$D64*(INDEX($D$30:$R$46,$C64+1,T$50)-INDEX($D$30:$R$46,$C64,T$50))</f>
        <v/>
      </c>
      <c r="U64" s="53">
        <f>INDEX($D$30:$R$46,$C64,U$50)+$D64*(INDEX($D$30:$R$46,$C64+1,U$50)-INDEX($D$30:$R$46,$C64,U$50))</f>
        <v/>
      </c>
      <c r="X64" s="54">
        <f>(1-G64*Quotes!$B$2*SUM(X$51:X63))/(1+G64*Quotes!$B$2)</f>
        <v/>
      </c>
      <c r="Y64" s="54">
        <f>(1-H64*Quotes!$B$2*SUM(Y$51:Y63))/(1+H64*Quotes!$B$2)</f>
        <v/>
      </c>
      <c r="Z64" s="54">
        <f>(1-I64*Quotes!$B$2*SUM(Z$51:Z63))/(1+I64*Quotes!$B$2)</f>
        <v/>
      </c>
      <c r="AA64" s="54">
        <f>(1-J64*Quotes!$B$2*SUM(AA$51:AA63))/(1+J64*Quotes!$B$2)</f>
        <v/>
      </c>
      <c r="AB64" s="54">
        <f>(1-K64*Quotes!$B$2*SUM(AB$51:AB63))/(1+K64*Quotes!$B$2)</f>
        <v/>
      </c>
      <c r="AC64" s="54">
        <f>(1-L64*Quotes!$B$2*SUM(AC$51:AC63))/(1+L64*Quotes!$B$2)</f>
        <v/>
      </c>
      <c r="AD64" s="54">
        <f>(1-M64*Quotes!$B$2*SUM(AD$51:AD63))/(1+M64*Quotes!$B$2)</f>
        <v/>
      </c>
      <c r="AE64" s="54">
        <f>(1-N64*Quotes!$B$2*SUM(AE$51:AE63))/(1+N64*Quotes!$B$2)</f>
        <v/>
      </c>
      <c r="AF64" s="54">
        <f>(1-O64*Quotes!$B$2*SUM(AF$51:AF63))/(1+O64*Quotes!$B$2)</f>
        <v/>
      </c>
      <c r="AG64" s="54">
        <f>(1-P64*Quotes!$B$2*SUM(AG$51:AG63))/(1+P64*Quotes!$B$2)</f>
        <v/>
      </c>
      <c r="AH64" s="54">
        <f>(1-Q64*Quotes!$B$2*SUM(AH$51:AH63))/(1+Q64*Quotes!$B$2)</f>
        <v/>
      </c>
      <c r="AI64" s="54">
        <f>(1-R64*Quotes!$B$2*SUM(AI$51:AI63))/(1+R64*Quotes!$B$2)</f>
        <v/>
      </c>
      <c r="AJ64" s="54">
        <f>(1-S64*Quotes!$B$2*SUM(AJ$51:AJ63))/(1+S64*Quotes!$B$2)</f>
        <v/>
      </c>
      <c r="AK64" s="54">
        <f>(1-T64*Quotes!$B$2*SUM(AK$51:AK63))/(1+T64*Quotes!$B$2)</f>
        <v/>
      </c>
      <c r="AL64" s="54">
        <f>(1-U64*Quotes!$B$2*SUM(AL$51:AL63))/(1+U64*Quotes!$B$2)</f>
        <v/>
      </c>
    </row>
    <row r="65">
      <c r="A65" t="n">
        <v>15</v>
      </c>
      <c r="B65" s="70">
        <f>A65*0.25</f>
        <v/>
      </c>
      <c r="C65">
        <f>MIN(MATCH(B65,$B$30:$B$46,1),16)</f>
        <v/>
      </c>
      <c r="D65">
        <f>(B65-INDEX($B$30:$B$46,C65))/(INDEX($B$30:$B$46,C65+1)-INDEX($B$30:$B$46,C65))</f>
        <v/>
      </c>
      <c r="E65" s="55">
        <f>'Amort-Set-up'!E34</f>
        <v/>
      </c>
      <c r="G65" s="53">
        <f>INDEX($D$30:$R$46,$C65,G$50)+$D65*(INDEX($D$30:$R$46,$C65+1,G$50)-INDEX($D$30:$R$46,$C65,G$50))</f>
        <v/>
      </c>
      <c r="H65" s="53">
        <f>INDEX($D$30:$R$46,$C65,H$50)+$D65*(INDEX($D$30:$R$46,$C65+1,H$50)-INDEX($D$30:$R$46,$C65,H$50))</f>
        <v/>
      </c>
      <c r="I65" s="53">
        <f>INDEX($D$30:$R$46,$C65,I$50)+$D65*(INDEX($D$30:$R$46,$C65+1,I$50)-INDEX($D$30:$R$46,$C65,I$50))</f>
        <v/>
      </c>
      <c r="J65" s="53">
        <f>INDEX($D$30:$R$46,$C65,J$50)+$D65*(INDEX($D$30:$R$46,$C65+1,J$50)-INDEX($D$30:$R$46,$C65,J$50))</f>
        <v/>
      </c>
      <c r="K65" s="53">
        <f>INDEX($D$30:$R$46,$C65,K$50)+$D65*(INDEX($D$30:$R$46,$C65+1,K$50)-INDEX($D$30:$R$46,$C65,K$50))</f>
        <v/>
      </c>
      <c r="L65" s="53">
        <f>INDEX($D$30:$R$46,$C65,L$50)+$D65*(INDEX($D$30:$R$46,$C65+1,L$50)-INDEX($D$30:$R$46,$C65,L$50))</f>
        <v/>
      </c>
      <c r="M65" s="53">
        <f>INDEX($D$30:$R$46,$C65,M$50)+$D65*(INDEX($D$30:$R$46,$C65+1,M$50)-INDEX($D$30:$R$46,$C65,M$50))</f>
        <v/>
      </c>
      <c r="N65" s="53">
        <f>INDEX($D$30:$R$46,$C65,N$50)+$D65*(INDEX($D$30:$R$46,$C65+1,N$50)-INDEX($D$30:$R$46,$C65,N$50))</f>
        <v/>
      </c>
      <c r="O65" s="53">
        <f>INDEX($D$30:$R$46,$C65,O$50)+$D65*(INDEX($D$30:$R$46,$C65+1,O$50)-INDEX($D$30:$R$46,$C65,O$50))</f>
        <v/>
      </c>
      <c r="P65" s="53">
        <f>INDEX($D$30:$R$46,$C65,P$50)+$D65*(INDEX($D$30:$R$46,$C65+1,P$50)-INDEX($D$30:$R$46,$C65,P$50))</f>
        <v/>
      </c>
      <c r="Q65" s="53">
        <f>INDEX($D$30:$R$46,$C65,Q$50)+$D65*(INDEX($D$30:$R$46,$C65+1,Q$50)-INDEX($D$30:$R$46,$C65,Q$50))</f>
        <v/>
      </c>
      <c r="R65" s="53">
        <f>INDEX($D$30:$R$46,$C65,R$50)+$D65*(INDEX($D$30:$R$46,$C65+1,R$50)-INDEX($D$30:$R$46,$C65,R$50))</f>
        <v/>
      </c>
      <c r="S65" s="53">
        <f>INDEX($D$30:$R$46,$C65,S$50)+$D65*(INDEX($D$30:$R$46,$C65+1,S$50)-INDEX($D$30:$R$46,$C65,S$50))</f>
        <v/>
      </c>
      <c r="T65" s="53">
        <f>INDEX($D$30:$R$46,$C65,T$50)+$D65*(INDEX($D$30:$R$46,$C65+1,T$50)-INDEX($D$30:$R$46,$C65,T$50))</f>
        <v/>
      </c>
      <c r="U65" s="53">
        <f>INDEX($D$30:$R$46,$C65,U$50)+$D65*(INDEX($D$30:$R$46,$C65+1,U$50)-INDEX($D$30:$R$46,$C65,U$50))</f>
        <v/>
      </c>
      <c r="X65" s="54">
        <f>(1-G65*Quotes!$B$2*SUM(X$51:X64))/(1+G65*Quotes!$B$2)</f>
        <v/>
      </c>
      <c r="Y65" s="54">
        <f>(1-H65*Quotes!$B$2*SUM(Y$51:Y64))/(1+H65*Quotes!$B$2)</f>
        <v/>
      </c>
      <c r="Z65" s="54">
        <f>(1-I65*Quotes!$B$2*SUM(Z$51:Z64))/(1+I65*Quotes!$B$2)</f>
        <v/>
      </c>
      <c r="AA65" s="54">
        <f>(1-J65*Quotes!$B$2*SUM(AA$51:AA64))/(1+J65*Quotes!$B$2)</f>
        <v/>
      </c>
      <c r="AB65" s="54">
        <f>(1-K65*Quotes!$B$2*SUM(AB$51:AB64))/(1+K65*Quotes!$B$2)</f>
        <v/>
      </c>
      <c r="AC65" s="54">
        <f>(1-L65*Quotes!$B$2*SUM(AC$51:AC64))/(1+L65*Quotes!$B$2)</f>
        <v/>
      </c>
      <c r="AD65" s="54">
        <f>(1-M65*Quotes!$B$2*SUM(AD$51:AD64))/(1+M65*Quotes!$B$2)</f>
        <v/>
      </c>
      <c r="AE65" s="54">
        <f>(1-N65*Quotes!$B$2*SUM(AE$51:AE64))/(1+N65*Quotes!$B$2)</f>
        <v/>
      </c>
      <c r="AF65" s="54">
        <f>(1-O65*Quotes!$B$2*SUM(AF$51:AF64))/(1+O65*Quotes!$B$2)</f>
        <v/>
      </c>
      <c r="AG65" s="54">
        <f>(1-P65*Quotes!$B$2*SUM(AG$51:AG64))/(1+P65*Quotes!$B$2)</f>
        <v/>
      </c>
      <c r="AH65" s="54">
        <f>(1-Q65*Quotes!$B$2*SUM(AH$51:AH64))/(1+Q65*Quotes!$B$2)</f>
        <v/>
      </c>
      <c r="AI65" s="54">
        <f>(1-R65*Quotes!$B$2*SUM(AI$51:AI64))/(1+R65*Quotes!$B$2)</f>
        <v/>
      </c>
      <c r="AJ65" s="54">
        <f>(1-S65*Quotes!$B$2*SUM(AJ$51:AJ64))/(1+S65*Quotes!$B$2)</f>
        <v/>
      </c>
      <c r="AK65" s="54">
        <f>(1-T65*Quotes!$B$2*SUM(AK$51:AK64))/(1+T65*Quotes!$B$2)</f>
        <v/>
      </c>
      <c r="AL65" s="54">
        <f>(1-U65*Quotes!$B$2*SUM(AL$51:AL64))/(1+U65*Quotes!$B$2)</f>
        <v/>
      </c>
    </row>
    <row r="66">
      <c r="A66" t="n">
        <v>16</v>
      </c>
      <c r="B66" s="70">
        <f>A66*0.25</f>
        <v/>
      </c>
      <c r="C66">
        <f>MIN(MATCH(B66,$B$30:$B$46,1),16)</f>
        <v/>
      </c>
      <c r="D66">
        <f>(B66-INDEX($B$30:$B$46,C66))/(INDEX($B$30:$B$46,C66+1)-INDEX($B$30:$B$46,C66))</f>
        <v/>
      </c>
      <c r="E66" s="55">
        <f>'Amort-Set-up'!E35</f>
        <v/>
      </c>
      <c r="G66" s="53">
        <f>INDEX($D$30:$R$46,$C66,G$50)+$D66*(INDEX($D$30:$R$46,$C66+1,G$50)-INDEX($D$30:$R$46,$C66,G$50))</f>
        <v/>
      </c>
      <c r="H66" s="53">
        <f>INDEX($D$30:$R$46,$C66,H$50)+$D66*(INDEX($D$30:$R$46,$C66+1,H$50)-INDEX($D$30:$R$46,$C66,H$50))</f>
        <v/>
      </c>
      <c r="I66" s="53">
        <f>INDEX($D$30:$R$46,$C66,I$50)+$D66*(INDEX($D$30:$R$46,$C66+1,I$50)-INDEX($D$30:$R$46,$C66,I$50))</f>
        <v/>
      </c>
      <c r="J66" s="53">
        <f>INDEX($D$30:$R$46,$C66,J$50)+$D66*(INDEX($D$30:$R$46,$C66+1,J$50)-INDEX($D$30:$R$46,$C66,J$50))</f>
        <v/>
      </c>
      <c r="K66" s="53">
        <f>INDEX($D$30:$R$46,$C66,K$50)+$D66*(INDEX($D$30:$R$46,$C66+1,K$50)-INDEX($D$30:$R$46,$C66,K$50))</f>
        <v/>
      </c>
      <c r="L66" s="53">
        <f>INDEX($D$30:$R$46,$C66,L$50)+$D66*(INDEX($D$30:$R$46,$C66+1,L$50)-INDEX($D$30:$R$46,$C66,L$50))</f>
        <v/>
      </c>
      <c r="M66" s="53">
        <f>INDEX($D$30:$R$46,$C66,M$50)+$D66*(INDEX($D$30:$R$46,$C66+1,M$50)-INDEX($D$30:$R$46,$C66,M$50))</f>
        <v/>
      </c>
      <c r="N66" s="53">
        <f>INDEX($D$30:$R$46,$C66,N$50)+$D66*(INDEX($D$30:$R$46,$C66+1,N$50)-INDEX($D$30:$R$46,$C66,N$50))</f>
        <v/>
      </c>
      <c r="O66" s="53">
        <f>INDEX($D$30:$R$46,$C66,O$50)+$D66*(INDEX($D$30:$R$46,$C66+1,O$50)-INDEX($D$30:$R$46,$C66,O$50))</f>
        <v/>
      </c>
      <c r="P66" s="53">
        <f>INDEX($D$30:$R$46,$C66,P$50)+$D66*(INDEX($D$30:$R$46,$C66+1,P$50)-INDEX($D$30:$R$46,$C66,P$50))</f>
        <v/>
      </c>
      <c r="Q66" s="53">
        <f>INDEX($D$30:$R$46,$C66,Q$50)+$D66*(INDEX($D$30:$R$46,$C66+1,Q$50)-INDEX($D$30:$R$46,$C66,Q$50))</f>
        <v/>
      </c>
      <c r="R66" s="53">
        <f>INDEX($D$30:$R$46,$C66,R$50)+$D66*(INDEX($D$30:$R$46,$C66+1,R$50)-INDEX($D$30:$R$46,$C66,R$50))</f>
        <v/>
      </c>
      <c r="S66" s="53">
        <f>INDEX($D$30:$R$46,$C66,S$50)+$D66*(INDEX($D$30:$R$46,$C66+1,S$50)-INDEX($D$30:$R$46,$C66,S$50))</f>
        <v/>
      </c>
      <c r="T66" s="53">
        <f>INDEX($D$30:$R$46,$C66,T$50)+$D66*(INDEX($D$30:$R$46,$C66+1,T$50)-INDEX($D$30:$R$46,$C66,T$50))</f>
        <v/>
      </c>
      <c r="U66" s="53">
        <f>INDEX($D$30:$R$46,$C66,U$50)+$D66*(INDEX($D$30:$R$46,$C66+1,U$50)-INDEX($D$30:$R$46,$C66,U$50))</f>
        <v/>
      </c>
      <c r="X66" s="54">
        <f>(1-G66*Quotes!$B$2*SUM(X$51:X65))/(1+G66*Quotes!$B$2)</f>
        <v/>
      </c>
      <c r="Y66" s="54">
        <f>(1-H66*Quotes!$B$2*SUM(Y$51:Y65))/(1+H66*Quotes!$B$2)</f>
        <v/>
      </c>
      <c r="Z66" s="54">
        <f>(1-I66*Quotes!$B$2*SUM(Z$51:Z65))/(1+I66*Quotes!$B$2)</f>
        <v/>
      </c>
      <c r="AA66" s="54">
        <f>(1-J66*Quotes!$B$2*SUM(AA$51:AA65))/(1+J66*Quotes!$B$2)</f>
        <v/>
      </c>
      <c r="AB66" s="54">
        <f>(1-K66*Quotes!$B$2*SUM(AB$51:AB65))/(1+K66*Quotes!$B$2)</f>
        <v/>
      </c>
      <c r="AC66" s="54">
        <f>(1-L66*Quotes!$B$2*SUM(AC$51:AC65))/(1+L66*Quotes!$B$2)</f>
        <v/>
      </c>
      <c r="AD66" s="54">
        <f>(1-M66*Quotes!$B$2*SUM(AD$51:AD65))/(1+M66*Quotes!$B$2)</f>
        <v/>
      </c>
      <c r="AE66" s="54">
        <f>(1-N66*Quotes!$B$2*SUM(AE$51:AE65))/(1+N66*Quotes!$B$2)</f>
        <v/>
      </c>
      <c r="AF66" s="54">
        <f>(1-O66*Quotes!$B$2*SUM(AF$51:AF65))/(1+O66*Quotes!$B$2)</f>
        <v/>
      </c>
      <c r="AG66" s="54">
        <f>(1-P66*Quotes!$B$2*SUM(AG$51:AG65))/(1+P66*Quotes!$B$2)</f>
        <v/>
      </c>
      <c r="AH66" s="54">
        <f>(1-Q66*Quotes!$B$2*SUM(AH$51:AH65))/(1+Q66*Quotes!$B$2)</f>
        <v/>
      </c>
      <c r="AI66" s="54">
        <f>(1-R66*Quotes!$B$2*SUM(AI$51:AI65))/(1+R66*Quotes!$B$2)</f>
        <v/>
      </c>
      <c r="AJ66" s="54">
        <f>(1-S66*Quotes!$B$2*SUM(AJ$51:AJ65))/(1+S66*Quotes!$B$2)</f>
        <v/>
      </c>
      <c r="AK66" s="54">
        <f>(1-T66*Quotes!$B$2*SUM(AK$51:AK65))/(1+T66*Quotes!$B$2)</f>
        <v/>
      </c>
      <c r="AL66" s="54">
        <f>(1-U66*Quotes!$B$2*SUM(AL$51:AL65))/(1+U66*Quotes!$B$2)</f>
        <v/>
      </c>
    </row>
    <row r="67">
      <c r="A67" t="n">
        <v>17</v>
      </c>
      <c r="B67" s="70">
        <f>A67*0.25</f>
        <v/>
      </c>
      <c r="C67">
        <f>MIN(MATCH(B67,$B$30:$B$46,1),16)</f>
        <v/>
      </c>
      <c r="D67">
        <f>(B67-INDEX($B$30:$B$46,C67))/(INDEX($B$30:$B$46,C67+1)-INDEX($B$30:$B$46,C67))</f>
        <v/>
      </c>
      <c r="E67" s="55">
        <f>'Amort-Set-up'!E36</f>
        <v/>
      </c>
      <c r="G67" s="53">
        <f>INDEX($D$30:$R$46,$C67,G$50)+$D67*(INDEX($D$30:$R$46,$C67+1,G$50)-INDEX($D$30:$R$46,$C67,G$50))</f>
        <v/>
      </c>
      <c r="H67" s="53">
        <f>INDEX($D$30:$R$46,$C67,H$50)+$D67*(INDEX($D$30:$R$46,$C67+1,H$50)-INDEX($D$30:$R$46,$C67,H$50))</f>
        <v/>
      </c>
      <c r="I67" s="53">
        <f>INDEX($D$30:$R$46,$C67,I$50)+$D67*(INDEX($D$30:$R$46,$C67+1,I$50)-INDEX($D$30:$R$46,$C67,I$50))</f>
        <v/>
      </c>
      <c r="J67" s="53">
        <f>INDEX($D$30:$R$46,$C67,J$50)+$D67*(INDEX($D$30:$R$46,$C67+1,J$50)-INDEX($D$30:$R$46,$C67,J$50))</f>
        <v/>
      </c>
      <c r="K67" s="53">
        <f>INDEX($D$30:$R$46,$C67,K$50)+$D67*(INDEX($D$30:$R$46,$C67+1,K$50)-INDEX($D$30:$R$46,$C67,K$50))</f>
        <v/>
      </c>
      <c r="L67" s="53">
        <f>INDEX($D$30:$R$46,$C67,L$50)+$D67*(INDEX($D$30:$R$46,$C67+1,L$50)-INDEX($D$30:$R$46,$C67,L$50))</f>
        <v/>
      </c>
      <c r="M67" s="53">
        <f>INDEX($D$30:$R$46,$C67,M$50)+$D67*(INDEX($D$30:$R$46,$C67+1,M$50)-INDEX($D$30:$R$46,$C67,M$50))</f>
        <v/>
      </c>
      <c r="N67" s="53">
        <f>INDEX($D$30:$R$46,$C67,N$50)+$D67*(INDEX($D$30:$R$46,$C67+1,N$50)-INDEX($D$30:$R$46,$C67,N$50))</f>
        <v/>
      </c>
      <c r="O67" s="53">
        <f>INDEX($D$30:$R$46,$C67,O$50)+$D67*(INDEX($D$30:$R$46,$C67+1,O$50)-INDEX($D$30:$R$46,$C67,O$50))</f>
        <v/>
      </c>
      <c r="P67" s="53">
        <f>INDEX($D$30:$R$46,$C67,P$50)+$D67*(INDEX($D$30:$R$46,$C67+1,P$50)-INDEX($D$30:$R$46,$C67,P$50))</f>
        <v/>
      </c>
      <c r="Q67" s="53">
        <f>INDEX($D$30:$R$46,$C67,Q$50)+$D67*(INDEX($D$30:$R$46,$C67+1,Q$50)-INDEX($D$30:$R$46,$C67,Q$50))</f>
        <v/>
      </c>
      <c r="R67" s="53">
        <f>INDEX($D$30:$R$46,$C67,R$50)+$D67*(INDEX($D$30:$R$46,$C67+1,R$50)-INDEX($D$30:$R$46,$C67,R$50))</f>
        <v/>
      </c>
      <c r="S67" s="53">
        <f>INDEX($D$30:$R$46,$C67,S$50)+$D67*(INDEX($D$30:$R$46,$C67+1,S$50)-INDEX($D$30:$R$46,$C67,S$50))</f>
        <v/>
      </c>
      <c r="T67" s="53">
        <f>INDEX($D$30:$R$46,$C67,T$50)+$D67*(INDEX($D$30:$R$46,$C67+1,T$50)-INDEX($D$30:$R$46,$C67,T$50))</f>
        <v/>
      </c>
      <c r="U67" s="53">
        <f>INDEX($D$30:$R$46,$C67,U$50)+$D67*(INDEX($D$30:$R$46,$C67+1,U$50)-INDEX($D$30:$R$46,$C67,U$50))</f>
        <v/>
      </c>
      <c r="X67" s="54">
        <f>(1-G67*Quotes!$B$2*SUM(X$51:X66))/(1+G67*Quotes!$B$2)</f>
        <v/>
      </c>
      <c r="Y67" s="54">
        <f>(1-H67*Quotes!$B$2*SUM(Y$51:Y66))/(1+H67*Quotes!$B$2)</f>
        <v/>
      </c>
      <c r="Z67" s="54">
        <f>(1-I67*Quotes!$B$2*SUM(Z$51:Z66))/(1+I67*Quotes!$B$2)</f>
        <v/>
      </c>
      <c r="AA67" s="54">
        <f>(1-J67*Quotes!$B$2*SUM(AA$51:AA66))/(1+J67*Quotes!$B$2)</f>
        <v/>
      </c>
      <c r="AB67" s="54">
        <f>(1-K67*Quotes!$B$2*SUM(AB$51:AB66))/(1+K67*Quotes!$B$2)</f>
        <v/>
      </c>
      <c r="AC67" s="54">
        <f>(1-L67*Quotes!$B$2*SUM(AC$51:AC66))/(1+L67*Quotes!$B$2)</f>
        <v/>
      </c>
      <c r="AD67" s="54">
        <f>(1-M67*Quotes!$B$2*SUM(AD$51:AD66))/(1+M67*Quotes!$B$2)</f>
        <v/>
      </c>
      <c r="AE67" s="54">
        <f>(1-N67*Quotes!$B$2*SUM(AE$51:AE66))/(1+N67*Quotes!$B$2)</f>
        <v/>
      </c>
      <c r="AF67" s="54">
        <f>(1-O67*Quotes!$B$2*SUM(AF$51:AF66))/(1+O67*Quotes!$B$2)</f>
        <v/>
      </c>
      <c r="AG67" s="54">
        <f>(1-P67*Quotes!$B$2*SUM(AG$51:AG66))/(1+P67*Quotes!$B$2)</f>
        <v/>
      </c>
      <c r="AH67" s="54">
        <f>(1-Q67*Quotes!$B$2*SUM(AH$51:AH66))/(1+Q67*Quotes!$B$2)</f>
        <v/>
      </c>
      <c r="AI67" s="54">
        <f>(1-R67*Quotes!$B$2*SUM(AI$51:AI66))/(1+R67*Quotes!$B$2)</f>
        <v/>
      </c>
      <c r="AJ67" s="54">
        <f>(1-S67*Quotes!$B$2*SUM(AJ$51:AJ66))/(1+S67*Quotes!$B$2)</f>
        <v/>
      </c>
      <c r="AK67" s="54">
        <f>(1-T67*Quotes!$B$2*SUM(AK$51:AK66))/(1+T67*Quotes!$B$2)</f>
        <v/>
      </c>
      <c r="AL67" s="54">
        <f>(1-U67*Quotes!$B$2*SUM(AL$51:AL66))/(1+U67*Quotes!$B$2)</f>
        <v/>
      </c>
    </row>
    <row r="68">
      <c r="A68" t="n">
        <v>18</v>
      </c>
      <c r="B68" s="70">
        <f>A68*0.25</f>
        <v/>
      </c>
      <c r="C68">
        <f>MIN(MATCH(B68,$B$30:$B$46,1),16)</f>
        <v/>
      </c>
      <c r="D68">
        <f>(B68-INDEX($B$30:$B$46,C68))/(INDEX($B$30:$B$46,C68+1)-INDEX($B$30:$B$46,C68))</f>
        <v/>
      </c>
      <c r="E68" s="55">
        <f>'Amort-Set-up'!E37</f>
        <v/>
      </c>
      <c r="G68" s="53">
        <f>INDEX($D$30:$R$46,$C68,G$50)+$D68*(INDEX($D$30:$R$46,$C68+1,G$50)-INDEX($D$30:$R$46,$C68,G$50))</f>
        <v/>
      </c>
      <c r="H68" s="53">
        <f>INDEX($D$30:$R$46,$C68,H$50)+$D68*(INDEX($D$30:$R$46,$C68+1,H$50)-INDEX($D$30:$R$46,$C68,H$50))</f>
        <v/>
      </c>
      <c r="I68" s="53">
        <f>INDEX($D$30:$R$46,$C68,I$50)+$D68*(INDEX($D$30:$R$46,$C68+1,I$50)-INDEX($D$30:$R$46,$C68,I$50))</f>
        <v/>
      </c>
      <c r="J68" s="53">
        <f>INDEX($D$30:$R$46,$C68,J$50)+$D68*(INDEX($D$30:$R$46,$C68+1,J$50)-INDEX($D$30:$R$46,$C68,J$50))</f>
        <v/>
      </c>
      <c r="K68" s="53">
        <f>INDEX($D$30:$R$46,$C68,K$50)+$D68*(INDEX($D$30:$R$46,$C68+1,K$50)-INDEX($D$30:$R$46,$C68,K$50))</f>
        <v/>
      </c>
      <c r="L68" s="53">
        <f>INDEX($D$30:$R$46,$C68,L$50)+$D68*(INDEX($D$30:$R$46,$C68+1,L$50)-INDEX($D$30:$R$46,$C68,L$50))</f>
        <v/>
      </c>
      <c r="M68" s="53">
        <f>INDEX($D$30:$R$46,$C68,M$50)+$D68*(INDEX($D$30:$R$46,$C68+1,M$50)-INDEX($D$30:$R$46,$C68,M$50))</f>
        <v/>
      </c>
      <c r="N68" s="53">
        <f>INDEX($D$30:$R$46,$C68,N$50)+$D68*(INDEX($D$30:$R$46,$C68+1,N$50)-INDEX($D$30:$R$46,$C68,N$50))</f>
        <v/>
      </c>
      <c r="O68" s="53">
        <f>INDEX($D$30:$R$46,$C68,O$50)+$D68*(INDEX($D$30:$R$46,$C68+1,O$50)-INDEX($D$30:$R$46,$C68,O$50))</f>
        <v/>
      </c>
      <c r="P68" s="53">
        <f>INDEX($D$30:$R$46,$C68,P$50)+$D68*(INDEX($D$30:$R$46,$C68+1,P$50)-INDEX($D$30:$R$46,$C68,P$50))</f>
        <v/>
      </c>
      <c r="Q68" s="53">
        <f>INDEX($D$30:$R$46,$C68,Q$50)+$D68*(INDEX($D$30:$R$46,$C68+1,Q$50)-INDEX($D$30:$R$46,$C68,Q$50))</f>
        <v/>
      </c>
      <c r="R68" s="53">
        <f>INDEX($D$30:$R$46,$C68,R$50)+$D68*(INDEX($D$30:$R$46,$C68+1,R$50)-INDEX($D$30:$R$46,$C68,R$50))</f>
        <v/>
      </c>
      <c r="S68" s="53">
        <f>INDEX($D$30:$R$46,$C68,S$50)+$D68*(INDEX($D$30:$R$46,$C68+1,S$50)-INDEX($D$30:$R$46,$C68,S$50))</f>
        <v/>
      </c>
      <c r="T68" s="53">
        <f>INDEX($D$30:$R$46,$C68,T$50)+$D68*(INDEX($D$30:$R$46,$C68+1,T$50)-INDEX($D$30:$R$46,$C68,T$50))</f>
        <v/>
      </c>
      <c r="U68" s="53">
        <f>INDEX($D$30:$R$46,$C68,U$50)+$D68*(INDEX($D$30:$R$46,$C68+1,U$50)-INDEX($D$30:$R$46,$C68,U$50))</f>
        <v/>
      </c>
      <c r="X68" s="54">
        <f>(1-G68*Quotes!$B$2*SUM(X$51:X67))/(1+G68*Quotes!$B$2)</f>
        <v/>
      </c>
      <c r="Y68" s="54">
        <f>(1-H68*Quotes!$B$2*SUM(Y$51:Y67))/(1+H68*Quotes!$B$2)</f>
        <v/>
      </c>
      <c r="Z68" s="54">
        <f>(1-I68*Quotes!$B$2*SUM(Z$51:Z67))/(1+I68*Quotes!$B$2)</f>
        <v/>
      </c>
      <c r="AA68" s="54">
        <f>(1-J68*Quotes!$B$2*SUM(AA$51:AA67))/(1+J68*Quotes!$B$2)</f>
        <v/>
      </c>
      <c r="AB68" s="54">
        <f>(1-K68*Quotes!$B$2*SUM(AB$51:AB67))/(1+K68*Quotes!$B$2)</f>
        <v/>
      </c>
      <c r="AC68" s="54">
        <f>(1-L68*Quotes!$B$2*SUM(AC$51:AC67))/(1+L68*Quotes!$B$2)</f>
        <v/>
      </c>
      <c r="AD68" s="54">
        <f>(1-M68*Quotes!$B$2*SUM(AD$51:AD67))/(1+M68*Quotes!$B$2)</f>
        <v/>
      </c>
      <c r="AE68" s="54">
        <f>(1-N68*Quotes!$B$2*SUM(AE$51:AE67))/(1+N68*Quotes!$B$2)</f>
        <v/>
      </c>
      <c r="AF68" s="54">
        <f>(1-O68*Quotes!$B$2*SUM(AF$51:AF67))/(1+O68*Quotes!$B$2)</f>
        <v/>
      </c>
      <c r="AG68" s="54">
        <f>(1-P68*Quotes!$B$2*SUM(AG$51:AG67))/(1+P68*Quotes!$B$2)</f>
        <v/>
      </c>
      <c r="AH68" s="54">
        <f>(1-Q68*Quotes!$B$2*SUM(AH$51:AH67))/(1+Q68*Quotes!$B$2)</f>
        <v/>
      </c>
      <c r="AI68" s="54">
        <f>(1-R68*Quotes!$B$2*SUM(AI$51:AI67))/(1+R68*Quotes!$B$2)</f>
        <v/>
      </c>
      <c r="AJ68" s="54">
        <f>(1-S68*Quotes!$B$2*SUM(AJ$51:AJ67))/(1+S68*Quotes!$B$2)</f>
        <v/>
      </c>
      <c r="AK68" s="54">
        <f>(1-T68*Quotes!$B$2*SUM(AK$51:AK67))/(1+T68*Quotes!$B$2)</f>
        <v/>
      </c>
      <c r="AL68" s="54">
        <f>(1-U68*Quotes!$B$2*SUM(AL$51:AL67))/(1+U68*Quotes!$B$2)</f>
        <v/>
      </c>
    </row>
    <row r="69">
      <c r="A69" t="n">
        <v>19</v>
      </c>
      <c r="B69" s="70">
        <f>A69*0.25</f>
        <v/>
      </c>
      <c r="C69">
        <f>MIN(MATCH(B69,$B$30:$B$46,1),16)</f>
        <v/>
      </c>
      <c r="D69">
        <f>(B69-INDEX($B$30:$B$46,C69))/(INDEX($B$30:$B$46,C69+1)-INDEX($B$30:$B$46,C69))</f>
        <v/>
      </c>
      <c r="E69" s="55">
        <f>'Amort-Set-up'!E38</f>
        <v/>
      </c>
      <c r="G69" s="53">
        <f>INDEX($D$30:$R$46,$C69,G$50)+$D69*(INDEX($D$30:$R$46,$C69+1,G$50)-INDEX($D$30:$R$46,$C69,G$50))</f>
        <v/>
      </c>
      <c r="H69" s="53">
        <f>INDEX($D$30:$R$46,$C69,H$50)+$D69*(INDEX($D$30:$R$46,$C69+1,H$50)-INDEX($D$30:$R$46,$C69,H$50))</f>
        <v/>
      </c>
      <c r="I69" s="53">
        <f>INDEX($D$30:$R$46,$C69,I$50)+$D69*(INDEX($D$30:$R$46,$C69+1,I$50)-INDEX($D$30:$R$46,$C69,I$50))</f>
        <v/>
      </c>
      <c r="J69" s="53">
        <f>INDEX($D$30:$R$46,$C69,J$50)+$D69*(INDEX($D$30:$R$46,$C69+1,J$50)-INDEX($D$30:$R$46,$C69,J$50))</f>
        <v/>
      </c>
      <c r="K69" s="53">
        <f>INDEX($D$30:$R$46,$C69,K$50)+$D69*(INDEX($D$30:$R$46,$C69+1,K$50)-INDEX($D$30:$R$46,$C69,K$50))</f>
        <v/>
      </c>
      <c r="L69" s="53">
        <f>INDEX($D$30:$R$46,$C69,L$50)+$D69*(INDEX($D$30:$R$46,$C69+1,L$50)-INDEX($D$30:$R$46,$C69,L$50))</f>
        <v/>
      </c>
      <c r="M69" s="53">
        <f>INDEX($D$30:$R$46,$C69,M$50)+$D69*(INDEX($D$30:$R$46,$C69+1,M$50)-INDEX($D$30:$R$46,$C69,M$50))</f>
        <v/>
      </c>
      <c r="N69" s="53">
        <f>INDEX($D$30:$R$46,$C69,N$50)+$D69*(INDEX($D$30:$R$46,$C69+1,N$50)-INDEX($D$30:$R$46,$C69,N$50))</f>
        <v/>
      </c>
      <c r="O69" s="53">
        <f>INDEX($D$30:$R$46,$C69,O$50)+$D69*(INDEX($D$30:$R$46,$C69+1,O$50)-INDEX($D$30:$R$46,$C69,O$50))</f>
        <v/>
      </c>
      <c r="P69" s="53">
        <f>INDEX($D$30:$R$46,$C69,P$50)+$D69*(INDEX($D$30:$R$46,$C69+1,P$50)-INDEX($D$30:$R$46,$C69,P$50))</f>
        <v/>
      </c>
      <c r="Q69" s="53">
        <f>INDEX($D$30:$R$46,$C69,Q$50)+$D69*(INDEX($D$30:$R$46,$C69+1,Q$50)-INDEX($D$30:$R$46,$C69,Q$50))</f>
        <v/>
      </c>
      <c r="R69" s="53">
        <f>INDEX($D$30:$R$46,$C69,R$50)+$D69*(INDEX($D$30:$R$46,$C69+1,R$50)-INDEX($D$30:$R$46,$C69,R$50))</f>
        <v/>
      </c>
      <c r="S69" s="53">
        <f>INDEX($D$30:$R$46,$C69,S$50)+$D69*(INDEX($D$30:$R$46,$C69+1,S$50)-INDEX($D$30:$R$46,$C69,S$50))</f>
        <v/>
      </c>
      <c r="T69" s="53">
        <f>INDEX($D$30:$R$46,$C69,T$50)+$D69*(INDEX($D$30:$R$46,$C69+1,T$50)-INDEX($D$30:$R$46,$C69,T$50))</f>
        <v/>
      </c>
      <c r="U69" s="53">
        <f>INDEX($D$30:$R$46,$C69,U$50)+$D69*(INDEX($D$30:$R$46,$C69+1,U$50)-INDEX($D$30:$R$46,$C69,U$50))</f>
        <v/>
      </c>
      <c r="X69" s="54">
        <f>(1-G69*Quotes!$B$2*SUM(X$51:X68))/(1+G69*Quotes!$B$2)</f>
        <v/>
      </c>
      <c r="Y69" s="54">
        <f>(1-H69*Quotes!$B$2*SUM(Y$51:Y68))/(1+H69*Quotes!$B$2)</f>
        <v/>
      </c>
      <c r="Z69" s="54">
        <f>(1-I69*Quotes!$B$2*SUM(Z$51:Z68))/(1+I69*Quotes!$B$2)</f>
        <v/>
      </c>
      <c r="AA69" s="54">
        <f>(1-J69*Quotes!$B$2*SUM(AA$51:AA68))/(1+J69*Quotes!$B$2)</f>
        <v/>
      </c>
      <c r="AB69" s="54">
        <f>(1-K69*Quotes!$B$2*SUM(AB$51:AB68))/(1+K69*Quotes!$B$2)</f>
        <v/>
      </c>
      <c r="AC69" s="54">
        <f>(1-L69*Quotes!$B$2*SUM(AC$51:AC68))/(1+L69*Quotes!$B$2)</f>
        <v/>
      </c>
      <c r="AD69" s="54">
        <f>(1-M69*Quotes!$B$2*SUM(AD$51:AD68))/(1+M69*Quotes!$B$2)</f>
        <v/>
      </c>
      <c r="AE69" s="54">
        <f>(1-N69*Quotes!$B$2*SUM(AE$51:AE68))/(1+N69*Quotes!$B$2)</f>
        <v/>
      </c>
      <c r="AF69" s="54">
        <f>(1-O69*Quotes!$B$2*SUM(AF$51:AF68))/(1+O69*Quotes!$B$2)</f>
        <v/>
      </c>
      <c r="AG69" s="54">
        <f>(1-P69*Quotes!$B$2*SUM(AG$51:AG68))/(1+P69*Quotes!$B$2)</f>
        <v/>
      </c>
      <c r="AH69" s="54">
        <f>(1-Q69*Quotes!$B$2*SUM(AH$51:AH68))/(1+Q69*Quotes!$B$2)</f>
        <v/>
      </c>
      <c r="AI69" s="54">
        <f>(1-R69*Quotes!$B$2*SUM(AI$51:AI68))/(1+R69*Quotes!$B$2)</f>
        <v/>
      </c>
      <c r="AJ69" s="54">
        <f>(1-S69*Quotes!$B$2*SUM(AJ$51:AJ68))/(1+S69*Quotes!$B$2)</f>
        <v/>
      </c>
      <c r="AK69" s="54">
        <f>(1-T69*Quotes!$B$2*SUM(AK$51:AK68))/(1+T69*Quotes!$B$2)</f>
        <v/>
      </c>
      <c r="AL69" s="54">
        <f>(1-U69*Quotes!$B$2*SUM(AL$51:AL68))/(1+U69*Quotes!$B$2)</f>
        <v/>
      </c>
    </row>
    <row r="70">
      <c r="A70" t="n">
        <v>20</v>
      </c>
      <c r="B70" s="70">
        <f>A70*0.25</f>
        <v/>
      </c>
      <c r="C70">
        <f>MIN(MATCH(B70,$B$30:$B$46,1),16)</f>
        <v/>
      </c>
      <c r="D70">
        <f>(B70-INDEX($B$30:$B$46,C70))/(INDEX($B$30:$B$46,C70+1)-INDEX($B$30:$B$46,C70))</f>
        <v/>
      </c>
      <c r="E70" s="55">
        <f>'Amort-Set-up'!E39</f>
        <v/>
      </c>
      <c r="G70" s="53">
        <f>INDEX($D$30:$R$46,$C70,G$50)+$D70*(INDEX($D$30:$R$46,$C70+1,G$50)-INDEX($D$30:$R$46,$C70,G$50))</f>
        <v/>
      </c>
      <c r="H70" s="53">
        <f>INDEX($D$30:$R$46,$C70,H$50)+$D70*(INDEX($D$30:$R$46,$C70+1,H$50)-INDEX($D$30:$R$46,$C70,H$50))</f>
        <v/>
      </c>
      <c r="I70" s="53">
        <f>INDEX($D$30:$R$46,$C70,I$50)+$D70*(INDEX($D$30:$R$46,$C70+1,I$50)-INDEX($D$30:$R$46,$C70,I$50))</f>
        <v/>
      </c>
      <c r="J70" s="53">
        <f>INDEX($D$30:$R$46,$C70,J$50)+$D70*(INDEX($D$30:$R$46,$C70+1,J$50)-INDEX($D$30:$R$46,$C70,J$50))</f>
        <v/>
      </c>
      <c r="K70" s="53">
        <f>INDEX($D$30:$R$46,$C70,K$50)+$D70*(INDEX($D$30:$R$46,$C70+1,K$50)-INDEX($D$30:$R$46,$C70,K$50))</f>
        <v/>
      </c>
      <c r="L70" s="53">
        <f>INDEX($D$30:$R$46,$C70,L$50)+$D70*(INDEX($D$30:$R$46,$C70+1,L$50)-INDEX($D$30:$R$46,$C70,L$50))</f>
        <v/>
      </c>
      <c r="M70" s="53">
        <f>INDEX($D$30:$R$46,$C70,M$50)+$D70*(INDEX($D$30:$R$46,$C70+1,M$50)-INDEX($D$30:$R$46,$C70,M$50))</f>
        <v/>
      </c>
      <c r="N70" s="53">
        <f>INDEX($D$30:$R$46,$C70,N$50)+$D70*(INDEX($D$30:$R$46,$C70+1,N$50)-INDEX($D$30:$R$46,$C70,N$50))</f>
        <v/>
      </c>
      <c r="O70" s="53">
        <f>INDEX($D$30:$R$46,$C70,O$50)+$D70*(INDEX($D$30:$R$46,$C70+1,O$50)-INDEX($D$30:$R$46,$C70,O$50))</f>
        <v/>
      </c>
      <c r="P70" s="53">
        <f>INDEX($D$30:$R$46,$C70,P$50)+$D70*(INDEX($D$30:$R$46,$C70+1,P$50)-INDEX($D$30:$R$46,$C70,P$50))</f>
        <v/>
      </c>
      <c r="Q70" s="53">
        <f>INDEX($D$30:$R$46,$C70,Q$50)+$D70*(INDEX($D$30:$R$46,$C70+1,Q$50)-INDEX($D$30:$R$46,$C70,Q$50))</f>
        <v/>
      </c>
      <c r="R70" s="53">
        <f>INDEX($D$30:$R$46,$C70,R$50)+$D70*(INDEX($D$30:$R$46,$C70+1,R$50)-INDEX($D$30:$R$46,$C70,R$50))</f>
        <v/>
      </c>
      <c r="S70" s="53">
        <f>INDEX($D$30:$R$46,$C70,S$50)+$D70*(INDEX($D$30:$R$46,$C70+1,S$50)-INDEX($D$30:$R$46,$C70,S$50))</f>
        <v/>
      </c>
      <c r="T70" s="53">
        <f>INDEX($D$30:$R$46,$C70,T$50)+$D70*(INDEX($D$30:$R$46,$C70+1,T$50)-INDEX($D$30:$R$46,$C70,T$50))</f>
        <v/>
      </c>
      <c r="U70" s="53">
        <f>INDEX($D$30:$R$46,$C70,U$50)+$D70*(INDEX($D$30:$R$46,$C70+1,U$50)-INDEX($D$30:$R$46,$C70,U$50))</f>
        <v/>
      </c>
      <c r="X70" s="54">
        <f>(1-G70*Quotes!$B$2*SUM(X$51:X69))/(1+G70*Quotes!$B$2)</f>
        <v/>
      </c>
      <c r="Y70" s="54">
        <f>(1-H70*Quotes!$B$2*SUM(Y$51:Y69))/(1+H70*Quotes!$B$2)</f>
        <v/>
      </c>
      <c r="Z70" s="54">
        <f>(1-I70*Quotes!$B$2*SUM(Z$51:Z69))/(1+I70*Quotes!$B$2)</f>
        <v/>
      </c>
      <c r="AA70" s="54">
        <f>(1-J70*Quotes!$B$2*SUM(AA$51:AA69))/(1+J70*Quotes!$B$2)</f>
        <v/>
      </c>
      <c r="AB70" s="54">
        <f>(1-K70*Quotes!$B$2*SUM(AB$51:AB69))/(1+K70*Quotes!$B$2)</f>
        <v/>
      </c>
      <c r="AC70" s="54">
        <f>(1-L70*Quotes!$B$2*SUM(AC$51:AC69))/(1+L70*Quotes!$B$2)</f>
        <v/>
      </c>
      <c r="AD70" s="54">
        <f>(1-M70*Quotes!$B$2*SUM(AD$51:AD69))/(1+M70*Quotes!$B$2)</f>
        <v/>
      </c>
      <c r="AE70" s="54">
        <f>(1-N70*Quotes!$B$2*SUM(AE$51:AE69))/(1+N70*Quotes!$B$2)</f>
        <v/>
      </c>
      <c r="AF70" s="54">
        <f>(1-O70*Quotes!$B$2*SUM(AF$51:AF69))/(1+O70*Quotes!$B$2)</f>
        <v/>
      </c>
      <c r="AG70" s="54">
        <f>(1-P70*Quotes!$B$2*SUM(AG$51:AG69))/(1+P70*Quotes!$B$2)</f>
        <v/>
      </c>
      <c r="AH70" s="54">
        <f>(1-Q70*Quotes!$B$2*SUM(AH$51:AH69))/(1+Q70*Quotes!$B$2)</f>
        <v/>
      </c>
      <c r="AI70" s="54">
        <f>(1-R70*Quotes!$B$2*SUM(AI$51:AI69))/(1+R70*Quotes!$B$2)</f>
        <v/>
      </c>
      <c r="AJ70" s="54">
        <f>(1-S70*Quotes!$B$2*SUM(AJ$51:AJ69))/(1+S70*Quotes!$B$2)</f>
        <v/>
      </c>
      <c r="AK70" s="54">
        <f>(1-T70*Quotes!$B$2*SUM(AK$51:AK69))/(1+T70*Quotes!$B$2)</f>
        <v/>
      </c>
      <c r="AL70" s="54">
        <f>(1-U70*Quotes!$B$2*SUM(AL$51:AL69))/(1+U70*Quotes!$B$2)</f>
        <v/>
      </c>
    </row>
    <row r="71">
      <c r="A71" t="n">
        <v>21</v>
      </c>
      <c r="B71" s="70">
        <f>A71*0.25</f>
        <v/>
      </c>
      <c r="C71">
        <f>MIN(MATCH(B71,$B$30:$B$46,1),16)</f>
        <v/>
      </c>
      <c r="D71">
        <f>(B71-INDEX($B$30:$B$46,C71))/(INDEX($B$30:$B$46,C71+1)-INDEX($B$30:$B$46,C71))</f>
        <v/>
      </c>
      <c r="E71" s="55">
        <f>'Amort-Set-up'!E40</f>
        <v/>
      </c>
      <c r="G71" s="53">
        <f>INDEX($D$30:$R$46,$C71,G$50)+$D71*(INDEX($D$30:$R$46,$C71+1,G$50)-INDEX($D$30:$R$46,$C71,G$50))</f>
        <v/>
      </c>
      <c r="H71" s="53">
        <f>INDEX($D$30:$R$46,$C71,H$50)+$D71*(INDEX($D$30:$R$46,$C71+1,H$50)-INDEX($D$30:$R$46,$C71,H$50))</f>
        <v/>
      </c>
      <c r="I71" s="53">
        <f>INDEX($D$30:$R$46,$C71,I$50)+$D71*(INDEX($D$30:$R$46,$C71+1,I$50)-INDEX($D$30:$R$46,$C71,I$50))</f>
        <v/>
      </c>
      <c r="J71" s="53">
        <f>INDEX($D$30:$R$46,$C71,J$50)+$D71*(INDEX($D$30:$R$46,$C71+1,J$50)-INDEX($D$30:$R$46,$C71,J$50))</f>
        <v/>
      </c>
      <c r="K71" s="53">
        <f>INDEX($D$30:$R$46,$C71,K$50)+$D71*(INDEX($D$30:$R$46,$C71+1,K$50)-INDEX($D$30:$R$46,$C71,K$50))</f>
        <v/>
      </c>
      <c r="L71" s="53">
        <f>INDEX($D$30:$R$46,$C71,L$50)+$D71*(INDEX($D$30:$R$46,$C71+1,L$50)-INDEX($D$30:$R$46,$C71,L$50))</f>
        <v/>
      </c>
      <c r="M71" s="53">
        <f>INDEX($D$30:$R$46,$C71,M$50)+$D71*(INDEX($D$30:$R$46,$C71+1,M$50)-INDEX($D$30:$R$46,$C71,M$50))</f>
        <v/>
      </c>
      <c r="N71" s="53">
        <f>INDEX($D$30:$R$46,$C71,N$50)+$D71*(INDEX($D$30:$R$46,$C71+1,N$50)-INDEX($D$30:$R$46,$C71,N$50))</f>
        <v/>
      </c>
      <c r="O71" s="53">
        <f>INDEX($D$30:$R$46,$C71,O$50)+$D71*(INDEX($D$30:$R$46,$C71+1,O$50)-INDEX($D$30:$R$46,$C71,O$50))</f>
        <v/>
      </c>
      <c r="P71" s="53">
        <f>INDEX($D$30:$R$46,$C71,P$50)+$D71*(INDEX($D$30:$R$46,$C71+1,P$50)-INDEX($D$30:$R$46,$C71,P$50))</f>
        <v/>
      </c>
      <c r="Q71" s="53">
        <f>INDEX($D$30:$R$46,$C71,Q$50)+$D71*(INDEX($D$30:$R$46,$C71+1,Q$50)-INDEX($D$30:$R$46,$C71,Q$50))</f>
        <v/>
      </c>
      <c r="R71" s="53">
        <f>INDEX($D$30:$R$46,$C71,R$50)+$D71*(INDEX($D$30:$R$46,$C71+1,R$50)-INDEX($D$30:$R$46,$C71,R$50))</f>
        <v/>
      </c>
      <c r="S71" s="53">
        <f>INDEX($D$30:$R$46,$C71,S$50)+$D71*(INDEX($D$30:$R$46,$C71+1,S$50)-INDEX($D$30:$R$46,$C71,S$50))</f>
        <v/>
      </c>
      <c r="T71" s="53">
        <f>INDEX($D$30:$R$46,$C71,T$50)+$D71*(INDEX($D$30:$R$46,$C71+1,T$50)-INDEX($D$30:$R$46,$C71,T$50))</f>
        <v/>
      </c>
      <c r="U71" s="53">
        <f>INDEX($D$30:$R$46,$C71,U$50)+$D71*(INDEX($D$30:$R$46,$C71+1,U$50)-INDEX($D$30:$R$46,$C71,U$50))</f>
        <v/>
      </c>
      <c r="X71" s="54">
        <f>(1-G71*Quotes!$B$2*SUM(X$51:X70))/(1+G71*Quotes!$B$2)</f>
        <v/>
      </c>
      <c r="Y71" s="54">
        <f>(1-H71*Quotes!$B$2*SUM(Y$51:Y70))/(1+H71*Quotes!$B$2)</f>
        <v/>
      </c>
      <c r="Z71" s="54">
        <f>(1-I71*Quotes!$B$2*SUM(Z$51:Z70))/(1+I71*Quotes!$B$2)</f>
        <v/>
      </c>
      <c r="AA71" s="54">
        <f>(1-J71*Quotes!$B$2*SUM(AA$51:AA70))/(1+J71*Quotes!$B$2)</f>
        <v/>
      </c>
      <c r="AB71" s="54">
        <f>(1-K71*Quotes!$B$2*SUM(AB$51:AB70))/(1+K71*Quotes!$B$2)</f>
        <v/>
      </c>
      <c r="AC71" s="54">
        <f>(1-L71*Quotes!$B$2*SUM(AC$51:AC70))/(1+L71*Quotes!$B$2)</f>
        <v/>
      </c>
      <c r="AD71" s="54">
        <f>(1-M71*Quotes!$B$2*SUM(AD$51:AD70))/(1+M71*Quotes!$B$2)</f>
        <v/>
      </c>
      <c r="AE71" s="54">
        <f>(1-N71*Quotes!$B$2*SUM(AE$51:AE70))/(1+N71*Quotes!$B$2)</f>
        <v/>
      </c>
      <c r="AF71" s="54">
        <f>(1-O71*Quotes!$B$2*SUM(AF$51:AF70))/(1+O71*Quotes!$B$2)</f>
        <v/>
      </c>
      <c r="AG71" s="54">
        <f>(1-P71*Quotes!$B$2*SUM(AG$51:AG70))/(1+P71*Quotes!$B$2)</f>
        <v/>
      </c>
      <c r="AH71" s="54">
        <f>(1-Q71*Quotes!$B$2*SUM(AH$51:AH70))/(1+Q71*Quotes!$B$2)</f>
        <v/>
      </c>
      <c r="AI71" s="54">
        <f>(1-R71*Quotes!$B$2*SUM(AI$51:AI70))/(1+R71*Quotes!$B$2)</f>
        <v/>
      </c>
      <c r="AJ71" s="54">
        <f>(1-S71*Quotes!$B$2*SUM(AJ$51:AJ70))/(1+S71*Quotes!$B$2)</f>
        <v/>
      </c>
      <c r="AK71" s="54">
        <f>(1-T71*Quotes!$B$2*SUM(AK$51:AK70))/(1+T71*Quotes!$B$2)</f>
        <v/>
      </c>
      <c r="AL71" s="54">
        <f>(1-U71*Quotes!$B$2*SUM(AL$51:AL70))/(1+U71*Quotes!$B$2)</f>
        <v/>
      </c>
    </row>
    <row r="72">
      <c r="A72" t="n">
        <v>22</v>
      </c>
      <c r="B72" s="70">
        <f>A72*0.25</f>
        <v/>
      </c>
      <c r="C72">
        <f>MIN(MATCH(B72,$B$30:$B$46,1),16)</f>
        <v/>
      </c>
      <c r="D72">
        <f>(B72-INDEX($B$30:$B$46,C72))/(INDEX($B$30:$B$46,C72+1)-INDEX($B$30:$B$46,C72))</f>
        <v/>
      </c>
      <c r="E72" s="55">
        <f>'Amort-Set-up'!E41</f>
        <v/>
      </c>
      <c r="G72" s="53">
        <f>INDEX($D$30:$R$46,$C72,G$50)+$D72*(INDEX($D$30:$R$46,$C72+1,G$50)-INDEX($D$30:$R$46,$C72,G$50))</f>
        <v/>
      </c>
      <c r="H72" s="53">
        <f>INDEX($D$30:$R$46,$C72,H$50)+$D72*(INDEX($D$30:$R$46,$C72+1,H$50)-INDEX($D$30:$R$46,$C72,H$50))</f>
        <v/>
      </c>
      <c r="I72" s="53">
        <f>INDEX($D$30:$R$46,$C72,I$50)+$D72*(INDEX($D$30:$R$46,$C72+1,I$50)-INDEX($D$30:$R$46,$C72,I$50))</f>
        <v/>
      </c>
      <c r="J72" s="53">
        <f>INDEX($D$30:$R$46,$C72,J$50)+$D72*(INDEX($D$30:$R$46,$C72+1,J$50)-INDEX($D$30:$R$46,$C72,J$50))</f>
        <v/>
      </c>
      <c r="K72" s="53">
        <f>INDEX($D$30:$R$46,$C72,K$50)+$D72*(INDEX($D$30:$R$46,$C72+1,K$50)-INDEX($D$30:$R$46,$C72,K$50))</f>
        <v/>
      </c>
      <c r="L72" s="53">
        <f>INDEX($D$30:$R$46,$C72,L$50)+$D72*(INDEX($D$30:$R$46,$C72+1,L$50)-INDEX($D$30:$R$46,$C72,L$50))</f>
        <v/>
      </c>
      <c r="M72" s="53">
        <f>INDEX($D$30:$R$46,$C72,M$50)+$D72*(INDEX($D$30:$R$46,$C72+1,M$50)-INDEX($D$30:$R$46,$C72,M$50))</f>
        <v/>
      </c>
      <c r="N72" s="53">
        <f>INDEX($D$30:$R$46,$C72,N$50)+$D72*(INDEX($D$30:$R$46,$C72+1,N$50)-INDEX($D$30:$R$46,$C72,N$50))</f>
        <v/>
      </c>
      <c r="O72" s="53">
        <f>INDEX($D$30:$R$46,$C72,O$50)+$D72*(INDEX($D$30:$R$46,$C72+1,O$50)-INDEX($D$30:$R$46,$C72,O$50))</f>
        <v/>
      </c>
      <c r="P72" s="53">
        <f>INDEX($D$30:$R$46,$C72,P$50)+$D72*(INDEX($D$30:$R$46,$C72+1,P$50)-INDEX($D$30:$R$46,$C72,P$50))</f>
        <v/>
      </c>
      <c r="Q72" s="53">
        <f>INDEX($D$30:$R$46,$C72,Q$50)+$D72*(INDEX($D$30:$R$46,$C72+1,Q$50)-INDEX($D$30:$R$46,$C72,Q$50))</f>
        <v/>
      </c>
      <c r="R72" s="53">
        <f>INDEX($D$30:$R$46,$C72,R$50)+$D72*(INDEX($D$30:$R$46,$C72+1,R$50)-INDEX($D$30:$R$46,$C72,R$50))</f>
        <v/>
      </c>
      <c r="S72" s="53">
        <f>INDEX($D$30:$R$46,$C72,S$50)+$D72*(INDEX($D$30:$R$46,$C72+1,S$50)-INDEX($D$30:$R$46,$C72,S$50))</f>
        <v/>
      </c>
      <c r="T72" s="53">
        <f>INDEX($D$30:$R$46,$C72,T$50)+$D72*(INDEX($D$30:$R$46,$C72+1,T$50)-INDEX($D$30:$R$46,$C72,T$50))</f>
        <v/>
      </c>
      <c r="U72" s="53">
        <f>INDEX($D$30:$R$46,$C72,U$50)+$D72*(INDEX($D$30:$R$46,$C72+1,U$50)-INDEX($D$30:$R$46,$C72,U$50))</f>
        <v/>
      </c>
      <c r="X72" s="54">
        <f>(1-G72*Quotes!$B$2*SUM(X$51:X71))/(1+G72*Quotes!$B$2)</f>
        <v/>
      </c>
      <c r="Y72" s="54">
        <f>(1-H72*Quotes!$B$2*SUM(Y$51:Y71))/(1+H72*Quotes!$B$2)</f>
        <v/>
      </c>
      <c r="Z72" s="54">
        <f>(1-I72*Quotes!$B$2*SUM(Z$51:Z71))/(1+I72*Quotes!$B$2)</f>
        <v/>
      </c>
      <c r="AA72" s="54">
        <f>(1-J72*Quotes!$B$2*SUM(AA$51:AA71))/(1+J72*Quotes!$B$2)</f>
        <v/>
      </c>
      <c r="AB72" s="54">
        <f>(1-K72*Quotes!$B$2*SUM(AB$51:AB71))/(1+K72*Quotes!$B$2)</f>
        <v/>
      </c>
      <c r="AC72" s="54">
        <f>(1-L72*Quotes!$B$2*SUM(AC$51:AC71))/(1+L72*Quotes!$B$2)</f>
        <v/>
      </c>
      <c r="AD72" s="54">
        <f>(1-M72*Quotes!$B$2*SUM(AD$51:AD71))/(1+M72*Quotes!$B$2)</f>
        <v/>
      </c>
      <c r="AE72" s="54">
        <f>(1-N72*Quotes!$B$2*SUM(AE$51:AE71))/(1+N72*Quotes!$B$2)</f>
        <v/>
      </c>
      <c r="AF72" s="54">
        <f>(1-O72*Quotes!$B$2*SUM(AF$51:AF71))/(1+O72*Quotes!$B$2)</f>
        <v/>
      </c>
      <c r="AG72" s="54">
        <f>(1-P72*Quotes!$B$2*SUM(AG$51:AG71))/(1+P72*Quotes!$B$2)</f>
        <v/>
      </c>
      <c r="AH72" s="54">
        <f>(1-Q72*Quotes!$B$2*SUM(AH$51:AH71))/(1+Q72*Quotes!$B$2)</f>
        <v/>
      </c>
      <c r="AI72" s="54">
        <f>(1-R72*Quotes!$B$2*SUM(AI$51:AI71))/(1+R72*Quotes!$B$2)</f>
        <v/>
      </c>
      <c r="AJ72" s="54">
        <f>(1-S72*Quotes!$B$2*SUM(AJ$51:AJ71))/(1+S72*Quotes!$B$2)</f>
        <v/>
      </c>
      <c r="AK72" s="54">
        <f>(1-T72*Quotes!$B$2*SUM(AK$51:AK71))/(1+T72*Quotes!$B$2)</f>
        <v/>
      </c>
      <c r="AL72" s="54">
        <f>(1-U72*Quotes!$B$2*SUM(AL$51:AL71))/(1+U72*Quotes!$B$2)</f>
        <v/>
      </c>
    </row>
    <row r="73">
      <c r="A73" t="n">
        <v>23</v>
      </c>
      <c r="B73" s="70">
        <f>A73*0.25</f>
        <v/>
      </c>
      <c r="C73">
        <f>MIN(MATCH(B73,$B$30:$B$46,1),16)</f>
        <v/>
      </c>
      <c r="D73">
        <f>(B73-INDEX($B$30:$B$46,C73))/(INDEX($B$30:$B$46,C73+1)-INDEX($B$30:$B$46,C73))</f>
        <v/>
      </c>
      <c r="E73" s="55">
        <f>'Amort-Set-up'!E42</f>
        <v/>
      </c>
      <c r="G73" s="53">
        <f>INDEX($D$30:$R$46,$C73,G$50)+$D73*(INDEX($D$30:$R$46,$C73+1,G$50)-INDEX($D$30:$R$46,$C73,G$50))</f>
        <v/>
      </c>
      <c r="H73" s="53">
        <f>INDEX($D$30:$R$46,$C73,H$50)+$D73*(INDEX($D$30:$R$46,$C73+1,H$50)-INDEX($D$30:$R$46,$C73,H$50))</f>
        <v/>
      </c>
      <c r="I73" s="53">
        <f>INDEX($D$30:$R$46,$C73,I$50)+$D73*(INDEX($D$30:$R$46,$C73+1,I$50)-INDEX($D$30:$R$46,$C73,I$50))</f>
        <v/>
      </c>
      <c r="J73" s="53">
        <f>INDEX($D$30:$R$46,$C73,J$50)+$D73*(INDEX($D$30:$R$46,$C73+1,J$50)-INDEX($D$30:$R$46,$C73,J$50))</f>
        <v/>
      </c>
      <c r="K73" s="53">
        <f>INDEX($D$30:$R$46,$C73,K$50)+$D73*(INDEX($D$30:$R$46,$C73+1,K$50)-INDEX($D$30:$R$46,$C73,K$50))</f>
        <v/>
      </c>
      <c r="L73" s="53">
        <f>INDEX($D$30:$R$46,$C73,L$50)+$D73*(INDEX($D$30:$R$46,$C73+1,L$50)-INDEX($D$30:$R$46,$C73,L$50))</f>
        <v/>
      </c>
      <c r="M73" s="53">
        <f>INDEX($D$30:$R$46,$C73,M$50)+$D73*(INDEX($D$30:$R$46,$C73+1,M$50)-INDEX($D$30:$R$46,$C73,M$50))</f>
        <v/>
      </c>
      <c r="N73" s="53">
        <f>INDEX($D$30:$R$46,$C73,N$50)+$D73*(INDEX($D$30:$R$46,$C73+1,N$50)-INDEX($D$30:$R$46,$C73,N$50))</f>
        <v/>
      </c>
      <c r="O73" s="53">
        <f>INDEX($D$30:$R$46,$C73,O$50)+$D73*(INDEX($D$30:$R$46,$C73+1,O$50)-INDEX($D$30:$R$46,$C73,O$50))</f>
        <v/>
      </c>
      <c r="P73" s="53">
        <f>INDEX($D$30:$R$46,$C73,P$50)+$D73*(INDEX($D$30:$R$46,$C73+1,P$50)-INDEX($D$30:$R$46,$C73,P$50))</f>
        <v/>
      </c>
      <c r="Q73" s="53">
        <f>INDEX($D$30:$R$46,$C73,Q$50)+$D73*(INDEX($D$30:$R$46,$C73+1,Q$50)-INDEX($D$30:$R$46,$C73,Q$50))</f>
        <v/>
      </c>
      <c r="R73" s="53">
        <f>INDEX($D$30:$R$46,$C73,R$50)+$D73*(INDEX($D$30:$R$46,$C73+1,R$50)-INDEX($D$30:$R$46,$C73,R$50))</f>
        <v/>
      </c>
      <c r="S73" s="53">
        <f>INDEX($D$30:$R$46,$C73,S$50)+$D73*(INDEX($D$30:$R$46,$C73+1,S$50)-INDEX($D$30:$R$46,$C73,S$50))</f>
        <v/>
      </c>
      <c r="T73" s="53">
        <f>INDEX($D$30:$R$46,$C73,T$50)+$D73*(INDEX($D$30:$R$46,$C73+1,T$50)-INDEX($D$30:$R$46,$C73,T$50))</f>
        <v/>
      </c>
      <c r="U73" s="53">
        <f>INDEX($D$30:$R$46,$C73,U$50)+$D73*(INDEX($D$30:$R$46,$C73+1,U$50)-INDEX($D$30:$R$46,$C73,U$50))</f>
        <v/>
      </c>
      <c r="X73" s="54">
        <f>(1-G73*Quotes!$B$2*SUM(X$51:X72))/(1+G73*Quotes!$B$2)</f>
        <v/>
      </c>
      <c r="Y73" s="54">
        <f>(1-H73*Quotes!$B$2*SUM(Y$51:Y72))/(1+H73*Quotes!$B$2)</f>
        <v/>
      </c>
      <c r="Z73" s="54">
        <f>(1-I73*Quotes!$B$2*SUM(Z$51:Z72))/(1+I73*Quotes!$B$2)</f>
        <v/>
      </c>
      <c r="AA73" s="54">
        <f>(1-J73*Quotes!$B$2*SUM(AA$51:AA72))/(1+J73*Quotes!$B$2)</f>
        <v/>
      </c>
      <c r="AB73" s="54">
        <f>(1-K73*Quotes!$B$2*SUM(AB$51:AB72))/(1+K73*Quotes!$B$2)</f>
        <v/>
      </c>
      <c r="AC73" s="54">
        <f>(1-L73*Quotes!$B$2*SUM(AC$51:AC72))/(1+L73*Quotes!$B$2)</f>
        <v/>
      </c>
      <c r="AD73" s="54">
        <f>(1-M73*Quotes!$B$2*SUM(AD$51:AD72))/(1+M73*Quotes!$B$2)</f>
        <v/>
      </c>
      <c r="AE73" s="54">
        <f>(1-N73*Quotes!$B$2*SUM(AE$51:AE72))/(1+N73*Quotes!$B$2)</f>
        <v/>
      </c>
      <c r="AF73" s="54">
        <f>(1-O73*Quotes!$B$2*SUM(AF$51:AF72))/(1+O73*Quotes!$B$2)</f>
        <v/>
      </c>
      <c r="AG73" s="54">
        <f>(1-P73*Quotes!$B$2*SUM(AG$51:AG72))/(1+P73*Quotes!$B$2)</f>
        <v/>
      </c>
      <c r="AH73" s="54">
        <f>(1-Q73*Quotes!$B$2*SUM(AH$51:AH72))/(1+Q73*Quotes!$B$2)</f>
        <v/>
      </c>
      <c r="AI73" s="54">
        <f>(1-R73*Quotes!$B$2*SUM(AI$51:AI72))/(1+R73*Quotes!$B$2)</f>
        <v/>
      </c>
      <c r="AJ73" s="54">
        <f>(1-S73*Quotes!$B$2*SUM(AJ$51:AJ72))/(1+S73*Quotes!$B$2)</f>
        <v/>
      </c>
      <c r="AK73" s="54">
        <f>(1-T73*Quotes!$B$2*SUM(AK$51:AK72))/(1+T73*Quotes!$B$2)</f>
        <v/>
      </c>
      <c r="AL73" s="54">
        <f>(1-U73*Quotes!$B$2*SUM(AL$51:AL72))/(1+U73*Quotes!$B$2)</f>
        <v/>
      </c>
    </row>
    <row r="74">
      <c r="A74" t="n">
        <v>24</v>
      </c>
      <c r="B74" s="70">
        <f>A74*0.25</f>
        <v/>
      </c>
      <c r="C74">
        <f>MIN(MATCH(B74,$B$30:$B$46,1),16)</f>
        <v/>
      </c>
      <c r="D74">
        <f>(B74-INDEX($B$30:$B$46,C74))/(INDEX($B$30:$B$46,C74+1)-INDEX($B$30:$B$46,C74))</f>
        <v/>
      </c>
      <c r="E74" s="55">
        <f>'Amort-Set-up'!E43</f>
        <v/>
      </c>
      <c r="G74" s="53">
        <f>INDEX($D$30:$R$46,$C74,G$50)+$D74*(INDEX($D$30:$R$46,$C74+1,G$50)-INDEX($D$30:$R$46,$C74,G$50))</f>
        <v/>
      </c>
      <c r="H74" s="53">
        <f>INDEX($D$30:$R$46,$C74,H$50)+$D74*(INDEX($D$30:$R$46,$C74+1,H$50)-INDEX($D$30:$R$46,$C74,H$50))</f>
        <v/>
      </c>
      <c r="I74" s="53">
        <f>INDEX($D$30:$R$46,$C74,I$50)+$D74*(INDEX($D$30:$R$46,$C74+1,I$50)-INDEX($D$30:$R$46,$C74,I$50))</f>
        <v/>
      </c>
      <c r="J74" s="53">
        <f>INDEX($D$30:$R$46,$C74,J$50)+$D74*(INDEX($D$30:$R$46,$C74+1,J$50)-INDEX($D$30:$R$46,$C74,J$50))</f>
        <v/>
      </c>
      <c r="K74" s="53">
        <f>INDEX($D$30:$R$46,$C74,K$50)+$D74*(INDEX($D$30:$R$46,$C74+1,K$50)-INDEX($D$30:$R$46,$C74,K$50))</f>
        <v/>
      </c>
      <c r="L74" s="53">
        <f>INDEX($D$30:$R$46,$C74,L$50)+$D74*(INDEX($D$30:$R$46,$C74+1,L$50)-INDEX($D$30:$R$46,$C74,L$50))</f>
        <v/>
      </c>
      <c r="M74" s="53">
        <f>INDEX($D$30:$R$46,$C74,M$50)+$D74*(INDEX($D$30:$R$46,$C74+1,M$50)-INDEX($D$30:$R$46,$C74,M$50))</f>
        <v/>
      </c>
      <c r="N74" s="53">
        <f>INDEX($D$30:$R$46,$C74,N$50)+$D74*(INDEX($D$30:$R$46,$C74+1,N$50)-INDEX($D$30:$R$46,$C74,N$50))</f>
        <v/>
      </c>
      <c r="O74" s="53">
        <f>INDEX($D$30:$R$46,$C74,O$50)+$D74*(INDEX($D$30:$R$46,$C74+1,O$50)-INDEX($D$30:$R$46,$C74,O$50))</f>
        <v/>
      </c>
      <c r="P74" s="53">
        <f>INDEX($D$30:$R$46,$C74,P$50)+$D74*(INDEX($D$30:$R$46,$C74+1,P$50)-INDEX($D$30:$R$46,$C74,P$50))</f>
        <v/>
      </c>
      <c r="Q74" s="53">
        <f>INDEX($D$30:$R$46,$C74,Q$50)+$D74*(INDEX($D$30:$R$46,$C74+1,Q$50)-INDEX($D$30:$R$46,$C74,Q$50))</f>
        <v/>
      </c>
      <c r="R74" s="53">
        <f>INDEX($D$30:$R$46,$C74,R$50)+$D74*(INDEX($D$30:$R$46,$C74+1,R$50)-INDEX($D$30:$R$46,$C74,R$50))</f>
        <v/>
      </c>
      <c r="S74" s="53">
        <f>INDEX($D$30:$R$46,$C74,S$50)+$D74*(INDEX($D$30:$R$46,$C74+1,S$50)-INDEX($D$30:$R$46,$C74,S$50))</f>
        <v/>
      </c>
      <c r="T74" s="53">
        <f>INDEX($D$30:$R$46,$C74,T$50)+$D74*(INDEX($D$30:$R$46,$C74+1,T$50)-INDEX($D$30:$R$46,$C74,T$50))</f>
        <v/>
      </c>
      <c r="U74" s="53">
        <f>INDEX($D$30:$R$46,$C74,U$50)+$D74*(INDEX($D$30:$R$46,$C74+1,U$50)-INDEX($D$30:$R$46,$C74,U$50))</f>
        <v/>
      </c>
      <c r="X74" s="54">
        <f>(1-G74*Quotes!$B$2*SUM(X$51:X73))/(1+G74*Quotes!$B$2)</f>
        <v/>
      </c>
      <c r="Y74" s="54">
        <f>(1-H74*Quotes!$B$2*SUM(Y$51:Y73))/(1+H74*Quotes!$B$2)</f>
        <v/>
      </c>
      <c r="Z74" s="54">
        <f>(1-I74*Quotes!$B$2*SUM(Z$51:Z73))/(1+I74*Quotes!$B$2)</f>
        <v/>
      </c>
      <c r="AA74" s="54">
        <f>(1-J74*Quotes!$B$2*SUM(AA$51:AA73))/(1+J74*Quotes!$B$2)</f>
        <v/>
      </c>
      <c r="AB74" s="54">
        <f>(1-K74*Quotes!$B$2*SUM(AB$51:AB73))/(1+K74*Quotes!$B$2)</f>
        <v/>
      </c>
      <c r="AC74" s="54">
        <f>(1-L74*Quotes!$B$2*SUM(AC$51:AC73))/(1+L74*Quotes!$B$2)</f>
        <v/>
      </c>
      <c r="AD74" s="54">
        <f>(1-M74*Quotes!$B$2*SUM(AD$51:AD73))/(1+M74*Quotes!$B$2)</f>
        <v/>
      </c>
      <c r="AE74" s="54">
        <f>(1-N74*Quotes!$B$2*SUM(AE$51:AE73))/(1+N74*Quotes!$B$2)</f>
        <v/>
      </c>
      <c r="AF74" s="54">
        <f>(1-O74*Quotes!$B$2*SUM(AF$51:AF73))/(1+O74*Quotes!$B$2)</f>
        <v/>
      </c>
      <c r="AG74" s="54">
        <f>(1-P74*Quotes!$B$2*SUM(AG$51:AG73))/(1+P74*Quotes!$B$2)</f>
        <v/>
      </c>
      <c r="AH74" s="54">
        <f>(1-Q74*Quotes!$B$2*SUM(AH$51:AH73))/(1+Q74*Quotes!$B$2)</f>
        <v/>
      </c>
      <c r="AI74" s="54">
        <f>(1-R74*Quotes!$B$2*SUM(AI$51:AI73))/(1+R74*Quotes!$B$2)</f>
        <v/>
      </c>
      <c r="AJ74" s="54">
        <f>(1-S74*Quotes!$B$2*SUM(AJ$51:AJ73))/(1+S74*Quotes!$B$2)</f>
        <v/>
      </c>
      <c r="AK74" s="54">
        <f>(1-T74*Quotes!$B$2*SUM(AK$51:AK73))/(1+T74*Quotes!$B$2)</f>
        <v/>
      </c>
      <c r="AL74" s="54">
        <f>(1-U74*Quotes!$B$2*SUM(AL$51:AL73))/(1+U74*Quotes!$B$2)</f>
        <v/>
      </c>
    </row>
    <row r="75">
      <c r="A75" t="n">
        <v>25</v>
      </c>
      <c r="B75" s="70">
        <f>A75*0.25</f>
        <v/>
      </c>
      <c r="C75">
        <f>MIN(MATCH(B75,$B$30:$B$46,1),16)</f>
        <v/>
      </c>
      <c r="D75">
        <f>(B75-INDEX($B$30:$B$46,C75))/(INDEX($B$30:$B$46,C75+1)-INDEX($B$30:$B$46,C75))</f>
        <v/>
      </c>
      <c r="E75" s="55">
        <f>'Amort-Set-up'!E44</f>
        <v/>
      </c>
      <c r="G75" s="53">
        <f>INDEX($D$30:$R$46,$C75,G$50)+$D75*(INDEX($D$30:$R$46,$C75+1,G$50)-INDEX($D$30:$R$46,$C75,G$50))</f>
        <v/>
      </c>
      <c r="H75" s="53">
        <f>INDEX($D$30:$R$46,$C75,H$50)+$D75*(INDEX($D$30:$R$46,$C75+1,H$50)-INDEX($D$30:$R$46,$C75,H$50))</f>
        <v/>
      </c>
      <c r="I75" s="53">
        <f>INDEX($D$30:$R$46,$C75,I$50)+$D75*(INDEX($D$30:$R$46,$C75+1,I$50)-INDEX($D$30:$R$46,$C75,I$50))</f>
        <v/>
      </c>
      <c r="J75" s="53">
        <f>INDEX($D$30:$R$46,$C75,J$50)+$D75*(INDEX($D$30:$R$46,$C75+1,J$50)-INDEX($D$30:$R$46,$C75,J$50))</f>
        <v/>
      </c>
      <c r="K75" s="53">
        <f>INDEX($D$30:$R$46,$C75,K$50)+$D75*(INDEX($D$30:$R$46,$C75+1,K$50)-INDEX($D$30:$R$46,$C75,K$50))</f>
        <v/>
      </c>
      <c r="L75" s="53">
        <f>INDEX($D$30:$R$46,$C75,L$50)+$D75*(INDEX($D$30:$R$46,$C75+1,L$50)-INDEX($D$30:$R$46,$C75,L$50))</f>
        <v/>
      </c>
      <c r="M75" s="53">
        <f>INDEX($D$30:$R$46,$C75,M$50)+$D75*(INDEX($D$30:$R$46,$C75+1,M$50)-INDEX($D$30:$R$46,$C75,M$50))</f>
        <v/>
      </c>
      <c r="N75" s="53">
        <f>INDEX($D$30:$R$46,$C75,N$50)+$D75*(INDEX($D$30:$R$46,$C75+1,N$50)-INDEX($D$30:$R$46,$C75,N$50))</f>
        <v/>
      </c>
      <c r="O75" s="53">
        <f>INDEX($D$30:$R$46,$C75,O$50)+$D75*(INDEX($D$30:$R$46,$C75+1,O$50)-INDEX($D$30:$R$46,$C75,O$50))</f>
        <v/>
      </c>
      <c r="P75" s="53">
        <f>INDEX($D$30:$R$46,$C75,P$50)+$D75*(INDEX($D$30:$R$46,$C75+1,P$50)-INDEX($D$30:$R$46,$C75,P$50))</f>
        <v/>
      </c>
      <c r="Q75" s="53">
        <f>INDEX($D$30:$R$46,$C75,Q$50)+$D75*(INDEX($D$30:$R$46,$C75+1,Q$50)-INDEX($D$30:$R$46,$C75,Q$50))</f>
        <v/>
      </c>
      <c r="R75" s="53">
        <f>INDEX($D$30:$R$46,$C75,R$50)+$D75*(INDEX($D$30:$R$46,$C75+1,R$50)-INDEX($D$30:$R$46,$C75,R$50))</f>
        <v/>
      </c>
      <c r="S75" s="53">
        <f>INDEX($D$30:$R$46,$C75,S$50)+$D75*(INDEX($D$30:$R$46,$C75+1,S$50)-INDEX($D$30:$R$46,$C75,S$50))</f>
        <v/>
      </c>
      <c r="T75" s="53">
        <f>INDEX($D$30:$R$46,$C75,T$50)+$D75*(INDEX($D$30:$R$46,$C75+1,T$50)-INDEX($D$30:$R$46,$C75,T$50))</f>
        <v/>
      </c>
      <c r="U75" s="53">
        <f>INDEX($D$30:$R$46,$C75,U$50)+$D75*(INDEX($D$30:$R$46,$C75+1,U$50)-INDEX($D$30:$R$46,$C75,U$50))</f>
        <v/>
      </c>
      <c r="X75" s="54">
        <f>(1-G75*Quotes!$B$2*SUM(X$51:X74))/(1+G75*Quotes!$B$2)</f>
        <v/>
      </c>
      <c r="Y75" s="54">
        <f>(1-H75*Quotes!$B$2*SUM(Y$51:Y74))/(1+H75*Quotes!$B$2)</f>
        <v/>
      </c>
      <c r="Z75" s="54">
        <f>(1-I75*Quotes!$B$2*SUM(Z$51:Z74))/(1+I75*Quotes!$B$2)</f>
        <v/>
      </c>
      <c r="AA75" s="54">
        <f>(1-J75*Quotes!$B$2*SUM(AA$51:AA74))/(1+J75*Quotes!$B$2)</f>
        <v/>
      </c>
      <c r="AB75" s="54">
        <f>(1-K75*Quotes!$B$2*SUM(AB$51:AB74))/(1+K75*Quotes!$B$2)</f>
        <v/>
      </c>
      <c r="AC75" s="54">
        <f>(1-L75*Quotes!$B$2*SUM(AC$51:AC74))/(1+L75*Quotes!$B$2)</f>
        <v/>
      </c>
      <c r="AD75" s="54">
        <f>(1-M75*Quotes!$B$2*SUM(AD$51:AD74))/(1+M75*Quotes!$B$2)</f>
        <v/>
      </c>
      <c r="AE75" s="54">
        <f>(1-N75*Quotes!$B$2*SUM(AE$51:AE74))/(1+N75*Quotes!$B$2)</f>
        <v/>
      </c>
      <c r="AF75" s="54">
        <f>(1-O75*Quotes!$B$2*SUM(AF$51:AF74))/(1+O75*Quotes!$B$2)</f>
        <v/>
      </c>
      <c r="AG75" s="54">
        <f>(1-P75*Quotes!$B$2*SUM(AG$51:AG74))/(1+P75*Quotes!$B$2)</f>
        <v/>
      </c>
      <c r="AH75" s="54">
        <f>(1-Q75*Quotes!$B$2*SUM(AH$51:AH74))/(1+Q75*Quotes!$B$2)</f>
        <v/>
      </c>
      <c r="AI75" s="54">
        <f>(1-R75*Quotes!$B$2*SUM(AI$51:AI74))/(1+R75*Quotes!$B$2)</f>
        <v/>
      </c>
      <c r="AJ75" s="54">
        <f>(1-S75*Quotes!$B$2*SUM(AJ$51:AJ74))/(1+S75*Quotes!$B$2)</f>
        <v/>
      </c>
      <c r="AK75" s="54">
        <f>(1-T75*Quotes!$B$2*SUM(AK$51:AK74))/(1+T75*Quotes!$B$2)</f>
        <v/>
      </c>
      <c r="AL75" s="54">
        <f>(1-U75*Quotes!$B$2*SUM(AL$51:AL74))/(1+U75*Quotes!$B$2)</f>
        <v/>
      </c>
    </row>
    <row r="76">
      <c r="A76" t="n">
        <v>26</v>
      </c>
      <c r="B76" s="70">
        <f>A76*0.25</f>
        <v/>
      </c>
      <c r="C76">
        <f>MIN(MATCH(B76,$B$30:$B$46,1),16)</f>
        <v/>
      </c>
      <c r="D76">
        <f>(B76-INDEX($B$30:$B$46,C76))/(INDEX($B$30:$B$46,C76+1)-INDEX($B$30:$B$46,C76))</f>
        <v/>
      </c>
      <c r="E76" s="55">
        <f>'Amort-Set-up'!E45</f>
        <v/>
      </c>
      <c r="G76" s="53">
        <f>INDEX($D$30:$R$46,$C76,G$50)+$D76*(INDEX($D$30:$R$46,$C76+1,G$50)-INDEX($D$30:$R$46,$C76,G$50))</f>
        <v/>
      </c>
      <c r="H76" s="53">
        <f>INDEX($D$30:$R$46,$C76,H$50)+$D76*(INDEX($D$30:$R$46,$C76+1,H$50)-INDEX($D$30:$R$46,$C76,H$50))</f>
        <v/>
      </c>
      <c r="I76" s="53">
        <f>INDEX($D$30:$R$46,$C76,I$50)+$D76*(INDEX($D$30:$R$46,$C76+1,I$50)-INDEX($D$30:$R$46,$C76,I$50))</f>
        <v/>
      </c>
      <c r="J76" s="53">
        <f>INDEX($D$30:$R$46,$C76,J$50)+$D76*(INDEX($D$30:$R$46,$C76+1,J$50)-INDEX($D$30:$R$46,$C76,J$50))</f>
        <v/>
      </c>
      <c r="K76" s="53">
        <f>INDEX($D$30:$R$46,$C76,K$50)+$D76*(INDEX($D$30:$R$46,$C76+1,K$50)-INDEX($D$30:$R$46,$C76,K$50))</f>
        <v/>
      </c>
      <c r="L76" s="53">
        <f>INDEX($D$30:$R$46,$C76,L$50)+$D76*(INDEX($D$30:$R$46,$C76+1,L$50)-INDEX($D$30:$R$46,$C76,L$50))</f>
        <v/>
      </c>
      <c r="M76" s="53">
        <f>INDEX($D$30:$R$46,$C76,M$50)+$D76*(INDEX($D$30:$R$46,$C76+1,M$50)-INDEX($D$30:$R$46,$C76,M$50))</f>
        <v/>
      </c>
      <c r="N76" s="53">
        <f>INDEX($D$30:$R$46,$C76,N$50)+$D76*(INDEX($D$30:$R$46,$C76+1,N$50)-INDEX($D$30:$R$46,$C76,N$50))</f>
        <v/>
      </c>
      <c r="O76" s="53">
        <f>INDEX($D$30:$R$46,$C76,O$50)+$D76*(INDEX($D$30:$R$46,$C76+1,O$50)-INDEX($D$30:$R$46,$C76,O$50))</f>
        <v/>
      </c>
      <c r="P76" s="53">
        <f>INDEX($D$30:$R$46,$C76,P$50)+$D76*(INDEX($D$30:$R$46,$C76+1,P$50)-INDEX($D$30:$R$46,$C76,P$50))</f>
        <v/>
      </c>
      <c r="Q76" s="53">
        <f>INDEX($D$30:$R$46,$C76,Q$50)+$D76*(INDEX($D$30:$R$46,$C76+1,Q$50)-INDEX($D$30:$R$46,$C76,Q$50))</f>
        <v/>
      </c>
      <c r="R76" s="53">
        <f>INDEX($D$30:$R$46,$C76,R$50)+$D76*(INDEX($D$30:$R$46,$C76+1,R$50)-INDEX($D$30:$R$46,$C76,R$50))</f>
        <v/>
      </c>
      <c r="S76" s="53">
        <f>INDEX($D$30:$R$46,$C76,S$50)+$D76*(INDEX($D$30:$R$46,$C76+1,S$50)-INDEX($D$30:$R$46,$C76,S$50))</f>
        <v/>
      </c>
      <c r="T76" s="53">
        <f>INDEX($D$30:$R$46,$C76,T$50)+$D76*(INDEX($D$30:$R$46,$C76+1,T$50)-INDEX($D$30:$R$46,$C76,T$50))</f>
        <v/>
      </c>
      <c r="U76" s="53">
        <f>INDEX($D$30:$R$46,$C76,U$50)+$D76*(INDEX($D$30:$R$46,$C76+1,U$50)-INDEX($D$30:$R$46,$C76,U$50))</f>
        <v/>
      </c>
      <c r="X76" s="54">
        <f>(1-G76*Quotes!$B$2*SUM(X$51:X75))/(1+G76*Quotes!$B$2)</f>
        <v/>
      </c>
      <c r="Y76" s="54">
        <f>(1-H76*Quotes!$B$2*SUM(Y$51:Y75))/(1+H76*Quotes!$B$2)</f>
        <v/>
      </c>
      <c r="Z76" s="54">
        <f>(1-I76*Quotes!$B$2*SUM(Z$51:Z75))/(1+I76*Quotes!$B$2)</f>
        <v/>
      </c>
      <c r="AA76" s="54">
        <f>(1-J76*Quotes!$B$2*SUM(AA$51:AA75))/(1+J76*Quotes!$B$2)</f>
        <v/>
      </c>
      <c r="AB76" s="54">
        <f>(1-K76*Quotes!$B$2*SUM(AB$51:AB75))/(1+K76*Quotes!$B$2)</f>
        <v/>
      </c>
      <c r="AC76" s="54">
        <f>(1-L76*Quotes!$B$2*SUM(AC$51:AC75))/(1+L76*Quotes!$B$2)</f>
        <v/>
      </c>
      <c r="AD76" s="54">
        <f>(1-M76*Quotes!$B$2*SUM(AD$51:AD75))/(1+M76*Quotes!$B$2)</f>
        <v/>
      </c>
      <c r="AE76" s="54">
        <f>(1-N76*Quotes!$B$2*SUM(AE$51:AE75))/(1+N76*Quotes!$B$2)</f>
        <v/>
      </c>
      <c r="AF76" s="54">
        <f>(1-O76*Quotes!$B$2*SUM(AF$51:AF75))/(1+O76*Quotes!$B$2)</f>
        <v/>
      </c>
      <c r="AG76" s="54">
        <f>(1-P76*Quotes!$B$2*SUM(AG$51:AG75))/(1+P76*Quotes!$B$2)</f>
        <v/>
      </c>
      <c r="AH76" s="54">
        <f>(1-Q76*Quotes!$B$2*SUM(AH$51:AH75))/(1+Q76*Quotes!$B$2)</f>
        <v/>
      </c>
      <c r="AI76" s="54">
        <f>(1-R76*Quotes!$B$2*SUM(AI$51:AI75))/(1+R76*Quotes!$B$2)</f>
        <v/>
      </c>
      <c r="AJ76" s="54">
        <f>(1-S76*Quotes!$B$2*SUM(AJ$51:AJ75))/(1+S76*Quotes!$B$2)</f>
        <v/>
      </c>
      <c r="AK76" s="54">
        <f>(1-T76*Quotes!$B$2*SUM(AK$51:AK75))/(1+T76*Quotes!$B$2)</f>
        <v/>
      </c>
      <c r="AL76" s="54">
        <f>(1-U76*Quotes!$B$2*SUM(AL$51:AL75))/(1+U76*Quotes!$B$2)</f>
        <v/>
      </c>
    </row>
    <row r="77">
      <c r="A77" t="n">
        <v>27</v>
      </c>
      <c r="B77" s="70">
        <f>A77*0.25</f>
        <v/>
      </c>
      <c r="C77">
        <f>MIN(MATCH(B77,$B$30:$B$46,1),16)</f>
        <v/>
      </c>
      <c r="D77">
        <f>(B77-INDEX($B$30:$B$46,C77))/(INDEX($B$30:$B$46,C77+1)-INDEX($B$30:$B$46,C77))</f>
        <v/>
      </c>
      <c r="E77" s="55">
        <f>'Amort-Set-up'!E46</f>
        <v/>
      </c>
      <c r="G77" s="53">
        <f>INDEX($D$30:$R$46,$C77,G$50)+$D77*(INDEX($D$30:$R$46,$C77+1,G$50)-INDEX($D$30:$R$46,$C77,G$50))</f>
        <v/>
      </c>
      <c r="H77" s="53">
        <f>INDEX($D$30:$R$46,$C77,H$50)+$D77*(INDEX($D$30:$R$46,$C77+1,H$50)-INDEX($D$30:$R$46,$C77,H$50))</f>
        <v/>
      </c>
      <c r="I77" s="53">
        <f>INDEX($D$30:$R$46,$C77,I$50)+$D77*(INDEX($D$30:$R$46,$C77+1,I$50)-INDEX($D$30:$R$46,$C77,I$50))</f>
        <v/>
      </c>
      <c r="J77" s="53">
        <f>INDEX($D$30:$R$46,$C77,J$50)+$D77*(INDEX($D$30:$R$46,$C77+1,J$50)-INDEX($D$30:$R$46,$C77,J$50))</f>
        <v/>
      </c>
      <c r="K77" s="53">
        <f>INDEX($D$30:$R$46,$C77,K$50)+$D77*(INDEX($D$30:$R$46,$C77+1,K$50)-INDEX($D$30:$R$46,$C77,K$50))</f>
        <v/>
      </c>
      <c r="L77" s="53">
        <f>INDEX($D$30:$R$46,$C77,L$50)+$D77*(INDEX($D$30:$R$46,$C77+1,L$50)-INDEX($D$30:$R$46,$C77,L$50))</f>
        <v/>
      </c>
      <c r="M77" s="53">
        <f>INDEX($D$30:$R$46,$C77,M$50)+$D77*(INDEX($D$30:$R$46,$C77+1,M$50)-INDEX($D$30:$R$46,$C77,M$50))</f>
        <v/>
      </c>
      <c r="N77" s="53">
        <f>INDEX($D$30:$R$46,$C77,N$50)+$D77*(INDEX($D$30:$R$46,$C77+1,N$50)-INDEX($D$30:$R$46,$C77,N$50))</f>
        <v/>
      </c>
      <c r="O77" s="53">
        <f>INDEX($D$30:$R$46,$C77,O$50)+$D77*(INDEX($D$30:$R$46,$C77+1,O$50)-INDEX($D$30:$R$46,$C77,O$50))</f>
        <v/>
      </c>
      <c r="P77" s="53">
        <f>INDEX($D$30:$R$46,$C77,P$50)+$D77*(INDEX($D$30:$R$46,$C77+1,P$50)-INDEX($D$30:$R$46,$C77,P$50))</f>
        <v/>
      </c>
      <c r="Q77" s="53">
        <f>INDEX($D$30:$R$46,$C77,Q$50)+$D77*(INDEX($D$30:$R$46,$C77+1,Q$50)-INDEX($D$30:$R$46,$C77,Q$50))</f>
        <v/>
      </c>
      <c r="R77" s="53">
        <f>INDEX($D$30:$R$46,$C77,R$50)+$D77*(INDEX($D$30:$R$46,$C77+1,R$50)-INDEX($D$30:$R$46,$C77,R$50))</f>
        <v/>
      </c>
      <c r="S77" s="53">
        <f>INDEX($D$30:$R$46,$C77,S$50)+$D77*(INDEX($D$30:$R$46,$C77+1,S$50)-INDEX($D$30:$R$46,$C77,S$50))</f>
        <v/>
      </c>
      <c r="T77" s="53">
        <f>INDEX($D$30:$R$46,$C77,T$50)+$D77*(INDEX($D$30:$R$46,$C77+1,T$50)-INDEX($D$30:$R$46,$C77,T$50))</f>
        <v/>
      </c>
      <c r="U77" s="53">
        <f>INDEX($D$30:$R$46,$C77,U$50)+$D77*(INDEX($D$30:$R$46,$C77+1,U$50)-INDEX($D$30:$R$46,$C77,U$50))</f>
        <v/>
      </c>
      <c r="X77" s="54">
        <f>(1-G77*Quotes!$B$2*SUM(X$51:X76))/(1+G77*Quotes!$B$2)</f>
        <v/>
      </c>
      <c r="Y77" s="54">
        <f>(1-H77*Quotes!$B$2*SUM(Y$51:Y76))/(1+H77*Quotes!$B$2)</f>
        <v/>
      </c>
      <c r="Z77" s="54">
        <f>(1-I77*Quotes!$B$2*SUM(Z$51:Z76))/(1+I77*Quotes!$B$2)</f>
        <v/>
      </c>
      <c r="AA77" s="54">
        <f>(1-J77*Quotes!$B$2*SUM(AA$51:AA76))/(1+J77*Quotes!$B$2)</f>
        <v/>
      </c>
      <c r="AB77" s="54">
        <f>(1-K77*Quotes!$B$2*SUM(AB$51:AB76))/(1+K77*Quotes!$B$2)</f>
        <v/>
      </c>
      <c r="AC77" s="54">
        <f>(1-L77*Quotes!$B$2*SUM(AC$51:AC76))/(1+L77*Quotes!$B$2)</f>
        <v/>
      </c>
      <c r="AD77" s="54">
        <f>(1-M77*Quotes!$B$2*SUM(AD$51:AD76))/(1+M77*Quotes!$B$2)</f>
        <v/>
      </c>
      <c r="AE77" s="54">
        <f>(1-N77*Quotes!$B$2*SUM(AE$51:AE76))/(1+N77*Quotes!$B$2)</f>
        <v/>
      </c>
      <c r="AF77" s="54">
        <f>(1-O77*Quotes!$B$2*SUM(AF$51:AF76))/(1+O77*Quotes!$B$2)</f>
        <v/>
      </c>
      <c r="AG77" s="54">
        <f>(1-P77*Quotes!$B$2*SUM(AG$51:AG76))/(1+P77*Quotes!$B$2)</f>
        <v/>
      </c>
      <c r="AH77" s="54">
        <f>(1-Q77*Quotes!$B$2*SUM(AH$51:AH76))/(1+Q77*Quotes!$B$2)</f>
        <v/>
      </c>
      <c r="AI77" s="54">
        <f>(1-R77*Quotes!$B$2*SUM(AI$51:AI76))/(1+R77*Quotes!$B$2)</f>
        <v/>
      </c>
      <c r="AJ77" s="54">
        <f>(1-S77*Quotes!$B$2*SUM(AJ$51:AJ76))/(1+S77*Quotes!$B$2)</f>
        <v/>
      </c>
      <c r="AK77" s="54">
        <f>(1-T77*Quotes!$B$2*SUM(AK$51:AK76))/(1+T77*Quotes!$B$2)</f>
        <v/>
      </c>
      <c r="AL77" s="54">
        <f>(1-U77*Quotes!$B$2*SUM(AL$51:AL76))/(1+U77*Quotes!$B$2)</f>
        <v/>
      </c>
    </row>
    <row r="78">
      <c r="A78" t="n">
        <v>28</v>
      </c>
      <c r="B78" s="70">
        <f>A78*0.25</f>
        <v/>
      </c>
      <c r="C78">
        <f>MIN(MATCH(B78,$B$30:$B$46,1),16)</f>
        <v/>
      </c>
      <c r="D78">
        <f>(B78-INDEX($B$30:$B$46,C78))/(INDEX($B$30:$B$46,C78+1)-INDEX($B$30:$B$46,C78))</f>
        <v/>
      </c>
      <c r="E78" s="55">
        <f>'Amort-Set-up'!E47</f>
        <v/>
      </c>
      <c r="G78" s="53">
        <f>INDEX($D$30:$R$46,$C78,G$50)+$D78*(INDEX($D$30:$R$46,$C78+1,G$50)-INDEX($D$30:$R$46,$C78,G$50))</f>
        <v/>
      </c>
      <c r="H78" s="53">
        <f>INDEX($D$30:$R$46,$C78,H$50)+$D78*(INDEX($D$30:$R$46,$C78+1,H$50)-INDEX($D$30:$R$46,$C78,H$50))</f>
        <v/>
      </c>
      <c r="I78" s="53">
        <f>INDEX($D$30:$R$46,$C78,I$50)+$D78*(INDEX($D$30:$R$46,$C78+1,I$50)-INDEX($D$30:$R$46,$C78,I$50))</f>
        <v/>
      </c>
      <c r="J78" s="53">
        <f>INDEX($D$30:$R$46,$C78,J$50)+$D78*(INDEX($D$30:$R$46,$C78+1,J$50)-INDEX($D$30:$R$46,$C78,J$50))</f>
        <v/>
      </c>
      <c r="K78" s="53">
        <f>INDEX($D$30:$R$46,$C78,K$50)+$D78*(INDEX($D$30:$R$46,$C78+1,K$50)-INDEX($D$30:$R$46,$C78,K$50))</f>
        <v/>
      </c>
      <c r="L78" s="53">
        <f>INDEX($D$30:$R$46,$C78,L$50)+$D78*(INDEX($D$30:$R$46,$C78+1,L$50)-INDEX($D$30:$R$46,$C78,L$50))</f>
        <v/>
      </c>
      <c r="M78" s="53">
        <f>INDEX($D$30:$R$46,$C78,M$50)+$D78*(INDEX($D$30:$R$46,$C78+1,M$50)-INDEX($D$30:$R$46,$C78,M$50))</f>
        <v/>
      </c>
      <c r="N78" s="53">
        <f>INDEX($D$30:$R$46,$C78,N$50)+$D78*(INDEX($D$30:$R$46,$C78+1,N$50)-INDEX($D$30:$R$46,$C78,N$50))</f>
        <v/>
      </c>
      <c r="O78" s="53">
        <f>INDEX($D$30:$R$46,$C78,O$50)+$D78*(INDEX($D$30:$R$46,$C78+1,O$50)-INDEX($D$30:$R$46,$C78,O$50))</f>
        <v/>
      </c>
      <c r="P78" s="53">
        <f>INDEX($D$30:$R$46,$C78,P$50)+$D78*(INDEX($D$30:$R$46,$C78+1,P$50)-INDEX($D$30:$R$46,$C78,P$50))</f>
        <v/>
      </c>
      <c r="Q78" s="53">
        <f>INDEX($D$30:$R$46,$C78,Q$50)+$D78*(INDEX($D$30:$R$46,$C78+1,Q$50)-INDEX($D$30:$R$46,$C78,Q$50))</f>
        <v/>
      </c>
      <c r="R78" s="53">
        <f>INDEX($D$30:$R$46,$C78,R$50)+$D78*(INDEX($D$30:$R$46,$C78+1,R$50)-INDEX($D$30:$R$46,$C78,R$50))</f>
        <v/>
      </c>
      <c r="S78" s="53">
        <f>INDEX($D$30:$R$46,$C78,S$50)+$D78*(INDEX($D$30:$R$46,$C78+1,S$50)-INDEX($D$30:$R$46,$C78,S$50))</f>
        <v/>
      </c>
      <c r="T78" s="53">
        <f>INDEX($D$30:$R$46,$C78,T$50)+$D78*(INDEX($D$30:$R$46,$C78+1,T$50)-INDEX($D$30:$R$46,$C78,T$50))</f>
        <v/>
      </c>
      <c r="U78" s="53">
        <f>INDEX($D$30:$R$46,$C78,U$50)+$D78*(INDEX($D$30:$R$46,$C78+1,U$50)-INDEX($D$30:$R$46,$C78,U$50))</f>
        <v/>
      </c>
      <c r="X78" s="54">
        <f>(1-G78*Quotes!$B$2*SUM(X$51:X77))/(1+G78*Quotes!$B$2)</f>
        <v/>
      </c>
      <c r="Y78" s="54">
        <f>(1-H78*Quotes!$B$2*SUM(Y$51:Y77))/(1+H78*Quotes!$B$2)</f>
        <v/>
      </c>
      <c r="Z78" s="54">
        <f>(1-I78*Quotes!$B$2*SUM(Z$51:Z77))/(1+I78*Quotes!$B$2)</f>
        <v/>
      </c>
      <c r="AA78" s="54">
        <f>(1-J78*Quotes!$B$2*SUM(AA$51:AA77))/(1+J78*Quotes!$B$2)</f>
        <v/>
      </c>
      <c r="AB78" s="54">
        <f>(1-K78*Quotes!$B$2*SUM(AB$51:AB77))/(1+K78*Quotes!$B$2)</f>
        <v/>
      </c>
      <c r="AC78" s="54">
        <f>(1-L78*Quotes!$B$2*SUM(AC$51:AC77))/(1+L78*Quotes!$B$2)</f>
        <v/>
      </c>
      <c r="AD78" s="54">
        <f>(1-M78*Quotes!$B$2*SUM(AD$51:AD77))/(1+M78*Quotes!$B$2)</f>
        <v/>
      </c>
      <c r="AE78" s="54">
        <f>(1-N78*Quotes!$B$2*SUM(AE$51:AE77))/(1+N78*Quotes!$B$2)</f>
        <v/>
      </c>
      <c r="AF78" s="54">
        <f>(1-O78*Quotes!$B$2*SUM(AF$51:AF77))/(1+O78*Quotes!$B$2)</f>
        <v/>
      </c>
      <c r="AG78" s="54">
        <f>(1-P78*Quotes!$B$2*SUM(AG$51:AG77))/(1+P78*Quotes!$B$2)</f>
        <v/>
      </c>
      <c r="AH78" s="54">
        <f>(1-Q78*Quotes!$B$2*SUM(AH$51:AH77))/(1+Q78*Quotes!$B$2)</f>
        <v/>
      </c>
      <c r="AI78" s="54">
        <f>(1-R78*Quotes!$B$2*SUM(AI$51:AI77))/(1+R78*Quotes!$B$2)</f>
        <v/>
      </c>
      <c r="AJ78" s="54">
        <f>(1-S78*Quotes!$B$2*SUM(AJ$51:AJ77))/(1+S78*Quotes!$B$2)</f>
        <v/>
      </c>
      <c r="AK78" s="54">
        <f>(1-T78*Quotes!$B$2*SUM(AK$51:AK77))/(1+T78*Quotes!$B$2)</f>
        <v/>
      </c>
      <c r="AL78" s="54">
        <f>(1-U78*Quotes!$B$2*SUM(AL$51:AL77))/(1+U78*Quotes!$B$2)</f>
        <v/>
      </c>
    </row>
    <row r="79">
      <c r="A79" t="n">
        <v>29</v>
      </c>
      <c r="B79" s="70">
        <f>A79*0.25</f>
        <v/>
      </c>
      <c r="C79">
        <f>MIN(MATCH(B79,$B$30:$B$46,1),16)</f>
        <v/>
      </c>
      <c r="D79">
        <f>(B79-INDEX($B$30:$B$46,C79))/(INDEX($B$30:$B$46,C79+1)-INDEX($B$30:$B$46,C79))</f>
        <v/>
      </c>
      <c r="E79" s="55">
        <f>'Amort-Set-up'!E48</f>
        <v/>
      </c>
      <c r="G79" s="53">
        <f>INDEX($D$30:$R$46,$C79,G$50)+$D79*(INDEX($D$30:$R$46,$C79+1,G$50)-INDEX($D$30:$R$46,$C79,G$50))</f>
        <v/>
      </c>
      <c r="H79" s="53">
        <f>INDEX($D$30:$R$46,$C79,H$50)+$D79*(INDEX($D$30:$R$46,$C79+1,H$50)-INDEX($D$30:$R$46,$C79,H$50))</f>
        <v/>
      </c>
      <c r="I79" s="53">
        <f>INDEX($D$30:$R$46,$C79,I$50)+$D79*(INDEX($D$30:$R$46,$C79+1,I$50)-INDEX($D$30:$R$46,$C79,I$50))</f>
        <v/>
      </c>
      <c r="J79" s="53">
        <f>INDEX($D$30:$R$46,$C79,J$50)+$D79*(INDEX($D$30:$R$46,$C79+1,J$50)-INDEX($D$30:$R$46,$C79,J$50))</f>
        <v/>
      </c>
      <c r="K79" s="53">
        <f>INDEX($D$30:$R$46,$C79,K$50)+$D79*(INDEX($D$30:$R$46,$C79+1,K$50)-INDEX($D$30:$R$46,$C79,K$50))</f>
        <v/>
      </c>
      <c r="L79" s="53">
        <f>INDEX($D$30:$R$46,$C79,L$50)+$D79*(INDEX($D$30:$R$46,$C79+1,L$50)-INDEX($D$30:$R$46,$C79,L$50))</f>
        <v/>
      </c>
      <c r="M79" s="53">
        <f>INDEX($D$30:$R$46,$C79,M$50)+$D79*(INDEX($D$30:$R$46,$C79+1,M$50)-INDEX($D$30:$R$46,$C79,M$50))</f>
        <v/>
      </c>
      <c r="N79" s="53">
        <f>INDEX($D$30:$R$46,$C79,N$50)+$D79*(INDEX($D$30:$R$46,$C79+1,N$50)-INDEX($D$30:$R$46,$C79,N$50))</f>
        <v/>
      </c>
      <c r="O79" s="53">
        <f>INDEX($D$30:$R$46,$C79,O$50)+$D79*(INDEX($D$30:$R$46,$C79+1,O$50)-INDEX($D$30:$R$46,$C79,O$50))</f>
        <v/>
      </c>
      <c r="P79" s="53">
        <f>INDEX($D$30:$R$46,$C79,P$50)+$D79*(INDEX($D$30:$R$46,$C79+1,P$50)-INDEX($D$30:$R$46,$C79,P$50))</f>
        <v/>
      </c>
      <c r="Q79" s="53">
        <f>INDEX($D$30:$R$46,$C79,Q$50)+$D79*(INDEX($D$30:$R$46,$C79+1,Q$50)-INDEX($D$30:$R$46,$C79,Q$50))</f>
        <v/>
      </c>
      <c r="R79" s="53">
        <f>INDEX($D$30:$R$46,$C79,R$50)+$D79*(INDEX($D$30:$R$46,$C79+1,R$50)-INDEX($D$30:$R$46,$C79,R$50))</f>
        <v/>
      </c>
      <c r="S79" s="53">
        <f>INDEX($D$30:$R$46,$C79,S$50)+$D79*(INDEX($D$30:$R$46,$C79+1,S$50)-INDEX($D$30:$R$46,$C79,S$50))</f>
        <v/>
      </c>
      <c r="T79" s="53">
        <f>INDEX($D$30:$R$46,$C79,T$50)+$D79*(INDEX($D$30:$R$46,$C79+1,T$50)-INDEX($D$30:$R$46,$C79,T$50))</f>
        <v/>
      </c>
      <c r="U79" s="53">
        <f>INDEX($D$30:$R$46,$C79,U$50)+$D79*(INDEX($D$30:$R$46,$C79+1,U$50)-INDEX($D$30:$R$46,$C79,U$50))</f>
        <v/>
      </c>
      <c r="X79" s="54">
        <f>(1-G79*Quotes!$B$2*SUM(X$51:X78))/(1+G79*Quotes!$B$2)</f>
        <v/>
      </c>
      <c r="Y79" s="54">
        <f>(1-H79*Quotes!$B$2*SUM(Y$51:Y78))/(1+H79*Quotes!$B$2)</f>
        <v/>
      </c>
      <c r="Z79" s="54">
        <f>(1-I79*Quotes!$B$2*SUM(Z$51:Z78))/(1+I79*Quotes!$B$2)</f>
        <v/>
      </c>
      <c r="AA79" s="54">
        <f>(1-J79*Quotes!$B$2*SUM(AA$51:AA78))/(1+J79*Quotes!$B$2)</f>
        <v/>
      </c>
      <c r="AB79" s="54">
        <f>(1-K79*Quotes!$B$2*SUM(AB$51:AB78))/(1+K79*Quotes!$B$2)</f>
        <v/>
      </c>
      <c r="AC79" s="54">
        <f>(1-L79*Quotes!$B$2*SUM(AC$51:AC78))/(1+L79*Quotes!$B$2)</f>
        <v/>
      </c>
      <c r="AD79" s="54">
        <f>(1-M79*Quotes!$B$2*SUM(AD$51:AD78))/(1+M79*Quotes!$B$2)</f>
        <v/>
      </c>
      <c r="AE79" s="54">
        <f>(1-N79*Quotes!$B$2*SUM(AE$51:AE78))/(1+N79*Quotes!$B$2)</f>
        <v/>
      </c>
      <c r="AF79" s="54">
        <f>(1-O79*Quotes!$B$2*SUM(AF$51:AF78))/(1+O79*Quotes!$B$2)</f>
        <v/>
      </c>
      <c r="AG79" s="54">
        <f>(1-P79*Quotes!$B$2*SUM(AG$51:AG78))/(1+P79*Quotes!$B$2)</f>
        <v/>
      </c>
      <c r="AH79" s="54">
        <f>(1-Q79*Quotes!$B$2*SUM(AH$51:AH78))/(1+Q79*Quotes!$B$2)</f>
        <v/>
      </c>
      <c r="AI79" s="54">
        <f>(1-R79*Quotes!$B$2*SUM(AI$51:AI78))/(1+R79*Quotes!$B$2)</f>
        <v/>
      </c>
      <c r="AJ79" s="54">
        <f>(1-S79*Quotes!$B$2*SUM(AJ$51:AJ78))/(1+S79*Quotes!$B$2)</f>
        <v/>
      </c>
      <c r="AK79" s="54">
        <f>(1-T79*Quotes!$B$2*SUM(AK$51:AK78))/(1+T79*Quotes!$B$2)</f>
        <v/>
      </c>
      <c r="AL79" s="54">
        <f>(1-U79*Quotes!$B$2*SUM(AL$51:AL78))/(1+U79*Quotes!$B$2)</f>
        <v/>
      </c>
    </row>
    <row r="80">
      <c r="A80" t="n">
        <v>30</v>
      </c>
      <c r="B80" s="70">
        <f>A80*0.25</f>
        <v/>
      </c>
      <c r="C80">
        <f>MIN(MATCH(B80,$B$30:$B$46,1),16)</f>
        <v/>
      </c>
      <c r="D80">
        <f>(B80-INDEX($B$30:$B$46,C80))/(INDEX($B$30:$B$46,C80+1)-INDEX($B$30:$B$46,C80))</f>
        <v/>
      </c>
      <c r="E80" s="55">
        <f>'Amort-Set-up'!E49</f>
        <v/>
      </c>
      <c r="G80" s="53">
        <f>INDEX($D$30:$R$46,$C80,G$50)+$D80*(INDEX($D$30:$R$46,$C80+1,G$50)-INDEX($D$30:$R$46,$C80,G$50))</f>
        <v/>
      </c>
      <c r="H80" s="53">
        <f>INDEX($D$30:$R$46,$C80,H$50)+$D80*(INDEX($D$30:$R$46,$C80+1,H$50)-INDEX($D$30:$R$46,$C80,H$50))</f>
        <v/>
      </c>
      <c r="I80" s="53">
        <f>INDEX($D$30:$R$46,$C80,I$50)+$D80*(INDEX($D$30:$R$46,$C80+1,I$50)-INDEX($D$30:$R$46,$C80,I$50))</f>
        <v/>
      </c>
      <c r="J80" s="53">
        <f>INDEX($D$30:$R$46,$C80,J$50)+$D80*(INDEX($D$30:$R$46,$C80+1,J$50)-INDEX($D$30:$R$46,$C80,J$50))</f>
        <v/>
      </c>
      <c r="K80" s="53">
        <f>INDEX($D$30:$R$46,$C80,K$50)+$D80*(INDEX($D$30:$R$46,$C80+1,K$50)-INDEX($D$30:$R$46,$C80,K$50))</f>
        <v/>
      </c>
      <c r="L80" s="53">
        <f>INDEX($D$30:$R$46,$C80,L$50)+$D80*(INDEX($D$30:$R$46,$C80+1,L$50)-INDEX($D$30:$R$46,$C80,L$50))</f>
        <v/>
      </c>
      <c r="M80" s="53">
        <f>INDEX($D$30:$R$46,$C80,M$50)+$D80*(INDEX($D$30:$R$46,$C80+1,M$50)-INDEX($D$30:$R$46,$C80,M$50))</f>
        <v/>
      </c>
      <c r="N80" s="53">
        <f>INDEX($D$30:$R$46,$C80,N$50)+$D80*(INDEX($D$30:$R$46,$C80+1,N$50)-INDEX($D$30:$R$46,$C80,N$50))</f>
        <v/>
      </c>
      <c r="O80" s="53">
        <f>INDEX($D$30:$R$46,$C80,O$50)+$D80*(INDEX($D$30:$R$46,$C80+1,O$50)-INDEX($D$30:$R$46,$C80,O$50))</f>
        <v/>
      </c>
      <c r="P80" s="53">
        <f>INDEX($D$30:$R$46,$C80,P$50)+$D80*(INDEX($D$30:$R$46,$C80+1,P$50)-INDEX($D$30:$R$46,$C80,P$50))</f>
        <v/>
      </c>
      <c r="Q80" s="53">
        <f>INDEX($D$30:$R$46,$C80,Q$50)+$D80*(INDEX($D$30:$R$46,$C80+1,Q$50)-INDEX($D$30:$R$46,$C80,Q$50))</f>
        <v/>
      </c>
      <c r="R80" s="53">
        <f>INDEX($D$30:$R$46,$C80,R$50)+$D80*(INDEX($D$30:$R$46,$C80+1,R$50)-INDEX($D$30:$R$46,$C80,R$50))</f>
        <v/>
      </c>
      <c r="S80" s="53">
        <f>INDEX($D$30:$R$46,$C80,S$50)+$D80*(INDEX($D$30:$R$46,$C80+1,S$50)-INDEX($D$30:$R$46,$C80,S$50))</f>
        <v/>
      </c>
      <c r="T80" s="53">
        <f>INDEX($D$30:$R$46,$C80,T$50)+$D80*(INDEX($D$30:$R$46,$C80+1,T$50)-INDEX($D$30:$R$46,$C80,T$50))</f>
        <v/>
      </c>
      <c r="U80" s="53">
        <f>INDEX($D$30:$R$46,$C80,U$50)+$D80*(INDEX($D$30:$R$46,$C80+1,U$50)-INDEX($D$30:$R$46,$C80,U$50))</f>
        <v/>
      </c>
      <c r="X80" s="54">
        <f>(1-G80*Quotes!$B$2*SUM(X$51:X79))/(1+G80*Quotes!$B$2)</f>
        <v/>
      </c>
      <c r="Y80" s="54">
        <f>(1-H80*Quotes!$B$2*SUM(Y$51:Y79))/(1+H80*Quotes!$B$2)</f>
        <v/>
      </c>
      <c r="Z80" s="54">
        <f>(1-I80*Quotes!$B$2*SUM(Z$51:Z79))/(1+I80*Quotes!$B$2)</f>
        <v/>
      </c>
      <c r="AA80" s="54">
        <f>(1-J80*Quotes!$B$2*SUM(AA$51:AA79))/(1+J80*Quotes!$B$2)</f>
        <v/>
      </c>
      <c r="AB80" s="54">
        <f>(1-K80*Quotes!$B$2*SUM(AB$51:AB79))/(1+K80*Quotes!$B$2)</f>
        <v/>
      </c>
      <c r="AC80" s="54">
        <f>(1-L80*Quotes!$B$2*SUM(AC$51:AC79))/(1+L80*Quotes!$B$2)</f>
        <v/>
      </c>
      <c r="AD80" s="54">
        <f>(1-M80*Quotes!$B$2*SUM(AD$51:AD79))/(1+M80*Quotes!$B$2)</f>
        <v/>
      </c>
      <c r="AE80" s="54">
        <f>(1-N80*Quotes!$B$2*SUM(AE$51:AE79))/(1+N80*Quotes!$B$2)</f>
        <v/>
      </c>
      <c r="AF80" s="54">
        <f>(1-O80*Quotes!$B$2*SUM(AF$51:AF79))/(1+O80*Quotes!$B$2)</f>
        <v/>
      </c>
      <c r="AG80" s="54">
        <f>(1-P80*Quotes!$B$2*SUM(AG$51:AG79))/(1+P80*Quotes!$B$2)</f>
        <v/>
      </c>
      <c r="AH80" s="54">
        <f>(1-Q80*Quotes!$B$2*SUM(AH$51:AH79))/(1+Q80*Quotes!$B$2)</f>
        <v/>
      </c>
      <c r="AI80" s="54">
        <f>(1-R80*Quotes!$B$2*SUM(AI$51:AI79))/(1+R80*Quotes!$B$2)</f>
        <v/>
      </c>
      <c r="AJ80" s="54">
        <f>(1-S80*Quotes!$B$2*SUM(AJ$51:AJ79))/(1+S80*Quotes!$B$2)</f>
        <v/>
      </c>
      <c r="AK80" s="54">
        <f>(1-T80*Quotes!$B$2*SUM(AK$51:AK79))/(1+T80*Quotes!$B$2)</f>
        <v/>
      </c>
      <c r="AL80" s="54">
        <f>(1-U80*Quotes!$B$2*SUM(AL$51:AL79))/(1+U80*Quotes!$B$2)</f>
        <v/>
      </c>
    </row>
    <row r="81">
      <c r="A81" t="n">
        <v>31</v>
      </c>
      <c r="B81" s="70">
        <f>A81*0.25</f>
        <v/>
      </c>
      <c r="C81">
        <f>MIN(MATCH(B81,$B$30:$B$46,1),16)</f>
        <v/>
      </c>
      <c r="D81">
        <f>(B81-INDEX($B$30:$B$46,C81))/(INDEX($B$30:$B$46,C81+1)-INDEX($B$30:$B$46,C81))</f>
        <v/>
      </c>
      <c r="E81" s="55">
        <f>'Amort-Set-up'!E50</f>
        <v/>
      </c>
      <c r="G81" s="53">
        <f>INDEX($D$30:$R$46,$C81,G$50)+$D81*(INDEX($D$30:$R$46,$C81+1,G$50)-INDEX($D$30:$R$46,$C81,G$50))</f>
        <v/>
      </c>
      <c r="H81" s="53">
        <f>INDEX($D$30:$R$46,$C81,H$50)+$D81*(INDEX($D$30:$R$46,$C81+1,H$50)-INDEX($D$30:$R$46,$C81,H$50))</f>
        <v/>
      </c>
      <c r="I81" s="53">
        <f>INDEX($D$30:$R$46,$C81,I$50)+$D81*(INDEX($D$30:$R$46,$C81+1,I$50)-INDEX($D$30:$R$46,$C81,I$50))</f>
        <v/>
      </c>
      <c r="J81" s="53">
        <f>INDEX($D$30:$R$46,$C81,J$50)+$D81*(INDEX($D$30:$R$46,$C81+1,J$50)-INDEX($D$30:$R$46,$C81,J$50))</f>
        <v/>
      </c>
      <c r="K81" s="53">
        <f>INDEX($D$30:$R$46,$C81,K$50)+$D81*(INDEX($D$30:$R$46,$C81+1,K$50)-INDEX($D$30:$R$46,$C81,K$50))</f>
        <v/>
      </c>
      <c r="L81" s="53">
        <f>INDEX($D$30:$R$46,$C81,L$50)+$D81*(INDEX($D$30:$R$46,$C81+1,L$50)-INDEX($D$30:$R$46,$C81,L$50))</f>
        <v/>
      </c>
      <c r="M81" s="53">
        <f>INDEX($D$30:$R$46,$C81,M$50)+$D81*(INDEX($D$30:$R$46,$C81+1,M$50)-INDEX($D$30:$R$46,$C81,M$50))</f>
        <v/>
      </c>
      <c r="N81" s="53">
        <f>INDEX($D$30:$R$46,$C81,N$50)+$D81*(INDEX($D$30:$R$46,$C81+1,N$50)-INDEX($D$30:$R$46,$C81,N$50))</f>
        <v/>
      </c>
      <c r="O81" s="53">
        <f>INDEX($D$30:$R$46,$C81,O$50)+$D81*(INDEX($D$30:$R$46,$C81+1,O$50)-INDEX($D$30:$R$46,$C81,O$50))</f>
        <v/>
      </c>
      <c r="P81" s="53">
        <f>INDEX($D$30:$R$46,$C81,P$50)+$D81*(INDEX($D$30:$R$46,$C81+1,P$50)-INDEX($D$30:$R$46,$C81,P$50))</f>
        <v/>
      </c>
      <c r="Q81" s="53">
        <f>INDEX($D$30:$R$46,$C81,Q$50)+$D81*(INDEX($D$30:$R$46,$C81+1,Q$50)-INDEX($D$30:$R$46,$C81,Q$50))</f>
        <v/>
      </c>
      <c r="R81" s="53">
        <f>INDEX($D$30:$R$46,$C81,R$50)+$D81*(INDEX($D$30:$R$46,$C81+1,R$50)-INDEX($D$30:$R$46,$C81,R$50))</f>
        <v/>
      </c>
      <c r="S81" s="53">
        <f>INDEX($D$30:$R$46,$C81,S$50)+$D81*(INDEX($D$30:$R$46,$C81+1,S$50)-INDEX($D$30:$R$46,$C81,S$50))</f>
        <v/>
      </c>
      <c r="T81" s="53">
        <f>INDEX($D$30:$R$46,$C81,T$50)+$D81*(INDEX($D$30:$R$46,$C81+1,T$50)-INDEX($D$30:$R$46,$C81,T$50))</f>
        <v/>
      </c>
      <c r="U81" s="53">
        <f>INDEX($D$30:$R$46,$C81,U$50)+$D81*(INDEX($D$30:$R$46,$C81+1,U$50)-INDEX($D$30:$R$46,$C81,U$50))</f>
        <v/>
      </c>
      <c r="X81" s="54">
        <f>(1-G81*Quotes!$B$2*SUM(X$51:X80))/(1+G81*Quotes!$B$2)</f>
        <v/>
      </c>
      <c r="Y81" s="54">
        <f>(1-H81*Quotes!$B$2*SUM(Y$51:Y80))/(1+H81*Quotes!$B$2)</f>
        <v/>
      </c>
      <c r="Z81" s="54">
        <f>(1-I81*Quotes!$B$2*SUM(Z$51:Z80))/(1+I81*Quotes!$B$2)</f>
        <v/>
      </c>
      <c r="AA81" s="54">
        <f>(1-J81*Quotes!$B$2*SUM(AA$51:AA80))/(1+J81*Quotes!$B$2)</f>
        <v/>
      </c>
      <c r="AB81" s="54">
        <f>(1-K81*Quotes!$B$2*SUM(AB$51:AB80))/(1+K81*Quotes!$B$2)</f>
        <v/>
      </c>
      <c r="AC81" s="54">
        <f>(1-L81*Quotes!$B$2*SUM(AC$51:AC80))/(1+L81*Quotes!$B$2)</f>
        <v/>
      </c>
      <c r="AD81" s="54">
        <f>(1-M81*Quotes!$B$2*SUM(AD$51:AD80))/(1+M81*Quotes!$B$2)</f>
        <v/>
      </c>
      <c r="AE81" s="54">
        <f>(1-N81*Quotes!$B$2*SUM(AE$51:AE80))/(1+N81*Quotes!$B$2)</f>
        <v/>
      </c>
      <c r="AF81" s="54">
        <f>(1-O81*Quotes!$B$2*SUM(AF$51:AF80))/(1+O81*Quotes!$B$2)</f>
        <v/>
      </c>
      <c r="AG81" s="54">
        <f>(1-P81*Quotes!$B$2*SUM(AG$51:AG80))/(1+P81*Quotes!$B$2)</f>
        <v/>
      </c>
      <c r="AH81" s="54">
        <f>(1-Q81*Quotes!$B$2*SUM(AH$51:AH80))/(1+Q81*Quotes!$B$2)</f>
        <v/>
      </c>
      <c r="AI81" s="54">
        <f>(1-R81*Quotes!$B$2*SUM(AI$51:AI80))/(1+R81*Quotes!$B$2)</f>
        <v/>
      </c>
      <c r="AJ81" s="54">
        <f>(1-S81*Quotes!$B$2*SUM(AJ$51:AJ80))/(1+S81*Quotes!$B$2)</f>
        <v/>
      </c>
      <c r="AK81" s="54">
        <f>(1-T81*Quotes!$B$2*SUM(AK$51:AK80))/(1+T81*Quotes!$B$2)</f>
        <v/>
      </c>
      <c r="AL81" s="54">
        <f>(1-U81*Quotes!$B$2*SUM(AL$51:AL80))/(1+U81*Quotes!$B$2)</f>
        <v/>
      </c>
    </row>
    <row r="82">
      <c r="A82" t="n">
        <v>32</v>
      </c>
      <c r="B82" s="70">
        <f>A82*0.25</f>
        <v/>
      </c>
      <c r="C82">
        <f>MIN(MATCH(B82,$B$30:$B$46,1),16)</f>
        <v/>
      </c>
      <c r="D82">
        <f>(B82-INDEX($B$30:$B$46,C82))/(INDEX($B$30:$B$46,C82+1)-INDEX($B$30:$B$46,C82))</f>
        <v/>
      </c>
      <c r="E82" s="55">
        <f>'Amort-Set-up'!E51</f>
        <v/>
      </c>
      <c r="G82" s="53">
        <f>INDEX($D$30:$R$46,$C82,G$50)+$D82*(INDEX($D$30:$R$46,$C82+1,G$50)-INDEX($D$30:$R$46,$C82,G$50))</f>
        <v/>
      </c>
      <c r="H82" s="53">
        <f>INDEX($D$30:$R$46,$C82,H$50)+$D82*(INDEX($D$30:$R$46,$C82+1,H$50)-INDEX($D$30:$R$46,$C82,H$50))</f>
        <v/>
      </c>
      <c r="I82" s="53">
        <f>INDEX($D$30:$R$46,$C82,I$50)+$D82*(INDEX($D$30:$R$46,$C82+1,I$50)-INDEX($D$30:$R$46,$C82,I$50))</f>
        <v/>
      </c>
      <c r="J82" s="53">
        <f>INDEX($D$30:$R$46,$C82,J$50)+$D82*(INDEX($D$30:$R$46,$C82+1,J$50)-INDEX($D$30:$R$46,$C82,J$50))</f>
        <v/>
      </c>
      <c r="K82" s="53">
        <f>INDEX($D$30:$R$46,$C82,K$50)+$D82*(INDEX($D$30:$R$46,$C82+1,K$50)-INDEX($D$30:$R$46,$C82,K$50))</f>
        <v/>
      </c>
      <c r="L82" s="53">
        <f>INDEX($D$30:$R$46,$C82,L$50)+$D82*(INDEX($D$30:$R$46,$C82+1,L$50)-INDEX($D$30:$R$46,$C82,L$50))</f>
        <v/>
      </c>
      <c r="M82" s="53">
        <f>INDEX($D$30:$R$46,$C82,M$50)+$D82*(INDEX($D$30:$R$46,$C82+1,M$50)-INDEX($D$30:$R$46,$C82,M$50))</f>
        <v/>
      </c>
      <c r="N82" s="53">
        <f>INDEX($D$30:$R$46,$C82,N$50)+$D82*(INDEX($D$30:$R$46,$C82+1,N$50)-INDEX($D$30:$R$46,$C82,N$50))</f>
        <v/>
      </c>
      <c r="O82" s="53">
        <f>INDEX($D$30:$R$46,$C82,O$50)+$D82*(INDEX($D$30:$R$46,$C82+1,O$50)-INDEX($D$30:$R$46,$C82,O$50))</f>
        <v/>
      </c>
      <c r="P82" s="53">
        <f>INDEX($D$30:$R$46,$C82,P$50)+$D82*(INDEX($D$30:$R$46,$C82+1,P$50)-INDEX($D$30:$R$46,$C82,P$50))</f>
        <v/>
      </c>
      <c r="Q82" s="53">
        <f>INDEX($D$30:$R$46,$C82,Q$50)+$D82*(INDEX($D$30:$R$46,$C82+1,Q$50)-INDEX($D$30:$R$46,$C82,Q$50))</f>
        <v/>
      </c>
      <c r="R82" s="53">
        <f>INDEX($D$30:$R$46,$C82,R$50)+$D82*(INDEX($D$30:$R$46,$C82+1,R$50)-INDEX($D$30:$R$46,$C82,R$50))</f>
        <v/>
      </c>
      <c r="S82" s="53">
        <f>INDEX($D$30:$R$46,$C82,S$50)+$D82*(INDEX($D$30:$R$46,$C82+1,S$50)-INDEX($D$30:$R$46,$C82,S$50))</f>
        <v/>
      </c>
      <c r="T82" s="53">
        <f>INDEX($D$30:$R$46,$C82,T$50)+$D82*(INDEX($D$30:$R$46,$C82+1,T$50)-INDEX($D$30:$R$46,$C82,T$50))</f>
        <v/>
      </c>
      <c r="U82" s="53">
        <f>INDEX($D$30:$R$46,$C82,U$50)+$D82*(INDEX($D$30:$R$46,$C82+1,U$50)-INDEX($D$30:$R$46,$C82,U$50))</f>
        <v/>
      </c>
      <c r="X82" s="54">
        <f>(1-G82*Quotes!$B$2*SUM(X$51:X81))/(1+G82*Quotes!$B$2)</f>
        <v/>
      </c>
      <c r="Y82" s="54">
        <f>(1-H82*Quotes!$B$2*SUM(Y$51:Y81))/(1+H82*Quotes!$B$2)</f>
        <v/>
      </c>
      <c r="Z82" s="54">
        <f>(1-I82*Quotes!$B$2*SUM(Z$51:Z81))/(1+I82*Quotes!$B$2)</f>
        <v/>
      </c>
      <c r="AA82" s="54">
        <f>(1-J82*Quotes!$B$2*SUM(AA$51:AA81))/(1+J82*Quotes!$B$2)</f>
        <v/>
      </c>
      <c r="AB82" s="54">
        <f>(1-K82*Quotes!$B$2*SUM(AB$51:AB81))/(1+K82*Quotes!$B$2)</f>
        <v/>
      </c>
      <c r="AC82" s="54">
        <f>(1-L82*Quotes!$B$2*SUM(AC$51:AC81))/(1+L82*Quotes!$B$2)</f>
        <v/>
      </c>
      <c r="AD82" s="54">
        <f>(1-M82*Quotes!$B$2*SUM(AD$51:AD81))/(1+M82*Quotes!$B$2)</f>
        <v/>
      </c>
      <c r="AE82" s="54">
        <f>(1-N82*Quotes!$B$2*SUM(AE$51:AE81))/(1+N82*Quotes!$B$2)</f>
        <v/>
      </c>
      <c r="AF82" s="54">
        <f>(1-O82*Quotes!$B$2*SUM(AF$51:AF81))/(1+O82*Quotes!$B$2)</f>
        <v/>
      </c>
      <c r="AG82" s="54">
        <f>(1-P82*Quotes!$B$2*SUM(AG$51:AG81))/(1+P82*Quotes!$B$2)</f>
        <v/>
      </c>
      <c r="AH82" s="54">
        <f>(1-Q82*Quotes!$B$2*SUM(AH$51:AH81))/(1+Q82*Quotes!$B$2)</f>
        <v/>
      </c>
      <c r="AI82" s="54">
        <f>(1-R82*Quotes!$B$2*SUM(AI$51:AI81))/(1+R82*Quotes!$B$2)</f>
        <v/>
      </c>
      <c r="AJ82" s="54">
        <f>(1-S82*Quotes!$B$2*SUM(AJ$51:AJ81))/(1+S82*Quotes!$B$2)</f>
        <v/>
      </c>
      <c r="AK82" s="54">
        <f>(1-T82*Quotes!$B$2*SUM(AK$51:AK81))/(1+T82*Quotes!$B$2)</f>
        <v/>
      </c>
      <c r="AL82" s="54">
        <f>(1-U82*Quotes!$B$2*SUM(AL$51:AL81))/(1+U82*Quotes!$B$2)</f>
        <v/>
      </c>
    </row>
    <row r="83">
      <c r="A83" t="n">
        <v>33</v>
      </c>
      <c r="B83" s="70">
        <f>A83*0.25</f>
        <v/>
      </c>
      <c r="C83">
        <f>MIN(MATCH(B83,$B$30:$B$46,1),16)</f>
        <v/>
      </c>
      <c r="D83">
        <f>(B83-INDEX($B$30:$B$46,C83))/(INDEX($B$30:$B$46,C83+1)-INDEX($B$30:$B$46,C83))</f>
        <v/>
      </c>
      <c r="E83" s="55">
        <f>'Amort-Set-up'!E52</f>
        <v/>
      </c>
      <c r="G83" s="53">
        <f>INDEX($D$30:$R$46,$C83,G$50)+$D83*(INDEX($D$30:$R$46,$C83+1,G$50)-INDEX($D$30:$R$46,$C83,G$50))</f>
        <v/>
      </c>
      <c r="H83" s="53">
        <f>INDEX($D$30:$R$46,$C83,H$50)+$D83*(INDEX($D$30:$R$46,$C83+1,H$50)-INDEX($D$30:$R$46,$C83,H$50))</f>
        <v/>
      </c>
      <c r="I83" s="53">
        <f>INDEX($D$30:$R$46,$C83,I$50)+$D83*(INDEX($D$30:$R$46,$C83+1,I$50)-INDEX($D$30:$R$46,$C83,I$50))</f>
        <v/>
      </c>
      <c r="J83" s="53">
        <f>INDEX($D$30:$R$46,$C83,J$50)+$D83*(INDEX($D$30:$R$46,$C83+1,J$50)-INDEX($D$30:$R$46,$C83,J$50))</f>
        <v/>
      </c>
      <c r="K83" s="53">
        <f>INDEX($D$30:$R$46,$C83,K$50)+$D83*(INDEX($D$30:$R$46,$C83+1,K$50)-INDEX($D$30:$R$46,$C83,K$50))</f>
        <v/>
      </c>
      <c r="L83" s="53">
        <f>INDEX($D$30:$R$46,$C83,L$50)+$D83*(INDEX($D$30:$R$46,$C83+1,L$50)-INDEX($D$30:$R$46,$C83,L$50))</f>
        <v/>
      </c>
      <c r="M83" s="53">
        <f>INDEX($D$30:$R$46,$C83,M$50)+$D83*(INDEX($D$30:$R$46,$C83+1,M$50)-INDEX($D$30:$R$46,$C83,M$50))</f>
        <v/>
      </c>
      <c r="N83" s="53">
        <f>INDEX($D$30:$R$46,$C83,N$50)+$D83*(INDEX($D$30:$R$46,$C83+1,N$50)-INDEX($D$30:$R$46,$C83,N$50))</f>
        <v/>
      </c>
      <c r="O83" s="53">
        <f>INDEX($D$30:$R$46,$C83,O$50)+$D83*(INDEX($D$30:$R$46,$C83+1,O$50)-INDEX($D$30:$R$46,$C83,O$50))</f>
        <v/>
      </c>
      <c r="P83" s="53">
        <f>INDEX($D$30:$R$46,$C83,P$50)+$D83*(INDEX($D$30:$R$46,$C83+1,P$50)-INDEX($D$30:$R$46,$C83,P$50))</f>
        <v/>
      </c>
      <c r="Q83" s="53">
        <f>INDEX($D$30:$R$46,$C83,Q$50)+$D83*(INDEX($D$30:$R$46,$C83+1,Q$50)-INDEX($D$30:$R$46,$C83,Q$50))</f>
        <v/>
      </c>
      <c r="R83" s="53">
        <f>INDEX($D$30:$R$46,$C83,R$50)+$D83*(INDEX($D$30:$R$46,$C83+1,R$50)-INDEX($D$30:$R$46,$C83,R$50))</f>
        <v/>
      </c>
      <c r="S83" s="53">
        <f>INDEX($D$30:$R$46,$C83,S$50)+$D83*(INDEX($D$30:$R$46,$C83+1,S$50)-INDEX($D$30:$R$46,$C83,S$50))</f>
        <v/>
      </c>
      <c r="T83" s="53">
        <f>INDEX($D$30:$R$46,$C83,T$50)+$D83*(INDEX($D$30:$R$46,$C83+1,T$50)-INDEX($D$30:$R$46,$C83,T$50))</f>
        <v/>
      </c>
      <c r="U83" s="53">
        <f>INDEX($D$30:$R$46,$C83,U$50)+$D83*(INDEX($D$30:$R$46,$C83+1,U$50)-INDEX($D$30:$R$46,$C83,U$50))</f>
        <v/>
      </c>
      <c r="X83" s="54">
        <f>(1-G83*Quotes!$B$2*SUM(X$51:X82))/(1+G83*Quotes!$B$2)</f>
        <v/>
      </c>
      <c r="Y83" s="54">
        <f>(1-H83*Quotes!$B$2*SUM(Y$51:Y82))/(1+H83*Quotes!$B$2)</f>
        <v/>
      </c>
      <c r="Z83" s="54">
        <f>(1-I83*Quotes!$B$2*SUM(Z$51:Z82))/(1+I83*Quotes!$B$2)</f>
        <v/>
      </c>
      <c r="AA83" s="54">
        <f>(1-J83*Quotes!$B$2*SUM(AA$51:AA82))/(1+J83*Quotes!$B$2)</f>
        <v/>
      </c>
      <c r="AB83" s="54">
        <f>(1-K83*Quotes!$B$2*SUM(AB$51:AB82))/(1+K83*Quotes!$B$2)</f>
        <v/>
      </c>
      <c r="AC83" s="54">
        <f>(1-L83*Quotes!$B$2*SUM(AC$51:AC82))/(1+L83*Quotes!$B$2)</f>
        <v/>
      </c>
      <c r="AD83" s="54">
        <f>(1-M83*Quotes!$B$2*SUM(AD$51:AD82))/(1+M83*Quotes!$B$2)</f>
        <v/>
      </c>
      <c r="AE83" s="54">
        <f>(1-N83*Quotes!$B$2*SUM(AE$51:AE82))/(1+N83*Quotes!$B$2)</f>
        <v/>
      </c>
      <c r="AF83" s="54">
        <f>(1-O83*Quotes!$B$2*SUM(AF$51:AF82))/(1+O83*Quotes!$B$2)</f>
        <v/>
      </c>
      <c r="AG83" s="54">
        <f>(1-P83*Quotes!$B$2*SUM(AG$51:AG82))/(1+P83*Quotes!$B$2)</f>
        <v/>
      </c>
      <c r="AH83" s="54">
        <f>(1-Q83*Quotes!$B$2*SUM(AH$51:AH82))/(1+Q83*Quotes!$B$2)</f>
        <v/>
      </c>
      <c r="AI83" s="54">
        <f>(1-R83*Quotes!$B$2*SUM(AI$51:AI82))/(1+R83*Quotes!$B$2)</f>
        <v/>
      </c>
      <c r="AJ83" s="54">
        <f>(1-S83*Quotes!$B$2*SUM(AJ$51:AJ82))/(1+S83*Quotes!$B$2)</f>
        <v/>
      </c>
      <c r="AK83" s="54">
        <f>(1-T83*Quotes!$B$2*SUM(AK$51:AK82))/(1+T83*Quotes!$B$2)</f>
        <v/>
      </c>
      <c r="AL83" s="54">
        <f>(1-U83*Quotes!$B$2*SUM(AL$51:AL82))/(1+U83*Quotes!$B$2)</f>
        <v/>
      </c>
    </row>
    <row r="84">
      <c r="A84" t="n">
        <v>34</v>
      </c>
      <c r="B84" s="70">
        <f>A84*0.25</f>
        <v/>
      </c>
      <c r="C84">
        <f>MIN(MATCH(B84,$B$30:$B$46,1),16)</f>
        <v/>
      </c>
      <c r="D84">
        <f>(B84-INDEX($B$30:$B$46,C84))/(INDEX($B$30:$B$46,C84+1)-INDEX($B$30:$B$46,C84))</f>
        <v/>
      </c>
      <c r="E84" s="55">
        <f>'Amort-Set-up'!E53</f>
        <v/>
      </c>
      <c r="G84" s="53">
        <f>INDEX($D$30:$R$46,$C84,G$50)+$D84*(INDEX($D$30:$R$46,$C84+1,G$50)-INDEX($D$30:$R$46,$C84,G$50))</f>
        <v/>
      </c>
      <c r="H84" s="53">
        <f>INDEX($D$30:$R$46,$C84,H$50)+$D84*(INDEX($D$30:$R$46,$C84+1,H$50)-INDEX($D$30:$R$46,$C84,H$50))</f>
        <v/>
      </c>
      <c r="I84" s="53">
        <f>INDEX($D$30:$R$46,$C84,I$50)+$D84*(INDEX($D$30:$R$46,$C84+1,I$50)-INDEX($D$30:$R$46,$C84,I$50))</f>
        <v/>
      </c>
      <c r="J84" s="53">
        <f>INDEX($D$30:$R$46,$C84,J$50)+$D84*(INDEX($D$30:$R$46,$C84+1,J$50)-INDEX($D$30:$R$46,$C84,J$50))</f>
        <v/>
      </c>
      <c r="K84" s="53">
        <f>INDEX($D$30:$R$46,$C84,K$50)+$D84*(INDEX($D$30:$R$46,$C84+1,K$50)-INDEX($D$30:$R$46,$C84,K$50))</f>
        <v/>
      </c>
      <c r="L84" s="53">
        <f>INDEX($D$30:$R$46,$C84,L$50)+$D84*(INDEX($D$30:$R$46,$C84+1,L$50)-INDEX($D$30:$R$46,$C84,L$50))</f>
        <v/>
      </c>
      <c r="M84" s="53">
        <f>INDEX($D$30:$R$46,$C84,M$50)+$D84*(INDEX($D$30:$R$46,$C84+1,M$50)-INDEX($D$30:$R$46,$C84,M$50))</f>
        <v/>
      </c>
      <c r="N84" s="53">
        <f>INDEX($D$30:$R$46,$C84,N$50)+$D84*(INDEX($D$30:$R$46,$C84+1,N$50)-INDEX($D$30:$R$46,$C84,N$50))</f>
        <v/>
      </c>
      <c r="O84" s="53">
        <f>INDEX($D$30:$R$46,$C84,O$50)+$D84*(INDEX($D$30:$R$46,$C84+1,O$50)-INDEX($D$30:$R$46,$C84,O$50))</f>
        <v/>
      </c>
      <c r="P84" s="53">
        <f>INDEX($D$30:$R$46,$C84,P$50)+$D84*(INDEX($D$30:$R$46,$C84+1,P$50)-INDEX($D$30:$R$46,$C84,P$50))</f>
        <v/>
      </c>
      <c r="Q84" s="53">
        <f>INDEX($D$30:$R$46,$C84,Q$50)+$D84*(INDEX($D$30:$R$46,$C84+1,Q$50)-INDEX($D$30:$R$46,$C84,Q$50))</f>
        <v/>
      </c>
      <c r="R84" s="53">
        <f>INDEX($D$30:$R$46,$C84,R$50)+$D84*(INDEX($D$30:$R$46,$C84+1,R$50)-INDEX($D$30:$R$46,$C84,R$50))</f>
        <v/>
      </c>
      <c r="S84" s="53">
        <f>INDEX($D$30:$R$46,$C84,S$50)+$D84*(INDEX($D$30:$R$46,$C84+1,S$50)-INDEX($D$30:$R$46,$C84,S$50))</f>
        <v/>
      </c>
      <c r="T84" s="53">
        <f>INDEX($D$30:$R$46,$C84,T$50)+$D84*(INDEX($D$30:$R$46,$C84+1,T$50)-INDEX($D$30:$R$46,$C84,T$50))</f>
        <v/>
      </c>
      <c r="U84" s="53">
        <f>INDEX($D$30:$R$46,$C84,U$50)+$D84*(INDEX($D$30:$R$46,$C84+1,U$50)-INDEX($D$30:$R$46,$C84,U$50))</f>
        <v/>
      </c>
      <c r="X84" s="54">
        <f>(1-G84*Quotes!$B$2*SUM(X$51:X83))/(1+G84*Quotes!$B$2)</f>
        <v/>
      </c>
      <c r="Y84" s="54">
        <f>(1-H84*Quotes!$B$2*SUM(Y$51:Y83))/(1+H84*Quotes!$B$2)</f>
        <v/>
      </c>
      <c r="Z84" s="54">
        <f>(1-I84*Quotes!$B$2*SUM(Z$51:Z83))/(1+I84*Quotes!$B$2)</f>
        <v/>
      </c>
      <c r="AA84" s="54">
        <f>(1-J84*Quotes!$B$2*SUM(AA$51:AA83))/(1+J84*Quotes!$B$2)</f>
        <v/>
      </c>
      <c r="AB84" s="54">
        <f>(1-K84*Quotes!$B$2*SUM(AB$51:AB83))/(1+K84*Quotes!$B$2)</f>
        <v/>
      </c>
      <c r="AC84" s="54">
        <f>(1-L84*Quotes!$B$2*SUM(AC$51:AC83))/(1+L84*Quotes!$B$2)</f>
        <v/>
      </c>
      <c r="AD84" s="54">
        <f>(1-M84*Quotes!$B$2*SUM(AD$51:AD83))/(1+M84*Quotes!$B$2)</f>
        <v/>
      </c>
      <c r="AE84" s="54">
        <f>(1-N84*Quotes!$B$2*SUM(AE$51:AE83))/(1+N84*Quotes!$B$2)</f>
        <v/>
      </c>
      <c r="AF84" s="54">
        <f>(1-O84*Quotes!$B$2*SUM(AF$51:AF83))/(1+O84*Quotes!$B$2)</f>
        <v/>
      </c>
      <c r="AG84" s="54">
        <f>(1-P84*Quotes!$B$2*SUM(AG$51:AG83))/(1+P84*Quotes!$B$2)</f>
        <v/>
      </c>
      <c r="AH84" s="54">
        <f>(1-Q84*Quotes!$B$2*SUM(AH$51:AH83))/(1+Q84*Quotes!$B$2)</f>
        <v/>
      </c>
      <c r="AI84" s="54">
        <f>(1-R84*Quotes!$B$2*SUM(AI$51:AI83))/(1+R84*Quotes!$B$2)</f>
        <v/>
      </c>
      <c r="AJ84" s="54">
        <f>(1-S84*Quotes!$B$2*SUM(AJ$51:AJ83))/(1+S84*Quotes!$B$2)</f>
        <v/>
      </c>
      <c r="AK84" s="54">
        <f>(1-T84*Quotes!$B$2*SUM(AK$51:AK83))/(1+T84*Quotes!$B$2)</f>
        <v/>
      </c>
      <c r="AL84" s="54">
        <f>(1-U84*Quotes!$B$2*SUM(AL$51:AL83))/(1+U84*Quotes!$B$2)</f>
        <v/>
      </c>
    </row>
    <row r="85">
      <c r="A85" t="n">
        <v>35</v>
      </c>
      <c r="B85" s="70">
        <f>A85*0.25</f>
        <v/>
      </c>
      <c r="C85">
        <f>MIN(MATCH(B85,$B$30:$B$46,1),16)</f>
        <v/>
      </c>
      <c r="D85">
        <f>(B85-INDEX($B$30:$B$46,C85))/(INDEX($B$30:$B$46,C85+1)-INDEX($B$30:$B$46,C85))</f>
        <v/>
      </c>
      <c r="E85" s="55">
        <f>'Amort-Set-up'!E54</f>
        <v/>
      </c>
      <c r="G85" s="53">
        <f>INDEX($D$30:$R$46,$C85,G$50)+$D85*(INDEX($D$30:$R$46,$C85+1,G$50)-INDEX($D$30:$R$46,$C85,G$50))</f>
        <v/>
      </c>
      <c r="H85" s="53">
        <f>INDEX($D$30:$R$46,$C85,H$50)+$D85*(INDEX($D$30:$R$46,$C85+1,H$50)-INDEX($D$30:$R$46,$C85,H$50))</f>
        <v/>
      </c>
      <c r="I85" s="53">
        <f>INDEX($D$30:$R$46,$C85,I$50)+$D85*(INDEX($D$30:$R$46,$C85+1,I$50)-INDEX($D$30:$R$46,$C85,I$50))</f>
        <v/>
      </c>
      <c r="J85" s="53">
        <f>INDEX($D$30:$R$46,$C85,J$50)+$D85*(INDEX($D$30:$R$46,$C85+1,J$50)-INDEX($D$30:$R$46,$C85,J$50))</f>
        <v/>
      </c>
      <c r="K85" s="53">
        <f>INDEX($D$30:$R$46,$C85,K$50)+$D85*(INDEX($D$30:$R$46,$C85+1,K$50)-INDEX($D$30:$R$46,$C85,K$50))</f>
        <v/>
      </c>
      <c r="L85" s="53">
        <f>INDEX($D$30:$R$46,$C85,L$50)+$D85*(INDEX($D$30:$R$46,$C85+1,L$50)-INDEX($D$30:$R$46,$C85,L$50))</f>
        <v/>
      </c>
      <c r="M85" s="53">
        <f>INDEX($D$30:$R$46,$C85,M$50)+$D85*(INDEX($D$30:$R$46,$C85+1,M$50)-INDEX($D$30:$R$46,$C85,M$50))</f>
        <v/>
      </c>
      <c r="N85" s="53">
        <f>INDEX($D$30:$R$46,$C85,N$50)+$D85*(INDEX($D$30:$R$46,$C85+1,N$50)-INDEX($D$30:$R$46,$C85,N$50))</f>
        <v/>
      </c>
      <c r="O85" s="53">
        <f>INDEX($D$30:$R$46,$C85,O$50)+$D85*(INDEX($D$30:$R$46,$C85+1,O$50)-INDEX($D$30:$R$46,$C85,O$50))</f>
        <v/>
      </c>
      <c r="P85" s="53">
        <f>INDEX($D$30:$R$46,$C85,P$50)+$D85*(INDEX($D$30:$R$46,$C85+1,P$50)-INDEX($D$30:$R$46,$C85,P$50))</f>
        <v/>
      </c>
      <c r="Q85" s="53">
        <f>INDEX($D$30:$R$46,$C85,Q$50)+$D85*(INDEX($D$30:$R$46,$C85+1,Q$50)-INDEX($D$30:$R$46,$C85,Q$50))</f>
        <v/>
      </c>
      <c r="R85" s="53">
        <f>INDEX($D$30:$R$46,$C85,R$50)+$D85*(INDEX($D$30:$R$46,$C85+1,R$50)-INDEX($D$30:$R$46,$C85,R$50))</f>
        <v/>
      </c>
      <c r="S85" s="53">
        <f>INDEX($D$30:$R$46,$C85,S$50)+$D85*(INDEX($D$30:$R$46,$C85+1,S$50)-INDEX($D$30:$R$46,$C85,S$50))</f>
        <v/>
      </c>
      <c r="T85" s="53">
        <f>INDEX($D$30:$R$46,$C85,T$50)+$D85*(INDEX($D$30:$R$46,$C85+1,T$50)-INDEX($D$30:$R$46,$C85,T$50))</f>
        <v/>
      </c>
      <c r="U85" s="53">
        <f>INDEX($D$30:$R$46,$C85,U$50)+$D85*(INDEX($D$30:$R$46,$C85+1,U$50)-INDEX($D$30:$R$46,$C85,U$50))</f>
        <v/>
      </c>
      <c r="X85" s="54">
        <f>(1-G85*Quotes!$B$2*SUM(X$51:X84))/(1+G85*Quotes!$B$2)</f>
        <v/>
      </c>
      <c r="Y85" s="54">
        <f>(1-H85*Quotes!$B$2*SUM(Y$51:Y84))/(1+H85*Quotes!$B$2)</f>
        <v/>
      </c>
      <c r="Z85" s="54">
        <f>(1-I85*Quotes!$B$2*SUM(Z$51:Z84))/(1+I85*Quotes!$B$2)</f>
        <v/>
      </c>
      <c r="AA85" s="54">
        <f>(1-J85*Quotes!$B$2*SUM(AA$51:AA84))/(1+J85*Quotes!$B$2)</f>
        <v/>
      </c>
      <c r="AB85" s="54">
        <f>(1-K85*Quotes!$B$2*SUM(AB$51:AB84))/(1+K85*Quotes!$B$2)</f>
        <v/>
      </c>
      <c r="AC85" s="54">
        <f>(1-L85*Quotes!$B$2*SUM(AC$51:AC84))/(1+L85*Quotes!$B$2)</f>
        <v/>
      </c>
      <c r="AD85" s="54">
        <f>(1-M85*Quotes!$B$2*SUM(AD$51:AD84))/(1+M85*Quotes!$B$2)</f>
        <v/>
      </c>
      <c r="AE85" s="54">
        <f>(1-N85*Quotes!$B$2*SUM(AE$51:AE84))/(1+N85*Quotes!$B$2)</f>
        <v/>
      </c>
      <c r="AF85" s="54">
        <f>(1-O85*Quotes!$B$2*SUM(AF$51:AF84))/(1+O85*Quotes!$B$2)</f>
        <v/>
      </c>
      <c r="AG85" s="54">
        <f>(1-P85*Quotes!$B$2*SUM(AG$51:AG84))/(1+P85*Quotes!$B$2)</f>
        <v/>
      </c>
      <c r="AH85" s="54">
        <f>(1-Q85*Quotes!$B$2*SUM(AH$51:AH84))/(1+Q85*Quotes!$B$2)</f>
        <v/>
      </c>
      <c r="AI85" s="54">
        <f>(1-R85*Quotes!$B$2*SUM(AI$51:AI84))/(1+R85*Quotes!$B$2)</f>
        <v/>
      </c>
      <c r="AJ85" s="54">
        <f>(1-S85*Quotes!$B$2*SUM(AJ$51:AJ84))/(1+S85*Quotes!$B$2)</f>
        <v/>
      </c>
      <c r="AK85" s="54">
        <f>(1-T85*Quotes!$B$2*SUM(AK$51:AK84))/(1+T85*Quotes!$B$2)</f>
        <v/>
      </c>
      <c r="AL85" s="54">
        <f>(1-U85*Quotes!$B$2*SUM(AL$51:AL84))/(1+U85*Quotes!$B$2)</f>
        <v/>
      </c>
    </row>
    <row r="86">
      <c r="A86" t="n">
        <v>36</v>
      </c>
      <c r="B86" s="70">
        <f>A86*0.25</f>
        <v/>
      </c>
      <c r="C86">
        <f>MIN(MATCH(B86,$B$30:$B$46,1),16)</f>
        <v/>
      </c>
      <c r="D86">
        <f>(B86-INDEX($B$30:$B$46,C86))/(INDEX($B$30:$B$46,C86+1)-INDEX($B$30:$B$46,C86))</f>
        <v/>
      </c>
      <c r="E86" s="55">
        <f>'Amort-Set-up'!E55</f>
        <v/>
      </c>
      <c r="G86" s="53">
        <f>INDEX($D$30:$R$46,$C86,G$50)+$D86*(INDEX($D$30:$R$46,$C86+1,G$50)-INDEX($D$30:$R$46,$C86,G$50))</f>
        <v/>
      </c>
      <c r="H86" s="53">
        <f>INDEX($D$30:$R$46,$C86,H$50)+$D86*(INDEX($D$30:$R$46,$C86+1,H$50)-INDEX($D$30:$R$46,$C86,H$50))</f>
        <v/>
      </c>
      <c r="I86" s="53">
        <f>INDEX($D$30:$R$46,$C86,I$50)+$D86*(INDEX($D$30:$R$46,$C86+1,I$50)-INDEX($D$30:$R$46,$C86,I$50))</f>
        <v/>
      </c>
      <c r="J86" s="53">
        <f>INDEX($D$30:$R$46,$C86,J$50)+$D86*(INDEX($D$30:$R$46,$C86+1,J$50)-INDEX($D$30:$R$46,$C86,J$50))</f>
        <v/>
      </c>
      <c r="K86" s="53">
        <f>INDEX($D$30:$R$46,$C86,K$50)+$D86*(INDEX($D$30:$R$46,$C86+1,K$50)-INDEX($D$30:$R$46,$C86,K$50))</f>
        <v/>
      </c>
      <c r="L86" s="53">
        <f>INDEX($D$30:$R$46,$C86,L$50)+$D86*(INDEX($D$30:$R$46,$C86+1,L$50)-INDEX($D$30:$R$46,$C86,L$50))</f>
        <v/>
      </c>
      <c r="M86" s="53">
        <f>INDEX($D$30:$R$46,$C86,M$50)+$D86*(INDEX($D$30:$R$46,$C86+1,M$50)-INDEX($D$30:$R$46,$C86,M$50))</f>
        <v/>
      </c>
      <c r="N86" s="53">
        <f>INDEX($D$30:$R$46,$C86,N$50)+$D86*(INDEX($D$30:$R$46,$C86+1,N$50)-INDEX($D$30:$R$46,$C86,N$50))</f>
        <v/>
      </c>
      <c r="O86" s="53">
        <f>INDEX($D$30:$R$46,$C86,O$50)+$D86*(INDEX($D$30:$R$46,$C86+1,O$50)-INDEX($D$30:$R$46,$C86,O$50))</f>
        <v/>
      </c>
      <c r="P86" s="53">
        <f>INDEX($D$30:$R$46,$C86,P$50)+$D86*(INDEX($D$30:$R$46,$C86+1,P$50)-INDEX($D$30:$R$46,$C86,P$50))</f>
        <v/>
      </c>
      <c r="Q86" s="53">
        <f>INDEX($D$30:$R$46,$C86,Q$50)+$D86*(INDEX($D$30:$R$46,$C86+1,Q$50)-INDEX($D$30:$R$46,$C86,Q$50))</f>
        <v/>
      </c>
      <c r="R86" s="53">
        <f>INDEX($D$30:$R$46,$C86,R$50)+$D86*(INDEX($D$30:$R$46,$C86+1,R$50)-INDEX($D$30:$R$46,$C86,R$50))</f>
        <v/>
      </c>
      <c r="S86" s="53">
        <f>INDEX($D$30:$R$46,$C86,S$50)+$D86*(INDEX($D$30:$R$46,$C86+1,S$50)-INDEX($D$30:$R$46,$C86,S$50))</f>
        <v/>
      </c>
      <c r="T86" s="53">
        <f>INDEX($D$30:$R$46,$C86,T$50)+$D86*(INDEX($D$30:$R$46,$C86+1,T$50)-INDEX($D$30:$R$46,$C86,T$50))</f>
        <v/>
      </c>
      <c r="U86" s="53">
        <f>INDEX($D$30:$R$46,$C86,U$50)+$D86*(INDEX($D$30:$R$46,$C86+1,U$50)-INDEX($D$30:$R$46,$C86,U$50))</f>
        <v/>
      </c>
      <c r="X86" s="54">
        <f>(1-G86*Quotes!$B$2*SUM(X$51:X85))/(1+G86*Quotes!$B$2)</f>
        <v/>
      </c>
      <c r="Y86" s="54">
        <f>(1-H86*Quotes!$B$2*SUM(Y$51:Y85))/(1+H86*Quotes!$B$2)</f>
        <v/>
      </c>
      <c r="Z86" s="54">
        <f>(1-I86*Quotes!$B$2*SUM(Z$51:Z85))/(1+I86*Quotes!$B$2)</f>
        <v/>
      </c>
      <c r="AA86" s="54">
        <f>(1-J86*Quotes!$B$2*SUM(AA$51:AA85))/(1+J86*Quotes!$B$2)</f>
        <v/>
      </c>
      <c r="AB86" s="54">
        <f>(1-K86*Quotes!$B$2*SUM(AB$51:AB85))/(1+K86*Quotes!$B$2)</f>
        <v/>
      </c>
      <c r="AC86" s="54">
        <f>(1-L86*Quotes!$B$2*SUM(AC$51:AC85))/(1+L86*Quotes!$B$2)</f>
        <v/>
      </c>
      <c r="AD86" s="54">
        <f>(1-M86*Quotes!$B$2*SUM(AD$51:AD85))/(1+M86*Quotes!$B$2)</f>
        <v/>
      </c>
      <c r="AE86" s="54">
        <f>(1-N86*Quotes!$B$2*SUM(AE$51:AE85))/(1+N86*Quotes!$B$2)</f>
        <v/>
      </c>
      <c r="AF86" s="54">
        <f>(1-O86*Quotes!$B$2*SUM(AF$51:AF85))/(1+O86*Quotes!$B$2)</f>
        <v/>
      </c>
      <c r="AG86" s="54">
        <f>(1-P86*Quotes!$B$2*SUM(AG$51:AG85))/(1+P86*Quotes!$B$2)</f>
        <v/>
      </c>
      <c r="AH86" s="54">
        <f>(1-Q86*Quotes!$B$2*SUM(AH$51:AH85))/(1+Q86*Quotes!$B$2)</f>
        <v/>
      </c>
      <c r="AI86" s="54">
        <f>(1-R86*Quotes!$B$2*SUM(AI$51:AI85))/(1+R86*Quotes!$B$2)</f>
        <v/>
      </c>
      <c r="AJ86" s="54">
        <f>(1-S86*Quotes!$B$2*SUM(AJ$51:AJ85))/(1+S86*Quotes!$B$2)</f>
        <v/>
      </c>
      <c r="AK86" s="54">
        <f>(1-T86*Quotes!$B$2*SUM(AK$51:AK85))/(1+T86*Quotes!$B$2)</f>
        <v/>
      </c>
      <c r="AL86" s="54">
        <f>(1-U86*Quotes!$B$2*SUM(AL$51:AL85))/(1+U86*Quotes!$B$2)</f>
        <v/>
      </c>
    </row>
    <row r="87">
      <c r="A87" t="n">
        <v>37</v>
      </c>
      <c r="B87" s="70">
        <f>A87*0.25</f>
        <v/>
      </c>
      <c r="C87">
        <f>MIN(MATCH(B87,$B$30:$B$46,1),16)</f>
        <v/>
      </c>
      <c r="D87">
        <f>(B87-INDEX($B$30:$B$46,C87))/(INDEX($B$30:$B$46,C87+1)-INDEX($B$30:$B$46,C87))</f>
        <v/>
      </c>
      <c r="E87" s="55">
        <f>'Amort-Set-up'!E56</f>
        <v/>
      </c>
      <c r="G87" s="53">
        <f>INDEX($D$30:$R$46,$C87,G$50)+$D87*(INDEX($D$30:$R$46,$C87+1,G$50)-INDEX($D$30:$R$46,$C87,G$50))</f>
        <v/>
      </c>
      <c r="H87" s="53">
        <f>INDEX($D$30:$R$46,$C87,H$50)+$D87*(INDEX($D$30:$R$46,$C87+1,H$50)-INDEX($D$30:$R$46,$C87,H$50))</f>
        <v/>
      </c>
      <c r="I87" s="53">
        <f>INDEX($D$30:$R$46,$C87,I$50)+$D87*(INDEX($D$30:$R$46,$C87+1,I$50)-INDEX($D$30:$R$46,$C87,I$50))</f>
        <v/>
      </c>
      <c r="J87" s="53">
        <f>INDEX($D$30:$R$46,$C87,J$50)+$D87*(INDEX($D$30:$R$46,$C87+1,J$50)-INDEX($D$30:$R$46,$C87,J$50))</f>
        <v/>
      </c>
      <c r="K87" s="53">
        <f>INDEX($D$30:$R$46,$C87,K$50)+$D87*(INDEX($D$30:$R$46,$C87+1,K$50)-INDEX($D$30:$R$46,$C87,K$50))</f>
        <v/>
      </c>
      <c r="L87" s="53">
        <f>INDEX($D$30:$R$46,$C87,L$50)+$D87*(INDEX($D$30:$R$46,$C87+1,L$50)-INDEX($D$30:$R$46,$C87,L$50))</f>
        <v/>
      </c>
      <c r="M87" s="53">
        <f>INDEX($D$30:$R$46,$C87,M$50)+$D87*(INDEX($D$30:$R$46,$C87+1,M$50)-INDEX($D$30:$R$46,$C87,M$50))</f>
        <v/>
      </c>
      <c r="N87" s="53">
        <f>INDEX($D$30:$R$46,$C87,N$50)+$D87*(INDEX($D$30:$R$46,$C87+1,N$50)-INDEX($D$30:$R$46,$C87,N$50))</f>
        <v/>
      </c>
      <c r="O87" s="53">
        <f>INDEX($D$30:$R$46,$C87,O$50)+$D87*(INDEX($D$30:$R$46,$C87+1,O$50)-INDEX($D$30:$R$46,$C87,O$50))</f>
        <v/>
      </c>
      <c r="P87" s="53">
        <f>INDEX($D$30:$R$46,$C87,P$50)+$D87*(INDEX($D$30:$R$46,$C87+1,P$50)-INDEX($D$30:$R$46,$C87,P$50))</f>
        <v/>
      </c>
      <c r="Q87" s="53">
        <f>INDEX($D$30:$R$46,$C87,Q$50)+$D87*(INDEX($D$30:$R$46,$C87+1,Q$50)-INDEX($D$30:$R$46,$C87,Q$50))</f>
        <v/>
      </c>
      <c r="R87" s="53">
        <f>INDEX($D$30:$R$46,$C87,R$50)+$D87*(INDEX($D$30:$R$46,$C87+1,R$50)-INDEX($D$30:$R$46,$C87,R$50))</f>
        <v/>
      </c>
      <c r="S87" s="53">
        <f>INDEX($D$30:$R$46,$C87,S$50)+$D87*(INDEX($D$30:$R$46,$C87+1,S$50)-INDEX($D$30:$R$46,$C87,S$50))</f>
        <v/>
      </c>
      <c r="T87" s="53">
        <f>INDEX($D$30:$R$46,$C87,T$50)+$D87*(INDEX($D$30:$R$46,$C87+1,T$50)-INDEX($D$30:$R$46,$C87,T$50))</f>
        <v/>
      </c>
      <c r="U87" s="53">
        <f>INDEX($D$30:$R$46,$C87,U$50)+$D87*(INDEX($D$30:$R$46,$C87+1,U$50)-INDEX($D$30:$R$46,$C87,U$50))</f>
        <v/>
      </c>
      <c r="X87" s="54">
        <f>(1-G87*Quotes!$B$2*SUM(X$51:X86))/(1+G87*Quotes!$B$2)</f>
        <v/>
      </c>
      <c r="Y87" s="54">
        <f>(1-H87*Quotes!$B$2*SUM(Y$51:Y86))/(1+H87*Quotes!$B$2)</f>
        <v/>
      </c>
      <c r="Z87" s="54">
        <f>(1-I87*Quotes!$B$2*SUM(Z$51:Z86))/(1+I87*Quotes!$B$2)</f>
        <v/>
      </c>
      <c r="AA87" s="54">
        <f>(1-J87*Quotes!$B$2*SUM(AA$51:AA86))/(1+J87*Quotes!$B$2)</f>
        <v/>
      </c>
      <c r="AB87" s="54">
        <f>(1-K87*Quotes!$B$2*SUM(AB$51:AB86))/(1+K87*Quotes!$B$2)</f>
        <v/>
      </c>
      <c r="AC87" s="54">
        <f>(1-L87*Quotes!$B$2*SUM(AC$51:AC86))/(1+L87*Quotes!$B$2)</f>
        <v/>
      </c>
      <c r="AD87" s="54">
        <f>(1-M87*Quotes!$B$2*SUM(AD$51:AD86))/(1+M87*Quotes!$B$2)</f>
        <v/>
      </c>
      <c r="AE87" s="54">
        <f>(1-N87*Quotes!$B$2*SUM(AE$51:AE86))/(1+N87*Quotes!$B$2)</f>
        <v/>
      </c>
      <c r="AF87" s="54">
        <f>(1-O87*Quotes!$B$2*SUM(AF$51:AF86))/(1+O87*Quotes!$B$2)</f>
        <v/>
      </c>
      <c r="AG87" s="54">
        <f>(1-P87*Quotes!$B$2*SUM(AG$51:AG86))/(1+P87*Quotes!$B$2)</f>
        <v/>
      </c>
      <c r="AH87" s="54">
        <f>(1-Q87*Quotes!$B$2*SUM(AH$51:AH86))/(1+Q87*Quotes!$B$2)</f>
        <v/>
      </c>
      <c r="AI87" s="54">
        <f>(1-R87*Quotes!$B$2*SUM(AI$51:AI86))/(1+R87*Quotes!$B$2)</f>
        <v/>
      </c>
      <c r="AJ87" s="54">
        <f>(1-S87*Quotes!$B$2*SUM(AJ$51:AJ86))/(1+S87*Quotes!$B$2)</f>
        <v/>
      </c>
      <c r="AK87" s="54">
        <f>(1-T87*Quotes!$B$2*SUM(AK$51:AK86))/(1+T87*Quotes!$B$2)</f>
        <v/>
      </c>
      <c r="AL87" s="54">
        <f>(1-U87*Quotes!$B$2*SUM(AL$51:AL86))/(1+U87*Quotes!$B$2)</f>
        <v/>
      </c>
    </row>
    <row r="88">
      <c r="A88" t="n">
        <v>38</v>
      </c>
      <c r="B88" s="70">
        <f>A88*0.25</f>
        <v/>
      </c>
      <c r="C88">
        <f>MIN(MATCH(B88,$B$30:$B$46,1),16)</f>
        <v/>
      </c>
      <c r="D88">
        <f>(B88-INDEX($B$30:$B$46,C88))/(INDEX($B$30:$B$46,C88+1)-INDEX($B$30:$B$46,C88))</f>
        <v/>
      </c>
      <c r="E88" s="55">
        <f>'Amort-Set-up'!E57</f>
        <v/>
      </c>
      <c r="G88" s="53">
        <f>INDEX($D$30:$R$46,$C88,G$50)+$D88*(INDEX($D$30:$R$46,$C88+1,G$50)-INDEX($D$30:$R$46,$C88,G$50))</f>
        <v/>
      </c>
      <c r="H88" s="53">
        <f>INDEX($D$30:$R$46,$C88,H$50)+$D88*(INDEX($D$30:$R$46,$C88+1,H$50)-INDEX($D$30:$R$46,$C88,H$50))</f>
        <v/>
      </c>
      <c r="I88" s="53">
        <f>INDEX($D$30:$R$46,$C88,I$50)+$D88*(INDEX($D$30:$R$46,$C88+1,I$50)-INDEX($D$30:$R$46,$C88,I$50))</f>
        <v/>
      </c>
      <c r="J88" s="53">
        <f>INDEX($D$30:$R$46,$C88,J$50)+$D88*(INDEX($D$30:$R$46,$C88+1,J$50)-INDEX($D$30:$R$46,$C88,J$50))</f>
        <v/>
      </c>
      <c r="K88" s="53">
        <f>INDEX($D$30:$R$46,$C88,K$50)+$D88*(INDEX($D$30:$R$46,$C88+1,K$50)-INDEX($D$30:$R$46,$C88,K$50))</f>
        <v/>
      </c>
      <c r="L88" s="53">
        <f>INDEX($D$30:$R$46,$C88,L$50)+$D88*(INDEX($D$30:$R$46,$C88+1,L$50)-INDEX($D$30:$R$46,$C88,L$50))</f>
        <v/>
      </c>
      <c r="M88" s="53">
        <f>INDEX($D$30:$R$46,$C88,M$50)+$D88*(INDEX($D$30:$R$46,$C88+1,M$50)-INDEX($D$30:$R$46,$C88,M$50))</f>
        <v/>
      </c>
      <c r="N88" s="53">
        <f>INDEX($D$30:$R$46,$C88,N$50)+$D88*(INDEX($D$30:$R$46,$C88+1,N$50)-INDEX($D$30:$R$46,$C88,N$50))</f>
        <v/>
      </c>
      <c r="O88" s="53">
        <f>INDEX($D$30:$R$46,$C88,O$50)+$D88*(INDEX($D$30:$R$46,$C88+1,O$50)-INDEX($D$30:$R$46,$C88,O$50))</f>
        <v/>
      </c>
      <c r="P88" s="53">
        <f>INDEX($D$30:$R$46,$C88,P$50)+$D88*(INDEX($D$30:$R$46,$C88+1,P$50)-INDEX($D$30:$R$46,$C88,P$50))</f>
        <v/>
      </c>
      <c r="Q88" s="53">
        <f>INDEX($D$30:$R$46,$C88,Q$50)+$D88*(INDEX($D$30:$R$46,$C88+1,Q$50)-INDEX($D$30:$R$46,$C88,Q$50))</f>
        <v/>
      </c>
      <c r="R88" s="53">
        <f>INDEX($D$30:$R$46,$C88,R$50)+$D88*(INDEX($D$30:$R$46,$C88+1,R$50)-INDEX($D$30:$R$46,$C88,R$50))</f>
        <v/>
      </c>
      <c r="S88" s="53">
        <f>INDEX($D$30:$R$46,$C88,S$50)+$D88*(INDEX($D$30:$R$46,$C88+1,S$50)-INDEX($D$30:$R$46,$C88,S$50))</f>
        <v/>
      </c>
      <c r="T88" s="53">
        <f>INDEX($D$30:$R$46,$C88,T$50)+$D88*(INDEX($D$30:$R$46,$C88+1,T$50)-INDEX($D$30:$R$46,$C88,T$50))</f>
        <v/>
      </c>
      <c r="U88" s="53">
        <f>INDEX($D$30:$R$46,$C88,U$50)+$D88*(INDEX($D$30:$R$46,$C88+1,U$50)-INDEX($D$30:$R$46,$C88,U$50))</f>
        <v/>
      </c>
      <c r="X88" s="54">
        <f>(1-G88*Quotes!$B$2*SUM(X$51:X87))/(1+G88*Quotes!$B$2)</f>
        <v/>
      </c>
      <c r="Y88" s="54">
        <f>(1-H88*Quotes!$B$2*SUM(Y$51:Y87))/(1+H88*Quotes!$B$2)</f>
        <v/>
      </c>
      <c r="Z88" s="54">
        <f>(1-I88*Quotes!$B$2*SUM(Z$51:Z87))/(1+I88*Quotes!$B$2)</f>
        <v/>
      </c>
      <c r="AA88" s="54">
        <f>(1-J88*Quotes!$B$2*SUM(AA$51:AA87))/(1+J88*Quotes!$B$2)</f>
        <v/>
      </c>
      <c r="AB88" s="54">
        <f>(1-K88*Quotes!$B$2*SUM(AB$51:AB87))/(1+K88*Quotes!$B$2)</f>
        <v/>
      </c>
      <c r="AC88" s="54">
        <f>(1-L88*Quotes!$B$2*SUM(AC$51:AC87))/(1+L88*Quotes!$B$2)</f>
        <v/>
      </c>
      <c r="AD88" s="54">
        <f>(1-M88*Quotes!$B$2*SUM(AD$51:AD87))/(1+M88*Quotes!$B$2)</f>
        <v/>
      </c>
      <c r="AE88" s="54">
        <f>(1-N88*Quotes!$B$2*SUM(AE$51:AE87))/(1+N88*Quotes!$B$2)</f>
        <v/>
      </c>
      <c r="AF88" s="54">
        <f>(1-O88*Quotes!$B$2*SUM(AF$51:AF87))/(1+O88*Quotes!$B$2)</f>
        <v/>
      </c>
      <c r="AG88" s="54">
        <f>(1-P88*Quotes!$B$2*SUM(AG$51:AG87))/(1+P88*Quotes!$B$2)</f>
        <v/>
      </c>
      <c r="AH88" s="54">
        <f>(1-Q88*Quotes!$B$2*SUM(AH$51:AH87))/(1+Q88*Quotes!$B$2)</f>
        <v/>
      </c>
      <c r="AI88" s="54">
        <f>(1-R88*Quotes!$B$2*SUM(AI$51:AI87))/(1+R88*Quotes!$B$2)</f>
        <v/>
      </c>
      <c r="AJ88" s="54">
        <f>(1-S88*Quotes!$B$2*SUM(AJ$51:AJ87))/(1+S88*Quotes!$B$2)</f>
        <v/>
      </c>
      <c r="AK88" s="54">
        <f>(1-T88*Quotes!$B$2*SUM(AK$51:AK87))/(1+T88*Quotes!$B$2)</f>
        <v/>
      </c>
      <c r="AL88" s="54">
        <f>(1-U88*Quotes!$B$2*SUM(AL$51:AL87))/(1+U88*Quotes!$B$2)</f>
        <v/>
      </c>
    </row>
    <row r="89">
      <c r="A89" t="n">
        <v>39</v>
      </c>
      <c r="B89" s="70">
        <f>A89*0.25</f>
        <v/>
      </c>
      <c r="C89">
        <f>MIN(MATCH(B89,$B$30:$B$46,1),16)</f>
        <v/>
      </c>
      <c r="D89">
        <f>(B89-INDEX($B$30:$B$46,C89))/(INDEX($B$30:$B$46,C89+1)-INDEX($B$30:$B$46,C89))</f>
        <v/>
      </c>
      <c r="E89" s="55">
        <f>'Amort-Set-up'!E58</f>
        <v/>
      </c>
      <c r="G89" s="53">
        <f>INDEX($D$30:$R$46,$C89,G$50)+$D89*(INDEX($D$30:$R$46,$C89+1,G$50)-INDEX($D$30:$R$46,$C89,G$50))</f>
        <v/>
      </c>
      <c r="H89" s="53">
        <f>INDEX($D$30:$R$46,$C89,H$50)+$D89*(INDEX($D$30:$R$46,$C89+1,H$50)-INDEX($D$30:$R$46,$C89,H$50))</f>
        <v/>
      </c>
      <c r="I89" s="53">
        <f>INDEX($D$30:$R$46,$C89,I$50)+$D89*(INDEX($D$30:$R$46,$C89+1,I$50)-INDEX($D$30:$R$46,$C89,I$50))</f>
        <v/>
      </c>
      <c r="J89" s="53">
        <f>INDEX($D$30:$R$46,$C89,J$50)+$D89*(INDEX($D$30:$R$46,$C89+1,J$50)-INDEX($D$30:$R$46,$C89,J$50))</f>
        <v/>
      </c>
      <c r="K89" s="53">
        <f>INDEX($D$30:$R$46,$C89,K$50)+$D89*(INDEX($D$30:$R$46,$C89+1,K$50)-INDEX($D$30:$R$46,$C89,K$50))</f>
        <v/>
      </c>
      <c r="L89" s="53">
        <f>INDEX($D$30:$R$46,$C89,L$50)+$D89*(INDEX($D$30:$R$46,$C89+1,L$50)-INDEX($D$30:$R$46,$C89,L$50))</f>
        <v/>
      </c>
      <c r="M89" s="53">
        <f>INDEX($D$30:$R$46,$C89,M$50)+$D89*(INDEX($D$30:$R$46,$C89+1,M$50)-INDEX($D$30:$R$46,$C89,M$50))</f>
        <v/>
      </c>
      <c r="N89" s="53">
        <f>INDEX($D$30:$R$46,$C89,N$50)+$D89*(INDEX($D$30:$R$46,$C89+1,N$50)-INDEX($D$30:$R$46,$C89,N$50))</f>
        <v/>
      </c>
      <c r="O89" s="53">
        <f>INDEX($D$30:$R$46,$C89,O$50)+$D89*(INDEX($D$30:$R$46,$C89+1,O$50)-INDEX($D$30:$R$46,$C89,O$50))</f>
        <v/>
      </c>
      <c r="P89" s="53">
        <f>INDEX($D$30:$R$46,$C89,P$50)+$D89*(INDEX($D$30:$R$46,$C89+1,P$50)-INDEX($D$30:$R$46,$C89,P$50))</f>
        <v/>
      </c>
      <c r="Q89" s="53">
        <f>INDEX($D$30:$R$46,$C89,Q$50)+$D89*(INDEX($D$30:$R$46,$C89+1,Q$50)-INDEX($D$30:$R$46,$C89,Q$50))</f>
        <v/>
      </c>
      <c r="R89" s="53">
        <f>INDEX($D$30:$R$46,$C89,R$50)+$D89*(INDEX($D$30:$R$46,$C89+1,R$50)-INDEX($D$30:$R$46,$C89,R$50))</f>
        <v/>
      </c>
      <c r="S89" s="53">
        <f>INDEX($D$30:$R$46,$C89,S$50)+$D89*(INDEX($D$30:$R$46,$C89+1,S$50)-INDEX($D$30:$R$46,$C89,S$50))</f>
        <v/>
      </c>
      <c r="T89" s="53">
        <f>INDEX($D$30:$R$46,$C89,T$50)+$D89*(INDEX($D$30:$R$46,$C89+1,T$50)-INDEX($D$30:$R$46,$C89,T$50))</f>
        <v/>
      </c>
      <c r="U89" s="53">
        <f>INDEX($D$30:$R$46,$C89,U$50)+$D89*(INDEX($D$30:$R$46,$C89+1,U$50)-INDEX($D$30:$R$46,$C89,U$50))</f>
        <v/>
      </c>
      <c r="X89" s="54">
        <f>(1-G89*Quotes!$B$2*SUM(X$51:X88))/(1+G89*Quotes!$B$2)</f>
        <v/>
      </c>
      <c r="Y89" s="54">
        <f>(1-H89*Quotes!$B$2*SUM(Y$51:Y88))/(1+H89*Quotes!$B$2)</f>
        <v/>
      </c>
      <c r="Z89" s="54">
        <f>(1-I89*Quotes!$B$2*SUM(Z$51:Z88))/(1+I89*Quotes!$B$2)</f>
        <v/>
      </c>
      <c r="AA89" s="54">
        <f>(1-J89*Quotes!$B$2*SUM(AA$51:AA88))/(1+J89*Quotes!$B$2)</f>
        <v/>
      </c>
      <c r="AB89" s="54">
        <f>(1-K89*Quotes!$B$2*SUM(AB$51:AB88))/(1+K89*Quotes!$B$2)</f>
        <v/>
      </c>
      <c r="AC89" s="54">
        <f>(1-L89*Quotes!$B$2*SUM(AC$51:AC88))/(1+L89*Quotes!$B$2)</f>
        <v/>
      </c>
      <c r="AD89" s="54">
        <f>(1-M89*Quotes!$B$2*SUM(AD$51:AD88))/(1+M89*Quotes!$B$2)</f>
        <v/>
      </c>
      <c r="AE89" s="54">
        <f>(1-N89*Quotes!$B$2*SUM(AE$51:AE88))/(1+N89*Quotes!$B$2)</f>
        <v/>
      </c>
      <c r="AF89" s="54">
        <f>(1-O89*Quotes!$B$2*SUM(AF$51:AF88))/(1+O89*Quotes!$B$2)</f>
        <v/>
      </c>
      <c r="AG89" s="54">
        <f>(1-P89*Quotes!$B$2*SUM(AG$51:AG88))/(1+P89*Quotes!$B$2)</f>
        <v/>
      </c>
      <c r="AH89" s="54">
        <f>(1-Q89*Quotes!$B$2*SUM(AH$51:AH88))/(1+Q89*Quotes!$B$2)</f>
        <v/>
      </c>
      <c r="AI89" s="54">
        <f>(1-R89*Quotes!$B$2*SUM(AI$51:AI88))/(1+R89*Quotes!$B$2)</f>
        <v/>
      </c>
      <c r="AJ89" s="54">
        <f>(1-S89*Quotes!$B$2*SUM(AJ$51:AJ88))/(1+S89*Quotes!$B$2)</f>
        <v/>
      </c>
      <c r="AK89" s="54">
        <f>(1-T89*Quotes!$B$2*SUM(AK$51:AK88))/(1+T89*Quotes!$B$2)</f>
        <v/>
      </c>
      <c r="AL89" s="54">
        <f>(1-U89*Quotes!$B$2*SUM(AL$51:AL88))/(1+U89*Quotes!$B$2)</f>
        <v/>
      </c>
    </row>
    <row r="90">
      <c r="A90" t="n">
        <v>40</v>
      </c>
      <c r="B90" s="70">
        <f>A90*0.25</f>
        <v/>
      </c>
      <c r="C90">
        <f>MIN(MATCH(B90,$B$30:$B$46,1),16)</f>
        <v/>
      </c>
      <c r="D90">
        <f>(B90-INDEX($B$30:$B$46,C90))/(INDEX($B$30:$B$46,C90+1)-INDEX($B$30:$B$46,C90))</f>
        <v/>
      </c>
      <c r="E90" s="55">
        <f>'Amort-Set-up'!E59</f>
        <v/>
      </c>
      <c r="G90" s="53">
        <f>INDEX($D$30:$R$46,$C90,G$50)+$D90*(INDEX($D$30:$R$46,$C90+1,G$50)-INDEX($D$30:$R$46,$C90,G$50))</f>
        <v/>
      </c>
      <c r="H90" s="53">
        <f>INDEX($D$30:$R$46,$C90,H$50)+$D90*(INDEX($D$30:$R$46,$C90+1,H$50)-INDEX($D$30:$R$46,$C90,H$50))</f>
        <v/>
      </c>
      <c r="I90" s="53">
        <f>INDEX($D$30:$R$46,$C90,I$50)+$D90*(INDEX($D$30:$R$46,$C90+1,I$50)-INDEX($D$30:$R$46,$C90,I$50))</f>
        <v/>
      </c>
      <c r="J90" s="53">
        <f>INDEX($D$30:$R$46,$C90,J$50)+$D90*(INDEX($D$30:$R$46,$C90+1,J$50)-INDEX($D$30:$R$46,$C90,J$50))</f>
        <v/>
      </c>
      <c r="K90" s="53">
        <f>INDEX($D$30:$R$46,$C90,K$50)+$D90*(INDEX($D$30:$R$46,$C90+1,K$50)-INDEX($D$30:$R$46,$C90,K$50))</f>
        <v/>
      </c>
      <c r="L90" s="53">
        <f>INDEX($D$30:$R$46,$C90,L$50)+$D90*(INDEX($D$30:$R$46,$C90+1,L$50)-INDEX($D$30:$R$46,$C90,L$50))</f>
        <v/>
      </c>
      <c r="M90" s="53">
        <f>INDEX($D$30:$R$46,$C90,M$50)+$D90*(INDEX($D$30:$R$46,$C90+1,M$50)-INDEX($D$30:$R$46,$C90,M$50))</f>
        <v/>
      </c>
      <c r="N90" s="53">
        <f>INDEX($D$30:$R$46,$C90,N$50)+$D90*(INDEX($D$30:$R$46,$C90+1,N$50)-INDEX($D$30:$R$46,$C90,N$50))</f>
        <v/>
      </c>
      <c r="O90" s="53">
        <f>INDEX($D$30:$R$46,$C90,O$50)+$D90*(INDEX($D$30:$R$46,$C90+1,O$50)-INDEX($D$30:$R$46,$C90,O$50))</f>
        <v/>
      </c>
      <c r="P90" s="53">
        <f>INDEX($D$30:$R$46,$C90,P$50)+$D90*(INDEX($D$30:$R$46,$C90+1,P$50)-INDEX($D$30:$R$46,$C90,P$50))</f>
        <v/>
      </c>
      <c r="Q90" s="53">
        <f>INDEX($D$30:$R$46,$C90,Q$50)+$D90*(INDEX($D$30:$R$46,$C90+1,Q$50)-INDEX($D$30:$R$46,$C90,Q$50))</f>
        <v/>
      </c>
      <c r="R90" s="53">
        <f>INDEX($D$30:$R$46,$C90,R$50)+$D90*(INDEX($D$30:$R$46,$C90+1,R$50)-INDEX($D$30:$R$46,$C90,R$50))</f>
        <v/>
      </c>
      <c r="S90" s="53">
        <f>INDEX($D$30:$R$46,$C90,S$50)+$D90*(INDEX($D$30:$R$46,$C90+1,S$50)-INDEX($D$30:$R$46,$C90,S$50))</f>
        <v/>
      </c>
      <c r="T90" s="53">
        <f>INDEX($D$30:$R$46,$C90,T$50)+$D90*(INDEX($D$30:$R$46,$C90+1,T$50)-INDEX($D$30:$R$46,$C90,T$50))</f>
        <v/>
      </c>
      <c r="U90" s="53">
        <f>INDEX($D$30:$R$46,$C90,U$50)+$D90*(INDEX($D$30:$R$46,$C90+1,U$50)-INDEX($D$30:$R$46,$C90,U$50))</f>
        <v/>
      </c>
      <c r="X90" s="54">
        <f>(1-G90*Quotes!$B$2*SUM(X$51:X89))/(1+G90*Quotes!$B$2)</f>
        <v/>
      </c>
      <c r="Y90" s="54">
        <f>(1-H90*Quotes!$B$2*SUM(Y$51:Y89))/(1+H90*Quotes!$B$2)</f>
        <v/>
      </c>
      <c r="Z90" s="54">
        <f>(1-I90*Quotes!$B$2*SUM(Z$51:Z89))/(1+I90*Quotes!$B$2)</f>
        <v/>
      </c>
      <c r="AA90" s="54">
        <f>(1-J90*Quotes!$B$2*SUM(AA$51:AA89))/(1+J90*Quotes!$B$2)</f>
        <v/>
      </c>
      <c r="AB90" s="54">
        <f>(1-K90*Quotes!$B$2*SUM(AB$51:AB89))/(1+K90*Quotes!$B$2)</f>
        <v/>
      </c>
      <c r="AC90" s="54">
        <f>(1-L90*Quotes!$B$2*SUM(AC$51:AC89))/(1+L90*Quotes!$B$2)</f>
        <v/>
      </c>
      <c r="AD90" s="54">
        <f>(1-M90*Quotes!$B$2*SUM(AD$51:AD89))/(1+M90*Quotes!$B$2)</f>
        <v/>
      </c>
      <c r="AE90" s="54">
        <f>(1-N90*Quotes!$B$2*SUM(AE$51:AE89))/(1+N90*Quotes!$B$2)</f>
        <v/>
      </c>
      <c r="AF90" s="54">
        <f>(1-O90*Quotes!$B$2*SUM(AF$51:AF89))/(1+O90*Quotes!$B$2)</f>
        <v/>
      </c>
      <c r="AG90" s="54">
        <f>(1-P90*Quotes!$B$2*SUM(AG$51:AG89))/(1+P90*Quotes!$B$2)</f>
        <v/>
      </c>
      <c r="AH90" s="54">
        <f>(1-Q90*Quotes!$B$2*SUM(AH$51:AH89))/(1+Q90*Quotes!$B$2)</f>
        <v/>
      </c>
      <c r="AI90" s="54">
        <f>(1-R90*Quotes!$B$2*SUM(AI$51:AI89))/(1+R90*Quotes!$B$2)</f>
        <v/>
      </c>
      <c r="AJ90" s="54">
        <f>(1-S90*Quotes!$B$2*SUM(AJ$51:AJ89))/(1+S90*Quotes!$B$2)</f>
        <v/>
      </c>
      <c r="AK90" s="54">
        <f>(1-T90*Quotes!$B$2*SUM(AK$51:AK89))/(1+T90*Quotes!$B$2)</f>
        <v/>
      </c>
      <c r="AL90" s="54">
        <f>(1-U90*Quotes!$B$2*SUM(AL$51:AL89))/(1+U90*Quotes!$B$2)</f>
        <v/>
      </c>
    </row>
    <row r="92">
      <c r="A92" s="7" t="inlineStr">
        <is>
          <t xml:space="preserve">  Kevin-grid float PV (diag)</t>
        </is>
      </c>
      <c r="C92" s="55">
        <f>SUMPRODUCT($E$51:$E$90,X$50:X$89-X$51:X$90)</f>
        <v/>
      </c>
      <c r="E92" s="7" t="inlineStr">
        <is>
          <t>Kevin-grid par (diag):</t>
        </is>
      </c>
      <c r="G92" s="73">
        <f>C92/C93</f>
        <v/>
      </c>
    </row>
    <row r="93">
      <c r="A93" s="7" t="inlineStr">
        <is>
          <t xml:space="preserve">  Kevin-grid annuity (diag)</t>
        </is>
      </c>
      <c r="C93" s="55">
        <f>Quotes!$B$2*SUMPRODUCT($E$51:$E$90,X$51:X$90)</f>
        <v/>
      </c>
      <c r="E93" s="7" t="inlineStr">
        <is>
          <t>base NPV residual = tiny grid diff (trade struck full-grid, priced Kevin-grid)</t>
        </is>
      </c>
    </row>
    <row r="94">
      <c r="A94" s="2" t="inlineStr">
        <is>
          <t>frozen par rate (= trade rate, same as KRD)</t>
        </is>
      </c>
      <c r="C94" s="71">
        <f>'Amort-Set-up'!$B$12</f>
        <v/>
      </c>
    </row>
    <row r="96">
      <c r="A96" s="2" t="inlineStr">
        <is>
          <t>Fixed PV</t>
        </is>
      </c>
      <c r="X96" s="55">
        <f>$C$94*Quotes!$B$2*SUMPRODUCT($E$51:$E$90,X$51:X$90)</f>
        <v/>
      </c>
      <c r="Y96" s="55">
        <f>$C$94*Quotes!$B$2*SUMPRODUCT($E$51:$E$90,Y$51:Y$90)</f>
        <v/>
      </c>
      <c r="Z96" s="55">
        <f>$C$94*Quotes!$B$2*SUMPRODUCT($E$51:$E$90,Z$51:Z$90)</f>
        <v/>
      </c>
      <c r="AA96" s="55">
        <f>$C$94*Quotes!$B$2*SUMPRODUCT($E$51:$E$90,AA$51:AA$90)</f>
        <v/>
      </c>
      <c r="AB96" s="55">
        <f>$C$94*Quotes!$B$2*SUMPRODUCT($E$51:$E$90,AB$51:AB$90)</f>
        <v/>
      </c>
      <c r="AC96" s="55">
        <f>$C$94*Quotes!$B$2*SUMPRODUCT($E$51:$E$90,AC$51:AC$90)</f>
        <v/>
      </c>
      <c r="AD96" s="55">
        <f>$C$94*Quotes!$B$2*SUMPRODUCT($E$51:$E$90,AD$51:AD$90)</f>
        <v/>
      </c>
      <c r="AE96" s="55">
        <f>$C$94*Quotes!$B$2*SUMPRODUCT($E$51:$E$90,AE$51:AE$90)</f>
        <v/>
      </c>
      <c r="AF96" s="55">
        <f>$C$94*Quotes!$B$2*SUMPRODUCT($E$51:$E$90,AF$51:AF$90)</f>
        <v/>
      </c>
      <c r="AG96" s="55">
        <f>$C$94*Quotes!$B$2*SUMPRODUCT($E$51:$E$90,AG$51:AG$90)</f>
        <v/>
      </c>
      <c r="AH96" s="55">
        <f>$C$94*Quotes!$B$2*SUMPRODUCT($E$51:$E$90,AH$51:AH$90)</f>
        <v/>
      </c>
      <c r="AI96" s="55">
        <f>$C$94*Quotes!$B$2*SUMPRODUCT($E$51:$E$90,AI$51:AI$90)</f>
        <v/>
      </c>
      <c r="AJ96" s="55">
        <f>$C$94*Quotes!$B$2*SUMPRODUCT($E$51:$E$90,AJ$51:AJ$90)</f>
        <v/>
      </c>
      <c r="AK96" s="55">
        <f>$C$94*Quotes!$B$2*SUMPRODUCT($E$51:$E$90,AK$51:AK$90)</f>
        <v/>
      </c>
      <c r="AL96" s="55">
        <f>$C$94*Quotes!$B$2*SUMPRODUCT($E$51:$E$90,AL$51:AL$90)</f>
        <v/>
      </c>
    </row>
    <row r="97">
      <c r="A97" s="2" t="inlineStr">
        <is>
          <t>Float PV</t>
        </is>
      </c>
      <c r="X97" s="55">
        <f>SUMPRODUCT($E$51:$E$90,X$50:X$89-X$51:X$90)</f>
        <v/>
      </c>
      <c r="Y97" s="55">
        <f>SUMPRODUCT($E$51:$E$90,Y$50:Y$89-Y$51:Y$90)</f>
        <v/>
      </c>
      <c r="Z97" s="55">
        <f>SUMPRODUCT($E$51:$E$90,Z$50:Z$89-Z$51:Z$90)</f>
        <v/>
      </c>
      <c r="AA97" s="55">
        <f>SUMPRODUCT($E$51:$E$90,AA$50:AA$89-AA$51:AA$90)</f>
        <v/>
      </c>
      <c r="AB97" s="55">
        <f>SUMPRODUCT($E$51:$E$90,AB$50:AB$89-AB$51:AB$90)</f>
        <v/>
      </c>
      <c r="AC97" s="55">
        <f>SUMPRODUCT($E$51:$E$90,AC$50:AC$89-AC$51:AC$90)</f>
        <v/>
      </c>
      <c r="AD97" s="55">
        <f>SUMPRODUCT($E$51:$E$90,AD$50:AD$89-AD$51:AD$90)</f>
        <v/>
      </c>
      <c r="AE97" s="55">
        <f>SUMPRODUCT($E$51:$E$90,AE$50:AE$89-AE$51:AE$90)</f>
        <v/>
      </c>
      <c r="AF97" s="55">
        <f>SUMPRODUCT($E$51:$E$90,AF$50:AF$89-AF$51:AF$90)</f>
        <v/>
      </c>
      <c r="AG97" s="55">
        <f>SUMPRODUCT($E$51:$E$90,AG$50:AG$89-AG$51:AG$90)</f>
        <v/>
      </c>
      <c r="AH97" s="55">
        <f>SUMPRODUCT($E$51:$E$90,AH$50:AH$89-AH$51:AH$90)</f>
        <v/>
      </c>
      <c r="AI97" s="55">
        <f>SUMPRODUCT($E$51:$E$90,AI$50:AI$89-AI$51:AI$90)</f>
        <v/>
      </c>
      <c r="AJ97" s="55">
        <f>SUMPRODUCT($E$51:$E$90,AJ$50:AJ$89-AJ$51:AJ$90)</f>
        <v/>
      </c>
      <c r="AK97" s="55">
        <f>SUMPRODUCT($E$51:$E$90,AK$50:AK$89-AK$51:AK$90)</f>
        <v/>
      </c>
      <c r="AL97" s="55">
        <f>SUMPRODUCT($E$51:$E$90,AL$50:AL$89-AL$51:AL$90)</f>
        <v/>
      </c>
    </row>
    <row r="98">
      <c r="A98" s="2" t="inlineStr">
        <is>
          <t>NPV</t>
        </is>
      </c>
      <c r="X98" s="55">
        <f>X96-X97</f>
        <v/>
      </c>
      <c r="Y98" s="55">
        <f>Y96-Y97</f>
        <v/>
      </c>
      <c r="Z98" s="55">
        <f>Z96-Z97</f>
        <v/>
      </c>
      <c r="AA98" s="55">
        <f>AA96-AA97</f>
        <v/>
      </c>
      <c r="AB98" s="55">
        <f>AB96-AB97</f>
        <v/>
      </c>
      <c r="AC98" s="55">
        <f>AC96-AC97</f>
        <v/>
      </c>
      <c r="AD98" s="55">
        <f>AD96-AD97</f>
        <v/>
      </c>
      <c r="AE98" s="55">
        <f>AE96-AE97</f>
        <v/>
      </c>
      <c r="AF98" s="55">
        <f>AF96-AF97</f>
        <v/>
      </c>
      <c r="AG98" s="55">
        <f>AG96-AG97</f>
        <v/>
      </c>
      <c r="AH98" s="55">
        <f>AH96-AH97</f>
        <v/>
      </c>
      <c r="AI98" s="55">
        <f>AI96-AI97</f>
        <v/>
      </c>
      <c r="AJ98" s="55">
        <f>AJ96-AJ97</f>
        <v/>
      </c>
      <c r="AK98" s="55">
        <f>AK96-AK97</f>
        <v/>
      </c>
      <c r="AL98" s="55">
        <f>AL96-AL97</f>
        <v/>
      </c>
    </row>
    <row r="99">
      <c r="A99" s="2" t="inlineStr">
        <is>
          <t>DELTA</t>
        </is>
      </c>
      <c r="X99" s="55">
        <f>X98-$X98</f>
        <v/>
      </c>
      <c r="Y99" s="55">
        <f>Y98-$X98</f>
        <v/>
      </c>
      <c r="Z99" s="55">
        <f>Z98-$X98</f>
        <v/>
      </c>
      <c r="AA99" s="55">
        <f>AA98-$X98</f>
        <v/>
      </c>
      <c r="AB99" s="55">
        <f>AB98-$X98</f>
        <v/>
      </c>
      <c r="AC99" s="55">
        <f>AC98-$X98</f>
        <v/>
      </c>
      <c r="AD99" s="55">
        <f>AD98-$X98</f>
        <v/>
      </c>
      <c r="AE99" s="55">
        <f>AE98-$X98</f>
        <v/>
      </c>
      <c r="AF99" s="55">
        <f>AF98-$X98</f>
        <v/>
      </c>
      <c r="AG99" s="55">
        <f>AG98-$X98</f>
        <v/>
      </c>
      <c r="AH99" s="55">
        <f>AH98-$X98</f>
        <v/>
      </c>
      <c r="AI99" s="55">
        <f>AI98-$X98</f>
        <v/>
      </c>
      <c r="AJ99" s="55">
        <f>AJ98-$X98</f>
        <v/>
      </c>
      <c r="AK99" s="55">
        <f>AK98-$X98</f>
        <v/>
      </c>
      <c r="AL99" s="55">
        <f>AL98-$X98</f>
        <v/>
      </c>
    </row>
    <row r="100">
      <c r="Y100" s="7">
        <f>$A30</f>
        <v/>
      </c>
      <c r="Z100" s="7">
        <f>$A31</f>
        <v/>
      </c>
      <c r="AA100" s="7">
        <f>$A32</f>
        <v/>
      </c>
      <c r="AB100" s="7">
        <f>$A33</f>
        <v/>
      </c>
      <c r="AC100" s="7">
        <f>$A34</f>
        <v/>
      </c>
      <c r="AD100" s="7">
        <f>$A35</f>
        <v/>
      </c>
      <c r="AE100" s="7">
        <f>$A36</f>
        <v/>
      </c>
      <c r="AF100" s="7">
        <f>$A37</f>
        <v/>
      </c>
      <c r="AG100" s="7">
        <f>$A38</f>
        <v/>
      </c>
      <c r="AH100" s="7">
        <f>$A39</f>
        <v/>
      </c>
      <c r="AI100" s="7">
        <f>$A40</f>
        <v/>
      </c>
      <c r="AJ100" s="7">
        <f>$A41</f>
        <v/>
      </c>
      <c r="AK100" s="7">
        <f>$A42</f>
        <v/>
      </c>
      <c r="AL100" s="7">
        <f>$A43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</cols>
  <sheetData>
    <row r="1">
      <c r="A1" s="1" t="inlineStr">
        <is>
          <t>KRD-v3 — Kevin's format by folding 8Y/9Y (full-grid pricing, untouched)</t>
        </is>
      </c>
    </row>
    <row r="2">
      <c r="A2" s="7" t="inlineStr">
        <is>
          <t>No curve change: reads the existing KRD full-grid deltas and re-buckets 8Y/9Y into 7Y/10Y by linear distance (8Y: 2/3-&gt;7Y, 1/3-&gt;10Y; 9Y: 1/3-&gt;7Y, 2/3-&gt;10Y). Frozen rate and base NPV are KRD's own, so rate=4.2725% (your Amort-Set-up) and base NPV=0.</t>
        </is>
      </c>
    </row>
    <row r="4">
      <c r="A4" s="2" t="inlineStr">
        <is>
          <t>Frozen rate (from KRD):</t>
        </is>
      </c>
      <c r="C4" s="71">
        <f>KRD!$D$3</f>
        <v/>
      </c>
    </row>
    <row r="5">
      <c r="A5" s="2" t="inlineStr">
        <is>
          <t>Base NPV (from KRD):</t>
        </is>
      </c>
      <c r="C5" s="55">
        <f>KRD!$T$68</f>
        <v/>
      </c>
    </row>
    <row r="7">
      <c r="A7" s="50" t="inlineStr">
        <is>
          <t>Tenor</t>
        </is>
      </c>
      <c r="B7" s="50" t="inlineStr">
        <is>
          <t>dv01</t>
        </is>
      </c>
    </row>
    <row r="8">
      <c r="A8" s="4" t="inlineStr">
        <is>
          <t>2D</t>
        </is>
      </c>
      <c r="B8" s="67" t="n">
        <v>0</v>
      </c>
    </row>
    <row r="9">
      <c r="A9" s="4" t="inlineStr">
        <is>
          <t>1W</t>
        </is>
      </c>
      <c r="B9" s="67" t="n">
        <v>0</v>
      </c>
    </row>
    <row r="10">
      <c r="A10" s="4" t="inlineStr">
        <is>
          <t>1M</t>
        </is>
      </c>
      <c r="B10" s="67" t="n">
        <v>0</v>
      </c>
    </row>
    <row r="11">
      <c r="A11" s="4" t="inlineStr">
        <is>
          <t>2M</t>
        </is>
      </c>
      <c r="B11" s="67" t="n">
        <v>0</v>
      </c>
    </row>
    <row r="12">
      <c r="A12" s="4" t="inlineStr">
        <is>
          <t>3M</t>
        </is>
      </c>
      <c r="B12" s="67">
        <f>KRD!U69</f>
        <v/>
      </c>
    </row>
    <row r="13">
      <c r="A13" s="4" t="inlineStr">
        <is>
          <t>6M</t>
        </is>
      </c>
      <c r="B13" s="67">
        <f>KRD!V69</f>
        <v/>
      </c>
    </row>
    <row r="14">
      <c r="A14" s="4" t="inlineStr">
        <is>
          <t>9M</t>
        </is>
      </c>
      <c r="B14" s="67">
        <f>KRD!W69</f>
        <v/>
      </c>
    </row>
    <row r="15">
      <c r="A15" s="4" t="inlineStr">
        <is>
          <t>1Y</t>
        </is>
      </c>
      <c r="B15" s="67">
        <f>KRD!X69</f>
        <v/>
      </c>
    </row>
    <row r="16">
      <c r="A16" s="4" t="inlineStr">
        <is>
          <t>2Y</t>
        </is>
      </c>
      <c r="B16" s="67">
        <f>KRD!Y69</f>
        <v/>
      </c>
    </row>
    <row r="17">
      <c r="A17" s="4" t="inlineStr">
        <is>
          <t>3Y</t>
        </is>
      </c>
      <c r="B17" s="67">
        <f>KRD!Z69</f>
        <v/>
      </c>
    </row>
    <row r="18">
      <c r="A18" s="4" t="inlineStr">
        <is>
          <t>4Y</t>
        </is>
      </c>
      <c r="B18" s="67">
        <f>KRD!AA69</f>
        <v/>
      </c>
    </row>
    <row r="19">
      <c r="A19" s="4" t="inlineStr">
        <is>
          <t>5Y</t>
        </is>
      </c>
      <c r="B19" s="67">
        <f>KRD!AB69</f>
        <v/>
      </c>
    </row>
    <row r="20">
      <c r="A20" s="4" t="inlineStr">
        <is>
          <t>7Y</t>
        </is>
      </c>
      <c r="B20" s="67">
        <f>KRD!AC69+(2/3)*KRD!AD69+(1/3)*KRD!AE69</f>
        <v/>
      </c>
    </row>
    <row r="21">
      <c r="A21" s="4" t="inlineStr">
        <is>
          <t>10Y</t>
        </is>
      </c>
      <c r="B21" s="67">
        <f>KRD!AF69+(1/3)*KRD!AD69+(2/3)*KRD!AE69</f>
        <v/>
      </c>
    </row>
    <row r="22">
      <c r="A22" s="4" t="inlineStr">
        <is>
          <t>12Y</t>
        </is>
      </c>
      <c r="B22" s="67" t="n">
        <v>0</v>
      </c>
    </row>
    <row r="23">
      <c r="A23" s="4" t="inlineStr">
        <is>
          <t>15Y</t>
        </is>
      </c>
      <c r="B23" s="67" t="n">
        <v>0</v>
      </c>
    </row>
    <row r="24">
      <c r="A24" s="4" t="inlineStr">
        <is>
          <t>20Y</t>
        </is>
      </c>
      <c r="B24" s="67" t="n">
        <v>0</v>
      </c>
    </row>
    <row r="25">
      <c r="A25" s="4" t="inlineStr">
        <is>
          <t>25Y</t>
        </is>
      </c>
      <c r="B25" s="67" t="n">
        <v>0</v>
      </c>
    </row>
    <row r="26">
      <c r="A26" s="4" t="inlineStr">
        <is>
          <t>30Y</t>
        </is>
      </c>
      <c r="B26" s="67" t="n">
        <v>0</v>
      </c>
    </row>
    <row r="27">
      <c r="A27" s="68" t="inlineStr">
        <is>
          <t>TOTAL</t>
        </is>
      </c>
      <c r="B27" s="69">
        <f>SUM(B8:B26)</f>
        <v/>
      </c>
    </row>
    <row r="29">
      <c r="A29" s="7" t="inlineStr">
        <is>
          <t>TOTAL ties to KRD's parallel DV01 exactly: the fold keeps 7Y+8Y+9Y+10Y all in the sum.</t>
        </is>
      </c>
    </row>
    <row r="31">
      <c r="A31" s="7" t="inlineStr">
        <is>
          <t>folded 8Y (KRD AD69):</t>
        </is>
      </c>
      <c r="C31" s="74">
        <f>KRD!AD69</f>
        <v/>
      </c>
    </row>
    <row r="32">
      <c r="A32" s="7" t="inlineStr">
        <is>
          <t>folded 9Y (KRD AE69):</t>
        </is>
      </c>
      <c r="C32" s="74">
        <f>KRD!AE69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selection activeCell="A1" sqref="A1"/>
    </sheetView>
  </sheetViews>
  <sheetFormatPr baseColWidth="8" defaultRowHeight="15"/>
  <cols>
    <col width="11" customWidth="1" min="1" max="1"/>
    <col width="15" customWidth="1" min="2" max="2"/>
    <col width="14" customWidth="1" min="3" max="3"/>
    <col width="14" customWidth="1" min="4" max="4"/>
    <col width="22" customWidth="1" min="5" max="5"/>
    <col width="10" customWidth="1" min="6" max="6"/>
    <col width="8" customWidth="1" min="8" max="8"/>
    <col width="5" customWidth="1" min="9" max="9"/>
    <col width="10" customWidth="1" min="10" max="10"/>
  </cols>
  <sheetData>
    <row r="1">
      <c r="A1" s="78" t="inlineStr">
        <is>
          <t>Hedge proposal — KRW amortising IRS (10Y, HSBC receives fixed)</t>
        </is>
      </c>
    </row>
    <row r="2">
      <c r="A2" s="7" t="inlineStr">
        <is>
          <t>Bucketed KRD (Sheet1) hedged at liquid benchmarks. Notional(T) = group DV01 / (annuity(T) x 1bp), sized live off the curve; direction from the bucket sign.</t>
        </is>
      </c>
    </row>
    <row r="3"/>
    <row r="4">
      <c r="A4" s="30" t="inlineStr">
        <is>
          <t>1 · The risk</t>
        </is>
      </c>
      <c r="B4" s="31" t="n"/>
      <c r="C4" s="31" t="n"/>
      <c r="D4" s="31" t="n"/>
      <c r="E4" s="31" t="n"/>
      <c r="F4" s="31" t="n"/>
    </row>
    <row r="5">
      <c r="A5" s="79" t="inlineStr">
        <is>
          <t>Net DV01</t>
        </is>
      </c>
      <c r="B5" s="80">
        <f>Sheet1!$B$21</f>
        <v/>
      </c>
      <c r="C5" s="7" t="inlineStr">
        <is>
          <t>KRW per bp — net receiver</t>
        </is>
      </c>
    </row>
    <row r="6">
      <c r="A6" s="79" t="inlineStr">
        <is>
          <t>Front 1Y–3Y</t>
        </is>
      </c>
      <c r="B6" s="81">
        <f>Sheet1!$B$9+Sheet1!$B$10+Sheet1!$B$11</f>
        <v/>
      </c>
      <c r="C6" s="7" t="inlineStr">
        <is>
          <t>long (positive) — pays if rates rise</t>
        </is>
      </c>
    </row>
    <row r="7">
      <c r="A7" s="79" t="inlineStr">
        <is>
          <t>Back 4Y–10Y</t>
        </is>
      </c>
      <c r="B7" s="82">
        <f>Sheet1!$B$12+Sheet1!$B$13+Sheet1!$B$14+Sheet1!$B$15</f>
        <v/>
      </c>
      <c r="C7" s="7" t="inlineStr">
        <is>
          <t>short (negative) — concentrated at 10Y</t>
        </is>
      </c>
    </row>
    <row r="8">
      <c r="A8" s="79" t="inlineStr">
        <is>
          <t>Sub-1Y (3M/6M/9M)</t>
        </is>
      </c>
      <c r="B8" s="74">
        <f>Sheet1!$B$6+Sheet1!$B$7+Sheet1!$B$8</f>
        <v/>
      </c>
      <c r="C8" s="7" t="inlineStr">
        <is>
          <t>dust — leave unhedged</t>
        </is>
      </c>
    </row>
    <row r="9"/>
    <row r="10">
      <c r="A10" s="30" t="inlineStr">
        <is>
          <t>2 · Strategy</t>
        </is>
      </c>
      <c r="B10" s="31" t="n"/>
      <c r="C10" s="31" t="n"/>
      <c r="D10" s="31" t="n"/>
      <c r="E10" s="31" t="n"/>
      <c r="F10" s="31" t="n"/>
    </row>
    <row r="11">
      <c r="A11" s="83" t="inlineStr">
        <is>
          <t>•  Hedge points, not buckets — trade the 4 liquid benchmarks (2Y/3Y/5Y/10Y), not all 10 nodes.</t>
        </is>
      </c>
    </row>
    <row r="12">
      <c r="A12" s="83" t="inlineStr">
        <is>
          <t>•  Fold orphans into the nearest benchmark: 1Y→2Y, 4Y→5Y, 7Y→10Y. Size to null the group DV01.</t>
        </is>
      </c>
    </row>
    <row r="13">
      <c r="A13" s="83" t="inlineStr">
        <is>
          <t>•  Skip the sub-1Y dust — its bid/offer costs more than the risk it removes.</t>
        </is>
      </c>
    </row>
    <row r="14"/>
    <row r="15">
      <c r="A15" s="30" t="inlineStr">
        <is>
          <t>3 · The trades  (4 swaps)</t>
        </is>
      </c>
      <c r="B15" s="31" t="n"/>
      <c r="C15" s="31" t="n"/>
      <c r="D15" s="31" t="n"/>
      <c r="E15" s="31" t="n"/>
      <c r="F15" s="31" t="n"/>
      <c r="H15" s="79" t="inlineStr">
        <is>
          <t>Benchmark annuity (curve)</t>
        </is>
      </c>
    </row>
    <row r="16">
      <c r="A16" s="50" t="inlineStr">
        <is>
          <t>Swap</t>
        </is>
      </c>
      <c r="B16" s="50" t="inlineStr">
        <is>
          <t>Direction</t>
        </is>
      </c>
      <c r="C16" s="50" t="inlineStr">
        <is>
          <t>Notional (bn)</t>
        </is>
      </c>
      <c r="D16" s="50" t="inlineStr">
        <is>
          <t>Absorbs</t>
        </is>
      </c>
      <c r="E16" s="50" t="inlineStr">
        <is>
          <t>Group DV01 (KRW/bp)</t>
        </is>
      </c>
      <c r="F16" s="50" t="inlineStr">
        <is>
          <t>Annuity</t>
        </is>
      </c>
      <c r="H16" s="51" t="inlineStr">
        <is>
          <t>Tenor</t>
        </is>
      </c>
      <c r="I16" s="51" t="inlineStr">
        <is>
          <t>T</t>
        </is>
      </c>
      <c r="J16" s="51" t="inlineStr">
        <is>
          <t>Annuity</t>
        </is>
      </c>
    </row>
    <row r="17">
      <c r="A17" s="84" t="inlineStr">
        <is>
          <t>2Y</t>
        </is>
      </c>
      <c r="B17" s="84">
        <f>IF(E17&gt;0,"Receive fixed","Pay fixed")</f>
        <v/>
      </c>
      <c r="C17" s="85">
        <f>ABS(E17/(F17*0.0001))/1000000000</f>
        <v/>
      </c>
      <c r="D17" s="4" t="inlineStr">
        <is>
          <t>1Y + 2Y</t>
        </is>
      </c>
      <c r="E17" s="41">
        <f>Sheet1!$B$9+Sheet1!$B$10</f>
        <v/>
      </c>
      <c r="F17" s="86">
        <f>$J$17</f>
        <v/>
      </c>
      <c r="H17" t="inlineStr">
        <is>
          <t>2Y</t>
        </is>
      </c>
      <c r="I17" t="n">
        <v>2</v>
      </c>
      <c r="J17" s="75">
        <f>Quotes!$B$2*SUMIF(Bootstrap!$B$3:$B$122,"&lt;="&amp;I17,Bootstrap!$D$3:$D$122)</f>
        <v/>
      </c>
    </row>
    <row r="18">
      <c r="A18" s="84" t="inlineStr">
        <is>
          <t>3Y</t>
        </is>
      </c>
      <c r="B18" s="84">
        <f>IF(E18&gt;0,"Receive fixed","Pay fixed")</f>
        <v/>
      </c>
      <c r="C18" s="85">
        <f>ABS(E18/(F18*0.0001))/1000000000</f>
        <v/>
      </c>
      <c r="D18" s="4" t="inlineStr">
        <is>
          <t>3Y</t>
        </is>
      </c>
      <c r="E18" s="41">
        <f>Sheet1!$B$11</f>
        <v/>
      </c>
      <c r="F18" s="86">
        <f>$J$18</f>
        <v/>
      </c>
      <c r="H18" t="inlineStr">
        <is>
          <t>3Y</t>
        </is>
      </c>
      <c r="I18" t="n">
        <v>3</v>
      </c>
      <c r="J18" s="75">
        <f>Quotes!$B$2*SUMIF(Bootstrap!$B$3:$B$122,"&lt;="&amp;I18,Bootstrap!$D$3:$D$122)</f>
        <v/>
      </c>
    </row>
    <row r="19">
      <c r="A19" s="84" t="inlineStr">
        <is>
          <t>5Y</t>
        </is>
      </c>
      <c r="B19" s="84">
        <f>IF(E19&gt;0,"Receive fixed","Pay fixed")</f>
        <v/>
      </c>
      <c r="C19" s="85">
        <f>ABS(E19/(F19*0.0001))/1000000000</f>
        <v/>
      </c>
      <c r="D19" s="4" t="inlineStr">
        <is>
          <t>4Y + 5Y</t>
        </is>
      </c>
      <c r="E19" s="41">
        <f>Sheet1!$B$12+Sheet1!$B$13</f>
        <v/>
      </c>
      <c r="F19" s="86">
        <f>$J$19</f>
        <v/>
      </c>
      <c r="H19" t="inlineStr">
        <is>
          <t>5Y</t>
        </is>
      </c>
      <c r="I19" t="n">
        <v>5</v>
      </c>
      <c r="J19" s="75">
        <f>Quotes!$B$2*SUMIF(Bootstrap!$B$3:$B$122,"&lt;="&amp;I19,Bootstrap!$D$3:$D$122)</f>
        <v/>
      </c>
    </row>
    <row r="20">
      <c r="A20" s="84" t="inlineStr">
        <is>
          <t>10Y</t>
        </is>
      </c>
      <c r="B20" s="84">
        <f>IF(E20&gt;0,"Receive fixed","Pay fixed")</f>
        <v/>
      </c>
      <c r="C20" s="85">
        <f>ABS(E20/(F20*0.0001))/1000000000</f>
        <v/>
      </c>
      <c r="D20" s="4" t="inlineStr">
        <is>
          <t>7Y + 10Y</t>
        </is>
      </c>
      <c r="E20" s="41">
        <f>Sheet1!$B$14+Sheet1!$B$15</f>
        <v/>
      </c>
      <c r="F20" s="86">
        <f>$J$21</f>
        <v/>
      </c>
      <c r="H20" t="inlineStr">
        <is>
          <t>7Y</t>
        </is>
      </c>
      <c r="I20" t="n">
        <v>7</v>
      </c>
      <c r="J20" s="75">
        <f>Quotes!$B$2*SUMIF(Bootstrap!$B$3:$B$122,"&lt;="&amp;I20,Bootstrap!$D$3:$D$122)</f>
        <v/>
      </c>
    </row>
    <row r="21">
      <c r="H21" t="inlineStr">
        <is>
          <t>10Y</t>
        </is>
      </c>
      <c r="I21" t="n">
        <v>10</v>
      </c>
      <c r="J21" s="75">
        <f>Quotes!$B$2*SUMIF(Bootstrap!$B$3:$B$122,"&lt;="&amp;I21,Bootstrap!$D$3:$D$122)</f>
        <v/>
      </c>
    </row>
    <row r="22">
      <c r="A22" s="30" t="inlineStr">
        <is>
          <t>4 · After the hedge</t>
        </is>
      </c>
      <c r="B22" s="31" t="n"/>
      <c r="C22" s="31" t="n"/>
      <c r="D22" s="31" t="n"/>
      <c r="E22" s="31" t="n"/>
      <c r="F22" s="31" t="n"/>
    </row>
    <row r="23">
      <c r="A23" s="79" t="inlineStr">
        <is>
          <t>Grouped buckets 2Y/3Y/5Y/10Y</t>
        </is>
      </c>
      <c r="C23" s="83" t="inlineStr">
        <is>
          <t>neutralized to 0</t>
        </is>
      </c>
    </row>
    <row r="24">
      <c r="A24" s="79" t="inlineStr">
        <is>
          <t>Residual DV01</t>
        </is>
      </c>
      <c r="C24" s="87">
        <f>Sheet1!$B$6+Sheet1!$B$7+Sheet1!$B$8</f>
        <v/>
      </c>
      <c r="D24" s="7" t="inlineStr">
        <is>
          <t>sub-1Y dust only</t>
        </is>
      </c>
    </row>
    <row r="25">
      <c r="A25" s="79" t="inlineStr">
        <is>
          <t>Curve residual</t>
        </is>
      </c>
      <c r="C25" s="7" t="inlineStr">
        <is>
          <t>small 7s10s (7Y folded into 10Y) — see option below</t>
        </is>
      </c>
    </row>
    <row r="26"/>
    <row r="27">
      <c r="A27" s="30" t="inlineStr">
        <is>
          <t>5 · Optional — split 7Y out (kills the 7s10s residual, +1 ticket)</t>
        </is>
      </c>
      <c r="B27" s="31" t="n"/>
      <c r="C27" s="31" t="n"/>
      <c r="D27" s="31" t="n"/>
      <c r="E27" s="31" t="n"/>
      <c r="F27" s="31" t="n"/>
    </row>
    <row r="28">
      <c r="A28" s="50" t="inlineStr">
        <is>
          <t>Swap</t>
        </is>
      </c>
      <c r="B28" s="50" t="inlineStr">
        <is>
          <t>Direction</t>
        </is>
      </c>
      <c r="C28" s="50" t="inlineStr">
        <is>
          <t>Notional (bn)</t>
        </is>
      </c>
      <c r="D28" s="50" t="inlineStr">
        <is>
          <t>Absorbs</t>
        </is>
      </c>
      <c r="E28" s="50" t="inlineStr">
        <is>
          <t>Group DV01 (KRW/bp)</t>
        </is>
      </c>
      <c r="F28" s="50" t="inlineStr">
        <is>
          <t>Annuity</t>
        </is>
      </c>
    </row>
    <row r="29">
      <c r="A29" s="84" t="inlineStr">
        <is>
          <t>7Y</t>
        </is>
      </c>
      <c r="B29" s="84">
        <f>IF(E29&gt;0,"Receive fixed","Pay fixed")</f>
        <v/>
      </c>
      <c r="C29" s="88">
        <f>ABS(E29/(F29*0.0001))/1000000000</f>
        <v/>
      </c>
      <c r="D29" s="4" t="inlineStr">
        <is>
          <t>7Y</t>
        </is>
      </c>
      <c r="E29" s="41">
        <f>Sheet1!$B$14</f>
        <v/>
      </c>
      <c r="F29" s="86">
        <f>$J$20</f>
        <v/>
      </c>
    </row>
    <row r="30">
      <c r="A30" s="84" t="inlineStr">
        <is>
          <t>10Y</t>
        </is>
      </c>
      <c r="B30" s="84">
        <f>IF(E30&gt;0,"Receive fixed","Pay fixed")</f>
        <v/>
      </c>
      <c r="C30" s="88">
        <f>ABS(E30/(F30*0.0001))/1000000000</f>
        <v/>
      </c>
      <c r="D30" s="4" t="inlineStr">
        <is>
          <t>10Y</t>
        </is>
      </c>
      <c r="E30" s="41">
        <f>Sheet1!$B$15</f>
        <v/>
      </c>
      <c r="F30" s="86">
        <f>$J$21</f>
        <v/>
      </c>
    </row>
    <row r="31">
      <c r="A31" s="7" t="inlineStr">
        <is>
          <t>Wired to Sheet1 (1Y=B9 … 10Y=B15). Drops into the master as-is; confirm Bootstrap!B3:B122/D3:D122 match.</t>
        </is>
      </c>
    </row>
    <row r="32"/>
    <row r="33"/>
    <row r="34"/>
    <row r="35"/>
    <row r="36"/>
    <row r="37"/>
    <row r="38"/>
    <row r="39"/>
    <row r="40"/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42"/>
  <sheetViews>
    <sheetView workbookViewId="0">
      <pane ySplit="22" topLeftCell="A23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7" customWidth="1" min="3" max="3"/>
    <col width="14" customWidth="1" min="4" max="4"/>
    <col width="11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Swap Manager — KRW IRS</t>
        </is>
      </c>
    </row>
    <row r="2">
      <c r="A2" s="7" t="inlineStr">
        <is>
          <t>Prices a fixed-vs-float swap on the bootstrapped curve. Fixed leg off DF; float leg projected from the forwards, PV'd on DF.</t>
        </is>
      </c>
    </row>
    <row r="4">
      <c r="A4" s="30" t="inlineStr">
        <is>
          <t>DEAL</t>
        </is>
      </c>
      <c r="B4" s="31" t="n"/>
      <c r="C4" s="31" t="n"/>
      <c r="D4" s="31" t="n"/>
    </row>
    <row r="5">
      <c r="A5" s="2" t="inlineStr">
        <is>
          <t>Notional (KRW)</t>
        </is>
      </c>
      <c r="B5" s="32" t="n">
        <v>10000000000</v>
      </c>
      <c r="C5" s="7" t="inlineStr">
        <is>
          <t>face amount</t>
        </is>
      </c>
    </row>
    <row r="6">
      <c r="A6" s="2" t="inlineStr">
        <is>
          <t>Currency</t>
        </is>
      </c>
      <c r="B6" s="33" t="inlineStr">
        <is>
          <t>KRW</t>
        </is>
      </c>
    </row>
    <row r="7">
      <c r="A7" s="2" t="inlineStr">
        <is>
          <t>Direction</t>
        </is>
      </c>
      <c r="B7" s="34" t="inlineStr">
        <is>
          <t>Receive Fixed</t>
        </is>
      </c>
      <c r="C7" s="7" t="inlineStr">
        <is>
          <t>Receive Fixed / Pay Fixed</t>
        </is>
      </c>
    </row>
    <row r="8">
      <c r="A8" s="2" t="inlineStr">
        <is>
          <t>Effective date</t>
        </is>
      </c>
      <c r="B8" s="35">
        <f>Quotes!$E$2</f>
        <v/>
      </c>
      <c r="C8" s="7" t="inlineStr">
        <is>
          <t>curve date</t>
        </is>
      </c>
    </row>
    <row r="9">
      <c r="A9" s="2" t="inlineStr">
        <is>
          <t>Maturity (yrs)</t>
        </is>
      </c>
      <c r="B9" s="36" t="n">
        <v>5</v>
      </c>
      <c r="C9" s="7" t="inlineStr">
        <is>
          <t>any tenor up to 30</t>
        </is>
      </c>
    </row>
    <row r="10">
      <c r="A10" s="2" t="inlineStr">
        <is>
          <t>Fixed rate</t>
        </is>
      </c>
      <c r="B10" s="18" t="n">
        <v>0.040775</v>
      </c>
      <c r="C10" s="7" t="inlineStr">
        <is>
          <t>the coupon you trade at</t>
        </is>
      </c>
    </row>
    <row r="11">
      <c r="A11" s="2" t="inlineStr">
        <is>
          <t>Frequency</t>
        </is>
      </c>
      <c r="B11" s="33" t="inlineStr">
        <is>
          <t>Quarterly</t>
        </is>
      </c>
    </row>
    <row r="12">
      <c r="A12" s="2" t="inlineStr">
        <is>
          <t>Day count</t>
        </is>
      </c>
      <c r="B12" s="33" t="inlineStr">
        <is>
          <t>ACT/365 (tau=0.25)</t>
        </is>
      </c>
    </row>
    <row r="15">
      <c r="A15" s="30" t="inlineStr">
        <is>
          <t>RESULTS</t>
        </is>
      </c>
      <c r="B15" s="31" t="n"/>
      <c r="C15" s="31" t="n"/>
      <c r="D15" s="31" t="n"/>
    </row>
    <row r="16">
      <c r="A16" s="2" t="inlineStr">
        <is>
          <t>Fixed leg PV</t>
        </is>
      </c>
      <c r="B16" s="37">
        <f>SUMIF($C$23:$C$142,"&lt;="&amp;$B$9,$H$23:$H$142)</f>
        <v/>
      </c>
    </row>
    <row r="17">
      <c r="A17" s="2" t="inlineStr">
        <is>
          <t>Float leg PV</t>
        </is>
      </c>
      <c r="B17" s="37">
        <f>SUMIF($C$23:$C$142,"&lt;="&amp;$B$9,$I$23:$I$142)</f>
        <v/>
      </c>
    </row>
    <row r="18">
      <c r="A18" s="2" t="inlineStr">
        <is>
          <t>NPV (Market Value)</t>
        </is>
      </c>
      <c r="B18" s="38">
        <f>IF($B$7="Receive Fixed",1,-1)*(B16-B17)</f>
        <v/>
      </c>
      <c r="C18" s="7" t="inlineStr">
        <is>
          <t>to your direction</t>
        </is>
      </c>
    </row>
    <row r="19">
      <c r="A19" s="2" t="inlineStr">
        <is>
          <t>Par swap rate</t>
        </is>
      </c>
      <c r="B19" s="39">
        <f>B17/($B$5*Quotes!$B$2*SUMIF($C$23:$C$142,"&lt;="&amp;$B$9,$D$23:$D$142))</f>
        <v/>
      </c>
      <c r="C19" s="7" t="inlineStr">
        <is>
          <t>rate that makes NPV=0</t>
        </is>
      </c>
    </row>
    <row r="20">
      <c r="A20" s="2" t="inlineStr">
        <is>
          <t>Annuity (tau*sum DF)</t>
        </is>
      </c>
      <c r="B20" s="40">
        <f>Quotes!$B$2*SUMIF($C$23:$C$142,"&lt;="&amp;$B$9,$D$23:$D$142)</f>
        <v/>
      </c>
    </row>
    <row r="21">
      <c r="A21" s="2" t="inlineStr">
        <is>
          <t>SCHEDULE (float projected from the curve's forwards)</t>
        </is>
      </c>
      <c r="B21" s="37">
        <f>$B$5*B20*0.0001</f>
        <v/>
      </c>
      <c r="C21" s="7" t="inlineStr">
        <is>
          <t>NPV change per 1bp on the fixed rate</t>
        </is>
      </c>
    </row>
    <row r="22">
      <c r="A22" s="20" t="inlineStr">
        <is>
          <t>Period</t>
        </is>
      </c>
      <c r="B22" s="20" t="inlineStr">
        <is>
          <t>Date</t>
        </is>
      </c>
      <c r="C22" s="20" t="inlineStr">
        <is>
          <t>Year</t>
        </is>
      </c>
      <c r="D22" s="20" t="inlineStr">
        <is>
          <t>DF</t>
        </is>
      </c>
      <c r="E22" s="20" t="inlineStr">
        <is>
          <t>Forward %</t>
        </is>
      </c>
      <c r="F22" s="20" t="inlineStr">
        <is>
          <t>Fixed CF</t>
        </is>
      </c>
      <c r="G22" s="20" t="inlineStr">
        <is>
          <t>Float CF</t>
        </is>
      </c>
      <c r="H22" s="20" t="inlineStr">
        <is>
          <t>PV fixed</t>
        </is>
      </c>
      <c r="I22" s="20" t="inlineStr">
        <is>
          <t>PV float</t>
        </is>
      </c>
    </row>
    <row r="23">
      <c r="A23" s="4" t="n">
        <v>1</v>
      </c>
      <c r="B23" s="22">
        <f>Bootstrap!A3</f>
        <v/>
      </c>
      <c r="C23" s="21">
        <f>Bootstrap!B3</f>
        <v/>
      </c>
      <c r="D23" s="23">
        <f>Bootstrap!D3</f>
        <v/>
      </c>
      <c r="E23" s="24">
        <f>Bootstrap!F3</f>
        <v/>
      </c>
      <c r="F23" s="41">
        <f>IF($C23&lt;=$B$9,1,0)*$B$10*Quotes!$B$2*$B$5</f>
        <v/>
      </c>
      <c r="G23" s="41">
        <f>IF($C23&lt;=$B$9,1,0)*E23*Quotes!$B$2*$B$5</f>
        <v/>
      </c>
      <c r="H23" s="41">
        <f>F23*D23</f>
        <v/>
      </c>
      <c r="I23" s="41">
        <f>G23*D23</f>
        <v/>
      </c>
    </row>
    <row r="24">
      <c r="A24" s="4" t="n">
        <v>2</v>
      </c>
      <c r="B24" s="22">
        <f>Bootstrap!A4</f>
        <v/>
      </c>
      <c r="C24" s="21">
        <f>Bootstrap!B4</f>
        <v/>
      </c>
      <c r="D24" s="23">
        <f>Bootstrap!D4</f>
        <v/>
      </c>
      <c r="E24" s="24">
        <f>Bootstrap!F4</f>
        <v/>
      </c>
      <c r="F24" s="41">
        <f>IF($C24&lt;=$B$9,1,0)*$B$10*Quotes!$B$2*$B$5</f>
        <v/>
      </c>
      <c r="G24" s="41">
        <f>IF($C24&lt;=$B$9,1,0)*E24*Quotes!$B$2*$B$5</f>
        <v/>
      </c>
      <c r="H24" s="41">
        <f>F24*D24</f>
        <v/>
      </c>
      <c r="I24" s="41">
        <f>G24*D24</f>
        <v/>
      </c>
    </row>
    <row r="25">
      <c r="A25" s="4" t="n">
        <v>3</v>
      </c>
      <c r="B25" s="22">
        <f>Bootstrap!A5</f>
        <v/>
      </c>
      <c r="C25" s="21">
        <f>Bootstrap!B5</f>
        <v/>
      </c>
      <c r="D25" s="23">
        <f>Bootstrap!D5</f>
        <v/>
      </c>
      <c r="E25" s="24">
        <f>Bootstrap!F5</f>
        <v/>
      </c>
      <c r="F25" s="41">
        <f>IF($C25&lt;=$B$9,1,0)*$B$10*Quotes!$B$2*$B$5</f>
        <v/>
      </c>
      <c r="G25" s="41">
        <f>IF($C25&lt;=$B$9,1,0)*E25*Quotes!$B$2*$B$5</f>
        <v/>
      </c>
      <c r="H25" s="41">
        <f>F25*D25</f>
        <v/>
      </c>
      <c r="I25" s="41">
        <f>G25*D25</f>
        <v/>
      </c>
    </row>
    <row r="26">
      <c r="A26" s="4" t="n">
        <v>4</v>
      </c>
      <c r="B26" s="22">
        <f>Bootstrap!A6</f>
        <v/>
      </c>
      <c r="C26" s="21">
        <f>Bootstrap!B6</f>
        <v/>
      </c>
      <c r="D26" s="23">
        <f>Bootstrap!D6</f>
        <v/>
      </c>
      <c r="E26" s="24">
        <f>Bootstrap!F6</f>
        <v/>
      </c>
      <c r="F26" s="41">
        <f>IF($C26&lt;=$B$9,1,0)*$B$10*Quotes!$B$2*$B$5</f>
        <v/>
      </c>
      <c r="G26" s="41">
        <f>IF($C26&lt;=$B$9,1,0)*E26*Quotes!$B$2*$B$5</f>
        <v/>
      </c>
      <c r="H26" s="41">
        <f>F26*D26</f>
        <v/>
      </c>
      <c r="I26" s="41">
        <f>G26*D26</f>
        <v/>
      </c>
    </row>
    <row r="27">
      <c r="A27" s="4" t="n">
        <v>5</v>
      </c>
      <c r="B27" s="22">
        <f>Bootstrap!A7</f>
        <v/>
      </c>
      <c r="C27" s="21">
        <f>Bootstrap!B7</f>
        <v/>
      </c>
      <c r="D27" s="23">
        <f>Bootstrap!D7</f>
        <v/>
      </c>
      <c r="E27" s="24">
        <f>Bootstrap!F7</f>
        <v/>
      </c>
      <c r="F27" s="41">
        <f>IF($C27&lt;=$B$9,1,0)*$B$10*Quotes!$B$2*$B$5</f>
        <v/>
      </c>
      <c r="G27" s="41">
        <f>IF($C27&lt;=$B$9,1,0)*E27*Quotes!$B$2*$B$5</f>
        <v/>
      </c>
      <c r="H27" s="41">
        <f>F27*D27</f>
        <v/>
      </c>
      <c r="I27" s="41">
        <f>G27*D27</f>
        <v/>
      </c>
    </row>
    <row r="28">
      <c r="A28" s="4" t="n">
        <v>6</v>
      </c>
      <c r="B28" s="22">
        <f>Bootstrap!A8</f>
        <v/>
      </c>
      <c r="C28" s="21">
        <f>Bootstrap!B8</f>
        <v/>
      </c>
      <c r="D28" s="23">
        <f>Bootstrap!D8</f>
        <v/>
      </c>
      <c r="E28" s="24">
        <f>Bootstrap!F8</f>
        <v/>
      </c>
      <c r="F28" s="41">
        <f>IF($C28&lt;=$B$9,1,0)*$B$10*Quotes!$B$2*$B$5</f>
        <v/>
      </c>
      <c r="G28" s="41">
        <f>IF($C28&lt;=$B$9,1,0)*E28*Quotes!$B$2*$B$5</f>
        <v/>
      </c>
      <c r="H28" s="41">
        <f>F28*D28</f>
        <v/>
      </c>
      <c r="I28" s="41">
        <f>G28*D28</f>
        <v/>
      </c>
    </row>
    <row r="29">
      <c r="A29" s="4" t="n">
        <v>7</v>
      </c>
      <c r="B29" s="22">
        <f>Bootstrap!A9</f>
        <v/>
      </c>
      <c r="C29" s="21">
        <f>Bootstrap!B9</f>
        <v/>
      </c>
      <c r="D29" s="23">
        <f>Bootstrap!D9</f>
        <v/>
      </c>
      <c r="E29" s="24">
        <f>Bootstrap!F9</f>
        <v/>
      </c>
      <c r="F29" s="41">
        <f>IF($C29&lt;=$B$9,1,0)*$B$10*Quotes!$B$2*$B$5</f>
        <v/>
      </c>
      <c r="G29" s="41">
        <f>IF($C29&lt;=$B$9,1,0)*E29*Quotes!$B$2*$B$5</f>
        <v/>
      </c>
      <c r="H29" s="41">
        <f>F29*D29</f>
        <v/>
      </c>
      <c r="I29" s="41">
        <f>G29*D29</f>
        <v/>
      </c>
    </row>
    <row r="30">
      <c r="A30" s="4" t="n">
        <v>8</v>
      </c>
      <c r="B30" s="22">
        <f>Bootstrap!A10</f>
        <v/>
      </c>
      <c r="C30" s="21">
        <f>Bootstrap!B10</f>
        <v/>
      </c>
      <c r="D30" s="23">
        <f>Bootstrap!D10</f>
        <v/>
      </c>
      <c r="E30" s="24">
        <f>Bootstrap!F10</f>
        <v/>
      </c>
      <c r="F30" s="41">
        <f>IF($C30&lt;=$B$9,1,0)*$B$10*Quotes!$B$2*$B$5</f>
        <v/>
      </c>
      <c r="G30" s="41">
        <f>IF($C30&lt;=$B$9,1,0)*E30*Quotes!$B$2*$B$5</f>
        <v/>
      </c>
      <c r="H30" s="41">
        <f>F30*D30</f>
        <v/>
      </c>
      <c r="I30" s="41">
        <f>G30*D30</f>
        <v/>
      </c>
    </row>
    <row r="31">
      <c r="A31" s="4" t="n">
        <v>9</v>
      </c>
      <c r="B31" s="22">
        <f>Bootstrap!A11</f>
        <v/>
      </c>
      <c r="C31" s="21">
        <f>Bootstrap!B11</f>
        <v/>
      </c>
      <c r="D31" s="23">
        <f>Bootstrap!D11</f>
        <v/>
      </c>
      <c r="E31" s="24">
        <f>Bootstrap!F11</f>
        <v/>
      </c>
      <c r="F31" s="41">
        <f>IF($C31&lt;=$B$9,1,0)*$B$10*Quotes!$B$2*$B$5</f>
        <v/>
      </c>
      <c r="G31" s="41">
        <f>IF($C31&lt;=$B$9,1,0)*E31*Quotes!$B$2*$B$5</f>
        <v/>
      </c>
      <c r="H31" s="41">
        <f>F31*D31</f>
        <v/>
      </c>
      <c r="I31" s="41">
        <f>G31*D31</f>
        <v/>
      </c>
    </row>
    <row r="32">
      <c r="A32" s="4" t="n">
        <v>10</v>
      </c>
      <c r="B32" s="22">
        <f>Bootstrap!A12</f>
        <v/>
      </c>
      <c r="C32" s="21">
        <f>Bootstrap!B12</f>
        <v/>
      </c>
      <c r="D32" s="23">
        <f>Bootstrap!D12</f>
        <v/>
      </c>
      <c r="E32" s="24">
        <f>Bootstrap!F12</f>
        <v/>
      </c>
      <c r="F32" s="41">
        <f>IF($C32&lt;=$B$9,1,0)*$B$10*Quotes!$B$2*$B$5</f>
        <v/>
      </c>
      <c r="G32" s="41">
        <f>IF($C32&lt;=$B$9,1,0)*E32*Quotes!$B$2*$B$5</f>
        <v/>
      </c>
      <c r="H32" s="41">
        <f>F32*D32</f>
        <v/>
      </c>
      <c r="I32" s="41">
        <f>G32*D32</f>
        <v/>
      </c>
    </row>
    <row r="33">
      <c r="A33" s="4" t="n">
        <v>11</v>
      </c>
      <c r="B33" s="22">
        <f>Bootstrap!A13</f>
        <v/>
      </c>
      <c r="C33" s="21">
        <f>Bootstrap!B13</f>
        <v/>
      </c>
      <c r="D33" s="23">
        <f>Bootstrap!D13</f>
        <v/>
      </c>
      <c r="E33" s="24">
        <f>Bootstrap!F13</f>
        <v/>
      </c>
      <c r="F33" s="41">
        <f>IF($C33&lt;=$B$9,1,0)*$B$10*Quotes!$B$2*$B$5</f>
        <v/>
      </c>
      <c r="G33" s="41">
        <f>IF($C33&lt;=$B$9,1,0)*E33*Quotes!$B$2*$B$5</f>
        <v/>
      </c>
      <c r="H33" s="41">
        <f>F33*D33</f>
        <v/>
      </c>
      <c r="I33" s="41">
        <f>G33*D33</f>
        <v/>
      </c>
    </row>
    <row r="34">
      <c r="A34" s="4" t="n">
        <v>12</v>
      </c>
      <c r="B34" s="22">
        <f>Bootstrap!A14</f>
        <v/>
      </c>
      <c r="C34" s="21">
        <f>Bootstrap!B14</f>
        <v/>
      </c>
      <c r="D34" s="23">
        <f>Bootstrap!D14</f>
        <v/>
      </c>
      <c r="E34" s="24">
        <f>Bootstrap!F14</f>
        <v/>
      </c>
      <c r="F34" s="41">
        <f>IF($C34&lt;=$B$9,1,0)*$B$10*Quotes!$B$2*$B$5</f>
        <v/>
      </c>
      <c r="G34" s="41">
        <f>IF($C34&lt;=$B$9,1,0)*E34*Quotes!$B$2*$B$5</f>
        <v/>
      </c>
      <c r="H34" s="41">
        <f>F34*D34</f>
        <v/>
      </c>
      <c r="I34" s="41">
        <f>G34*D34</f>
        <v/>
      </c>
    </row>
    <row r="35">
      <c r="A35" s="4" t="n">
        <v>13</v>
      </c>
      <c r="B35" s="22">
        <f>Bootstrap!A15</f>
        <v/>
      </c>
      <c r="C35" s="21">
        <f>Bootstrap!B15</f>
        <v/>
      </c>
      <c r="D35" s="23">
        <f>Bootstrap!D15</f>
        <v/>
      </c>
      <c r="E35" s="24">
        <f>Bootstrap!F15</f>
        <v/>
      </c>
      <c r="F35" s="41">
        <f>IF($C35&lt;=$B$9,1,0)*$B$10*Quotes!$B$2*$B$5</f>
        <v/>
      </c>
      <c r="G35" s="41">
        <f>IF($C35&lt;=$B$9,1,0)*E35*Quotes!$B$2*$B$5</f>
        <v/>
      </c>
      <c r="H35" s="41">
        <f>F35*D35</f>
        <v/>
      </c>
      <c r="I35" s="41">
        <f>G35*D35</f>
        <v/>
      </c>
    </row>
    <row r="36">
      <c r="A36" s="4" t="n">
        <v>14</v>
      </c>
      <c r="B36" s="22">
        <f>Bootstrap!A16</f>
        <v/>
      </c>
      <c r="C36" s="21">
        <f>Bootstrap!B16</f>
        <v/>
      </c>
      <c r="D36" s="23">
        <f>Bootstrap!D16</f>
        <v/>
      </c>
      <c r="E36" s="24">
        <f>Bootstrap!F16</f>
        <v/>
      </c>
      <c r="F36" s="41">
        <f>IF($C36&lt;=$B$9,1,0)*$B$10*Quotes!$B$2*$B$5</f>
        <v/>
      </c>
      <c r="G36" s="41">
        <f>IF($C36&lt;=$B$9,1,0)*E36*Quotes!$B$2*$B$5</f>
        <v/>
      </c>
      <c r="H36" s="41">
        <f>F36*D36</f>
        <v/>
      </c>
      <c r="I36" s="41">
        <f>G36*D36</f>
        <v/>
      </c>
    </row>
    <row r="37">
      <c r="A37" s="4" t="n">
        <v>15</v>
      </c>
      <c r="B37" s="22">
        <f>Bootstrap!A17</f>
        <v/>
      </c>
      <c r="C37" s="21">
        <f>Bootstrap!B17</f>
        <v/>
      </c>
      <c r="D37" s="23">
        <f>Bootstrap!D17</f>
        <v/>
      </c>
      <c r="E37" s="24">
        <f>Bootstrap!F17</f>
        <v/>
      </c>
      <c r="F37" s="41">
        <f>IF($C37&lt;=$B$9,1,0)*$B$10*Quotes!$B$2*$B$5</f>
        <v/>
      </c>
      <c r="G37" s="41">
        <f>IF($C37&lt;=$B$9,1,0)*E37*Quotes!$B$2*$B$5</f>
        <v/>
      </c>
      <c r="H37" s="41">
        <f>F37*D37</f>
        <v/>
      </c>
      <c r="I37" s="41">
        <f>G37*D37</f>
        <v/>
      </c>
    </row>
    <row r="38">
      <c r="A38" s="4" t="n">
        <v>16</v>
      </c>
      <c r="B38" s="22">
        <f>Bootstrap!A18</f>
        <v/>
      </c>
      <c r="C38" s="21">
        <f>Bootstrap!B18</f>
        <v/>
      </c>
      <c r="D38" s="23">
        <f>Bootstrap!D18</f>
        <v/>
      </c>
      <c r="E38" s="24">
        <f>Bootstrap!F18</f>
        <v/>
      </c>
      <c r="F38" s="41">
        <f>IF($C38&lt;=$B$9,1,0)*$B$10*Quotes!$B$2*$B$5</f>
        <v/>
      </c>
      <c r="G38" s="41">
        <f>IF($C38&lt;=$B$9,1,0)*E38*Quotes!$B$2*$B$5</f>
        <v/>
      </c>
      <c r="H38" s="41">
        <f>F38*D38</f>
        <v/>
      </c>
      <c r="I38" s="41">
        <f>G38*D38</f>
        <v/>
      </c>
    </row>
    <row r="39">
      <c r="A39" s="4" t="n">
        <v>17</v>
      </c>
      <c r="B39" s="22">
        <f>Bootstrap!A19</f>
        <v/>
      </c>
      <c r="C39" s="21">
        <f>Bootstrap!B19</f>
        <v/>
      </c>
      <c r="D39" s="23">
        <f>Bootstrap!D19</f>
        <v/>
      </c>
      <c r="E39" s="24">
        <f>Bootstrap!F19</f>
        <v/>
      </c>
      <c r="F39" s="41">
        <f>IF($C39&lt;=$B$9,1,0)*$B$10*Quotes!$B$2*$B$5</f>
        <v/>
      </c>
      <c r="G39" s="41">
        <f>IF($C39&lt;=$B$9,1,0)*E39*Quotes!$B$2*$B$5</f>
        <v/>
      </c>
      <c r="H39" s="41">
        <f>F39*D39</f>
        <v/>
      </c>
      <c r="I39" s="41">
        <f>G39*D39</f>
        <v/>
      </c>
    </row>
    <row r="40">
      <c r="A40" s="4" t="n">
        <v>18</v>
      </c>
      <c r="B40" s="22">
        <f>Bootstrap!A20</f>
        <v/>
      </c>
      <c r="C40" s="21">
        <f>Bootstrap!B20</f>
        <v/>
      </c>
      <c r="D40" s="23">
        <f>Bootstrap!D20</f>
        <v/>
      </c>
      <c r="E40" s="24">
        <f>Bootstrap!F20</f>
        <v/>
      </c>
      <c r="F40" s="41">
        <f>IF($C40&lt;=$B$9,1,0)*$B$10*Quotes!$B$2*$B$5</f>
        <v/>
      </c>
      <c r="G40" s="41">
        <f>IF($C40&lt;=$B$9,1,0)*E40*Quotes!$B$2*$B$5</f>
        <v/>
      </c>
      <c r="H40" s="41">
        <f>F40*D40</f>
        <v/>
      </c>
      <c r="I40" s="41">
        <f>G40*D40</f>
        <v/>
      </c>
    </row>
    <row r="41">
      <c r="A41" s="4" t="n">
        <v>19</v>
      </c>
      <c r="B41" s="22">
        <f>Bootstrap!A21</f>
        <v/>
      </c>
      <c r="C41" s="21">
        <f>Bootstrap!B21</f>
        <v/>
      </c>
      <c r="D41" s="23">
        <f>Bootstrap!D21</f>
        <v/>
      </c>
      <c r="E41" s="24">
        <f>Bootstrap!F21</f>
        <v/>
      </c>
      <c r="F41" s="41">
        <f>IF($C41&lt;=$B$9,1,0)*$B$10*Quotes!$B$2*$B$5</f>
        <v/>
      </c>
      <c r="G41" s="41">
        <f>IF($C41&lt;=$B$9,1,0)*E41*Quotes!$B$2*$B$5</f>
        <v/>
      </c>
      <c r="H41" s="41">
        <f>F41*D41</f>
        <v/>
      </c>
      <c r="I41" s="41">
        <f>G41*D41</f>
        <v/>
      </c>
    </row>
    <row r="42">
      <c r="A42" s="4" t="n">
        <v>20</v>
      </c>
      <c r="B42" s="22">
        <f>Bootstrap!A22</f>
        <v/>
      </c>
      <c r="C42" s="21">
        <f>Bootstrap!B22</f>
        <v/>
      </c>
      <c r="D42" s="23">
        <f>Bootstrap!D22</f>
        <v/>
      </c>
      <c r="E42" s="24">
        <f>Bootstrap!F22</f>
        <v/>
      </c>
      <c r="F42" s="41">
        <f>IF($C42&lt;=$B$9,1,0)*$B$10*Quotes!$B$2*$B$5</f>
        <v/>
      </c>
      <c r="G42" s="41">
        <f>IF($C42&lt;=$B$9,1,0)*E42*Quotes!$B$2*$B$5</f>
        <v/>
      </c>
      <c r="H42" s="41">
        <f>F42*D42</f>
        <v/>
      </c>
      <c r="I42" s="41">
        <f>G42*D42</f>
        <v/>
      </c>
    </row>
    <row r="43">
      <c r="A43" s="4" t="n">
        <v>21</v>
      </c>
      <c r="B43" s="22">
        <f>Bootstrap!A23</f>
        <v/>
      </c>
      <c r="C43" s="21">
        <f>Bootstrap!B23</f>
        <v/>
      </c>
      <c r="D43" s="23">
        <f>Bootstrap!D23</f>
        <v/>
      </c>
      <c r="E43" s="24">
        <f>Bootstrap!F23</f>
        <v/>
      </c>
      <c r="F43" s="41">
        <f>IF($C43&lt;=$B$9,1,0)*$B$10*Quotes!$B$2*$B$5</f>
        <v/>
      </c>
      <c r="G43" s="41">
        <f>IF($C43&lt;=$B$9,1,0)*E43*Quotes!$B$2*$B$5</f>
        <v/>
      </c>
      <c r="H43" s="41">
        <f>F43*D43</f>
        <v/>
      </c>
      <c r="I43" s="41">
        <f>G43*D43</f>
        <v/>
      </c>
    </row>
    <row r="44">
      <c r="A44" s="4" t="n">
        <v>22</v>
      </c>
      <c r="B44" s="22">
        <f>Bootstrap!A24</f>
        <v/>
      </c>
      <c r="C44" s="21">
        <f>Bootstrap!B24</f>
        <v/>
      </c>
      <c r="D44" s="23">
        <f>Bootstrap!D24</f>
        <v/>
      </c>
      <c r="E44" s="24">
        <f>Bootstrap!F24</f>
        <v/>
      </c>
      <c r="F44" s="41">
        <f>IF($C44&lt;=$B$9,1,0)*$B$10*Quotes!$B$2*$B$5</f>
        <v/>
      </c>
      <c r="G44" s="41">
        <f>IF($C44&lt;=$B$9,1,0)*E44*Quotes!$B$2*$B$5</f>
        <v/>
      </c>
      <c r="H44" s="41">
        <f>F44*D44</f>
        <v/>
      </c>
      <c r="I44" s="41">
        <f>G44*D44</f>
        <v/>
      </c>
    </row>
    <row r="45">
      <c r="A45" s="4" t="n">
        <v>23</v>
      </c>
      <c r="B45" s="22">
        <f>Bootstrap!A25</f>
        <v/>
      </c>
      <c r="C45" s="21">
        <f>Bootstrap!B25</f>
        <v/>
      </c>
      <c r="D45" s="23">
        <f>Bootstrap!D25</f>
        <v/>
      </c>
      <c r="E45" s="24">
        <f>Bootstrap!F25</f>
        <v/>
      </c>
      <c r="F45" s="41">
        <f>IF($C45&lt;=$B$9,1,0)*$B$10*Quotes!$B$2*$B$5</f>
        <v/>
      </c>
      <c r="G45" s="41">
        <f>IF($C45&lt;=$B$9,1,0)*E45*Quotes!$B$2*$B$5</f>
        <v/>
      </c>
      <c r="H45" s="41">
        <f>F45*D45</f>
        <v/>
      </c>
      <c r="I45" s="41">
        <f>G45*D45</f>
        <v/>
      </c>
    </row>
    <row r="46">
      <c r="A46" s="4" t="n">
        <v>24</v>
      </c>
      <c r="B46" s="22">
        <f>Bootstrap!A26</f>
        <v/>
      </c>
      <c r="C46" s="21">
        <f>Bootstrap!B26</f>
        <v/>
      </c>
      <c r="D46" s="23">
        <f>Bootstrap!D26</f>
        <v/>
      </c>
      <c r="E46" s="24">
        <f>Bootstrap!F26</f>
        <v/>
      </c>
      <c r="F46" s="41">
        <f>IF($C46&lt;=$B$9,1,0)*$B$10*Quotes!$B$2*$B$5</f>
        <v/>
      </c>
      <c r="G46" s="41">
        <f>IF($C46&lt;=$B$9,1,0)*E46*Quotes!$B$2*$B$5</f>
        <v/>
      </c>
      <c r="H46" s="41">
        <f>F46*D46</f>
        <v/>
      </c>
      <c r="I46" s="41">
        <f>G46*D46</f>
        <v/>
      </c>
    </row>
    <row r="47">
      <c r="A47" s="4" t="n">
        <v>25</v>
      </c>
      <c r="B47" s="22">
        <f>Bootstrap!A27</f>
        <v/>
      </c>
      <c r="C47" s="21">
        <f>Bootstrap!B27</f>
        <v/>
      </c>
      <c r="D47" s="23">
        <f>Bootstrap!D27</f>
        <v/>
      </c>
      <c r="E47" s="24">
        <f>Bootstrap!F27</f>
        <v/>
      </c>
      <c r="F47" s="41">
        <f>IF($C47&lt;=$B$9,1,0)*$B$10*Quotes!$B$2*$B$5</f>
        <v/>
      </c>
      <c r="G47" s="41">
        <f>IF($C47&lt;=$B$9,1,0)*E47*Quotes!$B$2*$B$5</f>
        <v/>
      </c>
      <c r="H47" s="41">
        <f>F47*D47</f>
        <v/>
      </c>
      <c r="I47" s="41">
        <f>G47*D47</f>
        <v/>
      </c>
    </row>
    <row r="48">
      <c r="A48" s="4" t="n">
        <v>26</v>
      </c>
      <c r="B48" s="22">
        <f>Bootstrap!A28</f>
        <v/>
      </c>
      <c r="C48" s="21">
        <f>Bootstrap!B28</f>
        <v/>
      </c>
      <c r="D48" s="23">
        <f>Bootstrap!D28</f>
        <v/>
      </c>
      <c r="E48" s="24">
        <f>Bootstrap!F28</f>
        <v/>
      </c>
      <c r="F48" s="41">
        <f>IF($C48&lt;=$B$9,1,0)*$B$10*Quotes!$B$2*$B$5</f>
        <v/>
      </c>
      <c r="G48" s="41">
        <f>IF($C48&lt;=$B$9,1,0)*E48*Quotes!$B$2*$B$5</f>
        <v/>
      </c>
      <c r="H48" s="41">
        <f>F48*D48</f>
        <v/>
      </c>
      <c r="I48" s="41">
        <f>G48*D48</f>
        <v/>
      </c>
    </row>
    <row r="49">
      <c r="A49" s="4" t="n">
        <v>27</v>
      </c>
      <c r="B49" s="22">
        <f>Bootstrap!A29</f>
        <v/>
      </c>
      <c r="C49" s="21">
        <f>Bootstrap!B29</f>
        <v/>
      </c>
      <c r="D49" s="23">
        <f>Bootstrap!D29</f>
        <v/>
      </c>
      <c r="E49" s="24">
        <f>Bootstrap!F29</f>
        <v/>
      </c>
      <c r="F49" s="41">
        <f>IF($C49&lt;=$B$9,1,0)*$B$10*Quotes!$B$2*$B$5</f>
        <v/>
      </c>
      <c r="G49" s="41">
        <f>IF($C49&lt;=$B$9,1,0)*E49*Quotes!$B$2*$B$5</f>
        <v/>
      </c>
      <c r="H49" s="41">
        <f>F49*D49</f>
        <v/>
      </c>
      <c r="I49" s="41">
        <f>G49*D49</f>
        <v/>
      </c>
    </row>
    <row r="50">
      <c r="A50" s="4" t="n">
        <v>28</v>
      </c>
      <c r="B50" s="22">
        <f>Bootstrap!A30</f>
        <v/>
      </c>
      <c r="C50" s="21">
        <f>Bootstrap!B30</f>
        <v/>
      </c>
      <c r="D50" s="23">
        <f>Bootstrap!D30</f>
        <v/>
      </c>
      <c r="E50" s="24">
        <f>Bootstrap!F30</f>
        <v/>
      </c>
      <c r="F50" s="41">
        <f>IF($C50&lt;=$B$9,1,0)*$B$10*Quotes!$B$2*$B$5</f>
        <v/>
      </c>
      <c r="G50" s="41">
        <f>IF($C50&lt;=$B$9,1,0)*E50*Quotes!$B$2*$B$5</f>
        <v/>
      </c>
      <c r="H50" s="41">
        <f>F50*D50</f>
        <v/>
      </c>
      <c r="I50" s="41">
        <f>G50*D50</f>
        <v/>
      </c>
    </row>
    <row r="51">
      <c r="A51" s="4" t="n">
        <v>29</v>
      </c>
      <c r="B51" s="22">
        <f>Bootstrap!A31</f>
        <v/>
      </c>
      <c r="C51" s="21">
        <f>Bootstrap!B31</f>
        <v/>
      </c>
      <c r="D51" s="23">
        <f>Bootstrap!D31</f>
        <v/>
      </c>
      <c r="E51" s="24">
        <f>Bootstrap!F31</f>
        <v/>
      </c>
      <c r="F51" s="41">
        <f>IF($C51&lt;=$B$9,1,0)*$B$10*Quotes!$B$2*$B$5</f>
        <v/>
      </c>
      <c r="G51" s="41">
        <f>IF($C51&lt;=$B$9,1,0)*E51*Quotes!$B$2*$B$5</f>
        <v/>
      </c>
      <c r="H51" s="41">
        <f>F51*D51</f>
        <v/>
      </c>
      <c r="I51" s="41">
        <f>G51*D51</f>
        <v/>
      </c>
    </row>
    <row r="52">
      <c r="A52" s="4" t="n">
        <v>30</v>
      </c>
      <c r="B52" s="22">
        <f>Bootstrap!A32</f>
        <v/>
      </c>
      <c r="C52" s="21">
        <f>Bootstrap!B32</f>
        <v/>
      </c>
      <c r="D52" s="23">
        <f>Bootstrap!D32</f>
        <v/>
      </c>
      <c r="E52" s="24">
        <f>Bootstrap!F32</f>
        <v/>
      </c>
      <c r="F52" s="41">
        <f>IF($C52&lt;=$B$9,1,0)*$B$10*Quotes!$B$2*$B$5</f>
        <v/>
      </c>
      <c r="G52" s="41">
        <f>IF($C52&lt;=$B$9,1,0)*E52*Quotes!$B$2*$B$5</f>
        <v/>
      </c>
      <c r="H52" s="41">
        <f>F52*D52</f>
        <v/>
      </c>
      <c r="I52" s="41">
        <f>G52*D52</f>
        <v/>
      </c>
    </row>
    <row r="53">
      <c r="A53" s="4" t="n">
        <v>31</v>
      </c>
      <c r="B53" s="22">
        <f>Bootstrap!A33</f>
        <v/>
      </c>
      <c r="C53" s="21">
        <f>Bootstrap!B33</f>
        <v/>
      </c>
      <c r="D53" s="23">
        <f>Bootstrap!D33</f>
        <v/>
      </c>
      <c r="E53" s="24">
        <f>Bootstrap!F33</f>
        <v/>
      </c>
      <c r="F53" s="41">
        <f>IF($C53&lt;=$B$9,1,0)*$B$10*Quotes!$B$2*$B$5</f>
        <v/>
      </c>
      <c r="G53" s="41">
        <f>IF($C53&lt;=$B$9,1,0)*E53*Quotes!$B$2*$B$5</f>
        <v/>
      </c>
      <c r="H53" s="41">
        <f>F53*D53</f>
        <v/>
      </c>
      <c r="I53" s="41">
        <f>G53*D53</f>
        <v/>
      </c>
    </row>
    <row r="54">
      <c r="A54" s="4" t="n">
        <v>32</v>
      </c>
      <c r="B54" s="22">
        <f>Bootstrap!A34</f>
        <v/>
      </c>
      <c r="C54" s="21">
        <f>Bootstrap!B34</f>
        <v/>
      </c>
      <c r="D54" s="23">
        <f>Bootstrap!D34</f>
        <v/>
      </c>
      <c r="E54" s="24">
        <f>Bootstrap!F34</f>
        <v/>
      </c>
      <c r="F54" s="41">
        <f>IF($C54&lt;=$B$9,1,0)*$B$10*Quotes!$B$2*$B$5</f>
        <v/>
      </c>
      <c r="G54" s="41">
        <f>IF($C54&lt;=$B$9,1,0)*E54*Quotes!$B$2*$B$5</f>
        <v/>
      </c>
      <c r="H54" s="41">
        <f>F54*D54</f>
        <v/>
      </c>
      <c r="I54" s="41">
        <f>G54*D54</f>
        <v/>
      </c>
    </row>
    <row r="55">
      <c r="A55" s="4" t="n">
        <v>33</v>
      </c>
      <c r="B55" s="22">
        <f>Bootstrap!A35</f>
        <v/>
      </c>
      <c r="C55" s="21">
        <f>Bootstrap!B35</f>
        <v/>
      </c>
      <c r="D55" s="23">
        <f>Bootstrap!D35</f>
        <v/>
      </c>
      <c r="E55" s="24">
        <f>Bootstrap!F35</f>
        <v/>
      </c>
      <c r="F55" s="41">
        <f>IF($C55&lt;=$B$9,1,0)*$B$10*Quotes!$B$2*$B$5</f>
        <v/>
      </c>
      <c r="G55" s="41">
        <f>IF($C55&lt;=$B$9,1,0)*E55*Quotes!$B$2*$B$5</f>
        <v/>
      </c>
      <c r="H55" s="41">
        <f>F55*D55</f>
        <v/>
      </c>
      <c r="I55" s="41">
        <f>G55*D55</f>
        <v/>
      </c>
    </row>
    <row r="56">
      <c r="A56" s="4" t="n">
        <v>34</v>
      </c>
      <c r="B56" s="22">
        <f>Bootstrap!A36</f>
        <v/>
      </c>
      <c r="C56" s="21">
        <f>Bootstrap!B36</f>
        <v/>
      </c>
      <c r="D56" s="23">
        <f>Bootstrap!D36</f>
        <v/>
      </c>
      <c r="E56" s="24">
        <f>Bootstrap!F36</f>
        <v/>
      </c>
      <c r="F56" s="41">
        <f>IF($C56&lt;=$B$9,1,0)*$B$10*Quotes!$B$2*$B$5</f>
        <v/>
      </c>
      <c r="G56" s="41">
        <f>IF($C56&lt;=$B$9,1,0)*E56*Quotes!$B$2*$B$5</f>
        <v/>
      </c>
      <c r="H56" s="41">
        <f>F56*D56</f>
        <v/>
      </c>
      <c r="I56" s="41">
        <f>G56*D56</f>
        <v/>
      </c>
    </row>
    <row r="57">
      <c r="A57" s="4" t="n">
        <v>35</v>
      </c>
      <c r="B57" s="22">
        <f>Bootstrap!A37</f>
        <v/>
      </c>
      <c r="C57" s="21">
        <f>Bootstrap!B37</f>
        <v/>
      </c>
      <c r="D57" s="23">
        <f>Bootstrap!D37</f>
        <v/>
      </c>
      <c r="E57" s="24">
        <f>Bootstrap!F37</f>
        <v/>
      </c>
      <c r="F57" s="41">
        <f>IF($C57&lt;=$B$9,1,0)*$B$10*Quotes!$B$2*$B$5</f>
        <v/>
      </c>
      <c r="G57" s="41">
        <f>IF($C57&lt;=$B$9,1,0)*E57*Quotes!$B$2*$B$5</f>
        <v/>
      </c>
      <c r="H57" s="41">
        <f>F57*D57</f>
        <v/>
      </c>
      <c r="I57" s="41">
        <f>G57*D57</f>
        <v/>
      </c>
    </row>
    <row r="58">
      <c r="A58" s="4" t="n">
        <v>36</v>
      </c>
      <c r="B58" s="22">
        <f>Bootstrap!A38</f>
        <v/>
      </c>
      <c r="C58" s="21">
        <f>Bootstrap!B38</f>
        <v/>
      </c>
      <c r="D58" s="23">
        <f>Bootstrap!D38</f>
        <v/>
      </c>
      <c r="E58" s="24">
        <f>Bootstrap!F38</f>
        <v/>
      </c>
      <c r="F58" s="41">
        <f>IF($C58&lt;=$B$9,1,0)*$B$10*Quotes!$B$2*$B$5</f>
        <v/>
      </c>
      <c r="G58" s="41">
        <f>IF($C58&lt;=$B$9,1,0)*E58*Quotes!$B$2*$B$5</f>
        <v/>
      </c>
      <c r="H58" s="41">
        <f>F58*D58</f>
        <v/>
      </c>
      <c r="I58" s="41">
        <f>G58*D58</f>
        <v/>
      </c>
    </row>
    <row r="59">
      <c r="A59" s="4" t="n">
        <v>37</v>
      </c>
      <c r="B59" s="22">
        <f>Bootstrap!A39</f>
        <v/>
      </c>
      <c r="C59" s="21">
        <f>Bootstrap!B39</f>
        <v/>
      </c>
      <c r="D59" s="23">
        <f>Bootstrap!D39</f>
        <v/>
      </c>
      <c r="E59" s="24">
        <f>Bootstrap!F39</f>
        <v/>
      </c>
      <c r="F59" s="41">
        <f>IF($C59&lt;=$B$9,1,0)*$B$10*Quotes!$B$2*$B$5</f>
        <v/>
      </c>
      <c r="G59" s="41">
        <f>IF($C59&lt;=$B$9,1,0)*E59*Quotes!$B$2*$B$5</f>
        <v/>
      </c>
      <c r="H59" s="41">
        <f>F59*D59</f>
        <v/>
      </c>
      <c r="I59" s="41">
        <f>G59*D59</f>
        <v/>
      </c>
    </row>
    <row r="60">
      <c r="A60" s="4" t="n">
        <v>38</v>
      </c>
      <c r="B60" s="22">
        <f>Bootstrap!A40</f>
        <v/>
      </c>
      <c r="C60" s="21">
        <f>Bootstrap!B40</f>
        <v/>
      </c>
      <c r="D60" s="23">
        <f>Bootstrap!D40</f>
        <v/>
      </c>
      <c r="E60" s="24">
        <f>Bootstrap!F40</f>
        <v/>
      </c>
      <c r="F60" s="41">
        <f>IF($C60&lt;=$B$9,1,0)*$B$10*Quotes!$B$2*$B$5</f>
        <v/>
      </c>
      <c r="G60" s="41">
        <f>IF($C60&lt;=$B$9,1,0)*E60*Quotes!$B$2*$B$5</f>
        <v/>
      </c>
      <c r="H60" s="41">
        <f>F60*D60</f>
        <v/>
      </c>
      <c r="I60" s="41">
        <f>G60*D60</f>
        <v/>
      </c>
    </row>
    <row r="61">
      <c r="A61" s="4" t="n">
        <v>39</v>
      </c>
      <c r="B61" s="22">
        <f>Bootstrap!A41</f>
        <v/>
      </c>
      <c r="C61" s="21">
        <f>Bootstrap!B41</f>
        <v/>
      </c>
      <c r="D61" s="23">
        <f>Bootstrap!D41</f>
        <v/>
      </c>
      <c r="E61" s="24">
        <f>Bootstrap!F41</f>
        <v/>
      </c>
      <c r="F61" s="41">
        <f>IF($C61&lt;=$B$9,1,0)*$B$10*Quotes!$B$2*$B$5</f>
        <v/>
      </c>
      <c r="G61" s="41">
        <f>IF($C61&lt;=$B$9,1,0)*E61*Quotes!$B$2*$B$5</f>
        <v/>
      </c>
      <c r="H61" s="41">
        <f>F61*D61</f>
        <v/>
      </c>
      <c r="I61" s="41">
        <f>G61*D61</f>
        <v/>
      </c>
    </row>
    <row r="62">
      <c r="A62" s="4" t="n">
        <v>40</v>
      </c>
      <c r="B62" s="22">
        <f>Bootstrap!A42</f>
        <v/>
      </c>
      <c r="C62" s="21">
        <f>Bootstrap!B42</f>
        <v/>
      </c>
      <c r="D62" s="23">
        <f>Bootstrap!D42</f>
        <v/>
      </c>
      <c r="E62" s="24">
        <f>Bootstrap!F42</f>
        <v/>
      </c>
      <c r="F62" s="41">
        <f>IF($C62&lt;=$B$9,1,0)*$B$10*Quotes!$B$2*$B$5</f>
        <v/>
      </c>
      <c r="G62" s="41">
        <f>IF($C62&lt;=$B$9,1,0)*E62*Quotes!$B$2*$B$5</f>
        <v/>
      </c>
      <c r="H62" s="41">
        <f>F62*D62</f>
        <v/>
      </c>
      <c r="I62" s="41">
        <f>G62*D62</f>
        <v/>
      </c>
    </row>
    <row r="63">
      <c r="A63" s="4" t="n">
        <v>41</v>
      </c>
      <c r="B63" s="22">
        <f>Bootstrap!A43</f>
        <v/>
      </c>
      <c r="C63" s="21">
        <f>Bootstrap!B43</f>
        <v/>
      </c>
      <c r="D63" s="23">
        <f>Bootstrap!D43</f>
        <v/>
      </c>
      <c r="E63" s="24">
        <f>Bootstrap!F43</f>
        <v/>
      </c>
      <c r="F63" s="41">
        <f>IF($C63&lt;=$B$9,1,0)*$B$10*Quotes!$B$2*$B$5</f>
        <v/>
      </c>
      <c r="G63" s="41">
        <f>IF($C63&lt;=$B$9,1,0)*E63*Quotes!$B$2*$B$5</f>
        <v/>
      </c>
      <c r="H63" s="41">
        <f>F63*D63</f>
        <v/>
      </c>
      <c r="I63" s="41">
        <f>G63*D63</f>
        <v/>
      </c>
    </row>
    <row r="64">
      <c r="A64" s="4" t="n">
        <v>42</v>
      </c>
      <c r="B64" s="22">
        <f>Bootstrap!A44</f>
        <v/>
      </c>
      <c r="C64" s="21">
        <f>Bootstrap!B44</f>
        <v/>
      </c>
      <c r="D64" s="23">
        <f>Bootstrap!D44</f>
        <v/>
      </c>
      <c r="E64" s="24">
        <f>Bootstrap!F44</f>
        <v/>
      </c>
      <c r="F64" s="41">
        <f>IF($C64&lt;=$B$9,1,0)*$B$10*Quotes!$B$2*$B$5</f>
        <v/>
      </c>
      <c r="G64" s="41">
        <f>IF($C64&lt;=$B$9,1,0)*E64*Quotes!$B$2*$B$5</f>
        <v/>
      </c>
      <c r="H64" s="41">
        <f>F64*D64</f>
        <v/>
      </c>
      <c r="I64" s="41">
        <f>G64*D64</f>
        <v/>
      </c>
    </row>
    <row r="65">
      <c r="A65" s="4" t="n">
        <v>43</v>
      </c>
      <c r="B65" s="22">
        <f>Bootstrap!A45</f>
        <v/>
      </c>
      <c r="C65" s="21">
        <f>Bootstrap!B45</f>
        <v/>
      </c>
      <c r="D65" s="23">
        <f>Bootstrap!D45</f>
        <v/>
      </c>
      <c r="E65" s="24">
        <f>Bootstrap!F45</f>
        <v/>
      </c>
      <c r="F65" s="41">
        <f>IF($C65&lt;=$B$9,1,0)*$B$10*Quotes!$B$2*$B$5</f>
        <v/>
      </c>
      <c r="G65" s="41">
        <f>IF($C65&lt;=$B$9,1,0)*E65*Quotes!$B$2*$B$5</f>
        <v/>
      </c>
      <c r="H65" s="41">
        <f>F65*D65</f>
        <v/>
      </c>
      <c r="I65" s="41">
        <f>G65*D65</f>
        <v/>
      </c>
    </row>
    <row r="66">
      <c r="A66" s="4" t="n">
        <v>44</v>
      </c>
      <c r="B66" s="22">
        <f>Bootstrap!A46</f>
        <v/>
      </c>
      <c r="C66" s="21">
        <f>Bootstrap!B46</f>
        <v/>
      </c>
      <c r="D66" s="23">
        <f>Bootstrap!D46</f>
        <v/>
      </c>
      <c r="E66" s="24">
        <f>Bootstrap!F46</f>
        <v/>
      </c>
      <c r="F66" s="41">
        <f>IF($C66&lt;=$B$9,1,0)*$B$10*Quotes!$B$2*$B$5</f>
        <v/>
      </c>
      <c r="G66" s="41">
        <f>IF($C66&lt;=$B$9,1,0)*E66*Quotes!$B$2*$B$5</f>
        <v/>
      </c>
      <c r="H66" s="41">
        <f>F66*D66</f>
        <v/>
      </c>
      <c r="I66" s="41">
        <f>G66*D66</f>
        <v/>
      </c>
    </row>
    <row r="67">
      <c r="A67" s="4" t="n">
        <v>45</v>
      </c>
      <c r="B67" s="22">
        <f>Bootstrap!A47</f>
        <v/>
      </c>
      <c r="C67" s="21">
        <f>Bootstrap!B47</f>
        <v/>
      </c>
      <c r="D67" s="23">
        <f>Bootstrap!D47</f>
        <v/>
      </c>
      <c r="E67" s="24">
        <f>Bootstrap!F47</f>
        <v/>
      </c>
      <c r="F67" s="41">
        <f>IF($C67&lt;=$B$9,1,0)*$B$10*Quotes!$B$2*$B$5</f>
        <v/>
      </c>
      <c r="G67" s="41">
        <f>IF($C67&lt;=$B$9,1,0)*E67*Quotes!$B$2*$B$5</f>
        <v/>
      </c>
      <c r="H67" s="41">
        <f>F67*D67</f>
        <v/>
      </c>
      <c r="I67" s="41">
        <f>G67*D67</f>
        <v/>
      </c>
    </row>
    <row r="68">
      <c r="A68" s="4" t="n">
        <v>46</v>
      </c>
      <c r="B68" s="22">
        <f>Bootstrap!A48</f>
        <v/>
      </c>
      <c r="C68" s="21">
        <f>Bootstrap!B48</f>
        <v/>
      </c>
      <c r="D68" s="23">
        <f>Bootstrap!D48</f>
        <v/>
      </c>
      <c r="E68" s="24">
        <f>Bootstrap!F48</f>
        <v/>
      </c>
      <c r="F68" s="41">
        <f>IF($C68&lt;=$B$9,1,0)*$B$10*Quotes!$B$2*$B$5</f>
        <v/>
      </c>
      <c r="G68" s="41">
        <f>IF($C68&lt;=$B$9,1,0)*E68*Quotes!$B$2*$B$5</f>
        <v/>
      </c>
      <c r="H68" s="41">
        <f>F68*D68</f>
        <v/>
      </c>
      <c r="I68" s="41">
        <f>G68*D68</f>
        <v/>
      </c>
    </row>
    <row r="69">
      <c r="A69" s="4" t="n">
        <v>47</v>
      </c>
      <c r="B69" s="22">
        <f>Bootstrap!A49</f>
        <v/>
      </c>
      <c r="C69" s="21">
        <f>Bootstrap!B49</f>
        <v/>
      </c>
      <c r="D69" s="23">
        <f>Bootstrap!D49</f>
        <v/>
      </c>
      <c r="E69" s="24">
        <f>Bootstrap!F49</f>
        <v/>
      </c>
      <c r="F69" s="41">
        <f>IF($C69&lt;=$B$9,1,0)*$B$10*Quotes!$B$2*$B$5</f>
        <v/>
      </c>
      <c r="G69" s="41">
        <f>IF($C69&lt;=$B$9,1,0)*E69*Quotes!$B$2*$B$5</f>
        <v/>
      </c>
      <c r="H69" s="41">
        <f>F69*D69</f>
        <v/>
      </c>
      <c r="I69" s="41">
        <f>G69*D69</f>
        <v/>
      </c>
    </row>
    <row r="70">
      <c r="A70" s="4" t="n">
        <v>48</v>
      </c>
      <c r="B70" s="22">
        <f>Bootstrap!A50</f>
        <v/>
      </c>
      <c r="C70" s="21">
        <f>Bootstrap!B50</f>
        <v/>
      </c>
      <c r="D70" s="23">
        <f>Bootstrap!D50</f>
        <v/>
      </c>
      <c r="E70" s="24">
        <f>Bootstrap!F50</f>
        <v/>
      </c>
      <c r="F70" s="41">
        <f>IF($C70&lt;=$B$9,1,0)*$B$10*Quotes!$B$2*$B$5</f>
        <v/>
      </c>
      <c r="G70" s="41">
        <f>IF($C70&lt;=$B$9,1,0)*E70*Quotes!$B$2*$B$5</f>
        <v/>
      </c>
      <c r="H70" s="41">
        <f>F70*D70</f>
        <v/>
      </c>
      <c r="I70" s="41">
        <f>G70*D70</f>
        <v/>
      </c>
    </row>
    <row r="71">
      <c r="A71" s="4" t="n">
        <v>49</v>
      </c>
      <c r="B71" s="22">
        <f>Bootstrap!A51</f>
        <v/>
      </c>
      <c r="C71" s="21">
        <f>Bootstrap!B51</f>
        <v/>
      </c>
      <c r="D71" s="23">
        <f>Bootstrap!D51</f>
        <v/>
      </c>
      <c r="E71" s="24">
        <f>Bootstrap!F51</f>
        <v/>
      </c>
      <c r="F71" s="41">
        <f>IF($C71&lt;=$B$9,1,0)*$B$10*Quotes!$B$2*$B$5</f>
        <v/>
      </c>
      <c r="G71" s="41">
        <f>IF($C71&lt;=$B$9,1,0)*E71*Quotes!$B$2*$B$5</f>
        <v/>
      </c>
      <c r="H71" s="41">
        <f>F71*D71</f>
        <v/>
      </c>
      <c r="I71" s="41">
        <f>G71*D71</f>
        <v/>
      </c>
    </row>
    <row r="72">
      <c r="A72" s="4" t="n">
        <v>50</v>
      </c>
      <c r="B72" s="22">
        <f>Bootstrap!A52</f>
        <v/>
      </c>
      <c r="C72" s="21">
        <f>Bootstrap!B52</f>
        <v/>
      </c>
      <c r="D72" s="23">
        <f>Bootstrap!D52</f>
        <v/>
      </c>
      <c r="E72" s="24">
        <f>Bootstrap!F52</f>
        <v/>
      </c>
      <c r="F72" s="41">
        <f>IF($C72&lt;=$B$9,1,0)*$B$10*Quotes!$B$2*$B$5</f>
        <v/>
      </c>
      <c r="G72" s="41">
        <f>IF($C72&lt;=$B$9,1,0)*E72*Quotes!$B$2*$B$5</f>
        <v/>
      </c>
      <c r="H72" s="41">
        <f>F72*D72</f>
        <v/>
      </c>
      <c r="I72" s="41">
        <f>G72*D72</f>
        <v/>
      </c>
    </row>
    <row r="73">
      <c r="A73" s="4" t="n">
        <v>51</v>
      </c>
      <c r="B73" s="22">
        <f>Bootstrap!A53</f>
        <v/>
      </c>
      <c r="C73" s="21">
        <f>Bootstrap!B53</f>
        <v/>
      </c>
      <c r="D73" s="23">
        <f>Bootstrap!D53</f>
        <v/>
      </c>
      <c r="E73" s="24">
        <f>Bootstrap!F53</f>
        <v/>
      </c>
      <c r="F73" s="41">
        <f>IF($C73&lt;=$B$9,1,0)*$B$10*Quotes!$B$2*$B$5</f>
        <v/>
      </c>
      <c r="G73" s="41">
        <f>IF($C73&lt;=$B$9,1,0)*E73*Quotes!$B$2*$B$5</f>
        <v/>
      </c>
      <c r="H73" s="41">
        <f>F73*D73</f>
        <v/>
      </c>
      <c r="I73" s="41">
        <f>G73*D73</f>
        <v/>
      </c>
    </row>
    <row r="74">
      <c r="A74" s="4" t="n">
        <v>52</v>
      </c>
      <c r="B74" s="22">
        <f>Bootstrap!A54</f>
        <v/>
      </c>
      <c r="C74" s="21">
        <f>Bootstrap!B54</f>
        <v/>
      </c>
      <c r="D74" s="23">
        <f>Bootstrap!D54</f>
        <v/>
      </c>
      <c r="E74" s="24">
        <f>Bootstrap!F54</f>
        <v/>
      </c>
      <c r="F74" s="41">
        <f>IF($C74&lt;=$B$9,1,0)*$B$10*Quotes!$B$2*$B$5</f>
        <v/>
      </c>
      <c r="G74" s="41">
        <f>IF($C74&lt;=$B$9,1,0)*E74*Quotes!$B$2*$B$5</f>
        <v/>
      </c>
      <c r="H74" s="41">
        <f>F74*D74</f>
        <v/>
      </c>
      <c r="I74" s="41">
        <f>G74*D74</f>
        <v/>
      </c>
    </row>
    <row r="75">
      <c r="A75" s="4" t="n">
        <v>53</v>
      </c>
      <c r="B75" s="22">
        <f>Bootstrap!A55</f>
        <v/>
      </c>
      <c r="C75" s="21">
        <f>Bootstrap!B55</f>
        <v/>
      </c>
      <c r="D75" s="23">
        <f>Bootstrap!D55</f>
        <v/>
      </c>
      <c r="E75" s="24">
        <f>Bootstrap!F55</f>
        <v/>
      </c>
      <c r="F75" s="41">
        <f>IF($C75&lt;=$B$9,1,0)*$B$10*Quotes!$B$2*$B$5</f>
        <v/>
      </c>
      <c r="G75" s="41">
        <f>IF($C75&lt;=$B$9,1,0)*E75*Quotes!$B$2*$B$5</f>
        <v/>
      </c>
      <c r="H75" s="41">
        <f>F75*D75</f>
        <v/>
      </c>
      <c r="I75" s="41">
        <f>G75*D75</f>
        <v/>
      </c>
    </row>
    <row r="76">
      <c r="A76" s="4" t="n">
        <v>54</v>
      </c>
      <c r="B76" s="22">
        <f>Bootstrap!A56</f>
        <v/>
      </c>
      <c r="C76" s="21">
        <f>Bootstrap!B56</f>
        <v/>
      </c>
      <c r="D76" s="23">
        <f>Bootstrap!D56</f>
        <v/>
      </c>
      <c r="E76" s="24">
        <f>Bootstrap!F56</f>
        <v/>
      </c>
      <c r="F76" s="41">
        <f>IF($C76&lt;=$B$9,1,0)*$B$10*Quotes!$B$2*$B$5</f>
        <v/>
      </c>
      <c r="G76" s="41">
        <f>IF($C76&lt;=$B$9,1,0)*E76*Quotes!$B$2*$B$5</f>
        <v/>
      </c>
      <c r="H76" s="41">
        <f>F76*D76</f>
        <v/>
      </c>
      <c r="I76" s="41">
        <f>G76*D76</f>
        <v/>
      </c>
    </row>
    <row r="77">
      <c r="A77" s="4" t="n">
        <v>55</v>
      </c>
      <c r="B77" s="22">
        <f>Bootstrap!A57</f>
        <v/>
      </c>
      <c r="C77" s="21">
        <f>Bootstrap!B57</f>
        <v/>
      </c>
      <c r="D77" s="23">
        <f>Bootstrap!D57</f>
        <v/>
      </c>
      <c r="E77" s="24">
        <f>Bootstrap!F57</f>
        <v/>
      </c>
      <c r="F77" s="41">
        <f>IF($C77&lt;=$B$9,1,0)*$B$10*Quotes!$B$2*$B$5</f>
        <v/>
      </c>
      <c r="G77" s="41">
        <f>IF($C77&lt;=$B$9,1,0)*E77*Quotes!$B$2*$B$5</f>
        <v/>
      </c>
      <c r="H77" s="41">
        <f>F77*D77</f>
        <v/>
      </c>
      <c r="I77" s="41">
        <f>G77*D77</f>
        <v/>
      </c>
    </row>
    <row r="78">
      <c r="A78" s="4" t="n">
        <v>56</v>
      </c>
      <c r="B78" s="22">
        <f>Bootstrap!A58</f>
        <v/>
      </c>
      <c r="C78" s="21">
        <f>Bootstrap!B58</f>
        <v/>
      </c>
      <c r="D78" s="23">
        <f>Bootstrap!D58</f>
        <v/>
      </c>
      <c r="E78" s="24">
        <f>Bootstrap!F58</f>
        <v/>
      </c>
      <c r="F78" s="41">
        <f>IF($C78&lt;=$B$9,1,0)*$B$10*Quotes!$B$2*$B$5</f>
        <v/>
      </c>
      <c r="G78" s="41">
        <f>IF($C78&lt;=$B$9,1,0)*E78*Quotes!$B$2*$B$5</f>
        <v/>
      </c>
      <c r="H78" s="41">
        <f>F78*D78</f>
        <v/>
      </c>
      <c r="I78" s="41">
        <f>G78*D78</f>
        <v/>
      </c>
    </row>
    <row r="79">
      <c r="A79" s="4" t="n">
        <v>57</v>
      </c>
      <c r="B79" s="22">
        <f>Bootstrap!A59</f>
        <v/>
      </c>
      <c r="C79" s="21">
        <f>Bootstrap!B59</f>
        <v/>
      </c>
      <c r="D79" s="23">
        <f>Bootstrap!D59</f>
        <v/>
      </c>
      <c r="E79" s="24">
        <f>Bootstrap!F59</f>
        <v/>
      </c>
      <c r="F79" s="41">
        <f>IF($C79&lt;=$B$9,1,0)*$B$10*Quotes!$B$2*$B$5</f>
        <v/>
      </c>
      <c r="G79" s="41">
        <f>IF($C79&lt;=$B$9,1,0)*E79*Quotes!$B$2*$B$5</f>
        <v/>
      </c>
      <c r="H79" s="41">
        <f>F79*D79</f>
        <v/>
      </c>
      <c r="I79" s="41">
        <f>G79*D79</f>
        <v/>
      </c>
    </row>
    <row r="80">
      <c r="A80" s="4" t="n">
        <v>58</v>
      </c>
      <c r="B80" s="22">
        <f>Bootstrap!A60</f>
        <v/>
      </c>
      <c r="C80" s="21">
        <f>Bootstrap!B60</f>
        <v/>
      </c>
      <c r="D80" s="23">
        <f>Bootstrap!D60</f>
        <v/>
      </c>
      <c r="E80" s="24">
        <f>Bootstrap!F60</f>
        <v/>
      </c>
      <c r="F80" s="41">
        <f>IF($C80&lt;=$B$9,1,0)*$B$10*Quotes!$B$2*$B$5</f>
        <v/>
      </c>
      <c r="G80" s="41">
        <f>IF($C80&lt;=$B$9,1,0)*E80*Quotes!$B$2*$B$5</f>
        <v/>
      </c>
      <c r="H80" s="41">
        <f>F80*D80</f>
        <v/>
      </c>
      <c r="I80" s="41">
        <f>G80*D80</f>
        <v/>
      </c>
    </row>
    <row r="81">
      <c r="A81" s="4" t="n">
        <v>59</v>
      </c>
      <c r="B81" s="22">
        <f>Bootstrap!A61</f>
        <v/>
      </c>
      <c r="C81" s="21">
        <f>Bootstrap!B61</f>
        <v/>
      </c>
      <c r="D81" s="23">
        <f>Bootstrap!D61</f>
        <v/>
      </c>
      <c r="E81" s="24">
        <f>Bootstrap!F61</f>
        <v/>
      </c>
      <c r="F81" s="41">
        <f>IF($C81&lt;=$B$9,1,0)*$B$10*Quotes!$B$2*$B$5</f>
        <v/>
      </c>
      <c r="G81" s="41">
        <f>IF($C81&lt;=$B$9,1,0)*E81*Quotes!$B$2*$B$5</f>
        <v/>
      </c>
      <c r="H81" s="41">
        <f>F81*D81</f>
        <v/>
      </c>
      <c r="I81" s="41">
        <f>G81*D81</f>
        <v/>
      </c>
    </row>
    <row r="82">
      <c r="A82" s="4" t="n">
        <v>60</v>
      </c>
      <c r="B82" s="22">
        <f>Bootstrap!A62</f>
        <v/>
      </c>
      <c r="C82" s="21">
        <f>Bootstrap!B62</f>
        <v/>
      </c>
      <c r="D82" s="23">
        <f>Bootstrap!D62</f>
        <v/>
      </c>
      <c r="E82" s="24">
        <f>Bootstrap!F62</f>
        <v/>
      </c>
      <c r="F82" s="41">
        <f>IF($C82&lt;=$B$9,1,0)*$B$10*Quotes!$B$2*$B$5</f>
        <v/>
      </c>
      <c r="G82" s="41">
        <f>IF($C82&lt;=$B$9,1,0)*E82*Quotes!$B$2*$B$5</f>
        <v/>
      </c>
      <c r="H82" s="41">
        <f>F82*D82</f>
        <v/>
      </c>
      <c r="I82" s="41">
        <f>G82*D82</f>
        <v/>
      </c>
    </row>
    <row r="83">
      <c r="A83" s="4" t="n">
        <v>61</v>
      </c>
      <c r="B83" s="22">
        <f>Bootstrap!A63</f>
        <v/>
      </c>
      <c r="C83" s="21">
        <f>Bootstrap!B63</f>
        <v/>
      </c>
      <c r="D83" s="23">
        <f>Bootstrap!D63</f>
        <v/>
      </c>
      <c r="E83" s="24">
        <f>Bootstrap!F63</f>
        <v/>
      </c>
      <c r="F83" s="41">
        <f>IF($C83&lt;=$B$9,1,0)*$B$10*Quotes!$B$2*$B$5</f>
        <v/>
      </c>
      <c r="G83" s="41">
        <f>IF($C83&lt;=$B$9,1,0)*E83*Quotes!$B$2*$B$5</f>
        <v/>
      </c>
      <c r="H83" s="41">
        <f>F83*D83</f>
        <v/>
      </c>
      <c r="I83" s="41">
        <f>G83*D83</f>
        <v/>
      </c>
    </row>
    <row r="84">
      <c r="A84" s="4" t="n">
        <v>62</v>
      </c>
      <c r="B84" s="22">
        <f>Bootstrap!A64</f>
        <v/>
      </c>
      <c r="C84" s="21">
        <f>Bootstrap!B64</f>
        <v/>
      </c>
      <c r="D84" s="23">
        <f>Bootstrap!D64</f>
        <v/>
      </c>
      <c r="E84" s="24">
        <f>Bootstrap!F64</f>
        <v/>
      </c>
      <c r="F84" s="41">
        <f>IF($C84&lt;=$B$9,1,0)*$B$10*Quotes!$B$2*$B$5</f>
        <v/>
      </c>
      <c r="G84" s="41">
        <f>IF($C84&lt;=$B$9,1,0)*E84*Quotes!$B$2*$B$5</f>
        <v/>
      </c>
      <c r="H84" s="41">
        <f>F84*D84</f>
        <v/>
      </c>
      <c r="I84" s="41">
        <f>G84*D84</f>
        <v/>
      </c>
    </row>
    <row r="85">
      <c r="A85" s="4" t="n">
        <v>63</v>
      </c>
      <c r="B85" s="22">
        <f>Bootstrap!A65</f>
        <v/>
      </c>
      <c r="C85" s="21">
        <f>Bootstrap!B65</f>
        <v/>
      </c>
      <c r="D85" s="23">
        <f>Bootstrap!D65</f>
        <v/>
      </c>
      <c r="E85" s="24">
        <f>Bootstrap!F65</f>
        <v/>
      </c>
      <c r="F85" s="41">
        <f>IF($C85&lt;=$B$9,1,0)*$B$10*Quotes!$B$2*$B$5</f>
        <v/>
      </c>
      <c r="G85" s="41">
        <f>IF($C85&lt;=$B$9,1,0)*E85*Quotes!$B$2*$B$5</f>
        <v/>
      </c>
      <c r="H85" s="41">
        <f>F85*D85</f>
        <v/>
      </c>
      <c r="I85" s="41">
        <f>G85*D85</f>
        <v/>
      </c>
    </row>
    <row r="86">
      <c r="A86" s="4" t="n">
        <v>64</v>
      </c>
      <c r="B86" s="22">
        <f>Bootstrap!A66</f>
        <v/>
      </c>
      <c r="C86" s="21">
        <f>Bootstrap!B66</f>
        <v/>
      </c>
      <c r="D86" s="23">
        <f>Bootstrap!D66</f>
        <v/>
      </c>
      <c r="E86" s="24">
        <f>Bootstrap!F66</f>
        <v/>
      </c>
      <c r="F86" s="41">
        <f>IF($C86&lt;=$B$9,1,0)*$B$10*Quotes!$B$2*$B$5</f>
        <v/>
      </c>
      <c r="G86" s="41">
        <f>IF($C86&lt;=$B$9,1,0)*E86*Quotes!$B$2*$B$5</f>
        <v/>
      </c>
      <c r="H86" s="41">
        <f>F86*D86</f>
        <v/>
      </c>
      <c r="I86" s="41">
        <f>G86*D86</f>
        <v/>
      </c>
    </row>
    <row r="87">
      <c r="A87" s="4" t="n">
        <v>65</v>
      </c>
      <c r="B87" s="22">
        <f>Bootstrap!A67</f>
        <v/>
      </c>
      <c r="C87" s="21">
        <f>Bootstrap!B67</f>
        <v/>
      </c>
      <c r="D87" s="23">
        <f>Bootstrap!D67</f>
        <v/>
      </c>
      <c r="E87" s="24">
        <f>Bootstrap!F67</f>
        <v/>
      </c>
      <c r="F87" s="41">
        <f>IF($C87&lt;=$B$9,1,0)*$B$10*Quotes!$B$2*$B$5</f>
        <v/>
      </c>
      <c r="G87" s="41">
        <f>IF($C87&lt;=$B$9,1,0)*E87*Quotes!$B$2*$B$5</f>
        <v/>
      </c>
      <c r="H87" s="41">
        <f>F87*D87</f>
        <v/>
      </c>
      <c r="I87" s="41">
        <f>G87*D87</f>
        <v/>
      </c>
    </row>
    <row r="88">
      <c r="A88" s="4" t="n">
        <v>66</v>
      </c>
      <c r="B88" s="22">
        <f>Bootstrap!A68</f>
        <v/>
      </c>
      <c r="C88" s="21">
        <f>Bootstrap!B68</f>
        <v/>
      </c>
      <c r="D88" s="23">
        <f>Bootstrap!D68</f>
        <v/>
      </c>
      <c r="E88" s="24">
        <f>Bootstrap!F68</f>
        <v/>
      </c>
      <c r="F88" s="41">
        <f>IF($C88&lt;=$B$9,1,0)*$B$10*Quotes!$B$2*$B$5</f>
        <v/>
      </c>
      <c r="G88" s="41">
        <f>IF($C88&lt;=$B$9,1,0)*E88*Quotes!$B$2*$B$5</f>
        <v/>
      </c>
      <c r="H88" s="41">
        <f>F88*D88</f>
        <v/>
      </c>
      <c r="I88" s="41">
        <f>G88*D88</f>
        <v/>
      </c>
    </row>
    <row r="89">
      <c r="A89" s="4" t="n">
        <v>67</v>
      </c>
      <c r="B89" s="22">
        <f>Bootstrap!A69</f>
        <v/>
      </c>
      <c r="C89" s="21">
        <f>Bootstrap!B69</f>
        <v/>
      </c>
      <c r="D89" s="23">
        <f>Bootstrap!D69</f>
        <v/>
      </c>
      <c r="E89" s="24">
        <f>Bootstrap!F69</f>
        <v/>
      </c>
      <c r="F89" s="41">
        <f>IF($C89&lt;=$B$9,1,0)*$B$10*Quotes!$B$2*$B$5</f>
        <v/>
      </c>
      <c r="G89" s="41">
        <f>IF($C89&lt;=$B$9,1,0)*E89*Quotes!$B$2*$B$5</f>
        <v/>
      </c>
      <c r="H89" s="41">
        <f>F89*D89</f>
        <v/>
      </c>
      <c r="I89" s="41">
        <f>G89*D89</f>
        <v/>
      </c>
    </row>
    <row r="90">
      <c r="A90" s="4" t="n">
        <v>68</v>
      </c>
      <c r="B90" s="22">
        <f>Bootstrap!A70</f>
        <v/>
      </c>
      <c r="C90" s="21">
        <f>Bootstrap!B70</f>
        <v/>
      </c>
      <c r="D90" s="23">
        <f>Bootstrap!D70</f>
        <v/>
      </c>
      <c r="E90" s="24">
        <f>Bootstrap!F70</f>
        <v/>
      </c>
      <c r="F90" s="41">
        <f>IF($C90&lt;=$B$9,1,0)*$B$10*Quotes!$B$2*$B$5</f>
        <v/>
      </c>
      <c r="G90" s="41">
        <f>IF($C90&lt;=$B$9,1,0)*E90*Quotes!$B$2*$B$5</f>
        <v/>
      </c>
      <c r="H90" s="41">
        <f>F90*D90</f>
        <v/>
      </c>
      <c r="I90" s="41">
        <f>G90*D90</f>
        <v/>
      </c>
    </row>
    <row r="91">
      <c r="A91" s="4" t="n">
        <v>69</v>
      </c>
      <c r="B91" s="22">
        <f>Bootstrap!A71</f>
        <v/>
      </c>
      <c r="C91" s="21">
        <f>Bootstrap!B71</f>
        <v/>
      </c>
      <c r="D91" s="23">
        <f>Bootstrap!D71</f>
        <v/>
      </c>
      <c r="E91" s="24">
        <f>Bootstrap!F71</f>
        <v/>
      </c>
      <c r="F91" s="41">
        <f>IF($C91&lt;=$B$9,1,0)*$B$10*Quotes!$B$2*$B$5</f>
        <v/>
      </c>
      <c r="G91" s="41">
        <f>IF($C91&lt;=$B$9,1,0)*E91*Quotes!$B$2*$B$5</f>
        <v/>
      </c>
      <c r="H91" s="41">
        <f>F91*D91</f>
        <v/>
      </c>
      <c r="I91" s="41">
        <f>G91*D91</f>
        <v/>
      </c>
    </row>
    <row r="92">
      <c r="A92" s="4" t="n">
        <v>70</v>
      </c>
      <c r="B92" s="22">
        <f>Bootstrap!A72</f>
        <v/>
      </c>
      <c r="C92" s="21">
        <f>Bootstrap!B72</f>
        <v/>
      </c>
      <c r="D92" s="23">
        <f>Bootstrap!D72</f>
        <v/>
      </c>
      <c r="E92" s="24">
        <f>Bootstrap!F72</f>
        <v/>
      </c>
      <c r="F92" s="41">
        <f>IF($C92&lt;=$B$9,1,0)*$B$10*Quotes!$B$2*$B$5</f>
        <v/>
      </c>
      <c r="G92" s="41">
        <f>IF($C92&lt;=$B$9,1,0)*E92*Quotes!$B$2*$B$5</f>
        <v/>
      </c>
      <c r="H92" s="41">
        <f>F92*D92</f>
        <v/>
      </c>
      <c r="I92" s="41">
        <f>G92*D92</f>
        <v/>
      </c>
    </row>
    <row r="93">
      <c r="A93" s="4" t="n">
        <v>71</v>
      </c>
      <c r="B93" s="22">
        <f>Bootstrap!A73</f>
        <v/>
      </c>
      <c r="C93" s="21">
        <f>Bootstrap!B73</f>
        <v/>
      </c>
      <c r="D93" s="23">
        <f>Bootstrap!D73</f>
        <v/>
      </c>
      <c r="E93" s="24">
        <f>Bootstrap!F73</f>
        <v/>
      </c>
      <c r="F93" s="41">
        <f>IF($C93&lt;=$B$9,1,0)*$B$10*Quotes!$B$2*$B$5</f>
        <v/>
      </c>
      <c r="G93" s="41">
        <f>IF($C93&lt;=$B$9,1,0)*E93*Quotes!$B$2*$B$5</f>
        <v/>
      </c>
      <c r="H93" s="41">
        <f>F93*D93</f>
        <v/>
      </c>
      <c r="I93" s="41">
        <f>G93*D93</f>
        <v/>
      </c>
    </row>
    <row r="94">
      <c r="A94" s="4" t="n">
        <v>72</v>
      </c>
      <c r="B94" s="22">
        <f>Bootstrap!A74</f>
        <v/>
      </c>
      <c r="C94" s="21">
        <f>Bootstrap!B74</f>
        <v/>
      </c>
      <c r="D94" s="23">
        <f>Bootstrap!D74</f>
        <v/>
      </c>
      <c r="E94" s="24">
        <f>Bootstrap!F74</f>
        <v/>
      </c>
      <c r="F94" s="41">
        <f>IF($C94&lt;=$B$9,1,0)*$B$10*Quotes!$B$2*$B$5</f>
        <v/>
      </c>
      <c r="G94" s="41">
        <f>IF($C94&lt;=$B$9,1,0)*E94*Quotes!$B$2*$B$5</f>
        <v/>
      </c>
      <c r="H94" s="41">
        <f>F94*D94</f>
        <v/>
      </c>
      <c r="I94" s="41">
        <f>G94*D94</f>
        <v/>
      </c>
    </row>
    <row r="95">
      <c r="A95" s="4" t="n">
        <v>73</v>
      </c>
      <c r="B95" s="22">
        <f>Bootstrap!A75</f>
        <v/>
      </c>
      <c r="C95" s="21">
        <f>Bootstrap!B75</f>
        <v/>
      </c>
      <c r="D95" s="23">
        <f>Bootstrap!D75</f>
        <v/>
      </c>
      <c r="E95" s="24">
        <f>Bootstrap!F75</f>
        <v/>
      </c>
      <c r="F95" s="41">
        <f>IF($C95&lt;=$B$9,1,0)*$B$10*Quotes!$B$2*$B$5</f>
        <v/>
      </c>
      <c r="G95" s="41">
        <f>IF($C95&lt;=$B$9,1,0)*E95*Quotes!$B$2*$B$5</f>
        <v/>
      </c>
      <c r="H95" s="41">
        <f>F95*D95</f>
        <v/>
      </c>
      <c r="I95" s="41">
        <f>G95*D95</f>
        <v/>
      </c>
    </row>
    <row r="96">
      <c r="A96" s="4" t="n">
        <v>74</v>
      </c>
      <c r="B96" s="22">
        <f>Bootstrap!A76</f>
        <v/>
      </c>
      <c r="C96" s="21">
        <f>Bootstrap!B76</f>
        <v/>
      </c>
      <c r="D96" s="23">
        <f>Bootstrap!D76</f>
        <v/>
      </c>
      <c r="E96" s="24">
        <f>Bootstrap!F76</f>
        <v/>
      </c>
      <c r="F96" s="41">
        <f>IF($C96&lt;=$B$9,1,0)*$B$10*Quotes!$B$2*$B$5</f>
        <v/>
      </c>
      <c r="G96" s="41">
        <f>IF($C96&lt;=$B$9,1,0)*E96*Quotes!$B$2*$B$5</f>
        <v/>
      </c>
      <c r="H96" s="41">
        <f>F96*D96</f>
        <v/>
      </c>
      <c r="I96" s="41">
        <f>G96*D96</f>
        <v/>
      </c>
    </row>
    <row r="97">
      <c r="A97" s="4" t="n">
        <v>75</v>
      </c>
      <c r="B97" s="22">
        <f>Bootstrap!A77</f>
        <v/>
      </c>
      <c r="C97" s="21">
        <f>Bootstrap!B77</f>
        <v/>
      </c>
      <c r="D97" s="23">
        <f>Bootstrap!D77</f>
        <v/>
      </c>
      <c r="E97" s="24">
        <f>Bootstrap!F77</f>
        <v/>
      </c>
      <c r="F97" s="41">
        <f>IF($C97&lt;=$B$9,1,0)*$B$10*Quotes!$B$2*$B$5</f>
        <v/>
      </c>
      <c r="G97" s="41">
        <f>IF($C97&lt;=$B$9,1,0)*E97*Quotes!$B$2*$B$5</f>
        <v/>
      </c>
      <c r="H97" s="41">
        <f>F97*D97</f>
        <v/>
      </c>
      <c r="I97" s="41">
        <f>G97*D97</f>
        <v/>
      </c>
    </row>
    <row r="98">
      <c r="A98" s="4" t="n">
        <v>76</v>
      </c>
      <c r="B98" s="22">
        <f>Bootstrap!A78</f>
        <v/>
      </c>
      <c r="C98" s="21">
        <f>Bootstrap!B78</f>
        <v/>
      </c>
      <c r="D98" s="23">
        <f>Bootstrap!D78</f>
        <v/>
      </c>
      <c r="E98" s="24">
        <f>Bootstrap!F78</f>
        <v/>
      </c>
      <c r="F98" s="41">
        <f>IF($C98&lt;=$B$9,1,0)*$B$10*Quotes!$B$2*$B$5</f>
        <v/>
      </c>
      <c r="G98" s="41">
        <f>IF($C98&lt;=$B$9,1,0)*E98*Quotes!$B$2*$B$5</f>
        <v/>
      </c>
      <c r="H98" s="41">
        <f>F98*D98</f>
        <v/>
      </c>
      <c r="I98" s="41">
        <f>G98*D98</f>
        <v/>
      </c>
    </row>
    <row r="99">
      <c r="A99" s="4" t="n">
        <v>77</v>
      </c>
      <c r="B99" s="22">
        <f>Bootstrap!A79</f>
        <v/>
      </c>
      <c r="C99" s="21">
        <f>Bootstrap!B79</f>
        <v/>
      </c>
      <c r="D99" s="23">
        <f>Bootstrap!D79</f>
        <v/>
      </c>
      <c r="E99" s="24">
        <f>Bootstrap!F79</f>
        <v/>
      </c>
      <c r="F99" s="41">
        <f>IF($C99&lt;=$B$9,1,0)*$B$10*Quotes!$B$2*$B$5</f>
        <v/>
      </c>
      <c r="G99" s="41">
        <f>IF($C99&lt;=$B$9,1,0)*E99*Quotes!$B$2*$B$5</f>
        <v/>
      </c>
      <c r="H99" s="41">
        <f>F99*D99</f>
        <v/>
      </c>
      <c r="I99" s="41">
        <f>G99*D99</f>
        <v/>
      </c>
    </row>
    <row r="100">
      <c r="A100" s="4" t="n">
        <v>78</v>
      </c>
      <c r="B100" s="22">
        <f>Bootstrap!A80</f>
        <v/>
      </c>
      <c r="C100" s="21">
        <f>Bootstrap!B80</f>
        <v/>
      </c>
      <c r="D100" s="23">
        <f>Bootstrap!D80</f>
        <v/>
      </c>
      <c r="E100" s="24">
        <f>Bootstrap!F80</f>
        <v/>
      </c>
      <c r="F100" s="41">
        <f>IF($C100&lt;=$B$9,1,0)*$B$10*Quotes!$B$2*$B$5</f>
        <v/>
      </c>
      <c r="G100" s="41">
        <f>IF($C100&lt;=$B$9,1,0)*E100*Quotes!$B$2*$B$5</f>
        <v/>
      </c>
      <c r="H100" s="41">
        <f>F100*D100</f>
        <v/>
      </c>
      <c r="I100" s="41">
        <f>G100*D100</f>
        <v/>
      </c>
    </row>
    <row r="101">
      <c r="A101" s="4" t="n">
        <v>79</v>
      </c>
      <c r="B101" s="22">
        <f>Bootstrap!A81</f>
        <v/>
      </c>
      <c r="C101" s="21">
        <f>Bootstrap!B81</f>
        <v/>
      </c>
      <c r="D101" s="23">
        <f>Bootstrap!D81</f>
        <v/>
      </c>
      <c r="E101" s="24">
        <f>Bootstrap!F81</f>
        <v/>
      </c>
      <c r="F101" s="41">
        <f>IF($C101&lt;=$B$9,1,0)*$B$10*Quotes!$B$2*$B$5</f>
        <v/>
      </c>
      <c r="G101" s="41">
        <f>IF($C101&lt;=$B$9,1,0)*E101*Quotes!$B$2*$B$5</f>
        <v/>
      </c>
      <c r="H101" s="41">
        <f>F101*D101</f>
        <v/>
      </c>
      <c r="I101" s="41">
        <f>G101*D101</f>
        <v/>
      </c>
    </row>
    <row r="102">
      <c r="A102" s="4" t="n">
        <v>80</v>
      </c>
      <c r="B102" s="22">
        <f>Bootstrap!A82</f>
        <v/>
      </c>
      <c r="C102" s="21">
        <f>Bootstrap!B82</f>
        <v/>
      </c>
      <c r="D102" s="23">
        <f>Bootstrap!D82</f>
        <v/>
      </c>
      <c r="E102" s="24">
        <f>Bootstrap!F82</f>
        <v/>
      </c>
      <c r="F102" s="41">
        <f>IF($C102&lt;=$B$9,1,0)*$B$10*Quotes!$B$2*$B$5</f>
        <v/>
      </c>
      <c r="G102" s="41">
        <f>IF($C102&lt;=$B$9,1,0)*E102*Quotes!$B$2*$B$5</f>
        <v/>
      </c>
      <c r="H102" s="41">
        <f>F102*D102</f>
        <v/>
      </c>
      <c r="I102" s="41">
        <f>G102*D102</f>
        <v/>
      </c>
    </row>
    <row r="103">
      <c r="A103" s="4" t="n">
        <v>81</v>
      </c>
      <c r="B103" s="22">
        <f>Bootstrap!A83</f>
        <v/>
      </c>
      <c r="C103" s="21">
        <f>Bootstrap!B83</f>
        <v/>
      </c>
      <c r="D103" s="23">
        <f>Bootstrap!D83</f>
        <v/>
      </c>
      <c r="E103" s="24">
        <f>Bootstrap!F83</f>
        <v/>
      </c>
      <c r="F103" s="41">
        <f>IF($C103&lt;=$B$9,1,0)*$B$10*Quotes!$B$2*$B$5</f>
        <v/>
      </c>
      <c r="G103" s="41">
        <f>IF($C103&lt;=$B$9,1,0)*E103*Quotes!$B$2*$B$5</f>
        <v/>
      </c>
      <c r="H103" s="41">
        <f>F103*D103</f>
        <v/>
      </c>
      <c r="I103" s="41">
        <f>G103*D103</f>
        <v/>
      </c>
    </row>
    <row r="104">
      <c r="A104" s="4" t="n">
        <v>82</v>
      </c>
      <c r="B104" s="22">
        <f>Bootstrap!A84</f>
        <v/>
      </c>
      <c r="C104" s="21">
        <f>Bootstrap!B84</f>
        <v/>
      </c>
      <c r="D104" s="23">
        <f>Bootstrap!D84</f>
        <v/>
      </c>
      <c r="E104" s="24">
        <f>Bootstrap!F84</f>
        <v/>
      </c>
      <c r="F104" s="41">
        <f>IF($C104&lt;=$B$9,1,0)*$B$10*Quotes!$B$2*$B$5</f>
        <v/>
      </c>
      <c r="G104" s="41">
        <f>IF($C104&lt;=$B$9,1,0)*E104*Quotes!$B$2*$B$5</f>
        <v/>
      </c>
      <c r="H104" s="41">
        <f>F104*D104</f>
        <v/>
      </c>
      <c r="I104" s="41">
        <f>G104*D104</f>
        <v/>
      </c>
    </row>
    <row r="105">
      <c r="A105" s="4" t="n">
        <v>83</v>
      </c>
      <c r="B105" s="22">
        <f>Bootstrap!A85</f>
        <v/>
      </c>
      <c r="C105" s="21">
        <f>Bootstrap!B85</f>
        <v/>
      </c>
      <c r="D105" s="23">
        <f>Bootstrap!D85</f>
        <v/>
      </c>
      <c r="E105" s="24">
        <f>Bootstrap!F85</f>
        <v/>
      </c>
      <c r="F105" s="41">
        <f>IF($C105&lt;=$B$9,1,0)*$B$10*Quotes!$B$2*$B$5</f>
        <v/>
      </c>
      <c r="G105" s="41">
        <f>IF($C105&lt;=$B$9,1,0)*E105*Quotes!$B$2*$B$5</f>
        <v/>
      </c>
      <c r="H105" s="41">
        <f>F105*D105</f>
        <v/>
      </c>
      <c r="I105" s="41">
        <f>G105*D105</f>
        <v/>
      </c>
    </row>
    <row r="106">
      <c r="A106" s="4" t="n">
        <v>84</v>
      </c>
      <c r="B106" s="22">
        <f>Bootstrap!A86</f>
        <v/>
      </c>
      <c r="C106" s="21">
        <f>Bootstrap!B86</f>
        <v/>
      </c>
      <c r="D106" s="23">
        <f>Bootstrap!D86</f>
        <v/>
      </c>
      <c r="E106" s="24">
        <f>Bootstrap!F86</f>
        <v/>
      </c>
      <c r="F106" s="41">
        <f>IF($C106&lt;=$B$9,1,0)*$B$10*Quotes!$B$2*$B$5</f>
        <v/>
      </c>
      <c r="G106" s="41">
        <f>IF($C106&lt;=$B$9,1,0)*E106*Quotes!$B$2*$B$5</f>
        <v/>
      </c>
      <c r="H106" s="41">
        <f>F106*D106</f>
        <v/>
      </c>
      <c r="I106" s="41">
        <f>G106*D106</f>
        <v/>
      </c>
    </row>
    <row r="107">
      <c r="A107" s="4" t="n">
        <v>85</v>
      </c>
      <c r="B107" s="22">
        <f>Bootstrap!A87</f>
        <v/>
      </c>
      <c r="C107" s="21">
        <f>Bootstrap!B87</f>
        <v/>
      </c>
      <c r="D107" s="23">
        <f>Bootstrap!D87</f>
        <v/>
      </c>
      <c r="E107" s="24">
        <f>Bootstrap!F87</f>
        <v/>
      </c>
      <c r="F107" s="41">
        <f>IF($C107&lt;=$B$9,1,0)*$B$10*Quotes!$B$2*$B$5</f>
        <v/>
      </c>
      <c r="G107" s="41">
        <f>IF($C107&lt;=$B$9,1,0)*E107*Quotes!$B$2*$B$5</f>
        <v/>
      </c>
      <c r="H107" s="41">
        <f>F107*D107</f>
        <v/>
      </c>
      <c r="I107" s="41">
        <f>G107*D107</f>
        <v/>
      </c>
    </row>
    <row r="108">
      <c r="A108" s="4" t="n">
        <v>86</v>
      </c>
      <c r="B108" s="22">
        <f>Bootstrap!A88</f>
        <v/>
      </c>
      <c r="C108" s="21">
        <f>Bootstrap!B88</f>
        <v/>
      </c>
      <c r="D108" s="23">
        <f>Bootstrap!D88</f>
        <v/>
      </c>
      <c r="E108" s="24">
        <f>Bootstrap!F88</f>
        <v/>
      </c>
      <c r="F108" s="41">
        <f>IF($C108&lt;=$B$9,1,0)*$B$10*Quotes!$B$2*$B$5</f>
        <v/>
      </c>
      <c r="G108" s="41">
        <f>IF($C108&lt;=$B$9,1,0)*E108*Quotes!$B$2*$B$5</f>
        <v/>
      </c>
      <c r="H108" s="41">
        <f>F108*D108</f>
        <v/>
      </c>
      <c r="I108" s="41">
        <f>G108*D108</f>
        <v/>
      </c>
    </row>
    <row r="109">
      <c r="A109" s="4" t="n">
        <v>87</v>
      </c>
      <c r="B109" s="22">
        <f>Bootstrap!A89</f>
        <v/>
      </c>
      <c r="C109" s="21">
        <f>Bootstrap!B89</f>
        <v/>
      </c>
      <c r="D109" s="23">
        <f>Bootstrap!D89</f>
        <v/>
      </c>
      <c r="E109" s="24">
        <f>Bootstrap!F89</f>
        <v/>
      </c>
      <c r="F109" s="41">
        <f>IF($C109&lt;=$B$9,1,0)*$B$10*Quotes!$B$2*$B$5</f>
        <v/>
      </c>
      <c r="G109" s="41">
        <f>IF($C109&lt;=$B$9,1,0)*E109*Quotes!$B$2*$B$5</f>
        <v/>
      </c>
      <c r="H109" s="41">
        <f>F109*D109</f>
        <v/>
      </c>
      <c r="I109" s="41">
        <f>G109*D109</f>
        <v/>
      </c>
    </row>
    <row r="110">
      <c r="A110" s="4" t="n">
        <v>88</v>
      </c>
      <c r="B110" s="22">
        <f>Bootstrap!A90</f>
        <v/>
      </c>
      <c r="C110" s="21">
        <f>Bootstrap!B90</f>
        <v/>
      </c>
      <c r="D110" s="23">
        <f>Bootstrap!D90</f>
        <v/>
      </c>
      <c r="E110" s="24">
        <f>Bootstrap!F90</f>
        <v/>
      </c>
      <c r="F110" s="41">
        <f>IF($C110&lt;=$B$9,1,0)*$B$10*Quotes!$B$2*$B$5</f>
        <v/>
      </c>
      <c r="G110" s="41">
        <f>IF($C110&lt;=$B$9,1,0)*E110*Quotes!$B$2*$B$5</f>
        <v/>
      </c>
      <c r="H110" s="41">
        <f>F110*D110</f>
        <v/>
      </c>
      <c r="I110" s="41">
        <f>G110*D110</f>
        <v/>
      </c>
    </row>
    <row r="111">
      <c r="A111" s="4" t="n">
        <v>89</v>
      </c>
      <c r="B111" s="22">
        <f>Bootstrap!A91</f>
        <v/>
      </c>
      <c r="C111" s="21">
        <f>Bootstrap!B91</f>
        <v/>
      </c>
      <c r="D111" s="23">
        <f>Bootstrap!D91</f>
        <v/>
      </c>
      <c r="E111" s="24">
        <f>Bootstrap!F91</f>
        <v/>
      </c>
      <c r="F111" s="41">
        <f>IF($C111&lt;=$B$9,1,0)*$B$10*Quotes!$B$2*$B$5</f>
        <v/>
      </c>
      <c r="G111" s="41">
        <f>IF($C111&lt;=$B$9,1,0)*E111*Quotes!$B$2*$B$5</f>
        <v/>
      </c>
      <c r="H111" s="41">
        <f>F111*D111</f>
        <v/>
      </c>
      <c r="I111" s="41">
        <f>G111*D111</f>
        <v/>
      </c>
    </row>
    <row r="112">
      <c r="A112" s="4" t="n">
        <v>90</v>
      </c>
      <c r="B112" s="22">
        <f>Bootstrap!A92</f>
        <v/>
      </c>
      <c r="C112" s="21">
        <f>Bootstrap!B92</f>
        <v/>
      </c>
      <c r="D112" s="23">
        <f>Bootstrap!D92</f>
        <v/>
      </c>
      <c r="E112" s="24">
        <f>Bootstrap!F92</f>
        <v/>
      </c>
      <c r="F112" s="41">
        <f>IF($C112&lt;=$B$9,1,0)*$B$10*Quotes!$B$2*$B$5</f>
        <v/>
      </c>
      <c r="G112" s="41">
        <f>IF($C112&lt;=$B$9,1,0)*E112*Quotes!$B$2*$B$5</f>
        <v/>
      </c>
      <c r="H112" s="41">
        <f>F112*D112</f>
        <v/>
      </c>
      <c r="I112" s="41">
        <f>G112*D112</f>
        <v/>
      </c>
    </row>
    <row r="113">
      <c r="A113" s="4" t="n">
        <v>91</v>
      </c>
      <c r="B113" s="22">
        <f>Bootstrap!A93</f>
        <v/>
      </c>
      <c r="C113" s="21">
        <f>Bootstrap!B93</f>
        <v/>
      </c>
      <c r="D113" s="23">
        <f>Bootstrap!D93</f>
        <v/>
      </c>
      <c r="E113" s="24">
        <f>Bootstrap!F93</f>
        <v/>
      </c>
      <c r="F113" s="41">
        <f>IF($C113&lt;=$B$9,1,0)*$B$10*Quotes!$B$2*$B$5</f>
        <v/>
      </c>
      <c r="G113" s="41">
        <f>IF($C113&lt;=$B$9,1,0)*E113*Quotes!$B$2*$B$5</f>
        <v/>
      </c>
      <c r="H113" s="41">
        <f>F113*D113</f>
        <v/>
      </c>
      <c r="I113" s="41">
        <f>G113*D113</f>
        <v/>
      </c>
    </row>
    <row r="114">
      <c r="A114" s="4" t="n">
        <v>92</v>
      </c>
      <c r="B114" s="22">
        <f>Bootstrap!A94</f>
        <v/>
      </c>
      <c r="C114" s="21">
        <f>Bootstrap!B94</f>
        <v/>
      </c>
      <c r="D114" s="23">
        <f>Bootstrap!D94</f>
        <v/>
      </c>
      <c r="E114" s="24">
        <f>Bootstrap!F94</f>
        <v/>
      </c>
      <c r="F114" s="41">
        <f>IF($C114&lt;=$B$9,1,0)*$B$10*Quotes!$B$2*$B$5</f>
        <v/>
      </c>
      <c r="G114" s="41">
        <f>IF($C114&lt;=$B$9,1,0)*E114*Quotes!$B$2*$B$5</f>
        <v/>
      </c>
      <c r="H114" s="41">
        <f>F114*D114</f>
        <v/>
      </c>
      <c r="I114" s="41">
        <f>G114*D114</f>
        <v/>
      </c>
    </row>
    <row r="115">
      <c r="A115" s="4" t="n">
        <v>93</v>
      </c>
      <c r="B115" s="22">
        <f>Bootstrap!A95</f>
        <v/>
      </c>
      <c r="C115" s="21">
        <f>Bootstrap!B95</f>
        <v/>
      </c>
      <c r="D115" s="23">
        <f>Bootstrap!D95</f>
        <v/>
      </c>
      <c r="E115" s="24">
        <f>Bootstrap!F95</f>
        <v/>
      </c>
      <c r="F115" s="41">
        <f>IF($C115&lt;=$B$9,1,0)*$B$10*Quotes!$B$2*$B$5</f>
        <v/>
      </c>
      <c r="G115" s="41">
        <f>IF($C115&lt;=$B$9,1,0)*E115*Quotes!$B$2*$B$5</f>
        <v/>
      </c>
      <c r="H115" s="41">
        <f>F115*D115</f>
        <v/>
      </c>
      <c r="I115" s="41">
        <f>G115*D115</f>
        <v/>
      </c>
    </row>
    <row r="116">
      <c r="A116" s="4" t="n">
        <v>94</v>
      </c>
      <c r="B116" s="22">
        <f>Bootstrap!A96</f>
        <v/>
      </c>
      <c r="C116" s="21">
        <f>Bootstrap!B96</f>
        <v/>
      </c>
      <c r="D116" s="23">
        <f>Bootstrap!D96</f>
        <v/>
      </c>
      <c r="E116" s="24">
        <f>Bootstrap!F96</f>
        <v/>
      </c>
      <c r="F116" s="41">
        <f>IF($C116&lt;=$B$9,1,0)*$B$10*Quotes!$B$2*$B$5</f>
        <v/>
      </c>
      <c r="G116" s="41">
        <f>IF($C116&lt;=$B$9,1,0)*E116*Quotes!$B$2*$B$5</f>
        <v/>
      </c>
      <c r="H116" s="41">
        <f>F116*D116</f>
        <v/>
      </c>
      <c r="I116" s="41">
        <f>G116*D116</f>
        <v/>
      </c>
    </row>
    <row r="117">
      <c r="A117" s="4" t="n">
        <v>95</v>
      </c>
      <c r="B117" s="22">
        <f>Bootstrap!A97</f>
        <v/>
      </c>
      <c r="C117" s="21">
        <f>Bootstrap!B97</f>
        <v/>
      </c>
      <c r="D117" s="23">
        <f>Bootstrap!D97</f>
        <v/>
      </c>
      <c r="E117" s="24">
        <f>Bootstrap!F97</f>
        <v/>
      </c>
      <c r="F117" s="41">
        <f>IF($C117&lt;=$B$9,1,0)*$B$10*Quotes!$B$2*$B$5</f>
        <v/>
      </c>
      <c r="G117" s="41">
        <f>IF($C117&lt;=$B$9,1,0)*E117*Quotes!$B$2*$B$5</f>
        <v/>
      </c>
      <c r="H117" s="41">
        <f>F117*D117</f>
        <v/>
      </c>
      <c r="I117" s="41">
        <f>G117*D117</f>
        <v/>
      </c>
    </row>
    <row r="118">
      <c r="A118" s="4" t="n">
        <v>96</v>
      </c>
      <c r="B118" s="22">
        <f>Bootstrap!A98</f>
        <v/>
      </c>
      <c r="C118" s="21">
        <f>Bootstrap!B98</f>
        <v/>
      </c>
      <c r="D118" s="23">
        <f>Bootstrap!D98</f>
        <v/>
      </c>
      <c r="E118" s="24">
        <f>Bootstrap!F98</f>
        <v/>
      </c>
      <c r="F118" s="41">
        <f>IF($C118&lt;=$B$9,1,0)*$B$10*Quotes!$B$2*$B$5</f>
        <v/>
      </c>
      <c r="G118" s="41">
        <f>IF($C118&lt;=$B$9,1,0)*E118*Quotes!$B$2*$B$5</f>
        <v/>
      </c>
      <c r="H118" s="41">
        <f>F118*D118</f>
        <v/>
      </c>
      <c r="I118" s="41">
        <f>G118*D118</f>
        <v/>
      </c>
    </row>
    <row r="119">
      <c r="A119" s="4" t="n">
        <v>97</v>
      </c>
      <c r="B119" s="22">
        <f>Bootstrap!A99</f>
        <v/>
      </c>
      <c r="C119" s="21">
        <f>Bootstrap!B99</f>
        <v/>
      </c>
      <c r="D119" s="23">
        <f>Bootstrap!D99</f>
        <v/>
      </c>
      <c r="E119" s="24">
        <f>Bootstrap!F99</f>
        <v/>
      </c>
      <c r="F119" s="41">
        <f>IF($C119&lt;=$B$9,1,0)*$B$10*Quotes!$B$2*$B$5</f>
        <v/>
      </c>
      <c r="G119" s="41">
        <f>IF($C119&lt;=$B$9,1,0)*E119*Quotes!$B$2*$B$5</f>
        <v/>
      </c>
      <c r="H119" s="41">
        <f>F119*D119</f>
        <v/>
      </c>
      <c r="I119" s="41">
        <f>G119*D119</f>
        <v/>
      </c>
    </row>
    <row r="120">
      <c r="A120" s="4" t="n">
        <v>98</v>
      </c>
      <c r="B120" s="22">
        <f>Bootstrap!A100</f>
        <v/>
      </c>
      <c r="C120" s="21">
        <f>Bootstrap!B100</f>
        <v/>
      </c>
      <c r="D120" s="23">
        <f>Bootstrap!D100</f>
        <v/>
      </c>
      <c r="E120" s="24">
        <f>Bootstrap!F100</f>
        <v/>
      </c>
      <c r="F120" s="41">
        <f>IF($C120&lt;=$B$9,1,0)*$B$10*Quotes!$B$2*$B$5</f>
        <v/>
      </c>
      <c r="G120" s="41">
        <f>IF($C120&lt;=$B$9,1,0)*E120*Quotes!$B$2*$B$5</f>
        <v/>
      </c>
      <c r="H120" s="41">
        <f>F120*D120</f>
        <v/>
      </c>
      <c r="I120" s="41">
        <f>G120*D120</f>
        <v/>
      </c>
    </row>
    <row r="121">
      <c r="A121" s="4" t="n">
        <v>99</v>
      </c>
      <c r="B121" s="22">
        <f>Bootstrap!A101</f>
        <v/>
      </c>
      <c r="C121" s="21">
        <f>Bootstrap!B101</f>
        <v/>
      </c>
      <c r="D121" s="23">
        <f>Bootstrap!D101</f>
        <v/>
      </c>
      <c r="E121" s="24">
        <f>Bootstrap!F101</f>
        <v/>
      </c>
      <c r="F121" s="41">
        <f>IF($C121&lt;=$B$9,1,0)*$B$10*Quotes!$B$2*$B$5</f>
        <v/>
      </c>
      <c r="G121" s="41">
        <f>IF($C121&lt;=$B$9,1,0)*E121*Quotes!$B$2*$B$5</f>
        <v/>
      </c>
      <c r="H121" s="41">
        <f>F121*D121</f>
        <v/>
      </c>
      <c r="I121" s="41">
        <f>G121*D121</f>
        <v/>
      </c>
    </row>
    <row r="122">
      <c r="A122" s="4" t="n">
        <v>100</v>
      </c>
      <c r="B122" s="22">
        <f>Bootstrap!A102</f>
        <v/>
      </c>
      <c r="C122" s="21">
        <f>Bootstrap!B102</f>
        <v/>
      </c>
      <c r="D122" s="23">
        <f>Bootstrap!D102</f>
        <v/>
      </c>
      <c r="E122" s="24">
        <f>Bootstrap!F102</f>
        <v/>
      </c>
      <c r="F122" s="41">
        <f>IF($C122&lt;=$B$9,1,0)*$B$10*Quotes!$B$2*$B$5</f>
        <v/>
      </c>
      <c r="G122" s="41">
        <f>IF($C122&lt;=$B$9,1,0)*E122*Quotes!$B$2*$B$5</f>
        <v/>
      </c>
      <c r="H122" s="41">
        <f>F122*D122</f>
        <v/>
      </c>
      <c r="I122" s="41">
        <f>G122*D122</f>
        <v/>
      </c>
    </row>
    <row r="123">
      <c r="A123" s="4" t="n">
        <v>101</v>
      </c>
      <c r="B123" s="22">
        <f>Bootstrap!A103</f>
        <v/>
      </c>
      <c r="C123" s="21">
        <f>Bootstrap!B103</f>
        <v/>
      </c>
      <c r="D123" s="23">
        <f>Bootstrap!D103</f>
        <v/>
      </c>
      <c r="E123" s="24">
        <f>Bootstrap!F103</f>
        <v/>
      </c>
      <c r="F123" s="41">
        <f>IF($C123&lt;=$B$9,1,0)*$B$10*Quotes!$B$2*$B$5</f>
        <v/>
      </c>
      <c r="G123" s="41">
        <f>IF($C123&lt;=$B$9,1,0)*E123*Quotes!$B$2*$B$5</f>
        <v/>
      </c>
      <c r="H123" s="41">
        <f>F123*D123</f>
        <v/>
      </c>
      <c r="I123" s="41">
        <f>G123*D123</f>
        <v/>
      </c>
    </row>
    <row r="124">
      <c r="A124" s="4" t="n">
        <v>102</v>
      </c>
      <c r="B124" s="22">
        <f>Bootstrap!A104</f>
        <v/>
      </c>
      <c r="C124" s="21">
        <f>Bootstrap!B104</f>
        <v/>
      </c>
      <c r="D124" s="23">
        <f>Bootstrap!D104</f>
        <v/>
      </c>
      <c r="E124" s="24">
        <f>Bootstrap!F104</f>
        <v/>
      </c>
      <c r="F124" s="41">
        <f>IF($C124&lt;=$B$9,1,0)*$B$10*Quotes!$B$2*$B$5</f>
        <v/>
      </c>
      <c r="G124" s="41">
        <f>IF($C124&lt;=$B$9,1,0)*E124*Quotes!$B$2*$B$5</f>
        <v/>
      </c>
      <c r="H124" s="41">
        <f>F124*D124</f>
        <v/>
      </c>
      <c r="I124" s="41">
        <f>G124*D124</f>
        <v/>
      </c>
    </row>
    <row r="125">
      <c r="A125" s="4" t="n">
        <v>103</v>
      </c>
      <c r="B125" s="22">
        <f>Bootstrap!A105</f>
        <v/>
      </c>
      <c r="C125" s="21">
        <f>Bootstrap!B105</f>
        <v/>
      </c>
      <c r="D125" s="23">
        <f>Bootstrap!D105</f>
        <v/>
      </c>
      <c r="E125" s="24">
        <f>Bootstrap!F105</f>
        <v/>
      </c>
      <c r="F125" s="41">
        <f>IF($C125&lt;=$B$9,1,0)*$B$10*Quotes!$B$2*$B$5</f>
        <v/>
      </c>
      <c r="G125" s="41">
        <f>IF($C125&lt;=$B$9,1,0)*E125*Quotes!$B$2*$B$5</f>
        <v/>
      </c>
      <c r="H125" s="41">
        <f>F125*D125</f>
        <v/>
      </c>
      <c r="I125" s="41">
        <f>G125*D125</f>
        <v/>
      </c>
    </row>
    <row r="126">
      <c r="A126" s="4" t="n">
        <v>104</v>
      </c>
      <c r="B126" s="22">
        <f>Bootstrap!A106</f>
        <v/>
      </c>
      <c r="C126" s="21">
        <f>Bootstrap!B106</f>
        <v/>
      </c>
      <c r="D126" s="23">
        <f>Bootstrap!D106</f>
        <v/>
      </c>
      <c r="E126" s="24">
        <f>Bootstrap!F106</f>
        <v/>
      </c>
      <c r="F126" s="41">
        <f>IF($C126&lt;=$B$9,1,0)*$B$10*Quotes!$B$2*$B$5</f>
        <v/>
      </c>
      <c r="G126" s="41">
        <f>IF($C126&lt;=$B$9,1,0)*E126*Quotes!$B$2*$B$5</f>
        <v/>
      </c>
      <c r="H126" s="41">
        <f>F126*D126</f>
        <v/>
      </c>
      <c r="I126" s="41">
        <f>G126*D126</f>
        <v/>
      </c>
    </row>
    <row r="127">
      <c r="A127" s="4" t="n">
        <v>105</v>
      </c>
      <c r="B127" s="22">
        <f>Bootstrap!A107</f>
        <v/>
      </c>
      <c r="C127" s="21">
        <f>Bootstrap!B107</f>
        <v/>
      </c>
      <c r="D127" s="23">
        <f>Bootstrap!D107</f>
        <v/>
      </c>
      <c r="E127" s="24">
        <f>Bootstrap!F107</f>
        <v/>
      </c>
      <c r="F127" s="41">
        <f>IF($C127&lt;=$B$9,1,0)*$B$10*Quotes!$B$2*$B$5</f>
        <v/>
      </c>
      <c r="G127" s="41">
        <f>IF($C127&lt;=$B$9,1,0)*E127*Quotes!$B$2*$B$5</f>
        <v/>
      </c>
      <c r="H127" s="41">
        <f>F127*D127</f>
        <v/>
      </c>
      <c r="I127" s="41">
        <f>G127*D127</f>
        <v/>
      </c>
    </row>
    <row r="128">
      <c r="A128" s="4" t="n">
        <v>106</v>
      </c>
      <c r="B128" s="22">
        <f>Bootstrap!A108</f>
        <v/>
      </c>
      <c r="C128" s="21">
        <f>Bootstrap!B108</f>
        <v/>
      </c>
      <c r="D128" s="23">
        <f>Bootstrap!D108</f>
        <v/>
      </c>
      <c r="E128" s="24">
        <f>Bootstrap!F108</f>
        <v/>
      </c>
      <c r="F128" s="41">
        <f>IF($C128&lt;=$B$9,1,0)*$B$10*Quotes!$B$2*$B$5</f>
        <v/>
      </c>
      <c r="G128" s="41">
        <f>IF($C128&lt;=$B$9,1,0)*E128*Quotes!$B$2*$B$5</f>
        <v/>
      </c>
      <c r="H128" s="41">
        <f>F128*D128</f>
        <v/>
      </c>
      <c r="I128" s="41">
        <f>G128*D128</f>
        <v/>
      </c>
    </row>
    <row r="129">
      <c r="A129" s="4" t="n">
        <v>107</v>
      </c>
      <c r="B129" s="22">
        <f>Bootstrap!A109</f>
        <v/>
      </c>
      <c r="C129" s="21">
        <f>Bootstrap!B109</f>
        <v/>
      </c>
      <c r="D129" s="23">
        <f>Bootstrap!D109</f>
        <v/>
      </c>
      <c r="E129" s="24">
        <f>Bootstrap!F109</f>
        <v/>
      </c>
      <c r="F129" s="41">
        <f>IF($C129&lt;=$B$9,1,0)*$B$10*Quotes!$B$2*$B$5</f>
        <v/>
      </c>
      <c r="G129" s="41">
        <f>IF($C129&lt;=$B$9,1,0)*E129*Quotes!$B$2*$B$5</f>
        <v/>
      </c>
      <c r="H129" s="41">
        <f>F129*D129</f>
        <v/>
      </c>
      <c r="I129" s="41">
        <f>G129*D129</f>
        <v/>
      </c>
    </row>
    <row r="130">
      <c r="A130" s="4" t="n">
        <v>108</v>
      </c>
      <c r="B130" s="22">
        <f>Bootstrap!A110</f>
        <v/>
      </c>
      <c r="C130" s="21">
        <f>Bootstrap!B110</f>
        <v/>
      </c>
      <c r="D130" s="23">
        <f>Bootstrap!D110</f>
        <v/>
      </c>
      <c r="E130" s="24">
        <f>Bootstrap!F110</f>
        <v/>
      </c>
      <c r="F130" s="41">
        <f>IF($C130&lt;=$B$9,1,0)*$B$10*Quotes!$B$2*$B$5</f>
        <v/>
      </c>
      <c r="G130" s="41">
        <f>IF($C130&lt;=$B$9,1,0)*E130*Quotes!$B$2*$B$5</f>
        <v/>
      </c>
      <c r="H130" s="41">
        <f>F130*D130</f>
        <v/>
      </c>
      <c r="I130" s="41">
        <f>G130*D130</f>
        <v/>
      </c>
    </row>
    <row r="131">
      <c r="A131" s="4" t="n">
        <v>109</v>
      </c>
      <c r="B131" s="22">
        <f>Bootstrap!A111</f>
        <v/>
      </c>
      <c r="C131" s="21">
        <f>Bootstrap!B111</f>
        <v/>
      </c>
      <c r="D131" s="23">
        <f>Bootstrap!D111</f>
        <v/>
      </c>
      <c r="E131" s="24">
        <f>Bootstrap!F111</f>
        <v/>
      </c>
      <c r="F131" s="41">
        <f>IF($C131&lt;=$B$9,1,0)*$B$10*Quotes!$B$2*$B$5</f>
        <v/>
      </c>
      <c r="G131" s="41">
        <f>IF($C131&lt;=$B$9,1,0)*E131*Quotes!$B$2*$B$5</f>
        <v/>
      </c>
      <c r="H131" s="41">
        <f>F131*D131</f>
        <v/>
      </c>
      <c r="I131" s="41">
        <f>G131*D131</f>
        <v/>
      </c>
    </row>
    <row r="132">
      <c r="A132" s="4" t="n">
        <v>110</v>
      </c>
      <c r="B132" s="22">
        <f>Bootstrap!A112</f>
        <v/>
      </c>
      <c r="C132" s="21">
        <f>Bootstrap!B112</f>
        <v/>
      </c>
      <c r="D132" s="23">
        <f>Bootstrap!D112</f>
        <v/>
      </c>
      <c r="E132" s="24">
        <f>Bootstrap!F112</f>
        <v/>
      </c>
      <c r="F132" s="41">
        <f>IF($C132&lt;=$B$9,1,0)*$B$10*Quotes!$B$2*$B$5</f>
        <v/>
      </c>
      <c r="G132" s="41">
        <f>IF($C132&lt;=$B$9,1,0)*E132*Quotes!$B$2*$B$5</f>
        <v/>
      </c>
      <c r="H132" s="41">
        <f>F132*D132</f>
        <v/>
      </c>
      <c r="I132" s="41">
        <f>G132*D132</f>
        <v/>
      </c>
    </row>
    <row r="133">
      <c r="A133" s="4" t="n">
        <v>111</v>
      </c>
      <c r="B133" s="22">
        <f>Bootstrap!A113</f>
        <v/>
      </c>
      <c r="C133" s="21">
        <f>Bootstrap!B113</f>
        <v/>
      </c>
      <c r="D133" s="23">
        <f>Bootstrap!D113</f>
        <v/>
      </c>
      <c r="E133" s="24">
        <f>Bootstrap!F113</f>
        <v/>
      </c>
      <c r="F133" s="41">
        <f>IF($C133&lt;=$B$9,1,0)*$B$10*Quotes!$B$2*$B$5</f>
        <v/>
      </c>
      <c r="G133" s="41">
        <f>IF($C133&lt;=$B$9,1,0)*E133*Quotes!$B$2*$B$5</f>
        <v/>
      </c>
      <c r="H133" s="41">
        <f>F133*D133</f>
        <v/>
      </c>
      <c r="I133" s="41">
        <f>G133*D133</f>
        <v/>
      </c>
    </row>
    <row r="134">
      <c r="A134" s="4" t="n">
        <v>112</v>
      </c>
      <c r="B134" s="22">
        <f>Bootstrap!A114</f>
        <v/>
      </c>
      <c r="C134" s="21">
        <f>Bootstrap!B114</f>
        <v/>
      </c>
      <c r="D134" s="23">
        <f>Bootstrap!D114</f>
        <v/>
      </c>
      <c r="E134" s="24">
        <f>Bootstrap!F114</f>
        <v/>
      </c>
      <c r="F134" s="41">
        <f>IF($C134&lt;=$B$9,1,0)*$B$10*Quotes!$B$2*$B$5</f>
        <v/>
      </c>
      <c r="G134" s="41">
        <f>IF($C134&lt;=$B$9,1,0)*E134*Quotes!$B$2*$B$5</f>
        <v/>
      </c>
      <c r="H134" s="41">
        <f>F134*D134</f>
        <v/>
      </c>
      <c r="I134" s="41">
        <f>G134*D134</f>
        <v/>
      </c>
    </row>
    <row r="135">
      <c r="A135" s="4" t="n">
        <v>113</v>
      </c>
      <c r="B135" s="22">
        <f>Bootstrap!A115</f>
        <v/>
      </c>
      <c r="C135" s="21">
        <f>Bootstrap!B115</f>
        <v/>
      </c>
      <c r="D135" s="23">
        <f>Bootstrap!D115</f>
        <v/>
      </c>
      <c r="E135" s="24">
        <f>Bootstrap!F115</f>
        <v/>
      </c>
      <c r="F135" s="41">
        <f>IF($C135&lt;=$B$9,1,0)*$B$10*Quotes!$B$2*$B$5</f>
        <v/>
      </c>
      <c r="G135" s="41">
        <f>IF($C135&lt;=$B$9,1,0)*E135*Quotes!$B$2*$B$5</f>
        <v/>
      </c>
      <c r="H135" s="41">
        <f>F135*D135</f>
        <v/>
      </c>
      <c r="I135" s="41">
        <f>G135*D135</f>
        <v/>
      </c>
    </row>
    <row r="136">
      <c r="A136" s="4" t="n">
        <v>114</v>
      </c>
      <c r="B136" s="22">
        <f>Bootstrap!A116</f>
        <v/>
      </c>
      <c r="C136" s="21">
        <f>Bootstrap!B116</f>
        <v/>
      </c>
      <c r="D136" s="23">
        <f>Bootstrap!D116</f>
        <v/>
      </c>
      <c r="E136" s="24">
        <f>Bootstrap!F116</f>
        <v/>
      </c>
      <c r="F136" s="41">
        <f>IF($C136&lt;=$B$9,1,0)*$B$10*Quotes!$B$2*$B$5</f>
        <v/>
      </c>
      <c r="G136" s="41">
        <f>IF($C136&lt;=$B$9,1,0)*E136*Quotes!$B$2*$B$5</f>
        <v/>
      </c>
      <c r="H136" s="41">
        <f>F136*D136</f>
        <v/>
      </c>
      <c r="I136" s="41">
        <f>G136*D136</f>
        <v/>
      </c>
    </row>
    <row r="137">
      <c r="A137" s="4" t="n">
        <v>115</v>
      </c>
      <c r="B137" s="22">
        <f>Bootstrap!A117</f>
        <v/>
      </c>
      <c r="C137" s="21">
        <f>Bootstrap!B117</f>
        <v/>
      </c>
      <c r="D137" s="23">
        <f>Bootstrap!D117</f>
        <v/>
      </c>
      <c r="E137" s="24">
        <f>Bootstrap!F117</f>
        <v/>
      </c>
      <c r="F137" s="41">
        <f>IF($C137&lt;=$B$9,1,0)*$B$10*Quotes!$B$2*$B$5</f>
        <v/>
      </c>
      <c r="G137" s="41">
        <f>IF($C137&lt;=$B$9,1,0)*E137*Quotes!$B$2*$B$5</f>
        <v/>
      </c>
      <c r="H137" s="41">
        <f>F137*D137</f>
        <v/>
      </c>
      <c r="I137" s="41">
        <f>G137*D137</f>
        <v/>
      </c>
    </row>
    <row r="138">
      <c r="A138" s="4" t="n">
        <v>116</v>
      </c>
      <c r="B138" s="22">
        <f>Bootstrap!A118</f>
        <v/>
      </c>
      <c r="C138" s="21">
        <f>Bootstrap!B118</f>
        <v/>
      </c>
      <c r="D138" s="23">
        <f>Bootstrap!D118</f>
        <v/>
      </c>
      <c r="E138" s="24">
        <f>Bootstrap!F118</f>
        <v/>
      </c>
      <c r="F138" s="41">
        <f>IF($C138&lt;=$B$9,1,0)*$B$10*Quotes!$B$2*$B$5</f>
        <v/>
      </c>
      <c r="G138" s="41">
        <f>IF($C138&lt;=$B$9,1,0)*E138*Quotes!$B$2*$B$5</f>
        <v/>
      </c>
      <c r="H138" s="41">
        <f>F138*D138</f>
        <v/>
      </c>
      <c r="I138" s="41">
        <f>G138*D138</f>
        <v/>
      </c>
    </row>
    <row r="139">
      <c r="A139" s="4" t="n">
        <v>117</v>
      </c>
      <c r="B139" s="22">
        <f>Bootstrap!A119</f>
        <v/>
      </c>
      <c r="C139" s="21">
        <f>Bootstrap!B119</f>
        <v/>
      </c>
      <c r="D139" s="23">
        <f>Bootstrap!D119</f>
        <v/>
      </c>
      <c r="E139" s="24">
        <f>Bootstrap!F119</f>
        <v/>
      </c>
      <c r="F139" s="41">
        <f>IF($C139&lt;=$B$9,1,0)*$B$10*Quotes!$B$2*$B$5</f>
        <v/>
      </c>
      <c r="G139" s="41">
        <f>IF($C139&lt;=$B$9,1,0)*E139*Quotes!$B$2*$B$5</f>
        <v/>
      </c>
      <c r="H139" s="41">
        <f>F139*D139</f>
        <v/>
      </c>
      <c r="I139" s="41">
        <f>G139*D139</f>
        <v/>
      </c>
    </row>
    <row r="140">
      <c r="A140" s="4" t="n">
        <v>118</v>
      </c>
      <c r="B140" s="22">
        <f>Bootstrap!A120</f>
        <v/>
      </c>
      <c r="C140" s="21">
        <f>Bootstrap!B120</f>
        <v/>
      </c>
      <c r="D140" s="23">
        <f>Bootstrap!D120</f>
        <v/>
      </c>
      <c r="E140" s="24">
        <f>Bootstrap!F120</f>
        <v/>
      </c>
      <c r="F140" s="41">
        <f>IF($C140&lt;=$B$9,1,0)*$B$10*Quotes!$B$2*$B$5</f>
        <v/>
      </c>
      <c r="G140" s="41">
        <f>IF($C140&lt;=$B$9,1,0)*E140*Quotes!$B$2*$B$5</f>
        <v/>
      </c>
      <c r="H140" s="41">
        <f>F140*D140</f>
        <v/>
      </c>
      <c r="I140" s="41">
        <f>G140*D140</f>
        <v/>
      </c>
    </row>
    <row r="141">
      <c r="A141" s="4" t="n">
        <v>119</v>
      </c>
      <c r="B141" s="22">
        <f>Bootstrap!A121</f>
        <v/>
      </c>
      <c r="C141" s="21">
        <f>Bootstrap!B121</f>
        <v/>
      </c>
      <c r="D141" s="23">
        <f>Bootstrap!D121</f>
        <v/>
      </c>
      <c r="E141" s="24">
        <f>Bootstrap!F121</f>
        <v/>
      </c>
      <c r="F141" s="41">
        <f>IF($C141&lt;=$B$9,1,0)*$B$10*Quotes!$B$2*$B$5</f>
        <v/>
      </c>
      <c r="G141" s="41">
        <f>IF($C141&lt;=$B$9,1,0)*E141*Quotes!$B$2*$B$5</f>
        <v/>
      </c>
      <c r="H141" s="41">
        <f>F141*D141</f>
        <v/>
      </c>
      <c r="I141" s="41">
        <f>G141*D141</f>
        <v/>
      </c>
    </row>
    <row r="142">
      <c r="A142" s="4" t="n">
        <v>120</v>
      </c>
      <c r="B142" s="22">
        <f>Bootstrap!A122</f>
        <v/>
      </c>
      <c r="C142" s="21">
        <f>Bootstrap!B122</f>
        <v/>
      </c>
      <c r="D142" s="23">
        <f>Bootstrap!D122</f>
        <v/>
      </c>
      <c r="E142" s="24">
        <f>Bootstrap!F122</f>
        <v/>
      </c>
      <c r="F142" s="41">
        <f>IF($C142&lt;=$B$9,1,0)*$B$10*Quotes!$B$2*$B$5</f>
        <v/>
      </c>
      <c r="G142" s="41">
        <f>IF($C142&lt;=$B$9,1,0)*E142*Quotes!$B$2*$B$5</f>
        <v/>
      </c>
      <c r="H142" s="41">
        <f>F142*D142</f>
        <v/>
      </c>
      <c r="I142" s="41">
        <f>G142*D142</f>
        <v/>
      </c>
    </row>
  </sheetData>
  <dataValidations count="1">
    <dataValidation sqref="B7" showDropDown="0" showInputMessage="0" showErrorMessage="0" allowBlank="0" type="list">
      <formula1>"Receive Fixed,Pay Fixed"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2" customWidth="1" min="3" max="3"/>
    <col width="14" customWidth="1" min="4" max="4"/>
    <col width="11" customWidth="1" min="5" max="5"/>
    <col width="10" customWidth="1" min="6" max="6"/>
    <col width="10" customWidth="1" min="7" max="7"/>
    <col width="10" customWidth="1" min="8" max="8"/>
    <col width="10" customWidth="1" min="9" max="9"/>
  </cols>
  <sheetData>
    <row r="1">
      <c r="A1" s="1" t="inlineStr">
        <is>
          <t>5Y swap repriced on the curve</t>
        </is>
      </c>
    </row>
    <row r="2">
      <c r="A2" s="7" t="inlineStr">
        <is>
          <t>Kevin's check: value a 5Y fixed-vs-float swap using the DF and Future % from Bootstrap. The par rate should come back to the 5Y quote you built the curve from.</t>
        </is>
      </c>
    </row>
    <row r="4">
      <c r="A4" s="2" t="inlineStr">
        <is>
          <t>Maturity (yrs)</t>
        </is>
      </c>
      <c r="B4" s="3" t="n">
        <v>5</v>
      </c>
    </row>
    <row r="5">
      <c r="A5" s="2" t="inlineStr">
        <is>
          <t>Fixed rate (test)</t>
        </is>
      </c>
      <c r="B5" s="18">
        <f>Quotes!B12</f>
        <v/>
      </c>
      <c r="C5" s="7" t="inlineStr">
        <is>
          <t>the 5Y quote (4.0775%); struck here, net PV should be ~0</t>
        </is>
      </c>
    </row>
    <row r="6">
      <c r="A6" s="2" t="inlineStr">
        <is>
          <t>tau</t>
        </is>
      </c>
      <c r="B6" s="19">
        <f>Quotes!$B$2</f>
        <v/>
      </c>
    </row>
    <row r="8">
      <c r="A8" s="20" t="inlineStr">
        <is>
          <t>Period</t>
        </is>
      </c>
      <c r="B8" s="20" t="inlineStr">
        <is>
          <t>Year</t>
        </is>
      </c>
      <c r="C8" s="20" t="inlineStr">
        <is>
          <t>Date</t>
        </is>
      </c>
      <c r="D8" s="20" t="inlineStr">
        <is>
          <t>DF</t>
        </is>
      </c>
      <c r="E8" s="20" t="inlineStr">
        <is>
          <t>Forward %</t>
        </is>
      </c>
      <c r="F8" s="20" t="inlineStr">
        <is>
          <t>Fixed CF</t>
        </is>
      </c>
      <c r="G8" s="20" t="inlineStr">
        <is>
          <t>Float CF</t>
        </is>
      </c>
      <c r="H8" s="20" t="inlineStr">
        <is>
          <t>PV fixed</t>
        </is>
      </c>
      <c r="I8" s="20" t="inlineStr">
        <is>
          <t>PV float</t>
        </is>
      </c>
    </row>
    <row r="9">
      <c r="A9" s="4" t="n">
        <v>1</v>
      </c>
      <c r="B9" s="21">
        <f>Bootstrap!B3</f>
        <v/>
      </c>
      <c r="C9" s="22">
        <f>Bootstrap!A3</f>
        <v/>
      </c>
      <c r="D9" s="23">
        <f>Bootstrap!D3</f>
        <v/>
      </c>
      <c r="E9" s="24">
        <f>Bootstrap!F3</f>
        <v/>
      </c>
      <c r="F9" s="25">
        <f>$B$5*$B$6</f>
        <v/>
      </c>
      <c r="G9" s="25">
        <f>E9*$B$6</f>
        <v/>
      </c>
      <c r="H9" s="25">
        <f>F9*D9</f>
        <v/>
      </c>
      <c r="I9" s="25">
        <f>G9*D9</f>
        <v/>
      </c>
    </row>
    <row r="10">
      <c r="A10" s="4" t="n">
        <v>2</v>
      </c>
      <c r="B10" s="21">
        <f>Bootstrap!B4</f>
        <v/>
      </c>
      <c r="C10" s="22">
        <f>Bootstrap!A4</f>
        <v/>
      </c>
      <c r="D10" s="23">
        <f>Bootstrap!D4</f>
        <v/>
      </c>
      <c r="E10" s="24">
        <f>Bootstrap!F4</f>
        <v/>
      </c>
      <c r="F10" s="25">
        <f>$B$5*$B$6</f>
        <v/>
      </c>
      <c r="G10" s="25">
        <f>E10*$B$6</f>
        <v/>
      </c>
      <c r="H10" s="25">
        <f>F10*D10</f>
        <v/>
      </c>
      <c r="I10" s="25">
        <f>G10*D10</f>
        <v/>
      </c>
    </row>
    <row r="11">
      <c r="A11" s="4" t="n">
        <v>3</v>
      </c>
      <c r="B11" s="21">
        <f>Bootstrap!B5</f>
        <v/>
      </c>
      <c r="C11" s="22">
        <f>Bootstrap!A5</f>
        <v/>
      </c>
      <c r="D11" s="23">
        <f>Bootstrap!D5</f>
        <v/>
      </c>
      <c r="E11" s="24">
        <f>Bootstrap!F5</f>
        <v/>
      </c>
      <c r="F11" s="25">
        <f>$B$5*$B$6</f>
        <v/>
      </c>
      <c r="G11" s="25">
        <f>E11*$B$6</f>
        <v/>
      </c>
      <c r="H11" s="25">
        <f>F11*D11</f>
        <v/>
      </c>
      <c r="I11" s="25">
        <f>G11*D11</f>
        <v/>
      </c>
    </row>
    <row r="12">
      <c r="A12" s="4" t="n">
        <v>4</v>
      </c>
      <c r="B12" s="21">
        <f>Bootstrap!B6</f>
        <v/>
      </c>
      <c r="C12" s="22">
        <f>Bootstrap!A6</f>
        <v/>
      </c>
      <c r="D12" s="23">
        <f>Bootstrap!D6</f>
        <v/>
      </c>
      <c r="E12" s="24">
        <f>Bootstrap!F6</f>
        <v/>
      </c>
      <c r="F12" s="25">
        <f>$B$5*$B$6</f>
        <v/>
      </c>
      <c r="G12" s="25">
        <f>E12*$B$6</f>
        <v/>
      </c>
      <c r="H12" s="25">
        <f>F12*D12</f>
        <v/>
      </c>
      <c r="I12" s="25">
        <f>G12*D12</f>
        <v/>
      </c>
    </row>
    <row r="13">
      <c r="A13" s="4" t="n">
        <v>5</v>
      </c>
      <c r="B13" s="21">
        <f>Bootstrap!B7</f>
        <v/>
      </c>
      <c r="C13" s="22">
        <f>Bootstrap!A7</f>
        <v/>
      </c>
      <c r="D13" s="23">
        <f>Bootstrap!D7</f>
        <v/>
      </c>
      <c r="E13" s="24">
        <f>Bootstrap!F7</f>
        <v/>
      </c>
      <c r="F13" s="25">
        <f>$B$5*$B$6</f>
        <v/>
      </c>
      <c r="G13" s="25">
        <f>E13*$B$6</f>
        <v/>
      </c>
      <c r="H13" s="25">
        <f>F13*D13</f>
        <v/>
      </c>
      <c r="I13" s="25">
        <f>G13*D13</f>
        <v/>
      </c>
    </row>
    <row r="14">
      <c r="A14" s="4" t="n">
        <v>6</v>
      </c>
      <c r="B14" s="21">
        <f>Bootstrap!B8</f>
        <v/>
      </c>
      <c r="C14" s="22">
        <f>Bootstrap!A8</f>
        <v/>
      </c>
      <c r="D14" s="23">
        <f>Bootstrap!D8</f>
        <v/>
      </c>
      <c r="E14" s="24">
        <f>Bootstrap!F8</f>
        <v/>
      </c>
      <c r="F14" s="25">
        <f>$B$5*$B$6</f>
        <v/>
      </c>
      <c r="G14" s="25">
        <f>E14*$B$6</f>
        <v/>
      </c>
      <c r="H14" s="25">
        <f>F14*D14</f>
        <v/>
      </c>
      <c r="I14" s="25">
        <f>G14*D14</f>
        <v/>
      </c>
    </row>
    <row r="15">
      <c r="A15" s="4" t="n">
        <v>7</v>
      </c>
      <c r="B15" s="21">
        <f>Bootstrap!B9</f>
        <v/>
      </c>
      <c r="C15" s="22">
        <f>Bootstrap!A9</f>
        <v/>
      </c>
      <c r="D15" s="23">
        <f>Bootstrap!D9</f>
        <v/>
      </c>
      <c r="E15" s="24">
        <f>Bootstrap!F9</f>
        <v/>
      </c>
      <c r="F15" s="25">
        <f>$B$5*$B$6</f>
        <v/>
      </c>
      <c r="G15" s="25">
        <f>E15*$B$6</f>
        <v/>
      </c>
      <c r="H15" s="25">
        <f>F15*D15</f>
        <v/>
      </c>
      <c r="I15" s="25">
        <f>G15*D15</f>
        <v/>
      </c>
    </row>
    <row r="16">
      <c r="A16" s="4" t="n">
        <v>8</v>
      </c>
      <c r="B16" s="21">
        <f>Bootstrap!B10</f>
        <v/>
      </c>
      <c r="C16" s="22">
        <f>Bootstrap!A10</f>
        <v/>
      </c>
      <c r="D16" s="23">
        <f>Bootstrap!D10</f>
        <v/>
      </c>
      <c r="E16" s="24">
        <f>Bootstrap!F10</f>
        <v/>
      </c>
      <c r="F16" s="25">
        <f>$B$5*$B$6</f>
        <v/>
      </c>
      <c r="G16" s="25">
        <f>E16*$B$6</f>
        <v/>
      </c>
      <c r="H16" s="25">
        <f>F16*D16</f>
        <v/>
      </c>
      <c r="I16" s="25">
        <f>G16*D16</f>
        <v/>
      </c>
    </row>
    <row r="17">
      <c r="A17" s="4" t="n">
        <v>9</v>
      </c>
      <c r="B17" s="21">
        <f>Bootstrap!B11</f>
        <v/>
      </c>
      <c r="C17" s="22">
        <f>Bootstrap!A11</f>
        <v/>
      </c>
      <c r="D17" s="23">
        <f>Bootstrap!D11</f>
        <v/>
      </c>
      <c r="E17" s="24">
        <f>Bootstrap!F11</f>
        <v/>
      </c>
      <c r="F17" s="25">
        <f>$B$5*$B$6</f>
        <v/>
      </c>
      <c r="G17" s="25">
        <f>E17*$B$6</f>
        <v/>
      </c>
      <c r="H17" s="25">
        <f>F17*D17</f>
        <v/>
      </c>
      <c r="I17" s="25">
        <f>G17*D17</f>
        <v/>
      </c>
    </row>
    <row r="18">
      <c r="A18" s="4" t="n">
        <v>10</v>
      </c>
      <c r="B18" s="21">
        <f>Bootstrap!B12</f>
        <v/>
      </c>
      <c r="C18" s="22">
        <f>Bootstrap!A12</f>
        <v/>
      </c>
      <c r="D18" s="23">
        <f>Bootstrap!D12</f>
        <v/>
      </c>
      <c r="E18" s="24">
        <f>Bootstrap!F12</f>
        <v/>
      </c>
      <c r="F18" s="25">
        <f>$B$5*$B$6</f>
        <v/>
      </c>
      <c r="G18" s="25">
        <f>E18*$B$6</f>
        <v/>
      </c>
      <c r="H18" s="25">
        <f>F18*D18</f>
        <v/>
      </c>
      <c r="I18" s="25">
        <f>G18*D18</f>
        <v/>
      </c>
    </row>
    <row r="19">
      <c r="A19" s="4" t="n">
        <v>11</v>
      </c>
      <c r="B19" s="21">
        <f>Bootstrap!B13</f>
        <v/>
      </c>
      <c r="C19" s="22">
        <f>Bootstrap!A13</f>
        <v/>
      </c>
      <c r="D19" s="23">
        <f>Bootstrap!D13</f>
        <v/>
      </c>
      <c r="E19" s="24">
        <f>Bootstrap!F13</f>
        <v/>
      </c>
      <c r="F19" s="25">
        <f>$B$5*$B$6</f>
        <v/>
      </c>
      <c r="G19" s="25">
        <f>E19*$B$6</f>
        <v/>
      </c>
      <c r="H19" s="25">
        <f>F19*D19</f>
        <v/>
      </c>
      <c r="I19" s="25">
        <f>G19*D19</f>
        <v/>
      </c>
    </row>
    <row r="20">
      <c r="A20" s="4" t="n">
        <v>12</v>
      </c>
      <c r="B20" s="21">
        <f>Bootstrap!B14</f>
        <v/>
      </c>
      <c r="C20" s="22">
        <f>Bootstrap!A14</f>
        <v/>
      </c>
      <c r="D20" s="23">
        <f>Bootstrap!D14</f>
        <v/>
      </c>
      <c r="E20" s="24">
        <f>Bootstrap!F14</f>
        <v/>
      </c>
      <c r="F20" s="25">
        <f>$B$5*$B$6</f>
        <v/>
      </c>
      <c r="G20" s="25">
        <f>E20*$B$6</f>
        <v/>
      </c>
      <c r="H20" s="25">
        <f>F20*D20</f>
        <v/>
      </c>
      <c r="I20" s="25">
        <f>G20*D20</f>
        <v/>
      </c>
    </row>
    <row r="21">
      <c r="A21" s="4" t="n">
        <v>13</v>
      </c>
      <c r="B21" s="21">
        <f>Bootstrap!B15</f>
        <v/>
      </c>
      <c r="C21" s="22">
        <f>Bootstrap!A15</f>
        <v/>
      </c>
      <c r="D21" s="23">
        <f>Bootstrap!D15</f>
        <v/>
      </c>
      <c r="E21" s="24">
        <f>Bootstrap!F15</f>
        <v/>
      </c>
      <c r="F21" s="25">
        <f>$B$5*$B$6</f>
        <v/>
      </c>
      <c r="G21" s="25">
        <f>E21*$B$6</f>
        <v/>
      </c>
      <c r="H21" s="25">
        <f>F21*D21</f>
        <v/>
      </c>
      <c r="I21" s="25">
        <f>G21*D21</f>
        <v/>
      </c>
    </row>
    <row r="22">
      <c r="A22" s="4" t="n">
        <v>14</v>
      </c>
      <c r="B22" s="21">
        <f>Bootstrap!B16</f>
        <v/>
      </c>
      <c r="C22" s="22">
        <f>Bootstrap!A16</f>
        <v/>
      </c>
      <c r="D22" s="23">
        <f>Bootstrap!D16</f>
        <v/>
      </c>
      <c r="E22" s="24">
        <f>Bootstrap!F16</f>
        <v/>
      </c>
      <c r="F22" s="25">
        <f>$B$5*$B$6</f>
        <v/>
      </c>
      <c r="G22" s="25">
        <f>E22*$B$6</f>
        <v/>
      </c>
      <c r="H22" s="25">
        <f>F22*D22</f>
        <v/>
      </c>
      <c r="I22" s="25">
        <f>G22*D22</f>
        <v/>
      </c>
    </row>
    <row r="23">
      <c r="A23" s="4" t="n">
        <v>15</v>
      </c>
      <c r="B23" s="21">
        <f>Bootstrap!B17</f>
        <v/>
      </c>
      <c r="C23" s="22">
        <f>Bootstrap!A17</f>
        <v/>
      </c>
      <c r="D23" s="23">
        <f>Bootstrap!D17</f>
        <v/>
      </c>
      <c r="E23" s="24">
        <f>Bootstrap!F17</f>
        <v/>
      </c>
      <c r="F23" s="25">
        <f>$B$5*$B$6</f>
        <v/>
      </c>
      <c r="G23" s="25">
        <f>E23*$B$6</f>
        <v/>
      </c>
      <c r="H23" s="25">
        <f>F23*D23</f>
        <v/>
      </c>
      <c r="I23" s="25">
        <f>G23*D23</f>
        <v/>
      </c>
    </row>
    <row r="24">
      <c r="A24" s="4" t="n">
        <v>16</v>
      </c>
      <c r="B24" s="21">
        <f>Bootstrap!B18</f>
        <v/>
      </c>
      <c r="C24" s="22">
        <f>Bootstrap!A18</f>
        <v/>
      </c>
      <c r="D24" s="23">
        <f>Bootstrap!D18</f>
        <v/>
      </c>
      <c r="E24" s="24">
        <f>Bootstrap!F18</f>
        <v/>
      </c>
      <c r="F24" s="25">
        <f>$B$5*$B$6</f>
        <v/>
      </c>
      <c r="G24" s="25">
        <f>E24*$B$6</f>
        <v/>
      </c>
      <c r="H24" s="25">
        <f>F24*D24</f>
        <v/>
      </c>
      <c r="I24" s="25">
        <f>G24*D24</f>
        <v/>
      </c>
    </row>
    <row r="25">
      <c r="A25" s="4" t="n">
        <v>17</v>
      </c>
      <c r="B25" s="21">
        <f>Bootstrap!B19</f>
        <v/>
      </c>
      <c r="C25" s="22">
        <f>Bootstrap!A19</f>
        <v/>
      </c>
      <c r="D25" s="23">
        <f>Bootstrap!D19</f>
        <v/>
      </c>
      <c r="E25" s="24">
        <f>Bootstrap!F19</f>
        <v/>
      </c>
      <c r="F25" s="25">
        <f>$B$5*$B$6</f>
        <v/>
      </c>
      <c r="G25" s="25">
        <f>E25*$B$6</f>
        <v/>
      </c>
      <c r="H25" s="25">
        <f>F25*D25</f>
        <v/>
      </c>
      <c r="I25" s="25">
        <f>G25*D25</f>
        <v/>
      </c>
    </row>
    <row r="26">
      <c r="A26" s="4" t="n">
        <v>18</v>
      </c>
      <c r="B26" s="21">
        <f>Bootstrap!B20</f>
        <v/>
      </c>
      <c r="C26" s="22">
        <f>Bootstrap!A20</f>
        <v/>
      </c>
      <c r="D26" s="23">
        <f>Bootstrap!D20</f>
        <v/>
      </c>
      <c r="E26" s="24">
        <f>Bootstrap!F20</f>
        <v/>
      </c>
      <c r="F26" s="25">
        <f>$B$5*$B$6</f>
        <v/>
      </c>
      <c r="G26" s="25">
        <f>E26*$B$6</f>
        <v/>
      </c>
      <c r="H26" s="25">
        <f>F26*D26</f>
        <v/>
      </c>
      <c r="I26" s="25">
        <f>G26*D26</f>
        <v/>
      </c>
    </row>
    <row r="27">
      <c r="A27" s="4" t="n">
        <v>19</v>
      </c>
      <c r="B27" s="21">
        <f>Bootstrap!B21</f>
        <v/>
      </c>
      <c r="C27" s="22">
        <f>Bootstrap!A21</f>
        <v/>
      </c>
      <c r="D27" s="23">
        <f>Bootstrap!D21</f>
        <v/>
      </c>
      <c r="E27" s="24">
        <f>Bootstrap!F21</f>
        <v/>
      </c>
      <c r="F27" s="25">
        <f>$B$5*$B$6</f>
        <v/>
      </c>
      <c r="G27" s="25">
        <f>E27*$B$6</f>
        <v/>
      </c>
      <c r="H27" s="25">
        <f>F27*D27</f>
        <v/>
      </c>
      <c r="I27" s="25">
        <f>G27*D27</f>
        <v/>
      </c>
    </row>
    <row r="28">
      <c r="A28" s="4" t="n">
        <v>20</v>
      </c>
      <c r="B28" s="21">
        <f>Bootstrap!B22</f>
        <v/>
      </c>
      <c r="C28" s="22">
        <f>Bootstrap!A22</f>
        <v/>
      </c>
      <c r="D28" s="23">
        <f>Bootstrap!D22</f>
        <v/>
      </c>
      <c r="E28" s="24">
        <f>Bootstrap!F22</f>
        <v/>
      </c>
      <c r="F28" s="25">
        <f>$B$5*$B$6</f>
        <v/>
      </c>
      <c r="G28" s="25">
        <f>E28*$B$6</f>
        <v/>
      </c>
      <c r="H28" s="25">
        <f>F28*D28</f>
        <v/>
      </c>
      <c r="I28" s="25">
        <f>G28*D28</f>
        <v/>
      </c>
    </row>
    <row r="30">
      <c r="A30" s="2" t="inlineStr">
        <is>
          <t>PV fixed leg</t>
        </is>
      </c>
      <c r="C30" s="26">
        <f>SUM(H9:H28)</f>
        <v/>
      </c>
    </row>
    <row r="31">
      <c r="A31" s="2" t="inlineStr">
        <is>
          <t>PV float leg</t>
        </is>
      </c>
      <c r="C31" s="26">
        <f>SUM(I9:I28)</f>
        <v/>
      </c>
      <c r="E31" s="7" t="inlineStr">
        <is>
          <t>should equal 1 - DF(5Y)</t>
        </is>
      </c>
    </row>
    <row r="32">
      <c r="A32" s="2" t="inlineStr">
        <is>
          <t>Annuity  (tau*sum DF)</t>
        </is>
      </c>
      <c r="C32" s="26">
        <f>$B$6*SUM(D9:D28)</f>
        <v/>
      </c>
    </row>
    <row r="33">
      <c r="A33" s="2" t="inlineStr">
        <is>
          <t>Net PV  (float - fixed)</t>
        </is>
      </c>
      <c r="C33" s="27">
        <f>SUM(I9:I28)-SUM(H9:H28)</f>
        <v/>
      </c>
      <c r="E33" s="7" t="inlineStr">
        <is>
          <t>~0 when struck at par</t>
        </is>
      </c>
    </row>
    <row r="35">
      <c r="A35" s="2" t="inlineStr">
        <is>
          <t>PAR SWAP RATE</t>
        </is>
      </c>
      <c r="C35" s="28">
        <f>SUM(I9:I28)/($B$6*SUM(D9:D28))</f>
        <v/>
      </c>
      <c r="E35" s="7" t="inlineStr">
        <is>
          <t>float PV / annuity</t>
        </is>
      </c>
    </row>
    <row r="36">
      <c r="A36" s="2" t="inlineStr">
        <is>
          <t>5Y quote (target)</t>
        </is>
      </c>
      <c r="C36" s="24">
        <f>Quotes!B12</f>
        <v/>
      </c>
    </row>
    <row r="37">
      <c r="A37" s="2" t="inlineStr">
        <is>
          <t>difference (bp)</t>
        </is>
      </c>
      <c r="C37" s="29">
        <f>(C35-Quotes!B12)*10000</f>
        <v/>
      </c>
      <c r="E37" s="7" t="inlineStr">
        <is>
          <t>should be ~0 — the curve reprices its own 5Y input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</cols>
  <sheetData>
    <row r="1">
      <c r="A1" s="89" t="inlineStr">
        <is>
          <t>Tenor</t>
        </is>
      </c>
      <c r="B1" s="89" t="inlineStr">
        <is>
          <t>dv01</t>
        </is>
      </c>
    </row>
    <row r="2">
      <c r="A2">
        <f>'KRD-v3'!A8</f>
        <v/>
      </c>
      <c r="B2" s="55">
        <f>'KRD-v3'!B8</f>
        <v/>
      </c>
    </row>
    <row r="3">
      <c r="A3">
        <f>'KRD-v3'!A9</f>
        <v/>
      </c>
      <c r="B3" s="55">
        <f>'KRD-v3'!B9</f>
        <v/>
      </c>
    </row>
    <row r="4">
      <c r="A4">
        <f>'KRD-v3'!A10</f>
        <v/>
      </c>
      <c r="B4" s="55">
        <f>'KRD-v3'!B10</f>
        <v/>
      </c>
    </row>
    <row r="5">
      <c r="A5">
        <f>'KRD-v3'!A11</f>
        <v/>
      </c>
      <c r="B5" s="55">
        <f>'KRD-v3'!B11</f>
        <v/>
      </c>
    </row>
    <row r="6">
      <c r="A6">
        <f>'KRD-v3'!A12</f>
        <v/>
      </c>
      <c r="B6" s="55">
        <f>'KRD-v3'!B12</f>
        <v/>
      </c>
    </row>
    <row r="7">
      <c r="A7">
        <f>'KRD-v3'!A13</f>
        <v/>
      </c>
      <c r="B7" s="55">
        <f>'KRD-v3'!B13</f>
        <v/>
      </c>
    </row>
    <row r="8">
      <c r="A8">
        <f>'KRD-v3'!A14</f>
        <v/>
      </c>
      <c r="B8" s="55">
        <f>'KRD-v3'!B14</f>
        <v/>
      </c>
    </row>
    <row r="9">
      <c r="A9">
        <f>'KRD-v3'!A15</f>
        <v/>
      </c>
      <c r="B9" s="55">
        <f>'KRD-v3'!B15</f>
        <v/>
      </c>
    </row>
    <row r="10">
      <c r="A10">
        <f>'KRD-v3'!A16</f>
        <v/>
      </c>
      <c r="B10" s="55">
        <f>'KRD-v3'!B16</f>
        <v/>
      </c>
    </row>
    <row r="11">
      <c r="A11">
        <f>'KRD-v3'!A17</f>
        <v/>
      </c>
      <c r="B11" s="55">
        <f>'KRD-v3'!B17</f>
        <v/>
      </c>
    </row>
    <row r="12">
      <c r="A12">
        <f>'KRD-v3'!A18</f>
        <v/>
      </c>
      <c r="B12" s="55">
        <f>'KRD-v3'!B18</f>
        <v/>
      </c>
    </row>
    <row r="13">
      <c r="A13">
        <f>'KRD-v3'!A19</f>
        <v/>
      </c>
      <c r="B13" s="55">
        <f>'KRD-v3'!B19</f>
        <v/>
      </c>
    </row>
    <row r="14">
      <c r="A14">
        <f>'KRD-v3'!A20</f>
        <v/>
      </c>
      <c r="B14" s="55">
        <f>'KRD-v3'!B20</f>
        <v/>
      </c>
    </row>
    <row r="15">
      <c r="A15">
        <f>'KRD-v3'!A21</f>
        <v/>
      </c>
      <c r="B15" s="55">
        <f>'KRD-v3'!B21</f>
        <v/>
      </c>
    </row>
    <row r="16">
      <c r="A16">
        <f>'KRD-v3'!A22</f>
        <v/>
      </c>
      <c r="B16" s="55">
        <f>'KRD-v3'!B22</f>
        <v/>
      </c>
    </row>
    <row r="17">
      <c r="A17">
        <f>'KRD-v3'!A23</f>
        <v/>
      </c>
      <c r="B17" s="55">
        <f>'KRD-v3'!B23</f>
        <v/>
      </c>
    </row>
    <row r="18">
      <c r="A18">
        <f>'KRD-v3'!A24</f>
        <v/>
      </c>
      <c r="B18" s="55">
        <f>'KRD-v3'!B24</f>
        <v/>
      </c>
    </row>
    <row r="19">
      <c r="A19">
        <f>'KRD-v3'!A25</f>
        <v/>
      </c>
      <c r="B19" s="55">
        <f>'KRD-v3'!B25</f>
        <v/>
      </c>
    </row>
    <row r="20">
      <c r="A20">
        <f>'KRD-v3'!A26</f>
        <v/>
      </c>
      <c r="B20" s="55">
        <f>'KRD-v3'!B26</f>
        <v/>
      </c>
    </row>
    <row r="21">
      <c r="A21" s="79" t="inlineStr">
        <is>
          <t>TOTAL</t>
        </is>
      </c>
      <c r="B21" s="87">
        <f>'KRD-v3'!B27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2026-07-23T06:38:08Z</dcterms:created>
  <dcterms:modified xmlns:dcterms="http://purl.org/dc/terms/" xmlns:xsi="http://www.w3.org/2001/XMLSchema-instance" xsi:type="dcterms:W3CDTF">2026-07-24T05:37:21Z</dcterms:modified>
</cp:coreProperties>
</file>