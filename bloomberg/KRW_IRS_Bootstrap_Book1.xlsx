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s" sheetId="1" state="visible" r:id="rId1"/>
    <sheet xmlns:r="http://schemas.openxmlformats.org/officeDocument/2006/relationships" name="Interpolation" sheetId="2" state="visible" r:id="rId2"/>
    <sheet xmlns:r="http://schemas.openxmlformats.org/officeDocument/2006/relationships" name="Bootstra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00%"/>
    <numFmt numFmtId="165" formatCode="0.000"/>
    <numFmt numFmtId="166" formatCode="0.00000000"/>
    <numFmt numFmtId="167" formatCode="yyyy-mm-dd h:mm:ss"/>
    <numFmt numFmtId="168" formatCode="mm/dd/yyyy"/>
  </numFmts>
  <fonts count="7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1"/>
    </font>
    <font>
      <name val="Calibri"/>
      <color rgb="000000FF"/>
      <sz val="11"/>
    </font>
    <font>
      <name val="Calibri"/>
      <color rgb="00808080"/>
      <sz val="9"/>
    </font>
    <font>
      <name val="Calibri"/>
      <b val="1"/>
      <color rgb="00FFFFFF"/>
      <sz val="10"/>
    </font>
    <font>
      <name val="Calibri"/>
      <color rgb="00008000"/>
      <sz val="10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C00000"/>
      </patternFill>
    </fill>
    <fill>
      <patternFill patternType="solid">
        <fgColor rgb="00E2EFDA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1" pivotButton="0" quotePrefix="0" xfId="0"/>
    <xf numFmtId="164" fontId="3" fillId="2" borderId="1" pivotButton="0" quotePrefix="0" xfId="0"/>
    <xf numFmtId="2" fontId="0" fillId="0" borderId="1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wrapText="1"/>
    </xf>
    <xf numFmtId="165" fontId="0" fillId="0" borderId="1" pivotButton="0" quotePrefix="0" xfId="0"/>
    <xf numFmtId="164" fontId="6" fillId="4" borderId="1" pivotButton="0" quotePrefix="0" xfId="0"/>
    <xf numFmtId="0" fontId="5" fillId="5" borderId="1" applyAlignment="1" pivotButton="0" quotePrefix="0" xfId="0">
      <alignment horizontal="center"/>
    </xf>
    <xf numFmtId="164" fontId="0" fillId="0" borderId="1" pivotButton="0" quotePrefix="0" xfId="0"/>
    <xf numFmtId="166" fontId="6" fillId="4" borderId="1" pivotButton="0" quotePrefix="0" xfId="0"/>
    <xf numFmtId="168" fontId="3" fillId="2" borderId="1" pivotButton="0" quotePrefix="0" xfId="0"/>
    <xf numFmtId="168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8" customWidth="1" min="3" max="3"/>
  </cols>
  <sheetData>
    <row r="1">
      <c r="A1" s="1" t="inlineStr">
        <is>
          <t>KWR IRS</t>
        </is>
      </c>
    </row>
    <row r="2">
      <c r="A2" s="2" t="inlineStr">
        <is>
          <t>tau (time gap)</t>
        </is>
      </c>
      <c r="B2" s="3" t="n">
        <v>0.25</v>
      </c>
      <c r="D2" s="2" t="inlineStr">
        <is>
          <t>curve date</t>
        </is>
      </c>
      <c r="E2" s="14" t="n">
        <v>46226</v>
      </c>
    </row>
    <row r="4">
      <c r="A4" s="2" t="inlineStr">
        <is>
          <t>Tenors</t>
        </is>
      </c>
      <c r="B4" s="2" t="inlineStr">
        <is>
          <t>Coupon</t>
        </is>
      </c>
      <c r="C4" s="2" t="inlineStr">
        <is>
          <t>Year</t>
        </is>
      </c>
    </row>
    <row r="5">
      <c r="A5" s="4" t="inlineStr">
        <is>
          <t>3Mo</t>
        </is>
      </c>
      <c r="B5" s="5" t="n">
        <v>0.0291</v>
      </c>
      <c r="C5" s="6" t="n">
        <v>0.25</v>
      </c>
    </row>
    <row r="6">
      <c r="A6" s="4" t="inlineStr">
        <is>
          <t>6Mo</t>
        </is>
      </c>
      <c r="B6" s="5" t="n">
        <v>0.03125</v>
      </c>
      <c r="C6" s="6" t="n">
        <v>0.5</v>
      </c>
    </row>
    <row r="7">
      <c r="A7" s="4" t="inlineStr">
        <is>
          <t>9Mo</t>
        </is>
      </c>
      <c r="B7" s="5" t="n">
        <v>0.03315</v>
      </c>
      <c r="C7" s="6" t="n">
        <v>0.75</v>
      </c>
    </row>
    <row r="8">
      <c r="A8" s="4" t="inlineStr">
        <is>
          <t>1Yr</t>
        </is>
      </c>
      <c r="B8" s="5" t="n">
        <v>0.034675</v>
      </c>
      <c r="C8" s="6" t="n">
        <v>1</v>
      </c>
    </row>
    <row r="9">
      <c r="A9" s="4" t="inlineStr">
        <is>
          <t>2Yr</t>
        </is>
      </c>
      <c r="B9" s="5" t="n">
        <v>0.03825</v>
      </c>
      <c r="C9" s="6" t="n">
        <v>2</v>
      </c>
    </row>
    <row r="10">
      <c r="A10" s="4" t="inlineStr">
        <is>
          <t>3Yr</t>
        </is>
      </c>
      <c r="B10" s="5" t="n">
        <v>0.03965</v>
      </c>
      <c r="C10" s="6" t="n">
        <v>3</v>
      </c>
    </row>
    <row r="11">
      <c r="A11" s="4" t="inlineStr">
        <is>
          <t>4Yr</t>
        </is>
      </c>
      <c r="B11" s="5" t="n">
        <v>0.04029</v>
      </c>
      <c r="C11" s="6" t="n">
        <v>4</v>
      </c>
    </row>
    <row r="12">
      <c r="A12" s="4" t="inlineStr">
        <is>
          <t>5Yr</t>
        </is>
      </c>
      <c r="B12" s="5" t="n">
        <v>0.040775</v>
      </c>
      <c r="C12" s="6" t="n">
        <v>5</v>
      </c>
    </row>
    <row r="13">
      <c r="A13" s="4" t="inlineStr">
        <is>
          <t>7Yr</t>
        </is>
      </c>
      <c r="B13" s="5" t="n">
        <v>0.041425</v>
      </c>
      <c r="C13" s="6" t="n">
        <v>7</v>
      </c>
    </row>
    <row r="14">
      <c r="A14" s="4" t="inlineStr">
        <is>
          <t>8Yr</t>
        </is>
      </c>
      <c r="B14" s="5" t="n">
        <v>0.04165</v>
      </c>
      <c r="C14" s="6" t="n">
        <v>8</v>
      </c>
    </row>
    <row r="15">
      <c r="A15" s="4" t="inlineStr">
        <is>
          <t>9Yr</t>
        </is>
      </c>
      <c r="B15" s="5" t="n">
        <v>0.04185</v>
      </c>
      <c r="C15" s="6" t="n">
        <v>9</v>
      </c>
    </row>
    <row r="16">
      <c r="A16" s="4" t="inlineStr">
        <is>
          <t>10Yr</t>
        </is>
      </c>
      <c r="B16" s="5" t="n">
        <v>0.042</v>
      </c>
      <c r="C16" s="6" t="n">
        <v>10</v>
      </c>
    </row>
    <row r="17">
      <c r="A17" s="4" t="inlineStr">
        <is>
          <t>15Yr</t>
        </is>
      </c>
      <c r="B17" s="5" t="n">
        <v>0.041775</v>
      </c>
      <c r="C17" s="6" t="n">
        <v>15</v>
      </c>
    </row>
    <row r="18">
      <c r="A18" s="4" t="inlineStr">
        <is>
          <t>20Yr</t>
        </is>
      </c>
      <c r="B18" s="5" t="n">
        <v>0.04075</v>
      </c>
      <c r="C18" s="6" t="n">
        <v>20</v>
      </c>
    </row>
    <row r="19">
      <c r="A19" s="4" t="inlineStr">
        <is>
          <t>30Yr</t>
        </is>
      </c>
      <c r="B19" s="5" t="n">
        <v>0.03845000000000001</v>
      </c>
      <c r="C19" s="6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1" customWidth="1" min="3" max="3"/>
    <col width="8" customWidth="1" min="4" max="4"/>
    <col width="34" customWidth="1" min="5" max="5"/>
    <col width="8" customWidth="1" min="6" max="6"/>
    <col width="8" customWidth="1" min="7" max="7"/>
  </cols>
  <sheetData>
    <row r="1">
      <c r="B1" s="7" t="inlineStr">
        <is>
          <t>Interpolate between</t>
        </is>
      </c>
      <c r="C1" s="7" t="inlineStr">
        <is>
          <t>these two</t>
        </is>
      </c>
    </row>
    <row r="2">
      <c r="A2" s="8" t="inlineStr">
        <is>
          <t>Year</t>
        </is>
      </c>
      <c r="B2" s="8" t="inlineStr">
        <is>
          <t>lo tenor yr</t>
        </is>
      </c>
      <c r="C2" s="8" t="inlineStr">
        <is>
          <t>hi tenor yr</t>
        </is>
      </c>
      <c r="D2" s="8" t="inlineStr">
        <is>
          <t>weight</t>
        </is>
      </c>
      <c r="E2" s="8" t="inlineStr">
        <is>
          <t>Swap Rate % (interpolating between)</t>
        </is>
      </c>
      <c r="F2" s="8" t="inlineStr">
        <is>
          <t>source</t>
        </is>
      </c>
      <c r="G2" s="8" t="inlineStr">
        <is>
          <t>Helper</t>
        </is>
      </c>
    </row>
    <row r="3">
      <c r="A3" s="6" t="n">
        <v>0.25</v>
      </c>
      <c r="B3" s="6">
        <f>INDEX(Quotes!$C$5:$C$19,$G3)</f>
        <v/>
      </c>
      <c r="C3" s="6">
        <f>INDEX(Quotes!$C$5:$C$19,MIN($G3+1,15))</f>
        <v/>
      </c>
      <c r="D3" s="9">
        <f>IF($C3=$B3,0,($A3-$B3)/($C3-$B3))</f>
        <v/>
      </c>
      <c r="E3" s="10">
        <f>INDEX(Quotes!$B$5:$B$19,$G3)+$D3*(INDEX(Quotes!$B$5:$B$19,MIN($G3+1,15))-INDEX(Quotes!$B$5:$B$19,$G3))</f>
        <v/>
      </c>
      <c r="F3" s="4">
        <f>IF(COUNTIF(Quotes!$C$5:$C$19,$A3)&gt;0,"quote","interp")</f>
        <v/>
      </c>
      <c r="G3" s="4">
        <f>MATCH($A3,Quotes!$C$5:$C$19,1)</f>
        <v/>
      </c>
    </row>
    <row r="4">
      <c r="A4" s="6" t="n">
        <v>0.5</v>
      </c>
      <c r="B4" s="6">
        <f>INDEX(Quotes!$C$5:$C$19,$G4)</f>
        <v/>
      </c>
      <c r="C4" s="6">
        <f>INDEX(Quotes!$C$5:$C$19,MIN($G4+1,15))</f>
        <v/>
      </c>
      <c r="D4" s="9">
        <f>IF($C4=$B4,0,($A4-$B4)/($C4-$B4))</f>
        <v/>
      </c>
      <c r="E4" s="10">
        <f>INDEX(Quotes!$B$5:$B$19,$G4)+$D4*(INDEX(Quotes!$B$5:$B$19,MIN($G4+1,15))-INDEX(Quotes!$B$5:$B$19,$G4))</f>
        <v/>
      </c>
      <c r="F4" s="4">
        <f>IF(COUNTIF(Quotes!$C$5:$C$19,$A4)&gt;0,"quote","interp")</f>
        <v/>
      </c>
      <c r="G4" s="4">
        <f>MATCH($A4,Quotes!$C$5:$C$19,1)</f>
        <v/>
      </c>
    </row>
    <row r="5">
      <c r="A5" s="6" t="n">
        <v>0.75</v>
      </c>
      <c r="B5" s="6">
        <f>INDEX(Quotes!$C$5:$C$19,$G5)</f>
        <v/>
      </c>
      <c r="C5" s="6">
        <f>INDEX(Quotes!$C$5:$C$19,MIN($G5+1,15))</f>
        <v/>
      </c>
      <c r="D5" s="9">
        <f>IF($C5=$B5,0,($A5-$B5)/($C5-$B5))</f>
        <v/>
      </c>
      <c r="E5" s="10">
        <f>INDEX(Quotes!$B$5:$B$19,$G5)+$D5*(INDEX(Quotes!$B$5:$B$19,MIN($G5+1,15))-INDEX(Quotes!$B$5:$B$19,$G5))</f>
        <v/>
      </c>
      <c r="F5" s="4">
        <f>IF(COUNTIF(Quotes!$C$5:$C$19,$A5)&gt;0,"quote","interp")</f>
        <v/>
      </c>
      <c r="G5" s="4">
        <f>MATCH($A5,Quotes!$C$5:$C$19,1)</f>
        <v/>
      </c>
    </row>
    <row r="6">
      <c r="A6" s="6" t="n">
        <v>1</v>
      </c>
      <c r="B6" s="6">
        <f>INDEX(Quotes!$C$5:$C$19,$G6)</f>
        <v/>
      </c>
      <c r="C6" s="6">
        <f>INDEX(Quotes!$C$5:$C$19,MIN($G6+1,15))</f>
        <v/>
      </c>
      <c r="D6" s="9">
        <f>IF($C6=$B6,0,($A6-$B6)/($C6-$B6))</f>
        <v/>
      </c>
      <c r="E6" s="10">
        <f>INDEX(Quotes!$B$5:$B$19,$G6)+$D6*(INDEX(Quotes!$B$5:$B$19,MIN($G6+1,15))-INDEX(Quotes!$B$5:$B$19,$G6))</f>
        <v/>
      </c>
      <c r="F6" s="4">
        <f>IF(COUNTIF(Quotes!$C$5:$C$19,$A6)&gt;0,"quote","interp")</f>
        <v/>
      </c>
      <c r="G6" s="4">
        <f>MATCH($A6,Quotes!$C$5:$C$19,1)</f>
        <v/>
      </c>
    </row>
    <row r="7">
      <c r="A7" s="6" t="n">
        <v>1.25</v>
      </c>
      <c r="B7" s="6">
        <f>INDEX(Quotes!$C$5:$C$19,$G7)</f>
        <v/>
      </c>
      <c r="C7" s="6">
        <f>INDEX(Quotes!$C$5:$C$19,MIN($G7+1,15))</f>
        <v/>
      </c>
      <c r="D7" s="9">
        <f>IF($C7=$B7,0,($A7-$B7)/($C7-$B7))</f>
        <v/>
      </c>
      <c r="E7" s="10">
        <f>INDEX(Quotes!$B$5:$B$19,$G7)+$D7*(INDEX(Quotes!$B$5:$B$19,MIN($G7+1,15))-INDEX(Quotes!$B$5:$B$19,$G7))</f>
        <v/>
      </c>
      <c r="F7" s="4">
        <f>IF(COUNTIF(Quotes!$C$5:$C$19,$A7)&gt;0,"quote","interp")</f>
        <v/>
      </c>
      <c r="G7" s="4">
        <f>MATCH($A7,Quotes!$C$5:$C$19,1)</f>
        <v/>
      </c>
    </row>
    <row r="8">
      <c r="A8" s="6" t="n">
        <v>1.5</v>
      </c>
      <c r="B8" s="6">
        <f>INDEX(Quotes!$C$5:$C$19,$G8)</f>
        <v/>
      </c>
      <c r="C8" s="6">
        <f>INDEX(Quotes!$C$5:$C$19,MIN($G8+1,15))</f>
        <v/>
      </c>
      <c r="D8" s="9">
        <f>IF($C8=$B8,0,($A8-$B8)/($C8-$B8))</f>
        <v/>
      </c>
      <c r="E8" s="10">
        <f>INDEX(Quotes!$B$5:$B$19,$G8)+$D8*(INDEX(Quotes!$B$5:$B$19,MIN($G8+1,15))-INDEX(Quotes!$B$5:$B$19,$G8))</f>
        <v/>
      </c>
      <c r="F8" s="4">
        <f>IF(COUNTIF(Quotes!$C$5:$C$19,$A8)&gt;0,"quote","interp")</f>
        <v/>
      </c>
      <c r="G8" s="4">
        <f>MATCH($A8,Quotes!$C$5:$C$19,1)</f>
        <v/>
      </c>
    </row>
    <row r="9">
      <c r="A9" s="6" t="n">
        <v>1.75</v>
      </c>
      <c r="B9" s="6">
        <f>INDEX(Quotes!$C$5:$C$19,$G9)</f>
        <v/>
      </c>
      <c r="C9" s="6">
        <f>INDEX(Quotes!$C$5:$C$19,MIN($G9+1,15))</f>
        <v/>
      </c>
      <c r="D9" s="9">
        <f>IF($C9=$B9,0,($A9-$B9)/($C9-$B9))</f>
        <v/>
      </c>
      <c r="E9" s="10">
        <f>INDEX(Quotes!$B$5:$B$19,$G9)+$D9*(INDEX(Quotes!$B$5:$B$19,MIN($G9+1,15))-INDEX(Quotes!$B$5:$B$19,$G9))</f>
        <v/>
      </c>
      <c r="F9" s="4">
        <f>IF(COUNTIF(Quotes!$C$5:$C$19,$A9)&gt;0,"quote","interp")</f>
        <v/>
      </c>
      <c r="G9" s="4">
        <f>MATCH($A9,Quotes!$C$5:$C$19,1)</f>
        <v/>
      </c>
    </row>
    <row r="10">
      <c r="A10" s="6" t="n">
        <v>2</v>
      </c>
      <c r="B10" s="6">
        <f>INDEX(Quotes!$C$5:$C$19,$G10)</f>
        <v/>
      </c>
      <c r="C10" s="6">
        <f>INDEX(Quotes!$C$5:$C$19,MIN($G10+1,15))</f>
        <v/>
      </c>
      <c r="D10" s="9">
        <f>IF($C10=$B10,0,($A10-$B10)/($C10-$B10))</f>
        <v/>
      </c>
      <c r="E10" s="10">
        <f>INDEX(Quotes!$B$5:$B$19,$G10)+$D10*(INDEX(Quotes!$B$5:$B$19,MIN($G10+1,15))-INDEX(Quotes!$B$5:$B$19,$G10))</f>
        <v/>
      </c>
      <c r="F10" s="4">
        <f>IF(COUNTIF(Quotes!$C$5:$C$19,$A10)&gt;0,"quote","interp")</f>
        <v/>
      </c>
      <c r="G10" s="4">
        <f>MATCH($A10,Quotes!$C$5:$C$19,1)</f>
        <v/>
      </c>
    </row>
    <row r="11">
      <c r="A11" s="6" t="n">
        <v>2.25</v>
      </c>
      <c r="B11" s="6">
        <f>INDEX(Quotes!$C$5:$C$19,$G11)</f>
        <v/>
      </c>
      <c r="C11" s="6">
        <f>INDEX(Quotes!$C$5:$C$19,MIN($G11+1,15))</f>
        <v/>
      </c>
      <c r="D11" s="9">
        <f>IF($C11=$B11,0,($A11-$B11)/($C11-$B11))</f>
        <v/>
      </c>
      <c r="E11" s="10">
        <f>INDEX(Quotes!$B$5:$B$19,$G11)+$D11*(INDEX(Quotes!$B$5:$B$19,MIN($G11+1,15))-INDEX(Quotes!$B$5:$B$19,$G11))</f>
        <v/>
      </c>
      <c r="F11" s="4">
        <f>IF(COUNTIF(Quotes!$C$5:$C$19,$A11)&gt;0,"quote","interp")</f>
        <v/>
      </c>
      <c r="G11" s="4">
        <f>MATCH($A11,Quotes!$C$5:$C$19,1)</f>
        <v/>
      </c>
    </row>
    <row r="12">
      <c r="A12" s="6" t="n">
        <v>2.5</v>
      </c>
      <c r="B12" s="6">
        <f>INDEX(Quotes!$C$5:$C$19,$G12)</f>
        <v/>
      </c>
      <c r="C12" s="6">
        <f>INDEX(Quotes!$C$5:$C$19,MIN($G12+1,15))</f>
        <v/>
      </c>
      <c r="D12" s="9">
        <f>IF($C12=$B12,0,($A12-$B12)/($C12-$B12))</f>
        <v/>
      </c>
      <c r="E12" s="10">
        <f>INDEX(Quotes!$B$5:$B$19,$G12)+$D12*(INDEX(Quotes!$B$5:$B$19,MIN($G12+1,15))-INDEX(Quotes!$B$5:$B$19,$G12))</f>
        <v/>
      </c>
      <c r="F12" s="4">
        <f>IF(COUNTIF(Quotes!$C$5:$C$19,$A12)&gt;0,"quote","interp")</f>
        <v/>
      </c>
      <c r="G12" s="4">
        <f>MATCH($A12,Quotes!$C$5:$C$19,1)</f>
        <v/>
      </c>
    </row>
    <row r="13">
      <c r="A13" s="6" t="n">
        <v>2.75</v>
      </c>
      <c r="B13" s="6">
        <f>INDEX(Quotes!$C$5:$C$19,$G13)</f>
        <v/>
      </c>
      <c r="C13" s="6">
        <f>INDEX(Quotes!$C$5:$C$19,MIN($G13+1,15))</f>
        <v/>
      </c>
      <c r="D13" s="9">
        <f>IF($C13=$B13,0,($A13-$B13)/($C13-$B13))</f>
        <v/>
      </c>
      <c r="E13" s="10">
        <f>INDEX(Quotes!$B$5:$B$19,$G13)+$D13*(INDEX(Quotes!$B$5:$B$19,MIN($G13+1,15))-INDEX(Quotes!$B$5:$B$19,$G13))</f>
        <v/>
      </c>
      <c r="F13" s="4">
        <f>IF(COUNTIF(Quotes!$C$5:$C$19,$A13)&gt;0,"quote","interp")</f>
        <v/>
      </c>
      <c r="G13" s="4">
        <f>MATCH($A13,Quotes!$C$5:$C$19,1)</f>
        <v/>
      </c>
    </row>
    <row r="14">
      <c r="A14" s="6" t="n">
        <v>3</v>
      </c>
      <c r="B14" s="6">
        <f>INDEX(Quotes!$C$5:$C$19,$G14)</f>
        <v/>
      </c>
      <c r="C14" s="6">
        <f>INDEX(Quotes!$C$5:$C$19,MIN($G14+1,15))</f>
        <v/>
      </c>
      <c r="D14" s="9">
        <f>IF($C14=$B14,0,($A14-$B14)/($C14-$B14))</f>
        <v/>
      </c>
      <c r="E14" s="10">
        <f>INDEX(Quotes!$B$5:$B$19,$G14)+$D14*(INDEX(Quotes!$B$5:$B$19,MIN($G14+1,15))-INDEX(Quotes!$B$5:$B$19,$G14))</f>
        <v/>
      </c>
      <c r="F14" s="4">
        <f>IF(COUNTIF(Quotes!$C$5:$C$19,$A14)&gt;0,"quote","interp")</f>
        <v/>
      </c>
      <c r="G14" s="4">
        <f>MATCH($A14,Quotes!$C$5:$C$19,1)</f>
        <v/>
      </c>
    </row>
    <row r="15">
      <c r="A15" s="6" t="n">
        <v>3.25</v>
      </c>
      <c r="B15" s="6">
        <f>INDEX(Quotes!$C$5:$C$19,$G15)</f>
        <v/>
      </c>
      <c r="C15" s="6">
        <f>INDEX(Quotes!$C$5:$C$19,MIN($G15+1,15))</f>
        <v/>
      </c>
      <c r="D15" s="9">
        <f>IF($C15=$B15,0,($A15-$B15)/($C15-$B15))</f>
        <v/>
      </c>
      <c r="E15" s="10">
        <f>INDEX(Quotes!$B$5:$B$19,$G15)+$D15*(INDEX(Quotes!$B$5:$B$19,MIN($G15+1,15))-INDEX(Quotes!$B$5:$B$19,$G15))</f>
        <v/>
      </c>
      <c r="F15" s="4">
        <f>IF(COUNTIF(Quotes!$C$5:$C$19,$A15)&gt;0,"quote","interp")</f>
        <v/>
      </c>
      <c r="G15" s="4">
        <f>MATCH($A15,Quotes!$C$5:$C$19,1)</f>
        <v/>
      </c>
    </row>
    <row r="16">
      <c r="A16" s="6" t="n">
        <v>3.5</v>
      </c>
      <c r="B16" s="6">
        <f>INDEX(Quotes!$C$5:$C$19,$G16)</f>
        <v/>
      </c>
      <c r="C16" s="6">
        <f>INDEX(Quotes!$C$5:$C$19,MIN($G16+1,15))</f>
        <v/>
      </c>
      <c r="D16" s="9">
        <f>IF($C16=$B16,0,($A16-$B16)/($C16-$B16))</f>
        <v/>
      </c>
      <c r="E16" s="10">
        <f>INDEX(Quotes!$B$5:$B$19,$G16)+$D16*(INDEX(Quotes!$B$5:$B$19,MIN($G16+1,15))-INDEX(Quotes!$B$5:$B$19,$G16))</f>
        <v/>
      </c>
      <c r="F16" s="4">
        <f>IF(COUNTIF(Quotes!$C$5:$C$19,$A16)&gt;0,"quote","interp")</f>
        <v/>
      </c>
      <c r="G16" s="4">
        <f>MATCH($A16,Quotes!$C$5:$C$19,1)</f>
        <v/>
      </c>
    </row>
    <row r="17">
      <c r="A17" s="6" t="n">
        <v>3.75</v>
      </c>
      <c r="B17" s="6">
        <f>INDEX(Quotes!$C$5:$C$19,$G17)</f>
        <v/>
      </c>
      <c r="C17" s="6">
        <f>INDEX(Quotes!$C$5:$C$19,MIN($G17+1,15))</f>
        <v/>
      </c>
      <c r="D17" s="9">
        <f>IF($C17=$B17,0,($A17-$B17)/($C17-$B17))</f>
        <v/>
      </c>
      <c r="E17" s="10">
        <f>INDEX(Quotes!$B$5:$B$19,$G17)+$D17*(INDEX(Quotes!$B$5:$B$19,MIN($G17+1,15))-INDEX(Quotes!$B$5:$B$19,$G17))</f>
        <v/>
      </c>
      <c r="F17" s="4">
        <f>IF(COUNTIF(Quotes!$C$5:$C$19,$A17)&gt;0,"quote","interp")</f>
        <v/>
      </c>
      <c r="G17" s="4">
        <f>MATCH($A17,Quotes!$C$5:$C$19,1)</f>
        <v/>
      </c>
    </row>
    <row r="18">
      <c r="A18" s="6" t="n">
        <v>4</v>
      </c>
      <c r="B18" s="6">
        <f>INDEX(Quotes!$C$5:$C$19,$G18)</f>
        <v/>
      </c>
      <c r="C18" s="6">
        <f>INDEX(Quotes!$C$5:$C$19,MIN($G18+1,15))</f>
        <v/>
      </c>
      <c r="D18" s="9">
        <f>IF($C18=$B18,0,($A18-$B18)/($C18-$B18))</f>
        <v/>
      </c>
      <c r="E18" s="10">
        <f>INDEX(Quotes!$B$5:$B$19,$G18)+$D18*(INDEX(Quotes!$B$5:$B$19,MIN($G18+1,15))-INDEX(Quotes!$B$5:$B$19,$G18))</f>
        <v/>
      </c>
      <c r="F18" s="4">
        <f>IF(COUNTIF(Quotes!$C$5:$C$19,$A18)&gt;0,"quote","interp")</f>
        <v/>
      </c>
      <c r="G18" s="4">
        <f>MATCH($A18,Quotes!$C$5:$C$19,1)</f>
        <v/>
      </c>
    </row>
    <row r="19">
      <c r="A19" s="6" t="n">
        <v>4.25</v>
      </c>
      <c r="B19" s="6">
        <f>INDEX(Quotes!$C$5:$C$19,$G19)</f>
        <v/>
      </c>
      <c r="C19" s="6">
        <f>INDEX(Quotes!$C$5:$C$19,MIN($G19+1,15))</f>
        <v/>
      </c>
      <c r="D19" s="9">
        <f>IF($C19=$B19,0,($A19-$B19)/($C19-$B19))</f>
        <v/>
      </c>
      <c r="E19" s="10">
        <f>INDEX(Quotes!$B$5:$B$19,$G19)+$D19*(INDEX(Quotes!$B$5:$B$19,MIN($G19+1,15))-INDEX(Quotes!$B$5:$B$19,$G19))</f>
        <v/>
      </c>
      <c r="F19" s="4">
        <f>IF(COUNTIF(Quotes!$C$5:$C$19,$A19)&gt;0,"quote","interp")</f>
        <v/>
      </c>
      <c r="G19" s="4">
        <f>MATCH($A19,Quotes!$C$5:$C$19,1)</f>
        <v/>
      </c>
    </row>
    <row r="20">
      <c r="A20" s="6" t="n">
        <v>4.5</v>
      </c>
      <c r="B20" s="6">
        <f>INDEX(Quotes!$C$5:$C$19,$G20)</f>
        <v/>
      </c>
      <c r="C20" s="6">
        <f>INDEX(Quotes!$C$5:$C$19,MIN($G20+1,15))</f>
        <v/>
      </c>
      <c r="D20" s="9">
        <f>IF($C20=$B20,0,($A20-$B20)/($C20-$B20))</f>
        <v/>
      </c>
      <c r="E20" s="10">
        <f>INDEX(Quotes!$B$5:$B$19,$G20)+$D20*(INDEX(Quotes!$B$5:$B$19,MIN($G20+1,15))-INDEX(Quotes!$B$5:$B$19,$G20))</f>
        <v/>
      </c>
      <c r="F20" s="4">
        <f>IF(COUNTIF(Quotes!$C$5:$C$19,$A20)&gt;0,"quote","interp")</f>
        <v/>
      </c>
      <c r="G20" s="4">
        <f>MATCH($A20,Quotes!$C$5:$C$19,1)</f>
        <v/>
      </c>
    </row>
    <row r="21">
      <c r="A21" s="6" t="n">
        <v>4.75</v>
      </c>
      <c r="B21" s="6">
        <f>INDEX(Quotes!$C$5:$C$19,$G21)</f>
        <v/>
      </c>
      <c r="C21" s="6">
        <f>INDEX(Quotes!$C$5:$C$19,MIN($G21+1,15))</f>
        <v/>
      </c>
      <c r="D21" s="9">
        <f>IF($C21=$B21,0,($A21-$B21)/($C21-$B21))</f>
        <v/>
      </c>
      <c r="E21" s="10">
        <f>INDEX(Quotes!$B$5:$B$19,$G21)+$D21*(INDEX(Quotes!$B$5:$B$19,MIN($G21+1,15))-INDEX(Quotes!$B$5:$B$19,$G21))</f>
        <v/>
      </c>
      <c r="F21" s="4">
        <f>IF(COUNTIF(Quotes!$C$5:$C$19,$A21)&gt;0,"quote","interp")</f>
        <v/>
      </c>
      <c r="G21" s="4">
        <f>MATCH($A21,Quotes!$C$5:$C$19,1)</f>
        <v/>
      </c>
    </row>
    <row r="22">
      <c r="A22" s="6" t="n">
        <v>5</v>
      </c>
      <c r="B22" s="6">
        <f>INDEX(Quotes!$C$5:$C$19,$G22)</f>
        <v/>
      </c>
      <c r="C22" s="6">
        <f>INDEX(Quotes!$C$5:$C$19,MIN($G22+1,15))</f>
        <v/>
      </c>
      <c r="D22" s="9">
        <f>IF($C22=$B22,0,($A22-$B22)/($C22-$B22))</f>
        <v/>
      </c>
      <c r="E22" s="10">
        <f>INDEX(Quotes!$B$5:$B$19,$G22)+$D22*(INDEX(Quotes!$B$5:$B$19,MIN($G22+1,15))-INDEX(Quotes!$B$5:$B$19,$G22))</f>
        <v/>
      </c>
      <c r="F22" s="4">
        <f>IF(COUNTIF(Quotes!$C$5:$C$19,$A22)&gt;0,"quote","interp")</f>
        <v/>
      </c>
      <c r="G22" s="4">
        <f>MATCH($A22,Quotes!$C$5:$C$19,1)</f>
        <v/>
      </c>
    </row>
    <row r="23">
      <c r="A23" s="6" t="n">
        <v>5.25</v>
      </c>
      <c r="B23" s="6">
        <f>INDEX(Quotes!$C$5:$C$19,$G23)</f>
        <v/>
      </c>
      <c r="C23" s="6">
        <f>INDEX(Quotes!$C$5:$C$19,MIN($G23+1,15))</f>
        <v/>
      </c>
      <c r="D23" s="9">
        <f>IF($C23=$B23,0,($A23-$B23)/($C23-$B23))</f>
        <v/>
      </c>
      <c r="E23" s="10">
        <f>INDEX(Quotes!$B$5:$B$19,$G23)+$D23*(INDEX(Quotes!$B$5:$B$19,MIN($G23+1,15))-INDEX(Quotes!$B$5:$B$19,$G23))</f>
        <v/>
      </c>
      <c r="F23" s="4">
        <f>IF(COUNTIF(Quotes!$C$5:$C$19,$A23)&gt;0,"quote","interp")</f>
        <v/>
      </c>
      <c r="G23" s="4">
        <f>MATCH($A23,Quotes!$C$5:$C$19,1)</f>
        <v/>
      </c>
    </row>
    <row r="24">
      <c r="A24" s="6" t="n">
        <v>5.5</v>
      </c>
      <c r="B24" s="6">
        <f>INDEX(Quotes!$C$5:$C$19,$G24)</f>
        <v/>
      </c>
      <c r="C24" s="6">
        <f>INDEX(Quotes!$C$5:$C$19,MIN($G24+1,15))</f>
        <v/>
      </c>
      <c r="D24" s="9">
        <f>IF($C24=$B24,0,($A24-$B24)/($C24-$B24))</f>
        <v/>
      </c>
      <c r="E24" s="10">
        <f>INDEX(Quotes!$B$5:$B$19,$G24)+$D24*(INDEX(Quotes!$B$5:$B$19,MIN($G24+1,15))-INDEX(Quotes!$B$5:$B$19,$G24))</f>
        <v/>
      </c>
      <c r="F24" s="4">
        <f>IF(COUNTIF(Quotes!$C$5:$C$19,$A24)&gt;0,"quote","interp")</f>
        <v/>
      </c>
      <c r="G24" s="4">
        <f>MATCH($A24,Quotes!$C$5:$C$19,1)</f>
        <v/>
      </c>
    </row>
    <row r="25">
      <c r="A25" s="6" t="n">
        <v>5.75</v>
      </c>
      <c r="B25" s="6">
        <f>INDEX(Quotes!$C$5:$C$19,$G25)</f>
        <v/>
      </c>
      <c r="C25" s="6">
        <f>INDEX(Quotes!$C$5:$C$19,MIN($G25+1,15))</f>
        <v/>
      </c>
      <c r="D25" s="9">
        <f>IF($C25=$B25,0,($A25-$B25)/($C25-$B25))</f>
        <v/>
      </c>
      <c r="E25" s="10">
        <f>INDEX(Quotes!$B$5:$B$19,$G25)+$D25*(INDEX(Quotes!$B$5:$B$19,MIN($G25+1,15))-INDEX(Quotes!$B$5:$B$19,$G25))</f>
        <v/>
      </c>
      <c r="F25" s="4">
        <f>IF(COUNTIF(Quotes!$C$5:$C$19,$A25)&gt;0,"quote","interp")</f>
        <v/>
      </c>
      <c r="G25" s="4">
        <f>MATCH($A25,Quotes!$C$5:$C$19,1)</f>
        <v/>
      </c>
    </row>
    <row r="26">
      <c r="A26" s="6" t="n">
        <v>6</v>
      </c>
      <c r="B26" s="6">
        <f>INDEX(Quotes!$C$5:$C$19,$G26)</f>
        <v/>
      </c>
      <c r="C26" s="6">
        <f>INDEX(Quotes!$C$5:$C$19,MIN($G26+1,15))</f>
        <v/>
      </c>
      <c r="D26" s="9">
        <f>IF($C26=$B26,0,($A26-$B26)/($C26-$B26))</f>
        <v/>
      </c>
      <c r="E26" s="10">
        <f>INDEX(Quotes!$B$5:$B$19,$G26)+$D26*(INDEX(Quotes!$B$5:$B$19,MIN($G26+1,15))-INDEX(Quotes!$B$5:$B$19,$G26))</f>
        <v/>
      </c>
      <c r="F26" s="4">
        <f>IF(COUNTIF(Quotes!$C$5:$C$19,$A26)&gt;0,"quote","interp")</f>
        <v/>
      </c>
      <c r="G26" s="4">
        <f>MATCH($A26,Quotes!$C$5:$C$19,1)</f>
        <v/>
      </c>
    </row>
    <row r="27">
      <c r="A27" s="6" t="n">
        <v>6.25</v>
      </c>
      <c r="B27" s="6">
        <f>INDEX(Quotes!$C$5:$C$19,$G27)</f>
        <v/>
      </c>
      <c r="C27" s="6">
        <f>INDEX(Quotes!$C$5:$C$19,MIN($G27+1,15))</f>
        <v/>
      </c>
      <c r="D27" s="9">
        <f>IF($C27=$B27,0,($A27-$B27)/($C27-$B27))</f>
        <v/>
      </c>
      <c r="E27" s="10">
        <f>INDEX(Quotes!$B$5:$B$19,$G27)+$D27*(INDEX(Quotes!$B$5:$B$19,MIN($G27+1,15))-INDEX(Quotes!$B$5:$B$19,$G27))</f>
        <v/>
      </c>
      <c r="F27" s="4">
        <f>IF(COUNTIF(Quotes!$C$5:$C$19,$A27)&gt;0,"quote","interp")</f>
        <v/>
      </c>
      <c r="G27" s="4">
        <f>MATCH($A27,Quotes!$C$5:$C$19,1)</f>
        <v/>
      </c>
    </row>
    <row r="28">
      <c r="A28" s="6" t="n">
        <v>6.5</v>
      </c>
      <c r="B28" s="6">
        <f>INDEX(Quotes!$C$5:$C$19,$G28)</f>
        <v/>
      </c>
      <c r="C28" s="6">
        <f>INDEX(Quotes!$C$5:$C$19,MIN($G28+1,15))</f>
        <v/>
      </c>
      <c r="D28" s="9">
        <f>IF($C28=$B28,0,($A28-$B28)/($C28-$B28))</f>
        <v/>
      </c>
      <c r="E28" s="10">
        <f>INDEX(Quotes!$B$5:$B$19,$G28)+$D28*(INDEX(Quotes!$B$5:$B$19,MIN($G28+1,15))-INDEX(Quotes!$B$5:$B$19,$G28))</f>
        <v/>
      </c>
      <c r="F28" s="4">
        <f>IF(COUNTIF(Quotes!$C$5:$C$19,$A28)&gt;0,"quote","interp")</f>
        <v/>
      </c>
      <c r="G28" s="4">
        <f>MATCH($A28,Quotes!$C$5:$C$19,1)</f>
        <v/>
      </c>
    </row>
    <row r="29">
      <c r="A29" s="6" t="n">
        <v>6.75</v>
      </c>
      <c r="B29" s="6">
        <f>INDEX(Quotes!$C$5:$C$19,$G29)</f>
        <v/>
      </c>
      <c r="C29" s="6">
        <f>INDEX(Quotes!$C$5:$C$19,MIN($G29+1,15))</f>
        <v/>
      </c>
      <c r="D29" s="9">
        <f>IF($C29=$B29,0,($A29-$B29)/($C29-$B29))</f>
        <v/>
      </c>
      <c r="E29" s="10">
        <f>INDEX(Quotes!$B$5:$B$19,$G29)+$D29*(INDEX(Quotes!$B$5:$B$19,MIN($G29+1,15))-INDEX(Quotes!$B$5:$B$19,$G29))</f>
        <v/>
      </c>
      <c r="F29" s="4">
        <f>IF(COUNTIF(Quotes!$C$5:$C$19,$A29)&gt;0,"quote","interp")</f>
        <v/>
      </c>
      <c r="G29" s="4">
        <f>MATCH($A29,Quotes!$C$5:$C$19,1)</f>
        <v/>
      </c>
    </row>
    <row r="30">
      <c r="A30" s="6" t="n">
        <v>7</v>
      </c>
      <c r="B30" s="6">
        <f>INDEX(Quotes!$C$5:$C$19,$G30)</f>
        <v/>
      </c>
      <c r="C30" s="6">
        <f>INDEX(Quotes!$C$5:$C$19,MIN($G30+1,15))</f>
        <v/>
      </c>
      <c r="D30" s="9">
        <f>IF($C30=$B30,0,($A30-$B30)/($C30-$B30))</f>
        <v/>
      </c>
      <c r="E30" s="10">
        <f>INDEX(Quotes!$B$5:$B$19,$G30)+$D30*(INDEX(Quotes!$B$5:$B$19,MIN($G30+1,15))-INDEX(Quotes!$B$5:$B$19,$G30))</f>
        <v/>
      </c>
      <c r="F30" s="4">
        <f>IF(COUNTIF(Quotes!$C$5:$C$19,$A30)&gt;0,"quote","interp")</f>
        <v/>
      </c>
      <c r="G30" s="4">
        <f>MATCH($A30,Quotes!$C$5:$C$19,1)</f>
        <v/>
      </c>
    </row>
    <row r="31">
      <c r="A31" s="6" t="n">
        <v>7.25</v>
      </c>
      <c r="B31" s="6">
        <f>INDEX(Quotes!$C$5:$C$19,$G31)</f>
        <v/>
      </c>
      <c r="C31" s="6">
        <f>INDEX(Quotes!$C$5:$C$19,MIN($G31+1,15))</f>
        <v/>
      </c>
      <c r="D31" s="9">
        <f>IF($C31=$B31,0,($A31-$B31)/($C31-$B31))</f>
        <v/>
      </c>
      <c r="E31" s="10">
        <f>INDEX(Quotes!$B$5:$B$19,$G31)+$D31*(INDEX(Quotes!$B$5:$B$19,MIN($G31+1,15))-INDEX(Quotes!$B$5:$B$19,$G31))</f>
        <v/>
      </c>
      <c r="F31" s="4">
        <f>IF(COUNTIF(Quotes!$C$5:$C$19,$A31)&gt;0,"quote","interp")</f>
        <v/>
      </c>
      <c r="G31" s="4">
        <f>MATCH($A31,Quotes!$C$5:$C$19,1)</f>
        <v/>
      </c>
    </row>
    <row r="32">
      <c r="A32" s="6" t="n">
        <v>7.5</v>
      </c>
      <c r="B32" s="6">
        <f>INDEX(Quotes!$C$5:$C$19,$G32)</f>
        <v/>
      </c>
      <c r="C32" s="6">
        <f>INDEX(Quotes!$C$5:$C$19,MIN($G32+1,15))</f>
        <v/>
      </c>
      <c r="D32" s="9">
        <f>IF($C32=$B32,0,($A32-$B32)/($C32-$B32))</f>
        <v/>
      </c>
      <c r="E32" s="10">
        <f>INDEX(Quotes!$B$5:$B$19,$G32)+$D32*(INDEX(Quotes!$B$5:$B$19,MIN($G32+1,15))-INDEX(Quotes!$B$5:$B$19,$G32))</f>
        <v/>
      </c>
      <c r="F32" s="4">
        <f>IF(COUNTIF(Quotes!$C$5:$C$19,$A32)&gt;0,"quote","interp")</f>
        <v/>
      </c>
      <c r="G32" s="4">
        <f>MATCH($A32,Quotes!$C$5:$C$19,1)</f>
        <v/>
      </c>
    </row>
    <row r="33">
      <c r="A33" s="6" t="n">
        <v>7.75</v>
      </c>
      <c r="B33" s="6">
        <f>INDEX(Quotes!$C$5:$C$19,$G33)</f>
        <v/>
      </c>
      <c r="C33" s="6">
        <f>INDEX(Quotes!$C$5:$C$19,MIN($G33+1,15))</f>
        <v/>
      </c>
      <c r="D33" s="9">
        <f>IF($C33=$B33,0,($A33-$B33)/($C33-$B33))</f>
        <v/>
      </c>
      <c r="E33" s="10">
        <f>INDEX(Quotes!$B$5:$B$19,$G33)+$D33*(INDEX(Quotes!$B$5:$B$19,MIN($G33+1,15))-INDEX(Quotes!$B$5:$B$19,$G33))</f>
        <v/>
      </c>
      <c r="F33" s="4">
        <f>IF(COUNTIF(Quotes!$C$5:$C$19,$A33)&gt;0,"quote","interp")</f>
        <v/>
      </c>
      <c r="G33" s="4">
        <f>MATCH($A33,Quotes!$C$5:$C$19,1)</f>
        <v/>
      </c>
    </row>
    <row r="34">
      <c r="A34" s="6" t="n">
        <v>8</v>
      </c>
      <c r="B34" s="6">
        <f>INDEX(Quotes!$C$5:$C$19,$G34)</f>
        <v/>
      </c>
      <c r="C34" s="6">
        <f>INDEX(Quotes!$C$5:$C$19,MIN($G34+1,15))</f>
        <v/>
      </c>
      <c r="D34" s="9">
        <f>IF($C34=$B34,0,($A34-$B34)/($C34-$B34))</f>
        <v/>
      </c>
      <c r="E34" s="10">
        <f>INDEX(Quotes!$B$5:$B$19,$G34)+$D34*(INDEX(Quotes!$B$5:$B$19,MIN($G34+1,15))-INDEX(Quotes!$B$5:$B$19,$G34))</f>
        <v/>
      </c>
      <c r="F34" s="4">
        <f>IF(COUNTIF(Quotes!$C$5:$C$19,$A34)&gt;0,"quote","interp")</f>
        <v/>
      </c>
      <c r="G34" s="4">
        <f>MATCH($A34,Quotes!$C$5:$C$19,1)</f>
        <v/>
      </c>
    </row>
    <row r="35">
      <c r="A35" s="6" t="n">
        <v>8.25</v>
      </c>
      <c r="B35" s="6">
        <f>INDEX(Quotes!$C$5:$C$19,$G35)</f>
        <v/>
      </c>
      <c r="C35" s="6">
        <f>INDEX(Quotes!$C$5:$C$19,MIN($G35+1,15))</f>
        <v/>
      </c>
      <c r="D35" s="9">
        <f>IF($C35=$B35,0,($A35-$B35)/($C35-$B35))</f>
        <v/>
      </c>
      <c r="E35" s="10">
        <f>INDEX(Quotes!$B$5:$B$19,$G35)+$D35*(INDEX(Quotes!$B$5:$B$19,MIN($G35+1,15))-INDEX(Quotes!$B$5:$B$19,$G35))</f>
        <v/>
      </c>
      <c r="F35" s="4">
        <f>IF(COUNTIF(Quotes!$C$5:$C$19,$A35)&gt;0,"quote","interp")</f>
        <v/>
      </c>
      <c r="G35" s="4">
        <f>MATCH($A35,Quotes!$C$5:$C$19,1)</f>
        <v/>
      </c>
    </row>
    <row r="36">
      <c r="A36" s="6" t="n">
        <v>8.5</v>
      </c>
      <c r="B36" s="6">
        <f>INDEX(Quotes!$C$5:$C$19,$G36)</f>
        <v/>
      </c>
      <c r="C36" s="6">
        <f>INDEX(Quotes!$C$5:$C$19,MIN($G36+1,15))</f>
        <v/>
      </c>
      <c r="D36" s="9">
        <f>IF($C36=$B36,0,($A36-$B36)/($C36-$B36))</f>
        <v/>
      </c>
      <c r="E36" s="10">
        <f>INDEX(Quotes!$B$5:$B$19,$G36)+$D36*(INDEX(Quotes!$B$5:$B$19,MIN($G36+1,15))-INDEX(Quotes!$B$5:$B$19,$G36))</f>
        <v/>
      </c>
      <c r="F36" s="4">
        <f>IF(COUNTIF(Quotes!$C$5:$C$19,$A36)&gt;0,"quote","interp")</f>
        <v/>
      </c>
      <c r="G36" s="4">
        <f>MATCH($A36,Quotes!$C$5:$C$19,1)</f>
        <v/>
      </c>
    </row>
    <row r="37">
      <c r="A37" s="6" t="n">
        <v>8.75</v>
      </c>
      <c r="B37" s="6">
        <f>INDEX(Quotes!$C$5:$C$19,$G37)</f>
        <v/>
      </c>
      <c r="C37" s="6">
        <f>INDEX(Quotes!$C$5:$C$19,MIN($G37+1,15))</f>
        <v/>
      </c>
      <c r="D37" s="9">
        <f>IF($C37=$B37,0,($A37-$B37)/($C37-$B37))</f>
        <v/>
      </c>
      <c r="E37" s="10">
        <f>INDEX(Quotes!$B$5:$B$19,$G37)+$D37*(INDEX(Quotes!$B$5:$B$19,MIN($G37+1,15))-INDEX(Quotes!$B$5:$B$19,$G37))</f>
        <v/>
      </c>
      <c r="F37" s="4">
        <f>IF(COUNTIF(Quotes!$C$5:$C$19,$A37)&gt;0,"quote","interp")</f>
        <v/>
      </c>
      <c r="G37" s="4">
        <f>MATCH($A37,Quotes!$C$5:$C$19,1)</f>
        <v/>
      </c>
    </row>
    <row r="38">
      <c r="A38" s="6" t="n">
        <v>9</v>
      </c>
      <c r="B38" s="6">
        <f>INDEX(Quotes!$C$5:$C$19,$G38)</f>
        <v/>
      </c>
      <c r="C38" s="6">
        <f>INDEX(Quotes!$C$5:$C$19,MIN($G38+1,15))</f>
        <v/>
      </c>
      <c r="D38" s="9">
        <f>IF($C38=$B38,0,($A38-$B38)/($C38-$B38))</f>
        <v/>
      </c>
      <c r="E38" s="10">
        <f>INDEX(Quotes!$B$5:$B$19,$G38)+$D38*(INDEX(Quotes!$B$5:$B$19,MIN($G38+1,15))-INDEX(Quotes!$B$5:$B$19,$G38))</f>
        <v/>
      </c>
      <c r="F38" s="4">
        <f>IF(COUNTIF(Quotes!$C$5:$C$19,$A38)&gt;0,"quote","interp")</f>
        <v/>
      </c>
      <c r="G38" s="4">
        <f>MATCH($A38,Quotes!$C$5:$C$19,1)</f>
        <v/>
      </c>
    </row>
    <row r="39">
      <c r="A39" s="6" t="n">
        <v>9.25</v>
      </c>
      <c r="B39" s="6">
        <f>INDEX(Quotes!$C$5:$C$19,$G39)</f>
        <v/>
      </c>
      <c r="C39" s="6">
        <f>INDEX(Quotes!$C$5:$C$19,MIN($G39+1,15))</f>
        <v/>
      </c>
      <c r="D39" s="9">
        <f>IF($C39=$B39,0,($A39-$B39)/($C39-$B39))</f>
        <v/>
      </c>
      <c r="E39" s="10">
        <f>INDEX(Quotes!$B$5:$B$19,$G39)+$D39*(INDEX(Quotes!$B$5:$B$19,MIN($G39+1,15))-INDEX(Quotes!$B$5:$B$19,$G39))</f>
        <v/>
      </c>
      <c r="F39" s="4">
        <f>IF(COUNTIF(Quotes!$C$5:$C$19,$A39)&gt;0,"quote","interp")</f>
        <v/>
      </c>
      <c r="G39" s="4">
        <f>MATCH($A39,Quotes!$C$5:$C$19,1)</f>
        <v/>
      </c>
    </row>
    <row r="40">
      <c r="A40" s="6" t="n">
        <v>9.5</v>
      </c>
      <c r="B40" s="6">
        <f>INDEX(Quotes!$C$5:$C$19,$G40)</f>
        <v/>
      </c>
      <c r="C40" s="6">
        <f>INDEX(Quotes!$C$5:$C$19,MIN($G40+1,15))</f>
        <v/>
      </c>
      <c r="D40" s="9">
        <f>IF($C40=$B40,0,($A40-$B40)/($C40-$B40))</f>
        <v/>
      </c>
      <c r="E40" s="10">
        <f>INDEX(Quotes!$B$5:$B$19,$G40)+$D40*(INDEX(Quotes!$B$5:$B$19,MIN($G40+1,15))-INDEX(Quotes!$B$5:$B$19,$G40))</f>
        <v/>
      </c>
      <c r="F40" s="4">
        <f>IF(COUNTIF(Quotes!$C$5:$C$19,$A40)&gt;0,"quote","interp")</f>
        <v/>
      </c>
      <c r="G40" s="4">
        <f>MATCH($A40,Quotes!$C$5:$C$19,1)</f>
        <v/>
      </c>
    </row>
    <row r="41">
      <c r="A41" s="6" t="n">
        <v>9.75</v>
      </c>
      <c r="B41" s="6">
        <f>INDEX(Quotes!$C$5:$C$19,$G41)</f>
        <v/>
      </c>
      <c r="C41" s="6">
        <f>INDEX(Quotes!$C$5:$C$19,MIN($G41+1,15))</f>
        <v/>
      </c>
      <c r="D41" s="9">
        <f>IF($C41=$B41,0,($A41-$B41)/($C41-$B41))</f>
        <v/>
      </c>
      <c r="E41" s="10">
        <f>INDEX(Quotes!$B$5:$B$19,$G41)+$D41*(INDEX(Quotes!$B$5:$B$19,MIN($G41+1,15))-INDEX(Quotes!$B$5:$B$19,$G41))</f>
        <v/>
      </c>
      <c r="F41" s="4">
        <f>IF(COUNTIF(Quotes!$C$5:$C$19,$A41)&gt;0,"quote","interp")</f>
        <v/>
      </c>
      <c r="G41" s="4">
        <f>MATCH($A41,Quotes!$C$5:$C$19,1)</f>
        <v/>
      </c>
    </row>
    <row r="42">
      <c r="A42" s="6" t="n">
        <v>10</v>
      </c>
      <c r="B42" s="6">
        <f>INDEX(Quotes!$C$5:$C$19,$G42)</f>
        <v/>
      </c>
      <c r="C42" s="6">
        <f>INDEX(Quotes!$C$5:$C$19,MIN($G42+1,15))</f>
        <v/>
      </c>
      <c r="D42" s="9">
        <f>IF($C42=$B42,0,($A42-$B42)/($C42-$B42))</f>
        <v/>
      </c>
      <c r="E42" s="10">
        <f>INDEX(Quotes!$B$5:$B$19,$G42)+$D42*(INDEX(Quotes!$B$5:$B$19,MIN($G42+1,15))-INDEX(Quotes!$B$5:$B$19,$G42))</f>
        <v/>
      </c>
      <c r="F42" s="4">
        <f>IF(COUNTIF(Quotes!$C$5:$C$19,$A42)&gt;0,"quote","interp")</f>
        <v/>
      </c>
      <c r="G42" s="4">
        <f>MATCH($A42,Quotes!$C$5:$C$19,1)</f>
        <v/>
      </c>
    </row>
    <row r="43">
      <c r="A43" s="6" t="n">
        <v>10.25</v>
      </c>
      <c r="B43" s="6">
        <f>INDEX(Quotes!$C$5:$C$19,$G43)</f>
        <v/>
      </c>
      <c r="C43" s="6">
        <f>INDEX(Quotes!$C$5:$C$19,MIN($G43+1,15))</f>
        <v/>
      </c>
      <c r="D43" s="9">
        <f>IF($C43=$B43,0,($A43-$B43)/($C43-$B43))</f>
        <v/>
      </c>
      <c r="E43" s="10">
        <f>INDEX(Quotes!$B$5:$B$19,$G43)+$D43*(INDEX(Quotes!$B$5:$B$19,MIN($G43+1,15))-INDEX(Quotes!$B$5:$B$19,$G43))</f>
        <v/>
      </c>
      <c r="F43" s="4">
        <f>IF(COUNTIF(Quotes!$C$5:$C$19,$A43)&gt;0,"quote","interp")</f>
        <v/>
      </c>
      <c r="G43" s="4">
        <f>MATCH($A43,Quotes!$C$5:$C$19,1)</f>
        <v/>
      </c>
    </row>
    <row r="44">
      <c r="A44" s="6" t="n">
        <v>10.5</v>
      </c>
      <c r="B44" s="6">
        <f>INDEX(Quotes!$C$5:$C$19,$G44)</f>
        <v/>
      </c>
      <c r="C44" s="6">
        <f>INDEX(Quotes!$C$5:$C$19,MIN($G44+1,15))</f>
        <v/>
      </c>
      <c r="D44" s="9">
        <f>IF($C44=$B44,0,($A44-$B44)/($C44-$B44))</f>
        <v/>
      </c>
      <c r="E44" s="10">
        <f>INDEX(Quotes!$B$5:$B$19,$G44)+$D44*(INDEX(Quotes!$B$5:$B$19,MIN($G44+1,15))-INDEX(Quotes!$B$5:$B$19,$G44))</f>
        <v/>
      </c>
      <c r="F44" s="4">
        <f>IF(COUNTIF(Quotes!$C$5:$C$19,$A44)&gt;0,"quote","interp")</f>
        <v/>
      </c>
      <c r="G44" s="4">
        <f>MATCH($A44,Quotes!$C$5:$C$19,1)</f>
        <v/>
      </c>
    </row>
    <row r="45">
      <c r="A45" s="6" t="n">
        <v>10.75</v>
      </c>
      <c r="B45" s="6">
        <f>INDEX(Quotes!$C$5:$C$19,$G45)</f>
        <v/>
      </c>
      <c r="C45" s="6">
        <f>INDEX(Quotes!$C$5:$C$19,MIN($G45+1,15))</f>
        <v/>
      </c>
      <c r="D45" s="9">
        <f>IF($C45=$B45,0,($A45-$B45)/($C45-$B45))</f>
        <v/>
      </c>
      <c r="E45" s="10">
        <f>INDEX(Quotes!$B$5:$B$19,$G45)+$D45*(INDEX(Quotes!$B$5:$B$19,MIN($G45+1,15))-INDEX(Quotes!$B$5:$B$19,$G45))</f>
        <v/>
      </c>
      <c r="F45" s="4">
        <f>IF(COUNTIF(Quotes!$C$5:$C$19,$A45)&gt;0,"quote","interp")</f>
        <v/>
      </c>
      <c r="G45" s="4">
        <f>MATCH($A45,Quotes!$C$5:$C$19,1)</f>
        <v/>
      </c>
    </row>
    <row r="46">
      <c r="A46" s="6" t="n">
        <v>11</v>
      </c>
      <c r="B46" s="6">
        <f>INDEX(Quotes!$C$5:$C$19,$G46)</f>
        <v/>
      </c>
      <c r="C46" s="6">
        <f>INDEX(Quotes!$C$5:$C$19,MIN($G46+1,15))</f>
        <v/>
      </c>
      <c r="D46" s="9">
        <f>IF($C46=$B46,0,($A46-$B46)/($C46-$B46))</f>
        <v/>
      </c>
      <c r="E46" s="10">
        <f>INDEX(Quotes!$B$5:$B$19,$G46)+$D46*(INDEX(Quotes!$B$5:$B$19,MIN($G46+1,15))-INDEX(Quotes!$B$5:$B$19,$G46))</f>
        <v/>
      </c>
      <c r="F46" s="4">
        <f>IF(COUNTIF(Quotes!$C$5:$C$19,$A46)&gt;0,"quote","interp")</f>
        <v/>
      </c>
      <c r="G46" s="4">
        <f>MATCH($A46,Quotes!$C$5:$C$19,1)</f>
        <v/>
      </c>
    </row>
    <row r="47">
      <c r="A47" s="6" t="n">
        <v>11.25</v>
      </c>
      <c r="B47" s="6">
        <f>INDEX(Quotes!$C$5:$C$19,$G47)</f>
        <v/>
      </c>
      <c r="C47" s="6">
        <f>INDEX(Quotes!$C$5:$C$19,MIN($G47+1,15))</f>
        <v/>
      </c>
      <c r="D47" s="9">
        <f>IF($C47=$B47,0,($A47-$B47)/($C47-$B47))</f>
        <v/>
      </c>
      <c r="E47" s="10">
        <f>INDEX(Quotes!$B$5:$B$19,$G47)+$D47*(INDEX(Quotes!$B$5:$B$19,MIN($G47+1,15))-INDEX(Quotes!$B$5:$B$19,$G47))</f>
        <v/>
      </c>
      <c r="F47" s="4">
        <f>IF(COUNTIF(Quotes!$C$5:$C$19,$A47)&gt;0,"quote","interp")</f>
        <v/>
      </c>
      <c r="G47" s="4">
        <f>MATCH($A47,Quotes!$C$5:$C$19,1)</f>
        <v/>
      </c>
    </row>
    <row r="48">
      <c r="A48" s="6" t="n">
        <v>11.5</v>
      </c>
      <c r="B48" s="6">
        <f>INDEX(Quotes!$C$5:$C$19,$G48)</f>
        <v/>
      </c>
      <c r="C48" s="6">
        <f>INDEX(Quotes!$C$5:$C$19,MIN($G48+1,15))</f>
        <v/>
      </c>
      <c r="D48" s="9">
        <f>IF($C48=$B48,0,($A48-$B48)/($C48-$B48))</f>
        <v/>
      </c>
      <c r="E48" s="10">
        <f>INDEX(Quotes!$B$5:$B$19,$G48)+$D48*(INDEX(Quotes!$B$5:$B$19,MIN($G48+1,15))-INDEX(Quotes!$B$5:$B$19,$G48))</f>
        <v/>
      </c>
      <c r="F48" s="4">
        <f>IF(COUNTIF(Quotes!$C$5:$C$19,$A48)&gt;0,"quote","interp")</f>
        <v/>
      </c>
      <c r="G48" s="4">
        <f>MATCH($A48,Quotes!$C$5:$C$19,1)</f>
        <v/>
      </c>
    </row>
    <row r="49">
      <c r="A49" s="6" t="n">
        <v>11.75</v>
      </c>
      <c r="B49" s="6">
        <f>INDEX(Quotes!$C$5:$C$19,$G49)</f>
        <v/>
      </c>
      <c r="C49" s="6">
        <f>INDEX(Quotes!$C$5:$C$19,MIN($G49+1,15))</f>
        <v/>
      </c>
      <c r="D49" s="9">
        <f>IF($C49=$B49,0,($A49-$B49)/($C49-$B49))</f>
        <v/>
      </c>
      <c r="E49" s="10">
        <f>INDEX(Quotes!$B$5:$B$19,$G49)+$D49*(INDEX(Quotes!$B$5:$B$19,MIN($G49+1,15))-INDEX(Quotes!$B$5:$B$19,$G49))</f>
        <v/>
      </c>
      <c r="F49" s="4">
        <f>IF(COUNTIF(Quotes!$C$5:$C$19,$A49)&gt;0,"quote","interp")</f>
        <v/>
      </c>
      <c r="G49" s="4">
        <f>MATCH($A49,Quotes!$C$5:$C$19,1)</f>
        <v/>
      </c>
    </row>
    <row r="50">
      <c r="A50" s="6" t="n">
        <v>12</v>
      </c>
      <c r="B50" s="6">
        <f>INDEX(Quotes!$C$5:$C$19,$G50)</f>
        <v/>
      </c>
      <c r="C50" s="6">
        <f>INDEX(Quotes!$C$5:$C$19,MIN($G50+1,15))</f>
        <v/>
      </c>
      <c r="D50" s="9">
        <f>IF($C50=$B50,0,($A50-$B50)/($C50-$B50))</f>
        <v/>
      </c>
      <c r="E50" s="10">
        <f>INDEX(Quotes!$B$5:$B$19,$G50)+$D50*(INDEX(Quotes!$B$5:$B$19,MIN($G50+1,15))-INDEX(Quotes!$B$5:$B$19,$G50))</f>
        <v/>
      </c>
      <c r="F50" s="4">
        <f>IF(COUNTIF(Quotes!$C$5:$C$19,$A50)&gt;0,"quote","interp")</f>
        <v/>
      </c>
      <c r="G50" s="4">
        <f>MATCH($A50,Quotes!$C$5:$C$19,1)</f>
        <v/>
      </c>
    </row>
    <row r="51">
      <c r="A51" s="6" t="n">
        <v>12.25</v>
      </c>
      <c r="B51" s="6">
        <f>INDEX(Quotes!$C$5:$C$19,$G51)</f>
        <v/>
      </c>
      <c r="C51" s="6">
        <f>INDEX(Quotes!$C$5:$C$19,MIN($G51+1,15))</f>
        <v/>
      </c>
      <c r="D51" s="9">
        <f>IF($C51=$B51,0,($A51-$B51)/($C51-$B51))</f>
        <v/>
      </c>
      <c r="E51" s="10">
        <f>INDEX(Quotes!$B$5:$B$19,$G51)+$D51*(INDEX(Quotes!$B$5:$B$19,MIN($G51+1,15))-INDEX(Quotes!$B$5:$B$19,$G51))</f>
        <v/>
      </c>
      <c r="F51" s="4">
        <f>IF(COUNTIF(Quotes!$C$5:$C$19,$A51)&gt;0,"quote","interp")</f>
        <v/>
      </c>
      <c r="G51" s="4">
        <f>MATCH($A51,Quotes!$C$5:$C$19,1)</f>
        <v/>
      </c>
    </row>
    <row r="52">
      <c r="A52" s="6" t="n">
        <v>12.5</v>
      </c>
      <c r="B52" s="6">
        <f>INDEX(Quotes!$C$5:$C$19,$G52)</f>
        <v/>
      </c>
      <c r="C52" s="6">
        <f>INDEX(Quotes!$C$5:$C$19,MIN($G52+1,15))</f>
        <v/>
      </c>
      <c r="D52" s="9">
        <f>IF($C52=$B52,0,($A52-$B52)/($C52-$B52))</f>
        <v/>
      </c>
      <c r="E52" s="10">
        <f>INDEX(Quotes!$B$5:$B$19,$G52)+$D52*(INDEX(Quotes!$B$5:$B$19,MIN($G52+1,15))-INDEX(Quotes!$B$5:$B$19,$G52))</f>
        <v/>
      </c>
      <c r="F52" s="4">
        <f>IF(COUNTIF(Quotes!$C$5:$C$19,$A52)&gt;0,"quote","interp")</f>
        <v/>
      </c>
      <c r="G52" s="4">
        <f>MATCH($A52,Quotes!$C$5:$C$19,1)</f>
        <v/>
      </c>
    </row>
    <row r="53">
      <c r="A53" s="6" t="n">
        <v>12.75</v>
      </c>
      <c r="B53" s="6">
        <f>INDEX(Quotes!$C$5:$C$19,$G53)</f>
        <v/>
      </c>
      <c r="C53" s="6">
        <f>INDEX(Quotes!$C$5:$C$19,MIN($G53+1,15))</f>
        <v/>
      </c>
      <c r="D53" s="9">
        <f>IF($C53=$B53,0,($A53-$B53)/($C53-$B53))</f>
        <v/>
      </c>
      <c r="E53" s="10">
        <f>INDEX(Quotes!$B$5:$B$19,$G53)+$D53*(INDEX(Quotes!$B$5:$B$19,MIN($G53+1,15))-INDEX(Quotes!$B$5:$B$19,$G53))</f>
        <v/>
      </c>
      <c r="F53" s="4">
        <f>IF(COUNTIF(Quotes!$C$5:$C$19,$A53)&gt;0,"quote","interp")</f>
        <v/>
      </c>
      <c r="G53" s="4">
        <f>MATCH($A53,Quotes!$C$5:$C$19,1)</f>
        <v/>
      </c>
    </row>
    <row r="54">
      <c r="A54" s="6" t="n">
        <v>13</v>
      </c>
      <c r="B54" s="6">
        <f>INDEX(Quotes!$C$5:$C$19,$G54)</f>
        <v/>
      </c>
      <c r="C54" s="6">
        <f>INDEX(Quotes!$C$5:$C$19,MIN($G54+1,15))</f>
        <v/>
      </c>
      <c r="D54" s="9">
        <f>IF($C54=$B54,0,($A54-$B54)/($C54-$B54))</f>
        <v/>
      </c>
      <c r="E54" s="10">
        <f>INDEX(Quotes!$B$5:$B$19,$G54)+$D54*(INDEX(Quotes!$B$5:$B$19,MIN($G54+1,15))-INDEX(Quotes!$B$5:$B$19,$G54))</f>
        <v/>
      </c>
      <c r="F54" s="4">
        <f>IF(COUNTIF(Quotes!$C$5:$C$19,$A54)&gt;0,"quote","interp")</f>
        <v/>
      </c>
      <c r="G54" s="4">
        <f>MATCH($A54,Quotes!$C$5:$C$19,1)</f>
        <v/>
      </c>
    </row>
    <row r="55">
      <c r="A55" s="6" t="n">
        <v>13.25</v>
      </c>
      <c r="B55" s="6">
        <f>INDEX(Quotes!$C$5:$C$19,$G55)</f>
        <v/>
      </c>
      <c r="C55" s="6">
        <f>INDEX(Quotes!$C$5:$C$19,MIN($G55+1,15))</f>
        <v/>
      </c>
      <c r="D55" s="9">
        <f>IF($C55=$B55,0,($A55-$B55)/($C55-$B55))</f>
        <v/>
      </c>
      <c r="E55" s="10">
        <f>INDEX(Quotes!$B$5:$B$19,$G55)+$D55*(INDEX(Quotes!$B$5:$B$19,MIN($G55+1,15))-INDEX(Quotes!$B$5:$B$19,$G55))</f>
        <v/>
      </c>
      <c r="F55" s="4">
        <f>IF(COUNTIF(Quotes!$C$5:$C$19,$A55)&gt;0,"quote","interp")</f>
        <v/>
      </c>
      <c r="G55" s="4">
        <f>MATCH($A55,Quotes!$C$5:$C$19,1)</f>
        <v/>
      </c>
    </row>
    <row r="56">
      <c r="A56" s="6" t="n">
        <v>13.5</v>
      </c>
      <c r="B56" s="6">
        <f>INDEX(Quotes!$C$5:$C$19,$G56)</f>
        <v/>
      </c>
      <c r="C56" s="6">
        <f>INDEX(Quotes!$C$5:$C$19,MIN($G56+1,15))</f>
        <v/>
      </c>
      <c r="D56" s="9">
        <f>IF($C56=$B56,0,($A56-$B56)/($C56-$B56))</f>
        <v/>
      </c>
      <c r="E56" s="10">
        <f>INDEX(Quotes!$B$5:$B$19,$G56)+$D56*(INDEX(Quotes!$B$5:$B$19,MIN($G56+1,15))-INDEX(Quotes!$B$5:$B$19,$G56))</f>
        <v/>
      </c>
      <c r="F56" s="4">
        <f>IF(COUNTIF(Quotes!$C$5:$C$19,$A56)&gt;0,"quote","interp")</f>
        <v/>
      </c>
      <c r="G56" s="4">
        <f>MATCH($A56,Quotes!$C$5:$C$19,1)</f>
        <v/>
      </c>
    </row>
    <row r="57">
      <c r="A57" s="6" t="n">
        <v>13.75</v>
      </c>
      <c r="B57" s="6">
        <f>INDEX(Quotes!$C$5:$C$19,$G57)</f>
        <v/>
      </c>
      <c r="C57" s="6">
        <f>INDEX(Quotes!$C$5:$C$19,MIN($G57+1,15))</f>
        <v/>
      </c>
      <c r="D57" s="9">
        <f>IF($C57=$B57,0,($A57-$B57)/($C57-$B57))</f>
        <v/>
      </c>
      <c r="E57" s="10">
        <f>INDEX(Quotes!$B$5:$B$19,$G57)+$D57*(INDEX(Quotes!$B$5:$B$19,MIN($G57+1,15))-INDEX(Quotes!$B$5:$B$19,$G57))</f>
        <v/>
      </c>
      <c r="F57" s="4">
        <f>IF(COUNTIF(Quotes!$C$5:$C$19,$A57)&gt;0,"quote","interp")</f>
        <v/>
      </c>
      <c r="G57" s="4">
        <f>MATCH($A57,Quotes!$C$5:$C$19,1)</f>
        <v/>
      </c>
    </row>
    <row r="58">
      <c r="A58" s="6" t="n">
        <v>14</v>
      </c>
      <c r="B58" s="6">
        <f>INDEX(Quotes!$C$5:$C$19,$G58)</f>
        <v/>
      </c>
      <c r="C58" s="6">
        <f>INDEX(Quotes!$C$5:$C$19,MIN($G58+1,15))</f>
        <v/>
      </c>
      <c r="D58" s="9">
        <f>IF($C58=$B58,0,($A58-$B58)/($C58-$B58))</f>
        <v/>
      </c>
      <c r="E58" s="10">
        <f>INDEX(Quotes!$B$5:$B$19,$G58)+$D58*(INDEX(Quotes!$B$5:$B$19,MIN($G58+1,15))-INDEX(Quotes!$B$5:$B$19,$G58))</f>
        <v/>
      </c>
      <c r="F58" s="4">
        <f>IF(COUNTIF(Quotes!$C$5:$C$19,$A58)&gt;0,"quote","interp")</f>
        <v/>
      </c>
      <c r="G58" s="4">
        <f>MATCH($A58,Quotes!$C$5:$C$19,1)</f>
        <v/>
      </c>
    </row>
    <row r="59">
      <c r="A59" s="6" t="n">
        <v>14.25</v>
      </c>
      <c r="B59" s="6">
        <f>INDEX(Quotes!$C$5:$C$19,$G59)</f>
        <v/>
      </c>
      <c r="C59" s="6">
        <f>INDEX(Quotes!$C$5:$C$19,MIN($G59+1,15))</f>
        <v/>
      </c>
      <c r="D59" s="9">
        <f>IF($C59=$B59,0,($A59-$B59)/($C59-$B59))</f>
        <v/>
      </c>
      <c r="E59" s="10">
        <f>INDEX(Quotes!$B$5:$B$19,$G59)+$D59*(INDEX(Quotes!$B$5:$B$19,MIN($G59+1,15))-INDEX(Quotes!$B$5:$B$19,$G59))</f>
        <v/>
      </c>
      <c r="F59" s="4">
        <f>IF(COUNTIF(Quotes!$C$5:$C$19,$A59)&gt;0,"quote","interp")</f>
        <v/>
      </c>
      <c r="G59" s="4">
        <f>MATCH($A59,Quotes!$C$5:$C$19,1)</f>
        <v/>
      </c>
    </row>
    <row r="60">
      <c r="A60" s="6" t="n">
        <v>14.5</v>
      </c>
      <c r="B60" s="6">
        <f>INDEX(Quotes!$C$5:$C$19,$G60)</f>
        <v/>
      </c>
      <c r="C60" s="6">
        <f>INDEX(Quotes!$C$5:$C$19,MIN($G60+1,15))</f>
        <v/>
      </c>
      <c r="D60" s="9">
        <f>IF($C60=$B60,0,($A60-$B60)/($C60-$B60))</f>
        <v/>
      </c>
      <c r="E60" s="10">
        <f>INDEX(Quotes!$B$5:$B$19,$G60)+$D60*(INDEX(Quotes!$B$5:$B$19,MIN($G60+1,15))-INDEX(Quotes!$B$5:$B$19,$G60))</f>
        <v/>
      </c>
      <c r="F60" s="4">
        <f>IF(COUNTIF(Quotes!$C$5:$C$19,$A60)&gt;0,"quote","interp")</f>
        <v/>
      </c>
      <c r="G60" s="4">
        <f>MATCH($A60,Quotes!$C$5:$C$19,1)</f>
        <v/>
      </c>
    </row>
    <row r="61">
      <c r="A61" s="6" t="n">
        <v>14.75</v>
      </c>
      <c r="B61" s="6">
        <f>INDEX(Quotes!$C$5:$C$19,$G61)</f>
        <v/>
      </c>
      <c r="C61" s="6">
        <f>INDEX(Quotes!$C$5:$C$19,MIN($G61+1,15))</f>
        <v/>
      </c>
      <c r="D61" s="9">
        <f>IF($C61=$B61,0,($A61-$B61)/($C61-$B61))</f>
        <v/>
      </c>
      <c r="E61" s="10">
        <f>INDEX(Quotes!$B$5:$B$19,$G61)+$D61*(INDEX(Quotes!$B$5:$B$19,MIN($G61+1,15))-INDEX(Quotes!$B$5:$B$19,$G61))</f>
        <v/>
      </c>
      <c r="F61" s="4">
        <f>IF(COUNTIF(Quotes!$C$5:$C$19,$A61)&gt;0,"quote","interp")</f>
        <v/>
      </c>
      <c r="G61" s="4">
        <f>MATCH($A61,Quotes!$C$5:$C$19,1)</f>
        <v/>
      </c>
    </row>
    <row r="62">
      <c r="A62" s="6" t="n">
        <v>15</v>
      </c>
      <c r="B62" s="6">
        <f>INDEX(Quotes!$C$5:$C$19,$G62)</f>
        <v/>
      </c>
      <c r="C62" s="6">
        <f>INDEX(Quotes!$C$5:$C$19,MIN($G62+1,15))</f>
        <v/>
      </c>
      <c r="D62" s="9">
        <f>IF($C62=$B62,0,($A62-$B62)/($C62-$B62))</f>
        <v/>
      </c>
      <c r="E62" s="10">
        <f>INDEX(Quotes!$B$5:$B$19,$G62)+$D62*(INDEX(Quotes!$B$5:$B$19,MIN($G62+1,15))-INDEX(Quotes!$B$5:$B$19,$G62))</f>
        <v/>
      </c>
      <c r="F62" s="4">
        <f>IF(COUNTIF(Quotes!$C$5:$C$19,$A62)&gt;0,"quote","interp")</f>
        <v/>
      </c>
      <c r="G62" s="4">
        <f>MATCH($A62,Quotes!$C$5:$C$19,1)</f>
        <v/>
      </c>
    </row>
    <row r="63">
      <c r="A63" s="6" t="n">
        <v>15.25</v>
      </c>
      <c r="B63" s="6">
        <f>INDEX(Quotes!$C$5:$C$19,$G63)</f>
        <v/>
      </c>
      <c r="C63" s="6">
        <f>INDEX(Quotes!$C$5:$C$19,MIN($G63+1,15))</f>
        <v/>
      </c>
      <c r="D63" s="9">
        <f>IF($C63=$B63,0,($A63-$B63)/($C63-$B63))</f>
        <v/>
      </c>
      <c r="E63" s="10">
        <f>INDEX(Quotes!$B$5:$B$19,$G63)+$D63*(INDEX(Quotes!$B$5:$B$19,MIN($G63+1,15))-INDEX(Quotes!$B$5:$B$19,$G63))</f>
        <v/>
      </c>
      <c r="F63" s="4">
        <f>IF(COUNTIF(Quotes!$C$5:$C$19,$A63)&gt;0,"quote","interp")</f>
        <v/>
      </c>
      <c r="G63" s="4">
        <f>MATCH($A63,Quotes!$C$5:$C$19,1)</f>
        <v/>
      </c>
    </row>
    <row r="64">
      <c r="A64" s="6" t="n">
        <v>15.5</v>
      </c>
      <c r="B64" s="6">
        <f>INDEX(Quotes!$C$5:$C$19,$G64)</f>
        <v/>
      </c>
      <c r="C64" s="6">
        <f>INDEX(Quotes!$C$5:$C$19,MIN($G64+1,15))</f>
        <v/>
      </c>
      <c r="D64" s="9">
        <f>IF($C64=$B64,0,($A64-$B64)/($C64-$B64))</f>
        <v/>
      </c>
      <c r="E64" s="10">
        <f>INDEX(Quotes!$B$5:$B$19,$G64)+$D64*(INDEX(Quotes!$B$5:$B$19,MIN($G64+1,15))-INDEX(Quotes!$B$5:$B$19,$G64))</f>
        <v/>
      </c>
      <c r="F64" s="4">
        <f>IF(COUNTIF(Quotes!$C$5:$C$19,$A64)&gt;0,"quote","interp")</f>
        <v/>
      </c>
      <c r="G64" s="4">
        <f>MATCH($A64,Quotes!$C$5:$C$19,1)</f>
        <v/>
      </c>
    </row>
    <row r="65">
      <c r="A65" s="6" t="n">
        <v>15.75</v>
      </c>
      <c r="B65" s="6">
        <f>INDEX(Quotes!$C$5:$C$19,$G65)</f>
        <v/>
      </c>
      <c r="C65" s="6">
        <f>INDEX(Quotes!$C$5:$C$19,MIN($G65+1,15))</f>
        <v/>
      </c>
      <c r="D65" s="9">
        <f>IF($C65=$B65,0,($A65-$B65)/($C65-$B65))</f>
        <v/>
      </c>
      <c r="E65" s="10">
        <f>INDEX(Quotes!$B$5:$B$19,$G65)+$D65*(INDEX(Quotes!$B$5:$B$19,MIN($G65+1,15))-INDEX(Quotes!$B$5:$B$19,$G65))</f>
        <v/>
      </c>
      <c r="F65" s="4">
        <f>IF(COUNTIF(Quotes!$C$5:$C$19,$A65)&gt;0,"quote","interp")</f>
        <v/>
      </c>
      <c r="G65" s="4">
        <f>MATCH($A65,Quotes!$C$5:$C$19,1)</f>
        <v/>
      </c>
    </row>
    <row r="66">
      <c r="A66" s="6" t="n">
        <v>16</v>
      </c>
      <c r="B66" s="6">
        <f>INDEX(Quotes!$C$5:$C$19,$G66)</f>
        <v/>
      </c>
      <c r="C66" s="6">
        <f>INDEX(Quotes!$C$5:$C$19,MIN($G66+1,15))</f>
        <v/>
      </c>
      <c r="D66" s="9">
        <f>IF($C66=$B66,0,($A66-$B66)/($C66-$B66))</f>
        <v/>
      </c>
      <c r="E66" s="10">
        <f>INDEX(Quotes!$B$5:$B$19,$G66)+$D66*(INDEX(Quotes!$B$5:$B$19,MIN($G66+1,15))-INDEX(Quotes!$B$5:$B$19,$G66))</f>
        <v/>
      </c>
      <c r="F66" s="4">
        <f>IF(COUNTIF(Quotes!$C$5:$C$19,$A66)&gt;0,"quote","interp")</f>
        <v/>
      </c>
      <c r="G66" s="4">
        <f>MATCH($A66,Quotes!$C$5:$C$19,1)</f>
        <v/>
      </c>
    </row>
    <row r="67">
      <c r="A67" s="6" t="n">
        <v>16.25</v>
      </c>
      <c r="B67" s="6">
        <f>INDEX(Quotes!$C$5:$C$19,$G67)</f>
        <v/>
      </c>
      <c r="C67" s="6">
        <f>INDEX(Quotes!$C$5:$C$19,MIN($G67+1,15))</f>
        <v/>
      </c>
      <c r="D67" s="9">
        <f>IF($C67=$B67,0,($A67-$B67)/($C67-$B67))</f>
        <v/>
      </c>
      <c r="E67" s="10">
        <f>INDEX(Quotes!$B$5:$B$19,$G67)+$D67*(INDEX(Quotes!$B$5:$B$19,MIN($G67+1,15))-INDEX(Quotes!$B$5:$B$19,$G67))</f>
        <v/>
      </c>
      <c r="F67" s="4">
        <f>IF(COUNTIF(Quotes!$C$5:$C$19,$A67)&gt;0,"quote","interp")</f>
        <v/>
      </c>
      <c r="G67" s="4">
        <f>MATCH($A67,Quotes!$C$5:$C$19,1)</f>
        <v/>
      </c>
    </row>
    <row r="68">
      <c r="A68" s="6" t="n">
        <v>16.5</v>
      </c>
      <c r="B68" s="6">
        <f>INDEX(Quotes!$C$5:$C$19,$G68)</f>
        <v/>
      </c>
      <c r="C68" s="6">
        <f>INDEX(Quotes!$C$5:$C$19,MIN($G68+1,15))</f>
        <v/>
      </c>
      <c r="D68" s="9">
        <f>IF($C68=$B68,0,($A68-$B68)/($C68-$B68))</f>
        <v/>
      </c>
      <c r="E68" s="10">
        <f>INDEX(Quotes!$B$5:$B$19,$G68)+$D68*(INDEX(Quotes!$B$5:$B$19,MIN($G68+1,15))-INDEX(Quotes!$B$5:$B$19,$G68))</f>
        <v/>
      </c>
      <c r="F68" s="4">
        <f>IF(COUNTIF(Quotes!$C$5:$C$19,$A68)&gt;0,"quote","interp")</f>
        <v/>
      </c>
      <c r="G68" s="4">
        <f>MATCH($A68,Quotes!$C$5:$C$19,1)</f>
        <v/>
      </c>
    </row>
    <row r="69">
      <c r="A69" s="6" t="n">
        <v>16.75</v>
      </c>
      <c r="B69" s="6">
        <f>INDEX(Quotes!$C$5:$C$19,$G69)</f>
        <v/>
      </c>
      <c r="C69" s="6">
        <f>INDEX(Quotes!$C$5:$C$19,MIN($G69+1,15))</f>
        <v/>
      </c>
      <c r="D69" s="9">
        <f>IF($C69=$B69,0,($A69-$B69)/($C69-$B69))</f>
        <v/>
      </c>
      <c r="E69" s="10">
        <f>INDEX(Quotes!$B$5:$B$19,$G69)+$D69*(INDEX(Quotes!$B$5:$B$19,MIN($G69+1,15))-INDEX(Quotes!$B$5:$B$19,$G69))</f>
        <v/>
      </c>
      <c r="F69" s="4">
        <f>IF(COUNTIF(Quotes!$C$5:$C$19,$A69)&gt;0,"quote","interp")</f>
        <v/>
      </c>
      <c r="G69" s="4">
        <f>MATCH($A69,Quotes!$C$5:$C$19,1)</f>
        <v/>
      </c>
    </row>
    <row r="70">
      <c r="A70" s="6" t="n">
        <v>17</v>
      </c>
      <c r="B70" s="6">
        <f>INDEX(Quotes!$C$5:$C$19,$G70)</f>
        <v/>
      </c>
      <c r="C70" s="6">
        <f>INDEX(Quotes!$C$5:$C$19,MIN($G70+1,15))</f>
        <v/>
      </c>
      <c r="D70" s="9">
        <f>IF($C70=$B70,0,($A70-$B70)/($C70-$B70))</f>
        <v/>
      </c>
      <c r="E70" s="10">
        <f>INDEX(Quotes!$B$5:$B$19,$G70)+$D70*(INDEX(Quotes!$B$5:$B$19,MIN($G70+1,15))-INDEX(Quotes!$B$5:$B$19,$G70))</f>
        <v/>
      </c>
      <c r="F70" s="4">
        <f>IF(COUNTIF(Quotes!$C$5:$C$19,$A70)&gt;0,"quote","interp")</f>
        <v/>
      </c>
      <c r="G70" s="4">
        <f>MATCH($A70,Quotes!$C$5:$C$19,1)</f>
        <v/>
      </c>
    </row>
    <row r="71">
      <c r="A71" s="6" t="n">
        <v>17.25</v>
      </c>
      <c r="B71" s="6">
        <f>INDEX(Quotes!$C$5:$C$19,$G71)</f>
        <v/>
      </c>
      <c r="C71" s="6">
        <f>INDEX(Quotes!$C$5:$C$19,MIN($G71+1,15))</f>
        <v/>
      </c>
      <c r="D71" s="9">
        <f>IF($C71=$B71,0,($A71-$B71)/($C71-$B71))</f>
        <v/>
      </c>
      <c r="E71" s="10">
        <f>INDEX(Quotes!$B$5:$B$19,$G71)+$D71*(INDEX(Quotes!$B$5:$B$19,MIN($G71+1,15))-INDEX(Quotes!$B$5:$B$19,$G71))</f>
        <v/>
      </c>
      <c r="F71" s="4">
        <f>IF(COUNTIF(Quotes!$C$5:$C$19,$A71)&gt;0,"quote","interp")</f>
        <v/>
      </c>
      <c r="G71" s="4">
        <f>MATCH($A71,Quotes!$C$5:$C$19,1)</f>
        <v/>
      </c>
    </row>
    <row r="72">
      <c r="A72" s="6" t="n">
        <v>17.5</v>
      </c>
      <c r="B72" s="6">
        <f>INDEX(Quotes!$C$5:$C$19,$G72)</f>
        <v/>
      </c>
      <c r="C72" s="6">
        <f>INDEX(Quotes!$C$5:$C$19,MIN($G72+1,15))</f>
        <v/>
      </c>
      <c r="D72" s="9">
        <f>IF($C72=$B72,0,($A72-$B72)/($C72-$B72))</f>
        <v/>
      </c>
      <c r="E72" s="10">
        <f>INDEX(Quotes!$B$5:$B$19,$G72)+$D72*(INDEX(Quotes!$B$5:$B$19,MIN($G72+1,15))-INDEX(Quotes!$B$5:$B$19,$G72))</f>
        <v/>
      </c>
      <c r="F72" s="4">
        <f>IF(COUNTIF(Quotes!$C$5:$C$19,$A72)&gt;0,"quote","interp")</f>
        <v/>
      </c>
      <c r="G72" s="4">
        <f>MATCH($A72,Quotes!$C$5:$C$19,1)</f>
        <v/>
      </c>
    </row>
    <row r="73">
      <c r="A73" s="6" t="n">
        <v>17.75</v>
      </c>
      <c r="B73" s="6">
        <f>INDEX(Quotes!$C$5:$C$19,$G73)</f>
        <v/>
      </c>
      <c r="C73" s="6">
        <f>INDEX(Quotes!$C$5:$C$19,MIN($G73+1,15))</f>
        <v/>
      </c>
      <c r="D73" s="9">
        <f>IF($C73=$B73,0,($A73-$B73)/($C73-$B73))</f>
        <v/>
      </c>
      <c r="E73" s="10">
        <f>INDEX(Quotes!$B$5:$B$19,$G73)+$D73*(INDEX(Quotes!$B$5:$B$19,MIN($G73+1,15))-INDEX(Quotes!$B$5:$B$19,$G73))</f>
        <v/>
      </c>
      <c r="F73" s="4">
        <f>IF(COUNTIF(Quotes!$C$5:$C$19,$A73)&gt;0,"quote","interp")</f>
        <v/>
      </c>
      <c r="G73" s="4">
        <f>MATCH($A73,Quotes!$C$5:$C$19,1)</f>
        <v/>
      </c>
    </row>
    <row r="74">
      <c r="A74" s="6" t="n">
        <v>18</v>
      </c>
      <c r="B74" s="6">
        <f>INDEX(Quotes!$C$5:$C$19,$G74)</f>
        <v/>
      </c>
      <c r="C74" s="6">
        <f>INDEX(Quotes!$C$5:$C$19,MIN($G74+1,15))</f>
        <v/>
      </c>
      <c r="D74" s="9">
        <f>IF($C74=$B74,0,($A74-$B74)/($C74-$B74))</f>
        <v/>
      </c>
      <c r="E74" s="10">
        <f>INDEX(Quotes!$B$5:$B$19,$G74)+$D74*(INDEX(Quotes!$B$5:$B$19,MIN($G74+1,15))-INDEX(Quotes!$B$5:$B$19,$G74))</f>
        <v/>
      </c>
      <c r="F74" s="4">
        <f>IF(COUNTIF(Quotes!$C$5:$C$19,$A74)&gt;0,"quote","interp")</f>
        <v/>
      </c>
      <c r="G74" s="4">
        <f>MATCH($A74,Quotes!$C$5:$C$19,1)</f>
        <v/>
      </c>
    </row>
    <row r="75">
      <c r="A75" s="6" t="n">
        <v>18.25</v>
      </c>
      <c r="B75" s="6">
        <f>INDEX(Quotes!$C$5:$C$19,$G75)</f>
        <v/>
      </c>
      <c r="C75" s="6">
        <f>INDEX(Quotes!$C$5:$C$19,MIN($G75+1,15))</f>
        <v/>
      </c>
      <c r="D75" s="9">
        <f>IF($C75=$B75,0,($A75-$B75)/($C75-$B75))</f>
        <v/>
      </c>
      <c r="E75" s="10">
        <f>INDEX(Quotes!$B$5:$B$19,$G75)+$D75*(INDEX(Quotes!$B$5:$B$19,MIN($G75+1,15))-INDEX(Quotes!$B$5:$B$19,$G75))</f>
        <v/>
      </c>
      <c r="F75" s="4">
        <f>IF(COUNTIF(Quotes!$C$5:$C$19,$A75)&gt;0,"quote","interp")</f>
        <v/>
      </c>
      <c r="G75" s="4">
        <f>MATCH($A75,Quotes!$C$5:$C$19,1)</f>
        <v/>
      </c>
    </row>
    <row r="76">
      <c r="A76" s="6" t="n">
        <v>18.5</v>
      </c>
      <c r="B76" s="6">
        <f>INDEX(Quotes!$C$5:$C$19,$G76)</f>
        <v/>
      </c>
      <c r="C76" s="6">
        <f>INDEX(Quotes!$C$5:$C$19,MIN($G76+1,15))</f>
        <v/>
      </c>
      <c r="D76" s="9">
        <f>IF($C76=$B76,0,($A76-$B76)/($C76-$B76))</f>
        <v/>
      </c>
      <c r="E76" s="10">
        <f>INDEX(Quotes!$B$5:$B$19,$G76)+$D76*(INDEX(Quotes!$B$5:$B$19,MIN($G76+1,15))-INDEX(Quotes!$B$5:$B$19,$G76))</f>
        <v/>
      </c>
      <c r="F76" s="4">
        <f>IF(COUNTIF(Quotes!$C$5:$C$19,$A76)&gt;0,"quote","interp")</f>
        <v/>
      </c>
      <c r="G76" s="4">
        <f>MATCH($A76,Quotes!$C$5:$C$19,1)</f>
        <v/>
      </c>
    </row>
    <row r="77">
      <c r="A77" s="6" t="n">
        <v>18.75</v>
      </c>
      <c r="B77" s="6">
        <f>INDEX(Quotes!$C$5:$C$19,$G77)</f>
        <v/>
      </c>
      <c r="C77" s="6">
        <f>INDEX(Quotes!$C$5:$C$19,MIN($G77+1,15))</f>
        <v/>
      </c>
      <c r="D77" s="9">
        <f>IF($C77=$B77,0,($A77-$B77)/($C77-$B77))</f>
        <v/>
      </c>
      <c r="E77" s="10">
        <f>INDEX(Quotes!$B$5:$B$19,$G77)+$D77*(INDEX(Quotes!$B$5:$B$19,MIN($G77+1,15))-INDEX(Quotes!$B$5:$B$19,$G77))</f>
        <v/>
      </c>
      <c r="F77" s="4">
        <f>IF(COUNTIF(Quotes!$C$5:$C$19,$A77)&gt;0,"quote","interp")</f>
        <v/>
      </c>
      <c r="G77" s="4">
        <f>MATCH($A77,Quotes!$C$5:$C$19,1)</f>
        <v/>
      </c>
    </row>
    <row r="78">
      <c r="A78" s="6" t="n">
        <v>19</v>
      </c>
      <c r="B78" s="6">
        <f>INDEX(Quotes!$C$5:$C$19,$G78)</f>
        <v/>
      </c>
      <c r="C78" s="6">
        <f>INDEX(Quotes!$C$5:$C$19,MIN($G78+1,15))</f>
        <v/>
      </c>
      <c r="D78" s="9">
        <f>IF($C78=$B78,0,($A78-$B78)/($C78-$B78))</f>
        <v/>
      </c>
      <c r="E78" s="10">
        <f>INDEX(Quotes!$B$5:$B$19,$G78)+$D78*(INDEX(Quotes!$B$5:$B$19,MIN($G78+1,15))-INDEX(Quotes!$B$5:$B$19,$G78))</f>
        <v/>
      </c>
      <c r="F78" s="4">
        <f>IF(COUNTIF(Quotes!$C$5:$C$19,$A78)&gt;0,"quote","interp")</f>
        <v/>
      </c>
      <c r="G78" s="4">
        <f>MATCH($A78,Quotes!$C$5:$C$19,1)</f>
        <v/>
      </c>
    </row>
    <row r="79">
      <c r="A79" s="6" t="n">
        <v>19.25</v>
      </c>
      <c r="B79" s="6">
        <f>INDEX(Quotes!$C$5:$C$19,$G79)</f>
        <v/>
      </c>
      <c r="C79" s="6">
        <f>INDEX(Quotes!$C$5:$C$19,MIN($G79+1,15))</f>
        <v/>
      </c>
      <c r="D79" s="9">
        <f>IF($C79=$B79,0,($A79-$B79)/($C79-$B79))</f>
        <v/>
      </c>
      <c r="E79" s="10">
        <f>INDEX(Quotes!$B$5:$B$19,$G79)+$D79*(INDEX(Quotes!$B$5:$B$19,MIN($G79+1,15))-INDEX(Quotes!$B$5:$B$19,$G79))</f>
        <v/>
      </c>
      <c r="F79" s="4">
        <f>IF(COUNTIF(Quotes!$C$5:$C$19,$A79)&gt;0,"quote","interp")</f>
        <v/>
      </c>
      <c r="G79" s="4">
        <f>MATCH($A79,Quotes!$C$5:$C$19,1)</f>
        <v/>
      </c>
    </row>
    <row r="80">
      <c r="A80" s="6" t="n">
        <v>19.5</v>
      </c>
      <c r="B80" s="6">
        <f>INDEX(Quotes!$C$5:$C$19,$G80)</f>
        <v/>
      </c>
      <c r="C80" s="6">
        <f>INDEX(Quotes!$C$5:$C$19,MIN($G80+1,15))</f>
        <v/>
      </c>
      <c r="D80" s="9">
        <f>IF($C80=$B80,0,($A80-$B80)/($C80-$B80))</f>
        <v/>
      </c>
      <c r="E80" s="10">
        <f>INDEX(Quotes!$B$5:$B$19,$G80)+$D80*(INDEX(Quotes!$B$5:$B$19,MIN($G80+1,15))-INDEX(Quotes!$B$5:$B$19,$G80))</f>
        <v/>
      </c>
      <c r="F80" s="4">
        <f>IF(COUNTIF(Quotes!$C$5:$C$19,$A80)&gt;0,"quote","interp")</f>
        <v/>
      </c>
      <c r="G80" s="4">
        <f>MATCH($A80,Quotes!$C$5:$C$19,1)</f>
        <v/>
      </c>
    </row>
    <row r="81">
      <c r="A81" s="6" t="n">
        <v>19.75</v>
      </c>
      <c r="B81" s="6">
        <f>INDEX(Quotes!$C$5:$C$19,$G81)</f>
        <v/>
      </c>
      <c r="C81" s="6">
        <f>INDEX(Quotes!$C$5:$C$19,MIN($G81+1,15))</f>
        <v/>
      </c>
      <c r="D81" s="9">
        <f>IF($C81=$B81,0,($A81-$B81)/($C81-$B81))</f>
        <v/>
      </c>
      <c r="E81" s="10">
        <f>INDEX(Quotes!$B$5:$B$19,$G81)+$D81*(INDEX(Quotes!$B$5:$B$19,MIN($G81+1,15))-INDEX(Quotes!$B$5:$B$19,$G81))</f>
        <v/>
      </c>
      <c r="F81" s="4">
        <f>IF(COUNTIF(Quotes!$C$5:$C$19,$A81)&gt;0,"quote","interp")</f>
        <v/>
      </c>
      <c r="G81" s="4">
        <f>MATCH($A81,Quotes!$C$5:$C$19,1)</f>
        <v/>
      </c>
    </row>
    <row r="82">
      <c r="A82" s="6" t="n">
        <v>20</v>
      </c>
      <c r="B82" s="6">
        <f>INDEX(Quotes!$C$5:$C$19,$G82)</f>
        <v/>
      </c>
      <c r="C82" s="6">
        <f>INDEX(Quotes!$C$5:$C$19,MIN($G82+1,15))</f>
        <v/>
      </c>
      <c r="D82" s="9">
        <f>IF($C82=$B82,0,($A82-$B82)/($C82-$B82))</f>
        <v/>
      </c>
      <c r="E82" s="10">
        <f>INDEX(Quotes!$B$5:$B$19,$G82)+$D82*(INDEX(Quotes!$B$5:$B$19,MIN($G82+1,15))-INDEX(Quotes!$B$5:$B$19,$G82))</f>
        <v/>
      </c>
      <c r="F82" s="4">
        <f>IF(COUNTIF(Quotes!$C$5:$C$19,$A82)&gt;0,"quote","interp")</f>
        <v/>
      </c>
      <c r="G82" s="4">
        <f>MATCH($A82,Quotes!$C$5:$C$19,1)</f>
        <v/>
      </c>
    </row>
    <row r="83">
      <c r="A83" s="6" t="n">
        <v>20.25</v>
      </c>
      <c r="B83" s="6">
        <f>INDEX(Quotes!$C$5:$C$19,$G83)</f>
        <v/>
      </c>
      <c r="C83" s="6">
        <f>INDEX(Quotes!$C$5:$C$19,MIN($G83+1,15))</f>
        <v/>
      </c>
      <c r="D83" s="9">
        <f>IF($C83=$B83,0,($A83-$B83)/($C83-$B83))</f>
        <v/>
      </c>
      <c r="E83" s="10">
        <f>INDEX(Quotes!$B$5:$B$19,$G83)+$D83*(INDEX(Quotes!$B$5:$B$19,MIN($G83+1,15))-INDEX(Quotes!$B$5:$B$19,$G83))</f>
        <v/>
      </c>
      <c r="F83" s="4">
        <f>IF(COUNTIF(Quotes!$C$5:$C$19,$A83)&gt;0,"quote","interp")</f>
        <v/>
      </c>
      <c r="G83" s="4">
        <f>MATCH($A83,Quotes!$C$5:$C$19,1)</f>
        <v/>
      </c>
    </row>
    <row r="84">
      <c r="A84" s="6" t="n">
        <v>20.5</v>
      </c>
      <c r="B84" s="6">
        <f>INDEX(Quotes!$C$5:$C$19,$G84)</f>
        <v/>
      </c>
      <c r="C84" s="6">
        <f>INDEX(Quotes!$C$5:$C$19,MIN($G84+1,15))</f>
        <v/>
      </c>
      <c r="D84" s="9">
        <f>IF($C84=$B84,0,($A84-$B84)/($C84-$B84))</f>
        <v/>
      </c>
      <c r="E84" s="10">
        <f>INDEX(Quotes!$B$5:$B$19,$G84)+$D84*(INDEX(Quotes!$B$5:$B$19,MIN($G84+1,15))-INDEX(Quotes!$B$5:$B$19,$G84))</f>
        <v/>
      </c>
      <c r="F84" s="4">
        <f>IF(COUNTIF(Quotes!$C$5:$C$19,$A84)&gt;0,"quote","interp")</f>
        <v/>
      </c>
      <c r="G84" s="4">
        <f>MATCH($A84,Quotes!$C$5:$C$19,1)</f>
        <v/>
      </c>
    </row>
    <row r="85">
      <c r="A85" s="6" t="n">
        <v>20.75</v>
      </c>
      <c r="B85" s="6">
        <f>INDEX(Quotes!$C$5:$C$19,$G85)</f>
        <v/>
      </c>
      <c r="C85" s="6">
        <f>INDEX(Quotes!$C$5:$C$19,MIN($G85+1,15))</f>
        <v/>
      </c>
      <c r="D85" s="9">
        <f>IF($C85=$B85,0,($A85-$B85)/($C85-$B85))</f>
        <v/>
      </c>
      <c r="E85" s="10">
        <f>INDEX(Quotes!$B$5:$B$19,$G85)+$D85*(INDEX(Quotes!$B$5:$B$19,MIN($G85+1,15))-INDEX(Quotes!$B$5:$B$19,$G85))</f>
        <v/>
      </c>
      <c r="F85" s="4">
        <f>IF(COUNTIF(Quotes!$C$5:$C$19,$A85)&gt;0,"quote","interp")</f>
        <v/>
      </c>
      <c r="G85" s="4">
        <f>MATCH($A85,Quotes!$C$5:$C$19,1)</f>
        <v/>
      </c>
    </row>
    <row r="86">
      <c r="A86" s="6" t="n">
        <v>21</v>
      </c>
      <c r="B86" s="6">
        <f>INDEX(Quotes!$C$5:$C$19,$G86)</f>
        <v/>
      </c>
      <c r="C86" s="6">
        <f>INDEX(Quotes!$C$5:$C$19,MIN($G86+1,15))</f>
        <v/>
      </c>
      <c r="D86" s="9">
        <f>IF($C86=$B86,0,($A86-$B86)/($C86-$B86))</f>
        <v/>
      </c>
      <c r="E86" s="10">
        <f>INDEX(Quotes!$B$5:$B$19,$G86)+$D86*(INDEX(Quotes!$B$5:$B$19,MIN($G86+1,15))-INDEX(Quotes!$B$5:$B$19,$G86))</f>
        <v/>
      </c>
      <c r="F86" s="4">
        <f>IF(COUNTIF(Quotes!$C$5:$C$19,$A86)&gt;0,"quote","interp")</f>
        <v/>
      </c>
      <c r="G86" s="4">
        <f>MATCH($A86,Quotes!$C$5:$C$19,1)</f>
        <v/>
      </c>
    </row>
    <row r="87">
      <c r="A87" s="6" t="n">
        <v>21.25</v>
      </c>
      <c r="B87" s="6">
        <f>INDEX(Quotes!$C$5:$C$19,$G87)</f>
        <v/>
      </c>
      <c r="C87" s="6">
        <f>INDEX(Quotes!$C$5:$C$19,MIN($G87+1,15))</f>
        <v/>
      </c>
      <c r="D87" s="9">
        <f>IF($C87=$B87,0,($A87-$B87)/($C87-$B87))</f>
        <v/>
      </c>
      <c r="E87" s="10">
        <f>INDEX(Quotes!$B$5:$B$19,$G87)+$D87*(INDEX(Quotes!$B$5:$B$19,MIN($G87+1,15))-INDEX(Quotes!$B$5:$B$19,$G87))</f>
        <v/>
      </c>
      <c r="F87" s="4">
        <f>IF(COUNTIF(Quotes!$C$5:$C$19,$A87)&gt;0,"quote","interp")</f>
        <v/>
      </c>
      <c r="G87" s="4">
        <f>MATCH($A87,Quotes!$C$5:$C$19,1)</f>
        <v/>
      </c>
    </row>
    <row r="88">
      <c r="A88" s="6" t="n">
        <v>21.5</v>
      </c>
      <c r="B88" s="6">
        <f>INDEX(Quotes!$C$5:$C$19,$G88)</f>
        <v/>
      </c>
      <c r="C88" s="6">
        <f>INDEX(Quotes!$C$5:$C$19,MIN($G88+1,15))</f>
        <v/>
      </c>
      <c r="D88" s="9">
        <f>IF($C88=$B88,0,($A88-$B88)/($C88-$B88))</f>
        <v/>
      </c>
      <c r="E88" s="10">
        <f>INDEX(Quotes!$B$5:$B$19,$G88)+$D88*(INDEX(Quotes!$B$5:$B$19,MIN($G88+1,15))-INDEX(Quotes!$B$5:$B$19,$G88))</f>
        <v/>
      </c>
      <c r="F88" s="4">
        <f>IF(COUNTIF(Quotes!$C$5:$C$19,$A88)&gt;0,"quote","interp")</f>
        <v/>
      </c>
      <c r="G88" s="4">
        <f>MATCH($A88,Quotes!$C$5:$C$19,1)</f>
        <v/>
      </c>
    </row>
    <row r="89">
      <c r="A89" s="6" t="n">
        <v>21.75</v>
      </c>
      <c r="B89" s="6">
        <f>INDEX(Quotes!$C$5:$C$19,$G89)</f>
        <v/>
      </c>
      <c r="C89" s="6">
        <f>INDEX(Quotes!$C$5:$C$19,MIN($G89+1,15))</f>
        <v/>
      </c>
      <c r="D89" s="9">
        <f>IF($C89=$B89,0,($A89-$B89)/($C89-$B89))</f>
        <v/>
      </c>
      <c r="E89" s="10">
        <f>INDEX(Quotes!$B$5:$B$19,$G89)+$D89*(INDEX(Quotes!$B$5:$B$19,MIN($G89+1,15))-INDEX(Quotes!$B$5:$B$19,$G89))</f>
        <v/>
      </c>
      <c r="F89" s="4">
        <f>IF(COUNTIF(Quotes!$C$5:$C$19,$A89)&gt;0,"quote","interp")</f>
        <v/>
      </c>
      <c r="G89" s="4">
        <f>MATCH($A89,Quotes!$C$5:$C$19,1)</f>
        <v/>
      </c>
    </row>
    <row r="90">
      <c r="A90" s="6" t="n">
        <v>22</v>
      </c>
      <c r="B90" s="6">
        <f>INDEX(Quotes!$C$5:$C$19,$G90)</f>
        <v/>
      </c>
      <c r="C90" s="6">
        <f>INDEX(Quotes!$C$5:$C$19,MIN($G90+1,15))</f>
        <v/>
      </c>
      <c r="D90" s="9">
        <f>IF($C90=$B90,0,($A90-$B90)/($C90-$B90))</f>
        <v/>
      </c>
      <c r="E90" s="10">
        <f>INDEX(Quotes!$B$5:$B$19,$G90)+$D90*(INDEX(Quotes!$B$5:$B$19,MIN($G90+1,15))-INDEX(Quotes!$B$5:$B$19,$G90))</f>
        <v/>
      </c>
      <c r="F90" s="4">
        <f>IF(COUNTIF(Quotes!$C$5:$C$19,$A90)&gt;0,"quote","interp")</f>
        <v/>
      </c>
      <c r="G90" s="4">
        <f>MATCH($A90,Quotes!$C$5:$C$19,1)</f>
        <v/>
      </c>
    </row>
    <row r="91">
      <c r="A91" s="6" t="n">
        <v>22.25</v>
      </c>
      <c r="B91" s="6">
        <f>INDEX(Quotes!$C$5:$C$19,$G91)</f>
        <v/>
      </c>
      <c r="C91" s="6">
        <f>INDEX(Quotes!$C$5:$C$19,MIN($G91+1,15))</f>
        <v/>
      </c>
      <c r="D91" s="9">
        <f>IF($C91=$B91,0,($A91-$B91)/($C91-$B91))</f>
        <v/>
      </c>
      <c r="E91" s="10">
        <f>INDEX(Quotes!$B$5:$B$19,$G91)+$D91*(INDEX(Quotes!$B$5:$B$19,MIN($G91+1,15))-INDEX(Quotes!$B$5:$B$19,$G91))</f>
        <v/>
      </c>
      <c r="F91" s="4">
        <f>IF(COUNTIF(Quotes!$C$5:$C$19,$A91)&gt;0,"quote","interp")</f>
        <v/>
      </c>
      <c r="G91" s="4">
        <f>MATCH($A91,Quotes!$C$5:$C$19,1)</f>
        <v/>
      </c>
    </row>
    <row r="92">
      <c r="A92" s="6" t="n">
        <v>22.5</v>
      </c>
      <c r="B92" s="6">
        <f>INDEX(Quotes!$C$5:$C$19,$G92)</f>
        <v/>
      </c>
      <c r="C92" s="6">
        <f>INDEX(Quotes!$C$5:$C$19,MIN($G92+1,15))</f>
        <v/>
      </c>
      <c r="D92" s="9">
        <f>IF($C92=$B92,0,($A92-$B92)/($C92-$B92))</f>
        <v/>
      </c>
      <c r="E92" s="10">
        <f>INDEX(Quotes!$B$5:$B$19,$G92)+$D92*(INDEX(Quotes!$B$5:$B$19,MIN($G92+1,15))-INDEX(Quotes!$B$5:$B$19,$G92))</f>
        <v/>
      </c>
      <c r="F92" s="4">
        <f>IF(COUNTIF(Quotes!$C$5:$C$19,$A92)&gt;0,"quote","interp")</f>
        <v/>
      </c>
      <c r="G92" s="4">
        <f>MATCH($A92,Quotes!$C$5:$C$19,1)</f>
        <v/>
      </c>
    </row>
    <row r="93">
      <c r="A93" s="6" t="n">
        <v>22.75</v>
      </c>
      <c r="B93" s="6">
        <f>INDEX(Quotes!$C$5:$C$19,$G93)</f>
        <v/>
      </c>
      <c r="C93" s="6">
        <f>INDEX(Quotes!$C$5:$C$19,MIN($G93+1,15))</f>
        <v/>
      </c>
      <c r="D93" s="9">
        <f>IF($C93=$B93,0,($A93-$B93)/($C93-$B93))</f>
        <v/>
      </c>
      <c r="E93" s="10">
        <f>INDEX(Quotes!$B$5:$B$19,$G93)+$D93*(INDEX(Quotes!$B$5:$B$19,MIN($G93+1,15))-INDEX(Quotes!$B$5:$B$19,$G93))</f>
        <v/>
      </c>
      <c r="F93" s="4">
        <f>IF(COUNTIF(Quotes!$C$5:$C$19,$A93)&gt;0,"quote","interp")</f>
        <v/>
      </c>
      <c r="G93" s="4">
        <f>MATCH($A93,Quotes!$C$5:$C$19,1)</f>
        <v/>
      </c>
    </row>
    <row r="94">
      <c r="A94" s="6" t="n">
        <v>23</v>
      </c>
      <c r="B94" s="6">
        <f>INDEX(Quotes!$C$5:$C$19,$G94)</f>
        <v/>
      </c>
      <c r="C94" s="6">
        <f>INDEX(Quotes!$C$5:$C$19,MIN($G94+1,15))</f>
        <v/>
      </c>
      <c r="D94" s="9">
        <f>IF($C94=$B94,0,($A94-$B94)/($C94-$B94))</f>
        <v/>
      </c>
      <c r="E94" s="10">
        <f>INDEX(Quotes!$B$5:$B$19,$G94)+$D94*(INDEX(Quotes!$B$5:$B$19,MIN($G94+1,15))-INDEX(Quotes!$B$5:$B$19,$G94))</f>
        <v/>
      </c>
      <c r="F94" s="4">
        <f>IF(COUNTIF(Quotes!$C$5:$C$19,$A94)&gt;0,"quote","interp")</f>
        <v/>
      </c>
      <c r="G94" s="4">
        <f>MATCH($A94,Quotes!$C$5:$C$19,1)</f>
        <v/>
      </c>
    </row>
    <row r="95">
      <c r="A95" s="6" t="n">
        <v>23.25</v>
      </c>
      <c r="B95" s="6">
        <f>INDEX(Quotes!$C$5:$C$19,$G95)</f>
        <v/>
      </c>
      <c r="C95" s="6">
        <f>INDEX(Quotes!$C$5:$C$19,MIN($G95+1,15))</f>
        <v/>
      </c>
      <c r="D95" s="9">
        <f>IF($C95=$B95,0,($A95-$B95)/($C95-$B95))</f>
        <v/>
      </c>
      <c r="E95" s="10">
        <f>INDEX(Quotes!$B$5:$B$19,$G95)+$D95*(INDEX(Quotes!$B$5:$B$19,MIN($G95+1,15))-INDEX(Quotes!$B$5:$B$19,$G95))</f>
        <v/>
      </c>
      <c r="F95" s="4">
        <f>IF(COUNTIF(Quotes!$C$5:$C$19,$A95)&gt;0,"quote","interp")</f>
        <v/>
      </c>
      <c r="G95" s="4">
        <f>MATCH($A95,Quotes!$C$5:$C$19,1)</f>
        <v/>
      </c>
    </row>
    <row r="96">
      <c r="A96" s="6" t="n">
        <v>23.5</v>
      </c>
      <c r="B96" s="6">
        <f>INDEX(Quotes!$C$5:$C$19,$G96)</f>
        <v/>
      </c>
      <c r="C96" s="6">
        <f>INDEX(Quotes!$C$5:$C$19,MIN($G96+1,15))</f>
        <v/>
      </c>
      <c r="D96" s="9">
        <f>IF($C96=$B96,0,($A96-$B96)/($C96-$B96))</f>
        <v/>
      </c>
      <c r="E96" s="10">
        <f>INDEX(Quotes!$B$5:$B$19,$G96)+$D96*(INDEX(Quotes!$B$5:$B$19,MIN($G96+1,15))-INDEX(Quotes!$B$5:$B$19,$G96))</f>
        <v/>
      </c>
      <c r="F96" s="4">
        <f>IF(COUNTIF(Quotes!$C$5:$C$19,$A96)&gt;0,"quote","interp")</f>
        <v/>
      </c>
      <c r="G96" s="4">
        <f>MATCH($A96,Quotes!$C$5:$C$19,1)</f>
        <v/>
      </c>
    </row>
    <row r="97">
      <c r="A97" s="6" t="n">
        <v>23.75</v>
      </c>
      <c r="B97" s="6">
        <f>INDEX(Quotes!$C$5:$C$19,$G97)</f>
        <v/>
      </c>
      <c r="C97" s="6">
        <f>INDEX(Quotes!$C$5:$C$19,MIN($G97+1,15))</f>
        <v/>
      </c>
      <c r="D97" s="9">
        <f>IF($C97=$B97,0,($A97-$B97)/($C97-$B97))</f>
        <v/>
      </c>
      <c r="E97" s="10">
        <f>INDEX(Quotes!$B$5:$B$19,$G97)+$D97*(INDEX(Quotes!$B$5:$B$19,MIN($G97+1,15))-INDEX(Quotes!$B$5:$B$19,$G97))</f>
        <v/>
      </c>
      <c r="F97" s="4">
        <f>IF(COUNTIF(Quotes!$C$5:$C$19,$A97)&gt;0,"quote","interp")</f>
        <v/>
      </c>
      <c r="G97" s="4">
        <f>MATCH($A97,Quotes!$C$5:$C$19,1)</f>
        <v/>
      </c>
    </row>
    <row r="98">
      <c r="A98" s="6" t="n">
        <v>24</v>
      </c>
      <c r="B98" s="6">
        <f>INDEX(Quotes!$C$5:$C$19,$G98)</f>
        <v/>
      </c>
      <c r="C98" s="6">
        <f>INDEX(Quotes!$C$5:$C$19,MIN($G98+1,15))</f>
        <v/>
      </c>
      <c r="D98" s="9">
        <f>IF($C98=$B98,0,($A98-$B98)/($C98-$B98))</f>
        <v/>
      </c>
      <c r="E98" s="10">
        <f>INDEX(Quotes!$B$5:$B$19,$G98)+$D98*(INDEX(Quotes!$B$5:$B$19,MIN($G98+1,15))-INDEX(Quotes!$B$5:$B$19,$G98))</f>
        <v/>
      </c>
      <c r="F98" s="4">
        <f>IF(COUNTIF(Quotes!$C$5:$C$19,$A98)&gt;0,"quote","interp")</f>
        <v/>
      </c>
      <c r="G98" s="4">
        <f>MATCH($A98,Quotes!$C$5:$C$19,1)</f>
        <v/>
      </c>
    </row>
    <row r="99">
      <c r="A99" s="6" t="n">
        <v>24.25</v>
      </c>
      <c r="B99" s="6">
        <f>INDEX(Quotes!$C$5:$C$19,$G99)</f>
        <v/>
      </c>
      <c r="C99" s="6">
        <f>INDEX(Quotes!$C$5:$C$19,MIN($G99+1,15))</f>
        <v/>
      </c>
      <c r="D99" s="9">
        <f>IF($C99=$B99,0,($A99-$B99)/($C99-$B99))</f>
        <v/>
      </c>
      <c r="E99" s="10">
        <f>INDEX(Quotes!$B$5:$B$19,$G99)+$D99*(INDEX(Quotes!$B$5:$B$19,MIN($G99+1,15))-INDEX(Quotes!$B$5:$B$19,$G99))</f>
        <v/>
      </c>
      <c r="F99" s="4">
        <f>IF(COUNTIF(Quotes!$C$5:$C$19,$A99)&gt;0,"quote","interp")</f>
        <v/>
      </c>
      <c r="G99" s="4">
        <f>MATCH($A99,Quotes!$C$5:$C$19,1)</f>
        <v/>
      </c>
    </row>
    <row r="100">
      <c r="A100" s="6" t="n">
        <v>24.5</v>
      </c>
      <c r="B100" s="6">
        <f>INDEX(Quotes!$C$5:$C$19,$G100)</f>
        <v/>
      </c>
      <c r="C100" s="6">
        <f>INDEX(Quotes!$C$5:$C$19,MIN($G100+1,15))</f>
        <v/>
      </c>
      <c r="D100" s="9">
        <f>IF($C100=$B100,0,($A100-$B100)/($C100-$B100))</f>
        <v/>
      </c>
      <c r="E100" s="10">
        <f>INDEX(Quotes!$B$5:$B$19,$G100)+$D100*(INDEX(Quotes!$B$5:$B$19,MIN($G100+1,15))-INDEX(Quotes!$B$5:$B$19,$G100))</f>
        <v/>
      </c>
      <c r="F100" s="4">
        <f>IF(COUNTIF(Quotes!$C$5:$C$19,$A100)&gt;0,"quote","interp")</f>
        <v/>
      </c>
      <c r="G100" s="4">
        <f>MATCH($A100,Quotes!$C$5:$C$19,1)</f>
        <v/>
      </c>
    </row>
    <row r="101">
      <c r="A101" s="6" t="n">
        <v>24.75</v>
      </c>
      <c r="B101" s="6">
        <f>INDEX(Quotes!$C$5:$C$19,$G101)</f>
        <v/>
      </c>
      <c r="C101" s="6">
        <f>INDEX(Quotes!$C$5:$C$19,MIN($G101+1,15))</f>
        <v/>
      </c>
      <c r="D101" s="9">
        <f>IF($C101=$B101,0,($A101-$B101)/($C101-$B101))</f>
        <v/>
      </c>
      <c r="E101" s="10">
        <f>INDEX(Quotes!$B$5:$B$19,$G101)+$D101*(INDEX(Quotes!$B$5:$B$19,MIN($G101+1,15))-INDEX(Quotes!$B$5:$B$19,$G101))</f>
        <v/>
      </c>
      <c r="F101" s="4">
        <f>IF(COUNTIF(Quotes!$C$5:$C$19,$A101)&gt;0,"quote","interp")</f>
        <v/>
      </c>
      <c r="G101" s="4">
        <f>MATCH($A101,Quotes!$C$5:$C$19,1)</f>
        <v/>
      </c>
    </row>
    <row r="102">
      <c r="A102" s="6" t="n">
        <v>25</v>
      </c>
      <c r="B102" s="6">
        <f>INDEX(Quotes!$C$5:$C$19,$G102)</f>
        <v/>
      </c>
      <c r="C102" s="6">
        <f>INDEX(Quotes!$C$5:$C$19,MIN($G102+1,15))</f>
        <v/>
      </c>
      <c r="D102" s="9">
        <f>IF($C102=$B102,0,($A102-$B102)/($C102-$B102))</f>
        <v/>
      </c>
      <c r="E102" s="10">
        <f>INDEX(Quotes!$B$5:$B$19,$G102)+$D102*(INDEX(Quotes!$B$5:$B$19,MIN($G102+1,15))-INDEX(Quotes!$B$5:$B$19,$G102))</f>
        <v/>
      </c>
      <c r="F102" s="4">
        <f>IF(COUNTIF(Quotes!$C$5:$C$19,$A102)&gt;0,"quote","interp")</f>
        <v/>
      </c>
      <c r="G102" s="4">
        <f>MATCH($A102,Quotes!$C$5:$C$19,1)</f>
        <v/>
      </c>
    </row>
    <row r="103">
      <c r="A103" s="6" t="n">
        <v>25.25</v>
      </c>
      <c r="B103" s="6">
        <f>INDEX(Quotes!$C$5:$C$19,$G103)</f>
        <v/>
      </c>
      <c r="C103" s="6">
        <f>INDEX(Quotes!$C$5:$C$19,MIN($G103+1,15))</f>
        <v/>
      </c>
      <c r="D103" s="9">
        <f>IF($C103=$B103,0,($A103-$B103)/($C103-$B103))</f>
        <v/>
      </c>
      <c r="E103" s="10">
        <f>INDEX(Quotes!$B$5:$B$19,$G103)+$D103*(INDEX(Quotes!$B$5:$B$19,MIN($G103+1,15))-INDEX(Quotes!$B$5:$B$19,$G103))</f>
        <v/>
      </c>
      <c r="F103" s="4">
        <f>IF(COUNTIF(Quotes!$C$5:$C$19,$A103)&gt;0,"quote","interp")</f>
        <v/>
      </c>
      <c r="G103" s="4">
        <f>MATCH($A103,Quotes!$C$5:$C$19,1)</f>
        <v/>
      </c>
    </row>
    <row r="104">
      <c r="A104" s="6" t="n">
        <v>25.5</v>
      </c>
      <c r="B104" s="6">
        <f>INDEX(Quotes!$C$5:$C$19,$G104)</f>
        <v/>
      </c>
      <c r="C104" s="6">
        <f>INDEX(Quotes!$C$5:$C$19,MIN($G104+1,15))</f>
        <v/>
      </c>
      <c r="D104" s="9">
        <f>IF($C104=$B104,0,($A104-$B104)/($C104-$B104))</f>
        <v/>
      </c>
      <c r="E104" s="10">
        <f>INDEX(Quotes!$B$5:$B$19,$G104)+$D104*(INDEX(Quotes!$B$5:$B$19,MIN($G104+1,15))-INDEX(Quotes!$B$5:$B$19,$G104))</f>
        <v/>
      </c>
      <c r="F104" s="4">
        <f>IF(COUNTIF(Quotes!$C$5:$C$19,$A104)&gt;0,"quote","interp")</f>
        <v/>
      </c>
      <c r="G104" s="4">
        <f>MATCH($A104,Quotes!$C$5:$C$19,1)</f>
        <v/>
      </c>
    </row>
    <row r="105">
      <c r="A105" s="6" t="n">
        <v>25.75</v>
      </c>
      <c r="B105" s="6">
        <f>INDEX(Quotes!$C$5:$C$19,$G105)</f>
        <v/>
      </c>
      <c r="C105" s="6">
        <f>INDEX(Quotes!$C$5:$C$19,MIN($G105+1,15))</f>
        <v/>
      </c>
      <c r="D105" s="9">
        <f>IF($C105=$B105,0,($A105-$B105)/($C105-$B105))</f>
        <v/>
      </c>
      <c r="E105" s="10">
        <f>INDEX(Quotes!$B$5:$B$19,$G105)+$D105*(INDEX(Quotes!$B$5:$B$19,MIN($G105+1,15))-INDEX(Quotes!$B$5:$B$19,$G105))</f>
        <v/>
      </c>
      <c r="F105" s="4">
        <f>IF(COUNTIF(Quotes!$C$5:$C$19,$A105)&gt;0,"quote","interp")</f>
        <v/>
      </c>
      <c r="G105" s="4">
        <f>MATCH($A105,Quotes!$C$5:$C$19,1)</f>
        <v/>
      </c>
    </row>
    <row r="106">
      <c r="A106" s="6" t="n">
        <v>26</v>
      </c>
      <c r="B106" s="6">
        <f>INDEX(Quotes!$C$5:$C$19,$G106)</f>
        <v/>
      </c>
      <c r="C106" s="6">
        <f>INDEX(Quotes!$C$5:$C$19,MIN($G106+1,15))</f>
        <v/>
      </c>
      <c r="D106" s="9">
        <f>IF($C106=$B106,0,($A106-$B106)/($C106-$B106))</f>
        <v/>
      </c>
      <c r="E106" s="10">
        <f>INDEX(Quotes!$B$5:$B$19,$G106)+$D106*(INDEX(Quotes!$B$5:$B$19,MIN($G106+1,15))-INDEX(Quotes!$B$5:$B$19,$G106))</f>
        <v/>
      </c>
      <c r="F106" s="4">
        <f>IF(COUNTIF(Quotes!$C$5:$C$19,$A106)&gt;0,"quote","interp")</f>
        <v/>
      </c>
      <c r="G106" s="4">
        <f>MATCH($A106,Quotes!$C$5:$C$19,1)</f>
        <v/>
      </c>
    </row>
    <row r="107">
      <c r="A107" s="6" t="n">
        <v>26.25</v>
      </c>
      <c r="B107" s="6">
        <f>INDEX(Quotes!$C$5:$C$19,$G107)</f>
        <v/>
      </c>
      <c r="C107" s="6">
        <f>INDEX(Quotes!$C$5:$C$19,MIN($G107+1,15))</f>
        <v/>
      </c>
      <c r="D107" s="9">
        <f>IF($C107=$B107,0,($A107-$B107)/($C107-$B107))</f>
        <v/>
      </c>
      <c r="E107" s="10">
        <f>INDEX(Quotes!$B$5:$B$19,$G107)+$D107*(INDEX(Quotes!$B$5:$B$19,MIN($G107+1,15))-INDEX(Quotes!$B$5:$B$19,$G107))</f>
        <v/>
      </c>
      <c r="F107" s="4">
        <f>IF(COUNTIF(Quotes!$C$5:$C$19,$A107)&gt;0,"quote","interp")</f>
        <v/>
      </c>
      <c r="G107" s="4">
        <f>MATCH($A107,Quotes!$C$5:$C$19,1)</f>
        <v/>
      </c>
    </row>
    <row r="108">
      <c r="A108" s="6" t="n">
        <v>26.5</v>
      </c>
      <c r="B108" s="6">
        <f>INDEX(Quotes!$C$5:$C$19,$G108)</f>
        <v/>
      </c>
      <c r="C108" s="6">
        <f>INDEX(Quotes!$C$5:$C$19,MIN($G108+1,15))</f>
        <v/>
      </c>
      <c r="D108" s="9">
        <f>IF($C108=$B108,0,($A108-$B108)/($C108-$B108))</f>
        <v/>
      </c>
      <c r="E108" s="10">
        <f>INDEX(Quotes!$B$5:$B$19,$G108)+$D108*(INDEX(Quotes!$B$5:$B$19,MIN($G108+1,15))-INDEX(Quotes!$B$5:$B$19,$G108))</f>
        <v/>
      </c>
      <c r="F108" s="4">
        <f>IF(COUNTIF(Quotes!$C$5:$C$19,$A108)&gt;0,"quote","interp")</f>
        <v/>
      </c>
      <c r="G108" s="4">
        <f>MATCH($A108,Quotes!$C$5:$C$19,1)</f>
        <v/>
      </c>
    </row>
    <row r="109">
      <c r="A109" s="6" t="n">
        <v>26.75</v>
      </c>
      <c r="B109" s="6">
        <f>INDEX(Quotes!$C$5:$C$19,$G109)</f>
        <v/>
      </c>
      <c r="C109" s="6">
        <f>INDEX(Quotes!$C$5:$C$19,MIN($G109+1,15))</f>
        <v/>
      </c>
      <c r="D109" s="9">
        <f>IF($C109=$B109,0,($A109-$B109)/($C109-$B109))</f>
        <v/>
      </c>
      <c r="E109" s="10">
        <f>INDEX(Quotes!$B$5:$B$19,$G109)+$D109*(INDEX(Quotes!$B$5:$B$19,MIN($G109+1,15))-INDEX(Quotes!$B$5:$B$19,$G109))</f>
        <v/>
      </c>
      <c r="F109" s="4">
        <f>IF(COUNTIF(Quotes!$C$5:$C$19,$A109)&gt;0,"quote","interp")</f>
        <v/>
      </c>
      <c r="G109" s="4">
        <f>MATCH($A109,Quotes!$C$5:$C$19,1)</f>
        <v/>
      </c>
    </row>
    <row r="110">
      <c r="A110" s="6" t="n">
        <v>27</v>
      </c>
      <c r="B110" s="6">
        <f>INDEX(Quotes!$C$5:$C$19,$G110)</f>
        <v/>
      </c>
      <c r="C110" s="6">
        <f>INDEX(Quotes!$C$5:$C$19,MIN($G110+1,15))</f>
        <v/>
      </c>
      <c r="D110" s="9">
        <f>IF($C110=$B110,0,($A110-$B110)/($C110-$B110))</f>
        <v/>
      </c>
      <c r="E110" s="10">
        <f>INDEX(Quotes!$B$5:$B$19,$G110)+$D110*(INDEX(Quotes!$B$5:$B$19,MIN($G110+1,15))-INDEX(Quotes!$B$5:$B$19,$G110))</f>
        <v/>
      </c>
      <c r="F110" s="4">
        <f>IF(COUNTIF(Quotes!$C$5:$C$19,$A110)&gt;0,"quote","interp")</f>
        <v/>
      </c>
      <c r="G110" s="4">
        <f>MATCH($A110,Quotes!$C$5:$C$19,1)</f>
        <v/>
      </c>
    </row>
    <row r="111">
      <c r="A111" s="6" t="n">
        <v>27.25</v>
      </c>
      <c r="B111" s="6">
        <f>INDEX(Quotes!$C$5:$C$19,$G111)</f>
        <v/>
      </c>
      <c r="C111" s="6">
        <f>INDEX(Quotes!$C$5:$C$19,MIN($G111+1,15))</f>
        <v/>
      </c>
      <c r="D111" s="9">
        <f>IF($C111=$B111,0,($A111-$B111)/($C111-$B111))</f>
        <v/>
      </c>
      <c r="E111" s="10">
        <f>INDEX(Quotes!$B$5:$B$19,$G111)+$D111*(INDEX(Quotes!$B$5:$B$19,MIN($G111+1,15))-INDEX(Quotes!$B$5:$B$19,$G111))</f>
        <v/>
      </c>
      <c r="F111" s="4">
        <f>IF(COUNTIF(Quotes!$C$5:$C$19,$A111)&gt;0,"quote","interp")</f>
        <v/>
      </c>
      <c r="G111" s="4">
        <f>MATCH($A111,Quotes!$C$5:$C$19,1)</f>
        <v/>
      </c>
    </row>
    <row r="112">
      <c r="A112" s="6" t="n">
        <v>27.5</v>
      </c>
      <c r="B112" s="6">
        <f>INDEX(Quotes!$C$5:$C$19,$G112)</f>
        <v/>
      </c>
      <c r="C112" s="6">
        <f>INDEX(Quotes!$C$5:$C$19,MIN($G112+1,15))</f>
        <v/>
      </c>
      <c r="D112" s="9">
        <f>IF($C112=$B112,0,($A112-$B112)/($C112-$B112))</f>
        <v/>
      </c>
      <c r="E112" s="10">
        <f>INDEX(Quotes!$B$5:$B$19,$G112)+$D112*(INDEX(Quotes!$B$5:$B$19,MIN($G112+1,15))-INDEX(Quotes!$B$5:$B$19,$G112))</f>
        <v/>
      </c>
      <c r="F112" s="4">
        <f>IF(COUNTIF(Quotes!$C$5:$C$19,$A112)&gt;0,"quote","interp")</f>
        <v/>
      </c>
      <c r="G112" s="4">
        <f>MATCH($A112,Quotes!$C$5:$C$19,1)</f>
        <v/>
      </c>
    </row>
    <row r="113">
      <c r="A113" s="6" t="n">
        <v>27.75</v>
      </c>
      <c r="B113" s="6">
        <f>INDEX(Quotes!$C$5:$C$19,$G113)</f>
        <v/>
      </c>
      <c r="C113" s="6">
        <f>INDEX(Quotes!$C$5:$C$19,MIN($G113+1,15))</f>
        <v/>
      </c>
      <c r="D113" s="9">
        <f>IF($C113=$B113,0,($A113-$B113)/($C113-$B113))</f>
        <v/>
      </c>
      <c r="E113" s="10">
        <f>INDEX(Quotes!$B$5:$B$19,$G113)+$D113*(INDEX(Quotes!$B$5:$B$19,MIN($G113+1,15))-INDEX(Quotes!$B$5:$B$19,$G113))</f>
        <v/>
      </c>
      <c r="F113" s="4">
        <f>IF(COUNTIF(Quotes!$C$5:$C$19,$A113)&gt;0,"quote","interp")</f>
        <v/>
      </c>
      <c r="G113" s="4">
        <f>MATCH($A113,Quotes!$C$5:$C$19,1)</f>
        <v/>
      </c>
    </row>
    <row r="114">
      <c r="A114" s="6" t="n">
        <v>28</v>
      </c>
      <c r="B114" s="6">
        <f>INDEX(Quotes!$C$5:$C$19,$G114)</f>
        <v/>
      </c>
      <c r="C114" s="6">
        <f>INDEX(Quotes!$C$5:$C$19,MIN($G114+1,15))</f>
        <v/>
      </c>
      <c r="D114" s="9">
        <f>IF($C114=$B114,0,($A114-$B114)/($C114-$B114))</f>
        <v/>
      </c>
      <c r="E114" s="10">
        <f>INDEX(Quotes!$B$5:$B$19,$G114)+$D114*(INDEX(Quotes!$B$5:$B$19,MIN($G114+1,15))-INDEX(Quotes!$B$5:$B$19,$G114))</f>
        <v/>
      </c>
      <c r="F114" s="4">
        <f>IF(COUNTIF(Quotes!$C$5:$C$19,$A114)&gt;0,"quote","interp")</f>
        <v/>
      </c>
      <c r="G114" s="4">
        <f>MATCH($A114,Quotes!$C$5:$C$19,1)</f>
        <v/>
      </c>
    </row>
    <row r="115">
      <c r="A115" s="6" t="n">
        <v>28.25</v>
      </c>
      <c r="B115" s="6">
        <f>INDEX(Quotes!$C$5:$C$19,$G115)</f>
        <v/>
      </c>
      <c r="C115" s="6">
        <f>INDEX(Quotes!$C$5:$C$19,MIN($G115+1,15))</f>
        <v/>
      </c>
      <c r="D115" s="9">
        <f>IF($C115=$B115,0,($A115-$B115)/($C115-$B115))</f>
        <v/>
      </c>
      <c r="E115" s="10">
        <f>INDEX(Quotes!$B$5:$B$19,$G115)+$D115*(INDEX(Quotes!$B$5:$B$19,MIN($G115+1,15))-INDEX(Quotes!$B$5:$B$19,$G115))</f>
        <v/>
      </c>
      <c r="F115" s="4">
        <f>IF(COUNTIF(Quotes!$C$5:$C$19,$A115)&gt;0,"quote","interp")</f>
        <v/>
      </c>
      <c r="G115" s="4">
        <f>MATCH($A115,Quotes!$C$5:$C$19,1)</f>
        <v/>
      </c>
    </row>
    <row r="116">
      <c r="A116" s="6" t="n">
        <v>28.5</v>
      </c>
      <c r="B116" s="6">
        <f>INDEX(Quotes!$C$5:$C$19,$G116)</f>
        <v/>
      </c>
      <c r="C116" s="6">
        <f>INDEX(Quotes!$C$5:$C$19,MIN($G116+1,15))</f>
        <v/>
      </c>
      <c r="D116" s="9">
        <f>IF($C116=$B116,0,($A116-$B116)/($C116-$B116))</f>
        <v/>
      </c>
      <c r="E116" s="10">
        <f>INDEX(Quotes!$B$5:$B$19,$G116)+$D116*(INDEX(Quotes!$B$5:$B$19,MIN($G116+1,15))-INDEX(Quotes!$B$5:$B$19,$G116))</f>
        <v/>
      </c>
      <c r="F116" s="4">
        <f>IF(COUNTIF(Quotes!$C$5:$C$19,$A116)&gt;0,"quote","interp")</f>
        <v/>
      </c>
      <c r="G116" s="4">
        <f>MATCH($A116,Quotes!$C$5:$C$19,1)</f>
        <v/>
      </c>
    </row>
    <row r="117">
      <c r="A117" s="6" t="n">
        <v>28.75</v>
      </c>
      <c r="B117" s="6">
        <f>INDEX(Quotes!$C$5:$C$19,$G117)</f>
        <v/>
      </c>
      <c r="C117" s="6">
        <f>INDEX(Quotes!$C$5:$C$19,MIN($G117+1,15))</f>
        <v/>
      </c>
      <c r="D117" s="9">
        <f>IF($C117=$B117,0,($A117-$B117)/($C117-$B117))</f>
        <v/>
      </c>
      <c r="E117" s="10">
        <f>INDEX(Quotes!$B$5:$B$19,$G117)+$D117*(INDEX(Quotes!$B$5:$B$19,MIN($G117+1,15))-INDEX(Quotes!$B$5:$B$19,$G117))</f>
        <v/>
      </c>
      <c r="F117" s="4">
        <f>IF(COUNTIF(Quotes!$C$5:$C$19,$A117)&gt;0,"quote","interp")</f>
        <v/>
      </c>
      <c r="G117" s="4">
        <f>MATCH($A117,Quotes!$C$5:$C$19,1)</f>
        <v/>
      </c>
    </row>
    <row r="118">
      <c r="A118" s="6" t="n">
        <v>29</v>
      </c>
      <c r="B118" s="6">
        <f>INDEX(Quotes!$C$5:$C$19,$G118)</f>
        <v/>
      </c>
      <c r="C118" s="6">
        <f>INDEX(Quotes!$C$5:$C$19,MIN($G118+1,15))</f>
        <v/>
      </c>
      <c r="D118" s="9">
        <f>IF($C118=$B118,0,($A118-$B118)/($C118-$B118))</f>
        <v/>
      </c>
      <c r="E118" s="10">
        <f>INDEX(Quotes!$B$5:$B$19,$G118)+$D118*(INDEX(Quotes!$B$5:$B$19,MIN($G118+1,15))-INDEX(Quotes!$B$5:$B$19,$G118))</f>
        <v/>
      </c>
      <c r="F118" s="4">
        <f>IF(COUNTIF(Quotes!$C$5:$C$19,$A118)&gt;0,"quote","interp")</f>
        <v/>
      </c>
      <c r="G118" s="4">
        <f>MATCH($A118,Quotes!$C$5:$C$19,1)</f>
        <v/>
      </c>
    </row>
    <row r="119">
      <c r="A119" s="6" t="n">
        <v>29.25</v>
      </c>
      <c r="B119" s="6">
        <f>INDEX(Quotes!$C$5:$C$19,$G119)</f>
        <v/>
      </c>
      <c r="C119" s="6">
        <f>INDEX(Quotes!$C$5:$C$19,MIN($G119+1,15))</f>
        <v/>
      </c>
      <c r="D119" s="9">
        <f>IF($C119=$B119,0,($A119-$B119)/($C119-$B119))</f>
        <v/>
      </c>
      <c r="E119" s="10">
        <f>INDEX(Quotes!$B$5:$B$19,$G119)+$D119*(INDEX(Quotes!$B$5:$B$19,MIN($G119+1,15))-INDEX(Quotes!$B$5:$B$19,$G119))</f>
        <v/>
      </c>
      <c r="F119" s="4">
        <f>IF(COUNTIF(Quotes!$C$5:$C$19,$A119)&gt;0,"quote","interp")</f>
        <v/>
      </c>
      <c r="G119" s="4">
        <f>MATCH($A119,Quotes!$C$5:$C$19,1)</f>
        <v/>
      </c>
    </row>
    <row r="120">
      <c r="A120" s="6" t="n">
        <v>29.5</v>
      </c>
      <c r="B120" s="6">
        <f>INDEX(Quotes!$C$5:$C$19,$G120)</f>
        <v/>
      </c>
      <c r="C120" s="6">
        <f>INDEX(Quotes!$C$5:$C$19,MIN($G120+1,15))</f>
        <v/>
      </c>
      <c r="D120" s="9">
        <f>IF($C120=$B120,0,($A120-$B120)/($C120-$B120))</f>
        <v/>
      </c>
      <c r="E120" s="10">
        <f>INDEX(Quotes!$B$5:$B$19,$G120)+$D120*(INDEX(Quotes!$B$5:$B$19,MIN($G120+1,15))-INDEX(Quotes!$B$5:$B$19,$G120))</f>
        <v/>
      </c>
      <c r="F120" s="4">
        <f>IF(COUNTIF(Quotes!$C$5:$C$19,$A120)&gt;0,"quote","interp")</f>
        <v/>
      </c>
      <c r="G120" s="4">
        <f>MATCH($A120,Quotes!$C$5:$C$19,1)</f>
        <v/>
      </c>
    </row>
    <row r="121">
      <c r="A121" s="6" t="n">
        <v>29.75</v>
      </c>
      <c r="B121" s="6">
        <f>INDEX(Quotes!$C$5:$C$19,$G121)</f>
        <v/>
      </c>
      <c r="C121" s="6">
        <f>INDEX(Quotes!$C$5:$C$19,MIN($G121+1,15))</f>
        <v/>
      </c>
      <c r="D121" s="9">
        <f>IF($C121=$B121,0,($A121-$B121)/($C121-$B121))</f>
        <v/>
      </c>
      <c r="E121" s="10">
        <f>INDEX(Quotes!$B$5:$B$19,$G121)+$D121*(INDEX(Quotes!$B$5:$B$19,MIN($G121+1,15))-INDEX(Quotes!$B$5:$B$19,$G121))</f>
        <v/>
      </c>
      <c r="F121" s="4">
        <f>IF(COUNTIF(Quotes!$C$5:$C$19,$A121)&gt;0,"quote","interp")</f>
        <v/>
      </c>
      <c r="G121" s="4">
        <f>MATCH($A121,Quotes!$C$5:$C$19,1)</f>
        <v/>
      </c>
    </row>
    <row r="122">
      <c r="A122" s="6" t="n">
        <v>30</v>
      </c>
      <c r="B122" s="6">
        <f>INDEX(Quotes!$C$5:$C$19,$G122)</f>
        <v/>
      </c>
      <c r="C122" s="6">
        <f>INDEX(Quotes!$C$5:$C$19,MIN($G122+1,15))</f>
        <v/>
      </c>
      <c r="D122" s="9">
        <f>IF($C122=$B122,0,($A122-$B122)/($C122-$B122))</f>
        <v/>
      </c>
      <c r="E122" s="10">
        <f>INDEX(Quotes!$B$5:$B$19,$G122)+$D122*(INDEX(Quotes!$B$5:$B$19,MIN($G122+1,15))-INDEX(Quotes!$B$5:$B$19,$G122))</f>
        <v/>
      </c>
      <c r="F122" s="4">
        <f>IF(COUNTIF(Quotes!$C$5:$C$19,$A122)&gt;0,"quote","interp")</f>
        <v/>
      </c>
      <c r="G122" s="4">
        <f>MATCH($A122,Quotes!$C$5:$C$19,1)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F1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0" customWidth="1" min="3" max="3"/>
    <col width="14" customWidth="1" min="4" max="4"/>
    <col width="9" customWidth="1" min="5" max="5"/>
    <col width="10" customWidth="1" min="6" max="6"/>
  </cols>
  <sheetData>
    <row r="2">
      <c r="A2" s="11" t="inlineStr">
        <is>
          <t>Date</t>
        </is>
      </c>
      <c r="B2" s="11" t="inlineStr">
        <is>
          <t>Year</t>
        </is>
      </c>
      <c r="C2" s="11" t="inlineStr">
        <is>
          <t>Swap %</t>
        </is>
      </c>
      <c r="D2" s="11" t="inlineStr">
        <is>
          <t>DF</t>
        </is>
      </c>
      <c r="E2" s="11" t="inlineStr">
        <is>
          <t>Zero %</t>
        </is>
      </c>
      <c r="F2" s="11" t="inlineStr">
        <is>
          <t>Future %</t>
        </is>
      </c>
    </row>
    <row r="3">
      <c r="A3" s="15">
        <f>EDATE(Quotes!$E$2,3*1)</f>
        <v/>
      </c>
      <c r="B3" s="6">
        <f>Interpolation!A3</f>
        <v/>
      </c>
      <c r="C3" s="12">
        <f>Interpolation!E3</f>
        <v/>
      </c>
      <c r="D3" s="13">
        <f>1/(1+C3*Quotes!$B$2)</f>
        <v/>
      </c>
      <c r="E3" s="10">
        <f>(1/D3-1)/B3</f>
        <v/>
      </c>
      <c r="F3" s="10">
        <f>(1/D3-1)/Quotes!$B$2</f>
        <v/>
      </c>
    </row>
    <row r="4">
      <c r="A4" s="15">
        <f>EDATE(Quotes!$E$2,3*2)</f>
        <v/>
      </c>
      <c r="B4" s="6">
        <f>Interpolation!A4</f>
        <v/>
      </c>
      <c r="C4" s="12">
        <f>Interpolation!E4</f>
        <v/>
      </c>
      <c r="D4" s="13">
        <f>(1-C4*Quotes!$B$2*SUM($D$3:D3))/(1+C4*Quotes!$B$2)</f>
        <v/>
      </c>
      <c r="E4" s="10">
        <f>(1/D4-1)/B4</f>
        <v/>
      </c>
      <c r="F4" s="10">
        <f>(D3/D4-1)/Quotes!$B$2</f>
        <v/>
      </c>
    </row>
    <row r="5">
      <c r="A5" s="15">
        <f>EDATE(Quotes!$E$2,3*3)</f>
        <v/>
      </c>
      <c r="B5" s="6">
        <f>Interpolation!A5</f>
        <v/>
      </c>
      <c r="C5" s="12">
        <f>Interpolation!E5</f>
        <v/>
      </c>
      <c r="D5" s="13">
        <f>(1-C5*Quotes!$B$2*SUM($D$3:D4))/(1+C5*Quotes!$B$2)</f>
        <v/>
      </c>
      <c r="E5" s="10">
        <f>(1/D5-1)/B5</f>
        <v/>
      </c>
      <c r="F5" s="10">
        <f>(D4/D5-1)/Quotes!$B$2</f>
        <v/>
      </c>
    </row>
    <row r="6">
      <c r="A6" s="15">
        <f>EDATE(Quotes!$E$2,3*4)</f>
        <v/>
      </c>
      <c r="B6" s="6">
        <f>Interpolation!A6</f>
        <v/>
      </c>
      <c r="C6" s="12">
        <f>Interpolation!E6</f>
        <v/>
      </c>
      <c r="D6" s="13">
        <f>(1-C6*Quotes!$B$2*SUM($D$3:D5))/(1+C6*Quotes!$B$2)</f>
        <v/>
      </c>
      <c r="E6" s="10">
        <f>(1/D6-1)/B6</f>
        <v/>
      </c>
      <c r="F6" s="10">
        <f>(D5/D6-1)/Quotes!$B$2</f>
        <v/>
      </c>
    </row>
    <row r="7">
      <c r="A7" s="15">
        <f>EDATE(Quotes!$E$2,3*5)</f>
        <v/>
      </c>
      <c r="B7" s="6">
        <f>Interpolation!A7</f>
        <v/>
      </c>
      <c r="C7" s="12">
        <f>Interpolation!E7</f>
        <v/>
      </c>
      <c r="D7" s="13">
        <f>(1-C7*Quotes!$B$2*SUM($D$3:D6))/(1+C7*Quotes!$B$2)</f>
        <v/>
      </c>
      <c r="E7" s="10">
        <f>(1/D7-1)/B7</f>
        <v/>
      </c>
      <c r="F7" s="10">
        <f>(D6/D7-1)/Quotes!$B$2</f>
        <v/>
      </c>
    </row>
    <row r="8">
      <c r="A8" s="15">
        <f>EDATE(Quotes!$E$2,3*6)</f>
        <v/>
      </c>
      <c r="B8" s="6">
        <f>Interpolation!A8</f>
        <v/>
      </c>
      <c r="C8" s="12">
        <f>Interpolation!E8</f>
        <v/>
      </c>
      <c r="D8" s="13">
        <f>(1-C8*Quotes!$B$2*SUM($D$3:D7))/(1+C8*Quotes!$B$2)</f>
        <v/>
      </c>
      <c r="E8" s="10">
        <f>(1/D8-1)/B8</f>
        <v/>
      </c>
      <c r="F8" s="10">
        <f>(D7/D8-1)/Quotes!$B$2</f>
        <v/>
      </c>
    </row>
    <row r="9">
      <c r="A9" s="15">
        <f>EDATE(Quotes!$E$2,3*7)</f>
        <v/>
      </c>
      <c r="B9" s="6">
        <f>Interpolation!A9</f>
        <v/>
      </c>
      <c r="C9" s="12">
        <f>Interpolation!E9</f>
        <v/>
      </c>
      <c r="D9" s="13">
        <f>(1-C9*Quotes!$B$2*SUM($D$3:D8))/(1+C9*Quotes!$B$2)</f>
        <v/>
      </c>
      <c r="E9" s="10">
        <f>(1/D9-1)/B9</f>
        <v/>
      </c>
      <c r="F9" s="10">
        <f>(D8/D9-1)/Quotes!$B$2</f>
        <v/>
      </c>
    </row>
    <row r="10">
      <c r="A10" s="15">
        <f>EDATE(Quotes!$E$2,3*8)</f>
        <v/>
      </c>
      <c r="B10" s="6">
        <f>Interpolation!A10</f>
        <v/>
      </c>
      <c r="C10" s="12">
        <f>Interpolation!E10</f>
        <v/>
      </c>
      <c r="D10" s="13">
        <f>(1-C10*Quotes!$B$2*SUM($D$3:D9))/(1+C10*Quotes!$B$2)</f>
        <v/>
      </c>
      <c r="E10" s="10">
        <f>(1/D10-1)/B10</f>
        <v/>
      </c>
      <c r="F10" s="10">
        <f>(D9/D10-1)/Quotes!$B$2</f>
        <v/>
      </c>
    </row>
    <row r="11">
      <c r="A11" s="15">
        <f>EDATE(Quotes!$E$2,3*9)</f>
        <v/>
      </c>
      <c r="B11" s="6">
        <f>Interpolation!A11</f>
        <v/>
      </c>
      <c r="C11" s="12">
        <f>Interpolation!E11</f>
        <v/>
      </c>
      <c r="D11" s="13">
        <f>(1-C11*Quotes!$B$2*SUM($D$3:D10))/(1+C11*Quotes!$B$2)</f>
        <v/>
      </c>
      <c r="E11" s="10">
        <f>(1/D11-1)/B11</f>
        <v/>
      </c>
      <c r="F11" s="10">
        <f>(D10/D11-1)/Quotes!$B$2</f>
        <v/>
      </c>
    </row>
    <row r="12">
      <c r="A12" s="15">
        <f>EDATE(Quotes!$E$2,3*10)</f>
        <v/>
      </c>
      <c r="B12" s="6">
        <f>Interpolation!A12</f>
        <v/>
      </c>
      <c r="C12" s="12">
        <f>Interpolation!E12</f>
        <v/>
      </c>
      <c r="D12" s="13">
        <f>(1-C12*Quotes!$B$2*SUM($D$3:D11))/(1+C12*Quotes!$B$2)</f>
        <v/>
      </c>
      <c r="E12" s="10">
        <f>(1/D12-1)/B12</f>
        <v/>
      </c>
      <c r="F12" s="10">
        <f>(D11/D12-1)/Quotes!$B$2</f>
        <v/>
      </c>
    </row>
    <row r="13">
      <c r="A13" s="15">
        <f>EDATE(Quotes!$E$2,3*11)</f>
        <v/>
      </c>
      <c r="B13" s="6">
        <f>Interpolation!A13</f>
        <v/>
      </c>
      <c r="C13" s="12">
        <f>Interpolation!E13</f>
        <v/>
      </c>
      <c r="D13" s="13">
        <f>(1-C13*Quotes!$B$2*SUM($D$3:D12))/(1+C13*Quotes!$B$2)</f>
        <v/>
      </c>
      <c r="E13" s="10">
        <f>(1/D13-1)/B13</f>
        <v/>
      </c>
      <c r="F13" s="10">
        <f>(D12/D13-1)/Quotes!$B$2</f>
        <v/>
      </c>
    </row>
    <row r="14">
      <c r="A14" s="15">
        <f>EDATE(Quotes!$E$2,3*12)</f>
        <v/>
      </c>
      <c r="B14" s="6">
        <f>Interpolation!A14</f>
        <v/>
      </c>
      <c r="C14" s="12">
        <f>Interpolation!E14</f>
        <v/>
      </c>
      <c r="D14" s="13">
        <f>(1-C14*Quotes!$B$2*SUM($D$3:D13))/(1+C14*Quotes!$B$2)</f>
        <v/>
      </c>
      <c r="E14" s="10">
        <f>(1/D14-1)/B14</f>
        <v/>
      </c>
      <c r="F14" s="10">
        <f>(D13/D14-1)/Quotes!$B$2</f>
        <v/>
      </c>
    </row>
    <row r="15">
      <c r="A15" s="15">
        <f>EDATE(Quotes!$E$2,3*13)</f>
        <v/>
      </c>
      <c r="B15" s="6">
        <f>Interpolation!A15</f>
        <v/>
      </c>
      <c r="C15" s="12">
        <f>Interpolation!E15</f>
        <v/>
      </c>
      <c r="D15" s="13">
        <f>(1-C15*Quotes!$B$2*SUM($D$3:D14))/(1+C15*Quotes!$B$2)</f>
        <v/>
      </c>
      <c r="E15" s="10">
        <f>(1/D15-1)/B15</f>
        <v/>
      </c>
      <c r="F15" s="10">
        <f>(D14/D15-1)/Quotes!$B$2</f>
        <v/>
      </c>
    </row>
    <row r="16">
      <c r="A16" s="15">
        <f>EDATE(Quotes!$E$2,3*14)</f>
        <v/>
      </c>
      <c r="B16" s="6">
        <f>Interpolation!A16</f>
        <v/>
      </c>
      <c r="C16" s="12">
        <f>Interpolation!E16</f>
        <v/>
      </c>
      <c r="D16" s="13">
        <f>(1-C16*Quotes!$B$2*SUM($D$3:D15))/(1+C16*Quotes!$B$2)</f>
        <v/>
      </c>
      <c r="E16" s="10">
        <f>(1/D16-1)/B16</f>
        <v/>
      </c>
      <c r="F16" s="10">
        <f>(D15/D16-1)/Quotes!$B$2</f>
        <v/>
      </c>
    </row>
    <row r="17">
      <c r="A17" s="15">
        <f>EDATE(Quotes!$E$2,3*15)</f>
        <v/>
      </c>
      <c r="B17" s="6">
        <f>Interpolation!A17</f>
        <v/>
      </c>
      <c r="C17" s="12">
        <f>Interpolation!E17</f>
        <v/>
      </c>
      <c r="D17" s="13">
        <f>(1-C17*Quotes!$B$2*SUM($D$3:D16))/(1+C17*Quotes!$B$2)</f>
        <v/>
      </c>
      <c r="E17" s="10">
        <f>(1/D17-1)/B17</f>
        <v/>
      </c>
      <c r="F17" s="10">
        <f>(D16/D17-1)/Quotes!$B$2</f>
        <v/>
      </c>
    </row>
    <row r="18">
      <c r="A18" s="15">
        <f>EDATE(Quotes!$E$2,3*16)</f>
        <v/>
      </c>
      <c r="B18" s="6">
        <f>Interpolation!A18</f>
        <v/>
      </c>
      <c r="C18" s="12">
        <f>Interpolation!E18</f>
        <v/>
      </c>
      <c r="D18" s="13">
        <f>(1-C18*Quotes!$B$2*SUM($D$3:D17))/(1+C18*Quotes!$B$2)</f>
        <v/>
      </c>
      <c r="E18" s="10">
        <f>(1/D18-1)/B18</f>
        <v/>
      </c>
      <c r="F18" s="10">
        <f>(D17/D18-1)/Quotes!$B$2</f>
        <v/>
      </c>
    </row>
    <row r="19">
      <c r="A19" s="15">
        <f>EDATE(Quotes!$E$2,3*17)</f>
        <v/>
      </c>
      <c r="B19" s="6">
        <f>Interpolation!A19</f>
        <v/>
      </c>
      <c r="C19" s="12">
        <f>Interpolation!E19</f>
        <v/>
      </c>
      <c r="D19" s="13">
        <f>(1-C19*Quotes!$B$2*SUM($D$3:D18))/(1+C19*Quotes!$B$2)</f>
        <v/>
      </c>
      <c r="E19" s="10">
        <f>(1/D19-1)/B19</f>
        <v/>
      </c>
      <c r="F19" s="10">
        <f>(D18/D19-1)/Quotes!$B$2</f>
        <v/>
      </c>
    </row>
    <row r="20">
      <c r="A20" s="15">
        <f>EDATE(Quotes!$E$2,3*18)</f>
        <v/>
      </c>
      <c r="B20" s="6">
        <f>Interpolation!A20</f>
        <v/>
      </c>
      <c r="C20" s="12">
        <f>Interpolation!E20</f>
        <v/>
      </c>
      <c r="D20" s="13">
        <f>(1-C20*Quotes!$B$2*SUM($D$3:D19))/(1+C20*Quotes!$B$2)</f>
        <v/>
      </c>
      <c r="E20" s="10">
        <f>(1/D20-1)/B20</f>
        <v/>
      </c>
      <c r="F20" s="10">
        <f>(D19/D20-1)/Quotes!$B$2</f>
        <v/>
      </c>
    </row>
    <row r="21">
      <c r="A21" s="15">
        <f>EDATE(Quotes!$E$2,3*19)</f>
        <v/>
      </c>
      <c r="B21" s="6">
        <f>Interpolation!A21</f>
        <v/>
      </c>
      <c r="C21" s="12">
        <f>Interpolation!E21</f>
        <v/>
      </c>
      <c r="D21" s="13">
        <f>(1-C21*Quotes!$B$2*SUM($D$3:D20))/(1+C21*Quotes!$B$2)</f>
        <v/>
      </c>
      <c r="E21" s="10">
        <f>(1/D21-1)/B21</f>
        <v/>
      </c>
      <c r="F21" s="10">
        <f>(D20/D21-1)/Quotes!$B$2</f>
        <v/>
      </c>
    </row>
    <row r="22">
      <c r="A22" s="15">
        <f>EDATE(Quotes!$E$2,3*20)</f>
        <v/>
      </c>
      <c r="B22" s="6">
        <f>Interpolation!A22</f>
        <v/>
      </c>
      <c r="C22" s="12">
        <f>Interpolation!E22</f>
        <v/>
      </c>
      <c r="D22" s="13">
        <f>(1-C22*Quotes!$B$2*SUM($D$3:D21))/(1+C22*Quotes!$B$2)</f>
        <v/>
      </c>
      <c r="E22" s="10">
        <f>(1/D22-1)/B22</f>
        <v/>
      </c>
      <c r="F22" s="10">
        <f>(D21/D22-1)/Quotes!$B$2</f>
        <v/>
      </c>
    </row>
    <row r="23">
      <c r="A23" s="15">
        <f>EDATE(Quotes!$E$2,3*21)</f>
        <v/>
      </c>
      <c r="B23" s="6">
        <f>Interpolation!A23</f>
        <v/>
      </c>
      <c r="C23" s="12">
        <f>Interpolation!E23</f>
        <v/>
      </c>
      <c r="D23" s="13">
        <f>(1-C23*Quotes!$B$2*SUM($D$3:D22))/(1+C23*Quotes!$B$2)</f>
        <v/>
      </c>
      <c r="E23" s="10">
        <f>(1/D23-1)/B23</f>
        <v/>
      </c>
      <c r="F23" s="10">
        <f>(D22/D23-1)/Quotes!$B$2</f>
        <v/>
      </c>
    </row>
    <row r="24">
      <c r="A24" s="15">
        <f>EDATE(Quotes!$E$2,3*22)</f>
        <v/>
      </c>
      <c r="B24" s="6">
        <f>Interpolation!A24</f>
        <v/>
      </c>
      <c r="C24" s="12">
        <f>Interpolation!E24</f>
        <v/>
      </c>
      <c r="D24" s="13">
        <f>(1-C24*Quotes!$B$2*SUM($D$3:D23))/(1+C24*Quotes!$B$2)</f>
        <v/>
      </c>
      <c r="E24" s="10">
        <f>(1/D24-1)/B24</f>
        <v/>
      </c>
      <c r="F24" s="10">
        <f>(D23/D24-1)/Quotes!$B$2</f>
        <v/>
      </c>
    </row>
    <row r="25">
      <c r="A25" s="15">
        <f>EDATE(Quotes!$E$2,3*23)</f>
        <v/>
      </c>
      <c r="B25" s="6">
        <f>Interpolation!A25</f>
        <v/>
      </c>
      <c r="C25" s="12">
        <f>Interpolation!E25</f>
        <v/>
      </c>
      <c r="D25" s="13">
        <f>(1-C25*Quotes!$B$2*SUM($D$3:D24))/(1+C25*Quotes!$B$2)</f>
        <v/>
      </c>
      <c r="E25" s="10">
        <f>(1/D25-1)/B25</f>
        <v/>
      </c>
      <c r="F25" s="10">
        <f>(D24/D25-1)/Quotes!$B$2</f>
        <v/>
      </c>
    </row>
    <row r="26">
      <c r="A26" s="15">
        <f>EDATE(Quotes!$E$2,3*24)</f>
        <v/>
      </c>
      <c r="B26" s="6">
        <f>Interpolation!A26</f>
        <v/>
      </c>
      <c r="C26" s="12">
        <f>Interpolation!E26</f>
        <v/>
      </c>
      <c r="D26" s="13">
        <f>(1-C26*Quotes!$B$2*SUM($D$3:D25))/(1+C26*Quotes!$B$2)</f>
        <v/>
      </c>
      <c r="E26" s="10">
        <f>(1/D26-1)/B26</f>
        <v/>
      </c>
      <c r="F26" s="10">
        <f>(D25/D26-1)/Quotes!$B$2</f>
        <v/>
      </c>
    </row>
    <row r="27">
      <c r="A27" s="15">
        <f>EDATE(Quotes!$E$2,3*25)</f>
        <v/>
      </c>
      <c r="B27" s="6">
        <f>Interpolation!A27</f>
        <v/>
      </c>
      <c r="C27" s="12">
        <f>Interpolation!E27</f>
        <v/>
      </c>
      <c r="D27" s="13">
        <f>(1-C27*Quotes!$B$2*SUM($D$3:D26))/(1+C27*Quotes!$B$2)</f>
        <v/>
      </c>
      <c r="E27" s="10">
        <f>(1/D27-1)/B27</f>
        <v/>
      </c>
      <c r="F27" s="10">
        <f>(D26/D27-1)/Quotes!$B$2</f>
        <v/>
      </c>
    </row>
    <row r="28">
      <c r="A28" s="15">
        <f>EDATE(Quotes!$E$2,3*26)</f>
        <v/>
      </c>
      <c r="B28" s="6">
        <f>Interpolation!A28</f>
        <v/>
      </c>
      <c r="C28" s="12">
        <f>Interpolation!E28</f>
        <v/>
      </c>
      <c r="D28" s="13">
        <f>(1-C28*Quotes!$B$2*SUM($D$3:D27))/(1+C28*Quotes!$B$2)</f>
        <v/>
      </c>
      <c r="E28" s="10">
        <f>(1/D28-1)/B28</f>
        <v/>
      </c>
      <c r="F28" s="10">
        <f>(D27/D28-1)/Quotes!$B$2</f>
        <v/>
      </c>
    </row>
    <row r="29">
      <c r="A29" s="15">
        <f>EDATE(Quotes!$E$2,3*27)</f>
        <v/>
      </c>
      <c r="B29" s="6">
        <f>Interpolation!A29</f>
        <v/>
      </c>
      <c r="C29" s="12">
        <f>Interpolation!E29</f>
        <v/>
      </c>
      <c r="D29" s="13">
        <f>(1-C29*Quotes!$B$2*SUM($D$3:D28))/(1+C29*Quotes!$B$2)</f>
        <v/>
      </c>
      <c r="E29" s="10">
        <f>(1/D29-1)/B29</f>
        <v/>
      </c>
      <c r="F29" s="10">
        <f>(D28/D29-1)/Quotes!$B$2</f>
        <v/>
      </c>
    </row>
    <row r="30">
      <c r="A30" s="15">
        <f>EDATE(Quotes!$E$2,3*28)</f>
        <v/>
      </c>
      <c r="B30" s="6">
        <f>Interpolation!A30</f>
        <v/>
      </c>
      <c r="C30" s="12">
        <f>Interpolation!E30</f>
        <v/>
      </c>
      <c r="D30" s="13">
        <f>(1-C30*Quotes!$B$2*SUM($D$3:D29))/(1+C30*Quotes!$B$2)</f>
        <v/>
      </c>
      <c r="E30" s="10">
        <f>(1/D30-1)/B30</f>
        <v/>
      </c>
      <c r="F30" s="10">
        <f>(D29/D30-1)/Quotes!$B$2</f>
        <v/>
      </c>
    </row>
    <row r="31">
      <c r="A31" s="15">
        <f>EDATE(Quotes!$E$2,3*29)</f>
        <v/>
      </c>
      <c r="B31" s="6">
        <f>Interpolation!A31</f>
        <v/>
      </c>
      <c r="C31" s="12">
        <f>Interpolation!E31</f>
        <v/>
      </c>
      <c r="D31" s="13">
        <f>(1-C31*Quotes!$B$2*SUM($D$3:D30))/(1+C31*Quotes!$B$2)</f>
        <v/>
      </c>
      <c r="E31" s="10">
        <f>(1/D31-1)/B31</f>
        <v/>
      </c>
      <c r="F31" s="10">
        <f>(D30/D31-1)/Quotes!$B$2</f>
        <v/>
      </c>
    </row>
    <row r="32">
      <c r="A32" s="15">
        <f>EDATE(Quotes!$E$2,3*30)</f>
        <v/>
      </c>
      <c r="B32" s="6">
        <f>Interpolation!A32</f>
        <v/>
      </c>
      <c r="C32" s="12">
        <f>Interpolation!E32</f>
        <v/>
      </c>
      <c r="D32" s="13">
        <f>(1-C32*Quotes!$B$2*SUM($D$3:D31))/(1+C32*Quotes!$B$2)</f>
        <v/>
      </c>
      <c r="E32" s="10">
        <f>(1/D32-1)/B32</f>
        <v/>
      </c>
      <c r="F32" s="10">
        <f>(D31/D32-1)/Quotes!$B$2</f>
        <v/>
      </c>
    </row>
    <row r="33">
      <c r="A33" s="15">
        <f>EDATE(Quotes!$E$2,3*31)</f>
        <v/>
      </c>
      <c r="B33" s="6">
        <f>Interpolation!A33</f>
        <v/>
      </c>
      <c r="C33" s="12">
        <f>Interpolation!E33</f>
        <v/>
      </c>
      <c r="D33" s="13">
        <f>(1-C33*Quotes!$B$2*SUM($D$3:D32))/(1+C33*Quotes!$B$2)</f>
        <v/>
      </c>
      <c r="E33" s="10">
        <f>(1/D33-1)/B33</f>
        <v/>
      </c>
      <c r="F33" s="10">
        <f>(D32/D33-1)/Quotes!$B$2</f>
        <v/>
      </c>
    </row>
    <row r="34">
      <c r="A34" s="15">
        <f>EDATE(Quotes!$E$2,3*32)</f>
        <v/>
      </c>
      <c r="B34" s="6">
        <f>Interpolation!A34</f>
        <v/>
      </c>
      <c r="C34" s="12">
        <f>Interpolation!E34</f>
        <v/>
      </c>
      <c r="D34" s="13">
        <f>(1-C34*Quotes!$B$2*SUM($D$3:D33))/(1+C34*Quotes!$B$2)</f>
        <v/>
      </c>
      <c r="E34" s="10">
        <f>(1/D34-1)/B34</f>
        <v/>
      </c>
      <c r="F34" s="10">
        <f>(D33/D34-1)/Quotes!$B$2</f>
        <v/>
      </c>
    </row>
    <row r="35">
      <c r="A35" s="15">
        <f>EDATE(Quotes!$E$2,3*33)</f>
        <v/>
      </c>
      <c r="B35" s="6">
        <f>Interpolation!A35</f>
        <v/>
      </c>
      <c r="C35" s="12">
        <f>Interpolation!E35</f>
        <v/>
      </c>
      <c r="D35" s="13">
        <f>(1-C35*Quotes!$B$2*SUM($D$3:D34))/(1+C35*Quotes!$B$2)</f>
        <v/>
      </c>
      <c r="E35" s="10">
        <f>(1/D35-1)/B35</f>
        <v/>
      </c>
      <c r="F35" s="10">
        <f>(D34/D35-1)/Quotes!$B$2</f>
        <v/>
      </c>
    </row>
    <row r="36">
      <c r="A36" s="15">
        <f>EDATE(Quotes!$E$2,3*34)</f>
        <v/>
      </c>
      <c r="B36" s="6">
        <f>Interpolation!A36</f>
        <v/>
      </c>
      <c r="C36" s="12">
        <f>Interpolation!E36</f>
        <v/>
      </c>
      <c r="D36" s="13">
        <f>(1-C36*Quotes!$B$2*SUM($D$3:D35))/(1+C36*Quotes!$B$2)</f>
        <v/>
      </c>
      <c r="E36" s="10">
        <f>(1/D36-1)/B36</f>
        <v/>
      </c>
      <c r="F36" s="10">
        <f>(D35/D36-1)/Quotes!$B$2</f>
        <v/>
      </c>
    </row>
    <row r="37">
      <c r="A37" s="15">
        <f>EDATE(Quotes!$E$2,3*35)</f>
        <v/>
      </c>
      <c r="B37" s="6">
        <f>Interpolation!A37</f>
        <v/>
      </c>
      <c r="C37" s="12">
        <f>Interpolation!E37</f>
        <v/>
      </c>
      <c r="D37" s="13">
        <f>(1-C37*Quotes!$B$2*SUM($D$3:D36))/(1+C37*Quotes!$B$2)</f>
        <v/>
      </c>
      <c r="E37" s="10">
        <f>(1/D37-1)/B37</f>
        <v/>
      </c>
      <c r="F37" s="10">
        <f>(D36/D37-1)/Quotes!$B$2</f>
        <v/>
      </c>
    </row>
    <row r="38">
      <c r="A38" s="15">
        <f>EDATE(Quotes!$E$2,3*36)</f>
        <v/>
      </c>
      <c r="B38" s="6">
        <f>Interpolation!A38</f>
        <v/>
      </c>
      <c r="C38" s="12">
        <f>Interpolation!E38</f>
        <v/>
      </c>
      <c r="D38" s="13">
        <f>(1-C38*Quotes!$B$2*SUM($D$3:D37))/(1+C38*Quotes!$B$2)</f>
        <v/>
      </c>
      <c r="E38" s="10">
        <f>(1/D38-1)/B38</f>
        <v/>
      </c>
      <c r="F38" s="10">
        <f>(D37/D38-1)/Quotes!$B$2</f>
        <v/>
      </c>
    </row>
    <row r="39">
      <c r="A39" s="15">
        <f>EDATE(Quotes!$E$2,3*37)</f>
        <v/>
      </c>
      <c r="B39" s="6">
        <f>Interpolation!A39</f>
        <v/>
      </c>
      <c r="C39" s="12">
        <f>Interpolation!E39</f>
        <v/>
      </c>
      <c r="D39" s="13">
        <f>(1-C39*Quotes!$B$2*SUM($D$3:D38))/(1+C39*Quotes!$B$2)</f>
        <v/>
      </c>
      <c r="E39" s="10">
        <f>(1/D39-1)/B39</f>
        <v/>
      </c>
      <c r="F39" s="10">
        <f>(D38/D39-1)/Quotes!$B$2</f>
        <v/>
      </c>
    </row>
    <row r="40">
      <c r="A40" s="15">
        <f>EDATE(Quotes!$E$2,3*38)</f>
        <v/>
      </c>
      <c r="B40" s="6">
        <f>Interpolation!A40</f>
        <v/>
      </c>
      <c r="C40" s="12">
        <f>Interpolation!E40</f>
        <v/>
      </c>
      <c r="D40" s="13">
        <f>(1-C40*Quotes!$B$2*SUM($D$3:D39))/(1+C40*Quotes!$B$2)</f>
        <v/>
      </c>
      <c r="E40" s="10">
        <f>(1/D40-1)/B40</f>
        <v/>
      </c>
      <c r="F40" s="10">
        <f>(D39/D40-1)/Quotes!$B$2</f>
        <v/>
      </c>
    </row>
    <row r="41">
      <c r="A41" s="15">
        <f>EDATE(Quotes!$E$2,3*39)</f>
        <v/>
      </c>
      <c r="B41" s="6">
        <f>Interpolation!A41</f>
        <v/>
      </c>
      <c r="C41" s="12">
        <f>Interpolation!E41</f>
        <v/>
      </c>
      <c r="D41" s="13">
        <f>(1-C41*Quotes!$B$2*SUM($D$3:D40))/(1+C41*Quotes!$B$2)</f>
        <v/>
      </c>
      <c r="E41" s="10">
        <f>(1/D41-1)/B41</f>
        <v/>
      </c>
      <c r="F41" s="10">
        <f>(D40/D41-1)/Quotes!$B$2</f>
        <v/>
      </c>
    </row>
    <row r="42">
      <c r="A42" s="15">
        <f>EDATE(Quotes!$E$2,3*40)</f>
        <v/>
      </c>
      <c r="B42" s="6">
        <f>Interpolation!A42</f>
        <v/>
      </c>
      <c r="C42" s="12">
        <f>Interpolation!E42</f>
        <v/>
      </c>
      <c r="D42" s="13">
        <f>(1-C42*Quotes!$B$2*SUM($D$3:D41))/(1+C42*Quotes!$B$2)</f>
        <v/>
      </c>
      <c r="E42" s="10">
        <f>(1/D42-1)/B42</f>
        <v/>
      </c>
      <c r="F42" s="10">
        <f>(D41/D42-1)/Quotes!$B$2</f>
        <v/>
      </c>
    </row>
    <row r="43">
      <c r="A43" s="15">
        <f>EDATE(Quotes!$E$2,3*41)</f>
        <v/>
      </c>
      <c r="B43" s="6">
        <f>Interpolation!A43</f>
        <v/>
      </c>
      <c r="C43" s="12">
        <f>Interpolation!E43</f>
        <v/>
      </c>
      <c r="D43" s="13">
        <f>(1-C43*Quotes!$B$2*SUM($D$3:D42))/(1+C43*Quotes!$B$2)</f>
        <v/>
      </c>
      <c r="E43" s="10">
        <f>(1/D43-1)/B43</f>
        <v/>
      </c>
      <c r="F43" s="10">
        <f>(D42/D43-1)/Quotes!$B$2</f>
        <v/>
      </c>
    </row>
    <row r="44">
      <c r="A44" s="15">
        <f>EDATE(Quotes!$E$2,3*42)</f>
        <v/>
      </c>
      <c r="B44" s="6">
        <f>Interpolation!A44</f>
        <v/>
      </c>
      <c r="C44" s="12">
        <f>Interpolation!E44</f>
        <v/>
      </c>
      <c r="D44" s="13">
        <f>(1-C44*Quotes!$B$2*SUM($D$3:D43))/(1+C44*Quotes!$B$2)</f>
        <v/>
      </c>
      <c r="E44" s="10">
        <f>(1/D44-1)/B44</f>
        <v/>
      </c>
      <c r="F44" s="10">
        <f>(D43/D44-1)/Quotes!$B$2</f>
        <v/>
      </c>
    </row>
    <row r="45">
      <c r="A45" s="15">
        <f>EDATE(Quotes!$E$2,3*43)</f>
        <v/>
      </c>
      <c r="B45" s="6">
        <f>Interpolation!A45</f>
        <v/>
      </c>
      <c r="C45" s="12">
        <f>Interpolation!E45</f>
        <v/>
      </c>
      <c r="D45" s="13">
        <f>(1-C45*Quotes!$B$2*SUM($D$3:D44))/(1+C45*Quotes!$B$2)</f>
        <v/>
      </c>
      <c r="E45" s="10">
        <f>(1/D45-1)/B45</f>
        <v/>
      </c>
      <c r="F45" s="10">
        <f>(D44/D45-1)/Quotes!$B$2</f>
        <v/>
      </c>
    </row>
    <row r="46">
      <c r="A46" s="15">
        <f>EDATE(Quotes!$E$2,3*44)</f>
        <v/>
      </c>
      <c r="B46" s="6">
        <f>Interpolation!A46</f>
        <v/>
      </c>
      <c r="C46" s="12">
        <f>Interpolation!E46</f>
        <v/>
      </c>
      <c r="D46" s="13">
        <f>(1-C46*Quotes!$B$2*SUM($D$3:D45))/(1+C46*Quotes!$B$2)</f>
        <v/>
      </c>
      <c r="E46" s="10">
        <f>(1/D46-1)/B46</f>
        <v/>
      </c>
      <c r="F46" s="10">
        <f>(D45/D46-1)/Quotes!$B$2</f>
        <v/>
      </c>
    </row>
    <row r="47">
      <c r="A47" s="15">
        <f>EDATE(Quotes!$E$2,3*45)</f>
        <v/>
      </c>
      <c r="B47" s="6">
        <f>Interpolation!A47</f>
        <v/>
      </c>
      <c r="C47" s="12">
        <f>Interpolation!E47</f>
        <v/>
      </c>
      <c r="D47" s="13">
        <f>(1-C47*Quotes!$B$2*SUM($D$3:D46))/(1+C47*Quotes!$B$2)</f>
        <v/>
      </c>
      <c r="E47" s="10">
        <f>(1/D47-1)/B47</f>
        <v/>
      </c>
      <c r="F47" s="10">
        <f>(D46/D47-1)/Quotes!$B$2</f>
        <v/>
      </c>
    </row>
    <row r="48">
      <c r="A48" s="15">
        <f>EDATE(Quotes!$E$2,3*46)</f>
        <v/>
      </c>
      <c r="B48" s="6">
        <f>Interpolation!A48</f>
        <v/>
      </c>
      <c r="C48" s="12">
        <f>Interpolation!E48</f>
        <v/>
      </c>
      <c r="D48" s="13">
        <f>(1-C48*Quotes!$B$2*SUM($D$3:D47))/(1+C48*Quotes!$B$2)</f>
        <v/>
      </c>
      <c r="E48" s="10">
        <f>(1/D48-1)/B48</f>
        <v/>
      </c>
      <c r="F48" s="10">
        <f>(D47/D48-1)/Quotes!$B$2</f>
        <v/>
      </c>
    </row>
    <row r="49">
      <c r="A49" s="15">
        <f>EDATE(Quotes!$E$2,3*47)</f>
        <v/>
      </c>
      <c r="B49" s="6">
        <f>Interpolation!A49</f>
        <v/>
      </c>
      <c r="C49" s="12">
        <f>Interpolation!E49</f>
        <v/>
      </c>
      <c r="D49" s="13">
        <f>(1-C49*Quotes!$B$2*SUM($D$3:D48))/(1+C49*Quotes!$B$2)</f>
        <v/>
      </c>
      <c r="E49" s="10">
        <f>(1/D49-1)/B49</f>
        <v/>
      </c>
      <c r="F49" s="10">
        <f>(D48/D49-1)/Quotes!$B$2</f>
        <v/>
      </c>
    </row>
    <row r="50">
      <c r="A50" s="15">
        <f>EDATE(Quotes!$E$2,3*48)</f>
        <v/>
      </c>
      <c r="B50" s="6">
        <f>Interpolation!A50</f>
        <v/>
      </c>
      <c r="C50" s="12">
        <f>Interpolation!E50</f>
        <v/>
      </c>
      <c r="D50" s="13">
        <f>(1-C50*Quotes!$B$2*SUM($D$3:D49))/(1+C50*Quotes!$B$2)</f>
        <v/>
      </c>
      <c r="E50" s="10">
        <f>(1/D50-1)/B50</f>
        <v/>
      </c>
      <c r="F50" s="10">
        <f>(D49/D50-1)/Quotes!$B$2</f>
        <v/>
      </c>
    </row>
    <row r="51">
      <c r="A51" s="15">
        <f>EDATE(Quotes!$E$2,3*49)</f>
        <v/>
      </c>
      <c r="B51" s="6">
        <f>Interpolation!A51</f>
        <v/>
      </c>
      <c r="C51" s="12">
        <f>Interpolation!E51</f>
        <v/>
      </c>
      <c r="D51" s="13">
        <f>(1-C51*Quotes!$B$2*SUM($D$3:D50))/(1+C51*Quotes!$B$2)</f>
        <v/>
      </c>
      <c r="E51" s="10">
        <f>(1/D51-1)/B51</f>
        <v/>
      </c>
      <c r="F51" s="10">
        <f>(D50/D51-1)/Quotes!$B$2</f>
        <v/>
      </c>
    </row>
    <row r="52">
      <c r="A52" s="15">
        <f>EDATE(Quotes!$E$2,3*50)</f>
        <v/>
      </c>
      <c r="B52" s="6">
        <f>Interpolation!A52</f>
        <v/>
      </c>
      <c r="C52" s="12">
        <f>Interpolation!E52</f>
        <v/>
      </c>
      <c r="D52" s="13">
        <f>(1-C52*Quotes!$B$2*SUM($D$3:D51))/(1+C52*Quotes!$B$2)</f>
        <v/>
      </c>
      <c r="E52" s="10">
        <f>(1/D52-1)/B52</f>
        <v/>
      </c>
      <c r="F52" s="10">
        <f>(D51/D52-1)/Quotes!$B$2</f>
        <v/>
      </c>
    </row>
    <row r="53">
      <c r="A53" s="15">
        <f>EDATE(Quotes!$E$2,3*51)</f>
        <v/>
      </c>
      <c r="B53" s="6">
        <f>Interpolation!A53</f>
        <v/>
      </c>
      <c r="C53" s="12">
        <f>Interpolation!E53</f>
        <v/>
      </c>
      <c r="D53" s="13">
        <f>(1-C53*Quotes!$B$2*SUM($D$3:D52))/(1+C53*Quotes!$B$2)</f>
        <v/>
      </c>
      <c r="E53" s="10">
        <f>(1/D53-1)/B53</f>
        <v/>
      </c>
      <c r="F53" s="10">
        <f>(D52/D53-1)/Quotes!$B$2</f>
        <v/>
      </c>
    </row>
    <row r="54">
      <c r="A54" s="15">
        <f>EDATE(Quotes!$E$2,3*52)</f>
        <v/>
      </c>
      <c r="B54" s="6">
        <f>Interpolation!A54</f>
        <v/>
      </c>
      <c r="C54" s="12">
        <f>Interpolation!E54</f>
        <v/>
      </c>
      <c r="D54" s="13">
        <f>(1-C54*Quotes!$B$2*SUM($D$3:D53))/(1+C54*Quotes!$B$2)</f>
        <v/>
      </c>
      <c r="E54" s="10">
        <f>(1/D54-1)/B54</f>
        <v/>
      </c>
      <c r="F54" s="10">
        <f>(D53/D54-1)/Quotes!$B$2</f>
        <v/>
      </c>
    </row>
    <row r="55">
      <c r="A55" s="15">
        <f>EDATE(Quotes!$E$2,3*53)</f>
        <v/>
      </c>
      <c r="B55" s="6">
        <f>Interpolation!A55</f>
        <v/>
      </c>
      <c r="C55" s="12">
        <f>Interpolation!E55</f>
        <v/>
      </c>
      <c r="D55" s="13">
        <f>(1-C55*Quotes!$B$2*SUM($D$3:D54))/(1+C55*Quotes!$B$2)</f>
        <v/>
      </c>
      <c r="E55" s="10">
        <f>(1/D55-1)/B55</f>
        <v/>
      </c>
      <c r="F55" s="10">
        <f>(D54/D55-1)/Quotes!$B$2</f>
        <v/>
      </c>
    </row>
    <row r="56">
      <c r="A56" s="15">
        <f>EDATE(Quotes!$E$2,3*54)</f>
        <v/>
      </c>
      <c r="B56" s="6">
        <f>Interpolation!A56</f>
        <v/>
      </c>
      <c r="C56" s="12">
        <f>Interpolation!E56</f>
        <v/>
      </c>
      <c r="D56" s="13">
        <f>(1-C56*Quotes!$B$2*SUM($D$3:D55))/(1+C56*Quotes!$B$2)</f>
        <v/>
      </c>
      <c r="E56" s="10">
        <f>(1/D56-1)/B56</f>
        <v/>
      </c>
      <c r="F56" s="10">
        <f>(D55/D56-1)/Quotes!$B$2</f>
        <v/>
      </c>
    </row>
    <row r="57">
      <c r="A57" s="15">
        <f>EDATE(Quotes!$E$2,3*55)</f>
        <v/>
      </c>
      <c r="B57" s="6">
        <f>Interpolation!A57</f>
        <v/>
      </c>
      <c r="C57" s="12">
        <f>Interpolation!E57</f>
        <v/>
      </c>
      <c r="D57" s="13">
        <f>(1-C57*Quotes!$B$2*SUM($D$3:D56))/(1+C57*Quotes!$B$2)</f>
        <v/>
      </c>
      <c r="E57" s="10">
        <f>(1/D57-1)/B57</f>
        <v/>
      </c>
      <c r="F57" s="10">
        <f>(D56/D57-1)/Quotes!$B$2</f>
        <v/>
      </c>
    </row>
    <row r="58">
      <c r="A58" s="15">
        <f>EDATE(Quotes!$E$2,3*56)</f>
        <v/>
      </c>
      <c r="B58" s="6">
        <f>Interpolation!A58</f>
        <v/>
      </c>
      <c r="C58" s="12">
        <f>Interpolation!E58</f>
        <v/>
      </c>
      <c r="D58" s="13">
        <f>(1-C58*Quotes!$B$2*SUM($D$3:D57))/(1+C58*Quotes!$B$2)</f>
        <v/>
      </c>
      <c r="E58" s="10">
        <f>(1/D58-1)/B58</f>
        <v/>
      </c>
      <c r="F58" s="10">
        <f>(D57/D58-1)/Quotes!$B$2</f>
        <v/>
      </c>
    </row>
    <row r="59">
      <c r="A59" s="15">
        <f>EDATE(Quotes!$E$2,3*57)</f>
        <v/>
      </c>
      <c r="B59" s="6">
        <f>Interpolation!A59</f>
        <v/>
      </c>
      <c r="C59" s="12">
        <f>Interpolation!E59</f>
        <v/>
      </c>
      <c r="D59" s="13">
        <f>(1-C59*Quotes!$B$2*SUM($D$3:D58))/(1+C59*Quotes!$B$2)</f>
        <v/>
      </c>
      <c r="E59" s="10">
        <f>(1/D59-1)/B59</f>
        <v/>
      </c>
      <c r="F59" s="10">
        <f>(D58/D59-1)/Quotes!$B$2</f>
        <v/>
      </c>
    </row>
    <row r="60">
      <c r="A60" s="15">
        <f>EDATE(Quotes!$E$2,3*58)</f>
        <v/>
      </c>
      <c r="B60" s="6">
        <f>Interpolation!A60</f>
        <v/>
      </c>
      <c r="C60" s="12">
        <f>Interpolation!E60</f>
        <v/>
      </c>
      <c r="D60" s="13">
        <f>(1-C60*Quotes!$B$2*SUM($D$3:D59))/(1+C60*Quotes!$B$2)</f>
        <v/>
      </c>
      <c r="E60" s="10">
        <f>(1/D60-1)/B60</f>
        <v/>
      </c>
      <c r="F60" s="10">
        <f>(D59/D60-1)/Quotes!$B$2</f>
        <v/>
      </c>
    </row>
    <row r="61">
      <c r="A61" s="15">
        <f>EDATE(Quotes!$E$2,3*59)</f>
        <v/>
      </c>
      <c r="B61" s="6">
        <f>Interpolation!A61</f>
        <v/>
      </c>
      <c r="C61" s="12">
        <f>Interpolation!E61</f>
        <v/>
      </c>
      <c r="D61" s="13">
        <f>(1-C61*Quotes!$B$2*SUM($D$3:D60))/(1+C61*Quotes!$B$2)</f>
        <v/>
      </c>
      <c r="E61" s="10">
        <f>(1/D61-1)/B61</f>
        <v/>
      </c>
      <c r="F61" s="10">
        <f>(D60/D61-1)/Quotes!$B$2</f>
        <v/>
      </c>
    </row>
    <row r="62">
      <c r="A62" s="15">
        <f>EDATE(Quotes!$E$2,3*60)</f>
        <v/>
      </c>
      <c r="B62" s="6">
        <f>Interpolation!A62</f>
        <v/>
      </c>
      <c r="C62" s="12">
        <f>Interpolation!E62</f>
        <v/>
      </c>
      <c r="D62" s="13">
        <f>(1-C62*Quotes!$B$2*SUM($D$3:D61))/(1+C62*Quotes!$B$2)</f>
        <v/>
      </c>
      <c r="E62" s="10">
        <f>(1/D62-1)/B62</f>
        <v/>
      </c>
      <c r="F62" s="10">
        <f>(D61/D62-1)/Quotes!$B$2</f>
        <v/>
      </c>
    </row>
    <row r="63">
      <c r="A63" s="15">
        <f>EDATE(Quotes!$E$2,3*61)</f>
        <v/>
      </c>
      <c r="B63" s="6">
        <f>Interpolation!A63</f>
        <v/>
      </c>
      <c r="C63" s="12">
        <f>Interpolation!E63</f>
        <v/>
      </c>
      <c r="D63" s="13">
        <f>(1-C63*Quotes!$B$2*SUM($D$3:D62))/(1+C63*Quotes!$B$2)</f>
        <v/>
      </c>
      <c r="E63" s="10">
        <f>(1/D63-1)/B63</f>
        <v/>
      </c>
      <c r="F63" s="10">
        <f>(D62/D63-1)/Quotes!$B$2</f>
        <v/>
      </c>
    </row>
    <row r="64">
      <c r="A64" s="15">
        <f>EDATE(Quotes!$E$2,3*62)</f>
        <v/>
      </c>
      <c r="B64" s="6">
        <f>Interpolation!A64</f>
        <v/>
      </c>
      <c r="C64" s="12">
        <f>Interpolation!E64</f>
        <v/>
      </c>
      <c r="D64" s="13">
        <f>(1-C64*Quotes!$B$2*SUM($D$3:D63))/(1+C64*Quotes!$B$2)</f>
        <v/>
      </c>
      <c r="E64" s="10">
        <f>(1/D64-1)/B64</f>
        <v/>
      </c>
      <c r="F64" s="10">
        <f>(D63/D64-1)/Quotes!$B$2</f>
        <v/>
      </c>
    </row>
    <row r="65">
      <c r="A65" s="15">
        <f>EDATE(Quotes!$E$2,3*63)</f>
        <v/>
      </c>
      <c r="B65" s="6">
        <f>Interpolation!A65</f>
        <v/>
      </c>
      <c r="C65" s="12">
        <f>Interpolation!E65</f>
        <v/>
      </c>
      <c r="D65" s="13">
        <f>(1-C65*Quotes!$B$2*SUM($D$3:D64))/(1+C65*Quotes!$B$2)</f>
        <v/>
      </c>
      <c r="E65" s="10">
        <f>(1/D65-1)/B65</f>
        <v/>
      </c>
      <c r="F65" s="10">
        <f>(D64/D65-1)/Quotes!$B$2</f>
        <v/>
      </c>
    </row>
    <row r="66">
      <c r="A66" s="15">
        <f>EDATE(Quotes!$E$2,3*64)</f>
        <v/>
      </c>
      <c r="B66" s="6">
        <f>Interpolation!A66</f>
        <v/>
      </c>
      <c r="C66" s="12">
        <f>Interpolation!E66</f>
        <v/>
      </c>
      <c r="D66" s="13">
        <f>(1-C66*Quotes!$B$2*SUM($D$3:D65))/(1+C66*Quotes!$B$2)</f>
        <v/>
      </c>
      <c r="E66" s="10">
        <f>(1/D66-1)/B66</f>
        <v/>
      </c>
      <c r="F66" s="10">
        <f>(D65/D66-1)/Quotes!$B$2</f>
        <v/>
      </c>
    </row>
    <row r="67">
      <c r="A67" s="15">
        <f>EDATE(Quotes!$E$2,3*65)</f>
        <v/>
      </c>
      <c r="B67" s="6">
        <f>Interpolation!A67</f>
        <v/>
      </c>
      <c r="C67" s="12">
        <f>Interpolation!E67</f>
        <v/>
      </c>
      <c r="D67" s="13">
        <f>(1-C67*Quotes!$B$2*SUM($D$3:D66))/(1+C67*Quotes!$B$2)</f>
        <v/>
      </c>
      <c r="E67" s="10">
        <f>(1/D67-1)/B67</f>
        <v/>
      </c>
      <c r="F67" s="10">
        <f>(D66/D67-1)/Quotes!$B$2</f>
        <v/>
      </c>
    </row>
    <row r="68">
      <c r="A68" s="15">
        <f>EDATE(Quotes!$E$2,3*66)</f>
        <v/>
      </c>
      <c r="B68" s="6">
        <f>Interpolation!A68</f>
        <v/>
      </c>
      <c r="C68" s="12">
        <f>Interpolation!E68</f>
        <v/>
      </c>
      <c r="D68" s="13">
        <f>(1-C68*Quotes!$B$2*SUM($D$3:D67))/(1+C68*Quotes!$B$2)</f>
        <v/>
      </c>
      <c r="E68" s="10">
        <f>(1/D68-1)/B68</f>
        <v/>
      </c>
      <c r="F68" s="10">
        <f>(D67/D68-1)/Quotes!$B$2</f>
        <v/>
      </c>
    </row>
    <row r="69">
      <c r="A69" s="15">
        <f>EDATE(Quotes!$E$2,3*67)</f>
        <v/>
      </c>
      <c r="B69" s="6">
        <f>Interpolation!A69</f>
        <v/>
      </c>
      <c r="C69" s="12">
        <f>Interpolation!E69</f>
        <v/>
      </c>
      <c r="D69" s="13">
        <f>(1-C69*Quotes!$B$2*SUM($D$3:D68))/(1+C69*Quotes!$B$2)</f>
        <v/>
      </c>
      <c r="E69" s="10">
        <f>(1/D69-1)/B69</f>
        <v/>
      </c>
      <c r="F69" s="10">
        <f>(D68/D69-1)/Quotes!$B$2</f>
        <v/>
      </c>
    </row>
    <row r="70">
      <c r="A70" s="15">
        <f>EDATE(Quotes!$E$2,3*68)</f>
        <v/>
      </c>
      <c r="B70" s="6">
        <f>Interpolation!A70</f>
        <v/>
      </c>
      <c r="C70" s="12">
        <f>Interpolation!E70</f>
        <v/>
      </c>
      <c r="D70" s="13">
        <f>(1-C70*Quotes!$B$2*SUM($D$3:D69))/(1+C70*Quotes!$B$2)</f>
        <v/>
      </c>
      <c r="E70" s="10">
        <f>(1/D70-1)/B70</f>
        <v/>
      </c>
      <c r="F70" s="10">
        <f>(D69/D70-1)/Quotes!$B$2</f>
        <v/>
      </c>
    </row>
    <row r="71">
      <c r="A71" s="15">
        <f>EDATE(Quotes!$E$2,3*69)</f>
        <v/>
      </c>
      <c r="B71" s="6">
        <f>Interpolation!A71</f>
        <v/>
      </c>
      <c r="C71" s="12">
        <f>Interpolation!E71</f>
        <v/>
      </c>
      <c r="D71" s="13">
        <f>(1-C71*Quotes!$B$2*SUM($D$3:D70))/(1+C71*Quotes!$B$2)</f>
        <v/>
      </c>
      <c r="E71" s="10">
        <f>(1/D71-1)/B71</f>
        <v/>
      </c>
      <c r="F71" s="10">
        <f>(D70/D71-1)/Quotes!$B$2</f>
        <v/>
      </c>
    </row>
    <row r="72">
      <c r="A72" s="15">
        <f>EDATE(Quotes!$E$2,3*70)</f>
        <v/>
      </c>
      <c r="B72" s="6">
        <f>Interpolation!A72</f>
        <v/>
      </c>
      <c r="C72" s="12">
        <f>Interpolation!E72</f>
        <v/>
      </c>
      <c r="D72" s="13">
        <f>(1-C72*Quotes!$B$2*SUM($D$3:D71))/(1+C72*Quotes!$B$2)</f>
        <v/>
      </c>
      <c r="E72" s="10">
        <f>(1/D72-1)/B72</f>
        <v/>
      </c>
      <c r="F72" s="10">
        <f>(D71/D72-1)/Quotes!$B$2</f>
        <v/>
      </c>
    </row>
    <row r="73">
      <c r="A73" s="15">
        <f>EDATE(Quotes!$E$2,3*71)</f>
        <v/>
      </c>
      <c r="B73" s="6">
        <f>Interpolation!A73</f>
        <v/>
      </c>
      <c r="C73" s="12">
        <f>Interpolation!E73</f>
        <v/>
      </c>
      <c r="D73" s="13">
        <f>(1-C73*Quotes!$B$2*SUM($D$3:D72))/(1+C73*Quotes!$B$2)</f>
        <v/>
      </c>
      <c r="E73" s="10">
        <f>(1/D73-1)/B73</f>
        <v/>
      </c>
      <c r="F73" s="10">
        <f>(D72/D73-1)/Quotes!$B$2</f>
        <v/>
      </c>
    </row>
    <row r="74">
      <c r="A74" s="15">
        <f>EDATE(Quotes!$E$2,3*72)</f>
        <v/>
      </c>
      <c r="B74" s="6">
        <f>Interpolation!A74</f>
        <v/>
      </c>
      <c r="C74" s="12">
        <f>Interpolation!E74</f>
        <v/>
      </c>
      <c r="D74" s="13">
        <f>(1-C74*Quotes!$B$2*SUM($D$3:D73))/(1+C74*Quotes!$B$2)</f>
        <v/>
      </c>
      <c r="E74" s="10">
        <f>(1/D74-1)/B74</f>
        <v/>
      </c>
      <c r="F74" s="10">
        <f>(D73/D74-1)/Quotes!$B$2</f>
        <v/>
      </c>
    </row>
    <row r="75">
      <c r="A75" s="15">
        <f>EDATE(Quotes!$E$2,3*73)</f>
        <v/>
      </c>
      <c r="B75" s="6">
        <f>Interpolation!A75</f>
        <v/>
      </c>
      <c r="C75" s="12">
        <f>Interpolation!E75</f>
        <v/>
      </c>
      <c r="D75" s="13">
        <f>(1-C75*Quotes!$B$2*SUM($D$3:D74))/(1+C75*Quotes!$B$2)</f>
        <v/>
      </c>
      <c r="E75" s="10">
        <f>(1/D75-1)/B75</f>
        <v/>
      </c>
      <c r="F75" s="10">
        <f>(D74/D75-1)/Quotes!$B$2</f>
        <v/>
      </c>
    </row>
    <row r="76">
      <c r="A76" s="15">
        <f>EDATE(Quotes!$E$2,3*74)</f>
        <v/>
      </c>
      <c r="B76" s="6">
        <f>Interpolation!A76</f>
        <v/>
      </c>
      <c r="C76" s="12">
        <f>Interpolation!E76</f>
        <v/>
      </c>
      <c r="D76" s="13">
        <f>(1-C76*Quotes!$B$2*SUM($D$3:D75))/(1+C76*Quotes!$B$2)</f>
        <v/>
      </c>
      <c r="E76" s="10">
        <f>(1/D76-1)/B76</f>
        <v/>
      </c>
      <c r="F76" s="10">
        <f>(D75/D76-1)/Quotes!$B$2</f>
        <v/>
      </c>
    </row>
    <row r="77">
      <c r="A77" s="15">
        <f>EDATE(Quotes!$E$2,3*75)</f>
        <v/>
      </c>
      <c r="B77" s="6">
        <f>Interpolation!A77</f>
        <v/>
      </c>
      <c r="C77" s="12">
        <f>Interpolation!E77</f>
        <v/>
      </c>
      <c r="D77" s="13">
        <f>(1-C77*Quotes!$B$2*SUM($D$3:D76))/(1+C77*Quotes!$B$2)</f>
        <v/>
      </c>
      <c r="E77" s="10">
        <f>(1/D77-1)/B77</f>
        <v/>
      </c>
      <c r="F77" s="10">
        <f>(D76/D77-1)/Quotes!$B$2</f>
        <v/>
      </c>
    </row>
    <row r="78">
      <c r="A78" s="15">
        <f>EDATE(Quotes!$E$2,3*76)</f>
        <v/>
      </c>
      <c r="B78" s="6">
        <f>Interpolation!A78</f>
        <v/>
      </c>
      <c r="C78" s="12">
        <f>Interpolation!E78</f>
        <v/>
      </c>
      <c r="D78" s="13">
        <f>(1-C78*Quotes!$B$2*SUM($D$3:D77))/(1+C78*Quotes!$B$2)</f>
        <v/>
      </c>
      <c r="E78" s="10">
        <f>(1/D78-1)/B78</f>
        <v/>
      </c>
      <c r="F78" s="10">
        <f>(D77/D78-1)/Quotes!$B$2</f>
        <v/>
      </c>
    </row>
    <row r="79">
      <c r="A79" s="15">
        <f>EDATE(Quotes!$E$2,3*77)</f>
        <v/>
      </c>
      <c r="B79" s="6">
        <f>Interpolation!A79</f>
        <v/>
      </c>
      <c r="C79" s="12">
        <f>Interpolation!E79</f>
        <v/>
      </c>
      <c r="D79" s="13">
        <f>(1-C79*Quotes!$B$2*SUM($D$3:D78))/(1+C79*Quotes!$B$2)</f>
        <v/>
      </c>
      <c r="E79" s="10">
        <f>(1/D79-1)/B79</f>
        <v/>
      </c>
      <c r="F79" s="10">
        <f>(D78/D79-1)/Quotes!$B$2</f>
        <v/>
      </c>
    </row>
    <row r="80">
      <c r="A80" s="15">
        <f>EDATE(Quotes!$E$2,3*78)</f>
        <v/>
      </c>
      <c r="B80" s="6">
        <f>Interpolation!A80</f>
        <v/>
      </c>
      <c r="C80" s="12">
        <f>Interpolation!E80</f>
        <v/>
      </c>
      <c r="D80" s="13">
        <f>(1-C80*Quotes!$B$2*SUM($D$3:D79))/(1+C80*Quotes!$B$2)</f>
        <v/>
      </c>
      <c r="E80" s="10">
        <f>(1/D80-1)/B80</f>
        <v/>
      </c>
      <c r="F80" s="10">
        <f>(D79/D80-1)/Quotes!$B$2</f>
        <v/>
      </c>
    </row>
    <row r="81">
      <c r="A81" s="15">
        <f>EDATE(Quotes!$E$2,3*79)</f>
        <v/>
      </c>
      <c r="B81" s="6">
        <f>Interpolation!A81</f>
        <v/>
      </c>
      <c r="C81" s="12">
        <f>Interpolation!E81</f>
        <v/>
      </c>
      <c r="D81" s="13">
        <f>(1-C81*Quotes!$B$2*SUM($D$3:D80))/(1+C81*Quotes!$B$2)</f>
        <v/>
      </c>
      <c r="E81" s="10">
        <f>(1/D81-1)/B81</f>
        <v/>
      </c>
      <c r="F81" s="10">
        <f>(D80/D81-1)/Quotes!$B$2</f>
        <v/>
      </c>
    </row>
    <row r="82">
      <c r="A82" s="15">
        <f>EDATE(Quotes!$E$2,3*80)</f>
        <v/>
      </c>
      <c r="B82" s="6">
        <f>Interpolation!A82</f>
        <v/>
      </c>
      <c r="C82" s="12">
        <f>Interpolation!E82</f>
        <v/>
      </c>
      <c r="D82" s="13">
        <f>(1-C82*Quotes!$B$2*SUM($D$3:D81))/(1+C82*Quotes!$B$2)</f>
        <v/>
      </c>
      <c r="E82" s="10">
        <f>(1/D82-1)/B82</f>
        <v/>
      </c>
      <c r="F82" s="10">
        <f>(D81/D82-1)/Quotes!$B$2</f>
        <v/>
      </c>
    </row>
    <row r="83">
      <c r="A83" s="15">
        <f>EDATE(Quotes!$E$2,3*81)</f>
        <v/>
      </c>
      <c r="B83" s="6">
        <f>Interpolation!A83</f>
        <v/>
      </c>
      <c r="C83" s="12">
        <f>Interpolation!E83</f>
        <v/>
      </c>
      <c r="D83" s="13">
        <f>(1-C83*Quotes!$B$2*SUM($D$3:D82))/(1+C83*Quotes!$B$2)</f>
        <v/>
      </c>
      <c r="E83" s="10">
        <f>(1/D83-1)/B83</f>
        <v/>
      </c>
      <c r="F83" s="10">
        <f>(D82/D83-1)/Quotes!$B$2</f>
        <v/>
      </c>
    </row>
    <row r="84">
      <c r="A84" s="15">
        <f>EDATE(Quotes!$E$2,3*82)</f>
        <v/>
      </c>
      <c r="B84" s="6">
        <f>Interpolation!A84</f>
        <v/>
      </c>
      <c r="C84" s="12">
        <f>Interpolation!E84</f>
        <v/>
      </c>
      <c r="D84" s="13">
        <f>(1-C84*Quotes!$B$2*SUM($D$3:D83))/(1+C84*Quotes!$B$2)</f>
        <v/>
      </c>
      <c r="E84" s="10">
        <f>(1/D84-1)/B84</f>
        <v/>
      </c>
      <c r="F84" s="10">
        <f>(D83/D84-1)/Quotes!$B$2</f>
        <v/>
      </c>
    </row>
    <row r="85">
      <c r="A85" s="15">
        <f>EDATE(Quotes!$E$2,3*83)</f>
        <v/>
      </c>
      <c r="B85" s="6">
        <f>Interpolation!A85</f>
        <v/>
      </c>
      <c r="C85" s="12">
        <f>Interpolation!E85</f>
        <v/>
      </c>
      <c r="D85" s="13">
        <f>(1-C85*Quotes!$B$2*SUM($D$3:D84))/(1+C85*Quotes!$B$2)</f>
        <v/>
      </c>
      <c r="E85" s="10">
        <f>(1/D85-1)/B85</f>
        <v/>
      </c>
      <c r="F85" s="10">
        <f>(D84/D85-1)/Quotes!$B$2</f>
        <v/>
      </c>
    </row>
    <row r="86">
      <c r="A86" s="15">
        <f>EDATE(Quotes!$E$2,3*84)</f>
        <v/>
      </c>
      <c r="B86" s="6">
        <f>Interpolation!A86</f>
        <v/>
      </c>
      <c r="C86" s="12">
        <f>Interpolation!E86</f>
        <v/>
      </c>
      <c r="D86" s="13">
        <f>(1-C86*Quotes!$B$2*SUM($D$3:D85))/(1+C86*Quotes!$B$2)</f>
        <v/>
      </c>
      <c r="E86" s="10">
        <f>(1/D86-1)/B86</f>
        <v/>
      </c>
      <c r="F86" s="10">
        <f>(D85/D86-1)/Quotes!$B$2</f>
        <v/>
      </c>
    </row>
    <row r="87">
      <c r="A87" s="15">
        <f>EDATE(Quotes!$E$2,3*85)</f>
        <v/>
      </c>
      <c r="B87" s="6">
        <f>Interpolation!A87</f>
        <v/>
      </c>
      <c r="C87" s="12">
        <f>Interpolation!E87</f>
        <v/>
      </c>
      <c r="D87" s="13">
        <f>(1-C87*Quotes!$B$2*SUM($D$3:D86))/(1+C87*Quotes!$B$2)</f>
        <v/>
      </c>
      <c r="E87" s="10">
        <f>(1/D87-1)/B87</f>
        <v/>
      </c>
      <c r="F87" s="10">
        <f>(D86/D87-1)/Quotes!$B$2</f>
        <v/>
      </c>
    </row>
    <row r="88">
      <c r="A88" s="15">
        <f>EDATE(Quotes!$E$2,3*86)</f>
        <v/>
      </c>
      <c r="B88" s="6">
        <f>Interpolation!A88</f>
        <v/>
      </c>
      <c r="C88" s="12">
        <f>Interpolation!E88</f>
        <v/>
      </c>
      <c r="D88" s="13">
        <f>(1-C88*Quotes!$B$2*SUM($D$3:D87))/(1+C88*Quotes!$B$2)</f>
        <v/>
      </c>
      <c r="E88" s="10">
        <f>(1/D88-1)/B88</f>
        <v/>
      </c>
      <c r="F88" s="10">
        <f>(D87/D88-1)/Quotes!$B$2</f>
        <v/>
      </c>
    </row>
    <row r="89">
      <c r="A89" s="15">
        <f>EDATE(Quotes!$E$2,3*87)</f>
        <v/>
      </c>
      <c r="B89" s="6">
        <f>Interpolation!A89</f>
        <v/>
      </c>
      <c r="C89" s="12">
        <f>Interpolation!E89</f>
        <v/>
      </c>
      <c r="D89" s="13">
        <f>(1-C89*Quotes!$B$2*SUM($D$3:D88))/(1+C89*Quotes!$B$2)</f>
        <v/>
      </c>
      <c r="E89" s="10">
        <f>(1/D89-1)/B89</f>
        <v/>
      </c>
      <c r="F89" s="10">
        <f>(D88/D89-1)/Quotes!$B$2</f>
        <v/>
      </c>
    </row>
    <row r="90">
      <c r="A90" s="15">
        <f>EDATE(Quotes!$E$2,3*88)</f>
        <v/>
      </c>
      <c r="B90" s="6">
        <f>Interpolation!A90</f>
        <v/>
      </c>
      <c r="C90" s="12">
        <f>Interpolation!E90</f>
        <v/>
      </c>
      <c r="D90" s="13">
        <f>(1-C90*Quotes!$B$2*SUM($D$3:D89))/(1+C90*Quotes!$B$2)</f>
        <v/>
      </c>
      <c r="E90" s="10">
        <f>(1/D90-1)/B90</f>
        <v/>
      </c>
      <c r="F90" s="10">
        <f>(D89/D90-1)/Quotes!$B$2</f>
        <v/>
      </c>
    </row>
    <row r="91">
      <c r="A91" s="15">
        <f>EDATE(Quotes!$E$2,3*89)</f>
        <v/>
      </c>
      <c r="B91" s="6">
        <f>Interpolation!A91</f>
        <v/>
      </c>
      <c r="C91" s="12">
        <f>Interpolation!E91</f>
        <v/>
      </c>
      <c r="D91" s="13">
        <f>(1-C91*Quotes!$B$2*SUM($D$3:D90))/(1+C91*Quotes!$B$2)</f>
        <v/>
      </c>
      <c r="E91" s="10">
        <f>(1/D91-1)/B91</f>
        <v/>
      </c>
      <c r="F91" s="10">
        <f>(D90/D91-1)/Quotes!$B$2</f>
        <v/>
      </c>
    </row>
    <row r="92">
      <c r="A92" s="15">
        <f>EDATE(Quotes!$E$2,3*90)</f>
        <v/>
      </c>
      <c r="B92" s="6">
        <f>Interpolation!A92</f>
        <v/>
      </c>
      <c r="C92" s="12">
        <f>Interpolation!E92</f>
        <v/>
      </c>
      <c r="D92" s="13">
        <f>(1-C92*Quotes!$B$2*SUM($D$3:D91))/(1+C92*Quotes!$B$2)</f>
        <v/>
      </c>
      <c r="E92" s="10">
        <f>(1/D92-1)/B92</f>
        <v/>
      </c>
      <c r="F92" s="10">
        <f>(D91/D92-1)/Quotes!$B$2</f>
        <v/>
      </c>
    </row>
    <row r="93">
      <c r="A93" s="15">
        <f>EDATE(Quotes!$E$2,3*91)</f>
        <v/>
      </c>
      <c r="B93" s="6">
        <f>Interpolation!A93</f>
        <v/>
      </c>
      <c r="C93" s="12">
        <f>Interpolation!E93</f>
        <v/>
      </c>
      <c r="D93" s="13">
        <f>(1-C93*Quotes!$B$2*SUM($D$3:D92))/(1+C93*Quotes!$B$2)</f>
        <v/>
      </c>
      <c r="E93" s="10">
        <f>(1/D93-1)/B93</f>
        <v/>
      </c>
      <c r="F93" s="10">
        <f>(D92/D93-1)/Quotes!$B$2</f>
        <v/>
      </c>
    </row>
    <row r="94">
      <c r="A94" s="15">
        <f>EDATE(Quotes!$E$2,3*92)</f>
        <v/>
      </c>
      <c r="B94" s="6">
        <f>Interpolation!A94</f>
        <v/>
      </c>
      <c r="C94" s="12">
        <f>Interpolation!E94</f>
        <v/>
      </c>
      <c r="D94" s="13">
        <f>(1-C94*Quotes!$B$2*SUM($D$3:D93))/(1+C94*Quotes!$B$2)</f>
        <v/>
      </c>
      <c r="E94" s="10">
        <f>(1/D94-1)/B94</f>
        <v/>
      </c>
      <c r="F94" s="10">
        <f>(D93/D94-1)/Quotes!$B$2</f>
        <v/>
      </c>
    </row>
    <row r="95">
      <c r="A95" s="15">
        <f>EDATE(Quotes!$E$2,3*93)</f>
        <v/>
      </c>
      <c r="B95" s="6">
        <f>Interpolation!A95</f>
        <v/>
      </c>
      <c r="C95" s="12">
        <f>Interpolation!E95</f>
        <v/>
      </c>
      <c r="D95" s="13">
        <f>(1-C95*Quotes!$B$2*SUM($D$3:D94))/(1+C95*Quotes!$B$2)</f>
        <v/>
      </c>
      <c r="E95" s="10">
        <f>(1/D95-1)/B95</f>
        <v/>
      </c>
      <c r="F95" s="10">
        <f>(D94/D95-1)/Quotes!$B$2</f>
        <v/>
      </c>
    </row>
    <row r="96">
      <c r="A96" s="15">
        <f>EDATE(Quotes!$E$2,3*94)</f>
        <v/>
      </c>
      <c r="B96" s="6">
        <f>Interpolation!A96</f>
        <v/>
      </c>
      <c r="C96" s="12">
        <f>Interpolation!E96</f>
        <v/>
      </c>
      <c r="D96" s="13">
        <f>(1-C96*Quotes!$B$2*SUM($D$3:D95))/(1+C96*Quotes!$B$2)</f>
        <v/>
      </c>
      <c r="E96" s="10">
        <f>(1/D96-1)/B96</f>
        <v/>
      </c>
      <c r="F96" s="10">
        <f>(D95/D96-1)/Quotes!$B$2</f>
        <v/>
      </c>
    </row>
    <row r="97">
      <c r="A97" s="15">
        <f>EDATE(Quotes!$E$2,3*95)</f>
        <v/>
      </c>
      <c r="B97" s="6">
        <f>Interpolation!A97</f>
        <v/>
      </c>
      <c r="C97" s="12">
        <f>Interpolation!E97</f>
        <v/>
      </c>
      <c r="D97" s="13">
        <f>(1-C97*Quotes!$B$2*SUM($D$3:D96))/(1+C97*Quotes!$B$2)</f>
        <v/>
      </c>
      <c r="E97" s="10">
        <f>(1/D97-1)/B97</f>
        <v/>
      </c>
      <c r="F97" s="10">
        <f>(D96/D97-1)/Quotes!$B$2</f>
        <v/>
      </c>
    </row>
    <row r="98">
      <c r="A98" s="15">
        <f>EDATE(Quotes!$E$2,3*96)</f>
        <v/>
      </c>
      <c r="B98" s="6">
        <f>Interpolation!A98</f>
        <v/>
      </c>
      <c r="C98" s="12">
        <f>Interpolation!E98</f>
        <v/>
      </c>
      <c r="D98" s="13">
        <f>(1-C98*Quotes!$B$2*SUM($D$3:D97))/(1+C98*Quotes!$B$2)</f>
        <v/>
      </c>
      <c r="E98" s="10">
        <f>(1/D98-1)/B98</f>
        <v/>
      </c>
      <c r="F98" s="10">
        <f>(D97/D98-1)/Quotes!$B$2</f>
        <v/>
      </c>
    </row>
    <row r="99">
      <c r="A99" s="15">
        <f>EDATE(Quotes!$E$2,3*97)</f>
        <v/>
      </c>
      <c r="B99" s="6">
        <f>Interpolation!A99</f>
        <v/>
      </c>
      <c r="C99" s="12">
        <f>Interpolation!E99</f>
        <v/>
      </c>
      <c r="D99" s="13">
        <f>(1-C99*Quotes!$B$2*SUM($D$3:D98))/(1+C99*Quotes!$B$2)</f>
        <v/>
      </c>
      <c r="E99" s="10">
        <f>(1/D99-1)/B99</f>
        <v/>
      </c>
      <c r="F99" s="10">
        <f>(D98/D99-1)/Quotes!$B$2</f>
        <v/>
      </c>
    </row>
    <row r="100">
      <c r="A100" s="15">
        <f>EDATE(Quotes!$E$2,3*98)</f>
        <v/>
      </c>
      <c r="B100" s="6">
        <f>Interpolation!A100</f>
        <v/>
      </c>
      <c r="C100" s="12">
        <f>Interpolation!E100</f>
        <v/>
      </c>
      <c r="D100" s="13">
        <f>(1-C100*Quotes!$B$2*SUM($D$3:D99))/(1+C100*Quotes!$B$2)</f>
        <v/>
      </c>
      <c r="E100" s="10">
        <f>(1/D100-1)/B100</f>
        <v/>
      </c>
      <c r="F100" s="10">
        <f>(D99/D100-1)/Quotes!$B$2</f>
        <v/>
      </c>
    </row>
    <row r="101">
      <c r="A101" s="15">
        <f>EDATE(Quotes!$E$2,3*99)</f>
        <v/>
      </c>
      <c r="B101" s="6">
        <f>Interpolation!A101</f>
        <v/>
      </c>
      <c r="C101" s="12">
        <f>Interpolation!E101</f>
        <v/>
      </c>
      <c r="D101" s="13">
        <f>(1-C101*Quotes!$B$2*SUM($D$3:D100))/(1+C101*Quotes!$B$2)</f>
        <v/>
      </c>
      <c r="E101" s="10">
        <f>(1/D101-1)/B101</f>
        <v/>
      </c>
      <c r="F101" s="10">
        <f>(D100/D101-1)/Quotes!$B$2</f>
        <v/>
      </c>
    </row>
    <row r="102">
      <c r="A102" s="15">
        <f>EDATE(Quotes!$E$2,3*100)</f>
        <v/>
      </c>
      <c r="B102" s="6">
        <f>Interpolation!A102</f>
        <v/>
      </c>
      <c r="C102" s="12">
        <f>Interpolation!E102</f>
        <v/>
      </c>
      <c r="D102" s="13">
        <f>(1-C102*Quotes!$B$2*SUM($D$3:D101))/(1+C102*Quotes!$B$2)</f>
        <v/>
      </c>
      <c r="E102" s="10">
        <f>(1/D102-1)/B102</f>
        <v/>
      </c>
      <c r="F102" s="10">
        <f>(D101/D102-1)/Quotes!$B$2</f>
        <v/>
      </c>
    </row>
    <row r="103">
      <c r="A103" s="15">
        <f>EDATE(Quotes!$E$2,3*101)</f>
        <v/>
      </c>
      <c r="B103" s="6">
        <f>Interpolation!A103</f>
        <v/>
      </c>
      <c r="C103" s="12">
        <f>Interpolation!E103</f>
        <v/>
      </c>
      <c r="D103" s="13">
        <f>(1-C103*Quotes!$B$2*SUM($D$3:D102))/(1+C103*Quotes!$B$2)</f>
        <v/>
      </c>
      <c r="E103" s="10">
        <f>(1/D103-1)/B103</f>
        <v/>
      </c>
      <c r="F103" s="10">
        <f>(D102/D103-1)/Quotes!$B$2</f>
        <v/>
      </c>
    </row>
    <row r="104">
      <c r="A104" s="15">
        <f>EDATE(Quotes!$E$2,3*102)</f>
        <v/>
      </c>
      <c r="B104" s="6">
        <f>Interpolation!A104</f>
        <v/>
      </c>
      <c r="C104" s="12">
        <f>Interpolation!E104</f>
        <v/>
      </c>
      <c r="D104" s="13">
        <f>(1-C104*Quotes!$B$2*SUM($D$3:D103))/(1+C104*Quotes!$B$2)</f>
        <v/>
      </c>
      <c r="E104" s="10">
        <f>(1/D104-1)/B104</f>
        <v/>
      </c>
      <c r="F104" s="10">
        <f>(D103/D104-1)/Quotes!$B$2</f>
        <v/>
      </c>
    </row>
    <row r="105">
      <c r="A105" s="15">
        <f>EDATE(Quotes!$E$2,3*103)</f>
        <v/>
      </c>
      <c r="B105" s="6">
        <f>Interpolation!A105</f>
        <v/>
      </c>
      <c r="C105" s="12">
        <f>Interpolation!E105</f>
        <v/>
      </c>
      <c r="D105" s="13">
        <f>(1-C105*Quotes!$B$2*SUM($D$3:D104))/(1+C105*Quotes!$B$2)</f>
        <v/>
      </c>
      <c r="E105" s="10">
        <f>(1/D105-1)/B105</f>
        <v/>
      </c>
      <c r="F105" s="10">
        <f>(D104/D105-1)/Quotes!$B$2</f>
        <v/>
      </c>
    </row>
    <row r="106">
      <c r="A106" s="15">
        <f>EDATE(Quotes!$E$2,3*104)</f>
        <v/>
      </c>
      <c r="B106" s="6">
        <f>Interpolation!A106</f>
        <v/>
      </c>
      <c r="C106" s="12">
        <f>Interpolation!E106</f>
        <v/>
      </c>
      <c r="D106" s="13">
        <f>(1-C106*Quotes!$B$2*SUM($D$3:D105))/(1+C106*Quotes!$B$2)</f>
        <v/>
      </c>
      <c r="E106" s="10">
        <f>(1/D106-1)/B106</f>
        <v/>
      </c>
      <c r="F106" s="10">
        <f>(D105/D106-1)/Quotes!$B$2</f>
        <v/>
      </c>
    </row>
    <row r="107">
      <c r="A107" s="15">
        <f>EDATE(Quotes!$E$2,3*105)</f>
        <v/>
      </c>
      <c r="B107" s="6">
        <f>Interpolation!A107</f>
        <v/>
      </c>
      <c r="C107" s="12">
        <f>Interpolation!E107</f>
        <v/>
      </c>
      <c r="D107" s="13">
        <f>(1-C107*Quotes!$B$2*SUM($D$3:D106))/(1+C107*Quotes!$B$2)</f>
        <v/>
      </c>
      <c r="E107" s="10">
        <f>(1/D107-1)/B107</f>
        <v/>
      </c>
      <c r="F107" s="10">
        <f>(D106/D107-1)/Quotes!$B$2</f>
        <v/>
      </c>
    </row>
    <row r="108">
      <c r="A108" s="15">
        <f>EDATE(Quotes!$E$2,3*106)</f>
        <v/>
      </c>
      <c r="B108" s="6">
        <f>Interpolation!A108</f>
        <v/>
      </c>
      <c r="C108" s="12">
        <f>Interpolation!E108</f>
        <v/>
      </c>
      <c r="D108" s="13">
        <f>(1-C108*Quotes!$B$2*SUM($D$3:D107))/(1+C108*Quotes!$B$2)</f>
        <v/>
      </c>
      <c r="E108" s="10">
        <f>(1/D108-1)/B108</f>
        <v/>
      </c>
      <c r="F108" s="10">
        <f>(D107/D108-1)/Quotes!$B$2</f>
        <v/>
      </c>
    </row>
    <row r="109">
      <c r="A109" s="15">
        <f>EDATE(Quotes!$E$2,3*107)</f>
        <v/>
      </c>
      <c r="B109" s="6">
        <f>Interpolation!A109</f>
        <v/>
      </c>
      <c r="C109" s="12">
        <f>Interpolation!E109</f>
        <v/>
      </c>
      <c r="D109" s="13">
        <f>(1-C109*Quotes!$B$2*SUM($D$3:D108))/(1+C109*Quotes!$B$2)</f>
        <v/>
      </c>
      <c r="E109" s="10">
        <f>(1/D109-1)/B109</f>
        <v/>
      </c>
      <c r="F109" s="10">
        <f>(D108/D109-1)/Quotes!$B$2</f>
        <v/>
      </c>
    </row>
    <row r="110">
      <c r="A110" s="15">
        <f>EDATE(Quotes!$E$2,3*108)</f>
        <v/>
      </c>
      <c r="B110" s="6">
        <f>Interpolation!A110</f>
        <v/>
      </c>
      <c r="C110" s="12">
        <f>Interpolation!E110</f>
        <v/>
      </c>
      <c r="D110" s="13">
        <f>(1-C110*Quotes!$B$2*SUM($D$3:D109))/(1+C110*Quotes!$B$2)</f>
        <v/>
      </c>
      <c r="E110" s="10">
        <f>(1/D110-1)/B110</f>
        <v/>
      </c>
      <c r="F110" s="10">
        <f>(D109/D110-1)/Quotes!$B$2</f>
        <v/>
      </c>
    </row>
    <row r="111">
      <c r="A111" s="15">
        <f>EDATE(Quotes!$E$2,3*109)</f>
        <v/>
      </c>
      <c r="B111" s="6">
        <f>Interpolation!A111</f>
        <v/>
      </c>
      <c r="C111" s="12">
        <f>Interpolation!E111</f>
        <v/>
      </c>
      <c r="D111" s="13">
        <f>(1-C111*Quotes!$B$2*SUM($D$3:D110))/(1+C111*Quotes!$B$2)</f>
        <v/>
      </c>
      <c r="E111" s="10">
        <f>(1/D111-1)/B111</f>
        <v/>
      </c>
      <c r="F111" s="10">
        <f>(D110/D111-1)/Quotes!$B$2</f>
        <v/>
      </c>
    </row>
    <row r="112">
      <c r="A112" s="15">
        <f>EDATE(Quotes!$E$2,3*110)</f>
        <v/>
      </c>
      <c r="B112" s="6">
        <f>Interpolation!A112</f>
        <v/>
      </c>
      <c r="C112" s="12">
        <f>Interpolation!E112</f>
        <v/>
      </c>
      <c r="D112" s="13">
        <f>(1-C112*Quotes!$B$2*SUM($D$3:D111))/(1+C112*Quotes!$B$2)</f>
        <v/>
      </c>
      <c r="E112" s="10">
        <f>(1/D112-1)/B112</f>
        <v/>
      </c>
      <c r="F112" s="10">
        <f>(D111/D112-1)/Quotes!$B$2</f>
        <v/>
      </c>
    </row>
    <row r="113">
      <c r="A113" s="15">
        <f>EDATE(Quotes!$E$2,3*111)</f>
        <v/>
      </c>
      <c r="B113" s="6">
        <f>Interpolation!A113</f>
        <v/>
      </c>
      <c r="C113" s="12">
        <f>Interpolation!E113</f>
        <v/>
      </c>
      <c r="D113" s="13">
        <f>(1-C113*Quotes!$B$2*SUM($D$3:D112))/(1+C113*Quotes!$B$2)</f>
        <v/>
      </c>
      <c r="E113" s="10">
        <f>(1/D113-1)/B113</f>
        <v/>
      </c>
      <c r="F113" s="10">
        <f>(D112/D113-1)/Quotes!$B$2</f>
        <v/>
      </c>
    </row>
    <row r="114">
      <c r="A114" s="15">
        <f>EDATE(Quotes!$E$2,3*112)</f>
        <v/>
      </c>
      <c r="B114" s="6">
        <f>Interpolation!A114</f>
        <v/>
      </c>
      <c r="C114" s="12">
        <f>Interpolation!E114</f>
        <v/>
      </c>
      <c r="D114" s="13">
        <f>(1-C114*Quotes!$B$2*SUM($D$3:D113))/(1+C114*Quotes!$B$2)</f>
        <v/>
      </c>
      <c r="E114" s="10">
        <f>(1/D114-1)/B114</f>
        <v/>
      </c>
      <c r="F114" s="10">
        <f>(D113/D114-1)/Quotes!$B$2</f>
        <v/>
      </c>
    </row>
    <row r="115">
      <c r="A115" s="15">
        <f>EDATE(Quotes!$E$2,3*113)</f>
        <v/>
      </c>
      <c r="B115" s="6">
        <f>Interpolation!A115</f>
        <v/>
      </c>
      <c r="C115" s="12">
        <f>Interpolation!E115</f>
        <v/>
      </c>
      <c r="D115" s="13">
        <f>(1-C115*Quotes!$B$2*SUM($D$3:D114))/(1+C115*Quotes!$B$2)</f>
        <v/>
      </c>
      <c r="E115" s="10">
        <f>(1/D115-1)/B115</f>
        <v/>
      </c>
      <c r="F115" s="10">
        <f>(D114/D115-1)/Quotes!$B$2</f>
        <v/>
      </c>
    </row>
    <row r="116">
      <c r="A116" s="15">
        <f>EDATE(Quotes!$E$2,3*114)</f>
        <v/>
      </c>
      <c r="B116" s="6">
        <f>Interpolation!A116</f>
        <v/>
      </c>
      <c r="C116" s="12">
        <f>Interpolation!E116</f>
        <v/>
      </c>
      <c r="D116" s="13">
        <f>(1-C116*Quotes!$B$2*SUM($D$3:D115))/(1+C116*Quotes!$B$2)</f>
        <v/>
      </c>
      <c r="E116" s="10">
        <f>(1/D116-1)/B116</f>
        <v/>
      </c>
      <c r="F116" s="10">
        <f>(D115/D116-1)/Quotes!$B$2</f>
        <v/>
      </c>
    </row>
    <row r="117">
      <c r="A117" s="15">
        <f>EDATE(Quotes!$E$2,3*115)</f>
        <v/>
      </c>
      <c r="B117" s="6">
        <f>Interpolation!A117</f>
        <v/>
      </c>
      <c r="C117" s="12">
        <f>Interpolation!E117</f>
        <v/>
      </c>
      <c r="D117" s="13">
        <f>(1-C117*Quotes!$B$2*SUM($D$3:D116))/(1+C117*Quotes!$B$2)</f>
        <v/>
      </c>
      <c r="E117" s="10">
        <f>(1/D117-1)/B117</f>
        <v/>
      </c>
      <c r="F117" s="10">
        <f>(D116/D117-1)/Quotes!$B$2</f>
        <v/>
      </c>
    </row>
    <row r="118">
      <c r="A118" s="15">
        <f>EDATE(Quotes!$E$2,3*116)</f>
        <v/>
      </c>
      <c r="B118" s="6">
        <f>Interpolation!A118</f>
        <v/>
      </c>
      <c r="C118" s="12">
        <f>Interpolation!E118</f>
        <v/>
      </c>
      <c r="D118" s="13">
        <f>(1-C118*Quotes!$B$2*SUM($D$3:D117))/(1+C118*Quotes!$B$2)</f>
        <v/>
      </c>
      <c r="E118" s="10">
        <f>(1/D118-1)/B118</f>
        <v/>
      </c>
      <c r="F118" s="10">
        <f>(D117/D118-1)/Quotes!$B$2</f>
        <v/>
      </c>
    </row>
    <row r="119">
      <c r="A119" s="15">
        <f>EDATE(Quotes!$E$2,3*117)</f>
        <v/>
      </c>
      <c r="B119" s="6">
        <f>Interpolation!A119</f>
        <v/>
      </c>
      <c r="C119" s="12">
        <f>Interpolation!E119</f>
        <v/>
      </c>
      <c r="D119" s="13">
        <f>(1-C119*Quotes!$B$2*SUM($D$3:D118))/(1+C119*Quotes!$B$2)</f>
        <v/>
      </c>
      <c r="E119" s="10">
        <f>(1/D119-1)/B119</f>
        <v/>
      </c>
      <c r="F119" s="10">
        <f>(D118/D119-1)/Quotes!$B$2</f>
        <v/>
      </c>
    </row>
    <row r="120">
      <c r="A120" s="15">
        <f>EDATE(Quotes!$E$2,3*118)</f>
        <v/>
      </c>
      <c r="B120" s="6">
        <f>Interpolation!A120</f>
        <v/>
      </c>
      <c r="C120" s="12">
        <f>Interpolation!E120</f>
        <v/>
      </c>
      <c r="D120" s="13">
        <f>(1-C120*Quotes!$B$2*SUM($D$3:D119))/(1+C120*Quotes!$B$2)</f>
        <v/>
      </c>
      <c r="E120" s="10">
        <f>(1/D120-1)/B120</f>
        <v/>
      </c>
      <c r="F120" s="10">
        <f>(D119/D120-1)/Quotes!$B$2</f>
        <v/>
      </c>
    </row>
    <row r="121">
      <c r="A121" s="15">
        <f>EDATE(Quotes!$E$2,3*119)</f>
        <v/>
      </c>
      <c r="B121" s="6">
        <f>Interpolation!A121</f>
        <v/>
      </c>
      <c r="C121" s="12">
        <f>Interpolation!E121</f>
        <v/>
      </c>
      <c r="D121" s="13">
        <f>(1-C121*Quotes!$B$2*SUM($D$3:D120))/(1+C121*Quotes!$B$2)</f>
        <v/>
      </c>
      <c r="E121" s="10">
        <f>(1/D121-1)/B121</f>
        <v/>
      </c>
      <c r="F121" s="10">
        <f>(D120/D121-1)/Quotes!$B$2</f>
        <v/>
      </c>
    </row>
    <row r="122">
      <c r="A122" s="15">
        <f>EDATE(Quotes!$E$2,3*120)</f>
        <v/>
      </c>
      <c r="B122" s="6">
        <f>Interpolation!A122</f>
        <v/>
      </c>
      <c r="C122" s="12">
        <f>Interpolation!E122</f>
        <v/>
      </c>
      <c r="D122" s="13">
        <f>(1-C122*Quotes!$B$2*SUM($D$3:D121))/(1+C122*Quotes!$B$2)</f>
        <v/>
      </c>
      <c r="E122" s="10">
        <f>(1/D122-1)/B122</f>
        <v/>
      </c>
      <c r="F122" s="10">
        <f>(D121/D122-1)/Quotes!$B$2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2026-07-23T06:38:08Z</dcterms:created>
  <dcterms:modified xmlns:dcterms="http://purl.org/dc/terms/" xmlns:xsi="http://www.w3.org/2001/XMLSchema-instance" xsi:type="dcterms:W3CDTF">2026-07-23T06:59:08Z</dcterms:modified>
</cp:coreProperties>
</file>