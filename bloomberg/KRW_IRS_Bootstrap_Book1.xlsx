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  <sheet xmlns:r="http://schemas.openxmlformats.org/officeDocument/2006/relationships" name="Sheet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8" customWidth="1" min="7" max="7"/>
    <col width="9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  <col width="10" customWidth="1" min="14" max="14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hedged at liquid benchmarks; cost analysis (live bid/offer + SDRV volume) sits under the trades.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L4" s="79" t="inlineStr">
        <is>
          <t>Benchmark annuity</t>
        </is>
      </c>
    </row>
    <row r="5">
      <c r="A5" s="79" t="inlineStr">
        <is>
          <t>Net DV01</t>
        </is>
      </c>
      <c r="B5" s="107">
        <f>Sheet1!$B$21</f>
        <v/>
      </c>
      <c r="C5" s="7" t="inlineStr">
        <is>
          <t>KRW per bp — net receiver</t>
        </is>
      </c>
      <c r="L5" s="51" t="inlineStr">
        <is>
          <t>Tenor</t>
        </is>
      </c>
      <c r="M5" s="51" t="inlineStr">
        <is>
          <t>T</t>
        </is>
      </c>
      <c r="N5" s="51" t="inlineStr">
        <is>
          <t>Annuity</t>
        </is>
      </c>
    </row>
    <row r="6">
      <c r="A6" s="79" t="inlineStr">
        <is>
          <t>Front 1Y–3Y</t>
        </is>
      </c>
      <c r="B6" s="108">
        <f>Sheet1!$B$9+Sheet1!$B$10+Sheet1!$B$11</f>
        <v/>
      </c>
      <c r="C6" s="7" t="inlineStr">
        <is>
          <t>long (positive)</t>
        </is>
      </c>
      <c r="L6" t="inlineStr">
        <is>
          <t>2Y</t>
        </is>
      </c>
      <c r="M6" t="n">
        <v>2</v>
      </c>
      <c r="N6" s="75">
        <f>Quotes!$B$2*SUMIF(Bootstrap!$B$3:$B$122,"&lt;="&amp;M6,Bootstrap!$D$3:$D$122)</f>
        <v/>
      </c>
    </row>
    <row r="7">
      <c r="A7" s="79" t="inlineStr">
        <is>
          <t>Back 4Y–10Y</t>
        </is>
      </c>
      <c r="B7" s="109">
        <f>Sheet1!$B$12+Sheet1!$B$13+Sheet1!$B$14+Sheet1!$B$15</f>
        <v/>
      </c>
      <c r="C7" s="7" t="inlineStr">
        <is>
          <t>short (negative), concentrated at 10Y</t>
        </is>
      </c>
      <c r="L7" t="inlineStr">
        <is>
          <t>3Y</t>
        </is>
      </c>
      <c r="M7" t="n">
        <v>3</v>
      </c>
      <c r="N7" s="75">
        <f>Quotes!$B$2*SUMIF(Bootstrap!$B$3:$B$122,"&lt;="&amp;M7,Bootstrap!$D$3:$D$122)</f>
        <v/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</t>
        </is>
      </c>
      <c r="L8" t="inlineStr">
        <is>
          <t>5Y</t>
        </is>
      </c>
      <c r="M8" t="n">
        <v>5</v>
      </c>
      <c r="N8" s="75">
        <f>Quotes!$B$2*SUMIF(Bootstrap!$B$3:$B$122,"&lt;="&amp;M8,Bootstrap!$D$3:$D$122)</f>
        <v/>
      </c>
    </row>
    <row r="9">
      <c r="L9" t="inlineStr">
        <is>
          <t>7Y</t>
        </is>
      </c>
      <c r="M9" t="n">
        <v>7</v>
      </c>
      <c r="N9" s="75">
        <f>Quotes!$B$2*SUMIF(Bootstrap!$B$3:$B$122,"&lt;="&amp;M9,Bootstrap!$D$3:$D$122)</f>
        <v/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L10" t="inlineStr">
        <is>
          <t>10Y</t>
        </is>
      </c>
      <c r="M10" t="n">
        <v>10</v>
      </c>
      <c r="N10" s="75">
        <f>Quotes!$B$2*SUMIF(Bootstrap!$B$3:$B$122,"&lt;="&amp;M10,Bootstrap!$D$3:$D$122)</f>
        <v/>
      </c>
    </row>
    <row r="11">
      <c r="A11" s="83" t="inlineStr">
        <is>
          <t>•  Hedge liquid benchmarks (2Y/3Y/5Y/10Y), not every bucket.</t>
        </is>
      </c>
    </row>
    <row r="12">
      <c r="A12" s="83" t="inlineStr">
        <is>
          <t>•  Fold orphans into the nearest benchmark: 1Y→2Y, 4Y→5Y, 7Y→10Y.</t>
        </is>
      </c>
    </row>
    <row r="13">
      <c r="A13" s="83" t="inlineStr">
        <is>
          <t>•  Skip the sub-1Y dust — bid/offer &gt; risk.</t>
        </is>
      </c>
    </row>
    <row r="14">
      <c r="A14" s="30" t="inlineStr">
        <is>
          <t>3 · The trades  (4 swaps)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</row>
    <row r="15">
      <c r="A15" s="50" t="inlineStr">
        <is>
          <t>Swap</t>
        </is>
      </c>
      <c r="B15" s="50" t="inlineStr">
        <is>
          <t>Direction</t>
        </is>
      </c>
      <c r="C15" s="50" t="inlineStr">
        <is>
          <t>Notional (bn)</t>
        </is>
      </c>
      <c r="D15" s="50" t="inlineStr">
        <is>
          <t>Absorbs</t>
        </is>
      </c>
      <c r="E15" s="50" t="inlineStr">
        <is>
          <t>Group DV01 (KRW/bp)</t>
        </is>
      </c>
      <c r="F15" s="50" t="inlineStr">
        <is>
          <t>Annuity</t>
        </is>
      </c>
    </row>
    <row r="16">
      <c r="A16" s="84" t="inlineStr">
        <is>
          <t>2Y</t>
        </is>
      </c>
      <c r="B16" s="84">
        <f>IF(E16&gt;0,"Receive fixed","Pay fixed")</f>
        <v/>
      </c>
      <c r="C16" s="110">
        <f>ABS(E16/(F16*0.0001))/1000000000</f>
        <v/>
      </c>
      <c r="D16" s="4" t="inlineStr">
        <is>
          <t>1Y + 2Y</t>
        </is>
      </c>
      <c r="E16" s="41">
        <f>Sheet1!$B$9+Sheet1!$B$10</f>
        <v/>
      </c>
      <c r="F16" s="86">
        <f>$N$6</f>
        <v/>
      </c>
    </row>
    <row r="17">
      <c r="A17" s="84" t="inlineStr">
        <is>
          <t>3Y</t>
        </is>
      </c>
      <c r="B17" s="84">
        <f>IF(E17&gt;0,"Receive fixed","Pay fixed")</f>
        <v/>
      </c>
      <c r="C17" s="110">
        <f>ABS(E17/(F17*0.0001))/1000000000</f>
        <v/>
      </c>
      <c r="D17" s="4" t="inlineStr">
        <is>
          <t>3Y</t>
        </is>
      </c>
      <c r="E17" s="41">
        <f>Sheet1!$B$11</f>
        <v/>
      </c>
      <c r="F17" s="86">
        <f>$N$7</f>
        <v/>
      </c>
    </row>
    <row r="18">
      <c r="A18" s="84" t="inlineStr">
        <is>
          <t>5Y</t>
        </is>
      </c>
      <c r="B18" s="84">
        <f>IF(E18&gt;0,"Receive fixed","Pay fixed")</f>
        <v/>
      </c>
      <c r="C18" s="110">
        <f>ABS(E18/(F18*0.0001))/1000000000</f>
        <v/>
      </c>
      <c r="D18" s="4" t="inlineStr">
        <is>
          <t>4Y + 5Y</t>
        </is>
      </c>
      <c r="E18" s="41">
        <f>Sheet1!$B$12+Sheet1!$B$13</f>
        <v/>
      </c>
      <c r="F18" s="86">
        <f>$N$8</f>
        <v/>
      </c>
    </row>
    <row r="19">
      <c r="A19" s="84" t="inlineStr">
        <is>
          <t>10Y</t>
        </is>
      </c>
      <c r="B19" s="84">
        <f>IF(E19&gt;0,"Receive fixed","Pay fixed")</f>
        <v/>
      </c>
      <c r="C19" s="110">
        <f>ABS(E19/(F19*0.0001))/1000000000</f>
        <v/>
      </c>
      <c r="D19" s="4" t="inlineStr">
        <is>
          <t>7Y + 10Y</t>
        </is>
      </c>
      <c r="E19" s="41">
        <f>Sheet1!$B$14+Sheet1!$B$15</f>
        <v/>
      </c>
      <c r="F19" s="86">
        <f>$N$10</f>
        <v/>
      </c>
    </row>
    <row r="21">
      <c r="A21" s="30" t="inlineStr">
        <is>
          <t>4 · Cost to hedge &amp; liquidity   (KWSWNI tickers — confirm on GC S205 &gt; Table)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</row>
    <row r="22">
      <c r="A22" s="50" t="inlineStr">
        <is>
          <t>Tenor</t>
        </is>
      </c>
      <c r="B22" s="50" t="inlineStr">
        <is>
          <t>Ticker (edit)</t>
        </is>
      </c>
      <c r="C22" s="50" t="inlineStr">
        <is>
          <t>Bid</t>
        </is>
      </c>
      <c r="D22" s="50" t="inlineStr">
        <is>
          <t>Ask</t>
        </is>
      </c>
      <c r="E22" s="50" t="inlineStr">
        <is>
          <t>Spread (bp)</t>
        </is>
      </c>
      <c r="F22" s="50" t="inlineStr">
        <is>
          <t>Avg spr 1M (bp)</t>
        </is>
      </c>
      <c r="G22" s="50" t="inlineStr">
        <is>
          <t>DV01 (KRW/bp)</t>
        </is>
      </c>
      <c r="H22" s="50" t="inlineStr">
        <is>
          <t>Annuity</t>
        </is>
      </c>
      <c r="I22" s="50" t="inlineStr">
        <is>
          <t>Notl (bn)</t>
        </is>
      </c>
      <c r="J22" s="50" t="inlineStr">
        <is>
          <t>Cost (KRW)</t>
        </is>
      </c>
      <c r="K22" s="50" t="inlineStr">
        <is>
          <t>Break-even (bp)</t>
        </is>
      </c>
      <c r="L22" s="50" t="inlineStr">
        <is>
          <t>Vol USDmm</t>
        </is>
      </c>
      <c r="M22" s="50" t="inlineStr">
        <is>
          <t>Verdict</t>
        </is>
      </c>
    </row>
    <row r="23">
      <c r="A23" s="84" t="inlineStr">
        <is>
          <t>2Y</t>
        </is>
      </c>
      <c r="B23" s="104" t="inlineStr">
        <is>
          <t>KWSWNI2 BGN Curncy</t>
        </is>
      </c>
      <c r="C23" s="9">
        <f>IFERROR(BDP(B23,"PX_BID"),"n/a")</f>
        <v/>
      </c>
      <c r="D23" s="9">
        <f>IFERROR(BDP(B23,"PX_ASK"),"n/a")</f>
        <v/>
      </c>
      <c r="E23" s="6">
        <f>IFERROR((D23-C23)*100,"n/a")</f>
        <v/>
      </c>
      <c r="F23" s="6">
        <f>IFERROR((AVERAGE(BDH(B23,"PX_ASK",TEXT(TODAY()-30,"yyyymmdd"),TEXT(TODAY(),"yyyymmdd"),"Dts=H"))-AVERAGE(BDH(B23,"PX_BID",TEXT(TODAY()-30,"yyyymmdd"),TEXT(TODAY(),"yyyymmdd"),"Dts=H")))*100,"n/a")</f>
        <v/>
      </c>
      <c r="G23" s="41">
        <f>'KRD-v3'!$B$15+'KRD-v3'!$B$16</f>
        <v/>
      </c>
      <c r="H23" s="86">
        <f>Quotes!$B$2*SUMIF(Bootstrap!$B$3:$B$122,"&lt;="&amp;2,Bootstrap!$D$3:$D$122)</f>
        <v/>
      </c>
      <c r="I23" s="93">
        <f>ABS(G23/(H23*0.0001))/1000000000</f>
        <v/>
      </c>
      <c r="J23" s="41">
        <f>IFERROR(I23*1000000000*H23*(E23/2)*0.0001,"n/a")</f>
        <v/>
      </c>
      <c r="K23" s="6">
        <f>IFERROR(J23/ABS(G23),"n/a")</f>
        <v/>
      </c>
      <c r="L23" s="104" t="n">
        <v>0</v>
      </c>
      <c r="M23" s="94">
        <f>IFERROR(IF(K23&lt;1,"TRADE","SKIP"),"SKIP")</f>
        <v/>
      </c>
    </row>
    <row r="24">
      <c r="A24" s="84" t="inlineStr">
        <is>
          <t>3Y</t>
        </is>
      </c>
      <c r="B24" s="104" t="inlineStr">
        <is>
          <t>KWSWNI3 BGN Curncy</t>
        </is>
      </c>
      <c r="C24" s="9">
        <f>IFERROR(BDP(B24,"PX_BID"),"n/a")</f>
        <v/>
      </c>
      <c r="D24" s="9">
        <f>IFERROR(BDP(B24,"PX_ASK"),"n/a")</f>
        <v/>
      </c>
      <c r="E24" s="6">
        <f>IFERROR((D24-C24)*100,"n/a")</f>
        <v/>
      </c>
      <c r="F24" s="6">
        <f>IFERROR((AVERAGE(BDH(B24,"PX_ASK",TEXT(TODAY()-30,"yyyymmdd"),TEXT(TODAY(),"yyyymmdd"),"Dts=H"))-AVERAGE(BDH(B24,"PX_BID",TEXT(TODAY()-30,"yyyymmdd"),TEXT(TODAY(),"yyyymmdd"),"Dts=H")))*100,"n/a")</f>
        <v/>
      </c>
      <c r="G24" s="41">
        <f>'KRD-v3'!$B$17</f>
        <v/>
      </c>
      <c r="H24" s="86">
        <f>Quotes!$B$2*SUMIF(Bootstrap!$B$3:$B$122,"&lt;="&amp;3,Bootstrap!$D$3:$D$122)</f>
        <v/>
      </c>
      <c r="I24" s="93">
        <f>ABS(G24/(H24*0.0001))/1000000000</f>
        <v/>
      </c>
      <c r="J24" s="41">
        <f>IFERROR(I24*1000000000*H24*(E24/2)*0.0001,"n/a")</f>
        <v/>
      </c>
      <c r="K24" s="6">
        <f>IFERROR(J24/ABS(G24),"n/a")</f>
        <v/>
      </c>
      <c r="L24" s="104" t="n">
        <v>0</v>
      </c>
      <c r="M24" s="94">
        <f>IFERROR(IF(K24&lt;1,"TRADE","SKIP"),"SKIP")</f>
        <v/>
      </c>
    </row>
    <row r="25">
      <c r="A25" s="84" t="inlineStr">
        <is>
          <t>5Y</t>
        </is>
      </c>
      <c r="B25" s="104" t="inlineStr">
        <is>
          <t>KWSWNI5 BGN Curncy</t>
        </is>
      </c>
      <c r="C25" s="9">
        <f>IFERROR(BDP(B25,"PX_BID"),"n/a")</f>
        <v/>
      </c>
      <c r="D25" s="9">
        <f>IFERROR(BDP(B25,"PX_ASK"),"n/a")</f>
        <v/>
      </c>
      <c r="E25" s="6">
        <f>IFERROR((D25-C25)*100,"n/a")</f>
        <v/>
      </c>
      <c r="F25" s="6">
        <f>IFERROR((AVERAGE(BDH(B25,"PX_ASK",TEXT(TODAY()-30,"yyyymmdd"),TEXT(TODAY(),"yyyymmdd"),"Dts=H"))-AVERAGE(BDH(B25,"PX_BID",TEXT(TODAY()-30,"yyyymmdd"),TEXT(TODAY(),"yyyymmdd"),"Dts=H")))*100,"n/a")</f>
        <v/>
      </c>
      <c r="G25" s="41">
        <f>'KRD-v3'!$B$18+'KRD-v3'!$B$19</f>
        <v/>
      </c>
      <c r="H25" s="86">
        <f>Quotes!$B$2*SUMIF(Bootstrap!$B$3:$B$122,"&lt;="&amp;5,Bootstrap!$D$3:$D$122)</f>
        <v/>
      </c>
      <c r="I25" s="93">
        <f>ABS(G25/(H25*0.0001))/1000000000</f>
        <v/>
      </c>
      <c r="J25" s="41">
        <f>IFERROR(I25*1000000000*H25*(E25/2)*0.0001,"n/a")</f>
        <v/>
      </c>
      <c r="K25" s="6">
        <f>IFERROR(J25/ABS(G25),"n/a")</f>
        <v/>
      </c>
      <c r="L25" s="104" t="n">
        <v>0</v>
      </c>
      <c r="M25" s="94">
        <f>IFERROR(IF(K25&lt;1,"TRADE","SKIP"),"SKIP")</f>
        <v/>
      </c>
    </row>
    <row r="26">
      <c r="A26" s="84" t="inlineStr">
        <is>
          <t>10Y</t>
        </is>
      </c>
      <c r="B26" s="104" t="inlineStr">
        <is>
          <t>KWSWNI10 BGN Curncy</t>
        </is>
      </c>
      <c r="C26" s="9">
        <f>IFERROR(BDP(B26,"PX_BID"),"n/a")</f>
        <v/>
      </c>
      <c r="D26" s="9">
        <f>IFERROR(BDP(B26,"PX_ASK"),"n/a")</f>
        <v/>
      </c>
      <c r="E26" s="6">
        <f>IFERROR((D26-C26)*100,"n/a")</f>
        <v/>
      </c>
      <c r="F26" s="6">
        <f>IFERROR((AVERAGE(BDH(B26,"PX_ASK",TEXT(TODAY()-30,"yyyymmdd"),TEXT(TODAY(),"yyyymmdd"),"Dts=H"))-AVERAGE(BDH(B26,"PX_BID",TEXT(TODAY()-30,"yyyymmdd"),TEXT(TODAY(),"yyyymmdd"),"Dts=H")))*100,"n/a")</f>
        <v/>
      </c>
      <c r="G26" s="41">
        <f>'KRD-v3'!$B$20+'KRD-v3'!$B$21</f>
        <v/>
      </c>
      <c r="H26" s="86">
        <f>Quotes!$B$2*SUMIF(Bootstrap!$B$3:$B$122,"&lt;="&amp;10,Bootstrap!$D$3:$D$122)</f>
        <v/>
      </c>
      <c r="I26" s="93">
        <f>ABS(G26/(H26*0.0001))/1000000000</f>
        <v/>
      </c>
      <c r="J26" s="41">
        <f>IFERROR(I26*1000000000*H26*(E26/2)*0.0001,"n/a")</f>
        <v/>
      </c>
      <c r="K26" s="6">
        <f>IFERROR(J26/ABS(G26),"n/a")</f>
        <v/>
      </c>
      <c r="L26" s="104" t="n">
        <v>0</v>
      </c>
      <c r="M26" s="94">
        <f>IFERROR(IF(K26&lt;1,"TRADE","SKIP"),"SKIP")</f>
        <v/>
      </c>
    </row>
    <row r="27">
      <c r="A27" s="95" t="inlineStr">
        <is>
          <t>7Y split</t>
        </is>
      </c>
      <c r="B27" s="104" t="inlineStr">
        <is>
          <t>KWSWNI7 BGN Curncy</t>
        </is>
      </c>
      <c r="C27" s="97">
        <f>IFERROR(BDP(B27,"PX_BID"),"n/a")</f>
        <v/>
      </c>
      <c r="D27" s="97">
        <f>IFERROR(BDP(B27,"PX_ASK"),"n/a")</f>
        <v/>
      </c>
      <c r="E27" s="105">
        <f>IFERROR((D27-C27)*100,"n/a")</f>
        <v/>
      </c>
      <c r="F27" s="105">
        <f>IFERROR((AVERAGE(BDH(B27,"PX_ASK",TEXT(TODAY()-30,"yyyymmdd"),TEXT(TODAY(),"yyyymmdd"),"Dts=H"))-AVERAGE(BDH(B27,"PX_BID",TEXT(TODAY()-30,"yyyymmdd"),TEXT(TODAY(),"yyyymmdd"),"Dts=H")))*100,"n/a")</f>
        <v/>
      </c>
      <c r="G27" s="99">
        <f>'KRD-v3'!$B$20</f>
        <v/>
      </c>
      <c r="H27" s="100">
        <f>Quotes!$B$2*SUMIF(Bootstrap!$B$3:$B$122,"&lt;="&amp;7,Bootstrap!$D$3:$D$122)</f>
        <v/>
      </c>
      <c r="I27" s="101">
        <f>ABS(G27/(H27*0.0001))/1000000000</f>
        <v/>
      </c>
      <c r="J27" s="99">
        <f>IFERROR(I27*1000000000*H27*(E27/2)*0.0001,"n/a")</f>
        <v/>
      </c>
      <c r="K27" s="105">
        <f>IFERROR(J27/ABS(G27),"n/a")</f>
        <v/>
      </c>
      <c r="L27" s="104" t="n">
        <v>0</v>
      </c>
      <c r="M27" s="102">
        <f>IFERROR(IF(K27&lt;1,"TRADE","SKIP"),"SKIP")</f>
        <v/>
      </c>
    </row>
    <row r="28">
      <c r="A28" s="95" t="inlineStr">
        <is>
          <t>Dust 3-9M</t>
        </is>
      </c>
      <c r="B28" s="104" t="inlineStr">
        <is>
          <t>(front=CD/FRA, GC S205)</t>
        </is>
      </c>
      <c r="C28" s="97">
        <f>IFERROR(BDP(B28,"PX_BID"),"n/a")</f>
        <v/>
      </c>
      <c r="D28" s="97">
        <f>IFERROR(BDP(B28,"PX_ASK"),"n/a")</f>
        <v/>
      </c>
      <c r="E28" s="105">
        <f>IFERROR((D28-C28)*100,"n/a")</f>
        <v/>
      </c>
      <c r="F28" s="105">
        <f>IFERROR((AVERAGE(BDH(B28,"PX_ASK",TEXT(TODAY()-30,"yyyymmdd"),TEXT(TODAY(),"yyyymmdd"),"Dts=H"))-AVERAGE(BDH(B28,"PX_BID",TEXT(TODAY()-30,"yyyymmdd"),TEXT(TODAY(),"yyyymmdd"),"Dts=H")))*100,"n/a")</f>
        <v/>
      </c>
      <c r="G28" s="99">
        <f>'KRD-v3'!$B$12+'KRD-v3'!$B$13+'KRD-v3'!$B$14</f>
        <v/>
      </c>
      <c r="H28" s="100">
        <f>Quotes!$B$2*SUMIF(Bootstrap!$B$3:$B$122,"&lt;="&amp;1,Bootstrap!$D$3:$D$122)</f>
        <v/>
      </c>
      <c r="I28" s="101">
        <f>ABS(G28/(H28*0.0001))/1000000000</f>
        <v/>
      </c>
      <c r="J28" s="99">
        <f>IFERROR(I28*1000000000*H28*(E28/2)*0.0001,"n/a")</f>
        <v/>
      </c>
      <c r="K28" s="105">
        <f>IFERROR(J28/ABS(G28),"n/a")</f>
        <v/>
      </c>
      <c r="L28" s="104" t="n">
        <v>0</v>
      </c>
      <c r="M28" s="102" t="inlineStr">
        <is>
          <t>SKIP</t>
        </is>
      </c>
    </row>
    <row r="29">
      <c r="A29" s="79" t="inlineStr">
        <is>
          <t>TOTAL cost (4 trades)</t>
        </is>
      </c>
      <c r="J29" s="91">
        <f>SUM(J23:J26)</f>
        <v/>
      </c>
    </row>
    <row r="30">
      <c r="A30" s="7" t="inlineStr">
        <is>
          <t>Yellow = inputs: exact ticker from GC S205 &gt; Table, and SDRV volume (USDmm) per tenor.</t>
        </is>
      </c>
    </row>
    <row r="31">
      <c r="A31" s="7" t="inlineStr">
        <is>
          <t>Break-even (bp) = cost / DV01 ≈ half the bid/offer. &lt;1bp -&gt; TRADE. Cross-check with SDRV volume.</t>
        </is>
      </c>
    </row>
    <row r="32">
      <c r="A32" s="103" t="inlineStr">
        <is>
          <t>Commands:  GC S205 &lt;GO&gt; (tickers/curve) · SDRV &lt;GO&gt; Rates&gt;IRS/FRA&gt;KRW (volume) · SDR &lt;GO&gt; (trade drill).</t>
        </is>
      </c>
    </row>
    <row r="34">
      <c r="A34" s="30" t="inlineStr">
        <is>
          <t>5 · After the hedge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</row>
    <row r="35">
      <c r="A35" s="79" t="inlineStr">
        <is>
          <t>Grouped buckets 2Y/3Y/5Y/10Y</t>
        </is>
      </c>
      <c r="C35" s="83" t="inlineStr">
        <is>
          <t>neutralized to 0</t>
        </is>
      </c>
    </row>
    <row r="36">
      <c r="A36" s="79" t="inlineStr">
        <is>
          <t>Residual DV01</t>
        </is>
      </c>
      <c r="C36" s="87">
        <f>Sheet1!$B$6+Sheet1!$B$7+Sheet1!$B$8</f>
        <v/>
      </c>
      <c r="D36" s="7" t="inlineStr">
        <is>
          <t>sub-1Y dust only</t>
        </is>
      </c>
    </row>
    <row r="38">
      <c r="A38" s="30" t="inlineStr">
        <is>
          <t>6 · Optional — split 7Y out (kills 7s10s residual, +1 ticket)</t>
        </is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(KRW/bp)</t>
        </is>
      </c>
      <c r="F39" s="50" t="inlineStr">
        <is>
          <t>Annuity</t>
        </is>
      </c>
    </row>
    <row r="40">
      <c r="A40" s="84" t="inlineStr">
        <is>
          <t>7Y</t>
        </is>
      </c>
      <c r="B40" s="84">
        <f>IF(E40&gt;0,"Receive fixed","Pay fixed")</f>
        <v/>
      </c>
      <c r="C40" s="111">
        <f>ABS(E40/(F40*0.0001))/1000000000</f>
        <v/>
      </c>
      <c r="D40" s="4" t="inlineStr">
        <is>
          <t>7Y</t>
        </is>
      </c>
      <c r="E40" s="41">
        <f>Sheet1!$B$14</f>
        <v/>
      </c>
      <c r="F40" s="86">
        <f>$N$9</f>
        <v/>
      </c>
    </row>
    <row r="41">
      <c r="A41" s="84" t="inlineStr">
        <is>
          <t>10Y</t>
        </is>
      </c>
      <c r="B41" s="84">
        <f>IF(E41&gt;0,"Receive fixed","Pay fixed")</f>
        <v/>
      </c>
      <c r="C41" s="111">
        <f>ABS(E41/(F41*0.0001))/1000000000</f>
        <v/>
      </c>
      <c r="D41" s="4" t="inlineStr">
        <is>
          <t>10Y</t>
        </is>
      </c>
      <c r="E41" s="41">
        <f>Sheet1!$B$15</f>
        <v/>
      </c>
      <c r="F41" s="86">
        <f>$N$10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2026-07-24T07:35:09Z</dcterms:modified>
</cp:coreProperties>
</file>