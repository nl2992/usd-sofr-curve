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_Swa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SWPM" sheetId="7" state="visible" r:id="rId7"/>
    <sheet xmlns:r="http://schemas.openxmlformats.org/officeDocument/2006/relationships" name="Swap_Check" sheetId="8" state="visible" r:id="rId8"/>
  </sheets>
  <definedNames>
    <definedName name="KTAU">Quotes!$B$2</definedName>
    <definedName name="KDF">Bootstrap!$D$3:$D$122</definedName>
    <definedName name="KFWD">Bootstrap!$F$3:$F$122</definedName>
    <definedName name="KQLABEL">Quotes!$A$5:$A$19</definedName>
    <definedName name="KQYEAR">Quotes!$C$5:$C$19</definedName>
    <definedName name="KQRATE">Quotes!$B$5:$B$19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</numFmts>
  <fonts count="2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Amort_Swap + KRD into your master</t>
        </is>
      </c>
    </row>
    <row r="2">
      <c r="A2" s="46" t="inlineStr"/>
    </row>
    <row r="3">
      <c r="A3" s="59" t="inlineStr">
        <is>
          <t>Both sheets speak only in defined names for the curve, so they bind to your master's</t>
        </is>
      </c>
    </row>
    <row r="4">
      <c r="A4" s="59" t="inlineStr">
        <is>
          <t>Quotes and Bootstrap - whatever columns those live in.</t>
        </is>
      </c>
    </row>
    <row r="5">
      <c r="A5" s="46" t="inlineStr"/>
    </row>
    <row r="6">
      <c r="A6" s="60" t="inlineStr">
        <is>
          <t>STEP 1 - in your master, Formulas &gt; Name Manager &gt; New, add these six:</t>
        </is>
      </c>
    </row>
    <row r="7">
      <c r="A7" s="61" t="inlineStr">
        <is>
          <t xml:space="preserve">   KTAU      = your tau cell            (e.g. Quotes!$B$2)</t>
        </is>
      </c>
    </row>
    <row r="8">
      <c r="A8" s="61" t="inlineStr">
        <is>
          <t xml:space="preserve">   KDF       = your Bootstrap DF column      (e.g. Bootstrap!$D$3:$D$122)</t>
        </is>
      </c>
    </row>
    <row r="9">
      <c r="A9" s="61" t="inlineStr">
        <is>
          <t xml:space="preserve">   KFWD      = your Bootstrap forward column (e.g. Bootstrap!$F$3:$F$122)</t>
        </is>
      </c>
    </row>
    <row r="10">
      <c r="A10" s="61" t="inlineStr">
        <is>
          <t xml:space="preserve">   KQLABEL   = Quotes tenor labels           (e.g. Quotes!$A$5:$A$19)</t>
        </is>
      </c>
    </row>
    <row r="11">
      <c r="A11" s="61" t="inlineStr">
        <is>
          <t xml:space="preserve">   KQYEAR    = Quotes tenor years            (e.g. Quotes!$C$5:$C$19)</t>
        </is>
      </c>
    </row>
    <row r="12">
      <c r="A12" s="61" t="inlineStr">
        <is>
          <t xml:space="preserve">   KQRATE    = Quotes rates                  (e.g. Quotes!$B$5:$B$19)</t>
        </is>
      </c>
    </row>
    <row r="13">
      <c r="A13" s="46" t="inlineStr">
        <is>
          <t>Point each at YOUR sheet's actual columns - the names do the rest.</t>
        </is>
      </c>
    </row>
    <row r="14">
      <c r="A14" s="46" t="inlineStr"/>
    </row>
    <row r="15">
      <c r="A15" s="59" t="inlineStr">
        <is>
          <t>STEP 2 - move BOTH sheets together (select Amort_Swap and KRD, right-click &gt;</t>
        </is>
      </c>
    </row>
    <row r="16">
      <c r="A16" s="59" t="inlineStr">
        <is>
          <t>Move or Copy &gt; your master). Moving them together keeps the KRD-&gt;Amort_Swap link internal.</t>
        </is>
      </c>
    </row>
    <row r="17">
      <c r="A17" s="46" t="inlineStr"/>
    </row>
    <row r="18">
      <c r="A18" s="59" t="inlineStr">
        <is>
          <t>STEP 3 - if any cell shows [KRW_IRS_Bootstrap_Book1.xlsx] after the move, Ctrl+H,</t>
        </is>
      </c>
    </row>
    <row r="19">
      <c r="A19" s="59" t="inlineStr">
        <is>
          <t>find that prefix, replace with nothing.</t>
        </is>
      </c>
    </row>
    <row r="20">
      <c r="A20" s="46" t="inlineStr"/>
    </row>
    <row r="21">
      <c r="A21" s="62" t="inlineStr">
        <is>
          <t>Then paste Kevin's notional schedule into Amort_Swap E20:E59 - the fixed rate and every</t>
        </is>
      </c>
    </row>
    <row r="22">
      <c r="A22" s="62" t="inlineStr">
        <is>
          <t>delta scale with 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KTAU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INDEX(KDF,1)</f>
        <v/>
      </c>
      <c r="E20" s="32" t="n">
        <v>10000000000</v>
      </c>
      <c r="F20" s="24">
        <f>INDEX(KFWD,1)</f>
        <v/>
      </c>
      <c r="G20" s="41">
        <f>E20*$B$12*$B$9</f>
        <v/>
      </c>
      <c r="H20" s="41">
        <f>E20*F20*$B$9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INDEX(KDF,2)</f>
        <v/>
      </c>
      <c r="E21" s="32" t="n">
        <v>10000000000</v>
      </c>
      <c r="F21" s="24">
        <f>INDEX(KFWD,2)</f>
        <v/>
      </c>
      <c r="G21" s="41">
        <f>E21*$B$12*$B$9</f>
        <v/>
      </c>
      <c r="H21" s="41">
        <f>E21*F21*$B$9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INDEX(KDF,3)</f>
        <v/>
      </c>
      <c r="E22" s="32" t="n">
        <v>10000000000</v>
      </c>
      <c r="F22" s="24">
        <f>INDEX(KFWD,3)</f>
        <v/>
      </c>
      <c r="G22" s="41">
        <f>E22*$B$12*$B$9</f>
        <v/>
      </c>
      <c r="H22" s="41">
        <f>E22*F22*$B$9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INDEX(KDF,4)</f>
        <v/>
      </c>
      <c r="E23" s="32" t="n">
        <v>10000000000</v>
      </c>
      <c r="F23" s="24">
        <f>INDEX(KFWD,4)</f>
        <v/>
      </c>
      <c r="G23" s="41">
        <f>E23*$B$12*$B$9</f>
        <v/>
      </c>
      <c r="H23" s="41">
        <f>E23*F23*$B$9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INDEX(KDF,5)</f>
        <v/>
      </c>
      <c r="E24" s="32" t="n">
        <v>30000000000</v>
      </c>
      <c r="F24" s="24">
        <f>INDEX(KFWD,5)</f>
        <v/>
      </c>
      <c r="G24" s="41">
        <f>E24*$B$12*$B$9</f>
        <v/>
      </c>
      <c r="H24" s="41">
        <f>E24*F24*$B$9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INDEX(KDF,6)</f>
        <v/>
      </c>
      <c r="E25" s="32" t="n">
        <v>30000000000</v>
      </c>
      <c r="F25" s="24">
        <f>INDEX(KFWD,6)</f>
        <v/>
      </c>
      <c r="G25" s="41">
        <f>E25*$B$12*$B$9</f>
        <v/>
      </c>
      <c r="H25" s="41">
        <f>E25*F25*$B$9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INDEX(KDF,7)</f>
        <v/>
      </c>
      <c r="E26" s="32" t="n">
        <v>30000000000</v>
      </c>
      <c r="F26" s="24">
        <f>INDEX(KFWD,7)</f>
        <v/>
      </c>
      <c r="G26" s="41">
        <f>E26*$B$12*$B$9</f>
        <v/>
      </c>
      <c r="H26" s="41">
        <f>E26*F26*$B$9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INDEX(KDF,8)</f>
        <v/>
      </c>
      <c r="E27" s="32" t="n">
        <v>30000000000</v>
      </c>
      <c r="F27" s="24">
        <f>INDEX(KFWD,8)</f>
        <v/>
      </c>
      <c r="G27" s="41">
        <f>E27*$B$12*$B$9</f>
        <v/>
      </c>
      <c r="H27" s="41">
        <f>E27*F27*$B$9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INDEX(KDF,9)</f>
        <v/>
      </c>
      <c r="E28" s="32" t="n">
        <v>60000000000</v>
      </c>
      <c r="F28" s="24">
        <f>INDEX(KFWD,9)</f>
        <v/>
      </c>
      <c r="G28" s="41">
        <f>E28*$B$12*$B$9</f>
        <v/>
      </c>
      <c r="H28" s="41">
        <f>E28*F28*$B$9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INDEX(KDF,10)</f>
        <v/>
      </c>
      <c r="E29" s="32" t="n">
        <v>60000000000</v>
      </c>
      <c r="F29" s="24">
        <f>INDEX(KFWD,10)</f>
        <v/>
      </c>
      <c r="G29" s="41">
        <f>E29*$B$12*$B$9</f>
        <v/>
      </c>
      <c r="H29" s="41">
        <f>E29*F29*$B$9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INDEX(KDF,11)</f>
        <v/>
      </c>
      <c r="E30" s="32" t="n">
        <v>60000000000</v>
      </c>
      <c r="F30" s="24">
        <f>INDEX(KFWD,11)</f>
        <v/>
      </c>
      <c r="G30" s="41">
        <f>E30*$B$12*$B$9</f>
        <v/>
      </c>
      <c r="H30" s="41">
        <f>E30*F30*$B$9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INDEX(KDF,12)</f>
        <v/>
      </c>
      <c r="E31" s="32" t="n">
        <v>60000000000</v>
      </c>
      <c r="F31" s="24">
        <f>INDEX(KFWD,12)</f>
        <v/>
      </c>
      <c r="G31" s="41">
        <f>E31*$B$12*$B$9</f>
        <v/>
      </c>
      <c r="H31" s="41">
        <f>E31*F31*$B$9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INDEX(KDF,13)</f>
        <v/>
      </c>
      <c r="E32" s="32" t="n">
        <v>100000000000</v>
      </c>
      <c r="F32" s="24">
        <f>INDEX(KFWD,13)</f>
        <v/>
      </c>
      <c r="G32" s="41">
        <f>E32*$B$12*$B$9</f>
        <v/>
      </c>
      <c r="H32" s="41">
        <f>E32*F32*$B$9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INDEX(KDF,14)</f>
        <v/>
      </c>
      <c r="E33" s="32" t="n">
        <v>100000000000</v>
      </c>
      <c r="F33" s="24">
        <f>INDEX(KFWD,14)</f>
        <v/>
      </c>
      <c r="G33" s="41">
        <f>E33*$B$12*$B$9</f>
        <v/>
      </c>
      <c r="H33" s="41">
        <f>E33*F33*$B$9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INDEX(KDF,15)</f>
        <v/>
      </c>
      <c r="E34" s="32" t="n">
        <v>100000000000</v>
      </c>
      <c r="F34" s="24">
        <f>INDEX(KFWD,15)</f>
        <v/>
      </c>
      <c r="G34" s="41">
        <f>E34*$B$12*$B$9</f>
        <v/>
      </c>
      <c r="H34" s="41">
        <f>E34*F34*$B$9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INDEX(KDF,16)</f>
        <v/>
      </c>
      <c r="E35" s="32" t="n">
        <v>100000000000</v>
      </c>
      <c r="F35" s="24">
        <f>INDEX(KFWD,16)</f>
        <v/>
      </c>
      <c r="G35" s="41">
        <f>E35*$B$12*$B$9</f>
        <v/>
      </c>
      <c r="H35" s="41">
        <f>E35*F35*$B$9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INDEX(KDF,17)</f>
        <v/>
      </c>
      <c r="E36" s="32" t="n">
        <v>80000000000</v>
      </c>
      <c r="F36" s="24">
        <f>INDEX(KFWD,17)</f>
        <v/>
      </c>
      <c r="G36" s="41">
        <f>E36*$B$12*$B$9</f>
        <v/>
      </c>
      <c r="H36" s="41">
        <f>E36*F36*$B$9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INDEX(KDF,18)</f>
        <v/>
      </c>
      <c r="E37" s="32" t="n">
        <v>80000000000</v>
      </c>
      <c r="F37" s="24">
        <f>INDEX(KFWD,18)</f>
        <v/>
      </c>
      <c r="G37" s="41">
        <f>E37*$B$12*$B$9</f>
        <v/>
      </c>
      <c r="H37" s="41">
        <f>E37*F37*$B$9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INDEX(KDF,19)</f>
        <v/>
      </c>
      <c r="E38" s="32" t="n">
        <v>80000000000</v>
      </c>
      <c r="F38" s="24">
        <f>INDEX(KFWD,19)</f>
        <v/>
      </c>
      <c r="G38" s="41">
        <f>E38*$B$12*$B$9</f>
        <v/>
      </c>
      <c r="H38" s="41">
        <f>E38*F38*$B$9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INDEX(KDF,20)</f>
        <v/>
      </c>
      <c r="E39" s="32" t="n">
        <v>80000000000</v>
      </c>
      <c r="F39" s="24">
        <f>INDEX(KFWD,20)</f>
        <v/>
      </c>
      <c r="G39" s="41">
        <f>E39*$B$12*$B$9</f>
        <v/>
      </c>
      <c r="H39" s="41">
        <f>E39*F39*$B$9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INDEX(KDF,21)</f>
        <v/>
      </c>
      <c r="E40" s="32" t="n">
        <v>60000000000</v>
      </c>
      <c r="F40" s="24">
        <f>INDEX(KFWD,21)</f>
        <v/>
      </c>
      <c r="G40" s="41">
        <f>E40*$B$12*$B$9</f>
        <v/>
      </c>
      <c r="H40" s="41">
        <f>E40*F40*$B$9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INDEX(KDF,22)</f>
        <v/>
      </c>
      <c r="E41" s="32" t="n">
        <v>60000000000</v>
      </c>
      <c r="F41" s="24">
        <f>INDEX(KFWD,22)</f>
        <v/>
      </c>
      <c r="G41" s="41">
        <f>E41*$B$12*$B$9</f>
        <v/>
      </c>
      <c r="H41" s="41">
        <f>E41*F41*$B$9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INDEX(KDF,23)</f>
        <v/>
      </c>
      <c r="E42" s="32" t="n">
        <v>60000000000</v>
      </c>
      <c r="F42" s="24">
        <f>INDEX(KFWD,23)</f>
        <v/>
      </c>
      <c r="G42" s="41">
        <f>E42*$B$12*$B$9</f>
        <v/>
      </c>
      <c r="H42" s="41">
        <f>E42*F42*$B$9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INDEX(KDF,24)</f>
        <v/>
      </c>
      <c r="E43" s="32" t="n">
        <v>60000000000</v>
      </c>
      <c r="F43" s="24">
        <f>INDEX(KFWD,24)</f>
        <v/>
      </c>
      <c r="G43" s="41">
        <f>E43*$B$12*$B$9</f>
        <v/>
      </c>
      <c r="H43" s="41">
        <f>E43*F43*$B$9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INDEX(KDF,25)</f>
        <v/>
      </c>
      <c r="E44" s="32" t="n">
        <v>50000000000</v>
      </c>
      <c r="F44" s="24">
        <f>INDEX(KFWD,25)</f>
        <v/>
      </c>
      <c r="G44" s="41">
        <f>E44*$B$12*$B$9</f>
        <v/>
      </c>
      <c r="H44" s="41">
        <f>E44*F44*$B$9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INDEX(KDF,26)</f>
        <v/>
      </c>
      <c r="E45" s="32" t="n">
        <v>50000000000</v>
      </c>
      <c r="F45" s="24">
        <f>INDEX(KFWD,26)</f>
        <v/>
      </c>
      <c r="G45" s="41">
        <f>E45*$B$12*$B$9</f>
        <v/>
      </c>
      <c r="H45" s="41">
        <f>E45*F45*$B$9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INDEX(KDF,27)</f>
        <v/>
      </c>
      <c r="E46" s="32" t="n">
        <v>50000000000</v>
      </c>
      <c r="F46" s="24">
        <f>INDEX(KFWD,27)</f>
        <v/>
      </c>
      <c r="G46" s="41">
        <f>E46*$B$12*$B$9</f>
        <v/>
      </c>
      <c r="H46" s="41">
        <f>E46*F46*$B$9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INDEX(KDF,28)</f>
        <v/>
      </c>
      <c r="E47" s="32" t="n">
        <v>50000000000</v>
      </c>
      <c r="F47" s="24">
        <f>INDEX(KFWD,28)</f>
        <v/>
      </c>
      <c r="G47" s="41">
        <f>E47*$B$12*$B$9</f>
        <v/>
      </c>
      <c r="H47" s="41">
        <f>E47*F47*$B$9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INDEX(KDF,29)</f>
        <v/>
      </c>
      <c r="E48" s="32" t="n">
        <v>50000000000</v>
      </c>
      <c r="F48" s="24">
        <f>INDEX(KFWD,29)</f>
        <v/>
      </c>
      <c r="G48" s="41">
        <f>E48*$B$12*$B$9</f>
        <v/>
      </c>
      <c r="H48" s="41">
        <f>E48*F48*$B$9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INDEX(KDF,30)</f>
        <v/>
      </c>
      <c r="E49" s="32" t="n">
        <v>50000000000</v>
      </c>
      <c r="F49" s="24">
        <f>INDEX(KFWD,30)</f>
        <v/>
      </c>
      <c r="G49" s="41">
        <f>E49*$B$12*$B$9</f>
        <v/>
      </c>
      <c r="H49" s="41">
        <f>E49*F49*$B$9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INDEX(KDF,31)</f>
        <v/>
      </c>
      <c r="E50" s="32" t="n">
        <v>50000000000</v>
      </c>
      <c r="F50" s="24">
        <f>INDEX(KFWD,31)</f>
        <v/>
      </c>
      <c r="G50" s="41">
        <f>E50*$B$12*$B$9</f>
        <v/>
      </c>
      <c r="H50" s="41">
        <f>E50*F50*$B$9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INDEX(KDF,32)</f>
        <v/>
      </c>
      <c r="E51" s="32" t="n">
        <v>50000000000</v>
      </c>
      <c r="F51" s="24">
        <f>INDEX(KFWD,32)</f>
        <v/>
      </c>
      <c r="G51" s="41">
        <f>E51*$B$12*$B$9</f>
        <v/>
      </c>
      <c r="H51" s="41">
        <f>E51*F51*$B$9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INDEX(KDF,33)</f>
        <v/>
      </c>
      <c r="E52" s="32" t="n">
        <v>40000000000</v>
      </c>
      <c r="F52" s="24">
        <f>INDEX(KFWD,33)</f>
        <v/>
      </c>
      <c r="G52" s="41">
        <f>E52*$B$12*$B$9</f>
        <v/>
      </c>
      <c r="H52" s="41">
        <f>E52*F52*$B$9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INDEX(KDF,34)</f>
        <v/>
      </c>
      <c r="E53" s="32" t="n">
        <v>40000000000</v>
      </c>
      <c r="F53" s="24">
        <f>INDEX(KFWD,34)</f>
        <v/>
      </c>
      <c r="G53" s="41">
        <f>E53*$B$12*$B$9</f>
        <v/>
      </c>
      <c r="H53" s="41">
        <f>E53*F53*$B$9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INDEX(KDF,35)</f>
        <v/>
      </c>
      <c r="E54" s="32" t="n">
        <v>40000000000</v>
      </c>
      <c r="F54" s="24">
        <f>INDEX(KFWD,35)</f>
        <v/>
      </c>
      <c r="G54" s="41">
        <f>E54*$B$12*$B$9</f>
        <v/>
      </c>
      <c r="H54" s="41">
        <f>E54*F54*$B$9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INDEX(KDF,36)</f>
        <v/>
      </c>
      <c r="E55" s="32" t="n">
        <v>40000000000</v>
      </c>
      <c r="F55" s="24">
        <f>INDEX(KFWD,36)</f>
        <v/>
      </c>
      <c r="G55" s="41">
        <f>E55*$B$12*$B$9</f>
        <v/>
      </c>
      <c r="H55" s="41">
        <f>E55*F55*$B$9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INDEX(KDF,37)</f>
        <v/>
      </c>
      <c r="E56" s="32" t="n">
        <v>40000000000</v>
      </c>
      <c r="F56" s="24">
        <f>INDEX(KFWD,37)</f>
        <v/>
      </c>
      <c r="G56" s="41">
        <f>E56*$B$12*$B$9</f>
        <v/>
      </c>
      <c r="H56" s="41">
        <f>E56*F56*$B$9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INDEX(KDF,38)</f>
        <v/>
      </c>
      <c r="E57" s="32" t="n">
        <v>40000000000</v>
      </c>
      <c r="F57" s="24">
        <f>INDEX(KFWD,38)</f>
        <v/>
      </c>
      <c r="G57" s="41">
        <f>E57*$B$12*$B$9</f>
        <v/>
      </c>
      <c r="H57" s="41">
        <f>E57*F57*$B$9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INDEX(KDF,39)</f>
        <v/>
      </c>
      <c r="E58" s="32" t="n">
        <v>40000000000</v>
      </c>
      <c r="F58" s="24">
        <f>INDEX(KFWD,39)</f>
        <v/>
      </c>
      <c r="G58" s="41">
        <f>E58*$B$12*$B$9</f>
        <v/>
      </c>
      <c r="H58" s="41">
        <f>E58*F58*$B$9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INDEX(KDF,40)</f>
        <v/>
      </c>
      <c r="E59" s="32" t="n">
        <v>40000000000</v>
      </c>
      <c r="F59" s="24">
        <f>INDEX(KFWD,40)</f>
        <v/>
      </c>
      <c r="G59" s="41">
        <f>E59*$B$12*$B$9</f>
        <v/>
      </c>
      <c r="H59" s="41">
        <f>E59*F59*$B$9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Amort_Swap!$B$12</f>
        <v/>
      </c>
    </row>
    <row r="4">
      <c r="A4" s="2" t="inlineStr">
        <is>
          <t>tau:</t>
        </is>
      </c>
      <c r="E4" s="49">
        <f>KTAU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INDEX(KQLABEL,1)</f>
        <v/>
      </c>
      <c r="B7" s="6">
        <f>INDEX(KQYEAR,1)</f>
        <v/>
      </c>
      <c r="C7" s="12">
        <f>INDEX(KQRATE,1)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INDEX(KQLABEL,2)</f>
        <v/>
      </c>
      <c r="B8" s="6">
        <f>INDEX(KQYEAR,2)</f>
        <v/>
      </c>
      <c r="C8" s="12">
        <f>INDEX(KQRATE,2)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INDEX(KQLABEL,3)</f>
        <v/>
      </c>
      <c r="B9" s="6">
        <f>INDEX(KQYEAR,3)</f>
        <v/>
      </c>
      <c r="C9" s="12">
        <f>INDEX(KQRATE,3)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INDEX(KQLABEL,4)</f>
        <v/>
      </c>
      <c r="B10" s="6">
        <f>INDEX(KQYEAR,4)</f>
        <v/>
      </c>
      <c r="C10" s="12">
        <f>INDEX(KQRATE,4)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INDEX(KQLABEL,5)</f>
        <v/>
      </c>
      <c r="B11" s="6">
        <f>INDEX(KQYEAR,5)</f>
        <v/>
      </c>
      <c r="C11" s="12">
        <f>INDEX(KQRATE,5)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INDEX(KQLABEL,6)</f>
        <v/>
      </c>
      <c r="B12" s="6">
        <f>INDEX(KQYEAR,6)</f>
        <v/>
      </c>
      <c r="C12" s="12">
        <f>INDEX(KQRATE,6)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INDEX(KQLABEL,7)</f>
        <v/>
      </c>
      <c r="B13" s="6">
        <f>INDEX(KQYEAR,7)</f>
        <v/>
      </c>
      <c r="C13" s="12">
        <f>INDEX(KQRATE,7)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INDEX(KQLABEL,8)</f>
        <v/>
      </c>
      <c r="B14" s="6">
        <f>INDEX(KQYEAR,8)</f>
        <v/>
      </c>
      <c r="C14" s="12">
        <f>INDEX(KQRATE,8)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INDEX(KQLABEL,9)</f>
        <v/>
      </c>
      <c r="B15" s="6">
        <f>INDEX(KQYEAR,9)</f>
        <v/>
      </c>
      <c r="C15" s="12">
        <f>INDEX(KQRATE,9)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INDEX(KQLABEL,10)</f>
        <v/>
      </c>
      <c r="B16" s="6">
        <f>INDEX(KQYEAR,10)</f>
        <v/>
      </c>
      <c r="C16" s="12">
        <f>INDEX(KQRATE,10)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INDEX(KQLABEL,11)</f>
        <v/>
      </c>
      <c r="B17" s="6">
        <f>INDEX(KQYEAR,11)</f>
        <v/>
      </c>
      <c r="C17" s="12">
        <f>INDEX(KQRATE,11)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INDEX(KQLABEL,12)</f>
        <v/>
      </c>
      <c r="B18" s="6">
        <f>INDEX(KQYEAR,12)</f>
        <v/>
      </c>
      <c r="C18" s="12">
        <f>INDEX(KQRATE,12)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INDEX(KQLABEL,13)</f>
        <v/>
      </c>
      <c r="B19" s="6">
        <f>INDEX(KQYEAR,13)</f>
        <v/>
      </c>
      <c r="C19" s="12">
        <f>INDEX(KQRATE,13)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INDEX(KQLABEL,14)</f>
        <v/>
      </c>
      <c r="B20" s="6">
        <f>INDEX(KQYEAR,14)</f>
        <v/>
      </c>
      <c r="C20" s="12">
        <f>INDEX(KQRATE,14)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INDEX(KQLABEL,15)</f>
        <v/>
      </c>
      <c r="B21" s="6">
        <f>INDEX(KQYEAR,15)</f>
        <v/>
      </c>
      <c r="C21" s="12">
        <f>INDEX(KQRATE,15)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Amort_Swap!E20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Amort_Swap!E21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Amort_Swap!E22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Amort_Swap!E23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Amort_Swap!E24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Amort_Swap!E25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Amort_Swap!E26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Amort_Swap!E27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Amort_Swap!E28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Amort_Swap!E29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Amort_Swap!E30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Amort_Swap!E31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Amort_Swap!E32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Amort_Swap!E33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Amort_Swap!E34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Amort_Swap!E35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Amort_Swap!E36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Amort_Swap!E37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Amort_Swap!E38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Amort_Swap!E39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Amort_Swap!E40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Amort_Swap!E41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Amort_Swap!E42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Amort_Swap!E43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Amort_Swap!E44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Amort_Swap!E45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Amort_Swap!E46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Amort_Swap!E47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Amort_Swap!E48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Amort_Swap!E49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Amort_Swap!E50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Amort_Swap!E51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Amort_Swap!E52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Amort_Swap!E53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Amort_Swap!E54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Amort_Swap!E55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Amort_Swap!E56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Amort_Swap!E57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Amort_Swap!E58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Amort_Swap!E59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2026-07-23T10:49:40Z</dcterms:modified>
</cp:coreProperties>
</file>