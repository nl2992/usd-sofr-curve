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Hedge Cost Data Pull" sheetId="10" state="visible" r:id="rId10"/>
    <sheet xmlns:r="http://schemas.openxmlformats.org/officeDocument/2006/relationships" name="SWPM" sheetId="11" state="visible" r:id="rId11"/>
    <sheet xmlns:r="http://schemas.openxmlformats.org/officeDocument/2006/relationships" name="Swap_Check" sheetId="12" state="visible" r:id="rId12"/>
    <sheet xmlns:r="http://schemas.openxmlformats.org/officeDocument/2006/relationships" name="Sheet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4" customWidth="1" min="4" max="4"/>
    <col width="22" customWidth="1" min="5" max="5"/>
    <col width="16" customWidth="1" min="6" max="6"/>
    <col width="15" customWidth="1" min="7" max="7"/>
    <col width="10" customWidth="1" min="8" max="8"/>
    <col width="5" customWidth="1" min="9" max="9"/>
    <col width="10" customWidth="1" min="10" max="10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(Sheet1) hedged at liquid benchmarks. Notional(T) = group DV01 / (annuity(T) x 1bp), sized live off the curve; direction from the bucket sign.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</row>
    <row r="5">
      <c r="A5" s="79" t="inlineStr">
        <is>
          <t>Net DV01</t>
        </is>
      </c>
      <c r="B5" s="80">
        <f>Sheet1!$B$21</f>
        <v/>
      </c>
      <c r="C5" s="7" t="inlineStr">
        <is>
          <t>KRW per bp — net receiver</t>
        </is>
      </c>
    </row>
    <row r="6">
      <c r="A6" s="79" t="inlineStr">
        <is>
          <t>Front 1Y–3Y</t>
        </is>
      </c>
      <c r="B6" s="81">
        <f>Sheet1!$B$9+Sheet1!$B$10+Sheet1!$B$11</f>
        <v/>
      </c>
      <c r="C6" s="7" t="inlineStr">
        <is>
          <t>long (positive) — pays if rates rise</t>
        </is>
      </c>
    </row>
    <row r="7">
      <c r="A7" s="79" t="inlineStr">
        <is>
          <t>Back 4Y–10Y</t>
        </is>
      </c>
      <c r="B7" s="82">
        <f>Sheet1!$B$12+Sheet1!$B$13+Sheet1!$B$14+Sheet1!$B$15</f>
        <v/>
      </c>
      <c r="C7" s="7" t="inlineStr">
        <is>
          <t>short (negative) — concentrated at 10Y</t>
        </is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 unhedged</t>
        </is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</row>
    <row r="11">
      <c r="A11" s="83" t="inlineStr">
        <is>
          <t>•  Hedge points, not buckets — trade the 4 liquid benchmarks (2Y/3Y/5Y/10Y), not all 10 nodes.</t>
        </is>
      </c>
    </row>
    <row r="12">
      <c r="A12" s="83" t="inlineStr">
        <is>
          <t>•  Fold orphans into the nearest benchmark: 1Y→2Y, 4Y→5Y, 7Y→10Y. Size to null the group DV01.</t>
        </is>
      </c>
    </row>
    <row r="13">
      <c r="A13" s="83" t="inlineStr">
        <is>
          <t>•  Skip the sub-1Y dust — its bid/offer costs more than the risk it removes.</t>
        </is>
      </c>
    </row>
    <row r="15">
      <c r="A15" s="30" t="inlineStr">
        <is>
          <t>3 · The trades  (4 swaps)</t>
        </is>
      </c>
      <c r="B15" s="31" t="n"/>
      <c r="C15" s="31" t="n"/>
      <c r="D15" s="31" t="n"/>
      <c r="E15" s="31" t="n"/>
      <c r="F15" s="31" t="n"/>
      <c r="H15" s="79" t="inlineStr">
        <is>
          <t>Benchmark annuity (curve)</t>
        </is>
      </c>
    </row>
    <row r="16">
      <c r="A16" s="50" t="inlineStr">
        <is>
          <t>Swap</t>
        </is>
      </c>
      <c r="B16" s="50" t="inlineStr">
        <is>
          <t>Direction</t>
        </is>
      </c>
      <c r="C16" s="50" t="inlineStr">
        <is>
          <t>Notional (bn)</t>
        </is>
      </c>
      <c r="D16" s="50" t="inlineStr">
        <is>
          <t>Absorbs</t>
        </is>
      </c>
      <c r="E16" s="50" t="inlineStr">
        <is>
          <t>Group DV01 (KRW/bp)</t>
        </is>
      </c>
      <c r="F16" s="50" t="inlineStr">
        <is>
          <t>Annuity</t>
        </is>
      </c>
      <c r="H16" s="51" t="inlineStr">
        <is>
          <t>Tenor</t>
        </is>
      </c>
      <c r="I16" s="51" t="inlineStr">
        <is>
          <t>T</t>
        </is>
      </c>
      <c r="J16" s="51" t="inlineStr">
        <is>
          <t>Annuity</t>
        </is>
      </c>
    </row>
    <row r="17">
      <c r="A17" s="84" t="inlineStr">
        <is>
          <t>2Y</t>
        </is>
      </c>
      <c r="B17" s="84">
        <f>IF(E17&gt;0,"Receive fixed","Pay fixed")</f>
        <v/>
      </c>
      <c r="C17" s="85">
        <f>ABS(E17/(F17*0.0001))/1000000000</f>
        <v/>
      </c>
      <c r="D17" s="4" t="inlineStr">
        <is>
          <t>1Y + 2Y</t>
        </is>
      </c>
      <c r="E17" s="41">
        <f>Sheet1!$B$9+Sheet1!$B$10</f>
        <v/>
      </c>
      <c r="F17" s="86">
        <f>$J$17</f>
        <v/>
      </c>
      <c r="H17" t="inlineStr">
        <is>
          <t>2Y</t>
        </is>
      </c>
      <c r="I17" t="n">
        <v>2</v>
      </c>
      <c r="J17" s="75">
        <f>Quotes!$B$2*SUMIF(Bootstrap!$B$3:$B$122,"&lt;="&amp;I17,Bootstrap!$D$3:$D$122)</f>
        <v/>
      </c>
    </row>
    <row r="18">
      <c r="A18" s="84" t="inlineStr">
        <is>
          <t>3Y</t>
        </is>
      </c>
      <c r="B18" s="84">
        <f>IF(E18&gt;0,"Receive fixed","Pay fixed")</f>
        <v/>
      </c>
      <c r="C18" s="85">
        <f>ABS(E18/(F18*0.0001))/1000000000</f>
        <v/>
      </c>
      <c r="D18" s="4" t="inlineStr">
        <is>
          <t>3Y</t>
        </is>
      </c>
      <c r="E18" s="41">
        <f>Sheet1!$B$11</f>
        <v/>
      </c>
      <c r="F18" s="86">
        <f>$J$18</f>
        <v/>
      </c>
      <c r="H18" t="inlineStr">
        <is>
          <t>3Y</t>
        </is>
      </c>
      <c r="I18" t="n">
        <v>3</v>
      </c>
      <c r="J18" s="75">
        <f>Quotes!$B$2*SUMIF(Bootstrap!$B$3:$B$122,"&lt;="&amp;I18,Bootstrap!$D$3:$D$122)</f>
        <v/>
      </c>
    </row>
    <row r="19">
      <c r="A19" s="84" t="inlineStr">
        <is>
          <t>5Y</t>
        </is>
      </c>
      <c r="B19" s="84">
        <f>IF(E19&gt;0,"Receive fixed","Pay fixed")</f>
        <v/>
      </c>
      <c r="C19" s="85">
        <f>ABS(E19/(F19*0.0001))/1000000000</f>
        <v/>
      </c>
      <c r="D19" s="4" t="inlineStr">
        <is>
          <t>4Y + 5Y</t>
        </is>
      </c>
      <c r="E19" s="41">
        <f>Sheet1!$B$12+Sheet1!$B$13</f>
        <v/>
      </c>
      <c r="F19" s="86">
        <f>$J$19</f>
        <v/>
      </c>
      <c r="H19" t="inlineStr">
        <is>
          <t>5Y</t>
        </is>
      </c>
      <c r="I19" t="n">
        <v>5</v>
      </c>
      <c r="J19" s="75">
        <f>Quotes!$B$2*SUMIF(Bootstrap!$B$3:$B$122,"&lt;="&amp;I19,Bootstrap!$D$3:$D$122)</f>
        <v/>
      </c>
    </row>
    <row r="20">
      <c r="A20" s="84" t="inlineStr">
        <is>
          <t>10Y</t>
        </is>
      </c>
      <c r="B20" s="84">
        <f>IF(E20&gt;0,"Receive fixed","Pay fixed")</f>
        <v/>
      </c>
      <c r="C20" s="85">
        <f>ABS(E20/(F20*0.0001))/1000000000</f>
        <v/>
      </c>
      <c r="D20" s="4" t="inlineStr">
        <is>
          <t>7Y + 10Y</t>
        </is>
      </c>
      <c r="E20" s="41">
        <f>Sheet1!$B$14+Sheet1!$B$15</f>
        <v/>
      </c>
      <c r="F20" s="86">
        <f>$J$21</f>
        <v/>
      </c>
      <c r="H20" t="inlineStr">
        <is>
          <t>7Y</t>
        </is>
      </c>
      <c r="I20" t="n">
        <v>7</v>
      </c>
      <c r="J20" s="75">
        <f>Quotes!$B$2*SUMIF(Bootstrap!$B$3:$B$122,"&lt;="&amp;I20,Bootstrap!$D$3:$D$122)</f>
        <v/>
      </c>
    </row>
    <row r="21">
      <c r="H21" t="inlineStr">
        <is>
          <t>10Y</t>
        </is>
      </c>
      <c r="I21" t="n">
        <v>10</v>
      </c>
      <c r="J21" s="75">
        <f>Quotes!$B$2*SUMIF(Bootstrap!$B$3:$B$122,"&lt;="&amp;I21,Bootstrap!$D$3:$D$122)</f>
        <v/>
      </c>
    </row>
    <row r="22">
      <c r="A22" s="30" t="inlineStr">
        <is>
          <t>4 · After the hedge</t>
        </is>
      </c>
      <c r="B22" s="31" t="n"/>
      <c r="C22" s="31" t="n"/>
      <c r="D22" s="31" t="n"/>
      <c r="E22" s="31" t="n"/>
      <c r="F22" s="31" t="n"/>
    </row>
    <row r="23">
      <c r="A23" s="79" t="inlineStr">
        <is>
          <t>Grouped buckets 2Y/3Y/5Y/10Y</t>
        </is>
      </c>
      <c r="C23" s="83" t="inlineStr">
        <is>
          <t>neutralized to 0</t>
        </is>
      </c>
    </row>
    <row r="24">
      <c r="A24" s="79" t="inlineStr">
        <is>
          <t>Residual DV01</t>
        </is>
      </c>
      <c r="C24" s="87">
        <f>Sheet1!$B$6+Sheet1!$B$7+Sheet1!$B$8</f>
        <v/>
      </c>
      <c r="D24" s="7" t="inlineStr">
        <is>
          <t>sub-1Y dust only</t>
        </is>
      </c>
    </row>
    <row r="25">
      <c r="A25" s="79" t="inlineStr">
        <is>
          <t>Curve residual</t>
        </is>
      </c>
      <c r="C25" s="7" t="inlineStr">
        <is>
          <t>small 7s10s (7Y folded into 10Y) — see option below</t>
        </is>
      </c>
    </row>
    <row r="27">
      <c r="A27" s="30" t="inlineStr">
        <is>
          <t>5 · Optional — split 7Y out (kills the 7s10s residual, +1 ticket)</t>
        </is>
      </c>
      <c r="B27" s="31" t="n"/>
      <c r="C27" s="31" t="n"/>
      <c r="D27" s="31" t="n"/>
      <c r="E27" s="31" t="n"/>
      <c r="F27" s="31" t="n"/>
    </row>
    <row r="28">
      <c r="A28" s="50" t="inlineStr">
        <is>
          <t>Swap</t>
        </is>
      </c>
      <c r="B28" s="50" t="inlineStr">
        <is>
          <t>Direction</t>
        </is>
      </c>
      <c r="C28" s="50" t="inlineStr">
        <is>
          <t>Notional (bn)</t>
        </is>
      </c>
      <c r="D28" s="50" t="inlineStr">
        <is>
          <t>Absorbs</t>
        </is>
      </c>
      <c r="E28" s="50" t="inlineStr">
        <is>
          <t>Group DV01 (KRW/bp)</t>
        </is>
      </c>
      <c r="F28" s="50" t="inlineStr">
        <is>
          <t>Annuity</t>
        </is>
      </c>
    </row>
    <row r="29">
      <c r="A29" s="84" t="inlineStr">
        <is>
          <t>7Y</t>
        </is>
      </c>
      <c r="B29" s="84">
        <f>IF(E29&gt;0,"Receive fixed","Pay fixed")</f>
        <v/>
      </c>
      <c r="C29" s="88">
        <f>ABS(E29/(F29*0.0001))/1000000000</f>
        <v/>
      </c>
      <c r="D29" s="4" t="inlineStr">
        <is>
          <t>7Y</t>
        </is>
      </c>
      <c r="E29" s="41">
        <f>Sheet1!$B$14</f>
        <v/>
      </c>
      <c r="F29" s="86">
        <f>$J$20</f>
        <v/>
      </c>
    </row>
    <row r="30">
      <c r="A30" s="84" t="inlineStr">
        <is>
          <t>10Y</t>
        </is>
      </c>
      <c r="B30" s="84">
        <f>IF(E30&gt;0,"Receive fixed","Pay fixed")</f>
        <v/>
      </c>
      <c r="C30" s="88">
        <f>ABS(E30/(F30*0.0001))/1000000000</f>
        <v/>
      </c>
      <c r="D30" s="4" t="inlineStr">
        <is>
          <t>10Y</t>
        </is>
      </c>
      <c r="E30" s="41">
        <f>Sheet1!$B$15</f>
        <v/>
      </c>
      <c r="F30" s="86">
        <f>$J$21</f>
        <v/>
      </c>
    </row>
    <row r="31">
      <c r="A31" s="7" t="inlineStr">
        <is>
          <t>Wired to Sheet1 (1Y=B9 … 10Y=B15). Drops into the master as-is; confirm Bootstrap!B3:B122/D3:D122 match.</t>
        </is>
      </c>
    </row>
    <row r="33">
      <c r="A33" s="30" t="inlineStr">
        <is>
          <t>6 · Cost to hedge  (live bid/offer — computes on the terminal)</t>
        </is>
      </c>
      <c r="B33" s="31" t="n"/>
      <c r="C33" s="31" t="n"/>
      <c r="D33" s="31" t="n"/>
      <c r="E33" s="31" t="n"/>
      <c r="F33" s="31" t="n"/>
      <c r="G33" s="31" t="n"/>
      <c r="H33" s="31" t="n"/>
    </row>
    <row r="34">
      <c r="A34" s="50" t="inlineStr">
        <is>
          <t>Tenor</t>
        </is>
      </c>
      <c r="B34" s="50" t="inlineStr">
        <is>
          <t>Ticker</t>
        </is>
      </c>
      <c r="C34" s="50" t="inlineStr">
        <is>
          <t>Bid</t>
        </is>
      </c>
      <c r="D34" s="50" t="inlineStr">
        <is>
          <t>Ask</t>
        </is>
      </c>
      <c r="E34" s="50" t="inlineStr">
        <is>
          <t>Spread (bp)</t>
        </is>
      </c>
      <c r="F34" s="50" t="inlineStr">
        <is>
          <t>Cost (KRW)</t>
        </is>
      </c>
      <c r="G34" s="50" t="inlineStr">
        <is>
          <t>Break-even (bp)</t>
        </is>
      </c>
      <c r="H34" s="50" t="inlineStr">
        <is>
          <t>Verdict</t>
        </is>
      </c>
    </row>
    <row r="35">
      <c r="A35" s="84" t="inlineStr">
        <is>
          <t>2Y</t>
        </is>
      </c>
      <c r="B35" s="4" t="inlineStr">
        <is>
          <t>KWSW2 Curncy</t>
        </is>
      </c>
      <c r="C35" s="9">
        <f>BDP(B35,"PX_BID")</f>
        <v/>
      </c>
      <c r="D35" s="9">
        <f>BDP(B35,"PX_ASK")</f>
        <v/>
      </c>
      <c r="E35" s="90">
        <f>(D35-C35)*100</f>
        <v/>
      </c>
      <c r="F35" s="41">
        <f>C17*1000000000*F17*(E35/2)*0.0001</f>
        <v/>
      </c>
      <c r="G35" s="9">
        <f>F35/ABS(E17)</f>
        <v/>
      </c>
      <c r="H35" s="84">
        <f>IF(G35&lt;1,"TRADE","review")</f>
        <v/>
      </c>
    </row>
    <row r="36">
      <c r="A36" s="84" t="inlineStr">
        <is>
          <t>3Y</t>
        </is>
      </c>
      <c r="B36" s="4" t="inlineStr">
        <is>
          <t>KWSW3 Curncy</t>
        </is>
      </c>
      <c r="C36" s="9">
        <f>BDP(B36,"PX_BID")</f>
        <v/>
      </c>
      <c r="D36" s="9">
        <f>BDP(B36,"PX_ASK")</f>
        <v/>
      </c>
      <c r="E36" s="90">
        <f>(D36-C36)*100</f>
        <v/>
      </c>
      <c r="F36" s="41">
        <f>C18*1000000000*F18*(E36/2)*0.0001</f>
        <v/>
      </c>
      <c r="G36" s="9">
        <f>F36/ABS(E18)</f>
        <v/>
      </c>
      <c r="H36" s="84">
        <f>IF(G36&lt;1,"TRADE","review")</f>
        <v/>
      </c>
    </row>
    <row r="37">
      <c r="A37" s="84" t="inlineStr">
        <is>
          <t>5Y</t>
        </is>
      </c>
      <c r="B37" s="4" t="inlineStr">
        <is>
          <t>KWSW5 Curncy</t>
        </is>
      </c>
      <c r="C37" s="9">
        <f>BDP(B37,"PX_BID")</f>
        <v/>
      </c>
      <c r="D37" s="9">
        <f>BDP(B37,"PX_ASK")</f>
        <v/>
      </c>
      <c r="E37" s="90">
        <f>(D37-C37)*100</f>
        <v/>
      </c>
      <c r="F37" s="41">
        <f>C19*1000000000*F19*(E37/2)*0.0001</f>
        <v/>
      </c>
      <c r="G37" s="9">
        <f>F37/ABS(E19)</f>
        <v/>
      </c>
      <c r="H37" s="84">
        <f>IF(G37&lt;1,"TRADE","review")</f>
        <v/>
      </c>
    </row>
    <row r="38">
      <c r="A38" s="84" t="inlineStr">
        <is>
          <t>10Y</t>
        </is>
      </c>
      <c r="B38" s="4" t="inlineStr">
        <is>
          <t>KWSW10 Curncy</t>
        </is>
      </c>
      <c r="C38" s="9">
        <f>BDP(B38,"PX_BID")</f>
        <v/>
      </c>
      <c r="D38" s="9">
        <f>BDP(B38,"PX_ASK")</f>
        <v/>
      </c>
      <c r="E38" s="90">
        <f>(D38-C38)*100</f>
        <v/>
      </c>
      <c r="F38" s="41">
        <f>C20*1000000000*F20*(E38/2)*0.0001</f>
        <v/>
      </c>
      <c r="G38" s="9">
        <f>F38/ABS(E20)</f>
        <v/>
      </c>
      <c r="H38" s="84">
        <f>IF(G38&lt;1,"TRADE","review")</f>
        <v/>
      </c>
    </row>
    <row r="39">
      <c r="A39" s="79" t="inlineStr">
        <is>
          <t>TOTAL cost</t>
        </is>
      </c>
      <c r="F39" s="91">
        <f>SUM(F35:F38)</f>
        <v/>
      </c>
    </row>
    <row r="40">
      <c r="A40" s="7" t="inlineStr">
        <is>
          <t>Break-even (bp) = cost / DV01: the adverse move that pays for the hedge. &lt;1bp -&gt; trade.</t>
        </is>
      </c>
    </row>
    <row r="41">
      <c r="A41" s="7" t="inlineStr">
        <is>
          <t>For the 7Y split / sub-1Y dust, run the same row with KWSW7 / KWCDC — break-even blows out.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selection activeCell="A1" sqref="A1"/>
    </sheetView>
  </sheetViews>
  <sheetFormatPr baseColWidth="8" defaultRowHeight="15"/>
  <cols>
    <col width="11" customWidth="1" min="1" max="1"/>
    <col width="4" customWidth="1" min="2" max="2"/>
    <col width="22" customWidth="1" min="3" max="3"/>
    <col width="8" customWidth="1" min="4" max="4"/>
    <col width="8" customWidth="1" min="5" max="5"/>
    <col width="11" customWidth="1" min="6" max="6"/>
    <col width="14" customWidth="1" min="7" max="7"/>
    <col width="20" customWidth="1" min="8" max="8"/>
    <col width="9" customWidth="1" min="9" max="9"/>
    <col width="12" customWidth="1" min="10" max="10"/>
    <col width="14" customWidth="1" min="11" max="11"/>
    <col width="13" customWidth="1" min="12" max="12"/>
    <col width="15" customWidth="1" min="13" max="13"/>
    <col width="10" customWidth="1" min="14" max="14"/>
  </cols>
  <sheetData>
    <row r="1">
      <c r="A1" s="92" t="inlineStr">
        <is>
          <t>Hedge Cost Analysis — offshore KRW IRS (vs 91D CD)</t>
        </is>
      </c>
    </row>
    <row r="2">
      <c r="A2" s="7" t="inlineStr">
        <is>
          <t>Tickers per Bloomberg Help Desk: root KWSWNI&lt;n&gt; BGN Curncy, confirm each on GC S205 &lt;GO&gt; &gt; Table. Bid/offer -&gt; crossing cost -&gt; break-even; volume from SDRV is the liquidity check.</t>
        </is>
      </c>
    </row>
    <row r="4">
      <c r="A4" s="30" t="inlineStr">
        <is>
          <t>Bloomberg commands</t>
        </is>
      </c>
      <c r="B4" s="31" t="n"/>
      <c r="C4" s="31" t="n"/>
      <c r="D4" s="31" t="n"/>
      <c r="E4" s="31" t="n"/>
      <c r="F4" s="31" t="n"/>
      <c r="G4" s="31" t="n"/>
    </row>
    <row r="5">
      <c r="A5" s="79" t="inlineStr">
        <is>
          <t>Tickers / curve</t>
        </is>
      </c>
      <c r="B5" s="103" t="inlineStr">
        <is>
          <t>GC S205 &lt;GO&gt;  &gt;  click Table  (offshore KRW vs 91D CD, members per tenor)</t>
        </is>
      </c>
    </row>
    <row r="6">
      <c r="A6" s="79" t="inlineStr">
        <is>
          <t>Bid / Ask (Excel)</t>
        </is>
      </c>
      <c r="B6" s="103">
        <f>BDP("KWSWNI5 BGN Curncy","PX_ASK")   /   "PX_BID"</f>
        <v/>
      </c>
    </row>
    <row r="7">
      <c r="A7" s="79" t="inlineStr">
        <is>
          <t>1-month history</t>
        </is>
      </c>
      <c r="B7" s="103">
        <f>BDH("KWSWNI5 BGN Curncy","PX_ASK","20260624","20260724")</f>
        <v/>
      </c>
    </row>
    <row r="8">
      <c r="A8" s="79" t="inlineStr">
        <is>
          <t>Liquidity / volume</t>
        </is>
      </c>
      <c r="B8" s="103" t="inlineStr">
        <is>
          <t>SDRV &lt;GO&gt; &gt; Rates tab &gt; IRS/FRA view &gt; Currency=KRW &gt; volume &amp; trade count by tenor (USDmm)</t>
        </is>
      </c>
    </row>
    <row r="9">
      <c r="A9" s="79" t="inlineStr">
        <is>
          <t>Drill to trades</t>
        </is>
      </c>
      <c r="B9" s="103" t="inlineStr">
        <is>
          <t>click a tenor &gt; SDR &lt;GO&gt; for the individual trades behind the total</t>
        </is>
      </c>
    </row>
    <row r="11">
      <c r="A11" s="30" t="inlineStr">
        <is>
          <t>Cost + liquidity by tenor</t>
        </is>
      </c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</row>
    <row r="12">
      <c r="A12" s="50" t="inlineStr">
        <is>
          <t>Tenor</t>
        </is>
      </c>
      <c r="B12" s="50" t="inlineStr">
        <is>
          <t>T</t>
        </is>
      </c>
      <c r="C12" s="50" t="inlineStr">
        <is>
          <t>Ticker (edit)</t>
        </is>
      </c>
      <c r="D12" s="50" t="inlineStr">
        <is>
          <t>Bid</t>
        </is>
      </c>
      <c r="E12" s="50" t="inlineStr">
        <is>
          <t>Ask</t>
        </is>
      </c>
      <c r="F12" s="50" t="inlineStr">
        <is>
          <t>Spread (bp)</t>
        </is>
      </c>
      <c r="G12" s="50" t="inlineStr">
        <is>
          <t>Avg spr 1M (bp)</t>
        </is>
      </c>
      <c r="H12" s="50" t="inlineStr">
        <is>
          <t>Group DV01 (KRW/bp)</t>
        </is>
      </c>
      <c r="I12" s="50" t="inlineStr">
        <is>
          <t>Annuity</t>
        </is>
      </c>
      <c r="J12" s="50" t="inlineStr">
        <is>
          <t>Notional (bn)</t>
        </is>
      </c>
      <c r="K12" s="50" t="inlineStr">
        <is>
          <t>Cost (KRW)</t>
        </is>
      </c>
      <c r="L12" s="50" t="inlineStr">
        <is>
          <t>Break-even (bp)</t>
        </is>
      </c>
      <c r="M12" s="50" t="inlineStr">
        <is>
          <t>Vol USDmm (SDRV)</t>
        </is>
      </c>
      <c r="N12" s="50" t="inlineStr">
        <is>
          <t>Verdict</t>
        </is>
      </c>
    </row>
    <row r="13">
      <c r="A13" s="84" t="inlineStr">
        <is>
          <t>2Y</t>
        </is>
      </c>
      <c r="B13" s="4" t="n">
        <v>2</v>
      </c>
      <c r="C13" s="104" t="inlineStr">
        <is>
          <t>KWSWNI2 BGN Curncy</t>
        </is>
      </c>
      <c r="D13" s="9">
        <f>BDP(C13,"PX_BID")</f>
        <v/>
      </c>
      <c r="E13" s="9">
        <f>BDP(C13,"PX_ASK")</f>
        <v/>
      </c>
      <c r="F13" s="6">
        <f>(E13-D13)*100</f>
        <v/>
      </c>
      <c r="G13" s="6">
        <f>(AVERAGE(BDH(C13,"PX_ASK",TEXT(TODAY()-30,"yyyymmdd"),TEXT(TODAY(),"yyyymmdd")))-AVERAGE(BDH(C13,"PX_BID",TEXT(TODAY()-30,"yyyymmdd"),TEXT(TODAY(),"yyyymmdd"))))*100</f>
        <v/>
      </c>
      <c r="H13" s="41">
        <f>'KRD-v3'!B15+'KRD-v3'!B16</f>
        <v/>
      </c>
      <c r="I13" s="86">
        <f>Quotes!$B$2*SUMIF(Bootstrap!$B$3:$B$122,"&lt;="&amp;B13,Bootstrap!$D$3:$D$122)</f>
        <v/>
      </c>
      <c r="J13" s="93">
        <f>ABS(H13/(I13*0.0001))/1000000000</f>
        <v/>
      </c>
      <c r="K13" s="41">
        <f>J13*1000000000*I13*(F13/2)*0.0001</f>
        <v/>
      </c>
      <c r="L13" s="6">
        <f>K13/ABS(H13)</f>
        <v/>
      </c>
      <c r="M13" s="104" t="n">
        <v>0</v>
      </c>
      <c r="N13" s="94">
        <f>IF(L13&lt;1,"TRADE","SKIP")</f>
        <v/>
      </c>
    </row>
    <row r="14">
      <c r="A14" s="84" t="inlineStr">
        <is>
          <t>3Y</t>
        </is>
      </c>
      <c r="B14" s="4" t="n">
        <v>3</v>
      </c>
      <c r="C14" s="104" t="inlineStr">
        <is>
          <t>KWSWNI3 BGN Curncy</t>
        </is>
      </c>
      <c r="D14" s="9">
        <f>BDP(C14,"PX_BID")</f>
        <v/>
      </c>
      <c r="E14" s="9">
        <f>BDP(C14,"PX_ASK")</f>
        <v/>
      </c>
      <c r="F14" s="6">
        <f>(E14-D14)*100</f>
        <v/>
      </c>
      <c r="G14" s="6">
        <f>(AVERAGE(BDH(C14,"PX_ASK",TEXT(TODAY()-30,"yyyymmdd"),TEXT(TODAY(),"yyyymmdd")))-AVERAGE(BDH(C14,"PX_BID",TEXT(TODAY()-30,"yyyymmdd"),TEXT(TODAY(),"yyyymmdd"))))*100</f>
        <v/>
      </c>
      <c r="H14" s="41">
        <f>'KRD-v3'!B17</f>
        <v/>
      </c>
      <c r="I14" s="86">
        <f>Quotes!$B$2*SUMIF(Bootstrap!$B$3:$B$122,"&lt;="&amp;B14,Bootstrap!$D$3:$D$122)</f>
        <v/>
      </c>
      <c r="J14" s="93">
        <f>ABS(H14/(I14*0.0001))/1000000000</f>
        <v/>
      </c>
      <c r="K14" s="41">
        <f>J14*1000000000*I14*(F14/2)*0.0001</f>
        <v/>
      </c>
      <c r="L14" s="6">
        <f>K14/ABS(H14)</f>
        <v/>
      </c>
      <c r="M14" s="104" t="n">
        <v>0</v>
      </c>
      <c r="N14" s="94">
        <f>IF(L14&lt;1,"TRADE","SKIP")</f>
        <v/>
      </c>
    </row>
    <row r="15">
      <c r="A15" s="84" t="inlineStr">
        <is>
          <t>5Y</t>
        </is>
      </c>
      <c r="B15" s="4" t="n">
        <v>5</v>
      </c>
      <c r="C15" s="104" t="inlineStr">
        <is>
          <t>KWSWNI5 BGN Curncy</t>
        </is>
      </c>
      <c r="D15" s="9">
        <f>BDP(C15,"PX_BID")</f>
        <v/>
      </c>
      <c r="E15" s="9">
        <f>BDP(C15,"PX_ASK")</f>
        <v/>
      </c>
      <c r="F15" s="6">
        <f>(E15-D15)*100</f>
        <v/>
      </c>
      <c r="G15" s="6">
        <f>(AVERAGE(BDH(C15,"PX_ASK",TEXT(TODAY()-30,"yyyymmdd"),TEXT(TODAY(),"yyyymmdd")))-AVERAGE(BDH(C15,"PX_BID",TEXT(TODAY()-30,"yyyymmdd"),TEXT(TODAY(),"yyyymmdd"))))*100</f>
        <v/>
      </c>
      <c r="H15" s="41">
        <f>'KRD-v3'!B18+'KRD-v3'!B19</f>
        <v/>
      </c>
      <c r="I15" s="86">
        <f>Quotes!$B$2*SUMIF(Bootstrap!$B$3:$B$122,"&lt;="&amp;B15,Bootstrap!$D$3:$D$122)</f>
        <v/>
      </c>
      <c r="J15" s="93">
        <f>ABS(H15/(I15*0.0001))/1000000000</f>
        <v/>
      </c>
      <c r="K15" s="41">
        <f>J15*1000000000*I15*(F15/2)*0.0001</f>
        <v/>
      </c>
      <c r="L15" s="6">
        <f>K15/ABS(H15)</f>
        <v/>
      </c>
      <c r="M15" s="104" t="n">
        <v>0</v>
      </c>
      <c r="N15" s="94">
        <f>IF(L15&lt;1,"TRADE","SKIP")</f>
        <v/>
      </c>
    </row>
    <row r="16">
      <c r="A16" s="84" t="inlineStr">
        <is>
          <t>10Y</t>
        </is>
      </c>
      <c r="B16" s="4" t="n">
        <v>10</v>
      </c>
      <c r="C16" s="104" t="inlineStr">
        <is>
          <t>KWSWNI10 BGN Curncy</t>
        </is>
      </c>
      <c r="D16" s="9">
        <f>BDP(C16,"PX_BID")</f>
        <v/>
      </c>
      <c r="E16" s="9">
        <f>BDP(C16,"PX_ASK")</f>
        <v/>
      </c>
      <c r="F16" s="6">
        <f>(E16-D16)*100</f>
        <v/>
      </c>
      <c r="G16" s="6">
        <f>(AVERAGE(BDH(C16,"PX_ASK",TEXT(TODAY()-30,"yyyymmdd"),TEXT(TODAY(),"yyyymmdd")))-AVERAGE(BDH(C16,"PX_BID",TEXT(TODAY()-30,"yyyymmdd"),TEXT(TODAY(),"yyyymmdd"))))*100</f>
        <v/>
      </c>
      <c r="H16" s="41">
        <f>'KRD-v3'!B20+'KRD-v3'!B21</f>
        <v/>
      </c>
      <c r="I16" s="86">
        <f>Quotes!$B$2*SUMIF(Bootstrap!$B$3:$B$122,"&lt;="&amp;B16,Bootstrap!$D$3:$D$122)</f>
        <v/>
      </c>
      <c r="J16" s="93">
        <f>ABS(H16/(I16*0.0001))/1000000000</f>
        <v/>
      </c>
      <c r="K16" s="41">
        <f>J16*1000000000*I16*(F16/2)*0.0001</f>
        <v/>
      </c>
      <c r="L16" s="6">
        <f>K16/ABS(H16)</f>
        <v/>
      </c>
      <c r="M16" s="104" t="n">
        <v>0</v>
      </c>
      <c r="N16" s="94">
        <f>IF(L16&lt;1,"TRADE","SKIP")</f>
        <v/>
      </c>
    </row>
    <row r="17">
      <c r="A17" s="95" t="inlineStr">
        <is>
          <t>7Y split</t>
        </is>
      </c>
      <c r="B17" s="96" t="n">
        <v>7</v>
      </c>
      <c r="C17" s="104" t="inlineStr">
        <is>
          <t>KWSWNI7 BGN Curncy</t>
        </is>
      </c>
      <c r="D17" s="97">
        <f>BDP(C17,"PX_BID")</f>
        <v/>
      </c>
      <c r="E17" s="97">
        <f>BDP(C17,"PX_ASK")</f>
        <v/>
      </c>
      <c r="F17" s="105">
        <f>(E17-D17)*100</f>
        <v/>
      </c>
      <c r="G17" s="105">
        <f>(AVERAGE(BDH(C17,"PX_ASK",TEXT(TODAY()-30,"yyyymmdd"),TEXT(TODAY(),"yyyymmdd")))-AVERAGE(BDH(C17,"PX_BID",TEXT(TODAY()-30,"yyyymmdd"),TEXT(TODAY(),"yyyymmdd"))))*100</f>
        <v/>
      </c>
      <c r="H17" s="99">
        <f>'KRD-v3'!B20</f>
        <v/>
      </c>
      <c r="I17" s="100">
        <f>Quotes!$B$2*SUMIF(Bootstrap!$B$3:$B$122,"&lt;="&amp;B17,Bootstrap!$D$3:$D$122)</f>
        <v/>
      </c>
      <c r="J17" s="101">
        <f>ABS(H17/(I17*0.0001))/1000000000</f>
        <v/>
      </c>
      <c r="K17" s="99">
        <f>J17*1000000000*I17*(F17/2)*0.0001</f>
        <v/>
      </c>
      <c r="L17" s="105">
        <f>K17/ABS(H17)</f>
        <v/>
      </c>
      <c r="M17" s="106" t="n">
        <v>0</v>
      </c>
      <c r="N17" s="102">
        <f>IF(L17&lt;1,"TRADE","SKIP")</f>
        <v/>
      </c>
    </row>
    <row r="18">
      <c r="A18" s="95" t="inlineStr">
        <is>
          <t>Dust 3-9M</t>
        </is>
      </c>
      <c r="B18" s="96" t="n">
        <v>1</v>
      </c>
      <c r="C18" s="104" t="inlineStr">
        <is>
          <t>(front = CD/FRA, see GC S205)</t>
        </is>
      </c>
      <c r="D18" s="97">
        <f>BDP(C18,"PX_BID")</f>
        <v/>
      </c>
      <c r="E18" s="97">
        <f>BDP(C18,"PX_ASK")</f>
        <v/>
      </c>
      <c r="F18" s="105">
        <f>(E18-D18)*100</f>
        <v/>
      </c>
      <c r="G18" s="105">
        <f>(AVERAGE(BDH(C18,"PX_ASK",TEXT(TODAY()-30,"yyyymmdd"),TEXT(TODAY(),"yyyymmdd")))-AVERAGE(BDH(C18,"PX_BID",TEXT(TODAY()-30,"yyyymmdd"),TEXT(TODAY(),"yyyymmdd"))))*100</f>
        <v/>
      </c>
      <c r="H18" s="99">
        <f>'KRD-v3'!B12+'KRD-v3'!B13+'KRD-v3'!B14</f>
        <v/>
      </c>
      <c r="I18" s="100">
        <f>Quotes!$B$2*SUMIF(Bootstrap!$B$3:$B$122,"&lt;="&amp;B18,Bootstrap!$D$3:$D$122)</f>
        <v/>
      </c>
      <c r="J18" s="101">
        <f>ABS(H18/(I18*0.0001))/1000000000</f>
        <v/>
      </c>
      <c r="K18" s="99">
        <f>J18*1000000000*I18*(F18/2)*0.0001</f>
        <v/>
      </c>
      <c r="L18" s="105">
        <f>K18/ABS(H18)</f>
        <v/>
      </c>
      <c r="M18" s="106" t="n">
        <v>0</v>
      </c>
      <c r="N18" s="102">
        <f>IF(L18&lt;1,"TRADE","SKIP")</f>
        <v/>
      </c>
    </row>
    <row r="19">
      <c r="A19" s="79" t="inlineStr">
        <is>
          <t>TOTAL cost (4 trades)</t>
        </is>
      </c>
      <c r="K19" s="91">
        <f>SUM(K13:K16)</f>
        <v/>
      </c>
    </row>
    <row r="21">
      <c r="A21" s="7" t="inlineStr">
        <is>
          <t>Yellow = inputs: paste the exact ticker from GC S205 &gt; Table, and the SDRV volume (USDmm) per tenor.</t>
        </is>
      </c>
    </row>
    <row r="22">
      <c r="A22" s="7" t="inlineStr">
        <is>
          <t>Break-even (bp) = cost / DV01 ≈ half the bid/offer: the adverse move that pays for the hedge. &lt;1bp -&gt; trade.</t>
        </is>
      </c>
    </row>
    <row r="23">
      <c r="A23" s="7" t="inlineStr">
        <is>
          <t>Cross-check with SDRV volume: tight break-even AND high volume = liquid, trade. Wide + thin = skip (7Y).</t>
        </is>
      </c>
    </row>
    <row r="24">
      <c r="A24" s="7" t="inlineStr">
        <is>
          <t>7Y split: 10Y already absorbs most 7Y; marginal risk removed &lt; a full bid/offer. Dust: below min ticket.</t>
        </is>
      </c>
    </row>
    <row r="25">
      <c r="A25" s="7" t="inlineStr">
        <is>
          <t>DV01 pulled from KRD-v3 (folded buckets); annuity via SUMIF on Bootstrap. BDP/BDH compute on the terminal.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2026-07-24T07:24:38Z</dcterms:modified>
</cp:coreProperties>
</file>