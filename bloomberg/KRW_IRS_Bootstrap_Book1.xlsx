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SWPM" sheetId="10" state="visible" r:id="rId10"/>
    <sheet xmlns:r="http://schemas.openxmlformats.org/officeDocument/2006/relationships" name="Swap_Che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</numFmts>
  <fonts count="2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10" customWidth="1" min="4" max="4"/>
    <col width="13" customWidth="1" min="5" max="5"/>
    <col width="15" customWidth="1" min="6" max="6"/>
  </cols>
  <sheetData>
    <row r="1">
      <c r="A1" s="1" t="inlineStr">
        <is>
          <t>Hedge — live notional sizing off the KRD buckets</t>
        </is>
      </c>
    </row>
    <row r="2">
      <c r="A2" s="7" t="inlineStr">
        <is>
          <t>notional(T) = group DV01 / (annuity(T) x 1bp). Positive DV01 -&gt; receive fixed, negative -&gt; pay fixed. Buckets grouped to liquid benchmarks; 3M/6M/9M left unhedged (dust). Re-sizes automatically as the trade or curve moves.</t>
        </is>
      </c>
    </row>
    <row r="3"/>
    <row r="4">
      <c r="A4" s="2" t="inlineStr">
        <is>
          <t>Benchmark PV01 (from Bootstrap curve)</t>
        </is>
      </c>
    </row>
    <row r="5">
      <c r="A5" s="51" t="inlineStr">
        <is>
          <t>Tenor</t>
        </is>
      </c>
      <c r="B5" s="51" t="inlineStr">
        <is>
          <t>T (yrs)</t>
        </is>
      </c>
      <c r="C5" s="51" t="inlineStr">
        <is>
          <t>Annuity</t>
        </is>
      </c>
      <c r="D5" s="51" t="inlineStr">
        <is>
          <t>DV01 / 100bn</t>
        </is>
      </c>
    </row>
    <row r="6">
      <c r="A6" t="inlineStr">
        <is>
          <t>2Y</t>
        </is>
      </c>
      <c r="B6" t="n">
        <v>2</v>
      </c>
      <c r="C6" s="75">
        <f>Quotes!$B$2*SUMIF(Bootstrap!$B$3:$B$122,"&lt;="&amp;B6,Bootstrap!$D$3:$D$122)</f>
        <v/>
      </c>
      <c r="D6" s="55">
        <f>100000000000*C6*0.0001</f>
        <v/>
      </c>
    </row>
    <row r="7">
      <c r="A7" t="inlineStr">
        <is>
          <t>3Y</t>
        </is>
      </c>
      <c r="B7" t="n">
        <v>3</v>
      </c>
      <c r="C7" s="75">
        <f>Quotes!$B$2*SUMIF(Bootstrap!$B$3:$B$122,"&lt;="&amp;B7,Bootstrap!$D$3:$D$122)</f>
        <v/>
      </c>
      <c r="D7" s="55">
        <f>100000000000*C7*0.0001</f>
        <v/>
      </c>
    </row>
    <row r="8">
      <c r="A8" t="inlineStr">
        <is>
          <t>5Y</t>
        </is>
      </c>
      <c r="B8" t="n">
        <v>5</v>
      </c>
      <c r="C8" s="75">
        <f>Quotes!$B$2*SUMIF(Bootstrap!$B$3:$B$122,"&lt;="&amp;B8,Bootstrap!$D$3:$D$122)</f>
        <v/>
      </c>
      <c r="D8" s="55">
        <f>100000000000*C8*0.0001</f>
        <v/>
      </c>
    </row>
    <row r="9">
      <c r="A9" t="inlineStr">
        <is>
          <t>7Y</t>
        </is>
      </c>
      <c r="B9" t="n">
        <v>7</v>
      </c>
      <c r="C9" s="75">
        <f>Quotes!$B$2*SUMIF(Bootstrap!$B$3:$B$122,"&lt;="&amp;B9,Bootstrap!$D$3:$D$122)</f>
        <v/>
      </c>
      <c r="D9" s="55">
        <f>100000000000*C9*0.0001</f>
        <v/>
      </c>
    </row>
    <row r="10">
      <c r="A10" t="inlineStr">
        <is>
          <t>10Y</t>
        </is>
      </c>
      <c r="B10" t="n">
        <v>10</v>
      </c>
      <c r="C10" s="75">
        <f>Quotes!$B$2*SUMIF(Bootstrap!$B$3:$B$122,"&lt;="&amp;B10,Bootstrap!$D$3:$D$122)</f>
        <v/>
      </c>
      <c r="D10" s="55">
        <f>100000000000*C10*0.0001</f>
        <v/>
      </c>
    </row>
    <row r="11"/>
    <row r="12">
      <c r="A12" s="2" t="inlineStr">
        <is>
          <t>Hedge proposal — 4 swaps</t>
        </is>
      </c>
    </row>
    <row r="13">
      <c r="A13" s="51" t="inlineStr">
        <is>
          <t>Hedge swap</t>
        </is>
      </c>
      <c r="B13" s="51" t="inlineStr">
        <is>
          <t>Absorbs buckets</t>
        </is>
      </c>
      <c r="C13" s="51" t="inlineStr">
        <is>
          <t>Group DV01 (KRW/bp)</t>
        </is>
      </c>
      <c r="D13" s="51" t="inlineStr">
        <is>
          <t>Annuity</t>
        </is>
      </c>
      <c r="E13" s="51" t="inlineStr">
        <is>
          <t>Notional (bn)</t>
        </is>
      </c>
      <c r="F13" s="51" t="inlineStr">
        <is>
          <t>Direction</t>
        </is>
      </c>
    </row>
    <row r="14">
      <c r="A14" s="2" t="inlineStr">
        <is>
          <t>2Y</t>
        </is>
      </c>
      <c r="B14" t="inlineStr">
        <is>
          <t>1Y + 2Y</t>
        </is>
      </c>
      <c r="C14" s="55">
        <f>KRD!X69+KRD!Y69</f>
        <v/>
      </c>
      <c r="D14" s="75">
        <f>$C$6</f>
        <v/>
      </c>
      <c r="E14" s="76">
        <f>ABS(C14/(D14*0.0001))/1000000000</f>
        <v/>
      </c>
      <c r="F14" s="2">
        <f>IF(C14&gt;0,"Receive fixed","Pay fixed")</f>
        <v/>
      </c>
    </row>
    <row r="15">
      <c r="A15" s="2" t="inlineStr">
        <is>
          <t>3Y</t>
        </is>
      </c>
      <c r="B15" t="inlineStr">
        <is>
          <t>3Y</t>
        </is>
      </c>
      <c r="C15" s="55">
        <f>KRD!Z69</f>
        <v/>
      </c>
      <c r="D15" s="75">
        <f>$C$7</f>
        <v/>
      </c>
      <c r="E15" s="76">
        <f>ABS(C15/(D15*0.0001))/1000000000</f>
        <v/>
      </c>
      <c r="F15" s="2">
        <f>IF(C15&gt;0,"Receive fixed","Pay fixed")</f>
        <v/>
      </c>
    </row>
    <row r="16">
      <c r="A16" s="2" t="inlineStr">
        <is>
          <t>5Y</t>
        </is>
      </c>
      <c r="B16" t="inlineStr">
        <is>
          <t>4Y + 5Y</t>
        </is>
      </c>
      <c r="C16" s="55">
        <f>KRD!AA69+KRD!AB69</f>
        <v/>
      </c>
      <c r="D16" s="75">
        <f>$C$8</f>
        <v/>
      </c>
      <c r="E16" s="76">
        <f>ABS(C16/(D16*0.0001))/1000000000</f>
        <v/>
      </c>
      <c r="F16" s="2">
        <f>IF(C16&gt;0,"Receive fixed","Pay fixed")</f>
        <v/>
      </c>
    </row>
    <row r="17">
      <c r="A17" s="2" t="inlineStr">
        <is>
          <t>10Y</t>
        </is>
      </c>
      <c r="B17" t="inlineStr">
        <is>
          <t>7Y + 8Y + 9Y + 10Y</t>
        </is>
      </c>
      <c r="C17" s="55">
        <f>KRD!AC69+KRD!AD69+KRD!AE69+KRD!AF69</f>
        <v/>
      </c>
      <c r="D17" s="75">
        <f>$C$10</f>
        <v/>
      </c>
      <c r="E17" s="76">
        <f>ABS(C17/(D17*0.0001))/1000000000</f>
        <v/>
      </c>
      <c r="F17" s="2">
        <f>IF(C17&gt;0,"Receive fixed","Pay fixed")</f>
        <v/>
      </c>
    </row>
    <row r="18">
      <c r="A18" s="7" t="inlineStr">
        <is>
          <t>(unhedged)</t>
        </is>
      </c>
      <c r="B18" s="7" t="inlineStr">
        <is>
          <t>3M + 6M + 9M (dust)</t>
        </is>
      </c>
      <c r="C18" s="74">
        <f>KRD!U69+KRD!V69+KRD!W69</f>
        <v/>
      </c>
      <c r="F18" s="7" t="inlineStr">
        <is>
          <t>leave — bid/offer &gt; risk</t>
        </is>
      </c>
    </row>
    <row r="19"/>
    <row r="20">
      <c r="A20" s="2" t="inlineStr">
        <is>
          <t>Net DV01 before hedge:</t>
        </is>
      </c>
      <c r="C20" s="77">
        <f>SUM(C14:C17)+C18</f>
        <v/>
      </c>
    </row>
    <row r="21">
      <c r="A21" s="2" t="inlineStr">
        <is>
          <t>Hedged buckets (2Y/3Y/5Y/10Y groups):</t>
        </is>
      </c>
      <c r="C21" s="7" t="inlineStr">
        <is>
          <t>neutralized to 0 by construction</t>
        </is>
      </c>
    </row>
    <row r="22">
      <c r="A22" s="2" t="inlineStr">
        <is>
          <t>Residual DV01 after hedge:</t>
        </is>
      </c>
      <c r="C22" s="77">
        <f>C18</f>
        <v/>
      </c>
      <c r="D22" s="7" t="inlineStr">
        <is>
          <t>sub-1Y dust only</t>
        </is>
      </c>
    </row>
    <row r="23"/>
    <row r="24">
      <c r="A24" s="2" t="inlineStr">
        <is>
          <t>Optional — split 7Y out to kill the 7s10s residual</t>
        </is>
      </c>
    </row>
    <row r="25">
      <c r="A25" s="51" t="inlineStr">
        <is>
          <t>Hedge swap</t>
        </is>
      </c>
      <c r="B25" s="51" t="inlineStr">
        <is>
          <t>Absorbs buckets</t>
        </is>
      </c>
      <c r="C25" s="51" t="inlineStr">
        <is>
          <t>Group DV01 (KRW/bp)</t>
        </is>
      </c>
      <c r="D25" s="51" t="inlineStr">
        <is>
          <t>Annuity</t>
        </is>
      </c>
      <c r="E25" s="51" t="inlineStr">
        <is>
          <t>Notional (bn)</t>
        </is>
      </c>
      <c r="F25" s="51" t="inlineStr">
        <is>
          <t>Direction</t>
        </is>
      </c>
    </row>
    <row r="26">
      <c r="A26" s="2" t="inlineStr">
        <is>
          <t>7Y</t>
        </is>
      </c>
      <c r="B26" t="inlineStr">
        <is>
          <t>7Y + 8Y (part)</t>
        </is>
      </c>
      <c r="C26" s="55">
        <f>KRD!AC69+KRD!AD69</f>
        <v/>
      </c>
      <c r="D26" s="75">
        <f>$C$9</f>
        <v/>
      </c>
      <c r="E26" s="76">
        <f>ABS(C26/(D26*0.0001))/1000000000</f>
        <v/>
      </c>
      <c r="F26" s="2">
        <f>IF(C26&gt;0,"Receive fixed","Pay fixed")</f>
        <v/>
      </c>
    </row>
    <row r="27">
      <c r="A27" s="2" t="inlineStr">
        <is>
          <t>10Y</t>
        </is>
      </c>
      <c r="B27" t="inlineStr">
        <is>
          <t>9Y + 10Y (part)</t>
        </is>
      </c>
      <c r="C27" s="55">
        <f>KRD!AE69+KRD!AF69</f>
        <v/>
      </c>
      <c r="D27" s="75">
        <f>$C$10</f>
        <v/>
      </c>
      <c r="E27" s="76">
        <f>ABS(C27/(D27*0.0001))/1000000000</f>
        <v/>
      </c>
      <c r="F27" s="2">
        <f>IF(C27&gt;0,"Receive fixed","Pay fixed")</f>
        <v/>
      </c>
    </row>
    <row r="28"/>
    <row r="29">
      <c r="A29" s="7" t="inlineStr">
        <is>
          <t>Replaces the single 10Y line above with these two; +1 bid/offer.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2026-07-24T04:03:58Z</dcterms:modified>
</cp:coreProperties>
</file>