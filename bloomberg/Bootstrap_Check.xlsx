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0.00000"/>
    <numFmt numFmtId="166" formatCode="0.00000000"/>
    <numFmt numFmtId="167" formatCode="0.000"/>
    <numFmt numFmtId="168" formatCode="0.000000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08080"/>
      <sz val="9"/>
    </font>
    <font>
      <name val="Calibri"/>
      <b val="1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sz val="8"/>
    </font>
    <font>
      <name val="Calibri"/>
      <sz val="11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0" fontId="11" fillId="0" borderId="0" pivotButton="0" quotePrefix="0" xfId="0"/>
    <xf numFmtId="164" fontId="5" fillId="0" borderId="1" pivotButton="0" quotePrefix="0" xfId="0"/>
    <xf numFmtId="0" fontId="6" fillId="3" borderId="1" applyAlignment="1" pivotButton="0" quotePrefix="0" xfId="0">
      <alignment horizontal="center" wrapText="1"/>
    </xf>
    <xf numFmtId="0" fontId="7" fillId="4" borderId="1" pivotButton="0" quotePrefix="0" xfId="0"/>
    <xf numFmtId="0" fontId="7" fillId="0" borderId="0" pivotButton="0" quotePrefix="0" xfId="0"/>
    <xf numFmtId="0" fontId="10" fillId="5" borderId="1" pivotButton="0" quotePrefix="0" xfId="0"/>
    <xf numFmtId="164" fontId="10" fillId="5" borderId="1" pivotButton="0" quotePrefix="0" xfId="0"/>
    <xf numFmtId="165" fontId="10" fillId="5" borderId="1" pivotButton="0" quotePrefix="0" xfId="0"/>
    <xf numFmtId="168" fontId="10" fillId="5" borderId="1" pivotButton="0" quotePrefix="0" xfId="0"/>
    <xf numFmtId="165" fontId="5" fillId="6" borderId="1" pivotButton="0" quotePrefix="0" xfId="0"/>
    <xf numFmtId="166" fontId="5" fillId="6" borderId="1" pivotButton="0" quotePrefix="0" xfId="0"/>
    <xf numFmtId="167" fontId="0" fillId="0" borderId="1" pivotButton="0" quotePrefix="0" xfId="0"/>
    <xf numFmtId="11" fontId="0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9" fillId="0" borderId="0" pivotButton="0" quotePrefix="0" xfId="0"/>
    <xf numFmtId="167" fontId="0" fillId="6" borderId="1" pivotButton="0" quotePrefix="0" xfId="0"/>
    <xf numFmtId="11" fontId="0" fillId="6" borderId="1" pivotButton="0" quotePrefix="0" xfId="0"/>
  </cellXfs>
  <cellStyles count="1">
    <cellStyle name="Normal" xfId="0" builtinId="0" hidden="0"/>
  </cellStyles>
  <dxfs count="1">
    <dxf>
      <font>
        <name val="Calibri"/>
        <b val="1"/>
        <color rgb="00C00000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1" customWidth="1" min="8" max="8"/>
    <col width="12" customWidth="1" min="9" max="9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1" t="inlineStr">
        <is>
          <t>CURVE TEST CASE 1 — paste and read</t>
        </is>
      </c>
      <c r="K1" s="2" t="inlineStr">
        <is>
          <t>WORKING — the bootstrap itself, left visible so every step can be audited: dates, taus, annuity, then the 16 solver passes</t>
        </is>
      </c>
    </row>
    <row r="2">
      <c r="A2" s="2" t="inlineStr">
        <is>
          <t>Paste YELLOW A:E straight off the capture — tenor, date, swap mid, BBG zero, BBG discount. Set the curve date. Green is computed here; this sheet points at nothing outside itself.</t>
        </is>
      </c>
    </row>
    <row r="3">
      <c r="B3" s="3" t="inlineStr">
        <is>
          <t>Curve date →</t>
        </is>
      </c>
      <c r="C3" s="4" t="n"/>
      <c r="D3" s="5">
        <f>IF($C$3="","&lt;&lt;&lt;  ENTER THE CURVE DATE  —  nothing computes without it","")</f>
        <v/>
      </c>
    </row>
    <row r="4">
      <c r="B4" s="3" t="inlineStr">
        <is>
          <t>Spot (T+2bd) →</t>
        </is>
      </c>
      <c r="C4" s="6">
        <f>IF($C$3="","",($C$3+IF(WEEKDAY($C$3,2)=6,2,IF(WEEKDAY($C$3,2)=7,1,0)))+IF(WEEKDAY(($C$3+IF(WEEKDAY($C$3,2)=6,2,IF(WEEKDAY($C$3,2)=7,1,0))),2)&gt;=4,4,2))</f>
        <v/>
      </c>
    </row>
    <row r="7">
      <c r="A7" s="7" t="inlineStr">
        <is>
          <t>Tenor</t>
        </is>
      </c>
      <c r="B7" s="7" t="inlineStr">
        <is>
          <t>Date</t>
        </is>
      </c>
      <c r="C7" s="7" t="inlineStr">
        <is>
          <t>Swap rate (mid) %</t>
        </is>
      </c>
      <c r="D7" s="7" t="inlineStr">
        <is>
          <t>BBG zero %</t>
        </is>
      </c>
      <c r="E7" s="7" t="inlineStr">
        <is>
          <t>BBG discount</t>
        </is>
      </c>
      <c r="F7" s="7" t="inlineStr">
        <is>
          <t>Our zero %</t>
        </is>
      </c>
      <c r="G7" s="7" t="inlineStr">
        <is>
          <t>Our discount</t>
        </is>
      </c>
      <c r="H7" s="7" t="inlineStr">
        <is>
          <t>d zero bp</t>
        </is>
      </c>
      <c r="I7" s="7" t="inlineStr">
        <is>
          <t>d DF</t>
        </is>
      </c>
      <c r="J7" s="7" t="inlineStr">
        <is>
          <t>date check</t>
        </is>
      </c>
      <c r="K7" s="8" t="inlineStr">
        <is>
          <t>tenor</t>
        </is>
      </c>
      <c r="L7" s="8" t="inlineStr">
        <is>
          <t>yrs</t>
        </is>
      </c>
      <c r="M7" s="8" t="inlineStr">
        <is>
          <t>date</t>
        </is>
      </c>
      <c r="N7" s="8" t="inlineStr">
        <is>
          <t>T</t>
        </is>
      </c>
      <c r="O7" s="8" t="inlineStr">
        <is>
          <t>tau0</t>
        </is>
      </c>
      <c r="P7" s="8" t="inlineStr">
        <is>
          <t>tauC</t>
        </is>
      </c>
      <c r="Q7" s="8" t="inlineStr">
        <is>
          <t>sched</t>
        </is>
      </c>
      <c r="R7" s="8" t="inlineStr">
        <is>
          <t>quoted</t>
        </is>
      </c>
      <c r="S7" s="8" t="inlineStr">
        <is>
          <t>S %</t>
        </is>
      </c>
      <c r="T7" s="8" t="inlineStr">
        <is>
          <t>w</t>
        </is>
      </c>
      <c r="U7" s="8" t="inlineStr">
        <is>
          <t>DF</t>
        </is>
      </c>
      <c r="V7" s="8" t="inlineStr">
        <is>
          <t>ann add</t>
        </is>
      </c>
      <c r="X7" s="9" t="inlineStr">
        <is>
          <t>solve →</t>
        </is>
      </c>
    </row>
    <row r="8">
      <c r="A8" s="10" t="n"/>
      <c r="B8" s="11" t="n"/>
      <c r="C8" s="12" t="n"/>
      <c r="D8" s="12" t="n"/>
      <c r="E8" s="13" t="n"/>
      <c r="F8" s="14">
        <f>IF(OR($A8="",G8=""),"",-LN(G8)/INDEX($N$8:$N$72,IFERROR(MATCH($A8,$K$8:$K$72,0),MATCH(IF($A8="1Y","12M",IF($A8="12M","1Y",$A8)),$K$8:$K$72,0)))*100)</f>
        <v/>
      </c>
      <c r="G8" s="15">
        <f>IF($A8="","",IFERROR(INDEX($U$8:$U$72,IFERROR(MATCH($A8,$K$8:$K$72,0),MATCH(IF($A8="1Y","12M",IF($A8="12M","1Y",$A8)),$K$8:$K$72,0))),""))</f>
        <v/>
      </c>
      <c r="H8" s="16">
        <f>IF(OR(F8="",NOT(ISNUMBER(D8))),"",(F8-D8)*100)</f>
        <v/>
      </c>
      <c r="I8" s="17">
        <f>IF(OR(G8="",NOT(ISNUMBER(E8))),"",G8-E8)</f>
        <v/>
      </c>
      <c r="J8" s="18">
        <f>IF(OR($A8="",NOT(ISNUMBER($B8))),"",IF(ABS($B8-INDEX($M$8:$M$72,IFERROR(MATCH($A8,$K$8:$K$72,0),MATCH(IF($A8="1Y","12M",IF($A8="12M","1Y",$A8)),$K$8:$K$72,0))))&lt;=3,"ok","MISMATCH "&amp;TEXT(INDEX($M$8:$M$72,IFERROR(MATCH($A8,$K$8:$K$72,0),MATCH(IF($A8="1Y","12M",IF($A8="12M","1Y",$A8)),$K$8:$K$72,0))),"mm/dd/yy")))</f>
        <v/>
      </c>
      <c r="K8" s="19" t="inlineStr">
        <is>
          <t>1W</t>
        </is>
      </c>
      <c r="L8" t="n">
        <v>0.01923076923076923</v>
      </c>
      <c r="M8" s="20">
        <f>IFERROR(IF($C$3="","",IF(MONTH(($C$4+7*1)+IF(WEEKDAY(($C$4+7*1),2)=6,2,IF(WEEKDAY(($C$4+7*1),2)=7,1,0)))&lt;&gt;MONTH($C$4+7*1),($C$4+7*1)-IF(WEEKDAY(($C$4+7*1),2)=6,1,IF(WEEKDAY(($C$4+7*1),2)=7,2,0)),($C$4+7*1)+IF(WEEKDAY(($C$4+7*1),2)=6,2,IF(WEEKDAY(($C$4+7*1),2)=7,1,0)))),"")</f>
        <v/>
      </c>
      <c r="N8">
        <f>IFERROR(IF(M8="","",(M8-$C$3)/365),"")</f>
        <v/>
      </c>
      <c r="O8">
        <f>IFERROR(IF(M8="","",(M8-$C$3)/360),"")</f>
        <v/>
      </c>
      <c r="P8">
        <f>IFERROR(IF(M8="","",(M8-$C$3)/360),"")</f>
        <v/>
      </c>
      <c r="Q8" t="n">
        <v>0</v>
      </c>
      <c r="R8">
        <f>IFERROR(IF(COUNTIF($A$8:$A$59,"1W")&gt;0,1,0),"")</f>
        <v/>
      </c>
      <c r="S8" s="21">
        <f>IFERROR(IFERROR(INDEX($C$8:$C$59,MATCH("1W",$A$8:$A$59,0)),INDEX($C$8:$C$59,MATCH("1W",$A$8:$A$59,0))),"")</f>
        <v/>
      </c>
      <c r="U8" s="22">
        <f>IFERROR(IF(S8="","",1/(1+(S8/100)*O8)),"")</f>
        <v/>
      </c>
      <c r="V8">
        <f>IFERROR(IF(OR(U8="",Q8=0),0,P8*U8),"")</f>
        <v/>
      </c>
    </row>
    <row r="9">
      <c r="A9" s="10" t="n"/>
      <c r="B9" s="11" t="n"/>
      <c r="C9" s="12" t="n"/>
      <c r="D9" s="12" t="n"/>
      <c r="E9" s="13" t="n"/>
      <c r="F9" s="14">
        <f>IF(OR($A9="",G9=""),"",-LN(G9)/INDEX($N$8:$N$72,IFERROR(MATCH($A9,$K$8:$K$72,0),MATCH(IF($A9="1Y","12M",IF($A9="12M","1Y",$A9)),$K$8:$K$72,0)))*100)</f>
        <v/>
      </c>
      <c r="G9" s="15">
        <f>IF($A9="","",IFERROR(INDEX($U$8:$U$72,IFERROR(MATCH($A9,$K$8:$K$72,0),MATCH(IF($A9="1Y","12M",IF($A9="12M","1Y",$A9)),$K$8:$K$72,0))),""))</f>
        <v/>
      </c>
      <c r="H9" s="16">
        <f>IF(OR(F9="",NOT(ISNUMBER(D9))),"",(F9-D9)*100)</f>
        <v/>
      </c>
      <c r="I9" s="17">
        <f>IF(OR(G9="",NOT(ISNUMBER(E9))),"",G9-E9)</f>
        <v/>
      </c>
      <c r="J9" s="18">
        <f>IF(OR($A9="",NOT(ISNUMBER($B9))),"",IF(ABS($B9-INDEX($M$8:$M$72,IFERROR(MATCH($A9,$K$8:$K$72,0),MATCH(IF($A9="1Y","12M",IF($A9="12M","1Y",$A9)),$K$8:$K$72,0))))&lt;=3,"ok","MISMATCH "&amp;TEXT(INDEX($M$8:$M$72,IFERROR(MATCH($A9,$K$8:$K$72,0),MATCH(IF($A9="1Y","12M",IF($A9="12M","1Y",$A9)),$K$8:$K$72,0))),"mm/dd/yy")))</f>
        <v/>
      </c>
      <c r="K9" s="19" t="inlineStr">
        <is>
          <t>2W</t>
        </is>
      </c>
      <c r="L9" t="n">
        <v>0.03846153846153846</v>
      </c>
      <c r="M9" s="20">
        <f>IFERROR(IF($C$3="","",IF(MONTH(($C$4+7*2)+IF(WEEKDAY(($C$4+7*2),2)=6,2,IF(WEEKDAY(($C$4+7*2),2)=7,1,0)))&lt;&gt;MONTH($C$4+7*2),($C$4+7*2)-IF(WEEKDAY(($C$4+7*2),2)=6,1,IF(WEEKDAY(($C$4+7*2),2)=7,2,0)),($C$4+7*2)+IF(WEEKDAY(($C$4+7*2),2)=6,2,IF(WEEKDAY(($C$4+7*2),2)=7,1,0)))),"")</f>
        <v/>
      </c>
      <c r="N9">
        <f>IFERROR(IF(M9="","",(M9-$C$3)/365),"")</f>
        <v/>
      </c>
      <c r="O9">
        <f>IFERROR(IF(M9="","",(M9-$C$3)/360),"")</f>
        <v/>
      </c>
      <c r="P9">
        <f>IFERROR(IF(M9="","",(M9-$C$3)/360),"")</f>
        <v/>
      </c>
      <c r="Q9" t="n">
        <v>0</v>
      </c>
      <c r="R9">
        <f>IFERROR(IF(COUNTIF($A$8:$A$59,"2W")&gt;0,1,0),"")</f>
        <v/>
      </c>
      <c r="S9" s="21">
        <f>IFERROR(IFERROR(INDEX($C$8:$C$59,MATCH("2W",$A$8:$A$59,0)),INDEX($C$8:$C$59,MATCH("2W",$A$8:$A$59,0))),"")</f>
        <v/>
      </c>
      <c r="U9" s="22">
        <f>IFERROR(IF(S9="","",1/(1+(S9/100)*O9)),"")</f>
        <v/>
      </c>
      <c r="V9">
        <f>IFERROR(IF(OR(U9="",Q9=0),0,P9*U9),"")</f>
        <v/>
      </c>
    </row>
    <row r="10">
      <c r="A10" s="10" t="n"/>
      <c r="B10" s="11" t="n"/>
      <c r="C10" s="12" t="n"/>
      <c r="D10" s="12" t="n"/>
      <c r="E10" s="13" t="n"/>
      <c r="F10" s="14">
        <f>IF(OR($A10="",G10=""),"",-LN(G10)/INDEX($N$8:$N$72,IFERROR(MATCH($A10,$K$8:$K$72,0),MATCH(IF($A10="1Y","12M",IF($A10="12M","1Y",$A10)),$K$8:$K$72,0)))*100)</f>
        <v/>
      </c>
      <c r="G10" s="15">
        <f>IF($A10="","",IFERROR(INDEX($U$8:$U$72,IFERROR(MATCH($A10,$K$8:$K$72,0),MATCH(IF($A10="1Y","12M",IF($A10="12M","1Y",$A10)),$K$8:$K$72,0))),""))</f>
        <v/>
      </c>
      <c r="H10" s="16">
        <f>IF(OR(F10="",NOT(ISNUMBER(D10))),"",(F10-D10)*100)</f>
        <v/>
      </c>
      <c r="I10" s="17">
        <f>IF(OR(G10="",NOT(ISNUMBER(E10))),"",G10-E10)</f>
        <v/>
      </c>
      <c r="J10" s="18">
        <f>IF(OR($A10="",NOT(ISNUMBER($B10))),"",IF(ABS($B10-INDEX($M$8:$M$72,IFERROR(MATCH($A10,$K$8:$K$72,0),MATCH(IF($A10="1Y","12M",IF($A10="12M","1Y",$A10)),$K$8:$K$72,0))))&lt;=3,"ok","MISMATCH "&amp;TEXT(INDEX($M$8:$M$72,IFERROR(MATCH($A10,$K$8:$K$72,0),MATCH(IF($A10="1Y","12M",IF($A10="12M","1Y",$A10)),$K$8:$K$72,0))),"mm/dd/yy")))</f>
        <v/>
      </c>
      <c r="K10" s="19" t="inlineStr">
        <is>
          <t>3W</t>
        </is>
      </c>
      <c r="L10" t="n">
        <v>0.0576923076923077</v>
      </c>
      <c r="M10" s="20">
        <f>IFERROR(IF($C$3="","",IF(MONTH(($C$4+7*3)+IF(WEEKDAY(($C$4+7*3),2)=6,2,IF(WEEKDAY(($C$4+7*3),2)=7,1,0)))&lt;&gt;MONTH($C$4+7*3),($C$4+7*3)-IF(WEEKDAY(($C$4+7*3),2)=6,1,IF(WEEKDAY(($C$4+7*3),2)=7,2,0)),($C$4+7*3)+IF(WEEKDAY(($C$4+7*3),2)=6,2,IF(WEEKDAY(($C$4+7*3),2)=7,1,0)))),"")</f>
        <v/>
      </c>
      <c r="N10">
        <f>IFERROR(IF(M10="","",(M10-$C$3)/365),"")</f>
        <v/>
      </c>
      <c r="O10">
        <f>IFERROR(IF(M10="","",(M10-$C$3)/360),"")</f>
        <v/>
      </c>
      <c r="P10">
        <f>IFERROR(IF(M10="","",(M10-$C$3)/360),"")</f>
        <v/>
      </c>
      <c r="Q10" t="n">
        <v>0</v>
      </c>
      <c r="R10">
        <f>IFERROR(IF(COUNTIF($A$8:$A$59,"3W")&gt;0,1,0),"")</f>
        <v/>
      </c>
      <c r="S10" s="21">
        <f>IFERROR(IFERROR(INDEX($C$8:$C$59,MATCH("3W",$A$8:$A$59,0)),INDEX($C$8:$C$59,MATCH("3W",$A$8:$A$59,0))),"")</f>
        <v/>
      </c>
      <c r="U10" s="22">
        <f>IFERROR(IF(S10="","",1/(1+(S10/100)*O10)),"")</f>
        <v/>
      </c>
      <c r="V10">
        <f>IFERROR(IF(OR(U10="",Q10=0),0,P10*U10),"")</f>
        <v/>
      </c>
    </row>
    <row r="11">
      <c r="A11" s="10" t="n"/>
      <c r="B11" s="11" t="n"/>
      <c r="C11" s="12" t="n"/>
      <c r="D11" s="12" t="n"/>
      <c r="E11" s="13" t="n"/>
      <c r="F11" s="14">
        <f>IF(OR($A11="",G11=""),"",-LN(G11)/INDEX($N$8:$N$72,IFERROR(MATCH($A11,$K$8:$K$72,0),MATCH(IF($A11="1Y","12M",IF($A11="12M","1Y",$A11)),$K$8:$K$72,0)))*100)</f>
        <v/>
      </c>
      <c r="G11" s="15">
        <f>IF($A11="","",IFERROR(INDEX($U$8:$U$72,IFERROR(MATCH($A11,$K$8:$K$72,0),MATCH(IF($A11="1Y","12M",IF($A11="12M","1Y",$A11)),$K$8:$K$72,0))),""))</f>
        <v/>
      </c>
      <c r="H11" s="16">
        <f>IF(OR(F11="",NOT(ISNUMBER(D11))),"",(F11-D11)*100)</f>
        <v/>
      </c>
      <c r="I11" s="17">
        <f>IF(OR(G11="",NOT(ISNUMBER(E11))),"",G11-E11)</f>
        <v/>
      </c>
      <c r="J11" s="18">
        <f>IF(OR($A11="",NOT(ISNUMBER($B11))),"",IF(ABS($B11-INDEX($M$8:$M$72,IFERROR(MATCH($A11,$K$8:$K$72,0),MATCH(IF($A11="1Y","12M",IF($A11="12M","1Y",$A11)),$K$8:$K$72,0))))&lt;=3,"ok","MISMATCH "&amp;TEXT(INDEX($M$8:$M$72,IFERROR(MATCH($A11,$K$8:$K$72,0),MATCH(IF($A11="1Y","12M",IF($A11="12M","1Y",$A11)),$K$8:$K$72,0))),"mm/dd/yy")))</f>
        <v/>
      </c>
      <c r="K11" s="19" t="inlineStr">
        <is>
          <t>1M</t>
        </is>
      </c>
      <c r="L11" t="n">
        <v>0.08333333333333333</v>
      </c>
      <c r="M11" s="20">
        <f>IFERROR(IF($C$3="","",IF(MONTH((EDATE($C$4,1))+IF(WEEKDAY((EDATE($C$4,1)),2)=6,2,IF(WEEKDAY((EDATE($C$4,1)),2)=7,1,0)))&lt;&gt;MONTH(EDATE($C$4,1)),(EDATE($C$4,1))-IF(WEEKDAY((EDATE($C$4,1)),2)=6,1,IF(WEEKDAY((EDATE($C$4,1)),2)=7,2,0)),(EDATE($C$4,1))+IF(WEEKDAY((EDATE($C$4,1)),2)=6,2,IF(WEEKDAY((EDATE($C$4,1)),2)=7,1,0)))),"")</f>
        <v/>
      </c>
      <c r="N11">
        <f>IFERROR(IF(M11="","",(M11-$C$3)/365),"")</f>
        <v/>
      </c>
      <c r="O11">
        <f>IFERROR(IF(M11="","",(M11-$C$3)/360),"")</f>
        <v/>
      </c>
      <c r="P11">
        <f>IFERROR(IF(M11="","",(M11-$C$3)/360),"")</f>
        <v/>
      </c>
      <c r="Q11" t="n">
        <v>0</v>
      </c>
      <c r="R11">
        <f>IFERROR(IF(COUNTIF($A$8:$A$59,"1M")&gt;0,1,0),"")</f>
        <v/>
      </c>
      <c r="S11" s="21">
        <f>IFERROR(IFERROR(INDEX($C$8:$C$59,MATCH("1M",$A$8:$A$59,0)),INDEX($C$8:$C$59,MATCH("1M",$A$8:$A$59,0))),"")</f>
        <v/>
      </c>
      <c r="U11" s="22">
        <f>IFERROR(IF(S11="","",1/(1+(S11/100)*O11)),"")</f>
        <v/>
      </c>
      <c r="V11">
        <f>IFERROR(IF(OR(U11="",Q11=0),0,P11*U11),"")</f>
        <v/>
      </c>
    </row>
    <row r="12">
      <c r="A12" s="10" t="n"/>
      <c r="B12" s="11" t="n"/>
      <c r="C12" s="12" t="n"/>
      <c r="D12" s="12" t="n"/>
      <c r="E12" s="13" t="n"/>
      <c r="F12" s="14">
        <f>IF(OR($A12="",G12=""),"",-LN(G12)/INDEX($N$8:$N$72,IFERROR(MATCH($A12,$K$8:$K$72,0),MATCH(IF($A12="1Y","12M",IF($A12="12M","1Y",$A12)),$K$8:$K$72,0)))*100)</f>
        <v/>
      </c>
      <c r="G12" s="15">
        <f>IF($A12="","",IFERROR(INDEX($U$8:$U$72,IFERROR(MATCH($A12,$K$8:$K$72,0),MATCH(IF($A12="1Y","12M",IF($A12="12M","1Y",$A12)),$K$8:$K$72,0))),""))</f>
        <v/>
      </c>
      <c r="H12" s="16">
        <f>IF(OR(F12="",NOT(ISNUMBER(D12))),"",(F12-D12)*100)</f>
        <v/>
      </c>
      <c r="I12" s="17">
        <f>IF(OR(G12="",NOT(ISNUMBER(E12))),"",G12-E12)</f>
        <v/>
      </c>
      <c r="J12" s="18">
        <f>IF(OR($A12="",NOT(ISNUMBER($B12))),"",IF(ABS($B12-INDEX($M$8:$M$72,IFERROR(MATCH($A12,$K$8:$K$72,0),MATCH(IF($A12="1Y","12M",IF($A12="12M","1Y",$A12)),$K$8:$K$72,0))))&lt;=3,"ok","MISMATCH "&amp;TEXT(INDEX($M$8:$M$72,IFERROR(MATCH($A12,$K$8:$K$72,0),MATCH(IF($A12="1Y","12M",IF($A12="12M","1Y",$A12)),$K$8:$K$72,0))),"mm/dd/yy")))</f>
        <v/>
      </c>
      <c r="K12" s="19" t="inlineStr">
        <is>
          <t>2M</t>
        </is>
      </c>
      <c r="L12" t="n">
        <v>0.1666666666666667</v>
      </c>
      <c r="M12" s="20">
        <f>IFERROR(IF($C$3="","",IF(MONTH((EDATE($C$4,2))+IF(WEEKDAY((EDATE($C$4,2)),2)=6,2,IF(WEEKDAY((EDATE($C$4,2)),2)=7,1,0)))&lt;&gt;MONTH(EDATE($C$4,2)),(EDATE($C$4,2))-IF(WEEKDAY((EDATE($C$4,2)),2)=6,1,IF(WEEKDAY((EDATE($C$4,2)),2)=7,2,0)),(EDATE($C$4,2))+IF(WEEKDAY((EDATE($C$4,2)),2)=6,2,IF(WEEKDAY((EDATE($C$4,2)),2)=7,1,0)))),"")</f>
        <v/>
      </c>
      <c r="N12">
        <f>IFERROR(IF(M12="","",(M12-$C$3)/365),"")</f>
        <v/>
      </c>
      <c r="O12">
        <f>IFERROR(IF(M12="","",(M12-$C$3)/360),"")</f>
        <v/>
      </c>
      <c r="P12">
        <f>IFERROR(IF(M12="","",(M12-$C$3)/360),"")</f>
        <v/>
      </c>
      <c r="Q12" t="n">
        <v>0</v>
      </c>
      <c r="R12">
        <f>IFERROR(IF(COUNTIF($A$8:$A$59,"2M")&gt;0,1,0),"")</f>
        <v/>
      </c>
      <c r="S12" s="21">
        <f>IFERROR(IFERROR(INDEX($C$8:$C$59,MATCH("2M",$A$8:$A$59,0)),INDEX($C$8:$C$59,MATCH("2M",$A$8:$A$59,0))),"")</f>
        <v/>
      </c>
      <c r="U12" s="22">
        <f>IFERROR(IF(S12="","",1/(1+(S12/100)*O12)),"")</f>
        <v/>
      </c>
      <c r="V12">
        <f>IFERROR(IF(OR(U12="",Q12=0),0,P12*U12),"")</f>
        <v/>
      </c>
    </row>
    <row r="13">
      <c r="A13" s="10" t="n"/>
      <c r="B13" s="11" t="n"/>
      <c r="C13" s="12" t="n"/>
      <c r="D13" s="12" t="n"/>
      <c r="E13" s="13" t="n"/>
      <c r="F13" s="14">
        <f>IF(OR($A13="",G13=""),"",-LN(G13)/INDEX($N$8:$N$72,IFERROR(MATCH($A13,$K$8:$K$72,0),MATCH(IF($A13="1Y","12M",IF($A13="12M","1Y",$A13)),$K$8:$K$72,0)))*100)</f>
        <v/>
      </c>
      <c r="G13" s="15">
        <f>IF($A13="","",IFERROR(INDEX($U$8:$U$72,IFERROR(MATCH($A13,$K$8:$K$72,0),MATCH(IF($A13="1Y","12M",IF($A13="12M","1Y",$A13)),$K$8:$K$72,0))),""))</f>
        <v/>
      </c>
      <c r="H13" s="16">
        <f>IF(OR(F13="",NOT(ISNUMBER(D13))),"",(F13-D13)*100)</f>
        <v/>
      </c>
      <c r="I13" s="17">
        <f>IF(OR(G13="",NOT(ISNUMBER(E13))),"",G13-E13)</f>
        <v/>
      </c>
      <c r="J13" s="18">
        <f>IF(OR($A13="",NOT(ISNUMBER($B13))),"",IF(ABS($B13-INDEX($M$8:$M$72,IFERROR(MATCH($A13,$K$8:$K$72,0),MATCH(IF($A13="1Y","12M",IF($A13="12M","1Y",$A13)),$K$8:$K$72,0))))&lt;=3,"ok","MISMATCH "&amp;TEXT(INDEX($M$8:$M$72,IFERROR(MATCH($A13,$K$8:$K$72,0),MATCH(IF($A13="1Y","12M",IF($A13="12M","1Y",$A13)),$K$8:$K$72,0))),"mm/dd/yy")))</f>
        <v/>
      </c>
      <c r="K13" s="19" t="inlineStr">
        <is>
          <t>3M</t>
        </is>
      </c>
      <c r="L13" t="n">
        <v>0.25</v>
      </c>
      <c r="M13" s="20">
        <f>IFERROR(IF($C$3="","",IF(MONTH((EDATE($C$4,3))+IF(WEEKDAY((EDATE($C$4,3)),2)=6,2,IF(WEEKDAY((EDATE($C$4,3)),2)=7,1,0)))&lt;&gt;MONTH(EDATE($C$4,3)),(EDATE($C$4,3))-IF(WEEKDAY((EDATE($C$4,3)),2)=6,1,IF(WEEKDAY((EDATE($C$4,3)),2)=7,2,0)),(EDATE($C$4,3))+IF(WEEKDAY((EDATE($C$4,3)),2)=6,2,IF(WEEKDAY((EDATE($C$4,3)),2)=7,1,0)))),"")</f>
        <v/>
      </c>
      <c r="N13">
        <f>IFERROR(IF(M13="","",(M13-$C$3)/365),"")</f>
        <v/>
      </c>
      <c r="O13">
        <f>IFERROR(IF(M13="","",(M13-$C$3)/360),"")</f>
        <v/>
      </c>
      <c r="P13">
        <f>IFERROR(IF(M13="","",(M13-$C$3)/360),"")</f>
        <v/>
      </c>
      <c r="Q13" t="n">
        <v>0</v>
      </c>
      <c r="R13">
        <f>IFERROR(IF(COUNTIF($A$8:$A$59,"3M")&gt;0,1,0),"")</f>
        <v/>
      </c>
      <c r="S13" s="21">
        <f>IFERROR(IFERROR(INDEX($C$8:$C$59,MATCH("3M",$A$8:$A$59,0)),INDEX($C$8:$C$59,MATCH("3M",$A$8:$A$59,0))),"")</f>
        <v/>
      </c>
      <c r="U13" s="22">
        <f>IFERROR(IF(S13="","",1/(1+(S13/100)*O13)),"")</f>
        <v/>
      </c>
      <c r="V13">
        <f>IFERROR(IF(OR(U13="",Q13=0),0,P13*U13),"")</f>
        <v/>
      </c>
    </row>
    <row r="14">
      <c r="A14" s="10" t="n"/>
      <c r="B14" s="11" t="n"/>
      <c r="C14" s="12" t="n"/>
      <c r="D14" s="12" t="n"/>
      <c r="E14" s="13" t="n"/>
      <c r="F14" s="14">
        <f>IF(OR($A14="",G14=""),"",-LN(G14)/INDEX($N$8:$N$72,IFERROR(MATCH($A14,$K$8:$K$72,0),MATCH(IF($A14="1Y","12M",IF($A14="12M","1Y",$A14)),$K$8:$K$72,0)))*100)</f>
        <v/>
      </c>
      <c r="G14" s="15">
        <f>IF($A14="","",IFERROR(INDEX($U$8:$U$72,IFERROR(MATCH($A14,$K$8:$K$72,0),MATCH(IF($A14="1Y","12M",IF($A14="12M","1Y",$A14)),$K$8:$K$72,0))),""))</f>
        <v/>
      </c>
      <c r="H14" s="16">
        <f>IF(OR(F14="",NOT(ISNUMBER(D14))),"",(F14-D14)*100)</f>
        <v/>
      </c>
      <c r="I14" s="17">
        <f>IF(OR(G14="",NOT(ISNUMBER(E14))),"",G14-E14)</f>
        <v/>
      </c>
      <c r="J14" s="18">
        <f>IF(OR($A14="",NOT(ISNUMBER($B14))),"",IF(ABS($B14-INDEX($M$8:$M$72,IFERROR(MATCH($A14,$K$8:$K$72,0),MATCH(IF($A14="1Y","12M",IF($A14="12M","1Y",$A14)),$K$8:$K$72,0))))&lt;=3,"ok","MISMATCH "&amp;TEXT(INDEX($M$8:$M$72,IFERROR(MATCH($A14,$K$8:$K$72,0),MATCH(IF($A14="1Y","12M",IF($A14="12M","1Y",$A14)),$K$8:$K$72,0))),"mm/dd/yy")))</f>
        <v/>
      </c>
      <c r="K14" s="19" t="inlineStr">
        <is>
          <t>4M</t>
        </is>
      </c>
      <c r="L14" t="n">
        <v>0.3333333333333333</v>
      </c>
      <c r="M14" s="20">
        <f>IFERROR(IF($C$3="","",IF(MONTH((EDATE($C$4,4))+IF(WEEKDAY((EDATE($C$4,4)),2)=6,2,IF(WEEKDAY((EDATE($C$4,4)),2)=7,1,0)))&lt;&gt;MONTH(EDATE($C$4,4)),(EDATE($C$4,4))-IF(WEEKDAY((EDATE($C$4,4)),2)=6,1,IF(WEEKDAY((EDATE($C$4,4)),2)=7,2,0)),(EDATE($C$4,4))+IF(WEEKDAY((EDATE($C$4,4)),2)=6,2,IF(WEEKDAY((EDATE($C$4,4)),2)=7,1,0)))),"")</f>
        <v/>
      </c>
      <c r="N14">
        <f>IFERROR(IF(M14="","",(M14-$C$3)/365),"")</f>
        <v/>
      </c>
      <c r="O14">
        <f>IFERROR(IF(M14="","",(M14-$C$3)/360),"")</f>
        <v/>
      </c>
      <c r="P14">
        <f>IFERROR(IF(M14="","",(M14-$C$3)/360),"")</f>
        <v/>
      </c>
      <c r="Q14" t="n">
        <v>0</v>
      </c>
      <c r="R14">
        <f>IFERROR(IF(COUNTIF($A$8:$A$59,"4M")&gt;0,1,0),"")</f>
        <v/>
      </c>
      <c r="S14" s="21">
        <f>IFERROR(IFERROR(INDEX($C$8:$C$59,MATCH("4M",$A$8:$A$59,0)),INDEX($C$8:$C$59,MATCH("4M",$A$8:$A$59,0))),"")</f>
        <v/>
      </c>
      <c r="U14" s="22">
        <f>IFERROR(IF(S14="","",1/(1+(S14/100)*O14)),"")</f>
        <v/>
      </c>
      <c r="V14">
        <f>IFERROR(IF(OR(U14="",Q14=0),0,P14*U14),"")</f>
        <v/>
      </c>
    </row>
    <row r="15">
      <c r="A15" s="10" t="n"/>
      <c r="B15" s="11" t="n"/>
      <c r="C15" s="12" t="n"/>
      <c r="D15" s="12" t="n"/>
      <c r="E15" s="13" t="n"/>
      <c r="F15" s="14">
        <f>IF(OR($A15="",G15=""),"",-LN(G15)/INDEX($N$8:$N$72,IFERROR(MATCH($A15,$K$8:$K$72,0),MATCH(IF($A15="1Y","12M",IF($A15="12M","1Y",$A15)),$K$8:$K$72,0)))*100)</f>
        <v/>
      </c>
      <c r="G15" s="15">
        <f>IF($A15="","",IFERROR(INDEX($U$8:$U$72,IFERROR(MATCH($A15,$K$8:$K$72,0),MATCH(IF($A15="1Y","12M",IF($A15="12M","1Y",$A15)),$K$8:$K$72,0))),""))</f>
        <v/>
      </c>
      <c r="H15" s="16">
        <f>IF(OR(F15="",NOT(ISNUMBER(D15))),"",(F15-D15)*100)</f>
        <v/>
      </c>
      <c r="I15" s="17">
        <f>IF(OR(G15="",NOT(ISNUMBER(E15))),"",G15-E15)</f>
        <v/>
      </c>
      <c r="J15" s="18">
        <f>IF(OR($A15="",NOT(ISNUMBER($B15))),"",IF(ABS($B15-INDEX($M$8:$M$72,IFERROR(MATCH($A15,$K$8:$K$72,0),MATCH(IF($A15="1Y","12M",IF($A15="12M","1Y",$A15)),$K$8:$K$72,0))))&lt;=3,"ok","MISMATCH "&amp;TEXT(INDEX($M$8:$M$72,IFERROR(MATCH($A15,$K$8:$K$72,0),MATCH(IF($A15="1Y","12M",IF($A15="12M","1Y",$A15)),$K$8:$K$72,0))),"mm/dd/yy")))</f>
        <v/>
      </c>
      <c r="K15" s="19" t="inlineStr">
        <is>
          <t>5M</t>
        </is>
      </c>
      <c r="L15" t="n">
        <v>0.4166666666666667</v>
      </c>
      <c r="M15" s="20">
        <f>IFERROR(IF($C$3="","",IF(MONTH((EDATE($C$4,5))+IF(WEEKDAY((EDATE($C$4,5)),2)=6,2,IF(WEEKDAY((EDATE($C$4,5)),2)=7,1,0)))&lt;&gt;MONTH(EDATE($C$4,5)),(EDATE($C$4,5))-IF(WEEKDAY((EDATE($C$4,5)),2)=6,1,IF(WEEKDAY((EDATE($C$4,5)),2)=7,2,0)),(EDATE($C$4,5))+IF(WEEKDAY((EDATE($C$4,5)),2)=6,2,IF(WEEKDAY((EDATE($C$4,5)),2)=7,1,0)))),"")</f>
        <v/>
      </c>
      <c r="N15">
        <f>IFERROR(IF(M15="","",(M15-$C$3)/365),"")</f>
        <v/>
      </c>
      <c r="O15">
        <f>IFERROR(IF(M15="","",(M15-$C$3)/360),"")</f>
        <v/>
      </c>
      <c r="P15">
        <f>IFERROR(IF(M15="","",(M15-$C$3)/360),"")</f>
        <v/>
      </c>
      <c r="Q15" t="n">
        <v>0</v>
      </c>
      <c r="R15">
        <f>IFERROR(IF(COUNTIF($A$8:$A$59,"5M")&gt;0,1,0),"")</f>
        <v/>
      </c>
      <c r="S15" s="21">
        <f>IFERROR(IFERROR(INDEX($C$8:$C$59,MATCH("5M",$A$8:$A$59,0)),INDEX($C$8:$C$59,MATCH("5M",$A$8:$A$59,0))),"")</f>
        <v/>
      </c>
      <c r="U15" s="22">
        <f>IFERROR(IF(S15="","",1/(1+(S15/100)*O15)),"")</f>
        <v/>
      </c>
      <c r="V15">
        <f>IFERROR(IF(OR(U15="",Q15=0),0,P15*U15),"")</f>
        <v/>
      </c>
    </row>
    <row r="16">
      <c r="A16" s="10" t="n"/>
      <c r="B16" s="11" t="n"/>
      <c r="C16" s="12" t="n"/>
      <c r="D16" s="12" t="n"/>
      <c r="E16" s="13" t="n"/>
      <c r="F16" s="14">
        <f>IF(OR($A16="",G16=""),"",-LN(G16)/INDEX($N$8:$N$72,IFERROR(MATCH($A16,$K$8:$K$72,0),MATCH(IF($A16="1Y","12M",IF($A16="12M","1Y",$A16)),$K$8:$K$72,0)))*100)</f>
        <v/>
      </c>
      <c r="G16" s="15">
        <f>IF($A16="","",IFERROR(INDEX($U$8:$U$72,IFERROR(MATCH($A16,$K$8:$K$72,0),MATCH(IF($A16="1Y","12M",IF($A16="12M","1Y",$A16)),$K$8:$K$72,0))),""))</f>
        <v/>
      </c>
      <c r="H16" s="16">
        <f>IF(OR(F16="",NOT(ISNUMBER(D16))),"",(F16-D16)*100)</f>
        <v/>
      </c>
      <c r="I16" s="17">
        <f>IF(OR(G16="",NOT(ISNUMBER(E16))),"",G16-E16)</f>
        <v/>
      </c>
      <c r="J16" s="18">
        <f>IF(OR($A16="",NOT(ISNUMBER($B16))),"",IF(ABS($B16-INDEX($M$8:$M$72,IFERROR(MATCH($A16,$K$8:$K$72,0),MATCH(IF($A16="1Y","12M",IF($A16="12M","1Y",$A16)),$K$8:$K$72,0))))&lt;=3,"ok","MISMATCH "&amp;TEXT(INDEX($M$8:$M$72,IFERROR(MATCH($A16,$K$8:$K$72,0),MATCH(IF($A16="1Y","12M",IF($A16="12M","1Y",$A16)),$K$8:$K$72,0))),"mm/dd/yy")))</f>
        <v/>
      </c>
      <c r="K16" s="19" t="inlineStr">
        <is>
          <t>6M</t>
        </is>
      </c>
      <c r="L16" t="n">
        <v>0.5</v>
      </c>
      <c r="M16" s="20">
        <f>IFERROR(IF($C$3="","",IF(MONTH((EDATE($C$4,6))+IF(WEEKDAY((EDATE($C$4,6)),2)=6,2,IF(WEEKDAY((EDATE($C$4,6)),2)=7,1,0)))&lt;&gt;MONTH(EDATE($C$4,6)),(EDATE($C$4,6))-IF(WEEKDAY((EDATE($C$4,6)),2)=6,1,IF(WEEKDAY((EDATE($C$4,6)),2)=7,2,0)),(EDATE($C$4,6))+IF(WEEKDAY((EDATE($C$4,6)),2)=6,2,IF(WEEKDAY((EDATE($C$4,6)),2)=7,1,0)))),"")</f>
        <v/>
      </c>
      <c r="N16">
        <f>IFERROR(IF(M16="","",(M16-$C$3)/365),"")</f>
        <v/>
      </c>
      <c r="O16">
        <f>IFERROR(IF(M16="","",(M16-$C$3)/360),"")</f>
        <v/>
      </c>
      <c r="P16">
        <f>IFERROR(IF(M16="","",(M16-$C$3)/360),"")</f>
        <v/>
      </c>
      <c r="Q16" t="n">
        <v>0</v>
      </c>
      <c r="R16">
        <f>IFERROR(IF(COUNTIF($A$8:$A$59,"6M")&gt;0,1,0),"")</f>
        <v/>
      </c>
      <c r="S16" s="21">
        <f>IFERROR(IFERROR(INDEX($C$8:$C$59,MATCH("6M",$A$8:$A$59,0)),INDEX($C$8:$C$59,MATCH("6M",$A$8:$A$59,0))),"")</f>
        <v/>
      </c>
      <c r="U16" s="22">
        <f>IFERROR(IF(S16="","",1/(1+(S16/100)*O16)),"")</f>
        <v/>
      </c>
      <c r="V16">
        <f>IFERROR(IF(OR(U16="",Q16=0),0,P16*U16),"")</f>
        <v/>
      </c>
    </row>
    <row r="17">
      <c r="A17" s="10" t="n"/>
      <c r="B17" s="11" t="n"/>
      <c r="C17" s="12" t="n"/>
      <c r="D17" s="12" t="n"/>
      <c r="E17" s="13" t="n"/>
      <c r="F17" s="14">
        <f>IF(OR($A17="",G17=""),"",-LN(G17)/INDEX($N$8:$N$72,IFERROR(MATCH($A17,$K$8:$K$72,0),MATCH(IF($A17="1Y","12M",IF($A17="12M","1Y",$A17)),$K$8:$K$72,0)))*100)</f>
        <v/>
      </c>
      <c r="G17" s="15">
        <f>IF($A17="","",IFERROR(INDEX($U$8:$U$72,IFERROR(MATCH($A17,$K$8:$K$72,0),MATCH(IF($A17="1Y","12M",IF($A17="12M","1Y",$A17)),$K$8:$K$72,0))),""))</f>
        <v/>
      </c>
      <c r="H17" s="16">
        <f>IF(OR(F17="",NOT(ISNUMBER(D17))),"",(F17-D17)*100)</f>
        <v/>
      </c>
      <c r="I17" s="17">
        <f>IF(OR(G17="",NOT(ISNUMBER(E17))),"",G17-E17)</f>
        <v/>
      </c>
      <c r="J17" s="18">
        <f>IF(OR($A17="",NOT(ISNUMBER($B17))),"",IF(ABS($B17-INDEX($M$8:$M$72,IFERROR(MATCH($A17,$K$8:$K$72,0),MATCH(IF($A17="1Y","12M",IF($A17="12M","1Y",$A17)),$K$8:$K$72,0))))&lt;=3,"ok","MISMATCH "&amp;TEXT(INDEX($M$8:$M$72,IFERROR(MATCH($A17,$K$8:$K$72,0),MATCH(IF($A17="1Y","12M",IF($A17="12M","1Y",$A17)),$K$8:$K$72,0))),"mm/dd/yy")))</f>
        <v/>
      </c>
      <c r="K17" s="19" t="inlineStr">
        <is>
          <t>7M</t>
        </is>
      </c>
      <c r="L17" t="n">
        <v>0.5833333333333334</v>
      </c>
      <c r="M17" s="20">
        <f>IFERROR(IF($C$3="","",IF(MONTH((EDATE($C$4,7))+IF(WEEKDAY((EDATE($C$4,7)),2)=6,2,IF(WEEKDAY((EDATE($C$4,7)),2)=7,1,0)))&lt;&gt;MONTH(EDATE($C$4,7)),(EDATE($C$4,7))-IF(WEEKDAY((EDATE($C$4,7)),2)=6,1,IF(WEEKDAY((EDATE($C$4,7)),2)=7,2,0)),(EDATE($C$4,7))+IF(WEEKDAY((EDATE($C$4,7)),2)=6,2,IF(WEEKDAY((EDATE($C$4,7)),2)=7,1,0)))),"")</f>
        <v/>
      </c>
      <c r="N17">
        <f>IFERROR(IF(M17="","",(M17-$C$3)/365),"")</f>
        <v/>
      </c>
      <c r="O17">
        <f>IFERROR(IF(M17="","",(M17-$C$3)/360),"")</f>
        <v/>
      </c>
      <c r="P17">
        <f>IFERROR(IF(M17="","",(M17-$C$3)/360),"")</f>
        <v/>
      </c>
      <c r="Q17" t="n">
        <v>0</v>
      </c>
      <c r="R17">
        <f>IFERROR(IF(COUNTIF($A$8:$A$59,"7M")&gt;0,1,0),"")</f>
        <v/>
      </c>
      <c r="S17" s="21">
        <f>IFERROR(IFERROR(INDEX($C$8:$C$59,MATCH("7M",$A$8:$A$59,0)),INDEX($C$8:$C$59,MATCH("7M",$A$8:$A$59,0))),"")</f>
        <v/>
      </c>
      <c r="U17" s="22">
        <f>IFERROR(IF(S17="","",1/(1+(S17/100)*O17)),"")</f>
        <v/>
      </c>
      <c r="V17">
        <f>IFERROR(IF(OR(U17="",Q17=0),0,P17*U17),"")</f>
        <v/>
      </c>
    </row>
    <row r="18">
      <c r="A18" s="10" t="n"/>
      <c r="B18" s="11" t="n"/>
      <c r="C18" s="12" t="n"/>
      <c r="D18" s="12" t="n"/>
      <c r="E18" s="13" t="n"/>
      <c r="F18" s="14">
        <f>IF(OR($A18="",G18=""),"",-LN(G18)/INDEX($N$8:$N$72,IFERROR(MATCH($A18,$K$8:$K$72,0),MATCH(IF($A18="1Y","12M",IF($A18="12M","1Y",$A18)),$K$8:$K$72,0)))*100)</f>
        <v/>
      </c>
      <c r="G18" s="15">
        <f>IF($A18="","",IFERROR(INDEX($U$8:$U$72,IFERROR(MATCH($A18,$K$8:$K$72,0),MATCH(IF($A18="1Y","12M",IF($A18="12M","1Y",$A18)),$K$8:$K$72,0))),""))</f>
        <v/>
      </c>
      <c r="H18" s="16">
        <f>IF(OR(F18="",NOT(ISNUMBER(D18))),"",(F18-D18)*100)</f>
        <v/>
      </c>
      <c r="I18" s="17">
        <f>IF(OR(G18="",NOT(ISNUMBER(E18))),"",G18-E18)</f>
        <v/>
      </c>
      <c r="J18" s="18">
        <f>IF(OR($A18="",NOT(ISNUMBER($B18))),"",IF(ABS($B18-INDEX($M$8:$M$72,IFERROR(MATCH($A18,$K$8:$K$72,0),MATCH(IF($A18="1Y","12M",IF($A18="12M","1Y",$A18)),$K$8:$K$72,0))))&lt;=3,"ok","MISMATCH "&amp;TEXT(INDEX($M$8:$M$72,IFERROR(MATCH($A18,$K$8:$K$72,0),MATCH(IF($A18="1Y","12M",IF($A18="12M","1Y",$A18)),$K$8:$K$72,0))),"mm/dd/yy")))</f>
        <v/>
      </c>
      <c r="K18" s="19" t="inlineStr">
        <is>
          <t>8M</t>
        </is>
      </c>
      <c r="L18" t="n">
        <v>0.6666666666666666</v>
      </c>
      <c r="M18" s="20">
        <f>IFERROR(IF($C$3="","",IF(MONTH((EDATE($C$4,8))+IF(WEEKDAY((EDATE($C$4,8)),2)=6,2,IF(WEEKDAY((EDATE($C$4,8)),2)=7,1,0)))&lt;&gt;MONTH(EDATE($C$4,8)),(EDATE($C$4,8))-IF(WEEKDAY((EDATE($C$4,8)),2)=6,1,IF(WEEKDAY((EDATE($C$4,8)),2)=7,2,0)),(EDATE($C$4,8))+IF(WEEKDAY((EDATE($C$4,8)),2)=6,2,IF(WEEKDAY((EDATE($C$4,8)),2)=7,1,0)))),"")</f>
        <v/>
      </c>
      <c r="N18">
        <f>IFERROR(IF(M18="","",(M18-$C$3)/365),"")</f>
        <v/>
      </c>
      <c r="O18">
        <f>IFERROR(IF(M18="","",(M18-$C$3)/360),"")</f>
        <v/>
      </c>
      <c r="P18">
        <f>IFERROR(IF(M18="","",(M18-$C$3)/360),"")</f>
        <v/>
      </c>
      <c r="Q18" t="n">
        <v>0</v>
      </c>
      <c r="R18">
        <f>IFERROR(IF(COUNTIF($A$8:$A$59,"8M")&gt;0,1,0),"")</f>
        <v/>
      </c>
      <c r="S18" s="21">
        <f>IFERROR(IFERROR(INDEX($C$8:$C$59,MATCH("8M",$A$8:$A$59,0)),INDEX($C$8:$C$59,MATCH("8M",$A$8:$A$59,0))),"")</f>
        <v/>
      </c>
      <c r="U18" s="22">
        <f>IFERROR(IF(S18="","",1/(1+(S18/100)*O18)),"")</f>
        <v/>
      </c>
      <c r="V18">
        <f>IFERROR(IF(OR(U18="",Q18=0),0,P18*U18),"")</f>
        <v/>
      </c>
    </row>
    <row r="19">
      <c r="A19" s="10" t="n"/>
      <c r="B19" s="11" t="n"/>
      <c r="C19" s="12" t="n"/>
      <c r="D19" s="12" t="n"/>
      <c r="E19" s="13" t="n"/>
      <c r="F19" s="14">
        <f>IF(OR($A19="",G19=""),"",-LN(G19)/INDEX($N$8:$N$72,IFERROR(MATCH($A19,$K$8:$K$72,0),MATCH(IF($A19="1Y","12M",IF($A19="12M","1Y",$A19)),$K$8:$K$72,0)))*100)</f>
        <v/>
      </c>
      <c r="G19" s="15">
        <f>IF($A19="","",IFERROR(INDEX($U$8:$U$72,IFERROR(MATCH($A19,$K$8:$K$72,0),MATCH(IF($A19="1Y","12M",IF($A19="12M","1Y",$A19)),$K$8:$K$72,0))),""))</f>
        <v/>
      </c>
      <c r="H19" s="16">
        <f>IF(OR(F19="",NOT(ISNUMBER(D19))),"",(F19-D19)*100)</f>
        <v/>
      </c>
      <c r="I19" s="17">
        <f>IF(OR(G19="",NOT(ISNUMBER(E19))),"",G19-E19)</f>
        <v/>
      </c>
      <c r="J19" s="18">
        <f>IF(OR($A19="",NOT(ISNUMBER($B19))),"",IF(ABS($B19-INDEX($M$8:$M$72,IFERROR(MATCH($A19,$K$8:$K$72,0),MATCH(IF($A19="1Y","12M",IF($A19="12M","1Y",$A19)),$K$8:$K$72,0))))&lt;=3,"ok","MISMATCH "&amp;TEXT(INDEX($M$8:$M$72,IFERROR(MATCH($A19,$K$8:$K$72,0),MATCH(IF($A19="1Y","12M",IF($A19="12M","1Y",$A19)),$K$8:$K$72,0))),"mm/dd/yy")))</f>
        <v/>
      </c>
      <c r="K19" s="19" t="inlineStr">
        <is>
          <t>9M</t>
        </is>
      </c>
      <c r="L19" t="n">
        <v>0.75</v>
      </c>
      <c r="M19" s="20">
        <f>IFERROR(IF($C$3="","",IF(MONTH((EDATE($C$4,9))+IF(WEEKDAY((EDATE($C$4,9)),2)=6,2,IF(WEEKDAY((EDATE($C$4,9)),2)=7,1,0)))&lt;&gt;MONTH(EDATE($C$4,9)),(EDATE($C$4,9))-IF(WEEKDAY((EDATE($C$4,9)),2)=6,1,IF(WEEKDAY((EDATE($C$4,9)),2)=7,2,0)),(EDATE($C$4,9))+IF(WEEKDAY((EDATE($C$4,9)),2)=6,2,IF(WEEKDAY((EDATE($C$4,9)),2)=7,1,0)))),"")</f>
        <v/>
      </c>
      <c r="N19">
        <f>IFERROR(IF(M19="","",(M19-$C$3)/365),"")</f>
        <v/>
      </c>
      <c r="O19">
        <f>IFERROR(IF(M19="","",(M19-$C$3)/360),"")</f>
        <v/>
      </c>
      <c r="P19">
        <f>IFERROR(IF(M19="","",(M19-$C$3)/360),"")</f>
        <v/>
      </c>
      <c r="Q19" t="n">
        <v>0</v>
      </c>
      <c r="R19">
        <f>IFERROR(IF(COUNTIF($A$8:$A$59,"9M")&gt;0,1,0),"")</f>
        <v/>
      </c>
      <c r="S19" s="21">
        <f>IFERROR(IFERROR(INDEX($C$8:$C$59,MATCH("9M",$A$8:$A$59,0)),INDEX($C$8:$C$59,MATCH("9M",$A$8:$A$59,0))),"")</f>
        <v/>
      </c>
      <c r="U19" s="22">
        <f>IFERROR(IF(S19="","",1/(1+(S19/100)*O19)),"")</f>
        <v/>
      </c>
      <c r="V19">
        <f>IFERROR(IF(OR(U19="",Q19=0),0,P19*U19),"")</f>
        <v/>
      </c>
    </row>
    <row r="20">
      <c r="A20" s="10" t="n"/>
      <c r="B20" s="11" t="n"/>
      <c r="C20" s="12" t="n"/>
      <c r="D20" s="12" t="n"/>
      <c r="E20" s="13" t="n"/>
      <c r="F20" s="14">
        <f>IF(OR($A20="",G20=""),"",-LN(G20)/INDEX($N$8:$N$72,IFERROR(MATCH($A20,$K$8:$K$72,0),MATCH(IF($A20="1Y","12M",IF($A20="12M","1Y",$A20)),$K$8:$K$72,0)))*100)</f>
        <v/>
      </c>
      <c r="G20" s="15">
        <f>IF($A20="","",IFERROR(INDEX($U$8:$U$72,IFERROR(MATCH($A20,$K$8:$K$72,0),MATCH(IF($A20="1Y","12M",IF($A20="12M","1Y",$A20)),$K$8:$K$72,0))),""))</f>
        <v/>
      </c>
      <c r="H20" s="16">
        <f>IF(OR(F20="",NOT(ISNUMBER(D20))),"",(F20-D20)*100)</f>
        <v/>
      </c>
      <c r="I20" s="17">
        <f>IF(OR(G20="",NOT(ISNUMBER(E20))),"",G20-E20)</f>
        <v/>
      </c>
      <c r="J20" s="18">
        <f>IF(OR($A20="",NOT(ISNUMBER($B20))),"",IF(ABS($B20-INDEX($M$8:$M$72,IFERROR(MATCH($A20,$K$8:$K$72,0),MATCH(IF($A20="1Y","12M",IF($A20="12M","1Y",$A20)),$K$8:$K$72,0))))&lt;=3,"ok","MISMATCH "&amp;TEXT(INDEX($M$8:$M$72,IFERROR(MATCH($A20,$K$8:$K$72,0),MATCH(IF($A20="1Y","12M",IF($A20="12M","1Y",$A20)),$K$8:$K$72,0))),"mm/dd/yy")))</f>
        <v/>
      </c>
      <c r="K20" s="19" t="inlineStr">
        <is>
          <t>10M</t>
        </is>
      </c>
      <c r="L20" t="n">
        <v>0.8333333333333334</v>
      </c>
      <c r="M20" s="20">
        <f>IFERROR(IF($C$3="","",IF(MONTH((EDATE($C$4,10))+IF(WEEKDAY((EDATE($C$4,10)),2)=6,2,IF(WEEKDAY((EDATE($C$4,10)),2)=7,1,0)))&lt;&gt;MONTH(EDATE($C$4,10)),(EDATE($C$4,10))-IF(WEEKDAY((EDATE($C$4,10)),2)=6,1,IF(WEEKDAY((EDATE($C$4,10)),2)=7,2,0)),(EDATE($C$4,10))+IF(WEEKDAY((EDATE($C$4,10)),2)=6,2,IF(WEEKDAY((EDATE($C$4,10)),2)=7,1,0)))),"")</f>
        <v/>
      </c>
      <c r="N20">
        <f>IFERROR(IF(M20="","",(M20-$C$3)/365),"")</f>
        <v/>
      </c>
      <c r="O20">
        <f>IFERROR(IF(M20="","",(M20-$C$3)/360),"")</f>
        <v/>
      </c>
      <c r="P20">
        <f>IFERROR(IF(M20="","",(M20-$C$3)/360),"")</f>
        <v/>
      </c>
      <c r="Q20" t="n">
        <v>0</v>
      </c>
      <c r="R20">
        <f>IFERROR(IF(COUNTIF($A$8:$A$59,"10M")&gt;0,1,0),"")</f>
        <v/>
      </c>
      <c r="S20" s="21">
        <f>IFERROR(IFERROR(INDEX($C$8:$C$59,MATCH("10M",$A$8:$A$59,0)),INDEX($C$8:$C$59,MATCH("10M",$A$8:$A$59,0))),"")</f>
        <v/>
      </c>
      <c r="U20" s="22">
        <f>IFERROR(IF(S20="","",1/(1+(S20/100)*O20)),"")</f>
        <v/>
      </c>
      <c r="V20">
        <f>IFERROR(IF(OR(U20="",Q20=0),0,P20*U20),"")</f>
        <v/>
      </c>
    </row>
    <row r="21">
      <c r="A21" s="10" t="n"/>
      <c r="B21" s="11" t="n"/>
      <c r="C21" s="12" t="n"/>
      <c r="D21" s="12" t="n"/>
      <c r="E21" s="13" t="n"/>
      <c r="F21" s="14">
        <f>IF(OR($A21="",G21=""),"",-LN(G21)/INDEX($N$8:$N$72,IFERROR(MATCH($A21,$K$8:$K$72,0),MATCH(IF($A21="1Y","12M",IF($A21="12M","1Y",$A21)),$K$8:$K$72,0)))*100)</f>
        <v/>
      </c>
      <c r="G21" s="15">
        <f>IF($A21="","",IFERROR(INDEX($U$8:$U$72,IFERROR(MATCH($A21,$K$8:$K$72,0),MATCH(IF($A21="1Y","12M",IF($A21="12M","1Y",$A21)),$K$8:$K$72,0))),""))</f>
        <v/>
      </c>
      <c r="H21" s="16">
        <f>IF(OR(F21="",NOT(ISNUMBER(D21))),"",(F21-D21)*100)</f>
        <v/>
      </c>
      <c r="I21" s="17">
        <f>IF(OR(G21="",NOT(ISNUMBER(E21))),"",G21-E21)</f>
        <v/>
      </c>
      <c r="J21" s="18">
        <f>IF(OR($A21="",NOT(ISNUMBER($B21))),"",IF(ABS($B21-INDEX($M$8:$M$72,IFERROR(MATCH($A21,$K$8:$K$72,0),MATCH(IF($A21="1Y","12M",IF($A21="12M","1Y",$A21)),$K$8:$K$72,0))))&lt;=3,"ok","MISMATCH "&amp;TEXT(INDEX($M$8:$M$72,IFERROR(MATCH($A21,$K$8:$K$72,0),MATCH(IF($A21="1Y","12M",IF($A21="12M","1Y",$A21)),$K$8:$K$72,0))),"mm/dd/yy")))</f>
        <v/>
      </c>
      <c r="K21" s="19" t="inlineStr">
        <is>
          <t>11M</t>
        </is>
      </c>
      <c r="L21" t="n">
        <v>0.9166666666666666</v>
      </c>
      <c r="M21" s="20">
        <f>IFERROR(IF($C$3="","",IF(MONTH((EDATE($C$4,11))+IF(WEEKDAY((EDATE($C$4,11)),2)=6,2,IF(WEEKDAY((EDATE($C$4,11)),2)=7,1,0)))&lt;&gt;MONTH(EDATE($C$4,11)),(EDATE($C$4,11))-IF(WEEKDAY((EDATE($C$4,11)),2)=6,1,IF(WEEKDAY((EDATE($C$4,11)),2)=7,2,0)),(EDATE($C$4,11))+IF(WEEKDAY((EDATE($C$4,11)),2)=6,2,IF(WEEKDAY((EDATE($C$4,11)),2)=7,1,0)))),"")</f>
        <v/>
      </c>
      <c r="N21">
        <f>IFERROR(IF(M21="","",(M21-$C$3)/365),"")</f>
        <v/>
      </c>
      <c r="O21">
        <f>IFERROR(IF(M21="","",(M21-$C$3)/360),"")</f>
        <v/>
      </c>
      <c r="P21">
        <f>IFERROR(IF(M21="","",(M21-$C$3)/360),"")</f>
        <v/>
      </c>
      <c r="Q21" t="n">
        <v>0</v>
      </c>
      <c r="R21">
        <f>IFERROR(IF(COUNTIF($A$8:$A$59,"11M")&gt;0,1,0),"")</f>
        <v/>
      </c>
      <c r="S21" s="21">
        <f>IFERROR(IFERROR(INDEX($C$8:$C$59,MATCH("11M",$A$8:$A$59,0)),INDEX($C$8:$C$59,MATCH("11M",$A$8:$A$59,0))),"")</f>
        <v/>
      </c>
      <c r="U21" s="22">
        <f>IFERROR(IF(S21="","",1/(1+(S21/100)*O21)),"")</f>
        <v/>
      </c>
      <c r="V21">
        <f>IFERROR(IF(OR(U21="",Q21=0),0,P21*U21),"")</f>
        <v/>
      </c>
    </row>
    <row r="22">
      <c r="A22" s="10" t="n"/>
      <c r="B22" s="11" t="n"/>
      <c r="C22" s="12" t="n"/>
      <c r="D22" s="12" t="n"/>
      <c r="E22" s="13" t="n"/>
      <c r="F22" s="14">
        <f>IF(OR($A22="",G22=""),"",-LN(G22)/INDEX($N$8:$N$72,IFERROR(MATCH($A22,$K$8:$K$72,0),MATCH(IF($A22="1Y","12M",IF($A22="12M","1Y",$A22)),$K$8:$K$72,0)))*100)</f>
        <v/>
      </c>
      <c r="G22" s="15">
        <f>IF($A22="","",IFERROR(INDEX($U$8:$U$72,IFERROR(MATCH($A22,$K$8:$K$72,0),MATCH(IF($A22="1Y","12M",IF($A22="12M","1Y",$A22)),$K$8:$K$72,0))),""))</f>
        <v/>
      </c>
      <c r="H22" s="16">
        <f>IF(OR(F22="",NOT(ISNUMBER(D22))),"",(F22-D22)*100)</f>
        <v/>
      </c>
      <c r="I22" s="17">
        <f>IF(OR(G22="",NOT(ISNUMBER(E22))),"",G22-E22)</f>
        <v/>
      </c>
      <c r="J22" s="18">
        <f>IF(OR($A22="",NOT(ISNUMBER($B22))),"",IF(ABS($B22-INDEX($M$8:$M$72,IFERROR(MATCH($A22,$K$8:$K$72,0),MATCH(IF($A22="1Y","12M",IF($A22="12M","1Y",$A22)),$K$8:$K$72,0))))&lt;=3,"ok","MISMATCH "&amp;TEXT(INDEX($M$8:$M$72,IFERROR(MATCH($A22,$K$8:$K$72,0),MATCH(IF($A22="1Y","12M",IF($A22="12M","1Y",$A22)),$K$8:$K$72,0))),"mm/dd/yy")))</f>
        <v/>
      </c>
      <c r="K22" s="19" t="inlineStr">
        <is>
          <t>12M</t>
        </is>
      </c>
      <c r="L22" t="n">
        <v>1</v>
      </c>
      <c r="M22" s="20">
        <f>IFERROR(IF($C$3="","",IF(MONTH((EDATE($C$4,12))+IF(WEEKDAY((EDATE($C$4,12)),2)=6,2,IF(WEEKDAY((EDATE($C$4,12)),2)=7,1,0)))&lt;&gt;MONTH(EDATE($C$4,12)),(EDATE($C$4,12))-IF(WEEKDAY((EDATE($C$4,12)),2)=6,1,IF(WEEKDAY((EDATE($C$4,12)),2)=7,2,0)),(EDATE($C$4,12))+IF(WEEKDAY((EDATE($C$4,12)),2)=6,2,IF(WEEKDAY((EDATE($C$4,12)),2)=7,1,0)))),"")</f>
        <v/>
      </c>
      <c r="N22">
        <f>IFERROR(IF(M22="","",(M22-$C$3)/365),"")</f>
        <v/>
      </c>
      <c r="O22">
        <f>IFERROR(IF(M22="","",(M22-$C$3)/360),"")</f>
        <v/>
      </c>
      <c r="P22">
        <f>IFERROR(IF(M22="","",(M22-$C$3)/360),"")</f>
        <v/>
      </c>
      <c r="Q22" t="n">
        <v>1</v>
      </c>
      <c r="R22">
        <f>IFERROR(IF(COUNTIF($A$8:$A$59,"12M")+COUNTIF($A$8:$A$59,"1Y")&gt;0,1,0),"")</f>
        <v/>
      </c>
      <c r="S22" s="21">
        <f>IFERROR(IFERROR(INDEX($C$8:$C$59,MATCH("12M",$A$8:$A$59,0)),INDEX($C$8:$C$59,MATCH("1Y",$A$8:$A$59,0))),"")</f>
        <v/>
      </c>
      <c r="U22" s="22">
        <f>IFERROR(IF(S22="","",1/(1+(S22/100)*O22)),"")</f>
        <v/>
      </c>
      <c r="V22">
        <f>IFERROR(IF(OR(U22="",Q22=0),0,P22*U22),"")</f>
        <v/>
      </c>
    </row>
    <row r="23">
      <c r="A23" s="10" t="n"/>
      <c r="B23" s="11" t="n"/>
      <c r="C23" s="12" t="n"/>
      <c r="D23" s="12" t="n"/>
      <c r="E23" s="13" t="n"/>
      <c r="F23" s="14">
        <f>IF(OR($A23="",G23=""),"",-LN(G23)/INDEX($N$8:$N$72,IFERROR(MATCH($A23,$K$8:$K$72,0),MATCH(IF($A23="1Y","12M",IF($A23="12M","1Y",$A23)),$K$8:$K$72,0)))*100)</f>
        <v/>
      </c>
      <c r="G23" s="15">
        <f>IF($A23="","",IFERROR(INDEX($U$8:$U$72,IFERROR(MATCH($A23,$K$8:$K$72,0),MATCH(IF($A23="1Y","12M",IF($A23="12M","1Y",$A23)),$K$8:$K$72,0))),""))</f>
        <v/>
      </c>
      <c r="H23" s="16">
        <f>IF(OR(F23="",NOT(ISNUMBER(D23))),"",(F23-D23)*100)</f>
        <v/>
      </c>
      <c r="I23" s="17">
        <f>IF(OR(G23="",NOT(ISNUMBER(E23))),"",G23-E23)</f>
        <v/>
      </c>
      <c r="J23" s="18">
        <f>IF(OR($A23="",NOT(ISNUMBER($B23))),"",IF(ABS($B23-INDEX($M$8:$M$72,IFERROR(MATCH($A23,$K$8:$K$72,0),MATCH(IF($A23="1Y","12M",IF($A23="12M","1Y",$A23)),$K$8:$K$72,0))))&lt;=3,"ok","MISMATCH "&amp;TEXT(INDEX($M$8:$M$72,IFERROR(MATCH($A23,$K$8:$K$72,0),MATCH(IF($A23="1Y","12M",IF($A23="12M","1Y",$A23)),$K$8:$K$72,0))),"mm/dd/yy")))</f>
        <v/>
      </c>
      <c r="K23" s="19" t="inlineStr">
        <is>
          <t>18M</t>
        </is>
      </c>
      <c r="L23" t="n">
        <v>1.5</v>
      </c>
      <c r="M23" s="20">
        <f>IFERROR(IF($C$3="","",IF(MONTH((EDATE($C$4,18))+IF(WEEKDAY((EDATE($C$4,18)),2)=6,2,IF(WEEKDAY((EDATE($C$4,18)),2)=7,1,0)))&lt;&gt;MONTH(EDATE($C$4,18)),(EDATE($C$4,18))-IF(WEEKDAY((EDATE($C$4,18)),2)=6,1,IF(WEEKDAY((EDATE($C$4,18)),2)=7,2,0)),(EDATE($C$4,18))+IF(WEEKDAY((EDATE($C$4,18)),2)=6,2,IF(WEEKDAY((EDATE($C$4,18)),2)=7,1,0)))),"")</f>
        <v/>
      </c>
      <c r="N23">
        <f>IFERROR(IF(M23="","",(M23-$C$3)/365),"")</f>
        <v/>
      </c>
      <c r="O23">
        <f>IFERROR(IF(M23="","",(M23-$C$4)/360),"")</f>
        <v/>
      </c>
      <c r="P23">
        <f>IFERROR(IF(M23="","",(M23-M22)/360),"")</f>
        <v/>
      </c>
      <c r="Q23" t="n">
        <v>0</v>
      </c>
      <c r="R23">
        <f>IFERROR(IF(COUNTIF($A$8:$A$59,"18M")&gt;0,1,0),"")</f>
        <v/>
      </c>
      <c r="S23" s="21">
        <f>IFERROR(IFERROR(INDEX($C$8:$C$59,MATCH("18M",$A$8:$A$59,0)),INDEX($C$8:$C$59,MATCH("18M",$A$8:$A$59,0))),"")</f>
        <v/>
      </c>
      <c r="U23" s="22">
        <f>IFERROR(IF(S23="","",(1-(S23/100)*SUM($V$8:V22))/(1+(S23/100)*P23)),"")</f>
        <v/>
      </c>
      <c r="V23">
        <f>IFERROR(IF(OR(U23="",Q23=0),0,P23*U23),"")</f>
        <v/>
      </c>
    </row>
    <row r="24">
      <c r="A24" s="10" t="n"/>
      <c r="B24" s="11" t="n"/>
      <c r="C24" s="12" t="n"/>
      <c r="D24" s="12" t="n"/>
      <c r="E24" s="13" t="n"/>
      <c r="F24" s="14">
        <f>IF(OR($A24="",G24=""),"",-LN(G24)/INDEX($N$8:$N$72,IFERROR(MATCH($A24,$K$8:$K$72,0),MATCH(IF($A24="1Y","12M",IF($A24="12M","1Y",$A24)),$K$8:$K$72,0)))*100)</f>
        <v/>
      </c>
      <c r="G24" s="15">
        <f>IF($A24="","",IFERROR(INDEX($U$8:$U$72,IFERROR(MATCH($A24,$K$8:$K$72,0),MATCH(IF($A24="1Y","12M",IF($A24="12M","1Y",$A24)),$K$8:$K$72,0))),""))</f>
        <v/>
      </c>
      <c r="H24" s="16">
        <f>IF(OR(F24="",NOT(ISNUMBER(D24))),"",(F24-D24)*100)</f>
        <v/>
      </c>
      <c r="I24" s="17">
        <f>IF(OR(G24="",NOT(ISNUMBER(E24))),"",G24-E24)</f>
        <v/>
      </c>
      <c r="J24" s="18">
        <f>IF(OR($A24="",NOT(ISNUMBER($B24))),"",IF(ABS($B24-INDEX($M$8:$M$72,IFERROR(MATCH($A24,$K$8:$K$72,0),MATCH(IF($A24="1Y","12M",IF($A24="12M","1Y",$A24)),$K$8:$K$72,0))))&lt;=3,"ok","MISMATCH "&amp;TEXT(INDEX($M$8:$M$72,IFERROR(MATCH($A24,$K$8:$K$72,0),MATCH(IF($A24="1Y","12M",IF($A24="12M","1Y",$A24)),$K$8:$K$72,0))),"mm/dd/yy")))</f>
        <v/>
      </c>
      <c r="K24" s="19" t="inlineStr">
        <is>
          <t>2Y</t>
        </is>
      </c>
      <c r="L24" t="n">
        <v>2</v>
      </c>
      <c r="M24" s="20">
        <f>IFERROR(IF($C$3="","",IF(MONTH((EDATE($C$4,24))+IF(WEEKDAY((EDATE($C$4,24)),2)=6,2,IF(WEEKDAY((EDATE($C$4,24)),2)=7,1,0)))&lt;&gt;MONTH(EDATE($C$4,24)),(EDATE($C$4,24))-IF(WEEKDAY((EDATE($C$4,24)),2)=6,1,IF(WEEKDAY((EDATE($C$4,24)),2)=7,2,0)),(EDATE($C$4,24))+IF(WEEKDAY((EDATE($C$4,24)),2)=6,2,IF(WEEKDAY((EDATE($C$4,24)),2)=7,1,0)))),"")</f>
        <v/>
      </c>
      <c r="N24">
        <f>IFERROR(IF(M24="","",(M24-$C$3)/365),"")</f>
        <v/>
      </c>
      <c r="O24">
        <f>IFERROR(IF(M24="","",(M24-$C$4)/360),"")</f>
        <v/>
      </c>
      <c r="P24">
        <f>IFERROR(IF(M24="","",(M24-M22)/360),"")</f>
        <v/>
      </c>
      <c r="Q24" t="n">
        <v>1</v>
      </c>
      <c r="R24">
        <f>IFERROR(IF(COUNTIF($A$8:$A$59,"2Y")&gt;0,1,0),"")</f>
        <v/>
      </c>
      <c r="S24" s="21">
        <f>IFERROR(IFERROR(INDEX($C$8:$C$59,MATCH("2Y",$A$8:$A$59,0)),INDEX($C$8:$C$59,MATCH("2Y",$A$8:$A$59,0))),"")</f>
        <v/>
      </c>
      <c r="U24" s="22">
        <f>IFERROR(IF(S24="","",(1-(S24/100)*SUM($V$8:V23))/(1+(S24/100)*P24)),"")</f>
        <v/>
      </c>
      <c r="V24">
        <f>IFERROR(IF(OR(U24="",Q24=0),0,P24*U24),"")</f>
        <v/>
      </c>
    </row>
    <row r="25">
      <c r="A25" s="10" t="n"/>
      <c r="B25" s="11" t="n"/>
      <c r="C25" s="12" t="n"/>
      <c r="D25" s="12" t="n"/>
      <c r="E25" s="13" t="n"/>
      <c r="F25" s="14">
        <f>IF(OR($A25="",G25=""),"",-LN(G25)/INDEX($N$8:$N$72,IFERROR(MATCH($A25,$K$8:$K$72,0),MATCH(IF($A25="1Y","12M",IF($A25="12M","1Y",$A25)),$K$8:$K$72,0)))*100)</f>
        <v/>
      </c>
      <c r="G25" s="15">
        <f>IF($A25="","",IFERROR(INDEX($U$8:$U$72,IFERROR(MATCH($A25,$K$8:$K$72,0),MATCH(IF($A25="1Y","12M",IF($A25="12M","1Y",$A25)),$K$8:$K$72,0))),""))</f>
        <v/>
      </c>
      <c r="H25" s="16">
        <f>IF(OR(F25="",NOT(ISNUMBER(D25))),"",(F25-D25)*100)</f>
        <v/>
      </c>
      <c r="I25" s="17">
        <f>IF(OR(G25="",NOT(ISNUMBER(E25))),"",G25-E25)</f>
        <v/>
      </c>
      <c r="J25" s="18">
        <f>IF(OR($A25="",NOT(ISNUMBER($B25))),"",IF(ABS($B25-INDEX($M$8:$M$72,IFERROR(MATCH($A25,$K$8:$K$72,0),MATCH(IF($A25="1Y","12M",IF($A25="12M","1Y",$A25)),$K$8:$K$72,0))))&lt;=3,"ok","MISMATCH "&amp;TEXT(INDEX($M$8:$M$72,IFERROR(MATCH($A25,$K$8:$K$72,0),MATCH(IF($A25="1Y","12M",IF($A25="12M","1Y",$A25)),$K$8:$K$72,0))),"mm/dd/yy")))</f>
        <v/>
      </c>
      <c r="K25" s="19" t="inlineStr">
        <is>
          <t>3Y</t>
        </is>
      </c>
      <c r="L25" t="n">
        <v>3</v>
      </c>
      <c r="M25" s="20">
        <f>IFERROR(IF($C$3="","",IF(MONTH((EDATE($C$4,36))+IF(WEEKDAY((EDATE($C$4,36)),2)=6,2,IF(WEEKDAY((EDATE($C$4,36)),2)=7,1,0)))&lt;&gt;MONTH(EDATE($C$4,36)),(EDATE($C$4,36))-IF(WEEKDAY((EDATE($C$4,36)),2)=6,1,IF(WEEKDAY((EDATE($C$4,36)),2)=7,2,0)),(EDATE($C$4,36))+IF(WEEKDAY((EDATE($C$4,36)),2)=6,2,IF(WEEKDAY((EDATE($C$4,36)),2)=7,1,0)))),"")</f>
        <v/>
      </c>
      <c r="N25">
        <f>IFERROR(IF(M25="","",(M25-$C$3)/365),"")</f>
        <v/>
      </c>
      <c r="O25">
        <f>IFERROR(IF(M25="","",(M25-$C$4)/360),"")</f>
        <v/>
      </c>
      <c r="P25">
        <f>IFERROR(IF(M25="","",(M25-M24)/360),"")</f>
        <v/>
      </c>
      <c r="Q25" t="n">
        <v>1</v>
      </c>
      <c r="R25">
        <f>IFERROR(IF(COUNTIF($A$8:$A$59,"3Y")&gt;0,1,0),"")</f>
        <v/>
      </c>
      <c r="S25" s="21">
        <f>IFERROR(IFERROR(INDEX($C$8:$C$59,MATCH("3Y",$A$8:$A$59,0)),INDEX($C$8:$C$59,MATCH("3Y",$A$8:$A$59,0))),"")</f>
        <v/>
      </c>
      <c r="U25" s="22">
        <f>IFERROR(IF(S25="","",(1-(S25/100)*SUM($V$8:V24))/(1+(S25/100)*P25)),"")</f>
        <v/>
      </c>
      <c r="V25">
        <f>IFERROR(IF(OR(U25="",Q25=0),0,P25*U25),"")</f>
        <v/>
      </c>
    </row>
    <row r="26">
      <c r="A26" s="10" t="n"/>
      <c r="B26" s="11" t="n"/>
      <c r="C26" s="12" t="n"/>
      <c r="D26" s="12" t="n"/>
      <c r="E26" s="13" t="n"/>
      <c r="F26" s="14">
        <f>IF(OR($A26="",G26=""),"",-LN(G26)/INDEX($N$8:$N$72,IFERROR(MATCH($A26,$K$8:$K$72,0),MATCH(IF($A26="1Y","12M",IF($A26="12M","1Y",$A26)),$K$8:$K$72,0)))*100)</f>
        <v/>
      </c>
      <c r="G26" s="15">
        <f>IF($A26="","",IFERROR(INDEX($U$8:$U$72,IFERROR(MATCH($A26,$K$8:$K$72,0),MATCH(IF($A26="1Y","12M",IF($A26="12M","1Y",$A26)),$K$8:$K$72,0))),""))</f>
        <v/>
      </c>
      <c r="H26" s="16">
        <f>IF(OR(F26="",NOT(ISNUMBER(D26))),"",(F26-D26)*100)</f>
        <v/>
      </c>
      <c r="I26" s="17">
        <f>IF(OR(G26="",NOT(ISNUMBER(E26))),"",G26-E26)</f>
        <v/>
      </c>
      <c r="J26" s="18">
        <f>IF(OR($A26="",NOT(ISNUMBER($B26))),"",IF(ABS($B26-INDEX($M$8:$M$72,IFERROR(MATCH($A26,$K$8:$K$72,0),MATCH(IF($A26="1Y","12M",IF($A26="12M","1Y",$A26)),$K$8:$K$72,0))))&lt;=3,"ok","MISMATCH "&amp;TEXT(INDEX($M$8:$M$72,IFERROR(MATCH($A26,$K$8:$K$72,0),MATCH(IF($A26="1Y","12M",IF($A26="12M","1Y",$A26)),$K$8:$K$72,0))),"mm/dd/yy")))</f>
        <v/>
      </c>
      <c r="K26" s="19" t="inlineStr">
        <is>
          <t>4Y</t>
        </is>
      </c>
      <c r="L26" t="n">
        <v>4</v>
      </c>
      <c r="M26" s="20">
        <f>IFERROR(IF($C$3="","",IF(MONTH((EDATE($C$4,48))+IF(WEEKDAY((EDATE($C$4,48)),2)=6,2,IF(WEEKDAY((EDATE($C$4,48)),2)=7,1,0)))&lt;&gt;MONTH(EDATE($C$4,48)),(EDATE($C$4,48))-IF(WEEKDAY((EDATE($C$4,48)),2)=6,1,IF(WEEKDAY((EDATE($C$4,48)),2)=7,2,0)),(EDATE($C$4,48))+IF(WEEKDAY((EDATE($C$4,48)),2)=6,2,IF(WEEKDAY((EDATE($C$4,48)),2)=7,1,0)))),"")</f>
        <v/>
      </c>
      <c r="N26">
        <f>IFERROR(IF(M26="","",(M26-$C$3)/365),"")</f>
        <v/>
      </c>
      <c r="O26">
        <f>IFERROR(IF(M26="","",(M26-$C$4)/360),"")</f>
        <v/>
      </c>
      <c r="P26">
        <f>IFERROR(IF(M26="","",(M26-M25)/360),"")</f>
        <v/>
      </c>
      <c r="Q26" t="n">
        <v>1</v>
      </c>
      <c r="R26">
        <f>IFERROR(IF(COUNTIF($A$8:$A$59,"4Y")&gt;0,1,0),"")</f>
        <v/>
      </c>
      <c r="S26" s="21">
        <f>IFERROR(IFERROR(INDEX($C$8:$C$59,MATCH("4Y",$A$8:$A$59,0)),INDEX($C$8:$C$59,MATCH("4Y",$A$8:$A$59,0))),"")</f>
        <v/>
      </c>
      <c r="U26" s="22">
        <f>IFERROR(IF(S26="","",(1-(S26/100)*SUM($V$8:V25))/(1+(S26/100)*P26)),"")</f>
        <v/>
      </c>
      <c r="V26">
        <f>IFERROR(IF(OR(U26="",Q26=0),0,P26*U26),"")</f>
        <v/>
      </c>
    </row>
    <row r="27">
      <c r="A27" s="10" t="n"/>
      <c r="B27" s="11" t="n"/>
      <c r="C27" s="12" t="n"/>
      <c r="D27" s="12" t="n"/>
      <c r="E27" s="13" t="n"/>
      <c r="F27" s="14">
        <f>IF(OR($A27="",G27=""),"",-LN(G27)/INDEX($N$8:$N$72,IFERROR(MATCH($A27,$K$8:$K$72,0),MATCH(IF($A27="1Y","12M",IF($A27="12M","1Y",$A27)),$K$8:$K$72,0)))*100)</f>
        <v/>
      </c>
      <c r="G27" s="15">
        <f>IF($A27="","",IFERROR(INDEX($U$8:$U$72,IFERROR(MATCH($A27,$K$8:$K$72,0),MATCH(IF($A27="1Y","12M",IF($A27="12M","1Y",$A27)),$K$8:$K$72,0))),""))</f>
        <v/>
      </c>
      <c r="H27" s="16">
        <f>IF(OR(F27="",NOT(ISNUMBER(D27))),"",(F27-D27)*100)</f>
        <v/>
      </c>
      <c r="I27" s="17">
        <f>IF(OR(G27="",NOT(ISNUMBER(E27))),"",G27-E27)</f>
        <v/>
      </c>
      <c r="J27" s="18">
        <f>IF(OR($A27="",NOT(ISNUMBER($B27))),"",IF(ABS($B27-INDEX($M$8:$M$72,IFERROR(MATCH($A27,$K$8:$K$72,0),MATCH(IF($A27="1Y","12M",IF($A27="12M","1Y",$A27)),$K$8:$K$72,0))))&lt;=3,"ok","MISMATCH "&amp;TEXT(INDEX($M$8:$M$72,IFERROR(MATCH($A27,$K$8:$K$72,0),MATCH(IF($A27="1Y","12M",IF($A27="12M","1Y",$A27)),$K$8:$K$72,0))),"mm/dd/yy")))</f>
        <v/>
      </c>
      <c r="K27" s="19" t="inlineStr">
        <is>
          <t>5Y</t>
        </is>
      </c>
      <c r="L27" t="n">
        <v>5</v>
      </c>
      <c r="M27" s="20">
        <f>IFERROR(IF($C$3="","",IF(MONTH((EDATE($C$4,60))+IF(WEEKDAY((EDATE($C$4,60)),2)=6,2,IF(WEEKDAY((EDATE($C$4,60)),2)=7,1,0)))&lt;&gt;MONTH(EDATE($C$4,60)),(EDATE($C$4,60))-IF(WEEKDAY((EDATE($C$4,60)),2)=6,1,IF(WEEKDAY((EDATE($C$4,60)),2)=7,2,0)),(EDATE($C$4,60))+IF(WEEKDAY((EDATE($C$4,60)),2)=6,2,IF(WEEKDAY((EDATE($C$4,60)),2)=7,1,0)))),"")</f>
        <v/>
      </c>
      <c r="N27">
        <f>IFERROR(IF(M27="","",(M27-$C$3)/365),"")</f>
        <v/>
      </c>
      <c r="O27">
        <f>IFERROR(IF(M27="","",(M27-$C$4)/360),"")</f>
        <v/>
      </c>
      <c r="P27">
        <f>IFERROR(IF(M27="","",(M27-M26)/360),"")</f>
        <v/>
      </c>
      <c r="Q27" t="n">
        <v>1</v>
      </c>
      <c r="R27">
        <f>IFERROR(IF(COUNTIF($A$8:$A$59,"5Y")&gt;0,1,0),"")</f>
        <v/>
      </c>
      <c r="S27" s="21">
        <f>IFERROR(IFERROR(INDEX($C$8:$C$59,MATCH("5Y",$A$8:$A$59,0)),INDEX($C$8:$C$59,MATCH("5Y",$A$8:$A$59,0))),"")</f>
        <v/>
      </c>
      <c r="U27" s="22">
        <f>IFERROR(IF(S27="","",(1-(S27/100)*SUM($V$8:V26))/(1+(S27/100)*P27)),"")</f>
        <v/>
      </c>
      <c r="V27">
        <f>IFERROR(IF(OR(U27="",Q27=0),0,P27*U27),"")</f>
        <v/>
      </c>
    </row>
    <row r="28">
      <c r="A28" s="10" t="n"/>
      <c r="B28" s="11" t="n"/>
      <c r="C28" s="12" t="n"/>
      <c r="D28" s="12" t="n"/>
      <c r="E28" s="13" t="n"/>
      <c r="F28" s="14">
        <f>IF(OR($A28="",G28=""),"",-LN(G28)/INDEX($N$8:$N$72,IFERROR(MATCH($A28,$K$8:$K$72,0),MATCH(IF($A28="1Y","12M",IF($A28="12M","1Y",$A28)),$K$8:$K$72,0)))*100)</f>
        <v/>
      </c>
      <c r="G28" s="15">
        <f>IF($A28="","",IFERROR(INDEX($U$8:$U$72,IFERROR(MATCH($A28,$K$8:$K$72,0),MATCH(IF($A28="1Y","12M",IF($A28="12M","1Y",$A28)),$K$8:$K$72,0))),""))</f>
        <v/>
      </c>
      <c r="H28" s="16">
        <f>IF(OR(F28="",NOT(ISNUMBER(D28))),"",(F28-D28)*100)</f>
        <v/>
      </c>
      <c r="I28" s="17">
        <f>IF(OR(G28="",NOT(ISNUMBER(E28))),"",G28-E28)</f>
        <v/>
      </c>
      <c r="J28" s="18">
        <f>IF(OR($A28="",NOT(ISNUMBER($B28))),"",IF(ABS($B28-INDEX($M$8:$M$72,IFERROR(MATCH($A28,$K$8:$K$72,0),MATCH(IF($A28="1Y","12M",IF($A28="12M","1Y",$A28)),$K$8:$K$72,0))))&lt;=3,"ok","MISMATCH "&amp;TEXT(INDEX($M$8:$M$72,IFERROR(MATCH($A28,$K$8:$K$72,0),MATCH(IF($A28="1Y","12M",IF($A28="12M","1Y",$A28)),$K$8:$K$72,0))),"mm/dd/yy")))</f>
        <v/>
      </c>
      <c r="K28" s="19" t="inlineStr">
        <is>
          <t>6Y</t>
        </is>
      </c>
      <c r="L28" t="n">
        <v>6</v>
      </c>
      <c r="M28" s="20">
        <f>IFERROR(IF($C$3="","",IF(MONTH((EDATE($C$4,72))+IF(WEEKDAY((EDATE($C$4,72)),2)=6,2,IF(WEEKDAY((EDATE($C$4,72)),2)=7,1,0)))&lt;&gt;MONTH(EDATE($C$4,72)),(EDATE($C$4,72))-IF(WEEKDAY((EDATE($C$4,72)),2)=6,1,IF(WEEKDAY((EDATE($C$4,72)),2)=7,2,0)),(EDATE($C$4,72))+IF(WEEKDAY((EDATE($C$4,72)),2)=6,2,IF(WEEKDAY((EDATE($C$4,72)),2)=7,1,0)))),"")</f>
        <v/>
      </c>
      <c r="N28">
        <f>IFERROR(IF(M28="","",(M28-$C$3)/365),"")</f>
        <v/>
      </c>
      <c r="O28">
        <f>IFERROR(IF(M28="","",(M28-$C$4)/360),"")</f>
        <v/>
      </c>
      <c r="P28">
        <f>IFERROR(IF(M28="","",(M28-M27)/360),"")</f>
        <v/>
      </c>
      <c r="Q28" t="n">
        <v>1</v>
      </c>
      <c r="R28">
        <f>IFERROR(IF(COUNTIF($A$8:$A$59,"6Y")&gt;0,1,0),"")</f>
        <v/>
      </c>
      <c r="S28" s="21">
        <f>IFERROR(IFERROR(INDEX($C$8:$C$59,MATCH("6Y",$A$8:$A$59,0)),INDEX($C$8:$C$59,MATCH("6Y",$A$8:$A$59,0))),"")</f>
        <v/>
      </c>
      <c r="U28" s="22">
        <f>IFERROR(IF(S28="","",(1-(S28/100)*SUM($V$8:V27))/(1+(S28/100)*P28)),"")</f>
        <v/>
      </c>
      <c r="V28">
        <f>IFERROR(IF(OR(U28="",Q28=0),0,P28*U28),"")</f>
        <v/>
      </c>
    </row>
    <row r="29">
      <c r="A29" s="10" t="n"/>
      <c r="B29" s="11" t="n"/>
      <c r="C29" s="12" t="n"/>
      <c r="D29" s="12" t="n"/>
      <c r="E29" s="13" t="n"/>
      <c r="F29" s="14">
        <f>IF(OR($A29="",G29=""),"",-LN(G29)/INDEX($N$8:$N$72,IFERROR(MATCH($A29,$K$8:$K$72,0),MATCH(IF($A29="1Y","12M",IF($A29="12M","1Y",$A29)),$K$8:$K$72,0)))*100)</f>
        <v/>
      </c>
      <c r="G29" s="15">
        <f>IF($A29="","",IFERROR(INDEX($U$8:$U$72,IFERROR(MATCH($A29,$K$8:$K$72,0),MATCH(IF($A29="1Y","12M",IF($A29="12M","1Y",$A29)),$K$8:$K$72,0))),""))</f>
        <v/>
      </c>
      <c r="H29" s="16">
        <f>IF(OR(F29="",NOT(ISNUMBER(D29))),"",(F29-D29)*100)</f>
        <v/>
      </c>
      <c r="I29" s="17">
        <f>IF(OR(G29="",NOT(ISNUMBER(E29))),"",G29-E29)</f>
        <v/>
      </c>
      <c r="J29" s="18">
        <f>IF(OR($A29="",NOT(ISNUMBER($B29))),"",IF(ABS($B29-INDEX($M$8:$M$72,IFERROR(MATCH($A29,$K$8:$K$72,0),MATCH(IF($A29="1Y","12M",IF($A29="12M","1Y",$A29)),$K$8:$K$72,0))))&lt;=3,"ok","MISMATCH "&amp;TEXT(INDEX($M$8:$M$72,IFERROR(MATCH($A29,$K$8:$K$72,0),MATCH(IF($A29="1Y","12M",IF($A29="12M","1Y",$A29)),$K$8:$K$72,0))),"mm/dd/yy")))</f>
        <v/>
      </c>
      <c r="K29" s="19" t="inlineStr">
        <is>
          <t>7Y</t>
        </is>
      </c>
      <c r="L29" t="n">
        <v>7</v>
      </c>
      <c r="M29" s="20">
        <f>IFERROR(IF($C$3="","",IF(MONTH((EDATE($C$4,84))+IF(WEEKDAY((EDATE($C$4,84)),2)=6,2,IF(WEEKDAY((EDATE($C$4,84)),2)=7,1,0)))&lt;&gt;MONTH(EDATE($C$4,84)),(EDATE($C$4,84))-IF(WEEKDAY((EDATE($C$4,84)),2)=6,1,IF(WEEKDAY((EDATE($C$4,84)),2)=7,2,0)),(EDATE($C$4,84))+IF(WEEKDAY((EDATE($C$4,84)),2)=6,2,IF(WEEKDAY((EDATE($C$4,84)),2)=7,1,0)))),"")</f>
        <v/>
      </c>
      <c r="N29">
        <f>IFERROR(IF(M29="","",(M29-$C$3)/365),"")</f>
        <v/>
      </c>
      <c r="O29">
        <f>IFERROR(IF(M29="","",(M29-$C$4)/360),"")</f>
        <v/>
      </c>
      <c r="P29">
        <f>IFERROR(IF(M29="","",(M29-M28)/360),"")</f>
        <v/>
      </c>
      <c r="Q29" t="n">
        <v>1</v>
      </c>
      <c r="R29">
        <f>IFERROR(IF(COUNTIF($A$8:$A$59,"7Y")&gt;0,1,0),"")</f>
        <v/>
      </c>
      <c r="S29" s="21">
        <f>IFERROR(IFERROR(INDEX($C$8:$C$59,MATCH("7Y",$A$8:$A$59,0)),INDEX($C$8:$C$59,MATCH("7Y",$A$8:$A$59,0))),"")</f>
        <v/>
      </c>
      <c r="U29" s="22">
        <f>IFERROR(IF(S29="","",(1-(S29/100)*SUM($V$8:V28))/(1+(S29/100)*P29)),"")</f>
        <v/>
      </c>
      <c r="V29">
        <f>IFERROR(IF(OR(U29="",Q29=0),0,P29*U29),"")</f>
        <v/>
      </c>
    </row>
    <row r="30">
      <c r="A30" s="10" t="n"/>
      <c r="B30" s="11" t="n"/>
      <c r="C30" s="12" t="n"/>
      <c r="D30" s="12" t="n"/>
      <c r="E30" s="13" t="n"/>
      <c r="F30" s="14">
        <f>IF(OR($A30="",G30=""),"",-LN(G30)/INDEX($N$8:$N$72,IFERROR(MATCH($A30,$K$8:$K$72,0),MATCH(IF($A30="1Y","12M",IF($A30="12M","1Y",$A30)),$K$8:$K$72,0)))*100)</f>
        <v/>
      </c>
      <c r="G30" s="15">
        <f>IF($A30="","",IFERROR(INDEX($U$8:$U$72,IFERROR(MATCH($A30,$K$8:$K$72,0),MATCH(IF($A30="1Y","12M",IF($A30="12M","1Y",$A30)),$K$8:$K$72,0))),""))</f>
        <v/>
      </c>
      <c r="H30" s="16">
        <f>IF(OR(F30="",NOT(ISNUMBER(D30))),"",(F30-D30)*100)</f>
        <v/>
      </c>
      <c r="I30" s="17">
        <f>IF(OR(G30="",NOT(ISNUMBER(E30))),"",G30-E30)</f>
        <v/>
      </c>
      <c r="J30" s="18">
        <f>IF(OR($A30="",NOT(ISNUMBER($B30))),"",IF(ABS($B30-INDEX($M$8:$M$72,IFERROR(MATCH($A30,$K$8:$K$72,0),MATCH(IF($A30="1Y","12M",IF($A30="12M","1Y",$A30)),$K$8:$K$72,0))))&lt;=3,"ok","MISMATCH "&amp;TEXT(INDEX($M$8:$M$72,IFERROR(MATCH($A30,$K$8:$K$72,0),MATCH(IF($A30="1Y","12M",IF($A30="12M","1Y",$A30)),$K$8:$K$72,0))),"mm/dd/yy")))</f>
        <v/>
      </c>
      <c r="K30" s="19" t="inlineStr">
        <is>
          <t>8Y</t>
        </is>
      </c>
      <c r="L30" t="n">
        <v>8</v>
      </c>
      <c r="M30" s="20">
        <f>IFERROR(IF($C$3="","",IF(MONTH((EDATE($C$4,96))+IF(WEEKDAY((EDATE($C$4,96)),2)=6,2,IF(WEEKDAY((EDATE($C$4,96)),2)=7,1,0)))&lt;&gt;MONTH(EDATE($C$4,96)),(EDATE($C$4,96))-IF(WEEKDAY((EDATE($C$4,96)),2)=6,1,IF(WEEKDAY((EDATE($C$4,96)),2)=7,2,0)),(EDATE($C$4,96))+IF(WEEKDAY((EDATE($C$4,96)),2)=6,2,IF(WEEKDAY((EDATE($C$4,96)),2)=7,1,0)))),"")</f>
        <v/>
      </c>
      <c r="N30">
        <f>IFERROR(IF(M30="","",(M30-$C$3)/365),"")</f>
        <v/>
      </c>
      <c r="O30">
        <f>IFERROR(IF(M30="","",(M30-$C$4)/360),"")</f>
        <v/>
      </c>
      <c r="P30">
        <f>IFERROR(IF(M30="","",(M30-M29)/360),"")</f>
        <v/>
      </c>
      <c r="Q30" t="n">
        <v>1</v>
      </c>
      <c r="R30">
        <f>IFERROR(IF(COUNTIF($A$8:$A$59,"8Y")&gt;0,1,0),"")</f>
        <v/>
      </c>
      <c r="S30" s="21">
        <f>IFERROR(IFERROR(INDEX($C$8:$C$59,MATCH("8Y",$A$8:$A$59,0)),INDEX($C$8:$C$59,MATCH("8Y",$A$8:$A$59,0))),"")</f>
        <v/>
      </c>
      <c r="U30" s="22">
        <f>IFERROR(IF(S30="","",(1-(S30/100)*SUM($V$8:V29))/(1+(S30/100)*P30)),"")</f>
        <v/>
      </c>
      <c r="V30">
        <f>IFERROR(IF(OR(U30="",Q30=0),0,P30*U30),"")</f>
        <v/>
      </c>
    </row>
    <row r="31">
      <c r="A31" s="10" t="n"/>
      <c r="B31" s="11" t="n"/>
      <c r="C31" s="12" t="n"/>
      <c r="D31" s="12" t="n"/>
      <c r="E31" s="13" t="n"/>
      <c r="F31" s="14">
        <f>IF(OR($A31="",G31=""),"",-LN(G31)/INDEX($N$8:$N$72,IFERROR(MATCH($A31,$K$8:$K$72,0),MATCH(IF($A31="1Y","12M",IF($A31="12M","1Y",$A31)),$K$8:$K$72,0)))*100)</f>
        <v/>
      </c>
      <c r="G31" s="15">
        <f>IF($A31="","",IFERROR(INDEX($U$8:$U$72,IFERROR(MATCH($A31,$K$8:$K$72,0),MATCH(IF($A31="1Y","12M",IF($A31="12M","1Y",$A31)),$K$8:$K$72,0))),""))</f>
        <v/>
      </c>
      <c r="H31" s="16">
        <f>IF(OR(F31="",NOT(ISNUMBER(D31))),"",(F31-D31)*100)</f>
        <v/>
      </c>
      <c r="I31" s="17">
        <f>IF(OR(G31="",NOT(ISNUMBER(E31))),"",G31-E31)</f>
        <v/>
      </c>
      <c r="J31" s="18">
        <f>IF(OR($A31="",NOT(ISNUMBER($B31))),"",IF(ABS($B31-INDEX($M$8:$M$72,IFERROR(MATCH($A31,$K$8:$K$72,0),MATCH(IF($A31="1Y","12M",IF($A31="12M","1Y",$A31)),$K$8:$K$72,0))))&lt;=3,"ok","MISMATCH "&amp;TEXT(INDEX($M$8:$M$72,IFERROR(MATCH($A31,$K$8:$K$72,0),MATCH(IF($A31="1Y","12M",IF($A31="12M","1Y",$A31)),$K$8:$K$72,0))),"mm/dd/yy")))</f>
        <v/>
      </c>
      <c r="K31" s="19" t="inlineStr">
        <is>
          <t>9Y</t>
        </is>
      </c>
      <c r="L31" t="n">
        <v>9</v>
      </c>
      <c r="M31" s="20">
        <f>IFERROR(IF($C$3="","",IF(MONTH((EDATE($C$4,108))+IF(WEEKDAY((EDATE($C$4,108)),2)=6,2,IF(WEEKDAY((EDATE($C$4,108)),2)=7,1,0)))&lt;&gt;MONTH(EDATE($C$4,108)),(EDATE($C$4,108))-IF(WEEKDAY((EDATE($C$4,108)),2)=6,1,IF(WEEKDAY((EDATE($C$4,108)),2)=7,2,0)),(EDATE($C$4,108))+IF(WEEKDAY((EDATE($C$4,108)),2)=6,2,IF(WEEKDAY((EDATE($C$4,108)),2)=7,1,0)))),"")</f>
        <v/>
      </c>
      <c r="N31">
        <f>IFERROR(IF(M31="","",(M31-$C$3)/365),"")</f>
        <v/>
      </c>
      <c r="O31">
        <f>IFERROR(IF(M31="","",(M31-$C$4)/360),"")</f>
        <v/>
      </c>
      <c r="P31">
        <f>IFERROR(IF(M31="","",(M31-M30)/360),"")</f>
        <v/>
      </c>
      <c r="Q31" t="n">
        <v>1</v>
      </c>
      <c r="R31">
        <f>IFERROR(IF(COUNTIF($A$8:$A$59,"9Y")&gt;0,1,0),"")</f>
        <v/>
      </c>
      <c r="S31" s="21">
        <f>IFERROR(IFERROR(INDEX($C$8:$C$59,MATCH("9Y",$A$8:$A$59,0)),INDEX($C$8:$C$59,MATCH("9Y",$A$8:$A$59,0))),"")</f>
        <v/>
      </c>
      <c r="U31" s="22">
        <f>IFERROR(IF(S31="","",(1-(S31/100)*SUM($V$8:V30))/(1+(S31/100)*P31)),"")</f>
        <v/>
      </c>
      <c r="V31">
        <f>IFERROR(IF(OR(U31="",Q31=0),0,P31*U31),"")</f>
        <v/>
      </c>
    </row>
    <row r="32">
      <c r="A32" s="10" t="n"/>
      <c r="B32" s="11" t="n"/>
      <c r="C32" s="12" t="n"/>
      <c r="D32" s="12" t="n"/>
      <c r="E32" s="13" t="n"/>
      <c r="F32" s="14">
        <f>IF(OR($A32="",G32=""),"",-LN(G32)/INDEX($N$8:$N$72,IFERROR(MATCH($A32,$K$8:$K$72,0),MATCH(IF($A32="1Y","12M",IF($A32="12M","1Y",$A32)),$K$8:$K$72,0)))*100)</f>
        <v/>
      </c>
      <c r="G32" s="15">
        <f>IF($A32="","",IFERROR(INDEX($U$8:$U$72,IFERROR(MATCH($A32,$K$8:$K$72,0),MATCH(IF($A32="1Y","12M",IF($A32="12M","1Y",$A32)),$K$8:$K$72,0))),""))</f>
        <v/>
      </c>
      <c r="H32" s="16">
        <f>IF(OR(F32="",NOT(ISNUMBER(D32))),"",(F32-D32)*100)</f>
        <v/>
      </c>
      <c r="I32" s="17">
        <f>IF(OR(G32="",NOT(ISNUMBER(E32))),"",G32-E32)</f>
        <v/>
      </c>
      <c r="J32" s="18">
        <f>IF(OR($A32="",NOT(ISNUMBER($B32))),"",IF(ABS($B32-INDEX($M$8:$M$72,IFERROR(MATCH($A32,$K$8:$K$72,0),MATCH(IF($A32="1Y","12M",IF($A32="12M","1Y",$A32)),$K$8:$K$72,0))))&lt;=3,"ok","MISMATCH "&amp;TEXT(INDEX($M$8:$M$72,IFERROR(MATCH($A32,$K$8:$K$72,0),MATCH(IF($A32="1Y","12M",IF($A32="12M","1Y",$A32)),$K$8:$K$72,0))),"mm/dd/yy")))</f>
        <v/>
      </c>
      <c r="K32" s="19" t="inlineStr">
        <is>
          <t>10Y</t>
        </is>
      </c>
      <c r="L32" t="n">
        <v>10</v>
      </c>
      <c r="M32" s="20">
        <f>IFERROR(IF($C$3="","",IF(MONTH((EDATE($C$4,120))+IF(WEEKDAY((EDATE($C$4,120)),2)=6,2,IF(WEEKDAY((EDATE($C$4,120)),2)=7,1,0)))&lt;&gt;MONTH(EDATE($C$4,120)),(EDATE($C$4,120))-IF(WEEKDAY((EDATE($C$4,120)),2)=6,1,IF(WEEKDAY((EDATE($C$4,120)),2)=7,2,0)),(EDATE($C$4,120))+IF(WEEKDAY((EDATE($C$4,120)),2)=6,2,IF(WEEKDAY((EDATE($C$4,120)),2)=7,1,0)))),"")</f>
        <v/>
      </c>
      <c r="N32">
        <f>IFERROR(IF(M32="","",(M32-$C$3)/365),"")</f>
        <v/>
      </c>
      <c r="O32">
        <f>IFERROR(IF(M32="","",(M32-$C$4)/360),"")</f>
        <v/>
      </c>
      <c r="P32">
        <f>IFERROR(IF(M32="","",(M32-M31)/360),"")</f>
        <v/>
      </c>
      <c r="Q32" t="n">
        <v>1</v>
      </c>
      <c r="R32">
        <f>IFERROR(IF(COUNTIF($A$8:$A$59,"10Y")&gt;0,1,0),"")</f>
        <v/>
      </c>
      <c r="S32" s="21">
        <f>IFERROR(IFERROR(INDEX($C$8:$C$59,MATCH("10Y",$A$8:$A$59,0)),INDEX($C$8:$C$59,MATCH("10Y",$A$8:$A$59,0))),"")</f>
        <v/>
      </c>
      <c r="U32" s="22">
        <f>IFERROR(IF(S32="","",(1-(S32/100)*SUM($V$8:V31))/(1+(S32/100)*P32)),"")</f>
        <v/>
      </c>
      <c r="V32">
        <f>IFERROR(IF(OR(U32="",Q32=0),0,P32*U32),"")</f>
        <v/>
      </c>
    </row>
    <row r="33">
      <c r="A33" s="10" t="n"/>
      <c r="B33" s="11" t="n"/>
      <c r="C33" s="12" t="n"/>
      <c r="D33" s="12" t="n"/>
      <c r="E33" s="13" t="n"/>
      <c r="F33" s="14">
        <f>IF(OR($A33="",G33=""),"",-LN(G33)/INDEX($N$8:$N$72,IFERROR(MATCH($A33,$K$8:$K$72,0),MATCH(IF($A33="1Y","12M",IF($A33="12M","1Y",$A33)),$K$8:$K$72,0)))*100)</f>
        <v/>
      </c>
      <c r="G33" s="15">
        <f>IF($A33="","",IFERROR(INDEX($U$8:$U$72,IFERROR(MATCH($A33,$K$8:$K$72,0),MATCH(IF($A33="1Y","12M",IF($A33="12M","1Y",$A33)),$K$8:$K$72,0))),""))</f>
        <v/>
      </c>
      <c r="H33" s="16">
        <f>IF(OR(F33="",NOT(ISNUMBER(D33))),"",(F33-D33)*100)</f>
        <v/>
      </c>
      <c r="I33" s="17">
        <f>IF(OR(G33="",NOT(ISNUMBER(E33))),"",G33-E33)</f>
        <v/>
      </c>
      <c r="J33" s="18">
        <f>IF(OR($A33="",NOT(ISNUMBER($B33))),"",IF(ABS($B33-INDEX($M$8:$M$72,IFERROR(MATCH($A33,$K$8:$K$72,0),MATCH(IF($A33="1Y","12M",IF($A33="12M","1Y",$A33)),$K$8:$K$72,0))))&lt;=3,"ok","MISMATCH "&amp;TEXT(INDEX($M$8:$M$72,IFERROR(MATCH($A33,$K$8:$K$72,0),MATCH(IF($A33="1Y","12M",IF($A33="12M","1Y",$A33)),$K$8:$K$72,0))),"mm/dd/yy")))</f>
        <v/>
      </c>
      <c r="K33" s="19" t="inlineStr">
        <is>
          <t>11Y</t>
        </is>
      </c>
      <c r="L33" t="n">
        <v>11</v>
      </c>
      <c r="M33" s="20">
        <f>IFERROR(IF($C$3="","",IF(MONTH((EDATE($C$4,132))+IF(WEEKDAY((EDATE($C$4,132)),2)=6,2,IF(WEEKDAY((EDATE($C$4,132)),2)=7,1,0)))&lt;&gt;MONTH(EDATE($C$4,132)),(EDATE($C$4,132))-IF(WEEKDAY((EDATE($C$4,132)),2)=6,1,IF(WEEKDAY((EDATE($C$4,132)),2)=7,2,0)),(EDATE($C$4,132))+IF(WEEKDAY((EDATE($C$4,132)),2)=6,2,IF(WEEKDAY((EDATE($C$4,132)),2)=7,1,0)))),"")</f>
        <v/>
      </c>
      <c r="N33">
        <f>IFERROR(IF(M33="","",(M33-$C$3)/365),"")</f>
        <v/>
      </c>
      <c r="O33">
        <f>IFERROR(IF(M33="","",(M33-$C$4)/360),"")</f>
        <v/>
      </c>
      <c r="P33">
        <f>IFERROR(IF(M33="","",(M33-M32)/360),"")</f>
        <v/>
      </c>
      <c r="Q33" t="n">
        <v>1</v>
      </c>
      <c r="R33">
        <f>IFERROR(IF(COUNTIF($A$8:$A$59,"11Y")&gt;0,1,0),"")</f>
        <v/>
      </c>
      <c r="S33" s="21">
        <f>IFERROR(IF(R33=1,IFERROR(INDEX($C$8:$C$59,MATCH("11Y",$A$8:$A$59,0)),INDEX($C$8:$C$59,MATCH("11Y",$A$8:$A$59,0))),S32+(S34-S32)*0.5000000000),"")</f>
        <v/>
      </c>
      <c r="T33">
        <f>IFERROR(IF(OR(N33="",N34=""),"",(N33-N32)/(N34-N32)),"")</f>
        <v/>
      </c>
      <c r="U33" s="22">
        <f>IFERROR(IF(OR(T33="",U34=""),"",U32*(U34/U32)^T33),"")</f>
        <v/>
      </c>
      <c r="V33">
        <f>IFERROR(IF(OR(U33="",Q33=0),0,P33*U33),"")</f>
        <v/>
      </c>
    </row>
    <row r="34">
      <c r="A34" s="10" t="n"/>
      <c r="B34" s="11" t="n"/>
      <c r="C34" s="12" t="n"/>
      <c r="D34" s="12" t="n"/>
      <c r="E34" s="13" t="n"/>
      <c r="F34" s="14">
        <f>IF(OR($A34="",G34=""),"",-LN(G34)/INDEX($N$8:$N$72,IFERROR(MATCH($A34,$K$8:$K$72,0),MATCH(IF($A34="1Y","12M",IF($A34="12M","1Y",$A34)),$K$8:$K$72,0)))*100)</f>
        <v/>
      </c>
      <c r="G34" s="15">
        <f>IF($A34="","",IFERROR(INDEX($U$8:$U$72,IFERROR(MATCH($A34,$K$8:$K$72,0),MATCH(IF($A34="1Y","12M",IF($A34="12M","1Y",$A34)),$K$8:$K$72,0))),""))</f>
        <v/>
      </c>
      <c r="H34" s="16">
        <f>IF(OR(F34="",NOT(ISNUMBER(D34))),"",(F34-D34)*100)</f>
        <v/>
      </c>
      <c r="I34" s="17">
        <f>IF(OR(G34="",NOT(ISNUMBER(E34))),"",G34-E34)</f>
        <v/>
      </c>
      <c r="J34" s="18">
        <f>IF(OR($A34="",NOT(ISNUMBER($B34))),"",IF(ABS($B34-INDEX($M$8:$M$72,IFERROR(MATCH($A34,$K$8:$K$72,0),MATCH(IF($A34="1Y","12M",IF($A34="12M","1Y",$A34)),$K$8:$K$72,0))))&lt;=3,"ok","MISMATCH "&amp;TEXT(INDEX($M$8:$M$72,IFERROR(MATCH($A34,$K$8:$K$72,0),MATCH(IF($A34="1Y","12M",IF($A34="12M","1Y",$A34)),$K$8:$K$72,0))),"mm/dd/yy")))</f>
        <v/>
      </c>
      <c r="K34" s="19" t="inlineStr">
        <is>
          <t>12Y</t>
        </is>
      </c>
      <c r="L34" t="n">
        <v>12</v>
      </c>
      <c r="M34" s="20">
        <f>IFERROR(IF($C$3="","",IF(MONTH((EDATE($C$4,144))+IF(WEEKDAY((EDATE($C$4,144)),2)=6,2,IF(WEEKDAY((EDATE($C$4,144)),2)=7,1,0)))&lt;&gt;MONTH(EDATE($C$4,144)),(EDATE($C$4,144))-IF(WEEKDAY((EDATE($C$4,144)),2)=6,1,IF(WEEKDAY((EDATE($C$4,144)),2)=7,2,0)),(EDATE($C$4,144))+IF(WEEKDAY((EDATE($C$4,144)),2)=6,2,IF(WEEKDAY((EDATE($C$4,144)),2)=7,1,0)))),"")</f>
        <v/>
      </c>
      <c r="N34">
        <f>IFERROR(IF(M34="","",(M34-$C$3)/365),"")</f>
        <v/>
      </c>
      <c r="O34">
        <f>IFERROR(IF(M34="","",(M34-$C$4)/360),"")</f>
        <v/>
      </c>
      <c r="P34">
        <f>IFERROR(IF(M34="","",(M34-M33)/360),"")</f>
        <v/>
      </c>
      <c r="Q34" t="n">
        <v>1</v>
      </c>
      <c r="R34">
        <f>IFERROR(IF(COUNTIF($A$8:$A$59,"12Y")&gt;0,1,0),"")</f>
        <v/>
      </c>
      <c r="S34" s="21">
        <f>IFERROR(IFERROR(INDEX($C$8:$C$59,MATCH("12Y",$A$8:$A$59,0)),INDEX($C$8:$C$59,MATCH("12Y",$A$8:$A$59,0))),"")</f>
        <v/>
      </c>
      <c r="U34" s="22">
        <f>IFERROR(IF(S34="","",AM34),"")</f>
        <v/>
      </c>
      <c r="V34">
        <f>IFERROR(IF(OR(U34="",Q34=0),0,P34*U34),"")</f>
        <v/>
      </c>
      <c r="X34" s="23">
        <f>IFERROR(IF(S34="","",U32*0.9),"")</f>
        <v/>
      </c>
      <c r="Y34" s="23">
        <f>IFERROR(IF(S34="","",(1-(S34/100)*(SUM($V$8:V32)+SUMPRODUCT($P$33:$P$33,$Q$33:$Q$33,U32*(X34/U32)^$T$33:$T$33)))/(1+(S34/100)*P34)),"")</f>
        <v/>
      </c>
      <c r="Z34" s="23">
        <f>IFERROR(IF(S34="","",(1-(S34/100)*(SUM($V$8:V32)+SUMPRODUCT($P$33:$P$33,$Q$33:$Q$33,U32*(Y34/U32)^$T$33:$T$33)))/(1+(S34/100)*P34)),"")</f>
        <v/>
      </c>
      <c r="AA34" s="23">
        <f>IFERROR(IF(S34="","",(1-(S34/100)*(SUM($V$8:V32)+SUMPRODUCT($P$33:$P$33,$Q$33:$Q$33,U32*(Z34/U32)^$T$33:$T$33)))/(1+(S34/100)*P34)),"")</f>
        <v/>
      </c>
      <c r="AB34" s="23">
        <f>IFERROR(IF(S34="","",(1-(S34/100)*(SUM($V$8:V32)+SUMPRODUCT($P$33:$P$33,$Q$33:$Q$33,U32*(AA34/U32)^$T$33:$T$33)))/(1+(S34/100)*P34)),"")</f>
        <v/>
      </c>
      <c r="AC34" s="23">
        <f>IFERROR(IF(S34="","",(1-(S34/100)*(SUM($V$8:V32)+SUMPRODUCT($P$33:$P$33,$Q$33:$Q$33,U32*(AB34/U32)^$T$33:$T$33)))/(1+(S34/100)*P34)),"")</f>
        <v/>
      </c>
      <c r="AD34" s="23">
        <f>IFERROR(IF(S34="","",(1-(S34/100)*(SUM($V$8:V32)+SUMPRODUCT($P$33:$P$33,$Q$33:$Q$33,U32*(AC34/U32)^$T$33:$T$33)))/(1+(S34/100)*P34)),"")</f>
        <v/>
      </c>
      <c r="AE34" s="23">
        <f>IFERROR(IF(S34="","",(1-(S34/100)*(SUM($V$8:V32)+SUMPRODUCT($P$33:$P$33,$Q$33:$Q$33,U32*(AD34/U32)^$T$33:$T$33)))/(1+(S34/100)*P34)),"")</f>
        <v/>
      </c>
      <c r="AF34" s="23">
        <f>IFERROR(IF(S34="","",(1-(S34/100)*(SUM($V$8:V32)+SUMPRODUCT($P$33:$P$33,$Q$33:$Q$33,U32*(AE34/U32)^$T$33:$T$33)))/(1+(S34/100)*P34)),"")</f>
        <v/>
      </c>
      <c r="AG34" s="23">
        <f>IFERROR(IF(S34="","",(1-(S34/100)*(SUM($V$8:V32)+SUMPRODUCT($P$33:$P$33,$Q$33:$Q$33,U32*(AF34/U32)^$T$33:$T$33)))/(1+(S34/100)*P34)),"")</f>
        <v/>
      </c>
      <c r="AH34" s="23">
        <f>IFERROR(IF(S34="","",(1-(S34/100)*(SUM($V$8:V32)+SUMPRODUCT($P$33:$P$33,$Q$33:$Q$33,U32*(AG34/U32)^$T$33:$T$33)))/(1+(S34/100)*P34)),"")</f>
        <v/>
      </c>
      <c r="AI34" s="23">
        <f>IFERROR(IF(S34="","",(1-(S34/100)*(SUM($V$8:V32)+SUMPRODUCT($P$33:$P$33,$Q$33:$Q$33,U32*(AH34/U32)^$T$33:$T$33)))/(1+(S34/100)*P34)),"")</f>
        <v/>
      </c>
      <c r="AJ34" s="23">
        <f>IFERROR(IF(S34="","",(1-(S34/100)*(SUM($V$8:V32)+SUMPRODUCT($P$33:$P$33,$Q$33:$Q$33,U32*(AI34/U32)^$T$33:$T$33)))/(1+(S34/100)*P34)),"")</f>
        <v/>
      </c>
      <c r="AK34" s="23">
        <f>IFERROR(IF(S34="","",(1-(S34/100)*(SUM($V$8:V32)+SUMPRODUCT($P$33:$P$33,$Q$33:$Q$33,U32*(AJ34/U32)^$T$33:$T$33)))/(1+(S34/100)*P34)),"")</f>
        <v/>
      </c>
      <c r="AL34" s="23">
        <f>IFERROR(IF(S34="","",(1-(S34/100)*(SUM($V$8:V32)+SUMPRODUCT($P$33:$P$33,$Q$33:$Q$33,U32*(AK34/U32)^$T$33:$T$33)))/(1+(S34/100)*P34)),"")</f>
        <v/>
      </c>
      <c r="AM34" s="23">
        <f>IFERROR(IF(S34="","",(1-(S34/100)*(SUM($V$8:V32)+SUMPRODUCT($P$33:$P$33,$Q$33:$Q$33,U32*(AL34/U32)^$T$33:$T$33)))/(1+(S34/100)*P34)),"")</f>
        <v/>
      </c>
    </row>
    <row r="35">
      <c r="A35" s="10" t="n"/>
      <c r="B35" s="11" t="n"/>
      <c r="C35" s="12" t="n"/>
      <c r="D35" s="12" t="n"/>
      <c r="E35" s="13" t="n"/>
      <c r="F35" s="14">
        <f>IF(OR($A35="",G35=""),"",-LN(G35)/INDEX($N$8:$N$72,IFERROR(MATCH($A35,$K$8:$K$72,0),MATCH(IF($A35="1Y","12M",IF($A35="12M","1Y",$A35)),$K$8:$K$72,0)))*100)</f>
        <v/>
      </c>
      <c r="G35" s="15">
        <f>IF($A35="","",IFERROR(INDEX($U$8:$U$72,IFERROR(MATCH($A35,$K$8:$K$72,0),MATCH(IF($A35="1Y","12M",IF($A35="12M","1Y",$A35)),$K$8:$K$72,0))),""))</f>
        <v/>
      </c>
      <c r="H35" s="16">
        <f>IF(OR(F35="",NOT(ISNUMBER(D35))),"",(F35-D35)*100)</f>
        <v/>
      </c>
      <c r="I35" s="17">
        <f>IF(OR(G35="",NOT(ISNUMBER(E35))),"",G35-E35)</f>
        <v/>
      </c>
      <c r="J35" s="18">
        <f>IF(OR($A35="",NOT(ISNUMBER($B35))),"",IF(ABS($B35-INDEX($M$8:$M$72,IFERROR(MATCH($A35,$K$8:$K$72,0),MATCH(IF($A35="1Y","12M",IF($A35="12M","1Y",$A35)),$K$8:$K$72,0))))&lt;=3,"ok","MISMATCH "&amp;TEXT(INDEX($M$8:$M$72,IFERROR(MATCH($A35,$K$8:$K$72,0),MATCH(IF($A35="1Y","12M",IF($A35="12M","1Y",$A35)),$K$8:$K$72,0))),"mm/dd/yy")))</f>
        <v/>
      </c>
      <c r="K35" s="19" t="inlineStr">
        <is>
          <t>13Y</t>
        </is>
      </c>
      <c r="L35" t="n">
        <v>13</v>
      </c>
      <c r="M35" s="20">
        <f>IFERROR(IF($C$3="","",IF(MONTH((EDATE($C$4,156))+IF(WEEKDAY((EDATE($C$4,156)),2)=6,2,IF(WEEKDAY((EDATE($C$4,156)),2)=7,1,0)))&lt;&gt;MONTH(EDATE($C$4,156)),(EDATE($C$4,156))-IF(WEEKDAY((EDATE($C$4,156)),2)=6,1,IF(WEEKDAY((EDATE($C$4,156)),2)=7,2,0)),(EDATE($C$4,156))+IF(WEEKDAY((EDATE($C$4,156)),2)=6,2,IF(WEEKDAY((EDATE($C$4,156)),2)=7,1,0)))),"")</f>
        <v/>
      </c>
      <c r="N35">
        <f>IFERROR(IF(M35="","",(M35-$C$3)/365),"")</f>
        <v/>
      </c>
      <c r="O35">
        <f>IFERROR(IF(M35="","",(M35-$C$4)/360),"")</f>
        <v/>
      </c>
      <c r="P35">
        <f>IFERROR(IF(M35="","",(M35-M34)/360),"")</f>
        <v/>
      </c>
      <c r="Q35" t="n">
        <v>1</v>
      </c>
      <c r="R35">
        <f>IFERROR(IF(COUNTIF($A$8:$A$59,"13Y")&gt;0,1,0),"")</f>
        <v/>
      </c>
      <c r="S35" s="21">
        <f>IFERROR(IF(R35=1,IFERROR(INDEX($C$8:$C$59,MATCH("13Y",$A$8:$A$59,0)),INDEX($C$8:$C$59,MATCH("13Y",$A$8:$A$59,0))),S34+(S37-S34)*0.3333333333),"")</f>
        <v/>
      </c>
      <c r="T35">
        <f>IFERROR(IF(OR(N35="",N37=""),"",(N35-N34)/(N37-N34)),"")</f>
        <v/>
      </c>
      <c r="U35" s="22">
        <f>IFERROR(IF(OR(T35="",U37=""),"",U34*(U37/U34)^T35),"")</f>
        <v/>
      </c>
      <c r="V35">
        <f>IFERROR(IF(OR(U35="",Q35=0),0,P35*U35),"")</f>
        <v/>
      </c>
    </row>
    <row r="36">
      <c r="A36" s="10" t="n"/>
      <c r="B36" s="11" t="n"/>
      <c r="C36" s="12" t="n"/>
      <c r="D36" s="12" t="n"/>
      <c r="E36" s="13" t="n"/>
      <c r="F36" s="14">
        <f>IF(OR($A36="",G36=""),"",-LN(G36)/INDEX($N$8:$N$72,IFERROR(MATCH($A36,$K$8:$K$72,0),MATCH(IF($A36="1Y","12M",IF($A36="12M","1Y",$A36)),$K$8:$K$72,0)))*100)</f>
        <v/>
      </c>
      <c r="G36" s="15">
        <f>IF($A36="","",IFERROR(INDEX($U$8:$U$72,IFERROR(MATCH($A36,$K$8:$K$72,0),MATCH(IF($A36="1Y","12M",IF($A36="12M","1Y",$A36)),$K$8:$K$72,0))),""))</f>
        <v/>
      </c>
      <c r="H36" s="16">
        <f>IF(OR(F36="",NOT(ISNUMBER(D36))),"",(F36-D36)*100)</f>
        <v/>
      </c>
      <c r="I36" s="17">
        <f>IF(OR(G36="",NOT(ISNUMBER(E36))),"",G36-E36)</f>
        <v/>
      </c>
      <c r="J36" s="18">
        <f>IF(OR($A36="",NOT(ISNUMBER($B36))),"",IF(ABS($B36-INDEX($M$8:$M$72,IFERROR(MATCH($A36,$K$8:$K$72,0),MATCH(IF($A36="1Y","12M",IF($A36="12M","1Y",$A36)),$K$8:$K$72,0))))&lt;=3,"ok","MISMATCH "&amp;TEXT(INDEX($M$8:$M$72,IFERROR(MATCH($A36,$K$8:$K$72,0),MATCH(IF($A36="1Y","12M",IF($A36="12M","1Y",$A36)),$K$8:$K$72,0))),"mm/dd/yy")))</f>
        <v/>
      </c>
      <c r="K36" s="19" t="inlineStr">
        <is>
          <t>14Y</t>
        </is>
      </c>
      <c r="L36" t="n">
        <v>14</v>
      </c>
      <c r="M36" s="20">
        <f>IFERROR(IF($C$3="","",IF(MONTH((EDATE($C$4,168))+IF(WEEKDAY((EDATE($C$4,168)),2)=6,2,IF(WEEKDAY((EDATE($C$4,168)),2)=7,1,0)))&lt;&gt;MONTH(EDATE($C$4,168)),(EDATE($C$4,168))-IF(WEEKDAY((EDATE($C$4,168)),2)=6,1,IF(WEEKDAY((EDATE($C$4,168)),2)=7,2,0)),(EDATE($C$4,168))+IF(WEEKDAY((EDATE($C$4,168)),2)=6,2,IF(WEEKDAY((EDATE($C$4,168)),2)=7,1,0)))),"")</f>
        <v/>
      </c>
      <c r="N36">
        <f>IFERROR(IF(M36="","",(M36-$C$3)/365),"")</f>
        <v/>
      </c>
      <c r="O36">
        <f>IFERROR(IF(M36="","",(M36-$C$4)/360),"")</f>
        <v/>
      </c>
      <c r="P36">
        <f>IFERROR(IF(M36="","",(M36-M35)/360),"")</f>
        <v/>
      </c>
      <c r="Q36" t="n">
        <v>1</v>
      </c>
      <c r="R36">
        <f>IFERROR(IF(COUNTIF($A$8:$A$59,"14Y")&gt;0,1,0),"")</f>
        <v/>
      </c>
      <c r="S36" s="21">
        <f>IFERROR(IF(R36=1,IFERROR(INDEX($C$8:$C$59,MATCH("14Y",$A$8:$A$59,0)),INDEX($C$8:$C$59,MATCH("14Y",$A$8:$A$59,0))),S34+(S37-S34)*0.6666666667),"")</f>
        <v/>
      </c>
      <c r="T36">
        <f>IFERROR(IF(OR(N36="",N37=""),"",(N36-N34)/(N37-N34)),"")</f>
        <v/>
      </c>
      <c r="U36" s="22">
        <f>IFERROR(IF(OR(T36="",U37=""),"",U34*(U37/U34)^T36),"")</f>
        <v/>
      </c>
      <c r="V36">
        <f>IFERROR(IF(OR(U36="",Q36=0),0,P36*U36),"")</f>
        <v/>
      </c>
    </row>
    <row r="37">
      <c r="A37" s="10" t="n"/>
      <c r="B37" s="11" t="n"/>
      <c r="C37" s="12" t="n"/>
      <c r="D37" s="12" t="n"/>
      <c r="E37" s="13" t="n"/>
      <c r="F37" s="14">
        <f>IF(OR($A37="",G37=""),"",-LN(G37)/INDEX($N$8:$N$72,IFERROR(MATCH($A37,$K$8:$K$72,0),MATCH(IF($A37="1Y","12M",IF($A37="12M","1Y",$A37)),$K$8:$K$72,0)))*100)</f>
        <v/>
      </c>
      <c r="G37" s="15">
        <f>IF($A37="","",IFERROR(INDEX($U$8:$U$72,IFERROR(MATCH($A37,$K$8:$K$72,0),MATCH(IF($A37="1Y","12M",IF($A37="12M","1Y",$A37)),$K$8:$K$72,0))),""))</f>
        <v/>
      </c>
      <c r="H37" s="16">
        <f>IF(OR(F37="",NOT(ISNUMBER(D37))),"",(F37-D37)*100)</f>
        <v/>
      </c>
      <c r="I37" s="17">
        <f>IF(OR(G37="",NOT(ISNUMBER(E37))),"",G37-E37)</f>
        <v/>
      </c>
      <c r="J37" s="18">
        <f>IF(OR($A37="",NOT(ISNUMBER($B37))),"",IF(ABS($B37-INDEX($M$8:$M$72,IFERROR(MATCH($A37,$K$8:$K$72,0),MATCH(IF($A37="1Y","12M",IF($A37="12M","1Y",$A37)),$K$8:$K$72,0))))&lt;=3,"ok","MISMATCH "&amp;TEXT(INDEX($M$8:$M$72,IFERROR(MATCH($A37,$K$8:$K$72,0),MATCH(IF($A37="1Y","12M",IF($A37="12M","1Y",$A37)),$K$8:$K$72,0))),"mm/dd/yy")))</f>
        <v/>
      </c>
      <c r="K37" s="19" t="inlineStr">
        <is>
          <t>15Y</t>
        </is>
      </c>
      <c r="L37" t="n">
        <v>15</v>
      </c>
      <c r="M37" s="20">
        <f>IFERROR(IF($C$3="","",IF(MONTH((EDATE($C$4,180))+IF(WEEKDAY((EDATE($C$4,180)),2)=6,2,IF(WEEKDAY((EDATE($C$4,180)),2)=7,1,0)))&lt;&gt;MONTH(EDATE($C$4,180)),(EDATE($C$4,180))-IF(WEEKDAY((EDATE($C$4,180)),2)=6,1,IF(WEEKDAY((EDATE($C$4,180)),2)=7,2,0)),(EDATE($C$4,180))+IF(WEEKDAY((EDATE($C$4,180)),2)=6,2,IF(WEEKDAY((EDATE($C$4,180)),2)=7,1,0)))),"")</f>
        <v/>
      </c>
      <c r="N37">
        <f>IFERROR(IF(M37="","",(M37-$C$3)/365),"")</f>
        <v/>
      </c>
      <c r="O37">
        <f>IFERROR(IF(M37="","",(M37-$C$4)/360),"")</f>
        <v/>
      </c>
      <c r="P37">
        <f>IFERROR(IF(M37="","",(M37-M36)/360),"")</f>
        <v/>
      </c>
      <c r="Q37" t="n">
        <v>1</v>
      </c>
      <c r="R37">
        <f>IFERROR(IF(COUNTIF($A$8:$A$59,"15Y")&gt;0,1,0),"")</f>
        <v/>
      </c>
      <c r="S37" s="21">
        <f>IFERROR(IFERROR(INDEX($C$8:$C$59,MATCH("15Y",$A$8:$A$59,0)),INDEX($C$8:$C$59,MATCH("15Y",$A$8:$A$59,0))),"")</f>
        <v/>
      </c>
      <c r="U37" s="22">
        <f>IFERROR(IF(S37="","",AM37),"")</f>
        <v/>
      </c>
      <c r="V37">
        <f>IFERROR(IF(OR(U37="",Q37=0),0,P37*U37),"")</f>
        <v/>
      </c>
      <c r="X37" s="23">
        <f>IFERROR(IF(S37="","",U34*0.9),"")</f>
        <v/>
      </c>
      <c r="Y37" s="23">
        <f>IFERROR(IF(S37="","",(1-(S37/100)*(SUM($V$8:V34)+SUMPRODUCT($P$35:$P$36,$Q$35:$Q$36,U34*(X37/U34)^$T$35:$T$36)))/(1+(S37/100)*P37)),"")</f>
        <v/>
      </c>
      <c r="Z37" s="23">
        <f>IFERROR(IF(S37="","",(1-(S37/100)*(SUM($V$8:V34)+SUMPRODUCT($P$35:$P$36,$Q$35:$Q$36,U34*(Y37/U34)^$T$35:$T$36)))/(1+(S37/100)*P37)),"")</f>
        <v/>
      </c>
      <c r="AA37" s="23">
        <f>IFERROR(IF(S37="","",(1-(S37/100)*(SUM($V$8:V34)+SUMPRODUCT($P$35:$P$36,$Q$35:$Q$36,U34*(Z37/U34)^$T$35:$T$36)))/(1+(S37/100)*P37)),"")</f>
        <v/>
      </c>
      <c r="AB37" s="23">
        <f>IFERROR(IF(S37="","",(1-(S37/100)*(SUM($V$8:V34)+SUMPRODUCT($P$35:$P$36,$Q$35:$Q$36,U34*(AA37/U34)^$T$35:$T$36)))/(1+(S37/100)*P37)),"")</f>
        <v/>
      </c>
      <c r="AC37" s="23">
        <f>IFERROR(IF(S37="","",(1-(S37/100)*(SUM($V$8:V34)+SUMPRODUCT($P$35:$P$36,$Q$35:$Q$36,U34*(AB37/U34)^$T$35:$T$36)))/(1+(S37/100)*P37)),"")</f>
        <v/>
      </c>
      <c r="AD37" s="23">
        <f>IFERROR(IF(S37="","",(1-(S37/100)*(SUM($V$8:V34)+SUMPRODUCT($P$35:$P$36,$Q$35:$Q$36,U34*(AC37/U34)^$T$35:$T$36)))/(1+(S37/100)*P37)),"")</f>
        <v/>
      </c>
      <c r="AE37" s="23">
        <f>IFERROR(IF(S37="","",(1-(S37/100)*(SUM($V$8:V34)+SUMPRODUCT($P$35:$P$36,$Q$35:$Q$36,U34*(AD37/U34)^$T$35:$T$36)))/(1+(S37/100)*P37)),"")</f>
        <v/>
      </c>
      <c r="AF37" s="23">
        <f>IFERROR(IF(S37="","",(1-(S37/100)*(SUM($V$8:V34)+SUMPRODUCT($P$35:$P$36,$Q$35:$Q$36,U34*(AE37/U34)^$T$35:$T$36)))/(1+(S37/100)*P37)),"")</f>
        <v/>
      </c>
      <c r="AG37" s="23">
        <f>IFERROR(IF(S37="","",(1-(S37/100)*(SUM($V$8:V34)+SUMPRODUCT($P$35:$P$36,$Q$35:$Q$36,U34*(AF37/U34)^$T$35:$T$36)))/(1+(S37/100)*P37)),"")</f>
        <v/>
      </c>
      <c r="AH37" s="23">
        <f>IFERROR(IF(S37="","",(1-(S37/100)*(SUM($V$8:V34)+SUMPRODUCT($P$35:$P$36,$Q$35:$Q$36,U34*(AG37/U34)^$T$35:$T$36)))/(1+(S37/100)*P37)),"")</f>
        <v/>
      </c>
      <c r="AI37" s="23">
        <f>IFERROR(IF(S37="","",(1-(S37/100)*(SUM($V$8:V34)+SUMPRODUCT($P$35:$P$36,$Q$35:$Q$36,U34*(AH37/U34)^$T$35:$T$36)))/(1+(S37/100)*P37)),"")</f>
        <v/>
      </c>
      <c r="AJ37" s="23">
        <f>IFERROR(IF(S37="","",(1-(S37/100)*(SUM($V$8:V34)+SUMPRODUCT($P$35:$P$36,$Q$35:$Q$36,U34*(AI37/U34)^$T$35:$T$36)))/(1+(S37/100)*P37)),"")</f>
        <v/>
      </c>
      <c r="AK37" s="23">
        <f>IFERROR(IF(S37="","",(1-(S37/100)*(SUM($V$8:V34)+SUMPRODUCT($P$35:$P$36,$Q$35:$Q$36,U34*(AJ37/U34)^$T$35:$T$36)))/(1+(S37/100)*P37)),"")</f>
        <v/>
      </c>
      <c r="AL37" s="23">
        <f>IFERROR(IF(S37="","",(1-(S37/100)*(SUM($V$8:V34)+SUMPRODUCT($P$35:$P$36,$Q$35:$Q$36,U34*(AK37/U34)^$T$35:$T$36)))/(1+(S37/100)*P37)),"")</f>
        <v/>
      </c>
      <c r="AM37" s="23">
        <f>IFERROR(IF(S37="","",(1-(S37/100)*(SUM($V$8:V34)+SUMPRODUCT($P$35:$P$36,$Q$35:$Q$36,U34*(AL37/U34)^$T$35:$T$36)))/(1+(S37/100)*P37)),"")</f>
        <v/>
      </c>
    </row>
    <row r="38">
      <c r="A38" s="10" t="n"/>
      <c r="B38" s="11" t="n"/>
      <c r="C38" s="12" t="n"/>
      <c r="D38" s="12" t="n"/>
      <c r="E38" s="13" t="n"/>
      <c r="F38" s="14">
        <f>IF(OR($A38="",G38=""),"",-LN(G38)/INDEX($N$8:$N$72,IFERROR(MATCH($A38,$K$8:$K$72,0),MATCH(IF($A38="1Y","12M",IF($A38="12M","1Y",$A38)),$K$8:$K$72,0)))*100)</f>
        <v/>
      </c>
      <c r="G38" s="15">
        <f>IF($A38="","",IFERROR(INDEX($U$8:$U$72,IFERROR(MATCH($A38,$K$8:$K$72,0),MATCH(IF($A38="1Y","12M",IF($A38="12M","1Y",$A38)),$K$8:$K$72,0))),""))</f>
        <v/>
      </c>
      <c r="H38" s="16">
        <f>IF(OR(F38="",NOT(ISNUMBER(D38))),"",(F38-D38)*100)</f>
        <v/>
      </c>
      <c r="I38" s="17">
        <f>IF(OR(G38="",NOT(ISNUMBER(E38))),"",G38-E38)</f>
        <v/>
      </c>
      <c r="J38" s="18">
        <f>IF(OR($A38="",NOT(ISNUMBER($B38))),"",IF(ABS($B38-INDEX($M$8:$M$72,IFERROR(MATCH($A38,$K$8:$K$72,0),MATCH(IF($A38="1Y","12M",IF($A38="12M","1Y",$A38)),$K$8:$K$72,0))))&lt;=3,"ok","MISMATCH "&amp;TEXT(INDEX($M$8:$M$72,IFERROR(MATCH($A38,$K$8:$K$72,0),MATCH(IF($A38="1Y","12M",IF($A38="12M","1Y",$A38)),$K$8:$K$72,0))),"mm/dd/yy")))</f>
        <v/>
      </c>
      <c r="K38" s="19" t="inlineStr">
        <is>
          <t>16Y</t>
        </is>
      </c>
      <c r="L38" t="n">
        <v>16</v>
      </c>
      <c r="M38" s="20">
        <f>IFERROR(IF($C$3="","",IF(MONTH((EDATE($C$4,192))+IF(WEEKDAY((EDATE($C$4,192)),2)=6,2,IF(WEEKDAY((EDATE($C$4,192)),2)=7,1,0)))&lt;&gt;MONTH(EDATE($C$4,192)),(EDATE($C$4,192))-IF(WEEKDAY((EDATE($C$4,192)),2)=6,1,IF(WEEKDAY((EDATE($C$4,192)),2)=7,2,0)),(EDATE($C$4,192))+IF(WEEKDAY((EDATE($C$4,192)),2)=6,2,IF(WEEKDAY((EDATE($C$4,192)),2)=7,1,0)))),"")</f>
        <v/>
      </c>
      <c r="N38">
        <f>IFERROR(IF(M38="","",(M38-$C$3)/365),"")</f>
        <v/>
      </c>
      <c r="O38">
        <f>IFERROR(IF(M38="","",(M38-$C$4)/360),"")</f>
        <v/>
      </c>
      <c r="P38">
        <f>IFERROR(IF(M38="","",(M38-M37)/360),"")</f>
        <v/>
      </c>
      <c r="Q38" t="n">
        <v>1</v>
      </c>
      <c r="R38">
        <f>IFERROR(IF(COUNTIF($A$8:$A$59,"16Y")&gt;0,1,0),"")</f>
        <v/>
      </c>
      <c r="S38" s="21">
        <f>IFERROR(IF(R38=1,IFERROR(INDEX($C$8:$C$59,MATCH("16Y",$A$8:$A$59,0)),INDEX($C$8:$C$59,MATCH("16Y",$A$8:$A$59,0))),S37+(S42-S37)*0.2000000000),"")</f>
        <v/>
      </c>
      <c r="T38">
        <f>IFERROR(IF(OR(N38="",N42=""),"",(N38-N37)/(N42-N37)),"")</f>
        <v/>
      </c>
      <c r="U38" s="22">
        <f>IFERROR(IF(OR(T38="",U42=""),"",U37*(U42/U37)^T38),"")</f>
        <v/>
      </c>
      <c r="V38">
        <f>IFERROR(IF(OR(U38="",Q38=0),0,P38*U38),"")</f>
        <v/>
      </c>
    </row>
    <row r="39">
      <c r="A39" s="10" t="n"/>
      <c r="B39" s="11" t="n"/>
      <c r="C39" s="12" t="n"/>
      <c r="D39" s="12" t="n"/>
      <c r="E39" s="13" t="n"/>
      <c r="F39" s="14">
        <f>IF(OR($A39="",G39=""),"",-LN(G39)/INDEX($N$8:$N$72,IFERROR(MATCH($A39,$K$8:$K$72,0),MATCH(IF($A39="1Y","12M",IF($A39="12M","1Y",$A39)),$K$8:$K$72,0)))*100)</f>
        <v/>
      </c>
      <c r="G39" s="15">
        <f>IF($A39="","",IFERROR(INDEX($U$8:$U$72,IFERROR(MATCH($A39,$K$8:$K$72,0),MATCH(IF($A39="1Y","12M",IF($A39="12M","1Y",$A39)),$K$8:$K$72,0))),""))</f>
        <v/>
      </c>
      <c r="H39" s="16">
        <f>IF(OR(F39="",NOT(ISNUMBER(D39))),"",(F39-D39)*100)</f>
        <v/>
      </c>
      <c r="I39" s="17">
        <f>IF(OR(G39="",NOT(ISNUMBER(E39))),"",G39-E39)</f>
        <v/>
      </c>
      <c r="J39" s="18">
        <f>IF(OR($A39="",NOT(ISNUMBER($B39))),"",IF(ABS($B39-INDEX($M$8:$M$72,IFERROR(MATCH($A39,$K$8:$K$72,0),MATCH(IF($A39="1Y","12M",IF($A39="12M","1Y",$A39)),$K$8:$K$72,0))))&lt;=3,"ok","MISMATCH "&amp;TEXT(INDEX($M$8:$M$72,IFERROR(MATCH($A39,$K$8:$K$72,0),MATCH(IF($A39="1Y","12M",IF($A39="12M","1Y",$A39)),$K$8:$K$72,0))),"mm/dd/yy")))</f>
        <v/>
      </c>
      <c r="K39" s="19" t="inlineStr">
        <is>
          <t>17Y</t>
        </is>
      </c>
      <c r="L39" t="n">
        <v>17</v>
      </c>
      <c r="M39" s="20">
        <f>IFERROR(IF($C$3="","",IF(MONTH((EDATE($C$4,204))+IF(WEEKDAY((EDATE($C$4,204)),2)=6,2,IF(WEEKDAY((EDATE($C$4,204)),2)=7,1,0)))&lt;&gt;MONTH(EDATE($C$4,204)),(EDATE($C$4,204))-IF(WEEKDAY((EDATE($C$4,204)),2)=6,1,IF(WEEKDAY((EDATE($C$4,204)),2)=7,2,0)),(EDATE($C$4,204))+IF(WEEKDAY((EDATE($C$4,204)),2)=6,2,IF(WEEKDAY((EDATE($C$4,204)),2)=7,1,0)))),"")</f>
        <v/>
      </c>
      <c r="N39">
        <f>IFERROR(IF(M39="","",(M39-$C$3)/365),"")</f>
        <v/>
      </c>
      <c r="O39">
        <f>IFERROR(IF(M39="","",(M39-$C$4)/360),"")</f>
        <v/>
      </c>
      <c r="P39">
        <f>IFERROR(IF(M39="","",(M39-M38)/360),"")</f>
        <v/>
      </c>
      <c r="Q39" t="n">
        <v>1</v>
      </c>
      <c r="R39">
        <f>IFERROR(IF(COUNTIF($A$8:$A$59,"17Y")&gt;0,1,0),"")</f>
        <v/>
      </c>
      <c r="S39" s="21">
        <f>IFERROR(IF(R39=1,IFERROR(INDEX($C$8:$C$59,MATCH("17Y",$A$8:$A$59,0)),INDEX($C$8:$C$59,MATCH("17Y",$A$8:$A$59,0))),S37+(S42-S37)*0.4000000000),"")</f>
        <v/>
      </c>
      <c r="T39">
        <f>IFERROR(IF(OR(N39="",N42=""),"",(N39-N37)/(N42-N37)),"")</f>
        <v/>
      </c>
      <c r="U39" s="22">
        <f>IFERROR(IF(OR(T39="",U42=""),"",U37*(U42/U37)^T39),"")</f>
        <v/>
      </c>
      <c r="V39">
        <f>IFERROR(IF(OR(U39="",Q39=0),0,P39*U39),"")</f>
        <v/>
      </c>
    </row>
    <row r="40">
      <c r="A40" s="10" t="n"/>
      <c r="B40" s="11" t="n"/>
      <c r="C40" s="12" t="n"/>
      <c r="D40" s="12" t="n"/>
      <c r="E40" s="13" t="n"/>
      <c r="F40" s="14">
        <f>IF(OR($A40="",G40=""),"",-LN(G40)/INDEX($N$8:$N$72,IFERROR(MATCH($A40,$K$8:$K$72,0),MATCH(IF($A40="1Y","12M",IF($A40="12M","1Y",$A40)),$K$8:$K$72,0)))*100)</f>
        <v/>
      </c>
      <c r="G40" s="15">
        <f>IF($A40="","",IFERROR(INDEX($U$8:$U$72,IFERROR(MATCH($A40,$K$8:$K$72,0),MATCH(IF($A40="1Y","12M",IF($A40="12M","1Y",$A40)),$K$8:$K$72,0))),""))</f>
        <v/>
      </c>
      <c r="H40" s="16">
        <f>IF(OR(F40="",NOT(ISNUMBER(D40))),"",(F40-D40)*100)</f>
        <v/>
      </c>
      <c r="I40" s="17">
        <f>IF(OR(G40="",NOT(ISNUMBER(E40))),"",G40-E40)</f>
        <v/>
      </c>
      <c r="J40" s="18">
        <f>IF(OR($A40="",NOT(ISNUMBER($B40))),"",IF(ABS($B40-INDEX($M$8:$M$72,IFERROR(MATCH($A40,$K$8:$K$72,0),MATCH(IF($A40="1Y","12M",IF($A40="12M","1Y",$A40)),$K$8:$K$72,0))))&lt;=3,"ok","MISMATCH "&amp;TEXT(INDEX($M$8:$M$72,IFERROR(MATCH($A40,$K$8:$K$72,0),MATCH(IF($A40="1Y","12M",IF($A40="12M","1Y",$A40)),$K$8:$K$72,0))),"mm/dd/yy")))</f>
        <v/>
      </c>
      <c r="K40" s="19" t="inlineStr">
        <is>
          <t>18Y</t>
        </is>
      </c>
      <c r="L40" t="n">
        <v>18</v>
      </c>
      <c r="M40" s="20">
        <f>IFERROR(IF($C$3="","",IF(MONTH((EDATE($C$4,216))+IF(WEEKDAY((EDATE($C$4,216)),2)=6,2,IF(WEEKDAY((EDATE($C$4,216)),2)=7,1,0)))&lt;&gt;MONTH(EDATE($C$4,216)),(EDATE($C$4,216))-IF(WEEKDAY((EDATE($C$4,216)),2)=6,1,IF(WEEKDAY((EDATE($C$4,216)),2)=7,2,0)),(EDATE($C$4,216))+IF(WEEKDAY((EDATE($C$4,216)),2)=6,2,IF(WEEKDAY((EDATE($C$4,216)),2)=7,1,0)))),"")</f>
        <v/>
      </c>
      <c r="N40">
        <f>IFERROR(IF(M40="","",(M40-$C$3)/365),"")</f>
        <v/>
      </c>
      <c r="O40">
        <f>IFERROR(IF(M40="","",(M40-$C$4)/360),"")</f>
        <v/>
      </c>
      <c r="P40">
        <f>IFERROR(IF(M40="","",(M40-M39)/360),"")</f>
        <v/>
      </c>
      <c r="Q40" t="n">
        <v>1</v>
      </c>
      <c r="R40">
        <f>IFERROR(IF(COUNTIF($A$8:$A$59,"18Y")&gt;0,1,0),"")</f>
        <v/>
      </c>
      <c r="S40" s="21">
        <f>IFERROR(IF(R40=1,IFERROR(INDEX($C$8:$C$59,MATCH("18Y",$A$8:$A$59,0)),INDEX($C$8:$C$59,MATCH("18Y",$A$8:$A$59,0))),S37+(S42-S37)*0.6000000000),"")</f>
        <v/>
      </c>
      <c r="T40">
        <f>IFERROR(IF(OR(N40="",N42=""),"",(N40-N37)/(N42-N37)),"")</f>
        <v/>
      </c>
      <c r="U40" s="22">
        <f>IFERROR(IF(OR(T40="",U42=""),"",U37*(U42/U37)^T40),"")</f>
        <v/>
      </c>
      <c r="V40">
        <f>IFERROR(IF(OR(U40="",Q40=0),0,P40*U40),"")</f>
        <v/>
      </c>
    </row>
    <row r="41">
      <c r="A41" s="10" t="n"/>
      <c r="B41" s="11" t="n"/>
      <c r="C41" s="12" t="n"/>
      <c r="D41" s="12" t="n"/>
      <c r="E41" s="13" t="n"/>
      <c r="F41" s="14">
        <f>IF(OR($A41="",G41=""),"",-LN(G41)/INDEX($N$8:$N$72,IFERROR(MATCH($A41,$K$8:$K$72,0),MATCH(IF($A41="1Y","12M",IF($A41="12M","1Y",$A41)),$K$8:$K$72,0)))*100)</f>
        <v/>
      </c>
      <c r="G41" s="15">
        <f>IF($A41="","",IFERROR(INDEX($U$8:$U$72,IFERROR(MATCH($A41,$K$8:$K$72,0),MATCH(IF($A41="1Y","12M",IF($A41="12M","1Y",$A41)),$K$8:$K$72,0))),""))</f>
        <v/>
      </c>
      <c r="H41" s="16">
        <f>IF(OR(F41="",NOT(ISNUMBER(D41))),"",(F41-D41)*100)</f>
        <v/>
      </c>
      <c r="I41" s="17">
        <f>IF(OR(G41="",NOT(ISNUMBER(E41))),"",G41-E41)</f>
        <v/>
      </c>
      <c r="J41" s="18">
        <f>IF(OR($A41="",NOT(ISNUMBER($B41))),"",IF(ABS($B41-INDEX($M$8:$M$72,IFERROR(MATCH($A41,$K$8:$K$72,0),MATCH(IF($A41="1Y","12M",IF($A41="12M","1Y",$A41)),$K$8:$K$72,0))))&lt;=3,"ok","MISMATCH "&amp;TEXT(INDEX($M$8:$M$72,IFERROR(MATCH($A41,$K$8:$K$72,0),MATCH(IF($A41="1Y","12M",IF($A41="12M","1Y",$A41)),$K$8:$K$72,0))),"mm/dd/yy")))</f>
        <v/>
      </c>
      <c r="K41" s="19" t="inlineStr">
        <is>
          <t>19Y</t>
        </is>
      </c>
      <c r="L41" t="n">
        <v>19</v>
      </c>
      <c r="M41" s="20">
        <f>IFERROR(IF($C$3="","",IF(MONTH((EDATE($C$4,228))+IF(WEEKDAY((EDATE($C$4,228)),2)=6,2,IF(WEEKDAY((EDATE($C$4,228)),2)=7,1,0)))&lt;&gt;MONTH(EDATE($C$4,228)),(EDATE($C$4,228))-IF(WEEKDAY((EDATE($C$4,228)),2)=6,1,IF(WEEKDAY((EDATE($C$4,228)),2)=7,2,0)),(EDATE($C$4,228))+IF(WEEKDAY((EDATE($C$4,228)),2)=6,2,IF(WEEKDAY((EDATE($C$4,228)),2)=7,1,0)))),"")</f>
        <v/>
      </c>
      <c r="N41">
        <f>IFERROR(IF(M41="","",(M41-$C$3)/365),"")</f>
        <v/>
      </c>
      <c r="O41">
        <f>IFERROR(IF(M41="","",(M41-$C$4)/360),"")</f>
        <v/>
      </c>
      <c r="P41">
        <f>IFERROR(IF(M41="","",(M41-M40)/360),"")</f>
        <v/>
      </c>
      <c r="Q41" t="n">
        <v>1</v>
      </c>
      <c r="R41">
        <f>IFERROR(IF(COUNTIF($A$8:$A$59,"19Y")&gt;0,1,0),"")</f>
        <v/>
      </c>
      <c r="S41" s="21">
        <f>IFERROR(IF(R41=1,IFERROR(INDEX($C$8:$C$59,MATCH("19Y",$A$8:$A$59,0)),INDEX($C$8:$C$59,MATCH("19Y",$A$8:$A$59,0))),S37+(S42-S37)*0.8000000000),"")</f>
        <v/>
      </c>
      <c r="T41">
        <f>IFERROR(IF(OR(N41="",N42=""),"",(N41-N37)/(N42-N37)),"")</f>
        <v/>
      </c>
      <c r="U41" s="22">
        <f>IFERROR(IF(OR(T41="",U42=""),"",U37*(U42/U37)^T41),"")</f>
        <v/>
      </c>
      <c r="V41">
        <f>IFERROR(IF(OR(U41="",Q41=0),0,P41*U41),"")</f>
        <v/>
      </c>
    </row>
    <row r="42">
      <c r="A42" s="10" t="n"/>
      <c r="B42" s="11" t="n"/>
      <c r="C42" s="12" t="n"/>
      <c r="D42" s="12" t="n"/>
      <c r="E42" s="13" t="n"/>
      <c r="F42" s="14">
        <f>IF(OR($A42="",G42=""),"",-LN(G42)/INDEX($N$8:$N$72,IFERROR(MATCH($A42,$K$8:$K$72,0),MATCH(IF($A42="1Y","12M",IF($A42="12M","1Y",$A42)),$K$8:$K$72,0)))*100)</f>
        <v/>
      </c>
      <c r="G42" s="15">
        <f>IF($A42="","",IFERROR(INDEX($U$8:$U$72,IFERROR(MATCH($A42,$K$8:$K$72,0),MATCH(IF($A42="1Y","12M",IF($A42="12M","1Y",$A42)),$K$8:$K$72,0))),""))</f>
        <v/>
      </c>
      <c r="H42" s="16">
        <f>IF(OR(F42="",NOT(ISNUMBER(D42))),"",(F42-D42)*100)</f>
        <v/>
      </c>
      <c r="I42" s="17">
        <f>IF(OR(G42="",NOT(ISNUMBER(E42))),"",G42-E42)</f>
        <v/>
      </c>
      <c r="J42" s="18">
        <f>IF(OR($A42="",NOT(ISNUMBER($B42))),"",IF(ABS($B42-INDEX($M$8:$M$72,IFERROR(MATCH($A42,$K$8:$K$72,0),MATCH(IF($A42="1Y","12M",IF($A42="12M","1Y",$A42)),$K$8:$K$72,0))))&lt;=3,"ok","MISMATCH "&amp;TEXT(INDEX($M$8:$M$72,IFERROR(MATCH($A42,$K$8:$K$72,0),MATCH(IF($A42="1Y","12M",IF($A42="12M","1Y",$A42)),$K$8:$K$72,0))),"mm/dd/yy")))</f>
        <v/>
      </c>
      <c r="K42" s="19" t="inlineStr">
        <is>
          <t>20Y</t>
        </is>
      </c>
      <c r="L42" t="n">
        <v>20</v>
      </c>
      <c r="M42" s="20">
        <f>IFERROR(IF($C$3="","",IF(MONTH((EDATE($C$4,240))+IF(WEEKDAY((EDATE($C$4,240)),2)=6,2,IF(WEEKDAY((EDATE($C$4,240)),2)=7,1,0)))&lt;&gt;MONTH(EDATE($C$4,240)),(EDATE($C$4,240))-IF(WEEKDAY((EDATE($C$4,240)),2)=6,1,IF(WEEKDAY((EDATE($C$4,240)),2)=7,2,0)),(EDATE($C$4,240))+IF(WEEKDAY((EDATE($C$4,240)),2)=6,2,IF(WEEKDAY((EDATE($C$4,240)),2)=7,1,0)))),"")</f>
        <v/>
      </c>
      <c r="N42">
        <f>IFERROR(IF(M42="","",(M42-$C$3)/365),"")</f>
        <v/>
      </c>
      <c r="O42">
        <f>IFERROR(IF(M42="","",(M42-$C$4)/360),"")</f>
        <v/>
      </c>
      <c r="P42">
        <f>IFERROR(IF(M42="","",(M42-M41)/360),"")</f>
        <v/>
      </c>
      <c r="Q42" t="n">
        <v>1</v>
      </c>
      <c r="R42">
        <f>IFERROR(IF(COUNTIF($A$8:$A$59,"20Y")&gt;0,1,0),"")</f>
        <v/>
      </c>
      <c r="S42" s="21">
        <f>IFERROR(IFERROR(INDEX($C$8:$C$59,MATCH("20Y",$A$8:$A$59,0)),INDEX($C$8:$C$59,MATCH("20Y",$A$8:$A$59,0))),"")</f>
        <v/>
      </c>
      <c r="U42" s="22">
        <f>IFERROR(IF(S42="","",AM42),"")</f>
        <v/>
      </c>
      <c r="V42">
        <f>IFERROR(IF(OR(U42="",Q42=0),0,P42*U42),"")</f>
        <v/>
      </c>
      <c r="X42" s="23">
        <f>IFERROR(IF(S42="","",U37*0.9),"")</f>
        <v/>
      </c>
      <c r="Y42" s="23">
        <f>IFERROR(IF(S42="","",(1-(S42/100)*(SUM($V$8:V37)+SUMPRODUCT($P$38:$P$41,$Q$38:$Q$41,U37*(X42/U37)^$T$38:$T$41)))/(1+(S42/100)*P42)),"")</f>
        <v/>
      </c>
      <c r="Z42" s="23">
        <f>IFERROR(IF(S42="","",(1-(S42/100)*(SUM($V$8:V37)+SUMPRODUCT($P$38:$P$41,$Q$38:$Q$41,U37*(Y42/U37)^$T$38:$T$41)))/(1+(S42/100)*P42)),"")</f>
        <v/>
      </c>
      <c r="AA42" s="23">
        <f>IFERROR(IF(S42="","",(1-(S42/100)*(SUM($V$8:V37)+SUMPRODUCT($P$38:$P$41,$Q$38:$Q$41,U37*(Z42/U37)^$T$38:$T$41)))/(1+(S42/100)*P42)),"")</f>
        <v/>
      </c>
      <c r="AB42" s="23">
        <f>IFERROR(IF(S42="","",(1-(S42/100)*(SUM($V$8:V37)+SUMPRODUCT($P$38:$P$41,$Q$38:$Q$41,U37*(AA42/U37)^$T$38:$T$41)))/(1+(S42/100)*P42)),"")</f>
        <v/>
      </c>
      <c r="AC42" s="23">
        <f>IFERROR(IF(S42="","",(1-(S42/100)*(SUM($V$8:V37)+SUMPRODUCT($P$38:$P$41,$Q$38:$Q$41,U37*(AB42/U37)^$T$38:$T$41)))/(1+(S42/100)*P42)),"")</f>
        <v/>
      </c>
      <c r="AD42" s="23">
        <f>IFERROR(IF(S42="","",(1-(S42/100)*(SUM($V$8:V37)+SUMPRODUCT($P$38:$P$41,$Q$38:$Q$41,U37*(AC42/U37)^$T$38:$T$41)))/(1+(S42/100)*P42)),"")</f>
        <v/>
      </c>
      <c r="AE42" s="23">
        <f>IFERROR(IF(S42="","",(1-(S42/100)*(SUM($V$8:V37)+SUMPRODUCT($P$38:$P$41,$Q$38:$Q$41,U37*(AD42/U37)^$T$38:$T$41)))/(1+(S42/100)*P42)),"")</f>
        <v/>
      </c>
      <c r="AF42" s="23">
        <f>IFERROR(IF(S42="","",(1-(S42/100)*(SUM($V$8:V37)+SUMPRODUCT($P$38:$P$41,$Q$38:$Q$41,U37*(AE42/U37)^$T$38:$T$41)))/(1+(S42/100)*P42)),"")</f>
        <v/>
      </c>
      <c r="AG42" s="23">
        <f>IFERROR(IF(S42="","",(1-(S42/100)*(SUM($V$8:V37)+SUMPRODUCT($P$38:$P$41,$Q$38:$Q$41,U37*(AF42/U37)^$T$38:$T$41)))/(1+(S42/100)*P42)),"")</f>
        <v/>
      </c>
      <c r="AH42" s="23">
        <f>IFERROR(IF(S42="","",(1-(S42/100)*(SUM($V$8:V37)+SUMPRODUCT($P$38:$P$41,$Q$38:$Q$41,U37*(AG42/U37)^$T$38:$T$41)))/(1+(S42/100)*P42)),"")</f>
        <v/>
      </c>
      <c r="AI42" s="23">
        <f>IFERROR(IF(S42="","",(1-(S42/100)*(SUM($V$8:V37)+SUMPRODUCT($P$38:$P$41,$Q$38:$Q$41,U37*(AH42/U37)^$T$38:$T$41)))/(1+(S42/100)*P42)),"")</f>
        <v/>
      </c>
      <c r="AJ42" s="23">
        <f>IFERROR(IF(S42="","",(1-(S42/100)*(SUM($V$8:V37)+SUMPRODUCT($P$38:$P$41,$Q$38:$Q$41,U37*(AI42/U37)^$T$38:$T$41)))/(1+(S42/100)*P42)),"")</f>
        <v/>
      </c>
      <c r="AK42" s="23">
        <f>IFERROR(IF(S42="","",(1-(S42/100)*(SUM($V$8:V37)+SUMPRODUCT($P$38:$P$41,$Q$38:$Q$41,U37*(AJ42/U37)^$T$38:$T$41)))/(1+(S42/100)*P42)),"")</f>
        <v/>
      </c>
      <c r="AL42" s="23">
        <f>IFERROR(IF(S42="","",(1-(S42/100)*(SUM($V$8:V37)+SUMPRODUCT($P$38:$P$41,$Q$38:$Q$41,U37*(AK42/U37)^$T$38:$T$41)))/(1+(S42/100)*P42)),"")</f>
        <v/>
      </c>
      <c r="AM42" s="23">
        <f>IFERROR(IF(S42="","",(1-(S42/100)*(SUM($V$8:V37)+SUMPRODUCT($P$38:$P$41,$Q$38:$Q$41,U37*(AL42/U37)^$T$38:$T$41)))/(1+(S42/100)*P42)),"")</f>
        <v/>
      </c>
    </row>
    <row r="43">
      <c r="A43" s="10" t="n"/>
      <c r="B43" s="11" t="n"/>
      <c r="C43" s="12" t="n"/>
      <c r="D43" s="12" t="n"/>
      <c r="E43" s="13" t="n"/>
      <c r="F43" s="14">
        <f>IF(OR($A43="",G43=""),"",-LN(G43)/INDEX($N$8:$N$72,IFERROR(MATCH($A43,$K$8:$K$72,0),MATCH(IF($A43="1Y","12M",IF($A43="12M","1Y",$A43)),$K$8:$K$72,0)))*100)</f>
        <v/>
      </c>
      <c r="G43" s="15">
        <f>IF($A43="","",IFERROR(INDEX($U$8:$U$72,IFERROR(MATCH($A43,$K$8:$K$72,0),MATCH(IF($A43="1Y","12M",IF($A43="12M","1Y",$A43)),$K$8:$K$72,0))),""))</f>
        <v/>
      </c>
      <c r="H43" s="16">
        <f>IF(OR(F43="",NOT(ISNUMBER(D43))),"",(F43-D43)*100)</f>
        <v/>
      </c>
      <c r="I43" s="17">
        <f>IF(OR(G43="",NOT(ISNUMBER(E43))),"",G43-E43)</f>
        <v/>
      </c>
      <c r="J43" s="18">
        <f>IF(OR($A43="",NOT(ISNUMBER($B43))),"",IF(ABS($B43-INDEX($M$8:$M$72,IFERROR(MATCH($A43,$K$8:$K$72,0),MATCH(IF($A43="1Y","12M",IF($A43="12M","1Y",$A43)),$K$8:$K$72,0))))&lt;=3,"ok","MISMATCH "&amp;TEXT(INDEX($M$8:$M$72,IFERROR(MATCH($A43,$K$8:$K$72,0),MATCH(IF($A43="1Y","12M",IF($A43="12M","1Y",$A43)),$K$8:$K$72,0))),"mm/dd/yy")))</f>
        <v/>
      </c>
      <c r="K43" s="19" t="inlineStr">
        <is>
          <t>21Y</t>
        </is>
      </c>
      <c r="L43" t="n">
        <v>21</v>
      </c>
      <c r="M43" s="20">
        <f>IFERROR(IF($C$3="","",IF(MONTH((EDATE($C$4,252))+IF(WEEKDAY((EDATE($C$4,252)),2)=6,2,IF(WEEKDAY((EDATE($C$4,252)),2)=7,1,0)))&lt;&gt;MONTH(EDATE($C$4,252)),(EDATE($C$4,252))-IF(WEEKDAY((EDATE($C$4,252)),2)=6,1,IF(WEEKDAY((EDATE($C$4,252)),2)=7,2,0)),(EDATE($C$4,252))+IF(WEEKDAY((EDATE($C$4,252)),2)=6,2,IF(WEEKDAY((EDATE($C$4,252)),2)=7,1,0)))),"")</f>
        <v/>
      </c>
      <c r="N43">
        <f>IFERROR(IF(M43="","",(M43-$C$3)/365),"")</f>
        <v/>
      </c>
      <c r="O43">
        <f>IFERROR(IF(M43="","",(M43-$C$4)/360),"")</f>
        <v/>
      </c>
      <c r="P43">
        <f>IFERROR(IF(M43="","",(M43-M42)/360),"")</f>
        <v/>
      </c>
      <c r="Q43" t="n">
        <v>1</v>
      </c>
      <c r="R43">
        <f>IFERROR(IF(COUNTIF($A$8:$A$59,"21Y")&gt;0,1,0),"")</f>
        <v/>
      </c>
      <c r="S43" s="21">
        <f>IFERROR(IF(R43=1,IFERROR(INDEX($C$8:$C$59,MATCH("21Y",$A$8:$A$59,0)),INDEX($C$8:$C$59,MATCH("21Y",$A$8:$A$59,0))),S42+(S47-S42)*0.2000000000),"")</f>
        <v/>
      </c>
      <c r="T43">
        <f>IFERROR(IF(OR(N43="",N47=""),"",(N43-N42)/(N47-N42)),"")</f>
        <v/>
      </c>
      <c r="U43" s="22">
        <f>IFERROR(IF(OR(T43="",U47=""),"",U42*(U47/U42)^T43),"")</f>
        <v/>
      </c>
      <c r="V43">
        <f>IFERROR(IF(OR(U43="",Q43=0),0,P43*U43),"")</f>
        <v/>
      </c>
    </row>
    <row r="44">
      <c r="A44" s="10" t="n"/>
      <c r="B44" s="11" t="n"/>
      <c r="C44" s="12" t="n"/>
      <c r="D44" s="12" t="n"/>
      <c r="E44" s="13" t="n"/>
      <c r="F44" s="14">
        <f>IF(OR($A44="",G44=""),"",-LN(G44)/INDEX($N$8:$N$72,IFERROR(MATCH($A44,$K$8:$K$72,0),MATCH(IF($A44="1Y","12M",IF($A44="12M","1Y",$A44)),$K$8:$K$72,0)))*100)</f>
        <v/>
      </c>
      <c r="G44" s="15">
        <f>IF($A44="","",IFERROR(INDEX($U$8:$U$72,IFERROR(MATCH($A44,$K$8:$K$72,0),MATCH(IF($A44="1Y","12M",IF($A44="12M","1Y",$A44)),$K$8:$K$72,0))),""))</f>
        <v/>
      </c>
      <c r="H44" s="16">
        <f>IF(OR(F44="",NOT(ISNUMBER(D44))),"",(F44-D44)*100)</f>
        <v/>
      </c>
      <c r="I44" s="17">
        <f>IF(OR(G44="",NOT(ISNUMBER(E44))),"",G44-E44)</f>
        <v/>
      </c>
      <c r="J44" s="18">
        <f>IF(OR($A44="",NOT(ISNUMBER($B44))),"",IF(ABS($B44-INDEX($M$8:$M$72,IFERROR(MATCH($A44,$K$8:$K$72,0),MATCH(IF($A44="1Y","12M",IF($A44="12M","1Y",$A44)),$K$8:$K$72,0))))&lt;=3,"ok","MISMATCH "&amp;TEXT(INDEX($M$8:$M$72,IFERROR(MATCH($A44,$K$8:$K$72,0),MATCH(IF($A44="1Y","12M",IF($A44="12M","1Y",$A44)),$K$8:$K$72,0))),"mm/dd/yy")))</f>
        <v/>
      </c>
      <c r="K44" s="19" t="inlineStr">
        <is>
          <t>22Y</t>
        </is>
      </c>
      <c r="L44" t="n">
        <v>22</v>
      </c>
      <c r="M44" s="20">
        <f>IFERROR(IF($C$3="","",IF(MONTH((EDATE($C$4,264))+IF(WEEKDAY((EDATE($C$4,264)),2)=6,2,IF(WEEKDAY((EDATE($C$4,264)),2)=7,1,0)))&lt;&gt;MONTH(EDATE($C$4,264)),(EDATE($C$4,264))-IF(WEEKDAY((EDATE($C$4,264)),2)=6,1,IF(WEEKDAY((EDATE($C$4,264)),2)=7,2,0)),(EDATE($C$4,264))+IF(WEEKDAY((EDATE($C$4,264)),2)=6,2,IF(WEEKDAY((EDATE($C$4,264)),2)=7,1,0)))),"")</f>
        <v/>
      </c>
      <c r="N44">
        <f>IFERROR(IF(M44="","",(M44-$C$3)/365),"")</f>
        <v/>
      </c>
      <c r="O44">
        <f>IFERROR(IF(M44="","",(M44-$C$4)/360),"")</f>
        <v/>
      </c>
      <c r="P44">
        <f>IFERROR(IF(M44="","",(M44-M43)/360),"")</f>
        <v/>
      </c>
      <c r="Q44" t="n">
        <v>1</v>
      </c>
      <c r="R44">
        <f>IFERROR(IF(COUNTIF($A$8:$A$59,"22Y")&gt;0,1,0),"")</f>
        <v/>
      </c>
      <c r="S44" s="21">
        <f>IFERROR(IF(R44=1,IFERROR(INDEX($C$8:$C$59,MATCH("22Y",$A$8:$A$59,0)),INDEX($C$8:$C$59,MATCH("22Y",$A$8:$A$59,0))),S42+(S47-S42)*0.4000000000),"")</f>
        <v/>
      </c>
      <c r="T44">
        <f>IFERROR(IF(OR(N44="",N47=""),"",(N44-N42)/(N47-N42)),"")</f>
        <v/>
      </c>
      <c r="U44" s="22">
        <f>IFERROR(IF(OR(T44="",U47=""),"",U42*(U47/U42)^T44),"")</f>
        <v/>
      </c>
      <c r="V44">
        <f>IFERROR(IF(OR(U44="",Q44=0),0,P44*U44),"")</f>
        <v/>
      </c>
    </row>
    <row r="45">
      <c r="A45" s="10" t="n"/>
      <c r="B45" s="11" t="n"/>
      <c r="C45" s="12" t="n"/>
      <c r="D45" s="12" t="n"/>
      <c r="E45" s="13" t="n"/>
      <c r="F45" s="14">
        <f>IF(OR($A45="",G45=""),"",-LN(G45)/INDEX($N$8:$N$72,IFERROR(MATCH($A45,$K$8:$K$72,0),MATCH(IF($A45="1Y","12M",IF($A45="12M","1Y",$A45)),$K$8:$K$72,0)))*100)</f>
        <v/>
      </c>
      <c r="G45" s="15">
        <f>IF($A45="","",IFERROR(INDEX($U$8:$U$72,IFERROR(MATCH($A45,$K$8:$K$72,0),MATCH(IF($A45="1Y","12M",IF($A45="12M","1Y",$A45)),$K$8:$K$72,0))),""))</f>
        <v/>
      </c>
      <c r="H45" s="16">
        <f>IF(OR(F45="",NOT(ISNUMBER(D45))),"",(F45-D45)*100)</f>
        <v/>
      </c>
      <c r="I45" s="17">
        <f>IF(OR(G45="",NOT(ISNUMBER(E45))),"",G45-E45)</f>
        <v/>
      </c>
      <c r="J45" s="18">
        <f>IF(OR($A45="",NOT(ISNUMBER($B45))),"",IF(ABS($B45-INDEX($M$8:$M$72,IFERROR(MATCH($A45,$K$8:$K$72,0),MATCH(IF($A45="1Y","12M",IF($A45="12M","1Y",$A45)),$K$8:$K$72,0))))&lt;=3,"ok","MISMATCH "&amp;TEXT(INDEX($M$8:$M$72,IFERROR(MATCH($A45,$K$8:$K$72,0),MATCH(IF($A45="1Y","12M",IF($A45="12M","1Y",$A45)),$K$8:$K$72,0))),"mm/dd/yy")))</f>
        <v/>
      </c>
      <c r="K45" s="19" t="inlineStr">
        <is>
          <t>23Y</t>
        </is>
      </c>
      <c r="L45" t="n">
        <v>23</v>
      </c>
      <c r="M45" s="20">
        <f>IFERROR(IF($C$3="","",IF(MONTH((EDATE($C$4,276))+IF(WEEKDAY((EDATE($C$4,276)),2)=6,2,IF(WEEKDAY((EDATE($C$4,276)),2)=7,1,0)))&lt;&gt;MONTH(EDATE($C$4,276)),(EDATE($C$4,276))-IF(WEEKDAY((EDATE($C$4,276)),2)=6,1,IF(WEEKDAY((EDATE($C$4,276)),2)=7,2,0)),(EDATE($C$4,276))+IF(WEEKDAY((EDATE($C$4,276)),2)=6,2,IF(WEEKDAY((EDATE($C$4,276)),2)=7,1,0)))),"")</f>
        <v/>
      </c>
      <c r="N45">
        <f>IFERROR(IF(M45="","",(M45-$C$3)/365),"")</f>
        <v/>
      </c>
      <c r="O45">
        <f>IFERROR(IF(M45="","",(M45-$C$4)/360),"")</f>
        <v/>
      </c>
      <c r="P45">
        <f>IFERROR(IF(M45="","",(M45-M44)/360),"")</f>
        <v/>
      </c>
      <c r="Q45" t="n">
        <v>1</v>
      </c>
      <c r="R45">
        <f>IFERROR(IF(COUNTIF($A$8:$A$59,"23Y")&gt;0,1,0),"")</f>
        <v/>
      </c>
      <c r="S45" s="21">
        <f>IFERROR(IF(R45=1,IFERROR(INDEX($C$8:$C$59,MATCH("23Y",$A$8:$A$59,0)),INDEX($C$8:$C$59,MATCH("23Y",$A$8:$A$59,0))),S42+(S47-S42)*0.6000000000),"")</f>
        <v/>
      </c>
      <c r="T45">
        <f>IFERROR(IF(OR(N45="",N47=""),"",(N45-N42)/(N47-N42)),"")</f>
        <v/>
      </c>
      <c r="U45" s="22">
        <f>IFERROR(IF(OR(T45="",U47=""),"",U42*(U47/U42)^T45),"")</f>
        <v/>
      </c>
      <c r="V45">
        <f>IFERROR(IF(OR(U45="",Q45=0),0,P45*U45),"")</f>
        <v/>
      </c>
    </row>
    <row r="46">
      <c r="A46" s="10" t="n"/>
      <c r="B46" s="11" t="n"/>
      <c r="C46" s="12" t="n"/>
      <c r="D46" s="12" t="n"/>
      <c r="E46" s="13" t="n"/>
      <c r="F46" s="14">
        <f>IF(OR($A46="",G46=""),"",-LN(G46)/INDEX($N$8:$N$72,IFERROR(MATCH($A46,$K$8:$K$72,0),MATCH(IF($A46="1Y","12M",IF($A46="12M","1Y",$A46)),$K$8:$K$72,0)))*100)</f>
        <v/>
      </c>
      <c r="G46" s="15">
        <f>IF($A46="","",IFERROR(INDEX($U$8:$U$72,IFERROR(MATCH($A46,$K$8:$K$72,0),MATCH(IF($A46="1Y","12M",IF($A46="12M","1Y",$A46)),$K$8:$K$72,0))),""))</f>
        <v/>
      </c>
      <c r="H46" s="16">
        <f>IF(OR(F46="",NOT(ISNUMBER(D46))),"",(F46-D46)*100)</f>
        <v/>
      </c>
      <c r="I46" s="17">
        <f>IF(OR(G46="",NOT(ISNUMBER(E46))),"",G46-E46)</f>
        <v/>
      </c>
      <c r="J46" s="18">
        <f>IF(OR($A46="",NOT(ISNUMBER($B46))),"",IF(ABS($B46-INDEX($M$8:$M$72,IFERROR(MATCH($A46,$K$8:$K$72,0),MATCH(IF($A46="1Y","12M",IF($A46="12M","1Y",$A46)),$K$8:$K$72,0))))&lt;=3,"ok","MISMATCH "&amp;TEXT(INDEX($M$8:$M$72,IFERROR(MATCH($A46,$K$8:$K$72,0),MATCH(IF($A46="1Y","12M",IF($A46="12M","1Y",$A46)),$K$8:$K$72,0))),"mm/dd/yy")))</f>
        <v/>
      </c>
      <c r="K46" s="19" t="inlineStr">
        <is>
          <t>24Y</t>
        </is>
      </c>
      <c r="L46" t="n">
        <v>24</v>
      </c>
      <c r="M46" s="20">
        <f>IFERROR(IF($C$3="","",IF(MONTH((EDATE($C$4,288))+IF(WEEKDAY((EDATE($C$4,288)),2)=6,2,IF(WEEKDAY((EDATE($C$4,288)),2)=7,1,0)))&lt;&gt;MONTH(EDATE($C$4,288)),(EDATE($C$4,288))-IF(WEEKDAY((EDATE($C$4,288)),2)=6,1,IF(WEEKDAY((EDATE($C$4,288)),2)=7,2,0)),(EDATE($C$4,288))+IF(WEEKDAY((EDATE($C$4,288)),2)=6,2,IF(WEEKDAY((EDATE($C$4,288)),2)=7,1,0)))),"")</f>
        <v/>
      </c>
      <c r="N46">
        <f>IFERROR(IF(M46="","",(M46-$C$3)/365),"")</f>
        <v/>
      </c>
      <c r="O46">
        <f>IFERROR(IF(M46="","",(M46-$C$4)/360),"")</f>
        <v/>
      </c>
      <c r="P46">
        <f>IFERROR(IF(M46="","",(M46-M45)/360),"")</f>
        <v/>
      </c>
      <c r="Q46" t="n">
        <v>1</v>
      </c>
      <c r="R46">
        <f>IFERROR(IF(COUNTIF($A$8:$A$59,"24Y")&gt;0,1,0),"")</f>
        <v/>
      </c>
      <c r="S46" s="21">
        <f>IFERROR(IF(R46=1,IFERROR(INDEX($C$8:$C$59,MATCH("24Y",$A$8:$A$59,0)),INDEX($C$8:$C$59,MATCH("24Y",$A$8:$A$59,0))),S42+(S47-S42)*0.8000000000),"")</f>
        <v/>
      </c>
      <c r="T46">
        <f>IFERROR(IF(OR(N46="",N47=""),"",(N46-N42)/(N47-N42)),"")</f>
        <v/>
      </c>
      <c r="U46" s="22">
        <f>IFERROR(IF(OR(T46="",U47=""),"",U42*(U47/U42)^T46),"")</f>
        <v/>
      </c>
      <c r="V46">
        <f>IFERROR(IF(OR(U46="",Q46=0),0,P46*U46),"")</f>
        <v/>
      </c>
    </row>
    <row r="47">
      <c r="A47" s="10" t="n"/>
      <c r="B47" s="11" t="n"/>
      <c r="C47" s="12" t="n"/>
      <c r="D47" s="12" t="n"/>
      <c r="E47" s="13" t="n"/>
      <c r="F47" s="14">
        <f>IF(OR($A47="",G47=""),"",-LN(G47)/INDEX($N$8:$N$72,IFERROR(MATCH($A47,$K$8:$K$72,0),MATCH(IF($A47="1Y","12M",IF($A47="12M","1Y",$A47)),$K$8:$K$72,0)))*100)</f>
        <v/>
      </c>
      <c r="G47" s="15">
        <f>IF($A47="","",IFERROR(INDEX($U$8:$U$72,IFERROR(MATCH($A47,$K$8:$K$72,0),MATCH(IF($A47="1Y","12M",IF($A47="12M","1Y",$A47)),$K$8:$K$72,0))),""))</f>
        <v/>
      </c>
      <c r="H47" s="16">
        <f>IF(OR(F47="",NOT(ISNUMBER(D47))),"",(F47-D47)*100)</f>
        <v/>
      </c>
      <c r="I47" s="17">
        <f>IF(OR(G47="",NOT(ISNUMBER(E47))),"",G47-E47)</f>
        <v/>
      </c>
      <c r="J47" s="18">
        <f>IF(OR($A47="",NOT(ISNUMBER($B47))),"",IF(ABS($B47-INDEX($M$8:$M$72,IFERROR(MATCH($A47,$K$8:$K$72,0),MATCH(IF($A47="1Y","12M",IF($A47="12M","1Y",$A47)),$K$8:$K$72,0))))&lt;=3,"ok","MISMATCH "&amp;TEXT(INDEX($M$8:$M$72,IFERROR(MATCH($A47,$K$8:$K$72,0),MATCH(IF($A47="1Y","12M",IF($A47="12M","1Y",$A47)),$K$8:$K$72,0))),"mm/dd/yy")))</f>
        <v/>
      </c>
      <c r="K47" s="19" t="inlineStr">
        <is>
          <t>25Y</t>
        </is>
      </c>
      <c r="L47" t="n">
        <v>25</v>
      </c>
      <c r="M47" s="20">
        <f>IFERROR(IF($C$3="","",IF(MONTH((EDATE($C$4,300))+IF(WEEKDAY((EDATE($C$4,300)),2)=6,2,IF(WEEKDAY((EDATE($C$4,300)),2)=7,1,0)))&lt;&gt;MONTH(EDATE($C$4,300)),(EDATE($C$4,300))-IF(WEEKDAY((EDATE($C$4,300)),2)=6,1,IF(WEEKDAY((EDATE($C$4,300)),2)=7,2,0)),(EDATE($C$4,300))+IF(WEEKDAY((EDATE($C$4,300)),2)=6,2,IF(WEEKDAY((EDATE($C$4,300)),2)=7,1,0)))),"")</f>
        <v/>
      </c>
      <c r="N47">
        <f>IFERROR(IF(M47="","",(M47-$C$3)/365),"")</f>
        <v/>
      </c>
      <c r="O47">
        <f>IFERROR(IF(M47="","",(M47-$C$4)/360),"")</f>
        <v/>
      </c>
      <c r="P47">
        <f>IFERROR(IF(M47="","",(M47-M46)/360),"")</f>
        <v/>
      </c>
      <c r="Q47" t="n">
        <v>1</v>
      </c>
      <c r="R47">
        <f>IFERROR(IF(COUNTIF($A$8:$A$59,"25Y")&gt;0,1,0),"")</f>
        <v/>
      </c>
      <c r="S47" s="21">
        <f>IFERROR(IFERROR(INDEX($C$8:$C$59,MATCH("25Y",$A$8:$A$59,0)),INDEX($C$8:$C$59,MATCH("25Y",$A$8:$A$59,0))),"")</f>
        <v/>
      </c>
      <c r="U47" s="22">
        <f>IFERROR(IF(S47="","",AM47),"")</f>
        <v/>
      </c>
      <c r="V47">
        <f>IFERROR(IF(OR(U47="",Q47=0),0,P47*U47),"")</f>
        <v/>
      </c>
      <c r="X47" s="23">
        <f>IFERROR(IF(S47="","",U42*0.9),"")</f>
        <v/>
      </c>
      <c r="Y47" s="23">
        <f>IFERROR(IF(S47="","",(1-(S47/100)*(SUM($V$8:V42)+SUMPRODUCT($P$43:$P$46,$Q$43:$Q$46,U42*(X47/U42)^$T$43:$T$46)))/(1+(S47/100)*P47)),"")</f>
        <v/>
      </c>
      <c r="Z47" s="23">
        <f>IFERROR(IF(S47="","",(1-(S47/100)*(SUM($V$8:V42)+SUMPRODUCT($P$43:$P$46,$Q$43:$Q$46,U42*(Y47/U42)^$T$43:$T$46)))/(1+(S47/100)*P47)),"")</f>
        <v/>
      </c>
      <c r="AA47" s="23">
        <f>IFERROR(IF(S47="","",(1-(S47/100)*(SUM($V$8:V42)+SUMPRODUCT($P$43:$P$46,$Q$43:$Q$46,U42*(Z47/U42)^$T$43:$T$46)))/(1+(S47/100)*P47)),"")</f>
        <v/>
      </c>
      <c r="AB47" s="23">
        <f>IFERROR(IF(S47="","",(1-(S47/100)*(SUM($V$8:V42)+SUMPRODUCT($P$43:$P$46,$Q$43:$Q$46,U42*(AA47/U42)^$T$43:$T$46)))/(1+(S47/100)*P47)),"")</f>
        <v/>
      </c>
      <c r="AC47" s="23">
        <f>IFERROR(IF(S47="","",(1-(S47/100)*(SUM($V$8:V42)+SUMPRODUCT($P$43:$P$46,$Q$43:$Q$46,U42*(AB47/U42)^$T$43:$T$46)))/(1+(S47/100)*P47)),"")</f>
        <v/>
      </c>
      <c r="AD47" s="23">
        <f>IFERROR(IF(S47="","",(1-(S47/100)*(SUM($V$8:V42)+SUMPRODUCT($P$43:$P$46,$Q$43:$Q$46,U42*(AC47/U42)^$T$43:$T$46)))/(1+(S47/100)*P47)),"")</f>
        <v/>
      </c>
      <c r="AE47" s="23">
        <f>IFERROR(IF(S47="","",(1-(S47/100)*(SUM($V$8:V42)+SUMPRODUCT($P$43:$P$46,$Q$43:$Q$46,U42*(AD47/U42)^$T$43:$T$46)))/(1+(S47/100)*P47)),"")</f>
        <v/>
      </c>
      <c r="AF47" s="23">
        <f>IFERROR(IF(S47="","",(1-(S47/100)*(SUM($V$8:V42)+SUMPRODUCT($P$43:$P$46,$Q$43:$Q$46,U42*(AE47/U42)^$T$43:$T$46)))/(1+(S47/100)*P47)),"")</f>
        <v/>
      </c>
      <c r="AG47" s="23">
        <f>IFERROR(IF(S47="","",(1-(S47/100)*(SUM($V$8:V42)+SUMPRODUCT($P$43:$P$46,$Q$43:$Q$46,U42*(AF47/U42)^$T$43:$T$46)))/(1+(S47/100)*P47)),"")</f>
        <v/>
      </c>
      <c r="AH47" s="23">
        <f>IFERROR(IF(S47="","",(1-(S47/100)*(SUM($V$8:V42)+SUMPRODUCT($P$43:$P$46,$Q$43:$Q$46,U42*(AG47/U42)^$T$43:$T$46)))/(1+(S47/100)*P47)),"")</f>
        <v/>
      </c>
      <c r="AI47" s="23">
        <f>IFERROR(IF(S47="","",(1-(S47/100)*(SUM($V$8:V42)+SUMPRODUCT($P$43:$P$46,$Q$43:$Q$46,U42*(AH47/U42)^$T$43:$T$46)))/(1+(S47/100)*P47)),"")</f>
        <v/>
      </c>
      <c r="AJ47" s="23">
        <f>IFERROR(IF(S47="","",(1-(S47/100)*(SUM($V$8:V42)+SUMPRODUCT($P$43:$P$46,$Q$43:$Q$46,U42*(AI47/U42)^$T$43:$T$46)))/(1+(S47/100)*P47)),"")</f>
        <v/>
      </c>
      <c r="AK47" s="23">
        <f>IFERROR(IF(S47="","",(1-(S47/100)*(SUM($V$8:V42)+SUMPRODUCT($P$43:$P$46,$Q$43:$Q$46,U42*(AJ47/U42)^$T$43:$T$46)))/(1+(S47/100)*P47)),"")</f>
        <v/>
      </c>
      <c r="AL47" s="23">
        <f>IFERROR(IF(S47="","",(1-(S47/100)*(SUM($V$8:V42)+SUMPRODUCT($P$43:$P$46,$Q$43:$Q$46,U42*(AK47/U42)^$T$43:$T$46)))/(1+(S47/100)*P47)),"")</f>
        <v/>
      </c>
      <c r="AM47" s="23">
        <f>IFERROR(IF(S47="","",(1-(S47/100)*(SUM($V$8:V42)+SUMPRODUCT($P$43:$P$46,$Q$43:$Q$46,U42*(AL47/U42)^$T$43:$T$46)))/(1+(S47/100)*P47)),"")</f>
        <v/>
      </c>
    </row>
    <row r="48">
      <c r="A48" s="10" t="n"/>
      <c r="B48" s="11" t="n"/>
      <c r="C48" s="12" t="n"/>
      <c r="D48" s="12" t="n"/>
      <c r="E48" s="13" t="n"/>
      <c r="F48" s="14">
        <f>IF(OR($A48="",G48=""),"",-LN(G48)/INDEX($N$8:$N$72,IFERROR(MATCH($A48,$K$8:$K$72,0),MATCH(IF($A48="1Y","12M",IF($A48="12M","1Y",$A48)),$K$8:$K$72,0)))*100)</f>
        <v/>
      </c>
      <c r="G48" s="15">
        <f>IF($A48="","",IFERROR(INDEX($U$8:$U$72,IFERROR(MATCH($A48,$K$8:$K$72,0),MATCH(IF($A48="1Y","12M",IF($A48="12M","1Y",$A48)),$K$8:$K$72,0))),""))</f>
        <v/>
      </c>
      <c r="H48" s="16">
        <f>IF(OR(F48="",NOT(ISNUMBER(D48))),"",(F48-D48)*100)</f>
        <v/>
      </c>
      <c r="I48" s="17">
        <f>IF(OR(G48="",NOT(ISNUMBER(E48))),"",G48-E48)</f>
        <v/>
      </c>
      <c r="J48" s="18">
        <f>IF(OR($A48="",NOT(ISNUMBER($B48))),"",IF(ABS($B48-INDEX($M$8:$M$72,IFERROR(MATCH($A48,$K$8:$K$72,0),MATCH(IF($A48="1Y","12M",IF($A48="12M","1Y",$A48)),$K$8:$K$72,0))))&lt;=3,"ok","MISMATCH "&amp;TEXT(INDEX($M$8:$M$72,IFERROR(MATCH($A48,$K$8:$K$72,0),MATCH(IF($A48="1Y","12M",IF($A48="12M","1Y",$A48)),$K$8:$K$72,0))),"mm/dd/yy")))</f>
        <v/>
      </c>
      <c r="K48" s="19" t="inlineStr">
        <is>
          <t>26Y</t>
        </is>
      </c>
      <c r="L48" t="n">
        <v>26</v>
      </c>
      <c r="M48" s="20">
        <f>IFERROR(IF($C$3="","",IF(MONTH((EDATE($C$4,312))+IF(WEEKDAY((EDATE($C$4,312)),2)=6,2,IF(WEEKDAY((EDATE($C$4,312)),2)=7,1,0)))&lt;&gt;MONTH(EDATE($C$4,312)),(EDATE($C$4,312))-IF(WEEKDAY((EDATE($C$4,312)),2)=6,1,IF(WEEKDAY((EDATE($C$4,312)),2)=7,2,0)),(EDATE($C$4,312))+IF(WEEKDAY((EDATE($C$4,312)),2)=6,2,IF(WEEKDAY((EDATE($C$4,312)),2)=7,1,0)))),"")</f>
        <v/>
      </c>
      <c r="N48">
        <f>IFERROR(IF(M48="","",(M48-$C$3)/365),"")</f>
        <v/>
      </c>
      <c r="O48">
        <f>IFERROR(IF(M48="","",(M48-$C$4)/360),"")</f>
        <v/>
      </c>
      <c r="P48">
        <f>IFERROR(IF(M48="","",(M48-M47)/360),"")</f>
        <v/>
      </c>
      <c r="Q48" t="n">
        <v>1</v>
      </c>
      <c r="R48">
        <f>IFERROR(IF(COUNTIF($A$8:$A$59,"26Y")&gt;0,1,0),"")</f>
        <v/>
      </c>
      <c r="S48" s="21">
        <f>IFERROR(IF(R48=1,IFERROR(INDEX($C$8:$C$59,MATCH("26Y",$A$8:$A$59,0)),INDEX($C$8:$C$59,MATCH("26Y",$A$8:$A$59,0))),S47+(S52-S47)*0.2000000000),"")</f>
        <v/>
      </c>
      <c r="T48">
        <f>IFERROR(IF(OR(N48="",N52=""),"",(N48-N47)/(N52-N47)),"")</f>
        <v/>
      </c>
      <c r="U48" s="22">
        <f>IFERROR(IF(OR(T48="",U52=""),"",U47*(U52/U47)^T48),"")</f>
        <v/>
      </c>
      <c r="V48">
        <f>IFERROR(IF(OR(U48="",Q48=0),0,P48*U48),"")</f>
        <v/>
      </c>
    </row>
    <row r="49">
      <c r="A49" s="10" t="n"/>
      <c r="B49" s="11" t="n"/>
      <c r="C49" s="12" t="n"/>
      <c r="D49" s="12" t="n"/>
      <c r="E49" s="13" t="n"/>
      <c r="F49" s="14">
        <f>IF(OR($A49="",G49=""),"",-LN(G49)/INDEX($N$8:$N$72,IFERROR(MATCH($A49,$K$8:$K$72,0),MATCH(IF($A49="1Y","12M",IF($A49="12M","1Y",$A49)),$K$8:$K$72,0)))*100)</f>
        <v/>
      </c>
      <c r="G49" s="15">
        <f>IF($A49="","",IFERROR(INDEX($U$8:$U$72,IFERROR(MATCH($A49,$K$8:$K$72,0),MATCH(IF($A49="1Y","12M",IF($A49="12M","1Y",$A49)),$K$8:$K$72,0))),""))</f>
        <v/>
      </c>
      <c r="H49" s="16">
        <f>IF(OR(F49="",NOT(ISNUMBER(D49))),"",(F49-D49)*100)</f>
        <v/>
      </c>
      <c r="I49" s="17">
        <f>IF(OR(G49="",NOT(ISNUMBER(E49))),"",G49-E49)</f>
        <v/>
      </c>
      <c r="J49" s="18">
        <f>IF(OR($A49="",NOT(ISNUMBER($B49))),"",IF(ABS($B49-INDEX($M$8:$M$72,IFERROR(MATCH($A49,$K$8:$K$72,0),MATCH(IF($A49="1Y","12M",IF($A49="12M","1Y",$A49)),$K$8:$K$72,0))))&lt;=3,"ok","MISMATCH "&amp;TEXT(INDEX($M$8:$M$72,IFERROR(MATCH($A49,$K$8:$K$72,0),MATCH(IF($A49="1Y","12M",IF($A49="12M","1Y",$A49)),$K$8:$K$72,0))),"mm/dd/yy")))</f>
        <v/>
      </c>
      <c r="K49" s="19" t="inlineStr">
        <is>
          <t>27Y</t>
        </is>
      </c>
      <c r="L49" t="n">
        <v>27</v>
      </c>
      <c r="M49" s="20">
        <f>IFERROR(IF($C$3="","",IF(MONTH((EDATE($C$4,324))+IF(WEEKDAY((EDATE($C$4,324)),2)=6,2,IF(WEEKDAY((EDATE($C$4,324)),2)=7,1,0)))&lt;&gt;MONTH(EDATE($C$4,324)),(EDATE($C$4,324))-IF(WEEKDAY((EDATE($C$4,324)),2)=6,1,IF(WEEKDAY((EDATE($C$4,324)),2)=7,2,0)),(EDATE($C$4,324))+IF(WEEKDAY((EDATE($C$4,324)),2)=6,2,IF(WEEKDAY((EDATE($C$4,324)),2)=7,1,0)))),"")</f>
        <v/>
      </c>
      <c r="N49">
        <f>IFERROR(IF(M49="","",(M49-$C$3)/365),"")</f>
        <v/>
      </c>
      <c r="O49">
        <f>IFERROR(IF(M49="","",(M49-$C$4)/360),"")</f>
        <v/>
      </c>
      <c r="P49">
        <f>IFERROR(IF(M49="","",(M49-M48)/360),"")</f>
        <v/>
      </c>
      <c r="Q49" t="n">
        <v>1</v>
      </c>
      <c r="R49">
        <f>IFERROR(IF(COUNTIF($A$8:$A$59,"27Y")&gt;0,1,0),"")</f>
        <v/>
      </c>
      <c r="S49" s="21">
        <f>IFERROR(IF(R49=1,IFERROR(INDEX($C$8:$C$59,MATCH("27Y",$A$8:$A$59,0)),INDEX($C$8:$C$59,MATCH("27Y",$A$8:$A$59,0))),S47+(S52-S47)*0.4000000000),"")</f>
        <v/>
      </c>
      <c r="T49">
        <f>IFERROR(IF(OR(N49="",N52=""),"",(N49-N47)/(N52-N47)),"")</f>
        <v/>
      </c>
      <c r="U49" s="22">
        <f>IFERROR(IF(OR(T49="",U52=""),"",U47*(U52/U47)^T49),"")</f>
        <v/>
      </c>
      <c r="V49">
        <f>IFERROR(IF(OR(U49="",Q49=0),0,P49*U49),"")</f>
        <v/>
      </c>
    </row>
    <row r="50">
      <c r="A50" s="10" t="n"/>
      <c r="B50" s="11" t="n"/>
      <c r="C50" s="12" t="n"/>
      <c r="D50" s="12" t="n"/>
      <c r="E50" s="13" t="n"/>
      <c r="F50" s="14">
        <f>IF(OR($A50="",G50=""),"",-LN(G50)/INDEX($N$8:$N$72,IFERROR(MATCH($A50,$K$8:$K$72,0),MATCH(IF($A50="1Y","12M",IF($A50="12M","1Y",$A50)),$K$8:$K$72,0)))*100)</f>
        <v/>
      </c>
      <c r="G50" s="15">
        <f>IF($A50="","",IFERROR(INDEX($U$8:$U$72,IFERROR(MATCH($A50,$K$8:$K$72,0),MATCH(IF($A50="1Y","12M",IF($A50="12M","1Y",$A50)),$K$8:$K$72,0))),""))</f>
        <v/>
      </c>
      <c r="H50" s="16">
        <f>IF(OR(F50="",NOT(ISNUMBER(D50))),"",(F50-D50)*100)</f>
        <v/>
      </c>
      <c r="I50" s="17">
        <f>IF(OR(G50="",NOT(ISNUMBER(E50))),"",G50-E50)</f>
        <v/>
      </c>
      <c r="J50" s="18">
        <f>IF(OR($A50="",NOT(ISNUMBER($B50))),"",IF(ABS($B50-INDEX($M$8:$M$72,IFERROR(MATCH($A50,$K$8:$K$72,0),MATCH(IF($A50="1Y","12M",IF($A50="12M","1Y",$A50)),$K$8:$K$72,0))))&lt;=3,"ok","MISMATCH "&amp;TEXT(INDEX($M$8:$M$72,IFERROR(MATCH($A50,$K$8:$K$72,0),MATCH(IF($A50="1Y","12M",IF($A50="12M","1Y",$A50)),$K$8:$K$72,0))),"mm/dd/yy")))</f>
        <v/>
      </c>
      <c r="K50" s="19" t="inlineStr">
        <is>
          <t>28Y</t>
        </is>
      </c>
      <c r="L50" t="n">
        <v>28</v>
      </c>
      <c r="M50" s="20">
        <f>IFERROR(IF($C$3="","",IF(MONTH((EDATE($C$4,336))+IF(WEEKDAY((EDATE($C$4,336)),2)=6,2,IF(WEEKDAY((EDATE($C$4,336)),2)=7,1,0)))&lt;&gt;MONTH(EDATE($C$4,336)),(EDATE($C$4,336))-IF(WEEKDAY((EDATE($C$4,336)),2)=6,1,IF(WEEKDAY((EDATE($C$4,336)),2)=7,2,0)),(EDATE($C$4,336))+IF(WEEKDAY((EDATE($C$4,336)),2)=6,2,IF(WEEKDAY((EDATE($C$4,336)),2)=7,1,0)))),"")</f>
        <v/>
      </c>
      <c r="N50">
        <f>IFERROR(IF(M50="","",(M50-$C$3)/365),"")</f>
        <v/>
      </c>
      <c r="O50">
        <f>IFERROR(IF(M50="","",(M50-$C$4)/360),"")</f>
        <v/>
      </c>
      <c r="P50">
        <f>IFERROR(IF(M50="","",(M50-M49)/360),"")</f>
        <v/>
      </c>
      <c r="Q50" t="n">
        <v>1</v>
      </c>
      <c r="R50">
        <f>IFERROR(IF(COUNTIF($A$8:$A$59,"28Y")&gt;0,1,0),"")</f>
        <v/>
      </c>
      <c r="S50" s="21">
        <f>IFERROR(IF(R50=1,IFERROR(INDEX($C$8:$C$59,MATCH("28Y",$A$8:$A$59,0)),INDEX($C$8:$C$59,MATCH("28Y",$A$8:$A$59,0))),S47+(S52-S47)*0.6000000000),"")</f>
        <v/>
      </c>
      <c r="T50">
        <f>IFERROR(IF(OR(N50="",N52=""),"",(N50-N47)/(N52-N47)),"")</f>
        <v/>
      </c>
      <c r="U50" s="22">
        <f>IFERROR(IF(OR(T50="",U52=""),"",U47*(U52/U47)^T50),"")</f>
        <v/>
      </c>
      <c r="V50">
        <f>IFERROR(IF(OR(U50="",Q50=0),0,P50*U50),"")</f>
        <v/>
      </c>
    </row>
    <row r="51">
      <c r="A51" s="10" t="n"/>
      <c r="B51" s="11" t="n"/>
      <c r="C51" s="12" t="n"/>
      <c r="D51" s="12" t="n"/>
      <c r="E51" s="13" t="n"/>
      <c r="F51" s="14">
        <f>IF(OR($A51="",G51=""),"",-LN(G51)/INDEX($N$8:$N$72,IFERROR(MATCH($A51,$K$8:$K$72,0),MATCH(IF($A51="1Y","12M",IF($A51="12M","1Y",$A51)),$K$8:$K$72,0)))*100)</f>
        <v/>
      </c>
      <c r="G51" s="15">
        <f>IF($A51="","",IFERROR(INDEX($U$8:$U$72,IFERROR(MATCH($A51,$K$8:$K$72,0),MATCH(IF($A51="1Y","12M",IF($A51="12M","1Y",$A51)),$K$8:$K$72,0))),""))</f>
        <v/>
      </c>
      <c r="H51" s="16">
        <f>IF(OR(F51="",NOT(ISNUMBER(D51))),"",(F51-D51)*100)</f>
        <v/>
      </c>
      <c r="I51" s="17">
        <f>IF(OR(G51="",NOT(ISNUMBER(E51))),"",G51-E51)</f>
        <v/>
      </c>
      <c r="J51" s="18">
        <f>IF(OR($A51="",NOT(ISNUMBER($B51))),"",IF(ABS($B51-INDEX($M$8:$M$72,IFERROR(MATCH($A51,$K$8:$K$72,0),MATCH(IF($A51="1Y","12M",IF($A51="12M","1Y",$A51)),$K$8:$K$72,0))))&lt;=3,"ok","MISMATCH "&amp;TEXT(INDEX($M$8:$M$72,IFERROR(MATCH($A51,$K$8:$K$72,0),MATCH(IF($A51="1Y","12M",IF($A51="12M","1Y",$A51)),$K$8:$K$72,0))),"mm/dd/yy")))</f>
        <v/>
      </c>
      <c r="K51" s="19" t="inlineStr">
        <is>
          <t>29Y</t>
        </is>
      </c>
      <c r="L51" t="n">
        <v>29</v>
      </c>
      <c r="M51" s="20">
        <f>IFERROR(IF($C$3="","",IF(MONTH((EDATE($C$4,348))+IF(WEEKDAY((EDATE($C$4,348)),2)=6,2,IF(WEEKDAY((EDATE($C$4,348)),2)=7,1,0)))&lt;&gt;MONTH(EDATE($C$4,348)),(EDATE($C$4,348))-IF(WEEKDAY((EDATE($C$4,348)),2)=6,1,IF(WEEKDAY((EDATE($C$4,348)),2)=7,2,0)),(EDATE($C$4,348))+IF(WEEKDAY((EDATE($C$4,348)),2)=6,2,IF(WEEKDAY((EDATE($C$4,348)),2)=7,1,0)))),"")</f>
        <v/>
      </c>
      <c r="N51">
        <f>IFERROR(IF(M51="","",(M51-$C$3)/365),"")</f>
        <v/>
      </c>
      <c r="O51">
        <f>IFERROR(IF(M51="","",(M51-$C$4)/360),"")</f>
        <v/>
      </c>
      <c r="P51">
        <f>IFERROR(IF(M51="","",(M51-M50)/360),"")</f>
        <v/>
      </c>
      <c r="Q51" t="n">
        <v>1</v>
      </c>
      <c r="R51">
        <f>IFERROR(IF(COUNTIF($A$8:$A$59,"29Y")&gt;0,1,0),"")</f>
        <v/>
      </c>
      <c r="S51" s="21">
        <f>IFERROR(IF(R51=1,IFERROR(INDEX($C$8:$C$59,MATCH("29Y",$A$8:$A$59,0)),INDEX($C$8:$C$59,MATCH("29Y",$A$8:$A$59,0))),S47+(S52-S47)*0.8000000000),"")</f>
        <v/>
      </c>
      <c r="T51">
        <f>IFERROR(IF(OR(N51="",N52=""),"",(N51-N47)/(N52-N47)),"")</f>
        <v/>
      </c>
      <c r="U51" s="22">
        <f>IFERROR(IF(OR(T51="",U52=""),"",U47*(U52/U47)^T51),"")</f>
        <v/>
      </c>
      <c r="V51">
        <f>IFERROR(IF(OR(U51="",Q51=0),0,P51*U51),"")</f>
        <v/>
      </c>
    </row>
    <row r="52">
      <c r="A52" s="10" t="n"/>
      <c r="B52" s="11" t="n"/>
      <c r="C52" s="12" t="n"/>
      <c r="D52" s="12" t="n"/>
      <c r="E52" s="13" t="n"/>
      <c r="F52" s="14">
        <f>IF(OR($A52="",G52=""),"",-LN(G52)/INDEX($N$8:$N$72,IFERROR(MATCH($A52,$K$8:$K$72,0),MATCH(IF($A52="1Y","12M",IF($A52="12M","1Y",$A52)),$K$8:$K$72,0)))*100)</f>
        <v/>
      </c>
      <c r="G52" s="15">
        <f>IF($A52="","",IFERROR(INDEX($U$8:$U$72,IFERROR(MATCH($A52,$K$8:$K$72,0),MATCH(IF($A52="1Y","12M",IF($A52="12M","1Y",$A52)),$K$8:$K$72,0))),""))</f>
        <v/>
      </c>
      <c r="H52" s="16">
        <f>IF(OR(F52="",NOT(ISNUMBER(D52))),"",(F52-D52)*100)</f>
        <v/>
      </c>
      <c r="I52" s="17">
        <f>IF(OR(G52="",NOT(ISNUMBER(E52))),"",G52-E52)</f>
        <v/>
      </c>
      <c r="J52" s="18">
        <f>IF(OR($A52="",NOT(ISNUMBER($B52))),"",IF(ABS($B52-INDEX($M$8:$M$72,IFERROR(MATCH($A52,$K$8:$K$72,0),MATCH(IF($A52="1Y","12M",IF($A52="12M","1Y",$A52)),$K$8:$K$72,0))))&lt;=3,"ok","MISMATCH "&amp;TEXT(INDEX($M$8:$M$72,IFERROR(MATCH($A52,$K$8:$K$72,0),MATCH(IF($A52="1Y","12M",IF($A52="12M","1Y",$A52)),$K$8:$K$72,0))),"mm/dd/yy")))</f>
        <v/>
      </c>
      <c r="K52" s="19" t="inlineStr">
        <is>
          <t>30Y</t>
        </is>
      </c>
      <c r="L52" t="n">
        <v>30</v>
      </c>
      <c r="M52" s="20">
        <f>IFERROR(IF($C$3="","",IF(MONTH((EDATE($C$4,360))+IF(WEEKDAY((EDATE($C$4,360)),2)=6,2,IF(WEEKDAY((EDATE($C$4,360)),2)=7,1,0)))&lt;&gt;MONTH(EDATE($C$4,360)),(EDATE($C$4,360))-IF(WEEKDAY((EDATE($C$4,360)),2)=6,1,IF(WEEKDAY((EDATE($C$4,360)),2)=7,2,0)),(EDATE($C$4,360))+IF(WEEKDAY((EDATE($C$4,360)),2)=6,2,IF(WEEKDAY((EDATE($C$4,360)),2)=7,1,0)))),"")</f>
        <v/>
      </c>
      <c r="N52">
        <f>IFERROR(IF(M52="","",(M52-$C$3)/365),"")</f>
        <v/>
      </c>
      <c r="O52">
        <f>IFERROR(IF(M52="","",(M52-$C$4)/360),"")</f>
        <v/>
      </c>
      <c r="P52">
        <f>IFERROR(IF(M52="","",(M52-M51)/360),"")</f>
        <v/>
      </c>
      <c r="Q52" t="n">
        <v>1</v>
      </c>
      <c r="R52">
        <f>IFERROR(IF(COUNTIF($A$8:$A$59,"30Y")&gt;0,1,0),"")</f>
        <v/>
      </c>
      <c r="S52" s="21">
        <f>IFERROR(IFERROR(INDEX($C$8:$C$59,MATCH("30Y",$A$8:$A$59,0)),INDEX($C$8:$C$59,MATCH("30Y",$A$8:$A$59,0))),"")</f>
        <v/>
      </c>
      <c r="U52" s="22">
        <f>IFERROR(IF(S52="","",AM52),"")</f>
        <v/>
      </c>
      <c r="V52">
        <f>IFERROR(IF(OR(U52="",Q52=0),0,P52*U52),"")</f>
        <v/>
      </c>
      <c r="X52" s="23">
        <f>IFERROR(IF(S52="","",U47*0.9),"")</f>
        <v/>
      </c>
      <c r="Y52" s="23">
        <f>IFERROR(IF(S52="","",(1-(S52/100)*(SUM($V$8:V47)+SUMPRODUCT($P$48:$P$51,$Q$48:$Q$51,U47*(X52/U47)^$T$48:$T$51)))/(1+(S52/100)*P52)),"")</f>
        <v/>
      </c>
      <c r="Z52" s="23">
        <f>IFERROR(IF(S52="","",(1-(S52/100)*(SUM($V$8:V47)+SUMPRODUCT($P$48:$P$51,$Q$48:$Q$51,U47*(Y52/U47)^$T$48:$T$51)))/(1+(S52/100)*P52)),"")</f>
        <v/>
      </c>
      <c r="AA52" s="23">
        <f>IFERROR(IF(S52="","",(1-(S52/100)*(SUM($V$8:V47)+SUMPRODUCT($P$48:$P$51,$Q$48:$Q$51,U47*(Z52/U47)^$T$48:$T$51)))/(1+(S52/100)*P52)),"")</f>
        <v/>
      </c>
      <c r="AB52" s="23">
        <f>IFERROR(IF(S52="","",(1-(S52/100)*(SUM($V$8:V47)+SUMPRODUCT($P$48:$P$51,$Q$48:$Q$51,U47*(AA52/U47)^$T$48:$T$51)))/(1+(S52/100)*P52)),"")</f>
        <v/>
      </c>
      <c r="AC52" s="23">
        <f>IFERROR(IF(S52="","",(1-(S52/100)*(SUM($V$8:V47)+SUMPRODUCT($P$48:$P$51,$Q$48:$Q$51,U47*(AB52/U47)^$T$48:$T$51)))/(1+(S52/100)*P52)),"")</f>
        <v/>
      </c>
      <c r="AD52" s="23">
        <f>IFERROR(IF(S52="","",(1-(S52/100)*(SUM($V$8:V47)+SUMPRODUCT($P$48:$P$51,$Q$48:$Q$51,U47*(AC52/U47)^$T$48:$T$51)))/(1+(S52/100)*P52)),"")</f>
        <v/>
      </c>
      <c r="AE52" s="23">
        <f>IFERROR(IF(S52="","",(1-(S52/100)*(SUM($V$8:V47)+SUMPRODUCT($P$48:$P$51,$Q$48:$Q$51,U47*(AD52/U47)^$T$48:$T$51)))/(1+(S52/100)*P52)),"")</f>
        <v/>
      </c>
      <c r="AF52" s="23">
        <f>IFERROR(IF(S52="","",(1-(S52/100)*(SUM($V$8:V47)+SUMPRODUCT($P$48:$P$51,$Q$48:$Q$51,U47*(AE52/U47)^$T$48:$T$51)))/(1+(S52/100)*P52)),"")</f>
        <v/>
      </c>
      <c r="AG52" s="23">
        <f>IFERROR(IF(S52="","",(1-(S52/100)*(SUM($V$8:V47)+SUMPRODUCT($P$48:$P$51,$Q$48:$Q$51,U47*(AF52/U47)^$T$48:$T$51)))/(1+(S52/100)*P52)),"")</f>
        <v/>
      </c>
      <c r="AH52" s="23">
        <f>IFERROR(IF(S52="","",(1-(S52/100)*(SUM($V$8:V47)+SUMPRODUCT($P$48:$P$51,$Q$48:$Q$51,U47*(AG52/U47)^$T$48:$T$51)))/(1+(S52/100)*P52)),"")</f>
        <v/>
      </c>
      <c r="AI52" s="23">
        <f>IFERROR(IF(S52="","",(1-(S52/100)*(SUM($V$8:V47)+SUMPRODUCT($P$48:$P$51,$Q$48:$Q$51,U47*(AH52/U47)^$T$48:$T$51)))/(1+(S52/100)*P52)),"")</f>
        <v/>
      </c>
      <c r="AJ52" s="23">
        <f>IFERROR(IF(S52="","",(1-(S52/100)*(SUM($V$8:V47)+SUMPRODUCT($P$48:$P$51,$Q$48:$Q$51,U47*(AI52/U47)^$T$48:$T$51)))/(1+(S52/100)*P52)),"")</f>
        <v/>
      </c>
      <c r="AK52" s="23">
        <f>IFERROR(IF(S52="","",(1-(S52/100)*(SUM($V$8:V47)+SUMPRODUCT($P$48:$P$51,$Q$48:$Q$51,U47*(AJ52/U47)^$T$48:$T$51)))/(1+(S52/100)*P52)),"")</f>
        <v/>
      </c>
      <c r="AL52" s="23">
        <f>IFERROR(IF(S52="","",(1-(S52/100)*(SUM($V$8:V47)+SUMPRODUCT($P$48:$P$51,$Q$48:$Q$51,U47*(AK52/U47)^$T$48:$T$51)))/(1+(S52/100)*P52)),"")</f>
        <v/>
      </c>
      <c r="AM52" s="23">
        <f>IFERROR(IF(S52="","",(1-(S52/100)*(SUM($V$8:V47)+SUMPRODUCT($P$48:$P$51,$Q$48:$Q$51,U47*(AL52/U47)^$T$48:$T$51)))/(1+(S52/100)*P52)),"")</f>
        <v/>
      </c>
    </row>
    <row r="53">
      <c r="A53" s="10" t="n"/>
      <c r="B53" s="11" t="n"/>
      <c r="C53" s="12" t="n"/>
      <c r="D53" s="12" t="n"/>
      <c r="E53" s="13" t="n"/>
      <c r="F53" s="14">
        <f>IF(OR($A53="",G53=""),"",-LN(G53)/INDEX($N$8:$N$72,IFERROR(MATCH($A53,$K$8:$K$72,0),MATCH(IF($A53="1Y","12M",IF($A53="12M","1Y",$A53)),$K$8:$K$72,0)))*100)</f>
        <v/>
      </c>
      <c r="G53" s="15">
        <f>IF($A53="","",IFERROR(INDEX($U$8:$U$72,IFERROR(MATCH($A53,$K$8:$K$72,0),MATCH(IF($A53="1Y","12M",IF($A53="12M","1Y",$A53)),$K$8:$K$72,0))),""))</f>
        <v/>
      </c>
      <c r="H53" s="16">
        <f>IF(OR(F53="",NOT(ISNUMBER(D53))),"",(F53-D53)*100)</f>
        <v/>
      </c>
      <c r="I53" s="17">
        <f>IF(OR(G53="",NOT(ISNUMBER(E53))),"",G53-E53)</f>
        <v/>
      </c>
      <c r="J53" s="18">
        <f>IF(OR($A53="",NOT(ISNUMBER($B53))),"",IF(ABS($B53-INDEX($M$8:$M$72,IFERROR(MATCH($A53,$K$8:$K$72,0),MATCH(IF($A53="1Y","12M",IF($A53="12M","1Y",$A53)),$K$8:$K$72,0))))&lt;=3,"ok","MISMATCH "&amp;TEXT(INDEX($M$8:$M$72,IFERROR(MATCH($A53,$K$8:$K$72,0),MATCH(IF($A53="1Y","12M",IF($A53="12M","1Y",$A53)),$K$8:$K$72,0))),"mm/dd/yy")))</f>
        <v/>
      </c>
      <c r="K53" s="19" t="inlineStr">
        <is>
          <t>31Y</t>
        </is>
      </c>
      <c r="L53" t="n">
        <v>31</v>
      </c>
      <c r="M53" s="20">
        <f>IFERROR(IF($C$3="","",IF(MONTH((EDATE($C$4,372))+IF(WEEKDAY((EDATE($C$4,372)),2)=6,2,IF(WEEKDAY((EDATE($C$4,372)),2)=7,1,0)))&lt;&gt;MONTH(EDATE($C$4,372)),(EDATE($C$4,372))-IF(WEEKDAY((EDATE($C$4,372)),2)=6,1,IF(WEEKDAY((EDATE($C$4,372)),2)=7,2,0)),(EDATE($C$4,372))+IF(WEEKDAY((EDATE($C$4,372)),2)=6,2,IF(WEEKDAY((EDATE($C$4,372)),2)=7,1,0)))),"")</f>
        <v/>
      </c>
      <c r="N53">
        <f>IFERROR(IF(M53="","",(M53-$C$3)/365),"")</f>
        <v/>
      </c>
      <c r="O53">
        <f>IFERROR(IF(M53="","",(M53-$C$4)/360),"")</f>
        <v/>
      </c>
      <c r="P53">
        <f>IFERROR(IF(M53="","",(M53-M52)/360),"")</f>
        <v/>
      </c>
      <c r="Q53" t="n">
        <v>1</v>
      </c>
      <c r="R53">
        <f>IFERROR(IF(COUNTIF($A$8:$A$59,"31Y")&gt;0,1,0),"")</f>
        <v/>
      </c>
      <c r="S53" s="21">
        <f>IFERROR(IF(R53=1,IFERROR(INDEX($C$8:$C$59,MATCH("31Y",$A$8:$A$59,0)),INDEX($C$8:$C$59,MATCH("31Y",$A$8:$A$59,0))),S52+(S62-S52)*0.1000000000),"")</f>
        <v/>
      </c>
      <c r="T53">
        <f>IFERROR(IF(OR(N53="",N62=""),"",(N53-N52)/(N62-N52)),"")</f>
        <v/>
      </c>
      <c r="U53" s="22">
        <f>IFERROR(IF(OR(T53="",U62=""),"",U52*(U62/U52)^T53),"")</f>
        <v/>
      </c>
      <c r="V53">
        <f>IFERROR(IF(OR(U53="",Q53=0),0,P53*U53),"")</f>
        <v/>
      </c>
    </row>
    <row r="54">
      <c r="A54" s="10" t="n"/>
      <c r="B54" s="11" t="n"/>
      <c r="C54" s="12" t="n"/>
      <c r="D54" s="12" t="n"/>
      <c r="E54" s="13" t="n"/>
      <c r="F54" s="14">
        <f>IF(OR($A54="",G54=""),"",-LN(G54)/INDEX($N$8:$N$72,IFERROR(MATCH($A54,$K$8:$K$72,0),MATCH(IF($A54="1Y","12M",IF($A54="12M","1Y",$A54)),$K$8:$K$72,0)))*100)</f>
        <v/>
      </c>
      <c r="G54" s="15">
        <f>IF($A54="","",IFERROR(INDEX($U$8:$U$72,IFERROR(MATCH($A54,$K$8:$K$72,0),MATCH(IF($A54="1Y","12M",IF($A54="12M","1Y",$A54)),$K$8:$K$72,0))),""))</f>
        <v/>
      </c>
      <c r="H54" s="16">
        <f>IF(OR(F54="",NOT(ISNUMBER(D54))),"",(F54-D54)*100)</f>
        <v/>
      </c>
      <c r="I54" s="17">
        <f>IF(OR(G54="",NOT(ISNUMBER(E54))),"",G54-E54)</f>
        <v/>
      </c>
      <c r="J54" s="18">
        <f>IF(OR($A54="",NOT(ISNUMBER($B54))),"",IF(ABS($B54-INDEX($M$8:$M$72,IFERROR(MATCH($A54,$K$8:$K$72,0),MATCH(IF($A54="1Y","12M",IF($A54="12M","1Y",$A54)),$K$8:$K$72,0))))&lt;=3,"ok","MISMATCH "&amp;TEXT(INDEX($M$8:$M$72,IFERROR(MATCH($A54,$K$8:$K$72,0),MATCH(IF($A54="1Y","12M",IF($A54="12M","1Y",$A54)),$K$8:$K$72,0))),"mm/dd/yy")))</f>
        <v/>
      </c>
      <c r="K54" s="19" t="inlineStr">
        <is>
          <t>32Y</t>
        </is>
      </c>
      <c r="L54" t="n">
        <v>32</v>
      </c>
      <c r="M54" s="20">
        <f>IFERROR(IF($C$3="","",IF(MONTH((EDATE($C$4,384))+IF(WEEKDAY((EDATE($C$4,384)),2)=6,2,IF(WEEKDAY((EDATE($C$4,384)),2)=7,1,0)))&lt;&gt;MONTH(EDATE($C$4,384)),(EDATE($C$4,384))-IF(WEEKDAY((EDATE($C$4,384)),2)=6,1,IF(WEEKDAY((EDATE($C$4,384)),2)=7,2,0)),(EDATE($C$4,384))+IF(WEEKDAY((EDATE($C$4,384)),2)=6,2,IF(WEEKDAY((EDATE($C$4,384)),2)=7,1,0)))),"")</f>
        <v/>
      </c>
      <c r="N54">
        <f>IFERROR(IF(M54="","",(M54-$C$3)/365),"")</f>
        <v/>
      </c>
      <c r="O54">
        <f>IFERROR(IF(M54="","",(M54-$C$4)/360),"")</f>
        <v/>
      </c>
      <c r="P54">
        <f>IFERROR(IF(M54="","",(M54-M53)/360),"")</f>
        <v/>
      </c>
      <c r="Q54" t="n">
        <v>1</v>
      </c>
      <c r="R54">
        <f>IFERROR(IF(COUNTIF($A$8:$A$59,"32Y")&gt;0,1,0),"")</f>
        <v/>
      </c>
      <c r="S54" s="21">
        <f>IFERROR(IF(R54=1,IFERROR(INDEX($C$8:$C$59,MATCH("32Y",$A$8:$A$59,0)),INDEX($C$8:$C$59,MATCH("32Y",$A$8:$A$59,0))),S52+(S62-S52)*0.2000000000),"")</f>
        <v/>
      </c>
      <c r="T54">
        <f>IFERROR(IF(OR(N54="",N62=""),"",(N54-N52)/(N62-N52)),"")</f>
        <v/>
      </c>
      <c r="U54" s="22">
        <f>IFERROR(IF(OR(T54="",U62=""),"",U52*(U62/U52)^T54),"")</f>
        <v/>
      </c>
      <c r="V54">
        <f>IFERROR(IF(OR(U54="",Q54=0),0,P54*U54),"")</f>
        <v/>
      </c>
    </row>
    <row r="55">
      <c r="A55" s="10" t="n"/>
      <c r="B55" s="11" t="n"/>
      <c r="C55" s="12" t="n"/>
      <c r="D55" s="12" t="n"/>
      <c r="E55" s="13" t="n"/>
      <c r="F55" s="14">
        <f>IF(OR($A55="",G55=""),"",-LN(G55)/INDEX($N$8:$N$72,IFERROR(MATCH($A55,$K$8:$K$72,0),MATCH(IF($A55="1Y","12M",IF($A55="12M","1Y",$A55)),$K$8:$K$72,0)))*100)</f>
        <v/>
      </c>
      <c r="G55" s="15">
        <f>IF($A55="","",IFERROR(INDEX($U$8:$U$72,IFERROR(MATCH($A55,$K$8:$K$72,0),MATCH(IF($A55="1Y","12M",IF($A55="12M","1Y",$A55)),$K$8:$K$72,0))),""))</f>
        <v/>
      </c>
      <c r="H55" s="16">
        <f>IF(OR(F55="",NOT(ISNUMBER(D55))),"",(F55-D55)*100)</f>
        <v/>
      </c>
      <c r="I55" s="17">
        <f>IF(OR(G55="",NOT(ISNUMBER(E55))),"",G55-E55)</f>
        <v/>
      </c>
      <c r="J55" s="18">
        <f>IF(OR($A55="",NOT(ISNUMBER($B55))),"",IF(ABS($B55-INDEX($M$8:$M$72,IFERROR(MATCH($A55,$K$8:$K$72,0),MATCH(IF($A55="1Y","12M",IF($A55="12M","1Y",$A55)),$K$8:$K$72,0))))&lt;=3,"ok","MISMATCH "&amp;TEXT(INDEX($M$8:$M$72,IFERROR(MATCH($A55,$K$8:$K$72,0),MATCH(IF($A55="1Y","12M",IF($A55="12M","1Y",$A55)),$K$8:$K$72,0))),"mm/dd/yy")))</f>
        <v/>
      </c>
      <c r="K55" s="19" t="inlineStr">
        <is>
          <t>33Y</t>
        </is>
      </c>
      <c r="L55" t="n">
        <v>33</v>
      </c>
      <c r="M55" s="20">
        <f>IFERROR(IF($C$3="","",IF(MONTH((EDATE($C$4,396))+IF(WEEKDAY((EDATE($C$4,396)),2)=6,2,IF(WEEKDAY((EDATE($C$4,396)),2)=7,1,0)))&lt;&gt;MONTH(EDATE($C$4,396)),(EDATE($C$4,396))-IF(WEEKDAY((EDATE($C$4,396)),2)=6,1,IF(WEEKDAY((EDATE($C$4,396)),2)=7,2,0)),(EDATE($C$4,396))+IF(WEEKDAY((EDATE($C$4,396)),2)=6,2,IF(WEEKDAY((EDATE($C$4,396)),2)=7,1,0)))),"")</f>
        <v/>
      </c>
      <c r="N55">
        <f>IFERROR(IF(M55="","",(M55-$C$3)/365),"")</f>
        <v/>
      </c>
      <c r="O55">
        <f>IFERROR(IF(M55="","",(M55-$C$4)/360),"")</f>
        <v/>
      </c>
      <c r="P55">
        <f>IFERROR(IF(M55="","",(M55-M54)/360),"")</f>
        <v/>
      </c>
      <c r="Q55" t="n">
        <v>1</v>
      </c>
      <c r="R55">
        <f>IFERROR(IF(COUNTIF($A$8:$A$59,"33Y")&gt;0,1,0),"")</f>
        <v/>
      </c>
      <c r="S55" s="21">
        <f>IFERROR(IF(R55=1,IFERROR(INDEX($C$8:$C$59,MATCH("33Y",$A$8:$A$59,0)),INDEX($C$8:$C$59,MATCH("33Y",$A$8:$A$59,0))),S52+(S62-S52)*0.3000000000),"")</f>
        <v/>
      </c>
      <c r="T55">
        <f>IFERROR(IF(OR(N55="",N62=""),"",(N55-N52)/(N62-N52)),"")</f>
        <v/>
      </c>
      <c r="U55" s="22">
        <f>IFERROR(IF(OR(T55="",U62=""),"",U52*(U62/U52)^T55),"")</f>
        <v/>
      </c>
      <c r="V55">
        <f>IFERROR(IF(OR(U55="",Q55=0),0,P55*U55),"")</f>
        <v/>
      </c>
    </row>
    <row r="56">
      <c r="A56" s="10" t="n"/>
      <c r="B56" s="11" t="n"/>
      <c r="C56" s="12" t="n"/>
      <c r="D56" s="12" t="n"/>
      <c r="E56" s="13" t="n"/>
      <c r="F56" s="14">
        <f>IF(OR($A56="",G56=""),"",-LN(G56)/INDEX($N$8:$N$72,IFERROR(MATCH($A56,$K$8:$K$72,0),MATCH(IF($A56="1Y","12M",IF($A56="12M","1Y",$A56)),$K$8:$K$72,0)))*100)</f>
        <v/>
      </c>
      <c r="G56" s="15">
        <f>IF($A56="","",IFERROR(INDEX($U$8:$U$72,IFERROR(MATCH($A56,$K$8:$K$72,0),MATCH(IF($A56="1Y","12M",IF($A56="12M","1Y",$A56)),$K$8:$K$72,0))),""))</f>
        <v/>
      </c>
      <c r="H56" s="16">
        <f>IF(OR(F56="",NOT(ISNUMBER(D56))),"",(F56-D56)*100)</f>
        <v/>
      </c>
      <c r="I56" s="17">
        <f>IF(OR(G56="",NOT(ISNUMBER(E56))),"",G56-E56)</f>
        <v/>
      </c>
      <c r="J56" s="18">
        <f>IF(OR($A56="",NOT(ISNUMBER($B56))),"",IF(ABS($B56-INDEX($M$8:$M$72,IFERROR(MATCH($A56,$K$8:$K$72,0),MATCH(IF($A56="1Y","12M",IF($A56="12M","1Y",$A56)),$K$8:$K$72,0))))&lt;=3,"ok","MISMATCH "&amp;TEXT(INDEX($M$8:$M$72,IFERROR(MATCH($A56,$K$8:$K$72,0),MATCH(IF($A56="1Y","12M",IF($A56="12M","1Y",$A56)),$K$8:$K$72,0))),"mm/dd/yy")))</f>
        <v/>
      </c>
      <c r="K56" s="19" t="inlineStr">
        <is>
          <t>34Y</t>
        </is>
      </c>
      <c r="L56" t="n">
        <v>34</v>
      </c>
      <c r="M56" s="20">
        <f>IFERROR(IF($C$3="","",IF(MONTH((EDATE($C$4,408))+IF(WEEKDAY((EDATE($C$4,408)),2)=6,2,IF(WEEKDAY((EDATE($C$4,408)),2)=7,1,0)))&lt;&gt;MONTH(EDATE($C$4,408)),(EDATE($C$4,408))-IF(WEEKDAY((EDATE($C$4,408)),2)=6,1,IF(WEEKDAY((EDATE($C$4,408)),2)=7,2,0)),(EDATE($C$4,408))+IF(WEEKDAY((EDATE($C$4,408)),2)=6,2,IF(WEEKDAY((EDATE($C$4,408)),2)=7,1,0)))),"")</f>
        <v/>
      </c>
      <c r="N56">
        <f>IFERROR(IF(M56="","",(M56-$C$3)/365),"")</f>
        <v/>
      </c>
      <c r="O56">
        <f>IFERROR(IF(M56="","",(M56-$C$4)/360),"")</f>
        <v/>
      </c>
      <c r="P56">
        <f>IFERROR(IF(M56="","",(M56-M55)/360),"")</f>
        <v/>
      </c>
      <c r="Q56" t="n">
        <v>1</v>
      </c>
      <c r="R56">
        <f>IFERROR(IF(COUNTIF($A$8:$A$59,"34Y")&gt;0,1,0),"")</f>
        <v/>
      </c>
      <c r="S56" s="21">
        <f>IFERROR(IF(R56=1,IFERROR(INDEX($C$8:$C$59,MATCH("34Y",$A$8:$A$59,0)),INDEX($C$8:$C$59,MATCH("34Y",$A$8:$A$59,0))),S52+(S62-S52)*0.4000000000),"")</f>
        <v/>
      </c>
      <c r="T56">
        <f>IFERROR(IF(OR(N56="",N62=""),"",(N56-N52)/(N62-N52)),"")</f>
        <v/>
      </c>
      <c r="U56" s="22">
        <f>IFERROR(IF(OR(T56="",U62=""),"",U52*(U62/U52)^T56),"")</f>
        <v/>
      </c>
      <c r="V56">
        <f>IFERROR(IF(OR(U56="",Q56=0),0,P56*U56),"")</f>
        <v/>
      </c>
    </row>
    <row r="57">
      <c r="A57" s="10" t="n"/>
      <c r="B57" s="11" t="n"/>
      <c r="C57" s="12" t="n"/>
      <c r="D57" s="12" t="n"/>
      <c r="E57" s="13" t="n"/>
      <c r="F57" s="14">
        <f>IF(OR($A57="",G57=""),"",-LN(G57)/INDEX($N$8:$N$72,IFERROR(MATCH($A57,$K$8:$K$72,0),MATCH(IF($A57="1Y","12M",IF($A57="12M","1Y",$A57)),$K$8:$K$72,0)))*100)</f>
        <v/>
      </c>
      <c r="G57" s="15">
        <f>IF($A57="","",IFERROR(INDEX($U$8:$U$72,IFERROR(MATCH($A57,$K$8:$K$72,0),MATCH(IF($A57="1Y","12M",IF($A57="12M","1Y",$A57)),$K$8:$K$72,0))),""))</f>
        <v/>
      </c>
      <c r="H57" s="16">
        <f>IF(OR(F57="",NOT(ISNUMBER(D57))),"",(F57-D57)*100)</f>
        <v/>
      </c>
      <c r="I57" s="17">
        <f>IF(OR(G57="",NOT(ISNUMBER(E57))),"",G57-E57)</f>
        <v/>
      </c>
      <c r="J57" s="18">
        <f>IF(OR($A57="",NOT(ISNUMBER($B57))),"",IF(ABS($B57-INDEX($M$8:$M$72,IFERROR(MATCH($A57,$K$8:$K$72,0),MATCH(IF($A57="1Y","12M",IF($A57="12M","1Y",$A57)),$K$8:$K$72,0))))&lt;=3,"ok","MISMATCH "&amp;TEXT(INDEX($M$8:$M$72,IFERROR(MATCH($A57,$K$8:$K$72,0),MATCH(IF($A57="1Y","12M",IF($A57="12M","1Y",$A57)),$K$8:$K$72,0))),"mm/dd/yy")))</f>
        <v/>
      </c>
      <c r="K57" s="19" t="inlineStr">
        <is>
          <t>35Y</t>
        </is>
      </c>
      <c r="L57" t="n">
        <v>35</v>
      </c>
      <c r="M57" s="20">
        <f>IFERROR(IF($C$3="","",IF(MONTH((EDATE($C$4,420))+IF(WEEKDAY((EDATE($C$4,420)),2)=6,2,IF(WEEKDAY((EDATE($C$4,420)),2)=7,1,0)))&lt;&gt;MONTH(EDATE($C$4,420)),(EDATE($C$4,420))-IF(WEEKDAY((EDATE($C$4,420)),2)=6,1,IF(WEEKDAY((EDATE($C$4,420)),2)=7,2,0)),(EDATE($C$4,420))+IF(WEEKDAY((EDATE($C$4,420)),2)=6,2,IF(WEEKDAY((EDATE($C$4,420)),2)=7,1,0)))),"")</f>
        <v/>
      </c>
      <c r="N57">
        <f>IFERROR(IF(M57="","",(M57-$C$3)/365),"")</f>
        <v/>
      </c>
      <c r="O57">
        <f>IFERROR(IF(M57="","",(M57-$C$4)/360),"")</f>
        <v/>
      </c>
      <c r="P57">
        <f>IFERROR(IF(M57="","",(M57-M56)/360),"")</f>
        <v/>
      </c>
      <c r="Q57" t="n">
        <v>1</v>
      </c>
      <c r="R57">
        <f>IFERROR(IF(COUNTIF($A$8:$A$59,"35Y")&gt;0,1,0),"")</f>
        <v/>
      </c>
      <c r="S57" s="21">
        <f>IFERROR(IF(R57=1,IFERROR(INDEX($C$8:$C$59,MATCH("35Y",$A$8:$A$59,0)),INDEX($C$8:$C$59,MATCH("35Y",$A$8:$A$59,0))),S52+(S62-S52)*0.5000000000),"")</f>
        <v/>
      </c>
      <c r="T57">
        <f>IFERROR(IF(OR(N57="",N62=""),"",(N57-N52)/(N62-N52)),"")</f>
        <v/>
      </c>
      <c r="U57" s="22">
        <f>IFERROR(IF(OR(T57="",U62=""),"",U52*(U62/U52)^T57),"")</f>
        <v/>
      </c>
      <c r="V57">
        <f>IFERROR(IF(OR(U57="",Q57=0),0,P57*U57),"")</f>
        <v/>
      </c>
    </row>
    <row r="58">
      <c r="A58" s="10" t="n"/>
      <c r="B58" s="11" t="n"/>
      <c r="C58" s="12" t="n"/>
      <c r="D58" s="12" t="n"/>
      <c r="E58" s="13" t="n"/>
      <c r="F58" s="14">
        <f>IF(OR($A58="",G58=""),"",-LN(G58)/INDEX($N$8:$N$72,IFERROR(MATCH($A58,$K$8:$K$72,0),MATCH(IF($A58="1Y","12M",IF($A58="12M","1Y",$A58)),$K$8:$K$72,0)))*100)</f>
        <v/>
      </c>
      <c r="G58" s="15">
        <f>IF($A58="","",IFERROR(INDEX($U$8:$U$72,IFERROR(MATCH($A58,$K$8:$K$72,0),MATCH(IF($A58="1Y","12M",IF($A58="12M","1Y",$A58)),$K$8:$K$72,0))),""))</f>
        <v/>
      </c>
      <c r="H58" s="16">
        <f>IF(OR(F58="",NOT(ISNUMBER(D58))),"",(F58-D58)*100)</f>
        <v/>
      </c>
      <c r="I58" s="17">
        <f>IF(OR(G58="",NOT(ISNUMBER(E58))),"",G58-E58)</f>
        <v/>
      </c>
      <c r="J58" s="18">
        <f>IF(OR($A58="",NOT(ISNUMBER($B58))),"",IF(ABS($B58-INDEX($M$8:$M$72,IFERROR(MATCH($A58,$K$8:$K$72,0),MATCH(IF($A58="1Y","12M",IF($A58="12M","1Y",$A58)),$K$8:$K$72,0))))&lt;=3,"ok","MISMATCH "&amp;TEXT(INDEX($M$8:$M$72,IFERROR(MATCH($A58,$K$8:$K$72,0),MATCH(IF($A58="1Y","12M",IF($A58="12M","1Y",$A58)),$K$8:$K$72,0))),"mm/dd/yy")))</f>
        <v/>
      </c>
      <c r="K58" s="19" t="inlineStr">
        <is>
          <t>36Y</t>
        </is>
      </c>
      <c r="L58" t="n">
        <v>36</v>
      </c>
      <c r="M58" s="20">
        <f>IFERROR(IF($C$3="","",IF(MONTH((EDATE($C$4,432))+IF(WEEKDAY((EDATE($C$4,432)),2)=6,2,IF(WEEKDAY((EDATE($C$4,432)),2)=7,1,0)))&lt;&gt;MONTH(EDATE($C$4,432)),(EDATE($C$4,432))-IF(WEEKDAY((EDATE($C$4,432)),2)=6,1,IF(WEEKDAY((EDATE($C$4,432)),2)=7,2,0)),(EDATE($C$4,432))+IF(WEEKDAY((EDATE($C$4,432)),2)=6,2,IF(WEEKDAY((EDATE($C$4,432)),2)=7,1,0)))),"")</f>
        <v/>
      </c>
      <c r="N58">
        <f>IFERROR(IF(M58="","",(M58-$C$3)/365),"")</f>
        <v/>
      </c>
      <c r="O58">
        <f>IFERROR(IF(M58="","",(M58-$C$4)/360),"")</f>
        <v/>
      </c>
      <c r="P58">
        <f>IFERROR(IF(M58="","",(M58-M57)/360),"")</f>
        <v/>
      </c>
      <c r="Q58" t="n">
        <v>1</v>
      </c>
      <c r="R58">
        <f>IFERROR(IF(COUNTIF($A$8:$A$59,"36Y")&gt;0,1,0),"")</f>
        <v/>
      </c>
      <c r="S58" s="21">
        <f>IFERROR(IF(R58=1,IFERROR(INDEX($C$8:$C$59,MATCH("36Y",$A$8:$A$59,0)),INDEX($C$8:$C$59,MATCH("36Y",$A$8:$A$59,0))),S52+(S62-S52)*0.6000000000),"")</f>
        <v/>
      </c>
      <c r="T58">
        <f>IFERROR(IF(OR(N58="",N62=""),"",(N58-N52)/(N62-N52)),"")</f>
        <v/>
      </c>
      <c r="U58" s="22">
        <f>IFERROR(IF(OR(T58="",U62=""),"",U52*(U62/U52)^T58),"")</f>
        <v/>
      </c>
      <c r="V58">
        <f>IFERROR(IF(OR(U58="",Q58=0),0,P58*U58),"")</f>
        <v/>
      </c>
    </row>
    <row r="59">
      <c r="A59" s="10" t="n"/>
      <c r="B59" s="11" t="n"/>
      <c r="C59" s="12" t="n"/>
      <c r="D59" s="12" t="n"/>
      <c r="E59" s="13" t="n"/>
      <c r="F59" s="14">
        <f>IF(OR($A59="",G59=""),"",-LN(G59)/INDEX($N$8:$N$72,IFERROR(MATCH($A59,$K$8:$K$72,0),MATCH(IF($A59="1Y","12M",IF($A59="12M","1Y",$A59)),$K$8:$K$72,0)))*100)</f>
        <v/>
      </c>
      <c r="G59" s="15">
        <f>IF($A59="","",IFERROR(INDEX($U$8:$U$72,IFERROR(MATCH($A59,$K$8:$K$72,0),MATCH(IF($A59="1Y","12M",IF($A59="12M","1Y",$A59)),$K$8:$K$72,0))),""))</f>
        <v/>
      </c>
      <c r="H59" s="16">
        <f>IF(OR(F59="",NOT(ISNUMBER(D59))),"",(F59-D59)*100)</f>
        <v/>
      </c>
      <c r="I59" s="17">
        <f>IF(OR(G59="",NOT(ISNUMBER(E59))),"",G59-E59)</f>
        <v/>
      </c>
      <c r="J59" s="18">
        <f>IF(OR($A59="",NOT(ISNUMBER($B59))),"",IF(ABS($B59-INDEX($M$8:$M$72,IFERROR(MATCH($A59,$K$8:$K$72,0),MATCH(IF($A59="1Y","12M",IF($A59="12M","1Y",$A59)),$K$8:$K$72,0))))&lt;=3,"ok","MISMATCH "&amp;TEXT(INDEX($M$8:$M$72,IFERROR(MATCH($A59,$K$8:$K$72,0),MATCH(IF($A59="1Y","12M",IF($A59="12M","1Y",$A59)),$K$8:$K$72,0))),"mm/dd/yy")))</f>
        <v/>
      </c>
      <c r="K59" s="19" t="inlineStr">
        <is>
          <t>37Y</t>
        </is>
      </c>
      <c r="L59" t="n">
        <v>37</v>
      </c>
      <c r="M59" s="20">
        <f>IFERROR(IF($C$3="","",IF(MONTH((EDATE($C$4,444))+IF(WEEKDAY((EDATE($C$4,444)),2)=6,2,IF(WEEKDAY((EDATE($C$4,444)),2)=7,1,0)))&lt;&gt;MONTH(EDATE($C$4,444)),(EDATE($C$4,444))-IF(WEEKDAY((EDATE($C$4,444)),2)=6,1,IF(WEEKDAY((EDATE($C$4,444)),2)=7,2,0)),(EDATE($C$4,444))+IF(WEEKDAY((EDATE($C$4,444)),2)=6,2,IF(WEEKDAY((EDATE($C$4,444)),2)=7,1,0)))),"")</f>
        <v/>
      </c>
      <c r="N59">
        <f>IFERROR(IF(M59="","",(M59-$C$3)/365),"")</f>
        <v/>
      </c>
      <c r="O59">
        <f>IFERROR(IF(M59="","",(M59-$C$4)/360),"")</f>
        <v/>
      </c>
      <c r="P59">
        <f>IFERROR(IF(M59="","",(M59-M58)/360),"")</f>
        <v/>
      </c>
      <c r="Q59" t="n">
        <v>1</v>
      </c>
      <c r="R59">
        <f>IFERROR(IF(COUNTIF($A$8:$A$59,"37Y")&gt;0,1,0),"")</f>
        <v/>
      </c>
      <c r="S59" s="21">
        <f>IFERROR(IF(R59=1,IFERROR(INDEX($C$8:$C$59,MATCH("37Y",$A$8:$A$59,0)),INDEX($C$8:$C$59,MATCH("37Y",$A$8:$A$59,0))),S52+(S62-S52)*0.7000000000),"")</f>
        <v/>
      </c>
      <c r="T59">
        <f>IFERROR(IF(OR(N59="",N62=""),"",(N59-N52)/(N62-N52)),"")</f>
        <v/>
      </c>
      <c r="U59" s="22">
        <f>IFERROR(IF(OR(T59="",U62=""),"",U52*(U62/U52)^T59),"")</f>
        <v/>
      </c>
      <c r="V59">
        <f>IFERROR(IF(OR(U59="",Q59=0),0,P59*U59),"")</f>
        <v/>
      </c>
    </row>
    <row r="60">
      <c r="K60" s="19" t="inlineStr">
        <is>
          <t>38Y</t>
        </is>
      </c>
      <c r="L60" t="n">
        <v>38</v>
      </c>
      <c r="M60" s="20">
        <f>IFERROR(IF($C$3="","",IF(MONTH((EDATE($C$4,456))+IF(WEEKDAY((EDATE($C$4,456)),2)=6,2,IF(WEEKDAY((EDATE($C$4,456)),2)=7,1,0)))&lt;&gt;MONTH(EDATE($C$4,456)),(EDATE($C$4,456))-IF(WEEKDAY((EDATE($C$4,456)),2)=6,1,IF(WEEKDAY((EDATE($C$4,456)),2)=7,2,0)),(EDATE($C$4,456))+IF(WEEKDAY((EDATE($C$4,456)),2)=6,2,IF(WEEKDAY((EDATE($C$4,456)),2)=7,1,0)))),"")</f>
        <v/>
      </c>
      <c r="N60">
        <f>IFERROR(IF(M60="","",(M60-$C$3)/365),"")</f>
        <v/>
      </c>
      <c r="O60">
        <f>IFERROR(IF(M60="","",(M60-$C$4)/360),"")</f>
        <v/>
      </c>
      <c r="P60">
        <f>IFERROR(IF(M60="","",(M60-M59)/360),"")</f>
        <v/>
      </c>
      <c r="Q60" t="n">
        <v>1</v>
      </c>
      <c r="R60">
        <f>IFERROR(IF(COUNTIF($A$8:$A$59,"38Y")&gt;0,1,0),"")</f>
        <v/>
      </c>
      <c r="S60" s="21">
        <f>IFERROR(IF(R60=1,IFERROR(INDEX($C$8:$C$59,MATCH("38Y",$A$8:$A$59,0)),INDEX($C$8:$C$59,MATCH("38Y",$A$8:$A$59,0))),S52+(S62-S52)*0.8000000000),"")</f>
        <v/>
      </c>
      <c r="T60">
        <f>IFERROR(IF(OR(N60="",N62=""),"",(N60-N52)/(N62-N52)),"")</f>
        <v/>
      </c>
      <c r="U60" s="22">
        <f>IFERROR(IF(OR(T60="",U62=""),"",U52*(U62/U52)^T60),"")</f>
        <v/>
      </c>
      <c r="V60">
        <f>IFERROR(IF(OR(U60="",Q60=0),0,P60*U60),"")</f>
        <v/>
      </c>
    </row>
    <row r="61">
      <c r="A61" s="3" t="inlineStr">
        <is>
          <t>pillars pasted</t>
        </is>
      </c>
      <c r="C61" s="18">
        <f>COUNTA($A$8:$A$59)</f>
        <v/>
      </c>
      <c r="D61" s="3" t="inlineStr">
        <is>
          <t>priced</t>
        </is>
      </c>
      <c r="F61" s="18">
        <f>COUNT($F$8:$F$59)</f>
        <v/>
      </c>
      <c r="G61" s="3" t="inlineStr">
        <is>
          <t>max |d zero| bp</t>
        </is>
      </c>
      <c r="H61" s="24">
        <f>IF(COUNT($H$8:$H$59)=0,"",MAX(MAX($H$8:$H$59),-MIN($H$8:$H$59)))</f>
        <v/>
      </c>
      <c r="J61" s="5">
        <f>IF(COUNTIF($J$8:$J$59,"MISMATCH*")=0,"dates ok",COUNTIF($J$8:$J$59,"MISMATCH*")&amp;" DATE MISMATCHES — your pasted date column is out of step with the tenors; the model uses the derived date")</f>
        <v/>
      </c>
      <c r="K61" s="19" t="inlineStr">
        <is>
          <t>39Y</t>
        </is>
      </c>
      <c r="L61" t="n">
        <v>39</v>
      </c>
      <c r="M61" s="20">
        <f>IFERROR(IF($C$3="","",IF(MONTH((EDATE($C$4,468))+IF(WEEKDAY((EDATE($C$4,468)),2)=6,2,IF(WEEKDAY((EDATE($C$4,468)),2)=7,1,0)))&lt;&gt;MONTH(EDATE($C$4,468)),(EDATE($C$4,468))-IF(WEEKDAY((EDATE($C$4,468)),2)=6,1,IF(WEEKDAY((EDATE($C$4,468)),2)=7,2,0)),(EDATE($C$4,468))+IF(WEEKDAY((EDATE($C$4,468)),2)=6,2,IF(WEEKDAY((EDATE($C$4,468)),2)=7,1,0)))),"")</f>
        <v/>
      </c>
      <c r="N61">
        <f>IFERROR(IF(M61="","",(M61-$C$3)/365),"")</f>
        <v/>
      </c>
      <c r="O61">
        <f>IFERROR(IF(M61="","",(M61-$C$4)/360),"")</f>
        <v/>
      </c>
      <c r="P61">
        <f>IFERROR(IF(M61="","",(M61-M60)/360),"")</f>
        <v/>
      </c>
      <c r="Q61" t="n">
        <v>1</v>
      </c>
      <c r="R61">
        <f>IFERROR(IF(COUNTIF($A$8:$A$59,"39Y")&gt;0,1,0),"")</f>
        <v/>
      </c>
      <c r="S61" s="21">
        <f>IFERROR(IF(R61=1,IFERROR(INDEX($C$8:$C$59,MATCH("39Y",$A$8:$A$59,0)),INDEX($C$8:$C$59,MATCH("39Y",$A$8:$A$59,0))),S52+(S62-S52)*0.9000000000),"")</f>
        <v/>
      </c>
      <c r="T61">
        <f>IFERROR(IF(OR(N61="",N62=""),"",(N61-N52)/(N62-N52)),"")</f>
        <v/>
      </c>
      <c r="U61" s="22">
        <f>IFERROR(IF(OR(T61="",U62=""),"",U52*(U62/U52)^T61),"")</f>
        <v/>
      </c>
      <c r="V61">
        <f>IFERROR(IF(OR(U61="",Q61=0),0,P61*U61),"")</f>
        <v/>
      </c>
    </row>
    <row r="62">
      <c r="G62" s="3" t="inlineStr">
        <is>
          <t>max |d DF|</t>
        </is>
      </c>
      <c r="H62" s="25">
        <f>IF(COUNT($I$8:$I$59)=0,"",MAX(MAX($I$8:$I$59),-MIN($I$8:$I$59)))</f>
        <v/>
      </c>
      <c r="K62" s="19" t="inlineStr">
        <is>
          <t>40Y</t>
        </is>
      </c>
      <c r="L62" t="n">
        <v>40</v>
      </c>
      <c r="M62" s="20">
        <f>IFERROR(IF($C$3="","",IF(MONTH((EDATE($C$4,480))+IF(WEEKDAY((EDATE($C$4,480)),2)=6,2,IF(WEEKDAY((EDATE($C$4,480)),2)=7,1,0)))&lt;&gt;MONTH(EDATE($C$4,480)),(EDATE($C$4,480))-IF(WEEKDAY((EDATE($C$4,480)),2)=6,1,IF(WEEKDAY((EDATE($C$4,480)),2)=7,2,0)),(EDATE($C$4,480))+IF(WEEKDAY((EDATE($C$4,480)),2)=6,2,IF(WEEKDAY((EDATE($C$4,480)),2)=7,1,0)))),"")</f>
        <v/>
      </c>
      <c r="N62">
        <f>IFERROR(IF(M62="","",(M62-$C$3)/365),"")</f>
        <v/>
      </c>
      <c r="O62">
        <f>IFERROR(IF(M62="","",(M62-$C$4)/360),"")</f>
        <v/>
      </c>
      <c r="P62">
        <f>IFERROR(IF(M62="","",(M62-M61)/360),"")</f>
        <v/>
      </c>
      <c r="Q62" t="n">
        <v>1</v>
      </c>
      <c r="R62">
        <f>IFERROR(IF(COUNTIF($A$8:$A$59,"40Y")&gt;0,1,0),"")</f>
        <v/>
      </c>
      <c r="S62" s="21">
        <f>IFERROR(IFERROR(INDEX($C$8:$C$59,MATCH("40Y",$A$8:$A$59,0)),INDEX($C$8:$C$59,MATCH("40Y",$A$8:$A$59,0))),"")</f>
        <v/>
      </c>
      <c r="U62" s="22">
        <f>IFERROR(IF(S62="","",AM62),"")</f>
        <v/>
      </c>
      <c r="V62">
        <f>IFERROR(IF(OR(U62="",Q62=0),0,P62*U62),"")</f>
        <v/>
      </c>
      <c r="X62" s="23">
        <f>IFERROR(IF(S62="","",U52*0.9),"")</f>
        <v/>
      </c>
      <c r="Y62" s="23">
        <f>IFERROR(IF(S62="","",(1-(S62/100)*(SUM($V$8:V52)+SUMPRODUCT($P$53:$P$61,$Q$53:$Q$61,U52*(X62/U52)^$T$53:$T$61)))/(1+(S62/100)*P62)),"")</f>
        <v/>
      </c>
      <c r="Z62" s="23">
        <f>IFERROR(IF(S62="","",(1-(S62/100)*(SUM($V$8:V52)+SUMPRODUCT($P$53:$P$61,$Q$53:$Q$61,U52*(Y62/U52)^$T$53:$T$61)))/(1+(S62/100)*P62)),"")</f>
        <v/>
      </c>
      <c r="AA62" s="23">
        <f>IFERROR(IF(S62="","",(1-(S62/100)*(SUM($V$8:V52)+SUMPRODUCT($P$53:$P$61,$Q$53:$Q$61,U52*(Z62/U52)^$T$53:$T$61)))/(1+(S62/100)*P62)),"")</f>
        <v/>
      </c>
      <c r="AB62" s="23">
        <f>IFERROR(IF(S62="","",(1-(S62/100)*(SUM($V$8:V52)+SUMPRODUCT($P$53:$P$61,$Q$53:$Q$61,U52*(AA62/U52)^$T$53:$T$61)))/(1+(S62/100)*P62)),"")</f>
        <v/>
      </c>
      <c r="AC62" s="23">
        <f>IFERROR(IF(S62="","",(1-(S62/100)*(SUM($V$8:V52)+SUMPRODUCT($P$53:$P$61,$Q$53:$Q$61,U52*(AB62/U52)^$T$53:$T$61)))/(1+(S62/100)*P62)),"")</f>
        <v/>
      </c>
      <c r="AD62" s="23">
        <f>IFERROR(IF(S62="","",(1-(S62/100)*(SUM($V$8:V52)+SUMPRODUCT($P$53:$P$61,$Q$53:$Q$61,U52*(AC62/U52)^$T$53:$T$61)))/(1+(S62/100)*P62)),"")</f>
        <v/>
      </c>
      <c r="AE62" s="23">
        <f>IFERROR(IF(S62="","",(1-(S62/100)*(SUM($V$8:V52)+SUMPRODUCT($P$53:$P$61,$Q$53:$Q$61,U52*(AD62/U52)^$T$53:$T$61)))/(1+(S62/100)*P62)),"")</f>
        <v/>
      </c>
      <c r="AF62" s="23">
        <f>IFERROR(IF(S62="","",(1-(S62/100)*(SUM($V$8:V52)+SUMPRODUCT($P$53:$P$61,$Q$53:$Q$61,U52*(AE62/U52)^$T$53:$T$61)))/(1+(S62/100)*P62)),"")</f>
        <v/>
      </c>
      <c r="AG62" s="23">
        <f>IFERROR(IF(S62="","",(1-(S62/100)*(SUM($V$8:V52)+SUMPRODUCT($P$53:$P$61,$Q$53:$Q$61,U52*(AF62/U52)^$T$53:$T$61)))/(1+(S62/100)*P62)),"")</f>
        <v/>
      </c>
      <c r="AH62" s="23">
        <f>IFERROR(IF(S62="","",(1-(S62/100)*(SUM($V$8:V52)+SUMPRODUCT($P$53:$P$61,$Q$53:$Q$61,U52*(AG62/U52)^$T$53:$T$61)))/(1+(S62/100)*P62)),"")</f>
        <v/>
      </c>
      <c r="AI62" s="23">
        <f>IFERROR(IF(S62="","",(1-(S62/100)*(SUM($V$8:V52)+SUMPRODUCT($P$53:$P$61,$Q$53:$Q$61,U52*(AH62/U52)^$T$53:$T$61)))/(1+(S62/100)*P62)),"")</f>
        <v/>
      </c>
      <c r="AJ62" s="23">
        <f>IFERROR(IF(S62="","",(1-(S62/100)*(SUM($V$8:V52)+SUMPRODUCT($P$53:$P$61,$Q$53:$Q$61,U52*(AI62/U52)^$T$53:$T$61)))/(1+(S62/100)*P62)),"")</f>
        <v/>
      </c>
      <c r="AK62" s="23">
        <f>IFERROR(IF(S62="","",(1-(S62/100)*(SUM($V$8:V52)+SUMPRODUCT($P$53:$P$61,$Q$53:$Q$61,U52*(AJ62/U52)^$T$53:$T$61)))/(1+(S62/100)*P62)),"")</f>
        <v/>
      </c>
      <c r="AL62" s="23">
        <f>IFERROR(IF(S62="","",(1-(S62/100)*(SUM($V$8:V52)+SUMPRODUCT($P$53:$P$61,$Q$53:$Q$61,U52*(AK62/U52)^$T$53:$T$61)))/(1+(S62/100)*P62)),"")</f>
        <v/>
      </c>
      <c r="AM62" s="23">
        <f>IFERROR(IF(S62="","",(1-(S62/100)*(SUM($V$8:V52)+SUMPRODUCT($P$53:$P$61,$Q$53:$Q$61,U52*(AL62/U52)^$T$53:$T$61)))/(1+(S62/100)*P62)),"")</f>
        <v/>
      </c>
    </row>
    <row r="63">
      <c r="A63" s="2" t="inlineStr">
        <is>
          <t>If 'priced' is under 'pillars pasted', a tenor label is not on the internal grid (1W-3W, 1M-12M, 18M, 1Y-50Y). 12M and 1Y are the same pillar.</t>
        </is>
      </c>
      <c r="K63" s="19" t="inlineStr">
        <is>
          <t>41Y</t>
        </is>
      </c>
      <c r="L63" t="n">
        <v>41</v>
      </c>
      <c r="M63" s="20">
        <f>IFERROR(IF($C$3="","",IF(MONTH((EDATE($C$4,492))+IF(WEEKDAY((EDATE($C$4,492)),2)=6,2,IF(WEEKDAY((EDATE($C$4,492)),2)=7,1,0)))&lt;&gt;MONTH(EDATE($C$4,492)),(EDATE($C$4,492))-IF(WEEKDAY((EDATE($C$4,492)),2)=6,1,IF(WEEKDAY((EDATE($C$4,492)),2)=7,2,0)),(EDATE($C$4,492))+IF(WEEKDAY((EDATE($C$4,492)),2)=6,2,IF(WEEKDAY((EDATE($C$4,492)),2)=7,1,0)))),"")</f>
        <v/>
      </c>
      <c r="N63">
        <f>IFERROR(IF(M63="","",(M63-$C$3)/365),"")</f>
        <v/>
      </c>
      <c r="O63">
        <f>IFERROR(IF(M63="","",(M63-$C$4)/360),"")</f>
        <v/>
      </c>
      <c r="P63">
        <f>IFERROR(IF(M63="","",(M63-M62)/360),"")</f>
        <v/>
      </c>
      <c r="Q63" t="n">
        <v>1</v>
      </c>
      <c r="R63">
        <f>IFERROR(IF(COUNTIF($A$8:$A$59,"41Y")&gt;0,1,0),"")</f>
        <v/>
      </c>
      <c r="S63" s="21">
        <f>IFERROR(IF(R63=1,IFERROR(INDEX($C$8:$C$59,MATCH("41Y",$A$8:$A$59,0)),INDEX($C$8:$C$59,MATCH("41Y",$A$8:$A$59,0))),S62+(S72-S62)*0.1000000000),"")</f>
        <v/>
      </c>
      <c r="T63">
        <f>IFERROR(IF(OR(N63="",N72=""),"",(N63-N62)/(N72-N62)),"")</f>
        <v/>
      </c>
      <c r="U63" s="22">
        <f>IFERROR(IF(OR(T63="",U72=""),"",U62*(U72/U62)^T63),"")</f>
        <v/>
      </c>
      <c r="V63">
        <f>IFERROR(IF(OR(U63="",Q63=0),0,P63*U63),"")</f>
        <v/>
      </c>
    </row>
    <row r="64">
      <c r="K64" s="19" t="inlineStr">
        <is>
          <t>42Y</t>
        </is>
      </c>
      <c r="L64" t="n">
        <v>42</v>
      </c>
      <c r="M64" s="20">
        <f>IFERROR(IF($C$3="","",IF(MONTH((EDATE($C$4,504))+IF(WEEKDAY((EDATE($C$4,504)),2)=6,2,IF(WEEKDAY((EDATE($C$4,504)),2)=7,1,0)))&lt;&gt;MONTH(EDATE($C$4,504)),(EDATE($C$4,504))-IF(WEEKDAY((EDATE($C$4,504)),2)=6,1,IF(WEEKDAY((EDATE($C$4,504)),2)=7,2,0)),(EDATE($C$4,504))+IF(WEEKDAY((EDATE($C$4,504)),2)=6,2,IF(WEEKDAY((EDATE($C$4,504)),2)=7,1,0)))),"")</f>
        <v/>
      </c>
      <c r="N64">
        <f>IFERROR(IF(M64="","",(M64-$C$3)/365),"")</f>
        <v/>
      </c>
      <c r="O64">
        <f>IFERROR(IF(M64="","",(M64-$C$4)/360),"")</f>
        <v/>
      </c>
      <c r="P64">
        <f>IFERROR(IF(M64="","",(M64-M63)/360),"")</f>
        <v/>
      </c>
      <c r="Q64" t="n">
        <v>1</v>
      </c>
      <c r="R64">
        <f>IFERROR(IF(COUNTIF($A$8:$A$59,"42Y")&gt;0,1,0),"")</f>
        <v/>
      </c>
      <c r="S64" s="21">
        <f>IFERROR(IF(R64=1,IFERROR(INDEX($C$8:$C$59,MATCH("42Y",$A$8:$A$59,0)),INDEX($C$8:$C$59,MATCH("42Y",$A$8:$A$59,0))),S62+(S72-S62)*0.2000000000),"")</f>
        <v/>
      </c>
      <c r="T64">
        <f>IFERROR(IF(OR(N64="",N72=""),"",(N64-N62)/(N72-N62)),"")</f>
        <v/>
      </c>
      <c r="U64" s="22">
        <f>IFERROR(IF(OR(T64="",U72=""),"",U62*(U72/U62)^T64),"")</f>
        <v/>
      </c>
      <c r="V64">
        <f>IFERROR(IF(OR(U64="",Q64=0),0,P64*U64),"")</f>
        <v/>
      </c>
    </row>
    <row r="65">
      <c r="K65" s="19" t="inlineStr">
        <is>
          <t>43Y</t>
        </is>
      </c>
      <c r="L65" t="n">
        <v>43</v>
      </c>
      <c r="M65" s="20">
        <f>IFERROR(IF($C$3="","",IF(MONTH((EDATE($C$4,516))+IF(WEEKDAY((EDATE($C$4,516)),2)=6,2,IF(WEEKDAY((EDATE($C$4,516)),2)=7,1,0)))&lt;&gt;MONTH(EDATE($C$4,516)),(EDATE($C$4,516))-IF(WEEKDAY((EDATE($C$4,516)),2)=6,1,IF(WEEKDAY((EDATE($C$4,516)),2)=7,2,0)),(EDATE($C$4,516))+IF(WEEKDAY((EDATE($C$4,516)),2)=6,2,IF(WEEKDAY((EDATE($C$4,516)),2)=7,1,0)))),"")</f>
        <v/>
      </c>
      <c r="N65">
        <f>IFERROR(IF(M65="","",(M65-$C$3)/365),"")</f>
        <v/>
      </c>
      <c r="O65">
        <f>IFERROR(IF(M65="","",(M65-$C$4)/360),"")</f>
        <v/>
      </c>
      <c r="P65">
        <f>IFERROR(IF(M65="","",(M65-M64)/360),"")</f>
        <v/>
      </c>
      <c r="Q65" t="n">
        <v>1</v>
      </c>
      <c r="R65">
        <f>IFERROR(IF(COUNTIF($A$8:$A$59,"43Y")&gt;0,1,0),"")</f>
        <v/>
      </c>
      <c r="S65" s="21">
        <f>IFERROR(IF(R65=1,IFERROR(INDEX($C$8:$C$59,MATCH("43Y",$A$8:$A$59,0)),INDEX($C$8:$C$59,MATCH("43Y",$A$8:$A$59,0))),S62+(S72-S62)*0.3000000000),"")</f>
        <v/>
      </c>
      <c r="T65">
        <f>IFERROR(IF(OR(N65="",N72=""),"",(N65-N62)/(N72-N62)),"")</f>
        <v/>
      </c>
      <c r="U65" s="22">
        <f>IFERROR(IF(OR(T65="",U72=""),"",U62*(U72/U62)^T65),"")</f>
        <v/>
      </c>
      <c r="V65">
        <f>IFERROR(IF(OR(U65="",Q65=0),0,P65*U65),"")</f>
        <v/>
      </c>
    </row>
    <row r="66">
      <c r="K66" s="19" t="inlineStr">
        <is>
          <t>44Y</t>
        </is>
      </c>
      <c r="L66" t="n">
        <v>44</v>
      </c>
      <c r="M66" s="20">
        <f>IFERROR(IF($C$3="","",IF(MONTH((EDATE($C$4,528))+IF(WEEKDAY((EDATE($C$4,528)),2)=6,2,IF(WEEKDAY((EDATE($C$4,528)),2)=7,1,0)))&lt;&gt;MONTH(EDATE($C$4,528)),(EDATE($C$4,528))-IF(WEEKDAY((EDATE($C$4,528)),2)=6,1,IF(WEEKDAY((EDATE($C$4,528)),2)=7,2,0)),(EDATE($C$4,528))+IF(WEEKDAY((EDATE($C$4,528)),2)=6,2,IF(WEEKDAY((EDATE($C$4,528)),2)=7,1,0)))),"")</f>
        <v/>
      </c>
      <c r="N66">
        <f>IFERROR(IF(M66="","",(M66-$C$3)/365),"")</f>
        <v/>
      </c>
      <c r="O66">
        <f>IFERROR(IF(M66="","",(M66-$C$4)/360),"")</f>
        <v/>
      </c>
      <c r="P66">
        <f>IFERROR(IF(M66="","",(M66-M65)/360),"")</f>
        <v/>
      </c>
      <c r="Q66" t="n">
        <v>1</v>
      </c>
      <c r="R66">
        <f>IFERROR(IF(COUNTIF($A$8:$A$59,"44Y")&gt;0,1,0),"")</f>
        <v/>
      </c>
      <c r="S66" s="21">
        <f>IFERROR(IF(R66=1,IFERROR(INDEX($C$8:$C$59,MATCH("44Y",$A$8:$A$59,0)),INDEX($C$8:$C$59,MATCH("44Y",$A$8:$A$59,0))),S62+(S72-S62)*0.4000000000),"")</f>
        <v/>
      </c>
      <c r="T66">
        <f>IFERROR(IF(OR(N66="",N72=""),"",(N66-N62)/(N72-N62)),"")</f>
        <v/>
      </c>
      <c r="U66" s="22">
        <f>IFERROR(IF(OR(T66="",U72=""),"",U62*(U72/U62)^T66),"")</f>
        <v/>
      </c>
      <c r="V66">
        <f>IFERROR(IF(OR(U66="",Q66=0),0,P66*U66),"")</f>
        <v/>
      </c>
    </row>
    <row r="67">
      <c r="K67" s="19" t="inlineStr">
        <is>
          <t>45Y</t>
        </is>
      </c>
      <c r="L67" t="n">
        <v>45</v>
      </c>
      <c r="M67" s="20">
        <f>IFERROR(IF($C$3="","",IF(MONTH((EDATE($C$4,540))+IF(WEEKDAY((EDATE($C$4,540)),2)=6,2,IF(WEEKDAY((EDATE($C$4,540)),2)=7,1,0)))&lt;&gt;MONTH(EDATE($C$4,540)),(EDATE($C$4,540))-IF(WEEKDAY((EDATE($C$4,540)),2)=6,1,IF(WEEKDAY((EDATE($C$4,540)),2)=7,2,0)),(EDATE($C$4,540))+IF(WEEKDAY((EDATE($C$4,540)),2)=6,2,IF(WEEKDAY((EDATE($C$4,540)),2)=7,1,0)))),"")</f>
        <v/>
      </c>
      <c r="N67">
        <f>IFERROR(IF(M67="","",(M67-$C$3)/365),"")</f>
        <v/>
      </c>
      <c r="O67">
        <f>IFERROR(IF(M67="","",(M67-$C$4)/360),"")</f>
        <v/>
      </c>
      <c r="P67">
        <f>IFERROR(IF(M67="","",(M67-M66)/360),"")</f>
        <v/>
      </c>
      <c r="Q67" t="n">
        <v>1</v>
      </c>
      <c r="R67">
        <f>IFERROR(IF(COUNTIF($A$8:$A$59,"45Y")&gt;0,1,0),"")</f>
        <v/>
      </c>
      <c r="S67" s="21">
        <f>IFERROR(IF(R67=1,IFERROR(INDEX($C$8:$C$59,MATCH("45Y",$A$8:$A$59,0)),INDEX($C$8:$C$59,MATCH("45Y",$A$8:$A$59,0))),S62+(S72-S62)*0.5000000000),"")</f>
        <v/>
      </c>
      <c r="T67">
        <f>IFERROR(IF(OR(N67="",N72=""),"",(N67-N62)/(N72-N62)),"")</f>
        <v/>
      </c>
      <c r="U67" s="22">
        <f>IFERROR(IF(OR(T67="",U72=""),"",U62*(U72/U62)^T67),"")</f>
        <v/>
      </c>
      <c r="V67">
        <f>IFERROR(IF(OR(U67="",Q67=0),0,P67*U67),"")</f>
        <v/>
      </c>
    </row>
    <row r="68">
      <c r="K68" s="19" t="inlineStr">
        <is>
          <t>46Y</t>
        </is>
      </c>
      <c r="L68" t="n">
        <v>46</v>
      </c>
      <c r="M68" s="20">
        <f>IFERROR(IF($C$3="","",IF(MONTH((EDATE($C$4,552))+IF(WEEKDAY((EDATE($C$4,552)),2)=6,2,IF(WEEKDAY((EDATE($C$4,552)),2)=7,1,0)))&lt;&gt;MONTH(EDATE($C$4,552)),(EDATE($C$4,552))-IF(WEEKDAY((EDATE($C$4,552)),2)=6,1,IF(WEEKDAY((EDATE($C$4,552)),2)=7,2,0)),(EDATE($C$4,552))+IF(WEEKDAY((EDATE($C$4,552)),2)=6,2,IF(WEEKDAY((EDATE($C$4,552)),2)=7,1,0)))),"")</f>
        <v/>
      </c>
      <c r="N68">
        <f>IFERROR(IF(M68="","",(M68-$C$3)/365),"")</f>
        <v/>
      </c>
      <c r="O68">
        <f>IFERROR(IF(M68="","",(M68-$C$4)/360),"")</f>
        <v/>
      </c>
      <c r="P68">
        <f>IFERROR(IF(M68="","",(M68-M67)/360),"")</f>
        <v/>
      </c>
      <c r="Q68" t="n">
        <v>1</v>
      </c>
      <c r="R68">
        <f>IFERROR(IF(COUNTIF($A$8:$A$59,"46Y")&gt;0,1,0),"")</f>
        <v/>
      </c>
      <c r="S68" s="21">
        <f>IFERROR(IF(R68=1,IFERROR(INDEX($C$8:$C$59,MATCH("46Y",$A$8:$A$59,0)),INDEX($C$8:$C$59,MATCH("46Y",$A$8:$A$59,0))),S62+(S72-S62)*0.6000000000),"")</f>
        <v/>
      </c>
      <c r="T68">
        <f>IFERROR(IF(OR(N68="",N72=""),"",(N68-N62)/(N72-N62)),"")</f>
        <v/>
      </c>
      <c r="U68" s="22">
        <f>IFERROR(IF(OR(T68="",U72=""),"",U62*(U72/U62)^T68),"")</f>
        <v/>
      </c>
      <c r="V68">
        <f>IFERROR(IF(OR(U68="",Q68=0),0,P68*U68),"")</f>
        <v/>
      </c>
    </row>
    <row r="69">
      <c r="K69" s="19" t="inlineStr">
        <is>
          <t>47Y</t>
        </is>
      </c>
      <c r="L69" t="n">
        <v>47</v>
      </c>
      <c r="M69" s="20">
        <f>IFERROR(IF($C$3="","",IF(MONTH((EDATE($C$4,564))+IF(WEEKDAY((EDATE($C$4,564)),2)=6,2,IF(WEEKDAY((EDATE($C$4,564)),2)=7,1,0)))&lt;&gt;MONTH(EDATE($C$4,564)),(EDATE($C$4,564))-IF(WEEKDAY((EDATE($C$4,564)),2)=6,1,IF(WEEKDAY((EDATE($C$4,564)),2)=7,2,0)),(EDATE($C$4,564))+IF(WEEKDAY((EDATE($C$4,564)),2)=6,2,IF(WEEKDAY((EDATE($C$4,564)),2)=7,1,0)))),"")</f>
        <v/>
      </c>
      <c r="N69">
        <f>IFERROR(IF(M69="","",(M69-$C$3)/365),"")</f>
        <v/>
      </c>
      <c r="O69">
        <f>IFERROR(IF(M69="","",(M69-$C$4)/360),"")</f>
        <v/>
      </c>
      <c r="P69">
        <f>IFERROR(IF(M69="","",(M69-M68)/360),"")</f>
        <v/>
      </c>
      <c r="Q69" t="n">
        <v>1</v>
      </c>
      <c r="R69">
        <f>IFERROR(IF(COUNTIF($A$8:$A$59,"47Y")&gt;0,1,0),"")</f>
        <v/>
      </c>
      <c r="S69" s="21">
        <f>IFERROR(IF(R69=1,IFERROR(INDEX($C$8:$C$59,MATCH("47Y",$A$8:$A$59,0)),INDEX($C$8:$C$59,MATCH("47Y",$A$8:$A$59,0))),S62+(S72-S62)*0.7000000000),"")</f>
        <v/>
      </c>
      <c r="T69">
        <f>IFERROR(IF(OR(N69="",N72=""),"",(N69-N62)/(N72-N62)),"")</f>
        <v/>
      </c>
      <c r="U69" s="22">
        <f>IFERROR(IF(OR(T69="",U72=""),"",U62*(U72/U62)^T69),"")</f>
        <v/>
      </c>
      <c r="V69">
        <f>IFERROR(IF(OR(U69="",Q69=0),0,P69*U69),"")</f>
        <v/>
      </c>
    </row>
    <row r="70">
      <c r="K70" s="19" t="inlineStr">
        <is>
          <t>48Y</t>
        </is>
      </c>
      <c r="L70" t="n">
        <v>48</v>
      </c>
      <c r="M70" s="20">
        <f>IFERROR(IF($C$3="","",IF(MONTH((EDATE($C$4,576))+IF(WEEKDAY((EDATE($C$4,576)),2)=6,2,IF(WEEKDAY((EDATE($C$4,576)),2)=7,1,0)))&lt;&gt;MONTH(EDATE($C$4,576)),(EDATE($C$4,576))-IF(WEEKDAY((EDATE($C$4,576)),2)=6,1,IF(WEEKDAY((EDATE($C$4,576)),2)=7,2,0)),(EDATE($C$4,576))+IF(WEEKDAY((EDATE($C$4,576)),2)=6,2,IF(WEEKDAY((EDATE($C$4,576)),2)=7,1,0)))),"")</f>
        <v/>
      </c>
      <c r="N70">
        <f>IFERROR(IF(M70="","",(M70-$C$3)/365),"")</f>
        <v/>
      </c>
      <c r="O70">
        <f>IFERROR(IF(M70="","",(M70-$C$4)/360),"")</f>
        <v/>
      </c>
      <c r="P70">
        <f>IFERROR(IF(M70="","",(M70-M69)/360),"")</f>
        <v/>
      </c>
      <c r="Q70" t="n">
        <v>1</v>
      </c>
      <c r="R70">
        <f>IFERROR(IF(COUNTIF($A$8:$A$59,"48Y")&gt;0,1,0),"")</f>
        <v/>
      </c>
      <c r="S70" s="21">
        <f>IFERROR(IF(R70=1,IFERROR(INDEX($C$8:$C$59,MATCH("48Y",$A$8:$A$59,0)),INDEX($C$8:$C$59,MATCH("48Y",$A$8:$A$59,0))),S62+(S72-S62)*0.8000000000),"")</f>
        <v/>
      </c>
      <c r="T70">
        <f>IFERROR(IF(OR(N70="",N72=""),"",(N70-N62)/(N72-N62)),"")</f>
        <v/>
      </c>
      <c r="U70" s="22">
        <f>IFERROR(IF(OR(T70="",U72=""),"",U62*(U72/U62)^T70),"")</f>
        <v/>
      </c>
      <c r="V70">
        <f>IFERROR(IF(OR(U70="",Q70=0),0,P70*U70),"")</f>
        <v/>
      </c>
    </row>
    <row r="71">
      <c r="K71" s="19" t="inlineStr">
        <is>
          <t>49Y</t>
        </is>
      </c>
      <c r="L71" t="n">
        <v>49</v>
      </c>
      <c r="M71" s="20">
        <f>IFERROR(IF($C$3="","",IF(MONTH((EDATE($C$4,588))+IF(WEEKDAY((EDATE($C$4,588)),2)=6,2,IF(WEEKDAY((EDATE($C$4,588)),2)=7,1,0)))&lt;&gt;MONTH(EDATE($C$4,588)),(EDATE($C$4,588))-IF(WEEKDAY((EDATE($C$4,588)),2)=6,1,IF(WEEKDAY((EDATE($C$4,588)),2)=7,2,0)),(EDATE($C$4,588))+IF(WEEKDAY((EDATE($C$4,588)),2)=6,2,IF(WEEKDAY((EDATE($C$4,588)),2)=7,1,0)))),"")</f>
        <v/>
      </c>
      <c r="N71">
        <f>IFERROR(IF(M71="","",(M71-$C$3)/365),"")</f>
        <v/>
      </c>
      <c r="O71">
        <f>IFERROR(IF(M71="","",(M71-$C$4)/360),"")</f>
        <v/>
      </c>
      <c r="P71">
        <f>IFERROR(IF(M71="","",(M71-M70)/360),"")</f>
        <v/>
      </c>
      <c r="Q71" t="n">
        <v>1</v>
      </c>
      <c r="R71">
        <f>IFERROR(IF(COUNTIF($A$8:$A$59,"49Y")&gt;0,1,0),"")</f>
        <v/>
      </c>
      <c r="S71" s="21">
        <f>IFERROR(IF(R71=1,IFERROR(INDEX($C$8:$C$59,MATCH("49Y",$A$8:$A$59,0)),INDEX($C$8:$C$59,MATCH("49Y",$A$8:$A$59,0))),S62+(S72-S62)*0.9000000000),"")</f>
        <v/>
      </c>
      <c r="T71">
        <f>IFERROR(IF(OR(N71="",N72=""),"",(N71-N62)/(N72-N62)),"")</f>
        <v/>
      </c>
      <c r="U71" s="22">
        <f>IFERROR(IF(OR(T71="",U72=""),"",U62*(U72/U62)^T71),"")</f>
        <v/>
      </c>
      <c r="V71">
        <f>IFERROR(IF(OR(U71="",Q71=0),0,P71*U71),"")</f>
        <v/>
      </c>
    </row>
    <row r="72">
      <c r="K72" s="19" t="inlineStr">
        <is>
          <t>50Y</t>
        </is>
      </c>
      <c r="L72" t="n">
        <v>50</v>
      </c>
      <c r="M72" s="20">
        <f>IFERROR(IF($C$3="","",IF(MONTH((EDATE($C$4,600))+IF(WEEKDAY((EDATE($C$4,600)),2)=6,2,IF(WEEKDAY((EDATE($C$4,600)),2)=7,1,0)))&lt;&gt;MONTH(EDATE($C$4,600)),(EDATE($C$4,600))-IF(WEEKDAY((EDATE($C$4,600)),2)=6,1,IF(WEEKDAY((EDATE($C$4,600)),2)=7,2,0)),(EDATE($C$4,600))+IF(WEEKDAY((EDATE($C$4,600)),2)=6,2,IF(WEEKDAY((EDATE($C$4,600)),2)=7,1,0)))),"")</f>
        <v/>
      </c>
      <c r="N72">
        <f>IFERROR(IF(M72="","",(M72-$C$3)/365),"")</f>
        <v/>
      </c>
      <c r="O72">
        <f>IFERROR(IF(M72="","",(M72-$C$4)/360),"")</f>
        <v/>
      </c>
      <c r="P72">
        <f>IFERROR(IF(M72="","",(M72-M71)/360),"")</f>
        <v/>
      </c>
      <c r="Q72" t="n">
        <v>1</v>
      </c>
      <c r="R72">
        <f>IFERROR(IF(COUNTIF($A$8:$A$59,"50Y")&gt;0,1,0),"")</f>
        <v/>
      </c>
      <c r="S72" s="21">
        <f>IFERROR(IFERROR(INDEX($C$8:$C$59,MATCH("50Y",$A$8:$A$59,0)),INDEX($C$8:$C$59,MATCH("50Y",$A$8:$A$59,0))),"")</f>
        <v/>
      </c>
      <c r="U72" s="22">
        <f>IFERROR(IF(S72="","",AM72),"")</f>
        <v/>
      </c>
      <c r="V72">
        <f>IFERROR(IF(OR(U72="",Q72=0),0,P72*U72),"")</f>
        <v/>
      </c>
      <c r="X72" s="23">
        <f>IFERROR(IF(S72="","",U62*0.9),"")</f>
        <v/>
      </c>
      <c r="Y72" s="23">
        <f>IFERROR(IF(S72="","",(1-(S72/100)*(SUM($V$8:V62)+SUMPRODUCT($P$63:$P$71,$Q$63:$Q$71,U62*(X72/U62)^$T$63:$T$71)))/(1+(S72/100)*P72)),"")</f>
        <v/>
      </c>
      <c r="Z72" s="23">
        <f>IFERROR(IF(S72="","",(1-(S72/100)*(SUM($V$8:V62)+SUMPRODUCT($P$63:$P$71,$Q$63:$Q$71,U62*(Y72/U62)^$T$63:$T$71)))/(1+(S72/100)*P72)),"")</f>
        <v/>
      </c>
      <c r="AA72" s="23">
        <f>IFERROR(IF(S72="","",(1-(S72/100)*(SUM($V$8:V62)+SUMPRODUCT($P$63:$P$71,$Q$63:$Q$71,U62*(Z72/U62)^$T$63:$T$71)))/(1+(S72/100)*P72)),"")</f>
        <v/>
      </c>
      <c r="AB72" s="23">
        <f>IFERROR(IF(S72="","",(1-(S72/100)*(SUM($V$8:V62)+SUMPRODUCT($P$63:$P$71,$Q$63:$Q$71,U62*(AA72/U62)^$T$63:$T$71)))/(1+(S72/100)*P72)),"")</f>
        <v/>
      </c>
      <c r="AC72" s="23">
        <f>IFERROR(IF(S72="","",(1-(S72/100)*(SUM($V$8:V62)+SUMPRODUCT($P$63:$P$71,$Q$63:$Q$71,U62*(AB72/U62)^$T$63:$T$71)))/(1+(S72/100)*P72)),"")</f>
        <v/>
      </c>
      <c r="AD72" s="23">
        <f>IFERROR(IF(S72="","",(1-(S72/100)*(SUM($V$8:V62)+SUMPRODUCT($P$63:$P$71,$Q$63:$Q$71,U62*(AC72/U62)^$T$63:$T$71)))/(1+(S72/100)*P72)),"")</f>
        <v/>
      </c>
      <c r="AE72" s="23">
        <f>IFERROR(IF(S72="","",(1-(S72/100)*(SUM($V$8:V62)+SUMPRODUCT($P$63:$P$71,$Q$63:$Q$71,U62*(AD72/U62)^$T$63:$T$71)))/(1+(S72/100)*P72)),"")</f>
        <v/>
      </c>
      <c r="AF72" s="23">
        <f>IFERROR(IF(S72="","",(1-(S72/100)*(SUM($V$8:V62)+SUMPRODUCT($P$63:$P$71,$Q$63:$Q$71,U62*(AE72/U62)^$T$63:$T$71)))/(1+(S72/100)*P72)),"")</f>
        <v/>
      </c>
      <c r="AG72" s="23">
        <f>IFERROR(IF(S72="","",(1-(S72/100)*(SUM($V$8:V62)+SUMPRODUCT($P$63:$P$71,$Q$63:$Q$71,U62*(AF72/U62)^$T$63:$T$71)))/(1+(S72/100)*P72)),"")</f>
        <v/>
      </c>
      <c r="AH72" s="23">
        <f>IFERROR(IF(S72="","",(1-(S72/100)*(SUM($V$8:V62)+SUMPRODUCT($P$63:$P$71,$Q$63:$Q$71,U62*(AG72/U62)^$T$63:$T$71)))/(1+(S72/100)*P72)),"")</f>
        <v/>
      </c>
      <c r="AI72" s="23">
        <f>IFERROR(IF(S72="","",(1-(S72/100)*(SUM($V$8:V62)+SUMPRODUCT($P$63:$P$71,$Q$63:$Q$71,U62*(AH72/U62)^$T$63:$T$71)))/(1+(S72/100)*P72)),"")</f>
        <v/>
      </c>
      <c r="AJ72" s="23">
        <f>IFERROR(IF(S72="","",(1-(S72/100)*(SUM($V$8:V62)+SUMPRODUCT($P$63:$P$71,$Q$63:$Q$71,U62*(AI72/U62)^$T$63:$T$71)))/(1+(S72/100)*P72)),"")</f>
        <v/>
      </c>
      <c r="AK72" s="23">
        <f>IFERROR(IF(S72="","",(1-(S72/100)*(SUM($V$8:V62)+SUMPRODUCT($P$63:$P$71,$Q$63:$Q$71,U62*(AJ72/U62)^$T$63:$T$71)))/(1+(S72/100)*P72)),"")</f>
        <v/>
      </c>
      <c r="AL72" s="23">
        <f>IFERROR(IF(S72="","",(1-(S72/100)*(SUM($V$8:V62)+SUMPRODUCT($P$63:$P$71,$Q$63:$Q$71,U62*(AK72/U62)^$T$63:$T$71)))/(1+(S72/100)*P72)),"")</f>
        <v/>
      </c>
      <c r="AM72" s="23">
        <f>IFERROR(IF(S72="","",(1-(S72/100)*(SUM($V$8:V62)+SUMPRODUCT($P$63:$P$71,$Q$63:$Q$71,U62*(AL72/U62)^$T$63:$T$71)))/(1+(S72/100)*P72)),"")</f>
        <v/>
      </c>
    </row>
    <row r="75">
      <c r="A75" s="1" t="inlineStr">
        <is>
          <t>CURVE TEST CASE 2 — paste and read</t>
        </is>
      </c>
    </row>
    <row r="76">
      <c r="A76" s="2" t="inlineStr">
        <is>
          <t>Paste YELLOW A:E straight off the capture — tenor, date, swap mid, BBG zero, BBG discount. Set the curve date. Green is computed here; this sheet points at nothing outside itself.</t>
        </is>
      </c>
    </row>
    <row r="77">
      <c r="B77" s="3" t="inlineStr">
        <is>
          <t>Curve date →</t>
        </is>
      </c>
      <c r="C77" s="4" t="n"/>
      <c r="D77" s="5">
        <f>IF($C$77="","&lt;&lt;&lt;  ENTER THE CURVE DATE  —  nothing computes without it","")</f>
        <v/>
      </c>
    </row>
    <row r="78">
      <c r="B78" s="3" t="inlineStr">
        <is>
          <t>Spot (T+2bd) →</t>
        </is>
      </c>
      <c r="C78" s="6">
        <f>IF($C$77="","",($C$77+IF(WEEKDAY($C$77,2)=6,2,IF(WEEKDAY($C$77,2)=7,1,0)))+IF(WEEKDAY(($C$77+IF(WEEKDAY($C$77,2)=6,2,IF(WEEKDAY($C$77,2)=7,1,0))),2)&gt;=4,4,2))</f>
        <v/>
      </c>
    </row>
    <row r="81">
      <c r="A81" s="7" t="inlineStr">
        <is>
          <t>Tenor</t>
        </is>
      </c>
      <c r="B81" s="7" t="inlineStr">
        <is>
          <t>Date</t>
        </is>
      </c>
      <c r="C81" s="7" t="inlineStr">
        <is>
          <t>Swap rate (mid) %</t>
        </is>
      </c>
      <c r="D81" s="7" t="inlineStr">
        <is>
          <t>BBG zero %</t>
        </is>
      </c>
      <c r="E81" s="7" t="inlineStr">
        <is>
          <t>BBG discount</t>
        </is>
      </c>
      <c r="F81" s="7" t="inlineStr">
        <is>
          <t>Our zero %</t>
        </is>
      </c>
      <c r="G81" s="7" t="inlineStr">
        <is>
          <t>Our discount</t>
        </is>
      </c>
      <c r="H81" s="7" t="inlineStr">
        <is>
          <t>d zero bp</t>
        </is>
      </c>
      <c r="I81" s="7" t="inlineStr">
        <is>
          <t>d DF</t>
        </is>
      </c>
      <c r="J81" s="7" t="inlineStr">
        <is>
          <t>date check</t>
        </is>
      </c>
      <c r="K81" s="8" t="inlineStr">
        <is>
          <t>tenor</t>
        </is>
      </c>
      <c r="L81" s="8" t="inlineStr">
        <is>
          <t>yrs</t>
        </is>
      </c>
      <c r="M81" s="8" t="inlineStr">
        <is>
          <t>date</t>
        </is>
      </c>
      <c r="N81" s="8" t="inlineStr">
        <is>
          <t>T</t>
        </is>
      </c>
      <c r="O81" s="8" t="inlineStr">
        <is>
          <t>tau0</t>
        </is>
      </c>
      <c r="P81" s="8" t="inlineStr">
        <is>
          <t>tauC</t>
        </is>
      </c>
      <c r="Q81" s="8" t="inlineStr">
        <is>
          <t>sched</t>
        </is>
      </c>
      <c r="R81" s="8" t="inlineStr">
        <is>
          <t>quoted</t>
        </is>
      </c>
      <c r="S81" s="8" t="inlineStr">
        <is>
          <t>S %</t>
        </is>
      </c>
      <c r="T81" s="8" t="inlineStr">
        <is>
          <t>w</t>
        </is>
      </c>
      <c r="U81" s="8" t="inlineStr">
        <is>
          <t>DF</t>
        </is>
      </c>
      <c r="V81" s="8" t="inlineStr">
        <is>
          <t>ann add</t>
        </is>
      </c>
      <c r="X81" s="9" t="inlineStr">
        <is>
          <t>solve →</t>
        </is>
      </c>
    </row>
    <row r="82">
      <c r="A82" s="10" t="n"/>
      <c r="B82" s="11" t="n"/>
      <c r="C82" s="12" t="n"/>
      <c r="D82" s="12" t="n"/>
      <c r="E82" s="13" t="n"/>
      <c r="F82" s="14">
        <f>IF(OR($A82="",G82=""),"",-LN(G82)/INDEX($N$82:$N$146,IFERROR(MATCH($A82,$K$82:$K$146,0),MATCH(IF($A82="1Y","12M",IF($A82="12M","1Y",$A82)),$K$82:$K$146,0)))*100)</f>
        <v/>
      </c>
      <c r="G82" s="15">
        <f>IF($A82="","",IFERROR(INDEX($U$82:$U$146,IFERROR(MATCH($A82,$K$82:$K$146,0),MATCH(IF($A82="1Y","12M",IF($A82="12M","1Y",$A82)),$K$82:$K$146,0))),""))</f>
        <v/>
      </c>
      <c r="H82" s="16">
        <f>IF(OR(F82="",NOT(ISNUMBER(D82))),"",(F82-D82)*100)</f>
        <v/>
      </c>
      <c r="I82" s="17">
        <f>IF(OR(G82="",NOT(ISNUMBER(E82))),"",G82-E82)</f>
        <v/>
      </c>
      <c r="J82" s="18">
        <f>IF(OR($A82="",NOT(ISNUMBER($B82))),"",IF(ABS($B82-INDEX($M$82:$M$146,IFERROR(MATCH($A82,$K$82:$K$146,0),MATCH(IF($A82="1Y","12M",IF($A82="12M","1Y",$A82)),$K$82:$K$146,0))))&lt;=3,"ok","MISMATCH "&amp;TEXT(INDEX($M$82:$M$146,IFERROR(MATCH($A82,$K$82:$K$146,0),MATCH(IF($A82="1Y","12M",IF($A82="12M","1Y",$A82)),$K$82:$K$146,0))),"mm/dd/yy")))</f>
        <v/>
      </c>
      <c r="K82" s="19" t="inlineStr">
        <is>
          <t>1W</t>
        </is>
      </c>
      <c r="L82" t="n">
        <v>0.01923076923076923</v>
      </c>
      <c r="M82" s="20">
        <f>IFERROR(IF($C$77="","",IF(MONTH(($C$78+7*1)+IF(WEEKDAY(($C$78+7*1),2)=6,2,IF(WEEKDAY(($C$78+7*1),2)=7,1,0)))&lt;&gt;MONTH($C$78+7*1),($C$78+7*1)-IF(WEEKDAY(($C$78+7*1),2)=6,1,IF(WEEKDAY(($C$78+7*1),2)=7,2,0)),($C$78+7*1)+IF(WEEKDAY(($C$78+7*1),2)=6,2,IF(WEEKDAY(($C$78+7*1),2)=7,1,0)))),"")</f>
        <v/>
      </c>
      <c r="N82">
        <f>IFERROR(IF(M82="","",(M82-$C$77)/365),"")</f>
        <v/>
      </c>
      <c r="O82">
        <f>IFERROR(IF(M82="","",(M82-$C$77)/360),"")</f>
        <v/>
      </c>
      <c r="P82">
        <f>IFERROR(IF(M82="","",(M82-$C$77)/360),"")</f>
        <v/>
      </c>
      <c r="Q82" t="n">
        <v>0</v>
      </c>
      <c r="R82">
        <f>IFERROR(IF(COUNTIF($A$82:$A$133,"1W")&gt;0,1,0),"")</f>
        <v/>
      </c>
      <c r="S82" s="21">
        <f>IFERROR(IFERROR(INDEX($C$82:$C$133,MATCH("1W",$A$82:$A$133,0)),INDEX($C$82:$C$133,MATCH("1W",$A$82:$A$133,0))),"")</f>
        <v/>
      </c>
      <c r="U82" s="22">
        <f>IFERROR(IF(S82="","",1/(1+(S82/100)*O82)),"")</f>
        <v/>
      </c>
      <c r="V82">
        <f>IFERROR(IF(OR(U82="",Q82=0),0,P82*U82),"")</f>
        <v/>
      </c>
    </row>
    <row r="83">
      <c r="A83" s="10" t="n"/>
      <c r="B83" s="11" t="n"/>
      <c r="C83" s="12" t="n"/>
      <c r="D83" s="12" t="n"/>
      <c r="E83" s="13" t="n"/>
      <c r="F83" s="14">
        <f>IF(OR($A83="",G83=""),"",-LN(G83)/INDEX($N$82:$N$146,IFERROR(MATCH($A83,$K$82:$K$146,0),MATCH(IF($A83="1Y","12M",IF($A83="12M","1Y",$A83)),$K$82:$K$146,0)))*100)</f>
        <v/>
      </c>
      <c r="G83" s="15">
        <f>IF($A83="","",IFERROR(INDEX($U$82:$U$146,IFERROR(MATCH($A83,$K$82:$K$146,0),MATCH(IF($A83="1Y","12M",IF($A83="12M","1Y",$A83)),$K$82:$K$146,0))),""))</f>
        <v/>
      </c>
      <c r="H83" s="16">
        <f>IF(OR(F83="",NOT(ISNUMBER(D83))),"",(F83-D83)*100)</f>
        <v/>
      </c>
      <c r="I83" s="17">
        <f>IF(OR(G83="",NOT(ISNUMBER(E83))),"",G83-E83)</f>
        <v/>
      </c>
      <c r="J83" s="18">
        <f>IF(OR($A83="",NOT(ISNUMBER($B83))),"",IF(ABS($B83-INDEX($M$82:$M$146,IFERROR(MATCH($A83,$K$82:$K$146,0),MATCH(IF($A83="1Y","12M",IF($A83="12M","1Y",$A83)),$K$82:$K$146,0))))&lt;=3,"ok","MISMATCH "&amp;TEXT(INDEX($M$82:$M$146,IFERROR(MATCH($A83,$K$82:$K$146,0),MATCH(IF($A83="1Y","12M",IF($A83="12M","1Y",$A83)),$K$82:$K$146,0))),"mm/dd/yy")))</f>
        <v/>
      </c>
      <c r="K83" s="19" t="inlineStr">
        <is>
          <t>2W</t>
        </is>
      </c>
      <c r="L83" t="n">
        <v>0.03846153846153846</v>
      </c>
      <c r="M83" s="20">
        <f>IFERROR(IF($C$77="","",IF(MONTH(($C$78+7*2)+IF(WEEKDAY(($C$78+7*2),2)=6,2,IF(WEEKDAY(($C$78+7*2),2)=7,1,0)))&lt;&gt;MONTH($C$78+7*2),($C$78+7*2)-IF(WEEKDAY(($C$78+7*2),2)=6,1,IF(WEEKDAY(($C$78+7*2),2)=7,2,0)),($C$78+7*2)+IF(WEEKDAY(($C$78+7*2),2)=6,2,IF(WEEKDAY(($C$78+7*2),2)=7,1,0)))),"")</f>
        <v/>
      </c>
      <c r="N83">
        <f>IFERROR(IF(M83="","",(M83-$C$77)/365),"")</f>
        <v/>
      </c>
      <c r="O83">
        <f>IFERROR(IF(M83="","",(M83-$C$77)/360),"")</f>
        <v/>
      </c>
      <c r="P83">
        <f>IFERROR(IF(M83="","",(M83-$C$77)/360),"")</f>
        <v/>
      </c>
      <c r="Q83" t="n">
        <v>0</v>
      </c>
      <c r="R83">
        <f>IFERROR(IF(COUNTIF($A$82:$A$133,"2W")&gt;0,1,0),"")</f>
        <v/>
      </c>
      <c r="S83" s="21">
        <f>IFERROR(IFERROR(INDEX($C$82:$C$133,MATCH("2W",$A$82:$A$133,0)),INDEX($C$82:$C$133,MATCH("2W",$A$82:$A$133,0))),"")</f>
        <v/>
      </c>
      <c r="U83" s="22">
        <f>IFERROR(IF(S83="","",1/(1+(S83/100)*O83)),"")</f>
        <v/>
      </c>
      <c r="V83">
        <f>IFERROR(IF(OR(U83="",Q83=0),0,P83*U83),"")</f>
        <v/>
      </c>
    </row>
    <row r="84">
      <c r="A84" s="10" t="n"/>
      <c r="B84" s="11" t="n"/>
      <c r="C84" s="12" t="n"/>
      <c r="D84" s="12" t="n"/>
      <c r="E84" s="13" t="n"/>
      <c r="F84" s="14">
        <f>IF(OR($A84="",G84=""),"",-LN(G84)/INDEX($N$82:$N$146,IFERROR(MATCH($A84,$K$82:$K$146,0),MATCH(IF($A84="1Y","12M",IF($A84="12M","1Y",$A84)),$K$82:$K$146,0)))*100)</f>
        <v/>
      </c>
      <c r="G84" s="15">
        <f>IF($A84="","",IFERROR(INDEX($U$82:$U$146,IFERROR(MATCH($A84,$K$82:$K$146,0),MATCH(IF($A84="1Y","12M",IF($A84="12M","1Y",$A84)),$K$82:$K$146,0))),""))</f>
        <v/>
      </c>
      <c r="H84" s="16">
        <f>IF(OR(F84="",NOT(ISNUMBER(D84))),"",(F84-D84)*100)</f>
        <v/>
      </c>
      <c r="I84" s="17">
        <f>IF(OR(G84="",NOT(ISNUMBER(E84))),"",G84-E84)</f>
        <v/>
      </c>
      <c r="J84" s="18">
        <f>IF(OR($A84="",NOT(ISNUMBER($B84))),"",IF(ABS($B84-INDEX($M$82:$M$146,IFERROR(MATCH($A84,$K$82:$K$146,0),MATCH(IF($A84="1Y","12M",IF($A84="12M","1Y",$A84)),$K$82:$K$146,0))))&lt;=3,"ok","MISMATCH "&amp;TEXT(INDEX($M$82:$M$146,IFERROR(MATCH($A84,$K$82:$K$146,0),MATCH(IF($A84="1Y","12M",IF($A84="12M","1Y",$A84)),$K$82:$K$146,0))),"mm/dd/yy")))</f>
        <v/>
      </c>
      <c r="K84" s="19" t="inlineStr">
        <is>
          <t>3W</t>
        </is>
      </c>
      <c r="L84" t="n">
        <v>0.0576923076923077</v>
      </c>
      <c r="M84" s="20">
        <f>IFERROR(IF($C$77="","",IF(MONTH(($C$78+7*3)+IF(WEEKDAY(($C$78+7*3),2)=6,2,IF(WEEKDAY(($C$78+7*3),2)=7,1,0)))&lt;&gt;MONTH($C$78+7*3),($C$78+7*3)-IF(WEEKDAY(($C$78+7*3),2)=6,1,IF(WEEKDAY(($C$78+7*3),2)=7,2,0)),($C$78+7*3)+IF(WEEKDAY(($C$78+7*3),2)=6,2,IF(WEEKDAY(($C$78+7*3),2)=7,1,0)))),"")</f>
        <v/>
      </c>
      <c r="N84">
        <f>IFERROR(IF(M84="","",(M84-$C$77)/365),"")</f>
        <v/>
      </c>
      <c r="O84">
        <f>IFERROR(IF(M84="","",(M84-$C$77)/360),"")</f>
        <v/>
      </c>
      <c r="P84">
        <f>IFERROR(IF(M84="","",(M84-$C$77)/360),"")</f>
        <v/>
      </c>
      <c r="Q84" t="n">
        <v>0</v>
      </c>
      <c r="R84">
        <f>IFERROR(IF(COUNTIF($A$82:$A$133,"3W")&gt;0,1,0),"")</f>
        <v/>
      </c>
      <c r="S84" s="21">
        <f>IFERROR(IFERROR(INDEX($C$82:$C$133,MATCH("3W",$A$82:$A$133,0)),INDEX($C$82:$C$133,MATCH("3W",$A$82:$A$133,0))),"")</f>
        <v/>
      </c>
      <c r="U84" s="22">
        <f>IFERROR(IF(S84="","",1/(1+(S84/100)*O84)),"")</f>
        <v/>
      </c>
      <c r="V84">
        <f>IFERROR(IF(OR(U84="",Q84=0),0,P84*U84),"")</f>
        <v/>
      </c>
    </row>
    <row r="85">
      <c r="A85" s="10" t="n"/>
      <c r="B85" s="11" t="n"/>
      <c r="C85" s="12" t="n"/>
      <c r="D85" s="12" t="n"/>
      <c r="E85" s="13" t="n"/>
      <c r="F85" s="14">
        <f>IF(OR($A85="",G85=""),"",-LN(G85)/INDEX($N$82:$N$146,IFERROR(MATCH($A85,$K$82:$K$146,0),MATCH(IF($A85="1Y","12M",IF($A85="12M","1Y",$A85)),$K$82:$K$146,0)))*100)</f>
        <v/>
      </c>
      <c r="G85" s="15">
        <f>IF($A85="","",IFERROR(INDEX($U$82:$U$146,IFERROR(MATCH($A85,$K$82:$K$146,0),MATCH(IF($A85="1Y","12M",IF($A85="12M","1Y",$A85)),$K$82:$K$146,0))),""))</f>
        <v/>
      </c>
      <c r="H85" s="16">
        <f>IF(OR(F85="",NOT(ISNUMBER(D85))),"",(F85-D85)*100)</f>
        <v/>
      </c>
      <c r="I85" s="17">
        <f>IF(OR(G85="",NOT(ISNUMBER(E85))),"",G85-E85)</f>
        <v/>
      </c>
      <c r="J85" s="18">
        <f>IF(OR($A85="",NOT(ISNUMBER($B85))),"",IF(ABS($B85-INDEX($M$82:$M$146,IFERROR(MATCH($A85,$K$82:$K$146,0),MATCH(IF($A85="1Y","12M",IF($A85="12M","1Y",$A85)),$K$82:$K$146,0))))&lt;=3,"ok","MISMATCH "&amp;TEXT(INDEX($M$82:$M$146,IFERROR(MATCH($A85,$K$82:$K$146,0),MATCH(IF($A85="1Y","12M",IF($A85="12M","1Y",$A85)),$K$82:$K$146,0))),"mm/dd/yy")))</f>
        <v/>
      </c>
      <c r="K85" s="19" t="inlineStr">
        <is>
          <t>1M</t>
        </is>
      </c>
      <c r="L85" t="n">
        <v>0.08333333333333333</v>
      </c>
      <c r="M85" s="20">
        <f>IFERROR(IF($C$77="","",IF(MONTH((EDATE($C$78,1))+IF(WEEKDAY((EDATE($C$78,1)),2)=6,2,IF(WEEKDAY((EDATE($C$78,1)),2)=7,1,0)))&lt;&gt;MONTH(EDATE($C$78,1)),(EDATE($C$78,1))-IF(WEEKDAY((EDATE($C$78,1)),2)=6,1,IF(WEEKDAY((EDATE($C$78,1)),2)=7,2,0)),(EDATE($C$78,1))+IF(WEEKDAY((EDATE($C$78,1)),2)=6,2,IF(WEEKDAY((EDATE($C$78,1)),2)=7,1,0)))),"")</f>
        <v/>
      </c>
      <c r="N85">
        <f>IFERROR(IF(M85="","",(M85-$C$77)/365),"")</f>
        <v/>
      </c>
      <c r="O85">
        <f>IFERROR(IF(M85="","",(M85-$C$77)/360),"")</f>
        <v/>
      </c>
      <c r="P85">
        <f>IFERROR(IF(M85="","",(M85-$C$77)/360),"")</f>
        <v/>
      </c>
      <c r="Q85" t="n">
        <v>0</v>
      </c>
      <c r="R85">
        <f>IFERROR(IF(COUNTIF($A$82:$A$133,"1M")&gt;0,1,0),"")</f>
        <v/>
      </c>
      <c r="S85" s="21">
        <f>IFERROR(IFERROR(INDEX($C$82:$C$133,MATCH("1M",$A$82:$A$133,0)),INDEX($C$82:$C$133,MATCH("1M",$A$82:$A$133,0))),"")</f>
        <v/>
      </c>
      <c r="U85" s="22">
        <f>IFERROR(IF(S85="","",1/(1+(S85/100)*O85)),"")</f>
        <v/>
      </c>
      <c r="V85">
        <f>IFERROR(IF(OR(U85="",Q85=0),0,P85*U85),"")</f>
        <v/>
      </c>
    </row>
    <row r="86">
      <c r="A86" s="10" t="n"/>
      <c r="B86" s="11" t="n"/>
      <c r="C86" s="12" t="n"/>
      <c r="D86" s="12" t="n"/>
      <c r="E86" s="13" t="n"/>
      <c r="F86" s="14">
        <f>IF(OR($A86="",G86=""),"",-LN(G86)/INDEX($N$82:$N$146,IFERROR(MATCH($A86,$K$82:$K$146,0),MATCH(IF($A86="1Y","12M",IF($A86="12M","1Y",$A86)),$K$82:$K$146,0)))*100)</f>
        <v/>
      </c>
      <c r="G86" s="15">
        <f>IF($A86="","",IFERROR(INDEX($U$82:$U$146,IFERROR(MATCH($A86,$K$82:$K$146,0),MATCH(IF($A86="1Y","12M",IF($A86="12M","1Y",$A86)),$K$82:$K$146,0))),""))</f>
        <v/>
      </c>
      <c r="H86" s="16">
        <f>IF(OR(F86="",NOT(ISNUMBER(D86))),"",(F86-D86)*100)</f>
        <v/>
      </c>
      <c r="I86" s="17">
        <f>IF(OR(G86="",NOT(ISNUMBER(E86))),"",G86-E86)</f>
        <v/>
      </c>
      <c r="J86" s="18">
        <f>IF(OR($A86="",NOT(ISNUMBER($B86))),"",IF(ABS($B86-INDEX($M$82:$M$146,IFERROR(MATCH($A86,$K$82:$K$146,0),MATCH(IF($A86="1Y","12M",IF($A86="12M","1Y",$A86)),$K$82:$K$146,0))))&lt;=3,"ok","MISMATCH "&amp;TEXT(INDEX($M$82:$M$146,IFERROR(MATCH($A86,$K$82:$K$146,0),MATCH(IF($A86="1Y","12M",IF($A86="12M","1Y",$A86)),$K$82:$K$146,0))),"mm/dd/yy")))</f>
        <v/>
      </c>
      <c r="K86" s="19" t="inlineStr">
        <is>
          <t>2M</t>
        </is>
      </c>
      <c r="L86" t="n">
        <v>0.1666666666666667</v>
      </c>
      <c r="M86" s="20">
        <f>IFERROR(IF($C$77="","",IF(MONTH((EDATE($C$78,2))+IF(WEEKDAY((EDATE($C$78,2)),2)=6,2,IF(WEEKDAY((EDATE($C$78,2)),2)=7,1,0)))&lt;&gt;MONTH(EDATE($C$78,2)),(EDATE($C$78,2))-IF(WEEKDAY((EDATE($C$78,2)),2)=6,1,IF(WEEKDAY((EDATE($C$78,2)),2)=7,2,0)),(EDATE($C$78,2))+IF(WEEKDAY((EDATE($C$78,2)),2)=6,2,IF(WEEKDAY((EDATE($C$78,2)),2)=7,1,0)))),"")</f>
        <v/>
      </c>
      <c r="N86">
        <f>IFERROR(IF(M86="","",(M86-$C$77)/365),"")</f>
        <v/>
      </c>
      <c r="O86">
        <f>IFERROR(IF(M86="","",(M86-$C$77)/360),"")</f>
        <v/>
      </c>
      <c r="P86">
        <f>IFERROR(IF(M86="","",(M86-$C$77)/360),"")</f>
        <v/>
      </c>
      <c r="Q86" t="n">
        <v>0</v>
      </c>
      <c r="R86">
        <f>IFERROR(IF(COUNTIF($A$82:$A$133,"2M")&gt;0,1,0),"")</f>
        <v/>
      </c>
      <c r="S86" s="21">
        <f>IFERROR(IFERROR(INDEX($C$82:$C$133,MATCH("2M",$A$82:$A$133,0)),INDEX($C$82:$C$133,MATCH("2M",$A$82:$A$133,0))),"")</f>
        <v/>
      </c>
      <c r="U86" s="22">
        <f>IFERROR(IF(S86="","",1/(1+(S86/100)*O86)),"")</f>
        <v/>
      </c>
      <c r="V86">
        <f>IFERROR(IF(OR(U86="",Q86=0),0,P86*U86),"")</f>
        <v/>
      </c>
    </row>
    <row r="87">
      <c r="A87" s="10" t="n"/>
      <c r="B87" s="11" t="n"/>
      <c r="C87" s="12" t="n"/>
      <c r="D87" s="12" t="n"/>
      <c r="E87" s="13" t="n"/>
      <c r="F87" s="14">
        <f>IF(OR($A87="",G87=""),"",-LN(G87)/INDEX($N$82:$N$146,IFERROR(MATCH($A87,$K$82:$K$146,0),MATCH(IF($A87="1Y","12M",IF($A87="12M","1Y",$A87)),$K$82:$K$146,0)))*100)</f>
        <v/>
      </c>
      <c r="G87" s="15">
        <f>IF($A87="","",IFERROR(INDEX($U$82:$U$146,IFERROR(MATCH($A87,$K$82:$K$146,0),MATCH(IF($A87="1Y","12M",IF($A87="12M","1Y",$A87)),$K$82:$K$146,0))),""))</f>
        <v/>
      </c>
      <c r="H87" s="16">
        <f>IF(OR(F87="",NOT(ISNUMBER(D87))),"",(F87-D87)*100)</f>
        <v/>
      </c>
      <c r="I87" s="17">
        <f>IF(OR(G87="",NOT(ISNUMBER(E87))),"",G87-E87)</f>
        <v/>
      </c>
      <c r="J87" s="18">
        <f>IF(OR($A87="",NOT(ISNUMBER($B87))),"",IF(ABS($B87-INDEX($M$82:$M$146,IFERROR(MATCH($A87,$K$82:$K$146,0),MATCH(IF($A87="1Y","12M",IF($A87="12M","1Y",$A87)),$K$82:$K$146,0))))&lt;=3,"ok","MISMATCH "&amp;TEXT(INDEX($M$82:$M$146,IFERROR(MATCH($A87,$K$82:$K$146,0),MATCH(IF($A87="1Y","12M",IF($A87="12M","1Y",$A87)),$K$82:$K$146,0))),"mm/dd/yy")))</f>
        <v/>
      </c>
      <c r="K87" s="19" t="inlineStr">
        <is>
          <t>3M</t>
        </is>
      </c>
      <c r="L87" t="n">
        <v>0.25</v>
      </c>
      <c r="M87" s="20">
        <f>IFERROR(IF($C$77="","",IF(MONTH((EDATE($C$78,3))+IF(WEEKDAY((EDATE($C$78,3)),2)=6,2,IF(WEEKDAY((EDATE($C$78,3)),2)=7,1,0)))&lt;&gt;MONTH(EDATE($C$78,3)),(EDATE($C$78,3))-IF(WEEKDAY((EDATE($C$78,3)),2)=6,1,IF(WEEKDAY((EDATE($C$78,3)),2)=7,2,0)),(EDATE($C$78,3))+IF(WEEKDAY((EDATE($C$78,3)),2)=6,2,IF(WEEKDAY((EDATE($C$78,3)),2)=7,1,0)))),"")</f>
        <v/>
      </c>
      <c r="N87">
        <f>IFERROR(IF(M87="","",(M87-$C$77)/365),"")</f>
        <v/>
      </c>
      <c r="O87">
        <f>IFERROR(IF(M87="","",(M87-$C$77)/360),"")</f>
        <v/>
      </c>
      <c r="P87">
        <f>IFERROR(IF(M87="","",(M87-$C$77)/360),"")</f>
        <v/>
      </c>
      <c r="Q87" t="n">
        <v>0</v>
      </c>
      <c r="R87">
        <f>IFERROR(IF(COUNTIF($A$82:$A$133,"3M")&gt;0,1,0),"")</f>
        <v/>
      </c>
      <c r="S87" s="21">
        <f>IFERROR(IFERROR(INDEX($C$82:$C$133,MATCH("3M",$A$82:$A$133,0)),INDEX($C$82:$C$133,MATCH("3M",$A$82:$A$133,0))),"")</f>
        <v/>
      </c>
      <c r="U87" s="22">
        <f>IFERROR(IF(S87="","",1/(1+(S87/100)*O87)),"")</f>
        <v/>
      </c>
      <c r="V87">
        <f>IFERROR(IF(OR(U87="",Q87=0),0,P87*U87),"")</f>
        <v/>
      </c>
    </row>
    <row r="88">
      <c r="A88" s="10" t="n"/>
      <c r="B88" s="11" t="n"/>
      <c r="C88" s="12" t="n"/>
      <c r="D88" s="12" t="n"/>
      <c r="E88" s="13" t="n"/>
      <c r="F88" s="14">
        <f>IF(OR($A88="",G88=""),"",-LN(G88)/INDEX($N$82:$N$146,IFERROR(MATCH($A88,$K$82:$K$146,0),MATCH(IF($A88="1Y","12M",IF($A88="12M","1Y",$A88)),$K$82:$K$146,0)))*100)</f>
        <v/>
      </c>
      <c r="G88" s="15">
        <f>IF($A88="","",IFERROR(INDEX($U$82:$U$146,IFERROR(MATCH($A88,$K$82:$K$146,0),MATCH(IF($A88="1Y","12M",IF($A88="12M","1Y",$A88)),$K$82:$K$146,0))),""))</f>
        <v/>
      </c>
      <c r="H88" s="16">
        <f>IF(OR(F88="",NOT(ISNUMBER(D88))),"",(F88-D88)*100)</f>
        <v/>
      </c>
      <c r="I88" s="17">
        <f>IF(OR(G88="",NOT(ISNUMBER(E88))),"",G88-E88)</f>
        <v/>
      </c>
      <c r="J88" s="18">
        <f>IF(OR($A88="",NOT(ISNUMBER($B88))),"",IF(ABS($B88-INDEX($M$82:$M$146,IFERROR(MATCH($A88,$K$82:$K$146,0),MATCH(IF($A88="1Y","12M",IF($A88="12M","1Y",$A88)),$K$82:$K$146,0))))&lt;=3,"ok","MISMATCH "&amp;TEXT(INDEX($M$82:$M$146,IFERROR(MATCH($A88,$K$82:$K$146,0),MATCH(IF($A88="1Y","12M",IF($A88="12M","1Y",$A88)),$K$82:$K$146,0))),"mm/dd/yy")))</f>
        <v/>
      </c>
      <c r="K88" s="19" t="inlineStr">
        <is>
          <t>4M</t>
        </is>
      </c>
      <c r="L88" t="n">
        <v>0.3333333333333333</v>
      </c>
      <c r="M88" s="20">
        <f>IFERROR(IF($C$77="","",IF(MONTH((EDATE($C$78,4))+IF(WEEKDAY((EDATE($C$78,4)),2)=6,2,IF(WEEKDAY((EDATE($C$78,4)),2)=7,1,0)))&lt;&gt;MONTH(EDATE($C$78,4)),(EDATE($C$78,4))-IF(WEEKDAY((EDATE($C$78,4)),2)=6,1,IF(WEEKDAY((EDATE($C$78,4)),2)=7,2,0)),(EDATE($C$78,4))+IF(WEEKDAY((EDATE($C$78,4)),2)=6,2,IF(WEEKDAY((EDATE($C$78,4)),2)=7,1,0)))),"")</f>
        <v/>
      </c>
      <c r="N88">
        <f>IFERROR(IF(M88="","",(M88-$C$77)/365),"")</f>
        <v/>
      </c>
      <c r="O88">
        <f>IFERROR(IF(M88="","",(M88-$C$77)/360),"")</f>
        <v/>
      </c>
      <c r="P88">
        <f>IFERROR(IF(M88="","",(M88-$C$77)/360),"")</f>
        <v/>
      </c>
      <c r="Q88" t="n">
        <v>0</v>
      </c>
      <c r="R88">
        <f>IFERROR(IF(COUNTIF($A$82:$A$133,"4M")&gt;0,1,0),"")</f>
        <v/>
      </c>
      <c r="S88" s="21">
        <f>IFERROR(IFERROR(INDEX($C$82:$C$133,MATCH("4M",$A$82:$A$133,0)),INDEX($C$82:$C$133,MATCH("4M",$A$82:$A$133,0))),"")</f>
        <v/>
      </c>
      <c r="U88" s="22">
        <f>IFERROR(IF(S88="","",1/(1+(S88/100)*O88)),"")</f>
        <v/>
      </c>
      <c r="V88">
        <f>IFERROR(IF(OR(U88="",Q88=0),0,P88*U88),"")</f>
        <v/>
      </c>
    </row>
    <row r="89">
      <c r="A89" s="10" t="n"/>
      <c r="B89" s="11" t="n"/>
      <c r="C89" s="12" t="n"/>
      <c r="D89" s="12" t="n"/>
      <c r="E89" s="13" t="n"/>
      <c r="F89" s="14">
        <f>IF(OR($A89="",G89=""),"",-LN(G89)/INDEX($N$82:$N$146,IFERROR(MATCH($A89,$K$82:$K$146,0),MATCH(IF($A89="1Y","12M",IF($A89="12M","1Y",$A89)),$K$82:$K$146,0)))*100)</f>
        <v/>
      </c>
      <c r="G89" s="15">
        <f>IF($A89="","",IFERROR(INDEX($U$82:$U$146,IFERROR(MATCH($A89,$K$82:$K$146,0),MATCH(IF($A89="1Y","12M",IF($A89="12M","1Y",$A89)),$K$82:$K$146,0))),""))</f>
        <v/>
      </c>
      <c r="H89" s="16">
        <f>IF(OR(F89="",NOT(ISNUMBER(D89))),"",(F89-D89)*100)</f>
        <v/>
      </c>
      <c r="I89" s="17">
        <f>IF(OR(G89="",NOT(ISNUMBER(E89))),"",G89-E89)</f>
        <v/>
      </c>
      <c r="J89" s="18">
        <f>IF(OR($A89="",NOT(ISNUMBER($B89))),"",IF(ABS($B89-INDEX($M$82:$M$146,IFERROR(MATCH($A89,$K$82:$K$146,0),MATCH(IF($A89="1Y","12M",IF($A89="12M","1Y",$A89)),$K$82:$K$146,0))))&lt;=3,"ok","MISMATCH "&amp;TEXT(INDEX($M$82:$M$146,IFERROR(MATCH($A89,$K$82:$K$146,0),MATCH(IF($A89="1Y","12M",IF($A89="12M","1Y",$A89)),$K$82:$K$146,0))),"mm/dd/yy")))</f>
        <v/>
      </c>
      <c r="K89" s="19" t="inlineStr">
        <is>
          <t>5M</t>
        </is>
      </c>
      <c r="L89" t="n">
        <v>0.4166666666666667</v>
      </c>
      <c r="M89" s="20">
        <f>IFERROR(IF($C$77="","",IF(MONTH((EDATE($C$78,5))+IF(WEEKDAY((EDATE($C$78,5)),2)=6,2,IF(WEEKDAY((EDATE($C$78,5)),2)=7,1,0)))&lt;&gt;MONTH(EDATE($C$78,5)),(EDATE($C$78,5))-IF(WEEKDAY((EDATE($C$78,5)),2)=6,1,IF(WEEKDAY((EDATE($C$78,5)),2)=7,2,0)),(EDATE($C$78,5))+IF(WEEKDAY((EDATE($C$78,5)),2)=6,2,IF(WEEKDAY((EDATE($C$78,5)),2)=7,1,0)))),"")</f>
        <v/>
      </c>
      <c r="N89">
        <f>IFERROR(IF(M89="","",(M89-$C$77)/365),"")</f>
        <v/>
      </c>
      <c r="O89">
        <f>IFERROR(IF(M89="","",(M89-$C$77)/360),"")</f>
        <v/>
      </c>
      <c r="P89">
        <f>IFERROR(IF(M89="","",(M89-$C$77)/360),"")</f>
        <v/>
      </c>
      <c r="Q89" t="n">
        <v>0</v>
      </c>
      <c r="R89">
        <f>IFERROR(IF(COUNTIF($A$82:$A$133,"5M")&gt;0,1,0),"")</f>
        <v/>
      </c>
      <c r="S89" s="21">
        <f>IFERROR(IFERROR(INDEX($C$82:$C$133,MATCH("5M",$A$82:$A$133,0)),INDEX($C$82:$C$133,MATCH("5M",$A$82:$A$133,0))),"")</f>
        <v/>
      </c>
      <c r="U89" s="22">
        <f>IFERROR(IF(S89="","",1/(1+(S89/100)*O89)),"")</f>
        <v/>
      </c>
      <c r="V89">
        <f>IFERROR(IF(OR(U89="",Q89=0),0,P89*U89),"")</f>
        <v/>
      </c>
    </row>
    <row r="90">
      <c r="A90" s="10" t="n"/>
      <c r="B90" s="11" t="n"/>
      <c r="C90" s="12" t="n"/>
      <c r="D90" s="12" t="n"/>
      <c r="E90" s="13" t="n"/>
      <c r="F90" s="14">
        <f>IF(OR($A90="",G90=""),"",-LN(G90)/INDEX($N$82:$N$146,IFERROR(MATCH($A90,$K$82:$K$146,0),MATCH(IF($A90="1Y","12M",IF($A90="12M","1Y",$A90)),$K$82:$K$146,0)))*100)</f>
        <v/>
      </c>
      <c r="G90" s="15">
        <f>IF($A90="","",IFERROR(INDEX($U$82:$U$146,IFERROR(MATCH($A90,$K$82:$K$146,0),MATCH(IF($A90="1Y","12M",IF($A90="12M","1Y",$A90)),$K$82:$K$146,0))),""))</f>
        <v/>
      </c>
      <c r="H90" s="16">
        <f>IF(OR(F90="",NOT(ISNUMBER(D90))),"",(F90-D90)*100)</f>
        <v/>
      </c>
      <c r="I90" s="17">
        <f>IF(OR(G90="",NOT(ISNUMBER(E90))),"",G90-E90)</f>
        <v/>
      </c>
      <c r="J90" s="18">
        <f>IF(OR($A90="",NOT(ISNUMBER($B90))),"",IF(ABS($B90-INDEX($M$82:$M$146,IFERROR(MATCH($A90,$K$82:$K$146,0),MATCH(IF($A90="1Y","12M",IF($A90="12M","1Y",$A90)),$K$82:$K$146,0))))&lt;=3,"ok","MISMATCH "&amp;TEXT(INDEX($M$82:$M$146,IFERROR(MATCH($A90,$K$82:$K$146,0),MATCH(IF($A90="1Y","12M",IF($A90="12M","1Y",$A90)),$K$82:$K$146,0))),"mm/dd/yy")))</f>
        <v/>
      </c>
      <c r="K90" s="19" t="inlineStr">
        <is>
          <t>6M</t>
        </is>
      </c>
      <c r="L90" t="n">
        <v>0.5</v>
      </c>
      <c r="M90" s="20">
        <f>IFERROR(IF($C$77="","",IF(MONTH((EDATE($C$78,6))+IF(WEEKDAY((EDATE($C$78,6)),2)=6,2,IF(WEEKDAY((EDATE($C$78,6)),2)=7,1,0)))&lt;&gt;MONTH(EDATE($C$78,6)),(EDATE($C$78,6))-IF(WEEKDAY((EDATE($C$78,6)),2)=6,1,IF(WEEKDAY((EDATE($C$78,6)),2)=7,2,0)),(EDATE($C$78,6))+IF(WEEKDAY((EDATE($C$78,6)),2)=6,2,IF(WEEKDAY((EDATE($C$78,6)),2)=7,1,0)))),"")</f>
        <v/>
      </c>
      <c r="N90">
        <f>IFERROR(IF(M90="","",(M90-$C$77)/365),"")</f>
        <v/>
      </c>
      <c r="O90">
        <f>IFERROR(IF(M90="","",(M90-$C$77)/360),"")</f>
        <v/>
      </c>
      <c r="P90">
        <f>IFERROR(IF(M90="","",(M90-$C$77)/360),"")</f>
        <v/>
      </c>
      <c r="Q90" t="n">
        <v>0</v>
      </c>
      <c r="R90">
        <f>IFERROR(IF(COUNTIF($A$82:$A$133,"6M")&gt;0,1,0),"")</f>
        <v/>
      </c>
      <c r="S90" s="21">
        <f>IFERROR(IFERROR(INDEX($C$82:$C$133,MATCH("6M",$A$82:$A$133,0)),INDEX($C$82:$C$133,MATCH("6M",$A$82:$A$133,0))),"")</f>
        <v/>
      </c>
      <c r="U90" s="22">
        <f>IFERROR(IF(S90="","",1/(1+(S90/100)*O90)),"")</f>
        <v/>
      </c>
      <c r="V90">
        <f>IFERROR(IF(OR(U90="",Q90=0),0,P90*U90),"")</f>
        <v/>
      </c>
    </row>
    <row r="91">
      <c r="A91" s="10" t="n"/>
      <c r="B91" s="11" t="n"/>
      <c r="C91" s="12" t="n"/>
      <c r="D91" s="12" t="n"/>
      <c r="E91" s="13" t="n"/>
      <c r="F91" s="14">
        <f>IF(OR($A91="",G91=""),"",-LN(G91)/INDEX($N$82:$N$146,IFERROR(MATCH($A91,$K$82:$K$146,0),MATCH(IF($A91="1Y","12M",IF($A91="12M","1Y",$A91)),$K$82:$K$146,0)))*100)</f>
        <v/>
      </c>
      <c r="G91" s="15">
        <f>IF($A91="","",IFERROR(INDEX($U$82:$U$146,IFERROR(MATCH($A91,$K$82:$K$146,0),MATCH(IF($A91="1Y","12M",IF($A91="12M","1Y",$A91)),$K$82:$K$146,0))),""))</f>
        <v/>
      </c>
      <c r="H91" s="16">
        <f>IF(OR(F91="",NOT(ISNUMBER(D91))),"",(F91-D91)*100)</f>
        <v/>
      </c>
      <c r="I91" s="17">
        <f>IF(OR(G91="",NOT(ISNUMBER(E91))),"",G91-E91)</f>
        <v/>
      </c>
      <c r="J91" s="18">
        <f>IF(OR($A91="",NOT(ISNUMBER($B91))),"",IF(ABS($B91-INDEX($M$82:$M$146,IFERROR(MATCH($A91,$K$82:$K$146,0),MATCH(IF($A91="1Y","12M",IF($A91="12M","1Y",$A91)),$K$82:$K$146,0))))&lt;=3,"ok","MISMATCH "&amp;TEXT(INDEX($M$82:$M$146,IFERROR(MATCH($A91,$K$82:$K$146,0),MATCH(IF($A91="1Y","12M",IF($A91="12M","1Y",$A91)),$K$82:$K$146,0))),"mm/dd/yy")))</f>
        <v/>
      </c>
      <c r="K91" s="19" t="inlineStr">
        <is>
          <t>7M</t>
        </is>
      </c>
      <c r="L91" t="n">
        <v>0.5833333333333334</v>
      </c>
      <c r="M91" s="20">
        <f>IFERROR(IF($C$77="","",IF(MONTH((EDATE($C$78,7))+IF(WEEKDAY((EDATE($C$78,7)),2)=6,2,IF(WEEKDAY((EDATE($C$78,7)),2)=7,1,0)))&lt;&gt;MONTH(EDATE($C$78,7)),(EDATE($C$78,7))-IF(WEEKDAY((EDATE($C$78,7)),2)=6,1,IF(WEEKDAY((EDATE($C$78,7)),2)=7,2,0)),(EDATE($C$78,7))+IF(WEEKDAY((EDATE($C$78,7)),2)=6,2,IF(WEEKDAY((EDATE($C$78,7)),2)=7,1,0)))),"")</f>
        <v/>
      </c>
      <c r="N91">
        <f>IFERROR(IF(M91="","",(M91-$C$77)/365),"")</f>
        <v/>
      </c>
      <c r="O91">
        <f>IFERROR(IF(M91="","",(M91-$C$77)/360),"")</f>
        <v/>
      </c>
      <c r="P91">
        <f>IFERROR(IF(M91="","",(M91-$C$77)/360),"")</f>
        <v/>
      </c>
      <c r="Q91" t="n">
        <v>0</v>
      </c>
      <c r="R91">
        <f>IFERROR(IF(COUNTIF($A$82:$A$133,"7M")&gt;0,1,0),"")</f>
        <v/>
      </c>
      <c r="S91" s="21">
        <f>IFERROR(IFERROR(INDEX($C$82:$C$133,MATCH("7M",$A$82:$A$133,0)),INDEX($C$82:$C$133,MATCH("7M",$A$82:$A$133,0))),"")</f>
        <v/>
      </c>
      <c r="U91" s="22">
        <f>IFERROR(IF(S91="","",1/(1+(S91/100)*O91)),"")</f>
        <v/>
      </c>
      <c r="V91">
        <f>IFERROR(IF(OR(U91="",Q91=0),0,P91*U91),"")</f>
        <v/>
      </c>
    </row>
    <row r="92">
      <c r="A92" s="10" t="n"/>
      <c r="B92" s="11" t="n"/>
      <c r="C92" s="12" t="n"/>
      <c r="D92" s="12" t="n"/>
      <c r="E92" s="13" t="n"/>
      <c r="F92" s="14">
        <f>IF(OR($A92="",G92=""),"",-LN(G92)/INDEX($N$82:$N$146,IFERROR(MATCH($A92,$K$82:$K$146,0),MATCH(IF($A92="1Y","12M",IF($A92="12M","1Y",$A92)),$K$82:$K$146,0)))*100)</f>
        <v/>
      </c>
      <c r="G92" s="15">
        <f>IF($A92="","",IFERROR(INDEX($U$82:$U$146,IFERROR(MATCH($A92,$K$82:$K$146,0),MATCH(IF($A92="1Y","12M",IF($A92="12M","1Y",$A92)),$K$82:$K$146,0))),""))</f>
        <v/>
      </c>
      <c r="H92" s="16">
        <f>IF(OR(F92="",NOT(ISNUMBER(D92))),"",(F92-D92)*100)</f>
        <v/>
      </c>
      <c r="I92" s="17">
        <f>IF(OR(G92="",NOT(ISNUMBER(E92))),"",G92-E92)</f>
        <v/>
      </c>
      <c r="J92" s="18">
        <f>IF(OR($A92="",NOT(ISNUMBER($B92))),"",IF(ABS($B92-INDEX($M$82:$M$146,IFERROR(MATCH($A92,$K$82:$K$146,0),MATCH(IF($A92="1Y","12M",IF($A92="12M","1Y",$A92)),$K$82:$K$146,0))))&lt;=3,"ok","MISMATCH "&amp;TEXT(INDEX($M$82:$M$146,IFERROR(MATCH($A92,$K$82:$K$146,0),MATCH(IF($A92="1Y","12M",IF($A92="12M","1Y",$A92)),$K$82:$K$146,0))),"mm/dd/yy")))</f>
        <v/>
      </c>
      <c r="K92" s="19" t="inlineStr">
        <is>
          <t>8M</t>
        </is>
      </c>
      <c r="L92" t="n">
        <v>0.6666666666666666</v>
      </c>
      <c r="M92" s="20">
        <f>IFERROR(IF($C$77="","",IF(MONTH((EDATE($C$78,8))+IF(WEEKDAY((EDATE($C$78,8)),2)=6,2,IF(WEEKDAY((EDATE($C$78,8)),2)=7,1,0)))&lt;&gt;MONTH(EDATE($C$78,8)),(EDATE($C$78,8))-IF(WEEKDAY((EDATE($C$78,8)),2)=6,1,IF(WEEKDAY((EDATE($C$78,8)),2)=7,2,0)),(EDATE($C$78,8))+IF(WEEKDAY((EDATE($C$78,8)),2)=6,2,IF(WEEKDAY((EDATE($C$78,8)),2)=7,1,0)))),"")</f>
        <v/>
      </c>
      <c r="N92">
        <f>IFERROR(IF(M92="","",(M92-$C$77)/365),"")</f>
        <v/>
      </c>
      <c r="O92">
        <f>IFERROR(IF(M92="","",(M92-$C$77)/360),"")</f>
        <v/>
      </c>
      <c r="P92">
        <f>IFERROR(IF(M92="","",(M92-$C$77)/360),"")</f>
        <v/>
      </c>
      <c r="Q92" t="n">
        <v>0</v>
      </c>
      <c r="R92">
        <f>IFERROR(IF(COUNTIF($A$82:$A$133,"8M")&gt;0,1,0),"")</f>
        <v/>
      </c>
      <c r="S92" s="21">
        <f>IFERROR(IFERROR(INDEX($C$82:$C$133,MATCH("8M",$A$82:$A$133,0)),INDEX($C$82:$C$133,MATCH("8M",$A$82:$A$133,0))),"")</f>
        <v/>
      </c>
      <c r="U92" s="22">
        <f>IFERROR(IF(S92="","",1/(1+(S92/100)*O92)),"")</f>
        <v/>
      </c>
      <c r="V92">
        <f>IFERROR(IF(OR(U92="",Q92=0),0,P92*U92),"")</f>
        <v/>
      </c>
    </row>
    <row r="93">
      <c r="A93" s="10" t="n"/>
      <c r="B93" s="11" t="n"/>
      <c r="C93" s="12" t="n"/>
      <c r="D93" s="12" t="n"/>
      <c r="E93" s="13" t="n"/>
      <c r="F93" s="14">
        <f>IF(OR($A93="",G93=""),"",-LN(G93)/INDEX($N$82:$N$146,IFERROR(MATCH($A93,$K$82:$K$146,0),MATCH(IF($A93="1Y","12M",IF($A93="12M","1Y",$A93)),$K$82:$K$146,0)))*100)</f>
        <v/>
      </c>
      <c r="G93" s="15">
        <f>IF($A93="","",IFERROR(INDEX($U$82:$U$146,IFERROR(MATCH($A93,$K$82:$K$146,0),MATCH(IF($A93="1Y","12M",IF($A93="12M","1Y",$A93)),$K$82:$K$146,0))),""))</f>
        <v/>
      </c>
      <c r="H93" s="16">
        <f>IF(OR(F93="",NOT(ISNUMBER(D93))),"",(F93-D93)*100)</f>
        <v/>
      </c>
      <c r="I93" s="17">
        <f>IF(OR(G93="",NOT(ISNUMBER(E93))),"",G93-E93)</f>
        <v/>
      </c>
      <c r="J93" s="18">
        <f>IF(OR($A93="",NOT(ISNUMBER($B93))),"",IF(ABS($B93-INDEX($M$82:$M$146,IFERROR(MATCH($A93,$K$82:$K$146,0),MATCH(IF($A93="1Y","12M",IF($A93="12M","1Y",$A93)),$K$82:$K$146,0))))&lt;=3,"ok","MISMATCH "&amp;TEXT(INDEX($M$82:$M$146,IFERROR(MATCH($A93,$K$82:$K$146,0),MATCH(IF($A93="1Y","12M",IF($A93="12M","1Y",$A93)),$K$82:$K$146,0))),"mm/dd/yy")))</f>
        <v/>
      </c>
      <c r="K93" s="19" t="inlineStr">
        <is>
          <t>9M</t>
        </is>
      </c>
      <c r="L93" t="n">
        <v>0.75</v>
      </c>
      <c r="M93" s="20">
        <f>IFERROR(IF($C$77="","",IF(MONTH((EDATE($C$78,9))+IF(WEEKDAY((EDATE($C$78,9)),2)=6,2,IF(WEEKDAY((EDATE($C$78,9)),2)=7,1,0)))&lt;&gt;MONTH(EDATE($C$78,9)),(EDATE($C$78,9))-IF(WEEKDAY((EDATE($C$78,9)),2)=6,1,IF(WEEKDAY((EDATE($C$78,9)),2)=7,2,0)),(EDATE($C$78,9))+IF(WEEKDAY((EDATE($C$78,9)),2)=6,2,IF(WEEKDAY((EDATE($C$78,9)),2)=7,1,0)))),"")</f>
        <v/>
      </c>
      <c r="N93">
        <f>IFERROR(IF(M93="","",(M93-$C$77)/365),"")</f>
        <v/>
      </c>
      <c r="O93">
        <f>IFERROR(IF(M93="","",(M93-$C$77)/360),"")</f>
        <v/>
      </c>
      <c r="P93">
        <f>IFERROR(IF(M93="","",(M93-$C$77)/360),"")</f>
        <v/>
      </c>
      <c r="Q93" t="n">
        <v>0</v>
      </c>
      <c r="R93">
        <f>IFERROR(IF(COUNTIF($A$82:$A$133,"9M")&gt;0,1,0),"")</f>
        <v/>
      </c>
      <c r="S93" s="21">
        <f>IFERROR(IFERROR(INDEX($C$82:$C$133,MATCH("9M",$A$82:$A$133,0)),INDEX($C$82:$C$133,MATCH("9M",$A$82:$A$133,0))),"")</f>
        <v/>
      </c>
      <c r="U93" s="22">
        <f>IFERROR(IF(S93="","",1/(1+(S93/100)*O93)),"")</f>
        <v/>
      </c>
      <c r="V93">
        <f>IFERROR(IF(OR(U93="",Q93=0),0,P93*U93),"")</f>
        <v/>
      </c>
    </row>
    <row r="94">
      <c r="A94" s="10" t="n"/>
      <c r="B94" s="11" t="n"/>
      <c r="C94" s="12" t="n"/>
      <c r="D94" s="12" t="n"/>
      <c r="E94" s="13" t="n"/>
      <c r="F94" s="14">
        <f>IF(OR($A94="",G94=""),"",-LN(G94)/INDEX($N$82:$N$146,IFERROR(MATCH($A94,$K$82:$K$146,0),MATCH(IF($A94="1Y","12M",IF($A94="12M","1Y",$A94)),$K$82:$K$146,0)))*100)</f>
        <v/>
      </c>
      <c r="G94" s="15">
        <f>IF($A94="","",IFERROR(INDEX($U$82:$U$146,IFERROR(MATCH($A94,$K$82:$K$146,0),MATCH(IF($A94="1Y","12M",IF($A94="12M","1Y",$A94)),$K$82:$K$146,0))),""))</f>
        <v/>
      </c>
      <c r="H94" s="16">
        <f>IF(OR(F94="",NOT(ISNUMBER(D94))),"",(F94-D94)*100)</f>
        <v/>
      </c>
      <c r="I94" s="17">
        <f>IF(OR(G94="",NOT(ISNUMBER(E94))),"",G94-E94)</f>
        <v/>
      </c>
      <c r="J94" s="18">
        <f>IF(OR($A94="",NOT(ISNUMBER($B94))),"",IF(ABS($B94-INDEX($M$82:$M$146,IFERROR(MATCH($A94,$K$82:$K$146,0),MATCH(IF($A94="1Y","12M",IF($A94="12M","1Y",$A94)),$K$82:$K$146,0))))&lt;=3,"ok","MISMATCH "&amp;TEXT(INDEX($M$82:$M$146,IFERROR(MATCH($A94,$K$82:$K$146,0),MATCH(IF($A94="1Y","12M",IF($A94="12M","1Y",$A94)),$K$82:$K$146,0))),"mm/dd/yy")))</f>
        <v/>
      </c>
      <c r="K94" s="19" t="inlineStr">
        <is>
          <t>10M</t>
        </is>
      </c>
      <c r="L94" t="n">
        <v>0.8333333333333334</v>
      </c>
      <c r="M94" s="20">
        <f>IFERROR(IF($C$77="","",IF(MONTH((EDATE($C$78,10))+IF(WEEKDAY((EDATE($C$78,10)),2)=6,2,IF(WEEKDAY((EDATE($C$78,10)),2)=7,1,0)))&lt;&gt;MONTH(EDATE($C$78,10)),(EDATE($C$78,10))-IF(WEEKDAY((EDATE($C$78,10)),2)=6,1,IF(WEEKDAY((EDATE($C$78,10)),2)=7,2,0)),(EDATE($C$78,10))+IF(WEEKDAY((EDATE($C$78,10)),2)=6,2,IF(WEEKDAY((EDATE($C$78,10)),2)=7,1,0)))),"")</f>
        <v/>
      </c>
      <c r="N94">
        <f>IFERROR(IF(M94="","",(M94-$C$77)/365),"")</f>
        <v/>
      </c>
      <c r="O94">
        <f>IFERROR(IF(M94="","",(M94-$C$77)/360),"")</f>
        <v/>
      </c>
      <c r="P94">
        <f>IFERROR(IF(M94="","",(M94-$C$77)/360),"")</f>
        <v/>
      </c>
      <c r="Q94" t="n">
        <v>0</v>
      </c>
      <c r="R94">
        <f>IFERROR(IF(COUNTIF($A$82:$A$133,"10M")&gt;0,1,0),"")</f>
        <v/>
      </c>
      <c r="S94" s="21">
        <f>IFERROR(IFERROR(INDEX($C$82:$C$133,MATCH("10M",$A$82:$A$133,0)),INDEX($C$82:$C$133,MATCH("10M",$A$82:$A$133,0))),"")</f>
        <v/>
      </c>
      <c r="U94" s="22">
        <f>IFERROR(IF(S94="","",1/(1+(S94/100)*O94)),"")</f>
        <v/>
      </c>
      <c r="V94">
        <f>IFERROR(IF(OR(U94="",Q94=0),0,P94*U94),"")</f>
        <v/>
      </c>
    </row>
    <row r="95">
      <c r="A95" s="10" t="n"/>
      <c r="B95" s="11" t="n"/>
      <c r="C95" s="12" t="n"/>
      <c r="D95" s="12" t="n"/>
      <c r="E95" s="13" t="n"/>
      <c r="F95" s="14">
        <f>IF(OR($A95="",G95=""),"",-LN(G95)/INDEX($N$82:$N$146,IFERROR(MATCH($A95,$K$82:$K$146,0),MATCH(IF($A95="1Y","12M",IF($A95="12M","1Y",$A95)),$K$82:$K$146,0)))*100)</f>
        <v/>
      </c>
      <c r="G95" s="15">
        <f>IF($A95="","",IFERROR(INDEX($U$82:$U$146,IFERROR(MATCH($A95,$K$82:$K$146,0),MATCH(IF($A95="1Y","12M",IF($A95="12M","1Y",$A95)),$K$82:$K$146,0))),""))</f>
        <v/>
      </c>
      <c r="H95" s="16">
        <f>IF(OR(F95="",NOT(ISNUMBER(D95))),"",(F95-D95)*100)</f>
        <v/>
      </c>
      <c r="I95" s="17">
        <f>IF(OR(G95="",NOT(ISNUMBER(E95))),"",G95-E95)</f>
        <v/>
      </c>
      <c r="J95" s="18">
        <f>IF(OR($A95="",NOT(ISNUMBER($B95))),"",IF(ABS($B95-INDEX($M$82:$M$146,IFERROR(MATCH($A95,$K$82:$K$146,0),MATCH(IF($A95="1Y","12M",IF($A95="12M","1Y",$A95)),$K$82:$K$146,0))))&lt;=3,"ok","MISMATCH "&amp;TEXT(INDEX($M$82:$M$146,IFERROR(MATCH($A95,$K$82:$K$146,0),MATCH(IF($A95="1Y","12M",IF($A95="12M","1Y",$A95)),$K$82:$K$146,0))),"mm/dd/yy")))</f>
        <v/>
      </c>
      <c r="K95" s="19" t="inlineStr">
        <is>
          <t>11M</t>
        </is>
      </c>
      <c r="L95" t="n">
        <v>0.9166666666666666</v>
      </c>
      <c r="M95" s="20">
        <f>IFERROR(IF($C$77="","",IF(MONTH((EDATE($C$78,11))+IF(WEEKDAY((EDATE($C$78,11)),2)=6,2,IF(WEEKDAY((EDATE($C$78,11)),2)=7,1,0)))&lt;&gt;MONTH(EDATE($C$78,11)),(EDATE($C$78,11))-IF(WEEKDAY((EDATE($C$78,11)),2)=6,1,IF(WEEKDAY((EDATE($C$78,11)),2)=7,2,0)),(EDATE($C$78,11))+IF(WEEKDAY((EDATE($C$78,11)),2)=6,2,IF(WEEKDAY((EDATE($C$78,11)),2)=7,1,0)))),"")</f>
        <v/>
      </c>
      <c r="N95">
        <f>IFERROR(IF(M95="","",(M95-$C$77)/365),"")</f>
        <v/>
      </c>
      <c r="O95">
        <f>IFERROR(IF(M95="","",(M95-$C$77)/360),"")</f>
        <v/>
      </c>
      <c r="P95">
        <f>IFERROR(IF(M95="","",(M95-$C$77)/360),"")</f>
        <v/>
      </c>
      <c r="Q95" t="n">
        <v>0</v>
      </c>
      <c r="R95">
        <f>IFERROR(IF(COUNTIF($A$82:$A$133,"11M")&gt;0,1,0),"")</f>
        <v/>
      </c>
      <c r="S95" s="21">
        <f>IFERROR(IFERROR(INDEX($C$82:$C$133,MATCH("11M",$A$82:$A$133,0)),INDEX($C$82:$C$133,MATCH("11M",$A$82:$A$133,0))),"")</f>
        <v/>
      </c>
      <c r="U95" s="22">
        <f>IFERROR(IF(S95="","",1/(1+(S95/100)*O95)),"")</f>
        <v/>
      </c>
      <c r="V95">
        <f>IFERROR(IF(OR(U95="",Q95=0),0,P95*U95),"")</f>
        <v/>
      </c>
    </row>
    <row r="96">
      <c r="A96" s="10" t="n"/>
      <c r="B96" s="11" t="n"/>
      <c r="C96" s="12" t="n"/>
      <c r="D96" s="12" t="n"/>
      <c r="E96" s="13" t="n"/>
      <c r="F96" s="14">
        <f>IF(OR($A96="",G96=""),"",-LN(G96)/INDEX($N$82:$N$146,IFERROR(MATCH($A96,$K$82:$K$146,0),MATCH(IF($A96="1Y","12M",IF($A96="12M","1Y",$A96)),$K$82:$K$146,0)))*100)</f>
        <v/>
      </c>
      <c r="G96" s="15">
        <f>IF($A96="","",IFERROR(INDEX($U$82:$U$146,IFERROR(MATCH($A96,$K$82:$K$146,0),MATCH(IF($A96="1Y","12M",IF($A96="12M","1Y",$A96)),$K$82:$K$146,0))),""))</f>
        <v/>
      </c>
      <c r="H96" s="16">
        <f>IF(OR(F96="",NOT(ISNUMBER(D96))),"",(F96-D96)*100)</f>
        <v/>
      </c>
      <c r="I96" s="17">
        <f>IF(OR(G96="",NOT(ISNUMBER(E96))),"",G96-E96)</f>
        <v/>
      </c>
      <c r="J96" s="18">
        <f>IF(OR($A96="",NOT(ISNUMBER($B96))),"",IF(ABS($B96-INDEX($M$82:$M$146,IFERROR(MATCH($A96,$K$82:$K$146,0),MATCH(IF($A96="1Y","12M",IF($A96="12M","1Y",$A96)),$K$82:$K$146,0))))&lt;=3,"ok","MISMATCH "&amp;TEXT(INDEX($M$82:$M$146,IFERROR(MATCH($A96,$K$82:$K$146,0),MATCH(IF($A96="1Y","12M",IF($A96="12M","1Y",$A96)),$K$82:$K$146,0))),"mm/dd/yy")))</f>
        <v/>
      </c>
      <c r="K96" s="19" t="inlineStr">
        <is>
          <t>12M</t>
        </is>
      </c>
      <c r="L96" t="n">
        <v>1</v>
      </c>
      <c r="M96" s="20">
        <f>IFERROR(IF($C$77="","",IF(MONTH((EDATE($C$78,12))+IF(WEEKDAY((EDATE($C$78,12)),2)=6,2,IF(WEEKDAY((EDATE($C$78,12)),2)=7,1,0)))&lt;&gt;MONTH(EDATE($C$78,12)),(EDATE($C$78,12))-IF(WEEKDAY((EDATE($C$78,12)),2)=6,1,IF(WEEKDAY((EDATE($C$78,12)),2)=7,2,0)),(EDATE($C$78,12))+IF(WEEKDAY((EDATE($C$78,12)),2)=6,2,IF(WEEKDAY((EDATE($C$78,12)),2)=7,1,0)))),"")</f>
        <v/>
      </c>
      <c r="N96">
        <f>IFERROR(IF(M96="","",(M96-$C$77)/365),"")</f>
        <v/>
      </c>
      <c r="O96">
        <f>IFERROR(IF(M96="","",(M96-$C$77)/360),"")</f>
        <v/>
      </c>
      <c r="P96">
        <f>IFERROR(IF(M96="","",(M96-$C$77)/360),"")</f>
        <v/>
      </c>
      <c r="Q96" t="n">
        <v>1</v>
      </c>
      <c r="R96">
        <f>IFERROR(IF(COUNTIF($A$82:$A$133,"12M")+COUNTIF($A$82:$A$133,"1Y")&gt;0,1,0),"")</f>
        <v/>
      </c>
      <c r="S96" s="21">
        <f>IFERROR(IFERROR(INDEX($C$82:$C$133,MATCH("12M",$A$82:$A$133,0)),INDEX($C$82:$C$133,MATCH("1Y",$A$82:$A$133,0))),"")</f>
        <v/>
      </c>
      <c r="U96" s="22">
        <f>IFERROR(IF(S96="","",1/(1+(S96/100)*O96)),"")</f>
        <v/>
      </c>
      <c r="V96">
        <f>IFERROR(IF(OR(U96="",Q96=0),0,P96*U96),"")</f>
        <v/>
      </c>
    </row>
    <row r="97">
      <c r="A97" s="10" t="n"/>
      <c r="B97" s="11" t="n"/>
      <c r="C97" s="12" t="n"/>
      <c r="D97" s="12" t="n"/>
      <c r="E97" s="13" t="n"/>
      <c r="F97" s="14">
        <f>IF(OR($A97="",G97=""),"",-LN(G97)/INDEX($N$82:$N$146,IFERROR(MATCH($A97,$K$82:$K$146,0),MATCH(IF($A97="1Y","12M",IF($A97="12M","1Y",$A97)),$K$82:$K$146,0)))*100)</f>
        <v/>
      </c>
      <c r="G97" s="15">
        <f>IF($A97="","",IFERROR(INDEX($U$82:$U$146,IFERROR(MATCH($A97,$K$82:$K$146,0),MATCH(IF($A97="1Y","12M",IF($A97="12M","1Y",$A97)),$K$82:$K$146,0))),""))</f>
        <v/>
      </c>
      <c r="H97" s="16">
        <f>IF(OR(F97="",NOT(ISNUMBER(D97))),"",(F97-D97)*100)</f>
        <v/>
      </c>
      <c r="I97" s="17">
        <f>IF(OR(G97="",NOT(ISNUMBER(E97))),"",G97-E97)</f>
        <v/>
      </c>
      <c r="J97" s="18">
        <f>IF(OR($A97="",NOT(ISNUMBER($B97))),"",IF(ABS($B97-INDEX($M$82:$M$146,IFERROR(MATCH($A97,$K$82:$K$146,0),MATCH(IF($A97="1Y","12M",IF($A97="12M","1Y",$A97)),$K$82:$K$146,0))))&lt;=3,"ok","MISMATCH "&amp;TEXT(INDEX($M$82:$M$146,IFERROR(MATCH($A97,$K$82:$K$146,0),MATCH(IF($A97="1Y","12M",IF($A97="12M","1Y",$A97)),$K$82:$K$146,0))),"mm/dd/yy")))</f>
        <v/>
      </c>
      <c r="K97" s="19" t="inlineStr">
        <is>
          <t>18M</t>
        </is>
      </c>
      <c r="L97" t="n">
        <v>1.5</v>
      </c>
      <c r="M97" s="20">
        <f>IFERROR(IF($C$77="","",IF(MONTH((EDATE($C$78,18))+IF(WEEKDAY((EDATE($C$78,18)),2)=6,2,IF(WEEKDAY((EDATE($C$78,18)),2)=7,1,0)))&lt;&gt;MONTH(EDATE($C$78,18)),(EDATE($C$78,18))-IF(WEEKDAY((EDATE($C$78,18)),2)=6,1,IF(WEEKDAY((EDATE($C$78,18)),2)=7,2,0)),(EDATE($C$78,18))+IF(WEEKDAY((EDATE($C$78,18)),2)=6,2,IF(WEEKDAY((EDATE($C$78,18)),2)=7,1,0)))),"")</f>
        <v/>
      </c>
      <c r="N97">
        <f>IFERROR(IF(M97="","",(M97-$C$77)/365),"")</f>
        <v/>
      </c>
      <c r="O97">
        <f>IFERROR(IF(M97="","",(M97-$C$78)/360),"")</f>
        <v/>
      </c>
      <c r="P97">
        <f>IFERROR(IF(M97="","",(M97-M96)/360),"")</f>
        <v/>
      </c>
      <c r="Q97" t="n">
        <v>0</v>
      </c>
      <c r="R97">
        <f>IFERROR(IF(COUNTIF($A$82:$A$133,"18M")&gt;0,1,0),"")</f>
        <v/>
      </c>
      <c r="S97" s="21">
        <f>IFERROR(IFERROR(INDEX($C$82:$C$133,MATCH("18M",$A$82:$A$133,0)),INDEX($C$82:$C$133,MATCH("18M",$A$82:$A$133,0))),"")</f>
        <v/>
      </c>
      <c r="U97" s="22">
        <f>IFERROR(IF(S97="","",(1-(S97/100)*SUM($V$82:V96))/(1+(S97/100)*P97)),"")</f>
        <v/>
      </c>
      <c r="V97">
        <f>IFERROR(IF(OR(U97="",Q97=0),0,P97*U97),"")</f>
        <v/>
      </c>
    </row>
    <row r="98">
      <c r="A98" s="10" t="n"/>
      <c r="B98" s="11" t="n"/>
      <c r="C98" s="12" t="n"/>
      <c r="D98" s="12" t="n"/>
      <c r="E98" s="13" t="n"/>
      <c r="F98" s="14">
        <f>IF(OR($A98="",G98=""),"",-LN(G98)/INDEX($N$82:$N$146,IFERROR(MATCH($A98,$K$82:$K$146,0),MATCH(IF($A98="1Y","12M",IF($A98="12M","1Y",$A98)),$K$82:$K$146,0)))*100)</f>
        <v/>
      </c>
      <c r="G98" s="15">
        <f>IF($A98="","",IFERROR(INDEX($U$82:$U$146,IFERROR(MATCH($A98,$K$82:$K$146,0),MATCH(IF($A98="1Y","12M",IF($A98="12M","1Y",$A98)),$K$82:$K$146,0))),""))</f>
        <v/>
      </c>
      <c r="H98" s="16">
        <f>IF(OR(F98="",NOT(ISNUMBER(D98))),"",(F98-D98)*100)</f>
        <v/>
      </c>
      <c r="I98" s="17">
        <f>IF(OR(G98="",NOT(ISNUMBER(E98))),"",G98-E98)</f>
        <v/>
      </c>
      <c r="J98" s="18">
        <f>IF(OR($A98="",NOT(ISNUMBER($B98))),"",IF(ABS($B98-INDEX($M$82:$M$146,IFERROR(MATCH($A98,$K$82:$K$146,0),MATCH(IF($A98="1Y","12M",IF($A98="12M","1Y",$A98)),$K$82:$K$146,0))))&lt;=3,"ok","MISMATCH "&amp;TEXT(INDEX($M$82:$M$146,IFERROR(MATCH($A98,$K$82:$K$146,0),MATCH(IF($A98="1Y","12M",IF($A98="12M","1Y",$A98)),$K$82:$K$146,0))),"mm/dd/yy")))</f>
        <v/>
      </c>
      <c r="K98" s="19" t="inlineStr">
        <is>
          <t>2Y</t>
        </is>
      </c>
      <c r="L98" t="n">
        <v>2</v>
      </c>
      <c r="M98" s="20">
        <f>IFERROR(IF($C$77="","",IF(MONTH((EDATE($C$78,24))+IF(WEEKDAY((EDATE($C$78,24)),2)=6,2,IF(WEEKDAY((EDATE($C$78,24)),2)=7,1,0)))&lt;&gt;MONTH(EDATE($C$78,24)),(EDATE($C$78,24))-IF(WEEKDAY((EDATE($C$78,24)),2)=6,1,IF(WEEKDAY((EDATE($C$78,24)),2)=7,2,0)),(EDATE($C$78,24))+IF(WEEKDAY((EDATE($C$78,24)),2)=6,2,IF(WEEKDAY((EDATE($C$78,24)),2)=7,1,0)))),"")</f>
        <v/>
      </c>
      <c r="N98">
        <f>IFERROR(IF(M98="","",(M98-$C$77)/365),"")</f>
        <v/>
      </c>
      <c r="O98">
        <f>IFERROR(IF(M98="","",(M98-$C$78)/360),"")</f>
        <v/>
      </c>
      <c r="P98">
        <f>IFERROR(IF(M98="","",(M98-M96)/360),"")</f>
        <v/>
      </c>
      <c r="Q98" t="n">
        <v>1</v>
      </c>
      <c r="R98">
        <f>IFERROR(IF(COUNTIF($A$82:$A$133,"2Y")&gt;0,1,0),"")</f>
        <v/>
      </c>
      <c r="S98" s="21">
        <f>IFERROR(IFERROR(INDEX($C$82:$C$133,MATCH("2Y",$A$82:$A$133,0)),INDEX($C$82:$C$133,MATCH("2Y",$A$82:$A$133,0))),"")</f>
        <v/>
      </c>
      <c r="U98" s="22">
        <f>IFERROR(IF(S98="","",(1-(S98/100)*SUM($V$82:V97))/(1+(S98/100)*P98)),"")</f>
        <v/>
      </c>
      <c r="V98">
        <f>IFERROR(IF(OR(U98="",Q98=0),0,P98*U98),"")</f>
        <v/>
      </c>
    </row>
    <row r="99">
      <c r="A99" s="10" t="n"/>
      <c r="B99" s="11" t="n"/>
      <c r="C99" s="12" t="n"/>
      <c r="D99" s="12" t="n"/>
      <c r="E99" s="13" t="n"/>
      <c r="F99" s="14">
        <f>IF(OR($A99="",G99=""),"",-LN(G99)/INDEX($N$82:$N$146,IFERROR(MATCH($A99,$K$82:$K$146,0),MATCH(IF($A99="1Y","12M",IF($A99="12M","1Y",$A99)),$K$82:$K$146,0)))*100)</f>
        <v/>
      </c>
      <c r="G99" s="15">
        <f>IF($A99="","",IFERROR(INDEX($U$82:$U$146,IFERROR(MATCH($A99,$K$82:$K$146,0),MATCH(IF($A99="1Y","12M",IF($A99="12M","1Y",$A99)),$K$82:$K$146,0))),""))</f>
        <v/>
      </c>
      <c r="H99" s="16">
        <f>IF(OR(F99="",NOT(ISNUMBER(D99))),"",(F99-D99)*100)</f>
        <v/>
      </c>
      <c r="I99" s="17">
        <f>IF(OR(G99="",NOT(ISNUMBER(E99))),"",G99-E99)</f>
        <v/>
      </c>
      <c r="J99" s="18">
        <f>IF(OR($A99="",NOT(ISNUMBER($B99))),"",IF(ABS($B99-INDEX($M$82:$M$146,IFERROR(MATCH($A99,$K$82:$K$146,0),MATCH(IF($A99="1Y","12M",IF($A99="12M","1Y",$A99)),$K$82:$K$146,0))))&lt;=3,"ok","MISMATCH "&amp;TEXT(INDEX($M$82:$M$146,IFERROR(MATCH($A99,$K$82:$K$146,0),MATCH(IF($A99="1Y","12M",IF($A99="12M","1Y",$A99)),$K$82:$K$146,0))),"mm/dd/yy")))</f>
        <v/>
      </c>
      <c r="K99" s="19" t="inlineStr">
        <is>
          <t>3Y</t>
        </is>
      </c>
      <c r="L99" t="n">
        <v>3</v>
      </c>
      <c r="M99" s="20">
        <f>IFERROR(IF($C$77="","",IF(MONTH((EDATE($C$78,36))+IF(WEEKDAY((EDATE($C$78,36)),2)=6,2,IF(WEEKDAY((EDATE($C$78,36)),2)=7,1,0)))&lt;&gt;MONTH(EDATE($C$78,36)),(EDATE($C$78,36))-IF(WEEKDAY((EDATE($C$78,36)),2)=6,1,IF(WEEKDAY((EDATE($C$78,36)),2)=7,2,0)),(EDATE($C$78,36))+IF(WEEKDAY((EDATE($C$78,36)),2)=6,2,IF(WEEKDAY((EDATE($C$78,36)),2)=7,1,0)))),"")</f>
        <v/>
      </c>
      <c r="N99">
        <f>IFERROR(IF(M99="","",(M99-$C$77)/365),"")</f>
        <v/>
      </c>
      <c r="O99">
        <f>IFERROR(IF(M99="","",(M99-$C$78)/360),"")</f>
        <v/>
      </c>
      <c r="P99">
        <f>IFERROR(IF(M99="","",(M99-M98)/360),"")</f>
        <v/>
      </c>
      <c r="Q99" t="n">
        <v>1</v>
      </c>
      <c r="R99">
        <f>IFERROR(IF(COUNTIF($A$82:$A$133,"3Y")&gt;0,1,0),"")</f>
        <v/>
      </c>
      <c r="S99" s="21">
        <f>IFERROR(IFERROR(INDEX($C$82:$C$133,MATCH("3Y",$A$82:$A$133,0)),INDEX($C$82:$C$133,MATCH("3Y",$A$82:$A$133,0))),"")</f>
        <v/>
      </c>
      <c r="U99" s="22">
        <f>IFERROR(IF(S99="","",(1-(S99/100)*SUM($V$82:V98))/(1+(S99/100)*P99)),"")</f>
        <v/>
      </c>
      <c r="V99">
        <f>IFERROR(IF(OR(U99="",Q99=0),0,P99*U99),"")</f>
        <v/>
      </c>
    </row>
    <row r="100">
      <c r="A100" s="10" t="n"/>
      <c r="B100" s="11" t="n"/>
      <c r="C100" s="12" t="n"/>
      <c r="D100" s="12" t="n"/>
      <c r="E100" s="13" t="n"/>
      <c r="F100" s="14">
        <f>IF(OR($A100="",G100=""),"",-LN(G100)/INDEX($N$82:$N$146,IFERROR(MATCH($A100,$K$82:$K$146,0),MATCH(IF($A100="1Y","12M",IF($A100="12M","1Y",$A100)),$K$82:$K$146,0)))*100)</f>
        <v/>
      </c>
      <c r="G100" s="15">
        <f>IF($A100="","",IFERROR(INDEX($U$82:$U$146,IFERROR(MATCH($A100,$K$82:$K$146,0),MATCH(IF($A100="1Y","12M",IF($A100="12M","1Y",$A100)),$K$82:$K$146,0))),""))</f>
        <v/>
      </c>
      <c r="H100" s="16">
        <f>IF(OR(F100="",NOT(ISNUMBER(D100))),"",(F100-D100)*100)</f>
        <v/>
      </c>
      <c r="I100" s="17">
        <f>IF(OR(G100="",NOT(ISNUMBER(E100))),"",G100-E100)</f>
        <v/>
      </c>
      <c r="J100" s="18">
        <f>IF(OR($A100="",NOT(ISNUMBER($B100))),"",IF(ABS($B100-INDEX($M$82:$M$146,IFERROR(MATCH($A100,$K$82:$K$146,0),MATCH(IF($A100="1Y","12M",IF($A100="12M","1Y",$A100)),$K$82:$K$146,0))))&lt;=3,"ok","MISMATCH "&amp;TEXT(INDEX($M$82:$M$146,IFERROR(MATCH($A100,$K$82:$K$146,0),MATCH(IF($A100="1Y","12M",IF($A100="12M","1Y",$A100)),$K$82:$K$146,0))),"mm/dd/yy")))</f>
        <v/>
      </c>
      <c r="K100" s="19" t="inlineStr">
        <is>
          <t>4Y</t>
        </is>
      </c>
      <c r="L100" t="n">
        <v>4</v>
      </c>
      <c r="M100" s="20">
        <f>IFERROR(IF($C$77="","",IF(MONTH((EDATE($C$78,48))+IF(WEEKDAY((EDATE($C$78,48)),2)=6,2,IF(WEEKDAY((EDATE($C$78,48)),2)=7,1,0)))&lt;&gt;MONTH(EDATE($C$78,48)),(EDATE($C$78,48))-IF(WEEKDAY((EDATE($C$78,48)),2)=6,1,IF(WEEKDAY((EDATE($C$78,48)),2)=7,2,0)),(EDATE($C$78,48))+IF(WEEKDAY((EDATE($C$78,48)),2)=6,2,IF(WEEKDAY((EDATE($C$78,48)),2)=7,1,0)))),"")</f>
        <v/>
      </c>
      <c r="N100">
        <f>IFERROR(IF(M100="","",(M100-$C$77)/365),"")</f>
        <v/>
      </c>
      <c r="O100">
        <f>IFERROR(IF(M100="","",(M100-$C$78)/360),"")</f>
        <v/>
      </c>
      <c r="P100">
        <f>IFERROR(IF(M100="","",(M100-M99)/360),"")</f>
        <v/>
      </c>
      <c r="Q100" t="n">
        <v>1</v>
      </c>
      <c r="R100">
        <f>IFERROR(IF(COUNTIF($A$82:$A$133,"4Y")&gt;0,1,0),"")</f>
        <v/>
      </c>
      <c r="S100" s="21">
        <f>IFERROR(IFERROR(INDEX($C$82:$C$133,MATCH("4Y",$A$82:$A$133,0)),INDEX($C$82:$C$133,MATCH("4Y",$A$82:$A$133,0))),"")</f>
        <v/>
      </c>
      <c r="U100" s="22">
        <f>IFERROR(IF(S100="","",(1-(S100/100)*SUM($V$82:V99))/(1+(S100/100)*P100)),"")</f>
        <v/>
      </c>
      <c r="V100">
        <f>IFERROR(IF(OR(U100="",Q100=0),0,P100*U100),"")</f>
        <v/>
      </c>
    </row>
    <row r="101">
      <c r="A101" s="10" t="n"/>
      <c r="B101" s="11" t="n"/>
      <c r="C101" s="12" t="n"/>
      <c r="D101" s="12" t="n"/>
      <c r="E101" s="13" t="n"/>
      <c r="F101" s="14">
        <f>IF(OR($A101="",G101=""),"",-LN(G101)/INDEX($N$82:$N$146,IFERROR(MATCH($A101,$K$82:$K$146,0),MATCH(IF($A101="1Y","12M",IF($A101="12M","1Y",$A101)),$K$82:$K$146,0)))*100)</f>
        <v/>
      </c>
      <c r="G101" s="15">
        <f>IF($A101="","",IFERROR(INDEX($U$82:$U$146,IFERROR(MATCH($A101,$K$82:$K$146,0),MATCH(IF($A101="1Y","12M",IF($A101="12M","1Y",$A101)),$K$82:$K$146,0))),""))</f>
        <v/>
      </c>
      <c r="H101" s="16">
        <f>IF(OR(F101="",NOT(ISNUMBER(D101))),"",(F101-D101)*100)</f>
        <v/>
      </c>
      <c r="I101" s="17">
        <f>IF(OR(G101="",NOT(ISNUMBER(E101))),"",G101-E101)</f>
        <v/>
      </c>
      <c r="J101" s="18">
        <f>IF(OR($A101="",NOT(ISNUMBER($B101))),"",IF(ABS($B101-INDEX($M$82:$M$146,IFERROR(MATCH($A101,$K$82:$K$146,0),MATCH(IF($A101="1Y","12M",IF($A101="12M","1Y",$A101)),$K$82:$K$146,0))))&lt;=3,"ok","MISMATCH "&amp;TEXT(INDEX($M$82:$M$146,IFERROR(MATCH($A101,$K$82:$K$146,0),MATCH(IF($A101="1Y","12M",IF($A101="12M","1Y",$A101)),$K$82:$K$146,0))),"mm/dd/yy")))</f>
        <v/>
      </c>
      <c r="K101" s="19" t="inlineStr">
        <is>
          <t>5Y</t>
        </is>
      </c>
      <c r="L101" t="n">
        <v>5</v>
      </c>
      <c r="M101" s="20">
        <f>IFERROR(IF($C$77="","",IF(MONTH((EDATE($C$78,60))+IF(WEEKDAY((EDATE($C$78,60)),2)=6,2,IF(WEEKDAY((EDATE($C$78,60)),2)=7,1,0)))&lt;&gt;MONTH(EDATE($C$78,60)),(EDATE($C$78,60))-IF(WEEKDAY((EDATE($C$78,60)),2)=6,1,IF(WEEKDAY((EDATE($C$78,60)),2)=7,2,0)),(EDATE($C$78,60))+IF(WEEKDAY((EDATE($C$78,60)),2)=6,2,IF(WEEKDAY((EDATE($C$78,60)),2)=7,1,0)))),"")</f>
        <v/>
      </c>
      <c r="N101">
        <f>IFERROR(IF(M101="","",(M101-$C$77)/365),"")</f>
        <v/>
      </c>
      <c r="O101">
        <f>IFERROR(IF(M101="","",(M101-$C$78)/360),"")</f>
        <v/>
      </c>
      <c r="P101">
        <f>IFERROR(IF(M101="","",(M101-M100)/360),"")</f>
        <v/>
      </c>
      <c r="Q101" t="n">
        <v>1</v>
      </c>
      <c r="R101">
        <f>IFERROR(IF(COUNTIF($A$82:$A$133,"5Y")&gt;0,1,0),"")</f>
        <v/>
      </c>
      <c r="S101" s="21">
        <f>IFERROR(IFERROR(INDEX($C$82:$C$133,MATCH("5Y",$A$82:$A$133,0)),INDEX($C$82:$C$133,MATCH("5Y",$A$82:$A$133,0))),"")</f>
        <v/>
      </c>
      <c r="U101" s="22">
        <f>IFERROR(IF(S101="","",(1-(S101/100)*SUM($V$82:V100))/(1+(S101/100)*P101)),"")</f>
        <v/>
      </c>
      <c r="V101">
        <f>IFERROR(IF(OR(U101="",Q101=0),0,P101*U101),"")</f>
        <v/>
      </c>
    </row>
    <row r="102">
      <c r="A102" s="10" t="n"/>
      <c r="B102" s="11" t="n"/>
      <c r="C102" s="12" t="n"/>
      <c r="D102" s="12" t="n"/>
      <c r="E102" s="13" t="n"/>
      <c r="F102" s="14">
        <f>IF(OR($A102="",G102=""),"",-LN(G102)/INDEX($N$82:$N$146,IFERROR(MATCH($A102,$K$82:$K$146,0),MATCH(IF($A102="1Y","12M",IF($A102="12M","1Y",$A102)),$K$82:$K$146,0)))*100)</f>
        <v/>
      </c>
      <c r="G102" s="15">
        <f>IF($A102="","",IFERROR(INDEX($U$82:$U$146,IFERROR(MATCH($A102,$K$82:$K$146,0),MATCH(IF($A102="1Y","12M",IF($A102="12M","1Y",$A102)),$K$82:$K$146,0))),""))</f>
        <v/>
      </c>
      <c r="H102" s="16">
        <f>IF(OR(F102="",NOT(ISNUMBER(D102))),"",(F102-D102)*100)</f>
        <v/>
      </c>
      <c r="I102" s="17">
        <f>IF(OR(G102="",NOT(ISNUMBER(E102))),"",G102-E102)</f>
        <v/>
      </c>
      <c r="J102" s="18">
        <f>IF(OR($A102="",NOT(ISNUMBER($B102))),"",IF(ABS($B102-INDEX($M$82:$M$146,IFERROR(MATCH($A102,$K$82:$K$146,0),MATCH(IF($A102="1Y","12M",IF($A102="12M","1Y",$A102)),$K$82:$K$146,0))))&lt;=3,"ok","MISMATCH "&amp;TEXT(INDEX($M$82:$M$146,IFERROR(MATCH($A102,$K$82:$K$146,0),MATCH(IF($A102="1Y","12M",IF($A102="12M","1Y",$A102)),$K$82:$K$146,0))),"mm/dd/yy")))</f>
        <v/>
      </c>
      <c r="K102" s="19" t="inlineStr">
        <is>
          <t>6Y</t>
        </is>
      </c>
      <c r="L102" t="n">
        <v>6</v>
      </c>
      <c r="M102" s="20">
        <f>IFERROR(IF($C$77="","",IF(MONTH((EDATE($C$78,72))+IF(WEEKDAY((EDATE($C$78,72)),2)=6,2,IF(WEEKDAY((EDATE($C$78,72)),2)=7,1,0)))&lt;&gt;MONTH(EDATE($C$78,72)),(EDATE($C$78,72))-IF(WEEKDAY((EDATE($C$78,72)),2)=6,1,IF(WEEKDAY((EDATE($C$78,72)),2)=7,2,0)),(EDATE($C$78,72))+IF(WEEKDAY((EDATE($C$78,72)),2)=6,2,IF(WEEKDAY((EDATE($C$78,72)),2)=7,1,0)))),"")</f>
        <v/>
      </c>
      <c r="N102">
        <f>IFERROR(IF(M102="","",(M102-$C$77)/365),"")</f>
        <v/>
      </c>
      <c r="O102">
        <f>IFERROR(IF(M102="","",(M102-$C$78)/360),"")</f>
        <v/>
      </c>
      <c r="P102">
        <f>IFERROR(IF(M102="","",(M102-M101)/360),"")</f>
        <v/>
      </c>
      <c r="Q102" t="n">
        <v>1</v>
      </c>
      <c r="R102">
        <f>IFERROR(IF(COUNTIF($A$82:$A$133,"6Y")&gt;0,1,0),"")</f>
        <v/>
      </c>
      <c r="S102" s="21">
        <f>IFERROR(IFERROR(INDEX($C$82:$C$133,MATCH("6Y",$A$82:$A$133,0)),INDEX($C$82:$C$133,MATCH("6Y",$A$82:$A$133,0))),"")</f>
        <v/>
      </c>
      <c r="U102" s="22">
        <f>IFERROR(IF(S102="","",(1-(S102/100)*SUM($V$82:V101))/(1+(S102/100)*P102)),"")</f>
        <v/>
      </c>
      <c r="V102">
        <f>IFERROR(IF(OR(U102="",Q102=0),0,P102*U102),"")</f>
        <v/>
      </c>
    </row>
    <row r="103">
      <c r="A103" s="10" t="n"/>
      <c r="B103" s="11" t="n"/>
      <c r="C103" s="12" t="n"/>
      <c r="D103" s="12" t="n"/>
      <c r="E103" s="13" t="n"/>
      <c r="F103" s="14">
        <f>IF(OR($A103="",G103=""),"",-LN(G103)/INDEX($N$82:$N$146,IFERROR(MATCH($A103,$K$82:$K$146,0),MATCH(IF($A103="1Y","12M",IF($A103="12M","1Y",$A103)),$K$82:$K$146,0)))*100)</f>
        <v/>
      </c>
      <c r="G103" s="15">
        <f>IF($A103="","",IFERROR(INDEX($U$82:$U$146,IFERROR(MATCH($A103,$K$82:$K$146,0),MATCH(IF($A103="1Y","12M",IF($A103="12M","1Y",$A103)),$K$82:$K$146,0))),""))</f>
        <v/>
      </c>
      <c r="H103" s="16">
        <f>IF(OR(F103="",NOT(ISNUMBER(D103))),"",(F103-D103)*100)</f>
        <v/>
      </c>
      <c r="I103" s="17">
        <f>IF(OR(G103="",NOT(ISNUMBER(E103))),"",G103-E103)</f>
        <v/>
      </c>
      <c r="J103" s="18">
        <f>IF(OR($A103="",NOT(ISNUMBER($B103))),"",IF(ABS($B103-INDEX($M$82:$M$146,IFERROR(MATCH($A103,$K$82:$K$146,0),MATCH(IF($A103="1Y","12M",IF($A103="12M","1Y",$A103)),$K$82:$K$146,0))))&lt;=3,"ok","MISMATCH "&amp;TEXT(INDEX($M$82:$M$146,IFERROR(MATCH($A103,$K$82:$K$146,0),MATCH(IF($A103="1Y","12M",IF($A103="12M","1Y",$A103)),$K$82:$K$146,0))),"mm/dd/yy")))</f>
        <v/>
      </c>
      <c r="K103" s="19" t="inlineStr">
        <is>
          <t>7Y</t>
        </is>
      </c>
      <c r="L103" t="n">
        <v>7</v>
      </c>
      <c r="M103" s="20">
        <f>IFERROR(IF($C$77="","",IF(MONTH((EDATE($C$78,84))+IF(WEEKDAY((EDATE($C$78,84)),2)=6,2,IF(WEEKDAY((EDATE($C$78,84)),2)=7,1,0)))&lt;&gt;MONTH(EDATE($C$78,84)),(EDATE($C$78,84))-IF(WEEKDAY((EDATE($C$78,84)),2)=6,1,IF(WEEKDAY((EDATE($C$78,84)),2)=7,2,0)),(EDATE($C$78,84))+IF(WEEKDAY((EDATE($C$78,84)),2)=6,2,IF(WEEKDAY((EDATE($C$78,84)),2)=7,1,0)))),"")</f>
        <v/>
      </c>
      <c r="N103">
        <f>IFERROR(IF(M103="","",(M103-$C$77)/365),"")</f>
        <v/>
      </c>
      <c r="O103">
        <f>IFERROR(IF(M103="","",(M103-$C$78)/360),"")</f>
        <v/>
      </c>
      <c r="P103">
        <f>IFERROR(IF(M103="","",(M103-M102)/360),"")</f>
        <v/>
      </c>
      <c r="Q103" t="n">
        <v>1</v>
      </c>
      <c r="R103">
        <f>IFERROR(IF(COUNTIF($A$82:$A$133,"7Y")&gt;0,1,0),"")</f>
        <v/>
      </c>
      <c r="S103" s="21">
        <f>IFERROR(IFERROR(INDEX($C$82:$C$133,MATCH("7Y",$A$82:$A$133,0)),INDEX($C$82:$C$133,MATCH("7Y",$A$82:$A$133,0))),"")</f>
        <v/>
      </c>
      <c r="U103" s="22">
        <f>IFERROR(IF(S103="","",(1-(S103/100)*SUM($V$82:V102))/(1+(S103/100)*P103)),"")</f>
        <v/>
      </c>
      <c r="V103">
        <f>IFERROR(IF(OR(U103="",Q103=0),0,P103*U103),"")</f>
        <v/>
      </c>
    </row>
    <row r="104">
      <c r="A104" s="10" t="n"/>
      <c r="B104" s="11" t="n"/>
      <c r="C104" s="12" t="n"/>
      <c r="D104" s="12" t="n"/>
      <c r="E104" s="13" t="n"/>
      <c r="F104" s="14">
        <f>IF(OR($A104="",G104=""),"",-LN(G104)/INDEX($N$82:$N$146,IFERROR(MATCH($A104,$K$82:$K$146,0),MATCH(IF($A104="1Y","12M",IF($A104="12M","1Y",$A104)),$K$82:$K$146,0)))*100)</f>
        <v/>
      </c>
      <c r="G104" s="15">
        <f>IF($A104="","",IFERROR(INDEX($U$82:$U$146,IFERROR(MATCH($A104,$K$82:$K$146,0),MATCH(IF($A104="1Y","12M",IF($A104="12M","1Y",$A104)),$K$82:$K$146,0))),""))</f>
        <v/>
      </c>
      <c r="H104" s="16">
        <f>IF(OR(F104="",NOT(ISNUMBER(D104))),"",(F104-D104)*100)</f>
        <v/>
      </c>
      <c r="I104" s="17">
        <f>IF(OR(G104="",NOT(ISNUMBER(E104))),"",G104-E104)</f>
        <v/>
      </c>
      <c r="J104" s="18">
        <f>IF(OR($A104="",NOT(ISNUMBER($B104))),"",IF(ABS($B104-INDEX($M$82:$M$146,IFERROR(MATCH($A104,$K$82:$K$146,0),MATCH(IF($A104="1Y","12M",IF($A104="12M","1Y",$A104)),$K$82:$K$146,0))))&lt;=3,"ok","MISMATCH "&amp;TEXT(INDEX($M$82:$M$146,IFERROR(MATCH($A104,$K$82:$K$146,0),MATCH(IF($A104="1Y","12M",IF($A104="12M","1Y",$A104)),$K$82:$K$146,0))),"mm/dd/yy")))</f>
        <v/>
      </c>
      <c r="K104" s="19" t="inlineStr">
        <is>
          <t>8Y</t>
        </is>
      </c>
      <c r="L104" t="n">
        <v>8</v>
      </c>
      <c r="M104" s="20">
        <f>IFERROR(IF($C$77="","",IF(MONTH((EDATE($C$78,96))+IF(WEEKDAY((EDATE($C$78,96)),2)=6,2,IF(WEEKDAY((EDATE($C$78,96)),2)=7,1,0)))&lt;&gt;MONTH(EDATE($C$78,96)),(EDATE($C$78,96))-IF(WEEKDAY((EDATE($C$78,96)),2)=6,1,IF(WEEKDAY((EDATE($C$78,96)),2)=7,2,0)),(EDATE($C$78,96))+IF(WEEKDAY((EDATE($C$78,96)),2)=6,2,IF(WEEKDAY((EDATE($C$78,96)),2)=7,1,0)))),"")</f>
        <v/>
      </c>
      <c r="N104">
        <f>IFERROR(IF(M104="","",(M104-$C$77)/365),"")</f>
        <v/>
      </c>
      <c r="O104">
        <f>IFERROR(IF(M104="","",(M104-$C$78)/360),"")</f>
        <v/>
      </c>
      <c r="P104">
        <f>IFERROR(IF(M104="","",(M104-M103)/360),"")</f>
        <v/>
      </c>
      <c r="Q104" t="n">
        <v>1</v>
      </c>
      <c r="R104">
        <f>IFERROR(IF(COUNTIF($A$82:$A$133,"8Y")&gt;0,1,0),"")</f>
        <v/>
      </c>
      <c r="S104" s="21">
        <f>IFERROR(IFERROR(INDEX($C$82:$C$133,MATCH("8Y",$A$82:$A$133,0)),INDEX($C$82:$C$133,MATCH("8Y",$A$82:$A$133,0))),"")</f>
        <v/>
      </c>
      <c r="U104" s="22">
        <f>IFERROR(IF(S104="","",(1-(S104/100)*SUM($V$82:V103))/(1+(S104/100)*P104)),"")</f>
        <v/>
      </c>
      <c r="V104">
        <f>IFERROR(IF(OR(U104="",Q104=0),0,P104*U104),"")</f>
        <v/>
      </c>
    </row>
    <row r="105">
      <c r="A105" s="10" t="n"/>
      <c r="B105" s="11" t="n"/>
      <c r="C105" s="12" t="n"/>
      <c r="D105" s="12" t="n"/>
      <c r="E105" s="13" t="n"/>
      <c r="F105" s="14">
        <f>IF(OR($A105="",G105=""),"",-LN(G105)/INDEX($N$82:$N$146,IFERROR(MATCH($A105,$K$82:$K$146,0),MATCH(IF($A105="1Y","12M",IF($A105="12M","1Y",$A105)),$K$82:$K$146,0)))*100)</f>
        <v/>
      </c>
      <c r="G105" s="15">
        <f>IF($A105="","",IFERROR(INDEX($U$82:$U$146,IFERROR(MATCH($A105,$K$82:$K$146,0),MATCH(IF($A105="1Y","12M",IF($A105="12M","1Y",$A105)),$K$82:$K$146,0))),""))</f>
        <v/>
      </c>
      <c r="H105" s="16">
        <f>IF(OR(F105="",NOT(ISNUMBER(D105))),"",(F105-D105)*100)</f>
        <v/>
      </c>
      <c r="I105" s="17">
        <f>IF(OR(G105="",NOT(ISNUMBER(E105))),"",G105-E105)</f>
        <v/>
      </c>
      <c r="J105" s="18">
        <f>IF(OR($A105="",NOT(ISNUMBER($B105))),"",IF(ABS($B105-INDEX($M$82:$M$146,IFERROR(MATCH($A105,$K$82:$K$146,0),MATCH(IF($A105="1Y","12M",IF($A105="12M","1Y",$A105)),$K$82:$K$146,0))))&lt;=3,"ok","MISMATCH "&amp;TEXT(INDEX($M$82:$M$146,IFERROR(MATCH($A105,$K$82:$K$146,0),MATCH(IF($A105="1Y","12M",IF($A105="12M","1Y",$A105)),$K$82:$K$146,0))),"mm/dd/yy")))</f>
        <v/>
      </c>
      <c r="K105" s="19" t="inlineStr">
        <is>
          <t>9Y</t>
        </is>
      </c>
      <c r="L105" t="n">
        <v>9</v>
      </c>
      <c r="M105" s="20">
        <f>IFERROR(IF($C$77="","",IF(MONTH((EDATE($C$78,108))+IF(WEEKDAY((EDATE($C$78,108)),2)=6,2,IF(WEEKDAY((EDATE($C$78,108)),2)=7,1,0)))&lt;&gt;MONTH(EDATE($C$78,108)),(EDATE($C$78,108))-IF(WEEKDAY((EDATE($C$78,108)),2)=6,1,IF(WEEKDAY((EDATE($C$78,108)),2)=7,2,0)),(EDATE($C$78,108))+IF(WEEKDAY((EDATE($C$78,108)),2)=6,2,IF(WEEKDAY((EDATE($C$78,108)),2)=7,1,0)))),"")</f>
        <v/>
      </c>
      <c r="N105">
        <f>IFERROR(IF(M105="","",(M105-$C$77)/365),"")</f>
        <v/>
      </c>
      <c r="O105">
        <f>IFERROR(IF(M105="","",(M105-$C$78)/360),"")</f>
        <v/>
      </c>
      <c r="P105">
        <f>IFERROR(IF(M105="","",(M105-M104)/360),"")</f>
        <v/>
      </c>
      <c r="Q105" t="n">
        <v>1</v>
      </c>
      <c r="R105">
        <f>IFERROR(IF(COUNTIF($A$82:$A$133,"9Y")&gt;0,1,0),"")</f>
        <v/>
      </c>
      <c r="S105" s="21">
        <f>IFERROR(IFERROR(INDEX($C$82:$C$133,MATCH("9Y",$A$82:$A$133,0)),INDEX($C$82:$C$133,MATCH("9Y",$A$82:$A$133,0))),"")</f>
        <v/>
      </c>
      <c r="U105" s="22">
        <f>IFERROR(IF(S105="","",(1-(S105/100)*SUM($V$82:V104))/(1+(S105/100)*P105)),"")</f>
        <v/>
      </c>
      <c r="V105">
        <f>IFERROR(IF(OR(U105="",Q105=0),0,P105*U105),"")</f>
        <v/>
      </c>
    </row>
    <row r="106">
      <c r="A106" s="10" t="n"/>
      <c r="B106" s="11" t="n"/>
      <c r="C106" s="12" t="n"/>
      <c r="D106" s="12" t="n"/>
      <c r="E106" s="13" t="n"/>
      <c r="F106" s="14">
        <f>IF(OR($A106="",G106=""),"",-LN(G106)/INDEX($N$82:$N$146,IFERROR(MATCH($A106,$K$82:$K$146,0),MATCH(IF($A106="1Y","12M",IF($A106="12M","1Y",$A106)),$K$82:$K$146,0)))*100)</f>
        <v/>
      </c>
      <c r="G106" s="15">
        <f>IF($A106="","",IFERROR(INDEX($U$82:$U$146,IFERROR(MATCH($A106,$K$82:$K$146,0),MATCH(IF($A106="1Y","12M",IF($A106="12M","1Y",$A106)),$K$82:$K$146,0))),""))</f>
        <v/>
      </c>
      <c r="H106" s="16">
        <f>IF(OR(F106="",NOT(ISNUMBER(D106))),"",(F106-D106)*100)</f>
        <v/>
      </c>
      <c r="I106" s="17">
        <f>IF(OR(G106="",NOT(ISNUMBER(E106))),"",G106-E106)</f>
        <v/>
      </c>
      <c r="J106" s="18">
        <f>IF(OR($A106="",NOT(ISNUMBER($B106))),"",IF(ABS($B106-INDEX($M$82:$M$146,IFERROR(MATCH($A106,$K$82:$K$146,0),MATCH(IF($A106="1Y","12M",IF($A106="12M","1Y",$A106)),$K$82:$K$146,0))))&lt;=3,"ok","MISMATCH "&amp;TEXT(INDEX($M$82:$M$146,IFERROR(MATCH($A106,$K$82:$K$146,0),MATCH(IF($A106="1Y","12M",IF($A106="12M","1Y",$A106)),$K$82:$K$146,0))),"mm/dd/yy")))</f>
        <v/>
      </c>
      <c r="K106" s="19" t="inlineStr">
        <is>
          <t>10Y</t>
        </is>
      </c>
      <c r="L106" t="n">
        <v>10</v>
      </c>
      <c r="M106" s="20">
        <f>IFERROR(IF($C$77="","",IF(MONTH((EDATE($C$78,120))+IF(WEEKDAY((EDATE($C$78,120)),2)=6,2,IF(WEEKDAY((EDATE($C$78,120)),2)=7,1,0)))&lt;&gt;MONTH(EDATE($C$78,120)),(EDATE($C$78,120))-IF(WEEKDAY((EDATE($C$78,120)),2)=6,1,IF(WEEKDAY((EDATE($C$78,120)),2)=7,2,0)),(EDATE($C$78,120))+IF(WEEKDAY((EDATE($C$78,120)),2)=6,2,IF(WEEKDAY((EDATE($C$78,120)),2)=7,1,0)))),"")</f>
        <v/>
      </c>
      <c r="N106">
        <f>IFERROR(IF(M106="","",(M106-$C$77)/365),"")</f>
        <v/>
      </c>
      <c r="O106">
        <f>IFERROR(IF(M106="","",(M106-$C$78)/360),"")</f>
        <v/>
      </c>
      <c r="P106">
        <f>IFERROR(IF(M106="","",(M106-M105)/360),"")</f>
        <v/>
      </c>
      <c r="Q106" t="n">
        <v>1</v>
      </c>
      <c r="R106">
        <f>IFERROR(IF(COUNTIF($A$82:$A$133,"10Y")&gt;0,1,0),"")</f>
        <v/>
      </c>
      <c r="S106" s="21">
        <f>IFERROR(IFERROR(INDEX($C$82:$C$133,MATCH("10Y",$A$82:$A$133,0)),INDEX($C$82:$C$133,MATCH("10Y",$A$82:$A$133,0))),"")</f>
        <v/>
      </c>
      <c r="U106" s="22">
        <f>IFERROR(IF(S106="","",(1-(S106/100)*SUM($V$82:V105))/(1+(S106/100)*P106)),"")</f>
        <v/>
      </c>
      <c r="V106">
        <f>IFERROR(IF(OR(U106="",Q106=0),0,P106*U106),"")</f>
        <v/>
      </c>
    </row>
    <row r="107">
      <c r="A107" s="10" t="n"/>
      <c r="B107" s="11" t="n"/>
      <c r="C107" s="12" t="n"/>
      <c r="D107" s="12" t="n"/>
      <c r="E107" s="13" t="n"/>
      <c r="F107" s="14">
        <f>IF(OR($A107="",G107=""),"",-LN(G107)/INDEX($N$82:$N$146,IFERROR(MATCH($A107,$K$82:$K$146,0),MATCH(IF($A107="1Y","12M",IF($A107="12M","1Y",$A107)),$K$82:$K$146,0)))*100)</f>
        <v/>
      </c>
      <c r="G107" s="15">
        <f>IF($A107="","",IFERROR(INDEX($U$82:$U$146,IFERROR(MATCH($A107,$K$82:$K$146,0),MATCH(IF($A107="1Y","12M",IF($A107="12M","1Y",$A107)),$K$82:$K$146,0))),""))</f>
        <v/>
      </c>
      <c r="H107" s="16">
        <f>IF(OR(F107="",NOT(ISNUMBER(D107))),"",(F107-D107)*100)</f>
        <v/>
      </c>
      <c r="I107" s="17">
        <f>IF(OR(G107="",NOT(ISNUMBER(E107))),"",G107-E107)</f>
        <v/>
      </c>
      <c r="J107" s="18">
        <f>IF(OR($A107="",NOT(ISNUMBER($B107))),"",IF(ABS($B107-INDEX($M$82:$M$146,IFERROR(MATCH($A107,$K$82:$K$146,0),MATCH(IF($A107="1Y","12M",IF($A107="12M","1Y",$A107)),$K$82:$K$146,0))))&lt;=3,"ok","MISMATCH "&amp;TEXT(INDEX($M$82:$M$146,IFERROR(MATCH($A107,$K$82:$K$146,0),MATCH(IF($A107="1Y","12M",IF($A107="12M","1Y",$A107)),$K$82:$K$146,0))),"mm/dd/yy")))</f>
        <v/>
      </c>
      <c r="K107" s="19" t="inlineStr">
        <is>
          <t>11Y</t>
        </is>
      </c>
      <c r="L107" t="n">
        <v>11</v>
      </c>
      <c r="M107" s="20">
        <f>IFERROR(IF($C$77="","",IF(MONTH((EDATE($C$78,132))+IF(WEEKDAY((EDATE($C$78,132)),2)=6,2,IF(WEEKDAY((EDATE($C$78,132)),2)=7,1,0)))&lt;&gt;MONTH(EDATE($C$78,132)),(EDATE($C$78,132))-IF(WEEKDAY((EDATE($C$78,132)),2)=6,1,IF(WEEKDAY((EDATE($C$78,132)),2)=7,2,0)),(EDATE($C$78,132))+IF(WEEKDAY((EDATE($C$78,132)),2)=6,2,IF(WEEKDAY((EDATE($C$78,132)),2)=7,1,0)))),"")</f>
        <v/>
      </c>
      <c r="N107">
        <f>IFERROR(IF(M107="","",(M107-$C$77)/365),"")</f>
        <v/>
      </c>
      <c r="O107">
        <f>IFERROR(IF(M107="","",(M107-$C$78)/360),"")</f>
        <v/>
      </c>
      <c r="P107">
        <f>IFERROR(IF(M107="","",(M107-M106)/360),"")</f>
        <v/>
      </c>
      <c r="Q107" t="n">
        <v>1</v>
      </c>
      <c r="R107">
        <f>IFERROR(IF(COUNTIF($A$82:$A$133,"11Y")&gt;0,1,0),"")</f>
        <v/>
      </c>
      <c r="S107" s="21">
        <f>IFERROR(IF(R107=1,IFERROR(INDEX($C$82:$C$133,MATCH("11Y",$A$82:$A$133,0)),INDEX($C$82:$C$133,MATCH("11Y",$A$82:$A$133,0))),S106+(S108-S106)*0.5000000000),"")</f>
        <v/>
      </c>
      <c r="T107">
        <f>IFERROR(IF(OR(N107="",N108=""),"",(N107-N106)/(N108-N106)),"")</f>
        <v/>
      </c>
      <c r="U107" s="22">
        <f>IFERROR(IF(OR(T107="",U108=""),"",U106*(U108/U106)^T107),"")</f>
        <v/>
      </c>
      <c r="V107">
        <f>IFERROR(IF(OR(U107="",Q107=0),0,P107*U107),"")</f>
        <v/>
      </c>
    </row>
    <row r="108">
      <c r="A108" s="10" t="n"/>
      <c r="B108" s="11" t="n"/>
      <c r="C108" s="12" t="n"/>
      <c r="D108" s="12" t="n"/>
      <c r="E108" s="13" t="n"/>
      <c r="F108" s="14">
        <f>IF(OR($A108="",G108=""),"",-LN(G108)/INDEX($N$82:$N$146,IFERROR(MATCH($A108,$K$82:$K$146,0),MATCH(IF($A108="1Y","12M",IF($A108="12M","1Y",$A108)),$K$82:$K$146,0)))*100)</f>
        <v/>
      </c>
      <c r="G108" s="15">
        <f>IF($A108="","",IFERROR(INDEX($U$82:$U$146,IFERROR(MATCH($A108,$K$82:$K$146,0),MATCH(IF($A108="1Y","12M",IF($A108="12M","1Y",$A108)),$K$82:$K$146,0))),""))</f>
        <v/>
      </c>
      <c r="H108" s="16">
        <f>IF(OR(F108="",NOT(ISNUMBER(D108))),"",(F108-D108)*100)</f>
        <v/>
      </c>
      <c r="I108" s="17">
        <f>IF(OR(G108="",NOT(ISNUMBER(E108))),"",G108-E108)</f>
        <v/>
      </c>
      <c r="J108" s="18">
        <f>IF(OR($A108="",NOT(ISNUMBER($B108))),"",IF(ABS($B108-INDEX($M$82:$M$146,IFERROR(MATCH($A108,$K$82:$K$146,0),MATCH(IF($A108="1Y","12M",IF($A108="12M","1Y",$A108)),$K$82:$K$146,0))))&lt;=3,"ok","MISMATCH "&amp;TEXT(INDEX($M$82:$M$146,IFERROR(MATCH($A108,$K$82:$K$146,0),MATCH(IF($A108="1Y","12M",IF($A108="12M","1Y",$A108)),$K$82:$K$146,0))),"mm/dd/yy")))</f>
        <v/>
      </c>
      <c r="K108" s="19" t="inlineStr">
        <is>
          <t>12Y</t>
        </is>
      </c>
      <c r="L108" t="n">
        <v>12</v>
      </c>
      <c r="M108" s="20">
        <f>IFERROR(IF($C$77="","",IF(MONTH((EDATE($C$78,144))+IF(WEEKDAY((EDATE($C$78,144)),2)=6,2,IF(WEEKDAY((EDATE($C$78,144)),2)=7,1,0)))&lt;&gt;MONTH(EDATE($C$78,144)),(EDATE($C$78,144))-IF(WEEKDAY((EDATE($C$78,144)),2)=6,1,IF(WEEKDAY((EDATE($C$78,144)),2)=7,2,0)),(EDATE($C$78,144))+IF(WEEKDAY((EDATE($C$78,144)),2)=6,2,IF(WEEKDAY((EDATE($C$78,144)),2)=7,1,0)))),"")</f>
        <v/>
      </c>
      <c r="N108">
        <f>IFERROR(IF(M108="","",(M108-$C$77)/365),"")</f>
        <v/>
      </c>
      <c r="O108">
        <f>IFERROR(IF(M108="","",(M108-$C$78)/360),"")</f>
        <v/>
      </c>
      <c r="P108">
        <f>IFERROR(IF(M108="","",(M108-M107)/360),"")</f>
        <v/>
      </c>
      <c r="Q108" t="n">
        <v>1</v>
      </c>
      <c r="R108">
        <f>IFERROR(IF(COUNTIF($A$82:$A$133,"12Y")&gt;0,1,0),"")</f>
        <v/>
      </c>
      <c r="S108" s="21">
        <f>IFERROR(IFERROR(INDEX($C$82:$C$133,MATCH("12Y",$A$82:$A$133,0)),INDEX($C$82:$C$133,MATCH("12Y",$A$82:$A$133,0))),"")</f>
        <v/>
      </c>
      <c r="U108" s="22">
        <f>IFERROR(IF(S108="","",AM108),"")</f>
        <v/>
      </c>
      <c r="V108">
        <f>IFERROR(IF(OR(U108="",Q108=0),0,P108*U108),"")</f>
        <v/>
      </c>
      <c r="X108" s="23">
        <f>IFERROR(IF(S108="","",U106*0.9),"")</f>
        <v/>
      </c>
      <c r="Y108" s="23">
        <f>IFERROR(IF(S108="","",(1-(S108/100)*(SUM($V$82:V106)+SUMPRODUCT($P$107:$P$107,$Q$107:$Q$107,U106*(X108/U106)^$T$107:$T$107)))/(1+(S108/100)*P108)),"")</f>
        <v/>
      </c>
      <c r="Z108" s="23">
        <f>IFERROR(IF(S108="","",(1-(S108/100)*(SUM($V$82:V106)+SUMPRODUCT($P$107:$P$107,$Q$107:$Q$107,U106*(Y108/U106)^$T$107:$T$107)))/(1+(S108/100)*P108)),"")</f>
        <v/>
      </c>
      <c r="AA108" s="23">
        <f>IFERROR(IF(S108="","",(1-(S108/100)*(SUM($V$82:V106)+SUMPRODUCT($P$107:$P$107,$Q$107:$Q$107,U106*(Z108/U106)^$T$107:$T$107)))/(1+(S108/100)*P108)),"")</f>
        <v/>
      </c>
      <c r="AB108" s="23">
        <f>IFERROR(IF(S108="","",(1-(S108/100)*(SUM($V$82:V106)+SUMPRODUCT($P$107:$P$107,$Q$107:$Q$107,U106*(AA108/U106)^$T$107:$T$107)))/(1+(S108/100)*P108)),"")</f>
        <v/>
      </c>
      <c r="AC108" s="23">
        <f>IFERROR(IF(S108="","",(1-(S108/100)*(SUM($V$82:V106)+SUMPRODUCT($P$107:$P$107,$Q$107:$Q$107,U106*(AB108/U106)^$T$107:$T$107)))/(1+(S108/100)*P108)),"")</f>
        <v/>
      </c>
      <c r="AD108" s="23">
        <f>IFERROR(IF(S108="","",(1-(S108/100)*(SUM($V$82:V106)+SUMPRODUCT($P$107:$P$107,$Q$107:$Q$107,U106*(AC108/U106)^$T$107:$T$107)))/(1+(S108/100)*P108)),"")</f>
        <v/>
      </c>
      <c r="AE108" s="23">
        <f>IFERROR(IF(S108="","",(1-(S108/100)*(SUM($V$82:V106)+SUMPRODUCT($P$107:$P$107,$Q$107:$Q$107,U106*(AD108/U106)^$T$107:$T$107)))/(1+(S108/100)*P108)),"")</f>
        <v/>
      </c>
      <c r="AF108" s="23">
        <f>IFERROR(IF(S108="","",(1-(S108/100)*(SUM($V$82:V106)+SUMPRODUCT($P$107:$P$107,$Q$107:$Q$107,U106*(AE108/U106)^$T$107:$T$107)))/(1+(S108/100)*P108)),"")</f>
        <v/>
      </c>
      <c r="AG108" s="23">
        <f>IFERROR(IF(S108="","",(1-(S108/100)*(SUM($V$82:V106)+SUMPRODUCT($P$107:$P$107,$Q$107:$Q$107,U106*(AF108/U106)^$T$107:$T$107)))/(1+(S108/100)*P108)),"")</f>
        <v/>
      </c>
      <c r="AH108" s="23">
        <f>IFERROR(IF(S108="","",(1-(S108/100)*(SUM($V$82:V106)+SUMPRODUCT($P$107:$P$107,$Q$107:$Q$107,U106*(AG108/U106)^$T$107:$T$107)))/(1+(S108/100)*P108)),"")</f>
        <v/>
      </c>
      <c r="AI108" s="23">
        <f>IFERROR(IF(S108="","",(1-(S108/100)*(SUM($V$82:V106)+SUMPRODUCT($P$107:$P$107,$Q$107:$Q$107,U106*(AH108/U106)^$T$107:$T$107)))/(1+(S108/100)*P108)),"")</f>
        <v/>
      </c>
      <c r="AJ108" s="23">
        <f>IFERROR(IF(S108="","",(1-(S108/100)*(SUM($V$82:V106)+SUMPRODUCT($P$107:$P$107,$Q$107:$Q$107,U106*(AI108/U106)^$T$107:$T$107)))/(1+(S108/100)*P108)),"")</f>
        <v/>
      </c>
      <c r="AK108" s="23">
        <f>IFERROR(IF(S108="","",(1-(S108/100)*(SUM($V$82:V106)+SUMPRODUCT($P$107:$P$107,$Q$107:$Q$107,U106*(AJ108/U106)^$T$107:$T$107)))/(1+(S108/100)*P108)),"")</f>
        <v/>
      </c>
      <c r="AL108" s="23">
        <f>IFERROR(IF(S108="","",(1-(S108/100)*(SUM($V$82:V106)+SUMPRODUCT($P$107:$P$107,$Q$107:$Q$107,U106*(AK108/U106)^$T$107:$T$107)))/(1+(S108/100)*P108)),"")</f>
        <v/>
      </c>
      <c r="AM108" s="23">
        <f>IFERROR(IF(S108="","",(1-(S108/100)*(SUM($V$82:V106)+SUMPRODUCT($P$107:$P$107,$Q$107:$Q$107,U106*(AL108/U106)^$T$107:$T$107)))/(1+(S108/100)*P108)),"")</f>
        <v/>
      </c>
    </row>
    <row r="109">
      <c r="A109" s="10" t="n"/>
      <c r="B109" s="11" t="n"/>
      <c r="C109" s="12" t="n"/>
      <c r="D109" s="12" t="n"/>
      <c r="E109" s="13" t="n"/>
      <c r="F109" s="14">
        <f>IF(OR($A109="",G109=""),"",-LN(G109)/INDEX($N$82:$N$146,IFERROR(MATCH($A109,$K$82:$K$146,0),MATCH(IF($A109="1Y","12M",IF($A109="12M","1Y",$A109)),$K$82:$K$146,0)))*100)</f>
        <v/>
      </c>
      <c r="G109" s="15">
        <f>IF($A109="","",IFERROR(INDEX($U$82:$U$146,IFERROR(MATCH($A109,$K$82:$K$146,0),MATCH(IF($A109="1Y","12M",IF($A109="12M","1Y",$A109)),$K$82:$K$146,0))),""))</f>
        <v/>
      </c>
      <c r="H109" s="16">
        <f>IF(OR(F109="",NOT(ISNUMBER(D109))),"",(F109-D109)*100)</f>
        <v/>
      </c>
      <c r="I109" s="17">
        <f>IF(OR(G109="",NOT(ISNUMBER(E109))),"",G109-E109)</f>
        <v/>
      </c>
      <c r="J109" s="18">
        <f>IF(OR($A109="",NOT(ISNUMBER($B109))),"",IF(ABS($B109-INDEX($M$82:$M$146,IFERROR(MATCH($A109,$K$82:$K$146,0),MATCH(IF($A109="1Y","12M",IF($A109="12M","1Y",$A109)),$K$82:$K$146,0))))&lt;=3,"ok","MISMATCH "&amp;TEXT(INDEX($M$82:$M$146,IFERROR(MATCH($A109,$K$82:$K$146,0),MATCH(IF($A109="1Y","12M",IF($A109="12M","1Y",$A109)),$K$82:$K$146,0))),"mm/dd/yy")))</f>
        <v/>
      </c>
      <c r="K109" s="19" t="inlineStr">
        <is>
          <t>13Y</t>
        </is>
      </c>
      <c r="L109" t="n">
        <v>13</v>
      </c>
      <c r="M109" s="20">
        <f>IFERROR(IF($C$77="","",IF(MONTH((EDATE($C$78,156))+IF(WEEKDAY((EDATE($C$78,156)),2)=6,2,IF(WEEKDAY((EDATE($C$78,156)),2)=7,1,0)))&lt;&gt;MONTH(EDATE($C$78,156)),(EDATE($C$78,156))-IF(WEEKDAY((EDATE($C$78,156)),2)=6,1,IF(WEEKDAY((EDATE($C$78,156)),2)=7,2,0)),(EDATE($C$78,156))+IF(WEEKDAY((EDATE($C$78,156)),2)=6,2,IF(WEEKDAY((EDATE($C$78,156)),2)=7,1,0)))),"")</f>
        <v/>
      </c>
      <c r="N109">
        <f>IFERROR(IF(M109="","",(M109-$C$77)/365),"")</f>
        <v/>
      </c>
      <c r="O109">
        <f>IFERROR(IF(M109="","",(M109-$C$78)/360),"")</f>
        <v/>
      </c>
      <c r="P109">
        <f>IFERROR(IF(M109="","",(M109-M108)/360),"")</f>
        <v/>
      </c>
      <c r="Q109" t="n">
        <v>1</v>
      </c>
      <c r="R109">
        <f>IFERROR(IF(COUNTIF($A$82:$A$133,"13Y")&gt;0,1,0),"")</f>
        <v/>
      </c>
      <c r="S109" s="21">
        <f>IFERROR(IF(R109=1,IFERROR(INDEX($C$82:$C$133,MATCH("13Y",$A$82:$A$133,0)),INDEX($C$82:$C$133,MATCH("13Y",$A$82:$A$133,0))),S108+(S111-S108)*0.3333333333),"")</f>
        <v/>
      </c>
      <c r="T109">
        <f>IFERROR(IF(OR(N109="",N111=""),"",(N109-N108)/(N111-N108)),"")</f>
        <v/>
      </c>
      <c r="U109" s="22">
        <f>IFERROR(IF(OR(T109="",U111=""),"",U108*(U111/U108)^T109),"")</f>
        <v/>
      </c>
      <c r="V109">
        <f>IFERROR(IF(OR(U109="",Q109=0),0,P109*U109),"")</f>
        <v/>
      </c>
    </row>
    <row r="110">
      <c r="A110" s="10" t="n"/>
      <c r="B110" s="11" t="n"/>
      <c r="C110" s="12" t="n"/>
      <c r="D110" s="12" t="n"/>
      <c r="E110" s="13" t="n"/>
      <c r="F110" s="14">
        <f>IF(OR($A110="",G110=""),"",-LN(G110)/INDEX($N$82:$N$146,IFERROR(MATCH($A110,$K$82:$K$146,0),MATCH(IF($A110="1Y","12M",IF($A110="12M","1Y",$A110)),$K$82:$K$146,0)))*100)</f>
        <v/>
      </c>
      <c r="G110" s="15">
        <f>IF($A110="","",IFERROR(INDEX($U$82:$U$146,IFERROR(MATCH($A110,$K$82:$K$146,0),MATCH(IF($A110="1Y","12M",IF($A110="12M","1Y",$A110)),$K$82:$K$146,0))),""))</f>
        <v/>
      </c>
      <c r="H110" s="16">
        <f>IF(OR(F110="",NOT(ISNUMBER(D110))),"",(F110-D110)*100)</f>
        <v/>
      </c>
      <c r="I110" s="17">
        <f>IF(OR(G110="",NOT(ISNUMBER(E110))),"",G110-E110)</f>
        <v/>
      </c>
      <c r="J110" s="18">
        <f>IF(OR($A110="",NOT(ISNUMBER($B110))),"",IF(ABS($B110-INDEX($M$82:$M$146,IFERROR(MATCH($A110,$K$82:$K$146,0),MATCH(IF($A110="1Y","12M",IF($A110="12M","1Y",$A110)),$K$82:$K$146,0))))&lt;=3,"ok","MISMATCH "&amp;TEXT(INDEX($M$82:$M$146,IFERROR(MATCH($A110,$K$82:$K$146,0),MATCH(IF($A110="1Y","12M",IF($A110="12M","1Y",$A110)),$K$82:$K$146,0))),"mm/dd/yy")))</f>
        <v/>
      </c>
      <c r="K110" s="19" t="inlineStr">
        <is>
          <t>14Y</t>
        </is>
      </c>
      <c r="L110" t="n">
        <v>14</v>
      </c>
      <c r="M110" s="20">
        <f>IFERROR(IF($C$77="","",IF(MONTH((EDATE($C$78,168))+IF(WEEKDAY((EDATE($C$78,168)),2)=6,2,IF(WEEKDAY((EDATE($C$78,168)),2)=7,1,0)))&lt;&gt;MONTH(EDATE($C$78,168)),(EDATE($C$78,168))-IF(WEEKDAY((EDATE($C$78,168)),2)=6,1,IF(WEEKDAY((EDATE($C$78,168)),2)=7,2,0)),(EDATE($C$78,168))+IF(WEEKDAY((EDATE($C$78,168)),2)=6,2,IF(WEEKDAY((EDATE($C$78,168)),2)=7,1,0)))),"")</f>
        <v/>
      </c>
      <c r="N110">
        <f>IFERROR(IF(M110="","",(M110-$C$77)/365),"")</f>
        <v/>
      </c>
      <c r="O110">
        <f>IFERROR(IF(M110="","",(M110-$C$78)/360),"")</f>
        <v/>
      </c>
      <c r="P110">
        <f>IFERROR(IF(M110="","",(M110-M109)/360),"")</f>
        <v/>
      </c>
      <c r="Q110" t="n">
        <v>1</v>
      </c>
      <c r="R110">
        <f>IFERROR(IF(COUNTIF($A$82:$A$133,"14Y")&gt;0,1,0),"")</f>
        <v/>
      </c>
      <c r="S110" s="21">
        <f>IFERROR(IF(R110=1,IFERROR(INDEX($C$82:$C$133,MATCH("14Y",$A$82:$A$133,0)),INDEX($C$82:$C$133,MATCH("14Y",$A$82:$A$133,0))),S108+(S111-S108)*0.6666666667),"")</f>
        <v/>
      </c>
      <c r="T110">
        <f>IFERROR(IF(OR(N110="",N111=""),"",(N110-N108)/(N111-N108)),"")</f>
        <v/>
      </c>
      <c r="U110" s="22">
        <f>IFERROR(IF(OR(T110="",U111=""),"",U108*(U111/U108)^T110),"")</f>
        <v/>
      </c>
      <c r="V110">
        <f>IFERROR(IF(OR(U110="",Q110=0),0,P110*U110),"")</f>
        <v/>
      </c>
    </row>
    <row r="111">
      <c r="A111" s="10" t="n"/>
      <c r="B111" s="11" t="n"/>
      <c r="C111" s="12" t="n"/>
      <c r="D111" s="12" t="n"/>
      <c r="E111" s="13" t="n"/>
      <c r="F111" s="14">
        <f>IF(OR($A111="",G111=""),"",-LN(G111)/INDEX($N$82:$N$146,IFERROR(MATCH($A111,$K$82:$K$146,0),MATCH(IF($A111="1Y","12M",IF($A111="12M","1Y",$A111)),$K$82:$K$146,0)))*100)</f>
        <v/>
      </c>
      <c r="G111" s="15">
        <f>IF($A111="","",IFERROR(INDEX($U$82:$U$146,IFERROR(MATCH($A111,$K$82:$K$146,0),MATCH(IF($A111="1Y","12M",IF($A111="12M","1Y",$A111)),$K$82:$K$146,0))),""))</f>
        <v/>
      </c>
      <c r="H111" s="16">
        <f>IF(OR(F111="",NOT(ISNUMBER(D111))),"",(F111-D111)*100)</f>
        <v/>
      </c>
      <c r="I111" s="17">
        <f>IF(OR(G111="",NOT(ISNUMBER(E111))),"",G111-E111)</f>
        <v/>
      </c>
      <c r="J111" s="18">
        <f>IF(OR($A111="",NOT(ISNUMBER($B111))),"",IF(ABS($B111-INDEX($M$82:$M$146,IFERROR(MATCH($A111,$K$82:$K$146,0),MATCH(IF($A111="1Y","12M",IF($A111="12M","1Y",$A111)),$K$82:$K$146,0))))&lt;=3,"ok","MISMATCH "&amp;TEXT(INDEX($M$82:$M$146,IFERROR(MATCH($A111,$K$82:$K$146,0),MATCH(IF($A111="1Y","12M",IF($A111="12M","1Y",$A111)),$K$82:$K$146,0))),"mm/dd/yy")))</f>
        <v/>
      </c>
      <c r="K111" s="19" t="inlineStr">
        <is>
          <t>15Y</t>
        </is>
      </c>
      <c r="L111" t="n">
        <v>15</v>
      </c>
      <c r="M111" s="20">
        <f>IFERROR(IF($C$77="","",IF(MONTH((EDATE($C$78,180))+IF(WEEKDAY((EDATE($C$78,180)),2)=6,2,IF(WEEKDAY((EDATE($C$78,180)),2)=7,1,0)))&lt;&gt;MONTH(EDATE($C$78,180)),(EDATE($C$78,180))-IF(WEEKDAY((EDATE($C$78,180)),2)=6,1,IF(WEEKDAY((EDATE($C$78,180)),2)=7,2,0)),(EDATE($C$78,180))+IF(WEEKDAY((EDATE($C$78,180)),2)=6,2,IF(WEEKDAY((EDATE($C$78,180)),2)=7,1,0)))),"")</f>
        <v/>
      </c>
      <c r="N111">
        <f>IFERROR(IF(M111="","",(M111-$C$77)/365),"")</f>
        <v/>
      </c>
      <c r="O111">
        <f>IFERROR(IF(M111="","",(M111-$C$78)/360),"")</f>
        <v/>
      </c>
      <c r="P111">
        <f>IFERROR(IF(M111="","",(M111-M110)/360),"")</f>
        <v/>
      </c>
      <c r="Q111" t="n">
        <v>1</v>
      </c>
      <c r="R111">
        <f>IFERROR(IF(COUNTIF($A$82:$A$133,"15Y")&gt;0,1,0),"")</f>
        <v/>
      </c>
      <c r="S111" s="21">
        <f>IFERROR(IFERROR(INDEX($C$82:$C$133,MATCH("15Y",$A$82:$A$133,0)),INDEX($C$82:$C$133,MATCH("15Y",$A$82:$A$133,0))),"")</f>
        <v/>
      </c>
      <c r="U111" s="22">
        <f>IFERROR(IF(S111="","",AM111),"")</f>
        <v/>
      </c>
      <c r="V111">
        <f>IFERROR(IF(OR(U111="",Q111=0),0,P111*U111),"")</f>
        <v/>
      </c>
      <c r="X111" s="23">
        <f>IFERROR(IF(S111="","",U108*0.9),"")</f>
        <v/>
      </c>
      <c r="Y111" s="23">
        <f>IFERROR(IF(S111="","",(1-(S111/100)*(SUM($V$82:V108)+SUMPRODUCT($P$109:$P$110,$Q$109:$Q$110,U108*(X111/U108)^$T$109:$T$110)))/(1+(S111/100)*P111)),"")</f>
        <v/>
      </c>
      <c r="Z111" s="23">
        <f>IFERROR(IF(S111="","",(1-(S111/100)*(SUM($V$82:V108)+SUMPRODUCT($P$109:$P$110,$Q$109:$Q$110,U108*(Y111/U108)^$T$109:$T$110)))/(1+(S111/100)*P111)),"")</f>
        <v/>
      </c>
      <c r="AA111" s="23">
        <f>IFERROR(IF(S111="","",(1-(S111/100)*(SUM($V$82:V108)+SUMPRODUCT($P$109:$P$110,$Q$109:$Q$110,U108*(Z111/U108)^$T$109:$T$110)))/(1+(S111/100)*P111)),"")</f>
        <v/>
      </c>
      <c r="AB111" s="23">
        <f>IFERROR(IF(S111="","",(1-(S111/100)*(SUM($V$82:V108)+SUMPRODUCT($P$109:$P$110,$Q$109:$Q$110,U108*(AA111/U108)^$T$109:$T$110)))/(1+(S111/100)*P111)),"")</f>
        <v/>
      </c>
      <c r="AC111" s="23">
        <f>IFERROR(IF(S111="","",(1-(S111/100)*(SUM($V$82:V108)+SUMPRODUCT($P$109:$P$110,$Q$109:$Q$110,U108*(AB111/U108)^$T$109:$T$110)))/(1+(S111/100)*P111)),"")</f>
        <v/>
      </c>
      <c r="AD111" s="23">
        <f>IFERROR(IF(S111="","",(1-(S111/100)*(SUM($V$82:V108)+SUMPRODUCT($P$109:$P$110,$Q$109:$Q$110,U108*(AC111/U108)^$T$109:$T$110)))/(1+(S111/100)*P111)),"")</f>
        <v/>
      </c>
      <c r="AE111" s="23">
        <f>IFERROR(IF(S111="","",(1-(S111/100)*(SUM($V$82:V108)+SUMPRODUCT($P$109:$P$110,$Q$109:$Q$110,U108*(AD111/U108)^$T$109:$T$110)))/(1+(S111/100)*P111)),"")</f>
        <v/>
      </c>
      <c r="AF111" s="23">
        <f>IFERROR(IF(S111="","",(1-(S111/100)*(SUM($V$82:V108)+SUMPRODUCT($P$109:$P$110,$Q$109:$Q$110,U108*(AE111/U108)^$T$109:$T$110)))/(1+(S111/100)*P111)),"")</f>
        <v/>
      </c>
      <c r="AG111" s="23">
        <f>IFERROR(IF(S111="","",(1-(S111/100)*(SUM($V$82:V108)+SUMPRODUCT($P$109:$P$110,$Q$109:$Q$110,U108*(AF111/U108)^$T$109:$T$110)))/(1+(S111/100)*P111)),"")</f>
        <v/>
      </c>
      <c r="AH111" s="23">
        <f>IFERROR(IF(S111="","",(1-(S111/100)*(SUM($V$82:V108)+SUMPRODUCT($P$109:$P$110,$Q$109:$Q$110,U108*(AG111/U108)^$T$109:$T$110)))/(1+(S111/100)*P111)),"")</f>
        <v/>
      </c>
      <c r="AI111" s="23">
        <f>IFERROR(IF(S111="","",(1-(S111/100)*(SUM($V$82:V108)+SUMPRODUCT($P$109:$P$110,$Q$109:$Q$110,U108*(AH111/U108)^$T$109:$T$110)))/(1+(S111/100)*P111)),"")</f>
        <v/>
      </c>
      <c r="AJ111" s="23">
        <f>IFERROR(IF(S111="","",(1-(S111/100)*(SUM($V$82:V108)+SUMPRODUCT($P$109:$P$110,$Q$109:$Q$110,U108*(AI111/U108)^$T$109:$T$110)))/(1+(S111/100)*P111)),"")</f>
        <v/>
      </c>
      <c r="AK111" s="23">
        <f>IFERROR(IF(S111="","",(1-(S111/100)*(SUM($V$82:V108)+SUMPRODUCT($P$109:$P$110,$Q$109:$Q$110,U108*(AJ111/U108)^$T$109:$T$110)))/(1+(S111/100)*P111)),"")</f>
        <v/>
      </c>
      <c r="AL111" s="23">
        <f>IFERROR(IF(S111="","",(1-(S111/100)*(SUM($V$82:V108)+SUMPRODUCT($P$109:$P$110,$Q$109:$Q$110,U108*(AK111/U108)^$T$109:$T$110)))/(1+(S111/100)*P111)),"")</f>
        <v/>
      </c>
      <c r="AM111" s="23">
        <f>IFERROR(IF(S111="","",(1-(S111/100)*(SUM($V$82:V108)+SUMPRODUCT($P$109:$P$110,$Q$109:$Q$110,U108*(AL111/U108)^$T$109:$T$110)))/(1+(S111/100)*P111)),"")</f>
        <v/>
      </c>
    </row>
    <row r="112">
      <c r="A112" s="10" t="n"/>
      <c r="B112" s="11" t="n"/>
      <c r="C112" s="12" t="n"/>
      <c r="D112" s="12" t="n"/>
      <c r="E112" s="13" t="n"/>
      <c r="F112" s="14">
        <f>IF(OR($A112="",G112=""),"",-LN(G112)/INDEX($N$82:$N$146,IFERROR(MATCH($A112,$K$82:$K$146,0),MATCH(IF($A112="1Y","12M",IF($A112="12M","1Y",$A112)),$K$82:$K$146,0)))*100)</f>
        <v/>
      </c>
      <c r="G112" s="15">
        <f>IF($A112="","",IFERROR(INDEX($U$82:$U$146,IFERROR(MATCH($A112,$K$82:$K$146,0),MATCH(IF($A112="1Y","12M",IF($A112="12M","1Y",$A112)),$K$82:$K$146,0))),""))</f>
        <v/>
      </c>
      <c r="H112" s="16">
        <f>IF(OR(F112="",NOT(ISNUMBER(D112))),"",(F112-D112)*100)</f>
        <v/>
      </c>
      <c r="I112" s="17">
        <f>IF(OR(G112="",NOT(ISNUMBER(E112))),"",G112-E112)</f>
        <v/>
      </c>
      <c r="J112" s="18">
        <f>IF(OR($A112="",NOT(ISNUMBER($B112))),"",IF(ABS($B112-INDEX($M$82:$M$146,IFERROR(MATCH($A112,$K$82:$K$146,0),MATCH(IF($A112="1Y","12M",IF($A112="12M","1Y",$A112)),$K$82:$K$146,0))))&lt;=3,"ok","MISMATCH "&amp;TEXT(INDEX($M$82:$M$146,IFERROR(MATCH($A112,$K$82:$K$146,0),MATCH(IF($A112="1Y","12M",IF($A112="12M","1Y",$A112)),$K$82:$K$146,0))),"mm/dd/yy")))</f>
        <v/>
      </c>
      <c r="K112" s="19" t="inlineStr">
        <is>
          <t>16Y</t>
        </is>
      </c>
      <c r="L112" t="n">
        <v>16</v>
      </c>
      <c r="M112" s="20">
        <f>IFERROR(IF($C$77="","",IF(MONTH((EDATE($C$78,192))+IF(WEEKDAY((EDATE($C$78,192)),2)=6,2,IF(WEEKDAY((EDATE($C$78,192)),2)=7,1,0)))&lt;&gt;MONTH(EDATE($C$78,192)),(EDATE($C$78,192))-IF(WEEKDAY((EDATE($C$78,192)),2)=6,1,IF(WEEKDAY((EDATE($C$78,192)),2)=7,2,0)),(EDATE($C$78,192))+IF(WEEKDAY((EDATE($C$78,192)),2)=6,2,IF(WEEKDAY((EDATE($C$78,192)),2)=7,1,0)))),"")</f>
        <v/>
      </c>
      <c r="N112">
        <f>IFERROR(IF(M112="","",(M112-$C$77)/365),"")</f>
        <v/>
      </c>
      <c r="O112">
        <f>IFERROR(IF(M112="","",(M112-$C$78)/360),"")</f>
        <v/>
      </c>
      <c r="P112">
        <f>IFERROR(IF(M112="","",(M112-M111)/360),"")</f>
        <v/>
      </c>
      <c r="Q112" t="n">
        <v>1</v>
      </c>
      <c r="R112">
        <f>IFERROR(IF(COUNTIF($A$82:$A$133,"16Y")&gt;0,1,0),"")</f>
        <v/>
      </c>
      <c r="S112" s="21">
        <f>IFERROR(IF(R112=1,IFERROR(INDEX($C$82:$C$133,MATCH("16Y",$A$82:$A$133,0)),INDEX($C$82:$C$133,MATCH("16Y",$A$82:$A$133,0))),S111+(S116-S111)*0.2000000000),"")</f>
        <v/>
      </c>
      <c r="T112">
        <f>IFERROR(IF(OR(N112="",N116=""),"",(N112-N111)/(N116-N111)),"")</f>
        <v/>
      </c>
      <c r="U112" s="22">
        <f>IFERROR(IF(OR(T112="",U116=""),"",U111*(U116/U111)^T112),"")</f>
        <v/>
      </c>
      <c r="V112">
        <f>IFERROR(IF(OR(U112="",Q112=0),0,P112*U112),"")</f>
        <v/>
      </c>
    </row>
    <row r="113">
      <c r="A113" s="10" t="n"/>
      <c r="B113" s="11" t="n"/>
      <c r="C113" s="12" t="n"/>
      <c r="D113" s="12" t="n"/>
      <c r="E113" s="13" t="n"/>
      <c r="F113" s="14">
        <f>IF(OR($A113="",G113=""),"",-LN(G113)/INDEX($N$82:$N$146,IFERROR(MATCH($A113,$K$82:$K$146,0),MATCH(IF($A113="1Y","12M",IF($A113="12M","1Y",$A113)),$K$82:$K$146,0)))*100)</f>
        <v/>
      </c>
      <c r="G113" s="15">
        <f>IF($A113="","",IFERROR(INDEX($U$82:$U$146,IFERROR(MATCH($A113,$K$82:$K$146,0),MATCH(IF($A113="1Y","12M",IF($A113="12M","1Y",$A113)),$K$82:$K$146,0))),""))</f>
        <v/>
      </c>
      <c r="H113" s="16">
        <f>IF(OR(F113="",NOT(ISNUMBER(D113))),"",(F113-D113)*100)</f>
        <v/>
      </c>
      <c r="I113" s="17">
        <f>IF(OR(G113="",NOT(ISNUMBER(E113))),"",G113-E113)</f>
        <v/>
      </c>
      <c r="J113" s="18">
        <f>IF(OR($A113="",NOT(ISNUMBER($B113))),"",IF(ABS($B113-INDEX($M$82:$M$146,IFERROR(MATCH($A113,$K$82:$K$146,0),MATCH(IF($A113="1Y","12M",IF($A113="12M","1Y",$A113)),$K$82:$K$146,0))))&lt;=3,"ok","MISMATCH "&amp;TEXT(INDEX($M$82:$M$146,IFERROR(MATCH($A113,$K$82:$K$146,0),MATCH(IF($A113="1Y","12M",IF($A113="12M","1Y",$A113)),$K$82:$K$146,0))),"mm/dd/yy")))</f>
        <v/>
      </c>
      <c r="K113" s="19" t="inlineStr">
        <is>
          <t>17Y</t>
        </is>
      </c>
      <c r="L113" t="n">
        <v>17</v>
      </c>
      <c r="M113" s="20">
        <f>IFERROR(IF($C$77="","",IF(MONTH((EDATE($C$78,204))+IF(WEEKDAY((EDATE($C$78,204)),2)=6,2,IF(WEEKDAY((EDATE($C$78,204)),2)=7,1,0)))&lt;&gt;MONTH(EDATE($C$78,204)),(EDATE($C$78,204))-IF(WEEKDAY((EDATE($C$78,204)),2)=6,1,IF(WEEKDAY((EDATE($C$78,204)),2)=7,2,0)),(EDATE($C$78,204))+IF(WEEKDAY((EDATE($C$78,204)),2)=6,2,IF(WEEKDAY((EDATE($C$78,204)),2)=7,1,0)))),"")</f>
        <v/>
      </c>
      <c r="N113">
        <f>IFERROR(IF(M113="","",(M113-$C$77)/365),"")</f>
        <v/>
      </c>
      <c r="O113">
        <f>IFERROR(IF(M113="","",(M113-$C$78)/360),"")</f>
        <v/>
      </c>
      <c r="P113">
        <f>IFERROR(IF(M113="","",(M113-M112)/360),"")</f>
        <v/>
      </c>
      <c r="Q113" t="n">
        <v>1</v>
      </c>
      <c r="R113">
        <f>IFERROR(IF(COUNTIF($A$82:$A$133,"17Y")&gt;0,1,0),"")</f>
        <v/>
      </c>
      <c r="S113" s="21">
        <f>IFERROR(IF(R113=1,IFERROR(INDEX($C$82:$C$133,MATCH("17Y",$A$82:$A$133,0)),INDEX($C$82:$C$133,MATCH("17Y",$A$82:$A$133,0))),S111+(S116-S111)*0.4000000000),"")</f>
        <v/>
      </c>
      <c r="T113">
        <f>IFERROR(IF(OR(N113="",N116=""),"",(N113-N111)/(N116-N111)),"")</f>
        <v/>
      </c>
      <c r="U113" s="22">
        <f>IFERROR(IF(OR(T113="",U116=""),"",U111*(U116/U111)^T113),"")</f>
        <v/>
      </c>
      <c r="V113">
        <f>IFERROR(IF(OR(U113="",Q113=0),0,P113*U113),"")</f>
        <v/>
      </c>
    </row>
    <row r="114">
      <c r="A114" s="10" t="n"/>
      <c r="B114" s="11" t="n"/>
      <c r="C114" s="12" t="n"/>
      <c r="D114" s="12" t="n"/>
      <c r="E114" s="13" t="n"/>
      <c r="F114" s="14">
        <f>IF(OR($A114="",G114=""),"",-LN(G114)/INDEX($N$82:$N$146,IFERROR(MATCH($A114,$K$82:$K$146,0),MATCH(IF($A114="1Y","12M",IF($A114="12M","1Y",$A114)),$K$82:$K$146,0)))*100)</f>
        <v/>
      </c>
      <c r="G114" s="15">
        <f>IF($A114="","",IFERROR(INDEX($U$82:$U$146,IFERROR(MATCH($A114,$K$82:$K$146,0),MATCH(IF($A114="1Y","12M",IF($A114="12M","1Y",$A114)),$K$82:$K$146,0))),""))</f>
        <v/>
      </c>
      <c r="H114" s="16">
        <f>IF(OR(F114="",NOT(ISNUMBER(D114))),"",(F114-D114)*100)</f>
        <v/>
      </c>
      <c r="I114" s="17">
        <f>IF(OR(G114="",NOT(ISNUMBER(E114))),"",G114-E114)</f>
        <v/>
      </c>
      <c r="J114" s="18">
        <f>IF(OR($A114="",NOT(ISNUMBER($B114))),"",IF(ABS($B114-INDEX($M$82:$M$146,IFERROR(MATCH($A114,$K$82:$K$146,0),MATCH(IF($A114="1Y","12M",IF($A114="12M","1Y",$A114)),$K$82:$K$146,0))))&lt;=3,"ok","MISMATCH "&amp;TEXT(INDEX($M$82:$M$146,IFERROR(MATCH($A114,$K$82:$K$146,0),MATCH(IF($A114="1Y","12M",IF($A114="12M","1Y",$A114)),$K$82:$K$146,0))),"mm/dd/yy")))</f>
        <v/>
      </c>
      <c r="K114" s="19" t="inlineStr">
        <is>
          <t>18Y</t>
        </is>
      </c>
      <c r="L114" t="n">
        <v>18</v>
      </c>
      <c r="M114" s="20">
        <f>IFERROR(IF($C$77="","",IF(MONTH((EDATE($C$78,216))+IF(WEEKDAY((EDATE($C$78,216)),2)=6,2,IF(WEEKDAY((EDATE($C$78,216)),2)=7,1,0)))&lt;&gt;MONTH(EDATE($C$78,216)),(EDATE($C$78,216))-IF(WEEKDAY((EDATE($C$78,216)),2)=6,1,IF(WEEKDAY((EDATE($C$78,216)),2)=7,2,0)),(EDATE($C$78,216))+IF(WEEKDAY((EDATE($C$78,216)),2)=6,2,IF(WEEKDAY((EDATE($C$78,216)),2)=7,1,0)))),"")</f>
        <v/>
      </c>
      <c r="N114">
        <f>IFERROR(IF(M114="","",(M114-$C$77)/365),"")</f>
        <v/>
      </c>
      <c r="O114">
        <f>IFERROR(IF(M114="","",(M114-$C$78)/360),"")</f>
        <v/>
      </c>
      <c r="P114">
        <f>IFERROR(IF(M114="","",(M114-M113)/360),"")</f>
        <v/>
      </c>
      <c r="Q114" t="n">
        <v>1</v>
      </c>
      <c r="R114">
        <f>IFERROR(IF(COUNTIF($A$82:$A$133,"18Y")&gt;0,1,0),"")</f>
        <v/>
      </c>
      <c r="S114" s="21">
        <f>IFERROR(IF(R114=1,IFERROR(INDEX($C$82:$C$133,MATCH("18Y",$A$82:$A$133,0)),INDEX($C$82:$C$133,MATCH("18Y",$A$82:$A$133,0))),S111+(S116-S111)*0.6000000000),"")</f>
        <v/>
      </c>
      <c r="T114">
        <f>IFERROR(IF(OR(N114="",N116=""),"",(N114-N111)/(N116-N111)),"")</f>
        <v/>
      </c>
      <c r="U114" s="22">
        <f>IFERROR(IF(OR(T114="",U116=""),"",U111*(U116/U111)^T114),"")</f>
        <v/>
      </c>
      <c r="V114">
        <f>IFERROR(IF(OR(U114="",Q114=0),0,P114*U114),"")</f>
        <v/>
      </c>
    </row>
    <row r="115">
      <c r="A115" s="10" t="n"/>
      <c r="B115" s="11" t="n"/>
      <c r="C115" s="12" t="n"/>
      <c r="D115" s="12" t="n"/>
      <c r="E115" s="13" t="n"/>
      <c r="F115" s="14">
        <f>IF(OR($A115="",G115=""),"",-LN(G115)/INDEX($N$82:$N$146,IFERROR(MATCH($A115,$K$82:$K$146,0),MATCH(IF($A115="1Y","12M",IF($A115="12M","1Y",$A115)),$K$82:$K$146,0)))*100)</f>
        <v/>
      </c>
      <c r="G115" s="15">
        <f>IF($A115="","",IFERROR(INDEX($U$82:$U$146,IFERROR(MATCH($A115,$K$82:$K$146,0),MATCH(IF($A115="1Y","12M",IF($A115="12M","1Y",$A115)),$K$82:$K$146,0))),""))</f>
        <v/>
      </c>
      <c r="H115" s="16">
        <f>IF(OR(F115="",NOT(ISNUMBER(D115))),"",(F115-D115)*100)</f>
        <v/>
      </c>
      <c r="I115" s="17">
        <f>IF(OR(G115="",NOT(ISNUMBER(E115))),"",G115-E115)</f>
        <v/>
      </c>
      <c r="J115" s="18">
        <f>IF(OR($A115="",NOT(ISNUMBER($B115))),"",IF(ABS($B115-INDEX($M$82:$M$146,IFERROR(MATCH($A115,$K$82:$K$146,0),MATCH(IF($A115="1Y","12M",IF($A115="12M","1Y",$A115)),$K$82:$K$146,0))))&lt;=3,"ok","MISMATCH "&amp;TEXT(INDEX($M$82:$M$146,IFERROR(MATCH($A115,$K$82:$K$146,0),MATCH(IF($A115="1Y","12M",IF($A115="12M","1Y",$A115)),$K$82:$K$146,0))),"mm/dd/yy")))</f>
        <v/>
      </c>
      <c r="K115" s="19" t="inlineStr">
        <is>
          <t>19Y</t>
        </is>
      </c>
      <c r="L115" t="n">
        <v>19</v>
      </c>
      <c r="M115" s="20">
        <f>IFERROR(IF($C$77="","",IF(MONTH((EDATE($C$78,228))+IF(WEEKDAY((EDATE($C$78,228)),2)=6,2,IF(WEEKDAY((EDATE($C$78,228)),2)=7,1,0)))&lt;&gt;MONTH(EDATE($C$78,228)),(EDATE($C$78,228))-IF(WEEKDAY((EDATE($C$78,228)),2)=6,1,IF(WEEKDAY((EDATE($C$78,228)),2)=7,2,0)),(EDATE($C$78,228))+IF(WEEKDAY((EDATE($C$78,228)),2)=6,2,IF(WEEKDAY((EDATE($C$78,228)),2)=7,1,0)))),"")</f>
        <v/>
      </c>
      <c r="N115">
        <f>IFERROR(IF(M115="","",(M115-$C$77)/365),"")</f>
        <v/>
      </c>
      <c r="O115">
        <f>IFERROR(IF(M115="","",(M115-$C$78)/360),"")</f>
        <v/>
      </c>
      <c r="P115">
        <f>IFERROR(IF(M115="","",(M115-M114)/360),"")</f>
        <v/>
      </c>
      <c r="Q115" t="n">
        <v>1</v>
      </c>
      <c r="R115">
        <f>IFERROR(IF(COUNTIF($A$82:$A$133,"19Y")&gt;0,1,0),"")</f>
        <v/>
      </c>
      <c r="S115" s="21">
        <f>IFERROR(IF(R115=1,IFERROR(INDEX($C$82:$C$133,MATCH("19Y",$A$82:$A$133,0)),INDEX($C$82:$C$133,MATCH("19Y",$A$82:$A$133,0))),S111+(S116-S111)*0.8000000000),"")</f>
        <v/>
      </c>
      <c r="T115">
        <f>IFERROR(IF(OR(N115="",N116=""),"",(N115-N111)/(N116-N111)),"")</f>
        <v/>
      </c>
      <c r="U115" s="22">
        <f>IFERROR(IF(OR(T115="",U116=""),"",U111*(U116/U111)^T115),"")</f>
        <v/>
      </c>
      <c r="V115">
        <f>IFERROR(IF(OR(U115="",Q115=0),0,P115*U115),"")</f>
        <v/>
      </c>
    </row>
    <row r="116">
      <c r="A116" s="10" t="n"/>
      <c r="B116" s="11" t="n"/>
      <c r="C116" s="12" t="n"/>
      <c r="D116" s="12" t="n"/>
      <c r="E116" s="13" t="n"/>
      <c r="F116" s="14">
        <f>IF(OR($A116="",G116=""),"",-LN(G116)/INDEX($N$82:$N$146,IFERROR(MATCH($A116,$K$82:$K$146,0),MATCH(IF($A116="1Y","12M",IF($A116="12M","1Y",$A116)),$K$82:$K$146,0)))*100)</f>
        <v/>
      </c>
      <c r="G116" s="15">
        <f>IF($A116="","",IFERROR(INDEX($U$82:$U$146,IFERROR(MATCH($A116,$K$82:$K$146,0),MATCH(IF($A116="1Y","12M",IF($A116="12M","1Y",$A116)),$K$82:$K$146,0))),""))</f>
        <v/>
      </c>
      <c r="H116" s="16">
        <f>IF(OR(F116="",NOT(ISNUMBER(D116))),"",(F116-D116)*100)</f>
        <v/>
      </c>
      <c r="I116" s="17">
        <f>IF(OR(G116="",NOT(ISNUMBER(E116))),"",G116-E116)</f>
        <v/>
      </c>
      <c r="J116" s="18">
        <f>IF(OR($A116="",NOT(ISNUMBER($B116))),"",IF(ABS($B116-INDEX($M$82:$M$146,IFERROR(MATCH($A116,$K$82:$K$146,0),MATCH(IF($A116="1Y","12M",IF($A116="12M","1Y",$A116)),$K$82:$K$146,0))))&lt;=3,"ok","MISMATCH "&amp;TEXT(INDEX($M$82:$M$146,IFERROR(MATCH($A116,$K$82:$K$146,0),MATCH(IF($A116="1Y","12M",IF($A116="12M","1Y",$A116)),$K$82:$K$146,0))),"mm/dd/yy")))</f>
        <v/>
      </c>
      <c r="K116" s="19" t="inlineStr">
        <is>
          <t>20Y</t>
        </is>
      </c>
      <c r="L116" t="n">
        <v>20</v>
      </c>
      <c r="M116" s="20">
        <f>IFERROR(IF($C$77="","",IF(MONTH((EDATE($C$78,240))+IF(WEEKDAY((EDATE($C$78,240)),2)=6,2,IF(WEEKDAY((EDATE($C$78,240)),2)=7,1,0)))&lt;&gt;MONTH(EDATE($C$78,240)),(EDATE($C$78,240))-IF(WEEKDAY((EDATE($C$78,240)),2)=6,1,IF(WEEKDAY((EDATE($C$78,240)),2)=7,2,0)),(EDATE($C$78,240))+IF(WEEKDAY((EDATE($C$78,240)),2)=6,2,IF(WEEKDAY((EDATE($C$78,240)),2)=7,1,0)))),"")</f>
        <v/>
      </c>
      <c r="N116">
        <f>IFERROR(IF(M116="","",(M116-$C$77)/365),"")</f>
        <v/>
      </c>
      <c r="O116">
        <f>IFERROR(IF(M116="","",(M116-$C$78)/360),"")</f>
        <v/>
      </c>
      <c r="P116">
        <f>IFERROR(IF(M116="","",(M116-M115)/360),"")</f>
        <v/>
      </c>
      <c r="Q116" t="n">
        <v>1</v>
      </c>
      <c r="R116">
        <f>IFERROR(IF(COUNTIF($A$82:$A$133,"20Y")&gt;0,1,0),"")</f>
        <v/>
      </c>
      <c r="S116" s="21">
        <f>IFERROR(IFERROR(INDEX($C$82:$C$133,MATCH("20Y",$A$82:$A$133,0)),INDEX($C$82:$C$133,MATCH("20Y",$A$82:$A$133,0))),"")</f>
        <v/>
      </c>
      <c r="U116" s="22">
        <f>IFERROR(IF(S116="","",AM116),"")</f>
        <v/>
      </c>
      <c r="V116">
        <f>IFERROR(IF(OR(U116="",Q116=0),0,P116*U116),"")</f>
        <v/>
      </c>
      <c r="X116" s="23">
        <f>IFERROR(IF(S116="","",U111*0.9),"")</f>
        <v/>
      </c>
      <c r="Y116" s="23">
        <f>IFERROR(IF(S116="","",(1-(S116/100)*(SUM($V$82:V111)+SUMPRODUCT($P$112:$P$115,$Q$112:$Q$115,U111*(X116/U111)^$T$112:$T$115)))/(1+(S116/100)*P116)),"")</f>
        <v/>
      </c>
      <c r="Z116" s="23">
        <f>IFERROR(IF(S116="","",(1-(S116/100)*(SUM($V$82:V111)+SUMPRODUCT($P$112:$P$115,$Q$112:$Q$115,U111*(Y116/U111)^$T$112:$T$115)))/(1+(S116/100)*P116)),"")</f>
        <v/>
      </c>
      <c r="AA116" s="23">
        <f>IFERROR(IF(S116="","",(1-(S116/100)*(SUM($V$82:V111)+SUMPRODUCT($P$112:$P$115,$Q$112:$Q$115,U111*(Z116/U111)^$T$112:$T$115)))/(1+(S116/100)*P116)),"")</f>
        <v/>
      </c>
      <c r="AB116" s="23">
        <f>IFERROR(IF(S116="","",(1-(S116/100)*(SUM($V$82:V111)+SUMPRODUCT($P$112:$P$115,$Q$112:$Q$115,U111*(AA116/U111)^$T$112:$T$115)))/(1+(S116/100)*P116)),"")</f>
        <v/>
      </c>
      <c r="AC116" s="23">
        <f>IFERROR(IF(S116="","",(1-(S116/100)*(SUM($V$82:V111)+SUMPRODUCT($P$112:$P$115,$Q$112:$Q$115,U111*(AB116/U111)^$T$112:$T$115)))/(1+(S116/100)*P116)),"")</f>
        <v/>
      </c>
      <c r="AD116" s="23">
        <f>IFERROR(IF(S116="","",(1-(S116/100)*(SUM($V$82:V111)+SUMPRODUCT($P$112:$P$115,$Q$112:$Q$115,U111*(AC116/U111)^$T$112:$T$115)))/(1+(S116/100)*P116)),"")</f>
        <v/>
      </c>
      <c r="AE116" s="23">
        <f>IFERROR(IF(S116="","",(1-(S116/100)*(SUM($V$82:V111)+SUMPRODUCT($P$112:$P$115,$Q$112:$Q$115,U111*(AD116/U111)^$T$112:$T$115)))/(1+(S116/100)*P116)),"")</f>
        <v/>
      </c>
      <c r="AF116" s="23">
        <f>IFERROR(IF(S116="","",(1-(S116/100)*(SUM($V$82:V111)+SUMPRODUCT($P$112:$P$115,$Q$112:$Q$115,U111*(AE116/U111)^$T$112:$T$115)))/(1+(S116/100)*P116)),"")</f>
        <v/>
      </c>
      <c r="AG116" s="23">
        <f>IFERROR(IF(S116="","",(1-(S116/100)*(SUM($V$82:V111)+SUMPRODUCT($P$112:$P$115,$Q$112:$Q$115,U111*(AF116/U111)^$T$112:$T$115)))/(1+(S116/100)*P116)),"")</f>
        <v/>
      </c>
      <c r="AH116" s="23">
        <f>IFERROR(IF(S116="","",(1-(S116/100)*(SUM($V$82:V111)+SUMPRODUCT($P$112:$P$115,$Q$112:$Q$115,U111*(AG116/U111)^$T$112:$T$115)))/(1+(S116/100)*P116)),"")</f>
        <v/>
      </c>
      <c r="AI116" s="23">
        <f>IFERROR(IF(S116="","",(1-(S116/100)*(SUM($V$82:V111)+SUMPRODUCT($P$112:$P$115,$Q$112:$Q$115,U111*(AH116/U111)^$T$112:$T$115)))/(1+(S116/100)*P116)),"")</f>
        <v/>
      </c>
      <c r="AJ116" s="23">
        <f>IFERROR(IF(S116="","",(1-(S116/100)*(SUM($V$82:V111)+SUMPRODUCT($P$112:$P$115,$Q$112:$Q$115,U111*(AI116/U111)^$T$112:$T$115)))/(1+(S116/100)*P116)),"")</f>
        <v/>
      </c>
      <c r="AK116" s="23">
        <f>IFERROR(IF(S116="","",(1-(S116/100)*(SUM($V$82:V111)+SUMPRODUCT($P$112:$P$115,$Q$112:$Q$115,U111*(AJ116/U111)^$T$112:$T$115)))/(1+(S116/100)*P116)),"")</f>
        <v/>
      </c>
      <c r="AL116" s="23">
        <f>IFERROR(IF(S116="","",(1-(S116/100)*(SUM($V$82:V111)+SUMPRODUCT($P$112:$P$115,$Q$112:$Q$115,U111*(AK116/U111)^$T$112:$T$115)))/(1+(S116/100)*P116)),"")</f>
        <v/>
      </c>
      <c r="AM116" s="23">
        <f>IFERROR(IF(S116="","",(1-(S116/100)*(SUM($V$82:V111)+SUMPRODUCT($P$112:$P$115,$Q$112:$Q$115,U111*(AL116/U111)^$T$112:$T$115)))/(1+(S116/100)*P116)),"")</f>
        <v/>
      </c>
    </row>
    <row r="117">
      <c r="A117" s="10" t="n"/>
      <c r="B117" s="11" t="n"/>
      <c r="C117" s="12" t="n"/>
      <c r="D117" s="12" t="n"/>
      <c r="E117" s="13" t="n"/>
      <c r="F117" s="14">
        <f>IF(OR($A117="",G117=""),"",-LN(G117)/INDEX($N$82:$N$146,IFERROR(MATCH($A117,$K$82:$K$146,0),MATCH(IF($A117="1Y","12M",IF($A117="12M","1Y",$A117)),$K$82:$K$146,0)))*100)</f>
        <v/>
      </c>
      <c r="G117" s="15">
        <f>IF($A117="","",IFERROR(INDEX($U$82:$U$146,IFERROR(MATCH($A117,$K$82:$K$146,0),MATCH(IF($A117="1Y","12M",IF($A117="12M","1Y",$A117)),$K$82:$K$146,0))),""))</f>
        <v/>
      </c>
      <c r="H117" s="16">
        <f>IF(OR(F117="",NOT(ISNUMBER(D117))),"",(F117-D117)*100)</f>
        <v/>
      </c>
      <c r="I117" s="17">
        <f>IF(OR(G117="",NOT(ISNUMBER(E117))),"",G117-E117)</f>
        <v/>
      </c>
      <c r="J117" s="18">
        <f>IF(OR($A117="",NOT(ISNUMBER($B117))),"",IF(ABS($B117-INDEX($M$82:$M$146,IFERROR(MATCH($A117,$K$82:$K$146,0),MATCH(IF($A117="1Y","12M",IF($A117="12M","1Y",$A117)),$K$82:$K$146,0))))&lt;=3,"ok","MISMATCH "&amp;TEXT(INDEX($M$82:$M$146,IFERROR(MATCH($A117,$K$82:$K$146,0),MATCH(IF($A117="1Y","12M",IF($A117="12M","1Y",$A117)),$K$82:$K$146,0))),"mm/dd/yy")))</f>
        <v/>
      </c>
      <c r="K117" s="19" t="inlineStr">
        <is>
          <t>21Y</t>
        </is>
      </c>
      <c r="L117" t="n">
        <v>21</v>
      </c>
      <c r="M117" s="20">
        <f>IFERROR(IF($C$77="","",IF(MONTH((EDATE($C$78,252))+IF(WEEKDAY((EDATE($C$78,252)),2)=6,2,IF(WEEKDAY((EDATE($C$78,252)),2)=7,1,0)))&lt;&gt;MONTH(EDATE($C$78,252)),(EDATE($C$78,252))-IF(WEEKDAY((EDATE($C$78,252)),2)=6,1,IF(WEEKDAY((EDATE($C$78,252)),2)=7,2,0)),(EDATE($C$78,252))+IF(WEEKDAY((EDATE($C$78,252)),2)=6,2,IF(WEEKDAY((EDATE($C$78,252)),2)=7,1,0)))),"")</f>
        <v/>
      </c>
      <c r="N117">
        <f>IFERROR(IF(M117="","",(M117-$C$77)/365),"")</f>
        <v/>
      </c>
      <c r="O117">
        <f>IFERROR(IF(M117="","",(M117-$C$78)/360),"")</f>
        <v/>
      </c>
      <c r="P117">
        <f>IFERROR(IF(M117="","",(M117-M116)/360),"")</f>
        <v/>
      </c>
      <c r="Q117" t="n">
        <v>1</v>
      </c>
      <c r="R117">
        <f>IFERROR(IF(COUNTIF($A$82:$A$133,"21Y")&gt;0,1,0),"")</f>
        <v/>
      </c>
      <c r="S117" s="21">
        <f>IFERROR(IF(R117=1,IFERROR(INDEX($C$82:$C$133,MATCH("21Y",$A$82:$A$133,0)),INDEX($C$82:$C$133,MATCH("21Y",$A$82:$A$133,0))),S116+(S121-S116)*0.2000000000),"")</f>
        <v/>
      </c>
      <c r="T117">
        <f>IFERROR(IF(OR(N117="",N121=""),"",(N117-N116)/(N121-N116)),"")</f>
        <v/>
      </c>
      <c r="U117" s="22">
        <f>IFERROR(IF(OR(T117="",U121=""),"",U116*(U121/U116)^T117),"")</f>
        <v/>
      </c>
      <c r="V117">
        <f>IFERROR(IF(OR(U117="",Q117=0),0,P117*U117),"")</f>
        <v/>
      </c>
    </row>
    <row r="118">
      <c r="A118" s="10" t="n"/>
      <c r="B118" s="11" t="n"/>
      <c r="C118" s="12" t="n"/>
      <c r="D118" s="12" t="n"/>
      <c r="E118" s="13" t="n"/>
      <c r="F118" s="14">
        <f>IF(OR($A118="",G118=""),"",-LN(G118)/INDEX($N$82:$N$146,IFERROR(MATCH($A118,$K$82:$K$146,0),MATCH(IF($A118="1Y","12M",IF($A118="12M","1Y",$A118)),$K$82:$K$146,0)))*100)</f>
        <v/>
      </c>
      <c r="G118" s="15">
        <f>IF($A118="","",IFERROR(INDEX($U$82:$U$146,IFERROR(MATCH($A118,$K$82:$K$146,0),MATCH(IF($A118="1Y","12M",IF($A118="12M","1Y",$A118)),$K$82:$K$146,0))),""))</f>
        <v/>
      </c>
      <c r="H118" s="16">
        <f>IF(OR(F118="",NOT(ISNUMBER(D118))),"",(F118-D118)*100)</f>
        <v/>
      </c>
      <c r="I118" s="17">
        <f>IF(OR(G118="",NOT(ISNUMBER(E118))),"",G118-E118)</f>
        <v/>
      </c>
      <c r="J118" s="18">
        <f>IF(OR($A118="",NOT(ISNUMBER($B118))),"",IF(ABS($B118-INDEX($M$82:$M$146,IFERROR(MATCH($A118,$K$82:$K$146,0),MATCH(IF($A118="1Y","12M",IF($A118="12M","1Y",$A118)),$K$82:$K$146,0))))&lt;=3,"ok","MISMATCH "&amp;TEXT(INDEX($M$82:$M$146,IFERROR(MATCH($A118,$K$82:$K$146,0),MATCH(IF($A118="1Y","12M",IF($A118="12M","1Y",$A118)),$K$82:$K$146,0))),"mm/dd/yy")))</f>
        <v/>
      </c>
      <c r="K118" s="19" t="inlineStr">
        <is>
          <t>22Y</t>
        </is>
      </c>
      <c r="L118" t="n">
        <v>22</v>
      </c>
      <c r="M118" s="20">
        <f>IFERROR(IF($C$77="","",IF(MONTH((EDATE($C$78,264))+IF(WEEKDAY((EDATE($C$78,264)),2)=6,2,IF(WEEKDAY((EDATE($C$78,264)),2)=7,1,0)))&lt;&gt;MONTH(EDATE($C$78,264)),(EDATE($C$78,264))-IF(WEEKDAY((EDATE($C$78,264)),2)=6,1,IF(WEEKDAY((EDATE($C$78,264)),2)=7,2,0)),(EDATE($C$78,264))+IF(WEEKDAY((EDATE($C$78,264)),2)=6,2,IF(WEEKDAY((EDATE($C$78,264)),2)=7,1,0)))),"")</f>
        <v/>
      </c>
      <c r="N118">
        <f>IFERROR(IF(M118="","",(M118-$C$77)/365),"")</f>
        <v/>
      </c>
      <c r="O118">
        <f>IFERROR(IF(M118="","",(M118-$C$78)/360),"")</f>
        <v/>
      </c>
      <c r="P118">
        <f>IFERROR(IF(M118="","",(M118-M117)/360),"")</f>
        <v/>
      </c>
      <c r="Q118" t="n">
        <v>1</v>
      </c>
      <c r="R118">
        <f>IFERROR(IF(COUNTIF($A$82:$A$133,"22Y")&gt;0,1,0),"")</f>
        <v/>
      </c>
      <c r="S118" s="21">
        <f>IFERROR(IF(R118=1,IFERROR(INDEX($C$82:$C$133,MATCH("22Y",$A$82:$A$133,0)),INDEX($C$82:$C$133,MATCH("22Y",$A$82:$A$133,0))),S116+(S121-S116)*0.4000000000),"")</f>
        <v/>
      </c>
      <c r="T118">
        <f>IFERROR(IF(OR(N118="",N121=""),"",(N118-N116)/(N121-N116)),"")</f>
        <v/>
      </c>
      <c r="U118" s="22">
        <f>IFERROR(IF(OR(T118="",U121=""),"",U116*(U121/U116)^T118),"")</f>
        <v/>
      </c>
      <c r="V118">
        <f>IFERROR(IF(OR(U118="",Q118=0),0,P118*U118),"")</f>
        <v/>
      </c>
    </row>
    <row r="119">
      <c r="A119" s="10" t="n"/>
      <c r="B119" s="11" t="n"/>
      <c r="C119" s="12" t="n"/>
      <c r="D119" s="12" t="n"/>
      <c r="E119" s="13" t="n"/>
      <c r="F119" s="14">
        <f>IF(OR($A119="",G119=""),"",-LN(G119)/INDEX($N$82:$N$146,IFERROR(MATCH($A119,$K$82:$K$146,0),MATCH(IF($A119="1Y","12M",IF($A119="12M","1Y",$A119)),$K$82:$K$146,0)))*100)</f>
        <v/>
      </c>
      <c r="G119" s="15">
        <f>IF($A119="","",IFERROR(INDEX($U$82:$U$146,IFERROR(MATCH($A119,$K$82:$K$146,0),MATCH(IF($A119="1Y","12M",IF($A119="12M","1Y",$A119)),$K$82:$K$146,0))),""))</f>
        <v/>
      </c>
      <c r="H119" s="16">
        <f>IF(OR(F119="",NOT(ISNUMBER(D119))),"",(F119-D119)*100)</f>
        <v/>
      </c>
      <c r="I119" s="17">
        <f>IF(OR(G119="",NOT(ISNUMBER(E119))),"",G119-E119)</f>
        <v/>
      </c>
      <c r="J119" s="18">
        <f>IF(OR($A119="",NOT(ISNUMBER($B119))),"",IF(ABS($B119-INDEX($M$82:$M$146,IFERROR(MATCH($A119,$K$82:$K$146,0),MATCH(IF($A119="1Y","12M",IF($A119="12M","1Y",$A119)),$K$82:$K$146,0))))&lt;=3,"ok","MISMATCH "&amp;TEXT(INDEX($M$82:$M$146,IFERROR(MATCH($A119,$K$82:$K$146,0),MATCH(IF($A119="1Y","12M",IF($A119="12M","1Y",$A119)),$K$82:$K$146,0))),"mm/dd/yy")))</f>
        <v/>
      </c>
      <c r="K119" s="19" t="inlineStr">
        <is>
          <t>23Y</t>
        </is>
      </c>
      <c r="L119" t="n">
        <v>23</v>
      </c>
      <c r="M119" s="20">
        <f>IFERROR(IF($C$77="","",IF(MONTH((EDATE($C$78,276))+IF(WEEKDAY((EDATE($C$78,276)),2)=6,2,IF(WEEKDAY((EDATE($C$78,276)),2)=7,1,0)))&lt;&gt;MONTH(EDATE($C$78,276)),(EDATE($C$78,276))-IF(WEEKDAY((EDATE($C$78,276)),2)=6,1,IF(WEEKDAY((EDATE($C$78,276)),2)=7,2,0)),(EDATE($C$78,276))+IF(WEEKDAY((EDATE($C$78,276)),2)=6,2,IF(WEEKDAY((EDATE($C$78,276)),2)=7,1,0)))),"")</f>
        <v/>
      </c>
      <c r="N119">
        <f>IFERROR(IF(M119="","",(M119-$C$77)/365),"")</f>
        <v/>
      </c>
      <c r="O119">
        <f>IFERROR(IF(M119="","",(M119-$C$78)/360),"")</f>
        <v/>
      </c>
      <c r="P119">
        <f>IFERROR(IF(M119="","",(M119-M118)/360),"")</f>
        <v/>
      </c>
      <c r="Q119" t="n">
        <v>1</v>
      </c>
      <c r="R119">
        <f>IFERROR(IF(COUNTIF($A$82:$A$133,"23Y")&gt;0,1,0),"")</f>
        <v/>
      </c>
      <c r="S119" s="21">
        <f>IFERROR(IF(R119=1,IFERROR(INDEX($C$82:$C$133,MATCH("23Y",$A$82:$A$133,0)),INDEX($C$82:$C$133,MATCH("23Y",$A$82:$A$133,0))),S116+(S121-S116)*0.6000000000),"")</f>
        <v/>
      </c>
      <c r="T119">
        <f>IFERROR(IF(OR(N119="",N121=""),"",(N119-N116)/(N121-N116)),"")</f>
        <v/>
      </c>
      <c r="U119" s="22">
        <f>IFERROR(IF(OR(T119="",U121=""),"",U116*(U121/U116)^T119),"")</f>
        <v/>
      </c>
      <c r="V119">
        <f>IFERROR(IF(OR(U119="",Q119=0),0,P119*U119),"")</f>
        <v/>
      </c>
    </row>
    <row r="120">
      <c r="A120" s="10" t="n"/>
      <c r="B120" s="11" t="n"/>
      <c r="C120" s="12" t="n"/>
      <c r="D120" s="12" t="n"/>
      <c r="E120" s="13" t="n"/>
      <c r="F120" s="14">
        <f>IF(OR($A120="",G120=""),"",-LN(G120)/INDEX($N$82:$N$146,IFERROR(MATCH($A120,$K$82:$K$146,0),MATCH(IF($A120="1Y","12M",IF($A120="12M","1Y",$A120)),$K$82:$K$146,0)))*100)</f>
        <v/>
      </c>
      <c r="G120" s="15">
        <f>IF($A120="","",IFERROR(INDEX($U$82:$U$146,IFERROR(MATCH($A120,$K$82:$K$146,0),MATCH(IF($A120="1Y","12M",IF($A120="12M","1Y",$A120)),$K$82:$K$146,0))),""))</f>
        <v/>
      </c>
      <c r="H120" s="16">
        <f>IF(OR(F120="",NOT(ISNUMBER(D120))),"",(F120-D120)*100)</f>
        <v/>
      </c>
      <c r="I120" s="17">
        <f>IF(OR(G120="",NOT(ISNUMBER(E120))),"",G120-E120)</f>
        <v/>
      </c>
      <c r="J120" s="18">
        <f>IF(OR($A120="",NOT(ISNUMBER($B120))),"",IF(ABS($B120-INDEX($M$82:$M$146,IFERROR(MATCH($A120,$K$82:$K$146,0),MATCH(IF($A120="1Y","12M",IF($A120="12M","1Y",$A120)),$K$82:$K$146,0))))&lt;=3,"ok","MISMATCH "&amp;TEXT(INDEX($M$82:$M$146,IFERROR(MATCH($A120,$K$82:$K$146,0),MATCH(IF($A120="1Y","12M",IF($A120="12M","1Y",$A120)),$K$82:$K$146,0))),"mm/dd/yy")))</f>
        <v/>
      </c>
      <c r="K120" s="19" t="inlineStr">
        <is>
          <t>24Y</t>
        </is>
      </c>
      <c r="L120" t="n">
        <v>24</v>
      </c>
      <c r="M120" s="20">
        <f>IFERROR(IF($C$77="","",IF(MONTH((EDATE($C$78,288))+IF(WEEKDAY((EDATE($C$78,288)),2)=6,2,IF(WEEKDAY((EDATE($C$78,288)),2)=7,1,0)))&lt;&gt;MONTH(EDATE($C$78,288)),(EDATE($C$78,288))-IF(WEEKDAY((EDATE($C$78,288)),2)=6,1,IF(WEEKDAY((EDATE($C$78,288)),2)=7,2,0)),(EDATE($C$78,288))+IF(WEEKDAY((EDATE($C$78,288)),2)=6,2,IF(WEEKDAY((EDATE($C$78,288)),2)=7,1,0)))),"")</f>
        <v/>
      </c>
      <c r="N120">
        <f>IFERROR(IF(M120="","",(M120-$C$77)/365),"")</f>
        <v/>
      </c>
      <c r="O120">
        <f>IFERROR(IF(M120="","",(M120-$C$78)/360),"")</f>
        <v/>
      </c>
      <c r="P120">
        <f>IFERROR(IF(M120="","",(M120-M119)/360),"")</f>
        <v/>
      </c>
      <c r="Q120" t="n">
        <v>1</v>
      </c>
      <c r="R120">
        <f>IFERROR(IF(COUNTIF($A$82:$A$133,"24Y")&gt;0,1,0),"")</f>
        <v/>
      </c>
      <c r="S120" s="21">
        <f>IFERROR(IF(R120=1,IFERROR(INDEX($C$82:$C$133,MATCH("24Y",$A$82:$A$133,0)),INDEX($C$82:$C$133,MATCH("24Y",$A$82:$A$133,0))),S116+(S121-S116)*0.8000000000),"")</f>
        <v/>
      </c>
      <c r="T120">
        <f>IFERROR(IF(OR(N120="",N121=""),"",(N120-N116)/(N121-N116)),"")</f>
        <v/>
      </c>
      <c r="U120" s="22">
        <f>IFERROR(IF(OR(T120="",U121=""),"",U116*(U121/U116)^T120),"")</f>
        <v/>
      </c>
      <c r="V120">
        <f>IFERROR(IF(OR(U120="",Q120=0),0,P120*U120),"")</f>
        <v/>
      </c>
    </row>
    <row r="121">
      <c r="A121" s="10" t="n"/>
      <c r="B121" s="11" t="n"/>
      <c r="C121" s="12" t="n"/>
      <c r="D121" s="12" t="n"/>
      <c r="E121" s="13" t="n"/>
      <c r="F121" s="14">
        <f>IF(OR($A121="",G121=""),"",-LN(G121)/INDEX($N$82:$N$146,IFERROR(MATCH($A121,$K$82:$K$146,0),MATCH(IF($A121="1Y","12M",IF($A121="12M","1Y",$A121)),$K$82:$K$146,0)))*100)</f>
        <v/>
      </c>
      <c r="G121" s="15">
        <f>IF($A121="","",IFERROR(INDEX($U$82:$U$146,IFERROR(MATCH($A121,$K$82:$K$146,0),MATCH(IF($A121="1Y","12M",IF($A121="12M","1Y",$A121)),$K$82:$K$146,0))),""))</f>
        <v/>
      </c>
      <c r="H121" s="16">
        <f>IF(OR(F121="",NOT(ISNUMBER(D121))),"",(F121-D121)*100)</f>
        <v/>
      </c>
      <c r="I121" s="17">
        <f>IF(OR(G121="",NOT(ISNUMBER(E121))),"",G121-E121)</f>
        <v/>
      </c>
      <c r="J121" s="18">
        <f>IF(OR($A121="",NOT(ISNUMBER($B121))),"",IF(ABS($B121-INDEX($M$82:$M$146,IFERROR(MATCH($A121,$K$82:$K$146,0),MATCH(IF($A121="1Y","12M",IF($A121="12M","1Y",$A121)),$K$82:$K$146,0))))&lt;=3,"ok","MISMATCH "&amp;TEXT(INDEX($M$82:$M$146,IFERROR(MATCH($A121,$K$82:$K$146,0),MATCH(IF($A121="1Y","12M",IF($A121="12M","1Y",$A121)),$K$82:$K$146,0))),"mm/dd/yy")))</f>
        <v/>
      </c>
      <c r="K121" s="19" t="inlineStr">
        <is>
          <t>25Y</t>
        </is>
      </c>
      <c r="L121" t="n">
        <v>25</v>
      </c>
      <c r="M121" s="20">
        <f>IFERROR(IF($C$77="","",IF(MONTH((EDATE($C$78,300))+IF(WEEKDAY((EDATE($C$78,300)),2)=6,2,IF(WEEKDAY((EDATE($C$78,300)),2)=7,1,0)))&lt;&gt;MONTH(EDATE($C$78,300)),(EDATE($C$78,300))-IF(WEEKDAY((EDATE($C$78,300)),2)=6,1,IF(WEEKDAY((EDATE($C$78,300)),2)=7,2,0)),(EDATE($C$78,300))+IF(WEEKDAY((EDATE($C$78,300)),2)=6,2,IF(WEEKDAY((EDATE($C$78,300)),2)=7,1,0)))),"")</f>
        <v/>
      </c>
      <c r="N121">
        <f>IFERROR(IF(M121="","",(M121-$C$77)/365),"")</f>
        <v/>
      </c>
      <c r="O121">
        <f>IFERROR(IF(M121="","",(M121-$C$78)/360),"")</f>
        <v/>
      </c>
      <c r="P121">
        <f>IFERROR(IF(M121="","",(M121-M120)/360),"")</f>
        <v/>
      </c>
      <c r="Q121" t="n">
        <v>1</v>
      </c>
      <c r="R121">
        <f>IFERROR(IF(COUNTIF($A$82:$A$133,"25Y")&gt;0,1,0),"")</f>
        <v/>
      </c>
      <c r="S121" s="21">
        <f>IFERROR(IFERROR(INDEX($C$82:$C$133,MATCH("25Y",$A$82:$A$133,0)),INDEX($C$82:$C$133,MATCH("25Y",$A$82:$A$133,0))),"")</f>
        <v/>
      </c>
      <c r="U121" s="22">
        <f>IFERROR(IF(S121="","",AM121),"")</f>
        <v/>
      </c>
      <c r="V121">
        <f>IFERROR(IF(OR(U121="",Q121=0),0,P121*U121),"")</f>
        <v/>
      </c>
      <c r="X121" s="23">
        <f>IFERROR(IF(S121="","",U116*0.9),"")</f>
        <v/>
      </c>
      <c r="Y121" s="23">
        <f>IFERROR(IF(S121="","",(1-(S121/100)*(SUM($V$82:V116)+SUMPRODUCT($P$117:$P$120,$Q$117:$Q$120,U116*(X121/U116)^$T$117:$T$120)))/(1+(S121/100)*P121)),"")</f>
        <v/>
      </c>
      <c r="Z121" s="23">
        <f>IFERROR(IF(S121="","",(1-(S121/100)*(SUM($V$82:V116)+SUMPRODUCT($P$117:$P$120,$Q$117:$Q$120,U116*(Y121/U116)^$T$117:$T$120)))/(1+(S121/100)*P121)),"")</f>
        <v/>
      </c>
      <c r="AA121" s="23">
        <f>IFERROR(IF(S121="","",(1-(S121/100)*(SUM($V$82:V116)+SUMPRODUCT($P$117:$P$120,$Q$117:$Q$120,U116*(Z121/U116)^$T$117:$T$120)))/(1+(S121/100)*P121)),"")</f>
        <v/>
      </c>
      <c r="AB121" s="23">
        <f>IFERROR(IF(S121="","",(1-(S121/100)*(SUM($V$82:V116)+SUMPRODUCT($P$117:$P$120,$Q$117:$Q$120,U116*(AA121/U116)^$T$117:$T$120)))/(1+(S121/100)*P121)),"")</f>
        <v/>
      </c>
      <c r="AC121" s="23">
        <f>IFERROR(IF(S121="","",(1-(S121/100)*(SUM($V$82:V116)+SUMPRODUCT($P$117:$P$120,$Q$117:$Q$120,U116*(AB121/U116)^$T$117:$T$120)))/(1+(S121/100)*P121)),"")</f>
        <v/>
      </c>
      <c r="AD121" s="23">
        <f>IFERROR(IF(S121="","",(1-(S121/100)*(SUM($V$82:V116)+SUMPRODUCT($P$117:$P$120,$Q$117:$Q$120,U116*(AC121/U116)^$T$117:$T$120)))/(1+(S121/100)*P121)),"")</f>
        <v/>
      </c>
      <c r="AE121" s="23">
        <f>IFERROR(IF(S121="","",(1-(S121/100)*(SUM($V$82:V116)+SUMPRODUCT($P$117:$P$120,$Q$117:$Q$120,U116*(AD121/U116)^$T$117:$T$120)))/(1+(S121/100)*P121)),"")</f>
        <v/>
      </c>
      <c r="AF121" s="23">
        <f>IFERROR(IF(S121="","",(1-(S121/100)*(SUM($V$82:V116)+SUMPRODUCT($P$117:$P$120,$Q$117:$Q$120,U116*(AE121/U116)^$T$117:$T$120)))/(1+(S121/100)*P121)),"")</f>
        <v/>
      </c>
      <c r="AG121" s="23">
        <f>IFERROR(IF(S121="","",(1-(S121/100)*(SUM($V$82:V116)+SUMPRODUCT($P$117:$P$120,$Q$117:$Q$120,U116*(AF121/U116)^$T$117:$T$120)))/(1+(S121/100)*P121)),"")</f>
        <v/>
      </c>
      <c r="AH121" s="23">
        <f>IFERROR(IF(S121="","",(1-(S121/100)*(SUM($V$82:V116)+SUMPRODUCT($P$117:$P$120,$Q$117:$Q$120,U116*(AG121/U116)^$T$117:$T$120)))/(1+(S121/100)*P121)),"")</f>
        <v/>
      </c>
      <c r="AI121" s="23">
        <f>IFERROR(IF(S121="","",(1-(S121/100)*(SUM($V$82:V116)+SUMPRODUCT($P$117:$P$120,$Q$117:$Q$120,U116*(AH121/U116)^$T$117:$T$120)))/(1+(S121/100)*P121)),"")</f>
        <v/>
      </c>
      <c r="AJ121" s="23">
        <f>IFERROR(IF(S121="","",(1-(S121/100)*(SUM($V$82:V116)+SUMPRODUCT($P$117:$P$120,$Q$117:$Q$120,U116*(AI121/U116)^$T$117:$T$120)))/(1+(S121/100)*P121)),"")</f>
        <v/>
      </c>
      <c r="AK121" s="23">
        <f>IFERROR(IF(S121="","",(1-(S121/100)*(SUM($V$82:V116)+SUMPRODUCT($P$117:$P$120,$Q$117:$Q$120,U116*(AJ121/U116)^$T$117:$T$120)))/(1+(S121/100)*P121)),"")</f>
        <v/>
      </c>
      <c r="AL121" s="23">
        <f>IFERROR(IF(S121="","",(1-(S121/100)*(SUM($V$82:V116)+SUMPRODUCT($P$117:$P$120,$Q$117:$Q$120,U116*(AK121/U116)^$T$117:$T$120)))/(1+(S121/100)*P121)),"")</f>
        <v/>
      </c>
      <c r="AM121" s="23">
        <f>IFERROR(IF(S121="","",(1-(S121/100)*(SUM($V$82:V116)+SUMPRODUCT($P$117:$P$120,$Q$117:$Q$120,U116*(AL121/U116)^$T$117:$T$120)))/(1+(S121/100)*P121)),"")</f>
        <v/>
      </c>
    </row>
    <row r="122">
      <c r="A122" s="10" t="n"/>
      <c r="B122" s="11" t="n"/>
      <c r="C122" s="12" t="n"/>
      <c r="D122" s="12" t="n"/>
      <c r="E122" s="13" t="n"/>
      <c r="F122" s="14">
        <f>IF(OR($A122="",G122=""),"",-LN(G122)/INDEX($N$82:$N$146,IFERROR(MATCH($A122,$K$82:$K$146,0),MATCH(IF($A122="1Y","12M",IF($A122="12M","1Y",$A122)),$K$82:$K$146,0)))*100)</f>
        <v/>
      </c>
      <c r="G122" s="15">
        <f>IF($A122="","",IFERROR(INDEX($U$82:$U$146,IFERROR(MATCH($A122,$K$82:$K$146,0),MATCH(IF($A122="1Y","12M",IF($A122="12M","1Y",$A122)),$K$82:$K$146,0))),""))</f>
        <v/>
      </c>
      <c r="H122" s="16">
        <f>IF(OR(F122="",NOT(ISNUMBER(D122))),"",(F122-D122)*100)</f>
        <v/>
      </c>
      <c r="I122" s="17">
        <f>IF(OR(G122="",NOT(ISNUMBER(E122))),"",G122-E122)</f>
        <v/>
      </c>
      <c r="J122" s="18">
        <f>IF(OR($A122="",NOT(ISNUMBER($B122))),"",IF(ABS($B122-INDEX($M$82:$M$146,IFERROR(MATCH($A122,$K$82:$K$146,0),MATCH(IF($A122="1Y","12M",IF($A122="12M","1Y",$A122)),$K$82:$K$146,0))))&lt;=3,"ok","MISMATCH "&amp;TEXT(INDEX($M$82:$M$146,IFERROR(MATCH($A122,$K$82:$K$146,0),MATCH(IF($A122="1Y","12M",IF($A122="12M","1Y",$A122)),$K$82:$K$146,0))),"mm/dd/yy")))</f>
        <v/>
      </c>
      <c r="K122" s="19" t="inlineStr">
        <is>
          <t>26Y</t>
        </is>
      </c>
      <c r="L122" t="n">
        <v>26</v>
      </c>
      <c r="M122" s="20">
        <f>IFERROR(IF($C$77="","",IF(MONTH((EDATE($C$78,312))+IF(WEEKDAY((EDATE($C$78,312)),2)=6,2,IF(WEEKDAY((EDATE($C$78,312)),2)=7,1,0)))&lt;&gt;MONTH(EDATE($C$78,312)),(EDATE($C$78,312))-IF(WEEKDAY((EDATE($C$78,312)),2)=6,1,IF(WEEKDAY((EDATE($C$78,312)),2)=7,2,0)),(EDATE($C$78,312))+IF(WEEKDAY((EDATE($C$78,312)),2)=6,2,IF(WEEKDAY((EDATE($C$78,312)),2)=7,1,0)))),"")</f>
        <v/>
      </c>
      <c r="N122">
        <f>IFERROR(IF(M122="","",(M122-$C$77)/365),"")</f>
        <v/>
      </c>
      <c r="O122">
        <f>IFERROR(IF(M122="","",(M122-$C$78)/360),"")</f>
        <v/>
      </c>
      <c r="P122">
        <f>IFERROR(IF(M122="","",(M122-M121)/360),"")</f>
        <v/>
      </c>
      <c r="Q122" t="n">
        <v>1</v>
      </c>
      <c r="R122">
        <f>IFERROR(IF(COUNTIF($A$82:$A$133,"26Y")&gt;0,1,0),"")</f>
        <v/>
      </c>
      <c r="S122" s="21">
        <f>IFERROR(IF(R122=1,IFERROR(INDEX($C$82:$C$133,MATCH("26Y",$A$82:$A$133,0)),INDEX($C$82:$C$133,MATCH("26Y",$A$82:$A$133,0))),S121+(S126-S121)*0.2000000000),"")</f>
        <v/>
      </c>
      <c r="T122">
        <f>IFERROR(IF(OR(N122="",N126=""),"",(N122-N121)/(N126-N121)),"")</f>
        <v/>
      </c>
      <c r="U122" s="22">
        <f>IFERROR(IF(OR(T122="",U126=""),"",U121*(U126/U121)^T122),"")</f>
        <v/>
      </c>
      <c r="V122">
        <f>IFERROR(IF(OR(U122="",Q122=0),0,P122*U122),"")</f>
        <v/>
      </c>
    </row>
    <row r="123">
      <c r="A123" s="10" t="n"/>
      <c r="B123" s="11" t="n"/>
      <c r="C123" s="12" t="n"/>
      <c r="D123" s="12" t="n"/>
      <c r="E123" s="13" t="n"/>
      <c r="F123" s="14">
        <f>IF(OR($A123="",G123=""),"",-LN(G123)/INDEX($N$82:$N$146,IFERROR(MATCH($A123,$K$82:$K$146,0),MATCH(IF($A123="1Y","12M",IF($A123="12M","1Y",$A123)),$K$82:$K$146,0)))*100)</f>
        <v/>
      </c>
      <c r="G123" s="15">
        <f>IF($A123="","",IFERROR(INDEX($U$82:$U$146,IFERROR(MATCH($A123,$K$82:$K$146,0),MATCH(IF($A123="1Y","12M",IF($A123="12M","1Y",$A123)),$K$82:$K$146,0))),""))</f>
        <v/>
      </c>
      <c r="H123" s="16">
        <f>IF(OR(F123="",NOT(ISNUMBER(D123))),"",(F123-D123)*100)</f>
        <v/>
      </c>
      <c r="I123" s="17">
        <f>IF(OR(G123="",NOT(ISNUMBER(E123))),"",G123-E123)</f>
        <v/>
      </c>
      <c r="J123" s="18">
        <f>IF(OR($A123="",NOT(ISNUMBER($B123))),"",IF(ABS($B123-INDEX($M$82:$M$146,IFERROR(MATCH($A123,$K$82:$K$146,0),MATCH(IF($A123="1Y","12M",IF($A123="12M","1Y",$A123)),$K$82:$K$146,0))))&lt;=3,"ok","MISMATCH "&amp;TEXT(INDEX($M$82:$M$146,IFERROR(MATCH($A123,$K$82:$K$146,0),MATCH(IF($A123="1Y","12M",IF($A123="12M","1Y",$A123)),$K$82:$K$146,0))),"mm/dd/yy")))</f>
        <v/>
      </c>
      <c r="K123" s="19" t="inlineStr">
        <is>
          <t>27Y</t>
        </is>
      </c>
      <c r="L123" t="n">
        <v>27</v>
      </c>
      <c r="M123" s="20">
        <f>IFERROR(IF($C$77="","",IF(MONTH((EDATE($C$78,324))+IF(WEEKDAY((EDATE($C$78,324)),2)=6,2,IF(WEEKDAY((EDATE($C$78,324)),2)=7,1,0)))&lt;&gt;MONTH(EDATE($C$78,324)),(EDATE($C$78,324))-IF(WEEKDAY((EDATE($C$78,324)),2)=6,1,IF(WEEKDAY((EDATE($C$78,324)),2)=7,2,0)),(EDATE($C$78,324))+IF(WEEKDAY((EDATE($C$78,324)),2)=6,2,IF(WEEKDAY((EDATE($C$78,324)),2)=7,1,0)))),"")</f>
        <v/>
      </c>
      <c r="N123">
        <f>IFERROR(IF(M123="","",(M123-$C$77)/365),"")</f>
        <v/>
      </c>
      <c r="O123">
        <f>IFERROR(IF(M123="","",(M123-$C$78)/360),"")</f>
        <v/>
      </c>
      <c r="P123">
        <f>IFERROR(IF(M123="","",(M123-M122)/360),"")</f>
        <v/>
      </c>
      <c r="Q123" t="n">
        <v>1</v>
      </c>
      <c r="R123">
        <f>IFERROR(IF(COUNTIF($A$82:$A$133,"27Y")&gt;0,1,0),"")</f>
        <v/>
      </c>
      <c r="S123" s="21">
        <f>IFERROR(IF(R123=1,IFERROR(INDEX($C$82:$C$133,MATCH("27Y",$A$82:$A$133,0)),INDEX($C$82:$C$133,MATCH("27Y",$A$82:$A$133,0))),S121+(S126-S121)*0.4000000000),"")</f>
        <v/>
      </c>
      <c r="T123">
        <f>IFERROR(IF(OR(N123="",N126=""),"",(N123-N121)/(N126-N121)),"")</f>
        <v/>
      </c>
      <c r="U123" s="22">
        <f>IFERROR(IF(OR(T123="",U126=""),"",U121*(U126/U121)^T123),"")</f>
        <v/>
      </c>
      <c r="V123">
        <f>IFERROR(IF(OR(U123="",Q123=0),0,P123*U123),"")</f>
        <v/>
      </c>
    </row>
    <row r="124">
      <c r="A124" s="10" t="n"/>
      <c r="B124" s="11" t="n"/>
      <c r="C124" s="12" t="n"/>
      <c r="D124" s="12" t="n"/>
      <c r="E124" s="13" t="n"/>
      <c r="F124" s="14">
        <f>IF(OR($A124="",G124=""),"",-LN(G124)/INDEX($N$82:$N$146,IFERROR(MATCH($A124,$K$82:$K$146,0),MATCH(IF($A124="1Y","12M",IF($A124="12M","1Y",$A124)),$K$82:$K$146,0)))*100)</f>
        <v/>
      </c>
      <c r="G124" s="15">
        <f>IF($A124="","",IFERROR(INDEX($U$82:$U$146,IFERROR(MATCH($A124,$K$82:$K$146,0),MATCH(IF($A124="1Y","12M",IF($A124="12M","1Y",$A124)),$K$82:$K$146,0))),""))</f>
        <v/>
      </c>
      <c r="H124" s="16">
        <f>IF(OR(F124="",NOT(ISNUMBER(D124))),"",(F124-D124)*100)</f>
        <v/>
      </c>
      <c r="I124" s="17">
        <f>IF(OR(G124="",NOT(ISNUMBER(E124))),"",G124-E124)</f>
        <v/>
      </c>
      <c r="J124" s="18">
        <f>IF(OR($A124="",NOT(ISNUMBER($B124))),"",IF(ABS($B124-INDEX($M$82:$M$146,IFERROR(MATCH($A124,$K$82:$K$146,0),MATCH(IF($A124="1Y","12M",IF($A124="12M","1Y",$A124)),$K$82:$K$146,0))))&lt;=3,"ok","MISMATCH "&amp;TEXT(INDEX($M$82:$M$146,IFERROR(MATCH($A124,$K$82:$K$146,0),MATCH(IF($A124="1Y","12M",IF($A124="12M","1Y",$A124)),$K$82:$K$146,0))),"mm/dd/yy")))</f>
        <v/>
      </c>
      <c r="K124" s="19" t="inlineStr">
        <is>
          <t>28Y</t>
        </is>
      </c>
      <c r="L124" t="n">
        <v>28</v>
      </c>
      <c r="M124" s="20">
        <f>IFERROR(IF($C$77="","",IF(MONTH((EDATE($C$78,336))+IF(WEEKDAY((EDATE($C$78,336)),2)=6,2,IF(WEEKDAY((EDATE($C$78,336)),2)=7,1,0)))&lt;&gt;MONTH(EDATE($C$78,336)),(EDATE($C$78,336))-IF(WEEKDAY((EDATE($C$78,336)),2)=6,1,IF(WEEKDAY((EDATE($C$78,336)),2)=7,2,0)),(EDATE($C$78,336))+IF(WEEKDAY((EDATE($C$78,336)),2)=6,2,IF(WEEKDAY((EDATE($C$78,336)),2)=7,1,0)))),"")</f>
        <v/>
      </c>
      <c r="N124">
        <f>IFERROR(IF(M124="","",(M124-$C$77)/365),"")</f>
        <v/>
      </c>
      <c r="O124">
        <f>IFERROR(IF(M124="","",(M124-$C$78)/360),"")</f>
        <v/>
      </c>
      <c r="P124">
        <f>IFERROR(IF(M124="","",(M124-M123)/360),"")</f>
        <v/>
      </c>
      <c r="Q124" t="n">
        <v>1</v>
      </c>
      <c r="R124">
        <f>IFERROR(IF(COUNTIF($A$82:$A$133,"28Y")&gt;0,1,0),"")</f>
        <v/>
      </c>
      <c r="S124" s="21">
        <f>IFERROR(IF(R124=1,IFERROR(INDEX($C$82:$C$133,MATCH("28Y",$A$82:$A$133,0)),INDEX($C$82:$C$133,MATCH("28Y",$A$82:$A$133,0))),S121+(S126-S121)*0.6000000000),"")</f>
        <v/>
      </c>
      <c r="T124">
        <f>IFERROR(IF(OR(N124="",N126=""),"",(N124-N121)/(N126-N121)),"")</f>
        <v/>
      </c>
      <c r="U124" s="22">
        <f>IFERROR(IF(OR(T124="",U126=""),"",U121*(U126/U121)^T124),"")</f>
        <v/>
      </c>
      <c r="V124">
        <f>IFERROR(IF(OR(U124="",Q124=0),0,P124*U124),"")</f>
        <v/>
      </c>
    </row>
    <row r="125">
      <c r="A125" s="10" t="n"/>
      <c r="B125" s="11" t="n"/>
      <c r="C125" s="12" t="n"/>
      <c r="D125" s="12" t="n"/>
      <c r="E125" s="13" t="n"/>
      <c r="F125" s="14">
        <f>IF(OR($A125="",G125=""),"",-LN(G125)/INDEX($N$82:$N$146,IFERROR(MATCH($A125,$K$82:$K$146,0),MATCH(IF($A125="1Y","12M",IF($A125="12M","1Y",$A125)),$K$82:$K$146,0)))*100)</f>
        <v/>
      </c>
      <c r="G125" s="15">
        <f>IF($A125="","",IFERROR(INDEX($U$82:$U$146,IFERROR(MATCH($A125,$K$82:$K$146,0),MATCH(IF($A125="1Y","12M",IF($A125="12M","1Y",$A125)),$K$82:$K$146,0))),""))</f>
        <v/>
      </c>
      <c r="H125" s="16">
        <f>IF(OR(F125="",NOT(ISNUMBER(D125))),"",(F125-D125)*100)</f>
        <v/>
      </c>
      <c r="I125" s="17">
        <f>IF(OR(G125="",NOT(ISNUMBER(E125))),"",G125-E125)</f>
        <v/>
      </c>
      <c r="J125" s="18">
        <f>IF(OR($A125="",NOT(ISNUMBER($B125))),"",IF(ABS($B125-INDEX($M$82:$M$146,IFERROR(MATCH($A125,$K$82:$K$146,0),MATCH(IF($A125="1Y","12M",IF($A125="12M","1Y",$A125)),$K$82:$K$146,0))))&lt;=3,"ok","MISMATCH "&amp;TEXT(INDEX($M$82:$M$146,IFERROR(MATCH($A125,$K$82:$K$146,0),MATCH(IF($A125="1Y","12M",IF($A125="12M","1Y",$A125)),$K$82:$K$146,0))),"mm/dd/yy")))</f>
        <v/>
      </c>
      <c r="K125" s="19" t="inlineStr">
        <is>
          <t>29Y</t>
        </is>
      </c>
      <c r="L125" t="n">
        <v>29</v>
      </c>
      <c r="M125" s="20">
        <f>IFERROR(IF($C$77="","",IF(MONTH((EDATE($C$78,348))+IF(WEEKDAY((EDATE($C$78,348)),2)=6,2,IF(WEEKDAY((EDATE($C$78,348)),2)=7,1,0)))&lt;&gt;MONTH(EDATE($C$78,348)),(EDATE($C$78,348))-IF(WEEKDAY((EDATE($C$78,348)),2)=6,1,IF(WEEKDAY((EDATE($C$78,348)),2)=7,2,0)),(EDATE($C$78,348))+IF(WEEKDAY((EDATE($C$78,348)),2)=6,2,IF(WEEKDAY((EDATE($C$78,348)),2)=7,1,0)))),"")</f>
        <v/>
      </c>
      <c r="N125">
        <f>IFERROR(IF(M125="","",(M125-$C$77)/365),"")</f>
        <v/>
      </c>
      <c r="O125">
        <f>IFERROR(IF(M125="","",(M125-$C$78)/360),"")</f>
        <v/>
      </c>
      <c r="P125">
        <f>IFERROR(IF(M125="","",(M125-M124)/360),"")</f>
        <v/>
      </c>
      <c r="Q125" t="n">
        <v>1</v>
      </c>
      <c r="R125">
        <f>IFERROR(IF(COUNTIF($A$82:$A$133,"29Y")&gt;0,1,0),"")</f>
        <v/>
      </c>
      <c r="S125" s="21">
        <f>IFERROR(IF(R125=1,IFERROR(INDEX($C$82:$C$133,MATCH("29Y",$A$82:$A$133,0)),INDEX($C$82:$C$133,MATCH("29Y",$A$82:$A$133,0))),S121+(S126-S121)*0.8000000000),"")</f>
        <v/>
      </c>
      <c r="T125">
        <f>IFERROR(IF(OR(N125="",N126=""),"",(N125-N121)/(N126-N121)),"")</f>
        <v/>
      </c>
      <c r="U125" s="22">
        <f>IFERROR(IF(OR(T125="",U126=""),"",U121*(U126/U121)^T125),"")</f>
        <v/>
      </c>
      <c r="V125">
        <f>IFERROR(IF(OR(U125="",Q125=0),0,P125*U125),"")</f>
        <v/>
      </c>
    </row>
    <row r="126">
      <c r="A126" s="10" t="n"/>
      <c r="B126" s="11" t="n"/>
      <c r="C126" s="12" t="n"/>
      <c r="D126" s="12" t="n"/>
      <c r="E126" s="13" t="n"/>
      <c r="F126" s="14">
        <f>IF(OR($A126="",G126=""),"",-LN(G126)/INDEX($N$82:$N$146,IFERROR(MATCH($A126,$K$82:$K$146,0),MATCH(IF($A126="1Y","12M",IF($A126="12M","1Y",$A126)),$K$82:$K$146,0)))*100)</f>
        <v/>
      </c>
      <c r="G126" s="15">
        <f>IF($A126="","",IFERROR(INDEX($U$82:$U$146,IFERROR(MATCH($A126,$K$82:$K$146,0),MATCH(IF($A126="1Y","12M",IF($A126="12M","1Y",$A126)),$K$82:$K$146,0))),""))</f>
        <v/>
      </c>
      <c r="H126" s="16">
        <f>IF(OR(F126="",NOT(ISNUMBER(D126))),"",(F126-D126)*100)</f>
        <v/>
      </c>
      <c r="I126" s="17">
        <f>IF(OR(G126="",NOT(ISNUMBER(E126))),"",G126-E126)</f>
        <v/>
      </c>
      <c r="J126" s="18">
        <f>IF(OR($A126="",NOT(ISNUMBER($B126))),"",IF(ABS($B126-INDEX($M$82:$M$146,IFERROR(MATCH($A126,$K$82:$K$146,0),MATCH(IF($A126="1Y","12M",IF($A126="12M","1Y",$A126)),$K$82:$K$146,0))))&lt;=3,"ok","MISMATCH "&amp;TEXT(INDEX($M$82:$M$146,IFERROR(MATCH($A126,$K$82:$K$146,0),MATCH(IF($A126="1Y","12M",IF($A126="12M","1Y",$A126)),$K$82:$K$146,0))),"mm/dd/yy")))</f>
        <v/>
      </c>
      <c r="K126" s="19" t="inlineStr">
        <is>
          <t>30Y</t>
        </is>
      </c>
      <c r="L126" t="n">
        <v>30</v>
      </c>
      <c r="M126" s="20">
        <f>IFERROR(IF($C$77="","",IF(MONTH((EDATE($C$78,360))+IF(WEEKDAY((EDATE($C$78,360)),2)=6,2,IF(WEEKDAY((EDATE($C$78,360)),2)=7,1,0)))&lt;&gt;MONTH(EDATE($C$78,360)),(EDATE($C$78,360))-IF(WEEKDAY((EDATE($C$78,360)),2)=6,1,IF(WEEKDAY((EDATE($C$78,360)),2)=7,2,0)),(EDATE($C$78,360))+IF(WEEKDAY((EDATE($C$78,360)),2)=6,2,IF(WEEKDAY((EDATE($C$78,360)),2)=7,1,0)))),"")</f>
        <v/>
      </c>
      <c r="N126">
        <f>IFERROR(IF(M126="","",(M126-$C$77)/365),"")</f>
        <v/>
      </c>
      <c r="O126">
        <f>IFERROR(IF(M126="","",(M126-$C$78)/360),"")</f>
        <v/>
      </c>
      <c r="P126">
        <f>IFERROR(IF(M126="","",(M126-M125)/360),"")</f>
        <v/>
      </c>
      <c r="Q126" t="n">
        <v>1</v>
      </c>
      <c r="R126">
        <f>IFERROR(IF(COUNTIF($A$82:$A$133,"30Y")&gt;0,1,0),"")</f>
        <v/>
      </c>
      <c r="S126" s="21">
        <f>IFERROR(IFERROR(INDEX($C$82:$C$133,MATCH("30Y",$A$82:$A$133,0)),INDEX($C$82:$C$133,MATCH("30Y",$A$82:$A$133,0))),"")</f>
        <v/>
      </c>
      <c r="U126" s="22">
        <f>IFERROR(IF(S126="","",AM126),"")</f>
        <v/>
      </c>
      <c r="V126">
        <f>IFERROR(IF(OR(U126="",Q126=0),0,P126*U126),"")</f>
        <v/>
      </c>
      <c r="X126" s="23">
        <f>IFERROR(IF(S126="","",U121*0.9),"")</f>
        <v/>
      </c>
      <c r="Y126" s="23">
        <f>IFERROR(IF(S126="","",(1-(S126/100)*(SUM($V$82:V121)+SUMPRODUCT($P$122:$P$125,$Q$122:$Q$125,U121*(X126/U121)^$T$122:$T$125)))/(1+(S126/100)*P126)),"")</f>
        <v/>
      </c>
      <c r="Z126" s="23">
        <f>IFERROR(IF(S126="","",(1-(S126/100)*(SUM($V$82:V121)+SUMPRODUCT($P$122:$P$125,$Q$122:$Q$125,U121*(Y126/U121)^$T$122:$T$125)))/(1+(S126/100)*P126)),"")</f>
        <v/>
      </c>
      <c r="AA126" s="23">
        <f>IFERROR(IF(S126="","",(1-(S126/100)*(SUM($V$82:V121)+SUMPRODUCT($P$122:$P$125,$Q$122:$Q$125,U121*(Z126/U121)^$T$122:$T$125)))/(1+(S126/100)*P126)),"")</f>
        <v/>
      </c>
      <c r="AB126" s="23">
        <f>IFERROR(IF(S126="","",(1-(S126/100)*(SUM($V$82:V121)+SUMPRODUCT($P$122:$P$125,$Q$122:$Q$125,U121*(AA126/U121)^$T$122:$T$125)))/(1+(S126/100)*P126)),"")</f>
        <v/>
      </c>
      <c r="AC126" s="23">
        <f>IFERROR(IF(S126="","",(1-(S126/100)*(SUM($V$82:V121)+SUMPRODUCT($P$122:$P$125,$Q$122:$Q$125,U121*(AB126/U121)^$T$122:$T$125)))/(1+(S126/100)*P126)),"")</f>
        <v/>
      </c>
      <c r="AD126" s="23">
        <f>IFERROR(IF(S126="","",(1-(S126/100)*(SUM($V$82:V121)+SUMPRODUCT($P$122:$P$125,$Q$122:$Q$125,U121*(AC126/U121)^$T$122:$T$125)))/(1+(S126/100)*P126)),"")</f>
        <v/>
      </c>
      <c r="AE126" s="23">
        <f>IFERROR(IF(S126="","",(1-(S126/100)*(SUM($V$82:V121)+SUMPRODUCT($P$122:$P$125,$Q$122:$Q$125,U121*(AD126/U121)^$T$122:$T$125)))/(1+(S126/100)*P126)),"")</f>
        <v/>
      </c>
      <c r="AF126" s="23">
        <f>IFERROR(IF(S126="","",(1-(S126/100)*(SUM($V$82:V121)+SUMPRODUCT($P$122:$P$125,$Q$122:$Q$125,U121*(AE126/U121)^$T$122:$T$125)))/(1+(S126/100)*P126)),"")</f>
        <v/>
      </c>
      <c r="AG126" s="23">
        <f>IFERROR(IF(S126="","",(1-(S126/100)*(SUM($V$82:V121)+SUMPRODUCT($P$122:$P$125,$Q$122:$Q$125,U121*(AF126/U121)^$T$122:$T$125)))/(1+(S126/100)*P126)),"")</f>
        <v/>
      </c>
      <c r="AH126" s="23">
        <f>IFERROR(IF(S126="","",(1-(S126/100)*(SUM($V$82:V121)+SUMPRODUCT($P$122:$P$125,$Q$122:$Q$125,U121*(AG126/U121)^$T$122:$T$125)))/(1+(S126/100)*P126)),"")</f>
        <v/>
      </c>
      <c r="AI126" s="23">
        <f>IFERROR(IF(S126="","",(1-(S126/100)*(SUM($V$82:V121)+SUMPRODUCT($P$122:$P$125,$Q$122:$Q$125,U121*(AH126/U121)^$T$122:$T$125)))/(1+(S126/100)*P126)),"")</f>
        <v/>
      </c>
      <c r="AJ126" s="23">
        <f>IFERROR(IF(S126="","",(1-(S126/100)*(SUM($V$82:V121)+SUMPRODUCT($P$122:$P$125,$Q$122:$Q$125,U121*(AI126/U121)^$T$122:$T$125)))/(1+(S126/100)*P126)),"")</f>
        <v/>
      </c>
      <c r="AK126" s="23">
        <f>IFERROR(IF(S126="","",(1-(S126/100)*(SUM($V$82:V121)+SUMPRODUCT($P$122:$P$125,$Q$122:$Q$125,U121*(AJ126/U121)^$T$122:$T$125)))/(1+(S126/100)*P126)),"")</f>
        <v/>
      </c>
      <c r="AL126" s="23">
        <f>IFERROR(IF(S126="","",(1-(S126/100)*(SUM($V$82:V121)+SUMPRODUCT($P$122:$P$125,$Q$122:$Q$125,U121*(AK126/U121)^$T$122:$T$125)))/(1+(S126/100)*P126)),"")</f>
        <v/>
      </c>
      <c r="AM126" s="23">
        <f>IFERROR(IF(S126="","",(1-(S126/100)*(SUM($V$82:V121)+SUMPRODUCT($P$122:$P$125,$Q$122:$Q$125,U121*(AL126/U121)^$T$122:$T$125)))/(1+(S126/100)*P126)),"")</f>
        <v/>
      </c>
    </row>
    <row r="127">
      <c r="A127" s="10" t="n"/>
      <c r="B127" s="11" t="n"/>
      <c r="C127" s="12" t="n"/>
      <c r="D127" s="12" t="n"/>
      <c r="E127" s="13" t="n"/>
      <c r="F127" s="14">
        <f>IF(OR($A127="",G127=""),"",-LN(G127)/INDEX($N$82:$N$146,IFERROR(MATCH($A127,$K$82:$K$146,0),MATCH(IF($A127="1Y","12M",IF($A127="12M","1Y",$A127)),$K$82:$K$146,0)))*100)</f>
        <v/>
      </c>
      <c r="G127" s="15">
        <f>IF($A127="","",IFERROR(INDEX($U$82:$U$146,IFERROR(MATCH($A127,$K$82:$K$146,0),MATCH(IF($A127="1Y","12M",IF($A127="12M","1Y",$A127)),$K$82:$K$146,0))),""))</f>
        <v/>
      </c>
      <c r="H127" s="16">
        <f>IF(OR(F127="",NOT(ISNUMBER(D127))),"",(F127-D127)*100)</f>
        <v/>
      </c>
      <c r="I127" s="17">
        <f>IF(OR(G127="",NOT(ISNUMBER(E127))),"",G127-E127)</f>
        <v/>
      </c>
      <c r="J127" s="18">
        <f>IF(OR($A127="",NOT(ISNUMBER($B127))),"",IF(ABS($B127-INDEX($M$82:$M$146,IFERROR(MATCH($A127,$K$82:$K$146,0),MATCH(IF($A127="1Y","12M",IF($A127="12M","1Y",$A127)),$K$82:$K$146,0))))&lt;=3,"ok","MISMATCH "&amp;TEXT(INDEX($M$82:$M$146,IFERROR(MATCH($A127,$K$82:$K$146,0),MATCH(IF($A127="1Y","12M",IF($A127="12M","1Y",$A127)),$K$82:$K$146,0))),"mm/dd/yy")))</f>
        <v/>
      </c>
      <c r="K127" s="19" t="inlineStr">
        <is>
          <t>31Y</t>
        </is>
      </c>
      <c r="L127" t="n">
        <v>31</v>
      </c>
      <c r="M127" s="20">
        <f>IFERROR(IF($C$77="","",IF(MONTH((EDATE($C$78,372))+IF(WEEKDAY((EDATE($C$78,372)),2)=6,2,IF(WEEKDAY((EDATE($C$78,372)),2)=7,1,0)))&lt;&gt;MONTH(EDATE($C$78,372)),(EDATE($C$78,372))-IF(WEEKDAY((EDATE($C$78,372)),2)=6,1,IF(WEEKDAY((EDATE($C$78,372)),2)=7,2,0)),(EDATE($C$78,372))+IF(WEEKDAY((EDATE($C$78,372)),2)=6,2,IF(WEEKDAY((EDATE($C$78,372)),2)=7,1,0)))),"")</f>
        <v/>
      </c>
      <c r="N127">
        <f>IFERROR(IF(M127="","",(M127-$C$77)/365),"")</f>
        <v/>
      </c>
      <c r="O127">
        <f>IFERROR(IF(M127="","",(M127-$C$78)/360),"")</f>
        <v/>
      </c>
      <c r="P127">
        <f>IFERROR(IF(M127="","",(M127-M126)/360),"")</f>
        <v/>
      </c>
      <c r="Q127" t="n">
        <v>1</v>
      </c>
      <c r="R127">
        <f>IFERROR(IF(COUNTIF($A$82:$A$133,"31Y")&gt;0,1,0),"")</f>
        <v/>
      </c>
      <c r="S127" s="21">
        <f>IFERROR(IF(R127=1,IFERROR(INDEX($C$82:$C$133,MATCH("31Y",$A$82:$A$133,0)),INDEX($C$82:$C$133,MATCH("31Y",$A$82:$A$133,0))),S126+(S136-S126)*0.1000000000),"")</f>
        <v/>
      </c>
      <c r="T127">
        <f>IFERROR(IF(OR(N127="",N136=""),"",(N127-N126)/(N136-N126)),"")</f>
        <v/>
      </c>
      <c r="U127" s="22">
        <f>IFERROR(IF(OR(T127="",U136=""),"",U126*(U136/U126)^T127),"")</f>
        <v/>
      </c>
      <c r="V127">
        <f>IFERROR(IF(OR(U127="",Q127=0),0,P127*U127),"")</f>
        <v/>
      </c>
    </row>
    <row r="128">
      <c r="A128" s="10" t="n"/>
      <c r="B128" s="11" t="n"/>
      <c r="C128" s="12" t="n"/>
      <c r="D128" s="12" t="n"/>
      <c r="E128" s="13" t="n"/>
      <c r="F128" s="14">
        <f>IF(OR($A128="",G128=""),"",-LN(G128)/INDEX($N$82:$N$146,IFERROR(MATCH($A128,$K$82:$K$146,0),MATCH(IF($A128="1Y","12M",IF($A128="12M","1Y",$A128)),$K$82:$K$146,0)))*100)</f>
        <v/>
      </c>
      <c r="G128" s="15">
        <f>IF($A128="","",IFERROR(INDEX($U$82:$U$146,IFERROR(MATCH($A128,$K$82:$K$146,0),MATCH(IF($A128="1Y","12M",IF($A128="12M","1Y",$A128)),$K$82:$K$146,0))),""))</f>
        <v/>
      </c>
      <c r="H128" s="16">
        <f>IF(OR(F128="",NOT(ISNUMBER(D128))),"",(F128-D128)*100)</f>
        <v/>
      </c>
      <c r="I128" s="17">
        <f>IF(OR(G128="",NOT(ISNUMBER(E128))),"",G128-E128)</f>
        <v/>
      </c>
      <c r="J128" s="18">
        <f>IF(OR($A128="",NOT(ISNUMBER($B128))),"",IF(ABS($B128-INDEX($M$82:$M$146,IFERROR(MATCH($A128,$K$82:$K$146,0),MATCH(IF($A128="1Y","12M",IF($A128="12M","1Y",$A128)),$K$82:$K$146,0))))&lt;=3,"ok","MISMATCH "&amp;TEXT(INDEX($M$82:$M$146,IFERROR(MATCH($A128,$K$82:$K$146,0),MATCH(IF($A128="1Y","12M",IF($A128="12M","1Y",$A128)),$K$82:$K$146,0))),"mm/dd/yy")))</f>
        <v/>
      </c>
      <c r="K128" s="19" t="inlineStr">
        <is>
          <t>32Y</t>
        </is>
      </c>
      <c r="L128" t="n">
        <v>32</v>
      </c>
      <c r="M128" s="20">
        <f>IFERROR(IF($C$77="","",IF(MONTH((EDATE($C$78,384))+IF(WEEKDAY((EDATE($C$78,384)),2)=6,2,IF(WEEKDAY((EDATE($C$78,384)),2)=7,1,0)))&lt;&gt;MONTH(EDATE($C$78,384)),(EDATE($C$78,384))-IF(WEEKDAY((EDATE($C$78,384)),2)=6,1,IF(WEEKDAY((EDATE($C$78,384)),2)=7,2,0)),(EDATE($C$78,384))+IF(WEEKDAY((EDATE($C$78,384)),2)=6,2,IF(WEEKDAY((EDATE($C$78,384)),2)=7,1,0)))),"")</f>
        <v/>
      </c>
      <c r="N128">
        <f>IFERROR(IF(M128="","",(M128-$C$77)/365),"")</f>
        <v/>
      </c>
      <c r="O128">
        <f>IFERROR(IF(M128="","",(M128-$C$78)/360),"")</f>
        <v/>
      </c>
      <c r="P128">
        <f>IFERROR(IF(M128="","",(M128-M127)/360),"")</f>
        <v/>
      </c>
      <c r="Q128" t="n">
        <v>1</v>
      </c>
      <c r="R128">
        <f>IFERROR(IF(COUNTIF($A$82:$A$133,"32Y")&gt;0,1,0),"")</f>
        <v/>
      </c>
      <c r="S128" s="21">
        <f>IFERROR(IF(R128=1,IFERROR(INDEX($C$82:$C$133,MATCH("32Y",$A$82:$A$133,0)),INDEX($C$82:$C$133,MATCH("32Y",$A$82:$A$133,0))),S126+(S136-S126)*0.2000000000),"")</f>
        <v/>
      </c>
      <c r="T128">
        <f>IFERROR(IF(OR(N128="",N136=""),"",(N128-N126)/(N136-N126)),"")</f>
        <v/>
      </c>
      <c r="U128" s="22">
        <f>IFERROR(IF(OR(T128="",U136=""),"",U126*(U136/U126)^T128),"")</f>
        <v/>
      </c>
      <c r="V128">
        <f>IFERROR(IF(OR(U128="",Q128=0),0,P128*U128),"")</f>
        <v/>
      </c>
    </row>
    <row r="129">
      <c r="A129" s="10" t="n"/>
      <c r="B129" s="11" t="n"/>
      <c r="C129" s="12" t="n"/>
      <c r="D129" s="12" t="n"/>
      <c r="E129" s="13" t="n"/>
      <c r="F129" s="14">
        <f>IF(OR($A129="",G129=""),"",-LN(G129)/INDEX($N$82:$N$146,IFERROR(MATCH($A129,$K$82:$K$146,0),MATCH(IF($A129="1Y","12M",IF($A129="12M","1Y",$A129)),$K$82:$K$146,0)))*100)</f>
        <v/>
      </c>
      <c r="G129" s="15">
        <f>IF($A129="","",IFERROR(INDEX($U$82:$U$146,IFERROR(MATCH($A129,$K$82:$K$146,0),MATCH(IF($A129="1Y","12M",IF($A129="12M","1Y",$A129)),$K$82:$K$146,0))),""))</f>
        <v/>
      </c>
      <c r="H129" s="16">
        <f>IF(OR(F129="",NOT(ISNUMBER(D129))),"",(F129-D129)*100)</f>
        <v/>
      </c>
      <c r="I129" s="17">
        <f>IF(OR(G129="",NOT(ISNUMBER(E129))),"",G129-E129)</f>
        <v/>
      </c>
      <c r="J129" s="18">
        <f>IF(OR($A129="",NOT(ISNUMBER($B129))),"",IF(ABS($B129-INDEX($M$82:$M$146,IFERROR(MATCH($A129,$K$82:$K$146,0),MATCH(IF($A129="1Y","12M",IF($A129="12M","1Y",$A129)),$K$82:$K$146,0))))&lt;=3,"ok","MISMATCH "&amp;TEXT(INDEX($M$82:$M$146,IFERROR(MATCH($A129,$K$82:$K$146,0),MATCH(IF($A129="1Y","12M",IF($A129="12M","1Y",$A129)),$K$82:$K$146,0))),"mm/dd/yy")))</f>
        <v/>
      </c>
      <c r="K129" s="19" t="inlineStr">
        <is>
          <t>33Y</t>
        </is>
      </c>
      <c r="L129" t="n">
        <v>33</v>
      </c>
      <c r="M129" s="20">
        <f>IFERROR(IF($C$77="","",IF(MONTH((EDATE($C$78,396))+IF(WEEKDAY((EDATE($C$78,396)),2)=6,2,IF(WEEKDAY((EDATE($C$78,396)),2)=7,1,0)))&lt;&gt;MONTH(EDATE($C$78,396)),(EDATE($C$78,396))-IF(WEEKDAY((EDATE($C$78,396)),2)=6,1,IF(WEEKDAY((EDATE($C$78,396)),2)=7,2,0)),(EDATE($C$78,396))+IF(WEEKDAY((EDATE($C$78,396)),2)=6,2,IF(WEEKDAY((EDATE($C$78,396)),2)=7,1,0)))),"")</f>
        <v/>
      </c>
      <c r="N129">
        <f>IFERROR(IF(M129="","",(M129-$C$77)/365),"")</f>
        <v/>
      </c>
      <c r="O129">
        <f>IFERROR(IF(M129="","",(M129-$C$78)/360),"")</f>
        <v/>
      </c>
      <c r="P129">
        <f>IFERROR(IF(M129="","",(M129-M128)/360),"")</f>
        <v/>
      </c>
      <c r="Q129" t="n">
        <v>1</v>
      </c>
      <c r="R129">
        <f>IFERROR(IF(COUNTIF($A$82:$A$133,"33Y")&gt;0,1,0),"")</f>
        <v/>
      </c>
      <c r="S129" s="21">
        <f>IFERROR(IF(R129=1,IFERROR(INDEX($C$82:$C$133,MATCH("33Y",$A$82:$A$133,0)),INDEX($C$82:$C$133,MATCH("33Y",$A$82:$A$133,0))),S126+(S136-S126)*0.3000000000),"")</f>
        <v/>
      </c>
      <c r="T129">
        <f>IFERROR(IF(OR(N129="",N136=""),"",(N129-N126)/(N136-N126)),"")</f>
        <v/>
      </c>
      <c r="U129" s="22">
        <f>IFERROR(IF(OR(T129="",U136=""),"",U126*(U136/U126)^T129),"")</f>
        <v/>
      </c>
      <c r="V129">
        <f>IFERROR(IF(OR(U129="",Q129=0),0,P129*U129),"")</f>
        <v/>
      </c>
    </row>
    <row r="130">
      <c r="A130" s="10" t="n"/>
      <c r="B130" s="11" t="n"/>
      <c r="C130" s="12" t="n"/>
      <c r="D130" s="12" t="n"/>
      <c r="E130" s="13" t="n"/>
      <c r="F130" s="14">
        <f>IF(OR($A130="",G130=""),"",-LN(G130)/INDEX($N$82:$N$146,IFERROR(MATCH($A130,$K$82:$K$146,0),MATCH(IF($A130="1Y","12M",IF($A130="12M","1Y",$A130)),$K$82:$K$146,0)))*100)</f>
        <v/>
      </c>
      <c r="G130" s="15">
        <f>IF($A130="","",IFERROR(INDEX($U$82:$U$146,IFERROR(MATCH($A130,$K$82:$K$146,0),MATCH(IF($A130="1Y","12M",IF($A130="12M","1Y",$A130)),$K$82:$K$146,0))),""))</f>
        <v/>
      </c>
      <c r="H130" s="16">
        <f>IF(OR(F130="",NOT(ISNUMBER(D130))),"",(F130-D130)*100)</f>
        <v/>
      </c>
      <c r="I130" s="17">
        <f>IF(OR(G130="",NOT(ISNUMBER(E130))),"",G130-E130)</f>
        <v/>
      </c>
      <c r="J130" s="18">
        <f>IF(OR($A130="",NOT(ISNUMBER($B130))),"",IF(ABS($B130-INDEX($M$82:$M$146,IFERROR(MATCH($A130,$K$82:$K$146,0),MATCH(IF($A130="1Y","12M",IF($A130="12M","1Y",$A130)),$K$82:$K$146,0))))&lt;=3,"ok","MISMATCH "&amp;TEXT(INDEX($M$82:$M$146,IFERROR(MATCH($A130,$K$82:$K$146,0),MATCH(IF($A130="1Y","12M",IF($A130="12M","1Y",$A130)),$K$82:$K$146,0))),"mm/dd/yy")))</f>
        <v/>
      </c>
      <c r="K130" s="19" t="inlineStr">
        <is>
          <t>34Y</t>
        </is>
      </c>
      <c r="L130" t="n">
        <v>34</v>
      </c>
      <c r="M130" s="20">
        <f>IFERROR(IF($C$77="","",IF(MONTH((EDATE($C$78,408))+IF(WEEKDAY((EDATE($C$78,408)),2)=6,2,IF(WEEKDAY((EDATE($C$78,408)),2)=7,1,0)))&lt;&gt;MONTH(EDATE($C$78,408)),(EDATE($C$78,408))-IF(WEEKDAY((EDATE($C$78,408)),2)=6,1,IF(WEEKDAY((EDATE($C$78,408)),2)=7,2,0)),(EDATE($C$78,408))+IF(WEEKDAY((EDATE($C$78,408)),2)=6,2,IF(WEEKDAY((EDATE($C$78,408)),2)=7,1,0)))),"")</f>
        <v/>
      </c>
      <c r="N130">
        <f>IFERROR(IF(M130="","",(M130-$C$77)/365),"")</f>
        <v/>
      </c>
      <c r="O130">
        <f>IFERROR(IF(M130="","",(M130-$C$78)/360),"")</f>
        <v/>
      </c>
      <c r="P130">
        <f>IFERROR(IF(M130="","",(M130-M129)/360),"")</f>
        <v/>
      </c>
      <c r="Q130" t="n">
        <v>1</v>
      </c>
      <c r="R130">
        <f>IFERROR(IF(COUNTIF($A$82:$A$133,"34Y")&gt;0,1,0),"")</f>
        <v/>
      </c>
      <c r="S130" s="21">
        <f>IFERROR(IF(R130=1,IFERROR(INDEX($C$82:$C$133,MATCH("34Y",$A$82:$A$133,0)),INDEX($C$82:$C$133,MATCH("34Y",$A$82:$A$133,0))),S126+(S136-S126)*0.4000000000),"")</f>
        <v/>
      </c>
      <c r="T130">
        <f>IFERROR(IF(OR(N130="",N136=""),"",(N130-N126)/(N136-N126)),"")</f>
        <v/>
      </c>
      <c r="U130" s="22">
        <f>IFERROR(IF(OR(T130="",U136=""),"",U126*(U136/U126)^T130),"")</f>
        <v/>
      </c>
      <c r="V130">
        <f>IFERROR(IF(OR(U130="",Q130=0),0,P130*U130),"")</f>
        <v/>
      </c>
    </row>
    <row r="131">
      <c r="A131" s="10" t="n"/>
      <c r="B131" s="11" t="n"/>
      <c r="C131" s="12" t="n"/>
      <c r="D131" s="12" t="n"/>
      <c r="E131" s="13" t="n"/>
      <c r="F131" s="14">
        <f>IF(OR($A131="",G131=""),"",-LN(G131)/INDEX($N$82:$N$146,IFERROR(MATCH($A131,$K$82:$K$146,0),MATCH(IF($A131="1Y","12M",IF($A131="12M","1Y",$A131)),$K$82:$K$146,0)))*100)</f>
        <v/>
      </c>
      <c r="G131" s="15">
        <f>IF($A131="","",IFERROR(INDEX($U$82:$U$146,IFERROR(MATCH($A131,$K$82:$K$146,0),MATCH(IF($A131="1Y","12M",IF($A131="12M","1Y",$A131)),$K$82:$K$146,0))),""))</f>
        <v/>
      </c>
      <c r="H131" s="16">
        <f>IF(OR(F131="",NOT(ISNUMBER(D131))),"",(F131-D131)*100)</f>
        <v/>
      </c>
      <c r="I131" s="17">
        <f>IF(OR(G131="",NOT(ISNUMBER(E131))),"",G131-E131)</f>
        <v/>
      </c>
      <c r="J131" s="18">
        <f>IF(OR($A131="",NOT(ISNUMBER($B131))),"",IF(ABS($B131-INDEX($M$82:$M$146,IFERROR(MATCH($A131,$K$82:$K$146,0),MATCH(IF($A131="1Y","12M",IF($A131="12M","1Y",$A131)),$K$82:$K$146,0))))&lt;=3,"ok","MISMATCH "&amp;TEXT(INDEX($M$82:$M$146,IFERROR(MATCH($A131,$K$82:$K$146,0),MATCH(IF($A131="1Y","12M",IF($A131="12M","1Y",$A131)),$K$82:$K$146,0))),"mm/dd/yy")))</f>
        <v/>
      </c>
      <c r="K131" s="19" t="inlineStr">
        <is>
          <t>35Y</t>
        </is>
      </c>
      <c r="L131" t="n">
        <v>35</v>
      </c>
      <c r="M131" s="20">
        <f>IFERROR(IF($C$77="","",IF(MONTH((EDATE($C$78,420))+IF(WEEKDAY((EDATE($C$78,420)),2)=6,2,IF(WEEKDAY((EDATE($C$78,420)),2)=7,1,0)))&lt;&gt;MONTH(EDATE($C$78,420)),(EDATE($C$78,420))-IF(WEEKDAY((EDATE($C$78,420)),2)=6,1,IF(WEEKDAY((EDATE($C$78,420)),2)=7,2,0)),(EDATE($C$78,420))+IF(WEEKDAY((EDATE($C$78,420)),2)=6,2,IF(WEEKDAY((EDATE($C$78,420)),2)=7,1,0)))),"")</f>
        <v/>
      </c>
      <c r="N131">
        <f>IFERROR(IF(M131="","",(M131-$C$77)/365),"")</f>
        <v/>
      </c>
      <c r="O131">
        <f>IFERROR(IF(M131="","",(M131-$C$78)/360),"")</f>
        <v/>
      </c>
      <c r="P131">
        <f>IFERROR(IF(M131="","",(M131-M130)/360),"")</f>
        <v/>
      </c>
      <c r="Q131" t="n">
        <v>1</v>
      </c>
      <c r="R131">
        <f>IFERROR(IF(COUNTIF($A$82:$A$133,"35Y")&gt;0,1,0),"")</f>
        <v/>
      </c>
      <c r="S131" s="21">
        <f>IFERROR(IF(R131=1,IFERROR(INDEX($C$82:$C$133,MATCH("35Y",$A$82:$A$133,0)),INDEX($C$82:$C$133,MATCH("35Y",$A$82:$A$133,0))),S126+(S136-S126)*0.5000000000),"")</f>
        <v/>
      </c>
      <c r="T131">
        <f>IFERROR(IF(OR(N131="",N136=""),"",(N131-N126)/(N136-N126)),"")</f>
        <v/>
      </c>
      <c r="U131" s="22">
        <f>IFERROR(IF(OR(T131="",U136=""),"",U126*(U136/U126)^T131),"")</f>
        <v/>
      </c>
      <c r="V131">
        <f>IFERROR(IF(OR(U131="",Q131=0),0,P131*U131),"")</f>
        <v/>
      </c>
    </row>
    <row r="132">
      <c r="A132" s="10" t="n"/>
      <c r="B132" s="11" t="n"/>
      <c r="C132" s="12" t="n"/>
      <c r="D132" s="12" t="n"/>
      <c r="E132" s="13" t="n"/>
      <c r="F132" s="14">
        <f>IF(OR($A132="",G132=""),"",-LN(G132)/INDEX($N$82:$N$146,IFERROR(MATCH($A132,$K$82:$K$146,0),MATCH(IF($A132="1Y","12M",IF($A132="12M","1Y",$A132)),$K$82:$K$146,0)))*100)</f>
        <v/>
      </c>
      <c r="G132" s="15">
        <f>IF($A132="","",IFERROR(INDEX($U$82:$U$146,IFERROR(MATCH($A132,$K$82:$K$146,0),MATCH(IF($A132="1Y","12M",IF($A132="12M","1Y",$A132)),$K$82:$K$146,0))),""))</f>
        <v/>
      </c>
      <c r="H132" s="16">
        <f>IF(OR(F132="",NOT(ISNUMBER(D132))),"",(F132-D132)*100)</f>
        <v/>
      </c>
      <c r="I132" s="17">
        <f>IF(OR(G132="",NOT(ISNUMBER(E132))),"",G132-E132)</f>
        <v/>
      </c>
      <c r="J132" s="18">
        <f>IF(OR($A132="",NOT(ISNUMBER($B132))),"",IF(ABS($B132-INDEX($M$82:$M$146,IFERROR(MATCH($A132,$K$82:$K$146,0),MATCH(IF($A132="1Y","12M",IF($A132="12M","1Y",$A132)),$K$82:$K$146,0))))&lt;=3,"ok","MISMATCH "&amp;TEXT(INDEX($M$82:$M$146,IFERROR(MATCH($A132,$K$82:$K$146,0),MATCH(IF($A132="1Y","12M",IF($A132="12M","1Y",$A132)),$K$82:$K$146,0))),"mm/dd/yy")))</f>
        <v/>
      </c>
      <c r="K132" s="19" t="inlineStr">
        <is>
          <t>36Y</t>
        </is>
      </c>
      <c r="L132" t="n">
        <v>36</v>
      </c>
      <c r="M132" s="20">
        <f>IFERROR(IF($C$77="","",IF(MONTH((EDATE($C$78,432))+IF(WEEKDAY((EDATE($C$78,432)),2)=6,2,IF(WEEKDAY((EDATE($C$78,432)),2)=7,1,0)))&lt;&gt;MONTH(EDATE($C$78,432)),(EDATE($C$78,432))-IF(WEEKDAY((EDATE($C$78,432)),2)=6,1,IF(WEEKDAY((EDATE($C$78,432)),2)=7,2,0)),(EDATE($C$78,432))+IF(WEEKDAY((EDATE($C$78,432)),2)=6,2,IF(WEEKDAY((EDATE($C$78,432)),2)=7,1,0)))),"")</f>
        <v/>
      </c>
      <c r="N132">
        <f>IFERROR(IF(M132="","",(M132-$C$77)/365),"")</f>
        <v/>
      </c>
      <c r="O132">
        <f>IFERROR(IF(M132="","",(M132-$C$78)/360),"")</f>
        <v/>
      </c>
      <c r="P132">
        <f>IFERROR(IF(M132="","",(M132-M131)/360),"")</f>
        <v/>
      </c>
      <c r="Q132" t="n">
        <v>1</v>
      </c>
      <c r="R132">
        <f>IFERROR(IF(COUNTIF($A$82:$A$133,"36Y")&gt;0,1,0),"")</f>
        <v/>
      </c>
      <c r="S132" s="21">
        <f>IFERROR(IF(R132=1,IFERROR(INDEX($C$82:$C$133,MATCH("36Y",$A$82:$A$133,0)),INDEX($C$82:$C$133,MATCH("36Y",$A$82:$A$133,0))),S126+(S136-S126)*0.6000000000),"")</f>
        <v/>
      </c>
      <c r="T132">
        <f>IFERROR(IF(OR(N132="",N136=""),"",(N132-N126)/(N136-N126)),"")</f>
        <v/>
      </c>
      <c r="U132" s="22">
        <f>IFERROR(IF(OR(T132="",U136=""),"",U126*(U136/U126)^T132),"")</f>
        <v/>
      </c>
      <c r="V132">
        <f>IFERROR(IF(OR(U132="",Q132=0),0,P132*U132),"")</f>
        <v/>
      </c>
    </row>
    <row r="133">
      <c r="A133" s="10" t="n"/>
      <c r="B133" s="11" t="n"/>
      <c r="C133" s="12" t="n"/>
      <c r="D133" s="12" t="n"/>
      <c r="E133" s="13" t="n"/>
      <c r="F133" s="14">
        <f>IF(OR($A133="",G133=""),"",-LN(G133)/INDEX($N$82:$N$146,IFERROR(MATCH($A133,$K$82:$K$146,0),MATCH(IF($A133="1Y","12M",IF($A133="12M","1Y",$A133)),$K$82:$K$146,0)))*100)</f>
        <v/>
      </c>
      <c r="G133" s="15">
        <f>IF($A133="","",IFERROR(INDEX($U$82:$U$146,IFERROR(MATCH($A133,$K$82:$K$146,0),MATCH(IF($A133="1Y","12M",IF($A133="12M","1Y",$A133)),$K$82:$K$146,0))),""))</f>
        <v/>
      </c>
      <c r="H133" s="16">
        <f>IF(OR(F133="",NOT(ISNUMBER(D133))),"",(F133-D133)*100)</f>
        <v/>
      </c>
      <c r="I133" s="17">
        <f>IF(OR(G133="",NOT(ISNUMBER(E133))),"",G133-E133)</f>
        <v/>
      </c>
      <c r="J133" s="18">
        <f>IF(OR($A133="",NOT(ISNUMBER($B133))),"",IF(ABS($B133-INDEX($M$82:$M$146,IFERROR(MATCH($A133,$K$82:$K$146,0),MATCH(IF($A133="1Y","12M",IF($A133="12M","1Y",$A133)),$K$82:$K$146,0))))&lt;=3,"ok","MISMATCH "&amp;TEXT(INDEX($M$82:$M$146,IFERROR(MATCH($A133,$K$82:$K$146,0),MATCH(IF($A133="1Y","12M",IF($A133="12M","1Y",$A133)),$K$82:$K$146,0))),"mm/dd/yy")))</f>
        <v/>
      </c>
      <c r="K133" s="19" t="inlineStr">
        <is>
          <t>37Y</t>
        </is>
      </c>
      <c r="L133" t="n">
        <v>37</v>
      </c>
      <c r="M133" s="20">
        <f>IFERROR(IF($C$77="","",IF(MONTH((EDATE($C$78,444))+IF(WEEKDAY((EDATE($C$78,444)),2)=6,2,IF(WEEKDAY((EDATE($C$78,444)),2)=7,1,0)))&lt;&gt;MONTH(EDATE($C$78,444)),(EDATE($C$78,444))-IF(WEEKDAY((EDATE($C$78,444)),2)=6,1,IF(WEEKDAY((EDATE($C$78,444)),2)=7,2,0)),(EDATE($C$78,444))+IF(WEEKDAY((EDATE($C$78,444)),2)=6,2,IF(WEEKDAY((EDATE($C$78,444)),2)=7,1,0)))),"")</f>
        <v/>
      </c>
      <c r="N133">
        <f>IFERROR(IF(M133="","",(M133-$C$77)/365),"")</f>
        <v/>
      </c>
      <c r="O133">
        <f>IFERROR(IF(M133="","",(M133-$C$78)/360),"")</f>
        <v/>
      </c>
      <c r="P133">
        <f>IFERROR(IF(M133="","",(M133-M132)/360),"")</f>
        <v/>
      </c>
      <c r="Q133" t="n">
        <v>1</v>
      </c>
      <c r="R133">
        <f>IFERROR(IF(COUNTIF($A$82:$A$133,"37Y")&gt;0,1,0),"")</f>
        <v/>
      </c>
      <c r="S133" s="21">
        <f>IFERROR(IF(R133=1,IFERROR(INDEX($C$82:$C$133,MATCH("37Y",$A$82:$A$133,0)),INDEX($C$82:$C$133,MATCH("37Y",$A$82:$A$133,0))),S126+(S136-S126)*0.7000000000),"")</f>
        <v/>
      </c>
      <c r="T133">
        <f>IFERROR(IF(OR(N133="",N136=""),"",(N133-N126)/(N136-N126)),"")</f>
        <v/>
      </c>
      <c r="U133" s="22">
        <f>IFERROR(IF(OR(T133="",U136=""),"",U126*(U136/U126)^T133),"")</f>
        <v/>
      </c>
      <c r="V133">
        <f>IFERROR(IF(OR(U133="",Q133=0),0,P133*U133),"")</f>
        <v/>
      </c>
    </row>
    <row r="134">
      <c r="K134" s="19" t="inlineStr">
        <is>
          <t>38Y</t>
        </is>
      </c>
      <c r="L134" t="n">
        <v>38</v>
      </c>
      <c r="M134" s="20">
        <f>IFERROR(IF($C$77="","",IF(MONTH((EDATE($C$78,456))+IF(WEEKDAY((EDATE($C$78,456)),2)=6,2,IF(WEEKDAY((EDATE($C$78,456)),2)=7,1,0)))&lt;&gt;MONTH(EDATE($C$78,456)),(EDATE($C$78,456))-IF(WEEKDAY((EDATE($C$78,456)),2)=6,1,IF(WEEKDAY((EDATE($C$78,456)),2)=7,2,0)),(EDATE($C$78,456))+IF(WEEKDAY((EDATE($C$78,456)),2)=6,2,IF(WEEKDAY((EDATE($C$78,456)),2)=7,1,0)))),"")</f>
        <v/>
      </c>
      <c r="N134">
        <f>IFERROR(IF(M134="","",(M134-$C$77)/365),"")</f>
        <v/>
      </c>
      <c r="O134">
        <f>IFERROR(IF(M134="","",(M134-$C$78)/360),"")</f>
        <v/>
      </c>
      <c r="P134">
        <f>IFERROR(IF(M134="","",(M134-M133)/360),"")</f>
        <v/>
      </c>
      <c r="Q134" t="n">
        <v>1</v>
      </c>
      <c r="R134">
        <f>IFERROR(IF(COUNTIF($A$82:$A$133,"38Y")&gt;0,1,0),"")</f>
        <v/>
      </c>
      <c r="S134" s="21">
        <f>IFERROR(IF(R134=1,IFERROR(INDEX($C$82:$C$133,MATCH("38Y",$A$82:$A$133,0)),INDEX($C$82:$C$133,MATCH("38Y",$A$82:$A$133,0))),S126+(S136-S126)*0.8000000000),"")</f>
        <v/>
      </c>
      <c r="T134">
        <f>IFERROR(IF(OR(N134="",N136=""),"",(N134-N126)/(N136-N126)),"")</f>
        <v/>
      </c>
      <c r="U134" s="22">
        <f>IFERROR(IF(OR(T134="",U136=""),"",U126*(U136/U126)^T134),"")</f>
        <v/>
      </c>
      <c r="V134">
        <f>IFERROR(IF(OR(U134="",Q134=0),0,P134*U134),"")</f>
        <v/>
      </c>
    </row>
    <row r="135">
      <c r="A135" s="3" t="inlineStr">
        <is>
          <t>pillars pasted</t>
        </is>
      </c>
      <c r="C135" s="18">
        <f>COUNTA($A$82:$A$133)</f>
        <v/>
      </c>
      <c r="D135" s="3" t="inlineStr">
        <is>
          <t>priced</t>
        </is>
      </c>
      <c r="F135" s="18">
        <f>COUNT($F$82:$F$133)</f>
        <v/>
      </c>
      <c r="G135" s="3" t="inlineStr">
        <is>
          <t>max |d zero| bp</t>
        </is>
      </c>
      <c r="H135" s="24">
        <f>IF(COUNT($H$82:$H$133)=0,"",MAX(MAX($H$82:$H$133),-MIN($H$82:$H$133)))</f>
        <v/>
      </c>
      <c r="J135" s="5">
        <f>IF(COUNTIF($J$82:$J$133,"MISMATCH*")=0,"dates ok",COUNTIF($J$82:$J$133,"MISMATCH*")&amp;" DATE MISMATCHES — your pasted date column is out of step with the tenors; the model uses the derived date")</f>
        <v/>
      </c>
      <c r="K135" s="19" t="inlineStr">
        <is>
          <t>39Y</t>
        </is>
      </c>
      <c r="L135" t="n">
        <v>39</v>
      </c>
      <c r="M135" s="20">
        <f>IFERROR(IF($C$77="","",IF(MONTH((EDATE($C$78,468))+IF(WEEKDAY((EDATE($C$78,468)),2)=6,2,IF(WEEKDAY((EDATE($C$78,468)),2)=7,1,0)))&lt;&gt;MONTH(EDATE($C$78,468)),(EDATE($C$78,468))-IF(WEEKDAY((EDATE($C$78,468)),2)=6,1,IF(WEEKDAY((EDATE($C$78,468)),2)=7,2,0)),(EDATE($C$78,468))+IF(WEEKDAY((EDATE($C$78,468)),2)=6,2,IF(WEEKDAY((EDATE($C$78,468)),2)=7,1,0)))),"")</f>
        <v/>
      </c>
      <c r="N135">
        <f>IFERROR(IF(M135="","",(M135-$C$77)/365),"")</f>
        <v/>
      </c>
      <c r="O135">
        <f>IFERROR(IF(M135="","",(M135-$C$78)/360),"")</f>
        <v/>
      </c>
      <c r="P135">
        <f>IFERROR(IF(M135="","",(M135-M134)/360),"")</f>
        <v/>
      </c>
      <c r="Q135" t="n">
        <v>1</v>
      </c>
      <c r="R135">
        <f>IFERROR(IF(COUNTIF($A$82:$A$133,"39Y")&gt;0,1,0),"")</f>
        <v/>
      </c>
      <c r="S135" s="21">
        <f>IFERROR(IF(R135=1,IFERROR(INDEX($C$82:$C$133,MATCH("39Y",$A$82:$A$133,0)),INDEX($C$82:$C$133,MATCH("39Y",$A$82:$A$133,0))),S126+(S136-S126)*0.9000000000),"")</f>
        <v/>
      </c>
      <c r="T135">
        <f>IFERROR(IF(OR(N135="",N136=""),"",(N135-N126)/(N136-N126)),"")</f>
        <v/>
      </c>
      <c r="U135" s="22">
        <f>IFERROR(IF(OR(T135="",U136=""),"",U126*(U136/U126)^T135),"")</f>
        <v/>
      </c>
      <c r="V135">
        <f>IFERROR(IF(OR(U135="",Q135=0),0,P135*U135),"")</f>
        <v/>
      </c>
    </row>
    <row r="136">
      <c r="G136" s="3" t="inlineStr">
        <is>
          <t>max |d DF|</t>
        </is>
      </c>
      <c r="H136" s="25">
        <f>IF(COUNT($I$82:$I$133)=0,"",MAX(MAX($I$82:$I$133),-MIN($I$82:$I$133)))</f>
        <v/>
      </c>
      <c r="K136" s="19" t="inlineStr">
        <is>
          <t>40Y</t>
        </is>
      </c>
      <c r="L136" t="n">
        <v>40</v>
      </c>
      <c r="M136" s="20">
        <f>IFERROR(IF($C$77="","",IF(MONTH((EDATE($C$78,480))+IF(WEEKDAY((EDATE($C$78,480)),2)=6,2,IF(WEEKDAY((EDATE($C$78,480)),2)=7,1,0)))&lt;&gt;MONTH(EDATE($C$78,480)),(EDATE($C$78,480))-IF(WEEKDAY((EDATE($C$78,480)),2)=6,1,IF(WEEKDAY((EDATE($C$78,480)),2)=7,2,0)),(EDATE($C$78,480))+IF(WEEKDAY((EDATE($C$78,480)),2)=6,2,IF(WEEKDAY((EDATE($C$78,480)),2)=7,1,0)))),"")</f>
        <v/>
      </c>
      <c r="N136">
        <f>IFERROR(IF(M136="","",(M136-$C$77)/365),"")</f>
        <v/>
      </c>
      <c r="O136">
        <f>IFERROR(IF(M136="","",(M136-$C$78)/360),"")</f>
        <v/>
      </c>
      <c r="P136">
        <f>IFERROR(IF(M136="","",(M136-M135)/360),"")</f>
        <v/>
      </c>
      <c r="Q136" t="n">
        <v>1</v>
      </c>
      <c r="R136">
        <f>IFERROR(IF(COUNTIF($A$82:$A$133,"40Y")&gt;0,1,0),"")</f>
        <v/>
      </c>
      <c r="S136" s="21">
        <f>IFERROR(IFERROR(INDEX($C$82:$C$133,MATCH("40Y",$A$82:$A$133,0)),INDEX($C$82:$C$133,MATCH("40Y",$A$82:$A$133,0))),"")</f>
        <v/>
      </c>
      <c r="U136" s="22">
        <f>IFERROR(IF(S136="","",AM136),"")</f>
        <v/>
      </c>
      <c r="V136">
        <f>IFERROR(IF(OR(U136="",Q136=0),0,P136*U136),"")</f>
        <v/>
      </c>
      <c r="X136" s="23">
        <f>IFERROR(IF(S136="","",U126*0.9),"")</f>
        <v/>
      </c>
      <c r="Y136" s="23">
        <f>IFERROR(IF(S136="","",(1-(S136/100)*(SUM($V$82:V126)+SUMPRODUCT($P$127:$P$135,$Q$127:$Q$135,U126*(X136/U126)^$T$127:$T$135)))/(1+(S136/100)*P136)),"")</f>
        <v/>
      </c>
      <c r="Z136" s="23">
        <f>IFERROR(IF(S136="","",(1-(S136/100)*(SUM($V$82:V126)+SUMPRODUCT($P$127:$P$135,$Q$127:$Q$135,U126*(Y136/U126)^$T$127:$T$135)))/(1+(S136/100)*P136)),"")</f>
        <v/>
      </c>
      <c r="AA136" s="23">
        <f>IFERROR(IF(S136="","",(1-(S136/100)*(SUM($V$82:V126)+SUMPRODUCT($P$127:$P$135,$Q$127:$Q$135,U126*(Z136/U126)^$T$127:$T$135)))/(1+(S136/100)*P136)),"")</f>
        <v/>
      </c>
      <c r="AB136" s="23">
        <f>IFERROR(IF(S136="","",(1-(S136/100)*(SUM($V$82:V126)+SUMPRODUCT($P$127:$P$135,$Q$127:$Q$135,U126*(AA136/U126)^$T$127:$T$135)))/(1+(S136/100)*P136)),"")</f>
        <v/>
      </c>
      <c r="AC136" s="23">
        <f>IFERROR(IF(S136="","",(1-(S136/100)*(SUM($V$82:V126)+SUMPRODUCT($P$127:$P$135,$Q$127:$Q$135,U126*(AB136/U126)^$T$127:$T$135)))/(1+(S136/100)*P136)),"")</f>
        <v/>
      </c>
      <c r="AD136" s="23">
        <f>IFERROR(IF(S136="","",(1-(S136/100)*(SUM($V$82:V126)+SUMPRODUCT($P$127:$P$135,$Q$127:$Q$135,U126*(AC136/U126)^$T$127:$T$135)))/(1+(S136/100)*P136)),"")</f>
        <v/>
      </c>
      <c r="AE136" s="23">
        <f>IFERROR(IF(S136="","",(1-(S136/100)*(SUM($V$82:V126)+SUMPRODUCT($P$127:$P$135,$Q$127:$Q$135,U126*(AD136/U126)^$T$127:$T$135)))/(1+(S136/100)*P136)),"")</f>
        <v/>
      </c>
      <c r="AF136" s="23">
        <f>IFERROR(IF(S136="","",(1-(S136/100)*(SUM($V$82:V126)+SUMPRODUCT($P$127:$P$135,$Q$127:$Q$135,U126*(AE136/U126)^$T$127:$T$135)))/(1+(S136/100)*P136)),"")</f>
        <v/>
      </c>
      <c r="AG136" s="23">
        <f>IFERROR(IF(S136="","",(1-(S136/100)*(SUM($V$82:V126)+SUMPRODUCT($P$127:$P$135,$Q$127:$Q$135,U126*(AF136/U126)^$T$127:$T$135)))/(1+(S136/100)*P136)),"")</f>
        <v/>
      </c>
      <c r="AH136" s="23">
        <f>IFERROR(IF(S136="","",(1-(S136/100)*(SUM($V$82:V126)+SUMPRODUCT($P$127:$P$135,$Q$127:$Q$135,U126*(AG136/U126)^$T$127:$T$135)))/(1+(S136/100)*P136)),"")</f>
        <v/>
      </c>
      <c r="AI136" s="23">
        <f>IFERROR(IF(S136="","",(1-(S136/100)*(SUM($V$82:V126)+SUMPRODUCT($P$127:$P$135,$Q$127:$Q$135,U126*(AH136/U126)^$T$127:$T$135)))/(1+(S136/100)*P136)),"")</f>
        <v/>
      </c>
      <c r="AJ136" s="23">
        <f>IFERROR(IF(S136="","",(1-(S136/100)*(SUM($V$82:V126)+SUMPRODUCT($P$127:$P$135,$Q$127:$Q$135,U126*(AI136/U126)^$T$127:$T$135)))/(1+(S136/100)*P136)),"")</f>
        <v/>
      </c>
      <c r="AK136" s="23">
        <f>IFERROR(IF(S136="","",(1-(S136/100)*(SUM($V$82:V126)+SUMPRODUCT($P$127:$P$135,$Q$127:$Q$135,U126*(AJ136/U126)^$T$127:$T$135)))/(1+(S136/100)*P136)),"")</f>
        <v/>
      </c>
      <c r="AL136" s="23">
        <f>IFERROR(IF(S136="","",(1-(S136/100)*(SUM($V$82:V126)+SUMPRODUCT($P$127:$P$135,$Q$127:$Q$135,U126*(AK136/U126)^$T$127:$T$135)))/(1+(S136/100)*P136)),"")</f>
        <v/>
      </c>
      <c r="AM136" s="23">
        <f>IFERROR(IF(S136="","",(1-(S136/100)*(SUM($V$82:V126)+SUMPRODUCT($P$127:$P$135,$Q$127:$Q$135,U126*(AL136/U126)^$T$127:$T$135)))/(1+(S136/100)*P136)),"")</f>
        <v/>
      </c>
    </row>
    <row r="137">
      <c r="A137" s="2" t="inlineStr">
        <is>
          <t>If 'priced' is under 'pillars pasted', a tenor label is not on the internal grid (1W-3W, 1M-12M, 18M, 1Y-50Y). 12M and 1Y are the same pillar.</t>
        </is>
      </c>
      <c r="K137" s="19" t="inlineStr">
        <is>
          <t>41Y</t>
        </is>
      </c>
      <c r="L137" t="n">
        <v>41</v>
      </c>
      <c r="M137" s="20">
        <f>IFERROR(IF($C$77="","",IF(MONTH((EDATE($C$78,492))+IF(WEEKDAY((EDATE($C$78,492)),2)=6,2,IF(WEEKDAY((EDATE($C$78,492)),2)=7,1,0)))&lt;&gt;MONTH(EDATE($C$78,492)),(EDATE($C$78,492))-IF(WEEKDAY((EDATE($C$78,492)),2)=6,1,IF(WEEKDAY((EDATE($C$78,492)),2)=7,2,0)),(EDATE($C$78,492))+IF(WEEKDAY((EDATE($C$78,492)),2)=6,2,IF(WEEKDAY((EDATE($C$78,492)),2)=7,1,0)))),"")</f>
        <v/>
      </c>
      <c r="N137">
        <f>IFERROR(IF(M137="","",(M137-$C$77)/365),"")</f>
        <v/>
      </c>
      <c r="O137">
        <f>IFERROR(IF(M137="","",(M137-$C$78)/360),"")</f>
        <v/>
      </c>
      <c r="P137">
        <f>IFERROR(IF(M137="","",(M137-M136)/360),"")</f>
        <v/>
      </c>
      <c r="Q137" t="n">
        <v>1</v>
      </c>
      <c r="R137">
        <f>IFERROR(IF(COUNTIF($A$82:$A$133,"41Y")&gt;0,1,0),"")</f>
        <v/>
      </c>
      <c r="S137" s="21">
        <f>IFERROR(IF(R137=1,IFERROR(INDEX($C$82:$C$133,MATCH("41Y",$A$82:$A$133,0)),INDEX($C$82:$C$133,MATCH("41Y",$A$82:$A$133,0))),S136+(S146-S136)*0.1000000000),"")</f>
        <v/>
      </c>
      <c r="T137">
        <f>IFERROR(IF(OR(N137="",N146=""),"",(N137-N136)/(N146-N136)),"")</f>
        <v/>
      </c>
      <c r="U137" s="22">
        <f>IFERROR(IF(OR(T137="",U146=""),"",U136*(U146/U136)^T137),"")</f>
        <v/>
      </c>
      <c r="V137">
        <f>IFERROR(IF(OR(U137="",Q137=0),0,P137*U137),"")</f>
        <v/>
      </c>
    </row>
    <row r="138">
      <c r="K138" s="19" t="inlineStr">
        <is>
          <t>42Y</t>
        </is>
      </c>
      <c r="L138" t="n">
        <v>42</v>
      </c>
      <c r="M138" s="20">
        <f>IFERROR(IF($C$77="","",IF(MONTH((EDATE($C$78,504))+IF(WEEKDAY((EDATE($C$78,504)),2)=6,2,IF(WEEKDAY((EDATE($C$78,504)),2)=7,1,0)))&lt;&gt;MONTH(EDATE($C$78,504)),(EDATE($C$78,504))-IF(WEEKDAY((EDATE($C$78,504)),2)=6,1,IF(WEEKDAY((EDATE($C$78,504)),2)=7,2,0)),(EDATE($C$78,504))+IF(WEEKDAY((EDATE($C$78,504)),2)=6,2,IF(WEEKDAY((EDATE($C$78,504)),2)=7,1,0)))),"")</f>
        <v/>
      </c>
      <c r="N138">
        <f>IFERROR(IF(M138="","",(M138-$C$77)/365),"")</f>
        <v/>
      </c>
      <c r="O138">
        <f>IFERROR(IF(M138="","",(M138-$C$78)/360),"")</f>
        <v/>
      </c>
      <c r="P138">
        <f>IFERROR(IF(M138="","",(M138-M137)/360),"")</f>
        <v/>
      </c>
      <c r="Q138" t="n">
        <v>1</v>
      </c>
      <c r="R138">
        <f>IFERROR(IF(COUNTIF($A$82:$A$133,"42Y")&gt;0,1,0),"")</f>
        <v/>
      </c>
      <c r="S138" s="21">
        <f>IFERROR(IF(R138=1,IFERROR(INDEX($C$82:$C$133,MATCH("42Y",$A$82:$A$133,0)),INDEX($C$82:$C$133,MATCH("42Y",$A$82:$A$133,0))),S136+(S146-S136)*0.2000000000),"")</f>
        <v/>
      </c>
      <c r="T138">
        <f>IFERROR(IF(OR(N138="",N146=""),"",(N138-N136)/(N146-N136)),"")</f>
        <v/>
      </c>
      <c r="U138" s="22">
        <f>IFERROR(IF(OR(T138="",U146=""),"",U136*(U146/U136)^T138),"")</f>
        <v/>
      </c>
      <c r="V138">
        <f>IFERROR(IF(OR(U138="",Q138=0),0,P138*U138),"")</f>
        <v/>
      </c>
    </row>
    <row r="139">
      <c r="K139" s="19" t="inlineStr">
        <is>
          <t>43Y</t>
        </is>
      </c>
      <c r="L139" t="n">
        <v>43</v>
      </c>
      <c r="M139" s="20">
        <f>IFERROR(IF($C$77="","",IF(MONTH((EDATE($C$78,516))+IF(WEEKDAY((EDATE($C$78,516)),2)=6,2,IF(WEEKDAY((EDATE($C$78,516)),2)=7,1,0)))&lt;&gt;MONTH(EDATE($C$78,516)),(EDATE($C$78,516))-IF(WEEKDAY((EDATE($C$78,516)),2)=6,1,IF(WEEKDAY((EDATE($C$78,516)),2)=7,2,0)),(EDATE($C$78,516))+IF(WEEKDAY((EDATE($C$78,516)),2)=6,2,IF(WEEKDAY((EDATE($C$78,516)),2)=7,1,0)))),"")</f>
        <v/>
      </c>
      <c r="N139">
        <f>IFERROR(IF(M139="","",(M139-$C$77)/365),"")</f>
        <v/>
      </c>
      <c r="O139">
        <f>IFERROR(IF(M139="","",(M139-$C$78)/360),"")</f>
        <v/>
      </c>
      <c r="P139">
        <f>IFERROR(IF(M139="","",(M139-M138)/360),"")</f>
        <v/>
      </c>
      <c r="Q139" t="n">
        <v>1</v>
      </c>
      <c r="R139">
        <f>IFERROR(IF(COUNTIF($A$82:$A$133,"43Y")&gt;0,1,0),"")</f>
        <v/>
      </c>
      <c r="S139" s="21">
        <f>IFERROR(IF(R139=1,IFERROR(INDEX($C$82:$C$133,MATCH("43Y",$A$82:$A$133,0)),INDEX($C$82:$C$133,MATCH("43Y",$A$82:$A$133,0))),S136+(S146-S136)*0.3000000000),"")</f>
        <v/>
      </c>
      <c r="T139">
        <f>IFERROR(IF(OR(N139="",N146=""),"",(N139-N136)/(N146-N136)),"")</f>
        <v/>
      </c>
      <c r="U139" s="22">
        <f>IFERROR(IF(OR(T139="",U146=""),"",U136*(U146/U136)^T139),"")</f>
        <v/>
      </c>
      <c r="V139">
        <f>IFERROR(IF(OR(U139="",Q139=0),0,P139*U139),"")</f>
        <v/>
      </c>
    </row>
    <row r="140">
      <c r="K140" s="19" t="inlineStr">
        <is>
          <t>44Y</t>
        </is>
      </c>
      <c r="L140" t="n">
        <v>44</v>
      </c>
      <c r="M140" s="20">
        <f>IFERROR(IF($C$77="","",IF(MONTH((EDATE($C$78,528))+IF(WEEKDAY((EDATE($C$78,528)),2)=6,2,IF(WEEKDAY((EDATE($C$78,528)),2)=7,1,0)))&lt;&gt;MONTH(EDATE($C$78,528)),(EDATE($C$78,528))-IF(WEEKDAY((EDATE($C$78,528)),2)=6,1,IF(WEEKDAY((EDATE($C$78,528)),2)=7,2,0)),(EDATE($C$78,528))+IF(WEEKDAY((EDATE($C$78,528)),2)=6,2,IF(WEEKDAY((EDATE($C$78,528)),2)=7,1,0)))),"")</f>
        <v/>
      </c>
      <c r="N140">
        <f>IFERROR(IF(M140="","",(M140-$C$77)/365),"")</f>
        <v/>
      </c>
      <c r="O140">
        <f>IFERROR(IF(M140="","",(M140-$C$78)/360),"")</f>
        <v/>
      </c>
      <c r="P140">
        <f>IFERROR(IF(M140="","",(M140-M139)/360),"")</f>
        <v/>
      </c>
      <c r="Q140" t="n">
        <v>1</v>
      </c>
      <c r="R140">
        <f>IFERROR(IF(COUNTIF($A$82:$A$133,"44Y")&gt;0,1,0),"")</f>
        <v/>
      </c>
      <c r="S140" s="21">
        <f>IFERROR(IF(R140=1,IFERROR(INDEX($C$82:$C$133,MATCH("44Y",$A$82:$A$133,0)),INDEX($C$82:$C$133,MATCH("44Y",$A$82:$A$133,0))),S136+(S146-S136)*0.4000000000),"")</f>
        <v/>
      </c>
      <c r="T140">
        <f>IFERROR(IF(OR(N140="",N146=""),"",(N140-N136)/(N146-N136)),"")</f>
        <v/>
      </c>
      <c r="U140" s="22">
        <f>IFERROR(IF(OR(T140="",U146=""),"",U136*(U146/U136)^T140),"")</f>
        <v/>
      </c>
      <c r="V140">
        <f>IFERROR(IF(OR(U140="",Q140=0),0,P140*U140),"")</f>
        <v/>
      </c>
    </row>
    <row r="141">
      <c r="K141" s="19" t="inlineStr">
        <is>
          <t>45Y</t>
        </is>
      </c>
      <c r="L141" t="n">
        <v>45</v>
      </c>
      <c r="M141" s="20">
        <f>IFERROR(IF($C$77="","",IF(MONTH((EDATE($C$78,540))+IF(WEEKDAY((EDATE($C$78,540)),2)=6,2,IF(WEEKDAY((EDATE($C$78,540)),2)=7,1,0)))&lt;&gt;MONTH(EDATE($C$78,540)),(EDATE($C$78,540))-IF(WEEKDAY((EDATE($C$78,540)),2)=6,1,IF(WEEKDAY((EDATE($C$78,540)),2)=7,2,0)),(EDATE($C$78,540))+IF(WEEKDAY((EDATE($C$78,540)),2)=6,2,IF(WEEKDAY((EDATE($C$78,540)),2)=7,1,0)))),"")</f>
        <v/>
      </c>
      <c r="N141">
        <f>IFERROR(IF(M141="","",(M141-$C$77)/365),"")</f>
        <v/>
      </c>
      <c r="O141">
        <f>IFERROR(IF(M141="","",(M141-$C$78)/360),"")</f>
        <v/>
      </c>
      <c r="P141">
        <f>IFERROR(IF(M141="","",(M141-M140)/360),"")</f>
        <v/>
      </c>
      <c r="Q141" t="n">
        <v>1</v>
      </c>
      <c r="R141">
        <f>IFERROR(IF(COUNTIF($A$82:$A$133,"45Y")&gt;0,1,0),"")</f>
        <v/>
      </c>
      <c r="S141" s="21">
        <f>IFERROR(IF(R141=1,IFERROR(INDEX($C$82:$C$133,MATCH("45Y",$A$82:$A$133,0)),INDEX($C$82:$C$133,MATCH("45Y",$A$82:$A$133,0))),S136+(S146-S136)*0.5000000000),"")</f>
        <v/>
      </c>
      <c r="T141">
        <f>IFERROR(IF(OR(N141="",N146=""),"",(N141-N136)/(N146-N136)),"")</f>
        <v/>
      </c>
      <c r="U141" s="22">
        <f>IFERROR(IF(OR(T141="",U146=""),"",U136*(U146/U136)^T141),"")</f>
        <v/>
      </c>
      <c r="V141">
        <f>IFERROR(IF(OR(U141="",Q141=0),0,P141*U141),"")</f>
        <v/>
      </c>
    </row>
    <row r="142">
      <c r="K142" s="19" t="inlineStr">
        <is>
          <t>46Y</t>
        </is>
      </c>
      <c r="L142" t="n">
        <v>46</v>
      </c>
      <c r="M142" s="20">
        <f>IFERROR(IF($C$77="","",IF(MONTH((EDATE($C$78,552))+IF(WEEKDAY((EDATE($C$78,552)),2)=6,2,IF(WEEKDAY((EDATE($C$78,552)),2)=7,1,0)))&lt;&gt;MONTH(EDATE($C$78,552)),(EDATE($C$78,552))-IF(WEEKDAY((EDATE($C$78,552)),2)=6,1,IF(WEEKDAY((EDATE($C$78,552)),2)=7,2,0)),(EDATE($C$78,552))+IF(WEEKDAY((EDATE($C$78,552)),2)=6,2,IF(WEEKDAY((EDATE($C$78,552)),2)=7,1,0)))),"")</f>
        <v/>
      </c>
      <c r="N142">
        <f>IFERROR(IF(M142="","",(M142-$C$77)/365),"")</f>
        <v/>
      </c>
      <c r="O142">
        <f>IFERROR(IF(M142="","",(M142-$C$78)/360),"")</f>
        <v/>
      </c>
      <c r="P142">
        <f>IFERROR(IF(M142="","",(M142-M141)/360),"")</f>
        <v/>
      </c>
      <c r="Q142" t="n">
        <v>1</v>
      </c>
      <c r="R142">
        <f>IFERROR(IF(COUNTIF($A$82:$A$133,"46Y")&gt;0,1,0),"")</f>
        <v/>
      </c>
      <c r="S142" s="21">
        <f>IFERROR(IF(R142=1,IFERROR(INDEX($C$82:$C$133,MATCH("46Y",$A$82:$A$133,0)),INDEX($C$82:$C$133,MATCH("46Y",$A$82:$A$133,0))),S136+(S146-S136)*0.6000000000),"")</f>
        <v/>
      </c>
      <c r="T142">
        <f>IFERROR(IF(OR(N142="",N146=""),"",(N142-N136)/(N146-N136)),"")</f>
        <v/>
      </c>
      <c r="U142" s="22">
        <f>IFERROR(IF(OR(T142="",U146=""),"",U136*(U146/U136)^T142),"")</f>
        <v/>
      </c>
      <c r="V142">
        <f>IFERROR(IF(OR(U142="",Q142=0),0,P142*U142),"")</f>
        <v/>
      </c>
    </row>
    <row r="143">
      <c r="K143" s="19" t="inlineStr">
        <is>
          <t>47Y</t>
        </is>
      </c>
      <c r="L143" t="n">
        <v>47</v>
      </c>
      <c r="M143" s="20">
        <f>IFERROR(IF($C$77="","",IF(MONTH((EDATE($C$78,564))+IF(WEEKDAY((EDATE($C$78,564)),2)=6,2,IF(WEEKDAY((EDATE($C$78,564)),2)=7,1,0)))&lt;&gt;MONTH(EDATE($C$78,564)),(EDATE($C$78,564))-IF(WEEKDAY((EDATE($C$78,564)),2)=6,1,IF(WEEKDAY((EDATE($C$78,564)),2)=7,2,0)),(EDATE($C$78,564))+IF(WEEKDAY((EDATE($C$78,564)),2)=6,2,IF(WEEKDAY((EDATE($C$78,564)),2)=7,1,0)))),"")</f>
        <v/>
      </c>
      <c r="N143">
        <f>IFERROR(IF(M143="","",(M143-$C$77)/365),"")</f>
        <v/>
      </c>
      <c r="O143">
        <f>IFERROR(IF(M143="","",(M143-$C$78)/360),"")</f>
        <v/>
      </c>
      <c r="P143">
        <f>IFERROR(IF(M143="","",(M143-M142)/360),"")</f>
        <v/>
      </c>
      <c r="Q143" t="n">
        <v>1</v>
      </c>
      <c r="R143">
        <f>IFERROR(IF(COUNTIF($A$82:$A$133,"47Y")&gt;0,1,0),"")</f>
        <v/>
      </c>
      <c r="S143" s="21">
        <f>IFERROR(IF(R143=1,IFERROR(INDEX($C$82:$C$133,MATCH("47Y",$A$82:$A$133,0)),INDEX($C$82:$C$133,MATCH("47Y",$A$82:$A$133,0))),S136+(S146-S136)*0.7000000000),"")</f>
        <v/>
      </c>
      <c r="T143">
        <f>IFERROR(IF(OR(N143="",N146=""),"",(N143-N136)/(N146-N136)),"")</f>
        <v/>
      </c>
      <c r="U143" s="22">
        <f>IFERROR(IF(OR(T143="",U146=""),"",U136*(U146/U136)^T143),"")</f>
        <v/>
      </c>
      <c r="V143">
        <f>IFERROR(IF(OR(U143="",Q143=0),0,P143*U143),"")</f>
        <v/>
      </c>
    </row>
    <row r="144">
      <c r="K144" s="19" t="inlineStr">
        <is>
          <t>48Y</t>
        </is>
      </c>
      <c r="L144" t="n">
        <v>48</v>
      </c>
      <c r="M144" s="20">
        <f>IFERROR(IF($C$77="","",IF(MONTH((EDATE($C$78,576))+IF(WEEKDAY((EDATE($C$78,576)),2)=6,2,IF(WEEKDAY((EDATE($C$78,576)),2)=7,1,0)))&lt;&gt;MONTH(EDATE($C$78,576)),(EDATE($C$78,576))-IF(WEEKDAY((EDATE($C$78,576)),2)=6,1,IF(WEEKDAY((EDATE($C$78,576)),2)=7,2,0)),(EDATE($C$78,576))+IF(WEEKDAY((EDATE($C$78,576)),2)=6,2,IF(WEEKDAY((EDATE($C$78,576)),2)=7,1,0)))),"")</f>
        <v/>
      </c>
      <c r="N144">
        <f>IFERROR(IF(M144="","",(M144-$C$77)/365),"")</f>
        <v/>
      </c>
      <c r="O144">
        <f>IFERROR(IF(M144="","",(M144-$C$78)/360),"")</f>
        <v/>
      </c>
      <c r="P144">
        <f>IFERROR(IF(M144="","",(M144-M143)/360),"")</f>
        <v/>
      </c>
      <c r="Q144" t="n">
        <v>1</v>
      </c>
      <c r="R144">
        <f>IFERROR(IF(COUNTIF($A$82:$A$133,"48Y")&gt;0,1,0),"")</f>
        <v/>
      </c>
      <c r="S144" s="21">
        <f>IFERROR(IF(R144=1,IFERROR(INDEX($C$82:$C$133,MATCH("48Y",$A$82:$A$133,0)),INDEX($C$82:$C$133,MATCH("48Y",$A$82:$A$133,0))),S136+(S146-S136)*0.8000000000),"")</f>
        <v/>
      </c>
      <c r="T144">
        <f>IFERROR(IF(OR(N144="",N146=""),"",(N144-N136)/(N146-N136)),"")</f>
        <v/>
      </c>
      <c r="U144" s="22">
        <f>IFERROR(IF(OR(T144="",U146=""),"",U136*(U146/U136)^T144),"")</f>
        <v/>
      </c>
      <c r="V144">
        <f>IFERROR(IF(OR(U144="",Q144=0),0,P144*U144),"")</f>
        <v/>
      </c>
    </row>
    <row r="145">
      <c r="K145" s="19" t="inlineStr">
        <is>
          <t>49Y</t>
        </is>
      </c>
      <c r="L145" t="n">
        <v>49</v>
      </c>
      <c r="M145" s="20">
        <f>IFERROR(IF($C$77="","",IF(MONTH((EDATE($C$78,588))+IF(WEEKDAY((EDATE($C$78,588)),2)=6,2,IF(WEEKDAY((EDATE($C$78,588)),2)=7,1,0)))&lt;&gt;MONTH(EDATE($C$78,588)),(EDATE($C$78,588))-IF(WEEKDAY((EDATE($C$78,588)),2)=6,1,IF(WEEKDAY((EDATE($C$78,588)),2)=7,2,0)),(EDATE($C$78,588))+IF(WEEKDAY((EDATE($C$78,588)),2)=6,2,IF(WEEKDAY((EDATE($C$78,588)),2)=7,1,0)))),"")</f>
        <v/>
      </c>
      <c r="N145">
        <f>IFERROR(IF(M145="","",(M145-$C$77)/365),"")</f>
        <v/>
      </c>
      <c r="O145">
        <f>IFERROR(IF(M145="","",(M145-$C$78)/360),"")</f>
        <v/>
      </c>
      <c r="P145">
        <f>IFERROR(IF(M145="","",(M145-M144)/360),"")</f>
        <v/>
      </c>
      <c r="Q145" t="n">
        <v>1</v>
      </c>
      <c r="R145">
        <f>IFERROR(IF(COUNTIF($A$82:$A$133,"49Y")&gt;0,1,0),"")</f>
        <v/>
      </c>
      <c r="S145" s="21">
        <f>IFERROR(IF(R145=1,IFERROR(INDEX($C$82:$C$133,MATCH("49Y",$A$82:$A$133,0)),INDEX($C$82:$C$133,MATCH("49Y",$A$82:$A$133,0))),S136+(S146-S136)*0.9000000000),"")</f>
        <v/>
      </c>
      <c r="T145">
        <f>IFERROR(IF(OR(N145="",N146=""),"",(N145-N136)/(N146-N136)),"")</f>
        <v/>
      </c>
      <c r="U145" s="22">
        <f>IFERROR(IF(OR(T145="",U146=""),"",U136*(U146/U136)^T145),"")</f>
        <v/>
      </c>
      <c r="V145">
        <f>IFERROR(IF(OR(U145="",Q145=0),0,P145*U145),"")</f>
        <v/>
      </c>
    </row>
    <row r="146">
      <c r="K146" s="19" t="inlineStr">
        <is>
          <t>50Y</t>
        </is>
      </c>
      <c r="L146" t="n">
        <v>50</v>
      </c>
      <c r="M146" s="20">
        <f>IFERROR(IF($C$77="","",IF(MONTH((EDATE($C$78,600))+IF(WEEKDAY((EDATE($C$78,600)),2)=6,2,IF(WEEKDAY((EDATE($C$78,600)),2)=7,1,0)))&lt;&gt;MONTH(EDATE($C$78,600)),(EDATE($C$78,600))-IF(WEEKDAY((EDATE($C$78,600)),2)=6,1,IF(WEEKDAY((EDATE($C$78,600)),2)=7,2,0)),(EDATE($C$78,600))+IF(WEEKDAY((EDATE($C$78,600)),2)=6,2,IF(WEEKDAY((EDATE($C$78,600)),2)=7,1,0)))),"")</f>
        <v/>
      </c>
      <c r="N146">
        <f>IFERROR(IF(M146="","",(M146-$C$77)/365),"")</f>
        <v/>
      </c>
      <c r="O146">
        <f>IFERROR(IF(M146="","",(M146-$C$78)/360),"")</f>
        <v/>
      </c>
      <c r="P146">
        <f>IFERROR(IF(M146="","",(M146-M145)/360),"")</f>
        <v/>
      </c>
      <c r="Q146" t="n">
        <v>1</v>
      </c>
      <c r="R146">
        <f>IFERROR(IF(COUNTIF($A$82:$A$133,"50Y")&gt;0,1,0),"")</f>
        <v/>
      </c>
      <c r="S146" s="21">
        <f>IFERROR(IFERROR(INDEX($C$82:$C$133,MATCH("50Y",$A$82:$A$133,0)),INDEX($C$82:$C$133,MATCH("50Y",$A$82:$A$133,0))),"")</f>
        <v/>
      </c>
      <c r="U146" s="22">
        <f>IFERROR(IF(S146="","",AM146),"")</f>
        <v/>
      </c>
      <c r="V146">
        <f>IFERROR(IF(OR(U146="",Q146=0),0,P146*U146),"")</f>
        <v/>
      </c>
      <c r="X146" s="23">
        <f>IFERROR(IF(S146="","",U136*0.9),"")</f>
        <v/>
      </c>
      <c r="Y146" s="23">
        <f>IFERROR(IF(S146="","",(1-(S146/100)*(SUM($V$82:V136)+SUMPRODUCT($P$137:$P$145,$Q$137:$Q$145,U136*(X146/U136)^$T$137:$T$145)))/(1+(S146/100)*P146)),"")</f>
        <v/>
      </c>
      <c r="Z146" s="23">
        <f>IFERROR(IF(S146="","",(1-(S146/100)*(SUM($V$82:V136)+SUMPRODUCT($P$137:$P$145,$Q$137:$Q$145,U136*(Y146/U136)^$T$137:$T$145)))/(1+(S146/100)*P146)),"")</f>
        <v/>
      </c>
      <c r="AA146" s="23">
        <f>IFERROR(IF(S146="","",(1-(S146/100)*(SUM($V$82:V136)+SUMPRODUCT($P$137:$P$145,$Q$137:$Q$145,U136*(Z146/U136)^$T$137:$T$145)))/(1+(S146/100)*P146)),"")</f>
        <v/>
      </c>
      <c r="AB146" s="23">
        <f>IFERROR(IF(S146="","",(1-(S146/100)*(SUM($V$82:V136)+SUMPRODUCT($P$137:$P$145,$Q$137:$Q$145,U136*(AA146/U136)^$T$137:$T$145)))/(1+(S146/100)*P146)),"")</f>
        <v/>
      </c>
      <c r="AC146" s="23">
        <f>IFERROR(IF(S146="","",(1-(S146/100)*(SUM($V$82:V136)+SUMPRODUCT($P$137:$P$145,$Q$137:$Q$145,U136*(AB146/U136)^$T$137:$T$145)))/(1+(S146/100)*P146)),"")</f>
        <v/>
      </c>
      <c r="AD146" s="23">
        <f>IFERROR(IF(S146="","",(1-(S146/100)*(SUM($V$82:V136)+SUMPRODUCT($P$137:$P$145,$Q$137:$Q$145,U136*(AC146/U136)^$T$137:$T$145)))/(1+(S146/100)*P146)),"")</f>
        <v/>
      </c>
      <c r="AE146" s="23">
        <f>IFERROR(IF(S146="","",(1-(S146/100)*(SUM($V$82:V136)+SUMPRODUCT($P$137:$P$145,$Q$137:$Q$145,U136*(AD146/U136)^$T$137:$T$145)))/(1+(S146/100)*P146)),"")</f>
        <v/>
      </c>
      <c r="AF146" s="23">
        <f>IFERROR(IF(S146="","",(1-(S146/100)*(SUM($V$82:V136)+SUMPRODUCT($P$137:$P$145,$Q$137:$Q$145,U136*(AE146/U136)^$T$137:$T$145)))/(1+(S146/100)*P146)),"")</f>
        <v/>
      </c>
      <c r="AG146" s="23">
        <f>IFERROR(IF(S146="","",(1-(S146/100)*(SUM($V$82:V136)+SUMPRODUCT($P$137:$P$145,$Q$137:$Q$145,U136*(AF146/U136)^$T$137:$T$145)))/(1+(S146/100)*P146)),"")</f>
        <v/>
      </c>
      <c r="AH146" s="23">
        <f>IFERROR(IF(S146="","",(1-(S146/100)*(SUM($V$82:V136)+SUMPRODUCT($P$137:$P$145,$Q$137:$Q$145,U136*(AG146/U136)^$T$137:$T$145)))/(1+(S146/100)*P146)),"")</f>
        <v/>
      </c>
      <c r="AI146" s="23">
        <f>IFERROR(IF(S146="","",(1-(S146/100)*(SUM($V$82:V136)+SUMPRODUCT($P$137:$P$145,$Q$137:$Q$145,U136*(AH146/U136)^$T$137:$T$145)))/(1+(S146/100)*P146)),"")</f>
        <v/>
      </c>
      <c r="AJ146" s="23">
        <f>IFERROR(IF(S146="","",(1-(S146/100)*(SUM($V$82:V136)+SUMPRODUCT($P$137:$P$145,$Q$137:$Q$145,U136*(AI146/U136)^$T$137:$T$145)))/(1+(S146/100)*P146)),"")</f>
        <v/>
      </c>
      <c r="AK146" s="23">
        <f>IFERROR(IF(S146="","",(1-(S146/100)*(SUM($V$82:V136)+SUMPRODUCT($P$137:$P$145,$Q$137:$Q$145,U136*(AJ146/U136)^$T$137:$T$145)))/(1+(S146/100)*P146)),"")</f>
        <v/>
      </c>
      <c r="AL146" s="23">
        <f>IFERROR(IF(S146="","",(1-(S146/100)*(SUM($V$82:V136)+SUMPRODUCT($P$137:$P$145,$Q$137:$Q$145,U136*(AK146/U136)^$T$137:$T$145)))/(1+(S146/100)*P146)),"")</f>
        <v/>
      </c>
      <c r="AM146" s="23">
        <f>IFERROR(IF(S146="","",(1-(S146/100)*(SUM($V$82:V136)+SUMPRODUCT($P$137:$P$145,$Q$137:$Q$145,U136*(AL146/U136)^$T$137:$T$145)))/(1+(S146/100)*P146)),"")</f>
        <v/>
      </c>
    </row>
    <row r="149">
      <c r="A149" s="1" t="inlineStr">
        <is>
          <t>CURVE TEST CASE 3 — paste and read</t>
        </is>
      </c>
    </row>
    <row r="150">
      <c r="A150" s="2" t="inlineStr">
        <is>
          <t>Paste YELLOW A:E straight off the capture — tenor, date, swap mid, BBG zero, BBG discount. Set the curve date. Green is computed here; this sheet points at nothing outside itself.</t>
        </is>
      </c>
    </row>
    <row r="151">
      <c r="B151" s="3" t="inlineStr">
        <is>
          <t>Curve date →</t>
        </is>
      </c>
      <c r="C151" s="4" t="n"/>
      <c r="D151" s="5">
        <f>IF($C$151="","&lt;&lt;&lt;  ENTER THE CURVE DATE  —  nothing computes without it","")</f>
        <v/>
      </c>
    </row>
    <row r="152">
      <c r="B152" s="3" t="inlineStr">
        <is>
          <t>Spot (T+2bd) →</t>
        </is>
      </c>
      <c r="C152" s="6">
        <f>IF($C$151="","",($C$151+IF(WEEKDAY($C$151,2)=6,2,IF(WEEKDAY($C$151,2)=7,1,0)))+IF(WEEKDAY(($C$151+IF(WEEKDAY($C$151,2)=6,2,IF(WEEKDAY($C$151,2)=7,1,0))),2)&gt;=4,4,2))</f>
        <v/>
      </c>
    </row>
    <row r="155">
      <c r="A155" s="7" t="inlineStr">
        <is>
          <t>Tenor</t>
        </is>
      </c>
      <c r="B155" s="7" t="inlineStr">
        <is>
          <t>Date</t>
        </is>
      </c>
      <c r="C155" s="7" t="inlineStr">
        <is>
          <t>Swap rate (mid) %</t>
        </is>
      </c>
      <c r="D155" s="7" t="inlineStr">
        <is>
          <t>BBG zero %</t>
        </is>
      </c>
      <c r="E155" s="7" t="inlineStr">
        <is>
          <t>BBG discount</t>
        </is>
      </c>
      <c r="F155" s="7" t="inlineStr">
        <is>
          <t>Our zero %</t>
        </is>
      </c>
      <c r="G155" s="7" t="inlineStr">
        <is>
          <t>Our discount</t>
        </is>
      </c>
      <c r="H155" s="7" t="inlineStr">
        <is>
          <t>d zero bp</t>
        </is>
      </c>
      <c r="I155" s="7" t="inlineStr">
        <is>
          <t>d DF</t>
        </is>
      </c>
      <c r="J155" s="7" t="inlineStr">
        <is>
          <t>date check</t>
        </is>
      </c>
      <c r="K155" s="8" t="inlineStr">
        <is>
          <t>tenor</t>
        </is>
      </c>
      <c r="L155" s="8" t="inlineStr">
        <is>
          <t>yrs</t>
        </is>
      </c>
      <c r="M155" s="8" t="inlineStr">
        <is>
          <t>date</t>
        </is>
      </c>
      <c r="N155" s="8" t="inlineStr">
        <is>
          <t>T</t>
        </is>
      </c>
      <c r="O155" s="8" t="inlineStr">
        <is>
          <t>tau0</t>
        </is>
      </c>
      <c r="P155" s="8" t="inlineStr">
        <is>
          <t>tauC</t>
        </is>
      </c>
      <c r="Q155" s="8" t="inlineStr">
        <is>
          <t>sched</t>
        </is>
      </c>
      <c r="R155" s="8" t="inlineStr">
        <is>
          <t>quoted</t>
        </is>
      </c>
      <c r="S155" s="8" t="inlineStr">
        <is>
          <t>S %</t>
        </is>
      </c>
      <c r="T155" s="8" t="inlineStr">
        <is>
          <t>w</t>
        </is>
      </c>
      <c r="U155" s="8" t="inlineStr">
        <is>
          <t>DF</t>
        </is>
      </c>
      <c r="V155" s="8" t="inlineStr">
        <is>
          <t>ann add</t>
        </is>
      </c>
      <c r="X155" s="9" t="inlineStr">
        <is>
          <t>solve →</t>
        </is>
      </c>
    </row>
    <row r="156">
      <c r="A156" s="10" t="n"/>
      <c r="B156" s="11" t="n"/>
      <c r="C156" s="12" t="n"/>
      <c r="D156" s="12" t="n"/>
      <c r="E156" s="13" t="n"/>
      <c r="F156" s="14">
        <f>IF(OR($A156="",G156=""),"",-LN(G156)/INDEX($N$156:$N$220,IFERROR(MATCH($A156,$K$156:$K$220,0),MATCH(IF($A156="1Y","12M",IF($A156="12M","1Y",$A156)),$K$156:$K$220,0)))*100)</f>
        <v/>
      </c>
      <c r="G156" s="15">
        <f>IF($A156="","",IFERROR(INDEX($U$156:$U$220,IFERROR(MATCH($A156,$K$156:$K$220,0),MATCH(IF($A156="1Y","12M",IF($A156="12M","1Y",$A156)),$K$156:$K$220,0))),""))</f>
        <v/>
      </c>
      <c r="H156" s="16">
        <f>IF(OR(F156="",NOT(ISNUMBER(D156))),"",(F156-D156)*100)</f>
        <v/>
      </c>
      <c r="I156" s="17">
        <f>IF(OR(G156="",NOT(ISNUMBER(E156))),"",G156-E156)</f>
        <v/>
      </c>
      <c r="J156" s="18">
        <f>IF(OR($A156="",NOT(ISNUMBER($B156))),"",IF(ABS($B156-INDEX($M$156:$M$220,IFERROR(MATCH($A156,$K$156:$K$220,0),MATCH(IF($A156="1Y","12M",IF($A156="12M","1Y",$A156)),$K$156:$K$220,0))))&lt;=3,"ok","MISMATCH "&amp;TEXT(INDEX($M$156:$M$220,IFERROR(MATCH($A156,$K$156:$K$220,0),MATCH(IF($A156="1Y","12M",IF($A156="12M","1Y",$A156)),$K$156:$K$220,0))),"mm/dd/yy")))</f>
        <v/>
      </c>
      <c r="K156" s="19" t="inlineStr">
        <is>
          <t>1W</t>
        </is>
      </c>
      <c r="L156" t="n">
        <v>0.01923076923076923</v>
      </c>
      <c r="M156" s="20">
        <f>IFERROR(IF($C$151="","",IF(MONTH(($C$152+7*1)+IF(WEEKDAY(($C$152+7*1),2)=6,2,IF(WEEKDAY(($C$152+7*1),2)=7,1,0)))&lt;&gt;MONTH($C$152+7*1),($C$152+7*1)-IF(WEEKDAY(($C$152+7*1),2)=6,1,IF(WEEKDAY(($C$152+7*1),2)=7,2,0)),($C$152+7*1)+IF(WEEKDAY(($C$152+7*1),2)=6,2,IF(WEEKDAY(($C$152+7*1),2)=7,1,0)))),"")</f>
        <v/>
      </c>
      <c r="N156">
        <f>IFERROR(IF(M156="","",(M156-$C$151)/365),"")</f>
        <v/>
      </c>
      <c r="O156">
        <f>IFERROR(IF(M156="","",(M156-$C$151)/360),"")</f>
        <v/>
      </c>
      <c r="P156">
        <f>IFERROR(IF(M156="","",(M156-$C$151)/360),"")</f>
        <v/>
      </c>
      <c r="Q156" t="n">
        <v>0</v>
      </c>
      <c r="R156">
        <f>IFERROR(IF(COUNTIF($A$156:$A$207,"1W")&gt;0,1,0),"")</f>
        <v/>
      </c>
      <c r="S156" s="21">
        <f>IFERROR(IFERROR(INDEX($C$156:$C$207,MATCH("1W",$A$156:$A$207,0)),INDEX($C$156:$C$207,MATCH("1W",$A$156:$A$207,0))),"")</f>
        <v/>
      </c>
      <c r="U156" s="22">
        <f>IFERROR(IF(S156="","",1/(1+(S156/100)*O156)),"")</f>
        <v/>
      </c>
      <c r="V156">
        <f>IFERROR(IF(OR(U156="",Q156=0),0,P156*U156),"")</f>
        <v/>
      </c>
    </row>
    <row r="157">
      <c r="A157" s="10" t="n"/>
      <c r="B157" s="11" t="n"/>
      <c r="C157" s="12" t="n"/>
      <c r="D157" s="12" t="n"/>
      <c r="E157" s="13" t="n"/>
      <c r="F157" s="14">
        <f>IF(OR($A157="",G157=""),"",-LN(G157)/INDEX($N$156:$N$220,IFERROR(MATCH($A157,$K$156:$K$220,0),MATCH(IF($A157="1Y","12M",IF($A157="12M","1Y",$A157)),$K$156:$K$220,0)))*100)</f>
        <v/>
      </c>
      <c r="G157" s="15">
        <f>IF($A157="","",IFERROR(INDEX($U$156:$U$220,IFERROR(MATCH($A157,$K$156:$K$220,0),MATCH(IF($A157="1Y","12M",IF($A157="12M","1Y",$A157)),$K$156:$K$220,0))),""))</f>
        <v/>
      </c>
      <c r="H157" s="16">
        <f>IF(OR(F157="",NOT(ISNUMBER(D157))),"",(F157-D157)*100)</f>
        <v/>
      </c>
      <c r="I157" s="17">
        <f>IF(OR(G157="",NOT(ISNUMBER(E157))),"",G157-E157)</f>
        <v/>
      </c>
      <c r="J157" s="18">
        <f>IF(OR($A157="",NOT(ISNUMBER($B157))),"",IF(ABS($B157-INDEX($M$156:$M$220,IFERROR(MATCH($A157,$K$156:$K$220,0),MATCH(IF($A157="1Y","12M",IF($A157="12M","1Y",$A157)),$K$156:$K$220,0))))&lt;=3,"ok","MISMATCH "&amp;TEXT(INDEX($M$156:$M$220,IFERROR(MATCH($A157,$K$156:$K$220,0),MATCH(IF($A157="1Y","12M",IF($A157="12M","1Y",$A157)),$K$156:$K$220,0))),"mm/dd/yy")))</f>
        <v/>
      </c>
      <c r="K157" s="19" t="inlineStr">
        <is>
          <t>2W</t>
        </is>
      </c>
      <c r="L157" t="n">
        <v>0.03846153846153846</v>
      </c>
      <c r="M157" s="20">
        <f>IFERROR(IF($C$151="","",IF(MONTH(($C$152+7*2)+IF(WEEKDAY(($C$152+7*2),2)=6,2,IF(WEEKDAY(($C$152+7*2),2)=7,1,0)))&lt;&gt;MONTH($C$152+7*2),($C$152+7*2)-IF(WEEKDAY(($C$152+7*2),2)=6,1,IF(WEEKDAY(($C$152+7*2),2)=7,2,0)),($C$152+7*2)+IF(WEEKDAY(($C$152+7*2),2)=6,2,IF(WEEKDAY(($C$152+7*2),2)=7,1,0)))),"")</f>
        <v/>
      </c>
      <c r="N157">
        <f>IFERROR(IF(M157="","",(M157-$C$151)/365),"")</f>
        <v/>
      </c>
      <c r="O157">
        <f>IFERROR(IF(M157="","",(M157-$C$151)/360),"")</f>
        <v/>
      </c>
      <c r="P157">
        <f>IFERROR(IF(M157="","",(M157-$C$151)/360),"")</f>
        <v/>
      </c>
      <c r="Q157" t="n">
        <v>0</v>
      </c>
      <c r="R157">
        <f>IFERROR(IF(COUNTIF($A$156:$A$207,"2W")&gt;0,1,0),"")</f>
        <v/>
      </c>
      <c r="S157" s="21">
        <f>IFERROR(IFERROR(INDEX($C$156:$C$207,MATCH("2W",$A$156:$A$207,0)),INDEX($C$156:$C$207,MATCH("2W",$A$156:$A$207,0))),"")</f>
        <v/>
      </c>
      <c r="U157" s="22">
        <f>IFERROR(IF(S157="","",1/(1+(S157/100)*O157)),"")</f>
        <v/>
      </c>
      <c r="V157">
        <f>IFERROR(IF(OR(U157="",Q157=0),0,P157*U157),"")</f>
        <v/>
      </c>
    </row>
    <row r="158">
      <c r="A158" s="10" t="n"/>
      <c r="B158" s="11" t="n"/>
      <c r="C158" s="12" t="n"/>
      <c r="D158" s="12" t="n"/>
      <c r="E158" s="13" t="n"/>
      <c r="F158" s="14">
        <f>IF(OR($A158="",G158=""),"",-LN(G158)/INDEX($N$156:$N$220,IFERROR(MATCH($A158,$K$156:$K$220,0),MATCH(IF($A158="1Y","12M",IF($A158="12M","1Y",$A158)),$K$156:$K$220,0)))*100)</f>
        <v/>
      </c>
      <c r="G158" s="15">
        <f>IF($A158="","",IFERROR(INDEX($U$156:$U$220,IFERROR(MATCH($A158,$K$156:$K$220,0),MATCH(IF($A158="1Y","12M",IF($A158="12M","1Y",$A158)),$K$156:$K$220,0))),""))</f>
        <v/>
      </c>
      <c r="H158" s="16">
        <f>IF(OR(F158="",NOT(ISNUMBER(D158))),"",(F158-D158)*100)</f>
        <v/>
      </c>
      <c r="I158" s="17">
        <f>IF(OR(G158="",NOT(ISNUMBER(E158))),"",G158-E158)</f>
        <v/>
      </c>
      <c r="J158" s="18">
        <f>IF(OR($A158="",NOT(ISNUMBER($B158))),"",IF(ABS($B158-INDEX($M$156:$M$220,IFERROR(MATCH($A158,$K$156:$K$220,0),MATCH(IF($A158="1Y","12M",IF($A158="12M","1Y",$A158)),$K$156:$K$220,0))))&lt;=3,"ok","MISMATCH "&amp;TEXT(INDEX($M$156:$M$220,IFERROR(MATCH($A158,$K$156:$K$220,0),MATCH(IF($A158="1Y","12M",IF($A158="12M","1Y",$A158)),$K$156:$K$220,0))),"mm/dd/yy")))</f>
        <v/>
      </c>
      <c r="K158" s="19" t="inlineStr">
        <is>
          <t>3W</t>
        </is>
      </c>
      <c r="L158" t="n">
        <v>0.0576923076923077</v>
      </c>
      <c r="M158" s="20">
        <f>IFERROR(IF($C$151="","",IF(MONTH(($C$152+7*3)+IF(WEEKDAY(($C$152+7*3),2)=6,2,IF(WEEKDAY(($C$152+7*3),2)=7,1,0)))&lt;&gt;MONTH($C$152+7*3),($C$152+7*3)-IF(WEEKDAY(($C$152+7*3),2)=6,1,IF(WEEKDAY(($C$152+7*3),2)=7,2,0)),($C$152+7*3)+IF(WEEKDAY(($C$152+7*3),2)=6,2,IF(WEEKDAY(($C$152+7*3),2)=7,1,0)))),"")</f>
        <v/>
      </c>
      <c r="N158">
        <f>IFERROR(IF(M158="","",(M158-$C$151)/365),"")</f>
        <v/>
      </c>
      <c r="O158">
        <f>IFERROR(IF(M158="","",(M158-$C$151)/360),"")</f>
        <v/>
      </c>
      <c r="P158">
        <f>IFERROR(IF(M158="","",(M158-$C$151)/360),"")</f>
        <v/>
      </c>
      <c r="Q158" t="n">
        <v>0</v>
      </c>
      <c r="R158">
        <f>IFERROR(IF(COUNTIF($A$156:$A$207,"3W")&gt;0,1,0),"")</f>
        <v/>
      </c>
      <c r="S158" s="21">
        <f>IFERROR(IFERROR(INDEX($C$156:$C$207,MATCH("3W",$A$156:$A$207,0)),INDEX($C$156:$C$207,MATCH("3W",$A$156:$A$207,0))),"")</f>
        <v/>
      </c>
      <c r="U158" s="22">
        <f>IFERROR(IF(S158="","",1/(1+(S158/100)*O158)),"")</f>
        <v/>
      </c>
      <c r="V158">
        <f>IFERROR(IF(OR(U158="",Q158=0),0,P158*U158),"")</f>
        <v/>
      </c>
    </row>
    <row r="159">
      <c r="A159" s="10" t="n"/>
      <c r="B159" s="11" t="n"/>
      <c r="C159" s="12" t="n"/>
      <c r="D159" s="12" t="n"/>
      <c r="E159" s="13" t="n"/>
      <c r="F159" s="14">
        <f>IF(OR($A159="",G159=""),"",-LN(G159)/INDEX($N$156:$N$220,IFERROR(MATCH($A159,$K$156:$K$220,0),MATCH(IF($A159="1Y","12M",IF($A159="12M","1Y",$A159)),$K$156:$K$220,0)))*100)</f>
        <v/>
      </c>
      <c r="G159" s="15">
        <f>IF($A159="","",IFERROR(INDEX($U$156:$U$220,IFERROR(MATCH($A159,$K$156:$K$220,0),MATCH(IF($A159="1Y","12M",IF($A159="12M","1Y",$A159)),$K$156:$K$220,0))),""))</f>
        <v/>
      </c>
      <c r="H159" s="16">
        <f>IF(OR(F159="",NOT(ISNUMBER(D159))),"",(F159-D159)*100)</f>
        <v/>
      </c>
      <c r="I159" s="17">
        <f>IF(OR(G159="",NOT(ISNUMBER(E159))),"",G159-E159)</f>
        <v/>
      </c>
      <c r="J159" s="18">
        <f>IF(OR($A159="",NOT(ISNUMBER($B159))),"",IF(ABS($B159-INDEX($M$156:$M$220,IFERROR(MATCH($A159,$K$156:$K$220,0),MATCH(IF($A159="1Y","12M",IF($A159="12M","1Y",$A159)),$K$156:$K$220,0))))&lt;=3,"ok","MISMATCH "&amp;TEXT(INDEX($M$156:$M$220,IFERROR(MATCH($A159,$K$156:$K$220,0),MATCH(IF($A159="1Y","12M",IF($A159="12M","1Y",$A159)),$K$156:$K$220,0))),"mm/dd/yy")))</f>
        <v/>
      </c>
      <c r="K159" s="19" t="inlineStr">
        <is>
          <t>1M</t>
        </is>
      </c>
      <c r="L159" t="n">
        <v>0.08333333333333333</v>
      </c>
      <c r="M159" s="20">
        <f>IFERROR(IF($C$151="","",IF(MONTH((EDATE($C$152,1))+IF(WEEKDAY((EDATE($C$152,1)),2)=6,2,IF(WEEKDAY((EDATE($C$152,1)),2)=7,1,0)))&lt;&gt;MONTH(EDATE($C$152,1)),(EDATE($C$152,1))-IF(WEEKDAY((EDATE($C$152,1)),2)=6,1,IF(WEEKDAY((EDATE($C$152,1)),2)=7,2,0)),(EDATE($C$152,1))+IF(WEEKDAY((EDATE($C$152,1)),2)=6,2,IF(WEEKDAY((EDATE($C$152,1)),2)=7,1,0)))),"")</f>
        <v/>
      </c>
      <c r="N159">
        <f>IFERROR(IF(M159="","",(M159-$C$151)/365),"")</f>
        <v/>
      </c>
      <c r="O159">
        <f>IFERROR(IF(M159="","",(M159-$C$151)/360),"")</f>
        <v/>
      </c>
      <c r="P159">
        <f>IFERROR(IF(M159="","",(M159-$C$151)/360),"")</f>
        <v/>
      </c>
      <c r="Q159" t="n">
        <v>0</v>
      </c>
      <c r="R159">
        <f>IFERROR(IF(COUNTIF($A$156:$A$207,"1M")&gt;0,1,0),"")</f>
        <v/>
      </c>
      <c r="S159" s="21">
        <f>IFERROR(IFERROR(INDEX($C$156:$C$207,MATCH("1M",$A$156:$A$207,0)),INDEX($C$156:$C$207,MATCH("1M",$A$156:$A$207,0))),"")</f>
        <v/>
      </c>
      <c r="U159" s="22">
        <f>IFERROR(IF(S159="","",1/(1+(S159/100)*O159)),"")</f>
        <v/>
      </c>
      <c r="V159">
        <f>IFERROR(IF(OR(U159="",Q159=0),0,P159*U159),"")</f>
        <v/>
      </c>
    </row>
    <row r="160">
      <c r="A160" s="10" t="n"/>
      <c r="B160" s="11" t="n"/>
      <c r="C160" s="12" t="n"/>
      <c r="D160" s="12" t="n"/>
      <c r="E160" s="13" t="n"/>
      <c r="F160" s="14">
        <f>IF(OR($A160="",G160=""),"",-LN(G160)/INDEX($N$156:$N$220,IFERROR(MATCH($A160,$K$156:$K$220,0),MATCH(IF($A160="1Y","12M",IF($A160="12M","1Y",$A160)),$K$156:$K$220,0)))*100)</f>
        <v/>
      </c>
      <c r="G160" s="15">
        <f>IF($A160="","",IFERROR(INDEX($U$156:$U$220,IFERROR(MATCH($A160,$K$156:$K$220,0),MATCH(IF($A160="1Y","12M",IF($A160="12M","1Y",$A160)),$K$156:$K$220,0))),""))</f>
        <v/>
      </c>
      <c r="H160" s="16">
        <f>IF(OR(F160="",NOT(ISNUMBER(D160))),"",(F160-D160)*100)</f>
        <v/>
      </c>
      <c r="I160" s="17">
        <f>IF(OR(G160="",NOT(ISNUMBER(E160))),"",G160-E160)</f>
        <v/>
      </c>
      <c r="J160" s="18">
        <f>IF(OR($A160="",NOT(ISNUMBER($B160))),"",IF(ABS($B160-INDEX($M$156:$M$220,IFERROR(MATCH($A160,$K$156:$K$220,0),MATCH(IF($A160="1Y","12M",IF($A160="12M","1Y",$A160)),$K$156:$K$220,0))))&lt;=3,"ok","MISMATCH "&amp;TEXT(INDEX($M$156:$M$220,IFERROR(MATCH($A160,$K$156:$K$220,0),MATCH(IF($A160="1Y","12M",IF($A160="12M","1Y",$A160)),$K$156:$K$220,0))),"mm/dd/yy")))</f>
        <v/>
      </c>
      <c r="K160" s="19" t="inlineStr">
        <is>
          <t>2M</t>
        </is>
      </c>
      <c r="L160" t="n">
        <v>0.1666666666666667</v>
      </c>
      <c r="M160" s="20">
        <f>IFERROR(IF($C$151="","",IF(MONTH((EDATE($C$152,2))+IF(WEEKDAY((EDATE($C$152,2)),2)=6,2,IF(WEEKDAY((EDATE($C$152,2)),2)=7,1,0)))&lt;&gt;MONTH(EDATE($C$152,2)),(EDATE($C$152,2))-IF(WEEKDAY((EDATE($C$152,2)),2)=6,1,IF(WEEKDAY((EDATE($C$152,2)),2)=7,2,0)),(EDATE($C$152,2))+IF(WEEKDAY((EDATE($C$152,2)),2)=6,2,IF(WEEKDAY((EDATE($C$152,2)),2)=7,1,0)))),"")</f>
        <v/>
      </c>
      <c r="N160">
        <f>IFERROR(IF(M160="","",(M160-$C$151)/365),"")</f>
        <v/>
      </c>
      <c r="O160">
        <f>IFERROR(IF(M160="","",(M160-$C$151)/360),"")</f>
        <v/>
      </c>
      <c r="P160">
        <f>IFERROR(IF(M160="","",(M160-$C$151)/360),"")</f>
        <v/>
      </c>
      <c r="Q160" t="n">
        <v>0</v>
      </c>
      <c r="R160">
        <f>IFERROR(IF(COUNTIF($A$156:$A$207,"2M")&gt;0,1,0),"")</f>
        <v/>
      </c>
      <c r="S160" s="21">
        <f>IFERROR(IFERROR(INDEX($C$156:$C$207,MATCH("2M",$A$156:$A$207,0)),INDEX($C$156:$C$207,MATCH("2M",$A$156:$A$207,0))),"")</f>
        <v/>
      </c>
      <c r="U160" s="22">
        <f>IFERROR(IF(S160="","",1/(1+(S160/100)*O160)),"")</f>
        <v/>
      </c>
      <c r="V160">
        <f>IFERROR(IF(OR(U160="",Q160=0),0,P160*U160),"")</f>
        <v/>
      </c>
    </row>
    <row r="161">
      <c r="A161" s="10" t="n"/>
      <c r="B161" s="11" t="n"/>
      <c r="C161" s="12" t="n"/>
      <c r="D161" s="12" t="n"/>
      <c r="E161" s="13" t="n"/>
      <c r="F161" s="14">
        <f>IF(OR($A161="",G161=""),"",-LN(G161)/INDEX($N$156:$N$220,IFERROR(MATCH($A161,$K$156:$K$220,0),MATCH(IF($A161="1Y","12M",IF($A161="12M","1Y",$A161)),$K$156:$K$220,0)))*100)</f>
        <v/>
      </c>
      <c r="G161" s="15">
        <f>IF($A161="","",IFERROR(INDEX($U$156:$U$220,IFERROR(MATCH($A161,$K$156:$K$220,0),MATCH(IF($A161="1Y","12M",IF($A161="12M","1Y",$A161)),$K$156:$K$220,0))),""))</f>
        <v/>
      </c>
      <c r="H161" s="16">
        <f>IF(OR(F161="",NOT(ISNUMBER(D161))),"",(F161-D161)*100)</f>
        <v/>
      </c>
      <c r="I161" s="17">
        <f>IF(OR(G161="",NOT(ISNUMBER(E161))),"",G161-E161)</f>
        <v/>
      </c>
      <c r="J161" s="18">
        <f>IF(OR($A161="",NOT(ISNUMBER($B161))),"",IF(ABS($B161-INDEX($M$156:$M$220,IFERROR(MATCH($A161,$K$156:$K$220,0),MATCH(IF($A161="1Y","12M",IF($A161="12M","1Y",$A161)),$K$156:$K$220,0))))&lt;=3,"ok","MISMATCH "&amp;TEXT(INDEX($M$156:$M$220,IFERROR(MATCH($A161,$K$156:$K$220,0),MATCH(IF($A161="1Y","12M",IF($A161="12M","1Y",$A161)),$K$156:$K$220,0))),"mm/dd/yy")))</f>
        <v/>
      </c>
      <c r="K161" s="19" t="inlineStr">
        <is>
          <t>3M</t>
        </is>
      </c>
      <c r="L161" t="n">
        <v>0.25</v>
      </c>
      <c r="M161" s="20">
        <f>IFERROR(IF($C$151="","",IF(MONTH((EDATE($C$152,3))+IF(WEEKDAY((EDATE($C$152,3)),2)=6,2,IF(WEEKDAY((EDATE($C$152,3)),2)=7,1,0)))&lt;&gt;MONTH(EDATE($C$152,3)),(EDATE($C$152,3))-IF(WEEKDAY((EDATE($C$152,3)),2)=6,1,IF(WEEKDAY((EDATE($C$152,3)),2)=7,2,0)),(EDATE($C$152,3))+IF(WEEKDAY((EDATE($C$152,3)),2)=6,2,IF(WEEKDAY((EDATE($C$152,3)),2)=7,1,0)))),"")</f>
        <v/>
      </c>
      <c r="N161">
        <f>IFERROR(IF(M161="","",(M161-$C$151)/365),"")</f>
        <v/>
      </c>
      <c r="O161">
        <f>IFERROR(IF(M161="","",(M161-$C$151)/360),"")</f>
        <v/>
      </c>
      <c r="P161">
        <f>IFERROR(IF(M161="","",(M161-$C$151)/360),"")</f>
        <v/>
      </c>
      <c r="Q161" t="n">
        <v>0</v>
      </c>
      <c r="R161">
        <f>IFERROR(IF(COUNTIF($A$156:$A$207,"3M")&gt;0,1,0),"")</f>
        <v/>
      </c>
      <c r="S161" s="21">
        <f>IFERROR(IFERROR(INDEX($C$156:$C$207,MATCH("3M",$A$156:$A$207,0)),INDEX($C$156:$C$207,MATCH("3M",$A$156:$A$207,0))),"")</f>
        <v/>
      </c>
      <c r="U161" s="22">
        <f>IFERROR(IF(S161="","",1/(1+(S161/100)*O161)),"")</f>
        <v/>
      </c>
      <c r="V161">
        <f>IFERROR(IF(OR(U161="",Q161=0),0,P161*U161),"")</f>
        <v/>
      </c>
    </row>
    <row r="162">
      <c r="A162" s="10" t="n"/>
      <c r="B162" s="11" t="n"/>
      <c r="C162" s="12" t="n"/>
      <c r="D162" s="12" t="n"/>
      <c r="E162" s="13" t="n"/>
      <c r="F162" s="14">
        <f>IF(OR($A162="",G162=""),"",-LN(G162)/INDEX($N$156:$N$220,IFERROR(MATCH($A162,$K$156:$K$220,0),MATCH(IF($A162="1Y","12M",IF($A162="12M","1Y",$A162)),$K$156:$K$220,0)))*100)</f>
        <v/>
      </c>
      <c r="G162" s="15">
        <f>IF($A162="","",IFERROR(INDEX($U$156:$U$220,IFERROR(MATCH($A162,$K$156:$K$220,0),MATCH(IF($A162="1Y","12M",IF($A162="12M","1Y",$A162)),$K$156:$K$220,0))),""))</f>
        <v/>
      </c>
      <c r="H162" s="16">
        <f>IF(OR(F162="",NOT(ISNUMBER(D162))),"",(F162-D162)*100)</f>
        <v/>
      </c>
      <c r="I162" s="17">
        <f>IF(OR(G162="",NOT(ISNUMBER(E162))),"",G162-E162)</f>
        <v/>
      </c>
      <c r="J162" s="18">
        <f>IF(OR($A162="",NOT(ISNUMBER($B162))),"",IF(ABS($B162-INDEX($M$156:$M$220,IFERROR(MATCH($A162,$K$156:$K$220,0),MATCH(IF($A162="1Y","12M",IF($A162="12M","1Y",$A162)),$K$156:$K$220,0))))&lt;=3,"ok","MISMATCH "&amp;TEXT(INDEX($M$156:$M$220,IFERROR(MATCH($A162,$K$156:$K$220,0),MATCH(IF($A162="1Y","12M",IF($A162="12M","1Y",$A162)),$K$156:$K$220,0))),"mm/dd/yy")))</f>
        <v/>
      </c>
      <c r="K162" s="19" t="inlineStr">
        <is>
          <t>4M</t>
        </is>
      </c>
      <c r="L162" t="n">
        <v>0.3333333333333333</v>
      </c>
      <c r="M162" s="20">
        <f>IFERROR(IF($C$151="","",IF(MONTH((EDATE($C$152,4))+IF(WEEKDAY((EDATE($C$152,4)),2)=6,2,IF(WEEKDAY((EDATE($C$152,4)),2)=7,1,0)))&lt;&gt;MONTH(EDATE($C$152,4)),(EDATE($C$152,4))-IF(WEEKDAY((EDATE($C$152,4)),2)=6,1,IF(WEEKDAY((EDATE($C$152,4)),2)=7,2,0)),(EDATE($C$152,4))+IF(WEEKDAY((EDATE($C$152,4)),2)=6,2,IF(WEEKDAY((EDATE($C$152,4)),2)=7,1,0)))),"")</f>
        <v/>
      </c>
      <c r="N162">
        <f>IFERROR(IF(M162="","",(M162-$C$151)/365),"")</f>
        <v/>
      </c>
      <c r="O162">
        <f>IFERROR(IF(M162="","",(M162-$C$151)/360),"")</f>
        <v/>
      </c>
      <c r="P162">
        <f>IFERROR(IF(M162="","",(M162-$C$151)/360),"")</f>
        <v/>
      </c>
      <c r="Q162" t="n">
        <v>0</v>
      </c>
      <c r="R162">
        <f>IFERROR(IF(COUNTIF($A$156:$A$207,"4M")&gt;0,1,0),"")</f>
        <v/>
      </c>
      <c r="S162" s="21">
        <f>IFERROR(IFERROR(INDEX($C$156:$C$207,MATCH("4M",$A$156:$A$207,0)),INDEX($C$156:$C$207,MATCH("4M",$A$156:$A$207,0))),"")</f>
        <v/>
      </c>
      <c r="U162" s="22">
        <f>IFERROR(IF(S162="","",1/(1+(S162/100)*O162)),"")</f>
        <v/>
      </c>
      <c r="V162">
        <f>IFERROR(IF(OR(U162="",Q162=0),0,P162*U162),"")</f>
        <v/>
      </c>
    </row>
    <row r="163">
      <c r="A163" s="10" t="n"/>
      <c r="B163" s="11" t="n"/>
      <c r="C163" s="12" t="n"/>
      <c r="D163" s="12" t="n"/>
      <c r="E163" s="13" t="n"/>
      <c r="F163" s="14">
        <f>IF(OR($A163="",G163=""),"",-LN(G163)/INDEX($N$156:$N$220,IFERROR(MATCH($A163,$K$156:$K$220,0),MATCH(IF($A163="1Y","12M",IF($A163="12M","1Y",$A163)),$K$156:$K$220,0)))*100)</f>
        <v/>
      </c>
      <c r="G163" s="15">
        <f>IF($A163="","",IFERROR(INDEX($U$156:$U$220,IFERROR(MATCH($A163,$K$156:$K$220,0),MATCH(IF($A163="1Y","12M",IF($A163="12M","1Y",$A163)),$K$156:$K$220,0))),""))</f>
        <v/>
      </c>
      <c r="H163" s="16">
        <f>IF(OR(F163="",NOT(ISNUMBER(D163))),"",(F163-D163)*100)</f>
        <v/>
      </c>
      <c r="I163" s="17">
        <f>IF(OR(G163="",NOT(ISNUMBER(E163))),"",G163-E163)</f>
        <v/>
      </c>
      <c r="J163" s="18">
        <f>IF(OR($A163="",NOT(ISNUMBER($B163))),"",IF(ABS($B163-INDEX($M$156:$M$220,IFERROR(MATCH($A163,$K$156:$K$220,0),MATCH(IF($A163="1Y","12M",IF($A163="12M","1Y",$A163)),$K$156:$K$220,0))))&lt;=3,"ok","MISMATCH "&amp;TEXT(INDEX($M$156:$M$220,IFERROR(MATCH($A163,$K$156:$K$220,0),MATCH(IF($A163="1Y","12M",IF($A163="12M","1Y",$A163)),$K$156:$K$220,0))),"mm/dd/yy")))</f>
        <v/>
      </c>
      <c r="K163" s="19" t="inlineStr">
        <is>
          <t>5M</t>
        </is>
      </c>
      <c r="L163" t="n">
        <v>0.4166666666666667</v>
      </c>
      <c r="M163" s="20">
        <f>IFERROR(IF($C$151="","",IF(MONTH((EDATE($C$152,5))+IF(WEEKDAY((EDATE($C$152,5)),2)=6,2,IF(WEEKDAY((EDATE($C$152,5)),2)=7,1,0)))&lt;&gt;MONTH(EDATE($C$152,5)),(EDATE($C$152,5))-IF(WEEKDAY((EDATE($C$152,5)),2)=6,1,IF(WEEKDAY((EDATE($C$152,5)),2)=7,2,0)),(EDATE($C$152,5))+IF(WEEKDAY((EDATE($C$152,5)),2)=6,2,IF(WEEKDAY((EDATE($C$152,5)),2)=7,1,0)))),"")</f>
        <v/>
      </c>
      <c r="N163">
        <f>IFERROR(IF(M163="","",(M163-$C$151)/365),"")</f>
        <v/>
      </c>
      <c r="O163">
        <f>IFERROR(IF(M163="","",(M163-$C$151)/360),"")</f>
        <v/>
      </c>
      <c r="P163">
        <f>IFERROR(IF(M163="","",(M163-$C$151)/360),"")</f>
        <v/>
      </c>
      <c r="Q163" t="n">
        <v>0</v>
      </c>
      <c r="R163">
        <f>IFERROR(IF(COUNTIF($A$156:$A$207,"5M")&gt;0,1,0),"")</f>
        <v/>
      </c>
      <c r="S163" s="21">
        <f>IFERROR(IFERROR(INDEX($C$156:$C$207,MATCH("5M",$A$156:$A$207,0)),INDEX($C$156:$C$207,MATCH("5M",$A$156:$A$207,0))),"")</f>
        <v/>
      </c>
      <c r="U163" s="22">
        <f>IFERROR(IF(S163="","",1/(1+(S163/100)*O163)),"")</f>
        <v/>
      </c>
      <c r="V163">
        <f>IFERROR(IF(OR(U163="",Q163=0),0,P163*U163),"")</f>
        <v/>
      </c>
    </row>
    <row r="164">
      <c r="A164" s="10" t="n"/>
      <c r="B164" s="11" t="n"/>
      <c r="C164" s="12" t="n"/>
      <c r="D164" s="12" t="n"/>
      <c r="E164" s="13" t="n"/>
      <c r="F164" s="14">
        <f>IF(OR($A164="",G164=""),"",-LN(G164)/INDEX($N$156:$N$220,IFERROR(MATCH($A164,$K$156:$K$220,0),MATCH(IF($A164="1Y","12M",IF($A164="12M","1Y",$A164)),$K$156:$K$220,0)))*100)</f>
        <v/>
      </c>
      <c r="G164" s="15">
        <f>IF($A164="","",IFERROR(INDEX($U$156:$U$220,IFERROR(MATCH($A164,$K$156:$K$220,0),MATCH(IF($A164="1Y","12M",IF($A164="12M","1Y",$A164)),$K$156:$K$220,0))),""))</f>
        <v/>
      </c>
      <c r="H164" s="16">
        <f>IF(OR(F164="",NOT(ISNUMBER(D164))),"",(F164-D164)*100)</f>
        <v/>
      </c>
      <c r="I164" s="17">
        <f>IF(OR(G164="",NOT(ISNUMBER(E164))),"",G164-E164)</f>
        <v/>
      </c>
      <c r="J164" s="18">
        <f>IF(OR($A164="",NOT(ISNUMBER($B164))),"",IF(ABS($B164-INDEX($M$156:$M$220,IFERROR(MATCH($A164,$K$156:$K$220,0),MATCH(IF($A164="1Y","12M",IF($A164="12M","1Y",$A164)),$K$156:$K$220,0))))&lt;=3,"ok","MISMATCH "&amp;TEXT(INDEX($M$156:$M$220,IFERROR(MATCH($A164,$K$156:$K$220,0),MATCH(IF($A164="1Y","12M",IF($A164="12M","1Y",$A164)),$K$156:$K$220,0))),"mm/dd/yy")))</f>
        <v/>
      </c>
      <c r="K164" s="19" t="inlineStr">
        <is>
          <t>6M</t>
        </is>
      </c>
      <c r="L164" t="n">
        <v>0.5</v>
      </c>
      <c r="M164" s="20">
        <f>IFERROR(IF($C$151="","",IF(MONTH((EDATE($C$152,6))+IF(WEEKDAY((EDATE($C$152,6)),2)=6,2,IF(WEEKDAY((EDATE($C$152,6)),2)=7,1,0)))&lt;&gt;MONTH(EDATE($C$152,6)),(EDATE($C$152,6))-IF(WEEKDAY((EDATE($C$152,6)),2)=6,1,IF(WEEKDAY((EDATE($C$152,6)),2)=7,2,0)),(EDATE($C$152,6))+IF(WEEKDAY((EDATE($C$152,6)),2)=6,2,IF(WEEKDAY((EDATE($C$152,6)),2)=7,1,0)))),"")</f>
        <v/>
      </c>
      <c r="N164">
        <f>IFERROR(IF(M164="","",(M164-$C$151)/365),"")</f>
        <v/>
      </c>
      <c r="O164">
        <f>IFERROR(IF(M164="","",(M164-$C$151)/360),"")</f>
        <v/>
      </c>
      <c r="P164">
        <f>IFERROR(IF(M164="","",(M164-$C$151)/360),"")</f>
        <v/>
      </c>
      <c r="Q164" t="n">
        <v>0</v>
      </c>
      <c r="R164">
        <f>IFERROR(IF(COUNTIF($A$156:$A$207,"6M")&gt;0,1,0),"")</f>
        <v/>
      </c>
      <c r="S164" s="21">
        <f>IFERROR(IFERROR(INDEX($C$156:$C$207,MATCH("6M",$A$156:$A$207,0)),INDEX($C$156:$C$207,MATCH("6M",$A$156:$A$207,0))),"")</f>
        <v/>
      </c>
      <c r="U164" s="22">
        <f>IFERROR(IF(S164="","",1/(1+(S164/100)*O164)),"")</f>
        <v/>
      </c>
      <c r="V164">
        <f>IFERROR(IF(OR(U164="",Q164=0),0,P164*U164),"")</f>
        <v/>
      </c>
    </row>
    <row r="165">
      <c r="A165" s="10" t="n"/>
      <c r="B165" s="11" t="n"/>
      <c r="C165" s="12" t="n"/>
      <c r="D165" s="12" t="n"/>
      <c r="E165" s="13" t="n"/>
      <c r="F165" s="14">
        <f>IF(OR($A165="",G165=""),"",-LN(G165)/INDEX($N$156:$N$220,IFERROR(MATCH($A165,$K$156:$K$220,0),MATCH(IF($A165="1Y","12M",IF($A165="12M","1Y",$A165)),$K$156:$K$220,0)))*100)</f>
        <v/>
      </c>
      <c r="G165" s="15">
        <f>IF($A165="","",IFERROR(INDEX($U$156:$U$220,IFERROR(MATCH($A165,$K$156:$K$220,0),MATCH(IF($A165="1Y","12M",IF($A165="12M","1Y",$A165)),$K$156:$K$220,0))),""))</f>
        <v/>
      </c>
      <c r="H165" s="16">
        <f>IF(OR(F165="",NOT(ISNUMBER(D165))),"",(F165-D165)*100)</f>
        <v/>
      </c>
      <c r="I165" s="17">
        <f>IF(OR(G165="",NOT(ISNUMBER(E165))),"",G165-E165)</f>
        <v/>
      </c>
      <c r="J165" s="18">
        <f>IF(OR($A165="",NOT(ISNUMBER($B165))),"",IF(ABS($B165-INDEX($M$156:$M$220,IFERROR(MATCH($A165,$K$156:$K$220,0),MATCH(IF($A165="1Y","12M",IF($A165="12M","1Y",$A165)),$K$156:$K$220,0))))&lt;=3,"ok","MISMATCH "&amp;TEXT(INDEX($M$156:$M$220,IFERROR(MATCH($A165,$K$156:$K$220,0),MATCH(IF($A165="1Y","12M",IF($A165="12M","1Y",$A165)),$K$156:$K$220,0))),"mm/dd/yy")))</f>
        <v/>
      </c>
      <c r="K165" s="19" t="inlineStr">
        <is>
          <t>7M</t>
        </is>
      </c>
      <c r="L165" t="n">
        <v>0.5833333333333334</v>
      </c>
      <c r="M165" s="20">
        <f>IFERROR(IF($C$151="","",IF(MONTH((EDATE($C$152,7))+IF(WEEKDAY((EDATE($C$152,7)),2)=6,2,IF(WEEKDAY((EDATE($C$152,7)),2)=7,1,0)))&lt;&gt;MONTH(EDATE($C$152,7)),(EDATE($C$152,7))-IF(WEEKDAY((EDATE($C$152,7)),2)=6,1,IF(WEEKDAY((EDATE($C$152,7)),2)=7,2,0)),(EDATE($C$152,7))+IF(WEEKDAY((EDATE($C$152,7)),2)=6,2,IF(WEEKDAY((EDATE($C$152,7)),2)=7,1,0)))),"")</f>
        <v/>
      </c>
      <c r="N165">
        <f>IFERROR(IF(M165="","",(M165-$C$151)/365),"")</f>
        <v/>
      </c>
      <c r="O165">
        <f>IFERROR(IF(M165="","",(M165-$C$151)/360),"")</f>
        <v/>
      </c>
      <c r="P165">
        <f>IFERROR(IF(M165="","",(M165-$C$151)/360),"")</f>
        <v/>
      </c>
      <c r="Q165" t="n">
        <v>0</v>
      </c>
      <c r="R165">
        <f>IFERROR(IF(COUNTIF($A$156:$A$207,"7M")&gt;0,1,0),"")</f>
        <v/>
      </c>
      <c r="S165" s="21">
        <f>IFERROR(IFERROR(INDEX($C$156:$C$207,MATCH("7M",$A$156:$A$207,0)),INDEX($C$156:$C$207,MATCH("7M",$A$156:$A$207,0))),"")</f>
        <v/>
      </c>
      <c r="U165" s="22">
        <f>IFERROR(IF(S165="","",1/(1+(S165/100)*O165)),"")</f>
        <v/>
      </c>
      <c r="V165">
        <f>IFERROR(IF(OR(U165="",Q165=0),0,P165*U165),"")</f>
        <v/>
      </c>
    </row>
    <row r="166">
      <c r="A166" s="10" t="n"/>
      <c r="B166" s="11" t="n"/>
      <c r="C166" s="12" t="n"/>
      <c r="D166" s="12" t="n"/>
      <c r="E166" s="13" t="n"/>
      <c r="F166" s="14">
        <f>IF(OR($A166="",G166=""),"",-LN(G166)/INDEX($N$156:$N$220,IFERROR(MATCH($A166,$K$156:$K$220,0),MATCH(IF($A166="1Y","12M",IF($A166="12M","1Y",$A166)),$K$156:$K$220,0)))*100)</f>
        <v/>
      </c>
      <c r="G166" s="15">
        <f>IF($A166="","",IFERROR(INDEX($U$156:$U$220,IFERROR(MATCH($A166,$K$156:$K$220,0),MATCH(IF($A166="1Y","12M",IF($A166="12M","1Y",$A166)),$K$156:$K$220,0))),""))</f>
        <v/>
      </c>
      <c r="H166" s="16">
        <f>IF(OR(F166="",NOT(ISNUMBER(D166))),"",(F166-D166)*100)</f>
        <v/>
      </c>
      <c r="I166" s="17">
        <f>IF(OR(G166="",NOT(ISNUMBER(E166))),"",G166-E166)</f>
        <v/>
      </c>
      <c r="J166" s="18">
        <f>IF(OR($A166="",NOT(ISNUMBER($B166))),"",IF(ABS($B166-INDEX($M$156:$M$220,IFERROR(MATCH($A166,$K$156:$K$220,0),MATCH(IF($A166="1Y","12M",IF($A166="12M","1Y",$A166)),$K$156:$K$220,0))))&lt;=3,"ok","MISMATCH "&amp;TEXT(INDEX($M$156:$M$220,IFERROR(MATCH($A166,$K$156:$K$220,0),MATCH(IF($A166="1Y","12M",IF($A166="12M","1Y",$A166)),$K$156:$K$220,0))),"mm/dd/yy")))</f>
        <v/>
      </c>
      <c r="K166" s="19" t="inlineStr">
        <is>
          <t>8M</t>
        </is>
      </c>
      <c r="L166" t="n">
        <v>0.6666666666666666</v>
      </c>
      <c r="M166" s="20">
        <f>IFERROR(IF($C$151="","",IF(MONTH((EDATE($C$152,8))+IF(WEEKDAY((EDATE($C$152,8)),2)=6,2,IF(WEEKDAY((EDATE($C$152,8)),2)=7,1,0)))&lt;&gt;MONTH(EDATE($C$152,8)),(EDATE($C$152,8))-IF(WEEKDAY((EDATE($C$152,8)),2)=6,1,IF(WEEKDAY((EDATE($C$152,8)),2)=7,2,0)),(EDATE($C$152,8))+IF(WEEKDAY((EDATE($C$152,8)),2)=6,2,IF(WEEKDAY((EDATE($C$152,8)),2)=7,1,0)))),"")</f>
        <v/>
      </c>
      <c r="N166">
        <f>IFERROR(IF(M166="","",(M166-$C$151)/365),"")</f>
        <v/>
      </c>
      <c r="O166">
        <f>IFERROR(IF(M166="","",(M166-$C$151)/360),"")</f>
        <v/>
      </c>
      <c r="P166">
        <f>IFERROR(IF(M166="","",(M166-$C$151)/360),"")</f>
        <v/>
      </c>
      <c r="Q166" t="n">
        <v>0</v>
      </c>
      <c r="R166">
        <f>IFERROR(IF(COUNTIF($A$156:$A$207,"8M")&gt;0,1,0),"")</f>
        <v/>
      </c>
      <c r="S166" s="21">
        <f>IFERROR(IFERROR(INDEX($C$156:$C$207,MATCH("8M",$A$156:$A$207,0)),INDEX($C$156:$C$207,MATCH("8M",$A$156:$A$207,0))),"")</f>
        <v/>
      </c>
      <c r="U166" s="22">
        <f>IFERROR(IF(S166="","",1/(1+(S166/100)*O166)),"")</f>
        <v/>
      </c>
      <c r="V166">
        <f>IFERROR(IF(OR(U166="",Q166=0),0,P166*U166),"")</f>
        <v/>
      </c>
    </row>
    <row r="167">
      <c r="A167" s="10" t="n"/>
      <c r="B167" s="11" t="n"/>
      <c r="C167" s="12" t="n"/>
      <c r="D167" s="12" t="n"/>
      <c r="E167" s="13" t="n"/>
      <c r="F167" s="14">
        <f>IF(OR($A167="",G167=""),"",-LN(G167)/INDEX($N$156:$N$220,IFERROR(MATCH($A167,$K$156:$K$220,0),MATCH(IF($A167="1Y","12M",IF($A167="12M","1Y",$A167)),$K$156:$K$220,0)))*100)</f>
        <v/>
      </c>
      <c r="G167" s="15">
        <f>IF($A167="","",IFERROR(INDEX($U$156:$U$220,IFERROR(MATCH($A167,$K$156:$K$220,0),MATCH(IF($A167="1Y","12M",IF($A167="12M","1Y",$A167)),$K$156:$K$220,0))),""))</f>
        <v/>
      </c>
      <c r="H167" s="16">
        <f>IF(OR(F167="",NOT(ISNUMBER(D167))),"",(F167-D167)*100)</f>
        <v/>
      </c>
      <c r="I167" s="17">
        <f>IF(OR(G167="",NOT(ISNUMBER(E167))),"",G167-E167)</f>
        <v/>
      </c>
      <c r="J167" s="18">
        <f>IF(OR($A167="",NOT(ISNUMBER($B167))),"",IF(ABS($B167-INDEX($M$156:$M$220,IFERROR(MATCH($A167,$K$156:$K$220,0),MATCH(IF($A167="1Y","12M",IF($A167="12M","1Y",$A167)),$K$156:$K$220,0))))&lt;=3,"ok","MISMATCH "&amp;TEXT(INDEX($M$156:$M$220,IFERROR(MATCH($A167,$K$156:$K$220,0),MATCH(IF($A167="1Y","12M",IF($A167="12M","1Y",$A167)),$K$156:$K$220,0))),"mm/dd/yy")))</f>
        <v/>
      </c>
      <c r="K167" s="19" t="inlineStr">
        <is>
          <t>9M</t>
        </is>
      </c>
      <c r="L167" t="n">
        <v>0.75</v>
      </c>
      <c r="M167" s="20">
        <f>IFERROR(IF($C$151="","",IF(MONTH((EDATE($C$152,9))+IF(WEEKDAY((EDATE($C$152,9)),2)=6,2,IF(WEEKDAY((EDATE($C$152,9)),2)=7,1,0)))&lt;&gt;MONTH(EDATE($C$152,9)),(EDATE($C$152,9))-IF(WEEKDAY((EDATE($C$152,9)),2)=6,1,IF(WEEKDAY((EDATE($C$152,9)),2)=7,2,0)),(EDATE($C$152,9))+IF(WEEKDAY((EDATE($C$152,9)),2)=6,2,IF(WEEKDAY((EDATE($C$152,9)),2)=7,1,0)))),"")</f>
        <v/>
      </c>
      <c r="N167">
        <f>IFERROR(IF(M167="","",(M167-$C$151)/365),"")</f>
        <v/>
      </c>
      <c r="O167">
        <f>IFERROR(IF(M167="","",(M167-$C$151)/360),"")</f>
        <v/>
      </c>
      <c r="P167">
        <f>IFERROR(IF(M167="","",(M167-$C$151)/360),"")</f>
        <v/>
      </c>
      <c r="Q167" t="n">
        <v>0</v>
      </c>
      <c r="R167">
        <f>IFERROR(IF(COUNTIF($A$156:$A$207,"9M")&gt;0,1,0),"")</f>
        <v/>
      </c>
      <c r="S167" s="21">
        <f>IFERROR(IFERROR(INDEX($C$156:$C$207,MATCH("9M",$A$156:$A$207,0)),INDEX($C$156:$C$207,MATCH("9M",$A$156:$A$207,0))),"")</f>
        <v/>
      </c>
      <c r="U167" s="22">
        <f>IFERROR(IF(S167="","",1/(1+(S167/100)*O167)),"")</f>
        <v/>
      </c>
      <c r="V167">
        <f>IFERROR(IF(OR(U167="",Q167=0),0,P167*U167),"")</f>
        <v/>
      </c>
    </row>
    <row r="168">
      <c r="A168" s="10" t="n"/>
      <c r="B168" s="11" t="n"/>
      <c r="C168" s="12" t="n"/>
      <c r="D168" s="12" t="n"/>
      <c r="E168" s="13" t="n"/>
      <c r="F168" s="14">
        <f>IF(OR($A168="",G168=""),"",-LN(G168)/INDEX($N$156:$N$220,IFERROR(MATCH($A168,$K$156:$K$220,0),MATCH(IF($A168="1Y","12M",IF($A168="12M","1Y",$A168)),$K$156:$K$220,0)))*100)</f>
        <v/>
      </c>
      <c r="G168" s="15">
        <f>IF($A168="","",IFERROR(INDEX($U$156:$U$220,IFERROR(MATCH($A168,$K$156:$K$220,0),MATCH(IF($A168="1Y","12M",IF($A168="12M","1Y",$A168)),$K$156:$K$220,0))),""))</f>
        <v/>
      </c>
      <c r="H168" s="16">
        <f>IF(OR(F168="",NOT(ISNUMBER(D168))),"",(F168-D168)*100)</f>
        <v/>
      </c>
      <c r="I168" s="17">
        <f>IF(OR(G168="",NOT(ISNUMBER(E168))),"",G168-E168)</f>
        <v/>
      </c>
      <c r="J168" s="18">
        <f>IF(OR($A168="",NOT(ISNUMBER($B168))),"",IF(ABS($B168-INDEX($M$156:$M$220,IFERROR(MATCH($A168,$K$156:$K$220,0),MATCH(IF($A168="1Y","12M",IF($A168="12M","1Y",$A168)),$K$156:$K$220,0))))&lt;=3,"ok","MISMATCH "&amp;TEXT(INDEX($M$156:$M$220,IFERROR(MATCH($A168,$K$156:$K$220,0),MATCH(IF($A168="1Y","12M",IF($A168="12M","1Y",$A168)),$K$156:$K$220,0))),"mm/dd/yy")))</f>
        <v/>
      </c>
      <c r="K168" s="19" t="inlineStr">
        <is>
          <t>10M</t>
        </is>
      </c>
      <c r="L168" t="n">
        <v>0.8333333333333334</v>
      </c>
      <c r="M168" s="20">
        <f>IFERROR(IF($C$151="","",IF(MONTH((EDATE($C$152,10))+IF(WEEKDAY((EDATE($C$152,10)),2)=6,2,IF(WEEKDAY((EDATE($C$152,10)),2)=7,1,0)))&lt;&gt;MONTH(EDATE($C$152,10)),(EDATE($C$152,10))-IF(WEEKDAY((EDATE($C$152,10)),2)=6,1,IF(WEEKDAY((EDATE($C$152,10)),2)=7,2,0)),(EDATE($C$152,10))+IF(WEEKDAY((EDATE($C$152,10)),2)=6,2,IF(WEEKDAY((EDATE($C$152,10)),2)=7,1,0)))),"")</f>
        <v/>
      </c>
      <c r="N168">
        <f>IFERROR(IF(M168="","",(M168-$C$151)/365),"")</f>
        <v/>
      </c>
      <c r="O168">
        <f>IFERROR(IF(M168="","",(M168-$C$151)/360),"")</f>
        <v/>
      </c>
      <c r="P168">
        <f>IFERROR(IF(M168="","",(M168-$C$151)/360),"")</f>
        <v/>
      </c>
      <c r="Q168" t="n">
        <v>0</v>
      </c>
      <c r="R168">
        <f>IFERROR(IF(COUNTIF($A$156:$A$207,"10M")&gt;0,1,0),"")</f>
        <v/>
      </c>
      <c r="S168" s="21">
        <f>IFERROR(IFERROR(INDEX($C$156:$C$207,MATCH("10M",$A$156:$A$207,0)),INDEX($C$156:$C$207,MATCH("10M",$A$156:$A$207,0))),"")</f>
        <v/>
      </c>
      <c r="U168" s="22">
        <f>IFERROR(IF(S168="","",1/(1+(S168/100)*O168)),"")</f>
        <v/>
      </c>
      <c r="V168">
        <f>IFERROR(IF(OR(U168="",Q168=0),0,P168*U168),"")</f>
        <v/>
      </c>
    </row>
    <row r="169">
      <c r="A169" s="10" t="n"/>
      <c r="B169" s="11" t="n"/>
      <c r="C169" s="12" t="n"/>
      <c r="D169" s="12" t="n"/>
      <c r="E169" s="13" t="n"/>
      <c r="F169" s="14">
        <f>IF(OR($A169="",G169=""),"",-LN(G169)/INDEX($N$156:$N$220,IFERROR(MATCH($A169,$K$156:$K$220,0),MATCH(IF($A169="1Y","12M",IF($A169="12M","1Y",$A169)),$K$156:$K$220,0)))*100)</f>
        <v/>
      </c>
      <c r="G169" s="15">
        <f>IF($A169="","",IFERROR(INDEX($U$156:$U$220,IFERROR(MATCH($A169,$K$156:$K$220,0),MATCH(IF($A169="1Y","12M",IF($A169="12M","1Y",$A169)),$K$156:$K$220,0))),""))</f>
        <v/>
      </c>
      <c r="H169" s="16">
        <f>IF(OR(F169="",NOT(ISNUMBER(D169))),"",(F169-D169)*100)</f>
        <v/>
      </c>
      <c r="I169" s="17">
        <f>IF(OR(G169="",NOT(ISNUMBER(E169))),"",G169-E169)</f>
        <v/>
      </c>
      <c r="J169" s="18">
        <f>IF(OR($A169="",NOT(ISNUMBER($B169))),"",IF(ABS($B169-INDEX($M$156:$M$220,IFERROR(MATCH($A169,$K$156:$K$220,0),MATCH(IF($A169="1Y","12M",IF($A169="12M","1Y",$A169)),$K$156:$K$220,0))))&lt;=3,"ok","MISMATCH "&amp;TEXT(INDEX($M$156:$M$220,IFERROR(MATCH($A169,$K$156:$K$220,0),MATCH(IF($A169="1Y","12M",IF($A169="12M","1Y",$A169)),$K$156:$K$220,0))),"mm/dd/yy")))</f>
        <v/>
      </c>
      <c r="K169" s="19" t="inlineStr">
        <is>
          <t>11M</t>
        </is>
      </c>
      <c r="L169" t="n">
        <v>0.9166666666666666</v>
      </c>
      <c r="M169" s="20">
        <f>IFERROR(IF($C$151="","",IF(MONTH((EDATE($C$152,11))+IF(WEEKDAY((EDATE($C$152,11)),2)=6,2,IF(WEEKDAY((EDATE($C$152,11)),2)=7,1,0)))&lt;&gt;MONTH(EDATE($C$152,11)),(EDATE($C$152,11))-IF(WEEKDAY((EDATE($C$152,11)),2)=6,1,IF(WEEKDAY((EDATE($C$152,11)),2)=7,2,0)),(EDATE($C$152,11))+IF(WEEKDAY((EDATE($C$152,11)),2)=6,2,IF(WEEKDAY((EDATE($C$152,11)),2)=7,1,0)))),"")</f>
        <v/>
      </c>
      <c r="N169">
        <f>IFERROR(IF(M169="","",(M169-$C$151)/365),"")</f>
        <v/>
      </c>
      <c r="O169">
        <f>IFERROR(IF(M169="","",(M169-$C$151)/360),"")</f>
        <v/>
      </c>
      <c r="P169">
        <f>IFERROR(IF(M169="","",(M169-$C$151)/360),"")</f>
        <v/>
      </c>
      <c r="Q169" t="n">
        <v>0</v>
      </c>
      <c r="R169">
        <f>IFERROR(IF(COUNTIF($A$156:$A$207,"11M")&gt;0,1,0),"")</f>
        <v/>
      </c>
      <c r="S169" s="21">
        <f>IFERROR(IFERROR(INDEX($C$156:$C$207,MATCH("11M",$A$156:$A$207,0)),INDEX($C$156:$C$207,MATCH("11M",$A$156:$A$207,0))),"")</f>
        <v/>
      </c>
      <c r="U169" s="22">
        <f>IFERROR(IF(S169="","",1/(1+(S169/100)*O169)),"")</f>
        <v/>
      </c>
      <c r="V169">
        <f>IFERROR(IF(OR(U169="",Q169=0),0,P169*U169),"")</f>
        <v/>
      </c>
    </row>
    <row r="170">
      <c r="A170" s="10" t="n"/>
      <c r="B170" s="11" t="n"/>
      <c r="C170" s="12" t="n"/>
      <c r="D170" s="12" t="n"/>
      <c r="E170" s="13" t="n"/>
      <c r="F170" s="14">
        <f>IF(OR($A170="",G170=""),"",-LN(G170)/INDEX($N$156:$N$220,IFERROR(MATCH($A170,$K$156:$K$220,0),MATCH(IF($A170="1Y","12M",IF($A170="12M","1Y",$A170)),$K$156:$K$220,0)))*100)</f>
        <v/>
      </c>
      <c r="G170" s="15">
        <f>IF($A170="","",IFERROR(INDEX($U$156:$U$220,IFERROR(MATCH($A170,$K$156:$K$220,0),MATCH(IF($A170="1Y","12M",IF($A170="12M","1Y",$A170)),$K$156:$K$220,0))),""))</f>
        <v/>
      </c>
      <c r="H170" s="16">
        <f>IF(OR(F170="",NOT(ISNUMBER(D170))),"",(F170-D170)*100)</f>
        <v/>
      </c>
      <c r="I170" s="17">
        <f>IF(OR(G170="",NOT(ISNUMBER(E170))),"",G170-E170)</f>
        <v/>
      </c>
      <c r="J170" s="18">
        <f>IF(OR($A170="",NOT(ISNUMBER($B170))),"",IF(ABS($B170-INDEX($M$156:$M$220,IFERROR(MATCH($A170,$K$156:$K$220,0),MATCH(IF($A170="1Y","12M",IF($A170="12M","1Y",$A170)),$K$156:$K$220,0))))&lt;=3,"ok","MISMATCH "&amp;TEXT(INDEX($M$156:$M$220,IFERROR(MATCH($A170,$K$156:$K$220,0),MATCH(IF($A170="1Y","12M",IF($A170="12M","1Y",$A170)),$K$156:$K$220,0))),"mm/dd/yy")))</f>
        <v/>
      </c>
      <c r="K170" s="19" t="inlineStr">
        <is>
          <t>12M</t>
        </is>
      </c>
      <c r="L170" t="n">
        <v>1</v>
      </c>
      <c r="M170" s="20">
        <f>IFERROR(IF($C$151="","",IF(MONTH((EDATE($C$152,12))+IF(WEEKDAY((EDATE($C$152,12)),2)=6,2,IF(WEEKDAY((EDATE($C$152,12)),2)=7,1,0)))&lt;&gt;MONTH(EDATE($C$152,12)),(EDATE($C$152,12))-IF(WEEKDAY((EDATE($C$152,12)),2)=6,1,IF(WEEKDAY((EDATE($C$152,12)),2)=7,2,0)),(EDATE($C$152,12))+IF(WEEKDAY((EDATE($C$152,12)),2)=6,2,IF(WEEKDAY((EDATE($C$152,12)),2)=7,1,0)))),"")</f>
        <v/>
      </c>
      <c r="N170">
        <f>IFERROR(IF(M170="","",(M170-$C$151)/365),"")</f>
        <v/>
      </c>
      <c r="O170">
        <f>IFERROR(IF(M170="","",(M170-$C$151)/360),"")</f>
        <v/>
      </c>
      <c r="P170">
        <f>IFERROR(IF(M170="","",(M170-$C$151)/360),"")</f>
        <v/>
      </c>
      <c r="Q170" t="n">
        <v>1</v>
      </c>
      <c r="R170">
        <f>IFERROR(IF(COUNTIF($A$156:$A$207,"12M")+COUNTIF($A$156:$A$207,"1Y")&gt;0,1,0),"")</f>
        <v/>
      </c>
      <c r="S170" s="21">
        <f>IFERROR(IFERROR(INDEX($C$156:$C$207,MATCH("12M",$A$156:$A$207,0)),INDEX($C$156:$C$207,MATCH("1Y",$A$156:$A$207,0))),"")</f>
        <v/>
      </c>
      <c r="U170" s="22">
        <f>IFERROR(IF(S170="","",1/(1+(S170/100)*O170)),"")</f>
        <v/>
      </c>
      <c r="V170">
        <f>IFERROR(IF(OR(U170="",Q170=0),0,P170*U170),"")</f>
        <v/>
      </c>
    </row>
    <row r="171">
      <c r="A171" s="10" t="n"/>
      <c r="B171" s="11" t="n"/>
      <c r="C171" s="12" t="n"/>
      <c r="D171" s="12" t="n"/>
      <c r="E171" s="13" t="n"/>
      <c r="F171" s="14">
        <f>IF(OR($A171="",G171=""),"",-LN(G171)/INDEX($N$156:$N$220,IFERROR(MATCH($A171,$K$156:$K$220,0),MATCH(IF($A171="1Y","12M",IF($A171="12M","1Y",$A171)),$K$156:$K$220,0)))*100)</f>
        <v/>
      </c>
      <c r="G171" s="15">
        <f>IF($A171="","",IFERROR(INDEX($U$156:$U$220,IFERROR(MATCH($A171,$K$156:$K$220,0),MATCH(IF($A171="1Y","12M",IF($A171="12M","1Y",$A171)),$K$156:$K$220,0))),""))</f>
        <v/>
      </c>
      <c r="H171" s="16">
        <f>IF(OR(F171="",NOT(ISNUMBER(D171))),"",(F171-D171)*100)</f>
        <v/>
      </c>
      <c r="I171" s="17">
        <f>IF(OR(G171="",NOT(ISNUMBER(E171))),"",G171-E171)</f>
        <v/>
      </c>
      <c r="J171" s="18">
        <f>IF(OR($A171="",NOT(ISNUMBER($B171))),"",IF(ABS($B171-INDEX($M$156:$M$220,IFERROR(MATCH($A171,$K$156:$K$220,0),MATCH(IF($A171="1Y","12M",IF($A171="12M","1Y",$A171)),$K$156:$K$220,0))))&lt;=3,"ok","MISMATCH "&amp;TEXT(INDEX($M$156:$M$220,IFERROR(MATCH($A171,$K$156:$K$220,0),MATCH(IF($A171="1Y","12M",IF($A171="12M","1Y",$A171)),$K$156:$K$220,0))),"mm/dd/yy")))</f>
        <v/>
      </c>
      <c r="K171" s="19" t="inlineStr">
        <is>
          <t>18M</t>
        </is>
      </c>
      <c r="L171" t="n">
        <v>1.5</v>
      </c>
      <c r="M171" s="20">
        <f>IFERROR(IF($C$151="","",IF(MONTH((EDATE($C$152,18))+IF(WEEKDAY((EDATE($C$152,18)),2)=6,2,IF(WEEKDAY((EDATE($C$152,18)),2)=7,1,0)))&lt;&gt;MONTH(EDATE($C$152,18)),(EDATE($C$152,18))-IF(WEEKDAY((EDATE($C$152,18)),2)=6,1,IF(WEEKDAY((EDATE($C$152,18)),2)=7,2,0)),(EDATE($C$152,18))+IF(WEEKDAY((EDATE($C$152,18)),2)=6,2,IF(WEEKDAY((EDATE($C$152,18)),2)=7,1,0)))),"")</f>
        <v/>
      </c>
      <c r="N171">
        <f>IFERROR(IF(M171="","",(M171-$C$151)/365),"")</f>
        <v/>
      </c>
      <c r="O171">
        <f>IFERROR(IF(M171="","",(M171-$C$152)/360),"")</f>
        <v/>
      </c>
      <c r="P171">
        <f>IFERROR(IF(M171="","",(M171-M170)/360),"")</f>
        <v/>
      </c>
      <c r="Q171" t="n">
        <v>0</v>
      </c>
      <c r="R171">
        <f>IFERROR(IF(COUNTIF($A$156:$A$207,"18M")&gt;0,1,0),"")</f>
        <v/>
      </c>
      <c r="S171" s="21">
        <f>IFERROR(IFERROR(INDEX($C$156:$C$207,MATCH("18M",$A$156:$A$207,0)),INDEX($C$156:$C$207,MATCH("18M",$A$156:$A$207,0))),"")</f>
        <v/>
      </c>
      <c r="U171" s="22">
        <f>IFERROR(IF(S171="","",(1-(S171/100)*SUM($V$156:V170))/(1+(S171/100)*P171)),"")</f>
        <v/>
      </c>
      <c r="V171">
        <f>IFERROR(IF(OR(U171="",Q171=0),0,P171*U171),"")</f>
        <v/>
      </c>
    </row>
    <row r="172">
      <c r="A172" s="10" t="n"/>
      <c r="B172" s="11" t="n"/>
      <c r="C172" s="12" t="n"/>
      <c r="D172" s="12" t="n"/>
      <c r="E172" s="13" t="n"/>
      <c r="F172" s="14">
        <f>IF(OR($A172="",G172=""),"",-LN(G172)/INDEX($N$156:$N$220,IFERROR(MATCH($A172,$K$156:$K$220,0),MATCH(IF($A172="1Y","12M",IF($A172="12M","1Y",$A172)),$K$156:$K$220,0)))*100)</f>
        <v/>
      </c>
      <c r="G172" s="15">
        <f>IF($A172="","",IFERROR(INDEX($U$156:$U$220,IFERROR(MATCH($A172,$K$156:$K$220,0),MATCH(IF($A172="1Y","12M",IF($A172="12M","1Y",$A172)),$K$156:$K$220,0))),""))</f>
        <v/>
      </c>
      <c r="H172" s="16">
        <f>IF(OR(F172="",NOT(ISNUMBER(D172))),"",(F172-D172)*100)</f>
        <v/>
      </c>
      <c r="I172" s="17">
        <f>IF(OR(G172="",NOT(ISNUMBER(E172))),"",G172-E172)</f>
        <v/>
      </c>
      <c r="J172" s="18">
        <f>IF(OR($A172="",NOT(ISNUMBER($B172))),"",IF(ABS($B172-INDEX($M$156:$M$220,IFERROR(MATCH($A172,$K$156:$K$220,0),MATCH(IF($A172="1Y","12M",IF($A172="12M","1Y",$A172)),$K$156:$K$220,0))))&lt;=3,"ok","MISMATCH "&amp;TEXT(INDEX($M$156:$M$220,IFERROR(MATCH($A172,$K$156:$K$220,0),MATCH(IF($A172="1Y","12M",IF($A172="12M","1Y",$A172)),$K$156:$K$220,0))),"mm/dd/yy")))</f>
        <v/>
      </c>
      <c r="K172" s="19" t="inlineStr">
        <is>
          <t>2Y</t>
        </is>
      </c>
      <c r="L172" t="n">
        <v>2</v>
      </c>
      <c r="M172" s="20">
        <f>IFERROR(IF($C$151="","",IF(MONTH((EDATE($C$152,24))+IF(WEEKDAY((EDATE($C$152,24)),2)=6,2,IF(WEEKDAY((EDATE($C$152,24)),2)=7,1,0)))&lt;&gt;MONTH(EDATE($C$152,24)),(EDATE($C$152,24))-IF(WEEKDAY((EDATE($C$152,24)),2)=6,1,IF(WEEKDAY((EDATE($C$152,24)),2)=7,2,0)),(EDATE($C$152,24))+IF(WEEKDAY((EDATE($C$152,24)),2)=6,2,IF(WEEKDAY((EDATE($C$152,24)),2)=7,1,0)))),"")</f>
        <v/>
      </c>
      <c r="N172">
        <f>IFERROR(IF(M172="","",(M172-$C$151)/365),"")</f>
        <v/>
      </c>
      <c r="O172">
        <f>IFERROR(IF(M172="","",(M172-$C$152)/360),"")</f>
        <v/>
      </c>
      <c r="P172">
        <f>IFERROR(IF(M172="","",(M172-M170)/360),"")</f>
        <v/>
      </c>
      <c r="Q172" t="n">
        <v>1</v>
      </c>
      <c r="R172">
        <f>IFERROR(IF(COUNTIF($A$156:$A$207,"2Y")&gt;0,1,0),"")</f>
        <v/>
      </c>
      <c r="S172" s="21">
        <f>IFERROR(IFERROR(INDEX($C$156:$C$207,MATCH("2Y",$A$156:$A$207,0)),INDEX($C$156:$C$207,MATCH("2Y",$A$156:$A$207,0))),"")</f>
        <v/>
      </c>
      <c r="U172" s="22">
        <f>IFERROR(IF(S172="","",(1-(S172/100)*SUM($V$156:V171))/(1+(S172/100)*P172)),"")</f>
        <v/>
      </c>
      <c r="V172">
        <f>IFERROR(IF(OR(U172="",Q172=0),0,P172*U172),"")</f>
        <v/>
      </c>
    </row>
    <row r="173">
      <c r="A173" s="10" t="n"/>
      <c r="B173" s="11" t="n"/>
      <c r="C173" s="12" t="n"/>
      <c r="D173" s="12" t="n"/>
      <c r="E173" s="13" t="n"/>
      <c r="F173" s="14">
        <f>IF(OR($A173="",G173=""),"",-LN(G173)/INDEX($N$156:$N$220,IFERROR(MATCH($A173,$K$156:$K$220,0),MATCH(IF($A173="1Y","12M",IF($A173="12M","1Y",$A173)),$K$156:$K$220,0)))*100)</f>
        <v/>
      </c>
      <c r="G173" s="15">
        <f>IF($A173="","",IFERROR(INDEX($U$156:$U$220,IFERROR(MATCH($A173,$K$156:$K$220,0),MATCH(IF($A173="1Y","12M",IF($A173="12M","1Y",$A173)),$K$156:$K$220,0))),""))</f>
        <v/>
      </c>
      <c r="H173" s="16">
        <f>IF(OR(F173="",NOT(ISNUMBER(D173))),"",(F173-D173)*100)</f>
        <v/>
      </c>
      <c r="I173" s="17">
        <f>IF(OR(G173="",NOT(ISNUMBER(E173))),"",G173-E173)</f>
        <v/>
      </c>
      <c r="J173" s="18">
        <f>IF(OR($A173="",NOT(ISNUMBER($B173))),"",IF(ABS($B173-INDEX($M$156:$M$220,IFERROR(MATCH($A173,$K$156:$K$220,0),MATCH(IF($A173="1Y","12M",IF($A173="12M","1Y",$A173)),$K$156:$K$220,0))))&lt;=3,"ok","MISMATCH "&amp;TEXT(INDEX($M$156:$M$220,IFERROR(MATCH($A173,$K$156:$K$220,0),MATCH(IF($A173="1Y","12M",IF($A173="12M","1Y",$A173)),$K$156:$K$220,0))),"mm/dd/yy")))</f>
        <v/>
      </c>
      <c r="K173" s="19" t="inlineStr">
        <is>
          <t>3Y</t>
        </is>
      </c>
      <c r="L173" t="n">
        <v>3</v>
      </c>
      <c r="M173" s="20">
        <f>IFERROR(IF($C$151="","",IF(MONTH((EDATE($C$152,36))+IF(WEEKDAY((EDATE($C$152,36)),2)=6,2,IF(WEEKDAY((EDATE($C$152,36)),2)=7,1,0)))&lt;&gt;MONTH(EDATE($C$152,36)),(EDATE($C$152,36))-IF(WEEKDAY((EDATE($C$152,36)),2)=6,1,IF(WEEKDAY((EDATE($C$152,36)),2)=7,2,0)),(EDATE($C$152,36))+IF(WEEKDAY((EDATE($C$152,36)),2)=6,2,IF(WEEKDAY((EDATE($C$152,36)),2)=7,1,0)))),"")</f>
        <v/>
      </c>
      <c r="N173">
        <f>IFERROR(IF(M173="","",(M173-$C$151)/365),"")</f>
        <v/>
      </c>
      <c r="O173">
        <f>IFERROR(IF(M173="","",(M173-$C$152)/360),"")</f>
        <v/>
      </c>
      <c r="P173">
        <f>IFERROR(IF(M173="","",(M173-M172)/360),"")</f>
        <v/>
      </c>
      <c r="Q173" t="n">
        <v>1</v>
      </c>
      <c r="R173">
        <f>IFERROR(IF(COUNTIF($A$156:$A$207,"3Y")&gt;0,1,0),"")</f>
        <v/>
      </c>
      <c r="S173" s="21">
        <f>IFERROR(IFERROR(INDEX($C$156:$C$207,MATCH("3Y",$A$156:$A$207,0)),INDEX($C$156:$C$207,MATCH("3Y",$A$156:$A$207,0))),"")</f>
        <v/>
      </c>
      <c r="U173" s="22">
        <f>IFERROR(IF(S173="","",(1-(S173/100)*SUM($V$156:V172))/(1+(S173/100)*P173)),"")</f>
        <v/>
      </c>
      <c r="V173">
        <f>IFERROR(IF(OR(U173="",Q173=0),0,P173*U173),"")</f>
        <v/>
      </c>
    </row>
    <row r="174">
      <c r="A174" s="10" t="n"/>
      <c r="B174" s="11" t="n"/>
      <c r="C174" s="12" t="n"/>
      <c r="D174" s="12" t="n"/>
      <c r="E174" s="13" t="n"/>
      <c r="F174" s="14">
        <f>IF(OR($A174="",G174=""),"",-LN(G174)/INDEX($N$156:$N$220,IFERROR(MATCH($A174,$K$156:$K$220,0),MATCH(IF($A174="1Y","12M",IF($A174="12M","1Y",$A174)),$K$156:$K$220,0)))*100)</f>
        <v/>
      </c>
      <c r="G174" s="15">
        <f>IF($A174="","",IFERROR(INDEX($U$156:$U$220,IFERROR(MATCH($A174,$K$156:$K$220,0),MATCH(IF($A174="1Y","12M",IF($A174="12M","1Y",$A174)),$K$156:$K$220,0))),""))</f>
        <v/>
      </c>
      <c r="H174" s="16">
        <f>IF(OR(F174="",NOT(ISNUMBER(D174))),"",(F174-D174)*100)</f>
        <v/>
      </c>
      <c r="I174" s="17">
        <f>IF(OR(G174="",NOT(ISNUMBER(E174))),"",G174-E174)</f>
        <v/>
      </c>
      <c r="J174" s="18">
        <f>IF(OR($A174="",NOT(ISNUMBER($B174))),"",IF(ABS($B174-INDEX($M$156:$M$220,IFERROR(MATCH($A174,$K$156:$K$220,0),MATCH(IF($A174="1Y","12M",IF($A174="12M","1Y",$A174)),$K$156:$K$220,0))))&lt;=3,"ok","MISMATCH "&amp;TEXT(INDEX($M$156:$M$220,IFERROR(MATCH($A174,$K$156:$K$220,0),MATCH(IF($A174="1Y","12M",IF($A174="12M","1Y",$A174)),$K$156:$K$220,0))),"mm/dd/yy")))</f>
        <v/>
      </c>
      <c r="K174" s="19" t="inlineStr">
        <is>
          <t>4Y</t>
        </is>
      </c>
      <c r="L174" t="n">
        <v>4</v>
      </c>
      <c r="M174" s="20">
        <f>IFERROR(IF($C$151="","",IF(MONTH((EDATE($C$152,48))+IF(WEEKDAY((EDATE($C$152,48)),2)=6,2,IF(WEEKDAY((EDATE($C$152,48)),2)=7,1,0)))&lt;&gt;MONTH(EDATE($C$152,48)),(EDATE($C$152,48))-IF(WEEKDAY((EDATE($C$152,48)),2)=6,1,IF(WEEKDAY((EDATE($C$152,48)),2)=7,2,0)),(EDATE($C$152,48))+IF(WEEKDAY((EDATE($C$152,48)),2)=6,2,IF(WEEKDAY((EDATE($C$152,48)),2)=7,1,0)))),"")</f>
        <v/>
      </c>
      <c r="N174">
        <f>IFERROR(IF(M174="","",(M174-$C$151)/365),"")</f>
        <v/>
      </c>
      <c r="O174">
        <f>IFERROR(IF(M174="","",(M174-$C$152)/360),"")</f>
        <v/>
      </c>
      <c r="P174">
        <f>IFERROR(IF(M174="","",(M174-M173)/360),"")</f>
        <v/>
      </c>
      <c r="Q174" t="n">
        <v>1</v>
      </c>
      <c r="R174">
        <f>IFERROR(IF(COUNTIF($A$156:$A$207,"4Y")&gt;0,1,0),"")</f>
        <v/>
      </c>
      <c r="S174" s="21">
        <f>IFERROR(IFERROR(INDEX($C$156:$C$207,MATCH("4Y",$A$156:$A$207,0)),INDEX($C$156:$C$207,MATCH("4Y",$A$156:$A$207,0))),"")</f>
        <v/>
      </c>
      <c r="U174" s="22">
        <f>IFERROR(IF(S174="","",(1-(S174/100)*SUM($V$156:V173))/(1+(S174/100)*P174)),"")</f>
        <v/>
      </c>
      <c r="V174">
        <f>IFERROR(IF(OR(U174="",Q174=0),0,P174*U174),"")</f>
        <v/>
      </c>
    </row>
    <row r="175">
      <c r="A175" s="10" t="n"/>
      <c r="B175" s="11" t="n"/>
      <c r="C175" s="12" t="n"/>
      <c r="D175" s="12" t="n"/>
      <c r="E175" s="13" t="n"/>
      <c r="F175" s="14">
        <f>IF(OR($A175="",G175=""),"",-LN(G175)/INDEX($N$156:$N$220,IFERROR(MATCH($A175,$K$156:$K$220,0),MATCH(IF($A175="1Y","12M",IF($A175="12M","1Y",$A175)),$K$156:$K$220,0)))*100)</f>
        <v/>
      </c>
      <c r="G175" s="15">
        <f>IF($A175="","",IFERROR(INDEX($U$156:$U$220,IFERROR(MATCH($A175,$K$156:$K$220,0),MATCH(IF($A175="1Y","12M",IF($A175="12M","1Y",$A175)),$K$156:$K$220,0))),""))</f>
        <v/>
      </c>
      <c r="H175" s="16">
        <f>IF(OR(F175="",NOT(ISNUMBER(D175))),"",(F175-D175)*100)</f>
        <v/>
      </c>
      <c r="I175" s="17">
        <f>IF(OR(G175="",NOT(ISNUMBER(E175))),"",G175-E175)</f>
        <v/>
      </c>
      <c r="J175" s="18">
        <f>IF(OR($A175="",NOT(ISNUMBER($B175))),"",IF(ABS($B175-INDEX($M$156:$M$220,IFERROR(MATCH($A175,$K$156:$K$220,0),MATCH(IF($A175="1Y","12M",IF($A175="12M","1Y",$A175)),$K$156:$K$220,0))))&lt;=3,"ok","MISMATCH "&amp;TEXT(INDEX($M$156:$M$220,IFERROR(MATCH($A175,$K$156:$K$220,0),MATCH(IF($A175="1Y","12M",IF($A175="12M","1Y",$A175)),$K$156:$K$220,0))),"mm/dd/yy")))</f>
        <v/>
      </c>
      <c r="K175" s="19" t="inlineStr">
        <is>
          <t>5Y</t>
        </is>
      </c>
      <c r="L175" t="n">
        <v>5</v>
      </c>
      <c r="M175" s="20">
        <f>IFERROR(IF($C$151="","",IF(MONTH((EDATE($C$152,60))+IF(WEEKDAY((EDATE($C$152,60)),2)=6,2,IF(WEEKDAY((EDATE($C$152,60)),2)=7,1,0)))&lt;&gt;MONTH(EDATE($C$152,60)),(EDATE($C$152,60))-IF(WEEKDAY((EDATE($C$152,60)),2)=6,1,IF(WEEKDAY((EDATE($C$152,60)),2)=7,2,0)),(EDATE($C$152,60))+IF(WEEKDAY((EDATE($C$152,60)),2)=6,2,IF(WEEKDAY((EDATE($C$152,60)),2)=7,1,0)))),"")</f>
        <v/>
      </c>
      <c r="N175">
        <f>IFERROR(IF(M175="","",(M175-$C$151)/365),"")</f>
        <v/>
      </c>
      <c r="O175">
        <f>IFERROR(IF(M175="","",(M175-$C$152)/360),"")</f>
        <v/>
      </c>
      <c r="P175">
        <f>IFERROR(IF(M175="","",(M175-M174)/360),"")</f>
        <v/>
      </c>
      <c r="Q175" t="n">
        <v>1</v>
      </c>
      <c r="R175">
        <f>IFERROR(IF(COUNTIF($A$156:$A$207,"5Y")&gt;0,1,0),"")</f>
        <v/>
      </c>
      <c r="S175" s="21">
        <f>IFERROR(IFERROR(INDEX($C$156:$C$207,MATCH("5Y",$A$156:$A$207,0)),INDEX($C$156:$C$207,MATCH("5Y",$A$156:$A$207,0))),"")</f>
        <v/>
      </c>
      <c r="U175" s="22">
        <f>IFERROR(IF(S175="","",(1-(S175/100)*SUM($V$156:V174))/(1+(S175/100)*P175)),"")</f>
        <v/>
      </c>
      <c r="V175">
        <f>IFERROR(IF(OR(U175="",Q175=0),0,P175*U175),"")</f>
        <v/>
      </c>
    </row>
    <row r="176">
      <c r="A176" s="10" t="n"/>
      <c r="B176" s="11" t="n"/>
      <c r="C176" s="12" t="n"/>
      <c r="D176" s="12" t="n"/>
      <c r="E176" s="13" t="n"/>
      <c r="F176" s="14">
        <f>IF(OR($A176="",G176=""),"",-LN(G176)/INDEX($N$156:$N$220,IFERROR(MATCH($A176,$K$156:$K$220,0),MATCH(IF($A176="1Y","12M",IF($A176="12M","1Y",$A176)),$K$156:$K$220,0)))*100)</f>
        <v/>
      </c>
      <c r="G176" s="15">
        <f>IF($A176="","",IFERROR(INDEX($U$156:$U$220,IFERROR(MATCH($A176,$K$156:$K$220,0),MATCH(IF($A176="1Y","12M",IF($A176="12M","1Y",$A176)),$K$156:$K$220,0))),""))</f>
        <v/>
      </c>
      <c r="H176" s="16">
        <f>IF(OR(F176="",NOT(ISNUMBER(D176))),"",(F176-D176)*100)</f>
        <v/>
      </c>
      <c r="I176" s="17">
        <f>IF(OR(G176="",NOT(ISNUMBER(E176))),"",G176-E176)</f>
        <v/>
      </c>
      <c r="J176" s="18">
        <f>IF(OR($A176="",NOT(ISNUMBER($B176))),"",IF(ABS($B176-INDEX($M$156:$M$220,IFERROR(MATCH($A176,$K$156:$K$220,0),MATCH(IF($A176="1Y","12M",IF($A176="12M","1Y",$A176)),$K$156:$K$220,0))))&lt;=3,"ok","MISMATCH "&amp;TEXT(INDEX($M$156:$M$220,IFERROR(MATCH($A176,$K$156:$K$220,0),MATCH(IF($A176="1Y","12M",IF($A176="12M","1Y",$A176)),$K$156:$K$220,0))),"mm/dd/yy")))</f>
        <v/>
      </c>
      <c r="K176" s="19" t="inlineStr">
        <is>
          <t>6Y</t>
        </is>
      </c>
      <c r="L176" t="n">
        <v>6</v>
      </c>
      <c r="M176" s="20">
        <f>IFERROR(IF($C$151="","",IF(MONTH((EDATE($C$152,72))+IF(WEEKDAY((EDATE($C$152,72)),2)=6,2,IF(WEEKDAY((EDATE($C$152,72)),2)=7,1,0)))&lt;&gt;MONTH(EDATE($C$152,72)),(EDATE($C$152,72))-IF(WEEKDAY((EDATE($C$152,72)),2)=6,1,IF(WEEKDAY((EDATE($C$152,72)),2)=7,2,0)),(EDATE($C$152,72))+IF(WEEKDAY((EDATE($C$152,72)),2)=6,2,IF(WEEKDAY((EDATE($C$152,72)),2)=7,1,0)))),"")</f>
        <v/>
      </c>
      <c r="N176">
        <f>IFERROR(IF(M176="","",(M176-$C$151)/365),"")</f>
        <v/>
      </c>
      <c r="O176">
        <f>IFERROR(IF(M176="","",(M176-$C$152)/360),"")</f>
        <v/>
      </c>
      <c r="P176">
        <f>IFERROR(IF(M176="","",(M176-M175)/360),"")</f>
        <v/>
      </c>
      <c r="Q176" t="n">
        <v>1</v>
      </c>
      <c r="R176">
        <f>IFERROR(IF(COUNTIF($A$156:$A$207,"6Y")&gt;0,1,0),"")</f>
        <v/>
      </c>
      <c r="S176" s="21">
        <f>IFERROR(IFERROR(INDEX($C$156:$C$207,MATCH("6Y",$A$156:$A$207,0)),INDEX($C$156:$C$207,MATCH("6Y",$A$156:$A$207,0))),"")</f>
        <v/>
      </c>
      <c r="U176" s="22">
        <f>IFERROR(IF(S176="","",(1-(S176/100)*SUM($V$156:V175))/(1+(S176/100)*P176)),"")</f>
        <v/>
      </c>
      <c r="V176">
        <f>IFERROR(IF(OR(U176="",Q176=0),0,P176*U176),"")</f>
        <v/>
      </c>
    </row>
    <row r="177">
      <c r="A177" s="10" t="n"/>
      <c r="B177" s="11" t="n"/>
      <c r="C177" s="12" t="n"/>
      <c r="D177" s="12" t="n"/>
      <c r="E177" s="13" t="n"/>
      <c r="F177" s="14">
        <f>IF(OR($A177="",G177=""),"",-LN(G177)/INDEX($N$156:$N$220,IFERROR(MATCH($A177,$K$156:$K$220,0),MATCH(IF($A177="1Y","12M",IF($A177="12M","1Y",$A177)),$K$156:$K$220,0)))*100)</f>
        <v/>
      </c>
      <c r="G177" s="15">
        <f>IF($A177="","",IFERROR(INDEX($U$156:$U$220,IFERROR(MATCH($A177,$K$156:$K$220,0),MATCH(IF($A177="1Y","12M",IF($A177="12M","1Y",$A177)),$K$156:$K$220,0))),""))</f>
        <v/>
      </c>
      <c r="H177" s="16">
        <f>IF(OR(F177="",NOT(ISNUMBER(D177))),"",(F177-D177)*100)</f>
        <v/>
      </c>
      <c r="I177" s="17">
        <f>IF(OR(G177="",NOT(ISNUMBER(E177))),"",G177-E177)</f>
        <v/>
      </c>
      <c r="J177" s="18">
        <f>IF(OR($A177="",NOT(ISNUMBER($B177))),"",IF(ABS($B177-INDEX($M$156:$M$220,IFERROR(MATCH($A177,$K$156:$K$220,0),MATCH(IF($A177="1Y","12M",IF($A177="12M","1Y",$A177)),$K$156:$K$220,0))))&lt;=3,"ok","MISMATCH "&amp;TEXT(INDEX($M$156:$M$220,IFERROR(MATCH($A177,$K$156:$K$220,0),MATCH(IF($A177="1Y","12M",IF($A177="12M","1Y",$A177)),$K$156:$K$220,0))),"mm/dd/yy")))</f>
        <v/>
      </c>
      <c r="K177" s="19" t="inlineStr">
        <is>
          <t>7Y</t>
        </is>
      </c>
      <c r="L177" t="n">
        <v>7</v>
      </c>
      <c r="M177" s="20">
        <f>IFERROR(IF($C$151="","",IF(MONTH((EDATE($C$152,84))+IF(WEEKDAY((EDATE($C$152,84)),2)=6,2,IF(WEEKDAY((EDATE($C$152,84)),2)=7,1,0)))&lt;&gt;MONTH(EDATE($C$152,84)),(EDATE($C$152,84))-IF(WEEKDAY((EDATE($C$152,84)),2)=6,1,IF(WEEKDAY((EDATE($C$152,84)),2)=7,2,0)),(EDATE($C$152,84))+IF(WEEKDAY((EDATE($C$152,84)),2)=6,2,IF(WEEKDAY((EDATE($C$152,84)),2)=7,1,0)))),"")</f>
        <v/>
      </c>
      <c r="N177">
        <f>IFERROR(IF(M177="","",(M177-$C$151)/365),"")</f>
        <v/>
      </c>
      <c r="O177">
        <f>IFERROR(IF(M177="","",(M177-$C$152)/360),"")</f>
        <v/>
      </c>
      <c r="P177">
        <f>IFERROR(IF(M177="","",(M177-M176)/360),"")</f>
        <v/>
      </c>
      <c r="Q177" t="n">
        <v>1</v>
      </c>
      <c r="R177">
        <f>IFERROR(IF(COUNTIF($A$156:$A$207,"7Y")&gt;0,1,0),"")</f>
        <v/>
      </c>
      <c r="S177" s="21">
        <f>IFERROR(IFERROR(INDEX($C$156:$C$207,MATCH("7Y",$A$156:$A$207,0)),INDEX($C$156:$C$207,MATCH("7Y",$A$156:$A$207,0))),"")</f>
        <v/>
      </c>
      <c r="U177" s="22">
        <f>IFERROR(IF(S177="","",(1-(S177/100)*SUM($V$156:V176))/(1+(S177/100)*P177)),"")</f>
        <v/>
      </c>
      <c r="V177">
        <f>IFERROR(IF(OR(U177="",Q177=0),0,P177*U177),"")</f>
        <v/>
      </c>
    </row>
    <row r="178">
      <c r="A178" s="10" t="n"/>
      <c r="B178" s="11" t="n"/>
      <c r="C178" s="12" t="n"/>
      <c r="D178" s="12" t="n"/>
      <c r="E178" s="13" t="n"/>
      <c r="F178" s="14">
        <f>IF(OR($A178="",G178=""),"",-LN(G178)/INDEX($N$156:$N$220,IFERROR(MATCH($A178,$K$156:$K$220,0),MATCH(IF($A178="1Y","12M",IF($A178="12M","1Y",$A178)),$K$156:$K$220,0)))*100)</f>
        <v/>
      </c>
      <c r="G178" s="15">
        <f>IF($A178="","",IFERROR(INDEX($U$156:$U$220,IFERROR(MATCH($A178,$K$156:$K$220,0),MATCH(IF($A178="1Y","12M",IF($A178="12M","1Y",$A178)),$K$156:$K$220,0))),""))</f>
        <v/>
      </c>
      <c r="H178" s="16">
        <f>IF(OR(F178="",NOT(ISNUMBER(D178))),"",(F178-D178)*100)</f>
        <v/>
      </c>
      <c r="I178" s="17">
        <f>IF(OR(G178="",NOT(ISNUMBER(E178))),"",G178-E178)</f>
        <v/>
      </c>
      <c r="J178" s="18">
        <f>IF(OR($A178="",NOT(ISNUMBER($B178))),"",IF(ABS($B178-INDEX($M$156:$M$220,IFERROR(MATCH($A178,$K$156:$K$220,0),MATCH(IF($A178="1Y","12M",IF($A178="12M","1Y",$A178)),$K$156:$K$220,0))))&lt;=3,"ok","MISMATCH "&amp;TEXT(INDEX($M$156:$M$220,IFERROR(MATCH($A178,$K$156:$K$220,0),MATCH(IF($A178="1Y","12M",IF($A178="12M","1Y",$A178)),$K$156:$K$220,0))),"mm/dd/yy")))</f>
        <v/>
      </c>
      <c r="K178" s="19" t="inlineStr">
        <is>
          <t>8Y</t>
        </is>
      </c>
      <c r="L178" t="n">
        <v>8</v>
      </c>
      <c r="M178" s="20">
        <f>IFERROR(IF($C$151="","",IF(MONTH((EDATE($C$152,96))+IF(WEEKDAY((EDATE($C$152,96)),2)=6,2,IF(WEEKDAY((EDATE($C$152,96)),2)=7,1,0)))&lt;&gt;MONTH(EDATE($C$152,96)),(EDATE($C$152,96))-IF(WEEKDAY((EDATE($C$152,96)),2)=6,1,IF(WEEKDAY((EDATE($C$152,96)),2)=7,2,0)),(EDATE($C$152,96))+IF(WEEKDAY((EDATE($C$152,96)),2)=6,2,IF(WEEKDAY((EDATE($C$152,96)),2)=7,1,0)))),"")</f>
        <v/>
      </c>
      <c r="N178">
        <f>IFERROR(IF(M178="","",(M178-$C$151)/365),"")</f>
        <v/>
      </c>
      <c r="O178">
        <f>IFERROR(IF(M178="","",(M178-$C$152)/360),"")</f>
        <v/>
      </c>
      <c r="P178">
        <f>IFERROR(IF(M178="","",(M178-M177)/360),"")</f>
        <v/>
      </c>
      <c r="Q178" t="n">
        <v>1</v>
      </c>
      <c r="R178">
        <f>IFERROR(IF(COUNTIF($A$156:$A$207,"8Y")&gt;0,1,0),"")</f>
        <v/>
      </c>
      <c r="S178" s="21">
        <f>IFERROR(IFERROR(INDEX($C$156:$C$207,MATCH("8Y",$A$156:$A$207,0)),INDEX($C$156:$C$207,MATCH("8Y",$A$156:$A$207,0))),"")</f>
        <v/>
      </c>
      <c r="U178" s="22">
        <f>IFERROR(IF(S178="","",(1-(S178/100)*SUM($V$156:V177))/(1+(S178/100)*P178)),"")</f>
        <v/>
      </c>
      <c r="V178">
        <f>IFERROR(IF(OR(U178="",Q178=0),0,P178*U178),"")</f>
        <v/>
      </c>
    </row>
    <row r="179">
      <c r="A179" s="10" t="n"/>
      <c r="B179" s="11" t="n"/>
      <c r="C179" s="12" t="n"/>
      <c r="D179" s="12" t="n"/>
      <c r="E179" s="13" t="n"/>
      <c r="F179" s="14">
        <f>IF(OR($A179="",G179=""),"",-LN(G179)/INDEX($N$156:$N$220,IFERROR(MATCH($A179,$K$156:$K$220,0),MATCH(IF($A179="1Y","12M",IF($A179="12M","1Y",$A179)),$K$156:$K$220,0)))*100)</f>
        <v/>
      </c>
      <c r="G179" s="15">
        <f>IF($A179="","",IFERROR(INDEX($U$156:$U$220,IFERROR(MATCH($A179,$K$156:$K$220,0),MATCH(IF($A179="1Y","12M",IF($A179="12M","1Y",$A179)),$K$156:$K$220,0))),""))</f>
        <v/>
      </c>
      <c r="H179" s="16">
        <f>IF(OR(F179="",NOT(ISNUMBER(D179))),"",(F179-D179)*100)</f>
        <v/>
      </c>
      <c r="I179" s="17">
        <f>IF(OR(G179="",NOT(ISNUMBER(E179))),"",G179-E179)</f>
        <v/>
      </c>
      <c r="J179" s="18">
        <f>IF(OR($A179="",NOT(ISNUMBER($B179))),"",IF(ABS($B179-INDEX($M$156:$M$220,IFERROR(MATCH($A179,$K$156:$K$220,0),MATCH(IF($A179="1Y","12M",IF($A179="12M","1Y",$A179)),$K$156:$K$220,0))))&lt;=3,"ok","MISMATCH "&amp;TEXT(INDEX($M$156:$M$220,IFERROR(MATCH($A179,$K$156:$K$220,0),MATCH(IF($A179="1Y","12M",IF($A179="12M","1Y",$A179)),$K$156:$K$220,0))),"mm/dd/yy")))</f>
        <v/>
      </c>
      <c r="K179" s="19" t="inlineStr">
        <is>
          <t>9Y</t>
        </is>
      </c>
      <c r="L179" t="n">
        <v>9</v>
      </c>
      <c r="M179" s="20">
        <f>IFERROR(IF($C$151="","",IF(MONTH((EDATE($C$152,108))+IF(WEEKDAY((EDATE($C$152,108)),2)=6,2,IF(WEEKDAY((EDATE($C$152,108)),2)=7,1,0)))&lt;&gt;MONTH(EDATE($C$152,108)),(EDATE($C$152,108))-IF(WEEKDAY((EDATE($C$152,108)),2)=6,1,IF(WEEKDAY((EDATE($C$152,108)),2)=7,2,0)),(EDATE($C$152,108))+IF(WEEKDAY((EDATE($C$152,108)),2)=6,2,IF(WEEKDAY((EDATE($C$152,108)),2)=7,1,0)))),"")</f>
        <v/>
      </c>
      <c r="N179">
        <f>IFERROR(IF(M179="","",(M179-$C$151)/365),"")</f>
        <v/>
      </c>
      <c r="O179">
        <f>IFERROR(IF(M179="","",(M179-$C$152)/360),"")</f>
        <v/>
      </c>
      <c r="P179">
        <f>IFERROR(IF(M179="","",(M179-M178)/360),"")</f>
        <v/>
      </c>
      <c r="Q179" t="n">
        <v>1</v>
      </c>
      <c r="R179">
        <f>IFERROR(IF(COUNTIF($A$156:$A$207,"9Y")&gt;0,1,0),"")</f>
        <v/>
      </c>
      <c r="S179" s="21">
        <f>IFERROR(IFERROR(INDEX($C$156:$C$207,MATCH("9Y",$A$156:$A$207,0)),INDEX($C$156:$C$207,MATCH("9Y",$A$156:$A$207,0))),"")</f>
        <v/>
      </c>
      <c r="U179" s="22">
        <f>IFERROR(IF(S179="","",(1-(S179/100)*SUM($V$156:V178))/(1+(S179/100)*P179)),"")</f>
        <v/>
      </c>
      <c r="V179">
        <f>IFERROR(IF(OR(U179="",Q179=0),0,P179*U179),"")</f>
        <v/>
      </c>
    </row>
    <row r="180">
      <c r="A180" s="10" t="n"/>
      <c r="B180" s="11" t="n"/>
      <c r="C180" s="12" t="n"/>
      <c r="D180" s="12" t="n"/>
      <c r="E180" s="13" t="n"/>
      <c r="F180" s="14">
        <f>IF(OR($A180="",G180=""),"",-LN(G180)/INDEX($N$156:$N$220,IFERROR(MATCH($A180,$K$156:$K$220,0),MATCH(IF($A180="1Y","12M",IF($A180="12M","1Y",$A180)),$K$156:$K$220,0)))*100)</f>
        <v/>
      </c>
      <c r="G180" s="15">
        <f>IF($A180="","",IFERROR(INDEX($U$156:$U$220,IFERROR(MATCH($A180,$K$156:$K$220,0),MATCH(IF($A180="1Y","12M",IF($A180="12M","1Y",$A180)),$K$156:$K$220,0))),""))</f>
        <v/>
      </c>
      <c r="H180" s="16">
        <f>IF(OR(F180="",NOT(ISNUMBER(D180))),"",(F180-D180)*100)</f>
        <v/>
      </c>
      <c r="I180" s="17">
        <f>IF(OR(G180="",NOT(ISNUMBER(E180))),"",G180-E180)</f>
        <v/>
      </c>
      <c r="J180" s="18">
        <f>IF(OR($A180="",NOT(ISNUMBER($B180))),"",IF(ABS($B180-INDEX($M$156:$M$220,IFERROR(MATCH($A180,$K$156:$K$220,0),MATCH(IF($A180="1Y","12M",IF($A180="12M","1Y",$A180)),$K$156:$K$220,0))))&lt;=3,"ok","MISMATCH "&amp;TEXT(INDEX($M$156:$M$220,IFERROR(MATCH($A180,$K$156:$K$220,0),MATCH(IF($A180="1Y","12M",IF($A180="12M","1Y",$A180)),$K$156:$K$220,0))),"mm/dd/yy")))</f>
        <v/>
      </c>
      <c r="K180" s="19" t="inlineStr">
        <is>
          <t>10Y</t>
        </is>
      </c>
      <c r="L180" t="n">
        <v>10</v>
      </c>
      <c r="M180" s="20">
        <f>IFERROR(IF($C$151="","",IF(MONTH((EDATE($C$152,120))+IF(WEEKDAY((EDATE($C$152,120)),2)=6,2,IF(WEEKDAY((EDATE($C$152,120)),2)=7,1,0)))&lt;&gt;MONTH(EDATE($C$152,120)),(EDATE($C$152,120))-IF(WEEKDAY((EDATE($C$152,120)),2)=6,1,IF(WEEKDAY((EDATE($C$152,120)),2)=7,2,0)),(EDATE($C$152,120))+IF(WEEKDAY((EDATE($C$152,120)),2)=6,2,IF(WEEKDAY((EDATE($C$152,120)),2)=7,1,0)))),"")</f>
        <v/>
      </c>
      <c r="N180">
        <f>IFERROR(IF(M180="","",(M180-$C$151)/365),"")</f>
        <v/>
      </c>
      <c r="O180">
        <f>IFERROR(IF(M180="","",(M180-$C$152)/360),"")</f>
        <v/>
      </c>
      <c r="P180">
        <f>IFERROR(IF(M180="","",(M180-M179)/360),"")</f>
        <v/>
      </c>
      <c r="Q180" t="n">
        <v>1</v>
      </c>
      <c r="R180">
        <f>IFERROR(IF(COUNTIF($A$156:$A$207,"10Y")&gt;0,1,0),"")</f>
        <v/>
      </c>
      <c r="S180" s="21">
        <f>IFERROR(IFERROR(INDEX($C$156:$C$207,MATCH("10Y",$A$156:$A$207,0)),INDEX($C$156:$C$207,MATCH("10Y",$A$156:$A$207,0))),"")</f>
        <v/>
      </c>
      <c r="U180" s="22">
        <f>IFERROR(IF(S180="","",(1-(S180/100)*SUM($V$156:V179))/(1+(S180/100)*P180)),"")</f>
        <v/>
      </c>
      <c r="V180">
        <f>IFERROR(IF(OR(U180="",Q180=0),0,P180*U180),"")</f>
        <v/>
      </c>
    </row>
    <row r="181">
      <c r="A181" s="10" t="n"/>
      <c r="B181" s="11" t="n"/>
      <c r="C181" s="12" t="n"/>
      <c r="D181" s="12" t="n"/>
      <c r="E181" s="13" t="n"/>
      <c r="F181" s="14">
        <f>IF(OR($A181="",G181=""),"",-LN(G181)/INDEX($N$156:$N$220,IFERROR(MATCH($A181,$K$156:$K$220,0),MATCH(IF($A181="1Y","12M",IF($A181="12M","1Y",$A181)),$K$156:$K$220,0)))*100)</f>
        <v/>
      </c>
      <c r="G181" s="15">
        <f>IF($A181="","",IFERROR(INDEX($U$156:$U$220,IFERROR(MATCH($A181,$K$156:$K$220,0),MATCH(IF($A181="1Y","12M",IF($A181="12M","1Y",$A181)),$K$156:$K$220,0))),""))</f>
        <v/>
      </c>
      <c r="H181" s="16">
        <f>IF(OR(F181="",NOT(ISNUMBER(D181))),"",(F181-D181)*100)</f>
        <v/>
      </c>
      <c r="I181" s="17">
        <f>IF(OR(G181="",NOT(ISNUMBER(E181))),"",G181-E181)</f>
        <v/>
      </c>
      <c r="J181" s="18">
        <f>IF(OR($A181="",NOT(ISNUMBER($B181))),"",IF(ABS($B181-INDEX($M$156:$M$220,IFERROR(MATCH($A181,$K$156:$K$220,0),MATCH(IF($A181="1Y","12M",IF($A181="12M","1Y",$A181)),$K$156:$K$220,0))))&lt;=3,"ok","MISMATCH "&amp;TEXT(INDEX($M$156:$M$220,IFERROR(MATCH($A181,$K$156:$K$220,0),MATCH(IF($A181="1Y","12M",IF($A181="12M","1Y",$A181)),$K$156:$K$220,0))),"mm/dd/yy")))</f>
        <v/>
      </c>
      <c r="K181" s="19" t="inlineStr">
        <is>
          <t>11Y</t>
        </is>
      </c>
      <c r="L181" t="n">
        <v>11</v>
      </c>
      <c r="M181" s="20">
        <f>IFERROR(IF($C$151="","",IF(MONTH((EDATE($C$152,132))+IF(WEEKDAY((EDATE($C$152,132)),2)=6,2,IF(WEEKDAY((EDATE($C$152,132)),2)=7,1,0)))&lt;&gt;MONTH(EDATE($C$152,132)),(EDATE($C$152,132))-IF(WEEKDAY((EDATE($C$152,132)),2)=6,1,IF(WEEKDAY((EDATE($C$152,132)),2)=7,2,0)),(EDATE($C$152,132))+IF(WEEKDAY((EDATE($C$152,132)),2)=6,2,IF(WEEKDAY((EDATE($C$152,132)),2)=7,1,0)))),"")</f>
        <v/>
      </c>
      <c r="N181">
        <f>IFERROR(IF(M181="","",(M181-$C$151)/365),"")</f>
        <v/>
      </c>
      <c r="O181">
        <f>IFERROR(IF(M181="","",(M181-$C$152)/360),"")</f>
        <v/>
      </c>
      <c r="P181">
        <f>IFERROR(IF(M181="","",(M181-M180)/360),"")</f>
        <v/>
      </c>
      <c r="Q181" t="n">
        <v>1</v>
      </c>
      <c r="R181">
        <f>IFERROR(IF(COUNTIF($A$156:$A$207,"11Y")&gt;0,1,0),"")</f>
        <v/>
      </c>
      <c r="S181" s="21">
        <f>IFERROR(IF(R181=1,IFERROR(INDEX($C$156:$C$207,MATCH("11Y",$A$156:$A$207,0)),INDEX($C$156:$C$207,MATCH("11Y",$A$156:$A$207,0))),S180+(S182-S180)*0.5000000000),"")</f>
        <v/>
      </c>
      <c r="T181">
        <f>IFERROR(IF(OR(N181="",N182=""),"",(N181-N180)/(N182-N180)),"")</f>
        <v/>
      </c>
      <c r="U181" s="22">
        <f>IFERROR(IF(OR(T181="",U182=""),"",U180*(U182/U180)^T181),"")</f>
        <v/>
      </c>
      <c r="V181">
        <f>IFERROR(IF(OR(U181="",Q181=0),0,P181*U181),"")</f>
        <v/>
      </c>
    </row>
    <row r="182">
      <c r="A182" s="10" t="n"/>
      <c r="B182" s="11" t="n"/>
      <c r="C182" s="12" t="n"/>
      <c r="D182" s="12" t="n"/>
      <c r="E182" s="13" t="n"/>
      <c r="F182" s="14">
        <f>IF(OR($A182="",G182=""),"",-LN(G182)/INDEX($N$156:$N$220,IFERROR(MATCH($A182,$K$156:$K$220,0),MATCH(IF($A182="1Y","12M",IF($A182="12M","1Y",$A182)),$K$156:$K$220,0)))*100)</f>
        <v/>
      </c>
      <c r="G182" s="15">
        <f>IF($A182="","",IFERROR(INDEX($U$156:$U$220,IFERROR(MATCH($A182,$K$156:$K$220,0),MATCH(IF($A182="1Y","12M",IF($A182="12M","1Y",$A182)),$K$156:$K$220,0))),""))</f>
        <v/>
      </c>
      <c r="H182" s="16">
        <f>IF(OR(F182="",NOT(ISNUMBER(D182))),"",(F182-D182)*100)</f>
        <v/>
      </c>
      <c r="I182" s="17">
        <f>IF(OR(G182="",NOT(ISNUMBER(E182))),"",G182-E182)</f>
        <v/>
      </c>
      <c r="J182" s="18">
        <f>IF(OR($A182="",NOT(ISNUMBER($B182))),"",IF(ABS($B182-INDEX($M$156:$M$220,IFERROR(MATCH($A182,$K$156:$K$220,0),MATCH(IF($A182="1Y","12M",IF($A182="12M","1Y",$A182)),$K$156:$K$220,0))))&lt;=3,"ok","MISMATCH "&amp;TEXT(INDEX($M$156:$M$220,IFERROR(MATCH($A182,$K$156:$K$220,0),MATCH(IF($A182="1Y","12M",IF($A182="12M","1Y",$A182)),$K$156:$K$220,0))),"mm/dd/yy")))</f>
        <v/>
      </c>
      <c r="K182" s="19" t="inlineStr">
        <is>
          <t>12Y</t>
        </is>
      </c>
      <c r="L182" t="n">
        <v>12</v>
      </c>
      <c r="M182" s="20">
        <f>IFERROR(IF($C$151="","",IF(MONTH((EDATE($C$152,144))+IF(WEEKDAY((EDATE($C$152,144)),2)=6,2,IF(WEEKDAY((EDATE($C$152,144)),2)=7,1,0)))&lt;&gt;MONTH(EDATE($C$152,144)),(EDATE($C$152,144))-IF(WEEKDAY((EDATE($C$152,144)),2)=6,1,IF(WEEKDAY((EDATE($C$152,144)),2)=7,2,0)),(EDATE($C$152,144))+IF(WEEKDAY((EDATE($C$152,144)),2)=6,2,IF(WEEKDAY((EDATE($C$152,144)),2)=7,1,0)))),"")</f>
        <v/>
      </c>
      <c r="N182">
        <f>IFERROR(IF(M182="","",(M182-$C$151)/365),"")</f>
        <v/>
      </c>
      <c r="O182">
        <f>IFERROR(IF(M182="","",(M182-$C$152)/360),"")</f>
        <v/>
      </c>
      <c r="P182">
        <f>IFERROR(IF(M182="","",(M182-M181)/360),"")</f>
        <v/>
      </c>
      <c r="Q182" t="n">
        <v>1</v>
      </c>
      <c r="R182">
        <f>IFERROR(IF(COUNTIF($A$156:$A$207,"12Y")&gt;0,1,0),"")</f>
        <v/>
      </c>
      <c r="S182" s="21">
        <f>IFERROR(IFERROR(INDEX($C$156:$C$207,MATCH("12Y",$A$156:$A$207,0)),INDEX($C$156:$C$207,MATCH("12Y",$A$156:$A$207,0))),"")</f>
        <v/>
      </c>
      <c r="U182" s="22">
        <f>IFERROR(IF(S182="","",AM182),"")</f>
        <v/>
      </c>
      <c r="V182">
        <f>IFERROR(IF(OR(U182="",Q182=0),0,P182*U182),"")</f>
        <v/>
      </c>
      <c r="X182" s="23">
        <f>IFERROR(IF(S182="","",U180*0.9),"")</f>
        <v/>
      </c>
      <c r="Y182" s="23">
        <f>IFERROR(IF(S182="","",(1-(S182/100)*(SUM($V$156:V180)+SUMPRODUCT($P$181:$P$181,$Q$181:$Q$181,U180*(X182/U180)^$T$181:$T$181)))/(1+(S182/100)*P182)),"")</f>
        <v/>
      </c>
      <c r="Z182" s="23">
        <f>IFERROR(IF(S182="","",(1-(S182/100)*(SUM($V$156:V180)+SUMPRODUCT($P$181:$P$181,$Q$181:$Q$181,U180*(Y182/U180)^$T$181:$T$181)))/(1+(S182/100)*P182)),"")</f>
        <v/>
      </c>
      <c r="AA182" s="23">
        <f>IFERROR(IF(S182="","",(1-(S182/100)*(SUM($V$156:V180)+SUMPRODUCT($P$181:$P$181,$Q$181:$Q$181,U180*(Z182/U180)^$T$181:$T$181)))/(1+(S182/100)*P182)),"")</f>
        <v/>
      </c>
      <c r="AB182" s="23">
        <f>IFERROR(IF(S182="","",(1-(S182/100)*(SUM($V$156:V180)+SUMPRODUCT($P$181:$P$181,$Q$181:$Q$181,U180*(AA182/U180)^$T$181:$T$181)))/(1+(S182/100)*P182)),"")</f>
        <v/>
      </c>
      <c r="AC182" s="23">
        <f>IFERROR(IF(S182="","",(1-(S182/100)*(SUM($V$156:V180)+SUMPRODUCT($P$181:$P$181,$Q$181:$Q$181,U180*(AB182/U180)^$T$181:$T$181)))/(1+(S182/100)*P182)),"")</f>
        <v/>
      </c>
      <c r="AD182" s="23">
        <f>IFERROR(IF(S182="","",(1-(S182/100)*(SUM($V$156:V180)+SUMPRODUCT($P$181:$P$181,$Q$181:$Q$181,U180*(AC182/U180)^$T$181:$T$181)))/(1+(S182/100)*P182)),"")</f>
        <v/>
      </c>
      <c r="AE182" s="23">
        <f>IFERROR(IF(S182="","",(1-(S182/100)*(SUM($V$156:V180)+SUMPRODUCT($P$181:$P$181,$Q$181:$Q$181,U180*(AD182/U180)^$T$181:$T$181)))/(1+(S182/100)*P182)),"")</f>
        <v/>
      </c>
      <c r="AF182" s="23">
        <f>IFERROR(IF(S182="","",(1-(S182/100)*(SUM($V$156:V180)+SUMPRODUCT($P$181:$P$181,$Q$181:$Q$181,U180*(AE182/U180)^$T$181:$T$181)))/(1+(S182/100)*P182)),"")</f>
        <v/>
      </c>
      <c r="AG182" s="23">
        <f>IFERROR(IF(S182="","",(1-(S182/100)*(SUM($V$156:V180)+SUMPRODUCT($P$181:$P$181,$Q$181:$Q$181,U180*(AF182/U180)^$T$181:$T$181)))/(1+(S182/100)*P182)),"")</f>
        <v/>
      </c>
      <c r="AH182" s="23">
        <f>IFERROR(IF(S182="","",(1-(S182/100)*(SUM($V$156:V180)+SUMPRODUCT($P$181:$P$181,$Q$181:$Q$181,U180*(AG182/U180)^$T$181:$T$181)))/(1+(S182/100)*P182)),"")</f>
        <v/>
      </c>
      <c r="AI182" s="23">
        <f>IFERROR(IF(S182="","",(1-(S182/100)*(SUM($V$156:V180)+SUMPRODUCT($P$181:$P$181,$Q$181:$Q$181,U180*(AH182/U180)^$T$181:$T$181)))/(1+(S182/100)*P182)),"")</f>
        <v/>
      </c>
      <c r="AJ182" s="23">
        <f>IFERROR(IF(S182="","",(1-(S182/100)*(SUM($V$156:V180)+SUMPRODUCT($P$181:$P$181,$Q$181:$Q$181,U180*(AI182/U180)^$T$181:$T$181)))/(1+(S182/100)*P182)),"")</f>
        <v/>
      </c>
      <c r="AK182" s="23">
        <f>IFERROR(IF(S182="","",(1-(S182/100)*(SUM($V$156:V180)+SUMPRODUCT($P$181:$P$181,$Q$181:$Q$181,U180*(AJ182/U180)^$T$181:$T$181)))/(1+(S182/100)*P182)),"")</f>
        <v/>
      </c>
      <c r="AL182" s="23">
        <f>IFERROR(IF(S182="","",(1-(S182/100)*(SUM($V$156:V180)+SUMPRODUCT($P$181:$P$181,$Q$181:$Q$181,U180*(AK182/U180)^$T$181:$T$181)))/(1+(S182/100)*P182)),"")</f>
        <v/>
      </c>
      <c r="AM182" s="23">
        <f>IFERROR(IF(S182="","",(1-(S182/100)*(SUM($V$156:V180)+SUMPRODUCT($P$181:$P$181,$Q$181:$Q$181,U180*(AL182/U180)^$T$181:$T$181)))/(1+(S182/100)*P182)),"")</f>
        <v/>
      </c>
    </row>
    <row r="183">
      <c r="A183" s="10" t="n"/>
      <c r="B183" s="11" t="n"/>
      <c r="C183" s="12" t="n"/>
      <c r="D183" s="12" t="n"/>
      <c r="E183" s="13" t="n"/>
      <c r="F183" s="14">
        <f>IF(OR($A183="",G183=""),"",-LN(G183)/INDEX($N$156:$N$220,IFERROR(MATCH($A183,$K$156:$K$220,0),MATCH(IF($A183="1Y","12M",IF($A183="12M","1Y",$A183)),$K$156:$K$220,0)))*100)</f>
        <v/>
      </c>
      <c r="G183" s="15">
        <f>IF($A183="","",IFERROR(INDEX($U$156:$U$220,IFERROR(MATCH($A183,$K$156:$K$220,0),MATCH(IF($A183="1Y","12M",IF($A183="12M","1Y",$A183)),$K$156:$K$220,0))),""))</f>
        <v/>
      </c>
      <c r="H183" s="16">
        <f>IF(OR(F183="",NOT(ISNUMBER(D183))),"",(F183-D183)*100)</f>
        <v/>
      </c>
      <c r="I183" s="17">
        <f>IF(OR(G183="",NOT(ISNUMBER(E183))),"",G183-E183)</f>
        <v/>
      </c>
      <c r="J183" s="18">
        <f>IF(OR($A183="",NOT(ISNUMBER($B183))),"",IF(ABS($B183-INDEX($M$156:$M$220,IFERROR(MATCH($A183,$K$156:$K$220,0),MATCH(IF($A183="1Y","12M",IF($A183="12M","1Y",$A183)),$K$156:$K$220,0))))&lt;=3,"ok","MISMATCH "&amp;TEXT(INDEX($M$156:$M$220,IFERROR(MATCH($A183,$K$156:$K$220,0),MATCH(IF($A183="1Y","12M",IF($A183="12M","1Y",$A183)),$K$156:$K$220,0))),"mm/dd/yy")))</f>
        <v/>
      </c>
      <c r="K183" s="19" t="inlineStr">
        <is>
          <t>13Y</t>
        </is>
      </c>
      <c r="L183" t="n">
        <v>13</v>
      </c>
      <c r="M183" s="20">
        <f>IFERROR(IF($C$151="","",IF(MONTH((EDATE($C$152,156))+IF(WEEKDAY((EDATE($C$152,156)),2)=6,2,IF(WEEKDAY((EDATE($C$152,156)),2)=7,1,0)))&lt;&gt;MONTH(EDATE($C$152,156)),(EDATE($C$152,156))-IF(WEEKDAY((EDATE($C$152,156)),2)=6,1,IF(WEEKDAY((EDATE($C$152,156)),2)=7,2,0)),(EDATE($C$152,156))+IF(WEEKDAY((EDATE($C$152,156)),2)=6,2,IF(WEEKDAY((EDATE($C$152,156)),2)=7,1,0)))),"")</f>
        <v/>
      </c>
      <c r="N183">
        <f>IFERROR(IF(M183="","",(M183-$C$151)/365),"")</f>
        <v/>
      </c>
      <c r="O183">
        <f>IFERROR(IF(M183="","",(M183-$C$152)/360),"")</f>
        <v/>
      </c>
      <c r="P183">
        <f>IFERROR(IF(M183="","",(M183-M182)/360),"")</f>
        <v/>
      </c>
      <c r="Q183" t="n">
        <v>1</v>
      </c>
      <c r="R183">
        <f>IFERROR(IF(COUNTIF($A$156:$A$207,"13Y")&gt;0,1,0),"")</f>
        <v/>
      </c>
      <c r="S183" s="21">
        <f>IFERROR(IF(R183=1,IFERROR(INDEX($C$156:$C$207,MATCH("13Y",$A$156:$A$207,0)),INDEX($C$156:$C$207,MATCH("13Y",$A$156:$A$207,0))),S182+(S185-S182)*0.3333333333),"")</f>
        <v/>
      </c>
      <c r="T183">
        <f>IFERROR(IF(OR(N183="",N185=""),"",(N183-N182)/(N185-N182)),"")</f>
        <v/>
      </c>
      <c r="U183" s="22">
        <f>IFERROR(IF(OR(T183="",U185=""),"",U182*(U185/U182)^T183),"")</f>
        <v/>
      </c>
      <c r="V183">
        <f>IFERROR(IF(OR(U183="",Q183=0),0,P183*U183),"")</f>
        <v/>
      </c>
    </row>
    <row r="184">
      <c r="A184" s="10" t="n"/>
      <c r="B184" s="11" t="n"/>
      <c r="C184" s="12" t="n"/>
      <c r="D184" s="12" t="n"/>
      <c r="E184" s="13" t="n"/>
      <c r="F184" s="14">
        <f>IF(OR($A184="",G184=""),"",-LN(G184)/INDEX($N$156:$N$220,IFERROR(MATCH($A184,$K$156:$K$220,0),MATCH(IF($A184="1Y","12M",IF($A184="12M","1Y",$A184)),$K$156:$K$220,0)))*100)</f>
        <v/>
      </c>
      <c r="G184" s="15">
        <f>IF($A184="","",IFERROR(INDEX($U$156:$U$220,IFERROR(MATCH($A184,$K$156:$K$220,0),MATCH(IF($A184="1Y","12M",IF($A184="12M","1Y",$A184)),$K$156:$K$220,0))),""))</f>
        <v/>
      </c>
      <c r="H184" s="16">
        <f>IF(OR(F184="",NOT(ISNUMBER(D184))),"",(F184-D184)*100)</f>
        <v/>
      </c>
      <c r="I184" s="17">
        <f>IF(OR(G184="",NOT(ISNUMBER(E184))),"",G184-E184)</f>
        <v/>
      </c>
      <c r="J184" s="18">
        <f>IF(OR($A184="",NOT(ISNUMBER($B184))),"",IF(ABS($B184-INDEX($M$156:$M$220,IFERROR(MATCH($A184,$K$156:$K$220,0),MATCH(IF($A184="1Y","12M",IF($A184="12M","1Y",$A184)),$K$156:$K$220,0))))&lt;=3,"ok","MISMATCH "&amp;TEXT(INDEX($M$156:$M$220,IFERROR(MATCH($A184,$K$156:$K$220,0),MATCH(IF($A184="1Y","12M",IF($A184="12M","1Y",$A184)),$K$156:$K$220,0))),"mm/dd/yy")))</f>
        <v/>
      </c>
      <c r="K184" s="19" t="inlineStr">
        <is>
          <t>14Y</t>
        </is>
      </c>
      <c r="L184" t="n">
        <v>14</v>
      </c>
      <c r="M184" s="20">
        <f>IFERROR(IF($C$151="","",IF(MONTH((EDATE($C$152,168))+IF(WEEKDAY((EDATE($C$152,168)),2)=6,2,IF(WEEKDAY((EDATE($C$152,168)),2)=7,1,0)))&lt;&gt;MONTH(EDATE($C$152,168)),(EDATE($C$152,168))-IF(WEEKDAY((EDATE($C$152,168)),2)=6,1,IF(WEEKDAY((EDATE($C$152,168)),2)=7,2,0)),(EDATE($C$152,168))+IF(WEEKDAY((EDATE($C$152,168)),2)=6,2,IF(WEEKDAY((EDATE($C$152,168)),2)=7,1,0)))),"")</f>
        <v/>
      </c>
      <c r="N184">
        <f>IFERROR(IF(M184="","",(M184-$C$151)/365),"")</f>
        <v/>
      </c>
      <c r="O184">
        <f>IFERROR(IF(M184="","",(M184-$C$152)/360),"")</f>
        <v/>
      </c>
      <c r="P184">
        <f>IFERROR(IF(M184="","",(M184-M183)/360),"")</f>
        <v/>
      </c>
      <c r="Q184" t="n">
        <v>1</v>
      </c>
      <c r="R184">
        <f>IFERROR(IF(COUNTIF($A$156:$A$207,"14Y")&gt;0,1,0),"")</f>
        <v/>
      </c>
      <c r="S184" s="21">
        <f>IFERROR(IF(R184=1,IFERROR(INDEX($C$156:$C$207,MATCH("14Y",$A$156:$A$207,0)),INDEX($C$156:$C$207,MATCH("14Y",$A$156:$A$207,0))),S182+(S185-S182)*0.6666666667),"")</f>
        <v/>
      </c>
      <c r="T184">
        <f>IFERROR(IF(OR(N184="",N185=""),"",(N184-N182)/(N185-N182)),"")</f>
        <v/>
      </c>
      <c r="U184" s="22">
        <f>IFERROR(IF(OR(T184="",U185=""),"",U182*(U185/U182)^T184),"")</f>
        <v/>
      </c>
      <c r="V184">
        <f>IFERROR(IF(OR(U184="",Q184=0),0,P184*U184),"")</f>
        <v/>
      </c>
    </row>
    <row r="185">
      <c r="A185" s="10" t="n"/>
      <c r="B185" s="11" t="n"/>
      <c r="C185" s="12" t="n"/>
      <c r="D185" s="12" t="n"/>
      <c r="E185" s="13" t="n"/>
      <c r="F185" s="14">
        <f>IF(OR($A185="",G185=""),"",-LN(G185)/INDEX($N$156:$N$220,IFERROR(MATCH($A185,$K$156:$K$220,0),MATCH(IF($A185="1Y","12M",IF($A185="12M","1Y",$A185)),$K$156:$K$220,0)))*100)</f>
        <v/>
      </c>
      <c r="G185" s="15">
        <f>IF($A185="","",IFERROR(INDEX($U$156:$U$220,IFERROR(MATCH($A185,$K$156:$K$220,0),MATCH(IF($A185="1Y","12M",IF($A185="12M","1Y",$A185)),$K$156:$K$220,0))),""))</f>
        <v/>
      </c>
      <c r="H185" s="16">
        <f>IF(OR(F185="",NOT(ISNUMBER(D185))),"",(F185-D185)*100)</f>
        <v/>
      </c>
      <c r="I185" s="17">
        <f>IF(OR(G185="",NOT(ISNUMBER(E185))),"",G185-E185)</f>
        <v/>
      </c>
      <c r="J185" s="18">
        <f>IF(OR($A185="",NOT(ISNUMBER($B185))),"",IF(ABS($B185-INDEX($M$156:$M$220,IFERROR(MATCH($A185,$K$156:$K$220,0),MATCH(IF($A185="1Y","12M",IF($A185="12M","1Y",$A185)),$K$156:$K$220,0))))&lt;=3,"ok","MISMATCH "&amp;TEXT(INDEX($M$156:$M$220,IFERROR(MATCH($A185,$K$156:$K$220,0),MATCH(IF($A185="1Y","12M",IF($A185="12M","1Y",$A185)),$K$156:$K$220,0))),"mm/dd/yy")))</f>
        <v/>
      </c>
      <c r="K185" s="19" t="inlineStr">
        <is>
          <t>15Y</t>
        </is>
      </c>
      <c r="L185" t="n">
        <v>15</v>
      </c>
      <c r="M185" s="20">
        <f>IFERROR(IF($C$151="","",IF(MONTH((EDATE($C$152,180))+IF(WEEKDAY((EDATE($C$152,180)),2)=6,2,IF(WEEKDAY((EDATE($C$152,180)),2)=7,1,0)))&lt;&gt;MONTH(EDATE($C$152,180)),(EDATE($C$152,180))-IF(WEEKDAY((EDATE($C$152,180)),2)=6,1,IF(WEEKDAY((EDATE($C$152,180)),2)=7,2,0)),(EDATE($C$152,180))+IF(WEEKDAY((EDATE($C$152,180)),2)=6,2,IF(WEEKDAY((EDATE($C$152,180)),2)=7,1,0)))),"")</f>
        <v/>
      </c>
      <c r="N185">
        <f>IFERROR(IF(M185="","",(M185-$C$151)/365),"")</f>
        <v/>
      </c>
      <c r="O185">
        <f>IFERROR(IF(M185="","",(M185-$C$152)/360),"")</f>
        <v/>
      </c>
      <c r="P185">
        <f>IFERROR(IF(M185="","",(M185-M184)/360),"")</f>
        <v/>
      </c>
      <c r="Q185" t="n">
        <v>1</v>
      </c>
      <c r="R185">
        <f>IFERROR(IF(COUNTIF($A$156:$A$207,"15Y")&gt;0,1,0),"")</f>
        <v/>
      </c>
      <c r="S185" s="21">
        <f>IFERROR(IFERROR(INDEX($C$156:$C$207,MATCH("15Y",$A$156:$A$207,0)),INDEX($C$156:$C$207,MATCH("15Y",$A$156:$A$207,0))),"")</f>
        <v/>
      </c>
      <c r="U185" s="22">
        <f>IFERROR(IF(S185="","",AM185),"")</f>
        <v/>
      </c>
      <c r="V185">
        <f>IFERROR(IF(OR(U185="",Q185=0),0,P185*U185),"")</f>
        <v/>
      </c>
      <c r="X185" s="23">
        <f>IFERROR(IF(S185="","",U182*0.9),"")</f>
        <v/>
      </c>
      <c r="Y185" s="23">
        <f>IFERROR(IF(S185="","",(1-(S185/100)*(SUM($V$156:V182)+SUMPRODUCT($P$183:$P$184,$Q$183:$Q$184,U182*(X185/U182)^$T$183:$T$184)))/(1+(S185/100)*P185)),"")</f>
        <v/>
      </c>
      <c r="Z185" s="23">
        <f>IFERROR(IF(S185="","",(1-(S185/100)*(SUM($V$156:V182)+SUMPRODUCT($P$183:$P$184,$Q$183:$Q$184,U182*(Y185/U182)^$T$183:$T$184)))/(1+(S185/100)*P185)),"")</f>
        <v/>
      </c>
      <c r="AA185" s="23">
        <f>IFERROR(IF(S185="","",(1-(S185/100)*(SUM($V$156:V182)+SUMPRODUCT($P$183:$P$184,$Q$183:$Q$184,U182*(Z185/U182)^$T$183:$T$184)))/(1+(S185/100)*P185)),"")</f>
        <v/>
      </c>
      <c r="AB185" s="23">
        <f>IFERROR(IF(S185="","",(1-(S185/100)*(SUM($V$156:V182)+SUMPRODUCT($P$183:$P$184,$Q$183:$Q$184,U182*(AA185/U182)^$T$183:$T$184)))/(1+(S185/100)*P185)),"")</f>
        <v/>
      </c>
      <c r="AC185" s="23">
        <f>IFERROR(IF(S185="","",(1-(S185/100)*(SUM($V$156:V182)+SUMPRODUCT($P$183:$P$184,$Q$183:$Q$184,U182*(AB185/U182)^$T$183:$T$184)))/(1+(S185/100)*P185)),"")</f>
        <v/>
      </c>
      <c r="AD185" s="23">
        <f>IFERROR(IF(S185="","",(1-(S185/100)*(SUM($V$156:V182)+SUMPRODUCT($P$183:$P$184,$Q$183:$Q$184,U182*(AC185/U182)^$T$183:$T$184)))/(1+(S185/100)*P185)),"")</f>
        <v/>
      </c>
      <c r="AE185" s="23">
        <f>IFERROR(IF(S185="","",(1-(S185/100)*(SUM($V$156:V182)+SUMPRODUCT($P$183:$P$184,$Q$183:$Q$184,U182*(AD185/U182)^$T$183:$T$184)))/(1+(S185/100)*P185)),"")</f>
        <v/>
      </c>
      <c r="AF185" s="23">
        <f>IFERROR(IF(S185="","",(1-(S185/100)*(SUM($V$156:V182)+SUMPRODUCT($P$183:$P$184,$Q$183:$Q$184,U182*(AE185/U182)^$T$183:$T$184)))/(1+(S185/100)*P185)),"")</f>
        <v/>
      </c>
      <c r="AG185" s="23">
        <f>IFERROR(IF(S185="","",(1-(S185/100)*(SUM($V$156:V182)+SUMPRODUCT($P$183:$P$184,$Q$183:$Q$184,U182*(AF185/U182)^$T$183:$T$184)))/(1+(S185/100)*P185)),"")</f>
        <v/>
      </c>
      <c r="AH185" s="23">
        <f>IFERROR(IF(S185="","",(1-(S185/100)*(SUM($V$156:V182)+SUMPRODUCT($P$183:$P$184,$Q$183:$Q$184,U182*(AG185/U182)^$T$183:$T$184)))/(1+(S185/100)*P185)),"")</f>
        <v/>
      </c>
      <c r="AI185" s="23">
        <f>IFERROR(IF(S185="","",(1-(S185/100)*(SUM($V$156:V182)+SUMPRODUCT($P$183:$P$184,$Q$183:$Q$184,U182*(AH185/U182)^$T$183:$T$184)))/(1+(S185/100)*P185)),"")</f>
        <v/>
      </c>
      <c r="AJ185" s="23">
        <f>IFERROR(IF(S185="","",(1-(S185/100)*(SUM($V$156:V182)+SUMPRODUCT($P$183:$P$184,$Q$183:$Q$184,U182*(AI185/U182)^$T$183:$T$184)))/(1+(S185/100)*P185)),"")</f>
        <v/>
      </c>
      <c r="AK185" s="23">
        <f>IFERROR(IF(S185="","",(1-(S185/100)*(SUM($V$156:V182)+SUMPRODUCT($P$183:$P$184,$Q$183:$Q$184,U182*(AJ185/U182)^$T$183:$T$184)))/(1+(S185/100)*P185)),"")</f>
        <v/>
      </c>
      <c r="AL185" s="23">
        <f>IFERROR(IF(S185="","",(1-(S185/100)*(SUM($V$156:V182)+SUMPRODUCT($P$183:$P$184,$Q$183:$Q$184,U182*(AK185/U182)^$T$183:$T$184)))/(1+(S185/100)*P185)),"")</f>
        <v/>
      </c>
      <c r="AM185" s="23">
        <f>IFERROR(IF(S185="","",(1-(S185/100)*(SUM($V$156:V182)+SUMPRODUCT($P$183:$P$184,$Q$183:$Q$184,U182*(AL185/U182)^$T$183:$T$184)))/(1+(S185/100)*P185)),"")</f>
        <v/>
      </c>
    </row>
    <row r="186">
      <c r="A186" s="10" t="n"/>
      <c r="B186" s="11" t="n"/>
      <c r="C186" s="12" t="n"/>
      <c r="D186" s="12" t="n"/>
      <c r="E186" s="13" t="n"/>
      <c r="F186" s="14">
        <f>IF(OR($A186="",G186=""),"",-LN(G186)/INDEX($N$156:$N$220,IFERROR(MATCH($A186,$K$156:$K$220,0),MATCH(IF($A186="1Y","12M",IF($A186="12M","1Y",$A186)),$K$156:$K$220,0)))*100)</f>
        <v/>
      </c>
      <c r="G186" s="15">
        <f>IF($A186="","",IFERROR(INDEX($U$156:$U$220,IFERROR(MATCH($A186,$K$156:$K$220,0),MATCH(IF($A186="1Y","12M",IF($A186="12M","1Y",$A186)),$K$156:$K$220,0))),""))</f>
        <v/>
      </c>
      <c r="H186" s="16">
        <f>IF(OR(F186="",NOT(ISNUMBER(D186))),"",(F186-D186)*100)</f>
        <v/>
      </c>
      <c r="I186" s="17">
        <f>IF(OR(G186="",NOT(ISNUMBER(E186))),"",G186-E186)</f>
        <v/>
      </c>
      <c r="J186" s="18">
        <f>IF(OR($A186="",NOT(ISNUMBER($B186))),"",IF(ABS($B186-INDEX($M$156:$M$220,IFERROR(MATCH($A186,$K$156:$K$220,0),MATCH(IF($A186="1Y","12M",IF($A186="12M","1Y",$A186)),$K$156:$K$220,0))))&lt;=3,"ok","MISMATCH "&amp;TEXT(INDEX($M$156:$M$220,IFERROR(MATCH($A186,$K$156:$K$220,0),MATCH(IF($A186="1Y","12M",IF($A186="12M","1Y",$A186)),$K$156:$K$220,0))),"mm/dd/yy")))</f>
        <v/>
      </c>
      <c r="K186" s="19" t="inlineStr">
        <is>
          <t>16Y</t>
        </is>
      </c>
      <c r="L186" t="n">
        <v>16</v>
      </c>
      <c r="M186" s="20">
        <f>IFERROR(IF($C$151="","",IF(MONTH((EDATE($C$152,192))+IF(WEEKDAY((EDATE($C$152,192)),2)=6,2,IF(WEEKDAY((EDATE($C$152,192)),2)=7,1,0)))&lt;&gt;MONTH(EDATE($C$152,192)),(EDATE($C$152,192))-IF(WEEKDAY((EDATE($C$152,192)),2)=6,1,IF(WEEKDAY((EDATE($C$152,192)),2)=7,2,0)),(EDATE($C$152,192))+IF(WEEKDAY((EDATE($C$152,192)),2)=6,2,IF(WEEKDAY((EDATE($C$152,192)),2)=7,1,0)))),"")</f>
        <v/>
      </c>
      <c r="N186">
        <f>IFERROR(IF(M186="","",(M186-$C$151)/365),"")</f>
        <v/>
      </c>
      <c r="O186">
        <f>IFERROR(IF(M186="","",(M186-$C$152)/360),"")</f>
        <v/>
      </c>
      <c r="P186">
        <f>IFERROR(IF(M186="","",(M186-M185)/360),"")</f>
        <v/>
      </c>
      <c r="Q186" t="n">
        <v>1</v>
      </c>
      <c r="R186">
        <f>IFERROR(IF(COUNTIF($A$156:$A$207,"16Y")&gt;0,1,0),"")</f>
        <v/>
      </c>
      <c r="S186" s="21">
        <f>IFERROR(IF(R186=1,IFERROR(INDEX($C$156:$C$207,MATCH("16Y",$A$156:$A$207,0)),INDEX($C$156:$C$207,MATCH("16Y",$A$156:$A$207,0))),S185+(S190-S185)*0.2000000000),"")</f>
        <v/>
      </c>
      <c r="T186">
        <f>IFERROR(IF(OR(N186="",N190=""),"",(N186-N185)/(N190-N185)),"")</f>
        <v/>
      </c>
      <c r="U186" s="22">
        <f>IFERROR(IF(OR(T186="",U190=""),"",U185*(U190/U185)^T186),"")</f>
        <v/>
      </c>
      <c r="V186">
        <f>IFERROR(IF(OR(U186="",Q186=0),0,P186*U186),"")</f>
        <v/>
      </c>
    </row>
    <row r="187">
      <c r="A187" s="10" t="n"/>
      <c r="B187" s="11" t="n"/>
      <c r="C187" s="12" t="n"/>
      <c r="D187" s="12" t="n"/>
      <c r="E187" s="13" t="n"/>
      <c r="F187" s="14">
        <f>IF(OR($A187="",G187=""),"",-LN(G187)/INDEX($N$156:$N$220,IFERROR(MATCH($A187,$K$156:$K$220,0),MATCH(IF($A187="1Y","12M",IF($A187="12M","1Y",$A187)),$K$156:$K$220,0)))*100)</f>
        <v/>
      </c>
      <c r="G187" s="15">
        <f>IF($A187="","",IFERROR(INDEX($U$156:$U$220,IFERROR(MATCH($A187,$K$156:$K$220,0),MATCH(IF($A187="1Y","12M",IF($A187="12M","1Y",$A187)),$K$156:$K$220,0))),""))</f>
        <v/>
      </c>
      <c r="H187" s="16">
        <f>IF(OR(F187="",NOT(ISNUMBER(D187))),"",(F187-D187)*100)</f>
        <v/>
      </c>
      <c r="I187" s="17">
        <f>IF(OR(G187="",NOT(ISNUMBER(E187))),"",G187-E187)</f>
        <v/>
      </c>
      <c r="J187" s="18">
        <f>IF(OR($A187="",NOT(ISNUMBER($B187))),"",IF(ABS($B187-INDEX($M$156:$M$220,IFERROR(MATCH($A187,$K$156:$K$220,0),MATCH(IF($A187="1Y","12M",IF($A187="12M","1Y",$A187)),$K$156:$K$220,0))))&lt;=3,"ok","MISMATCH "&amp;TEXT(INDEX($M$156:$M$220,IFERROR(MATCH($A187,$K$156:$K$220,0),MATCH(IF($A187="1Y","12M",IF($A187="12M","1Y",$A187)),$K$156:$K$220,0))),"mm/dd/yy")))</f>
        <v/>
      </c>
      <c r="K187" s="19" t="inlineStr">
        <is>
          <t>17Y</t>
        </is>
      </c>
      <c r="L187" t="n">
        <v>17</v>
      </c>
      <c r="M187" s="20">
        <f>IFERROR(IF($C$151="","",IF(MONTH((EDATE($C$152,204))+IF(WEEKDAY((EDATE($C$152,204)),2)=6,2,IF(WEEKDAY((EDATE($C$152,204)),2)=7,1,0)))&lt;&gt;MONTH(EDATE($C$152,204)),(EDATE($C$152,204))-IF(WEEKDAY((EDATE($C$152,204)),2)=6,1,IF(WEEKDAY((EDATE($C$152,204)),2)=7,2,0)),(EDATE($C$152,204))+IF(WEEKDAY((EDATE($C$152,204)),2)=6,2,IF(WEEKDAY((EDATE($C$152,204)),2)=7,1,0)))),"")</f>
        <v/>
      </c>
      <c r="N187">
        <f>IFERROR(IF(M187="","",(M187-$C$151)/365),"")</f>
        <v/>
      </c>
      <c r="O187">
        <f>IFERROR(IF(M187="","",(M187-$C$152)/360),"")</f>
        <v/>
      </c>
      <c r="P187">
        <f>IFERROR(IF(M187="","",(M187-M186)/360),"")</f>
        <v/>
      </c>
      <c r="Q187" t="n">
        <v>1</v>
      </c>
      <c r="R187">
        <f>IFERROR(IF(COUNTIF($A$156:$A$207,"17Y")&gt;0,1,0),"")</f>
        <v/>
      </c>
      <c r="S187" s="21">
        <f>IFERROR(IF(R187=1,IFERROR(INDEX($C$156:$C$207,MATCH("17Y",$A$156:$A$207,0)),INDEX($C$156:$C$207,MATCH("17Y",$A$156:$A$207,0))),S185+(S190-S185)*0.4000000000),"")</f>
        <v/>
      </c>
      <c r="T187">
        <f>IFERROR(IF(OR(N187="",N190=""),"",(N187-N185)/(N190-N185)),"")</f>
        <v/>
      </c>
      <c r="U187" s="22">
        <f>IFERROR(IF(OR(T187="",U190=""),"",U185*(U190/U185)^T187),"")</f>
        <v/>
      </c>
      <c r="V187">
        <f>IFERROR(IF(OR(U187="",Q187=0),0,P187*U187),"")</f>
        <v/>
      </c>
    </row>
    <row r="188">
      <c r="A188" s="10" t="n"/>
      <c r="B188" s="11" t="n"/>
      <c r="C188" s="12" t="n"/>
      <c r="D188" s="12" t="n"/>
      <c r="E188" s="13" t="n"/>
      <c r="F188" s="14">
        <f>IF(OR($A188="",G188=""),"",-LN(G188)/INDEX($N$156:$N$220,IFERROR(MATCH($A188,$K$156:$K$220,0),MATCH(IF($A188="1Y","12M",IF($A188="12M","1Y",$A188)),$K$156:$K$220,0)))*100)</f>
        <v/>
      </c>
      <c r="G188" s="15">
        <f>IF($A188="","",IFERROR(INDEX($U$156:$U$220,IFERROR(MATCH($A188,$K$156:$K$220,0),MATCH(IF($A188="1Y","12M",IF($A188="12M","1Y",$A188)),$K$156:$K$220,0))),""))</f>
        <v/>
      </c>
      <c r="H188" s="16">
        <f>IF(OR(F188="",NOT(ISNUMBER(D188))),"",(F188-D188)*100)</f>
        <v/>
      </c>
      <c r="I188" s="17">
        <f>IF(OR(G188="",NOT(ISNUMBER(E188))),"",G188-E188)</f>
        <v/>
      </c>
      <c r="J188" s="18">
        <f>IF(OR($A188="",NOT(ISNUMBER($B188))),"",IF(ABS($B188-INDEX($M$156:$M$220,IFERROR(MATCH($A188,$K$156:$K$220,0),MATCH(IF($A188="1Y","12M",IF($A188="12M","1Y",$A188)),$K$156:$K$220,0))))&lt;=3,"ok","MISMATCH "&amp;TEXT(INDEX($M$156:$M$220,IFERROR(MATCH($A188,$K$156:$K$220,0),MATCH(IF($A188="1Y","12M",IF($A188="12M","1Y",$A188)),$K$156:$K$220,0))),"mm/dd/yy")))</f>
        <v/>
      </c>
      <c r="K188" s="19" t="inlineStr">
        <is>
          <t>18Y</t>
        </is>
      </c>
      <c r="L188" t="n">
        <v>18</v>
      </c>
      <c r="M188" s="20">
        <f>IFERROR(IF($C$151="","",IF(MONTH((EDATE($C$152,216))+IF(WEEKDAY((EDATE($C$152,216)),2)=6,2,IF(WEEKDAY((EDATE($C$152,216)),2)=7,1,0)))&lt;&gt;MONTH(EDATE($C$152,216)),(EDATE($C$152,216))-IF(WEEKDAY((EDATE($C$152,216)),2)=6,1,IF(WEEKDAY((EDATE($C$152,216)),2)=7,2,0)),(EDATE($C$152,216))+IF(WEEKDAY((EDATE($C$152,216)),2)=6,2,IF(WEEKDAY((EDATE($C$152,216)),2)=7,1,0)))),"")</f>
        <v/>
      </c>
      <c r="N188">
        <f>IFERROR(IF(M188="","",(M188-$C$151)/365),"")</f>
        <v/>
      </c>
      <c r="O188">
        <f>IFERROR(IF(M188="","",(M188-$C$152)/360),"")</f>
        <v/>
      </c>
      <c r="P188">
        <f>IFERROR(IF(M188="","",(M188-M187)/360),"")</f>
        <v/>
      </c>
      <c r="Q188" t="n">
        <v>1</v>
      </c>
      <c r="R188">
        <f>IFERROR(IF(COUNTIF($A$156:$A$207,"18Y")&gt;0,1,0),"")</f>
        <v/>
      </c>
      <c r="S188" s="21">
        <f>IFERROR(IF(R188=1,IFERROR(INDEX($C$156:$C$207,MATCH("18Y",$A$156:$A$207,0)),INDEX($C$156:$C$207,MATCH("18Y",$A$156:$A$207,0))),S185+(S190-S185)*0.6000000000),"")</f>
        <v/>
      </c>
      <c r="T188">
        <f>IFERROR(IF(OR(N188="",N190=""),"",(N188-N185)/(N190-N185)),"")</f>
        <v/>
      </c>
      <c r="U188" s="22">
        <f>IFERROR(IF(OR(T188="",U190=""),"",U185*(U190/U185)^T188),"")</f>
        <v/>
      </c>
      <c r="V188">
        <f>IFERROR(IF(OR(U188="",Q188=0),0,P188*U188),"")</f>
        <v/>
      </c>
    </row>
    <row r="189">
      <c r="A189" s="10" t="n"/>
      <c r="B189" s="11" t="n"/>
      <c r="C189" s="12" t="n"/>
      <c r="D189" s="12" t="n"/>
      <c r="E189" s="13" t="n"/>
      <c r="F189" s="14">
        <f>IF(OR($A189="",G189=""),"",-LN(G189)/INDEX($N$156:$N$220,IFERROR(MATCH($A189,$K$156:$K$220,0),MATCH(IF($A189="1Y","12M",IF($A189="12M","1Y",$A189)),$K$156:$K$220,0)))*100)</f>
        <v/>
      </c>
      <c r="G189" s="15">
        <f>IF($A189="","",IFERROR(INDEX($U$156:$U$220,IFERROR(MATCH($A189,$K$156:$K$220,0),MATCH(IF($A189="1Y","12M",IF($A189="12M","1Y",$A189)),$K$156:$K$220,0))),""))</f>
        <v/>
      </c>
      <c r="H189" s="16">
        <f>IF(OR(F189="",NOT(ISNUMBER(D189))),"",(F189-D189)*100)</f>
        <v/>
      </c>
      <c r="I189" s="17">
        <f>IF(OR(G189="",NOT(ISNUMBER(E189))),"",G189-E189)</f>
        <v/>
      </c>
      <c r="J189" s="18">
        <f>IF(OR($A189="",NOT(ISNUMBER($B189))),"",IF(ABS($B189-INDEX($M$156:$M$220,IFERROR(MATCH($A189,$K$156:$K$220,0),MATCH(IF($A189="1Y","12M",IF($A189="12M","1Y",$A189)),$K$156:$K$220,0))))&lt;=3,"ok","MISMATCH "&amp;TEXT(INDEX($M$156:$M$220,IFERROR(MATCH($A189,$K$156:$K$220,0),MATCH(IF($A189="1Y","12M",IF($A189="12M","1Y",$A189)),$K$156:$K$220,0))),"mm/dd/yy")))</f>
        <v/>
      </c>
      <c r="K189" s="19" t="inlineStr">
        <is>
          <t>19Y</t>
        </is>
      </c>
      <c r="L189" t="n">
        <v>19</v>
      </c>
      <c r="M189" s="20">
        <f>IFERROR(IF($C$151="","",IF(MONTH((EDATE($C$152,228))+IF(WEEKDAY((EDATE($C$152,228)),2)=6,2,IF(WEEKDAY((EDATE($C$152,228)),2)=7,1,0)))&lt;&gt;MONTH(EDATE($C$152,228)),(EDATE($C$152,228))-IF(WEEKDAY((EDATE($C$152,228)),2)=6,1,IF(WEEKDAY((EDATE($C$152,228)),2)=7,2,0)),(EDATE($C$152,228))+IF(WEEKDAY((EDATE($C$152,228)),2)=6,2,IF(WEEKDAY((EDATE($C$152,228)),2)=7,1,0)))),"")</f>
        <v/>
      </c>
      <c r="N189">
        <f>IFERROR(IF(M189="","",(M189-$C$151)/365),"")</f>
        <v/>
      </c>
      <c r="O189">
        <f>IFERROR(IF(M189="","",(M189-$C$152)/360),"")</f>
        <v/>
      </c>
      <c r="P189">
        <f>IFERROR(IF(M189="","",(M189-M188)/360),"")</f>
        <v/>
      </c>
      <c r="Q189" t="n">
        <v>1</v>
      </c>
      <c r="R189">
        <f>IFERROR(IF(COUNTIF($A$156:$A$207,"19Y")&gt;0,1,0),"")</f>
        <v/>
      </c>
      <c r="S189" s="21">
        <f>IFERROR(IF(R189=1,IFERROR(INDEX($C$156:$C$207,MATCH("19Y",$A$156:$A$207,0)),INDEX($C$156:$C$207,MATCH("19Y",$A$156:$A$207,0))),S185+(S190-S185)*0.8000000000),"")</f>
        <v/>
      </c>
      <c r="T189">
        <f>IFERROR(IF(OR(N189="",N190=""),"",(N189-N185)/(N190-N185)),"")</f>
        <v/>
      </c>
      <c r="U189" s="22">
        <f>IFERROR(IF(OR(T189="",U190=""),"",U185*(U190/U185)^T189),"")</f>
        <v/>
      </c>
      <c r="V189">
        <f>IFERROR(IF(OR(U189="",Q189=0),0,P189*U189),"")</f>
        <v/>
      </c>
    </row>
    <row r="190">
      <c r="A190" s="10" t="n"/>
      <c r="B190" s="11" t="n"/>
      <c r="C190" s="12" t="n"/>
      <c r="D190" s="12" t="n"/>
      <c r="E190" s="13" t="n"/>
      <c r="F190" s="14">
        <f>IF(OR($A190="",G190=""),"",-LN(G190)/INDEX($N$156:$N$220,IFERROR(MATCH($A190,$K$156:$K$220,0),MATCH(IF($A190="1Y","12M",IF($A190="12M","1Y",$A190)),$K$156:$K$220,0)))*100)</f>
        <v/>
      </c>
      <c r="G190" s="15">
        <f>IF($A190="","",IFERROR(INDEX($U$156:$U$220,IFERROR(MATCH($A190,$K$156:$K$220,0),MATCH(IF($A190="1Y","12M",IF($A190="12M","1Y",$A190)),$K$156:$K$220,0))),""))</f>
        <v/>
      </c>
      <c r="H190" s="16">
        <f>IF(OR(F190="",NOT(ISNUMBER(D190))),"",(F190-D190)*100)</f>
        <v/>
      </c>
      <c r="I190" s="17">
        <f>IF(OR(G190="",NOT(ISNUMBER(E190))),"",G190-E190)</f>
        <v/>
      </c>
      <c r="J190" s="18">
        <f>IF(OR($A190="",NOT(ISNUMBER($B190))),"",IF(ABS($B190-INDEX($M$156:$M$220,IFERROR(MATCH($A190,$K$156:$K$220,0),MATCH(IF($A190="1Y","12M",IF($A190="12M","1Y",$A190)),$K$156:$K$220,0))))&lt;=3,"ok","MISMATCH "&amp;TEXT(INDEX($M$156:$M$220,IFERROR(MATCH($A190,$K$156:$K$220,0),MATCH(IF($A190="1Y","12M",IF($A190="12M","1Y",$A190)),$K$156:$K$220,0))),"mm/dd/yy")))</f>
        <v/>
      </c>
      <c r="K190" s="19" t="inlineStr">
        <is>
          <t>20Y</t>
        </is>
      </c>
      <c r="L190" t="n">
        <v>20</v>
      </c>
      <c r="M190" s="20">
        <f>IFERROR(IF($C$151="","",IF(MONTH((EDATE($C$152,240))+IF(WEEKDAY((EDATE($C$152,240)),2)=6,2,IF(WEEKDAY((EDATE($C$152,240)),2)=7,1,0)))&lt;&gt;MONTH(EDATE($C$152,240)),(EDATE($C$152,240))-IF(WEEKDAY((EDATE($C$152,240)),2)=6,1,IF(WEEKDAY((EDATE($C$152,240)),2)=7,2,0)),(EDATE($C$152,240))+IF(WEEKDAY((EDATE($C$152,240)),2)=6,2,IF(WEEKDAY((EDATE($C$152,240)),2)=7,1,0)))),"")</f>
        <v/>
      </c>
      <c r="N190">
        <f>IFERROR(IF(M190="","",(M190-$C$151)/365),"")</f>
        <v/>
      </c>
      <c r="O190">
        <f>IFERROR(IF(M190="","",(M190-$C$152)/360),"")</f>
        <v/>
      </c>
      <c r="P190">
        <f>IFERROR(IF(M190="","",(M190-M189)/360),"")</f>
        <v/>
      </c>
      <c r="Q190" t="n">
        <v>1</v>
      </c>
      <c r="R190">
        <f>IFERROR(IF(COUNTIF($A$156:$A$207,"20Y")&gt;0,1,0),"")</f>
        <v/>
      </c>
      <c r="S190" s="21">
        <f>IFERROR(IFERROR(INDEX($C$156:$C$207,MATCH("20Y",$A$156:$A$207,0)),INDEX($C$156:$C$207,MATCH("20Y",$A$156:$A$207,0))),"")</f>
        <v/>
      </c>
      <c r="U190" s="22">
        <f>IFERROR(IF(S190="","",AM190),"")</f>
        <v/>
      </c>
      <c r="V190">
        <f>IFERROR(IF(OR(U190="",Q190=0),0,P190*U190),"")</f>
        <v/>
      </c>
      <c r="X190" s="23">
        <f>IFERROR(IF(S190="","",U185*0.9),"")</f>
        <v/>
      </c>
      <c r="Y190" s="23">
        <f>IFERROR(IF(S190="","",(1-(S190/100)*(SUM($V$156:V185)+SUMPRODUCT($P$186:$P$189,$Q$186:$Q$189,U185*(X190/U185)^$T$186:$T$189)))/(1+(S190/100)*P190)),"")</f>
        <v/>
      </c>
      <c r="Z190" s="23">
        <f>IFERROR(IF(S190="","",(1-(S190/100)*(SUM($V$156:V185)+SUMPRODUCT($P$186:$P$189,$Q$186:$Q$189,U185*(Y190/U185)^$T$186:$T$189)))/(1+(S190/100)*P190)),"")</f>
        <v/>
      </c>
      <c r="AA190" s="23">
        <f>IFERROR(IF(S190="","",(1-(S190/100)*(SUM($V$156:V185)+SUMPRODUCT($P$186:$P$189,$Q$186:$Q$189,U185*(Z190/U185)^$T$186:$T$189)))/(1+(S190/100)*P190)),"")</f>
        <v/>
      </c>
      <c r="AB190" s="23">
        <f>IFERROR(IF(S190="","",(1-(S190/100)*(SUM($V$156:V185)+SUMPRODUCT($P$186:$P$189,$Q$186:$Q$189,U185*(AA190/U185)^$T$186:$T$189)))/(1+(S190/100)*P190)),"")</f>
        <v/>
      </c>
      <c r="AC190" s="23">
        <f>IFERROR(IF(S190="","",(1-(S190/100)*(SUM($V$156:V185)+SUMPRODUCT($P$186:$P$189,$Q$186:$Q$189,U185*(AB190/U185)^$T$186:$T$189)))/(1+(S190/100)*P190)),"")</f>
        <v/>
      </c>
      <c r="AD190" s="23">
        <f>IFERROR(IF(S190="","",(1-(S190/100)*(SUM($V$156:V185)+SUMPRODUCT($P$186:$P$189,$Q$186:$Q$189,U185*(AC190/U185)^$T$186:$T$189)))/(1+(S190/100)*P190)),"")</f>
        <v/>
      </c>
      <c r="AE190" s="23">
        <f>IFERROR(IF(S190="","",(1-(S190/100)*(SUM($V$156:V185)+SUMPRODUCT($P$186:$P$189,$Q$186:$Q$189,U185*(AD190/U185)^$T$186:$T$189)))/(1+(S190/100)*P190)),"")</f>
        <v/>
      </c>
      <c r="AF190" s="23">
        <f>IFERROR(IF(S190="","",(1-(S190/100)*(SUM($V$156:V185)+SUMPRODUCT($P$186:$P$189,$Q$186:$Q$189,U185*(AE190/U185)^$T$186:$T$189)))/(1+(S190/100)*P190)),"")</f>
        <v/>
      </c>
      <c r="AG190" s="23">
        <f>IFERROR(IF(S190="","",(1-(S190/100)*(SUM($V$156:V185)+SUMPRODUCT($P$186:$P$189,$Q$186:$Q$189,U185*(AF190/U185)^$T$186:$T$189)))/(1+(S190/100)*P190)),"")</f>
        <v/>
      </c>
      <c r="AH190" s="23">
        <f>IFERROR(IF(S190="","",(1-(S190/100)*(SUM($V$156:V185)+SUMPRODUCT($P$186:$P$189,$Q$186:$Q$189,U185*(AG190/U185)^$T$186:$T$189)))/(1+(S190/100)*P190)),"")</f>
        <v/>
      </c>
      <c r="AI190" s="23">
        <f>IFERROR(IF(S190="","",(1-(S190/100)*(SUM($V$156:V185)+SUMPRODUCT($P$186:$P$189,$Q$186:$Q$189,U185*(AH190/U185)^$T$186:$T$189)))/(1+(S190/100)*P190)),"")</f>
        <v/>
      </c>
      <c r="AJ190" s="23">
        <f>IFERROR(IF(S190="","",(1-(S190/100)*(SUM($V$156:V185)+SUMPRODUCT($P$186:$P$189,$Q$186:$Q$189,U185*(AI190/U185)^$T$186:$T$189)))/(1+(S190/100)*P190)),"")</f>
        <v/>
      </c>
      <c r="AK190" s="23">
        <f>IFERROR(IF(S190="","",(1-(S190/100)*(SUM($V$156:V185)+SUMPRODUCT($P$186:$P$189,$Q$186:$Q$189,U185*(AJ190/U185)^$T$186:$T$189)))/(1+(S190/100)*P190)),"")</f>
        <v/>
      </c>
      <c r="AL190" s="23">
        <f>IFERROR(IF(S190="","",(1-(S190/100)*(SUM($V$156:V185)+SUMPRODUCT($P$186:$P$189,$Q$186:$Q$189,U185*(AK190/U185)^$T$186:$T$189)))/(1+(S190/100)*P190)),"")</f>
        <v/>
      </c>
      <c r="AM190" s="23">
        <f>IFERROR(IF(S190="","",(1-(S190/100)*(SUM($V$156:V185)+SUMPRODUCT($P$186:$P$189,$Q$186:$Q$189,U185*(AL190/U185)^$T$186:$T$189)))/(1+(S190/100)*P190)),"")</f>
        <v/>
      </c>
    </row>
    <row r="191">
      <c r="A191" s="10" t="n"/>
      <c r="B191" s="11" t="n"/>
      <c r="C191" s="12" t="n"/>
      <c r="D191" s="12" t="n"/>
      <c r="E191" s="13" t="n"/>
      <c r="F191" s="14">
        <f>IF(OR($A191="",G191=""),"",-LN(G191)/INDEX($N$156:$N$220,IFERROR(MATCH($A191,$K$156:$K$220,0),MATCH(IF($A191="1Y","12M",IF($A191="12M","1Y",$A191)),$K$156:$K$220,0)))*100)</f>
        <v/>
      </c>
      <c r="G191" s="15">
        <f>IF($A191="","",IFERROR(INDEX($U$156:$U$220,IFERROR(MATCH($A191,$K$156:$K$220,0),MATCH(IF($A191="1Y","12M",IF($A191="12M","1Y",$A191)),$K$156:$K$220,0))),""))</f>
        <v/>
      </c>
      <c r="H191" s="16">
        <f>IF(OR(F191="",NOT(ISNUMBER(D191))),"",(F191-D191)*100)</f>
        <v/>
      </c>
      <c r="I191" s="17">
        <f>IF(OR(G191="",NOT(ISNUMBER(E191))),"",G191-E191)</f>
        <v/>
      </c>
      <c r="J191" s="18">
        <f>IF(OR($A191="",NOT(ISNUMBER($B191))),"",IF(ABS($B191-INDEX($M$156:$M$220,IFERROR(MATCH($A191,$K$156:$K$220,0),MATCH(IF($A191="1Y","12M",IF($A191="12M","1Y",$A191)),$K$156:$K$220,0))))&lt;=3,"ok","MISMATCH "&amp;TEXT(INDEX($M$156:$M$220,IFERROR(MATCH($A191,$K$156:$K$220,0),MATCH(IF($A191="1Y","12M",IF($A191="12M","1Y",$A191)),$K$156:$K$220,0))),"mm/dd/yy")))</f>
        <v/>
      </c>
      <c r="K191" s="19" t="inlineStr">
        <is>
          <t>21Y</t>
        </is>
      </c>
      <c r="L191" t="n">
        <v>21</v>
      </c>
      <c r="M191" s="20">
        <f>IFERROR(IF($C$151="","",IF(MONTH((EDATE($C$152,252))+IF(WEEKDAY((EDATE($C$152,252)),2)=6,2,IF(WEEKDAY((EDATE($C$152,252)),2)=7,1,0)))&lt;&gt;MONTH(EDATE($C$152,252)),(EDATE($C$152,252))-IF(WEEKDAY((EDATE($C$152,252)),2)=6,1,IF(WEEKDAY((EDATE($C$152,252)),2)=7,2,0)),(EDATE($C$152,252))+IF(WEEKDAY((EDATE($C$152,252)),2)=6,2,IF(WEEKDAY((EDATE($C$152,252)),2)=7,1,0)))),"")</f>
        <v/>
      </c>
      <c r="N191">
        <f>IFERROR(IF(M191="","",(M191-$C$151)/365),"")</f>
        <v/>
      </c>
      <c r="O191">
        <f>IFERROR(IF(M191="","",(M191-$C$152)/360),"")</f>
        <v/>
      </c>
      <c r="P191">
        <f>IFERROR(IF(M191="","",(M191-M190)/360),"")</f>
        <v/>
      </c>
      <c r="Q191" t="n">
        <v>1</v>
      </c>
      <c r="R191">
        <f>IFERROR(IF(COUNTIF($A$156:$A$207,"21Y")&gt;0,1,0),"")</f>
        <v/>
      </c>
      <c r="S191" s="21">
        <f>IFERROR(IF(R191=1,IFERROR(INDEX($C$156:$C$207,MATCH("21Y",$A$156:$A$207,0)),INDEX($C$156:$C$207,MATCH("21Y",$A$156:$A$207,0))),S190+(S195-S190)*0.2000000000),"")</f>
        <v/>
      </c>
      <c r="T191">
        <f>IFERROR(IF(OR(N191="",N195=""),"",(N191-N190)/(N195-N190)),"")</f>
        <v/>
      </c>
      <c r="U191" s="22">
        <f>IFERROR(IF(OR(T191="",U195=""),"",U190*(U195/U190)^T191),"")</f>
        <v/>
      </c>
      <c r="V191">
        <f>IFERROR(IF(OR(U191="",Q191=0),0,P191*U191),"")</f>
        <v/>
      </c>
    </row>
    <row r="192">
      <c r="A192" s="10" t="n"/>
      <c r="B192" s="11" t="n"/>
      <c r="C192" s="12" t="n"/>
      <c r="D192" s="12" t="n"/>
      <c r="E192" s="13" t="n"/>
      <c r="F192" s="14">
        <f>IF(OR($A192="",G192=""),"",-LN(G192)/INDEX($N$156:$N$220,IFERROR(MATCH($A192,$K$156:$K$220,0),MATCH(IF($A192="1Y","12M",IF($A192="12M","1Y",$A192)),$K$156:$K$220,0)))*100)</f>
        <v/>
      </c>
      <c r="G192" s="15">
        <f>IF($A192="","",IFERROR(INDEX($U$156:$U$220,IFERROR(MATCH($A192,$K$156:$K$220,0),MATCH(IF($A192="1Y","12M",IF($A192="12M","1Y",$A192)),$K$156:$K$220,0))),""))</f>
        <v/>
      </c>
      <c r="H192" s="16">
        <f>IF(OR(F192="",NOT(ISNUMBER(D192))),"",(F192-D192)*100)</f>
        <v/>
      </c>
      <c r="I192" s="17">
        <f>IF(OR(G192="",NOT(ISNUMBER(E192))),"",G192-E192)</f>
        <v/>
      </c>
      <c r="J192" s="18">
        <f>IF(OR($A192="",NOT(ISNUMBER($B192))),"",IF(ABS($B192-INDEX($M$156:$M$220,IFERROR(MATCH($A192,$K$156:$K$220,0),MATCH(IF($A192="1Y","12M",IF($A192="12M","1Y",$A192)),$K$156:$K$220,0))))&lt;=3,"ok","MISMATCH "&amp;TEXT(INDEX($M$156:$M$220,IFERROR(MATCH($A192,$K$156:$K$220,0),MATCH(IF($A192="1Y","12M",IF($A192="12M","1Y",$A192)),$K$156:$K$220,0))),"mm/dd/yy")))</f>
        <v/>
      </c>
      <c r="K192" s="19" t="inlineStr">
        <is>
          <t>22Y</t>
        </is>
      </c>
      <c r="L192" t="n">
        <v>22</v>
      </c>
      <c r="M192" s="20">
        <f>IFERROR(IF($C$151="","",IF(MONTH((EDATE($C$152,264))+IF(WEEKDAY((EDATE($C$152,264)),2)=6,2,IF(WEEKDAY((EDATE($C$152,264)),2)=7,1,0)))&lt;&gt;MONTH(EDATE($C$152,264)),(EDATE($C$152,264))-IF(WEEKDAY((EDATE($C$152,264)),2)=6,1,IF(WEEKDAY((EDATE($C$152,264)),2)=7,2,0)),(EDATE($C$152,264))+IF(WEEKDAY((EDATE($C$152,264)),2)=6,2,IF(WEEKDAY((EDATE($C$152,264)),2)=7,1,0)))),"")</f>
        <v/>
      </c>
      <c r="N192">
        <f>IFERROR(IF(M192="","",(M192-$C$151)/365),"")</f>
        <v/>
      </c>
      <c r="O192">
        <f>IFERROR(IF(M192="","",(M192-$C$152)/360),"")</f>
        <v/>
      </c>
      <c r="P192">
        <f>IFERROR(IF(M192="","",(M192-M191)/360),"")</f>
        <v/>
      </c>
      <c r="Q192" t="n">
        <v>1</v>
      </c>
      <c r="R192">
        <f>IFERROR(IF(COUNTIF($A$156:$A$207,"22Y")&gt;0,1,0),"")</f>
        <v/>
      </c>
      <c r="S192" s="21">
        <f>IFERROR(IF(R192=1,IFERROR(INDEX($C$156:$C$207,MATCH("22Y",$A$156:$A$207,0)),INDEX($C$156:$C$207,MATCH("22Y",$A$156:$A$207,0))),S190+(S195-S190)*0.4000000000),"")</f>
        <v/>
      </c>
      <c r="T192">
        <f>IFERROR(IF(OR(N192="",N195=""),"",(N192-N190)/(N195-N190)),"")</f>
        <v/>
      </c>
      <c r="U192" s="22">
        <f>IFERROR(IF(OR(T192="",U195=""),"",U190*(U195/U190)^T192),"")</f>
        <v/>
      </c>
      <c r="V192">
        <f>IFERROR(IF(OR(U192="",Q192=0),0,P192*U192),"")</f>
        <v/>
      </c>
    </row>
    <row r="193">
      <c r="A193" s="10" t="n"/>
      <c r="B193" s="11" t="n"/>
      <c r="C193" s="12" t="n"/>
      <c r="D193" s="12" t="n"/>
      <c r="E193" s="13" t="n"/>
      <c r="F193" s="14">
        <f>IF(OR($A193="",G193=""),"",-LN(G193)/INDEX($N$156:$N$220,IFERROR(MATCH($A193,$K$156:$K$220,0),MATCH(IF($A193="1Y","12M",IF($A193="12M","1Y",$A193)),$K$156:$K$220,0)))*100)</f>
        <v/>
      </c>
      <c r="G193" s="15">
        <f>IF($A193="","",IFERROR(INDEX($U$156:$U$220,IFERROR(MATCH($A193,$K$156:$K$220,0),MATCH(IF($A193="1Y","12M",IF($A193="12M","1Y",$A193)),$K$156:$K$220,0))),""))</f>
        <v/>
      </c>
      <c r="H193" s="16">
        <f>IF(OR(F193="",NOT(ISNUMBER(D193))),"",(F193-D193)*100)</f>
        <v/>
      </c>
      <c r="I193" s="17">
        <f>IF(OR(G193="",NOT(ISNUMBER(E193))),"",G193-E193)</f>
        <v/>
      </c>
      <c r="J193" s="18">
        <f>IF(OR($A193="",NOT(ISNUMBER($B193))),"",IF(ABS($B193-INDEX($M$156:$M$220,IFERROR(MATCH($A193,$K$156:$K$220,0),MATCH(IF($A193="1Y","12M",IF($A193="12M","1Y",$A193)),$K$156:$K$220,0))))&lt;=3,"ok","MISMATCH "&amp;TEXT(INDEX($M$156:$M$220,IFERROR(MATCH($A193,$K$156:$K$220,0),MATCH(IF($A193="1Y","12M",IF($A193="12M","1Y",$A193)),$K$156:$K$220,0))),"mm/dd/yy")))</f>
        <v/>
      </c>
      <c r="K193" s="19" t="inlineStr">
        <is>
          <t>23Y</t>
        </is>
      </c>
      <c r="L193" t="n">
        <v>23</v>
      </c>
      <c r="M193" s="20">
        <f>IFERROR(IF($C$151="","",IF(MONTH((EDATE($C$152,276))+IF(WEEKDAY((EDATE($C$152,276)),2)=6,2,IF(WEEKDAY((EDATE($C$152,276)),2)=7,1,0)))&lt;&gt;MONTH(EDATE($C$152,276)),(EDATE($C$152,276))-IF(WEEKDAY((EDATE($C$152,276)),2)=6,1,IF(WEEKDAY((EDATE($C$152,276)),2)=7,2,0)),(EDATE($C$152,276))+IF(WEEKDAY((EDATE($C$152,276)),2)=6,2,IF(WEEKDAY((EDATE($C$152,276)),2)=7,1,0)))),"")</f>
        <v/>
      </c>
      <c r="N193">
        <f>IFERROR(IF(M193="","",(M193-$C$151)/365),"")</f>
        <v/>
      </c>
      <c r="O193">
        <f>IFERROR(IF(M193="","",(M193-$C$152)/360),"")</f>
        <v/>
      </c>
      <c r="P193">
        <f>IFERROR(IF(M193="","",(M193-M192)/360),"")</f>
        <v/>
      </c>
      <c r="Q193" t="n">
        <v>1</v>
      </c>
      <c r="R193">
        <f>IFERROR(IF(COUNTIF($A$156:$A$207,"23Y")&gt;0,1,0),"")</f>
        <v/>
      </c>
      <c r="S193" s="21">
        <f>IFERROR(IF(R193=1,IFERROR(INDEX($C$156:$C$207,MATCH("23Y",$A$156:$A$207,0)),INDEX($C$156:$C$207,MATCH("23Y",$A$156:$A$207,0))),S190+(S195-S190)*0.6000000000),"")</f>
        <v/>
      </c>
      <c r="T193">
        <f>IFERROR(IF(OR(N193="",N195=""),"",(N193-N190)/(N195-N190)),"")</f>
        <v/>
      </c>
      <c r="U193" s="22">
        <f>IFERROR(IF(OR(T193="",U195=""),"",U190*(U195/U190)^T193),"")</f>
        <v/>
      </c>
      <c r="V193">
        <f>IFERROR(IF(OR(U193="",Q193=0),0,P193*U193),"")</f>
        <v/>
      </c>
    </row>
    <row r="194">
      <c r="A194" s="10" t="n"/>
      <c r="B194" s="11" t="n"/>
      <c r="C194" s="12" t="n"/>
      <c r="D194" s="12" t="n"/>
      <c r="E194" s="13" t="n"/>
      <c r="F194" s="14">
        <f>IF(OR($A194="",G194=""),"",-LN(G194)/INDEX($N$156:$N$220,IFERROR(MATCH($A194,$K$156:$K$220,0),MATCH(IF($A194="1Y","12M",IF($A194="12M","1Y",$A194)),$K$156:$K$220,0)))*100)</f>
        <v/>
      </c>
      <c r="G194" s="15">
        <f>IF($A194="","",IFERROR(INDEX($U$156:$U$220,IFERROR(MATCH($A194,$K$156:$K$220,0),MATCH(IF($A194="1Y","12M",IF($A194="12M","1Y",$A194)),$K$156:$K$220,0))),""))</f>
        <v/>
      </c>
      <c r="H194" s="16">
        <f>IF(OR(F194="",NOT(ISNUMBER(D194))),"",(F194-D194)*100)</f>
        <v/>
      </c>
      <c r="I194" s="17">
        <f>IF(OR(G194="",NOT(ISNUMBER(E194))),"",G194-E194)</f>
        <v/>
      </c>
      <c r="J194" s="18">
        <f>IF(OR($A194="",NOT(ISNUMBER($B194))),"",IF(ABS($B194-INDEX($M$156:$M$220,IFERROR(MATCH($A194,$K$156:$K$220,0),MATCH(IF($A194="1Y","12M",IF($A194="12M","1Y",$A194)),$K$156:$K$220,0))))&lt;=3,"ok","MISMATCH "&amp;TEXT(INDEX($M$156:$M$220,IFERROR(MATCH($A194,$K$156:$K$220,0),MATCH(IF($A194="1Y","12M",IF($A194="12M","1Y",$A194)),$K$156:$K$220,0))),"mm/dd/yy")))</f>
        <v/>
      </c>
      <c r="K194" s="19" t="inlineStr">
        <is>
          <t>24Y</t>
        </is>
      </c>
      <c r="L194" t="n">
        <v>24</v>
      </c>
      <c r="M194" s="20">
        <f>IFERROR(IF($C$151="","",IF(MONTH((EDATE($C$152,288))+IF(WEEKDAY((EDATE($C$152,288)),2)=6,2,IF(WEEKDAY((EDATE($C$152,288)),2)=7,1,0)))&lt;&gt;MONTH(EDATE($C$152,288)),(EDATE($C$152,288))-IF(WEEKDAY((EDATE($C$152,288)),2)=6,1,IF(WEEKDAY((EDATE($C$152,288)),2)=7,2,0)),(EDATE($C$152,288))+IF(WEEKDAY((EDATE($C$152,288)),2)=6,2,IF(WEEKDAY((EDATE($C$152,288)),2)=7,1,0)))),"")</f>
        <v/>
      </c>
      <c r="N194">
        <f>IFERROR(IF(M194="","",(M194-$C$151)/365),"")</f>
        <v/>
      </c>
      <c r="O194">
        <f>IFERROR(IF(M194="","",(M194-$C$152)/360),"")</f>
        <v/>
      </c>
      <c r="P194">
        <f>IFERROR(IF(M194="","",(M194-M193)/360),"")</f>
        <v/>
      </c>
      <c r="Q194" t="n">
        <v>1</v>
      </c>
      <c r="R194">
        <f>IFERROR(IF(COUNTIF($A$156:$A$207,"24Y")&gt;0,1,0),"")</f>
        <v/>
      </c>
      <c r="S194" s="21">
        <f>IFERROR(IF(R194=1,IFERROR(INDEX($C$156:$C$207,MATCH("24Y",$A$156:$A$207,0)),INDEX($C$156:$C$207,MATCH("24Y",$A$156:$A$207,0))),S190+(S195-S190)*0.8000000000),"")</f>
        <v/>
      </c>
      <c r="T194">
        <f>IFERROR(IF(OR(N194="",N195=""),"",(N194-N190)/(N195-N190)),"")</f>
        <v/>
      </c>
      <c r="U194" s="22">
        <f>IFERROR(IF(OR(T194="",U195=""),"",U190*(U195/U190)^T194),"")</f>
        <v/>
      </c>
      <c r="V194">
        <f>IFERROR(IF(OR(U194="",Q194=0),0,P194*U194),"")</f>
        <v/>
      </c>
    </row>
    <row r="195">
      <c r="A195" s="10" t="n"/>
      <c r="B195" s="11" t="n"/>
      <c r="C195" s="12" t="n"/>
      <c r="D195" s="12" t="n"/>
      <c r="E195" s="13" t="n"/>
      <c r="F195" s="14">
        <f>IF(OR($A195="",G195=""),"",-LN(G195)/INDEX($N$156:$N$220,IFERROR(MATCH($A195,$K$156:$K$220,0),MATCH(IF($A195="1Y","12M",IF($A195="12M","1Y",$A195)),$K$156:$K$220,0)))*100)</f>
        <v/>
      </c>
      <c r="G195" s="15">
        <f>IF($A195="","",IFERROR(INDEX($U$156:$U$220,IFERROR(MATCH($A195,$K$156:$K$220,0),MATCH(IF($A195="1Y","12M",IF($A195="12M","1Y",$A195)),$K$156:$K$220,0))),""))</f>
        <v/>
      </c>
      <c r="H195" s="16">
        <f>IF(OR(F195="",NOT(ISNUMBER(D195))),"",(F195-D195)*100)</f>
        <v/>
      </c>
      <c r="I195" s="17">
        <f>IF(OR(G195="",NOT(ISNUMBER(E195))),"",G195-E195)</f>
        <v/>
      </c>
      <c r="J195" s="18">
        <f>IF(OR($A195="",NOT(ISNUMBER($B195))),"",IF(ABS($B195-INDEX($M$156:$M$220,IFERROR(MATCH($A195,$K$156:$K$220,0),MATCH(IF($A195="1Y","12M",IF($A195="12M","1Y",$A195)),$K$156:$K$220,0))))&lt;=3,"ok","MISMATCH "&amp;TEXT(INDEX($M$156:$M$220,IFERROR(MATCH($A195,$K$156:$K$220,0),MATCH(IF($A195="1Y","12M",IF($A195="12M","1Y",$A195)),$K$156:$K$220,0))),"mm/dd/yy")))</f>
        <v/>
      </c>
      <c r="K195" s="19" t="inlineStr">
        <is>
          <t>25Y</t>
        </is>
      </c>
      <c r="L195" t="n">
        <v>25</v>
      </c>
      <c r="M195" s="20">
        <f>IFERROR(IF($C$151="","",IF(MONTH((EDATE($C$152,300))+IF(WEEKDAY((EDATE($C$152,300)),2)=6,2,IF(WEEKDAY((EDATE($C$152,300)),2)=7,1,0)))&lt;&gt;MONTH(EDATE($C$152,300)),(EDATE($C$152,300))-IF(WEEKDAY((EDATE($C$152,300)),2)=6,1,IF(WEEKDAY((EDATE($C$152,300)),2)=7,2,0)),(EDATE($C$152,300))+IF(WEEKDAY((EDATE($C$152,300)),2)=6,2,IF(WEEKDAY((EDATE($C$152,300)),2)=7,1,0)))),"")</f>
        <v/>
      </c>
      <c r="N195">
        <f>IFERROR(IF(M195="","",(M195-$C$151)/365),"")</f>
        <v/>
      </c>
      <c r="O195">
        <f>IFERROR(IF(M195="","",(M195-$C$152)/360),"")</f>
        <v/>
      </c>
      <c r="P195">
        <f>IFERROR(IF(M195="","",(M195-M194)/360),"")</f>
        <v/>
      </c>
      <c r="Q195" t="n">
        <v>1</v>
      </c>
      <c r="R195">
        <f>IFERROR(IF(COUNTIF($A$156:$A$207,"25Y")&gt;0,1,0),"")</f>
        <v/>
      </c>
      <c r="S195" s="21">
        <f>IFERROR(IFERROR(INDEX($C$156:$C$207,MATCH("25Y",$A$156:$A$207,0)),INDEX($C$156:$C$207,MATCH("25Y",$A$156:$A$207,0))),"")</f>
        <v/>
      </c>
      <c r="U195" s="22">
        <f>IFERROR(IF(S195="","",AM195),"")</f>
        <v/>
      </c>
      <c r="V195">
        <f>IFERROR(IF(OR(U195="",Q195=0),0,P195*U195),"")</f>
        <v/>
      </c>
      <c r="X195" s="23">
        <f>IFERROR(IF(S195="","",U190*0.9),"")</f>
        <v/>
      </c>
      <c r="Y195" s="23">
        <f>IFERROR(IF(S195="","",(1-(S195/100)*(SUM($V$156:V190)+SUMPRODUCT($P$191:$P$194,$Q$191:$Q$194,U190*(X195/U190)^$T$191:$T$194)))/(1+(S195/100)*P195)),"")</f>
        <v/>
      </c>
      <c r="Z195" s="23">
        <f>IFERROR(IF(S195="","",(1-(S195/100)*(SUM($V$156:V190)+SUMPRODUCT($P$191:$P$194,$Q$191:$Q$194,U190*(Y195/U190)^$T$191:$T$194)))/(1+(S195/100)*P195)),"")</f>
        <v/>
      </c>
      <c r="AA195" s="23">
        <f>IFERROR(IF(S195="","",(1-(S195/100)*(SUM($V$156:V190)+SUMPRODUCT($P$191:$P$194,$Q$191:$Q$194,U190*(Z195/U190)^$T$191:$T$194)))/(1+(S195/100)*P195)),"")</f>
        <v/>
      </c>
      <c r="AB195" s="23">
        <f>IFERROR(IF(S195="","",(1-(S195/100)*(SUM($V$156:V190)+SUMPRODUCT($P$191:$P$194,$Q$191:$Q$194,U190*(AA195/U190)^$T$191:$T$194)))/(1+(S195/100)*P195)),"")</f>
        <v/>
      </c>
      <c r="AC195" s="23">
        <f>IFERROR(IF(S195="","",(1-(S195/100)*(SUM($V$156:V190)+SUMPRODUCT($P$191:$P$194,$Q$191:$Q$194,U190*(AB195/U190)^$T$191:$T$194)))/(1+(S195/100)*P195)),"")</f>
        <v/>
      </c>
      <c r="AD195" s="23">
        <f>IFERROR(IF(S195="","",(1-(S195/100)*(SUM($V$156:V190)+SUMPRODUCT($P$191:$P$194,$Q$191:$Q$194,U190*(AC195/U190)^$T$191:$T$194)))/(1+(S195/100)*P195)),"")</f>
        <v/>
      </c>
      <c r="AE195" s="23">
        <f>IFERROR(IF(S195="","",(1-(S195/100)*(SUM($V$156:V190)+SUMPRODUCT($P$191:$P$194,$Q$191:$Q$194,U190*(AD195/U190)^$T$191:$T$194)))/(1+(S195/100)*P195)),"")</f>
        <v/>
      </c>
      <c r="AF195" s="23">
        <f>IFERROR(IF(S195="","",(1-(S195/100)*(SUM($V$156:V190)+SUMPRODUCT($P$191:$P$194,$Q$191:$Q$194,U190*(AE195/U190)^$T$191:$T$194)))/(1+(S195/100)*P195)),"")</f>
        <v/>
      </c>
      <c r="AG195" s="23">
        <f>IFERROR(IF(S195="","",(1-(S195/100)*(SUM($V$156:V190)+SUMPRODUCT($P$191:$P$194,$Q$191:$Q$194,U190*(AF195/U190)^$T$191:$T$194)))/(1+(S195/100)*P195)),"")</f>
        <v/>
      </c>
      <c r="AH195" s="23">
        <f>IFERROR(IF(S195="","",(1-(S195/100)*(SUM($V$156:V190)+SUMPRODUCT($P$191:$P$194,$Q$191:$Q$194,U190*(AG195/U190)^$T$191:$T$194)))/(1+(S195/100)*P195)),"")</f>
        <v/>
      </c>
      <c r="AI195" s="23">
        <f>IFERROR(IF(S195="","",(1-(S195/100)*(SUM($V$156:V190)+SUMPRODUCT($P$191:$P$194,$Q$191:$Q$194,U190*(AH195/U190)^$T$191:$T$194)))/(1+(S195/100)*P195)),"")</f>
        <v/>
      </c>
      <c r="AJ195" s="23">
        <f>IFERROR(IF(S195="","",(1-(S195/100)*(SUM($V$156:V190)+SUMPRODUCT($P$191:$P$194,$Q$191:$Q$194,U190*(AI195/U190)^$T$191:$T$194)))/(1+(S195/100)*P195)),"")</f>
        <v/>
      </c>
      <c r="AK195" s="23">
        <f>IFERROR(IF(S195="","",(1-(S195/100)*(SUM($V$156:V190)+SUMPRODUCT($P$191:$P$194,$Q$191:$Q$194,U190*(AJ195/U190)^$T$191:$T$194)))/(1+(S195/100)*P195)),"")</f>
        <v/>
      </c>
      <c r="AL195" s="23">
        <f>IFERROR(IF(S195="","",(1-(S195/100)*(SUM($V$156:V190)+SUMPRODUCT($P$191:$P$194,$Q$191:$Q$194,U190*(AK195/U190)^$T$191:$T$194)))/(1+(S195/100)*P195)),"")</f>
        <v/>
      </c>
      <c r="AM195" s="23">
        <f>IFERROR(IF(S195="","",(1-(S195/100)*(SUM($V$156:V190)+SUMPRODUCT($P$191:$P$194,$Q$191:$Q$194,U190*(AL195/U190)^$T$191:$T$194)))/(1+(S195/100)*P195)),"")</f>
        <v/>
      </c>
    </row>
    <row r="196">
      <c r="A196" s="10" t="n"/>
      <c r="B196" s="11" t="n"/>
      <c r="C196" s="12" t="n"/>
      <c r="D196" s="12" t="n"/>
      <c r="E196" s="13" t="n"/>
      <c r="F196" s="14">
        <f>IF(OR($A196="",G196=""),"",-LN(G196)/INDEX($N$156:$N$220,IFERROR(MATCH($A196,$K$156:$K$220,0),MATCH(IF($A196="1Y","12M",IF($A196="12M","1Y",$A196)),$K$156:$K$220,0)))*100)</f>
        <v/>
      </c>
      <c r="G196" s="15">
        <f>IF($A196="","",IFERROR(INDEX($U$156:$U$220,IFERROR(MATCH($A196,$K$156:$K$220,0),MATCH(IF($A196="1Y","12M",IF($A196="12M","1Y",$A196)),$K$156:$K$220,0))),""))</f>
        <v/>
      </c>
      <c r="H196" s="16">
        <f>IF(OR(F196="",NOT(ISNUMBER(D196))),"",(F196-D196)*100)</f>
        <v/>
      </c>
      <c r="I196" s="17">
        <f>IF(OR(G196="",NOT(ISNUMBER(E196))),"",G196-E196)</f>
        <v/>
      </c>
      <c r="J196" s="18">
        <f>IF(OR($A196="",NOT(ISNUMBER($B196))),"",IF(ABS($B196-INDEX($M$156:$M$220,IFERROR(MATCH($A196,$K$156:$K$220,0),MATCH(IF($A196="1Y","12M",IF($A196="12M","1Y",$A196)),$K$156:$K$220,0))))&lt;=3,"ok","MISMATCH "&amp;TEXT(INDEX($M$156:$M$220,IFERROR(MATCH($A196,$K$156:$K$220,0),MATCH(IF($A196="1Y","12M",IF($A196="12M","1Y",$A196)),$K$156:$K$220,0))),"mm/dd/yy")))</f>
        <v/>
      </c>
      <c r="K196" s="19" t="inlineStr">
        <is>
          <t>26Y</t>
        </is>
      </c>
      <c r="L196" t="n">
        <v>26</v>
      </c>
      <c r="M196" s="20">
        <f>IFERROR(IF($C$151="","",IF(MONTH((EDATE($C$152,312))+IF(WEEKDAY((EDATE($C$152,312)),2)=6,2,IF(WEEKDAY((EDATE($C$152,312)),2)=7,1,0)))&lt;&gt;MONTH(EDATE($C$152,312)),(EDATE($C$152,312))-IF(WEEKDAY((EDATE($C$152,312)),2)=6,1,IF(WEEKDAY((EDATE($C$152,312)),2)=7,2,0)),(EDATE($C$152,312))+IF(WEEKDAY((EDATE($C$152,312)),2)=6,2,IF(WEEKDAY((EDATE($C$152,312)),2)=7,1,0)))),"")</f>
        <v/>
      </c>
      <c r="N196">
        <f>IFERROR(IF(M196="","",(M196-$C$151)/365),"")</f>
        <v/>
      </c>
      <c r="O196">
        <f>IFERROR(IF(M196="","",(M196-$C$152)/360),"")</f>
        <v/>
      </c>
      <c r="P196">
        <f>IFERROR(IF(M196="","",(M196-M195)/360),"")</f>
        <v/>
      </c>
      <c r="Q196" t="n">
        <v>1</v>
      </c>
      <c r="R196">
        <f>IFERROR(IF(COUNTIF($A$156:$A$207,"26Y")&gt;0,1,0),"")</f>
        <v/>
      </c>
      <c r="S196" s="21">
        <f>IFERROR(IF(R196=1,IFERROR(INDEX($C$156:$C$207,MATCH("26Y",$A$156:$A$207,0)),INDEX($C$156:$C$207,MATCH("26Y",$A$156:$A$207,0))),S195+(S200-S195)*0.2000000000),"")</f>
        <v/>
      </c>
      <c r="T196">
        <f>IFERROR(IF(OR(N196="",N200=""),"",(N196-N195)/(N200-N195)),"")</f>
        <v/>
      </c>
      <c r="U196" s="22">
        <f>IFERROR(IF(OR(T196="",U200=""),"",U195*(U200/U195)^T196),"")</f>
        <v/>
      </c>
      <c r="V196">
        <f>IFERROR(IF(OR(U196="",Q196=0),0,P196*U196),"")</f>
        <v/>
      </c>
    </row>
    <row r="197">
      <c r="A197" s="10" t="n"/>
      <c r="B197" s="11" t="n"/>
      <c r="C197" s="12" t="n"/>
      <c r="D197" s="12" t="n"/>
      <c r="E197" s="13" t="n"/>
      <c r="F197" s="14">
        <f>IF(OR($A197="",G197=""),"",-LN(G197)/INDEX($N$156:$N$220,IFERROR(MATCH($A197,$K$156:$K$220,0),MATCH(IF($A197="1Y","12M",IF($A197="12M","1Y",$A197)),$K$156:$K$220,0)))*100)</f>
        <v/>
      </c>
      <c r="G197" s="15">
        <f>IF($A197="","",IFERROR(INDEX($U$156:$U$220,IFERROR(MATCH($A197,$K$156:$K$220,0),MATCH(IF($A197="1Y","12M",IF($A197="12M","1Y",$A197)),$K$156:$K$220,0))),""))</f>
        <v/>
      </c>
      <c r="H197" s="16">
        <f>IF(OR(F197="",NOT(ISNUMBER(D197))),"",(F197-D197)*100)</f>
        <v/>
      </c>
      <c r="I197" s="17">
        <f>IF(OR(G197="",NOT(ISNUMBER(E197))),"",G197-E197)</f>
        <v/>
      </c>
      <c r="J197" s="18">
        <f>IF(OR($A197="",NOT(ISNUMBER($B197))),"",IF(ABS($B197-INDEX($M$156:$M$220,IFERROR(MATCH($A197,$K$156:$K$220,0),MATCH(IF($A197="1Y","12M",IF($A197="12M","1Y",$A197)),$K$156:$K$220,0))))&lt;=3,"ok","MISMATCH "&amp;TEXT(INDEX($M$156:$M$220,IFERROR(MATCH($A197,$K$156:$K$220,0),MATCH(IF($A197="1Y","12M",IF($A197="12M","1Y",$A197)),$K$156:$K$220,0))),"mm/dd/yy")))</f>
        <v/>
      </c>
      <c r="K197" s="19" t="inlineStr">
        <is>
          <t>27Y</t>
        </is>
      </c>
      <c r="L197" t="n">
        <v>27</v>
      </c>
      <c r="M197" s="20">
        <f>IFERROR(IF($C$151="","",IF(MONTH((EDATE($C$152,324))+IF(WEEKDAY((EDATE($C$152,324)),2)=6,2,IF(WEEKDAY((EDATE($C$152,324)),2)=7,1,0)))&lt;&gt;MONTH(EDATE($C$152,324)),(EDATE($C$152,324))-IF(WEEKDAY((EDATE($C$152,324)),2)=6,1,IF(WEEKDAY((EDATE($C$152,324)),2)=7,2,0)),(EDATE($C$152,324))+IF(WEEKDAY((EDATE($C$152,324)),2)=6,2,IF(WEEKDAY((EDATE($C$152,324)),2)=7,1,0)))),"")</f>
        <v/>
      </c>
      <c r="N197">
        <f>IFERROR(IF(M197="","",(M197-$C$151)/365),"")</f>
        <v/>
      </c>
      <c r="O197">
        <f>IFERROR(IF(M197="","",(M197-$C$152)/360),"")</f>
        <v/>
      </c>
      <c r="P197">
        <f>IFERROR(IF(M197="","",(M197-M196)/360),"")</f>
        <v/>
      </c>
      <c r="Q197" t="n">
        <v>1</v>
      </c>
      <c r="R197">
        <f>IFERROR(IF(COUNTIF($A$156:$A$207,"27Y")&gt;0,1,0),"")</f>
        <v/>
      </c>
      <c r="S197" s="21">
        <f>IFERROR(IF(R197=1,IFERROR(INDEX($C$156:$C$207,MATCH("27Y",$A$156:$A$207,0)),INDEX($C$156:$C$207,MATCH("27Y",$A$156:$A$207,0))),S195+(S200-S195)*0.4000000000),"")</f>
        <v/>
      </c>
      <c r="T197">
        <f>IFERROR(IF(OR(N197="",N200=""),"",(N197-N195)/(N200-N195)),"")</f>
        <v/>
      </c>
      <c r="U197" s="22">
        <f>IFERROR(IF(OR(T197="",U200=""),"",U195*(U200/U195)^T197),"")</f>
        <v/>
      </c>
      <c r="V197">
        <f>IFERROR(IF(OR(U197="",Q197=0),0,P197*U197),"")</f>
        <v/>
      </c>
    </row>
    <row r="198">
      <c r="A198" s="10" t="n"/>
      <c r="B198" s="11" t="n"/>
      <c r="C198" s="12" t="n"/>
      <c r="D198" s="12" t="n"/>
      <c r="E198" s="13" t="n"/>
      <c r="F198" s="14">
        <f>IF(OR($A198="",G198=""),"",-LN(G198)/INDEX($N$156:$N$220,IFERROR(MATCH($A198,$K$156:$K$220,0),MATCH(IF($A198="1Y","12M",IF($A198="12M","1Y",$A198)),$K$156:$K$220,0)))*100)</f>
        <v/>
      </c>
      <c r="G198" s="15">
        <f>IF($A198="","",IFERROR(INDEX($U$156:$U$220,IFERROR(MATCH($A198,$K$156:$K$220,0),MATCH(IF($A198="1Y","12M",IF($A198="12M","1Y",$A198)),$K$156:$K$220,0))),""))</f>
        <v/>
      </c>
      <c r="H198" s="16">
        <f>IF(OR(F198="",NOT(ISNUMBER(D198))),"",(F198-D198)*100)</f>
        <v/>
      </c>
      <c r="I198" s="17">
        <f>IF(OR(G198="",NOT(ISNUMBER(E198))),"",G198-E198)</f>
        <v/>
      </c>
      <c r="J198" s="18">
        <f>IF(OR($A198="",NOT(ISNUMBER($B198))),"",IF(ABS($B198-INDEX($M$156:$M$220,IFERROR(MATCH($A198,$K$156:$K$220,0),MATCH(IF($A198="1Y","12M",IF($A198="12M","1Y",$A198)),$K$156:$K$220,0))))&lt;=3,"ok","MISMATCH "&amp;TEXT(INDEX($M$156:$M$220,IFERROR(MATCH($A198,$K$156:$K$220,0),MATCH(IF($A198="1Y","12M",IF($A198="12M","1Y",$A198)),$K$156:$K$220,0))),"mm/dd/yy")))</f>
        <v/>
      </c>
      <c r="K198" s="19" t="inlineStr">
        <is>
          <t>28Y</t>
        </is>
      </c>
      <c r="L198" t="n">
        <v>28</v>
      </c>
      <c r="M198" s="20">
        <f>IFERROR(IF($C$151="","",IF(MONTH((EDATE($C$152,336))+IF(WEEKDAY((EDATE($C$152,336)),2)=6,2,IF(WEEKDAY((EDATE($C$152,336)),2)=7,1,0)))&lt;&gt;MONTH(EDATE($C$152,336)),(EDATE($C$152,336))-IF(WEEKDAY((EDATE($C$152,336)),2)=6,1,IF(WEEKDAY((EDATE($C$152,336)),2)=7,2,0)),(EDATE($C$152,336))+IF(WEEKDAY((EDATE($C$152,336)),2)=6,2,IF(WEEKDAY((EDATE($C$152,336)),2)=7,1,0)))),"")</f>
        <v/>
      </c>
      <c r="N198">
        <f>IFERROR(IF(M198="","",(M198-$C$151)/365),"")</f>
        <v/>
      </c>
      <c r="O198">
        <f>IFERROR(IF(M198="","",(M198-$C$152)/360),"")</f>
        <v/>
      </c>
      <c r="P198">
        <f>IFERROR(IF(M198="","",(M198-M197)/360),"")</f>
        <v/>
      </c>
      <c r="Q198" t="n">
        <v>1</v>
      </c>
      <c r="R198">
        <f>IFERROR(IF(COUNTIF($A$156:$A$207,"28Y")&gt;0,1,0),"")</f>
        <v/>
      </c>
      <c r="S198" s="21">
        <f>IFERROR(IF(R198=1,IFERROR(INDEX($C$156:$C$207,MATCH("28Y",$A$156:$A$207,0)),INDEX($C$156:$C$207,MATCH("28Y",$A$156:$A$207,0))),S195+(S200-S195)*0.6000000000),"")</f>
        <v/>
      </c>
      <c r="T198">
        <f>IFERROR(IF(OR(N198="",N200=""),"",(N198-N195)/(N200-N195)),"")</f>
        <v/>
      </c>
      <c r="U198" s="22">
        <f>IFERROR(IF(OR(T198="",U200=""),"",U195*(U200/U195)^T198),"")</f>
        <v/>
      </c>
      <c r="V198">
        <f>IFERROR(IF(OR(U198="",Q198=0),0,P198*U198),"")</f>
        <v/>
      </c>
    </row>
    <row r="199">
      <c r="A199" s="10" t="n"/>
      <c r="B199" s="11" t="n"/>
      <c r="C199" s="12" t="n"/>
      <c r="D199" s="12" t="n"/>
      <c r="E199" s="13" t="n"/>
      <c r="F199" s="14">
        <f>IF(OR($A199="",G199=""),"",-LN(G199)/INDEX($N$156:$N$220,IFERROR(MATCH($A199,$K$156:$K$220,0),MATCH(IF($A199="1Y","12M",IF($A199="12M","1Y",$A199)),$K$156:$K$220,0)))*100)</f>
        <v/>
      </c>
      <c r="G199" s="15">
        <f>IF($A199="","",IFERROR(INDEX($U$156:$U$220,IFERROR(MATCH($A199,$K$156:$K$220,0),MATCH(IF($A199="1Y","12M",IF($A199="12M","1Y",$A199)),$K$156:$K$220,0))),""))</f>
        <v/>
      </c>
      <c r="H199" s="16">
        <f>IF(OR(F199="",NOT(ISNUMBER(D199))),"",(F199-D199)*100)</f>
        <v/>
      </c>
      <c r="I199" s="17">
        <f>IF(OR(G199="",NOT(ISNUMBER(E199))),"",G199-E199)</f>
        <v/>
      </c>
      <c r="J199" s="18">
        <f>IF(OR($A199="",NOT(ISNUMBER($B199))),"",IF(ABS($B199-INDEX($M$156:$M$220,IFERROR(MATCH($A199,$K$156:$K$220,0),MATCH(IF($A199="1Y","12M",IF($A199="12M","1Y",$A199)),$K$156:$K$220,0))))&lt;=3,"ok","MISMATCH "&amp;TEXT(INDEX($M$156:$M$220,IFERROR(MATCH($A199,$K$156:$K$220,0),MATCH(IF($A199="1Y","12M",IF($A199="12M","1Y",$A199)),$K$156:$K$220,0))),"mm/dd/yy")))</f>
        <v/>
      </c>
      <c r="K199" s="19" t="inlineStr">
        <is>
          <t>29Y</t>
        </is>
      </c>
      <c r="L199" t="n">
        <v>29</v>
      </c>
      <c r="M199" s="20">
        <f>IFERROR(IF($C$151="","",IF(MONTH((EDATE($C$152,348))+IF(WEEKDAY((EDATE($C$152,348)),2)=6,2,IF(WEEKDAY((EDATE($C$152,348)),2)=7,1,0)))&lt;&gt;MONTH(EDATE($C$152,348)),(EDATE($C$152,348))-IF(WEEKDAY((EDATE($C$152,348)),2)=6,1,IF(WEEKDAY((EDATE($C$152,348)),2)=7,2,0)),(EDATE($C$152,348))+IF(WEEKDAY((EDATE($C$152,348)),2)=6,2,IF(WEEKDAY((EDATE($C$152,348)),2)=7,1,0)))),"")</f>
        <v/>
      </c>
      <c r="N199">
        <f>IFERROR(IF(M199="","",(M199-$C$151)/365),"")</f>
        <v/>
      </c>
      <c r="O199">
        <f>IFERROR(IF(M199="","",(M199-$C$152)/360),"")</f>
        <v/>
      </c>
      <c r="P199">
        <f>IFERROR(IF(M199="","",(M199-M198)/360),"")</f>
        <v/>
      </c>
      <c r="Q199" t="n">
        <v>1</v>
      </c>
      <c r="R199">
        <f>IFERROR(IF(COUNTIF($A$156:$A$207,"29Y")&gt;0,1,0),"")</f>
        <v/>
      </c>
      <c r="S199" s="21">
        <f>IFERROR(IF(R199=1,IFERROR(INDEX($C$156:$C$207,MATCH("29Y",$A$156:$A$207,0)),INDEX($C$156:$C$207,MATCH("29Y",$A$156:$A$207,0))),S195+(S200-S195)*0.8000000000),"")</f>
        <v/>
      </c>
      <c r="T199">
        <f>IFERROR(IF(OR(N199="",N200=""),"",(N199-N195)/(N200-N195)),"")</f>
        <v/>
      </c>
      <c r="U199" s="22">
        <f>IFERROR(IF(OR(T199="",U200=""),"",U195*(U200/U195)^T199),"")</f>
        <v/>
      </c>
      <c r="V199">
        <f>IFERROR(IF(OR(U199="",Q199=0),0,P199*U199),"")</f>
        <v/>
      </c>
    </row>
    <row r="200">
      <c r="A200" s="10" t="n"/>
      <c r="B200" s="11" t="n"/>
      <c r="C200" s="12" t="n"/>
      <c r="D200" s="12" t="n"/>
      <c r="E200" s="13" t="n"/>
      <c r="F200" s="14">
        <f>IF(OR($A200="",G200=""),"",-LN(G200)/INDEX($N$156:$N$220,IFERROR(MATCH($A200,$K$156:$K$220,0),MATCH(IF($A200="1Y","12M",IF($A200="12M","1Y",$A200)),$K$156:$K$220,0)))*100)</f>
        <v/>
      </c>
      <c r="G200" s="15">
        <f>IF($A200="","",IFERROR(INDEX($U$156:$U$220,IFERROR(MATCH($A200,$K$156:$K$220,0),MATCH(IF($A200="1Y","12M",IF($A200="12M","1Y",$A200)),$K$156:$K$220,0))),""))</f>
        <v/>
      </c>
      <c r="H200" s="16">
        <f>IF(OR(F200="",NOT(ISNUMBER(D200))),"",(F200-D200)*100)</f>
        <v/>
      </c>
      <c r="I200" s="17">
        <f>IF(OR(G200="",NOT(ISNUMBER(E200))),"",G200-E200)</f>
        <v/>
      </c>
      <c r="J200" s="18">
        <f>IF(OR($A200="",NOT(ISNUMBER($B200))),"",IF(ABS($B200-INDEX($M$156:$M$220,IFERROR(MATCH($A200,$K$156:$K$220,0),MATCH(IF($A200="1Y","12M",IF($A200="12M","1Y",$A200)),$K$156:$K$220,0))))&lt;=3,"ok","MISMATCH "&amp;TEXT(INDEX($M$156:$M$220,IFERROR(MATCH($A200,$K$156:$K$220,0),MATCH(IF($A200="1Y","12M",IF($A200="12M","1Y",$A200)),$K$156:$K$220,0))),"mm/dd/yy")))</f>
        <v/>
      </c>
      <c r="K200" s="19" t="inlineStr">
        <is>
          <t>30Y</t>
        </is>
      </c>
      <c r="L200" t="n">
        <v>30</v>
      </c>
      <c r="M200" s="20">
        <f>IFERROR(IF($C$151="","",IF(MONTH((EDATE($C$152,360))+IF(WEEKDAY((EDATE($C$152,360)),2)=6,2,IF(WEEKDAY((EDATE($C$152,360)),2)=7,1,0)))&lt;&gt;MONTH(EDATE($C$152,360)),(EDATE($C$152,360))-IF(WEEKDAY((EDATE($C$152,360)),2)=6,1,IF(WEEKDAY((EDATE($C$152,360)),2)=7,2,0)),(EDATE($C$152,360))+IF(WEEKDAY((EDATE($C$152,360)),2)=6,2,IF(WEEKDAY((EDATE($C$152,360)),2)=7,1,0)))),"")</f>
        <v/>
      </c>
      <c r="N200">
        <f>IFERROR(IF(M200="","",(M200-$C$151)/365),"")</f>
        <v/>
      </c>
      <c r="O200">
        <f>IFERROR(IF(M200="","",(M200-$C$152)/360),"")</f>
        <v/>
      </c>
      <c r="P200">
        <f>IFERROR(IF(M200="","",(M200-M199)/360),"")</f>
        <v/>
      </c>
      <c r="Q200" t="n">
        <v>1</v>
      </c>
      <c r="R200">
        <f>IFERROR(IF(COUNTIF($A$156:$A$207,"30Y")&gt;0,1,0),"")</f>
        <v/>
      </c>
      <c r="S200" s="21">
        <f>IFERROR(IFERROR(INDEX($C$156:$C$207,MATCH("30Y",$A$156:$A$207,0)),INDEX($C$156:$C$207,MATCH("30Y",$A$156:$A$207,0))),"")</f>
        <v/>
      </c>
      <c r="U200" s="22">
        <f>IFERROR(IF(S200="","",AM200),"")</f>
        <v/>
      </c>
      <c r="V200">
        <f>IFERROR(IF(OR(U200="",Q200=0),0,P200*U200),"")</f>
        <v/>
      </c>
      <c r="X200" s="23">
        <f>IFERROR(IF(S200="","",U195*0.9),"")</f>
        <v/>
      </c>
      <c r="Y200" s="23">
        <f>IFERROR(IF(S200="","",(1-(S200/100)*(SUM($V$156:V195)+SUMPRODUCT($P$196:$P$199,$Q$196:$Q$199,U195*(X200/U195)^$T$196:$T$199)))/(1+(S200/100)*P200)),"")</f>
        <v/>
      </c>
      <c r="Z200" s="23">
        <f>IFERROR(IF(S200="","",(1-(S200/100)*(SUM($V$156:V195)+SUMPRODUCT($P$196:$P$199,$Q$196:$Q$199,U195*(Y200/U195)^$T$196:$T$199)))/(1+(S200/100)*P200)),"")</f>
        <v/>
      </c>
      <c r="AA200" s="23">
        <f>IFERROR(IF(S200="","",(1-(S200/100)*(SUM($V$156:V195)+SUMPRODUCT($P$196:$P$199,$Q$196:$Q$199,U195*(Z200/U195)^$T$196:$T$199)))/(1+(S200/100)*P200)),"")</f>
        <v/>
      </c>
      <c r="AB200" s="23">
        <f>IFERROR(IF(S200="","",(1-(S200/100)*(SUM($V$156:V195)+SUMPRODUCT($P$196:$P$199,$Q$196:$Q$199,U195*(AA200/U195)^$T$196:$T$199)))/(1+(S200/100)*P200)),"")</f>
        <v/>
      </c>
      <c r="AC200" s="23">
        <f>IFERROR(IF(S200="","",(1-(S200/100)*(SUM($V$156:V195)+SUMPRODUCT($P$196:$P$199,$Q$196:$Q$199,U195*(AB200/U195)^$T$196:$T$199)))/(1+(S200/100)*P200)),"")</f>
        <v/>
      </c>
      <c r="AD200" s="23">
        <f>IFERROR(IF(S200="","",(1-(S200/100)*(SUM($V$156:V195)+SUMPRODUCT($P$196:$P$199,$Q$196:$Q$199,U195*(AC200/U195)^$T$196:$T$199)))/(1+(S200/100)*P200)),"")</f>
        <v/>
      </c>
      <c r="AE200" s="23">
        <f>IFERROR(IF(S200="","",(1-(S200/100)*(SUM($V$156:V195)+SUMPRODUCT($P$196:$P$199,$Q$196:$Q$199,U195*(AD200/U195)^$T$196:$T$199)))/(1+(S200/100)*P200)),"")</f>
        <v/>
      </c>
      <c r="AF200" s="23">
        <f>IFERROR(IF(S200="","",(1-(S200/100)*(SUM($V$156:V195)+SUMPRODUCT($P$196:$P$199,$Q$196:$Q$199,U195*(AE200/U195)^$T$196:$T$199)))/(1+(S200/100)*P200)),"")</f>
        <v/>
      </c>
      <c r="AG200" s="23">
        <f>IFERROR(IF(S200="","",(1-(S200/100)*(SUM($V$156:V195)+SUMPRODUCT($P$196:$P$199,$Q$196:$Q$199,U195*(AF200/U195)^$T$196:$T$199)))/(1+(S200/100)*P200)),"")</f>
        <v/>
      </c>
      <c r="AH200" s="23">
        <f>IFERROR(IF(S200="","",(1-(S200/100)*(SUM($V$156:V195)+SUMPRODUCT($P$196:$P$199,$Q$196:$Q$199,U195*(AG200/U195)^$T$196:$T$199)))/(1+(S200/100)*P200)),"")</f>
        <v/>
      </c>
      <c r="AI200" s="23">
        <f>IFERROR(IF(S200="","",(1-(S200/100)*(SUM($V$156:V195)+SUMPRODUCT($P$196:$P$199,$Q$196:$Q$199,U195*(AH200/U195)^$T$196:$T$199)))/(1+(S200/100)*P200)),"")</f>
        <v/>
      </c>
      <c r="AJ200" s="23">
        <f>IFERROR(IF(S200="","",(1-(S200/100)*(SUM($V$156:V195)+SUMPRODUCT($P$196:$P$199,$Q$196:$Q$199,U195*(AI200/U195)^$T$196:$T$199)))/(1+(S200/100)*P200)),"")</f>
        <v/>
      </c>
      <c r="AK200" s="23">
        <f>IFERROR(IF(S200="","",(1-(S200/100)*(SUM($V$156:V195)+SUMPRODUCT($P$196:$P$199,$Q$196:$Q$199,U195*(AJ200/U195)^$T$196:$T$199)))/(1+(S200/100)*P200)),"")</f>
        <v/>
      </c>
      <c r="AL200" s="23">
        <f>IFERROR(IF(S200="","",(1-(S200/100)*(SUM($V$156:V195)+SUMPRODUCT($P$196:$P$199,$Q$196:$Q$199,U195*(AK200/U195)^$T$196:$T$199)))/(1+(S200/100)*P200)),"")</f>
        <v/>
      </c>
      <c r="AM200" s="23">
        <f>IFERROR(IF(S200="","",(1-(S200/100)*(SUM($V$156:V195)+SUMPRODUCT($P$196:$P$199,$Q$196:$Q$199,U195*(AL200/U195)^$T$196:$T$199)))/(1+(S200/100)*P200)),"")</f>
        <v/>
      </c>
    </row>
    <row r="201">
      <c r="A201" s="10" t="n"/>
      <c r="B201" s="11" t="n"/>
      <c r="C201" s="12" t="n"/>
      <c r="D201" s="12" t="n"/>
      <c r="E201" s="13" t="n"/>
      <c r="F201" s="14">
        <f>IF(OR($A201="",G201=""),"",-LN(G201)/INDEX($N$156:$N$220,IFERROR(MATCH($A201,$K$156:$K$220,0),MATCH(IF($A201="1Y","12M",IF($A201="12M","1Y",$A201)),$K$156:$K$220,0)))*100)</f>
        <v/>
      </c>
      <c r="G201" s="15">
        <f>IF($A201="","",IFERROR(INDEX($U$156:$U$220,IFERROR(MATCH($A201,$K$156:$K$220,0),MATCH(IF($A201="1Y","12M",IF($A201="12M","1Y",$A201)),$K$156:$K$220,0))),""))</f>
        <v/>
      </c>
      <c r="H201" s="16">
        <f>IF(OR(F201="",NOT(ISNUMBER(D201))),"",(F201-D201)*100)</f>
        <v/>
      </c>
      <c r="I201" s="17">
        <f>IF(OR(G201="",NOT(ISNUMBER(E201))),"",G201-E201)</f>
        <v/>
      </c>
      <c r="J201" s="18">
        <f>IF(OR($A201="",NOT(ISNUMBER($B201))),"",IF(ABS($B201-INDEX($M$156:$M$220,IFERROR(MATCH($A201,$K$156:$K$220,0),MATCH(IF($A201="1Y","12M",IF($A201="12M","1Y",$A201)),$K$156:$K$220,0))))&lt;=3,"ok","MISMATCH "&amp;TEXT(INDEX($M$156:$M$220,IFERROR(MATCH($A201,$K$156:$K$220,0),MATCH(IF($A201="1Y","12M",IF($A201="12M","1Y",$A201)),$K$156:$K$220,0))),"mm/dd/yy")))</f>
        <v/>
      </c>
      <c r="K201" s="19" t="inlineStr">
        <is>
          <t>31Y</t>
        </is>
      </c>
      <c r="L201" t="n">
        <v>31</v>
      </c>
      <c r="M201" s="20">
        <f>IFERROR(IF($C$151="","",IF(MONTH((EDATE($C$152,372))+IF(WEEKDAY((EDATE($C$152,372)),2)=6,2,IF(WEEKDAY((EDATE($C$152,372)),2)=7,1,0)))&lt;&gt;MONTH(EDATE($C$152,372)),(EDATE($C$152,372))-IF(WEEKDAY((EDATE($C$152,372)),2)=6,1,IF(WEEKDAY((EDATE($C$152,372)),2)=7,2,0)),(EDATE($C$152,372))+IF(WEEKDAY((EDATE($C$152,372)),2)=6,2,IF(WEEKDAY((EDATE($C$152,372)),2)=7,1,0)))),"")</f>
        <v/>
      </c>
      <c r="N201">
        <f>IFERROR(IF(M201="","",(M201-$C$151)/365),"")</f>
        <v/>
      </c>
      <c r="O201">
        <f>IFERROR(IF(M201="","",(M201-$C$152)/360),"")</f>
        <v/>
      </c>
      <c r="P201">
        <f>IFERROR(IF(M201="","",(M201-M200)/360),"")</f>
        <v/>
      </c>
      <c r="Q201" t="n">
        <v>1</v>
      </c>
      <c r="R201">
        <f>IFERROR(IF(COUNTIF($A$156:$A$207,"31Y")&gt;0,1,0),"")</f>
        <v/>
      </c>
      <c r="S201" s="21">
        <f>IFERROR(IF(R201=1,IFERROR(INDEX($C$156:$C$207,MATCH("31Y",$A$156:$A$207,0)),INDEX($C$156:$C$207,MATCH("31Y",$A$156:$A$207,0))),S200+(S210-S200)*0.1000000000),"")</f>
        <v/>
      </c>
      <c r="T201">
        <f>IFERROR(IF(OR(N201="",N210=""),"",(N201-N200)/(N210-N200)),"")</f>
        <v/>
      </c>
      <c r="U201" s="22">
        <f>IFERROR(IF(OR(T201="",U210=""),"",U200*(U210/U200)^T201),"")</f>
        <v/>
      </c>
      <c r="V201">
        <f>IFERROR(IF(OR(U201="",Q201=0),0,P201*U201),"")</f>
        <v/>
      </c>
    </row>
    <row r="202">
      <c r="A202" s="10" t="n"/>
      <c r="B202" s="11" t="n"/>
      <c r="C202" s="12" t="n"/>
      <c r="D202" s="12" t="n"/>
      <c r="E202" s="13" t="n"/>
      <c r="F202" s="14">
        <f>IF(OR($A202="",G202=""),"",-LN(G202)/INDEX($N$156:$N$220,IFERROR(MATCH($A202,$K$156:$K$220,0),MATCH(IF($A202="1Y","12M",IF($A202="12M","1Y",$A202)),$K$156:$K$220,0)))*100)</f>
        <v/>
      </c>
      <c r="G202" s="15">
        <f>IF($A202="","",IFERROR(INDEX($U$156:$U$220,IFERROR(MATCH($A202,$K$156:$K$220,0),MATCH(IF($A202="1Y","12M",IF($A202="12M","1Y",$A202)),$K$156:$K$220,0))),""))</f>
        <v/>
      </c>
      <c r="H202" s="16">
        <f>IF(OR(F202="",NOT(ISNUMBER(D202))),"",(F202-D202)*100)</f>
        <v/>
      </c>
      <c r="I202" s="17">
        <f>IF(OR(G202="",NOT(ISNUMBER(E202))),"",G202-E202)</f>
        <v/>
      </c>
      <c r="J202" s="18">
        <f>IF(OR($A202="",NOT(ISNUMBER($B202))),"",IF(ABS($B202-INDEX($M$156:$M$220,IFERROR(MATCH($A202,$K$156:$K$220,0),MATCH(IF($A202="1Y","12M",IF($A202="12M","1Y",$A202)),$K$156:$K$220,0))))&lt;=3,"ok","MISMATCH "&amp;TEXT(INDEX($M$156:$M$220,IFERROR(MATCH($A202,$K$156:$K$220,0),MATCH(IF($A202="1Y","12M",IF($A202="12M","1Y",$A202)),$K$156:$K$220,0))),"mm/dd/yy")))</f>
        <v/>
      </c>
      <c r="K202" s="19" t="inlineStr">
        <is>
          <t>32Y</t>
        </is>
      </c>
      <c r="L202" t="n">
        <v>32</v>
      </c>
      <c r="M202" s="20">
        <f>IFERROR(IF($C$151="","",IF(MONTH((EDATE($C$152,384))+IF(WEEKDAY((EDATE($C$152,384)),2)=6,2,IF(WEEKDAY((EDATE($C$152,384)),2)=7,1,0)))&lt;&gt;MONTH(EDATE($C$152,384)),(EDATE($C$152,384))-IF(WEEKDAY((EDATE($C$152,384)),2)=6,1,IF(WEEKDAY((EDATE($C$152,384)),2)=7,2,0)),(EDATE($C$152,384))+IF(WEEKDAY((EDATE($C$152,384)),2)=6,2,IF(WEEKDAY((EDATE($C$152,384)),2)=7,1,0)))),"")</f>
        <v/>
      </c>
      <c r="N202">
        <f>IFERROR(IF(M202="","",(M202-$C$151)/365),"")</f>
        <v/>
      </c>
      <c r="O202">
        <f>IFERROR(IF(M202="","",(M202-$C$152)/360),"")</f>
        <v/>
      </c>
      <c r="P202">
        <f>IFERROR(IF(M202="","",(M202-M201)/360),"")</f>
        <v/>
      </c>
      <c r="Q202" t="n">
        <v>1</v>
      </c>
      <c r="R202">
        <f>IFERROR(IF(COUNTIF($A$156:$A$207,"32Y")&gt;0,1,0),"")</f>
        <v/>
      </c>
      <c r="S202" s="21">
        <f>IFERROR(IF(R202=1,IFERROR(INDEX($C$156:$C$207,MATCH("32Y",$A$156:$A$207,0)),INDEX($C$156:$C$207,MATCH("32Y",$A$156:$A$207,0))),S200+(S210-S200)*0.2000000000),"")</f>
        <v/>
      </c>
      <c r="T202">
        <f>IFERROR(IF(OR(N202="",N210=""),"",(N202-N200)/(N210-N200)),"")</f>
        <v/>
      </c>
      <c r="U202" s="22">
        <f>IFERROR(IF(OR(T202="",U210=""),"",U200*(U210/U200)^T202),"")</f>
        <v/>
      </c>
      <c r="V202">
        <f>IFERROR(IF(OR(U202="",Q202=0),0,P202*U202),"")</f>
        <v/>
      </c>
    </row>
    <row r="203">
      <c r="A203" s="10" t="n"/>
      <c r="B203" s="11" t="n"/>
      <c r="C203" s="12" t="n"/>
      <c r="D203" s="12" t="n"/>
      <c r="E203" s="13" t="n"/>
      <c r="F203" s="14">
        <f>IF(OR($A203="",G203=""),"",-LN(G203)/INDEX($N$156:$N$220,IFERROR(MATCH($A203,$K$156:$K$220,0),MATCH(IF($A203="1Y","12M",IF($A203="12M","1Y",$A203)),$K$156:$K$220,0)))*100)</f>
        <v/>
      </c>
      <c r="G203" s="15">
        <f>IF($A203="","",IFERROR(INDEX($U$156:$U$220,IFERROR(MATCH($A203,$K$156:$K$220,0),MATCH(IF($A203="1Y","12M",IF($A203="12M","1Y",$A203)),$K$156:$K$220,0))),""))</f>
        <v/>
      </c>
      <c r="H203" s="16">
        <f>IF(OR(F203="",NOT(ISNUMBER(D203))),"",(F203-D203)*100)</f>
        <v/>
      </c>
      <c r="I203" s="17">
        <f>IF(OR(G203="",NOT(ISNUMBER(E203))),"",G203-E203)</f>
        <v/>
      </c>
      <c r="J203" s="18">
        <f>IF(OR($A203="",NOT(ISNUMBER($B203))),"",IF(ABS($B203-INDEX($M$156:$M$220,IFERROR(MATCH($A203,$K$156:$K$220,0),MATCH(IF($A203="1Y","12M",IF($A203="12M","1Y",$A203)),$K$156:$K$220,0))))&lt;=3,"ok","MISMATCH "&amp;TEXT(INDEX($M$156:$M$220,IFERROR(MATCH($A203,$K$156:$K$220,0),MATCH(IF($A203="1Y","12M",IF($A203="12M","1Y",$A203)),$K$156:$K$220,0))),"mm/dd/yy")))</f>
        <v/>
      </c>
      <c r="K203" s="19" t="inlineStr">
        <is>
          <t>33Y</t>
        </is>
      </c>
      <c r="L203" t="n">
        <v>33</v>
      </c>
      <c r="M203" s="20">
        <f>IFERROR(IF($C$151="","",IF(MONTH((EDATE($C$152,396))+IF(WEEKDAY((EDATE($C$152,396)),2)=6,2,IF(WEEKDAY((EDATE($C$152,396)),2)=7,1,0)))&lt;&gt;MONTH(EDATE($C$152,396)),(EDATE($C$152,396))-IF(WEEKDAY((EDATE($C$152,396)),2)=6,1,IF(WEEKDAY((EDATE($C$152,396)),2)=7,2,0)),(EDATE($C$152,396))+IF(WEEKDAY((EDATE($C$152,396)),2)=6,2,IF(WEEKDAY((EDATE($C$152,396)),2)=7,1,0)))),"")</f>
        <v/>
      </c>
      <c r="N203">
        <f>IFERROR(IF(M203="","",(M203-$C$151)/365),"")</f>
        <v/>
      </c>
      <c r="O203">
        <f>IFERROR(IF(M203="","",(M203-$C$152)/360),"")</f>
        <v/>
      </c>
      <c r="P203">
        <f>IFERROR(IF(M203="","",(M203-M202)/360),"")</f>
        <v/>
      </c>
      <c r="Q203" t="n">
        <v>1</v>
      </c>
      <c r="R203">
        <f>IFERROR(IF(COUNTIF($A$156:$A$207,"33Y")&gt;0,1,0),"")</f>
        <v/>
      </c>
      <c r="S203" s="21">
        <f>IFERROR(IF(R203=1,IFERROR(INDEX($C$156:$C$207,MATCH("33Y",$A$156:$A$207,0)),INDEX($C$156:$C$207,MATCH("33Y",$A$156:$A$207,0))),S200+(S210-S200)*0.3000000000),"")</f>
        <v/>
      </c>
      <c r="T203">
        <f>IFERROR(IF(OR(N203="",N210=""),"",(N203-N200)/(N210-N200)),"")</f>
        <v/>
      </c>
      <c r="U203" s="22">
        <f>IFERROR(IF(OR(T203="",U210=""),"",U200*(U210/U200)^T203),"")</f>
        <v/>
      </c>
      <c r="V203">
        <f>IFERROR(IF(OR(U203="",Q203=0),0,P203*U203),"")</f>
        <v/>
      </c>
    </row>
    <row r="204">
      <c r="A204" s="10" t="n"/>
      <c r="B204" s="11" t="n"/>
      <c r="C204" s="12" t="n"/>
      <c r="D204" s="12" t="n"/>
      <c r="E204" s="13" t="n"/>
      <c r="F204" s="14">
        <f>IF(OR($A204="",G204=""),"",-LN(G204)/INDEX($N$156:$N$220,IFERROR(MATCH($A204,$K$156:$K$220,0),MATCH(IF($A204="1Y","12M",IF($A204="12M","1Y",$A204)),$K$156:$K$220,0)))*100)</f>
        <v/>
      </c>
      <c r="G204" s="15">
        <f>IF($A204="","",IFERROR(INDEX($U$156:$U$220,IFERROR(MATCH($A204,$K$156:$K$220,0),MATCH(IF($A204="1Y","12M",IF($A204="12M","1Y",$A204)),$K$156:$K$220,0))),""))</f>
        <v/>
      </c>
      <c r="H204" s="16">
        <f>IF(OR(F204="",NOT(ISNUMBER(D204))),"",(F204-D204)*100)</f>
        <v/>
      </c>
      <c r="I204" s="17">
        <f>IF(OR(G204="",NOT(ISNUMBER(E204))),"",G204-E204)</f>
        <v/>
      </c>
      <c r="J204" s="18">
        <f>IF(OR($A204="",NOT(ISNUMBER($B204))),"",IF(ABS($B204-INDEX($M$156:$M$220,IFERROR(MATCH($A204,$K$156:$K$220,0),MATCH(IF($A204="1Y","12M",IF($A204="12M","1Y",$A204)),$K$156:$K$220,0))))&lt;=3,"ok","MISMATCH "&amp;TEXT(INDEX($M$156:$M$220,IFERROR(MATCH($A204,$K$156:$K$220,0),MATCH(IF($A204="1Y","12M",IF($A204="12M","1Y",$A204)),$K$156:$K$220,0))),"mm/dd/yy")))</f>
        <v/>
      </c>
      <c r="K204" s="19" t="inlineStr">
        <is>
          <t>34Y</t>
        </is>
      </c>
      <c r="L204" t="n">
        <v>34</v>
      </c>
      <c r="M204" s="20">
        <f>IFERROR(IF($C$151="","",IF(MONTH((EDATE($C$152,408))+IF(WEEKDAY((EDATE($C$152,408)),2)=6,2,IF(WEEKDAY((EDATE($C$152,408)),2)=7,1,0)))&lt;&gt;MONTH(EDATE($C$152,408)),(EDATE($C$152,408))-IF(WEEKDAY((EDATE($C$152,408)),2)=6,1,IF(WEEKDAY((EDATE($C$152,408)),2)=7,2,0)),(EDATE($C$152,408))+IF(WEEKDAY((EDATE($C$152,408)),2)=6,2,IF(WEEKDAY((EDATE($C$152,408)),2)=7,1,0)))),"")</f>
        <v/>
      </c>
      <c r="N204">
        <f>IFERROR(IF(M204="","",(M204-$C$151)/365),"")</f>
        <v/>
      </c>
      <c r="O204">
        <f>IFERROR(IF(M204="","",(M204-$C$152)/360),"")</f>
        <v/>
      </c>
      <c r="P204">
        <f>IFERROR(IF(M204="","",(M204-M203)/360),"")</f>
        <v/>
      </c>
      <c r="Q204" t="n">
        <v>1</v>
      </c>
      <c r="R204">
        <f>IFERROR(IF(COUNTIF($A$156:$A$207,"34Y")&gt;0,1,0),"")</f>
        <v/>
      </c>
      <c r="S204" s="21">
        <f>IFERROR(IF(R204=1,IFERROR(INDEX($C$156:$C$207,MATCH("34Y",$A$156:$A$207,0)),INDEX($C$156:$C$207,MATCH("34Y",$A$156:$A$207,0))),S200+(S210-S200)*0.4000000000),"")</f>
        <v/>
      </c>
      <c r="T204">
        <f>IFERROR(IF(OR(N204="",N210=""),"",(N204-N200)/(N210-N200)),"")</f>
        <v/>
      </c>
      <c r="U204" s="22">
        <f>IFERROR(IF(OR(T204="",U210=""),"",U200*(U210/U200)^T204),"")</f>
        <v/>
      </c>
      <c r="V204">
        <f>IFERROR(IF(OR(U204="",Q204=0),0,P204*U204),"")</f>
        <v/>
      </c>
    </row>
    <row r="205">
      <c r="A205" s="10" t="n"/>
      <c r="B205" s="11" t="n"/>
      <c r="C205" s="12" t="n"/>
      <c r="D205" s="12" t="n"/>
      <c r="E205" s="13" t="n"/>
      <c r="F205" s="14">
        <f>IF(OR($A205="",G205=""),"",-LN(G205)/INDEX($N$156:$N$220,IFERROR(MATCH($A205,$K$156:$K$220,0),MATCH(IF($A205="1Y","12M",IF($A205="12M","1Y",$A205)),$K$156:$K$220,0)))*100)</f>
        <v/>
      </c>
      <c r="G205" s="15">
        <f>IF($A205="","",IFERROR(INDEX($U$156:$U$220,IFERROR(MATCH($A205,$K$156:$K$220,0),MATCH(IF($A205="1Y","12M",IF($A205="12M","1Y",$A205)),$K$156:$K$220,0))),""))</f>
        <v/>
      </c>
      <c r="H205" s="16">
        <f>IF(OR(F205="",NOT(ISNUMBER(D205))),"",(F205-D205)*100)</f>
        <v/>
      </c>
      <c r="I205" s="17">
        <f>IF(OR(G205="",NOT(ISNUMBER(E205))),"",G205-E205)</f>
        <v/>
      </c>
      <c r="J205" s="18">
        <f>IF(OR($A205="",NOT(ISNUMBER($B205))),"",IF(ABS($B205-INDEX($M$156:$M$220,IFERROR(MATCH($A205,$K$156:$K$220,0),MATCH(IF($A205="1Y","12M",IF($A205="12M","1Y",$A205)),$K$156:$K$220,0))))&lt;=3,"ok","MISMATCH "&amp;TEXT(INDEX($M$156:$M$220,IFERROR(MATCH($A205,$K$156:$K$220,0),MATCH(IF($A205="1Y","12M",IF($A205="12M","1Y",$A205)),$K$156:$K$220,0))),"mm/dd/yy")))</f>
        <v/>
      </c>
      <c r="K205" s="19" t="inlineStr">
        <is>
          <t>35Y</t>
        </is>
      </c>
      <c r="L205" t="n">
        <v>35</v>
      </c>
      <c r="M205" s="20">
        <f>IFERROR(IF($C$151="","",IF(MONTH((EDATE($C$152,420))+IF(WEEKDAY((EDATE($C$152,420)),2)=6,2,IF(WEEKDAY((EDATE($C$152,420)),2)=7,1,0)))&lt;&gt;MONTH(EDATE($C$152,420)),(EDATE($C$152,420))-IF(WEEKDAY((EDATE($C$152,420)),2)=6,1,IF(WEEKDAY((EDATE($C$152,420)),2)=7,2,0)),(EDATE($C$152,420))+IF(WEEKDAY((EDATE($C$152,420)),2)=6,2,IF(WEEKDAY((EDATE($C$152,420)),2)=7,1,0)))),"")</f>
        <v/>
      </c>
      <c r="N205">
        <f>IFERROR(IF(M205="","",(M205-$C$151)/365),"")</f>
        <v/>
      </c>
      <c r="O205">
        <f>IFERROR(IF(M205="","",(M205-$C$152)/360),"")</f>
        <v/>
      </c>
      <c r="P205">
        <f>IFERROR(IF(M205="","",(M205-M204)/360),"")</f>
        <v/>
      </c>
      <c r="Q205" t="n">
        <v>1</v>
      </c>
      <c r="R205">
        <f>IFERROR(IF(COUNTIF($A$156:$A$207,"35Y")&gt;0,1,0),"")</f>
        <v/>
      </c>
      <c r="S205" s="21">
        <f>IFERROR(IF(R205=1,IFERROR(INDEX($C$156:$C$207,MATCH("35Y",$A$156:$A$207,0)),INDEX($C$156:$C$207,MATCH("35Y",$A$156:$A$207,0))),S200+(S210-S200)*0.5000000000),"")</f>
        <v/>
      </c>
      <c r="T205">
        <f>IFERROR(IF(OR(N205="",N210=""),"",(N205-N200)/(N210-N200)),"")</f>
        <v/>
      </c>
      <c r="U205" s="22">
        <f>IFERROR(IF(OR(T205="",U210=""),"",U200*(U210/U200)^T205),"")</f>
        <v/>
      </c>
      <c r="V205">
        <f>IFERROR(IF(OR(U205="",Q205=0),0,P205*U205),"")</f>
        <v/>
      </c>
    </row>
    <row r="206">
      <c r="A206" s="10" t="n"/>
      <c r="B206" s="11" t="n"/>
      <c r="C206" s="12" t="n"/>
      <c r="D206" s="12" t="n"/>
      <c r="E206" s="13" t="n"/>
      <c r="F206" s="14">
        <f>IF(OR($A206="",G206=""),"",-LN(G206)/INDEX($N$156:$N$220,IFERROR(MATCH($A206,$K$156:$K$220,0),MATCH(IF($A206="1Y","12M",IF($A206="12M","1Y",$A206)),$K$156:$K$220,0)))*100)</f>
        <v/>
      </c>
      <c r="G206" s="15">
        <f>IF($A206="","",IFERROR(INDEX($U$156:$U$220,IFERROR(MATCH($A206,$K$156:$K$220,0),MATCH(IF($A206="1Y","12M",IF($A206="12M","1Y",$A206)),$K$156:$K$220,0))),""))</f>
        <v/>
      </c>
      <c r="H206" s="16">
        <f>IF(OR(F206="",NOT(ISNUMBER(D206))),"",(F206-D206)*100)</f>
        <v/>
      </c>
      <c r="I206" s="17">
        <f>IF(OR(G206="",NOT(ISNUMBER(E206))),"",G206-E206)</f>
        <v/>
      </c>
      <c r="J206" s="18">
        <f>IF(OR($A206="",NOT(ISNUMBER($B206))),"",IF(ABS($B206-INDEX($M$156:$M$220,IFERROR(MATCH($A206,$K$156:$K$220,0),MATCH(IF($A206="1Y","12M",IF($A206="12M","1Y",$A206)),$K$156:$K$220,0))))&lt;=3,"ok","MISMATCH "&amp;TEXT(INDEX($M$156:$M$220,IFERROR(MATCH($A206,$K$156:$K$220,0),MATCH(IF($A206="1Y","12M",IF($A206="12M","1Y",$A206)),$K$156:$K$220,0))),"mm/dd/yy")))</f>
        <v/>
      </c>
      <c r="K206" s="19" t="inlineStr">
        <is>
          <t>36Y</t>
        </is>
      </c>
      <c r="L206" t="n">
        <v>36</v>
      </c>
      <c r="M206" s="20">
        <f>IFERROR(IF($C$151="","",IF(MONTH((EDATE($C$152,432))+IF(WEEKDAY((EDATE($C$152,432)),2)=6,2,IF(WEEKDAY((EDATE($C$152,432)),2)=7,1,0)))&lt;&gt;MONTH(EDATE($C$152,432)),(EDATE($C$152,432))-IF(WEEKDAY((EDATE($C$152,432)),2)=6,1,IF(WEEKDAY((EDATE($C$152,432)),2)=7,2,0)),(EDATE($C$152,432))+IF(WEEKDAY((EDATE($C$152,432)),2)=6,2,IF(WEEKDAY((EDATE($C$152,432)),2)=7,1,0)))),"")</f>
        <v/>
      </c>
      <c r="N206">
        <f>IFERROR(IF(M206="","",(M206-$C$151)/365),"")</f>
        <v/>
      </c>
      <c r="O206">
        <f>IFERROR(IF(M206="","",(M206-$C$152)/360),"")</f>
        <v/>
      </c>
      <c r="P206">
        <f>IFERROR(IF(M206="","",(M206-M205)/360),"")</f>
        <v/>
      </c>
      <c r="Q206" t="n">
        <v>1</v>
      </c>
      <c r="R206">
        <f>IFERROR(IF(COUNTIF($A$156:$A$207,"36Y")&gt;0,1,0),"")</f>
        <v/>
      </c>
      <c r="S206" s="21">
        <f>IFERROR(IF(R206=1,IFERROR(INDEX($C$156:$C$207,MATCH("36Y",$A$156:$A$207,0)),INDEX($C$156:$C$207,MATCH("36Y",$A$156:$A$207,0))),S200+(S210-S200)*0.6000000000),"")</f>
        <v/>
      </c>
      <c r="T206">
        <f>IFERROR(IF(OR(N206="",N210=""),"",(N206-N200)/(N210-N200)),"")</f>
        <v/>
      </c>
      <c r="U206" s="22">
        <f>IFERROR(IF(OR(T206="",U210=""),"",U200*(U210/U200)^T206),"")</f>
        <v/>
      </c>
      <c r="V206">
        <f>IFERROR(IF(OR(U206="",Q206=0),0,P206*U206),"")</f>
        <v/>
      </c>
    </row>
    <row r="207">
      <c r="A207" s="10" t="n"/>
      <c r="B207" s="11" t="n"/>
      <c r="C207" s="12" t="n"/>
      <c r="D207" s="12" t="n"/>
      <c r="E207" s="13" t="n"/>
      <c r="F207" s="14">
        <f>IF(OR($A207="",G207=""),"",-LN(G207)/INDEX($N$156:$N$220,IFERROR(MATCH($A207,$K$156:$K$220,0),MATCH(IF($A207="1Y","12M",IF($A207="12M","1Y",$A207)),$K$156:$K$220,0)))*100)</f>
        <v/>
      </c>
      <c r="G207" s="15">
        <f>IF($A207="","",IFERROR(INDEX($U$156:$U$220,IFERROR(MATCH($A207,$K$156:$K$220,0),MATCH(IF($A207="1Y","12M",IF($A207="12M","1Y",$A207)),$K$156:$K$220,0))),""))</f>
        <v/>
      </c>
      <c r="H207" s="16">
        <f>IF(OR(F207="",NOT(ISNUMBER(D207))),"",(F207-D207)*100)</f>
        <v/>
      </c>
      <c r="I207" s="17">
        <f>IF(OR(G207="",NOT(ISNUMBER(E207))),"",G207-E207)</f>
        <v/>
      </c>
      <c r="J207" s="18">
        <f>IF(OR($A207="",NOT(ISNUMBER($B207))),"",IF(ABS($B207-INDEX($M$156:$M$220,IFERROR(MATCH($A207,$K$156:$K$220,0),MATCH(IF($A207="1Y","12M",IF($A207="12M","1Y",$A207)),$K$156:$K$220,0))))&lt;=3,"ok","MISMATCH "&amp;TEXT(INDEX($M$156:$M$220,IFERROR(MATCH($A207,$K$156:$K$220,0),MATCH(IF($A207="1Y","12M",IF($A207="12M","1Y",$A207)),$K$156:$K$220,0))),"mm/dd/yy")))</f>
        <v/>
      </c>
      <c r="K207" s="19" t="inlineStr">
        <is>
          <t>37Y</t>
        </is>
      </c>
      <c r="L207" t="n">
        <v>37</v>
      </c>
      <c r="M207" s="20">
        <f>IFERROR(IF($C$151="","",IF(MONTH((EDATE($C$152,444))+IF(WEEKDAY((EDATE($C$152,444)),2)=6,2,IF(WEEKDAY((EDATE($C$152,444)),2)=7,1,0)))&lt;&gt;MONTH(EDATE($C$152,444)),(EDATE($C$152,444))-IF(WEEKDAY((EDATE($C$152,444)),2)=6,1,IF(WEEKDAY((EDATE($C$152,444)),2)=7,2,0)),(EDATE($C$152,444))+IF(WEEKDAY((EDATE($C$152,444)),2)=6,2,IF(WEEKDAY((EDATE($C$152,444)),2)=7,1,0)))),"")</f>
        <v/>
      </c>
      <c r="N207">
        <f>IFERROR(IF(M207="","",(M207-$C$151)/365),"")</f>
        <v/>
      </c>
      <c r="O207">
        <f>IFERROR(IF(M207="","",(M207-$C$152)/360),"")</f>
        <v/>
      </c>
      <c r="P207">
        <f>IFERROR(IF(M207="","",(M207-M206)/360),"")</f>
        <v/>
      </c>
      <c r="Q207" t="n">
        <v>1</v>
      </c>
      <c r="R207">
        <f>IFERROR(IF(COUNTIF($A$156:$A$207,"37Y")&gt;0,1,0),"")</f>
        <v/>
      </c>
      <c r="S207" s="21">
        <f>IFERROR(IF(R207=1,IFERROR(INDEX($C$156:$C$207,MATCH("37Y",$A$156:$A$207,0)),INDEX($C$156:$C$207,MATCH("37Y",$A$156:$A$207,0))),S200+(S210-S200)*0.7000000000),"")</f>
        <v/>
      </c>
      <c r="T207">
        <f>IFERROR(IF(OR(N207="",N210=""),"",(N207-N200)/(N210-N200)),"")</f>
        <v/>
      </c>
      <c r="U207" s="22">
        <f>IFERROR(IF(OR(T207="",U210=""),"",U200*(U210/U200)^T207),"")</f>
        <v/>
      </c>
      <c r="V207">
        <f>IFERROR(IF(OR(U207="",Q207=0),0,P207*U207),"")</f>
        <v/>
      </c>
    </row>
    <row r="208">
      <c r="K208" s="19" t="inlineStr">
        <is>
          <t>38Y</t>
        </is>
      </c>
      <c r="L208" t="n">
        <v>38</v>
      </c>
      <c r="M208" s="20">
        <f>IFERROR(IF($C$151="","",IF(MONTH((EDATE($C$152,456))+IF(WEEKDAY((EDATE($C$152,456)),2)=6,2,IF(WEEKDAY((EDATE($C$152,456)),2)=7,1,0)))&lt;&gt;MONTH(EDATE($C$152,456)),(EDATE($C$152,456))-IF(WEEKDAY((EDATE($C$152,456)),2)=6,1,IF(WEEKDAY((EDATE($C$152,456)),2)=7,2,0)),(EDATE($C$152,456))+IF(WEEKDAY((EDATE($C$152,456)),2)=6,2,IF(WEEKDAY((EDATE($C$152,456)),2)=7,1,0)))),"")</f>
        <v/>
      </c>
      <c r="N208">
        <f>IFERROR(IF(M208="","",(M208-$C$151)/365),"")</f>
        <v/>
      </c>
      <c r="O208">
        <f>IFERROR(IF(M208="","",(M208-$C$152)/360),"")</f>
        <v/>
      </c>
      <c r="P208">
        <f>IFERROR(IF(M208="","",(M208-M207)/360),"")</f>
        <v/>
      </c>
      <c r="Q208" t="n">
        <v>1</v>
      </c>
      <c r="R208">
        <f>IFERROR(IF(COUNTIF($A$156:$A$207,"38Y")&gt;0,1,0),"")</f>
        <v/>
      </c>
      <c r="S208" s="21">
        <f>IFERROR(IF(R208=1,IFERROR(INDEX($C$156:$C$207,MATCH("38Y",$A$156:$A$207,0)),INDEX($C$156:$C$207,MATCH("38Y",$A$156:$A$207,0))),S200+(S210-S200)*0.8000000000),"")</f>
        <v/>
      </c>
      <c r="T208">
        <f>IFERROR(IF(OR(N208="",N210=""),"",(N208-N200)/(N210-N200)),"")</f>
        <v/>
      </c>
      <c r="U208" s="22">
        <f>IFERROR(IF(OR(T208="",U210=""),"",U200*(U210/U200)^T208),"")</f>
        <v/>
      </c>
      <c r="V208">
        <f>IFERROR(IF(OR(U208="",Q208=0),0,P208*U208),"")</f>
        <v/>
      </c>
    </row>
    <row r="209">
      <c r="A209" s="3" t="inlineStr">
        <is>
          <t>pillars pasted</t>
        </is>
      </c>
      <c r="C209" s="18">
        <f>COUNTA($A$156:$A$207)</f>
        <v/>
      </c>
      <c r="D209" s="3" t="inlineStr">
        <is>
          <t>priced</t>
        </is>
      </c>
      <c r="F209" s="18">
        <f>COUNT($F$156:$F$207)</f>
        <v/>
      </c>
      <c r="G209" s="3" t="inlineStr">
        <is>
          <t>max |d zero| bp</t>
        </is>
      </c>
      <c r="H209" s="24">
        <f>IF(COUNT($H$156:$H$207)=0,"",MAX(MAX($H$156:$H$207),-MIN($H$156:$H$207)))</f>
        <v/>
      </c>
      <c r="J209" s="5">
        <f>IF(COUNTIF($J$156:$J$207,"MISMATCH*")=0,"dates ok",COUNTIF($J$156:$J$207,"MISMATCH*")&amp;" DATE MISMATCHES — your pasted date column is out of step with the tenors; the model uses the derived date")</f>
        <v/>
      </c>
      <c r="K209" s="19" t="inlineStr">
        <is>
          <t>39Y</t>
        </is>
      </c>
      <c r="L209" t="n">
        <v>39</v>
      </c>
      <c r="M209" s="20">
        <f>IFERROR(IF($C$151="","",IF(MONTH((EDATE($C$152,468))+IF(WEEKDAY((EDATE($C$152,468)),2)=6,2,IF(WEEKDAY((EDATE($C$152,468)),2)=7,1,0)))&lt;&gt;MONTH(EDATE($C$152,468)),(EDATE($C$152,468))-IF(WEEKDAY((EDATE($C$152,468)),2)=6,1,IF(WEEKDAY((EDATE($C$152,468)),2)=7,2,0)),(EDATE($C$152,468))+IF(WEEKDAY((EDATE($C$152,468)),2)=6,2,IF(WEEKDAY((EDATE($C$152,468)),2)=7,1,0)))),"")</f>
        <v/>
      </c>
      <c r="N209">
        <f>IFERROR(IF(M209="","",(M209-$C$151)/365),"")</f>
        <v/>
      </c>
      <c r="O209">
        <f>IFERROR(IF(M209="","",(M209-$C$152)/360),"")</f>
        <v/>
      </c>
      <c r="P209">
        <f>IFERROR(IF(M209="","",(M209-M208)/360),"")</f>
        <v/>
      </c>
      <c r="Q209" t="n">
        <v>1</v>
      </c>
      <c r="R209">
        <f>IFERROR(IF(COUNTIF($A$156:$A$207,"39Y")&gt;0,1,0),"")</f>
        <v/>
      </c>
      <c r="S209" s="21">
        <f>IFERROR(IF(R209=1,IFERROR(INDEX($C$156:$C$207,MATCH("39Y",$A$156:$A$207,0)),INDEX($C$156:$C$207,MATCH("39Y",$A$156:$A$207,0))),S200+(S210-S200)*0.9000000000),"")</f>
        <v/>
      </c>
      <c r="T209">
        <f>IFERROR(IF(OR(N209="",N210=""),"",(N209-N200)/(N210-N200)),"")</f>
        <v/>
      </c>
      <c r="U209" s="22">
        <f>IFERROR(IF(OR(T209="",U210=""),"",U200*(U210/U200)^T209),"")</f>
        <v/>
      </c>
      <c r="V209">
        <f>IFERROR(IF(OR(U209="",Q209=0),0,P209*U209),"")</f>
        <v/>
      </c>
    </row>
    <row r="210">
      <c r="G210" s="3" t="inlineStr">
        <is>
          <t>max |d DF|</t>
        </is>
      </c>
      <c r="H210" s="25">
        <f>IF(COUNT($I$156:$I$207)=0,"",MAX(MAX($I$156:$I$207),-MIN($I$156:$I$207)))</f>
        <v/>
      </c>
      <c r="K210" s="19" t="inlineStr">
        <is>
          <t>40Y</t>
        </is>
      </c>
      <c r="L210" t="n">
        <v>40</v>
      </c>
      <c r="M210" s="20">
        <f>IFERROR(IF($C$151="","",IF(MONTH((EDATE($C$152,480))+IF(WEEKDAY((EDATE($C$152,480)),2)=6,2,IF(WEEKDAY((EDATE($C$152,480)),2)=7,1,0)))&lt;&gt;MONTH(EDATE($C$152,480)),(EDATE($C$152,480))-IF(WEEKDAY((EDATE($C$152,480)),2)=6,1,IF(WEEKDAY((EDATE($C$152,480)),2)=7,2,0)),(EDATE($C$152,480))+IF(WEEKDAY((EDATE($C$152,480)),2)=6,2,IF(WEEKDAY((EDATE($C$152,480)),2)=7,1,0)))),"")</f>
        <v/>
      </c>
      <c r="N210">
        <f>IFERROR(IF(M210="","",(M210-$C$151)/365),"")</f>
        <v/>
      </c>
      <c r="O210">
        <f>IFERROR(IF(M210="","",(M210-$C$152)/360),"")</f>
        <v/>
      </c>
      <c r="P210">
        <f>IFERROR(IF(M210="","",(M210-M209)/360),"")</f>
        <v/>
      </c>
      <c r="Q210" t="n">
        <v>1</v>
      </c>
      <c r="R210">
        <f>IFERROR(IF(COUNTIF($A$156:$A$207,"40Y")&gt;0,1,0),"")</f>
        <v/>
      </c>
      <c r="S210" s="21">
        <f>IFERROR(IFERROR(INDEX($C$156:$C$207,MATCH("40Y",$A$156:$A$207,0)),INDEX($C$156:$C$207,MATCH("40Y",$A$156:$A$207,0))),"")</f>
        <v/>
      </c>
      <c r="U210" s="22">
        <f>IFERROR(IF(S210="","",AM210),"")</f>
        <v/>
      </c>
      <c r="V210">
        <f>IFERROR(IF(OR(U210="",Q210=0),0,P210*U210),"")</f>
        <v/>
      </c>
      <c r="X210" s="23">
        <f>IFERROR(IF(S210="","",U200*0.9),"")</f>
        <v/>
      </c>
      <c r="Y210" s="23">
        <f>IFERROR(IF(S210="","",(1-(S210/100)*(SUM($V$156:V200)+SUMPRODUCT($P$201:$P$209,$Q$201:$Q$209,U200*(X210/U200)^$T$201:$T$209)))/(1+(S210/100)*P210)),"")</f>
        <v/>
      </c>
      <c r="Z210" s="23">
        <f>IFERROR(IF(S210="","",(1-(S210/100)*(SUM($V$156:V200)+SUMPRODUCT($P$201:$P$209,$Q$201:$Q$209,U200*(Y210/U200)^$T$201:$T$209)))/(1+(S210/100)*P210)),"")</f>
        <v/>
      </c>
      <c r="AA210" s="23">
        <f>IFERROR(IF(S210="","",(1-(S210/100)*(SUM($V$156:V200)+SUMPRODUCT($P$201:$P$209,$Q$201:$Q$209,U200*(Z210/U200)^$T$201:$T$209)))/(1+(S210/100)*P210)),"")</f>
        <v/>
      </c>
      <c r="AB210" s="23">
        <f>IFERROR(IF(S210="","",(1-(S210/100)*(SUM($V$156:V200)+SUMPRODUCT($P$201:$P$209,$Q$201:$Q$209,U200*(AA210/U200)^$T$201:$T$209)))/(1+(S210/100)*P210)),"")</f>
        <v/>
      </c>
      <c r="AC210" s="23">
        <f>IFERROR(IF(S210="","",(1-(S210/100)*(SUM($V$156:V200)+SUMPRODUCT($P$201:$P$209,$Q$201:$Q$209,U200*(AB210/U200)^$T$201:$T$209)))/(1+(S210/100)*P210)),"")</f>
        <v/>
      </c>
      <c r="AD210" s="23">
        <f>IFERROR(IF(S210="","",(1-(S210/100)*(SUM($V$156:V200)+SUMPRODUCT($P$201:$P$209,$Q$201:$Q$209,U200*(AC210/U200)^$T$201:$T$209)))/(1+(S210/100)*P210)),"")</f>
        <v/>
      </c>
      <c r="AE210" s="23">
        <f>IFERROR(IF(S210="","",(1-(S210/100)*(SUM($V$156:V200)+SUMPRODUCT($P$201:$P$209,$Q$201:$Q$209,U200*(AD210/U200)^$T$201:$T$209)))/(1+(S210/100)*P210)),"")</f>
        <v/>
      </c>
      <c r="AF210" s="23">
        <f>IFERROR(IF(S210="","",(1-(S210/100)*(SUM($V$156:V200)+SUMPRODUCT($P$201:$P$209,$Q$201:$Q$209,U200*(AE210/U200)^$T$201:$T$209)))/(1+(S210/100)*P210)),"")</f>
        <v/>
      </c>
      <c r="AG210" s="23">
        <f>IFERROR(IF(S210="","",(1-(S210/100)*(SUM($V$156:V200)+SUMPRODUCT($P$201:$P$209,$Q$201:$Q$209,U200*(AF210/U200)^$T$201:$T$209)))/(1+(S210/100)*P210)),"")</f>
        <v/>
      </c>
      <c r="AH210" s="23">
        <f>IFERROR(IF(S210="","",(1-(S210/100)*(SUM($V$156:V200)+SUMPRODUCT($P$201:$P$209,$Q$201:$Q$209,U200*(AG210/U200)^$T$201:$T$209)))/(1+(S210/100)*P210)),"")</f>
        <v/>
      </c>
      <c r="AI210" s="23">
        <f>IFERROR(IF(S210="","",(1-(S210/100)*(SUM($V$156:V200)+SUMPRODUCT($P$201:$P$209,$Q$201:$Q$209,U200*(AH210/U200)^$T$201:$T$209)))/(1+(S210/100)*P210)),"")</f>
        <v/>
      </c>
      <c r="AJ210" s="23">
        <f>IFERROR(IF(S210="","",(1-(S210/100)*(SUM($V$156:V200)+SUMPRODUCT($P$201:$P$209,$Q$201:$Q$209,U200*(AI210/U200)^$T$201:$T$209)))/(1+(S210/100)*P210)),"")</f>
        <v/>
      </c>
      <c r="AK210" s="23">
        <f>IFERROR(IF(S210="","",(1-(S210/100)*(SUM($V$156:V200)+SUMPRODUCT($P$201:$P$209,$Q$201:$Q$209,U200*(AJ210/U200)^$T$201:$T$209)))/(1+(S210/100)*P210)),"")</f>
        <v/>
      </c>
      <c r="AL210" s="23">
        <f>IFERROR(IF(S210="","",(1-(S210/100)*(SUM($V$156:V200)+SUMPRODUCT($P$201:$P$209,$Q$201:$Q$209,U200*(AK210/U200)^$T$201:$T$209)))/(1+(S210/100)*P210)),"")</f>
        <v/>
      </c>
      <c r="AM210" s="23">
        <f>IFERROR(IF(S210="","",(1-(S210/100)*(SUM($V$156:V200)+SUMPRODUCT($P$201:$P$209,$Q$201:$Q$209,U200*(AL210/U200)^$T$201:$T$209)))/(1+(S210/100)*P210)),"")</f>
        <v/>
      </c>
    </row>
    <row r="211">
      <c r="A211" s="2" t="inlineStr">
        <is>
          <t>If 'priced' is under 'pillars pasted', a tenor label is not on the internal grid (1W-3W, 1M-12M, 18M, 1Y-50Y). 12M and 1Y are the same pillar.</t>
        </is>
      </c>
      <c r="K211" s="19" t="inlineStr">
        <is>
          <t>41Y</t>
        </is>
      </c>
      <c r="L211" t="n">
        <v>41</v>
      </c>
      <c r="M211" s="20">
        <f>IFERROR(IF($C$151="","",IF(MONTH((EDATE($C$152,492))+IF(WEEKDAY((EDATE($C$152,492)),2)=6,2,IF(WEEKDAY((EDATE($C$152,492)),2)=7,1,0)))&lt;&gt;MONTH(EDATE($C$152,492)),(EDATE($C$152,492))-IF(WEEKDAY((EDATE($C$152,492)),2)=6,1,IF(WEEKDAY((EDATE($C$152,492)),2)=7,2,0)),(EDATE($C$152,492))+IF(WEEKDAY((EDATE($C$152,492)),2)=6,2,IF(WEEKDAY((EDATE($C$152,492)),2)=7,1,0)))),"")</f>
        <v/>
      </c>
      <c r="N211">
        <f>IFERROR(IF(M211="","",(M211-$C$151)/365),"")</f>
        <v/>
      </c>
      <c r="O211">
        <f>IFERROR(IF(M211="","",(M211-$C$152)/360),"")</f>
        <v/>
      </c>
      <c r="P211">
        <f>IFERROR(IF(M211="","",(M211-M210)/360),"")</f>
        <v/>
      </c>
      <c r="Q211" t="n">
        <v>1</v>
      </c>
      <c r="R211">
        <f>IFERROR(IF(COUNTIF($A$156:$A$207,"41Y")&gt;0,1,0),"")</f>
        <v/>
      </c>
      <c r="S211" s="21">
        <f>IFERROR(IF(R211=1,IFERROR(INDEX($C$156:$C$207,MATCH("41Y",$A$156:$A$207,0)),INDEX($C$156:$C$207,MATCH("41Y",$A$156:$A$207,0))),S210+(S220-S210)*0.1000000000),"")</f>
        <v/>
      </c>
      <c r="T211">
        <f>IFERROR(IF(OR(N211="",N220=""),"",(N211-N210)/(N220-N210)),"")</f>
        <v/>
      </c>
      <c r="U211" s="22">
        <f>IFERROR(IF(OR(T211="",U220=""),"",U210*(U220/U210)^T211),"")</f>
        <v/>
      </c>
      <c r="V211">
        <f>IFERROR(IF(OR(U211="",Q211=0),0,P211*U211),"")</f>
        <v/>
      </c>
    </row>
    <row r="212">
      <c r="K212" s="19" t="inlineStr">
        <is>
          <t>42Y</t>
        </is>
      </c>
      <c r="L212" t="n">
        <v>42</v>
      </c>
      <c r="M212" s="20">
        <f>IFERROR(IF($C$151="","",IF(MONTH((EDATE($C$152,504))+IF(WEEKDAY((EDATE($C$152,504)),2)=6,2,IF(WEEKDAY((EDATE($C$152,504)),2)=7,1,0)))&lt;&gt;MONTH(EDATE($C$152,504)),(EDATE($C$152,504))-IF(WEEKDAY((EDATE($C$152,504)),2)=6,1,IF(WEEKDAY((EDATE($C$152,504)),2)=7,2,0)),(EDATE($C$152,504))+IF(WEEKDAY((EDATE($C$152,504)),2)=6,2,IF(WEEKDAY((EDATE($C$152,504)),2)=7,1,0)))),"")</f>
        <v/>
      </c>
      <c r="N212">
        <f>IFERROR(IF(M212="","",(M212-$C$151)/365),"")</f>
        <v/>
      </c>
      <c r="O212">
        <f>IFERROR(IF(M212="","",(M212-$C$152)/360),"")</f>
        <v/>
      </c>
      <c r="P212">
        <f>IFERROR(IF(M212="","",(M212-M211)/360),"")</f>
        <v/>
      </c>
      <c r="Q212" t="n">
        <v>1</v>
      </c>
      <c r="R212">
        <f>IFERROR(IF(COUNTIF($A$156:$A$207,"42Y")&gt;0,1,0),"")</f>
        <v/>
      </c>
      <c r="S212" s="21">
        <f>IFERROR(IF(R212=1,IFERROR(INDEX($C$156:$C$207,MATCH("42Y",$A$156:$A$207,0)),INDEX($C$156:$C$207,MATCH("42Y",$A$156:$A$207,0))),S210+(S220-S210)*0.2000000000),"")</f>
        <v/>
      </c>
      <c r="T212">
        <f>IFERROR(IF(OR(N212="",N220=""),"",(N212-N210)/(N220-N210)),"")</f>
        <v/>
      </c>
      <c r="U212" s="22">
        <f>IFERROR(IF(OR(T212="",U220=""),"",U210*(U220/U210)^T212),"")</f>
        <v/>
      </c>
      <c r="V212">
        <f>IFERROR(IF(OR(U212="",Q212=0),0,P212*U212),"")</f>
        <v/>
      </c>
    </row>
    <row r="213">
      <c r="K213" s="19" t="inlineStr">
        <is>
          <t>43Y</t>
        </is>
      </c>
      <c r="L213" t="n">
        <v>43</v>
      </c>
      <c r="M213" s="20">
        <f>IFERROR(IF($C$151="","",IF(MONTH((EDATE($C$152,516))+IF(WEEKDAY((EDATE($C$152,516)),2)=6,2,IF(WEEKDAY((EDATE($C$152,516)),2)=7,1,0)))&lt;&gt;MONTH(EDATE($C$152,516)),(EDATE($C$152,516))-IF(WEEKDAY((EDATE($C$152,516)),2)=6,1,IF(WEEKDAY((EDATE($C$152,516)),2)=7,2,0)),(EDATE($C$152,516))+IF(WEEKDAY((EDATE($C$152,516)),2)=6,2,IF(WEEKDAY((EDATE($C$152,516)),2)=7,1,0)))),"")</f>
        <v/>
      </c>
      <c r="N213">
        <f>IFERROR(IF(M213="","",(M213-$C$151)/365),"")</f>
        <v/>
      </c>
      <c r="O213">
        <f>IFERROR(IF(M213="","",(M213-$C$152)/360),"")</f>
        <v/>
      </c>
      <c r="P213">
        <f>IFERROR(IF(M213="","",(M213-M212)/360),"")</f>
        <v/>
      </c>
      <c r="Q213" t="n">
        <v>1</v>
      </c>
      <c r="R213">
        <f>IFERROR(IF(COUNTIF($A$156:$A$207,"43Y")&gt;0,1,0),"")</f>
        <v/>
      </c>
      <c r="S213" s="21">
        <f>IFERROR(IF(R213=1,IFERROR(INDEX($C$156:$C$207,MATCH("43Y",$A$156:$A$207,0)),INDEX($C$156:$C$207,MATCH("43Y",$A$156:$A$207,0))),S210+(S220-S210)*0.3000000000),"")</f>
        <v/>
      </c>
      <c r="T213">
        <f>IFERROR(IF(OR(N213="",N220=""),"",(N213-N210)/(N220-N210)),"")</f>
        <v/>
      </c>
      <c r="U213" s="22">
        <f>IFERROR(IF(OR(T213="",U220=""),"",U210*(U220/U210)^T213),"")</f>
        <v/>
      </c>
      <c r="V213">
        <f>IFERROR(IF(OR(U213="",Q213=0),0,P213*U213),"")</f>
        <v/>
      </c>
    </row>
    <row r="214">
      <c r="K214" s="19" t="inlineStr">
        <is>
          <t>44Y</t>
        </is>
      </c>
      <c r="L214" t="n">
        <v>44</v>
      </c>
      <c r="M214" s="20">
        <f>IFERROR(IF($C$151="","",IF(MONTH((EDATE($C$152,528))+IF(WEEKDAY((EDATE($C$152,528)),2)=6,2,IF(WEEKDAY((EDATE($C$152,528)),2)=7,1,0)))&lt;&gt;MONTH(EDATE($C$152,528)),(EDATE($C$152,528))-IF(WEEKDAY((EDATE($C$152,528)),2)=6,1,IF(WEEKDAY((EDATE($C$152,528)),2)=7,2,0)),(EDATE($C$152,528))+IF(WEEKDAY((EDATE($C$152,528)),2)=6,2,IF(WEEKDAY((EDATE($C$152,528)),2)=7,1,0)))),"")</f>
        <v/>
      </c>
      <c r="N214">
        <f>IFERROR(IF(M214="","",(M214-$C$151)/365),"")</f>
        <v/>
      </c>
      <c r="O214">
        <f>IFERROR(IF(M214="","",(M214-$C$152)/360),"")</f>
        <v/>
      </c>
      <c r="P214">
        <f>IFERROR(IF(M214="","",(M214-M213)/360),"")</f>
        <v/>
      </c>
      <c r="Q214" t="n">
        <v>1</v>
      </c>
      <c r="R214">
        <f>IFERROR(IF(COUNTIF($A$156:$A$207,"44Y")&gt;0,1,0),"")</f>
        <v/>
      </c>
      <c r="S214" s="21">
        <f>IFERROR(IF(R214=1,IFERROR(INDEX($C$156:$C$207,MATCH("44Y",$A$156:$A$207,0)),INDEX($C$156:$C$207,MATCH("44Y",$A$156:$A$207,0))),S210+(S220-S210)*0.4000000000),"")</f>
        <v/>
      </c>
      <c r="T214">
        <f>IFERROR(IF(OR(N214="",N220=""),"",(N214-N210)/(N220-N210)),"")</f>
        <v/>
      </c>
      <c r="U214" s="22">
        <f>IFERROR(IF(OR(T214="",U220=""),"",U210*(U220/U210)^T214),"")</f>
        <v/>
      </c>
      <c r="V214">
        <f>IFERROR(IF(OR(U214="",Q214=0),0,P214*U214),"")</f>
        <v/>
      </c>
    </row>
    <row r="215">
      <c r="K215" s="19" t="inlineStr">
        <is>
          <t>45Y</t>
        </is>
      </c>
      <c r="L215" t="n">
        <v>45</v>
      </c>
      <c r="M215" s="20">
        <f>IFERROR(IF($C$151="","",IF(MONTH((EDATE($C$152,540))+IF(WEEKDAY((EDATE($C$152,540)),2)=6,2,IF(WEEKDAY((EDATE($C$152,540)),2)=7,1,0)))&lt;&gt;MONTH(EDATE($C$152,540)),(EDATE($C$152,540))-IF(WEEKDAY((EDATE($C$152,540)),2)=6,1,IF(WEEKDAY((EDATE($C$152,540)),2)=7,2,0)),(EDATE($C$152,540))+IF(WEEKDAY((EDATE($C$152,540)),2)=6,2,IF(WEEKDAY((EDATE($C$152,540)),2)=7,1,0)))),"")</f>
        <v/>
      </c>
      <c r="N215">
        <f>IFERROR(IF(M215="","",(M215-$C$151)/365),"")</f>
        <v/>
      </c>
      <c r="O215">
        <f>IFERROR(IF(M215="","",(M215-$C$152)/360),"")</f>
        <v/>
      </c>
      <c r="P215">
        <f>IFERROR(IF(M215="","",(M215-M214)/360),"")</f>
        <v/>
      </c>
      <c r="Q215" t="n">
        <v>1</v>
      </c>
      <c r="R215">
        <f>IFERROR(IF(COUNTIF($A$156:$A$207,"45Y")&gt;0,1,0),"")</f>
        <v/>
      </c>
      <c r="S215" s="21">
        <f>IFERROR(IF(R215=1,IFERROR(INDEX($C$156:$C$207,MATCH("45Y",$A$156:$A$207,0)),INDEX($C$156:$C$207,MATCH("45Y",$A$156:$A$207,0))),S210+(S220-S210)*0.5000000000),"")</f>
        <v/>
      </c>
      <c r="T215">
        <f>IFERROR(IF(OR(N215="",N220=""),"",(N215-N210)/(N220-N210)),"")</f>
        <v/>
      </c>
      <c r="U215" s="22">
        <f>IFERROR(IF(OR(T215="",U220=""),"",U210*(U220/U210)^T215),"")</f>
        <v/>
      </c>
      <c r="V215">
        <f>IFERROR(IF(OR(U215="",Q215=0),0,P215*U215),"")</f>
        <v/>
      </c>
    </row>
    <row r="216">
      <c r="K216" s="19" t="inlineStr">
        <is>
          <t>46Y</t>
        </is>
      </c>
      <c r="L216" t="n">
        <v>46</v>
      </c>
      <c r="M216" s="20">
        <f>IFERROR(IF($C$151="","",IF(MONTH((EDATE($C$152,552))+IF(WEEKDAY((EDATE($C$152,552)),2)=6,2,IF(WEEKDAY((EDATE($C$152,552)),2)=7,1,0)))&lt;&gt;MONTH(EDATE($C$152,552)),(EDATE($C$152,552))-IF(WEEKDAY((EDATE($C$152,552)),2)=6,1,IF(WEEKDAY((EDATE($C$152,552)),2)=7,2,0)),(EDATE($C$152,552))+IF(WEEKDAY((EDATE($C$152,552)),2)=6,2,IF(WEEKDAY((EDATE($C$152,552)),2)=7,1,0)))),"")</f>
        <v/>
      </c>
      <c r="N216">
        <f>IFERROR(IF(M216="","",(M216-$C$151)/365),"")</f>
        <v/>
      </c>
      <c r="O216">
        <f>IFERROR(IF(M216="","",(M216-$C$152)/360),"")</f>
        <v/>
      </c>
      <c r="P216">
        <f>IFERROR(IF(M216="","",(M216-M215)/360),"")</f>
        <v/>
      </c>
      <c r="Q216" t="n">
        <v>1</v>
      </c>
      <c r="R216">
        <f>IFERROR(IF(COUNTIF($A$156:$A$207,"46Y")&gt;0,1,0),"")</f>
        <v/>
      </c>
      <c r="S216" s="21">
        <f>IFERROR(IF(R216=1,IFERROR(INDEX($C$156:$C$207,MATCH("46Y",$A$156:$A$207,0)),INDEX($C$156:$C$207,MATCH("46Y",$A$156:$A$207,0))),S210+(S220-S210)*0.6000000000),"")</f>
        <v/>
      </c>
      <c r="T216">
        <f>IFERROR(IF(OR(N216="",N220=""),"",(N216-N210)/(N220-N210)),"")</f>
        <v/>
      </c>
      <c r="U216" s="22">
        <f>IFERROR(IF(OR(T216="",U220=""),"",U210*(U220/U210)^T216),"")</f>
        <v/>
      </c>
      <c r="V216">
        <f>IFERROR(IF(OR(U216="",Q216=0),0,P216*U216),"")</f>
        <v/>
      </c>
    </row>
    <row r="217">
      <c r="K217" s="19" t="inlineStr">
        <is>
          <t>47Y</t>
        </is>
      </c>
      <c r="L217" t="n">
        <v>47</v>
      </c>
      <c r="M217" s="20">
        <f>IFERROR(IF($C$151="","",IF(MONTH((EDATE($C$152,564))+IF(WEEKDAY((EDATE($C$152,564)),2)=6,2,IF(WEEKDAY((EDATE($C$152,564)),2)=7,1,0)))&lt;&gt;MONTH(EDATE($C$152,564)),(EDATE($C$152,564))-IF(WEEKDAY((EDATE($C$152,564)),2)=6,1,IF(WEEKDAY((EDATE($C$152,564)),2)=7,2,0)),(EDATE($C$152,564))+IF(WEEKDAY((EDATE($C$152,564)),2)=6,2,IF(WEEKDAY((EDATE($C$152,564)),2)=7,1,0)))),"")</f>
        <v/>
      </c>
      <c r="N217">
        <f>IFERROR(IF(M217="","",(M217-$C$151)/365),"")</f>
        <v/>
      </c>
      <c r="O217">
        <f>IFERROR(IF(M217="","",(M217-$C$152)/360),"")</f>
        <v/>
      </c>
      <c r="P217">
        <f>IFERROR(IF(M217="","",(M217-M216)/360),"")</f>
        <v/>
      </c>
      <c r="Q217" t="n">
        <v>1</v>
      </c>
      <c r="R217">
        <f>IFERROR(IF(COUNTIF($A$156:$A$207,"47Y")&gt;0,1,0),"")</f>
        <v/>
      </c>
      <c r="S217" s="21">
        <f>IFERROR(IF(R217=1,IFERROR(INDEX($C$156:$C$207,MATCH("47Y",$A$156:$A$207,0)),INDEX($C$156:$C$207,MATCH("47Y",$A$156:$A$207,0))),S210+(S220-S210)*0.7000000000),"")</f>
        <v/>
      </c>
      <c r="T217">
        <f>IFERROR(IF(OR(N217="",N220=""),"",(N217-N210)/(N220-N210)),"")</f>
        <v/>
      </c>
      <c r="U217" s="22">
        <f>IFERROR(IF(OR(T217="",U220=""),"",U210*(U220/U210)^T217),"")</f>
        <v/>
      </c>
      <c r="V217">
        <f>IFERROR(IF(OR(U217="",Q217=0),0,P217*U217),"")</f>
        <v/>
      </c>
    </row>
    <row r="218">
      <c r="K218" s="19" t="inlineStr">
        <is>
          <t>48Y</t>
        </is>
      </c>
      <c r="L218" t="n">
        <v>48</v>
      </c>
      <c r="M218" s="20">
        <f>IFERROR(IF($C$151="","",IF(MONTH((EDATE($C$152,576))+IF(WEEKDAY((EDATE($C$152,576)),2)=6,2,IF(WEEKDAY((EDATE($C$152,576)),2)=7,1,0)))&lt;&gt;MONTH(EDATE($C$152,576)),(EDATE($C$152,576))-IF(WEEKDAY((EDATE($C$152,576)),2)=6,1,IF(WEEKDAY((EDATE($C$152,576)),2)=7,2,0)),(EDATE($C$152,576))+IF(WEEKDAY((EDATE($C$152,576)),2)=6,2,IF(WEEKDAY((EDATE($C$152,576)),2)=7,1,0)))),"")</f>
        <v/>
      </c>
      <c r="N218">
        <f>IFERROR(IF(M218="","",(M218-$C$151)/365),"")</f>
        <v/>
      </c>
      <c r="O218">
        <f>IFERROR(IF(M218="","",(M218-$C$152)/360),"")</f>
        <v/>
      </c>
      <c r="P218">
        <f>IFERROR(IF(M218="","",(M218-M217)/360),"")</f>
        <v/>
      </c>
      <c r="Q218" t="n">
        <v>1</v>
      </c>
      <c r="R218">
        <f>IFERROR(IF(COUNTIF($A$156:$A$207,"48Y")&gt;0,1,0),"")</f>
        <v/>
      </c>
      <c r="S218" s="21">
        <f>IFERROR(IF(R218=1,IFERROR(INDEX($C$156:$C$207,MATCH("48Y",$A$156:$A$207,0)),INDEX($C$156:$C$207,MATCH("48Y",$A$156:$A$207,0))),S210+(S220-S210)*0.8000000000),"")</f>
        <v/>
      </c>
      <c r="T218">
        <f>IFERROR(IF(OR(N218="",N220=""),"",(N218-N210)/(N220-N210)),"")</f>
        <v/>
      </c>
      <c r="U218" s="22">
        <f>IFERROR(IF(OR(T218="",U220=""),"",U210*(U220/U210)^T218),"")</f>
        <v/>
      </c>
      <c r="V218">
        <f>IFERROR(IF(OR(U218="",Q218=0),0,P218*U218),"")</f>
        <v/>
      </c>
    </row>
    <row r="219">
      <c r="K219" s="19" t="inlineStr">
        <is>
          <t>49Y</t>
        </is>
      </c>
      <c r="L219" t="n">
        <v>49</v>
      </c>
      <c r="M219" s="20">
        <f>IFERROR(IF($C$151="","",IF(MONTH((EDATE($C$152,588))+IF(WEEKDAY((EDATE($C$152,588)),2)=6,2,IF(WEEKDAY((EDATE($C$152,588)),2)=7,1,0)))&lt;&gt;MONTH(EDATE($C$152,588)),(EDATE($C$152,588))-IF(WEEKDAY((EDATE($C$152,588)),2)=6,1,IF(WEEKDAY((EDATE($C$152,588)),2)=7,2,0)),(EDATE($C$152,588))+IF(WEEKDAY((EDATE($C$152,588)),2)=6,2,IF(WEEKDAY((EDATE($C$152,588)),2)=7,1,0)))),"")</f>
        <v/>
      </c>
      <c r="N219">
        <f>IFERROR(IF(M219="","",(M219-$C$151)/365),"")</f>
        <v/>
      </c>
      <c r="O219">
        <f>IFERROR(IF(M219="","",(M219-$C$152)/360),"")</f>
        <v/>
      </c>
      <c r="P219">
        <f>IFERROR(IF(M219="","",(M219-M218)/360),"")</f>
        <v/>
      </c>
      <c r="Q219" t="n">
        <v>1</v>
      </c>
      <c r="R219">
        <f>IFERROR(IF(COUNTIF($A$156:$A$207,"49Y")&gt;0,1,0),"")</f>
        <v/>
      </c>
      <c r="S219" s="21">
        <f>IFERROR(IF(R219=1,IFERROR(INDEX($C$156:$C$207,MATCH("49Y",$A$156:$A$207,0)),INDEX($C$156:$C$207,MATCH("49Y",$A$156:$A$207,0))),S210+(S220-S210)*0.9000000000),"")</f>
        <v/>
      </c>
      <c r="T219">
        <f>IFERROR(IF(OR(N219="",N220=""),"",(N219-N210)/(N220-N210)),"")</f>
        <v/>
      </c>
      <c r="U219" s="22">
        <f>IFERROR(IF(OR(T219="",U220=""),"",U210*(U220/U210)^T219),"")</f>
        <v/>
      </c>
      <c r="V219">
        <f>IFERROR(IF(OR(U219="",Q219=0),0,P219*U219),"")</f>
        <v/>
      </c>
    </row>
    <row r="220">
      <c r="K220" s="19" t="inlineStr">
        <is>
          <t>50Y</t>
        </is>
      </c>
      <c r="L220" t="n">
        <v>50</v>
      </c>
      <c r="M220" s="20">
        <f>IFERROR(IF($C$151="","",IF(MONTH((EDATE($C$152,600))+IF(WEEKDAY((EDATE($C$152,600)),2)=6,2,IF(WEEKDAY((EDATE($C$152,600)),2)=7,1,0)))&lt;&gt;MONTH(EDATE($C$152,600)),(EDATE($C$152,600))-IF(WEEKDAY((EDATE($C$152,600)),2)=6,1,IF(WEEKDAY((EDATE($C$152,600)),2)=7,2,0)),(EDATE($C$152,600))+IF(WEEKDAY((EDATE($C$152,600)),2)=6,2,IF(WEEKDAY((EDATE($C$152,600)),2)=7,1,0)))),"")</f>
        <v/>
      </c>
      <c r="N220">
        <f>IFERROR(IF(M220="","",(M220-$C$151)/365),"")</f>
        <v/>
      </c>
      <c r="O220">
        <f>IFERROR(IF(M220="","",(M220-$C$152)/360),"")</f>
        <v/>
      </c>
      <c r="P220">
        <f>IFERROR(IF(M220="","",(M220-M219)/360),"")</f>
        <v/>
      </c>
      <c r="Q220" t="n">
        <v>1</v>
      </c>
      <c r="R220">
        <f>IFERROR(IF(COUNTIF($A$156:$A$207,"50Y")&gt;0,1,0),"")</f>
        <v/>
      </c>
      <c r="S220" s="21">
        <f>IFERROR(IFERROR(INDEX($C$156:$C$207,MATCH("50Y",$A$156:$A$207,0)),INDEX($C$156:$C$207,MATCH("50Y",$A$156:$A$207,0))),"")</f>
        <v/>
      </c>
      <c r="U220" s="22">
        <f>IFERROR(IF(S220="","",AM220),"")</f>
        <v/>
      </c>
      <c r="V220">
        <f>IFERROR(IF(OR(U220="",Q220=0),0,P220*U220),"")</f>
        <v/>
      </c>
      <c r="X220" s="23">
        <f>IFERROR(IF(S220="","",U210*0.9),"")</f>
        <v/>
      </c>
      <c r="Y220" s="23">
        <f>IFERROR(IF(S220="","",(1-(S220/100)*(SUM($V$156:V210)+SUMPRODUCT($P$211:$P$219,$Q$211:$Q$219,U210*(X220/U210)^$T$211:$T$219)))/(1+(S220/100)*P220)),"")</f>
        <v/>
      </c>
      <c r="Z220" s="23">
        <f>IFERROR(IF(S220="","",(1-(S220/100)*(SUM($V$156:V210)+SUMPRODUCT($P$211:$P$219,$Q$211:$Q$219,U210*(Y220/U210)^$T$211:$T$219)))/(1+(S220/100)*P220)),"")</f>
        <v/>
      </c>
      <c r="AA220" s="23">
        <f>IFERROR(IF(S220="","",(1-(S220/100)*(SUM($V$156:V210)+SUMPRODUCT($P$211:$P$219,$Q$211:$Q$219,U210*(Z220/U210)^$T$211:$T$219)))/(1+(S220/100)*P220)),"")</f>
        <v/>
      </c>
      <c r="AB220" s="23">
        <f>IFERROR(IF(S220="","",(1-(S220/100)*(SUM($V$156:V210)+SUMPRODUCT($P$211:$P$219,$Q$211:$Q$219,U210*(AA220/U210)^$T$211:$T$219)))/(1+(S220/100)*P220)),"")</f>
        <v/>
      </c>
      <c r="AC220" s="23">
        <f>IFERROR(IF(S220="","",(1-(S220/100)*(SUM($V$156:V210)+SUMPRODUCT($P$211:$P$219,$Q$211:$Q$219,U210*(AB220/U210)^$T$211:$T$219)))/(1+(S220/100)*P220)),"")</f>
        <v/>
      </c>
      <c r="AD220" s="23">
        <f>IFERROR(IF(S220="","",(1-(S220/100)*(SUM($V$156:V210)+SUMPRODUCT($P$211:$P$219,$Q$211:$Q$219,U210*(AC220/U210)^$T$211:$T$219)))/(1+(S220/100)*P220)),"")</f>
        <v/>
      </c>
      <c r="AE220" s="23">
        <f>IFERROR(IF(S220="","",(1-(S220/100)*(SUM($V$156:V210)+SUMPRODUCT($P$211:$P$219,$Q$211:$Q$219,U210*(AD220/U210)^$T$211:$T$219)))/(1+(S220/100)*P220)),"")</f>
        <v/>
      </c>
      <c r="AF220" s="23">
        <f>IFERROR(IF(S220="","",(1-(S220/100)*(SUM($V$156:V210)+SUMPRODUCT($P$211:$P$219,$Q$211:$Q$219,U210*(AE220/U210)^$T$211:$T$219)))/(1+(S220/100)*P220)),"")</f>
        <v/>
      </c>
      <c r="AG220" s="23">
        <f>IFERROR(IF(S220="","",(1-(S220/100)*(SUM($V$156:V210)+SUMPRODUCT($P$211:$P$219,$Q$211:$Q$219,U210*(AF220/U210)^$T$211:$T$219)))/(1+(S220/100)*P220)),"")</f>
        <v/>
      </c>
      <c r="AH220" s="23">
        <f>IFERROR(IF(S220="","",(1-(S220/100)*(SUM($V$156:V210)+SUMPRODUCT($P$211:$P$219,$Q$211:$Q$219,U210*(AG220/U210)^$T$211:$T$219)))/(1+(S220/100)*P220)),"")</f>
        <v/>
      </c>
      <c r="AI220" s="23">
        <f>IFERROR(IF(S220="","",(1-(S220/100)*(SUM($V$156:V210)+SUMPRODUCT($P$211:$P$219,$Q$211:$Q$219,U210*(AH220/U210)^$T$211:$T$219)))/(1+(S220/100)*P220)),"")</f>
        <v/>
      </c>
      <c r="AJ220" s="23">
        <f>IFERROR(IF(S220="","",(1-(S220/100)*(SUM($V$156:V210)+SUMPRODUCT($P$211:$P$219,$Q$211:$Q$219,U210*(AI220/U210)^$T$211:$T$219)))/(1+(S220/100)*P220)),"")</f>
        <v/>
      </c>
      <c r="AK220" s="23">
        <f>IFERROR(IF(S220="","",(1-(S220/100)*(SUM($V$156:V210)+SUMPRODUCT($P$211:$P$219,$Q$211:$Q$219,U210*(AJ220/U210)^$T$211:$T$219)))/(1+(S220/100)*P220)),"")</f>
        <v/>
      </c>
      <c r="AL220" s="23">
        <f>IFERROR(IF(S220="","",(1-(S220/100)*(SUM($V$156:V210)+SUMPRODUCT($P$211:$P$219,$Q$211:$Q$219,U210*(AK220/U210)^$T$211:$T$219)))/(1+(S220/100)*P220)),"")</f>
        <v/>
      </c>
      <c r="AM220" s="23">
        <f>IFERROR(IF(S220="","",(1-(S220/100)*(SUM($V$156:V210)+SUMPRODUCT($P$211:$P$219,$Q$211:$Q$219,U210*(AL220/U210)^$T$211:$T$219)))/(1+(S220/100)*P220)),"")</f>
        <v/>
      </c>
    </row>
  </sheetData>
  <conditionalFormatting sqref="H8:H59">
    <cfRule type="cellIs" priority="1" operator="greaterThan" dxfId="0">
      <formula>1</formula>
    </cfRule>
    <cfRule type="cellIs" priority="2" operator="lessThan" dxfId="0">
      <formula>-1</formula>
    </cfRule>
  </conditionalFormatting>
  <conditionalFormatting sqref="H82:H133">
    <cfRule type="cellIs" priority="3" operator="greaterThan" dxfId="0">
      <formula>1</formula>
    </cfRule>
    <cfRule type="cellIs" priority="4" operator="lessThan" dxfId="0">
      <formula>-1</formula>
    </cfRule>
  </conditionalFormatting>
  <conditionalFormatting sqref="H156:H207">
    <cfRule type="cellIs" priority="5" operator="greaterThan" dxfId="0">
      <formula>1</formula>
    </cfRule>
    <cfRule type="cellIs" priority="6" operator="lessThan" dxfId="0">
      <formula>-1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2026-07-22T10:14:24Z</dcterms:created>
  <dcterms:modified xmlns:dcterms="http://purl.org/dc/terms/" xmlns:xsi="http://www.w3.org/2001/XMLSchema-instance" xsi:type="dcterms:W3CDTF">2026-07-22T10:14:24Z</dcterms:modified>
</cp:coreProperties>
</file>